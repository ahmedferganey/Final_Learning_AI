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8d2a0e3c3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336040fa31442ed"/>
    <x:sheet xmlns:r="http://schemas.openxmlformats.org/officeDocument/2006/relationships" name="JobChange" sheetId="2" r:id="Ra38257296cf747fc"/>
    <x:sheet xmlns:r="http://schemas.openxmlformats.org/officeDocument/2006/relationships" name="JobChangeImpact" sheetId="6" r:id="Rbb44b13cefeb48ac"/>
    <x:sheet xmlns:r="http://schemas.openxmlformats.org/officeDocument/2006/relationships" name="DailyProduction" sheetId="3" r:id="R0cd66f34f37d427b"/>
    <x:sheet xmlns:r="http://schemas.openxmlformats.org/officeDocument/2006/relationships" name="ProductionConfiguration" sheetId="5" r:id="R58db4f032a6f49cb"/>
    <x:sheet xmlns:r="http://schemas.openxmlformats.org/officeDocument/2006/relationships" name="_ValidationLists" sheetId="4" r:id="R90f63162944a4d2c"/>
    <x:sheet xmlns:r="http://schemas.openxmlformats.org/officeDocument/2006/relationships" name="JobChangeLoss" sheetId="7" r:id="Rff14ef458f4a4e26"/>
    <x:sheet xmlns:r="http://schemas.openxmlformats.org/officeDocument/2006/relationships" name="ProductionCavityConfiguration" sheetId="8" r:id="R7b2acdbdd3634a44"/>
    <x:sheet xmlns:r="http://schemas.openxmlformats.org/officeDocument/2006/relationships" name="DQ_Quarantine" sheetId="9" r:id="R1a29e6227a814ad2"/>
    <x:sheet xmlns:r="http://schemas.openxmlformats.org/officeDocument/2006/relationships" name="EnhancementGuide" sheetId="10" r:id="R241067593d3e4e29"/>
  </x:sheets>
</x:workbook>
</file>

<file path=xl/sharedStrings.xml><?xml version="1.0" encoding="utf-8"?>
<x:sst xmlns:x="http://schemas.openxmlformats.org/spreadsheetml/2006/main">
  <x:si>
    <x:t xml:space="preserve">SUPERVISOR LOG — Instructions</x:t>
  </x:si>
  <x:si>
    <x:t xml:space="preserve">Owner: Production Supervisors / Shift Leaders</x:t>
  </x:si>
  <x:si>
    <x:t xml:space="preserve">Sheets: JobChange + DailyProduction</x:t>
  </x:si>
  <x:si>
    <x:t xml:space="preserve">Rules:</x:t>
  </x:si>
  <x:si>
    <x:t xml:space="preserve">1. One row = one event</x:t>
  </x:si>
  <x:si>
    <x:t xml:space="preserve">2. Use dropdowns (yellow cells) — do not free-type coded fields</x:t>
  </x:si>
  <x:si>
    <x:t xml:space="preserve">3. Dates must be real Excel dates</x:t>
  </x:si>
  <x:si>
    <x:t xml:space="preserve">4. Save as 02_Supervisor_Log_YYYYMMDD.xlsx into the OneDrive Daily folder</x:t>
  </x:si>
  <x:si>
    <x:t xml:space="preserve">Dataset: one-week business-rule-consistent synthetic data (2025-10-20 to 2025-10-26) for DWH / Power BI testing.</x:t>
  </x:si>
  <x:si>
    <x:t xml:space="preserve">NEW DETAIL MODEL — IMPORTANT</x:t>
  </x:si>
  <x:si>
    <x:t xml:space="preserve">JobChange and DailyProduction keep their original grain and original source columns.</x:t>
  </x:si>
  <x:si>
    <x:t xml:space="preserve">ProductionConfiguration is Event × Section with three cavity flags; unpivot Cavity1Active:Cavity3Active in Power Query for cavity grain.</x:t>
  </x:si>
  <x:si>
    <x:t xml:space="preserve">JobChangeImpact is a new child fact for Line / Section / Cavity loss scope.</x:t>
  </x:si>
  <x:si>
    <x:t xml:space="preserve">Use StartDateTime and EndDateTime for new detailed impacts whenever possible to detect overlaps.</x:t>
  </x:si>
  <x:si>
    <x:t xml:space="preserve">NoCavities &gt; 3 conflicts with the assumed physical capability and is flagged; existing source values are not silently changed.</x:t>
  </x:si>
  <x:si>
    <x:t xml:space="preserve">JOB CHANGE LOG</x:t>
  </x:si>
  <x:si>
    <x:t xml:space="preserve">Maps to STG_JOBCHANGE → FACT_JOBCHANGE</x:t>
  </x:si>
  <x:si>
    <x:t xml:space="preserve">Yellow=Dropdown | Green=Date | Blue=Hours. FromOrderNumber can be empty for first job of day.</x:t>
  </x:si>
  <x:si>
    <x:t xml:space="preserve">FactoryCode</x:t>
  </x:si>
  <x:si>
    <x:t xml:space="preserve">LineNumber</x:t>
  </x:si>
  <x:si>
    <x:t xml:space="preserve">EventDate</x:t>
  </x:si>
  <x:si>
    <x:t xml:space="preserve">ShiftCode</x:t>
  </x:si>
  <x:si>
    <x:t xml:space="preserve">CrewCode</x:t>
  </x:si>
  <x:si>
    <x:t xml:space="preserve">FromOrderNumber</x:t>
  </x:si>
  <x:si>
    <x:t xml:space="preserve">ToOrderNumber</x:t>
  </x:si>
  <x:si>
    <x:t xml:space="preserve">JobChangeTypeName</x:t>
  </x:si>
  <x:si>
    <x:t xml:space="preserve">MechanicalWorkT1_Hrs</x:t>
  </x:si>
  <x:si>
    <x:t xml:space="preserve">FormingTimeT2_Hrs</x:t>
  </x:si>
  <x:si>
    <x:t xml:space="preserve">TrialLosses_Hrs</x:t>
  </x:si>
  <x:si>
    <x:t xml:space="preserve">HE_Downtime_Hrs</x:t>
  </x:si>
  <x:si>
    <x:t xml:space="preserve">HE_DowntimeReason</x:t>
  </x:si>
  <x:si>
    <x:t xml:space="preserve">CE_Losses_Hrs</x:t>
  </x:si>
  <x:si>
    <x:t xml:space="preserve">CE_LossesReason</x:t>
  </x:si>
  <x:si>
    <x:t xml:space="preserve">PalletizerLosses_Hrs</x:t>
  </x:si>
  <x:si>
    <x:t xml:space="preserve">PalletizerReason</x:t>
  </x:si>
  <x:si>
    <x:t xml:space="preserve">Notes</x:t>
  </x:si>
  <x:si>
    <x:t xml:space="preserve">JobChangeEventID</x:t>
  </x:si>
  <x:si>
    <x:t xml:space="preserve">TotalJobChangeHours</x:t>
  </x:si>
  <x:si>
    <x:t xml:space="preserve">ImpactDurationHrs</x:t>
  </x:si>
  <x:si>
    <x:t xml:space="preserve">ImpactReconciliationCheck</x:t>
  </x:si>
  <x:si>
    <x:t xml:space="preserve">ReasonConsistencyCheck</x:t>
  </x:si>
  <x:si>
    <x:t xml:space="preserve">TransitionCheck</x:t>
  </x:si>
  <x:si>
    <x:t xml:space="preserve">EventIDUniquenessCheck</x:t>
  </x:si>
  <x:si>
    <x:t xml:space="preserve">DataQualityCheck</x:t>
  </x:si>
  <x:si>
    <x:t xml:space="preserve">KG01</x:t>
  </x:si>
  <x:si>
    <x:t xml:space="preserve">AM</x:t>
  </x:si>
  <x:si>
    <x:t xml:space="preserve">A</x:t>
  </x:si>
  <x:si>
    <x:t xml:space="preserve">ORD-2025-00019</x:t>
  </x:si>
  <x:si>
    <x:t xml:space="preserve">ORD-2025-00020</x:t>
  </x:si>
  <x:si>
    <x:t xml:space="preserve">Medium</x:t>
  </x:si>
  <x:si>
    <x:t xml:space="preserve">Within target</x:t>
  </x:si>
  <x:si>
    <x:t xml:space="preserve">B</x:t>
  </x:si>
  <x:si>
    <x:t xml:space="preserve">ORD-2025-00021</x:t>
  </x:si>
  <x:si>
    <x:t xml:space="preserve">Gob Weight Adjustment</x:t>
  </x:si>
  <x:si>
    <x:t xml:space="preserve">Extended setup</x:t>
  </x:si>
  <x:si>
    <x:t xml:space="preserve">C</x:t>
  </x:si>
  <x:si>
    <x:t xml:space="preserve">ORD-2025-00055</x:t>
  </x:si>
  <x:si>
    <x:t xml:space="preserve">ORD-2025-00056</x:t>
  </x:si>
  <x:si>
    <x:t xml:space="preserve">Big</x:t>
  </x:si>
  <x:si>
    <x:t xml:space="preserve">Pallet Conveyor Jam</x:t>
  </x:si>
  <x:si>
    <x:t xml:space="preserve">Minor adjustment</x:t>
  </x:si>
  <x:si>
    <x:t xml:space="preserve">ORD-2025-00057</x:t>
  </x:si>
  <x:si>
    <x:t xml:space="preserve">ORD-2025-00058</x:t>
  </x:si>
  <x:si>
    <x:t xml:space="preserve">Neck Ring Issue</x:t>
  </x:si>
  <x:si>
    <x:t xml:space="preserve">ORD-2025-00092</x:t>
  </x:si>
  <x:si>
    <x:t xml:space="preserve">ORD-2025-00093</x:t>
  </x:si>
  <x:si>
    <x:t xml:space="preserve">Palletizer Robot Fault</x:t>
  </x:si>
  <x:si>
    <x:t xml:space="preserve">ORD-2025-00094</x:t>
  </x:si>
  <x:si>
    <x:t xml:space="preserve">Process</x:t>
  </x:si>
  <x:si>
    <x:t xml:space="preserve">Gob Distributor Jam</x:t>
  </x:si>
  <x:si>
    <x:t xml:space="preserve">Conveyor Speed Mismatch</x:t>
  </x:si>
  <x:si>
    <x:t xml:space="preserve">Stable restart</x:t>
  </x:si>
  <x:si>
    <x:t xml:space="preserve">ORD-2025-00124</x:t>
  </x:si>
  <x:si>
    <x:t xml:space="preserve">ORD-2025-00125</x:t>
  </x:si>
  <x:si>
    <x:t xml:space="preserve">ORD-2025-00126</x:t>
  </x:si>
  <x:si>
    <x:t xml:space="preserve">Small</x:t>
  </x:si>
  <x:si>
    <x:t xml:space="preserve">ORD-2025-00161</x:t>
  </x:si>
  <x:si>
    <x:t xml:space="preserve">ORD-2025-00162</x:t>
  </x:si>
  <x:si>
    <x:t xml:space="preserve">JOB CHANGE IMPACT — DETAILED ASSET LOSS</x:t>
  </x:si>
  <x:si>
    <x:t xml:space="preserve">Historical summary components are seeded at Line scope; enter new detail at Line, Section, or Cavity scope.</x:t>
  </x:si>
  <x:si>
    <x:t xml:space="preserve">JobChangeImpactID</x:t>
  </x:si>
  <x:si>
    <x:t xml:space="preserve">ProductionEventID</x:t>
  </x:si>
  <x:si>
    <x:t xml:space="preserve">LossArea</x:t>
  </x:si>
  <x:si>
    <x:t xml:space="preserve">AssetScopeKey</x:t>
  </x:si>
  <x:si>
    <x:t xml:space="preserve">AssetLevel</x:t>
  </x:si>
  <x:si>
    <x:t xml:space="preserve">SectionNumber</x:t>
  </x:si>
  <x:si>
    <x:t xml:space="preserve">CavityNumber</x:t>
  </x:si>
  <x:si>
    <x:t xml:space="preserve">Reason</x:t>
  </x:si>
  <x:si>
    <x:t xml:space="preserve">StartDateTime</x:t>
  </x:si>
  <x:si>
    <x:t xml:space="preserve">EndDateTime</x:t>
  </x:si>
  <x:si>
    <x:t xml:space="preserve">DurationHrs</x:t>
  </x:si>
  <x:si>
    <x:t xml:space="preserve">TotalActiveCavities</x:t>
  </x:si>
  <x:si>
    <x:t xml:space="preserve">AffectedActiveCavities</x:t>
  </x:si>
  <x:si>
    <x:t xml:space="preserve">CapacityImpactPct</x:t>
  </x:si>
  <x:si>
    <x:t xml:space="preserve">LineEquivalentLossHrs</x:t>
  </x:si>
  <x:si>
    <x:t xml:space="preserve">DesignedCyclesPerMin</x:t>
  </x:si>
  <x:si>
    <x:t xml:space="preserve">EstimatedLostUnits</x:t>
  </x:si>
  <x:si>
    <x:t xml:space="preserve">ImpactSource</x:t>
  </x:si>
  <x:si>
    <x:t xml:space="preserve">ParentEventCheck</x:t>
  </x:si>
  <x:si>
    <x:t xml:space="preserve">ScopeCheck</x:t>
  </x:si>
  <x:si>
    <x:t xml:space="preserve">DurationCheck</x:t>
  </x:si>
  <x:si>
    <x:t xml:space="preserve">JCI-000001</x:t>
  </x:si>
  <x:si>
    <x:t xml:space="preserve">JC-KG01-L21-20251021-AM-ORD-2025-00019-ORD-2025-00020</x:t>
  </x:si>
  <x:si>
    <x:t xml:space="preserve">PE-KG01-L21-20251021-AM-ORD-2025-00020</x:t>
  </x:si>
  <x:si>
    <x:t xml:space="preserve">T1</x:t>
  </x:si>
  <x:si>
    <x:t xml:space="preserve">L21</x:t>
  </x:si>
  <x:si>
    <x:t xml:space="preserve">Line</x:t>
  </x:si>
  <x:si>
    <x:t xml:space="preserve">Historical summary</x:t>
  </x:si>
  <x:si>
    <x:t xml:space="preserve">HistoricalSummary</x:t>
  </x:si>
  <x:si>
    <x:t xml:space="preserve">JCI-000002</x:t>
  </x:si>
  <x:si>
    <x:t xml:space="preserve">T2</x:t>
  </x:si>
  <x:si>
    <x:t xml:space="preserve">JCI-000003</x:t>
  </x:si>
  <x:si>
    <x:t xml:space="preserve">Trial</x:t>
  </x:si>
  <x:si>
    <x:t xml:space="preserve">JCI-000004</x:t>
  </x:si>
  <x:si>
    <x:t xml:space="preserve">JC-KG01-L21-20251025-AM-ORD-2025-00020-ORD-2025-00021</x:t>
  </x:si>
  <x:si>
    <x:t xml:space="preserve">PE-KG01-L21-20251025-AM-ORD-2025-00021</x:t>
  </x:si>
  <x:si>
    <x:t xml:space="preserve">JCI-000005</x:t>
  </x:si>
  <x:si>
    <x:t xml:space="preserve">JCI-000006</x:t>
  </x:si>
  <x:si>
    <x:t xml:space="preserve">JCI-000007</x:t>
  </x:si>
  <x:si>
    <x:t xml:space="preserve">HE</x:t>
  </x:si>
  <x:si>
    <x:t xml:space="preserve">JCI-000008</x:t>
  </x:si>
  <x:si>
    <x:t xml:space="preserve">JC-KG01-L22-20251020-AM-ORD-2025-00055-ORD-2025-00056</x:t>
  </x:si>
  <x:si>
    <x:t xml:space="preserve">PE-KG01-L22-20251020-AM-ORD-2025-00056</x:t>
  </x:si>
  <x:si>
    <x:t xml:space="preserve">L22</x:t>
  </x:si>
  <x:si>
    <x:t xml:space="preserve">JCI-000009</x:t>
  </x:si>
  <x:si>
    <x:t xml:space="preserve">JCI-000010</x:t>
  </x:si>
  <x:si>
    <x:t xml:space="preserve">JCI-000011</x:t>
  </x:si>
  <x:si>
    <x:t xml:space="preserve">Palletizer</x:t>
  </x:si>
  <x:si>
    <x:t xml:space="preserve">JCI-000012</x:t>
  </x:si>
  <x:si>
    <x:t xml:space="preserve">JC-KG01-L22-20251026-AM-ORD-2025-00057-ORD-2025-00058</x:t>
  </x:si>
  <x:si>
    <x:t xml:space="preserve">PE-KG01-L22-20251026-AM-ORD-2025-00058</x:t>
  </x:si>
  <x:si>
    <x:t xml:space="preserve">JCI-000013</x:t>
  </x:si>
  <x:si>
    <x:t xml:space="preserve">JCI-000014</x:t>
  </x:si>
  <x:si>
    <x:t xml:space="preserve">JCI-000015</x:t>
  </x:si>
  <x:si>
    <x:t xml:space="preserve">JCI-000016</x:t>
  </x:si>
  <x:si>
    <x:t xml:space="preserve">JC-KG01-L23-20251022-AM-ORD-2025-00092-ORD-2025-00093</x:t>
  </x:si>
  <x:si>
    <x:t xml:space="preserve">PE-KG01-L23-20251022-AM-ORD-2025-00093</x:t>
  </x:si>
  <x:si>
    <x:t xml:space="preserve">L23</x:t>
  </x:si>
  <x:si>
    <x:t xml:space="preserve">JCI-000017</x:t>
  </x:si>
  <x:si>
    <x:t xml:space="preserve">JCI-000018</x:t>
  </x:si>
  <x:si>
    <x:t xml:space="preserve">JCI-000019</x:t>
  </x:si>
  <x:si>
    <x:t xml:space="preserve">JCI-000020</x:t>
  </x:si>
  <x:si>
    <x:t xml:space="preserve">JC-KG01-L23-20251026-AM-ORD-2025-00093-ORD-2025-00094</x:t>
  </x:si>
  <x:si>
    <x:t xml:space="preserve">PE-KG01-L23-20251026-AM-ORD-2025-00094</x:t>
  </x:si>
  <x:si>
    <x:t xml:space="preserve">JCI-000021</x:t>
  </x:si>
  <x:si>
    <x:t xml:space="preserve">JCI-000022</x:t>
  </x:si>
  <x:si>
    <x:t xml:space="preserve">JCI-000023</x:t>
  </x:si>
  <x:si>
    <x:t xml:space="preserve">JCI-000024</x:t>
  </x:si>
  <x:si>
    <x:t xml:space="preserve">CE</x:t>
  </x:si>
  <x:si>
    <x:t xml:space="preserve">JCI-000025</x:t>
  </x:si>
  <x:si>
    <x:t xml:space="preserve">JC-KG01-L24-20251021-AM-ORD-2025-00124-ORD-2025-00125</x:t>
  </x:si>
  <x:si>
    <x:t xml:space="preserve">PE-KG01-L24-20251021-AM-ORD-2025-00125</x:t>
  </x:si>
  <x:si>
    <x:t xml:space="preserve">L24</x:t>
  </x:si>
  <x:si>
    <x:t xml:space="preserve">JCI-000026</x:t>
  </x:si>
  <x:si>
    <x:t xml:space="preserve">JCI-000027</x:t>
  </x:si>
  <x:si>
    <x:t xml:space="preserve">JCI-000028</x:t>
  </x:si>
  <x:si>
    <x:t xml:space="preserve">JC-KG01-L24-20251025-AM-ORD-2025-00125-ORD-2025-00126</x:t>
  </x:si>
  <x:si>
    <x:t xml:space="preserve">PE-KG01-L24-20251025-AM-ORD-2025-00126</x:t>
  </x:si>
  <x:si>
    <x:t xml:space="preserve">JCI-000029</x:t>
  </x:si>
  <x:si>
    <x:t xml:space="preserve">JCI-000030</x:t>
  </x:si>
  <x:si>
    <x:t xml:space="preserve">JCI-000031</x:t>
  </x:si>
  <x:si>
    <x:t xml:space="preserve">JC-KG01-L25-20251023-AM-ORD-2025-00161-ORD-2025-00162</x:t>
  </x:si>
  <x:si>
    <x:t xml:space="preserve">PE-KG01-L25-20251023-AM-ORD-2025-00162</x:t>
  </x:si>
  <x:si>
    <x:t xml:space="preserve">L25</x:t>
  </x:si>
  <x:si>
    <x:t xml:space="preserve">JCI-000032</x:t>
  </x:si>
  <x:si>
    <x:t xml:space="preserve">JCI-000033</x:t>
  </x:si>
  <x:si>
    <x:t xml:space="preserve">DAILY PRODUCTION LOG</x:t>
  </x:si>
  <x:si>
    <x:t xml:space="preserve">Maps to STG_PRODUCTION → FACT_PRODUCTION</x:t>
  </x:si>
  <x:si>
    <x:t xml:space="preserve">FactoryCode is required. DesignOutput = DesignedCutsPerHour × WorkingHours; TotalReject = DesignOutput − ActualPack − TotalHold.</x:t>
  </x:si>
  <x:si>
    <x:t xml:space="preserve">OrderNumber</x:t>
  </x:si>
  <x:si>
    <x:t xml:space="preserve">CaseName</x:t>
  </x:si>
  <x:si>
    <x:t xml:space="preserve">NoSections</x:t>
  </x:si>
  <x:si>
    <x:t xml:space="preserve">NoCavities</x:t>
  </x:si>
  <x:si>
    <x:t xml:space="preserve">DesignedCutsPerHour</x:t>
  </x:si>
  <x:si>
    <x:t xml:space="preserve">WorkingHours</x:t>
  </x:si>
  <x:si>
    <x:t xml:space="preserve">DesignOutput</x:t>
  </x:si>
  <x:si>
    <x:t xml:space="preserve">ActualPack</x:t>
  </x:si>
  <x:si>
    <x:t xml:space="preserve">TotalHold</x:t>
  </x:si>
  <x:si>
    <x:t xml:space="preserve">TotalReject</x:t>
  </x:si>
  <x:si>
    <x:t xml:space="preserve">ActiveCavityCount</x:t>
  </x:si>
  <x:si>
    <x:t xml:space="preserve">PhysicalCapabilityCheck</x:t>
  </x:si>
  <x:si>
    <x:t xml:space="preserve">DesignCutsFormulaCheck</x:t>
  </x:si>
  <x:si>
    <x:t xml:space="preserve">DesignOutputCheck</x:t>
  </x:si>
  <x:si>
    <x:t xml:space="preserve">MaterialBalanceCheck</x:t>
  </x:si>
  <x:si>
    <x:t xml:space="preserve">ConfigActiveCavityCount</x:t>
  </x:si>
  <x:si>
    <x:t xml:space="preserve">ConfigurationReconciliationCheck</x:t>
  </x:si>
  <x:si>
    <x:t xml:space="preserve">Normal</x:t>
  </x:si>
  <x:si>
    <x:t xml:space="preserve">PM</x:t>
  </x:si>
  <x:si>
    <x:t xml:space="preserve">PRODUCTION CONFIGURATION — EVENT × SECTION</x:t>
  </x:si>
  <x:si>
    <x:t xml:space="preserve">Use Cavity1/2/3 overrides to record the exact active subset. Power Query can unpivot the three Active columns into cavity-grain rows.</x:t>
  </x:si>
  <x:si>
    <x:t xml:space="preserve">ProductionConfigID</x:t>
  </x:si>
  <x:si>
    <x:t xml:space="preserve">ParentNoSections</x:t>
  </x:si>
  <x:si>
    <x:t xml:space="preserve">ParentNoCavities</x:t>
  </x:si>
  <x:si>
    <x:t xml:space="preserve">DefaultSectionActive</x:t>
  </x:si>
  <x:si>
    <x:t xml:space="preserve">Cavity1Override</x:t>
  </x:si>
  <x:si>
    <x:t xml:space="preserve">Cavity2Override</x:t>
  </x:si>
  <x:si>
    <x:t xml:space="preserve">Cavity3Override</x:t>
  </x:si>
  <x:si>
    <x:t xml:space="preserve">Cavity1Active</x:t>
  </x:si>
  <x:si>
    <x:t xml:space="preserve">Cavity2Active</x:t>
  </x:si>
  <x:si>
    <x:t xml:space="preserve">Cavity3Active</x:t>
  </x:si>
  <x:si>
    <x:t xml:space="preserve">ConfigurationSource</x:t>
  </x:si>
  <x:si>
    <x:t xml:space="preserve">EventReconciliationCheck</x:t>
  </x:si>
  <x:si>
    <x:t xml:space="preserve">PC-PE-KG01-L21-20251020-AM-ORD-2025-00019-S01</x:t>
  </x:si>
  <x:si>
    <x:t xml:space="preserve">PE-KG01-L21-20251020-AM-ORD-2025-00019</x:t>
  </x:si>
  <x:si>
    <x:t xml:space="preserve">PC-PE-KG01-L21-20251020-AM-ORD-2025-00019-S02</x:t>
  </x:si>
  <x:si>
    <x:t xml:space="preserve">PC-PE-KG01-L21-20251020-AM-ORD-2025-00019-S03</x:t>
  </x:si>
  <x:si>
    <x:t xml:space="preserve">PC-PE-KG01-L21-20251020-AM-ORD-2025-00019-S04</x:t>
  </x:si>
  <x:si>
    <x:t xml:space="preserve">PC-PE-KG01-L21-20251020-AM-ORD-2025-00019-S05</x:t>
  </x:si>
  <x:si>
    <x:t xml:space="preserve">PC-PE-KG01-L21-20251020-AM-ORD-2025-00019-S06</x:t>
  </x:si>
  <x:si>
    <x:t xml:space="preserve">PC-PE-KG01-L21-20251020-AM-ORD-2025-00019-S07</x:t>
  </x:si>
  <x:si>
    <x:t xml:space="preserve">PC-PE-KG01-L21-20251020-AM-ORD-2025-00019-S08</x:t>
  </x:si>
  <x:si>
    <x:t xml:space="preserve">PC-PE-KG01-L21-20251020-AM-ORD-2025-00019-S09</x:t>
  </x:si>
  <x:si>
    <x:t xml:space="preserve">PC-PE-KG01-L21-20251020-AM-ORD-2025-00019-S10</x:t>
  </x:si>
  <x:si>
    <x:t xml:space="preserve">PC-PE-KG01-L21-20251020-AM-ORD-2025-00019-S11</x:t>
  </x:si>
  <x:si>
    <x:t xml:space="preserve">PC-PE-KG01-L21-20251020-AM-ORD-2025-00019-S12</x:t>
  </x:si>
  <x:si>
    <x:t xml:space="preserve">PC-PE-KG01-L21-20251020-AM-ORD-2025-00019-S13</x:t>
  </x:si>
  <x:si>
    <x:t xml:space="preserve">PC-PE-KG01-L21-20251020-PM-ORD-2025-00019-S01</x:t>
  </x:si>
  <x:si>
    <x:t xml:space="preserve">PE-KG01-L21-20251020-PM-ORD-2025-00019</x:t>
  </x:si>
  <x:si>
    <x:t xml:space="preserve">PC-PE-KG01-L21-20251020-PM-ORD-2025-00019-S02</x:t>
  </x:si>
  <x:si>
    <x:t xml:space="preserve">PC-PE-KG01-L21-20251020-PM-ORD-2025-00019-S03</x:t>
  </x:si>
  <x:si>
    <x:t xml:space="preserve">PC-PE-KG01-L21-20251020-PM-ORD-2025-00019-S04</x:t>
  </x:si>
  <x:si>
    <x:t xml:space="preserve">PC-PE-KG01-L21-20251020-PM-ORD-2025-00019-S05</x:t>
  </x:si>
  <x:si>
    <x:t xml:space="preserve">PC-PE-KG01-L21-20251020-PM-ORD-2025-00019-S06</x:t>
  </x:si>
  <x:si>
    <x:t xml:space="preserve">PC-PE-KG01-L21-20251020-PM-ORD-2025-00019-S07</x:t>
  </x:si>
  <x:si>
    <x:t xml:space="preserve">PC-PE-KG01-L21-20251020-PM-ORD-2025-00019-S08</x:t>
  </x:si>
  <x:si>
    <x:t xml:space="preserve">PC-PE-KG01-L21-20251020-PM-ORD-2025-00019-S09</x:t>
  </x:si>
  <x:si>
    <x:t xml:space="preserve">PC-PE-KG01-L21-20251020-PM-ORD-2025-00019-S10</x:t>
  </x:si>
  <x:si>
    <x:t xml:space="preserve">PC-PE-KG01-L21-20251020-PM-ORD-2025-00019-S11</x:t>
  </x:si>
  <x:si>
    <x:t xml:space="preserve">PC-PE-KG01-L21-20251020-PM-ORD-2025-00019-S12</x:t>
  </x:si>
  <x:si>
    <x:t xml:space="preserve">PC-PE-KG01-L21-20251020-PM-ORD-2025-00019-S13</x:t>
  </x:si>
  <x:si>
    <x:t xml:space="preserve">PC-PE-KG01-L21-20251021-AM-ORD-2025-00020-S01</x:t>
  </x:si>
  <x:si>
    <x:t xml:space="preserve">PC-PE-KG01-L21-20251021-AM-ORD-2025-00020-S02</x:t>
  </x:si>
  <x:si>
    <x:t xml:space="preserve">PC-PE-KG01-L21-20251021-AM-ORD-2025-00020-S03</x:t>
  </x:si>
  <x:si>
    <x:t xml:space="preserve">PC-PE-KG01-L21-20251021-AM-ORD-2025-00020-S04</x:t>
  </x:si>
  <x:si>
    <x:t xml:space="preserve">PC-PE-KG01-L21-20251021-AM-ORD-2025-00020-S05</x:t>
  </x:si>
  <x:si>
    <x:t xml:space="preserve">PC-PE-KG01-L21-20251021-AM-ORD-2025-00020-S06</x:t>
  </x:si>
  <x:si>
    <x:t xml:space="preserve">PC-PE-KG01-L21-20251021-AM-ORD-2025-00020-S07</x:t>
  </x:si>
  <x:si>
    <x:t xml:space="preserve">PC-PE-KG01-L21-20251021-AM-ORD-2025-00020-S08</x:t>
  </x:si>
  <x:si>
    <x:t xml:space="preserve">PC-PE-KG01-L21-20251021-AM-ORD-2025-00020-S09</x:t>
  </x:si>
  <x:si>
    <x:t xml:space="preserve">PC-PE-KG01-L21-20251021-AM-ORD-2025-00020-S10</x:t>
  </x:si>
  <x:si>
    <x:t xml:space="preserve">PC-PE-KG01-L21-20251021-AM-ORD-2025-00020-S11</x:t>
  </x:si>
  <x:si>
    <x:t xml:space="preserve">PC-PE-KG01-L21-20251021-AM-ORD-2025-00020-S12</x:t>
  </x:si>
  <x:si>
    <x:t xml:space="preserve">PC-PE-KG01-L21-20251021-AM-ORD-2025-00020-S13</x:t>
  </x:si>
  <x:si>
    <x:t xml:space="preserve">PC-PE-KG01-L21-20251021-PM-ORD-2025-00020-S01</x:t>
  </x:si>
  <x:si>
    <x:t xml:space="preserve">PE-KG01-L21-20251021-PM-ORD-2025-00020</x:t>
  </x:si>
  <x:si>
    <x:t xml:space="preserve">PC-PE-KG01-L21-20251021-PM-ORD-2025-00020-S02</x:t>
  </x:si>
  <x:si>
    <x:t xml:space="preserve">PC-PE-KG01-L21-20251021-PM-ORD-2025-00020-S03</x:t>
  </x:si>
  <x:si>
    <x:t xml:space="preserve">PC-PE-KG01-L21-20251021-PM-ORD-2025-00020-S04</x:t>
  </x:si>
  <x:si>
    <x:t xml:space="preserve">PC-PE-KG01-L21-20251021-PM-ORD-2025-00020-S05</x:t>
  </x:si>
  <x:si>
    <x:t xml:space="preserve">PC-PE-KG01-L21-20251021-PM-ORD-2025-00020-S06</x:t>
  </x:si>
  <x:si>
    <x:t xml:space="preserve">PC-PE-KG01-L21-20251021-PM-ORD-2025-00020-S07</x:t>
  </x:si>
  <x:si>
    <x:t xml:space="preserve">PC-PE-KG01-L21-20251021-PM-ORD-2025-00020-S08</x:t>
  </x:si>
  <x:si>
    <x:t xml:space="preserve">PC-PE-KG01-L21-20251021-PM-ORD-2025-00020-S09</x:t>
  </x:si>
  <x:si>
    <x:t xml:space="preserve">PC-PE-KG01-L21-20251021-PM-ORD-2025-00020-S10</x:t>
  </x:si>
  <x:si>
    <x:t xml:space="preserve">PC-PE-KG01-L21-20251021-PM-ORD-2025-00020-S11</x:t>
  </x:si>
  <x:si>
    <x:t xml:space="preserve">PC-PE-KG01-L21-20251021-PM-ORD-2025-00020-S12</x:t>
  </x:si>
  <x:si>
    <x:t xml:space="preserve">PC-PE-KG01-L21-20251021-PM-ORD-2025-00020-S13</x:t>
  </x:si>
  <x:si>
    <x:t xml:space="preserve">PC-PE-KG01-L21-20251022-AM-ORD-2025-00020-S01</x:t>
  </x:si>
  <x:si>
    <x:t xml:space="preserve">PE-KG01-L21-20251022-AM-ORD-2025-00020</x:t>
  </x:si>
  <x:si>
    <x:t xml:space="preserve">PC-PE-KG01-L21-20251022-AM-ORD-2025-00020-S02</x:t>
  </x:si>
  <x:si>
    <x:t xml:space="preserve">PC-PE-KG01-L21-20251022-AM-ORD-2025-00020-S03</x:t>
  </x:si>
  <x:si>
    <x:t xml:space="preserve">PC-PE-KG01-L21-20251022-AM-ORD-2025-00020-S04</x:t>
  </x:si>
  <x:si>
    <x:t xml:space="preserve">PC-PE-KG01-L21-20251022-AM-ORD-2025-00020-S05</x:t>
  </x:si>
  <x:si>
    <x:t xml:space="preserve">PC-PE-KG01-L21-20251022-AM-ORD-2025-00020-S06</x:t>
  </x:si>
  <x:si>
    <x:t xml:space="preserve">PC-PE-KG01-L21-20251022-AM-ORD-2025-00020-S07</x:t>
  </x:si>
  <x:si>
    <x:t xml:space="preserve">PC-PE-KG01-L21-20251022-AM-ORD-2025-00020-S08</x:t>
  </x:si>
  <x:si>
    <x:t xml:space="preserve">PC-PE-KG01-L21-20251022-AM-ORD-2025-00020-S09</x:t>
  </x:si>
  <x:si>
    <x:t xml:space="preserve">PC-PE-KG01-L21-20251022-AM-ORD-2025-00020-S10</x:t>
  </x:si>
  <x:si>
    <x:t xml:space="preserve">PC-PE-KG01-L21-20251022-AM-ORD-2025-00020-S11</x:t>
  </x:si>
  <x:si>
    <x:t xml:space="preserve">PC-PE-KG01-L21-20251022-AM-ORD-2025-00020-S12</x:t>
  </x:si>
  <x:si>
    <x:t xml:space="preserve">PC-PE-KG01-L21-20251022-AM-ORD-2025-00020-S13</x:t>
  </x:si>
  <x:si>
    <x:t xml:space="preserve">PC-PE-KG01-L21-20251022-PM-ORD-2025-00020-S01</x:t>
  </x:si>
  <x:si>
    <x:t xml:space="preserve">PE-KG01-L21-20251022-PM-ORD-2025-00020</x:t>
  </x:si>
  <x:si>
    <x:t xml:space="preserve">PC-PE-KG01-L21-20251022-PM-ORD-2025-00020-S02</x:t>
  </x:si>
  <x:si>
    <x:t xml:space="preserve">PC-PE-KG01-L21-20251022-PM-ORD-2025-00020-S03</x:t>
  </x:si>
  <x:si>
    <x:t xml:space="preserve">PC-PE-KG01-L21-20251022-PM-ORD-2025-00020-S04</x:t>
  </x:si>
  <x:si>
    <x:t xml:space="preserve">PC-PE-KG01-L21-20251022-PM-ORD-2025-00020-S05</x:t>
  </x:si>
  <x:si>
    <x:t xml:space="preserve">PC-PE-KG01-L21-20251022-PM-ORD-2025-00020-S06</x:t>
  </x:si>
  <x:si>
    <x:t xml:space="preserve">PC-PE-KG01-L21-20251022-PM-ORD-2025-00020-S07</x:t>
  </x:si>
  <x:si>
    <x:t xml:space="preserve">PC-PE-KG01-L21-20251022-PM-ORD-2025-00020-S08</x:t>
  </x:si>
  <x:si>
    <x:t xml:space="preserve">PC-PE-KG01-L21-20251022-PM-ORD-2025-00020-S09</x:t>
  </x:si>
  <x:si>
    <x:t xml:space="preserve">PC-PE-KG01-L21-20251022-PM-ORD-2025-00020-S10</x:t>
  </x:si>
  <x:si>
    <x:t xml:space="preserve">PC-PE-KG01-L21-20251022-PM-ORD-2025-00020-S11</x:t>
  </x:si>
  <x:si>
    <x:t xml:space="preserve">PC-PE-KG01-L21-20251022-PM-ORD-2025-00020-S12</x:t>
  </x:si>
  <x:si>
    <x:t xml:space="preserve">PC-PE-KG01-L21-20251022-PM-ORD-2025-00020-S13</x:t>
  </x:si>
  <x:si>
    <x:t xml:space="preserve">PC-PE-KG01-L21-20251023-AM-ORD-2025-00020-S01</x:t>
  </x:si>
  <x:si>
    <x:t xml:space="preserve">PE-KG01-L21-20251023-AM-ORD-2025-00020</x:t>
  </x:si>
  <x:si>
    <x:t xml:space="preserve">PC-PE-KG01-L21-20251023-AM-ORD-2025-00020-S02</x:t>
  </x:si>
  <x:si>
    <x:t xml:space="preserve">PC-PE-KG01-L21-20251023-AM-ORD-2025-00020-S03</x:t>
  </x:si>
  <x:si>
    <x:t xml:space="preserve">PC-PE-KG01-L21-20251023-AM-ORD-2025-00020-S04</x:t>
  </x:si>
  <x:si>
    <x:t xml:space="preserve">PC-PE-KG01-L21-20251023-AM-ORD-2025-00020-S05</x:t>
  </x:si>
  <x:si>
    <x:t xml:space="preserve">PC-PE-KG01-L21-20251023-AM-ORD-2025-00020-S06</x:t>
  </x:si>
  <x:si>
    <x:t xml:space="preserve">PC-PE-KG01-L21-20251023-AM-ORD-2025-00020-S07</x:t>
  </x:si>
  <x:si>
    <x:t xml:space="preserve">PC-PE-KG01-L21-20251023-AM-ORD-2025-00020-S08</x:t>
  </x:si>
  <x:si>
    <x:t xml:space="preserve">PC-PE-KG01-L21-20251023-AM-ORD-2025-00020-S09</x:t>
  </x:si>
  <x:si>
    <x:t xml:space="preserve">PC-PE-KG01-L21-20251023-AM-ORD-2025-00020-S10</x:t>
  </x:si>
  <x:si>
    <x:t xml:space="preserve">PC-PE-KG01-L21-20251023-AM-ORD-2025-00020-S11</x:t>
  </x:si>
  <x:si>
    <x:t xml:space="preserve">PC-PE-KG01-L21-20251023-AM-ORD-2025-00020-S12</x:t>
  </x:si>
  <x:si>
    <x:t xml:space="preserve">PC-PE-KG01-L21-20251023-AM-ORD-2025-00020-S13</x:t>
  </x:si>
  <x:si>
    <x:t xml:space="preserve">PC-PE-KG01-L21-20251023-PM-ORD-2025-00020-S01</x:t>
  </x:si>
  <x:si>
    <x:t xml:space="preserve">PE-KG01-L21-20251023-PM-ORD-2025-00020</x:t>
  </x:si>
  <x:si>
    <x:t xml:space="preserve">PC-PE-KG01-L21-20251023-PM-ORD-2025-00020-S02</x:t>
  </x:si>
  <x:si>
    <x:t xml:space="preserve">PC-PE-KG01-L21-20251023-PM-ORD-2025-00020-S03</x:t>
  </x:si>
  <x:si>
    <x:t xml:space="preserve">PC-PE-KG01-L21-20251023-PM-ORD-2025-00020-S04</x:t>
  </x:si>
  <x:si>
    <x:t xml:space="preserve">PC-PE-KG01-L21-20251023-PM-ORD-2025-00020-S05</x:t>
  </x:si>
  <x:si>
    <x:t xml:space="preserve">PC-PE-KG01-L21-20251023-PM-ORD-2025-00020-S06</x:t>
  </x:si>
  <x:si>
    <x:t xml:space="preserve">PC-PE-KG01-L21-20251023-PM-ORD-2025-00020-S07</x:t>
  </x:si>
  <x:si>
    <x:t xml:space="preserve">PC-PE-KG01-L21-20251023-PM-ORD-2025-00020-S08</x:t>
  </x:si>
  <x:si>
    <x:t xml:space="preserve">PC-PE-KG01-L21-20251023-PM-ORD-2025-00020-S09</x:t>
  </x:si>
  <x:si>
    <x:t xml:space="preserve">PC-PE-KG01-L21-20251023-PM-ORD-2025-00020-S10</x:t>
  </x:si>
  <x:si>
    <x:t xml:space="preserve">PC-PE-KG01-L21-20251023-PM-ORD-2025-00020-S11</x:t>
  </x:si>
  <x:si>
    <x:t xml:space="preserve">PC-PE-KG01-L21-20251023-PM-ORD-2025-00020-S12</x:t>
  </x:si>
  <x:si>
    <x:t xml:space="preserve">PC-PE-KG01-L21-20251023-PM-ORD-2025-00020-S13</x:t>
  </x:si>
  <x:si>
    <x:t xml:space="preserve">PC-PE-KG01-L21-20251024-AM-ORD-2025-00020-S01</x:t>
  </x:si>
  <x:si>
    <x:t xml:space="preserve">PE-KG01-L21-20251024-AM-ORD-2025-00020</x:t>
  </x:si>
  <x:si>
    <x:t xml:space="preserve">PC-PE-KG01-L21-20251024-AM-ORD-2025-00020-S02</x:t>
  </x:si>
  <x:si>
    <x:t xml:space="preserve">PC-PE-KG01-L21-20251024-AM-ORD-2025-00020-S03</x:t>
  </x:si>
  <x:si>
    <x:t xml:space="preserve">PC-PE-KG01-L21-20251024-AM-ORD-2025-00020-S04</x:t>
  </x:si>
  <x:si>
    <x:t xml:space="preserve">PC-PE-KG01-L21-20251024-AM-ORD-2025-00020-S05</x:t>
  </x:si>
  <x:si>
    <x:t xml:space="preserve">PC-PE-KG01-L21-20251024-AM-ORD-2025-00020-S06</x:t>
  </x:si>
  <x:si>
    <x:t xml:space="preserve">PC-PE-KG01-L21-20251024-AM-ORD-2025-00020-S07</x:t>
  </x:si>
  <x:si>
    <x:t xml:space="preserve">PC-PE-KG01-L21-20251024-AM-ORD-2025-00020-S08</x:t>
  </x:si>
  <x:si>
    <x:t xml:space="preserve">PC-PE-KG01-L21-20251024-AM-ORD-2025-00020-S09</x:t>
  </x:si>
  <x:si>
    <x:t xml:space="preserve">PC-PE-KG01-L21-20251024-AM-ORD-2025-00020-S10</x:t>
  </x:si>
  <x:si>
    <x:t xml:space="preserve">PC-PE-KG01-L21-20251024-AM-ORD-2025-00020-S11</x:t>
  </x:si>
  <x:si>
    <x:t xml:space="preserve">PC-PE-KG01-L21-20251024-AM-ORD-2025-00020-S12</x:t>
  </x:si>
  <x:si>
    <x:t xml:space="preserve">PC-PE-KG01-L21-20251024-AM-ORD-2025-00020-S13</x:t>
  </x:si>
  <x:si>
    <x:t xml:space="preserve">PC-PE-KG01-L21-20251024-PM-ORD-2025-00020-S01</x:t>
  </x:si>
  <x:si>
    <x:t xml:space="preserve">PE-KG01-L21-20251024-PM-ORD-2025-00020</x:t>
  </x:si>
  <x:si>
    <x:t xml:space="preserve">PC-PE-KG01-L21-20251024-PM-ORD-2025-00020-S02</x:t>
  </x:si>
  <x:si>
    <x:t xml:space="preserve">PC-PE-KG01-L21-20251024-PM-ORD-2025-00020-S03</x:t>
  </x:si>
  <x:si>
    <x:t xml:space="preserve">PC-PE-KG01-L21-20251024-PM-ORD-2025-00020-S04</x:t>
  </x:si>
  <x:si>
    <x:t xml:space="preserve">PC-PE-KG01-L21-20251024-PM-ORD-2025-00020-S05</x:t>
  </x:si>
  <x:si>
    <x:t xml:space="preserve">PC-PE-KG01-L21-20251024-PM-ORD-2025-00020-S06</x:t>
  </x:si>
  <x:si>
    <x:t xml:space="preserve">PC-PE-KG01-L21-20251024-PM-ORD-2025-00020-S07</x:t>
  </x:si>
  <x:si>
    <x:t xml:space="preserve">PC-PE-KG01-L21-20251024-PM-ORD-2025-00020-S08</x:t>
  </x:si>
  <x:si>
    <x:t xml:space="preserve">PC-PE-KG01-L21-20251024-PM-ORD-2025-00020-S09</x:t>
  </x:si>
  <x:si>
    <x:t xml:space="preserve">PC-PE-KG01-L21-20251024-PM-ORD-2025-00020-S10</x:t>
  </x:si>
  <x:si>
    <x:t xml:space="preserve">PC-PE-KG01-L21-20251024-PM-ORD-2025-00020-S11</x:t>
  </x:si>
  <x:si>
    <x:t xml:space="preserve">PC-PE-KG01-L21-20251024-PM-ORD-2025-00020-S12</x:t>
  </x:si>
  <x:si>
    <x:t xml:space="preserve">PC-PE-KG01-L21-20251024-PM-ORD-2025-00020-S13</x:t>
  </x:si>
  <x:si>
    <x:t xml:space="preserve">PC-PE-KG01-L21-20251025-AM-ORD-2025-00021-S01</x:t>
  </x:si>
  <x:si>
    <x:t xml:space="preserve">PC-PE-KG01-L21-20251025-AM-ORD-2025-00021-S02</x:t>
  </x:si>
  <x:si>
    <x:t xml:space="preserve">PC-PE-KG01-L21-20251025-AM-ORD-2025-00021-S03</x:t>
  </x:si>
  <x:si>
    <x:t xml:space="preserve">PC-PE-KG01-L21-20251025-AM-ORD-2025-00021-S04</x:t>
  </x:si>
  <x:si>
    <x:t xml:space="preserve">PC-PE-KG01-L21-20251025-AM-ORD-2025-00021-S05</x:t>
  </x:si>
  <x:si>
    <x:t xml:space="preserve">PC-PE-KG01-L21-20251025-AM-ORD-2025-00021-S06</x:t>
  </x:si>
  <x:si>
    <x:t xml:space="preserve">PC-PE-KG01-L21-20251025-AM-ORD-2025-00021-S07</x:t>
  </x:si>
  <x:si>
    <x:t xml:space="preserve">PC-PE-KG01-L21-20251025-AM-ORD-2025-00021-S08</x:t>
  </x:si>
  <x:si>
    <x:t xml:space="preserve">PC-PE-KG01-L21-20251025-AM-ORD-2025-00021-S09</x:t>
  </x:si>
  <x:si>
    <x:t xml:space="preserve">PC-PE-KG01-L21-20251025-AM-ORD-2025-00021-S10</x:t>
  </x:si>
  <x:si>
    <x:t xml:space="preserve">PC-PE-KG01-L21-20251025-AM-ORD-2025-00021-S11</x:t>
  </x:si>
  <x:si>
    <x:t xml:space="preserve">PC-PE-KG01-L21-20251025-AM-ORD-2025-00021-S12</x:t>
  </x:si>
  <x:si>
    <x:t xml:space="preserve">PC-PE-KG01-L21-20251025-AM-ORD-2025-00021-S13</x:t>
  </x:si>
  <x:si>
    <x:t xml:space="preserve">PC-PE-KG01-L21-20251025-PM-ORD-2025-00021-S01</x:t>
  </x:si>
  <x:si>
    <x:t xml:space="preserve">PE-KG01-L21-20251025-PM-ORD-2025-00021</x:t>
  </x:si>
  <x:si>
    <x:t xml:space="preserve">PC-PE-KG01-L21-20251025-PM-ORD-2025-00021-S02</x:t>
  </x:si>
  <x:si>
    <x:t xml:space="preserve">PC-PE-KG01-L21-20251025-PM-ORD-2025-00021-S03</x:t>
  </x:si>
  <x:si>
    <x:t xml:space="preserve">PC-PE-KG01-L21-20251025-PM-ORD-2025-00021-S04</x:t>
  </x:si>
  <x:si>
    <x:t xml:space="preserve">PC-PE-KG01-L21-20251025-PM-ORD-2025-00021-S05</x:t>
  </x:si>
  <x:si>
    <x:t xml:space="preserve">PC-PE-KG01-L21-20251025-PM-ORD-2025-00021-S06</x:t>
  </x:si>
  <x:si>
    <x:t xml:space="preserve">PC-PE-KG01-L21-20251025-PM-ORD-2025-00021-S07</x:t>
  </x:si>
  <x:si>
    <x:t xml:space="preserve">PC-PE-KG01-L21-20251025-PM-ORD-2025-00021-S08</x:t>
  </x:si>
  <x:si>
    <x:t xml:space="preserve">PC-PE-KG01-L21-20251025-PM-ORD-2025-00021-S09</x:t>
  </x:si>
  <x:si>
    <x:t xml:space="preserve">PC-PE-KG01-L21-20251025-PM-ORD-2025-00021-S10</x:t>
  </x:si>
  <x:si>
    <x:t xml:space="preserve">PC-PE-KG01-L21-20251025-PM-ORD-2025-00021-S11</x:t>
  </x:si>
  <x:si>
    <x:t xml:space="preserve">PC-PE-KG01-L21-20251025-PM-ORD-2025-00021-S12</x:t>
  </x:si>
  <x:si>
    <x:t xml:space="preserve">PC-PE-KG01-L21-20251025-PM-ORD-2025-00021-S13</x:t>
  </x:si>
  <x:si>
    <x:t xml:space="preserve">PC-PE-KG01-L21-20251026-AM-ORD-2025-00021-S01</x:t>
  </x:si>
  <x:si>
    <x:t xml:space="preserve">PE-KG01-L21-20251026-AM-ORD-2025-00021</x:t>
  </x:si>
  <x:si>
    <x:t xml:space="preserve">PC-PE-KG01-L21-20251026-AM-ORD-2025-00021-S02</x:t>
  </x:si>
  <x:si>
    <x:t xml:space="preserve">PC-PE-KG01-L21-20251026-AM-ORD-2025-00021-S03</x:t>
  </x:si>
  <x:si>
    <x:t xml:space="preserve">PC-PE-KG01-L21-20251026-AM-ORD-2025-00021-S04</x:t>
  </x:si>
  <x:si>
    <x:t xml:space="preserve">PC-PE-KG01-L21-20251026-AM-ORD-2025-00021-S05</x:t>
  </x:si>
  <x:si>
    <x:t xml:space="preserve">PC-PE-KG01-L21-20251026-AM-ORD-2025-00021-S06</x:t>
  </x:si>
  <x:si>
    <x:t xml:space="preserve">PC-PE-KG01-L21-20251026-AM-ORD-2025-00021-S07</x:t>
  </x:si>
  <x:si>
    <x:t xml:space="preserve">PC-PE-KG01-L21-20251026-AM-ORD-2025-00021-S08</x:t>
  </x:si>
  <x:si>
    <x:t xml:space="preserve">PC-PE-KG01-L21-20251026-AM-ORD-2025-00021-S09</x:t>
  </x:si>
  <x:si>
    <x:t xml:space="preserve">PC-PE-KG01-L21-20251026-AM-ORD-2025-00021-S10</x:t>
  </x:si>
  <x:si>
    <x:t xml:space="preserve">PC-PE-KG01-L21-20251026-AM-ORD-2025-00021-S11</x:t>
  </x:si>
  <x:si>
    <x:t xml:space="preserve">PC-PE-KG01-L21-20251026-AM-ORD-2025-00021-S12</x:t>
  </x:si>
  <x:si>
    <x:t xml:space="preserve">PC-PE-KG01-L21-20251026-AM-ORD-2025-00021-S13</x:t>
  </x:si>
  <x:si>
    <x:t xml:space="preserve">PC-PE-KG01-L21-20251026-PM-ORD-2025-00021-S01</x:t>
  </x:si>
  <x:si>
    <x:t xml:space="preserve">PE-KG01-L21-20251026-PM-ORD-2025-00021</x:t>
  </x:si>
  <x:si>
    <x:t xml:space="preserve">PC-PE-KG01-L21-20251026-PM-ORD-2025-00021-S02</x:t>
  </x:si>
  <x:si>
    <x:t xml:space="preserve">PC-PE-KG01-L21-20251026-PM-ORD-2025-00021-S03</x:t>
  </x:si>
  <x:si>
    <x:t xml:space="preserve">PC-PE-KG01-L21-20251026-PM-ORD-2025-00021-S04</x:t>
  </x:si>
  <x:si>
    <x:t xml:space="preserve">PC-PE-KG01-L21-20251026-PM-ORD-2025-00021-S05</x:t>
  </x:si>
  <x:si>
    <x:t xml:space="preserve">PC-PE-KG01-L21-20251026-PM-ORD-2025-00021-S06</x:t>
  </x:si>
  <x:si>
    <x:t xml:space="preserve">PC-PE-KG01-L21-20251026-PM-ORD-2025-00021-S07</x:t>
  </x:si>
  <x:si>
    <x:t xml:space="preserve">PC-PE-KG01-L21-20251026-PM-ORD-2025-00021-S08</x:t>
  </x:si>
  <x:si>
    <x:t xml:space="preserve">PC-PE-KG01-L21-20251026-PM-ORD-2025-00021-S09</x:t>
  </x:si>
  <x:si>
    <x:t xml:space="preserve">PC-PE-KG01-L21-20251026-PM-ORD-2025-00021-S10</x:t>
  </x:si>
  <x:si>
    <x:t xml:space="preserve">PC-PE-KG01-L21-20251026-PM-ORD-2025-00021-S11</x:t>
  </x:si>
  <x:si>
    <x:t xml:space="preserve">PC-PE-KG01-L21-20251026-PM-ORD-2025-00021-S12</x:t>
  </x:si>
  <x:si>
    <x:t xml:space="preserve">PC-PE-KG01-L21-20251026-PM-ORD-2025-00021-S13</x:t>
  </x:si>
  <x:si>
    <x:t xml:space="preserve">PC-PE-KG01-L22-20251020-AM-ORD-2025-00056-S01</x:t>
  </x:si>
  <x:si>
    <x:t xml:space="preserve">PC-PE-KG01-L22-20251020-AM-ORD-2025-00056-S02</x:t>
  </x:si>
  <x:si>
    <x:t xml:space="preserve">PC-PE-KG01-L22-20251020-AM-ORD-2025-00056-S03</x:t>
  </x:si>
  <x:si>
    <x:t xml:space="preserve">PC-PE-KG01-L22-20251020-AM-ORD-2025-00056-S04</x:t>
  </x:si>
  <x:si>
    <x:t xml:space="preserve">PC-PE-KG01-L22-20251020-AM-ORD-2025-00056-S05</x:t>
  </x:si>
  <x:si>
    <x:t xml:space="preserve">PC-PE-KG01-L22-20251020-AM-ORD-2025-00056-S06</x:t>
  </x:si>
  <x:si>
    <x:t xml:space="preserve">PC-PE-KG01-L22-20251020-AM-ORD-2025-00056-S07</x:t>
  </x:si>
  <x:si>
    <x:t xml:space="preserve">PC-PE-KG01-L22-20251020-AM-ORD-2025-00056-S08</x:t>
  </x:si>
  <x:si>
    <x:t xml:space="preserve">PC-PE-KG01-L22-20251020-AM-ORD-2025-00056-S09</x:t>
  </x:si>
  <x:si>
    <x:t xml:space="preserve">PC-PE-KG01-L22-20251020-AM-ORD-2025-00056-S10</x:t>
  </x:si>
  <x:si>
    <x:t xml:space="preserve">PC-PE-KG01-L22-20251020-AM-ORD-2025-00056-S11</x:t>
  </x:si>
  <x:si>
    <x:t xml:space="preserve">PC-PE-KG01-L22-20251020-AM-ORD-2025-00056-S12</x:t>
  </x:si>
  <x:si>
    <x:t xml:space="preserve">PC-PE-KG01-L22-20251020-AM-ORD-2025-00056-S13</x:t>
  </x:si>
  <x:si>
    <x:t xml:space="preserve">PC-PE-KG01-L22-20251020-PM-ORD-2025-00056-S01</x:t>
  </x:si>
  <x:si>
    <x:t xml:space="preserve">PE-KG01-L22-20251020-PM-ORD-2025-00056</x:t>
  </x:si>
  <x:si>
    <x:t xml:space="preserve">PC-PE-KG01-L22-20251020-PM-ORD-2025-00056-S02</x:t>
  </x:si>
  <x:si>
    <x:t xml:space="preserve">PC-PE-KG01-L22-20251020-PM-ORD-2025-00056-S03</x:t>
  </x:si>
  <x:si>
    <x:t xml:space="preserve">PC-PE-KG01-L22-20251020-PM-ORD-2025-00056-S04</x:t>
  </x:si>
  <x:si>
    <x:t xml:space="preserve">PC-PE-KG01-L22-20251020-PM-ORD-2025-00056-S05</x:t>
  </x:si>
  <x:si>
    <x:t xml:space="preserve">PC-PE-KG01-L22-20251020-PM-ORD-2025-00056-S06</x:t>
  </x:si>
  <x:si>
    <x:t xml:space="preserve">PC-PE-KG01-L22-20251020-PM-ORD-2025-00056-S07</x:t>
  </x:si>
  <x:si>
    <x:t xml:space="preserve">PC-PE-KG01-L22-20251020-PM-ORD-2025-00056-S08</x:t>
  </x:si>
  <x:si>
    <x:t xml:space="preserve">PC-PE-KG01-L22-20251020-PM-ORD-2025-00056-S09</x:t>
  </x:si>
  <x:si>
    <x:t xml:space="preserve">PC-PE-KG01-L22-20251020-PM-ORD-2025-00056-S10</x:t>
  </x:si>
  <x:si>
    <x:t xml:space="preserve">PC-PE-KG01-L22-20251020-PM-ORD-2025-00056-S11</x:t>
  </x:si>
  <x:si>
    <x:t xml:space="preserve">PC-PE-KG01-L22-20251020-PM-ORD-2025-00056-S12</x:t>
  </x:si>
  <x:si>
    <x:t xml:space="preserve">PC-PE-KG01-L22-20251020-PM-ORD-2025-00056-S13</x:t>
  </x:si>
  <x:si>
    <x:t xml:space="preserve">PC-PE-KG01-L22-20251021-AM-ORD-2025-00056-S01</x:t>
  </x:si>
  <x:si>
    <x:t xml:space="preserve">PE-KG01-L22-20251021-AM-ORD-2025-00056</x:t>
  </x:si>
  <x:si>
    <x:t xml:space="preserve">PC-PE-KG01-L22-20251021-AM-ORD-2025-00056-S02</x:t>
  </x:si>
  <x:si>
    <x:t xml:space="preserve">PC-PE-KG01-L22-20251021-AM-ORD-2025-00056-S03</x:t>
  </x:si>
  <x:si>
    <x:t xml:space="preserve">PC-PE-KG01-L22-20251021-AM-ORD-2025-00056-S04</x:t>
  </x:si>
  <x:si>
    <x:t xml:space="preserve">PC-PE-KG01-L22-20251021-AM-ORD-2025-00056-S05</x:t>
  </x:si>
  <x:si>
    <x:t xml:space="preserve">PC-PE-KG01-L22-20251021-AM-ORD-2025-00056-S06</x:t>
  </x:si>
  <x:si>
    <x:t xml:space="preserve">PC-PE-KG01-L22-20251021-AM-ORD-2025-00056-S07</x:t>
  </x:si>
  <x:si>
    <x:t xml:space="preserve">PC-PE-KG01-L22-20251021-AM-ORD-2025-00056-S08</x:t>
  </x:si>
  <x:si>
    <x:t xml:space="preserve">PC-PE-KG01-L22-20251021-AM-ORD-2025-00056-S09</x:t>
  </x:si>
  <x:si>
    <x:t xml:space="preserve">PC-PE-KG01-L22-20251021-AM-ORD-2025-00056-S10</x:t>
  </x:si>
  <x:si>
    <x:t xml:space="preserve">PC-PE-KG01-L22-20251021-AM-ORD-2025-00056-S11</x:t>
  </x:si>
  <x:si>
    <x:t xml:space="preserve">PC-PE-KG01-L22-20251021-AM-ORD-2025-00056-S12</x:t>
  </x:si>
  <x:si>
    <x:t xml:space="preserve">PC-PE-KG01-L22-20251021-AM-ORD-2025-00056-S13</x:t>
  </x:si>
  <x:si>
    <x:t xml:space="preserve">PC-PE-KG01-L22-20251021-PM-ORD-2025-00056-S01</x:t>
  </x:si>
  <x:si>
    <x:t xml:space="preserve">PE-KG01-L22-20251021-PM-ORD-2025-00056</x:t>
  </x:si>
  <x:si>
    <x:t xml:space="preserve">PC-PE-KG01-L22-20251021-PM-ORD-2025-00056-S02</x:t>
  </x:si>
  <x:si>
    <x:t xml:space="preserve">PC-PE-KG01-L22-20251021-PM-ORD-2025-00056-S03</x:t>
  </x:si>
  <x:si>
    <x:t xml:space="preserve">PC-PE-KG01-L22-20251021-PM-ORD-2025-00056-S04</x:t>
  </x:si>
  <x:si>
    <x:t xml:space="preserve">PC-PE-KG01-L22-20251021-PM-ORD-2025-00056-S05</x:t>
  </x:si>
  <x:si>
    <x:t xml:space="preserve">PC-PE-KG01-L22-20251021-PM-ORD-2025-00056-S06</x:t>
  </x:si>
  <x:si>
    <x:t xml:space="preserve">PC-PE-KG01-L22-20251021-PM-ORD-2025-00056-S07</x:t>
  </x:si>
  <x:si>
    <x:t xml:space="preserve">PC-PE-KG01-L22-20251021-PM-ORD-2025-00056-S08</x:t>
  </x:si>
  <x:si>
    <x:t xml:space="preserve">PC-PE-KG01-L22-20251021-PM-ORD-2025-00056-S09</x:t>
  </x:si>
  <x:si>
    <x:t xml:space="preserve">PC-PE-KG01-L22-20251021-PM-ORD-2025-00056-S10</x:t>
  </x:si>
  <x:si>
    <x:t xml:space="preserve">PC-PE-KG01-L22-20251021-PM-ORD-2025-00056-S11</x:t>
  </x:si>
  <x:si>
    <x:t xml:space="preserve">PC-PE-KG01-L22-20251021-PM-ORD-2025-00056-S12</x:t>
  </x:si>
  <x:si>
    <x:t xml:space="preserve">PC-PE-KG01-L22-20251021-PM-ORD-2025-00056-S13</x:t>
  </x:si>
  <x:si>
    <x:t xml:space="preserve">PC-PE-KG01-L22-20251022-AM-ORD-2025-00057-S01</x:t>
  </x:si>
  <x:si>
    <x:t xml:space="preserve">PE-KG01-L22-20251022-AM-ORD-2025-00057</x:t>
  </x:si>
  <x:si>
    <x:t xml:space="preserve">PC-PE-KG01-L22-20251022-AM-ORD-2025-00057-S02</x:t>
  </x:si>
  <x:si>
    <x:t xml:space="preserve">PC-PE-KG01-L22-20251022-AM-ORD-2025-00057-S03</x:t>
  </x:si>
  <x:si>
    <x:t xml:space="preserve">PC-PE-KG01-L22-20251022-AM-ORD-2025-00057-S04</x:t>
  </x:si>
  <x:si>
    <x:t xml:space="preserve">PC-PE-KG01-L22-20251022-AM-ORD-2025-00057-S05</x:t>
  </x:si>
  <x:si>
    <x:t xml:space="preserve">PC-PE-KG01-L22-20251022-AM-ORD-2025-00057-S06</x:t>
  </x:si>
  <x:si>
    <x:t xml:space="preserve">PC-PE-KG01-L22-20251022-AM-ORD-2025-00057-S07</x:t>
  </x:si>
  <x:si>
    <x:t xml:space="preserve">PC-PE-KG01-L22-20251022-AM-ORD-2025-00057-S08</x:t>
  </x:si>
  <x:si>
    <x:t xml:space="preserve">PC-PE-KG01-L22-20251022-AM-ORD-2025-00057-S09</x:t>
  </x:si>
  <x:si>
    <x:t xml:space="preserve">PC-PE-KG01-L22-20251022-AM-ORD-2025-00057-S10</x:t>
  </x:si>
  <x:si>
    <x:t xml:space="preserve">PC-PE-KG01-L22-20251022-AM-ORD-2025-00057-S11</x:t>
  </x:si>
  <x:si>
    <x:t xml:space="preserve">PC-PE-KG01-L22-20251022-AM-ORD-2025-00057-S12</x:t>
  </x:si>
  <x:si>
    <x:t xml:space="preserve">PC-PE-KG01-L22-20251022-AM-ORD-2025-00057-S13</x:t>
  </x:si>
  <x:si>
    <x:t xml:space="preserve">PC-PE-KG01-L22-20251022-PM-ORD-2025-00057-S01</x:t>
  </x:si>
  <x:si>
    <x:t xml:space="preserve">PE-KG01-L22-20251022-PM-ORD-2025-00057</x:t>
  </x:si>
  <x:si>
    <x:t xml:space="preserve">PC-PE-KG01-L22-20251022-PM-ORD-2025-00057-S02</x:t>
  </x:si>
  <x:si>
    <x:t xml:space="preserve">PC-PE-KG01-L22-20251022-PM-ORD-2025-00057-S03</x:t>
  </x:si>
  <x:si>
    <x:t xml:space="preserve">PC-PE-KG01-L22-20251022-PM-ORD-2025-00057-S04</x:t>
  </x:si>
  <x:si>
    <x:t xml:space="preserve">PC-PE-KG01-L22-20251022-PM-ORD-2025-00057-S05</x:t>
  </x:si>
  <x:si>
    <x:t xml:space="preserve">PC-PE-KG01-L22-20251022-PM-ORD-2025-00057-S06</x:t>
  </x:si>
  <x:si>
    <x:t xml:space="preserve">PC-PE-KG01-L22-20251022-PM-ORD-2025-00057-S07</x:t>
  </x:si>
  <x:si>
    <x:t xml:space="preserve">PC-PE-KG01-L22-20251022-PM-ORD-2025-00057-S08</x:t>
  </x:si>
  <x:si>
    <x:t xml:space="preserve">PC-PE-KG01-L22-20251022-PM-ORD-2025-00057-S09</x:t>
  </x:si>
  <x:si>
    <x:t xml:space="preserve">PC-PE-KG01-L22-20251022-PM-ORD-2025-00057-S10</x:t>
  </x:si>
  <x:si>
    <x:t xml:space="preserve">PC-PE-KG01-L22-20251022-PM-ORD-2025-00057-S11</x:t>
  </x:si>
  <x:si>
    <x:t xml:space="preserve">PC-PE-KG01-L22-20251022-PM-ORD-2025-00057-S12</x:t>
  </x:si>
  <x:si>
    <x:t xml:space="preserve">PC-PE-KG01-L22-20251022-PM-ORD-2025-00057-S13</x:t>
  </x:si>
  <x:si>
    <x:t xml:space="preserve">PC-PE-KG01-L22-20251023-AM-ORD-2025-00057-S01</x:t>
  </x:si>
  <x:si>
    <x:t xml:space="preserve">PE-KG01-L22-20251023-AM-ORD-2025-00057</x:t>
  </x:si>
  <x:si>
    <x:t xml:space="preserve">PC-PE-KG01-L22-20251023-AM-ORD-2025-00057-S02</x:t>
  </x:si>
  <x:si>
    <x:t xml:space="preserve">PC-PE-KG01-L22-20251023-AM-ORD-2025-00057-S03</x:t>
  </x:si>
  <x:si>
    <x:t xml:space="preserve">PC-PE-KG01-L22-20251023-AM-ORD-2025-00057-S04</x:t>
  </x:si>
  <x:si>
    <x:t xml:space="preserve">PC-PE-KG01-L22-20251023-AM-ORD-2025-00057-S05</x:t>
  </x:si>
  <x:si>
    <x:t xml:space="preserve">PC-PE-KG01-L22-20251023-AM-ORD-2025-00057-S06</x:t>
  </x:si>
  <x:si>
    <x:t xml:space="preserve">PC-PE-KG01-L22-20251023-AM-ORD-2025-00057-S07</x:t>
  </x:si>
  <x:si>
    <x:t xml:space="preserve">PC-PE-KG01-L22-20251023-AM-ORD-2025-00057-S08</x:t>
  </x:si>
  <x:si>
    <x:t xml:space="preserve">PC-PE-KG01-L22-20251023-AM-ORD-2025-00057-S09</x:t>
  </x:si>
  <x:si>
    <x:t xml:space="preserve">PC-PE-KG01-L22-20251023-AM-ORD-2025-00057-S10</x:t>
  </x:si>
  <x:si>
    <x:t xml:space="preserve">PC-PE-KG01-L22-20251023-AM-ORD-2025-00057-S11</x:t>
  </x:si>
  <x:si>
    <x:t xml:space="preserve">PC-PE-KG01-L22-20251023-AM-ORD-2025-00057-S12</x:t>
  </x:si>
  <x:si>
    <x:t xml:space="preserve">PC-PE-KG01-L22-20251023-AM-ORD-2025-00057-S13</x:t>
  </x:si>
  <x:si>
    <x:t xml:space="preserve">PC-PE-KG01-L22-20251023-PM-ORD-2025-00057-S01</x:t>
  </x:si>
  <x:si>
    <x:t xml:space="preserve">PE-KG01-L22-20251023-PM-ORD-2025-00057</x:t>
  </x:si>
  <x:si>
    <x:t xml:space="preserve">PC-PE-KG01-L22-20251023-PM-ORD-2025-00057-S02</x:t>
  </x:si>
  <x:si>
    <x:t xml:space="preserve">PC-PE-KG01-L22-20251023-PM-ORD-2025-00057-S03</x:t>
  </x:si>
  <x:si>
    <x:t xml:space="preserve">PC-PE-KG01-L22-20251023-PM-ORD-2025-00057-S04</x:t>
  </x:si>
  <x:si>
    <x:t xml:space="preserve">PC-PE-KG01-L22-20251023-PM-ORD-2025-00057-S05</x:t>
  </x:si>
  <x:si>
    <x:t xml:space="preserve">PC-PE-KG01-L22-20251023-PM-ORD-2025-00057-S06</x:t>
  </x:si>
  <x:si>
    <x:t xml:space="preserve">PC-PE-KG01-L22-20251023-PM-ORD-2025-00057-S07</x:t>
  </x:si>
  <x:si>
    <x:t xml:space="preserve">PC-PE-KG01-L22-20251023-PM-ORD-2025-00057-S08</x:t>
  </x:si>
  <x:si>
    <x:t xml:space="preserve">PC-PE-KG01-L22-20251023-PM-ORD-2025-00057-S09</x:t>
  </x:si>
  <x:si>
    <x:t xml:space="preserve">PC-PE-KG01-L22-20251023-PM-ORD-2025-00057-S10</x:t>
  </x:si>
  <x:si>
    <x:t xml:space="preserve">PC-PE-KG01-L22-20251023-PM-ORD-2025-00057-S11</x:t>
  </x:si>
  <x:si>
    <x:t xml:space="preserve">PC-PE-KG01-L22-20251023-PM-ORD-2025-00057-S12</x:t>
  </x:si>
  <x:si>
    <x:t xml:space="preserve">PC-PE-KG01-L22-20251023-PM-ORD-2025-00057-S13</x:t>
  </x:si>
  <x:si>
    <x:t xml:space="preserve">PC-PE-KG01-L22-20251024-AM-ORD-2025-00057-S01</x:t>
  </x:si>
  <x:si>
    <x:t xml:space="preserve">PE-KG01-L22-20251024-AM-ORD-2025-00057</x:t>
  </x:si>
  <x:si>
    <x:t xml:space="preserve">PC-PE-KG01-L22-20251024-AM-ORD-2025-00057-S02</x:t>
  </x:si>
  <x:si>
    <x:t xml:space="preserve">PC-PE-KG01-L22-20251024-AM-ORD-2025-00057-S03</x:t>
  </x:si>
  <x:si>
    <x:t xml:space="preserve">PC-PE-KG01-L22-20251024-AM-ORD-2025-00057-S04</x:t>
  </x:si>
  <x:si>
    <x:t xml:space="preserve">PC-PE-KG01-L22-20251024-AM-ORD-2025-00057-S05</x:t>
  </x:si>
  <x:si>
    <x:t xml:space="preserve">PC-PE-KG01-L22-20251024-AM-ORD-2025-00057-S06</x:t>
  </x:si>
  <x:si>
    <x:t xml:space="preserve">PC-PE-KG01-L22-20251024-AM-ORD-2025-00057-S07</x:t>
  </x:si>
  <x:si>
    <x:t xml:space="preserve">PC-PE-KG01-L22-20251024-AM-ORD-2025-00057-S08</x:t>
  </x:si>
  <x:si>
    <x:t xml:space="preserve">PC-PE-KG01-L22-20251024-AM-ORD-2025-00057-S09</x:t>
  </x:si>
  <x:si>
    <x:t xml:space="preserve">PC-PE-KG01-L22-20251024-AM-ORD-2025-00057-S10</x:t>
  </x:si>
  <x:si>
    <x:t xml:space="preserve">PC-PE-KG01-L22-20251024-AM-ORD-2025-00057-S11</x:t>
  </x:si>
  <x:si>
    <x:t xml:space="preserve">PC-PE-KG01-L22-20251024-AM-ORD-2025-00057-S12</x:t>
  </x:si>
  <x:si>
    <x:t xml:space="preserve">PC-PE-KG01-L22-20251024-AM-ORD-2025-00057-S13</x:t>
  </x:si>
  <x:si>
    <x:t xml:space="preserve">PC-PE-KG01-L22-20251024-PM-ORD-2025-00057-S01</x:t>
  </x:si>
  <x:si>
    <x:t xml:space="preserve">PE-KG01-L22-20251024-PM-ORD-2025-00057</x:t>
  </x:si>
  <x:si>
    <x:t xml:space="preserve">PC-PE-KG01-L22-20251024-PM-ORD-2025-00057-S02</x:t>
  </x:si>
  <x:si>
    <x:t xml:space="preserve">PC-PE-KG01-L22-20251024-PM-ORD-2025-00057-S03</x:t>
  </x:si>
  <x:si>
    <x:t xml:space="preserve">PC-PE-KG01-L22-20251024-PM-ORD-2025-00057-S04</x:t>
  </x:si>
  <x:si>
    <x:t xml:space="preserve">PC-PE-KG01-L22-20251024-PM-ORD-2025-00057-S05</x:t>
  </x:si>
  <x:si>
    <x:t xml:space="preserve">PC-PE-KG01-L22-20251024-PM-ORD-2025-00057-S06</x:t>
  </x:si>
  <x:si>
    <x:t xml:space="preserve">PC-PE-KG01-L22-20251024-PM-ORD-2025-00057-S07</x:t>
  </x:si>
  <x:si>
    <x:t xml:space="preserve">PC-PE-KG01-L22-20251024-PM-ORD-2025-00057-S08</x:t>
  </x:si>
  <x:si>
    <x:t xml:space="preserve">PC-PE-KG01-L22-20251024-PM-ORD-2025-00057-S09</x:t>
  </x:si>
  <x:si>
    <x:t xml:space="preserve">PC-PE-KG01-L22-20251024-PM-ORD-2025-00057-S10</x:t>
  </x:si>
  <x:si>
    <x:t xml:space="preserve">PC-PE-KG01-L22-20251024-PM-ORD-2025-00057-S11</x:t>
  </x:si>
  <x:si>
    <x:t xml:space="preserve">PC-PE-KG01-L22-20251024-PM-ORD-2025-00057-S12</x:t>
  </x:si>
  <x:si>
    <x:t xml:space="preserve">PC-PE-KG01-L22-20251024-PM-ORD-2025-00057-S13</x:t>
  </x:si>
  <x:si>
    <x:t xml:space="preserve">PC-PE-KG01-L22-20251025-AM-ORD-2025-00057-S01</x:t>
  </x:si>
  <x:si>
    <x:t xml:space="preserve">PE-KG01-L22-20251025-AM-ORD-2025-00057</x:t>
  </x:si>
  <x:si>
    <x:t xml:space="preserve">PC-PE-KG01-L22-20251025-AM-ORD-2025-00057-S02</x:t>
  </x:si>
  <x:si>
    <x:t xml:space="preserve">PC-PE-KG01-L22-20251025-AM-ORD-2025-00057-S03</x:t>
  </x:si>
  <x:si>
    <x:t xml:space="preserve">PC-PE-KG01-L22-20251025-AM-ORD-2025-00057-S04</x:t>
  </x:si>
  <x:si>
    <x:t xml:space="preserve">PC-PE-KG01-L22-20251025-AM-ORD-2025-00057-S05</x:t>
  </x:si>
  <x:si>
    <x:t xml:space="preserve">PC-PE-KG01-L22-20251025-AM-ORD-2025-00057-S06</x:t>
  </x:si>
  <x:si>
    <x:t xml:space="preserve">PC-PE-KG01-L22-20251025-AM-ORD-2025-00057-S07</x:t>
  </x:si>
  <x:si>
    <x:t xml:space="preserve">PC-PE-KG01-L22-20251025-AM-ORD-2025-00057-S08</x:t>
  </x:si>
  <x:si>
    <x:t xml:space="preserve">PC-PE-KG01-L22-20251025-AM-ORD-2025-00057-S09</x:t>
  </x:si>
  <x:si>
    <x:t xml:space="preserve">PC-PE-KG01-L22-20251025-AM-ORD-2025-00057-S10</x:t>
  </x:si>
  <x:si>
    <x:t xml:space="preserve">PC-PE-KG01-L22-20251025-AM-ORD-2025-00057-S11</x:t>
  </x:si>
  <x:si>
    <x:t xml:space="preserve">PC-PE-KG01-L22-20251025-AM-ORD-2025-00057-S12</x:t>
  </x:si>
  <x:si>
    <x:t xml:space="preserve">PC-PE-KG01-L22-20251025-AM-ORD-2025-00057-S13</x:t>
  </x:si>
  <x:si>
    <x:t xml:space="preserve">PC-PE-KG01-L22-20251025-PM-ORD-2025-00057-S01</x:t>
  </x:si>
  <x:si>
    <x:t xml:space="preserve">PE-KG01-L22-20251025-PM-ORD-2025-00057</x:t>
  </x:si>
  <x:si>
    <x:t xml:space="preserve">PC-PE-KG01-L22-20251025-PM-ORD-2025-00057-S02</x:t>
  </x:si>
  <x:si>
    <x:t xml:space="preserve">PC-PE-KG01-L22-20251025-PM-ORD-2025-00057-S03</x:t>
  </x:si>
  <x:si>
    <x:t xml:space="preserve">PC-PE-KG01-L22-20251025-PM-ORD-2025-00057-S04</x:t>
  </x:si>
  <x:si>
    <x:t xml:space="preserve">PC-PE-KG01-L22-20251025-PM-ORD-2025-00057-S05</x:t>
  </x:si>
  <x:si>
    <x:t xml:space="preserve">PC-PE-KG01-L22-20251025-PM-ORD-2025-00057-S06</x:t>
  </x:si>
  <x:si>
    <x:t xml:space="preserve">PC-PE-KG01-L22-20251025-PM-ORD-2025-00057-S07</x:t>
  </x:si>
  <x:si>
    <x:t xml:space="preserve">PC-PE-KG01-L22-20251025-PM-ORD-2025-00057-S08</x:t>
  </x:si>
  <x:si>
    <x:t xml:space="preserve">PC-PE-KG01-L22-20251025-PM-ORD-2025-00057-S09</x:t>
  </x:si>
  <x:si>
    <x:t xml:space="preserve">PC-PE-KG01-L22-20251025-PM-ORD-2025-00057-S10</x:t>
  </x:si>
  <x:si>
    <x:t xml:space="preserve">PC-PE-KG01-L22-20251025-PM-ORD-2025-00057-S11</x:t>
  </x:si>
  <x:si>
    <x:t xml:space="preserve">PC-PE-KG01-L22-20251025-PM-ORD-2025-00057-S12</x:t>
  </x:si>
  <x:si>
    <x:t xml:space="preserve">PC-PE-KG01-L22-20251025-PM-ORD-2025-00057-S13</x:t>
  </x:si>
  <x:si>
    <x:t xml:space="preserve">PC-PE-KG01-L22-20251026-AM-ORD-2025-00058-S01</x:t>
  </x:si>
  <x:si>
    <x:t xml:space="preserve">PC-PE-KG01-L22-20251026-AM-ORD-2025-00058-S02</x:t>
  </x:si>
  <x:si>
    <x:t xml:space="preserve">PC-PE-KG01-L22-20251026-AM-ORD-2025-00058-S03</x:t>
  </x:si>
  <x:si>
    <x:t xml:space="preserve">PC-PE-KG01-L22-20251026-AM-ORD-2025-00058-S04</x:t>
  </x:si>
  <x:si>
    <x:t xml:space="preserve">PC-PE-KG01-L22-20251026-AM-ORD-2025-00058-S05</x:t>
  </x:si>
  <x:si>
    <x:t xml:space="preserve">PC-PE-KG01-L22-20251026-AM-ORD-2025-00058-S06</x:t>
  </x:si>
  <x:si>
    <x:t xml:space="preserve">PC-PE-KG01-L22-20251026-AM-ORD-2025-00058-S07</x:t>
  </x:si>
  <x:si>
    <x:t xml:space="preserve">PC-PE-KG01-L22-20251026-AM-ORD-2025-00058-S08</x:t>
  </x:si>
  <x:si>
    <x:t xml:space="preserve">PC-PE-KG01-L22-20251026-AM-ORD-2025-00058-S09</x:t>
  </x:si>
  <x:si>
    <x:t xml:space="preserve">PC-PE-KG01-L22-20251026-AM-ORD-2025-00058-S10</x:t>
  </x:si>
  <x:si>
    <x:t xml:space="preserve">PC-PE-KG01-L22-20251026-AM-ORD-2025-00058-S11</x:t>
  </x:si>
  <x:si>
    <x:t xml:space="preserve">PC-PE-KG01-L22-20251026-AM-ORD-2025-00058-S12</x:t>
  </x:si>
  <x:si>
    <x:t xml:space="preserve">PC-PE-KG01-L22-20251026-AM-ORD-2025-00058-S13</x:t>
  </x:si>
  <x:si>
    <x:t xml:space="preserve">PC-PE-KG01-L22-20251026-PM-ORD-2025-00058-S01</x:t>
  </x:si>
  <x:si>
    <x:t xml:space="preserve">PE-KG01-L22-20251026-PM-ORD-2025-00058</x:t>
  </x:si>
  <x:si>
    <x:t xml:space="preserve">PC-PE-KG01-L22-20251026-PM-ORD-2025-00058-S02</x:t>
  </x:si>
  <x:si>
    <x:t xml:space="preserve">PC-PE-KG01-L22-20251026-PM-ORD-2025-00058-S03</x:t>
  </x:si>
  <x:si>
    <x:t xml:space="preserve">PC-PE-KG01-L22-20251026-PM-ORD-2025-00058-S04</x:t>
  </x:si>
  <x:si>
    <x:t xml:space="preserve">PC-PE-KG01-L22-20251026-PM-ORD-2025-00058-S05</x:t>
  </x:si>
  <x:si>
    <x:t xml:space="preserve">PC-PE-KG01-L22-20251026-PM-ORD-2025-00058-S06</x:t>
  </x:si>
  <x:si>
    <x:t xml:space="preserve">PC-PE-KG01-L22-20251026-PM-ORD-2025-00058-S07</x:t>
  </x:si>
  <x:si>
    <x:t xml:space="preserve">PC-PE-KG01-L22-20251026-PM-ORD-2025-00058-S08</x:t>
  </x:si>
  <x:si>
    <x:t xml:space="preserve">PC-PE-KG01-L22-20251026-PM-ORD-2025-00058-S09</x:t>
  </x:si>
  <x:si>
    <x:t xml:space="preserve">PC-PE-KG01-L22-20251026-PM-ORD-2025-00058-S10</x:t>
  </x:si>
  <x:si>
    <x:t xml:space="preserve">PC-PE-KG01-L22-20251026-PM-ORD-2025-00058-S11</x:t>
  </x:si>
  <x:si>
    <x:t xml:space="preserve">PC-PE-KG01-L22-20251026-PM-ORD-2025-00058-S12</x:t>
  </x:si>
  <x:si>
    <x:t xml:space="preserve">PC-PE-KG01-L22-20251026-PM-ORD-2025-00058-S13</x:t>
  </x:si>
  <x:si>
    <x:t xml:space="preserve">PC-PE-KG01-L23-20251020-AM-ORD-2025-00092-S01</x:t>
  </x:si>
  <x:si>
    <x:t xml:space="preserve">PE-KG01-L23-20251020-AM-ORD-2025-00092</x:t>
  </x:si>
  <x:si>
    <x:t xml:space="preserve">PC-PE-KG01-L23-20251020-AM-ORD-2025-00092-S02</x:t>
  </x:si>
  <x:si>
    <x:t xml:space="preserve">PC-PE-KG01-L23-20251020-AM-ORD-2025-00092-S03</x:t>
  </x:si>
  <x:si>
    <x:t xml:space="preserve">PC-PE-KG01-L23-20251020-AM-ORD-2025-00092-S04</x:t>
  </x:si>
  <x:si>
    <x:t xml:space="preserve">PC-PE-KG01-L23-20251020-AM-ORD-2025-00092-S05</x:t>
  </x:si>
  <x:si>
    <x:t xml:space="preserve">PC-PE-KG01-L23-20251020-AM-ORD-2025-00092-S06</x:t>
  </x:si>
  <x:si>
    <x:t xml:space="preserve">PC-PE-KG01-L23-20251020-AM-ORD-2025-00092-S07</x:t>
  </x:si>
  <x:si>
    <x:t xml:space="preserve">PC-PE-KG01-L23-20251020-AM-ORD-2025-00092-S08</x:t>
  </x:si>
  <x:si>
    <x:t xml:space="preserve">PC-PE-KG01-L23-20251020-AM-ORD-2025-00092-S09</x:t>
  </x:si>
  <x:si>
    <x:t xml:space="preserve">PC-PE-KG01-L23-20251020-AM-ORD-2025-00092-S10</x:t>
  </x:si>
  <x:si>
    <x:t xml:space="preserve">PC-PE-KG01-L23-20251020-AM-ORD-2025-00092-S11</x:t>
  </x:si>
  <x:si>
    <x:t xml:space="preserve">PC-PE-KG01-L23-20251020-AM-ORD-2025-00092-S12</x:t>
  </x:si>
  <x:si>
    <x:t xml:space="preserve">PC-PE-KG01-L23-20251020-AM-ORD-2025-00092-S13</x:t>
  </x:si>
  <x:si>
    <x:t xml:space="preserve">PC-PE-KG01-L23-20251020-PM-ORD-2025-00092-S01</x:t>
  </x:si>
  <x:si>
    <x:t xml:space="preserve">PE-KG01-L23-20251020-PM-ORD-2025-00092</x:t>
  </x:si>
  <x:si>
    <x:t xml:space="preserve">PC-PE-KG01-L23-20251020-PM-ORD-2025-00092-S02</x:t>
  </x:si>
  <x:si>
    <x:t xml:space="preserve">PC-PE-KG01-L23-20251020-PM-ORD-2025-00092-S03</x:t>
  </x:si>
  <x:si>
    <x:t xml:space="preserve">PC-PE-KG01-L23-20251020-PM-ORD-2025-00092-S04</x:t>
  </x:si>
  <x:si>
    <x:t xml:space="preserve">PC-PE-KG01-L23-20251020-PM-ORD-2025-00092-S05</x:t>
  </x:si>
  <x:si>
    <x:t xml:space="preserve">PC-PE-KG01-L23-20251020-PM-ORD-2025-00092-S06</x:t>
  </x:si>
  <x:si>
    <x:t xml:space="preserve">PC-PE-KG01-L23-20251020-PM-ORD-2025-00092-S07</x:t>
  </x:si>
  <x:si>
    <x:t xml:space="preserve">PC-PE-KG01-L23-20251020-PM-ORD-2025-00092-S08</x:t>
  </x:si>
  <x:si>
    <x:t xml:space="preserve">PC-PE-KG01-L23-20251020-PM-ORD-2025-00092-S09</x:t>
  </x:si>
  <x:si>
    <x:t xml:space="preserve">PC-PE-KG01-L23-20251020-PM-ORD-2025-00092-S10</x:t>
  </x:si>
  <x:si>
    <x:t xml:space="preserve">PC-PE-KG01-L23-20251020-PM-ORD-2025-00092-S11</x:t>
  </x:si>
  <x:si>
    <x:t xml:space="preserve">PC-PE-KG01-L23-20251020-PM-ORD-2025-00092-S12</x:t>
  </x:si>
  <x:si>
    <x:t xml:space="preserve">PC-PE-KG01-L23-20251020-PM-ORD-2025-00092-S13</x:t>
  </x:si>
  <x:si>
    <x:t xml:space="preserve">PC-PE-KG01-L23-20251021-AM-ORD-2025-00092-S01</x:t>
  </x:si>
  <x:si>
    <x:t xml:space="preserve">PE-KG01-L23-20251021-AM-ORD-2025-00092</x:t>
  </x:si>
  <x:si>
    <x:t xml:space="preserve">PC-PE-KG01-L23-20251021-AM-ORD-2025-00092-S02</x:t>
  </x:si>
  <x:si>
    <x:t xml:space="preserve">PC-PE-KG01-L23-20251021-AM-ORD-2025-00092-S03</x:t>
  </x:si>
  <x:si>
    <x:t xml:space="preserve">PC-PE-KG01-L23-20251021-AM-ORD-2025-00092-S04</x:t>
  </x:si>
  <x:si>
    <x:t xml:space="preserve">PC-PE-KG01-L23-20251021-AM-ORD-2025-00092-S05</x:t>
  </x:si>
  <x:si>
    <x:t xml:space="preserve">PC-PE-KG01-L23-20251021-AM-ORD-2025-00092-S06</x:t>
  </x:si>
  <x:si>
    <x:t xml:space="preserve">PC-PE-KG01-L23-20251021-AM-ORD-2025-00092-S07</x:t>
  </x:si>
  <x:si>
    <x:t xml:space="preserve">PC-PE-KG01-L23-20251021-AM-ORD-2025-00092-S08</x:t>
  </x:si>
  <x:si>
    <x:t xml:space="preserve">PC-PE-KG01-L23-20251021-AM-ORD-2025-00092-S09</x:t>
  </x:si>
  <x:si>
    <x:t xml:space="preserve">PC-PE-KG01-L23-20251021-AM-ORD-2025-00092-S10</x:t>
  </x:si>
  <x:si>
    <x:t xml:space="preserve">PC-PE-KG01-L23-20251021-AM-ORD-2025-00092-S11</x:t>
  </x:si>
  <x:si>
    <x:t xml:space="preserve">PC-PE-KG01-L23-20251021-AM-ORD-2025-00092-S12</x:t>
  </x:si>
  <x:si>
    <x:t xml:space="preserve">PC-PE-KG01-L23-20251021-AM-ORD-2025-00092-S13</x:t>
  </x:si>
  <x:si>
    <x:t xml:space="preserve">PC-PE-KG01-L23-20251021-PM-ORD-2025-00092-S01</x:t>
  </x:si>
  <x:si>
    <x:t xml:space="preserve">PE-KG01-L23-20251021-PM-ORD-2025-00092</x:t>
  </x:si>
  <x:si>
    <x:t xml:space="preserve">PC-PE-KG01-L23-20251021-PM-ORD-2025-00092-S02</x:t>
  </x:si>
  <x:si>
    <x:t xml:space="preserve">PC-PE-KG01-L23-20251021-PM-ORD-2025-00092-S03</x:t>
  </x:si>
  <x:si>
    <x:t xml:space="preserve">PC-PE-KG01-L23-20251021-PM-ORD-2025-00092-S04</x:t>
  </x:si>
  <x:si>
    <x:t xml:space="preserve">PC-PE-KG01-L23-20251021-PM-ORD-2025-00092-S05</x:t>
  </x:si>
  <x:si>
    <x:t xml:space="preserve">PC-PE-KG01-L23-20251021-PM-ORD-2025-00092-S06</x:t>
  </x:si>
  <x:si>
    <x:t xml:space="preserve">PC-PE-KG01-L23-20251021-PM-ORD-2025-00092-S07</x:t>
  </x:si>
  <x:si>
    <x:t xml:space="preserve">PC-PE-KG01-L23-20251021-PM-ORD-2025-00092-S08</x:t>
  </x:si>
  <x:si>
    <x:t xml:space="preserve">PC-PE-KG01-L23-20251021-PM-ORD-2025-00092-S09</x:t>
  </x:si>
  <x:si>
    <x:t xml:space="preserve">PC-PE-KG01-L23-20251021-PM-ORD-2025-00092-S10</x:t>
  </x:si>
  <x:si>
    <x:t xml:space="preserve">PC-PE-KG01-L23-20251021-PM-ORD-2025-00092-S11</x:t>
  </x:si>
  <x:si>
    <x:t xml:space="preserve">PC-PE-KG01-L23-20251021-PM-ORD-2025-00092-S12</x:t>
  </x:si>
  <x:si>
    <x:t xml:space="preserve">PC-PE-KG01-L23-20251021-PM-ORD-2025-00092-S13</x:t>
  </x:si>
  <x:si>
    <x:t xml:space="preserve">PC-PE-KG01-L23-20251022-AM-ORD-2025-00093-S01</x:t>
  </x:si>
  <x:si>
    <x:t xml:space="preserve">PC-PE-KG01-L23-20251022-AM-ORD-2025-00093-S02</x:t>
  </x:si>
  <x:si>
    <x:t xml:space="preserve">PC-PE-KG01-L23-20251022-AM-ORD-2025-00093-S03</x:t>
  </x:si>
  <x:si>
    <x:t xml:space="preserve">PC-PE-KG01-L23-20251022-AM-ORD-2025-00093-S04</x:t>
  </x:si>
  <x:si>
    <x:t xml:space="preserve">PC-PE-KG01-L23-20251022-AM-ORD-2025-00093-S05</x:t>
  </x:si>
  <x:si>
    <x:t xml:space="preserve">PC-PE-KG01-L23-20251022-AM-ORD-2025-00093-S06</x:t>
  </x:si>
  <x:si>
    <x:t xml:space="preserve">PC-PE-KG01-L23-20251022-AM-ORD-2025-00093-S07</x:t>
  </x:si>
  <x:si>
    <x:t xml:space="preserve">PC-PE-KG01-L23-20251022-AM-ORD-2025-00093-S08</x:t>
  </x:si>
  <x:si>
    <x:t xml:space="preserve">PC-PE-KG01-L23-20251022-AM-ORD-2025-00093-S09</x:t>
  </x:si>
  <x:si>
    <x:t xml:space="preserve">PC-PE-KG01-L23-20251022-AM-ORD-2025-00093-S10</x:t>
  </x:si>
  <x:si>
    <x:t xml:space="preserve">PC-PE-KG01-L23-20251022-AM-ORD-2025-00093-S11</x:t>
  </x:si>
  <x:si>
    <x:t xml:space="preserve">PC-PE-KG01-L23-20251022-AM-ORD-2025-00093-S12</x:t>
  </x:si>
  <x:si>
    <x:t xml:space="preserve">PC-PE-KG01-L23-20251022-AM-ORD-2025-00093-S13</x:t>
  </x:si>
  <x:si>
    <x:t xml:space="preserve">PC-PE-KG01-L23-20251022-PM-ORD-2025-00093-S01</x:t>
  </x:si>
  <x:si>
    <x:t xml:space="preserve">PE-KG01-L23-20251022-PM-ORD-2025-00093</x:t>
  </x:si>
  <x:si>
    <x:t xml:space="preserve">PC-PE-KG01-L23-20251022-PM-ORD-2025-00093-S02</x:t>
  </x:si>
  <x:si>
    <x:t xml:space="preserve">PC-PE-KG01-L23-20251022-PM-ORD-2025-00093-S03</x:t>
  </x:si>
  <x:si>
    <x:t xml:space="preserve">PC-PE-KG01-L23-20251022-PM-ORD-2025-00093-S04</x:t>
  </x:si>
  <x:si>
    <x:t xml:space="preserve">PC-PE-KG01-L23-20251022-PM-ORD-2025-00093-S05</x:t>
  </x:si>
  <x:si>
    <x:t xml:space="preserve">PC-PE-KG01-L23-20251022-PM-ORD-2025-00093-S06</x:t>
  </x:si>
  <x:si>
    <x:t xml:space="preserve">PC-PE-KG01-L23-20251022-PM-ORD-2025-00093-S07</x:t>
  </x:si>
  <x:si>
    <x:t xml:space="preserve">PC-PE-KG01-L23-20251022-PM-ORD-2025-00093-S08</x:t>
  </x:si>
  <x:si>
    <x:t xml:space="preserve">PC-PE-KG01-L23-20251022-PM-ORD-2025-00093-S09</x:t>
  </x:si>
  <x:si>
    <x:t xml:space="preserve">PC-PE-KG01-L23-20251022-PM-ORD-2025-00093-S10</x:t>
  </x:si>
  <x:si>
    <x:t xml:space="preserve">PC-PE-KG01-L23-20251022-PM-ORD-2025-00093-S11</x:t>
  </x:si>
  <x:si>
    <x:t xml:space="preserve">PC-PE-KG01-L23-20251022-PM-ORD-2025-00093-S12</x:t>
  </x:si>
  <x:si>
    <x:t xml:space="preserve">PC-PE-KG01-L23-20251022-PM-ORD-2025-00093-S13</x:t>
  </x:si>
  <x:si>
    <x:t xml:space="preserve">PC-PE-KG01-L23-20251023-AM-ORD-2025-00093-S01</x:t>
  </x:si>
  <x:si>
    <x:t xml:space="preserve">PE-KG01-L23-20251023-AM-ORD-2025-00093</x:t>
  </x:si>
  <x:si>
    <x:t xml:space="preserve">PC-PE-KG01-L23-20251023-AM-ORD-2025-00093-S02</x:t>
  </x:si>
  <x:si>
    <x:t xml:space="preserve">PC-PE-KG01-L23-20251023-AM-ORD-2025-00093-S03</x:t>
  </x:si>
  <x:si>
    <x:t xml:space="preserve">PC-PE-KG01-L23-20251023-AM-ORD-2025-00093-S04</x:t>
  </x:si>
  <x:si>
    <x:t xml:space="preserve">PC-PE-KG01-L23-20251023-AM-ORD-2025-00093-S05</x:t>
  </x:si>
  <x:si>
    <x:t xml:space="preserve">PC-PE-KG01-L23-20251023-AM-ORD-2025-00093-S06</x:t>
  </x:si>
  <x:si>
    <x:t xml:space="preserve">PC-PE-KG01-L23-20251023-AM-ORD-2025-00093-S07</x:t>
  </x:si>
  <x:si>
    <x:t xml:space="preserve">PC-PE-KG01-L23-20251023-AM-ORD-2025-00093-S08</x:t>
  </x:si>
  <x:si>
    <x:t xml:space="preserve">PC-PE-KG01-L23-20251023-AM-ORD-2025-00093-S09</x:t>
  </x:si>
  <x:si>
    <x:t xml:space="preserve">PC-PE-KG01-L23-20251023-AM-ORD-2025-00093-S10</x:t>
  </x:si>
  <x:si>
    <x:t xml:space="preserve">PC-PE-KG01-L23-20251023-AM-ORD-2025-00093-S11</x:t>
  </x:si>
  <x:si>
    <x:t xml:space="preserve">PC-PE-KG01-L23-20251023-AM-ORD-2025-00093-S12</x:t>
  </x:si>
  <x:si>
    <x:t xml:space="preserve">PC-PE-KG01-L23-20251023-AM-ORD-2025-00093-S13</x:t>
  </x:si>
  <x:si>
    <x:t xml:space="preserve">PC-PE-KG01-L23-20251023-PM-ORD-2025-00093-S01</x:t>
  </x:si>
  <x:si>
    <x:t xml:space="preserve">PE-KG01-L23-20251023-PM-ORD-2025-00093</x:t>
  </x:si>
  <x:si>
    <x:t xml:space="preserve">PC-PE-KG01-L23-20251023-PM-ORD-2025-00093-S02</x:t>
  </x:si>
  <x:si>
    <x:t xml:space="preserve">PC-PE-KG01-L23-20251023-PM-ORD-2025-00093-S03</x:t>
  </x:si>
  <x:si>
    <x:t xml:space="preserve">PC-PE-KG01-L23-20251023-PM-ORD-2025-00093-S04</x:t>
  </x:si>
  <x:si>
    <x:t xml:space="preserve">PC-PE-KG01-L23-20251023-PM-ORD-2025-00093-S05</x:t>
  </x:si>
  <x:si>
    <x:t xml:space="preserve">PC-PE-KG01-L23-20251023-PM-ORD-2025-00093-S06</x:t>
  </x:si>
  <x:si>
    <x:t xml:space="preserve">PC-PE-KG01-L23-20251023-PM-ORD-2025-00093-S07</x:t>
  </x:si>
  <x:si>
    <x:t xml:space="preserve">PC-PE-KG01-L23-20251023-PM-ORD-2025-00093-S08</x:t>
  </x:si>
  <x:si>
    <x:t xml:space="preserve">PC-PE-KG01-L23-20251023-PM-ORD-2025-00093-S09</x:t>
  </x:si>
  <x:si>
    <x:t xml:space="preserve">PC-PE-KG01-L23-20251023-PM-ORD-2025-00093-S10</x:t>
  </x:si>
  <x:si>
    <x:t xml:space="preserve">PC-PE-KG01-L23-20251023-PM-ORD-2025-00093-S11</x:t>
  </x:si>
  <x:si>
    <x:t xml:space="preserve">PC-PE-KG01-L23-20251023-PM-ORD-2025-00093-S12</x:t>
  </x:si>
  <x:si>
    <x:t xml:space="preserve">PC-PE-KG01-L23-20251023-PM-ORD-2025-00093-S13</x:t>
  </x:si>
  <x:si>
    <x:t xml:space="preserve">PC-PE-KG01-L23-20251024-AM-ORD-2025-00093-S01</x:t>
  </x:si>
  <x:si>
    <x:t xml:space="preserve">PE-KG01-L23-20251024-AM-ORD-2025-00093</x:t>
  </x:si>
  <x:si>
    <x:t xml:space="preserve">PC-PE-KG01-L23-20251024-AM-ORD-2025-00093-S02</x:t>
  </x:si>
  <x:si>
    <x:t xml:space="preserve">PC-PE-KG01-L23-20251024-AM-ORD-2025-00093-S03</x:t>
  </x:si>
  <x:si>
    <x:t xml:space="preserve">PC-PE-KG01-L23-20251024-AM-ORD-2025-00093-S04</x:t>
  </x:si>
  <x:si>
    <x:t xml:space="preserve">PC-PE-KG01-L23-20251024-AM-ORD-2025-00093-S05</x:t>
  </x:si>
  <x:si>
    <x:t xml:space="preserve">PC-PE-KG01-L23-20251024-AM-ORD-2025-00093-S06</x:t>
  </x:si>
  <x:si>
    <x:t xml:space="preserve">PC-PE-KG01-L23-20251024-AM-ORD-2025-00093-S07</x:t>
  </x:si>
  <x:si>
    <x:t xml:space="preserve">PC-PE-KG01-L23-20251024-AM-ORD-2025-00093-S08</x:t>
  </x:si>
  <x:si>
    <x:t xml:space="preserve">PC-PE-KG01-L23-20251024-AM-ORD-2025-00093-S09</x:t>
  </x:si>
  <x:si>
    <x:t xml:space="preserve">PC-PE-KG01-L23-20251024-AM-ORD-2025-00093-S10</x:t>
  </x:si>
  <x:si>
    <x:t xml:space="preserve">PC-PE-KG01-L23-20251024-AM-ORD-2025-00093-S11</x:t>
  </x:si>
  <x:si>
    <x:t xml:space="preserve">PC-PE-KG01-L23-20251024-AM-ORD-2025-00093-S12</x:t>
  </x:si>
  <x:si>
    <x:t xml:space="preserve">PC-PE-KG01-L23-20251024-AM-ORD-2025-00093-S13</x:t>
  </x:si>
  <x:si>
    <x:t xml:space="preserve">PC-PE-KG01-L23-20251024-PM-ORD-2025-00093-S01</x:t>
  </x:si>
  <x:si>
    <x:t xml:space="preserve">PE-KG01-L23-20251024-PM-ORD-2025-00093</x:t>
  </x:si>
  <x:si>
    <x:t xml:space="preserve">PC-PE-KG01-L23-20251024-PM-ORD-2025-00093-S02</x:t>
  </x:si>
  <x:si>
    <x:t xml:space="preserve">PC-PE-KG01-L23-20251024-PM-ORD-2025-00093-S03</x:t>
  </x:si>
  <x:si>
    <x:t xml:space="preserve">PC-PE-KG01-L23-20251024-PM-ORD-2025-00093-S04</x:t>
  </x:si>
  <x:si>
    <x:t xml:space="preserve">PC-PE-KG01-L23-20251024-PM-ORD-2025-00093-S05</x:t>
  </x:si>
  <x:si>
    <x:t xml:space="preserve">PC-PE-KG01-L23-20251024-PM-ORD-2025-00093-S06</x:t>
  </x:si>
  <x:si>
    <x:t xml:space="preserve">PC-PE-KG01-L23-20251024-PM-ORD-2025-00093-S07</x:t>
  </x:si>
  <x:si>
    <x:t xml:space="preserve">PC-PE-KG01-L23-20251024-PM-ORD-2025-00093-S08</x:t>
  </x:si>
  <x:si>
    <x:t xml:space="preserve">PC-PE-KG01-L23-20251024-PM-ORD-2025-00093-S09</x:t>
  </x:si>
  <x:si>
    <x:t xml:space="preserve">PC-PE-KG01-L23-20251024-PM-ORD-2025-00093-S10</x:t>
  </x:si>
  <x:si>
    <x:t xml:space="preserve">PC-PE-KG01-L23-20251024-PM-ORD-2025-00093-S11</x:t>
  </x:si>
  <x:si>
    <x:t xml:space="preserve">PC-PE-KG01-L23-20251024-PM-ORD-2025-00093-S12</x:t>
  </x:si>
  <x:si>
    <x:t xml:space="preserve">PC-PE-KG01-L23-20251024-PM-ORD-2025-00093-S13</x:t>
  </x:si>
  <x:si>
    <x:t xml:space="preserve">PC-PE-KG01-L23-20251025-AM-ORD-2025-00093-S01</x:t>
  </x:si>
  <x:si>
    <x:t xml:space="preserve">PE-KG01-L23-20251025-AM-ORD-2025-00093</x:t>
  </x:si>
  <x:si>
    <x:t xml:space="preserve">PC-PE-KG01-L23-20251025-AM-ORD-2025-00093-S02</x:t>
  </x:si>
  <x:si>
    <x:t xml:space="preserve">PC-PE-KG01-L23-20251025-AM-ORD-2025-00093-S03</x:t>
  </x:si>
  <x:si>
    <x:t xml:space="preserve">PC-PE-KG01-L23-20251025-AM-ORD-2025-00093-S04</x:t>
  </x:si>
  <x:si>
    <x:t xml:space="preserve">PC-PE-KG01-L23-20251025-AM-ORD-2025-00093-S05</x:t>
  </x:si>
  <x:si>
    <x:t xml:space="preserve">PC-PE-KG01-L23-20251025-AM-ORD-2025-00093-S06</x:t>
  </x:si>
  <x:si>
    <x:t xml:space="preserve">PC-PE-KG01-L23-20251025-AM-ORD-2025-00093-S07</x:t>
  </x:si>
  <x:si>
    <x:t xml:space="preserve">PC-PE-KG01-L23-20251025-AM-ORD-2025-00093-S08</x:t>
  </x:si>
  <x:si>
    <x:t xml:space="preserve">PC-PE-KG01-L23-20251025-AM-ORD-2025-00093-S09</x:t>
  </x:si>
  <x:si>
    <x:t xml:space="preserve">PC-PE-KG01-L23-20251025-AM-ORD-2025-00093-S10</x:t>
  </x:si>
  <x:si>
    <x:t xml:space="preserve">PC-PE-KG01-L23-20251025-AM-ORD-2025-00093-S11</x:t>
  </x:si>
  <x:si>
    <x:t xml:space="preserve">PC-PE-KG01-L23-20251025-AM-ORD-2025-00093-S12</x:t>
  </x:si>
  <x:si>
    <x:t xml:space="preserve">PC-PE-KG01-L23-20251025-AM-ORD-2025-00093-S13</x:t>
  </x:si>
  <x:si>
    <x:t xml:space="preserve">PC-PE-KG01-L23-20251025-PM-ORD-2025-00093-S01</x:t>
  </x:si>
  <x:si>
    <x:t xml:space="preserve">PE-KG01-L23-20251025-PM-ORD-2025-00093</x:t>
  </x:si>
  <x:si>
    <x:t xml:space="preserve">PC-PE-KG01-L23-20251025-PM-ORD-2025-00093-S02</x:t>
  </x:si>
  <x:si>
    <x:t xml:space="preserve">PC-PE-KG01-L23-20251025-PM-ORD-2025-00093-S03</x:t>
  </x:si>
  <x:si>
    <x:t xml:space="preserve">PC-PE-KG01-L23-20251025-PM-ORD-2025-00093-S04</x:t>
  </x:si>
  <x:si>
    <x:t xml:space="preserve">PC-PE-KG01-L23-20251025-PM-ORD-2025-00093-S05</x:t>
  </x:si>
  <x:si>
    <x:t xml:space="preserve">PC-PE-KG01-L23-20251025-PM-ORD-2025-00093-S06</x:t>
  </x:si>
  <x:si>
    <x:t xml:space="preserve">PC-PE-KG01-L23-20251025-PM-ORD-2025-00093-S07</x:t>
  </x:si>
  <x:si>
    <x:t xml:space="preserve">PC-PE-KG01-L23-20251025-PM-ORD-2025-00093-S08</x:t>
  </x:si>
  <x:si>
    <x:t xml:space="preserve">PC-PE-KG01-L23-20251025-PM-ORD-2025-00093-S09</x:t>
  </x:si>
  <x:si>
    <x:t xml:space="preserve">PC-PE-KG01-L23-20251025-PM-ORD-2025-00093-S10</x:t>
  </x:si>
  <x:si>
    <x:t xml:space="preserve">PC-PE-KG01-L23-20251025-PM-ORD-2025-00093-S11</x:t>
  </x:si>
  <x:si>
    <x:t xml:space="preserve">PC-PE-KG01-L23-20251025-PM-ORD-2025-00093-S12</x:t>
  </x:si>
  <x:si>
    <x:t xml:space="preserve">PC-PE-KG01-L23-20251025-PM-ORD-2025-00093-S13</x:t>
  </x:si>
  <x:si>
    <x:t xml:space="preserve">PC-PE-KG01-L23-20251026-AM-ORD-2025-00094-S01</x:t>
  </x:si>
  <x:si>
    <x:t xml:space="preserve">PC-PE-KG01-L23-20251026-AM-ORD-2025-00094-S02</x:t>
  </x:si>
  <x:si>
    <x:t xml:space="preserve">PC-PE-KG01-L23-20251026-AM-ORD-2025-00094-S03</x:t>
  </x:si>
  <x:si>
    <x:t xml:space="preserve">PC-PE-KG01-L23-20251026-AM-ORD-2025-00094-S04</x:t>
  </x:si>
  <x:si>
    <x:t xml:space="preserve">PC-PE-KG01-L23-20251026-AM-ORD-2025-00094-S05</x:t>
  </x:si>
  <x:si>
    <x:t xml:space="preserve">PC-PE-KG01-L23-20251026-AM-ORD-2025-00094-S06</x:t>
  </x:si>
  <x:si>
    <x:t xml:space="preserve">PC-PE-KG01-L23-20251026-AM-ORD-2025-00094-S07</x:t>
  </x:si>
  <x:si>
    <x:t xml:space="preserve">PC-PE-KG01-L23-20251026-AM-ORD-2025-00094-S08</x:t>
  </x:si>
  <x:si>
    <x:t xml:space="preserve">PC-PE-KG01-L23-20251026-AM-ORD-2025-00094-S09</x:t>
  </x:si>
  <x:si>
    <x:t xml:space="preserve">PC-PE-KG01-L23-20251026-AM-ORD-2025-00094-S10</x:t>
  </x:si>
  <x:si>
    <x:t xml:space="preserve">PC-PE-KG01-L23-20251026-AM-ORD-2025-00094-S11</x:t>
  </x:si>
  <x:si>
    <x:t xml:space="preserve">PC-PE-KG01-L23-20251026-AM-ORD-2025-00094-S12</x:t>
  </x:si>
  <x:si>
    <x:t xml:space="preserve">PC-PE-KG01-L23-20251026-AM-ORD-2025-00094-S13</x:t>
  </x:si>
  <x:si>
    <x:t xml:space="preserve">PC-PE-KG01-L23-20251026-PM-ORD-2025-00094-S01</x:t>
  </x:si>
  <x:si>
    <x:t xml:space="preserve">PE-KG01-L23-20251026-PM-ORD-2025-00094</x:t>
  </x:si>
  <x:si>
    <x:t xml:space="preserve">PC-PE-KG01-L23-20251026-PM-ORD-2025-00094-S02</x:t>
  </x:si>
  <x:si>
    <x:t xml:space="preserve">PC-PE-KG01-L23-20251026-PM-ORD-2025-00094-S03</x:t>
  </x:si>
  <x:si>
    <x:t xml:space="preserve">PC-PE-KG01-L23-20251026-PM-ORD-2025-00094-S04</x:t>
  </x:si>
  <x:si>
    <x:t xml:space="preserve">PC-PE-KG01-L23-20251026-PM-ORD-2025-00094-S05</x:t>
  </x:si>
  <x:si>
    <x:t xml:space="preserve">PC-PE-KG01-L23-20251026-PM-ORD-2025-00094-S06</x:t>
  </x:si>
  <x:si>
    <x:t xml:space="preserve">PC-PE-KG01-L23-20251026-PM-ORD-2025-00094-S07</x:t>
  </x:si>
  <x:si>
    <x:t xml:space="preserve">PC-PE-KG01-L23-20251026-PM-ORD-2025-00094-S08</x:t>
  </x:si>
  <x:si>
    <x:t xml:space="preserve">PC-PE-KG01-L23-20251026-PM-ORD-2025-00094-S09</x:t>
  </x:si>
  <x:si>
    <x:t xml:space="preserve">PC-PE-KG01-L23-20251026-PM-ORD-2025-00094-S10</x:t>
  </x:si>
  <x:si>
    <x:t xml:space="preserve">PC-PE-KG01-L23-20251026-PM-ORD-2025-00094-S11</x:t>
  </x:si>
  <x:si>
    <x:t xml:space="preserve">PC-PE-KG01-L23-20251026-PM-ORD-2025-00094-S12</x:t>
  </x:si>
  <x:si>
    <x:t xml:space="preserve">PC-PE-KG01-L23-20251026-PM-ORD-2025-00094-S13</x:t>
  </x:si>
  <x:si>
    <x:t xml:space="preserve">PC-PE-KG01-L24-20251020-AM-ORD-2025-00124-S01</x:t>
  </x:si>
  <x:si>
    <x:t xml:space="preserve">PE-KG01-L24-20251020-AM-ORD-2025-00124</x:t>
  </x:si>
  <x:si>
    <x:t xml:space="preserve">PC-PE-KG01-L24-20251020-AM-ORD-2025-00124-S02</x:t>
  </x:si>
  <x:si>
    <x:t xml:space="preserve">PC-PE-KG01-L24-20251020-AM-ORD-2025-00124-S03</x:t>
  </x:si>
  <x:si>
    <x:t xml:space="preserve">PC-PE-KG01-L24-20251020-AM-ORD-2025-00124-S04</x:t>
  </x:si>
  <x:si>
    <x:t xml:space="preserve">PC-PE-KG01-L24-20251020-AM-ORD-2025-00124-S05</x:t>
  </x:si>
  <x:si>
    <x:t xml:space="preserve">PC-PE-KG01-L24-20251020-AM-ORD-2025-00124-S06</x:t>
  </x:si>
  <x:si>
    <x:t xml:space="preserve">PC-PE-KG01-L24-20251020-AM-ORD-2025-00124-S07</x:t>
  </x:si>
  <x:si>
    <x:t xml:space="preserve">PC-PE-KG01-L24-20251020-AM-ORD-2025-00124-S08</x:t>
  </x:si>
  <x:si>
    <x:t xml:space="preserve">PC-PE-KG01-L24-20251020-AM-ORD-2025-00124-S09</x:t>
  </x:si>
  <x:si>
    <x:t xml:space="preserve">PC-PE-KG01-L24-20251020-AM-ORD-2025-00124-S10</x:t>
  </x:si>
  <x:si>
    <x:t xml:space="preserve">PC-PE-KG01-L24-20251020-AM-ORD-2025-00124-S11</x:t>
  </x:si>
  <x:si>
    <x:t xml:space="preserve">PC-PE-KG01-L24-20251020-AM-ORD-2025-00124-S12</x:t>
  </x:si>
  <x:si>
    <x:t xml:space="preserve">PC-PE-KG01-L24-20251020-AM-ORD-2025-00124-S13</x:t>
  </x:si>
  <x:si>
    <x:t xml:space="preserve">PC-PE-KG01-L24-20251020-PM-ORD-2025-00124-S01</x:t>
  </x:si>
  <x:si>
    <x:t xml:space="preserve">PE-KG01-L24-20251020-PM-ORD-2025-00124</x:t>
  </x:si>
  <x:si>
    <x:t xml:space="preserve">PC-PE-KG01-L24-20251020-PM-ORD-2025-00124-S02</x:t>
  </x:si>
  <x:si>
    <x:t xml:space="preserve">PC-PE-KG01-L24-20251020-PM-ORD-2025-00124-S03</x:t>
  </x:si>
  <x:si>
    <x:t xml:space="preserve">PC-PE-KG01-L24-20251020-PM-ORD-2025-00124-S04</x:t>
  </x:si>
  <x:si>
    <x:t xml:space="preserve">PC-PE-KG01-L24-20251020-PM-ORD-2025-00124-S05</x:t>
  </x:si>
  <x:si>
    <x:t xml:space="preserve">PC-PE-KG01-L24-20251020-PM-ORD-2025-00124-S06</x:t>
  </x:si>
  <x:si>
    <x:t xml:space="preserve">PC-PE-KG01-L24-20251020-PM-ORD-2025-00124-S07</x:t>
  </x:si>
  <x:si>
    <x:t xml:space="preserve">PC-PE-KG01-L24-20251020-PM-ORD-2025-00124-S08</x:t>
  </x:si>
  <x:si>
    <x:t xml:space="preserve">PC-PE-KG01-L24-20251020-PM-ORD-2025-00124-S09</x:t>
  </x:si>
  <x:si>
    <x:t xml:space="preserve">PC-PE-KG01-L24-20251020-PM-ORD-2025-00124-S10</x:t>
  </x:si>
  <x:si>
    <x:t xml:space="preserve">PC-PE-KG01-L24-20251020-PM-ORD-2025-00124-S11</x:t>
  </x:si>
  <x:si>
    <x:t xml:space="preserve">PC-PE-KG01-L24-20251020-PM-ORD-2025-00124-S12</x:t>
  </x:si>
  <x:si>
    <x:t xml:space="preserve">PC-PE-KG01-L24-20251020-PM-ORD-2025-00124-S13</x:t>
  </x:si>
  <x:si>
    <x:t xml:space="preserve">PC-PE-KG01-L24-20251021-AM-ORD-2025-00125-S01</x:t>
  </x:si>
  <x:si>
    <x:t xml:space="preserve">PC-PE-KG01-L24-20251021-AM-ORD-2025-00125-S02</x:t>
  </x:si>
  <x:si>
    <x:t xml:space="preserve">PC-PE-KG01-L24-20251021-AM-ORD-2025-00125-S03</x:t>
  </x:si>
  <x:si>
    <x:t xml:space="preserve">PC-PE-KG01-L24-20251021-AM-ORD-2025-00125-S04</x:t>
  </x:si>
  <x:si>
    <x:t xml:space="preserve">PC-PE-KG01-L24-20251021-AM-ORD-2025-00125-S05</x:t>
  </x:si>
  <x:si>
    <x:t xml:space="preserve">PC-PE-KG01-L24-20251021-AM-ORD-2025-00125-S06</x:t>
  </x:si>
  <x:si>
    <x:t xml:space="preserve">PC-PE-KG01-L24-20251021-AM-ORD-2025-00125-S07</x:t>
  </x:si>
  <x:si>
    <x:t xml:space="preserve">PC-PE-KG01-L24-20251021-AM-ORD-2025-00125-S08</x:t>
  </x:si>
  <x:si>
    <x:t xml:space="preserve">PC-PE-KG01-L24-20251021-AM-ORD-2025-00125-S09</x:t>
  </x:si>
  <x:si>
    <x:t xml:space="preserve">PC-PE-KG01-L24-20251021-AM-ORD-2025-00125-S10</x:t>
  </x:si>
  <x:si>
    <x:t xml:space="preserve">PC-PE-KG01-L24-20251021-AM-ORD-2025-00125-S11</x:t>
  </x:si>
  <x:si>
    <x:t xml:space="preserve">PC-PE-KG01-L24-20251021-AM-ORD-2025-00125-S12</x:t>
  </x:si>
  <x:si>
    <x:t xml:space="preserve">PC-PE-KG01-L24-20251021-AM-ORD-2025-00125-S13</x:t>
  </x:si>
  <x:si>
    <x:t xml:space="preserve">PC-PE-KG01-L24-20251021-PM-ORD-2025-00125-S01</x:t>
  </x:si>
  <x:si>
    <x:t xml:space="preserve">PE-KG01-L24-20251021-PM-ORD-2025-00125</x:t>
  </x:si>
  <x:si>
    <x:t xml:space="preserve">PC-PE-KG01-L24-20251021-PM-ORD-2025-00125-S02</x:t>
  </x:si>
  <x:si>
    <x:t xml:space="preserve">PC-PE-KG01-L24-20251021-PM-ORD-2025-00125-S03</x:t>
  </x:si>
  <x:si>
    <x:t xml:space="preserve">PC-PE-KG01-L24-20251021-PM-ORD-2025-00125-S04</x:t>
  </x:si>
  <x:si>
    <x:t xml:space="preserve">PC-PE-KG01-L24-20251021-PM-ORD-2025-00125-S05</x:t>
  </x:si>
  <x:si>
    <x:t xml:space="preserve">PC-PE-KG01-L24-20251021-PM-ORD-2025-00125-S06</x:t>
  </x:si>
  <x:si>
    <x:t xml:space="preserve">PC-PE-KG01-L24-20251021-PM-ORD-2025-00125-S07</x:t>
  </x:si>
  <x:si>
    <x:t xml:space="preserve">PC-PE-KG01-L24-20251021-PM-ORD-2025-00125-S08</x:t>
  </x:si>
  <x:si>
    <x:t xml:space="preserve">PC-PE-KG01-L24-20251021-PM-ORD-2025-00125-S09</x:t>
  </x:si>
  <x:si>
    <x:t xml:space="preserve">PC-PE-KG01-L24-20251021-PM-ORD-2025-00125-S10</x:t>
  </x:si>
  <x:si>
    <x:t xml:space="preserve">PC-PE-KG01-L24-20251021-PM-ORD-2025-00125-S11</x:t>
  </x:si>
  <x:si>
    <x:t xml:space="preserve">PC-PE-KG01-L24-20251021-PM-ORD-2025-00125-S12</x:t>
  </x:si>
  <x:si>
    <x:t xml:space="preserve">PC-PE-KG01-L24-20251021-PM-ORD-2025-00125-S13</x:t>
  </x:si>
  <x:si>
    <x:t xml:space="preserve">PC-PE-KG01-L24-20251022-AM-ORD-2025-00125-S01</x:t>
  </x:si>
  <x:si>
    <x:t xml:space="preserve">PE-KG01-L24-20251022-AM-ORD-2025-00125</x:t>
  </x:si>
  <x:si>
    <x:t xml:space="preserve">PC-PE-KG01-L24-20251022-AM-ORD-2025-00125-S02</x:t>
  </x:si>
  <x:si>
    <x:t xml:space="preserve">PC-PE-KG01-L24-20251022-AM-ORD-2025-00125-S03</x:t>
  </x:si>
  <x:si>
    <x:t xml:space="preserve">PC-PE-KG01-L24-20251022-AM-ORD-2025-00125-S04</x:t>
  </x:si>
  <x:si>
    <x:t xml:space="preserve">PC-PE-KG01-L24-20251022-AM-ORD-2025-00125-S05</x:t>
  </x:si>
  <x:si>
    <x:t xml:space="preserve">PC-PE-KG01-L24-20251022-AM-ORD-2025-00125-S06</x:t>
  </x:si>
  <x:si>
    <x:t xml:space="preserve">PC-PE-KG01-L24-20251022-AM-ORD-2025-00125-S07</x:t>
  </x:si>
  <x:si>
    <x:t xml:space="preserve">PC-PE-KG01-L24-20251022-AM-ORD-2025-00125-S08</x:t>
  </x:si>
  <x:si>
    <x:t xml:space="preserve">PC-PE-KG01-L24-20251022-AM-ORD-2025-00125-S09</x:t>
  </x:si>
  <x:si>
    <x:t xml:space="preserve">PC-PE-KG01-L24-20251022-AM-ORD-2025-00125-S10</x:t>
  </x:si>
  <x:si>
    <x:t xml:space="preserve">PC-PE-KG01-L24-20251022-AM-ORD-2025-00125-S11</x:t>
  </x:si>
  <x:si>
    <x:t xml:space="preserve">PC-PE-KG01-L24-20251022-AM-ORD-2025-00125-S12</x:t>
  </x:si>
  <x:si>
    <x:t xml:space="preserve">PC-PE-KG01-L24-20251022-AM-ORD-2025-00125-S13</x:t>
  </x:si>
  <x:si>
    <x:t xml:space="preserve">PC-PE-KG01-L24-20251022-PM-ORD-2025-00125-S01</x:t>
  </x:si>
  <x:si>
    <x:t xml:space="preserve">PE-KG01-L24-20251022-PM-ORD-2025-00125</x:t>
  </x:si>
  <x:si>
    <x:t xml:space="preserve">PC-PE-KG01-L24-20251022-PM-ORD-2025-00125-S02</x:t>
  </x:si>
  <x:si>
    <x:t xml:space="preserve">PC-PE-KG01-L24-20251022-PM-ORD-2025-00125-S03</x:t>
  </x:si>
  <x:si>
    <x:t xml:space="preserve">PC-PE-KG01-L24-20251022-PM-ORD-2025-00125-S04</x:t>
  </x:si>
  <x:si>
    <x:t xml:space="preserve">PC-PE-KG01-L24-20251022-PM-ORD-2025-00125-S05</x:t>
  </x:si>
  <x:si>
    <x:t xml:space="preserve">PC-PE-KG01-L24-20251022-PM-ORD-2025-00125-S06</x:t>
  </x:si>
  <x:si>
    <x:t xml:space="preserve">PC-PE-KG01-L24-20251022-PM-ORD-2025-00125-S07</x:t>
  </x:si>
  <x:si>
    <x:t xml:space="preserve">PC-PE-KG01-L24-20251022-PM-ORD-2025-00125-S08</x:t>
  </x:si>
  <x:si>
    <x:t xml:space="preserve">PC-PE-KG01-L24-20251022-PM-ORD-2025-00125-S09</x:t>
  </x:si>
  <x:si>
    <x:t xml:space="preserve">PC-PE-KG01-L24-20251022-PM-ORD-2025-00125-S10</x:t>
  </x:si>
  <x:si>
    <x:t xml:space="preserve">PC-PE-KG01-L24-20251022-PM-ORD-2025-00125-S11</x:t>
  </x:si>
  <x:si>
    <x:t xml:space="preserve">PC-PE-KG01-L24-20251022-PM-ORD-2025-00125-S12</x:t>
  </x:si>
  <x:si>
    <x:t xml:space="preserve">PC-PE-KG01-L24-20251022-PM-ORD-2025-00125-S13</x:t>
  </x:si>
  <x:si>
    <x:t xml:space="preserve">PC-PE-KG01-L24-20251023-AM-ORD-2025-00125-S01</x:t>
  </x:si>
  <x:si>
    <x:t xml:space="preserve">PE-KG01-L24-20251023-AM-ORD-2025-00125</x:t>
  </x:si>
  <x:si>
    <x:t xml:space="preserve">PC-PE-KG01-L24-20251023-AM-ORD-2025-00125-S02</x:t>
  </x:si>
  <x:si>
    <x:t xml:space="preserve">PC-PE-KG01-L24-20251023-AM-ORD-2025-00125-S03</x:t>
  </x:si>
  <x:si>
    <x:t xml:space="preserve">PC-PE-KG01-L24-20251023-AM-ORD-2025-00125-S04</x:t>
  </x:si>
  <x:si>
    <x:t xml:space="preserve">PC-PE-KG01-L24-20251023-AM-ORD-2025-00125-S05</x:t>
  </x:si>
  <x:si>
    <x:t xml:space="preserve">PC-PE-KG01-L24-20251023-AM-ORD-2025-00125-S06</x:t>
  </x:si>
  <x:si>
    <x:t xml:space="preserve">PC-PE-KG01-L24-20251023-AM-ORD-2025-00125-S07</x:t>
  </x:si>
  <x:si>
    <x:t xml:space="preserve">PC-PE-KG01-L24-20251023-AM-ORD-2025-00125-S08</x:t>
  </x:si>
  <x:si>
    <x:t xml:space="preserve">PC-PE-KG01-L24-20251023-AM-ORD-2025-00125-S09</x:t>
  </x:si>
  <x:si>
    <x:t xml:space="preserve">PC-PE-KG01-L24-20251023-AM-ORD-2025-00125-S10</x:t>
  </x:si>
  <x:si>
    <x:t xml:space="preserve">PC-PE-KG01-L24-20251023-AM-ORD-2025-00125-S11</x:t>
  </x:si>
  <x:si>
    <x:t xml:space="preserve">PC-PE-KG01-L24-20251023-AM-ORD-2025-00125-S12</x:t>
  </x:si>
  <x:si>
    <x:t xml:space="preserve">PC-PE-KG01-L24-20251023-AM-ORD-2025-00125-S13</x:t>
  </x:si>
  <x:si>
    <x:t xml:space="preserve">PC-PE-KG01-L24-20251023-PM-ORD-2025-00125-S01</x:t>
  </x:si>
  <x:si>
    <x:t xml:space="preserve">PE-KG01-L24-20251023-PM-ORD-2025-00125</x:t>
  </x:si>
  <x:si>
    <x:t xml:space="preserve">PC-PE-KG01-L24-20251023-PM-ORD-2025-00125-S02</x:t>
  </x:si>
  <x:si>
    <x:t xml:space="preserve">PC-PE-KG01-L24-20251023-PM-ORD-2025-00125-S03</x:t>
  </x:si>
  <x:si>
    <x:t xml:space="preserve">PC-PE-KG01-L24-20251023-PM-ORD-2025-00125-S04</x:t>
  </x:si>
  <x:si>
    <x:t xml:space="preserve">PC-PE-KG01-L24-20251023-PM-ORD-2025-00125-S05</x:t>
  </x:si>
  <x:si>
    <x:t xml:space="preserve">PC-PE-KG01-L24-20251023-PM-ORD-2025-00125-S06</x:t>
  </x:si>
  <x:si>
    <x:t xml:space="preserve">PC-PE-KG01-L24-20251023-PM-ORD-2025-00125-S07</x:t>
  </x:si>
  <x:si>
    <x:t xml:space="preserve">PC-PE-KG01-L24-20251023-PM-ORD-2025-00125-S08</x:t>
  </x:si>
  <x:si>
    <x:t xml:space="preserve">PC-PE-KG01-L24-20251023-PM-ORD-2025-00125-S09</x:t>
  </x:si>
  <x:si>
    <x:t xml:space="preserve">PC-PE-KG01-L24-20251023-PM-ORD-2025-00125-S10</x:t>
  </x:si>
  <x:si>
    <x:t xml:space="preserve">PC-PE-KG01-L24-20251023-PM-ORD-2025-00125-S11</x:t>
  </x:si>
  <x:si>
    <x:t xml:space="preserve">PC-PE-KG01-L24-20251023-PM-ORD-2025-00125-S12</x:t>
  </x:si>
  <x:si>
    <x:t xml:space="preserve">PC-PE-KG01-L24-20251023-PM-ORD-2025-00125-S13</x:t>
  </x:si>
  <x:si>
    <x:t xml:space="preserve">PC-PE-KG01-L24-20251024-AM-ORD-2025-00125-S01</x:t>
  </x:si>
  <x:si>
    <x:t xml:space="preserve">PE-KG01-L24-20251024-AM-ORD-2025-00125</x:t>
  </x:si>
  <x:si>
    <x:t xml:space="preserve">PC-PE-KG01-L24-20251024-AM-ORD-2025-00125-S02</x:t>
  </x:si>
  <x:si>
    <x:t xml:space="preserve">PC-PE-KG01-L24-20251024-AM-ORD-2025-00125-S03</x:t>
  </x:si>
  <x:si>
    <x:t xml:space="preserve">PC-PE-KG01-L24-20251024-AM-ORD-2025-00125-S04</x:t>
  </x:si>
  <x:si>
    <x:t xml:space="preserve">PC-PE-KG01-L24-20251024-AM-ORD-2025-00125-S05</x:t>
  </x:si>
  <x:si>
    <x:t xml:space="preserve">PC-PE-KG01-L24-20251024-AM-ORD-2025-00125-S06</x:t>
  </x:si>
  <x:si>
    <x:t xml:space="preserve">PC-PE-KG01-L24-20251024-AM-ORD-2025-00125-S07</x:t>
  </x:si>
  <x:si>
    <x:t xml:space="preserve">PC-PE-KG01-L24-20251024-AM-ORD-2025-00125-S08</x:t>
  </x:si>
  <x:si>
    <x:t xml:space="preserve">PC-PE-KG01-L24-20251024-AM-ORD-2025-00125-S09</x:t>
  </x:si>
  <x:si>
    <x:t xml:space="preserve">PC-PE-KG01-L24-20251024-AM-ORD-2025-00125-S10</x:t>
  </x:si>
  <x:si>
    <x:t xml:space="preserve">PC-PE-KG01-L24-20251024-AM-ORD-2025-00125-S11</x:t>
  </x:si>
  <x:si>
    <x:t xml:space="preserve">PC-PE-KG01-L24-20251024-AM-ORD-2025-00125-S12</x:t>
  </x:si>
  <x:si>
    <x:t xml:space="preserve">PC-PE-KG01-L24-20251024-AM-ORD-2025-00125-S13</x:t>
  </x:si>
  <x:si>
    <x:t xml:space="preserve">PC-PE-KG01-L24-20251024-PM-ORD-2025-00125-S01</x:t>
  </x:si>
  <x:si>
    <x:t xml:space="preserve">PE-KG01-L24-20251024-PM-ORD-2025-00125</x:t>
  </x:si>
  <x:si>
    <x:t xml:space="preserve">PC-PE-KG01-L24-20251024-PM-ORD-2025-00125-S02</x:t>
  </x:si>
  <x:si>
    <x:t xml:space="preserve">PC-PE-KG01-L24-20251024-PM-ORD-2025-00125-S03</x:t>
  </x:si>
  <x:si>
    <x:t xml:space="preserve">PC-PE-KG01-L24-20251024-PM-ORD-2025-00125-S04</x:t>
  </x:si>
  <x:si>
    <x:t xml:space="preserve">PC-PE-KG01-L24-20251024-PM-ORD-2025-00125-S05</x:t>
  </x:si>
  <x:si>
    <x:t xml:space="preserve">PC-PE-KG01-L24-20251024-PM-ORD-2025-00125-S06</x:t>
  </x:si>
  <x:si>
    <x:t xml:space="preserve">PC-PE-KG01-L24-20251024-PM-ORD-2025-00125-S07</x:t>
  </x:si>
  <x:si>
    <x:t xml:space="preserve">PC-PE-KG01-L24-20251024-PM-ORD-2025-00125-S08</x:t>
  </x:si>
  <x:si>
    <x:t xml:space="preserve">PC-PE-KG01-L24-20251024-PM-ORD-2025-00125-S09</x:t>
  </x:si>
  <x:si>
    <x:t xml:space="preserve">PC-PE-KG01-L24-20251024-PM-ORD-2025-00125-S10</x:t>
  </x:si>
  <x:si>
    <x:t xml:space="preserve">PC-PE-KG01-L24-20251024-PM-ORD-2025-00125-S11</x:t>
  </x:si>
  <x:si>
    <x:t xml:space="preserve">PC-PE-KG01-L24-20251024-PM-ORD-2025-00125-S12</x:t>
  </x:si>
  <x:si>
    <x:t xml:space="preserve">PC-PE-KG01-L24-20251024-PM-ORD-2025-00125-S13</x:t>
  </x:si>
  <x:si>
    <x:t xml:space="preserve">PC-PE-KG01-L24-20251025-AM-ORD-2025-00126-S01</x:t>
  </x:si>
  <x:si>
    <x:t xml:space="preserve">PC-PE-KG01-L24-20251025-AM-ORD-2025-00126-S02</x:t>
  </x:si>
  <x:si>
    <x:t xml:space="preserve">PC-PE-KG01-L24-20251025-AM-ORD-2025-00126-S03</x:t>
  </x:si>
  <x:si>
    <x:t xml:space="preserve">PC-PE-KG01-L24-20251025-AM-ORD-2025-00126-S04</x:t>
  </x:si>
  <x:si>
    <x:t xml:space="preserve">PC-PE-KG01-L24-20251025-AM-ORD-2025-00126-S05</x:t>
  </x:si>
  <x:si>
    <x:t xml:space="preserve">PC-PE-KG01-L24-20251025-AM-ORD-2025-00126-S06</x:t>
  </x:si>
  <x:si>
    <x:t xml:space="preserve">PC-PE-KG01-L24-20251025-AM-ORD-2025-00126-S07</x:t>
  </x:si>
  <x:si>
    <x:t xml:space="preserve">PC-PE-KG01-L24-20251025-AM-ORD-2025-00126-S08</x:t>
  </x:si>
  <x:si>
    <x:t xml:space="preserve">PC-PE-KG01-L24-20251025-AM-ORD-2025-00126-S09</x:t>
  </x:si>
  <x:si>
    <x:t xml:space="preserve">PC-PE-KG01-L24-20251025-AM-ORD-2025-00126-S10</x:t>
  </x:si>
  <x:si>
    <x:t xml:space="preserve">PC-PE-KG01-L24-20251025-AM-ORD-2025-00126-S11</x:t>
  </x:si>
  <x:si>
    <x:t xml:space="preserve">PC-PE-KG01-L24-20251025-AM-ORD-2025-00126-S12</x:t>
  </x:si>
  <x:si>
    <x:t xml:space="preserve">PC-PE-KG01-L24-20251025-AM-ORD-2025-00126-S13</x:t>
  </x:si>
  <x:si>
    <x:t xml:space="preserve">PC-PE-KG01-L24-20251025-PM-ORD-2025-00126-S01</x:t>
  </x:si>
  <x:si>
    <x:t xml:space="preserve">PE-KG01-L24-20251025-PM-ORD-2025-00126</x:t>
  </x:si>
  <x:si>
    <x:t xml:space="preserve">PC-PE-KG01-L24-20251025-PM-ORD-2025-00126-S02</x:t>
  </x:si>
  <x:si>
    <x:t xml:space="preserve">PC-PE-KG01-L24-20251025-PM-ORD-2025-00126-S03</x:t>
  </x:si>
  <x:si>
    <x:t xml:space="preserve">PC-PE-KG01-L24-20251025-PM-ORD-2025-00126-S04</x:t>
  </x:si>
  <x:si>
    <x:t xml:space="preserve">PC-PE-KG01-L24-20251025-PM-ORD-2025-00126-S05</x:t>
  </x:si>
  <x:si>
    <x:t xml:space="preserve">PC-PE-KG01-L24-20251025-PM-ORD-2025-00126-S06</x:t>
  </x:si>
  <x:si>
    <x:t xml:space="preserve">PC-PE-KG01-L24-20251025-PM-ORD-2025-00126-S07</x:t>
  </x:si>
  <x:si>
    <x:t xml:space="preserve">PC-PE-KG01-L24-20251025-PM-ORD-2025-00126-S08</x:t>
  </x:si>
  <x:si>
    <x:t xml:space="preserve">PC-PE-KG01-L24-20251025-PM-ORD-2025-00126-S09</x:t>
  </x:si>
  <x:si>
    <x:t xml:space="preserve">PC-PE-KG01-L24-20251025-PM-ORD-2025-00126-S10</x:t>
  </x:si>
  <x:si>
    <x:t xml:space="preserve">PC-PE-KG01-L24-20251025-PM-ORD-2025-00126-S11</x:t>
  </x:si>
  <x:si>
    <x:t xml:space="preserve">PC-PE-KG01-L24-20251025-PM-ORD-2025-00126-S12</x:t>
  </x:si>
  <x:si>
    <x:t xml:space="preserve">PC-PE-KG01-L24-20251025-PM-ORD-2025-00126-S13</x:t>
  </x:si>
  <x:si>
    <x:t xml:space="preserve">PC-PE-KG01-L24-20251026-AM-ORD-2025-00126-S01</x:t>
  </x:si>
  <x:si>
    <x:t xml:space="preserve">PE-KG01-L24-20251026-AM-ORD-2025-00126</x:t>
  </x:si>
  <x:si>
    <x:t xml:space="preserve">PC-PE-KG01-L24-20251026-AM-ORD-2025-00126-S02</x:t>
  </x:si>
  <x:si>
    <x:t xml:space="preserve">PC-PE-KG01-L24-20251026-AM-ORD-2025-00126-S03</x:t>
  </x:si>
  <x:si>
    <x:t xml:space="preserve">PC-PE-KG01-L24-20251026-AM-ORD-2025-00126-S04</x:t>
  </x:si>
  <x:si>
    <x:t xml:space="preserve">PC-PE-KG01-L24-20251026-AM-ORD-2025-00126-S05</x:t>
  </x:si>
  <x:si>
    <x:t xml:space="preserve">PC-PE-KG01-L24-20251026-AM-ORD-2025-00126-S06</x:t>
  </x:si>
  <x:si>
    <x:t xml:space="preserve">PC-PE-KG01-L24-20251026-AM-ORD-2025-00126-S07</x:t>
  </x:si>
  <x:si>
    <x:t xml:space="preserve">PC-PE-KG01-L24-20251026-AM-ORD-2025-00126-S08</x:t>
  </x:si>
  <x:si>
    <x:t xml:space="preserve">PC-PE-KG01-L24-20251026-AM-ORD-2025-00126-S09</x:t>
  </x:si>
  <x:si>
    <x:t xml:space="preserve">PC-PE-KG01-L24-20251026-AM-ORD-2025-00126-S10</x:t>
  </x:si>
  <x:si>
    <x:t xml:space="preserve">PC-PE-KG01-L24-20251026-AM-ORD-2025-00126-S11</x:t>
  </x:si>
  <x:si>
    <x:t xml:space="preserve">PC-PE-KG01-L24-20251026-AM-ORD-2025-00126-S12</x:t>
  </x:si>
  <x:si>
    <x:t xml:space="preserve">PC-PE-KG01-L24-20251026-AM-ORD-2025-00126-S13</x:t>
  </x:si>
  <x:si>
    <x:t xml:space="preserve">PC-PE-KG01-L24-20251026-PM-ORD-2025-00126-S01</x:t>
  </x:si>
  <x:si>
    <x:t xml:space="preserve">PE-KG01-L24-20251026-PM-ORD-2025-00126</x:t>
  </x:si>
  <x:si>
    <x:t xml:space="preserve">PC-PE-KG01-L24-20251026-PM-ORD-2025-00126-S02</x:t>
  </x:si>
  <x:si>
    <x:t xml:space="preserve">PC-PE-KG01-L24-20251026-PM-ORD-2025-00126-S03</x:t>
  </x:si>
  <x:si>
    <x:t xml:space="preserve">PC-PE-KG01-L24-20251026-PM-ORD-2025-00126-S04</x:t>
  </x:si>
  <x:si>
    <x:t xml:space="preserve">PC-PE-KG01-L24-20251026-PM-ORD-2025-00126-S05</x:t>
  </x:si>
  <x:si>
    <x:t xml:space="preserve">PC-PE-KG01-L24-20251026-PM-ORD-2025-00126-S06</x:t>
  </x:si>
  <x:si>
    <x:t xml:space="preserve">PC-PE-KG01-L24-20251026-PM-ORD-2025-00126-S07</x:t>
  </x:si>
  <x:si>
    <x:t xml:space="preserve">PC-PE-KG01-L24-20251026-PM-ORD-2025-00126-S08</x:t>
  </x:si>
  <x:si>
    <x:t xml:space="preserve">PC-PE-KG01-L24-20251026-PM-ORD-2025-00126-S09</x:t>
  </x:si>
  <x:si>
    <x:t xml:space="preserve">PC-PE-KG01-L24-20251026-PM-ORD-2025-00126-S10</x:t>
  </x:si>
  <x:si>
    <x:t xml:space="preserve">PC-PE-KG01-L24-20251026-PM-ORD-2025-00126-S11</x:t>
  </x:si>
  <x:si>
    <x:t xml:space="preserve">PC-PE-KG01-L24-20251026-PM-ORD-2025-00126-S12</x:t>
  </x:si>
  <x:si>
    <x:t xml:space="preserve">PC-PE-KG01-L24-20251026-PM-ORD-2025-00126-S13</x:t>
  </x:si>
  <x:si>
    <x:t xml:space="preserve">PC-PE-KG01-L25-20251020-AM-ORD-2025-00161-S01</x:t>
  </x:si>
  <x:si>
    <x:t xml:space="preserve">PE-KG01-L25-20251020-AM-ORD-2025-00161</x:t>
  </x:si>
  <x:si>
    <x:t xml:space="preserve">PC-PE-KG01-L25-20251020-AM-ORD-2025-00161-S02</x:t>
  </x:si>
  <x:si>
    <x:t xml:space="preserve">PC-PE-KG01-L25-20251020-AM-ORD-2025-00161-S03</x:t>
  </x:si>
  <x:si>
    <x:t xml:space="preserve">PC-PE-KG01-L25-20251020-AM-ORD-2025-00161-S04</x:t>
  </x:si>
  <x:si>
    <x:t xml:space="preserve">PC-PE-KG01-L25-20251020-AM-ORD-2025-00161-S05</x:t>
  </x:si>
  <x:si>
    <x:t xml:space="preserve">PC-PE-KG01-L25-20251020-AM-ORD-2025-00161-S06</x:t>
  </x:si>
  <x:si>
    <x:t xml:space="preserve">PC-PE-KG01-L25-20251020-AM-ORD-2025-00161-S07</x:t>
  </x:si>
  <x:si>
    <x:t xml:space="preserve">PC-PE-KG01-L25-20251020-AM-ORD-2025-00161-S08</x:t>
  </x:si>
  <x:si>
    <x:t xml:space="preserve">PC-PE-KG01-L25-20251020-AM-ORD-2025-00161-S09</x:t>
  </x:si>
  <x:si>
    <x:t xml:space="preserve">PC-PE-KG01-L25-20251020-AM-ORD-2025-00161-S10</x:t>
  </x:si>
  <x:si>
    <x:t xml:space="preserve">PC-PE-KG01-L25-20251020-AM-ORD-2025-00161-S11</x:t>
  </x:si>
  <x:si>
    <x:t xml:space="preserve">PC-PE-KG01-L25-20251020-AM-ORD-2025-00161-S12</x:t>
  </x:si>
  <x:si>
    <x:t xml:space="preserve">PC-PE-KG01-L25-20251020-AM-ORD-2025-00161-S13</x:t>
  </x:si>
  <x:si>
    <x:t xml:space="preserve">PC-PE-KG01-L25-20251020-PM-ORD-2025-00161-S01</x:t>
  </x:si>
  <x:si>
    <x:t xml:space="preserve">PE-KG01-L25-20251020-PM-ORD-2025-00161</x:t>
  </x:si>
  <x:si>
    <x:t xml:space="preserve">PC-PE-KG01-L25-20251020-PM-ORD-2025-00161-S02</x:t>
  </x:si>
  <x:si>
    <x:t xml:space="preserve">PC-PE-KG01-L25-20251020-PM-ORD-2025-00161-S03</x:t>
  </x:si>
  <x:si>
    <x:t xml:space="preserve">PC-PE-KG01-L25-20251020-PM-ORD-2025-00161-S04</x:t>
  </x:si>
  <x:si>
    <x:t xml:space="preserve">PC-PE-KG01-L25-20251020-PM-ORD-2025-00161-S05</x:t>
  </x:si>
  <x:si>
    <x:t xml:space="preserve">PC-PE-KG01-L25-20251020-PM-ORD-2025-00161-S06</x:t>
  </x:si>
  <x:si>
    <x:t xml:space="preserve">PC-PE-KG01-L25-20251020-PM-ORD-2025-00161-S07</x:t>
  </x:si>
  <x:si>
    <x:t xml:space="preserve">PC-PE-KG01-L25-20251020-PM-ORD-2025-00161-S08</x:t>
  </x:si>
  <x:si>
    <x:t xml:space="preserve">PC-PE-KG01-L25-20251020-PM-ORD-2025-00161-S09</x:t>
  </x:si>
  <x:si>
    <x:t xml:space="preserve">PC-PE-KG01-L25-20251020-PM-ORD-2025-00161-S10</x:t>
  </x:si>
  <x:si>
    <x:t xml:space="preserve">PC-PE-KG01-L25-20251020-PM-ORD-2025-00161-S11</x:t>
  </x:si>
  <x:si>
    <x:t xml:space="preserve">PC-PE-KG01-L25-20251020-PM-ORD-2025-00161-S12</x:t>
  </x:si>
  <x:si>
    <x:t xml:space="preserve">PC-PE-KG01-L25-20251020-PM-ORD-2025-00161-S13</x:t>
  </x:si>
  <x:si>
    <x:t xml:space="preserve">PC-PE-KG01-L25-20251021-AM-ORD-2025-00161-S01</x:t>
  </x:si>
  <x:si>
    <x:t xml:space="preserve">PE-KG01-L25-20251021-AM-ORD-2025-00161</x:t>
  </x:si>
  <x:si>
    <x:t xml:space="preserve">PC-PE-KG01-L25-20251021-AM-ORD-2025-00161-S02</x:t>
  </x:si>
  <x:si>
    <x:t xml:space="preserve">PC-PE-KG01-L25-20251021-AM-ORD-2025-00161-S03</x:t>
  </x:si>
  <x:si>
    <x:t xml:space="preserve">PC-PE-KG01-L25-20251021-AM-ORD-2025-00161-S04</x:t>
  </x:si>
  <x:si>
    <x:t xml:space="preserve">PC-PE-KG01-L25-20251021-AM-ORD-2025-00161-S05</x:t>
  </x:si>
  <x:si>
    <x:t xml:space="preserve">PC-PE-KG01-L25-20251021-AM-ORD-2025-00161-S06</x:t>
  </x:si>
  <x:si>
    <x:t xml:space="preserve">PC-PE-KG01-L25-20251021-AM-ORD-2025-00161-S07</x:t>
  </x:si>
  <x:si>
    <x:t xml:space="preserve">PC-PE-KG01-L25-20251021-AM-ORD-2025-00161-S08</x:t>
  </x:si>
  <x:si>
    <x:t xml:space="preserve">PC-PE-KG01-L25-20251021-AM-ORD-2025-00161-S09</x:t>
  </x:si>
  <x:si>
    <x:t xml:space="preserve">PC-PE-KG01-L25-20251021-AM-ORD-2025-00161-S10</x:t>
  </x:si>
  <x:si>
    <x:t xml:space="preserve">PC-PE-KG01-L25-20251021-AM-ORD-2025-00161-S11</x:t>
  </x:si>
  <x:si>
    <x:t xml:space="preserve">PC-PE-KG01-L25-20251021-AM-ORD-2025-00161-S12</x:t>
  </x:si>
  <x:si>
    <x:t xml:space="preserve">PC-PE-KG01-L25-20251021-AM-ORD-2025-00161-S13</x:t>
  </x:si>
  <x:si>
    <x:t xml:space="preserve">PC-PE-KG01-L25-20251021-PM-ORD-2025-00161-S01</x:t>
  </x:si>
  <x:si>
    <x:t xml:space="preserve">PE-KG01-L25-20251021-PM-ORD-2025-00161</x:t>
  </x:si>
  <x:si>
    <x:t xml:space="preserve">PC-PE-KG01-L25-20251021-PM-ORD-2025-00161-S02</x:t>
  </x:si>
  <x:si>
    <x:t xml:space="preserve">PC-PE-KG01-L25-20251021-PM-ORD-2025-00161-S03</x:t>
  </x:si>
  <x:si>
    <x:t xml:space="preserve">PC-PE-KG01-L25-20251021-PM-ORD-2025-00161-S04</x:t>
  </x:si>
  <x:si>
    <x:t xml:space="preserve">PC-PE-KG01-L25-20251021-PM-ORD-2025-00161-S05</x:t>
  </x:si>
  <x:si>
    <x:t xml:space="preserve">PC-PE-KG01-L25-20251021-PM-ORD-2025-00161-S06</x:t>
  </x:si>
  <x:si>
    <x:t xml:space="preserve">PC-PE-KG01-L25-20251021-PM-ORD-2025-00161-S07</x:t>
  </x:si>
  <x:si>
    <x:t xml:space="preserve">PC-PE-KG01-L25-20251021-PM-ORD-2025-00161-S08</x:t>
  </x:si>
  <x:si>
    <x:t xml:space="preserve">PC-PE-KG01-L25-20251021-PM-ORD-2025-00161-S09</x:t>
  </x:si>
  <x:si>
    <x:t xml:space="preserve">PC-PE-KG01-L25-20251021-PM-ORD-2025-00161-S10</x:t>
  </x:si>
  <x:si>
    <x:t xml:space="preserve">PC-PE-KG01-L25-20251021-PM-ORD-2025-00161-S11</x:t>
  </x:si>
  <x:si>
    <x:t xml:space="preserve">PC-PE-KG01-L25-20251021-PM-ORD-2025-00161-S12</x:t>
  </x:si>
  <x:si>
    <x:t xml:space="preserve">PC-PE-KG01-L25-20251021-PM-ORD-2025-00161-S13</x:t>
  </x:si>
  <x:si>
    <x:t xml:space="preserve">PC-PE-KG01-L25-20251022-AM-ORD-2025-00161-S01</x:t>
  </x:si>
  <x:si>
    <x:t xml:space="preserve">PE-KG01-L25-20251022-AM-ORD-2025-00161</x:t>
  </x:si>
  <x:si>
    <x:t xml:space="preserve">PC-PE-KG01-L25-20251022-AM-ORD-2025-00161-S02</x:t>
  </x:si>
  <x:si>
    <x:t xml:space="preserve">PC-PE-KG01-L25-20251022-AM-ORD-2025-00161-S03</x:t>
  </x:si>
  <x:si>
    <x:t xml:space="preserve">PC-PE-KG01-L25-20251022-AM-ORD-2025-00161-S04</x:t>
  </x:si>
  <x:si>
    <x:t xml:space="preserve">PC-PE-KG01-L25-20251022-AM-ORD-2025-00161-S05</x:t>
  </x:si>
  <x:si>
    <x:t xml:space="preserve">PC-PE-KG01-L25-20251022-AM-ORD-2025-00161-S06</x:t>
  </x:si>
  <x:si>
    <x:t xml:space="preserve">PC-PE-KG01-L25-20251022-AM-ORD-2025-00161-S07</x:t>
  </x:si>
  <x:si>
    <x:t xml:space="preserve">PC-PE-KG01-L25-20251022-AM-ORD-2025-00161-S08</x:t>
  </x:si>
  <x:si>
    <x:t xml:space="preserve">PC-PE-KG01-L25-20251022-AM-ORD-2025-00161-S09</x:t>
  </x:si>
  <x:si>
    <x:t xml:space="preserve">PC-PE-KG01-L25-20251022-AM-ORD-2025-00161-S10</x:t>
  </x:si>
  <x:si>
    <x:t xml:space="preserve">PC-PE-KG01-L25-20251022-AM-ORD-2025-00161-S11</x:t>
  </x:si>
  <x:si>
    <x:t xml:space="preserve">PC-PE-KG01-L25-20251022-AM-ORD-2025-00161-S12</x:t>
  </x:si>
  <x:si>
    <x:t xml:space="preserve">PC-PE-KG01-L25-20251022-AM-ORD-2025-00161-S13</x:t>
  </x:si>
  <x:si>
    <x:t xml:space="preserve">PC-PE-KG01-L25-20251022-PM-ORD-2025-00161-S01</x:t>
  </x:si>
  <x:si>
    <x:t xml:space="preserve">PE-KG01-L25-20251022-PM-ORD-2025-00161</x:t>
  </x:si>
  <x:si>
    <x:t xml:space="preserve">PC-PE-KG01-L25-20251022-PM-ORD-2025-00161-S02</x:t>
  </x:si>
  <x:si>
    <x:t xml:space="preserve">PC-PE-KG01-L25-20251022-PM-ORD-2025-00161-S03</x:t>
  </x:si>
  <x:si>
    <x:t xml:space="preserve">PC-PE-KG01-L25-20251022-PM-ORD-2025-00161-S04</x:t>
  </x:si>
  <x:si>
    <x:t xml:space="preserve">PC-PE-KG01-L25-20251022-PM-ORD-2025-00161-S05</x:t>
  </x:si>
  <x:si>
    <x:t xml:space="preserve">PC-PE-KG01-L25-20251022-PM-ORD-2025-00161-S06</x:t>
  </x:si>
  <x:si>
    <x:t xml:space="preserve">PC-PE-KG01-L25-20251022-PM-ORD-2025-00161-S07</x:t>
  </x:si>
  <x:si>
    <x:t xml:space="preserve">PC-PE-KG01-L25-20251022-PM-ORD-2025-00161-S08</x:t>
  </x:si>
  <x:si>
    <x:t xml:space="preserve">PC-PE-KG01-L25-20251022-PM-ORD-2025-00161-S09</x:t>
  </x:si>
  <x:si>
    <x:t xml:space="preserve">PC-PE-KG01-L25-20251022-PM-ORD-2025-00161-S10</x:t>
  </x:si>
  <x:si>
    <x:t xml:space="preserve">PC-PE-KG01-L25-20251022-PM-ORD-2025-00161-S11</x:t>
  </x:si>
  <x:si>
    <x:t xml:space="preserve">PC-PE-KG01-L25-20251022-PM-ORD-2025-00161-S12</x:t>
  </x:si>
  <x:si>
    <x:t xml:space="preserve">PC-PE-KG01-L25-20251022-PM-ORD-2025-00161-S13</x:t>
  </x:si>
  <x:si>
    <x:t xml:space="preserve">PC-PE-KG01-L25-20251023-AM-ORD-2025-00162-S01</x:t>
  </x:si>
  <x:si>
    <x:t xml:space="preserve">PC-PE-KG01-L25-20251023-AM-ORD-2025-00162-S02</x:t>
  </x:si>
  <x:si>
    <x:t xml:space="preserve">PC-PE-KG01-L25-20251023-AM-ORD-2025-00162-S03</x:t>
  </x:si>
  <x:si>
    <x:t xml:space="preserve">PC-PE-KG01-L25-20251023-AM-ORD-2025-00162-S04</x:t>
  </x:si>
  <x:si>
    <x:t xml:space="preserve">PC-PE-KG01-L25-20251023-AM-ORD-2025-00162-S05</x:t>
  </x:si>
  <x:si>
    <x:t xml:space="preserve">PC-PE-KG01-L25-20251023-AM-ORD-2025-00162-S06</x:t>
  </x:si>
  <x:si>
    <x:t xml:space="preserve">PC-PE-KG01-L25-20251023-AM-ORD-2025-00162-S07</x:t>
  </x:si>
  <x:si>
    <x:t xml:space="preserve">PC-PE-KG01-L25-20251023-AM-ORD-2025-00162-S08</x:t>
  </x:si>
  <x:si>
    <x:t xml:space="preserve">PC-PE-KG01-L25-20251023-AM-ORD-2025-00162-S09</x:t>
  </x:si>
  <x:si>
    <x:t xml:space="preserve">PC-PE-KG01-L25-20251023-AM-ORD-2025-00162-S10</x:t>
  </x:si>
  <x:si>
    <x:t xml:space="preserve">PC-PE-KG01-L25-20251023-AM-ORD-2025-00162-S11</x:t>
  </x:si>
  <x:si>
    <x:t xml:space="preserve">PC-PE-KG01-L25-20251023-AM-ORD-2025-00162-S12</x:t>
  </x:si>
  <x:si>
    <x:t xml:space="preserve">PC-PE-KG01-L25-20251023-AM-ORD-2025-00162-S13</x:t>
  </x:si>
  <x:si>
    <x:t xml:space="preserve">PC-PE-KG01-L25-20251023-PM-ORD-2025-00162-S01</x:t>
  </x:si>
  <x:si>
    <x:t xml:space="preserve">PE-KG01-L25-20251023-PM-ORD-2025-00162</x:t>
  </x:si>
  <x:si>
    <x:t xml:space="preserve">PC-PE-KG01-L25-20251023-PM-ORD-2025-00162-S02</x:t>
  </x:si>
  <x:si>
    <x:t xml:space="preserve">PC-PE-KG01-L25-20251023-PM-ORD-2025-00162-S03</x:t>
  </x:si>
  <x:si>
    <x:t xml:space="preserve">PC-PE-KG01-L25-20251023-PM-ORD-2025-00162-S04</x:t>
  </x:si>
  <x:si>
    <x:t xml:space="preserve">PC-PE-KG01-L25-20251023-PM-ORD-2025-00162-S05</x:t>
  </x:si>
  <x:si>
    <x:t xml:space="preserve">PC-PE-KG01-L25-20251023-PM-ORD-2025-00162-S06</x:t>
  </x:si>
  <x:si>
    <x:t xml:space="preserve">PC-PE-KG01-L25-20251023-PM-ORD-2025-00162-S07</x:t>
  </x:si>
  <x:si>
    <x:t xml:space="preserve">PC-PE-KG01-L25-20251023-PM-ORD-2025-00162-S08</x:t>
  </x:si>
  <x:si>
    <x:t xml:space="preserve">PC-PE-KG01-L25-20251023-PM-ORD-2025-00162-S09</x:t>
  </x:si>
  <x:si>
    <x:t xml:space="preserve">PC-PE-KG01-L25-20251023-PM-ORD-2025-00162-S10</x:t>
  </x:si>
  <x:si>
    <x:t xml:space="preserve">PC-PE-KG01-L25-20251023-PM-ORD-2025-00162-S11</x:t>
  </x:si>
  <x:si>
    <x:t xml:space="preserve">PC-PE-KG01-L25-20251023-PM-ORD-2025-00162-S12</x:t>
  </x:si>
  <x:si>
    <x:t xml:space="preserve">PC-PE-KG01-L25-20251023-PM-ORD-2025-00162-S13</x:t>
  </x:si>
  <x:si>
    <x:t xml:space="preserve">PC-PE-KG01-L25-20251024-AM-ORD-2025-00162-S01</x:t>
  </x:si>
  <x:si>
    <x:t xml:space="preserve">PE-KG01-L25-20251024-AM-ORD-2025-00162</x:t>
  </x:si>
  <x:si>
    <x:t xml:space="preserve">PC-PE-KG01-L25-20251024-AM-ORD-2025-00162-S02</x:t>
  </x:si>
  <x:si>
    <x:t xml:space="preserve">PC-PE-KG01-L25-20251024-AM-ORD-2025-00162-S03</x:t>
  </x:si>
  <x:si>
    <x:t xml:space="preserve">PC-PE-KG01-L25-20251024-AM-ORD-2025-00162-S04</x:t>
  </x:si>
  <x:si>
    <x:t xml:space="preserve">PC-PE-KG01-L25-20251024-AM-ORD-2025-00162-S05</x:t>
  </x:si>
  <x:si>
    <x:t xml:space="preserve">PC-PE-KG01-L25-20251024-AM-ORD-2025-00162-S06</x:t>
  </x:si>
  <x:si>
    <x:t xml:space="preserve">PC-PE-KG01-L25-20251024-AM-ORD-2025-00162-S07</x:t>
  </x:si>
  <x:si>
    <x:t xml:space="preserve">PC-PE-KG01-L25-20251024-AM-ORD-2025-00162-S08</x:t>
  </x:si>
  <x:si>
    <x:t xml:space="preserve">PC-PE-KG01-L25-20251024-AM-ORD-2025-00162-S09</x:t>
  </x:si>
  <x:si>
    <x:t xml:space="preserve">PC-PE-KG01-L25-20251024-AM-ORD-2025-00162-S10</x:t>
  </x:si>
  <x:si>
    <x:t xml:space="preserve">PC-PE-KG01-L25-20251024-AM-ORD-2025-00162-S11</x:t>
  </x:si>
  <x:si>
    <x:t xml:space="preserve">PC-PE-KG01-L25-20251024-AM-ORD-2025-00162-S12</x:t>
  </x:si>
  <x:si>
    <x:t xml:space="preserve">PC-PE-KG01-L25-20251024-AM-ORD-2025-00162-S13</x:t>
  </x:si>
  <x:si>
    <x:t xml:space="preserve">PC-PE-KG01-L25-20251024-PM-ORD-2025-00162-S01</x:t>
  </x:si>
  <x:si>
    <x:t xml:space="preserve">PE-KG01-L25-20251024-PM-ORD-2025-00162</x:t>
  </x:si>
  <x:si>
    <x:t xml:space="preserve">PC-PE-KG01-L25-20251024-PM-ORD-2025-00162-S02</x:t>
  </x:si>
  <x:si>
    <x:t xml:space="preserve">PC-PE-KG01-L25-20251024-PM-ORD-2025-00162-S03</x:t>
  </x:si>
  <x:si>
    <x:t xml:space="preserve">PC-PE-KG01-L25-20251024-PM-ORD-2025-00162-S04</x:t>
  </x:si>
  <x:si>
    <x:t xml:space="preserve">PC-PE-KG01-L25-20251024-PM-ORD-2025-00162-S05</x:t>
  </x:si>
  <x:si>
    <x:t xml:space="preserve">PC-PE-KG01-L25-20251024-PM-ORD-2025-00162-S06</x:t>
  </x:si>
  <x:si>
    <x:t xml:space="preserve">PC-PE-KG01-L25-20251024-PM-ORD-2025-00162-S07</x:t>
  </x:si>
  <x:si>
    <x:t xml:space="preserve">PC-PE-KG01-L25-20251024-PM-ORD-2025-00162-S08</x:t>
  </x:si>
  <x:si>
    <x:t xml:space="preserve">PC-PE-KG01-L25-20251024-PM-ORD-2025-00162-S09</x:t>
  </x:si>
  <x:si>
    <x:t xml:space="preserve">PC-PE-KG01-L25-20251024-PM-ORD-2025-00162-S10</x:t>
  </x:si>
  <x:si>
    <x:t xml:space="preserve">PC-PE-KG01-L25-20251024-PM-ORD-2025-00162-S11</x:t>
  </x:si>
  <x:si>
    <x:t xml:space="preserve">PC-PE-KG01-L25-20251024-PM-ORD-2025-00162-S12</x:t>
  </x:si>
  <x:si>
    <x:t xml:space="preserve">PC-PE-KG01-L25-20251024-PM-ORD-2025-00162-S13</x:t>
  </x:si>
  <x:si>
    <x:t xml:space="preserve">PC-PE-KG01-L25-20251025-AM-ORD-2025-00162-S01</x:t>
  </x:si>
  <x:si>
    <x:t xml:space="preserve">PE-KG01-L25-20251025-AM-ORD-2025-00162</x:t>
  </x:si>
  <x:si>
    <x:t xml:space="preserve">PC-PE-KG01-L25-20251025-AM-ORD-2025-00162-S02</x:t>
  </x:si>
  <x:si>
    <x:t xml:space="preserve">PC-PE-KG01-L25-20251025-AM-ORD-2025-00162-S03</x:t>
  </x:si>
  <x:si>
    <x:t xml:space="preserve">PC-PE-KG01-L25-20251025-AM-ORD-2025-00162-S04</x:t>
  </x:si>
  <x:si>
    <x:t xml:space="preserve">PC-PE-KG01-L25-20251025-AM-ORD-2025-00162-S05</x:t>
  </x:si>
  <x:si>
    <x:t xml:space="preserve">PC-PE-KG01-L25-20251025-AM-ORD-2025-00162-S06</x:t>
  </x:si>
  <x:si>
    <x:t xml:space="preserve">PC-PE-KG01-L25-20251025-AM-ORD-2025-00162-S07</x:t>
  </x:si>
  <x:si>
    <x:t xml:space="preserve">PC-PE-KG01-L25-20251025-AM-ORD-2025-00162-S08</x:t>
  </x:si>
  <x:si>
    <x:t xml:space="preserve">PC-PE-KG01-L25-20251025-AM-ORD-2025-00162-S09</x:t>
  </x:si>
  <x:si>
    <x:t xml:space="preserve">PC-PE-KG01-L25-20251025-AM-ORD-2025-00162-S10</x:t>
  </x:si>
  <x:si>
    <x:t xml:space="preserve">PC-PE-KG01-L25-20251025-AM-ORD-2025-00162-S11</x:t>
  </x:si>
  <x:si>
    <x:t xml:space="preserve">PC-PE-KG01-L25-20251025-AM-ORD-2025-00162-S12</x:t>
  </x:si>
  <x:si>
    <x:t xml:space="preserve">PC-PE-KG01-L25-20251025-AM-ORD-2025-00162-S13</x:t>
  </x:si>
  <x:si>
    <x:t xml:space="preserve">PC-PE-KG01-L25-20251025-PM-ORD-2025-00162-S01</x:t>
  </x:si>
  <x:si>
    <x:t xml:space="preserve">PE-KG01-L25-20251025-PM-ORD-2025-00162</x:t>
  </x:si>
  <x:si>
    <x:t xml:space="preserve">PC-PE-KG01-L25-20251025-PM-ORD-2025-00162-S02</x:t>
  </x:si>
  <x:si>
    <x:t xml:space="preserve">PC-PE-KG01-L25-20251025-PM-ORD-2025-00162-S03</x:t>
  </x:si>
  <x:si>
    <x:t xml:space="preserve">PC-PE-KG01-L25-20251025-PM-ORD-2025-00162-S04</x:t>
  </x:si>
  <x:si>
    <x:t xml:space="preserve">PC-PE-KG01-L25-20251025-PM-ORD-2025-00162-S05</x:t>
  </x:si>
  <x:si>
    <x:t xml:space="preserve">PC-PE-KG01-L25-20251025-PM-ORD-2025-00162-S06</x:t>
  </x:si>
  <x:si>
    <x:t xml:space="preserve">PC-PE-KG01-L25-20251025-PM-ORD-2025-00162-S07</x:t>
  </x:si>
  <x:si>
    <x:t xml:space="preserve">PC-PE-KG01-L25-20251025-PM-ORD-2025-00162-S08</x:t>
  </x:si>
  <x:si>
    <x:t xml:space="preserve">PC-PE-KG01-L25-20251025-PM-ORD-2025-00162-S09</x:t>
  </x:si>
  <x:si>
    <x:t xml:space="preserve">PC-PE-KG01-L25-20251025-PM-ORD-2025-00162-S10</x:t>
  </x:si>
  <x:si>
    <x:t xml:space="preserve">PC-PE-KG01-L25-20251025-PM-ORD-2025-00162-S11</x:t>
  </x:si>
  <x:si>
    <x:t xml:space="preserve">PC-PE-KG01-L25-20251025-PM-ORD-2025-00162-S12</x:t>
  </x:si>
  <x:si>
    <x:t xml:space="preserve">PC-PE-KG01-L25-20251025-PM-ORD-2025-00162-S13</x:t>
  </x:si>
  <x:si>
    <x:t xml:space="preserve">PC-PE-KG01-L25-20251026-AM-ORD-2025-00162-S01</x:t>
  </x:si>
  <x:si>
    <x:t xml:space="preserve">PE-KG01-L25-20251026-AM-ORD-2025-00162</x:t>
  </x:si>
  <x:si>
    <x:t xml:space="preserve">PC-PE-KG01-L25-20251026-AM-ORD-2025-00162-S02</x:t>
  </x:si>
  <x:si>
    <x:t xml:space="preserve">PC-PE-KG01-L25-20251026-AM-ORD-2025-00162-S03</x:t>
  </x:si>
  <x:si>
    <x:t xml:space="preserve">PC-PE-KG01-L25-20251026-AM-ORD-2025-00162-S04</x:t>
  </x:si>
  <x:si>
    <x:t xml:space="preserve">PC-PE-KG01-L25-20251026-AM-ORD-2025-00162-S05</x:t>
  </x:si>
  <x:si>
    <x:t xml:space="preserve">PC-PE-KG01-L25-20251026-AM-ORD-2025-00162-S06</x:t>
  </x:si>
  <x:si>
    <x:t xml:space="preserve">PC-PE-KG01-L25-20251026-AM-ORD-2025-00162-S07</x:t>
  </x:si>
  <x:si>
    <x:t xml:space="preserve">PC-PE-KG01-L25-20251026-AM-ORD-2025-00162-S08</x:t>
  </x:si>
  <x:si>
    <x:t xml:space="preserve">PC-PE-KG01-L25-20251026-AM-ORD-2025-00162-S09</x:t>
  </x:si>
  <x:si>
    <x:t xml:space="preserve">PC-PE-KG01-L25-20251026-AM-ORD-2025-00162-S10</x:t>
  </x:si>
  <x:si>
    <x:t xml:space="preserve">PC-PE-KG01-L25-20251026-AM-ORD-2025-00162-S11</x:t>
  </x:si>
  <x:si>
    <x:t xml:space="preserve">PC-PE-KG01-L25-20251026-AM-ORD-2025-00162-S12</x:t>
  </x:si>
  <x:si>
    <x:t xml:space="preserve">PC-PE-KG01-L25-20251026-AM-ORD-2025-00162-S13</x:t>
  </x:si>
  <x:si>
    <x:t xml:space="preserve">PC-PE-KG01-L25-20251026-PM-ORD-2025-00162-S01</x:t>
  </x:si>
  <x:si>
    <x:t xml:space="preserve">PE-KG01-L25-20251026-PM-ORD-2025-00162</x:t>
  </x:si>
  <x:si>
    <x:t xml:space="preserve">PC-PE-KG01-L25-20251026-PM-ORD-2025-00162-S02</x:t>
  </x:si>
  <x:si>
    <x:t xml:space="preserve">PC-PE-KG01-L25-20251026-PM-ORD-2025-00162-S03</x:t>
  </x:si>
  <x:si>
    <x:t xml:space="preserve">PC-PE-KG01-L25-20251026-PM-ORD-2025-00162-S04</x:t>
  </x:si>
  <x:si>
    <x:t xml:space="preserve">PC-PE-KG01-L25-20251026-PM-ORD-2025-00162-S05</x:t>
  </x:si>
  <x:si>
    <x:t xml:space="preserve">PC-PE-KG01-L25-20251026-PM-ORD-2025-00162-S06</x:t>
  </x:si>
  <x:si>
    <x:t xml:space="preserve">PC-PE-KG01-L25-20251026-PM-ORD-2025-00162-S07</x:t>
  </x:si>
  <x:si>
    <x:t xml:space="preserve">PC-PE-KG01-L25-20251026-PM-ORD-2025-00162-S08</x:t>
  </x:si>
  <x:si>
    <x:t xml:space="preserve">PC-PE-KG01-L25-20251026-PM-ORD-2025-00162-S09</x:t>
  </x:si>
  <x:si>
    <x:t xml:space="preserve">PC-PE-KG01-L25-20251026-PM-ORD-2025-00162-S10</x:t>
  </x:si>
  <x:si>
    <x:t xml:space="preserve">PC-PE-KG01-L25-20251026-PM-ORD-2025-00162-S11</x:t>
  </x:si>
  <x:si>
    <x:t xml:space="preserve">PC-PE-KG01-L25-20251026-PM-ORD-2025-00162-S12</x:t>
  </x:si>
  <x:si>
    <x:t xml:space="preserve">PC-PE-KG01-L25-20251026-PM-ORD-2025-00162-S13</x:t>
  </x:si>
  <x:si>
    <x:t xml:space="preserve">ActiveOverride</x:t>
  </x:si>
  <x:si>
    <x:t xml:space="preserve">Section</x:t>
  </x:si>
  <x:si>
    <x:t xml:space="preserve">L21-S01</x:t>
  </x:si>
  <x:si>
    <x:t xml:space="preserve">Cavity</x:t>
  </x:si>
  <x:si>
    <x:t xml:space="preserve">L21-S01-C1</x:t>
  </x:si>
  <x:si>
    <x:t xml:space="preserve">L21-S01-C2</x:t>
  </x:si>
  <x:si>
    <x:t xml:space="preserve">L21-S01-C3</x:t>
  </x:si>
  <x:si>
    <x:t xml:space="preserve">L21-S02</x:t>
  </x:si>
  <x:si>
    <x:t xml:space="preserve">L21-S02-C1</x:t>
  </x:si>
  <x:si>
    <x:t xml:space="preserve">L21-S02-C2</x:t>
  </x:si>
  <x:si>
    <x:t xml:space="preserve">L21-S02-C3</x:t>
  </x:si>
  <x:si>
    <x:t xml:space="preserve">L21-S03</x:t>
  </x:si>
  <x:si>
    <x:t xml:space="preserve">L21-S03-C1</x:t>
  </x:si>
  <x:si>
    <x:t xml:space="preserve">L21-S03-C2</x:t>
  </x:si>
  <x:si>
    <x:t xml:space="preserve">L21-S03-C3</x:t>
  </x:si>
  <x:si>
    <x:t xml:space="preserve">L21-S04</x:t>
  </x:si>
  <x:si>
    <x:t xml:space="preserve">L21-S04-C1</x:t>
  </x:si>
  <x:si>
    <x:t xml:space="preserve">L21-S04-C2</x:t>
  </x:si>
  <x:si>
    <x:t xml:space="preserve">L21-S04-C3</x:t>
  </x:si>
  <x:si>
    <x:t xml:space="preserve">L21-S05</x:t>
  </x:si>
  <x:si>
    <x:t xml:space="preserve">L21-S05-C1</x:t>
  </x:si>
  <x:si>
    <x:t xml:space="preserve">L21-S05-C2</x:t>
  </x:si>
  <x:si>
    <x:t xml:space="preserve">L21-S05-C3</x:t>
  </x:si>
  <x:si>
    <x:t xml:space="preserve">L21-S06</x:t>
  </x:si>
  <x:si>
    <x:t xml:space="preserve">L21-S06-C1</x:t>
  </x:si>
  <x:si>
    <x:t xml:space="preserve">L21-S06-C2</x:t>
  </x:si>
  <x:si>
    <x:t xml:space="preserve">L21-S06-C3</x:t>
  </x:si>
  <x:si>
    <x:t xml:space="preserve">L21-S07</x:t>
  </x:si>
  <x:si>
    <x:t xml:space="preserve">L21-S07-C1</x:t>
  </x:si>
  <x:si>
    <x:t xml:space="preserve">L21-S07-C2</x:t>
  </x:si>
  <x:si>
    <x:t xml:space="preserve">L21-S07-C3</x:t>
  </x:si>
  <x:si>
    <x:t xml:space="preserve">L21-S08</x:t>
  </x:si>
  <x:si>
    <x:t xml:space="preserve">L21-S08-C1</x:t>
  </x:si>
  <x:si>
    <x:t xml:space="preserve">L21-S08-C2</x:t>
  </x:si>
  <x:si>
    <x:t xml:space="preserve">L21-S08-C3</x:t>
  </x:si>
  <x:si>
    <x:t xml:space="preserve">L21-S09</x:t>
  </x:si>
  <x:si>
    <x:t xml:space="preserve">L21-S09-C1</x:t>
  </x:si>
  <x:si>
    <x:t xml:space="preserve">L21-S09-C2</x:t>
  </x:si>
  <x:si>
    <x:t xml:space="preserve">L21-S09-C3</x:t>
  </x:si>
  <x:si>
    <x:t xml:space="preserve">L21-S10</x:t>
  </x:si>
  <x:si>
    <x:t xml:space="preserve">L21-S10-C1</x:t>
  </x:si>
  <x:si>
    <x:t xml:space="preserve">L21-S10-C2</x:t>
  </x:si>
  <x:si>
    <x:t xml:space="preserve">L21-S10-C3</x:t>
  </x:si>
  <x:si>
    <x:t xml:space="preserve">L21-S11</x:t>
  </x:si>
  <x:si>
    <x:t xml:space="preserve">L21-S11-C1</x:t>
  </x:si>
  <x:si>
    <x:t xml:space="preserve">L21-S11-C2</x:t>
  </x:si>
  <x:si>
    <x:t xml:space="preserve">L21-S11-C3</x:t>
  </x:si>
  <x:si>
    <x:t xml:space="preserve">L21-S12</x:t>
  </x:si>
  <x:si>
    <x:t xml:space="preserve">L21-S12-C1</x:t>
  </x:si>
  <x:si>
    <x:t xml:space="preserve">L21-S12-C2</x:t>
  </x:si>
  <x:si>
    <x:t xml:space="preserve">L21-S12-C3</x:t>
  </x:si>
  <x:si>
    <x:t xml:space="preserve">L21-S13</x:t>
  </x:si>
  <x:si>
    <x:t xml:space="preserve">L21-S13-C1</x:t>
  </x:si>
  <x:si>
    <x:t xml:space="preserve">L21-S13-C2</x:t>
  </x:si>
  <x:si>
    <x:t xml:space="preserve">L21-S13-C3</x:t>
  </x:si>
  <x:si>
    <x:t xml:space="preserve">L22-S01</x:t>
  </x:si>
  <x:si>
    <x:t xml:space="preserve">L22-S01-C1</x:t>
  </x:si>
  <x:si>
    <x:t xml:space="preserve">L22-S01-C2</x:t>
  </x:si>
  <x:si>
    <x:t xml:space="preserve">L22-S01-C3</x:t>
  </x:si>
  <x:si>
    <x:t xml:space="preserve">L22-S02</x:t>
  </x:si>
  <x:si>
    <x:t xml:space="preserve">L22-S02-C1</x:t>
  </x:si>
  <x:si>
    <x:t xml:space="preserve">L22-S02-C2</x:t>
  </x:si>
  <x:si>
    <x:t xml:space="preserve">L22-S02-C3</x:t>
  </x:si>
  <x:si>
    <x:t xml:space="preserve">L22-S03</x:t>
  </x:si>
  <x:si>
    <x:t xml:space="preserve">L22-S03-C1</x:t>
  </x:si>
  <x:si>
    <x:t xml:space="preserve">L22-S03-C2</x:t>
  </x:si>
  <x:si>
    <x:t xml:space="preserve">L22-S03-C3</x:t>
  </x:si>
  <x:si>
    <x:t xml:space="preserve">L22-S04</x:t>
  </x:si>
  <x:si>
    <x:t xml:space="preserve">L22-S04-C1</x:t>
  </x:si>
  <x:si>
    <x:t xml:space="preserve">L22-S04-C2</x:t>
  </x:si>
  <x:si>
    <x:t xml:space="preserve">L22-S04-C3</x:t>
  </x:si>
  <x:si>
    <x:t xml:space="preserve">L22-S05</x:t>
  </x:si>
  <x:si>
    <x:t xml:space="preserve">L22-S05-C1</x:t>
  </x:si>
  <x:si>
    <x:t xml:space="preserve">L22-S05-C2</x:t>
  </x:si>
  <x:si>
    <x:t xml:space="preserve">L22-S05-C3</x:t>
  </x:si>
  <x:si>
    <x:t xml:space="preserve">L22-S06</x:t>
  </x:si>
  <x:si>
    <x:t xml:space="preserve">L22-S06-C1</x:t>
  </x:si>
  <x:si>
    <x:t xml:space="preserve">L22-S06-C2</x:t>
  </x:si>
  <x:si>
    <x:t xml:space="preserve">L22-S06-C3</x:t>
  </x:si>
  <x:si>
    <x:t xml:space="preserve">L22-S07</x:t>
  </x:si>
  <x:si>
    <x:t xml:space="preserve">L22-S07-C1</x:t>
  </x:si>
  <x:si>
    <x:t xml:space="preserve">L22-S07-C2</x:t>
  </x:si>
  <x:si>
    <x:t xml:space="preserve">L22-S07-C3</x:t>
  </x:si>
  <x:si>
    <x:t xml:space="preserve">L22-S08</x:t>
  </x:si>
  <x:si>
    <x:t xml:space="preserve">L22-S08-C1</x:t>
  </x:si>
  <x:si>
    <x:t xml:space="preserve">L22-S08-C2</x:t>
  </x:si>
  <x:si>
    <x:t xml:space="preserve">L22-S08-C3</x:t>
  </x:si>
  <x:si>
    <x:t xml:space="preserve">L22-S09</x:t>
  </x:si>
  <x:si>
    <x:t xml:space="preserve">L22-S09-C1</x:t>
  </x:si>
  <x:si>
    <x:t xml:space="preserve">L22-S09-C2</x:t>
  </x:si>
  <x:si>
    <x:t xml:space="preserve">L22-S09-C3</x:t>
  </x:si>
  <x:si>
    <x:t xml:space="preserve">L22-S10</x:t>
  </x:si>
  <x:si>
    <x:t xml:space="preserve">L22-S10-C1</x:t>
  </x:si>
  <x:si>
    <x:t xml:space="preserve">L22-S10-C2</x:t>
  </x:si>
  <x:si>
    <x:t xml:space="preserve">L22-S10-C3</x:t>
  </x:si>
  <x:si>
    <x:t xml:space="preserve">L22-S11</x:t>
  </x:si>
  <x:si>
    <x:t xml:space="preserve">L22-S11-C1</x:t>
  </x:si>
  <x:si>
    <x:t xml:space="preserve">L22-S11-C2</x:t>
  </x:si>
  <x:si>
    <x:t xml:space="preserve">L22-S11-C3</x:t>
  </x:si>
  <x:si>
    <x:t xml:space="preserve">L22-S12</x:t>
  </x:si>
  <x:si>
    <x:t xml:space="preserve">L22-S12-C1</x:t>
  </x:si>
  <x:si>
    <x:t xml:space="preserve">L22-S12-C2</x:t>
  </x:si>
  <x:si>
    <x:t xml:space="preserve">L22-S12-C3</x:t>
  </x:si>
  <x:si>
    <x:t xml:space="preserve">L22-S13</x:t>
  </x:si>
  <x:si>
    <x:t xml:space="preserve">L22-S13-C1</x:t>
  </x:si>
  <x:si>
    <x:t xml:space="preserve">L22-S13-C2</x:t>
  </x:si>
  <x:si>
    <x:t xml:space="preserve">L22-S13-C3</x:t>
  </x:si>
  <x:si>
    <x:t xml:space="preserve">L23-S01</x:t>
  </x:si>
  <x:si>
    <x:t xml:space="preserve">L23-S01-C1</x:t>
  </x:si>
  <x:si>
    <x:t xml:space="preserve">L23-S01-C2</x:t>
  </x:si>
  <x:si>
    <x:t xml:space="preserve">L23-S01-C3</x:t>
  </x:si>
  <x:si>
    <x:t xml:space="preserve">L23-S02</x:t>
  </x:si>
  <x:si>
    <x:t xml:space="preserve">L23-S02-C1</x:t>
  </x:si>
  <x:si>
    <x:t xml:space="preserve">L23-S02-C2</x:t>
  </x:si>
  <x:si>
    <x:t xml:space="preserve">L23-S02-C3</x:t>
  </x:si>
  <x:si>
    <x:t xml:space="preserve">L23-S03</x:t>
  </x:si>
  <x:si>
    <x:t xml:space="preserve">L23-S03-C1</x:t>
  </x:si>
  <x:si>
    <x:t xml:space="preserve">L23-S03-C2</x:t>
  </x:si>
  <x:si>
    <x:t xml:space="preserve">L23-S03-C3</x:t>
  </x:si>
  <x:si>
    <x:t xml:space="preserve">L23-S04</x:t>
  </x:si>
  <x:si>
    <x:t xml:space="preserve">L23-S04-C1</x:t>
  </x:si>
  <x:si>
    <x:t xml:space="preserve">L23-S04-C2</x:t>
  </x:si>
  <x:si>
    <x:t xml:space="preserve">L23-S04-C3</x:t>
  </x:si>
  <x:si>
    <x:t xml:space="preserve">L23-S05</x:t>
  </x:si>
  <x:si>
    <x:t xml:space="preserve">L23-S05-C1</x:t>
  </x:si>
  <x:si>
    <x:t xml:space="preserve">L23-S05-C2</x:t>
  </x:si>
  <x:si>
    <x:t xml:space="preserve">L23-S05-C3</x:t>
  </x:si>
  <x:si>
    <x:t xml:space="preserve">L23-S06</x:t>
  </x:si>
  <x:si>
    <x:t xml:space="preserve">L23-S06-C1</x:t>
  </x:si>
  <x:si>
    <x:t xml:space="preserve">L23-S06-C2</x:t>
  </x:si>
  <x:si>
    <x:t xml:space="preserve">L23-S06-C3</x:t>
  </x:si>
  <x:si>
    <x:t xml:space="preserve">L23-S07</x:t>
  </x:si>
  <x:si>
    <x:t xml:space="preserve">L23-S07-C1</x:t>
  </x:si>
  <x:si>
    <x:t xml:space="preserve">L23-S07-C2</x:t>
  </x:si>
  <x:si>
    <x:t xml:space="preserve">L23-S07-C3</x:t>
  </x:si>
  <x:si>
    <x:t xml:space="preserve">L23-S08</x:t>
  </x:si>
  <x:si>
    <x:t xml:space="preserve">L23-S08-C1</x:t>
  </x:si>
  <x:si>
    <x:t xml:space="preserve">L23-S08-C2</x:t>
  </x:si>
  <x:si>
    <x:t xml:space="preserve">L23-S08-C3</x:t>
  </x:si>
  <x:si>
    <x:t xml:space="preserve">L23-S09</x:t>
  </x:si>
  <x:si>
    <x:t xml:space="preserve">L23-S09-C1</x:t>
  </x:si>
  <x:si>
    <x:t xml:space="preserve">L23-S09-C2</x:t>
  </x:si>
  <x:si>
    <x:t xml:space="preserve">L23-S09-C3</x:t>
  </x:si>
  <x:si>
    <x:t xml:space="preserve">L23-S10</x:t>
  </x:si>
  <x:si>
    <x:t xml:space="preserve">L23-S10-C1</x:t>
  </x:si>
  <x:si>
    <x:t xml:space="preserve">L23-S10-C2</x:t>
  </x:si>
  <x:si>
    <x:t xml:space="preserve">L23-S10-C3</x:t>
  </x:si>
  <x:si>
    <x:t xml:space="preserve">L23-S11</x:t>
  </x:si>
  <x:si>
    <x:t xml:space="preserve">L23-S11-C1</x:t>
  </x:si>
  <x:si>
    <x:t xml:space="preserve">L23-S11-C2</x:t>
  </x:si>
  <x:si>
    <x:t xml:space="preserve">L23-S11-C3</x:t>
  </x:si>
  <x:si>
    <x:t xml:space="preserve">L23-S12</x:t>
  </x:si>
  <x:si>
    <x:t xml:space="preserve">L23-S12-C1</x:t>
  </x:si>
  <x:si>
    <x:t xml:space="preserve">L23-S12-C2</x:t>
  </x:si>
  <x:si>
    <x:t xml:space="preserve">L23-S12-C3</x:t>
  </x:si>
  <x:si>
    <x:t xml:space="preserve">L23-S13</x:t>
  </x:si>
  <x:si>
    <x:t xml:space="preserve">L23-S13-C1</x:t>
  </x:si>
  <x:si>
    <x:t xml:space="preserve">L23-S13-C2</x:t>
  </x:si>
  <x:si>
    <x:t xml:space="preserve">L23-S13-C3</x:t>
  </x:si>
  <x:si>
    <x:t xml:space="preserve">L24-S01</x:t>
  </x:si>
  <x:si>
    <x:t xml:space="preserve">L24-S01-C1</x:t>
  </x:si>
  <x:si>
    <x:t xml:space="preserve">L24-S01-C2</x:t>
  </x:si>
  <x:si>
    <x:t xml:space="preserve">L24-S01-C3</x:t>
  </x:si>
  <x:si>
    <x:t xml:space="preserve">L24-S02</x:t>
  </x:si>
  <x:si>
    <x:t xml:space="preserve">L24-S02-C1</x:t>
  </x:si>
  <x:si>
    <x:t xml:space="preserve">L24-S02-C2</x:t>
  </x:si>
  <x:si>
    <x:t xml:space="preserve">L24-S02-C3</x:t>
  </x:si>
  <x:si>
    <x:t xml:space="preserve">L24-S03</x:t>
  </x:si>
  <x:si>
    <x:t xml:space="preserve">L24-S03-C1</x:t>
  </x:si>
  <x:si>
    <x:t xml:space="preserve">L24-S03-C2</x:t>
  </x:si>
  <x:si>
    <x:t xml:space="preserve">L24-S03-C3</x:t>
  </x:si>
  <x:si>
    <x:t xml:space="preserve">L24-S04</x:t>
  </x:si>
  <x:si>
    <x:t xml:space="preserve">L24-S04-C1</x:t>
  </x:si>
  <x:si>
    <x:t xml:space="preserve">L24-S04-C2</x:t>
  </x:si>
  <x:si>
    <x:t xml:space="preserve">L24-S04-C3</x:t>
  </x:si>
  <x:si>
    <x:t xml:space="preserve">L24-S05</x:t>
  </x:si>
  <x:si>
    <x:t xml:space="preserve">L24-S05-C1</x:t>
  </x:si>
  <x:si>
    <x:t xml:space="preserve">L24-S05-C2</x:t>
  </x:si>
  <x:si>
    <x:t xml:space="preserve">L24-S05-C3</x:t>
  </x:si>
  <x:si>
    <x:t xml:space="preserve">L24-S06</x:t>
  </x:si>
  <x:si>
    <x:t xml:space="preserve">L24-S06-C1</x:t>
  </x:si>
  <x:si>
    <x:t xml:space="preserve">L24-S06-C2</x:t>
  </x:si>
  <x:si>
    <x:t xml:space="preserve">L24-S06-C3</x:t>
  </x:si>
  <x:si>
    <x:t xml:space="preserve">L24-S07</x:t>
  </x:si>
  <x:si>
    <x:t xml:space="preserve">L24-S07-C1</x:t>
  </x:si>
  <x:si>
    <x:t xml:space="preserve">L24-S07-C2</x:t>
  </x:si>
  <x:si>
    <x:t xml:space="preserve">L24-S07-C3</x:t>
  </x:si>
  <x:si>
    <x:t xml:space="preserve">L24-S08</x:t>
  </x:si>
  <x:si>
    <x:t xml:space="preserve">L24-S08-C1</x:t>
  </x:si>
  <x:si>
    <x:t xml:space="preserve">L24-S08-C2</x:t>
  </x:si>
  <x:si>
    <x:t xml:space="preserve">L24-S08-C3</x:t>
  </x:si>
  <x:si>
    <x:t xml:space="preserve">L24-S09</x:t>
  </x:si>
  <x:si>
    <x:t xml:space="preserve">L24-S09-C1</x:t>
  </x:si>
  <x:si>
    <x:t xml:space="preserve">L24-S09-C2</x:t>
  </x:si>
  <x:si>
    <x:t xml:space="preserve">L24-S09-C3</x:t>
  </x:si>
  <x:si>
    <x:t xml:space="preserve">L24-S10</x:t>
  </x:si>
  <x:si>
    <x:t xml:space="preserve">L24-S10-C1</x:t>
  </x:si>
  <x:si>
    <x:t xml:space="preserve">L24-S10-C2</x:t>
  </x:si>
  <x:si>
    <x:t xml:space="preserve">L24-S10-C3</x:t>
  </x:si>
  <x:si>
    <x:t xml:space="preserve">L24-S11</x:t>
  </x:si>
  <x:si>
    <x:t xml:space="preserve">L24-S11-C1</x:t>
  </x:si>
  <x:si>
    <x:t xml:space="preserve">L24-S11-C2</x:t>
  </x:si>
  <x:si>
    <x:t xml:space="preserve">L24-S11-C3</x:t>
  </x:si>
  <x:si>
    <x:t xml:space="preserve">L24-S12</x:t>
  </x:si>
  <x:si>
    <x:t xml:space="preserve">L24-S12-C1</x:t>
  </x:si>
  <x:si>
    <x:t xml:space="preserve">L24-S12-C2</x:t>
  </x:si>
  <x:si>
    <x:t xml:space="preserve">L24-S12-C3</x:t>
  </x:si>
  <x:si>
    <x:t xml:space="preserve">L24-S13</x:t>
  </x:si>
  <x:si>
    <x:t xml:space="preserve">L24-S13-C1</x:t>
  </x:si>
  <x:si>
    <x:t xml:space="preserve">L24-S13-C2</x:t>
  </x:si>
  <x:si>
    <x:t xml:space="preserve">L24-S13-C3</x:t>
  </x:si>
  <x:si>
    <x:t xml:space="preserve">L25-S01</x:t>
  </x:si>
  <x:si>
    <x:t xml:space="preserve">L25-S01-C1</x:t>
  </x:si>
  <x:si>
    <x:t xml:space="preserve">L25-S01-C2</x:t>
  </x:si>
  <x:si>
    <x:t xml:space="preserve">L25-S01-C3</x:t>
  </x:si>
  <x:si>
    <x:t xml:space="preserve">L25-S02</x:t>
  </x:si>
  <x:si>
    <x:t xml:space="preserve">L25-S02-C1</x:t>
  </x:si>
  <x:si>
    <x:t xml:space="preserve">L25-S02-C2</x:t>
  </x:si>
  <x:si>
    <x:t xml:space="preserve">L25-S02-C3</x:t>
  </x:si>
  <x:si>
    <x:t xml:space="preserve">L25-S03</x:t>
  </x:si>
  <x:si>
    <x:t xml:space="preserve">L25-S03-C1</x:t>
  </x:si>
  <x:si>
    <x:t xml:space="preserve">L25-S03-C2</x:t>
  </x:si>
  <x:si>
    <x:t xml:space="preserve">L25-S03-C3</x:t>
  </x:si>
  <x:si>
    <x:t xml:space="preserve">L25-S04</x:t>
  </x:si>
  <x:si>
    <x:t xml:space="preserve">L25-S04-C1</x:t>
  </x:si>
  <x:si>
    <x:t xml:space="preserve">L25-S04-C2</x:t>
  </x:si>
  <x:si>
    <x:t xml:space="preserve">L25-S04-C3</x:t>
  </x:si>
  <x:si>
    <x:t xml:space="preserve">L25-S05</x:t>
  </x:si>
  <x:si>
    <x:t xml:space="preserve">L25-S05-C1</x:t>
  </x:si>
  <x:si>
    <x:t xml:space="preserve">L25-S05-C2</x:t>
  </x:si>
  <x:si>
    <x:t xml:space="preserve">L25-S05-C3</x:t>
  </x:si>
  <x:si>
    <x:t xml:space="preserve">L25-S06</x:t>
  </x:si>
  <x:si>
    <x:t xml:space="preserve">L25-S06-C1</x:t>
  </x:si>
  <x:si>
    <x:t xml:space="preserve">L25-S06-C2</x:t>
  </x:si>
  <x:si>
    <x:t xml:space="preserve">L25-S06-C3</x:t>
  </x:si>
  <x:si>
    <x:t xml:space="preserve">L25-S07</x:t>
  </x:si>
  <x:si>
    <x:t xml:space="preserve">L25-S07-C1</x:t>
  </x:si>
  <x:si>
    <x:t xml:space="preserve">L25-S07-C2</x:t>
  </x:si>
  <x:si>
    <x:t xml:space="preserve">L25-S07-C3</x:t>
  </x:si>
  <x:si>
    <x:t xml:space="preserve">L25-S08</x:t>
  </x:si>
  <x:si>
    <x:t xml:space="preserve">L25-S08-C1</x:t>
  </x:si>
  <x:si>
    <x:t xml:space="preserve">L25-S08-C2</x:t>
  </x:si>
  <x:si>
    <x:t xml:space="preserve">L25-S08-C3</x:t>
  </x:si>
  <x:si>
    <x:t xml:space="preserve">L25-S09</x:t>
  </x:si>
  <x:si>
    <x:t xml:space="preserve">L25-S09-C1</x:t>
  </x:si>
  <x:si>
    <x:t xml:space="preserve">L25-S09-C2</x:t>
  </x:si>
  <x:si>
    <x:t xml:space="preserve">L25-S09-C3</x:t>
  </x:si>
  <x:si>
    <x:t xml:space="preserve">L25-S10</x:t>
  </x:si>
  <x:si>
    <x:t xml:space="preserve">L25-S10-C1</x:t>
  </x:si>
  <x:si>
    <x:t xml:space="preserve">L25-S10-C2</x:t>
  </x:si>
  <x:si>
    <x:t xml:space="preserve">L25-S10-C3</x:t>
  </x:si>
  <x:si>
    <x:t xml:space="preserve">L25-S11</x:t>
  </x:si>
  <x:si>
    <x:t xml:space="preserve">L25-S11-C1</x:t>
  </x:si>
  <x:si>
    <x:t xml:space="preserve">L25-S11-C2</x:t>
  </x:si>
  <x:si>
    <x:t xml:space="preserve">L25-S11-C3</x:t>
  </x:si>
  <x:si>
    <x:t xml:space="preserve">L25-S12</x:t>
  </x:si>
  <x:si>
    <x:t xml:space="preserve">L25-S12-C1</x:t>
  </x:si>
  <x:si>
    <x:t xml:space="preserve">L25-S12-C2</x:t>
  </x:si>
  <x:si>
    <x:t xml:space="preserve">L25-S12-C3</x:t>
  </x:si>
  <x:si>
    <x:t xml:space="preserve">L25-S13</x:t>
  </x:si>
  <x:si>
    <x:t xml:space="preserve">L25-S13-C1</x:t>
  </x:si>
  <x:si>
    <x:t xml:space="preserve">L25-S13-C2</x:t>
  </x:si>
  <x:si>
    <x:t xml:space="preserve">L25-S13-C3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</x:si>
</x:sst>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0.000"/>
    <x:numFmt numFmtId="200" formatCode="yyyy-mm-dd"/>
    <x:numFmt numFmtId="201" formatCode="yyyy-mm-dd hh:mm"/>
  </x:numFmts>
  <x:fonts count="8">
    <x:font>
      <x:sz val="11"/>
      <x:name val="Carlito"/>
    </x:font>
    <x:font>
      <x:b/>
      <x:sz val="16"/>
      <x:color rgb="FF1F4E78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20212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202326"/>
      </x:patternFill>
    </x:fill>
    <x:fill>
      <x:patternFill patternType="solid">
        <x:fgColor rgb="FF303438"/>
      </x:patternFill>
    </x:fill>
    <x:fill>
      <x:patternFill patternType="solid">
        <x:fgColor rgb="FF27345F"/>
      </x:patternFill>
    </x:fill>
    <x:fill>
      <x:patternFill patternType="solid">
        <x:fgColor rgb="FF202326"/>
      </x:patternFill>
    </x:fill>
    <x:fill>
      <x:patternFill patternType="solid">
        <x:fgColor rgb="FFE9EDF3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0" xfId="0" applyFont="1"/>
    <x:xf numFmtId="0" fontId="0" fillId="0" borderId="0" xfId="0" applyAlignment="1">
      <x:alignment vertical="center"/>
    </x:xf>
    <x:xf numFmtId="164" fontId="0" fillId="2" borderId="0" xfId="0" applyNumberFormat="1" applyFill="1" applyAlignment="1">
      <x:alignment vertical="center"/>
    </x:xf>
    <x:xf numFmtId="0" fontId="0" fillId="3" borderId="0" xfId="0" applyFill="1" applyAlignment="1">
      <x:alignment vertical="center"/>
    </x:xf>
    <x:xf numFmtId="2" fontId="0" fillId="4" borderId="0" xfId="0" applyNumberFormat="1" applyFill="1" applyAlignment="1">
      <x:alignment vertical="center"/>
    </x:xf>
    <x:xf numFmtId="0" fontId="0" fillId="3" borderId="0" xfId="0" applyFill="1"/>
    <x:xf numFmtId="164" fontId="0" fillId="2" borderId="0" xfId="0" applyNumberFormat="1" applyFill="1"/>
    <x:xf numFmtId="0" fontId="0" fillId="4" borderId="0" xfId="0" applyFill="1"/>
    <x:xf numFmtId="3" fontId="0" fillId="4" borderId="0" xfId="0" applyNumberFormat="1" applyFill="1"/>
    <x:xf numFmtId="2" fontId="0" fillId="4" borderId="0" xfId="0" applyNumberFormat="1" applyFill="1"/>
    <x:xf numFmtId="0" fontId="6" fillId="5" borderId="0" xfId="0" applyFont="1" applyFill="1"/>
    <x:xf numFmtId="0" fontId="5" fillId="6" borderId="0" xfId="0" applyFont="1" applyFill="1" applyAlignment="1">
      <x:alignment horizontal="center" vertical="center" wrapText="1"/>
    </x:xf>
    <x:xf numFmtId="0" fontId="5" fillId="6" borderId="0" xfId="0" applyFont="1" applyFill="1"/>
    <x:xf numFmtId="10" fontId="6" fillId="5" borderId="0" xfId="0" applyNumberFormat="1" applyFont="1" applyFill="1"/>
    <x:xf numFmtId="165" fontId="6" fillId="5" borderId="0" xfId="0" applyNumberFormat="1" applyFont="1" applyFill="1"/>
    <x:xf numFmtId="1" fontId="6" fillId="5" borderId="0" xfId="0" applyNumberFormat="1" applyFont="1" applyFill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164" fontId="0" fillId="2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" fontId="0" fillId="4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164" fontId="0" fillId="2" borderId="1" xfId="0" applyNumberFormat="1" applyFont="1" applyFill="1" applyBorder="1"/>
    <x:xf numFmtId="0" fontId="0" fillId="4" borderId="1" xfId="0" applyNumberFormat="1" applyFont="1" applyFill="1" applyBorder="1"/>
    <x:xf numFmtId="3" fontId="0" fillId="4" borderId="1" xfId="0" applyNumberFormat="1" applyFont="1" applyFill="1" applyBorder="1"/>
    <x:xf numFmtId="2" fontId="0" fillId="4" borderId="1" xfId="0" applyNumberFormat="1" applyFont="1" applyFill="1" applyBorder="1"/>
    <x:xf numFmtId="0" fontId="6" fillId="5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10" fontId="6" fillId="5" borderId="1" xfId="0" applyNumberFormat="1" applyFont="1" applyFill="1" applyBorder="1"/>
    <x:xf numFmtId="165" fontId="6" fillId="5" borderId="1" xfId="0" applyNumberFormat="1" applyFont="1" applyFill="1" applyBorder="1"/>
    <x:xf numFmtId="1" fontId="6" fillId="5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u val="none"/>
        <x:sz val="11"/>
        <x:color rgb="FFFFFFFF"/>
        <x:name val="Carlito"/>
        <x:scheme val="none"/>
      </x:font>
      <x:fill>
        <x:patternFill>
          <x:bgColor indexed="64"/>
        </x:patternFill>
      </x:fill>
    </x:dxf>
    <x:dxf>
      <x:font>
        <x:b/>
        <x:u val="none"/>
        <x:sz val="11"/>
        <x:color rgb="FFFFFFFF"/>
        <x:name val="Carlito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e992f3e3e47a9" /><Relationship Type="http://schemas.openxmlformats.org/officeDocument/2006/relationships/theme" Target="/xl/theme/theme1.xml" Id="R676dd9a5d4fd4eba" /><Relationship Type="http://schemas.openxmlformats.org/officeDocument/2006/relationships/sharedStrings" Target="/xl/sharedStrings.xml" Id="R2b68c08141e74795" /><Relationship Type="http://schemas.openxmlformats.org/officeDocument/2006/relationships/worksheet" Target="/xl/worksheets/sheet1.xml" Id="Rd336040fa31442ed" /><Relationship Type="http://schemas.openxmlformats.org/officeDocument/2006/relationships/worksheet" Target="/xl/worksheets/sheet2.xml" Id="Ra38257296cf747fc" /><Relationship Type="http://schemas.openxmlformats.org/officeDocument/2006/relationships/worksheet" Target="/xl/worksheets/sheet3.xml" Id="Rbb44b13cefeb48ac" /><Relationship Type="http://schemas.openxmlformats.org/officeDocument/2006/relationships/worksheet" Target="/xl/worksheets/sheet4.xml" Id="R0cd66f34f37d427b" /><Relationship Type="http://schemas.openxmlformats.org/officeDocument/2006/relationships/worksheet" Target="/xl/worksheets/sheet5.xml" Id="R58db4f032a6f49cb" /><Relationship Type="http://schemas.openxmlformats.org/officeDocument/2006/relationships/worksheet" Target="/xl/worksheets/sheet6.xml" Id="R90f63162944a4d2c" /><Relationship Type="http://schemas.openxmlformats.org/officeDocument/2006/relationships/worksheet" Target="/xl/worksheets/sheet7.xml" Id="Rff14ef458f4a4e26" /><Relationship Type="http://schemas.openxmlformats.org/officeDocument/2006/relationships/worksheet" Target="/xl/worksheets/sheet8.xml" Id="R7b2acdbdd3634a44" /><Relationship Type="http://schemas.openxmlformats.org/officeDocument/2006/relationships/worksheet" Target="/xl/worksheets/sheet9.xml" Id="R1a29e6227a814ad2" /><Relationship Type="http://schemas.openxmlformats.org/officeDocument/2006/relationships/worksheet" Target="/xl/worksheets/sheet10.xml" Id="R241067593d3e4e29" /></Relationships>
</file>

<file path=xl/tables/table1.xml><?xml version="1.0" encoding="utf-8"?>
<x:table xmlns:x="http://schemas.openxmlformats.org/spreadsheetml/2006/main" id="5" name="JobChange_Fact" displayName="JobChange_Fact" ref="A4:AP13" headerRowCount="1" totalsRowCount="0" totalsRowShown="0">
  <x:tableColumns count="42">
    <x:tableColumn id="1" name="FactoryCode"/>
    <x:tableColumn id="2" name="LineNumber"/>
    <x:tableColumn id="3" name="EventDate"/>
    <x:tableColumn id="4" name="ShiftCode"/>
    <x:tableColumn id="5" name="CrewCode"/>
    <x:tableColumn id="6" name="FromOrderNumber"/>
    <x:tableColumn id="7" name="ToOrderNumber"/>
    <x:tableColumn id="8" name="JobChangeTypeName"/>
    <x:tableColumn id="9" name="MechanicalWorkT1_Hrs"/>
    <x:tableColumn id="10" name="FormingTimeT2_Hrs"/>
    <x:tableColumn id="11" name="TrialLosses_Hrs"/>
    <x:tableColumn id="12" name="HE_Downtime_Hrs"/>
    <x:tableColumn id="13" name="HE_DowntimeReason"/>
    <x:tableColumn id="14" name="CE_Losses_Hrs"/>
    <x:tableColumn id="15" name="CE_LossesReason"/>
    <x:tableColumn id="16" name="PalletizerLosses_Hrs"/>
    <x:tableColumn id="17" name="PalletizerReason"/>
    <x:tableColumn id="18" name="Notes"/>
    <x:tableColumn id="19" name="JobChangeEventID"/>
    <x:tableColumn id="20" name="TotalJobChangeHours"/>
    <x:tableColumn id="21" name="ImpactDurationHrs"/>
    <x:tableColumn id="22" name="ImpactReconciliationCheck"/>
    <x:tableColumn id="23" name="ReasonConsistencyCheck"/>
    <x:tableColumn id="24" name="TransitionCheck"/>
    <x:tableColumn id="25" name="EventIDUniquenessCheck"/>
    <x:tableColumn id="26" name="DataQualityCheck"/>
    <x:tableColumn id="27" name="FromOrderCheck"/>
    <x:tableColumn id="28" name="ToOrderCheck"/>
    <x:tableColumn id="29" name="TargetT1_Hrs"/>
    <x:tableColumn id="30" name="TargetT2_Hrs"/>
    <x:tableColumn id="31" name="T1TargetStatus"/>
    <x:tableColumn id="32" name="T2TargetStatus"/>
    <x:tableColumn id="33" name="LossRowCount"/>
    <x:tableColumn id="34" name="LossStructureCheck"/>
    <x:tableColumn id="35" name="CreatedAt"/>
    <x:tableColumn id="36" name="CreatedBy"/>
    <x:tableColumn id="37" name="ModifiedAt"/>
    <x:tableColumn id="38" name="ModifiedBy"/>
    <x:tableColumn id="39" name="SourceFile"/>
    <x:tableColumn id="40" name="LoadBatchID"/>
    <x:tableColumn id="41" name="RecordStatus"/>
    <x:tableColumn id="42" name="Load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JobChangeImpact" displayName="JobChangeImpact" ref="A4:AR37" headerRowCount="1" totalsRowCount="0" totalsRowShown="0">
  <x:tableColumns count="44">
    <x:tableColumn id="1" name="JobChangeImpactID"/>
    <x:tableColumn id="2" name="JobChangeEventID"/>
    <x:tableColumn id="3" name="ProductionEventID"/>
    <x:tableColumn id="4" name="FactoryCode"/>
    <x:tableColumn id="5" name="LineNumber"/>
    <x:tableColumn id="6" name="EventDate"/>
    <x:tableColumn id="7" name="ShiftCode"/>
    <x:tableColumn id="8" name="ToOrderNumber"/>
    <x:tableColumn id="9" name="LossArea"/>
    <x:tableColumn id="10" name="AssetScopeKey"/>
    <x:tableColumn id="11" name="AssetLevel"/>
    <x:tableColumn id="12" name="SectionNumber"/>
    <x:tableColumn id="13" name="CavityNumber"/>
    <x:tableColumn id="14" name="Reason"/>
    <x:tableColumn id="15" name="StartDateTime"/>
    <x:tableColumn id="16" name="EndDateTime"/>
    <x:tableColumn id="17" name="DurationHrs"/>
    <x:tableColumn id="18" name="TotalActiveCavities"/>
    <x:tableColumn id="19" name="AffectedActiveCavities"/>
    <x:tableColumn id="20" name="CapacityImpactPct"/>
    <x:tableColumn id="21" name="LineEquivalentLossHrs"/>
    <x:tableColumn id="22" name="DesignedCyclesPerMin"/>
    <x:tableColumn id="23" name="EstimatedLostUnits"/>
    <x:tableColumn id="24" name="ImpactSource"/>
    <x:tableColumn id="25" name="ParentEventCheck"/>
    <x:tableColumn id="26" name="ScopeCheck"/>
    <x:tableColumn id="27" name="DurationCheck"/>
    <x:tableColumn id="28" name="DataQualityCheck"/>
    <x:tableColumn id="29" name="JobChangeLossID"/>
    <x:tableColumn id="30" name="LossElapsedHrs"/>
    <x:tableColumn id="31" name="DurationUsage"/>
    <x:tableColumn id="32" name="ActiveScopeCheck"/>
    <x:tableColumn id="33" name="ScopeOverlapCheck"/>
    <x:tableColumn id="34" name="LossCapacityPctSum"/>
    <x:tableColumn id="35" name="CapacitySumCheck"/>
    <x:tableColumn id="36" name="AllocationCheck"/>
    <x:tableColumn id="37" name="SourceFile"/>
    <x:tableColumn id="38" name="LoadBatchID"/>
    <x:tableColumn id="39" name="RecordStatus"/>
    <x:tableColumn id="40" name="LoadDecision"/>
    <x:tableColumn id="41" name="CreatedAt"/>
    <x:tableColumn id="42" name="CreatedBy"/>
    <x:tableColumn id="43" name="ModifiedAt"/>
    <x:tableColumn id="44" name="Modified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DailyProduction_Fact" displayName="DailyProduction_Fact" ref="A4:AN74" headerRowCount="1" totalsRowCount="0" totalsRowShown="0">
  <x:tableColumns count="40">
    <x:tableColumn id="1" name="FactoryCode"/>
    <x:tableColumn id="2" name="EventDate"/>
    <x:tableColumn id="3" name="ShiftCode"/>
    <x:tableColumn id="4" name="CrewCode"/>
    <x:tableColumn id="5" name="LineNumber"/>
    <x:tableColumn id="6" name="OrderNumber"/>
    <x:tableColumn id="7" name="CaseName"/>
    <x:tableColumn id="8" name="NoSections"/>
    <x:tableColumn id="9" name="NoCavities"/>
    <x:tableColumn id="10" name="DesignedCyclesPerMin"/>
    <x:tableColumn id="11" name="DesignedCutsPerHour"/>
    <x:tableColumn id="12" name="WorkingHours"/>
    <x:tableColumn id="13" name="DesignOutput"/>
    <x:tableColumn id="14" name="ActualPack"/>
    <x:tableColumn id="15" name="TotalHold"/>
    <x:tableColumn id="16" name="TotalReject"/>
    <x:tableColumn id="17" name="ProductionEventID"/>
    <x:tableColumn id="18" name="ActiveCavityCount"/>
    <x:tableColumn id="19" name="PhysicalCapabilityCheck"/>
    <x:tableColumn id="20" name="DesignCutsFormulaCheck"/>
    <x:tableColumn id="21" name="DesignOutputCheck"/>
    <x:tableColumn id="22" name="MaterialBalanceCheck"/>
    <x:tableColumn id="23" name="ConfigActiveCavityCount"/>
    <x:tableColumn id="24" name="ConfigurationReconciliationCheck"/>
    <x:tableColumn id="25" name="EventIDUniquenessCheck"/>
    <x:tableColumn id="26" name="DataQualityCheck"/>
    <x:tableColumn id="27" name="ProductLineCapabilityID"/>
    <x:tableColumn id="28" name="ProductCapabilityCheck"/>
    <x:tableColumn id="29" name="MachineCode"/>
    <x:tableColumn id="30" name="MachineCapabilityCheck"/>
    <x:tableColumn id="31" name="CavityConfigActiveCount"/>
    <x:tableColumn id="32" name="CavityConfigReconciliationCheck"/>
    <x:tableColumn id="33" name="CreatedAt"/>
    <x:tableColumn id="34" name="CreatedBy"/>
    <x:tableColumn id="35" name="ModifiedAt"/>
    <x:tableColumn id="36" name="ModifiedBy"/>
    <x:tableColumn id="37" name="SourceFile"/>
    <x:tableColumn id="38" name="LoadBatchID"/>
    <x:tableColumn id="39" name="RecordStatus"/>
    <x:tableColumn id="40" name="Load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ProductionConfiguration" displayName="ProductionConfiguration" ref="A4:AL914" headerRowCount="1" totalsRowCount="0" totalsRowShown="0">
  <x:tableColumns count="38">
    <x:tableColumn id="1" name="ProductionConfigID"/>
    <x:tableColumn id="2" name="ProductionEventID"/>
    <x:tableColumn id="3" name="FactoryCode"/>
    <x:tableColumn id="4" name="EventDate"/>
    <x:tableColumn id="5" name="ShiftCode"/>
    <x:tableColumn id="6" name="CrewCode"/>
    <x:tableColumn id="7" name="LineNumber"/>
    <x:tableColumn id="8" name="OrderNumber"/>
    <x:tableColumn id="9" name="SectionNumber"/>
    <x:tableColumn id="10" name="ParentNoSections"/>
    <x:tableColumn id="11" name="ParentNoCavities"/>
    <x:tableColumn id="12" name="DefaultSectionActive"/>
    <x:tableColumn id="13" name="Cavity1Override"/>
    <x:tableColumn id="14" name="Cavity2Override"/>
    <x:tableColumn id="15" name="Cavity3Override"/>
    <x:tableColumn id="16" name="Cavity1Active"/>
    <x:tableColumn id="17" name="Cavity2Active"/>
    <x:tableColumn id="18" name="Cavity3Active"/>
    <x:tableColumn id="19" name="ActiveCavityCount"/>
    <x:tableColumn id="20" name="ConfigurationSource"/>
    <x:tableColumn id="21" name="ParentEventCheck"/>
    <x:tableColumn id="22" name="PhysicalCapabilityCheck"/>
    <x:tableColumn id="23" name="EventReconciliationCheck"/>
    <x:tableColumn id="24" name="ProductLineCapabilityID"/>
    <x:tableColumn id="25" name="ProductCapabilityCheck"/>
    <x:tableColumn id="26" name="SectionUniquenessCheck"/>
    <x:tableColumn id="27" name="CavityGrainRowCount"/>
    <x:tableColumn id="28" name="CavityGrainActiveCount"/>
    <x:tableColumn id="29" name="CavityGrainReconciliationCheck"/>
    <x:tableColumn id="30" name="DataQualityCheck"/>
    <x:tableColumn id="31" name="LoadDecision"/>
    <x:tableColumn id="32" name="SourceFile"/>
    <x:tableColumn id="33" name="LoadBatchID"/>
    <x:tableColumn id="34" name="RecordStatus"/>
    <x:tableColumn id="35" name="CreatedAt"/>
    <x:tableColumn id="36" name="CreatedBy"/>
    <x:tableColumn id="37" name="ModifiedAt"/>
    <x:tableColumn id="38" name="ModifiedB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JobChangeLoss_Fact" displayName="JobChangeLoss_Fact" ref="A4:AL37" headerRowCount="1" totalsRowCount="0" totalsRowShown="0">
  <x:tableColumns count="38">
    <x:tableColumn id="1" name="JobChangeLossID"/>
    <x:tableColumn id="2" name="JobChangeEventID"/>
    <x:tableColumn id="3" name="ProductionEventID"/>
    <x:tableColumn id="4" name="FactoryCode"/>
    <x:tableColumn id="5" name="LineNumber"/>
    <x:tableColumn id="6" name="EventDate"/>
    <x:tableColumn id="7" name="ShiftCode"/>
    <x:tableColumn id="8" name="ToOrderNumber"/>
    <x:tableColumn id="9" name="LossTypeCode"/>
    <x:tableColumn id="10" name="LossArea"/>
    <x:tableColumn id="11" name="Reason"/>
    <x:tableColumn id="12" name="StartDateTime"/>
    <x:tableColumn id="13" name="EndDateTime"/>
    <x:tableColumn id="14" name="ElapsedLossHrs"/>
    <x:tableColumn id="15" name="RootCauseCode"/>
    <x:tableColumn id="16" name="CorrectiveAction"/>
    <x:tableColumn id="17" name="ResponsibleDepartment"/>
    <x:tableColumn id="18" name="ActionStatus"/>
    <x:tableColumn id="19" name="ActionDueDate"/>
    <x:tableColumn id="20" name="ParentEventCheck"/>
    <x:tableColumn id="21" name="ProductionEventCheck"/>
    <x:tableColumn id="22" name="LossIDUniquenessCheck"/>
    <x:tableColumn id="23" name="ReasonConsistencyCheck"/>
    <x:tableColumn id="24" name="DurationCheck"/>
    <x:tableColumn id="25" name="ImpactRowCount"/>
    <x:tableColumn id="26" name="ImpactCapacityPctSum"/>
    <x:tableColumn id="27" name="LineEquivalentLossHrs"/>
    <x:tableColumn id="28" name="EstimatedLostUnits"/>
    <x:tableColumn id="29" name="ImpactAllocationCheck"/>
    <x:tableColumn id="30" name="DataQualityCheck"/>
    <x:tableColumn id="31" name="LoadDecision"/>
    <x:tableColumn id="32" name="CreatedAt"/>
    <x:tableColumn id="33" name="CreatedBy"/>
    <x:tableColumn id="34" name="ModifiedAt"/>
    <x:tableColumn id="35" name="ModifiedBy"/>
    <x:tableColumn id="36" name="SourceFile"/>
    <x:tableColumn id="37" name="LoadBatchID"/>
    <x:tableColumn id="38" name="Record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ProductionCavityConfiguration_Fact" displayName="ProductionCavityConfiguration_Fact" ref="A4:AD2734" headerRowCount="1" totalsRowCount="0" totalsRowShown="0">
  <x:tableColumns count="30">
    <x:tableColumn id="1" name="ProductionCavityConfigID"/>
    <x:tableColumn id="2" name="ProductionConfigID"/>
    <x:tableColumn id="3" name="ProductionEventID"/>
    <x:tableColumn id="4" name="FactoryCode"/>
    <x:tableColumn id="5" name="EventDate"/>
    <x:tableColumn id="6" name="ShiftCode"/>
    <x:tableColumn id="7" name="CrewCode"/>
    <x:tableColumn id="8" name="LineNumber"/>
    <x:tableColumn id="9" name="OrderNumber"/>
    <x:tableColumn id="10" name="SectionNumber"/>
    <x:tableColumn id="11" name="CavityNumber"/>
    <x:tableColumn id="12" name="AssetScopeKey"/>
    <x:tableColumn id="13" name="IsActive"/>
    <x:tableColumn id="14" name="ConfigurationSource"/>
    <x:tableColumn id="15" name="ProductLineCapabilityID"/>
    <x:tableColumn id="16" name="ParentEventCheck"/>
    <x:tableColumn id="17" name="PhysicalSlotCheck"/>
    <x:tableColumn id="18" name="ProductCapabilityCheck"/>
    <x:tableColumn id="19" name="IsActiveCheck"/>
    <x:tableColumn id="20" name="EventCavityCount"/>
    <x:tableColumn id="21" name="EventReconciliationCheck"/>
    <x:tableColumn id="22" name="DataQualityCheck"/>
    <x:tableColumn id="23" name="LoadDecision"/>
    <x:tableColumn id="24" name="SourceFile"/>
    <x:tableColumn id="25" name="LoadBatchID"/>
    <x:tableColumn id="26" name="RecordStatus"/>
    <x:tableColumn id="27" name="CreatedAt"/>
    <x:tableColumn id="28" name="CreatedBy"/>
    <x:tableColumn id="29" name="ModifiedAt"/>
    <x:tableColumn id="30" name="ModifiedB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SupervisorDQ_Quarantine" displayName="SupervisorDQ_Quarantine" ref="A4:H12" headerRowCount="1" totalsRowCount="0" totalsRowShown="0">
  <x:tableColumns count="8">
    <x:tableColumn id="1" name="ExceptionID"/>
    <x:tableColumn id="2" name="SourceSheet"/>
    <x:tableColumn id="3" name="RecordID"/>
    <x:tableColumn id="4" name="RuleID"/>
    <x:tableColumn id="5" name="Severity"/>
    <x:tableColumn id="6" name="Issue"/>
    <x:tableColumn id="7" name="LoadDecision"/>
    <x:tableColumn id="8" name="Resolution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2" name="EnhancementGuide_Supervisor" displayName="EnhancementGuide_Supervisor" ref="A4:D11" headerRowCount="1" totalsRowCount="0" totalsRowShown="0">
  <x:tableColumns count="4">
    <x:tableColumn id="1" name="Area"/>
    <x:tableColumn id="2" name="Enhancement"/>
    <x:tableColumn id="3" name="PreferredWarehouseUse"/>
    <x:tableColumn id="4" name="Key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5bfc49607d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daa03b2b2845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c7cd0d58c1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60e5790fb49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ef93a37e5d0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6c3d13f6dea4e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5ac6db5c8804f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ec7b99d65d546d0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0.25">
      <x:c r="A1" s="1" t="s">
        <x:v>0</x:v>
      </x:c>
    </x:row>
    <x:row r="2">
      <x:c r="A2" s="2"/>
    </x:row>
    <x:row r="3">
      <x:c r="A3" s="2" t="s">
        <x:v>1</x:v>
      </x:c>
    </x:row>
    <x:row r="4">
      <x:c r="A4" s="2"/>
    </x:row>
    <x:row r="5">
      <x:c r="A5" s="2" t="s">
        <x:v>2</x:v>
      </x:c>
    </x:row>
    <x:row r="6">
      <x:c r="A6" s="2"/>
    </x:row>
    <x:row r="7" ht="15">
      <x:c r="A7" s="3" t="s">
        <x:v>3</x:v>
      </x:c>
    </x:row>
    <x:row r="8">
      <x:c r="A8" s="2" t="s">
        <x:v>4</x:v>
      </x:c>
    </x:row>
    <x:row r="9">
      <x:c r="A9" s="2" t="s">
        <x:v>5</x:v>
      </x:c>
    </x:row>
    <x:row r="10">
      <x:c r="A10" s="2" t="s">
        <x:v>6</x:v>
      </x:c>
    </x:row>
    <x:row r="11">
      <x:c r="A11" s="2" t="s">
        <x:v>7</x:v>
      </x:c>
    </x:row>
    <x:row r="12">
      <x:c r="A12" s="2"/>
    </x:row>
    <x:row r="13">
      <x:c r="A13" s="2" t="s">
        <x:v>8</x:v>
      </x:c>
    </x:row>
    <x:row r="15">
      <x:c r="A15" t="s">
        <x:v>9</x:v>
      </x:c>
    </x:row>
    <x:row r="16">
      <x:c r="A16" t="s">
        <x:v>10</x:v>
      </x:c>
    </x:row>
    <x:row r="17">
      <x:c r="A17" t="s">
        <x:v>11</x:v>
      </x:c>
    </x:row>
    <x:row r="18">
      <x:c r="A18" t="s">
        <x:v>12</x:v>
      </x:c>
    </x:row>
    <x:row r="19">
      <x:c r="A19" t="s">
        <x:v>13</x:v>
      </x:c>
    </x:row>
    <x:row r="20">
      <x:c r="A20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4" customWidth="1"/>
    <x:col min="2" max="2" width="12" customWidth="1"/>
    <x:col min="3" max="3" width="14" customWidth="1"/>
    <x:col min="4" max="5" width="12" customWidth="1"/>
    <x:col min="6" max="8" width="20" customWidth="1"/>
    <x:col min="9" max="10" width="18" customWidth="1"/>
    <x:col min="11" max="12" width="17" customWidth="1"/>
    <x:col min="13" max="13" width="30" customWidth="1"/>
    <x:col min="14" max="14" width="16" customWidth="1"/>
    <x:col min="15" max="15" width="30" customWidth="1"/>
    <x:col min="16" max="16" width="20" customWidth="1"/>
    <x:col min="17" max="17" width="30" customWidth="1"/>
    <x:col min="18" max="18" width="20" customWidth="1"/>
    <x:col min="19" max="19" width="55.375" customWidth="1"/>
    <x:col min="20" max="20" width="21.25" customWidth="1"/>
    <x:col min="21" max="21" width="17.625" customWidth="1"/>
    <x:col min="22" max="22" width="25.375" customWidth="1"/>
    <x:col min="23" max="23" width="24.5" customWidth="1"/>
    <x:col min="24" max="24" width="15.625" customWidth="1"/>
    <x:col min="25" max="25" width="24.625" customWidth="1"/>
    <x:col min="26" max="26" width="16.75" customWidth="1"/>
  </x:cols>
  <x:sheetData>
    <x:row r="1" ht="24" customHeight="1">
      <x:c r="A1" s="15" t="s">
        <x:v>15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>
      <x:c r="A2" s="4" t="s">
        <x:v>16</x:v>
      </x:c>
    </x:row>
    <x:row r="3">
      <x:c r="A3" s="5" t="s">
        <x:v>17</x:v>
      </x:c>
    </x:row>
    <x:row r="4" ht="30" customHeight="1">
      <x:c r="A4" s="16" t="s">
        <x:v>18</x:v>
      </x:c>
      <x:c r="B4" s="16" t="s">
        <x:v>19</x:v>
      </x:c>
      <x:c r="C4" s="16" t="s">
        <x:v>20</x:v>
      </x:c>
      <x:c r="D4" s="16" t="s">
        <x:v>21</x:v>
      </x:c>
      <x:c r="E4" s="16" t="s">
        <x:v>22</x:v>
      </x:c>
      <x:c r="F4" s="16" t="s">
        <x:v>23</x:v>
      </x:c>
      <x:c r="G4" s="16" t="s">
        <x:v>24</x:v>
      </x:c>
      <x:c r="H4" s="16" t="s">
        <x:v>25</x:v>
      </x:c>
      <x:c r="I4" s="16" t="s">
        <x:v>26</x:v>
      </x:c>
      <x:c r="J4" s="16" t="s">
        <x:v>27</x:v>
      </x:c>
      <x:c r="K4" s="16" t="s">
        <x:v>28</x:v>
      </x:c>
      <x:c r="L4" s="16" t="s">
        <x:v>29</x:v>
      </x:c>
      <x:c r="M4" s="16" t="s">
        <x:v>30</x:v>
      </x:c>
      <x:c r="N4" s="16" t="s">
        <x:v>31</x:v>
      </x:c>
      <x:c r="O4" s="16" t="s">
        <x:v>32</x:v>
      </x:c>
      <x:c r="P4" s="16" t="s">
        <x:v>33</x:v>
      </x:c>
      <x:c r="Q4" s="16" t="s">
        <x:v>34</x:v>
      </x:c>
      <x:c r="R4" s="16" t="s">
        <x:v>35</x:v>
      </x:c>
      <x:c r="S4" s="17" t="s">
        <x:v>36</x:v>
      </x:c>
      <x:c r="T4" s="17" t="s">
        <x:v>37</x:v>
      </x:c>
      <x:c r="U4" s="17" t="s">
        <x:v>38</x:v>
      </x:c>
      <x:c r="V4" s="17" t="s">
        <x:v>39</x:v>
      </x:c>
      <x:c r="W4" s="17" t="s">
        <x:v>40</x:v>
      </x:c>
      <x:c r="X4" s="17" t="s">
        <x:v>41</x:v>
      </x:c>
      <x:c r="Y4" s="17" t="s">
        <x:v>42</x:v>
      </x:c>
      <x:c r="Z4" s="17" t="s">
        <x:v>43</x:v>
      </x:c>
      <x:c r="AA4" s="46" t="str">
        <x:v>FromOrderCheck</x:v>
      </x:c>
      <x:c r="AB4" s="46" t="str">
        <x:v>ToOrderCheck</x:v>
      </x:c>
      <x:c r="AC4" s="46" t="str">
        <x:v>TargetT1_Hrs</x:v>
      </x:c>
      <x:c r="AD4" s="46" t="str">
        <x:v>TargetT2_Hrs</x:v>
      </x:c>
      <x:c r="AE4" s="46" t="str">
        <x:v>T1TargetStatus</x:v>
      </x:c>
      <x:c r="AF4" s="46" t="str">
        <x:v>T2TargetStatus</x:v>
      </x:c>
      <x:c r="AG4" s="46" t="str">
        <x:v>LossRowCount</x:v>
      </x:c>
      <x:c r="AH4" s="46" t="str">
        <x:v>LossStructureCheck</x:v>
      </x:c>
      <x:c r="AI4" s="46" t="str">
        <x:v>CreatedAt</x:v>
      </x:c>
      <x:c r="AJ4" s="46" t="str">
        <x:v>CreatedBy</x:v>
      </x:c>
      <x:c r="AK4" s="46" t="str">
        <x:v>ModifiedAt</x:v>
      </x:c>
      <x:c r="AL4" s="46" t="str">
        <x:v>ModifiedBy</x:v>
      </x:c>
      <x:c r="AM4" s="46" t="str">
        <x:v>SourceFile</x:v>
      </x:c>
      <x:c r="AN4" s="46" t="str">
        <x:v>LoadBatchID</x:v>
      </x:c>
      <x:c r="AO4" s="46" t="str">
        <x:v>RecordStatus</x:v>
      </x:c>
      <x:c r="AP4" s="46" t="str">
        <x:v>LoadDecision</x:v>
      </x:c>
    </x:row>
    <x:row r="5" ht="18" customHeight="1">
      <x:c r="A5" s="8" t="s">
        <x:v>44</x:v>
      </x:c>
      <x:c r="B5" s="8">
        <x:v>21</x:v>
      </x:c>
      <x:c r="C5" s="7">
        <x:v>45951</x:v>
      </x:c>
      <x:c r="D5" s="8" t="s">
        <x:v>45</x:v>
      </x:c>
      <x:c r="E5" s="8" t="s">
        <x:v>46</x:v>
      </x:c>
      <x:c r="F5" s="8" t="s">
        <x:v>47</x:v>
      </x:c>
      <x:c r="G5" s="8" t="s">
        <x:v>48</x:v>
      </x:c>
      <x:c r="H5" s="8" t="s">
        <x:v>49</x:v>
      </x:c>
      <x:c r="I5" s="9">
        <x:v>3.08</x:v>
      </x:c>
      <x:c r="J5" s="9">
        <x:v>1</x:v>
      </x:c>
      <x:c r="K5" s="9">
        <x:v>0.19</x:v>
      </x:c>
      <x:c r="L5" s="9">
        <x:v>0</x:v>
      </x:c>
      <x:c r="M5" s="8"/>
      <x:c r="N5" s="9">
        <x:v>0</x:v>
      </x:c>
      <x:c r="O5" s="8"/>
      <x:c r="P5" s="9">
        <x:v>0</x:v>
      </x:c>
      <x:c r="Q5" s="8"/>
      <x:c r="R5" s="6" t="s">
        <x:v>50</x:v>
      </x:c>
      <x:c r="S5" t="str">
        <x:f t="shared" ref="S5:S36" si="0">IF(A5="","", "JC-"&amp;A5&amp;"-L"&amp;TEXT(B5,"00")&amp;"-"&amp;TEXT(C5,"yyyymmdd")&amp;"-"&amp;D5&amp;"-"&amp;IF(F5="","START",F5)&amp;"-"&amp;G5)</x:f>
        <x:v>JC-KG01-L21-20251021-AM-ORD-2025-00019-ORD-2025-00020</x:v>
      </x:c>
      <x:c r="T5" t="n">
        <x:f t="shared" ref="T5:T36" si="1">IF(A5="","",SUM(I5:L5)+N5+P5)</x:f>
        <x:v>4.2700000000000005</x:v>
      </x:c>
      <x:c r="U5" t="n">
        <x:f>IF(S5="","",SUMIF(JobChangeLoss!$B$5:$B$1000,S5,JobChangeLoss!$N$5:$N$1000))</x:f>
        <x:v>4.2700000000000005</x:v>
      </x:c>
      <x:c r="V5" t="str">
        <x:f t="shared" ref="V5:V36" si="2">IF(A5="","",IF(ABS(T5-U5)&lt;=0.001,"OK","CHECK"))</x:f>
        <x:v>OK</x:v>
      </x:c>
      <x:c r="W5" t="str">
        <x:f t="shared" ref="W5:W36" si="3">IF(A5="","",IF(AND(IF(L5&gt;0,M5&lt;&gt;"",M5=""),IF(N5&gt;0,O5&lt;&gt;"",O5=""),IF(P5&gt;0,Q5&lt;&gt;"",Q5="")),"OK","CHECK"))</x:f>
        <x:v>OK</x:v>
      </x:c>
      <x:c r="X5" t="str">
        <x:f t="shared" ref="X5:X36" si="4">IF(A5="","",IF(OR(G5="",AND(F5&lt;&gt;"",F5=G5)),"CHECK","OK"))</x:f>
        <x:v>OK</x:v>
      </x:c>
      <x:c r="Y5" t="str">
        <x:f t="shared" ref="Y5:Y36" si="5">IF(S5="","",IF(COUNTIF($S$5:$S$100,S5)=1,"OK","CHECK"))</x:f>
        <x:v>OK</x:v>
      </x:c>
      <x:c r="Z5" t="str">
        <x:f t="shared" ref="Z5:Z36" si="6">IF(A5="","",IF(AND(V5="OK",W5="OK",X5="OK",Y5="OK",T5&gt;0,AA5="OK",AB5="OK",AH5="OK"),"OK","CHECK"))</x:f>
        <x:v>OK</x:v>
      </x:c>
      <x:c r="AA5" t="str">
        <x:f>IF(A5="","",IF(OR(F5="",COUNTIF(_ValidationLists!$D$2:$D$100,F5)=1),"OK","CHECK"))</x:f>
        <x:v>OK</x:v>
      </x:c>
      <x:c r="AB5" t="str">
        <x:f>IF(A5="","",IF(COUNTIF(_ValidationLists!$D$2:$D$100,G5)=1,"OK","CHECK"))</x:f>
        <x:v>OK</x:v>
      </x:c>
      <x:c r="AC5" t="n">
        <x:f>IF(H5="","",IFERROR(VLOOKUP(H5,_ValidationLists!$I$2:$K$20,2,FALSE),""))</x:f>
        <x:v>3</x:v>
      </x:c>
      <x:c r="AD5" t="n">
        <x:f>IF(H5="","",IFERROR(VLOOKUP(H5,_ValidationLists!$I$2:$K$20,3,FALSE),""))</x:f>
        <x:v>1</x:v>
      </x:c>
      <x:c r="AE5" t="str">
        <x:f>IF(A5="","",IF(I5&lt;=AC5,"WithinTarget","OverTarget"))</x:f>
        <x:v>OverTarget</x:v>
      </x:c>
      <x:c r="AF5" t="str">
        <x:f>IF(A5="","",IF(J5&lt;=AD5,"WithinTarget","OverTarget"))</x:f>
        <x:v>WithinTarget</x:v>
      </x:c>
      <x:c r="AG5" t="n">
        <x:f>IF(S5="","",COUNTIF(JobChangeLoss!$B$5:$B$1000,S5))</x:f>
        <x:v>3</x:v>
      </x:c>
      <x:c r="AH5" t="str">
        <x:f>IF(S5="","",IF(AND(AG5=COUNTIF(I5:L5,"&gt;0")+COUNTIF(N5,"&gt;0")+COUNTIF(P5,"&gt;0"),COUNTIFS(JobChangeLoss!$B$5:$B$1000,S5,JobChangeLoss!$AD$5:$AD$1000,"CHECK")=0),"OK","CHECK"))</x:f>
        <x:v>OK</x:v>
      </x:c>
      <x:c r="AM5" t="str">
        <x:v>02_Supervisor_Log(4).xlsx</x:v>
      </x:c>
      <x:c r="AN5" t="str">
        <x:v>ENH-20260830-01</x:v>
      </x:c>
      <x:c r="AO5" t="str">
        <x:v>Active</x:v>
      </x:c>
      <x:c r="AP5" t="str">
        <x:f>IF(A5="","",IF(Z5="OK","LOAD","QUARANTINE"))</x:f>
        <x:v>LOAD</x:v>
      </x:c>
    </x:row>
    <x:row r="6" ht="18" customHeight="1">
      <x:c r="A6" s="8" t="s">
        <x:v>44</x:v>
      </x:c>
      <x:c r="B6" s="8">
        <x:v>21</x:v>
      </x:c>
      <x:c r="C6" s="7">
        <x:v>45955</x:v>
      </x:c>
      <x:c r="D6" s="8" t="s">
        <x:v>45</x:v>
      </x:c>
      <x:c r="E6" s="8" t="s">
        <x:v>51</x:v>
      </x:c>
      <x:c r="F6" s="8" t="s">
        <x:v>48</x:v>
      </x:c>
      <x:c r="G6" s="8" t="s">
        <x:v>52</x:v>
      </x:c>
      <x:c r="H6" s="8" t="s">
        <x:v>49</x:v>
      </x:c>
      <x:c r="I6" s="9">
        <x:v>3.15</x:v>
      </x:c>
      <x:c r="J6" s="9">
        <x:v>1.2</x:v>
      </x:c>
      <x:c r="K6" s="9">
        <x:v>0.1</x:v>
      </x:c>
      <x:c r="L6" s="9">
        <x:v>0.51</x:v>
      </x:c>
      <x:c r="M6" s="8" t="s">
        <x:v>53</x:v>
      </x:c>
      <x:c r="N6" s="9">
        <x:v>0</x:v>
      </x:c>
      <x:c r="O6" s="8"/>
      <x:c r="P6" s="9">
        <x:v>0</x:v>
      </x:c>
      <x:c r="Q6" s="8"/>
      <x:c r="R6" s="6" t="s">
        <x:v>54</x:v>
      </x:c>
      <x:c r="S6" t="str">
        <x:f t="shared" si="0"/>
        <x:v>JC-KG01-L21-20251025-AM-ORD-2025-00020-ORD-2025-00021</x:v>
      </x:c>
      <x:c r="T6">
        <x:f t="shared" si="1"/>
        <x:v>4.9599999999999991</x:v>
      </x:c>
      <x:c r="U6" t="n">
        <x:f>IF(S6="","",SUMIF(JobChangeLoss!$B$5:$B$1000,S6,JobChangeLoss!$N$5:$N$1000))</x:f>
        <x:v>4.959999999999999</x:v>
      </x:c>
      <x:c r="V6" t="str">
        <x:f t="shared" si="2">IF(A6="","",IF(ABS(T6-U6)&lt;=0.001,"OK","CHECK"))</x:f>
        <x:v>OK</x:v>
      </x:c>
      <x:c r="W6" t="str">
        <x:f t="shared" si="3"/>
        <x:v>OK</x:v>
      </x:c>
      <x:c r="X6" t="str">
        <x:f t="shared" si="4"/>
        <x:v>OK</x:v>
      </x:c>
      <x:c r="Y6" t="str">
        <x:f t="shared" si="5"/>
        <x:v>OK</x:v>
      </x:c>
      <x:c r="Z6" t="str">
        <x:f t="shared" si="6">IF(A6="","",IF(AND(V6="OK",W6="OK",X6="OK",Y6="OK",T6&gt;0,AA6="OK",AB6="OK",AH6="OK"),"OK","CHECK"))</x:f>
        <x:v>OK</x:v>
      </x:c>
      <x:c r="AA6" t="str">
        <x:f>IF(A6="","",IF(OR(F6="",COUNTIF(_ValidationLists!$D$2:$D$100,F6)=1),"OK","CHECK"))</x:f>
        <x:v>OK</x:v>
      </x:c>
      <x:c r="AB6" t="str">
        <x:f>IF(A6="","",IF(COUNTIF(_ValidationLists!$D$2:$D$100,G6)=1,"OK","CHECK"))</x:f>
        <x:v>OK</x:v>
      </x:c>
      <x:c r="AC6" t="n">
        <x:f>IF(H6="","",IFERROR(VLOOKUP(H6,_ValidationLists!$I$2:$K$20,2,FALSE),""))</x:f>
        <x:v>3</x:v>
      </x:c>
      <x:c r="AD6" t="n">
        <x:f>IF(H6="","",IFERROR(VLOOKUP(H6,_ValidationLists!$I$2:$K$20,3,FALSE),""))</x:f>
        <x:v>1</x:v>
      </x:c>
      <x:c r="AE6" t="str">
        <x:f>IF(A6="","",IF(I6&lt;=AC6,"WithinTarget","OverTarget"))</x:f>
        <x:v>OverTarget</x:v>
      </x:c>
      <x:c r="AF6" t="str">
        <x:f>IF(A6="","",IF(J6&lt;=AD6,"WithinTarget","OverTarget"))</x:f>
        <x:v>OverTarget</x:v>
      </x:c>
      <x:c r="AG6" t="n">
        <x:f>IF(S6="","",COUNTIF(JobChangeLoss!$B$5:$B$1000,S6))</x:f>
        <x:v>4</x:v>
      </x:c>
      <x:c r="AH6" t="str">
        <x:f>IF(S6="","",IF(AND(AG6=COUNTIF(I6:L6,"&gt;0")+COUNTIF(N6,"&gt;0")+COUNTIF(P6,"&gt;0"),COUNTIFS(JobChangeLoss!$B$5:$B$1000,S6,JobChangeLoss!$AD$5:$AD$1000,"CHECK")=0),"OK","CHECK"))</x:f>
        <x:v>OK</x:v>
      </x:c>
      <x:c r="AM6" t="str">
        <x:v>02_Supervisor_Log(4).xlsx</x:v>
      </x:c>
      <x:c r="AN6" t="str">
        <x:v>ENH-20260830-01</x:v>
      </x:c>
      <x:c r="AO6" t="str">
        <x:v>Active</x:v>
      </x:c>
      <x:c r="AP6" t="str">
        <x:f>IF(A6="","",IF(Z6="OK","LOAD","QUARANTINE"))</x:f>
        <x:v>LOAD</x:v>
      </x:c>
    </x:row>
    <x:row r="7" ht="18" customHeight="1">
      <x:c r="A7" s="8" t="s">
        <x:v>44</x:v>
      </x:c>
      <x:c r="B7" s="8">
        <x:v>22</x:v>
      </x:c>
      <x:c r="C7" s="7">
        <x:v>45950</x:v>
      </x:c>
      <x:c r="D7" s="8" t="s">
        <x:v>45</x:v>
      </x:c>
      <x:c r="E7" s="8" t="s">
        <x:v>55</x:v>
      </x:c>
      <x:c r="F7" s="8" t="s">
        <x:v>56</x:v>
      </x:c>
      <x:c r="G7" s="8" t="s">
        <x:v>57</x:v>
      </x:c>
      <x:c r="H7" s="8" t="s">
        <x:v>58</x:v>
      </x:c>
      <x:c r="I7" s="9">
        <x:v>6.84</x:v>
      </x:c>
      <x:c r="J7" s="9">
        <x:v>1.63</x:v>
      </x:c>
      <x:c r="K7" s="9">
        <x:v>0.78</x:v>
      </x:c>
      <x:c r="L7" s="9">
        <x:v>0</x:v>
      </x:c>
      <x:c r="M7" s="8"/>
      <x:c r="N7" s="9">
        <x:v>0</x:v>
      </x:c>
      <x:c r="O7" s="8"/>
      <x:c r="P7" s="9">
        <x:v>0.24</x:v>
      </x:c>
      <x:c r="Q7" s="8" t="s">
        <x:v>59</x:v>
      </x:c>
      <x:c r="R7" s="6" t="s">
        <x:v>60</x:v>
      </x:c>
      <x:c r="S7" t="str">
        <x:f t="shared" si="0"/>
        <x:v>JC-KG01-L22-20251020-AM-ORD-2025-00055-ORD-2025-00056</x:v>
      </x:c>
      <x:c r="T7">
        <x:f t="shared" si="1"/>
        <x:v>9.4899999999999984</x:v>
      </x:c>
      <x:c r="U7" t="n">
        <x:f>IF(S7="","",SUMIF(JobChangeLoss!$B$5:$B$1000,S7,JobChangeLoss!$N$5:$N$1000))</x:f>
        <x:v>9.489999999999998</x:v>
      </x:c>
      <x:c r="V7" t="str">
        <x:f t="shared" si="2">IF(A7="","",IF(ABS(T7-U7)&lt;=0.001,"OK","CHECK"))</x:f>
        <x:v>OK</x:v>
      </x:c>
      <x:c r="W7" t="str">
        <x:f t="shared" si="3"/>
        <x:v>OK</x:v>
      </x:c>
      <x:c r="X7" t="str">
        <x:f t="shared" si="4"/>
        <x:v>OK</x:v>
      </x:c>
      <x:c r="Y7" t="str">
        <x:f t="shared" si="5"/>
        <x:v>OK</x:v>
      </x:c>
      <x:c r="Z7" t="str">
        <x:f t="shared" si="6">IF(A7="","",IF(AND(V7="OK",W7="OK",X7="OK",Y7="OK",T7&gt;0,AA7="OK",AB7="OK",AH7="OK"),"OK","CHECK"))</x:f>
        <x:v>OK</x:v>
      </x:c>
      <x:c r="AA7" t="str">
        <x:f>IF(A7="","",IF(OR(F7="",COUNTIF(_ValidationLists!$D$2:$D$100,F7)=1),"OK","CHECK"))</x:f>
        <x:v>OK</x:v>
      </x:c>
      <x:c r="AB7" t="str">
        <x:f>IF(A7="","",IF(COUNTIF(_ValidationLists!$D$2:$D$100,G7)=1,"OK","CHECK"))</x:f>
        <x:v>OK</x:v>
      </x:c>
      <x:c r="AC7" t="n">
        <x:f>IF(H7="","",IFERROR(VLOOKUP(H7,_ValidationLists!$I$2:$K$20,2,FALSE),""))</x:f>
        <x:v>6</x:v>
      </x:c>
      <x:c r="AD7" t="n">
        <x:f>IF(H7="","",IFERROR(VLOOKUP(H7,_ValidationLists!$I$2:$K$20,3,FALSE),""))</x:f>
        <x:v>2</x:v>
      </x:c>
      <x:c r="AE7" t="str">
        <x:f>IF(A7="","",IF(I7&lt;=AC7,"WithinTarget","OverTarget"))</x:f>
        <x:v>OverTarget</x:v>
      </x:c>
      <x:c r="AF7" t="str">
        <x:f>IF(A7="","",IF(J7&lt;=AD7,"WithinTarget","OverTarget"))</x:f>
        <x:v>WithinTarget</x:v>
      </x:c>
      <x:c r="AG7" t="n">
        <x:f>IF(S7="","",COUNTIF(JobChangeLoss!$B$5:$B$1000,S7))</x:f>
        <x:v>4</x:v>
      </x:c>
      <x:c r="AH7" t="str">
        <x:f>IF(S7="","",IF(AND(AG7=COUNTIF(I7:L7,"&gt;0")+COUNTIF(N7,"&gt;0")+COUNTIF(P7,"&gt;0"),COUNTIFS(JobChangeLoss!$B$5:$B$1000,S7,JobChangeLoss!$AD$5:$AD$1000,"CHECK")=0),"OK","CHECK"))</x:f>
        <x:v>OK</x:v>
      </x:c>
      <x:c r="AM7" t="str">
        <x:v>02_Supervisor_Log(4).xlsx</x:v>
      </x:c>
      <x:c r="AN7" t="str">
        <x:v>ENH-20260830-01</x:v>
      </x:c>
      <x:c r="AO7" t="str">
        <x:v>Active</x:v>
      </x:c>
      <x:c r="AP7" t="str">
        <x:f>IF(A7="","",IF(Z7="OK","LOAD","QUARANTINE"))</x:f>
        <x:v>LOAD</x:v>
      </x:c>
    </x:row>
    <x:row r="8" ht="18" customHeight="1">
      <x:c r="A8" s="8" t="s">
        <x:v>44</x:v>
      </x:c>
      <x:c r="B8" s="8">
        <x:v>22</x:v>
      </x:c>
      <x:c r="C8" s="7">
        <x:v>45956</x:v>
      </x:c>
      <x:c r="D8" s="8" t="s">
        <x:v>45</x:v>
      </x:c>
      <x:c r="E8" s="8" t="s">
        <x:v>55</x:v>
      </x:c>
      <x:c r="F8" s="8" t="s">
        <x:v>61</x:v>
      </x:c>
      <x:c r="G8" s="8" t="s">
        <x:v>62</x:v>
      </x:c>
      <x:c r="H8" s="8" t="s">
        <x:v>58</x:v>
      </x:c>
      <x:c r="I8" s="9">
        <x:v>5.65</x:v>
      </x:c>
      <x:c r="J8" s="9">
        <x:v>1.35</x:v>
      </x:c>
      <x:c r="K8" s="9">
        <x:v>0.78</x:v>
      </x:c>
      <x:c r="L8" s="9">
        <x:v>0.69</x:v>
      </x:c>
      <x:c r="M8" s="8" t="s">
        <x:v>63</x:v>
      </x:c>
      <x:c r="N8" s="9">
        <x:v>0</x:v>
      </x:c>
      <x:c r="O8" s="8"/>
      <x:c r="P8" s="9">
        <x:v>0</x:v>
      </x:c>
      <x:c r="Q8" s="8"/>
      <x:c r="R8" s="6" t="s">
        <x:v>50</x:v>
      </x:c>
      <x:c r="S8" t="str">
        <x:f t="shared" si="0"/>
        <x:v>JC-KG01-L22-20251026-AM-ORD-2025-00057-ORD-2025-00058</x:v>
      </x:c>
      <x:c r="T8">
        <x:f t="shared" si="1"/>
        <x:v>8.4700000000000006</x:v>
      </x:c>
      <x:c r="U8" t="n">
        <x:f>IF(S8="","",SUMIF(JobChangeLoss!$B$5:$B$1000,S8,JobChangeLoss!$N$5:$N$1000))</x:f>
        <x:v>8.47</x:v>
      </x:c>
      <x:c r="V8" t="str">
        <x:f t="shared" si="2">IF(A8="","",IF(ABS(T8-U8)&lt;=0.001,"OK","CHECK"))</x:f>
        <x:v>OK</x:v>
      </x:c>
      <x:c r="W8" t="str">
        <x:f t="shared" si="3"/>
        <x:v>OK</x:v>
      </x:c>
      <x:c r="X8" t="str">
        <x:f t="shared" si="4"/>
        <x:v>OK</x:v>
      </x:c>
      <x:c r="Y8" t="str">
        <x:f t="shared" si="5"/>
        <x:v>OK</x:v>
      </x:c>
      <x:c r="Z8" t="str">
        <x:f t="shared" si="6">IF(A8="","",IF(AND(V8="OK",W8="OK",X8="OK",Y8="OK",T8&gt;0,AA8="OK",AB8="OK",AH8="OK"),"OK","CHECK"))</x:f>
        <x:v>OK</x:v>
      </x:c>
      <x:c r="AA8" t="str">
        <x:f>IF(A8="","",IF(OR(F8="",COUNTIF(_ValidationLists!$D$2:$D$100,F8)=1),"OK","CHECK"))</x:f>
        <x:v>OK</x:v>
      </x:c>
      <x:c r="AB8" t="str">
        <x:f>IF(A8="","",IF(COUNTIF(_ValidationLists!$D$2:$D$100,G8)=1,"OK","CHECK"))</x:f>
        <x:v>OK</x:v>
      </x:c>
      <x:c r="AC8" t="n">
        <x:f>IF(H8="","",IFERROR(VLOOKUP(H8,_ValidationLists!$I$2:$K$20,2,FALSE),""))</x:f>
        <x:v>6</x:v>
      </x:c>
      <x:c r="AD8" t="n">
        <x:f>IF(H8="","",IFERROR(VLOOKUP(H8,_ValidationLists!$I$2:$K$20,3,FALSE),""))</x:f>
        <x:v>2</x:v>
      </x:c>
      <x:c r="AE8" t="str">
        <x:f>IF(A8="","",IF(I8&lt;=AC8,"WithinTarget","OverTarget"))</x:f>
        <x:v>WithinTarget</x:v>
      </x:c>
      <x:c r="AF8" t="str">
        <x:f>IF(A8="","",IF(J8&lt;=AD8,"WithinTarget","OverTarget"))</x:f>
        <x:v>WithinTarget</x:v>
      </x:c>
      <x:c r="AG8" t="n">
        <x:f>IF(S8="","",COUNTIF(JobChangeLoss!$B$5:$B$1000,S8))</x:f>
        <x:v>4</x:v>
      </x:c>
      <x:c r="AH8" t="str">
        <x:f>IF(S8="","",IF(AND(AG8=COUNTIF(I8:L8,"&gt;0")+COUNTIF(N8,"&gt;0")+COUNTIF(P8,"&gt;0"),COUNTIFS(JobChangeLoss!$B$5:$B$1000,S8,JobChangeLoss!$AD$5:$AD$1000,"CHECK")=0),"OK","CHECK"))</x:f>
        <x:v>OK</x:v>
      </x:c>
      <x:c r="AM8" t="str">
        <x:v>02_Supervisor_Log(4).xlsx</x:v>
      </x:c>
      <x:c r="AN8" t="str">
        <x:v>ENH-20260830-01</x:v>
      </x:c>
      <x:c r="AO8" t="str">
        <x:v>Active</x:v>
      </x:c>
      <x:c r="AP8" t="str">
        <x:f>IF(A8="","",IF(Z8="OK","LOAD","QUARANTINE"))</x:f>
        <x:v>LOAD</x:v>
      </x:c>
    </x:row>
    <x:row r="9" ht="18" customHeight="1">
      <x:c r="A9" s="8" t="s">
        <x:v>44</x:v>
      </x:c>
      <x:c r="B9" s="8">
        <x:v>23</x:v>
      </x:c>
      <x:c r="C9" s="7">
        <x:v>45952</x:v>
      </x:c>
      <x:c r="D9" s="8" t="s">
        <x:v>45</x:v>
      </x:c>
      <x:c r="E9" s="8" t="s">
        <x:v>51</x:v>
      </x:c>
      <x:c r="F9" s="8" t="s">
        <x:v>64</x:v>
      </x:c>
      <x:c r="G9" s="8" t="s">
        <x:v>65</x:v>
      </x:c>
      <x:c r="H9" s="8" t="s">
        <x:v>49</x:v>
      </x:c>
      <x:c r="I9" s="9">
        <x:v>2.73</x:v>
      </x:c>
      <x:c r="J9" s="9">
        <x:v>1.06</x:v>
      </x:c>
      <x:c r="K9" s="9">
        <x:v>0.49</x:v>
      </x:c>
      <x:c r="L9" s="9">
        <x:v>0</x:v>
      </x:c>
      <x:c r="M9" s="8"/>
      <x:c r="N9" s="9">
        <x:v>0</x:v>
      </x:c>
      <x:c r="O9" s="8"/>
      <x:c r="P9" s="9">
        <x:v>0.4</x:v>
      </x:c>
      <x:c r="Q9" s="8" t="s">
        <x:v>66</x:v>
      </x:c>
      <x:c r="R9" s="6" t="s">
        <x:v>50</x:v>
      </x:c>
      <x:c r="S9" t="str">
        <x:f t="shared" si="0"/>
        <x:v>JC-KG01-L23-20251022-AM-ORD-2025-00092-ORD-2025-00093</x:v>
      </x:c>
      <x:c r="T9">
        <x:f t="shared" si="1"/>
        <x:v>4.6800000000000006</x:v>
      </x:c>
      <x:c r="U9" t="n">
        <x:f>IF(S9="","",SUMIF(JobChangeLoss!$B$5:$B$1000,S9,JobChangeLoss!$N$5:$N$1000))</x:f>
        <x:v>4.680000000000001</x:v>
      </x:c>
      <x:c r="V9" t="str">
        <x:f t="shared" si="2">IF(A9="","",IF(ABS(T9-U9)&lt;=0.001,"OK","CHECK"))</x:f>
        <x:v>OK</x:v>
      </x:c>
      <x:c r="W9" t="str">
        <x:f t="shared" si="3"/>
        <x:v>OK</x:v>
      </x:c>
      <x:c r="X9" t="str">
        <x:f t="shared" si="4"/>
        <x:v>OK</x:v>
      </x:c>
      <x:c r="Y9" t="str">
        <x:f t="shared" si="5"/>
        <x:v>OK</x:v>
      </x:c>
      <x:c r="Z9" t="str">
        <x:f t="shared" si="6">IF(A9="","",IF(AND(V9="OK",W9="OK",X9="OK",Y9="OK",T9&gt;0,AA9="OK",AB9="OK",AH9="OK"),"OK","CHECK"))</x:f>
        <x:v>OK</x:v>
      </x:c>
      <x:c r="AA9" t="str">
        <x:f>IF(A9="","",IF(OR(F9="",COUNTIF(_ValidationLists!$D$2:$D$100,F9)=1),"OK","CHECK"))</x:f>
        <x:v>OK</x:v>
      </x:c>
      <x:c r="AB9" t="str">
        <x:f>IF(A9="","",IF(COUNTIF(_ValidationLists!$D$2:$D$100,G9)=1,"OK","CHECK"))</x:f>
        <x:v>OK</x:v>
      </x:c>
      <x:c r="AC9" t="n">
        <x:f>IF(H9="","",IFERROR(VLOOKUP(H9,_ValidationLists!$I$2:$K$20,2,FALSE),""))</x:f>
        <x:v>3</x:v>
      </x:c>
      <x:c r="AD9" t="n">
        <x:f>IF(H9="","",IFERROR(VLOOKUP(H9,_ValidationLists!$I$2:$K$20,3,FALSE),""))</x:f>
        <x:v>1</x:v>
      </x:c>
      <x:c r="AE9" t="str">
        <x:f>IF(A9="","",IF(I9&lt;=AC9,"WithinTarget","OverTarget"))</x:f>
        <x:v>WithinTarget</x:v>
      </x:c>
      <x:c r="AF9" t="str">
        <x:f>IF(A9="","",IF(J9&lt;=AD9,"WithinTarget","OverTarget"))</x:f>
        <x:v>OverTarget</x:v>
      </x:c>
      <x:c r="AG9" t="n">
        <x:f>IF(S9="","",COUNTIF(JobChangeLoss!$B$5:$B$1000,S9))</x:f>
        <x:v>4</x:v>
      </x:c>
      <x:c r="AH9" t="str">
        <x:f>IF(S9="","",IF(AND(AG9=COUNTIF(I9:L9,"&gt;0")+COUNTIF(N9,"&gt;0")+COUNTIF(P9,"&gt;0"),COUNTIFS(JobChangeLoss!$B$5:$B$1000,S9,JobChangeLoss!$AD$5:$AD$1000,"CHECK")=0),"OK","CHECK"))</x:f>
        <x:v>OK</x:v>
      </x:c>
      <x:c r="AM9" t="str">
        <x:v>02_Supervisor_Log(4).xlsx</x:v>
      </x:c>
      <x:c r="AN9" t="str">
        <x:v>ENH-20260830-01</x:v>
      </x:c>
      <x:c r="AO9" t="str">
        <x:v>Active</x:v>
      </x:c>
      <x:c r="AP9" t="str">
        <x:f>IF(A9="","",IF(Z9="OK","LOAD","QUARANTINE"))</x:f>
        <x:v>LOAD</x:v>
      </x:c>
    </x:row>
    <x:row r="10" ht="18" customHeight="1">
      <x:c r="A10" s="8" t="s">
        <x:v>44</x:v>
      </x:c>
      <x:c r="B10" s="8">
        <x:v>23</x:v>
      </x:c>
      <x:c r="C10" s="7">
        <x:v>45956</x:v>
      </x:c>
      <x:c r="D10" s="8" t="s">
        <x:v>45</x:v>
      </x:c>
      <x:c r="E10" s="8" t="s">
        <x:v>55</x:v>
      </x:c>
      <x:c r="F10" s="8" t="s">
        <x:v>65</x:v>
      </x:c>
      <x:c r="G10" s="8" t="s">
        <x:v>67</x:v>
      </x:c>
      <x:c r="H10" s="8" t="s">
        <x:v>68</x:v>
      </x:c>
      <x:c r="I10" s="9">
        <x:v>6.68</x:v>
      </x:c>
      <x:c r="J10" s="9">
        <x:v>2.81</x:v>
      </x:c>
      <x:c r="K10" s="9">
        <x:v>0.35</x:v>
      </x:c>
      <x:c r="L10" s="9">
        <x:v>0.47</x:v>
      </x:c>
      <x:c r="M10" s="8" t="s">
        <x:v>69</x:v>
      </x:c>
      <x:c r="N10" s="9">
        <x:v>0.39</x:v>
      </x:c>
      <x:c r="O10" s="8" t="s">
        <x:v>70</x:v>
      </x:c>
      <x:c r="P10" s="9">
        <x:v>0</x:v>
      </x:c>
      <x:c r="Q10" s="8"/>
      <x:c r="R10" s="6" t="s">
        <x:v>71</x:v>
      </x:c>
      <x:c r="S10" t="str">
        <x:f t="shared" si="0"/>
        <x:v>JC-KG01-L23-20251026-AM-ORD-2025-00093-ORD-2025-00094</x:v>
      </x:c>
      <x:c r="T10">
        <x:f t="shared" si="1"/>
        <x:v>10.700000000000001</x:v>
      </x:c>
      <x:c r="U10" t="n">
        <x:f>IF(S10="","",SUMIF(JobChangeLoss!$B$5:$B$1000,S10,JobChangeLoss!$N$5:$N$1000))</x:f>
        <x:v>10.700000000000001</x:v>
      </x:c>
      <x:c r="V10" t="str">
        <x:f t="shared" si="2">IF(A10="","",IF(ABS(T10-U10)&lt;=0.001,"OK","CHECK"))</x:f>
        <x:v>OK</x:v>
      </x:c>
      <x:c r="W10" t="str">
        <x:f t="shared" si="3"/>
        <x:v>OK</x:v>
      </x:c>
      <x:c r="X10" t="str">
        <x:f t="shared" si="4"/>
        <x:v>OK</x:v>
      </x:c>
      <x:c r="Y10" t="str">
        <x:f t="shared" si="5"/>
        <x:v>OK</x:v>
      </x:c>
      <x:c r="Z10" t="str">
        <x:f t="shared" si="6">IF(A10="","",IF(AND(V10="OK",W10="OK",X10="OK",Y10="OK",T10&gt;0,AA10="OK",AB10="OK",AH10="OK"),"OK","CHECK"))</x:f>
        <x:v>OK</x:v>
      </x:c>
      <x:c r="AA10" t="str">
        <x:f>IF(A10="","",IF(OR(F10="",COUNTIF(_ValidationLists!$D$2:$D$100,F10)=1),"OK","CHECK"))</x:f>
        <x:v>OK</x:v>
      </x:c>
      <x:c r="AB10" t="str">
        <x:f>IF(A10="","",IF(COUNTIF(_ValidationLists!$D$2:$D$100,G10)=1,"OK","CHECK"))</x:f>
        <x:v>OK</x:v>
      </x:c>
      <x:c r="AC10" t="n">
        <x:f>IF(H10="","",IFERROR(VLOOKUP(H10,_ValidationLists!$I$2:$K$20,2,FALSE),""))</x:f>
        <x:v>8</x:v>
      </x:c>
      <x:c r="AD10" t="n">
        <x:f>IF(H10="","",IFERROR(VLOOKUP(H10,_ValidationLists!$I$2:$K$20,3,FALSE),""))</x:f>
        <x:v>3</x:v>
      </x:c>
      <x:c r="AE10" t="str">
        <x:f>IF(A10="","",IF(I10&lt;=AC10,"WithinTarget","OverTarget"))</x:f>
        <x:v>WithinTarget</x:v>
      </x:c>
      <x:c r="AF10" t="str">
        <x:f>IF(A10="","",IF(J10&lt;=AD10,"WithinTarget","OverTarget"))</x:f>
        <x:v>WithinTarget</x:v>
      </x:c>
      <x:c r="AG10" t="n">
        <x:f>IF(S10="","",COUNTIF(JobChangeLoss!$B$5:$B$1000,S10))</x:f>
        <x:v>5</x:v>
      </x:c>
      <x:c r="AH10" t="str">
        <x:f>IF(S10="","",IF(AND(AG10=COUNTIF(I10:L10,"&gt;0")+COUNTIF(N10,"&gt;0")+COUNTIF(P10,"&gt;0"),COUNTIFS(JobChangeLoss!$B$5:$B$1000,S10,JobChangeLoss!$AD$5:$AD$1000,"CHECK")=0),"OK","CHECK"))</x:f>
        <x:v>OK</x:v>
      </x:c>
      <x:c r="AM10" t="str">
        <x:v>02_Supervisor_Log(4).xlsx</x:v>
      </x:c>
      <x:c r="AN10" t="str">
        <x:v>ENH-20260830-01</x:v>
      </x:c>
      <x:c r="AO10" t="str">
        <x:v>Active</x:v>
      </x:c>
      <x:c r="AP10" t="str">
        <x:f>IF(A10="","",IF(Z10="OK","LOAD","QUARANTINE"))</x:f>
        <x:v>LOAD</x:v>
      </x:c>
    </x:row>
    <x:row r="11" ht="18" customHeight="1">
      <x:c r="A11" s="8" t="s">
        <x:v>44</x:v>
      </x:c>
      <x:c r="B11" s="8">
        <x:v>24</x:v>
      </x:c>
      <x:c r="C11" s="7">
        <x:v>45951</x:v>
      </x:c>
      <x:c r="D11" s="8" t="s">
        <x:v>45</x:v>
      </x:c>
      <x:c r="E11" s="8" t="s">
        <x:v>46</x:v>
      </x:c>
      <x:c r="F11" s="8" t="s">
        <x:v>72</x:v>
      </x:c>
      <x:c r="G11" s="8" t="s">
        <x:v>73</x:v>
      </x:c>
      <x:c r="H11" s="8" t="s">
        <x:v>49</x:v>
      </x:c>
      <x:c r="I11" s="9">
        <x:v>3.5</x:v>
      </x:c>
      <x:c r="J11" s="9">
        <x:v>0.76</x:v>
      </x:c>
      <x:c r="K11" s="9">
        <x:v>0.5</x:v>
      </x:c>
      <x:c r="L11" s="9">
        <x:v>0</x:v>
      </x:c>
      <x:c r="M11" s="8"/>
      <x:c r="N11" s="9">
        <x:v>0</x:v>
      </x:c>
      <x:c r="O11" s="8"/>
      <x:c r="P11" s="9">
        <x:v>0</x:v>
      </x:c>
      <x:c r="Q11" s="8"/>
      <x:c r="R11" s="6" t="s">
        <x:v>71</x:v>
      </x:c>
      <x:c r="S11" t="str">
        <x:f t="shared" si="0"/>
        <x:v>JC-KG01-L24-20251021-AM-ORD-2025-00124-ORD-2025-00125</x:v>
      </x:c>
      <x:c r="T11">
        <x:f t="shared" si="1"/>
        <x:v>4.76</x:v>
      </x:c>
      <x:c r="U11" t="n">
        <x:f>IF(S11="","",SUMIF(JobChangeLoss!$B$5:$B$1000,S11,JobChangeLoss!$N$5:$N$1000))</x:f>
        <x:v>4.76</x:v>
      </x:c>
      <x:c r="V11" t="str">
        <x:f t="shared" si="2">IF(A11="","",IF(ABS(T11-U11)&lt;=0.001,"OK","CHECK"))</x:f>
        <x:v>OK</x:v>
      </x:c>
      <x:c r="W11" t="str">
        <x:f t="shared" si="3"/>
        <x:v>OK</x:v>
      </x:c>
      <x:c r="X11" t="str">
        <x:f t="shared" si="4"/>
        <x:v>OK</x:v>
      </x:c>
      <x:c r="Y11" t="str">
        <x:f t="shared" si="5"/>
        <x:v>OK</x:v>
      </x:c>
      <x:c r="Z11" t="str">
        <x:f t="shared" si="6">IF(A11="","",IF(AND(V11="OK",W11="OK",X11="OK",Y11="OK",T11&gt;0,AA11="OK",AB11="OK",AH11="OK"),"OK","CHECK"))</x:f>
        <x:v>OK</x:v>
      </x:c>
      <x:c r="AA11" t="str">
        <x:f>IF(A11="","",IF(OR(F11="",COUNTIF(_ValidationLists!$D$2:$D$100,F11)=1),"OK","CHECK"))</x:f>
        <x:v>OK</x:v>
      </x:c>
      <x:c r="AB11" t="str">
        <x:f>IF(A11="","",IF(COUNTIF(_ValidationLists!$D$2:$D$100,G11)=1,"OK","CHECK"))</x:f>
        <x:v>OK</x:v>
      </x:c>
      <x:c r="AC11" t="n">
        <x:f>IF(H11="","",IFERROR(VLOOKUP(H11,_ValidationLists!$I$2:$K$20,2,FALSE),""))</x:f>
        <x:v>3</x:v>
      </x:c>
      <x:c r="AD11" t="n">
        <x:f>IF(H11="","",IFERROR(VLOOKUP(H11,_ValidationLists!$I$2:$K$20,3,FALSE),""))</x:f>
        <x:v>1</x:v>
      </x:c>
      <x:c r="AE11" t="str">
        <x:f>IF(A11="","",IF(I11&lt;=AC11,"WithinTarget","OverTarget"))</x:f>
        <x:v>OverTarget</x:v>
      </x:c>
      <x:c r="AF11" t="str">
        <x:f>IF(A11="","",IF(J11&lt;=AD11,"WithinTarget","OverTarget"))</x:f>
        <x:v>WithinTarget</x:v>
      </x:c>
      <x:c r="AG11" t="n">
        <x:f>IF(S11="","",COUNTIF(JobChangeLoss!$B$5:$B$1000,S11))</x:f>
        <x:v>3</x:v>
      </x:c>
      <x:c r="AH11" t="str">
        <x:f>IF(S11="","",IF(AND(AG11=COUNTIF(I11:L11,"&gt;0")+COUNTIF(N11,"&gt;0")+COUNTIF(P11,"&gt;0"),COUNTIFS(JobChangeLoss!$B$5:$B$1000,S11,JobChangeLoss!$AD$5:$AD$1000,"CHECK")=0),"OK","CHECK"))</x:f>
        <x:v>OK</x:v>
      </x:c>
      <x:c r="AM11" t="str">
        <x:v>02_Supervisor_Log(4).xlsx</x:v>
      </x:c>
      <x:c r="AN11" t="str">
        <x:v>ENH-20260830-01</x:v>
      </x:c>
      <x:c r="AO11" t="str">
        <x:v>Active</x:v>
      </x:c>
      <x:c r="AP11" t="str">
        <x:f>IF(A11="","",IF(Z11="OK","LOAD","QUARANTINE"))</x:f>
        <x:v>LOAD</x:v>
      </x:c>
    </x:row>
    <x:row r="12" ht="18" customHeight="1">
      <x:c r="A12" s="8" t="s">
        <x:v>44</x:v>
      </x:c>
      <x:c r="B12" s="8">
        <x:v>24</x:v>
      </x:c>
      <x:c r="C12" s="7">
        <x:v>45955</x:v>
      </x:c>
      <x:c r="D12" s="8" t="s">
        <x:v>45</x:v>
      </x:c>
      <x:c r="E12" s="8" t="s">
        <x:v>51</x:v>
      </x:c>
      <x:c r="F12" s="8" t="s">
        <x:v>73</x:v>
      </x:c>
      <x:c r="G12" s="8" t="s">
        <x:v>74</x:v>
      </x:c>
      <x:c r="H12" s="8" t="s">
        <x:v>75</x:v>
      </x:c>
      <x:c r="I12" s="9">
        <x:v>1.35</x:v>
      </x:c>
      <x:c r="J12" s="9">
        <x:v>0.42</x:v>
      </x:c>
      <x:c r="K12" s="9">
        <x:v>0.42</x:v>
      </x:c>
      <x:c r="L12" s="9">
        <x:v>0</x:v>
      </x:c>
      <x:c r="M12" s="8"/>
      <x:c r="N12" s="9">
        <x:v>0</x:v>
      </x:c>
      <x:c r="O12" s="8"/>
      <x:c r="P12" s="9">
        <x:v>0</x:v>
      </x:c>
      <x:c r="Q12" s="8"/>
      <x:c r="R12" s="6" t="s">
        <x:v>50</x:v>
      </x:c>
      <x:c r="S12" t="str">
        <x:f t="shared" si="0"/>
        <x:v>JC-KG01-L24-20251025-AM-ORD-2025-00125-ORD-2025-00126</x:v>
      </x:c>
      <x:c r="T12">
        <x:f t="shared" si="1"/>
        <x:v>2.19</x:v>
      </x:c>
      <x:c r="U12" t="n">
        <x:f>IF(S12="","",SUMIF(JobChangeLoss!$B$5:$B$1000,S12,JobChangeLoss!$N$5:$N$1000))</x:f>
        <x:v>2.19</x:v>
      </x:c>
      <x:c r="V12" t="str">
        <x:f t="shared" si="2">IF(A12="","",IF(ABS(T12-U12)&lt;=0.001,"OK","CHECK"))</x:f>
        <x:v>OK</x:v>
      </x:c>
      <x:c r="W12" t="str">
        <x:f t="shared" si="3"/>
        <x:v>OK</x:v>
      </x:c>
      <x:c r="X12" t="str">
        <x:f t="shared" si="4"/>
        <x:v>OK</x:v>
      </x:c>
      <x:c r="Y12" t="str">
        <x:f t="shared" si="5"/>
        <x:v>OK</x:v>
      </x:c>
      <x:c r="Z12" t="str">
        <x:f t="shared" si="6">IF(A12="","",IF(AND(V12="OK",W12="OK",X12="OK",Y12="OK",T12&gt;0,AA12="OK",AB12="OK",AH12="OK"),"OK","CHECK"))</x:f>
        <x:v>OK</x:v>
      </x:c>
      <x:c r="AA12" t="str">
        <x:f>IF(A12="","",IF(OR(F12="",COUNTIF(_ValidationLists!$D$2:$D$100,F12)=1),"OK","CHECK"))</x:f>
        <x:v>OK</x:v>
      </x:c>
      <x:c r="AB12" t="str">
        <x:f>IF(A12="","",IF(COUNTIF(_ValidationLists!$D$2:$D$100,G12)=1,"OK","CHECK"))</x:f>
        <x:v>OK</x:v>
      </x:c>
      <x:c r="AC12" t="n">
        <x:f>IF(H12="","",IFERROR(VLOOKUP(H12,_ValidationLists!$I$2:$K$20,2,FALSE),""))</x:f>
        <x:v>1.5</x:v>
      </x:c>
      <x:c r="AD12" t="n">
        <x:f>IF(H12="","",IFERROR(VLOOKUP(H12,_ValidationLists!$I$2:$K$20,3,FALSE),""))</x:f>
        <x:v>0.5</x:v>
      </x:c>
      <x:c r="AE12" t="str">
        <x:f>IF(A12="","",IF(I12&lt;=AC12,"WithinTarget","OverTarget"))</x:f>
        <x:v>WithinTarget</x:v>
      </x:c>
      <x:c r="AF12" t="str">
        <x:f>IF(A12="","",IF(J12&lt;=AD12,"WithinTarget","OverTarget"))</x:f>
        <x:v>WithinTarget</x:v>
      </x:c>
      <x:c r="AG12" t="n">
        <x:f>IF(S12="","",COUNTIF(JobChangeLoss!$B$5:$B$1000,S12))</x:f>
        <x:v>3</x:v>
      </x:c>
      <x:c r="AH12" t="str">
        <x:f>IF(S12="","",IF(AND(AG12=COUNTIF(I12:L12,"&gt;0")+COUNTIF(N12,"&gt;0")+COUNTIF(P12,"&gt;0"),COUNTIFS(JobChangeLoss!$B$5:$B$1000,S12,JobChangeLoss!$AD$5:$AD$1000,"CHECK")=0),"OK","CHECK"))</x:f>
        <x:v>OK</x:v>
      </x:c>
      <x:c r="AM12" t="str">
        <x:v>02_Supervisor_Log(4).xlsx</x:v>
      </x:c>
      <x:c r="AN12" t="str">
        <x:v>ENH-20260830-01</x:v>
      </x:c>
      <x:c r="AO12" t="str">
        <x:v>Active</x:v>
      </x:c>
      <x:c r="AP12" t="str">
        <x:f>IF(A12="","",IF(Z12="OK","LOAD","QUARANTINE"))</x:f>
        <x:v>LOAD</x:v>
      </x:c>
    </x:row>
    <x:row r="13" ht="18" customHeight="1">
      <x:c r="A13" s="8" t="s">
        <x:v>44</x:v>
      </x:c>
      <x:c r="B13" s="8">
        <x:v>25</x:v>
      </x:c>
      <x:c r="C13" s="7">
        <x:v>45953</x:v>
      </x:c>
      <x:c r="D13" s="8" t="s">
        <x:v>45</x:v>
      </x:c>
      <x:c r="E13" s="8" t="s">
        <x:v>55</x:v>
      </x:c>
      <x:c r="F13" s="8" t="s">
        <x:v>76</x:v>
      </x:c>
      <x:c r="G13" s="8" t="s">
        <x:v>77</x:v>
      </x:c>
      <x:c r="H13" s="8" t="s">
        <x:v>49</x:v>
      </x:c>
      <x:c r="I13" s="9">
        <x:v>2.75</x:v>
      </x:c>
      <x:c r="J13" s="9">
        <x:v>0.89</x:v>
      </x:c>
      <x:c r="K13" s="9">
        <x:v>0.49</x:v>
      </x:c>
      <x:c r="L13" s="9">
        <x:v>0</x:v>
      </x:c>
      <x:c r="M13" s="8"/>
      <x:c r="N13" s="9">
        <x:v>0</x:v>
      </x:c>
      <x:c r="O13" s="8"/>
      <x:c r="P13" s="9">
        <x:v>0</x:v>
      </x:c>
      <x:c r="Q13" s="8"/>
      <x:c r="R13" s="6" t="s">
        <x:v>71</x:v>
      </x:c>
      <x:c r="S13" t="str">
        <x:f t="shared" si="0"/>
        <x:v>JC-KG01-L25-20251023-AM-ORD-2025-00161-ORD-2025-00162</x:v>
      </x:c>
      <x:c r="T13">
        <x:f t="shared" si="1"/>
        <x:v>4.13</x:v>
      </x:c>
      <x:c r="U13" t="n">
        <x:f>IF(S13="","",SUMIF(JobChangeLoss!$B$5:$B$1000,S13,JobChangeLoss!$N$5:$N$1000))</x:f>
        <x:v>4.13</x:v>
      </x:c>
      <x:c r="V13" t="str">
        <x:f t="shared" si="2">IF(A13="","",IF(ABS(T13-U13)&lt;=0.001,"OK","CHECK"))</x:f>
        <x:v>OK</x:v>
      </x:c>
      <x:c r="W13" t="str">
        <x:f t="shared" si="3"/>
        <x:v>OK</x:v>
      </x:c>
      <x:c r="X13" t="str">
        <x:f t="shared" si="4"/>
        <x:v>OK</x:v>
      </x:c>
      <x:c r="Y13" t="str">
        <x:f t="shared" si="5"/>
        <x:v>OK</x:v>
      </x:c>
      <x:c r="Z13" t="str">
        <x:f t="shared" si="6">IF(A13="","",IF(AND(V13="OK",W13="OK",X13="OK",Y13="OK",T13&gt;0,AA13="OK",AB13="OK",AH13="OK"),"OK","CHECK"))</x:f>
        <x:v>OK</x:v>
      </x:c>
      <x:c r="AA13" t="str">
        <x:f>IF(A13="","",IF(OR(F13="",COUNTIF(_ValidationLists!$D$2:$D$100,F13)=1),"OK","CHECK"))</x:f>
        <x:v>OK</x:v>
      </x:c>
      <x:c r="AB13" t="str">
        <x:f>IF(A13="","",IF(COUNTIF(_ValidationLists!$D$2:$D$100,G13)=1,"OK","CHECK"))</x:f>
        <x:v>OK</x:v>
      </x:c>
      <x:c r="AC13" t="n">
        <x:f>IF(H13="","",IFERROR(VLOOKUP(H13,_ValidationLists!$I$2:$K$20,2,FALSE),""))</x:f>
        <x:v>3</x:v>
      </x:c>
      <x:c r="AD13" t="n">
        <x:f>IF(H13="","",IFERROR(VLOOKUP(H13,_ValidationLists!$I$2:$K$20,3,FALSE),""))</x:f>
        <x:v>1</x:v>
      </x:c>
      <x:c r="AE13" t="str">
        <x:f>IF(A13="","",IF(I13&lt;=AC13,"WithinTarget","OverTarget"))</x:f>
        <x:v>WithinTarget</x:v>
      </x:c>
      <x:c r="AF13" t="str">
        <x:f>IF(A13="","",IF(J13&lt;=AD13,"WithinTarget","OverTarget"))</x:f>
        <x:v>WithinTarget</x:v>
      </x:c>
      <x:c r="AG13" t="n">
        <x:f>IF(S13="","",COUNTIF(JobChangeLoss!$B$5:$B$1000,S13))</x:f>
        <x:v>3</x:v>
      </x:c>
      <x:c r="AH13" t="str">
        <x:f>IF(S13="","",IF(AND(AG13=COUNTIF(I13:L13,"&gt;0")+COUNTIF(N13,"&gt;0")+COUNTIF(P13,"&gt;0"),COUNTIFS(JobChangeLoss!$B$5:$B$1000,S13,JobChangeLoss!$AD$5:$AD$1000,"CHECK")=0),"OK","CHECK"))</x:f>
        <x:v>OK</x:v>
      </x:c>
      <x:c r="AM13" t="str">
        <x:v>02_Supervisor_Log(4).xlsx</x:v>
      </x:c>
      <x:c r="AN13" t="str">
        <x:v>ENH-20260830-01</x:v>
      </x:c>
      <x:c r="AO13" t="str">
        <x:v>Active</x:v>
      </x:c>
      <x:c r="AP13" t="str">
        <x:f>IF(A13="","",IF(Z13="OK","LOAD","QUARANTINE"))</x:f>
        <x:v>LOAD</x:v>
      </x:c>
    </x:row>
    <x:row r="14" ht="18" customHeight="1">
      <x:c r="S14" t="str">
        <x:f t="shared" si="0"/>
      </x:c>
      <x:c r="T14" t="str">
        <x:f t="shared" si="1"/>
      </x:c>
      <x:c r="U14" t="str">
        <x:f>IF(S14="","",SUMIF(JobChangeImpact!$B$5:$B$100,S14,JobChangeImpact!$Q$5:$Q$100))</x:f>
      </x:c>
      <x:c r="V14" t="str">
        <x:f t="shared" si="2"/>
      </x:c>
      <x:c r="W14" t="str">
        <x:f t="shared" si="3"/>
      </x:c>
      <x:c r="X14" t="str">
        <x:f t="shared" si="4"/>
      </x:c>
      <x:c r="Y14" t="str">
        <x:f t="shared" si="5"/>
      </x:c>
      <x:c r="Z14" t="str">
        <x:f t="shared" si="6"/>
      </x:c>
    </x:row>
    <x:row r="15" ht="18" customHeight="1">
      <x:c r="S15" t="str">
        <x:f t="shared" si="0"/>
      </x:c>
      <x:c r="T15" t="str">
        <x:f t="shared" si="1"/>
      </x:c>
      <x:c r="U15" t="str">
        <x:f>IF(S15="","",SUMIF(JobChangeImpact!$B$5:$B$100,S15,JobChangeImpact!$Q$5:$Q$100))</x:f>
      </x:c>
      <x:c r="V15" t="str">
        <x:f t="shared" si="2"/>
      </x:c>
      <x:c r="W15" t="str">
        <x:f t="shared" si="3"/>
      </x:c>
      <x:c r="X15" t="str">
        <x:f t="shared" si="4"/>
      </x:c>
      <x:c r="Y15" t="str">
        <x:f t="shared" si="5"/>
      </x:c>
      <x:c r="Z15" t="str">
        <x:f t="shared" si="6"/>
      </x:c>
    </x:row>
    <x:row r="16" ht="18" customHeight="1">
      <x:c r="S16" t="str">
        <x:f t="shared" si="0"/>
      </x:c>
      <x:c r="T16" t="str">
        <x:f t="shared" si="1"/>
      </x:c>
      <x:c r="U16" t="str">
        <x:f>IF(S16="","",SUMIF(JobChangeImpact!$B$5:$B$100,S16,JobChangeImpact!$Q$5:$Q$100))</x:f>
      </x:c>
      <x:c r="V16" t="str">
        <x:f t="shared" si="2"/>
      </x:c>
      <x:c r="W16" t="str">
        <x:f t="shared" si="3"/>
      </x:c>
      <x:c r="X16" t="str">
        <x:f t="shared" si="4"/>
      </x:c>
      <x:c r="Y16" t="str">
        <x:f t="shared" si="5"/>
      </x:c>
      <x:c r="Z16" t="str">
        <x:f t="shared" si="6"/>
      </x:c>
    </x:row>
    <x:row r="17" ht="18" customHeight="1">
      <x:c r="S17" t="str">
        <x:f t="shared" si="0"/>
      </x:c>
      <x:c r="T17" t="str">
        <x:f t="shared" si="1"/>
      </x:c>
      <x:c r="U17" t="str">
        <x:f>IF(S17="","",SUMIF(JobChangeImpact!$B$5:$B$100,S17,JobChangeImpact!$Q$5:$Q$100))</x:f>
      </x:c>
      <x:c r="V17" t="str">
        <x:f t="shared" si="2"/>
      </x:c>
      <x:c r="W17" t="str">
        <x:f t="shared" si="3"/>
      </x:c>
      <x:c r="X17" t="str">
        <x:f t="shared" si="4"/>
      </x:c>
      <x:c r="Y17" t="str">
        <x:f t="shared" si="5"/>
      </x:c>
      <x:c r="Z17" t="str">
        <x:f t="shared" si="6"/>
      </x:c>
    </x:row>
    <x:row r="18" ht="18" customHeight="1">
      <x:c r="S18" t="str">
        <x:f t="shared" si="0"/>
      </x:c>
      <x:c r="T18" t="str">
        <x:f t="shared" si="1"/>
      </x:c>
      <x:c r="U18" t="str">
        <x:f>IF(S18="","",SUMIF(JobChangeImpact!$B$5:$B$100,S18,JobChangeImpact!$Q$5:$Q$100))</x:f>
      </x:c>
      <x:c r="V18" t="str">
        <x:f t="shared" si="2"/>
      </x:c>
      <x:c r="W18" t="str">
        <x:f t="shared" si="3"/>
      </x:c>
      <x:c r="X18" t="str">
        <x:f t="shared" si="4"/>
      </x:c>
      <x:c r="Y18" t="str">
        <x:f t="shared" si="5"/>
      </x:c>
      <x:c r="Z18" t="str">
        <x:f t="shared" si="6"/>
      </x:c>
    </x:row>
    <x:row r="19" ht="18" customHeight="1">
      <x:c r="S19" t="str">
        <x:f t="shared" si="0"/>
      </x:c>
      <x:c r="T19" t="str">
        <x:f t="shared" si="1"/>
      </x:c>
      <x:c r="U19" t="str">
        <x:f>IF(S19="","",SUMIF(JobChangeImpact!$B$5:$B$100,S19,JobChangeImpact!$Q$5:$Q$100))</x:f>
      </x:c>
      <x:c r="V19" t="str">
        <x:f t="shared" si="2"/>
      </x:c>
      <x:c r="W19" t="str">
        <x:f t="shared" si="3"/>
      </x:c>
      <x:c r="X19" t="str">
        <x:f t="shared" si="4"/>
      </x:c>
      <x:c r="Y19" t="str">
        <x:f t="shared" si="5"/>
      </x:c>
      <x:c r="Z19" t="str">
        <x:f t="shared" si="6"/>
      </x:c>
    </x:row>
    <x:row r="20" ht="18" customHeight="1">
      <x:c r="S20" t="str">
        <x:f t="shared" si="0"/>
      </x:c>
      <x:c r="T20" t="str">
        <x:f t="shared" si="1"/>
      </x:c>
      <x:c r="U20" t="str">
        <x:f>IF(S20="","",SUMIF(JobChangeImpact!$B$5:$B$100,S20,JobChangeImpact!$Q$5:$Q$100))</x:f>
      </x:c>
      <x:c r="V20" t="str">
        <x:f t="shared" si="2"/>
      </x:c>
      <x:c r="W20" t="str">
        <x:f t="shared" si="3"/>
      </x:c>
      <x:c r="X20" t="str">
        <x:f t="shared" si="4"/>
      </x:c>
      <x:c r="Y20" t="str">
        <x:f t="shared" si="5"/>
      </x:c>
      <x:c r="Z20" t="str">
        <x:f t="shared" si="6"/>
      </x:c>
    </x:row>
    <x:row r="21" ht="18" customHeight="1">
      <x:c r="S21" t="str">
        <x:f t="shared" si="0"/>
      </x:c>
      <x:c r="T21" t="str">
        <x:f t="shared" si="1"/>
      </x:c>
      <x:c r="U21" t="str">
        <x:f>IF(S21="","",SUMIF(JobChangeImpact!$B$5:$B$100,S21,JobChangeImpact!$Q$5:$Q$100))</x:f>
      </x:c>
      <x:c r="V21" t="str">
        <x:f t="shared" si="2"/>
      </x:c>
      <x:c r="W21" t="str">
        <x:f t="shared" si="3"/>
      </x:c>
      <x:c r="X21" t="str">
        <x:f t="shared" si="4"/>
      </x:c>
      <x:c r="Y21" t="str">
        <x:f t="shared" si="5"/>
      </x:c>
      <x:c r="Z21" t="str">
        <x:f t="shared" si="6"/>
      </x:c>
    </x:row>
    <x:row r="22" ht="18" customHeight="1">
      <x:c r="S22" t="str">
        <x:f t="shared" si="0"/>
      </x:c>
      <x:c r="T22" t="str">
        <x:f t="shared" si="1"/>
      </x:c>
      <x:c r="U22" t="str">
        <x:f>IF(S22="","",SUMIF(JobChangeImpact!$B$5:$B$100,S22,JobChangeImpact!$Q$5:$Q$100))</x:f>
      </x:c>
      <x:c r="V22" t="str">
        <x:f t="shared" si="2"/>
      </x:c>
      <x:c r="W22" t="str">
        <x:f t="shared" si="3"/>
      </x:c>
      <x:c r="X22" t="str">
        <x:f t="shared" si="4"/>
      </x:c>
      <x:c r="Y22" t="str">
        <x:f t="shared" si="5"/>
      </x:c>
      <x:c r="Z22" t="str">
        <x:f t="shared" si="6"/>
      </x:c>
    </x:row>
    <x:row r="23" ht="18" customHeight="1">
      <x:c r="S23" t="str">
        <x:f t="shared" si="0"/>
      </x:c>
      <x:c r="T23" t="str">
        <x:f t="shared" si="1"/>
      </x:c>
      <x:c r="U23" t="str">
        <x:f>IF(S23="","",SUMIF(JobChangeImpact!$B$5:$B$100,S23,JobChangeImpact!$Q$5:$Q$100))</x:f>
      </x:c>
      <x:c r="V23" t="str">
        <x:f t="shared" si="2"/>
      </x:c>
      <x:c r="W23" t="str">
        <x:f t="shared" si="3"/>
      </x:c>
      <x:c r="X23" t="str">
        <x:f t="shared" si="4"/>
      </x:c>
      <x:c r="Y23" t="str">
        <x:f t="shared" si="5"/>
      </x:c>
      <x:c r="Z23" t="str">
        <x:f t="shared" si="6"/>
      </x:c>
    </x:row>
    <x:row r="24" ht="18" customHeight="1">
      <x:c r="S24" t="str">
        <x:f t="shared" si="0"/>
      </x:c>
      <x:c r="T24" t="str">
        <x:f t="shared" si="1"/>
      </x:c>
      <x:c r="U24" t="str">
        <x:f>IF(S24="","",SUMIF(JobChangeImpact!$B$5:$B$100,S24,JobChangeImpact!$Q$5:$Q$100))</x:f>
      </x:c>
      <x:c r="V24" t="str">
        <x:f t="shared" si="2"/>
      </x:c>
      <x:c r="W24" t="str">
        <x:f t="shared" si="3"/>
      </x:c>
      <x:c r="X24" t="str">
        <x:f t="shared" si="4"/>
      </x:c>
      <x:c r="Y24" t="str">
        <x:f t="shared" si="5"/>
      </x:c>
      <x:c r="Z24" t="str">
        <x:f t="shared" si="6"/>
      </x:c>
    </x:row>
    <x:row r="25" ht="18" customHeight="1">
      <x:c r="S25" t="str">
        <x:f t="shared" si="0"/>
      </x:c>
      <x:c r="T25" t="str">
        <x:f t="shared" si="1"/>
      </x:c>
      <x:c r="U25" t="str">
        <x:f>IF(S25="","",SUMIF(JobChangeImpact!$B$5:$B$100,S25,JobChangeImpact!$Q$5:$Q$100))</x:f>
      </x:c>
      <x:c r="V25" t="str">
        <x:f t="shared" si="2"/>
      </x:c>
      <x:c r="W25" t="str">
        <x:f t="shared" si="3"/>
      </x:c>
      <x:c r="X25" t="str">
        <x:f t="shared" si="4"/>
      </x:c>
      <x:c r="Y25" t="str">
        <x:f t="shared" si="5"/>
      </x:c>
      <x:c r="Z25" t="str">
        <x:f t="shared" si="6"/>
      </x:c>
    </x:row>
    <x:row r="26" ht="18" customHeight="1">
      <x:c r="S26" t="str">
        <x:f t="shared" si="0"/>
      </x:c>
      <x:c r="T26" t="str">
        <x:f t="shared" si="1"/>
      </x:c>
      <x:c r="U26" t="str">
        <x:f>IF(S26="","",SUMIF(JobChangeImpact!$B$5:$B$100,S26,JobChangeImpact!$Q$5:$Q$100))</x:f>
      </x:c>
      <x:c r="V26" t="str">
        <x:f t="shared" si="2"/>
      </x:c>
      <x:c r="W26" t="str">
        <x:f t="shared" si="3"/>
      </x:c>
      <x:c r="X26" t="str">
        <x:f t="shared" si="4"/>
      </x:c>
      <x:c r="Y26" t="str">
        <x:f t="shared" si="5"/>
      </x:c>
      <x:c r="Z26" t="str">
        <x:f t="shared" si="6"/>
      </x:c>
    </x:row>
    <x:row r="27" ht="18" customHeight="1">
      <x:c r="S27" t="str">
        <x:f t="shared" si="0"/>
      </x:c>
      <x:c r="T27" t="str">
        <x:f t="shared" si="1"/>
      </x:c>
      <x:c r="U27" t="str">
        <x:f>IF(S27="","",SUMIF(JobChangeImpact!$B$5:$B$100,S27,JobChangeImpact!$Q$5:$Q$100))</x:f>
      </x:c>
      <x:c r="V27" t="str">
        <x:f t="shared" si="2"/>
      </x:c>
      <x:c r="W27" t="str">
        <x:f t="shared" si="3"/>
      </x:c>
      <x:c r="X27" t="str">
        <x:f t="shared" si="4"/>
      </x:c>
      <x:c r="Y27" t="str">
        <x:f t="shared" si="5"/>
      </x:c>
      <x:c r="Z27" t="str">
        <x:f t="shared" si="6"/>
      </x:c>
    </x:row>
    <x:row r="28" ht="18" customHeight="1">
      <x:c r="S28" t="str">
        <x:f t="shared" si="0"/>
      </x:c>
      <x:c r="T28" t="str">
        <x:f t="shared" si="1"/>
      </x:c>
      <x:c r="U28" t="str">
        <x:f>IF(S28="","",SUMIF(JobChangeImpact!$B$5:$B$100,S28,JobChangeImpact!$Q$5:$Q$100))</x:f>
      </x:c>
      <x:c r="V28" t="str">
        <x:f t="shared" si="2"/>
      </x:c>
      <x:c r="W28" t="str">
        <x:f t="shared" si="3"/>
      </x:c>
      <x:c r="X28" t="str">
        <x:f t="shared" si="4"/>
      </x:c>
      <x:c r="Y28" t="str">
        <x:f t="shared" si="5"/>
      </x:c>
      <x:c r="Z28" t="str">
        <x:f t="shared" si="6"/>
      </x:c>
    </x:row>
    <x:row r="29" ht="18" customHeight="1">
      <x:c r="S29" t="str">
        <x:f t="shared" si="0"/>
      </x:c>
      <x:c r="T29" t="str">
        <x:f t="shared" si="1"/>
      </x:c>
      <x:c r="U29" t="str">
        <x:f>IF(S29="","",SUMIF(JobChangeImpact!$B$5:$B$100,S29,JobChangeImpact!$Q$5:$Q$100))</x:f>
      </x:c>
      <x:c r="V29" t="str">
        <x:f t="shared" si="2"/>
      </x:c>
      <x:c r="W29" t="str">
        <x:f t="shared" si="3"/>
      </x:c>
      <x:c r="X29" t="str">
        <x:f t="shared" si="4"/>
      </x:c>
      <x:c r="Y29" t="str">
        <x:f t="shared" si="5"/>
      </x:c>
      <x:c r="Z29" t="str">
        <x:f t="shared" si="6"/>
      </x:c>
    </x:row>
    <x:row r="30" ht="18" customHeight="1">
      <x:c r="S30" t="str">
        <x:f t="shared" si="0"/>
      </x:c>
      <x:c r="T30" t="str">
        <x:f t="shared" si="1"/>
      </x:c>
      <x:c r="U30" t="str">
        <x:f>IF(S30="","",SUMIF(JobChangeImpact!$B$5:$B$100,S30,JobChangeImpact!$Q$5:$Q$100))</x:f>
      </x:c>
      <x:c r="V30" t="str">
        <x:f t="shared" si="2"/>
      </x:c>
      <x:c r="W30" t="str">
        <x:f t="shared" si="3"/>
      </x:c>
      <x:c r="X30" t="str">
        <x:f t="shared" si="4"/>
      </x:c>
      <x:c r="Y30" t="str">
        <x:f t="shared" si="5"/>
      </x:c>
      <x:c r="Z30" t="str">
        <x:f t="shared" si="6"/>
      </x:c>
    </x:row>
    <x:row r="31" ht="18" customHeight="1">
      <x:c r="S31" t="str">
        <x:f t="shared" si="0"/>
      </x:c>
      <x:c r="T31" t="str">
        <x:f t="shared" si="1"/>
      </x:c>
      <x:c r="U31" t="str">
        <x:f>IF(S31="","",SUMIF(JobChangeImpact!$B$5:$B$100,S31,JobChangeImpact!$Q$5:$Q$100))</x:f>
      </x:c>
      <x:c r="V31" t="str">
        <x:f t="shared" si="2"/>
      </x:c>
      <x:c r="W31" t="str">
        <x:f t="shared" si="3"/>
      </x:c>
      <x:c r="X31" t="str">
        <x:f t="shared" si="4"/>
      </x:c>
      <x:c r="Y31" t="str">
        <x:f t="shared" si="5"/>
      </x:c>
      <x:c r="Z31" t="str">
        <x:f t="shared" si="6"/>
      </x:c>
    </x:row>
    <x:row r="32" ht="18" customHeight="1">
      <x:c r="S32" t="str">
        <x:f t="shared" si="0"/>
      </x:c>
      <x:c r="T32" t="str">
        <x:f t="shared" si="1"/>
      </x:c>
      <x:c r="U32" t="str">
        <x:f>IF(S32="","",SUMIF(JobChangeImpact!$B$5:$B$100,S32,JobChangeImpact!$Q$5:$Q$100))</x:f>
      </x:c>
      <x:c r="V32" t="str">
        <x:f t="shared" si="2"/>
      </x:c>
      <x:c r="W32" t="str">
        <x:f t="shared" si="3"/>
      </x:c>
      <x:c r="X32" t="str">
        <x:f t="shared" si="4"/>
      </x:c>
      <x:c r="Y32" t="str">
        <x:f t="shared" si="5"/>
      </x:c>
      <x:c r="Z32" t="str">
        <x:f t="shared" si="6"/>
      </x:c>
    </x:row>
    <x:row r="33" ht="18" customHeight="1">
      <x:c r="S33" t="str">
        <x:f t="shared" si="0"/>
      </x:c>
      <x:c r="T33" t="str">
        <x:f t="shared" si="1"/>
      </x:c>
      <x:c r="U33" t="str">
        <x:f>IF(S33="","",SUMIF(JobChangeImpact!$B$5:$B$100,S33,JobChangeImpact!$Q$5:$Q$100))</x:f>
      </x:c>
      <x:c r="V33" t="str">
        <x:f t="shared" si="2"/>
      </x:c>
      <x:c r="W33" t="str">
        <x:f t="shared" si="3"/>
      </x:c>
      <x:c r="X33" t="str">
        <x:f t="shared" si="4"/>
      </x:c>
      <x:c r="Y33" t="str">
        <x:f t="shared" si="5"/>
      </x:c>
      <x:c r="Z33" t="str">
        <x:f t="shared" si="6"/>
      </x:c>
    </x:row>
    <x:row r="34" ht="18" customHeight="1">
      <x:c r="S34" t="str">
        <x:f t="shared" si="0"/>
      </x:c>
      <x:c r="T34" t="str">
        <x:f t="shared" si="1"/>
      </x:c>
      <x:c r="U34" t="str">
        <x:f>IF(S34="","",SUMIF(JobChangeImpact!$B$5:$B$100,S34,JobChangeImpact!$Q$5:$Q$100))</x:f>
      </x:c>
      <x:c r="V34" t="str">
        <x:f t="shared" si="2"/>
      </x:c>
      <x:c r="W34" t="str">
        <x:f t="shared" si="3"/>
      </x:c>
      <x:c r="X34" t="str">
        <x:f t="shared" si="4"/>
      </x:c>
      <x:c r="Y34" t="str">
        <x:f t="shared" si="5"/>
      </x:c>
      <x:c r="Z34" t="str">
        <x:f t="shared" si="6"/>
      </x:c>
    </x:row>
    <x:row r="35" ht="18" customHeight="1">
      <x:c r="S35" t="str">
        <x:f t="shared" si="0"/>
      </x:c>
      <x:c r="T35" t="str">
        <x:f t="shared" si="1"/>
      </x:c>
      <x:c r="U35" t="str">
        <x:f>IF(S35="","",SUMIF(JobChangeImpact!$B$5:$B$100,S35,JobChangeImpact!$Q$5:$Q$100))</x:f>
      </x:c>
      <x:c r="V35" t="str">
        <x:f t="shared" si="2"/>
      </x:c>
      <x:c r="W35" t="str">
        <x:f t="shared" si="3"/>
      </x:c>
      <x:c r="X35" t="str">
        <x:f t="shared" si="4"/>
      </x:c>
      <x:c r="Y35" t="str">
        <x:f t="shared" si="5"/>
      </x:c>
      <x:c r="Z35" t="str">
        <x:f t="shared" si="6"/>
      </x:c>
    </x:row>
    <x:row r="36" ht="18" customHeight="1">
      <x:c r="S36" t="str">
        <x:f t="shared" si="0"/>
      </x:c>
      <x:c r="T36" t="str">
        <x:f t="shared" si="1"/>
      </x:c>
      <x:c r="U36" t="str">
        <x:f>IF(S36="","",SUMIF(JobChangeImpact!$B$5:$B$100,S36,JobChangeImpact!$Q$5:$Q$100))</x:f>
      </x:c>
      <x:c r="V36" t="str">
        <x:f t="shared" si="2"/>
      </x:c>
      <x:c r="W36" t="str">
        <x:f t="shared" si="3"/>
      </x:c>
      <x:c r="X36" t="str">
        <x:f t="shared" si="4"/>
      </x:c>
      <x:c r="Y36" t="str">
        <x:f t="shared" si="5"/>
      </x:c>
      <x:c r="Z36" t="str">
        <x:f t="shared" si="6"/>
      </x:c>
    </x:row>
    <x:row r="37" ht="18" customHeight="1">
      <x:c r="S37" t="str">
        <x:f t="shared" ref="S37:S68" si="7">IF(A37="","", "JC-"&amp;A37&amp;"-L"&amp;TEXT(B37,"00")&amp;"-"&amp;TEXT(C37,"yyyymmdd")&amp;"-"&amp;D37&amp;"-"&amp;IF(F37="","START",F37)&amp;"-"&amp;G37)</x:f>
      </x:c>
      <x:c r="T37" t="str">
        <x:f t="shared" ref="T37:T68" si="8">IF(A37="","",SUM(I37:L37)+N37+P37)</x:f>
      </x:c>
      <x:c r="U37" t="str">
        <x:f>IF(S37="","",SUMIF(JobChangeImpact!$B$5:$B$100,S37,JobChangeImpact!$Q$5:$Q$100))</x:f>
      </x:c>
      <x:c r="V37" t="str">
        <x:f t="shared" ref="V37:V68" si="9">IF(A37="","",IF(ABS(T37-U37)&lt;=0.001,"OK","CHECK"))</x:f>
      </x:c>
      <x:c r="W37" t="str">
        <x:f t="shared" ref="W37:W68" si="10">IF(A37="","",IF(AND(IF(L37&gt;0,M37&lt;&gt;"",M37=""),IF(N37&gt;0,O37&lt;&gt;"",O37=""),IF(P37&gt;0,Q37&lt;&gt;"",Q37="")),"OK","CHECK"))</x:f>
      </x:c>
      <x:c r="X37" t="str">
        <x:f t="shared" ref="X37:X68" si="11">IF(A37="","",IF(OR(G37="",AND(F37&lt;&gt;"",F37=G37)),"CHECK","OK"))</x:f>
      </x:c>
      <x:c r="Y37" t="str">
        <x:f t="shared" ref="Y37:Y68" si="12">IF(S37="","",IF(COUNTIF($S$5:$S$100,S37)=1,"OK","CHECK"))</x:f>
      </x:c>
      <x:c r="Z37" t="str">
        <x:f t="shared" ref="Z37:Z68" si="13">IF(A37="","",IF(AND(V37="OK",W37="OK",X37="OK",Y37="OK",T37&gt;0),"OK","CHECK"))</x:f>
      </x:c>
    </x:row>
    <x:row r="38" ht="18" customHeight="1">
      <x:c r="S38" t="str">
        <x:f t="shared" si="7"/>
      </x:c>
      <x:c r="T38" t="str">
        <x:f t="shared" si="8"/>
      </x:c>
      <x:c r="U38" t="str">
        <x:f>IF(S38="","",SUMIF(JobChangeImpact!$B$5:$B$100,S38,JobChangeImpact!$Q$5:$Q$100))</x:f>
      </x:c>
      <x:c r="V38" t="str">
        <x:f t="shared" si="9"/>
      </x:c>
      <x:c r="W38" t="str">
        <x:f t="shared" si="10"/>
      </x:c>
      <x:c r="X38" t="str">
        <x:f t="shared" si="11"/>
      </x:c>
      <x:c r="Y38" t="str">
        <x:f t="shared" si="12"/>
      </x:c>
      <x:c r="Z38" t="str">
        <x:f t="shared" si="13"/>
      </x:c>
    </x:row>
    <x:row r="39" ht="18" customHeight="1">
      <x:c r="S39" t="str">
        <x:f t="shared" si="7"/>
      </x:c>
      <x:c r="T39" t="str">
        <x:f t="shared" si="8"/>
      </x:c>
      <x:c r="U39" t="str">
        <x:f>IF(S39="","",SUMIF(JobChangeImpact!$B$5:$B$100,S39,JobChangeImpact!$Q$5:$Q$100))</x:f>
      </x:c>
      <x:c r="V39" t="str">
        <x:f t="shared" si="9"/>
      </x:c>
      <x:c r="W39" t="str">
        <x:f t="shared" si="10"/>
      </x:c>
      <x:c r="X39" t="str">
        <x:f t="shared" si="11"/>
      </x:c>
      <x:c r="Y39" t="str">
        <x:f t="shared" si="12"/>
      </x:c>
      <x:c r="Z39" t="str">
        <x:f t="shared" si="13"/>
      </x:c>
    </x:row>
    <x:row r="40" ht="18" customHeight="1">
      <x:c r="S40" t="str">
        <x:f t="shared" si="7"/>
      </x:c>
      <x:c r="T40" t="str">
        <x:f t="shared" si="8"/>
      </x:c>
      <x:c r="U40" t="str">
        <x:f>IF(S40="","",SUMIF(JobChangeImpact!$B$5:$B$100,S40,JobChangeImpact!$Q$5:$Q$100))</x:f>
      </x:c>
      <x:c r="V40" t="str">
        <x:f t="shared" si="9"/>
      </x:c>
      <x:c r="W40" t="str">
        <x:f t="shared" si="10"/>
      </x:c>
      <x:c r="X40" t="str">
        <x:f t="shared" si="11"/>
      </x:c>
      <x:c r="Y40" t="str">
        <x:f t="shared" si="12"/>
      </x:c>
      <x:c r="Z40" t="str">
        <x:f t="shared" si="13"/>
      </x:c>
    </x:row>
    <x:row r="41" ht="18" customHeight="1">
      <x:c r="S41" t="str">
        <x:f t="shared" si="7"/>
      </x:c>
      <x:c r="T41" t="str">
        <x:f t="shared" si="8"/>
      </x:c>
      <x:c r="U41" t="str">
        <x:f>IF(S41="","",SUMIF(JobChangeImpact!$B$5:$B$100,S41,JobChangeImpact!$Q$5:$Q$100))</x:f>
      </x:c>
      <x:c r="V41" t="str">
        <x:f t="shared" si="9"/>
      </x:c>
      <x:c r="W41" t="str">
        <x:f t="shared" si="10"/>
      </x:c>
      <x:c r="X41" t="str">
        <x:f t="shared" si="11"/>
      </x:c>
      <x:c r="Y41" t="str">
        <x:f t="shared" si="12"/>
      </x:c>
      <x:c r="Z41" t="str">
        <x:f t="shared" si="13"/>
      </x:c>
    </x:row>
    <x:row r="42" ht="18" customHeight="1">
      <x:c r="S42" t="str">
        <x:f t="shared" si="7"/>
      </x:c>
      <x:c r="T42" t="str">
        <x:f t="shared" si="8"/>
      </x:c>
      <x:c r="U42" t="str">
        <x:f>IF(S42="","",SUMIF(JobChangeImpact!$B$5:$B$100,S42,JobChangeImpact!$Q$5:$Q$100))</x:f>
      </x:c>
      <x:c r="V42" t="str">
        <x:f t="shared" si="9"/>
      </x:c>
      <x:c r="W42" t="str">
        <x:f t="shared" si="10"/>
      </x:c>
      <x:c r="X42" t="str">
        <x:f t="shared" si="11"/>
      </x:c>
      <x:c r="Y42" t="str">
        <x:f t="shared" si="12"/>
      </x:c>
      <x:c r="Z42" t="str">
        <x:f t="shared" si="13"/>
      </x:c>
    </x:row>
    <x:row r="43" ht="18" customHeight="1">
      <x:c r="S43" t="str">
        <x:f t="shared" si="7"/>
      </x:c>
      <x:c r="T43" t="str">
        <x:f t="shared" si="8"/>
      </x:c>
      <x:c r="U43" t="str">
        <x:f>IF(S43="","",SUMIF(JobChangeImpact!$B$5:$B$100,S43,JobChangeImpact!$Q$5:$Q$100))</x:f>
      </x:c>
      <x:c r="V43" t="str">
        <x:f t="shared" si="9"/>
      </x:c>
      <x:c r="W43" t="str">
        <x:f t="shared" si="10"/>
      </x:c>
      <x:c r="X43" t="str">
        <x:f t="shared" si="11"/>
      </x:c>
      <x:c r="Y43" t="str">
        <x:f t="shared" si="12"/>
      </x:c>
      <x:c r="Z43" t="str">
        <x:f t="shared" si="13"/>
      </x:c>
    </x:row>
    <x:row r="44" ht="18" customHeight="1">
      <x:c r="S44" t="str">
        <x:f t="shared" si="7"/>
      </x:c>
      <x:c r="T44" t="str">
        <x:f t="shared" si="8"/>
      </x:c>
      <x:c r="U44" t="str">
        <x:f>IF(S44="","",SUMIF(JobChangeImpact!$B$5:$B$100,S44,JobChangeImpact!$Q$5:$Q$100))</x:f>
      </x:c>
      <x:c r="V44" t="str">
        <x:f t="shared" si="9"/>
      </x:c>
      <x:c r="W44" t="str">
        <x:f t="shared" si="10"/>
      </x:c>
      <x:c r="X44" t="str">
        <x:f t="shared" si="11"/>
      </x:c>
      <x:c r="Y44" t="str">
        <x:f t="shared" si="12"/>
      </x:c>
      <x:c r="Z44" t="str">
        <x:f t="shared" si="13"/>
      </x:c>
    </x:row>
    <x:row r="45" ht="18" customHeight="1">
      <x:c r="S45" t="str">
        <x:f t="shared" si="7"/>
      </x:c>
      <x:c r="T45" t="str">
        <x:f t="shared" si="8"/>
      </x:c>
      <x:c r="U45" t="str">
        <x:f>IF(S45="","",SUMIF(JobChangeImpact!$B$5:$B$100,S45,JobChangeImpact!$Q$5:$Q$100))</x:f>
      </x:c>
      <x:c r="V45" t="str">
        <x:f t="shared" si="9"/>
      </x:c>
      <x:c r="W45" t="str">
        <x:f t="shared" si="10"/>
      </x:c>
      <x:c r="X45" t="str">
        <x:f t="shared" si="11"/>
      </x:c>
      <x:c r="Y45" t="str">
        <x:f t="shared" si="12"/>
      </x:c>
      <x:c r="Z45" t="str">
        <x:f t="shared" si="13"/>
      </x:c>
    </x:row>
    <x:row r="46" ht="18" customHeight="1">
      <x:c r="S46" t="str">
        <x:f t="shared" si="7"/>
      </x:c>
      <x:c r="T46" t="str">
        <x:f t="shared" si="8"/>
      </x:c>
      <x:c r="U46" t="str">
        <x:f>IF(S46="","",SUMIF(JobChangeImpact!$B$5:$B$100,S46,JobChangeImpact!$Q$5:$Q$100))</x:f>
      </x:c>
      <x:c r="V46" t="str">
        <x:f t="shared" si="9"/>
      </x:c>
      <x:c r="W46" t="str">
        <x:f t="shared" si="10"/>
      </x:c>
      <x:c r="X46" t="str">
        <x:f t="shared" si="11"/>
      </x:c>
      <x:c r="Y46" t="str">
        <x:f t="shared" si="12"/>
      </x:c>
      <x:c r="Z46" t="str">
        <x:f t="shared" si="13"/>
      </x:c>
    </x:row>
    <x:row r="47" ht="18" customHeight="1">
      <x:c r="S47" t="str">
        <x:f t="shared" si="7"/>
      </x:c>
      <x:c r="T47" t="str">
        <x:f t="shared" si="8"/>
      </x:c>
      <x:c r="U47" t="str">
        <x:f>IF(S47="","",SUMIF(JobChangeImpact!$B$5:$B$100,S47,JobChangeImpact!$Q$5:$Q$100))</x:f>
      </x:c>
      <x:c r="V47" t="str">
        <x:f t="shared" si="9"/>
      </x:c>
      <x:c r="W47" t="str">
        <x:f t="shared" si="10"/>
      </x:c>
      <x:c r="X47" t="str">
        <x:f t="shared" si="11"/>
      </x:c>
      <x:c r="Y47" t="str">
        <x:f t="shared" si="12"/>
      </x:c>
      <x:c r="Z47" t="str">
        <x:f t="shared" si="13"/>
      </x:c>
    </x:row>
    <x:row r="48" ht="18" customHeight="1">
      <x:c r="S48" t="str">
        <x:f t="shared" si="7"/>
      </x:c>
      <x:c r="T48" t="str">
        <x:f t="shared" si="8"/>
      </x:c>
      <x:c r="U48" t="str">
        <x:f>IF(S48="","",SUMIF(JobChangeImpact!$B$5:$B$100,S48,JobChangeImpact!$Q$5:$Q$100))</x:f>
      </x:c>
      <x:c r="V48" t="str">
        <x:f t="shared" si="9"/>
      </x:c>
      <x:c r="W48" t="str">
        <x:f t="shared" si="10"/>
      </x:c>
      <x:c r="X48" t="str">
        <x:f t="shared" si="11"/>
      </x:c>
      <x:c r="Y48" t="str">
        <x:f t="shared" si="12"/>
      </x:c>
      <x:c r="Z48" t="str">
        <x:f t="shared" si="13"/>
      </x:c>
    </x:row>
    <x:row r="49" ht="18" customHeight="1">
      <x:c r="S49" t="str">
        <x:f t="shared" si="7"/>
      </x:c>
      <x:c r="T49" t="str">
        <x:f t="shared" si="8"/>
      </x:c>
      <x:c r="U49" t="str">
        <x:f>IF(S49="","",SUMIF(JobChangeImpact!$B$5:$B$100,S49,JobChangeImpact!$Q$5:$Q$100))</x:f>
      </x:c>
      <x:c r="V49" t="str">
        <x:f t="shared" si="9"/>
      </x:c>
      <x:c r="W49" t="str">
        <x:f t="shared" si="10"/>
      </x:c>
      <x:c r="X49" t="str">
        <x:f t="shared" si="11"/>
      </x:c>
      <x:c r="Y49" t="str">
        <x:f t="shared" si="12"/>
      </x:c>
      <x:c r="Z49" t="str">
        <x:f t="shared" si="13"/>
      </x:c>
    </x:row>
    <x:row r="50" ht="18" customHeight="1">
      <x:c r="S50" t="str">
        <x:f t="shared" si="7"/>
      </x:c>
      <x:c r="T50" t="str">
        <x:f t="shared" si="8"/>
      </x:c>
      <x:c r="U50" t="str">
        <x:f>IF(S50="","",SUMIF(JobChangeImpact!$B$5:$B$100,S50,JobChangeImpact!$Q$5:$Q$100))</x:f>
      </x:c>
      <x:c r="V50" t="str">
        <x:f t="shared" si="9"/>
      </x:c>
      <x:c r="W50" t="str">
        <x:f t="shared" si="10"/>
      </x:c>
      <x:c r="X50" t="str">
        <x:f t="shared" si="11"/>
      </x:c>
      <x:c r="Y50" t="str">
        <x:f t="shared" si="12"/>
      </x:c>
      <x:c r="Z50" t="str">
        <x:f t="shared" si="13"/>
      </x:c>
    </x:row>
    <x:row r="51" ht="18" customHeight="1">
      <x:c r="S51" t="str">
        <x:f t="shared" si="7"/>
      </x:c>
      <x:c r="T51" t="str">
        <x:f t="shared" si="8"/>
      </x:c>
      <x:c r="U51" t="str">
        <x:f>IF(S51="","",SUMIF(JobChangeImpact!$B$5:$B$100,S51,JobChangeImpact!$Q$5:$Q$100))</x:f>
      </x:c>
      <x:c r="V51" t="str">
        <x:f t="shared" si="9"/>
      </x:c>
      <x:c r="W51" t="str">
        <x:f t="shared" si="10"/>
      </x:c>
      <x:c r="X51" t="str">
        <x:f t="shared" si="11"/>
      </x:c>
      <x:c r="Y51" t="str">
        <x:f t="shared" si="12"/>
      </x:c>
      <x:c r="Z51" t="str">
        <x:f t="shared" si="13"/>
      </x:c>
    </x:row>
    <x:row r="52" ht="18" customHeight="1">
      <x:c r="S52" t="str">
        <x:f t="shared" si="7"/>
      </x:c>
      <x:c r="T52" t="str">
        <x:f t="shared" si="8"/>
      </x:c>
      <x:c r="U52" t="str">
        <x:f>IF(S52="","",SUMIF(JobChangeImpact!$B$5:$B$100,S52,JobChangeImpact!$Q$5:$Q$100))</x:f>
      </x:c>
      <x:c r="V52" t="str">
        <x:f t="shared" si="9"/>
      </x:c>
      <x:c r="W52" t="str">
        <x:f t="shared" si="10"/>
      </x:c>
      <x:c r="X52" t="str">
        <x:f t="shared" si="11"/>
      </x:c>
      <x:c r="Y52" t="str">
        <x:f t="shared" si="12"/>
      </x:c>
      <x:c r="Z52" t="str">
        <x:f t="shared" si="13"/>
      </x:c>
    </x:row>
    <x:row r="53" ht="18" customHeight="1">
      <x:c r="S53" t="str">
        <x:f t="shared" si="7"/>
      </x:c>
      <x:c r="T53" t="str">
        <x:f t="shared" si="8"/>
      </x:c>
      <x:c r="U53" t="str">
        <x:f>IF(S53="","",SUMIF(JobChangeImpact!$B$5:$B$100,S53,JobChangeImpact!$Q$5:$Q$100))</x:f>
      </x:c>
      <x:c r="V53" t="str">
        <x:f t="shared" si="9"/>
      </x:c>
      <x:c r="W53" t="str">
        <x:f t="shared" si="10"/>
      </x:c>
      <x:c r="X53" t="str">
        <x:f t="shared" si="11"/>
      </x:c>
      <x:c r="Y53" t="str">
        <x:f t="shared" si="12"/>
      </x:c>
      <x:c r="Z53" t="str">
        <x:f t="shared" si="13"/>
      </x:c>
    </x:row>
    <x:row r="54" ht="18" customHeight="1">
      <x:c r="S54" t="str">
        <x:f t="shared" si="7"/>
      </x:c>
      <x:c r="T54" t="str">
        <x:f t="shared" si="8"/>
      </x:c>
      <x:c r="U54" t="str">
        <x:f>IF(S54="","",SUMIF(JobChangeImpact!$B$5:$B$100,S54,JobChangeImpact!$Q$5:$Q$100))</x:f>
      </x:c>
      <x:c r="V54" t="str">
        <x:f t="shared" si="9"/>
      </x:c>
      <x:c r="W54" t="str">
        <x:f t="shared" si="10"/>
      </x:c>
      <x:c r="X54" t="str">
        <x:f t="shared" si="11"/>
      </x:c>
      <x:c r="Y54" t="str">
        <x:f t="shared" si="12"/>
      </x:c>
      <x:c r="Z54" t="str">
        <x:f t="shared" si="13"/>
      </x:c>
    </x:row>
    <x:row r="55" ht="18" customHeight="1">
      <x:c r="S55" t="str">
        <x:f t="shared" si="7"/>
      </x:c>
      <x:c r="T55" t="str">
        <x:f t="shared" si="8"/>
      </x:c>
      <x:c r="U55" t="str">
        <x:f>IF(S55="","",SUMIF(JobChangeImpact!$B$5:$B$100,S55,JobChangeImpact!$Q$5:$Q$100))</x:f>
      </x:c>
      <x:c r="V55" t="str">
        <x:f t="shared" si="9"/>
      </x:c>
      <x:c r="W55" t="str">
        <x:f t="shared" si="10"/>
      </x:c>
      <x:c r="X55" t="str">
        <x:f t="shared" si="11"/>
      </x:c>
      <x:c r="Y55" t="str">
        <x:f t="shared" si="12"/>
      </x:c>
      <x:c r="Z55" t="str">
        <x:f t="shared" si="13"/>
      </x:c>
    </x:row>
    <x:row r="56" ht="18" customHeight="1">
      <x:c r="S56" t="str">
        <x:f t="shared" si="7"/>
      </x:c>
      <x:c r="T56" t="str">
        <x:f t="shared" si="8"/>
      </x:c>
      <x:c r="U56" t="str">
        <x:f>IF(S56="","",SUMIF(JobChangeImpact!$B$5:$B$100,S56,JobChangeImpact!$Q$5:$Q$100))</x:f>
      </x:c>
      <x:c r="V56" t="str">
        <x:f t="shared" si="9"/>
      </x:c>
      <x:c r="W56" t="str">
        <x:f t="shared" si="10"/>
      </x:c>
      <x:c r="X56" t="str">
        <x:f t="shared" si="11"/>
      </x:c>
      <x:c r="Y56" t="str">
        <x:f t="shared" si="12"/>
      </x:c>
      <x:c r="Z56" t="str">
        <x:f t="shared" si="13"/>
      </x:c>
    </x:row>
    <x:row r="57" ht="18" customHeight="1">
      <x:c r="S57" t="str">
        <x:f t="shared" si="7"/>
      </x:c>
      <x:c r="T57" t="str">
        <x:f t="shared" si="8"/>
      </x:c>
      <x:c r="U57" t="str">
        <x:f>IF(S57="","",SUMIF(JobChangeImpact!$B$5:$B$100,S57,JobChangeImpact!$Q$5:$Q$100))</x:f>
      </x:c>
      <x:c r="V57" t="str">
        <x:f t="shared" si="9"/>
      </x:c>
      <x:c r="W57" t="str">
        <x:f t="shared" si="10"/>
      </x:c>
      <x:c r="X57" t="str">
        <x:f t="shared" si="11"/>
      </x:c>
      <x:c r="Y57" t="str">
        <x:f t="shared" si="12"/>
      </x:c>
      <x:c r="Z57" t="str">
        <x:f t="shared" si="13"/>
      </x:c>
    </x:row>
    <x:row r="58" ht="18" customHeight="1">
      <x:c r="S58" t="str">
        <x:f t="shared" si="7"/>
      </x:c>
      <x:c r="T58" t="str">
        <x:f t="shared" si="8"/>
      </x:c>
      <x:c r="U58" t="str">
        <x:f>IF(S58="","",SUMIF(JobChangeImpact!$B$5:$B$100,S58,JobChangeImpact!$Q$5:$Q$100))</x:f>
      </x:c>
      <x:c r="V58" t="str">
        <x:f t="shared" si="9"/>
      </x:c>
      <x:c r="W58" t="str">
        <x:f t="shared" si="10"/>
      </x:c>
      <x:c r="X58" t="str">
        <x:f t="shared" si="11"/>
      </x:c>
      <x:c r="Y58" t="str">
        <x:f t="shared" si="12"/>
      </x:c>
      <x:c r="Z58" t="str">
        <x:f t="shared" si="13"/>
      </x:c>
    </x:row>
    <x:row r="59" ht="18" customHeight="1">
      <x:c r="S59" t="str">
        <x:f t="shared" si="7"/>
      </x:c>
      <x:c r="T59" t="str">
        <x:f t="shared" si="8"/>
      </x:c>
      <x:c r="U59" t="str">
        <x:f>IF(S59="","",SUMIF(JobChangeImpact!$B$5:$B$100,S59,JobChangeImpact!$Q$5:$Q$100))</x:f>
      </x:c>
      <x:c r="V59" t="str">
        <x:f t="shared" si="9"/>
      </x:c>
      <x:c r="W59" t="str">
        <x:f t="shared" si="10"/>
      </x:c>
      <x:c r="X59" t="str">
        <x:f t="shared" si="11"/>
      </x:c>
      <x:c r="Y59" t="str">
        <x:f t="shared" si="12"/>
      </x:c>
      <x:c r="Z59" t="str">
        <x:f t="shared" si="13"/>
      </x:c>
    </x:row>
    <x:row r="60" ht="18" customHeight="1">
      <x:c r="S60" t="str">
        <x:f t="shared" si="7"/>
      </x:c>
      <x:c r="T60" t="str">
        <x:f t="shared" si="8"/>
      </x:c>
      <x:c r="U60" t="str">
        <x:f>IF(S60="","",SUMIF(JobChangeImpact!$B$5:$B$100,S60,JobChangeImpact!$Q$5:$Q$100))</x:f>
      </x:c>
      <x:c r="V60" t="str">
        <x:f t="shared" si="9"/>
      </x:c>
      <x:c r="W60" t="str">
        <x:f t="shared" si="10"/>
      </x:c>
      <x:c r="X60" t="str">
        <x:f t="shared" si="11"/>
      </x:c>
      <x:c r="Y60" t="str">
        <x:f t="shared" si="12"/>
      </x:c>
      <x:c r="Z60" t="str">
        <x:f t="shared" si="13"/>
      </x:c>
    </x:row>
    <x:row r="61" ht="18" customHeight="1">
      <x:c r="S61" t="str">
        <x:f t="shared" si="7"/>
      </x:c>
      <x:c r="T61" t="str">
        <x:f t="shared" si="8"/>
      </x:c>
      <x:c r="U61" t="str">
        <x:f>IF(S61="","",SUMIF(JobChangeImpact!$B$5:$B$100,S61,JobChangeImpact!$Q$5:$Q$100))</x:f>
      </x:c>
      <x:c r="V61" t="str">
        <x:f t="shared" si="9"/>
      </x:c>
      <x:c r="W61" t="str">
        <x:f t="shared" si="10"/>
      </x:c>
      <x:c r="X61" t="str">
        <x:f t="shared" si="11"/>
      </x:c>
      <x:c r="Y61" t="str">
        <x:f t="shared" si="12"/>
      </x:c>
      <x:c r="Z61" t="str">
        <x:f t="shared" si="13"/>
      </x:c>
    </x:row>
    <x:row r="62" ht="18" customHeight="1">
      <x:c r="S62" t="str">
        <x:f t="shared" si="7"/>
      </x:c>
      <x:c r="T62" t="str">
        <x:f t="shared" si="8"/>
      </x:c>
      <x:c r="U62" t="str">
        <x:f>IF(S62="","",SUMIF(JobChangeImpact!$B$5:$B$100,S62,JobChangeImpact!$Q$5:$Q$100))</x:f>
      </x:c>
      <x:c r="V62" t="str">
        <x:f t="shared" si="9"/>
      </x:c>
      <x:c r="W62" t="str">
        <x:f t="shared" si="10"/>
      </x:c>
      <x:c r="X62" t="str">
        <x:f t="shared" si="11"/>
      </x:c>
      <x:c r="Y62" t="str">
        <x:f t="shared" si="12"/>
      </x:c>
      <x:c r="Z62" t="str">
        <x:f t="shared" si="13"/>
      </x:c>
    </x:row>
    <x:row r="63" ht="18" customHeight="1">
      <x:c r="S63" t="str">
        <x:f t="shared" si="7"/>
      </x:c>
      <x:c r="T63" t="str">
        <x:f t="shared" si="8"/>
      </x:c>
      <x:c r="U63" t="str">
        <x:f>IF(S63="","",SUMIF(JobChangeImpact!$B$5:$B$100,S63,JobChangeImpact!$Q$5:$Q$100))</x:f>
      </x:c>
      <x:c r="V63" t="str">
        <x:f t="shared" si="9"/>
      </x:c>
      <x:c r="W63" t="str">
        <x:f t="shared" si="10"/>
      </x:c>
      <x:c r="X63" t="str">
        <x:f t="shared" si="11"/>
      </x:c>
      <x:c r="Y63" t="str">
        <x:f t="shared" si="12"/>
      </x:c>
      <x:c r="Z63" t="str">
        <x:f t="shared" si="13"/>
      </x:c>
    </x:row>
    <x:row r="64" ht="18" customHeight="1">
      <x:c r="S64" t="str">
        <x:f t="shared" si="7"/>
      </x:c>
      <x:c r="T64" t="str">
        <x:f t="shared" si="8"/>
      </x:c>
      <x:c r="U64" t="str">
        <x:f>IF(S64="","",SUMIF(JobChangeImpact!$B$5:$B$100,S64,JobChangeImpact!$Q$5:$Q$100))</x:f>
      </x:c>
      <x:c r="V64" t="str">
        <x:f t="shared" si="9"/>
      </x:c>
      <x:c r="W64" t="str">
        <x:f t="shared" si="10"/>
      </x:c>
      <x:c r="X64" t="str">
        <x:f t="shared" si="11"/>
      </x:c>
      <x:c r="Y64" t="str">
        <x:f t="shared" si="12"/>
      </x:c>
      <x:c r="Z64" t="str">
        <x:f t="shared" si="13"/>
      </x:c>
    </x:row>
    <x:row r="65" ht="18" customHeight="1">
      <x:c r="S65" t="str">
        <x:f t="shared" si="7"/>
      </x:c>
      <x:c r="T65" t="str">
        <x:f t="shared" si="8"/>
      </x:c>
      <x:c r="U65" t="str">
        <x:f>IF(S65="","",SUMIF(JobChangeImpact!$B$5:$B$100,S65,JobChangeImpact!$Q$5:$Q$100))</x:f>
      </x:c>
      <x:c r="V65" t="str">
        <x:f t="shared" si="9"/>
      </x:c>
      <x:c r="W65" t="str">
        <x:f t="shared" si="10"/>
      </x:c>
      <x:c r="X65" t="str">
        <x:f t="shared" si="11"/>
      </x:c>
      <x:c r="Y65" t="str">
        <x:f t="shared" si="12"/>
      </x:c>
      <x:c r="Z65" t="str">
        <x:f t="shared" si="13"/>
      </x:c>
    </x:row>
    <x:row r="66" ht="18" customHeight="1">
      <x:c r="S66" t="str">
        <x:f t="shared" si="7"/>
      </x:c>
      <x:c r="T66" t="str">
        <x:f t="shared" si="8"/>
      </x:c>
      <x:c r="U66" t="str">
        <x:f>IF(S66="","",SUMIF(JobChangeImpact!$B$5:$B$100,S66,JobChangeImpact!$Q$5:$Q$100))</x:f>
      </x:c>
      <x:c r="V66" t="str">
        <x:f t="shared" si="9"/>
      </x:c>
      <x:c r="W66" t="str">
        <x:f t="shared" si="10"/>
      </x:c>
      <x:c r="X66" t="str">
        <x:f t="shared" si="11"/>
      </x:c>
      <x:c r="Y66" t="str">
        <x:f t="shared" si="12"/>
      </x:c>
      <x:c r="Z66" t="str">
        <x:f t="shared" si="13"/>
      </x:c>
    </x:row>
    <x:row r="67" ht="18" customHeight="1">
      <x:c r="S67" t="str">
        <x:f t="shared" si="7"/>
      </x:c>
      <x:c r="T67" t="str">
        <x:f t="shared" si="8"/>
      </x:c>
      <x:c r="U67" t="str">
        <x:f>IF(S67="","",SUMIF(JobChangeImpact!$B$5:$B$100,S67,JobChangeImpact!$Q$5:$Q$100))</x:f>
      </x:c>
      <x:c r="V67" t="str">
        <x:f t="shared" si="9"/>
      </x:c>
      <x:c r="W67" t="str">
        <x:f t="shared" si="10"/>
      </x:c>
      <x:c r="X67" t="str">
        <x:f t="shared" si="11"/>
      </x:c>
      <x:c r="Y67" t="str">
        <x:f t="shared" si="12"/>
      </x:c>
      <x:c r="Z67" t="str">
        <x:f t="shared" si="13"/>
      </x:c>
    </x:row>
    <x:row r="68" ht="18" customHeight="1">
      <x:c r="S68" t="str">
        <x:f t="shared" si="7"/>
      </x:c>
      <x:c r="T68" t="str">
        <x:f t="shared" si="8"/>
      </x:c>
      <x:c r="U68" t="str">
        <x:f>IF(S68="","",SUMIF(JobChangeImpact!$B$5:$B$100,S68,JobChangeImpact!$Q$5:$Q$100))</x:f>
      </x:c>
      <x:c r="V68" t="str">
        <x:f t="shared" si="9"/>
      </x:c>
      <x:c r="W68" t="str">
        <x:f t="shared" si="10"/>
      </x:c>
      <x:c r="X68" t="str">
        <x:f t="shared" si="11"/>
      </x:c>
      <x:c r="Y68" t="str">
        <x:f t="shared" si="12"/>
      </x:c>
      <x:c r="Z68" t="str">
        <x:f t="shared" si="13"/>
      </x:c>
    </x:row>
    <x:row r="69" ht="18" customHeight="1">
      <x:c r="S69" t="str">
        <x:f t="shared" ref="S69:S100" si="14">IF(A69="","", "JC-"&amp;A69&amp;"-L"&amp;TEXT(B69,"00")&amp;"-"&amp;TEXT(C69,"yyyymmdd")&amp;"-"&amp;D69&amp;"-"&amp;IF(F69="","START",F69)&amp;"-"&amp;G69)</x:f>
      </x:c>
      <x:c r="T69" t="str">
        <x:f t="shared" ref="T69:T100" si="15">IF(A69="","",SUM(I69:L69)+N69+P69)</x:f>
      </x:c>
      <x:c r="U69" t="str">
        <x:f>IF(S69="","",SUMIF(JobChangeImpact!$B$5:$B$100,S69,JobChangeImpact!$Q$5:$Q$100))</x:f>
      </x:c>
      <x:c r="V69" t="str">
        <x:f t="shared" ref="V69:V100" si="16">IF(A69="","",IF(ABS(T69-U69)&lt;=0.001,"OK","CHECK"))</x:f>
      </x:c>
      <x:c r="W69" t="str">
        <x:f t="shared" ref="W69:W100" si="17">IF(A69="","",IF(AND(IF(L69&gt;0,M69&lt;&gt;"",M69=""),IF(N69&gt;0,O69&lt;&gt;"",O69=""),IF(P69&gt;0,Q69&lt;&gt;"",Q69="")),"OK","CHECK"))</x:f>
      </x:c>
      <x:c r="X69" t="str">
        <x:f t="shared" ref="X69:X100" si="18">IF(A69="","",IF(OR(G69="",AND(F69&lt;&gt;"",F69=G69)),"CHECK","OK"))</x:f>
      </x:c>
      <x:c r="Y69" t="str">
        <x:f t="shared" ref="Y69:Y100" si="19">IF(S69="","",IF(COUNTIF($S$5:$S$100,S69)=1,"OK","CHECK"))</x:f>
      </x:c>
      <x:c r="Z69" t="str">
        <x:f t="shared" ref="Z69:Z100" si="20">IF(A69="","",IF(AND(V69="OK",W69="OK",X69="OK",Y69="OK",T69&gt;0),"OK","CHECK"))</x:f>
      </x:c>
    </x:row>
    <x:row r="70" ht="18" customHeight="1">
      <x:c r="S70" t="str">
        <x:f t="shared" si="14"/>
      </x:c>
      <x:c r="T70" t="str">
        <x:f t="shared" si="15"/>
      </x:c>
      <x:c r="U70" t="str">
        <x:f>IF(S70="","",SUMIF(JobChangeImpact!$B$5:$B$100,S70,JobChangeImpact!$Q$5:$Q$100))</x:f>
      </x:c>
      <x:c r="V70" t="str">
        <x:f t="shared" si="16"/>
      </x:c>
      <x:c r="W70" t="str">
        <x:f t="shared" si="17"/>
      </x:c>
      <x:c r="X70" t="str">
        <x:f t="shared" si="18"/>
      </x:c>
      <x:c r="Y70" t="str">
        <x:f t="shared" si="19"/>
      </x:c>
      <x:c r="Z70" t="str">
        <x:f t="shared" si="20"/>
      </x:c>
    </x:row>
    <x:row r="71" ht="18" customHeight="1">
      <x:c r="S71" t="str">
        <x:f t="shared" si="14"/>
      </x:c>
      <x:c r="T71" t="str">
        <x:f t="shared" si="15"/>
      </x:c>
      <x:c r="U71" t="str">
        <x:f>IF(S71="","",SUMIF(JobChangeImpact!$B$5:$B$100,S71,JobChangeImpact!$Q$5:$Q$100))</x:f>
      </x:c>
      <x:c r="V71" t="str">
        <x:f t="shared" si="16"/>
      </x:c>
      <x:c r="W71" t="str">
        <x:f t="shared" si="17"/>
      </x:c>
      <x:c r="X71" t="str">
        <x:f t="shared" si="18"/>
      </x:c>
      <x:c r="Y71" t="str">
        <x:f t="shared" si="19"/>
      </x:c>
      <x:c r="Z71" t="str">
        <x:f t="shared" si="20"/>
      </x:c>
    </x:row>
    <x:row r="72" ht="18" customHeight="1">
      <x:c r="S72" t="str">
        <x:f t="shared" si="14"/>
      </x:c>
      <x:c r="T72" t="str">
        <x:f t="shared" si="15"/>
      </x:c>
      <x:c r="U72" t="str">
        <x:f>IF(S72="","",SUMIF(JobChangeImpact!$B$5:$B$100,S72,JobChangeImpact!$Q$5:$Q$100))</x:f>
      </x:c>
      <x:c r="V72" t="str">
        <x:f t="shared" si="16"/>
      </x:c>
      <x:c r="W72" t="str">
        <x:f t="shared" si="17"/>
      </x:c>
      <x:c r="X72" t="str">
        <x:f t="shared" si="18"/>
      </x:c>
      <x:c r="Y72" t="str">
        <x:f t="shared" si="19"/>
      </x:c>
      <x:c r="Z72" t="str">
        <x:f t="shared" si="20"/>
      </x:c>
    </x:row>
    <x:row r="73" ht="18" customHeight="1">
      <x:c r="S73" t="str">
        <x:f t="shared" si="14"/>
      </x:c>
      <x:c r="T73" t="str">
        <x:f t="shared" si="15"/>
      </x:c>
      <x:c r="U73" t="str">
        <x:f>IF(S73="","",SUMIF(JobChangeImpact!$B$5:$B$100,S73,JobChangeImpact!$Q$5:$Q$100))</x:f>
      </x:c>
      <x:c r="V73" t="str">
        <x:f t="shared" si="16"/>
      </x:c>
      <x:c r="W73" t="str">
        <x:f t="shared" si="17"/>
      </x:c>
      <x:c r="X73" t="str">
        <x:f t="shared" si="18"/>
      </x:c>
      <x:c r="Y73" t="str">
        <x:f t="shared" si="19"/>
      </x:c>
      <x:c r="Z73" t="str">
        <x:f t="shared" si="20"/>
      </x:c>
    </x:row>
    <x:row r="74" ht="18" customHeight="1">
      <x:c r="S74" t="str">
        <x:f t="shared" si="14"/>
      </x:c>
      <x:c r="T74" t="str">
        <x:f t="shared" si="15"/>
      </x:c>
      <x:c r="U74" t="str">
        <x:f>IF(S74="","",SUMIF(JobChangeImpact!$B$5:$B$100,S74,JobChangeImpact!$Q$5:$Q$100))</x:f>
      </x:c>
      <x:c r="V74" t="str">
        <x:f t="shared" si="16"/>
      </x:c>
      <x:c r="W74" t="str">
        <x:f t="shared" si="17"/>
      </x:c>
      <x:c r="X74" t="str">
        <x:f t="shared" si="18"/>
      </x:c>
      <x:c r="Y74" t="str">
        <x:f t="shared" si="19"/>
      </x:c>
      <x:c r="Z74" t="str">
        <x:f t="shared" si="20"/>
      </x:c>
    </x:row>
    <x:row r="75" ht="18" customHeight="1">
      <x:c r="S75" t="str">
        <x:f t="shared" si="14"/>
      </x:c>
      <x:c r="T75" t="str">
        <x:f t="shared" si="15"/>
      </x:c>
      <x:c r="U75" t="str">
        <x:f>IF(S75="","",SUMIF(JobChangeImpact!$B$5:$B$100,S75,JobChangeImpact!$Q$5:$Q$100))</x:f>
      </x:c>
      <x:c r="V75" t="str">
        <x:f t="shared" si="16"/>
      </x:c>
      <x:c r="W75" t="str">
        <x:f t="shared" si="17"/>
      </x:c>
      <x:c r="X75" t="str">
        <x:f t="shared" si="18"/>
      </x:c>
      <x:c r="Y75" t="str">
        <x:f t="shared" si="19"/>
      </x:c>
      <x:c r="Z75" t="str">
        <x:f t="shared" si="20"/>
      </x:c>
    </x:row>
    <x:row r="76" ht="18" customHeight="1">
      <x:c r="S76" t="str">
        <x:f t="shared" si="14"/>
      </x:c>
      <x:c r="T76" t="str">
        <x:f t="shared" si="15"/>
      </x:c>
      <x:c r="U76" t="str">
        <x:f>IF(S76="","",SUMIF(JobChangeImpact!$B$5:$B$100,S76,JobChangeImpact!$Q$5:$Q$100))</x:f>
      </x:c>
      <x:c r="V76" t="str">
        <x:f t="shared" si="16"/>
      </x:c>
      <x:c r="W76" t="str">
        <x:f t="shared" si="17"/>
      </x:c>
      <x:c r="X76" t="str">
        <x:f t="shared" si="18"/>
      </x:c>
      <x:c r="Y76" t="str">
        <x:f t="shared" si="19"/>
      </x:c>
      <x:c r="Z76" t="str">
        <x:f t="shared" si="20"/>
      </x:c>
    </x:row>
    <x:row r="77" ht="18" customHeight="1">
      <x:c r="S77" t="str">
        <x:f t="shared" si="14"/>
      </x:c>
      <x:c r="T77" t="str">
        <x:f t="shared" si="15"/>
      </x:c>
      <x:c r="U77" t="str">
        <x:f>IF(S77="","",SUMIF(JobChangeImpact!$B$5:$B$100,S77,JobChangeImpact!$Q$5:$Q$100))</x:f>
      </x:c>
      <x:c r="V77" t="str">
        <x:f t="shared" si="16"/>
      </x:c>
      <x:c r="W77" t="str">
        <x:f t="shared" si="17"/>
      </x:c>
      <x:c r="X77" t="str">
        <x:f t="shared" si="18"/>
      </x:c>
      <x:c r="Y77" t="str">
        <x:f t="shared" si="19"/>
      </x:c>
      <x:c r="Z77" t="str">
        <x:f t="shared" si="20"/>
      </x:c>
    </x:row>
    <x:row r="78" ht="18" customHeight="1">
      <x:c r="S78" t="str">
        <x:f t="shared" si="14"/>
      </x:c>
      <x:c r="T78" t="str">
        <x:f t="shared" si="15"/>
      </x:c>
      <x:c r="U78" t="str">
        <x:f>IF(S78="","",SUMIF(JobChangeImpact!$B$5:$B$100,S78,JobChangeImpact!$Q$5:$Q$100))</x:f>
      </x:c>
      <x:c r="V78" t="str">
        <x:f t="shared" si="16"/>
      </x:c>
      <x:c r="W78" t="str">
        <x:f t="shared" si="17"/>
      </x:c>
      <x:c r="X78" t="str">
        <x:f t="shared" si="18"/>
      </x:c>
      <x:c r="Y78" t="str">
        <x:f t="shared" si="19"/>
      </x:c>
      <x:c r="Z78" t="str">
        <x:f t="shared" si="20"/>
      </x:c>
    </x:row>
    <x:row r="79" ht="18" customHeight="1">
      <x:c r="S79" t="str">
        <x:f t="shared" si="14"/>
      </x:c>
      <x:c r="T79" t="str">
        <x:f t="shared" si="15"/>
      </x:c>
      <x:c r="U79" t="str">
        <x:f>IF(S79="","",SUMIF(JobChangeImpact!$B$5:$B$100,S79,JobChangeImpact!$Q$5:$Q$100))</x:f>
      </x:c>
      <x:c r="V79" t="str">
        <x:f t="shared" si="16"/>
      </x:c>
      <x:c r="W79" t="str">
        <x:f t="shared" si="17"/>
      </x:c>
      <x:c r="X79" t="str">
        <x:f t="shared" si="18"/>
      </x:c>
      <x:c r="Y79" t="str">
        <x:f t="shared" si="19"/>
      </x:c>
      <x:c r="Z79" t="str">
        <x:f t="shared" si="20"/>
      </x:c>
    </x:row>
    <x:row r="80" ht="18" customHeight="1">
      <x:c r="S80" t="str">
        <x:f t="shared" si="14"/>
      </x:c>
      <x:c r="T80" t="str">
        <x:f t="shared" si="15"/>
      </x:c>
      <x:c r="U80" t="str">
        <x:f>IF(S80="","",SUMIF(JobChangeImpact!$B$5:$B$100,S80,JobChangeImpact!$Q$5:$Q$100))</x:f>
      </x:c>
      <x:c r="V80" t="str">
        <x:f t="shared" si="16"/>
      </x:c>
      <x:c r="W80" t="str">
        <x:f t="shared" si="17"/>
      </x:c>
      <x:c r="X80" t="str">
        <x:f t="shared" si="18"/>
      </x:c>
      <x:c r="Y80" t="str">
        <x:f t="shared" si="19"/>
      </x:c>
      <x:c r="Z80" t="str">
        <x:f t="shared" si="20"/>
      </x:c>
    </x:row>
    <x:row r="81" ht="18" customHeight="1">
      <x:c r="S81" t="str">
        <x:f t="shared" si="14"/>
      </x:c>
      <x:c r="T81" t="str">
        <x:f t="shared" si="15"/>
      </x:c>
      <x:c r="U81" t="str">
        <x:f>IF(S81="","",SUMIF(JobChangeImpact!$B$5:$B$100,S81,JobChangeImpact!$Q$5:$Q$100))</x:f>
      </x:c>
      <x:c r="V81" t="str">
        <x:f t="shared" si="16"/>
      </x:c>
      <x:c r="W81" t="str">
        <x:f t="shared" si="17"/>
      </x:c>
      <x:c r="X81" t="str">
        <x:f t="shared" si="18"/>
      </x:c>
      <x:c r="Y81" t="str">
        <x:f t="shared" si="19"/>
      </x:c>
      <x:c r="Z81" t="str">
        <x:f t="shared" si="20"/>
      </x:c>
    </x:row>
    <x:row r="82" ht="18" customHeight="1">
      <x:c r="S82" t="str">
        <x:f t="shared" si="14"/>
      </x:c>
      <x:c r="T82" t="str">
        <x:f t="shared" si="15"/>
      </x:c>
      <x:c r="U82" t="str">
        <x:f>IF(S82="","",SUMIF(JobChangeImpact!$B$5:$B$100,S82,JobChangeImpact!$Q$5:$Q$100))</x:f>
      </x:c>
      <x:c r="V82" t="str">
        <x:f t="shared" si="16"/>
      </x:c>
      <x:c r="W82" t="str">
        <x:f t="shared" si="17"/>
      </x:c>
      <x:c r="X82" t="str">
        <x:f t="shared" si="18"/>
      </x:c>
      <x:c r="Y82" t="str">
        <x:f t="shared" si="19"/>
      </x:c>
      <x:c r="Z82" t="str">
        <x:f t="shared" si="20"/>
      </x:c>
    </x:row>
    <x:row r="83" ht="18" customHeight="1">
      <x:c r="S83" t="str">
        <x:f t="shared" si="14"/>
      </x:c>
      <x:c r="T83" t="str">
        <x:f t="shared" si="15"/>
      </x:c>
      <x:c r="U83" t="str">
        <x:f>IF(S83="","",SUMIF(JobChangeImpact!$B$5:$B$100,S83,JobChangeImpact!$Q$5:$Q$100))</x:f>
      </x:c>
      <x:c r="V83" t="str">
        <x:f t="shared" si="16"/>
      </x:c>
      <x:c r="W83" t="str">
        <x:f t="shared" si="17"/>
      </x:c>
      <x:c r="X83" t="str">
        <x:f t="shared" si="18"/>
      </x:c>
      <x:c r="Y83" t="str">
        <x:f t="shared" si="19"/>
      </x:c>
      <x:c r="Z83" t="str">
        <x:f t="shared" si="20"/>
      </x:c>
    </x:row>
    <x:row r="84" ht="18" customHeight="1">
      <x:c r="S84" t="str">
        <x:f t="shared" si="14"/>
      </x:c>
      <x:c r="T84" t="str">
        <x:f t="shared" si="15"/>
      </x:c>
      <x:c r="U84" t="str">
        <x:f>IF(S84="","",SUMIF(JobChangeImpact!$B$5:$B$100,S84,JobChangeImpact!$Q$5:$Q$100))</x:f>
      </x:c>
      <x:c r="V84" t="str">
        <x:f t="shared" si="16"/>
      </x:c>
      <x:c r="W84" t="str">
        <x:f t="shared" si="17"/>
      </x:c>
      <x:c r="X84" t="str">
        <x:f t="shared" si="18"/>
      </x:c>
      <x:c r="Y84" t="str">
        <x:f t="shared" si="19"/>
      </x:c>
      <x:c r="Z84" t="str">
        <x:f t="shared" si="20"/>
      </x:c>
    </x:row>
    <x:row r="85" ht="18" customHeight="1">
      <x:c r="S85" t="str">
        <x:f t="shared" si="14"/>
      </x:c>
      <x:c r="T85" t="str">
        <x:f t="shared" si="15"/>
      </x:c>
      <x:c r="U85" t="str">
        <x:f>IF(S85="","",SUMIF(JobChangeImpact!$B$5:$B$100,S85,JobChangeImpact!$Q$5:$Q$100))</x:f>
      </x:c>
      <x:c r="V85" t="str">
        <x:f t="shared" si="16"/>
      </x:c>
      <x:c r="W85" t="str">
        <x:f t="shared" si="17"/>
      </x:c>
      <x:c r="X85" t="str">
        <x:f t="shared" si="18"/>
      </x:c>
      <x:c r="Y85" t="str">
        <x:f t="shared" si="19"/>
      </x:c>
      <x:c r="Z85" t="str">
        <x:f t="shared" si="20"/>
      </x:c>
    </x:row>
    <x:row r="86" ht="18" customHeight="1">
      <x:c r="S86" t="str">
        <x:f t="shared" si="14"/>
      </x:c>
      <x:c r="T86" t="str">
        <x:f t="shared" si="15"/>
      </x:c>
      <x:c r="U86" t="str">
        <x:f>IF(S86="","",SUMIF(JobChangeImpact!$B$5:$B$100,S86,JobChangeImpact!$Q$5:$Q$100))</x:f>
      </x:c>
      <x:c r="V86" t="str">
        <x:f t="shared" si="16"/>
      </x:c>
      <x:c r="W86" t="str">
        <x:f t="shared" si="17"/>
      </x:c>
      <x:c r="X86" t="str">
        <x:f t="shared" si="18"/>
      </x:c>
      <x:c r="Y86" t="str">
        <x:f t="shared" si="19"/>
      </x:c>
      <x:c r="Z86" t="str">
        <x:f t="shared" si="20"/>
      </x:c>
    </x:row>
    <x:row r="87" ht="18" customHeight="1">
      <x:c r="S87" t="str">
        <x:f t="shared" si="14"/>
      </x:c>
      <x:c r="T87" t="str">
        <x:f t="shared" si="15"/>
      </x:c>
      <x:c r="U87" t="str">
        <x:f>IF(S87="","",SUMIF(JobChangeImpact!$B$5:$B$100,S87,JobChangeImpact!$Q$5:$Q$100))</x:f>
      </x:c>
      <x:c r="V87" t="str">
        <x:f t="shared" si="16"/>
      </x:c>
      <x:c r="W87" t="str">
        <x:f t="shared" si="17"/>
      </x:c>
      <x:c r="X87" t="str">
        <x:f t="shared" si="18"/>
      </x:c>
      <x:c r="Y87" t="str">
        <x:f t="shared" si="19"/>
      </x:c>
      <x:c r="Z87" t="str">
        <x:f t="shared" si="20"/>
      </x:c>
    </x:row>
    <x:row r="88" ht="18" customHeight="1">
      <x:c r="S88" t="str">
        <x:f t="shared" si="14"/>
      </x:c>
      <x:c r="T88" t="str">
        <x:f t="shared" si="15"/>
      </x:c>
      <x:c r="U88" t="str">
        <x:f>IF(S88="","",SUMIF(JobChangeImpact!$B$5:$B$100,S88,JobChangeImpact!$Q$5:$Q$100))</x:f>
      </x:c>
      <x:c r="V88" t="str">
        <x:f t="shared" si="16"/>
      </x:c>
      <x:c r="W88" t="str">
        <x:f t="shared" si="17"/>
      </x:c>
      <x:c r="X88" t="str">
        <x:f t="shared" si="18"/>
      </x:c>
      <x:c r="Y88" t="str">
        <x:f t="shared" si="19"/>
      </x:c>
      <x:c r="Z88" t="str">
        <x:f t="shared" si="20"/>
      </x:c>
    </x:row>
    <x:row r="89" ht="18" customHeight="1">
      <x:c r="S89" t="str">
        <x:f t="shared" si="14"/>
      </x:c>
      <x:c r="T89" t="str">
        <x:f t="shared" si="15"/>
      </x:c>
      <x:c r="U89" t="str">
        <x:f>IF(S89="","",SUMIF(JobChangeImpact!$B$5:$B$100,S89,JobChangeImpact!$Q$5:$Q$100))</x:f>
      </x:c>
      <x:c r="V89" t="str">
        <x:f t="shared" si="16"/>
      </x:c>
      <x:c r="W89" t="str">
        <x:f t="shared" si="17"/>
      </x:c>
      <x:c r="X89" t="str">
        <x:f t="shared" si="18"/>
      </x:c>
      <x:c r="Y89" t="str">
        <x:f t="shared" si="19"/>
      </x:c>
      <x:c r="Z89" t="str">
        <x:f t="shared" si="20"/>
      </x:c>
    </x:row>
    <x:row r="90" ht="18" customHeight="1">
      <x:c r="S90" t="str">
        <x:f t="shared" si="14"/>
      </x:c>
      <x:c r="T90" t="str">
        <x:f t="shared" si="15"/>
      </x:c>
      <x:c r="U90" t="str">
        <x:f>IF(S90="","",SUMIF(JobChangeImpact!$B$5:$B$100,S90,JobChangeImpact!$Q$5:$Q$100))</x:f>
      </x:c>
      <x:c r="V90" t="str">
        <x:f t="shared" si="16"/>
      </x:c>
      <x:c r="W90" t="str">
        <x:f t="shared" si="17"/>
      </x:c>
      <x:c r="X90" t="str">
        <x:f t="shared" si="18"/>
      </x:c>
      <x:c r="Y90" t="str">
        <x:f t="shared" si="19"/>
      </x:c>
      <x:c r="Z90" t="str">
        <x:f t="shared" si="20"/>
      </x:c>
    </x:row>
    <x:row r="91" ht="18" customHeight="1">
      <x:c r="S91" t="str">
        <x:f t="shared" si="14"/>
      </x:c>
      <x:c r="T91" t="str">
        <x:f t="shared" si="15"/>
      </x:c>
      <x:c r="U91" t="str">
        <x:f>IF(S91="","",SUMIF(JobChangeImpact!$B$5:$B$100,S91,JobChangeImpact!$Q$5:$Q$100))</x:f>
      </x:c>
      <x:c r="V91" t="str">
        <x:f t="shared" si="16"/>
      </x:c>
      <x:c r="W91" t="str">
        <x:f t="shared" si="17"/>
      </x:c>
      <x:c r="X91" t="str">
        <x:f t="shared" si="18"/>
      </x:c>
      <x:c r="Y91" t="str">
        <x:f t="shared" si="19"/>
      </x:c>
      <x:c r="Z91" t="str">
        <x:f t="shared" si="20"/>
      </x:c>
    </x:row>
    <x:row r="92" ht="18" customHeight="1">
      <x:c r="S92" t="str">
        <x:f t="shared" si="14"/>
      </x:c>
      <x:c r="T92" t="str">
        <x:f t="shared" si="15"/>
      </x:c>
      <x:c r="U92" t="str">
        <x:f>IF(S92="","",SUMIF(JobChangeImpact!$B$5:$B$100,S92,JobChangeImpact!$Q$5:$Q$100))</x:f>
      </x:c>
      <x:c r="V92" t="str">
        <x:f t="shared" si="16"/>
      </x:c>
      <x:c r="W92" t="str">
        <x:f t="shared" si="17"/>
      </x:c>
      <x:c r="X92" t="str">
        <x:f t="shared" si="18"/>
      </x:c>
      <x:c r="Y92" t="str">
        <x:f t="shared" si="19"/>
      </x:c>
      <x:c r="Z92" t="str">
        <x:f t="shared" si="20"/>
      </x:c>
    </x:row>
    <x:row r="93" ht="18" customHeight="1">
      <x:c r="S93" t="str">
        <x:f t="shared" si="14"/>
      </x:c>
      <x:c r="T93" t="str">
        <x:f t="shared" si="15"/>
      </x:c>
      <x:c r="U93" t="str">
        <x:f>IF(S93="","",SUMIF(JobChangeImpact!$B$5:$B$100,S93,JobChangeImpact!$Q$5:$Q$100))</x:f>
      </x:c>
      <x:c r="V93" t="str">
        <x:f t="shared" si="16"/>
      </x:c>
      <x:c r="W93" t="str">
        <x:f t="shared" si="17"/>
      </x:c>
      <x:c r="X93" t="str">
        <x:f t="shared" si="18"/>
      </x:c>
      <x:c r="Y93" t="str">
        <x:f t="shared" si="19"/>
      </x:c>
      <x:c r="Z93" t="str">
        <x:f t="shared" si="20"/>
      </x:c>
    </x:row>
    <x:row r="94" ht="18" customHeight="1">
      <x:c r="S94" t="str">
        <x:f t="shared" si="14"/>
      </x:c>
      <x:c r="T94" t="str">
        <x:f t="shared" si="15"/>
      </x:c>
      <x:c r="U94" t="str">
        <x:f>IF(S94="","",SUMIF(JobChangeImpact!$B$5:$B$100,S94,JobChangeImpact!$Q$5:$Q$100))</x:f>
      </x:c>
      <x:c r="V94" t="str">
        <x:f t="shared" si="16"/>
      </x:c>
      <x:c r="W94" t="str">
        <x:f t="shared" si="17"/>
      </x:c>
      <x:c r="X94" t="str">
        <x:f t="shared" si="18"/>
      </x:c>
      <x:c r="Y94" t="str">
        <x:f t="shared" si="19"/>
      </x:c>
      <x:c r="Z94" t="str">
        <x:f t="shared" si="20"/>
      </x:c>
    </x:row>
    <x:row r="95" ht="18" customHeight="1">
      <x:c r="S95" t="str">
        <x:f t="shared" si="14"/>
      </x:c>
      <x:c r="T95" t="str">
        <x:f t="shared" si="15"/>
      </x:c>
      <x:c r="U95" t="str">
        <x:f>IF(S95="","",SUMIF(JobChangeImpact!$B$5:$B$100,S95,JobChangeImpact!$Q$5:$Q$100))</x:f>
      </x:c>
      <x:c r="V95" t="str">
        <x:f t="shared" si="16"/>
      </x:c>
      <x:c r="W95" t="str">
        <x:f t="shared" si="17"/>
      </x:c>
      <x:c r="X95" t="str">
        <x:f t="shared" si="18"/>
      </x:c>
      <x:c r="Y95" t="str">
        <x:f t="shared" si="19"/>
      </x:c>
      <x:c r="Z95" t="str">
        <x:f t="shared" si="20"/>
      </x:c>
    </x:row>
    <x:row r="96" ht="18" customHeight="1">
      <x:c r="S96" t="str">
        <x:f t="shared" si="14"/>
      </x:c>
      <x:c r="T96" t="str">
        <x:f t="shared" si="15"/>
      </x:c>
      <x:c r="U96" t="str">
        <x:f>IF(S96="","",SUMIF(JobChangeImpact!$B$5:$B$100,S96,JobChangeImpact!$Q$5:$Q$100))</x:f>
      </x:c>
      <x:c r="V96" t="str">
        <x:f t="shared" si="16"/>
      </x:c>
      <x:c r="W96" t="str">
        <x:f t="shared" si="17"/>
      </x:c>
      <x:c r="X96" t="str">
        <x:f t="shared" si="18"/>
      </x:c>
      <x:c r="Y96" t="str">
        <x:f t="shared" si="19"/>
      </x:c>
      <x:c r="Z96" t="str">
        <x:f t="shared" si="20"/>
      </x:c>
    </x:row>
    <x:row r="97" ht="18" customHeight="1">
      <x:c r="S97" t="str">
        <x:f t="shared" si="14"/>
      </x:c>
      <x:c r="T97" t="str">
        <x:f t="shared" si="15"/>
      </x:c>
      <x:c r="U97" t="str">
        <x:f>IF(S97="","",SUMIF(JobChangeImpact!$B$5:$B$100,S97,JobChangeImpact!$Q$5:$Q$100))</x:f>
      </x:c>
      <x:c r="V97" t="str">
        <x:f t="shared" si="16"/>
      </x:c>
      <x:c r="W97" t="str">
        <x:f t="shared" si="17"/>
      </x:c>
      <x:c r="X97" t="str">
        <x:f t="shared" si="18"/>
      </x:c>
      <x:c r="Y97" t="str">
        <x:f t="shared" si="19"/>
      </x:c>
      <x:c r="Z97" t="str">
        <x:f t="shared" si="20"/>
      </x:c>
    </x:row>
    <x:row r="98" ht="18" customHeight="1">
      <x:c r="S98" t="str">
        <x:f t="shared" si="14"/>
      </x:c>
      <x:c r="T98" t="str">
        <x:f t="shared" si="15"/>
      </x:c>
      <x:c r="U98" t="str">
        <x:f>IF(S98="","",SUMIF(JobChangeImpact!$B$5:$B$100,S98,JobChangeImpact!$Q$5:$Q$100))</x:f>
      </x:c>
      <x:c r="V98" t="str">
        <x:f t="shared" si="16"/>
      </x:c>
      <x:c r="W98" t="str">
        <x:f t="shared" si="17"/>
      </x:c>
      <x:c r="X98" t="str">
        <x:f t="shared" si="18"/>
      </x:c>
      <x:c r="Y98" t="str">
        <x:f t="shared" si="19"/>
      </x:c>
      <x:c r="Z98" t="str">
        <x:f t="shared" si="20"/>
      </x:c>
    </x:row>
    <x:row r="99" ht="18" customHeight="1">
      <x:c r="S99" t="str">
        <x:f t="shared" si="14"/>
      </x:c>
      <x:c r="T99" t="str">
        <x:f t="shared" si="15"/>
      </x:c>
      <x:c r="U99" t="str">
        <x:f>IF(S99="","",SUMIF(JobChangeImpact!$B$5:$B$100,S99,JobChangeImpact!$Q$5:$Q$100))</x:f>
      </x:c>
      <x:c r="V99" t="str">
        <x:f t="shared" si="16"/>
      </x:c>
      <x:c r="W99" t="str">
        <x:f t="shared" si="17"/>
      </x:c>
      <x:c r="X99" t="str">
        <x:f t="shared" si="18"/>
      </x:c>
      <x:c r="Y99" t="str">
        <x:f t="shared" si="19"/>
      </x:c>
      <x:c r="Z99" t="str">
        <x:f t="shared" si="20"/>
      </x:c>
    </x:row>
    <x:row r="100" ht="18" customHeight="1">
      <x:c r="S100" t="str">
        <x:f t="shared" si="14"/>
      </x:c>
      <x:c r="T100" t="str">
        <x:f t="shared" si="15"/>
      </x:c>
      <x:c r="U100" t="str">
        <x:f>IF(S100="","",SUMIF(JobChangeImpact!$B$5:$B$100,S100,JobChangeImpact!$Q$5:$Q$100))</x:f>
      </x:c>
      <x:c r="V100" t="str">
        <x:f t="shared" si="16"/>
      </x:c>
      <x:c r="W100" t="str">
        <x:f t="shared" si="17"/>
      </x:c>
      <x:c r="X100" t="str">
        <x:f t="shared" si="18"/>
      </x:c>
      <x:c r="Y100" t="str">
        <x:f t="shared" si="19"/>
      </x:c>
      <x:c r="Z100" t="str">
        <x:f t="shared" si="20"/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</x:sheetData>
  <x:dataValidations count="1">
    <x:dataValidation type="list" sqref="AO5:AO200">
      <x:formula1>_ValidationLists!$Z$2:$Z$4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5bfc49607d4f9f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15" hidden="0" customWidth="1"/>
    <x:col min="2" max="2" width="42" hidden="0" customWidth="1"/>
    <x:col min="3" max="3" width="42" hidden="0" customWidth="1"/>
    <x:col min="4" max="4" width="14" customWidth="1"/>
    <x:col min="5" max="5" width="13.625" customWidth="1"/>
    <x:col min="6" max="6" width="12.125" customWidth="1"/>
    <x:col min="7" max="7" width="11.625" customWidth="1"/>
    <x:col min="8" max="8" width="20" hidden="0" customWidth="1"/>
    <x:col min="9" max="9" width="11" customWidth="1"/>
    <x:col min="10" max="10" width="20" hidden="0" customWidth="1"/>
    <x:col min="11" max="11" width="12.625" customWidth="1"/>
    <x:col min="12" max="12" width="16.5" customWidth="1"/>
    <x:col min="13" max="13" width="15.25" customWidth="1"/>
    <x:col min="14" max="14" width="28" hidden="0" customWidth="1"/>
    <x:col min="15" max="15" width="15.5" customWidth="1"/>
    <x:col min="16" max="16" width="14.75" customWidth="1"/>
    <x:col min="17" max="17" width="13.5" customWidth="1"/>
    <x:col min="18" max="18" width="20" customWidth="1"/>
    <x:col min="19" max="19" width="22.875" customWidth="1"/>
    <x:col min="20" max="20" width="18.875" customWidth="1"/>
    <x:col min="21" max="22" width="23.5" customWidth="1"/>
    <x:col min="23" max="23" width="20" customWidth="1"/>
    <x:col min="24" max="24" width="14.875" customWidth="1"/>
    <x:col min="25" max="25" width="19.5" customWidth="1"/>
    <x:col min="26" max="26" width="14" customWidth="1"/>
    <x:col min="27" max="27" width="16" customWidth="1"/>
    <x:col min="28" max="28" width="18.5" customWidth="1"/>
    <x:col min="29" max="29" width="18" hidden="0" customWidth="1"/>
    <x:col min="30" max="30" width="18" hidden="0" customWidth="1"/>
    <x:col min="31" max="31" width="25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</x:cols>
  <x:sheetData>
    <x:row r="1" ht="18">
      <x:c r="A1" s="15" t="s">
        <x:v>78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8"/>
      <x:c r="U1" s="19"/>
      <x:c r="V1" s="15"/>
      <x:c r="W1" s="20"/>
      <x:c r="X1" s="15"/>
      <x:c r="Y1" s="15"/>
      <x:c r="Z1" s="15"/>
      <x:c r="AA1" s="15"/>
      <x:c r="AB1" s="15"/>
    </x:row>
    <x:row r="2">
      <x:c r="A2" t="s">
        <x:v>79</x:v>
      </x:c>
    </x:row>
    <x:row r="4" ht="36" customHeight="1">
      <x:c r="A4" s="17" t="s">
        <x:v>80</x:v>
      </x:c>
      <x:c r="B4" s="17" t="s">
        <x:v>36</x:v>
      </x:c>
      <x:c r="C4" s="17" t="s">
        <x:v>81</x:v>
      </x:c>
      <x:c r="D4" s="17" t="s">
        <x:v>18</x:v>
      </x:c>
      <x:c r="E4" s="17" t="s">
        <x:v>19</x:v>
      </x:c>
      <x:c r="F4" s="17" t="s">
        <x:v>20</x:v>
      </x:c>
      <x:c r="G4" s="17" t="s">
        <x:v>21</x:v>
      </x:c>
      <x:c r="H4" s="17" t="s">
        <x:v>24</x:v>
      </x:c>
      <x:c r="I4" s="17" t="s">
        <x:v>82</x:v>
      </x:c>
      <x:c r="J4" s="17" t="s">
        <x:v>83</x:v>
      </x:c>
      <x:c r="K4" s="17" t="s">
        <x:v>84</x:v>
      </x:c>
      <x:c r="L4" s="17" t="s">
        <x:v>85</x:v>
      </x:c>
      <x:c r="M4" s="17" t="s">
        <x:v>86</x:v>
      </x:c>
      <x:c r="N4" s="17" t="s">
        <x:v>87</x:v>
      </x:c>
      <x:c r="O4" s="17" t="s">
        <x:v>88</x:v>
      </x:c>
      <x:c r="P4" s="17" t="s">
        <x:v>89</x:v>
      </x:c>
      <x:c r="Q4" s="17" t="s">
        <x:v>90</x:v>
      </x:c>
      <x:c r="R4" s="17" t="s">
        <x:v>91</x:v>
      </x:c>
      <x:c r="S4" s="17" t="s">
        <x:v>92</x:v>
      </x:c>
      <x:c r="T4" s="17" t="s">
        <x:v>93</x:v>
      </x:c>
      <x:c r="U4" s="17" t="s">
        <x:v>94</x:v>
      </x:c>
      <x:c r="V4" s="17" t="s">
        <x:v>95</x:v>
      </x:c>
      <x:c r="W4" s="17" t="s">
        <x:v>96</x:v>
      </x:c>
      <x:c r="X4" s="17" t="s">
        <x:v>97</x:v>
      </x:c>
      <x:c r="Y4" s="17" t="s">
        <x:v>98</x:v>
      </x:c>
      <x:c r="Z4" s="17" t="s">
        <x:v>99</x:v>
      </x:c>
      <x:c r="AA4" s="17" t="s">
        <x:v>100</x:v>
      </x:c>
      <x:c r="AB4" s="17" t="s">
        <x:v>43</x:v>
      </x:c>
      <x:c r="AC4" s="46" t="str">
        <x:v>JobChangeLossID</x:v>
      </x:c>
      <x:c r="AD4" s="46" t="str">
        <x:v>LossElapsedHrs</x:v>
      </x:c>
      <x:c r="AE4" s="46" t="str">
        <x:v>DurationUsage</x:v>
      </x:c>
      <x:c r="AF4" s="46" t="str">
        <x:v>ActiveScopeCheck</x:v>
      </x:c>
      <x:c r="AG4" s="46" t="str">
        <x:v>ScopeOverlapCheck</x:v>
      </x:c>
      <x:c r="AH4" s="46" t="str">
        <x:v>LossCapacityPctSum</x:v>
      </x:c>
      <x:c r="AI4" s="46" t="str">
        <x:v>CapacitySumCheck</x:v>
      </x:c>
      <x:c r="AJ4" s="46" t="str">
        <x:v>AllocationCheck</x:v>
      </x:c>
      <x:c r="AK4" s="46" t="str">
        <x:v>SourceFile</x:v>
      </x:c>
      <x:c r="AL4" s="46" t="str">
        <x:v>LoadBatchID</x:v>
      </x:c>
      <x:c r="AM4" s="46" t="str">
        <x:v>RecordStatus</x:v>
      </x:c>
      <x:c r="AN4" s="46" t="str">
        <x:v>LoadDecision</x:v>
      </x:c>
      <x:c r="AO4" s="46" t="str">
        <x:v>CreatedAt</x:v>
      </x:c>
      <x:c r="AP4" s="46" t="str">
        <x:v>CreatedBy</x:v>
      </x:c>
      <x:c r="AQ4" s="46" t="str">
        <x:v>ModifiedAt</x:v>
      </x:c>
      <x:c r="AR4" s="46" t="str">
        <x:v>ModifiedBy</x:v>
      </x:c>
    </x:row>
    <x:row r="5">
      <x:c r="A5" t="s">
        <x:v>101</x:v>
      </x:c>
      <x:c r="B5" t="s">
        <x:v>102</x:v>
      </x:c>
      <x:c r="C5" t="s">
        <x:v>103</x:v>
      </x:c>
      <x:c r="D5" t="s">
        <x:v>44</x:v>
      </x:c>
      <x:c r="E5">
        <x:v>21</x:v>
      </x:c>
      <x:c r="F5">
        <x:v>45951</x:v>
      </x:c>
      <x:c r="G5" t="s">
        <x:v>45</x:v>
      </x:c>
      <x:c r="H5" t="s">
        <x:v>48</x:v>
      </x:c>
      <x:c r="I5" t="s">
        <x:v>104</x:v>
      </x:c>
      <x:c r="J5" t="s">
        <x:v>105</x:v>
      </x:c>
      <x:c r="K5" t="s">
        <x:v>106</x:v>
      </x:c>
      <x:c r="N5" t="s">
        <x:v>107</x:v>
      </x:c>
      <x:c r="Q5" t="n">
        <x:f>IF(AC5="","",AD5)</x:f>
        <x:v>3.08</x:v>
      </x:c>
      <x:c r="R5" t="n">
        <x:f>IF(B5="","",SUMIF(ProductionConfiguration!$B$5:$B$914,C5,ProductionConfiguration!$S$5:$S$914))</x:f>
        <x:v>20</x:v>
      </x:c>
      <x:c r="S5" t="n">
        <x:f>IF(B5="","",IF(K5="Line",R5,IF(K5="Section",SUMIFS(ProductionConfiguration!$S$5:$S$914,ProductionConfiguration!$B$5:$B$914,C5,ProductionConfiguration!$I$5:$I$914,L5),IF(K5="Cavity",IF(M5=1,SUMIFS(ProductionConfiguration!$P$5:$P$914,ProductionConfiguration!$B$5:$B$914,C5,ProductionConfiguration!$I$5:$I$914,L5),IF(M5=2,SUMIFS(ProductionConfiguration!$Q$5:$Q$914,ProductionConfiguration!$B$5:$B$914,C5,ProductionConfiguration!$I$5:$I$914,L5),SUMIFS(ProductionConfiguration!$R$5:$R$914,ProductionConfiguration!$B$5:$B$914,C5,ProductionConfiguration!$I$5:$I$914,L5))),0))))</x:f>
        <x:v>20</x:v>
      </x:c>
      <x:c r="T5" t="n">
        <x:f t="shared" ref="T5:T36" si="0">IF(B5="","",IFERROR(S5/R5,0))</x:f>
        <x:v>1</x:v>
      </x:c>
      <x:c r="U5" t="n">
        <x:f t="shared" ref="U5:U36" si="1">IF(B5="","",Q5*T5)</x:f>
        <x:v>3.08</x:v>
      </x:c>
      <x:c r="V5" t="n">
        <x:f>IF(C5="","",SUMIF(DailyProduction!$Q$5:$Q$100,C5,DailyProduction!$J$5:$J$100))</x:f>
        <x:v>10</x:v>
      </x:c>
      <x:c r="W5" t="n">
        <x:f t="shared" ref="W5:W36" si="2">IF(B5="","",Q5*60*V5*S5)</x:f>
        <x:v>36960</x:v>
      </x:c>
      <x:c r="X5" t="s">
        <x:v>108</x:v>
      </x:c>
      <x:c r="Y5" t="str">
        <x:f>IF(B5="","",IF(COUNTIF(JobChange!$S$5:$S$100,B5)=1,"OK","CHECK"))</x:f>
        <x:v>OK</x:v>
      </x:c>
      <x:c r="Z5" t="str">
        <x:f t="shared" ref="Z5:Z36" si="3">IF(B5="","",IF(OR(AND(K5="Line",J5="L"&amp;E5),AND(K5="Section",J5="L"&amp;E5&amp;"-S"&amp;TEXT(L5,"00")),AND(K5="Cavity",J5="L"&amp;E5&amp;"-S"&amp;TEXT(L5,"00")&amp;"-C"&amp;M5)),"OK","CHECK"))</x:f>
        <x:v>OK</x:v>
      </x:c>
      <x:c r="AA5" t="str">
        <x:f t="shared" ref="AA5:AA36" si="4">IF(B5="","",IF(AND(Q5&gt;0,OR(AND(O5="",P5=""),AND(O5&lt;&gt;"",P5&lt;&gt;"",P5&gt;=O5,ABS(Q5-((P5-O5)*24))&lt;=0.01))),"OK","CHECK"))</x:f>
        <x:v>OK</x:v>
      </x:c>
      <x:c r="AB5" t="str">
        <x:f t="shared" ref="AB5:AB36" si="5">IF(A5="","",AJ5)</x:f>
        <x:v>OK</x:v>
      </x:c>
      <x:c r="AC5" t="str">
        <x:v>JCL-000001</x:v>
      </x:c>
      <x:c r="AD5" t="n">
        <x:f>IF(AC5="","",SUMIF(JobChangeLoss!$A$5:$A$1000,AC5,JobChangeLoss!$N$5:$N$1000))</x:f>
        <x:v>3.08</x:v>
      </x:c>
      <x:c r="AE5" t="str">
        <x:v>REFERENCE_ONLY_DO_NOT_SUM</x:v>
      </x:c>
      <x:c r="AF5" t="str">
        <x:f>IF(AC5="","",IF(AND(S5&gt;0,S5&lt;=R5),"OK","CHECK"))</x:f>
        <x:v>OK</x:v>
      </x:c>
      <x:c r="AG5" t="str">
        <x:f>IF(AC5="","",IF(K5="Line",IF(COUNTIF($AC$5:$AC$1000,AC5)=1,"OK","CHECK"),IF(K5="Section",IF(OR(COUNTIFS($AC$5:$AC$1000,AC5,$J$5:$J$1000,J5)&gt;1,COUNTIFS($AC$5:$AC$1000,AC5,$K$5:$K$1000,"Cavity",$L$5:$L$1000,L5)&gt;0,COUNTIFS($AC$5:$AC$1000,AC5,$K$5:$K$1000,"Line")&gt;0),"CHECK","OK"),IF(K5="Cavity",IF(OR(COUNTIFS($AC$5:$AC$1000,AC5,$J$5:$J$1000,J5)&gt;1,COUNTIFS($AC$5:$AC$1000,AC5,$K$5:$K$1000,"Section",$L$5:$L$1000,L5)&gt;0,COUNTIFS($AC$5:$AC$1000,AC5,$K$5:$K$1000,"Line")&gt;0),"CHECK","OK"),"CHECK"))))</x:f>
        <x:v>OK</x:v>
      </x:c>
      <x:c r="AH5" t="n">
        <x:f>IF(AC5="","",SUMIF($AC$5:$AC$1000,AC5,$T$5:$T$1000))</x:f>
        <x:v>1</x:v>
      </x:c>
      <x:c r="AI5" t="str">
        <x:f>IF(AC5="","",IF(AND(AH5&gt;0,AH5&lt;=1),"OK","CHECK"))</x:f>
        <x:v>OK</x:v>
      </x:c>
      <x:c r="AJ5" t="str">
        <x:f>IF(AC5="","",IF(AND(Y5="OK",Z5="OK",AA5="OK",AF5="OK",AG5="OK",AI5="OK",R5&gt;0,S5&gt;0),"OK","CHECK"))</x:f>
        <x:v>OK</x:v>
      </x:c>
      <x:c r="AK5" t="str">
        <x:v>02_Supervisor_Log(4).xlsx</x:v>
      </x:c>
      <x:c r="AL5" t="str">
        <x:v>ENH-20260830-01</x:v>
      </x:c>
      <x:c r="AM5" t="str">
        <x:v>Active</x:v>
      </x:c>
      <x:c r="AN5" t="str">
        <x:f>IF(A5="","",IF(AB5="OK","LOAD","QUARANTINE"))</x:f>
        <x:v>LOAD</x:v>
      </x:c>
    </x:row>
    <x:row r="6">
      <x:c r="A6" t="s">
        <x:v>109</x:v>
      </x:c>
      <x:c r="B6" t="s">
        <x:v>102</x:v>
      </x:c>
      <x:c r="C6" t="s">
        <x:v>103</x:v>
      </x:c>
      <x:c r="D6" t="s">
        <x:v>44</x:v>
      </x:c>
      <x:c r="E6">
        <x:v>21</x:v>
      </x:c>
      <x:c r="F6">
        <x:v>45951</x:v>
      </x:c>
      <x:c r="G6" t="s">
        <x:v>45</x:v>
      </x:c>
      <x:c r="H6" t="s">
        <x:v>48</x:v>
      </x:c>
      <x:c r="I6" t="s">
        <x:v>110</x:v>
      </x:c>
      <x:c r="J6" t="s">
        <x:v>105</x:v>
      </x:c>
      <x:c r="K6" t="s">
        <x:v>106</x:v>
      </x:c>
      <x:c r="N6" t="s">
        <x:v>107</x:v>
      </x:c>
      <x:c r="Q6" t="n">
        <x:f>IF(AC6="","",AD6)</x:f>
        <x:v>1</x:v>
      </x:c>
      <x:c r="R6" t="n">
        <x:f>IF(B6="","",SUMIF(ProductionConfiguration!$B$5:$B$914,C6,ProductionConfiguration!$S$5:$S$914))</x:f>
        <x:v>20</x:v>
      </x:c>
      <x:c r="S6" t="n">
        <x:f>IF(B6="","",IF(K6="Line",R6,IF(K6="Section",SUMIFS(ProductionConfiguration!$S$5:$S$914,ProductionConfiguration!$B$5:$B$914,C6,ProductionConfiguration!$I$5:$I$914,L6),IF(K6="Cavity",IF(M6=1,SUMIFS(ProductionConfiguration!$P$5:$P$914,ProductionConfiguration!$B$5:$B$914,C6,ProductionConfiguration!$I$5:$I$914,L6),IF(M6=2,SUMIFS(ProductionConfiguration!$Q$5:$Q$914,ProductionConfiguration!$B$5:$B$914,C6,ProductionConfiguration!$I$5:$I$914,L6),SUMIFS(ProductionConfiguration!$R$5:$R$914,ProductionConfiguration!$B$5:$B$914,C6,ProductionConfiguration!$I$5:$I$914,L6))),0))))</x:f>
        <x:v>20</x:v>
      </x:c>
      <x:c r="T6">
        <x:f t="shared" si="0"/>
        <x:v>1</x:v>
      </x:c>
      <x:c r="U6">
        <x:f t="shared" si="1"/>
        <x:v>1</x:v>
      </x:c>
      <x:c r="V6" t="n">
        <x:f>IF(C6="","",SUMIF(DailyProduction!$Q$5:$Q$100,C6,DailyProduction!$J$5:$J$100))</x:f>
        <x:v>10</x:v>
      </x:c>
      <x:c r="W6">
        <x:f t="shared" si="2"/>
        <x:v>12000</x:v>
      </x:c>
      <x:c r="X6" t="s">
        <x:v>108</x:v>
      </x:c>
      <x:c r="Y6" t="str">
        <x:f>IF(B6="","",IF(COUNTIF(JobChange!$S$5:$S$100,B6)=1,"OK","CHECK"))</x:f>
        <x:v>OK</x:v>
      </x:c>
      <x:c r="Z6" t="str">
        <x:f t="shared" si="3"/>
        <x:v>OK</x:v>
      </x:c>
      <x:c r="AA6" t="str">
        <x:f t="shared" si="4"/>
        <x:v>OK</x:v>
      </x:c>
      <x:c r="AB6" t="str">
        <x:f t="shared" si="5">IF(A6="","",AJ6)</x:f>
        <x:v>OK</x:v>
      </x:c>
      <x:c r="AC6" t="str">
        <x:v>JCL-000002</x:v>
      </x:c>
      <x:c r="AD6" t="n">
        <x:f>IF(AC6="","",SUMIF(JobChangeLoss!$A$5:$A$1000,AC6,JobChangeLoss!$N$5:$N$1000))</x:f>
        <x:v>1</x:v>
      </x:c>
      <x:c r="AE6" t="str">
        <x:v>REFERENCE_ONLY_DO_NOT_SUM</x:v>
      </x:c>
      <x:c r="AF6" t="str">
        <x:f>IF(AC6="","",IF(AND(S6&gt;0,S6&lt;=R6),"OK","CHECK"))</x:f>
        <x:v>OK</x:v>
      </x:c>
      <x:c r="AG6" t="str">
        <x:f>IF(AC6="","",IF(K6="Line",IF(COUNTIF($AC$5:$AC$1000,AC6)=1,"OK","CHECK"),IF(K6="Section",IF(OR(COUNTIFS($AC$5:$AC$1000,AC6,$J$5:$J$1000,J6)&gt;1,COUNTIFS($AC$5:$AC$1000,AC6,$K$5:$K$1000,"Cavity",$L$5:$L$1000,L6)&gt;0,COUNTIFS($AC$5:$AC$1000,AC6,$K$5:$K$1000,"Line")&gt;0),"CHECK","OK"),IF(K6="Cavity",IF(OR(COUNTIFS($AC$5:$AC$1000,AC6,$J$5:$J$1000,J6)&gt;1,COUNTIFS($AC$5:$AC$1000,AC6,$K$5:$K$1000,"Section",$L$5:$L$1000,L6)&gt;0,COUNTIFS($AC$5:$AC$1000,AC6,$K$5:$K$1000,"Line")&gt;0),"CHECK","OK"),"CHECK"))))</x:f>
        <x:v>OK</x:v>
      </x:c>
      <x:c r="AH6" t="n">
        <x:f>IF(AC6="","",SUMIF($AC$5:$AC$1000,AC6,$T$5:$T$1000))</x:f>
        <x:v>1</x:v>
      </x:c>
      <x:c r="AI6" t="str">
        <x:f>IF(AC6="","",IF(AND(AH6&gt;0,AH6&lt;=1),"OK","CHECK"))</x:f>
        <x:v>OK</x:v>
      </x:c>
      <x:c r="AJ6" t="str">
        <x:f>IF(AC6="","",IF(AND(Y6="OK",Z6="OK",AA6="OK",AF6="OK",AG6="OK",AI6="OK",R6&gt;0,S6&gt;0),"OK","CHECK"))</x:f>
        <x:v>OK</x:v>
      </x:c>
      <x:c r="AK6" t="str">
        <x:v>02_Supervisor_Log(4).xlsx</x:v>
      </x:c>
      <x:c r="AL6" t="str">
        <x:v>ENH-20260830-01</x:v>
      </x:c>
      <x:c r="AM6" t="str">
        <x:v>Active</x:v>
      </x:c>
      <x:c r="AN6" t="str">
        <x:f>IF(A6="","",IF(AB6="OK","LOAD","QUARANTINE"))</x:f>
        <x:v>LOAD</x:v>
      </x:c>
    </x:row>
    <x:row r="7">
      <x:c r="A7" t="s">
        <x:v>111</x:v>
      </x:c>
      <x:c r="B7" t="s">
        <x:v>102</x:v>
      </x:c>
      <x:c r="C7" t="s">
        <x:v>103</x:v>
      </x:c>
      <x:c r="D7" t="s">
        <x:v>44</x:v>
      </x:c>
      <x:c r="E7">
        <x:v>21</x:v>
      </x:c>
      <x:c r="F7">
        <x:v>45951</x:v>
      </x:c>
      <x:c r="G7" t="s">
        <x:v>45</x:v>
      </x:c>
      <x:c r="H7" t="s">
        <x:v>48</x:v>
      </x:c>
      <x:c r="I7" t="s">
        <x:v>112</x:v>
      </x:c>
      <x:c r="J7" t="s">
        <x:v>105</x:v>
      </x:c>
      <x:c r="K7" t="s">
        <x:v>106</x:v>
      </x:c>
      <x:c r="N7" t="s">
        <x:v>107</x:v>
      </x:c>
      <x:c r="Q7" t="n">
        <x:f>IF(AC7="","",AD7)</x:f>
        <x:v>0.19</x:v>
      </x:c>
      <x:c r="R7" t="n">
        <x:f>IF(B7="","",SUMIF(ProductionConfiguration!$B$5:$B$914,C7,ProductionConfiguration!$S$5:$S$914))</x:f>
        <x:v>20</x:v>
      </x:c>
      <x:c r="S7" t="n">
        <x:f>IF(B7="","",IF(K7="Line",R7,IF(K7="Section",SUMIFS(ProductionConfiguration!$S$5:$S$914,ProductionConfiguration!$B$5:$B$914,C7,ProductionConfiguration!$I$5:$I$914,L7),IF(K7="Cavity",IF(M7=1,SUMIFS(ProductionConfiguration!$P$5:$P$914,ProductionConfiguration!$B$5:$B$914,C7,ProductionConfiguration!$I$5:$I$914,L7),IF(M7=2,SUMIFS(ProductionConfiguration!$Q$5:$Q$914,ProductionConfiguration!$B$5:$B$914,C7,ProductionConfiguration!$I$5:$I$914,L7),SUMIFS(ProductionConfiguration!$R$5:$R$914,ProductionConfiguration!$B$5:$B$914,C7,ProductionConfiguration!$I$5:$I$914,L7))),0))))</x:f>
        <x:v>20</x:v>
      </x:c>
      <x:c r="T7">
        <x:f t="shared" si="0"/>
        <x:v>1</x:v>
      </x:c>
      <x:c r="U7">
        <x:f t="shared" si="1"/>
        <x:v>0.19</x:v>
      </x:c>
      <x:c r="V7" t="n">
        <x:f>IF(C7="","",SUMIF(DailyProduction!$Q$5:$Q$100,C7,DailyProduction!$J$5:$J$100))</x:f>
        <x:v>10</x:v>
      </x:c>
      <x:c r="W7">
        <x:f t="shared" si="2"/>
        <x:v>2280</x:v>
      </x:c>
      <x:c r="X7" t="s">
        <x:v>108</x:v>
      </x:c>
      <x:c r="Y7" t="str">
        <x:f>IF(B7="","",IF(COUNTIF(JobChange!$S$5:$S$100,B7)=1,"OK","CHECK"))</x:f>
        <x:v>OK</x:v>
      </x:c>
      <x:c r="Z7" t="str">
        <x:f t="shared" si="3"/>
        <x:v>OK</x:v>
      </x:c>
      <x:c r="AA7" t="str">
        <x:f t="shared" si="4"/>
        <x:v>OK</x:v>
      </x:c>
      <x:c r="AB7" t="str">
        <x:f t="shared" si="5">IF(A7="","",AJ7)</x:f>
        <x:v>OK</x:v>
      </x:c>
      <x:c r="AC7" t="str">
        <x:v>JCL-000003</x:v>
      </x:c>
      <x:c r="AD7" t="n">
        <x:f>IF(AC7="","",SUMIF(JobChangeLoss!$A$5:$A$1000,AC7,JobChangeLoss!$N$5:$N$1000))</x:f>
        <x:v>0.19</x:v>
      </x:c>
      <x:c r="AE7" t="str">
        <x:v>REFERENCE_ONLY_DO_NOT_SUM</x:v>
      </x:c>
      <x:c r="AF7" t="str">
        <x:f>IF(AC7="","",IF(AND(S7&gt;0,S7&lt;=R7),"OK","CHECK"))</x:f>
        <x:v>OK</x:v>
      </x:c>
      <x:c r="AG7" t="str">
        <x:f>IF(AC7="","",IF(K7="Line",IF(COUNTIF($AC$5:$AC$1000,AC7)=1,"OK","CHECK"),IF(K7="Section",IF(OR(COUNTIFS($AC$5:$AC$1000,AC7,$J$5:$J$1000,J7)&gt;1,COUNTIFS($AC$5:$AC$1000,AC7,$K$5:$K$1000,"Cavity",$L$5:$L$1000,L7)&gt;0,COUNTIFS($AC$5:$AC$1000,AC7,$K$5:$K$1000,"Line")&gt;0),"CHECK","OK"),IF(K7="Cavity",IF(OR(COUNTIFS($AC$5:$AC$1000,AC7,$J$5:$J$1000,J7)&gt;1,COUNTIFS($AC$5:$AC$1000,AC7,$K$5:$K$1000,"Section",$L$5:$L$1000,L7)&gt;0,COUNTIFS($AC$5:$AC$1000,AC7,$K$5:$K$1000,"Line")&gt;0),"CHECK","OK"),"CHECK"))))</x:f>
        <x:v>OK</x:v>
      </x:c>
      <x:c r="AH7" t="n">
        <x:f>IF(AC7="","",SUMIF($AC$5:$AC$1000,AC7,$T$5:$T$1000))</x:f>
        <x:v>1</x:v>
      </x:c>
      <x:c r="AI7" t="str">
        <x:f>IF(AC7="","",IF(AND(AH7&gt;0,AH7&lt;=1),"OK","CHECK"))</x:f>
        <x:v>OK</x:v>
      </x:c>
      <x:c r="AJ7" t="str">
        <x:f>IF(AC7="","",IF(AND(Y7="OK",Z7="OK",AA7="OK",AF7="OK",AG7="OK",AI7="OK",R7&gt;0,S7&gt;0),"OK","CHECK"))</x:f>
        <x:v>OK</x:v>
      </x:c>
      <x:c r="AK7" t="str">
        <x:v>02_Supervisor_Log(4).xlsx</x:v>
      </x:c>
      <x:c r="AL7" t="str">
        <x:v>ENH-20260830-01</x:v>
      </x:c>
      <x:c r="AM7" t="str">
        <x:v>Active</x:v>
      </x:c>
      <x:c r="AN7" t="str">
        <x:f>IF(A7="","",IF(AB7="OK","LOAD","QUARANTINE"))</x:f>
        <x:v>LOAD</x:v>
      </x:c>
    </x:row>
    <x:row r="8">
      <x:c r="A8" t="s">
        <x:v>113</x:v>
      </x:c>
      <x:c r="B8" t="s">
        <x:v>114</x:v>
      </x:c>
      <x:c r="C8" t="s">
        <x:v>115</x:v>
      </x:c>
      <x:c r="D8" t="s">
        <x:v>44</x:v>
      </x:c>
      <x:c r="E8">
        <x:v>21</x:v>
      </x:c>
      <x:c r="F8">
        <x:v>45955</x:v>
      </x:c>
      <x:c r="G8" t="s">
        <x:v>45</x:v>
      </x:c>
      <x:c r="H8" t="s">
        <x:v>52</x:v>
      </x:c>
      <x:c r="I8" t="s">
        <x:v>104</x:v>
      </x:c>
      <x:c r="J8" t="s">
        <x:v>105</x:v>
      </x:c>
      <x:c r="K8" t="s">
        <x:v>106</x:v>
      </x:c>
      <x:c r="N8" t="s">
        <x:v>107</x:v>
      </x:c>
      <x:c r="Q8" t="n">
        <x:f>IF(AC8="","",AD8)</x:f>
        <x:v>3.15</x:v>
      </x:c>
      <x:c r="R8" t="n">
        <x:f>IF(B8="","",SUMIF(ProductionConfiguration!$B$5:$B$914,C8,ProductionConfiguration!$S$5:$S$914))</x:f>
        <x:v>30</x:v>
      </x:c>
      <x:c r="S8" t="n">
        <x:f>IF(B8="","",IF(K8="Line",R8,IF(K8="Section",SUMIFS(ProductionConfiguration!$S$5:$S$914,ProductionConfiguration!$B$5:$B$914,C8,ProductionConfiguration!$I$5:$I$914,L8),IF(K8="Cavity",IF(M8=1,SUMIFS(ProductionConfiguration!$P$5:$P$914,ProductionConfiguration!$B$5:$B$914,C8,ProductionConfiguration!$I$5:$I$914,L8),IF(M8=2,SUMIFS(ProductionConfiguration!$Q$5:$Q$914,ProductionConfiguration!$B$5:$B$914,C8,ProductionConfiguration!$I$5:$I$914,L8),SUMIFS(ProductionConfiguration!$R$5:$R$914,ProductionConfiguration!$B$5:$B$914,C8,ProductionConfiguration!$I$5:$I$914,L8))),0))))</x:f>
        <x:v>30</x:v>
      </x:c>
      <x:c r="T8">
        <x:f t="shared" si="0"/>
        <x:v>1</x:v>
      </x:c>
      <x:c r="U8">
        <x:f t="shared" si="1"/>
        <x:v>3.15</x:v>
      </x:c>
      <x:c r="V8" t="n">
        <x:f>IF(C8="","",SUMIF(DailyProduction!$Q$5:$Q$100,C8,DailyProduction!$J$5:$J$100))</x:f>
        <x:v>11</x:v>
      </x:c>
      <x:c r="W8">
        <x:f t="shared" si="2"/>
        <x:v>62370</x:v>
      </x:c>
      <x:c r="X8" t="s">
        <x:v>108</x:v>
      </x:c>
      <x:c r="Y8" t="str">
        <x:f>IF(B8="","",IF(COUNTIF(JobChange!$S$5:$S$100,B8)=1,"OK","CHECK"))</x:f>
        <x:v>OK</x:v>
      </x:c>
      <x:c r="Z8" t="str">
        <x:f t="shared" si="3"/>
        <x:v>OK</x:v>
      </x:c>
      <x:c r="AA8" t="str">
        <x:f t="shared" si="4"/>
        <x:v>OK</x:v>
      </x:c>
      <x:c r="AB8" t="str">
        <x:f t="shared" si="5">IF(A8="","",AJ8)</x:f>
        <x:v>OK</x:v>
      </x:c>
      <x:c r="AC8" t="str">
        <x:v>JCL-000004</x:v>
      </x:c>
      <x:c r="AD8" t="n">
        <x:f>IF(AC8="","",SUMIF(JobChangeLoss!$A$5:$A$1000,AC8,JobChangeLoss!$N$5:$N$1000))</x:f>
        <x:v>3.15</x:v>
      </x:c>
      <x:c r="AE8" t="str">
        <x:v>REFERENCE_ONLY_DO_NOT_SUM</x:v>
      </x:c>
      <x:c r="AF8" t="str">
        <x:f>IF(AC8="","",IF(AND(S8&gt;0,S8&lt;=R8),"OK","CHECK"))</x:f>
        <x:v>OK</x:v>
      </x:c>
      <x:c r="AG8" t="str">
        <x:f>IF(AC8="","",IF(K8="Line",IF(COUNTIF($AC$5:$AC$1000,AC8)=1,"OK","CHECK"),IF(K8="Section",IF(OR(COUNTIFS($AC$5:$AC$1000,AC8,$J$5:$J$1000,J8)&gt;1,COUNTIFS($AC$5:$AC$1000,AC8,$K$5:$K$1000,"Cavity",$L$5:$L$1000,L8)&gt;0,COUNTIFS($AC$5:$AC$1000,AC8,$K$5:$K$1000,"Line")&gt;0),"CHECK","OK"),IF(K8="Cavity",IF(OR(COUNTIFS($AC$5:$AC$1000,AC8,$J$5:$J$1000,J8)&gt;1,COUNTIFS($AC$5:$AC$1000,AC8,$K$5:$K$1000,"Section",$L$5:$L$1000,L8)&gt;0,COUNTIFS($AC$5:$AC$1000,AC8,$K$5:$K$1000,"Line")&gt;0),"CHECK","OK"),"CHECK"))))</x:f>
        <x:v>OK</x:v>
      </x:c>
      <x:c r="AH8" t="n">
        <x:f>IF(AC8="","",SUMIF($AC$5:$AC$1000,AC8,$T$5:$T$1000))</x:f>
        <x:v>1</x:v>
      </x:c>
      <x:c r="AI8" t="str">
        <x:f>IF(AC8="","",IF(AND(AH8&gt;0,AH8&lt;=1),"OK","CHECK"))</x:f>
        <x:v>OK</x:v>
      </x:c>
      <x:c r="AJ8" t="str">
        <x:f>IF(AC8="","",IF(AND(Y8="OK",Z8="OK",AA8="OK",AF8="OK",AG8="OK",AI8="OK",R8&gt;0,S8&gt;0),"OK","CHECK"))</x:f>
        <x:v>OK</x:v>
      </x:c>
      <x:c r="AK8" t="str">
        <x:v>02_Supervisor_Log(4).xlsx</x:v>
      </x:c>
      <x:c r="AL8" t="str">
        <x:v>ENH-20260830-01</x:v>
      </x:c>
      <x:c r="AM8" t="str">
        <x:v>Active</x:v>
      </x:c>
      <x:c r="AN8" t="str">
        <x:f>IF(A8="","",IF(AB8="OK","LOAD","QUARANTINE"))</x:f>
        <x:v>LOAD</x:v>
      </x:c>
    </x:row>
    <x:row r="9">
      <x:c r="A9" t="s">
        <x:v>116</x:v>
      </x:c>
      <x:c r="B9" t="s">
        <x:v>114</x:v>
      </x:c>
      <x:c r="C9" t="s">
        <x:v>115</x:v>
      </x:c>
      <x:c r="D9" t="s">
        <x:v>44</x:v>
      </x:c>
      <x:c r="E9">
        <x:v>21</x:v>
      </x:c>
      <x:c r="F9">
        <x:v>45955</x:v>
      </x:c>
      <x:c r="G9" t="s">
        <x:v>45</x:v>
      </x:c>
      <x:c r="H9" t="s">
        <x:v>52</x:v>
      </x:c>
      <x:c r="I9" t="s">
        <x:v>110</x:v>
      </x:c>
      <x:c r="J9" t="s">
        <x:v>105</x:v>
      </x:c>
      <x:c r="K9" t="s">
        <x:v>106</x:v>
      </x:c>
      <x:c r="N9" t="s">
        <x:v>107</x:v>
      </x:c>
      <x:c r="Q9" t="n">
        <x:f>IF(AC9="","",AD9)</x:f>
        <x:v>1.2</x:v>
      </x:c>
      <x:c r="R9" t="n">
        <x:f>IF(B9="","",SUMIF(ProductionConfiguration!$B$5:$B$914,C9,ProductionConfiguration!$S$5:$S$914))</x:f>
        <x:v>30</x:v>
      </x:c>
      <x:c r="S9" t="n">
        <x:f>IF(B9="","",IF(K9="Line",R9,IF(K9="Section",SUMIFS(ProductionConfiguration!$S$5:$S$914,ProductionConfiguration!$B$5:$B$914,C9,ProductionConfiguration!$I$5:$I$914,L9),IF(K9="Cavity",IF(M9=1,SUMIFS(ProductionConfiguration!$P$5:$P$914,ProductionConfiguration!$B$5:$B$914,C9,ProductionConfiguration!$I$5:$I$914,L9),IF(M9=2,SUMIFS(ProductionConfiguration!$Q$5:$Q$914,ProductionConfiguration!$B$5:$B$914,C9,ProductionConfiguration!$I$5:$I$914,L9),SUMIFS(ProductionConfiguration!$R$5:$R$914,ProductionConfiguration!$B$5:$B$914,C9,ProductionConfiguration!$I$5:$I$914,L9))),0))))</x:f>
        <x:v>30</x:v>
      </x:c>
      <x:c r="T9">
        <x:f t="shared" si="0"/>
        <x:v>1</x:v>
      </x:c>
      <x:c r="U9">
        <x:f t="shared" si="1"/>
        <x:v>1.2</x:v>
      </x:c>
      <x:c r="V9" t="n">
        <x:f>IF(C9="","",SUMIF(DailyProduction!$Q$5:$Q$100,C9,DailyProduction!$J$5:$J$100))</x:f>
        <x:v>11</x:v>
      </x:c>
      <x:c r="W9">
        <x:f t="shared" si="2"/>
        <x:v>23760</x:v>
      </x:c>
      <x:c r="X9" t="s">
        <x:v>108</x:v>
      </x:c>
      <x:c r="Y9" t="str">
        <x:f>IF(B9="","",IF(COUNTIF(JobChange!$S$5:$S$100,B9)=1,"OK","CHECK"))</x:f>
        <x:v>OK</x:v>
      </x:c>
      <x:c r="Z9" t="str">
        <x:f t="shared" si="3"/>
        <x:v>OK</x:v>
      </x:c>
      <x:c r="AA9" t="str">
        <x:f t="shared" si="4"/>
        <x:v>OK</x:v>
      </x:c>
      <x:c r="AB9" t="str">
        <x:f t="shared" si="5">IF(A9="","",AJ9)</x:f>
        <x:v>OK</x:v>
      </x:c>
      <x:c r="AC9" t="str">
        <x:v>JCL-000005</x:v>
      </x:c>
      <x:c r="AD9" t="n">
        <x:f>IF(AC9="","",SUMIF(JobChangeLoss!$A$5:$A$1000,AC9,JobChangeLoss!$N$5:$N$1000))</x:f>
        <x:v>1.2</x:v>
      </x:c>
      <x:c r="AE9" t="str">
        <x:v>REFERENCE_ONLY_DO_NOT_SUM</x:v>
      </x:c>
      <x:c r="AF9" t="str">
        <x:f>IF(AC9="","",IF(AND(S9&gt;0,S9&lt;=R9),"OK","CHECK"))</x:f>
        <x:v>OK</x:v>
      </x:c>
      <x:c r="AG9" t="str">
        <x:f>IF(AC9="","",IF(K9="Line",IF(COUNTIF($AC$5:$AC$1000,AC9)=1,"OK","CHECK"),IF(K9="Section",IF(OR(COUNTIFS($AC$5:$AC$1000,AC9,$J$5:$J$1000,J9)&gt;1,COUNTIFS($AC$5:$AC$1000,AC9,$K$5:$K$1000,"Cavity",$L$5:$L$1000,L9)&gt;0,COUNTIFS($AC$5:$AC$1000,AC9,$K$5:$K$1000,"Line")&gt;0),"CHECK","OK"),IF(K9="Cavity",IF(OR(COUNTIFS($AC$5:$AC$1000,AC9,$J$5:$J$1000,J9)&gt;1,COUNTIFS($AC$5:$AC$1000,AC9,$K$5:$K$1000,"Section",$L$5:$L$1000,L9)&gt;0,COUNTIFS($AC$5:$AC$1000,AC9,$K$5:$K$1000,"Line")&gt;0),"CHECK","OK"),"CHECK"))))</x:f>
        <x:v>OK</x:v>
      </x:c>
      <x:c r="AH9" t="n">
        <x:f>IF(AC9="","",SUMIF($AC$5:$AC$1000,AC9,$T$5:$T$1000))</x:f>
        <x:v>1</x:v>
      </x:c>
      <x:c r="AI9" t="str">
        <x:f>IF(AC9="","",IF(AND(AH9&gt;0,AH9&lt;=1),"OK","CHECK"))</x:f>
        <x:v>OK</x:v>
      </x:c>
      <x:c r="AJ9" t="str">
        <x:f>IF(AC9="","",IF(AND(Y9="OK",Z9="OK",AA9="OK",AF9="OK",AG9="OK",AI9="OK",R9&gt;0,S9&gt;0),"OK","CHECK"))</x:f>
        <x:v>OK</x:v>
      </x:c>
      <x:c r="AK9" t="str">
        <x:v>02_Supervisor_Log(4).xlsx</x:v>
      </x:c>
      <x:c r="AL9" t="str">
        <x:v>ENH-20260830-01</x:v>
      </x:c>
      <x:c r="AM9" t="str">
        <x:v>Active</x:v>
      </x:c>
      <x:c r="AN9" t="str">
        <x:f>IF(A9="","",IF(AB9="OK","LOAD","QUARANTINE"))</x:f>
        <x:v>LOAD</x:v>
      </x:c>
    </x:row>
    <x:row r="10">
      <x:c r="A10" t="s">
        <x:v>117</x:v>
      </x:c>
      <x:c r="B10" t="s">
        <x:v>114</x:v>
      </x:c>
      <x:c r="C10" t="s">
        <x:v>115</x:v>
      </x:c>
      <x:c r="D10" t="s">
        <x:v>44</x:v>
      </x:c>
      <x:c r="E10">
        <x:v>21</x:v>
      </x:c>
      <x:c r="F10">
        <x:v>45955</x:v>
      </x:c>
      <x:c r="G10" t="s">
        <x:v>45</x:v>
      </x:c>
      <x:c r="H10" t="s">
        <x:v>52</x:v>
      </x:c>
      <x:c r="I10" t="s">
        <x:v>112</x:v>
      </x:c>
      <x:c r="J10" t="s">
        <x:v>105</x:v>
      </x:c>
      <x:c r="K10" t="s">
        <x:v>106</x:v>
      </x:c>
      <x:c r="N10" t="s">
        <x:v>107</x:v>
      </x:c>
      <x:c r="Q10" t="n">
        <x:f>IF(AC10="","",AD10)</x:f>
        <x:v>0.1</x:v>
      </x:c>
      <x:c r="R10" t="n">
        <x:f>IF(B10="","",SUMIF(ProductionConfiguration!$B$5:$B$914,C10,ProductionConfiguration!$S$5:$S$914))</x:f>
        <x:v>30</x:v>
      </x:c>
      <x:c r="S10" t="n">
        <x:f>IF(B10="","",IF(K10="Line",R10,IF(K10="Section",SUMIFS(ProductionConfiguration!$S$5:$S$914,ProductionConfiguration!$B$5:$B$914,C10,ProductionConfiguration!$I$5:$I$914,L10),IF(K10="Cavity",IF(M10=1,SUMIFS(ProductionConfiguration!$P$5:$P$914,ProductionConfiguration!$B$5:$B$914,C10,ProductionConfiguration!$I$5:$I$914,L10),IF(M10=2,SUMIFS(ProductionConfiguration!$Q$5:$Q$914,ProductionConfiguration!$B$5:$B$914,C10,ProductionConfiguration!$I$5:$I$914,L10),SUMIFS(ProductionConfiguration!$R$5:$R$914,ProductionConfiguration!$B$5:$B$914,C10,ProductionConfiguration!$I$5:$I$914,L10))),0))))</x:f>
        <x:v>30</x:v>
      </x:c>
      <x:c r="T10">
        <x:f t="shared" si="0"/>
        <x:v>1</x:v>
      </x:c>
      <x:c r="U10">
        <x:f t="shared" si="1"/>
        <x:v>0.1</x:v>
      </x:c>
      <x:c r="V10" t="n">
        <x:f>IF(C10="","",SUMIF(DailyProduction!$Q$5:$Q$100,C10,DailyProduction!$J$5:$J$100))</x:f>
        <x:v>11</x:v>
      </x:c>
      <x:c r="W10">
        <x:f t="shared" si="2"/>
        <x:v>1980</x:v>
      </x:c>
      <x:c r="X10" t="s">
        <x:v>108</x:v>
      </x:c>
      <x:c r="Y10" t="str">
        <x:f>IF(B10="","",IF(COUNTIF(JobChange!$S$5:$S$100,B10)=1,"OK","CHECK"))</x:f>
        <x:v>OK</x:v>
      </x:c>
      <x:c r="Z10" t="str">
        <x:f t="shared" si="3"/>
        <x:v>OK</x:v>
      </x:c>
      <x:c r="AA10" t="str">
        <x:f t="shared" si="4"/>
        <x:v>OK</x:v>
      </x:c>
      <x:c r="AB10" t="str">
        <x:f t="shared" si="5">IF(A10="","",AJ10)</x:f>
        <x:v>OK</x:v>
      </x:c>
      <x:c r="AC10" t="str">
        <x:v>JCL-000006</x:v>
      </x:c>
      <x:c r="AD10" t="n">
        <x:f>IF(AC10="","",SUMIF(JobChangeLoss!$A$5:$A$1000,AC10,JobChangeLoss!$N$5:$N$1000))</x:f>
        <x:v>0.1</x:v>
      </x:c>
      <x:c r="AE10" t="str">
        <x:v>REFERENCE_ONLY_DO_NOT_SUM</x:v>
      </x:c>
      <x:c r="AF10" t="str">
        <x:f>IF(AC10="","",IF(AND(S10&gt;0,S10&lt;=R10),"OK","CHECK"))</x:f>
        <x:v>OK</x:v>
      </x:c>
      <x:c r="AG10" t="str">
        <x:f>IF(AC10="","",IF(K10="Line",IF(COUNTIF($AC$5:$AC$1000,AC10)=1,"OK","CHECK"),IF(K10="Section",IF(OR(COUNTIFS($AC$5:$AC$1000,AC10,$J$5:$J$1000,J10)&gt;1,COUNTIFS($AC$5:$AC$1000,AC10,$K$5:$K$1000,"Cavity",$L$5:$L$1000,L10)&gt;0,COUNTIFS($AC$5:$AC$1000,AC10,$K$5:$K$1000,"Line")&gt;0),"CHECK","OK"),IF(K10="Cavity",IF(OR(COUNTIFS($AC$5:$AC$1000,AC10,$J$5:$J$1000,J10)&gt;1,COUNTIFS($AC$5:$AC$1000,AC10,$K$5:$K$1000,"Section",$L$5:$L$1000,L10)&gt;0,COUNTIFS($AC$5:$AC$1000,AC10,$K$5:$K$1000,"Line")&gt;0),"CHECK","OK"),"CHECK"))))</x:f>
        <x:v>OK</x:v>
      </x:c>
      <x:c r="AH10" t="n">
        <x:f>IF(AC10="","",SUMIF($AC$5:$AC$1000,AC10,$T$5:$T$1000))</x:f>
        <x:v>1</x:v>
      </x:c>
      <x:c r="AI10" t="str">
        <x:f>IF(AC10="","",IF(AND(AH10&gt;0,AH10&lt;=1),"OK","CHECK"))</x:f>
        <x:v>OK</x:v>
      </x:c>
      <x:c r="AJ10" t="str">
        <x:f>IF(AC10="","",IF(AND(Y10="OK",Z10="OK",AA10="OK",AF10="OK",AG10="OK",AI10="OK",R10&gt;0,S10&gt;0),"OK","CHECK"))</x:f>
        <x:v>OK</x:v>
      </x:c>
      <x:c r="AK10" t="str">
        <x:v>02_Supervisor_Log(4).xlsx</x:v>
      </x:c>
      <x:c r="AL10" t="str">
        <x:v>ENH-20260830-01</x:v>
      </x:c>
      <x:c r="AM10" t="str">
        <x:v>Active</x:v>
      </x:c>
      <x:c r="AN10" t="str">
        <x:f>IF(A10="","",IF(AB10="OK","LOAD","QUARANTINE"))</x:f>
        <x:v>LOAD</x:v>
      </x:c>
    </x:row>
    <x:row r="11">
      <x:c r="A11" t="s">
        <x:v>118</x:v>
      </x:c>
      <x:c r="B11" t="s">
        <x:v>114</x:v>
      </x:c>
      <x:c r="C11" t="s">
        <x:v>115</x:v>
      </x:c>
      <x:c r="D11" t="s">
        <x:v>44</x:v>
      </x:c>
      <x:c r="E11">
        <x:v>21</x:v>
      </x:c>
      <x:c r="F11">
        <x:v>45955</x:v>
      </x:c>
      <x:c r="G11" t="s">
        <x:v>45</x:v>
      </x:c>
      <x:c r="H11" t="s">
        <x:v>52</x:v>
      </x:c>
      <x:c r="I11" t="s">
        <x:v>119</x:v>
      </x:c>
      <x:c r="J11" t="s">
        <x:v>105</x:v>
      </x:c>
      <x:c r="K11" t="s">
        <x:v>106</x:v>
      </x:c>
      <x:c r="N11" t="s">
        <x:v>53</x:v>
      </x:c>
      <x:c r="Q11" t="n">
        <x:f>IF(AC11="","",AD11)</x:f>
        <x:v>0.51</x:v>
      </x:c>
      <x:c r="R11" t="n">
        <x:f>IF(B11="","",SUMIF(ProductionConfiguration!$B$5:$B$914,C11,ProductionConfiguration!$S$5:$S$914))</x:f>
        <x:v>30</x:v>
      </x:c>
      <x:c r="S11" t="n">
        <x:f>IF(B11="","",IF(K11="Line",R11,IF(K11="Section",SUMIFS(ProductionConfiguration!$S$5:$S$914,ProductionConfiguration!$B$5:$B$914,C11,ProductionConfiguration!$I$5:$I$914,L11),IF(K11="Cavity",IF(M11=1,SUMIFS(ProductionConfiguration!$P$5:$P$914,ProductionConfiguration!$B$5:$B$914,C11,ProductionConfiguration!$I$5:$I$914,L11),IF(M11=2,SUMIFS(ProductionConfiguration!$Q$5:$Q$914,ProductionConfiguration!$B$5:$B$914,C11,ProductionConfiguration!$I$5:$I$914,L11),SUMIFS(ProductionConfiguration!$R$5:$R$914,ProductionConfiguration!$B$5:$B$914,C11,ProductionConfiguration!$I$5:$I$914,L11))),0))))</x:f>
        <x:v>30</x:v>
      </x:c>
      <x:c r="T11">
        <x:f t="shared" si="0"/>
        <x:v>1</x:v>
      </x:c>
      <x:c r="U11">
        <x:f t="shared" si="1"/>
        <x:v>0.51</x:v>
      </x:c>
      <x:c r="V11" t="n">
        <x:f>IF(C11="","",SUMIF(DailyProduction!$Q$5:$Q$100,C11,DailyProduction!$J$5:$J$100))</x:f>
        <x:v>11</x:v>
      </x:c>
      <x:c r="W11">
        <x:f t="shared" si="2"/>
        <x:v>10098</x:v>
      </x:c>
      <x:c r="X11" t="s">
        <x:v>108</x:v>
      </x:c>
      <x:c r="Y11" t="str">
        <x:f>IF(B11="","",IF(COUNTIF(JobChange!$S$5:$S$100,B11)=1,"OK","CHECK"))</x:f>
        <x:v>OK</x:v>
      </x:c>
      <x:c r="Z11" t="str">
        <x:f t="shared" si="3"/>
        <x:v>OK</x:v>
      </x:c>
      <x:c r="AA11" t="str">
        <x:f t="shared" si="4"/>
        <x:v>OK</x:v>
      </x:c>
      <x:c r="AB11" t="str">
        <x:f t="shared" si="5">IF(A11="","",AJ11)</x:f>
        <x:v>OK</x:v>
      </x:c>
      <x:c r="AC11" t="str">
        <x:v>JCL-000007</x:v>
      </x:c>
      <x:c r="AD11" t="n">
        <x:f>IF(AC11="","",SUMIF(JobChangeLoss!$A$5:$A$1000,AC11,JobChangeLoss!$N$5:$N$1000))</x:f>
        <x:v>0.51</x:v>
      </x:c>
      <x:c r="AE11" t="str">
        <x:v>REFERENCE_ONLY_DO_NOT_SUM</x:v>
      </x:c>
      <x:c r="AF11" t="str">
        <x:f>IF(AC11="","",IF(AND(S11&gt;0,S11&lt;=R11),"OK","CHECK"))</x:f>
        <x:v>OK</x:v>
      </x:c>
      <x:c r="AG11" t="str">
        <x:f>IF(AC11="","",IF(K11="Line",IF(COUNTIF($AC$5:$AC$1000,AC11)=1,"OK","CHECK"),IF(K11="Section",IF(OR(COUNTIFS($AC$5:$AC$1000,AC11,$J$5:$J$1000,J11)&gt;1,COUNTIFS($AC$5:$AC$1000,AC11,$K$5:$K$1000,"Cavity",$L$5:$L$1000,L11)&gt;0,COUNTIFS($AC$5:$AC$1000,AC11,$K$5:$K$1000,"Line")&gt;0),"CHECK","OK"),IF(K11="Cavity",IF(OR(COUNTIFS($AC$5:$AC$1000,AC11,$J$5:$J$1000,J11)&gt;1,COUNTIFS($AC$5:$AC$1000,AC11,$K$5:$K$1000,"Section",$L$5:$L$1000,L11)&gt;0,COUNTIFS($AC$5:$AC$1000,AC11,$K$5:$K$1000,"Line")&gt;0),"CHECK","OK"),"CHECK"))))</x:f>
        <x:v>OK</x:v>
      </x:c>
      <x:c r="AH11" t="n">
        <x:f>IF(AC11="","",SUMIF($AC$5:$AC$1000,AC11,$T$5:$T$1000))</x:f>
        <x:v>1</x:v>
      </x:c>
      <x:c r="AI11" t="str">
        <x:f>IF(AC11="","",IF(AND(AH11&gt;0,AH11&lt;=1),"OK","CHECK"))</x:f>
        <x:v>OK</x:v>
      </x:c>
      <x:c r="AJ11" t="str">
        <x:f>IF(AC11="","",IF(AND(Y11="OK",Z11="OK",AA11="OK",AF11="OK",AG11="OK",AI11="OK",R11&gt;0,S11&gt;0),"OK","CHECK"))</x:f>
        <x:v>OK</x:v>
      </x:c>
      <x:c r="AK11" t="str">
        <x:v>02_Supervisor_Log(4).xlsx</x:v>
      </x:c>
      <x:c r="AL11" t="str">
        <x:v>ENH-20260830-01</x:v>
      </x:c>
      <x:c r="AM11" t="str">
        <x:v>Active</x:v>
      </x:c>
      <x:c r="AN11" t="str">
        <x:f>IF(A11="","",IF(AB11="OK","LOAD","QUARANTINE"))</x:f>
        <x:v>LOAD</x:v>
      </x:c>
    </x:row>
    <x:row r="12">
      <x:c r="A12" t="s">
        <x:v>120</x:v>
      </x:c>
      <x:c r="B12" t="s">
        <x:v>121</x:v>
      </x:c>
      <x:c r="C12" t="s">
        <x:v>122</x:v>
      </x:c>
      <x:c r="D12" t="s">
        <x:v>44</x:v>
      </x:c>
      <x:c r="E12">
        <x:v>22</x:v>
      </x:c>
      <x:c r="F12">
        <x:v>45950</x:v>
      </x:c>
      <x:c r="G12" t="s">
        <x:v>45</x:v>
      </x:c>
      <x:c r="H12" t="s">
        <x:v>57</x:v>
      </x:c>
      <x:c r="I12" t="s">
        <x:v>104</x:v>
      </x:c>
      <x:c r="J12" t="s">
        <x:v>123</x:v>
      </x:c>
      <x:c r="K12" t="s">
        <x:v>106</x:v>
      </x:c>
      <x:c r="N12" t="s">
        <x:v>107</x:v>
      </x:c>
      <x:c r="Q12" t="n">
        <x:f>IF(AC12="","",AD12)</x:f>
        <x:v>6.84</x:v>
      </x:c>
      <x:c r="R12" t="n">
        <x:f>IF(B12="","",SUMIF(ProductionConfiguration!$B$5:$B$914,C12,ProductionConfiguration!$S$5:$S$914))</x:f>
        <x:v>20</x:v>
      </x:c>
      <x:c r="S12" t="n">
        <x:f>IF(B12="","",IF(K12="Line",R12,IF(K12="Section",SUMIFS(ProductionConfiguration!$S$5:$S$914,ProductionConfiguration!$B$5:$B$914,C12,ProductionConfiguration!$I$5:$I$914,L12),IF(K12="Cavity",IF(M12=1,SUMIFS(ProductionConfiguration!$P$5:$P$914,ProductionConfiguration!$B$5:$B$914,C12,ProductionConfiguration!$I$5:$I$914,L12),IF(M12=2,SUMIFS(ProductionConfiguration!$Q$5:$Q$914,ProductionConfiguration!$B$5:$B$914,C12,ProductionConfiguration!$I$5:$I$914,L12),SUMIFS(ProductionConfiguration!$R$5:$R$914,ProductionConfiguration!$B$5:$B$914,C12,ProductionConfiguration!$I$5:$I$914,L12))),0))))</x:f>
        <x:v>20</x:v>
      </x:c>
      <x:c r="T12">
        <x:f t="shared" si="0"/>
        <x:v>1</x:v>
      </x:c>
      <x:c r="U12">
        <x:f t="shared" si="1"/>
        <x:v>6.84</x:v>
      </x:c>
      <x:c r="V12" t="n">
        <x:f>IF(C12="","",SUMIF(DailyProduction!$Q$5:$Q$100,C12,DailyProduction!$J$5:$J$100))</x:f>
        <x:v>10</x:v>
      </x:c>
      <x:c r="W12">
        <x:f t="shared" si="2"/>
        <x:v>82080</x:v>
      </x:c>
      <x:c r="X12" t="s">
        <x:v>108</x:v>
      </x:c>
      <x:c r="Y12" t="str">
        <x:f>IF(B12="","",IF(COUNTIF(JobChange!$S$5:$S$100,B12)=1,"OK","CHECK"))</x:f>
        <x:v>OK</x:v>
      </x:c>
      <x:c r="Z12" t="str">
        <x:f t="shared" si="3"/>
        <x:v>OK</x:v>
      </x:c>
      <x:c r="AA12" t="str">
        <x:f t="shared" si="4"/>
        <x:v>OK</x:v>
      </x:c>
      <x:c r="AB12" t="str">
        <x:f t="shared" si="5">IF(A12="","",AJ12)</x:f>
        <x:v>OK</x:v>
      </x:c>
      <x:c r="AC12" t="str">
        <x:v>JCL-000008</x:v>
      </x:c>
      <x:c r="AD12" t="n">
        <x:f>IF(AC12="","",SUMIF(JobChangeLoss!$A$5:$A$1000,AC12,JobChangeLoss!$N$5:$N$1000))</x:f>
        <x:v>6.84</x:v>
      </x:c>
      <x:c r="AE12" t="str">
        <x:v>REFERENCE_ONLY_DO_NOT_SUM</x:v>
      </x:c>
      <x:c r="AF12" t="str">
        <x:f>IF(AC12="","",IF(AND(S12&gt;0,S12&lt;=R12),"OK","CHECK"))</x:f>
        <x:v>OK</x:v>
      </x:c>
      <x:c r="AG12" t="str">
        <x:f>IF(AC12="","",IF(K12="Line",IF(COUNTIF($AC$5:$AC$1000,AC12)=1,"OK","CHECK"),IF(K12="Section",IF(OR(COUNTIFS($AC$5:$AC$1000,AC12,$J$5:$J$1000,J12)&gt;1,COUNTIFS($AC$5:$AC$1000,AC12,$K$5:$K$1000,"Cavity",$L$5:$L$1000,L12)&gt;0,COUNTIFS($AC$5:$AC$1000,AC12,$K$5:$K$1000,"Line")&gt;0),"CHECK","OK"),IF(K12="Cavity",IF(OR(COUNTIFS($AC$5:$AC$1000,AC12,$J$5:$J$1000,J12)&gt;1,COUNTIFS($AC$5:$AC$1000,AC12,$K$5:$K$1000,"Section",$L$5:$L$1000,L12)&gt;0,COUNTIFS($AC$5:$AC$1000,AC12,$K$5:$K$1000,"Line")&gt;0),"CHECK","OK"),"CHECK"))))</x:f>
        <x:v>OK</x:v>
      </x:c>
      <x:c r="AH12" t="n">
        <x:f>IF(AC12="","",SUMIF($AC$5:$AC$1000,AC12,$T$5:$T$1000))</x:f>
        <x:v>1</x:v>
      </x:c>
      <x:c r="AI12" t="str">
        <x:f>IF(AC12="","",IF(AND(AH12&gt;0,AH12&lt;=1),"OK","CHECK"))</x:f>
        <x:v>OK</x:v>
      </x:c>
      <x:c r="AJ12" t="str">
        <x:f>IF(AC12="","",IF(AND(Y12="OK",Z12="OK",AA12="OK",AF12="OK",AG12="OK",AI12="OK",R12&gt;0,S12&gt;0),"OK","CHECK"))</x:f>
        <x:v>OK</x:v>
      </x:c>
      <x:c r="AK12" t="str">
        <x:v>02_Supervisor_Log(4).xlsx</x:v>
      </x:c>
      <x:c r="AL12" t="str">
        <x:v>ENH-20260830-01</x:v>
      </x:c>
      <x:c r="AM12" t="str">
        <x:v>Active</x:v>
      </x:c>
      <x:c r="AN12" t="str">
        <x:f>IF(A12="","",IF(AB12="OK","LOAD","QUARANTINE"))</x:f>
        <x:v>LOAD</x:v>
      </x:c>
    </x:row>
    <x:row r="13">
      <x:c r="A13" t="s">
        <x:v>124</x:v>
      </x:c>
      <x:c r="B13" t="s">
        <x:v>121</x:v>
      </x:c>
      <x:c r="C13" t="s">
        <x:v>122</x:v>
      </x:c>
      <x:c r="D13" t="s">
        <x:v>44</x:v>
      </x:c>
      <x:c r="E13">
        <x:v>22</x:v>
      </x:c>
      <x:c r="F13">
        <x:v>45950</x:v>
      </x:c>
      <x:c r="G13" t="s">
        <x:v>45</x:v>
      </x:c>
      <x:c r="H13" t="s">
        <x:v>57</x:v>
      </x:c>
      <x:c r="I13" t="s">
        <x:v>110</x:v>
      </x:c>
      <x:c r="J13" t="s">
        <x:v>123</x:v>
      </x:c>
      <x:c r="K13" t="s">
        <x:v>106</x:v>
      </x:c>
      <x:c r="N13" t="s">
        <x:v>107</x:v>
      </x:c>
      <x:c r="Q13" t="n">
        <x:f>IF(AC13="","",AD13)</x:f>
        <x:v>1.63</x:v>
      </x:c>
      <x:c r="R13" t="n">
        <x:f>IF(B13="","",SUMIF(ProductionConfiguration!$B$5:$B$914,C13,ProductionConfiguration!$S$5:$S$914))</x:f>
        <x:v>20</x:v>
      </x:c>
      <x:c r="S13" t="n">
        <x:f>IF(B13="","",IF(K13="Line",R13,IF(K13="Section",SUMIFS(ProductionConfiguration!$S$5:$S$914,ProductionConfiguration!$B$5:$B$914,C13,ProductionConfiguration!$I$5:$I$914,L13),IF(K13="Cavity",IF(M13=1,SUMIFS(ProductionConfiguration!$P$5:$P$914,ProductionConfiguration!$B$5:$B$914,C13,ProductionConfiguration!$I$5:$I$914,L13),IF(M13=2,SUMIFS(ProductionConfiguration!$Q$5:$Q$914,ProductionConfiguration!$B$5:$B$914,C13,ProductionConfiguration!$I$5:$I$914,L13),SUMIFS(ProductionConfiguration!$R$5:$R$914,ProductionConfiguration!$B$5:$B$914,C13,ProductionConfiguration!$I$5:$I$914,L13))),0))))</x:f>
        <x:v>20</x:v>
      </x:c>
      <x:c r="T13">
        <x:f t="shared" si="0"/>
        <x:v>1</x:v>
      </x:c>
      <x:c r="U13">
        <x:f t="shared" si="1"/>
        <x:v>1.63</x:v>
      </x:c>
      <x:c r="V13" t="n">
        <x:f>IF(C13="","",SUMIF(DailyProduction!$Q$5:$Q$100,C13,DailyProduction!$J$5:$J$100))</x:f>
        <x:v>10</x:v>
      </x:c>
      <x:c r="W13">
        <x:f t="shared" si="2"/>
        <x:v>19560</x:v>
      </x:c>
      <x:c r="X13" t="s">
        <x:v>108</x:v>
      </x:c>
      <x:c r="Y13" t="str">
        <x:f>IF(B13="","",IF(COUNTIF(JobChange!$S$5:$S$100,B13)=1,"OK","CHECK"))</x:f>
        <x:v>OK</x:v>
      </x:c>
      <x:c r="Z13" t="str">
        <x:f t="shared" si="3"/>
        <x:v>OK</x:v>
      </x:c>
      <x:c r="AA13" t="str">
        <x:f t="shared" si="4"/>
        <x:v>OK</x:v>
      </x:c>
      <x:c r="AB13" t="str">
        <x:f t="shared" si="5">IF(A13="","",AJ13)</x:f>
        <x:v>OK</x:v>
      </x:c>
      <x:c r="AC13" t="str">
        <x:v>JCL-000009</x:v>
      </x:c>
      <x:c r="AD13" t="n">
        <x:f>IF(AC13="","",SUMIF(JobChangeLoss!$A$5:$A$1000,AC13,JobChangeLoss!$N$5:$N$1000))</x:f>
        <x:v>1.63</x:v>
      </x:c>
      <x:c r="AE13" t="str">
        <x:v>REFERENCE_ONLY_DO_NOT_SUM</x:v>
      </x:c>
      <x:c r="AF13" t="str">
        <x:f>IF(AC13="","",IF(AND(S13&gt;0,S13&lt;=R13),"OK","CHECK"))</x:f>
        <x:v>OK</x:v>
      </x:c>
      <x:c r="AG13" t="str">
        <x:f>IF(AC13="","",IF(K13="Line",IF(COUNTIF($AC$5:$AC$1000,AC13)=1,"OK","CHECK"),IF(K13="Section",IF(OR(COUNTIFS($AC$5:$AC$1000,AC13,$J$5:$J$1000,J13)&gt;1,COUNTIFS($AC$5:$AC$1000,AC13,$K$5:$K$1000,"Cavity",$L$5:$L$1000,L13)&gt;0,COUNTIFS($AC$5:$AC$1000,AC13,$K$5:$K$1000,"Line")&gt;0),"CHECK","OK"),IF(K13="Cavity",IF(OR(COUNTIFS($AC$5:$AC$1000,AC13,$J$5:$J$1000,J13)&gt;1,COUNTIFS($AC$5:$AC$1000,AC13,$K$5:$K$1000,"Section",$L$5:$L$1000,L13)&gt;0,COUNTIFS($AC$5:$AC$1000,AC13,$K$5:$K$1000,"Line")&gt;0),"CHECK","OK"),"CHECK"))))</x:f>
        <x:v>OK</x:v>
      </x:c>
      <x:c r="AH13" t="n">
        <x:f>IF(AC13="","",SUMIF($AC$5:$AC$1000,AC13,$T$5:$T$1000))</x:f>
        <x:v>1</x:v>
      </x:c>
      <x:c r="AI13" t="str">
        <x:f>IF(AC13="","",IF(AND(AH13&gt;0,AH13&lt;=1),"OK","CHECK"))</x:f>
        <x:v>OK</x:v>
      </x:c>
      <x:c r="AJ13" t="str">
        <x:f>IF(AC13="","",IF(AND(Y13="OK",Z13="OK",AA13="OK",AF13="OK",AG13="OK",AI13="OK",R13&gt;0,S13&gt;0),"OK","CHECK"))</x:f>
        <x:v>OK</x:v>
      </x:c>
      <x:c r="AK13" t="str">
        <x:v>02_Supervisor_Log(4).xlsx</x:v>
      </x:c>
      <x:c r="AL13" t="str">
        <x:v>ENH-20260830-01</x:v>
      </x:c>
      <x:c r="AM13" t="str">
        <x:v>Active</x:v>
      </x:c>
      <x:c r="AN13" t="str">
        <x:f>IF(A13="","",IF(AB13="OK","LOAD","QUARANTINE"))</x:f>
        <x:v>LOAD</x:v>
      </x:c>
    </x:row>
    <x:row r="14">
      <x:c r="A14" t="s">
        <x:v>125</x:v>
      </x:c>
      <x:c r="B14" t="s">
        <x:v>121</x:v>
      </x:c>
      <x:c r="C14" t="s">
        <x:v>122</x:v>
      </x:c>
      <x:c r="D14" t="s">
        <x:v>44</x:v>
      </x:c>
      <x:c r="E14">
        <x:v>22</x:v>
      </x:c>
      <x:c r="F14">
        <x:v>45950</x:v>
      </x:c>
      <x:c r="G14" t="s">
        <x:v>45</x:v>
      </x:c>
      <x:c r="H14" t="s">
        <x:v>57</x:v>
      </x:c>
      <x:c r="I14" t="s">
        <x:v>112</x:v>
      </x:c>
      <x:c r="J14" t="s">
        <x:v>123</x:v>
      </x:c>
      <x:c r="K14" t="s">
        <x:v>106</x:v>
      </x:c>
      <x:c r="N14" t="s">
        <x:v>107</x:v>
      </x:c>
      <x:c r="Q14" t="n">
        <x:f>IF(AC14="","",AD14)</x:f>
        <x:v>0.78</x:v>
      </x:c>
      <x:c r="R14" t="n">
        <x:f>IF(B14="","",SUMIF(ProductionConfiguration!$B$5:$B$914,C14,ProductionConfiguration!$S$5:$S$914))</x:f>
        <x:v>20</x:v>
      </x:c>
      <x:c r="S14" t="n">
        <x:f>IF(B14="","",IF(K14="Line",R14,IF(K14="Section",SUMIFS(ProductionConfiguration!$S$5:$S$914,ProductionConfiguration!$B$5:$B$914,C14,ProductionConfiguration!$I$5:$I$914,L14),IF(K14="Cavity",IF(M14=1,SUMIFS(ProductionConfiguration!$P$5:$P$914,ProductionConfiguration!$B$5:$B$914,C14,ProductionConfiguration!$I$5:$I$914,L14),IF(M14=2,SUMIFS(ProductionConfiguration!$Q$5:$Q$914,ProductionConfiguration!$B$5:$B$914,C14,ProductionConfiguration!$I$5:$I$914,L14),SUMIFS(ProductionConfiguration!$R$5:$R$914,ProductionConfiguration!$B$5:$B$914,C14,ProductionConfiguration!$I$5:$I$914,L14))),0))))</x:f>
        <x:v>20</x:v>
      </x:c>
      <x:c r="T14">
        <x:f t="shared" si="0"/>
        <x:v>1</x:v>
      </x:c>
      <x:c r="U14">
        <x:f t="shared" si="1"/>
        <x:v>0.78</x:v>
      </x:c>
      <x:c r="V14" t="n">
        <x:f>IF(C14="","",SUMIF(DailyProduction!$Q$5:$Q$100,C14,DailyProduction!$J$5:$J$100))</x:f>
        <x:v>10</x:v>
      </x:c>
      <x:c r="W14">
        <x:f t="shared" si="2"/>
        <x:v>9360.0000000000018</x:v>
      </x:c>
      <x:c r="X14" t="s">
        <x:v>108</x:v>
      </x:c>
      <x:c r="Y14" t="str">
        <x:f>IF(B14="","",IF(COUNTIF(JobChange!$S$5:$S$100,B14)=1,"OK","CHECK"))</x:f>
        <x:v>OK</x:v>
      </x:c>
      <x:c r="Z14" t="str">
        <x:f t="shared" si="3"/>
        <x:v>OK</x:v>
      </x:c>
      <x:c r="AA14" t="str">
        <x:f t="shared" si="4"/>
        <x:v>OK</x:v>
      </x:c>
      <x:c r="AB14" t="str">
        <x:f t="shared" si="5">IF(A14="","",AJ14)</x:f>
        <x:v>OK</x:v>
      </x:c>
      <x:c r="AC14" t="str">
        <x:v>JCL-000010</x:v>
      </x:c>
      <x:c r="AD14" t="n">
        <x:f>IF(AC14="","",SUMIF(JobChangeLoss!$A$5:$A$1000,AC14,JobChangeLoss!$N$5:$N$1000))</x:f>
        <x:v>0.78</x:v>
      </x:c>
      <x:c r="AE14" t="str">
        <x:v>REFERENCE_ONLY_DO_NOT_SUM</x:v>
      </x:c>
      <x:c r="AF14" t="str">
        <x:f>IF(AC14="","",IF(AND(S14&gt;0,S14&lt;=R14),"OK","CHECK"))</x:f>
        <x:v>OK</x:v>
      </x:c>
      <x:c r="AG14" t="str">
        <x:f>IF(AC14="","",IF(K14="Line",IF(COUNTIF($AC$5:$AC$1000,AC14)=1,"OK","CHECK"),IF(K14="Section",IF(OR(COUNTIFS($AC$5:$AC$1000,AC14,$J$5:$J$1000,J14)&gt;1,COUNTIFS($AC$5:$AC$1000,AC14,$K$5:$K$1000,"Cavity",$L$5:$L$1000,L14)&gt;0,COUNTIFS($AC$5:$AC$1000,AC14,$K$5:$K$1000,"Line")&gt;0),"CHECK","OK"),IF(K14="Cavity",IF(OR(COUNTIFS($AC$5:$AC$1000,AC14,$J$5:$J$1000,J14)&gt;1,COUNTIFS($AC$5:$AC$1000,AC14,$K$5:$K$1000,"Section",$L$5:$L$1000,L14)&gt;0,COUNTIFS($AC$5:$AC$1000,AC14,$K$5:$K$1000,"Line")&gt;0),"CHECK","OK"),"CHECK"))))</x:f>
        <x:v>OK</x:v>
      </x:c>
      <x:c r="AH14" t="n">
        <x:f>IF(AC14="","",SUMIF($AC$5:$AC$1000,AC14,$T$5:$T$1000))</x:f>
        <x:v>1</x:v>
      </x:c>
      <x:c r="AI14" t="str">
        <x:f>IF(AC14="","",IF(AND(AH14&gt;0,AH14&lt;=1),"OK","CHECK"))</x:f>
        <x:v>OK</x:v>
      </x:c>
      <x:c r="AJ14" t="str">
        <x:f>IF(AC14="","",IF(AND(Y14="OK",Z14="OK",AA14="OK",AF14="OK",AG14="OK",AI14="OK",R14&gt;0,S14&gt;0),"OK","CHECK"))</x:f>
        <x:v>OK</x:v>
      </x:c>
      <x:c r="AK14" t="str">
        <x:v>02_Supervisor_Log(4).xlsx</x:v>
      </x:c>
      <x:c r="AL14" t="str">
        <x:v>ENH-20260830-01</x:v>
      </x:c>
      <x:c r="AM14" t="str">
        <x:v>Active</x:v>
      </x:c>
      <x:c r="AN14" t="str">
        <x:f>IF(A14="","",IF(AB14="OK","LOAD","QUARANTINE"))</x:f>
        <x:v>LOAD</x:v>
      </x:c>
    </x:row>
    <x:row r="15">
      <x:c r="A15" t="s">
        <x:v>126</x:v>
      </x:c>
      <x:c r="B15" t="s">
        <x:v>121</x:v>
      </x:c>
      <x:c r="C15" t="s">
        <x:v>122</x:v>
      </x:c>
      <x:c r="D15" t="s">
        <x:v>44</x:v>
      </x:c>
      <x:c r="E15">
        <x:v>22</x:v>
      </x:c>
      <x:c r="F15">
        <x:v>45950</x:v>
      </x:c>
      <x:c r="G15" t="s">
        <x:v>45</x:v>
      </x:c>
      <x:c r="H15" t="s">
        <x:v>57</x:v>
      </x:c>
      <x:c r="I15" t="s">
        <x:v>127</x:v>
      </x:c>
      <x:c r="J15" t="s">
        <x:v>123</x:v>
      </x:c>
      <x:c r="K15" t="s">
        <x:v>106</x:v>
      </x:c>
      <x:c r="N15" t="s">
        <x:v>59</x:v>
      </x:c>
      <x:c r="Q15" t="n">
        <x:f>IF(AC15="","",AD15)</x:f>
        <x:v>0.24</x:v>
      </x:c>
      <x:c r="R15" t="n">
        <x:f>IF(B15="","",SUMIF(ProductionConfiguration!$B$5:$B$914,C15,ProductionConfiguration!$S$5:$S$914))</x:f>
        <x:v>20</x:v>
      </x:c>
      <x:c r="S15" t="n">
        <x:f>IF(B15="","",IF(K15="Line",R15,IF(K15="Section",SUMIFS(ProductionConfiguration!$S$5:$S$914,ProductionConfiguration!$B$5:$B$914,C15,ProductionConfiguration!$I$5:$I$914,L15),IF(K15="Cavity",IF(M15=1,SUMIFS(ProductionConfiguration!$P$5:$P$914,ProductionConfiguration!$B$5:$B$914,C15,ProductionConfiguration!$I$5:$I$914,L15),IF(M15=2,SUMIFS(ProductionConfiguration!$Q$5:$Q$914,ProductionConfiguration!$B$5:$B$914,C15,ProductionConfiguration!$I$5:$I$914,L15),SUMIFS(ProductionConfiguration!$R$5:$R$914,ProductionConfiguration!$B$5:$B$914,C15,ProductionConfiguration!$I$5:$I$914,L15))),0))))</x:f>
        <x:v>20</x:v>
      </x:c>
      <x:c r="T15">
        <x:f t="shared" si="0"/>
        <x:v>1</x:v>
      </x:c>
      <x:c r="U15">
        <x:f t="shared" si="1"/>
        <x:v>0.24</x:v>
      </x:c>
      <x:c r="V15" t="n">
        <x:f>IF(C15="","",SUMIF(DailyProduction!$Q$5:$Q$100,C15,DailyProduction!$J$5:$J$100))</x:f>
        <x:v>10</x:v>
      </x:c>
      <x:c r="W15">
        <x:f t="shared" si="2"/>
        <x:v>2880</x:v>
      </x:c>
      <x:c r="X15" t="s">
        <x:v>108</x:v>
      </x:c>
      <x:c r="Y15" t="str">
        <x:f>IF(B15="","",IF(COUNTIF(JobChange!$S$5:$S$100,B15)=1,"OK","CHECK"))</x:f>
        <x:v>OK</x:v>
      </x:c>
      <x:c r="Z15" t="str">
        <x:f t="shared" si="3"/>
        <x:v>OK</x:v>
      </x:c>
      <x:c r="AA15" t="str">
        <x:f t="shared" si="4"/>
        <x:v>OK</x:v>
      </x:c>
      <x:c r="AB15" t="str">
        <x:f t="shared" si="5">IF(A15="","",AJ15)</x:f>
        <x:v>OK</x:v>
      </x:c>
      <x:c r="AC15" t="str">
        <x:v>JCL-000011</x:v>
      </x:c>
      <x:c r="AD15" t="n">
        <x:f>IF(AC15="","",SUMIF(JobChangeLoss!$A$5:$A$1000,AC15,JobChangeLoss!$N$5:$N$1000))</x:f>
        <x:v>0.24</x:v>
      </x:c>
      <x:c r="AE15" t="str">
        <x:v>REFERENCE_ONLY_DO_NOT_SUM</x:v>
      </x:c>
      <x:c r="AF15" t="str">
        <x:f>IF(AC15="","",IF(AND(S15&gt;0,S15&lt;=R15),"OK","CHECK"))</x:f>
        <x:v>OK</x:v>
      </x:c>
      <x:c r="AG15" t="str">
        <x:f>IF(AC15="","",IF(K15="Line",IF(COUNTIF($AC$5:$AC$1000,AC15)=1,"OK","CHECK"),IF(K15="Section",IF(OR(COUNTIFS($AC$5:$AC$1000,AC15,$J$5:$J$1000,J15)&gt;1,COUNTIFS($AC$5:$AC$1000,AC15,$K$5:$K$1000,"Cavity",$L$5:$L$1000,L15)&gt;0,COUNTIFS($AC$5:$AC$1000,AC15,$K$5:$K$1000,"Line")&gt;0),"CHECK","OK"),IF(K15="Cavity",IF(OR(COUNTIFS($AC$5:$AC$1000,AC15,$J$5:$J$1000,J15)&gt;1,COUNTIFS($AC$5:$AC$1000,AC15,$K$5:$K$1000,"Section",$L$5:$L$1000,L15)&gt;0,COUNTIFS($AC$5:$AC$1000,AC15,$K$5:$K$1000,"Line")&gt;0),"CHECK","OK"),"CHECK"))))</x:f>
        <x:v>OK</x:v>
      </x:c>
      <x:c r="AH15" t="n">
        <x:f>IF(AC15="","",SUMIF($AC$5:$AC$1000,AC15,$T$5:$T$1000))</x:f>
        <x:v>1</x:v>
      </x:c>
      <x:c r="AI15" t="str">
        <x:f>IF(AC15="","",IF(AND(AH15&gt;0,AH15&lt;=1),"OK","CHECK"))</x:f>
        <x:v>OK</x:v>
      </x:c>
      <x:c r="AJ15" t="str">
        <x:f>IF(AC15="","",IF(AND(Y15="OK",Z15="OK",AA15="OK",AF15="OK",AG15="OK",AI15="OK",R15&gt;0,S15&gt;0),"OK","CHECK"))</x:f>
        <x:v>OK</x:v>
      </x:c>
      <x:c r="AK15" t="str">
        <x:v>02_Supervisor_Log(4).xlsx</x:v>
      </x:c>
      <x:c r="AL15" t="str">
        <x:v>ENH-20260830-01</x:v>
      </x:c>
      <x:c r="AM15" t="str">
        <x:v>Active</x:v>
      </x:c>
      <x:c r="AN15" t="str">
        <x:f>IF(A15="","",IF(AB15="OK","LOAD","QUARANTINE"))</x:f>
        <x:v>LOAD</x:v>
      </x:c>
    </x:row>
    <x:row r="16">
      <x:c r="A16" t="s">
        <x:v>128</x:v>
      </x:c>
      <x:c r="B16" t="s">
        <x:v>129</x:v>
      </x:c>
      <x:c r="C16" t="s">
        <x:v>130</x:v>
      </x:c>
      <x:c r="D16" t="s">
        <x:v>44</x:v>
      </x:c>
      <x:c r="E16">
        <x:v>22</x:v>
      </x:c>
      <x:c r="F16">
        <x:v>45956</x:v>
      </x:c>
      <x:c r="G16" t="s">
        <x:v>45</x:v>
      </x:c>
      <x:c r="H16" t="s">
        <x:v>62</x:v>
      </x:c>
      <x:c r="I16" t="s">
        <x:v>104</x:v>
      </x:c>
      <x:c r="J16" t="s">
        <x:v>123</x:v>
      </x:c>
      <x:c r="K16" t="s">
        <x:v>106</x:v>
      </x:c>
      <x:c r="N16" t="s">
        <x:v>107</x:v>
      </x:c>
      <x:c r="Q16" t="n">
        <x:f>IF(AC16="","",AD16)</x:f>
        <x:v>5.65</x:v>
      </x:c>
      <x:c r="R16" t="n">
        <x:f>IF(B16="","",SUMIF(ProductionConfiguration!$B$5:$B$914,C16,ProductionConfiguration!$S$5:$S$914))</x:f>
        <x:v>30</x:v>
      </x:c>
      <x:c r="S16" t="n">
        <x:f>IF(B16="","",IF(K16="Line",R16,IF(K16="Section",SUMIFS(ProductionConfiguration!$S$5:$S$914,ProductionConfiguration!$B$5:$B$914,C16,ProductionConfiguration!$I$5:$I$914,L16),IF(K16="Cavity",IF(M16=1,SUMIFS(ProductionConfiguration!$P$5:$P$914,ProductionConfiguration!$B$5:$B$914,C16,ProductionConfiguration!$I$5:$I$914,L16),IF(M16=2,SUMIFS(ProductionConfiguration!$Q$5:$Q$914,ProductionConfiguration!$B$5:$B$914,C16,ProductionConfiguration!$I$5:$I$914,L16),SUMIFS(ProductionConfiguration!$R$5:$R$914,ProductionConfiguration!$B$5:$B$914,C16,ProductionConfiguration!$I$5:$I$914,L16))),0))))</x:f>
        <x:v>30</x:v>
      </x:c>
      <x:c r="T16">
        <x:f t="shared" si="0"/>
        <x:v>1</x:v>
      </x:c>
      <x:c r="U16">
        <x:f t="shared" si="1"/>
        <x:v>5.65</x:v>
      </x:c>
      <x:c r="V16" t="n">
        <x:f>IF(C16="","",SUMIF(DailyProduction!$Q$5:$Q$100,C16,DailyProduction!$J$5:$J$100))</x:f>
        <x:v>14</x:v>
      </x:c>
      <x:c r="W16">
        <x:f t="shared" si="2"/>
        <x:v>142380</x:v>
      </x:c>
      <x:c r="X16" t="s">
        <x:v>108</x:v>
      </x:c>
      <x:c r="Y16" t="str">
        <x:f>IF(B16="","",IF(COUNTIF(JobChange!$S$5:$S$100,B16)=1,"OK","CHECK"))</x:f>
        <x:v>OK</x:v>
      </x:c>
      <x:c r="Z16" t="str">
        <x:f t="shared" si="3"/>
        <x:v>OK</x:v>
      </x:c>
      <x:c r="AA16" t="str">
        <x:f t="shared" si="4"/>
        <x:v>OK</x:v>
      </x:c>
      <x:c r="AB16" t="str">
        <x:f t="shared" si="5">IF(A16="","",AJ16)</x:f>
        <x:v>OK</x:v>
      </x:c>
      <x:c r="AC16" t="str">
        <x:v>JCL-000012</x:v>
      </x:c>
      <x:c r="AD16" t="n">
        <x:f>IF(AC16="","",SUMIF(JobChangeLoss!$A$5:$A$1000,AC16,JobChangeLoss!$N$5:$N$1000))</x:f>
        <x:v>5.65</x:v>
      </x:c>
      <x:c r="AE16" t="str">
        <x:v>REFERENCE_ONLY_DO_NOT_SUM</x:v>
      </x:c>
      <x:c r="AF16" t="str">
        <x:f>IF(AC16="","",IF(AND(S16&gt;0,S16&lt;=R16),"OK","CHECK"))</x:f>
        <x:v>OK</x:v>
      </x:c>
      <x:c r="AG16" t="str">
        <x:f>IF(AC16="","",IF(K16="Line",IF(COUNTIF($AC$5:$AC$1000,AC16)=1,"OK","CHECK"),IF(K16="Section",IF(OR(COUNTIFS($AC$5:$AC$1000,AC16,$J$5:$J$1000,J16)&gt;1,COUNTIFS($AC$5:$AC$1000,AC16,$K$5:$K$1000,"Cavity",$L$5:$L$1000,L16)&gt;0,COUNTIFS($AC$5:$AC$1000,AC16,$K$5:$K$1000,"Line")&gt;0),"CHECK","OK"),IF(K16="Cavity",IF(OR(COUNTIFS($AC$5:$AC$1000,AC16,$J$5:$J$1000,J16)&gt;1,COUNTIFS($AC$5:$AC$1000,AC16,$K$5:$K$1000,"Section",$L$5:$L$1000,L16)&gt;0,COUNTIFS($AC$5:$AC$1000,AC16,$K$5:$K$1000,"Line")&gt;0),"CHECK","OK"),"CHECK"))))</x:f>
        <x:v>OK</x:v>
      </x:c>
      <x:c r="AH16" t="n">
        <x:f>IF(AC16="","",SUMIF($AC$5:$AC$1000,AC16,$T$5:$T$1000))</x:f>
        <x:v>1</x:v>
      </x:c>
      <x:c r="AI16" t="str">
        <x:f>IF(AC16="","",IF(AND(AH16&gt;0,AH16&lt;=1),"OK","CHECK"))</x:f>
        <x:v>OK</x:v>
      </x:c>
      <x:c r="AJ16" t="str">
        <x:f>IF(AC16="","",IF(AND(Y16="OK",Z16="OK",AA16="OK",AF16="OK",AG16="OK",AI16="OK",R16&gt;0,S16&gt;0),"OK","CHECK"))</x:f>
        <x:v>OK</x:v>
      </x:c>
      <x:c r="AK16" t="str">
        <x:v>02_Supervisor_Log(4).xlsx</x:v>
      </x:c>
      <x:c r="AL16" t="str">
        <x:v>ENH-20260830-01</x:v>
      </x:c>
      <x:c r="AM16" t="str">
        <x:v>Active</x:v>
      </x:c>
      <x:c r="AN16" t="str">
        <x:f>IF(A16="","",IF(AB16="OK","LOAD","QUARANTINE"))</x:f>
        <x:v>LOAD</x:v>
      </x:c>
    </x:row>
    <x:row r="17">
      <x:c r="A17" t="s">
        <x:v>131</x:v>
      </x:c>
      <x:c r="B17" t="s">
        <x:v>129</x:v>
      </x:c>
      <x:c r="C17" t="s">
        <x:v>130</x:v>
      </x:c>
      <x:c r="D17" t="s">
        <x:v>44</x:v>
      </x:c>
      <x:c r="E17">
        <x:v>22</x:v>
      </x:c>
      <x:c r="F17">
        <x:v>45956</x:v>
      </x:c>
      <x:c r="G17" t="s">
        <x:v>45</x:v>
      </x:c>
      <x:c r="H17" t="s">
        <x:v>62</x:v>
      </x:c>
      <x:c r="I17" t="s">
        <x:v>110</x:v>
      </x:c>
      <x:c r="J17" t="s">
        <x:v>123</x:v>
      </x:c>
      <x:c r="K17" t="s">
        <x:v>106</x:v>
      </x:c>
      <x:c r="N17" t="s">
        <x:v>107</x:v>
      </x:c>
      <x:c r="Q17" t="n">
        <x:f>IF(AC17="","",AD17)</x:f>
        <x:v>1.35</x:v>
      </x:c>
      <x:c r="R17" t="n">
        <x:f>IF(B17="","",SUMIF(ProductionConfiguration!$B$5:$B$914,C17,ProductionConfiguration!$S$5:$S$914))</x:f>
        <x:v>30</x:v>
      </x:c>
      <x:c r="S17" t="n">
        <x:f>IF(B17="","",IF(K17="Line",R17,IF(K17="Section",SUMIFS(ProductionConfiguration!$S$5:$S$914,ProductionConfiguration!$B$5:$B$914,C17,ProductionConfiguration!$I$5:$I$914,L17),IF(K17="Cavity",IF(M17=1,SUMIFS(ProductionConfiguration!$P$5:$P$914,ProductionConfiguration!$B$5:$B$914,C17,ProductionConfiguration!$I$5:$I$914,L17),IF(M17=2,SUMIFS(ProductionConfiguration!$Q$5:$Q$914,ProductionConfiguration!$B$5:$B$914,C17,ProductionConfiguration!$I$5:$I$914,L17),SUMIFS(ProductionConfiguration!$R$5:$R$914,ProductionConfiguration!$B$5:$B$914,C17,ProductionConfiguration!$I$5:$I$914,L17))),0))))</x:f>
        <x:v>30</x:v>
      </x:c>
      <x:c r="T17">
        <x:f t="shared" si="0"/>
        <x:v>1</x:v>
      </x:c>
      <x:c r="U17">
        <x:f t="shared" si="1"/>
        <x:v>1.35</x:v>
      </x:c>
      <x:c r="V17" t="n">
        <x:f>IF(C17="","",SUMIF(DailyProduction!$Q$5:$Q$100,C17,DailyProduction!$J$5:$J$100))</x:f>
        <x:v>14</x:v>
      </x:c>
      <x:c r="W17">
        <x:f t="shared" si="2"/>
        <x:v>34020</x:v>
      </x:c>
      <x:c r="X17" t="s">
        <x:v>108</x:v>
      </x:c>
      <x:c r="Y17" t="str">
        <x:f>IF(B17="","",IF(COUNTIF(JobChange!$S$5:$S$100,B17)=1,"OK","CHECK"))</x:f>
        <x:v>OK</x:v>
      </x:c>
      <x:c r="Z17" t="str">
        <x:f t="shared" si="3"/>
        <x:v>OK</x:v>
      </x:c>
      <x:c r="AA17" t="str">
        <x:f t="shared" si="4"/>
        <x:v>OK</x:v>
      </x:c>
      <x:c r="AB17" t="str">
        <x:f t="shared" si="5">IF(A17="","",AJ17)</x:f>
        <x:v>OK</x:v>
      </x:c>
      <x:c r="AC17" t="str">
        <x:v>JCL-000013</x:v>
      </x:c>
      <x:c r="AD17" t="n">
        <x:f>IF(AC17="","",SUMIF(JobChangeLoss!$A$5:$A$1000,AC17,JobChangeLoss!$N$5:$N$1000))</x:f>
        <x:v>1.35</x:v>
      </x:c>
      <x:c r="AE17" t="str">
        <x:v>REFERENCE_ONLY_DO_NOT_SUM</x:v>
      </x:c>
      <x:c r="AF17" t="str">
        <x:f>IF(AC17="","",IF(AND(S17&gt;0,S17&lt;=R17),"OK","CHECK"))</x:f>
        <x:v>OK</x:v>
      </x:c>
      <x:c r="AG17" t="str">
        <x:f>IF(AC17="","",IF(K17="Line",IF(COUNTIF($AC$5:$AC$1000,AC17)=1,"OK","CHECK"),IF(K17="Section",IF(OR(COUNTIFS($AC$5:$AC$1000,AC17,$J$5:$J$1000,J17)&gt;1,COUNTIFS($AC$5:$AC$1000,AC17,$K$5:$K$1000,"Cavity",$L$5:$L$1000,L17)&gt;0,COUNTIFS($AC$5:$AC$1000,AC17,$K$5:$K$1000,"Line")&gt;0),"CHECK","OK"),IF(K17="Cavity",IF(OR(COUNTIFS($AC$5:$AC$1000,AC17,$J$5:$J$1000,J17)&gt;1,COUNTIFS($AC$5:$AC$1000,AC17,$K$5:$K$1000,"Section",$L$5:$L$1000,L17)&gt;0,COUNTIFS($AC$5:$AC$1000,AC17,$K$5:$K$1000,"Line")&gt;0),"CHECK","OK"),"CHECK"))))</x:f>
        <x:v>OK</x:v>
      </x:c>
      <x:c r="AH17" t="n">
        <x:f>IF(AC17="","",SUMIF($AC$5:$AC$1000,AC17,$T$5:$T$1000))</x:f>
        <x:v>1</x:v>
      </x:c>
      <x:c r="AI17" t="str">
        <x:f>IF(AC17="","",IF(AND(AH17&gt;0,AH17&lt;=1),"OK","CHECK"))</x:f>
        <x:v>OK</x:v>
      </x:c>
      <x:c r="AJ17" t="str">
        <x:f>IF(AC17="","",IF(AND(Y17="OK",Z17="OK",AA17="OK",AF17="OK",AG17="OK",AI17="OK",R17&gt;0,S17&gt;0),"OK","CHECK"))</x:f>
        <x:v>OK</x:v>
      </x:c>
      <x:c r="AK17" t="str">
        <x:v>02_Supervisor_Log(4).xlsx</x:v>
      </x:c>
      <x:c r="AL17" t="str">
        <x:v>ENH-20260830-01</x:v>
      </x:c>
      <x:c r="AM17" t="str">
        <x:v>Active</x:v>
      </x:c>
      <x:c r="AN17" t="str">
        <x:f>IF(A17="","",IF(AB17="OK","LOAD","QUARANTINE"))</x:f>
        <x:v>LOAD</x:v>
      </x:c>
    </x:row>
    <x:row r="18">
      <x:c r="A18" t="s">
        <x:v>132</x:v>
      </x:c>
      <x:c r="B18" t="s">
        <x:v>129</x:v>
      </x:c>
      <x:c r="C18" t="s">
        <x:v>130</x:v>
      </x:c>
      <x:c r="D18" t="s">
        <x:v>44</x:v>
      </x:c>
      <x:c r="E18">
        <x:v>22</x:v>
      </x:c>
      <x:c r="F18">
        <x:v>45956</x:v>
      </x:c>
      <x:c r="G18" t="s">
        <x:v>45</x:v>
      </x:c>
      <x:c r="H18" t="s">
        <x:v>62</x:v>
      </x:c>
      <x:c r="I18" t="s">
        <x:v>112</x:v>
      </x:c>
      <x:c r="J18" t="s">
        <x:v>123</x:v>
      </x:c>
      <x:c r="K18" t="s">
        <x:v>106</x:v>
      </x:c>
      <x:c r="N18" t="s">
        <x:v>107</x:v>
      </x:c>
      <x:c r="Q18" t="n">
        <x:f>IF(AC18="","",AD18)</x:f>
        <x:v>0.78</x:v>
      </x:c>
      <x:c r="R18" t="n">
        <x:f>IF(B18="","",SUMIF(ProductionConfiguration!$B$5:$B$914,C18,ProductionConfiguration!$S$5:$S$914))</x:f>
        <x:v>30</x:v>
      </x:c>
      <x:c r="S18" t="n">
        <x:f>IF(B18="","",IF(K18="Line",R18,IF(K18="Section",SUMIFS(ProductionConfiguration!$S$5:$S$914,ProductionConfiguration!$B$5:$B$914,C18,ProductionConfiguration!$I$5:$I$914,L18),IF(K18="Cavity",IF(M18=1,SUMIFS(ProductionConfiguration!$P$5:$P$914,ProductionConfiguration!$B$5:$B$914,C18,ProductionConfiguration!$I$5:$I$914,L18),IF(M18=2,SUMIFS(ProductionConfiguration!$Q$5:$Q$914,ProductionConfiguration!$B$5:$B$914,C18,ProductionConfiguration!$I$5:$I$914,L18),SUMIFS(ProductionConfiguration!$R$5:$R$914,ProductionConfiguration!$B$5:$B$914,C18,ProductionConfiguration!$I$5:$I$914,L18))),0))))</x:f>
        <x:v>30</x:v>
      </x:c>
      <x:c r="T18">
        <x:f t="shared" si="0"/>
        <x:v>1</x:v>
      </x:c>
      <x:c r="U18">
        <x:f t="shared" si="1"/>
        <x:v>0.78</x:v>
      </x:c>
      <x:c r="V18" t="n">
        <x:f>IF(C18="","",SUMIF(DailyProduction!$Q$5:$Q$100,C18,DailyProduction!$J$5:$J$100))</x:f>
        <x:v>14</x:v>
      </x:c>
      <x:c r="W18">
        <x:f t="shared" si="2"/>
        <x:v>19656</x:v>
      </x:c>
      <x:c r="X18" t="s">
        <x:v>108</x:v>
      </x:c>
      <x:c r="Y18" t="str">
        <x:f>IF(B18="","",IF(COUNTIF(JobChange!$S$5:$S$100,B18)=1,"OK","CHECK"))</x:f>
        <x:v>OK</x:v>
      </x:c>
      <x:c r="Z18" t="str">
        <x:f t="shared" si="3"/>
        <x:v>OK</x:v>
      </x:c>
      <x:c r="AA18" t="str">
        <x:f t="shared" si="4"/>
        <x:v>OK</x:v>
      </x:c>
      <x:c r="AB18" t="str">
        <x:f t="shared" si="5">IF(A18="","",AJ18)</x:f>
        <x:v>OK</x:v>
      </x:c>
      <x:c r="AC18" t="str">
        <x:v>JCL-000014</x:v>
      </x:c>
      <x:c r="AD18" t="n">
        <x:f>IF(AC18="","",SUMIF(JobChangeLoss!$A$5:$A$1000,AC18,JobChangeLoss!$N$5:$N$1000))</x:f>
        <x:v>0.78</x:v>
      </x:c>
      <x:c r="AE18" t="str">
        <x:v>REFERENCE_ONLY_DO_NOT_SUM</x:v>
      </x:c>
      <x:c r="AF18" t="str">
        <x:f>IF(AC18="","",IF(AND(S18&gt;0,S18&lt;=R18),"OK","CHECK"))</x:f>
        <x:v>OK</x:v>
      </x:c>
      <x:c r="AG18" t="str">
        <x:f>IF(AC18="","",IF(K18="Line",IF(COUNTIF($AC$5:$AC$1000,AC18)=1,"OK","CHECK"),IF(K18="Section",IF(OR(COUNTIFS($AC$5:$AC$1000,AC18,$J$5:$J$1000,J18)&gt;1,COUNTIFS($AC$5:$AC$1000,AC18,$K$5:$K$1000,"Cavity",$L$5:$L$1000,L18)&gt;0,COUNTIFS($AC$5:$AC$1000,AC18,$K$5:$K$1000,"Line")&gt;0),"CHECK","OK"),IF(K18="Cavity",IF(OR(COUNTIFS($AC$5:$AC$1000,AC18,$J$5:$J$1000,J18)&gt;1,COUNTIFS($AC$5:$AC$1000,AC18,$K$5:$K$1000,"Section",$L$5:$L$1000,L18)&gt;0,COUNTIFS($AC$5:$AC$1000,AC18,$K$5:$K$1000,"Line")&gt;0),"CHECK","OK"),"CHECK"))))</x:f>
        <x:v>OK</x:v>
      </x:c>
      <x:c r="AH18" t="n">
        <x:f>IF(AC18="","",SUMIF($AC$5:$AC$1000,AC18,$T$5:$T$1000))</x:f>
        <x:v>1</x:v>
      </x:c>
      <x:c r="AI18" t="str">
        <x:f>IF(AC18="","",IF(AND(AH18&gt;0,AH18&lt;=1),"OK","CHECK"))</x:f>
        <x:v>OK</x:v>
      </x:c>
      <x:c r="AJ18" t="str">
        <x:f>IF(AC18="","",IF(AND(Y18="OK",Z18="OK",AA18="OK",AF18="OK",AG18="OK",AI18="OK",R18&gt;0,S18&gt;0),"OK","CHECK"))</x:f>
        <x:v>OK</x:v>
      </x:c>
      <x:c r="AK18" t="str">
        <x:v>02_Supervisor_Log(4).xlsx</x:v>
      </x:c>
      <x:c r="AL18" t="str">
        <x:v>ENH-20260830-01</x:v>
      </x:c>
      <x:c r="AM18" t="str">
        <x:v>Active</x:v>
      </x:c>
      <x:c r="AN18" t="str">
        <x:f>IF(A18="","",IF(AB18="OK","LOAD","QUARANTINE"))</x:f>
        <x:v>LOAD</x:v>
      </x:c>
    </x:row>
    <x:row r="19">
      <x:c r="A19" t="s">
        <x:v>133</x:v>
      </x:c>
      <x:c r="B19" t="s">
        <x:v>129</x:v>
      </x:c>
      <x:c r="C19" t="s">
        <x:v>130</x:v>
      </x:c>
      <x:c r="D19" t="s">
        <x:v>44</x:v>
      </x:c>
      <x:c r="E19">
        <x:v>22</x:v>
      </x:c>
      <x:c r="F19">
        <x:v>45956</x:v>
      </x:c>
      <x:c r="G19" t="s">
        <x:v>45</x:v>
      </x:c>
      <x:c r="H19" t="s">
        <x:v>62</x:v>
      </x:c>
      <x:c r="I19" t="s">
        <x:v>119</x:v>
      </x:c>
      <x:c r="J19" t="s">
        <x:v>123</x:v>
      </x:c>
      <x:c r="K19" t="s">
        <x:v>106</x:v>
      </x:c>
      <x:c r="N19" t="s">
        <x:v>63</x:v>
      </x:c>
      <x:c r="Q19" t="n">
        <x:f>IF(AC19="","",AD19)</x:f>
        <x:v>0.69</x:v>
      </x:c>
      <x:c r="R19" t="n">
        <x:f>IF(B19="","",SUMIF(ProductionConfiguration!$B$5:$B$914,C19,ProductionConfiguration!$S$5:$S$914))</x:f>
        <x:v>30</x:v>
      </x:c>
      <x:c r="S19" t="n">
        <x:f>IF(B19="","",IF(K19="Line",R19,IF(K19="Section",SUMIFS(ProductionConfiguration!$S$5:$S$914,ProductionConfiguration!$B$5:$B$914,C19,ProductionConfiguration!$I$5:$I$914,L19),IF(K19="Cavity",IF(M19=1,SUMIFS(ProductionConfiguration!$P$5:$P$914,ProductionConfiguration!$B$5:$B$914,C19,ProductionConfiguration!$I$5:$I$914,L19),IF(M19=2,SUMIFS(ProductionConfiguration!$Q$5:$Q$914,ProductionConfiguration!$B$5:$B$914,C19,ProductionConfiguration!$I$5:$I$914,L19),SUMIFS(ProductionConfiguration!$R$5:$R$914,ProductionConfiguration!$B$5:$B$914,C19,ProductionConfiguration!$I$5:$I$914,L19))),0))))</x:f>
        <x:v>30</x:v>
      </x:c>
      <x:c r="T19">
        <x:f t="shared" si="0"/>
        <x:v>1</x:v>
      </x:c>
      <x:c r="U19">
        <x:f t="shared" si="1"/>
        <x:v>0.69</x:v>
      </x:c>
      <x:c r="V19" t="n">
        <x:f>IF(C19="","",SUMIF(DailyProduction!$Q$5:$Q$100,C19,DailyProduction!$J$5:$J$100))</x:f>
        <x:v>14</x:v>
      </x:c>
      <x:c r="W19">
        <x:f t="shared" si="2"/>
        <x:v>17388</x:v>
      </x:c>
      <x:c r="X19" t="s">
        <x:v>108</x:v>
      </x:c>
      <x:c r="Y19" t="str">
        <x:f>IF(B19="","",IF(COUNTIF(JobChange!$S$5:$S$100,B19)=1,"OK","CHECK"))</x:f>
        <x:v>OK</x:v>
      </x:c>
      <x:c r="Z19" t="str">
        <x:f t="shared" si="3"/>
        <x:v>OK</x:v>
      </x:c>
      <x:c r="AA19" t="str">
        <x:f t="shared" si="4"/>
        <x:v>OK</x:v>
      </x:c>
      <x:c r="AB19" t="str">
        <x:f t="shared" si="5">IF(A19="","",AJ19)</x:f>
        <x:v>OK</x:v>
      </x:c>
      <x:c r="AC19" t="str">
        <x:v>JCL-000015</x:v>
      </x:c>
      <x:c r="AD19" t="n">
        <x:f>IF(AC19="","",SUMIF(JobChangeLoss!$A$5:$A$1000,AC19,JobChangeLoss!$N$5:$N$1000))</x:f>
        <x:v>0.69</x:v>
      </x:c>
      <x:c r="AE19" t="str">
        <x:v>REFERENCE_ONLY_DO_NOT_SUM</x:v>
      </x:c>
      <x:c r="AF19" t="str">
        <x:f>IF(AC19="","",IF(AND(S19&gt;0,S19&lt;=R19),"OK","CHECK"))</x:f>
        <x:v>OK</x:v>
      </x:c>
      <x:c r="AG19" t="str">
        <x:f>IF(AC19="","",IF(K19="Line",IF(COUNTIF($AC$5:$AC$1000,AC19)=1,"OK","CHECK"),IF(K19="Section",IF(OR(COUNTIFS($AC$5:$AC$1000,AC19,$J$5:$J$1000,J19)&gt;1,COUNTIFS($AC$5:$AC$1000,AC19,$K$5:$K$1000,"Cavity",$L$5:$L$1000,L19)&gt;0,COUNTIFS($AC$5:$AC$1000,AC19,$K$5:$K$1000,"Line")&gt;0),"CHECK","OK"),IF(K19="Cavity",IF(OR(COUNTIFS($AC$5:$AC$1000,AC19,$J$5:$J$1000,J19)&gt;1,COUNTIFS($AC$5:$AC$1000,AC19,$K$5:$K$1000,"Section",$L$5:$L$1000,L19)&gt;0,COUNTIFS($AC$5:$AC$1000,AC19,$K$5:$K$1000,"Line")&gt;0),"CHECK","OK"),"CHECK"))))</x:f>
        <x:v>OK</x:v>
      </x:c>
      <x:c r="AH19" t="n">
        <x:f>IF(AC19="","",SUMIF($AC$5:$AC$1000,AC19,$T$5:$T$1000))</x:f>
        <x:v>1</x:v>
      </x:c>
      <x:c r="AI19" t="str">
        <x:f>IF(AC19="","",IF(AND(AH19&gt;0,AH19&lt;=1),"OK","CHECK"))</x:f>
        <x:v>OK</x:v>
      </x:c>
      <x:c r="AJ19" t="str">
        <x:f>IF(AC19="","",IF(AND(Y19="OK",Z19="OK",AA19="OK",AF19="OK",AG19="OK",AI19="OK",R19&gt;0,S19&gt;0),"OK","CHECK"))</x:f>
        <x:v>OK</x:v>
      </x:c>
      <x:c r="AK19" t="str">
        <x:v>02_Supervisor_Log(4).xlsx</x:v>
      </x:c>
      <x:c r="AL19" t="str">
        <x:v>ENH-20260830-01</x:v>
      </x:c>
      <x:c r="AM19" t="str">
        <x:v>Active</x:v>
      </x:c>
      <x:c r="AN19" t="str">
        <x:f>IF(A19="","",IF(AB19="OK","LOAD","QUARANTINE"))</x:f>
        <x:v>LOAD</x:v>
      </x:c>
    </x:row>
    <x:row r="20">
      <x:c r="A20" t="s">
        <x:v>134</x:v>
      </x:c>
      <x:c r="B20" t="s">
        <x:v>135</x:v>
      </x:c>
      <x:c r="C20" t="s">
        <x:v>136</x:v>
      </x:c>
      <x:c r="D20" t="s">
        <x:v>44</x:v>
      </x:c>
      <x:c r="E20">
        <x:v>23</x:v>
      </x:c>
      <x:c r="F20">
        <x:v>45952</x:v>
      </x:c>
      <x:c r="G20" t="s">
        <x:v>45</x:v>
      </x:c>
      <x:c r="H20" t="s">
        <x:v>65</x:v>
      </x:c>
      <x:c r="I20" t="s">
        <x:v>104</x:v>
      </x:c>
      <x:c r="J20" t="s">
        <x:v>137</x:v>
      </x:c>
      <x:c r="K20" t="s">
        <x:v>106</x:v>
      </x:c>
      <x:c r="N20" t="s">
        <x:v>107</x:v>
      </x:c>
      <x:c r="Q20" t="n">
        <x:f>IF(AC20="","",AD20)</x:f>
        <x:v>2.73</x:v>
      </x:c>
      <x:c r="R20" t="n">
        <x:f>IF(B20="","",SUMIF(ProductionConfiguration!$B$5:$B$914,C20,ProductionConfiguration!$S$5:$S$914))</x:f>
        <x:v>24</x:v>
      </x:c>
      <x:c r="S20" t="n">
        <x:f>IF(B20="","",IF(K20="Line",R20,IF(K20="Section",SUMIFS(ProductionConfiguration!$S$5:$S$914,ProductionConfiguration!$B$5:$B$914,C20,ProductionConfiguration!$I$5:$I$914,L20),IF(K20="Cavity",IF(M20=1,SUMIFS(ProductionConfiguration!$P$5:$P$914,ProductionConfiguration!$B$5:$B$914,C20,ProductionConfiguration!$I$5:$I$914,L20),IF(M20=2,SUMIFS(ProductionConfiguration!$Q$5:$Q$914,ProductionConfiguration!$B$5:$B$914,C20,ProductionConfiguration!$I$5:$I$914,L20),SUMIFS(ProductionConfiguration!$R$5:$R$914,ProductionConfiguration!$B$5:$B$914,C20,ProductionConfiguration!$I$5:$I$914,L20))),0))))</x:f>
        <x:v>24</x:v>
      </x:c>
      <x:c r="T20">
        <x:f t="shared" si="0"/>
        <x:v>1</x:v>
      </x:c>
      <x:c r="U20">
        <x:f t="shared" si="1"/>
        <x:v>2.73</x:v>
      </x:c>
      <x:c r="V20" t="n">
        <x:f>IF(C20="","",SUMIF(DailyProduction!$Q$5:$Q$100,C20,DailyProduction!$J$5:$J$100))</x:f>
        <x:v>9</x:v>
      </x:c>
      <x:c r="W20">
        <x:f t="shared" si="2"/>
        <x:v>35380.800000000003</x:v>
      </x:c>
      <x:c r="X20" t="s">
        <x:v>108</x:v>
      </x:c>
      <x:c r="Y20" t="str">
        <x:f>IF(B20="","",IF(COUNTIF(JobChange!$S$5:$S$100,B20)=1,"OK","CHECK"))</x:f>
        <x:v>OK</x:v>
      </x:c>
      <x:c r="Z20" t="str">
        <x:f t="shared" si="3"/>
        <x:v>OK</x:v>
      </x:c>
      <x:c r="AA20" t="str">
        <x:f t="shared" si="4"/>
        <x:v>OK</x:v>
      </x:c>
      <x:c r="AB20" t="str">
        <x:f t="shared" si="5">IF(A20="","",AJ20)</x:f>
        <x:v>OK</x:v>
      </x:c>
      <x:c r="AC20" t="str">
        <x:v>JCL-000016</x:v>
      </x:c>
      <x:c r="AD20" t="n">
        <x:f>IF(AC20="","",SUMIF(JobChangeLoss!$A$5:$A$1000,AC20,JobChangeLoss!$N$5:$N$1000))</x:f>
        <x:v>2.73</x:v>
      </x:c>
      <x:c r="AE20" t="str">
        <x:v>REFERENCE_ONLY_DO_NOT_SUM</x:v>
      </x:c>
      <x:c r="AF20" t="str">
        <x:f>IF(AC20="","",IF(AND(S20&gt;0,S20&lt;=R20),"OK","CHECK"))</x:f>
        <x:v>OK</x:v>
      </x:c>
      <x:c r="AG20" t="str">
        <x:f>IF(AC20="","",IF(K20="Line",IF(COUNTIF($AC$5:$AC$1000,AC20)=1,"OK","CHECK"),IF(K20="Section",IF(OR(COUNTIFS($AC$5:$AC$1000,AC20,$J$5:$J$1000,J20)&gt;1,COUNTIFS($AC$5:$AC$1000,AC20,$K$5:$K$1000,"Cavity",$L$5:$L$1000,L20)&gt;0,COUNTIFS($AC$5:$AC$1000,AC20,$K$5:$K$1000,"Line")&gt;0),"CHECK","OK"),IF(K20="Cavity",IF(OR(COUNTIFS($AC$5:$AC$1000,AC20,$J$5:$J$1000,J20)&gt;1,COUNTIFS($AC$5:$AC$1000,AC20,$K$5:$K$1000,"Section",$L$5:$L$1000,L20)&gt;0,COUNTIFS($AC$5:$AC$1000,AC20,$K$5:$K$1000,"Line")&gt;0),"CHECK","OK"),"CHECK"))))</x:f>
        <x:v>OK</x:v>
      </x:c>
      <x:c r="AH20" t="n">
        <x:f>IF(AC20="","",SUMIF($AC$5:$AC$1000,AC20,$T$5:$T$1000))</x:f>
        <x:v>1</x:v>
      </x:c>
      <x:c r="AI20" t="str">
        <x:f>IF(AC20="","",IF(AND(AH20&gt;0,AH20&lt;=1),"OK","CHECK"))</x:f>
        <x:v>OK</x:v>
      </x:c>
      <x:c r="AJ20" t="str">
        <x:f>IF(AC20="","",IF(AND(Y20="OK",Z20="OK",AA20="OK",AF20="OK",AG20="OK",AI20="OK",R20&gt;0,S20&gt;0),"OK","CHECK"))</x:f>
        <x:v>OK</x:v>
      </x:c>
      <x:c r="AK20" t="str">
        <x:v>02_Supervisor_Log(4).xlsx</x:v>
      </x:c>
      <x:c r="AL20" t="str">
        <x:v>ENH-20260830-01</x:v>
      </x:c>
      <x:c r="AM20" t="str">
        <x:v>Active</x:v>
      </x:c>
      <x:c r="AN20" t="str">
        <x:f>IF(A20="","",IF(AB20="OK","LOAD","QUARANTINE"))</x:f>
        <x:v>LOAD</x:v>
      </x:c>
    </x:row>
    <x:row r="21">
      <x:c r="A21" t="s">
        <x:v>138</x:v>
      </x:c>
      <x:c r="B21" t="s">
        <x:v>135</x:v>
      </x:c>
      <x:c r="C21" t="s">
        <x:v>136</x:v>
      </x:c>
      <x:c r="D21" t="s">
        <x:v>44</x:v>
      </x:c>
      <x:c r="E21">
        <x:v>23</x:v>
      </x:c>
      <x:c r="F21">
        <x:v>45952</x:v>
      </x:c>
      <x:c r="G21" t="s">
        <x:v>45</x:v>
      </x:c>
      <x:c r="H21" t="s">
        <x:v>65</x:v>
      </x:c>
      <x:c r="I21" t="s">
        <x:v>110</x:v>
      </x:c>
      <x:c r="J21" t="s">
        <x:v>137</x:v>
      </x:c>
      <x:c r="K21" t="s">
        <x:v>106</x:v>
      </x:c>
      <x:c r="N21" t="s">
        <x:v>107</x:v>
      </x:c>
      <x:c r="Q21" t="n">
        <x:f>IF(AC21="","",AD21)</x:f>
        <x:v>1.06</x:v>
      </x:c>
      <x:c r="R21" t="n">
        <x:f>IF(B21="","",SUMIF(ProductionConfiguration!$B$5:$B$914,C21,ProductionConfiguration!$S$5:$S$914))</x:f>
        <x:v>24</x:v>
      </x:c>
      <x:c r="S21" t="n">
        <x:f>IF(B21="","",IF(K21="Line",R21,IF(K21="Section",SUMIFS(ProductionConfiguration!$S$5:$S$914,ProductionConfiguration!$B$5:$B$914,C21,ProductionConfiguration!$I$5:$I$914,L21),IF(K21="Cavity",IF(M21=1,SUMIFS(ProductionConfiguration!$P$5:$P$914,ProductionConfiguration!$B$5:$B$914,C21,ProductionConfiguration!$I$5:$I$914,L21),IF(M21=2,SUMIFS(ProductionConfiguration!$Q$5:$Q$914,ProductionConfiguration!$B$5:$B$914,C21,ProductionConfiguration!$I$5:$I$914,L21),SUMIFS(ProductionConfiguration!$R$5:$R$914,ProductionConfiguration!$B$5:$B$914,C21,ProductionConfiguration!$I$5:$I$914,L21))),0))))</x:f>
        <x:v>24</x:v>
      </x:c>
      <x:c r="T21">
        <x:f t="shared" si="0"/>
        <x:v>1</x:v>
      </x:c>
      <x:c r="U21">
        <x:f t="shared" si="1"/>
        <x:v>1.06</x:v>
      </x:c>
      <x:c r="V21" t="n">
        <x:f>IF(C21="","",SUMIF(DailyProduction!$Q$5:$Q$100,C21,DailyProduction!$J$5:$J$100))</x:f>
        <x:v>9</x:v>
      </x:c>
      <x:c r="W21">
        <x:f t="shared" si="2"/>
        <x:v>13737.599999999999</x:v>
      </x:c>
      <x:c r="X21" t="s">
        <x:v>108</x:v>
      </x:c>
      <x:c r="Y21" t="str">
        <x:f>IF(B21="","",IF(COUNTIF(JobChange!$S$5:$S$100,B21)=1,"OK","CHECK"))</x:f>
        <x:v>OK</x:v>
      </x:c>
      <x:c r="Z21" t="str">
        <x:f t="shared" si="3"/>
        <x:v>OK</x:v>
      </x:c>
      <x:c r="AA21" t="str">
        <x:f t="shared" si="4"/>
        <x:v>OK</x:v>
      </x:c>
      <x:c r="AB21" t="str">
        <x:f t="shared" si="5">IF(A21="","",AJ21)</x:f>
        <x:v>OK</x:v>
      </x:c>
      <x:c r="AC21" t="str">
        <x:v>JCL-000017</x:v>
      </x:c>
      <x:c r="AD21" t="n">
        <x:f>IF(AC21="","",SUMIF(JobChangeLoss!$A$5:$A$1000,AC21,JobChangeLoss!$N$5:$N$1000))</x:f>
        <x:v>1.06</x:v>
      </x:c>
      <x:c r="AE21" t="str">
        <x:v>REFERENCE_ONLY_DO_NOT_SUM</x:v>
      </x:c>
      <x:c r="AF21" t="str">
        <x:f>IF(AC21="","",IF(AND(S21&gt;0,S21&lt;=R21),"OK","CHECK"))</x:f>
        <x:v>OK</x:v>
      </x:c>
      <x:c r="AG21" t="str">
        <x:f>IF(AC21="","",IF(K21="Line",IF(COUNTIF($AC$5:$AC$1000,AC21)=1,"OK","CHECK"),IF(K21="Section",IF(OR(COUNTIFS($AC$5:$AC$1000,AC21,$J$5:$J$1000,J21)&gt;1,COUNTIFS($AC$5:$AC$1000,AC21,$K$5:$K$1000,"Cavity",$L$5:$L$1000,L21)&gt;0,COUNTIFS($AC$5:$AC$1000,AC21,$K$5:$K$1000,"Line")&gt;0),"CHECK","OK"),IF(K21="Cavity",IF(OR(COUNTIFS($AC$5:$AC$1000,AC21,$J$5:$J$1000,J21)&gt;1,COUNTIFS($AC$5:$AC$1000,AC21,$K$5:$K$1000,"Section",$L$5:$L$1000,L21)&gt;0,COUNTIFS($AC$5:$AC$1000,AC21,$K$5:$K$1000,"Line")&gt;0),"CHECK","OK"),"CHECK"))))</x:f>
        <x:v>OK</x:v>
      </x:c>
      <x:c r="AH21" t="n">
        <x:f>IF(AC21="","",SUMIF($AC$5:$AC$1000,AC21,$T$5:$T$1000))</x:f>
        <x:v>1</x:v>
      </x:c>
      <x:c r="AI21" t="str">
        <x:f>IF(AC21="","",IF(AND(AH21&gt;0,AH21&lt;=1),"OK","CHECK"))</x:f>
        <x:v>OK</x:v>
      </x:c>
      <x:c r="AJ21" t="str">
        <x:f>IF(AC21="","",IF(AND(Y21="OK",Z21="OK",AA21="OK",AF21="OK",AG21="OK",AI21="OK",R21&gt;0,S21&gt;0),"OK","CHECK"))</x:f>
        <x:v>OK</x:v>
      </x:c>
      <x:c r="AK21" t="str">
        <x:v>02_Supervisor_Log(4).xlsx</x:v>
      </x:c>
      <x:c r="AL21" t="str">
        <x:v>ENH-20260830-01</x:v>
      </x:c>
      <x:c r="AM21" t="str">
        <x:v>Active</x:v>
      </x:c>
      <x:c r="AN21" t="str">
        <x:f>IF(A21="","",IF(AB21="OK","LOAD","QUARANTINE"))</x:f>
        <x:v>LOAD</x:v>
      </x:c>
    </x:row>
    <x:row r="22">
      <x:c r="A22" t="s">
        <x:v>139</x:v>
      </x:c>
      <x:c r="B22" t="s">
        <x:v>135</x:v>
      </x:c>
      <x:c r="C22" t="s">
        <x:v>136</x:v>
      </x:c>
      <x:c r="D22" t="s">
        <x:v>44</x:v>
      </x:c>
      <x:c r="E22">
        <x:v>23</x:v>
      </x:c>
      <x:c r="F22">
        <x:v>45952</x:v>
      </x:c>
      <x:c r="G22" t="s">
        <x:v>45</x:v>
      </x:c>
      <x:c r="H22" t="s">
        <x:v>65</x:v>
      </x:c>
      <x:c r="I22" t="s">
        <x:v>112</x:v>
      </x:c>
      <x:c r="J22" t="s">
        <x:v>137</x:v>
      </x:c>
      <x:c r="K22" t="s">
        <x:v>106</x:v>
      </x:c>
      <x:c r="N22" t="s">
        <x:v>107</x:v>
      </x:c>
      <x:c r="Q22" t="n">
        <x:f>IF(AC22="","",AD22)</x:f>
        <x:v>0.49</x:v>
      </x:c>
      <x:c r="R22" t="n">
        <x:f>IF(B22="","",SUMIF(ProductionConfiguration!$B$5:$B$914,C22,ProductionConfiguration!$S$5:$S$914))</x:f>
        <x:v>24</x:v>
      </x:c>
      <x:c r="S22" t="n">
        <x:f>IF(B22="","",IF(K22="Line",R22,IF(K22="Section",SUMIFS(ProductionConfiguration!$S$5:$S$914,ProductionConfiguration!$B$5:$B$914,C22,ProductionConfiguration!$I$5:$I$914,L22),IF(K22="Cavity",IF(M22=1,SUMIFS(ProductionConfiguration!$P$5:$P$914,ProductionConfiguration!$B$5:$B$914,C22,ProductionConfiguration!$I$5:$I$914,L22),IF(M22=2,SUMIFS(ProductionConfiguration!$Q$5:$Q$914,ProductionConfiguration!$B$5:$B$914,C22,ProductionConfiguration!$I$5:$I$914,L22),SUMIFS(ProductionConfiguration!$R$5:$R$914,ProductionConfiguration!$B$5:$B$914,C22,ProductionConfiguration!$I$5:$I$914,L22))),0))))</x:f>
        <x:v>24</x:v>
      </x:c>
      <x:c r="T22">
        <x:f t="shared" si="0"/>
        <x:v>1</x:v>
      </x:c>
      <x:c r="U22">
        <x:f t="shared" si="1"/>
        <x:v>0.49</x:v>
      </x:c>
      <x:c r="V22" t="n">
        <x:f>IF(C22="","",SUMIF(DailyProduction!$Q$5:$Q$100,C22,DailyProduction!$J$5:$J$100))</x:f>
        <x:v>9</x:v>
      </x:c>
      <x:c r="W22">
        <x:f t="shared" si="2"/>
        <x:v>6350.4</x:v>
      </x:c>
      <x:c r="X22" t="s">
        <x:v>108</x:v>
      </x:c>
      <x:c r="Y22" t="str">
        <x:f>IF(B22="","",IF(COUNTIF(JobChange!$S$5:$S$100,B22)=1,"OK","CHECK"))</x:f>
        <x:v>OK</x:v>
      </x:c>
      <x:c r="Z22" t="str">
        <x:f t="shared" si="3"/>
        <x:v>OK</x:v>
      </x:c>
      <x:c r="AA22" t="str">
        <x:f t="shared" si="4"/>
        <x:v>OK</x:v>
      </x:c>
      <x:c r="AB22" t="str">
        <x:f t="shared" si="5">IF(A22="","",AJ22)</x:f>
        <x:v>OK</x:v>
      </x:c>
      <x:c r="AC22" t="str">
        <x:v>JCL-000018</x:v>
      </x:c>
      <x:c r="AD22" t="n">
        <x:f>IF(AC22="","",SUMIF(JobChangeLoss!$A$5:$A$1000,AC22,JobChangeLoss!$N$5:$N$1000))</x:f>
        <x:v>0.49</x:v>
      </x:c>
      <x:c r="AE22" t="str">
        <x:v>REFERENCE_ONLY_DO_NOT_SUM</x:v>
      </x:c>
      <x:c r="AF22" t="str">
        <x:f>IF(AC22="","",IF(AND(S22&gt;0,S22&lt;=R22),"OK","CHECK"))</x:f>
        <x:v>OK</x:v>
      </x:c>
      <x:c r="AG22" t="str">
        <x:f>IF(AC22="","",IF(K22="Line",IF(COUNTIF($AC$5:$AC$1000,AC22)=1,"OK","CHECK"),IF(K22="Section",IF(OR(COUNTIFS($AC$5:$AC$1000,AC22,$J$5:$J$1000,J22)&gt;1,COUNTIFS($AC$5:$AC$1000,AC22,$K$5:$K$1000,"Cavity",$L$5:$L$1000,L22)&gt;0,COUNTIFS($AC$5:$AC$1000,AC22,$K$5:$K$1000,"Line")&gt;0),"CHECK","OK"),IF(K22="Cavity",IF(OR(COUNTIFS($AC$5:$AC$1000,AC22,$J$5:$J$1000,J22)&gt;1,COUNTIFS($AC$5:$AC$1000,AC22,$K$5:$K$1000,"Section",$L$5:$L$1000,L22)&gt;0,COUNTIFS($AC$5:$AC$1000,AC22,$K$5:$K$1000,"Line")&gt;0),"CHECK","OK"),"CHECK"))))</x:f>
        <x:v>OK</x:v>
      </x:c>
      <x:c r="AH22" t="n">
        <x:f>IF(AC22="","",SUMIF($AC$5:$AC$1000,AC22,$T$5:$T$1000))</x:f>
        <x:v>1</x:v>
      </x:c>
      <x:c r="AI22" t="str">
        <x:f>IF(AC22="","",IF(AND(AH22&gt;0,AH22&lt;=1),"OK","CHECK"))</x:f>
        <x:v>OK</x:v>
      </x:c>
      <x:c r="AJ22" t="str">
        <x:f>IF(AC22="","",IF(AND(Y22="OK",Z22="OK",AA22="OK",AF22="OK",AG22="OK",AI22="OK",R22&gt;0,S22&gt;0),"OK","CHECK"))</x:f>
        <x:v>OK</x:v>
      </x:c>
      <x:c r="AK22" t="str">
        <x:v>02_Supervisor_Log(4).xlsx</x:v>
      </x:c>
      <x:c r="AL22" t="str">
        <x:v>ENH-20260830-01</x:v>
      </x:c>
      <x:c r="AM22" t="str">
        <x:v>Active</x:v>
      </x:c>
      <x:c r="AN22" t="str">
        <x:f>IF(A22="","",IF(AB22="OK","LOAD","QUARANTINE"))</x:f>
        <x:v>LOAD</x:v>
      </x:c>
    </x:row>
    <x:row r="23">
      <x:c r="A23" t="s">
        <x:v>140</x:v>
      </x:c>
      <x:c r="B23" t="s">
        <x:v>135</x:v>
      </x:c>
      <x:c r="C23" t="s">
        <x:v>136</x:v>
      </x:c>
      <x:c r="D23" t="s">
        <x:v>44</x:v>
      </x:c>
      <x:c r="E23">
        <x:v>23</x:v>
      </x:c>
      <x:c r="F23">
        <x:v>45952</x:v>
      </x:c>
      <x:c r="G23" t="s">
        <x:v>45</x:v>
      </x:c>
      <x:c r="H23" t="s">
        <x:v>65</x:v>
      </x:c>
      <x:c r="I23" t="s">
        <x:v>127</x:v>
      </x:c>
      <x:c r="J23" t="s">
        <x:v>137</x:v>
      </x:c>
      <x:c r="K23" t="s">
        <x:v>106</x:v>
      </x:c>
      <x:c r="N23" t="s">
        <x:v>66</x:v>
      </x:c>
      <x:c r="Q23" t="n">
        <x:f>IF(AC23="","",AD23)</x:f>
        <x:v>0.4</x:v>
      </x:c>
      <x:c r="R23" t="n">
        <x:f>IF(B23="","",SUMIF(ProductionConfiguration!$B$5:$B$914,C23,ProductionConfiguration!$S$5:$S$914))</x:f>
        <x:v>24</x:v>
      </x:c>
      <x:c r="S23" t="n">
        <x:f>IF(B23="","",IF(K23="Line",R23,IF(K23="Section",SUMIFS(ProductionConfiguration!$S$5:$S$914,ProductionConfiguration!$B$5:$B$914,C23,ProductionConfiguration!$I$5:$I$914,L23),IF(K23="Cavity",IF(M23=1,SUMIFS(ProductionConfiguration!$P$5:$P$914,ProductionConfiguration!$B$5:$B$914,C23,ProductionConfiguration!$I$5:$I$914,L23),IF(M23=2,SUMIFS(ProductionConfiguration!$Q$5:$Q$914,ProductionConfiguration!$B$5:$B$914,C23,ProductionConfiguration!$I$5:$I$914,L23),SUMIFS(ProductionConfiguration!$R$5:$R$914,ProductionConfiguration!$B$5:$B$914,C23,ProductionConfiguration!$I$5:$I$914,L23))),0))))</x:f>
        <x:v>24</x:v>
      </x:c>
      <x:c r="T23">
        <x:f t="shared" si="0"/>
        <x:v>1</x:v>
      </x:c>
      <x:c r="U23">
        <x:f t="shared" si="1"/>
        <x:v>0.4</x:v>
      </x:c>
      <x:c r="V23" t="n">
        <x:f>IF(C23="","",SUMIF(DailyProduction!$Q$5:$Q$100,C23,DailyProduction!$J$5:$J$100))</x:f>
        <x:v>9</x:v>
      </x:c>
      <x:c r="W23">
        <x:f t="shared" si="2"/>
        <x:v>5184</x:v>
      </x:c>
      <x:c r="X23" t="s">
        <x:v>108</x:v>
      </x:c>
      <x:c r="Y23" t="str">
        <x:f>IF(B23="","",IF(COUNTIF(JobChange!$S$5:$S$100,B23)=1,"OK","CHECK"))</x:f>
        <x:v>OK</x:v>
      </x:c>
      <x:c r="Z23" t="str">
        <x:f t="shared" si="3"/>
        <x:v>OK</x:v>
      </x:c>
      <x:c r="AA23" t="str">
        <x:f t="shared" si="4"/>
        <x:v>OK</x:v>
      </x:c>
      <x:c r="AB23" t="str">
        <x:f t="shared" si="5">IF(A23="","",AJ23)</x:f>
        <x:v>OK</x:v>
      </x:c>
      <x:c r="AC23" t="str">
        <x:v>JCL-000019</x:v>
      </x:c>
      <x:c r="AD23" t="n">
        <x:f>IF(AC23="","",SUMIF(JobChangeLoss!$A$5:$A$1000,AC23,JobChangeLoss!$N$5:$N$1000))</x:f>
        <x:v>0.4</x:v>
      </x:c>
      <x:c r="AE23" t="str">
        <x:v>REFERENCE_ONLY_DO_NOT_SUM</x:v>
      </x:c>
      <x:c r="AF23" t="str">
        <x:f>IF(AC23="","",IF(AND(S23&gt;0,S23&lt;=R23),"OK","CHECK"))</x:f>
        <x:v>OK</x:v>
      </x:c>
      <x:c r="AG23" t="str">
        <x:f>IF(AC23="","",IF(K23="Line",IF(COUNTIF($AC$5:$AC$1000,AC23)=1,"OK","CHECK"),IF(K23="Section",IF(OR(COUNTIFS($AC$5:$AC$1000,AC23,$J$5:$J$1000,J23)&gt;1,COUNTIFS($AC$5:$AC$1000,AC23,$K$5:$K$1000,"Cavity",$L$5:$L$1000,L23)&gt;0,COUNTIFS($AC$5:$AC$1000,AC23,$K$5:$K$1000,"Line")&gt;0),"CHECK","OK"),IF(K23="Cavity",IF(OR(COUNTIFS($AC$5:$AC$1000,AC23,$J$5:$J$1000,J23)&gt;1,COUNTIFS($AC$5:$AC$1000,AC23,$K$5:$K$1000,"Section",$L$5:$L$1000,L23)&gt;0,COUNTIFS($AC$5:$AC$1000,AC23,$K$5:$K$1000,"Line")&gt;0),"CHECK","OK"),"CHECK"))))</x:f>
        <x:v>OK</x:v>
      </x:c>
      <x:c r="AH23" t="n">
        <x:f>IF(AC23="","",SUMIF($AC$5:$AC$1000,AC23,$T$5:$T$1000))</x:f>
        <x:v>1</x:v>
      </x:c>
      <x:c r="AI23" t="str">
        <x:f>IF(AC23="","",IF(AND(AH23&gt;0,AH23&lt;=1),"OK","CHECK"))</x:f>
        <x:v>OK</x:v>
      </x:c>
      <x:c r="AJ23" t="str">
        <x:f>IF(AC23="","",IF(AND(Y23="OK",Z23="OK",AA23="OK",AF23="OK",AG23="OK",AI23="OK",R23&gt;0,S23&gt;0),"OK","CHECK"))</x:f>
        <x:v>OK</x:v>
      </x:c>
      <x:c r="AK23" t="str">
        <x:v>02_Supervisor_Log(4).xlsx</x:v>
      </x:c>
      <x:c r="AL23" t="str">
        <x:v>ENH-20260830-01</x:v>
      </x:c>
      <x:c r="AM23" t="str">
        <x:v>Active</x:v>
      </x:c>
      <x:c r="AN23" t="str">
        <x:f>IF(A23="","",IF(AB23="OK","LOAD","QUARANTINE"))</x:f>
        <x:v>LOAD</x:v>
      </x:c>
    </x:row>
    <x:row r="24">
      <x:c r="A24" t="s">
        <x:v>141</x:v>
      </x:c>
      <x:c r="B24" t="s">
        <x:v>142</x:v>
      </x:c>
      <x:c r="C24" t="s">
        <x:v>143</x:v>
      </x:c>
      <x:c r="D24" t="s">
        <x:v>44</x:v>
      </x:c>
      <x:c r="E24">
        <x:v>23</x:v>
      </x:c>
      <x:c r="F24">
        <x:v>45956</x:v>
      </x:c>
      <x:c r="G24" t="s">
        <x:v>45</x:v>
      </x:c>
      <x:c r="H24" t="s">
        <x:v>67</x:v>
      </x:c>
      <x:c r="I24" t="s">
        <x:v>104</x:v>
      </x:c>
      <x:c r="J24" t="s">
        <x:v>137</x:v>
      </x:c>
      <x:c r="K24" t="s">
        <x:v>106</x:v>
      </x:c>
      <x:c r="N24" t="s">
        <x:v>107</x:v>
      </x:c>
      <x:c r="Q24" t="n">
        <x:f>IF(AC24="","",AD24)</x:f>
        <x:v>6.68</x:v>
      </x:c>
      <x:c r="R24" t="n">
        <x:f>IF(B24="","",SUMIF(ProductionConfiguration!$B$5:$B$914,C24,ProductionConfiguration!$S$5:$S$914))</x:f>
        <x:v>24</x:v>
      </x:c>
      <x:c r="S24" t="n">
        <x:f>IF(B24="","",IF(K24="Line",R24,IF(K24="Section",SUMIFS(ProductionConfiguration!$S$5:$S$914,ProductionConfiguration!$B$5:$B$914,C24,ProductionConfiguration!$I$5:$I$914,L24),IF(K24="Cavity",IF(M24=1,SUMIFS(ProductionConfiguration!$P$5:$P$914,ProductionConfiguration!$B$5:$B$914,C24,ProductionConfiguration!$I$5:$I$914,L24),IF(M24=2,SUMIFS(ProductionConfiguration!$Q$5:$Q$914,ProductionConfiguration!$B$5:$B$914,C24,ProductionConfiguration!$I$5:$I$914,L24),SUMIFS(ProductionConfiguration!$R$5:$R$914,ProductionConfiguration!$B$5:$B$914,C24,ProductionConfiguration!$I$5:$I$914,L24))),0))))</x:f>
        <x:v>24</x:v>
      </x:c>
      <x:c r="T24">
        <x:f t="shared" si="0"/>
        <x:v>1</x:v>
      </x:c>
      <x:c r="U24">
        <x:f t="shared" si="1"/>
        <x:v>6.68</x:v>
      </x:c>
      <x:c r="V24" t="n">
        <x:f>IF(C24="","",SUMIF(DailyProduction!$Q$5:$Q$100,C24,DailyProduction!$J$5:$J$100))</x:f>
        <x:v>10</x:v>
      </x:c>
      <x:c r="W24">
        <x:f t="shared" si="2"/>
        <x:v>96191.999999999985</x:v>
      </x:c>
      <x:c r="X24" t="s">
        <x:v>108</x:v>
      </x:c>
      <x:c r="Y24" t="str">
        <x:f>IF(B24="","",IF(COUNTIF(JobChange!$S$5:$S$100,B24)=1,"OK","CHECK"))</x:f>
        <x:v>OK</x:v>
      </x:c>
      <x:c r="Z24" t="str">
        <x:f t="shared" si="3"/>
        <x:v>OK</x:v>
      </x:c>
      <x:c r="AA24" t="str">
        <x:f t="shared" si="4"/>
        <x:v>OK</x:v>
      </x:c>
      <x:c r="AB24" t="str">
        <x:f t="shared" si="5">IF(A24="","",AJ24)</x:f>
        <x:v>OK</x:v>
      </x:c>
      <x:c r="AC24" t="str">
        <x:v>JCL-000020</x:v>
      </x:c>
      <x:c r="AD24" t="n">
        <x:f>IF(AC24="","",SUMIF(JobChangeLoss!$A$5:$A$1000,AC24,JobChangeLoss!$N$5:$N$1000))</x:f>
        <x:v>6.68</x:v>
      </x:c>
      <x:c r="AE24" t="str">
        <x:v>REFERENCE_ONLY_DO_NOT_SUM</x:v>
      </x:c>
      <x:c r="AF24" t="str">
        <x:f>IF(AC24="","",IF(AND(S24&gt;0,S24&lt;=R24),"OK","CHECK"))</x:f>
        <x:v>OK</x:v>
      </x:c>
      <x:c r="AG24" t="str">
        <x:f>IF(AC24="","",IF(K24="Line",IF(COUNTIF($AC$5:$AC$1000,AC24)=1,"OK","CHECK"),IF(K24="Section",IF(OR(COUNTIFS($AC$5:$AC$1000,AC24,$J$5:$J$1000,J24)&gt;1,COUNTIFS($AC$5:$AC$1000,AC24,$K$5:$K$1000,"Cavity",$L$5:$L$1000,L24)&gt;0,COUNTIFS($AC$5:$AC$1000,AC24,$K$5:$K$1000,"Line")&gt;0),"CHECK","OK"),IF(K24="Cavity",IF(OR(COUNTIFS($AC$5:$AC$1000,AC24,$J$5:$J$1000,J24)&gt;1,COUNTIFS($AC$5:$AC$1000,AC24,$K$5:$K$1000,"Section",$L$5:$L$1000,L24)&gt;0,COUNTIFS($AC$5:$AC$1000,AC24,$K$5:$K$1000,"Line")&gt;0),"CHECK","OK"),"CHECK"))))</x:f>
        <x:v>OK</x:v>
      </x:c>
      <x:c r="AH24" t="n">
        <x:f>IF(AC24="","",SUMIF($AC$5:$AC$1000,AC24,$T$5:$T$1000))</x:f>
        <x:v>1</x:v>
      </x:c>
      <x:c r="AI24" t="str">
        <x:f>IF(AC24="","",IF(AND(AH24&gt;0,AH24&lt;=1),"OK","CHECK"))</x:f>
        <x:v>OK</x:v>
      </x:c>
      <x:c r="AJ24" t="str">
        <x:f>IF(AC24="","",IF(AND(Y24="OK",Z24="OK",AA24="OK",AF24="OK",AG24="OK",AI24="OK",R24&gt;0,S24&gt;0),"OK","CHECK"))</x:f>
        <x:v>OK</x:v>
      </x:c>
      <x:c r="AK24" t="str">
        <x:v>02_Supervisor_Log(4).xlsx</x:v>
      </x:c>
      <x:c r="AL24" t="str">
        <x:v>ENH-20260830-01</x:v>
      </x:c>
      <x:c r="AM24" t="str">
        <x:v>Active</x:v>
      </x:c>
      <x:c r="AN24" t="str">
        <x:f>IF(A24="","",IF(AB24="OK","LOAD","QUARANTINE"))</x:f>
        <x:v>LOAD</x:v>
      </x:c>
    </x:row>
    <x:row r="25">
      <x:c r="A25" t="s">
        <x:v>144</x:v>
      </x:c>
      <x:c r="B25" t="s">
        <x:v>142</x:v>
      </x:c>
      <x:c r="C25" t="s">
        <x:v>143</x:v>
      </x:c>
      <x:c r="D25" t="s">
        <x:v>44</x:v>
      </x:c>
      <x:c r="E25">
        <x:v>23</x:v>
      </x:c>
      <x:c r="F25">
        <x:v>45956</x:v>
      </x:c>
      <x:c r="G25" t="s">
        <x:v>45</x:v>
      </x:c>
      <x:c r="H25" t="s">
        <x:v>67</x:v>
      </x:c>
      <x:c r="I25" t="s">
        <x:v>110</x:v>
      </x:c>
      <x:c r="J25" t="s">
        <x:v>137</x:v>
      </x:c>
      <x:c r="K25" t="s">
        <x:v>106</x:v>
      </x:c>
      <x:c r="N25" t="s">
        <x:v>107</x:v>
      </x:c>
      <x:c r="Q25" t="n">
        <x:f>IF(AC25="","",AD25)</x:f>
        <x:v>2.81</x:v>
      </x:c>
      <x:c r="R25" t="n">
        <x:f>IF(B25="","",SUMIF(ProductionConfiguration!$B$5:$B$914,C25,ProductionConfiguration!$S$5:$S$914))</x:f>
        <x:v>24</x:v>
      </x:c>
      <x:c r="S25" t="n">
        <x:f>IF(B25="","",IF(K25="Line",R25,IF(K25="Section",SUMIFS(ProductionConfiguration!$S$5:$S$914,ProductionConfiguration!$B$5:$B$914,C25,ProductionConfiguration!$I$5:$I$914,L25),IF(K25="Cavity",IF(M25=1,SUMIFS(ProductionConfiguration!$P$5:$P$914,ProductionConfiguration!$B$5:$B$914,C25,ProductionConfiguration!$I$5:$I$914,L25),IF(M25=2,SUMIFS(ProductionConfiguration!$Q$5:$Q$914,ProductionConfiguration!$B$5:$B$914,C25,ProductionConfiguration!$I$5:$I$914,L25),SUMIFS(ProductionConfiguration!$R$5:$R$914,ProductionConfiguration!$B$5:$B$914,C25,ProductionConfiguration!$I$5:$I$914,L25))),0))))</x:f>
        <x:v>24</x:v>
      </x:c>
      <x:c r="T25">
        <x:f t="shared" si="0"/>
        <x:v>1</x:v>
      </x:c>
      <x:c r="U25">
        <x:f t="shared" si="1"/>
        <x:v>2.81</x:v>
      </x:c>
      <x:c r="V25" t="n">
        <x:f>IF(C25="","",SUMIF(DailyProduction!$Q$5:$Q$100,C25,DailyProduction!$J$5:$J$100))</x:f>
        <x:v>10</x:v>
      </x:c>
      <x:c r="W25">
        <x:f t="shared" si="2"/>
        <x:v>40464</x:v>
      </x:c>
      <x:c r="X25" t="s">
        <x:v>108</x:v>
      </x:c>
      <x:c r="Y25" t="str">
        <x:f>IF(B25="","",IF(COUNTIF(JobChange!$S$5:$S$100,B25)=1,"OK","CHECK"))</x:f>
        <x:v>OK</x:v>
      </x:c>
      <x:c r="Z25" t="str">
        <x:f t="shared" si="3"/>
        <x:v>OK</x:v>
      </x:c>
      <x:c r="AA25" t="str">
        <x:f t="shared" si="4"/>
        <x:v>OK</x:v>
      </x:c>
      <x:c r="AB25" t="str">
        <x:f t="shared" si="5">IF(A25="","",AJ25)</x:f>
        <x:v>OK</x:v>
      </x:c>
      <x:c r="AC25" t="str">
        <x:v>JCL-000021</x:v>
      </x:c>
      <x:c r="AD25" t="n">
        <x:f>IF(AC25="","",SUMIF(JobChangeLoss!$A$5:$A$1000,AC25,JobChangeLoss!$N$5:$N$1000))</x:f>
        <x:v>2.81</x:v>
      </x:c>
      <x:c r="AE25" t="str">
        <x:v>REFERENCE_ONLY_DO_NOT_SUM</x:v>
      </x:c>
      <x:c r="AF25" t="str">
        <x:f>IF(AC25="","",IF(AND(S25&gt;0,S25&lt;=R25),"OK","CHECK"))</x:f>
        <x:v>OK</x:v>
      </x:c>
      <x:c r="AG25" t="str">
        <x:f>IF(AC25="","",IF(K25="Line",IF(COUNTIF($AC$5:$AC$1000,AC25)=1,"OK","CHECK"),IF(K25="Section",IF(OR(COUNTIFS($AC$5:$AC$1000,AC25,$J$5:$J$1000,J25)&gt;1,COUNTIFS($AC$5:$AC$1000,AC25,$K$5:$K$1000,"Cavity",$L$5:$L$1000,L25)&gt;0,COUNTIFS($AC$5:$AC$1000,AC25,$K$5:$K$1000,"Line")&gt;0),"CHECK","OK"),IF(K25="Cavity",IF(OR(COUNTIFS($AC$5:$AC$1000,AC25,$J$5:$J$1000,J25)&gt;1,COUNTIFS($AC$5:$AC$1000,AC25,$K$5:$K$1000,"Section",$L$5:$L$1000,L25)&gt;0,COUNTIFS($AC$5:$AC$1000,AC25,$K$5:$K$1000,"Line")&gt;0),"CHECK","OK"),"CHECK"))))</x:f>
        <x:v>OK</x:v>
      </x:c>
      <x:c r="AH25" t="n">
        <x:f>IF(AC25="","",SUMIF($AC$5:$AC$1000,AC25,$T$5:$T$1000))</x:f>
        <x:v>1</x:v>
      </x:c>
      <x:c r="AI25" t="str">
        <x:f>IF(AC25="","",IF(AND(AH25&gt;0,AH25&lt;=1),"OK","CHECK"))</x:f>
        <x:v>OK</x:v>
      </x:c>
      <x:c r="AJ25" t="str">
        <x:f>IF(AC25="","",IF(AND(Y25="OK",Z25="OK",AA25="OK",AF25="OK",AG25="OK",AI25="OK",R25&gt;0,S25&gt;0),"OK","CHECK"))</x:f>
        <x:v>OK</x:v>
      </x:c>
      <x:c r="AK25" t="str">
        <x:v>02_Supervisor_Log(4).xlsx</x:v>
      </x:c>
      <x:c r="AL25" t="str">
        <x:v>ENH-20260830-01</x:v>
      </x:c>
      <x:c r="AM25" t="str">
        <x:v>Active</x:v>
      </x:c>
      <x:c r="AN25" t="str">
        <x:f>IF(A25="","",IF(AB25="OK","LOAD","QUARANTINE"))</x:f>
        <x:v>LOAD</x:v>
      </x:c>
    </x:row>
    <x:row r="26">
      <x:c r="A26" t="s">
        <x:v>145</x:v>
      </x:c>
      <x:c r="B26" t="s">
        <x:v>142</x:v>
      </x:c>
      <x:c r="C26" t="s">
        <x:v>143</x:v>
      </x:c>
      <x:c r="D26" t="s">
        <x:v>44</x:v>
      </x:c>
      <x:c r="E26">
        <x:v>23</x:v>
      </x:c>
      <x:c r="F26">
        <x:v>45956</x:v>
      </x:c>
      <x:c r="G26" t="s">
        <x:v>45</x:v>
      </x:c>
      <x:c r="H26" t="s">
        <x:v>67</x:v>
      </x:c>
      <x:c r="I26" t="s">
        <x:v>112</x:v>
      </x:c>
      <x:c r="J26" t="s">
        <x:v>137</x:v>
      </x:c>
      <x:c r="K26" t="s">
        <x:v>106</x:v>
      </x:c>
      <x:c r="N26" t="s">
        <x:v>107</x:v>
      </x:c>
      <x:c r="Q26" t="n">
        <x:f>IF(AC26="","",AD26)</x:f>
        <x:v>0.35</x:v>
      </x:c>
      <x:c r="R26" t="n">
        <x:f>IF(B26="","",SUMIF(ProductionConfiguration!$B$5:$B$914,C26,ProductionConfiguration!$S$5:$S$914))</x:f>
        <x:v>24</x:v>
      </x:c>
      <x:c r="S26" t="n">
        <x:f>IF(B26="","",IF(K26="Line",R26,IF(K26="Section",SUMIFS(ProductionConfiguration!$S$5:$S$914,ProductionConfiguration!$B$5:$B$914,C26,ProductionConfiguration!$I$5:$I$914,L26),IF(K26="Cavity",IF(M26=1,SUMIFS(ProductionConfiguration!$P$5:$P$914,ProductionConfiguration!$B$5:$B$914,C26,ProductionConfiguration!$I$5:$I$914,L26),IF(M26=2,SUMIFS(ProductionConfiguration!$Q$5:$Q$914,ProductionConfiguration!$B$5:$B$914,C26,ProductionConfiguration!$I$5:$I$914,L26),SUMIFS(ProductionConfiguration!$R$5:$R$914,ProductionConfiguration!$B$5:$B$914,C26,ProductionConfiguration!$I$5:$I$914,L26))),0))))</x:f>
        <x:v>24</x:v>
      </x:c>
      <x:c r="T26">
        <x:f t="shared" si="0"/>
        <x:v>1</x:v>
      </x:c>
      <x:c r="U26">
        <x:f t="shared" si="1"/>
        <x:v>0.35</x:v>
      </x:c>
      <x:c r="V26" t="n">
        <x:f>IF(C26="","",SUMIF(DailyProduction!$Q$5:$Q$100,C26,DailyProduction!$J$5:$J$100))</x:f>
        <x:v>10</x:v>
      </x:c>
      <x:c r="W26">
        <x:f t="shared" si="2"/>
        <x:v>5040</x:v>
      </x:c>
      <x:c r="X26" t="s">
        <x:v>108</x:v>
      </x:c>
      <x:c r="Y26" t="str">
        <x:f>IF(B26="","",IF(COUNTIF(JobChange!$S$5:$S$100,B26)=1,"OK","CHECK"))</x:f>
        <x:v>OK</x:v>
      </x:c>
      <x:c r="Z26" t="str">
        <x:f t="shared" si="3"/>
        <x:v>OK</x:v>
      </x:c>
      <x:c r="AA26" t="str">
        <x:f t="shared" si="4"/>
        <x:v>OK</x:v>
      </x:c>
      <x:c r="AB26" t="str">
        <x:f t="shared" si="5">IF(A26="","",AJ26)</x:f>
        <x:v>OK</x:v>
      </x:c>
      <x:c r="AC26" t="str">
        <x:v>JCL-000022</x:v>
      </x:c>
      <x:c r="AD26" t="n">
        <x:f>IF(AC26="","",SUMIF(JobChangeLoss!$A$5:$A$1000,AC26,JobChangeLoss!$N$5:$N$1000))</x:f>
        <x:v>0.35</x:v>
      </x:c>
      <x:c r="AE26" t="str">
        <x:v>REFERENCE_ONLY_DO_NOT_SUM</x:v>
      </x:c>
      <x:c r="AF26" t="str">
        <x:f>IF(AC26="","",IF(AND(S26&gt;0,S26&lt;=R26),"OK","CHECK"))</x:f>
        <x:v>OK</x:v>
      </x:c>
      <x:c r="AG26" t="str">
        <x:f>IF(AC26="","",IF(K26="Line",IF(COUNTIF($AC$5:$AC$1000,AC26)=1,"OK","CHECK"),IF(K26="Section",IF(OR(COUNTIFS($AC$5:$AC$1000,AC26,$J$5:$J$1000,J26)&gt;1,COUNTIFS($AC$5:$AC$1000,AC26,$K$5:$K$1000,"Cavity",$L$5:$L$1000,L26)&gt;0,COUNTIFS($AC$5:$AC$1000,AC26,$K$5:$K$1000,"Line")&gt;0),"CHECK","OK"),IF(K26="Cavity",IF(OR(COUNTIFS($AC$5:$AC$1000,AC26,$J$5:$J$1000,J26)&gt;1,COUNTIFS($AC$5:$AC$1000,AC26,$K$5:$K$1000,"Section",$L$5:$L$1000,L26)&gt;0,COUNTIFS($AC$5:$AC$1000,AC26,$K$5:$K$1000,"Line")&gt;0),"CHECK","OK"),"CHECK"))))</x:f>
        <x:v>OK</x:v>
      </x:c>
      <x:c r="AH26" t="n">
        <x:f>IF(AC26="","",SUMIF($AC$5:$AC$1000,AC26,$T$5:$T$1000))</x:f>
        <x:v>1</x:v>
      </x:c>
      <x:c r="AI26" t="str">
        <x:f>IF(AC26="","",IF(AND(AH26&gt;0,AH26&lt;=1),"OK","CHECK"))</x:f>
        <x:v>OK</x:v>
      </x:c>
      <x:c r="AJ26" t="str">
        <x:f>IF(AC26="","",IF(AND(Y26="OK",Z26="OK",AA26="OK",AF26="OK",AG26="OK",AI26="OK",R26&gt;0,S26&gt;0),"OK","CHECK"))</x:f>
        <x:v>OK</x:v>
      </x:c>
      <x:c r="AK26" t="str">
        <x:v>02_Supervisor_Log(4).xlsx</x:v>
      </x:c>
      <x:c r="AL26" t="str">
        <x:v>ENH-20260830-01</x:v>
      </x:c>
      <x:c r="AM26" t="str">
        <x:v>Active</x:v>
      </x:c>
      <x:c r="AN26" t="str">
        <x:f>IF(A26="","",IF(AB26="OK","LOAD","QUARANTINE"))</x:f>
        <x:v>LOAD</x:v>
      </x:c>
    </x:row>
    <x:row r="27">
      <x:c r="A27" t="s">
        <x:v>146</x:v>
      </x:c>
      <x:c r="B27" t="s">
        <x:v>142</x:v>
      </x:c>
      <x:c r="C27" t="s">
        <x:v>143</x:v>
      </x:c>
      <x:c r="D27" t="s">
        <x:v>44</x:v>
      </x:c>
      <x:c r="E27">
        <x:v>23</x:v>
      </x:c>
      <x:c r="F27">
        <x:v>45956</x:v>
      </x:c>
      <x:c r="G27" t="s">
        <x:v>45</x:v>
      </x:c>
      <x:c r="H27" t="s">
        <x:v>67</x:v>
      </x:c>
      <x:c r="I27" t="s">
        <x:v>119</x:v>
      </x:c>
      <x:c r="J27" t="s">
        <x:v>137</x:v>
      </x:c>
      <x:c r="K27" t="s">
        <x:v>106</x:v>
      </x:c>
      <x:c r="N27" t="s">
        <x:v>69</x:v>
      </x:c>
      <x:c r="Q27" t="n">
        <x:f>IF(AC27="","",AD27)</x:f>
        <x:v>0.47</x:v>
      </x:c>
      <x:c r="R27" t="n">
        <x:f>IF(B27="","",SUMIF(ProductionConfiguration!$B$5:$B$914,C27,ProductionConfiguration!$S$5:$S$914))</x:f>
        <x:v>24</x:v>
      </x:c>
      <x:c r="S27" t="n">
        <x:f>IF(B27="","",IF(K27="Line",R27,IF(K27="Section",SUMIFS(ProductionConfiguration!$S$5:$S$914,ProductionConfiguration!$B$5:$B$914,C27,ProductionConfiguration!$I$5:$I$914,L27),IF(K27="Cavity",IF(M27=1,SUMIFS(ProductionConfiguration!$P$5:$P$914,ProductionConfiguration!$B$5:$B$914,C27,ProductionConfiguration!$I$5:$I$914,L27),IF(M27=2,SUMIFS(ProductionConfiguration!$Q$5:$Q$914,ProductionConfiguration!$B$5:$B$914,C27,ProductionConfiguration!$I$5:$I$914,L27),SUMIFS(ProductionConfiguration!$R$5:$R$914,ProductionConfiguration!$B$5:$B$914,C27,ProductionConfiguration!$I$5:$I$914,L27))),0))))</x:f>
        <x:v>24</x:v>
      </x:c>
      <x:c r="T27">
        <x:f t="shared" si="0"/>
        <x:v>1</x:v>
      </x:c>
      <x:c r="U27">
        <x:f t="shared" si="1"/>
        <x:v>0.47</x:v>
      </x:c>
      <x:c r="V27" t="n">
        <x:f>IF(C27="","",SUMIF(DailyProduction!$Q$5:$Q$100,C27,DailyProduction!$J$5:$J$100))</x:f>
        <x:v>10</x:v>
      </x:c>
      <x:c r="W27">
        <x:f t="shared" si="2"/>
        <x:v>6768</x:v>
      </x:c>
      <x:c r="X27" t="s">
        <x:v>108</x:v>
      </x:c>
      <x:c r="Y27" t="str">
        <x:f>IF(B27="","",IF(COUNTIF(JobChange!$S$5:$S$100,B27)=1,"OK","CHECK"))</x:f>
        <x:v>OK</x:v>
      </x:c>
      <x:c r="Z27" t="str">
        <x:f t="shared" si="3"/>
        <x:v>OK</x:v>
      </x:c>
      <x:c r="AA27" t="str">
        <x:f t="shared" si="4"/>
        <x:v>OK</x:v>
      </x:c>
      <x:c r="AB27" t="str">
        <x:f t="shared" si="5">IF(A27="","",AJ27)</x:f>
        <x:v>OK</x:v>
      </x:c>
      <x:c r="AC27" t="str">
        <x:v>JCL-000023</x:v>
      </x:c>
      <x:c r="AD27" t="n">
        <x:f>IF(AC27="","",SUMIF(JobChangeLoss!$A$5:$A$1000,AC27,JobChangeLoss!$N$5:$N$1000))</x:f>
        <x:v>0.47</x:v>
      </x:c>
      <x:c r="AE27" t="str">
        <x:v>REFERENCE_ONLY_DO_NOT_SUM</x:v>
      </x:c>
      <x:c r="AF27" t="str">
        <x:f>IF(AC27="","",IF(AND(S27&gt;0,S27&lt;=R27),"OK","CHECK"))</x:f>
        <x:v>OK</x:v>
      </x:c>
      <x:c r="AG27" t="str">
        <x:f>IF(AC27="","",IF(K27="Line",IF(COUNTIF($AC$5:$AC$1000,AC27)=1,"OK","CHECK"),IF(K27="Section",IF(OR(COUNTIFS($AC$5:$AC$1000,AC27,$J$5:$J$1000,J27)&gt;1,COUNTIFS($AC$5:$AC$1000,AC27,$K$5:$K$1000,"Cavity",$L$5:$L$1000,L27)&gt;0,COUNTIFS($AC$5:$AC$1000,AC27,$K$5:$K$1000,"Line")&gt;0),"CHECK","OK"),IF(K27="Cavity",IF(OR(COUNTIFS($AC$5:$AC$1000,AC27,$J$5:$J$1000,J27)&gt;1,COUNTIFS($AC$5:$AC$1000,AC27,$K$5:$K$1000,"Section",$L$5:$L$1000,L27)&gt;0,COUNTIFS($AC$5:$AC$1000,AC27,$K$5:$K$1000,"Line")&gt;0),"CHECK","OK"),"CHECK"))))</x:f>
        <x:v>OK</x:v>
      </x:c>
      <x:c r="AH27" t="n">
        <x:f>IF(AC27="","",SUMIF($AC$5:$AC$1000,AC27,$T$5:$T$1000))</x:f>
        <x:v>1</x:v>
      </x:c>
      <x:c r="AI27" t="str">
        <x:f>IF(AC27="","",IF(AND(AH27&gt;0,AH27&lt;=1),"OK","CHECK"))</x:f>
        <x:v>OK</x:v>
      </x:c>
      <x:c r="AJ27" t="str">
        <x:f>IF(AC27="","",IF(AND(Y27="OK",Z27="OK",AA27="OK",AF27="OK",AG27="OK",AI27="OK",R27&gt;0,S27&gt;0),"OK","CHECK"))</x:f>
        <x:v>OK</x:v>
      </x:c>
      <x:c r="AK27" t="str">
        <x:v>02_Supervisor_Log(4).xlsx</x:v>
      </x:c>
      <x:c r="AL27" t="str">
        <x:v>ENH-20260830-01</x:v>
      </x:c>
      <x:c r="AM27" t="str">
        <x:v>Active</x:v>
      </x:c>
      <x:c r="AN27" t="str">
        <x:f>IF(A27="","",IF(AB27="OK","LOAD","QUARANTINE"))</x:f>
        <x:v>LOAD</x:v>
      </x:c>
    </x:row>
    <x:row r="28">
      <x:c r="A28" t="s">
        <x:v>147</x:v>
      </x:c>
      <x:c r="B28" t="s">
        <x:v>142</x:v>
      </x:c>
      <x:c r="C28" t="s">
        <x:v>143</x:v>
      </x:c>
      <x:c r="D28" t="s">
        <x:v>44</x:v>
      </x:c>
      <x:c r="E28">
        <x:v>23</x:v>
      </x:c>
      <x:c r="F28">
        <x:v>45956</x:v>
      </x:c>
      <x:c r="G28" t="s">
        <x:v>45</x:v>
      </x:c>
      <x:c r="H28" t="s">
        <x:v>67</x:v>
      </x:c>
      <x:c r="I28" t="s">
        <x:v>148</x:v>
      </x:c>
      <x:c r="J28" t="s">
        <x:v>137</x:v>
      </x:c>
      <x:c r="K28" t="s">
        <x:v>106</x:v>
      </x:c>
      <x:c r="N28" t="s">
        <x:v>70</x:v>
      </x:c>
      <x:c r="Q28" t="n">
        <x:f>IF(AC28="","",AD28)</x:f>
        <x:v>0.39</x:v>
      </x:c>
      <x:c r="R28" t="n">
        <x:f>IF(B28="","",SUMIF(ProductionConfiguration!$B$5:$B$914,C28,ProductionConfiguration!$S$5:$S$914))</x:f>
        <x:v>24</x:v>
      </x:c>
      <x:c r="S28" t="n">
        <x:f>IF(B28="","",IF(K28="Line",R28,IF(K28="Section",SUMIFS(ProductionConfiguration!$S$5:$S$914,ProductionConfiguration!$B$5:$B$914,C28,ProductionConfiguration!$I$5:$I$914,L28),IF(K28="Cavity",IF(M28=1,SUMIFS(ProductionConfiguration!$P$5:$P$914,ProductionConfiguration!$B$5:$B$914,C28,ProductionConfiguration!$I$5:$I$914,L28),IF(M28=2,SUMIFS(ProductionConfiguration!$Q$5:$Q$914,ProductionConfiguration!$B$5:$B$914,C28,ProductionConfiguration!$I$5:$I$914,L28),SUMIFS(ProductionConfiguration!$R$5:$R$914,ProductionConfiguration!$B$5:$B$914,C28,ProductionConfiguration!$I$5:$I$914,L28))),0))))</x:f>
        <x:v>24</x:v>
      </x:c>
      <x:c r="T28">
        <x:f t="shared" si="0"/>
        <x:v>1</x:v>
      </x:c>
      <x:c r="U28">
        <x:f t="shared" si="1"/>
        <x:v>0.39</x:v>
      </x:c>
      <x:c r="V28" t="n">
        <x:f>IF(C28="","",SUMIF(DailyProduction!$Q$5:$Q$100,C28,DailyProduction!$J$5:$J$100))</x:f>
        <x:v>10</x:v>
      </x:c>
      <x:c r="W28">
        <x:f t="shared" si="2"/>
        <x:v>5616.0000000000009</x:v>
      </x:c>
      <x:c r="X28" t="s">
        <x:v>108</x:v>
      </x:c>
      <x:c r="Y28" t="str">
        <x:f>IF(B28="","",IF(COUNTIF(JobChange!$S$5:$S$100,B28)=1,"OK","CHECK"))</x:f>
        <x:v>OK</x:v>
      </x:c>
      <x:c r="Z28" t="str">
        <x:f t="shared" si="3"/>
        <x:v>OK</x:v>
      </x:c>
      <x:c r="AA28" t="str">
        <x:f t="shared" si="4"/>
        <x:v>OK</x:v>
      </x:c>
      <x:c r="AB28" t="str">
        <x:f t="shared" si="5">IF(A28="","",AJ28)</x:f>
        <x:v>OK</x:v>
      </x:c>
      <x:c r="AC28" t="str">
        <x:v>JCL-000024</x:v>
      </x:c>
      <x:c r="AD28" t="n">
        <x:f>IF(AC28="","",SUMIF(JobChangeLoss!$A$5:$A$1000,AC28,JobChangeLoss!$N$5:$N$1000))</x:f>
        <x:v>0.39</x:v>
      </x:c>
      <x:c r="AE28" t="str">
        <x:v>REFERENCE_ONLY_DO_NOT_SUM</x:v>
      </x:c>
      <x:c r="AF28" t="str">
        <x:f>IF(AC28="","",IF(AND(S28&gt;0,S28&lt;=R28),"OK","CHECK"))</x:f>
        <x:v>OK</x:v>
      </x:c>
      <x:c r="AG28" t="str">
        <x:f>IF(AC28="","",IF(K28="Line",IF(COUNTIF($AC$5:$AC$1000,AC28)=1,"OK","CHECK"),IF(K28="Section",IF(OR(COUNTIFS($AC$5:$AC$1000,AC28,$J$5:$J$1000,J28)&gt;1,COUNTIFS($AC$5:$AC$1000,AC28,$K$5:$K$1000,"Cavity",$L$5:$L$1000,L28)&gt;0,COUNTIFS($AC$5:$AC$1000,AC28,$K$5:$K$1000,"Line")&gt;0),"CHECK","OK"),IF(K28="Cavity",IF(OR(COUNTIFS($AC$5:$AC$1000,AC28,$J$5:$J$1000,J28)&gt;1,COUNTIFS($AC$5:$AC$1000,AC28,$K$5:$K$1000,"Section",$L$5:$L$1000,L28)&gt;0,COUNTIFS($AC$5:$AC$1000,AC28,$K$5:$K$1000,"Line")&gt;0),"CHECK","OK"),"CHECK"))))</x:f>
        <x:v>OK</x:v>
      </x:c>
      <x:c r="AH28" t="n">
        <x:f>IF(AC28="","",SUMIF($AC$5:$AC$1000,AC28,$T$5:$T$1000))</x:f>
        <x:v>1</x:v>
      </x:c>
      <x:c r="AI28" t="str">
        <x:f>IF(AC28="","",IF(AND(AH28&gt;0,AH28&lt;=1),"OK","CHECK"))</x:f>
        <x:v>OK</x:v>
      </x:c>
      <x:c r="AJ28" t="str">
        <x:f>IF(AC28="","",IF(AND(Y28="OK",Z28="OK",AA28="OK",AF28="OK",AG28="OK",AI28="OK",R28&gt;0,S28&gt;0),"OK","CHECK"))</x:f>
        <x:v>OK</x:v>
      </x:c>
      <x:c r="AK28" t="str">
        <x:v>02_Supervisor_Log(4).xlsx</x:v>
      </x:c>
      <x:c r="AL28" t="str">
        <x:v>ENH-20260830-01</x:v>
      </x:c>
      <x:c r="AM28" t="str">
        <x:v>Active</x:v>
      </x:c>
      <x:c r="AN28" t="str">
        <x:f>IF(A28="","",IF(AB28="OK","LOAD","QUARANTINE"))</x:f>
        <x:v>LOAD</x:v>
      </x:c>
    </x:row>
    <x:row r="29">
      <x:c r="A29" t="s">
        <x:v>149</x:v>
      </x:c>
      <x:c r="B29" t="s">
        <x:v>150</x:v>
      </x:c>
      <x:c r="C29" t="s">
        <x:v>151</x:v>
      </x:c>
      <x:c r="D29" t="s">
        <x:v>44</x:v>
      </x:c>
      <x:c r="E29">
        <x:v>24</x:v>
      </x:c>
      <x:c r="F29">
        <x:v>45951</x:v>
      </x:c>
      <x:c r="G29" t="s">
        <x:v>45</x:v>
      </x:c>
      <x:c r="H29" t="s">
        <x:v>73</x:v>
      </x:c>
      <x:c r="I29" t="s">
        <x:v>104</x:v>
      </x:c>
      <x:c r="J29" t="s">
        <x:v>152</x:v>
      </x:c>
      <x:c r="K29" t="s">
        <x:v>106</x:v>
      </x:c>
      <x:c r="N29" t="s">
        <x:v>107</x:v>
      </x:c>
      <x:c r="Q29" t="n">
        <x:f>IF(AC29="","",AD29)</x:f>
        <x:v>3.5</x:v>
      </x:c>
      <x:c r="R29" t="n">
        <x:f>IF(B29="","",SUMIF(ProductionConfiguration!$B$5:$B$914,C29,ProductionConfiguration!$S$5:$S$914))</x:f>
        <x:v>36</x:v>
      </x:c>
      <x:c r="S29" t="n">
        <x:f>IF(B29="","",IF(K29="Line",R29,IF(K29="Section",SUMIFS(ProductionConfiguration!$S$5:$S$914,ProductionConfiguration!$B$5:$B$914,C29,ProductionConfiguration!$I$5:$I$914,L29),IF(K29="Cavity",IF(M29=1,SUMIFS(ProductionConfiguration!$P$5:$P$914,ProductionConfiguration!$B$5:$B$914,C29,ProductionConfiguration!$I$5:$I$914,L29),IF(M29=2,SUMIFS(ProductionConfiguration!$Q$5:$Q$914,ProductionConfiguration!$B$5:$B$914,C29,ProductionConfiguration!$I$5:$I$914,L29),SUMIFS(ProductionConfiguration!$R$5:$R$914,ProductionConfiguration!$B$5:$B$914,C29,ProductionConfiguration!$I$5:$I$914,L29))),0))))</x:f>
        <x:v>36</x:v>
      </x:c>
      <x:c r="T29">
        <x:f t="shared" si="0"/>
        <x:v>1</x:v>
      </x:c>
      <x:c r="U29">
        <x:f t="shared" si="1"/>
        <x:v>3.5</x:v>
      </x:c>
      <x:c r="V29" t="n">
        <x:f>IF(C29="","",SUMIF(DailyProduction!$Q$5:$Q$100,C29,DailyProduction!$J$5:$J$100))</x:f>
        <x:v>12</x:v>
      </x:c>
      <x:c r="W29">
        <x:f t="shared" si="2"/>
        <x:v>90720</x:v>
      </x:c>
      <x:c r="X29" t="s">
        <x:v>108</x:v>
      </x:c>
      <x:c r="Y29" t="str">
        <x:f>IF(B29="","",IF(COUNTIF(JobChange!$S$5:$S$100,B29)=1,"OK","CHECK"))</x:f>
        <x:v>OK</x:v>
      </x:c>
      <x:c r="Z29" t="str">
        <x:f t="shared" si="3"/>
        <x:v>OK</x:v>
      </x:c>
      <x:c r="AA29" t="str">
        <x:f t="shared" si="4"/>
        <x:v>OK</x:v>
      </x:c>
      <x:c r="AB29" t="str">
        <x:f t="shared" si="5">IF(A29="","",AJ29)</x:f>
        <x:v>OK</x:v>
      </x:c>
      <x:c r="AC29" t="str">
        <x:v>JCL-000025</x:v>
      </x:c>
      <x:c r="AD29" t="n">
        <x:f>IF(AC29="","",SUMIF(JobChangeLoss!$A$5:$A$1000,AC29,JobChangeLoss!$N$5:$N$1000))</x:f>
        <x:v>3.5</x:v>
      </x:c>
      <x:c r="AE29" t="str">
        <x:v>REFERENCE_ONLY_DO_NOT_SUM</x:v>
      </x:c>
      <x:c r="AF29" t="str">
        <x:f>IF(AC29="","",IF(AND(S29&gt;0,S29&lt;=R29),"OK","CHECK"))</x:f>
        <x:v>OK</x:v>
      </x:c>
      <x:c r="AG29" t="str">
        <x:f>IF(AC29="","",IF(K29="Line",IF(COUNTIF($AC$5:$AC$1000,AC29)=1,"OK","CHECK"),IF(K29="Section",IF(OR(COUNTIFS($AC$5:$AC$1000,AC29,$J$5:$J$1000,J29)&gt;1,COUNTIFS($AC$5:$AC$1000,AC29,$K$5:$K$1000,"Cavity",$L$5:$L$1000,L29)&gt;0,COUNTIFS($AC$5:$AC$1000,AC29,$K$5:$K$1000,"Line")&gt;0),"CHECK","OK"),IF(K29="Cavity",IF(OR(COUNTIFS($AC$5:$AC$1000,AC29,$J$5:$J$1000,J29)&gt;1,COUNTIFS($AC$5:$AC$1000,AC29,$K$5:$K$1000,"Section",$L$5:$L$1000,L29)&gt;0,COUNTIFS($AC$5:$AC$1000,AC29,$K$5:$K$1000,"Line")&gt;0),"CHECK","OK"),"CHECK"))))</x:f>
        <x:v>OK</x:v>
      </x:c>
      <x:c r="AH29" t="n">
        <x:f>IF(AC29="","",SUMIF($AC$5:$AC$1000,AC29,$T$5:$T$1000))</x:f>
        <x:v>1</x:v>
      </x:c>
      <x:c r="AI29" t="str">
        <x:f>IF(AC29="","",IF(AND(AH29&gt;0,AH29&lt;=1),"OK","CHECK"))</x:f>
        <x:v>OK</x:v>
      </x:c>
      <x:c r="AJ29" t="str">
        <x:f>IF(AC29="","",IF(AND(Y29="OK",Z29="OK",AA29="OK",AF29="OK",AG29="OK",AI29="OK",R29&gt;0,S29&gt;0),"OK","CHECK"))</x:f>
        <x:v>OK</x:v>
      </x:c>
      <x:c r="AK29" t="str">
        <x:v>02_Supervisor_Log(4).xlsx</x:v>
      </x:c>
      <x:c r="AL29" t="str">
        <x:v>ENH-20260830-01</x:v>
      </x:c>
      <x:c r="AM29" t="str">
        <x:v>Active</x:v>
      </x:c>
      <x:c r="AN29" t="str">
        <x:f>IF(A29="","",IF(AB29="OK","LOAD","QUARANTINE"))</x:f>
        <x:v>LOAD</x:v>
      </x:c>
    </x:row>
    <x:row r="30">
      <x:c r="A30" t="s">
        <x:v>153</x:v>
      </x:c>
      <x:c r="B30" t="s">
        <x:v>150</x:v>
      </x:c>
      <x:c r="C30" t="s">
        <x:v>151</x:v>
      </x:c>
      <x:c r="D30" t="s">
        <x:v>44</x:v>
      </x:c>
      <x:c r="E30">
        <x:v>24</x:v>
      </x:c>
      <x:c r="F30">
        <x:v>45951</x:v>
      </x:c>
      <x:c r="G30" t="s">
        <x:v>45</x:v>
      </x:c>
      <x:c r="H30" t="s">
        <x:v>73</x:v>
      </x:c>
      <x:c r="I30" t="s">
        <x:v>110</x:v>
      </x:c>
      <x:c r="J30" t="s">
        <x:v>152</x:v>
      </x:c>
      <x:c r="K30" t="s">
        <x:v>106</x:v>
      </x:c>
      <x:c r="N30" t="s">
        <x:v>107</x:v>
      </x:c>
      <x:c r="Q30" t="n">
        <x:f>IF(AC30="","",AD30)</x:f>
        <x:v>0.76</x:v>
      </x:c>
      <x:c r="R30" t="n">
        <x:f>IF(B30="","",SUMIF(ProductionConfiguration!$B$5:$B$914,C30,ProductionConfiguration!$S$5:$S$914))</x:f>
        <x:v>36</x:v>
      </x:c>
      <x:c r="S30" t="n">
        <x:f>IF(B30="","",IF(K30="Line",R30,IF(K30="Section",SUMIFS(ProductionConfiguration!$S$5:$S$914,ProductionConfiguration!$B$5:$B$914,C30,ProductionConfiguration!$I$5:$I$914,L30),IF(K30="Cavity",IF(M30=1,SUMIFS(ProductionConfiguration!$P$5:$P$914,ProductionConfiguration!$B$5:$B$914,C30,ProductionConfiguration!$I$5:$I$914,L30),IF(M30=2,SUMIFS(ProductionConfiguration!$Q$5:$Q$914,ProductionConfiguration!$B$5:$B$914,C30,ProductionConfiguration!$I$5:$I$914,L30),SUMIFS(ProductionConfiguration!$R$5:$R$914,ProductionConfiguration!$B$5:$B$914,C30,ProductionConfiguration!$I$5:$I$914,L30))),0))))</x:f>
        <x:v>36</x:v>
      </x:c>
      <x:c r="T30">
        <x:f t="shared" si="0"/>
        <x:v>1</x:v>
      </x:c>
      <x:c r="U30">
        <x:f t="shared" si="1"/>
        <x:v>0.76</x:v>
      </x:c>
      <x:c r="V30" t="n">
        <x:f>IF(C30="","",SUMIF(DailyProduction!$Q$5:$Q$100,C30,DailyProduction!$J$5:$J$100))</x:f>
        <x:v>12</x:v>
      </x:c>
      <x:c r="W30">
        <x:f t="shared" si="2"/>
        <x:v>19699.2</x:v>
      </x:c>
      <x:c r="X30" t="s">
        <x:v>108</x:v>
      </x:c>
      <x:c r="Y30" t="str">
        <x:f>IF(B30="","",IF(COUNTIF(JobChange!$S$5:$S$100,B30)=1,"OK","CHECK"))</x:f>
        <x:v>OK</x:v>
      </x:c>
      <x:c r="Z30" t="str">
        <x:f t="shared" si="3"/>
        <x:v>OK</x:v>
      </x:c>
      <x:c r="AA30" t="str">
        <x:f t="shared" si="4"/>
        <x:v>OK</x:v>
      </x:c>
      <x:c r="AB30" t="str">
        <x:f t="shared" si="5">IF(A30="","",AJ30)</x:f>
        <x:v>OK</x:v>
      </x:c>
      <x:c r="AC30" t="str">
        <x:v>JCL-000026</x:v>
      </x:c>
      <x:c r="AD30" t="n">
        <x:f>IF(AC30="","",SUMIF(JobChangeLoss!$A$5:$A$1000,AC30,JobChangeLoss!$N$5:$N$1000))</x:f>
        <x:v>0.76</x:v>
      </x:c>
      <x:c r="AE30" t="str">
        <x:v>REFERENCE_ONLY_DO_NOT_SUM</x:v>
      </x:c>
      <x:c r="AF30" t="str">
        <x:f>IF(AC30="","",IF(AND(S30&gt;0,S30&lt;=R30),"OK","CHECK"))</x:f>
        <x:v>OK</x:v>
      </x:c>
      <x:c r="AG30" t="str">
        <x:f>IF(AC30="","",IF(K30="Line",IF(COUNTIF($AC$5:$AC$1000,AC30)=1,"OK","CHECK"),IF(K30="Section",IF(OR(COUNTIFS($AC$5:$AC$1000,AC30,$J$5:$J$1000,J30)&gt;1,COUNTIFS($AC$5:$AC$1000,AC30,$K$5:$K$1000,"Cavity",$L$5:$L$1000,L30)&gt;0,COUNTIFS($AC$5:$AC$1000,AC30,$K$5:$K$1000,"Line")&gt;0),"CHECK","OK"),IF(K30="Cavity",IF(OR(COUNTIFS($AC$5:$AC$1000,AC30,$J$5:$J$1000,J30)&gt;1,COUNTIFS($AC$5:$AC$1000,AC30,$K$5:$K$1000,"Section",$L$5:$L$1000,L30)&gt;0,COUNTIFS($AC$5:$AC$1000,AC30,$K$5:$K$1000,"Line")&gt;0),"CHECK","OK"),"CHECK"))))</x:f>
        <x:v>OK</x:v>
      </x:c>
      <x:c r="AH30" t="n">
        <x:f>IF(AC30="","",SUMIF($AC$5:$AC$1000,AC30,$T$5:$T$1000))</x:f>
        <x:v>1</x:v>
      </x:c>
      <x:c r="AI30" t="str">
        <x:f>IF(AC30="","",IF(AND(AH30&gt;0,AH30&lt;=1),"OK","CHECK"))</x:f>
        <x:v>OK</x:v>
      </x:c>
      <x:c r="AJ30" t="str">
        <x:f>IF(AC30="","",IF(AND(Y30="OK",Z30="OK",AA30="OK",AF30="OK",AG30="OK",AI30="OK",R30&gt;0,S30&gt;0),"OK","CHECK"))</x:f>
        <x:v>OK</x:v>
      </x:c>
      <x:c r="AK30" t="str">
        <x:v>02_Supervisor_Log(4).xlsx</x:v>
      </x:c>
      <x:c r="AL30" t="str">
        <x:v>ENH-20260830-01</x:v>
      </x:c>
      <x:c r="AM30" t="str">
        <x:v>Active</x:v>
      </x:c>
      <x:c r="AN30" t="str">
        <x:f>IF(A30="","",IF(AB30="OK","LOAD","QUARANTINE"))</x:f>
        <x:v>LOAD</x:v>
      </x:c>
    </x:row>
    <x:row r="31">
      <x:c r="A31" t="s">
        <x:v>154</x:v>
      </x:c>
      <x:c r="B31" t="s">
        <x:v>150</x:v>
      </x:c>
      <x:c r="C31" t="s">
        <x:v>151</x:v>
      </x:c>
      <x:c r="D31" t="s">
        <x:v>44</x:v>
      </x:c>
      <x:c r="E31">
        <x:v>24</x:v>
      </x:c>
      <x:c r="F31">
        <x:v>45951</x:v>
      </x:c>
      <x:c r="G31" t="s">
        <x:v>45</x:v>
      </x:c>
      <x:c r="H31" t="s">
        <x:v>73</x:v>
      </x:c>
      <x:c r="I31" t="s">
        <x:v>112</x:v>
      </x:c>
      <x:c r="J31" t="s">
        <x:v>152</x:v>
      </x:c>
      <x:c r="K31" t="s">
        <x:v>106</x:v>
      </x:c>
      <x:c r="N31" t="s">
        <x:v>107</x:v>
      </x:c>
      <x:c r="Q31" t="n">
        <x:f>IF(AC31="","",AD31)</x:f>
        <x:v>0.5</x:v>
      </x:c>
      <x:c r="R31" t="n">
        <x:f>IF(B31="","",SUMIF(ProductionConfiguration!$B$5:$B$914,C31,ProductionConfiguration!$S$5:$S$914))</x:f>
        <x:v>36</x:v>
      </x:c>
      <x:c r="S31" t="n">
        <x:f>IF(B31="","",IF(K31="Line",R31,IF(K31="Section",SUMIFS(ProductionConfiguration!$S$5:$S$914,ProductionConfiguration!$B$5:$B$914,C31,ProductionConfiguration!$I$5:$I$914,L31),IF(K31="Cavity",IF(M31=1,SUMIFS(ProductionConfiguration!$P$5:$P$914,ProductionConfiguration!$B$5:$B$914,C31,ProductionConfiguration!$I$5:$I$914,L31),IF(M31=2,SUMIFS(ProductionConfiguration!$Q$5:$Q$914,ProductionConfiguration!$B$5:$B$914,C31,ProductionConfiguration!$I$5:$I$914,L31),SUMIFS(ProductionConfiguration!$R$5:$R$914,ProductionConfiguration!$B$5:$B$914,C31,ProductionConfiguration!$I$5:$I$914,L31))),0))))</x:f>
        <x:v>36</x:v>
      </x:c>
      <x:c r="T31">
        <x:f t="shared" si="0"/>
        <x:v>1</x:v>
      </x:c>
      <x:c r="U31">
        <x:f t="shared" si="1"/>
        <x:v>0.5</x:v>
      </x:c>
      <x:c r="V31" t="n">
        <x:f>IF(C31="","",SUMIF(DailyProduction!$Q$5:$Q$100,C31,DailyProduction!$J$5:$J$100))</x:f>
        <x:v>12</x:v>
      </x:c>
      <x:c r="W31">
        <x:f t="shared" si="2"/>
        <x:v>12960</x:v>
      </x:c>
      <x:c r="X31" t="s">
        <x:v>108</x:v>
      </x:c>
      <x:c r="Y31" t="str">
        <x:f>IF(B31="","",IF(COUNTIF(JobChange!$S$5:$S$100,B31)=1,"OK","CHECK"))</x:f>
        <x:v>OK</x:v>
      </x:c>
      <x:c r="Z31" t="str">
        <x:f t="shared" si="3"/>
        <x:v>OK</x:v>
      </x:c>
      <x:c r="AA31" t="str">
        <x:f t="shared" si="4"/>
        <x:v>OK</x:v>
      </x:c>
      <x:c r="AB31" t="str">
        <x:f t="shared" si="5">IF(A31="","",AJ31)</x:f>
        <x:v>OK</x:v>
      </x:c>
      <x:c r="AC31" t="str">
        <x:v>JCL-000027</x:v>
      </x:c>
      <x:c r="AD31" t="n">
        <x:f>IF(AC31="","",SUMIF(JobChangeLoss!$A$5:$A$1000,AC31,JobChangeLoss!$N$5:$N$1000))</x:f>
        <x:v>0.5</x:v>
      </x:c>
      <x:c r="AE31" t="str">
        <x:v>REFERENCE_ONLY_DO_NOT_SUM</x:v>
      </x:c>
      <x:c r="AF31" t="str">
        <x:f>IF(AC31="","",IF(AND(S31&gt;0,S31&lt;=R31),"OK","CHECK"))</x:f>
        <x:v>OK</x:v>
      </x:c>
      <x:c r="AG31" t="str">
        <x:f>IF(AC31="","",IF(K31="Line",IF(COUNTIF($AC$5:$AC$1000,AC31)=1,"OK","CHECK"),IF(K31="Section",IF(OR(COUNTIFS($AC$5:$AC$1000,AC31,$J$5:$J$1000,J31)&gt;1,COUNTIFS($AC$5:$AC$1000,AC31,$K$5:$K$1000,"Cavity",$L$5:$L$1000,L31)&gt;0,COUNTIFS($AC$5:$AC$1000,AC31,$K$5:$K$1000,"Line")&gt;0),"CHECK","OK"),IF(K31="Cavity",IF(OR(COUNTIFS($AC$5:$AC$1000,AC31,$J$5:$J$1000,J31)&gt;1,COUNTIFS($AC$5:$AC$1000,AC31,$K$5:$K$1000,"Section",$L$5:$L$1000,L31)&gt;0,COUNTIFS($AC$5:$AC$1000,AC31,$K$5:$K$1000,"Line")&gt;0),"CHECK","OK"),"CHECK"))))</x:f>
        <x:v>OK</x:v>
      </x:c>
      <x:c r="AH31" t="n">
        <x:f>IF(AC31="","",SUMIF($AC$5:$AC$1000,AC31,$T$5:$T$1000))</x:f>
        <x:v>1</x:v>
      </x:c>
      <x:c r="AI31" t="str">
        <x:f>IF(AC31="","",IF(AND(AH31&gt;0,AH31&lt;=1),"OK","CHECK"))</x:f>
        <x:v>OK</x:v>
      </x:c>
      <x:c r="AJ31" t="str">
        <x:f>IF(AC31="","",IF(AND(Y31="OK",Z31="OK",AA31="OK",AF31="OK",AG31="OK",AI31="OK",R31&gt;0,S31&gt;0),"OK","CHECK"))</x:f>
        <x:v>OK</x:v>
      </x:c>
      <x:c r="AK31" t="str">
        <x:v>02_Supervisor_Log(4).xlsx</x:v>
      </x:c>
      <x:c r="AL31" t="str">
        <x:v>ENH-20260830-01</x:v>
      </x:c>
      <x:c r="AM31" t="str">
        <x:v>Active</x:v>
      </x:c>
      <x:c r="AN31" t="str">
        <x:f>IF(A31="","",IF(AB31="OK","LOAD","QUARANTINE"))</x:f>
        <x:v>LOAD</x:v>
      </x:c>
    </x:row>
    <x:row r="32">
      <x:c r="A32" t="s">
        <x:v>155</x:v>
      </x:c>
      <x:c r="B32" t="s">
        <x:v>156</x:v>
      </x:c>
      <x:c r="C32" t="s">
        <x:v>157</x:v>
      </x:c>
      <x:c r="D32" t="s">
        <x:v>44</x:v>
      </x:c>
      <x:c r="E32">
        <x:v>24</x:v>
      </x:c>
      <x:c r="F32">
        <x:v>45955</x:v>
      </x:c>
      <x:c r="G32" t="s">
        <x:v>45</x:v>
      </x:c>
      <x:c r="H32" t="s">
        <x:v>74</x:v>
      </x:c>
      <x:c r="I32" t="s">
        <x:v>104</x:v>
      </x:c>
      <x:c r="J32" t="s">
        <x:v>152</x:v>
      </x:c>
      <x:c r="K32" t="s">
        <x:v>106</x:v>
      </x:c>
      <x:c r="N32" t="s">
        <x:v>107</x:v>
      </x:c>
      <x:c r="Q32" t="n">
        <x:f>IF(AC32="","",AD32)</x:f>
        <x:v>1.35</x:v>
      </x:c>
      <x:c r="R32" t="n">
        <x:f>IF(B32="","",SUMIF(ProductionConfiguration!$B$5:$B$914,C32,ProductionConfiguration!$S$5:$S$914))</x:f>
        <x:v>24</x:v>
      </x:c>
      <x:c r="S32" t="n">
        <x:f>IF(B32="","",IF(K32="Line",R32,IF(K32="Section",SUMIFS(ProductionConfiguration!$S$5:$S$914,ProductionConfiguration!$B$5:$B$914,C32,ProductionConfiguration!$I$5:$I$914,L32),IF(K32="Cavity",IF(M32=1,SUMIFS(ProductionConfiguration!$P$5:$P$914,ProductionConfiguration!$B$5:$B$914,C32,ProductionConfiguration!$I$5:$I$914,L32),IF(M32=2,SUMIFS(ProductionConfiguration!$Q$5:$Q$914,ProductionConfiguration!$B$5:$B$914,C32,ProductionConfiguration!$I$5:$I$914,L32),SUMIFS(ProductionConfiguration!$R$5:$R$914,ProductionConfiguration!$B$5:$B$914,C32,ProductionConfiguration!$I$5:$I$914,L32))),0))))</x:f>
        <x:v>24</x:v>
      </x:c>
      <x:c r="T32">
        <x:f t="shared" si="0"/>
        <x:v>1</x:v>
      </x:c>
      <x:c r="U32">
        <x:f t="shared" si="1"/>
        <x:v>1.35</x:v>
      </x:c>
      <x:c r="V32" t="n">
        <x:f>IF(C32="","",SUMIF(DailyProduction!$Q$5:$Q$100,C32,DailyProduction!$J$5:$J$100))</x:f>
        <x:v>11</x:v>
      </x:c>
      <x:c r="W32">
        <x:f t="shared" si="2"/>
        <x:v>21384</x:v>
      </x:c>
      <x:c r="X32" t="s">
        <x:v>108</x:v>
      </x:c>
      <x:c r="Y32" t="str">
        <x:f>IF(B32="","",IF(COUNTIF(JobChange!$S$5:$S$100,B32)=1,"OK","CHECK"))</x:f>
        <x:v>OK</x:v>
      </x:c>
      <x:c r="Z32" t="str">
        <x:f t="shared" si="3"/>
        <x:v>OK</x:v>
      </x:c>
      <x:c r="AA32" t="str">
        <x:f t="shared" si="4"/>
        <x:v>OK</x:v>
      </x:c>
      <x:c r="AB32" t="str">
        <x:f t="shared" si="5">IF(A32="","",AJ32)</x:f>
        <x:v>OK</x:v>
      </x:c>
      <x:c r="AC32" t="str">
        <x:v>JCL-000028</x:v>
      </x:c>
      <x:c r="AD32" t="n">
        <x:f>IF(AC32="","",SUMIF(JobChangeLoss!$A$5:$A$1000,AC32,JobChangeLoss!$N$5:$N$1000))</x:f>
        <x:v>1.35</x:v>
      </x:c>
      <x:c r="AE32" t="str">
        <x:v>REFERENCE_ONLY_DO_NOT_SUM</x:v>
      </x:c>
      <x:c r="AF32" t="str">
        <x:f>IF(AC32="","",IF(AND(S32&gt;0,S32&lt;=R32),"OK","CHECK"))</x:f>
        <x:v>OK</x:v>
      </x:c>
      <x:c r="AG32" t="str">
        <x:f>IF(AC32="","",IF(K32="Line",IF(COUNTIF($AC$5:$AC$1000,AC32)=1,"OK","CHECK"),IF(K32="Section",IF(OR(COUNTIFS($AC$5:$AC$1000,AC32,$J$5:$J$1000,J32)&gt;1,COUNTIFS($AC$5:$AC$1000,AC32,$K$5:$K$1000,"Cavity",$L$5:$L$1000,L32)&gt;0,COUNTIFS($AC$5:$AC$1000,AC32,$K$5:$K$1000,"Line")&gt;0),"CHECK","OK"),IF(K32="Cavity",IF(OR(COUNTIFS($AC$5:$AC$1000,AC32,$J$5:$J$1000,J32)&gt;1,COUNTIFS($AC$5:$AC$1000,AC32,$K$5:$K$1000,"Section",$L$5:$L$1000,L32)&gt;0,COUNTIFS($AC$5:$AC$1000,AC32,$K$5:$K$1000,"Line")&gt;0),"CHECK","OK"),"CHECK"))))</x:f>
        <x:v>OK</x:v>
      </x:c>
      <x:c r="AH32" t="n">
        <x:f>IF(AC32="","",SUMIF($AC$5:$AC$1000,AC32,$T$5:$T$1000))</x:f>
        <x:v>1</x:v>
      </x:c>
      <x:c r="AI32" t="str">
        <x:f>IF(AC32="","",IF(AND(AH32&gt;0,AH32&lt;=1),"OK","CHECK"))</x:f>
        <x:v>OK</x:v>
      </x:c>
      <x:c r="AJ32" t="str">
        <x:f>IF(AC32="","",IF(AND(Y32="OK",Z32="OK",AA32="OK",AF32="OK",AG32="OK",AI32="OK",R32&gt;0,S32&gt;0),"OK","CHECK"))</x:f>
        <x:v>OK</x:v>
      </x:c>
      <x:c r="AK32" t="str">
        <x:v>02_Supervisor_Log(4).xlsx</x:v>
      </x:c>
      <x:c r="AL32" t="str">
        <x:v>ENH-20260830-01</x:v>
      </x:c>
      <x:c r="AM32" t="str">
        <x:v>Active</x:v>
      </x:c>
      <x:c r="AN32" t="str">
        <x:f>IF(A32="","",IF(AB32="OK","LOAD","QUARANTINE"))</x:f>
        <x:v>LOAD</x:v>
      </x:c>
    </x:row>
    <x:row r="33">
      <x:c r="A33" t="s">
        <x:v>158</x:v>
      </x:c>
      <x:c r="B33" t="s">
        <x:v>156</x:v>
      </x:c>
      <x:c r="C33" t="s">
        <x:v>157</x:v>
      </x:c>
      <x:c r="D33" t="s">
        <x:v>44</x:v>
      </x:c>
      <x:c r="E33">
        <x:v>24</x:v>
      </x:c>
      <x:c r="F33">
        <x:v>45955</x:v>
      </x:c>
      <x:c r="G33" t="s">
        <x:v>45</x:v>
      </x:c>
      <x:c r="H33" t="s">
        <x:v>74</x:v>
      </x:c>
      <x:c r="I33" t="s">
        <x:v>110</x:v>
      </x:c>
      <x:c r="J33" t="s">
        <x:v>152</x:v>
      </x:c>
      <x:c r="K33" t="s">
        <x:v>106</x:v>
      </x:c>
      <x:c r="N33" t="s">
        <x:v>107</x:v>
      </x:c>
      <x:c r="Q33" t="n">
        <x:f>IF(AC33="","",AD33)</x:f>
        <x:v>0.42</x:v>
      </x:c>
      <x:c r="R33" t="n">
        <x:f>IF(B33="","",SUMIF(ProductionConfiguration!$B$5:$B$914,C33,ProductionConfiguration!$S$5:$S$914))</x:f>
        <x:v>24</x:v>
      </x:c>
      <x:c r="S33" t="n">
        <x:f>IF(B33="","",IF(K33="Line",R33,IF(K33="Section",SUMIFS(ProductionConfiguration!$S$5:$S$914,ProductionConfiguration!$B$5:$B$914,C33,ProductionConfiguration!$I$5:$I$914,L33),IF(K33="Cavity",IF(M33=1,SUMIFS(ProductionConfiguration!$P$5:$P$914,ProductionConfiguration!$B$5:$B$914,C33,ProductionConfiguration!$I$5:$I$914,L33),IF(M33=2,SUMIFS(ProductionConfiguration!$Q$5:$Q$914,ProductionConfiguration!$B$5:$B$914,C33,ProductionConfiguration!$I$5:$I$914,L33),SUMIFS(ProductionConfiguration!$R$5:$R$914,ProductionConfiguration!$B$5:$B$914,C33,ProductionConfiguration!$I$5:$I$914,L33))),0))))</x:f>
        <x:v>24</x:v>
      </x:c>
      <x:c r="T33">
        <x:f t="shared" si="0"/>
        <x:v>1</x:v>
      </x:c>
      <x:c r="U33">
        <x:f t="shared" si="1"/>
        <x:v>0.42</x:v>
      </x:c>
      <x:c r="V33" t="n">
        <x:f>IF(C33="","",SUMIF(DailyProduction!$Q$5:$Q$100,C33,DailyProduction!$J$5:$J$100))</x:f>
        <x:v>11</x:v>
      </x:c>
      <x:c r="W33">
        <x:f t="shared" si="2"/>
        <x:v>6652.7999999999993</x:v>
      </x:c>
      <x:c r="X33" t="s">
        <x:v>108</x:v>
      </x:c>
      <x:c r="Y33" t="str">
        <x:f>IF(B33="","",IF(COUNTIF(JobChange!$S$5:$S$100,B33)=1,"OK","CHECK"))</x:f>
        <x:v>OK</x:v>
      </x:c>
      <x:c r="Z33" t="str">
        <x:f t="shared" si="3"/>
        <x:v>OK</x:v>
      </x:c>
      <x:c r="AA33" t="str">
        <x:f t="shared" si="4"/>
        <x:v>OK</x:v>
      </x:c>
      <x:c r="AB33" t="str">
        <x:f t="shared" si="5">IF(A33="","",AJ33)</x:f>
        <x:v>OK</x:v>
      </x:c>
      <x:c r="AC33" t="str">
        <x:v>JCL-000029</x:v>
      </x:c>
      <x:c r="AD33" t="n">
        <x:f>IF(AC33="","",SUMIF(JobChangeLoss!$A$5:$A$1000,AC33,JobChangeLoss!$N$5:$N$1000))</x:f>
        <x:v>0.42</x:v>
      </x:c>
      <x:c r="AE33" t="str">
        <x:v>REFERENCE_ONLY_DO_NOT_SUM</x:v>
      </x:c>
      <x:c r="AF33" t="str">
        <x:f>IF(AC33="","",IF(AND(S33&gt;0,S33&lt;=R33),"OK","CHECK"))</x:f>
        <x:v>OK</x:v>
      </x:c>
      <x:c r="AG33" t="str">
        <x:f>IF(AC33="","",IF(K33="Line",IF(COUNTIF($AC$5:$AC$1000,AC33)=1,"OK","CHECK"),IF(K33="Section",IF(OR(COUNTIFS($AC$5:$AC$1000,AC33,$J$5:$J$1000,J33)&gt;1,COUNTIFS($AC$5:$AC$1000,AC33,$K$5:$K$1000,"Cavity",$L$5:$L$1000,L33)&gt;0,COUNTIFS($AC$5:$AC$1000,AC33,$K$5:$K$1000,"Line")&gt;0),"CHECK","OK"),IF(K33="Cavity",IF(OR(COUNTIFS($AC$5:$AC$1000,AC33,$J$5:$J$1000,J33)&gt;1,COUNTIFS($AC$5:$AC$1000,AC33,$K$5:$K$1000,"Section",$L$5:$L$1000,L33)&gt;0,COUNTIFS($AC$5:$AC$1000,AC33,$K$5:$K$1000,"Line")&gt;0),"CHECK","OK"),"CHECK"))))</x:f>
        <x:v>OK</x:v>
      </x:c>
      <x:c r="AH33" t="n">
        <x:f>IF(AC33="","",SUMIF($AC$5:$AC$1000,AC33,$T$5:$T$1000))</x:f>
        <x:v>1</x:v>
      </x:c>
      <x:c r="AI33" t="str">
        <x:f>IF(AC33="","",IF(AND(AH33&gt;0,AH33&lt;=1),"OK","CHECK"))</x:f>
        <x:v>OK</x:v>
      </x:c>
      <x:c r="AJ33" t="str">
        <x:f>IF(AC33="","",IF(AND(Y33="OK",Z33="OK",AA33="OK",AF33="OK",AG33="OK",AI33="OK",R33&gt;0,S33&gt;0),"OK","CHECK"))</x:f>
        <x:v>OK</x:v>
      </x:c>
      <x:c r="AK33" t="str">
        <x:v>02_Supervisor_Log(4).xlsx</x:v>
      </x:c>
      <x:c r="AL33" t="str">
        <x:v>ENH-20260830-01</x:v>
      </x:c>
      <x:c r="AM33" t="str">
        <x:v>Active</x:v>
      </x:c>
      <x:c r="AN33" t="str">
        <x:f>IF(A33="","",IF(AB33="OK","LOAD","QUARANTINE"))</x:f>
        <x:v>LOAD</x:v>
      </x:c>
    </x:row>
    <x:row r="34">
      <x:c r="A34" t="s">
        <x:v>159</x:v>
      </x:c>
      <x:c r="B34" t="s">
        <x:v>156</x:v>
      </x:c>
      <x:c r="C34" t="s">
        <x:v>157</x:v>
      </x:c>
      <x:c r="D34" t="s">
        <x:v>44</x:v>
      </x:c>
      <x:c r="E34">
        <x:v>24</x:v>
      </x:c>
      <x:c r="F34">
        <x:v>45955</x:v>
      </x:c>
      <x:c r="G34" t="s">
        <x:v>45</x:v>
      </x:c>
      <x:c r="H34" t="s">
        <x:v>74</x:v>
      </x:c>
      <x:c r="I34" t="s">
        <x:v>112</x:v>
      </x:c>
      <x:c r="J34" t="s">
        <x:v>152</x:v>
      </x:c>
      <x:c r="K34" t="s">
        <x:v>106</x:v>
      </x:c>
      <x:c r="N34" t="s">
        <x:v>107</x:v>
      </x:c>
      <x:c r="Q34" t="n">
        <x:f>IF(AC34="","",AD34)</x:f>
        <x:v>0.42</x:v>
      </x:c>
      <x:c r="R34" t="n">
        <x:f>IF(B34="","",SUMIF(ProductionConfiguration!$B$5:$B$914,C34,ProductionConfiguration!$S$5:$S$914))</x:f>
        <x:v>24</x:v>
      </x:c>
      <x:c r="S34" t="n">
        <x:f>IF(B34="","",IF(K34="Line",R34,IF(K34="Section",SUMIFS(ProductionConfiguration!$S$5:$S$914,ProductionConfiguration!$B$5:$B$914,C34,ProductionConfiguration!$I$5:$I$914,L34),IF(K34="Cavity",IF(M34=1,SUMIFS(ProductionConfiguration!$P$5:$P$914,ProductionConfiguration!$B$5:$B$914,C34,ProductionConfiguration!$I$5:$I$914,L34),IF(M34=2,SUMIFS(ProductionConfiguration!$Q$5:$Q$914,ProductionConfiguration!$B$5:$B$914,C34,ProductionConfiguration!$I$5:$I$914,L34),SUMIFS(ProductionConfiguration!$R$5:$R$914,ProductionConfiguration!$B$5:$B$914,C34,ProductionConfiguration!$I$5:$I$914,L34))),0))))</x:f>
        <x:v>24</x:v>
      </x:c>
      <x:c r="T34">
        <x:f t="shared" si="0"/>
        <x:v>1</x:v>
      </x:c>
      <x:c r="U34">
        <x:f t="shared" si="1"/>
        <x:v>0.42</x:v>
      </x:c>
      <x:c r="V34" t="n">
        <x:f>IF(C34="","",SUMIF(DailyProduction!$Q$5:$Q$100,C34,DailyProduction!$J$5:$J$100))</x:f>
        <x:v>11</x:v>
      </x:c>
      <x:c r="W34">
        <x:f t="shared" si="2"/>
        <x:v>6652.7999999999993</x:v>
      </x:c>
      <x:c r="X34" t="s">
        <x:v>108</x:v>
      </x:c>
      <x:c r="Y34" t="str">
        <x:f>IF(B34="","",IF(COUNTIF(JobChange!$S$5:$S$100,B34)=1,"OK","CHECK"))</x:f>
        <x:v>OK</x:v>
      </x:c>
      <x:c r="Z34" t="str">
        <x:f t="shared" si="3"/>
        <x:v>OK</x:v>
      </x:c>
      <x:c r="AA34" t="str">
        <x:f t="shared" si="4"/>
        <x:v>OK</x:v>
      </x:c>
      <x:c r="AB34" t="str">
        <x:f t="shared" si="5">IF(A34="","",AJ34)</x:f>
        <x:v>OK</x:v>
      </x:c>
      <x:c r="AC34" t="str">
        <x:v>JCL-000030</x:v>
      </x:c>
      <x:c r="AD34" t="n">
        <x:f>IF(AC34="","",SUMIF(JobChangeLoss!$A$5:$A$1000,AC34,JobChangeLoss!$N$5:$N$1000))</x:f>
        <x:v>0.42</x:v>
      </x:c>
      <x:c r="AE34" t="str">
        <x:v>REFERENCE_ONLY_DO_NOT_SUM</x:v>
      </x:c>
      <x:c r="AF34" t="str">
        <x:f>IF(AC34="","",IF(AND(S34&gt;0,S34&lt;=R34),"OK","CHECK"))</x:f>
        <x:v>OK</x:v>
      </x:c>
      <x:c r="AG34" t="str">
        <x:f>IF(AC34="","",IF(K34="Line",IF(COUNTIF($AC$5:$AC$1000,AC34)=1,"OK","CHECK"),IF(K34="Section",IF(OR(COUNTIFS($AC$5:$AC$1000,AC34,$J$5:$J$1000,J34)&gt;1,COUNTIFS($AC$5:$AC$1000,AC34,$K$5:$K$1000,"Cavity",$L$5:$L$1000,L34)&gt;0,COUNTIFS($AC$5:$AC$1000,AC34,$K$5:$K$1000,"Line")&gt;0),"CHECK","OK"),IF(K34="Cavity",IF(OR(COUNTIFS($AC$5:$AC$1000,AC34,$J$5:$J$1000,J34)&gt;1,COUNTIFS($AC$5:$AC$1000,AC34,$K$5:$K$1000,"Section",$L$5:$L$1000,L34)&gt;0,COUNTIFS($AC$5:$AC$1000,AC34,$K$5:$K$1000,"Line")&gt;0),"CHECK","OK"),"CHECK"))))</x:f>
        <x:v>OK</x:v>
      </x:c>
      <x:c r="AH34" t="n">
        <x:f>IF(AC34="","",SUMIF($AC$5:$AC$1000,AC34,$T$5:$T$1000))</x:f>
        <x:v>1</x:v>
      </x:c>
      <x:c r="AI34" t="str">
        <x:f>IF(AC34="","",IF(AND(AH34&gt;0,AH34&lt;=1),"OK","CHECK"))</x:f>
        <x:v>OK</x:v>
      </x:c>
      <x:c r="AJ34" t="str">
        <x:f>IF(AC34="","",IF(AND(Y34="OK",Z34="OK",AA34="OK",AF34="OK",AG34="OK",AI34="OK",R34&gt;0,S34&gt;0),"OK","CHECK"))</x:f>
        <x:v>OK</x:v>
      </x:c>
      <x:c r="AK34" t="str">
        <x:v>02_Supervisor_Log(4).xlsx</x:v>
      </x:c>
      <x:c r="AL34" t="str">
        <x:v>ENH-20260830-01</x:v>
      </x:c>
      <x:c r="AM34" t="str">
        <x:v>Active</x:v>
      </x:c>
      <x:c r="AN34" t="str">
        <x:f>IF(A34="","",IF(AB34="OK","LOAD","QUARANTINE"))</x:f>
        <x:v>LOAD</x:v>
      </x:c>
    </x:row>
    <x:row r="35">
      <x:c r="A35" t="s">
        <x:v>160</x:v>
      </x:c>
      <x:c r="B35" t="s">
        <x:v>161</x:v>
      </x:c>
      <x:c r="C35" t="s">
        <x:v>162</x:v>
      </x:c>
      <x:c r="D35" t="s">
        <x:v>44</x:v>
      </x:c>
      <x:c r="E35">
        <x:v>25</x:v>
      </x:c>
      <x:c r="F35">
        <x:v>45953</x:v>
      </x:c>
      <x:c r="G35" t="s">
        <x:v>45</x:v>
      </x:c>
      <x:c r="H35" t="s">
        <x:v>77</x:v>
      </x:c>
      <x:c r="I35" t="s">
        <x:v>104</x:v>
      </x:c>
      <x:c r="J35" t="s">
        <x:v>163</x:v>
      </x:c>
      <x:c r="K35" t="s">
        <x:v>106</x:v>
      </x:c>
      <x:c r="N35" t="s">
        <x:v>107</x:v>
      </x:c>
      <x:c r="Q35" t="n">
        <x:f>IF(AC35="","",AD35)</x:f>
        <x:v>2.75</x:v>
      </x:c>
      <x:c r="R35" t="n">
        <x:f>IF(B35="","",SUMIF(ProductionConfiguration!$B$5:$B$914,C35,ProductionConfiguration!$S$5:$S$914))</x:f>
        <x:v>24</x:v>
      </x:c>
      <x:c r="S35" t="n">
        <x:f>IF(B35="","",IF(K35="Line",R35,IF(K35="Section",SUMIFS(ProductionConfiguration!$S$5:$S$914,ProductionConfiguration!$B$5:$B$914,C35,ProductionConfiguration!$I$5:$I$914,L35),IF(K35="Cavity",IF(M35=1,SUMIFS(ProductionConfiguration!$P$5:$P$914,ProductionConfiguration!$B$5:$B$914,C35,ProductionConfiguration!$I$5:$I$914,L35),IF(M35=2,SUMIFS(ProductionConfiguration!$Q$5:$Q$914,ProductionConfiguration!$B$5:$B$914,C35,ProductionConfiguration!$I$5:$I$914,L35),SUMIFS(ProductionConfiguration!$R$5:$R$914,ProductionConfiguration!$B$5:$B$914,C35,ProductionConfiguration!$I$5:$I$914,L35))),0))))</x:f>
        <x:v>24</x:v>
      </x:c>
      <x:c r="T35">
        <x:f t="shared" si="0"/>
        <x:v>1</x:v>
      </x:c>
      <x:c r="U35">
        <x:f t="shared" si="1"/>
        <x:v>2.75</x:v>
      </x:c>
      <x:c r="V35" t="n">
        <x:f>IF(C35="","",SUMIF(DailyProduction!$Q$5:$Q$100,C35,DailyProduction!$J$5:$J$100))</x:f>
        <x:v>12</x:v>
      </x:c>
      <x:c r="W35">
        <x:f t="shared" si="2"/>
        <x:v>47520</x:v>
      </x:c>
      <x:c r="X35" t="s">
        <x:v>108</x:v>
      </x:c>
      <x:c r="Y35" t="str">
        <x:f>IF(B35="","",IF(COUNTIF(JobChange!$S$5:$S$100,B35)=1,"OK","CHECK"))</x:f>
        <x:v>OK</x:v>
      </x:c>
      <x:c r="Z35" t="str">
        <x:f t="shared" si="3"/>
        <x:v>OK</x:v>
      </x:c>
      <x:c r="AA35" t="str">
        <x:f t="shared" si="4"/>
        <x:v>OK</x:v>
      </x:c>
      <x:c r="AB35" t="str">
        <x:f t="shared" si="5">IF(A35="","",AJ35)</x:f>
        <x:v>OK</x:v>
      </x:c>
      <x:c r="AC35" t="str">
        <x:v>JCL-000031</x:v>
      </x:c>
      <x:c r="AD35" t="n">
        <x:f>IF(AC35="","",SUMIF(JobChangeLoss!$A$5:$A$1000,AC35,JobChangeLoss!$N$5:$N$1000))</x:f>
        <x:v>2.75</x:v>
      </x:c>
      <x:c r="AE35" t="str">
        <x:v>REFERENCE_ONLY_DO_NOT_SUM</x:v>
      </x:c>
      <x:c r="AF35" t="str">
        <x:f>IF(AC35="","",IF(AND(S35&gt;0,S35&lt;=R35),"OK","CHECK"))</x:f>
        <x:v>OK</x:v>
      </x:c>
      <x:c r="AG35" t="str">
        <x:f>IF(AC35="","",IF(K35="Line",IF(COUNTIF($AC$5:$AC$1000,AC35)=1,"OK","CHECK"),IF(K35="Section",IF(OR(COUNTIFS($AC$5:$AC$1000,AC35,$J$5:$J$1000,J35)&gt;1,COUNTIFS($AC$5:$AC$1000,AC35,$K$5:$K$1000,"Cavity",$L$5:$L$1000,L35)&gt;0,COUNTIFS($AC$5:$AC$1000,AC35,$K$5:$K$1000,"Line")&gt;0),"CHECK","OK"),IF(K35="Cavity",IF(OR(COUNTIFS($AC$5:$AC$1000,AC35,$J$5:$J$1000,J35)&gt;1,COUNTIFS($AC$5:$AC$1000,AC35,$K$5:$K$1000,"Section",$L$5:$L$1000,L35)&gt;0,COUNTIFS($AC$5:$AC$1000,AC35,$K$5:$K$1000,"Line")&gt;0),"CHECK","OK"),"CHECK"))))</x:f>
        <x:v>OK</x:v>
      </x:c>
      <x:c r="AH35" t="n">
        <x:f>IF(AC35="","",SUMIF($AC$5:$AC$1000,AC35,$T$5:$T$1000))</x:f>
        <x:v>1</x:v>
      </x:c>
      <x:c r="AI35" t="str">
        <x:f>IF(AC35="","",IF(AND(AH35&gt;0,AH35&lt;=1),"OK","CHECK"))</x:f>
        <x:v>OK</x:v>
      </x:c>
      <x:c r="AJ35" t="str">
        <x:f>IF(AC35="","",IF(AND(Y35="OK",Z35="OK",AA35="OK",AF35="OK",AG35="OK",AI35="OK",R35&gt;0,S35&gt;0),"OK","CHECK"))</x:f>
        <x:v>OK</x:v>
      </x:c>
      <x:c r="AK35" t="str">
        <x:v>02_Supervisor_Log(4).xlsx</x:v>
      </x:c>
      <x:c r="AL35" t="str">
        <x:v>ENH-20260830-01</x:v>
      </x:c>
      <x:c r="AM35" t="str">
        <x:v>Active</x:v>
      </x:c>
      <x:c r="AN35" t="str">
        <x:f>IF(A35="","",IF(AB35="OK","LOAD","QUARANTINE"))</x:f>
        <x:v>LOAD</x:v>
      </x:c>
    </x:row>
    <x:row r="36">
      <x:c r="A36" t="s">
        <x:v>164</x:v>
      </x:c>
      <x:c r="B36" t="s">
        <x:v>161</x:v>
      </x:c>
      <x:c r="C36" t="s">
        <x:v>162</x:v>
      </x:c>
      <x:c r="D36" t="s">
        <x:v>44</x:v>
      </x:c>
      <x:c r="E36">
        <x:v>25</x:v>
      </x:c>
      <x:c r="F36">
        <x:v>45953</x:v>
      </x:c>
      <x:c r="G36" t="s">
        <x:v>45</x:v>
      </x:c>
      <x:c r="H36" t="s">
        <x:v>77</x:v>
      </x:c>
      <x:c r="I36" t="s">
        <x:v>110</x:v>
      </x:c>
      <x:c r="J36" t="s">
        <x:v>163</x:v>
      </x:c>
      <x:c r="K36" t="s">
        <x:v>106</x:v>
      </x:c>
      <x:c r="N36" t="s">
        <x:v>107</x:v>
      </x:c>
      <x:c r="Q36" t="n">
        <x:f>IF(AC36="","",AD36)</x:f>
        <x:v>0.89</x:v>
      </x:c>
      <x:c r="R36" t="n">
        <x:f>IF(B36="","",SUMIF(ProductionConfiguration!$B$5:$B$914,C36,ProductionConfiguration!$S$5:$S$914))</x:f>
        <x:v>24</x:v>
      </x:c>
      <x:c r="S36" t="n">
        <x:f>IF(B36="","",IF(K36="Line",R36,IF(K36="Section",SUMIFS(ProductionConfiguration!$S$5:$S$914,ProductionConfiguration!$B$5:$B$914,C36,ProductionConfiguration!$I$5:$I$914,L36),IF(K36="Cavity",IF(M36=1,SUMIFS(ProductionConfiguration!$P$5:$P$914,ProductionConfiguration!$B$5:$B$914,C36,ProductionConfiguration!$I$5:$I$914,L36),IF(M36=2,SUMIFS(ProductionConfiguration!$Q$5:$Q$914,ProductionConfiguration!$B$5:$B$914,C36,ProductionConfiguration!$I$5:$I$914,L36),SUMIFS(ProductionConfiguration!$R$5:$R$914,ProductionConfiguration!$B$5:$B$914,C36,ProductionConfiguration!$I$5:$I$914,L36))),0))))</x:f>
        <x:v>24</x:v>
      </x:c>
      <x:c r="T36">
        <x:f t="shared" si="0"/>
        <x:v>1</x:v>
      </x:c>
      <x:c r="U36">
        <x:f t="shared" si="1"/>
        <x:v>0.89</x:v>
      </x:c>
      <x:c r="V36" t="n">
        <x:f>IF(C36="","",SUMIF(DailyProduction!$Q$5:$Q$100,C36,DailyProduction!$J$5:$J$100))</x:f>
        <x:v>12</x:v>
      </x:c>
      <x:c r="W36">
        <x:f t="shared" si="2"/>
        <x:v>15379.199999999999</x:v>
      </x:c>
      <x:c r="X36" t="s">
        <x:v>108</x:v>
      </x:c>
      <x:c r="Y36" t="str">
        <x:f>IF(B36="","",IF(COUNTIF(JobChange!$S$5:$S$100,B36)=1,"OK","CHECK"))</x:f>
        <x:v>OK</x:v>
      </x:c>
      <x:c r="Z36" t="str">
        <x:f t="shared" si="3"/>
        <x:v>OK</x:v>
      </x:c>
      <x:c r="AA36" t="str">
        <x:f t="shared" si="4"/>
        <x:v>OK</x:v>
      </x:c>
      <x:c r="AB36" t="str">
        <x:f t="shared" si="5">IF(A36="","",AJ36)</x:f>
        <x:v>OK</x:v>
      </x:c>
      <x:c r="AC36" t="str">
        <x:v>JCL-000032</x:v>
      </x:c>
      <x:c r="AD36" t="n">
        <x:f>IF(AC36="","",SUMIF(JobChangeLoss!$A$5:$A$1000,AC36,JobChangeLoss!$N$5:$N$1000))</x:f>
        <x:v>0.89</x:v>
      </x:c>
      <x:c r="AE36" t="str">
        <x:v>REFERENCE_ONLY_DO_NOT_SUM</x:v>
      </x:c>
      <x:c r="AF36" t="str">
        <x:f>IF(AC36="","",IF(AND(S36&gt;0,S36&lt;=R36),"OK","CHECK"))</x:f>
        <x:v>OK</x:v>
      </x:c>
      <x:c r="AG36" t="str">
        <x:f>IF(AC36="","",IF(K36="Line",IF(COUNTIF($AC$5:$AC$1000,AC36)=1,"OK","CHECK"),IF(K36="Section",IF(OR(COUNTIFS($AC$5:$AC$1000,AC36,$J$5:$J$1000,J36)&gt;1,COUNTIFS($AC$5:$AC$1000,AC36,$K$5:$K$1000,"Cavity",$L$5:$L$1000,L36)&gt;0,COUNTIFS($AC$5:$AC$1000,AC36,$K$5:$K$1000,"Line")&gt;0),"CHECK","OK"),IF(K36="Cavity",IF(OR(COUNTIFS($AC$5:$AC$1000,AC36,$J$5:$J$1000,J36)&gt;1,COUNTIFS($AC$5:$AC$1000,AC36,$K$5:$K$1000,"Section",$L$5:$L$1000,L36)&gt;0,COUNTIFS($AC$5:$AC$1000,AC36,$K$5:$K$1000,"Line")&gt;0),"CHECK","OK"),"CHECK"))))</x:f>
        <x:v>OK</x:v>
      </x:c>
      <x:c r="AH36" t="n">
        <x:f>IF(AC36="","",SUMIF($AC$5:$AC$1000,AC36,$T$5:$T$1000))</x:f>
        <x:v>1</x:v>
      </x:c>
      <x:c r="AI36" t="str">
        <x:f>IF(AC36="","",IF(AND(AH36&gt;0,AH36&lt;=1),"OK","CHECK"))</x:f>
        <x:v>OK</x:v>
      </x:c>
      <x:c r="AJ36" t="str">
        <x:f>IF(AC36="","",IF(AND(Y36="OK",Z36="OK",AA36="OK",AF36="OK",AG36="OK",AI36="OK",R36&gt;0,S36&gt;0),"OK","CHECK"))</x:f>
        <x:v>OK</x:v>
      </x:c>
      <x:c r="AK36" t="str">
        <x:v>02_Supervisor_Log(4).xlsx</x:v>
      </x:c>
      <x:c r="AL36" t="str">
        <x:v>ENH-20260830-01</x:v>
      </x:c>
      <x:c r="AM36" t="str">
        <x:v>Active</x:v>
      </x:c>
      <x:c r="AN36" t="str">
        <x:f>IF(A36="","",IF(AB36="OK","LOAD","QUARANTINE"))</x:f>
        <x:v>LOAD</x:v>
      </x:c>
    </x:row>
    <x:row r="37">
      <x:c r="A37" t="s">
        <x:v>165</x:v>
      </x:c>
      <x:c r="B37" t="s">
        <x:v>161</x:v>
      </x:c>
      <x:c r="C37" t="s">
        <x:v>162</x:v>
      </x:c>
      <x:c r="D37" t="s">
        <x:v>44</x:v>
      </x:c>
      <x:c r="E37">
        <x:v>25</x:v>
      </x:c>
      <x:c r="F37">
        <x:v>45953</x:v>
      </x:c>
      <x:c r="G37" t="s">
        <x:v>45</x:v>
      </x:c>
      <x:c r="H37" t="s">
        <x:v>77</x:v>
      </x:c>
      <x:c r="I37" t="s">
        <x:v>112</x:v>
      </x:c>
      <x:c r="J37" t="s">
        <x:v>163</x:v>
      </x:c>
      <x:c r="K37" t="s">
        <x:v>106</x:v>
      </x:c>
      <x:c r="N37" t="s">
        <x:v>107</x:v>
      </x:c>
      <x:c r="Q37" t="n">
        <x:f>IF(AC37="","",AD37)</x:f>
        <x:v>0.49</x:v>
      </x:c>
      <x:c r="R37" t="n">
        <x:f>IF(B37="","",SUMIF(ProductionConfiguration!$B$5:$B$914,C37,ProductionConfiguration!$S$5:$S$914))</x:f>
        <x:v>24</x:v>
      </x:c>
      <x:c r="S37" t="n">
        <x:f>IF(B37="","",IF(K37="Line",R37,IF(K37="Section",SUMIFS(ProductionConfiguration!$S$5:$S$914,ProductionConfiguration!$B$5:$B$914,C37,ProductionConfiguration!$I$5:$I$914,L37),IF(K37="Cavity",IF(M37=1,SUMIFS(ProductionConfiguration!$P$5:$P$914,ProductionConfiguration!$B$5:$B$914,C37,ProductionConfiguration!$I$5:$I$914,L37),IF(M37=2,SUMIFS(ProductionConfiguration!$Q$5:$Q$914,ProductionConfiguration!$B$5:$B$914,C37,ProductionConfiguration!$I$5:$I$914,L37),SUMIFS(ProductionConfiguration!$R$5:$R$914,ProductionConfiguration!$B$5:$B$914,C37,ProductionConfiguration!$I$5:$I$914,L37))),0))))</x:f>
        <x:v>24</x:v>
      </x:c>
      <x:c r="T37" t="n">
        <x:f t="shared" ref="T37:T68" si="6">IF(B37="","",IFERROR(S37/R37,0))</x:f>
        <x:v>1</x:v>
      </x:c>
      <x:c r="U37" t="n">
        <x:f t="shared" ref="U37:U68" si="7">IF(B37="","",Q37*T37)</x:f>
        <x:v>0.49</x:v>
      </x:c>
      <x:c r="V37" t="n">
        <x:f>IF(C37="","",SUMIF(DailyProduction!$Q$5:$Q$100,C37,DailyProduction!$J$5:$J$100))</x:f>
        <x:v>12</x:v>
      </x:c>
      <x:c r="W37" t="n">
        <x:f t="shared" ref="W37:W68" si="8">IF(B37="","",Q37*60*V37*S37)</x:f>
        <x:v>8467.199999999999</x:v>
      </x:c>
      <x:c r="X37" t="s">
        <x:v>108</x:v>
      </x:c>
      <x:c r="Y37" t="str">
        <x:f>IF(B37="","",IF(COUNTIF(JobChange!$S$5:$S$100,B37)=1,"OK","CHECK"))</x:f>
        <x:v>OK</x:v>
      </x:c>
      <x:c r="Z37" t="str">
        <x:f t="shared" ref="Z37:Z68" si="9">IF(B37="","",IF(OR(AND(K37="Line",J37="L"&amp;E37),AND(K37="Section",J37="L"&amp;E37&amp;"-S"&amp;TEXT(L37,"00")),AND(K37="Cavity",J37="L"&amp;E37&amp;"-S"&amp;TEXT(L37,"00")&amp;"-C"&amp;M37)),"OK","CHECK"))</x:f>
        <x:v>OK</x:v>
      </x:c>
      <x:c r="AA37" t="str">
        <x:f t="shared" ref="AA37:AA68" si="10">IF(B37="","",IF(AND(Q37&gt;0,OR(AND(O37="",P37=""),AND(O37&lt;&gt;"",P37&lt;&gt;"",P37&gt;=O37,ABS(Q37-((P37-O37)*24))&lt;=0.01))),"OK","CHECK"))</x:f>
        <x:v>OK</x:v>
      </x:c>
      <x:c r="AB37" t="str">
        <x:f t="shared" ref="AB37:AB68" si="11">IF(A37="","",AJ37)</x:f>
        <x:v>OK</x:v>
      </x:c>
      <x:c r="AC37" t="str">
        <x:v>JCL-000033</x:v>
      </x:c>
      <x:c r="AD37" t="n">
        <x:f>IF(AC37="","",SUMIF(JobChangeLoss!$A$5:$A$1000,AC37,JobChangeLoss!$N$5:$N$1000))</x:f>
        <x:v>0.49</x:v>
      </x:c>
      <x:c r="AE37" t="str">
        <x:v>REFERENCE_ONLY_DO_NOT_SUM</x:v>
      </x:c>
      <x:c r="AF37" t="str">
        <x:f>IF(AC37="","",IF(AND(S37&gt;0,S37&lt;=R37),"OK","CHECK"))</x:f>
        <x:v>OK</x:v>
      </x:c>
      <x:c r="AG37" t="str">
        <x:f>IF(AC37="","",IF(K37="Line",IF(COUNTIF($AC$5:$AC$1000,AC37)=1,"OK","CHECK"),IF(K37="Section",IF(OR(COUNTIFS($AC$5:$AC$1000,AC37,$J$5:$J$1000,J37)&gt;1,COUNTIFS($AC$5:$AC$1000,AC37,$K$5:$K$1000,"Cavity",$L$5:$L$1000,L37)&gt;0,COUNTIFS($AC$5:$AC$1000,AC37,$K$5:$K$1000,"Line")&gt;0),"CHECK","OK"),IF(K37="Cavity",IF(OR(COUNTIFS($AC$5:$AC$1000,AC37,$J$5:$J$1000,J37)&gt;1,COUNTIFS($AC$5:$AC$1000,AC37,$K$5:$K$1000,"Section",$L$5:$L$1000,L37)&gt;0,COUNTIFS($AC$5:$AC$1000,AC37,$K$5:$K$1000,"Line")&gt;0),"CHECK","OK"),"CHECK"))))</x:f>
        <x:v>OK</x:v>
      </x:c>
      <x:c r="AH37" t="n">
        <x:f>IF(AC37="","",SUMIF($AC$5:$AC$1000,AC37,$T$5:$T$1000))</x:f>
        <x:v>1</x:v>
      </x:c>
      <x:c r="AI37" t="str">
        <x:f>IF(AC37="","",IF(AND(AH37&gt;0,AH37&lt;=1),"OK","CHECK"))</x:f>
        <x:v>OK</x:v>
      </x:c>
      <x:c r="AJ37" t="str">
        <x:f>IF(AC37="","",IF(AND(Y37="OK",Z37="OK",AA37="OK",AF37="OK",AG37="OK",AI37="OK",R37&gt;0,S37&gt;0),"OK","CHECK"))</x:f>
        <x:v>OK</x:v>
      </x:c>
      <x:c r="AK37" t="str">
        <x:v>02_Supervisor_Log(4).xlsx</x:v>
      </x:c>
      <x:c r="AL37" t="str">
        <x:v>ENH-20260830-01</x:v>
      </x:c>
      <x:c r="AM37" t="str">
        <x:v>Active</x:v>
      </x:c>
      <x:c r="AN37" t="str">
        <x:f>IF(A37="","",IF(AB37="OK","LOAD","QUARANTINE"))</x:f>
        <x:v>LOAD</x:v>
      </x:c>
    </x:row>
    <x:row r="38">
      <x:c r="R38" t="str">
        <x:f>IF(B38="","",SUMIF(ProductionConfiguration!$B$5:$B$914,C38,ProductionConfiguration!$S$5:$S$914))</x:f>
      </x:c>
      <x:c r="S38" t="str">
        <x:f>IF(B38="","",IF(K38="Line",R38,IF(K38="Section",SUMIFS(ProductionConfiguration!$S$5:$S$914,ProductionConfiguration!$B$5:$B$914,C38,ProductionConfiguration!$I$5:$I$914,L38),IF(K38="Cavity",IF(M38=1,SUMIFS(ProductionConfiguration!$P$5:$P$914,ProductionConfiguration!$B$5:$B$914,C38,ProductionConfiguration!$I$5:$I$914,L38),IF(M38=2,SUMIFS(ProductionConfiguration!$Q$5:$Q$914,ProductionConfiguration!$B$5:$B$914,C38,ProductionConfiguration!$I$5:$I$914,L38),SUMIFS(ProductionConfiguration!$R$5:$R$914,ProductionConfiguration!$B$5:$B$914,C38,ProductionConfiguration!$I$5:$I$914,L38))),0))))</x:f>
      </x:c>
      <x:c r="T38" t="str">
        <x:f t="shared" si="6"/>
      </x:c>
      <x:c r="U38" t="str">
        <x:f t="shared" si="7"/>
      </x:c>
      <x:c r="V38" t="str">
        <x:f>IF(C38="","",SUMIF(DailyProduction!$Q$5:$Q$100,C38,DailyProduction!$J$5:$J$100))</x:f>
      </x:c>
      <x:c r="W38" t="str">
        <x:f t="shared" si="8"/>
      </x:c>
      <x:c r="Y38" t="str">
        <x:f>IF(B38="","",IF(COUNTIF(JobChange!$S$5:$S$100,B38)=1,"OK","CHECK"))</x:f>
      </x:c>
      <x:c r="Z38" t="str">
        <x:f t="shared" si="9"/>
      </x:c>
      <x:c r="AA38" t="str">
        <x:f t="shared" si="10"/>
      </x:c>
      <x:c r="AB38" t="str">
        <x:f t="shared" si="11"/>
      </x:c>
    </x:row>
    <x:row r="39">
      <x:c r="R39" t="str">
        <x:f>IF(B39="","",SUMIF(ProductionConfiguration!$B$5:$B$914,C39,ProductionConfiguration!$S$5:$S$914))</x:f>
      </x:c>
      <x:c r="S39" t="str">
        <x:f>IF(B39="","",IF(K39="Line",R39,IF(K39="Section",SUMIFS(ProductionConfiguration!$S$5:$S$914,ProductionConfiguration!$B$5:$B$914,C39,ProductionConfiguration!$I$5:$I$914,L39),IF(K39="Cavity",IF(M39=1,SUMIFS(ProductionConfiguration!$P$5:$P$914,ProductionConfiguration!$B$5:$B$914,C39,ProductionConfiguration!$I$5:$I$914,L39),IF(M39=2,SUMIFS(ProductionConfiguration!$Q$5:$Q$914,ProductionConfiguration!$B$5:$B$914,C39,ProductionConfiguration!$I$5:$I$914,L39),SUMIFS(ProductionConfiguration!$R$5:$R$914,ProductionConfiguration!$B$5:$B$914,C39,ProductionConfiguration!$I$5:$I$914,L39))),0))))</x:f>
      </x:c>
      <x:c r="T39" t="str">
        <x:f t="shared" si="6"/>
      </x:c>
      <x:c r="U39" t="str">
        <x:f t="shared" si="7"/>
      </x:c>
      <x:c r="V39" t="str">
        <x:f>IF(C39="","",SUMIF(DailyProduction!$Q$5:$Q$100,C39,DailyProduction!$J$5:$J$100))</x:f>
      </x:c>
      <x:c r="W39" t="str">
        <x:f t="shared" si="8"/>
      </x:c>
      <x:c r="Y39" t="str">
        <x:f>IF(B39="","",IF(COUNTIF(JobChange!$S$5:$S$100,B39)=1,"OK","CHECK"))</x:f>
      </x:c>
      <x:c r="Z39" t="str">
        <x:f t="shared" si="9"/>
      </x:c>
      <x:c r="AA39" t="str">
        <x:f t="shared" si="10"/>
      </x:c>
      <x:c r="AB39" t="str">
        <x:f t="shared" si="11"/>
      </x:c>
    </x:row>
    <x:row r="40">
      <x:c r="R40" t="str">
        <x:f>IF(B40="","",SUMIF(ProductionConfiguration!$B$5:$B$914,C40,ProductionConfiguration!$S$5:$S$914))</x:f>
      </x:c>
      <x:c r="S40" t="str">
        <x:f>IF(B40="","",IF(K40="Line",R40,IF(K40="Section",SUMIFS(ProductionConfiguration!$S$5:$S$914,ProductionConfiguration!$B$5:$B$914,C40,ProductionConfiguration!$I$5:$I$914,L40),IF(K40="Cavity",IF(M40=1,SUMIFS(ProductionConfiguration!$P$5:$P$914,ProductionConfiguration!$B$5:$B$914,C40,ProductionConfiguration!$I$5:$I$914,L40),IF(M40=2,SUMIFS(ProductionConfiguration!$Q$5:$Q$914,ProductionConfiguration!$B$5:$B$914,C40,ProductionConfiguration!$I$5:$I$914,L40),SUMIFS(ProductionConfiguration!$R$5:$R$914,ProductionConfiguration!$B$5:$B$914,C40,ProductionConfiguration!$I$5:$I$914,L40))),0))))</x:f>
      </x:c>
      <x:c r="T40" t="str">
        <x:f t="shared" si="6"/>
      </x:c>
      <x:c r="U40" t="str">
        <x:f t="shared" si="7"/>
      </x:c>
      <x:c r="V40" t="str">
        <x:f>IF(C40="","",SUMIF(DailyProduction!$Q$5:$Q$100,C40,DailyProduction!$J$5:$J$100))</x:f>
      </x:c>
      <x:c r="W40" t="str">
        <x:f t="shared" si="8"/>
      </x:c>
      <x:c r="Y40" t="str">
        <x:f>IF(B40="","",IF(COUNTIF(JobChange!$S$5:$S$100,B40)=1,"OK","CHECK"))</x:f>
      </x:c>
      <x:c r="Z40" t="str">
        <x:f t="shared" si="9"/>
      </x:c>
      <x:c r="AA40" t="str">
        <x:f t="shared" si="10"/>
      </x:c>
      <x:c r="AB40" t="str">
        <x:f t="shared" si="11"/>
      </x:c>
    </x:row>
    <x:row r="41">
      <x:c r="R41" t="str">
        <x:f>IF(B41="","",SUMIF(ProductionConfiguration!$B$5:$B$914,C41,ProductionConfiguration!$S$5:$S$914))</x:f>
      </x:c>
      <x:c r="S41" t="str">
        <x:f>IF(B41="","",IF(K41="Line",R41,IF(K41="Section",SUMIFS(ProductionConfiguration!$S$5:$S$914,ProductionConfiguration!$B$5:$B$914,C41,ProductionConfiguration!$I$5:$I$914,L41),IF(K41="Cavity",IF(M41=1,SUMIFS(ProductionConfiguration!$P$5:$P$914,ProductionConfiguration!$B$5:$B$914,C41,ProductionConfiguration!$I$5:$I$914,L41),IF(M41=2,SUMIFS(ProductionConfiguration!$Q$5:$Q$914,ProductionConfiguration!$B$5:$B$914,C41,ProductionConfiguration!$I$5:$I$914,L41),SUMIFS(ProductionConfiguration!$R$5:$R$914,ProductionConfiguration!$B$5:$B$914,C41,ProductionConfiguration!$I$5:$I$914,L41))),0))))</x:f>
      </x:c>
      <x:c r="T41" t="str">
        <x:f t="shared" si="6"/>
      </x:c>
      <x:c r="U41" t="str">
        <x:f t="shared" si="7"/>
      </x:c>
      <x:c r="V41" t="str">
        <x:f>IF(C41="","",SUMIF(DailyProduction!$Q$5:$Q$100,C41,DailyProduction!$J$5:$J$100))</x:f>
      </x:c>
      <x:c r="W41" t="str">
        <x:f t="shared" si="8"/>
      </x:c>
      <x:c r="Y41" t="str">
        <x:f>IF(B41="","",IF(COUNTIF(JobChange!$S$5:$S$100,B41)=1,"OK","CHECK"))</x:f>
      </x:c>
      <x:c r="Z41" t="str">
        <x:f t="shared" si="9"/>
      </x:c>
      <x:c r="AA41" t="str">
        <x:f t="shared" si="10"/>
      </x:c>
      <x:c r="AB41" t="str">
        <x:f t="shared" si="11"/>
      </x:c>
    </x:row>
    <x:row r="42">
      <x:c r="R42" t="str">
        <x:f>IF(B42="","",SUMIF(ProductionConfiguration!$B$5:$B$914,C42,ProductionConfiguration!$S$5:$S$914))</x:f>
      </x:c>
      <x:c r="S42" t="str">
        <x:f>IF(B42="","",IF(K42="Line",R42,IF(K42="Section",SUMIFS(ProductionConfiguration!$S$5:$S$914,ProductionConfiguration!$B$5:$B$914,C42,ProductionConfiguration!$I$5:$I$914,L42),IF(K42="Cavity",IF(M42=1,SUMIFS(ProductionConfiguration!$P$5:$P$914,ProductionConfiguration!$B$5:$B$914,C42,ProductionConfiguration!$I$5:$I$914,L42),IF(M42=2,SUMIFS(ProductionConfiguration!$Q$5:$Q$914,ProductionConfiguration!$B$5:$B$914,C42,ProductionConfiguration!$I$5:$I$914,L42),SUMIFS(ProductionConfiguration!$R$5:$R$914,ProductionConfiguration!$B$5:$B$914,C42,ProductionConfiguration!$I$5:$I$914,L42))),0))))</x:f>
      </x:c>
      <x:c r="T42" t="str">
        <x:f t="shared" si="6"/>
      </x:c>
      <x:c r="U42" t="str">
        <x:f t="shared" si="7"/>
      </x:c>
      <x:c r="V42" t="str">
        <x:f>IF(C42="","",SUMIF(DailyProduction!$Q$5:$Q$100,C42,DailyProduction!$J$5:$J$100))</x:f>
      </x:c>
      <x:c r="W42" t="str">
        <x:f t="shared" si="8"/>
      </x:c>
      <x:c r="Y42" t="str">
        <x:f>IF(B42="","",IF(COUNTIF(JobChange!$S$5:$S$100,B42)=1,"OK","CHECK"))</x:f>
      </x:c>
      <x:c r="Z42" t="str">
        <x:f t="shared" si="9"/>
      </x:c>
      <x:c r="AA42" t="str">
        <x:f t="shared" si="10"/>
      </x:c>
      <x:c r="AB42" t="str">
        <x:f t="shared" si="11"/>
      </x:c>
    </x:row>
    <x:row r="43">
      <x:c r="R43" t="str">
        <x:f>IF(B43="","",SUMIF(ProductionConfiguration!$B$5:$B$914,C43,ProductionConfiguration!$S$5:$S$914))</x:f>
      </x:c>
      <x:c r="S43" t="str">
        <x:f>IF(B43="","",IF(K43="Line",R43,IF(K43="Section",SUMIFS(ProductionConfiguration!$S$5:$S$914,ProductionConfiguration!$B$5:$B$914,C43,ProductionConfiguration!$I$5:$I$914,L43),IF(K43="Cavity",IF(M43=1,SUMIFS(ProductionConfiguration!$P$5:$P$914,ProductionConfiguration!$B$5:$B$914,C43,ProductionConfiguration!$I$5:$I$914,L43),IF(M43=2,SUMIFS(ProductionConfiguration!$Q$5:$Q$914,ProductionConfiguration!$B$5:$B$914,C43,ProductionConfiguration!$I$5:$I$914,L43),SUMIFS(ProductionConfiguration!$R$5:$R$914,ProductionConfiguration!$B$5:$B$914,C43,ProductionConfiguration!$I$5:$I$914,L43))),0))))</x:f>
      </x:c>
      <x:c r="T43" t="str">
        <x:f t="shared" si="6"/>
      </x:c>
      <x:c r="U43" t="str">
        <x:f t="shared" si="7"/>
      </x:c>
      <x:c r="V43" t="str">
        <x:f>IF(C43="","",SUMIF(DailyProduction!$Q$5:$Q$100,C43,DailyProduction!$J$5:$J$100))</x:f>
      </x:c>
      <x:c r="W43" t="str">
        <x:f t="shared" si="8"/>
      </x:c>
      <x:c r="Y43" t="str">
        <x:f>IF(B43="","",IF(COUNTIF(JobChange!$S$5:$S$100,B43)=1,"OK","CHECK"))</x:f>
      </x:c>
      <x:c r="Z43" t="str">
        <x:f t="shared" si="9"/>
      </x:c>
      <x:c r="AA43" t="str">
        <x:f t="shared" si="10"/>
      </x:c>
      <x:c r="AB43" t="str">
        <x:f t="shared" si="11"/>
      </x:c>
    </x:row>
    <x:row r="44">
      <x:c r="R44" t="str">
        <x:f>IF(B44="","",SUMIF(ProductionConfiguration!$B$5:$B$914,C44,ProductionConfiguration!$S$5:$S$914))</x:f>
      </x:c>
      <x:c r="S44" t="str">
        <x:f>IF(B44="","",IF(K44="Line",R44,IF(K44="Section",SUMIFS(ProductionConfiguration!$S$5:$S$914,ProductionConfiguration!$B$5:$B$914,C44,ProductionConfiguration!$I$5:$I$914,L44),IF(K44="Cavity",IF(M44=1,SUMIFS(ProductionConfiguration!$P$5:$P$914,ProductionConfiguration!$B$5:$B$914,C44,ProductionConfiguration!$I$5:$I$914,L44),IF(M44=2,SUMIFS(ProductionConfiguration!$Q$5:$Q$914,ProductionConfiguration!$B$5:$B$914,C44,ProductionConfiguration!$I$5:$I$914,L44),SUMIFS(ProductionConfiguration!$R$5:$R$914,ProductionConfiguration!$B$5:$B$914,C44,ProductionConfiguration!$I$5:$I$914,L44))),0))))</x:f>
      </x:c>
      <x:c r="T44" t="str">
        <x:f t="shared" si="6"/>
      </x:c>
      <x:c r="U44" t="str">
        <x:f t="shared" si="7"/>
      </x:c>
      <x:c r="V44" t="str">
        <x:f>IF(C44="","",SUMIF(DailyProduction!$Q$5:$Q$100,C44,DailyProduction!$J$5:$J$100))</x:f>
      </x:c>
      <x:c r="W44" t="str">
        <x:f t="shared" si="8"/>
      </x:c>
      <x:c r="Y44" t="str">
        <x:f>IF(B44="","",IF(COUNTIF(JobChange!$S$5:$S$100,B44)=1,"OK","CHECK"))</x:f>
      </x:c>
      <x:c r="Z44" t="str">
        <x:f t="shared" si="9"/>
      </x:c>
      <x:c r="AA44" t="str">
        <x:f t="shared" si="10"/>
      </x:c>
      <x:c r="AB44" t="str">
        <x:f t="shared" si="11"/>
      </x:c>
    </x:row>
    <x:row r="45">
      <x:c r="R45" t="str">
        <x:f>IF(B45="","",SUMIF(ProductionConfiguration!$B$5:$B$914,C45,ProductionConfiguration!$S$5:$S$914))</x:f>
      </x:c>
      <x:c r="S45" t="str">
        <x:f>IF(B45="","",IF(K45="Line",R45,IF(K45="Section",SUMIFS(ProductionConfiguration!$S$5:$S$914,ProductionConfiguration!$B$5:$B$914,C45,ProductionConfiguration!$I$5:$I$914,L45),IF(K45="Cavity",IF(M45=1,SUMIFS(ProductionConfiguration!$P$5:$P$914,ProductionConfiguration!$B$5:$B$914,C45,ProductionConfiguration!$I$5:$I$914,L45),IF(M45=2,SUMIFS(ProductionConfiguration!$Q$5:$Q$914,ProductionConfiguration!$B$5:$B$914,C45,ProductionConfiguration!$I$5:$I$914,L45),SUMIFS(ProductionConfiguration!$R$5:$R$914,ProductionConfiguration!$B$5:$B$914,C45,ProductionConfiguration!$I$5:$I$914,L45))),0))))</x:f>
      </x:c>
      <x:c r="T45" t="str">
        <x:f t="shared" si="6"/>
      </x:c>
      <x:c r="U45" t="str">
        <x:f t="shared" si="7"/>
      </x:c>
      <x:c r="V45" t="str">
        <x:f>IF(C45="","",SUMIF(DailyProduction!$Q$5:$Q$100,C45,DailyProduction!$J$5:$J$100))</x:f>
      </x:c>
      <x:c r="W45" t="str">
        <x:f t="shared" si="8"/>
      </x:c>
      <x:c r="Y45" t="str">
        <x:f>IF(B45="","",IF(COUNTIF(JobChange!$S$5:$S$100,B45)=1,"OK","CHECK"))</x:f>
      </x:c>
      <x:c r="Z45" t="str">
        <x:f t="shared" si="9"/>
      </x:c>
      <x:c r="AA45" t="str">
        <x:f t="shared" si="10"/>
      </x:c>
      <x:c r="AB45" t="str">
        <x:f t="shared" si="11"/>
      </x:c>
    </x:row>
    <x:row r="46">
      <x:c r="R46" t="str">
        <x:f>IF(B46="","",SUMIF(ProductionConfiguration!$B$5:$B$914,C46,ProductionConfiguration!$S$5:$S$914))</x:f>
      </x:c>
      <x:c r="S46" t="str">
        <x:f>IF(B46="","",IF(K46="Line",R46,IF(K46="Section",SUMIFS(ProductionConfiguration!$S$5:$S$914,ProductionConfiguration!$B$5:$B$914,C46,ProductionConfiguration!$I$5:$I$914,L46),IF(K46="Cavity",IF(M46=1,SUMIFS(ProductionConfiguration!$P$5:$P$914,ProductionConfiguration!$B$5:$B$914,C46,ProductionConfiguration!$I$5:$I$914,L46),IF(M46=2,SUMIFS(ProductionConfiguration!$Q$5:$Q$914,ProductionConfiguration!$B$5:$B$914,C46,ProductionConfiguration!$I$5:$I$914,L46),SUMIFS(ProductionConfiguration!$R$5:$R$914,ProductionConfiguration!$B$5:$B$914,C46,ProductionConfiguration!$I$5:$I$914,L46))),0))))</x:f>
      </x:c>
      <x:c r="T46" t="str">
        <x:f t="shared" si="6"/>
      </x:c>
      <x:c r="U46" t="str">
        <x:f t="shared" si="7"/>
      </x:c>
      <x:c r="V46" t="str">
        <x:f>IF(C46="","",SUMIF(DailyProduction!$Q$5:$Q$100,C46,DailyProduction!$J$5:$J$100))</x:f>
      </x:c>
      <x:c r="W46" t="str">
        <x:f t="shared" si="8"/>
      </x:c>
      <x:c r="Y46" t="str">
        <x:f>IF(B46="","",IF(COUNTIF(JobChange!$S$5:$S$100,B46)=1,"OK","CHECK"))</x:f>
      </x:c>
      <x:c r="Z46" t="str">
        <x:f t="shared" si="9"/>
      </x:c>
      <x:c r="AA46" t="str">
        <x:f t="shared" si="10"/>
      </x:c>
      <x:c r="AB46" t="str">
        <x:f t="shared" si="11"/>
      </x:c>
    </x:row>
    <x:row r="47">
      <x:c r="R47" t="str">
        <x:f>IF(B47="","",SUMIF(ProductionConfiguration!$B$5:$B$914,C47,ProductionConfiguration!$S$5:$S$914))</x:f>
      </x:c>
      <x:c r="S47" t="str">
        <x:f>IF(B47="","",IF(K47="Line",R47,IF(K47="Section",SUMIFS(ProductionConfiguration!$S$5:$S$914,ProductionConfiguration!$B$5:$B$914,C47,ProductionConfiguration!$I$5:$I$914,L47),IF(K47="Cavity",IF(M47=1,SUMIFS(ProductionConfiguration!$P$5:$P$914,ProductionConfiguration!$B$5:$B$914,C47,ProductionConfiguration!$I$5:$I$914,L47),IF(M47=2,SUMIFS(ProductionConfiguration!$Q$5:$Q$914,ProductionConfiguration!$B$5:$B$914,C47,ProductionConfiguration!$I$5:$I$914,L47),SUMIFS(ProductionConfiguration!$R$5:$R$914,ProductionConfiguration!$B$5:$B$914,C47,ProductionConfiguration!$I$5:$I$914,L47))),0))))</x:f>
      </x:c>
      <x:c r="T47" t="str">
        <x:f t="shared" si="6"/>
      </x:c>
      <x:c r="U47" t="str">
        <x:f t="shared" si="7"/>
      </x:c>
      <x:c r="V47" t="str">
        <x:f>IF(C47="","",SUMIF(DailyProduction!$Q$5:$Q$100,C47,DailyProduction!$J$5:$J$100))</x:f>
      </x:c>
      <x:c r="W47" t="str">
        <x:f t="shared" si="8"/>
      </x:c>
      <x:c r="Y47" t="str">
        <x:f>IF(B47="","",IF(COUNTIF(JobChange!$S$5:$S$100,B47)=1,"OK","CHECK"))</x:f>
      </x:c>
      <x:c r="Z47" t="str">
        <x:f t="shared" si="9"/>
      </x:c>
      <x:c r="AA47" t="str">
        <x:f t="shared" si="10"/>
      </x:c>
      <x:c r="AB47" t="str">
        <x:f t="shared" si="11"/>
      </x:c>
    </x:row>
    <x:row r="48">
      <x:c r="R48" t="str">
        <x:f>IF(B48="","",SUMIF(ProductionConfiguration!$B$5:$B$914,C48,ProductionConfiguration!$S$5:$S$914))</x:f>
      </x:c>
      <x:c r="S48" t="str">
        <x:f>IF(B48="","",IF(K48="Line",R48,IF(K48="Section",SUMIFS(ProductionConfiguration!$S$5:$S$914,ProductionConfiguration!$B$5:$B$914,C48,ProductionConfiguration!$I$5:$I$914,L48),IF(K48="Cavity",IF(M48=1,SUMIFS(ProductionConfiguration!$P$5:$P$914,ProductionConfiguration!$B$5:$B$914,C48,ProductionConfiguration!$I$5:$I$914,L48),IF(M48=2,SUMIFS(ProductionConfiguration!$Q$5:$Q$914,ProductionConfiguration!$B$5:$B$914,C48,ProductionConfiguration!$I$5:$I$914,L48),SUMIFS(ProductionConfiguration!$R$5:$R$914,ProductionConfiguration!$B$5:$B$914,C48,ProductionConfiguration!$I$5:$I$914,L48))),0))))</x:f>
      </x:c>
      <x:c r="T48" t="str">
        <x:f t="shared" si="6"/>
      </x:c>
      <x:c r="U48" t="str">
        <x:f t="shared" si="7"/>
      </x:c>
      <x:c r="V48" t="str">
        <x:f>IF(C48="","",SUMIF(DailyProduction!$Q$5:$Q$100,C48,DailyProduction!$J$5:$J$100))</x:f>
      </x:c>
      <x:c r="W48" t="str">
        <x:f t="shared" si="8"/>
      </x:c>
      <x:c r="Y48" t="str">
        <x:f>IF(B48="","",IF(COUNTIF(JobChange!$S$5:$S$100,B48)=1,"OK","CHECK"))</x:f>
      </x:c>
      <x:c r="Z48" t="str">
        <x:f t="shared" si="9"/>
      </x:c>
      <x:c r="AA48" t="str">
        <x:f t="shared" si="10"/>
      </x:c>
      <x:c r="AB48" t="str">
        <x:f t="shared" si="11"/>
      </x:c>
    </x:row>
    <x:row r="49">
      <x:c r="R49" t="str">
        <x:f>IF(B49="","",SUMIF(ProductionConfiguration!$B$5:$B$914,C49,ProductionConfiguration!$S$5:$S$914))</x:f>
      </x:c>
      <x:c r="S49" t="str">
        <x:f>IF(B49="","",IF(K49="Line",R49,IF(K49="Section",SUMIFS(ProductionConfiguration!$S$5:$S$914,ProductionConfiguration!$B$5:$B$914,C49,ProductionConfiguration!$I$5:$I$914,L49),IF(K49="Cavity",IF(M49=1,SUMIFS(ProductionConfiguration!$P$5:$P$914,ProductionConfiguration!$B$5:$B$914,C49,ProductionConfiguration!$I$5:$I$914,L49),IF(M49=2,SUMIFS(ProductionConfiguration!$Q$5:$Q$914,ProductionConfiguration!$B$5:$B$914,C49,ProductionConfiguration!$I$5:$I$914,L49),SUMIFS(ProductionConfiguration!$R$5:$R$914,ProductionConfiguration!$B$5:$B$914,C49,ProductionConfiguration!$I$5:$I$914,L49))),0))))</x:f>
      </x:c>
      <x:c r="T49" t="str">
        <x:f t="shared" si="6"/>
      </x:c>
      <x:c r="U49" t="str">
        <x:f t="shared" si="7"/>
      </x:c>
      <x:c r="V49" t="str">
        <x:f>IF(C49="","",SUMIF(DailyProduction!$Q$5:$Q$100,C49,DailyProduction!$J$5:$J$100))</x:f>
      </x:c>
      <x:c r="W49" t="str">
        <x:f t="shared" si="8"/>
      </x:c>
      <x:c r="Y49" t="str">
        <x:f>IF(B49="","",IF(COUNTIF(JobChange!$S$5:$S$100,B49)=1,"OK","CHECK"))</x:f>
      </x:c>
      <x:c r="Z49" t="str">
        <x:f t="shared" si="9"/>
      </x:c>
      <x:c r="AA49" t="str">
        <x:f t="shared" si="10"/>
      </x:c>
      <x:c r="AB49" t="str">
        <x:f t="shared" si="11"/>
      </x:c>
    </x:row>
    <x:row r="50">
      <x:c r="R50" t="str">
        <x:f>IF(B50="","",SUMIF(ProductionConfiguration!$B$5:$B$914,C50,ProductionConfiguration!$S$5:$S$914))</x:f>
      </x:c>
      <x:c r="S50" t="str">
        <x:f>IF(B50="","",IF(K50="Line",R50,IF(K50="Section",SUMIFS(ProductionConfiguration!$S$5:$S$914,ProductionConfiguration!$B$5:$B$914,C50,ProductionConfiguration!$I$5:$I$914,L50),IF(K50="Cavity",IF(M50=1,SUMIFS(ProductionConfiguration!$P$5:$P$914,ProductionConfiguration!$B$5:$B$914,C50,ProductionConfiguration!$I$5:$I$914,L50),IF(M50=2,SUMIFS(ProductionConfiguration!$Q$5:$Q$914,ProductionConfiguration!$B$5:$B$914,C50,ProductionConfiguration!$I$5:$I$914,L50),SUMIFS(ProductionConfiguration!$R$5:$R$914,ProductionConfiguration!$B$5:$B$914,C50,ProductionConfiguration!$I$5:$I$914,L50))),0))))</x:f>
      </x:c>
      <x:c r="T50" t="str">
        <x:f t="shared" si="6"/>
      </x:c>
      <x:c r="U50" t="str">
        <x:f t="shared" si="7"/>
      </x:c>
      <x:c r="V50" t="str">
        <x:f>IF(C50="","",SUMIF(DailyProduction!$Q$5:$Q$100,C50,DailyProduction!$J$5:$J$100))</x:f>
      </x:c>
      <x:c r="W50" t="str">
        <x:f t="shared" si="8"/>
      </x:c>
      <x:c r="Y50" t="str">
        <x:f>IF(B50="","",IF(COUNTIF(JobChange!$S$5:$S$100,B50)=1,"OK","CHECK"))</x:f>
      </x:c>
      <x:c r="Z50" t="str">
        <x:f t="shared" si="9"/>
      </x:c>
      <x:c r="AA50" t="str">
        <x:f t="shared" si="10"/>
      </x:c>
      <x:c r="AB50" t="str">
        <x:f t="shared" si="11"/>
      </x:c>
    </x:row>
    <x:row r="51">
      <x:c r="R51" t="str">
        <x:f>IF(B51="","",SUMIF(ProductionConfiguration!$B$5:$B$914,C51,ProductionConfiguration!$S$5:$S$914))</x:f>
      </x:c>
      <x:c r="S51" t="str">
        <x:f>IF(B51="","",IF(K51="Line",R51,IF(K51="Section",SUMIFS(ProductionConfiguration!$S$5:$S$914,ProductionConfiguration!$B$5:$B$914,C51,ProductionConfiguration!$I$5:$I$914,L51),IF(K51="Cavity",IF(M51=1,SUMIFS(ProductionConfiguration!$P$5:$P$914,ProductionConfiguration!$B$5:$B$914,C51,ProductionConfiguration!$I$5:$I$914,L51),IF(M51=2,SUMIFS(ProductionConfiguration!$Q$5:$Q$914,ProductionConfiguration!$B$5:$B$914,C51,ProductionConfiguration!$I$5:$I$914,L51),SUMIFS(ProductionConfiguration!$R$5:$R$914,ProductionConfiguration!$B$5:$B$914,C51,ProductionConfiguration!$I$5:$I$914,L51))),0))))</x:f>
      </x:c>
      <x:c r="T51" t="str">
        <x:f t="shared" si="6"/>
      </x:c>
      <x:c r="U51" t="str">
        <x:f t="shared" si="7"/>
      </x:c>
      <x:c r="V51" t="str">
        <x:f>IF(C51="","",SUMIF(DailyProduction!$Q$5:$Q$100,C51,DailyProduction!$J$5:$J$100))</x:f>
      </x:c>
      <x:c r="W51" t="str">
        <x:f t="shared" si="8"/>
      </x:c>
      <x:c r="Y51" t="str">
        <x:f>IF(B51="","",IF(COUNTIF(JobChange!$S$5:$S$100,B51)=1,"OK","CHECK"))</x:f>
      </x:c>
      <x:c r="Z51" t="str">
        <x:f t="shared" si="9"/>
      </x:c>
      <x:c r="AA51" t="str">
        <x:f t="shared" si="10"/>
      </x:c>
      <x:c r="AB51" t="str">
        <x:f t="shared" si="11"/>
      </x:c>
    </x:row>
    <x:row r="52">
      <x:c r="R52" t="str">
        <x:f>IF(B52="","",SUMIF(ProductionConfiguration!$B$5:$B$914,C52,ProductionConfiguration!$S$5:$S$914))</x:f>
      </x:c>
      <x:c r="S52" t="str">
        <x:f>IF(B52="","",IF(K52="Line",R52,IF(K52="Section",SUMIFS(ProductionConfiguration!$S$5:$S$914,ProductionConfiguration!$B$5:$B$914,C52,ProductionConfiguration!$I$5:$I$914,L52),IF(K52="Cavity",IF(M52=1,SUMIFS(ProductionConfiguration!$P$5:$P$914,ProductionConfiguration!$B$5:$B$914,C52,ProductionConfiguration!$I$5:$I$914,L52),IF(M52=2,SUMIFS(ProductionConfiguration!$Q$5:$Q$914,ProductionConfiguration!$B$5:$B$914,C52,ProductionConfiguration!$I$5:$I$914,L52),SUMIFS(ProductionConfiguration!$R$5:$R$914,ProductionConfiguration!$B$5:$B$914,C52,ProductionConfiguration!$I$5:$I$914,L52))),0))))</x:f>
      </x:c>
      <x:c r="T52" t="str">
        <x:f t="shared" si="6"/>
      </x:c>
      <x:c r="U52" t="str">
        <x:f t="shared" si="7"/>
      </x:c>
      <x:c r="V52" t="str">
        <x:f>IF(C52="","",SUMIF(DailyProduction!$Q$5:$Q$100,C52,DailyProduction!$J$5:$J$100))</x:f>
      </x:c>
      <x:c r="W52" t="str">
        <x:f t="shared" si="8"/>
      </x:c>
      <x:c r="Y52" t="str">
        <x:f>IF(B52="","",IF(COUNTIF(JobChange!$S$5:$S$100,B52)=1,"OK","CHECK"))</x:f>
      </x:c>
      <x:c r="Z52" t="str">
        <x:f t="shared" si="9"/>
      </x:c>
      <x:c r="AA52" t="str">
        <x:f t="shared" si="10"/>
      </x:c>
      <x:c r="AB52" t="str">
        <x:f t="shared" si="11"/>
      </x:c>
    </x:row>
    <x:row r="53">
      <x:c r="R53" t="str">
        <x:f>IF(B53="","",SUMIF(ProductionConfiguration!$B$5:$B$914,C53,ProductionConfiguration!$S$5:$S$914))</x:f>
      </x:c>
      <x:c r="S53" t="str">
        <x:f>IF(B53="","",IF(K53="Line",R53,IF(K53="Section",SUMIFS(ProductionConfiguration!$S$5:$S$914,ProductionConfiguration!$B$5:$B$914,C53,ProductionConfiguration!$I$5:$I$914,L53),IF(K53="Cavity",IF(M53=1,SUMIFS(ProductionConfiguration!$P$5:$P$914,ProductionConfiguration!$B$5:$B$914,C53,ProductionConfiguration!$I$5:$I$914,L53),IF(M53=2,SUMIFS(ProductionConfiguration!$Q$5:$Q$914,ProductionConfiguration!$B$5:$B$914,C53,ProductionConfiguration!$I$5:$I$914,L53),SUMIFS(ProductionConfiguration!$R$5:$R$914,ProductionConfiguration!$B$5:$B$914,C53,ProductionConfiguration!$I$5:$I$914,L53))),0))))</x:f>
      </x:c>
      <x:c r="T53" t="str">
        <x:f t="shared" si="6"/>
      </x:c>
      <x:c r="U53" t="str">
        <x:f t="shared" si="7"/>
      </x:c>
      <x:c r="V53" t="str">
        <x:f>IF(C53="","",SUMIF(DailyProduction!$Q$5:$Q$100,C53,DailyProduction!$J$5:$J$100))</x:f>
      </x:c>
      <x:c r="W53" t="str">
        <x:f t="shared" si="8"/>
      </x:c>
      <x:c r="Y53" t="str">
        <x:f>IF(B53="","",IF(COUNTIF(JobChange!$S$5:$S$100,B53)=1,"OK","CHECK"))</x:f>
      </x:c>
      <x:c r="Z53" t="str">
        <x:f t="shared" si="9"/>
      </x:c>
      <x:c r="AA53" t="str">
        <x:f t="shared" si="10"/>
      </x:c>
      <x:c r="AB53" t="str">
        <x:f t="shared" si="11"/>
      </x:c>
    </x:row>
    <x:row r="54">
      <x:c r="R54" t="str">
        <x:f>IF(B54="","",SUMIF(ProductionConfiguration!$B$5:$B$914,C54,ProductionConfiguration!$S$5:$S$914))</x:f>
      </x:c>
      <x:c r="S54" t="str">
        <x:f>IF(B54="","",IF(K54="Line",R54,IF(K54="Section",SUMIFS(ProductionConfiguration!$S$5:$S$914,ProductionConfiguration!$B$5:$B$914,C54,ProductionConfiguration!$I$5:$I$914,L54),IF(K54="Cavity",IF(M54=1,SUMIFS(ProductionConfiguration!$P$5:$P$914,ProductionConfiguration!$B$5:$B$914,C54,ProductionConfiguration!$I$5:$I$914,L54),IF(M54=2,SUMIFS(ProductionConfiguration!$Q$5:$Q$914,ProductionConfiguration!$B$5:$B$914,C54,ProductionConfiguration!$I$5:$I$914,L54),SUMIFS(ProductionConfiguration!$R$5:$R$914,ProductionConfiguration!$B$5:$B$914,C54,ProductionConfiguration!$I$5:$I$914,L54))),0))))</x:f>
      </x:c>
      <x:c r="T54" t="str">
        <x:f t="shared" si="6"/>
      </x:c>
      <x:c r="U54" t="str">
        <x:f t="shared" si="7"/>
      </x:c>
      <x:c r="V54" t="str">
        <x:f>IF(C54="","",SUMIF(DailyProduction!$Q$5:$Q$100,C54,DailyProduction!$J$5:$J$100))</x:f>
      </x:c>
      <x:c r="W54" t="str">
        <x:f t="shared" si="8"/>
      </x:c>
      <x:c r="Y54" t="str">
        <x:f>IF(B54="","",IF(COUNTIF(JobChange!$S$5:$S$100,B54)=1,"OK","CHECK"))</x:f>
      </x:c>
      <x:c r="Z54" t="str">
        <x:f t="shared" si="9"/>
      </x:c>
      <x:c r="AA54" t="str">
        <x:f t="shared" si="10"/>
      </x:c>
      <x:c r="AB54" t="str">
        <x:f t="shared" si="11"/>
      </x:c>
    </x:row>
    <x:row r="55">
      <x:c r="R55" t="str">
        <x:f>IF(B55="","",SUMIF(ProductionConfiguration!$B$5:$B$914,C55,ProductionConfiguration!$S$5:$S$914))</x:f>
      </x:c>
      <x:c r="S55" t="str">
        <x:f>IF(B55="","",IF(K55="Line",R55,IF(K55="Section",SUMIFS(ProductionConfiguration!$S$5:$S$914,ProductionConfiguration!$B$5:$B$914,C55,ProductionConfiguration!$I$5:$I$914,L55),IF(K55="Cavity",IF(M55=1,SUMIFS(ProductionConfiguration!$P$5:$P$914,ProductionConfiguration!$B$5:$B$914,C55,ProductionConfiguration!$I$5:$I$914,L55),IF(M55=2,SUMIFS(ProductionConfiguration!$Q$5:$Q$914,ProductionConfiguration!$B$5:$B$914,C55,ProductionConfiguration!$I$5:$I$914,L55),SUMIFS(ProductionConfiguration!$R$5:$R$914,ProductionConfiguration!$B$5:$B$914,C55,ProductionConfiguration!$I$5:$I$914,L55))),0))))</x:f>
      </x:c>
      <x:c r="T55" t="str">
        <x:f t="shared" si="6"/>
      </x:c>
      <x:c r="U55" t="str">
        <x:f t="shared" si="7"/>
      </x:c>
      <x:c r="V55" t="str">
        <x:f>IF(C55="","",SUMIF(DailyProduction!$Q$5:$Q$100,C55,DailyProduction!$J$5:$J$100))</x:f>
      </x:c>
      <x:c r="W55" t="str">
        <x:f t="shared" si="8"/>
      </x:c>
      <x:c r="Y55" t="str">
        <x:f>IF(B55="","",IF(COUNTIF(JobChange!$S$5:$S$100,B55)=1,"OK","CHECK"))</x:f>
      </x:c>
      <x:c r="Z55" t="str">
        <x:f t="shared" si="9"/>
      </x:c>
      <x:c r="AA55" t="str">
        <x:f t="shared" si="10"/>
      </x:c>
      <x:c r="AB55" t="str">
        <x:f t="shared" si="11"/>
      </x:c>
    </x:row>
    <x:row r="56">
      <x:c r="R56" t="str">
        <x:f>IF(B56="","",SUMIF(ProductionConfiguration!$B$5:$B$914,C56,ProductionConfiguration!$S$5:$S$914))</x:f>
      </x:c>
      <x:c r="S56" t="str">
        <x:f>IF(B56="","",IF(K56="Line",R56,IF(K56="Section",SUMIFS(ProductionConfiguration!$S$5:$S$914,ProductionConfiguration!$B$5:$B$914,C56,ProductionConfiguration!$I$5:$I$914,L56),IF(K56="Cavity",IF(M56=1,SUMIFS(ProductionConfiguration!$P$5:$P$914,ProductionConfiguration!$B$5:$B$914,C56,ProductionConfiguration!$I$5:$I$914,L56),IF(M56=2,SUMIFS(ProductionConfiguration!$Q$5:$Q$914,ProductionConfiguration!$B$5:$B$914,C56,ProductionConfiguration!$I$5:$I$914,L56),SUMIFS(ProductionConfiguration!$R$5:$R$914,ProductionConfiguration!$B$5:$B$914,C56,ProductionConfiguration!$I$5:$I$914,L56))),0))))</x:f>
      </x:c>
      <x:c r="T56" t="str">
        <x:f t="shared" si="6"/>
      </x:c>
      <x:c r="U56" t="str">
        <x:f t="shared" si="7"/>
      </x:c>
      <x:c r="V56" t="str">
        <x:f>IF(C56="","",SUMIF(DailyProduction!$Q$5:$Q$100,C56,DailyProduction!$J$5:$J$100))</x:f>
      </x:c>
      <x:c r="W56" t="str">
        <x:f t="shared" si="8"/>
      </x:c>
      <x:c r="Y56" t="str">
        <x:f>IF(B56="","",IF(COUNTIF(JobChange!$S$5:$S$100,B56)=1,"OK","CHECK"))</x:f>
      </x:c>
      <x:c r="Z56" t="str">
        <x:f t="shared" si="9"/>
      </x:c>
      <x:c r="AA56" t="str">
        <x:f t="shared" si="10"/>
      </x:c>
      <x:c r="AB56" t="str">
        <x:f t="shared" si="11"/>
      </x:c>
    </x:row>
    <x:row r="57">
      <x:c r="R57" t="str">
        <x:f>IF(B57="","",SUMIF(ProductionConfiguration!$B$5:$B$914,C57,ProductionConfiguration!$S$5:$S$914))</x:f>
      </x:c>
      <x:c r="S57" t="str">
        <x:f>IF(B57="","",IF(K57="Line",R57,IF(K57="Section",SUMIFS(ProductionConfiguration!$S$5:$S$914,ProductionConfiguration!$B$5:$B$914,C57,ProductionConfiguration!$I$5:$I$914,L57),IF(K57="Cavity",IF(M57=1,SUMIFS(ProductionConfiguration!$P$5:$P$914,ProductionConfiguration!$B$5:$B$914,C57,ProductionConfiguration!$I$5:$I$914,L57),IF(M57=2,SUMIFS(ProductionConfiguration!$Q$5:$Q$914,ProductionConfiguration!$B$5:$B$914,C57,ProductionConfiguration!$I$5:$I$914,L57),SUMIFS(ProductionConfiguration!$R$5:$R$914,ProductionConfiguration!$B$5:$B$914,C57,ProductionConfiguration!$I$5:$I$914,L57))),0))))</x:f>
      </x:c>
      <x:c r="T57" t="str">
        <x:f t="shared" si="6"/>
      </x:c>
      <x:c r="U57" t="str">
        <x:f t="shared" si="7"/>
      </x:c>
      <x:c r="V57" t="str">
        <x:f>IF(C57="","",SUMIF(DailyProduction!$Q$5:$Q$100,C57,DailyProduction!$J$5:$J$100))</x:f>
      </x:c>
      <x:c r="W57" t="str">
        <x:f t="shared" si="8"/>
      </x:c>
      <x:c r="Y57" t="str">
        <x:f>IF(B57="","",IF(COUNTIF(JobChange!$S$5:$S$100,B57)=1,"OK","CHECK"))</x:f>
      </x:c>
      <x:c r="Z57" t="str">
        <x:f t="shared" si="9"/>
      </x:c>
      <x:c r="AA57" t="str">
        <x:f t="shared" si="10"/>
      </x:c>
      <x:c r="AB57" t="str">
        <x:f t="shared" si="11"/>
      </x:c>
    </x:row>
    <x:row r="58">
      <x:c r="R58" t="str">
        <x:f>IF(B58="","",SUMIF(ProductionConfiguration!$B$5:$B$914,C58,ProductionConfiguration!$S$5:$S$914))</x:f>
      </x:c>
      <x:c r="S58" t="str">
        <x:f>IF(B58="","",IF(K58="Line",R58,IF(K58="Section",SUMIFS(ProductionConfiguration!$S$5:$S$914,ProductionConfiguration!$B$5:$B$914,C58,ProductionConfiguration!$I$5:$I$914,L58),IF(K58="Cavity",IF(M58=1,SUMIFS(ProductionConfiguration!$P$5:$P$914,ProductionConfiguration!$B$5:$B$914,C58,ProductionConfiguration!$I$5:$I$914,L58),IF(M58=2,SUMIFS(ProductionConfiguration!$Q$5:$Q$914,ProductionConfiguration!$B$5:$B$914,C58,ProductionConfiguration!$I$5:$I$914,L58),SUMIFS(ProductionConfiguration!$R$5:$R$914,ProductionConfiguration!$B$5:$B$914,C58,ProductionConfiguration!$I$5:$I$914,L58))),0))))</x:f>
      </x:c>
      <x:c r="T58" t="str">
        <x:f t="shared" si="6"/>
      </x:c>
      <x:c r="U58" t="str">
        <x:f t="shared" si="7"/>
      </x:c>
      <x:c r="V58" t="str">
        <x:f>IF(C58="","",SUMIF(DailyProduction!$Q$5:$Q$100,C58,DailyProduction!$J$5:$J$100))</x:f>
      </x:c>
      <x:c r="W58" t="str">
        <x:f t="shared" si="8"/>
      </x:c>
      <x:c r="Y58" t="str">
        <x:f>IF(B58="","",IF(COUNTIF(JobChange!$S$5:$S$100,B58)=1,"OK","CHECK"))</x:f>
      </x:c>
      <x:c r="Z58" t="str">
        <x:f t="shared" si="9"/>
      </x:c>
      <x:c r="AA58" t="str">
        <x:f t="shared" si="10"/>
      </x:c>
      <x:c r="AB58" t="str">
        <x:f t="shared" si="11"/>
      </x:c>
    </x:row>
    <x:row r="59">
      <x:c r="R59" t="str">
        <x:f>IF(B59="","",SUMIF(ProductionConfiguration!$B$5:$B$914,C59,ProductionConfiguration!$S$5:$S$914))</x:f>
      </x:c>
      <x:c r="S59" t="str">
        <x:f>IF(B59="","",IF(K59="Line",R59,IF(K59="Section",SUMIFS(ProductionConfiguration!$S$5:$S$914,ProductionConfiguration!$B$5:$B$914,C59,ProductionConfiguration!$I$5:$I$914,L59),IF(K59="Cavity",IF(M59=1,SUMIFS(ProductionConfiguration!$P$5:$P$914,ProductionConfiguration!$B$5:$B$914,C59,ProductionConfiguration!$I$5:$I$914,L59),IF(M59=2,SUMIFS(ProductionConfiguration!$Q$5:$Q$914,ProductionConfiguration!$B$5:$B$914,C59,ProductionConfiguration!$I$5:$I$914,L59),SUMIFS(ProductionConfiguration!$R$5:$R$914,ProductionConfiguration!$B$5:$B$914,C59,ProductionConfiguration!$I$5:$I$914,L59))),0))))</x:f>
      </x:c>
      <x:c r="T59" t="str">
        <x:f t="shared" si="6"/>
      </x:c>
      <x:c r="U59" t="str">
        <x:f t="shared" si="7"/>
      </x:c>
      <x:c r="V59" t="str">
        <x:f>IF(C59="","",SUMIF(DailyProduction!$Q$5:$Q$100,C59,DailyProduction!$J$5:$J$100))</x:f>
      </x:c>
      <x:c r="W59" t="str">
        <x:f t="shared" si="8"/>
      </x:c>
      <x:c r="Y59" t="str">
        <x:f>IF(B59="","",IF(COUNTIF(JobChange!$S$5:$S$100,B59)=1,"OK","CHECK"))</x:f>
      </x:c>
      <x:c r="Z59" t="str">
        <x:f t="shared" si="9"/>
      </x:c>
      <x:c r="AA59" t="str">
        <x:f t="shared" si="10"/>
      </x:c>
      <x:c r="AB59" t="str">
        <x:f t="shared" si="11"/>
      </x:c>
    </x:row>
    <x:row r="60">
      <x:c r="R60" t="str">
        <x:f>IF(B60="","",SUMIF(ProductionConfiguration!$B$5:$B$914,C60,ProductionConfiguration!$S$5:$S$914))</x:f>
      </x:c>
      <x:c r="S60" t="str">
        <x:f>IF(B60="","",IF(K60="Line",R60,IF(K60="Section",SUMIFS(ProductionConfiguration!$S$5:$S$914,ProductionConfiguration!$B$5:$B$914,C60,ProductionConfiguration!$I$5:$I$914,L60),IF(K60="Cavity",IF(M60=1,SUMIFS(ProductionConfiguration!$P$5:$P$914,ProductionConfiguration!$B$5:$B$914,C60,ProductionConfiguration!$I$5:$I$914,L60),IF(M60=2,SUMIFS(ProductionConfiguration!$Q$5:$Q$914,ProductionConfiguration!$B$5:$B$914,C60,ProductionConfiguration!$I$5:$I$914,L60),SUMIFS(ProductionConfiguration!$R$5:$R$914,ProductionConfiguration!$B$5:$B$914,C60,ProductionConfiguration!$I$5:$I$914,L60))),0))))</x:f>
      </x:c>
      <x:c r="T60" t="str">
        <x:f t="shared" si="6"/>
      </x:c>
      <x:c r="U60" t="str">
        <x:f t="shared" si="7"/>
      </x:c>
      <x:c r="V60" t="str">
        <x:f>IF(C60="","",SUMIF(DailyProduction!$Q$5:$Q$100,C60,DailyProduction!$J$5:$J$100))</x:f>
      </x:c>
      <x:c r="W60" t="str">
        <x:f t="shared" si="8"/>
      </x:c>
      <x:c r="Y60" t="str">
        <x:f>IF(B60="","",IF(COUNTIF(JobChange!$S$5:$S$100,B60)=1,"OK","CHECK"))</x:f>
      </x:c>
      <x:c r="Z60" t="str">
        <x:f t="shared" si="9"/>
      </x:c>
      <x:c r="AA60" t="str">
        <x:f t="shared" si="10"/>
      </x:c>
      <x:c r="AB60" t="str">
        <x:f t="shared" si="11"/>
      </x:c>
    </x:row>
    <x:row r="61">
      <x:c r="R61" t="str">
        <x:f>IF(B61="","",SUMIF(ProductionConfiguration!$B$5:$B$914,C61,ProductionConfiguration!$S$5:$S$914))</x:f>
      </x:c>
      <x:c r="S61" t="str">
        <x:f>IF(B61="","",IF(K61="Line",R61,IF(K61="Section",SUMIFS(ProductionConfiguration!$S$5:$S$914,ProductionConfiguration!$B$5:$B$914,C61,ProductionConfiguration!$I$5:$I$914,L61),IF(K61="Cavity",IF(M61=1,SUMIFS(ProductionConfiguration!$P$5:$P$914,ProductionConfiguration!$B$5:$B$914,C61,ProductionConfiguration!$I$5:$I$914,L61),IF(M61=2,SUMIFS(ProductionConfiguration!$Q$5:$Q$914,ProductionConfiguration!$B$5:$B$914,C61,ProductionConfiguration!$I$5:$I$914,L61),SUMIFS(ProductionConfiguration!$R$5:$R$914,ProductionConfiguration!$B$5:$B$914,C61,ProductionConfiguration!$I$5:$I$914,L61))),0))))</x:f>
      </x:c>
      <x:c r="T61" t="str">
        <x:f t="shared" si="6"/>
      </x:c>
      <x:c r="U61" t="str">
        <x:f t="shared" si="7"/>
      </x:c>
      <x:c r="V61" t="str">
        <x:f>IF(C61="","",SUMIF(DailyProduction!$Q$5:$Q$100,C61,DailyProduction!$J$5:$J$100))</x:f>
      </x:c>
      <x:c r="W61" t="str">
        <x:f t="shared" si="8"/>
      </x:c>
      <x:c r="Y61" t="str">
        <x:f>IF(B61="","",IF(COUNTIF(JobChange!$S$5:$S$100,B61)=1,"OK","CHECK"))</x:f>
      </x:c>
      <x:c r="Z61" t="str">
        <x:f t="shared" si="9"/>
      </x:c>
      <x:c r="AA61" t="str">
        <x:f t="shared" si="10"/>
      </x:c>
      <x:c r="AB61" t="str">
        <x:f t="shared" si="11"/>
      </x:c>
    </x:row>
    <x:row r="62">
      <x:c r="R62" t="str">
        <x:f>IF(B62="","",SUMIF(ProductionConfiguration!$B$5:$B$914,C62,ProductionConfiguration!$S$5:$S$914))</x:f>
      </x:c>
      <x:c r="S62" t="str">
        <x:f>IF(B62="","",IF(K62="Line",R62,IF(K62="Section",SUMIFS(ProductionConfiguration!$S$5:$S$914,ProductionConfiguration!$B$5:$B$914,C62,ProductionConfiguration!$I$5:$I$914,L62),IF(K62="Cavity",IF(M62=1,SUMIFS(ProductionConfiguration!$P$5:$P$914,ProductionConfiguration!$B$5:$B$914,C62,ProductionConfiguration!$I$5:$I$914,L62),IF(M62=2,SUMIFS(ProductionConfiguration!$Q$5:$Q$914,ProductionConfiguration!$B$5:$B$914,C62,ProductionConfiguration!$I$5:$I$914,L62),SUMIFS(ProductionConfiguration!$R$5:$R$914,ProductionConfiguration!$B$5:$B$914,C62,ProductionConfiguration!$I$5:$I$914,L62))),0))))</x:f>
      </x:c>
      <x:c r="T62" t="str">
        <x:f t="shared" si="6"/>
      </x:c>
      <x:c r="U62" t="str">
        <x:f t="shared" si="7"/>
      </x:c>
      <x:c r="V62" t="str">
        <x:f>IF(C62="","",SUMIF(DailyProduction!$Q$5:$Q$100,C62,DailyProduction!$J$5:$J$100))</x:f>
      </x:c>
      <x:c r="W62" t="str">
        <x:f t="shared" si="8"/>
      </x:c>
      <x:c r="Y62" t="str">
        <x:f>IF(B62="","",IF(COUNTIF(JobChange!$S$5:$S$100,B62)=1,"OK","CHECK"))</x:f>
      </x:c>
      <x:c r="Z62" t="str">
        <x:f t="shared" si="9"/>
      </x:c>
      <x:c r="AA62" t="str">
        <x:f t="shared" si="10"/>
      </x:c>
      <x:c r="AB62" t="str">
        <x:f t="shared" si="11"/>
      </x:c>
    </x:row>
    <x:row r="63">
      <x:c r="R63" t="str">
        <x:f>IF(B63="","",SUMIF(ProductionConfiguration!$B$5:$B$914,C63,ProductionConfiguration!$S$5:$S$914))</x:f>
      </x:c>
      <x:c r="S63" t="str">
        <x:f>IF(B63="","",IF(K63="Line",R63,IF(K63="Section",SUMIFS(ProductionConfiguration!$S$5:$S$914,ProductionConfiguration!$B$5:$B$914,C63,ProductionConfiguration!$I$5:$I$914,L63),IF(K63="Cavity",IF(M63=1,SUMIFS(ProductionConfiguration!$P$5:$P$914,ProductionConfiguration!$B$5:$B$914,C63,ProductionConfiguration!$I$5:$I$914,L63),IF(M63=2,SUMIFS(ProductionConfiguration!$Q$5:$Q$914,ProductionConfiguration!$B$5:$B$914,C63,ProductionConfiguration!$I$5:$I$914,L63),SUMIFS(ProductionConfiguration!$R$5:$R$914,ProductionConfiguration!$B$5:$B$914,C63,ProductionConfiguration!$I$5:$I$914,L63))),0))))</x:f>
      </x:c>
      <x:c r="T63" t="str">
        <x:f t="shared" si="6"/>
      </x:c>
      <x:c r="U63" t="str">
        <x:f t="shared" si="7"/>
      </x:c>
      <x:c r="V63" t="str">
        <x:f>IF(C63="","",SUMIF(DailyProduction!$Q$5:$Q$100,C63,DailyProduction!$J$5:$J$100))</x:f>
      </x:c>
      <x:c r="W63" t="str">
        <x:f t="shared" si="8"/>
      </x:c>
      <x:c r="Y63" t="str">
        <x:f>IF(B63="","",IF(COUNTIF(JobChange!$S$5:$S$100,B63)=1,"OK","CHECK"))</x:f>
      </x:c>
      <x:c r="Z63" t="str">
        <x:f t="shared" si="9"/>
      </x:c>
      <x:c r="AA63" t="str">
        <x:f t="shared" si="10"/>
      </x:c>
      <x:c r="AB63" t="str">
        <x:f t="shared" si="11"/>
      </x:c>
    </x:row>
    <x:row r="64">
      <x:c r="R64" t="str">
        <x:f>IF(B64="","",SUMIF(ProductionConfiguration!$B$5:$B$914,C64,ProductionConfiguration!$S$5:$S$914))</x:f>
      </x:c>
      <x:c r="S64" t="str">
        <x:f>IF(B64="","",IF(K64="Line",R64,IF(K64="Section",SUMIFS(ProductionConfiguration!$S$5:$S$914,ProductionConfiguration!$B$5:$B$914,C64,ProductionConfiguration!$I$5:$I$914,L64),IF(K64="Cavity",IF(M64=1,SUMIFS(ProductionConfiguration!$P$5:$P$914,ProductionConfiguration!$B$5:$B$914,C64,ProductionConfiguration!$I$5:$I$914,L64),IF(M64=2,SUMIFS(ProductionConfiguration!$Q$5:$Q$914,ProductionConfiguration!$B$5:$B$914,C64,ProductionConfiguration!$I$5:$I$914,L64),SUMIFS(ProductionConfiguration!$R$5:$R$914,ProductionConfiguration!$B$5:$B$914,C64,ProductionConfiguration!$I$5:$I$914,L64))),0))))</x:f>
      </x:c>
      <x:c r="T64" t="str">
        <x:f t="shared" si="6"/>
      </x:c>
      <x:c r="U64" t="str">
        <x:f t="shared" si="7"/>
      </x:c>
      <x:c r="V64" t="str">
        <x:f>IF(C64="","",SUMIF(DailyProduction!$Q$5:$Q$100,C64,DailyProduction!$J$5:$J$100))</x:f>
      </x:c>
      <x:c r="W64" t="str">
        <x:f t="shared" si="8"/>
      </x:c>
      <x:c r="Y64" t="str">
        <x:f>IF(B64="","",IF(COUNTIF(JobChange!$S$5:$S$100,B64)=1,"OK","CHECK"))</x:f>
      </x:c>
      <x:c r="Z64" t="str">
        <x:f t="shared" si="9"/>
      </x:c>
      <x:c r="AA64" t="str">
        <x:f t="shared" si="10"/>
      </x:c>
      <x:c r="AB64" t="str">
        <x:f t="shared" si="11"/>
      </x:c>
    </x:row>
    <x:row r="65">
      <x:c r="R65" t="str">
        <x:f>IF(B65="","",SUMIF(ProductionConfiguration!$B$5:$B$914,C65,ProductionConfiguration!$S$5:$S$914))</x:f>
      </x:c>
      <x:c r="S65" t="str">
        <x:f>IF(B65="","",IF(K65="Line",R65,IF(K65="Section",SUMIFS(ProductionConfiguration!$S$5:$S$914,ProductionConfiguration!$B$5:$B$914,C65,ProductionConfiguration!$I$5:$I$914,L65),IF(K65="Cavity",IF(M65=1,SUMIFS(ProductionConfiguration!$P$5:$P$914,ProductionConfiguration!$B$5:$B$914,C65,ProductionConfiguration!$I$5:$I$914,L65),IF(M65=2,SUMIFS(ProductionConfiguration!$Q$5:$Q$914,ProductionConfiguration!$B$5:$B$914,C65,ProductionConfiguration!$I$5:$I$914,L65),SUMIFS(ProductionConfiguration!$R$5:$R$914,ProductionConfiguration!$B$5:$B$914,C65,ProductionConfiguration!$I$5:$I$914,L65))),0))))</x:f>
      </x:c>
      <x:c r="T65" t="str">
        <x:f t="shared" si="6"/>
      </x:c>
      <x:c r="U65" t="str">
        <x:f t="shared" si="7"/>
      </x:c>
      <x:c r="V65" t="str">
        <x:f>IF(C65="","",SUMIF(DailyProduction!$Q$5:$Q$100,C65,DailyProduction!$J$5:$J$100))</x:f>
      </x:c>
      <x:c r="W65" t="str">
        <x:f t="shared" si="8"/>
      </x:c>
      <x:c r="Y65" t="str">
        <x:f>IF(B65="","",IF(COUNTIF(JobChange!$S$5:$S$100,B65)=1,"OK","CHECK"))</x:f>
      </x:c>
      <x:c r="Z65" t="str">
        <x:f t="shared" si="9"/>
      </x:c>
      <x:c r="AA65" t="str">
        <x:f t="shared" si="10"/>
      </x:c>
      <x:c r="AB65" t="str">
        <x:f t="shared" si="11"/>
      </x:c>
    </x:row>
    <x:row r="66">
      <x:c r="R66" t="str">
        <x:f>IF(B66="","",SUMIF(ProductionConfiguration!$B$5:$B$914,C66,ProductionConfiguration!$S$5:$S$914))</x:f>
      </x:c>
      <x:c r="S66" t="str">
        <x:f>IF(B66="","",IF(K66="Line",R66,IF(K66="Section",SUMIFS(ProductionConfiguration!$S$5:$S$914,ProductionConfiguration!$B$5:$B$914,C66,ProductionConfiguration!$I$5:$I$914,L66),IF(K66="Cavity",IF(M66=1,SUMIFS(ProductionConfiguration!$P$5:$P$914,ProductionConfiguration!$B$5:$B$914,C66,ProductionConfiguration!$I$5:$I$914,L66),IF(M66=2,SUMIFS(ProductionConfiguration!$Q$5:$Q$914,ProductionConfiguration!$B$5:$B$914,C66,ProductionConfiguration!$I$5:$I$914,L66),SUMIFS(ProductionConfiguration!$R$5:$R$914,ProductionConfiguration!$B$5:$B$914,C66,ProductionConfiguration!$I$5:$I$914,L66))),0))))</x:f>
      </x:c>
      <x:c r="T66" t="str">
        <x:f t="shared" si="6"/>
      </x:c>
      <x:c r="U66" t="str">
        <x:f t="shared" si="7"/>
      </x:c>
      <x:c r="V66" t="str">
        <x:f>IF(C66="","",SUMIF(DailyProduction!$Q$5:$Q$100,C66,DailyProduction!$J$5:$J$100))</x:f>
      </x:c>
      <x:c r="W66" t="str">
        <x:f t="shared" si="8"/>
      </x:c>
      <x:c r="Y66" t="str">
        <x:f>IF(B66="","",IF(COUNTIF(JobChange!$S$5:$S$100,B66)=1,"OK","CHECK"))</x:f>
      </x:c>
      <x:c r="Z66" t="str">
        <x:f t="shared" si="9"/>
      </x:c>
      <x:c r="AA66" t="str">
        <x:f t="shared" si="10"/>
      </x:c>
      <x:c r="AB66" t="str">
        <x:f t="shared" si="11"/>
      </x:c>
    </x:row>
    <x:row r="67">
      <x:c r="R67" t="str">
        <x:f>IF(B67="","",SUMIF(ProductionConfiguration!$B$5:$B$914,C67,ProductionConfiguration!$S$5:$S$914))</x:f>
      </x:c>
      <x:c r="S67" t="str">
        <x:f>IF(B67="","",IF(K67="Line",R67,IF(K67="Section",SUMIFS(ProductionConfiguration!$S$5:$S$914,ProductionConfiguration!$B$5:$B$914,C67,ProductionConfiguration!$I$5:$I$914,L67),IF(K67="Cavity",IF(M67=1,SUMIFS(ProductionConfiguration!$P$5:$P$914,ProductionConfiguration!$B$5:$B$914,C67,ProductionConfiguration!$I$5:$I$914,L67),IF(M67=2,SUMIFS(ProductionConfiguration!$Q$5:$Q$914,ProductionConfiguration!$B$5:$B$914,C67,ProductionConfiguration!$I$5:$I$914,L67),SUMIFS(ProductionConfiguration!$R$5:$R$914,ProductionConfiguration!$B$5:$B$914,C67,ProductionConfiguration!$I$5:$I$914,L67))),0))))</x:f>
      </x:c>
      <x:c r="T67" t="str">
        <x:f t="shared" si="6"/>
      </x:c>
      <x:c r="U67" t="str">
        <x:f t="shared" si="7"/>
      </x:c>
      <x:c r="V67" t="str">
        <x:f>IF(C67="","",SUMIF(DailyProduction!$Q$5:$Q$100,C67,DailyProduction!$J$5:$J$100))</x:f>
      </x:c>
      <x:c r="W67" t="str">
        <x:f t="shared" si="8"/>
      </x:c>
      <x:c r="Y67" t="str">
        <x:f>IF(B67="","",IF(COUNTIF(JobChange!$S$5:$S$100,B67)=1,"OK","CHECK"))</x:f>
      </x:c>
      <x:c r="Z67" t="str">
        <x:f t="shared" si="9"/>
      </x:c>
      <x:c r="AA67" t="str">
        <x:f t="shared" si="10"/>
      </x:c>
      <x:c r="AB67" t="str">
        <x:f t="shared" si="11"/>
      </x:c>
    </x:row>
    <x:row r="68">
      <x:c r="R68" t="str">
        <x:f>IF(B68="","",SUMIF(ProductionConfiguration!$B$5:$B$914,C68,ProductionConfiguration!$S$5:$S$914))</x:f>
      </x:c>
      <x:c r="S68" t="str">
        <x:f>IF(B68="","",IF(K68="Line",R68,IF(K68="Section",SUMIFS(ProductionConfiguration!$S$5:$S$914,ProductionConfiguration!$B$5:$B$914,C68,ProductionConfiguration!$I$5:$I$914,L68),IF(K68="Cavity",IF(M68=1,SUMIFS(ProductionConfiguration!$P$5:$P$914,ProductionConfiguration!$B$5:$B$914,C68,ProductionConfiguration!$I$5:$I$914,L68),IF(M68=2,SUMIFS(ProductionConfiguration!$Q$5:$Q$914,ProductionConfiguration!$B$5:$B$914,C68,ProductionConfiguration!$I$5:$I$914,L68),SUMIFS(ProductionConfiguration!$R$5:$R$914,ProductionConfiguration!$B$5:$B$914,C68,ProductionConfiguration!$I$5:$I$914,L68))),0))))</x:f>
      </x:c>
      <x:c r="T68" t="str">
        <x:f t="shared" si="6"/>
      </x:c>
      <x:c r="U68" t="str">
        <x:f t="shared" si="7"/>
      </x:c>
      <x:c r="V68" t="str">
        <x:f>IF(C68="","",SUMIF(DailyProduction!$Q$5:$Q$100,C68,DailyProduction!$J$5:$J$100))</x:f>
      </x:c>
      <x:c r="W68" t="str">
        <x:f t="shared" si="8"/>
      </x:c>
      <x:c r="Y68" t="str">
        <x:f>IF(B68="","",IF(COUNTIF(JobChange!$S$5:$S$100,B68)=1,"OK","CHECK"))</x:f>
      </x:c>
      <x:c r="Z68" t="str">
        <x:f t="shared" si="9"/>
      </x:c>
      <x:c r="AA68" t="str">
        <x:f t="shared" si="10"/>
      </x:c>
      <x:c r="AB68" t="str">
        <x:f t="shared" si="11"/>
      </x:c>
    </x:row>
    <x:row r="69">
      <x:c r="R69" t="str">
        <x:f>IF(B69="","",SUMIF(ProductionConfiguration!$B$5:$B$914,C69,ProductionConfiguration!$S$5:$S$914))</x:f>
      </x:c>
      <x:c r="S69" t="str">
        <x:f>IF(B69="","",IF(K69="Line",R69,IF(K69="Section",SUMIFS(ProductionConfiguration!$S$5:$S$914,ProductionConfiguration!$B$5:$B$914,C69,ProductionConfiguration!$I$5:$I$914,L69),IF(K69="Cavity",IF(M69=1,SUMIFS(ProductionConfiguration!$P$5:$P$914,ProductionConfiguration!$B$5:$B$914,C69,ProductionConfiguration!$I$5:$I$914,L69),IF(M69=2,SUMIFS(ProductionConfiguration!$Q$5:$Q$914,ProductionConfiguration!$B$5:$B$914,C69,ProductionConfiguration!$I$5:$I$914,L69),SUMIFS(ProductionConfiguration!$R$5:$R$914,ProductionConfiguration!$B$5:$B$914,C69,ProductionConfiguration!$I$5:$I$914,L69))),0))))</x:f>
      </x:c>
      <x:c r="T69" t="str">
        <x:f t="shared" ref="T69:T100" si="12">IF(B69="","",IFERROR(S69/R69,0))</x:f>
      </x:c>
      <x:c r="U69" t="str">
        <x:f t="shared" ref="U69:U100" si="13">IF(B69="","",Q69*T69)</x:f>
      </x:c>
      <x:c r="V69" t="str">
        <x:f>IF(C69="","",SUMIF(DailyProduction!$Q$5:$Q$100,C69,DailyProduction!$J$5:$J$100))</x:f>
      </x:c>
      <x:c r="W69" t="str">
        <x:f t="shared" ref="W69:W100" si="14">IF(B69="","",Q69*60*V69*S69)</x:f>
      </x:c>
      <x:c r="Y69" t="str">
        <x:f>IF(B69="","",IF(COUNTIF(JobChange!$S$5:$S$100,B69)=1,"OK","CHECK"))</x:f>
      </x:c>
      <x:c r="Z69" t="str">
        <x:f t="shared" ref="Z69:Z100" si="15">IF(B69="","",IF(OR(AND(K69="Line",J69="L"&amp;E69),AND(K69="Section",J69="L"&amp;E69&amp;"-S"&amp;TEXT(L69,"00")),AND(K69="Cavity",J69="L"&amp;E69&amp;"-S"&amp;TEXT(L69,"00")&amp;"-C"&amp;M69)),"OK","CHECK"))</x:f>
      </x:c>
      <x:c r="AA69" t="str">
        <x:f t="shared" ref="AA69:AA100" si="16">IF(B69="","",IF(AND(Q69&gt;0,OR(AND(O69="",P69=""),AND(O69&lt;&gt;"",P69&lt;&gt;"",P69&gt;=O69,ABS(Q69-((P69-O69)*24))&lt;=0.01))),"OK","CHECK"))</x:f>
      </x:c>
      <x:c r="AB69" t="str">
        <x:f t="shared" ref="AB69:AB100" si="17">IF(B69="","",IF(AND(Y69="OK",Z69="OK",AA69="OK",R69&gt;0,S69&gt;0),"OK","CHECK"))</x:f>
      </x:c>
    </x:row>
    <x:row r="70">
      <x:c r="R70" t="str">
        <x:f>IF(B70="","",SUMIF(ProductionConfiguration!$B$5:$B$914,C70,ProductionConfiguration!$S$5:$S$914))</x:f>
      </x:c>
      <x:c r="S70" t="str">
        <x:f>IF(B70="","",IF(K70="Line",R70,IF(K70="Section",SUMIFS(ProductionConfiguration!$S$5:$S$914,ProductionConfiguration!$B$5:$B$914,C70,ProductionConfiguration!$I$5:$I$914,L70),IF(K70="Cavity",IF(M70=1,SUMIFS(ProductionConfiguration!$P$5:$P$914,ProductionConfiguration!$B$5:$B$914,C70,ProductionConfiguration!$I$5:$I$914,L70),IF(M70=2,SUMIFS(ProductionConfiguration!$Q$5:$Q$914,ProductionConfiguration!$B$5:$B$914,C70,ProductionConfiguration!$I$5:$I$914,L70),SUMIFS(ProductionConfiguration!$R$5:$R$914,ProductionConfiguration!$B$5:$B$914,C70,ProductionConfiguration!$I$5:$I$914,L70))),0))))</x:f>
      </x:c>
      <x:c r="T70" t="str">
        <x:f t="shared" si="12"/>
      </x:c>
      <x:c r="U70" t="str">
        <x:f t="shared" si="13"/>
      </x:c>
      <x:c r="V70" t="str">
        <x:f>IF(C70="","",SUMIF(DailyProduction!$Q$5:$Q$100,C70,DailyProduction!$J$5:$J$100))</x:f>
      </x:c>
      <x:c r="W70" t="str">
        <x:f t="shared" si="14"/>
      </x:c>
      <x:c r="Y70" t="str">
        <x:f>IF(B70="","",IF(COUNTIF(JobChange!$S$5:$S$100,B70)=1,"OK","CHECK"))</x:f>
      </x:c>
      <x:c r="Z70" t="str">
        <x:f t="shared" si="15"/>
      </x:c>
      <x:c r="AA70" t="str">
        <x:f t="shared" si="16"/>
      </x:c>
      <x:c r="AB70" t="str">
        <x:f t="shared" si="17"/>
      </x:c>
    </x:row>
    <x:row r="71">
      <x:c r="R71" t="str">
        <x:f>IF(B71="","",SUMIF(ProductionConfiguration!$B$5:$B$914,C71,ProductionConfiguration!$S$5:$S$914))</x:f>
      </x:c>
      <x:c r="S71" t="str">
        <x:f>IF(B71="","",IF(K71="Line",R71,IF(K71="Section",SUMIFS(ProductionConfiguration!$S$5:$S$914,ProductionConfiguration!$B$5:$B$914,C71,ProductionConfiguration!$I$5:$I$914,L71),IF(K71="Cavity",IF(M71=1,SUMIFS(ProductionConfiguration!$P$5:$P$914,ProductionConfiguration!$B$5:$B$914,C71,ProductionConfiguration!$I$5:$I$914,L71),IF(M71=2,SUMIFS(ProductionConfiguration!$Q$5:$Q$914,ProductionConfiguration!$B$5:$B$914,C71,ProductionConfiguration!$I$5:$I$914,L71),SUMIFS(ProductionConfiguration!$R$5:$R$914,ProductionConfiguration!$B$5:$B$914,C71,ProductionConfiguration!$I$5:$I$914,L71))),0))))</x:f>
      </x:c>
      <x:c r="T71" t="str">
        <x:f t="shared" si="12"/>
      </x:c>
      <x:c r="U71" t="str">
        <x:f t="shared" si="13"/>
      </x:c>
      <x:c r="V71" t="str">
        <x:f>IF(C71="","",SUMIF(DailyProduction!$Q$5:$Q$100,C71,DailyProduction!$J$5:$J$100))</x:f>
      </x:c>
      <x:c r="W71" t="str">
        <x:f t="shared" si="14"/>
      </x:c>
      <x:c r="Y71" t="str">
        <x:f>IF(B71="","",IF(COUNTIF(JobChange!$S$5:$S$100,B71)=1,"OK","CHECK"))</x:f>
      </x:c>
      <x:c r="Z71" t="str">
        <x:f t="shared" si="15"/>
      </x:c>
      <x:c r="AA71" t="str">
        <x:f t="shared" si="16"/>
      </x:c>
      <x:c r="AB71" t="str">
        <x:f t="shared" si="17"/>
      </x:c>
    </x:row>
    <x:row r="72">
      <x:c r="R72" t="str">
        <x:f>IF(B72="","",SUMIF(ProductionConfiguration!$B$5:$B$914,C72,ProductionConfiguration!$S$5:$S$914))</x:f>
      </x:c>
      <x:c r="S72" t="str">
        <x:f>IF(B72="","",IF(K72="Line",R72,IF(K72="Section",SUMIFS(ProductionConfiguration!$S$5:$S$914,ProductionConfiguration!$B$5:$B$914,C72,ProductionConfiguration!$I$5:$I$914,L72),IF(K72="Cavity",IF(M72=1,SUMIFS(ProductionConfiguration!$P$5:$P$914,ProductionConfiguration!$B$5:$B$914,C72,ProductionConfiguration!$I$5:$I$914,L72),IF(M72=2,SUMIFS(ProductionConfiguration!$Q$5:$Q$914,ProductionConfiguration!$B$5:$B$914,C72,ProductionConfiguration!$I$5:$I$914,L72),SUMIFS(ProductionConfiguration!$R$5:$R$914,ProductionConfiguration!$B$5:$B$914,C72,ProductionConfiguration!$I$5:$I$914,L72))),0))))</x:f>
      </x:c>
      <x:c r="T72" t="str">
        <x:f t="shared" si="12"/>
      </x:c>
      <x:c r="U72" t="str">
        <x:f t="shared" si="13"/>
      </x:c>
      <x:c r="V72" t="str">
        <x:f>IF(C72="","",SUMIF(DailyProduction!$Q$5:$Q$100,C72,DailyProduction!$J$5:$J$100))</x:f>
      </x:c>
      <x:c r="W72" t="str">
        <x:f t="shared" si="14"/>
      </x:c>
      <x:c r="Y72" t="str">
        <x:f>IF(B72="","",IF(COUNTIF(JobChange!$S$5:$S$100,B72)=1,"OK","CHECK"))</x:f>
      </x:c>
      <x:c r="Z72" t="str">
        <x:f t="shared" si="15"/>
      </x:c>
      <x:c r="AA72" t="str">
        <x:f t="shared" si="16"/>
      </x:c>
      <x:c r="AB72" t="str">
        <x:f t="shared" si="17"/>
      </x:c>
    </x:row>
    <x:row r="73">
      <x:c r="R73" t="str">
        <x:f>IF(B73="","",SUMIF(ProductionConfiguration!$B$5:$B$914,C73,ProductionConfiguration!$S$5:$S$914))</x:f>
      </x:c>
      <x:c r="S73" t="str">
        <x:f>IF(B73="","",IF(K73="Line",R73,IF(K73="Section",SUMIFS(ProductionConfiguration!$S$5:$S$914,ProductionConfiguration!$B$5:$B$914,C73,ProductionConfiguration!$I$5:$I$914,L73),IF(K73="Cavity",IF(M73=1,SUMIFS(ProductionConfiguration!$P$5:$P$914,ProductionConfiguration!$B$5:$B$914,C73,ProductionConfiguration!$I$5:$I$914,L73),IF(M73=2,SUMIFS(ProductionConfiguration!$Q$5:$Q$914,ProductionConfiguration!$B$5:$B$914,C73,ProductionConfiguration!$I$5:$I$914,L73),SUMIFS(ProductionConfiguration!$R$5:$R$914,ProductionConfiguration!$B$5:$B$914,C73,ProductionConfiguration!$I$5:$I$914,L73))),0))))</x:f>
      </x:c>
      <x:c r="T73" t="str">
        <x:f t="shared" si="12"/>
      </x:c>
      <x:c r="U73" t="str">
        <x:f t="shared" si="13"/>
      </x:c>
      <x:c r="V73" t="str">
        <x:f>IF(C73="","",SUMIF(DailyProduction!$Q$5:$Q$100,C73,DailyProduction!$J$5:$J$100))</x:f>
      </x:c>
      <x:c r="W73" t="str">
        <x:f t="shared" si="14"/>
      </x:c>
      <x:c r="Y73" t="str">
        <x:f>IF(B73="","",IF(COUNTIF(JobChange!$S$5:$S$100,B73)=1,"OK","CHECK"))</x:f>
      </x:c>
      <x:c r="Z73" t="str">
        <x:f t="shared" si="15"/>
      </x:c>
      <x:c r="AA73" t="str">
        <x:f t="shared" si="16"/>
      </x:c>
      <x:c r="AB73" t="str">
        <x:f t="shared" si="17"/>
      </x:c>
    </x:row>
    <x:row r="74">
      <x:c r="R74" t="str">
        <x:f>IF(B74="","",SUMIF(ProductionConfiguration!$B$5:$B$914,C74,ProductionConfiguration!$S$5:$S$914))</x:f>
      </x:c>
      <x:c r="S74" t="str">
        <x:f>IF(B74="","",IF(K74="Line",R74,IF(K74="Section",SUMIFS(ProductionConfiguration!$S$5:$S$914,ProductionConfiguration!$B$5:$B$914,C74,ProductionConfiguration!$I$5:$I$914,L74),IF(K74="Cavity",IF(M74=1,SUMIFS(ProductionConfiguration!$P$5:$P$914,ProductionConfiguration!$B$5:$B$914,C74,ProductionConfiguration!$I$5:$I$914,L74),IF(M74=2,SUMIFS(ProductionConfiguration!$Q$5:$Q$914,ProductionConfiguration!$B$5:$B$914,C74,ProductionConfiguration!$I$5:$I$914,L74),SUMIFS(ProductionConfiguration!$R$5:$R$914,ProductionConfiguration!$B$5:$B$914,C74,ProductionConfiguration!$I$5:$I$914,L74))),0))))</x:f>
      </x:c>
      <x:c r="T74" t="str">
        <x:f t="shared" si="12"/>
      </x:c>
      <x:c r="U74" t="str">
        <x:f t="shared" si="13"/>
      </x:c>
      <x:c r="V74" t="str">
        <x:f>IF(C74="","",SUMIF(DailyProduction!$Q$5:$Q$100,C74,DailyProduction!$J$5:$J$100))</x:f>
      </x:c>
      <x:c r="W74" t="str">
        <x:f t="shared" si="14"/>
      </x:c>
      <x:c r="Y74" t="str">
        <x:f>IF(B74="","",IF(COUNTIF(JobChange!$S$5:$S$100,B74)=1,"OK","CHECK"))</x:f>
      </x:c>
      <x:c r="Z74" t="str">
        <x:f t="shared" si="15"/>
      </x:c>
      <x:c r="AA74" t="str">
        <x:f t="shared" si="16"/>
      </x:c>
      <x:c r="AB74" t="str">
        <x:f t="shared" si="17"/>
      </x:c>
    </x:row>
    <x:row r="75">
      <x:c r="R75" t="str">
        <x:f>IF(B75="","",SUMIF(ProductionConfiguration!$B$5:$B$914,C75,ProductionConfiguration!$S$5:$S$914))</x:f>
      </x:c>
      <x:c r="S75" t="str">
        <x:f>IF(B75="","",IF(K75="Line",R75,IF(K75="Section",SUMIFS(ProductionConfiguration!$S$5:$S$914,ProductionConfiguration!$B$5:$B$914,C75,ProductionConfiguration!$I$5:$I$914,L75),IF(K75="Cavity",IF(M75=1,SUMIFS(ProductionConfiguration!$P$5:$P$914,ProductionConfiguration!$B$5:$B$914,C75,ProductionConfiguration!$I$5:$I$914,L75),IF(M75=2,SUMIFS(ProductionConfiguration!$Q$5:$Q$914,ProductionConfiguration!$B$5:$B$914,C75,ProductionConfiguration!$I$5:$I$914,L75),SUMIFS(ProductionConfiguration!$R$5:$R$914,ProductionConfiguration!$B$5:$B$914,C75,ProductionConfiguration!$I$5:$I$914,L75))),0))))</x:f>
      </x:c>
      <x:c r="T75" t="str">
        <x:f t="shared" si="12"/>
      </x:c>
      <x:c r="U75" t="str">
        <x:f t="shared" si="13"/>
      </x:c>
      <x:c r="V75" t="str">
        <x:f>IF(C75="","",SUMIF(DailyProduction!$Q$5:$Q$100,C75,DailyProduction!$J$5:$J$100))</x:f>
      </x:c>
      <x:c r="W75" t="str">
        <x:f t="shared" si="14"/>
      </x:c>
      <x:c r="Y75" t="str">
        <x:f>IF(B75="","",IF(COUNTIF(JobChange!$S$5:$S$100,B75)=1,"OK","CHECK"))</x:f>
      </x:c>
      <x:c r="Z75" t="str">
        <x:f t="shared" si="15"/>
      </x:c>
      <x:c r="AA75" t="str">
        <x:f t="shared" si="16"/>
      </x:c>
      <x:c r="AB75" t="str">
        <x:f t="shared" si="17"/>
      </x:c>
    </x:row>
    <x:row r="76">
      <x:c r="R76" t="str">
        <x:f>IF(B76="","",SUMIF(ProductionConfiguration!$B$5:$B$914,C76,ProductionConfiguration!$S$5:$S$914))</x:f>
      </x:c>
      <x:c r="S76" t="str">
        <x:f>IF(B76="","",IF(K76="Line",R76,IF(K76="Section",SUMIFS(ProductionConfiguration!$S$5:$S$914,ProductionConfiguration!$B$5:$B$914,C76,ProductionConfiguration!$I$5:$I$914,L76),IF(K76="Cavity",IF(M76=1,SUMIFS(ProductionConfiguration!$P$5:$P$914,ProductionConfiguration!$B$5:$B$914,C76,ProductionConfiguration!$I$5:$I$914,L76),IF(M76=2,SUMIFS(ProductionConfiguration!$Q$5:$Q$914,ProductionConfiguration!$B$5:$B$914,C76,ProductionConfiguration!$I$5:$I$914,L76),SUMIFS(ProductionConfiguration!$R$5:$R$914,ProductionConfiguration!$B$5:$B$914,C76,ProductionConfiguration!$I$5:$I$914,L76))),0))))</x:f>
      </x:c>
      <x:c r="T76" t="str">
        <x:f t="shared" si="12"/>
      </x:c>
      <x:c r="U76" t="str">
        <x:f t="shared" si="13"/>
      </x:c>
      <x:c r="V76" t="str">
        <x:f>IF(C76="","",SUMIF(DailyProduction!$Q$5:$Q$100,C76,DailyProduction!$J$5:$J$100))</x:f>
      </x:c>
      <x:c r="W76" t="str">
        <x:f t="shared" si="14"/>
      </x:c>
      <x:c r="Y76" t="str">
        <x:f>IF(B76="","",IF(COUNTIF(JobChange!$S$5:$S$100,B76)=1,"OK","CHECK"))</x:f>
      </x:c>
      <x:c r="Z76" t="str">
        <x:f t="shared" si="15"/>
      </x:c>
      <x:c r="AA76" t="str">
        <x:f t="shared" si="16"/>
      </x:c>
      <x:c r="AB76" t="str">
        <x:f t="shared" si="17"/>
      </x:c>
    </x:row>
    <x:row r="77">
      <x:c r="R77" t="str">
        <x:f>IF(B77="","",SUMIF(ProductionConfiguration!$B$5:$B$914,C77,ProductionConfiguration!$S$5:$S$914))</x:f>
      </x:c>
      <x:c r="S77" t="str">
        <x:f>IF(B77="","",IF(K77="Line",R77,IF(K77="Section",SUMIFS(ProductionConfiguration!$S$5:$S$914,ProductionConfiguration!$B$5:$B$914,C77,ProductionConfiguration!$I$5:$I$914,L77),IF(K77="Cavity",IF(M77=1,SUMIFS(ProductionConfiguration!$P$5:$P$914,ProductionConfiguration!$B$5:$B$914,C77,ProductionConfiguration!$I$5:$I$914,L77),IF(M77=2,SUMIFS(ProductionConfiguration!$Q$5:$Q$914,ProductionConfiguration!$B$5:$B$914,C77,ProductionConfiguration!$I$5:$I$914,L77),SUMIFS(ProductionConfiguration!$R$5:$R$914,ProductionConfiguration!$B$5:$B$914,C77,ProductionConfiguration!$I$5:$I$914,L77))),0))))</x:f>
      </x:c>
      <x:c r="T77" t="str">
        <x:f t="shared" si="12"/>
      </x:c>
      <x:c r="U77" t="str">
        <x:f t="shared" si="13"/>
      </x:c>
      <x:c r="V77" t="str">
        <x:f>IF(C77="","",SUMIF(DailyProduction!$Q$5:$Q$100,C77,DailyProduction!$J$5:$J$100))</x:f>
      </x:c>
      <x:c r="W77" t="str">
        <x:f t="shared" si="14"/>
      </x:c>
      <x:c r="Y77" t="str">
        <x:f>IF(B77="","",IF(COUNTIF(JobChange!$S$5:$S$100,B77)=1,"OK","CHECK"))</x:f>
      </x:c>
      <x:c r="Z77" t="str">
        <x:f t="shared" si="15"/>
      </x:c>
      <x:c r="AA77" t="str">
        <x:f t="shared" si="16"/>
      </x:c>
      <x:c r="AB77" t="str">
        <x:f t="shared" si="17"/>
      </x:c>
    </x:row>
    <x:row r="78">
      <x:c r="R78" t="str">
        <x:f>IF(B78="","",SUMIF(ProductionConfiguration!$B$5:$B$914,C78,ProductionConfiguration!$S$5:$S$914))</x:f>
      </x:c>
      <x:c r="S78" t="str">
        <x:f>IF(B78="","",IF(K78="Line",R78,IF(K78="Section",SUMIFS(ProductionConfiguration!$S$5:$S$914,ProductionConfiguration!$B$5:$B$914,C78,ProductionConfiguration!$I$5:$I$914,L78),IF(K78="Cavity",IF(M78=1,SUMIFS(ProductionConfiguration!$P$5:$P$914,ProductionConfiguration!$B$5:$B$914,C78,ProductionConfiguration!$I$5:$I$914,L78),IF(M78=2,SUMIFS(ProductionConfiguration!$Q$5:$Q$914,ProductionConfiguration!$B$5:$B$914,C78,ProductionConfiguration!$I$5:$I$914,L78),SUMIFS(ProductionConfiguration!$R$5:$R$914,ProductionConfiguration!$B$5:$B$914,C78,ProductionConfiguration!$I$5:$I$914,L78))),0))))</x:f>
      </x:c>
      <x:c r="T78" t="str">
        <x:f t="shared" si="12"/>
      </x:c>
      <x:c r="U78" t="str">
        <x:f t="shared" si="13"/>
      </x:c>
      <x:c r="V78" t="str">
        <x:f>IF(C78="","",SUMIF(DailyProduction!$Q$5:$Q$100,C78,DailyProduction!$J$5:$J$100))</x:f>
      </x:c>
      <x:c r="W78" t="str">
        <x:f t="shared" si="14"/>
      </x:c>
      <x:c r="Y78" t="str">
        <x:f>IF(B78="","",IF(COUNTIF(JobChange!$S$5:$S$100,B78)=1,"OK","CHECK"))</x:f>
      </x:c>
      <x:c r="Z78" t="str">
        <x:f t="shared" si="15"/>
      </x:c>
      <x:c r="AA78" t="str">
        <x:f t="shared" si="16"/>
      </x:c>
      <x:c r="AB78" t="str">
        <x:f t="shared" si="17"/>
      </x:c>
    </x:row>
    <x:row r="79">
      <x:c r="R79" t="str">
        <x:f>IF(B79="","",SUMIF(ProductionConfiguration!$B$5:$B$914,C79,ProductionConfiguration!$S$5:$S$914))</x:f>
      </x:c>
      <x:c r="S79" t="str">
        <x:f>IF(B79="","",IF(K79="Line",R79,IF(K79="Section",SUMIFS(ProductionConfiguration!$S$5:$S$914,ProductionConfiguration!$B$5:$B$914,C79,ProductionConfiguration!$I$5:$I$914,L79),IF(K79="Cavity",IF(M79=1,SUMIFS(ProductionConfiguration!$P$5:$P$914,ProductionConfiguration!$B$5:$B$914,C79,ProductionConfiguration!$I$5:$I$914,L79),IF(M79=2,SUMIFS(ProductionConfiguration!$Q$5:$Q$914,ProductionConfiguration!$B$5:$B$914,C79,ProductionConfiguration!$I$5:$I$914,L79),SUMIFS(ProductionConfiguration!$R$5:$R$914,ProductionConfiguration!$B$5:$B$914,C79,ProductionConfiguration!$I$5:$I$914,L79))),0))))</x:f>
      </x:c>
      <x:c r="T79" t="str">
        <x:f t="shared" si="12"/>
      </x:c>
      <x:c r="U79" t="str">
        <x:f t="shared" si="13"/>
      </x:c>
      <x:c r="V79" t="str">
        <x:f>IF(C79="","",SUMIF(DailyProduction!$Q$5:$Q$100,C79,DailyProduction!$J$5:$J$100))</x:f>
      </x:c>
      <x:c r="W79" t="str">
        <x:f t="shared" si="14"/>
      </x:c>
      <x:c r="Y79" t="str">
        <x:f>IF(B79="","",IF(COUNTIF(JobChange!$S$5:$S$100,B79)=1,"OK","CHECK"))</x:f>
      </x:c>
      <x:c r="Z79" t="str">
        <x:f t="shared" si="15"/>
      </x:c>
      <x:c r="AA79" t="str">
        <x:f t="shared" si="16"/>
      </x:c>
      <x:c r="AB79" t="str">
        <x:f t="shared" si="17"/>
      </x:c>
    </x:row>
    <x:row r="80">
      <x:c r="R80" t="str">
        <x:f>IF(B80="","",SUMIF(ProductionConfiguration!$B$5:$B$914,C80,ProductionConfiguration!$S$5:$S$914))</x:f>
      </x:c>
      <x:c r="S80" t="str">
        <x:f>IF(B80="","",IF(K80="Line",R80,IF(K80="Section",SUMIFS(ProductionConfiguration!$S$5:$S$914,ProductionConfiguration!$B$5:$B$914,C80,ProductionConfiguration!$I$5:$I$914,L80),IF(K80="Cavity",IF(M80=1,SUMIFS(ProductionConfiguration!$P$5:$P$914,ProductionConfiguration!$B$5:$B$914,C80,ProductionConfiguration!$I$5:$I$914,L80),IF(M80=2,SUMIFS(ProductionConfiguration!$Q$5:$Q$914,ProductionConfiguration!$B$5:$B$914,C80,ProductionConfiguration!$I$5:$I$914,L80),SUMIFS(ProductionConfiguration!$R$5:$R$914,ProductionConfiguration!$B$5:$B$914,C80,ProductionConfiguration!$I$5:$I$914,L80))),0))))</x:f>
      </x:c>
      <x:c r="T80" t="str">
        <x:f t="shared" si="12"/>
      </x:c>
      <x:c r="U80" t="str">
        <x:f t="shared" si="13"/>
      </x:c>
      <x:c r="V80" t="str">
        <x:f>IF(C80="","",SUMIF(DailyProduction!$Q$5:$Q$100,C80,DailyProduction!$J$5:$J$100))</x:f>
      </x:c>
      <x:c r="W80" t="str">
        <x:f t="shared" si="14"/>
      </x:c>
      <x:c r="Y80" t="str">
        <x:f>IF(B80="","",IF(COUNTIF(JobChange!$S$5:$S$100,B80)=1,"OK","CHECK"))</x:f>
      </x:c>
      <x:c r="Z80" t="str">
        <x:f t="shared" si="15"/>
      </x:c>
      <x:c r="AA80" t="str">
        <x:f t="shared" si="16"/>
      </x:c>
      <x:c r="AB80" t="str">
        <x:f t="shared" si="17"/>
      </x:c>
    </x:row>
    <x:row r="81">
      <x:c r="R81" t="str">
        <x:f>IF(B81="","",SUMIF(ProductionConfiguration!$B$5:$B$914,C81,ProductionConfiguration!$S$5:$S$914))</x:f>
      </x:c>
      <x:c r="S81" t="str">
        <x:f>IF(B81="","",IF(K81="Line",R81,IF(K81="Section",SUMIFS(ProductionConfiguration!$S$5:$S$914,ProductionConfiguration!$B$5:$B$914,C81,ProductionConfiguration!$I$5:$I$914,L81),IF(K81="Cavity",IF(M81=1,SUMIFS(ProductionConfiguration!$P$5:$P$914,ProductionConfiguration!$B$5:$B$914,C81,ProductionConfiguration!$I$5:$I$914,L81),IF(M81=2,SUMIFS(ProductionConfiguration!$Q$5:$Q$914,ProductionConfiguration!$B$5:$B$914,C81,ProductionConfiguration!$I$5:$I$914,L81),SUMIFS(ProductionConfiguration!$R$5:$R$914,ProductionConfiguration!$B$5:$B$914,C81,ProductionConfiguration!$I$5:$I$914,L81))),0))))</x:f>
      </x:c>
      <x:c r="T81" t="str">
        <x:f t="shared" si="12"/>
      </x:c>
      <x:c r="U81" t="str">
        <x:f t="shared" si="13"/>
      </x:c>
      <x:c r="V81" t="str">
        <x:f>IF(C81="","",SUMIF(DailyProduction!$Q$5:$Q$100,C81,DailyProduction!$J$5:$J$100))</x:f>
      </x:c>
      <x:c r="W81" t="str">
        <x:f t="shared" si="14"/>
      </x:c>
      <x:c r="Y81" t="str">
        <x:f>IF(B81="","",IF(COUNTIF(JobChange!$S$5:$S$100,B81)=1,"OK","CHECK"))</x:f>
      </x:c>
      <x:c r="Z81" t="str">
        <x:f t="shared" si="15"/>
      </x:c>
      <x:c r="AA81" t="str">
        <x:f t="shared" si="16"/>
      </x:c>
      <x:c r="AB81" t="str">
        <x:f t="shared" si="17"/>
      </x:c>
    </x:row>
    <x:row r="82">
      <x:c r="R82" t="str">
        <x:f>IF(B82="","",SUMIF(ProductionConfiguration!$B$5:$B$914,C82,ProductionConfiguration!$S$5:$S$914))</x:f>
      </x:c>
      <x:c r="S82" t="str">
        <x:f>IF(B82="","",IF(K82="Line",R82,IF(K82="Section",SUMIFS(ProductionConfiguration!$S$5:$S$914,ProductionConfiguration!$B$5:$B$914,C82,ProductionConfiguration!$I$5:$I$914,L82),IF(K82="Cavity",IF(M82=1,SUMIFS(ProductionConfiguration!$P$5:$P$914,ProductionConfiguration!$B$5:$B$914,C82,ProductionConfiguration!$I$5:$I$914,L82),IF(M82=2,SUMIFS(ProductionConfiguration!$Q$5:$Q$914,ProductionConfiguration!$B$5:$B$914,C82,ProductionConfiguration!$I$5:$I$914,L82),SUMIFS(ProductionConfiguration!$R$5:$R$914,ProductionConfiguration!$B$5:$B$914,C82,ProductionConfiguration!$I$5:$I$914,L82))),0))))</x:f>
      </x:c>
      <x:c r="T82" t="str">
        <x:f t="shared" si="12"/>
      </x:c>
      <x:c r="U82" t="str">
        <x:f t="shared" si="13"/>
      </x:c>
      <x:c r="V82" t="str">
        <x:f>IF(C82="","",SUMIF(DailyProduction!$Q$5:$Q$100,C82,DailyProduction!$J$5:$J$100))</x:f>
      </x:c>
      <x:c r="W82" t="str">
        <x:f t="shared" si="14"/>
      </x:c>
      <x:c r="Y82" t="str">
        <x:f>IF(B82="","",IF(COUNTIF(JobChange!$S$5:$S$100,B82)=1,"OK","CHECK"))</x:f>
      </x:c>
      <x:c r="Z82" t="str">
        <x:f t="shared" si="15"/>
      </x:c>
      <x:c r="AA82" t="str">
        <x:f t="shared" si="16"/>
      </x:c>
      <x:c r="AB82" t="str">
        <x:f t="shared" si="17"/>
      </x:c>
    </x:row>
    <x:row r="83">
      <x:c r="R83" t="str">
        <x:f>IF(B83="","",SUMIF(ProductionConfiguration!$B$5:$B$914,C83,ProductionConfiguration!$S$5:$S$914))</x:f>
      </x:c>
      <x:c r="S83" t="str">
        <x:f>IF(B83="","",IF(K83="Line",R83,IF(K83="Section",SUMIFS(ProductionConfiguration!$S$5:$S$914,ProductionConfiguration!$B$5:$B$914,C83,ProductionConfiguration!$I$5:$I$914,L83),IF(K83="Cavity",IF(M83=1,SUMIFS(ProductionConfiguration!$P$5:$P$914,ProductionConfiguration!$B$5:$B$914,C83,ProductionConfiguration!$I$5:$I$914,L83),IF(M83=2,SUMIFS(ProductionConfiguration!$Q$5:$Q$914,ProductionConfiguration!$B$5:$B$914,C83,ProductionConfiguration!$I$5:$I$914,L83),SUMIFS(ProductionConfiguration!$R$5:$R$914,ProductionConfiguration!$B$5:$B$914,C83,ProductionConfiguration!$I$5:$I$914,L83))),0))))</x:f>
      </x:c>
      <x:c r="T83" t="str">
        <x:f t="shared" si="12"/>
      </x:c>
      <x:c r="U83" t="str">
        <x:f t="shared" si="13"/>
      </x:c>
      <x:c r="V83" t="str">
        <x:f>IF(C83="","",SUMIF(DailyProduction!$Q$5:$Q$100,C83,DailyProduction!$J$5:$J$100))</x:f>
      </x:c>
      <x:c r="W83" t="str">
        <x:f t="shared" si="14"/>
      </x:c>
      <x:c r="Y83" t="str">
        <x:f>IF(B83="","",IF(COUNTIF(JobChange!$S$5:$S$100,B83)=1,"OK","CHECK"))</x:f>
      </x:c>
      <x:c r="Z83" t="str">
        <x:f t="shared" si="15"/>
      </x:c>
      <x:c r="AA83" t="str">
        <x:f t="shared" si="16"/>
      </x:c>
      <x:c r="AB83" t="str">
        <x:f t="shared" si="17"/>
      </x:c>
    </x:row>
    <x:row r="84">
      <x:c r="R84" t="str">
        <x:f>IF(B84="","",SUMIF(ProductionConfiguration!$B$5:$B$914,C84,ProductionConfiguration!$S$5:$S$914))</x:f>
      </x:c>
      <x:c r="S84" t="str">
        <x:f>IF(B84="","",IF(K84="Line",R84,IF(K84="Section",SUMIFS(ProductionConfiguration!$S$5:$S$914,ProductionConfiguration!$B$5:$B$914,C84,ProductionConfiguration!$I$5:$I$914,L84),IF(K84="Cavity",IF(M84=1,SUMIFS(ProductionConfiguration!$P$5:$P$914,ProductionConfiguration!$B$5:$B$914,C84,ProductionConfiguration!$I$5:$I$914,L84),IF(M84=2,SUMIFS(ProductionConfiguration!$Q$5:$Q$914,ProductionConfiguration!$B$5:$B$914,C84,ProductionConfiguration!$I$5:$I$914,L84),SUMIFS(ProductionConfiguration!$R$5:$R$914,ProductionConfiguration!$B$5:$B$914,C84,ProductionConfiguration!$I$5:$I$914,L84))),0))))</x:f>
      </x:c>
      <x:c r="T84" t="str">
        <x:f t="shared" si="12"/>
      </x:c>
      <x:c r="U84" t="str">
        <x:f t="shared" si="13"/>
      </x:c>
      <x:c r="V84" t="str">
        <x:f>IF(C84="","",SUMIF(DailyProduction!$Q$5:$Q$100,C84,DailyProduction!$J$5:$J$100))</x:f>
      </x:c>
      <x:c r="W84" t="str">
        <x:f t="shared" si="14"/>
      </x:c>
      <x:c r="Y84" t="str">
        <x:f>IF(B84="","",IF(COUNTIF(JobChange!$S$5:$S$100,B84)=1,"OK","CHECK"))</x:f>
      </x:c>
      <x:c r="Z84" t="str">
        <x:f t="shared" si="15"/>
      </x:c>
      <x:c r="AA84" t="str">
        <x:f t="shared" si="16"/>
      </x:c>
      <x:c r="AB84" t="str">
        <x:f t="shared" si="17"/>
      </x:c>
    </x:row>
    <x:row r="85">
      <x:c r="R85" t="str">
        <x:f>IF(B85="","",SUMIF(ProductionConfiguration!$B$5:$B$914,C85,ProductionConfiguration!$S$5:$S$914))</x:f>
      </x:c>
      <x:c r="S85" t="str">
        <x:f>IF(B85="","",IF(K85="Line",R85,IF(K85="Section",SUMIFS(ProductionConfiguration!$S$5:$S$914,ProductionConfiguration!$B$5:$B$914,C85,ProductionConfiguration!$I$5:$I$914,L85),IF(K85="Cavity",IF(M85=1,SUMIFS(ProductionConfiguration!$P$5:$P$914,ProductionConfiguration!$B$5:$B$914,C85,ProductionConfiguration!$I$5:$I$914,L85),IF(M85=2,SUMIFS(ProductionConfiguration!$Q$5:$Q$914,ProductionConfiguration!$B$5:$B$914,C85,ProductionConfiguration!$I$5:$I$914,L85),SUMIFS(ProductionConfiguration!$R$5:$R$914,ProductionConfiguration!$B$5:$B$914,C85,ProductionConfiguration!$I$5:$I$914,L85))),0))))</x:f>
      </x:c>
      <x:c r="T85" t="str">
        <x:f t="shared" si="12"/>
      </x:c>
      <x:c r="U85" t="str">
        <x:f t="shared" si="13"/>
      </x:c>
      <x:c r="V85" t="str">
        <x:f>IF(C85="","",SUMIF(DailyProduction!$Q$5:$Q$100,C85,DailyProduction!$J$5:$J$100))</x:f>
      </x:c>
      <x:c r="W85" t="str">
        <x:f t="shared" si="14"/>
      </x:c>
      <x:c r="Y85" t="str">
        <x:f>IF(B85="","",IF(COUNTIF(JobChange!$S$5:$S$100,B85)=1,"OK","CHECK"))</x:f>
      </x:c>
      <x:c r="Z85" t="str">
        <x:f t="shared" si="15"/>
      </x:c>
      <x:c r="AA85" t="str">
        <x:f t="shared" si="16"/>
      </x:c>
      <x:c r="AB85" t="str">
        <x:f t="shared" si="17"/>
      </x:c>
    </x:row>
    <x:row r="86">
      <x:c r="R86" t="str">
        <x:f>IF(B86="","",SUMIF(ProductionConfiguration!$B$5:$B$914,C86,ProductionConfiguration!$S$5:$S$914))</x:f>
      </x:c>
      <x:c r="S86" t="str">
        <x:f>IF(B86="","",IF(K86="Line",R86,IF(K86="Section",SUMIFS(ProductionConfiguration!$S$5:$S$914,ProductionConfiguration!$B$5:$B$914,C86,ProductionConfiguration!$I$5:$I$914,L86),IF(K86="Cavity",IF(M86=1,SUMIFS(ProductionConfiguration!$P$5:$P$914,ProductionConfiguration!$B$5:$B$914,C86,ProductionConfiguration!$I$5:$I$914,L86),IF(M86=2,SUMIFS(ProductionConfiguration!$Q$5:$Q$914,ProductionConfiguration!$B$5:$B$914,C86,ProductionConfiguration!$I$5:$I$914,L86),SUMIFS(ProductionConfiguration!$R$5:$R$914,ProductionConfiguration!$B$5:$B$914,C86,ProductionConfiguration!$I$5:$I$914,L86))),0))))</x:f>
      </x:c>
      <x:c r="T86" t="str">
        <x:f t="shared" si="12"/>
      </x:c>
      <x:c r="U86" t="str">
        <x:f t="shared" si="13"/>
      </x:c>
      <x:c r="V86" t="str">
        <x:f>IF(C86="","",SUMIF(DailyProduction!$Q$5:$Q$100,C86,DailyProduction!$J$5:$J$100))</x:f>
      </x:c>
      <x:c r="W86" t="str">
        <x:f t="shared" si="14"/>
      </x:c>
      <x:c r="Y86" t="str">
        <x:f>IF(B86="","",IF(COUNTIF(JobChange!$S$5:$S$100,B86)=1,"OK","CHECK"))</x:f>
      </x:c>
      <x:c r="Z86" t="str">
        <x:f t="shared" si="15"/>
      </x:c>
      <x:c r="AA86" t="str">
        <x:f t="shared" si="16"/>
      </x:c>
      <x:c r="AB86" t="str">
        <x:f t="shared" si="17"/>
      </x:c>
    </x:row>
    <x:row r="87">
      <x:c r="R87" t="str">
        <x:f>IF(B87="","",SUMIF(ProductionConfiguration!$B$5:$B$914,C87,ProductionConfiguration!$S$5:$S$914))</x:f>
      </x:c>
      <x:c r="S87" t="str">
        <x:f>IF(B87="","",IF(K87="Line",R87,IF(K87="Section",SUMIFS(ProductionConfiguration!$S$5:$S$914,ProductionConfiguration!$B$5:$B$914,C87,ProductionConfiguration!$I$5:$I$914,L87),IF(K87="Cavity",IF(M87=1,SUMIFS(ProductionConfiguration!$P$5:$P$914,ProductionConfiguration!$B$5:$B$914,C87,ProductionConfiguration!$I$5:$I$914,L87),IF(M87=2,SUMIFS(ProductionConfiguration!$Q$5:$Q$914,ProductionConfiguration!$B$5:$B$914,C87,ProductionConfiguration!$I$5:$I$914,L87),SUMIFS(ProductionConfiguration!$R$5:$R$914,ProductionConfiguration!$B$5:$B$914,C87,ProductionConfiguration!$I$5:$I$914,L87))),0))))</x:f>
      </x:c>
      <x:c r="T87" t="str">
        <x:f t="shared" si="12"/>
      </x:c>
      <x:c r="U87" t="str">
        <x:f t="shared" si="13"/>
      </x:c>
      <x:c r="V87" t="str">
        <x:f>IF(C87="","",SUMIF(DailyProduction!$Q$5:$Q$100,C87,DailyProduction!$J$5:$J$100))</x:f>
      </x:c>
      <x:c r="W87" t="str">
        <x:f t="shared" si="14"/>
      </x:c>
      <x:c r="Y87" t="str">
        <x:f>IF(B87="","",IF(COUNTIF(JobChange!$S$5:$S$100,B87)=1,"OK","CHECK"))</x:f>
      </x:c>
      <x:c r="Z87" t="str">
        <x:f t="shared" si="15"/>
      </x:c>
      <x:c r="AA87" t="str">
        <x:f t="shared" si="16"/>
      </x:c>
      <x:c r="AB87" t="str">
        <x:f t="shared" si="17"/>
      </x:c>
    </x:row>
    <x:row r="88">
      <x:c r="R88" t="str">
        <x:f>IF(B88="","",SUMIF(ProductionConfiguration!$B$5:$B$914,C88,ProductionConfiguration!$S$5:$S$914))</x:f>
      </x:c>
      <x:c r="S88" t="str">
        <x:f>IF(B88="","",IF(K88="Line",R88,IF(K88="Section",SUMIFS(ProductionConfiguration!$S$5:$S$914,ProductionConfiguration!$B$5:$B$914,C88,ProductionConfiguration!$I$5:$I$914,L88),IF(K88="Cavity",IF(M88=1,SUMIFS(ProductionConfiguration!$P$5:$P$914,ProductionConfiguration!$B$5:$B$914,C88,ProductionConfiguration!$I$5:$I$914,L88),IF(M88=2,SUMIFS(ProductionConfiguration!$Q$5:$Q$914,ProductionConfiguration!$B$5:$B$914,C88,ProductionConfiguration!$I$5:$I$914,L88),SUMIFS(ProductionConfiguration!$R$5:$R$914,ProductionConfiguration!$B$5:$B$914,C88,ProductionConfiguration!$I$5:$I$914,L88))),0))))</x:f>
      </x:c>
      <x:c r="T88" t="str">
        <x:f t="shared" si="12"/>
      </x:c>
      <x:c r="U88" t="str">
        <x:f t="shared" si="13"/>
      </x:c>
      <x:c r="V88" t="str">
        <x:f>IF(C88="","",SUMIF(DailyProduction!$Q$5:$Q$100,C88,DailyProduction!$J$5:$J$100))</x:f>
      </x:c>
      <x:c r="W88" t="str">
        <x:f t="shared" si="14"/>
      </x:c>
      <x:c r="Y88" t="str">
        <x:f>IF(B88="","",IF(COUNTIF(JobChange!$S$5:$S$100,B88)=1,"OK","CHECK"))</x:f>
      </x:c>
      <x:c r="Z88" t="str">
        <x:f t="shared" si="15"/>
      </x:c>
      <x:c r="AA88" t="str">
        <x:f t="shared" si="16"/>
      </x:c>
      <x:c r="AB88" t="str">
        <x:f t="shared" si="17"/>
      </x:c>
    </x:row>
    <x:row r="89">
      <x:c r="R89" t="str">
        <x:f>IF(B89="","",SUMIF(ProductionConfiguration!$B$5:$B$914,C89,ProductionConfiguration!$S$5:$S$914))</x:f>
      </x:c>
      <x:c r="S89" t="str">
        <x:f>IF(B89="","",IF(K89="Line",R89,IF(K89="Section",SUMIFS(ProductionConfiguration!$S$5:$S$914,ProductionConfiguration!$B$5:$B$914,C89,ProductionConfiguration!$I$5:$I$914,L89),IF(K89="Cavity",IF(M89=1,SUMIFS(ProductionConfiguration!$P$5:$P$914,ProductionConfiguration!$B$5:$B$914,C89,ProductionConfiguration!$I$5:$I$914,L89),IF(M89=2,SUMIFS(ProductionConfiguration!$Q$5:$Q$914,ProductionConfiguration!$B$5:$B$914,C89,ProductionConfiguration!$I$5:$I$914,L89),SUMIFS(ProductionConfiguration!$R$5:$R$914,ProductionConfiguration!$B$5:$B$914,C89,ProductionConfiguration!$I$5:$I$914,L89))),0))))</x:f>
      </x:c>
      <x:c r="T89" t="str">
        <x:f t="shared" si="12"/>
      </x:c>
      <x:c r="U89" t="str">
        <x:f t="shared" si="13"/>
      </x:c>
      <x:c r="V89" t="str">
        <x:f>IF(C89="","",SUMIF(DailyProduction!$Q$5:$Q$100,C89,DailyProduction!$J$5:$J$100))</x:f>
      </x:c>
      <x:c r="W89" t="str">
        <x:f t="shared" si="14"/>
      </x:c>
      <x:c r="Y89" t="str">
        <x:f>IF(B89="","",IF(COUNTIF(JobChange!$S$5:$S$100,B89)=1,"OK","CHECK"))</x:f>
      </x:c>
      <x:c r="Z89" t="str">
        <x:f t="shared" si="15"/>
      </x:c>
      <x:c r="AA89" t="str">
        <x:f t="shared" si="16"/>
      </x:c>
      <x:c r="AB89" t="str">
        <x:f t="shared" si="17"/>
      </x:c>
    </x:row>
    <x:row r="90">
      <x:c r="R90" t="str">
        <x:f>IF(B90="","",SUMIF(ProductionConfiguration!$B$5:$B$914,C90,ProductionConfiguration!$S$5:$S$914))</x:f>
      </x:c>
      <x:c r="S90" t="str">
        <x:f>IF(B90="","",IF(K90="Line",R90,IF(K90="Section",SUMIFS(ProductionConfiguration!$S$5:$S$914,ProductionConfiguration!$B$5:$B$914,C90,ProductionConfiguration!$I$5:$I$914,L90),IF(K90="Cavity",IF(M90=1,SUMIFS(ProductionConfiguration!$P$5:$P$914,ProductionConfiguration!$B$5:$B$914,C90,ProductionConfiguration!$I$5:$I$914,L90),IF(M90=2,SUMIFS(ProductionConfiguration!$Q$5:$Q$914,ProductionConfiguration!$B$5:$B$914,C90,ProductionConfiguration!$I$5:$I$914,L90),SUMIFS(ProductionConfiguration!$R$5:$R$914,ProductionConfiguration!$B$5:$B$914,C90,ProductionConfiguration!$I$5:$I$914,L90))),0))))</x:f>
      </x:c>
      <x:c r="T90" t="str">
        <x:f t="shared" si="12"/>
      </x:c>
      <x:c r="U90" t="str">
        <x:f t="shared" si="13"/>
      </x:c>
      <x:c r="V90" t="str">
        <x:f>IF(C90="","",SUMIF(DailyProduction!$Q$5:$Q$100,C90,DailyProduction!$J$5:$J$100))</x:f>
      </x:c>
      <x:c r="W90" t="str">
        <x:f t="shared" si="14"/>
      </x:c>
      <x:c r="Y90" t="str">
        <x:f>IF(B90="","",IF(COUNTIF(JobChange!$S$5:$S$100,B90)=1,"OK","CHECK"))</x:f>
      </x:c>
      <x:c r="Z90" t="str">
        <x:f t="shared" si="15"/>
      </x:c>
      <x:c r="AA90" t="str">
        <x:f t="shared" si="16"/>
      </x:c>
      <x:c r="AB90" t="str">
        <x:f t="shared" si="17"/>
      </x:c>
    </x:row>
    <x:row r="91">
      <x:c r="R91" t="str">
        <x:f>IF(B91="","",SUMIF(ProductionConfiguration!$B$5:$B$914,C91,ProductionConfiguration!$S$5:$S$914))</x:f>
      </x:c>
      <x:c r="S91" t="str">
        <x:f>IF(B91="","",IF(K91="Line",R91,IF(K91="Section",SUMIFS(ProductionConfiguration!$S$5:$S$914,ProductionConfiguration!$B$5:$B$914,C91,ProductionConfiguration!$I$5:$I$914,L91),IF(K91="Cavity",IF(M91=1,SUMIFS(ProductionConfiguration!$P$5:$P$914,ProductionConfiguration!$B$5:$B$914,C91,ProductionConfiguration!$I$5:$I$914,L91),IF(M91=2,SUMIFS(ProductionConfiguration!$Q$5:$Q$914,ProductionConfiguration!$B$5:$B$914,C91,ProductionConfiguration!$I$5:$I$914,L91),SUMIFS(ProductionConfiguration!$R$5:$R$914,ProductionConfiguration!$B$5:$B$914,C91,ProductionConfiguration!$I$5:$I$914,L91))),0))))</x:f>
      </x:c>
      <x:c r="T91" t="str">
        <x:f t="shared" si="12"/>
      </x:c>
      <x:c r="U91" t="str">
        <x:f t="shared" si="13"/>
      </x:c>
      <x:c r="V91" t="str">
        <x:f>IF(C91="","",SUMIF(DailyProduction!$Q$5:$Q$100,C91,DailyProduction!$J$5:$J$100))</x:f>
      </x:c>
      <x:c r="W91" t="str">
        <x:f t="shared" si="14"/>
      </x:c>
      <x:c r="Y91" t="str">
        <x:f>IF(B91="","",IF(COUNTIF(JobChange!$S$5:$S$100,B91)=1,"OK","CHECK"))</x:f>
      </x:c>
      <x:c r="Z91" t="str">
        <x:f t="shared" si="15"/>
      </x:c>
      <x:c r="AA91" t="str">
        <x:f t="shared" si="16"/>
      </x:c>
      <x:c r="AB91" t="str">
        <x:f t="shared" si="17"/>
      </x:c>
    </x:row>
    <x:row r="92">
      <x:c r="R92" t="str">
        <x:f>IF(B92="","",SUMIF(ProductionConfiguration!$B$5:$B$914,C92,ProductionConfiguration!$S$5:$S$914))</x:f>
      </x:c>
      <x:c r="S92" t="str">
        <x:f>IF(B92="","",IF(K92="Line",R92,IF(K92="Section",SUMIFS(ProductionConfiguration!$S$5:$S$914,ProductionConfiguration!$B$5:$B$914,C92,ProductionConfiguration!$I$5:$I$914,L92),IF(K92="Cavity",IF(M92=1,SUMIFS(ProductionConfiguration!$P$5:$P$914,ProductionConfiguration!$B$5:$B$914,C92,ProductionConfiguration!$I$5:$I$914,L92),IF(M92=2,SUMIFS(ProductionConfiguration!$Q$5:$Q$914,ProductionConfiguration!$B$5:$B$914,C92,ProductionConfiguration!$I$5:$I$914,L92),SUMIFS(ProductionConfiguration!$R$5:$R$914,ProductionConfiguration!$B$5:$B$914,C92,ProductionConfiguration!$I$5:$I$914,L92))),0))))</x:f>
      </x:c>
      <x:c r="T92" t="str">
        <x:f t="shared" si="12"/>
      </x:c>
      <x:c r="U92" t="str">
        <x:f t="shared" si="13"/>
      </x:c>
      <x:c r="V92" t="str">
        <x:f>IF(C92="","",SUMIF(DailyProduction!$Q$5:$Q$100,C92,DailyProduction!$J$5:$J$100))</x:f>
      </x:c>
      <x:c r="W92" t="str">
        <x:f t="shared" si="14"/>
      </x:c>
      <x:c r="Y92" t="str">
        <x:f>IF(B92="","",IF(COUNTIF(JobChange!$S$5:$S$100,B92)=1,"OK","CHECK"))</x:f>
      </x:c>
      <x:c r="Z92" t="str">
        <x:f t="shared" si="15"/>
      </x:c>
      <x:c r="AA92" t="str">
        <x:f t="shared" si="16"/>
      </x:c>
      <x:c r="AB92" t="str">
        <x:f t="shared" si="17"/>
      </x:c>
    </x:row>
    <x:row r="93">
      <x:c r="R93" t="str">
        <x:f>IF(B93="","",SUMIF(ProductionConfiguration!$B$5:$B$914,C93,ProductionConfiguration!$S$5:$S$914))</x:f>
      </x:c>
      <x:c r="S93" t="str">
        <x:f>IF(B93="","",IF(K93="Line",R93,IF(K93="Section",SUMIFS(ProductionConfiguration!$S$5:$S$914,ProductionConfiguration!$B$5:$B$914,C93,ProductionConfiguration!$I$5:$I$914,L93),IF(K93="Cavity",IF(M93=1,SUMIFS(ProductionConfiguration!$P$5:$P$914,ProductionConfiguration!$B$5:$B$914,C93,ProductionConfiguration!$I$5:$I$914,L93),IF(M93=2,SUMIFS(ProductionConfiguration!$Q$5:$Q$914,ProductionConfiguration!$B$5:$B$914,C93,ProductionConfiguration!$I$5:$I$914,L93),SUMIFS(ProductionConfiguration!$R$5:$R$914,ProductionConfiguration!$B$5:$B$914,C93,ProductionConfiguration!$I$5:$I$914,L93))),0))))</x:f>
      </x:c>
      <x:c r="T93" t="str">
        <x:f t="shared" si="12"/>
      </x:c>
      <x:c r="U93" t="str">
        <x:f t="shared" si="13"/>
      </x:c>
      <x:c r="V93" t="str">
        <x:f>IF(C93="","",SUMIF(DailyProduction!$Q$5:$Q$100,C93,DailyProduction!$J$5:$J$100))</x:f>
      </x:c>
      <x:c r="W93" t="str">
        <x:f t="shared" si="14"/>
      </x:c>
      <x:c r="Y93" t="str">
        <x:f>IF(B93="","",IF(COUNTIF(JobChange!$S$5:$S$100,B93)=1,"OK","CHECK"))</x:f>
      </x:c>
      <x:c r="Z93" t="str">
        <x:f t="shared" si="15"/>
      </x:c>
      <x:c r="AA93" t="str">
        <x:f t="shared" si="16"/>
      </x:c>
      <x:c r="AB93" t="str">
        <x:f t="shared" si="17"/>
      </x:c>
    </x:row>
    <x:row r="94">
      <x:c r="R94" t="str">
        <x:f>IF(B94="","",SUMIF(ProductionConfiguration!$B$5:$B$914,C94,ProductionConfiguration!$S$5:$S$914))</x:f>
      </x:c>
      <x:c r="S94" t="str">
        <x:f>IF(B94="","",IF(K94="Line",R94,IF(K94="Section",SUMIFS(ProductionConfiguration!$S$5:$S$914,ProductionConfiguration!$B$5:$B$914,C94,ProductionConfiguration!$I$5:$I$914,L94),IF(K94="Cavity",IF(M94=1,SUMIFS(ProductionConfiguration!$P$5:$P$914,ProductionConfiguration!$B$5:$B$914,C94,ProductionConfiguration!$I$5:$I$914,L94),IF(M94=2,SUMIFS(ProductionConfiguration!$Q$5:$Q$914,ProductionConfiguration!$B$5:$B$914,C94,ProductionConfiguration!$I$5:$I$914,L94),SUMIFS(ProductionConfiguration!$R$5:$R$914,ProductionConfiguration!$B$5:$B$914,C94,ProductionConfiguration!$I$5:$I$914,L94))),0))))</x:f>
      </x:c>
      <x:c r="T94" t="str">
        <x:f t="shared" si="12"/>
      </x:c>
      <x:c r="U94" t="str">
        <x:f t="shared" si="13"/>
      </x:c>
      <x:c r="V94" t="str">
        <x:f>IF(C94="","",SUMIF(DailyProduction!$Q$5:$Q$100,C94,DailyProduction!$J$5:$J$100))</x:f>
      </x:c>
      <x:c r="W94" t="str">
        <x:f t="shared" si="14"/>
      </x:c>
      <x:c r="Y94" t="str">
        <x:f>IF(B94="","",IF(COUNTIF(JobChange!$S$5:$S$100,B94)=1,"OK","CHECK"))</x:f>
      </x:c>
      <x:c r="Z94" t="str">
        <x:f t="shared" si="15"/>
      </x:c>
      <x:c r="AA94" t="str">
        <x:f t="shared" si="16"/>
      </x:c>
      <x:c r="AB94" t="str">
        <x:f t="shared" si="17"/>
      </x:c>
    </x:row>
    <x:row r="95">
      <x:c r="R95" t="str">
        <x:f>IF(B95="","",SUMIF(ProductionConfiguration!$B$5:$B$914,C95,ProductionConfiguration!$S$5:$S$914))</x:f>
      </x:c>
      <x:c r="S95" t="str">
        <x:f>IF(B95="","",IF(K95="Line",R95,IF(K95="Section",SUMIFS(ProductionConfiguration!$S$5:$S$914,ProductionConfiguration!$B$5:$B$914,C95,ProductionConfiguration!$I$5:$I$914,L95),IF(K95="Cavity",IF(M95=1,SUMIFS(ProductionConfiguration!$P$5:$P$914,ProductionConfiguration!$B$5:$B$914,C95,ProductionConfiguration!$I$5:$I$914,L95),IF(M95=2,SUMIFS(ProductionConfiguration!$Q$5:$Q$914,ProductionConfiguration!$B$5:$B$914,C95,ProductionConfiguration!$I$5:$I$914,L95),SUMIFS(ProductionConfiguration!$R$5:$R$914,ProductionConfiguration!$B$5:$B$914,C95,ProductionConfiguration!$I$5:$I$914,L95))),0))))</x:f>
      </x:c>
      <x:c r="T95" t="str">
        <x:f t="shared" si="12"/>
      </x:c>
      <x:c r="U95" t="str">
        <x:f t="shared" si="13"/>
      </x:c>
      <x:c r="V95" t="str">
        <x:f>IF(C95="","",SUMIF(DailyProduction!$Q$5:$Q$100,C95,DailyProduction!$J$5:$J$100))</x:f>
      </x:c>
      <x:c r="W95" t="str">
        <x:f t="shared" si="14"/>
      </x:c>
      <x:c r="Y95" t="str">
        <x:f>IF(B95="","",IF(COUNTIF(JobChange!$S$5:$S$100,B95)=1,"OK","CHECK"))</x:f>
      </x:c>
      <x:c r="Z95" t="str">
        <x:f t="shared" si="15"/>
      </x:c>
      <x:c r="AA95" t="str">
        <x:f t="shared" si="16"/>
      </x:c>
      <x:c r="AB95" t="str">
        <x:f t="shared" si="17"/>
      </x:c>
    </x:row>
    <x:row r="96">
      <x:c r="R96" t="str">
        <x:f>IF(B96="","",SUMIF(ProductionConfiguration!$B$5:$B$914,C96,ProductionConfiguration!$S$5:$S$914))</x:f>
      </x:c>
      <x:c r="S96" t="str">
        <x:f>IF(B96="","",IF(K96="Line",R96,IF(K96="Section",SUMIFS(ProductionConfiguration!$S$5:$S$914,ProductionConfiguration!$B$5:$B$914,C96,ProductionConfiguration!$I$5:$I$914,L96),IF(K96="Cavity",IF(M96=1,SUMIFS(ProductionConfiguration!$P$5:$P$914,ProductionConfiguration!$B$5:$B$914,C96,ProductionConfiguration!$I$5:$I$914,L96),IF(M96=2,SUMIFS(ProductionConfiguration!$Q$5:$Q$914,ProductionConfiguration!$B$5:$B$914,C96,ProductionConfiguration!$I$5:$I$914,L96),SUMIFS(ProductionConfiguration!$R$5:$R$914,ProductionConfiguration!$B$5:$B$914,C96,ProductionConfiguration!$I$5:$I$914,L96))),0))))</x:f>
      </x:c>
      <x:c r="T96" t="str">
        <x:f t="shared" si="12"/>
      </x:c>
      <x:c r="U96" t="str">
        <x:f t="shared" si="13"/>
      </x:c>
      <x:c r="V96" t="str">
        <x:f>IF(C96="","",SUMIF(DailyProduction!$Q$5:$Q$100,C96,DailyProduction!$J$5:$J$100))</x:f>
      </x:c>
      <x:c r="W96" t="str">
        <x:f t="shared" si="14"/>
      </x:c>
      <x:c r="Y96" t="str">
        <x:f>IF(B96="","",IF(COUNTIF(JobChange!$S$5:$S$100,B96)=1,"OK","CHECK"))</x:f>
      </x:c>
      <x:c r="Z96" t="str">
        <x:f t="shared" si="15"/>
      </x:c>
      <x:c r="AA96" t="str">
        <x:f t="shared" si="16"/>
      </x:c>
      <x:c r="AB96" t="str">
        <x:f t="shared" si="17"/>
      </x:c>
    </x:row>
    <x:row r="97">
      <x:c r="R97" t="str">
        <x:f>IF(B97="","",SUMIF(ProductionConfiguration!$B$5:$B$914,C97,ProductionConfiguration!$S$5:$S$914))</x:f>
      </x:c>
      <x:c r="S97" t="str">
        <x:f>IF(B97="","",IF(K97="Line",R97,IF(K97="Section",SUMIFS(ProductionConfiguration!$S$5:$S$914,ProductionConfiguration!$B$5:$B$914,C97,ProductionConfiguration!$I$5:$I$914,L97),IF(K97="Cavity",IF(M97=1,SUMIFS(ProductionConfiguration!$P$5:$P$914,ProductionConfiguration!$B$5:$B$914,C97,ProductionConfiguration!$I$5:$I$914,L97),IF(M97=2,SUMIFS(ProductionConfiguration!$Q$5:$Q$914,ProductionConfiguration!$B$5:$B$914,C97,ProductionConfiguration!$I$5:$I$914,L97),SUMIFS(ProductionConfiguration!$R$5:$R$914,ProductionConfiguration!$B$5:$B$914,C97,ProductionConfiguration!$I$5:$I$914,L97))),0))))</x:f>
      </x:c>
      <x:c r="T97" t="str">
        <x:f t="shared" si="12"/>
      </x:c>
      <x:c r="U97" t="str">
        <x:f t="shared" si="13"/>
      </x:c>
      <x:c r="V97" t="str">
        <x:f>IF(C97="","",SUMIF(DailyProduction!$Q$5:$Q$100,C97,DailyProduction!$J$5:$J$100))</x:f>
      </x:c>
      <x:c r="W97" t="str">
        <x:f t="shared" si="14"/>
      </x:c>
      <x:c r="Y97" t="str">
        <x:f>IF(B97="","",IF(COUNTIF(JobChange!$S$5:$S$100,B97)=1,"OK","CHECK"))</x:f>
      </x:c>
      <x:c r="Z97" t="str">
        <x:f t="shared" si="15"/>
      </x:c>
      <x:c r="AA97" t="str">
        <x:f t="shared" si="16"/>
      </x:c>
      <x:c r="AB97" t="str">
        <x:f t="shared" si="17"/>
      </x:c>
    </x:row>
    <x:row r="98">
      <x:c r="R98" t="str">
        <x:f>IF(B98="","",SUMIF(ProductionConfiguration!$B$5:$B$914,C98,ProductionConfiguration!$S$5:$S$914))</x:f>
      </x:c>
      <x:c r="S98" t="str">
        <x:f>IF(B98="","",IF(K98="Line",R98,IF(K98="Section",SUMIFS(ProductionConfiguration!$S$5:$S$914,ProductionConfiguration!$B$5:$B$914,C98,ProductionConfiguration!$I$5:$I$914,L98),IF(K98="Cavity",IF(M98=1,SUMIFS(ProductionConfiguration!$P$5:$P$914,ProductionConfiguration!$B$5:$B$914,C98,ProductionConfiguration!$I$5:$I$914,L98),IF(M98=2,SUMIFS(ProductionConfiguration!$Q$5:$Q$914,ProductionConfiguration!$B$5:$B$914,C98,ProductionConfiguration!$I$5:$I$914,L98),SUMIFS(ProductionConfiguration!$R$5:$R$914,ProductionConfiguration!$B$5:$B$914,C98,ProductionConfiguration!$I$5:$I$914,L98))),0))))</x:f>
      </x:c>
      <x:c r="T98" t="str">
        <x:f t="shared" si="12"/>
      </x:c>
      <x:c r="U98" t="str">
        <x:f t="shared" si="13"/>
      </x:c>
      <x:c r="V98" t="str">
        <x:f>IF(C98="","",SUMIF(DailyProduction!$Q$5:$Q$100,C98,DailyProduction!$J$5:$J$100))</x:f>
      </x:c>
      <x:c r="W98" t="str">
        <x:f t="shared" si="14"/>
      </x:c>
      <x:c r="Y98" t="str">
        <x:f>IF(B98="","",IF(COUNTIF(JobChange!$S$5:$S$100,B98)=1,"OK","CHECK"))</x:f>
      </x:c>
      <x:c r="Z98" t="str">
        <x:f t="shared" si="15"/>
      </x:c>
      <x:c r="AA98" t="str">
        <x:f t="shared" si="16"/>
      </x:c>
      <x:c r="AB98" t="str">
        <x:f t="shared" si="17"/>
      </x:c>
    </x:row>
    <x:row r="99">
      <x:c r="R99" t="str">
        <x:f>IF(B99="","",SUMIF(ProductionConfiguration!$B$5:$B$914,C99,ProductionConfiguration!$S$5:$S$914))</x:f>
      </x:c>
      <x:c r="S99" t="str">
        <x:f>IF(B99="","",IF(K99="Line",R99,IF(K99="Section",SUMIFS(ProductionConfiguration!$S$5:$S$914,ProductionConfiguration!$B$5:$B$914,C99,ProductionConfiguration!$I$5:$I$914,L99),IF(K99="Cavity",IF(M99=1,SUMIFS(ProductionConfiguration!$P$5:$P$914,ProductionConfiguration!$B$5:$B$914,C99,ProductionConfiguration!$I$5:$I$914,L99),IF(M99=2,SUMIFS(ProductionConfiguration!$Q$5:$Q$914,ProductionConfiguration!$B$5:$B$914,C99,ProductionConfiguration!$I$5:$I$914,L99),SUMIFS(ProductionConfiguration!$R$5:$R$914,ProductionConfiguration!$B$5:$B$914,C99,ProductionConfiguration!$I$5:$I$914,L99))),0))))</x:f>
      </x:c>
      <x:c r="T99" t="str">
        <x:f t="shared" si="12"/>
      </x:c>
      <x:c r="U99" t="str">
        <x:f t="shared" si="13"/>
      </x:c>
      <x:c r="V99" t="str">
        <x:f>IF(C99="","",SUMIF(DailyProduction!$Q$5:$Q$100,C99,DailyProduction!$J$5:$J$100))</x:f>
      </x:c>
      <x:c r="W99" t="str">
        <x:f t="shared" si="14"/>
      </x:c>
      <x:c r="Y99" t="str">
        <x:f>IF(B99="","",IF(COUNTIF(JobChange!$S$5:$S$100,B99)=1,"OK","CHECK"))</x:f>
      </x:c>
      <x:c r="Z99" t="str">
        <x:f t="shared" si="15"/>
      </x:c>
      <x:c r="AA99" t="str">
        <x:f t="shared" si="16"/>
      </x:c>
      <x:c r="AB99" t="str">
        <x:f t="shared" si="17"/>
      </x:c>
    </x:row>
    <x:row r="100">
      <x:c r="R100" t="str">
        <x:f>IF(B100="","",SUMIF(ProductionConfiguration!$B$5:$B$914,C100,ProductionConfiguration!$S$5:$S$914))</x:f>
      </x:c>
      <x:c r="S100" t="str">
        <x:f>IF(B100="","",IF(K100="Line",R100,IF(K100="Section",SUMIFS(ProductionConfiguration!$S$5:$S$914,ProductionConfiguration!$B$5:$B$914,C100,ProductionConfiguration!$I$5:$I$914,L100),IF(K100="Cavity",IF(M100=1,SUMIFS(ProductionConfiguration!$P$5:$P$914,ProductionConfiguration!$B$5:$B$914,C100,ProductionConfiguration!$I$5:$I$914,L100),IF(M100=2,SUMIFS(ProductionConfiguration!$Q$5:$Q$914,ProductionConfiguration!$B$5:$B$914,C100,ProductionConfiguration!$I$5:$I$914,L100),SUMIFS(ProductionConfiguration!$R$5:$R$914,ProductionConfiguration!$B$5:$B$914,C100,ProductionConfiguration!$I$5:$I$914,L100))),0))))</x:f>
      </x:c>
      <x:c r="T100" t="str">
        <x:f t="shared" si="12"/>
      </x:c>
      <x:c r="U100" t="str">
        <x:f t="shared" si="13"/>
      </x:c>
      <x:c r="V100" t="str">
        <x:f>IF(C100="","",SUMIF(DailyProduction!$Q$5:$Q$100,C100,DailyProduction!$J$5:$J$100))</x:f>
      </x:c>
      <x:c r="W100" t="str">
        <x:f t="shared" si="14"/>
      </x:c>
      <x:c r="Y100" t="str">
        <x:f>IF(B100="","",IF(COUNTIF(JobChange!$S$5:$S$100,B100)=1,"OK","CHECK"))</x:f>
      </x:c>
      <x:c r="Z100" t="str">
        <x:f t="shared" si="15"/>
      </x:c>
      <x:c r="AA100" t="str">
        <x:f t="shared" si="16"/>
      </x:c>
      <x:c r="AB100" t="str">
        <x:f t="shared" si="17"/>
      </x:c>
    </x:row>
  </x:sheetData>
  <x:dataValidations count="5">
    <x:dataValidation sqref="L5:L100">
      <x:formula1>1</x:formula1>
      <x:formula2>13</x:formula2>
    </x:dataValidation>
    <x:dataValidation sqref="M5:M100">
      <x:formula1>1</x:formula1>
      <x:formula2>3</x:formula2>
    </x:dataValidation>
    <x:dataValidation type="list" sqref="AM5:AM1000">
      <x:formula1>_ValidationLists!$Z$2:$Z$4</x:formula1>
    </x:dataValidation>
    <x:dataValidation type="list" sqref="K5:K1000">
      <x:formula1>"Line,Section,Cavity"</x:formula1>
    </x:dataValidation>
    <x:dataValidation type="list" sqref="I5:I1000">
      <x:formula1>"T1,T2,Trial,HE,CE,Palletizer"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daa03b2b2845eb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2" width="14" customWidth="1"/>
    <x:col min="3" max="5" width="12" customWidth="1"/>
    <x:col min="6" max="6" width="20" customWidth="1"/>
    <x:col min="7" max="7" width="14" customWidth="1"/>
    <x:col min="8" max="9" width="12" customWidth="1"/>
    <x:col min="10" max="11" width="22" customWidth="1"/>
    <x:col min="12" max="12" width="14" customWidth="1"/>
    <x:col min="13" max="13" width="18" customWidth="1"/>
    <x:col min="14" max="14" width="16" customWidth="1"/>
    <x:col min="15" max="15" width="14" customWidth="1"/>
    <x:col min="16" max="16" width="16" customWidth="1"/>
    <x:col min="17" max="17" width="40" customWidth="1"/>
    <x:col min="18" max="18" width="17.5" customWidth="1"/>
    <x:col min="23" max="23" width="23.5" customWidth="1"/>
  </x:cols>
  <x:sheetData>
    <x:row r="1" ht="24" customHeight="1">
      <x:c r="A1" s="15" t="s">
        <x:v>166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</x:row>
    <x:row r="2" ht="15">
      <x:c r="A2" s="4" t="s">
        <x:v>167</x:v>
      </x:c>
    </x:row>
    <x:row r="3">
      <x:c r="A3" s="5" t="s">
        <x:v>168</x:v>
      </x:c>
    </x:row>
    <x:row r="4" ht="32.099998474121094" customHeight="1">
      <x:c r="A4" s="16" t="s">
        <x:v>18</x:v>
      </x:c>
      <x:c r="B4" s="16" t="s">
        <x:v>20</x:v>
      </x:c>
      <x:c r="C4" s="16" t="s">
        <x:v>21</x:v>
      </x:c>
      <x:c r="D4" s="16" t="s">
        <x:v>22</x:v>
      </x:c>
      <x:c r="E4" s="16" t="s">
        <x:v>19</x:v>
      </x:c>
      <x:c r="F4" s="16" t="s">
        <x:v>169</x:v>
      </x:c>
      <x:c r="G4" s="16" t="s">
        <x:v>170</x:v>
      </x:c>
      <x:c r="H4" s="16" t="s">
        <x:v>171</x:v>
      </x:c>
      <x:c r="I4" s="16" t="s">
        <x:v>172</x:v>
      </x:c>
      <x:c r="J4" s="16" t="s">
        <x:v>95</x:v>
      </x:c>
      <x:c r="K4" s="16" t="s">
        <x:v>173</x:v>
      </x:c>
      <x:c r="L4" s="16" t="s">
        <x:v>174</x:v>
      </x:c>
      <x:c r="M4" s="16" t="s">
        <x:v>175</x:v>
      </x:c>
      <x:c r="N4" s="16" t="s">
        <x:v>176</x:v>
      </x:c>
      <x:c r="O4" s="16" t="s">
        <x:v>177</x:v>
      </x:c>
      <x:c r="P4" s="16" t="s">
        <x:v>178</x:v>
      </x:c>
      <x:c r="Q4" s="17" t="s">
        <x:v>81</x:v>
      </x:c>
      <x:c r="R4" s="17" t="s">
        <x:v>179</x:v>
      </x:c>
      <x:c r="S4" s="17" t="s">
        <x:v>180</x:v>
      </x:c>
      <x:c r="T4" s="17" t="s">
        <x:v>181</x:v>
      </x:c>
      <x:c r="U4" s="17" t="s">
        <x:v>182</x:v>
      </x:c>
      <x:c r="V4" s="17" t="s">
        <x:v>183</x:v>
      </x:c>
      <x:c r="W4" s="17" t="s">
        <x:v>184</x:v>
      </x:c>
      <x:c r="X4" s="17" t="s">
        <x:v>185</x:v>
      </x:c>
      <x:c r="Y4" s="17" t="s">
        <x:v>42</x:v>
      </x:c>
      <x:c r="Z4" s="17" t="s">
        <x:v>43</x:v>
      </x:c>
      <x:c r="AA4" s="46" t="str">
        <x:v>ProductLineCapabilityID</x:v>
      </x:c>
      <x:c r="AB4" s="46" t="str">
        <x:v>ProductCapabilityCheck</x:v>
      </x:c>
      <x:c r="AC4" s="46" t="str">
        <x:v>MachineCode</x:v>
      </x:c>
      <x:c r="AD4" s="46" t="str">
        <x:v>MachineCapabilityCheck</x:v>
      </x:c>
      <x:c r="AE4" s="46" t="str">
        <x:v>CavityConfigActiveCount</x:v>
      </x:c>
      <x:c r="AF4" s="46" t="str">
        <x:v>CavityConfigReconciliationCheck</x:v>
      </x:c>
      <x:c r="AG4" s="46" t="str">
        <x:v>CreatedAt</x:v>
      </x:c>
      <x:c r="AH4" s="46" t="str">
        <x:v>CreatedBy</x:v>
      </x:c>
      <x:c r="AI4" s="46" t="str">
        <x:v>ModifiedAt</x:v>
      </x:c>
      <x:c r="AJ4" s="46" t="str">
        <x:v>ModifiedBy</x:v>
      </x:c>
      <x:c r="AK4" s="46" t="str">
        <x:v>SourceFile</x:v>
      </x:c>
      <x:c r="AL4" s="46" t="str">
        <x:v>LoadBatchID</x:v>
      </x:c>
      <x:c r="AM4" s="46" t="str">
        <x:v>RecordStatus</x:v>
      </x:c>
      <x:c r="AN4" s="46" t="str">
        <x:v>LoadDecision</x:v>
      </x:c>
    </x:row>
    <x:row r="5" ht="18" customHeight="1">
      <x:c r="A5" s="10" t="s">
        <x:v>44</x:v>
      </x:c>
      <x:c r="B5" s="11">
        <x:v>45950</x:v>
      </x:c>
      <x:c r="C5" s="10" t="s">
        <x:v>45</x:v>
      </x:c>
      <x:c r="D5" s="10" t="s">
        <x:v>55</x:v>
      </x:c>
      <x:c r="E5" s="12">
        <x:v>21</x:v>
      </x:c>
      <x:c r="F5" s="10" t="s">
        <x:v>47</x:v>
      </x:c>
      <x:c r="G5" s="10" t="s">
        <x:v>186</x:v>
      </x:c>
      <x:c r="H5" s="12">
        <x:v>10</x:v>
      </x:c>
      <x:c r="I5" s="12">
        <x:v>3</x:v>
      </x:c>
      <x:c r="J5" s="12">
        <x:v>12</x:v>
      </x:c>
      <x:c r="K5" s="13">
        <x:v>21600</x:v>
      </x:c>
      <x:c r="L5" s="14">
        <x:v>11.73</x:v>
      </x:c>
      <x:c r="M5" s="13">
        <x:v>253368</x:v>
      </x:c>
      <x:c r="N5" s="13">
        <x:v>238067</x:v>
      </x:c>
      <x:c r="O5" s="13">
        <x:v>2140</x:v>
      </x:c>
      <x:c r="P5" s="13">
        <x:v>13161</x:v>
      </x:c>
      <x:c r="Q5" t="str">
        <x:f t="shared" ref="Q5:Q36" si="0">IF(A5="","", "PE-"&amp;A5&amp;"-L"&amp;TEXT(E5,"00")&amp;"-"&amp;TEXT(B5,"yyyymmdd")&amp;"-"&amp;C5&amp;"-"&amp;F5)</x:f>
        <x:v>PE-KG01-L21-20251020-AM-ORD-2025-00019</x:v>
      </x:c>
      <x:c r="R5" t="n">
        <x:f t="shared" ref="R5:R36" si="1">IF(A5="","",H5*I5)</x:f>
        <x:v>30</x:v>
      </x:c>
      <x:c r="S5" t="str">
        <x:f t="shared" ref="S5:S36" si="2">IF(A5="","",IF(AND(H5&gt;=1,H5&lt;=13,I5&gt;=1,I5&lt;=3),"OK","CHECK"))</x:f>
        <x:v>OK</x:v>
      </x:c>
      <x:c r="T5" t="str">
        <x:f t="shared" ref="T5:T36" si="3">IF(A5="","",IF(ABS(K5-(J5*H5*I5*60))&lt;=0.5,"OK","CHECK"))</x:f>
        <x:v>OK</x:v>
      </x:c>
      <x:c r="U5" t="str">
        <x:f t="shared" ref="U5:U36" si="4">IF(A5="","",IF(ABS(M5-(K5*L5))&lt;=1,"OK","CHECK"))</x:f>
        <x:v>OK</x:v>
      </x:c>
      <x:c r="V5" t="str">
        <x:f t="shared" ref="V5:V36" si="5">IF(A5="","",IF(ABS(M5-N5-O5-P5)&lt;=1,"OK","CHECK"))</x:f>
        <x:v>OK</x:v>
      </x:c>
      <x:c r="W5" t="n">
        <x:f>IF(Q5="","",SUMIF(ProductionConfiguration!$B$5:$B$914,Q5,ProductionConfiguration!$S$5:$S$914))</x:f>
        <x:v>30</x:v>
      </x:c>
      <x:c r="X5" t="str">
        <x:f t="shared" ref="X5:X36" si="6">IF(A5="","",IF(R5=W5,"OK","CHECK"))</x:f>
        <x:v>OK</x:v>
      </x:c>
      <x:c r="Y5" t="str">
        <x:f t="shared" ref="Y5:Y36" si="7">IF(Q5="","",IF(COUNTIF($Q$5:$Q$100,Q5)=1,"OK","CHECK"))</x:f>
        <x:v>OK</x:v>
      </x:c>
      <x:c r="Z5" t="str">
        <x:f t="shared" ref="Z5:Z36" si="8">IF(A5="","",IF(AND(S5="OK",T5="OK",U5="OK",V5="OK",X5="OK",Y5="OK",AB5="OK",AD5="OK",AF5="OK"),"OK","CHECK"))</x:f>
        <x:v>OK</x:v>
      </x:c>
      <x:c r="AA5" t="str">
        <x:v>PLC-PRD-JAR-330-L21</x:v>
      </x:c>
      <x:c r="AB5" t="str">
        <x:v>OK</x:v>
      </x:c>
      <x:c r="AC5" t="str">
        <x:v>M21</x:v>
      </x:c>
      <x:c r="AD5" t="str">
        <x:v>OK</x:v>
      </x:c>
      <x:c r="AE5" t="n">
        <x:v>30</x:v>
      </x:c>
      <x:c r="AF5" t="str">
        <x:v>OK</x:v>
      </x:c>
      <x:c r="AG5"/>
      <x:c r="AH5"/>
      <x:c r="AI5"/>
      <x:c r="AJ5"/>
      <x:c r="AK5" t="str">
        <x:v>02_Supervisor_Log(4).xlsx</x:v>
      </x:c>
      <x:c r="AL5" t="str">
        <x:v>ENH-20260830-01</x:v>
      </x:c>
      <x:c r="AM5" t="str">
        <x:v>Active</x:v>
      </x:c>
      <x:c r="AN5" t="str">
        <x:f>IF(A5="","",IF(Z5="OK","LOAD","QUARANTINE"))</x:f>
        <x:v>LOAD</x:v>
      </x:c>
    </x:row>
    <x:row r="6" ht="18" customHeight="1">
      <x:c r="A6" s="10" t="s">
        <x:v>44</x:v>
      </x:c>
      <x:c r="B6" s="11">
        <x:v>45950</x:v>
      </x:c>
      <x:c r="C6" s="10" t="s">
        <x:v>187</x:v>
      </x:c>
      <x:c r="D6" s="10" t="s">
        <x:v>46</x:v>
      </x:c>
      <x:c r="E6" s="12">
        <x:v>21</x:v>
      </x:c>
      <x:c r="F6" s="10" t="s">
        <x:v>47</x:v>
      </x:c>
      <x:c r="G6" s="10" t="s">
        <x:v>186</x:v>
      </x:c>
      <x:c r="H6" s="12">
        <x:v>10</x:v>
      </x:c>
      <x:c r="I6" s="12">
        <x:v>3</x:v>
      </x:c>
      <x:c r="J6" s="12">
        <x:v>11</x:v>
      </x:c>
      <x:c r="K6" s="13">
        <x:v>19800</x:v>
      </x:c>
      <x:c r="L6" s="14">
        <x:v>11.55</x:v>
      </x:c>
      <x:c r="M6" s="13">
        <x:v>228690</x:v>
      </x:c>
      <x:c r="N6" s="13">
        <x:v>215868</x:v>
      </x:c>
      <x:c r="O6" s="13">
        <x:v>2247</x:v>
      </x:c>
      <x:c r="P6" s="13">
        <x:v>10575</x:v>
      </x:c>
      <x:c r="Q6" t="str">
        <x:f t="shared" si="0"/>
        <x:v>PE-KG01-L21-20251020-PM-ORD-2025-00019</x:v>
      </x:c>
      <x:c r="R6">
        <x:f t="shared" si="1"/>
        <x:v>30</x:v>
      </x:c>
      <x:c r="S6" t="str">
        <x:f t="shared" si="2"/>
        <x:v>OK</x:v>
      </x:c>
      <x:c r="T6" t="str">
        <x:f t="shared" si="3"/>
        <x:v>OK</x:v>
      </x:c>
      <x:c r="U6" t="str">
        <x:f t="shared" si="4"/>
        <x:v>OK</x:v>
      </x:c>
      <x:c r="V6" t="str">
        <x:f t="shared" si="5"/>
        <x:v>OK</x:v>
      </x:c>
      <x:c r="W6" t="n">
        <x:f>IF(Q6="","",SUMIF(ProductionConfiguration!$B$5:$B$914,Q6,ProductionConfiguration!$S$5:$S$914))</x:f>
        <x:v>30</x:v>
      </x:c>
      <x:c r="X6" t="str">
        <x:f t="shared" si="6"/>
        <x:v>OK</x:v>
      </x:c>
      <x:c r="Y6" t="str">
        <x:f t="shared" si="7"/>
        <x:v>OK</x:v>
      </x:c>
      <x:c r="Z6" t="str">
        <x:f t="shared" si="8">IF(A6="","",IF(AND(S6="OK",T6="OK",U6="OK",V6="OK",X6="OK",Y6="OK",AB6="OK",AD6="OK",AF6="OK"),"OK","CHECK"))</x:f>
        <x:v>OK</x:v>
      </x:c>
      <x:c r="AA6" t="str">
        <x:v>PLC-PRD-JAR-330-L21</x:v>
      </x:c>
      <x:c r="AB6" t="str">
        <x:v>OK</x:v>
      </x:c>
      <x:c r="AC6" t="str">
        <x:v>M21</x:v>
      </x:c>
      <x:c r="AD6" t="str">
        <x:v>OK</x:v>
      </x:c>
      <x:c r="AE6" t="n">
        <x:v>30</x:v>
      </x:c>
      <x:c r="AF6" t="str">
        <x:v>OK</x:v>
      </x:c>
      <x:c r="AG6"/>
      <x:c r="AH6"/>
      <x:c r="AI6"/>
      <x:c r="AJ6"/>
      <x:c r="AK6" t="str">
        <x:v>02_Supervisor_Log(4).xlsx</x:v>
      </x:c>
      <x:c r="AL6" t="str">
        <x:v>ENH-20260830-01</x:v>
      </x:c>
      <x:c r="AM6" t="str">
        <x:v>Active</x:v>
      </x:c>
      <x:c r="AN6" t="str">
        <x:f>IF(A6="","",IF(Z6="OK","LOAD","QUARANTINE"))</x:f>
        <x:v>LOAD</x:v>
      </x:c>
    </x:row>
    <x:row r="7" ht="18" customHeight="1">
      <x:c r="A7" s="10" t="s">
        <x:v>44</x:v>
      </x:c>
      <x:c r="B7" s="11">
        <x:v>45951</x:v>
      </x:c>
      <x:c r="C7" s="10" t="s">
        <x:v>45</x:v>
      </x:c>
      <x:c r="D7" s="10" t="s">
        <x:v>46</x:v>
      </x:c>
      <x:c r="E7" s="12">
        <x:v>21</x:v>
      </x:c>
      <x:c r="F7" s="10" t="s">
        <x:v>48</x:v>
      </x:c>
      <x:c r="G7" s="10" t="s">
        <x:v>112</x:v>
      </x:c>
      <x:c r="H7" s="12">
        <x:v>10</x:v>
      </x:c>
      <x:c r="I7" s="12">
        <x:v>2</x:v>
      </x:c>
      <x:c r="J7" s="12">
        <x:v>10</x:v>
      </x:c>
      <x:c r="K7" s="13">
        <x:v>12000</x:v>
      </x:c>
      <x:c r="L7" s="14">
        <x:v>7.49</x:v>
      </x:c>
      <x:c r="M7" s="13">
        <x:v>89880</x:v>
      </x:c>
      <x:c r="N7" s="13">
        <x:v>79298</x:v>
      </x:c>
      <x:c r="O7" s="13">
        <x:v>1528</x:v>
      </x:c>
      <x:c r="P7" s="13">
        <x:v>9054</x:v>
      </x:c>
      <x:c r="Q7" t="str">
        <x:f t="shared" si="0"/>
        <x:v>PE-KG01-L21-20251021-AM-ORD-2025-00020</x:v>
      </x:c>
      <x:c r="R7">
        <x:f t="shared" si="1"/>
        <x:v>20</x:v>
      </x:c>
      <x:c r="S7" t="str">
        <x:f t="shared" si="2"/>
        <x:v>OK</x:v>
      </x:c>
      <x:c r="T7" t="str">
        <x:f t="shared" si="3"/>
        <x:v>OK</x:v>
      </x:c>
      <x:c r="U7" t="str">
        <x:f t="shared" si="4"/>
        <x:v>OK</x:v>
      </x:c>
      <x:c r="V7" t="str">
        <x:f t="shared" si="5"/>
        <x:v>OK</x:v>
      </x:c>
      <x:c r="W7" t="n">
        <x:f>IF(Q7="","",SUMIF(ProductionConfiguration!$B$5:$B$914,Q7,ProductionConfiguration!$S$5:$S$914))</x:f>
        <x:v>20</x:v>
      </x:c>
      <x:c r="X7" t="str">
        <x:f t="shared" si="6"/>
        <x:v>OK</x:v>
      </x:c>
      <x:c r="Y7" t="str">
        <x:f t="shared" si="7"/>
        <x:v>OK</x:v>
      </x:c>
      <x:c r="Z7" t="str">
        <x:f t="shared" si="8">IF(A7="","",IF(AND(S7="OK",T7="OK",U7="OK",V7="OK",X7="OK",Y7="OK",AB7="OK",AD7="OK",AF7="OK"),"OK","CHECK"))</x:f>
        <x:v>OK</x:v>
      </x:c>
      <x:c r="AA7" t="str">
        <x:v>PLC-PRD-JAR-720-L21</x:v>
      </x:c>
      <x:c r="AB7" t="str">
        <x:v>OK</x:v>
      </x:c>
      <x:c r="AC7" t="str">
        <x:v>M21</x:v>
      </x:c>
      <x:c r="AD7" t="str">
        <x:v>OK</x:v>
      </x:c>
      <x:c r="AE7" t="n">
        <x:v>20</x:v>
      </x:c>
      <x:c r="AF7" t="str">
        <x:v>OK</x:v>
      </x:c>
      <x:c r="AG7"/>
      <x:c r="AH7"/>
      <x:c r="AI7"/>
      <x:c r="AJ7"/>
      <x:c r="AK7" t="str">
        <x:v>02_Supervisor_Log(4).xlsx</x:v>
      </x:c>
      <x:c r="AL7" t="str">
        <x:v>ENH-20260830-01</x:v>
      </x:c>
      <x:c r="AM7" t="str">
        <x:v>Active</x:v>
      </x:c>
      <x:c r="AN7" t="str">
        <x:f>IF(A7="","",IF(Z7="OK","LOAD","QUARANTINE"))</x:f>
        <x:v>LOAD</x:v>
      </x:c>
    </x:row>
    <x:row r="8" ht="18" customHeight="1">
      <x:c r="A8" s="10" t="s">
        <x:v>44</x:v>
      </x:c>
      <x:c r="B8" s="11">
        <x:v>45951</x:v>
      </x:c>
      <x:c r="C8" s="10" t="s">
        <x:v>187</x:v>
      </x:c>
      <x:c r="D8" s="10" t="s">
        <x:v>51</x:v>
      </x:c>
      <x:c r="E8" s="12">
        <x:v>21</x:v>
      </x:c>
      <x:c r="F8" s="10" t="s">
        <x:v>48</x:v>
      </x:c>
      <x:c r="G8" s="10" t="s">
        <x:v>186</x:v>
      </x:c>
      <x:c r="H8" s="12">
        <x:v>10</x:v>
      </x:c>
      <x:c r="I8" s="12">
        <x:v>2</x:v>
      </x:c>
      <x:c r="J8" s="12">
        <x:v>10</x:v>
      </x:c>
      <x:c r="K8" s="13">
        <x:v>12000</x:v>
      </x:c>
      <x:c r="L8" s="14">
        <x:v>11.62</x:v>
      </x:c>
      <x:c r="M8" s="13">
        <x:v>139440</x:v>
      </x:c>
      <x:c r="N8" s="13">
        <x:v>132234</x:v>
      </x:c>
      <x:c r="O8" s="13">
        <x:v>560</x:v>
      </x:c>
      <x:c r="P8" s="13">
        <x:v>6646</x:v>
      </x:c>
      <x:c r="Q8" t="str">
        <x:f t="shared" si="0"/>
        <x:v>PE-KG01-L21-20251021-PM-ORD-2025-00020</x:v>
      </x:c>
      <x:c r="R8">
        <x:f t="shared" si="1"/>
        <x:v>20</x:v>
      </x:c>
      <x:c r="S8" t="str">
        <x:f t="shared" si="2"/>
        <x:v>OK</x:v>
      </x:c>
      <x:c r="T8" t="str">
        <x:f t="shared" si="3"/>
        <x:v>OK</x:v>
      </x:c>
      <x:c r="U8" t="str">
        <x:f t="shared" si="4"/>
        <x:v>OK</x:v>
      </x:c>
      <x:c r="V8" t="str">
        <x:f t="shared" si="5"/>
        <x:v>OK</x:v>
      </x:c>
      <x:c r="W8" t="n">
        <x:f>IF(Q8="","",SUMIF(ProductionConfiguration!$B$5:$B$914,Q8,ProductionConfiguration!$S$5:$S$914))</x:f>
        <x:v>20</x:v>
      </x:c>
      <x:c r="X8" t="str">
        <x:f t="shared" si="6"/>
        <x:v>OK</x:v>
      </x:c>
      <x:c r="Y8" t="str">
        <x:f t="shared" si="7"/>
        <x:v>OK</x:v>
      </x:c>
      <x:c r="Z8" t="str">
        <x:f t="shared" si="8">IF(A8="","",IF(AND(S8="OK",T8="OK",U8="OK",V8="OK",X8="OK",Y8="OK",AB8="OK",AD8="OK",AF8="OK"),"OK","CHECK"))</x:f>
        <x:v>OK</x:v>
      </x:c>
      <x:c r="AA8" t="str">
        <x:v>PLC-PRD-JAR-720-L21</x:v>
      </x:c>
      <x:c r="AB8" t="str">
        <x:v>OK</x:v>
      </x:c>
      <x:c r="AC8" t="str">
        <x:v>M21</x:v>
      </x:c>
      <x:c r="AD8" t="str">
        <x:v>OK</x:v>
      </x:c>
      <x:c r="AE8" t="n">
        <x:v>20</x:v>
      </x:c>
      <x:c r="AF8" t="str">
        <x:v>OK</x:v>
      </x:c>
      <x:c r="AG8"/>
      <x:c r="AH8"/>
      <x:c r="AI8"/>
      <x:c r="AJ8"/>
      <x:c r="AK8" t="str">
        <x:v>02_Supervisor_Log(4).xlsx</x:v>
      </x:c>
      <x:c r="AL8" t="str">
        <x:v>ENH-20260830-01</x:v>
      </x:c>
      <x:c r="AM8" t="str">
        <x:v>Active</x:v>
      </x:c>
      <x:c r="AN8" t="str">
        <x:f>IF(A8="","",IF(Z8="OK","LOAD","QUARANTINE"))</x:f>
        <x:v>LOAD</x:v>
      </x:c>
    </x:row>
    <x:row r="9" ht="18" customHeight="1">
      <x:c r="A9" s="10" t="s">
        <x:v>44</x:v>
      </x:c>
      <x:c r="B9" s="11">
        <x:v>45952</x:v>
      </x:c>
      <x:c r="C9" s="10" t="s">
        <x:v>45</x:v>
      </x:c>
      <x:c r="D9" s="10" t="s">
        <x:v>51</x:v>
      </x:c>
      <x:c r="E9" s="12">
        <x:v>21</x:v>
      </x:c>
      <x:c r="F9" s="10" t="s">
        <x:v>48</x:v>
      </x:c>
      <x:c r="G9" s="10" t="s">
        <x:v>186</x:v>
      </x:c>
      <x:c r="H9" s="12">
        <x:v>10</x:v>
      </x:c>
      <x:c r="I9" s="12">
        <x:v>2</x:v>
      </x:c>
      <x:c r="J9" s="12">
        <x:v>9</x:v>
      </x:c>
      <x:c r="K9" s="13">
        <x:v>10800</x:v>
      </x:c>
      <x:c r="L9" s="14">
        <x:v>11.54</x:v>
      </x:c>
      <x:c r="M9" s="13">
        <x:v>124632</x:v>
      </x:c>
      <x:c r="N9" s="13">
        <x:v>116395</x:v>
      </x:c>
      <x:c r="O9" s="13">
        <x:v>1286</x:v>
      </x:c>
      <x:c r="P9" s="13">
        <x:v>6951</x:v>
      </x:c>
      <x:c r="Q9" t="str">
        <x:f t="shared" si="0"/>
        <x:v>PE-KG01-L21-20251022-AM-ORD-2025-00020</x:v>
      </x:c>
      <x:c r="R9">
        <x:f t="shared" si="1"/>
        <x:v>20</x:v>
      </x:c>
      <x:c r="S9" t="str">
        <x:f t="shared" si="2"/>
        <x:v>OK</x:v>
      </x:c>
      <x:c r="T9" t="str">
        <x:f t="shared" si="3"/>
        <x:v>OK</x:v>
      </x:c>
      <x:c r="U9" t="str">
        <x:f t="shared" si="4"/>
        <x:v>OK</x:v>
      </x:c>
      <x:c r="V9" t="str">
        <x:f t="shared" si="5"/>
        <x:v>OK</x:v>
      </x:c>
      <x:c r="W9" t="n">
        <x:f>IF(Q9="","",SUMIF(ProductionConfiguration!$B$5:$B$914,Q9,ProductionConfiguration!$S$5:$S$914))</x:f>
        <x:v>20</x:v>
      </x:c>
      <x:c r="X9" t="str">
        <x:f t="shared" si="6"/>
        <x:v>OK</x:v>
      </x:c>
      <x:c r="Y9" t="str">
        <x:f t="shared" si="7"/>
        <x:v>OK</x:v>
      </x:c>
      <x:c r="Z9" t="str">
        <x:f t="shared" si="8">IF(A9="","",IF(AND(S9="OK",T9="OK",U9="OK",V9="OK",X9="OK",Y9="OK",AB9="OK",AD9="OK",AF9="OK"),"OK","CHECK"))</x:f>
        <x:v>OK</x:v>
      </x:c>
      <x:c r="AA9" t="str">
        <x:v>PLC-PRD-JAR-720-L21</x:v>
      </x:c>
      <x:c r="AB9" t="str">
        <x:v>OK</x:v>
      </x:c>
      <x:c r="AC9" t="str">
        <x:v>M21</x:v>
      </x:c>
      <x:c r="AD9" t="str">
        <x:v>OK</x:v>
      </x:c>
      <x:c r="AE9" t="n">
        <x:v>20</x:v>
      </x:c>
      <x:c r="AF9" t="str">
        <x:v>OK</x:v>
      </x:c>
      <x:c r="AG9"/>
      <x:c r="AH9"/>
      <x:c r="AI9"/>
      <x:c r="AJ9"/>
      <x:c r="AK9" t="str">
        <x:v>02_Supervisor_Log(4).xlsx</x:v>
      </x:c>
      <x:c r="AL9" t="str">
        <x:v>ENH-20260830-01</x:v>
      </x:c>
      <x:c r="AM9" t="str">
        <x:v>Active</x:v>
      </x:c>
      <x:c r="AN9" t="str">
        <x:f>IF(A9="","",IF(Z9="OK","LOAD","QUARANTINE"))</x:f>
        <x:v>LOAD</x:v>
      </x:c>
    </x:row>
    <x:row r="10" ht="18" customHeight="1">
      <x:c r="A10" s="10" t="s">
        <x:v>44</x:v>
      </x:c>
      <x:c r="B10" s="11">
        <x:v>45952</x:v>
      </x:c>
      <x:c r="C10" s="10" t="s">
        <x:v>187</x:v>
      </x:c>
      <x:c r="D10" s="10" t="s">
        <x:v>55</x:v>
      </x:c>
      <x:c r="E10" s="12">
        <x:v>21</x:v>
      </x:c>
      <x:c r="F10" s="10" t="s">
        <x:v>48</x:v>
      </x:c>
      <x:c r="G10" s="10" t="s">
        <x:v>186</x:v>
      </x:c>
      <x:c r="H10" s="12">
        <x:v>10</x:v>
      </x:c>
      <x:c r="I10" s="12">
        <x:v>2</x:v>
      </x:c>
      <x:c r="J10" s="12">
        <x:v>11</x:v>
      </x:c>
      <x:c r="K10" s="13">
        <x:v>13200</x:v>
      </x:c>
      <x:c r="L10" s="14">
        <x:v>11.68</x:v>
      </x:c>
      <x:c r="M10" s="13">
        <x:v>154176</x:v>
      </x:c>
      <x:c r="N10" s="13">
        <x:v>146166</x:v>
      </x:c>
      <x:c r="O10" s="13">
        <x:v>1622</x:v>
      </x:c>
      <x:c r="P10" s="13">
        <x:v>6388</x:v>
      </x:c>
      <x:c r="Q10" t="str">
        <x:f t="shared" si="0"/>
        <x:v>PE-KG01-L21-20251022-PM-ORD-2025-00020</x:v>
      </x:c>
      <x:c r="R10">
        <x:f t="shared" si="1"/>
        <x:v>20</x:v>
      </x:c>
      <x:c r="S10" t="str">
        <x:f t="shared" si="2"/>
        <x:v>OK</x:v>
      </x:c>
      <x:c r="T10" t="str">
        <x:f t="shared" si="3"/>
        <x:v>OK</x:v>
      </x:c>
      <x:c r="U10" t="str">
        <x:f t="shared" si="4"/>
        <x:v>OK</x:v>
      </x:c>
      <x:c r="V10" t="str">
        <x:f t="shared" si="5"/>
        <x:v>OK</x:v>
      </x:c>
      <x:c r="W10" t="n">
        <x:f>IF(Q10="","",SUMIF(ProductionConfiguration!$B$5:$B$914,Q10,ProductionConfiguration!$S$5:$S$914))</x:f>
        <x:v>20</x:v>
      </x:c>
      <x:c r="X10" t="str">
        <x:f t="shared" si="6"/>
        <x:v>OK</x:v>
      </x:c>
      <x:c r="Y10" t="str">
        <x:f t="shared" si="7"/>
        <x:v>OK</x:v>
      </x:c>
      <x:c r="Z10" t="str">
        <x:f t="shared" si="8">IF(A10="","",IF(AND(S10="OK",T10="OK",U10="OK",V10="OK",X10="OK",Y10="OK",AB10="OK",AD10="OK",AF10="OK"),"OK","CHECK"))</x:f>
        <x:v>OK</x:v>
      </x:c>
      <x:c r="AA10" t="str">
        <x:v>PLC-PRD-JAR-720-L21</x:v>
      </x:c>
      <x:c r="AB10" t="str">
        <x:v>OK</x:v>
      </x:c>
      <x:c r="AC10" t="str">
        <x:v>M21</x:v>
      </x:c>
      <x:c r="AD10" t="str">
        <x:v>OK</x:v>
      </x:c>
      <x:c r="AE10" t="n">
        <x:v>20</x:v>
      </x:c>
      <x:c r="AF10" t="str">
        <x:v>OK</x:v>
      </x:c>
      <x:c r="AG10"/>
      <x:c r="AH10"/>
      <x:c r="AI10"/>
      <x:c r="AJ10"/>
      <x:c r="AK10" t="str">
        <x:v>02_Supervisor_Log(4).xlsx</x:v>
      </x:c>
      <x:c r="AL10" t="str">
        <x:v>ENH-20260830-01</x:v>
      </x:c>
      <x:c r="AM10" t="str">
        <x:v>Active</x:v>
      </x:c>
      <x:c r="AN10" t="str">
        <x:f>IF(A10="","",IF(Z10="OK","LOAD","QUARANTINE"))</x:f>
        <x:v>LOAD</x:v>
      </x:c>
    </x:row>
    <x:row r="11" ht="18" customHeight="1">
      <x:c r="A11" s="10" t="s">
        <x:v>44</x:v>
      </x:c>
      <x:c r="B11" s="11">
        <x:v>45953</x:v>
      </x:c>
      <x:c r="C11" s="10" t="s">
        <x:v>45</x:v>
      </x:c>
      <x:c r="D11" s="10" t="s">
        <x:v>55</x:v>
      </x:c>
      <x:c r="E11" s="12">
        <x:v>21</x:v>
      </x:c>
      <x:c r="F11" s="10" t="s">
        <x:v>48</x:v>
      </x:c>
      <x:c r="G11" s="10" t="s">
        <x:v>186</x:v>
      </x:c>
      <x:c r="H11" s="12">
        <x:v>10</x:v>
      </x:c>
      <x:c r="I11" s="12">
        <x:v>2</x:v>
      </x:c>
      <x:c r="J11" s="12">
        <x:v>10</x:v>
      </x:c>
      <x:c r="K11" s="13">
        <x:v>12000</x:v>
      </x:c>
      <x:c r="L11" s="14">
        <x:v>11.45</x:v>
      </x:c>
      <x:c r="M11" s="13">
        <x:v>137400</x:v>
      </x:c>
      <x:c r="N11" s="13">
        <x:v>130459</x:v>
      </x:c>
      <x:c r="O11" s="13">
        <x:v>1515</x:v>
      </x:c>
      <x:c r="P11" s="13">
        <x:v>5426</x:v>
      </x:c>
      <x:c r="Q11" t="str">
        <x:f t="shared" si="0"/>
        <x:v>PE-KG01-L21-20251023-AM-ORD-2025-00020</x:v>
      </x:c>
      <x:c r="R11">
        <x:f t="shared" si="1"/>
        <x:v>20</x:v>
      </x:c>
      <x:c r="S11" t="str">
        <x:f t="shared" si="2"/>
        <x:v>OK</x:v>
      </x:c>
      <x:c r="T11" t="str">
        <x:f t="shared" si="3"/>
        <x:v>OK</x:v>
      </x:c>
      <x:c r="U11" t="str">
        <x:f t="shared" si="4"/>
        <x:v>OK</x:v>
      </x:c>
      <x:c r="V11" t="str">
        <x:f t="shared" si="5"/>
        <x:v>OK</x:v>
      </x:c>
      <x:c r="W11" t="n">
        <x:f>IF(Q11="","",SUMIF(ProductionConfiguration!$B$5:$B$914,Q11,ProductionConfiguration!$S$5:$S$914))</x:f>
        <x:v>20</x:v>
      </x:c>
      <x:c r="X11" t="str">
        <x:f t="shared" si="6"/>
        <x:v>OK</x:v>
      </x:c>
      <x:c r="Y11" t="str">
        <x:f t="shared" si="7"/>
        <x:v>OK</x:v>
      </x:c>
      <x:c r="Z11" t="str">
        <x:f t="shared" si="8">IF(A11="","",IF(AND(S11="OK",T11="OK",U11="OK",V11="OK",X11="OK",Y11="OK",AB11="OK",AD11="OK",AF11="OK"),"OK","CHECK"))</x:f>
        <x:v>OK</x:v>
      </x:c>
      <x:c r="AA11" t="str">
        <x:v>PLC-PRD-JAR-720-L21</x:v>
      </x:c>
      <x:c r="AB11" t="str">
        <x:v>OK</x:v>
      </x:c>
      <x:c r="AC11" t="str">
        <x:v>M21</x:v>
      </x:c>
      <x:c r="AD11" t="str">
        <x:v>OK</x:v>
      </x:c>
      <x:c r="AE11" t="n">
        <x:v>20</x:v>
      </x:c>
      <x:c r="AF11" t="str">
        <x:v>OK</x:v>
      </x:c>
      <x:c r="AG11"/>
      <x:c r="AH11"/>
      <x:c r="AI11"/>
      <x:c r="AJ11"/>
      <x:c r="AK11" t="str">
        <x:v>02_Supervisor_Log(4).xlsx</x:v>
      </x:c>
      <x:c r="AL11" t="str">
        <x:v>ENH-20260830-01</x:v>
      </x:c>
      <x:c r="AM11" t="str">
        <x:v>Active</x:v>
      </x:c>
      <x:c r="AN11" t="str">
        <x:f>IF(A11="","",IF(Z11="OK","LOAD","QUARANTINE"))</x:f>
        <x:v>LOAD</x:v>
      </x:c>
    </x:row>
    <x:row r="12" ht="18" customHeight="1">
      <x:c r="A12" s="10" t="s">
        <x:v>44</x:v>
      </x:c>
      <x:c r="B12" s="11">
        <x:v>45953</x:v>
      </x:c>
      <x:c r="C12" s="10" t="s">
        <x:v>187</x:v>
      </x:c>
      <x:c r="D12" s="10" t="s">
        <x:v>46</x:v>
      </x:c>
      <x:c r="E12" s="12">
        <x:v>21</x:v>
      </x:c>
      <x:c r="F12" s="10" t="s">
        <x:v>48</x:v>
      </x:c>
      <x:c r="G12" s="10" t="s">
        <x:v>186</x:v>
      </x:c>
      <x:c r="H12" s="12">
        <x:v>10</x:v>
      </x:c>
      <x:c r="I12" s="12">
        <x:v>2</x:v>
      </x:c>
      <x:c r="J12" s="12">
        <x:v>9</x:v>
      </x:c>
      <x:c r="K12" s="13">
        <x:v>10800</x:v>
      </x:c>
      <x:c r="L12" s="14">
        <x:v>11.69</x:v>
      </x:c>
      <x:c r="M12" s="13">
        <x:v>126252</x:v>
      </x:c>
      <x:c r="N12" s="13">
        <x:v>121745</x:v>
      </x:c>
      <x:c r="O12" s="13">
        <x:v>957</x:v>
      </x:c>
      <x:c r="P12" s="13">
        <x:v>3550</x:v>
      </x:c>
      <x:c r="Q12" t="str">
        <x:f t="shared" si="0"/>
        <x:v>PE-KG01-L21-20251023-PM-ORD-2025-00020</x:v>
      </x:c>
      <x:c r="R12">
        <x:f t="shared" si="1"/>
        <x:v>20</x:v>
      </x:c>
      <x:c r="S12" t="str">
        <x:f t="shared" si="2"/>
        <x:v>OK</x:v>
      </x:c>
      <x:c r="T12" t="str">
        <x:f t="shared" si="3"/>
        <x:v>OK</x:v>
      </x:c>
      <x:c r="U12" t="str">
        <x:f t="shared" si="4"/>
        <x:v>OK</x:v>
      </x:c>
      <x:c r="V12" t="str">
        <x:f t="shared" si="5"/>
        <x:v>OK</x:v>
      </x:c>
      <x:c r="W12" t="n">
        <x:f>IF(Q12="","",SUMIF(ProductionConfiguration!$B$5:$B$914,Q12,ProductionConfiguration!$S$5:$S$914))</x:f>
        <x:v>20</x:v>
      </x:c>
      <x:c r="X12" t="str">
        <x:f t="shared" si="6"/>
        <x:v>OK</x:v>
      </x:c>
      <x:c r="Y12" t="str">
        <x:f t="shared" si="7"/>
        <x:v>OK</x:v>
      </x:c>
      <x:c r="Z12" t="str">
        <x:f t="shared" si="8">IF(A12="","",IF(AND(S12="OK",T12="OK",U12="OK",V12="OK",X12="OK",Y12="OK",AB12="OK",AD12="OK",AF12="OK"),"OK","CHECK"))</x:f>
        <x:v>OK</x:v>
      </x:c>
      <x:c r="AA12" t="str">
        <x:v>PLC-PRD-JAR-720-L21</x:v>
      </x:c>
      <x:c r="AB12" t="str">
        <x:v>OK</x:v>
      </x:c>
      <x:c r="AC12" t="str">
        <x:v>M21</x:v>
      </x:c>
      <x:c r="AD12" t="str">
        <x:v>OK</x:v>
      </x:c>
      <x:c r="AE12" t="n">
        <x:v>20</x:v>
      </x:c>
      <x:c r="AF12" t="str">
        <x:v>OK</x:v>
      </x:c>
      <x:c r="AG12"/>
      <x:c r="AH12"/>
      <x:c r="AI12"/>
      <x:c r="AJ12"/>
      <x:c r="AK12" t="str">
        <x:v>02_Supervisor_Log(4).xlsx</x:v>
      </x:c>
      <x:c r="AL12" t="str">
        <x:v>ENH-20260830-01</x:v>
      </x:c>
      <x:c r="AM12" t="str">
        <x:v>Active</x:v>
      </x:c>
      <x:c r="AN12" t="str">
        <x:f>IF(A12="","",IF(Z12="OK","LOAD","QUARANTINE"))</x:f>
        <x:v>LOAD</x:v>
      </x:c>
    </x:row>
    <x:row r="13" ht="18" customHeight="1">
      <x:c r="A13" s="10" t="s">
        <x:v>44</x:v>
      </x:c>
      <x:c r="B13" s="11">
        <x:v>45954</x:v>
      </x:c>
      <x:c r="C13" s="10" t="s">
        <x:v>45</x:v>
      </x:c>
      <x:c r="D13" s="10" t="s">
        <x:v>46</x:v>
      </x:c>
      <x:c r="E13" s="12">
        <x:v>21</x:v>
      </x:c>
      <x:c r="F13" s="10" t="s">
        <x:v>48</x:v>
      </x:c>
      <x:c r="G13" s="10" t="s">
        <x:v>186</x:v>
      </x:c>
      <x:c r="H13" s="12">
        <x:v>10</x:v>
      </x:c>
      <x:c r="I13" s="12">
        <x:v>2</x:v>
      </x:c>
      <x:c r="J13" s="12">
        <x:v>11</x:v>
      </x:c>
      <x:c r="K13" s="13">
        <x:v>13200</x:v>
      </x:c>
      <x:c r="L13" s="14">
        <x:v>11.74</x:v>
      </x:c>
      <x:c r="M13" s="13">
        <x:v>154968</x:v>
      </x:c>
      <x:c r="N13" s="13">
        <x:v>147296</x:v>
      </x:c>
      <x:c r="O13" s="13">
        <x:v>3173</x:v>
      </x:c>
      <x:c r="P13" s="13">
        <x:v>4499</x:v>
      </x:c>
      <x:c r="Q13" t="str">
        <x:f t="shared" si="0"/>
        <x:v>PE-KG01-L21-20251024-AM-ORD-2025-00020</x:v>
      </x:c>
      <x:c r="R13">
        <x:f t="shared" si="1"/>
        <x:v>20</x:v>
      </x:c>
      <x:c r="S13" t="str">
        <x:f t="shared" si="2"/>
        <x:v>OK</x:v>
      </x:c>
      <x:c r="T13" t="str">
        <x:f t="shared" si="3"/>
        <x:v>OK</x:v>
      </x:c>
      <x:c r="U13" t="str">
        <x:f t="shared" si="4"/>
        <x:v>OK</x:v>
      </x:c>
      <x:c r="V13" t="str">
        <x:f t="shared" si="5"/>
        <x:v>OK</x:v>
      </x:c>
      <x:c r="W13" t="n">
        <x:f>IF(Q13="","",SUMIF(ProductionConfiguration!$B$5:$B$914,Q13,ProductionConfiguration!$S$5:$S$914))</x:f>
        <x:v>20</x:v>
      </x:c>
      <x:c r="X13" t="str">
        <x:f t="shared" si="6"/>
        <x:v>OK</x:v>
      </x:c>
      <x:c r="Y13" t="str">
        <x:f t="shared" si="7"/>
        <x:v>OK</x:v>
      </x:c>
      <x:c r="Z13" t="str">
        <x:f t="shared" si="8">IF(A13="","",IF(AND(S13="OK",T13="OK",U13="OK",V13="OK",X13="OK",Y13="OK",AB13="OK",AD13="OK",AF13="OK"),"OK","CHECK"))</x:f>
        <x:v>OK</x:v>
      </x:c>
      <x:c r="AA13" t="str">
        <x:v>PLC-PRD-JAR-720-L21</x:v>
      </x:c>
      <x:c r="AB13" t="str">
        <x:v>OK</x:v>
      </x:c>
      <x:c r="AC13" t="str">
        <x:v>M21</x:v>
      </x:c>
      <x:c r="AD13" t="str">
        <x:v>OK</x:v>
      </x:c>
      <x:c r="AE13" t="n">
        <x:v>20</x:v>
      </x:c>
      <x:c r="AF13" t="str">
        <x:v>OK</x:v>
      </x:c>
      <x:c r="AG13"/>
      <x:c r="AH13"/>
      <x:c r="AI13"/>
      <x:c r="AJ13"/>
      <x:c r="AK13" t="str">
        <x:v>02_Supervisor_Log(4).xlsx</x:v>
      </x:c>
      <x:c r="AL13" t="str">
        <x:v>ENH-20260830-01</x:v>
      </x:c>
      <x:c r="AM13" t="str">
        <x:v>Active</x:v>
      </x:c>
      <x:c r="AN13" t="str">
        <x:f>IF(A13="","",IF(Z13="OK","LOAD","QUARANTINE"))</x:f>
        <x:v>LOAD</x:v>
      </x:c>
    </x:row>
    <x:row r="14" ht="18" customHeight="1">
      <x:c r="A14" s="10" t="s">
        <x:v>44</x:v>
      </x:c>
      <x:c r="B14" s="11">
        <x:v>45954</x:v>
      </x:c>
      <x:c r="C14" s="10" t="s">
        <x:v>187</x:v>
      </x:c>
      <x:c r="D14" s="10" t="s">
        <x:v>51</x:v>
      </x:c>
      <x:c r="E14" s="12">
        <x:v>21</x:v>
      </x:c>
      <x:c r="F14" s="10" t="s">
        <x:v>48</x:v>
      </x:c>
      <x:c r="G14" s="10" t="s">
        <x:v>186</x:v>
      </x:c>
      <x:c r="H14" s="12">
        <x:v>10</x:v>
      </x:c>
      <x:c r="I14" s="12">
        <x:v>2</x:v>
      </x:c>
      <x:c r="J14" s="12">
        <x:v>9</x:v>
      </x:c>
      <x:c r="K14" s="13">
        <x:v>10800</x:v>
      </x:c>
      <x:c r="L14" s="14">
        <x:v>11.45</x:v>
      </x:c>
      <x:c r="M14" s="13">
        <x:v>123660</x:v>
      </x:c>
      <x:c r="N14" s="13">
        <x:v>119226</x:v>
      </x:c>
      <x:c r="O14" s="13">
        <x:v>675</x:v>
      </x:c>
      <x:c r="P14" s="13">
        <x:v>3759</x:v>
      </x:c>
      <x:c r="Q14" t="str">
        <x:f t="shared" si="0"/>
        <x:v>PE-KG01-L21-20251024-PM-ORD-2025-00020</x:v>
      </x:c>
      <x:c r="R14">
        <x:f t="shared" si="1"/>
        <x:v>20</x:v>
      </x:c>
      <x:c r="S14" t="str">
        <x:f t="shared" si="2"/>
        <x:v>OK</x:v>
      </x:c>
      <x:c r="T14" t="str">
        <x:f t="shared" si="3"/>
        <x:v>OK</x:v>
      </x:c>
      <x:c r="U14" t="str">
        <x:f t="shared" si="4"/>
        <x:v>OK</x:v>
      </x:c>
      <x:c r="V14" t="str">
        <x:f t="shared" si="5"/>
        <x:v>OK</x:v>
      </x:c>
      <x:c r="W14" t="n">
        <x:f>IF(Q14="","",SUMIF(ProductionConfiguration!$B$5:$B$914,Q14,ProductionConfiguration!$S$5:$S$914))</x:f>
        <x:v>20</x:v>
      </x:c>
      <x:c r="X14" t="str">
        <x:f t="shared" si="6"/>
        <x:v>OK</x:v>
      </x:c>
      <x:c r="Y14" t="str">
        <x:f t="shared" si="7"/>
        <x:v>OK</x:v>
      </x:c>
      <x:c r="Z14" t="str">
        <x:f t="shared" si="8">IF(A14="","",IF(AND(S14="OK",T14="OK",U14="OK",V14="OK",X14="OK",Y14="OK",AB14="OK",AD14="OK",AF14="OK"),"OK","CHECK"))</x:f>
        <x:v>OK</x:v>
      </x:c>
      <x:c r="AA14" t="str">
        <x:v>PLC-PRD-JAR-720-L21</x:v>
      </x:c>
      <x:c r="AB14" t="str">
        <x:v>OK</x:v>
      </x:c>
      <x:c r="AC14" t="str">
        <x:v>M21</x:v>
      </x:c>
      <x:c r="AD14" t="str">
        <x:v>OK</x:v>
      </x:c>
      <x:c r="AE14" t="n">
        <x:v>20</x:v>
      </x:c>
      <x:c r="AF14" t="str">
        <x:v>OK</x:v>
      </x:c>
      <x:c r="AG14"/>
      <x:c r="AH14"/>
      <x:c r="AI14"/>
      <x:c r="AJ14"/>
      <x:c r="AK14" t="str">
        <x:v>02_Supervisor_Log(4).xlsx</x:v>
      </x:c>
      <x:c r="AL14" t="str">
        <x:v>ENH-20260830-01</x:v>
      </x:c>
      <x:c r="AM14" t="str">
        <x:v>Active</x:v>
      </x:c>
      <x:c r="AN14" t="str">
        <x:f>IF(A14="","",IF(Z14="OK","LOAD","QUARANTINE"))</x:f>
        <x:v>LOAD</x:v>
      </x:c>
    </x:row>
    <x:row r="15" ht="18" customHeight="1">
      <x:c r="A15" s="10" t="s">
        <x:v>44</x:v>
      </x:c>
      <x:c r="B15" s="11">
        <x:v>45955</x:v>
      </x:c>
      <x:c r="C15" s="10" t="s">
        <x:v>45</x:v>
      </x:c>
      <x:c r="D15" s="10" t="s">
        <x:v>51</x:v>
      </x:c>
      <x:c r="E15" s="12">
        <x:v>21</x:v>
      </x:c>
      <x:c r="F15" s="10" t="s">
        <x:v>52</x:v>
      </x:c>
      <x:c r="G15" s="10" t="s">
        <x:v>112</x:v>
      </x:c>
      <x:c r="H15" s="12">
        <x:v>10</x:v>
      </x:c>
      <x:c r="I15" s="12">
        <x:v>3</x:v>
      </x:c>
      <x:c r="J15" s="12">
        <x:v>11</x:v>
      </x:c>
      <x:c r="K15" s="13">
        <x:v>19800</x:v>
      </x:c>
      <x:c r="L15" s="14">
        <x:v>6.62</x:v>
      </x:c>
      <x:c r="M15" s="13">
        <x:v>131076</x:v>
      </x:c>
      <x:c r="N15" s="13">
        <x:v>114150</x:v>
      </x:c>
      <x:c r="O15" s="13">
        <x:v>2878</x:v>
      </x:c>
      <x:c r="P15" s="13">
        <x:v>14048</x:v>
      </x:c>
      <x:c r="Q15" t="str">
        <x:f t="shared" si="0"/>
        <x:v>PE-KG01-L21-20251025-AM-ORD-2025-00021</x:v>
      </x:c>
      <x:c r="R15">
        <x:f t="shared" si="1"/>
        <x:v>30</x:v>
      </x:c>
      <x:c r="S15" t="str">
        <x:f t="shared" si="2"/>
        <x:v>OK</x:v>
      </x:c>
      <x:c r="T15" t="str">
        <x:f t="shared" si="3"/>
        <x:v>OK</x:v>
      </x:c>
      <x:c r="U15" t="str">
        <x:f t="shared" si="4"/>
        <x:v>OK</x:v>
      </x:c>
      <x:c r="V15" t="str">
        <x:f t="shared" si="5"/>
        <x:v>OK</x:v>
      </x:c>
      <x:c r="W15" t="n">
        <x:f>IF(Q15="","",SUMIF(ProductionConfiguration!$B$5:$B$914,Q15,ProductionConfiguration!$S$5:$S$914))</x:f>
        <x:v>30</x:v>
      </x:c>
      <x:c r="X15" t="str">
        <x:f t="shared" si="6"/>
        <x:v>OK</x:v>
      </x:c>
      <x:c r="Y15" t="str">
        <x:f t="shared" si="7"/>
        <x:v>OK</x:v>
      </x:c>
      <x:c r="Z15" t="str">
        <x:f t="shared" si="8">IF(A15="","",IF(AND(S15="OK",T15="OK",U15="OK",V15="OK",X15="OK",Y15="OK",AB15="OK",AD15="OK",AF15="OK"),"OK","CHECK"))</x:f>
        <x:v>OK</x:v>
      </x:c>
      <x:c r="AA15" t="str">
        <x:v>PLC-PRD-JAR-330-L21</x:v>
      </x:c>
      <x:c r="AB15" t="str">
        <x:v>OK</x:v>
      </x:c>
      <x:c r="AC15" t="str">
        <x:v>M21</x:v>
      </x:c>
      <x:c r="AD15" t="str">
        <x:v>OK</x:v>
      </x:c>
      <x:c r="AE15" t="n">
        <x:v>30</x:v>
      </x:c>
      <x:c r="AF15" t="str">
        <x:v>OK</x:v>
      </x:c>
      <x:c r="AG15"/>
      <x:c r="AH15"/>
      <x:c r="AI15"/>
      <x:c r="AJ15"/>
      <x:c r="AK15" t="str">
        <x:v>02_Supervisor_Log(4).xlsx</x:v>
      </x:c>
      <x:c r="AL15" t="str">
        <x:v>ENH-20260830-01</x:v>
      </x:c>
      <x:c r="AM15" t="str">
        <x:v>Active</x:v>
      </x:c>
      <x:c r="AN15" t="str">
        <x:f>IF(A15="","",IF(Z15="OK","LOAD","QUARANTINE"))</x:f>
        <x:v>LOAD</x:v>
      </x:c>
    </x:row>
    <x:row r="16" ht="18" customHeight="1">
      <x:c r="A16" s="10" t="s">
        <x:v>44</x:v>
      </x:c>
      <x:c r="B16" s="11">
        <x:v>45955</x:v>
      </x:c>
      <x:c r="C16" s="10" t="s">
        <x:v>187</x:v>
      </x:c>
      <x:c r="D16" s="10" t="s">
        <x:v>55</x:v>
      </x:c>
      <x:c r="E16" s="12">
        <x:v>21</x:v>
      </x:c>
      <x:c r="F16" s="10" t="s">
        <x:v>52</x:v>
      </x:c>
      <x:c r="G16" s="10" t="s">
        <x:v>186</x:v>
      </x:c>
      <x:c r="H16" s="12">
        <x:v>10</x:v>
      </x:c>
      <x:c r="I16" s="12">
        <x:v>3</x:v>
      </x:c>
      <x:c r="J16" s="12">
        <x:v>13</x:v>
      </x:c>
      <x:c r="K16" s="13">
        <x:v>23400</x:v>
      </x:c>
      <x:c r="L16" s="14">
        <x:v>11.64</x:v>
      </x:c>
      <x:c r="M16" s="13">
        <x:v>272376</x:v>
      </x:c>
      <x:c r="N16" s="13">
        <x:v>255880</x:v>
      </x:c>
      <x:c r="O16" s="13">
        <x:v>2961</x:v>
      </x:c>
      <x:c r="P16" s="13">
        <x:v>13535</x:v>
      </x:c>
      <x:c r="Q16" t="str">
        <x:f t="shared" si="0"/>
        <x:v>PE-KG01-L21-20251025-PM-ORD-2025-00021</x:v>
      </x:c>
      <x:c r="R16">
        <x:f t="shared" si="1"/>
        <x:v>30</x:v>
      </x:c>
      <x:c r="S16" t="str">
        <x:f t="shared" si="2"/>
        <x:v>OK</x:v>
      </x:c>
      <x:c r="T16" t="str">
        <x:f t="shared" si="3"/>
        <x:v>OK</x:v>
      </x:c>
      <x:c r="U16" t="str">
        <x:f t="shared" si="4"/>
        <x:v>OK</x:v>
      </x:c>
      <x:c r="V16" t="str">
        <x:f t="shared" si="5"/>
        <x:v>OK</x:v>
      </x:c>
      <x:c r="W16" t="n">
        <x:f>IF(Q16="","",SUMIF(ProductionConfiguration!$B$5:$B$914,Q16,ProductionConfiguration!$S$5:$S$914))</x:f>
        <x:v>30</x:v>
      </x:c>
      <x:c r="X16" t="str">
        <x:f t="shared" si="6"/>
        <x:v>OK</x:v>
      </x:c>
      <x:c r="Y16" t="str">
        <x:f t="shared" si="7"/>
        <x:v>OK</x:v>
      </x:c>
      <x:c r="Z16" t="str">
        <x:f t="shared" si="8">IF(A16="","",IF(AND(S16="OK",T16="OK",U16="OK",V16="OK",X16="OK",Y16="OK",AB16="OK",AD16="OK",AF16="OK"),"OK","CHECK"))</x:f>
        <x:v>OK</x:v>
      </x:c>
      <x:c r="AA16" t="str">
        <x:v>PLC-PRD-JAR-330-L21</x:v>
      </x:c>
      <x:c r="AB16" t="str">
        <x:v>OK</x:v>
      </x:c>
      <x:c r="AC16" t="str">
        <x:v>M21</x:v>
      </x:c>
      <x:c r="AD16" t="str">
        <x:v>OK</x:v>
      </x:c>
      <x:c r="AE16" t="n">
        <x:v>30</x:v>
      </x:c>
      <x:c r="AF16" t="str">
        <x:v>OK</x:v>
      </x:c>
      <x:c r="AG16"/>
      <x:c r="AH16"/>
      <x:c r="AI16"/>
      <x:c r="AJ16"/>
      <x:c r="AK16" t="str">
        <x:v>02_Supervisor_Log(4).xlsx</x:v>
      </x:c>
      <x:c r="AL16" t="str">
        <x:v>ENH-20260830-01</x:v>
      </x:c>
      <x:c r="AM16" t="str">
        <x:v>Active</x:v>
      </x:c>
      <x:c r="AN16" t="str">
        <x:f>IF(A16="","",IF(Z16="OK","LOAD","QUARANTINE"))</x:f>
        <x:v>LOAD</x:v>
      </x:c>
    </x:row>
    <x:row r="17" ht="18" customHeight="1">
      <x:c r="A17" s="10" t="s">
        <x:v>44</x:v>
      </x:c>
      <x:c r="B17" s="11">
        <x:v>45956</x:v>
      </x:c>
      <x:c r="C17" s="10" t="s">
        <x:v>45</x:v>
      </x:c>
      <x:c r="D17" s="10" t="s">
        <x:v>55</x:v>
      </x:c>
      <x:c r="E17" s="12">
        <x:v>21</x:v>
      </x:c>
      <x:c r="F17" s="10" t="s">
        <x:v>52</x:v>
      </x:c>
      <x:c r="G17" s="10" t="s">
        <x:v>186</x:v>
      </x:c>
      <x:c r="H17" s="12">
        <x:v>10</x:v>
      </x:c>
      <x:c r="I17" s="12">
        <x:v>3</x:v>
      </x:c>
      <x:c r="J17" s="12">
        <x:v>13</x:v>
      </x:c>
      <x:c r="K17" s="13">
        <x:v>23400</x:v>
      </x:c>
      <x:c r="L17" s="14">
        <x:v>11.79</x:v>
      </x:c>
      <x:c r="M17" s="13">
        <x:v>275886</x:v>
      </x:c>
      <x:c r="N17" s="13">
        <x:v>261076</x:v>
      </x:c>
      <x:c r="O17" s="13">
        <x:v>1888</x:v>
      </x:c>
      <x:c r="P17" s="13">
        <x:v>12922</x:v>
      </x:c>
      <x:c r="Q17" t="str">
        <x:f t="shared" si="0"/>
        <x:v>PE-KG01-L21-20251026-AM-ORD-2025-00021</x:v>
      </x:c>
      <x:c r="R17">
        <x:f t="shared" si="1"/>
        <x:v>30</x:v>
      </x:c>
      <x:c r="S17" t="str">
        <x:f t="shared" si="2"/>
        <x:v>OK</x:v>
      </x:c>
      <x:c r="T17" t="str">
        <x:f t="shared" si="3"/>
        <x:v>OK</x:v>
      </x:c>
      <x:c r="U17" t="str">
        <x:f t="shared" si="4"/>
        <x:v>OK</x:v>
      </x:c>
      <x:c r="V17" t="str">
        <x:f t="shared" si="5"/>
        <x:v>OK</x:v>
      </x:c>
      <x:c r="W17" t="n">
        <x:f>IF(Q17="","",SUMIF(ProductionConfiguration!$B$5:$B$914,Q17,ProductionConfiguration!$S$5:$S$914))</x:f>
        <x:v>30</x:v>
      </x:c>
      <x:c r="X17" t="str">
        <x:f t="shared" si="6"/>
        <x:v>OK</x:v>
      </x:c>
      <x:c r="Y17" t="str">
        <x:f t="shared" si="7"/>
        <x:v>OK</x:v>
      </x:c>
      <x:c r="Z17" t="str">
        <x:f t="shared" si="8">IF(A17="","",IF(AND(S17="OK",T17="OK",U17="OK",V17="OK",X17="OK",Y17="OK",AB17="OK",AD17="OK",AF17="OK"),"OK","CHECK"))</x:f>
        <x:v>OK</x:v>
      </x:c>
      <x:c r="AA17" t="str">
        <x:v>PLC-PRD-JAR-330-L21</x:v>
      </x:c>
      <x:c r="AB17" t="str">
        <x:v>OK</x:v>
      </x:c>
      <x:c r="AC17" t="str">
        <x:v>M21</x:v>
      </x:c>
      <x:c r="AD17" t="str">
        <x:v>OK</x:v>
      </x:c>
      <x:c r="AE17" t="n">
        <x:v>30</x:v>
      </x:c>
      <x:c r="AF17" t="str">
        <x:v>OK</x:v>
      </x:c>
      <x:c r="AG17"/>
      <x:c r="AH17"/>
      <x:c r="AI17"/>
      <x:c r="AJ17"/>
      <x:c r="AK17" t="str">
        <x:v>02_Supervisor_Log(4).xlsx</x:v>
      </x:c>
      <x:c r="AL17" t="str">
        <x:v>ENH-20260830-01</x:v>
      </x:c>
      <x:c r="AM17" t="str">
        <x:v>Active</x:v>
      </x:c>
      <x:c r="AN17" t="str">
        <x:f>IF(A17="","",IF(Z17="OK","LOAD","QUARANTINE"))</x:f>
        <x:v>LOAD</x:v>
      </x:c>
    </x:row>
    <x:row r="18" ht="18" customHeight="1">
      <x:c r="A18" s="10" t="s">
        <x:v>44</x:v>
      </x:c>
      <x:c r="B18" s="11">
        <x:v>45956</x:v>
      </x:c>
      <x:c r="C18" s="10" t="s">
        <x:v>187</x:v>
      </x:c>
      <x:c r="D18" s="10" t="s">
        <x:v>46</x:v>
      </x:c>
      <x:c r="E18" s="12">
        <x:v>21</x:v>
      </x:c>
      <x:c r="F18" s="10" t="s">
        <x:v>52</x:v>
      </x:c>
      <x:c r="G18" s="10" t="s">
        <x:v>186</x:v>
      </x:c>
      <x:c r="H18" s="12">
        <x:v>10</x:v>
      </x:c>
      <x:c r="I18" s="12">
        <x:v>3</x:v>
      </x:c>
      <x:c r="J18" s="12">
        <x:v>13</x:v>
      </x:c>
      <x:c r="K18" s="13">
        <x:v>23400</x:v>
      </x:c>
      <x:c r="L18" s="14">
        <x:v>11.82</x:v>
      </x:c>
      <x:c r="M18" s="13">
        <x:v>276588</x:v>
      </x:c>
      <x:c r="N18" s="13">
        <x:v>265080</x:v>
      </x:c>
      <x:c r="O18" s="13">
        <x:v>553</x:v>
      </x:c>
      <x:c r="P18" s="13">
        <x:v>10955</x:v>
      </x:c>
      <x:c r="Q18" t="str">
        <x:f t="shared" si="0"/>
        <x:v>PE-KG01-L21-20251026-PM-ORD-2025-00021</x:v>
      </x:c>
      <x:c r="R18">
        <x:f t="shared" si="1"/>
        <x:v>30</x:v>
      </x:c>
      <x:c r="S18" t="str">
        <x:f t="shared" si="2"/>
        <x:v>OK</x:v>
      </x:c>
      <x:c r="T18" t="str">
        <x:f t="shared" si="3"/>
        <x:v>OK</x:v>
      </x:c>
      <x:c r="U18" t="str">
        <x:f t="shared" si="4"/>
        <x:v>OK</x:v>
      </x:c>
      <x:c r="V18" t="str">
        <x:f t="shared" si="5"/>
        <x:v>OK</x:v>
      </x:c>
      <x:c r="W18" t="n">
        <x:f>IF(Q18="","",SUMIF(ProductionConfiguration!$B$5:$B$914,Q18,ProductionConfiguration!$S$5:$S$914))</x:f>
        <x:v>30</x:v>
      </x:c>
      <x:c r="X18" t="str">
        <x:f t="shared" si="6"/>
        <x:v>OK</x:v>
      </x:c>
      <x:c r="Y18" t="str">
        <x:f t="shared" si="7"/>
        <x:v>OK</x:v>
      </x:c>
      <x:c r="Z18" t="str">
        <x:f t="shared" si="8">IF(A18="","",IF(AND(S18="OK",T18="OK",U18="OK",V18="OK",X18="OK",Y18="OK",AB18="OK",AD18="OK",AF18="OK"),"OK","CHECK"))</x:f>
        <x:v>OK</x:v>
      </x:c>
      <x:c r="AA18" t="str">
        <x:v>PLC-PRD-JAR-330-L21</x:v>
      </x:c>
      <x:c r="AB18" t="str">
        <x:v>OK</x:v>
      </x:c>
      <x:c r="AC18" t="str">
        <x:v>M21</x:v>
      </x:c>
      <x:c r="AD18" t="str">
        <x:v>OK</x:v>
      </x:c>
      <x:c r="AE18" t="n">
        <x:v>30</x:v>
      </x:c>
      <x:c r="AF18" t="str">
        <x:v>OK</x:v>
      </x:c>
      <x:c r="AG18"/>
      <x:c r="AH18"/>
      <x:c r="AI18"/>
      <x:c r="AJ18"/>
      <x:c r="AK18" t="str">
        <x:v>02_Supervisor_Log(4).xlsx</x:v>
      </x:c>
      <x:c r="AL18" t="str">
        <x:v>ENH-20260830-01</x:v>
      </x:c>
      <x:c r="AM18" t="str">
        <x:v>Active</x:v>
      </x:c>
      <x:c r="AN18" t="str">
        <x:f>IF(A18="","",IF(Z18="OK","LOAD","QUARANTINE"))</x:f>
        <x:v>LOAD</x:v>
      </x:c>
    </x:row>
    <x:row r="19" ht="18" customHeight="1">
      <x:c r="A19" s="10" t="s">
        <x:v>44</x:v>
      </x:c>
      <x:c r="B19" s="11">
        <x:v>45950</x:v>
      </x:c>
      <x:c r="C19" s="10" t="s">
        <x:v>45</x:v>
      </x:c>
      <x:c r="D19" s="10" t="s">
        <x:v>55</x:v>
      </x:c>
      <x:c r="E19" s="12">
        <x:v>22</x:v>
      </x:c>
      <x:c r="F19" s="10" t="s">
        <x:v>57</x:v>
      </x:c>
      <x:c r="G19" s="10" t="s">
        <x:v>112</x:v>
      </x:c>
      <x:c r="H19" s="12">
        <x:v>10</x:v>
      </x:c>
      <x:c r="I19" s="12">
        <x:v>2</x:v>
      </x:c>
      <x:c r="J19" s="12">
        <x:v>10</x:v>
      </x:c>
      <x:c r="K19" s="13">
        <x:v>12000</x:v>
      </x:c>
      <x:c r="L19" s="14">
        <x:v>2.2400000000000002</x:v>
      </x:c>
      <x:c r="M19" s="13">
        <x:v>26880</x:v>
      </x:c>
      <x:c r="N19" s="13">
        <x:v>23318</x:v>
      </x:c>
      <x:c r="O19" s="13">
        <x:v>538</x:v>
      </x:c>
      <x:c r="P19" s="13">
        <x:v>3024</x:v>
      </x:c>
      <x:c r="Q19" t="str">
        <x:f t="shared" si="0"/>
        <x:v>PE-KG01-L22-20251020-AM-ORD-2025-00056</x:v>
      </x:c>
      <x:c r="R19">
        <x:f t="shared" si="1"/>
        <x:v>20</x:v>
      </x:c>
      <x:c r="S19" t="str">
        <x:f t="shared" si="2"/>
        <x:v>OK</x:v>
      </x:c>
      <x:c r="T19" t="str">
        <x:f t="shared" si="3"/>
        <x:v>OK</x:v>
      </x:c>
      <x:c r="U19" t="str">
        <x:f t="shared" si="4"/>
        <x:v>OK</x:v>
      </x:c>
      <x:c r="V19" t="str">
        <x:f t="shared" si="5"/>
        <x:v>OK</x:v>
      </x:c>
      <x:c r="W19" t="n">
        <x:f>IF(Q19="","",SUMIF(ProductionConfiguration!$B$5:$B$914,Q19,ProductionConfiguration!$S$5:$S$914))</x:f>
        <x:v>20</x:v>
      </x:c>
      <x:c r="X19" t="str">
        <x:f t="shared" si="6"/>
        <x:v>OK</x:v>
      </x:c>
      <x:c r="Y19" t="str">
        <x:f t="shared" si="7"/>
        <x:v>OK</x:v>
      </x:c>
      <x:c r="Z19" t="str">
        <x:f t="shared" si="8">IF(A19="","",IF(AND(S19="OK",T19="OK",U19="OK",V19="OK",X19="OK",Y19="OK",AB19="OK",AD19="OK",AF19="OK"),"OK","CHECK"))</x:f>
        <x:v>OK</x:v>
      </x:c>
      <x:c r="AA19" t="str">
        <x:v>PLC-PRD-JAR-720-L22</x:v>
      </x:c>
      <x:c r="AB19" t="str">
        <x:v>OK</x:v>
      </x:c>
      <x:c r="AC19" t="str">
        <x:v>M22</x:v>
      </x:c>
      <x:c r="AD19" t="str">
        <x:v>OK</x:v>
      </x:c>
      <x:c r="AE19" t="n">
        <x:v>20</x:v>
      </x:c>
      <x:c r="AF19" t="str">
        <x:v>OK</x:v>
      </x:c>
      <x:c r="AG19"/>
      <x:c r="AH19"/>
      <x:c r="AI19"/>
      <x:c r="AJ19"/>
      <x:c r="AK19" t="str">
        <x:v>02_Supervisor_Log(4).xlsx</x:v>
      </x:c>
      <x:c r="AL19" t="str">
        <x:v>ENH-20260830-01</x:v>
      </x:c>
      <x:c r="AM19" t="str">
        <x:v>Active</x:v>
      </x:c>
      <x:c r="AN19" t="str">
        <x:f>IF(A19="","",IF(Z19="OK","LOAD","QUARANTINE"))</x:f>
        <x:v>LOAD</x:v>
      </x:c>
    </x:row>
    <x:row r="20" ht="18" customHeight="1">
      <x:c r="A20" s="10" t="s">
        <x:v>44</x:v>
      </x:c>
      <x:c r="B20" s="11">
        <x:v>45950</x:v>
      </x:c>
      <x:c r="C20" s="10" t="s">
        <x:v>187</x:v>
      </x:c>
      <x:c r="D20" s="10" t="s">
        <x:v>46</x:v>
      </x:c>
      <x:c r="E20" s="12">
        <x:v>22</x:v>
      </x:c>
      <x:c r="F20" s="10" t="s">
        <x:v>57</x:v>
      </x:c>
      <x:c r="G20" s="10" t="s">
        <x:v>186</x:v>
      </x:c>
      <x:c r="H20" s="12">
        <x:v>10</x:v>
      </x:c>
      <x:c r="I20" s="12">
        <x:v>2</x:v>
      </x:c>
      <x:c r="J20" s="12">
        <x:v>11</x:v>
      </x:c>
      <x:c r="K20" s="13">
        <x:v>13200</x:v>
      </x:c>
      <x:c r="L20" s="14">
        <x:v>11.84</x:v>
      </x:c>
      <x:c r="M20" s="13">
        <x:v>156288</x:v>
      </x:c>
      <x:c r="N20" s="13">
        <x:v>145803</x:v>
      </x:c>
      <x:c r="O20" s="13">
        <x:v>1982</x:v>
      </x:c>
      <x:c r="P20" s="13">
        <x:v>8503</x:v>
      </x:c>
      <x:c r="Q20" t="str">
        <x:f t="shared" si="0"/>
        <x:v>PE-KG01-L22-20251020-PM-ORD-2025-00056</x:v>
      </x:c>
      <x:c r="R20">
        <x:f t="shared" si="1"/>
        <x:v>20</x:v>
      </x:c>
      <x:c r="S20" t="str">
        <x:f t="shared" si="2"/>
        <x:v>OK</x:v>
      </x:c>
      <x:c r="T20" t="str">
        <x:f t="shared" si="3"/>
        <x:v>OK</x:v>
      </x:c>
      <x:c r="U20" t="str">
        <x:f t="shared" si="4"/>
        <x:v>OK</x:v>
      </x:c>
      <x:c r="V20" t="str">
        <x:f t="shared" si="5"/>
        <x:v>OK</x:v>
      </x:c>
      <x:c r="W20" t="n">
        <x:f>IF(Q20="","",SUMIF(ProductionConfiguration!$B$5:$B$914,Q20,ProductionConfiguration!$S$5:$S$914))</x:f>
        <x:v>20</x:v>
      </x:c>
      <x:c r="X20" t="str">
        <x:f t="shared" si="6"/>
        <x:v>OK</x:v>
      </x:c>
      <x:c r="Y20" t="str">
        <x:f t="shared" si="7"/>
        <x:v>OK</x:v>
      </x:c>
      <x:c r="Z20" t="str">
        <x:f t="shared" si="8">IF(A20="","",IF(AND(S20="OK",T20="OK",U20="OK",V20="OK",X20="OK",Y20="OK",AB20="OK",AD20="OK",AF20="OK"),"OK","CHECK"))</x:f>
        <x:v>OK</x:v>
      </x:c>
      <x:c r="AA20" t="str">
        <x:v>PLC-PRD-JAR-720-L22</x:v>
      </x:c>
      <x:c r="AB20" t="str">
        <x:v>OK</x:v>
      </x:c>
      <x:c r="AC20" t="str">
        <x:v>M22</x:v>
      </x:c>
      <x:c r="AD20" t="str">
        <x:v>OK</x:v>
      </x:c>
      <x:c r="AE20" t="n">
        <x:v>20</x:v>
      </x:c>
      <x:c r="AF20" t="str">
        <x:v>OK</x:v>
      </x:c>
      <x:c r="AG20"/>
      <x:c r="AH20"/>
      <x:c r="AI20"/>
      <x:c r="AJ20"/>
      <x:c r="AK20" t="str">
        <x:v>02_Supervisor_Log(4).xlsx</x:v>
      </x:c>
      <x:c r="AL20" t="str">
        <x:v>ENH-20260830-01</x:v>
      </x:c>
      <x:c r="AM20" t="str">
        <x:v>Active</x:v>
      </x:c>
      <x:c r="AN20" t="str">
        <x:f>IF(A20="","",IF(Z20="OK","LOAD","QUARANTINE"))</x:f>
        <x:v>LOAD</x:v>
      </x:c>
    </x:row>
    <x:row r="21" ht="18" customHeight="1">
      <x:c r="A21" s="10" t="s">
        <x:v>44</x:v>
      </x:c>
      <x:c r="B21" s="11">
        <x:v>45951</x:v>
      </x:c>
      <x:c r="C21" s="10" t="s">
        <x:v>45</x:v>
      </x:c>
      <x:c r="D21" s="10" t="s">
        <x:v>46</x:v>
      </x:c>
      <x:c r="E21" s="12">
        <x:v>22</x:v>
      </x:c>
      <x:c r="F21" s="10" t="s">
        <x:v>57</x:v>
      </x:c>
      <x:c r="G21" s="10" t="s">
        <x:v>186</x:v>
      </x:c>
      <x:c r="H21" s="12">
        <x:v>10</x:v>
      </x:c>
      <x:c r="I21" s="12">
        <x:v>2</x:v>
      </x:c>
      <x:c r="J21" s="12">
        <x:v>10</x:v>
      </x:c>
      <x:c r="K21" s="13">
        <x:v>12000</x:v>
      </x:c>
      <x:c r="L21" s="14">
        <x:v>11.68</x:v>
      </x:c>
      <x:c r="M21" s="13">
        <x:v>140160</x:v>
      </x:c>
      <x:c r="N21" s="13">
        <x:v>133671</x:v>
      </x:c>
      <x:c r="O21" s="13">
        <x:v>938</x:v>
      </x:c>
      <x:c r="P21" s="13">
        <x:v>5551</x:v>
      </x:c>
      <x:c r="Q21" t="str">
        <x:f t="shared" si="0"/>
        <x:v>PE-KG01-L22-20251021-AM-ORD-2025-00056</x:v>
      </x:c>
      <x:c r="R21">
        <x:f t="shared" si="1"/>
        <x:v>20</x:v>
      </x:c>
      <x:c r="S21" t="str">
        <x:f t="shared" si="2"/>
        <x:v>OK</x:v>
      </x:c>
      <x:c r="T21" t="str">
        <x:f t="shared" si="3"/>
        <x:v>OK</x:v>
      </x:c>
      <x:c r="U21" t="str">
        <x:f t="shared" si="4"/>
        <x:v>OK</x:v>
      </x:c>
      <x:c r="V21" t="str">
        <x:f t="shared" si="5"/>
        <x:v>OK</x:v>
      </x:c>
      <x:c r="W21" t="n">
        <x:f>IF(Q21="","",SUMIF(ProductionConfiguration!$B$5:$B$914,Q21,ProductionConfiguration!$S$5:$S$914))</x:f>
        <x:v>20</x:v>
      </x:c>
      <x:c r="X21" t="str">
        <x:f t="shared" si="6"/>
        <x:v>OK</x:v>
      </x:c>
      <x:c r="Y21" t="str">
        <x:f t="shared" si="7"/>
        <x:v>OK</x:v>
      </x:c>
      <x:c r="Z21" t="str">
        <x:f t="shared" si="8">IF(A21="","",IF(AND(S21="OK",T21="OK",U21="OK",V21="OK",X21="OK",Y21="OK",AB21="OK",AD21="OK",AF21="OK"),"OK","CHECK"))</x:f>
        <x:v>OK</x:v>
      </x:c>
      <x:c r="AA21" t="str">
        <x:v>PLC-PRD-JAR-720-L22</x:v>
      </x:c>
      <x:c r="AB21" t="str">
        <x:v>OK</x:v>
      </x:c>
      <x:c r="AC21" t="str">
        <x:v>M22</x:v>
      </x:c>
      <x:c r="AD21" t="str">
        <x:v>OK</x:v>
      </x:c>
      <x:c r="AE21" t="n">
        <x:v>20</x:v>
      </x:c>
      <x:c r="AF21" t="str">
        <x:v>OK</x:v>
      </x:c>
      <x:c r="AG21"/>
      <x:c r="AH21"/>
      <x:c r="AI21"/>
      <x:c r="AJ21"/>
      <x:c r="AK21" t="str">
        <x:v>02_Supervisor_Log(4).xlsx</x:v>
      </x:c>
      <x:c r="AL21" t="str">
        <x:v>ENH-20260830-01</x:v>
      </x:c>
      <x:c r="AM21" t="str">
        <x:v>Active</x:v>
      </x:c>
      <x:c r="AN21" t="str">
        <x:f>IF(A21="","",IF(Z21="OK","LOAD","QUARANTINE"))</x:f>
        <x:v>LOAD</x:v>
      </x:c>
    </x:row>
    <x:row r="22" ht="18" customHeight="1">
      <x:c r="A22" s="10" t="s">
        <x:v>44</x:v>
      </x:c>
      <x:c r="B22" s="11">
        <x:v>45951</x:v>
      </x:c>
      <x:c r="C22" s="10" t="s">
        <x:v>187</x:v>
      </x:c>
      <x:c r="D22" s="10" t="s">
        <x:v>51</x:v>
      </x:c>
      <x:c r="E22" s="12">
        <x:v>22</x:v>
      </x:c>
      <x:c r="F22" s="10" t="s">
        <x:v>57</x:v>
      </x:c>
      <x:c r="G22" s="10" t="s">
        <x:v>186</x:v>
      </x:c>
      <x:c r="H22" s="12">
        <x:v>10</x:v>
      </x:c>
      <x:c r="I22" s="12">
        <x:v>2</x:v>
      </x:c>
      <x:c r="J22" s="12">
        <x:v>10</x:v>
      </x:c>
      <x:c r="K22" s="13">
        <x:v>12000</x:v>
      </x:c>
      <x:c r="L22" s="14">
        <x:v>11.57</x:v>
      </x:c>
      <x:c r="M22" s="13">
        <x:v>138840</x:v>
      </x:c>
      <x:c r="N22" s="13">
        <x:v>131761</x:v>
      </x:c>
      <x:c r="O22" s="13">
        <x:v>744</x:v>
      </x:c>
      <x:c r="P22" s="13">
        <x:v>6335</x:v>
      </x:c>
      <x:c r="Q22" t="str">
        <x:f t="shared" si="0"/>
        <x:v>PE-KG01-L22-20251021-PM-ORD-2025-00056</x:v>
      </x:c>
      <x:c r="R22">
        <x:f t="shared" si="1"/>
        <x:v>20</x:v>
      </x:c>
      <x:c r="S22" t="str">
        <x:f t="shared" si="2"/>
        <x:v>OK</x:v>
      </x:c>
      <x:c r="T22" t="str">
        <x:f t="shared" si="3"/>
        <x:v>OK</x:v>
      </x:c>
      <x:c r="U22" t="str">
        <x:f t="shared" si="4"/>
        <x:v>OK</x:v>
      </x:c>
      <x:c r="V22" t="str">
        <x:f t="shared" si="5"/>
        <x:v>OK</x:v>
      </x:c>
      <x:c r="W22" t="n">
        <x:f>IF(Q22="","",SUMIF(ProductionConfiguration!$B$5:$B$914,Q22,ProductionConfiguration!$S$5:$S$914))</x:f>
        <x:v>20</x:v>
      </x:c>
      <x:c r="X22" t="str">
        <x:f t="shared" si="6"/>
        <x:v>OK</x:v>
      </x:c>
      <x:c r="Y22" t="str">
        <x:f t="shared" si="7"/>
        <x:v>OK</x:v>
      </x:c>
      <x:c r="Z22" t="str">
        <x:f t="shared" si="8">IF(A22="","",IF(AND(S22="OK",T22="OK",U22="OK",V22="OK",X22="OK",Y22="OK",AB22="OK",AD22="OK",AF22="OK"),"OK","CHECK"))</x:f>
        <x:v>OK</x:v>
      </x:c>
      <x:c r="AA22" t="str">
        <x:v>PLC-PRD-JAR-720-L22</x:v>
      </x:c>
      <x:c r="AB22" t="str">
        <x:v>OK</x:v>
      </x:c>
      <x:c r="AC22" t="str">
        <x:v>M22</x:v>
      </x:c>
      <x:c r="AD22" t="str">
        <x:v>OK</x:v>
      </x:c>
      <x:c r="AE22" t="n">
        <x:v>20</x:v>
      </x:c>
      <x:c r="AF22" t="str">
        <x:v>OK</x:v>
      </x:c>
      <x:c r="AG22"/>
      <x:c r="AH22"/>
      <x:c r="AI22"/>
      <x:c r="AJ22"/>
      <x:c r="AK22" t="str">
        <x:v>02_Supervisor_Log(4).xlsx</x:v>
      </x:c>
      <x:c r="AL22" t="str">
        <x:v>ENH-20260830-01</x:v>
      </x:c>
      <x:c r="AM22" t="str">
        <x:v>Active</x:v>
      </x:c>
      <x:c r="AN22" t="str">
        <x:f>IF(A22="","",IF(Z22="OK","LOAD","QUARANTINE"))</x:f>
        <x:v>LOAD</x:v>
      </x:c>
    </x:row>
    <x:row r="23" ht="18" customHeight="1">
      <x:c r="A23" s="10" t="s">
        <x:v>44</x:v>
      </x:c>
      <x:c r="B23" s="11">
        <x:v>45952</x:v>
      </x:c>
      <x:c r="C23" s="10" t="s">
        <x:v>45</x:v>
      </x:c>
      <x:c r="D23" s="10" t="s">
        <x:v>51</x:v>
      </x:c>
      <x:c r="E23" s="12">
        <x:v>22</x:v>
      </x:c>
      <x:c r="F23" s="10" t="s">
        <x:v>61</x:v>
      </x:c>
      <x:c r="G23" s="10" t="s">
        <x:v>186</x:v>
      </x:c>
      <x:c r="H23" s="12">
        <x:v>10</x:v>
      </x:c>
      <x:c r="I23" s="12">
        <x:v>2</x:v>
      </x:c>
      <x:c r="J23" s="12">
        <x:v>9</x:v>
      </x:c>
      <x:c r="K23" s="13">
        <x:v>10800</x:v>
      </x:c>
      <x:c r="L23" s="14">
        <x:v>11.69</x:v>
      </x:c>
      <x:c r="M23" s="13">
        <x:v>126252</x:v>
      </x:c>
      <x:c r="N23" s="13">
        <x:v>118103</x:v>
      </x:c>
      <x:c r="O23" s="13">
        <x:v>957</x:v>
      </x:c>
      <x:c r="P23" s="13">
        <x:v>7192</x:v>
      </x:c>
      <x:c r="Q23" t="str">
        <x:f t="shared" si="0"/>
        <x:v>PE-KG01-L22-20251022-AM-ORD-2025-00057</x:v>
      </x:c>
      <x:c r="R23">
        <x:f t="shared" si="1"/>
        <x:v>20</x:v>
      </x:c>
      <x:c r="S23" t="str">
        <x:f t="shared" si="2"/>
        <x:v>OK</x:v>
      </x:c>
      <x:c r="T23" t="str">
        <x:f t="shared" si="3"/>
        <x:v>OK</x:v>
      </x:c>
      <x:c r="U23" t="str">
        <x:f t="shared" si="4"/>
        <x:v>OK</x:v>
      </x:c>
      <x:c r="V23" t="str">
        <x:f t="shared" si="5"/>
        <x:v>OK</x:v>
      </x:c>
      <x:c r="W23" t="n">
        <x:f>IF(Q23="","",SUMIF(ProductionConfiguration!$B$5:$B$914,Q23,ProductionConfiguration!$S$5:$S$914))</x:f>
        <x:v>20</x:v>
      </x:c>
      <x:c r="X23" t="str">
        <x:f t="shared" si="6"/>
        <x:v>OK</x:v>
      </x:c>
      <x:c r="Y23" t="str">
        <x:f t="shared" si="7"/>
        <x:v>OK</x:v>
      </x:c>
      <x:c r="Z23" t="str">
        <x:f t="shared" si="8">IF(A23="","",IF(AND(S23="OK",T23="OK",U23="OK",V23="OK",X23="OK",Y23="OK",AB23="OK",AD23="OK",AF23="OK"),"OK","CHECK"))</x:f>
        <x:v>OK</x:v>
      </x:c>
      <x:c r="AA23" t="str">
        <x:v>PLC-PRD-JAR-720-L22</x:v>
      </x:c>
      <x:c r="AB23" t="str">
        <x:v>OK</x:v>
      </x:c>
      <x:c r="AC23" t="str">
        <x:v>M22</x:v>
      </x:c>
      <x:c r="AD23" t="str">
        <x:v>OK</x:v>
      </x:c>
      <x:c r="AE23" t="n">
        <x:v>20</x:v>
      </x:c>
      <x:c r="AF23" t="str">
        <x:v>OK</x:v>
      </x:c>
      <x:c r="AG23"/>
      <x:c r="AH23"/>
      <x:c r="AI23"/>
      <x:c r="AJ23"/>
      <x:c r="AK23" t="str">
        <x:v>02_Supervisor_Log(4).xlsx</x:v>
      </x:c>
      <x:c r="AL23" t="str">
        <x:v>ENH-20260830-01</x:v>
      </x:c>
      <x:c r="AM23" t="str">
        <x:v>Active</x:v>
      </x:c>
      <x:c r="AN23" t="str">
        <x:f>IF(A23="","",IF(Z23="OK","LOAD","QUARANTINE"))</x:f>
        <x:v>LOAD</x:v>
      </x:c>
    </x:row>
    <x:row r="24" ht="18" customHeight="1">
      <x:c r="A24" s="10" t="s">
        <x:v>44</x:v>
      </x:c>
      <x:c r="B24" s="11">
        <x:v>45952</x:v>
      </x:c>
      <x:c r="C24" s="10" t="s">
        <x:v>187</x:v>
      </x:c>
      <x:c r="D24" s="10" t="s">
        <x:v>55</x:v>
      </x:c>
      <x:c r="E24" s="12">
        <x:v>22</x:v>
      </x:c>
      <x:c r="F24" s="10" t="s">
        <x:v>61</x:v>
      </x:c>
      <x:c r="G24" s="10" t="s">
        <x:v>186</x:v>
      </x:c>
      <x:c r="H24" s="12">
        <x:v>10</x:v>
      </x:c>
      <x:c r="I24" s="12">
        <x:v>2</x:v>
      </x:c>
      <x:c r="J24" s="12">
        <x:v>10</x:v>
      </x:c>
      <x:c r="K24" s="13">
        <x:v>12000</x:v>
      </x:c>
      <x:c r="L24" s="14">
        <x:v>11.56</x:v>
      </x:c>
      <x:c r="M24" s="13">
        <x:v>138720</x:v>
      </x:c>
      <x:c r="N24" s="13">
        <x:v>132396</x:v>
      </x:c>
      <x:c r="O24" s="13">
        <x:v>949</x:v>
      </x:c>
      <x:c r="P24" s="13">
        <x:v>5375</x:v>
      </x:c>
      <x:c r="Q24" t="str">
        <x:f t="shared" si="0"/>
        <x:v>PE-KG01-L22-20251022-PM-ORD-2025-00057</x:v>
      </x:c>
      <x:c r="R24">
        <x:f t="shared" si="1"/>
        <x:v>20</x:v>
      </x:c>
      <x:c r="S24" t="str">
        <x:f t="shared" si="2"/>
        <x:v>OK</x:v>
      </x:c>
      <x:c r="T24" t="str">
        <x:f t="shared" si="3"/>
        <x:v>OK</x:v>
      </x:c>
      <x:c r="U24" t="str">
        <x:f t="shared" si="4"/>
        <x:v>OK</x:v>
      </x:c>
      <x:c r="V24" t="str">
        <x:f t="shared" si="5"/>
        <x:v>OK</x:v>
      </x:c>
      <x:c r="W24" t="n">
        <x:f>IF(Q24="","",SUMIF(ProductionConfiguration!$B$5:$B$914,Q24,ProductionConfiguration!$S$5:$S$914))</x:f>
        <x:v>20</x:v>
      </x:c>
      <x:c r="X24" t="str">
        <x:f t="shared" si="6"/>
        <x:v>OK</x:v>
      </x:c>
      <x:c r="Y24" t="str">
        <x:f t="shared" si="7"/>
        <x:v>OK</x:v>
      </x:c>
      <x:c r="Z24" t="str">
        <x:f t="shared" si="8">IF(A24="","",IF(AND(S24="OK",T24="OK",U24="OK",V24="OK",X24="OK",Y24="OK",AB24="OK",AD24="OK",AF24="OK"),"OK","CHECK"))</x:f>
        <x:v>OK</x:v>
      </x:c>
      <x:c r="AA24" t="str">
        <x:v>PLC-PRD-JAR-720-L22</x:v>
      </x:c>
      <x:c r="AB24" t="str">
        <x:v>OK</x:v>
      </x:c>
      <x:c r="AC24" t="str">
        <x:v>M22</x:v>
      </x:c>
      <x:c r="AD24" t="str">
        <x:v>OK</x:v>
      </x:c>
      <x:c r="AE24" t="n">
        <x:v>20</x:v>
      </x:c>
      <x:c r="AF24" t="str">
        <x:v>OK</x:v>
      </x:c>
      <x:c r="AG24"/>
      <x:c r="AH24"/>
      <x:c r="AI24"/>
      <x:c r="AJ24"/>
      <x:c r="AK24" t="str">
        <x:v>02_Supervisor_Log(4).xlsx</x:v>
      </x:c>
      <x:c r="AL24" t="str">
        <x:v>ENH-20260830-01</x:v>
      </x:c>
      <x:c r="AM24" t="str">
        <x:v>Active</x:v>
      </x:c>
      <x:c r="AN24" t="str">
        <x:f>IF(A24="","",IF(Z24="OK","LOAD","QUARANTINE"))</x:f>
        <x:v>LOAD</x:v>
      </x:c>
    </x:row>
    <x:row r="25" ht="18" customHeight="1">
      <x:c r="A25" s="10" t="s">
        <x:v>44</x:v>
      </x:c>
      <x:c r="B25" s="11">
        <x:v>45953</x:v>
      </x:c>
      <x:c r="C25" s="10" t="s">
        <x:v>45</x:v>
      </x:c>
      <x:c r="D25" s="10" t="s">
        <x:v>55</x:v>
      </x:c>
      <x:c r="E25" s="12">
        <x:v>22</x:v>
      </x:c>
      <x:c r="F25" s="10" t="s">
        <x:v>61</x:v>
      </x:c>
      <x:c r="G25" s="10" t="s">
        <x:v>186</x:v>
      </x:c>
      <x:c r="H25" s="12">
        <x:v>10</x:v>
      </x:c>
      <x:c r="I25" s="12">
        <x:v>2</x:v>
      </x:c>
      <x:c r="J25" s="12">
        <x:v>10</x:v>
      </x:c>
      <x:c r="K25" s="13">
        <x:v>12000</x:v>
      </x:c>
      <x:c r="L25" s="14">
        <x:v>11.7</x:v>
      </x:c>
      <x:c r="M25" s="13">
        <x:v>140400</x:v>
      </x:c>
      <x:c r="N25" s="13">
        <x:v>131376</x:v>
      </x:c>
      <x:c r="O25" s="13">
        <x:v>2097</x:v>
      </x:c>
      <x:c r="P25" s="13">
        <x:v>6927</x:v>
      </x:c>
      <x:c r="Q25" t="str">
        <x:f t="shared" si="0"/>
        <x:v>PE-KG01-L22-20251023-AM-ORD-2025-00057</x:v>
      </x:c>
      <x:c r="R25">
        <x:f t="shared" si="1"/>
        <x:v>20</x:v>
      </x:c>
      <x:c r="S25" t="str">
        <x:f t="shared" si="2"/>
        <x:v>OK</x:v>
      </x:c>
      <x:c r="T25" t="str">
        <x:f t="shared" si="3"/>
        <x:v>OK</x:v>
      </x:c>
      <x:c r="U25" t="str">
        <x:f t="shared" si="4"/>
        <x:v>OK</x:v>
      </x:c>
      <x:c r="V25" t="str">
        <x:f t="shared" si="5"/>
        <x:v>OK</x:v>
      </x:c>
      <x:c r="W25" t="n">
        <x:f>IF(Q25="","",SUMIF(ProductionConfiguration!$B$5:$B$914,Q25,ProductionConfiguration!$S$5:$S$914))</x:f>
        <x:v>20</x:v>
      </x:c>
      <x:c r="X25" t="str">
        <x:f t="shared" si="6"/>
        <x:v>OK</x:v>
      </x:c>
      <x:c r="Y25" t="str">
        <x:f t="shared" si="7"/>
        <x:v>OK</x:v>
      </x:c>
      <x:c r="Z25" t="str">
        <x:f t="shared" si="8">IF(A25="","",IF(AND(S25="OK",T25="OK",U25="OK",V25="OK",X25="OK",Y25="OK",AB25="OK",AD25="OK",AF25="OK"),"OK","CHECK"))</x:f>
        <x:v>OK</x:v>
      </x:c>
      <x:c r="AA25" t="str">
        <x:v>PLC-PRD-JAR-720-L22</x:v>
      </x:c>
      <x:c r="AB25" t="str">
        <x:v>OK</x:v>
      </x:c>
      <x:c r="AC25" t="str">
        <x:v>M22</x:v>
      </x:c>
      <x:c r="AD25" t="str">
        <x:v>OK</x:v>
      </x:c>
      <x:c r="AE25" t="n">
        <x:v>20</x:v>
      </x:c>
      <x:c r="AF25" t="str">
        <x:v>OK</x:v>
      </x:c>
      <x:c r="AG25"/>
      <x:c r="AH25"/>
      <x:c r="AI25"/>
      <x:c r="AJ25"/>
      <x:c r="AK25" t="str">
        <x:v>02_Supervisor_Log(4).xlsx</x:v>
      </x:c>
      <x:c r="AL25" t="str">
        <x:v>ENH-20260830-01</x:v>
      </x:c>
      <x:c r="AM25" t="str">
        <x:v>Active</x:v>
      </x:c>
      <x:c r="AN25" t="str">
        <x:f>IF(A25="","",IF(Z25="OK","LOAD","QUARANTINE"))</x:f>
        <x:v>LOAD</x:v>
      </x:c>
    </x:row>
    <x:row r="26" ht="18" customHeight="1">
      <x:c r="A26" s="10" t="s">
        <x:v>44</x:v>
      </x:c>
      <x:c r="B26" s="11">
        <x:v>45953</x:v>
      </x:c>
      <x:c r="C26" s="10" t="s">
        <x:v>187</x:v>
      </x:c>
      <x:c r="D26" s="10" t="s">
        <x:v>46</x:v>
      </x:c>
      <x:c r="E26" s="12">
        <x:v>22</x:v>
      </x:c>
      <x:c r="F26" s="10" t="s">
        <x:v>61</x:v>
      </x:c>
      <x:c r="G26" s="10" t="s">
        <x:v>186</x:v>
      </x:c>
      <x:c r="H26" s="12">
        <x:v>10</x:v>
      </x:c>
      <x:c r="I26" s="12">
        <x:v>2</x:v>
      </x:c>
      <x:c r="J26" s="12">
        <x:v>10</x:v>
      </x:c>
      <x:c r="K26" s="13">
        <x:v>12000</x:v>
      </x:c>
      <x:c r="L26" s="14">
        <x:v>11.77</x:v>
      </x:c>
      <x:c r="M26" s="13">
        <x:v>141240</x:v>
      </x:c>
      <x:c r="N26" s="13">
        <x:v>132228</x:v>
      </x:c>
      <x:c r="O26" s="13">
        <x:v>992</x:v>
      </x:c>
      <x:c r="P26" s="13">
        <x:v>8020</x:v>
      </x:c>
      <x:c r="Q26" t="str">
        <x:f t="shared" si="0"/>
        <x:v>PE-KG01-L22-20251023-PM-ORD-2025-00057</x:v>
      </x:c>
      <x:c r="R26">
        <x:f t="shared" si="1"/>
        <x:v>20</x:v>
      </x:c>
      <x:c r="S26" t="str">
        <x:f t="shared" si="2"/>
        <x:v>OK</x:v>
      </x:c>
      <x:c r="T26" t="str">
        <x:f t="shared" si="3"/>
        <x:v>OK</x:v>
      </x:c>
      <x:c r="U26" t="str">
        <x:f t="shared" si="4"/>
        <x:v>OK</x:v>
      </x:c>
      <x:c r="V26" t="str">
        <x:f t="shared" si="5"/>
        <x:v>OK</x:v>
      </x:c>
      <x:c r="W26" t="n">
        <x:f>IF(Q26="","",SUMIF(ProductionConfiguration!$B$5:$B$914,Q26,ProductionConfiguration!$S$5:$S$914))</x:f>
        <x:v>20</x:v>
      </x:c>
      <x:c r="X26" t="str">
        <x:f t="shared" si="6"/>
        <x:v>OK</x:v>
      </x:c>
      <x:c r="Y26" t="str">
        <x:f t="shared" si="7"/>
        <x:v>OK</x:v>
      </x:c>
      <x:c r="Z26" t="str">
        <x:f t="shared" si="8">IF(A26="","",IF(AND(S26="OK",T26="OK",U26="OK",V26="OK",X26="OK",Y26="OK",AB26="OK",AD26="OK",AF26="OK"),"OK","CHECK"))</x:f>
        <x:v>OK</x:v>
      </x:c>
      <x:c r="AA26" t="str">
        <x:v>PLC-PRD-JAR-720-L22</x:v>
      </x:c>
      <x:c r="AB26" t="str">
        <x:v>OK</x:v>
      </x:c>
      <x:c r="AC26" t="str">
        <x:v>M22</x:v>
      </x:c>
      <x:c r="AD26" t="str">
        <x:v>OK</x:v>
      </x:c>
      <x:c r="AE26" t="n">
        <x:v>20</x:v>
      </x:c>
      <x:c r="AF26" t="str">
        <x:v>OK</x:v>
      </x:c>
      <x:c r="AG26"/>
      <x:c r="AH26"/>
      <x:c r="AI26"/>
      <x:c r="AJ26"/>
      <x:c r="AK26" t="str">
        <x:v>02_Supervisor_Log(4).xlsx</x:v>
      </x:c>
      <x:c r="AL26" t="str">
        <x:v>ENH-20260830-01</x:v>
      </x:c>
      <x:c r="AM26" t="str">
        <x:v>Active</x:v>
      </x:c>
      <x:c r="AN26" t="str">
        <x:f>IF(A26="","",IF(Z26="OK","LOAD","QUARANTINE"))</x:f>
        <x:v>LOAD</x:v>
      </x:c>
    </x:row>
    <x:row r="27" ht="18" customHeight="1">
      <x:c r="A27" s="10" t="s">
        <x:v>44</x:v>
      </x:c>
      <x:c r="B27" s="11">
        <x:v>45954</x:v>
      </x:c>
      <x:c r="C27" s="10" t="s">
        <x:v>45</x:v>
      </x:c>
      <x:c r="D27" s="10" t="s">
        <x:v>46</x:v>
      </x:c>
      <x:c r="E27" s="12">
        <x:v>22</x:v>
      </x:c>
      <x:c r="F27" s="10" t="s">
        <x:v>61</x:v>
      </x:c>
      <x:c r="G27" s="10" t="s">
        <x:v>186</x:v>
      </x:c>
      <x:c r="H27" s="12">
        <x:v>10</x:v>
      </x:c>
      <x:c r="I27" s="12">
        <x:v>2</x:v>
      </x:c>
      <x:c r="J27" s="12">
        <x:v>10</x:v>
      </x:c>
      <x:c r="K27" s="13">
        <x:v>12000</x:v>
      </x:c>
      <x:c r="L27" s="14">
        <x:v>11.75</x:v>
      </x:c>
      <x:c r="M27" s="13">
        <x:v>141000</x:v>
      </x:c>
      <x:c r="N27" s="13">
        <x:v>134393</x:v>
      </x:c>
      <x:c r="O27" s="13">
        <x:v>1515</x:v>
      </x:c>
      <x:c r="P27" s="13">
        <x:v>5092</x:v>
      </x:c>
      <x:c r="Q27" t="str">
        <x:f t="shared" si="0"/>
        <x:v>PE-KG01-L22-20251024-AM-ORD-2025-00057</x:v>
      </x:c>
      <x:c r="R27">
        <x:f t="shared" si="1"/>
        <x:v>20</x:v>
      </x:c>
      <x:c r="S27" t="str">
        <x:f t="shared" si="2"/>
        <x:v>OK</x:v>
      </x:c>
      <x:c r="T27" t="str">
        <x:f t="shared" si="3"/>
        <x:v>OK</x:v>
      </x:c>
      <x:c r="U27" t="str">
        <x:f t="shared" si="4"/>
        <x:v>OK</x:v>
      </x:c>
      <x:c r="V27" t="str">
        <x:f t="shared" si="5"/>
        <x:v>OK</x:v>
      </x:c>
      <x:c r="W27" t="n">
        <x:f>IF(Q27="","",SUMIF(ProductionConfiguration!$B$5:$B$914,Q27,ProductionConfiguration!$S$5:$S$914))</x:f>
        <x:v>20</x:v>
      </x:c>
      <x:c r="X27" t="str">
        <x:f t="shared" si="6"/>
        <x:v>OK</x:v>
      </x:c>
      <x:c r="Y27" t="str">
        <x:f t="shared" si="7"/>
        <x:v>OK</x:v>
      </x:c>
      <x:c r="Z27" t="str">
        <x:f t="shared" si="8">IF(A27="","",IF(AND(S27="OK",T27="OK",U27="OK",V27="OK",X27="OK",Y27="OK",AB27="OK",AD27="OK",AF27="OK"),"OK","CHECK"))</x:f>
        <x:v>OK</x:v>
      </x:c>
      <x:c r="AA27" t="str">
        <x:v>PLC-PRD-JAR-720-L22</x:v>
      </x:c>
      <x:c r="AB27" t="str">
        <x:v>OK</x:v>
      </x:c>
      <x:c r="AC27" t="str">
        <x:v>M22</x:v>
      </x:c>
      <x:c r="AD27" t="str">
        <x:v>OK</x:v>
      </x:c>
      <x:c r="AE27" t="n">
        <x:v>20</x:v>
      </x:c>
      <x:c r="AF27" t="str">
        <x:v>OK</x:v>
      </x:c>
      <x:c r="AG27"/>
      <x:c r="AH27"/>
      <x:c r="AI27"/>
      <x:c r="AJ27"/>
      <x:c r="AK27" t="str">
        <x:v>02_Supervisor_Log(4).xlsx</x:v>
      </x:c>
      <x:c r="AL27" t="str">
        <x:v>ENH-20260830-01</x:v>
      </x:c>
      <x:c r="AM27" t="str">
        <x:v>Active</x:v>
      </x:c>
      <x:c r="AN27" t="str">
        <x:f>IF(A27="","",IF(Z27="OK","LOAD","QUARANTINE"))</x:f>
        <x:v>LOAD</x:v>
      </x:c>
    </x:row>
    <x:row r="28" ht="18" customHeight="1">
      <x:c r="A28" s="10" t="s">
        <x:v>44</x:v>
      </x:c>
      <x:c r="B28" s="11">
        <x:v>45954</x:v>
      </x:c>
      <x:c r="C28" s="10" t="s">
        <x:v>187</x:v>
      </x:c>
      <x:c r="D28" s="10" t="s">
        <x:v>51</x:v>
      </x:c>
      <x:c r="E28" s="12">
        <x:v>22</x:v>
      </x:c>
      <x:c r="F28" s="10" t="s">
        <x:v>61</x:v>
      </x:c>
      <x:c r="G28" s="10" t="s">
        <x:v>186</x:v>
      </x:c>
      <x:c r="H28" s="12">
        <x:v>10</x:v>
      </x:c>
      <x:c r="I28" s="12">
        <x:v>2</x:v>
      </x:c>
      <x:c r="J28" s="12">
        <x:v>9</x:v>
      </x:c>
      <x:c r="K28" s="13">
        <x:v>10800</x:v>
      </x:c>
      <x:c r="L28" s="14">
        <x:v>11.67</x:v>
      </x:c>
      <x:c r="M28" s="13">
        <x:v>126036</x:v>
      </x:c>
      <x:c r="N28" s="13">
        <x:v>120197</x:v>
      </x:c>
      <x:c r="O28" s="13">
        <x:v>530</x:v>
      </x:c>
      <x:c r="P28" s="13">
        <x:v>5309</x:v>
      </x:c>
      <x:c r="Q28" t="str">
        <x:f t="shared" si="0"/>
        <x:v>PE-KG01-L22-20251024-PM-ORD-2025-00057</x:v>
      </x:c>
      <x:c r="R28">
        <x:f t="shared" si="1"/>
        <x:v>20</x:v>
      </x:c>
      <x:c r="S28" t="str">
        <x:f t="shared" si="2"/>
        <x:v>OK</x:v>
      </x:c>
      <x:c r="T28" t="str">
        <x:f t="shared" si="3"/>
        <x:v>OK</x:v>
      </x:c>
      <x:c r="U28" t="str">
        <x:f t="shared" si="4"/>
        <x:v>OK</x:v>
      </x:c>
      <x:c r="V28" t="str">
        <x:f t="shared" si="5"/>
        <x:v>OK</x:v>
      </x:c>
      <x:c r="W28" t="n">
        <x:f>IF(Q28="","",SUMIF(ProductionConfiguration!$B$5:$B$914,Q28,ProductionConfiguration!$S$5:$S$914))</x:f>
        <x:v>20</x:v>
      </x:c>
      <x:c r="X28" t="str">
        <x:f t="shared" si="6"/>
        <x:v>OK</x:v>
      </x:c>
      <x:c r="Y28" t="str">
        <x:f t="shared" si="7"/>
        <x:v>OK</x:v>
      </x:c>
      <x:c r="Z28" t="str">
        <x:f t="shared" si="8">IF(A28="","",IF(AND(S28="OK",T28="OK",U28="OK",V28="OK",X28="OK",Y28="OK",AB28="OK",AD28="OK",AF28="OK"),"OK","CHECK"))</x:f>
        <x:v>OK</x:v>
      </x:c>
      <x:c r="AA28" t="str">
        <x:v>PLC-PRD-JAR-720-L22</x:v>
      </x:c>
      <x:c r="AB28" t="str">
        <x:v>OK</x:v>
      </x:c>
      <x:c r="AC28" t="str">
        <x:v>M22</x:v>
      </x:c>
      <x:c r="AD28" t="str">
        <x:v>OK</x:v>
      </x:c>
      <x:c r="AE28" t="n">
        <x:v>20</x:v>
      </x:c>
      <x:c r="AF28" t="str">
        <x:v>OK</x:v>
      </x:c>
      <x:c r="AG28"/>
      <x:c r="AH28"/>
      <x:c r="AI28"/>
      <x:c r="AJ28"/>
      <x:c r="AK28" t="str">
        <x:v>02_Supervisor_Log(4).xlsx</x:v>
      </x:c>
      <x:c r="AL28" t="str">
        <x:v>ENH-20260830-01</x:v>
      </x:c>
      <x:c r="AM28" t="str">
        <x:v>Active</x:v>
      </x:c>
      <x:c r="AN28" t="str">
        <x:f>IF(A28="","",IF(Z28="OK","LOAD","QUARANTINE"))</x:f>
        <x:v>LOAD</x:v>
      </x:c>
    </x:row>
    <x:row r="29" ht="18" customHeight="1">
      <x:c r="A29" s="10" t="s">
        <x:v>44</x:v>
      </x:c>
      <x:c r="B29" s="11">
        <x:v>45955</x:v>
      </x:c>
      <x:c r="C29" s="10" t="s">
        <x:v>45</x:v>
      </x:c>
      <x:c r="D29" s="10" t="s">
        <x:v>51</x:v>
      </x:c>
      <x:c r="E29" s="12">
        <x:v>22</x:v>
      </x:c>
      <x:c r="F29" s="10" t="s">
        <x:v>61</x:v>
      </x:c>
      <x:c r="G29" s="10" t="s">
        <x:v>186</x:v>
      </x:c>
      <x:c r="H29" s="12">
        <x:v>10</x:v>
      </x:c>
      <x:c r="I29" s="12">
        <x:v>2</x:v>
      </x:c>
      <x:c r="J29" s="12">
        <x:v>10</x:v>
      </x:c>
      <x:c r="K29" s="13">
        <x:v>12000</x:v>
      </x:c>
      <x:c r="L29" s="14">
        <x:v>11.85</x:v>
      </x:c>
      <x:c r="M29" s="13">
        <x:v>142200</x:v>
      </x:c>
      <x:c r="N29" s="13">
        <x:v>134803</x:v>
      </x:c>
      <x:c r="O29" s="13">
        <x:v>1209</x:v>
      </x:c>
      <x:c r="P29" s="13">
        <x:v>6188</x:v>
      </x:c>
      <x:c r="Q29" t="str">
        <x:f t="shared" si="0"/>
        <x:v>PE-KG01-L22-20251025-AM-ORD-2025-00057</x:v>
      </x:c>
      <x:c r="R29">
        <x:f t="shared" si="1"/>
        <x:v>20</x:v>
      </x:c>
      <x:c r="S29" t="str">
        <x:f t="shared" si="2"/>
        <x:v>OK</x:v>
      </x:c>
      <x:c r="T29" t="str">
        <x:f t="shared" si="3"/>
        <x:v>OK</x:v>
      </x:c>
      <x:c r="U29" t="str">
        <x:f t="shared" si="4"/>
        <x:v>OK</x:v>
      </x:c>
      <x:c r="V29" t="str">
        <x:f t="shared" si="5"/>
        <x:v>OK</x:v>
      </x:c>
      <x:c r="W29" t="n">
        <x:f>IF(Q29="","",SUMIF(ProductionConfiguration!$B$5:$B$914,Q29,ProductionConfiguration!$S$5:$S$914))</x:f>
        <x:v>20</x:v>
      </x:c>
      <x:c r="X29" t="str">
        <x:f t="shared" si="6"/>
        <x:v>OK</x:v>
      </x:c>
      <x:c r="Y29" t="str">
        <x:f t="shared" si="7"/>
        <x:v>OK</x:v>
      </x:c>
      <x:c r="Z29" t="str">
        <x:f t="shared" si="8">IF(A29="","",IF(AND(S29="OK",T29="OK",U29="OK",V29="OK",X29="OK",Y29="OK",AB29="OK",AD29="OK",AF29="OK"),"OK","CHECK"))</x:f>
        <x:v>OK</x:v>
      </x:c>
      <x:c r="AA29" t="str">
        <x:v>PLC-PRD-JAR-720-L22</x:v>
      </x:c>
      <x:c r="AB29" t="str">
        <x:v>OK</x:v>
      </x:c>
      <x:c r="AC29" t="str">
        <x:v>M22</x:v>
      </x:c>
      <x:c r="AD29" t="str">
        <x:v>OK</x:v>
      </x:c>
      <x:c r="AE29" t="n">
        <x:v>20</x:v>
      </x:c>
      <x:c r="AF29" t="str">
        <x:v>OK</x:v>
      </x:c>
      <x:c r="AG29"/>
      <x:c r="AH29"/>
      <x:c r="AI29"/>
      <x:c r="AJ29"/>
      <x:c r="AK29" t="str">
        <x:v>02_Supervisor_Log(4).xlsx</x:v>
      </x:c>
      <x:c r="AL29" t="str">
        <x:v>ENH-20260830-01</x:v>
      </x:c>
      <x:c r="AM29" t="str">
        <x:v>Active</x:v>
      </x:c>
      <x:c r="AN29" t="str">
        <x:f>IF(A29="","",IF(Z29="OK","LOAD","QUARANTINE"))</x:f>
        <x:v>LOAD</x:v>
      </x:c>
    </x:row>
    <x:row r="30" ht="18" customHeight="1">
      <x:c r="A30" s="10" t="s">
        <x:v>44</x:v>
      </x:c>
      <x:c r="B30" s="11">
        <x:v>45955</x:v>
      </x:c>
      <x:c r="C30" s="10" t="s">
        <x:v>187</x:v>
      </x:c>
      <x:c r="D30" s="10" t="s">
        <x:v>55</x:v>
      </x:c>
      <x:c r="E30" s="12">
        <x:v>22</x:v>
      </x:c>
      <x:c r="F30" s="10" t="s">
        <x:v>61</x:v>
      </x:c>
      <x:c r="G30" s="10" t="s">
        <x:v>186</x:v>
      </x:c>
      <x:c r="H30" s="12">
        <x:v>10</x:v>
      </x:c>
      <x:c r="I30" s="12">
        <x:v>2</x:v>
      </x:c>
      <x:c r="J30" s="12">
        <x:v>11</x:v>
      </x:c>
      <x:c r="K30" s="13">
        <x:v>13200</x:v>
      </x:c>
      <x:c r="L30" s="14">
        <x:v>11.79</x:v>
      </x:c>
      <x:c r="M30" s="13">
        <x:v>155628</x:v>
      </x:c>
      <x:c r="N30" s="13">
        <x:v>148447</x:v>
      </x:c>
      <x:c r="O30" s="13">
        <x:v>1436</x:v>
      </x:c>
      <x:c r="P30" s="13">
        <x:v>5745</x:v>
      </x:c>
      <x:c r="Q30" t="str">
        <x:f t="shared" si="0"/>
        <x:v>PE-KG01-L22-20251025-PM-ORD-2025-00057</x:v>
      </x:c>
      <x:c r="R30">
        <x:f t="shared" si="1"/>
        <x:v>20</x:v>
      </x:c>
      <x:c r="S30" t="str">
        <x:f t="shared" si="2"/>
        <x:v>OK</x:v>
      </x:c>
      <x:c r="T30" t="str">
        <x:f t="shared" si="3"/>
        <x:v>OK</x:v>
      </x:c>
      <x:c r="U30" t="str">
        <x:f t="shared" si="4"/>
        <x:v>OK</x:v>
      </x:c>
      <x:c r="V30" t="str">
        <x:f t="shared" si="5"/>
        <x:v>OK</x:v>
      </x:c>
      <x:c r="W30" t="n">
        <x:f>IF(Q30="","",SUMIF(ProductionConfiguration!$B$5:$B$914,Q30,ProductionConfiguration!$S$5:$S$914))</x:f>
        <x:v>20</x:v>
      </x:c>
      <x:c r="X30" t="str">
        <x:f t="shared" si="6"/>
        <x:v>OK</x:v>
      </x:c>
      <x:c r="Y30" t="str">
        <x:f t="shared" si="7"/>
        <x:v>OK</x:v>
      </x:c>
      <x:c r="Z30" t="str">
        <x:f t="shared" si="8">IF(A30="","",IF(AND(S30="OK",T30="OK",U30="OK",V30="OK",X30="OK",Y30="OK",AB30="OK",AD30="OK",AF30="OK"),"OK","CHECK"))</x:f>
        <x:v>OK</x:v>
      </x:c>
      <x:c r="AA30" t="str">
        <x:v>PLC-PRD-JAR-720-L22</x:v>
      </x:c>
      <x:c r="AB30" t="str">
        <x:v>OK</x:v>
      </x:c>
      <x:c r="AC30" t="str">
        <x:v>M22</x:v>
      </x:c>
      <x:c r="AD30" t="str">
        <x:v>OK</x:v>
      </x:c>
      <x:c r="AE30" t="n">
        <x:v>20</x:v>
      </x:c>
      <x:c r="AF30" t="str">
        <x:v>OK</x:v>
      </x:c>
      <x:c r="AG30"/>
      <x:c r="AH30"/>
      <x:c r="AI30"/>
      <x:c r="AJ30"/>
      <x:c r="AK30" t="str">
        <x:v>02_Supervisor_Log(4).xlsx</x:v>
      </x:c>
      <x:c r="AL30" t="str">
        <x:v>ENH-20260830-01</x:v>
      </x:c>
      <x:c r="AM30" t="str">
        <x:v>Active</x:v>
      </x:c>
      <x:c r="AN30" t="str">
        <x:f>IF(A30="","",IF(Z30="OK","LOAD","QUARANTINE"))</x:f>
        <x:v>LOAD</x:v>
      </x:c>
    </x:row>
    <x:row r="31" ht="18" customHeight="1">
      <x:c r="A31" s="10" t="s">
        <x:v>44</x:v>
      </x:c>
      <x:c r="B31" s="11">
        <x:v>45956</x:v>
      </x:c>
      <x:c r="C31" s="10" t="s">
        <x:v>45</x:v>
      </x:c>
      <x:c r="D31" s="10" t="s">
        <x:v>55</x:v>
      </x:c>
      <x:c r="E31" s="12">
        <x:v>22</x:v>
      </x:c>
      <x:c r="F31" s="10" t="s">
        <x:v>62</x:v>
      </x:c>
      <x:c r="G31" s="10" t="s">
        <x:v>112</x:v>
      </x:c>
      <x:c r="H31" s="12">
        <x:v>10</x:v>
      </x:c>
      <x:c r="I31" s="12">
        <x:v>4</x:v>
      </x:c>
      <x:c r="J31" s="12">
        <x:v>14</x:v>
      </x:c>
      <x:c r="K31" s="13">
        <x:v>33600</x:v>
      </x:c>
      <x:c r="L31" s="14">
        <x:v>3.11</x:v>
      </x:c>
      <x:c r="M31" s="13">
        <x:v>104496</x:v>
      </x:c>
      <x:c r="N31" s="13">
        <x:v>85016</x:v>
      </x:c>
      <x:c r="O31" s="13">
        <x:v>3901</x:v>
      </x:c>
      <x:c r="P31" s="13">
        <x:v>15579</x:v>
      </x:c>
      <x:c r="Q31" t="str">
        <x:f t="shared" si="0"/>
        <x:v>PE-KG01-L22-20251026-AM-ORD-2025-00058</x:v>
      </x:c>
      <x:c r="R31">
        <x:f t="shared" si="1"/>
        <x:v>40</x:v>
      </x:c>
      <x:c r="S31" t="str">
        <x:f t="shared" si="2"/>
        <x:v>CHECK</x:v>
      </x:c>
      <x:c r="T31" t="str">
        <x:f t="shared" si="3"/>
        <x:v>OK</x:v>
      </x:c>
      <x:c r="U31" t="str">
        <x:f t="shared" si="4"/>
        <x:v>OK</x:v>
      </x:c>
      <x:c r="V31" t="str">
        <x:f t="shared" si="5"/>
        <x:v>OK</x:v>
      </x:c>
      <x:c r="W31" t="n">
        <x:f>IF(Q31="","",SUMIF(ProductionConfiguration!$B$5:$B$914,Q31,ProductionConfiguration!$S$5:$S$914))</x:f>
        <x:v>30</x:v>
      </x:c>
      <x:c r="X31" t="str">
        <x:f t="shared" si="6"/>
        <x:v>CHECK</x:v>
      </x:c>
      <x:c r="Y31" t="str">
        <x:f t="shared" si="7"/>
        <x:v>OK</x:v>
      </x:c>
      <x:c r="Z31" t="str">
        <x:f t="shared" si="8">IF(A31="","",IF(AND(S31="OK",T31="OK",U31="OK",V31="OK",X31="OK",Y31="OK",AB31="OK",AD31="OK",AF31="OK"),"OK","CHECK"))</x:f>
        <x:v>CHECK</x:v>
      </x:c>
      <x:c r="AA31" t="str">
        <x:v>PLC-PRD-BOT-500-L22</x:v>
      </x:c>
      <x:c r="AB31" t="str">
        <x:v>CHECK</x:v>
      </x:c>
      <x:c r="AC31" t="str">
        <x:v>M22</x:v>
      </x:c>
      <x:c r="AD31" t="str">
        <x:v>CHECK</x:v>
      </x:c>
      <x:c r="AE31" t="n">
        <x:v>30</x:v>
      </x:c>
      <x:c r="AF31" t="str">
        <x:v>CHECK</x:v>
      </x:c>
      <x:c r="AG31"/>
      <x:c r="AH31"/>
      <x:c r="AI31"/>
      <x:c r="AJ31"/>
      <x:c r="AK31" t="str">
        <x:v>02_Supervisor_Log(4).xlsx</x:v>
      </x:c>
      <x:c r="AL31" t="str">
        <x:v>ENH-20260830-01</x:v>
      </x:c>
      <x:c r="AM31" t="str">
        <x:v>Active</x:v>
      </x:c>
      <x:c r="AN31" t="str">
        <x:f>IF(A31="","",IF(Z31="OK","LOAD","QUARANTINE"))</x:f>
        <x:v>QUARANTINE</x:v>
      </x:c>
    </x:row>
    <x:row r="32" ht="18" customHeight="1">
      <x:c r="A32" s="10" t="s">
        <x:v>44</x:v>
      </x:c>
      <x:c r="B32" s="11">
        <x:v>45956</x:v>
      </x:c>
      <x:c r="C32" s="10" t="s">
        <x:v>187</x:v>
      </x:c>
      <x:c r="D32" s="10" t="s">
        <x:v>46</x:v>
      </x:c>
      <x:c r="E32" s="12">
        <x:v>22</x:v>
      </x:c>
      <x:c r="F32" s="10" t="s">
        <x:v>62</x:v>
      </x:c>
      <x:c r="G32" s="10" t="s">
        <x:v>186</x:v>
      </x:c>
      <x:c r="H32" s="12">
        <x:v>10</x:v>
      </x:c>
      <x:c r="I32" s="12">
        <x:v>4</x:v>
      </x:c>
      <x:c r="J32" s="12">
        <x:v>12</x:v>
      </x:c>
      <x:c r="K32" s="13">
        <x:v>28800</x:v>
      </x:c>
      <x:c r="L32" s="14">
        <x:v>11.77</x:v>
      </x:c>
      <x:c r="M32" s="13">
        <x:v>338976</x:v>
      </x:c>
      <x:c r="N32" s="13">
        <x:v>323477</x:v>
      </x:c>
      <x:c r="O32" s="13">
        <x:v>7094</x:v>
      </x:c>
      <x:c r="P32" s="13">
        <x:v>8405</x:v>
      </x:c>
      <x:c r="Q32" t="str">
        <x:f t="shared" si="0"/>
        <x:v>PE-KG01-L22-20251026-PM-ORD-2025-00058</x:v>
      </x:c>
      <x:c r="R32">
        <x:f t="shared" si="1"/>
        <x:v>40</x:v>
      </x:c>
      <x:c r="S32" t="str">
        <x:f t="shared" si="2"/>
        <x:v>CHECK</x:v>
      </x:c>
      <x:c r="T32" t="str">
        <x:f t="shared" si="3"/>
        <x:v>OK</x:v>
      </x:c>
      <x:c r="U32" t="str">
        <x:f t="shared" si="4"/>
        <x:v>OK</x:v>
      </x:c>
      <x:c r="V32" t="str">
        <x:f t="shared" si="5"/>
        <x:v>OK</x:v>
      </x:c>
      <x:c r="W32" t="n">
        <x:f>IF(Q32="","",SUMIF(ProductionConfiguration!$B$5:$B$914,Q32,ProductionConfiguration!$S$5:$S$914))</x:f>
        <x:v>30</x:v>
      </x:c>
      <x:c r="X32" t="str">
        <x:f t="shared" si="6"/>
        <x:v>CHECK</x:v>
      </x:c>
      <x:c r="Y32" t="str">
        <x:f t="shared" si="7"/>
        <x:v>OK</x:v>
      </x:c>
      <x:c r="Z32" t="str">
        <x:f t="shared" si="8">IF(A32="","",IF(AND(S32="OK",T32="OK",U32="OK",V32="OK",X32="OK",Y32="OK",AB32="OK",AD32="OK",AF32="OK"),"OK","CHECK"))</x:f>
        <x:v>CHECK</x:v>
      </x:c>
      <x:c r="AA32" t="str">
        <x:v>PLC-PRD-BOT-500-L22</x:v>
      </x:c>
      <x:c r="AB32" t="str">
        <x:v>CHECK</x:v>
      </x:c>
      <x:c r="AC32" t="str">
        <x:v>M22</x:v>
      </x:c>
      <x:c r="AD32" t="str">
        <x:v>CHECK</x:v>
      </x:c>
      <x:c r="AE32" t="n">
        <x:v>30</x:v>
      </x:c>
      <x:c r="AF32" t="str">
        <x:v>CHECK</x:v>
      </x:c>
      <x:c r="AG32"/>
      <x:c r="AH32"/>
      <x:c r="AI32"/>
      <x:c r="AJ32"/>
      <x:c r="AK32" t="str">
        <x:v>02_Supervisor_Log(4).xlsx</x:v>
      </x:c>
      <x:c r="AL32" t="str">
        <x:v>ENH-20260830-01</x:v>
      </x:c>
      <x:c r="AM32" t="str">
        <x:v>Active</x:v>
      </x:c>
      <x:c r="AN32" t="str">
        <x:f>IF(A32="","",IF(Z32="OK","LOAD","QUARANTINE"))</x:f>
        <x:v>QUARANTINE</x:v>
      </x:c>
    </x:row>
    <x:row r="33" ht="18" customHeight="1">
      <x:c r="A33" s="10" t="s">
        <x:v>44</x:v>
      </x:c>
      <x:c r="B33" s="11">
        <x:v>45950</x:v>
      </x:c>
      <x:c r="C33" s="10" t="s">
        <x:v>45</x:v>
      </x:c>
      <x:c r="D33" s="10" t="s">
        <x:v>55</x:v>
      </x:c>
      <x:c r="E33" s="12">
        <x:v>23</x:v>
      </x:c>
      <x:c r="F33" s="10" t="s">
        <x:v>64</x:v>
      </x:c>
      <x:c r="G33" s="10" t="s">
        <x:v>186</x:v>
      </x:c>
      <x:c r="H33" s="12">
        <x:v>12</x:v>
      </x:c>
      <x:c r="I33" s="12">
        <x:v>3</x:v>
      </x:c>
      <x:c r="J33" s="12">
        <x:v>11</x:v>
      </x:c>
      <x:c r="K33" s="13">
        <x:v>23760</x:v>
      </x:c>
      <x:c r="L33" s="14">
        <x:v>11.72</x:v>
      </x:c>
      <x:c r="M33" s="13">
        <x:v>278467</x:v>
      </x:c>
      <x:c r="N33" s="13">
        <x:v>254485</x:v>
      </x:c>
      <x:c r="O33" s="13">
        <x:v>5704</x:v>
      </x:c>
      <x:c r="P33" s="13">
        <x:v>18278</x:v>
      </x:c>
      <x:c r="Q33" t="str">
        <x:f t="shared" si="0"/>
        <x:v>PE-KG01-L23-20251020-AM-ORD-2025-00092</x:v>
      </x:c>
      <x:c r="R33">
        <x:f t="shared" si="1"/>
        <x:v>36</x:v>
      </x:c>
      <x:c r="S33" t="str">
        <x:f t="shared" si="2"/>
        <x:v>OK</x:v>
      </x:c>
      <x:c r="T33" t="str">
        <x:f t="shared" si="3"/>
        <x:v>OK</x:v>
      </x:c>
      <x:c r="U33" t="str">
        <x:f t="shared" si="4"/>
        <x:v>OK</x:v>
      </x:c>
      <x:c r="V33" t="str">
        <x:f t="shared" si="5"/>
        <x:v>OK</x:v>
      </x:c>
      <x:c r="W33" t="n">
        <x:f>IF(Q33="","",SUMIF(ProductionConfiguration!$B$5:$B$914,Q33,ProductionConfiguration!$S$5:$S$914))</x:f>
        <x:v>36</x:v>
      </x:c>
      <x:c r="X33" t="str">
        <x:f t="shared" si="6"/>
        <x:v>OK</x:v>
      </x:c>
      <x:c r="Y33" t="str">
        <x:f t="shared" si="7"/>
        <x:v>OK</x:v>
      </x:c>
      <x:c r="Z33" t="str">
        <x:f t="shared" si="8">IF(A33="","",IF(AND(S33="OK",T33="OK",U33="OK",V33="OK",X33="OK",Y33="OK",AB33="OK",AD33="OK",AF33="OK"),"OK","CHECK"))</x:f>
        <x:v>OK</x:v>
      </x:c>
      <x:c r="AA33" t="str">
        <x:v>PLC-PRD-JAR-330-L23</x:v>
      </x:c>
      <x:c r="AB33" t="str">
        <x:v>OK</x:v>
      </x:c>
      <x:c r="AC33" t="str">
        <x:v>M23</x:v>
      </x:c>
      <x:c r="AD33" t="str">
        <x:v>OK</x:v>
      </x:c>
      <x:c r="AE33" t="n">
        <x:v>36</x:v>
      </x:c>
      <x:c r="AF33" t="str">
        <x:v>OK</x:v>
      </x:c>
      <x:c r="AG33"/>
      <x:c r="AH33"/>
      <x:c r="AI33"/>
      <x:c r="AJ33"/>
      <x:c r="AK33" t="str">
        <x:v>02_Supervisor_Log(4).xlsx</x:v>
      </x:c>
      <x:c r="AL33" t="str">
        <x:v>ENH-20260830-01</x:v>
      </x:c>
      <x:c r="AM33" t="str">
        <x:v>Active</x:v>
      </x:c>
      <x:c r="AN33" t="str">
        <x:f>IF(A33="","",IF(Z33="OK","LOAD","QUARANTINE"))</x:f>
        <x:v>LOAD</x:v>
      </x:c>
    </x:row>
    <x:row r="34" ht="18" customHeight="1">
      <x:c r="A34" s="10" t="s">
        <x:v>44</x:v>
      </x:c>
      <x:c r="B34" s="11">
        <x:v>45950</x:v>
      </x:c>
      <x:c r="C34" s="10" t="s">
        <x:v>187</x:v>
      </x:c>
      <x:c r="D34" s="10" t="s">
        <x:v>46</x:v>
      </x:c>
      <x:c r="E34" s="12">
        <x:v>23</x:v>
      </x:c>
      <x:c r="F34" s="10" t="s">
        <x:v>64</x:v>
      </x:c>
      <x:c r="G34" s="10" t="s">
        <x:v>186</x:v>
      </x:c>
      <x:c r="H34" s="12">
        <x:v>12</x:v>
      </x:c>
      <x:c r="I34" s="12">
        <x:v>3</x:v>
      </x:c>
      <x:c r="J34" s="12">
        <x:v>11</x:v>
      </x:c>
      <x:c r="K34" s="13">
        <x:v>23760</x:v>
      </x:c>
      <x:c r="L34" s="14">
        <x:v>11.76</x:v>
      </x:c>
      <x:c r="M34" s="13">
        <x:v>279418</x:v>
      </x:c>
      <x:c r="N34" s="13">
        <x:v>261773</x:v>
      </x:c>
      <x:c r="O34" s="13">
        <x:v>2249</x:v>
      </x:c>
      <x:c r="P34" s="13">
        <x:v>15396</x:v>
      </x:c>
      <x:c r="Q34" t="str">
        <x:f t="shared" si="0"/>
        <x:v>PE-KG01-L23-20251020-PM-ORD-2025-00092</x:v>
      </x:c>
      <x:c r="R34">
        <x:f t="shared" si="1"/>
        <x:v>36</x:v>
      </x:c>
      <x:c r="S34" t="str">
        <x:f t="shared" si="2"/>
        <x:v>OK</x:v>
      </x:c>
      <x:c r="T34" t="str">
        <x:f t="shared" si="3"/>
        <x:v>OK</x:v>
      </x:c>
      <x:c r="U34" t="str">
        <x:f t="shared" si="4"/>
        <x:v>OK</x:v>
      </x:c>
      <x:c r="V34" t="str">
        <x:f t="shared" si="5"/>
        <x:v>OK</x:v>
      </x:c>
      <x:c r="W34" t="n">
        <x:f>IF(Q34="","",SUMIF(ProductionConfiguration!$B$5:$B$914,Q34,ProductionConfiguration!$S$5:$S$914))</x:f>
        <x:v>36</x:v>
      </x:c>
      <x:c r="X34" t="str">
        <x:f t="shared" si="6"/>
        <x:v>OK</x:v>
      </x:c>
      <x:c r="Y34" t="str">
        <x:f t="shared" si="7"/>
        <x:v>OK</x:v>
      </x:c>
      <x:c r="Z34" t="str">
        <x:f t="shared" si="8">IF(A34="","",IF(AND(S34="OK",T34="OK",U34="OK",V34="OK",X34="OK",Y34="OK",AB34="OK",AD34="OK",AF34="OK"),"OK","CHECK"))</x:f>
        <x:v>OK</x:v>
      </x:c>
      <x:c r="AA34" t="str">
        <x:v>PLC-PRD-JAR-330-L23</x:v>
      </x:c>
      <x:c r="AB34" t="str">
        <x:v>OK</x:v>
      </x:c>
      <x:c r="AC34" t="str">
        <x:v>M23</x:v>
      </x:c>
      <x:c r="AD34" t="str">
        <x:v>OK</x:v>
      </x:c>
      <x:c r="AE34" t="n">
        <x:v>36</x:v>
      </x:c>
      <x:c r="AF34" t="str">
        <x:v>OK</x:v>
      </x:c>
      <x:c r="AG34"/>
      <x:c r="AH34"/>
      <x:c r="AI34"/>
      <x:c r="AJ34"/>
      <x:c r="AK34" t="str">
        <x:v>02_Supervisor_Log(4).xlsx</x:v>
      </x:c>
      <x:c r="AL34" t="str">
        <x:v>ENH-20260830-01</x:v>
      </x:c>
      <x:c r="AM34" t="str">
        <x:v>Active</x:v>
      </x:c>
      <x:c r="AN34" t="str">
        <x:f>IF(A34="","",IF(Z34="OK","LOAD","QUARANTINE"))</x:f>
        <x:v>LOAD</x:v>
      </x:c>
    </x:row>
    <x:row r="35" ht="18" customHeight="1">
      <x:c r="A35" s="10" t="s">
        <x:v>44</x:v>
      </x:c>
      <x:c r="B35" s="11">
        <x:v>45951</x:v>
      </x:c>
      <x:c r="C35" s="10" t="s">
        <x:v>45</x:v>
      </x:c>
      <x:c r="D35" s="10" t="s">
        <x:v>46</x:v>
      </x:c>
      <x:c r="E35" s="12">
        <x:v>23</x:v>
      </x:c>
      <x:c r="F35" s="10" t="s">
        <x:v>64</x:v>
      </x:c>
      <x:c r="G35" s="10" t="s">
        <x:v>186</x:v>
      </x:c>
      <x:c r="H35" s="12">
        <x:v>12</x:v>
      </x:c>
      <x:c r="I35" s="12">
        <x:v>3</x:v>
      </x:c>
      <x:c r="J35" s="12">
        <x:v>13</x:v>
      </x:c>
      <x:c r="K35" s="13">
        <x:v>28080</x:v>
      </x:c>
      <x:c r="L35" s="14">
        <x:v>11.54</x:v>
      </x:c>
      <x:c r="M35" s="13">
        <x:v>324043</x:v>
      </x:c>
      <x:c r="N35" s="13">
        <x:v>302269</x:v>
      </x:c>
      <x:c r="O35" s="13">
        <x:v>4074</x:v>
      </x:c>
      <x:c r="P35" s="13">
        <x:v>17700</x:v>
      </x:c>
      <x:c r="Q35" t="str">
        <x:f t="shared" si="0"/>
        <x:v>PE-KG01-L23-20251021-AM-ORD-2025-00092</x:v>
      </x:c>
      <x:c r="R35">
        <x:f t="shared" si="1"/>
        <x:v>36</x:v>
      </x:c>
      <x:c r="S35" t="str">
        <x:f t="shared" si="2"/>
        <x:v>OK</x:v>
      </x:c>
      <x:c r="T35" t="str">
        <x:f t="shared" si="3"/>
        <x:v>OK</x:v>
      </x:c>
      <x:c r="U35" t="str">
        <x:f t="shared" si="4"/>
        <x:v>OK</x:v>
      </x:c>
      <x:c r="V35" t="str">
        <x:f t="shared" si="5"/>
        <x:v>OK</x:v>
      </x:c>
      <x:c r="W35" t="n">
        <x:f>IF(Q35="","",SUMIF(ProductionConfiguration!$B$5:$B$914,Q35,ProductionConfiguration!$S$5:$S$914))</x:f>
        <x:v>36</x:v>
      </x:c>
      <x:c r="X35" t="str">
        <x:f t="shared" si="6"/>
        <x:v>OK</x:v>
      </x:c>
      <x:c r="Y35" t="str">
        <x:f t="shared" si="7"/>
        <x:v>OK</x:v>
      </x:c>
      <x:c r="Z35" t="str">
        <x:f t="shared" si="8">IF(A35="","",IF(AND(S35="OK",T35="OK",U35="OK",V35="OK",X35="OK",Y35="OK",AB35="OK",AD35="OK",AF35="OK"),"OK","CHECK"))</x:f>
        <x:v>OK</x:v>
      </x:c>
      <x:c r="AA35" t="str">
        <x:v>PLC-PRD-JAR-330-L23</x:v>
      </x:c>
      <x:c r="AB35" t="str">
        <x:v>OK</x:v>
      </x:c>
      <x:c r="AC35" t="str">
        <x:v>M23</x:v>
      </x:c>
      <x:c r="AD35" t="str">
        <x:v>OK</x:v>
      </x:c>
      <x:c r="AE35" t="n">
        <x:v>36</x:v>
      </x:c>
      <x:c r="AF35" t="str">
        <x:v>OK</x:v>
      </x:c>
      <x:c r="AG35"/>
      <x:c r="AH35"/>
      <x:c r="AI35"/>
      <x:c r="AJ35"/>
      <x:c r="AK35" t="str">
        <x:v>02_Supervisor_Log(4).xlsx</x:v>
      </x:c>
      <x:c r="AL35" t="str">
        <x:v>ENH-20260830-01</x:v>
      </x:c>
      <x:c r="AM35" t="str">
        <x:v>Active</x:v>
      </x:c>
      <x:c r="AN35" t="str">
        <x:f>IF(A35="","",IF(Z35="OK","LOAD","QUARANTINE"))</x:f>
        <x:v>LOAD</x:v>
      </x:c>
    </x:row>
    <x:row r="36" ht="18" customHeight="1">
      <x:c r="A36" s="10" t="s">
        <x:v>44</x:v>
      </x:c>
      <x:c r="B36" s="11">
        <x:v>45951</x:v>
      </x:c>
      <x:c r="C36" s="10" t="s">
        <x:v>187</x:v>
      </x:c>
      <x:c r="D36" s="10" t="s">
        <x:v>51</x:v>
      </x:c>
      <x:c r="E36" s="12">
        <x:v>23</x:v>
      </x:c>
      <x:c r="F36" s="10" t="s">
        <x:v>64</x:v>
      </x:c>
      <x:c r="G36" s="10" t="s">
        <x:v>186</x:v>
      </x:c>
      <x:c r="H36" s="12">
        <x:v>12</x:v>
      </x:c>
      <x:c r="I36" s="12">
        <x:v>3</x:v>
      </x:c>
      <x:c r="J36" s="12">
        <x:v>13</x:v>
      </x:c>
      <x:c r="K36" s="13">
        <x:v>28080</x:v>
      </x:c>
      <x:c r="L36" s="14">
        <x:v>11.55</x:v>
      </x:c>
      <x:c r="M36" s="13">
        <x:v>324324</x:v>
      </x:c>
      <x:c r="N36" s="13">
        <x:v>298076</x:v>
      </x:c>
      <x:c r="O36" s="13">
        <x:v>5731</x:v>
      </x:c>
      <x:c r="P36" s="13">
        <x:v>20517</x:v>
      </x:c>
      <x:c r="Q36" t="str">
        <x:f t="shared" si="0"/>
        <x:v>PE-KG01-L23-20251021-PM-ORD-2025-00092</x:v>
      </x:c>
      <x:c r="R36">
        <x:f t="shared" si="1"/>
        <x:v>36</x:v>
      </x:c>
      <x:c r="S36" t="str">
        <x:f t="shared" si="2"/>
        <x:v>OK</x:v>
      </x:c>
      <x:c r="T36" t="str">
        <x:f t="shared" si="3"/>
        <x:v>OK</x:v>
      </x:c>
      <x:c r="U36" t="str">
        <x:f t="shared" si="4"/>
        <x:v>OK</x:v>
      </x:c>
      <x:c r="V36" t="str">
        <x:f t="shared" si="5"/>
        <x:v>OK</x:v>
      </x:c>
      <x:c r="W36" t="n">
        <x:f>IF(Q36="","",SUMIF(ProductionConfiguration!$B$5:$B$914,Q36,ProductionConfiguration!$S$5:$S$914))</x:f>
        <x:v>36</x:v>
      </x:c>
      <x:c r="X36" t="str">
        <x:f t="shared" si="6"/>
        <x:v>OK</x:v>
      </x:c>
      <x:c r="Y36" t="str">
        <x:f t="shared" si="7"/>
        <x:v>OK</x:v>
      </x:c>
      <x:c r="Z36" t="str">
        <x:f t="shared" si="8">IF(A36="","",IF(AND(S36="OK",T36="OK",U36="OK",V36="OK",X36="OK",Y36="OK",AB36="OK",AD36="OK",AF36="OK"),"OK","CHECK"))</x:f>
        <x:v>OK</x:v>
      </x:c>
      <x:c r="AA36" t="str">
        <x:v>PLC-PRD-JAR-330-L23</x:v>
      </x:c>
      <x:c r="AB36" t="str">
        <x:v>OK</x:v>
      </x:c>
      <x:c r="AC36" t="str">
        <x:v>M23</x:v>
      </x:c>
      <x:c r="AD36" t="str">
        <x:v>OK</x:v>
      </x:c>
      <x:c r="AE36" t="n">
        <x:v>36</x:v>
      </x:c>
      <x:c r="AF36" t="str">
        <x:v>OK</x:v>
      </x:c>
      <x:c r="AG36"/>
      <x:c r="AH36"/>
      <x:c r="AI36"/>
      <x:c r="AJ36"/>
      <x:c r="AK36" t="str">
        <x:v>02_Supervisor_Log(4).xlsx</x:v>
      </x:c>
      <x:c r="AL36" t="str">
        <x:v>ENH-20260830-01</x:v>
      </x:c>
      <x:c r="AM36" t="str">
        <x:v>Active</x:v>
      </x:c>
      <x:c r="AN36" t="str">
        <x:f>IF(A36="","",IF(Z36="OK","LOAD","QUARANTINE"))</x:f>
        <x:v>LOAD</x:v>
      </x:c>
    </x:row>
    <x:row r="37" ht="18" customHeight="1">
      <x:c r="A37" s="10" t="s">
        <x:v>44</x:v>
      </x:c>
      <x:c r="B37" s="11">
        <x:v>45952</x:v>
      </x:c>
      <x:c r="C37" s="10" t="s">
        <x:v>45</x:v>
      </x:c>
      <x:c r="D37" s="10" t="s">
        <x:v>51</x:v>
      </x:c>
      <x:c r="E37" s="12">
        <x:v>23</x:v>
      </x:c>
      <x:c r="F37" s="10" t="s">
        <x:v>65</x:v>
      </x:c>
      <x:c r="G37" s="10" t="s">
        <x:v>186</x:v>
      </x:c>
      <x:c r="H37" s="12">
        <x:v>12</x:v>
      </x:c>
      <x:c r="I37" s="12">
        <x:v>2</x:v>
      </x:c>
      <x:c r="J37" s="12">
        <x:v>9</x:v>
      </x:c>
      <x:c r="K37" s="13">
        <x:v>12960</x:v>
      </x:c>
      <x:c r="L37" s="14">
        <x:v>6.88</x:v>
      </x:c>
      <x:c r="M37" s="13">
        <x:v>89165</x:v>
      </x:c>
      <x:c r="N37" s="13">
        <x:v>83448</x:v>
      </x:c>
      <x:c r="O37" s="13">
        <x:v>822</x:v>
      </x:c>
      <x:c r="P37" s="13">
        <x:v>4895</x:v>
      </x:c>
      <x:c r="Q37" t="str">
        <x:f t="shared" ref="Q37:Q68" si="9">IF(A37="","", "PE-"&amp;A37&amp;"-L"&amp;TEXT(E37,"00")&amp;"-"&amp;TEXT(B37,"yyyymmdd")&amp;"-"&amp;C37&amp;"-"&amp;F37)</x:f>
        <x:v>PE-KG01-L23-20251022-AM-ORD-2025-00093</x:v>
      </x:c>
      <x:c r="R37" t="n">
        <x:f t="shared" ref="R37:R68" si="10">IF(A37="","",H37*I37)</x:f>
        <x:v>24</x:v>
      </x:c>
      <x:c r="S37" t="str">
        <x:f t="shared" ref="S37:S68" si="11">IF(A37="","",IF(AND(H37&gt;=1,H37&lt;=13,I37&gt;=1,I37&lt;=3),"OK","CHECK"))</x:f>
        <x:v>OK</x:v>
      </x:c>
      <x:c r="T37" t="str">
        <x:f t="shared" ref="T37:T68" si="12">IF(A37="","",IF(ABS(K37-(J37*H37*I37*60))&lt;=0.5,"OK","CHECK"))</x:f>
        <x:v>OK</x:v>
      </x:c>
      <x:c r="U37" t="str">
        <x:f t="shared" ref="U37:U68" si="13">IF(A37="","",IF(ABS(M37-(K37*L37))&lt;=1,"OK","CHECK"))</x:f>
        <x:v>OK</x:v>
      </x:c>
      <x:c r="V37" t="str">
        <x:f t="shared" ref="V37:V68" si="14">IF(A37="","",IF(ABS(M37-N37-O37-P37)&lt;=1,"OK","CHECK"))</x:f>
        <x:v>OK</x:v>
      </x:c>
      <x:c r="W37" t="n">
        <x:f>IF(Q37="","",SUMIF(ProductionConfiguration!$B$5:$B$914,Q37,ProductionConfiguration!$S$5:$S$914))</x:f>
        <x:v>24</x:v>
      </x:c>
      <x:c r="X37" t="str">
        <x:f t="shared" ref="X37:X68" si="15">IF(A37="","",IF(R37=W37,"OK","CHECK"))</x:f>
        <x:v>OK</x:v>
      </x:c>
      <x:c r="Y37" t="str">
        <x:f t="shared" ref="Y37:Y68" si="16">IF(Q37="","",IF(COUNTIF($Q$5:$Q$100,Q37)=1,"OK","CHECK"))</x:f>
        <x:v>OK</x:v>
      </x:c>
      <x:c r="Z37" t="str">
        <x:f t="shared" ref="Z37:Z68" si="17">IF(A37="","",IF(AND(S37="OK",T37="OK",U37="OK",V37="OK",X37="OK",Y37="OK",AB37="OK",AD37="OK",AF37="OK"),"OK","CHECK"))</x:f>
        <x:v>OK</x:v>
      </x:c>
      <x:c r="AA37" t="str">
        <x:v>PLC-PRD-JAR-720-L23</x:v>
      </x:c>
      <x:c r="AB37" t="str">
        <x:v>OK</x:v>
      </x:c>
      <x:c r="AC37" t="str">
        <x:v>M23</x:v>
      </x:c>
      <x:c r="AD37" t="str">
        <x:v>OK</x:v>
      </x:c>
      <x:c r="AE37" t="n">
        <x:v>24</x:v>
      </x:c>
      <x:c r="AF37" t="str">
        <x:v>OK</x:v>
      </x:c>
      <x:c r="AG37"/>
      <x:c r="AH37"/>
      <x:c r="AI37"/>
      <x:c r="AJ37"/>
      <x:c r="AK37" t="str">
        <x:v>02_Supervisor_Log(4).xlsx</x:v>
      </x:c>
      <x:c r="AL37" t="str">
        <x:v>ENH-20260830-01</x:v>
      </x:c>
      <x:c r="AM37" t="str">
        <x:v>Active</x:v>
      </x:c>
      <x:c r="AN37" t="str">
        <x:f>IF(A37="","",IF(Z37="OK","LOAD","QUARANTINE"))</x:f>
        <x:v>LOAD</x:v>
      </x:c>
    </x:row>
    <x:row r="38" ht="18" customHeight="1">
      <x:c r="A38" s="10" t="s">
        <x:v>44</x:v>
      </x:c>
      <x:c r="B38" s="11">
        <x:v>45952</x:v>
      </x:c>
      <x:c r="C38" s="10" t="s">
        <x:v>187</x:v>
      </x:c>
      <x:c r="D38" s="10" t="s">
        <x:v>55</x:v>
      </x:c>
      <x:c r="E38" s="12">
        <x:v>23</x:v>
      </x:c>
      <x:c r="F38" s="10" t="s">
        <x:v>65</x:v>
      </x:c>
      <x:c r="G38" s="10" t="s">
        <x:v>186</x:v>
      </x:c>
      <x:c r="H38" s="12">
        <x:v>12</x:v>
      </x:c>
      <x:c r="I38" s="12">
        <x:v>2</x:v>
      </x:c>
      <x:c r="J38" s="12">
        <x:v>10</x:v>
      </x:c>
      <x:c r="K38" s="13">
        <x:v>14400</x:v>
      </x:c>
      <x:c r="L38" s="14">
        <x:v>11.5</x:v>
      </x:c>
      <x:c r="M38" s="13">
        <x:v>165600</x:v>
      </x:c>
      <x:c r="N38" s="13">
        <x:v>152167</x:v>
      </x:c>
      <x:c r="O38" s="13">
        <x:v>3335</x:v>
      </x:c>
      <x:c r="P38" s="13">
        <x:v>10098</x:v>
      </x:c>
      <x:c r="Q38" t="str">
        <x:f t="shared" si="9"/>
        <x:v>PE-KG01-L23-20251022-PM-ORD-2025-00093</x:v>
      </x:c>
      <x:c r="R38">
        <x:f t="shared" si="10"/>
        <x:v>24</x:v>
      </x:c>
      <x:c r="S38" t="str">
        <x:f t="shared" si="11"/>
        <x:v>OK</x:v>
      </x:c>
      <x:c r="T38" t="str">
        <x:f t="shared" si="12"/>
        <x:v>OK</x:v>
      </x:c>
      <x:c r="U38" t="str">
        <x:f t="shared" si="13"/>
        <x:v>OK</x:v>
      </x:c>
      <x:c r="V38" t="str">
        <x:f t="shared" si="14"/>
        <x:v>OK</x:v>
      </x:c>
      <x:c r="W38" t="n">
        <x:f>IF(Q38="","",SUMIF(ProductionConfiguration!$B$5:$B$914,Q38,ProductionConfiguration!$S$5:$S$914))</x:f>
        <x:v>24</x:v>
      </x:c>
      <x:c r="X38" t="str">
        <x:f t="shared" si="15"/>
        <x:v>OK</x:v>
      </x:c>
      <x:c r="Y38" t="str">
        <x:f t="shared" si="16"/>
        <x:v>OK</x:v>
      </x:c>
      <x:c r="Z38" t="str">
        <x:f t="shared" si="17">IF(A38="","",IF(AND(S38="OK",T38="OK",U38="OK",V38="OK",X38="OK",Y38="OK",AB38="OK",AD38="OK",AF38="OK"),"OK","CHECK"))</x:f>
        <x:v>OK</x:v>
      </x:c>
      <x:c r="AA38" t="str">
        <x:v>PLC-PRD-JAR-720-L23</x:v>
      </x:c>
      <x:c r="AB38" t="str">
        <x:v>OK</x:v>
      </x:c>
      <x:c r="AC38" t="str">
        <x:v>M23</x:v>
      </x:c>
      <x:c r="AD38" t="str">
        <x:v>OK</x:v>
      </x:c>
      <x:c r="AE38" t="n">
        <x:v>24</x:v>
      </x:c>
      <x:c r="AF38" t="str">
        <x:v>OK</x:v>
      </x:c>
      <x:c r="AG38"/>
      <x:c r="AH38"/>
      <x:c r="AI38"/>
      <x:c r="AJ38"/>
      <x:c r="AK38" t="str">
        <x:v>02_Supervisor_Log(4).xlsx</x:v>
      </x:c>
      <x:c r="AL38" t="str">
        <x:v>ENH-20260830-01</x:v>
      </x:c>
      <x:c r="AM38" t="str">
        <x:v>Active</x:v>
      </x:c>
      <x:c r="AN38" t="str">
        <x:f>IF(A38="","",IF(Z38="OK","LOAD","QUARANTINE"))</x:f>
        <x:v>LOAD</x:v>
      </x:c>
    </x:row>
    <x:row r="39" ht="18" customHeight="1">
      <x:c r="A39" s="10" t="s">
        <x:v>44</x:v>
      </x:c>
      <x:c r="B39" s="11">
        <x:v>45953</x:v>
      </x:c>
      <x:c r="C39" s="10" t="s">
        <x:v>45</x:v>
      </x:c>
      <x:c r="D39" s="10" t="s">
        <x:v>55</x:v>
      </x:c>
      <x:c r="E39" s="12">
        <x:v>23</x:v>
      </x:c>
      <x:c r="F39" s="10" t="s">
        <x:v>65</x:v>
      </x:c>
      <x:c r="G39" s="10" t="s">
        <x:v>186</x:v>
      </x:c>
      <x:c r="H39" s="12">
        <x:v>12</x:v>
      </x:c>
      <x:c r="I39" s="12">
        <x:v>2</x:v>
      </x:c>
      <x:c r="J39" s="12">
        <x:v>11</x:v>
      </x:c>
      <x:c r="K39" s="13">
        <x:v>15840</x:v>
      </x:c>
      <x:c r="L39" s="14">
        <x:v>11.71</x:v>
      </x:c>
      <x:c r="M39" s="13">
        <x:v>185486</x:v>
      </x:c>
      <x:c r="N39" s="13">
        <x:v>176967</x:v>
      </x:c>
      <x:c r="O39" s="13">
        <x:v>650</x:v>
      </x:c>
      <x:c r="P39" s="13">
        <x:v>7869</x:v>
      </x:c>
      <x:c r="Q39" t="str">
        <x:f t="shared" si="9"/>
        <x:v>PE-KG01-L23-20251023-AM-ORD-2025-00093</x:v>
      </x:c>
      <x:c r="R39">
        <x:f t="shared" si="10"/>
        <x:v>24</x:v>
      </x:c>
      <x:c r="S39" t="str">
        <x:f t="shared" si="11"/>
        <x:v>OK</x:v>
      </x:c>
      <x:c r="T39" t="str">
        <x:f t="shared" si="12"/>
        <x:v>OK</x:v>
      </x:c>
      <x:c r="U39" t="str">
        <x:f t="shared" si="13"/>
        <x:v>OK</x:v>
      </x:c>
      <x:c r="V39" t="str">
        <x:f t="shared" si="14"/>
        <x:v>OK</x:v>
      </x:c>
      <x:c r="W39" t="n">
        <x:f>IF(Q39="","",SUMIF(ProductionConfiguration!$B$5:$B$914,Q39,ProductionConfiguration!$S$5:$S$914))</x:f>
        <x:v>24</x:v>
      </x:c>
      <x:c r="X39" t="str">
        <x:f t="shared" si="15"/>
        <x:v>OK</x:v>
      </x:c>
      <x:c r="Y39" t="str">
        <x:f t="shared" si="16"/>
        <x:v>OK</x:v>
      </x:c>
      <x:c r="Z39" t="str">
        <x:f t="shared" si="17">IF(A39="","",IF(AND(S39="OK",T39="OK",U39="OK",V39="OK",X39="OK",Y39="OK",AB39="OK",AD39="OK",AF39="OK"),"OK","CHECK"))</x:f>
        <x:v>OK</x:v>
      </x:c>
      <x:c r="AA39" t="str">
        <x:v>PLC-PRD-JAR-720-L23</x:v>
      </x:c>
      <x:c r="AB39" t="str">
        <x:v>OK</x:v>
      </x:c>
      <x:c r="AC39" t="str">
        <x:v>M23</x:v>
      </x:c>
      <x:c r="AD39" t="str">
        <x:v>OK</x:v>
      </x:c>
      <x:c r="AE39" t="n">
        <x:v>24</x:v>
      </x:c>
      <x:c r="AF39" t="str">
        <x:v>OK</x:v>
      </x:c>
      <x:c r="AG39"/>
      <x:c r="AH39"/>
      <x:c r="AI39"/>
      <x:c r="AJ39"/>
      <x:c r="AK39" t="str">
        <x:v>02_Supervisor_Log(4).xlsx</x:v>
      </x:c>
      <x:c r="AL39" t="str">
        <x:v>ENH-20260830-01</x:v>
      </x:c>
      <x:c r="AM39" t="str">
        <x:v>Active</x:v>
      </x:c>
      <x:c r="AN39" t="str">
        <x:f>IF(A39="","",IF(Z39="OK","LOAD","QUARANTINE"))</x:f>
        <x:v>LOAD</x:v>
      </x:c>
    </x:row>
    <x:row r="40" ht="18" customHeight="1">
      <x:c r="A40" s="10" t="s">
        <x:v>44</x:v>
      </x:c>
      <x:c r="B40" s="11">
        <x:v>45953</x:v>
      </x:c>
      <x:c r="C40" s="10" t="s">
        <x:v>187</x:v>
      </x:c>
      <x:c r="D40" s="10" t="s">
        <x:v>46</x:v>
      </x:c>
      <x:c r="E40" s="12">
        <x:v>23</x:v>
      </x:c>
      <x:c r="F40" s="10" t="s">
        <x:v>65</x:v>
      </x:c>
      <x:c r="G40" s="10" t="s">
        <x:v>186</x:v>
      </x:c>
      <x:c r="H40" s="12">
        <x:v>12</x:v>
      </x:c>
      <x:c r="I40" s="12">
        <x:v>2</x:v>
      </x:c>
      <x:c r="J40" s="12">
        <x:v>9</x:v>
      </x:c>
      <x:c r="K40" s="13">
        <x:v>12960</x:v>
      </x:c>
      <x:c r="L40" s="14">
        <x:v>11.62</x:v>
      </x:c>
      <x:c r="M40" s="13">
        <x:v>150595</x:v>
      </x:c>
      <x:c r="N40" s="13">
        <x:v>142535</x:v>
      </x:c>
      <x:c r="O40" s="13">
        <x:v>2900</x:v>
      </x:c>
      <x:c r="P40" s="13">
        <x:v>5160</x:v>
      </x:c>
      <x:c r="Q40" t="str">
        <x:f t="shared" si="9"/>
        <x:v>PE-KG01-L23-20251023-PM-ORD-2025-00093</x:v>
      </x:c>
      <x:c r="R40">
        <x:f t="shared" si="10"/>
        <x:v>24</x:v>
      </x:c>
      <x:c r="S40" t="str">
        <x:f t="shared" si="11"/>
        <x:v>OK</x:v>
      </x:c>
      <x:c r="T40" t="str">
        <x:f t="shared" si="12"/>
        <x:v>OK</x:v>
      </x:c>
      <x:c r="U40" t="str">
        <x:f t="shared" si="13"/>
        <x:v>OK</x:v>
      </x:c>
      <x:c r="V40" t="str">
        <x:f t="shared" si="14"/>
        <x:v>OK</x:v>
      </x:c>
      <x:c r="W40" t="n">
        <x:f>IF(Q40="","",SUMIF(ProductionConfiguration!$B$5:$B$914,Q40,ProductionConfiguration!$S$5:$S$914))</x:f>
        <x:v>24</x:v>
      </x:c>
      <x:c r="X40" t="str">
        <x:f t="shared" si="15"/>
        <x:v>OK</x:v>
      </x:c>
      <x:c r="Y40" t="str">
        <x:f t="shared" si="16"/>
        <x:v>OK</x:v>
      </x:c>
      <x:c r="Z40" t="str">
        <x:f t="shared" si="17">IF(A40="","",IF(AND(S40="OK",T40="OK",U40="OK",V40="OK",X40="OK",Y40="OK",AB40="OK",AD40="OK",AF40="OK"),"OK","CHECK"))</x:f>
        <x:v>OK</x:v>
      </x:c>
      <x:c r="AA40" t="str">
        <x:v>PLC-PRD-JAR-720-L23</x:v>
      </x:c>
      <x:c r="AB40" t="str">
        <x:v>OK</x:v>
      </x:c>
      <x:c r="AC40" t="str">
        <x:v>M23</x:v>
      </x:c>
      <x:c r="AD40" t="str">
        <x:v>OK</x:v>
      </x:c>
      <x:c r="AE40" t="n">
        <x:v>24</x:v>
      </x:c>
      <x:c r="AF40" t="str">
        <x:v>OK</x:v>
      </x:c>
      <x:c r="AG40"/>
      <x:c r="AH40"/>
      <x:c r="AI40"/>
      <x:c r="AJ40"/>
      <x:c r="AK40" t="str">
        <x:v>02_Supervisor_Log(4).xlsx</x:v>
      </x:c>
      <x:c r="AL40" t="str">
        <x:v>ENH-20260830-01</x:v>
      </x:c>
      <x:c r="AM40" t="str">
        <x:v>Active</x:v>
      </x:c>
      <x:c r="AN40" t="str">
        <x:f>IF(A40="","",IF(Z40="OK","LOAD","QUARANTINE"))</x:f>
        <x:v>LOAD</x:v>
      </x:c>
    </x:row>
    <x:row r="41" ht="18" customHeight="1">
      <x:c r="A41" s="10" t="s">
        <x:v>44</x:v>
      </x:c>
      <x:c r="B41" s="11">
        <x:v>45954</x:v>
      </x:c>
      <x:c r="C41" s="10" t="s">
        <x:v>45</x:v>
      </x:c>
      <x:c r="D41" s="10" t="s">
        <x:v>46</x:v>
      </x:c>
      <x:c r="E41" s="12">
        <x:v>23</x:v>
      </x:c>
      <x:c r="F41" s="10" t="s">
        <x:v>65</x:v>
      </x:c>
      <x:c r="G41" s="10" t="s">
        <x:v>186</x:v>
      </x:c>
      <x:c r="H41" s="12">
        <x:v>12</x:v>
      </x:c>
      <x:c r="I41" s="12">
        <x:v>2</x:v>
      </x:c>
      <x:c r="J41" s="12">
        <x:v>9</x:v>
      </x:c>
      <x:c r="K41" s="13">
        <x:v>12960</x:v>
      </x:c>
      <x:c r="L41" s="14">
        <x:v>11.48</x:v>
      </x:c>
      <x:c r="M41" s="13">
        <x:v>148781</x:v>
      </x:c>
      <x:c r="N41" s="13">
        <x:v>141422</x:v>
      </x:c>
      <x:c r="O41" s="13">
        <x:v>1705</x:v>
      </x:c>
      <x:c r="P41" s="13">
        <x:v>5654</x:v>
      </x:c>
      <x:c r="Q41" t="str">
        <x:f t="shared" si="9"/>
        <x:v>PE-KG01-L23-20251024-AM-ORD-2025-00093</x:v>
      </x:c>
      <x:c r="R41">
        <x:f t="shared" si="10"/>
        <x:v>24</x:v>
      </x:c>
      <x:c r="S41" t="str">
        <x:f t="shared" si="11"/>
        <x:v>OK</x:v>
      </x:c>
      <x:c r="T41" t="str">
        <x:f t="shared" si="12"/>
        <x:v>OK</x:v>
      </x:c>
      <x:c r="U41" t="str">
        <x:f t="shared" si="13"/>
        <x:v>OK</x:v>
      </x:c>
      <x:c r="V41" t="str">
        <x:f t="shared" si="14"/>
        <x:v>OK</x:v>
      </x:c>
      <x:c r="W41" t="n">
        <x:f>IF(Q41="","",SUMIF(ProductionConfiguration!$B$5:$B$914,Q41,ProductionConfiguration!$S$5:$S$914))</x:f>
        <x:v>24</x:v>
      </x:c>
      <x:c r="X41" t="str">
        <x:f t="shared" si="15"/>
        <x:v>OK</x:v>
      </x:c>
      <x:c r="Y41" t="str">
        <x:f t="shared" si="16"/>
        <x:v>OK</x:v>
      </x:c>
      <x:c r="Z41" t="str">
        <x:f t="shared" si="17">IF(A41="","",IF(AND(S41="OK",T41="OK",U41="OK",V41="OK",X41="OK",Y41="OK",AB41="OK",AD41="OK",AF41="OK"),"OK","CHECK"))</x:f>
        <x:v>OK</x:v>
      </x:c>
      <x:c r="AA41" t="str">
        <x:v>PLC-PRD-JAR-720-L23</x:v>
      </x:c>
      <x:c r="AB41" t="str">
        <x:v>OK</x:v>
      </x:c>
      <x:c r="AC41" t="str">
        <x:v>M23</x:v>
      </x:c>
      <x:c r="AD41" t="str">
        <x:v>OK</x:v>
      </x:c>
      <x:c r="AE41" t="n">
        <x:v>24</x:v>
      </x:c>
      <x:c r="AF41" t="str">
        <x:v>OK</x:v>
      </x:c>
      <x:c r="AG41"/>
      <x:c r="AH41"/>
      <x:c r="AI41"/>
      <x:c r="AJ41"/>
      <x:c r="AK41" t="str">
        <x:v>02_Supervisor_Log(4).xlsx</x:v>
      </x:c>
      <x:c r="AL41" t="str">
        <x:v>ENH-20260830-01</x:v>
      </x:c>
      <x:c r="AM41" t="str">
        <x:v>Active</x:v>
      </x:c>
      <x:c r="AN41" t="str">
        <x:f>IF(A41="","",IF(Z41="OK","LOAD","QUARANTINE"))</x:f>
        <x:v>LOAD</x:v>
      </x:c>
    </x:row>
    <x:row r="42" ht="18" customHeight="1">
      <x:c r="A42" s="10" t="s">
        <x:v>44</x:v>
      </x:c>
      <x:c r="B42" s="11">
        <x:v>45954</x:v>
      </x:c>
      <x:c r="C42" s="10" t="s">
        <x:v>187</x:v>
      </x:c>
      <x:c r="D42" s="10" t="s">
        <x:v>51</x:v>
      </x:c>
      <x:c r="E42" s="12">
        <x:v>23</x:v>
      </x:c>
      <x:c r="F42" s="10" t="s">
        <x:v>65</x:v>
      </x:c>
      <x:c r="G42" s="10" t="s">
        <x:v>186</x:v>
      </x:c>
      <x:c r="H42" s="12">
        <x:v>12</x:v>
      </x:c>
      <x:c r="I42" s="12">
        <x:v>2</x:v>
      </x:c>
      <x:c r="J42" s="12">
        <x:v>11</x:v>
      </x:c>
      <x:c r="K42" s="13">
        <x:v>15840</x:v>
      </x:c>
      <x:c r="L42" s="14">
        <x:v>11.66</x:v>
      </x:c>
      <x:c r="M42" s="13">
        <x:v>184694</x:v>
      </x:c>
      <x:c r="N42" s="13">
        <x:v>177515</x:v>
      </x:c>
      <x:c r="O42" s="13">
        <x:v>1983</x:v>
      </x:c>
      <x:c r="P42" s="13">
        <x:v>5196</x:v>
      </x:c>
      <x:c r="Q42" t="str">
        <x:f t="shared" si="9"/>
        <x:v>PE-KG01-L23-20251024-PM-ORD-2025-00093</x:v>
      </x:c>
      <x:c r="R42">
        <x:f t="shared" si="10"/>
        <x:v>24</x:v>
      </x:c>
      <x:c r="S42" t="str">
        <x:f t="shared" si="11"/>
        <x:v>OK</x:v>
      </x:c>
      <x:c r="T42" t="str">
        <x:f t="shared" si="12"/>
        <x:v>OK</x:v>
      </x:c>
      <x:c r="U42" t="str">
        <x:f t="shared" si="13"/>
        <x:v>OK</x:v>
      </x:c>
      <x:c r="V42" t="str">
        <x:f t="shared" si="14"/>
        <x:v>OK</x:v>
      </x:c>
      <x:c r="W42" t="n">
        <x:f>IF(Q42="","",SUMIF(ProductionConfiguration!$B$5:$B$914,Q42,ProductionConfiguration!$S$5:$S$914))</x:f>
        <x:v>24</x:v>
      </x:c>
      <x:c r="X42" t="str">
        <x:f t="shared" si="15"/>
        <x:v>OK</x:v>
      </x:c>
      <x:c r="Y42" t="str">
        <x:f t="shared" si="16"/>
        <x:v>OK</x:v>
      </x:c>
      <x:c r="Z42" t="str">
        <x:f t="shared" si="17">IF(A42="","",IF(AND(S42="OK",T42="OK",U42="OK",V42="OK",X42="OK",Y42="OK",AB42="OK",AD42="OK",AF42="OK"),"OK","CHECK"))</x:f>
        <x:v>OK</x:v>
      </x:c>
      <x:c r="AA42" t="str">
        <x:v>PLC-PRD-JAR-720-L23</x:v>
      </x:c>
      <x:c r="AB42" t="str">
        <x:v>OK</x:v>
      </x:c>
      <x:c r="AC42" t="str">
        <x:v>M23</x:v>
      </x:c>
      <x:c r="AD42" t="str">
        <x:v>OK</x:v>
      </x:c>
      <x:c r="AE42" t="n">
        <x:v>24</x:v>
      </x:c>
      <x:c r="AF42" t="str">
        <x:v>OK</x:v>
      </x:c>
      <x:c r="AG42"/>
      <x:c r="AH42"/>
      <x:c r="AI42"/>
      <x:c r="AJ42"/>
      <x:c r="AK42" t="str">
        <x:v>02_Supervisor_Log(4).xlsx</x:v>
      </x:c>
      <x:c r="AL42" t="str">
        <x:v>ENH-20260830-01</x:v>
      </x:c>
      <x:c r="AM42" t="str">
        <x:v>Active</x:v>
      </x:c>
      <x:c r="AN42" t="str">
        <x:f>IF(A42="","",IF(Z42="OK","LOAD","QUARANTINE"))</x:f>
        <x:v>LOAD</x:v>
      </x:c>
    </x:row>
    <x:row r="43" ht="18" customHeight="1">
      <x:c r="A43" s="10" t="s">
        <x:v>44</x:v>
      </x:c>
      <x:c r="B43" s="11">
        <x:v>45955</x:v>
      </x:c>
      <x:c r="C43" s="10" t="s">
        <x:v>45</x:v>
      </x:c>
      <x:c r="D43" s="10" t="s">
        <x:v>51</x:v>
      </x:c>
      <x:c r="E43" s="12">
        <x:v>23</x:v>
      </x:c>
      <x:c r="F43" s="10" t="s">
        <x:v>65</x:v>
      </x:c>
      <x:c r="G43" s="10" t="s">
        <x:v>186</x:v>
      </x:c>
      <x:c r="H43" s="12">
        <x:v>12</x:v>
      </x:c>
      <x:c r="I43" s="12">
        <x:v>2</x:v>
      </x:c>
      <x:c r="J43" s="12">
        <x:v>10</x:v>
      </x:c>
      <x:c r="K43" s="13">
        <x:v>14400</x:v>
      </x:c>
      <x:c r="L43" s="14">
        <x:v>11.85</x:v>
      </x:c>
      <x:c r="M43" s="13">
        <x:v>170640</x:v>
      </x:c>
      <x:c r="N43" s="13">
        <x:v>160575</x:v>
      </x:c>
      <x:c r="O43" s="13">
        <x:v>1191</x:v>
      </x:c>
      <x:c r="P43" s="13">
        <x:v>8874</x:v>
      </x:c>
      <x:c r="Q43" t="str">
        <x:f t="shared" si="9"/>
        <x:v>PE-KG01-L23-20251025-AM-ORD-2025-00093</x:v>
      </x:c>
      <x:c r="R43">
        <x:f t="shared" si="10"/>
        <x:v>24</x:v>
      </x:c>
      <x:c r="S43" t="str">
        <x:f t="shared" si="11"/>
        <x:v>OK</x:v>
      </x:c>
      <x:c r="T43" t="str">
        <x:f t="shared" si="12"/>
        <x:v>OK</x:v>
      </x:c>
      <x:c r="U43" t="str">
        <x:f t="shared" si="13"/>
        <x:v>OK</x:v>
      </x:c>
      <x:c r="V43" t="str">
        <x:f t="shared" si="14"/>
        <x:v>OK</x:v>
      </x:c>
      <x:c r="W43" t="n">
        <x:f>IF(Q43="","",SUMIF(ProductionConfiguration!$B$5:$B$914,Q43,ProductionConfiguration!$S$5:$S$914))</x:f>
        <x:v>24</x:v>
      </x:c>
      <x:c r="X43" t="str">
        <x:f t="shared" si="15"/>
        <x:v>OK</x:v>
      </x:c>
      <x:c r="Y43" t="str">
        <x:f t="shared" si="16"/>
        <x:v>OK</x:v>
      </x:c>
      <x:c r="Z43" t="str">
        <x:f t="shared" si="17">IF(A43="","",IF(AND(S43="OK",T43="OK",U43="OK",V43="OK",X43="OK",Y43="OK",AB43="OK",AD43="OK",AF43="OK"),"OK","CHECK"))</x:f>
        <x:v>OK</x:v>
      </x:c>
      <x:c r="AA43" t="str">
        <x:v>PLC-PRD-JAR-720-L23</x:v>
      </x:c>
      <x:c r="AB43" t="str">
        <x:v>OK</x:v>
      </x:c>
      <x:c r="AC43" t="str">
        <x:v>M23</x:v>
      </x:c>
      <x:c r="AD43" t="str">
        <x:v>OK</x:v>
      </x:c>
      <x:c r="AE43" t="n">
        <x:v>24</x:v>
      </x:c>
      <x:c r="AF43" t="str">
        <x:v>OK</x:v>
      </x:c>
      <x:c r="AG43"/>
      <x:c r="AH43"/>
      <x:c r="AI43"/>
      <x:c r="AJ43"/>
      <x:c r="AK43" t="str">
        <x:v>02_Supervisor_Log(4).xlsx</x:v>
      </x:c>
      <x:c r="AL43" t="str">
        <x:v>ENH-20260830-01</x:v>
      </x:c>
      <x:c r="AM43" t="str">
        <x:v>Active</x:v>
      </x:c>
      <x:c r="AN43" t="str">
        <x:f>IF(A43="","",IF(Z43="OK","LOAD","QUARANTINE"))</x:f>
        <x:v>LOAD</x:v>
      </x:c>
    </x:row>
    <x:row r="44" ht="18" customHeight="1">
      <x:c r="A44" s="10" t="s">
        <x:v>44</x:v>
      </x:c>
      <x:c r="B44" s="11">
        <x:v>45955</x:v>
      </x:c>
      <x:c r="C44" s="10" t="s">
        <x:v>187</x:v>
      </x:c>
      <x:c r="D44" s="10" t="s">
        <x:v>55</x:v>
      </x:c>
      <x:c r="E44" s="12">
        <x:v>23</x:v>
      </x:c>
      <x:c r="F44" s="10" t="s">
        <x:v>65</x:v>
      </x:c>
      <x:c r="G44" s="10" t="s">
        <x:v>186</x:v>
      </x:c>
      <x:c r="H44" s="12">
        <x:v>12</x:v>
      </x:c>
      <x:c r="I44" s="12">
        <x:v>2</x:v>
      </x:c>
      <x:c r="J44" s="12">
        <x:v>9</x:v>
      </x:c>
      <x:c r="K44" s="13">
        <x:v>12960</x:v>
      </x:c>
      <x:c r="L44" s="14">
        <x:v>11.49</x:v>
      </x:c>
      <x:c r="M44" s="13">
        <x:v>148910</x:v>
      </x:c>
      <x:c r="N44" s="13">
        <x:v>141115</x:v>
      </x:c>
      <x:c r="O44" s="13">
        <x:v>298</x:v>
      </x:c>
      <x:c r="P44" s="13">
        <x:v>7497</x:v>
      </x:c>
      <x:c r="Q44" t="str">
        <x:f t="shared" si="9"/>
        <x:v>PE-KG01-L23-20251025-PM-ORD-2025-00093</x:v>
      </x:c>
      <x:c r="R44">
        <x:f t="shared" si="10"/>
        <x:v>24</x:v>
      </x:c>
      <x:c r="S44" t="str">
        <x:f t="shared" si="11"/>
        <x:v>OK</x:v>
      </x:c>
      <x:c r="T44" t="str">
        <x:f t="shared" si="12"/>
        <x:v>OK</x:v>
      </x:c>
      <x:c r="U44" t="str">
        <x:f t="shared" si="13"/>
        <x:v>OK</x:v>
      </x:c>
      <x:c r="V44" t="str">
        <x:f t="shared" si="14"/>
        <x:v>OK</x:v>
      </x:c>
      <x:c r="W44" t="n">
        <x:f>IF(Q44="","",SUMIF(ProductionConfiguration!$B$5:$B$914,Q44,ProductionConfiguration!$S$5:$S$914))</x:f>
        <x:v>24</x:v>
      </x:c>
      <x:c r="X44" t="str">
        <x:f t="shared" si="15"/>
        <x:v>OK</x:v>
      </x:c>
      <x:c r="Y44" t="str">
        <x:f t="shared" si="16"/>
        <x:v>OK</x:v>
      </x:c>
      <x:c r="Z44" t="str">
        <x:f t="shared" si="17">IF(A44="","",IF(AND(S44="OK",T44="OK",U44="OK",V44="OK",X44="OK",Y44="OK",AB44="OK",AD44="OK",AF44="OK"),"OK","CHECK"))</x:f>
        <x:v>OK</x:v>
      </x:c>
      <x:c r="AA44" t="str">
        <x:v>PLC-PRD-JAR-720-L23</x:v>
      </x:c>
      <x:c r="AB44" t="str">
        <x:v>OK</x:v>
      </x:c>
      <x:c r="AC44" t="str">
        <x:v>M23</x:v>
      </x:c>
      <x:c r="AD44" t="str">
        <x:v>OK</x:v>
      </x:c>
      <x:c r="AE44" t="n">
        <x:v>24</x:v>
      </x:c>
      <x:c r="AF44" t="str">
        <x:v>OK</x:v>
      </x:c>
      <x:c r="AG44"/>
      <x:c r="AH44"/>
      <x:c r="AI44"/>
      <x:c r="AJ44"/>
      <x:c r="AK44" t="str">
        <x:v>02_Supervisor_Log(4).xlsx</x:v>
      </x:c>
      <x:c r="AL44" t="str">
        <x:v>ENH-20260830-01</x:v>
      </x:c>
      <x:c r="AM44" t="str">
        <x:v>Active</x:v>
      </x:c>
      <x:c r="AN44" t="str">
        <x:f>IF(A44="","",IF(Z44="OK","LOAD","QUARANTINE"))</x:f>
        <x:v>LOAD</x:v>
      </x:c>
    </x:row>
    <x:row r="45" ht="18" customHeight="1">
      <x:c r="A45" s="10" t="s">
        <x:v>44</x:v>
      </x:c>
      <x:c r="B45" s="11">
        <x:v>45956</x:v>
      </x:c>
      <x:c r="C45" s="10" t="s">
        <x:v>45</x:v>
      </x:c>
      <x:c r="D45" s="10" t="s">
        <x:v>55</x:v>
      </x:c>
      <x:c r="E45" s="12">
        <x:v>23</x:v>
      </x:c>
      <x:c r="F45" s="10" t="s">
        <x:v>67</x:v>
      </x:c>
      <x:c r="G45" s="10" t="s">
        <x:v>112</x:v>
      </x:c>
      <x:c r="H45" s="12">
        <x:v>12</x:v>
      </x:c>
      <x:c r="I45" s="12">
        <x:v>2</x:v>
      </x:c>
      <x:c r="J45" s="12">
        <x:v>10</x:v>
      </x:c>
      <x:c r="K45" s="13">
        <x:v>14400</x:v>
      </x:c>
      <x:c r="L45" s="14">
        <x:v>0.91</x:v>
      </x:c>
      <x:c r="M45" s="13">
        <x:v>13104</x:v>
      </x:c>
      <x:c r="N45" s="13">
        <x:v>11478</x:v>
      </x:c>
      <x:c r="O45" s="13">
        <x:v>465</x:v>
      </x:c>
      <x:c r="P45" s="13">
        <x:v>1161</x:v>
      </x:c>
      <x:c r="Q45" t="str">
        <x:f t="shared" si="9"/>
        <x:v>PE-KG01-L23-20251026-AM-ORD-2025-00094</x:v>
      </x:c>
      <x:c r="R45">
        <x:f t="shared" si="10"/>
        <x:v>24</x:v>
      </x:c>
      <x:c r="S45" t="str">
        <x:f t="shared" si="11"/>
        <x:v>OK</x:v>
      </x:c>
      <x:c r="T45" t="str">
        <x:f t="shared" si="12"/>
        <x:v>OK</x:v>
      </x:c>
      <x:c r="U45" t="str">
        <x:f t="shared" si="13"/>
        <x:v>OK</x:v>
      </x:c>
      <x:c r="V45" t="str">
        <x:f t="shared" si="14"/>
        <x:v>OK</x:v>
      </x:c>
      <x:c r="W45" t="n">
        <x:f>IF(Q45="","",SUMIF(ProductionConfiguration!$B$5:$B$914,Q45,ProductionConfiguration!$S$5:$S$914))</x:f>
        <x:v>24</x:v>
      </x:c>
      <x:c r="X45" t="str">
        <x:f t="shared" si="15"/>
        <x:v>OK</x:v>
      </x:c>
      <x:c r="Y45" t="str">
        <x:f t="shared" si="16"/>
        <x:v>OK</x:v>
      </x:c>
      <x:c r="Z45" t="str">
        <x:f t="shared" si="17">IF(A45="","",IF(AND(S45="OK",T45="OK",U45="OK",V45="OK",X45="OK",Y45="OK",AB45="OK",AD45="OK",AF45="OK"),"OK","CHECK"))</x:f>
        <x:v>OK</x:v>
      </x:c>
      <x:c r="AA45" t="str">
        <x:v>PLC-PRD-JAR-720-L23</x:v>
      </x:c>
      <x:c r="AB45" t="str">
        <x:v>OK</x:v>
      </x:c>
      <x:c r="AC45" t="str">
        <x:v>M23</x:v>
      </x:c>
      <x:c r="AD45" t="str">
        <x:v>OK</x:v>
      </x:c>
      <x:c r="AE45" t="n">
        <x:v>24</x:v>
      </x:c>
      <x:c r="AF45" t="str">
        <x:v>OK</x:v>
      </x:c>
      <x:c r="AG45"/>
      <x:c r="AH45"/>
      <x:c r="AI45"/>
      <x:c r="AJ45"/>
      <x:c r="AK45" t="str">
        <x:v>02_Supervisor_Log(4).xlsx</x:v>
      </x:c>
      <x:c r="AL45" t="str">
        <x:v>ENH-20260830-01</x:v>
      </x:c>
      <x:c r="AM45" t="str">
        <x:v>Active</x:v>
      </x:c>
      <x:c r="AN45" t="str">
        <x:f>IF(A45="","",IF(Z45="OK","LOAD","QUARANTINE"))</x:f>
        <x:v>LOAD</x:v>
      </x:c>
    </x:row>
    <x:row r="46" ht="18" customHeight="1">
      <x:c r="A46" s="10" t="s">
        <x:v>44</x:v>
      </x:c>
      <x:c r="B46" s="11">
        <x:v>45956</x:v>
      </x:c>
      <x:c r="C46" s="10" t="s">
        <x:v>187</x:v>
      </x:c>
      <x:c r="D46" s="10" t="s">
        <x:v>46</x:v>
      </x:c>
      <x:c r="E46" s="12">
        <x:v>23</x:v>
      </x:c>
      <x:c r="F46" s="10" t="s">
        <x:v>67</x:v>
      </x:c>
      <x:c r="G46" s="10" t="s">
        <x:v>186</x:v>
      </x:c>
      <x:c r="H46" s="12">
        <x:v>12</x:v>
      </x:c>
      <x:c r="I46" s="12">
        <x:v>2</x:v>
      </x:c>
      <x:c r="J46" s="12">
        <x:v>11</x:v>
      </x:c>
      <x:c r="K46" s="13">
        <x:v>15840</x:v>
      </x:c>
      <x:c r="L46" s="14">
        <x:v>11.55</x:v>
      </x:c>
      <x:c r="M46" s="13">
        <x:v>182952</x:v>
      </x:c>
      <x:c r="N46" s="13">
        <x:v>170721</x:v>
      </x:c>
      <x:c r="O46" s="13">
        <x:v>366</x:v>
      </x:c>
      <x:c r="P46" s="13">
        <x:v>11865</x:v>
      </x:c>
      <x:c r="Q46" t="str">
        <x:f t="shared" si="9"/>
        <x:v>PE-KG01-L23-20251026-PM-ORD-2025-00094</x:v>
      </x:c>
      <x:c r="R46">
        <x:f t="shared" si="10"/>
        <x:v>24</x:v>
      </x:c>
      <x:c r="S46" t="str">
        <x:f t="shared" si="11"/>
        <x:v>OK</x:v>
      </x:c>
      <x:c r="T46" t="str">
        <x:f t="shared" si="12"/>
        <x:v>OK</x:v>
      </x:c>
      <x:c r="U46" t="str">
        <x:f t="shared" si="13"/>
        <x:v>OK</x:v>
      </x:c>
      <x:c r="V46" t="str">
        <x:f t="shared" si="14"/>
        <x:v>OK</x:v>
      </x:c>
      <x:c r="W46" t="n">
        <x:f>IF(Q46="","",SUMIF(ProductionConfiguration!$B$5:$B$914,Q46,ProductionConfiguration!$S$5:$S$914))</x:f>
        <x:v>24</x:v>
      </x:c>
      <x:c r="X46" t="str">
        <x:f t="shared" si="15"/>
        <x:v>OK</x:v>
      </x:c>
      <x:c r="Y46" t="str">
        <x:f t="shared" si="16"/>
        <x:v>OK</x:v>
      </x:c>
      <x:c r="Z46" t="str">
        <x:f t="shared" si="17">IF(A46="","",IF(AND(S46="OK",T46="OK",U46="OK",V46="OK",X46="OK",Y46="OK",AB46="OK",AD46="OK",AF46="OK"),"OK","CHECK"))</x:f>
        <x:v>OK</x:v>
      </x:c>
      <x:c r="AA46" t="str">
        <x:v>PLC-PRD-JAR-720-L23</x:v>
      </x:c>
      <x:c r="AB46" t="str">
        <x:v>OK</x:v>
      </x:c>
      <x:c r="AC46" t="str">
        <x:v>M23</x:v>
      </x:c>
      <x:c r="AD46" t="str">
        <x:v>OK</x:v>
      </x:c>
      <x:c r="AE46" t="n">
        <x:v>24</x:v>
      </x:c>
      <x:c r="AF46" t="str">
        <x:v>OK</x:v>
      </x:c>
      <x:c r="AG46"/>
      <x:c r="AH46"/>
      <x:c r="AI46"/>
      <x:c r="AJ46"/>
      <x:c r="AK46" t="str">
        <x:v>02_Supervisor_Log(4).xlsx</x:v>
      </x:c>
      <x:c r="AL46" t="str">
        <x:v>ENH-20260830-01</x:v>
      </x:c>
      <x:c r="AM46" t="str">
        <x:v>Active</x:v>
      </x:c>
      <x:c r="AN46" t="str">
        <x:f>IF(A46="","",IF(Z46="OK","LOAD","QUARANTINE"))</x:f>
        <x:v>LOAD</x:v>
      </x:c>
    </x:row>
    <x:row r="47" ht="18" customHeight="1">
      <x:c r="A47" s="10" t="s">
        <x:v>44</x:v>
      </x:c>
      <x:c r="B47" s="11">
        <x:v>45950</x:v>
      </x:c>
      <x:c r="C47" s="10" t="s">
        <x:v>45</x:v>
      </x:c>
      <x:c r="D47" s="10" t="s">
        <x:v>55</x:v>
      </x:c>
      <x:c r="E47" s="12">
        <x:v>24</x:v>
      </x:c>
      <x:c r="F47" s="10" t="s">
        <x:v>72</x:v>
      </x:c>
      <x:c r="G47" s="10" t="s">
        <x:v>186</x:v>
      </x:c>
      <x:c r="H47" s="12">
        <x:v>12</x:v>
      </x:c>
      <x:c r="I47" s="12">
        <x:v>4</x:v>
      </x:c>
      <x:c r="J47" s="12">
        <x:v>13</x:v>
      </x:c>
      <x:c r="K47" s="13">
        <x:v>37440</x:v>
      </x:c>
      <x:c r="L47" s="14">
        <x:v>11.8</x:v>
      </x:c>
      <x:c r="M47" s="13">
        <x:v>441792</x:v>
      </x:c>
      <x:c r="N47" s="13">
        <x:v>421509</x:v>
      </x:c>
      <x:c r="O47" s="13">
        <x:v>5885</x:v>
      </x:c>
      <x:c r="P47" s="13">
        <x:v>14398</x:v>
      </x:c>
      <x:c r="Q47" t="str">
        <x:f t="shared" si="9"/>
        <x:v>PE-KG01-L24-20251020-AM-ORD-2025-00124</x:v>
      </x:c>
      <x:c r="R47">
        <x:f t="shared" si="10"/>
        <x:v>48</x:v>
      </x:c>
      <x:c r="S47" t="str">
        <x:f t="shared" si="11"/>
        <x:v>CHECK</x:v>
      </x:c>
      <x:c r="T47" t="str">
        <x:f t="shared" si="12"/>
        <x:v>OK</x:v>
      </x:c>
      <x:c r="U47" t="str">
        <x:f t="shared" si="13"/>
        <x:v>OK</x:v>
      </x:c>
      <x:c r="V47" t="str">
        <x:f t="shared" si="14"/>
        <x:v>OK</x:v>
      </x:c>
      <x:c r="W47" t="n">
        <x:f>IF(Q47="","",SUMIF(ProductionConfiguration!$B$5:$B$914,Q47,ProductionConfiguration!$S$5:$S$914))</x:f>
        <x:v>36</x:v>
      </x:c>
      <x:c r="X47" t="str">
        <x:f t="shared" si="15"/>
        <x:v>CHECK</x:v>
      </x:c>
      <x:c r="Y47" t="str">
        <x:f t="shared" si="16"/>
        <x:v>OK</x:v>
      </x:c>
      <x:c r="Z47" t="str">
        <x:f t="shared" si="17">IF(A47="","",IF(AND(S47="OK",T47="OK",U47="OK",V47="OK",X47="OK",Y47="OK",AB47="OK",AD47="OK",AF47="OK"),"OK","CHECK"))</x:f>
        <x:v>CHECK</x:v>
      </x:c>
      <x:c r="AA47" t="str">
        <x:v>PLC-PRD-BOT-500-L24</x:v>
      </x:c>
      <x:c r="AB47" t="str">
        <x:v>CHECK</x:v>
      </x:c>
      <x:c r="AC47" t="str">
        <x:v>M24</x:v>
      </x:c>
      <x:c r="AD47" t="str">
        <x:v>CHECK</x:v>
      </x:c>
      <x:c r="AE47" t="n">
        <x:v>36</x:v>
      </x:c>
      <x:c r="AF47" t="str">
        <x:v>CHECK</x:v>
      </x:c>
      <x:c r="AG47"/>
      <x:c r="AH47"/>
      <x:c r="AI47"/>
      <x:c r="AJ47"/>
      <x:c r="AK47" t="str">
        <x:v>02_Supervisor_Log(4).xlsx</x:v>
      </x:c>
      <x:c r="AL47" t="str">
        <x:v>ENH-20260830-01</x:v>
      </x:c>
      <x:c r="AM47" t="str">
        <x:v>Active</x:v>
      </x:c>
      <x:c r="AN47" t="str">
        <x:f>IF(A47="","",IF(Z47="OK","LOAD","QUARANTINE"))</x:f>
        <x:v>QUARANTINE</x:v>
      </x:c>
    </x:row>
    <x:row r="48" ht="18" customHeight="1">
      <x:c r="A48" s="10" t="s">
        <x:v>44</x:v>
      </x:c>
      <x:c r="B48" s="11">
        <x:v>45950</x:v>
      </x:c>
      <x:c r="C48" s="10" t="s">
        <x:v>187</x:v>
      </x:c>
      <x:c r="D48" s="10" t="s">
        <x:v>46</x:v>
      </x:c>
      <x:c r="E48" s="12">
        <x:v>24</x:v>
      </x:c>
      <x:c r="F48" s="10" t="s">
        <x:v>72</x:v>
      </x:c>
      <x:c r="G48" s="10" t="s">
        <x:v>186</x:v>
      </x:c>
      <x:c r="H48" s="12">
        <x:v>12</x:v>
      </x:c>
      <x:c r="I48" s="12">
        <x:v>4</x:v>
      </x:c>
      <x:c r="J48" s="12">
        <x:v>13</x:v>
      </x:c>
      <x:c r="K48" s="13">
        <x:v>37440</x:v>
      </x:c>
      <x:c r="L48" s="14">
        <x:v>11.76</x:v>
      </x:c>
      <x:c r="M48" s="13">
        <x:v>440294</x:v>
      </x:c>
      <x:c r="N48" s="13">
        <x:v>415224</x:v>
      </x:c>
      <x:c r="O48" s="13">
        <x:v>7274</x:v>
      </x:c>
      <x:c r="P48" s="13">
        <x:v>17796</x:v>
      </x:c>
      <x:c r="Q48" t="str">
        <x:f t="shared" si="9"/>
        <x:v>PE-KG01-L24-20251020-PM-ORD-2025-00124</x:v>
      </x:c>
      <x:c r="R48">
        <x:f t="shared" si="10"/>
        <x:v>48</x:v>
      </x:c>
      <x:c r="S48" t="str">
        <x:f t="shared" si="11"/>
        <x:v>CHECK</x:v>
      </x:c>
      <x:c r="T48" t="str">
        <x:f t="shared" si="12"/>
        <x:v>OK</x:v>
      </x:c>
      <x:c r="U48" t="str">
        <x:f t="shared" si="13"/>
        <x:v>OK</x:v>
      </x:c>
      <x:c r="V48" t="str">
        <x:f t="shared" si="14"/>
        <x:v>OK</x:v>
      </x:c>
      <x:c r="W48" t="n">
        <x:f>IF(Q48="","",SUMIF(ProductionConfiguration!$B$5:$B$914,Q48,ProductionConfiguration!$S$5:$S$914))</x:f>
        <x:v>36</x:v>
      </x:c>
      <x:c r="X48" t="str">
        <x:f t="shared" si="15"/>
        <x:v>CHECK</x:v>
      </x:c>
      <x:c r="Y48" t="str">
        <x:f t="shared" si="16"/>
        <x:v>OK</x:v>
      </x:c>
      <x:c r="Z48" t="str">
        <x:f t="shared" si="17">IF(A48="","",IF(AND(S48="OK",T48="OK",U48="OK",V48="OK",X48="OK",Y48="OK",AB48="OK",AD48="OK",AF48="OK"),"OK","CHECK"))</x:f>
        <x:v>CHECK</x:v>
      </x:c>
      <x:c r="AA48" t="str">
        <x:v>PLC-PRD-BOT-500-L24</x:v>
      </x:c>
      <x:c r="AB48" t="str">
        <x:v>CHECK</x:v>
      </x:c>
      <x:c r="AC48" t="str">
        <x:v>M24</x:v>
      </x:c>
      <x:c r="AD48" t="str">
        <x:v>CHECK</x:v>
      </x:c>
      <x:c r="AE48" t="n">
        <x:v>36</x:v>
      </x:c>
      <x:c r="AF48" t="str">
        <x:v>CHECK</x:v>
      </x:c>
      <x:c r="AG48"/>
      <x:c r="AH48"/>
      <x:c r="AI48"/>
      <x:c r="AJ48"/>
      <x:c r="AK48" t="str">
        <x:v>02_Supervisor_Log(4).xlsx</x:v>
      </x:c>
      <x:c r="AL48" t="str">
        <x:v>ENH-20260830-01</x:v>
      </x:c>
      <x:c r="AM48" t="str">
        <x:v>Active</x:v>
      </x:c>
      <x:c r="AN48" t="str">
        <x:f>IF(A48="","",IF(Z48="OK","LOAD","QUARANTINE"))</x:f>
        <x:v>QUARANTINE</x:v>
      </x:c>
    </x:row>
    <x:row r="49" ht="18" customHeight="1">
      <x:c r="A49" s="10" t="s">
        <x:v>44</x:v>
      </x:c>
      <x:c r="B49" s="11">
        <x:v>45951</x:v>
      </x:c>
      <x:c r="C49" s="10" t="s">
        <x:v>45</x:v>
      </x:c>
      <x:c r="D49" s="10" t="s">
        <x:v>46</x:v>
      </x:c>
      <x:c r="E49" s="12">
        <x:v>24</x:v>
      </x:c>
      <x:c r="F49" s="10" t="s">
        <x:v>73</x:v>
      </x:c>
      <x:c r="G49" s="10" t="s">
        <x:v>186</x:v>
      </x:c>
      <x:c r="H49" s="12">
        <x:v>12</x:v>
      </x:c>
      <x:c r="I49" s="12">
        <x:v>3</x:v>
      </x:c>
      <x:c r="J49" s="12">
        <x:v>12</x:v>
      </x:c>
      <x:c r="K49" s="13">
        <x:v>25920</x:v>
      </x:c>
      <x:c r="L49" s="14">
        <x:v>6.82</x:v>
      </x:c>
      <x:c r="M49" s="13">
        <x:v>176774</x:v>
      </x:c>
      <x:c r="N49" s="13">
        <x:v>168566</x:v>
      </x:c>
      <x:c r="O49" s="13">
        <x:v>1269</x:v>
      </x:c>
      <x:c r="P49" s="13">
        <x:v>6939</x:v>
      </x:c>
      <x:c r="Q49" t="str">
        <x:f t="shared" si="9"/>
        <x:v>PE-KG01-L24-20251021-AM-ORD-2025-00125</x:v>
      </x:c>
      <x:c r="R49">
        <x:f t="shared" si="10"/>
        <x:v>36</x:v>
      </x:c>
      <x:c r="S49" t="str">
        <x:f t="shared" si="11"/>
        <x:v>OK</x:v>
      </x:c>
      <x:c r="T49" t="str">
        <x:f t="shared" si="12"/>
        <x:v>OK</x:v>
      </x:c>
      <x:c r="U49" t="str">
        <x:f t="shared" si="13"/>
        <x:v>OK</x:v>
      </x:c>
      <x:c r="V49" t="str">
        <x:f t="shared" si="14"/>
        <x:v>OK</x:v>
      </x:c>
      <x:c r="W49" t="n">
        <x:f>IF(Q49="","",SUMIF(ProductionConfiguration!$B$5:$B$914,Q49,ProductionConfiguration!$S$5:$S$914))</x:f>
        <x:v>36</x:v>
      </x:c>
      <x:c r="X49" t="str">
        <x:f t="shared" si="15"/>
        <x:v>OK</x:v>
      </x:c>
      <x:c r="Y49" t="str">
        <x:f t="shared" si="16"/>
        <x:v>OK</x:v>
      </x:c>
      <x:c r="Z49" t="str">
        <x:f t="shared" si="17">IF(A49="","",IF(AND(S49="OK",T49="OK",U49="OK",V49="OK",X49="OK",Y49="OK",AB49="OK",AD49="OK",AF49="OK"),"OK","CHECK"))</x:f>
        <x:v>OK</x:v>
      </x:c>
      <x:c r="AA49" t="str">
        <x:v>PLC-PRD-JAR-330-L24</x:v>
      </x:c>
      <x:c r="AB49" t="str">
        <x:v>OK</x:v>
      </x:c>
      <x:c r="AC49" t="str">
        <x:v>M24</x:v>
      </x:c>
      <x:c r="AD49" t="str">
        <x:v>OK</x:v>
      </x:c>
      <x:c r="AE49" t="n">
        <x:v>36</x:v>
      </x:c>
      <x:c r="AF49" t="str">
        <x:v>OK</x:v>
      </x:c>
      <x:c r="AG49"/>
      <x:c r="AH49"/>
      <x:c r="AI49"/>
      <x:c r="AJ49"/>
      <x:c r="AK49" t="str">
        <x:v>02_Supervisor_Log(4).xlsx</x:v>
      </x:c>
      <x:c r="AL49" t="str">
        <x:v>ENH-20260830-01</x:v>
      </x:c>
      <x:c r="AM49" t="str">
        <x:v>Active</x:v>
      </x:c>
      <x:c r="AN49" t="str">
        <x:f>IF(A49="","",IF(Z49="OK","LOAD","QUARANTINE"))</x:f>
        <x:v>LOAD</x:v>
      </x:c>
    </x:row>
    <x:row r="50" ht="18" customHeight="1">
      <x:c r="A50" s="10" t="s">
        <x:v>44</x:v>
      </x:c>
      <x:c r="B50" s="11">
        <x:v>45951</x:v>
      </x:c>
      <x:c r="C50" s="10" t="s">
        <x:v>187</x:v>
      </x:c>
      <x:c r="D50" s="10" t="s">
        <x:v>51</x:v>
      </x:c>
      <x:c r="E50" s="12">
        <x:v>24</x:v>
      </x:c>
      <x:c r="F50" s="10" t="s">
        <x:v>73</x:v>
      </x:c>
      <x:c r="G50" s="10" t="s">
        <x:v>186</x:v>
      </x:c>
      <x:c r="H50" s="12">
        <x:v>12</x:v>
      </x:c>
      <x:c r="I50" s="12">
        <x:v>3</x:v>
      </x:c>
      <x:c r="J50" s="12">
        <x:v>12</x:v>
      </x:c>
      <x:c r="K50" s="13">
        <x:v>25920</x:v>
      </x:c>
      <x:c r="L50" s="14">
        <x:v>11.71</x:v>
      </x:c>
      <x:c r="M50" s="13">
        <x:v>303523</x:v>
      </x:c>
      <x:c r="N50" s="13">
        <x:v>291686</x:v>
      </x:c>
      <x:c r="O50" s="13">
        <x:v>607</x:v>
      </x:c>
      <x:c r="P50" s="13">
        <x:v>11230</x:v>
      </x:c>
      <x:c r="Q50" t="str">
        <x:f t="shared" si="9"/>
        <x:v>PE-KG01-L24-20251021-PM-ORD-2025-00125</x:v>
      </x:c>
      <x:c r="R50">
        <x:f t="shared" si="10"/>
        <x:v>36</x:v>
      </x:c>
      <x:c r="S50" t="str">
        <x:f t="shared" si="11"/>
        <x:v>OK</x:v>
      </x:c>
      <x:c r="T50" t="str">
        <x:f t="shared" si="12"/>
        <x:v>OK</x:v>
      </x:c>
      <x:c r="U50" t="str">
        <x:f t="shared" si="13"/>
        <x:v>OK</x:v>
      </x:c>
      <x:c r="V50" t="str">
        <x:f t="shared" si="14"/>
        <x:v>OK</x:v>
      </x:c>
      <x:c r="W50" t="n">
        <x:f>IF(Q50="","",SUMIF(ProductionConfiguration!$B$5:$B$914,Q50,ProductionConfiguration!$S$5:$S$914))</x:f>
        <x:v>36</x:v>
      </x:c>
      <x:c r="X50" t="str">
        <x:f t="shared" si="15"/>
        <x:v>OK</x:v>
      </x:c>
      <x:c r="Y50" t="str">
        <x:f t="shared" si="16"/>
        <x:v>OK</x:v>
      </x:c>
      <x:c r="Z50" t="str">
        <x:f t="shared" si="17">IF(A50="","",IF(AND(S50="OK",T50="OK",U50="OK",V50="OK",X50="OK",Y50="OK",AB50="OK",AD50="OK",AF50="OK"),"OK","CHECK"))</x:f>
        <x:v>OK</x:v>
      </x:c>
      <x:c r="AA50" t="str">
        <x:v>PLC-PRD-JAR-330-L24</x:v>
      </x:c>
      <x:c r="AB50" t="str">
        <x:v>OK</x:v>
      </x:c>
      <x:c r="AC50" t="str">
        <x:v>M24</x:v>
      </x:c>
      <x:c r="AD50" t="str">
        <x:v>OK</x:v>
      </x:c>
      <x:c r="AE50" t="n">
        <x:v>36</x:v>
      </x:c>
      <x:c r="AF50" t="str">
        <x:v>OK</x:v>
      </x:c>
      <x:c r="AG50"/>
      <x:c r="AH50"/>
      <x:c r="AI50"/>
      <x:c r="AJ50"/>
      <x:c r="AK50" t="str">
        <x:v>02_Supervisor_Log(4).xlsx</x:v>
      </x:c>
      <x:c r="AL50" t="str">
        <x:v>ENH-20260830-01</x:v>
      </x:c>
      <x:c r="AM50" t="str">
        <x:v>Active</x:v>
      </x:c>
      <x:c r="AN50" t="str">
        <x:f>IF(A50="","",IF(Z50="OK","LOAD","QUARANTINE"))</x:f>
        <x:v>LOAD</x:v>
      </x:c>
    </x:row>
    <x:row r="51" ht="18" customHeight="1">
      <x:c r="A51" s="10" t="s">
        <x:v>44</x:v>
      </x:c>
      <x:c r="B51" s="11">
        <x:v>45952</x:v>
      </x:c>
      <x:c r="C51" s="10" t="s">
        <x:v>45</x:v>
      </x:c>
      <x:c r="D51" s="10" t="s">
        <x:v>51</x:v>
      </x:c>
      <x:c r="E51" s="12">
        <x:v>24</x:v>
      </x:c>
      <x:c r="F51" s="10" t="s">
        <x:v>73</x:v>
      </x:c>
      <x:c r="G51" s="10" t="s">
        <x:v>186</x:v>
      </x:c>
      <x:c r="H51" s="12">
        <x:v>12</x:v>
      </x:c>
      <x:c r="I51" s="12">
        <x:v>3</x:v>
      </x:c>
      <x:c r="J51" s="12">
        <x:v>12</x:v>
      </x:c>
      <x:c r="K51" s="13">
        <x:v>25920</x:v>
      </x:c>
      <x:c r="L51" s="14">
        <x:v>11.7</x:v>
      </x:c>
      <x:c r="M51" s="13">
        <x:v>303264</x:v>
      </x:c>
      <x:c r="N51" s="13">
        <x:v>294129</x:v>
      </x:c>
      <x:c r="O51" s="13">
        <x:v>2804</x:v>
      </x:c>
      <x:c r="P51" s="13">
        <x:v>6331</x:v>
      </x:c>
      <x:c r="Q51" t="str">
        <x:f t="shared" si="9"/>
        <x:v>PE-KG01-L24-20251022-AM-ORD-2025-00125</x:v>
      </x:c>
      <x:c r="R51">
        <x:f t="shared" si="10"/>
        <x:v>36</x:v>
      </x:c>
      <x:c r="S51" t="str">
        <x:f t="shared" si="11"/>
        <x:v>OK</x:v>
      </x:c>
      <x:c r="T51" t="str">
        <x:f t="shared" si="12"/>
        <x:v>OK</x:v>
      </x:c>
      <x:c r="U51" t="str">
        <x:f t="shared" si="13"/>
        <x:v>OK</x:v>
      </x:c>
      <x:c r="V51" t="str">
        <x:f t="shared" si="14"/>
        <x:v>OK</x:v>
      </x:c>
      <x:c r="W51" t="n">
        <x:f>IF(Q51="","",SUMIF(ProductionConfiguration!$B$5:$B$914,Q51,ProductionConfiguration!$S$5:$S$914))</x:f>
        <x:v>36</x:v>
      </x:c>
      <x:c r="X51" t="str">
        <x:f t="shared" si="15"/>
        <x:v>OK</x:v>
      </x:c>
      <x:c r="Y51" t="str">
        <x:f t="shared" si="16"/>
        <x:v>OK</x:v>
      </x:c>
      <x:c r="Z51" t="str">
        <x:f t="shared" si="17">IF(A51="","",IF(AND(S51="OK",T51="OK",U51="OK",V51="OK",X51="OK",Y51="OK",AB51="OK",AD51="OK",AF51="OK"),"OK","CHECK"))</x:f>
        <x:v>OK</x:v>
      </x:c>
      <x:c r="AA51" t="str">
        <x:v>PLC-PRD-JAR-330-L24</x:v>
      </x:c>
      <x:c r="AB51" t="str">
        <x:v>OK</x:v>
      </x:c>
      <x:c r="AC51" t="str">
        <x:v>M24</x:v>
      </x:c>
      <x:c r="AD51" t="str">
        <x:v>OK</x:v>
      </x:c>
      <x:c r="AE51" t="n">
        <x:v>36</x:v>
      </x:c>
      <x:c r="AF51" t="str">
        <x:v>OK</x:v>
      </x:c>
      <x:c r="AG51"/>
      <x:c r="AH51"/>
      <x:c r="AI51"/>
      <x:c r="AJ51"/>
      <x:c r="AK51" t="str">
        <x:v>02_Supervisor_Log(4).xlsx</x:v>
      </x:c>
      <x:c r="AL51" t="str">
        <x:v>ENH-20260830-01</x:v>
      </x:c>
      <x:c r="AM51" t="str">
        <x:v>Active</x:v>
      </x:c>
      <x:c r="AN51" t="str">
        <x:f>IF(A51="","",IF(Z51="OK","LOAD","QUARANTINE"))</x:f>
        <x:v>LOAD</x:v>
      </x:c>
    </x:row>
    <x:row r="52" ht="18" customHeight="1">
      <x:c r="A52" s="10" t="s">
        <x:v>44</x:v>
      </x:c>
      <x:c r="B52" s="11">
        <x:v>45952</x:v>
      </x:c>
      <x:c r="C52" s="10" t="s">
        <x:v>187</x:v>
      </x:c>
      <x:c r="D52" s="10" t="s">
        <x:v>55</x:v>
      </x:c>
      <x:c r="E52" s="12">
        <x:v>24</x:v>
      </x:c>
      <x:c r="F52" s="10" t="s">
        <x:v>73</x:v>
      </x:c>
      <x:c r="G52" s="10" t="s">
        <x:v>186</x:v>
      </x:c>
      <x:c r="H52" s="12">
        <x:v>12</x:v>
      </x:c>
      <x:c r="I52" s="12">
        <x:v>3</x:v>
      </x:c>
      <x:c r="J52" s="12">
        <x:v>12</x:v>
      </x:c>
      <x:c r="K52" s="13">
        <x:v>25920</x:v>
      </x:c>
      <x:c r="L52" s="14">
        <x:v>11.62</x:v>
      </x:c>
      <x:c r="M52" s="13">
        <x:v>301190</x:v>
      </x:c>
      <x:c r="N52" s="13">
        <x:v>284220</x:v>
      </x:c>
      <x:c r="O52" s="13">
        <x:v>4444</x:v>
      </x:c>
      <x:c r="P52" s="13">
        <x:v>12526</x:v>
      </x:c>
      <x:c r="Q52" t="str">
        <x:f t="shared" si="9"/>
        <x:v>PE-KG01-L24-20251022-PM-ORD-2025-00125</x:v>
      </x:c>
      <x:c r="R52">
        <x:f t="shared" si="10"/>
        <x:v>36</x:v>
      </x:c>
      <x:c r="S52" t="str">
        <x:f t="shared" si="11"/>
        <x:v>OK</x:v>
      </x:c>
      <x:c r="T52" t="str">
        <x:f t="shared" si="12"/>
        <x:v>OK</x:v>
      </x:c>
      <x:c r="U52" t="str">
        <x:f t="shared" si="13"/>
        <x:v>OK</x:v>
      </x:c>
      <x:c r="V52" t="str">
        <x:f t="shared" si="14"/>
        <x:v>OK</x:v>
      </x:c>
      <x:c r="W52" t="n">
        <x:f>IF(Q52="","",SUMIF(ProductionConfiguration!$B$5:$B$914,Q52,ProductionConfiguration!$S$5:$S$914))</x:f>
        <x:v>36</x:v>
      </x:c>
      <x:c r="X52" t="str">
        <x:f t="shared" si="15"/>
        <x:v>OK</x:v>
      </x:c>
      <x:c r="Y52" t="str">
        <x:f t="shared" si="16"/>
        <x:v>OK</x:v>
      </x:c>
      <x:c r="Z52" t="str">
        <x:f t="shared" si="17">IF(A52="","",IF(AND(S52="OK",T52="OK",U52="OK",V52="OK",X52="OK",Y52="OK",AB52="OK",AD52="OK",AF52="OK"),"OK","CHECK"))</x:f>
        <x:v>OK</x:v>
      </x:c>
      <x:c r="AA52" t="str">
        <x:v>PLC-PRD-JAR-330-L24</x:v>
      </x:c>
      <x:c r="AB52" t="str">
        <x:v>OK</x:v>
      </x:c>
      <x:c r="AC52" t="str">
        <x:v>M24</x:v>
      </x:c>
      <x:c r="AD52" t="str">
        <x:v>OK</x:v>
      </x:c>
      <x:c r="AE52" t="n">
        <x:v>36</x:v>
      </x:c>
      <x:c r="AF52" t="str">
        <x:v>OK</x:v>
      </x:c>
      <x:c r="AG52"/>
      <x:c r="AH52"/>
      <x:c r="AI52"/>
      <x:c r="AJ52"/>
      <x:c r="AK52" t="str">
        <x:v>02_Supervisor_Log(4).xlsx</x:v>
      </x:c>
      <x:c r="AL52" t="str">
        <x:v>ENH-20260830-01</x:v>
      </x:c>
      <x:c r="AM52" t="str">
        <x:v>Active</x:v>
      </x:c>
      <x:c r="AN52" t="str">
        <x:f>IF(A52="","",IF(Z52="OK","LOAD","QUARANTINE"))</x:f>
        <x:v>LOAD</x:v>
      </x:c>
    </x:row>
    <x:row r="53" ht="18" customHeight="1">
      <x:c r="A53" s="10" t="s">
        <x:v>44</x:v>
      </x:c>
      <x:c r="B53" s="11">
        <x:v>45953</x:v>
      </x:c>
      <x:c r="C53" s="10" t="s">
        <x:v>45</x:v>
      </x:c>
      <x:c r="D53" s="10" t="s">
        <x:v>55</x:v>
      </x:c>
      <x:c r="E53" s="12">
        <x:v>24</x:v>
      </x:c>
      <x:c r="F53" s="10" t="s">
        <x:v>73</x:v>
      </x:c>
      <x:c r="G53" s="10" t="s">
        <x:v>186</x:v>
      </x:c>
      <x:c r="H53" s="12">
        <x:v>12</x:v>
      </x:c>
      <x:c r="I53" s="12">
        <x:v>3</x:v>
      </x:c>
      <x:c r="J53" s="12">
        <x:v>13</x:v>
      </x:c>
      <x:c r="K53" s="13">
        <x:v>28080</x:v>
      </x:c>
      <x:c r="L53" s="14">
        <x:v>11.67</x:v>
      </x:c>
      <x:c r="M53" s="13">
        <x:v>327694</x:v>
      </x:c>
      <x:c r="N53" s="13">
        <x:v>308507</x:v>
      </x:c>
      <x:c r="O53" s="13">
        <x:v>2710</x:v>
      </x:c>
      <x:c r="P53" s="13">
        <x:v>16477</x:v>
      </x:c>
      <x:c r="Q53" t="str">
        <x:f t="shared" si="9"/>
        <x:v>PE-KG01-L24-20251023-AM-ORD-2025-00125</x:v>
      </x:c>
      <x:c r="R53">
        <x:f t="shared" si="10"/>
        <x:v>36</x:v>
      </x:c>
      <x:c r="S53" t="str">
        <x:f t="shared" si="11"/>
        <x:v>OK</x:v>
      </x:c>
      <x:c r="T53" t="str">
        <x:f t="shared" si="12"/>
        <x:v>OK</x:v>
      </x:c>
      <x:c r="U53" t="str">
        <x:f t="shared" si="13"/>
        <x:v>OK</x:v>
      </x:c>
      <x:c r="V53" t="str">
        <x:f t="shared" si="14"/>
        <x:v>OK</x:v>
      </x:c>
      <x:c r="W53" t="n">
        <x:f>IF(Q53="","",SUMIF(ProductionConfiguration!$B$5:$B$914,Q53,ProductionConfiguration!$S$5:$S$914))</x:f>
        <x:v>36</x:v>
      </x:c>
      <x:c r="X53" t="str">
        <x:f t="shared" si="15"/>
        <x:v>OK</x:v>
      </x:c>
      <x:c r="Y53" t="str">
        <x:f t="shared" si="16"/>
        <x:v>OK</x:v>
      </x:c>
      <x:c r="Z53" t="str">
        <x:f t="shared" si="17">IF(A53="","",IF(AND(S53="OK",T53="OK",U53="OK",V53="OK",X53="OK",Y53="OK",AB53="OK",AD53="OK",AF53="OK"),"OK","CHECK"))</x:f>
        <x:v>OK</x:v>
      </x:c>
      <x:c r="AA53" t="str">
        <x:v>PLC-PRD-JAR-330-L24</x:v>
      </x:c>
      <x:c r="AB53" t="str">
        <x:v>OK</x:v>
      </x:c>
      <x:c r="AC53" t="str">
        <x:v>M24</x:v>
      </x:c>
      <x:c r="AD53" t="str">
        <x:v>OK</x:v>
      </x:c>
      <x:c r="AE53" t="n">
        <x:v>36</x:v>
      </x:c>
      <x:c r="AF53" t="str">
        <x:v>OK</x:v>
      </x:c>
      <x:c r="AG53"/>
      <x:c r="AH53"/>
      <x:c r="AI53"/>
      <x:c r="AJ53"/>
      <x:c r="AK53" t="str">
        <x:v>02_Supervisor_Log(4).xlsx</x:v>
      </x:c>
      <x:c r="AL53" t="str">
        <x:v>ENH-20260830-01</x:v>
      </x:c>
      <x:c r="AM53" t="str">
        <x:v>Active</x:v>
      </x:c>
      <x:c r="AN53" t="str">
        <x:f>IF(A53="","",IF(Z53="OK","LOAD","QUARANTINE"))</x:f>
        <x:v>LOAD</x:v>
      </x:c>
    </x:row>
    <x:row r="54" ht="18" customHeight="1">
      <x:c r="A54" s="10" t="s">
        <x:v>44</x:v>
      </x:c>
      <x:c r="B54" s="11">
        <x:v>45953</x:v>
      </x:c>
      <x:c r="C54" s="10" t="s">
        <x:v>187</x:v>
      </x:c>
      <x:c r="D54" s="10" t="s">
        <x:v>46</x:v>
      </x:c>
      <x:c r="E54" s="12">
        <x:v>24</x:v>
      </x:c>
      <x:c r="F54" s="10" t="s">
        <x:v>73</x:v>
      </x:c>
      <x:c r="G54" s="10" t="s">
        <x:v>186</x:v>
      </x:c>
      <x:c r="H54" s="12">
        <x:v>12</x:v>
      </x:c>
      <x:c r="I54" s="12">
        <x:v>3</x:v>
      </x:c>
      <x:c r="J54" s="12">
        <x:v>11</x:v>
      </x:c>
      <x:c r="K54" s="13">
        <x:v>23760</x:v>
      </x:c>
      <x:c r="L54" s="14">
        <x:v>11.73</x:v>
      </x:c>
      <x:c r="M54" s="13">
        <x:v>278705</x:v>
      </x:c>
      <x:c r="N54" s="13">
        <x:v>265847</x:v>
      </x:c>
      <x:c r="O54" s="13">
        <x:v>3481</x:v>
      </x:c>
      <x:c r="P54" s="13">
        <x:v>9377</x:v>
      </x:c>
      <x:c r="Q54" t="str">
        <x:f t="shared" si="9"/>
        <x:v>PE-KG01-L24-20251023-PM-ORD-2025-00125</x:v>
      </x:c>
      <x:c r="R54">
        <x:f t="shared" si="10"/>
        <x:v>36</x:v>
      </x:c>
      <x:c r="S54" t="str">
        <x:f t="shared" si="11"/>
        <x:v>OK</x:v>
      </x:c>
      <x:c r="T54" t="str">
        <x:f t="shared" si="12"/>
        <x:v>OK</x:v>
      </x:c>
      <x:c r="U54" t="str">
        <x:f t="shared" si="13"/>
        <x:v>OK</x:v>
      </x:c>
      <x:c r="V54" t="str">
        <x:f t="shared" si="14"/>
        <x:v>OK</x:v>
      </x:c>
      <x:c r="W54" t="n">
        <x:f>IF(Q54="","",SUMIF(ProductionConfiguration!$B$5:$B$914,Q54,ProductionConfiguration!$S$5:$S$914))</x:f>
        <x:v>36</x:v>
      </x:c>
      <x:c r="X54" t="str">
        <x:f t="shared" si="15"/>
        <x:v>OK</x:v>
      </x:c>
      <x:c r="Y54" t="str">
        <x:f t="shared" si="16"/>
        <x:v>OK</x:v>
      </x:c>
      <x:c r="Z54" t="str">
        <x:f t="shared" si="17">IF(A54="","",IF(AND(S54="OK",T54="OK",U54="OK",V54="OK",X54="OK",Y54="OK",AB54="OK",AD54="OK",AF54="OK"),"OK","CHECK"))</x:f>
        <x:v>OK</x:v>
      </x:c>
      <x:c r="AA54" t="str">
        <x:v>PLC-PRD-JAR-330-L24</x:v>
      </x:c>
      <x:c r="AB54" t="str">
        <x:v>OK</x:v>
      </x:c>
      <x:c r="AC54" t="str">
        <x:v>M24</x:v>
      </x:c>
      <x:c r="AD54" t="str">
        <x:v>OK</x:v>
      </x:c>
      <x:c r="AE54" t="n">
        <x:v>36</x:v>
      </x:c>
      <x:c r="AF54" t="str">
        <x:v>OK</x:v>
      </x:c>
      <x:c r="AG54"/>
      <x:c r="AH54"/>
      <x:c r="AI54"/>
      <x:c r="AJ54"/>
      <x:c r="AK54" t="str">
        <x:v>02_Supervisor_Log(4).xlsx</x:v>
      </x:c>
      <x:c r="AL54" t="str">
        <x:v>ENH-20260830-01</x:v>
      </x:c>
      <x:c r="AM54" t="str">
        <x:v>Active</x:v>
      </x:c>
      <x:c r="AN54" t="str">
        <x:f>IF(A54="","",IF(Z54="OK","LOAD","QUARANTINE"))</x:f>
        <x:v>LOAD</x:v>
      </x:c>
    </x:row>
    <x:row r="55" ht="18" customHeight="1">
      <x:c r="A55" s="10" t="s">
        <x:v>44</x:v>
      </x:c>
      <x:c r="B55" s="11">
        <x:v>45954</x:v>
      </x:c>
      <x:c r="C55" s="10" t="s">
        <x:v>45</x:v>
      </x:c>
      <x:c r="D55" s="10" t="s">
        <x:v>46</x:v>
      </x:c>
      <x:c r="E55" s="12">
        <x:v>24</x:v>
      </x:c>
      <x:c r="F55" s="10" t="s">
        <x:v>73</x:v>
      </x:c>
      <x:c r="G55" s="10" t="s">
        <x:v>186</x:v>
      </x:c>
      <x:c r="H55" s="12">
        <x:v>12</x:v>
      </x:c>
      <x:c r="I55" s="12">
        <x:v>3</x:v>
      </x:c>
      <x:c r="J55" s="12">
        <x:v>11</x:v>
      </x:c>
      <x:c r="K55" s="13">
        <x:v>23760</x:v>
      </x:c>
      <x:c r="L55" s="14">
        <x:v>11.59</x:v>
      </x:c>
      <x:c r="M55" s="13">
        <x:v>275378</x:v>
      </x:c>
      <x:c r="N55" s="13">
        <x:v>260344</x:v>
      </x:c>
      <x:c r="O55" s="13">
        <x:v>1963</x:v>
      </x:c>
      <x:c r="P55" s="13">
        <x:v>13071</x:v>
      </x:c>
      <x:c r="Q55" t="str">
        <x:f t="shared" si="9"/>
        <x:v>PE-KG01-L24-20251024-AM-ORD-2025-00125</x:v>
      </x:c>
      <x:c r="R55">
        <x:f t="shared" si="10"/>
        <x:v>36</x:v>
      </x:c>
      <x:c r="S55" t="str">
        <x:f t="shared" si="11"/>
        <x:v>OK</x:v>
      </x:c>
      <x:c r="T55" t="str">
        <x:f t="shared" si="12"/>
        <x:v>OK</x:v>
      </x:c>
      <x:c r="U55" t="str">
        <x:f t="shared" si="13"/>
        <x:v>OK</x:v>
      </x:c>
      <x:c r="V55" t="str">
        <x:f t="shared" si="14"/>
        <x:v>OK</x:v>
      </x:c>
      <x:c r="W55" t="n">
        <x:f>IF(Q55="","",SUMIF(ProductionConfiguration!$B$5:$B$914,Q55,ProductionConfiguration!$S$5:$S$914))</x:f>
        <x:v>36</x:v>
      </x:c>
      <x:c r="X55" t="str">
        <x:f t="shared" si="15"/>
        <x:v>OK</x:v>
      </x:c>
      <x:c r="Y55" t="str">
        <x:f t="shared" si="16"/>
        <x:v>OK</x:v>
      </x:c>
      <x:c r="Z55" t="str">
        <x:f t="shared" si="17">IF(A55="","",IF(AND(S55="OK",T55="OK",U55="OK",V55="OK",X55="OK",Y55="OK",AB55="OK",AD55="OK",AF55="OK"),"OK","CHECK"))</x:f>
        <x:v>OK</x:v>
      </x:c>
      <x:c r="AA55" t="str">
        <x:v>PLC-PRD-JAR-330-L24</x:v>
      </x:c>
      <x:c r="AB55" t="str">
        <x:v>OK</x:v>
      </x:c>
      <x:c r="AC55" t="str">
        <x:v>M24</x:v>
      </x:c>
      <x:c r="AD55" t="str">
        <x:v>OK</x:v>
      </x:c>
      <x:c r="AE55" t="n">
        <x:v>36</x:v>
      </x:c>
      <x:c r="AF55" t="str">
        <x:v>OK</x:v>
      </x:c>
      <x:c r="AG55"/>
      <x:c r="AH55"/>
      <x:c r="AI55"/>
      <x:c r="AJ55"/>
      <x:c r="AK55" t="str">
        <x:v>02_Supervisor_Log(4).xlsx</x:v>
      </x:c>
      <x:c r="AL55" t="str">
        <x:v>ENH-20260830-01</x:v>
      </x:c>
      <x:c r="AM55" t="str">
        <x:v>Active</x:v>
      </x:c>
      <x:c r="AN55" t="str">
        <x:f>IF(A55="","",IF(Z55="OK","LOAD","QUARANTINE"))</x:f>
        <x:v>LOAD</x:v>
      </x:c>
    </x:row>
    <x:row r="56" ht="18" customHeight="1">
      <x:c r="A56" s="10" t="s">
        <x:v>44</x:v>
      </x:c>
      <x:c r="B56" s="11">
        <x:v>45954</x:v>
      </x:c>
      <x:c r="C56" s="10" t="s">
        <x:v>187</x:v>
      </x:c>
      <x:c r="D56" s="10" t="s">
        <x:v>51</x:v>
      </x:c>
      <x:c r="E56" s="12">
        <x:v>24</x:v>
      </x:c>
      <x:c r="F56" s="10" t="s">
        <x:v>73</x:v>
      </x:c>
      <x:c r="G56" s="10" t="s">
        <x:v>186</x:v>
      </x:c>
      <x:c r="H56" s="12">
        <x:v>12</x:v>
      </x:c>
      <x:c r="I56" s="12">
        <x:v>3</x:v>
      </x:c>
      <x:c r="J56" s="12">
        <x:v>13</x:v>
      </x:c>
      <x:c r="K56" s="13">
        <x:v>28080</x:v>
      </x:c>
      <x:c r="L56" s="14">
        <x:v>11.76</x:v>
      </x:c>
      <x:c r="M56" s="13">
        <x:v>330221</x:v>
      </x:c>
      <x:c r="N56" s="13">
        <x:v>313862</x:v>
      </x:c>
      <x:c r="O56" s="13">
        <x:v>2205</x:v>
      </x:c>
      <x:c r="P56" s="13">
        <x:v>14154</x:v>
      </x:c>
      <x:c r="Q56" t="str">
        <x:f t="shared" si="9"/>
        <x:v>PE-KG01-L24-20251024-PM-ORD-2025-00125</x:v>
      </x:c>
      <x:c r="R56">
        <x:f t="shared" si="10"/>
        <x:v>36</x:v>
      </x:c>
      <x:c r="S56" t="str">
        <x:f t="shared" si="11"/>
        <x:v>OK</x:v>
      </x:c>
      <x:c r="T56" t="str">
        <x:f t="shared" si="12"/>
        <x:v>OK</x:v>
      </x:c>
      <x:c r="U56" t="str">
        <x:f t="shared" si="13"/>
        <x:v>OK</x:v>
      </x:c>
      <x:c r="V56" t="str">
        <x:f t="shared" si="14"/>
        <x:v>OK</x:v>
      </x:c>
      <x:c r="W56" t="n">
        <x:f>IF(Q56="","",SUMIF(ProductionConfiguration!$B$5:$B$914,Q56,ProductionConfiguration!$S$5:$S$914))</x:f>
        <x:v>36</x:v>
      </x:c>
      <x:c r="X56" t="str">
        <x:f t="shared" si="15"/>
        <x:v>OK</x:v>
      </x:c>
      <x:c r="Y56" t="str">
        <x:f t="shared" si="16"/>
        <x:v>OK</x:v>
      </x:c>
      <x:c r="Z56" t="str">
        <x:f t="shared" si="17">IF(A56="","",IF(AND(S56="OK",T56="OK",U56="OK",V56="OK",X56="OK",Y56="OK",AB56="OK",AD56="OK",AF56="OK"),"OK","CHECK"))</x:f>
        <x:v>OK</x:v>
      </x:c>
      <x:c r="AA56" t="str">
        <x:v>PLC-PRD-JAR-330-L24</x:v>
      </x:c>
      <x:c r="AB56" t="str">
        <x:v>OK</x:v>
      </x:c>
      <x:c r="AC56" t="str">
        <x:v>M24</x:v>
      </x:c>
      <x:c r="AD56" t="str">
        <x:v>OK</x:v>
      </x:c>
      <x:c r="AE56" t="n">
        <x:v>36</x:v>
      </x:c>
      <x:c r="AF56" t="str">
        <x:v>OK</x:v>
      </x:c>
      <x:c r="AG56"/>
      <x:c r="AH56"/>
      <x:c r="AI56"/>
      <x:c r="AJ56"/>
      <x:c r="AK56" t="str">
        <x:v>02_Supervisor_Log(4).xlsx</x:v>
      </x:c>
      <x:c r="AL56" t="str">
        <x:v>ENH-20260830-01</x:v>
      </x:c>
      <x:c r="AM56" t="str">
        <x:v>Active</x:v>
      </x:c>
      <x:c r="AN56" t="str">
        <x:f>IF(A56="","",IF(Z56="OK","LOAD","QUARANTINE"))</x:f>
        <x:v>LOAD</x:v>
      </x:c>
    </x:row>
    <x:row r="57" ht="18" customHeight="1">
      <x:c r="A57" s="10" t="s">
        <x:v>44</x:v>
      </x:c>
      <x:c r="B57" s="11">
        <x:v>45955</x:v>
      </x:c>
      <x:c r="C57" s="10" t="s">
        <x:v>45</x:v>
      </x:c>
      <x:c r="D57" s="10" t="s">
        <x:v>51</x:v>
      </x:c>
      <x:c r="E57" s="12">
        <x:v>24</x:v>
      </x:c>
      <x:c r="F57" s="10" t="s">
        <x:v>74</x:v>
      </x:c>
      <x:c r="G57" s="10" t="s">
        <x:v>186</x:v>
      </x:c>
      <x:c r="H57" s="12">
        <x:v>12</x:v>
      </x:c>
      <x:c r="I57" s="12">
        <x:v>2</x:v>
      </x:c>
      <x:c r="J57" s="12">
        <x:v>11</x:v>
      </x:c>
      <x:c r="K57" s="13">
        <x:v>15840</x:v>
      </x:c>
      <x:c r="L57" s="14">
        <x:v>9.41</x:v>
      </x:c>
      <x:c r="M57" s="13">
        <x:v>149054</x:v>
      </x:c>
      <x:c r="N57" s="13">
        <x:v>141989</x:v>
      </x:c>
      <x:c r="O57" s="13">
        <x:v>2249</x:v>
      </x:c>
      <x:c r="P57" s="13">
        <x:v>4816</x:v>
      </x:c>
      <x:c r="Q57" t="str">
        <x:f t="shared" si="9"/>
        <x:v>PE-KG01-L24-20251025-AM-ORD-2025-00126</x:v>
      </x:c>
      <x:c r="R57">
        <x:f t="shared" si="10"/>
        <x:v>24</x:v>
      </x:c>
      <x:c r="S57" t="str">
        <x:f t="shared" si="11"/>
        <x:v>OK</x:v>
      </x:c>
      <x:c r="T57" t="str">
        <x:f t="shared" si="12"/>
        <x:v>OK</x:v>
      </x:c>
      <x:c r="U57" t="str">
        <x:f t="shared" si="13"/>
        <x:v>OK</x:v>
      </x:c>
      <x:c r="V57" t="str">
        <x:f t="shared" si="14"/>
        <x:v>OK</x:v>
      </x:c>
      <x:c r="W57" t="n">
        <x:f>IF(Q57="","",SUMIF(ProductionConfiguration!$B$5:$B$914,Q57,ProductionConfiguration!$S$5:$S$914))</x:f>
        <x:v>24</x:v>
      </x:c>
      <x:c r="X57" t="str">
        <x:f t="shared" si="15"/>
        <x:v>OK</x:v>
      </x:c>
      <x:c r="Y57" t="str">
        <x:f t="shared" si="16"/>
        <x:v>OK</x:v>
      </x:c>
      <x:c r="Z57" t="str">
        <x:f t="shared" si="17">IF(A57="","",IF(AND(S57="OK",T57="OK",U57="OK",V57="OK",X57="OK",Y57="OK",AB57="OK",AD57="OK",AF57="OK"),"OK","CHECK"))</x:f>
        <x:v>OK</x:v>
      </x:c>
      <x:c r="AA57" t="str">
        <x:v>PLC-PRD-JAR-720-L24</x:v>
      </x:c>
      <x:c r="AB57" t="str">
        <x:v>OK</x:v>
      </x:c>
      <x:c r="AC57" t="str">
        <x:v>M24</x:v>
      </x:c>
      <x:c r="AD57" t="str">
        <x:v>OK</x:v>
      </x:c>
      <x:c r="AE57" t="n">
        <x:v>24</x:v>
      </x:c>
      <x:c r="AF57" t="str">
        <x:v>OK</x:v>
      </x:c>
      <x:c r="AG57"/>
      <x:c r="AH57"/>
      <x:c r="AI57"/>
      <x:c r="AJ57"/>
      <x:c r="AK57" t="str">
        <x:v>02_Supervisor_Log(4).xlsx</x:v>
      </x:c>
      <x:c r="AL57" t="str">
        <x:v>ENH-20260830-01</x:v>
      </x:c>
      <x:c r="AM57" t="str">
        <x:v>Active</x:v>
      </x:c>
      <x:c r="AN57" t="str">
        <x:f>IF(A57="","",IF(Z57="OK","LOAD","QUARANTINE"))</x:f>
        <x:v>LOAD</x:v>
      </x:c>
    </x:row>
    <x:row r="58" ht="18" customHeight="1">
      <x:c r="A58" s="10" t="s">
        <x:v>44</x:v>
      </x:c>
      <x:c r="B58" s="11">
        <x:v>45955</x:v>
      </x:c>
      <x:c r="C58" s="10" t="s">
        <x:v>187</x:v>
      </x:c>
      <x:c r="D58" s="10" t="s">
        <x:v>55</x:v>
      </x:c>
      <x:c r="E58" s="12">
        <x:v>24</x:v>
      </x:c>
      <x:c r="F58" s="10" t="s">
        <x:v>74</x:v>
      </x:c>
      <x:c r="G58" s="10" t="s">
        <x:v>186</x:v>
      </x:c>
      <x:c r="H58" s="12">
        <x:v>12</x:v>
      </x:c>
      <x:c r="I58" s="12">
        <x:v>2</x:v>
      </x:c>
      <x:c r="J58" s="12">
        <x:v>9</x:v>
      </x:c>
      <x:c r="K58" s="13">
        <x:v>12960</x:v>
      </x:c>
      <x:c r="L58" s="14">
        <x:v>11.61</x:v>
      </x:c>
      <x:c r="M58" s="13">
        <x:v>150466</x:v>
      </x:c>
      <x:c r="N58" s="13">
        <x:v>141511</x:v>
      </x:c>
      <x:c r="O58" s="13">
        <x:v>2176</x:v>
      </x:c>
      <x:c r="P58" s="13">
        <x:v>6779</x:v>
      </x:c>
      <x:c r="Q58" t="str">
        <x:f t="shared" si="9"/>
        <x:v>PE-KG01-L24-20251025-PM-ORD-2025-00126</x:v>
      </x:c>
      <x:c r="R58">
        <x:f t="shared" si="10"/>
        <x:v>24</x:v>
      </x:c>
      <x:c r="S58" t="str">
        <x:f t="shared" si="11"/>
        <x:v>OK</x:v>
      </x:c>
      <x:c r="T58" t="str">
        <x:f t="shared" si="12"/>
        <x:v>OK</x:v>
      </x:c>
      <x:c r="U58" t="str">
        <x:f t="shared" si="13"/>
        <x:v>OK</x:v>
      </x:c>
      <x:c r="V58" t="str">
        <x:f t="shared" si="14"/>
        <x:v>OK</x:v>
      </x:c>
      <x:c r="W58" t="n">
        <x:f>IF(Q58="","",SUMIF(ProductionConfiguration!$B$5:$B$914,Q58,ProductionConfiguration!$S$5:$S$914))</x:f>
        <x:v>24</x:v>
      </x:c>
      <x:c r="X58" t="str">
        <x:f t="shared" si="15"/>
        <x:v>OK</x:v>
      </x:c>
      <x:c r="Y58" t="str">
        <x:f t="shared" si="16"/>
        <x:v>OK</x:v>
      </x:c>
      <x:c r="Z58" t="str">
        <x:f t="shared" si="17">IF(A58="","",IF(AND(S58="OK",T58="OK",U58="OK",V58="OK",X58="OK",Y58="OK",AB58="OK",AD58="OK",AF58="OK"),"OK","CHECK"))</x:f>
        <x:v>OK</x:v>
      </x:c>
      <x:c r="AA58" t="str">
        <x:v>PLC-PRD-JAR-720-L24</x:v>
      </x:c>
      <x:c r="AB58" t="str">
        <x:v>OK</x:v>
      </x:c>
      <x:c r="AC58" t="str">
        <x:v>M24</x:v>
      </x:c>
      <x:c r="AD58" t="str">
        <x:v>OK</x:v>
      </x:c>
      <x:c r="AE58" t="n">
        <x:v>24</x:v>
      </x:c>
      <x:c r="AF58" t="str">
        <x:v>OK</x:v>
      </x:c>
      <x:c r="AG58"/>
      <x:c r="AH58"/>
      <x:c r="AI58"/>
      <x:c r="AJ58"/>
      <x:c r="AK58" t="str">
        <x:v>02_Supervisor_Log(4).xlsx</x:v>
      </x:c>
      <x:c r="AL58" t="str">
        <x:v>ENH-20260830-01</x:v>
      </x:c>
      <x:c r="AM58" t="str">
        <x:v>Active</x:v>
      </x:c>
      <x:c r="AN58" t="str">
        <x:f>IF(A58="","",IF(Z58="OK","LOAD","QUARANTINE"))</x:f>
        <x:v>LOAD</x:v>
      </x:c>
    </x:row>
    <x:row r="59" ht="18" customHeight="1">
      <x:c r="A59" s="10" t="s">
        <x:v>44</x:v>
      </x:c>
      <x:c r="B59" s="11">
        <x:v>45956</x:v>
      </x:c>
      <x:c r="C59" s="10" t="s">
        <x:v>45</x:v>
      </x:c>
      <x:c r="D59" s="10" t="s">
        <x:v>55</x:v>
      </x:c>
      <x:c r="E59" s="12">
        <x:v>24</x:v>
      </x:c>
      <x:c r="F59" s="10" t="s">
        <x:v>74</x:v>
      </x:c>
      <x:c r="G59" s="10" t="s">
        <x:v>186</x:v>
      </x:c>
      <x:c r="H59" s="12">
        <x:v>12</x:v>
      </x:c>
      <x:c r="I59" s="12">
        <x:v>2</x:v>
      </x:c>
      <x:c r="J59" s="12">
        <x:v>11</x:v>
      </x:c>
      <x:c r="K59" s="13">
        <x:v>15840</x:v>
      </x:c>
      <x:c r="L59" s="14">
        <x:v>11.72</x:v>
      </x:c>
      <x:c r="M59" s="13">
        <x:v>185645</x:v>
      </x:c>
      <x:c r="N59" s="13">
        <x:v>177055</x:v>
      </x:c>
      <x:c r="O59" s="13">
        <x:v>1268</x:v>
      </x:c>
      <x:c r="P59" s="13">
        <x:v>7322</x:v>
      </x:c>
      <x:c r="Q59" t="str">
        <x:f t="shared" si="9"/>
        <x:v>PE-KG01-L24-20251026-AM-ORD-2025-00126</x:v>
      </x:c>
      <x:c r="R59">
        <x:f t="shared" si="10"/>
        <x:v>24</x:v>
      </x:c>
      <x:c r="S59" t="str">
        <x:f t="shared" si="11"/>
        <x:v>OK</x:v>
      </x:c>
      <x:c r="T59" t="str">
        <x:f t="shared" si="12"/>
        <x:v>OK</x:v>
      </x:c>
      <x:c r="U59" t="str">
        <x:f t="shared" si="13"/>
        <x:v>OK</x:v>
      </x:c>
      <x:c r="V59" t="str">
        <x:f t="shared" si="14"/>
        <x:v>OK</x:v>
      </x:c>
      <x:c r="W59" t="n">
        <x:f>IF(Q59="","",SUMIF(ProductionConfiguration!$B$5:$B$914,Q59,ProductionConfiguration!$S$5:$S$914))</x:f>
        <x:v>24</x:v>
      </x:c>
      <x:c r="X59" t="str">
        <x:f t="shared" si="15"/>
        <x:v>OK</x:v>
      </x:c>
      <x:c r="Y59" t="str">
        <x:f t="shared" si="16"/>
        <x:v>OK</x:v>
      </x:c>
      <x:c r="Z59" t="str">
        <x:f t="shared" si="17">IF(A59="","",IF(AND(S59="OK",T59="OK",U59="OK",V59="OK",X59="OK",Y59="OK",AB59="OK",AD59="OK",AF59="OK"),"OK","CHECK"))</x:f>
        <x:v>OK</x:v>
      </x:c>
      <x:c r="AA59" t="str">
        <x:v>PLC-PRD-JAR-720-L24</x:v>
      </x:c>
      <x:c r="AB59" t="str">
        <x:v>OK</x:v>
      </x:c>
      <x:c r="AC59" t="str">
        <x:v>M24</x:v>
      </x:c>
      <x:c r="AD59" t="str">
        <x:v>OK</x:v>
      </x:c>
      <x:c r="AE59" t="n">
        <x:v>24</x:v>
      </x:c>
      <x:c r="AF59" t="str">
        <x:v>OK</x:v>
      </x:c>
      <x:c r="AG59"/>
      <x:c r="AH59"/>
      <x:c r="AI59"/>
      <x:c r="AJ59"/>
      <x:c r="AK59" t="str">
        <x:v>02_Supervisor_Log(4).xlsx</x:v>
      </x:c>
      <x:c r="AL59" t="str">
        <x:v>ENH-20260830-01</x:v>
      </x:c>
      <x:c r="AM59" t="str">
        <x:v>Active</x:v>
      </x:c>
      <x:c r="AN59" t="str">
        <x:f>IF(A59="","",IF(Z59="OK","LOAD","QUARANTINE"))</x:f>
        <x:v>LOAD</x:v>
      </x:c>
    </x:row>
    <x:row r="60" ht="18" customHeight="1">
      <x:c r="A60" s="10" t="s">
        <x:v>44</x:v>
      </x:c>
      <x:c r="B60" s="11">
        <x:v>45956</x:v>
      </x:c>
      <x:c r="C60" s="10" t="s">
        <x:v>187</x:v>
      </x:c>
      <x:c r="D60" s="10" t="s">
        <x:v>46</x:v>
      </x:c>
      <x:c r="E60" s="12">
        <x:v>24</x:v>
      </x:c>
      <x:c r="F60" s="10" t="s">
        <x:v>74</x:v>
      </x:c>
      <x:c r="G60" s="10" t="s">
        <x:v>186</x:v>
      </x:c>
      <x:c r="H60" s="12">
        <x:v>12</x:v>
      </x:c>
      <x:c r="I60" s="12">
        <x:v>2</x:v>
      </x:c>
      <x:c r="J60" s="12">
        <x:v>9</x:v>
      </x:c>
      <x:c r="K60" s="13">
        <x:v>12960</x:v>
      </x:c>
      <x:c r="L60" s="14">
        <x:v>11.7</x:v>
      </x:c>
      <x:c r="M60" s="13">
        <x:v>151632</x:v>
      </x:c>
      <x:c r="N60" s="13">
        <x:v>144154</x:v>
      </x:c>
      <x:c r="O60" s="13">
        <x:v>393</x:v>
      </x:c>
      <x:c r="P60" s="13">
        <x:v>7085</x:v>
      </x:c>
      <x:c r="Q60" t="str">
        <x:f t="shared" si="9"/>
        <x:v>PE-KG01-L24-20251026-PM-ORD-2025-00126</x:v>
      </x:c>
      <x:c r="R60">
        <x:f t="shared" si="10"/>
        <x:v>24</x:v>
      </x:c>
      <x:c r="S60" t="str">
        <x:f t="shared" si="11"/>
        <x:v>OK</x:v>
      </x:c>
      <x:c r="T60" t="str">
        <x:f t="shared" si="12"/>
        <x:v>OK</x:v>
      </x:c>
      <x:c r="U60" t="str">
        <x:f t="shared" si="13"/>
        <x:v>OK</x:v>
      </x:c>
      <x:c r="V60" t="str">
        <x:f t="shared" si="14"/>
        <x:v>OK</x:v>
      </x:c>
      <x:c r="W60" t="n">
        <x:f>IF(Q60="","",SUMIF(ProductionConfiguration!$B$5:$B$914,Q60,ProductionConfiguration!$S$5:$S$914))</x:f>
        <x:v>24</x:v>
      </x:c>
      <x:c r="X60" t="str">
        <x:f t="shared" si="15"/>
        <x:v>OK</x:v>
      </x:c>
      <x:c r="Y60" t="str">
        <x:f t="shared" si="16"/>
        <x:v>OK</x:v>
      </x:c>
      <x:c r="Z60" t="str">
        <x:f t="shared" si="17">IF(A60="","",IF(AND(S60="OK",T60="OK",U60="OK",V60="OK",X60="OK",Y60="OK",AB60="OK",AD60="OK",AF60="OK"),"OK","CHECK"))</x:f>
        <x:v>OK</x:v>
      </x:c>
      <x:c r="AA60" t="str">
        <x:v>PLC-PRD-JAR-720-L24</x:v>
      </x:c>
      <x:c r="AB60" t="str">
        <x:v>OK</x:v>
      </x:c>
      <x:c r="AC60" t="str">
        <x:v>M24</x:v>
      </x:c>
      <x:c r="AD60" t="str">
        <x:v>OK</x:v>
      </x:c>
      <x:c r="AE60" t="n">
        <x:v>24</x:v>
      </x:c>
      <x:c r="AF60" t="str">
        <x:v>OK</x:v>
      </x:c>
      <x:c r="AG60"/>
      <x:c r="AH60"/>
      <x:c r="AI60"/>
      <x:c r="AJ60"/>
      <x:c r="AK60" t="str">
        <x:v>02_Supervisor_Log(4).xlsx</x:v>
      </x:c>
      <x:c r="AL60" t="str">
        <x:v>ENH-20260830-01</x:v>
      </x:c>
      <x:c r="AM60" t="str">
        <x:v>Active</x:v>
      </x:c>
      <x:c r="AN60" t="str">
        <x:f>IF(A60="","",IF(Z60="OK","LOAD","QUARANTINE"))</x:f>
        <x:v>LOAD</x:v>
      </x:c>
    </x:row>
    <x:row r="61" ht="18" customHeight="1">
      <x:c r="A61" s="10" t="s">
        <x:v>44</x:v>
      </x:c>
      <x:c r="B61" s="11">
        <x:v>45950</x:v>
      </x:c>
      <x:c r="C61" s="10" t="s">
        <x:v>45</x:v>
      </x:c>
      <x:c r="D61" s="10" t="s">
        <x:v>55</x:v>
      </x:c>
      <x:c r="E61" s="12">
        <x:v>25</x:v>
      </x:c>
      <x:c r="F61" s="10" t="s">
        <x:v>76</x:v>
      </x:c>
      <x:c r="G61" s="10" t="s">
        <x:v>186</x:v>
      </x:c>
      <x:c r="H61" s="12">
        <x:v>8</x:v>
      </x:c>
      <x:c r="I61" s="12">
        <x:v>2</x:v>
      </x:c>
      <x:c r="J61" s="12">
        <x:v>10</x:v>
      </x:c>
      <x:c r="K61" s="13">
        <x:v>9600</x:v>
      </x:c>
      <x:c r="L61" s="14">
        <x:v>11.77</x:v>
      </x:c>
      <x:c r="M61" s="13">
        <x:v>112992</x:v>
      </x:c>
      <x:c r="N61" s="13">
        <x:v>109631</x:v>
      </x:c>
      <x:c r="O61" s="13">
        <x:v>612</x:v>
      </x:c>
      <x:c r="P61" s="13">
        <x:v>2749</x:v>
      </x:c>
      <x:c r="Q61" t="str">
        <x:f t="shared" si="9"/>
        <x:v>PE-KG01-L25-20251020-AM-ORD-2025-00161</x:v>
      </x:c>
      <x:c r="R61">
        <x:f t="shared" si="10"/>
        <x:v>16</x:v>
      </x:c>
      <x:c r="S61" t="str">
        <x:f t="shared" si="11"/>
        <x:v>OK</x:v>
      </x:c>
      <x:c r="T61" t="str">
        <x:f t="shared" si="12"/>
        <x:v>OK</x:v>
      </x:c>
      <x:c r="U61" t="str">
        <x:f t="shared" si="13"/>
        <x:v>OK</x:v>
      </x:c>
      <x:c r="V61" t="str">
        <x:f t="shared" si="14"/>
        <x:v>OK</x:v>
      </x:c>
      <x:c r="W61" t="n">
        <x:f>IF(Q61="","",SUMIF(ProductionConfiguration!$B$5:$B$914,Q61,ProductionConfiguration!$S$5:$S$914))</x:f>
        <x:v>16</x:v>
      </x:c>
      <x:c r="X61" t="str">
        <x:f t="shared" si="15"/>
        <x:v>OK</x:v>
      </x:c>
      <x:c r="Y61" t="str">
        <x:f t="shared" si="16"/>
        <x:v>OK</x:v>
      </x:c>
      <x:c r="Z61" t="str">
        <x:f t="shared" si="17">IF(A61="","",IF(AND(S61="OK",T61="OK",U61="OK",V61="OK",X61="OK",Y61="OK",AB61="OK",AD61="OK",AF61="OK"),"OK","CHECK"))</x:f>
        <x:v>OK</x:v>
      </x:c>
      <x:c r="AA61" t="str">
        <x:v>PLC-PRD-JAR-720-L25</x:v>
      </x:c>
      <x:c r="AB61" t="str">
        <x:v>OK</x:v>
      </x:c>
      <x:c r="AC61" t="str">
        <x:v>M25</x:v>
      </x:c>
      <x:c r="AD61" t="str">
        <x:v>OK</x:v>
      </x:c>
      <x:c r="AE61" t="n">
        <x:v>16</x:v>
      </x:c>
      <x:c r="AF61" t="str">
        <x:v>OK</x:v>
      </x:c>
      <x:c r="AG61"/>
      <x:c r="AH61"/>
      <x:c r="AI61"/>
      <x:c r="AJ61"/>
      <x:c r="AK61" t="str">
        <x:v>02_Supervisor_Log(4).xlsx</x:v>
      </x:c>
      <x:c r="AL61" t="str">
        <x:v>ENH-20260830-01</x:v>
      </x:c>
      <x:c r="AM61" t="str">
        <x:v>Active</x:v>
      </x:c>
      <x:c r="AN61" t="str">
        <x:f>IF(A61="","",IF(Z61="OK","LOAD","QUARANTINE"))</x:f>
        <x:v>LOAD</x:v>
      </x:c>
    </x:row>
    <x:row r="62" ht="18" customHeight="1">
      <x:c r="A62" s="10" t="s">
        <x:v>44</x:v>
      </x:c>
      <x:c r="B62" s="11">
        <x:v>45950</x:v>
      </x:c>
      <x:c r="C62" s="10" t="s">
        <x:v>187</x:v>
      </x:c>
      <x:c r="D62" s="10" t="s">
        <x:v>46</x:v>
      </x:c>
      <x:c r="E62" s="12">
        <x:v>25</x:v>
      </x:c>
      <x:c r="F62" s="10" t="s">
        <x:v>76</x:v>
      </x:c>
      <x:c r="G62" s="10" t="s">
        <x:v>186</x:v>
      </x:c>
      <x:c r="H62" s="12">
        <x:v>8</x:v>
      </x:c>
      <x:c r="I62" s="12">
        <x:v>2</x:v>
      </x:c>
      <x:c r="J62" s="12">
        <x:v>10</x:v>
      </x:c>
      <x:c r="K62" s="13">
        <x:v>9600</x:v>
      </x:c>
      <x:c r="L62" s="14">
        <x:v>11.59</x:v>
      </x:c>
      <x:c r="M62" s="13">
        <x:v>111264</x:v>
      </x:c>
      <x:c r="N62" s="13">
        <x:v>104059</x:v>
      </x:c>
      <x:c r="O62" s="13">
        <x:v>1289</x:v>
      </x:c>
      <x:c r="P62" s="13">
        <x:v>5916</x:v>
      </x:c>
      <x:c r="Q62" t="str">
        <x:f t="shared" si="9"/>
        <x:v>PE-KG01-L25-20251020-PM-ORD-2025-00161</x:v>
      </x:c>
      <x:c r="R62">
        <x:f t="shared" si="10"/>
        <x:v>16</x:v>
      </x:c>
      <x:c r="S62" t="str">
        <x:f t="shared" si="11"/>
        <x:v>OK</x:v>
      </x:c>
      <x:c r="T62" t="str">
        <x:f t="shared" si="12"/>
        <x:v>OK</x:v>
      </x:c>
      <x:c r="U62" t="str">
        <x:f t="shared" si="13"/>
        <x:v>OK</x:v>
      </x:c>
      <x:c r="V62" t="str">
        <x:f t="shared" si="14"/>
        <x:v>OK</x:v>
      </x:c>
      <x:c r="W62" t="n">
        <x:f>IF(Q62="","",SUMIF(ProductionConfiguration!$B$5:$B$914,Q62,ProductionConfiguration!$S$5:$S$914))</x:f>
        <x:v>16</x:v>
      </x:c>
      <x:c r="X62" t="str">
        <x:f t="shared" si="15"/>
        <x:v>OK</x:v>
      </x:c>
      <x:c r="Y62" t="str">
        <x:f t="shared" si="16"/>
        <x:v>OK</x:v>
      </x:c>
      <x:c r="Z62" t="str">
        <x:f t="shared" si="17">IF(A62="","",IF(AND(S62="OK",T62="OK",U62="OK",V62="OK",X62="OK",Y62="OK",AB62="OK",AD62="OK",AF62="OK"),"OK","CHECK"))</x:f>
        <x:v>OK</x:v>
      </x:c>
      <x:c r="AA62" t="str">
        <x:v>PLC-PRD-JAR-720-L25</x:v>
      </x:c>
      <x:c r="AB62" t="str">
        <x:v>OK</x:v>
      </x:c>
      <x:c r="AC62" t="str">
        <x:v>M25</x:v>
      </x:c>
      <x:c r="AD62" t="str">
        <x:v>OK</x:v>
      </x:c>
      <x:c r="AE62" t="n">
        <x:v>16</x:v>
      </x:c>
      <x:c r="AF62" t="str">
        <x:v>OK</x:v>
      </x:c>
      <x:c r="AG62"/>
      <x:c r="AH62"/>
      <x:c r="AI62"/>
      <x:c r="AJ62"/>
      <x:c r="AK62" t="str">
        <x:v>02_Supervisor_Log(4).xlsx</x:v>
      </x:c>
      <x:c r="AL62" t="str">
        <x:v>ENH-20260830-01</x:v>
      </x:c>
      <x:c r="AM62" t="str">
        <x:v>Active</x:v>
      </x:c>
      <x:c r="AN62" t="str">
        <x:f>IF(A62="","",IF(Z62="OK","LOAD","QUARANTINE"))</x:f>
        <x:v>LOAD</x:v>
      </x:c>
    </x:row>
    <x:row r="63" ht="18" customHeight="1">
      <x:c r="A63" s="10" t="s">
        <x:v>44</x:v>
      </x:c>
      <x:c r="B63" s="11">
        <x:v>45951</x:v>
      </x:c>
      <x:c r="C63" s="10" t="s">
        <x:v>45</x:v>
      </x:c>
      <x:c r="D63" s="10" t="s">
        <x:v>46</x:v>
      </x:c>
      <x:c r="E63" s="12">
        <x:v>25</x:v>
      </x:c>
      <x:c r="F63" s="10" t="s">
        <x:v>76</x:v>
      </x:c>
      <x:c r="G63" s="10" t="s">
        <x:v>186</x:v>
      </x:c>
      <x:c r="H63" s="12">
        <x:v>8</x:v>
      </x:c>
      <x:c r="I63" s="12">
        <x:v>2</x:v>
      </x:c>
      <x:c r="J63" s="12">
        <x:v>9</x:v>
      </x:c>
      <x:c r="K63" s="13">
        <x:v>8640</x:v>
      </x:c>
      <x:c r="L63" s="14">
        <x:v>11.85</x:v>
      </x:c>
      <x:c r="M63" s="13">
        <x:v>102384</x:v>
      </x:c>
      <x:c r="N63" s="13">
        <x:v>95758</x:v>
      </x:c>
      <x:c r="O63" s="13">
        <x:v>1358</x:v>
      </x:c>
      <x:c r="P63" s="13">
        <x:v>5268</x:v>
      </x:c>
      <x:c r="Q63" t="str">
        <x:f t="shared" si="9"/>
        <x:v>PE-KG01-L25-20251021-AM-ORD-2025-00161</x:v>
      </x:c>
      <x:c r="R63">
        <x:f t="shared" si="10"/>
        <x:v>16</x:v>
      </x:c>
      <x:c r="S63" t="str">
        <x:f t="shared" si="11"/>
        <x:v>OK</x:v>
      </x:c>
      <x:c r="T63" t="str">
        <x:f t="shared" si="12"/>
        <x:v>OK</x:v>
      </x:c>
      <x:c r="U63" t="str">
        <x:f t="shared" si="13"/>
        <x:v>OK</x:v>
      </x:c>
      <x:c r="V63" t="str">
        <x:f t="shared" si="14"/>
        <x:v>OK</x:v>
      </x:c>
      <x:c r="W63" t="n">
        <x:f>IF(Q63="","",SUMIF(ProductionConfiguration!$B$5:$B$914,Q63,ProductionConfiguration!$S$5:$S$914))</x:f>
        <x:v>16</x:v>
      </x:c>
      <x:c r="X63" t="str">
        <x:f t="shared" si="15"/>
        <x:v>OK</x:v>
      </x:c>
      <x:c r="Y63" t="str">
        <x:f t="shared" si="16"/>
        <x:v>OK</x:v>
      </x:c>
      <x:c r="Z63" t="str">
        <x:f t="shared" si="17">IF(A63="","",IF(AND(S63="OK",T63="OK",U63="OK",V63="OK",X63="OK",Y63="OK",AB63="OK",AD63="OK",AF63="OK"),"OK","CHECK"))</x:f>
        <x:v>OK</x:v>
      </x:c>
      <x:c r="AA63" t="str">
        <x:v>PLC-PRD-JAR-720-L25</x:v>
      </x:c>
      <x:c r="AB63" t="str">
        <x:v>OK</x:v>
      </x:c>
      <x:c r="AC63" t="str">
        <x:v>M25</x:v>
      </x:c>
      <x:c r="AD63" t="str">
        <x:v>OK</x:v>
      </x:c>
      <x:c r="AE63" t="n">
        <x:v>16</x:v>
      </x:c>
      <x:c r="AF63" t="str">
        <x:v>OK</x:v>
      </x:c>
      <x:c r="AG63"/>
      <x:c r="AH63"/>
      <x:c r="AI63"/>
      <x:c r="AJ63"/>
      <x:c r="AK63" t="str">
        <x:v>02_Supervisor_Log(4).xlsx</x:v>
      </x:c>
      <x:c r="AL63" t="str">
        <x:v>ENH-20260830-01</x:v>
      </x:c>
      <x:c r="AM63" t="str">
        <x:v>Active</x:v>
      </x:c>
      <x:c r="AN63" t="str">
        <x:f>IF(A63="","",IF(Z63="OK","LOAD","QUARANTINE"))</x:f>
        <x:v>LOAD</x:v>
      </x:c>
    </x:row>
    <x:row r="64" ht="18" customHeight="1">
      <x:c r="A64" s="10" t="s">
        <x:v>44</x:v>
      </x:c>
      <x:c r="B64" s="11">
        <x:v>45951</x:v>
      </x:c>
      <x:c r="C64" s="10" t="s">
        <x:v>187</x:v>
      </x:c>
      <x:c r="D64" s="10" t="s">
        <x:v>51</x:v>
      </x:c>
      <x:c r="E64" s="12">
        <x:v>25</x:v>
      </x:c>
      <x:c r="F64" s="10" t="s">
        <x:v>76</x:v>
      </x:c>
      <x:c r="G64" s="10" t="s">
        <x:v>186</x:v>
      </x:c>
      <x:c r="H64" s="12">
        <x:v>8</x:v>
      </x:c>
      <x:c r="I64" s="12">
        <x:v>2</x:v>
      </x:c>
      <x:c r="J64" s="12">
        <x:v>9</x:v>
      </x:c>
      <x:c r="K64" s="13">
        <x:v>8640</x:v>
      </x:c>
      <x:c r="L64" s="14">
        <x:v>11.78</x:v>
      </x:c>
      <x:c r="M64" s="13">
        <x:v>101779</x:v>
      </x:c>
      <x:c r="N64" s="13">
        <x:v>95783</x:v>
      </x:c>
      <x:c r="O64" s="13">
        <x:v>204</x:v>
      </x:c>
      <x:c r="P64" s="13">
        <x:v>5792</x:v>
      </x:c>
      <x:c r="Q64" t="str">
        <x:f t="shared" si="9"/>
        <x:v>PE-KG01-L25-20251021-PM-ORD-2025-00161</x:v>
      </x:c>
      <x:c r="R64">
        <x:f t="shared" si="10"/>
        <x:v>16</x:v>
      </x:c>
      <x:c r="S64" t="str">
        <x:f t="shared" si="11"/>
        <x:v>OK</x:v>
      </x:c>
      <x:c r="T64" t="str">
        <x:f t="shared" si="12"/>
        <x:v>OK</x:v>
      </x:c>
      <x:c r="U64" t="str">
        <x:f t="shared" si="13"/>
        <x:v>OK</x:v>
      </x:c>
      <x:c r="V64" t="str">
        <x:f t="shared" si="14"/>
        <x:v>OK</x:v>
      </x:c>
      <x:c r="W64" t="n">
        <x:f>IF(Q64="","",SUMIF(ProductionConfiguration!$B$5:$B$914,Q64,ProductionConfiguration!$S$5:$S$914))</x:f>
        <x:v>16</x:v>
      </x:c>
      <x:c r="X64" t="str">
        <x:f t="shared" si="15"/>
        <x:v>OK</x:v>
      </x:c>
      <x:c r="Y64" t="str">
        <x:f t="shared" si="16"/>
        <x:v>OK</x:v>
      </x:c>
      <x:c r="Z64" t="str">
        <x:f t="shared" si="17">IF(A64="","",IF(AND(S64="OK",T64="OK",U64="OK",V64="OK",X64="OK",Y64="OK",AB64="OK",AD64="OK",AF64="OK"),"OK","CHECK"))</x:f>
        <x:v>OK</x:v>
      </x:c>
      <x:c r="AA64" t="str">
        <x:v>PLC-PRD-JAR-720-L25</x:v>
      </x:c>
      <x:c r="AB64" t="str">
        <x:v>OK</x:v>
      </x:c>
      <x:c r="AC64" t="str">
        <x:v>M25</x:v>
      </x:c>
      <x:c r="AD64" t="str">
        <x:v>OK</x:v>
      </x:c>
      <x:c r="AE64" t="n">
        <x:v>16</x:v>
      </x:c>
      <x:c r="AF64" t="str">
        <x:v>OK</x:v>
      </x:c>
      <x:c r="AG64"/>
      <x:c r="AH64"/>
      <x:c r="AI64"/>
      <x:c r="AJ64"/>
      <x:c r="AK64" t="str">
        <x:v>02_Supervisor_Log(4).xlsx</x:v>
      </x:c>
      <x:c r="AL64" t="str">
        <x:v>ENH-20260830-01</x:v>
      </x:c>
      <x:c r="AM64" t="str">
        <x:v>Active</x:v>
      </x:c>
      <x:c r="AN64" t="str">
        <x:f>IF(A64="","",IF(Z64="OK","LOAD","QUARANTINE"))</x:f>
        <x:v>LOAD</x:v>
      </x:c>
    </x:row>
    <x:row r="65" ht="18" customHeight="1">
      <x:c r="A65" s="10" t="s">
        <x:v>44</x:v>
      </x:c>
      <x:c r="B65" s="11">
        <x:v>45952</x:v>
      </x:c>
      <x:c r="C65" s="10" t="s">
        <x:v>45</x:v>
      </x:c>
      <x:c r="D65" s="10" t="s">
        <x:v>51</x:v>
      </x:c>
      <x:c r="E65" s="12">
        <x:v>25</x:v>
      </x:c>
      <x:c r="F65" s="10" t="s">
        <x:v>76</x:v>
      </x:c>
      <x:c r="G65" s="10" t="s">
        <x:v>186</x:v>
      </x:c>
      <x:c r="H65" s="12">
        <x:v>8</x:v>
      </x:c>
      <x:c r="I65" s="12">
        <x:v>2</x:v>
      </x:c>
      <x:c r="J65" s="12">
        <x:v>9</x:v>
      </x:c>
      <x:c r="K65" s="13">
        <x:v>8640</x:v>
      </x:c>
      <x:c r="L65" s="14">
        <x:v>11.48</x:v>
      </x:c>
      <x:c r="M65" s="13">
        <x:v>99187</x:v>
      </x:c>
      <x:c r="N65" s="13">
        <x:v>93893</x:v>
      </x:c>
      <x:c r="O65" s="13">
        <x:v>1024</x:v>
      </x:c>
      <x:c r="P65" s="13">
        <x:v>4270</x:v>
      </x:c>
      <x:c r="Q65" t="str">
        <x:f t="shared" si="9"/>
        <x:v>PE-KG01-L25-20251022-AM-ORD-2025-00161</x:v>
      </x:c>
      <x:c r="R65">
        <x:f t="shared" si="10"/>
        <x:v>16</x:v>
      </x:c>
      <x:c r="S65" t="str">
        <x:f t="shared" si="11"/>
        <x:v>OK</x:v>
      </x:c>
      <x:c r="T65" t="str">
        <x:f t="shared" si="12"/>
        <x:v>OK</x:v>
      </x:c>
      <x:c r="U65" t="str">
        <x:f t="shared" si="13"/>
        <x:v>OK</x:v>
      </x:c>
      <x:c r="V65" t="str">
        <x:f t="shared" si="14"/>
        <x:v>OK</x:v>
      </x:c>
      <x:c r="W65" t="n">
        <x:f>IF(Q65="","",SUMIF(ProductionConfiguration!$B$5:$B$914,Q65,ProductionConfiguration!$S$5:$S$914))</x:f>
        <x:v>16</x:v>
      </x:c>
      <x:c r="X65" t="str">
        <x:f t="shared" si="15"/>
        <x:v>OK</x:v>
      </x:c>
      <x:c r="Y65" t="str">
        <x:f t="shared" si="16"/>
        <x:v>OK</x:v>
      </x:c>
      <x:c r="Z65" t="str">
        <x:f t="shared" si="17">IF(A65="","",IF(AND(S65="OK",T65="OK",U65="OK",V65="OK",X65="OK",Y65="OK",AB65="OK",AD65="OK",AF65="OK"),"OK","CHECK"))</x:f>
        <x:v>OK</x:v>
      </x:c>
      <x:c r="AA65" t="str">
        <x:v>PLC-PRD-JAR-720-L25</x:v>
      </x:c>
      <x:c r="AB65" t="str">
        <x:v>OK</x:v>
      </x:c>
      <x:c r="AC65" t="str">
        <x:v>M25</x:v>
      </x:c>
      <x:c r="AD65" t="str">
        <x:v>OK</x:v>
      </x:c>
      <x:c r="AE65" t="n">
        <x:v>16</x:v>
      </x:c>
      <x:c r="AF65" t="str">
        <x:v>OK</x:v>
      </x:c>
      <x:c r="AG65"/>
      <x:c r="AH65"/>
      <x:c r="AI65"/>
      <x:c r="AJ65"/>
      <x:c r="AK65" t="str">
        <x:v>02_Supervisor_Log(4).xlsx</x:v>
      </x:c>
      <x:c r="AL65" t="str">
        <x:v>ENH-20260830-01</x:v>
      </x:c>
      <x:c r="AM65" t="str">
        <x:v>Active</x:v>
      </x:c>
      <x:c r="AN65" t="str">
        <x:f>IF(A65="","",IF(Z65="OK","LOAD","QUARANTINE"))</x:f>
        <x:v>LOAD</x:v>
      </x:c>
    </x:row>
    <x:row r="66" ht="18" customHeight="1">
      <x:c r="A66" s="10" t="s">
        <x:v>44</x:v>
      </x:c>
      <x:c r="B66" s="11">
        <x:v>45952</x:v>
      </x:c>
      <x:c r="C66" s="10" t="s">
        <x:v>187</x:v>
      </x:c>
      <x:c r="D66" s="10" t="s">
        <x:v>55</x:v>
      </x:c>
      <x:c r="E66" s="12">
        <x:v>25</x:v>
      </x:c>
      <x:c r="F66" s="10" t="s">
        <x:v>76</x:v>
      </x:c>
      <x:c r="G66" s="10" t="s">
        <x:v>186</x:v>
      </x:c>
      <x:c r="H66" s="12">
        <x:v>8</x:v>
      </x:c>
      <x:c r="I66" s="12">
        <x:v>2</x:v>
      </x:c>
      <x:c r="J66" s="12">
        <x:v>9</x:v>
      </x:c>
      <x:c r="K66" s="13">
        <x:v>8640</x:v>
      </x:c>
      <x:c r="L66" s="14">
        <x:v>11.52</x:v>
      </x:c>
      <x:c r="M66" s="13">
        <x:v>99533</x:v>
      </x:c>
      <x:c r="N66" s="13">
        <x:v>92090</x:v>
      </x:c>
      <x:c r="O66" s="13">
        <x:v>1260</x:v>
      </x:c>
      <x:c r="P66" s="13">
        <x:v>6183</x:v>
      </x:c>
      <x:c r="Q66" t="str">
        <x:f t="shared" si="9"/>
        <x:v>PE-KG01-L25-20251022-PM-ORD-2025-00161</x:v>
      </x:c>
      <x:c r="R66">
        <x:f t="shared" si="10"/>
        <x:v>16</x:v>
      </x:c>
      <x:c r="S66" t="str">
        <x:f t="shared" si="11"/>
        <x:v>OK</x:v>
      </x:c>
      <x:c r="T66" t="str">
        <x:f t="shared" si="12"/>
        <x:v>OK</x:v>
      </x:c>
      <x:c r="U66" t="str">
        <x:f t="shared" si="13"/>
        <x:v>OK</x:v>
      </x:c>
      <x:c r="V66" t="str">
        <x:f t="shared" si="14"/>
        <x:v>OK</x:v>
      </x:c>
      <x:c r="W66" t="n">
        <x:f>IF(Q66="","",SUMIF(ProductionConfiguration!$B$5:$B$914,Q66,ProductionConfiguration!$S$5:$S$914))</x:f>
        <x:v>16</x:v>
      </x:c>
      <x:c r="X66" t="str">
        <x:f t="shared" si="15"/>
        <x:v>OK</x:v>
      </x:c>
      <x:c r="Y66" t="str">
        <x:f t="shared" si="16"/>
        <x:v>OK</x:v>
      </x:c>
      <x:c r="Z66" t="str">
        <x:f t="shared" si="17">IF(A66="","",IF(AND(S66="OK",T66="OK",U66="OK",V66="OK",X66="OK",Y66="OK",AB66="OK",AD66="OK",AF66="OK"),"OK","CHECK"))</x:f>
        <x:v>OK</x:v>
      </x:c>
      <x:c r="AA66" t="str">
        <x:v>PLC-PRD-JAR-720-L25</x:v>
      </x:c>
      <x:c r="AB66" t="str">
        <x:v>OK</x:v>
      </x:c>
      <x:c r="AC66" t="str">
        <x:v>M25</x:v>
      </x:c>
      <x:c r="AD66" t="str">
        <x:v>OK</x:v>
      </x:c>
      <x:c r="AE66" t="n">
        <x:v>16</x:v>
      </x:c>
      <x:c r="AF66" t="str">
        <x:v>OK</x:v>
      </x:c>
      <x:c r="AG66"/>
      <x:c r="AH66"/>
      <x:c r="AI66"/>
      <x:c r="AJ66"/>
      <x:c r="AK66" t="str">
        <x:v>02_Supervisor_Log(4).xlsx</x:v>
      </x:c>
      <x:c r="AL66" t="str">
        <x:v>ENH-20260830-01</x:v>
      </x:c>
      <x:c r="AM66" t="str">
        <x:v>Active</x:v>
      </x:c>
      <x:c r="AN66" t="str">
        <x:f>IF(A66="","",IF(Z66="OK","LOAD","QUARANTINE"))</x:f>
        <x:v>LOAD</x:v>
      </x:c>
    </x:row>
    <x:row r="67" ht="18" customHeight="1">
      <x:c r="A67" s="10" t="s">
        <x:v>44</x:v>
      </x:c>
      <x:c r="B67" s="11">
        <x:v>45953</x:v>
      </x:c>
      <x:c r="C67" s="10" t="s">
        <x:v>45</x:v>
      </x:c>
      <x:c r="D67" s="10" t="s">
        <x:v>55</x:v>
      </x:c>
      <x:c r="E67" s="12">
        <x:v>25</x:v>
      </x:c>
      <x:c r="F67" s="10" t="s">
        <x:v>77</x:v>
      </x:c>
      <x:c r="G67" s="10" t="s">
        <x:v>186</x:v>
      </x:c>
      <x:c r="H67" s="12">
        <x:v>8</x:v>
      </x:c>
      <x:c r="I67" s="12">
        <x:v>3</x:v>
      </x:c>
      <x:c r="J67" s="12">
        <x:v>12</x:v>
      </x:c>
      <x:c r="K67" s="13">
        <x:v>17280</x:v>
      </x:c>
      <x:c r="L67" s="14">
        <x:v>7.46</x:v>
      </x:c>
      <x:c r="M67" s="13">
        <x:v>128909</x:v>
      </x:c>
      <x:c r="N67" s="13">
        <x:v>121585</x:v>
      </x:c>
      <x:c r="O67" s="13">
        <x:v>711</x:v>
      </x:c>
      <x:c r="P67" s="13">
        <x:v>6613</x:v>
      </x:c>
      <x:c r="Q67" t="str">
        <x:f t="shared" si="9"/>
        <x:v>PE-KG01-L25-20251023-AM-ORD-2025-00162</x:v>
      </x:c>
      <x:c r="R67">
        <x:f t="shared" si="10"/>
        <x:v>24</x:v>
      </x:c>
      <x:c r="S67" t="str">
        <x:f t="shared" si="11"/>
        <x:v>OK</x:v>
      </x:c>
      <x:c r="T67" t="str">
        <x:f t="shared" si="12"/>
        <x:v>OK</x:v>
      </x:c>
      <x:c r="U67" t="str">
        <x:f t="shared" si="13"/>
        <x:v>OK</x:v>
      </x:c>
      <x:c r="V67" t="str">
        <x:f t="shared" si="14"/>
        <x:v>OK</x:v>
      </x:c>
      <x:c r="W67" t="n">
        <x:f>IF(Q67="","",SUMIF(ProductionConfiguration!$B$5:$B$914,Q67,ProductionConfiguration!$S$5:$S$914))</x:f>
        <x:v>24</x:v>
      </x:c>
      <x:c r="X67" t="str">
        <x:f t="shared" si="15"/>
        <x:v>OK</x:v>
      </x:c>
      <x:c r="Y67" t="str">
        <x:f t="shared" si="16"/>
        <x:v>OK</x:v>
      </x:c>
      <x:c r="Z67" t="str">
        <x:f t="shared" si="17">IF(A67="","",IF(AND(S67="OK",T67="OK",U67="OK",V67="OK",X67="OK",Y67="OK",AB67="OK",AD67="OK",AF67="OK"),"OK","CHECK"))</x:f>
        <x:v>OK</x:v>
      </x:c>
      <x:c r="AA67" t="str">
        <x:v>PLC-PRD-JAR-330-L25</x:v>
      </x:c>
      <x:c r="AB67" t="str">
        <x:v>OK</x:v>
      </x:c>
      <x:c r="AC67" t="str">
        <x:v>M25</x:v>
      </x:c>
      <x:c r="AD67" t="str">
        <x:v>OK</x:v>
      </x:c>
      <x:c r="AE67" t="n">
        <x:v>24</x:v>
      </x:c>
      <x:c r="AF67" t="str">
        <x:v>OK</x:v>
      </x:c>
      <x:c r="AG67"/>
      <x:c r="AH67"/>
      <x:c r="AI67"/>
      <x:c r="AJ67"/>
      <x:c r="AK67" t="str">
        <x:v>02_Supervisor_Log(4).xlsx</x:v>
      </x:c>
      <x:c r="AL67" t="str">
        <x:v>ENH-20260830-01</x:v>
      </x:c>
      <x:c r="AM67" t="str">
        <x:v>Active</x:v>
      </x:c>
      <x:c r="AN67" t="str">
        <x:f>IF(A67="","",IF(Z67="OK","LOAD","QUARANTINE"))</x:f>
        <x:v>LOAD</x:v>
      </x:c>
    </x:row>
    <x:row r="68" ht="18" customHeight="1">
      <x:c r="A68" s="10" t="s">
        <x:v>44</x:v>
      </x:c>
      <x:c r="B68" s="11">
        <x:v>45953</x:v>
      </x:c>
      <x:c r="C68" s="10" t="s">
        <x:v>187</x:v>
      </x:c>
      <x:c r="D68" s="10" t="s">
        <x:v>46</x:v>
      </x:c>
      <x:c r="E68" s="12">
        <x:v>25</x:v>
      </x:c>
      <x:c r="F68" s="10" t="s">
        <x:v>77</x:v>
      </x:c>
      <x:c r="G68" s="10" t="s">
        <x:v>186</x:v>
      </x:c>
      <x:c r="H68" s="12">
        <x:v>8</x:v>
      </x:c>
      <x:c r="I68" s="12">
        <x:v>3</x:v>
      </x:c>
      <x:c r="J68" s="12">
        <x:v>12</x:v>
      </x:c>
      <x:c r="K68" s="13">
        <x:v>17280</x:v>
      </x:c>
      <x:c r="L68" s="14">
        <x:v>11.49</x:v>
      </x:c>
      <x:c r="M68" s="13">
        <x:v>198547</x:v>
      </x:c>
      <x:c r="N68" s="13">
        <x:v>182198</x:v>
      </x:c>
      <x:c r="O68" s="13">
        <x:v>3631</x:v>
      </x:c>
      <x:c r="P68" s="13">
        <x:v>12718</x:v>
      </x:c>
      <x:c r="Q68" t="str">
        <x:f t="shared" si="9"/>
        <x:v>PE-KG01-L25-20251023-PM-ORD-2025-00162</x:v>
      </x:c>
      <x:c r="R68">
        <x:f t="shared" si="10"/>
        <x:v>24</x:v>
      </x:c>
      <x:c r="S68" t="str">
        <x:f t="shared" si="11"/>
        <x:v>OK</x:v>
      </x:c>
      <x:c r="T68" t="str">
        <x:f t="shared" si="12"/>
        <x:v>OK</x:v>
      </x:c>
      <x:c r="U68" t="str">
        <x:f t="shared" si="13"/>
        <x:v>OK</x:v>
      </x:c>
      <x:c r="V68" t="str">
        <x:f t="shared" si="14"/>
        <x:v>OK</x:v>
      </x:c>
      <x:c r="W68" t="n">
        <x:f>IF(Q68="","",SUMIF(ProductionConfiguration!$B$5:$B$914,Q68,ProductionConfiguration!$S$5:$S$914))</x:f>
        <x:v>24</x:v>
      </x:c>
      <x:c r="X68" t="str">
        <x:f t="shared" si="15"/>
        <x:v>OK</x:v>
      </x:c>
      <x:c r="Y68" t="str">
        <x:f t="shared" si="16"/>
        <x:v>OK</x:v>
      </x:c>
      <x:c r="Z68" t="str">
        <x:f t="shared" si="17">IF(A68="","",IF(AND(S68="OK",T68="OK",U68="OK",V68="OK",X68="OK",Y68="OK",AB68="OK",AD68="OK",AF68="OK"),"OK","CHECK"))</x:f>
        <x:v>OK</x:v>
      </x:c>
      <x:c r="AA68" t="str">
        <x:v>PLC-PRD-JAR-330-L25</x:v>
      </x:c>
      <x:c r="AB68" t="str">
        <x:v>OK</x:v>
      </x:c>
      <x:c r="AC68" t="str">
        <x:v>M25</x:v>
      </x:c>
      <x:c r="AD68" t="str">
        <x:v>OK</x:v>
      </x:c>
      <x:c r="AE68" t="n">
        <x:v>24</x:v>
      </x:c>
      <x:c r="AF68" t="str">
        <x:v>OK</x:v>
      </x:c>
      <x:c r="AG68"/>
      <x:c r="AH68"/>
      <x:c r="AI68"/>
      <x:c r="AJ68"/>
      <x:c r="AK68" t="str">
        <x:v>02_Supervisor_Log(4).xlsx</x:v>
      </x:c>
      <x:c r="AL68" t="str">
        <x:v>ENH-20260830-01</x:v>
      </x:c>
      <x:c r="AM68" t="str">
        <x:v>Active</x:v>
      </x:c>
      <x:c r="AN68" t="str">
        <x:f>IF(A68="","",IF(Z68="OK","LOAD","QUARANTINE"))</x:f>
        <x:v>LOAD</x:v>
      </x:c>
    </x:row>
    <x:row r="69" ht="18" customHeight="1">
      <x:c r="A69" s="10" t="s">
        <x:v>44</x:v>
      </x:c>
      <x:c r="B69" s="11">
        <x:v>45954</x:v>
      </x:c>
      <x:c r="C69" s="10" t="s">
        <x:v>45</x:v>
      </x:c>
      <x:c r="D69" s="10" t="s">
        <x:v>46</x:v>
      </x:c>
      <x:c r="E69" s="12">
        <x:v>25</x:v>
      </x:c>
      <x:c r="F69" s="10" t="s">
        <x:v>77</x:v>
      </x:c>
      <x:c r="G69" s="10" t="s">
        <x:v>186</x:v>
      </x:c>
      <x:c r="H69" s="12">
        <x:v>8</x:v>
      </x:c>
      <x:c r="I69" s="12">
        <x:v>3</x:v>
      </x:c>
      <x:c r="J69" s="12">
        <x:v>11</x:v>
      </x:c>
      <x:c r="K69" s="13">
        <x:v>15840</x:v>
      </x:c>
      <x:c r="L69" s="14">
        <x:v>11.63</x:v>
      </x:c>
      <x:c r="M69" s="13">
        <x:v>184219</x:v>
      </x:c>
      <x:c r="N69" s="13">
        <x:v>172194</x:v>
      </x:c>
      <x:c r="O69" s="13">
        <x:v>1886</x:v>
      </x:c>
      <x:c r="P69" s="13">
        <x:v>10139</x:v>
      </x:c>
      <x:c r="Q69" t="str">
        <x:f t="shared" ref="Q69:Q100" si="18">IF(A69="","", "PE-"&amp;A69&amp;"-L"&amp;TEXT(E69,"00")&amp;"-"&amp;TEXT(B69,"yyyymmdd")&amp;"-"&amp;C69&amp;"-"&amp;F69)</x:f>
        <x:v>PE-KG01-L25-20251024-AM-ORD-2025-00162</x:v>
      </x:c>
      <x:c r="R69" t="n">
        <x:f t="shared" ref="R69:R100" si="19">IF(A69="","",H69*I69)</x:f>
        <x:v>24</x:v>
      </x:c>
      <x:c r="S69" t="str">
        <x:f t="shared" ref="S69:S100" si="20">IF(A69="","",IF(AND(H69&gt;=1,H69&lt;=13,I69&gt;=1,I69&lt;=3),"OK","CHECK"))</x:f>
        <x:v>OK</x:v>
      </x:c>
      <x:c r="T69" t="str">
        <x:f t="shared" ref="T69:T100" si="21">IF(A69="","",IF(ABS(K69-(J69*H69*I69*60))&lt;=0.5,"OK","CHECK"))</x:f>
        <x:v>OK</x:v>
      </x:c>
      <x:c r="U69" t="str">
        <x:f t="shared" ref="U69:U100" si="22">IF(A69="","",IF(ABS(M69-(K69*L69))&lt;=1,"OK","CHECK"))</x:f>
        <x:v>OK</x:v>
      </x:c>
      <x:c r="V69" t="str">
        <x:f t="shared" ref="V69:V100" si="23">IF(A69="","",IF(ABS(M69-N69-O69-P69)&lt;=1,"OK","CHECK"))</x:f>
        <x:v>OK</x:v>
      </x:c>
      <x:c r="W69" t="n">
        <x:f>IF(Q69="","",SUMIF(ProductionConfiguration!$B$5:$B$914,Q69,ProductionConfiguration!$S$5:$S$914))</x:f>
        <x:v>24</x:v>
      </x:c>
      <x:c r="X69" t="str">
        <x:f t="shared" ref="X69:X100" si="24">IF(A69="","",IF(R69=W69,"OK","CHECK"))</x:f>
        <x:v>OK</x:v>
      </x:c>
      <x:c r="Y69" t="str">
        <x:f t="shared" ref="Y69:Y100" si="25">IF(Q69="","",IF(COUNTIF($Q$5:$Q$100,Q69)=1,"OK","CHECK"))</x:f>
        <x:v>OK</x:v>
      </x:c>
      <x:c r="Z69" t="str">
        <x:f t="shared" ref="Z69:Z100" si="26">IF(A69="","",IF(AND(S69="OK",T69="OK",U69="OK",V69="OK",X69="OK",Y69="OK",AB69="OK",AD69="OK",AF69="OK"),"OK","CHECK"))</x:f>
        <x:v>OK</x:v>
      </x:c>
      <x:c r="AA69" t="str">
        <x:v>PLC-PRD-JAR-330-L25</x:v>
      </x:c>
      <x:c r="AB69" t="str">
        <x:v>OK</x:v>
      </x:c>
      <x:c r="AC69" t="str">
        <x:v>M25</x:v>
      </x:c>
      <x:c r="AD69" t="str">
        <x:v>OK</x:v>
      </x:c>
      <x:c r="AE69" t="n">
        <x:v>24</x:v>
      </x:c>
      <x:c r="AF69" t="str">
        <x:v>OK</x:v>
      </x:c>
      <x:c r="AG69"/>
      <x:c r="AH69"/>
      <x:c r="AI69"/>
      <x:c r="AJ69"/>
      <x:c r="AK69" t="str">
        <x:v>02_Supervisor_Log(4).xlsx</x:v>
      </x:c>
      <x:c r="AL69" t="str">
        <x:v>ENH-20260830-01</x:v>
      </x:c>
      <x:c r="AM69" t="str">
        <x:v>Active</x:v>
      </x:c>
      <x:c r="AN69" t="str">
        <x:f>IF(A69="","",IF(Z69="OK","LOAD","QUARANTINE"))</x:f>
        <x:v>LOAD</x:v>
      </x:c>
    </x:row>
    <x:row r="70" ht="18" customHeight="1">
      <x:c r="A70" s="10" t="s">
        <x:v>44</x:v>
      </x:c>
      <x:c r="B70" s="11">
        <x:v>45954</x:v>
      </x:c>
      <x:c r="C70" s="10" t="s">
        <x:v>187</x:v>
      </x:c>
      <x:c r="D70" s="10" t="s">
        <x:v>51</x:v>
      </x:c>
      <x:c r="E70" s="12">
        <x:v>25</x:v>
      </x:c>
      <x:c r="F70" s="10" t="s">
        <x:v>77</x:v>
      </x:c>
      <x:c r="G70" s="10" t="s">
        <x:v>186</x:v>
      </x:c>
      <x:c r="H70" s="12">
        <x:v>8</x:v>
      </x:c>
      <x:c r="I70" s="12">
        <x:v>3</x:v>
      </x:c>
      <x:c r="J70" s="12">
        <x:v>11</x:v>
      </x:c>
      <x:c r="K70" s="13">
        <x:v>15840</x:v>
      </x:c>
      <x:c r="L70" s="14">
        <x:v>11.59</x:v>
      </x:c>
      <x:c r="M70" s="13">
        <x:v>183586</x:v>
      </x:c>
      <x:c r="N70" s="13">
        <x:v>171431</x:v>
      </x:c>
      <x:c r="O70" s="13">
        <x:v>813</x:v>
      </x:c>
      <x:c r="P70" s="13">
        <x:v>11342</x:v>
      </x:c>
      <x:c r="Q70" t="str">
        <x:f t="shared" si="18"/>
        <x:v>PE-KG01-L25-20251024-PM-ORD-2025-00162</x:v>
      </x:c>
      <x:c r="R70">
        <x:f t="shared" si="19"/>
        <x:v>24</x:v>
      </x:c>
      <x:c r="S70" t="str">
        <x:f t="shared" si="20"/>
        <x:v>OK</x:v>
      </x:c>
      <x:c r="T70" t="str">
        <x:f t="shared" si="21"/>
        <x:v>OK</x:v>
      </x:c>
      <x:c r="U70" t="str">
        <x:f t="shared" si="22"/>
        <x:v>OK</x:v>
      </x:c>
      <x:c r="V70" t="str">
        <x:f t="shared" si="23"/>
        <x:v>OK</x:v>
      </x:c>
      <x:c r="W70" t="n">
        <x:f>IF(Q70="","",SUMIF(ProductionConfiguration!$B$5:$B$914,Q70,ProductionConfiguration!$S$5:$S$914))</x:f>
        <x:v>24</x:v>
      </x:c>
      <x:c r="X70" t="str">
        <x:f t="shared" si="24"/>
        <x:v>OK</x:v>
      </x:c>
      <x:c r="Y70" t="str">
        <x:f t="shared" si="25"/>
        <x:v>OK</x:v>
      </x:c>
      <x:c r="Z70" t="str">
        <x:f t="shared" si="26">IF(A70="","",IF(AND(S70="OK",T70="OK",U70="OK",V70="OK",X70="OK",Y70="OK",AB70="OK",AD70="OK",AF70="OK"),"OK","CHECK"))</x:f>
        <x:v>OK</x:v>
      </x:c>
      <x:c r="AA70" t="str">
        <x:v>PLC-PRD-JAR-330-L25</x:v>
      </x:c>
      <x:c r="AB70" t="str">
        <x:v>OK</x:v>
      </x:c>
      <x:c r="AC70" t="str">
        <x:v>M25</x:v>
      </x:c>
      <x:c r="AD70" t="str">
        <x:v>OK</x:v>
      </x:c>
      <x:c r="AE70" t="n">
        <x:v>24</x:v>
      </x:c>
      <x:c r="AF70" t="str">
        <x:v>OK</x:v>
      </x:c>
      <x:c r="AG70"/>
      <x:c r="AH70"/>
      <x:c r="AI70"/>
      <x:c r="AJ70"/>
      <x:c r="AK70" t="str">
        <x:v>02_Supervisor_Log(4).xlsx</x:v>
      </x:c>
      <x:c r="AL70" t="str">
        <x:v>ENH-20260830-01</x:v>
      </x:c>
      <x:c r="AM70" t="str">
        <x:v>Active</x:v>
      </x:c>
      <x:c r="AN70" t="str">
        <x:f>IF(A70="","",IF(Z70="OK","LOAD","QUARANTINE"))</x:f>
        <x:v>LOAD</x:v>
      </x:c>
    </x:row>
    <x:row r="71" ht="18" customHeight="1">
      <x:c r="A71" s="10" t="s">
        <x:v>44</x:v>
      </x:c>
      <x:c r="B71" s="11">
        <x:v>45955</x:v>
      </x:c>
      <x:c r="C71" s="10" t="s">
        <x:v>45</x:v>
      </x:c>
      <x:c r="D71" s="10" t="s">
        <x:v>51</x:v>
      </x:c>
      <x:c r="E71" s="12">
        <x:v>25</x:v>
      </x:c>
      <x:c r="F71" s="10" t="s">
        <x:v>77</x:v>
      </x:c>
      <x:c r="G71" s="10" t="s">
        <x:v>186</x:v>
      </x:c>
      <x:c r="H71" s="12">
        <x:v>8</x:v>
      </x:c>
      <x:c r="I71" s="12">
        <x:v>3</x:v>
      </x:c>
      <x:c r="J71" s="12">
        <x:v>11</x:v>
      </x:c>
      <x:c r="K71" s="13">
        <x:v>15840</x:v>
      </x:c>
      <x:c r="L71" s="14">
        <x:v>11.54</x:v>
      </x:c>
      <x:c r="M71" s="13">
        <x:v>182794</x:v>
      </x:c>
      <x:c r="N71" s="13">
        <x:v>172785</x:v>
      </x:c>
      <x:c r="O71" s="13">
        <x:v>679</x:v>
      </x:c>
      <x:c r="P71" s="13">
        <x:v>9330</x:v>
      </x:c>
      <x:c r="Q71" t="str">
        <x:f t="shared" si="18"/>
        <x:v>PE-KG01-L25-20251025-AM-ORD-2025-00162</x:v>
      </x:c>
      <x:c r="R71">
        <x:f t="shared" si="19"/>
        <x:v>24</x:v>
      </x:c>
      <x:c r="S71" t="str">
        <x:f t="shared" si="20"/>
        <x:v>OK</x:v>
      </x:c>
      <x:c r="T71" t="str">
        <x:f t="shared" si="21"/>
        <x:v>OK</x:v>
      </x:c>
      <x:c r="U71" t="str">
        <x:f t="shared" si="22"/>
        <x:v>OK</x:v>
      </x:c>
      <x:c r="V71" t="str">
        <x:f t="shared" si="23"/>
        <x:v>OK</x:v>
      </x:c>
      <x:c r="W71" t="n">
        <x:f>IF(Q71="","",SUMIF(ProductionConfiguration!$B$5:$B$914,Q71,ProductionConfiguration!$S$5:$S$914))</x:f>
        <x:v>24</x:v>
      </x:c>
      <x:c r="X71" t="str">
        <x:f t="shared" si="24"/>
        <x:v>OK</x:v>
      </x:c>
      <x:c r="Y71" t="str">
        <x:f t="shared" si="25"/>
        <x:v>OK</x:v>
      </x:c>
      <x:c r="Z71" t="str">
        <x:f t="shared" si="26">IF(A71="","",IF(AND(S71="OK",T71="OK",U71="OK",V71="OK",X71="OK",Y71="OK",AB71="OK",AD71="OK",AF71="OK"),"OK","CHECK"))</x:f>
        <x:v>OK</x:v>
      </x:c>
      <x:c r="AA71" t="str">
        <x:v>PLC-PRD-JAR-330-L25</x:v>
      </x:c>
      <x:c r="AB71" t="str">
        <x:v>OK</x:v>
      </x:c>
      <x:c r="AC71" t="str">
        <x:v>M25</x:v>
      </x:c>
      <x:c r="AD71" t="str">
        <x:v>OK</x:v>
      </x:c>
      <x:c r="AE71" t="n">
        <x:v>24</x:v>
      </x:c>
      <x:c r="AF71" t="str">
        <x:v>OK</x:v>
      </x:c>
      <x:c r="AG71"/>
      <x:c r="AH71"/>
      <x:c r="AI71"/>
      <x:c r="AJ71"/>
      <x:c r="AK71" t="str">
        <x:v>02_Supervisor_Log(4).xlsx</x:v>
      </x:c>
      <x:c r="AL71" t="str">
        <x:v>ENH-20260830-01</x:v>
      </x:c>
      <x:c r="AM71" t="str">
        <x:v>Active</x:v>
      </x:c>
      <x:c r="AN71" t="str">
        <x:f>IF(A71="","",IF(Z71="OK","LOAD","QUARANTINE"))</x:f>
        <x:v>LOAD</x:v>
      </x:c>
    </x:row>
    <x:row r="72" ht="18" customHeight="1">
      <x:c r="A72" s="10" t="s">
        <x:v>44</x:v>
      </x:c>
      <x:c r="B72" s="11">
        <x:v>45955</x:v>
      </x:c>
      <x:c r="C72" s="10" t="s">
        <x:v>187</x:v>
      </x:c>
      <x:c r="D72" s="10" t="s">
        <x:v>55</x:v>
      </x:c>
      <x:c r="E72" s="12">
        <x:v>25</x:v>
      </x:c>
      <x:c r="F72" s="10" t="s">
        <x:v>77</x:v>
      </x:c>
      <x:c r="G72" s="10" t="s">
        <x:v>186</x:v>
      </x:c>
      <x:c r="H72" s="12">
        <x:v>8</x:v>
      </x:c>
      <x:c r="I72" s="12">
        <x:v>3</x:v>
      </x:c>
      <x:c r="J72" s="12">
        <x:v>12</x:v>
      </x:c>
      <x:c r="K72" s="13">
        <x:v>17280</x:v>
      </x:c>
      <x:c r="L72" s="14">
        <x:v>11.73</x:v>
      </x:c>
      <x:c r="M72" s="13">
        <x:v>202694</x:v>
      </x:c>
      <x:c r="N72" s="13">
        <x:v>195769</x:v>
      </x:c>
      <x:c r="O72" s="13">
        <x:v>922</x:v>
      </x:c>
      <x:c r="P72" s="13">
        <x:v>6003</x:v>
      </x:c>
      <x:c r="Q72" t="str">
        <x:f t="shared" si="18"/>
        <x:v>PE-KG01-L25-20251025-PM-ORD-2025-00162</x:v>
      </x:c>
      <x:c r="R72">
        <x:f t="shared" si="19"/>
        <x:v>24</x:v>
      </x:c>
      <x:c r="S72" t="str">
        <x:f t="shared" si="20"/>
        <x:v>OK</x:v>
      </x:c>
      <x:c r="T72" t="str">
        <x:f t="shared" si="21"/>
        <x:v>OK</x:v>
      </x:c>
      <x:c r="U72" t="str">
        <x:f t="shared" si="22"/>
        <x:v>OK</x:v>
      </x:c>
      <x:c r="V72" t="str">
        <x:f t="shared" si="23"/>
        <x:v>OK</x:v>
      </x:c>
      <x:c r="W72" t="n">
        <x:f>IF(Q72="","",SUMIF(ProductionConfiguration!$B$5:$B$914,Q72,ProductionConfiguration!$S$5:$S$914))</x:f>
        <x:v>24</x:v>
      </x:c>
      <x:c r="X72" t="str">
        <x:f t="shared" si="24"/>
        <x:v>OK</x:v>
      </x:c>
      <x:c r="Y72" t="str">
        <x:f t="shared" si="25"/>
        <x:v>OK</x:v>
      </x:c>
      <x:c r="Z72" t="str">
        <x:f t="shared" si="26">IF(A72="","",IF(AND(S72="OK",T72="OK",U72="OK",V72="OK",X72="OK",Y72="OK",AB72="OK",AD72="OK",AF72="OK"),"OK","CHECK"))</x:f>
        <x:v>OK</x:v>
      </x:c>
      <x:c r="AA72" t="str">
        <x:v>PLC-PRD-JAR-330-L25</x:v>
      </x:c>
      <x:c r="AB72" t="str">
        <x:v>OK</x:v>
      </x:c>
      <x:c r="AC72" t="str">
        <x:v>M25</x:v>
      </x:c>
      <x:c r="AD72" t="str">
        <x:v>OK</x:v>
      </x:c>
      <x:c r="AE72" t="n">
        <x:v>24</x:v>
      </x:c>
      <x:c r="AF72" t="str">
        <x:v>OK</x:v>
      </x:c>
      <x:c r="AG72"/>
      <x:c r="AH72"/>
      <x:c r="AI72"/>
      <x:c r="AJ72"/>
      <x:c r="AK72" t="str">
        <x:v>02_Supervisor_Log(4).xlsx</x:v>
      </x:c>
      <x:c r="AL72" t="str">
        <x:v>ENH-20260830-01</x:v>
      </x:c>
      <x:c r="AM72" t="str">
        <x:v>Active</x:v>
      </x:c>
      <x:c r="AN72" t="str">
        <x:f>IF(A72="","",IF(Z72="OK","LOAD","QUARANTINE"))</x:f>
        <x:v>LOAD</x:v>
      </x:c>
    </x:row>
    <x:row r="73" ht="18" customHeight="1">
      <x:c r="A73" s="10" t="s">
        <x:v>44</x:v>
      </x:c>
      <x:c r="B73" s="11">
        <x:v>45956</x:v>
      </x:c>
      <x:c r="C73" s="10" t="s">
        <x:v>45</x:v>
      </x:c>
      <x:c r="D73" s="10" t="s">
        <x:v>55</x:v>
      </x:c>
      <x:c r="E73" s="12">
        <x:v>25</x:v>
      </x:c>
      <x:c r="F73" s="10" t="s">
        <x:v>77</x:v>
      </x:c>
      <x:c r="G73" s="10" t="s">
        <x:v>186</x:v>
      </x:c>
      <x:c r="H73" s="12">
        <x:v>8</x:v>
      </x:c>
      <x:c r="I73" s="12">
        <x:v>3</x:v>
      </x:c>
      <x:c r="J73" s="12">
        <x:v>12</x:v>
      </x:c>
      <x:c r="K73" s="13">
        <x:v>17280</x:v>
      </x:c>
      <x:c r="L73" s="14">
        <x:v>11.63</x:v>
      </x:c>
      <x:c r="M73" s="13">
        <x:v>200966</x:v>
      </x:c>
      <x:c r="N73" s="13">
        <x:v>186889</x:v>
      </x:c>
      <x:c r="O73" s="13">
        <x:v>1031</x:v>
      </x:c>
      <x:c r="P73" s="13">
        <x:v>13046</x:v>
      </x:c>
      <x:c r="Q73" t="str">
        <x:f t="shared" si="18"/>
        <x:v>PE-KG01-L25-20251026-AM-ORD-2025-00162</x:v>
      </x:c>
      <x:c r="R73">
        <x:f t="shared" si="19"/>
        <x:v>24</x:v>
      </x:c>
      <x:c r="S73" t="str">
        <x:f t="shared" si="20"/>
        <x:v>OK</x:v>
      </x:c>
      <x:c r="T73" t="str">
        <x:f t="shared" si="21"/>
        <x:v>OK</x:v>
      </x:c>
      <x:c r="U73" t="str">
        <x:f t="shared" si="22"/>
        <x:v>OK</x:v>
      </x:c>
      <x:c r="V73" t="str">
        <x:f t="shared" si="23"/>
        <x:v>OK</x:v>
      </x:c>
      <x:c r="W73" t="n">
        <x:f>IF(Q73="","",SUMIF(ProductionConfiguration!$B$5:$B$914,Q73,ProductionConfiguration!$S$5:$S$914))</x:f>
        <x:v>24</x:v>
      </x:c>
      <x:c r="X73" t="str">
        <x:f t="shared" si="24"/>
        <x:v>OK</x:v>
      </x:c>
      <x:c r="Y73" t="str">
        <x:f t="shared" si="25"/>
        <x:v>OK</x:v>
      </x:c>
      <x:c r="Z73" t="str">
        <x:f t="shared" si="26">IF(A73="","",IF(AND(S73="OK",T73="OK",U73="OK",V73="OK",X73="OK",Y73="OK",AB73="OK",AD73="OK",AF73="OK"),"OK","CHECK"))</x:f>
        <x:v>OK</x:v>
      </x:c>
      <x:c r="AA73" t="str">
        <x:v>PLC-PRD-JAR-330-L25</x:v>
      </x:c>
      <x:c r="AB73" t="str">
        <x:v>OK</x:v>
      </x:c>
      <x:c r="AC73" t="str">
        <x:v>M25</x:v>
      </x:c>
      <x:c r="AD73" t="str">
        <x:v>OK</x:v>
      </x:c>
      <x:c r="AE73" t="n">
        <x:v>24</x:v>
      </x:c>
      <x:c r="AF73" t="str">
        <x:v>OK</x:v>
      </x:c>
      <x:c r="AG73"/>
      <x:c r="AH73"/>
      <x:c r="AI73"/>
      <x:c r="AJ73"/>
      <x:c r="AK73" t="str">
        <x:v>02_Supervisor_Log(4).xlsx</x:v>
      </x:c>
      <x:c r="AL73" t="str">
        <x:v>ENH-20260830-01</x:v>
      </x:c>
      <x:c r="AM73" t="str">
        <x:v>Active</x:v>
      </x:c>
      <x:c r="AN73" t="str">
        <x:f>IF(A73="","",IF(Z73="OK","LOAD","QUARANTINE"))</x:f>
        <x:v>LOAD</x:v>
      </x:c>
    </x:row>
    <x:row r="74" ht="18" customHeight="1">
      <x:c r="A74" s="10" t="s">
        <x:v>44</x:v>
      </x:c>
      <x:c r="B74" s="11">
        <x:v>45956</x:v>
      </x:c>
      <x:c r="C74" s="10" t="s">
        <x:v>187</x:v>
      </x:c>
      <x:c r="D74" s="10" t="s">
        <x:v>46</x:v>
      </x:c>
      <x:c r="E74" s="12">
        <x:v>25</x:v>
      </x:c>
      <x:c r="F74" s="10" t="s">
        <x:v>77</x:v>
      </x:c>
      <x:c r="G74" s="10" t="s">
        <x:v>186</x:v>
      </x:c>
      <x:c r="H74" s="12">
        <x:v>8</x:v>
      </x:c>
      <x:c r="I74" s="12">
        <x:v>3</x:v>
      </x:c>
      <x:c r="J74" s="12">
        <x:v>11</x:v>
      </x:c>
      <x:c r="K74" s="13">
        <x:v>15840</x:v>
      </x:c>
      <x:c r="L74" s="14">
        <x:v>11.74</x:v>
      </x:c>
      <x:c r="M74" s="13">
        <x:v>185962</x:v>
      </x:c>
      <x:c r="N74" s="13">
        <x:v>176117</x:v>
      </x:c>
      <x:c r="O74" s="13">
        <x:v>1546</x:v>
      </x:c>
      <x:c r="P74" s="13">
        <x:v>8299</x:v>
      </x:c>
      <x:c r="Q74" t="str">
        <x:f t="shared" si="18"/>
        <x:v>PE-KG01-L25-20251026-PM-ORD-2025-00162</x:v>
      </x:c>
      <x:c r="R74">
        <x:f t="shared" si="19"/>
        <x:v>24</x:v>
      </x:c>
      <x:c r="S74" t="str">
        <x:f t="shared" si="20"/>
        <x:v>OK</x:v>
      </x:c>
      <x:c r="T74" t="str">
        <x:f t="shared" si="21"/>
        <x:v>OK</x:v>
      </x:c>
      <x:c r="U74" t="str">
        <x:f t="shared" si="22"/>
        <x:v>OK</x:v>
      </x:c>
      <x:c r="V74" t="str">
        <x:f t="shared" si="23"/>
        <x:v>OK</x:v>
      </x:c>
      <x:c r="W74" t="n">
        <x:f>IF(Q74="","",SUMIF(ProductionConfiguration!$B$5:$B$914,Q74,ProductionConfiguration!$S$5:$S$914))</x:f>
        <x:v>24</x:v>
      </x:c>
      <x:c r="X74" t="str">
        <x:f t="shared" si="24"/>
        <x:v>OK</x:v>
      </x:c>
      <x:c r="Y74" t="str">
        <x:f t="shared" si="25"/>
        <x:v>OK</x:v>
      </x:c>
      <x:c r="Z74" t="str">
        <x:f t="shared" si="26">IF(A74="","",IF(AND(S74="OK",T74="OK",U74="OK",V74="OK",X74="OK",Y74="OK",AB74="OK",AD74="OK",AF74="OK"),"OK","CHECK"))</x:f>
        <x:v>OK</x:v>
      </x:c>
      <x:c r="AA74" t="str">
        <x:v>PLC-PRD-JAR-330-L25</x:v>
      </x:c>
      <x:c r="AB74" t="str">
        <x:v>OK</x:v>
      </x:c>
      <x:c r="AC74" t="str">
        <x:v>M25</x:v>
      </x:c>
      <x:c r="AD74" t="str">
        <x:v>OK</x:v>
      </x:c>
      <x:c r="AE74" t="n">
        <x:v>24</x:v>
      </x:c>
      <x:c r="AF74" t="str">
        <x:v>OK</x:v>
      </x:c>
      <x:c r="AG74"/>
      <x:c r="AH74"/>
      <x:c r="AI74"/>
      <x:c r="AJ74"/>
      <x:c r="AK74" t="str">
        <x:v>02_Supervisor_Log(4).xlsx</x:v>
      </x:c>
      <x:c r="AL74" t="str">
        <x:v>ENH-20260830-01</x:v>
      </x:c>
      <x:c r="AM74" t="str">
        <x:v>Active</x:v>
      </x:c>
      <x:c r="AN74" t="str">
        <x:f>IF(A74="","",IF(Z74="OK","LOAD","QUARANTINE"))</x:f>
        <x:v>LOAD</x:v>
      </x:c>
    </x:row>
    <x:row r="75" ht="18" customHeight="1">
      <x:c r="Q75" t="str">
        <x:f t="shared" si="18"/>
      </x:c>
      <x:c r="R75" t="str">
        <x:f t="shared" si="19"/>
      </x:c>
      <x:c r="S75" t="str">
        <x:f t="shared" si="20"/>
      </x:c>
      <x:c r="T75" t="str">
        <x:f t="shared" si="21"/>
      </x:c>
      <x:c r="U75" t="str">
        <x:f t="shared" si="22"/>
      </x:c>
      <x:c r="V75" t="str">
        <x:f t="shared" si="23"/>
      </x:c>
      <x:c r="W75" t="str">
        <x:f>IF(Q75="","",SUMIF(ProductionConfiguration!$B$5:$B$914,Q75,ProductionConfiguration!$S$5:$S$914))</x:f>
      </x:c>
      <x:c r="X75" t="str">
        <x:f t="shared" si="24"/>
      </x:c>
      <x:c r="Y75" t="str">
        <x:f t="shared" si="25"/>
      </x:c>
      <x:c r="Z75" t="str">
        <x:f t="shared" si="26"/>
      </x:c>
    </x:row>
    <x:row r="76" ht="18" customHeight="1">
      <x:c r="Q76" t="str">
        <x:f t="shared" si="18"/>
      </x:c>
      <x:c r="R76" t="str">
        <x:f t="shared" si="19"/>
      </x:c>
      <x:c r="S76" t="str">
        <x:f t="shared" si="20"/>
      </x:c>
      <x:c r="T76" t="str">
        <x:f t="shared" si="21"/>
      </x:c>
      <x:c r="U76" t="str">
        <x:f t="shared" si="22"/>
      </x:c>
      <x:c r="V76" t="str">
        <x:f t="shared" si="23"/>
      </x:c>
      <x:c r="W76" t="str">
        <x:f>IF(Q76="","",SUMIF(ProductionConfiguration!$B$5:$B$914,Q76,ProductionConfiguration!$S$5:$S$914))</x:f>
      </x:c>
      <x:c r="X76" t="str">
        <x:f t="shared" si="24"/>
      </x:c>
      <x:c r="Y76" t="str">
        <x:f t="shared" si="25"/>
      </x:c>
      <x:c r="Z76" t="str">
        <x:f t="shared" si="26"/>
      </x:c>
    </x:row>
    <x:row r="77" ht="18" customHeight="1">
      <x:c r="Q77" t="str">
        <x:f t="shared" si="18"/>
      </x:c>
      <x:c r="R77" t="str">
        <x:f t="shared" si="19"/>
      </x:c>
      <x:c r="S77" t="str">
        <x:f t="shared" si="20"/>
      </x:c>
      <x:c r="T77" t="str">
        <x:f t="shared" si="21"/>
      </x:c>
      <x:c r="U77" t="str">
        <x:f t="shared" si="22"/>
      </x:c>
      <x:c r="V77" t="str">
        <x:f t="shared" si="23"/>
      </x:c>
      <x:c r="W77" t="str">
        <x:f>IF(Q77="","",SUMIF(ProductionConfiguration!$B$5:$B$914,Q77,ProductionConfiguration!$S$5:$S$914))</x:f>
      </x:c>
      <x:c r="X77" t="str">
        <x:f t="shared" si="24"/>
      </x:c>
      <x:c r="Y77" t="str">
        <x:f t="shared" si="25"/>
      </x:c>
      <x:c r="Z77" t="str">
        <x:f t="shared" si="26"/>
      </x:c>
    </x:row>
    <x:row r="78" ht="18" customHeight="1">
      <x:c r="Q78" t="str">
        <x:f t="shared" si="18"/>
      </x:c>
      <x:c r="R78" t="str">
        <x:f t="shared" si="19"/>
      </x:c>
      <x:c r="S78" t="str">
        <x:f t="shared" si="20"/>
      </x:c>
      <x:c r="T78" t="str">
        <x:f t="shared" si="21"/>
      </x:c>
      <x:c r="U78" t="str">
        <x:f t="shared" si="22"/>
      </x:c>
      <x:c r="V78" t="str">
        <x:f t="shared" si="23"/>
      </x:c>
      <x:c r="W78" t="str">
        <x:f>IF(Q78="","",SUMIF(ProductionConfiguration!$B$5:$B$914,Q78,ProductionConfiguration!$S$5:$S$914))</x:f>
      </x:c>
      <x:c r="X78" t="str">
        <x:f t="shared" si="24"/>
      </x:c>
      <x:c r="Y78" t="str">
        <x:f t="shared" si="25"/>
      </x:c>
      <x:c r="Z78" t="str">
        <x:f t="shared" si="26"/>
      </x:c>
    </x:row>
    <x:row r="79" ht="18" customHeight="1">
      <x:c r="Q79" t="str">
        <x:f t="shared" si="18"/>
      </x:c>
      <x:c r="R79" t="str">
        <x:f t="shared" si="19"/>
      </x:c>
      <x:c r="S79" t="str">
        <x:f t="shared" si="20"/>
      </x:c>
      <x:c r="T79" t="str">
        <x:f t="shared" si="21"/>
      </x:c>
      <x:c r="U79" t="str">
        <x:f t="shared" si="22"/>
      </x:c>
      <x:c r="V79" t="str">
        <x:f t="shared" si="23"/>
      </x:c>
      <x:c r="W79" t="str">
        <x:f>IF(Q79="","",SUMIF(ProductionConfiguration!$B$5:$B$914,Q79,ProductionConfiguration!$S$5:$S$914))</x:f>
      </x:c>
      <x:c r="X79" t="str">
        <x:f t="shared" si="24"/>
      </x:c>
      <x:c r="Y79" t="str">
        <x:f t="shared" si="25"/>
      </x:c>
      <x:c r="Z79" t="str">
        <x:f t="shared" si="26"/>
      </x:c>
    </x:row>
    <x:row r="80" ht="18" customHeight="1">
      <x:c r="Q80" t="str">
        <x:f t="shared" si="18"/>
      </x:c>
      <x:c r="R80" t="str">
        <x:f t="shared" si="19"/>
      </x:c>
      <x:c r="S80" t="str">
        <x:f t="shared" si="20"/>
      </x:c>
      <x:c r="T80" t="str">
        <x:f t="shared" si="21"/>
      </x:c>
      <x:c r="U80" t="str">
        <x:f t="shared" si="22"/>
      </x:c>
      <x:c r="V80" t="str">
        <x:f t="shared" si="23"/>
      </x:c>
      <x:c r="W80" t="str">
        <x:f>IF(Q80="","",SUMIF(ProductionConfiguration!$B$5:$B$914,Q80,ProductionConfiguration!$S$5:$S$914))</x:f>
      </x:c>
      <x:c r="X80" t="str">
        <x:f t="shared" si="24"/>
      </x:c>
      <x:c r="Y80" t="str">
        <x:f t="shared" si="25"/>
      </x:c>
      <x:c r="Z80" t="str">
        <x:f t="shared" si="26"/>
      </x:c>
    </x:row>
    <x:row r="81" ht="18" customHeight="1">
      <x:c r="Q81" t="str">
        <x:f t="shared" si="18"/>
      </x:c>
      <x:c r="R81" t="str">
        <x:f t="shared" si="19"/>
      </x:c>
      <x:c r="S81" t="str">
        <x:f t="shared" si="20"/>
      </x:c>
      <x:c r="T81" t="str">
        <x:f t="shared" si="21"/>
      </x:c>
      <x:c r="U81" t="str">
        <x:f t="shared" si="22"/>
      </x:c>
      <x:c r="V81" t="str">
        <x:f t="shared" si="23"/>
      </x:c>
      <x:c r="W81" t="str">
        <x:f>IF(Q81="","",SUMIF(ProductionConfiguration!$B$5:$B$914,Q81,ProductionConfiguration!$S$5:$S$914))</x:f>
      </x:c>
      <x:c r="X81" t="str">
        <x:f t="shared" si="24"/>
      </x:c>
      <x:c r="Y81" t="str">
        <x:f t="shared" si="25"/>
      </x:c>
      <x:c r="Z81" t="str">
        <x:f t="shared" si="26"/>
      </x:c>
    </x:row>
    <x:row r="82" ht="18" customHeight="1">
      <x:c r="Q82" t="str">
        <x:f t="shared" si="18"/>
      </x:c>
      <x:c r="R82" t="str">
        <x:f t="shared" si="19"/>
      </x:c>
      <x:c r="S82" t="str">
        <x:f t="shared" si="20"/>
      </x:c>
      <x:c r="T82" t="str">
        <x:f t="shared" si="21"/>
      </x:c>
      <x:c r="U82" t="str">
        <x:f t="shared" si="22"/>
      </x:c>
      <x:c r="V82" t="str">
        <x:f t="shared" si="23"/>
      </x:c>
      <x:c r="W82" t="str">
        <x:f>IF(Q82="","",SUMIF(ProductionConfiguration!$B$5:$B$914,Q82,ProductionConfiguration!$S$5:$S$914))</x:f>
      </x:c>
      <x:c r="X82" t="str">
        <x:f t="shared" si="24"/>
      </x:c>
      <x:c r="Y82" t="str">
        <x:f t="shared" si="25"/>
      </x:c>
      <x:c r="Z82" t="str">
        <x:f t="shared" si="26"/>
      </x:c>
    </x:row>
    <x:row r="83" ht="18" customHeight="1">
      <x:c r="Q83" t="str">
        <x:f t="shared" si="18"/>
      </x:c>
      <x:c r="R83" t="str">
        <x:f t="shared" si="19"/>
      </x:c>
      <x:c r="S83" t="str">
        <x:f t="shared" si="20"/>
      </x:c>
      <x:c r="T83" t="str">
        <x:f t="shared" si="21"/>
      </x:c>
      <x:c r="U83" t="str">
        <x:f t="shared" si="22"/>
      </x:c>
      <x:c r="V83" t="str">
        <x:f t="shared" si="23"/>
      </x:c>
      <x:c r="W83" t="str">
        <x:f>IF(Q83="","",SUMIF(ProductionConfiguration!$B$5:$B$914,Q83,ProductionConfiguration!$S$5:$S$914))</x:f>
      </x:c>
      <x:c r="X83" t="str">
        <x:f t="shared" si="24"/>
      </x:c>
      <x:c r="Y83" t="str">
        <x:f t="shared" si="25"/>
      </x:c>
      <x:c r="Z83" t="str">
        <x:f t="shared" si="26"/>
      </x:c>
    </x:row>
    <x:row r="84" ht="18" customHeight="1">
      <x:c r="Q84" t="str">
        <x:f t="shared" si="18"/>
      </x:c>
      <x:c r="R84" t="str">
        <x:f t="shared" si="19"/>
      </x:c>
      <x:c r="S84" t="str">
        <x:f t="shared" si="20"/>
      </x:c>
      <x:c r="T84" t="str">
        <x:f t="shared" si="21"/>
      </x:c>
      <x:c r="U84" t="str">
        <x:f t="shared" si="22"/>
      </x:c>
      <x:c r="V84" t="str">
        <x:f t="shared" si="23"/>
      </x:c>
      <x:c r="W84" t="str">
        <x:f>IF(Q84="","",SUMIF(ProductionConfiguration!$B$5:$B$914,Q84,ProductionConfiguration!$S$5:$S$914))</x:f>
      </x:c>
      <x:c r="X84" t="str">
        <x:f t="shared" si="24"/>
      </x:c>
      <x:c r="Y84" t="str">
        <x:f t="shared" si="25"/>
      </x:c>
      <x:c r="Z84" t="str">
        <x:f t="shared" si="26"/>
      </x:c>
    </x:row>
    <x:row r="85" ht="18" customHeight="1">
      <x:c r="Q85" t="str">
        <x:f t="shared" si="18"/>
      </x:c>
      <x:c r="R85" t="str">
        <x:f t="shared" si="19"/>
      </x:c>
      <x:c r="S85" t="str">
        <x:f t="shared" si="20"/>
      </x:c>
      <x:c r="T85" t="str">
        <x:f t="shared" si="21"/>
      </x:c>
      <x:c r="U85" t="str">
        <x:f t="shared" si="22"/>
      </x:c>
      <x:c r="V85" t="str">
        <x:f t="shared" si="23"/>
      </x:c>
      <x:c r="W85" t="str">
        <x:f>IF(Q85="","",SUMIF(ProductionConfiguration!$B$5:$B$914,Q85,ProductionConfiguration!$S$5:$S$914))</x:f>
      </x:c>
      <x:c r="X85" t="str">
        <x:f t="shared" si="24"/>
      </x:c>
      <x:c r="Y85" t="str">
        <x:f t="shared" si="25"/>
      </x:c>
      <x:c r="Z85" t="str">
        <x:f t="shared" si="26"/>
      </x:c>
    </x:row>
    <x:row r="86" ht="18" customHeight="1">
      <x:c r="Q86" t="str">
        <x:f t="shared" si="18"/>
      </x:c>
      <x:c r="R86" t="str">
        <x:f t="shared" si="19"/>
      </x:c>
      <x:c r="S86" t="str">
        <x:f t="shared" si="20"/>
      </x:c>
      <x:c r="T86" t="str">
        <x:f t="shared" si="21"/>
      </x:c>
      <x:c r="U86" t="str">
        <x:f t="shared" si="22"/>
      </x:c>
      <x:c r="V86" t="str">
        <x:f t="shared" si="23"/>
      </x:c>
      <x:c r="W86" t="str">
        <x:f>IF(Q86="","",SUMIF(ProductionConfiguration!$B$5:$B$914,Q86,ProductionConfiguration!$S$5:$S$914))</x:f>
      </x:c>
      <x:c r="X86" t="str">
        <x:f t="shared" si="24"/>
      </x:c>
      <x:c r="Y86" t="str">
        <x:f t="shared" si="25"/>
      </x:c>
      <x:c r="Z86" t="str">
        <x:f t="shared" si="26"/>
      </x:c>
    </x:row>
    <x:row r="87" ht="18" customHeight="1">
      <x:c r="Q87" t="str">
        <x:f t="shared" si="18"/>
      </x:c>
      <x:c r="R87" t="str">
        <x:f t="shared" si="19"/>
      </x:c>
      <x:c r="S87" t="str">
        <x:f t="shared" si="20"/>
      </x:c>
      <x:c r="T87" t="str">
        <x:f t="shared" si="21"/>
      </x:c>
      <x:c r="U87" t="str">
        <x:f t="shared" si="22"/>
      </x:c>
      <x:c r="V87" t="str">
        <x:f t="shared" si="23"/>
      </x:c>
      <x:c r="W87" t="str">
        <x:f>IF(Q87="","",SUMIF(ProductionConfiguration!$B$5:$B$914,Q87,ProductionConfiguration!$S$5:$S$914))</x:f>
      </x:c>
      <x:c r="X87" t="str">
        <x:f t="shared" si="24"/>
      </x:c>
      <x:c r="Y87" t="str">
        <x:f t="shared" si="25"/>
      </x:c>
      <x:c r="Z87" t="str">
        <x:f t="shared" si="26"/>
      </x:c>
    </x:row>
    <x:row r="88" ht="18" customHeight="1">
      <x:c r="Q88" t="str">
        <x:f t="shared" si="18"/>
      </x:c>
      <x:c r="R88" t="str">
        <x:f t="shared" si="19"/>
      </x:c>
      <x:c r="S88" t="str">
        <x:f t="shared" si="20"/>
      </x:c>
      <x:c r="T88" t="str">
        <x:f t="shared" si="21"/>
      </x:c>
      <x:c r="U88" t="str">
        <x:f t="shared" si="22"/>
      </x:c>
      <x:c r="V88" t="str">
        <x:f t="shared" si="23"/>
      </x:c>
      <x:c r="W88" t="str">
        <x:f>IF(Q88="","",SUMIF(ProductionConfiguration!$B$5:$B$914,Q88,ProductionConfiguration!$S$5:$S$914))</x:f>
      </x:c>
      <x:c r="X88" t="str">
        <x:f t="shared" si="24"/>
      </x:c>
      <x:c r="Y88" t="str">
        <x:f t="shared" si="25"/>
      </x:c>
      <x:c r="Z88" t="str">
        <x:f t="shared" si="26"/>
      </x:c>
    </x:row>
    <x:row r="89" ht="18" customHeight="1">
      <x:c r="Q89" t="str">
        <x:f t="shared" si="18"/>
      </x:c>
      <x:c r="R89" t="str">
        <x:f t="shared" si="19"/>
      </x:c>
      <x:c r="S89" t="str">
        <x:f t="shared" si="20"/>
      </x:c>
      <x:c r="T89" t="str">
        <x:f t="shared" si="21"/>
      </x:c>
      <x:c r="U89" t="str">
        <x:f t="shared" si="22"/>
      </x:c>
      <x:c r="V89" t="str">
        <x:f t="shared" si="23"/>
      </x:c>
      <x:c r="W89" t="str">
        <x:f>IF(Q89="","",SUMIF(ProductionConfiguration!$B$5:$B$914,Q89,ProductionConfiguration!$S$5:$S$914))</x:f>
      </x:c>
      <x:c r="X89" t="str">
        <x:f t="shared" si="24"/>
      </x:c>
      <x:c r="Y89" t="str">
        <x:f t="shared" si="25"/>
      </x:c>
      <x:c r="Z89" t="str">
        <x:f t="shared" si="26"/>
      </x:c>
    </x:row>
    <x:row r="90" ht="18" customHeight="1">
      <x:c r="Q90" t="str">
        <x:f t="shared" si="18"/>
      </x:c>
      <x:c r="R90" t="str">
        <x:f t="shared" si="19"/>
      </x:c>
      <x:c r="S90" t="str">
        <x:f t="shared" si="20"/>
      </x:c>
      <x:c r="T90" t="str">
        <x:f t="shared" si="21"/>
      </x:c>
      <x:c r="U90" t="str">
        <x:f t="shared" si="22"/>
      </x:c>
      <x:c r="V90" t="str">
        <x:f t="shared" si="23"/>
      </x:c>
      <x:c r="W90" t="str">
        <x:f>IF(Q90="","",SUMIF(ProductionConfiguration!$B$5:$B$914,Q90,ProductionConfiguration!$S$5:$S$914))</x:f>
      </x:c>
      <x:c r="X90" t="str">
        <x:f t="shared" si="24"/>
      </x:c>
      <x:c r="Y90" t="str">
        <x:f t="shared" si="25"/>
      </x:c>
      <x:c r="Z90" t="str">
        <x:f t="shared" si="26"/>
      </x:c>
    </x:row>
    <x:row r="91" ht="18" customHeight="1">
      <x:c r="Q91" t="str">
        <x:f t="shared" si="18"/>
      </x:c>
      <x:c r="R91" t="str">
        <x:f t="shared" si="19"/>
      </x:c>
      <x:c r="S91" t="str">
        <x:f t="shared" si="20"/>
      </x:c>
      <x:c r="T91" t="str">
        <x:f t="shared" si="21"/>
      </x:c>
      <x:c r="U91" t="str">
        <x:f t="shared" si="22"/>
      </x:c>
      <x:c r="V91" t="str">
        <x:f t="shared" si="23"/>
      </x:c>
      <x:c r="W91" t="str">
        <x:f>IF(Q91="","",SUMIF(ProductionConfiguration!$B$5:$B$914,Q91,ProductionConfiguration!$S$5:$S$914))</x:f>
      </x:c>
      <x:c r="X91" t="str">
        <x:f t="shared" si="24"/>
      </x:c>
      <x:c r="Y91" t="str">
        <x:f t="shared" si="25"/>
      </x:c>
      <x:c r="Z91" t="str">
        <x:f t="shared" si="26"/>
      </x:c>
    </x:row>
    <x:row r="92" ht="18" customHeight="1">
      <x:c r="Q92" t="str">
        <x:f t="shared" si="18"/>
      </x:c>
      <x:c r="R92" t="str">
        <x:f t="shared" si="19"/>
      </x:c>
      <x:c r="S92" t="str">
        <x:f t="shared" si="20"/>
      </x:c>
      <x:c r="T92" t="str">
        <x:f t="shared" si="21"/>
      </x:c>
      <x:c r="U92" t="str">
        <x:f t="shared" si="22"/>
      </x:c>
      <x:c r="V92" t="str">
        <x:f t="shared" si="23"/>
      </x:c>
      <x:c r="W92" t="str">
        <x:f>IF(Q92="","",SUMIF(ProductionConfiguration!$B$5:$B$914,Q92,ProductionConfiguration!$S$5:$S$914))</x:f>
      </x:c>
      <x:c r="X92" t="str">
        <x:f t="shared" si="24"/>
      </x:c>
      <x:c r="Y92" t="str">
        <x:f t="shared" si="25"/>
      </x:c>
      <x:c r="Z92" t="str">
        <x:f t="shared" si="26"/>
      </x:c>
    </x:row>
    <x:row r="93" ht="18" customHeight="1">
      <x:c r="Q93" t="str">
        <x:f t="shared" si="18"/>
      </x:c>
      <x:c r="R93" t="str">
        <x:f t="shared" si="19"/>
      </x:c>
      <x:c r="S93" t="str">
        <x:f t="shared" si="20"/>
      </x:c>
      <x:c r="T93" t="str">
        <x:f t="shared" si="21"/>
      </x:c>
      <x:c r="U93" t="str">
        <x:f t="shared" si="22"/>
      </x:c>
      <x:c r="V93" t="str">
        <x:f t="shared" si="23"/>
      </x:c>
      <x:c r="W93" t="str">
        <x:f>IF(Q93="","",SUMIF(ProductionConfiguration!$B$5:$B$914,Q93,ProductionConfiguration!$S$5:$S$914))</x:f>
      </x:c>
      <x:c r="X93" t="str">
        <x:f t="shared" si="24"/>
      </x:c>
      <x:c r="Y93" t="str">
        <x:f t="shared" si="25"/>
      </x:c>
      <x:c r="Z93" t="str">
        <x:f t="shared" si="26"/>
      </x:c>
    </x:row>
    <x:row r="94" ht="18" customHeight="1">
      <x:c r="Q94" t="str">
        <x:f t="shared" si="18"/>
      </x:c>
      <x:c r="R94" t="str">
        <x:f t="shared" si="19"/>
      </x:c>
      <x:c r="S94" t="str">
        <x:f t="shared" si="20"/>
      </x:c>
      <x:c r="T94" t="str">
        <x:f t="shared" si="21"/>
      </x:c>
      <x:c r="U94" t="str">
        <x:f t="shared" si="22"/>
      </x:c>
      <x:c r="V94" t="str">
        <x:f t="shared" si="23"/>
      </x:c>
      <x:c r="W94" t="str">
        <x:f>IF(Q94="","",SUMIF(ProductionConfiguration!$B$5:$B$914,Q94,ProductionConfiguration!$S$5:$S$914))</x:f>
      </x:c>
      <x:c r="X94" t="str">
        <x:f t="shared" si="24"/>
      </x:c>
      <x:c r="Y94" t="str">
        <x:f t="shared" si="25"/>
      </x:c>
      <x:c r="Z94" t="str">
        <x:f t="shared" si="26"/>
      </x:c>
    </x:row>
    <x:row r="95" ht="18" customHeight="1">
      <x:c r="Q95" t="str">
        <x:f t="shared" si="18"/>
      </x:c>
      <x:c r="R95" t="str">
        <x:f t="shared" si="19"/>
      </x:c>
      <x:c r="S95" t="str">
        <x:f t="shared" si="20"/>
      </x:c>
      <x:c r="T95" t="str">
        <x:f t="shared" si="21"/>
      </x:c>
      <x:c r="U95" t="str">
        <x:f t="shared" si="22"/>
      </x:c>
      <x:c r="V95" t="str">
        <x:f t="shared" si="23"/>
      </x:c>
      <x:c r="W95" t="str">
        <x:f>IF(Q95="","",SUMIF(ProductionConfiguration!$B$5:$B$914,Q95,ProductionConfiguration!$S$5:$S$914))</x:f>
      </x:c>
      <x:c r="X95" t="str">
        <x:f t="shared" si="24"/>
      </x:c>
      <x:c r="Y95" t="str">
        <x:f t="shared" si="25"/>
      </x:c>
      <x:c r="Z95" t="str">
        <x:f t="shared" si="26"/>
      </x:c>
    </x:row>
    <x:row r="96" ht="18" customHeight="1">
      <x:c r="Q96" t="str">
        <x:f t="shared" si="18"/>
      </x:c>
      <x:c r="R96" t="str">
        <x:f t="shared" si="19"/>
      </x:c>
      <x:c r="S96" t="str">
        <x:f t="shared" si="20"/>
      </x:c>
      <x:c r="T96" t="str">
        <x:f t="shared" si="21"/>
      </x:c>
      <x:c r="U96" t="str">
        <x:f t="shared" si="22"/>
      </x:c>
      <x:c r="V96" t="str">
        <x:f t="shared" si="23"/>
      </x:c>
      <x:c r="W96" t="str">
        <x:f>IF(Q96="","",SUMIF(ProductionConfiguration!$B$5:$B$914,Q96,ProductionConfiguration!$S$5:$S$914))</x:f>
      </x:c>
      <x:c r="X96" t="str">
        <x:f t="shared" si="24"/>
      </x:c>
      <x:c r="Y96" t="str">
        <x:f t="shared" si="25"/>
      </x:c>
      <x:c r="Z96" t="str">
        <x:f t="shared" si="26"/>
      </x:c>
    </x:row>
    <x:row r="97" ht="18" customHeight="1">
      <x:c r="Q97" t="str">
        <x:f t="shared" si="18"/>
      </x:c>
      <x:c r="R97" t="str">
        <x:f t="shared" si="19"/>
      </x:c>
      <x:c r="S97" t="str">
        <x:f t="shared" si="20"/>
      </x:c>
      <x:c r="T97" t="str">
        <x:f t="shared" si="21"/>
      </x:c>
      <x:c r="U97" t="str">
        <x:f t="shared" si="22"/>
      </x:c>
      <x:c r="V97" t="str">
        <x:f t="shared" si="23"/>
      </x:c>
      <x:c r="W97" t="str">
        <x:f>IF(Q97="","",SUMIF(ProductionConfiguration!$B$5:$B$914,Q97,ProductionConfiguration!$S$5:$S$914))</x:f>
      </x:c>
      <x:c r="X97" t="str">
        <x:f t="shared" si="24"/>
      </x:c>
      <x:c r="Y97" t="str">
        <x:f t="shared" si="25"/>
      </x:c>
      <x:c r="Z97" t="str">
        <x:f t="shared" si="26"/>
      </x:c>
    </x:row>
    <x:row r="98" ht="18" customHeight="1">
      <x:c r="Q98" t="str">
        <x:f t="shared" si="18"/>
      </x:c>
      <x:c r="R98" t="str">
        <x:f t="shared" si="19"/>
      </x:c>
      <x:c r="S98" t="str">
        <x:f t="shared" si="20"/>
      </x:c>
      <x:c r="T98" t="str">
        <x:f t="shared" si="21"/>
      </x:c>
      <x:c r="U98" t="str">
        <x:f t="shared" si="22"/>
      </x:c>
      <x:c r="V98" t="str">
        <x:f t="shared" si="23"/>
      </x:c>
      <x:c r="W98" t="str">
        <x:f>IF(Q98="","",SUMIF(ProductionConfiguration!$B$5:$B$914,Q98,ProductionConfiguration!$S$5:$S$914))</x:f>
      </x:c>
      <x:c r="X98" t="str">
        <x:f t="shared" si="24"/>
      </x:c>
      <x:c r="Y98" t="str">
        <x:f t="shared" si="25"/>
      </x:c>
      <x:c r="Z98" t="str">
        <x:f t="shared" si="26"/>
      </x:c>
    </x:row>
    <x:row r="99" ht="18" customHeight="1">
      <x:c r="Q99" t="str">
        <x:f t="shared" si="18"/>
      </x:c>
      <x:c r="R99" t="str">
        <x:f t="shared" si="19"/>
      </x:c>
      <x:c r="S99" t="str">
        <x:f t="shared" si="20"/>
      </x:c>
      <x:c r="T99" t="str">
        <x:f t="shared" si="21"/>
      </x:c>
      <x:c r="U99" t="str">
        <x:f t="shared" si="22"/>
      </x:c>
      <x:c r="V99" t="str">
        <x:f t="shared" si="23"/>
      </x:c>
      <x:c r="W99" t="str">
        <x:f>IF(Q99="","",SUMIF(ProductionConfiguration!$B$5:$B$914,Q99,ProductionConfiguration!$S$5:$S$914))</x:f>
      </x:c>
      <x:c r="X99" t="str">
        <x:f t="shared" si="24"/>
      </x:c>
      <x:c r="Y99" t="str">
        <x:f t="shared" si="25"/>
      </x:c>
      <x:c r="Z99" t="str">
        <x:f t="shared" si="26"/>
      </x:c>
    </x:row>
    <x:row r="100" ht="18" customHeight="1">
      <x:c r="Q100" t="str">
        <x:f t="shared" si="18"/>
      </x:c>
      <x:c r="R100" t="str">
        <x:f t="shared" si="19"/>
      </x:c>
      <x:c r="S100" t="str">
        <x:f t="shared" si="20"/>
      </x:c>
      <x:c r="T100" t="str">
        <x:f t="shared" si="21"/>
      </x:c>
      <x:c r="U100" t="str">
        <x:f t="shared" si="22"/>
      </x:c>
      <x:c r="V100" t="str">
        <x:f t="shared" si="23"/>
      </x:c>
      <x:c r="W100" t="str">
        <x:f>IF(Q100="","",SUMIF(ProductionConfiguration!$B$5:$B$914,Q100,ProductionConfiguration!$S$5:$S$914))</x:f>
      </x:c>
      <x:c r="X100" t="str">
        <x:f t="shared" si="24"/>
      </x:c>
      <x:c r="Y100" t="str">
        <x:f t="shared" si="25"/>
      </x:c>
      <x:c r="Z100" t="str">
        <x:f t="shared" si="26"/>
      </x:c>
    </x:row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  <x:row r="1001" ht="18" customHeight="1"/>
    <x:row r="1002" ht="18" customHeight="1"/>
    <x:row r="1003" ht="18" customHeight="1"/>
    <x:row r="1004" ht="18" customHeight="1"/>
    <x:row r="1005" ht="18" customHeight="1"/>
    <x:row r="1006" ht="18" customHeight="1"/>
    <x:row r="1007" ht="18" customHeight="1"/>
    <x:row r="1008" ht="18" customHeight="1"/>
    <x:row r="1009" ht="18" customHeight="1"/>
    <x:row r="1010" ht="18" customHeight="1"/>
    <x:row r="1011" ht="18" customHeight="1"/>
    <x:row r="1012" ht="18" customHeight="1"/>
    <x:row r="1013" ht="18" customHeight="1"/>
    <x:row r="1014" ht="18" customHeight="1"/>
    <x:row r="1015" ht="18" customHeight="1"/>
    <x:row r="1016" ht="18" customHeight="1"/>
    <x:row r="1017" ht="18" customHeight="1"/>
    <x:row r="1018" ht="18" customHeight="1"/>
    <x:row r="1019" ht="18" customHeight="1"/>
    <x:row r="1020" ht="18" customHeight="1"/>
    <x:row r="1021" ht="18" customHeight="1"/>
    <x:row r="1022" ht="18" customHeight="1"/>
    <x:row r="1023" ht="18" customHeight="1"/>
    <x:row r="1024" ht="18" customHeight="1"/>
    <x:row r="1025" ht="18" customHeight="1"/>
    <x:row r="1026" ht="18" customHeight="1"/>
    <x:row r="1027" ht="18" customHeight="1"/>
    <x:row r="1028" ht="18" customHeight="1"/>
    <x:row r="1029" ht="18" customHeight="1"/>
    <x:row r="1030" ht="18" customHeight="1"/>
    <x:row r="1031" ht="18" customHeight="1"/>
    <x:row r="1032" ht="18" customHeight="1"/>
    <x:row r="1033" ht="18" customHeight="1"/>
    <x:row r="1034" ht="18" customHeight="1"/>
    <x:row r="1035" ht="18" customHeight="1"/>
    <x:row r="1036" ht="18" customHeight="1"/>
    <x:row r="1037" ht="18" customHeight="1"/>
    <x:row r="1038" ht="18" customHeight="1"/>
    <x:row r="1039" ht="18" customHeight="1"/>
    <x:row r="1040" ht="18" customHeight="1"/>
    <x:row r="1041" ht="18" customHeight="1"/>
    <x:row r="1042" ht="18" customHeight="1"/>
    <x:row r="1043" ht="18" customHeight="1"/>
    <x:row r="1044" ht="18" customHeight="1"/>
    <x:row r="1045" ht="18" customHeight="1"/>
    <x:row r="1046" ht="18" customHeight="1"/>
    <x:row r="1047" ht="18" customHeight="1"/>
    <x:row r="1048" ht="18" customHeight="1"/>
    <x:row r="1049" ht="18" customHeight="1"/>
    <x:row r="1050" ht="18" customHeight="1"/>
    <x:row r="1051" ht="18" customHeight="1"/>
    <x:row r="1052" ht="18" customHeight="1"/>
    <x:row r="1053" ht="18" customHeight="1"/>
    <x:row r="1054" ht="18" customHeight="1"/>
    <x:row r="1055" ht="18" customHeight="1"/>
    <x:row r="1056" ht="18" customHeight="1"/>
    <x:row r="1057" ht="18" customHeight="1"/>
    <x:row r="1058" ht="18" customHeight="1"/>
    <x:row r="1059" ht="18" customHeight="1"/>
    <x:row r="1060" ht="18" customHeight="1"/>
    <x:row r="1061" ht="18" customHeight="1"/>
    <x:row r="1062" ht="18" customHeight="1"/>
    <x:row r="1063" ht="18" customHeight="1"/>
    <x:row r="1064" ht="18" customHeight="1"/>
    <x:row r="1065" ht="18" customHeight="1"/>
    <x:row r="1066" ht="18" customHeight="1"/>
    <x:row r="1067" ht="18" customHeight="1"/>
    <x:row r="1068" ht="18" customHeight="1"/>
    <x:row r="1069" ht="18" customHeight="1"/>
    <x:row r="1070" ht="18" customHeight="1"/>
    <x:row r="1071" ht="18" customHeight="1"/>
    <x:row r="1072" ht="18" customHeight="1"/>
    <x:row r="1073" ht="18" customHeight="1"/>
    <x:row r="1074" ht="18" customHeight="1"/>
    <x:row r="1075" ht="18" customHeight="1"/>
    <x:row r="1076" ht="18" customHeight="1"/>
    <x:row r="1077" ht="18" customHeight="1"/>
    <x:row r="1078" ht="18" customHeight="1"/>
    <x:row r="1079" ht="18" customHeight="1"/>
    <x:row r="1080" ht="18" customHeight="1"/>
    <x:row r="1081" ht="18" customHeight="1"/>
    <x:row r="1082" ht="18" customHeight="1"/>
    <x:row r="1083" ht="18" customHeight="1"/>
    <x:row r="1084" ht="18" customHeight="1"/>
    <x:row r="1085" ht="18" customHeight="1"/>
    <x:row r="1086" ht="18" customHeight="1"/>
    <x:row r="1087" ht="18" customHeight="1"/>
    <x:row r="1088" ht="18" customHeight="1"/>
    <x:row r="1089" ht="18" customHeight="1"/>
    <x:row r="1090" ht="18" customHeight="1"/>
    <x:row r="1091" ht="18" customHeight="1"/>
    <x:row r="1092" ht="18" customHeight="1"/>
    <x:row r="1093" ht="18" customHeight="1"/>
    <x:row r="1094" ht="18" customHeight="1"/>
    <x:row r="1095" ht="18" customHeight="1"/>
    <x:row r="1096" ht="18" customHeight="1"/>
    <x:row r="1097" ht="18" customHeight="1"/>
    <x:row r="1098" ht="18" customHeight="1"/>
    <x:row r="1099" ht="18" customHeight="1"/>
    <x:row r="1100" ht="18" customHeight="1"/>
    <x:row r="1101" ht="18" customHeight="1"/>
    <x:row r="1102" ht="18" customHeight="1"/>
    <x:row r="1103" ht="18" customHeight="1"/>
    <x:row r="1104" ht="18" customHeight="1"/>
    <x:row r="1105" ht="18" customHeight="1"/>
    <x:row r="1106" ht="18" customHeight="1"/>
    <x:row r="1107" ht="18" customHeight="1"/>
    <x:row r="1108" ht="18" customHeight="1"/>
    <x:row r="1109" ht="18" customHeight="1"/>
    <x:row r="1110" ht="18" customHeight="1"/>
    <x:row r="1111" ht="18" customHeight="1"/>
    <x:row r="1112" ht="18" customHeight="1"/>
    <x:row r="1113" ht="18" customHeight="1"/>
    <x:row r="1114" ht="18" customHeight="1"/>
    <x:row r="1115" ht="18" customHeight="1"/>
    <x:row r="1116" ht="18" customHeight="1"/>
    <x:row r="1117" ht="18" customHeight="1"/>
    <x:row r="1118" ht="18" customHeight="1"/>
    <x:row r="1119" ht="18" customHeight="1"/>
    <x:row r="1120" ht="18" customHeight="1"/>
    <x:row r="1121" ht="18" customHeight="1"/>
    <x:row r="1122" ht="18" customHeight="1"/>
    <x:row r="1123" ht="18" customHeight="1"/>
    <x:row r="1124" ht="18" customHeight="1"/>
    <x:row r="1125" ht="18" customHeight="1"/>
    <x:row r="1126" ht="18" customHeight="1"/>
    <x:row r="1127" ht="18" customHeight="1"/>
    <x:row r="1128" ht="18" customHeight="1"/>
    <x:row r="1129" ht="18" customHeight="1"/>
    <x:row r="1130" ht="18" customHeight="1"/>
    <x:row r="1131" ht="18" customHeight="1"/>
    <x:row r="1132" ht="18" customHeight="1"/>
    <x:row r="1133" ht="18" customHeight="1"/>
    <x:row r="1134" ht="18" customHeight="1"/>
    <x:row r="1135" ht="18" customHeight="1"/>
    <x:row r="1136" ht="18" customHeight="1"/>
    <x:row r="1137" ht="18" customHeight="1"/>
    <x:row r="1138" ht="18" customHeight="1"/>
    <x:row r="1139" ht="18" customHeight="1"/>
    <x:row r="1140" ht="18" customHeight="1"/>
    <x:row r="1141" ht="18" customHeight="1"/>
    <x:row r="1142" ht="18" customHeight="1"/>
    <x:row r="1143" ht="18" customHeight="1"/>
    <x:row r="1144" ht="18" customHeight="1"/>
    <x:row r="1145" ht="18" customHeight="1"/>
    <x:row r="1146" ht="18" customHeight="1"/>
    <x:row r="1147" ht="18" customHeight="1"/>
    <x:row r="1148" ht="18" customHeight="1"/>
    <x:row r="1149" ht="18" customHeight="1"/>
    <x:row r="1150" ht="18" customHeight="1"/>
    <x:row r="1151" ht="18" customHeight="1"/>
    <x:row r="1152" ht="18" customHeight="1"/>
    <x:row r="1153" ht="18" customHeight="1"/>
    <x:row r="1154" ht="18" customHeight="1"/>
    <x:row r="1155" ht="18" customHeight="1"/>
    <x:row r="1156" ht="18" customHeight="1"/>
    <x:row r="1157" ht="18" customHeight="1"/>
    <x:row r="1158" ht="18" customHeight="1"/>
    <x:row r="1159" ht="18" customHeight="1"/>
    <x:row r="1160" ht="18" customHeight="1"/>
    <x:row r="1161" ht="18" customHeight="1"/>
    <x:row r="1162" ht="18" customHeight="1"/>
    <x:row r="1163" ht="18" customHeight="1"/>
    <x:row r="1164" ht="18" customHeight="1"/>
    <x:row r="1165" ht="18" customHeight="1"/>
    <x:row r="1166" ht="18" customHeight="1"/>
    <x:row r="1167" ht="18" customHeight="1"/>
    <x:row r="1168" ht="18" customHeight="1"/>
    <x:row r="1169" ht="18" customHeight="1"/>
    <x:row r="1170" ht="18" customHeight="1"/>
    <x:row r="1171" ht="18" customHeight="1"/>
    <x:row r="1172" ht="18" customHeight="1"/>
    <x:row r="1173" ht="18" customHeight="1"/>
    <x:row r="1174" ht="18" customHeight="1"/>
    <x:row r="1175" ht="18" customHeight="1"/>
    <x:row r="1176" ht="18" customHeight="1"/>
    <x:row r="1177" ht="18" customHeight="1"/>
    <x:row r="1178" ht="18" customHeight="1"/>
    <x:row r="1179" ht="18" customHeight="1"/>
    <x:row r="1180" ht="18" customHeight="1"/>
    <x:row r="1181" ht="18" customHeight="1"/>
    <x:row r="1182" ht="18" customHeight="1"/>
    <x:row r="1183" ht="18" customHeight="1"/>
    <x:row r="1184" ht="18" customHeight="1"/>
    <x:row r="1185" ht="18" customHeight="1"/>
    <x:row r="1186" ht="18" customHeight="1"/>
    <x:row r="1187" ht="18" customHeight="1"/>
    <x:row r="1188" ht="18" customHeight="1"/>
    <x:row r="1189" ht="18" customHeight="1"/>
    <x:row r="1190" ht="18" customHeight="1"/>
    <x:row r="1191" ht="18" customHeight="1"/>
    <x:row r="1192" ht="18" customHeight="1"/>
    <x:row r="1193" ht="18" customHeight="1"/>
    <x:row r="1194" ht="18" customHeight="1"/>
    <x:row r="1195" ht="18" customHeight="1"/>
    <x:row r="1196" ht="18" customHeight="1"/>
    <x:row r="1197" ht="18" customHeight="1"/>
    <x:row r="1198" ht="18" customHeight="1"/>
    <x:row r="1199" ht="18" customHeight="1"/>
    <x:row r="1200" ht="18" customHeight="1"/>
    <x:row r="1201" ht="18" customHeight="1"/>
    <x:row r="1202" ht="18" customHeight="1"/>
    <x:row r="1203" ht="18" customHeight="1"/>
    <x:row r="1204" ht="18" customHeight="1"/>
    <x:row r="1205" ht="18" customHeight="1"/>
    <x:row r="1206" ht="18" customHeight="1"/>
    <x:row r="1207" ht="18" customHeight="1"/>
    <x:row r="1208" ht="18" customHeight="1"/>
    <x:row r="1209" ht="18" customHeight="1"/>
    <x:row r="1210" ht="18" customHeight="1"/>
    <x:row r="1211" ht="18" customHeight="1"/>
    <x:row r="1212" ht="18" customHeight="1"/>
    <x:row r="1213" ht="18" customHeight="1"/>
    <x:row r="1214" ht="18" customHeight="1"/>
    <x:row r="1215" ht="18" customHeight="1"/>
    <x:row r="1216" ht="18" customHeight="1"/>
    <x:row r="1217" ht="18" customHeight="1"/>
    <x:row r="1218" ht="18" customHeight="1"/>
    <x:row r="1219" ht="18" customHeight="1"/>
    <x:row r="1220" ht="18" customHeight="1"/>
    <x:row r="1221" ht="18" customHeight="1"/>
    <x:row r="1222" ht="18" customHeight="1"/>
    <x:row r="1223" ht="18" customHeight="1"/>
    <x:row r="1224" ht="18" customHeight="1"/>
    <x:row r="1225" ht="18" customHeight="1"/>
    <x:row r="1226" ht="18" customHeight="1"/>
    <x:row r="1227" ht="18" customHeight="1"/>
    <x:row r="1228" ht="18" customHeight="1"/>
    <x:row r="1229" ht="18" customHeight="1"/>
    <x:row r="1230" ht="18" customHeight="1"/>
    <x:row r="1231" ht="18" customHeight="1"/>
    <x:row r="1232" ht="18" customHeight="1"/>
    <x:row r="1233" ht="18" customHeight="1"/>
    <x:row r="1234" ht="18" customHeight="1"/>
    <x:row r="1235" ht="18" customHeight="1"/>
    <x:row r="1236" ht="18" customHeight="1"/>
    <x:row r="1237" ht="18" customHeight="1"/>
    <x:row r="1238" ht="18" customHeight="1"/>
    <x:row r="1239" ht="18" customHeight="1"/>
    <x:row r="1240" ht="18" customHeight="1"/>
    <x:row r="1241" ht="18" customHeight="1"/>
    <x:row r="1242" ht="18" customHeight="1"/>
    <x:row r="1243" ht="18" customHeight="1"/>
    <x:row r="1244" ht="18" customHeight="1"/>
    <x:row r="1245" ht="18" customHeight="1"/>
    <x:row r="1246" ht="18" customHeight="1"/>
    <x:row r="1247" ht="18" customHeight="1"/>
    <x:row r="1248" ht="18" customHeight="1"/>
    <x:row r="1249" ht="18" customHeight="1"/>
    <x:row r="1250" ht="18" customHeight="1"/>
    <x:row r="1251" ht="18" customHeight="1"/>
    <x:row r="1252" ht="18" customHeight="1"/>
    <x:row r="1253" ht="18" customHeight="1"/>
    <x:row r="1254" ht="18" customHeight="1"/>
    <x:row r="1255" ht="18" customHeight="1"/>
    <x:row r="1256" ht="18" customHeight="1"/>
    <x:row r="1257" ht="18" customHeight="1"/>
    <x:row r="1258" ht="18" customHeight="1"/>
    <x:row r="1259" ht="18" customHeight="1"/>
    <x:row r="1260" ht="18" customHeight="1"/>
    <x:row r="1261" ht="18" customHeight="1"/>
    <x:row r="1262" ht="18" customHeight="1"/>
    <x:row r="1263" ht="18" customHeight="1"/>
    <x:row r="1264" ht="18" customHeight="1"/>
    <x:row r="1265" ht="18" customHeight="1"/>
    <x:row r="1266" ht="18" customHeight="1"/>
    <x:row r="1267" ht="18" customHeight="1"/>
    <x:row r="1268" ht="18" customHeight="1"/>
    <x:row r="1269" ht="18" customHeight="1"/>
    <x:row r="1270" ht="18" customHeight="1"/>
    <x:row r="1271" ht="18" customHeight="1"/>
    <x:row r="1272" ht="18" customHeight="1"/>
    <x:row r="1273" ht="18" customHeight="1"/>
    <x:row r="1274" ht="18" customHeight="1"/>
    <x:row r="1275" ht="18" customHeight="1"/>
    <x:row r="1276" ht="18" customHeight="1"/>
    <x:row r="1277" ht="18" customHeight="1"/>
    <x:row r="1278" ht="18" customHeight="1"/>
    <x:row r="1279" ht="18" customHeight="1"/>
    <x:row r="1280" ht="18" customHeight="1"/>
    <x:row r="1281" ht="18" customHeight="1"/>
    <x:row r="1282" ht="18" customHeight="1"/>
    <x:row r="1283" ht="18" customHeight="1"/>
    <x:row r="1284" ht="18" customHeight="1"/>
    <x:row r="1285" ht="18" customHeight="1"/>
    <x:row r="1286" ht="18" customHeight="1"/>
    <x:row r="1287" ht="18" customHeight="1"/>
    <x:row r="1288" ht="18" customHeight="1"/>
    <x:row r="1289" ht="18" customHeight="1"/>
    <x:row r="1290" ht="18" customHeight="1"/>
    <x:row r="1291" ht="18" customHeight="1"/>
    <x:row r="1292" ht="18" customHeight="1"/>
    <x:row r="1293" ht="18" customHeight="1"/>
    <x:row r="1294" ht="18" customHeight="1"/>
    <x:row r="1295" ht="18" customHeight="1"/>
    <x:row r="1296" ht="18" customHeight="1"/>
    <x:row r="1297" ht="18" customHeight="1"/>
    <x:row r="1298" ht="18" customHeight="1"/>
    <x:row r="1299" ht="18" customHeight="1"/>
    <x:row r="1300" ht="18" customHeight="1"/>
    <x:row r="1301" ht="18" customHeight="1"/>
    <x:row r="1302" ht="18" customHeight="1"/>
    <x:row r="1303" ht="18" customHeight="1"/>
    <x:row r="1304" ht="18" customHeight="1"/>
    <x:row r="1305" ht="18" customHeight="1"/>
    <x:row r="1306" ht="18" customHeight="1"/>
    <x:row r="1307" ht="18" customHeight="1"/>
    <x:row r="1308" ht="18" customHeight="1"/>
    <x:row r="1309" ht="18" customHeight="1"/>
    <x:row r="1310" ht="18" customHeight="1"/>
    <x:row r="1311" ht="18" customHeight="1"/>
    <x:row r="1312" ht="18" customHeight="1"/>
    <x:row r="1313" ht="18" customHeight="1"/>
    <x:row r="1314" ht="18" customHeight="1"/>
    <x:row r="1315" ht="18" customHeight="1"/>
    <x:row r="1316" ht="18" customHeight="1"/>
    <x:row r="1317" ht="18" customHeight="1"/>
    <x:row r="1318" ht="18" customHeight="1"/>
    <x:row r="1319" ht="18" customHeight="1"/>
    <x:row r="1320" ht="18" customHeight="1"/>
    <x:row r="1321" ht="18" customHeight="1"/>
    <x:row r="1322" ht="18" customHeight="1"/>
    <x:row r="1323" ht="18" customHeight="1"/>
    <x:row r="1324" ht="18" customHeight="1"/>
    <x:row r="1325" ht="18" customHeight="1"/>
    <x:row r="1326" ht="18" customHeight="1"/>
    <x:row r="1327" ht="18" customHeight="1"/>
    <x:row r="1328" ht="18" customHeight="1"/>
    <x:row r="1329" ht="18" customHeight="1"/>
    <x:row r="1330" ht="18" customHeight="1"/>
    <x:row r="1331" ht="18" customHeight="1"/>
    <x:row r="1332" ht="18" customHeight="1"/>
    <x:row r="1333" ht="18" customHeight="1"/>
    <x:row r="1334" ht="18" customHeight="1"/>
    <x:row r="1335" ht="18" customHeight="1"/>
    <x:row r="1336" ht="18" customHeight="1"/>
    <x:row r="1337" ht="18" customHeight="1"/>
    <x:row r="1338" ht="18" customHeight="1"/>
    <x:row r="1339" ht="18" customHeight="1"/>
    <x:row r="1340" ht="18" customHeight="1"/>
    <x:row r="1341" ht="18" customHeight="1"/>
    <x:row r="1342" ht="18" customHeight="1"/>
    <x:row r="1343" ht="18" customHeight="1"/>
    <x:row r="1344" ht="18" customHeight="1"/>
    <x:row r="1345" ht="18" customHeight="1"/>
    <x:row r="1346" ht="18" customHeight="1"/>
    <x:row r="1347" ht="18" customHeight="1"/>
    <x:row r="1348" ht="18" customHeight="1"/>
    <x:row r="1349" ht="18" customHeight="1"/>
    <x:row r="1350" ht="18" customHeight="1"/>
    <x:row r="1351" ht="18" customHeight="1"/>
    <x:row r="1352" ht="18" customHeight="1"/>
    <x:row r="1353" ht="18" customHeight="1"/>
    <x:row r="1354" ht="18" customHeight="1"/>
    <x:row r="1355" ht="18" customHeight="1"/>
    <x:row r="1356" ht="18" customHeight="1"/>
    <x:row r="1357" ht="18" customHeight="1"/>
    <x:row r="1358" ht="18" customHeight="1"/>
    <x:row r="1359" ht="18" customHeight="1"/>
    <x:row r="1360" ht="18" customHeight="1"/>
    <x:row r="1361" ht="18" customHeight="1"/>
    <x:row r="1362" ht="18" customHeight="1"/>
    <x:row r="1363" ht="18" customHeight="1"/>
    <x:row r="1364" ht="18" customHeight="1"/>
    <x:row r="1365" ht="18" customHeight="1"/>
    <x:row r="1366" ht="18" customHeight="1"/>
    <x:row r="1367" ht="18" customHeight="1"/>
    <x:row r="1368" ht="18" customHeight="1"/>
    <x:row r="1369" ht="18" customHeight="1"/>
    <x:row r="1370" ht="18" customHeight="1"/>
    <x:row r="1371" ht="18" customHeight="1"/>
    <x:row r="1372" ht="18" customHeight="1"/>
    <x:row r="1373" ht="18" customHeight="1"/>
    <x:row r="1374" ht="18" customHeight="1"/>
    <x:row r="1375" ht="18" customHeight="1"/>
    <x:row r="1376" ht="18" customHeight="1"/>
    <x:row r="1377" ht="18" customHeight="1"/>
    <x:row r="1378" ht="18" customHeight="1"/>
    <x:row r="1379" ht="18" customHeight="1"/>
    <x:row r="1380" ht="18" customHeight="1"/>
    <x:row r="1381" ht="18" customHeight="1"/>
    <x:row r="1382" ht="18" customHeight="1"/>
    <x:row r="1383" ht="18" customHeight="1"/>
    <x:row r="1384" ht="18" customHeight="1"/>
    <x:row r="1385" ht="18" customHeight="1"/>
    <x:row r="1386" ht="18" customHeight="1"/>
    <x:row r="1387" ht="18" customHeight="1"/>
    <x:row r="1388" ht="18" customHeight="1"/>
    <x:row r="1389" ht="18" customHeight="1"/>
    <x:row r="1390" ht="18" customHeight="1"/>
    <x:row r="1391" ht="18" customHeight="1"/>
    <x:row r="1392" ht="18" customHeight="1"/>
    <x:row r="1393" ht="18" customHeight="1"/>
    <x:row r="1394" ht="18" customHeight="1"/>
    <x:row r="1395" ht="18" customHeight="1"/>
    <x:row r="1396" ht="18" customHeight="1"/>
    <x:row r="1397" ht="18" customHeight="1"/>
    <x:row r="1398" ht="18" customHeight="1"/>
    <x:row r="1399" ht="18" customHeight="1"/>
    <x:row r="1400" ht="18" customHeight="1"/>
    <x:row r="1401" ht="18" customHeight="1"/>
    <x:row r="1402" ht="18" customHeight="1"/>
    <x:row r="1403" ht="18" customHeight="1"/>
    <x:row r="1404" ht="18" customHeight="1"/>
    <x:row r="1405" ht="18" customHeight="1"/>
    <x:row r="1406" ht="18" customHeight="1"/>
    <x:row r="1407" ht="18" customHeight="1"/>
    <x:row r="1408" ht="18" customHeight="1"/>
    <x:row r="1409" ht="18" customHeight="1"/>
    <x:row r="1410" ht="18" customHeight="1"/>
    <x:row r="1411" ht="18" customHeight="1"/>
    <x:row r="1412" ht="18" customHeight="1"/>
    <x:row r="1413" ht="18" customHeight="1"/>
    <x:row r="1414" ht="18" customHeight="1"/>
    <x:row r="1415" ht="18" customHeight="1"/>
    <x:row r="1416" ht="18" customHeight="1"/>
    <x:row r="1417" ht="18" customHeight="1"/>
    <x:row r="1418" ht="18" customHeight="1"/>
    <x:row r="1419" ht="18" customHeight="1"/>
    <x:row r="1420" ht="18" customHeight="1"/>
    <x:row r="1421" ht="18" customHeight="1"/>
    <x:row r="1422" ht="18" customHeight="1"/>
    <x:row r="1423" ht="18" customHeight="1"/>
    <x:row r="1424" ht="18" customHeight="1"/>
    <x:row r="1425" ht="18" customHeight="1"/>
    <x:row r="1426" ht="18" customHeight="1"/>
    <x:row r="1427" ht="18" customHeight="1"/>
    <x:row r="1428" ht="18" customHeight="1"/>
    <x:row r="1429" ht="18" customHeight="1"/>
    <x:row r="1430" ht="18" customHeight="1"/>
    <x:row r="1431" ht="18" customHeight="1"/>
    <x:row r="1432" ht="18" customHeight="1"/>
    <x:row r="1433" ht="18" customHeight="1"/>
    <x:row r="1434" ht="18" customHeight="1"/>
    <x:row r="1435" ht="18" customHeight="1"/>
    <x:row r="1436" ht="18" customHeight="1"/>
    <x:row r="1437" ht="18" customHeight="1"/>
    <x:row r="1438" ht="18" customHeight="1"/>
    <x:row r="1439" ht="18" customHeight="1"/>
    <x:row r="1440" ht="18" customHeight="1"/>
    <x:row r="1441" ht="18" customHeight="1"/>
    <x:row r="1442" ht="18" customHeight="1"/>
    <x:row r="1443" ht="18" customHeight="1"/>
    <x:row r="1444" ht="18" customHeight="1"/>
    <x:row r="1445" ht="18" customHeight="1"/>
    <x:row r="1446" ht="18" customHeight="1"/>
    <x:row r="1447" ht="18" customHeight="1"/>
    <x:row r="1448" ht="18" customHeight="1"/>
    <x:row r="1449" ht="18" customHeight="1"/>
    <x:row r="1450" ht="18" customHeight="1"/>
    <x:row r="1451" ht="18" customHeight="1"/>
    <x:row r="1452" ht="18" customHeight="1"/>
    <x:row r="1453" ht="18" customHeight="1"/>
    <x:row r="1454" ht="18" customHeight="1"/>
    <x:row r="1455" ht="18" customHeight="1"/>
    <x:row r="1456" ht="18" customHeight="1"/>
    <x:row r="1457" ht="18" customHeight="1"/>
    <x:row r="1458" ht="18" customHeight="1"/>
    <x:row r="1459" ht="18" customHeight="1"/>
    <x:row r="1460" ht="18" customHeight="1"/>
    <x:row r="1461" ht="18" customHeight="1"/>
    <x:row r="1462" ht="18" customHeight="1"/>
    <x:row r="1463" ht="18" customHeight="1"/>
    <x:row r="1464" ht="18" customHeight="1"/>
    <x:row r="1465" ht="18" customHeight="1"/>
    <x:row r="1466" ht="18" customHeight="1"/>
    <x:row r="1467" ht="18" customHeight="1"/>
    <x:row r="1468" ht="18" customHeight="1"/>
    <x:row r="1469" ht="18" customHeight="1"/>
    <x:row r="1470" ht="18" customHeight="1"/>
    <x:row r="1471" ht="18" customHeight="1"/>
    <x:row r="1472" ht="18" customHeight="1"/>
    <x:row r="1473" ht="18" customHeight="1"/>
    <x:row r="1474" ht="18" customHeight="1"/>
    <x:row r="1475" ht="18" customHeight="1"/>
    <x:row r="1476" ht="18" customHeight="1"/>
    <x:row r="1477" ht="18" customHeight="1"/>
    <x:row r="1478" ht="18" customHeight="1"/>
    <x:row r="1479" ht="18" customHeight="1"/>
    <x:row r="1480" ht="18" customHeight="1"/>
    <x:row r="1481" ht="18" customHeight="1"/>
    <x:row r="1482" ht="18" customHeight="1"/>
    <x:row r="1483" ht="18" customHeight="1"/>
    <x:row r="1484" ht="18" customHeight="1"/>
    <x:row r="1485" ht="18" customHeight="1"/>
    <x:row r="1486" ht="18" customHeight="1"/>
    <x:row r="1487" ht="18" customHeight="1"/>
    <x:row r="1488" ht="18" customHeight="1"/>
    <x:row r="1489" ht="18" customHeight="1"/>
    <x:row r="1490" ht="18" customHeight="1"/>
    <x:row r="1491" ht="18" customHeight="1"/>
    <x:row r="1492" ht="18" customHeight="1"/>
    <x:row r="1493" ht="18" customHeight="1"/>
    <x:row r="1494" ht="18" customHeight="1"/>
    <x:row r="1495" ht="18" customHeight="1"/>
    <x:row r="1496" ht="18" customHeight="1"/>
    <x:row r="1497" ht="18" customHeight="1"/>
    <x:row r="1498" ht="18" customHeight="1"/>
    <x:row r="1499" ht="18" customHeight="1"/>
    <x:row r="1500" ht="18" customHeight="1"/>
    <x:row r="1501" ht="18" customHeight="1"/>
    <x:row r="1502" ht="18" customHeight="1"/>
    <x:row r="1503" ht="18" customHeight="1"/>
    <x:row r="1504" ht="18" customHeight="1"/>
    <x:row r="1505" ht="18" customHeight="1"/>
    <x:row r="1506" ht="18" customHeight="1"/>
    <x:row r="1507" ht="18" customHeight="1"/>
    <x:row r="1508" ht="18" customHeight="1"/>
    <x:row r="1509" ht="18" customHeight="1"/>
    <x:row r="1510" ht="18" customHeight="1"/>
    <x:row r="1511" ht="18" customHeight="1"/>
    <x:row r="1512" ht="18" customHeight="1"/>
    <x:row r="1513" ht="18" customHeight="1"/>
    <x:row r="1514" ht="18" customHeight="1"/>
    <x:row r="1515" ht="18" customHeight="1"/>
    <x:row r="1516" ht="18" customHeight="1"/>
    <x:row r="1517" ht="18" customHeight="1"/>
    <x:row r="1518" ht="18" customHeight="1"/>
    <x:row r="1519" ht="18" customHeight="1"/>
    <x:row r="1520" ht="18" customHeight="1"/>
    <x:row r="1521" ht="18" customHeight="1"/>
    <x:row r="1522" ht="18" customHeight="1"/>
    <x:row r="1523" ht="18" customHeight="1"/>
    <x:row r="1524" ht="18" customHeight="1"/>
    <x:row r="1525" ht="18" customHeight="1"/>
    <x:row r="1526" ht="18" customHeight="1"/>
    <x:row r="1527" ht="18" customHeight="1"/>
    <x:row r="1528" ht="18" customHeight="1"/>
    <x:row r="1529" ht="18" customHeight="1"/>
    <x:row r="1530" ht="18" customHeight="1"/>
    <x:row r="1531" ht="18" customHeight="1"/>
    <x:row r="1532" ht="18" customHeight="1"/>
    <x:row r="1533" ht="18" customHeight="1"/>
    <x:row r="1534" ht="18" customHeight="1"/>
    <x:row r="1535" ht="18" customHeight="1"/>
    <x:row r="1536" ht="18" customHeight="1"/>
    <x:row r="1537" ht="18" customHeight="1"/>
    <x:row r="1538" ht="18" customHeight="1"/>
    <x:row r="1539" ht="18" customHeight="1"/>
    <x:row r="1540" ht="18" customHeight="1"/>
    <x:row r="1541" ht="18" customHeight="1"/>
    <x:row r="1542" ht="18" customHeight="1"/>
    <x:row r="1543" ht="18" customHeight="1"/>
    <x:row r="1544" ht="18" customHeight="1"/>
    <x:row r="1545" ht="18" customHeight="1"/>
    <x:row r="1546" ht="18" customHeight="1"/>
    <x:row r="1547" ht="18" customHeight="1"/>
    <x:row r="1548" ht="18" customHeight="1"/>
    <x:row r="1549" ht="18" customHeight="1"/>
    <x:row r="1550" ht="18" customHeight="1"/>
    <x:row r="1551" ht="18" customHeight="1"/>
    <x:row r="1552" ht="18" customHeight="1"/>
    <x:row r="1553" ht="18" customHeight="1"/>
    <x:row r="1554" ht="18" customHeight="1"/>
    <x:row r="1555" ht="18" customHeight="1"/>
    <x:row r="1556" ht="18" customHeight="1"/>
    <x:row r="1557" ht="18" customHeight="1"/>
    <x:row r="1558" ht="18" customHeight="1"/>
    <x:row r="1559" ht="18" customHeight="1"/>
    <x:row r="1560" ht="18" customHeight="1"/>
    <x:row r="1561" ht="18" customHeight="1"/>
    <x:row r="1562" ht="18" customHeight="1"/>
    <x:row r="1563" ht="18" customHeight="1"/>
    <x:row r="1564" ht="18" customHeight="1"/>
    <x:row r="1565" ht="18" customHeight="1"/>
    <x:row r="1566" ht="18" customHeight="1"/>
    <x:row r="1567" ht="18" customHeight="1"/>
    <x:row r="1568" ht="18" customHeight="1"/>
    <x:row r="1569" ht="18" customHeight="1"/>
    <x:row r="1570" ht="18" customHeight="1"/>
    <x:row r="1571" ht="18" customHeight="1"/>
    <x:row r="1572" ht="18" customHeight="1"/>
    <x:row r="1573" ht="18" customHeight="1"/>
    <x:row r="1574" ht="18" customHeight="1"/>
    <x:row r="1575" ht="18" customHeight="1"/>
    <x:row r="1576" ht="18" customHeight="1"/>
    <x:row r="1577" ht="18" customHeight="1"/>
    <x:row r="1578" ht="18" customHeight="1"/>
    <x:row r="1579" ht="18" customHeight="1"/>
    <x:row r="1580" ht="18" customHeight="1"/>
    <x:row r="1581" ht="18" customHeight="1"/>
    <x:row r="1582" ht="18" customHeight="1"/>
    <x:row r="1583" ht="18" customHeight="1"/>
    <x:row r="1584" ht="18" customHeight="1"/>
    <x:row r="1585" ht="18" customHeight="1"/>
    <x:row r="1586" ht="18" customHeight="1"/>
    <x:row r="1587" ht="18" customHeight="1"/>
    <x:row r="1588" ht="18" customHeight="1"/>
    <x:row r="1589" ht="18" customHeight="1"/>
    <x:row r="1590" ht="18" customHeight="1"/>
    <x:row r="1591" ht="18" customHeight="1"/>
    <x:row r="1592" ht="18" customHeight="1"/>
    <x:row r="1593" ht="18" customHeight="1"/>
    <x:row r="1594" ht="18" customHeight="1"/>
    <x:row r="1595" ht="18" customHeight="1"/>
    <x:row r="1596" ht="18" customHeight="1"/>
    <x:row r="1597" ht="18" customHeight="1"/>
    <x:row r="1598" ht="18" customHeight="1"/>
    <x:row r="1599" ht="18" customHeight="1"/>
    <x:row r="1600" ht="18" customHeight="1"/>
    <x:row r="1601" ht="18" customHeight="1"/>
    <x:row r="1602" ht="18" customHeight="1"/>
    <x:row r="1603" ht="18" customHeight="1"/>
    <x:row r="1604" ht="18" customHeight="1"/>
    <x:row r="1605" ht="18" customHeight="1"/>
    <x:row r="1606" ht="18" customHeight="1"/>
    <x:row r="1607" ht="18" customHeight="1"/>
    <x:row r="1608" ht="18" customHeight="1"/>
    <x:row r="1609" ht="18" customHeight="1"/>
    <x:row r="1610" ht="18" customHeight="1"/>
    <x:row r="1611" ht="18" customHeight="1"/>
    <x:row r="1612" ht="18" customHeight="1"/>
    <x:row r="1613" ht="18" customHeight="1"/>
    <x:row r="1614" ht="18" customHeight="1"/>
    <x:row r="1615" ht="18" customHeight="1"/>
    <x:row r="1616" ht="18" customHeight="1"/>
    <x:row r="1617" ht="18" customHeight="1"/>
    <x:row r="1618" ht="18" customHeight="1"/>
    <x:row r="1619" ht="18" customHeight="1"/>
    <x:row r="1620" ht="18" customHeight="1"/>
    <x:row r="1621" ht="18" customHeight="1"/>
    <x:row r="1622" ht="18" customHeight="1"/>
    <x:row r="1623" ht="18" customHeight="1"/>
    <x:row r="1624" ht="18" customHeight="1"/>
    <x:row r="1625" ht="18" customHeight="1"/>
    <x:row r="1626" ht="18" customHeight="1"/>
    <x:row r="1627" ht="18" customHeight="1"/>
    <x:row r="1628" ht="18" customHeight="1"/>
    <x:row r="1629" ht="18" customHeight="1"/>
    <x:row r="1630" ht="18" customHeight="1"/>
    <x:row r="1631" ht="18" customHeight="1"/>
    <x:row r="1632" ht="18" customHeight="1"/>
    <x:row r="1633" ht="18" customHeight="1"/>
    <x:row r="1634" ht="18" customHeight="1"/>
    <x:row r="1635" ht="18" customHeight="1"/>
    <x:row r="1636" ht="18" customHeight="1"/>
    <x:row r="1637" ht="18" customHeight="1"/>
    <x:row r="1638" ht="18" customHeight="1"/>
    <x:row r="1639" ht="18" customHeight="1"/>
    <x:row r="1640" ht="18" customHeight="1"/>
    <x:row r="1641" ht="18" customHeight="1"/>
    <x:row r="1642" ht="18" customHeight="1"/>
    <x:row r="1643" ht="18" customHeight="1"/>
    <x:row r="1644" ht="18" customHeight="1"/>
    <x:row r="1645" ht="18" customHeight="1"/>
    <x:row r="1646" ht="18" customHeight="1"/>
    <x:row r="1647" ht="18" customHeight="1"/>
    <x:row r="1648" ht="18" customHeight="1"/>
    <x:row r="1649" ht="18" customHeight="1"/>
    <x:row r="1650" ht="18" customHeight="1"/>
    <x:row r="1651" ht="18" customHeight="1"/>
    <x:row r="1652" ht="18" customHeight="1"/>
    <x:row r="1653" ht="18" customHeight="1"/>
    <x:row r="1654" ht="18" customHeight="1"/>
    <x:row r="1655" ht="18" customHeight="1"/>
    <x:row r="1656" ht="18" customHeight="1"/>
    <x:row r="1657" ht="18" customHeight="1"/>
    <x:row r="1658" ht="18" customHeight="1"/>
    <x:row r="1659" ht="18" customHeight="1"/>
    <x:row r="1660" ht="18" customHeight="1"/>
    <x:row r="1661" ht="18" customHeight="1"/>
    <x:row r="1662" ht="18" customHeight="1"/>
    <x:row r="1663" ht="18" customHeight="1"/>
    <x:row r="1664" ht="18" customHeight="1"/>
    <x:row r="1665" ht="18" customHeight="1"/>
    <x:row r="1666" ht="18" customHeight="1"/>
    <x:row r="1667" ht="18" customHeight="1"/>
    <x:row r="1668" ht="18" customHeight="1"/>
    <x:row r="1669" ht="18" customHeight="1"/>
    <x:row r="1670" ht="18" customHeight="1"/>
    <x:row r="1671" ht="18" customHeight="1"/>
    <x:row r="1672" ht="18" customHeight="1"/>
    <x:row r="1673" ht="18" customHeight="1"/>
    <x:row r="1674" ht="18" customHeight="1"/>
    <x:row r="1675" ht="18" customHeight="1"/>
    <x:row r="1676" ht="18" customHeight="1"/>
    <x:row r="1677" ht="18" customHeight="1"/>
    <x:row r="1678" ht="18" customHeight="1"/>
    <x:row r="1679" ht="18" customHeight="1"/>
    <x:row r="1680" ht="18" customHeight="1"/>
    <x:row r="1681" ht="18" customHeight="1"/>
    <x:row r="1682" ht="18" customHeight="1"/>
    <x:row r="1683" ht="18" customHeight="1"/>
    <x:row r="1684" ht="18" customHeight="1"/>
    <x:row r="1685" ht="18" customHeight="1"/>
    <x:row r="1686" ht="18" customHeight="1"/>
    <x:row r="1687" ht="18" customHeight="1"/>
    <x:row r="1688" ht="18" customHeight="1"/>
    <x:row r="1689" ht="18" customHeight="1"/>
    <x:row r="1690" ht="18" customHeight="1"/>
    <x:row r="1691" ht="18" customHeight="1"/>
    <x:row r="1692" ht="18" customHeight="1"/>
    <x:row r="1693" ht="18" customHeight="1"/>
    <x:row r="1694" ht="18" customHeight="1"/>
    <x:row r="1695" ht="18" customHeight="1"/>
    <x:row r="1696" ht="18" customHeight="1"/>
    <x:row r="1697" ht="18" customHeight="1"/>
    <x:row r="1698" ht="18" customHeight="1"/>
    <x:row r="1699" ht="18" customHeight="1"/>
    <x:row r="1700" ht="18" customHeight="1"/>
    <x:row r="1701" ht="18" customHeight="1"/>
    <x:row r="1702" ht="18" customHeight="1"/>
    <x:row r="1703" ht="18" customHeight="1"/>
    <x:row r="1704" ht="18" customHeight="1"/>
    <x:row r="1705" ht="18" customHeight="1"/>
    <x:row r="1706" ht="18" customHeight="1"/>
    <x:row r="1707" ht="18" customHeight="1"/>
    <x:row r="1708" ht="18" customHeight="1"/>
    <x:row r="1709" ht="18" customHeight="1"/>
    <x:row r="1710" ht="18" customHeight="1"/>
    <x:row r="1711" ht="18" customHeight="1"/>
    <x:row r="1712" ht="18" customHeight="1"/>
    <x:row r="1713" ht="18" customHeight="1"/>
    <x:row r="1714" ht="18" customHeight="1"/>
    <x:row r="1715" ht="18" customHeight="1"/>
    <x:row r="1716" ht="18" customHeight="1"/>
    <x:row r="1717" ht="18" customHeight="1"/>
    <x:row r="1718" ht="18" customHeight="1"/>
    <x:row r="1719" ht="18" customHeight="1"/>
    <x:row r="1720" ht="18" customHeight="1"/>
    <x:row r="1721" ht="18" customHeight="1"/>
    <x:row r="1722" ht="18" customHeight="1"/>
    <x:row r="1723" ht="18" customHeight="1"/>
    <x:row r="1724" ht="18" customHeight="1"/>
    <x:row r="1725" ht="18" customHeight="1"/>
    <x:row r="1726" ht="18" customHeight="1"/>
    <x:row r="1727" ht="18" customHeight="1"/>
    <x:row r="1728" ht="18" customHeight="1"/>
    <x:row r="1729" ht="18" customHeight="1"/>
    <x:row r="1730" ht="18" customHeight="1"/>
    <x:row r="1731" ht="18" customHeight="1"/>
    <x:row r="1732" ht="18" customHeight="1"/>
    <x:row r="1733" ht="18" customHeight="1"/>
    <x:row r="1734" ht="18" customHeight="1"/>
    <x:row r="1735" ht="18" customHeight="1"/>
    <x:row r="1736" ht="18" customHeight="1"/>
    <x:row r="1737" ht="18" customHeight="1"/>
    <x:row r="1738" ht="18" customHeight="1"/>
    <x:row r="1739" ht="18" customHeight="1"/>
    <x:row r="1740" ht="18" customHeight="1"/>
    <x:row r="1741" ht="18" customHeight="1"/>
    <x:row r="1742" ht="18" customHeight="1"/>
    <x:row r="1743" ht="18" customHeight="1"/>
    <x:row r="1744" ht="18" customHeight="1"/>
    <x:row r="1745" ht="18" customHeight="1"/>
    <x:row r="1746" ht="18" customHeight="1"/>
    <x:row r="1747" ht="18" customHeight="1"/>
    <x:row r="1748" ht="18" customHeight="1"/>
    <x:row r="1749" ht="18" customHeight="1"/>
    <x:row r="1750" ht="18" customHeight="1"/>
    <x:row r="1751" ht="18" customHeight="1"/>
    <x:row r="1752" ht="18" customHeight="1"/>
    <x:row r="1753" ht="18" customHeight="1"/>
    <x:row r="1754" ht="18" customHeight="1"/>
    <x:row r="1755" ht="18" customHeight="1"/>
    <x:row r="1756" ht="18" customHeight="1"/>
    <x:row r="1757" ht="18" customHeight="1"/>
    <x:row r="1758" ht="18" customHeight="1"/>
    <x:row r="1759" ht="18" customHeight="1"/>
    <x:row r="1760" ht="18" customHeight="1"/>
    <x:row r="1761" ht="18" customHeight="1"/>
    <x:row r="1762" ht="18" customHeight="1"/>
    <x:row r="1763" ht="18" customHeight="1"/>
    <x:row r="1764" ht="18" customHeight="1"/>
    <x:row r="1765" ht="18" customHeight="1"/>
    <x:row r="1766" ht="18" customHeight="1"/>
    <x:row r="1767" ht="18" customHeight="1"/>
    <x:row r="1768" ht="18" customHeight="1"/>
    <x:row r="1769" ht="18" customHeight="1"/>
    <x:row r="1770" ht="18" customHeight="1"/>
    <x:row r="1771" ht="18" customHeight="1"/>
    <x:row r="1772" ht="18" customHeight="1"/>
    <x:row r="1773" ht="18" customHeight="1"/>
    <x:row r="1774" ht="18" customHeight="1"/>
    <x:row r="1775" ht="18" customHeight="1"/>
    <x:row r="1776" ht="18" customHeight="1"/>
    <x:row r="1777" ht="18" customHeight="1"/>
    <x:row r="1778" ht="18" customHeight="1"/>
    <x:row r="1779" ht="18" customHeight="1"/>
    <x:row r="1780" ht="18" customHeight="1"/>
    <x:row r="1781" ht="18" customHeight="1"/>
    <x:row r="1782" ht="18" customHeight="1"/>
    <x:row r="1783" ht="18" customHeight="1"/>
    <x:row r="1784" ht="18" customHeight="1"/>
    <x:row r="1785" ht="18" customHeight="1"/>
    <x:row r="1786" ht="18" customHeight="1"/>
    <x:row r="1787" ht="18" customHeight="1"/>
    <x:row r="1788" ht="18" customHeight="1"/>
    <x:row r="1789" ht="18" customHeight="1"/>
    <x:row r="1790" ht="18" customHeight="1"/>
    <x:row r="1791" ht="18" customHeight="1"/>
    <x:row r="1792" ht="18" customHeight="1"/>
    <x:row r="1793" ht="18" customHeight="1"/>
    <x:row r="1794" ht="18" customHeight="1"/>
    <x:row r="1795" ht="18" customHeight="1"/>
    <x:row r="1796" ht="18" customHeight="1"/>
    <x:row r="1797" ht="18" customHeight="1"/>
    <x:row r="1798" ht="18" customHeight="1"/>
    <x:row r="1799" ht="18" customHeight="1"/>
    <x:row r="1800" ht="18" customHeight="1"/>
    <x:row r="1801" ht="18" customHeight="1"/>
    <x:row r="1802" ht="18" customHeight="1"/>
    <x:row r="1803" ht="18" customHeight="1"/>
    <x:row r="1804" ht="18" customHeight="1"/>
    <x:row r="1805" ht="18" customHeight="1"/>
    <x:row r="1806" ht="18" customHeight="1"/>
    <x:row r="1807" ht="18" customHeight="1"/>
    <x:row r="1808" ht="18" customHeight="1"/>
    <x:row r="1809" ht="18" customHeight="1"/>
    <x:row r="1810" ht="18" customHeight="1"/>
    <x:row r="1811" ht="18" customHeight="1"/>
    <x:row r="1812" ht="18" customHeight="1"/>
    <x:row r="1813" ht="18" customHeight="1"/>
    <x:row r="1814" ht="18" customHeight="1"/>
    <x:row r="1815" ht="18" customHeight="1"/>
    <x:row r="1816" ht="18" customHeight="1"/>
    <x:row r="1817" ht="18" customHeight="1"/>
    <x:row r="1818" ht="18" customHeight="1"/>
    <x:row r="1819" ht="18" customHeight="1"/>
    <x:row r="1820" ht="18" customHeight="1"/>
    <x:row r="1821" ht="18" customHeight="1"/>
    <x:row r="1822" ht="18" customHeight="1"/>
    <x:row r="1823" ht="18" customHeight="1"/>
    <x:row r="1824" ht="18" customHeight="1"/>
    <x:row r="1825" ht="18" customHeight="1"/>
    <x:row r="1826" ht="18" customHeight="1"/>
    <x:row r="1827" ht="18" customHeight="1"/>
    <x:row r="1828" ht="18" customHeight="1"/>
    <x:row r="1829" ht="18" customHeight="1"/>
    <x:row r="1830" ht="18" customHeight="1"/>
    <x:row r="1831" ht="18" customHeight="1"/>
    <x:row r="1832" ht="18" customHeight="1"/>
    <x:row r="1833" ht="18" customHeight="1"/>
    <x:row r="1834" ht="18" customHeight="1"/>
    <x:row r="1835" ht="18" customHeight="1"/>
    <x:row r="1836" ht="18" customHeight="1"/>
    <x:row r="1837" ht="18" customHeight="1"/>
    <x:row r="1838" ht="18" customHeight="1"/>
    <x:row r="1839" ht="18" customHeight="1"/>
    <x:row r="1840" ht="18" customHeight="1"/>
    <x:row r="1841" ht="18" customHeight="1"/>
    <x:row r="1842" ht="18" customHeight="1"/>
    <x:row r="1843" ht="18" customHeight="1"/>
    <x:row r="1844" ht="18" customHeight="1"/>
    <x:row r="1845" ht="18" customHeight="1"/>
    <x:row r="1846" ht="18" customHeight="1"/>
    <x:row r="1847" ht="18" customHeight="1"/>
    <x:row r="1848" ht="18" customHeight="1"/>
    <x:row r="1849" ht="18" customHeight="1"/>
    <x:row r="1850" ht="18" customHeight="1"/>
    <x:row r="1851" ht="18" customHeight="1"/>
    <x:row r="1852" ht="18" customHeight="1"/>
    <x:row r="1853" ht="18" customHeight="1"/>
    <x:row r="1854" ht="18" customHeight="1"/>
    <x:row r="1855" ht="18" customHeight="1"/>
    <x:row r="1856" ht="18" customHeight="1"/>
    <x:row r="1857" ht="18" customHeight="1"/>
    <x:row r="1858" ht="18" customHeight="1"/>
    <x:row r="1859" ht="18" customHeight="1"/>
    <x:row r="1860" ht="18" customHeight="1"/>
    <x:row r="1861" ht="18" customHeight="1"/>
    <x:row r="1862" ht="18" customHeight="1"/>
    <x:row r="1863" ht="18" customHeight="1"/>
    <x:row r="1864" ht="18" customHeight="1"/>
    <x:row r="1865" ht="18" customHeight="1"/>
    <x:row r="1866" ht="18" customHeight="1"/>
    <x:row r="1867" ht="18" customHeight="1"/>
    <x:row r="1868" ht="18" customHeight="1"/>
    <x:row r="1869" ht="18" customHeight="1"/>
    <x:row r="1870" ht="18" customHeight="1"/>
    <x:row r="1871" ht="18" customHeight="1"/>
    <x:row r="1872" ht="18" customHeight="1"/>
    <x:row r="1873" ht="18" customHeight="1"/>
    <x:row r="1874" ht="18" customHeight="1"/>
    <x:row r="1875" ht="18" customHeight="1"/>
    <x:row r="1876" ht="18" customHeight="1"/>
    <x:row r="1877" ht="18" customHeight="1"/>
    <x:row r="1878" ht="18" customHeight="1"/>
    <x:row r="1879" ht="18" customHeight="1"/>
    <x:row r="1880" ht="18" customHeight="1"/>
    <x:row r="1881" ht="18" customHeight="1"/>
    <x:row r="1882" ht="18" customHeight="1"/>
    <x:row r="1883" ht="18" customHeight="1"/>
    <x:row r="1884" ht="18" customHeight="1"/>
    <x:row r="1885" ht="18" customHeight="1"/>
    <x:row r="1886" ht="18" customHeight="1"/>
    <x:row r="1887" ht="18" customHeight="1"/>
    <x:row r="1888" ht="18" customHeight="1"/>
    <x:row r="1889" ht="18" customHeight="1"/>
    <x:row r="1890" ht="18" customHeight="1"/>
    <x:row r="1891" ht="18" customHeight="1"/>
    <x:row r="1892" ht="18" customHeight="1"/>
    <x:row r="1893" ht="18" customHeight="1"/>
    <x:row r="1894" ht="18" customHeight="1"/>
    <x:row r="1895" ht="18" customHeight="1"/>
    <x:row r="1896" ht="18" customHeight="1"/>
    <x:row r="1897" ht="18" customHeight="1"/>
    <x:row r="1898" ht="18" customHeight="1"/>
    <x:row r="1899" ht="18" customHeight="1"/>
    <x:row r="1900" ht="18" customHeight="1"/>
    <x:row r="1901" ht="18" customHeight="1"/>
    <x:row r="1902" ht="18" customHeight="1"/>
    <x:row r="1903" ht="18" customHeight="1"/>
    <x:row r="1904" ht="18" customHeight="1"/>
    <x:row r="1905" ht="18" customHeight="1"/>
    <x:row r="1906" ht="18" customHeight="1"/>
    <x:row r="1907" ht="18" customHeight="1"/>
    <x:row r="1908" ht="18" customHeight="1"/>
    <x:row r="1909" ht="18" customHeight="1"/>
    <x:row r="1910" ht="18" customHeight="1"/>
    <x:row r="1911" ht="18" customHeight="1"/>
    <x:row r="1912" ht="18" customHeight="1"/>
    <x:row r="1913" ht="18" customHeight="1"/>
    <x:row r="1914" ht="18" customHeight="1"/>
    <x:row r="1915" ht="18" customHeight="1"/>
    <x:row r="1916" ht="18" customHeight="1"/>
    <x:row r="1917" ht="18" customHeight="1"/>
    <x:row r="1918" ht="18" customHeight="1"/>
    <x:row r="1919" ht="18" customHeight="1"/>
    <x:row r="1920" ht="18" customHeight="1"/>
    <x:row r="1921" ht="18" customHeight="1"/>
    <x:row r="1922" ht="18" customHeight="1"/>
    <x:row r="1923" ht="18" customHeight="1"/>
    <x:row r="1924" ht="18" customHeight="1"/>
    <x:row r="1925" ht="18" customHeight="1"/>
    <x:row r="1926" ht="18" customHeight="1"/>
    <x:row r="1927" ht="18" customHeight="1"/>
    <x:row r="1928" ht="18" customHeight="1"/>
    <x:row r="1929" ht="18" customHeight="1"/>
    <x:row r="1930" ht="18" customHeight="1"/>
    <x:row r="1931" ht="18" customHeight="1"/>
    <x:row r="1932" ht="18" customHeight="1"/>
    <x:row r="1933" ht="18" customHeight="1"/>
    <x:row r="1934" ht="18" customHeight="1"/>
    <x:row r="1935" ht="18" customHeight="1"/>
    <x:row r="1936" ht="18" customHeight="1"/>
    <x:row r="1937" ht="18" customHeight="1"/>
    <x:row r="1938" ht="18" customHeight="1"/>
    <x:row r="1939" ht="18" customHeight="1"/>
    <x:row r="1940" ht="18" customHeight="1"/>
    <x:row r="1941" ht="18" customHeight="1"/>
    <x:row r="1942" ht="18" customHeight="1"/>
    <x:row r="1943" ht="18" customHeight="1"/>
    <x:row r="1944" ht="18" customHeight="1"/>
    <x:row r="1945" ht="18" customHeight="1"/>
    <x:row r="1946" ht="18" customHeight="1"/>
    <x:row r="1947" ht="18" customHeight="1"/>
    <x:row r="1948" ht="18" customHeight="1"/>
    <x:row r="1949" ht="18" customHeight="1"/>
    <x:row r="1950" ht="18" customHeight="1"/>
    <x:row r="1951" ht="18" customHeight="1"/>
    <x:row r="1952" ht="18" customHeight="1"/>
    <x:row r="1953" ht="18" customHeight="1"/>
    <x:row r="1954" ht="18" customHeight="1"/>
    <x:row r="1955" ht="18" customHeight="1"/>
    <x:row r="1956" ht="18" customHeight="1"/>
    <x:row r="1957" ht="18" customHeight="1"/>
    <x:row r="1958" ht="18" customHeight="1"/>
    <x:row r="1959" ht="18" customHeight="1"/>
    <x:row r="1960" ht="18" customHeight="1"/>
    <x:row r="1961" ht="18" customHeight="1"/>
    <x:row r="1962" ht="18" customHeight="1"/>
    <x:row r="1963" ht="18" customHeight="1"/>
    <x:row r="1964" ht="18" customHeight="1"/>
    <x:row r="1965" ht="18" customHeight="1"/>
    <x:row r="1966" ht="18" customHeight="1"/>
    <x:row r="1967" ht="18" customHeight="1"/>
    <x:row r="1968" ht="18" customHeight="1"/>
    <x:row r="1969" ht="18" customHeight="1"/>
    <x:row r="1970" ht="18" customHeight="1"/>
    <x:row r="1971" ht="18" customHeight="1"/>
    <x:row r="1972" ht="18" customHeight="1"/>
    <x:row r="1973" ht="18" customHeight="1"/>
    <x:row r="1974" ht="18" customHeight="1"/>
    <x:row r="1975" ht="18" customHeight="1"/>
    <x:row r="1976" ht="18" customHeight="1"/>
    <x:row r="1977" ht="18" customHeight="1"/>
    <x:row r="1978" ht="18" customHeight="1"/>
    <x:row r="1979" ht="18" customHeight="1"/>
    <x:row r="1980" ht="18" customHeight="1"/>
    <x:row r="1981" ht="18" customHeight="1"/>
    <x:row r="1982" ht="18" customHeight="1"/>
    <x:row r="1983" ht="18" customHeight="1"/>
    <x:row r="1984" ht="18" customHeight="1"/>
    <x:row r="1985" ht="18" customHeight="1"/>
    <x:row r="1986" ht="18" customHeight="1"/>
    <x:row r="1987" ht="18" customHeight="1"/>
    <x:row r="1988" ht="18" customHeight="1"/>
    <x:row r="1989" ht="18" customHeight="1"/>
    <x:row r="1990" ht="18" customHeight="1"/>
    <x:row r="1991" ht="18" customHeight="1"/>
    <x:row r="1992" ht="18" customHeight="1"/>
    <x:row r="1993" ht="18" customHeight="1"/>
    <x:row r="1994" ht="18" customHeight="1"/>
    <x:row r="1995" ht="18" customHeight="1"/>
    <x:row r="1996" ht="18" customHeight="1"/>
    <x:row r="1997" ht="18" customHeight="1"/>
    <x:row r="1998" ht="18" customHeight="1"/>
    <x:row r="1999" ht="18" customHeight="1"/>
    <x:row r="2000" ht="18" customHeight="1"/>
    <x:row r="2001" ht="18" customHeight="1"/>
    <x:row r="2002" ht="18" customHeight="1"/>
    <x:row r="2003" ht="18" customHeight="1"/>
    <x:row r="2004" ht="18" customHeight="1"/>
    <x:row r="2005" ht="18" customHeight="1"/>
    <x:row r="2006" ht="18" customHeight="1"/>
    <x:row r="2007" ht="18" customHeight="1"/>
    <x:row r="2008" ht="18" customHeight="1"/>
    <x:row r="2009" ht="18" customHeight="1"/>
    <x:row r="2010" ht="18" customHeight="1"/>
    <x:row r="2011" ht="18" customHeight="1"/>
    <x:row r="2012" ht="18" customHeight="1"/>
    <x:row r="2013" ht="18" customHeight="1"/>
    <x:row r="2014" ht="18" customHeight="1"/>
    <x:row r="2015" ht="18" customHeight="1"/>
    <x:row r="2016" ht="18" customHeight="1"/>
    <x:row r="2017" ht="18" customHeight="1"/>
    <x:row r="2018" ht="18" customHeight="1"/>
    <x:row r="2019" ht="18" customHeight="1"/>
    <x:row r="2020" ht="18" customHeight="1"/>
    <x:row r="2021" ht="18" customHeight="1"/>
    <x:row r="2022" ht="18" customHeight="1"/>
    <x:row r="2023" ht="18" customHeight="1"/>
    <x:row r="2024" ht="18" customHeight="1"/>
    <x:row r="2025" ht="18" customHeight="1"/>
    <x:row r="2026" ht="18" customHeight="1"/>
    <x:row r="2027" ht="18" customHeight="1"/>
    <x:row r="2028" ht="18" customHeight="1"/>
    <x:row r="2029" ht="18" customHeight="1"/>
    <x:row r="2030" ht="18" customHeight="1"/>
    <x:row r="2031" ht="18" customHeight="1"/>
    <x:row r="2032" ht="18" customHeight="1"/>
    <x:row r="2033" ht="18" customHeight="1"/>
    <x:row r="2034" ht="18" customHeight="1"/>
    <x:row r="2035" ht="18" customHeight="1"/>
    <x:row r="2036" ht="18" customHeight="1"/>
    <x:row r="2037" ht="18" customHeight="1"/>
    <x:row r="2038" ht="18" customHeight="1"/>
    <x:row r="2039" ht="18" customHeight="1"/>
    <x:row r="2040" ht="18" customHeight="1"/>
    <x:row r="2041" ht="18" customHeight="1"/>
    <x:row r="2042" ht="18" customHeight="1"/>
    <x:row r="2043" ht="18" customHeight="1"/>
    <x:row r="2044" ht="18" customHeight="1"/>
    <x:row r="2045" ht="18" customHeight="1"/>
    <x:row r="2046" ht="18" customHeight="1"/>
    <x:row r="2047" ht="18" customHeight="1"/>
    <x:row r="2048" ht="18" customHeight="1"/>
    <x:row r="2049" ht="18" customHeight="1"/>
    <x:row r="2050" ht="18" customHeight="1"/>
    <x:row r="2051" ht="18" customHeight="1"/>
    <x:row r="2052" ht="18" customHeight="1"/>
    <x:row r="2053" ht="18" customHeight="1"/>
    <x:row r="2054" ht="18" customHeight="1"/>
    <x:row r="2055" ht="18" customHeight="1"/>
    <x:row r="2056" ht="18" customHeight="1"/>
    <x:row r="2057" ht="18" customHeight="1"/>
    <x:row r="2058" ht="18" customHeight="1"/>
    <x:row r="2059" ht="18" customHeight="1"/>
    <x:row r="2060" ht="18" customHeight="1"/>
    <x:row r="2061" ht="18" customHeight="1"/>
    <x:row r="2062" ht="18" customHeight="1"/>
    <x:row r="2063" ht="18" customHeight="1"/>
    <x:row r="2064" ht="18" customHeight="1"/>
    <x:row r="2065" ht="18" customHeight="1"/>
    <x:row r="2066" ht="18" customHeight="1"/>
    <x:row r="2067" ht="18" customHeight="1"/>
    <x:row r="2068" ht="18" customHeight="1"/>
    <x:row r="2069" ht="18" customHeight="1"/>
    <x:row r="2070" ht="18" customHeight="1"/>
    <x:row r="2071" ht="18" customHeight="1"/>
    <x:row r="2072" ht="18" customHeight="1"/>
    <x:row r="2073" ht="18" customHeight="1"/>
    <x:row r="2074" ht="18" customHeight="1"/>
    <x:row r="2075" ht="18" customHeight="1"/>
    <x:row r="2076" ht="18" customHeight="1"/>
    <x:row r="2077" ht="18" customHeight="1"/>
    <x:row r="2078" ht="18" customHeight="1"/>
    <x:row r="2079" ht="18" customHeight="1"/>
    <x:row r="2080" ht="18" customHeight="1"/>
    <x:row r="2081" ht="18" customHeight="1"/>
    <x:row r="2082" ht="18" customHeight="1"/>
    <x:row r="2083" ht="18" customHeight="1"/>
    <x:row r="2084" ht="18" customHeight="1"/>
    <x:row r="2085" ht="18" customHeight="1"/>
    <x:row r="2086" ht="18" customHeight="1"/>
    <x:row r="2087" ht="18" customHeight="1"/>
    <x:row r="2088" ht="18" customHeight="1"/>
    <x:row r="2089" ht="18" customHeight="1"/>
    <x:row r="2090" ht="18" customHeight="1"/>
    <x:row r="2091" ht="18" customHeight="1"/>
    <x:row r="2092" ht="18" customHeight="1"/>
    <x:row r="2093" ht="18" customHeight="1"/>
    <x:row r="2094" ht="18" customHeight="1"/>
    <x:row r="2095" ht="18" customHeight="1"/>
    <x:row r="2096" ht="18" customHeight="1"/>
    <x:row r="2097" ht="18" customHeight="1"/>
    <x:row r="2098" ht="18" customHeight="1"/>
    <x:row r="2099" ht="18" customHeight="1"/>
    <x:row r="2100" ht="18" customHeight="1"/>
    <x:row r="2101" ht="18" customHeight="1"/>
    <x:row r="2102" ht="18" customHeight="1"/>
    <x:row r="2103" ht="18" customHeight="1"/>
    <x:row r="2104" ht="18" customHeight="1"/>
    <x:row r="2105" ht="18" customHeight="1"/>
    <x:row r="2106" ht="18" customHeight="1"/>
    <x:row r="2107" ht="18" customHeight="1"/>
    <x:row r="2108" ht="18" customHeight="1"/>
    <x:row r="2109" ht="18" customHeight="1"/>
    <x:row r="2110" ht="18" customHeight="1"/>
    <x:row r="2111" ht="18" customHeight="1"/>
    <x:row r="2112" ht="18" customHeight="1"/>
    <x:row r="2113" ht="18" customHeight="1"/>
    <x:row r="2114" ht="18" customHeight="1"/>
    <x:row r="2115" ht="18" customHeight="1"/>
    <x:row r="2116" ht="18" customHeight="1"/>
    <x:row r="2117" ht="18" customHeight="1"/>
    <x:row r="2118" ht="18" customHeight="1"/>
    <x:row r="2119" ht="18" customHeight="1"/>
    <x:row r="2120" ht="18" customHeight="1"/>
    <x:row r="2121" ht="18" customHeight="1"/>
    <x:row r="2122" ht="18" customHeight="1"/>
    <x:row r="2123" ht="18" customHeight="1"/>
    <x:row r="2124" ht="18" customHeight="1"/>
    <x:row r="2125" ht="18" customHeight="1"/>
    <x:row r="2126" ht="18" customHeight="1"/>
    <x:row r="2127" ht="18" customHeight="1"/>
    <x:row r="2128" ht="18" customHeight="1"/>
    <x:row r="2129" ht="18" customHeight="1"/>
    <x:row r="2130" ht="18" customHeight="1"/>
    <x:row r="2131" ht="18" customHeight="1"/>
    <x:row r="2132" ht="18" customHeight="1"/>
    <x:row r="2133" ht="18" customHeight="1"/>
    <x:row r="2134" ht="18" customHeight="1"/>
    <x:row r="2135" ht="18" customHeight="1"/>
    <x:row r="2136" ht="18" customHeight="1"/>
    <x:row r="2137" ht="18" customHeight="1"/>
    <x:row r="2138" ht="18" customHeight="1"/>
    <x:row r="2139" ht="18" customHeight="1"/>
    <x:row r="2140" ht="18" customHeight="1"/>
    <x:row r="2141" ht="18" customHeight="1"/>
    <x:row r="2142" ht="18" customHeight="1"/>
    <x:row r="2143" ht="18" customHeight="1"/>
    <x:row r="2144" ht="18" customHeight="1"/>
    <x:row r="2145" ht="18" customHeight="1"/>
    <x:row r="2146" ht="18" customHeight="1"/>
    <x:row r="2147" ht="18" customHeight="1"/>
    <x:row r="2148" ht="18" customHeight="1"/>
    <x:row r="2149" ht="18" customHeight="1"/>
    <x:row r="2150" ht="18" customHeight="1"/>
    <x:row r="2151" ht="18" customHeight="1"/>
    <x:row r="2152" ht="18" customHeight="1"/>
    <x:row r="2153" ht="18" customHeight="1"/>
    <x:row r="2154" ht="18" customHeight="1"/>
    <x:row r="2155" ht="18" customHeight="1"/>
    <x:row r="2156" ht="18" customHeight="1"/>
    <x:row r="2157" ht="18" customHeight="1"/>
    <x:row r="2158" ht="18" customHeight="1"/>
    <x:row r="2159" ht="18" customHeight="1"/>
    <x:row r="2160" ht="18" customHeight="1"/>
    <x:row r="2161" ht="18" customHeight="1"/>
    <x:row r="2162" ht="18" customHeight="1"/>
    <x:row r="2163" ht="18" customHeight="1"/>
    <x:row r="2164" ht="18" customHeight="1"/>
    <x:row r="2165" ht="18" customHeight="1"/>
    <x:row r="2166" ht="18" customHeight="1"/>
    <x:row r="2167" ht="18" customHeight="1"/>
    <x:row r="2168" ht="18" customHeight="1"/>
    <x:row r="2169" ht="18" customHeight="1"/>
    <x:row r="2170" ht="18" customHeight="1"/>
    <x:row r="2171" ht="18" customHeight="1"/>
    <x:row r="2172" ht="18" customHeight="1"/>
    <x:row r="2173" ht="18" customHeight="1"/>
    <x:row r="2174" ht="18" customHeight="1"/>
    <x:row r="2175" ht="18" customHeight="1"/>
    <x:row r="2176" ht="18" customHeight="1"/>
    <x:row r="2177" ht="18" customHeight="1"/>
    <x:row r="2178" ht="18" customHeight="1"/>
    <x:row r="2179" ht="18" customHeight="1"/>
    <x:row r="2180" ht="18" customHeight="1"/>
    <x:row r="2181" ht="18" customHeight="1"/>
    <x:row r="2182" ht="18" customHeight="1"/>
    <x:row r="2183" ht="18" customHeight="1"/>
    <x:row r="2184" ht="18" customHeight="1"/>
    <x:row r="2185" ht="18" customHeight="1"/>
    <x:row r="2186" ht="18" customHeight="1"/>
    <x:row r="2187" ht="18" customHeight="1"/>
    <x:row r="2188" ht="18" customHeight="1"/>
    <x:row r="2189" ht="18" customHeight="1"/>
    <x:row r="2190" ht="18" customHeight="1"/>
    <x:row r="2191" ht="18" customHeight="1"/>
    <x:row r="2192" ht="18" customHeight="1"/>
    <x:row r="2193" ht="18" customHeight="1"/>
    <x:row r="2194" ht="18" customHeight="1"/>
    <x:row r="2195" ht="18" customHeight="1"/>
    <x:row r="2196" ht="18" customHeight="1"/>
    <x:row r="2197" ht="18" customHeight="1"/>
    <x:row r="2198" ht="18" customHeight="1"/>
    <x:row r="2199" ht="18" customHeight="1"/>
    <x:row r="2200" ht="18" customHeight="1"/>
    <x:row r="2201" ht="18" customHeight="1"/>
    <x:row r="2202" ht="18" customHeight="1"/>
    <x:row r="2203" ht="18" customHeight="1"/>
    <x:row r="2204" ht="18" customHeight="1"/>
    <x:row r="2205" ht="18" customHeight="1"/>
    <x:row r="2206" ht="18" customHeight="1"/>
    <x:row r="2207" ht="18" customHeight="1"/>
    <x:row r="2208" ht="18" customHeight="1"/>
    <x:row r="2209" ht="18" customHeight="1"/>
    <x:row r="2210" ht="18" customHeight="1"/>
    <x:row r="2211" ht="18" customHeight="1"/>
    <x:row r="2212" ht="18" customHeight="1"/>
    <x:row r="2213" ht="18" customHeight="1"/>
    <x:row r="2214" ht="18" customHeight="1"/>
    <x:row r="2215" ht="18" customHeight="1"/>
    <x:row r="2216" ht="18" customHeight="1"/>
    <x:row r="2217" ht="18" customHeight="1"/>
    <x:row r="2218" ht="18" customHeight="1"/>
    <x:row r="2219" ht="18" customHeight="1"/>
    <x:row r="2220" ht="18" customHeight="1"/>
    <x:row r="2221" ht="18" customHeight="1"/>
    <x:row r="2222" ht="18" customHeight="1"/>
    <x:row r="2223" ht="18" customHeight="1"/>
    <x:row r="2224" ht="18" customHeight="1"/>
    <x:row r="2225" ht="18" customHeight="1"/>
    <x:row r="2226" ht="18" customHeight="1"/>
    <x:row r="2227" ht="18" customHeight="1"/>
    <x:row r="2228" ht="18" customHeight="1"/>
    <x:row r="2229" ht="18" customHeight="1"/>
    <x:row r="2230" ht="18" customHeight="1"/>
    <x:row r="2231" ht="18" customHeight="1"/>
    <x:row r="2232" ht="18" customHeight="1"/>
    <x:row r="2233" ht="18" customHeight="1"/>
    <x:row r="2234" ht="18" customHeight="1"/>
    <x:row r="2235" ht="18" customHeight="1"/>
    <x:row r="2236" ht="18" customHeight="1"/>
    <x:row r="2237" ht="18" customHeight="1"/>
    <x:row r="2238" ht="18" customHeight="1"/>
    <x:row r="2239" ht="18" customHeight="1"/>
    <x:row r="2240" ht="18" customHeight="1"/>
    <x:row r="2241" ht="18" customHeight="1"/>
    <x:row r="2242" ht="18" customHeight="1"/>
    <x:row r="2243" ht="18" customHeight="1"/>
    <x:row r="2244" ht="18" customHeight="1"/>
    <x:row r="2245" ht="18" customHeight="1"/>
    <x:row r="2246" ht="18" customHeight="1"/>
    <x:row r="2247" ht="18" customHeight="1"/>
    <x:row r="2248" ht="18" customHeight="1"/>
    <x:row r="2249" ht="18" customHeight="1"/>
    <x:row r="2250" ht="18" customHeight="1"/>
    <x:row r="2251" ht="18" customHeight="1"/>
    <x:row r="2252" ht="18" customHeight="1"/>
    <x:row r="2253" ht="18" customHeight="1"/>
    <x:row r="2254" ht="18" customHeight="1"/>
    <x:row r="2255" ht="18" customHeight="1"/>
    <x:row r="2256" ht="18" customHeight="1"/>
    <x:row r="2257" ht="18" customHeight="1"/>
    <x:row r="2258" ht="18" customHeight="1"/>
    <x:row r="2259" ht="18" customHeight="1"/>
    <x:row r="2260" ht="18" customHeight="1"/>
    <x:row r="2261" ht="18" customHeight="1"/>
    <x:row r="2262" ht="18" customHeight="1"/>
    <x:row r="2263" ht="18" customHeight="1"/>
    <x:row r="2264" ht="18" customHeight="1"/>
    <x:row r="2265" ht="18" customHeight="1"/>
    <x:row r="2266" ht="18" customHeight="1"/>
    <x:row r="2267" ht="18" customHeight="1"/>
    <x:row r="2268" ht="18" customHeight="1"/>
    <x:row r="2269" ht="18" customHeight="1"/>
    <x:row r="2270" ht="18" customHeight="1"/>
    <x:row r="2271" ht="18" customHeight="1"/>
    <x:row r="2272" ht="18" customHeight="1"/>
    <x:row r="2273" ht="18" customHeight="1"/>
    <x:row r="2274" ht="18" customHeight="1"/>
    <x:row r="2275" ht="18" customHeight="1"/>
    <x:row r="2276" ht="18" customHeight="1"/>
    <x:row r="2277" ht="18" customHeight="1"/>
    <x:row r="2278" ht="18" customHeight="1"/>
    <x:row r="2279" ht="18" customHeight="1"/>
    <x:row r="2280" ht="18" customHeight="1"/>
    <x:row r="2281" ht="18" customHeight="1"/>
    <x:row r="2282" ht="18" customHeight="1"/>
    <x:row r="2283" ht="18" customHeight="1"/>
    <x:row r="2284" ht="18" customHeight="1"/>
    <x:row r="2285" ht="18" customHeight="1"/>
    <x:row r="2286" ht="18" customHeight="1"/>
    <x:row r="2287" ht="18" customHeight="1"/>
    <x:row r="2288" ht="18" customHeight="1"/>
    <x:row r="2289" ht="18" customHeight="1"/>
    <x:row r="2290" ht="18" customHeight="1"/>
    <x:row r="2291" ht="18" customHeight="1"/>
    <x:row r="2292" ht="18" customHeight="1"/>
    <x:row r="2293" ht="18" customHeight="1"/>
    <x:row r="2294" ht="18" customHeight="1"/>
    <x:row r="2295" ht="18" customHeight="1"/>
    <x:row r="2296" ht="18" customHeight="1"/>
    <x:row r="2297" ht="18" customHeight="1"/>
    <x:row r="2298" ht="18" customHeight="1"/>
    <x:row r="2299" ht="18" customHeight="1"/>
    <x:row r="2300" ht="18" customHeight="1"/>
    <x:row r="2301" ht="18" customHeight="1"/>
    <x:row r="2302" ht="18" customHeight="1"/>
    <x:row r="2303" ht="18" customHeight="1"/>
    <x:row r="2304" ht="18" customHeight="1"/>
    <x:row r="2305" ht="18" customHeight="1"/>
    <x:row r="2306" ht="18" customHeight="1"/>
    <x:row r="2307" ht="18" customHeight="1"/>
    <x:row r="2308" ht="18" customHeight="1"/>
    <x:row r="2309" ht="18" customHeight="1"/>
    <x:row r="2310" ht="18" customHeight="1"/>
    <x:row r="2311" ht="18" customHeight="1"/>
    <x:row r="2312" ht="18" customHeight="1"/>
    <x:row r="2313" ht="18" customHeight="1"/>
    <x:row r="2314" ht="18" customHeight="1"/>
    <x:row r="2315" ht="18" customHeight="1"/>
    <x:row r="2316" ht="18" customHeight="1"/>
    <x:row r="2317" ht="18" customHeight="1"/>
    <x:row r="2318" ht="18" customHeight="1"/>
    <x:row r="2319" ht="18" customHeight="1"/>
    <x:row r="2320" ht="18" customHeight="1"/>
    <x:row r="2321" ht="18" customHeight="1"/>
    <x:row r="2322" ht="18" customHeight="1"/>
    <x:row r="2323" ht="18" customHeight="1"/>
    <x:row r="2324" ht="18" customHeight="1"/>
    <x:row r="2325" ht="18" customHeight="1"/>
    <x:row r="2326" ht="18" customHeight="1"/>
    <x:row r="2327" ht="18" customHeight="1"/>
    <x:row r="2328" ht="18" customHeight="1"/>
    <x:row r="2329" ht="18" customHeight="1"/>
    <x:row r="2330" ht="18" customHeight="1"/>
    <x:row r="2331" ht="18" customHeight="1"/>
    <x:row r="2332" ht="18" customHeight="1"/>
    <x:row r="2333" ht="18" customHeight="1"/>
    <x:row r="2334" ht="18" customHeight="1"/>
    <x:row r="2335" ht="18" customHeight="1"/>
    <x:row r="2336" ht="18" customHeight="1"/>
    <x:row r="2337" ht="18" customHeight="1"/>
    <x:row r="2338" ht="18" customHeight="1"/>
    <x:row r="2339" ht="18" customHeight="1"/>
    <x:row r="2340" ht="18" customHeight="1"/>
    <x:row r="2341" ht="18" customHeight="1"/>
    <x:row r="2342" ht="18" customHeight="1"/>
    <x:row r="2343" ht="18" customHeight="1"/>
    <x:row r="2344" ht="18" customHeight="1"/>
    <x:row r="2345" ht="18" customHeight="1"/>
    <x:row r="2346" ht="18" customHeight="1"/>
    <x:row r="2347" ht="18" customHeight="1"/>
    <x:row r="2348" ht="18" customHeight="1"/>
    <x:row r="2349" ht="18" customHeight="1"/>
    <x:row r="2350" ht="18" customHeight="1"/>
    <x:row r="2351" ht="18" customHeight="1"/>
    <x:row r="2352" ht="18" customHeight="1"/>
    <x:row r="2353" ht="18" customHeight="1"/>
    <x:row r="2354" ht="18" customHeight="1"/>
    <x:row r="2355" ht="18" customHeight="1"/>
    <x:row r="2356" ht="18" customHeight="1"/>
    <x:row r="2357" ht="18" customHeight="1"/>
    <x:row r="2358" ht="18" customHeight="1"/>
    <x:row r="2359" ht="18" customHeight="1"/>
    <x:row r="2360" ht="18" customHeight="1"/>
    <x:row r="2361" ht="18" customHeight="1"/>
    <x:row r="2362" ht="18" customHeight="1"/>
    <x:row r="2363" ht="18" customHeight="1"/>
    <x:row r="2364" ht="18" customHeight="1"/>
    <x:row r="2365" ht="18" customHeight="1"/>
    <x:row r="2366" ht="18" customHeight="1"/>
    <x:row r="2367" ht="18" customHeight="1"/>
    <x:row r="2368" ht="18" customHeight="1"/>
    <x:row r="2369" ht="18" customHeight="1"/>
    <x:row r="2370" ht="18" customHeight="1"/>
    <x:row r="2371" ht="18" customHeight="1"/>
    <x:row r="2372" ht="18" customHeight="1"/>
    <x:row r="2373" ht="18" customHeight="1"/>
    <x:row r="2374" ht="18" customHeight="1"/>
    <x:row r="2375" ht="18" customHeight="1"/>
    <x:row r="2376" ht="18" customHeight="1"/>
    <x:row r="2377" ht="18" customHeight="1"/>
    <x:row r="2378" ht="18" customHeight="1"/>
    <x:row r="2379" ht="18" customHeight="1"/>
    <x:row r="2380" ht="18" customHeight="1"/>
    <x:row r="2381" ht="18" customHeight="1"/>
    <x:row r="2382" ht="18" customHeight="1"/>
    <x:row r="2383" ht="18" customHeight="1"/>
    <x:row r="2384" ht="18" customHeight="1"/>
    <x:row r="2385" ht="18" customHeight="1"/>
    <x:row r="2386" ht="18" customHeight="1"/>
    <x:row r="2387" ht="18" customHeight="1"/>
    <x:row r="2388" ht="18" customHeight="1"/>
    <x:row r="2389" ht="18" customHeight="1"/>
    <x:row r="2390" ht="18" customHeight="1"/>
    <x:row r="2391" ht="18" customHeight="1"/>
    <x:row r="2392" ht="18" customHeight="1"/>
    <x:row r="2393" ht="18" customHeight="1"/>
    <x:row r="2394" ht="18" customHeight="1"/>
    <x:row r="2395" ht="18" customHeight="1"/>
    <x:row r="2396" ht="18" customHeight="1"/>
    <x:row r="2397" ht="18" customHeight="1"/>
    <x:row r="2398" ht="18" customHeight="1"/>
    <x:row r="2399" ht="18" customHeight="1"/>
    <x:row r="2400" ht="18" customHeight="1"/>
    <x:row r="2401" ht="18" customHeight="1"/>
    <x:row r="2402" ht="18" customHeight="1"/>
    <x:row r="2403" ht="18" customHeight="1"/>
    <x:row r="2404" ht="18" customHeight="1"/>
    <x:row r="2405" ht="18" customHeight="1"/>
    <x:row r="2406" ht="18" customHeight="1"/>
    <x:row r="2407" ht="18" customHeight="1"/>
    <x:row r="2408" ht="18" customHeight="1"/>
    <x:row r="2409" ht="18" customHeight="1"/>
    <x:row r="2410" ht="18" customHeight="1"/>
    <x:row r="2411" ht="18" customHeight="1"/>
    <x:row r="2412" ht="18" customHeight="1"/>
    <x:row r="2413" ht="18" customHeight="1"/>
    <x:row r="2414" ht="18" customHeight="1"/>
    <x:row r="2415" ht="18" customHeight="1"/>
    <x:row r="2416" ht="18" customHeight="1"/>
    <x:row r="2417" ht="18" customHeight="1"/>
    <x:row r="2418" ht="18" customHeight="1"/>
    <x:row r="2419" ht="18" customHeight="1"/>
    <x:row r="2420" ht="18" customHeight="1"/>
    <x:row r="2421" ht="18" customHeight="1"/>
    <x:row r="2422" ht="18" customHeight="1"/>
    <x:row r="2423" ht="18" customHeight="1"/>
    <x:row r="2424" ht="18" customHeight="1"/>
    <x:row r="2425" ht="18" customHeight="1"/>
    <x:row r="2426" ht="18" customHeight="1"/>
    <x:row r="2427" ht="18" customHeight="1"/>
    <x:row r="2428" ht="18" customHeight="1"/>
    <x:row r="2429" ht="18" customHeight="1"/>
    <x:row r="2430" ht="18" customHeight="1"/>
    <x:row r="2431" ht="18" customHeight="1"/>
    <x:row r="2432" ht="18" customHeight="1"/>
    <x:row r="2433" ht="18" customHeight="1"/>
    <x:row r="2434" ht="18" customHeight="1"/>
    <x:row r="2435" ht="18" customHeight="1"/>
    <x:row r="2436" ht="18" customHeight="1"/>
    <x:row r="2437" ht="18" customHeight="1"/>
    <x:row r="2438" ht="18" customHeight="1"/>
    <x:row r="2439" ht="18" customHeight="1"/>
    <x:row r="2440" ht="18" customHeight="1"/>
    <x:row r="2441" ht="18" customHeight="1"/>
    <x:row r="2442" ht="18" customHeight="1"/>
    <x:row r="2443" ht="18" customHeight="1"/>
    <x:row r="2444" ht="18" customHeight="1"/>
    <x:row r="2445" ht="18" customHeight="1"/>
    <x:row r="2446" ht="18" customHeight="1"/>
    <x:row r="2447" ht="18" customHeight="1"/>
    <x:row r="2448" ht="18" customHeight="1"/>
    <x:row r="2449" ht="18" customHeight="1"/>
    <x:row r="2450" ht="18" customHeight="1"/>
    <x:row r="2451" ht="18" customHeight="1"/>
    <x:row r="2452" ht="18" customHeight="1"/>
    <x:row r="2453" ht="18" customHeight="1"/>
    <x:row r="2454" ht="18" customHeight="1"/>
    <x:row r="2455" ht="18" customHeight="1"/>
    <x:row r="2456" ht="18" customHeight="1"/>
    <x:row r="2457" ht="18" customHeight="1"/>
    <x:row r="2458" ht="18" customHeight="1"/>
    <x:row r="2459" ht="18" customHeight="1"/>
    <x:row r="2460" ht="18" customHeight="1"/>
    <x:row r="2461" ht="18" customHeight="1"/>
    <x:row r="2462" ht="18" customHeight="1"/>
    <x:row r="2463" ht="18" customHeight="1"/>
    <x:row r="2464" ht="18" customHeight="1"/>
    <x:row r="2465" ht="18" customHeight="1"/>
    <x:row r="2466" ht="18" customHeight="1"/>
    <x:row r="2467" ht="18" customHeight="1"/>
    <x:row r="2468" ht="18" customHeight="1"/>
    <x:row r="2469" ht="18" customHeight="1"/>
    <x:row r="2470" ht="18" customHeight="1"/>
    <x:row r="2471" ht="18" customHeight="1"/>
    <x:row r="2472" ht="18" customHeight="1"/>
    <x:row r="2473" ht="18" customHeight="1"/>
    <x:row r="2474" ht="18" customHeight="1"/>
    <x:row r="2475" ht="18" customHeight="1"/>
    <x:row r="2476" ht="18" customHeight="1"/>
    <x:row r="2477" ht="18" customHeight="1"/>
    <x:row r="2478" ht="18" customHeight="1"/>
    <x:row r="2479" ht="18" customHeight="1"/>
    <x:row r="2480" ht="18" customHeight="1"/>
    <x:row r="2481" ht="18" customHeight="1"/>
    <x:row r="2482" ht="18" customHeight="1"/>
    <x:row r="2483" ht="18" customHeight="1"/>
    <x:row r="2484" ht="18" customHeight="1"/>
    <x:row r="2485" ht="18" customHeight="1"/>
    <x:row r="2486" ht="18" customHeight="1"/>
    <x:row r="2487" ht="18" customHeight="1"/>
    <x:row r="2488" ht="18" customHeight="1"/>
    <x:row r="2489" ht="18" customHeight="1"/>
    <x:row r="2490" ht="18" customHeight="1"/>
    <x:row r="2491" ht="18" customHeight="1"/>
    <x:row r="2492" ht="18" customHeight="1"/>
    <x:row r="2493" ht="18" customHeight="1"/>
    <x:row r="2494" ht="18" customHeight="1"/>
    <x:row r="2495" ht="18" customHeight="1"/>
    <x:row r="2496" ht="18" customHeight="1"/>
    <x:row r="2497" ht="18" customHeight="1"/>
    <x:row r="2498" ht="18" customHeight="1"/>
    <x:row r="2499" ht="18" customHeight="1"/>
    <x:row r="2500" ht="18" customHeight="1"/>
    <x:row r="2501" ht="18" customHeight="1"/>
    <x:row r="2502" ht="18" customHeight="1"/>
    <x:row r="2503" ht="18" customHeight="1"/>
    <x:row r="2504" ht="18" customHeight="1"/>
    <x:row r="2505" ht="18" customHeight="1"/>
    <x:row r="2506" ht="18" customHeight="1"/>
    <x:row r="2507" ht="18" customHeight="1"/>
    <x:row r="2508" ht="18" customHeight="1"/>
    <x:row r="2509" ht="18" customHeight="1"/>
    <x:row r="2510" ht="18" customHeight="1"/>
    <x:row r="2511" ht="18" customHeight="1"/>
    <x:row r="2512" ht="18" customHeight="1"/>
    <x:row r="2513" ht="18" customHeight="1"/>
    <x:row r="2514" ht="18" customHeight="1"/>
    <x:row r="2515" ht="18" customHeight="1"/>
    <x:row r="2516" ht="18" customHeight="1"/>
    <x:row r="2517" ht="18" customHeight="1"/>
    <x:row r="2518" ht="18" customHeight="1"/>
    <x:row r="2519" ht="18" customHeight="1"/>
    <x:row r="2520" ht="18" customHeight="1"/>
    <x:row r="2521" ht="18" customHeight="1"/>
    <x:row r="2522" ht="18" customHeight="1"/>
    <x:row r="2523" ht="18" customHeight="1"/>
    <x:row r="2524" ht="18" customHeight="1"/>
    <x:row r="2525" ht="18" customHeight="1"/>
    <x:row r="2526" ht="18" customHeight="1"/>
    <x:row r="2527" ht="18" customHeight="1"/>
    <x:row r="2528" ht="18" customHeight="1"/>
    <x:row r="2529" ht="18" customHeight="1"/>
    <x:row r="2530" ht="18" customHeight="1"/>
    <x:row r="2531" ht="18" customHeight="1"/>
    <x:row r="2532" ht="18" customHeight="1"/>
    <x:row r="2533" ht="18" customHeight="1"/>
    <x:row r="2534" ht="18" customHeight="1"/>
    <x:row r="2535" ht="18" customHeight="1"/>
    <x:row r="2536" ht="18" customHeight="1"/>
    <x:row r="2537" ht="18" customHeight="1"/>
    <x:row r="2538" ht="18" customHeight="1"/>
    <x:row r="2539" ht="18" customHeight="1"/>
    <x:row r="2540" ht="18" customHeight="1"/>
    <x:row r="2541" ht="18" customHeight="1"/>
    <x:row r="2542" ht="18" customHeight="1"/>
    <x:row r="2543" ht="18" customHeight="1"/>
    <x:row r="2544" ht="18" customHeight="1"/>
    <x:row r="2545" ht="18" customHeight="1"/>
    <x:row r="2546" ht="18" customHeight="1"/>
    <x:row r="2547" ht="18" customHeight="1"/>
    <x:row r="2548" ht="18" customHeight="1"/>
    <x:row r="2549" ht="18" customHeight="1"/>
    <x:row r="2550" ht="18" customHeight="1"/>
    <x:row r="2551" ht="18" customHeight="1"/>
    <x:row r="2552" ht="18" customHeight="1"/>
    <x:row r="2553" ht="18" customHeight="1"/>
    <x:row r="2554" ht="18" customHeight="1"/>
    <x:row r="2555" ht="18" customHeight="1"/>
    <x:row r="2556" ht="18" customHeight="1"/>
    <x:row r="2557" ht="18" customHeight="1"/>
    <x:row r="2558" ht="18" customHeight="1"/>
    <x:row r="2559" ht="18" customHeight="1"/>
    <x:row r="2560" ht="18" customHeight="1"/>
    <x:row r="2561" ht="18" customHeight="1"/>
    <x:row r="2562" ht="18" customHeight="1"/>
    <x:row r="2563" ht="18" customHeight="1"/>
    <x:row r="2564" ht="18" customHeight="1"/>
    <x:row r="2565" ht="18" customHeight="1"/>
    <x:row r="2566" ht="18" customHeight="1"/>
    <x:row r="2567" ht="18" customHeight="1"/>
    <x:row r="2568" ht="18" customHeight="1"/>
    <x:row r="2569" ht="18" customHeight="1"/>
    <x:row r="2570" ht="18" customHeight="1"/>
    <x:row r="2571" ht="18" customHeight="1"/>
    <x:row r="2572" ht="18" customHeight="1"/>
    <x:row r="2573" ht="18" customHeight="1"/>
    <x:row r="2574" ht="18" customHeight="1"/>
    <x:row r="2575" ht="18" customHeight="1"/>
    <x:row r="2576" ht="18" customHeight="1"/>
    <x:row r="2577" ht="18" customHeight="1"/>
    <x:row r="2578" ht="18" customHeight="1"/>
    <x:row r="2579" ht="18" customHeight="1"/>
    <x:row r="2580" ht="18" customHeight="1"/>
    <x:row r="2581" ht="18" customHeight="1"/>
    <x:row r="2582" ht="18" customHeight="1"/>
    <x:row r="2583" ht="18" customHeight="1"/>
    <x:row r="2584" ht="18" customHeight="1"/>
    <x:row r="2585" ht="18" customHeight="1"/>
    <x:row r="2586" ht="18" customHeight="1"/>
    <x:row r="2587" ht="18" customHeight="1"/>
    <x:row r="2588" ht="18" customHeight="1"/>
    <x:row r="2589" ht="18" customHeight="1"/>
    <x:row r="2590" ht="18" customHeight="1"/>
    <x:row r="2591" ht="18" customHeight="1"/>
    <x:row r="2592" ht="18" customHeight="1"/>
    <x:row r="2593" ht="18" customHeight="1"/>
    <x:row r="2594" ht="18" customHeight="1"/>
    <x:row r="2595" ht="18" customHeight="1"/>
    <x:row r="2596" ht="18" customHeight="1"/>
    <x:row r="2597" ht="18" customHeight="1"/>
    <x:row r="2598" ht="18" customHeight="1"/>
    <x:row r="2599" ht="18" customHeight="1"/>
    <x:row r="2600" ht="18" customHeight="1"/>
    <x:row r="2601" ht="18" customHeight="1"/>
    <x:row r="2602" ht="18" customHeight="1"/>
    <x:row r="2603" ht="18" customHeight="1"/>
    <x:row r="2604" ht="18" customHeight="1"/>
    <x:row r="2605" ht="18" customHeight="1"/>
    <x:row r="2606" ht="18" customHeight="1"/>
    <x:row r="2607" ht="18" customHeight="1"/>
    <x:row r="2608" ht="18" customHeight="1"/>
    <x:row r="2609" ht="18" customHeight="1"/>
    <x:row r="2610" ht="18" customHeight="1"/>
    <x:row r="2611" ht="18" customHeight="1"/>
    <x:row r="2612" ht="18" customHeight="1"/>
    <x:row r="2613" ht="18" customHeight="1"/>
    <x:row r="2614" ht="18" customHeight="1"/>
    <x:row r="2615" ht="18" customHeight="1"/>
    <x:row r="2616" ht="18" customHeight="1"/>
    <x:row r="2617" ht="18" customHeight="1"/>
    <x:row r="2618" ht="18" customHeight="1"/>
    <x:row r="2619" ht="18" customHeight="1"/>
    <x:row r="2620" ht="18" customHeight="1"/>
    <x:row r="2621" ht="18" customHeight="1"/>
    <x:row r="2622" ht="18" customHeight="1"/>
    <x:row r="2623" ht="18" customHeight="1"/>
    <x:row r="2624" ht="18" customHeight="1"/>
    <x:row r="2625" ht="18" customHeight="1"/>
    <x:row r="2626" ht="18" customHeight="1"/>
    <x:row r="2627" ht="18" customHeight="1"/>
    <x:row r="2628" ht="18" customHeight="1"/>
    <x:row r="2629" ht="18" customHeight="1"/>
    <x:row r="2630" ht="18" customHeight="1"/>
    <x:row r="2631" ht="18" customHeight="1"/>
    <x:row r="2632" ht="18" customHeight="1"/>
    <x:row r="2633" ht="18" customHeight="1"/>
    <x:row r="2634" ht="18" customHeight="1"/>
    <x:row r="2635" ht="18" customHeight="1"/>
    <x:row r="2636" ht="18" customHeight="1"/>
    <x:row r="2637" ht="18" customHeight="1"/>
    <x:row r="2638" ht="18" customHeight="1"/>
    <x:row r="2639" ht="18" customHeight="1"/>
    <x:row r="2640" ht="18" customHeight="1"/>
    <x:row r="2641" ht="18" customHeight="1"/>
    <x:row r="2642" ht="18" customHeight="1"/>
    <x:row r="2643" ht="18" customHeight="1"/>
    <x:row r="2644" ht="18" customHeight="1"/>
    <x:row r="2645" ht="18" customHeight="1"/>
    <x:row r="2646" ht="18" customHeight="1"/>
    <x:row r="2647" ht="18" customHeight="1"/>
    <x:row r="2648" ht="18" customHeight="1"/>
    <x:row r="2649" ht="18" customHeight="1"/>
    <x:row r="2650" ht="18" customHeight="1"/>
    <x:row r="2651" ht="18" customHeight="1"/>
    <x:row r="2652" ht="18" customHeight="1"/>
    <x:row r="2653" ht="18" customHeight="1"/>
    <x:row r="2654" ht="18" customHeight="1"/>
    <x:row r="2655" ht="18" customHeight="1"/>
    <x:row r="2656" ht="18" customHeight="1"/>
    <x:row r="2657" ht="18" customHeight="1"/>
    <x:row r="2658" ht="18" customHeight="1"/>
    <x:row r="2659" ht="18" customHeight="1"/>
    <x:row r="2660" ht="18" customHeight="1"/>
    <x:row r="2661" ht="18" customHeight="1"/>
    <x:row r="2662" ht="18" customHeight="1"/>
    <x:row r="2663" ht="18" customHeight="1"/>
    <x:row r="2664" ht="18" customHeight="1"/>
    <x:row r="2665" ht="18" customHeight="1"/>
    <x:row r="2666" ht="18" customHeight="1"/>
    <x:row r="2667" ht="18" customHeight="1"/>
    <x:row r="2668" ht="18" customHeight="1"/>
    <x:row r="2669" ht="18" customHeight="1"/>
    <x:row r="2670" ht="18" customHeight="1"/>
    <x:row r="2671" ht="18" customHeight="1"/>
    <x:row r="2672" ht="18" customHeight="1"/>
    <x:row r="2673" ht="18" customHeight="1"/>
    <x:row r="2674" ht="18" customHeight="1"/>
    <x:row r="2675" ht="18" customHeight="1"/>
    <x:row r="2676" ht="18" customHeight="1"/>
    <x:row r="2677" ht="18" customHeight="1"/>
    <x:row r="2678" ht="18" customHeight="1"/>
    <x:row r="2679" ht="18" customHeight="1"/>
    <x:row r="2680" ht="18" customHeight="1"/>
    <x:row r="2681" ht="18" customHeight="1"/>
    <x:row r="2682" ht="18" customHeight="1"/>
    <x:row r="2683" ht="18" customHeight="1"/>
    <x:row r="2684" ht="18" customHeight="1"/>
    <x:row r="2685" ht="18" customHeight="1"/>
    <x:row r="2686" ht="18" customHeight="1"/>
    <x:row r="2687" ht="18" customHeight="1"/>
    <x:row r="2688" ht="18" customHeight="1"/>
    <x:row r="2689" ht="18" customHeight="1"/>
    <x:row r="2690" ht="18" customHeight="1"/>
    <x:row r="2691" ht="18" customHeight="1"/>
    <x:row r="2692" ht="18" customHeight="1"/>
    <x:row r="2693" ht="18" customHeight="1"/>
    <x:row r="2694" ht="18" customHeight="1"/>
    <x:row r="2695" ht="18" customHeight="1"/>
    <x:row r="2696" ht="18" customHeight="1"/>
    <x:row r="2697" ht="18" customHeight="1"/>
    <x:row r="2698" ht="18" customHeight="1"/>
    <x:row r="2699" ht="18" customHeight="1"/>
    <x:row r="2700" ht="18" customHeight="1"/>
    <x:row r="2701" ht="18" customHeight="1"/>
    <x:row r="2702" ht="18" customHeight="1"/>
    <x:row r="2703" ht="18" customHeight="1"/>
    <x:row r="2704" ht="18" customHeight="1"/>
    <x:row r="2705" ht="18" customHeight="1"/>
    <x:row r="2706" ht="18" customHeight="1"/>
    <x:row r="2707" ht="18" customHeight="1"/>
    <x:row r="2708" ht="18" customHeight="1"/>
    <x:row r="2709" ht="18" customHeight="1"/>
    <x:row r="2710" ht="18" customHeight="1"/>
    <x:row r="2711" ht="18" customHeight="1"/>
    <x:row r="2712" ht="18" customHeight="1"/>
    <x:row r="2713" ht="18" customHeight="1"/>
    <x:row r="2714" ht="18" customHeight="1"/>
    <x:row r="2715" ht="18" customHeight="1"/>
    <x:row r="2716" ht="18" customHeight="1"/>
    <x:row r="2717" ht="18" customHeight="1"/>
    <x:row r="2718" ht="18" customHeight="1"/>
    <x:row r="2719" ht="18" customHeight="1"/>
    <x:row r="2720" ht="18" customHeight="1"/>
    <x:row r="2721" ht="18" customHeight="1"/>
    <x:row r="2722" ht="18" customHeight="1"/>
    <x:row r="2723" ht="18" customHeight="1"/>
    <x:row r="2724" ht="18" customHeight="1"/>
    <x:row r="2725" ht="18" customHeight="1"/>
    <x:row r="2726" ht="18" customHeight="1"/>
    <x:row r="2727" ht="18" customHeight="1"/>
    <x:row r="2728" ht="18" customHeight="1"/>
    <x:row r="2729" ht="18" customHeight="1"/>
    <x:row r="2730" ht="18" customHeight="1"/>
    <x:row r="2731" ht="18" customHeight="1"/>
    <x:row r="2732" ht="18" customHeight="1"/>
    <x:row r="2733" ht="18" customHeight="1"/>
    <x:row r="2734" ht="18" customHeight="1"/>
    <x:row r="2735" ht="18" customHeight="1"/>
    <x:row r="2736" ht="18" customHeight="1"/>
    <x:row r="2737" ht="18" customHeight="1"/>
    <x:row r="2738" ht="18" customHeight="1"/>
    <x:row r="2739" ht="18" customHeight="1"/>
    <x:row r="2740" ht="18" customHeight="1"/>
    <x:row r="2741" ht="18" customHeight="1"/>
    <x:row r="2742" ht="18" customHeight="1"/>
    <x:row r="2743" ht="18" customHeight="1"/>
    <x:row r="2744" ht="18" customHeight="1"/>
    <x:row r="2745" ht="18" customHeight="1"/>
    <x:row r="2746" ht="18" customHeight="1"/>
    <x:row r="2747" ht="18" customHeight="1"/>
    <x:row r="2748" ht="18" customHeight="1"/>
    <x:row r="2749" ht="18" customHeight="1"/>
    <x:row r="2750" ht="18" customHeight="1"/>
    <x:row r="2751" ht="18" customHeight="1"/>
    <x:row r="2752" ht="18" customHeight="1"/>
    <x:row r="2753" ht="18" customHeight="1"/>
    <x:row r="2754" ht="18" customHeight="1"/>
    <x:row r="2755" ht="18" customHeight="1"/>
    <x:row r="2756" ht="18" customHeight="1"/>
    <x:row r="2757" ht="18" customHeight="1"/>
    <x:row r="2758" ht="18" customHeight="1"/>
    <x:row r="2759" ht="18" customHeight="1"/>
    <x:row r="2760" ht="18" customHeight="1"/>
    <x:row r="2761" ht="18" customHeight="1"/>
    <x:row r="2762" ht="18" customHeight="1"/>
    <x:row r="2763" ht="18" customHeight="1"/>
    <x:row r="2764" ht="18" customHeight="1"/>
    <x:row r="2765" ht="18" customHeight="1"/>
    <x:row r="2766" ht="18" customHeight="1"/>
    <x:row r="2767" ht="18" customHeight="1"/>
    <x:row r="2768" ht="18" customHeight="1"/>
    <x:row r="2769" ht="18" customHeight="1"/>
    <x:row r="2770" ht="18" customHeight="1"/>
    <x:row r="2771" ht="18" customHeight="1"/>
    <x:row r="2772" ht="18" customHeight="1"/>
    <x:row r="2773" ht="18" customHeight="1"/>
    <x:row r="2774" ht="18" customHeight="1"/>
    <x:row r="2775" ht="18" customHeight="1"/>
    <x:row r="2776" ht="18" customHeight="1"/>
    <x:row r="2777" ht="18" customHeight="1"/>
    <x:row r="2778" ht="18" customHeight="1"/>
    <x:row r="2779" ht="18" customHeight="1"/>
    <x:row r="2780" ht="18" customHeight="1"/>
    <x:row r="2781" ht="18" customHeight="1"/>
    <x:row r="2782" ht="18" customHeight="1"/>
    <x:row r="2783" ht="18" customHeight="1"/>
    <x:row r="2784" ht="18" customHeight="1"/>
    <x:row r="2785" ht="18" customHeight="1"/>
    <x:row r="2786" ht="18" customHeight="1"/>
    <x:row r="2787" ht="18" customHeight="1"/>
    <x:row r="2788" ht="18" customHeight="1"/>
    <x:row r="2789" ht="18" customHeight="1"/>
    <x:row r="2790" ht="18" customHeight="1"/>
    <x:row r="2791" ht="18" customHeight="1"/>
    <x:row r="2792" ht="18" customHeight="1"/>
    <x:row r="2793" ht="18" customHeight="1"/>
    <x:row r="2794" ht="18" customHeight="1"/>
    <x:row r="2795" ht="18" customHeight="1"/>
    <x:row r="2796" ht="18" customHeight="1"/>
    <x:row r="2797" ht="18" customHeight="1"/>
    <x:row r="2798" ht="18" customHeight="1"/>
    <x:row r="2799" ht="18" customHeight="1"/>
    <x:row r="2800" ht="18" customHeight="1"/>
    <x:row r="2801" ht="18" customHeight="1"/>
    <x:row r="2802" ht="18" customHeight="1"/>
    <x:row r="2803" ht="18" customHeight="1"/>
    <x:row r="2804" ht="18" customHeight="1"/>
    <x:row r="2805" ht="18" customHeight="1"/>
    <x:row r="2806" ht="18" customHeight="1"/>
    <x:row r="2807" ht="18" customHeight="1"/>
    <x:row r="2808" ht="18" customHeight="1"/>
    <x:row r="2809" ht="18" customHeight="1"/>
    <x:row r="2810" ht="18" customHeight="1"/>
    <x:row r="2811" ht="18" customHeight="1"/>
    <x:row r="2812" ht="18" customHeight="1"/>
    <x:row r="2813" ht="18" customHeight="1"/>
    <x:row r="2814" ht="18" customHeight="1"/>
    <x:row r="2815" ht="18" customHeight="1"/>
    <x:row r="2816" ht="18" customHeight="1"/>
    <x:row r="2817" ht="18" customHeight="1"/>
    <x:row r="2818" ht="18" customHeight="1"/>
    <x:row r="2819" ht="18" customHeight="1"/>
    <x:row r="2820" ht="18" customHeight="1"/>
    <x:row r="2821" ht="18" customHeight="1"/>
    <x:row r="2822" ht="18" customHeight="1"/>
    <x:row r="2823" ht="18" customHeight="1"/>
    <x:row r="2824" ht="18" customHeight="1"/>
    <x:row r="2825" ht="18" customHeight="1"/>
    <x:row r="2826" ht="18" customHeight="1"/>
    <x:row r="2827" ht="18" customHeight="1"/>
    <x:row r="2828" ht="18" customHeight="1"/>
    <x:row r="2829" ht="18" customHeight="1"/>
    <x:row r="2830" ht="18" customHeight="1"/>
    <x:row r="2831" ht="18" customHeight="1"/>
    <x:row r="2832" ht="18" customHeight="1"/>
    <x:row r="2833" ht="18" customHeight="1"/>
    <x:row r="2834" ht="18" customHeight="1"/>
    <x:row r="2835" ht="18" customHeight="1"/>
    <x:row r="2836" ht="18" customHeight="1"/>
    <x:row r="2837" ht="18" customHeight="1"/>
    <x:row r="2838" ht="18" customHeight="1"/>
    <x:row r="2839" ht="18" customHeight="1"/>
    <x:row r="2840" ht="18" customHeight="1"/>
    <x:row r="2841" ht="18" customHeight="1"/>
    <x:row r="2842" ht="18" customHeight="1"/>
    <x:row r="2843" ht="18" customHeight="1"/>
    <x:row r="2844" ht="18" customHeight="1"/>
    <x:row r="2845" ht="18" customHeight="1"/>
    <x:row r="2846" ht="18" customHeight="1"/>
    <x:row r="2847" ht="18" customHeight="1"/>
    <x:row r="2848" ht="18" customHeight="1"/>
    <x:row r="2849" ht="18" customHeight="1"/>
    <x:row r="2850" ht="18" customHeight="1"/>
    <x:row r="2851" ht="18" customHeight="1"/>
    <x:row r="2852" ht="18" customHeight="1"/>
    <x:row r="2853" ht="18" customHeight="1"/>
    <x:row r="2854" ht="18" customHeight="1"/>
    <x:row r="2855" ht="18" customHeight="1"/>
    <x:row r="2856" ht="18" customHeight="1"/>
    <x:row r="2857" ht="18" customHeight="1"/>
    <x:row r="2858" ht="18" customHeight="1"/>
    <x:row r="2859" ht="18" customHeight="1"/>
    <x:row r="2860" ht="18" customHeight="1"/>
    <x:row r="2861" ht="18" customHeight="1"/>
    <x:row r="2862" ht="18" customHeight="1"/>
    <x:row r="2863" ht="18" customHeight="1"/>
    <x:row r="2864" ht="18" customHeight="1"/>
    <x:row r="2865" ht="18" customHeight="1"/>
    <x:row r="2866" ht="18" customHeight="1"/>
    <x:row r="2867" ht="18" customHeight="1"/>
    <x:row r="2868" ht="18" customHeight="1"/>
    <x:row r="2869" ht="18" customHeight="1"/>
    <x:row r="2870" ht="18" customHeight="1"/>
    <x:row r="2871" ht="18" customHeight="1"/>
    <x:row r="2872" ht="18" customHeight="1"/>
    <x:row r="2873" ht="18" customHeight="1"/>
    <x:row r="2874" ht="18" customHeight="1"/>
    <x:row r="2875" ht="18" customHeight="1"/>
    <x:row r="2876" ht="18" customHeight="1"/>
    <x:row r="2877" ht="18" customHeight="1"/>
    <x:row r="2878" ht="18" customHeight="1"/>
    <x:row r="2879" ht="18" customHeight="1"/>
    <x:row r="2880" ht="18" customHeight="1"/>
    <x:row r="2881" ht="18" customHeight="1"/>
    <x:row r="2882" ht="18" customHeight="1"/>
    <x:row r="2883" ht="18" customHeight="1"/>
    <x:row r="2884" ht="18" customHeight="1"/>
    <x:row r="2885" ht="18" customHeight="1"/>
    <x:row r="2886" ht="18" customHeight="1"/>
    <x:row r="2887" ht="18" customHeight="1"/>
    <x:row r="2888" ht="18" customHeight="1"/>
    <x:row r="2889" ht="18" customHeight="1"/>
    <x:row r="2890" ht="18" customHeight="1"/>
    <x:row r="2891" ht="18" customHeight="1"/>
    <x:row r="2892" ht="18" customHeight="1"/>
    <x:row r="2893" ht="18" customHeight="1"/>
    <x:row r="2894" ht="18" customHeight="1"/>
    <x:row r="2895" ht="18" customHeight="1"/>
    <x:row r="2896" ht="18" customHeight="1"/>
    <x:row r="2897" ht="18" customHeight="1"/>
    <x:row r="2898" ht="18" customHeight="1"/>
    <x:row r="2899" ht="18" customHeight="1"/>
    <x:row r="2900" ht="18" customHeight="1"/>
    <x:row r="2901" ht="18" customHeight="1"/>
    <x:row r="2902" ht="18" customHeight="1"/>
    <x:row r="2903" ht="18" customHeight="1"/>
    <x:row r="2904" ht="18" customHeight="1"/>
    <x:row r="2905" ht="18" customHeight="1"/>
    <x:row r="2906" ht="18" customHeight="1"/>
    <x:row r="2907" ht="18" customHeight="1"/>
    <x:row r="2908" ht="18" customHeight="1"/>
    <x:row r="2909" ht="18" customHeight="1"/>
    <x:row r="2910" ht="18" customHeight="1"/>
    <x:row r="2911" ht="18" customHeight="1"/>
    <x:row r="2912" ht="18" customHeight="1"/>
    <x:row r="2913" ht="18" customHeight="1"/>
    <x:row r="2914" ht="18" customHeight="1"/>
    <x:row r="2915" ht="18" customHeight="1"/>
    <x:row r="2916" ht="18" customHeight="1"/>
    <x:row r="2917" ht="18" customHeight="1"/>
    <x:row r="2918" ht="18" customHeight="1"/>
    <x:row r="2919" ht="18" customHeight="1"/>
    <x:row r="2920" ht="18" customHeight="1"/>
    <x:row r="2921" ht="18" customHeight="1"/>
    <x:row r="2922" ht="18" customHeight="1"/>
    <x:row r="2923" ht="18" customHeight="1"/>
    <x:row r="2924" ht="18" customHeight="1"/>
    <x:row r="2925" ht="18" customHeight="1"/>
    <x:row r="2926" ht="18" customHeight="1"/>
    <x:row r="2927" ht="18" customHeight="1"/>
    <x:row r="2928" ht="18" customHeight="1"/>
    <x:row r="2929" ht="18" customHeight="1"/>
    <x:row r="2930" ht="18" customHeight="1"/>
    <x:row r="2931" ht="18" customHeight="1"/>
    <x:row r="2932" ht="18" customHeight="1"/>
    <x:row r="2933" ht="18" customHeight="1"/>
    <x:row r="2934" ht="18" customHeight="1"/>
    <x:row r="2935" ht="18" customHeight="1"/>
    <x:row r="2936" ht="18" customHeight="1"/>
    <x:row r="2937" ht="18" customHeight="1"/>
    <x:row r="2938" ht="18" customHeight="1"/>
    <x:row r="2939" ht="18" customHeight="1"/>
    <x:row r="2940" ht="18" customHeight="1"/>
    <x:row r="2941" ht="18" customHeight="1"/>
    <x:row r="2942" ht="18" customHeight="1"/>
    <x:row r="2943" ht="18" customHeight="1"/>
    <x:row r="2944" ht="18" customHeight="1"/>
    <x:row r="2945" ht="18" customHeight="1"/>
    <x:row r="2946" ht="18" customHeight="1"/>
    <x:row r="2947" ht="18" customHeight="1"/>
    <x:row r="2948" ht="18" customHeight="1"/>
    <x:row r="2949" ht="18" customHeight="1"/>
    <x:row r="2950" ht="18" customHeight="1"/>
    <x:row r="2951" ht="18" customHeight="1"/>
    <x:row r="2952" ht="18" customHeight="1"/>
    <x:row r="2953" ht="18" customHeight="1"/>
    <x:row r="2954" ht="18" customHeight="1"/>
    <x:row r="2955" ht="18" customHeight="1"/>
    <x:row r="2956" ht="18" customHeight="1"/>
    <x:row r="2957" ht="18" customHeight="1"/>
    <x:row r="2958" ht="18" customHeight="1"/>
    <x:row r="2959" ht="18" customHeight="1"/>
    <x:row r="2960" ht="18" customHeight="1"/>
    <x:row r="2961" ht="18" customHeight="1"/>
    <x:row r="2962" ht="18" customHeight="1"/>
    <x:row r="2963" ht="18" customHeight="1"/>
    <x:row r="2964" ht="18" customHeight="1"/>
    <x:row r="2965" ht="18" customHeight="1"/>
    <x:row r="2966" ht="18" customHeight="1"/>
    <x:row r="2967" ht="18" customHeight="1"/>
    <x:row r="2968" ht="18" customHeight="1"/>
    <x:row r="2969" ht="18" customHeight="1"/>
    <x:row r="2970" ht="18" customHeight="1"/>
    <x:row r="2971" ht="18" customHeight="1"/>
    <x:row r="2972" ht="18" customHeight="1"/>
    <x:row r="2973" ht="18" customHeight="1"/>
    <x:row r="2974" ht="18" customHeight="1"/>
    <x:row r="2975" ht="18" customHeight="1"/>
    <x:row r="2976" ht="18" customHeight="1"/>
    <x:row r="2977" ht="18" customHeight="1"/>
    <x:row r="2978" ht="18" customHeight="1"/>
    <x:row r="2979" ht="18" customHeight="1"/>
    <x:row r="2980" ht="18" customHeight="1"/>
    <x:row r="2981" ht="18" customHeight="1"/>
    <x:row r="2982" ht="18" customHeight="1"/>
    <x:row r="2983" ht="18" customHeight="1"/>
    <x:row r="2984" ht="18" customHeight="1"/>
    <x:row r="2985" ht="18" customHeight="1"/>
    <x:row r="2986" ht="18" customHeight="1"/>
    <x:row r="2987" ht="18" customHeight="1"/>
    <x:row r="2988" ht="18" customHeight="1"/>
    <x:row r="2989" ht="18" customHeight="1"/>
    <x:row r="2990" ht="18" customHeight="1"/>
    <x:row r="2991" ht="18" customHeight="1"/>
    <x:row r="2992" ht="18" customHeight="1"/>
    <x:row r="2993" ht="18" customHeight="1"/>
    <x:row r="2994" ht="18" customHeight="1"/>
    <x:row r="2995" ht="18" customHeight="1"/>
    <x:row r="2996" ht="18" customHeight="1"/>
    <x:row r="2997" ht="18" customHeight="1"/>
    <x:row r="2998" ht="18" customHeight="1"/>
    <x:row r="2999" ht="18" customHeight="1"/>
    <x:row r="3000" ht="18" customHeight="1"/>
    <x:row r="3001" ht="18" customHeight="1"/>
    <x:row r="3002" ht="18" customHeight="1"/>
    <x:row r="3003" ht="18" customHeight="1"/>
    <x:row r="3004" ht="18" customHeight="1"/>
    <x:row r="3005" ht="18" customHeight="1"/>
    <x:row r="3006" ht="18" customHeight="1"/>
    <x:row r="3007" ht="18" customHeight="1"/>
    <x:row r="3008" ht="18" customHeight="1"/>
    <x:row r="3009" ht="18" customHeight="1"/>
    <x:row r="3010" ht="18" customHeight="1"/>
    <x:row r="3011" ht="18" customHeight="1"/>
    <x:row r="3012" ht="18" customHeight="1"/>
    <x:row r="3013" ht="18" customHeight="1"/>
    <x:row r="3014" ht="18" customHeight="1"/>
    <x:row r="3015" ht="18" customHeight="1"/>
    <x:row r="3016" ht="18" customHeight="1"/>
    <x:row r="3017" ht="18" customHeight="1"/>
    <x:row r="3018" ht="18" customHeight="1"/>
    <x:row r="3019" ht="18" customHeight="1"/>
    <x:row r="3020" ht="18" customHeight="1"/>
    <x:row r="3021" ht="18" customHeight="1"/>
    <x:row r="3022" ht="18" customHeight="1"/>
    <x:row r="3023" ht="18" customHeight="1"/>
    <x:row r="3024" ht="18" customHeight="1"/>
    <x:row r="3025" ht="18" customHeight="1"/>
    <x:row r="3026" ht="18" customHeight="1"/>
    <x:row r="3027" ht="18" customHeight="1"/>
    <x:row r="3028" ht="18" customHeight="1"/>
    <x:row r="3029" ht="18" customHeight="1"/>
    <x:row r="3030" ht="18" customHeight="1"/>
    <x:row r="3031" ht="18" customHeight="1"/>
    <x:row r="3032" ht="18" customHeight="1"/>
    <x:row r="3033" ht="18" customHeight="1"/>
    <x:row r="3034" ht="18" customHeight="1"/>
    <x:row r="3035" ht="18" customHeight="1"/>
    <x:row r="3036" ht="18" customHeight="1"/>
    <x:row r="3037" ht="18" customHeight="1"/>
    <x:row r="3038" ht="18" customHeight="1"/>
    <x:row r="3039" ht="18" customHeight="1"/>
    <x:row r="3040" ht="18" customHeight="1"/>
    <x:row r="3041" ht="18" customHeight="1"/>
    <x:row r="3042" ht="18" customHeight="1"/>
    <x:row r="3043" ht="18" customHeight="1"/>
    <x:row r="3044" ht="18" customHeight="1"/>
    <x:row r="3045" ht="18" customHeight="1"/>
    <x:row r="3046" ht="18" customHeight="1"/>
    <x:row r="3047" ht="18" customHeight="1"/>
    <x:row r="3048" ht="18" customHeight="1"/>
    <x:row r="3049" ht="18" customHeight="1"/>
    <x:row r="3050" ht="18" customHeight="1"/>
    <x:row r="3051" ht="18" customHeight="1"/>
    <x:row r="3052" ht="18" customHeight="1"/>
    <x:row r="3053" ht="18" customHeight="1"/>
    <x:row r="3054" ht="18" customHeight="1"/>
    <x:row r="3055" ht="18" customHeight="1"/>
    <x:row r="3056" ht="18" customHeight="1"/>
    <x:row r="3057" ht="18" customHeight="1"/>
    <x:row r="3058" ht="18" customHeight="1"/>
    <x:row r="3059" ht="18" customHeight="1"/>
    <x:row r="3060" ht="18" customHeight="1"/>
    <x:row r="3061" ht="18" customHeight="1"/>
    <x:row r="3062" ht="18" customHeight="1"/>
    <x:row r="3063" ht="18" customHeight="1"/>
    <x:row r="3064" ht="18" customHeight="1"/>
    <x:row r="3065" ht="18" customHeight="1"/>
    <x:row r="3066" ht="18" customHeight="1"/>
    <x:row r="3067" ht="18" customHeight="1"/>
    <x:row r="3068" ht="18" customHeight="1"/>
    <x:row r="3069" ht="18" customHeight="1"/>
    <x:row r="3070" ht="18" customHeight="1"/>
    <x:row r="3071" ht="18" customHeight="1"/>
    <x:row r="3072" ht="18" customHeight="1"/>
    <x:row r="3073" ht="18" customHeight="1"/>
    <x:row r="3074" ht="18" customHeight="1"/>
    <x:row r="3075" ht="18" customHeight="1"/>
    <x:row r="3076" ht="18" customHeight="1"/>
    <x:row r="3077" ht="18" customHeight="1"/>
    <x:row r="3078" ht="18" customHeight="1"/>
    <x:row r="3079" ht="18" customHeight="1"/>
    <x:row r="3080" ht="18" customHeight="1"/>
    <x:row r="3081" ht="18" customHeight="1"/>
    <x:row r="3082" ht="18" customHeight="1"/>
    <x:row r="3083" ht="18" customHeight="1"/>
    <x:row r="3084" ht="18" customHeight="1"/>
    <x:row r="3085" ht="18" customHeight="1"/>
    <x:row r="3086" ht="18" customHeight="1"/>
    <x:row r="3087" ht="18" customHeight="1"/>
    <x:row r="3088" ht="18" customHeight="1"/>
    <x:row r="3089" ht="18" customHeight="1"/>
    <x:row r="3090" ht="18" customHeight="1"/>
    <x:row r="3091" ht="18" customHeight="1"/>
    <x:row r="3092" ht="18" customHeight="1"/>
    <x:row r="3093" ht="18" customHeight="1"/>
    <x:row r="3094" ht="18" customHeight="1"/>
    <x:row r="3095" ht="18" customHeight="1"/>
    <x:row r="3096" ht="18" customHeight="1"/>
    <x:row r="3097" ht="18" customHeight="1"/>
    <x:row r="3098" ht="18" customHeight="1"/>
    <x:row r="3099" ht="18" customHeight="1"/>
    <x:row r="3100" ht="18" customHeight="1"/>
    <x:row r="3101" ht="18" customHeight="1"/>
    <x:row r="3102" ht="18" customHeight="1"/>
    <x:row r="3103" ht="18" customHeight="1"/>
    <x:row r="3104" ht="18" customHeight="1"/>
    <x:row r="3105" ht="18" customHeight="1"/>
    <x:row r="3106" ht="18" customHeight="1"/>
    <x:row r="3107" ht="18" customHeight="1"/>
    <x:row r="3108" ht="18" customHeight="1"/>
    <x:row r="3109" ht="18" customHeight="1"/>
    <x:row r="3110" ht="18" customHeight="1"/>
    <x:row r="3111" ht="18" customHeight="1"/>
    <x:row r="3112" ht="18" customHeight="1"/>
    <x:row r="3113" ht="18" customHeight="1"/>
    <x:row r="3114" ht="18" customHeight="1"/>
    <x:row r="3115" ht="18" customHeight="1"/>
    <x:row r="3116" ht="18" customHeight="1"/>
    <x:row r="3117" ht="18" customHeight="1"/>
    <x:row r="3118" ht="18" customHeight="1"/>
    <x:row r="3119" ht="18" customHeight="1"/>
    <x:row r="3120" ht="18" customHeight="1"/>
    <x:row r="3121" ht="18" customHeight="1"/>
    <x:row r="3122" ht="18" customHeight="1"/>
    <x:row r="3123" ht="18" customHeight="1"/>
    <x:row r="3124" ht="18" customHeight="1"/>
    <x:row r="3125" ht="18" customHeight="1"/>
    <x:row r="3126" ht="18" customHeight="1"/>
    <x:row r="3127" ht="18" customHeight="1"/>
    <x:row r="3128" ht="18" customHeight="1"/>
    <x:row r="3129" ht="18" customHeight="1"/>
    <x:row r="3130" ht="18" customHeight="1"/>
    <x:row r="3131" ht="18" customHeight="1"/>
    <x:row r="3132" ht="18" customHeight="1"/>
    <x:row r="3133" ht="18" customHeight="1"/>
    <x:row r="3134" ht="18" customHeight="1"/>
    <x:row r="3135" ht="18" customHeight="1"/>
    <x:row r="3136" ht="18" customHeight="1"/>
    <x:row r="3137" ht="18" customHeight="1"/>
    <x:row r="3138" ht="18" customHeight="1"/>
    <x:row r="3139" ht="18" customHeight="1"/>
    <x:row r="3140" ht="18" customHeight="1"/>
    <x:row r="3141" ht="18" customHeight="1"/>
    <x:row r="3142" ht="18" customHeight="1"/>
    <x:row r="3143" ht="18" customHeight="1"/>
    <x:row r="3144" ht="18" customHeight="1"/>
    <x:row r="3145" ht="18" customHeight="1"/>
    <x:row r="3146" ht="18" customHeight="1"/>
    <x:row r="3147" ht="18" customHeight="1"/>
    <x:row r="3148" ht="18" customHeight="1"/>
    <x:row r="3149" ht="18" customHeight="1"/>
    <x:row r="3150" ht="18" customHeight="1"/>
    <x:row r="3151" ht="18" customHeight="1"/>
    <x:row r="3152" ht="18" customHeight="1"/>
    <x:row r="3153" ht="18" customHeight="1"/>
    <x:row r="3154" ht="18" customHeight="1"/>
    <x:row r="3155" ht="18" customHeight="1"/>
    <x:row r="3156" ht="18" customHeight="1"/>
    <x:row r="3157" ht="18" customHeight="1"/>
    <x:row r="3158" ht="18" customHeight="1"/>
    <x:row r="3159" ht="18" customHeight="1"/>
    <x:row r="3160" ht="18" customHeight="1"/>
    <x:row r="3161" ht="18" customHeight="1"/>
    <x:row r="3162" ht="18" customHeight="1"/>
    <x:row r="3163" ht="18" customHeight="1"/>
    <x:row r="3164" ht="18" customHeight="1"/>
    <x:row r="3165" ht="18" customHeight="1"/>
    <x:row r="3166" ht="18" customHeight="1"/>
    <x:row r="3167" ht="18" customHeight="1"/>
    <x:row r="3168" ht="18" customHeight="1"/>
    <x:row r="3169" ht="18" customHeight="1"/>
    <x:row r="3170" ht="18" customHeight="1"/>
    <x:row r="3171" ht="18" customHeight="1"/>
    <x:row r="3172" ht="18" customHeight="1"/>
    <x:row r="3173" ht="18" customHeight="1"/>
    <x:row r="3174" ht="18" customHeight="1"/>
    <x:row r="3175" ht="18" customHeight="1"/>
    <x:row r="3176" ht="18" customHeight="1"/>
    <x:row r="3177" ht="18" customHeight="1"/>
    <x:row r="3178" ht="18" customHeight="1"/>
    <x:row r="3179" ht="18" customHeight="1"/>
    <x:row r="3180" ht="18" customHeight="1"/>
    <x:row r="3181" ht="18" customHeight="1"/>
    <x:row r="3182" ht="18" customHeight="1"/>
    <x:row r="3183" ht="18" customHeight="1"/>
    <x:row r="3184" ht="18" customHeight="1"/>
    <x:row r="3185" ht="18" customHeight="1"/>
    <x:row r="3186" ht="18" customHeight="1"/>
    <x:row r="3187" ht="18" customHeight="1"/>
    <x:row r="3188" ht="18" customHeight="1"/>
    <x:row r="3189" ht="18" customHeight="1"/>
    <x:row r="3190" ht="18" customHeight="1"/>
    <x:row r="3191" ht="18" customHeight="1"/>
    <x:row r="3192" ht="18" customHeight="1"/>
    <x:row r="3193" ht="18" customHeight="1"/>
    <x:row r="3194" ht="18" customHeight="1"/>
    <x:row r="3195" ht="18" customHeight="1"/>
    <x:row r="3196" ht="18" customHeight="1"/>
    <x:row r="3197" ht="18" customHeight="1"/>
    <x:row r="3198" ht="18" customHeight="1"/>
    <x:row r="3199" ht="18" customHeight="1"/>
    <x:row r="3200" ht="18" customHeight="1"/>
    <x:row r="3201" ht="18" customHeight="1"/>
    <x:row r="3202" ht="18" customHeight="1"/>
    <x:row r="3203" ht="18" customHeight="1"/>
    <x:row r="3204" ht="18" customHeight="1"/>
    <x:row r="3205" ht="18" customHeight="1"/>
    <x:row r="3206" ht="18" customHeight="1"/>
    <x:row r="3207" ht="18" customHeight="1"/>
    <x:row r="3208" ht="18" customHeight="1"/>
    <x:row r="3209" ht="18" customHeight="1"/>
    <x:row r="3210" ht="18" customHeight="1"/>
    <x:row r="3211" ht="18" customHeight="1"/>
    <x:row r="3212" ht="18" customHeight="1"/>
    <x:row r="3213" ht="18" customHeight="1"/>
    <x:row r="3214" ht="18" customHeight="1"/>
    <x:row r="3215" ht="18" customHeight="1"/>
    <x:row r="3216" ht="18" customHeight="1"/>
    <x:row r="3217" ht="18" customHeight="1"/>
    <x:row r="3218" ht="18" customHeight="1"/>
    <x:row r="3219" ht="18" customHeight="1"/>
    <x:row r="3220" ht="18" customHeight="1"/>
    <x:row r="3221" ht="18" customHeight="1"/>
    <x:row r="3222" ht="18" customHeight="1"/>
    <x:row r="3223" ht="18" customHeight="1"/>
    <x:row r="3224" ht="18" customHeight="1"/>
    <x:row r="3225" ht="18" customHeight="1"/>
    <x:row r="3226" ht="18" customHeight="1"/>
    <x:row r="3227" ht="18" customHeight="1"/>
    <x:row r="3228" ht="18" customHeight="1"/>
    <x:row r="3229" ht="18" customHeight="1"/>
    <x:row r="3230" ht="18" customHeight="1"/>
    <x:row r="3231" ht="18" customHeight="1"/>
    <x:row r="3232" ht="18" customHeight="1"/>
    <x:row r="3233" ht="18" customHeight="1"/>
    <x:row r="3234" ht="18" customHeight="1"/>
    <x:row r="3235" ht="18" customHeight="1"/>
    <x:row r="3236" ht="18" customHeight="1"/>
    <x:row r="3237" ht="18" customHeight="1"/>
    <x:row r="3238" ht="18" customHeight="1"/>
    <x:row r="3239" ht="18" customHeight="1"/>
    <x:row r="3240" ht="18" customHeight="1"/>
    <x:row r="3241" ht="18" customHeight="1"/>
    <x:row r="3242" ht="18" customHeight="1"/>
    <x:row r="3243" ht="18" customHeight="1"/>
    <x:row r="3244" ht="18" customHeight="1"/>
    <x:row r="3245" ht="18" customHeight="1"/>
    <x:row r="3246" ht="18" customHeight="1"/>
    <x:row r="3247" ht="18" customHeight="1"/>
    <x:row r="3248" ht="18" customHeight="1"/>
    <x:row r="3249" ht="18" customHeight="1"/>
    <x:row r="3250" ht="18" customHeight="1"/>
    <x:row r="3251" ht="18" customHeight="1"/>
    <x:row r="3252" ht="18" customHeight="1"/>
    <x:row r="3253" ht="18" customHeight="1"/>
    <x:row r="3254" ht="18" customHeight="1"/>
    <x:row r="3255" ht="18" customHeight="1"/>
    <x:row r="3256" ht="18" customHeight="1"/>
    <x:row r="3257" ht="18" customHeight="1"/>
    <x:row r="3258" ht="18" customHeight="1"/>
    <x:row r="3259" ht="18" customHeight="1"/>
    <x:row r="3260" ht="18" customHeight="1"/>
    <x:row r="3261" ht="18" customHeight="1"/>
    <x:row r="3262" ht="18" customHeight="1"/>
    <x:row r="3263" ht="18" customHeight="1"/>
    <x:row r="3264" ht="18" customHeight="1"/>
    <x:row r="3265" ht="18" customHeight="1"/>
    <x:row r="3266" ht="18" customHeight="1"/>
    <x:row r="3267" ht="18" customHeight="1"/>
    <x:row r="3268" ht="18" customHeight="1"/>
    <x:row r="3269" ht="18" customHeight="1"/>
    <x:row r="3270" ht="18" customHeight="1"/>
    <x:row r="3271" ht="18" customHeight="1"/>
    <x:row r="3272" ht="18" customHeight="1"/>
    <x:row r="3273" ht="18" customHeight="1"/>
    <x:row r="3274" ht="18" customHeight="1"/>
    <x:row r="3275" ht="18" customHeight="1"/>
    <x:row r="3276" ht="18" customHeight="1"/>
    <x:row r="3277" ht="18" customHeight="1"/>
    <x:row r="3278" ht="18" customHeight="1"/>
    <x:row r="3279" ht="18" customHeight="1"/>
    <x:row r="3280" ht="18" customHeight="1"/>
    <x:row r="3281" ht="18" customHeight="1"/>
    <x:row r="3282" ht="18" customHeight="1"/>
    <x:row r="3283" ht="18" customHeight="1"/>
    <x:row r="3284" ht="18" customHeight="1"/>
    <x:row r="3285" ht="18" customHeight="1"/>
    <x:row r="3286" ht="18" customHeight="1"/>
    <x:row r="3287" ht="18" customHeight="1"/>
    <x:row r="3288" ht="18" customHeight="1"/>
    <x:row r="3289" ht="18" customHeight="1"/>
    <x:row r="3290" ht="18" customHeight="1"/>
    <x:row r="3291" ht="18" customHeight="1"/>
    <x:row r="3292" ht="18" customHeight="1"/>
    <x:row r="3293" ht="18" customHeight="1"/>
    <x:row r="3294" ht="18" customHeight="1"/>
    <x:row r="3295" ht="18" customHeight="1"/>
    <x:row r="3296" ht="18" customHeight="1"/>
    <x:row r="3297" ht="18" customHeight="1"/>
    <x:row r="3298" ht="18" customHeight="1"/>
    <x:row r="3299" ht="18" customHeight="1"/>
    <x:row r="3300" ht="18" customHeight="1"/>
    <x:row r="3301" ht="18" customHeight="1"/>
    <x:row r="3302" ht="18" customHeight="1"/>
    <x:row r="3303" ht="18" customHeight="1"/>
    <x:row r="3304" ht="18" customHeight="1"/>
    <x:row r="3305" ht="18" customHeight="1"/>
    <x:row r="3306" ht="18" customHeight="1"/>
    <x:row r="3307" ht="18" customHeight="1"/>
    <x:row r="3308" ht="18" customHeight="1"/>
    <x:row r="3309" ht="18" customHeight="1"/>
    <x:row r="3310" ht="18" customHeight="1"/>
    <x:row r="3311" ht="18" customHeight="1"/>
    <x:row r="3312" ht="18" customHeight="1"/>
    <x:row r="3313" ht="18" customHeight="1"/>
    <x:row r="3314" ht="18" customHeight="1"/>
    <x:row r="3315" ht="18" customHeight="1"/>
    <x:row r="3316" ht="18" customHeight="1"/>
    <x:row r="3317" ht="18" customHeight="1"/>
    <x:row r="3318" ht="18" customHeight="1"/>
    <x:row r="3319" ht="18" customHeight="1"/>
    <x:row r="3320" ht="18" customHeight="1"/>
    <x:row r="3321" ht="18" customHeight="1"/>
    <x:row r="3322" ht="18" customHeight="1"/>
    <x:row r="3323" ht="18" customHeight="1"/>
    <x:row r="3324" ht="18" customHeight="1"/>
    <x:row r="3325" ht="18" customHeight="1"/>
    <x:row r="3326" ht="18" customHeight="1"/>
    <x:row r="3327" ht="18" customHeight="1"/>
    <x:row r="3328" ht="18" customHeight="1"/>
    <x:row r="3329" ht="18" customHeight="1"/>
    <x:row r="3330" ht="18" customHeight="1"/>
    <x:row r="3331" ht="18" customHeight="1"/>
    <x:row r="3332" ht="18" customHeight="1"/>
    <x:row r="3333" ht="18" customHeight="1"/>
    <x:row r="3334" ht="18" customHeight="1"/>
    <x:row r="3335" ht="18" customHeight="1"/>
    <x:row r="3336" ht="18" customHeight="1"/>
    <x:row r="3337" ht="18" customHeight="1"/>
    <x:row r="3338" ht="18" customHeight="1"/>
    <x:row r="3339" ht="18" customHeight="1"/>
    <x:row r="3340" ht="18" customHeight="1"/>
    <x:row r="3341" ht="18" customHeight="1"/>
    <x:row r="3342" ht="18" customHeight="1"/>
    <x:row r="3343" ht="18" customHeight="1"/>
    <x:row r="3344" ht="18" customHeight="1"/>
    <x:row r="3345" ht="18" customHeight="1"/>
    <x:row r="3346" ht="18" customHeight="1"/>
    <x:row r="3347" ht="18" customHeight="1"/>
    <x:row r="3348" ht="18" customHeight="1"/>
    <x:row r="3349" ht="18" customHeight="1"/>
    <x:row r="3350" ht="18" customHeight="1"/>
    <x:row r="3351" ht="18" customHeight="1"/>
    <x:row r="3352" ht="18" customHeight="1"/>
    <x:row r="3353" ht="18" customHeight="1"/>
    <x:row r="3354" ht="18" customHeight="1"/>
    <x:row r="3355" ht="18" customHeight="1"/>
    <x:row r="3356" ht="18" customHeight="1"/>
    <x:row r="3357" ht="18" customHeight="1"/>
    <x:row r="3358" ht="18" customHeight="1"/>
    <x:row r="3359" ht="18" customHeight="1"/>
    <x:row r="3360" ht="18" customHeight="1"/>
    <x:row r="3361" ht="18" customHeight="1"/>
    <x:row r="3362" ht="18" customHeight="1"/>
    <x:row r="3363" ht="18" customHeight="1"/>
    <x:row r="3364" ht="18" customHeight="1"/>
    <x:row r="3365" ht="18" customHeight="1"/>
    <x:row r="3366" ht="18" customHeight="1"/>
    <x:row r="3367" ht="18" customHeight="1"/>
    <x:row r="3368" ht="18" customHeight="1"/>
    <x:row r="3369" ht="18" customHeight="1"/>
    <x:row r="3370" ht="18" customHeight="1"/>
    <x:row r="3371" ht="18" customHeight="1"/>
    <x:row r="3372" ht="18" customHeight="1"/>
    <x:row r="3373" ht="18" customHeight="1"/>
    <x:row r="3374" ht="18" customHeight="1"/>
    <x:row r="3375" ht="18" customHeight="1"/>
    <x:row r="3376" ht="18" customHeight="1"/>
    <x:row r="3377" ht="18" customHeight="1"/>
    <x:row r="3378" ht="18" customHeight="1"/>
    <x:row r="3379" ht="18" customHeight="1"/>
    <x:row r="3380" ht="18" customHeight="1"/>
    <x:row r="3381" ht="18" customHeight="1"/>
    <x:row r="3382" ht="18" customHeight="1"/>
    <x:row r="3383" ht="18" customHeight="1"/>
    <x:row r="3384" ht="18" customHeight="1"/>
    <x:row r="3385" ht="18" customHeight="1"/>
    <x:row r="3386" ht="18" customHeight="1"/>
    <x:row r="3387" ht="18" customHeight="1"/>
    <x:row r="3388" ht="18" customHeight="1"/>
    <x:row r="3389" ht="18" customHeight="1"/>
    <x:row r="3390" ht="18" customHeight="1"/>
    <x:row r="3391" ht="18" customHeight="1"/>
    <x:row r="3392" ht="18" customHeight="1"/>
    <x:row r="3393" ht="18" customHeight="1"/>
    <x:row r="3394" ht="18" customHeight="1"/>
    <x:row r="3395" ht="18" customHeight="1"/>
    <x:row r="3396" ht="18" customHeight="1"/>
    <x:row r="3397" ht="18" customHeight="1"/>
    <x:row r="3398" ht="18" customHeight="1"/>
    <x:row r="3399" ht="18" customHeight="1"/>
    <x:row r="3400" ht="18" customHeight="1"/>
    <x:row r="3401" ht="18" customHeight="1"/>
    <x:row r="3402" ht="18" customHeight="1"/>
    <x:row r="3403" ht="18" customHeight="1"/>
    <x:row r="3404" ht="18" customHeight="1"/>
    <x:row r="3405" ht="18" customHeight="1"/>
    <x:row r="3406" ht="18" customHeight="1"/>
    <x:row r="3407" ht="18" customHeight="1"/>
    <x:row r="3408" ht="18" customHeight="1"/>
    <x:row r="3409" ht="18" customHeight="1"/>
    <x:row r="3410" ht="18" customHeight="1"/>
    <x:row r="3411" ht="18" customHeight="1"/>
    <x:row r="3412" ht="18" customHeight="1"/>
    <x:row r="3413" ht="18" customHeight="1"/>
    <x:row r="3414" ht="18" customHeight="1"/>
    <x:row r="3415" ht="18" customHeight="1"/>
    <x:row r="3416" ht="18" customHeight="1"/>
    <x:row r="3417" ht="18" customHeight="1"/>
    <x:row r="3418" ht="18" customHeight="1"/>
    <x:row r="3419" ht="18" customHeight="1"/>
    <x:row r="3420" ht="18" customHeight="1"/>
    <x:row r="3421" ht="18" customHeight="1"/>
    <x:row r="3422" ht="18" customHeight="1"/>
    <x:row r="3423" ht="18" customHeight="1"/>
    <x:row r="3424" ht="18" customHeight="1"/>
    <x:row r="3425" ht="18" customHeight="1"/>
    <x:row r="3426" ht="18" customHeight="1"/>
    <x:row r="3427" ht="18" customHeight="1"/>
    <x:row r="3428" ht="18" customHeight="1"/>
    <x:row r="3429" ht="18" customHeight="1"/>
    <x:row r="3430" ht="18" customHeight="1"/>
    <x:row r="3431" ht="18" customHeight="1"/>
    <x:row r="3432" ht="18" customHeight="1"/>
    <x:row r="3433" ht="18" customHeight="1"/>
    <x:row r="3434" ht="18" customHeight="1"/>
    <x:row r="3435" ht="18" customHeight="1"/>
    <x:row r="3436" ht="18" customHeight="1"/>
    <x:row r="3437" ht="18" customHeight="1"/>
    <x:row r="3438" ht="18" customHeight="1"/>
    <x:row r="3439" ht="18" customHeight="1"/>
    <x:row r="3440" ht="18" customHeight="1"/>
    <x:row r="3441" ht="18" customHeight="1"/>
    <x:row r="3442" ht="18" customHeight="1"/>
    <x:row r="3443" ht="18" customHeight="1"/>
    <x:row r="3444" ht="18" customHeight="1"/>
    <x:row r="3445" ht="18" customHeight="1"/>
    <x:row r="3446" ht="18" customHeight="1"/>
    <x:row r="3447" ht="18" customHeight="1"/>
    <x:row r="3448" ht="18" customHeight="1"/>
    <x:row r="3449" ht="18" customHeight="1"/>
    <x:row r="3450" ht="18" customHeight="1"/>
    <x:row r="3451" ht="18" customHeight="1"/>
    <x:row r="3452" ht="18" customHeight="1"/>
    <x:row r="3453" ht="18" customHeight="1"/>
    <x:row r="3454" ht="18" customHeight="1"/>
    <x:row r="3455" ht="18" customHeight="1"/>
    <x:row r="3456" ht="18" customHeight="1"/>
    <x:row r="3457" ht="18" customHeight="1"/>
    <x:row r="3458" ht="18" customHeight="1"/>
    <x:row r="3459" ht="18" customHeight="1"/>
    <x:row r="3460" ht="18" customHeight="1"/>
    <x:row r="3461" ht="18" customHeight="1"/>
    <x:row r="3462" ht="18" customHeight="1"/>
    <x:row r="3463" ht="18" customHeight="1"/>
    <x:row r="3464" ht="18" customHeight="1"/>
    <x:row r="3465" ht="18" customHeight="1"/>
    <x:row r="3466" ht="18" customHeight="1"/>
    <x:row r="3467" ht="18" customHeight="1"/>
    <x:row r="3468" ht="18" customHeight="1"/>
    <x:row r="3469" ht="18" customHeight="1"/>
    <x:row r="3470" ht="18" customHeight="1"/>
    <x:row r="3471" ht="18" customHeight="1"/>
    <x:row r="3472" ht="18" customHeight="1"/>
    <x:row r="3473" ht="18" customHeight="1"/>
    <x:row r="3474" ht="18" customHeight="1"/>
    <x:row r="3475" ht="18" customHeight="1"/>
    <x:row r="3476" ht="18" customHeight="1"/>
    <x:row r="3477" ht="18" customHeight="1"/>
    <x:row r="3478" ht="18" customHeight="1"/>
    <x:row r="3479" ht="18" customHeight="1"/>
    <x:row r="3480" ht="18" customHeight="1"/>
    <x:row r="3481" ht="18" customHeight="1"/>
    <x:row r="3482" ht="18" customHeight="1"/>
    <x:row r="3483" ht="18" customHeight="1"/>
    <x:row r="3484" ht="18" customHeight="1"/>
    <x:row r="3485" ht="18" customHeight="1"/>
    <x:row r="3486" ht="18" customHeight="1"/>
    <x:row r="3487" ht="18" customHeight="1"/>
    <x:row r="3488" ht="18" customHeight="1"/>
    <x:row r="3489" ht="18" customHeight="1"/>
    <x:row r="3490" ht="18" customHeight="1"/>
    <x:row r="3491" ht="18" customHeight="1"/>
    <x:row r="3492" ht="18" customHeight="1"/>
    <x:row r="3493" ht="18" customHeight="1"/>
    <x:row r="3494" ht="18" customHeight="1"/>
    <x:row r="3495" ht="18" customHeight="1"/>
    <x:row r="3496" ht="18" customHeight="1"/>
    <x:row r="3497" ht="18" customHeight="1"/>
    <x:row r="3498" ht="18" customHeight="1"/>
    <x:row r="3499" ht="18" customHeight="1"/>
    <x:row r="3500" ht="18" customHeight="1"/>
    <x:row r="3501" ht="18" customHeight="1"/>
    <x:row r="3502" ht="18" customHeight="1"/>
    <x:row r="3503" ht="18" customHeight="1"/>
    <x:row r="3504" ht="18" customHeight="1"/>
    <x:row r="3505" ht="18" customHeight="1"/>
    <x:row r="3506" ht="18" customHeight="1"/>
    <x:row r="3507" ht="18" customHeight="1"/>
    <x:row r="3508" ht="18" customHeight="1"/>
    <x:row r="3509" ht="18" customHeight="1"/>
    <x:row r="3510" ht="18" customHeight="1"/>
    <x:row r="3511" ht="18" customHeight="1"/>
    <x:row r="3512" ht="18" customHeight="1"/>
    <x:row r="3513" ht="18" customHeight="1"/>
    <x:row r="3514" ht="18" customHeight="1"/>
    <x:row r="3515" ht="18" customHeight="1"/>
    <x:row r="3516" ht="18" customHeight="1"/>
    <x:row r="3517" ht="18" customHeight="1"/>
    <x:row r="3518" ht="18" customHeight="1"/>
    <x:row r="3519" ht="18" customHeight="1"/>
    <x:row r="3520" ht="18" customHeight="1"/>
    <x:row r="3521" ht="18" customHeight="1"/>
    <x:row r="3522" ht="18" customHeight="1"/>
    <x:row r="3523" ht="18" customHeight="1"/>
    <x:row r="3524" ht="18" customHeight="1"/>
    <x:row r="3525" ht="18" customHeight="1"/>
    <x:row r="3526" ht="18" customHeight="1"/>
    <x:row r="3527" ht="18" customHeight="1"/>
    <x:row r="3528" ht="18" customHeight="1"/>
    <x:row r="3529" ht="18" customHeight="1"/>
    <x:row r="3530" ht="18" customHeight="1"/>
    <x:row r="3531" ht="18" customHeight="1"/>
    <x:row r="3532" ht="18" customHeight="1"/>
    <x:row r="3533" ht="18" customHeight="1"/>
    <x:row r="3534" ht="18" customHeight="1"/>
    <x:row r="3535" ht="18" customHeight="1"/>
    <x:row r="3536" ht="18" customHeight="1"/>
    <x:row r="3537" ht="18" customHeight="1"/>
    <x:row r="3538" ht="18" customHeight="1"/>
    <x:row r="3539" ht="18" customHeight="1"/>
    <x:row r="3540" ht="18" customHeight="1"/>
    <x:row r="3541" ht="18" customHeight="1"/>
    <x:row r="3542" ht="18" customHeight="1"/>
    <x:row r="3543" ht="18" customHeight="1"/>
    <x:row r="3544" ht="18" customHeight="1"/>
    <x:row r="3545" ht="18" customHeight="1"/>
    <x:row r="3546" ht="18" customHeight="1"/>
    <x:row r="3547" ht="18" customHeight="1"/>
    <x:row r="3548" ht="18" customHeight="1"/>
    <x:row r="3549" ht="18" customHeight="1"/>
    <x:row r="3550" ht="18" customHeight="1"/>
    <x:row r="3551" ht="18" customHeight="1"/>
    <x:row r="3552" ht="18" customHeight="1"/>
    <x:row r="3553" ht="18" customHeight="1"/>
    <x:row r="3554" ht="18" customHeight="1"/>
    <x:row r="3555" ht="18" customHeight="1"/>
    <x:row r="3556" ht="18" customHeight="1"/>
    <x:row r="3557" ht="18" customHeight="1"/>
    <x:row r="3558" ht="18" customHeight="1"/>
    <x:row r="3559" ht="18" customHeight="1"/>
    <x:row r="3560" ht="18" customHeight="1"/>
    <x:row r="3561" ht="18" customHeight="1"/>
    <x:row r="3562" ht="18" customHeight="1"/>
    <x:row r="3563" ht="18" customHeight="1"/>
    <x:row r="3564" ht="18" customHeight="1"/>
    <x:row r="3565" ht="18" customHeight="1"/>
    <x:row r="3566" ht="18" customHeight="1"/>
    <x:row r="3567" ht="18" customHeight="1"/>
    <x:row r="3568" ht="18" customHeight="1"/>
    <x:row r="3569" ht="18" customHeight="1"/>
    <x:row r="3570" ht="18" customHeight="1"/>
    <x:row r="3571" ht="18" customHeight="1"/>
    <x:row r="3572" ht="18" customHeight="1"/>
    <x:row r="3573" ht="18" customHeight="1"/>
    <x:row r="3574" ht="18" customHeight="1"/>
    <x:row r="3575" ht="18" customHeight="1"/>
    <x:row r="3576" ht="18" customHeight="1"/>
    <x:row r="3577" ht="18" customHeight="1"/>
    <x:row r="3578" ht="18" customHeight="1"/>
    <x:row r="3579" ht="18" customHeight="1"/>
    <x:row r="3580" ht="18" customHeight="1"/>
    <x:row r="3581" ht="18" customHeight="1"/>
    <x:row r="3582" ht="18" customHeight="1"/>
    <x:row r="3583" ht="18" customHeight="1"/>
    <x:row r="3584" ht="18" customHeight="1"/>
    <x:row r="3585" ht="18" customHeight="1"/>
    <x:row r="3586" ht="18" customHeight="1"/>
    <x:row r="3587" ht="18" customHeight="1"/>
    <x:row r="3588" ht="18" customHeight="1"/>
    <x:row r="3589" ht="18" customHeight="1"/>
    <x:row r="3590" ht="18" customHeight="1"/>
    <x:row r="3591" ht="18" customHeight="1"/>
    <x:row r="3592" ht="18" customHeight="1"/>
    <x:row r="3593" ht="18" customHeight="1"/>
    <x:row r="3594" ht="18" customHeight="1"/>
    <x:row r="3595" ht="18" customHeight="1"/>
    <x:row r="3596" ht="18" customHeight="1"/>
    <x:row r="3597" ht="18" customHeight="1"/>
    <x:row r="3598" ht="18" customHeight="1"/>
    <x:row r="3599" ht="18" customHeight="1"/>
    <x:row r="3600" ht="18" customHeight="1"/>
    <x:row r="3601" ht="18" customHeight="1"/>
    <x:row r="3602" ht="18" customHeight="1"/>
    <x:row r="3603" ht="18" customHeight="1"/>
    <x:row r="3604" ht="18" customHeight="1"/>
    <x:row r="3605" ht="18" customHeight="1"/>
    <x:row r="3606" ht="18" customHeight="1"/>
    <x:row r="3607" ht="18" customHeight="1"/>
    <x:row r="3608" ht="18" customHeight="1"/>
    <x:row r="3609" ht="18" customHeight="1"/>
    <x:row r="3610" ht="18" customHeight="1"/>
    <x:row r="3611" ht="18" customHeight="1"/>
    <x:row r="3612" ht="18" customHeight="1"/>
    <x:row r="3613" ht="18" customHeight="1"/>
    <x:row r="3614" ht="18" customHeight="1"/>
    <x:row r="3615" ht="18" customHeight="1"/>
    <x:row r="3616" ht="18" customHeight="1"/>
    <x:row r="3617" ht="18" customHeight="1"/>
    <x:row r="3618" ht="18" customHeight="1"/>
    <x:row r="3619" ht="18" customHeight="1"/>
    <x:row r="3620" ht="18" customHeight="1"/>
    <x:row r="3621" ht="18" customHeight="1"/>
    <x:row r="3622" ht="18" customHeight="1"/>
    <x:row r="3623" ht="18" customHeight="1"/>
    <x:row r="3624" ht="18" customHeight="1"/>
    <x:row r="3625" ht="18" customHeight="1"/>
    <x:row r="3626" ht="18" customHeight="1"/>
    <x:row r="3627" ht="18" customHeight="1"/>
    <x:row r="3628" ht="18" customHeight="1"/>
    <x:row r="3629" ht="18" customHeight="1"/>
    <x:row r="3630" ht="18" customHeight="1"/>
    <x:row r="3631" ht="18" customHeight="1"/>
    <x:row r="3632" ht="18" customHeight="1"/>
    <x:row r="3633" ht="18" customHeight="1"/>
    <x:row r="3634" ht="18" customHeight="1"/>
    <x:row r="3635" ht="18" customHeight="1"/>
    <x:row r="3636" ht="18" customHeight="1"/>
    <x:row r="3637" ht="18" customHeight="1"/>
    <x:row r="3638" ht="18" customHeight="1"/>
    <x:row r="3639" ht="18" customHeight="1"/>
    <x:row r="3640" ht="18" customHeight="1"/>
    <x:row r="3641" ht="18" customHeight="1"/>
    <x:row r="3642" ht="18" customHeight="1"/>
    <x:row r="3643" ht="18" customHeight="1"/>
    <x:row r="3644" ht="18" customHeight="1"/>
    <x:row r="3645" ht="18" customHeight="1"/>
    <x:row r="3646" ht="18" customHeight="1"/>
    <x:row r="3647" ht="18" customHeight="1"/>
    <x:row r="3648" ht="18" customHeight="1"/>
    <x:row r="3649" ht="18" customHeight="1"/>
    <x:row r="3650" ht="18" customHeight="1"/>
    <x:row r="3651" ht="18" customHeight="1"/>
    <x:row r="3652" ht="18" customHeight="1"/>
    <x:row r="3653" ht="18" customHeight="1"/>
    <x:row r="3654" ht="18" customHeight="1"/>
  </x:sheetData>
  <x:dataValidations count="2">
    <x:dataValidation sqref="H5:H100">
      <x:formula1>1</x:formula1>
      <x:formula2>13</x:formula2>
    </x:dataValidation>
    <x:dataValidation sqref="I5:I100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c7cd0d58c14f03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42" customWidth="1"/>
    <x:col min="2" max="2" width="40.125" customWidth="1"/>
    <x:col min="3" max="3" width="14" customWidth="1"/>
    <x:col min="4" max="4" width="12.125" customWidth="1"/>
    <x:col min="5" max="5" width="11.625" customWidth="1"/>
    <x:col min="6" max="6" width="12.125" customWidth="1"/>
    <x:col min="7" max="7" width="13.625" customWidth="1"/>
    <x:col min="8" max="8" width="15.5" customWidth="1"/>
    <x:col min="9" max="9" width="16.5" customWidth="1"/>
    <x:col min="10" max="10" width="18.875" customWidth="1"/>
    <x:col min="11" max="11" width="18.375" customWidth="1"/>
    <x:col min="12" max="12" width="21.375" customWidth="1"/>
    <x:col min="13" max="15" width="17.25" customWidth="1"/>
    <x:col min="16" max="18" width="14.75" customWidth="1"/>
    <x:col min="19" max="19" width="19.125" customWidth="1"/>
    <x:col min="20" max="20" width="21.25" customWidth="1"/>
    <x:col min="21" max="21" width="19.5" customWidth="1"/>
    <x:col min="22" max="22" width="24.25" customWidth="1"/>
    <x:col min="23" max="23" width="26.25" customWidth="1"/>
  </x:cols>
  <x:sheetData>
    <x:row r="1" ht="18">
      <x:c r="A1" s="15" t="s">
        <x:v>188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</x:row>
    <x:row r="2">
      <x:c r="A2" t="s">
        <x:v>189</x:v>
      </x:c>
    </x:row>
    <x:row r="4" ht="15">
      <x:c r="A4" s="17" t="s">
        <x:v>190</x:v>
      </x:c>
      <x:c r="B4" s="17" t="s">
        <x:v>81</x:v>
      </x:c>
      <x:c r="C4" s="17" t="s">
        <x:v>18</x:v>
      </x:c>
      <x:c r="D4" s="17" t="s">
        <x:v>20</x:v>
      </x:c>
      <x:c r="E4" s="17" t="s">
        <x:v>21</x:v>
      </x:c>
      <x:c r="F4" s="17" t="s">
        <x:v>22</x:v>
      </x:c>
      <x:c r="G4" s="17" t="s">
        <x:v>19</x:v>
      </x:c>
      <x:c r="H4" s="17" t="s">
        <x:v>169</x:v>
      </x:c>
      <x:c r="I4" s="17" t="s">
        <x:v>85</x:v>
      </x:c>
      <x:c r="J4" s="17" t="s">
        <x:v>191</x:v>
      </x:c>
      <x:c r="K4" s="17" t="s">
        <x:v>192</x:v>
      </x:c>
      <x:c r="L4" s="17" t="s">
        <x:v>193</x:v>
      </x:c>
      <x:c r="M4" s="17" t="s">
        <x:v>194</x:v>
      </x:c>
      <x:c r="N4" s="17" t="s">
        <x:v>195</x:v>
      </x:c>
      <x:c r="O4" s="17" t="s">
        <x:v>196</x:v>
      </x:c>
      <x:c r="P4" s="17" t="s">
        <x:v>197</x:v>
      </x:c>
      <x:c r="Q4" s="17" t="s">
        <x:v>198</x:v>
      </x:c>
      <x:c r="R4" s="17" t="s">
        <x:v>199</x:v>
      </x:c>
      <x:c r="S4" s="17" t="s">
        <x:v>179</x:v>
      </x:c>
      <x:c r="T4" s="17" t="s">
        <x:v>200</x:v>
      </x:c>
      <x:c r="U4" s="17" t="s">
        <x:v>98</x:v>
      </x:c>
      <x:c r="V4" s="17" t="s">
        <x:v>180</x:v>
      </x:c>
      <x:c r="W4" s="17" t="s">
        <x:v>201</x:v>
      </x:c>
      <x:c r="X4" s="46" t="str">
        <x:v>ProductLineCapabilityID</x:v>
      </x:c>
      <x:c r="Y4" s="46" t="str">
        <x:v>ProductCapabilityCheck</x:v>
      </x:c>
      <x:c r="Z4" s="46" t="str">
        <x:v>SectionUniquenessCheck</x:v>
      </x:c>
      <x:c r="AA4" s="46" t="str">
        <x:v>CavityGrainRowCount</x:v>
      </x:c>
      <x:c r="AB4" s="46" t="str">
        <x:v>CavityGrainActiveCount</x:v>
      </x:c>
      <x:c r="AC4" s="46" t="str">
        <x:v>CavityGrainReconciliationCheck</x:v>
      </x:c>
      <x:c r="AD4" s="46" t="str">
        <x:v>DataQualityCheck</x:v>
      </x:c>
      <x:c r="AE4" s="46" t="str">
        <x:v>LoadDecision</x:v>
      </x:c>
      <x:c r="AF4" s="46" t="str">
        <x:v>SourceFile</x:v>
      </x:c>
      <x:c r="AG4" s="46" t="str">
        <x:v>LoadBatchID</x:v>
      </x:c>
      <x:c r="AH4" s="46" t="str">
        <x:v>RecordStatus</x:v>
      </x:c>
      <x:c r="AI4" s="46" t="str">
        <x:v>CreatedAt</x:v>
      </x:c>
      <x:c r="AJ4" s="46" t="str">
        <x:v>CreatedBy</x:v>
      </x:c>
      <x:c r="AK4" s="46" t="str">
        <x:v>ModifiedAt</x:v>
      </x:c>
      <x:c r="AL4" s="46" t="str">
        <x:v>ModifiedBy</x:v>
      </x:c>
    </x:row>
    <x:row r="5">
      <x:c r="A5" t="s">
        <x:v>202</x:v>
      </x:c>
      <x:c r="B5" t="s">
        <x:v>203</x:v>
      </x:c>
      <x:c r="C5" t="s">
        <x:v>44</x:v>
      </x:c>
      <x:c r="D5">
        <x:v>45950</x:v>
      </x:c>
      <x:c r="E5" t="s">
        <x:v>45</x:v>
      </x:c>
      <x:c r="F5" t="s">
        <x:v>55</x:v>
      </x:c>
      <x:c r="G5">
        <x:v>21</x:v>
      </x:c>
      <x:c r="H5" t="s">
        <x:v>47</x:v>
      </x:c>
      <x:c r="I5">
        <x:v>1</x:v>
      </x:c>
      <x:c r="J5">
        <x:v>10</x:v>
      </x:c>
      <x:c r="K5">
        <x:v>3</x:v>
      </x:c>
      <x:c r="L5" t="n">
        <x:f t="shared" ref="L5:L68" si="0">IF(I5&lt;=J5,1,0)</x:f>
        <x:v>1</x:v>
      </x:c>
      <x:c r="P5" t="n">
        <x:f t="shared" ref="P5:P68" si="1">IF(M5="",IF(AND(L5=1,K5&gt;=1),1,0),M5)</x:f>
        <x:v>1</x:v>
      </x:c>
      <x:c r="Q5" t="n">
        <x:f t="shared" ref="Q5:Q68" si="2">IF(N5="",IF(AND(L5=1,K5&gt;=2),1,0),N5)</x:f>
        <x:v>1</x:v>
      </x:c>
      <x:c r="R5" t="n">
        <x:f t="shared" ref="R5:R68" si="3">IF(O5="",IF(AND(L5=1,K5&gt;=3),1,0),O5)</x:f>
        <x:v>1</x:v>
      </x:c>
      <x:c r="S5" t="n">
        <x:f t="shared" ref="S5:S68" si="4">SUM(P5:R5)</x:f>
        <x:v>3</x:v>
      </x:c>
      <x:c r="T5" t="str">
        <x:f t="shared" ref="T5:T68" si="5">IF(COUNTA(M5:O5)=0,"DerivedFromCount","ManualOverride")</x:f>
        <x:v>DerivedFromCount</x:v>
      </x:c>
      <x:c r="U5" t="str">
        <x:f>IF(COUNTIF(DailyProduction!$Q$5:$Q$100,B5)=1,"OK","CHECK")</x:f>
        <x:v>OK</x:v>
      </x:c>
      <x:c r="V5" t="str">
        <x:f t="shared" ref="V5:V68" si="6">IF(AND(I5&gt;=1,I5&lt;=13,K5&gt;=1,K5&lt;=3),"OK","CHECK")</x:f>
        <x:v>OK</x:v>
      </x:c>
      <x:c r="W5" t="str">
        <x:f>IF(SUMIF($B$5:$B$914,B5,$S$5:$S$914)=SUMIF(DailyProduction!$Q$5:$Q$100,B5,DailyProduction!$R$5:$R$100),"OK","CHECK")</x:f>
        <x:v>OK</x:v>
      </x:c>
      <x:c r="X5" t="str">
        <x:v>PLC-PRD-JAR-330-L21</x:v>
      </x:c>
      <x:c r="Y5" t="str">
        <x:v>OK</x:v>
      </x:c>
      <x:c r="Z5" t="str">
        <x:v>OK</x:v>
      </x:c>
      <x:c r="AA5" t="n">
        <x:v>3</x:v>
      </x:c>
      <x:c r="AB5" t="n">
        <x:v>3</x:v>
      </x:c>
      <x:c r="AC5" t="str">
        <x:v>OK</x:v>
      </x:c>
      <x:c r="AD5" t="str">
        <x:v>OK</x:v>
      </x:c>
      <x:c r="AE5" t="str">
        <x:v>LOAD</x:v>
      </x:c>
      <x:c r="AF5" t="str">
        <x:v>02_Supervisor_Log(4).xlsx</x:v>
      </x:c>
      <x:c r="AG5" t="str">
        <x:v>ENH-20260830-01</x:v>
      </x:c>
      <x:c r="AH5" t="str">
        <x:v>Active</x:v>
      </x:c>
      <x:c r="AI5"/>
      <x:c r="AJ5"/>
      <x:c r="AK5"/>
      <x:c r="AL5"/>
    </x:row>
    <x:row r="6">
      <x:c r="A6" t="s">
        <x:v>204</x:v>
      </x:c>
      <x:c r="B6" t="s">
        <x:v>203</x:v>
      </x:c>
      <x:c r="C6" t="s">
        <x:v>44</x:v>
      </x:c>
      <x:c r="D6">
        <x:v>45950</x:v>
      </x:c>
      <x:c r="E6" t="s">
        <x:v>45</x:v>
      </x:c>
      <x:c r="F6" t="s">
        <x:v>55</x:v>
      </x:c>
      <x:c r="G6">
        <x:v>21</x:v>
      </x:c>
      <x:c r="H6" t="s">
        <x:v>47</x:v>
      </x:c>
      <x:c r="I6">
        <x:v>2</x:v>
      </x:c>
      <x:c r="J6">
        <x:v>10</x:v>
      </x:c>
      <x:c r="K6">
        <x:v>3</x:v>
      </x:c>
      <x:c r="L6">
        <x:f t="shared" si="0"/>
        <x:v>1</x:v>
      </x:c>
      <x:c r="P6">
        <x:f t="shared" si="1"/>
        <x:v>1</x:v>
      </x:c>
      <x:c r="Q6">
        <x:f t="shared" si="2"/>
        <x:v>1</x:v>
      </x:c>
      <x:c r="R6">
        <x:f t="shared" si="3"/>
        <x:v>1</x:v>
      </x:c>
      <x:c r="S6">
        <x:f t="shared" si="4"/>
        <x:v>3</x:v>
      </x:c>
      <x:c r="T6" t="str">
        <x:f t="shared" si="5"/>
        <x:v>DerivedFromCount</x:v>
      </x:c>
      <x:c r="U6" t="str">
        <x:f>IF(COUNTIF(DailyProduction!$Q$5:$Q$100,B6)=1,"OK","CHECK")</x:f>
        <x:v>OK</x:v>
      </x:c>
      <x:c r="V6" t="str">
        <x:f t="shared" si="6"/>
        <x:v>OK</x:v>
      </x:c>
      <x:c r="W6" t="str">
        <x:f>IF(SUMIF($B$5:$B$914,B6,$S$5:$S$914)=SUMIF(DailyProduction!$Q$5:$Q$100,B6,DailyProduction!$R$5:$R$100),"OK","CHECK")</x:f>
        <x:v>OK</x:v>
      </x:c>
      <x:c r="X6" t="str">
        <x:v>PLC-PRD-JAR-330-L21</x:v>
      </x:c>
      <x:c r="Y6" t="str">
        <x:v>OK</x:v>
      </x:c>
      <x:c r="Z6" t="str">
        <x:v>OK</x:v>
      </x:c>
      <x:c r="AA6" t="n">
        <x:v>3</x:v>
      </x:c>
      <x:c r="AB6" t="n">
        <x:v>3</x:v>
      </x:c>
      <x:c r="AC6" t="str">
        <x:v>OK</x:v>
      </x:c>
      <x:c r="AD6" t="str">
        <x:v>OK</x:v>
      </x:c>
      <x:c r="AE6" t="str">
        <x:v>LOAD</x:v>
      </x:c>
      <x:c r="AF6" t="str">
        <x:v>02_Supervisor_Log(4).xlsx</x:v>
      </x:c>
      <x:c r="AG6" t="str">
        <x:v>ENH-20260830-01</x:v>
      </x:c>
      <x:c r="AH6" t="str">
        <x:v>Active</x:v>
      </x:c>
      <x:c r="AI6"/>
      <x:c r="AJ6"/>
      <x:c r="AK6"/>
      <x:c r="AL6"/>
    </x:row>
    <x:row r="7">
      <x:c r="A7" t="s">
        <x:v>205</x:v>
      </x:c>
      <x:c r="B7" t="s">
        <x:v>203</x:v>
      </x:c>
      <x:c r="C7" t="s">
        <x:v>44</x:v>
      </x:c>
      <x:c r="D7">
        <x:v>45950</x:v>
      </x:c>
      <x:c r="E7" t="s">
        <x:v>45</x:v>
      </x:c>
      <x:c r="F7" t="s">
        <x:v>55</x:v>
      </x:c>
      <x:c r="G7">
        <x:v>21</x:v>
      </x:c>
      <x:c r="H7" t="s">
        <x:v>47</x:v>
      </x:c>
      <x:c r="I7">
        <x:v>3</x:v>
      </x:c>
      <x:c r="J7">
        <x:v>10</x:v>
      </x:c>
      <x:c r="K7">
        <x:v>3</x:v>
      </x:c>
      <x:c r="L7">
        <x:f t="shared" si="0"/>
        <x:v>1</x:v>
      </x:c>
      <x:c r="P7">
        <x:f t="shared" si="1"/>
        <x:v>1</x:v>
      </x:c>
      <x:c r="Q7">
        <x:f t="shared" si="2"/>
        <x:v>1</x:v>
      </x:c>
      <x:c r="R7">
        <x:f t="shared" si="3"/>
        <x:v>1</x:v>
      </x:c>
      <x:c r="S7">
        <x:f t="shared" si="4"/>
        <x:v>3</x:v>
      </x:c>
      <x:c r="T7" t="str">
        <x:f t="shared" si="5"/>
        <x:v>DerivedFromCount</x:v>
      </x:c>
      <x:c r="U7" t="str">
        <x:f>IF(COUNTIF(DailyProduction!$Q$5:$Q$100,B7)=1,"OK","CHECK")</x:f>
        <x:v>OK</x:v>
      </x:c>
      <x:c r="V7" t="str">
        <x:f t="shared" si="6"/>
        <x:v>OK</x:v>
      </x:c>
      <x:c r="W7" t="str">
        <x:f>IF(SUMIF($B$5:$B$914,B7,$S$5:$S$914)=SUMIF(DailyProduction!$Q$5:$Q$100,B7,DailyProduction!$R$5:$R$100),"OK","CHECK")</x:f>
        <x:v>OK</x:v>
      </x:c>
      <x:c r="X7" t="str">
        <x:v>PLC-PRD-JAR-330-L21</x:v>
      </x:c>
      <x:c r="Y7" t="str">
        <x:v>OK</x:v>
      </x:c>
      <x:c r="Z7" t="str">
        <x:v>OK</x:v>
      </x:c>
      <x:c r="AA7" t="n">
        <x:v>3</x:v>
      </x:c>
      <x:c r="AB7" t="n">
        <x:v>3</x:v>
      </x:c>
      <x:c r="AC7" t="str">
        <x:v>OK</x:v>
      </x:c>
      <x:c r="AD7" t="str">
        <x:v>OK</x:v>
      </x:c>
      <x:c r="AE7" t="str">
        <x:v>LOAD</x:v>
      </x:c>
      <x:c r="AF7" t="str">
        <x:v>02_Supervisor_Log(4).xlsx</x:v>
      </x:c>
      <x:c r="AG7" t="str">
        <x:v>ENH-20260830-01</x:v>
      </x:c>
      <x:c r="AH7" t="str">
        <x:v>Active</x:v>
      </x:c>
      <x:c r="AI7"/>
      <x:c r="AJ7"/>
      <x:c r="AK7"/>
      <x:c r="AL7"/>
    </x:row>
    <x:row r="8">
      <x:c r="A8" t="s">
        <x:v>206</x:v>
      </x:c>
      <x:c r="B8" t="s">
        <x:v>203</x:v>
      </x:c>
      <x:c r="C8" t="s">
        <x:v>44</x:v>
      </x:c>
      <x:c r="D8">
        <x:v>45950</x:v>
      </x:c>
      <x:c r="E8" t="s">
        <x:v>45</x:v>
      </x:c>
      <x:c r="F8" t="s">
        <x:v>55</x:v>
      </x:c>
      <x:c r="G8">
        <x:v>21</x:v>
      </x:c>
      <x:c r="H8" t="s">
        <x:v>47</x:v>
      </x:c>
      <x:c r="I8">
        <x:v>4</x:v>
      </x:c>
      <x:c r="J8">
        <x:v>10</x:v>
      </x:c>
      <x:c r="K8">
        <x:v>3</x:v>
      </x:c>
      <x:c r="L8">
        <x:f t="shared" si="0"/>
        <x:v>1</x:v>
      </x:c>
      <x:c r="P8">
        <x:f t="shared" si="1"/>
        <x:v>1</x:v>
      </x:c>
      <x:c r="Q8">
        <x:f t="shared" si="2"/>
        <x:v>1</x:v>
      </x:c>
      <x:c r="R8">
        <x:f t="shared" si="3"/>
        <x:v>1</x:v>
      </x:c>
      <x:c r="S8">
        <x:f t="shared" si="4"/>
        <x:v>3</x:v>
      </x:c>
      <x:c r="T8" t="str">
        <x:f t="shared" si="5"/>
        <x:v>DerivedFromCount</x:v>
      </x:c>
      <x:c r="U8" t="str">
        <x:f>IF(COUNTIF(DailyProduction!$Q$5:$Q$100,B8)=1,"OK","CHECK")</x:f>
        <x:v>OK</x:v>
      </x:c>
      <x:c r="V8" t="str">
        <x:f t="shared" si="6"/>
        <x:v>OK</x:v>
      </x:c>
      <x:c r="W8" t="str">
        <x:f>IF(SUMIF($B$5:$B$914,B8,$S$5:$S$914)=SUMIF(DailyProduction!$Q$5:$Q$100,B8,DailyProduction!$R$5:$R$100),"OK","CHECK")</x:f>
        <x:v>OK</x:v>
      </x:c>
      <x:c r="X8" t="str">
        <x:v>PLC-PRD-JAR-330-L21</x:v>
      </x:c>
      <x:c r="Y8" t="str">
        <x:v>OK</x:v>
      </x:c>
      <x:c r="Z8" t="str">
        <x:v>OK</x:v>
      </x:c>
      <x:c r="AA8" t="n">
        <x:v>3</x:v>
      </x:c>
      <x:c r="AB8" t="n">
        <x:v>3</x:v>
      </x:c>
      <x:c r="AC8" t="str">
        <x:v>OK</x:v>
      </x:c>
      <x:c r="AD8" t="str">
        <x:v>OK</x:v>
      </x:c>
      <x:c r="AE8" t="str">
        <x:v>LOAD</x:v>
      </x:c>
      <x:c r="AF8" t="str">
        <x:v>02_Supervisor_Log(4).xlsx</x:v>
      </x:c>
      <x:c r="AG8" t="str">
        <x:v>ENH-20260830-01</x:v>
      </x:c>
      <x:c r="AH8" t="str">
        <x:v>Active</x:v>
      </x:c>
      <x:c r="AI8"/>
      <x:c r="AJ8"/>
      <x:c r="AK8"/>
      <x:c r="AL8"/>
    </x:row>
    <x:row r="9">
      <x:c r="A9" t="s">
        <x:v>207</x:v>
      </x:c>
      <x:c r="B9" t="s">
        <x:v>203</x:v>
      </x:c>
      <x:c r="C9" t="s">
        <x:v>44</x:v>
      </x:c>
      <x:c r="D9">
        <x:v>45950</x:v>
      </x:c>
      <x:c r="E9" t="s">
        <x:v>45</x:v>
      </x:c>
      <x:c r="F9" t="s">
        <x:v>55</x:v>
      </x:c>
      <x:c r="G9">
        <x:v>21</x:v>
      </x:c>
      <x:c r="H9" t="s">
        <x:v>47</x:v>
      </x:c>
      <x:c r="I9">
        <x:v>5</x:v>
      </x:c>
      <x:c r="J9">
        <x:v>10</x:v>
      </x:c>
      <x:c r="K9">
        <x:v>3</x:v>
      </x:c>
      <x:c r="L9">
        <x:f t="shared" si="0"/>
        <x:v>1</x:v>
      </x:c>
      <x:c r="P9">
        <x:f t="shared" si="1"/>
        <x:v>1</x:v>
      </x:c>
      <x:c r="Q9">
        <x:f t="shared" si="2"/>
        <x:v>1</x:v>
      </x:c>
      <x:c r="R9">
        <x:f t="shared" si="3"/>
        <x:v>1</x:v>
      </x:c>
      <x:c r="S9">
        <x:f t="shared" si="4"/>
        <x:v>3</x:v>
      </x:c>
      <x:c r="T9" t="str">
        <x:f t="shared" si="5"/>
        <x:v>DerivedFromCount</x:v>
      </x:c>
      <x:c r="U9" t="str">
        <x:f>IF(COUNTIF(DailyProduction!$Q$5:$Q$100,B9)=1,"OK","CHECK")</x:f>
        <x:v>OK</x:v>
      </x:c>
      <x:c r="V9" t="str">
        <x:f t="shared" si="6"/>
        <x:v>OK</x:v>
      </x:c>
      <x:c r="W9" t="str">
        <x:f>IF(SUMIF($B$5:$B$914,B9,$S$5:$S$914)=SUMIF(DailyProduction!$Q$5:$Q$100,B9,DailyProduction!$R$5:$R$100),"OK","CHECK")</x:f>
        <x:v>OK</x:v>
      </x:c>
      <x:c r="X9" t="str">
        <x:v>PLC-PRD-JAR-330-L21</x:v>
      </x:c>
      <x:c r="Y9" t="str">
        <x:v>OK</x:v>
      </x:c>
      <x:c r="Z9" t="str">
        <x:v>OK</x:v>
      </x:c>
      <x:c r="AA9" t="n">
        <x:v>3</x:v>
      </x:c>
      <x:c r="AB9" t="n">
        <x:v>3</x:v>
      </x:c>
      <x:c r="AC9" t="str">
        <x:v>OK</x:v>
      </x:c>
      <x:c r="AD9" t="str">
        <x:v>OK</x:v>
      </x:c>
      <x:c r="AE9" t="str">
        <x:v>LOAD</x:v>
      </x:c>
      <x:c r="AF9" t="str">
        <x:v>02_Supervisor_Log(4).xlsx</x:v>
      </x:c>
      <x:c r="AG9" t="str">
        <x:v>ENH-20260830-01</x:v>
      </x:c>
      <x:c r="AH9" t="str">
        <x:v>Active</x:v>
      </x:c>
      <x:c r="AI9"/>
      <x:c r="AJ9"/>
      <x:c r="AK9"/>
      <x:c r="AL9"/>
    </x:row>
    <x:row r="10">
      <x:c r="A10" t="s">
        <x:v>208</x:v>
      </x:c>
      <x:c r="B10" t="s">
        <x:v>203</x:v>
      </x:c>
      <x:c r="C10" t="s">
        <x:v>44</x:v>
      </x:c>
      <x:c r="D10">
        <x:v>45950</x:v>
      </x:c>
      <x:c r="E10" t="s">
        <x:v>45</x:v>
      </x:c>
      <x:c r="F10" t="s">
        <x:v>55</x:v>
      </x:c>
      <x:c r="G10">
        <x:v>21</x:v>
      </x:c>
      <x:c r="H10" t="s">
        <x:v>47</x:v>
      </x:c>
      <x:c r="I10">
        <x:v>6</x:v>
      </x:c>
      <x:c r="J10">
        <x:v>10</x:v>
      </x:c>
      <x:c r="K10">
        <x:v>3</x:v>
      </x:c>
      <x:c r="L10">
        <x:f t="shared" si="0"/>
        <x:v>1</x:v>
      </x:c>
      <x:c r="P10">
        <x:f t="shared" si="1"/>
        <x:v>1</x:v>
      </x:c>
      <x:c r="Q10">
        <x:f t="shared" si="2"/>
        <x:v>1</x:v>
      </x:c>
      <x:c r="R10">
        <x:f t="shared" si="3"/>
        <x:v>1</x:v>
      </x:c>
      <x:c r="S10">
        <x:f t="shared" si="4"/>
        <x:v>3</x:v>
      </x:c>
      <x:c r="T10" t="str">
        <x:f t="shared" si="5"/>
        <x:v>DerivedFromCount</x:v>
      </x:c>
      <x:c r="U10" t="str">
        <x:f>IF(COUNTIF(DailyProduction!$Q$5:$Q$100,B10)=1,"OK","CHECK")</x:f>
        <x:v>OK</x:v>
      </x:c>
      <x:c r="V10" t="str">
        <x:f t="shared" si="6"/>
        <x:v>OK</x:v>
      </x:c>
      <x:c r="W10" t="str">
        <x:f>IF(SUMIF($B$5:$B$914,B10,$S$5:$S$914)=SUMIF(DailyProduction!$Q$5:$Q$100,B10,DailyProduction!$R$5:$R$100),"OK","CHECK")</x:f>
        <x:v>OK</x:v>
      </x:c>
      <x:c r="X10" t="str">
        <x:v>PLC-PRD-JAR-330-L21</x:v>
      </x:c>
      <x:c r="Y10" t="str">
        <x:v>OK</x:v>
      </x:c>
      <x:c r="Z10" t="str">
        <x:v>OK</x:v>
      </x:c>
      <x:c r="AA10" t="n">
        <x:v>3</x:v>
      </x:c>
      <x:c r="AB10" t="n">
        <x:v>3</x:v>
      </x:c>
      <x:c r="AC10" t="str">
        <x:v>OK</x:v>
      </x:c>
      <x:c r="AD10" t="str">
        <x:v>OK</x:v>
      </x:c>
      <x:c r="AE10" t="str">
        <x:v>LOAD</x:v>
      </x:c>
      <x:c r="AF10" t="str">
        <x:v>02_Supervisor_Log(4).xlsx</x:v>
      </x:c>
      <x:c r="AG10" t="str">
        <x:v>ENH-20260830-01</x:v>
      </x:c>
      <x:c r="AH10" t="str">
        <x:v>Active</x:v>
      </x:c>
      <x:c r="AI10"/>
      <x:c r="AJ10"/>
      <x:c r="AK10"/>
      <x:c r="AL10"/>
    </x:row>
    <x:row r="11">
      <x:c r="A11" t="s">
        <x:v>209</x:v>
      </x:c>
      <x:c r="B11" t="s">
        <x:v>203</x:v>
      </x:c>
      <x:c r="C11" t="s">
        <x:v>44</x:v>
      </x:c>
      <x:c r="D11">
        <x:v>45950</x:v>
      </x:c>
      <x:c r="E11" t="s">
        <x:v>45</x:v>
      </x:c>
      <x:c r="F11" t="s">
        <x:v>55</x:v>
      </x:c>
      <x:c r="G11">
        <x:v>21</x:v>
      </x:c>
      <x:c r="H11" t="s">
        <x:v>47</x:v>
      </x:c>
      <x:c r="I11">
        <x:v>7</x:v>
      </x:c>
      <x:c r="J11">
        <x:v>10</x:v>
      </x:c>
      <x:c r="K11">
        <x:v>3</x:v>
      </x:c>
      <x:c r="L11">
        <x:f t="shared" si="0"/>
        <x:v>1</x:v>
      </x:c>
      <x:c r="P11">
        <x:f t="shared" si="1"/>
        <x:v>1</x:v>
      </x:c>
      <x:c r="Q11">
        <x:f t="shared" si="2"/>
        <x:v>1</x:v>
      </x:c>
      <x:c r="R11">
        <x:f t="shared" si="3"/>
        <x:v>1</x:v>
      </x:c>
      <x:c r="S11">
        <x:f t="shared" si="4"/>
        <x:v>3</x:v>
      </x:c>
      <x:c r="T11" t="str">
        <x:f t="shared" si="5"/>
        <x:v>DerivedFromCount</x:v>
      </x:c>
      <x:c r="U11" t="str">
        <x:f>IF(COUNTIF(DailyProduction!$Q$5:$Q$100,B11)=1,"OK","CHECK")</x:f>
        <x:v>OK</x:v>
      </x:c>
      <x:c r="V11" t="str">
        <x:f t="shared" si="6"/>
        <x:v>OK</x:v>
      </x:c>
      <x:c r="W11" t="str">
        <x:f>IF(SUMIF($B$5:$B$914,B11,$S$5:$S$914)=SUMIF(DailyProduction!$Q$5:$Q$100,B11,DailyProduction!$R$5:$R$100),"OK","CHECK")</x:f>
        <x:v>OK</x:v>
      </x:c>
      <x:c r="X11" t="str">
        <x:v>PLC-PRD-JAR-330-L21</x:v>
      </x:c>
      <x:c r="Y11" t="str">
        <x:v>OK</x:v>
      </x:c>
      <x:c r="Z11" t="str">
        <x:v>OK</x:v>
      </x:c>
      <x:c r="AA11" t="n">
        <x:v>3</x:v>
      </x:c>
      <x:c r="AB11" t="n">
        <x:v>3</x:v>
      </x:c>
      <x:c r="AC11" t="str">
        <x:v>OK</x:v>
      </x:c>
      <x:c r="AD11" t="str">
        <x:v>OK</x:v>
      </x:c>
      <x:c r="AE11" t="str">
        <x:v>LOAD</x:v>
      </x:c>
      <x:c r="AF11" t="str">
        <x:v>02_Supervisor_Log(4).xlsx</x:v>
      </x:c>
      <x:c r="AG11" t="str">
        <x:v>ENH-20260830-01</x:v>
      </x:c>
      <x:c r="AH11" t="str">
        <x:v>Active</x:v>
      </x:c>
      <x:c r="AI11"/>
      <x:c r="AJ11"/>
      <x:c r="AK11"/>
      <x:c r="AL11"/>
    </x:row>
    <x:row r="12">
      <x:c r="A12" t="s">
        <x:v>210</x:v>
      </x:c>
      <x:c r="B12" t="s">
        <x:v>203</x:v>
      </x:c>
      <x:c r="C12" t="s">
        <x:v>44</x:v>
      </x:c>
      <x:c r="D12">
        <x:v>45950</x:v>
      </x:c>
      <x:c r="E12" t="s">
        <x:v>45</x:v>
      </x:c>
      <x:c r="F12" t="s">
        <x:v>55</x:v>
      </x:c>
      <x:c r="G12">
        <x:v>21</x:v>
      </x:c>
      <x:c r="H12" t="s">
        <x:v>47</x:v>
      </x:c>
      <x:c r="I12">
        <x:v>8</x:v>
      </x:c>
      <x:c r="J12">
        <x:v>10</x:v>
      </x:c>
      <x:c r="K12">
        <x:v>3</x:v>
      </x:c>
      <x:c r="L12">
        <x:f t="shared" si="0"/>
        <x:v>1</x:v>
      </x:c>
      <x:c r="P12">
        <x:f t="shared" si="1"/>
        <x:v>1</x:v>
      </x:c>
      <x:c r="Q12">
        <x:f t="shared" si="2"/>
        <x:v>1</x:v>
      </x:c>
      <x:c r="R12">
        <x:f t="shared" si="3"/>
        <x:v>1</x:v>
      </x:c>
      <x:c r="S12">
        <x:f t="shared" si="4"/>
        <x:v>3</x:v>
      </x:c>
      <x:c r="T12" t="str">
        <x:f t="shared" si="5"/>
        <x:v>DerivedFromCount</x:v>
      </x:c>
      <x:c r="U12" t="str">
        <x:f>IF(COUNTIF(DailyProduction!$Q$5:$Q$100,B12)=1,"OK","CHECK")</x:f>
        <x:v>OK</x:v>
      </x:c>
      <x:c r="V12" t="str">
        <x:f t="shared" si="6"/>
        <x:v>OK</x:v>
      </x:c>
      <x:c r="W12" t="str">
        <x:f>IF(SUMIF($B$5:$B$914,B12,$S$5:$S$914)=SUMIF(DailyProduction!$Q$5:$Q$100,B12,DailyProduction!$R$5:$R$100),"OK","CHECK")</x:f>
        <x:v>OK</x:v>
      </x:c>
      <x:c r="X12" t="str">
        <x:v>PLC-PRD-JAR-330-L21</x:v>
      </x:c>
      <x:c r="Y12" t="str">
        <x:v>OK</x:v>
      </x:c>
      <x:c r="Z12" t="str">
        <x:v>OK</x:v>
      </x:c>
      <x:c r="AA12" t="n">
        <x:v>3</x:v>
      </x:c>
      <x:c r="AB12" t="n">
        <x:v>3</x:v>
      </x:c>
      <x:c r="AC12" t="str">
        <x:v>OK</x:v>
      </x:c>
      <x:c r="AD12" t="str">
        <x:v>OK</x:v>
      </x:c>
      <x:c r="AE12" t="str">
        <x:v>LOAD</x:v>
      </x:c>
      <x:c r="AF12" t="str">
        <x:v>02_Supervisor_Log(4).xlsx</x:v>
      </x:c>
      <x:c r="AG12" t="str">
        <x:v>ENH-20260830-01</x:v>
      </x:c>
      <x:c r="AH12" t="str">
        <x:v>Active</x:v>
      </x:c>
      <x:c r="AI12"/>
      <x:c r="AJ12"/>
      <x:c r="AK12"/>
      <x:c r="AL12"/>
    </x:row>
    <x:row r="13">
      <x:c r="A13" t="s">
        <x:v>211</x:v>
      </x:c>
      <x:c r="B13" t="s">
        <x:v>203</x:v>
      </x:c>
      <x:c r="C13" t="s">
        <x:v>44</x:v>
      </x:c>
      <x:c r="D13">
        <x:v>45950</x:v>
      </x:c>
      <x:c r="E13" t="s">
        <x:v>45</x:v>
      </x:c>
      <x:c r="F13" t="s">
        <x:v>55</x:v>
      </x:c>
      <x:c r="G13">
        <x:v>21</x:v>
      </x:c>
      <x:c r="H13" t="s">
        <x:v>47</x:v>
      </x:c>
      <x:c r="I13">
        <x:v>9</x:v>
      </x:c>
      <x:c r="J13">
        <x:v>10</x:v>
      </x:c>
      <x:c r="K13">
        <x:v>3</x:v>
      </x:c>
      <x:c r="L13">
        <x:f t="shared" si="0"/>
        <x:v>1</x:v>
      </x:c>
      <x:c r="P13">
        <x:f t="shared" si="1"/>
        <x:v>1</x:v>
      </x:c>
      <x:c r="Q13">
        <x:f t="shared" si="2"/>
        <x:v>1</x:v>
      </x:c>
      <x:c r="R13">
        <x:f t="shared" si="3"/>
        <x:v>1</x:v>
      </x:c>
      <x:c r="S13">
        <x:f t="shared" si="4"/>
        <x:v>3</x:v>
      </x:c>
      <x:c r="T13" t="str">
        <x:f t="shared" si="5"/>
        <x:v>DerivedFromCount</x:v>
      </x:c>
      <x:c r="U13" t="str">
        <x:f>IF(COUNTIF(DailyProduction!$Q$5:$Q$100,B13)=1,"OK","CHECK")</x:f>
        <x:v>OK</x:v>
      </x:c>
      <x:c r="V13" t="str">
        <x:f t="shared" si="6"/>
        <x:v>OK</x:v>
      </x:c>
      <x:c r="W13" t="str">
        <x:f>IF(SUMIF($B$5:$B$914,B13,$S$5:$S$914)=SUMIF(DailyProduction!$Q$5:$Q$100,B13,DailyProduction!$R$5:$R$100),"OK","CHECK")</x:f>
        <x:v>OK</x:v>
      </x:c>
      <x:c r="X13" t="str">
        <x:v>PLC-PRD-JAR-330-L21</x:v>
      </x:c>
      <x:c r="Y13" t="str">
        <x:v>OK</x:v>
      </x:c>
      <x:c r="Z13" t="str">
        <x:v>OK</x:v>
      </x:c>
      <x:c r="AA13" t="n">
        <x:v>3</x:v>
      </x:c>
      <x:c r="AB13" t="n">
        <x:v>3</x:v>
      </x:c>
      <x:c r="AC13" t="str">
        <x:v>OK</x:v>
      </x:c>
      <x:c r="AD13" t="str">
        <x:v>OK</x:v>
      </x:c>
      <x:c r="AE13" t="str">
        <x:v>LOAD</x:v>
      </x:c>
      <x:c r="AF13" t="str">
        <x:v>02_Supervisor_Log(4).xlsx</x:v>
      </x:c>
      <x:c r="AG13" t="str">
        <x:v>ENH-20260830-01</x:v>
      </x:c>
      <x:c r="AH13" t="str">
        <x:v>Active</x:v>
      </x:c>
      <x:c r="AI13"/>
      <x:c r="AJ13"/>
      <x:c r="AK13"/>
      <x:c r="AL13"/>
    </x:row>
    <x:row r="14">
      <x:c r="A14" t="s">
        <x:v>212</x:v>
      </x:c>
      <x:c r="B14" t="s">
        <x:v>203</x:v>
      </x:c>
      <x:c r="C14" t="s">
        <x:v>44</x:v>
      </x:c>
      <x:c r="D14">
        <x:v>45950</x:v>
      </x:c>
      <x:c r="E14" t="s">
        <x:v>45</x:v>
      </x:c>
      <x:c r="F14" t="s">
        <x:v>55</x:v>
      </x:c>
      <x:c r="G14">
        <x:v>21</x:v>
      </x:c>
      <x:c r="H14" t="s">
        <x:v>47</x:v>
      </x:c>
      <x:c r="I14">
        <x:v>10</x:v>
      </x:c>
      <x:c r="J14">
        <x:v>10</x:v>
      </x:c>
      <x:c r="K14">
        <x:v>3</x:v>
      </x:c>
      <x:c r="L14">
        <x:f t="shared" si="0"/>
        <x:v>1</x:v>
      </x:c>
      <x:c r="P14">
        <x:f t="shared" si="1"/>
        <x:v>1</x:v>
      </x:c>
      <x:c r="Q14">
        <x:f t="shared" si="2"/>
        <x:v>1</x:v>
      </x:c>
      <x:c r="R14">
        <x:f t="shared" si="3"/>
        <x:v>1</x:v>
      </x:c>
      <x:c r="S14">
        <x:f t="shared" si="4"/>
        <x:v>3</x:v>
      </x:c>
      <x:c r="T14" t="str">
        <x:f t="shared" si="5"/>
        <x:v>DerivedFromCount</x:v>
      </x:c>
      <x:c r="U14" t="str">
        <x:f>IF(COUNTIF(DailyProduction!$Q$5:$Q$100,B14)=1,"OK","CHECK")</x:f>
        <x:v>OK</x:v>
      </x:c>
      <x:c r="V14" t="str">
        <x:f t="shared" si="6"/>
        <x:v>OK</x:v>
      </x:c>
      <x:c r="W14" t="str">
        <x:f>IF(SUMIF($B$5:$B$914,B14,$S$5:$S$914)=SUMIF(DailyProduction!$Q$5:$Q$100,B14,DailyProduction!$R$5:$R$100),"OK","CHECK")</x:f>
        <x:v>OK</x:v>
      </x:c>
      <x:c r="X14" t="str">
        <x:v>PLC-PRD-JAR-330-L21</x:v>
      </x:c>
      <x:c r="Y14" t="str">
        <x:v>OK</x:v>
      </x:c>
      <x:c r="Z14" t="str">
        <x:v>OK</x:v>
      </x:c>
      <x:c r="AA14" t="n">
        <x:v>3</x:v>
      </x:c>
      <x:c r="AB14" t="n">
        <x:v>3</x:v>
      </x:c>
      <x:c r="AC14" t="str">
        <x:v>OK</x:v>
      </x:c>
      <x:c r="AD14" t="str">
        <x:v>OK</x:v>
      </x:c>
      <x:c r="AE14" t="str">
        <x:v>LOAD</x:v>
      </x:c>
      <x:c r="AF14" t="str">
        <x:v>02_Supervisor_Log(4).xlsx</x:v>
      </x:c>
      <x:c r="AG14" t="str">
        <x:v>ENH-20260830-01</x:v>
      </x:c>
      <x:c r="AH14" t="str">
        <x:v>Active</x:v>
      </x:c>
      <x:c r="AI14"/>
      <x:c r="AJ14"/>
      <x:c r="AK14"/>
      <x:c r="AL14"/>
    </x:row>
    <x:row r="15">
      <x:c r="A15" t="s">
        <x:v>213</x:v>
      </x:c>
      <x:c r="B15" t="s">
        <x:v>203</x:v>
      </x:c>
      <x:c r="C15" t="s">
        <x:v>44</x:v>
      </x:c>
      <x:c r="D15">
        <x:v>45950</x:v>
      </x:c>
      <x:c r="E15" t="s">
        <x:v>45</x:v>
      </x:c>
      <x:c r="F15" t="s">
        <x:v>55</x:v>
      </x:c>
      <x:c r="G15">
        <x:v>21</x:v>
      </x:c>
      <x:c r="H15" t="s">
        <x:v>47</x:v>
      </x:c>
      <x:c r="I15">
        <x:v>11</x:v>
      </x:c>
      <x:c r="J15">
        <x:v>10</x:v>
      </x:c>
      <x:c r="K15">
        <x:v>3</x:v>
      </x:c>
      <x:c r="L15">
        <x:f t="shared" si="0"/>
        <x:v>0</x:v>
      </x:c>
      <x:c r="P15">
        <x:f t="shared" si="1"/>
        <x:v>0</x:v>
      </x:c>
      <x:c r="Q15">
        <x:f t="shared" si="2"/>
        <x:v>0</x:v>
      </x:c>
      <x:c r="R15">
        <x:f t="shared" si="3"/>
        <x:v>0</x:v>
      </x:c>
      <x:c r="S15">
        <x:f t="shared" si="4"/>
        <x:v>0</x:v>
      </x:c>
      <x:c r="T15" t="str">
        <x:f t="shared" si="5"/>
        <x:v>DerivedFromCount</x:v>
      </x:c>
      <x:c r="U15" t="str">
        <x:f>IF(COUNTIF(DailyProduction!$Q$5:$Q$100,B15)=1,"OK","CHECK")</x:f>
        <x:v>OK</x:v>
      </x:c>
      <x:c r="V15" t="str">
        <x:f t="shared" si="6"/>
        <x:v>OK</x:v>
      </x:c>
      <x:c r="W15" t="str">
        <x:f>IF(SUMIF($B$5:$B$914,B15,$S$5:$S$914)=SUMIF(DailyProduction!$Q$5:$Q$100,B15,DailyProduction!$R$5:$R$100),"OK","CHECK")</x:f>
        <x:v>OK</x:v>
      </x:c>
      <x:c r="X15" t="str">
        <x:v>PLC-PRD-JAR-330-L21</x:v>
      </x:c>
      <x:c r="Y15" t="str">
        <x:v>OK</x:v>
      </x:c>
      <x:c r="Z15" t="str">
        <x:v>OK</x:v>
      </x:c>
      <x:c r="AA15" t="n">
        <x:v>3</x:v>
      </x:c>
      <x:c r="AB15" t="n">
        <x:v>0</x:v>
      </x:c>
      <x:c r="AC15" t="str">
        <x:v>OK</x:v>
      </x:c>
      <x:c r="AD15" t="str">
        <x:v>OK</x:v>
      </x:c>
      <x:c r="AE15" t="str">
        <x:v>LOAD</x:v>
      </x:c>
      <x:c r="AF15" t="str">
        <x:v>02_Supervisor_Log(4).xlsx</x:v>
      </x:c>
      <x:c r="AG15" t="str">
        <x:v>ENH-20260830-01</x:v>
      </x:c>
      <x:c r="AH15" t="str">
        <x:v>Active</x:v>
      </x:c>
      <x:c r="AI15"/>
      <x:c r="AJ15"/>
      <x:c r="AK15"/>
      <x:c r="AL15"/>
    </x:row>
    <x:row r="16">
      <x:c r="A16" t="s">
        <x:v>214</x:v>
      </x:c>
      <x:c r="B16" t="s">
        <x:v>203</x:v>
      </x:c>
      <x:c r="C16" t="s">
        <x:v>44</x:v>
      </x:c>
      <x:c r="D16">
        <x:v>45950</x:v>
      </x:c>
      <x:c r="E16" t="s">
        <x:v>45</x:v>
      </x:c>
      <x:c r="F16" t="s">
        <x:v>55</x:v>
      </x:c>
      <x:c r="G16">
        <x:v>21</x:v>
      </x:c>
      <x:c r="H16" t="s">
        <x:v>47</x:v>
      </x:c>
      <x:c r="I16">
        <x:v>12</x:v>
      </x:c>
      <x:c r="J16">
        <x:v>10</x:v>
      </x:c>
      <x:c r="K16">
        <x:v>3</x:v>
      </x:c>
      <x:c r="L16">
        <x:f t="shared" si="0"/>
        <x:v>0</x:v>
      </x:c>
      <x:c r="P16">
        <x:f t="shared" si="1"/>
        <x:v>0</x:v>
      </x:c>
      <x:c r="Q16">
        <x:f t="shared" si="2"/>
        <x:v>0</x:v>
      </x:c>
      <x:c r="R16">
        <x:f t="shared" si="3"/>
        <x:v>0</x:v>
      </x:c>
      <x:c r="S16">
        <x:f t="shared" si="4"/>
        <x:v>0</x:v>
      </x:c>
      <x:c r="T16" t="str">
        <x:f t="shared" si="5"/>
        <x:v>DerivedFromCount</x:v>
      </x:c>
      <x:c r="U16" t="str">
        <x:f>IF(COUNTIF(DailyProduction!$Q$5:$Q$100,B16)=1,"OK","CHECK")</x:f>
        <x:v>OK</x:v>
      </x:c>
      <x:c r="V16" t="str">
        <x:f t="shared" si="6"/>
        <x:v>OK</x:v>
      </x:c>
      <x:c r="W16" t="str">
        <x:f>IF(SUMIF($B$5:$B$914,B16,$S$5:$S$914)=SUMIF(DailyProduction!$Q$5:$Q$100,B16,DailyProduction!$R$5:$R$100),"OK","CHECK")</x:f>
        <x:v>OK</x:v>
      </x:c>
      <x:c r="X16" t="str">
        <x:v>PLC-PRD-JAR-330-L21</x:v>
      </x:c>
      <x:c r="Y16" t="str">
        <x:v>OK</x:v>
      </x:c>
      <x:c r="Z16" t="str">
        <x:v>OK</x:v>
      </x:c>
      <x:c r="AA16" t="n">
        <x:v>3</x:v>
      </x:c>
      <x:c r="AB16" t="n">
        <x:v>0</x:v>
      </x:c>
      <x:c r="AC16" t="str">
        <x:v>OK</x:v>
      </x:c>
      <x:c r="AD16" t="str">
        <x:v>OK</x:v>
      </x:c>
      <x:c r="AE16" t="str">
        <x:v>LOAD</x:v>
      </x:c>
      <x:c r="AF16" t="str">
        <x:v>02_Supervisor_Log(4).xlsx</x:v>
      </x:c>
      <x:c r="AG16" t="str">
        <x:v>ENH-20260830-01</x:v>
      </x:c>
      <x:c r="AH16" t="str">
        <x:v>Active</x:v>
      </x:c>
      <x:c r="AI16"/>
      <x:c r="AJ16"/>
      <x:c r="AK16"/>
      <x:c r="AL16"/>
    </x:row>
    <x:row r="17">
      <x:c r="A17" t="s">
        <x:v>215</x:v>
      </x:c>
      <x:c r="B17" t="s">
        <x:v>203</x:v>
      </x:c>
      <x:c r="C17" t="s">
        <x:v>44</x:v>
      </x:c>
      <x:c r="D17">
        <x:v>45950</x:v>
      </x:c>
      <x:c r="E17" t="s">
        <x:v>45</x:v>
      </x:c>
      <x:c r="F17" t="s">
        <x:v>55</x:v>
      </x:c>
      <x:c r="G17">
        <x:v>21</x:v>
      </x:c>
      <x:c r="H17" t="s">
        <x:v>47</x:v>
      </x:c>
      <x:c r="I17">
        <x:v>13</x:v>
      </x:c>
      <x:c r="J17">
        <x:v>10</x:v>
      </x:c>
      <x:c r="K17">
        <x:v>3</x:v>
      </x:c>
      <x:c r="L17">
        <x:f t="shared" si="0"/>
        <x:v>0</x:v>
      </x:c>
      <x:c r="P17">
        <x:f t="shared" si="1"/>
        <x:v>0</x:v>
      </x:c>
      <x:c r="Q17">
        <x:f t="shared" si="2"/>
        <x:v>0</x:v>
      </x:c>
      <x:c r="R17">
        <x:f t="shared" si="3"/>
        <x:v>0</x:v>
      </x:c>
      <x:c r="S17">
        <x:f t="shared" si="4"/>
        <x:v>0</x:v>
      </x:c>
      <x:c r="T17" t="str">
        <x:f t="shared" si="5"/>
        <x:v>DerivedFromCount</x:v>
      </x:c>
      <x:c r="U17" t="str">
        <x:f>IF(COUNTIF(DailyProduction!$Q$5:$Q$100,B17)=1,"OK","CHECK")</x:f>
        <x:v>OK</x:v>
      </x:c>
      <x:c r="V17" t="str">
        <x:f t="shared" si="6"/>
        <x:v>OK</x:v>
      </x:c>
      <x:c r="W17" t="str">
        <x:f>IF(SUMIF($B$5:$B$914,B17,$S$5:$S$914)=SUMIF(DailyProduction!$Q$5:$Q$100,B17,DailyProduction!$R$5:$R$100),"OK","CHECK")</x:f>
        <x:v>OK</x:v>
      </x:c>
      <x:c r="X17" t="str">
        <x:v>PLC-PRD-JAR-330-L21</x:v>
      </x:c>
      <x:c r="Y17" t="str">
        <x:v>OK</x:v>
      </x:c>
      <x:c r="Z17" t="str">
        <x:v>OK</x:v>
      </x:c>
      <x:c r="AA17" t="n">
        <x:v>3</x:v>
      </x:c>
      <x:c r="AB17" t="n">
        <x:v>0</x:v>
      </x:c>
      <x:c r="AC17" t="str">
        <x:v>OK</x:v>
      </x:c>
      <x:c r="AD17" t="str">
        <x:v>OK</x:v>
      </x:c>
      <x:c r="AE17" t="str">
        <x:v>LOAD</x:v>
      </x:c>
      <x:c r="AF17" t="str">
        <x:v>02_Supervisor_Log(4).xlsx</x:v>
      </x:c>
      <x:c r="AG17" t="str">
        <x:v>ENH-20260830-01</x:v>
      </x:c>
      <x:c r="AH17" t="str">
        <x:v>Active</x:v>
      </x:c>
      <x:c r="AI17"/>
      <x:c r="AJ17"/>
      <x:c r="AK17"/>
      <x:c r="AL17"/>
    </x:row>
    <x:row r="18">
      <x:c r="A18" t="s">
        <x:v>216</x:v>
      </x:c>
      <x:c r="B18" t="s">
        <x:v>217</x:v>
      </x:c>
      <x:c r="C18" t="s">
        <x:v>44</x:v>
      </x:c>
      <x:c r="D18">
        <x:v>45950</x:v>
      </x:c>
      <x:c r="E18" t="s">
        <x:v>187</x:v>
      </x:c>
      <x:c r="F18" t="s">
        <x:v>46</x:v>
      </x:c>
      <x:c r="G18">
        <x:v>21</x:v>
      </x:c>
      <x:c r="H18" t="s">
        <x:v>47</x:v>
      </x:c>
      <x:c r="I18">
        <x:v>1</x:v>
      </x:c>
      <x:c r="J18">
        <x:v>10</x:v>
      </x:c>
      <x:c r="K18">
        <x:v>3</x:v>
      </x:c>
      <x:c r="L18">
        <x:f t="shared" si="0"/>
        <x:v>1</x:v>
      </x:c>
      <x:c r="P18">
        <x:f t="shared" si="1"/>
        <x:v>1</x:v>
      </x:c>
      <x:c r="Q18">
        <x:f t="shared" si="2"/>
        <x:v>1</x:v>
      </x:c>
      <x:c r="R18">
        <x:f t="shared" si="3"/>
        <x:v>1</x:v>
      </x:c>
      <x:c r="S18">
        <x:f t="shared" si="4"/>
        <x:v>3</x:v>
      </x:c>
      <x:c r="T18" t="str">
        <x:f t="shared" si="5"/>
        <x:v>DerivedFromCount</x:v>
      </x:c>
      <x:c r="U18" t="str">
        <x:f>IF(COUNTIF(DailyProduction!$Q$5:$Q$100,B18)=1,"OK","CHECK")</x:f>
        <x:v>OK</x:v>
      </x:c>
      <x:c r="V18" t="str">
        <x:f t="shared" si="6"/>
        <x:v>OK</x:v>
      </x:c>
      <x:c r="W18" t="str">
        <x:f>IF(SUMIF($B$5:$B$914,B18,$S$5:$S$914)=SUMIF(DailyProduction!$Q$5:$Q$100,B18,DailyProduction!$R$5:$R$100),"OK","CHECK")</x:f>
        <x:v>OK</x:v>
      </x:c>
      <x:c r="X18" t="str">
        <x:v>PLC-PRD-JAR-330-L21</x:v>
      </x:c>
      <x:c r="Y18" t="str">
        <x:v>OK</x:v>
      </x:c>
      <x:c r="Z18" t="str">
        <x:v>OK</x:v>
      </x:c>
      <x:c r="AA18" t="n">
        <x:v>3</x:v>
      </x:c>
      <x:c r="AB18" t="n">
        <x:v>3</x:v>
      </x:c>
      <x:c r="AC18" t="str">
        <x:v>OK</x:v>
      </x:c>
      <x:c r="AD18" t="str">
        <x:v>OK</x:v>
      </x:c>
      <x:c r="AE18" t="str">
        <x:v>LOAD</x:v>
      </x:c>
      <x:c r="AF18" t="str">
        <x:v>02_Supervisor_Log(4).xlsx</x:v>
      </x:c>
      <x:c r="AG18" t="str">
        <x:v>ENH-20260830-01</x:v>
      </x:c>
      <x:c r="AH18" t="str">
        <x:v>Active</x:v>
      </x:c>
      <x:c r="AI18"/>
      <x:c r="AJ18"/>
      <x:c r="AK18"/>
      <x:c r="AL18"/>
    </x:row>
    <x:row r="19">
      <x:c r="A19" t="s">
        <x:v>218</x:v>
      </x:c>
      <x:c r="B19" t="s">
        <x:v>217</x:v>
      </x:c>
      <x:c r="C19" t="s">
        <x:v>44</x:v>
      </x:c>
      <x:c r="D19">
        <x:v>45950</x:v>
      </x:c>
      <x:c r="E19" t="s">
        <x:v>187</x:v>
      </x:c>
      <x:c r="F19" t="s">
        <x:v>46</x:v>
      </x:c>
      <x:c r="G19">
        <x:v>21</x:v>
      </x:c>
      <x:c r="H19" t="s">
        <x:v>47</x:v>
      </x:c>
      <x:c r="I19">
        <x:v>2</x:v>
      </x:c>
      <x:c r="J19">
        <x:v>10</x:v>
      </x:c>
      <x:c r="K19">
        <x:v>3</x:v>
      </x:c>
      <x:c r="L19">
        <x:f t="shared" si="0"/>
        <x:v>1</x:v>
      </x:c>
      <x:c r="P19">
        <x:f t="shared" si="1"/>
        <x:v>1</x:v>
      </x:c>
      <x:c r="Q19">
        <x:f t="shared" si="2"/>
        <x:v>1</x:v>
      </x:c>
      <x:c r="R19">
        <x:f t="shared" si="3"/>
        <x:v>1</x:v>
      </x:c>
      <x:c r="S19">
        <x:f t="shared" si="4"/>
        <x:v>3</x:v>
      </x:c>
      <x:c r="T19" t="str">
        <x:f t="shared" si="5"/>
        <x:v>DerivedFromCount</x:v>
      </x:c>
      <x:c r="U19" t="str">
        <x:f>IF(COUNTIF(DailyProduction!$Q$5:$Q$100,B19)=1,"OK","CHECK")</x:f>
        <x:v>OK</x:v>
      </x:c>
      <x:c r="V19" t="str">
        <x:f t="shared" si="6"/>
        <x:v>OK</x:v>
      </x:c>
      <x:c r="W19" t="str">
        <x:f>IF(SUMIF($B$5:$B$914,B19,$S$5:$S$914)=SUMIF(DailyProduction!$Q$5:$Q$100,B19,DailyProduction!$R$5:$R$100),"OK","CHECK")</x:f>
        <x:v>OK</x:v>
      </x:c>
      <x:c r="X19" t="str">
        <x:v>PLC-PRD-JAR-330-L21</x:v>
      </x:c>
      <x:c r="Y19" t="str">
        <x:v>OK</x:v>
      </x:c>
      <x:c r="Z19" t="str">
        <x:v>OK</x:v>
      </x:c>
      <x:c r="AA19" t="n">
        <x:v>3</x:v>
      </x:c>
      <x:c r="AB19" t="n">
        <x:v>3</x:v>
      </x:c>
      <x:c r="AC19" t="str">
        <x:v>OK</x:v>
      </x:c>
      <x:c r="AD19" t="str">
        <x:v>OK</x:v>
      </x:c>
      <x:c r="AE19" t="str">
        <x:v>LOAD</x:v>
      </x:c>
      <x:c r="AF19" t="str">
        <x:v>02_Supervisor_Log(4).xlsx</x:v>
      </x:c>
      <x:c r="AG19" t="str">
        <x:v>ENH-20260830-01</x:v>
      </x:c>
      <x:c r="AH19" t="str">
        <x:v>Active</x:v>
      </x:c>
      <x:c r="AI19"/>
      <x:c r="AJ19"/>
      <x:c r="AK19"/>
      <x:c r="AL19"/>
    </x:row>
    <x:row r="20">
      <x:c r="A20" t="s">
        <x:v>219</x:v>
      </x:c>
      <x:c r="B20" t="s">
        <x:v>217</x:v>
      </x:c>
      <x:c r="C20" t="s">
        <x:v>44</x:v>
      </x:c>
      <x:c r="D20">
        <x:v>45950</x:v>
      </x:c>
      <x:c r="E20" t="s">
        <x:v>187</x:v>
      </x:c>
      <x:c r="F20" t="s">
        <x:v>46</x:v>
      </x:c>
      <x:c r="G20">
        <x:v>21</x:v>
      </x:c>
      <x:c r="H20" t="s">
        <x:v>47</x:v>
      </x:c>
      <x:c r="I20">
        <x:v>3</x:v>
      </x:c>
      <x:c r="J20">
        <x:v>10</x:v>
      </x:c>
      <x:c r="K20">
        <x:v>3</x:v>
      </x:c>
      <x:c r="L20">
        <x:f t="shared" si="0"/>
        <x:v>1</x:v>
      </x:c>
      <x:c r="P20">
        <x:f t="shared" si="1"/>
        <x:v>1</x:v>
      </x:c>
      <x:c r="Q20">
        <x:f t="shared" si="2"/>
        <x:v>1</x:v>
      </x:c>
      <x:c r="R20">
        <x:f t="shared" si="3"/>
        <x:v>1</x:v>
      </x:c>
      <x:c r="S20">
        <x:f t="shared" si="4"/>
        <x:v>3</x:v>
      </x:c>
      <x:c r="T20" t="str">
        <x:f t="shared" si="5"/>
        <x:v>DerivedFromCount</x:v>
      </x:c>
      <x:c r="U20" t="str">
        <x:f>IF(COUNTIF(DailyProduction!$Q$5:$Q$100,B20)=1,"OK","CHECK")</x:f>
        <x:v>OK</x:v>
      </x:c>
      <x:c r="V20" t="str">
        <x:f t="shared" si="6"/>
        <x:v>OK</x:v>
      </x:c>
      <x:c r="W20" t="str">
        <x:f>IF(SUMIF($B$5:$B$914,B20,$S$5:$S$914)=SUMIF(DailyProduction!$Q$5:$Q$100,B20,DailyProduction!$R$5:$R$100),"OK","CHECK")</x:f>
        <x:v>OK</x:v>
      </x:c>
      <x:c r="X20" t="str">
        <x:v>PLC-PRD-JAR-330-L21</x:v>
      </x:c>
      <x:c r="Y20" t="str">
        <x:v>OK</x:v>
      </x:c>
      <x:c r="Z20" t="str">
        <x:v>OK</x:v>
      </x:c>
      <x:c r="AA20" t="n">
        <x:v>3</x:v>
      </x:c>
      <x:c r="AB20" t="n">
        <x:v>3</x:v>
      </x:c>
      <x:c r="AC20" t="str">
        <x:v>OK</x:v>
      </x:c>
      <x:c r="AD20" t="str">
        <x:v>OK</x:v>
      </x:c>
      <x:c r="AE20" t="str">
        <x:v>LOAD</x:v>
      </x:c>
      <x:c r="AF20" t="str">
        <x:v>02_Supervisor_Log(4).xlsx</x:v>
      </x:c>
      <x:c r="AG20" t="str">
        <x:v>ENH-20260830-01</x:v>
      </x:c>
      <x:c r="AH20" t="str">
        <x:v>Active</x:v>
      </x:c>
      <x:c r="AI20"/>
      <x:c r="AJ20"/>
      <x:c r="AK20"/>
      <x:c r="AL20"/>
    </x:row>
    <x:row r="21">
      <x:c r="A21" t="s">
        <x:v>220</x:v>
      </x:c>
      <x:c r="B21" t="s">
        <x:v>217</x:v>
      </x:c>
      <x:c r="C21" t="s">
        <x:v>44</x:v>
      </x:c>
      <x:c r="D21">
        <x:v>45950</x:v>
      </x:c>
      <x:c r="E21" t="s">
        <x:v>187</x:v>
      </x:c>
      <x:c r="F21" t="s">
        <x:v>46</x:v>
      </x:c>
      <x:c r="G21">
        <x:v>21</x:v>
      </x:c>
      <x:c r="H21" t="s">
        <x:v>47</x:v>
      </x:c>
      <x:c r="I21">
        <x:v>4</x:v>
      </x:c>
      <x:c r="J21">
        <x:v>10</x:v>
      </x:c>
      <x:c r="K21">
        <x:v>3</x:v>
      </x:c>
      <x:c r="L21">
        <x:f t="shared" si="0"/>
        <x:v>1</x:v>
      </x:c>
      <x:c r="P21">
        <x:f t="shared" si="1"/>
        <x:v>1</x:v>
      </x:c>
      <x:c r="Q21">
        <x:f t="shared" si="2"/>
        <x:v>1</x:v>
      </x:c>
      <x:c r="R21">
        <x:f t="shared" si="3"/>
        <x:v>1</x:v>
      </x:c>
      <x:c r="S21">
        <x:f t="shared" si="4"/>
        <x:v>3</x:v>
      </x:c>
      <x:c r="T21" t="str">
        <x:f t="shared" si="5"/>
        <x:v>DerivedFromCount</x:v>
      </x:c>
      <x:c r="U21" t="str">
        <x:f>IF(COUNTIF(DailyProduction!$Q$5:$Q$100,B21)=1,"OK","CHECK")</x:f>
        <x:v>OK</x:v>
      </x:c>
      <x:c r="V21" t="str">
        <x:f t="shared" si="6"/>
        <x:v>OK</x:v>
      </x:c>
      <x:c r="W21" t="str">
        <x:f>IF(SUMIF($B$5:$B$914,B21,$S$5:$S$914)=SUMIF(DailyProduction!$Q$5:$Q$100,B21,DailyProduction!$R$5:$R$100),"OK","CHECK")</x:f>
        <x:v>OK</x:v>
      </x:c>
      <x:c r="X21" t="str">
        <x:v>PLC-PRD-JAR-330-L21</x:v>
      </x:c>
      <x:c r="Y21" t="str">
        <x:v>OK</x:v>
      </x:c>
      <x:c r="Z21" t="str">
        <x:v>OK</x:v>
      </x:c>
      <x:c r="AA21" t="n">
        <x:v>3</x:v>
      </x:c>
      <x:c r="AB21" t="n">
        <x:v>3</x:v>
      </x:c>
      <x:c r="AC21" t="str">
        <x:v>OK</x:v>
      </x:c>
      <x:c r="AD21" t="str">
        <x:v>OK</x:v>
      </x:c>
      <x:c r="AE21" t="str">
        <x:v>LOAD</x:v>
      </x:c>
      <x:c r="AF21" t="str">
        <x:v>02_Supervisor_Log(4).xlsx</x:v>
      </x:c>
      <x:c r="AG21" t="str">
        <x:v>ENH-20260830-01</x:v>
      </x:c>
      <x:c r="AH21" t="str">
        <x:v>Active</x:v>
      </x:c>
      <x:c r="AI21"/>
      <x:c r="AJ21"/>
      <x:c r="AK21"/>
      <x:c r="AL21"/>
    </x:row>
    <x:row r="22">
      <x:c r="A22" t="s">
        <x:v>221</x:v>
      </x:c>
      <x:c r="B22" t="s">
        <x:v>217</x:v>
      </x:c>
      <x:c r="C22" t="s">
        <x:v>44</x:v>
      </x:c>
      <x:c r="D22">
        <x:v>45950</x:v>
      </x:c>
      <x:c r="E22" t="s">
        <x:v>187</x:v>
      </x:c>
      <x:c r="F22" t="s">
        <x:v>46</x:v>
      </x:c>
      <x:c r="G22">
        <x:v>21</x:v>
      </x:c>
      <x:c r="H22" t="s">
        <x:v>47</x:v>
      </x:c>
      <x:c r="I22">
        <x:v>5</x:v>
      </x:c>
      <x:c r="J22">
        <x:v>10</x:v>
      </x:c>
      <x:c r="K22">
        <x:v>3</x:v>
      </x:c>
      <x:c r="L22">
        <x:f t="shared" si="0"/>
        <x:v>1</x:v>
      </x:c>
      <x:c r="P22">
        <x:f t="shared" si="1"/>
        <x:v>1</x:v>
      </x:c>
      <x:c r="Q22">
        <x:f t="shared" si="2"/>
        <x:v>1</x:v>
      </x:c>
      <x:c r="R22">
        <x:f t="shared" si="3"/>
        <x:v>1</x:v>
      </x:c>
      <x:c r="S22">
        <x:f t="shared" si="4"/>
        <x:v>3</x:v>
      </x:c>
      <x:c r="T22" t="str">
        <x:f t="shared" si="5"/>
        <x:v>DerivedFromCount</x:v>
      </x:c>
      <x:c r="U22" t="str">
        <x:f>IF(COUNTIF(DailyProduction!$Q$5:$Q$100,B22)=1,"OK","CHECK")</x:f>
        <x:v>OK</x:v>
      </x:c>
      <x:c r="V22" t="str">
        <x:f t="shared" si="6"/>
        <x:v>OK</x:v>
      </x:c>
      <x:c r="W22" t="str">
        <x:f>IF(SUMIF($B$5:$B$914,B22,$S$5:$S$914)=SUMIF(DailyProduction!$Q$5:$Q$100,B22,DailyProduction!$R$5:$R$100),"OK","CHECK")</x:f>
        <x:v>OK</x:v>
      </x:c>
      <x:c r="X22" t="str">
        <x:v>PLC-PRD-JAR-330-L21</x:v>
      </x:c>
      <x:c r="Y22" t="str">
        <x:v>OK</x:v>
      </x:c>
      <x:c r="Z22" t="str">
        <x:v>OK</x:v>
      </x:c>
      <x:c r="AA22" t="n">
        <x:v>3</x:v>
      </x:c>
      <x:c r="AB22" t="n">
        <x:v>3</x:v>
      </x:c>
      <x:c r="AC22" t="str">
        <x:v>OK</x:v>
      </x:c>
      <x:c r="AD22" t="str">
        <x:v>OK</x:v>
      </x:c>
      <x:c r="AE22" t="str">
        <x:v>LOAD</x:v>
      </x:c>
      <x:c r="AF22" t="str">
        <x:v>02_Supervisor_Log(4).xlsx</x:v>
      </x:c>
      <x:c r="AG22" t="str">
        <x:v>ENH-20260830-01</x:v>
      </x:c>
      <x:c r="AH22" t="str">
        <x:v>Active</x:v>
      </x:c>
      <x:c r="AI22"/>
      <x:c r="AJ22"/>
      <x:c r="AK22"/>
      <x:c r="AL22"/>
    </x:row>
    <x:row r="23">
      <x:c r="A23" t="s">
        <x:v>222</x:v>
      </x:c>
      <x:c r="B23" t="s">
        <x:v>217</x:v>
      </x:c>
      <x:c r="C23" t="s">
        <x:v>44</x:v>
      </x:c>
      <x:c r="D23">
        <x:v>45950</x:v>
      </x:c>
      <x:c r="E23" t="s">
        <x:v>187</x:v>
      </x:c>
      <x:c r="F23" t="s">
        <x:v>46</x:v>
      </x:c>
      <x:c r="G23">
        <x:v>21</x:v>
      </x:c>
      <x:c r="H23" t="s">
        <x:v>47</x:v>
      </x:c>
      <x:c r="I23">
        <x:v>6</x:v>
      </x:c>
      <x:c r="J23">
        <x:v>10</x:v>
      </x:c>
      <x:c r="K23">
        <x:v>3</x:v>
      </x:c>
      <x:c r="L23">
        <x:f t="shared" si="0"/>
        <x:v>1</x:v>
      </x:c>
      <x:c r="P23">
        <x:f t="shared" si="1"/>
        <x:v>1</x:v>
      </x:c>
      <x:c r="Q23">
        <x:f t="shared" si="2"/>
        <x:v>1</x:v>
      </x:c>
      <x:c r="R23">
        <x:f t="shared" si="3"/>
        <x:v>1</x:v>
      </x:c>
      <x:c r="S23">
        <x:f t="shared" si="4"/>
        <x:v>3</x:v>
      </x:c>
      <x:c r="T23" t="str">
        <x:f t="shared" si="5"/>
        <x:v>DerivedFromCount</x:v>
      </x:c>
      <x:c r="U23" t="str">
        <x:f>IF(COUNTIF(DailyProduction!$Q$5:$Q$100,B23)=1,"OK","CHECK")</x:f>
        <x:v>OK</x:v>
      </x:c>
      <x:c r="V23" t="str">
        <x:f t="shared" si="6"/>
        <x:v>OK</x:v>
      </x:c>
      <x:c r="W23" t="str">
        <x:f>IF(SUMIF($B$5:$B$914,B23,$S$5:$S$914)=SUMIF(DailyProduction!$Q$5:$Q$100,B23,DailyProduction!$R$5:$R$100),"OK","CHECK")</x:f>
        <x:v>OK</x:v>
      </x:c>
      <x:c r="X23" t="str">
        <x:v>PLC-PRD-JAR-330-L21</x:v>
      </x:c>
      <x:c r="Y23" t="str">
        <x:v>OK</x:v>
      </x:c>
      <x:c r="Z23" t="str">
        <x:v>OK</x:v>
      </x:c>
      <x:c r="AA23" t="n">
        <x:v>3</x:v>
      </x:c>
      <x:c r="AB23" t="n">
        <x:v>3</x:v>
      </x:c>
      <x:c r="AC23" t="str">
        <x:v>OK</x:v>
      </x:c>
      <x:c r="AD23" t="str">
        <x:v>OK</x:v>
      </x:c>
      <x:c r="AE23" t="str">
        <x:v>LOAD</x:v>
      </x:c>
      <x:c r="AF23" t="str">
        <x:v>02_Supervisor_Log(4).xlsx</x:v>
      </x:c>
      <x:c r="AG23" t="str">
        <x:v>ENH-20260830-01</x:v>
      </x:c>
      <x:c r="AH23" t="str">
        <x:v>Active</x:v>
      </x:c>
      <x:c r="AI23"/>
      <x:c r="AJ23"/>
      <x:c r="AK23"/>
      <x:c r="AL23"/>
    </x:row>
    <x:row r="24">
      <x:c r="A24" t="s">
        <x:v>223</x:v>
      </x:c>
      <x:c r="B24" t="s">
        <x:v>217</x:v>
      </x:c>
      <x:c r="C24" t="s">
        <x:v>44</x:v>
      </x:c>
      <x:c r="D24">
        <x:v>45950</x:v>
      </x:c>
      <x:c r="E24" t="s">
        <x:v>187</x:v>
      </x:c>
      <x:c r="F24" t="s">
        <x:v>46</x:v>
      </x:c>
      <x:c r="G24">
        <x:v>21</x:v>
      </x:c>
      <x:c r="H24" t="s">
        <x:v>47</x:v>
      </x:c>
      <x:c r="I24">
        <x:v>7</x:v>
      </x:c>
      <x:c r="J24">
        <x:v>10</x:v>
      </x:c>
      <x:c r="K24">
        <x:v>3</x:v>
      </x:c>
      <x:c r="L24">
        <x:f t="shared" si="0"/>
        <x:v>1</x:v>
      </x:c>
      <x:c r="P24">
        <x:f t="shared" si="1"/>
        <x:v>1</x:v>
      </x:c>
      <x:c r="Q24">
        <x:f t="shared" si="2"/>
        <x:v>1</x:v>
      </x:c>
      <x:c r="R24">
        <x:f t="shared" si="3"/>
        <x:v>1</x:v>
      </x:c>
      <x:c r="S24">
        <x:f t="shared" si="4"/>
        <x:v>3</x:v>
      </x:c>
      <x:c r="T24" t="str">
        <x:f t="shared" si="5"/>
        <x:v>DerivedFromCount</x:v>
      </x:c>
      <x:c r="U24" t="str">
        <x:f>IF(COUNTIF(DailyProduction!$Q$5:$Q$100,B24)=1,"OK","CHECK")</x:f>
        <x:v>OK</x:v>
      </x:c>
      <x:c r="V24" t="str">
        <x:f t="shared" si="6"/>
        <x:v>OK</x:v>
      </x:c>
      <x:c r="W24" t="str">
        <x:f>IF(SUMIF($B$5:$B$914,B24,$S$5:$S$914)=SUMIF(DailyProduction!$Q$5:$Q$100,B24,DailyProduction!$R$5:$R$100),"OK","CHECK")</x:f>
        <x:v>OK</x:v>
      </x:c>
      <x:c r="X24" t="str">
        <x:v>PLC-PRD-JAR-330-L21</x:v>
      </x:c>
      <x:c r="Y24" t="str">
        <x:v>OK</x:v>
      </x:c>
      <x:c r="Z24" t="str">
        <x:v>OK</x:v>
      </x:c>
      <x:c r="AA24" t="n">
        <x:v>3</x:v>
      </x:c>
      <x:c r="AB24" t="n">
        <x:v>3</x:v>
      </x:c>
      <x:c r="AC24" t="str">
        <x:v>OK</x:v>
      </x:c>
      <x:c r="AD24" t="str">
        <x:v>OK</x:v>
      </x:c>
      <x:c r="AE24" t="str">
        <x:v>LOAD</x:v>
      </x:c>
      <x:c r="AF24" t="str">
        <x:v>02_Supervisor_Log(4).xlsx</x:v>
      </x:c>
      <x:c r="AG24" t="str">
        <x:v>ENH-20260830-01</x:v>
      </x:c>
      <x:c r="AH24" t="str">
        <x:v>Active</x:v>
      </x:c>
      <x:c r="AI24"/>
      <x:c r="AJ24"/>
      <x:c r="AK24"/>
      <x:c r="AL24"/>
    </x:row>
    <x:row r="25">
      <x:c r="A25" t="s">
        <x:v>224</x:v>
      </x:c>
      <x:c r="B25" t="s">
        <x:v>217</x:v>
      </x:c>
      <x:c r="C25" t="s">
        <x:v>44</x:v>
      </x:c>
      <x:c r="D25">
        <x:v>45950</x:v>
      </x:c>
      <x:c r="E25" t="s">
        <x:v>187</x:v>
      </x:c>
      <x:c r="F25" t="s">
        <x:v>46</x:v>
      </x:c>
      <x:c r="G25">
        <x:v>21</x:v>
      </x:c>
      <x:c r="H25" t="s">
        <x:v>47</x:v>
      </x:c>
      <x:c r="I25">
        <x:v>8</x:v>
      </x:c>
      <x:c r="J25">
        <x:v>10</x:v>
      </x:c>
      <x:c r="K25">
        <x:v>3</x:v>
      </x:c>
      <x:c r="L25">
        <x:f t="shared" si="0"/>
        <x:v>1</x:v>
      </x:c>
      <x:c r="P25">
        <x:f t="shared" si="1"/>
        <x:v>1</x:v>
      </x:c>
      <x:c r="Q25">
        <x:f t="shared" si="2"/>
        <x:v>1</x:v>
      </x:c>
      <x:c r="R25">
        <x:f t="shared" si="3"/>
        <x:v>1</x:v>
      </x:c>
      <x:c r="S25">
        <x:f t="shared" si="4"/>
        <x:v>3</x:v>
      </x:c>
      <x:c r="T25" t="str">
        <x:f t="shared" si="5"/>
        <x:v>DerivedFromCount</x:v>
      </x:c>
      <x:c r="U25" t="str">
        <x:f>IF(COUNTIF(DailyProduction!$Q$5:$Q$100,B25)=1,"OK","CHECK")</x:f>
        <x:v>OK</x:v>
      </x:c>
      <x:c r="V25" t="str">
        <x:f t="shared" si="6"/>
        <x:v>OK</x:v>
      </x:c>
      <x:c r="W25" t="str">
        <x:f>IF(SUMIF($B$5:$B$914,B25,$S$5:$S$914)=SUMIF(DailyProduction!$Q$5:$Q$100,B25,DailyProduction!$R$5:$R$100),"OK","CHECK")</x:f>
        <x:v>OK</x:v>
      </x:c>
      <x:c r="X25" t="str">
        <x:v>PLC-PRD-JAR-330-L21</x:v>
      </x:c>
      <x:c r="Y25" t="str">
        <x:v>OK</x:v>
      </x:c>
      <x:c r="Z25" t="str">
        <x:v>OK</x:v>
      </x:c>
      <x:c r="AA25" t="n">
        <x:v>3</x:v>
      </x:c>
      <x:c r="AB25" t="n">
        <x:v>3</x:v>
      </x:c>
      <x:c r="AC25" t="str">
        <x:v>OK</x:v>
      </x:c>
      <x:c r="AD25" t="str">
        <x:v>OK</x:v>
      </x:c>
      <x:c r="AE25" t="str">
        <x:v>LOAD</x:v>
      </x:c>
      <x:c r="AF25" t="str">
        <x:v>02_Supervisor_Log(4).xlsx</x:v>
      </x:c>
      <x:c r="AG25" t="str">
        <x:v>ENH-20260830-01</x:v>
      </x:c>
      <x:c r="AH25" t="str">
        <x:v>Active</x:v>
      </x:c>
      <x:c r="AI25"/>
      <x:c r="AJ25"/>
      <x:c r="AK25"/>
      <x:c r="AL25"/>
    </x:row>
    <x:row r="26">
      <x:c r="A26" t="s">
        <x:v>225</x:v>
      </x:c>
      <x:c r="B26" t="s">
        <x:v>217</x:v>
      </x:c>
      <x:c r="C26" t="s">
        <x:v>44</x:v>
      </x:c>
      <x:c r="D26">
        <x:v>45950</x:v>
      </x:c>
      <x:c r="E26" t="s">
        <x:v>187</x:v>
      </x:c>
      <x:c r="F26" t="s">
        <x:v>46</x:v>
      </x:c>
      <x:c r="G26">
        <x:v>21</x:v>
      </x:c>
      <x:c r="H26" t="s">
        <x:v>47</x:v>
      </x:c>
      <x:c r="I26">
        <x:v>9</x:v>
      </x:c>
      <x:c r="J26">
        <x:v>10</x:v>
      </x:c>
      <x:c r="K26">
        <x:v>3</x:v>
      </x:c>
      <x:c r="L26">
        <x:f t="shared" si="0"/>
        <x:v>1</x:v>
      </x:c>
      <x:c r="P26">
        <x:f t="shared" si="1"/>
        <x:v>1</x:v>
      </x:c>
      <x:c r="Q26">
        <x:f t="shared" si="2"/>
        <x:v>1</x:v>
      </x:c>
      <x:c r="R26">
        <x:f t="shared" si="3"/>
        <x:v>1</x:v>
      </x:c>
      <x:c r="S26">
        <x:f t="shared" si="4"/>
        <x:v>3</x:v>
      </x:c>
      <x:c r="T26" t="str">
        <x:f t="shared" si="5"/>
        <x:v>DerivedFromCount</x:v>
      </x:c>
      <x:c r="U26" t="str">
        <x:f>IF(COUNTIF(DailyProduction!$Q$5:$Q$100,B26)=1,"OK","CHECK")</x:f>
        <x:v>OK</x:v>
      </x:c>
      <x:c r="V26" t="str">
        <x:f t="shared" si="6"/>
        <x:v>OK</x:v>
      </x:c>
      <x:c r="W26" t="str">
        <x:f>IF(SUMIF($B$5:$B$914,B26,$S$5:$S$914)=SUMIF(DailyProduction!$Q$5:$Q$100,B26,DailyProduction!$R$5:$R$100),"OK","CHECK")</x:f>
        <x:v>OK</x:v>
      </x:c>
      <x:c r="X26" t="str">
        <x:v>PLC-PRD-JAR-330-L21</x:v>
      </x:c>
      <x:c r="Y26" t="str">
        <x:v>OK</x:v>
      </x:c>
      <x:c r="Z26" t="str">
        <x:v>OK</x:v>
      </x:c>
      <x:c r="AA26" t="n">
        <x:v>3</x:v>
      </x:c>
      <x:c r="AB26" t="n">
        <x:v>3</x:v>
      </x:c>
      <x:c r="AC26" t="str">
        <x:v>OK</x:v>
      </x:c>
      <x:c r="AD26" t="str">
        <x:v>OK</x:v>
      </x:c>
      <x:c r="AE26" t="str">
        <x:v>LOAD</x:v>
      </x:c>
      <x:c r="AF26" t="str">
        <x:v>02_Supervisor_Log(4).xlsx</x:v>
      </x:c>
      <x:c r="AG26" t="str">
        <x:v>ENH-20260830-01</x:v>
      </x:c>
      <x:c r="AH26" t="str">
        <x:v>Active</x:v>
      </x:c>
      <x:c r="AI26"/>
      <x:c r="AJ26"/>
      <x:c r="AK26"/>
      <x:c r="AL26"/>
    </x:row>
    <x:row r="27">
      <x:c r="A27" t="s">
        <x:v>226</x:v>
      </x:c>
      <x:c r="B27" t="s">
        <x:v>217</x:v>
      </x:c>
      <x:c r="C27" t="s">
        <x:v>44</x:v>
      </x:c>
      <x:c r="D27">
        <x:v>45950</x:v>
      </x:c>
      <x:c r="E27" t="s">
        <x:v>187</x:v>
      </x:c>
      <x:c r="F27" t="s">
        <x:v>46</x:v>
      </x:c>
      <x:c r="G27">
        <x:v>21</x:v>
      </x:c>
      <x:c r="H27" t="s">
        <x:v>47</x:v>
      </x:c>
      <x:c r="I27">
        <x:v>10</x:v>
      </x:c>
      <x:c r="J27">
        <x:v>10</x:v>
      </x:c>
      <x:c r="K27">
        <x:v>3</x:v>
      </x:c>
      <x:c r="L27">
        <x:f t="shared" si="0"/>
        <x:v>1</x:v>
      </x:c>
      <x:c r="P27">
        <x:f t="shared" si="1"/>
        <x:v>1</x:v>
      </x:c>
      <x:c r="Q27">
        <x:f t="shared" si="2"/>
        <x:v>1</x:v>
      </x:c>
      <x:c r="R27">
        <x:f t="shared" si="3"/>
        <x:v>1</x:v>
      </x:c>
      <x:c r="S27">
        <x:f t="shared" si="4"/>
        <x:v>3</x:v>
      </x:c>
      <x:c r="T27" t="str">
        <x:f t="shared" si="5"/>
        <x:v>DerivedFromCount</x:v>
      </x:c>
      <x:c r="U27" t="str">
        <x:f>IF(COUNTIF(DailyProduction!$Q$5:$Q$100,B27)=1,"OK","CHECK")</x:f>
        <x:v>OK</x:v>
      </x:c>
      <x:c r="V27" t="str">
        <x:f t="shared" si="6"/>
        <x:v>OK</x:v>
      </x:c>
      <x:c r="W27" t="str">
        <x:f>IF(SUMIF($B$5:$B$914,B27,$S$5:$S$914)=SUMIF(DailyProduction!$Q$5:$Q$100,B27,DailyProduction!$R$5:$R$100),"OK","CHECK")</x:f>
        <x:v>OK</x:v>
      </x:c>
      <x:c r="X27" t="str">
        <x:v>PLC-PRD-JAR-330-L21</x:v>
      </x:c>
      <x:c r="Y27" t="str">
        <x:v>OK</x:v>
      </x:c>
      <x:c r="Z27" t="str">
        <x:v>OK</x:v>
      </x:c>
      <x:c r="AA27" t="n">
        <x:v>3</x:v>
      </x:c>
      <x:c r="AB27" t="n">
        <x:v>3</x:v>
      </x:c>
      <x:c r="AC27" t="str">
        <x:v>OK</x:v>
      </x:c>
      <x:c r="AD27" t="str">
        <x:v>OK</x:v>
      </x:c>
      <x:c r="AE27" t="str">
        <x:v>LOAD</x:v>
      </x:c>
      <x:c r="AF27" t="str">
        <x:v>02_Supervisor_Log(4).xlsx</x:v>
      </x:c>
      <x:c r="AG27" t="str">
        <x:v>ENH-20260830-01</x:v>
      </x:c>
      <x:c r="AH27" t="str">
        <x:v>Active</x:v>
      </x:c>
      <x:c r="AI27"/>
      <x:c r="AJ27"/>
      <x:c r="AK27"/>
      <x:c r="AL27"/>
    </x:row>
    <x:row r="28">
      <x:c r="A28" t="s">
        <x:v>227</x:v>
      </x:c>
      <x:c r="B28" t="s">
        <x:v>217</x:v>
      </x:c>
      <x:c r="C28" t="s">
        <x:v>44</x:v>
      </x:c>
      <x:c r="D28">
        <x:v>45950</x:v>
      </x:c>
      <x:c r="E28" t="s">
        <x:v>187</x:v>
      </x:c>
      <x:c r="F28" t="s">
        <x:v>46</x:v>
      </x:c>
      <x:c r="G28">
        <x:v>21</x:v>
      </x:c>
      <x:c r="H28" t="s">
        <x:v>47</x:v>
      </x:c>
      <x:c r="I28">
        <x:v>11</x:v>
      </x:c>
      <x:c r="J28">
        <x:v>10</x:v>
      </x:c>
      <x:c r="K28">
        <x:v>3</x:v>
      </x:c>
      <x:c r="L28">
        <x:f t="shared" si="0"/>
        <x:v>0</x:v>
      </x:c>
      <x:c r="P28">
        <x:f t="shared" si="1"/>
        <x:v>0</x:v>
      </x:c>
      <x:c r="Q28">
        <x:f t="shared" si="2"/>
        <x:v>0</x:v>
      </x:c>
      <x:c r="R28">
        <x:f t="shared" si="3"/>
        <x:v>0</x:v>
      </x:c>
      <x:c r="S28">
        <x:f t="shared" si="4"/>
        <x:v>0</x:v>
      </x:c>
      <x:c r="T28" t="str">
        <x:f t="shared" si="5"/>
        <x:v>DerivedFromCount</x:v>
      </x:c>
      <x:c r="U28" t="str">
        <x:f>IF(COUNTIF(DailyProduction!$Q$5:$Q$100,B28)=1,"OK","CHECK")</x:f>
        <x:v>OK</x:v>
      </x:c>
      <x:c r="V28" t="str">
        <x:f t="shared" si="6"/>
        <x:v>OK</x:v>
      </x:c>
      <x:c r="W28" t="str">
        <x:f>IF(SUMIF($B$5:$B$914,B28,$S$5:$S$914)=SUMIF(DailyProduction!$Q$5:$Q$100,B28,DailyProduction!$R$5:$R$100),"OK","CHECK")</x:f>
        <x:v>OK</x:v>
      </x:c>
      <x:c r="X28" t="str">
        <x:v>PLC-PRD-JAR-330-L21</x:v>
      </x:c>
      <x:c r="Y28" t="str">
        <x:v>OK</x:v>
      </x:c>
      <x:c r="Z28" t="str">
        <x:v>OK</x:v>
      </x:c>
      <x:c r="AA28" t="n">
        <x:v>3</x:v>
      </x:c>
      <x:c r="AB28" t="n">
        <x:v>0</x:v>
      </x:c>
      <x:c r="AC28" t="str">
        <x:v>OK</x:v>
      </x:c>
      <x:c r="AD28" t="str">
        <x:v>OK</x:v>
      </x:c>
      <x:c r="AE28" t="str">
        <x:v>LOAD</x:v>
      </x:c>
      <x:c r="AF28" t="str">
        <x:v>02_Supervisor_Log(4).xlsx</x:v>
      </x:c>
      <x:c r="AG28" t="str">
        <x:v>ENH-20260830-01</x:v>
      </x:c>
      <x:c r="AH28" t="str">
        <x:v>Active</x:v>
      </x:c>
      <x:c r="AI28"/>
      <x:c r="AJ28"/>
      <x:c r="AK28"/>
      <x:c r="AL28"/>
    </x:row>
    <x:row r="29">
      <x:c r="A29" t="s">
        <x:v>228</x:v>
      </x:c>
      <x:c r="B29" t="s">
        <x:v>217</x:v>
      </x:c>
      <x:c r="C29" t="s">
        <x:v>44</x:v>
      </x:c>
      <x:c r="D29">
        <x:v>45950</x:v>
      </x:c>
      <x:c r="E29" t="s">
        <x:v>187</x:v>
      </x:c>
      <x:c r="F29" t="s">
        <x:v>46</x:v>
      </x:c>
      <x:c r="G29">
        <x:v>21</x:v>
      </x:c>
      <x:c r="H29" t="s">
        <x:v>47</x:v>
      </x:c>
      <x:c r="I29">
        <x:v>12</x:v>
      </x:c>
      <x:c r="J29">
        <x:v>10</x:v>
      </x:c>
      <x:c r="K29">
        <x:v>3</x:v>
      </x:c>
      <x:c r="L29">
        <x:f t="shared" si="0"/>
        <x:v>0</x:v>
      </x:c>
      <x:c r="P29">
        <x:f t="shared" si="1"/>
        <x:v>0</x:v>
      </x:c>
      <x:c r="Q29">
        <x:f t="shared" si="2"/>
        <x:v>0</x:v>
      </x:c>
      <x:c r="R29">
        <x:f t="shared" si="3"/>
        <x:v>0</x:v>
      </x:c>
      <x:c r="S29">
        <x:f t="shared" si="4"/>
        <x:v>0</x:v>
      </x:c>
      <x:c r="T29" t="str">
        <x:f t="shared" si="5"/>
        <x:v>DerivedFromCount</x:v>
      </x:c>
      <x:c r="U29" t="str">
        <x:f>IF(COUNTIF(DailyProduction!$Q$5:$Q$100,B29)=1,"OK","CHECK")</x:f>
        <x:v>OK</x:v>
      </x:c>
      <x:c r="V29" t="str">
        <x:f t="shared" si="6"/>
        <x:v>OK</x:v>
      </x:c>
      <x:c r="W29" t="str">
        <x:f>IF(SUMIF($B$5:$B$914,B29,$S$5:$S$914)=SUMIF(DailyProduction!$Q$5:$Q$100,B29,DailyProduction!$R$5:$R$100),"OK","CHECK")</x:f>
        <x:v>OK</x:v>
      </x:c>
      <x:c r="X29" t="str">
        <x:v>PLC-PRD-JAR-330-L21</x:v>
      </x:c>
      <x:c r="Y29" t="str">
        <x:v>OK</x:v>
      </x:c>
      <x:c r="Z29" t="str">
        <x:v>OK</x:v>
      </x:c>
      <x:c r="AA29" t="n">
        <x:v>3</x:v>
      </x:c>
      <x:c r="AB29" t="n">
        <x:v>0</x:v>
      </x:c>
      <x:c r="AC29" t="str">
        <x:v>OK</x:v>
      </x:c>
      <x:c r="AD29" t="str">
        <x:v>OK</x:v>
      </x:c>
      <x:c r="AE29" t="str">
        <x:v>LOAD</x:v>
      </x:c>
      <x:c r="AF29" t="str">
        <x:v>02_Supervisor_Log(4).xlsx</x:v>
      </x:c>
      <x:c r="AG29" t="str">
        <x:v>ENH-20260830-01</x:v>
      </x:c>
      <x:c r="AH29" t="str">
        <x:v>Active</x:v>
      </x:c>
      <x:c r="AI29"/>
      <x:c r="AJ29"/>
      <x:c r="AK29"/>
      <x:c r="AL29"/>
    </x:row>
    <x:row r="30">
      <x:c r="A30" t="s">
        <x:v>229</x:v>
      </x:c>
      <x:c r="B30" t="s">
        <x:v>217</x:v>
      </x:c>
      <x:c r="C30" t="s">
        <x:v>44</x:v>
      </x:c>
      <x:c r="D30">
        <x:v>45950</x:v>
      </x:c>
      <x:c r="E30" t="s">
        <x:v>187</x:v>
      </x:c>
      <x:c r="F30" t="s">
        <x:v>46</x:v>
      </x:c>
      <x:c r="G30">
        <x:v>21</x:v>
      </x:c>
      <x:c r="H30" t="s">
        <x:v>47</x:v>
      </x:c>
      <x:c r="I30">
        <x:v>13</x:v>
      </x:c>
      <x:c r="J30">
        <x:v>10</x:v>
      </x:c>
      <x:c r="K30">
        <x:v>3</x:v>
      </x:c>
      <x:c r="L30">
        <x:f t="shared" si="0"/>
        <x:v>0</x:v>
      </x:c>
      <x:c r="P30">
        <x:f t="shared" si="1"/>
        <x:v>0</x:v>
      </x:c>
      <x:c r="Q30">
        <x:f t="shared" si="2"/>
        <x:v>0</x:v>
      </x:c>
      <x:c r="R30">
        <x:f t="shared" si="3"/>
        <x:v>0</x:v>
      </x:c>
      <x:c r="S30">
        <x:f t="shared" si="4"/>
        <x:v>0</x:v>
      </x:c>
      <x:c r="T30" t="str">
        <x:f t="shared" si="5"/>
        <x:v>DerivedFromCount</x:v>
      </x:c>
      <x:c r="U30" t="str">
        <x:f>IF(COUNTIF(DailyProduction!$Q$5:$Q$100,B30)=1,"OK","CHECK")</x:f>
        <x:v>OK</x:v>
      </x:c>
      <x:c r="V30" t="str">
        <x:f t="shared" si="6"/>
        <x:v>OK</x:v>
      </x:c>
      <x:c r="W30" t="str">
        <x:f>IF(SUMIF($B$5:$B$914,B30,$S$5:$S$914)=SUMIF(DailyProduction!$Q$5:$Q$100,B30,DailyProduction!$R$5:$R$100),"OK","CHECK")</x:f>
        <x:v>OK</x:v>
      </x:c>
      <x:c r="X30" t="str">
        <x:v>PLC-PRD-JAR-330-L21</x:v>
      </x:c>
      <x:c r="Y30" t="str">
        <x:v>OK</x:v>
      </x:c>
      <x:c r="Z30" t="str">
        <x:v>OK</x:v>
      </x:c>
      <x:c r="AA30" t="n">
        <x:v>3</x:v>
      </x:c>
      <x:c r="AB30" t="n">
        <x:v>0</x:v>
      </x:c>
      <x:c r="AC30" t="str">
        <x:v>OK</x:v>
      </x:c>
      <x:c r="AD30" t="str">
        <x:v>OK</x:v>
      </x:c>
      <x:c r="AE30" t="str">
        <x:v>LOAD</x:v>
      </x:c>
      <x:c r="AF30" t="str">
        <x:v>02_Supervisor_Log(4).xlsx</x:v>
      </x:c>
      <x:c r="AG30" t="str">
        <x:v>ENH-20260830-01</x:v>
      </x:c>
      <x:c r="AH30" t="str">
        <x:v>Active</x:v>
      </x:c>
      <x:c r="AI30"/>
      <x:c r="AJ30"/>
      <x:c r="AK30"/>
      <x:c r="AL30"/>
    </x:row>
    <x:row r="31">
      <x:c r="A31" t="s">
        <x:v>230</x:v>
      </x:c>
      <x:c r="B31" t="s">
        <x:v>103</x:v>
      </x:c>
      <x:c r="C31" t="s">
        <x:v>44</x:v>
      </x:c>
      <x:c r="D31">
        <x:v>45951</x:v>
      </x:c>
      <x:c r="E31" t="s">
        <x:v>45</x:v>
      </x:c>
      <x:c r="F31" t="s">
        <x:v>46</x:v>
      </x:c>
      <x:c r="G31">
        <x:v>21</x:v>
      </x:c>
      <x:c r="H31" t="s">
        <x:v>48</x:v>
      </x:c>
      <x:c r="I31">
        <x:v>1</x:v>
      </x:c>
      <x:c r="J31">
        <x:v>10</x:v>
      </x:c>
      <x:c r="K31">
        <x:v>2</x:v>
      </x:c>
      <x:c r="L31">
        <x:f t="shared" si="0"/>
        <x:v>1</x:v>
      </x:c>
      <x:c r="P31">
        <x:f t="shared" si="1"/>
        <x:v>1</x:v>
      </x:c>
      <x:c r="Q31">
        <x:f t="shared" si="2"/>
        <x:v>1</x:v>
      </x:c>
      <x:c r="R31">
        <x:f t="shared" si="3"/>
        <x:v>0</x:v>
      </x:c>
      <x:c r="S31">
        <x:f t="shared" si="4"/>
        <x:v>2</x:v>
      </x:c>
      <x:c r="T31" t="str">
        <x:f t="shared" si="5"/>
        <x:v>DerivedFromCount</x:v>
      </x:c>
      <x:c r="U31" t="str">
        <x:f>IF(COUNTIF(DailyProduction!$Q$5:$Q$100,B31)=1,"OK","CHECK")</x:f>
        <x:v>OK</x:v>
      </x:c>
      <x:c r="V31" t="str">
        <x:f t="shared" si="6"/>
        <x:v>OK</x:v>
      </x:c>
      <x:c r="W31" t="str">
        <x:f>IF(SUMIF($B$5:$B$914,B31,$S$5:$S$914)=SUMIF(DailyProduction!$Q$5:$Q$100,B31,DailyProduction!$R$5:$R$100),"OK","CHECK")</x:f>
        <x:v>OK</x:v>
      </x:c>
      <x:c r="X31" t="str">
        <x:v>PLC-PRD-JAR-720-L21</x:v>
      </x:c>
      <x:c r="Y31" t="str">
        <x:v>OK</x:v>
      </x:c>
      <x:c r="Z31" t="str">
        <x:v>OK</x:v>
      </x:c>
      <x:c r="AA31" t="n">
        <x:v>3</x:v>
      </x:c>
      <x:c r="AB31" t="n">
        <x:v>2</x:v>
      </x:c>
      <x:c r="AC31" t="str">
        <x:v>OK</x:v>
      </x:c>
      <x:c r="AD31" t="str">
        <x:v>OK</x:v>
      </x:c>
      <x:c r="AE31" t="str">
        <x:v>LOAD</x:v>
      </x:c>
      <x:c r="AF31" t="str">
        <x:v>02_Supervisor_Log(4).xlsx</x:v>
      </x:c>
      <x:c r="AG31" t="str">
        <x:v>ENH-20260830-01</x:v>
      </x:c>
      <x:c r="AH31" t="str">
        <x:v>Active</x:v>
      </x:c>
      <x:c r="AI31"/>
      <x:c r="AJ31"/>
      <x:c r="AK31"/>
      <x:c r="AL31"/>
    </x:row>
    <x:row r="32">
      <x:c r="A32" t="s">
        <x:v>231</x:v>
      </x:c>
      <x:c r="B32" t="s">
        <x:v>103</x:v>
      </x:c>
      <x:c r="C32" t="s">
        <x:v>44</x:v>
      </x:c>
      <x:c r="D32">
        <x:v>45951</x:v>
      </x:c>
      <x:c r="E32" t="s">
        <x:v>45</x:v>
      </x:c>
      <x:c r="F32" t="s">
        <x:v>46</x:v>
      </x:c>
      <x:c r="G32">
        <x:v>21</x:v>
      </x:c>
      <x:c r="H32" t="s">
        <x:v>48</x:v>
      </x:c>
      <x:c r="I32">
        <x:v>2</x:v>
      </x:c>
      <x:c r="J32">
        <x:v>10</x:v>
      </x:c>
      <x:c r="K32">
        <x:v>2</x:v>
      </x:c>
      <x:c r="L32">
        <x:f t="shared" si="0"/>
        <x:v>1</x:v>
      </x:c>
      <x:c r="P32">
        <x:f t="shared" si="1"/>
        <x:v>1</x:v>
      </x:c>
      <x:c r="Q32">
        <x:f t="shared" si="2"/>
        <x:v>1</x:v>
      </x:c>
      <x:c r="R32">
        <x:f t="shared" si="3"/>
        <x:v>0</x:v>
      </x:c>
      <x:c r="S32">
        <x:f t="shared" si="4"/>
        <x:v>2</x:v>
      </x:c>
      <x:c r="T32" t="str">
        <x:f t="shared" si="5"/>
        <x:v>DerivedFromCount</x:v>
      </x:c>
      <x:c r="U32" t="str">
        <x:f>IF(COUNTIF(DailyProduction!$Q$5:$Q$100,B32)=1,"OK","CHECK")</x:f>
        <x:v>OK</x:v>
      </x:c>
      <x:c r="V32" t="str">
        <x:f t="shared" si="6"/>
        <x:v>OK</x:v>
      </x:c>
      <x:c r="W32" t="str">
        <x:f>IF(SUMIF($B$5:$B$914,B32,$S$5:$S$914)=SUMIF(DailyProduction!$Q$5:$Q$100,B32,DailyProduction!$R$5:$R$100),"OK","CHECK")</x:f>
        <x:v>OK</x:v>
      </x:c>
      <x:c r="X32" t="str">
        <x:v>PLC-PRD-JAR-720-L21</x:v>
      </x:c>
      <x:c r="Y32" t="str">
        <x:v>OK</x:v>
      </x:c>
      <x:c r="Z32" t="str">
        <x:v>OK</x:v>
      </x:c>
      <x:c r="AA32" t="n">
        <x:v>3</x:v>
      </x:c>
      <x:c r="AB32" t="n">
        <x:v>2</x:v>
      </x:c>
      <x:c r="AC32" t="str">
        <x:v>OK</x:v>
      </x:c>
      <x:c r="AD32" t="str">
        <x:v>OK</x:v>
      </x:c>
      <x:c r="AE32" t="str">
        <x:v>LOAD</x:v>
      </x:c>
      <x:c r="AF32" t="str">
        <x:v>02_Supervisor_Log(4).xlsx</x:v>
      </x:c>
      <x:c r="AG32" t="str">
        <x:v>ENH-20260830-01</x:v>
      </x:c>
      <x:c r="AH32" t="str">
        <x:v>Active</x:v>
      </x:c>
      <x:c r="AI32"/>
      <x:c r="AJ32"/>
      <x:c r="AK32"/>
      <x:c r="AL32"/>
    </x:row>
    <x:row r="33">
      <x:c r="A33" t="s">
        <x:v>232</x:v>
      </x:c>
      <x:c r="B33" t="s">
        <x:v>103</x:v>
      </x:c>
      <x:c r="C33" t="s">
        <x:v>44</x:v>
      </x:c>
      <x:c r="D33">
        <x:v>45951</x:v>
      </x:c>
      <x:c r="E33" t="s">
        <x:v>45</x:v>
      </x:c>
      <x:c r="F33" t="s">
        <x:v>46</x:v>
      </x:c>
      <x:c r="G33">
        <x:v>21</x:v>
      </x:c>
      <x:c r="H33" t="s">
        <x:v>48</x:v>
      </x:c>
      <x:c r="I33">
        <x:v>3</x:v>
      </x:c>
      <x:c r="J33">
        <x:v>10</x:v>
      </x:c>
      <x:c r="K33">
        <x:v>2</x:v>
      </x:c>
      <x:c r="L33">
        <x:f t="shared" si="0"/>
        <x:v>1</x:v>
      </x:c>
      <x:c r="P33">
        <x:f t="shared" si="1"/>
        <x:v>1</x:v>
      </x:c>
      <x:c r="Q33">
        <x:f t="shared" si="2"/>
        <x:v>1</x:v>
      </x:c>
      <x:c r="R33">
        <x:f t="shared" si="3"/>
        <x:v>0</x:v>
      </x:c>
      <x:c r="S33">
        <x:f t="shared" si="4"/>
        <x:v>2</x:v>
      </x:c>
      <x:c r="T33" t="str">
        <x:f t="shared" si="5"/>
        <x:v>DerivedFromCount</x:v>
      </x:c>
      <x:c r="U33" t="str">
        <x:f>IF(COUNTIF(DailyProduction!$Q$5:$Q$100,B33)=1,"OK","CHECK")</x:f>
        <x:v>OK</x:v>
      </x:c>
      <x:c r="V33" t="str">
        <x:f t="shared" si="6"/>
        <x:v>OK</x:v>
      </x:c>
      <x:c r="W33" t="str">
        <x:f>IF(SUMIF($B$5:$B$914,B33,$S$5:$S$914)=SUMIF(DailyProduction!$Q$5:$Q$100,B33,DailyProduction!$R$5:$R$100),"OK","CHECK")</x:f>
        <x:v>OK</x:v>
      </x:c>
      <x:c r="X33" t="str">
        <x:v>PLC-PRD-JAR-720-L21</x:v>
      </x:c>
      <x:c r="Y33" t="str">
        <x:v>OK</x:v>
      </x:c>
      <x:c r="Z33" t="str">
        <x:v>OK</x:v>
      </x:c>
      <x:c r="AA33" t="n">
        <x:v>3</x:v>
      </x:c>
      <x:c r="AB33" t="n">
        <x:v>2</x:v>
      </x:c>
      <x:c r="AC33" t="str">
        <x:v>OK</x:v>
      </x:c>
      <x:c r="AD33" t="str">
        <x:v>OK</x:v>
      </x:c>
      <x:c r="AE33" t="str">
        <x:v>LOAD</x:v>
      </x:c>
      <x:c r="AF33" t="str">
        <x:v>02_Supervisor_Log(4).xlsx</x:v>
      </x:c>
      <x:c r="AG33" t="str">
        <x:v>ENH-20260830-01</x:v>
      </x:c>
      <x:c r="AH33" t="str">
        <x:v>Active</x:v>
      </x:c>
      <x:c r="AI33"/>
      <x:c r="AJ33"/>
      <x:c r="AK33"/>
      <x:c r="AL33"/>
    </x:row>
    <x:row r="34">
      <x:c r="A34" t="s">
        <x:v>233</x:v>
      </x:c>
      <x:c r="B34" t="s">
        <x:v>103</x:v>
      </x:c>
      <x:c r="C34" t="s">
        <x:v>44</x:v>
      </x:c>
      <x:c r="D34">
        <x:v>45951</x:v>
      </x:c>
      <x:c r="E34" t="s">
        <x:v>45</x:v>
      </x:c>
      <x:c r="F34" t="s">
        <x:v>46</x:v>
      </x:c>
      <x:c r="G34">
        <x:v>21</x:v>
      </x:c>
      <x:c r="H34" t="s">
        <x:v>48</x:v>
      </x:c>
      <x:c r="I34">
        <x:v>4</x:v>
      </x:c>
      <x:c r="J34">
        <x:v>10</x:v>
      </x:c>
      <x:c r="K34">
        <x:v>2</x:v>
      </x:c>
      <x:c r="L34">
        <x:f t="shared" si="0"/>
        <x:v>1</x:v>
      </x:c>
      <x:c r="P34">
        <x:f t="shared" si="1"/>
        <x:v>1</x:v>
      </x:c>
      <x:c r="Q34">
        <x:f t="shared" si="2"/>
        <x:v>1</x:v>
      </x:c>
      <x:c r="R34">
        <x:f t="shared" si="3"/>
        <x:v>0</x:v>
      </x:c>
      <x:c r="S34">
        <x:f t="shared" si="4"/>
        <x:v>2</x:v>
      </x:c>
      <x:c r="T34" t="str">
        <x:f t="shared" si="5"/>
        <x:v>DerivedFromCount</x:v>
      </x:c>
      <x:c r="U34" t="str">
        <x:f>IF(COUNTIF(DailyProduction!$Q$5:$Q$100,B34)=1,"OK","CHECK")</x:f>
        <x:v>OK</x:v>
      </x:c>
      <x:c r="V34" t="str">
        <x:f t="shared" si="6"/>
        <x:v>OK</x:v>
      </x:c>
      <x:c r="W34" t="str">
        <x:f>IF(SUMIF($B$5:$B$914,B34,$S$5:$S$914)=SUMIF(DailyProduction!$Q$5:$Q$100,B34,DailyProduction!$R$5:$R$100),"OK","CHECK")</x:f>
        <x:v>OK</x:v>
      </x:c>
      <x:c r="X34" t="str">
        <x:v>PLC-PRD-JAR-720-L21</x:v>
      </x:c>
      <x:c r="Y34" t="str">
        <x:v>OK</x:v>
      </x:c>
      <x:c r="Z34" t="str">
        <x:v>OK</x:v>
      </x:c>
      <x:c r="AA34" t="n">
        <x:v>3</x:v>
      </x:c>
      <x:c r="AB34" t="n">
        <x:v>2</x:v>
      </x:c>
      <x:c r="AC34" t="str">
        <x:v>OK</x:v>
      </x:c>
      <x:c r="AD34" t="str">
        <x:v>OK</x:v>
      </x:c>
      <x:c r="AE34" t="str">
        <x:v>LOAD</x:v>
      </x:c>
      <x:c r="AF34" t="str">
        <x:v>02_Supervisor_Log(4).xlsx</x:v>
      </x:c>
      <x:c r="AG34" t="str">
        <x:v>ENH-20260830-01</x:v>
      </x:c>
      <x:c r="AH34" t="str">
        <x:v>Active</x:v>
      </x:c>
      <x:c r="AI34"/>
      <x:c r="AJ34"/>
      <x:c r="AK34"/>
      <x:c r="AL34"/>
    </x:row>
    <x:row r="35">
      <x:c r="A35" t="s">
        <x:v>234</x:v>
      </x:c>
      <x:c r="B35" t="s">
        <x:v>103</x:v>
      </x:c>
      <x:c r="C35" t="s">
        <x:v>44</x:v>
      </x:c>
      <x:c r="D35">
        <x:v>45951</x:v>
      </x:c>
      <x:c r="E35" t="s">
        <x:v>45</x:v>
      </x:c>
      <x:c r="F35" t="s">
        <x:v>46</x:v>
      </x:c>
      <x:c r="G35">
        <x:v>21</x:v>
      </x:c>
      <x:c r="H35" t="s">
        <x:v>48</x:v>
      </x:c>
      <x:c r="I35">
        <x:v>5</x:v>
      </x:c>
      <x:c r="J35">
        <x:v>10</x:v>
      </x:c>
      <x:c r="K35">
        <x:v>2</x:v>
      </x:c>
      <x:c r="L35">
        <x:f t="shared" si="0"/>
        <x:v>1</x:v>
      </x:c>
      <x:c r="P35">
        <x:f t="shared" si="1"/>
        <x:v>1</x:v>
      </x:c>
      <x:c r="Q35">
        <x:f t="shared" si="2"/>
        <x:v>1</x:v>
      </x:c>
      <x:c r="R35">
        <x:f t="shared" si="3"/>
        <x:v>0</x:v>
      </x:c>
      <x:c r="S35">
        <x:f t="shared" si="4"/>
        <x:v>2</x:v>
      </x:c>
      <x:c r="T35" t="str">
        <x:f t="shared" si="5"/>
        <x:v>DerivedFromCount</x:v>
      </x:c>
      <x:c r="U35" t="str">
        <x:f>IF(COUNTIF(DailyProduction!$Q$5:$Q$100,B35)=1,"OK","CHECK")</x:f>
        <x:v>OK</x:v>
      </x:c>
      <x:c r="V35" t="str">
        <x:f t="shared" si="6"/>
        <x:v>OK</x:v>
      </x:c>
      <x:c r="W35" t="str">
        <x:f>IF(SUMIF($B$5:$B$914,B35,$S$5:$S$914)=SUMIF(DailyProduction!$Q$5:$Q$100,B35,DailyProduction!$R$5:$R$100),"OK","CHECK")</x:f>
        <x:v>OK</x:v>
      </x:c>
      <x:c r="X35" t="str">
        <x:v>PLC-PRD-JAR-720-L21</x:v>
      </x:c>
      <x:c r="Y35" t="str">
        <x:v>OK</x:v>
      </x:c>
      <x:c r="Z35" t="str">
        <x:v>OK</x:v>
      </x:c>
      <x:c r="AA35" t="n">
        <x:v>3</x:v>
      </x:c>
      <x:c r="AB35" t="n">
        <x:v>2</x:v>
      </x:c>
      <x:c r="AC35" t="str">
        <x:v>OK</x:v>
      </x:c>
      <x:c r="AD35" t="str">
        <x:v>OK</x:v>
      </x:c>
      <x:c r="AE35" t="str">
        <x:v>LOAD</x:v>
      </x:c>
      <x:c r="AF35" t="str">
        <x:v>02_Supervisor_Log(4).xlsx</x:v>
      </x:c>
      <x:c r="AG35" t="str">
        <x:v>ENH-20260830-01</x:v>
      </x:c>
      <x:c r="AH35" t="str">
        <x:v>Active</x:v>
      </x:c>
      <x:c r="AI35"/>
      <x:c r="AJ35"/>
      <x:c r="AK35"/>
      <x:c r="AL35"/>
    </x:row>
    <x:row r="36">
      <x:c r="A36" t="s">
        <x:v>235</x:v>
      </x:c>
      <x:c r="B36" t="s">
        <x:v>103</x:v>
      </x:c>
      <x:c r="C36" t="s">
        <x:v>44</x:v>
      </x:c>
      <x:c r="D36">
        <x:v>45951</x:v>
      </x:c>
      <x:c r="E36" t="s">
        <x:v>45</x:v>
      </x:c>
      <x:c r="F36" t="s">
        <x:v>46</x:v>
      </x:c>
      <x:c r="G36">
        <x:v>21</x:v>
      </x:c>
      <x:c r="H36" t="s">
        <x:v>48</x:v>
      </x:c>
      <x:c r="I36">
        <x:v>6</x:v>
      </x:c>
      <x:c r="J36">
        <x:v>10</x:v>
      </x:c>
      <x:c r="K36">
        <x:v>2</x:v>
      </x:c>
      <x:c r="L36">
        <x:f t="shared" si="0"/>
        <x:v>1</x:v>
      </x:c>
      <x:c r="P36">
        <x:f t="shared" si="1"/>
        <x:v>1</x:v>
      </x:c>
      <x:c r="Q36">
        <x:f t="shared" si="2"/>
        <x:v>1</x:v>
      </x:c>
      <x:c r="R36">
        <x:f t="shared" si="3"/>
        <x:v>0</x:v>
      </x:c>
      <x:c r="S36">
        <x:f t="shared" si="4"/>
        <x:v>2</x:v>
      </x:c>
      <x:c r="T36" t="str">
        <x:f t="shared" si="5"/>
        <x:v>DerivedFromCount</x:v>
      </x:c>
      <x:c r="U36" t="str">
        <x:f>IF(COUNTIF(DailyProduction!$Q$5:$Q$100,B36)=1,"OK","CHECK")</x:f>
        <x:v>OK</x:v>
      </x:c>
      <x:c r="V36" t="str">
        <x:f t="shared" si="6"/>
        <x:v>OK</x:v>
      </x:c>
      <x:c r="W36" t="str">
        <x:f>IF(SUMIF($B$5:$B$914,B36,$S$5:$S$914)=SUMIF(DailyProduction!$Q$5:$Q$100,B36,DailyProduction!$R$5:$R$100),"OK","CHECK")</x:f>
        <x:v>OK</x:v>
      </x:c>
      <x:c r="X36" t="str">
        <x:v>PLC-PRD-JAR-720-L21</x:v>
      </x:c>
      <x:c r="Y36" t="str">
        <x:v>OK</x:v>
      </x:c>
      <x:c r="Z36" t="str">
        <x:v>OK</x:v>
      </x:c>
      <x:c r="AA36" t="n">
        <x:v>3</x:v>
      </x:c>
      <x:c r="AB36" t="n">
        <x:v>2</x:v>
      </x:c>
      <x:c r="AC36" t="str">
        <x:v>OK</x:v>
      </x:c>
      <x:c r="AD36" t="str">
        <x:v>OK</x:v>
      </x:c>
      <x:c r="AE36" t="str">
        <x:v>LOAD</x:v>
      </x:c>
      <x:c r="AF36" t="str">
        <x:v>02_Supervisor_Log(4).xlsx</x:v>
      </x:c>
      <x:c r="AG36" t="str">
        <x:v>ENH-20260830-01</x:v>
      </x:c>
      <x:c r="AH36" t="str">
        <x:v>Active</x:v>
      </x:c>
      <x:c r="AI36"/>
      <x:c r="AJ36"/>
      <x:c r="AK36"/>
      <x:c r="AL36"/>
    </x:row>
    <x:row r="37">
      <x:c r="A37" t="s">
        <x:v>236</x:v>
      </x:c>
      <x:c r="B37" t="s">
        <x:v>103</x:v>
      </x:c>
      <x:c r="C37" t="s">
        <x:v>44</x:v>
      </x:c>
      <x:c r="D37">
        <x:v>45951</x:v>
      </x:c>
      <x:c r="E37" t="s">
        <x:v>45</x:v>
      </x:c>
      <x:c r="F37" t="s">
        <x:v>46</x:v>
      </x:c>
      <x:c r="G37">
        <x:v>21</x:v>
      </x:c>
      <x:c r="H37" t="s">
        <x:v>48</x:v>
      </x:c>
      <x:c r="I37">
        <x:v>7</x:v>
      </x:c>
      <x:c r="J37">
        <x:v>10</x:v>
      </x:c>
      <x:c r="K37">
        <x:v>2</x:v>
      </x:c>
      <x:c r="L37">
        <x:f t="shared" si="0"/>
        <x:v>1</x:v>
      </x:c>
      <x:c r="P37">
        <x:f t="shared" si="1"/>
        <x:v>1</x:v>
      </x:c>
      <x:c r="Q37">
        <x:f t="shared" si="2"/>
        <x:v>1</x:v>
      </x:c>
      <x:c r="R37">
        <x:f t="shared" si="3"/>
        <x:v>0</x:v>
      </x:c>
      <x:c r="S37">
        <x:f t="shared" si="4"/>
        <x:v>2</x:v>
      </x:c>
      <x:c r="T37" t="str">
        <x:f t="shared" si="5"/>
        <x:v>DerivedFromCount</x:v>
      </x:c>
      <x:c r="U37" t="str">
        <x:f>IF(COUNTIF(DailyProduction!$Q$5:$Q$100,B37)=1,"OK","CHECK")</x:f>
        <x:v>OK</x:v>
      </x:c>
      <x:c r="V37" t="str">
        <x:f t="shared" si="6"/>
        <x:v>OK</x:v>
      </x:c>
      <x:c r="W37" t="str">
        <x:f>IF(SUMIF($B$5:$B$914,B37,$S$5:$S$914)=SUMIF(DailyProduction!$Q$5:$Q$100,B37,DailyProduction!$R$5:$R$100),"OK","CHECK")</x:f>
        <x:v>OK</x:v>
      </x:c>
      <x:c r="X37" t="str">
        <x:v>PLC-PRD-JAR-720-L21</x:v>
      </x:c>
      <x:c r="Y37" t="str">
        <x:v>OK</x:v>
      </x:c>
      <x:c r="Z37" t="str">
        <x:v>OK</x:v>
      </x:c>
      <x:c r="AA37" t="n">
        <x:v>3</x:v>
      </x:c>
      <x:c r="AB37" t="n">
        <x:v>2</x:v>
      </x:c>
      <x:c r="AC37" t="str">
        <x:v>OK</x:v>
      </x:c>
      <x:c r="AD37" t="str">
        <x:v>OK</x:v>
      </x:c>
      <x:c r="AE37" t="str">
        <x:v>LOAD</x:v>
      </x:c>
      <x:c r="AF37" t="str">
        <x:v>02_Supervisor_Log(4).xlsx</x:v>
      </x:c>
      <x:c r="AG37" t="str">
        <x:v>ENH-20260830-01</x:v>
      </x:c>
      <x:c r="AH37" t="str">
        <x:v>Active</x:v>
      </x:c>
      <x:c r="AI37"/>
      <x:c r="AJ37"/>
      <x:c r="AK37"/>
      <x:c r="AL37"/>
    </x:row>
    <x:row r="38">
      <x:c r="A38" t="s">
        <x:v>237</x:v>
      </x:c>
      <x:c r="B38" t="s">
        <x:v>103</x:v>
      </x:c>
      <x:c r="C38" t="s">
        <x:v>44</x:v>
      </x:c>
      <x:c r="D38">
        <x:v>45951</x:v>
      </x:c>
      <x:c r="E38" t="s">
        <x:v>45</x:v>
      </x:c>
      <x:c r="F38" t="s">
        <x:v>46</x:v>
      </x:c>
      <x:c r="G38">
        <x:v>21</x:v>
      </x:c>
      <x:c r="H38" t="s">
        <x:v>48</x:v>
      </x:c>
      <x:c r="I38">
        <x:v>8</x:v>
      </x:c>
      <x:c r="J38">
        <x:v>10</x:v>
      </x:c>
      <x:c r="K38">
        <x:v>2</x:v>
      </x:c>
      <x:c r="L38">
        <x:f t="shared" si="0"/>
        <x:v>1</x:v>
      </x:c>
      <x:c r="P38">
        <x:f t="shared" si="1"/>
        <x:v>1</x:v>
      </x:c>
      <x:c r="Q38">
        <x:f t="shared" si="2"/>
        <x:v>1</x:v>
      </x:c>
      <x:c r="R38">
        <x:f t="shared" si="3"/>
        <x:v>0</x:v>
      </x:c>
      <x:c r="S38">
        <x:f t="shared" si="4"/>
        <x:v>2</x:v>
      </x:c>
      <x:c r="T38" t="str">
        <x:f t="shared" si="5"/>
        <x:v>DerivedFromCount</x:v>
      </x:c>
      <x:c r="U38" t="str">
        <x:f>IF(COUNTIF(DailyProduction!$Q$5:$Q$100,B38)=1,"OK","CHECK")</x:f>
        <x:v>OK</x:v>
      </x:c>
      <x:c r="V38" t="str">
        <x:f t="shared" si="6"/>
        <x:v>OK</x:v>
      </x:c>
      <x:c r="W38" t="str">
        <x:f>IF(SUMIF($B$5:$B$914,B38,$S$5:$S$914)=SUMIF(DailyProduction!$Q$5:$Q$100,B38,DailyProduction!$R$5:$R$100),"OK","CHECK")</x:f>
        <x:v>OK</x:v>
      </x:c>
      <x:c r="X38" t="str">
        <x:v>PLC-PRD-JAR-720-L21</x:v>
      </x:c>
      <x:c r="Y38" t="str">
        <x:v>OK</x:v>
      </x:c>
      <x:c r="Z38" t="str">
        <x:v>OK</x:v>
      </x:c>
      <x:c r="AA38" t="n">
        <x:v>3</x:v>
      </x:c>
      <x:c r="AB38" t="n">
        <x:v>2</x:v>
      </x:c>
      <x:c r="AC38" t="str">
        <x:v>OK</x:v>
      </x:c>
      <x:c r="AD38" t="str">
        <x:v>OK</x:v>
      </x:c>
      <x:c r="AE38" t="str">
        <x:v>LOAD</x:v>
      </x:c>
      <x:c r="AF38" t="str">
        <x:v>02_Supervisor_Log(4).xlsx</x:v>
      </x:c>
      <x:c r="AG38" t="str">
        <x:v>ENH-20260830-01</x:v>
      </x:c>
      <x:c r="AH38" t="str">
        <x:v>Active</x:v>
      </x:c>
      <x:c r="AI38"/>
      <x:c r="AJ38"/>
      <x:c r="AK38"/>
      <x:c r="AL38"/>
    </x:row>
    <x:row r="39">
      <x:c r="A39" t="s">
        <x:v>238</x:v>
      </x:c>
      <x:c r="B39" t="s">
        <x:v>103</x:v>
      </x:c>
      <x:c r="C39" t="s">
        <x:v>44</x:v>
      </x:c>
      <x:c r="D39">
        <x:v>45951</x:v>
      </x:c>
      <x:c r="E39" t="s">
        <x:v>45</x:v>
      </x:c>
      <x:c r="F39" t="s">
        <x:v>46</x:v>
      </x:c>
      <x:c r="G39">
        <x:v>21</x:v>
      </x:c>
      <x:c r="H39" t="s">
        <x:v>48</x:v>
      </x:c>
      <x:c r="I39">
        <x:v>9</x:v>
      </x:c>
      <x:c r="J39">
        <x:v>10</x:v>
      </x:c>
      <x:c r="K39">
        <x:v>2</x:v>
      </x:c>
      <x:c r="L39">
        <x:f t="shared" si="0"/>
        <x:v>1</x:v>
      </x:c>
      <x:c r="P39">
        <x:f t="shared" si="1"/>
        <x:v>1</x:v>
      </x:c>
      <x:c r="Q39">
        <x:f t="shared" si="2"/>
        <x:v>1</x:v>
      </x:c>
      <x:c r="R39">
        <x:f t="shared" si="3"/>
        <x:v>0</x:v>
      </x:c>
      <x:c r="S39">
        <x:f t="shared" si="4"/>
        <x:v>2</x:v>
      </x:c>
      <x:c r="T39" t="str">
        <x:f t="shared" si="5"/>
        <x:v>DerivedFromCount</x:v>
      </x:c>
      <x:c r="U39" t="str">
        <x:f>IF(COUNTIF(DailyProduction!$Q$5:$Q$100,B39)=1,"OK","CHECK")</x:f>
        <x:v>OK</x:v>
      </x:c>
      <x:c r="V39" t="str">
        <x:f t="shared" si="6"/>
        <x:v>OK</x:v>
      </x:c>
      <x:c r="W39" t="str">
        <x:f>IF(SUMIF($B$5:$B$914,B39,$S$5:$S$914)=SUMIF(DailyProduction!$Q$5:$Q$100,B39,DailyProduction!$R$5:$R$100),"OK","CHECK")</x:f>
        <x:v>OK</x:v>
      </x:c>
      <x:c r="X39" t="str">
        <x:v>PLC-PRD-JAR-720-L21</x:v>
      </x:c>
      <x:c r="Y39" t="str">
        <x:v>OK</x:v>
      </x:c>
      <x:c r="Z39" t="str">
        <x:v>OK</x:v>
      </x:c>
      <x:c r="AA39" t="n">
        <x:v>3</x:v>
      </x:c>
      <x:c r="AB39" t="n">
        <x:v>2</x:v>
      </x:c>
      <x:c r="AC39" t="str">
        <x:v>OK</x:v>
      </x:c>
      <x:c r="AD39" t="str">
        <x:v>OK</x:v>
      </x:c>
      <x:c r="AE39" t="str">
        <x:v>LOAD</x:v>
      </x:c>
      <x:c r="AF39" t="str">
        <x:v>02_Supervisor_Log(4).xlsx</x:v>
      </x:c>
      <x:c r="AG39" t="str">
        <x:v>ENH-20260830-01</x:v>
      </x:c>
      <x:c r="AH39" t="str">
        <x:v>Active</x:v>
      </x:c>
      <x:c r="AI39"/>
      <x:c r="AJ39"/>
      <x:c r="AK39"/>
      <x:c r="AL39"/>
    </x:row>
    <x:row r="40">
      <x:c r="A40" t="s">
        <x:v>239</x:v>
      </x:c>
      <x:c r="B40" t="s">
        <x:v>103</x:v>
      </x:c>
      <x:c r="C40" t="s">
        <x:v>44</x:v>
      </x:c>
      <x:c r="D40">
        <x:v>45951</x:v>
      </x:c>
      <x:c r="E40" t="s">
        <x:v>45</x:v>
      </x:c>
      <x:c r="F40" t="s">
        <x:v>46</x:v>
      </x:c>
      <x:c r="G40">
        <x:v>21</x:v>
      </x:c>
      <x:c r="H40" t="s">
        <x:v>48</x:v>
      </x:c>
      <x:c r="I40">
        <x:v>10</x:v>
      </x:c>
      <x:c r="J40">
        <x:v>10</x:v>
      </x:c>
      <x:c r="K40">
        <x:v>2</x:v>
      </x:c>
      <x:c r="L40">
        <x:f t="shared" si="0"/>
        <x:v>1</x:v>
      </x:c>
      <x:c r="P40">
        <x:f t="shared" si="1"/>
        <x:v>1</x:v>
      </x:c>
      <x:c r="Q40">
        <x:f t="shared" si="2"/>
        <x:v>1</x:v>
      </x:c>
      <x:c r="R40">
        <x:f t="shared" si="3"/>
        <x:v>0</x:v>
      </x:c>
      <x:c r="S40">
        <x:f t="shared" si="4"/>
        <x:v>2</x:v>
      </x:c>
      <x:c r="T40" t="str">
        <x:f t="shared" si="5"/>
        <x:v>DerivedFromCount</x:v>
      </x:c>
      <x:c r="U40" t="str">
        <x:f>IF(COUNTIF(DailyProduction!$Q$5:$Q$100,B40)=1,"OK","CHECK")</x:f>
        <x:v>OK</x:v>
      </x:c>
      <x:c r="V40" t="str">
        <x:f t="shared" si="6"/>
        <x:v>OK</x:v>
      </x:c>
      <x:c r="W40" t="str">
        <x:f>IF(SUMIF($B$5:$B$914,B40,$S$5:$S$914)=SUMIF(DailyProduction!$Q$5:$Q$100,B40,DailyProduction!$R$5:$R$100),"OK","CHECK")</x:f>
        <x:v>OK</x:v>
      </x:c>
      <x:c r="X40" t="str">
        <x:v>PLC-PRD-JAR-720-L21</x:v>
      </x:c>
      <x:c r="Y40" t="str">
        <x:v>OK</x:v>
      </x:c>
      <x:c r="Z40" t="str">
        <x:v>OK</x:v>
      </x:c>
      <x:c r="AA40" t="n">
        <x:v>3</x:v>
      </x:c>
      <x:c r="AB40" t="n">
        <x:v>2</x:v>
      </x:c>
      <x:c r="AC40" t="str">
        <x:v>OK</x:v>
      </x:c>
      <x:c r="AD40" t="str">
        <x:v>OK</x:v>
      </x:c>
      <x:c r="AE40" t="str">
        <x:v>LOAD</x:v>
      </x:c>
      <x:c r="AF40" t="str">
        <x:v>02_Supervisor_Log(4).xlsx</x:v>
      </x:c>
      <x:c r="AG40" t="str">
        <x:v>ENH-20260830-01</x:v>
      </x:c>
      <x:c r="AH40" t="str">
        <x:v>Active</x:v>
      </x:c>
      <x:c r="AI40"/>
      <x:c r="AJ40"/>
      <x:c r="AK40"/>
      <x:c r="AL40"/>
    </x:row>
    <x:row r="41">
      <x:c r="A41" t="s">
        <x:v>240</x:v>
      </x:c>
      <x:c r="B41" t="s">
        <x:v>103</x:v>
      </x:c>
      <x:c r="C41" t="s">
        <x:v>44</x:v>
      </x:c>
      <x:c r="D41">
        <x:v>45951</x:v>
      </x:c>
      <x:c r="E41" t="s">
        <x:v>45</x:v>
      </x:c>
      <x:c r="F41" t="s">
        <x:v>46</x:v>
      </x:c>
      <x:c r="G41">
        <x:v>21</x:v>
      </x:c>
      <x:c r="H41" t="s">
        <x:v>48</x:v>
      </x:c>
      <x:c r="I41">
        <x:v>11</x:v>
      </x:c>
      <x:c r="J41">
        <x:v>10</x:v>
      </x:c>
      <x:c r="K41">
        <x:v>2</x:v>
      </x:c>
      <x:c r="L41">
        <x:f t="shared" si="0"/>
        <x:v>0</x:v>
      </x:c>
      <x:c r="P41">
        <x:f t="shared" si="1"/>
        <x:v>0</x:v>
      </x:c>
      <x:c r="Q41">
        <x:f t="shared" si="2"/>
        <x:v>0</x:v>
      </x:c>
      <x:c r="R41">
        <x:f t="shared" si="3"/>
        <x:v>0</x:v>
      </x:c>
      <x:c r="S41">
        <x:f t="shared" si="4"/>
        <x:v>0</x:v>
      </x:c>
      <x:c r="T41" t="str">
        <x:f t="shared" si="5"/>
        <x:v>DerivedFromCount</x:v>
      </x:c>
      <x:c r="U41" t="str">
        <x:f>IF(COUNTIF(DailyProduction!$Q$5:$Q$100,B41)=1,"OK","CHECK")</x:f>
        <x:v>OK</x:v>
      </x:c>
      <x:c r="V41" t="str">
        <x:f t="shared" si="6"/>
        <x:v>OK</x:v>
      </x:c>
      <x:c r="W41" t="str">
        <x:f>IF(SUMIF($B$5:$B$914,B41,$S$5:$S$914)=SUMIF(DailyProduction!$Q$5:$Q$100,B41,DailyProduction!$R$5:$R$100),"OK","CHECK")</x:f>
        <x:v>OK</x:v>
      </x:c>
      <x:c r="X41" t="str">
        <x:v>PLC-PRD-JAR-720-L21</x:v>
      </x:c>
      <x:c r="Y41" t="str">
        <x:v>OK</x:v>
      </x:c>
      <x:c r="Z41" t="str">
        <x:v>OK</x:v>
      </x:c>
      <x:c r="AA41" t="n">
        <x:v>3</x:v>
      </x:c>
      <x:c r="AB41" t="n">
        <x:v>0</x:v>
      </x:c>
      <x:c r="AC41" t="str">
        <x:v>OK</x:v>
      </x:c>
      <x:c r="AD41" t="str">
        <x:v>OK</x:v>
      </x:c>
      <x:c r="AE41" t="str">
        <x:v>LOAD</x:v>
      </x:c>
      <x:c r="AF41" t="str">
        <x:v>02_Supervisor_Log(4).xlsx</x:v>
      </x:c>
      <x:c r="AG41" t="str">
        <x:v>ENH-20260830-01</x:v>
      </x:c>
      <x:c r="AH41" t="str">
        <x:v>Active</x:v>
      </x:c>
      <x:c r="AI41"/>
      <x:c r="AJ41"/>
      <x:c r="AK41"/>
      <x:c r="AL41"/>
    </x:row>
    <x:row r="42">
      <x:c r="A42" t="s">
        <x:v>241</x:v>
      </x:c>
      <x:c r="B42" t="s">
        <x:v>103</x:v>
      </x:c>
      <x:c r="C42" t="s">
        <x:v>44</x:v>
      </x:c>
      <x:c r="D42">
        <x:v>45951</x:v>
      </x:c>
      <x:c r="E42" t="s">
        <x:v>45</x:v>
      </x:c>
      <x:c r="F42" t="s">
        <x:v>46</x:v>
      </x:c>
      <x:c r="G42">
        <x:v>21</x:v>
      </x:c>
      <x:c r="H42" t="s">
        <x:v>48</x:v>
      </x:c>
      <x:c r="I42">
        <x:v>12</x:v>
      </x:c>
      <x:c r="J42">
        <x:v>10</x:v>
      </x:c>
      <x:c r="K42">
        <x:v>2</x:v>
      </x:c>
      <x:c r="L42">
        <x:f t="shared" si="0"/>
        <x:v>0</x:v>
      </x:c>
      <x:c r="P42">
        <x:f t="shared" si="1"/>
        <x:v>0</x:v>
      </x:c>
      <x:c r="Q42">
        <x:f t="shared" si="2"/>
        <x:v>0</x:v>
      </x:c>
      <x:c r="R42">
        <x:f t="shared" si="3"/>
        <x:v>0</x:v>
      </x:c>
      <x:c r="S42">
        <x:f t="shared" si="4"/>
        <x:v>0</x:v>
      </x:c>
      <x:c r="T42" t="str">
        <x:f t="shared" si="5"/>
        <x:v>DerivedFromCount</x:v>
      </x:c>
      <x:c r="U42" t="str">
        <x:f>IF(COUNTIF(DailyProduction!$Q$5:$Q$100,B42)=1,"OK","CHECK")</x:f>
        <x:v>OK</x:v>
      </x:c>
      <x:c r="V42" t="str">
        <x:f t="shared" si="6"/>
        <x:v>OK</x:v>
      </x:c>
      <x:c r="W42" t="str">
        <x:f>IF(SUMIF($B$5:$B$914,B42,$S$5:$S$914)=SUMIF(DailyProduction!$Q$5:$Q$100,B42,DailyProduction!$R$5:$R$100),"OK","CHECK")</x:f>
        <x:v>OK</x:v>
      </x:c>
      <x:c r="X42" t="str">
        <x:v>PLC-PRD-JAR-720-L21</x:v>
      </x:c>
      <x:c r="Y42" t="str">
        <x:v>OK</x:v>
      </x:c>
      <x:c r="Z42" t="str">
        <x:v>OK</x:v>
      </x:c>
      <x:c r="AA42" t="n">
        <x:v>3</x:v>
      </x:c>
      <x:c r="AB42" t="n">
        <x:v>0</x:v>
      </x:c>
      <x:c r="AC42" t="str">
        <x:v>OK</x:v>
      </x:c>
      <x:c r="AD42" t="str">
        <x:v>OK</x:v>
      </x:c>
      <x:c r="AE42" t="str">
        <x:v>LOAD</x:v>
      </x:c>
      <x:c r="AF42" t="str">
        <x:v>02_Supervisor_Log(4).xlsx</x:v>
      </x:c>
      <x:c r="AG42" t="str">
        <x:v>ENH-20260830-01</x:v>
      </x:c>
      <x:c r="AH42" t="str">
        <x:v>Active</x:v>
      </x:c>
      <x:c r="AI42"/>
      <x:c r="AJ42"/>
      <x:c r="AK42"/>
      <x:c r="AL42"/>
    </x:row>
    <x:row r="43">
      <x:c r="A43" t="s">
        <x:v>242</x:v>
      </x:c>
      <x:c r="B43" t="s">
        <x:v>103</x:v>
      </x:c>
      <x:c r="C43" t="s">
        <x:v>44</x:v>
      </x:c>
      <x:c r="D43">
        <x:v>45951</x:v>
      </x:c>
      <x:c r="E43" t="s">
        <x:v>45</x:v>
      </x:c>
      <x:c r="F43" t="s">
        <x:v>46</x:v>
      </x:c>
      <x:c r="G43">
        <x:v>21</x:v>
      </x:c>
      <x:c r="H43" t="s">
        <x:v>48</x:v>
      </x:c>
      <x:c r="I43">
        <x:v>13</x:v>
      </x:c>
      <x:c r="J43">
        <x:v>10</x:v>
      </x:c>
      <x:c r="K43">
        <x:v>2</x:v>
      </x:c>
      <x:c r="L43">
        <x:f t="shared" si="0"/>
        <x:v>0</x:v>
      </x:c>
      <x:c r="P43">
        <x:f t="shared" si="1"/>
        <x:v>0</x:v>
      </x:c>
      <x:c r="Q43">
        <x:f t="shared" si="2"/>
        <x:v>0</x:v>
      </x:c>
      <x:c r="R43">
        <x:f t="shared" si="3"/>
        <x:v>0</x:v>
      </x:c>
      <x:c r="S43">
        <x:f t="shared" si="4"/>
        <x:v>0</x:v>
      </x:c>
      <x:c r="T43" t="str">
        <x:f t="shared" si="5"/>
        <x:v>DerivedFromCount</x:v>
      </x:c>
      <x:c r="U43" t="str">
        <x:f>IF(COUNTIF(DailyProduction!$Q$5:$Q$100,B43)=1,"OK","CHECK")</x:f>
        <x:v>OK</x:v>
      </x:c>
      <x:c r="V43" t="str">
        <x:f t="shared" si="6"/>
        <x:v>OK</x:v>
      </x:c>
      <x:c r="W43" t="str">
        <x:f>IF(SUMIF($B$5:$B$914,B43,$S$5:$S$914)=SUMIF(DailyProduction!$Q$5:$Q$100,B43,DailyProduction!$R$5:$R$100),"OK","CHECK")</x:f>
        <x:v>OK</x:v>
      </x:c>
      <x:c r="X43" t="str">
        <x:v>PLC-PRD-JAR-720-L21</x:v>
      </x:c>
      <x:c r="Y43" t="str">
        <x:v>OK</x:v>
      </x:c>
      <x:c r="Z43" t="str">
        <x:v>OK</x:v>
      </x:c>
      <x:c r="AA43" t="n">
        <x:v>3</x:v>
      </x:c>
      <x:c r="AB43" t="n">
        <x:v>0</x:v>
      </x:c>
      <x:c r="AC43" t="str">
        <x:v>OK</x:v>
      </x:c>
      <x:c r="AD43" t="str">
        <x:v>OK</x:v>
      </x:c>
      <x:c r="AE43" t="str">
        <x:v>LOAD</x:v>
      </x:c>
      <x:c r="AF43" t="str">
        <x:v>02_Supervisor_Log(4).xlsx</x:v>
      </x:c>
      <x:c r="AG43" t="str">
        <x:v>ENH-20260830-01</x:v>
      </x:c>
      <x:c r="AH43" t="str">
        <x:v>Active</x:v>
      </x:c>
      <x:c r="AI43"/>
      <x:c r="AJ43"/>
      <x:c r="AK43"/>
      <x:c r="AL43"/>
    </x:row>
    <x:row r="44">
      <x:c r="A44" t="s">
        <x:v>243</x:v>
      </x:c>
      <x:c r="B44" t="s">
        <x:v>244</x:v>
      </x:c>
      <x:c r="C44" t="s">
        <x:v>44</x:v>
      </x:c>
      <x:c r="D44">
        <x:v>45951</x:v>
      </x:c>
      <x:c r="E44" t="s">
        <x:v>187</x:v>
      </x:c>
      <x:c r="F44" t="s">
        <x:v>51</x:v>
      </x:c>
      <x:c r="G44">
        <x:v>21</x:v>
      </x:c>
      <x:c r="H44" t="s">
        <x:v>48</x:v>
      </x:c>
      <x:c r="I44">
        <x:v>1</x:v>
      </x:c>
      <x:c r="J44">
        <x:v>10</x:v>
      </x:c>
      <x:c r="K44">
        <x:v>2</x:v>
      </x:c>
      <x:c r="L44">
        <x:f t="shared" si="0"/>
        <x:v>1</x:v>
      </x:c>
      <x:c r="P44">
        <x:f t="shared" si="1"/>
        <x:v>1</x:v>
      </x:c>
      <x:c r="Q44">
        <x:f t="shared" si="2"/>
        <x:v>1</x:v>
      </x:c>
      <x:c r="R44">
        <x:f t="shared" si="3"/>
        <x:v>0</x:v>
      </x:c>
      <x:c r="S44">
        <x:f t="shared" si="4"/>
        <x:v>2</x:v>
      </x:c>
      <x:c r="T44" t="str">
        <x:f t="shared" si="5"/>
        <x:v>DerivedFromCount</x:v>
      </x:c>
      <x:c r="U44" t="str">
        <x:f>IF(COUNTIF(DailyProduction!$Q$5:$Q$100,B44)=1,"OK","CHECK")</x:f>
        <x:v>OK</x:v>
      </x:c>
      <x:c r="V44" t="str">
        <x:f t="shared" si="6"/>
        <x:v>OK</x:v>
      </x:c>
      <x:c r="W44" t="str">
        <x:f>IF(SUMIF($B$5:$B$914,B44,$S$5:$S$914)=SUMIF(DailyProduction!$Q$5:$Q$100,B44,DailyProduction!$R$5:$R$100),"OK","CHECK")</x:f>
        <x:v>OK</x:v>
      </x:c>
      <x:c r="X44" t="str">
        <x:v>PLC-PRD-JAR-720-L21</x:v>
      </x:c>
      <x:c r="Y44" t="str">
        <x:v>OK</x:v>
      </x:c>
      <x:c r="Z44" t="str">
        <x:v>OK</x:v>
      </x:c>
      <x:c r="AA44" t="n">
        <x:v>3</x:v>
      </x:c>
      <x:c r="AB44" t="n">
        <x:v>2</x:v>
      </x:c>
      <x:c r="AC44" t="str">
        <x:v>OK</x:v>
      </x:c>
      <x:c r="AD44" t="str">
        <x:v>OK</x:v>
      </x:c>
      <x:c r="AE44" t="str">
        <x:v>LOAD</x:v>
      </x:c>
      <x:c r="AF44" t="str">
        <x:v>02_Supervisor_Log(4).xlsx</x:v>
      </x:c>
      <x:c r="AG44" t="str">
        <x:v>ENH-20260830-01</x:v>
      </x:c>
      <x:c r="AH44" t="str">
        <x:v>Active</x:v>
      </x:c>
      <x:c r="AI44"/>
      <x:c r="AJ44"/>
      <x:c r="AK44"/>
      <x:c r="AL44"/>
    </x:row>
    <x:row r="45">
      <x:c r="A45" t="s">
        <x:v>245</x:v>
      </x:c>
      <x:c r="B45" t="s">
        <x:v>244</x:v>
      </x:c>
      <x:c r="C45" t="s">
        <x:v>44</x:v>
      </x:c>
      <x:c r="D45">
        <x:v>45951</x:v>
      </x:c>
      <x:c r="E45" t="s">
        <x:v>187</x:v>
      </x:c>
      <x:c r="F45" t="s">
        <x:v>51</x:v>
      </x:c>
      <x:c r="G45">
        <x:v>21</x:v>
      </x:c>
      <x:c r="H45" t="s">
        <x:v>48</x:v>
      </x:c>
      <x:c r="I45">
        <x:v>2</x:v>
      </x:c>
      <x:c r="J45">
        <x:v>10</x:v>
      </x:c>
      <x:c r="K45">
        <x:v>2</x:v>
      </x:c>
      <x:c r="L45">
        <x:f t="shared" si="0"/>
        <x:v>1</x:v>
      </x:c>
      <x:c r="P45">
        <x:f t="shared" si="1"/>
        <x:v>1</x:v>
      </x:c>
      <x:c r="Q45">
        <x:f t="shared" si="2"/>
        <x:v>1</x:v>
      </x:c>
      <x:c r="R45">
        <x:f t="shared" si="3"/>
        <x:v>0</x:v>
      </x:c>
      <x:c r="S45">
        <x:f t="shared" si="4"/>
        <x:v>2</x:v>
      </x:c>
      <x:c r="T45" t="str">
        <x:f t="shared" si="5"/>
        <x:v>DerivedFromCount</x:v>
      </x:c>
      <x:c r="U45" t="str">
        <x:f>IF(COUNTIF(DailyProduction!$Q$5:$Q$100,B45)=1,"OK","CHECK")</x:f>
        <x:v>OK</x:v>
      </x:c>
      <x:c r="V45" t="str">
        <x:f t="shared" si="6"/>
        <x:v>OK</x:v>
      </x:c>
      <x:c r="W45" t="str">
        <x:f>IF(SUMIF($B$5:$B$914,B45,$S$5:$S$914)=SUMIF(DailyProduction!$Q$5:$Q$100,B45,DailyProduction!$R$5:$R$100),"OK","CHECK")</x:f>
        <x:v>OK</x:v>
      </x:c>
      <x:c r="X45" t="str">
        <x:v>PLC-PRD-JAR-720-L21</x:v>
      </x:c>
      <x:c r="Y45" t="str">
        <x:v>OK</x:v>
      </x:c>
      <x:c r="Z45" t="str">
        <x:v>OK</x:v>
      </x:c>
      <x:c r="AA45" t="n">
        <x:v>3</x:v>
      </x:c>
      <x:c r="AB45" t="n">
        <x:v>2</x:v>
      </x:c>
      <x:c r="AC45" t="str">
        <x:v>OK</x:v>
      </x:c>
      <x:c r="AD45" t="str">
        <x:v>OK</x:v>
      </x:c>
      <x:c r="AE45" t="str">
        <x:v>LOAD</x:v>
      </x:c>
      <x:c r="AF45" t="str">
        <x:v>02_Supervisor_Log(4).xlsx</x:v>
      </x:c>
      <x:c r="AG45" t="str">
        <x:v>ENH-20260830-01</x:v>
      </x:c>
      <x:c r="AH45" t="str">
        <x:v>Active</x:v>
      </x:c>
      <x:c r="AI45"/>
      <x:c r="AJ45"/>
      <x:c r="AK45"/>
      <x:c r="AL45"/>
    </x:row>
    <x:row r="46">
      <x:c r="A46" t="s">
        <x:v>246</x:v>
      </x:c>
      <x:c r="B46" t="s">
        <x:v>244</x:v>
      </x:c>
      <x:c r="C46" t="s">
        <x:v>44</x:v>
      </x:c>
      <x:c r="D46">
        <x:v>45951</x:v>
      </x:c>
      <x:c r="E46" t="s">
        <x:v>187</x:v>
      </x:c>
      <x:c r="F46" t="s">
        <x:v>51</x:v>
      </x:c>
      <x:c r="G46">
        <x:v>21</x:v>
      </x:c>
      <x:c r="H46" t="s">
        <x:v>48</x:v>
      </x:c>
      <x:c r="I46">
        <x:v>3</x:v>
      </x:c>
      <x:c r="J46">
        <x:v>10</x:v>
      </x:c>
      <x:c r="K46">
        <x:v>2</x:v>
      </x:c>
      <x:c r="L46">
        <x:f t="shared" si="0"/>
        <x:v>1</x:v>
      </x:c>
      <x:c r="P46">
        <x:f t="shared" si="1"/>
        <x:v>1</x:v>
      </x:c>
      <x:c r="Q46">
        <x:f t="shared" si="2"/>
        <x:v>1</x:v>
      </x:c>
      <x:c r="R46">
        <x:f t="shared" si="3"/>
        <x:v>0</x:v>
      </x:c>
      <x:c r="S46">
        <x:f t="shared" si="4"/>
        <x:v>2</x:v>
      </x:c>
      <x:c r="T46" t="str">
        <x:f t="shared" si="5"/>
        <x:v>DerivedFromCount</x:v>
      </x:c>
      <x:c r="U46" t="str">
        <x:f>IF(COUNTIF(DailyProduction!$Q$5:$Q$100,B46)=1,"OK","CHECK")</x:f>
        <x:v>OK</x:v>
      </x:c>
      <x:c r="V46" t="str">
        <x:f t="shared" si="6"/>
        <x:v>OK</x:v>
      </x:c>
      <x:c r="W46" t="str">
        <x:f>IF(SUMIF($B$5:$B$914,B46,$S$5:$S$914)=SUMIF(DailyProduction!$Q$5:$Q$100,B46,DailyProduction!$R$5:$R$100),"OK","CHECK")</x:f>
        <x:v>OK</x:v>
      </x:c>
      <x:c r="X46" t="str">
        <x:v>PLC-PRD-JAR-720-L21</x:v>
      </x:c>
      <x:c r="Y46" t="str">
        <x:v>OK</x:v>
      </x:c>
      <x:c r="Z46" t="str">
        <x:v>OK</x:v>
      </x:c>
      <x:c r="AA46" t="n">
        <x:v>3</x:v>
      </x:c>
      <x:c r="AB46" t="n">
        <x:v>2</x:v>
      </x:c>
      <x:c r="AC46" t="str">
        <x:v>OK</x:v>
      </x:c>
      <x:c r="AD46" t="str">
        <x:v>OK</x:v>
      </x:c>
      <x:c r="AE46" t="str">
        <x:v>LOAD</x:v>
      </x:c>
      <x:c r="AF46" t="str">
        <x:v>02_Supervisor_Log(4).xlsx</x:v>
      </x:c>
      <x:c r="AG46" t="str">
        <x:v>ENH-20260830-01</x:v>
      </x:c>
      <x:c r="AH46" t="str">
        <x:v>Active</x:v>
      </x:c>
      <x:c r="AI46"/>
      <x:c r="AJ46"/>
      <x:c r="AK46"/>
      <x:c r="AL46"/>
    </x:row>
    <x:row r="47">
      <x:c r="A47" t="s">
        <x:v>247</x:v>
      </x:c>
      <x:c r="B47" t="s">
        <x:v>244</x:v>
      </x:c>
      <x:c r="C47" t="s">
        <x:v>44</x:v>
      </x:c>
      <x:c r="D47">
        <x:v>45951</x:v>
      </x:c>
      <x:c r="E47" t="s">
        <x:v>187</x:v>
      </x:c>
      <x:c r="F47" t="s">
        <x:v>51</x:v>
      </x:c>
      <x:c r="G47">
        <x:v>21</x:v>
      </x:c>
      <x:c r="H47" t="s">
        <x:v>48</x:v>
      </x:c>
      <x:c r="I47">
        <x:v>4</x:v>
      </x:c>
      <x:c r="J47">
        <x:v>10</x:v>
      </x:c>
      <x:c r="K47">
        <x:v>2</x:v>
      </x:c>
      <x:c r="L47">
        <x:f t="shared" si="0"/>
        <x:v>1</x:v>
      </x:c>
      <x:c r="P47">
        <x:f t="shared" si="1"/>
        <x:v>1</x:v>
      </x:c>
      <x:c r="Q47">
        <x:f t="shared" si="2"/>
        <x:v>1</x:v>
      </x:c>
      <x:c r="R47">
        <x:f t="shared" si="3"/>
        <x:v>0</x:v>
      </x:c>
      <x:c r="S47">
        <x:f t="shared" si="4"/>
        <x:v>2</x:v>
      </x:c>
      <x:c r="T47" t="str">
        <x:f t="shared" si="5"/>
        <x:v>DerivedFromCount</x:v>
      </x:c>
      <x:c r="U47" t="str">
        <x:f>IF(COUNTIF(DailyProduction!$Q$5:$Q$100,B47)=1,"OK","CHECK")</x:f>
        <x:v>OK</x:v>
      </x:c>
      <x:c r="V47" t="str">
        <x:f t="shared" si="6"/>
        <x:v>OK</x:v>
      </x:c>
      <x:c r="W47" t="str">
        <x:f>IF(SUMIF($B$5:$B$914,B47,$S$5:$S$914)=SUMIF(DailyProduction!$Q$5:$Q$100,B47,DailyProduction!$R$5:$R$100),"OK","CHECK")</x:f>
        <x:v>OK</x:v>
      </x:c>
      <x:c r="X47" t="str">
        <x:v>PLC-PRD-JAR-720-L21</x:v>
      </x:c>
      <x:c r="Y47" t="str">
        <x:v>OK</x:v>
      </x:c>
      <x:c r="Z47" t="str">
        <x:v>OK</x:v>
      </x:c>
      <x:c r="AA47" t="n">
        <x:v>3</x:v>
      </x:c>
      <x:c r="AB47" t="n">
        <x:v>2</x:v>
      </x:c>
      <x:c r="AC47" t="str">
        <x:v>OK</x:v>
      </x:c>
      <x:c r="AD47" t="str">
        <x:v>OK</x:v>
      </x:c>
      <x:c r="AE47" t="str">
        <x:v>LOAD</x:v>
      </x:c>
      <x:c r="AF47" t="str">
        <x:v>02_Supervisor_Log(4).xlsx</x:v>
      </x:c>
      <x:c r="AG47" t="str">
        <x:v>ENH-20260830-01</x:v>
      </x:c>
      <x:c r="AH47" t="str">
        <x:v>Active</x:v>
      </x:c>
      <x:c r="AI47"/>
      <x:c r="AJ47"/>
      <x:c r="AK47"/>
      <x:c r="AL47"/>
    </x:row>
    <x:row r="48">
      <x:c r="A48" t="s">
        <x:v>248</x:v>
      </x:c>
      <x:c r="B48" t="s">
        <x:v>244</x:v>
      </x:c>
      <x:c r="C48" t="s">
        <x:v>44</x:v>
      </x:c>
      <x:c r="D48">
        <x:v>45951</x:v>
      </x:c>
      <x:c r="E48" t="s">
        <x:v>187</x:v>
      </x:c>
      <x:c r="F48" t="s">
        <x:v>51</x:v>
      </x:c>
      <x:c r="G48">
        <x:v>21</x:v>
      </x:c>
      <x:c r="H48" t="s">
        <x:v>48</x:v>
      </x:c>
      <x:c r="I48">
        <x:v>5</x:v>
      </x:c>
      <x:c r="J48">
        <x:v>10</x:v>
      </x:c>
      <x:c r="K48">
        <x:v>2</x:v>
      </x:c>
      <x:c r="L48">
        <x:f t="shared" si="0"/>
        <x:v>1</x:v>
      </x:c>
      <x:c r="P48">
        <x:f t="shared" si="1"/>
        <x:v>1</x:v>
      </x:c>
      <x:c r="Q48">
        <x:f t="shared" si="2"/>
        <x:v>1</x:v>
      </x:c>
      <x:c r="R48">
        <x:f t="shared" si="3"/>
        <x:v>0</x:v>
      </x:c>
      <x:c r="S48">
        <x:f t="shared" si="4"/>
        <x:v>2</x:v>
      </x:c>
      <x:c r="T48" t="str">
        <x:f t="shared" si="5"/>
        <x:v>DerivedFromCount</x:v>
      </x:c>
      <x:c r="U48" t="str">
        <x:f>IF(COUNTIF(DailyProduction!$Q$5:$Q$100,B48)=1,"OK","CHECK")</x:f>
        <x:v>OK</x:v>
      </x:c>
      <x:c r="V48" t="str">
        <x:f t="shared" si="6"/>
        <x:v>OK</x:v>
      </x:c>
      <x:c r="W48" t="str">
        <x:f>IF(SUMIF($B$5:$B$914,B48,$S$5:$S$914)=SUMIF(DailyProduction!$Q$5:$Q$100,B48,DailyProduction!$R$5:$R$100),"OK","CHECK")</x:f>
        <x:v>OK</x:v>
      </x:c>
      <x:c r="X48" t="str">
        <x:v>PLC-PRD-JAR-720-L21</x:v>
      </x:c>
      <x:c r="Y48" t="str">
        <x:v>OK</x:v>
      </x:c>
      <x:c r="Z48" t="str">
        <x:v>OK</x:v>
      </x:c>
      <x:c r="AA48" t="n">
        <x:v>3</x:v>
      </x:c>
      <x:c r="AB48" t="n">
        <x:v>2</x:v>
      </x:c>
      <x:c r="AC48" t="str">
        <x:v>OK</x:v>
      </x:c>
      <x:c r="AD48" t="str">
        <x:v>OK</x:v>
      </x:c>
      <x:c r="AE48" t="str">
        <x:v>LOAD</x:v>
      </x:c>
      <x:c r="AF48" t="str">
        <x:v>02_Supervisor_Log(4).xlsx</x:v>
      </x:c>
      <x:c r="AG48" t="str">
        <x:v>ENH-20260830-01</x:v>
      </x:c>
      <x:c r="AH48" t="str">
        <x:v>Active</x:v>
      </x:c>
      <x:c r="AI48"/>
      <x:c r="AJ48"/>
      <x:c r="AK48"/>
      <x:c r="AL48"/>
    </x:row>
    <x:row r="49">
      <x:c r="A49" t="s">
        <x:v>249</x:v>
      </x:c>
      <x:c r="B49" t="s">
        <x:v>244</x:v>
      </x:c>
      <x:c r="C49" t="s">
        <x:v>44</x:v>
      </x:c>
      <x:c r="D49">
        <x:v>45951</x:v>
      </x:c>
      <x:c r="E49" t="s">
        <x:v>187</x:v>
      </x:c>
      <x:c r="F49" t="s">
        <x:v>51</x:v>
      </x:c>
      <x:c r="G49">
        <x:v>21</x:v>
      </x:c>
      <x:c r="H49" t="s">
        <x:v>48</x:v>
      </x:c>
      <x:c r="I49">
        <x:v>6</x:v>
      </x:c>
      <x:c r="J49">
        <x:v>10</x:v>
      </x:c>
      <x:c r="K49">
        <x:v>2</x:v>
      </x:c>
      <x:c r="L49">
        <x:f t="shared" si="0"/>
        <x:v>1</x:v>
      </x:c>
      <x:c r="P49">
        <x:f t="shared" si="1"/>
        <x:v>1</x:v>
      </x:c>
      <x:c r="Q49">
        <x:f t="shared" si="2"/>
        <x:v>1</x:v>
      </x:c>
      <x:c r="R49">
        <x:f t="shared" si="3"/>
        <x:v>0</x:v>
      </x:c>
      <x:c r="S49">
        <x:f t="shared" si="4"/>
        <x:v>2</x:v>
      </x:c>
      <x:c r="T49" t="str">
        <x:f t="shared" si="5"/>
        <x:v>DerivedFromCount</x:v>
      </x:c>
      <x:c r="U49" t="str">
        <x:f>IF(COUNTIF(DailyProduction!$Q$5:$Q$100,B49)=1,"OK","CHECK")</x:f>
        <x:v>OK</x:v>
      </x:c>
      <x:c r="V49" t="str">
        <x:f t="shared" si="6"/>
        <x:v>OK</x:v>
      </x:c>
      <x:c r="W49" t="str">
        <x:f>IF(SUMIF($B$5:$B$914,B49,$S$5:$S$914)=SUMIF(DailyProduction!$Q$5:$Q$100,B49,DailyProduction!$R$5:$R$100),"OK","CHECK")</x:f>
        <x:v>OK</x:v>
      </x:c>
      <x:c r="X49" t="str">
        <x:v>PLC-PRD-JAR-720-L21</x:v>
      </x:c>
      <x:c r="Y49" t="str">
        <x:v>OK</x:v>
      </x:c>
      <x:c r="Z49" t="str">
        <x:v>OK</x:v>
      </x:c>
      <x:c r="AA49" t="n">
        <x:v>3</x:v>
      </x:c>
      <x:c r="AB49" t="n">
        <x:v>2</x:v>
      </x:c>
      <x:c r="AC49" t="str">
        <x:v>OK</x:v>
      </x:c>
      <x:c r="AD49" t="str">
        <x:v>OK</x:v>
      </x:c>
      <x:c r="AE49" t="str">
        <x:v>LOAD</x:v>
      </x:c>
      <x:c r="AF49" t="str">
        <x:v>02_Supervisor_Log(4).xlsx</x:v>
      </x:c>
      <x:c r="AG49" t="str">
        <x:v>ENH-20260830-01</x:v>
      </x:c>
      <x:c r="AH49" t="str">
        <x:v>Active</x:v>
      </x:c>
      <x:c r="AI49"/>
      <x:c r="AJ49"/>
      <x:c r="AK49"/>
      <x:c r="AL49"/>
    </x:row>
    <x:row r="50">
      <x:c r="A50" t="s">
        <x:v>250</x:v>
      </x:c>
      <x:c r="B50" t="s">
        <x:v>244</x:v>
      </x:c>
      <x:c r="C50" t="s">
        <x:v>44</x:v>
      </x:c>
      <x:c r="D50">
        <x:v>45951</x:v>
      </x:c>
      <x:c r="E50" t="s">
        <x:v>187</x:v>
      </x:c>
      <x:c r="F50" t="s">
        <x:v>51</x:v>
      </x:c>
      <x:c r="G50">
        <x:v>21</x:v>
      </x:c>
      <x:c r="H50" t="s">
        <x:v>48</x:v>
      </x:c>
      <x:c r="I50">
        <x:v>7</x:v>
      </x:c>
      <x:c r="J50">
        <x:v>10</x:v>
      </x:c>
      <x:c r="K50">
        <x:v>2</x:v>
      </x:c>
      <x:c r="L50">
        <x:f t="shared" si="0"/>
        <x:v>1</x:v>
      </x:c>
      <x:c r="P50">
        <x:f t="shared" si="1"/>
        <x:v>1</x:v>
      </x:c>
      <x:c r="Q50">
        <x:f t="shared" si="2"/>
        <x:v>1</x:v>
      </x:c>
      <x:c r="R50">
        <x:f t="shared" si="3"/>
        <x:v>0</x:v>
      </x:c>
      <x:c r="S50">
        <x:f t="shared" si="4"/>
        <x:v>2</x:v>
      </x:c>
      <x:c r="T50" t="str">
        <x:f t="shared" si="5"/>
        <x:v>DerivedFromCount</x:v>
      </x:c>
      <x:c r="U50" t="str">
        <x:f>IF(COUNTIF(DailyProduction!$Q$5:$Q$100,B50)=1,"OK","CHECK")</x:f>
        <x:v>OK</x:v>
      </x:c>
      <x:c r="V50" t="str">
        <x:f t="shared" si="6"/>
        <x:v>OK</x:v>
      </x:c>
      <x:c r="W50" t="str">
        <x:f>IF(SUMIF($B$5:$B$914,B50,$S$5:$S$914)=SUMIF(DailyProduction!$Q$5:$Q$100,B50,DailyProduction!$R$5:$R$100),"OK","CHECK")</x:f>
        <x:v>OK</x:v>
      </x:c>
      <x:c r="X50" t="str">
        <x:v>PLC-PRD-JAR-720-L21</x:v>
      </x:c>
      <x:c r="Y50" t="str">
        <x:v>OK</x:v>
      </x:c>
      <x:c r="Z50" t="str">
        <x:v>OK</x:v>
      </x:c>
      <x:c r="AA50" t="n">
        <x:v>3</x:v>
      </x:c>
      <x:c r="AB50" t="n">
        <x:v>2</x:v>
      </x:c>
      <x:c r="AC50" t="str">
        <x:v>OK</x:v>
      </x:c>
      <x:c r="AD50" t="str">
        <x:v>OK</x:v>
      </x:c>
      <x:c r="AE50" t="str">
        <x:v>LOAD</x:v>
      </x:c>
      <x:c r="AF50" t="str">
        <x:v>02_Supervisor_Log(4).xlsx</x:v>
      </x:c>
      <x:c r="AG50" t="str">
        <x:v>ENH-20260830-01</x:v>
      </x:c>
      <x:c r="AH50" t="str">
        <x:v>Active</x:v>
      </x:c>
      <x:c r="AI50"/>
      <x:c r="AJ50"/>
      <x:c r="AK50"/>
      <x:c r="AL50"/>
    </x:row>
    <x:row r="51">
      <x:c r="A51" t="s">
        <x:v>251</x:v>
      </x:c>
      <x:c r="B51" t="s">
        <x:v>244</x:v>
      </x:c>
      <x:c r="C51" t="s">
        <x:v>44</x:v>
      </x:c>
      <x:c r="D51">
        <x:v>45951</x:v>
      </x:c>
      <x:c r="E51" t="s">
        <x:v>187</x:v>
      </x:c>
      <x:c r="F51" t="s">
        <x:v>51</x:v>
      </x:c>
      <x:c r="G51">
        <x:v>21</x:v>
      </x:c>
      <x:c r="H51" t="s">
        <x:v>48</x:v>
      </x:c>
      <x:c r="I51">
        <x:v>8</x:v>
      </x:c>
      <x:c r="J51">
        <x:v>10</x:v>
      </x:c>
      <x:c r="K51">
        <x:v>2</x:v>
      </x:c>
      <x:c r="L51">
        <x:f t="shared" si="0"/>
        <x:v>1</x:v>
      </x:c>
      <x:c r="P51">
        <x:f t="shared" si="1"/>
        <x:v>1</x:v>
      </x:c>
      <x:c r="Q51">
        <x:f t="shared" si="2"/>
        <x:v>1</x:v>
      </x:c>
      <x:c r="R51">
        <x:f t="shared" si="3"/>
        <x:v>0</x:v>
      </x:c>
      <x:c r="S51">
        <x:f t="shared" si="4"/>
        <x:v>2</x:v>
      </x:c>
      <x:c r="T51" t="str">
        <x:f t="shared" si="5"/>
        <x:v>DerivedFromCount</x:v>
      </x:c>
      <x:c r="U51" t="str">
        <x:f>IF(COUNTIF(DailyProduction!$Q$5:$Q$100,B51)=1,"OK","CHECK")</x:f>
        <x:v>OK</x:v>
      </x:c>
      <x:c r="V51" t="str">
        <x:f t="shared" si="6"/>
        <x:v>OK</x:v>
      </x:c>
      <x:c r="W51" t="str">
        <x:f>IF(SUMIF($B$5:$B$914,B51,$S$5:$S$914)=SUMIF(DailyProduction!$Q$5:$Q$100,B51,DailyProduction!$R$5:$R$100),"OK","CHECK")</x:f>
        <x:v>OK</x:v>
      </x:c>
      <x:c r="X51" t="str">
        <x:v>PLC-PRD-JAR-720-L21</x:v>
      </x:c>
      <x:c r="Y51" t="str">
        <x:v>OK</x:v>
      </x:c>
      <x:c r="Z51" t="str">
        <x:v>OK</x:v>
      </x:c>
      <x:c r="AA51" t="n">
        <x:v>3</x:v>
      </x:c>
      <x:c r="AB51" t="n">
        <x:v>2</x:v>
      </x:c>
      <x:c r="AC51" t="str">
        <x:v>OK</x:v>
      </x:c>
      <x:c r="AD51" t="str">
        <x:v>OK</x:v>
      </x:c>
      <x:c r="AE51" t="str">
        <x:v>LOAD</x:v>
      </x:c>
      <x:c r="AF51" t="str">
        <x:v>02_Supervisor_Log(4).xlsx</x:v>
      </x:c>
      <x:c r="AG51" t="str">
        <x:v>ENH-20260830-01</x:v>
      </x:c>
      <x:c r="AH51" t="str">
        <x:v>Active</x:v>
      </x:c>
      <x:c r="AI51"/>
      <x:c r="AJ51"/>
      <x:c r="AK51"/>
      <x:c r="AL51"/>
    </x:row>
    <x:row r="52">
      <x:c r="A52" t="s">
        <x:v>252</x:v>
      </x:c>
      <x:c r="B52" t="s">
        <x:v>244</x:v>
      </x:c>
      <x:c r="C52" t="s">
        <x:v>44</x:v>
      </x:c>
      <x:c r="D52">
        <x:v>45951</x:v>
      </x:c>
      <x:c r="E52" t="s">
        <x:v>187</x:v>
      </x:c>
      <x:c r="F52" t="s">
        <x:v>51</x:v>
      </x:c>
      <x:c r="G52">
        <x:v>21</x:v>
      </x:c>
      <x:c r="H52" t="s">
        <x:v>48</x:v>
      </x:c>
      <x:c r="I52">
        <x:v>9</x:v>
      </x:c>
      <x:c r="J52">
        <x:v>10</x:v>
      </x:c>
      <x:c r="K52">
        <x:v>2</x:v>
      </x:c>
      <x:c r="L52">
        <x:f t="shared" si="0"/>
        <x:v>1</x:v>
      </x:c>
      <x:c r="P52">
        <x:f t="shared" si="1"/>
        <x:v>1</x:v>
      </x:c>
      <x:c r="Q52">
        <x:f t="shared" si="2"/>
        <x:v>1</x:v>
      </x:c>
      <x:c r="R52">
        <x:f t="shared" si="3"/>
        <x:v>0</x:v>
      </x:c>
      <x:c r="S52">
        <x:f t="shared" si="4"/>
        <x:v>2</x:v>
      </x:c>
      <x:c r="T52" t="str">
        <x:f t="shared" si="5"/>
        <x:v>DerivedFromCount</x:v>
      </x:c>
      <x:c r="U52" t="str">
        <x:f>IF(COUNTIF(DailyProduction!$Q$5:$Q$100,B52)=1,"OK","CHECK")</x:f>
        <x:v>OK</x:v>
      </x:c>
      <x:c r="V52" t="str">
        <x:f t="shared" si="6"/>
        <x:v>OK</x:v>
      </x:c>
      <x:c r="W52" t="str">
        <x:f>IF(SUMIF($B$5:$B$914,B52,$S$5:$S$914)=SUMIF(DailyProduction!$Q$5:$Q$100,B52,DailyProduction!$R$5:$R$100),"OK","CHECK")</x:f>
        <x:v>OK</x:v>
      </x:c>
      <x:c r="X52" t="str">
        <x:v>PLC-PRD-JAR-720-L21</x:v>
      </x:c>
      <x:c r="Y52" t="str">
        <x:v>OK</x:v>
      </x:c>
      <x:c r="Z52" t="str">
        <x:v>OK</x:v>
      </x:c>
      <x:c r="AA52" t="n">
        <x:v>3</x:v>
      </x:c>
      <x:c r="AB52" t="n">
        <x:v>2</x:v>
      </x:c>
      <x:c r="AC52" t="str">
        <x:v>OK</x:v>
      </x:c>
      <x:c r="AD52" t="str">
        <x:v>OK</x:v>
      </x:c>
      <x:c r="AE52" t="str">
        <x:v>LOAD</x:v>
      </x:c>
      <x:c r="AF52" t="str">
        <x:v>02_Supervisor_Log(4).xlsx</x:v>
      </x:c>
      <x:c r="AG52" t="str">
        <x:v>ENH-20260830-01</x:v>
      </x:c>
      <x:c r="AH52" t="str">
        <x:v>Active</x:v>
      </x:c>
      <x:c r="AI52"/>
      <x:c r="AJ52"/>
      <x:c r="AK52"/>
      <x:c r="AL52"/>
    </x:row>
    <x:row r="53">
      <x:c r="A53" t="s">
        <x:v>253</x:v>
      </x:c>
      <x:c r="B53" t="s">
        <x:v>244</x:v>
      </x:c>
      <x:c r="C53" t="s">
        <x:v>44</x:v>
      </x:c>
      <x:c r="D53">
        <x:v>45951</x:v>
      </x:c>
      <x:c r="E53" t="s">
        <x:v>187</x:v>
      </x:c>
      <x:c r="F53" t="s">
        <x:v>51</x:v>
      </x:c>
      <x:c r="G53">
        <x:v>21</x:v>
      </x:c>
      <x:c r="H53" t="s">
        <x:v>48</x:v>
      </x:c>
      <x:c r="I53">
        <x:v>10</x:v>
      </x:c>
      <x:c r="J53">
        <x:v>10</x:v>
      </x:c>
      <x:c r="K53">
        <x:v>2</x:v>
      </x:c>
      <x:c r="L53">
        <x:f t="shared" si="0"/>
        <x:v>1</x:v>
      </x:c>
      <x:c r="P53">
        <x:f t="shared" si="1"/>
        <x:v>1</x:v>
      </x:c>
      <x:c r="Q53">
        <x:f t="shared" si="2"/>
        <x:v>1</x:v>
      </x:c>
      <x:c r="R53">
        <x:f t="shared" si="3"/>
        <x:v>0</x:v>
      </x:c>
      <x:c r="S53">
        <x:f t="shared" si="4"/>
        <x:v>2</x:v>
      </x:c>
      <x:c r="T53" t="str">
        <x:f t="shared" si="5"/>
        <x:v>DerivedFromCount</x:v>
      </x:c>
      <x:c r="U53" t="str">
        <x:f>IF(COUNTIF(DailyProduction!$Q$5:$Q$100,B53)=1,"OK","CHECK")</x:f>
        <x:v>OK</x:v>
      </x:c>
      <x:c r="V53" t="str">
        <x:f t="shared" si="6"/>
        <x:v>OK</x:v>
      </x:c>
      <x:c r="W53" t="str">
        <x:f>IF(SUMIF($B$5:$B$914,B53,$S$5:$S$914)=SUMIF(DailyProduction!$Q$5:$Q$100,B53,DailyProduction!$R$5:$R$100),"OK","CHECK")</x:f>
        <x:v>OK</x:v>
      </x:c>
      <x:c r="X53" t="str">
        <x:v>PLC-PRD-JAR-720-L21</x:v>
      </x:c>
      <x:c r="Y53" t="str">
        <x:v>OK</x:v>
      </x:c>
      <x:c r="Z53" t="str">
        <x:v>OK</x:v>
      </x:c>
      <x:c r="AA53" t="n">
        <x:v>3</x:v>
      </x:c>
      <x:c r="AB53" t="n">
        <x:v>2</x:v>
      </x:c>
      <x:c r="AC53" t="str">
        <x:v>OK</x:v>
      </x:c>
      <x:c r="AD53" t="str">
        <x:v>OK</x:v>
      </x:c>
      <x:c r="AE53" t="str">
        <x:v>LOAD</x:v>
      </x:c>
      <x:c r="AF53" t="str">
        <x:v>02_Supervisor_Log(4).xlsx</x:v>
      </x:c>
      <x:c r="AG53" t="str">
        <x:v>ENH-20260830-01</x:v>
      </x:c>
      <x:c r="AH53" t="str">
        <x:v>Active</x:v>
      </x:c>
      <x:c r="AI53"/>
      <x:c r="AJ53"/>
      <x:c r="AK53"/>
      <x:c r="AL53"/>
    </x:row>
    <x:row r="54">
      <x:c r="A54" t="s">
        <x:v>254</x:v>
      </x:c>
      <x:c r="B54" t="s">
        <x:v>244</x:v>
      </x:c>
      <x:c r="C54" t="s">
        <x:v>44</x:v>
      </x:c>
      <x:c r="D54">
        <x:v>45951</x:v>
      </x:c>
      <x:c r="E54" t="s">
        <x:v>187</x:v>
      </x:c>
      <x:c r="F54" t="s">
        <x:v>51</x:v>
      </x:c>
      <x:c r="G54">
        <x:v>21</x:v>
      </x:c>
      <x:c r="H54" t="s">
        <x:v>48</x:v>
      </x:c>
      <x:c r="I54">
        <x:v>11</x:v>
      </x:c>
      <x:c r="J54">
        <x:v>10</x:v>
      </x:c>
      <x:c r="K54">
        <x:v>2</x:v>
      </x:c>
      <x:c r="L54">
        <x:f t="shared" si="0"/>
        <x:v>0</x:v>
      </x:c>
      <x:c r="P54">
        <x:f t="shared" si="1"/>
        <x:v>0</x:v>
      </x:c>
      <x:c r="Q54">
        <x:f t="shared" si="2"/>
        <x:v>0</x:v>
      </x:c>
      <x:c r="R54">
        <x:f t="shared" si="3"/>
        <x:v>0</x:v>
      </x:c>
      <x:c r="S54">
        <x:f t="shared" si="4"/>
        <x:v>0</x:v>
      </x:c>
      <x:c r="T54" t="str">
        <x:f t="shared" si="5"/>
        <x:v>DerivedFromCount</x:v>
      </x:c>
      <x:c r="U54" t="str">
        <x:f>IF(COUNTIF(DailyProduction!$Q$5:$Q$100,B54)=1,"OK","CHECK")</x:f>
        <x:v>OK</x:v>
      </x:c>
      <x:c r="V54" t="str">
        <x:f t="shared" si="6"/>
        <x:v>OK</x:v>
      </x:c>
      <x:c r="W54" t="str">
        <x:f>IF(SUMIF($B$5:$B$914,B54,$S$5:$S$914)=SUMIF(DailyProduction!$Q$5:$Q$100,B54,DailyProduction!$R$5:$R$100),"OK","CHECK")</x:f>
        <x:v>OK</x:v>
      </x:c>
      <x:c r="X54" t="str">
        <x:v>PLC-PRD-JAR-720-L21</x:v>
      </x:c>
      <x:c r="Y54" t="str">
        <x:v>OK</x:v>
      </x:c>
      <x:c r="Z54" t="str">
        <x:v>OK</x:v>
      </x:c>
      <x:c r="AA54" t="n">
        <x:v>3</x:v>
      </x:c>
      <x:c r="AB54" t="n">
        <x:v>0</x:v>
      </x:c>
      <x:c r="AC54" t="str">
        <x:v>OK</x:v>
      </x:c>
      <x:c r="AD54" t="str">
        <x:v>OK</x:v>
      </x:c>
      <x:c r="AE54" t="str">
        <x:v>LOAD</x:v>
      </x:c>
      <x:c r="AF54" t="str">
        <x:v>02_Supervisor_Log(4).xlsx</x:v>
      </x:c>
      <x:c r="AG54" t="str">
        <x:v>ENH-20260830-01</x:v>
      </x:c>
      <x:c r="AH54" t="str">
        <x:v>Active</x:v>
      </x:c>
      <x:c r="AI54"/>
      <x:c r="AJ54"/>
      <x:c r="AK54"/>
      <x:c r="AL54"/>
    </x:row>
    <x:row r="55">
      <x:c r="A55" t="s">
        <x:v>255</x:v>
      </x:c>
      <x:c r="B55" t="s">
        <x:v>244</x:v>
      </x:c>
      <x:c r="C55" t="s">
        <x:v>44</x:v>
      </x:c>
      <x:c r="D55">
        <x:v>45951</x:v>
      </x:c>
      <x:c r="E55" t="s">
        <x:v>187</x:v>
      </x:c>
      <x:c r="F55" t="s">
        <x:v>51</x:v>
      </x:c>
      <x:c r="G55">
        <x:v>21</x:v>
      </x:c>
      <x:c r="H55" t="s">
        <x:v>48</x:v>
      </x:c>
      <x:c r="I55">
        <x:v>12</x:v>
      </x:c>
      <x:c r="J55">
        <x:v>10</x:v>
      </x:c>
      <x:c r="K55">
        <x:v>2</x:v>
      </x:c>
      <x:c r="L55">
        <x:f t="shared" si="0"/>
        <x:v>0</x:v>
      </x:c>
      <x:c r="P55">
        <x:f t="shared" si="1"/>
        <x:v>0</x:v>
      </x:c>
      <x:c r="Q55">
        <x:f t="shared" si="2"/>
        <x:v>0</x:v>
      </x:c>
      <x:c r="R55">
        <x:f t="shared" si="3"/>
        <x:v>0</x:v>
      </x:c>
      <x:c r="S55">
        <x:f t="shared" si="4"/>
        <x:v>0</x:v>
      </x:c>
      <x:c r="T55" t="str">
        <x:f t="shared" si="5"/>
        <x:v>DerivedFromCount</x:v>
      </x:c>
      <x:c r="U55" t="str">
        <x:f>IF(COUNTIF(DailyProduction!$Q$5:$Q$100,B55)=1,"OK","CHECK")</x:f>
        <x:v>OK</x:v>
      </x:c>
      <x:c r="V55" t="str">
        <x:f t="shared" si="6"/>
        <x:v>OK</x:v>
      </x:c>
      <x:c r="W55" t="str">
        <x:f>IF(SUMIF($B$5:$B$914,B55,$S$5:$S$914)=SUMIF(DailyProduction!$Q$5:$Q$100,B55,DailyProduction!$R$5:$R$100),"OK","CHECK")</x:f>
        <x:v>OK</x:v>
      </x:c>
      <x:c r="X55" t="str">
        <x:v>PLC-PRD-JAR-720-L21</x:v>
      </x:c>
      <x:c r="Y55" t="str">
        <x:v>OK</x:v>
      </x:c>
      <x:c r="Z55" t="str">
        <x:v>OK</x:v>
      </x:c>
      <x:c r="AA55" t="n">
        <x:v>3</x:v>
      </x:c>
      <x:c r="AB55" t="n">
        <x:v>0</x:v>
      </x:c>
      <x:c r="AC55" t="str">
        <x:v>OK</x:v>
      </x:c>
      <x:c r="AD55" t="str">
        <x:v>OK</x:v>
      </x:c>
      <x:c r="AE55" t="str">
        <x:v>LOAD</x:v>
      </x:c>
      <x:c r="AF55" t="str">
        <x:v>02_Supervisor_Log(4).xlsx</x:v>
      </x:c>
      <x:c r="AG55" t="str">
        <x:v>ENH-20260830-01</x:v>
      </x:c>
      <x:c r="AH55" t="str">
        <x:v>Active</x:v>
      </x:c>
      <x:c r="AI55"/>
      <x:c r="AJ55"/>
      <x:c r="AK55"/>
      <x:c r="AL55"/>
    </x:row>
    <x:row r="56">
      <x:c r="A56" t="s">
        <x:v>256</x:v>
      </x:c>
      <x:c r="B56" t="s">
        <x:v>244</x:v>
      </x:c>
      <x:c r="C56" t="s">
        <x:v>44</x:v>
      </x:c>
      <x:c r="D56">
        <x:v>45951</x:v>
      </x:c>
      <x:c r="E56" t="s">
        <x:v>187</x:v>
      </x:c>
      <x:c r="F56" t="s">
        <x:v>51</x:v>
      </x:c>
      <x:c r="G56">
        <x:v>21</x:v>
      </x:c>
      <x:c r="H56" t="s">
        <x:v>48</x:v>
      </x:c>
      <x:c r="I56">
        <x:v>13</x:v>
      </x:c>
      <x:c r="J56">
        <x:v>10</x:v>
      </x:c>
      <x:c r="K56">
        <x:v>2</x:v>
      </x:c>
      <x:c r="L56">
        <x:f t="shared" si="0"/>
        <x:v>0</x:v>
      </x:c>
      <x:c r="P56">
        <x:f t="shared" si="1"/>
        <x:v>0</x:v>
      </x:c>
      <x:c r="Q56">
        <x:f t="shared" si="2"/>
        <x:v>0</x:v>
      </x:c>
      <x:c r="R56">
        <x:f t="shared" si="3"/>
        <x:v>0</x:v>
      </x:c>
      <x:c r="S56">
        <x:f t="shared" si="4"/>
        <x:v>0</x:v>
      </x:c>
      <x:c r="T56" t="str">
        <x:f t="shared" si="5"/>
        <x:v>DerivedFromCount</x:v>
      </x:c>
      <x:c r="U56" t="str">
        <x:f>IF(COUNTIF(DailyProduction!$Q$5:$Q$100,B56)=1,"OK","CHECK")</x:f>
        <x:v>OK</x:v>
      </x:c>
      <x:c r="V56" t="str">
        <x:f t="shared" si="6"/>
        <x:v>OK</x:v>
      </x:c>
      <x:c r="W56" t="str">
        <x:f>IF(SUMIF($B$5:$B$914,B56,$S$5:$S$914)=SUMIF(DailyProduction!$Q$5:$Q$100,B56,DailyProduction!$R$5:$R$100),"OK","CHECK")</x:f>
        <x:v>OK</x:v>
      </x:c>
      <x:c r="X56" t="str">
        <x:v>PLC-PRD-JAR-720-L21</x:v>
      </x:c>
      <x:c r="Y56" t="str">
        <x:v>OK</x:v>
      </x:c>
      <x:c r="Z56" t="str">
        <x:v>OK</x:v>
      </x:c>
      <x:c r="AA56" t="n">
        <x:v>3</x:v>
      </x:c>
      <x:c r="AB56" t="n">
        <x:v>0</x:v>
      </x:c>
      <x:c r="AC56" t="str">
        <x:v>OK</x:v>
      </x:c>
      <x:c r="AD56" t="str">
        <x:v>OK</x:v>
      </x:c>
      <x:c r="AE56" t="str">
        <x:v>LOAD</x:v>
      </x:c>
      <x:c r="AF56" t="str">
        <x:v>02_Supervisor_Log(4).xlsx</x:v>
      </x:c>
      <x:c r="AG56" t="str">
        <x:v>ENH-20260830-01</x:v>
      </x:c>
      <x:c r="AH56" t="str">
        <x:v>Active</x:v>
      </x:c>
      <x:c r="AI56"/>
      <x:c r="AJ56"/>
      <x:c r="AK56"/>
      <x:c r="AL56"/>
    </x:row>
    <x:row r="57">
      <x:c r="A57" t="s">
        <x:v>257</x:v>
      </x:c>
      <x:c r="B57" t="s">
        <x:v>258</x:v>
      </x:c>
      <x:c r="C57" t="s">
        <x:v>44</x:v>
      </x:c>
      <x:c r="D57">
        <x:v>45952</x:v>
      </x:c>
      <x:c r="E57" t="s">
        <x:v>45</x:v>
      </x:c>
      <x:c r="F57" t="s">
        <x:v>51</x:v>
      </x:c>
      <x:c r="G57">
        <x:v>21</x:v>
      </x:c>
      <x:c r="H57" t="s">
        <x:v>48</x:v>
      </x:c>
      <x:c r="I57">
        <x:v>1</x:v>
      </x:c>
      <x:c r="J57">
        <x:v>10</x:v>
      </x:c>
      <x:c r="K57">
        <x:v>2</x:v>
      </x:c>
      <x:c r="L57">
        <x:f t="shared" si="0"/>
        <x:v>1</x:v>
      </x:c>
      <x:c r="P57">
        <x:f t="shared" si="1"/>
        <x:v>1</x:v>
      </x:c>
      <x:c r="Q57">
        <x:f t="shared" si="2"/>
        <x:v>1</x:v>
      </x:c>
      <x:c r="R57">
        <x:f t="shared" si="3"/>
        <x:v>0</x:v>
      </x:c>
      <x:c r="S57">
        <x:f t="shared" si="4"/>
        <x:v>2</x:v>
      </x:c>
      <x:c r="T57" t="str">
        <x:f t="shared" si="5"/>
        <x:v>DerivedFromCount</x:v>
      </x:c>
      <x:c r="U57" t="str">
        <x:f>IF(COUNTIF(DailyProduction!$Q$5:$Q$100,B57)=1,"OK","CHECK")</x:f>
        <x:v>OK</x:v>
      </x:c>
      <x:c r="V57" t="str">
        <x:f t="shared" si="6"/>
        <x:v>OK</x:v>
      </x:c>
      <x:c r="W57" t="str">
        <x:f>IF(SUMIF($B$5:$B$914,B57,$S$5:$S$914)=SUMIF(DailyProduction!$Q$5:$Q$100,B57,DailyProduction!$R$5:$R$100),"OK","CHECK")</x:f>
        <x:v>OK</x:v>
      </x:c>
      <x:c r="X57" t="str">
        <x:v>PLC-PRD-JAR-720-L21</x:v>
      </x:c>
      <x:c r="Y57" t="str">
        <x:v>OK</x:v>
      </x:c>
      <x:c r="Z57" t="str">
        <x:v>OK</x:v>
      </x:c>
      <x:c r="AA57" t="n">
        <x:v>3</x:v>
      </x:c>
      <x:c r="AB57" t="n">
        <x:v>2</x:v>
      </x:c>
      <x:c r="AC57" t="str">
        <x:v>OK</x:v>
      </x:c>
      <x:c r="AD57" t="str">
        <x:v>OK</x:v>
      </x:c>
      <x:c r="AE57" t="str">
        <x:v>LOAD</x:v>
      </x:c>
      <x:c r="AF57" t="str">
        <x:v>02_Supervisor_Log(4).xlsx</x:v>
      </x:c>
      <x:c r="AG57" t="str">
        <x:v>ENH-20260830-01</x:v>
      </x:c>
      <x:c r="AH57" t="str">
        <x:v>Active</x:v>
      </x:c>
      <x:c r="AI57"/>
      <x:c r="AJ57"/>
      <x:c r="AK57"/>
      <x:c r="AL57"/>
    </x:row>
    <x:row r="58">
      <x:c r="A58" t="s">
        <x:v>259</x:v>
      </x:c>
      <x:c r="B58" t="s">
        <x:v>258</x:v>
      </x:c>
      <x:c r="C58" t="s">
        <x:v>44</x:v>
      </x:c>
      <x:c r="D58">
        <x:v>45952</x:v>
      </x:c>
      <x:c r="E58" t="s">
        <x:v>45</x:v>
      </x:c>
      <x:c r="F58" t="s">
        <x:v>51</x:v>
      </x:c>
      <x:c r="G58">
        <x:v>21</x:v>
      </x:c>
      <x:c r="H58" t="s">
        <x:v>48</x:v>
      </x:c>
      <x:c r="I58">
        <x:v>2</x:v>
      </x:c>
      <x:c r="J58">
        <x:v>10</x:v>
      </x:c>
      <x:c r="K58">
        <x:v>2</x:v>
      </x:c>
      <x:c r="L58">
        <x:f t="shared" si="0"/>
        <x:v>1</x:v>
      </x:c>
      <x:c r="P58">
        <x:f t="shared" si="1"/>
        <x:v>1</x:v>
      </x:c>
      <x:c r="Q58">
        <x:f t="shared" si="2"/>
        <x:v>1</x:v>
      </x:c>
      <x:c r="R58">
        <x:f t="shared" si="3"/>
        <x:v>0</x:v>
      </x:c>
      <x:c r="S58">
        <x:f t="shared" si="4"/>
        <x:v>2</x:v>
      </x:c>
      <x:c r="T58" t="str">
        <x:f t="shared" si="5"/>
        <x:v>DerivedFromCount</x:v>
      </x:c>
      <x:c r="U58" t="str">
        <x:f>IF(COUNTIF(DailyProduction!$Q$5:$Q$100,B58)=1,"OK","CHECK")</x:f>
        <x:v>OK</x:v>
      </x:c>
      <x:c r="V58" t="str">
        <x:f t="shared" si="6"/>
        <x:v>OK</x:v>
      </x:c>
      <x:c r="W58" t="str">
        <x:f>IF(SUMIF($B$5:$B$914,B58,$S$5:$S$914)=SUMIF(DailyProduction!$Q$5:$Q$100,B58,DailyProduction!$R$5:$R$100),"OK","CHECK")</x:f>
        <x:v>OK</x:v>
      </x:c>
      <x:c r="X58" t="str">
        <x:v>PLC-PRD-JAR-720-L21</x:v>
      </x:c>
      <x:c r="Y58" t="str">
        <x:v>OK</x:v>
      </x:c>
      <x:c r="Z58" t="str">
        <x:v>OK</x:v>
      </x:c>
      <x:c r="AA58" t="n">
        <x:v>3</x:v>
      </x:c>
      <x:c r="AB58" t="n">
        <x:v>2</x:v>
      </x:c>
      <x:c r="AC58" t="str">
        <x:v>OK</x:v>
      </x:c>
      <x:c r="AD58" t="str">
        <x:v>OK</x:v>
      </x:c>
      <x:c r="AE58" t="str">
        <x:v>LOAD</x:v>
      </x:c>
      <x:c r="AF58" t="str">
        <x:v>02_Supervisor_Log(4).xlsx</x:v>
      </x:c>
      <x:c r="AG58" t="str">
        <x:v>ENH-20260830-01</x:v>
      </x:c>
      <x:c r="AH58" t="str">
        <x:v>Active</x:v>
      </x:c>
      <x:c r="AI58"/>
      <x:c r="AJ58"/>
      <x:c r="AK58"/>
      <x:c r="AL58"/>
    </x:row>
    <x:row r="59">
      <x:c r="A59" t="s">
        <x:v>260</x:v>
      </x:c>
      <x:c r="B59" t="s">
        <x:v>258</x:v>
      </x:c>
      <x:c r="C59" t="s">
        <x:v>44</x:v>
      </x:c>
      <x:c r="D59">
        <x:v>45952</x:v>
      </x:c>
      <x:c r="E59" t="s">
        <x:v>45</x:v>
      </x:c>
      <x:c r="F59" t="s">
        <x:v>51</x:v>
      </x:c>
      <x:c r="G59">
        <x:v>21</x:v>
      </x:c>
      <x:c r="H59" t="s">
        <x:v>48</x:v>
      </x:c>
      <x:c r="I59">
        <x:v>3</x:v>
      </x:c>
      <x:c r="J59">
        <x:v>10</x:v>
      </x:c>
      <x:c r="K59">
        <x:v>2</x:v>
      </x:c>
      <x:c r="L59">
        <x:f t="shared" si="0"/>
        <x:v>1</x:v>
      </x:c>
      <x:c r="P59">
        <x:f t="shared" si="1"/>
        <x:v>1</x:v>
      </x:c>
      <x:c r="Q59">
        <x:f t="shared" si="2"/>
        <x:v>1</x:v>
      </x:c>
      <x:c r="R59">
        <x:f t="shared" si="3"/>
        <x:v>0</x:v>
      </x:c>
      <x:c r="S59">
        <x:f t="shared" si="4"/>
        <x:v>2</x:v>
      </x:c>
      <x:c r="T59" t="str">
        <x:f t="shared" si="5"/>
        <x:v>DerivedFromCount</x:v>
      </x:c>
      <x:c r="U59" t="str">
        <x:f>IF(COUNTIF(DailyProduction!$Q$5:$Q$100,B59)=1,"OK","CHECK")</x:f>
        <x:v>OK</x:v>
      </x:c>
      <x:c r="V59" t="str">
        <x:f t="shared" si="6"/>
        <x:v>OK</x:v>
      </x:c>
      <x:c r="W59" t="str">
        <x:f>IF(SUMIF($B$5:$B$914,B59,$S$5:$S$914)=SUMIF(DailyProduction!$Q$5:$Q$100,B59,DailyProduction!$R$5:$R$100),"OK","CHECK")</x:f>
        <x:v>OK</x:v>
      </x:c>
      <x:c r="X59" t="str">
        <x:v>PLC-PRD-JAR-720-L21</x:v>
      </x:c>
      <x:c r="Y59" t="str">
        <x:v>OK</x:v>
      </x:c>
      <x:c r="Z59" t="str">
        <x:v>OK</x:v>
      </x:c>
      <x:c r="AA59" t="n">
        <x:v>3</x:v>
      </x:c>
      <x:c r="AB59" t="n">
        <x:v>2</x:v>
      </x:c>
      <x:c r="AC59" t="str">
        <x:v>OK</x:v>
      </x:c>
      <x:c r="AD59" t="str">
        <x:v>OK</x:v>
      </x:c>
      <x:c r="AE59" t="str">
        <x:v>LOAD</x:v>
      </x:c>
      <x:c r="AF59" t="str">
        <x:v>02_Supervisor_Log(4).xlsx</x:v>
      </x:c>
      <x:c r="AG59" t="str">
        <x:v>ENH-20260830-01</x:v>
      </x:c>
      <x:c r="AH59" t="str">
        <x:v>Active</x:v>
      </x:c>
      <x:c r="AI59"/>
      <x:c r="AJ59"/>
      <x:c r="AK59"/>
      <x:c r="AL59"/>
    </x:row>
    <x:row r="60">
      <x:c r="A60" t="s">
        <x:v>261</x:v>
      </x:c>
      <x:c r="B60" t="s">
        <x:v>258</x:v>
      </x:c>
      <x:c r="C60" t="s">
        <x:v>44</x:v>
      </x:c>
      <x:c r="D60">
        <x:v>45952</x:v>
      </x:c>
      <x:c r="E60" t="s">
        <x:v>45</x:v>
      </x:c>
      <x:c r="F60" t="s">
        <x:v>51</x:v>
      </x:c>
      <x:c r="G60">
        <x:v>21</x:v>
      </x:c>
      <x:c r="H60" t="s">
        <x:v>48</x:v>
      </x:c>
      <x:c r="I60">
        <x:v>4</x:v>
      </x:c>
      <x:c r="J60">
        <x:v>10</x:v>
      </x:c>
      <x:c r="K60">
        <x:v>2</x:v>
      </x:c>
      <x:c r="L60">
        <x:f t="shared" si="0"/>
        <x:v>1</x:v>
      </x:c>
      <x:c r="P60">
        <x:f t="shared" si="1"/>
        <x:v>1</x:v>
      </x:c>
      <x:c r="Q60">
        <x:f t="shared" si="2"/>
        <x:v>1</x:v>
      </x:c>
      <x:c r="R60">
        <x:f t="shared" si="3"/>
        <x:v>0</x:v>
      </x:c>
      <x:c r="S60">
        <x:f t="shared" si="4"/>
        <x:v>2</x:v>
      </x:c>
      <x:c r="T60" t="str">
        <x:f t="shared" si="5"/>
        <x:v>DerivedFromCount</x:v>
      </x:c>
      <x:c r="U60" t="str">
        <x:f>IF(COUNTIF(DailyProduction!$Q$5:$Q$100,B60)=1,"OK","CHECK")</x:f>
        <x:v>OK</x:v>
      </x:c>
      <x:c r="V60" t="str">
        <x:f t="shared" si="6"/>
        <x:v>OK</x:v>
      </x:c>
      <x:c r="W60" t="str">
        <x:f>IF(SUMIF($B$5:$B$914,B60,$S$5:$S$914)=SUMIF(DailyProduction!$Q$5:$Q$100,B60,DailyProduction!$R$5:$R$100),"OK","CHECK")</x:f>
        <x:v>OK</x:v>
      </x:c>
      <x:c r="X60" t="str">
        <x:v>PLC-PRD-JAR-720-L21</x:v>
      </x:c>
      <x:c r="Y60" t="str">
        <x:v>OK</x:v>
      </x:c>
      <x:c r="Z60" t="str">
        <x:v>OK</x:v>
      </x:c>
      <x:c r="AA60" t="n">
        <x:v>3</x:v>
      </x:c>
      <x:c r="AB60" t="n">
        <x:v>2</x:v>
      </x:c>
      <x:c r="AC60" t="str">
        <x:v>OK</x:v>
      </x:c>
      <x:c r="AD60" t="str">
        <x:v>OK</x:v>
      </x:c>
      <x:c r="AE60" t="str">
        <x:v>LOAD</x:v>
      </x:c>
      <x:c r="AF60" t="str">
        <x:v>02_Supervisor_Log(4).xlsx</x:v>
      </x:c>
      <x:c r="AG60" t="str">
        <x:v>ENH-20260830-01</x:v>
      </x:c>
      <x:c r="AH60" t="str">
        <x:v>Active</x:v>
      </x:c>
      <x:c r="AI60"/>
      <x:c r="AJ60"/>
      <x:c r="AK60"/>
      <x:c r="AL60"/>
    </x:row>
    <x:row r="61">
      <x:c r="A61" t="s">
        <x:v>262</x:v>
      </x:c>
      <x:c r="B61" t="s">
        <x:v>258</x:v>
      </x:c>
      <x:c r="C61" t="s">
        <x:v>44</x:v>
      </x:c>
      <x:c r="D61">
        <x:v>45952</x:v>
      </x:c>
      <x:c r="E61" t="s">
        <x:v>45</x:v>
      </x:c>
      <x:c r="F61" t="s">
        <x:v>51</x:v>
      </x:c>
      <x:c r="G61">
        <x:v>21</x:v>
      </x:c>
      <x:c r="H61" t="s">
        <x:v>48</x:v>
      </x:c>
      <x:c r="I61">
        <x:v>5</x:v>
      </x:c>
      <x:c r="J61">
        <x:v>10</x:v>
      </x:c>
      <x:c r="K61">
        <x:v>2</x:v>
      </x:c>
      <x:c r="L61">
        <x:f t="shared" si="0"/>
        <x:v>1</x:v>
      </x:c>
      <x:c r="P61">
        <x:f t="shared" si="1"/>
        <x:v>1</x:v>
      </x:c>
      <x:c r="Q61">
        <x:f t="shared" si="2"/>
        <x:v>1</x:v>
      </x:c>
      <x:c r="R61">
        <x:f t="shared" si="3"/>
        <x:v>0</x:v>
      </x:c>
      <x:c r="S61">
        <x:f t="shared" si="4"/>
        <x:v>2</x:v>
      </x:c>
      <x:c r="T61" t="str">
        <x:f t="shared" si="5"/>
        <x:v>DerivedFromCount</x:v>
      </x:c>
      <x:c r="U61" t="str">
        <x:f>IF(COUNTIF(DailyProduction!$Q$5:$Q$100,B61)=1,"OK","CHECK")</x:f>
        <x:v>OK</x:v>
      </x:c>
      <x:c r="V61" t="str">
        <x:f t="shared" si="6"/>
        <x:v>OK</x:v>
      </x:c>
      <x:c r="W61" t="str">
        <x:f>IF(SUMIF($B$5:$B$914,B61,$S$5:$S$914)=SUMIF(DailyProduction!$Q$5:$Q$100,B61,DailyProduction!$R$5:$R$100),"OK","CHECK")</x:f>
        <x:v>OK</x:v>
      </x:c>
      <x:c r="X61" t="str">
        <x:v>PLC-PRD-JAR-720-L21</x:v>
      </x:c>
      <x:c r="Y61" t="str">
        <x:v>OK</x:v>
      </x:c>
      <x:c r="Z61" t="str">
        <x:v>OK</x:v>
      </x:c>
      <x:c r="AA61" t="n">
        <x:v>3</x:v>
      </x:c>
      <x:c r="AB61" t="n">
        <x:v>2</x:v>
      </x:c>
      <x:c r="AC61" t="str">
        <x:v>OK</x:v>
      </x:c>
      <x:c r="AD61" t="str">
        <x:v>OK</x:v>
      </x:c>
      <x:c r="AE61" t="str">
        <x:v>LOAD</x:v>
      </x:c>
      <x:c r="AF61" t="str">
        <x:v>02_Supervisor_Log(4).xlsx</x:v>
      </x:c>
      <x:c r="AG61" t="str">
        <x:v>ENH-20260830-01</x:v>
      </x:c>
      <x:c r="AH61" t="str">
        <x:v>Active</x:v>
      </x:c>
      <x:c r="AI61"/>
      <x:c r="AJ61"/>
      <x:c r="AK61"/>
      <x:c r="AL61"/>
    </x:row>
    <x:row r="62">
      <x:c r="A62" t="s">
        <x:v>263</x:v>
      </x:c>
      <x:c r="B62" t="s">
        <x:v>258</x:v>
      </x:c>
      <x:c r="C62" t="s">
        <x:v>44</x:v>
      </x:c>
      <x:c r="D62">
        <x:v>45952</x:v>
      </x:c>
      <x:c r="E62" t="s">
        <x:v>45</x:v>
      </x:c>
      <x:c r="F62" t="s">
        <x:v>51</x:v>
      </x:c>
      <x:c r="G62">
        <x:v>21</x:v>
      </x:c>
      <x:c r="H62" t="s">
        <x:v>48</x:v>
      </x:c>
      <x:c r="I62">
        <x:v>6</x:v>
      </x:c>
      <x:c r="J62">
        <x:v>10</x:v>
      </x:c>
      <x:c r="K62">
        <x:v>2</x:v>
      </x:c>
      <x:c r="L62">
        <x:f t="shared" si="0"/>
        <x:v>1</x:v>
      </x:c>
      <x:c r="P62">
        <x:f t="shared" si="1"/>
        <x:v>1</x:v>
      </x:c>
      <x:c r="Q62">
        <x:f t="shared" si="2"/>
        <x:v>1</x:v>
      </x:c>
      <x:c r="R62">
        <x:f t="shared" si="3"/>
        <x:v>0</x:v>
      </x:c>
      <x:c r="S62">
        <x:f t="shared" si="4"/>
        <x:v>2</x:v>
      </x:c>
      <x:c r="T62" t="str">
        <x:f t="shared" si="5"/>
        <x:v>DerivedFromCount</x:v>
      </x:c>
      <x:c r="U62" t="str">
        <x:f>IF(COUNTIF(DailyProduction!$Q$5:$Q$100,B62)=1,"OK","CHECK")</x:f>
        <x:v>OK</x:v>
      </x:c>
      <x:c r="V62" t="str">
        <x:f t="shared" si="6"/>
        <x:v>OK</x:v>
      </x:c>
      <x:c r="W62" t="str">
        <x:f>IF(SUMIF($B$5:$B$914,B62,$S$5:$S$914)=SUMIF(DailyProduction!$Q$5:$Q$100,B62,DailyProduction!$R$5:$R$100),"OK","CHECK")</x:f>
        <x:v>OK</x:v>
      </x:c>
      <x:c r="X62" t="str">
        <x:v>PLC-PRD-JAR-720-L21</x:v>
      </x:c>
      <x:c r="Y62" t="str">
        <x:v>OK</x:v>
      </x:c>
      <x:c r="Z62" t="str">
        <x:v>OK</x:v>
      </x:c>
      <x:c r="AA62" t="n">
        <x:v>3</x:v>
      </x:c>
      <x:c r="AB62" t="n">
        <x:v>2</x:v>
      </x:c>
      <x:c r="AC62" t="str">
        <x:v>OK</x:v>
      </x:c>
      <x:c r="AD62" t="str">
        <x:v>OK</x:v>
      </x:c>
      <x:c r="AE62" t="str">
        <x:v>LOAD</x:v>
      </x:c>
      <x:c r="AF62" t="str">
        <x:v>02_Supervisor_Log(4).xlsx</x:v>
      </x:c>
      <x:c r="AG62" t="str">
        <x:v>ENH-20260830-01</x:v>
      </x:c>
      <x:c r="AH62" t="str">
        <x:v>Active</x:v>
      </x:c>
      <x:c r="AI62"/>
      <x:c r="AJ62"/>
      <x:c r="AK62"/>
      <x:c r="AL62"/>
    </x:row>
    <x:row r="63">
      <x:c r="A63" t="s">
        <x:v>264</x:v>
      </x:c>
      <x:c r="B63" t="s">
        <x:v>258</x:v>
      </x:c>
      <x:c r="C63" t="s">
        <x:v>44</x:v>
      </x:c>
      <x:c r="D63">
        <x:v>45952</x:v>
      </x:c>
      <x:c r="E63" t="s">
        <x:v>45</x:v>
      </x:c>
      <x:c r="F63" t="s">
        <x:v>51</x:v>
      </x:c>
      <x:c r="G63">
        <x:v>21</x:v>
      </x:c>
      <x:c r="H63" t="s">
        <x:v>48</x:v>
      </x:c>
      <x:c r="I63">
        <x:v>7</x:v>
      </x:c>
      <x:c r="J63">
        <x:v>10</x:v>
      </x:c>
      <x:c r="K63">
        <x:v>2</x:v>
      </x:c>
      <x:c r="L63">
        <x:f t="shared" si="0"/>
        <x:v>1</x:v>
      </x:c>
      <x:c r="P63">
        <x:f t="shared" si="1"/>
        <x:v>1</x:v>
      </x:c>
      <x:c r="Q63">
        <x:f t="shared" si="2"/>
        <x:v>1</x:v>
      </x:c>
      <x:c r="R63">
        <x:f t="shared" si="3"/>
        <x:v>0</x:v>
      </x:c>
      <x:c r="S63">
        <x:f t="shared" si="4"/>
        <x:v>2</x:v>
      </x:c>
      <x:c r="T63" t="str">
        <x:f t="shared" si="5"/>
        <x:v>DerivedFromCount</x:v>
      </x:c>
      <x:c r="U63" t="str">
        <x:f>IF(COUNTIF(DailyProduction!$Q$5:$Q$100,B63)=1,"OK","CHECK")</x:f>
        <x:v>OK</x:v>
      </x:c>
      <x:c r="V63" t="str">
        <x:f t="shared" si="6"/>
        <x:v>OK</x:v>
      </x:c>
      <x:c r="W63" t="str">
        <x:f>IF(SUMIF($B$5:$B$914,B63,$S$5:$S$914)=SUMIF(DailyProduction!$Q$5:$Q$100,B63,DailyProduction!$R$5:$R$100),"OK","CHECK")</x:f>
        <x:v>OK</x:v>
      </x:c>
      <x:c r="X63" t="str">
        <x:v>PLC-PRD-JAR-720-L21</x:v>
      </x:c>
      <x:c r="Y63" t="str">
        <x:v>OK</x:v>
      </x:c>
      <x:c r="Z63" t="str">
        <x:v>OK</x:v>
      </x:c>
      <x:c r="AA63" t="n">
        <x:v>3</x:v>
      </x:c>
      <x:c r="AB63" t="n">
        <x:v>2</x:v>
      </x:c>
      <x:c r="AC63" t="str">
        <x:v>OK</x:v>
      </x:c>
      <x:c r="AD63" t="str">
        <x:v>OK</x:v>
      </x:c>
      <x:c r="AE63" t="str">
        <x:v>LOAD</x:v>
      </x:c>
      <x:c r="AF63" t="str">
        <x:v>02_Supervisor_Log(4).xlsx</x:v>
      </x:c>
      <x:c r="AG63" t="str">
        <x:v>ENH-20260830-01</x:v>
      </x:c>
      <x:c r="AH63" t="str">
        <x:v>Active</x:v>
      </x:c>
      <x:c r="AI63"/>
      <x:c r="AJ63"/>
      <x:c r="AK63"/>
      <x:c r="AL63"/>
    </x:row>
    <x:row r="64">
      <x:c r="A64" t="s">
        <x:v>265</x:v>
      </x:c>
      <x:c r="B64" t="s">
        <x:v>258</x:v>
      </x:c>
      <x:c r="C64" t="s">
        <x:v>44</x:v>
      </x:c>
      <x:c r="D64">
        <x:v>45952</x:v>
      </x:c>
      <x:c r="E64" t="s">
        <x:v>45</x:v>
      </x:c>
      <x:c r="F64" t="s">
        <x:v>51</x:v>
      </x:c>
      <x:c r="G64">
        <x:v>21</x:v>
      </x:c>
      <x:c r="H64" t="s">
        <x:v>48</x:v>
      </x:c>
      <x:c r="I64">
        <x:v>8</x:v>
      </x:c>
      <x:c r="J64">
        <x:v>10</x:v>
      </x:c>
      <x:c r="K64">
        <x:v>2</x:v>
      </x:c>
      <x:c r="L64">
        <x:f t="shared" si="0"/>
        <x:v>1</x:v>
      </x:c>
      <x:c r="P64">
        <x:f t="shared" si="1"/>
        <x:v>1</x:v>
      </x:c>
      <x:c r="Q64">
        <x:f t="shared" si="2"/>
        <x:v>1</x:v>
      </x:c>
      <x:c r="R64">
        <x:f t="shared" si="3"/>
        <x:v>0</x:v>
      </x:c>
      <x:c r="S64">
        <x:f t="shared" si="4"/>
        <x:v>2</x:v>
      </x:c>
      <x:c r="T64" t="str">
        <x:f t="shared" si="5"/>
        <x:v>DerivedFromCount</x:v>
      </x:c>
      <x:c r="U64" t="str">
        <x:f>IF(COUNTIF(DailyProduction!$Q$5:$Q$100,B64)=1,"OK","CHECK")</x:f>
        <x:v>OK</x:v>
      </x:c>
      <x:c r="V64" t="str">
        <x:f t="shared" si="6"/>
        <x:v>OK</x:v>
      </x:c>
      <x:c r="W64" t="str">
        <x:f>IF(SUMIF($B$5:$B$914,B64,$S$5:$S$914)=SUMIF(DailyProduction!$Q$5:$Q$100,B64,DailyProduction!$R$5:$R$100),"OK","CHECK")</x:f>
        <x:v>OK</x:v>
      </x:c>
      <x:c r="X64" t="str">
        <x:v>PLC-PRD-JAR-720-L21</x:v>
      </x:c>
      <x:c r="Y64" t="str">
        <x:v>OK</x:v>
      </x:c>
      <x:c r="Z64" t="str">
        <x:v>OK</x:v>
      </x:c>
      <x:c r="AA64" t="n">
        <x:v>3</x:v>
      </x:c>
      <x:c r="AB64" t="n">
        <x:v>2</x:v>
      </x:c>
      <x:c r="AC64" t="str">
        <x:v>OK</x:v>
      </x:c>
      <x:c r="AD64" t="str">
        <x:v>OK</x:v>
      </x:c>
      <x:c r="AE64" t="str">
        <x:v>LOAD</x:v>
      </x:c>
      <x:c r="AF64" t="str">
        <x:v>02_Supervisor_Log(4).xlsx</x:v>
      </x:c>
      <x:c r="AG64" t="str">
        <x:v>ENH-20260830-01</x:v>
      </x:c>
      <x:c r="AH64" t="str">
        <x:v>Active</x:v>
      </x:c>
      <x:c r="AI64"/>
      <x:c r="AJ64"/>
      <x:c r="AK64"/>
      <x:c r="AL64"/>
    </x:row>
    <x:row r="65">
      <x:c r="A65" t="s">
        <x:v>266</x:v>
      </x:c>
      <x:c r="B65" t="s">
        <x:v>258</x:v>
      </x:c>
      <x:c r="C65" t="s">
        <x:v>44</x:v>
      </x:c>
      <x:c r="D65">
        <x:v>45952</x:v>
      </x:c>
      <x:c r="E65" t="s">
        <x:v>45</x:v>
      </x:c>
      <x:c r="F65" t="s">
        <x:v>51</x:v>
      </x:c>
      <x:c r="G65">
        <x:v>21</x:v>
      </x:c>
      <x:c r="H65" t="s">
        <x:v>48</x:v>
      </x:c>
      <x:c r="I65">
        <x:v>9</x:v>
      </x:c>
      <x:c r="J65">
        <x:v>10</x:v>
      </x:c>
      <x:c r="K65">
        <x:v>2</x:v>
      </x:c>
      <x:c r="L65">
        <x:f t="shared" si="0"/>
        <x:v>1</x:v>
      </x:c>
      <x:c r="P65">
        <x:f t="shared" si="1"/>
        <x:v>1</x:v>
      </x:c>
      <x:c r="Q65">
        <x:f t="shared" si="2"/>
        <x:v>1</x:v>
      </x:c>
      <x:c r="R65">
        <x:f t="shared" si="3"/>
        <x:v>0</x:v>
      </x:c>
      <x:c r="S65">
        <x:f t="shared" si="4"/>
        <x:v>2</x:v>
      </x:c>
      <x:c r="T65" t="str">
        <x:f t="shared" si="5"/>
        <x:v>DerivedFromCount</x:v>
      </x:c>
      <x:c r="U65" t="str">
        <x:f>IF(COUNTIF(DailyProduction!$Q$5:$Q$100,B65)=1,"OK","CHECK")</x:f>
        <x:v>OK</x:v>
      </x:c>
      <x:c r="V65" t="str">
        <x:f t="shared" si="6"/>
        <x:v>OK</x:v>
      </x:c>
      <x:c r="W65" t="str">
        <x:f>IF(SUMIF($B$5:$B$914,B65,$S$5:$S$914)=SUMIF(DailyProduction!$Q$5:$Q$100,B65,DailyProduction!$R$5:$R$100),"OK","CHECK")</x:f>
        <x:v>OK</x:v>
      </x:c>
      <x:c r="X65" t="str">
        <x:v>PLC-PRD-JAR-720-L21</x:v>
      </x:c>
      <x:c r="Y65" t="str">
        <x:v>OK</x:v>
      </x:c>
      <x:c r="Z65" t="str">
        <x:v>OK</x:v>
      </x:c>
      <x:c r="AA65" t="n">
        <x:v>3</x:v>
      </x:c>
      <x:c r="AB65" t="n">
        <x:v>2</x:v>
      </x:c>
      <x:c r="AC65" t="str">
        <x:v>OK</x:v>
      </x:c>
      <x:c r="AD65" t="str">
        <x:v>OK</x:v>
      </x:c>
      <x:c r="AE65" t="str">
        <x:v>LOAD</x:v>
      </x:c>
      <x:c r="AF65" t="str">
        <x:v>02_Supervisor_Log(4).xlsx</x:v>
      </x:c>
      <x:c r="AG65" t="str">
        <x:v>ENH-20260830-01</x:v>
      </x:c>
      <x:c r="AH65" t="str">
        <x:v>Active</x:v>
      </x:c>
      <x:c r="AI65"/>
      <x:c r="AJ65"/>
      <x:c r="AK65"/>
      <x:c r="AL65"/>
    </x:row>
    <x:row r="66">
      <x:c r="A66" t="s">
        <x:v>267</x:v>
      </x:c>
      <x:c r="B66" t="s">
        <x:v>258</x:v>
      </x:c>
      <x:c r="C66" t="s">
        <x:v>44</x:v>
      </x:c>
      <x:c r="D66">
        <x:v>45952</x:v>
      </x:c>
      <x:c r="E66" t="s">
        <x:v>45</x:v>
      </x:c>
      <x:c r="F66" t="s">
        <x:v>51</x:v>
      </x:c>
      <x:c r="G66">
        <x:v>21</x:v>
      </x:c>
      <x:c r="H66" t="s">
        <x:v>48</x:v>
      </x:c>
      <x:c r="I66">
        <x:v>10</x:v>
      </x:c>
      <x:c r="J66">
        <x:v>10</x:v>
      </x:c>
      <x:c r="K66">
        <x:v>2</x:v>
      </x:c>
      <x:c r="L66">
        <x:f t="shared" si="0"/>
        <x:v>1</x:v>
      </x:c>
      <x:c r="P66">
        <x:f t="shared" si="1"/>
        <x:v>1</x:v>
      </x:c>
      <x:c r="Q66">
        <x:f t="shared" si="2"/>
        <x:v>1</x:v>
      </x:c>
      <x:c r="R66">
        <x:f t="shared" si="3"/>
        <x:v>0</x:v>
      </x:c>
      <x:c r="S66">
        <x:f t="shared" si="4"/>
        <x:v>2</x:v>
      </x:c>
      <x:c r="T66" t="str">
        <x:f t="shared" si="5"/>
        <x:v>DerivedFromCount</x:v>
      </x:c>
      <x:c r="U66" t="str">
        <x:f>IF(COUNTIF(DailyProduction!$Q$5:$Q$100,B66)=1,"OK","CHECK")</x:f>
        <x:v>OK</x:v>
      </x:c>
      <x:c r="V66" t="str">
        <x:f t="shared" si="6"/>
        <x:v>OK</x:v>
      </x:c>
      <x:c r="W66" t="str">
        <x:f>IF(SUMIF($B$5:$B$914,B66,$S$5:$S$914)=SUMIF(DailyProduction!$Q$5:$Q$100,B66,DailyProduction!$R$5:$R$100),"OK","CHECK")</x:f>
        <x:v>OK</x:v>
      </x:c>
      <x:c r="X66" t="str">
        <x:v>PLC-PRD-JAR-720-L21</x:v>
      </x:c>
      <x:c r="Y66" t="str">
        <x:v>OK</x:v>
      </x:c>
      <x:c r="Z66" t="str">
        <x:v>OK</x:v>
      </x:c>
      <x:c r="AA66" t="n">
        <x:v>3</x:v>
      </x:c>
      <x:c r="AB66" t="n">
        <x:v>2</x:v>
      </x:c>
      <x:c r="AC66" t="str">
        <x:v>OK</x:v>
      </x:c>
      <x:c r="AD66" t="str">
        <x:v>OK</x:v>
      </x:c>
      <x:c r="AE66" t="str">
        <x:v>LOAD</x:v>
      </x:c>
      <x:c r="AF66" t="str">
        <x:v>02_Supervisor_Log(4).xlsx</x:v>
      </x:c>
      <x:c r="AG66" t="str">
        <x:v>ENH-20260830-01</x:v>
      </x:c>
      <x:c r="AH66" t="str">
        <x:v>Active</x:v>
      </x:c>
      <x:c r="AI66"/>
      <x:c r="AJ66"/>
      <x:c r="AK66"/>
      <x:c r="AL66"/>
    </x:row>
    <x:row r="67">
      <x:c r="A67" t="s">
        <x:v>268</x:v>
      </x:c>
      <x:c r="B67" t="s">
        <x:v>258</x:v>
      </x:c>
      <x:c r="C67" t="s">
        <x:v>44</x:v>
      </x:c>
      <x:c r="D67">
        <x:v>45952</x:v>
      </x:c>
      <x:c r="E67" t="s">
        <x:v>45</x:v>
      </x:c>
      <x:c r="F67" t="s">
        <x:v>51</x:v>
      </x:c>
      <x:c r="G67">
        <x:v>21</x:v>
      </x:c>
      <x:c r="H67" t="s">
        <x:v>48</x:v>
      </x:c>
      <x:c r="I67">
        <x:v>11</x:v>
      </x:c>
      <x:c r="J67">
        <x:v>10</x:v>
      </x:c>
      <x:c r="K67">
        <x:v>2</x:v>
      </x:c>
      <x:c r="L67">
        <x:f t="shared" si="0"/>
        <x:v>0</x:v>
      </x:c>
      <x:c r="P67">
        <x:f t="shared" si="1"/>
        <x:v>0</x:v>
      </x:c>
      <x:c r="Q67">
        <x:f t="shared" si="2"/>
        <x:v>0</x:v>
      </x:c>
      <x:c r="R67">
        <x:f t="shared" si="3"/>
        <x:v>0</x:v>
      </x:c>
      <x:c r="S67">
        <x:f t="shared" si="4"/>
        <x:v>0</x:v>
      </x:c>
      <x:c r="T67" t="str">
        <x:f t="shared" si="5"/>
        <x:v>DerivedFromCount</x:v>
      </x:c>
      <x:c r="U67" t="str">
        <x:f>IF(COUNTIF(DailyProduction!$Q$5:$Q$100,B67)=1,"OK","CHECK")</x:f>
        <x:v>OK</x:v>
      </x:c>
      <x:c r="V67" t="str">
        <x:f t="shared" si="6"/>
        <x:v>OK</x:v>
      </x:c>
      <x:c r="W67" t="str">
        <x:f>IF(SUMIF($B$5:$B$914,B67,$S$5:$S$914)=SUMIF(DailyProduction!$Q$5:$Q$100,B67,DailyProduction!$R$5:$R$100),"OK","CHECK")</x:f>
        <x:v>OK</x:v>
      </x:c>
      <x:c r="X67" t="str">
        <x:v>PLC-PRD-JAR-720-L21</x:v>
      </x:c>
      <x:c r="Y67" t="str">
        <x:v>OK</x:v>
      </x:c>
      <x:c r="Z67" t="str">
        <x:v>OK</x:v>
      </x:c>
      <x:c r="AA67" t="n">
        <x:v>3</x:v>
      </x:c>
      <x:c r="AB67" t="n">
        <x:v>0</x:v>
      </x:c>
      <x:c r="AC67" t="str">
        <x:v>OK</x:v>
      </x:c>
      <x:c r="AD67" t="str">
        <x:v>OK</x:v>
      </x:c>
      <x:c r="AE67" t="str">
        <x:v>LOAD</x:v>
      </x:c>
      <x:c r="AF67" t="str">
        <x:v>02_Supervisor_Log(4).xlsx</x:v>
      </x:c>
      <x:c r="AG67" t="str">
        <x:v>ENH-20260830-01</x:v>
      </x:c>
      <x:c r="AH67" t="str">
        <x:v>Active</x:v>
      </x:c>
      <x:c r="AI67"/>
      <x:c r="AJ67"/>
      <x:c r="AK67"/>
      <x:c r="AL67"/>
    </x:row>
    <x:row r="68">
      <x:c r="A68" t="s">
        <x:v>269</x:v>
      </x:c>
      <x:c r="B68" t="s">
        <x:v>258</x:v>
      </x:c>
      <x:c r="C68" t="s">
        <x:v>44</x:v>
      </x:c>
      <x:c r="D68">
        <x:v>45952</x:v>
      </x:c>
      <x:c r="E68" t="s">
        <x:v>45</x:v>
      </x:c>
      <x:c r="F68" t="s">
        <x:v>51</x:v>
      </x:c>
      <x:c r="G68">
        <x:v>21</x:v>
      </x:c>
      <x:c r="H68" t="s">
        <x:v>48</x:v>
      </x:c>
      <x:c r="I68">
        <x:v>12</x:v>
      </x:c>
      <x:c r="J68">
        <x:v>10</x:v>
      </x:c>
      <x:c r="K68">
        <x:v>2</x:v>
      </x:c>
      <x:c r="L68">
        <x:f t="shared" si="0"/>
        <x:v>0</x:v>
      </x:c>
      <x:c r="P68">
        <x:f t="shared" si="1"/>
        <x:v>0</x:v>
      </x:c>
      <x:c r="Q68">
        <x:f t="shared" si="2"/>
        <x:v>0</x:v>
      </x:c>
      <x:c r="R68">
        <x:f t="shared" si="3"/>
        <x:v>0</x:v>
      </x:c>
      <x:c r="S68">
        <x:f t="shared" si="4"/>
        <x:v>0</x:v>
      </x:c>
      <x:c r="T68" t="str">
        <x:f t="shared" si="5"/>
        <x:v>DerivedFromCount</x:v>
      </x:c>
      <x:c r="U68" t="str">
        <x:f>IF(COUNTIF(DailyProduction!$Q$5:$Q$100,B68)=1,"OK","CHECK")</x:f>
        <x:v>OK</x:v>
      </x:c>
      <x:c r="V68" t="str">
        <x:f t="shared" si="6"/>
        <x:v>OK</x:v>
      </x:c>
      <x:c r="W68" t="str">
        <x:f>IF(SUMIF($B$5:$B$914,B68,$S$5:$S$914)=SUMIF(DailyProduction!$Q$5:$Q$100,B68,DailyProduction!$R$5:$R$100),"OK","CHECK")</x:f>
        <x:v>OK</x:v>
      </x:c>
      <x:c r="X68" t="str">
        <x:v>PLC-PRD-JAR-720-L21</x:v>
      </x:c>
      <x:c r="Y68" t="str">
        <x:v>OK</x:v>
      </x:c>
      <x:c r="Z68" t="str">
        <x:v>OK</x:v>
      </x:c>
      <x:c r="AA68" t="n">
        <x:v>3</x:v>
      </x:c>
      <x:c r="AB68" t="n">
        <x:v>0</x:v>
      </x:c>
      <x:c r="AC68" t="str">
        <x:v>OK</x:v>
      </x:c>
      <x:c r="AD68" t="str">
        <x:v>OK</x:v>
      </x:c>
      <x:c r="AE68" t="str">
        <x:v>LOAD</x:v>
      </x:c>
      <x:c r="AF68" t="str">
        <x:v>02_Supervisor_Log(4).xlsx</x:v>
      </x:c>
      <x:c r="AG68" t="str">
        <x:v>ENH-20260830-01</x:v>
      </x:c>
      <x:c r="AH68" t="str">
        <x:v>Active</x:v>
      </x:c>
      <x:c r="AI68"/>
      <x:c r="AJ68"/>
      <x:c r="AK68"/>
      <x:c r="AL68"/>
    </x:row>
    <x:row r="69">
      <x:c r="A69" t="s">
        <x:v>270</x:v>
      </x:c>
      <x:c r="B69" t="s">
        <x:v>258</x:v>
      </x:c>
      <x:c r="C69" t="s">
        <x:v>44</x:v>
      </x:c>
      <x:c r="D69">
        <x:v>45952</x:v>
      </x:c>
      <x:c r="E69" t="s">
        <x:v>45</x:v>
      </x:c>
      <x:c r="F69" t="s">
        <x:v>51</x:v>
      </x:c>
      <x:c r="G69">
        <x:v>21</x:v>
      </x:c>
      <x:c r="H69" t="s">
        <x:v>48</x:v>
      </x:c>
      <x:c r="I69">
        <x:v>13</x:v>
      </x:c>
      <x:c r="J69">
        <x:v>10</x:v>
      </x:c>
      <x:c r="K69">
        <x:v>2</x:v>
      </x:c>
      <x:c r="L69" t="n">
        <x:f t="shared" ref="L69:L132" si="7">IF(I69&lt;=J69,1,0)</x:f>
        <x:v>0</x:v>
      </x:c>
      <x:c r="P69" t="n">
        <x:f t="shared" ref="P69:P132" si="8">IF(M69="",IF(AND(L69=1,K69&gt;=1),1,0),M69)</x:f>
        <x:v>0</x:v>
      </x:c>
      <x:c r="Q69" t="n">
        <x:f t="shared" ref="Q69:Q132" si="9">IF(N69="",IF(AND(L69=1,K69&gt;=2),1,0),N69)</x:f>
        <x:v>0</x:v>
      </x:c>
      <x:c r="R69" t="n">
        <x:f t="shared" ref="R69:R132" si="10">IF(O69="",IF(AND(L69=1,K69&gt;=3),1,0),O69)</x:f>
        <x:v>0</x:v>
      </x:c>
      <x:c r="S69" t="n">
        <x:f t="shared" ref="S69:S132" si="11">SUM(P69:R69)</x:f>
        <x:v>0</x:v>
      </x:c>
      <x:c r="T69" t="str">
        <x:f t="shared" ref="T69:T132" si="12">IF(COUNTA(M69:O69)=0,"DerivedFromCount","ManualOverride")</x:f>
        <x:v>DerivedFromCount</x:v>
      </x:c>
      <x:c r="U69" t="str">
        <x:f>IF(COUNTIF(DailyProduction!$Q$5:$Q$100,B69)=1,"OK","CHECK")</x:f>
        <x:v>OK</x:v>
      </x:c>
      <x:c r="V69" t="str">
        <x:f t="shared" ref="V69:V132" si="13">IF(AND(I69&gt;=1,I69&lt;=13,K69&gt;=1,K69&lt;=3),"OK","CHECK")</x:f>
        <x:v>OK</x:v>
      </x:c>
      <x:c r="W69" t="str">
        <x:f>IF(SUMIF($B$5:$B$914,B69,$S$5:$S$914)=SUMIF(DailyProduction!$Q$5:$Q$100,B69,DailyProduction!$R$5:$R$100),"OK","CHECK")</x:f>
        <x:v>OK</x:v>
      </x:c>
      <x:c r="X69" t="str">
        <x:v>PLC-PRD-JAR-720-L21</x:v>
      </x:c>
      <x:c r="Y69" t="str">
        <x:v>OK</x:v>
      </x:c>
      <x:c r="Z69" t="str">
        <x:v>OK</x:v>
      </x:c>
      <x:c r="AA69" t="n">
        <x:v>3</x:v>
      </x:c>
      <x:c r="AB69" t="n">
        <x:v>0</x:v>
      </x:c>
      <x:c r="AC69" t="str">
        <x:v>OK</x:v>
      </x:c>
      <x:c r="AD69" t="str">
        <x:v>OK</x:v>
      </x:c>
      <x:c r="AE69" t="str">
        <x:v>LOAD</x:v>
      </x:c>
      <x:c r="AF69" t="str">
        <x:v>02_Supervisor_Log(4).xlsx</x:v>
      </x:c>
      <x:c r="AG69" t="str">
        <x:v>ENH-20260830-01</x:v>
      </x:c>
      <x:c r="AH69" t="str">
        <x:v>Active</x:v>
      </x:c>
      <x:c r="AI69"/>
      <x:c r="AJ69"/>
      <x:c r="AK69"/>
      <x:c r="AL69"/>
    </x:row>
    <x:row r="70">
      <x:c r="A70" t="s">
        <x:v>271</x:v>
      </x:c>
      <x:c r="B70" t="s">
        <x:v>272</x:v>
      </x:c>
      <x:c r="C70" t="s">
        <x:v>44</x:v>
      </x:c>
      <x:c r="D70">
        <x:v>45952</x:v>
      </x:c>
      <x:c r="E70" t="s">
        <x:v>187</x:v>
      </x:c>
      <x:c r="F70" t="s">
        <x:v>55</x:v>
      </x:c>
      <x:c r="G70">
        <x:v>21</x:v>
      </x:c>
      <x:c r="H70" t="s">
        <x:v>48</x:v>
      </x:c>
      <x:c r="I70">
        <x:v>1</x:v>
      </x:c>
      <x:c r="J70">
        <x:v>10</x:v>
      </x:c>
      <x:c r="K70">
        <x:v>2</x:v>
      </x:c>
      <x:c r="L70">
        <x:f t="shared" si="7"/>
        <x:v>1</x:v>
      </x:c>
      <x:c r="P70">
        <x:f t="shared" si="8"/>
        <x:v>1</x:v>
      </x:c>
      <x:c r="Q70">
        <x:f t="shared" si="9"/>
        <x:v>1</x:v>
      </x:c>
      <x:c r="R70">
        <x:f t="shared" si="10"/>
        <x:v>0</x:v>
      </x:c>
      <x:c r="S70">
        <x:f t="shared" si="11"/>
        <x:v>2</x:v>
      </x:c>
      <x:c r="T70" t="str">
        <x:f t="shared" si="12"/>
        <x:v>DerivedFromCount</x:v>
      </x:c>
      <x:c r="U70" t="str">
        <x:f>IF(COUNTIF(DailyProduction!$Q$5:$Q$100,B70)=1,"OK","CHECK")</x:f>
        <x:v>OK</x:v>
      </x:c>
      <x:c r="V70" t="str">
        <x:f t="shared" si="13"/>
        <x:v>OK</x:v>
      </x:c>
      <x:c r="W70" t="str">
        <x:f>IF(SUMIF($B$5:$B$914,B70,$S$5:$S$914)=SUMIF(DailyProduction!$Q$5:$Q$100,B70,DailyProduction!$R$5:$R$100),"OK","CHECK")</x:f>
        <x:v>OK</x:v>
      </x:c>
      <x:c r="X70" t="str">
        <x:v>PLC-PRD-JAR-720-L21</x:v>
      </x:c>
      <x:c r="Y70" t="str">
        <x:v>OK</x:v>
      </x:c>
      <x:c r="Z70" t="str">
        <x:v>OK</x:v>
      </x:c>
      <x:c r="AA70" t="n">
        <x:v>3</x:v>
      </x:c>
      <x:c r="AB70" t="n">
        <x:v>2</x:v>
      </x:c>
      <x:c r="AC70" t="str">
        <x:v>OK</x:v>
      </x:c>
      <x:c r="AD70" t="str">
        <x:v>OK</x:v>
      </x:c>
      <x:c r="AE70" t="str">
        <x:v>LOAD</x:v>
      </x:c>
      <x:c r="AF70" t="str">
        <x:v>02_Supervisor_Log(4).xlsx</x:v>
      </x:c>
      <x:c r="AG70" t="str">
        <x:v>ENH-20260830-01</x:v>
      </x:c>
      <x:c r="AH70" t="str">
        <x:v>Active</x:v>
      </x:c>
      <x:c r="AI70"/>
      <x:c r="AJ70"/>
      <x:c r="AK70"/>
      <x:c r="AL70"/>
    </x:row>
    <x:row r="71">
      <x:c r="A71" t="s">
        <x:v>273</x:v>
      </x:c>
      <x:c r="B71" t="s">
        <x:v>272</x:v>
      </x:c>
      <x:c r="C71" t="s">
        <x:v>44</x:v>
      </x:c>
      <x:c r="D71">
        <x:v>45952</x:v>
      </x:c>
      <x:c r="E71" t="s">
        <x:v>187</x:v>
      </x:c>
      <x:c r="F71" t="s">
        <x:v>55</x:v>
      </x:c>
      <x:c r="G71">
        <x:v>21</x:v>
      </x:c>
      <x:c r="H71" t="s">
        <x:v>48</x:v>
      </x:c>
      <x:c r="I71">
        <x:v>2</x:v>
      </x:c>
      <x:c r="J71">
        <x:v>10</x:v>
      </x:c>
      <x:c r="K71">
        <x:v>2</x:v>
      </x:c>
      <x:c r="L71">
        <x:f t="shared" si="7"/>
        <x:v>1</x:v>
      </x:c>
      <x:c r="P71">
        <x:f t="shared" si="8"/>
        <x:v>1</x:v>
      </x:c>
      <x:c r="Q71">
        <x:f t="shared" si="9"/>
        <x:v>1</x:v>
      </x:c>
      <x:c r="R71">
        <x:f t="shared" si="10"/>
        <x:v>0</x:v>
      </x:c>
      <x:c r="S71">
        <x:f t="shared" si="11"/>
        <x:v>2</x:v>
      </x:c>
      <x:c r="T71" t="str">
        <x:f t="shared" si="12"/>
        <x:v>DerivedFromCount</x:v>
      </x:c>
      <x:c r="U71" t="str">
        <x:f>IF(COUNTIF(DailyProduction!$Q$5:$Q$100,B71)=1,"OK","CHECK")</x:f>
        <x:v>OK</x:v>
      </x:c>
      <x:c r="V71" t="str">
        <x:f t="shared" si="13"/>
        <x:v>OK</x:v>
      </x:c>
      <x:c r="W71" t="str">
        <x:f>IF(SUMIF($B$5:$B$914,B71,$S$5:$S$914)=SUMIF(DailyProduction!$Q$5:$Q$100,B71,DailyProduction!$R$5:$R$100),"OK","CHECK")</x:f>
        <x:v>OK</x:v>
      </x:c>
      <x:c r="X71" t="str">
        <x:v>PLC-PRD-JAR-720-L21</x:v>
      </x:c>
      <x:c r="Y71" t="str">
        <x:v>OK</x:v>
      </x:c>
      <x:c r="Z71" t="str">
        <x:v>OK</x:v>
      </x:c>
      <x:c r="AA71" t="n">
        <x:v>3</x:v>
      </x:c>
      <x:c r="AB71" t="n">
        <x:v>2</x:v>
      </x:c>
      <x:c r="AC71" t="str">
        <x:v>OK</x:v>
      </x:c>
      <x:c r="AD71" t="str">
        <x:v>OK</x:v>
      </x:c>
      <x:c r="AE71" t="str">
        <x:v>LOAD</x:v>
      </x:c>
      <x:c r="AF71" t="str">
        <x:v>02_Supervisor_Log(4).xlsx</x:v>
      </x:c>
      <x:c r="AG71" t="str">
        <x:v>ENH-20260830-01</x:v>
      </x:c>
      <x:c r="AH71" t="str">
        <x:v>Active</x:v>
      </x:c>
      <x:c r="AI71"/>
      <x:c r="AJ71"/>
      <x:c r="AK71"/>
      <x:c r="AL71"/>
    </x:row>
    <x:row r="72">
      <x:c r="A72" t="s">
        <x:v>274</x:v>
      </x:c>
      <x:c r="B72" t="s">
        <x:v>272</x:v>
      </x:c>
      <x:c r="C72" t="s">
        <x:v>44</x:v>
      </x:c>
      <x:c r="D72">
        <x:v>45952</x:v>
      </x:c>
      <x:c r="E72" t="s">
        <x:v>187</x:v>
      </x:c>
      <x:c r="F72" t="s">
        <x:v>55</x:v>
      </x:c>
      <x:c r="G72">
        <x:v>21</x:v>
      </x:c>
      <x:c r="H72" t="s">
        <x:v>48</x:v>
      </x:c>
      <x:c r="I72">
        <x:v>3</x:v>
      </x:c>
      <x:c r="J72">
        <x:v>10</x:v>
      </x:c>
      <x:c r="K72">
        <x:v>2</x:v>
      </x:c>
      <x:c r="L72">
        <x:f t="shared" si="7"/>
        <x:v>1</x:v>
      </x:c>
      <x:c r="P72">
        <x:f t="shared" si="8"/>
        <x:v>1</x:v>
      </x:c>
      <x:c r="Q72">
        <x:f t="shared" si="9"/>
        <x:v>1</x:v>
      </x:c>
      <x:c r="R72">
        <x:f t="shared" si="10"/>
        <x:v>0</x:v>
      </x:c>
      <x:c r="S72">
        <x:f t="shared" si="11"/>
        <x:v>2</x:v>
      </x:c>
      <x:c r="T72" t="str">
        <x:f t="shared" si="12"/>
        <x:v>DerivedFromCount</x:v>
      </x:c>
      <x:c r="U72" t="str">
        <x:f>IF(COUNTIF(DailyProduction!$Q$5:$Q$100,B72)=1,"OK","CHECK")</x:f>
        <x:v>OK</x:v>
      </x:c>
      <x:c r="V72" t="str">
        <x:f t="shared" si="13"/>
        <x:v>OK</x:v>
      </x:c>
      <x:c r="W72" t="str">
        <x:f>IF(SUMIF($B$5:$B$914,B72,$S$5:$S$914)=SUMIF(DailyProduction!$Q$5:$Q$100,B72,DailyProduction!$R$5:$R$100),"OK","CHECK")</x:f>
        <x:v>OK</x:v>
      </x:c>
      <x:c r="X72" t="str">
        <x:v>PLC-PRD-JAR-720-L21</x:v>
      </x:c>
      <x:c r="Y72" t="str">
        <x:v>OK</x:v>
      </x:c>
      <x:c r="Z72" t="str">
        <x:v>OK</x:v>
      </x:c>
      <x:c r="AA72" t="n">
        <x:v>3</x:v>
      </x:c>
      <x:c r="AB72" t="n">
        <x:v>2</x:v>
      </x:c>
      <x:c r="AC72" t="str">
        <x:v>OK</x:v>
      </x:c>
      <x:c r="AD72" t="str">
        <x:v>OK</x:v>
      </x:c>
      <x:c r="AE72" t="str">
        <x:v>LOAD</x:v>
      </x:c>
      <x:c r="AF72" t="str">
        <x:v>02_Supervisor_Log(4).xlsx</x:v>
      </x:c>
      <x:c r="AG72" t="str">
        <x:v>ENH-20260830-01</x:v>
      </x:c>
      <x:c r="AH72" t="str">
        <x:v>Active</x:v>
      </x:c>
      <x:c r="AI72"/>
      <x:c r="AJ72"/>
      <x:c r="AK72"/>
      <x:c r="AL72"/>
    </x:row>
    <x:row r="73">
      <x:c r="A73" t="s">
        <x:v>275</x:v>
      </x:c>
      <x:c r="B73" t="s">
        <x:v>272</x:v>
      </x:c>
      <x:c r="C73" t="s">
        <x:v>44</x:v>
      </x:c>
      <x:c r="D73">
        <x:v>45952</x:v>
      </x:c>
      <x:c r="E73" t="s">
        <x:v>187</x:v>
      </x:c>
      <x:c r="F73" t="s">
        <x:v>55</x:v>
      </x:c>
      <x:c r="G73">
        <x:v>21</x:v>
      </x:c>
      <x:c r="H73" t="s">
        <x:v>48</x:v>
      </x:c>
      <x:c r="I73">
        <x:v>4</x:v>
      </x:c>
      <x:c r="J73">
        <x:v>10</x:v>
      </x:c>
      <x:c r="K73">
        <x:v>2</x:v>
      </x:c>
      <x:c r="L73">
        <x:f t="shared" si="7"/>
        <x:v>1</x:v>
      </x:c>
      <x:c r="P73">
        <x:f t="shared" si="8"/>
        <x:v>1</x:v>
      </x:c>
      <x:c r="Q73">
        <x:f t="shared" si="9"/>
        <x:v>1</x:v>
      </x:c>
      <x:c r="R73">
        <x:f t="shared" si="10"/>
        <x:v>0</x:v>
      </x:c>
      <x:c r="S73">
        <x:f t="shared" si="11"/>
        <x:v>2</x:v>
      </x:c>
      <x:c r="T73" t="str">
        <x:f t="shared" si="12"/>
        <x:v>DerivedFromCount</x:v>
      </x:c>
      <x:c r="U73" t="str">
        <x:f>IF(COUNTIF(DailyProduction!$Q$5:$Q$100,B73)=1,"OK","CHECK")</x:f>
        <x:v>OK</x:v>
      </x:c>
      <x:c r="V73" t="str">
        <x:f t="shared" si="13"/>
        <x:v>OK</x:v>
      </x:c>
      <x:c r="W73" t="str">
        <x:f>IF(SUMIF($B$5:$B$914,B73,$S$5:$S$914)=SUMIF(DailyProduction!$Q$5:$Q$100,B73,DailyProduction!$R$5:$R$100),"OK","CHECK")</x:f>
        <x:v>OK</x:v>
      </x:c>
      <x:c r="X73" t="str">
        <x:v>PLC-PRD-JAR-720-L21</x:v>
      </x:c>
      <x:c r="Y73" t="str">
        <x:v>OK</x:v>
      </x:c>
      <x:c r="Z73" t="str">
        <x:v>OK</x:v>
      </x:c>
      <x:c r="AA73" t="n">
        <x:v>3</x:v>
      </x:c>
      <x:c r="AB73" t="n">
        <x:v>2</x:v>
      </x:c>
      <x:c r="AC73" t="str">
        <x:v>OK</x:v>
      </x:c>
      <x:c r="AD73" t="str">
        <x:v>OK</x:v>
      </x:c>
      <x:c r="AE73" t="str">
        <x:v>LOAD</x:v>
      </x:c>
      <x:c r="AF73" t="str">
        <x:v>02_Supervisor_Log(4).xlsx</x:v>
      </x:c>
      <x:c r="AG73" t="str">
        <x:v>ENH-20260830-01</x:v>
      </x:c>
      <x:c r="AH73" t="str">
        <x:v>Active</x:v>
      </x:c>
      <x:c r="AI73"/>
      <x:c r="AJ73"/>
      <x:c r="AK73"/>
      <x:c r="AL73"/>
    </x:row>
    <x:row r="74">
      <x:c r="A74" t="s">
        <x:v>276</x:v>
      </x:c>
      <x:c r="B74" t="s">
        <x:v>272</x:v>
      </x:c>
      <x:c r="C74" t="s">
        <x:v>44</x:v>
      </x:c>
      <x:c r="D74">
        <x:v>45952</x:v>
      </x:c>
      <x:c r="E74" t="s">
        <x:v>187</x:v>
      </x:c>
      <x:c r="F74" t="s">
        <x:v>55</x:v>
      </x:c>
      <x:c r="G74">
        <x:v>21</x:v>
      </x:c>
      <x:c r="H74" t="s">
        <x:v>48</x:v>
      </x:c>
      <x:c r="I74">
        <x:v>5</x:v>
      </x:c>
      <x:c r="J74">
        <x:v>10</x:v>
      </x:c>
      <x:c r="K74">
        <x:v>2</x:v>
      </x:c>
      <x:c r="L74">
        <x:f t="shared" si="7"/>
        <x:v>1</x:v>
      </x:c>
      <x:c r="P74">
        <x:f t="shared" si="8"/>
        <x:v>1</x:v>
      </x:c>
      <x:c r="Q74">
        <x:f t="shared" si="9"/>
        <x:v>1</x:v>
      </x:c>
      <x:c r="R74">
        <x:f t="shared" si="10"/>
        <x:v>0</x:v>
      </x:c>
      <x:c r="S74">
        <x:f t="shared" si="11"/>
        <x:v>2</x:v>
      </x:c>
      <x:c r="T74" t="str">
        <x:f t="shared" si="12"/>
        <x:v>DerivedFromCount</x:v>
      </x:c>
      <x:c r="U74" t="str">
        <x:f>IF(COUNTIF(DailyProduction!$Q$5:$Q$100,B74)=1,"OK","CHECK")</x:f>
        <x:v>OK</x:v>
      </x:c>
      <x:c r="V74" t="str">
        <x:f t="shared" si="13"/>
        <x:v>OK</x:v>
      </x:c>
      <x:c r="W74" t="str">
        <x:f>IF(SUMIF($B$5:$B$914,B74,$S$5:$S$914)=SUMIF(DailyProduction!$Q$5:$Q$100,B74,DailyProduction!$R$5:$R$100),"OK","CHECK")</x:f>
        <x:v>OK</x:v>
      </x:c>
      <x:c r="X74" t="str">
        <x:v>PLC-PRD-JAR-720-L21</x:v>
      </x:c>
      <x:c r="Y74" t="str">
        <x:v>OK</x:v>
      </x:c>
      <x:c r="Z74" t="str">
        <x:v>OK</x:v>
      </x:c>
      <x:c r="AA74" t="n">
        <x:v>3</x:v>
      </x:c>
      <x:c r="AB74" t="n">
        <x:v>2</x:v>
      </x:c>
      <x:c r="AC74" t="str">
        <x:v>OK</x:v>
      </x:c>
      <x:c r="AD74" t="str">
        <x:v>OK</x:v>
      </x:c>
      <x:c r="AE74" t="str">
        <x:v>LOAD</x:v>
      </x:c>
      <x:c r="AF74" t="str">
        <x:v>02_Supervisor_Log(4).xlsx</x:v>
      </x:c>
      <x:c r="AG74" t="str">
        <x:v>ENH-20260830-01</x:v>
      </x:c>
      <x:c r="AH74" t="str">
        <x:v>Active</x:v>
      </x:c>
      <x:c r="AI74"/>
      <x:c r="AJ74"/>
      <x:c r="AK74"/>
      <x:c r="AL74"/>
    </x:row>
    <x:row r="75">
      <x:c r="A75" t="s">
        <x:v>277</x:v>
      </x:c>
      <x:c r="B75" t="s">
        <x:v>272</x:v>
      </x:c>
      <x:c r="C75" t="s">
        <x:v>44</x:v>
      </x:c>
      <x:c r="D75">
        <x:v>45952</x:v>
      </x:c>
      <x:c r="E75" t="s">
        <x:v>187</x:v>
      </x:c>
      <x:c r="F75" t="s">
        <x:v>55</x:v>
      </x:c>
      <x:c r="G75">
        <x:v>21</x:v>
      </x:c>
      <x:c r="H75" t="s">
        <x:v>48</x:v>
      </x:c>
      <x:c r="I75">
        <x:v>6</x:v>
      </x:c>
      <x:c r="J75">
        <x:v>10</x:v>
      </x:c>
      <x:c r="K75">
        <x:v>2</x:v>
      </x:c>
      <x:c r="L75">
        <x:f t="shared" si="7"/>
        <x:v>1</x:v>
      </x:c>
      <x:c r="P75">
        <x:f t="shared" si="8"/>
        <x:v>1</x:v>
      </x:c>
      <x:c r="Q75">
        <x:f t="shared" si="9"/>
        <x:v>1</x:v>
      </x:c>
      <x:c r="R75">
        <x:f t="shared" si="10"/>
        <x:v>0</x:v>
      </x:c>
      <x:c r="S75">
        <x:f t="shared" si="11"/>
        <x:v>2</x:v>
      </x:c>
      <x:c r="T75" t="str">
        <x:f t="shared" si="12"/>
        <x:v>DerivedFromCount</x:v>
      </x:c>
      <x:c r="U75" t="str">
        <x:f>IF(COUNTIF(DailyProduction!$Q$5:$Q$100,B75)=1,"OK","CHECK")</x:f>
        <x:v>OK</x:v>
      </x:c>
      <x:c r="V75" t="str">
        <x:f t="shared" si="13"/>
        <x:v>OK</x:v>
      </x:c>
      <x:c r="W75" t="str">
        <x:f>IF(SUMIF($B$5:$B$914,B75,$S$5:$S$914)=SUMIF(DailyProduction!$Q$5:$Q$100,B75,DailyProduction!$R$5:$R$100),"OK","CHECK")</x:f>
        <x:v>OK</x:v>
      </x:c>
      <x:c r="X75" t="str">
        <x:v>PLC-PRD-JAR-720-L21</x:v>
      </x:c>
      <x:c r="Y75" t="str">
        <x:v>OK</x:v>
      </x:c>
      <x:c r="Z75" t="str">
        <x:v>OK</x:v>
      </x:c>
      <x:c r="AA75" t="n">
        <x:v>3</x:v>
      </x:c>
      <x:c r="AB75" t="n">
        <x:v>2</x:v>
      </x:c>
      <x:c r="AC75" t="str">
        <x:v>OK</x:v>
      </x:c>
      <x:c r="AD75" t="str">
        <x:v>OK</x:v>
      </x:c>
      <x:c r="AE75" t="str">
        <x:v>LOAD</x:v>
      </x:c>
      <x:c r="AF75" t="str">
        <x:v>02_Supervisor_Log(4).xlsx</x:v>
      </x:c>
      <x:c r="AG75" t="str">
        <x:v>ENH-20260830-01</x:v>
      </x:c>
      <x:c r="AH75" t="str">
        <x:v>Active</x:v>
      </x:c>
      <x:c r="AI75"/>
      <x:c r="AJ75"/>
      <x:c r="AK75"/>
      <x:c r="AL75"/>
    </x:row>
    <x:row r="76">
      <x:c r="A76" t="s">
        <x:v>278</x:v>
      </x:c>
      <x:c r="B76" t="s">
        <x:v>272</x:v>
      </x:c>
      <x:c r="C76" t="s">
        <x:v>44</x:v>
      </x:c>
      <x:c r="D76">
        <x:v>45952</x:v>
      </x:c>
      <x:c r="E76" t="s">
        <x:v>187</x:v>
      </x:c>
      <x:c r="F76" t="s">
        <x:v>55</x:v>
      </x:c>
      <x:c r="G76">
        <x:v>21</x:v>
      </x:c>
      <x:c r="H76" t="s">
        <x:v>48</x:v>
      </x:c>
      <x:c r="I76">
        <x:v>7</x:v>
      </x:c>
      <x:c r="J76">
        <x:v>10</x:v>
      </x:c>
      <x:c r="K76">
        <x:v>2</x:v>
      </x:c>
      <x:c r="L76">
        <x:f t="shared" si="7"/>
        <x:v>1</x:v>
      </x:c>
      <x:c r="P76">
        <x:f t="shared" si="8"/>
        <x:v>1</x:v>
      </x:c>
      <x:c r="Q76">
        <x:f t="shared" si="9"/>
        <x:v>1</x:v>
      </x:c>
      <x:c r="R76">
        <x:f t="shared" si="10"/>
        <x:v>0</x:v>
      </x:c>
      <x:c r="S76">
        <x:f t="shared" si="11"/>
        <x:v>2</x:v>
      </x:c>
      <x:c r="T76" t="str">
        <x:f t="shared" si="12"/>
        <x:v>DerivedFromCount</x:v>
      </x:c>
      <x:c r="U76" t="str">
        <x:f>IF(COUNTIF(DailyProduction!$Q$5:$Q$100,B76)=1,"OK","CHECK")</x:f>
        <x:v>OK</x:v>
      </x:c>
      <x:c r="V76" t="str">
        <x:f t="shared" si="13"/>
        <x:v>OK</x:v>
      </x:c>
      <x:c r="W76" t="str">
        <x:f>IF(SUMIF($B$5:$B$914,B76,$S$5:$S$914)=SUMIF(DailyProduction!$Q$5:$Q$100,B76,DailyProduction!$R$5:$R$100),"OK","CHECK")</x:f>
        <x:v>OK</x:v>
      </x:c>
      <x:c r="X76" t="str">
        <x:v>PLC-PRD-JAR-720-L21</x:v>
      </x:c>
      <x:c r="Y76" t="str">
        <x:v>OK</x:v>
      </x:c>
      <x:c r="Z76" t="str">
        <x:v>OK</x:v>
      </x:c>
      <x:c r="AA76" t="n">
        <x:v>3</x:v>
      </x:c>
      <x:c r="AB76" t="n">
        <x:v>2</x:v>
      </x:c>
      <x:c r="AC76" t="str">
        <x:v>OK</x:v>
      </x:c>
      <x:c r="AD76" t="str">
        <x:v>OK</x:v>
      </x:c>
      <x:c r="AE76" t="str">
        <x:v>LOAD</x:v>
      </x:c>
      <x:c r="AF76" t="str">
        <x:v>02_Supervisor_Log(4).xlsx</x:v>
      </x:c>
      <x:c r="AG76" t="str">
        <x:v>ENH-20260830-01</x:v>
      </x:c>
      <x:c r="AH76" t="str">
        <x:v>Active</x:v>
      </x:c>
      <x:c r="AI76"/>
      <x:c r="AJ76"/>
      <x:c r="AK76"/>
      <x:c r="AL76"/>
    </x:row>
    <x:row r="77">
      <x:c r="A77" t="s">
        <x:v>279</x:v>
      </x:c>
      <x:c r="B77" t="s">
        <x:v>272</x:v>
      </x:c>
      <x:c r="C77" t="s">
        <x:v>44</x:v>
      </x:c>
      <x:c r="D77">
        <x:v>45952</x:v>
      </x:c>
      <x:c r="E77" t="s">
        <x:v>187</x:v>
      </x:c>
      <x:c r="F77" t="s">
        <x:v>55</x:v>
      </x:c>
      <x:c r="G77">
        <x:v>21</x:v>
      </x:c>
      <x:c r="H77" t="s">
        <x:v>48</x:v>
      </x:c>
      <x:c r="I77">
        <x:v>8</x:v>
      </x:c>
      <x:c r="J77">
        <x:v>10</x:v>
      </x:c>
      <x:c r="K77">
        <x:v>2</x:v>
      </x:c>
      <x:c r="L77">
        <x:f t="shared" si="7"/>
        <x:v>1</x:v>
      </x:c>
      <x:c r="P77">
        <x:f t="shared" si="8"/>
        <x:v>1</x:v>
      </x:c>
      <x:c r="Q77">
        <x:f t="shared" si="9"/>
        <x:v>1</x:v>
      </x:c>
      <x:c r="R77">
        <x:f t="shared" si="10"/>
        <x:v>0</x:v>
      </x:c>
      <x:c r="S77">
        <x:f t="shared" si="11"/>
        <x:v>2</x:v>
      </x:c>
      <x:c r="T77" t="str">
        <x:f t="shared" si="12"/>
        <x:v>DerivedFromCount</x:v>
      </x:c>
      <x:c r="U77" t="str">
        <x:f>IF(COUNTIF(DailyProduction!$Q$5:$Q$100,B77)=1,"OK","CHECK")</x:f>
        <x:v>OK</x:v>
      </x:c>
      <x:c r="V77" t="str">
        <x:f t="shared" si="13"/>
        <x:v>OK</x:v>
      </x:c>
      <x:c r="W77" t="str">
        <x:f>IF(SUMIF($B$5:$B$914,B77,$S$5:$S$914)=SUMIF(DailyProduction!$Q$5:$Q$100,B77,DailyProduction!$R$5:$R$100),"OK","CHECK")</x:f>
        <x:v>OK</x:v>
      </x:c>
      <x:c r="X77" t="str">
        <x:v>PLC-PRD-JAR-720-L21</x:v>
      </x:c>
      <x:c r="Y77" t="str">
        <x:v>OK</x:v>
      </x:c>
      <x:c r="Z77" t="str">
        <x:v>OK</x:v>
      </x:c>
      <x:c r="AA77" t="n">
        <x:v>3</x:v>
      </x:c>
      <x:c r="AB77" t="n">
        <x:v>2</x:v>
      </x:c>
      <x:c r="AC77" t="str">
        <x:v>OK</x:v>
      </x:c>
      <x:c r="AD77" t="str">
        <x:v>OK</x:v>
      </x:c>
      <x:c r="AE77" t="str">
        <x:v>LOAD</x:v>
      </x:c>
      <x:c r="AF77" t="str">
        <x:v>02_Supervisor_Log(4).xlsx</x:v>
      </x:c>
      <x:c r="AG77" t="str">
        <x:v>ENH-20260830-01</x:v>
      </x:c>
      <x:c r="AH77" t="str">
        <x:v>Active</x:v>
      </x:c>
      <x:c r="AI77"/>
      <x:c r="AJ77"/>
      <x:c r="AK77"/>
      <x:c r="AL77"/>
    </x:row>
    <x:row r="78">
      <x:c r="A78" t="s">
        <x:v>280</x:v>
      </x:c>
      <x:c r="B78" t="s">
        <x:v>272</x:v>
      </x:c>
      <x:c r="C78" t="s">
        <x:v>44</x:v>
      </x:c>
      <x:c r="D78">
        <x:v>45952</x:v>
      </x:c>
      <x:c r="E78" t="s">
        <x:v>187</x:v>
      </x:c>
      <x:c r="F78" t="s">
        <x:v>55</x:v>
      </x:c>
      <x:c r="G78">
        <x:v>21</x:v>
      </x:c>
      <x:c r="H78" t="s">
        <x:v>48</x:v>
      </x:c>
      <x:c r="I78">
        <x:v>9</x:v>
      </x:c>
      <x:c r="J78">
        <x:v>10</x:v>
      </x:c>
      <x:c r="K78">
        <x:v>2</x:v>
      </x:c>
      <x:c r="L78">
        <x:f t="shared" si="7"/>
        <x:v>1</x:v>
      </x:c>
      <x:c r="P78">
        <x:f t="shared" si="8"/>
        <x:v>1</x:v>
      </x:c>
      <x:c r="Q78">
        <x:f t="shared" si="9"/>
        <x:v>1</x:v>
      </x:c>
      <x:c r="R78">
        <x:f t="shared" si="10"/>
        <x:v>0</x:v>
      </x:c>
      <x:c r="S78">
        <x:f t="shared" si="11"/>
        <x:v>2</x:v>
      </x:c>
      <x:c r="T78" t="str">
        <x:f t="shared" si="12"/>
        <x:v>DerivedFromCount</x:v>
      </x:c>
      <x:c r="U78" t="str">
        <x:f>IF(COUNTIF(DailyProduction!$Q$5:$Q$100,B78)=1,"OK","CHECK")</x:f>
        <x:v>OK</x:v>
      </x:c>
      <x:c r="V78" t="str">
        <x:f t="shared" si="13"/>
        <x:v>OK</x:v>
      </x:c>
      <x:c r="W78" t="str">
        <x:f>IF(SUMIF($B$5:$B$914,B78,$S$5:$S$914)=SUMIF(DailyProduction!$Q$5:$Q$100,B78,DailyProduction!$R$5:$R$100),"OK","CHECK")</x:f>
        <x:v>OK</x:v>
      </x:c>
      <x:c r="X78" t="str">
        <x:v>PLC-PRD-JAR-720-L21</x:v>
      </x:c>
      <x:c r="Y78" t="str">
        <x:v>OK</x:v>
      </x:c>
      <x:c r="Z78" t="str">
        <x:v>OK</x:v>
      </x:c>
      <x:c r="AA78" t="n">
        <x:v>3</x:v>
      </x:c>
      <x:c r="AB78" t="n">
        <x:v>2</x:v>
      </x:c>
      <x:c r="AC78" t="str">
        <x:v>OK</x:v>
      </x:c>
      <x:c r="AD78" t="str">
        <x:v>OK</x:v>
      </x:c>
      <x:c r="AE78" t="str">
        <x:v>LOAD</x:v>
      </x:c>
      <x:c r="AF78" t="str">
        <x:v>02_Supervisor_Log(4).xlsx</x:v>
      </x:c>
      <x:c r="AG78" t="str">
        <x:v>ENH-20260830-01</x:v>
      </x:c>
      <x:c r="AH78" t="str">
        <x:v>Active</x:v>
      </x:c>
      <x:c r="AI78"/>
      <x:c r="AJ78"/>
      <x:c r="AK78"/>
      <x:c r="AL78"/>
    </x:row>
    <x:row r="79">
      <x:c r="A79" t="s">
        <x:v>281</x:v>
      </x:c>
      <x:c r="B79" t="s">
        <x:v>272</x:v>
      </x:c>
      <x:c r="C79" t="s">
        <x:v>44</x:v>
      </x:c>
      <x:c r="D79">
        <x:v>45952</x:v>
      </x:c>
      <x:c r="E79" t="s">
        <x:v>187</x:v>
      </x:c>
      <x:c r="F79" t="s">
        <x:v>55</x:v>
      </x:c>
      <x:c r="G79">
        <x:v>21</x:v>
      </x:c>
      <x:c r="H79" t="s">
        <x:v>48</x:v>
      </x:c>
      <x:c r="I79">
        <x:v>10</x:v>
      </x:c>
      <x:c r="J79">
        <x:v>10</x:v>
      </x:c>
      <x:c r="K79">
        <x:v>2</x:v>
      </x:c>
      <x:c r="L79">
        <x:f t="shared" si="7"/>
        <x:v>1</x:v>
      </x:c>
      <x:c r="P79">
        <x:f t="shared" si="8"/>
        <x:v>1</x:v>
      </x:c>
      <x:c r="Q79">
        <x:f t="shared" si="9"/>
        <x:v>1</x:v>
      </x:c>
      <x:c r="R79">
        <x:f t="shared" si="10"/>
        <x:v>0</x:v>
      </x:c>
      <x:c r="S79">
        <x:f t="shared" si="11"/>
        <x:v>2</x:v>
      </x:c>
      <x:c r="T79" t="str">
        <x:f t="shared" si="12"/>
        <x:v>DerivedFromCount</x:v>
      </x:c>
      <x:c r="U79" t="str">
        <x:f>IF(COUNTIF(DailyProduction!$Q$5:$Q$100,B79)=1,"OK","CHECK")</x:f>
        <x:v>OK</x:v>
      </x:c>
      <x:c r="V79" t="str">
        <x:f t="shared" si="13"/>
        <x:v>OK</x:v>
      </x:c>
      <x:c r="W79" t="str">
        <x:f>IF(SUMIF($B$5:$B$914,B79,$S$5:$S$914)=SUMIF(DailyProduction!$Q$5:$Q$100,B79,DailyProduction!$R$5:$R$100),"OK","CHECK")</x:f>
        <x:v>OK</x:v>
      </x:c>
      <x:c r="X79" t="str">
        <x:v>PLC-PRD-JAR-720-L21</x:v>
      </x:c>
      <x:c r="Y79" t="str">
        <x:v>OK</x:v>
      </x:c>
      <x:c r="Z79" t="str">
        <x:v>OK</x:v>
      </x:c>
      <x:c r="AA79" t="n">
        <x:v>3</x:v>
      </x:c>
      <x:c r="AB79" t="n">
        <x:v>2</x:v>
      </x:c>
      <x:c r="AC79" t="str">
        <x:v>OK</x:v>
      </x:c>
      <x:c r="AD79" t="str">
        <x:v>OK</x:v>
      </x:c>
      <x:c r="AE79" t="str">
        <x:v>LOAD</x:v>
      </x:c>
      <x:c r="AF79" t="str">
        <x:v>02_Supervisor_Log(4).xlsx</x:v>
      </x:c>
      <x:c r="AG79" t="str">
        <x:v>ENH-20260830-01</x:v>
      </x:c>
      <x:c r="AH79" t="str">
        <x:v>Active</x:v>
      </x:c>
      <x:c r="AI79"/>
      <x:c r="AJ79"/>
      <x:c r="AK79"/>
      <x:c r="AL79"/>
    </x:row>
    <x:row r="80">
      <x:c r="A80" t="s">
        <x:v>282</x:v>
      </x:c>
      <x:c r="B80" t="s">
        <x:v>272</x:v>
      </x:c>
      <x:c r="C80" t="s">
        <x:v>44</x:v>
      </x:c>
      <x:c r="D80">
        <x:v>45952</x:v>
      </x:c>
      <x:c r="E80" t="s">
        <x:v>187</x:v>
      </x:c>
      <x:c r="F80" t="s">
        <x:v>55</x:v>
      </x:c>
      <x:c r="G80">
        <x:v>21</x:v>
      </x:c>
      <x:c r="H80" t="s">
        <x:v>48</x:v>
      </x:c>
      <x:c r="I80">
        <x:v>11</x:v>
      </x:c>
      <x:c r="J80">
        <x:v>10</x:v>
      </x:c>
      <x:c r="K80">
        <x:v>2</x:v>
      </x:c>
      <x:c r="L80">
        <x:f t="shared" si="7"/>
        <x:v>0</x:v>
      </x:c>
      <x:c r="P80">
        <x:f t="shared" si="8"/>
        <x:v>0</x:v>
      </x:c>
      <x:c r="Q80">
        <x:f t="shared" si="9"/>
        <x:v>0</x:v>
      </x:c>
      <x:c r="R80">
        <x:f t="shared" si="10"/>
        <x:v>0</x:v>
      </x:c>
      <x:c r="S80">
        <x:f t="shared" si="11"/>
        <x:v>0</x:v>
      </x:c>
      <x:c r="T80" t="str">
        <x:f t="shared" si="12"/>
        <x:v>DerivedFromCount</x:v>
      </x:c>
      <x:c r="U80" t="str">
        <x:f>IF(COUNTIF(DailyProduction!$Q$5:$Q$100,B80)=1,"OK","CHECK")</x:f>
        <x:v>OK</x:v>
      </x:c>
      <x:c r="V80" t="str">
        <x:f t="shared" si="13"/>
        <x:v>OK</x:v>
      </x:c>
      <x:c r="W80" t="str">
        <x:f>IF(SUMIF($B$5:$B$914,B80,$S$5:$S$914)=SUMIF(DailyProduction!$Q$5:$Q$100,B80,DailyProduction!$R$5:$R$100),"OK","CHECK")</x:f>
        <x:v>OK</x:v>
      </x:c>
      <x:c r="X80" t="str">
        <x:v>PLC-PRD-JAR-720-L21</x:v>
      </x:c>
      <x:c r="Y80" t="str">
        <x:v>OK</x:v>
      </x:c>
      <x:c r="Z80" t="str">
        <x:v>OK</x:v>
      </x:c>
      <x:c r="AA80" t="n">
        <x:v>3</x:v>
      </x:c>
      <x:c r="AB80" t="n">
        <x:v>0</x:v>
      </x:c>
      <x:c r="AC80" t="str">
        <x:v>OK</x:v>
      </x:c>
      <x:c r="AD80" t="str">
        <x:v>OK</x:v>
      </x:c>
      <x:c r="AE80" t="str">
        <x:v>LOAD</x:v>
      </x:c>
      <x:c r="AF80" t="str">
        <x:v>02_Supervisor_Log(4).xlsx</x:v>
      </x:c>
      <x:c r="AG80" t="str">
        <x:v>ENH-20260830-01</x:v>
      </x:c>
      <x:c r="AH80" t="str">
        <x:v>Active</x:v>
      </x:c>
      <x:c r="AI80"/>
      <x:c r="AJ80"/>
      <x:c r="AK80"/>
      <x:c r="AL80"/>
    </x:row>
    <x:row r="81">
      <x:c r="A81" t="s">
        <x:v>283</x:v>
      </x:c>
      <x:c r="B81" t="s">
        <x:v>272</x:v>
      </x:c>
      <x:c r="C81" t="s">
        <x:v>44</x:v>
      </x:c>
      <x:c r="D81">
        <x:v>45952</x:v>
      </x:c>
      <x:c r="E81" t="s">
        <x:v>187</x:v>
      </x:c>
      <x:c r="F81" t="s">
        <x:v>55</x:v>
      </x:c>
      <x:c r="G81">
        <x:v>21</x:v>
      </x:c>
      <x:c r="H81" t="s">
        <x:v>48</x:v>
      </x:c>
      <x:c r="I81">
        <x:v>12</x:v>
      </x:c>
      <x:c r="J81">
        <x:v>10</x:v>
      </x:c>
      <x:c r="K81">
        <x:v>2</x:v>
      </x:c>
      <x:c r="L81">
        <x:f t="shared" si="7"/>
        <x:v>0</x:v>
      </x:c>
      <x:c r="P81">
        <x:f t="shared" si="8"/>
        <x:v>0</x:v>
      </x:c>
      <x:c r="Q81">
        <x:f t="shared" si="9"/>
        <x:v>0</x:v>
      </x:c>
      <x:c r="R81">
        <x:f t="shared" si="10"/>
        <x:v>0</x:v>
      </x:c>
      <x:c r="S81">
        <x:f t="shared" si="11"/>
        <x:v>0</x:v>
      </x:c>
      <x:c r="T81" t="str">
        <x:f t="shared" si="12"/>
        <x:v>DerivedFromCount</x:v>
      </x:c>
      <x:c r="U81" t="str">
        <x:f>IF(COUNTIF(DailyProduction!$Q$5:$Q$100,B81)=1,"OK","CHECK")</x:f>
        <x:v>OK</x:v>
      </x:c>
      <x:c r="V81" t="str">
        <x:f t="shared" si="13"/>
        <x:v>OK</x:v>
      </x:c>
      <x:c r="W81" t="str">
        <x:f>IF(SUMIF($B$5:$B$914,B81,$S$5:$S$914)=SUMIF(DailyProduction!$Q$5:$Q$100,B81,DailyProduction!$R$5:$R$100),"OK","CHECK")</x:f>
        <x:v>OK</x:v>
      </x:c>
      <x:c r="X81" t="str">
        <x:v>PLC-PRD-JAR-720-L21</x:v>
      </x:c>
      <x:c r="Y81" t="str">
        <x:v>OK</x:v>
      </x:c>
      <x:c r="Z81" t="str">
        <x:v>OK</x:v>
      </x:c>
      <x:c r="AA81" t="n">
        <x:v>3</x:v>
      </x:c>
      <x:c r="AB81" t="n">
        <x:v>0</x:v>
      </x:c>
      <x:c r="AC81" t="str">
        <x:v>OK</x:v>
      </x:c>
      <x:c r="AD81" t="str">
        <x:v>OK</x:v>
      </x:c>
      <x:c r="AE81" t="str">
        <x:v>LOAD</x:v>
      </x:c>
      <x:c r="AF81" t="str">
        <x:v>02_Supervisor_Log(4).xlsx</x:v>
      </x:c>
      <x:c r="AG81" t="str">
        <x:v>ENH-20260830-01</x:v>
      </x:c>
      <x:c r="AH81" t="str">
        <x:v>Active</x:v>
      </x:c>
      <x:c r="AI81"/>
      <x:c r="AJ81"/>
      <x:c r="AK81"/>
      <x:c r="AL81"/>
    </x:row>
    <x:row r="82">
      <x:c r="A82" t="s">
        <x:v>284</x:v>
      </x:c>
      <x:c r="B82" t="s">
        <x:v>272</x:v>
      </x:c>
      <x:c r="C82" t="s">
        <x:v>44</x:v>
      </x:c>
      <x:c r="D82">
        <x:v>45952</x:v>
      </x:c>
      <x:c r="E82" t="s">
        <x:v>187</x:v>
      </x:c>
      <x:c r="F82" t="s">
        <x:v>55</x:v>
      </x:c>
      <x:c r="G82">
        <x:v>21</x:v>
      </x:c>
      <x:c r="H82" t="s">
        <x:v>48</x:v>
      </x:c>
      <x:c r="I82">
        <x:v>13</x:v>
      </x:c>
      <x:c r="J82">
        <x:v>10</x:v>
      </x:c>
      <x:c r="K82">
        <x:v>2</x:v>
      </x:c>
      <x:c r="L82">
        <x:f t="shared" si="7"/>
        <x:v>0</x:v>
      </x:c>
      <x:c r="P82">
        <x:f t="shared" si="8"/>
        <x:v>0</x:v>
      </x:c>
      <x:c r="Q82">
        <x:f t="shared" si="9"/>
        <x:v>0</x:v>
      </x:c>
      <x:c r="R82">
        <x:f t="shared" si="10"/>
        <x:v>0</x:v>
      </x:c>
      <x:c r="S82">
        <x:f t="shared" si="11"/>
        <x:v>0</x:v>
      </x:c>
      <x:c r="T82" t="str">
        <x:f t="shared" si="12"/>
        <x:v>DerivedFromCount</x:v>
      </x:c>
      <x:c r="U82" t="str">
        <x:f>IF(COUNTIF(DailyProduction!$Q$5:$Q$100,B82)=1,"OK","CHECK")</x:f>
        <x:v>OK</x:v>
      </x:c>
      <x:c r="V82" t="str">
        <x:f t="shared" si="13"/>
        <x:v>OK</x:v>
      </x:c>
      <x:c r="W82" t="str">
        <x:f>IF(SUMIF($B$5:$B$914,B82,$S$5:$S$914)=SUMIF(DailyProduction!$Q$5:$Q$100,B82,DailyProduction!$R$5:$R$100),"OK","CHECK")</x:f>
        <x:v>OK</x:v>
      </x:c>
      <x:c r="X82" t="str">
        <x:v>PLC-PRD-JAR-720-L21</x:v>
      </x:c>
      <x:c r="Y82" t="str">
        <x:v>OK</x:v>
      </x:c>
      <x:c r="Z82" t="str">
        <x:v>OK</x:v>
      </x:c>
      <x:c r="AA82" t="n">
        <x:v>3</x:v>
      </x:c>
      <x:c r="AB82" t="n">
        <x:v>0</x:v>
      </x:c>
      <x:c r="AC82" t="str">
        <x:v>OK</x:v>
      </x:c>
      <x:c r="AD82" t="str">
        <x:v>OK</x:v>
      </x:c>
      <x:c r="AE82" t="str">
        <x:v>LOAD</x:v>
      </x:c>
      <x:c r="AF82" t="str">
        <x:v>02_Supervisor_Log(4).xlsx</x:v>
      </x:c>
      <x:c r="AG82" t="str">
        <x:v>ENH-20260830-01</x:v>
      </x:c>
      <x:c r="AH82" t="str">
        <x:v>Active</x:v>
      </x:c>
      <x:c r="AI82"/>
      <x:c r="AJ82"/>
      <x:c r="AK82"/>
      <x:c r="AL82"/>
    </x:row>
    <x:row r="83">
      <x:c r="A83" t="s">
        <x:v>285</x:v>
      </x:c>
      <x:c r="B83" t="s">
        <x:v>286</x:v>
      </x:c>
      <x:c r="C83" t="s">
        <x:v>44</x:v>
      </x:c>
      <x:c r="D83">
        <x:v>45953</x:v>
      </x:c>
      <x:c r="E83" t="s">
        <x:v>45</x:v>
      </x:c>
      <x:c r="F83" t="s">
        <x:v>55</x:v>
      </x:c>
      <x:c r="G83">
        <x:v>21</x:v>
      </x:c>
      <x:c r="H83" t="s">
        <x:v>48</x:v>
      </x:c>
      <x:c r="I83">
        <x:v>1</x:v>
      </x:c>
      <x:c r="J83">
        <x:v>10</x:v>
      </x:c>
      <x:c r="K83">
        <x:v>2</x:v>
      </x:c>
      <x:c r="L83">
        <x:f t="shared" si="7"/>
        <x:v>1</x:v>
      </x:c>
      <x:c r="P83">
        <x:f t="shared" si="8"/>
        <x:v>1</x:v>
      </x:c>
      <x:c r="Q83">
        <x:f t="shared" si="9"/>
        <x:v>1</x:v>
      </x:c>
      <x:c r="R83">
        <x:f t="shared" si="10"/>
        <x:v>0</x:v>
      </x:c>
      <x:c r="S83">
        <x:f t="shared" si="11"/>
        <x:v>2</x:v>
      </x:c>
      <x:c r="T83" t="str">
        <x:f t="shared" si="12"/>
        <x:v>DerivedFromCount</x:v>
      </x:c>
      <x:c r="U83" t="str">
        <x:f>IF(COUNTIF(DailyProduction!$Q$5:$Q$100,B83)=1,"OK","CHECK")</x:f>
        <x:v>OK</x:v>
      </x:c>
      <x:c r="V83" t="str">
        <x:f t="shared" si="13"/>
        <x:v>OK</x:v>
      </x:c>
      <x:c r="W83" t="str">
        <x:f>IF(SUMIF($B$5:$B$914,B83,$S$5:$S$914)=SUMIF(DailyProduction!$Q$5:$Q$100,B83,DailyProduction!$R$5:$R$100),"OK","CHECK")</x:f>
        <x:v>OK</x:v>
      </x:c>
      <x:c r="X83" t="str">
        <x:v>PLC-PRD-JAR-720-L21</x:v>
      </x:c>
      <x:c r="Y83" t="str">
        <x:v>OK</x:v>
      </x:c>
      <x:c r="Z83" t="str">
        <x:v>OK</x:v>
      </x:c>
      <x:c r="AA83" t="n">
        <x:v>3</x:v>
      </x:c>
      <x:c r="AB83" t="n">
        <x:v>2</x:v>
      </x:c>
      <x:c r="AC83" t="str">
        <x:v>OK</x:v>
      </x:c>
      <x:c r="AD83" t="str">
        <x:v>OK</x:v>
      </x:c>
      <x:c r="AE83" t="str">
        <x:v>LOAD</x:v>
      </x:c>
      <x:c r="AF83" t="str">
        <x:v>02_Supervisor_Log(4).xlsx</x:v>
      </x:c>
      <x:c r="AG83" t="str">
        <x:v>ENH-20260830-01</x:v>
      </x:c>
      <x:c r="AH83" t="str">
        <x:v>Active</x:v>
      </x:c>
      <x:c r="AI83"/>
      <x:c r="AJ83"/>
      <x:c r="AK83"/>
      <x:c r="AL83"/>
    </x:row>
    <x:row r="84">
      <x:c r="A84" t="s">
        <x:v>287</x:v>
      </x:c>
      <x:c r="B84" t="s">
        <x:v>286</x:v>
      </x:c>
      <x:c r="C84" t="s">
        <x:v>44</x:v>
      </x:c>
      <x:c r="D84">
        <x:v>45953</x:v>
      </x:c>
      <x:c r="E84" t="s">
        <x:v>45</x:v>
      </x:c>
      <x:c r="F84" t="s">
        <x:v>55</x:v>
      </x:c>
      <x:c r="G84">
        <x:v>21</x:v>
      </x:c>
      <x:c r="H84" t="s">
        <x:v>48</x:v>
      </x:c>
      <x:c r="I84">
        <x:v>2</x:v>
      </x:c>
      <x:c r="J84">
        <x:v>10</x:v>
      </x:c>
      <x:c r="K84">
        <x:v>2</x:v>
      </x:c>
      <x:c r="L84">
        <x:f t="shared" si="7"/>
        <x:v>1</x:v>
      </x:c>
      <x:c r="P84">
        <x:f t="shared" si="8"/>
        <x:v>1</x:v>
      </x:c>
      <x:c r="Q84">
        <x:f t="shared" si="9"/>
        <x:v>1</x:v>
      </x:c>
      <x:c r="R84">
        <x:f t="shared" si="10"/>
        <x:v>0</x:v>
      </x:c>
      <x:c r="S84">
        <x:f t="shared" si="11"/>
        <x:v>2</x:v>
      </x:c>
      <x:c r="T84" t="str">
        <x:f t="shared" si="12"/>
        <x:v>DerivedFromCount</x:v>
      </x:c>
      <x:c r="U84" t="str">
        <x:f>IF(COUNTIF(DailyProduction!$Q$5:$Q$100,B84)=1,"OK","CHECK")</x:f>
        <x:v>OK</x:v>
      </x:c>
      <x:c r="V84" t="str">
        <x:f t="shared" si="13"/>
        <x:v>OK</x:v>
      </x:c>
      <x:c r="W84" t="str">
        <x:f>IF(SUMIF($B$5:$B$914,B84,$S$5:$S$914)=SUMIF(DailyProduction!$Q$5:$Q$100,B84,DailyProduction!$R$5:$R$100),"OK","CHECK")</x:f>
        <x:v>OK</x:v>
      </x:c>
      <x:c r="X84" t="str">
        <x:v>PLC-PRD-JAR-720-L21</x:v>
      </x:c>
      <x:c r="Y84" t="str">
        <x:v>OK</x:v>
      </x:c>
      <x:c r="Z84" t="str">
        <x:v>OK</x:v>
      </x:c>
      <x:c r="AA84" t="n">
        <x:v>3</x:v>
      </x:c>
      <x:c r="AB84" t="n">
        <x:v>2</x:v>
      </x:c>
      <x:c r="AC84" t="str">
        <x:v>OK</x:v>
      </x:c>
      <x:c r="AD84" t="str">
        <x:v>OK</x:v>
      </x:c>
      <x:c r="AE84" t="str">
        <x:v>LOAD</x:v>
      </x:c>
      <x:c r="AF84" t="str">
        <x:v>02_Supervisor_Log(4).xlsx</x:v>
      </x:c>
      <x:c r="AG84" t="str">
        <x:v>ENH-20260830-01</x:v>
      </x:c>
      <x:c r="AH84" t="str">
        <x:v>Active</x:v>
      </x:c>
      <x:c r="AI84"/>
      <x:c r="AJ84"/>
      <x:c r="AK84"/>
      <x:c r="AL84"/>
    </x:row>
    <x:row r="85">
      <x:c r="A85" t="s">
        <x:v>288</x:v>
      </x:c>
      <x:c r="B85" t="s">
        <x:v>286</x:v>
      </x:c>
      <x:c r="C85" t="s">
        <x:v>44</x:v>
      </x:c>
      <x:c r="D85">
        <x:v>45953</x:v>
      </x:c>
      <x:c r="E85" t="s">
        <x:v>45</x:v>
      </x:c>
      <x:c r="F85" t="s">
        <x:v>55</x:v>
      </x:c>
      <x:c r="G85">
        <x:v>21</x:v>
      </x:c>
      <x:c r="H85" t="s">
        <x:v>48</x:v>
      </x:c>
      <x:c r="I85">
        <x:v>3</x:v>
      </x:c>
      <x:c r="J85">
        <x:v>10</x:v>
      </x:c>
      <x:c r="K85">
        <x:v>2</x:v>
      </x:c>
      <x:c r="L85">
        <x:f t="shared" si="7"/>
        <x:v>1</x:v>
      </x:c>
      <x:c r="P85">
        <x:f t="shared" si="8"/>
        <x:v>1</x:v>
      </x:c>
      <x:c r="Q85">
        <x:f t="shared" si="9"/>
        <x:v>1</x:v>
      </x:c>
      <x:c r="R85">
        <x:f t="shared" si="10"/>
        <x:v>0</x:v>
      </x:c>
      <x:c r="S85">
        <x:f t="shared" si="11"/>
        <x:v>2</x:v>
      </x:c>
      <x:c r="T85" t="str">
        <x:f t="shared" si="12"/>
        <x:v>DerivedFromCount</x:v>
      </x:c>
      <x:c r="U85" t="str">
        <x:f>IF(COUNTIF(DailyProduction!$Q$5:$Q$100,B85)=1,"OK","CHECK")</x:f>
        <x:v>OK</x:v>
      </x:c>
      <x:c r="V85" t="str">
        <x:f t="shared" si="13"/>
        <x:v>OK</x:v>
      </x:c>
      <x:c r="W85" t="str">
        <x:f>IF(SUMIF($B$5:$B$914,B85,$S$5:$S$914)=SUMIF(DailyProduction!$Q$5:$Q$100,B85,DailyProduction!$R$5:$R$100),"OK","CHECK")</x:f>
        <x:v>OK</x:v>
      </x:c>
      <x:c r="X85" t="str">
        <x:v>PLC-PRD-JAR-720-L21</x:v>
      </x:c>
      <x:c r="Y85" t="str">
        <x:v>OK</x:v>
      </x:c>
      <x:c r="Z85" t="str">
        <x:v>OK</x:v>
      </x:c>
      <x:c r="AA85" t="n">
        <x:v>3</x:v>
      </x:c>
      <x:c r="AB85" t="n">
        <x:v>2</x:v>
      </x:c>
      <x:c r="AC85" t="str">
        <x:v>OK</x:v>
      </x:c>
      <x:c r="AD85" t="str">
        <x:v>OK</x:v>
      </x:c>
      <x:c r="AE85" t="str">
        <x:v>LOAD</x:v>
      </x:c>
      <x:c r="AF85" t="str">
        <x:v>02_Supervisor_Log(4).xlsx</x:v>
      </x:c>
      <x:c r="AG85" t="str">
        <x:v>ENH-20260830-01</x:v>
      </x:c>
      <x:c r="AH85" t="str">
        <x:v>Active</x:v>
      </x:c>
      <x:c r="AI85"/>
      <x:c r="AJ85"/>
      <x:c r="AK85"/>
      <x:c r="AL85"/>
    </x:row>
    <x:row r="86">
      <x:c r="A86" t="s">
        <x:v>289</x:v>
      </x:c>
      <x:c r="B86" t="s">
        <x:v>286</x:v>
      </x:c>
      <x:c r="C86" t="s">
        <x:v>44</x:v>
      </x:c>
      <x:c r="D86">
        <x:v>45953</x:v>
      </x:c>
      <x:c r="E86" t="s">
        <x:v>45</x:v>
      </x:c>
      <x:c r="F86" t="s">
        <x:v>55</x:v>
      </x:c>
      <x:c r="G86">
        <x:v>21</x:v>
      </x:c>
      <x:c r="H86" t="s">
        <x:v>48</x:v>
      </x:c>
      <x:c r="I86">
        <x:v>4</x:v>
      </x:c>
      <x:c r="J86">
        <x:v>10</x:v>
      </x:c>
      <x:c r="K86">
        <x:v>2</x:v>
      </x:c>
      <x:c r="L86">
        <x:f t="shared" si="7"/>
        <x:v>1</x:v>
      </x:c>
      <x:c r="P86">
        <x:f t="shared" si="8"/>
        <x:v>1</x:v>
      </x:c>
      <x:c r="Q86">
        <x:f t="shared" si="9"/>
        <x:v>1</x:v>
      </x:c>
      <x:c r="R86">
        <x:f t="shared" si="10"/>
        <x:v>0</x:v>
      </x:c>
      <x:c r="S86">
        <x:f t="shared" si="11"/>
        <x:v>2</x:v>
      </x:c>
      <x:c r="T86" t="str">
        <x:f t="shared" si="12"/>
        <x:v>DerivedFromCount</x:v>
      </x:c>
      <x:c r="U86" t="str">
        <x:f>IF(COUNTIF(DailyProduction!$Q$5:$Q$100,B86)=1,"OK","CHECK")</x:f>
        <x:v>OK</x:v>
      </x:c>
      <x:c r="V86" t="str">
        <x:f t="shared" si="13"/>
        <x:v>OK</x:v>
      </x:c>
      <x:c r="W86" t="str">
        <x:f>IF(SUMIF($B$5:$B$914,B86,$S$5:$S$914)=SUMIF(DailyProduction!$Q$5:$Q$100,B86,DailyProduction!$R$5:$R$100),"OK","CHECK")</x:f>
        <x:v>OK</x:v>
      </x:c>
      <x:c r="X86" t="str">
        <x:v>PLC-PRD-JAR-720-L21</x:v>
      </x:c>
      <x:c r="Y86" t="str">
        <x:v>OK</x:v>
      </x:c>
      <x:c r="Z86" t="str">
        <x:v>OK</x:v>
      </x:c>
      <x:c r="AA86" t="n">
        <x:v>3</x:v>
      </x:c>
      <x:c r="AB86" t="n">
        <x:v>2</x:v>
      </x:c>
      <x:c r="AC86" t="str">
        <x:v>OK</x:v>
      </x:c>
      <x:c r="AD86" t="str">
        <x:v>OK</x:v>
      </x:c>
      <x:c r="AE86" t="str">
        <x:v>LOAD</x:v>
      </x:c>
      <x:c r="AF86" t="str">
        <x:v>02_Supervisor_Log(4).xlsx</x:v>
      </x:c>
      <x:c r="AG86" t="str">
        <x:v>ENH-20260830-01</x:v>
      </x:c>
      <x:c r="AH86" t="str">
        <x:v>Active</x:v>
      </x:c>
      <x:c r="AI86"/>
      <x:c r="AJ86"/>
      <x:c r="AK86"/>
      <x:c r="AL86"/>
    </x:row>
    <x:row r="87">
      <x:c r="A87" t="s">
        <x:v>290</x:v>
      </x:c>
      <x:c r="B87" t="s">
        <x:v>286</x:v>
      </x:c>
      <x:c r="C87" t="s">
        <x:v>44</x:v>
      </x:c>
      <x:c r="D87">
        <x:v>45953</x:v>
      </x:c>
      <x:c r="E87" t="s">
        <x:v>45</x:v>
      </x:c>
      <x:c r="F87" t="s">
        <x:v>55</x:v>
      </x:c>
      <x:c r="G87">
        <x:v>21</x:v>
      </x:c>
      <x:c r="H87" t="s">
        <x:v>48</x:v>
      </x:c>
      <x:c r="I87">
        <x:v>5</x:v>
      </x:c>
      <x:c r="J87">
        <x:v>10</x:v>
      </x:c>
      <x:c r="K87">
        <x:v>2</x:v>
      </x:c>
      <x:c r="L87">
        <x:f t="shared" si="7"/>
        <x:v>1</x:v>
      </x:c>
      <x:c r="P87">
        <x:f t="shared" si="8"/>
        <x:v>1</x:v>
      </x:c>
      <x:c r="Q87">
        <x:f t="shared" si="9"/>
        <x:v>1</x:v>
      </x:c>
      <x:c r="R87">
        <x:f t="shared" si="10"/>
        <x:v>0</x:v>
      </x:c>
      <x:c r="S87">
        <x:f t="shared" si="11"/>
        <x:v>2</x:v>
      </x:c>
      <x:c r="T87" t="str">
        <x:f t="shared" si="12"/>
        <x:v>DerivedFromCount</x:v>
      </x:c>
      <x:c r="U87" t="str">
        <x:f>IF(COUNTIF(DailyProduction!$Q$5:$Q$100,B87)=1,"OK","CHECK")</x:f>
        <x:v>OK</x:v>
      </x:c>
      <x:c r="V87" t="str">
        <x:f t="shared" si="13"/>
        <x:v>OK</x:v>
      </x:c>
      <x:c r="W87" t="str">
        <x:f>IF(SUMIF($B$5:$B$914,B87,$S$5:$S$914)=SUMIF(DailyProduction!$Q$5:$Q$100,B87,DailyProduction!$R$5:$R$100),"OK","CHECK")</x:f>
        <x:v>OK</x:v>
      </x:c>
      <x:c r="X87" t="str">
        <x:v>PLC-PRD-JAR-720-L21</x:v>
      </x:c>
      <x:c r="Y87" t="str">
        <x:v>OK</x:v>
      </x:c>
      <x:c r="Z87" t="str">
        <x:v>OK</x:v>
      </x:c>
      <x:c r="AA87" t="n">
        <x:v>3</x:v>
      </x:c>
      <x:c r="AB87" t="n">
        <x:v>2</x:v>
      </x:c>
      <x:c r="AC87" t="str">
        <x:v>OK</x:v>
      </x:c>
      <x:c r="AD87" t="str">
        <x:v>OK</x:v>
      </x:c>
      <x:c r="AE87" t="str">
        <x:v>LOAD</x:v>
      </x:c>
      <x:c r="AF87" t="str">
        <x:v>02_Supervisor_Log(4).xlsx</x:v>
      </x:c>
      <x:c r="AG87" t="str">
        <x:v>ENH-20260830-01</x:v>
      </x:c>
      <x:c r="AH87" t="str">
        <x:v>Active</x:v>
      </x:c>
      <x:c r="AI87"/>
      <x:c r="AJ87"/>
      <x:c r="AK87"/>
      <x:c r="AL87"/>
    </x:row>
    <x:row r="88">
      <x:c r="A88" t="s">
        <x:v>291</x:v>
      </x:c>
      <x:c r="B88" t="s">
        <x:v>286</x:v>
      </x:c>
      <x:c r="C88" t="s">
        <x:v>44</x:v>
      </x:c>
      <x:c r="D88">
        <x:v>45953</x:v>
      </x:c>
      <x:c r="E88" t="s">
        <x:v>45</x:v>
      </x:c>
      <x:c r="F88" t="s">
        <x:v>55</x:v>
      </x:c>
      <x:c r="G88">
        <x:v>21</x:v>
      </x:c>
      <x:c r="H88" t="s">
        <x:v>48</x:v>
      </x:c>
      <x:c r="I88">
        <x:v>6</x:v>
      </x:c>
      <x:c r="J88">
        <x:v>10</x:v>
      </x:c>
      <x:c r="K88">
        <x:v>2</x:v>
      </x:c>
      <x:c r="L88">
        <x:f t="shared" si="7"/>
        <x:v>1</x:v>
      </x:c>
      <x:c r="P88">
        <x:f t="shared" si="8"/>
        <x:v>1</x:v>
      </x:c>
      <x:c r="Q88">
        <x:f t="shared" si="9"/>
        <x:v>1</x:v>
      </x:c>
      <x:c r="R88">
        <x:f t="shared" si="10"/>
        <x:v>0</x:v>
      </x:c>
      <x:c r="S88">
        <x:f t="shared" si="11"/>
        <x:v>2</x:v>
      </x:c>
      <x:c r="T88" t="str">
        <x:f t="shared" si="12"/>
        <x:v>DerivedFromCount</x:v>
      </x:c>
      <x:c r="U88" t="str">
        <x:f>IF(COUNTIF(DailyProduction!$Q$5:$Q$100,B88)=1,"OK","CHECK")</x:f>
        <x:v>OK</x:v>
      </x:c>
      <x:c r="V88" t="str">
        <x:f t="shared" si="13"/>
        <x:v>OK</x:v>
      </x:c>
      <x:c r="W88" t="str">
        <x:f>IF(SUMIF($B$5:$B$914,B88,$S$5:$S$914)=SUMIF(DailyProduction!$Q$5:$Q$100,B88,DailyProduction!$R$5:$R$100),"OK","CHECK")</x:f>
        <x:v>OK</x:v>
      </x:c>
      <x:c r="X88" t="str">
        <x:v>PLC-PRD-JAR-720-L21</x:v>
      </x:c>
      <x:c r="Y88" t="str">
        <x:v>OK</x:v>
      </x:c>
      <x:c r="Z88" t="str">
        <x:v>OK</x:v>
      </x:c>
      <x:c r="AA88" t="n">
        <x:v>3</x:v>
      </x:c>
      <x:c r="AB88" t="n">
        <x:v>2</x:v>
      </x:c>
      <x:c r="AC88" t="str">
        <x:v>OK</x:v>
      </x:c>
      <x:c r="AD88" t="str">
        <x:v>OK</x:v>
      </x:c>
      <x:c r="AE88" t="str">
        <x:v>LOAD</x:v>
      </x:c>
      <x:c r="AF88" t="str">
        <x:v>02_Supervisor_Log(4).xlsx</x:v>
      </x:c>
      <x:c r="AG88" t="str">
        <x:v>ENH-20260830-01</x:v>
      </x:c>
      <x:c r="AH88" t="str">
        <x:v>Active</x:v>
      </x:c>
      <x:c r="AI88"/>
      <x:c r="AJ88"/>
      <x:c r="AK88"/>
      <x:c r="AL88"/>
    </x:row>
    <x:row r="89">
      <x:c r="A89" t="s">
        <x:v>292</x:v>
      </x:c>
      <x:c r="B89" t="s">
        <x:v>286</x:v>
      </x:c>
      <x:c r="C89" t="s">
        <x:v>44</x:v>
      </x:c>
      <x:c r="D89">
        <x:v>45953</x:v>
      </x:c>
      <x:c r="E89" t="s">
        <x:v>45</x:v>
      </x:c>
      <x:c r="F89" t="s">
        <x:v>55</x:v>
      </x:c>
      <x:c r="G89">
        <x:v>21</x:v>
      </x:c>
      <x:c r="H89" t="s">
        <x:v>48</x:v>
      </x:c>
      <x:c r="I89">
        <x:v>7</x:v>
      </x:c>
      <x:c r="J89">
        <x:v>10</x:v>
      </x:c>
      <x:c r="K89">
        <x:v>2</x:v>
      </x:c>
      <x:c r="L89">
        <x:f t="shared" si="7"/>
        <x:v>1</x:v>
      </x:c>
      <x:c r="P89">
        <x:f t="shared" si="8"/>
        <x:v>1</x:v>
      </x:c>
      <x:c r="Q89">
        <x:f t="shared" si="9"/>
        <x:v>1</x:v>
      </x:c>
      <x:c r="R89">
        <x:f t="shared" si="10"/>
        <x:v>0</x:v>
      </x:c>
      <x:c r="S89">
        <x:f t="shared" si="11"/>
        <x:v>2</x:v>
      </x:c>
      <x:c r="T89" t="str">
        <x:f t="shared" si="12"/>
        <x:v>DerivedFromCount</x:v>
      </x:c>
      <x:c r="U89" t="str">
        <x:f>IF(COUNTIF(DailyProduction!$Q$5:$Q$100,B89)=1,"OK","CHECK")</x:f>
        <x:v>OK</x:v>
      </x:c>
      <x:c r="V89" t="str">
        <x:f t="shared" si="13"/>
        <x:v>OK</x:v>
      </x:c>
      <x:c r="W89" t="str">
        <x:f>IF(SUMIF($B$5:$B$914,B89,$S$5:$S$914)=SUMIF(DailyProduction!$Q$5:$Q$100,B89,DailyProduction!$R$5:$R$100),"OK","CHECK")</x:f>
        <x:v>OK</x:v>
      </x:c>
      <x:c r="X89" t="str">
        <x:v>PLC-PRD-JAR-720-L21</x:v>
      </x:c>
      <x:c r="Y89" t="str">
        <x:v>OK</x:v>
      </x:c>
      <x:c r="Z89" t="str">
        <x:v>OK</x:v>
      </x:c>
      <x:c r="AA89" t="n">
        <x:v>3</x:v>
      </x:c>
      <x:c r="AB89" t="n">
        <x:v>2</x:v>
      </x:c>
      <x:c r="AC89" t="str">
        <x:v>OK</x:v>
      </x:c>
      <x:c r="AD89" t="str">
        <x:v>OK</x:v>
      </x:c>
      <x:c r="AE89" t="str">
        <x:v>LOAD</x:v>
      </x:c>
      <x:c r="AF89" t="str">
        <x:v>02_Supervisor_Log(4).xlsx</x:v>
      </x:c>
      <x:c r="AG89" t="str">
        <x:v>ENH-20260830-01</x:v>
      </x:c>
      <x:c r="AH89" t="str">
        <x:v>Active</x:v>
      </x:c>
      <x:c r="AI89"/>
      <x:c r="AJ89"/>
      <x:c r="AK89"/>
      <x:c r="AL89"/>
    </x:row>
    <x:row r="90">
      <x:c r="A90" t="s">
        <x:v>293</x:v>
      </x:c>
      <x:c r="B90" t="s">
        <x:v>286</x:v>
      </x:c>
      <x:c r="C90" t="s">
        <x:v>44</x:v>
      </x:c>
      <x:c r="D90">
        <x:v>45953</x:v>
      </x:c>
      <x:c r="E90" t="s">
        <x:v>45</x:v>
      </x:c>
      <x:c r="F90" t="s">
        <x:v>55</x:v>
      </x:c>
      <x:c r="G90">
        <x:v>21</x:v>
      </x:c>
      <x:c r="H90" t="s">
        <x:v>48</x:v>
      </x:c>
      <x:c r="I90">
        <x:v>8</x:v>
      </x:c>
      <x:c r="J90">
        <x:v>10</x:v>
      </x:c>
      <x:c r="K90">
        <x:v>2</x:v>
      </x:c>
      <x:c r="L90">
        <x:f t="shared" si="7"/>
        <x:v>1</x:v>
      </x:c>
      <x:c r="P90">
        <x:f t="shared" si="8"/>
        <x:v>1</x:v>
      </x:c>
      <x:c r="Q90">
        <x:f t="shared" si="9"/>
        <x:v>1</x:v>
      </x:c>
      <x:c r="R90">
        <x:f t="shared" si="10"/>
        <x:v>0</x:v>
      </x:c>
      <x:c r="S90">
        <x:f t="shared" si="11"/>
        <x:v>2</x:v>
      </x:c>
      <x:c r="T90" t="str">
        <x:f t="shared" si="12"/>
        <x:v>DerivedFromCount</x:v>
      </x:c>
      <x:c r="U90" t="str">
        <x:f>IF(COUNTIF(DailyProduction!$Q$5:$Q$100,B90)=1,"OK","CHECK")</x:f>
        <x:v>OK</x:v>
      </x:c>
      <x:c r="V90" t="str">
        <x:f t="shared" si="13"/>
        <x:v>OK</x:v>
      </x:c>
      <x:c r="W90" t="str">
        <x:f>IF(SUMIF($B$5:$B$914,B90,$S$5:$S$914)=SUMIF(DailyProduction!$Q$5:$Q$100,B90,DailyProduction!$R$5:$R$100),"OK","CHECK")</x:f>
        <x:v>OK</x:v>
      </x:c>
      <x:c r="X90" t="str">
        <x:v>PLC-PRD-JAR-720-L21</x:v>
      </x:c>
      <x:c r="Y90" t="str">
        <x:v>OK</x:v>
      </x:c>
      <x:c r="Z90" t="str">
        <x:v>OK</x:v>
      </x:c>
      <x:c r="AA90" t="n">
        <x:v>3</x:v>
      </x:c>
      <x:c r="AB90" t="n">
        <x:v>2</x:v>
      </x:c>
      <x:c r="AC90" t="str">
        <x:v>OK</x:v>
      </x:c>
      <x:c r="AD90" t="str">
        <x:v>OK</x:v>
      </x:c>
      <x:c r="AE90" t="str">
        <x:v>LOAD</x:v>
      </x:c>
      <x:c r="AF90" t="str">
        <x:v>02_Supervisor_Log(4).xlsx</x:v>
      </x:c>
      <x:c r="AG90" t="str">
        <x:v>ENH-20260830-01</x:v>
      </x:c>
      <x:c r="AH90" t="str">
        <x:v>Active</x:v>
      </x:c>
      <x:c r="AI90"/>
      <x:c r="AJ90"/>
      <x:c r="AK90"/>
      <x:c r="AL90"/>
    </x:row>
    <x:row r="91">
      <x:c r="A91" t="s">
        <x:v>294</x:v>
      </x:c>
      <x:c r="B91" t="s">
        <x:v>286</x:v>
      </x:c>
      <x:c r="C91" t="s">
        <x:v>44</x:v>
      </x:c>
      <x:c r="D91">
        <x:v>45953</x:v>
      </x:c>
      <x:c r="E91" t="s">
        <x:v>45</x:v>
      </x:c>
      <x:c r="F91" t="s">
        <x:v>55</x:v>
      </x:c>
      <x:c r="G91">
        <x:v>21</x:v>
      </x:c>
      <x:c r="H91" t="s">
        <x:v>48</x:v>
      </x:c>
      <x:c r="I91">
        <x:v>9</x:v>
      </x:c>
      <x:c r="J91">
        <x:v>10</x:v>
      </x:c>
      <x:c r="K91">
        <x:v>2</x:v>
      </x:c>
      <x:c r="L91">
        <x:f t="shared" si="7"/>
        <x:v>1</x:v>
      </x:c>
      <x:c r="P91">
        <x:f t="shared" si="8"/>
        <x:v>1</x:v>
      </x:c>
      <x:c r="Q91">
        <x:f t="shared" si="9"/>
        <x:v>1</x:v>
      </x:c>
      <x:c r="R91">
        <x:f t="shared" si="10"/>
        <x:v>0</x:v>
      </x:c>
      <x:c r="S91">
        <x:f t="shared" si="11"/>
        <x:v>2</x:v>
      </x:c>
      <x:c r="T91" t="str">
        <x:f t="shared" si="12"/>
        <x:v>DerivedFromCount</x:v>
      </x:c>
      <x:c r="U91" t="str">
        <x:f>IF(COUNTIF(DailyProduction!$Q$5:$Q$100,B91)=1,"OK","CHECK")</x:f>
        <x:v>OK</x:v>
      </x:c>
      <x:c r="V91" t="str">
        <x:f t="shared" si="13"/>
        <x:v>OK</x:v>
      </x:c>
      <x:c r="W91" t="str">
        <x:f>IF(SUMIF($B$5:$B$914,B91,$S$5:$S$914)=SUMIF(DailyProduction!$Q$5:$Q$100,B91,DailyProduction!$R$5:$R$100),"OK","CHECK")</x:f>
        <x:v>OK</x:v>
      </x:c>
      <x:c r="X91" t="str">
        <x:v>PLC-PRD-JAR-720-L21</x:v>
      </x:c>
      <x:c r="Y91" t="str">
        <x:v>OK</x:v>
      </x:c>
      <x:c r="Z91" t="str">
        <x:v>OK</x:v>
      </x:c>
      <x:c r="AA91" t="n">
        <x:v>3</x:v>
      </x:c>
      <x:c r="AB91" t="n">
        <x:v>2</x:v>
      </x:c>
      <x:c r="AC91" t="str">
        <x:v>OK</x:v>
      </x:c>
      <x:c r="AD91" t="str">
        <x:v>OK</x:v>
      </x:c>
      <x:c r="AE91" t="str">
        <x:v>LOAD</x:v>
      </x:c>
      <x:c r="AF91" t="str">
        <x:v>02_Supervisor_Log(4).xlsx</x:v>
      </x:c>
      <x:c r="AG91" t="str">
        <x:v>ENH-20260830-01</x:v>
      </x:c>
      <x:c r="AH91" t="str">
        <x:v>Active</x:v>
      </x:c>
      <x:c r="AI91"/>
      <x:c r="AJ91"/>
      <x:c r="AK91"/>
      <x:c r="AL91"/>
    </x:row>
    <x:row r="92">
      <x:c r="A92" t="s">
        <x:v>295</x:v>
      </x:c>
      <x:c r="B92" t="s">
        <x:v>286</x:v>
      </x:c>
      <x:c r="C92" t="s">
        <x:v>44</x:v>
      </x:c>
      <x:c r="D92">
        <x:v>45953</x:v>
      </x:c>
      <x:c r="E92" t="s">
        <x:v>45</x:v>
      </x:c>
      <x:c r="F92" t="s">
        <x:v>55</x:v>
      </x:c>
      <x:c r="G92">
        <x:v>21</x:v>
      </x:c>
      <x:c r="H92" t="s">
        <x:v>48</x:v>
      </x:c>
      <x:c r="I92">
        <x:v>10</x:v>
      </x:c>
      <x:c r="J92">
        <x:v>10</x:v>
      </x:c>
      <x:c r="K92">
        <x:v>2</x:v>
      </x:c>
      <x:c r="L92">
        <x:f t="shared" si="7"/>
        <x:v>1</x:v>
      </x:c>
      <x:c r="P92">
        <x:f t="shared" si="8"/>
        <x:v>1</x:v>
      </x:c>
      <x:c r="Q92">
        <x:f t="shared" si="9"/>
        <x:v>1</x:v>
      </x:c>
      <x:c r="R92">
        <x:f t="shared" si="10"/>
        <x:v>0</x:v>
      </x:c>
      <x:c r="S92">
        <x:f t="shared" si="11"/>
        <x:v>2</x:v>
      </x:c>
      <x:c r="T92" t="str">
        <x:f t="shared" si="12"/>
        <x:v>DerivedFromCount</x:v>
      </x:c>
      <x:c r="U92" t="str">
        <x:f>IF(COUNTIF(DailyProduction!$Q$5:$Q$100,B92)=1,"OK","CHECK")</x:f>
        <x:v>OK</x:v>
      </x:c>
      <x:c r="V92" t="str">
        <x:f t="shared" si="13"/>
        <x:v>OK</x:v>
      </x:c>
      <x:c r="W92" t="str">
        <x:f>IF(SUMIF($B$5:$B$914,B92,$S$5:$S$914)=SUMIF(DailyProduction!$Q$5:$Q$100,B92,DailyProduction!$R$5:$R$100),"OK","CHECK")</x:f>
        <x:v>OK</x:v>
      </x:c>
      <x:c r="X92" t="str">
        <x:v>PLC-PRD-JAR-720-L21</x:v>
      </x:c>
      <x:c r="Y92" t="str">
        <x:v>OK</x:v>
      </x:c>
      <x:c r="Z92" t="str">
        <x:v>OK</x:v>
      </x:c>
      <x:c r="AA92" t="n">
        <x:v>3</x:v>
      </x:c>
      <x:c r="AB92" t="n">
        <x:v>2</x:v>
      </x:c>
      <x:c r="AC92" t="str">
        <x:v>OK</x:v>
      </x:c>
      <x:c r="AD92" t="str">
        <x:v>OK</x:v>
      </x:c>
      <x:c r="AE92" t="str">
        <x:v>LOAD</x:v>
      </x:c>
      <x:c r="AF92" t="str">
        <x:v>02_Supervisor_Log(4).xlsx</x:v>
      </x:c>
      <x:c r="AG92" t="str">
        <x:v>ENH-20260830-01</x:v>
      </x:c>
      <x:c r="AH92" t="str">
        <x:v>Active</x:v>
      </x:c>
      <x:c r="AI92"/>
      <x:c r="AJ92"/>
      <x:c r="AK92"/>
      <x:c r="AL92"/>
    </x:row>
    <x:row r="93">
      <x:c r="A93" t="s">
        <x:v>296</x:v>
      </x:c>
      <x:c r="B93" t="s">
        <x:v>286</x:v>
      </x:c>
      <x:c r="C93" t="s">
        <x:v>44</x:v>
      </x:c>
      <x:c r="D93">
        <x:v>45953</x:v>
      </x:c>
      <x:c r="E93" t="s">
        <x:v>45</x:v>
      </x:c>
      <x:c r="F93" t="s">
        <x:v>55</x:v>
      </x:c>
      <x:c r="G93">
        <x:v>21</x:v>
      </x:c>
      <x:c r="H93" t="s">
        <x:v>48</x:v>
      </x:c>
      <x:c r="I93">
        <x:v>11</x:v>
      </x:c>
      <x:c r="J93">
        <x:v>10</x:v>
      </x:c>
      <x:c r="K93">
        <x:v>2</x:v>
      </x:c>
      <x:c r="L93">
        <x:f t="shared" si="7"/>
        <x:v>0</x:v>
      </x:c>
      <x:c r="P93">
        <x:f t="shared" si="8"/>
        <x:v>0</x:v>
      </x:c>
      <x:c r="Q93">
        <x:f t="shared" si="9"/>
        <x:v>0</x:v>
      </x:c>
      <x:c r="R93">
        <x:f t="shared" si="10"/>
        <x:v>0</x:v>
      </x:c>
      <x:c r="S93">
        <x:f t="shared" si="11"/>
        <x:v>0</x:v>
      </x:c>
      <x:c r="T93" t="str">
        <x:f t="shared" si="12"/>
        <x:v>DerivedFromCount</x:v>
      </x:c>
      <x:c r="U93" t="str">
        <x:f>IF(COUNTIF(DailyProduction!$Q$5:$Q$100,B93)=1,"OK","CHECK")</x:f>
        <x:v>OK</x:v>
      </x:c>
      <x:c r="V93" t="str">
        <x:f t="shared" si="13"/>
        <x:v>OK</x:v>
      </x:c>
      <x:c r="W93" t="str">
        <x:f>IF(SUMIF($B$5:$B$914,B93,$S$5:$S$914)=SUMIF(DailyProduction!$Q$5:$Q$100,B93,DailyProduction!$R$5:$R$100),"OK","CHECK")</x:f>
        <x:v>OK</x:v>
      </x:c>
      <x:c r="X93" t="str">
        <x:v>PLC-PRD-JAR-720-L21</x:v>
      </x:c>
      <x:c r="Y93" t="str">
        <x:v>OK</x:v>
      </x:c>
      <x:c r="Z93" t="str">
        <x:v>OK</x:v>
      </x:c>
      <x:c r="AA93" t="n">
        <x:v>3</x:v>
      </x:c>
      <x:c r="AB93" t="n">
        <x:v>0</x:v>
      </x:c>
      <x:c r="AC93" t="str">
        <x:v>OK</x:v>
      </x:c>
      <x:c r="AD93" t="str">
        <x:v>OK</x:v>
      </x:c>
      <x:c r="AE93" t="str">
        <x:v>LOAD</x:v>
      </x:c>
      <x:c r="AF93" t="str">
        <x:v>02_Supervisor_Log(4).xlsx</x:v>
      </x:c>
      <x:c r="AG93" t="str">
        <x:v>ENH-20260830-01</x:v>
      </x:c>
      <x:c r="AH93" t="str">
        <x:v>Active</x:v>
      </x:c>
      <x:c r="AI93"/>
      <x:c r="AJ93"/>
      <x:c r="AK93"/>
      <x:c r="AL93"/>
    </x:row>
    <x:row r="94">
      <x:c r="A94" t="s">
        <x:v>297</x:v>
      </x:c>
      <x:c r="B94" t="s">
        <x:v>286</x:v>
      </x:c>
      <x:c r="C94" t="s">
        <x:v>44</x:v>
      </x:c>
      <x:c r="D94">
        <x:v>45953</x:v>
      </x:c>
      <x:c r="E94" t="s">
        <x:v>45</x:v>
      </x:c>
      <x:c r="F94" t="s">
        <x:v>55</x:v>
      </x:c>
      <x:c r="G94">
        <x:v>21</x:v>
      </x:c>
      <x:c r="H94" t="s">
        <x:v>48</x:v>
      </x:c>
      <x:c r="I94">
        <x:v>12</x:v>
      </x:c>
      <x:c r="J94">
        <x:v>10</x:v>
      </x:c>
      <x:c r="K94">
        <x:v>2</x:v>
      </x:c>
      <x:c r="L94">
        <x:f t="shared" si="7"/>
        <x:v>0</x:v>
      </x:c>
      <x:c r="P94">
        <x:f t="shared" si="8"/>
        <x:v>0</x:v>
      </x:c>
      <x:c r="Q94">
        <x:f t="shared" si="9"/>
        <x:v>0</x:v>
      </x:c>
      <x:c r="R94">
        <x:f t="shared" si="10"/>
        <x:v>0</x:v>
      </x:c>
      <x:c r="S94">
        <x:f t="shared" si="11"/>
        <x:v>0</x:v>
      </x:c>
      <x:c r="T94" t="str">
        <x:f t="shared" si="12"/>
        <x:v>DerivedFromCount</x:v>
      </x:c>
      <x:c r="U94" t="str">
        <x:f>IF(COUNTIF(DailyProduction!$Q$5:$Q$100,B94)=1,"OK","CHECK")</x:f>
        <x:v>OK</x:v>
      </x:c>
      <x:c r="V94" t="str">
        <x:f t="shared" si="13"/>
        <x:v>OK</x:v>
      </x:c>
      <x:c r="W94" t="str">
        <x:f>IF(SUMIF($B$5:$B$914,B94,$S$5:$S$914)=SUMIF(DailyProduction!$Q$5:$Q$100,B94,DailyProduction!$R$5:$R$100),"OK","CHECK")</x:f>
        <x:v>OK</x:v>
      </x:c>
      <x:c r="X94" t="str">
        <x:v>PLC-PRD-JAR-720-L21</x:v>
      </x:c>
      <x:c r="Y94" t="str">
        <x:v>OK</x:v>
      </x:c>
      <x:c r="Z94" t="str">
        <x:v>OK</x:v>
      </x:c>
      <x:c r="AA94" t="n">
        <x:v>3</x:v>
      </x:c>
      <x:c r="AB94" t="n">
        <x:v>0</x:v>
      </x:c>
      <x:c r="AC94" t="str">
        <x:v>OK</x:v>
      </x:c>
      <x:c r="AD94" t="str">
        <x:v>OK</x:v>
      </x:c>
      <x:c r="AE94" t="str">
        <x:v>LOAD</x:v>
      </x:c>
      <x:c r="AF94" t="str">
        <x:v>02_Supervisor_Log(4).xlsx</x:v>
      </x:c>
      <x:c r="AG94" t="str">
        <x:v>ENH-20260830-01</x:v>
      </x:c>
      <x:c r="AH94" t="str">
        <x:v>Active</x:v>
      </x:c>
      <x:c r="AI94"/>
      <x:c r="AJ94"/>
      <x:c r="AK94"/>
      <x:c r="AL94"/>
    </x:row>
    <x:row r="95">
      <x:c r="A95" t="s">
        <x:v>298</x:v>
      </x:c>
      <x:c r="B95" t="s">
        <x:v>286</x:v>
      </x:c>
      <x:c r="C95" t="s">
        <x:v>44</x:v>
      </x:c>
      <x:c r="D95">
        <x:v>45953</x:v>
      </x:c>
      <x:c r="E95" t="s">
        <x:v>45</x:v>
      </x:c>
      <x:c r="F95" t="s">
        <x:v>55</x:v>
      </x:c>
      <x:c r="G95">
        <x:v>21</x:v>
      </x:c>
      <x:c r="H95" t="s">
        <x:v>48</x:v>
      </x:c>
      <x:c r="I95">
        <x:v>13</x:v>
      </x:c>
      <x:c r="J95">
        <x:v>10</x:v>
      </x:c>
      <x:c r="K95">
        <x:v>2</x:v>
      </x:c>
      <x:c r="L95">
        <x:f t="shared" si="7"/>
        <x:v>0</x:v>
      </x:c>
      <x:c r="P95">
        <x:f t="shared" si="8"/>
        <x:v>0</x:v>
      </x:c>
      <x:c r="Q95">
        <x:f t="shared" si="9"/>
        <x:v>0</x:v>
      </x:c>
      <x:c r="R95">
        <x:f t="shared" si="10"/>
        <x:v>0</x:v>
      </x:c>
      <x:c r="S95">
        <x:f t="shared" si="11"/>
        <x:v>0</x:v>
      </x:c>
      <x:c r="T95" t="str">
        <x:f t="shared" si="12"/>
        <x:v>DerivedFromCount</x:v>
      </x:c>
      <x:c r="U95" t="str">
        <x:f>IF(COUNTIF(DailyProduction!$Q$5:$Q$100,B95)=1,"OK","CHECK")</x:f>
        <x:v>OK</x:v>
      </x:c>
      <x:c r="V95" t="str">
        <x:f t="shared" si="13"/>
        <x:v>OK</x:v>
      </x:c>
      <x:c r="W95" t="str">
        <x:f>IF(SUMIF($B$5:$B$914,B95,$S$5:$S$914)=SUMIF(DailyProduction!$Q$5:$Q$100,B95,DailyProduction!$R$5:$R$100),"OK","CHECK")</x:f>
        <x:v>OK</x:v>
      </x:c>
      <x:c r="X95" t="str">
        <x:v>PLC-PRD-JAR-720-L21</x:v>
      </x:c>
      <x:c r="Y95" t="str">
        <x:v>OK</x:v>
      </x:c>
      <x:c r="Z95" t="str">
        <x:v>OK</x:v>
      </x:c>
      <x:c r="AA95" t="n">
        <x:v>3</x:v>
      </x:c>
      <x:c r="AB95" t="n">
        <x:v>0</x:v>
      </x:c>
      <x:c r="AC95" t="str">
        <x:v>OK</x:v>
      </x:c>
      <x:c r="AD95" t="str">
        <x:v>OK</x:v>
      </x:c>
      <x:c r="AE95" t="str">
        <x:v>LOAD</x:v>
      </x:c>
      <x:c r="AF95" t="str">
        <x:v>02_Supervisor_Log(4).xlsx</x:v>
      </x:c>
      <x:c r="AG95" t="str">
        <x:v>ENH-20260830-01</x:v>
      </x:c>
      <x:c r="AH95" t="str">
        <x:v>Active</x:v>
      </x:c>
      <x:c r="AI95"/>
      <x:c r="AJ95"/>
      <x:c r="AK95"/>
      <x:c r="AL95"/>
    </x:row>
    <x:row r="96">
      <x:c r="A96" t="s">
        <x:v>299</x:v>
      </x:c>
      <x:c r="B96" t="s">
        <x:v>300</x:v>
      </x:c>
      <x:c r="C96" t="s">
        <x:v>44</x:v>
      </x:c>
      <x:c r="D96">
        <x:v>45953</x:v>
      </x:c>
      <x:c r="E96" t="s">
        <x:v>187</x:v>
      </x:c>
      <x:c r="F96" t="s">
        <x:v>46</x:v>
      </x:c>
      <x:c r="G96">
        <x:v>21</x:v>
      </x:c>
      <x:c r="H96" t="s">
        <x:v>48</x:v>
      </x:c>
      <x:c r="I96">
        <x:v>1</x:v>
      </x:c>
      <x:c r="J96">
        <x:v>10</x:v>
      </x:c>
      <x:c r="K96">
        <x:v>2</x:v>
      </x:c>
      <x:c r="L96">
        <x:f t="shared" si="7"/>
        <x:v>1</x:v>
      </x:c>
      <x:c r="P96">
        <x:f t="shared" si="8"/>
        <x:v>1</x:v>
      </x:c>
      <x:c r="Q96">
        <x:f t="shared" si="9"/>
        <x:v>1</x:v>
      </x:c>
      <x:c r="R96">
        <x:f t="shared" si="10"/>
        <x:v>0</x:v>
      </x:c>
      <x:c r="S96">
        <x:f t="shared" si="11"/>
        <x:v>2</x:v>
      </x:c>
      <x:c r="T96" t="str">
        <x:f t="shared" si="12"/>
        <x:v>DerivedFromCount</x:v>
      </x:c>
      <x:c r="U96" t="str">
        <x:f>IF(COUNTIF(DailyProduction!$Q$5:$Q$100,B96)=1,"OK","CHECK")</x:f>
        <x:v>OK</x:v>
      </x:c>
      <x:c r="V96" t="str">
        <x:f t="shared" si="13"/>
        <x:v>OK</x:v>
      </x:c>
      <x:c r="W96" t="str">
        <x:f>IF(SUMIF($B$5:$B$914,B96,$S$5:$S$914)=SUMIF(DailyProduction!$Q$5:$Q$100,B96,DailyProduction!$R$5:$R$100),"OK","CHECK")</x:f>
        <x:v>OK</x:v>
      </x:c>
      <x:c r="X96" t="str">
        <x:v>PLC-PRD-JAR-720-L21</x:v>
      </x:c>
      <x:c r="Y96" t="str">
        <x:v>OK</x:v>
      </x:c>
      <x:c r="Z96" t="str">
        <x:v>OK</x:v>
      </x:c>
      <x:c r="AA96" t="n">
        <x:v>3</x:v>
      </x:c>
      <x:c r="AB96" t="n">
        <x:v>2</x:v>
      </x:c>
      <x:c r="AC96" t="str">
        <x:v>OK</x:v>
      </x:c>
      <x:c r="AD96" t="str">
        <x:v>OK</x:v>
      </x:c>
      <x:c r="AE96" t="str">
        <x:v>LOAD</x:v>
      </x:c>
      <x:c r="AF96" t="str">
        <x:v>02_Supervisor_Log(4).xlsx</x:v>
      </x:c>
      <x:c r="AG96" t="str">
        <x:v>ENH-20260830-01</x:v>
      </x:c>
      <x:c r="AH96" t="str">
        <x:v>Active</x:v>
      </x:c>
      <x:c r="AI96"/>
      <x:c r="AJ96"/>
      <x:c r="AK96"/>
      <x:c r="AL96"/>
    </x:row>
    <x:row r="97">
      <x:c r="A97" t="s">
        <x:v>301</x:v>
      </x:c>
      <x:c r="B97" t="s">
        <x:v>300</x:v>
      </x:c>
      <x:c r="C97" t="s">
        <x:v>44</x:v>
      </x:c>
      <x:c r="D97">
        <x:v>45953</x:v>
      </x:c>
      <x:c r="E97" t="s">
        <x:v>187</x:v>
      </x:c>
      <x:c r="F97" t="s">
        <x:v>46</x:v>
      </x:c>
      <x:c r="G97">
        <x:v>21</x:v>
      </x:c>
      <x:c r="H97" t="s">
        <x:v>48</x:v>
      </x:c>
      <x:c r="I97">
        <x:v>2</x:v>
      </x:c>
      <x:c r="J97">
        <x:v>10</x:v>
      </x:c>
      <x:c r="K97">
        <x:v>2</x:v>
      </x:c>
      <x:c r="L97">
        <x:f t="shared" si="7"/>
        <x:v>1</x:v>
      </x:c>
      <x:c r="P97">
        <x:f t="shared" si="8"/>
        <x:v>1</x:v>
      </x:c>
      <x:c r="Q97">
        <x:f t="shared" si="9"/>
        <x:v>1</x:v>
      </x:c>
      <x:c r="R97">
        <x:f t="shared" si="10"/>
        <x:v>0</x:v>
      </x:c>
      <x:c r="S97">
        <x:f t="shared" si="11"/>
        <x:v>2</x:v>
      </x:c>
      <x:c r="T97" t="str">
        <x:f t="shared" si="12"/>
        <x:v>DerivedFromCount</x:v>
      </x:c>
      <x:c r="U97" t="str">
        <x:f>IF(COUNTIF(DailyProduction!$Q$5:$Q$100,B97)=1,"OK","CHECK")</x:f>
        <x:v>OK</x:v>
      </x:c>
      <x:c r="V97" t="str">
        <x:f t="shared" si="13"/>
        <x:v>OK</x:v>
      </x:c>
      <x:c r="W97" t="str">
        <x:f>IF(SUMIF($B$5:$B$914,B97,$S$5:$S$914)=SUMIF(DailyProduction!$Q$5:$Q$100,B97,DailyProduction!$R$5:$R$100),"OK","CHECK")</x:f>
        <x:v>OK</x:v>
      </x:c>
      <x:c r="X97" t="str">
        <x:v>PLC-PRD-JAR-720-L21</x:v>
      </x:c>
      <x:c r="Y97" t="str">
        <x:v>OK</x:v>
      </x:c>
      <x:c r="Z97" t="str">
        <x:v>OK</x:v>
      </x:c>
      <x:c r="AA97" t="n">
        <x:v>3</x:v>
      </x:c>
      <x:c r="AB97" t="n">
        <x:v>2</x:v>
      </x:c>
      <x:c r="AC97" t="str">
        <x:v>OK</x:v>
      </x:c>
      <x:c r="AD97" t="str">
        <x:v>OK</x:v>
      </x:c>
      <x:c r="AE97" t="str">
        <x:v>LOAD</x:v>
      </x:c>
      <x:c r="AF97" t="str">
        <x:v>02_Supervisor_Log(4).xlsx</x:v>
      </x:c>
      <x:c r="AG97" t="str">
        <x:v>ENH-20260830-01</x:v>
      </x:c>
      <x:c r="AH97" t="str">
        <x:v>Active</x:v>
      </x:c>
      <x:c r="AI97"/>
      <x:c r="AJ97"/>
      <x:c r="AK97"/>
      <x:c r="AL97"/>
    </x:row>
    <x:row r="98">
      <x:c r="A98" t="s">
        <x:v>302</x:v>
      </x:c>
      <x:c r="B98" t="s">
        <x:v>300</x:v>
      </x:c>
      <x:c r="C98" t="s">
        <x:v>44</x:v>
      </x:c>
      <x:c r="D98">
        <x:v>45953</x:v>
      </x:c>
      <x:c r="E98" t="s">
        <x:v>187</x:v>
      </x:c>
      <x:c r="F98" t="s">
        <x:v>46</x:v>
      </x:c>
      <x:c r="G98">
        <x:v>21</x:v>
      </x:c>
      <x:c r="H98" t="s">
        <x:v>48</x:v>
      </x:c>
      <x:c r="I98">
        <x:v>3</x:v>
      </x:c>
      <x:c r="J98">
        <x:v>10</x:v>
      </x:c>
      <x:c r="K98">
        <x:v>2</x:v>
      </x:c>
      <x:c r="L98">
        <x:f t="shared" si="7"/>
        <x:v>1</x:v>
      </x:c>
      <x:c r="P98">
        <x:f t="shared" si="8"/>
        <x:v>1</x:v>
      </x:c>
      <x:c r="Q98">
        <x:f t="shared" si="9"/>
        <x:v>1</x:v>
      </x:c>
      <x:c r="R98">
        <x:f t="shared" si="10"/>
        <x:v>0</x:v>
      </x:c>
      <x:c r="S98">
        <x:f t="shared" si="11"/>
        <x:v>2</x:v>
      </x:c>
      <x:c r="T98" t="str">
        <x:f t="shared" si="12"/>
        <x:v>DerivedFromCount</x:v>
      </x:c>
      <x:c r="U98" t="str">
        <x:f>IF(COUNTIF(DailyProduction!$Q$5:$Q$100,B98)=1,"OK","CHECK")</x:f>
        <x:v>OK</x:v>
      </x:c>
      <x:c r="V98" t="str">
        <x:f t="shared" si="13"/>
        <x:v>OK</x:v>
      </x:c>
      <x:c r="W98" t="str">
        <x:f>IF(SUMIF($B$5:$B$914,B98,$S$5:$S$914)=SUMIF(DailyProduction!$Q$5:$Q$100,B98,DailyProduction!$R$5:$R$100),"OK","CHECK")</x:f>
        <x:v>OK</x:v>
      </x:c>
      <x:c r="X98" t="str">
        <x:v>PLC-PRD-JAR-720-L21</x:v>
      </x:c>
      <x:c r="Y98" t="str">
        <x:v>OK</x:v>
      </x:c>
      <x:c r="Z98" t="str">
        <x:v>OK</x:v>
      </x:c>
      <x:c r="AA98" t="n">
        <x:v>3</x:v>
      </x:c>
      <x:c r="AB98" t="n">
        <x:v>2</x:v>
      </x:c>
      <x:c r="AC98" t="str">
        <x:v>OK</x:v>
      </x:c>
      <x:c r="AD98" t="str">
        <x:v>OK</x:v>
      </x:c>
      <x:c r="AE98" t="str">
        <x:v>LOAD</x:v>
      </x:c>
      <x:c r="AF98" t="str">
        <x:v>02_Supervisor_Log(4).xlsx</x:v>
      </x:c>
      <x:c r="AG98" t="str">
        <x:v>ENH-20260830-01</x:v>
      </x:c>
      <x:c r="AH98" t="str">
        <x:v>Active</x:v>
      </x:c>
      <x:c r="AI98"/>
      <x:c r="AJ98"/>
      <x:c r="AK98"/>
      <x:c r="AL98"/>
    </x:row>
    <x:row r="99">
      <x:c r="A99" t="s">
        <x:v>303</x:v>
      </x:c>
      <x:c r="B99" t="s">
        <x:v>300</x:v>
      </x:c>
      <x:c r="C99" t="s">
        <x:v>44</x:v>
      </x:c>
      <x:c r="D99">
        <x:v>45953</x:v>
      </x:c>
      <x:c r="E99" t="s">
        <x:v>187</x:v>
      </x:c>
      <x:c r="F99" t="s">
        <x:v>46</x:v>
      </x:c>
      <x:c r="G99">
        <x:v>21</x:v>
      </x:c>
      <x:c r="H99" t="s">
        <x:v>48</x:v>
      </x:c>
      <x:c r="I99">
        <x:v>4</x:v>
      </x:c>
      <x:c r="J99">
        <x:v>10</x:v>
      </x:c>
      <x:c r="K99">
        <x:v>2</x:v>
      </x:c>
      <x:c r="L99">
        <x:f t="shared" si="7"/>
        <x:v>1</x:v>
      </x:c>
      <x:c r="P99">
        <x:f t="shared" si="8"/>
        <x:v>1</x:v>
      </x:c>
      <x:c r="Q99">
        <x:f t="shared" si="9"/>
        <x:v>1</x:v>
      </x:c>
      <x:c r="R99">
        <x:f t="shared" si="10"/>
        <x:v>0</x:v>
      </x:c>
      <x:c r="S99">
        <x:f t="shared" si="11"/>
        <x:v>2</x:v>
      </x:c>
      <x:c r="T99" t="str">
        <x:f t="shared" si="12"/>
        <x:v>DerivedFromCount</x:v>
      </x:c>
      <x:c r="U99" t="str">
        <x:f>IF(COUNTIF(DailyProduction!$Q$5:$Q$100,B99)=1,"OK","CHECK")</x:f>
        <x:v>OK</x:v>
      </x:c>
      <x:c r="V99" t="str">
        <x:f t="shared" si="13"/>
        <x:v>OK</x:v>
      </x:c>
      <x:c r="W99" t="str">
        <x:f>IF(SUMIF($B$5:$B$914,B99,$S$5:$S$914)=SUMIF(DailyProduction!$Q$5:$Q$100,B99,DailyProduction!$R$5:$R$100),"OK","CHECK")</x:f>
        <x:v>OK</x:v>
      </x:c>
      <x:c r="X99" t="str">
        <x:v>PLC-PRD-JAR-720-L21</x:v>
      </x:c>
      <x:c r="Y99" t="str">
        <x:v>OK</x:v>
      </x:c>
      <x:c r="Z99" t="str">
        <x:v>OK</x:v>
      </x:c>
      <x:c r="AA99" t="n">
        <x:v>3</x:v>
      </x:c>
      <x:c r="AB99" t="n">
        <x:v>2</x:v>
      </x:c>
      <x:c r="AC99" t="str">
        <x:v>OK</x:v>
      </x:c>
      <x:c r="AD99" t="str">
        <x:v>OK</x:v>
      </x:c>
      <x:c r="AE99" t="str">
        <x:v>LOAD</x:v>
      </x:c>
      <x:c r="AF99" t="str">
        <x:v>02_Supervisor_Log(4).xlsx</x:v>
      </x:c>
      <x:c r="AG99" t="str">
        <x:v>ENH-20260830-01</x:v>
      </x:c>
      <x:c r="AH99" t="str">
        <x:v>Active</x:v>
      </x:c>
      <x:c r="AI99"/>
      <x:c r="AJ99"/>
      <x:c r="AK99"/>
      <x:c r="AL99"/>
    </x:row>
    <x:row r="100">
      <x:c r="A100" t="s">
        <x:v>304</x:v>
      </x:c>
      <x:c r="B100" t="s">
        <x:v>300</x:v>
      </x:c>
      <x:c r="C100" t="s">
        <x:v>44</x:v>
      </x:c>
      <x:c r="D100">
        <x:v>45953</x:v>
      </x:c>
      <x:c r="E100" t="s">
        <x:v>187</x:v>
      </x:c>
      <x:c r="F100" t="s">
        <x:v>46</x:v>
      </x:c>
      <x:c r="G100">
        <x:v>21</x:v>
      </x:c>
      <x:c r="H100" t="s">
        <x:v>48</x:v>
      </x:c>
      <x:c r="I100">
        <x:v>5</x:v>
      </x:c>
      <x:c r="J100">
        <x:v>10</x:v>
      </x:c>
      <x:c r="K100">
        <x:v>2</x:v>
      </x:c>
      <x:c r="L100">
        <x:f t="shared" si="7"/>
        <x:v>1</x:v>
      </x:c>
      <x:c r="P100">
        <x:f t="shared" si="8"/>
        <x:v>1</x:v>
      </x:c>
      <x:c r="Q100">
        <x:f t="shared" si="9"/>
        <x:v>1</x:v>
      </x:c>
      <x:c r="R100">
        <x:f t="shared" si="10"/>
        <x:v>0</x:v>
      </x:c>
      <x:c r="S100">
        <x:f t="shared" si="11"/>
        <x:v>2</x:v>
      </x:c>
      <x:c r="T100" t="str">
        <x:f t="shared" si="12"/>
        <x:v>DerivedFromCount</x:v>
      </x:c>
      <x:c r="U100" t="str">
        <x:f>IF(COUNTIF(DailyProduction!$Q$5:$Q$100,B100)=1,"OK","CHECK")</x:f>
        <x:v>OK</x:v>
      </x:c>
      <x:c r="V100" t="str">
        <x:f t="shared" si="13"/>
        <x:v>OK</x:v>
      </x:c>
      <x:c r="W100" t="str">
        <x:f>IF(SUMIF($B$5:$B$914,B100,$S$5:$S$914)=SUMIF(DailyProduction!$Q$5:$Q$100,B100,DailyProduction!$R$5:$R$100),"OK","CHECK")</x:f>
        <x:v>OK</x:v>
      </x:c>
      <x:c r="X100" t="str">
        <x:v>PLC-PRD-JAR-720-L21</x:v>
      </x:c>
      <x:c r="Y100" t="str">
        <x:v>OK</x:v>
      </x:c>
      <x:c r="Z100" t="str">
        <x:v>OK</x:v>
      </x:c>
      <x:c r="AA100" t="n">
        <x:v>3</x:v>
      </x:c>
      <x:c r="AB100" t="n">
        <x:v>2</x:v>
      </x:c>
      <x:c r="AC100" t="str">
        <x:v>OK</x:v>
      </x:c>
      <x:c r="AD100" t="str">
        <x:v>OK</x:v>
      </x:c>
      <x:c r="AE100" t="str">
        <x:v>LOAD</x:v>
      </x:c>
      <x:c r="AF100" t="str">
        <x:v>02_Supervisor_Log(4).xlsx</x:v>
      </x:c>
      <x:c r="AG100" t="str">
        <x:v>ENH-20260830-01</x:v>
      </x:c>
      <x:c r="AH100" t="str">
        <x:v>Active</x:v>
      </x:c>
      <x:c r="AI100"/>
      <x:c r="AJ100"/>
      <x:c r="AK100"/>
      <x:c r="AL100"/>
    </x:row>
    <x:row r="101">
      <x:c r="A101" t="s">
        <x:v>305</x:v>
      </x:c>
      <x:c r="B101" t="s">
        <x:v>300</x:v>
      </x:c>
      <x:c r="C101" t="s">
        <x:v>44</x:v>
      </x:c>
      <x:c r="D101">
        <x:v>45953</x:v>
      </x:c>
      <x:c r="E101" t="s">
        <x:v>187</x:v>
      </x:c>
      <x:c r="F101" t="s">
        <x:v>46</x:v>
      </x:c>
      <x:c r="G101">
        <x:v>21</x:v>
      </x:c>
      <x:c r="H101" t="s">
        <x:v>48</x:v>
      </x:c>
      <x:c r="I101">
        <x:v>6</x:v>
      </x:c>
      <x:c r="J101">
        <x:v>10</x:v>
      </x:c>
      <x:c r="K101">
        <x:v>2</x:v>
      </x:c>
      <x:c r="L101">
        <x:f t="shared" si="7"/>
        <x:v>1</x:v>
      </x:c>
      <x:c r="P101">
        <x:f t="shared" si="8"/>
        <x:v>1</x:v>
      </x:c>
      <x:c r="Q101">
        <x:f t="shared" si="9"/>
        <x:v>1</x:v>
      </x:c>
      <x:c r="R101">
        <x:f t="shared" si="10"/>
        <x:v>0</x:v>
      </x:c>
      <x:c r="S101">
        <x:f t="shared" si="11"/>
        <x:v>2</x:v>
      </x:c>
      <x:c r="T101" t="str">
        <x:f t="shared" si="12"/>
        <x:v>DerivedFromCount</x:v>
      </x:c>
      <x:c r="U101" t="str">
        <x:f>IF(COUNTIF(DailyProduction!$Q$5:$Q$100,B101)=1,"OK","CHECK")</x:f>
        <x:v>OK</x:v>
      </x:c>
      <x:c r="V101" t="str">
        <x:f t="shared" si="13"/>
        <x:v>OK</x:v>
      </x:c>
      <x:c r="W101" t="str">
        <x:f>IF(SUMIF($B$5:$B$914,B101,$S$5:$S$914)=SUMIF(DailyProduction!$Q$5:$Q$100,B101,DailyProduction!$R$5:$R$100),"OK","CHECK")</x:f>
        <x:v>OK</x:v>
      </x:c>
      <x:c r="X101" t="str">
        <x:v>PLC-PRD-JAR-720-L21</x:v>
      </x:c>
      <x:c r="Y101" t="str">
        <x:v>OK</x:v>
      </x:c>
      <x:c r="Z101" t="str">
        <x:v>OK</x:v>
      </x:c>
      <x:c r="AA101" t="n">
        <x:v>3</x:v>
      </x:c>
      <x:c r="AB101" t="n">
        <x:v>2</x:v>
      </x:c>
      <x:c r="AC101" t="str">
        <x:v>OK</x:v>
      </x:c>
      <x:c r="AD101" t="str">
        <x:v>OK</x:v>
      </x:c>
      <x:c r="AE101" t="str">
        <x:v>LOAD</x:v>
      </x:c>
      <x:c r="AF101" t="str">
        <x:v>02_Supervisor_Log(4).xlsx</x:v>
      </x:c>
      <x:c r="AG101" t="str">
        <x:v>ENH-20260830-01</x:v>
      </x:c>
      <x:c r="AH101" t="str">
        <x:v>Active</x:v>
      </x:c>
      <x:c r="AI101"/>
      <x:c r="AJ101"/>
      <x:c r="AK101"/>
      <x:c r="AL101"/>
    </x:row>
    <x:row r="102">
      <x:c r="A102" t="s">
        <x:v>306</x:v>
      </x:c>
      <x:c r="B102" t="s">
        <x:v>300</x:v>
      </x:c>
      <x:c r="C102" t="s">
        <x:v>44</x:v>
      </x:c>
      <x:c r="D102">
        <x:v>45953</x:v>
      </x:c>
      <x:c r="E102" t="s">
        <x:v>187</x:v>
      </x:c>
      <x:c r="F102" t="s">
        <x:v>46</x:v>
      </x:c>
      <x:c r="G102">
        <x:v>21</x:v>
      </x:c>
      <x:c r="H102" t="s">
        <x:v>48</x:v>
      </x:c>
      <x:c r="I102">
        <x:v>7</x:v>
      </x:c>
      <x:c r="J102">
        <x:v>10</x:v>
      </x:c>
      <x:c r="K102">
        <x:v>2</x:v>
      </x:c>
      <x:c r="L102">
        <x:f t="shared" si="7"/>
        <x:v>1</x:v>
      </x:c>
      <x:c r="P102">
        <x:f t="shared" si="8"/>
        <x:v>1</x:v>
      </x:c>
      <x:c r="Q102">
        <x:f t="shared" si="9"/>
        <x:v>1</x:v>
      </x:c>
      <x:c r="R102">
        <x:f t="shared" si="10"/>
        <x:v>0</x:v>
      </x:c>
      <x:c r="S102">
        <x:f t="shared" si="11"/>
        <x:v>2</x:v>
      </x:c>
      <x:c r="T102" t="str">
        <x:f t="shared" si="12"/>
        <x:v>DerivedFromCount</x:v>
      </x:c>
      <x:c r="U102" t="str">
        <x:f>IF(COUNTIF(DailyProduction!$Q$5:$Q$100,B102)=1,"OK","CHECK")</x:f>
        <x:v>OK</x:v>
      </x:c>
      <x:c r="V102" t="str">
        <x:f t="shared" si="13"/>
        <x:v>OK</x:v>
      </x:c>
      <x:c r="W102" t="str">
        <x:f>IF(SUMIF($B$5:$B$914,B102,$S$5:$S$914)=SUMIF(DailyProduction!$Q$5:$Q$100,B102,DailyProduction!$R$5:$R$100),"OK","CHECK")</x:f>
        <x:v>OK</x:v>
      </x:c>
      <x:c r="X102" t="str">
        <x:v>PLC-PRD-JAR-720-L21</x:v>
      </x:c>
      <x:c r="Y102" t="str">
        <x:v>OK</x:v>
      </x:c>
      <x:c r="Z102" t="str">
        <x:v>OK</x:v>
      </x:c>
      <x:c r="AA102" t="n">
        <x:v>3</x:v>
      </x:c>
      <x:c r="AB102" t="n">
        <x:v>2</x:v>
      </x:c>
      <x:c r="AC102" t="str">
        <x:v>OK</x:v>
      </x:c>
      <x:c r="AD102" t="str">
        <x:v>OK</x:v>
      </x:c>
      <x:c r="AE102" t="str">
        <x:v>LOAD</x:v>
      </x:c>
      <x:c r="AF102" t="str">
        <x:v>02_Supervisor_Log(4).xlsx</x:v>
      </x:c>
      <x:c r="AG102" t="str">
        <x:v>ENH-20260830-01</x:v>
      </x:c>
      <x:c r="AH102" t="str">
        <x:v>Active</x:v>
      </x:c>
      <x:c r="AI102"/>
      <x:c r="AJ102"/>
      <x:c r="AK102"/>
      <x:c r="AL102"/>
    </x:row>
    <x:row r="103">
      <x:c r="A103" t="s">
        <x:v>307</x:v>
      </x:c>
      <x:c r="B103" t="s">
        <x:v>300</x:v>
      </x:c>
      <x:c r="C103" t="s">
        <x:v>44</x:v>
      </x:c>
      <x:c r="D103">
        <x:v>45953</x:v>
      </x:c>
      <x:c r="E103" t="s">
        <x:v>187</x:v>
      </x:c>
      <x:c r="F103" t="s">
        <x:v>46</x:v>
      </x:c>
      <x:c r="G103">
        <x:v>21</x:v>
      </x:c>
      <x:c r="H103" t="s">
        <x:v>48</x:v>
      </x:c>
      <x:c r="I103">
        <x:v>8</x:v>
      </x:c>
      <x:c r="J103">
        <x:v>10</x:v>
      </x:c>
      <x:c r="K103">
        <x:v>2</x:v>
      </x:c>
      <x:c r="L103">
        <x:f t="shared" si="7"/>
        <x:v>1</x:v>
      </x:c>
      <x:c r="P103">
        <x:f t="shared" si="8"/>
        <x:v>1</x:v>
      </x:c>
      <x:c r="Q103">
        <x:f t="shared" si="9"/>
        <x:v>1</x:v>
      </x:c>
      <x:c r="R103">
        <x:f t="shared" si="10"/>
        <x:v>0</x:v>
      </x:c>
      <x:c r="S103">
        <x:f t="shared" si="11"/>
        <x:v>2</x:v>
      </x:c>
      <x:c r="T103" t="str">
        <x:f t="shared" si="12"/>
        <x:v>DerivedFromCount</x:v>
      </x:c>
      <x:c r="U103" t="str">
        <x:f>IF(COUNTIF(DailyProduction!$Q$5:$Q$100,B103)=1,"OK","CHECK")</x:f>
        <x:v>OK</x:v>
      </x:c>
      <x:c r="V103" t="str">
        <x:f t="shared" si="13"/>
        <x:v>OK</x:v>
      </x:c>
      <x:c r="W103" t="str">
        <x:f>IF(SUMIF($B$5:$B$914,B103,$S$5:$S$914)=SUMIF(DailyProduction!$Q$5:$Q$100,B103,DailyProduction!$R$5:$R$100),"OK","CHECK")</x:f>
        <x:v>OK</x:v>
      </x:c>
      <x:c r="X103" t="str">
        <x:v>PLC-PRD-JAR-720-L21</x:v>
      </x:c>
      <x:c r="Y103" t="str">
        <x:v>OK</x:v>
      </x:c>
      <x:c r="Z103" t="str">
        <x:v>OK</x:v>
      </x:c>
      <x:c r="AA103" t="n">
        <x:v>3</x:v>
      </x:c>
      <x:c r="AB103" t="n">
        <x:v>2</x:v>
      </x:c>
      <x:c r="AC103" t="str">
        <x:v>OK</x:v>
      </x:c>
      <x:c r="AD103" t="str">
        <x:v>OK</x:v>
      </x:c>
      <x:c r="AE103" t="str">
        <x:v>LOAD</x:v>
      </x:c>
      <x:c r="AF103" t="str">
        <x:v>02_Supervisor_Log(4).xlsx</x:v>
      </x:c>
      <x:c r="AG103" t="str">
        <x:v>ENH-20260830-01</x:v>
      </x:c>
      <x:c r="AH103" t="str">
        <x:v>Active</x:v>
      </x:c>
      <x:c r="AI103"/>
      <x:c r="AJ103"/>
      <x:c r="AK103"/>
      <x:c r="AL103"/>
    </x:row>
    <x:row r="104">
      <x:c r="A104" t="s">
        <x:v>308</x:v>
      </x:c>
      <x:c r="B104" t="s">
        <x:v>300</x:v>
      </x:c>
      <x:c r="C104" t="s">
        <x:v>44</x:v>
      </x:c>
      <x:c r="D104">
        <x:v>45953</x:v>
      </x:c>
      <x:c r="E104" t="s">
        <x:v>187</x:v>
      </x:c>
      <x:c r="F104" t="s">
        <x:v>46</x:v>
      </x:c>
      <x:c r="G104">
        <x:v>21</x:v>
      </x:c>
      <x:c r="H104" t="s">
        <x:v>48</x:v>
      </x:c>
      <x:c r="I104">
        <x:v>9</x:v>
      </x:c>
      <x:c r="J104">
        <x:v>10</x:v>
      </x:c>
      <x:c r="K104">
        <x:v>2</x:v>
      </x:c>
      <x:c r="L104">
        <x:f t="shared" si="7"/>
        <x:v>1</x:v>
      </x:c>
      <x:c r="P104">
        <x:f t="shared" si="8"/>
        <x:v>1</x:v>
      </x:c>
      <x:c r="Q104">
        <x:f t="shared" si="9"/>
        <x:v>1</x:v>
      </x:c>
      <x:c r="R104">
        <x:f t="shared" si="10"/>
        <x:v>0</x:v>
      </x:c>
      <x:c r="S104">
        <x:f t="shared" si="11"/>
        <x:v>2</x:v>
      </x:c>
      <x:c r="T104" t="str">
        <x:f t="shared" si="12"/>
        <x:v>DerivedFromCount</x:v>
      </x:c>
      <x:c r="U104" t="str">
        <x:f>IF(COUNTIF(DailyProduction!$Q$5:$Q$100,B104)=1,"OK","CHECK")</x:f>
        <x:v>OK</x:v>
      </x:c>
      <x:c r="V104" t="str">
        <x:f t="shared" si="13"/>
        <x:v>OK</x:v>
      </x:c>
      <x:c r="W104" t="str">
        <x:f>IF(SUMIF($B$5:$B$914,B104,$S$5:$S$914)=SUMIF(DailyProduction!$Q$5:$Q$100,B104,DailyProduction!$R$5:$R$100),"OK","CHECK")</x:f>
        <x:v>OK</x:v>
      </x:c>
      <x:c r="X104" t="str">
        <x:v>PLC-PRD-JAR-720-L21</x:v>
      </x:c>
      <x:c r="Y104" t="str">
        <x:v>OK</x:v>
      </x:c>
      <x:c r="Z104" t="str">
        <x:v>OK</x:v>
      </x:c>
      <x:c r="AA104" t="n">
        <x:v>3</x:v>
      </x:c>
      <x:c r="AB104" t="n">
        <x:v>2</x:v>
      </x:c>
      <x:c r="AC104" t="str">
        <x:v>OK</x:v>
      </x:c>
      <x:c r="AD104" t="str">
        <x:v>OK</x:v>
      </x:c>
      <x:c r="AE104" t="str">
        <x:v>LOAD</x:v>
      </x:c>
      <x:c r="AF104" t="str">
        <x:v>02_Supervisor_Log(4).xlsx</x:v>
      </x:c>
      <x:c r="AG104" t="str">
        <x:v>ENH-20260830-01</x:v>
      </x:c>
      <x:c r="AH104" t="str">
        <x:v>Active</x:v>
      </x:c>
      <x:c r="AI104"/>
      <x:c r="AJ104"/>
      <x:c r="AK104"/>
      <x:c r="AL104"/>
    </x:row>
    <x:row r="105">
      <x:c r="A105" t="s">
        <x:v>309</x:v>
      </x:c>
      <x:c r="B105" t="s">
        <x:v>300</x:v>
      </x:c>
      <x:c r="C105" t="s">
        <x:v>44</x:v>
      </x:c>
      <x:c r="D105">
        <x:v>45953</x:v>
      </x:c>
      <x:c r="E105" t="s">
        <x:v>187</x:v>
      </x:c>
      <x:c r="F105" t="s">
        <x:v>46</x:v>
      </x:c>
      <x:c r="G105">
        <x:v>21</x:v>
      </x:c>
      <x:c r="H105" t="s">
        <x:v>48</x:v>
      </x:c>
      <x:c r="I105">
        <x:v>10</x:v>
      </x:c>
      <x:c r="J105">
        <x:v>10</x:v>
      </x:c>
      <x:c r="K105">
        <x:v>2</x:v>
      </x:c>
      <x:c r="L105">
        <x:f t="shared" si="7"/>
        <x:v>1</x:v>
      </x:c>
      <x:c r="P105">
        <x:f t="shared" si="8"/>
        <x:v>1</x:v>
      </x:c>
      <x:c r="Q105">
        <x:f t="shared" si="9"/>
        <x:v>1</x:v>
      </x:c>
      <x:c r="R105">
        <x:f t="shared" si="10"/>
        <x:v>0</x:v>
      </x:c>
      <x:c r="S105">
        <x:f t="shared" si="11"/>
        <x:v>2</x:v>
      </x:c>
      <x:c r="T105" t="str">
        <x:f t="shared" si="12"/>
        <x:v>DerivedFromCount</x:v>
      </x:c>
      <x:c r="U105" t="str">
        <x:f>IF(COUNTIF(DailyProduction!$Q$5:$Q$100,B105)=1,"OK","CHECK")</x:f>
        <x:v>OK</x:v>
      </x:c>
      <x:c r="V105" t="str">
        <x:f t="shared" si="13"/>
        <x:v>OK</x:v>
      </x:c>
      <x:c r="W105" t="str">
        <x:f>IF(SUMIF($B$5:$B$914,B105,$S$5:$S$914)=SUMIF(DailyProduction!$Q$5:$Q$100,B105,DailyProduction!$R$5:$R$100),"OK","CHECK")</x:f>
        <x:v>OK</x:v>
      </x:c>
      <x:c r="X105" t="str">
        <x:v>PLC-PRD-JAR-720-L21</x:v>
      </x:c>
      <x:c r="Y105" t="str">
        <x:v>OK</x:v>
      </x:c>
      <x:c r="Z105" t="str">
        <x:v>OK</x:v>
      </x:c>
      <x:c r="AA105" t="n">
        <x:v>3</x:v>
      </x:c>
      <x:c r="AB105" t="n">
        <x:v>2</x:v>
      </x:c>
      <x:c r="AC105" t="str">
        <x:v>OK</x:v>
      </x:c>
      <x:c r="AD105" t="str">
        <x:v>OK</x:v>
      </x:c>
      <x:c r="AE105" t="str">
        <x:v>LOAD</x:v>
      </x:c>
      <x:c r="AF105" t="str">
        <x:v>02_Supervisor_Log(4).xlsx</x:v>
      </x:c>
      <x:c r="AG105" t="str">
        <x:v>ENH-20260830-01</x:v>
      </x:c>
      <x:c r="AH105" t="str">
        <x:v>Active</x:v>
      </x:c>
      <x:c r="AI105"/>
      <x:c r="AJ105"/>
      <x:c r="AK105"/>
      <x:c r="AL105"/>
    </x:row>
    <x:row r="106">
      <x:c r="A106" t="s">
        <x:v>310</x:v>
      </x:c>
      <x:c r="B106" t="s">
        <x:v>300</x:v>
      </x:c>
      <x:c r="C106" t="s">
        <x:v>44</x:v>
      </x:c>
      <x:c r="D106">
        <x:v>45953</x:v>
      </x:c>
      <x:c r="E106" t="s">
        <x:v>187</x:v>
      </x:c>
      <x:c r="F106" t="s">
        <x:v>46</x:v>
      </x:c>
      <x:c r="G106">
        <x:v>21</x:v>
      </x:c>
      <x:c r="H106" t="s">
        <x:v>48</x:v>
      </x:c>
      <x:c r="I106">
        <x:v>11</x:v>
      </x:c>
      <x:c r="J106">
        <x:v>10</x:v>
      </x:c>
      <x:c r="K106">
        <x:v>2</x:v>
      </x:c>
      <x:c r="L106">
        <x:f t="shared" si="7"/>
        <x:v>0</x:v>
      </x:c>
      <x:c r="P106">
        <x:f t="shared" si="8"/>
        <x:v>0</x:v>
      </x:c>
      <x:c r="Q106">
        <x:f t="shared" si="9"/>
        <x:v>0</x:v>
      </x:c>
      <x:c r="R106">
        <x:f t="shared" si="10"/>
        <x:v>0</x:v>
      </x:c>
      <x:c r="S106">
        <x:f t="shared" si="11"/>
        <x:v>0</x:v>
      </x:c>
      <x:c r="T106" t="str">
        <x:f t="shared" si="12"/>
        <x:v>DerivedFromCount</x:v>
      </x:c>
      <x:c r="U106" t="str">
        <x:f>IF(COUNTIF(DailyProduction!$Q$5:$Q$100,B106)=1,"OK","CHECK")</x:f>
        <x:v>OK</x:v>
      </x:c>
      <x:c r="V106" t="str">
        <x:f t="shared" si="13"/>
        <x:v>OK</x:v>
      </x:c>
      <x:c r="W106" t="str">
        <x:f>IF(SUMIF($B$5:$B$914,B106,$S$5:$S$914)=SUMIF(DailyProduction!$Q$5:$Q$100,B106,DailyProduction!$R$5:$R$100),"OK","CHECK")</x:f>
        <x:v>OK</x:v>
      </x:c>
      <x:c r="X106" t="str">
        <x:v>PLC-PRD-JAR-720-L21</x:v>
      </x:c>
      <x:c r="Y106" t="str">
        <x:v>OK</x:v>
      </x:c>
      <x:c r="Z106" t="str">
        <x:v>OK</x:v>
      </x:c>
      <x:c r="AA106" t="n">
        <x:v>3</x:v>
      </x:c>
      <x:c r="AB106" t="n">
        <x:v>0</x:v>
      </x:c>
      <x:c r="AC106" t="str">
        <x:v>OK</x:v>
      </x:c>
      <x:c r="AD106" t="str">
        <x:v>OK</x:v>
      </x:c>
      <x:c r="AE106" t="str">
        <x:v>LOAD</x:v>
      </x:c>
      <x:c r="AF106" t="str">
        <x:v>02_Supervisor_Log(4).xlsx</x:v>
      </x:c>
      <x:c r="AG106" t="str">
        <x:v>ENH-20260830-01</x:v>
      </x:c>
      <x:c r="AH106" t="str">
        <x:v>Active</x:v>
      </x:c>
      <x:c r="AI106"/>
      <x:c r="AJ106"/>
      <x:c r="AK106"/>
      <x:c r="AL106"/>
    </x:row>
    <x:row r="107">
      <x:c r="A107" t="s">
        <x:v>311</x:v>
      </x:c>
      <x:c r="B107" t="s">
        <x:v>300</x:v>
      </x:c>
      <x:c r="C107" t="s">
        <x:v>44</x:v>
      </x:c>
      <x:c r="D107">
        <x:v>45953</x:v>
      </x:c>
      <x:c r="E107" t="s">
        <x:v>187</x:v>
      </x:c>
      <x:c r="F107" t="s">
        <x:v>46</x:v>
      </x:c>
      <x:c r="G107">
        <x:v>21</x:v>
      </x:c>
      <x:c r="H107" t="s">
        <x:v>48</x:v>
      </x:c>
      <x:c r="I107">
        <x:v>12</x:v>
      </x:c>
      <x:c r="J107">
        <x:v>10</x:v>
      </x:c>
      <x:c r="K107">
        <x:v>2</x:v>
      </x:c>
      <x:c r="L107">
        <x:f t="shared" si="7"/>
        <x:v>0</x:v>
      </x:c>
      <x:c r="P107">
        <x:f t="shared" si="8"/>
        <x:v>0</x:v>
      </x:c>
      <x:c r="Q107">
        <x:f t="shared" si="9"/>
        <x:v>0</x:v>
      </x:c>
      <x:c r="R107">
        <x:f t="shared" si="10"/>
        <x:v>0</x:v>
      </x:c>
      <x:c r="S107">
        <x:f t="shared" si="11"/>
        <x:v>0</x:v>
      </x:c>
      <x:c r="T107" t="str">
        <x:f t="shared" si="12"/>
        <x:v>DerivedFromCount</x:v>
      </x:c>
      <x:c r="U107" t="str">
        <x:f>IF(COUNTIF(DailyProduction!$Q$5:$Q$100,B107)=1,"OK","CHECK")</x:f>
        <x:v>OK</x:v>
      </x:c>
      <x:c r="V107" t="str">
        <x:f t="shared" si="13"/>
        <x:v>OK</x:v>
      </x:c>
      <x:c r="W107" t="str">
        <x:f>IF(SUMIF($B$5:$B$914,B107,$S$5:$S$914)=SUMIF(DailyProduction!$Q$5:$Q$100,B107,DailyProduction!$R$5:$R$100),"OK","CHECK")</x:f>
        <x:v>OK</x:v>
      </x:c>
      <x:c r="X107" t="str">
        <x:v>PLC-PRD-JAR-720-L21</x:v>
      </x:c>
      <x:c r="Y107" t="str">
        <x:v>OK</x:v>
      </x:c>
      <x:c r="Z107" t="str">
        <x:v>OK</x:v>
      </x:c>
      <x:c r="AA107" t="n">
        <x:v>3</x:v>
      </x:c>
      <x:c r="AB107" t="n">
        <x:v>0</x:v>
      </x:c>
      <x:c r="AC107" t="str">
        <x:v>OK</x:v>
      </x:c>
      <x:c r="AD107" t="str">
        <x:v>OK</x:v>
      </x:c>
      <x:c r="AE107" t="str">
        <x:v>LOAD</x:v>
      </x:c>
      <x:c r="AF107" t="str">
        <x:v>02_Supervisor_Log(4).xlsx</x:v>
      </x:c>
      <x:c r="AG107" t="str">
        <x:v>ENH-20260830-01</x:v>
      </x:c>
      <x:c r="AH107" t="str">
        <x:v>Active</x:v>
      </x:c>
      <x:c r="AI107"/>
      <x:c r="AJ107"/>
      <x:c r="AK107"/>
      <x:c r="AL107"/>
    </x:row>
    <x:row r="108">
      <x:c r="A108" t="s">
        <x:v>312</x:v>
      </x:c>
      <x:c r="B108" t="s">
        <x:v>300</x:v>
      </x:c>
      <x:c r="C108" t="s">
        <x:v>44</x:v>
      </x:c>
      <x:c r="D108">
        <x:v>45953</x:v>
      </x:c>
      <x:c r="E108" t="s">
        <x:v>187</x:v>
      </x:c>
      <x:c r="F108" t="s">
        <x:v>46</x:v>
      </x:c>
      <x:c r="G108">
        <x:v>21</x:v>
      </x:c>
      <x:c r="H108" t="s">
        <x:v>48</x:v>
      </x:c>
      <x:c r="I108">
        <x:v>13</x:v>
      </x:c>
      <x:c r="J108">
        <x:v>10</x:v>
      </x:c>
      <x:c r="K108">
        <x:v>2</x:v>
      </x:c>
      <x:c r="L108">
        <x:f t="shared" si="7"/>
        <x:v>0</x:v>
      </x:c>
      <x:c r="P108">
        <x:f t="shared" si="8"/>
        <x:v>0</x:v>
      </x:c>
      <x:c r="Q108">
        <x:f t="shared" si="9"/>
        <x:v>0</x:v>
      </x:c>
      <x:c r="R108">
        <x:f t="shared" si="10"/>
        <x:v>0</x:v>
      </x:c>
      <x:c r="S108">
        <x:f t="shared" si="11"/>
        <x:v>0</x:v>
      </x:c>
      <x:c r="T108" t="str">
        <x:f t="shared" si="12"/>
        <x:v>DerivedFromCount</x:v>
      </x:c>
      <x:c r="U108" t="str">
        <x:f>IF(COUNTIF(DailyProduction!$Q$5:$Q$100,B108)=1,"OK","CHECK")</x:f>
        <x:v>OK</x:v>
      </x:c>
      <x:c r="V108" t="str">
        <x:f t="shared" si="13"/>
        <x:v>OK</x:v>
      </x:c>
      <x:c r="W108" t="str">
        <x:f>IF(SUMIF($B$5:$B$914,B108,$S$5:$S$914)=SUMIF(DailyProduction!$Q$5:$Q$100,B108,DailyProduction!$R$5:$R$100),"OK","CHECK")</x:f>
        <x:v>OK</x:v>
      </x:c>
      <x:c r="X108" t="str">
        <x:v>PLC-PRD-JAR-720-L21</x:v>
      </x:c>
      <x:c r="Y108" t="str">
        <x:v>OK</x:v>
      </x:c>
      <x:c r="Z108" t="str">
        <x:v>OK</x:v>
      </x:c>
      <x:c r="AA108" t="n">
        <x:v>3</x:v>
      </x:c>
      <x:c r="AB108" t="n">
        <x:v>0</x:v>
      </x:c>
      <x:c r="AC108" t="str">
        <x:v>OK</x:v>
      </x:c>
      <x:c r="AD108" t="str">
        <x:v>OK</x:v>
      </x:c>
      <x:c r="AE108" t="str">
        <x:v>LOAD</x:v>
      </x:c>
      <x:c r="AF108" t="str">
        <x:v>02_Supervisor_Log(4).xlsx</x:v>
      </x:c>
      <x:c r="AG108" t="str">
        <x:v>ENH-20260830-01</x:v>
      </x:c>
      <x:c r="AH108" t="str">
        <x:v>Active</x:v>
      </x:c>
      <x:c r="AI108"/>
      <x:c r="AJ108"/>
      <x:c r="AK108"/>
      <x:c r="AL108"/>
    </x:row>
    <x:row r="109">
      <x:c r="A109" t="s">
        <x:v>313</x:v>
      </x:c>
      <x:c r="B109" t="s">
        <x:v>314</x:v>
      </x:c>
      <x:c r="C109" t="s">
        <x:v>44</x:v>
      </x:c>
      <x:c r="D109">
        <x:v>45954</x:v>
      </x:c>
      <x:c r="E109" t="s">
        <x:v>45</x:v>
      </x:c>
      <x:c r="F109" t="s">
        <x:v>46</x:v>
      </x:c>
      <x:c r="G109">
        <x:v>21</x:v>
      </x:c>
      <x:c r="H109" t="s">
        <x:v>48</x:v>
      </x:c>
      <x:c r="I109">
        <x:v>1</x:v>
      </x:c>
      <x:c r="J109">
        <x:v>10</x:v>
      </x:c>
      <x:c r="K109">
        <x:v>2</x:v>
      </x:c>
      <x:c r="L109">
        <x:f t="shared" si="7"/>
        <x:v>1</x:v>
      </x:c>
      <x:c r="P109">
        <x:f t="shared" si="8"/>
        <x:v>1</x:v>
      </x:c>
      <x:c r="Q109">
        <x:f t="shared" si="9"/>
        <x:v>1</x:v>
      </x:c>
      <x:c r="R109">
        <x:f t="shared" si="10"/>
        <x:v>0</x:v>
      </x:c>
      <x:c r="S109">
        <x:f t="shared" si="11"/>
        <x:v>2</x:v>
      </x:c>
      <x:c r="T109" t="str">
        <x:f t="shared" si="12"/>
        <x:v>DerivedFromCount</x:v>
      </x:c>
      <x:c r="U109" t="str">
        <x:f>IF(COUNTIF(DailyProduction!$Q$5:$Q$100,B109)=1,"OK","CHECK")</x:f>
        <x:v>OK</x:v>
      </x:c>
      <x:c r="V109" t="str">
        <x:f t="shared" si="13"/>
        <x:v>OK</x:v>
      </x:c>
      <x:c r="W109" t="str">
        <x:f>IF(SUMIF($B$5:$B$914,B109,$S$5:$S$914)=SUMIF(DailyProduction!$Q$5:$Q$100,B109,DailyProduction!$R$5:$R$100),"OK","CHECK")</x:f>
        <x:v>OK</x:v>
      </x:c>
      <x:c r="X109" t="str">
        <x:v>PLC-PRD-JAR-720-L21</x:v>
      </x:c>
      <x:c r="Y109" t="str">
        <x:v>OK</x:v>
      </x:c>
      <x:c r="Z109" t="str">
        <x:v>OK</x:v>
      </x:c>
      <x:c r="AA109" t="n">
        <x:v>3</x:v>
      </x:c>
      <x:c r="AB109" t="n">
        <x:v>2</x:v>
      </x:c>
      <x:c r="AC109" t="str">
        <x:v>OK</x:v>
      </x:c>
      <x:c r="AD109" t="str">
        <x:v>OK</x:v>
      </x:c>
      <x:c r="AE109" t="str">
        <x:v>LOAD</x:v>
      </x:c>
      <x:c r="AF109" t="str">
        <x:v>02_Supervisor_Log(4).xlsx</x:v>
      </x:c>
      <x:c r="AG109" t="str">
        <x:v>ENH-20260830-01</x:v>
      </x:c>
      <x:c r="AH109" t="str">
        <x:v>Active</x:v>
      </x:c>
      <x:c r="AI109"/>
      <x:c r="AJ109"/>
      <x:c r="AK109"/>
      <x:c r="AL109"/>
    </x:row>
    <x:row r="110">
      <x:c r="A110" t="s">
        <x:v>315</x:v>
      </x:c>
      <x:c r="B110" t="s">
        <x:v>314</x:v>
      </x:c>
      <x:c r="C110" t="s">
        <x:v>44</x:v>
      </x:c>
      <x:c r="D110">
        <x:v>45954</x:v>
      </x:c>
      <x:c r="E110" t="s">
        <x:v>45</x:v>
      </x:c>
      <x:c r="F110" t="s">
        <x:v>46</x:v>
      </x:c>
      <x:c r="G110">
        <x:v>21</x:v>
      </x:c>
      <x:c r="H110" t="s">
        <x:v>48</x:v>
      </x:c>
      <x:c r="I110">
        <x:v>2</x:v>
      </x:c>
      <x:c r="J110">
        <x:v>10</x:v>
      </x:c>
      <x:c r="K110">
        <x:v>2</x:v>
      </x:c>
      <x:c r="L110">
        <x:f t="shared" si="7"/>
        <x:v>1</x:v>
      </x:c>
      <x:c r="P110">
        <x:f t="shared" si="8"/>
        <x:v>1</x:v>
      </x:c>
      <x:c r="Q110">
        <x:f t="shared" si="9"/>
        <x:v>1</x:v>
      </x:c>
      <x:c r="R110">
        <x:f t="shared" si="10"/>
        <x:v>0</x:v>
      </x:c>
      <x:c r="S110">
        <x:f t="shared" si="11"/>
        <x:v>2</x:v>
      </x:c>
      <x:c r="T110" t="str">
        <x:f t="shared" si="12"/>
        <x:v>DerivedFromCount</x:v>
      </x:c>
      <x:c r="U110" t="str">
        <x:f>IF(COUNTIF(DailyProduction!$Q$5:$Q$100,B110)=1,"OK","CHECK")</x:f>
        <x:v>OK</x:v>
      </x:c>
      <x:c r="V110" t="str">
        <x:f t="shared" si="13"/>
        <x:v>OK</x:v>
      </x:c>
      <x:c r="W110" t="str">
        <x:f>IF(SUMIF($B$5:$B$914,B110,$S$5:$S$914)=SUMIF(DailyProduction!$Q$5:$Q$100,B110,DailyProduction!$R$5:$R$100),"OK","CHECK")</x:f>
        <x:v>OK</x:v>
      </x:c>
      <x:c r="X110" t="str">
        <x:v>PLC-PRD-JAR-720-L21</x:v>
      </x:c>
      <x:c r="Y110" t="str">
        <x:v>OK</x:v>
      </x:c>
      <x:c r="Z110" t="str">
        <x:v>OK</x:v>
      </x:c>
      <x:c r="AA110" t="n">
        <x:v>3</x:v>
      </x:c>
      <x:c r="AB110" t="n">
        <x:v>2</x:v>
      </x:c>
      <x:c r="AC110" t="str">
        <x:v>OK</x:v>
      </x:c>
      <x:c r="AD110" t="str">
        <x:v>OK</x:v>
      </x:c>
      <x:c r="AE110" t="str">
        <x:v>LOAD</x:v>
      </x:c>
      <x:c r="AF110" t="str">
        <x:v>02_Supervisor_Log(4).xlsx</x:v>
      </x:c>
      <x:c r="AG110" t="str">
        <x:v>ENH-20260830-01</x:v>
      </x:c>
      <x:c r="AH110" t="str">
        <x:v>Active</x:v>
      </x:c>
      <x:c r="AI110"/>
      <x:c r="AJ110"/>
      <x:c r="AK110"/>
      <x:c r="AL110"/>
    </x:row>
    <x:row r="111">
      <x:c r="A111" t="s">
        <x:v>316</x:v>
      </x:c>
      <x:c r="B111" t="s">
        <x:v>314</x:v>
      </x:c>
      <x:c r="C111" t="s">
        <x:v>44</x:v>
      </x:c>
      <x:c r="D111">
        <x:v>45954</x:v>
      </x:c>
      <x:c r="E111" t="s">
        <x:v>45</x:v>
      </x:c>
      <x:c r="F111" t="s">
        <x:v>46</x:v>
      </x:c>
      <x:c r="G111">
        <x:v>21</x:v>
      </x:c>
      <x:c r="H111" t="s">
        <x:v>48</x:v>
      </x:c>
      <x:c r="I111">
        <x:v>3</x:v>
      </x:c>
      <x:c r="J111">
        <x:v>10</x:v>
      </x:c>
      <x:c r="K111">
        <x:v>2</x:v>
      </x:c>
      <x:c r="L111">
        <x:f t="shared" si="7"/>
        <x:v>1</x:v>
      </x:c>
      <x:c r="P111">
        <x:f t="shared" si="8"/>
        <x:v>1</x:v>
      </x:c>
      <x:c r="Q111">
        <x:f t="shared" si="9"/>
        <x:v>1</x:v>
      </x:c>
      <x:c r="R111">
        <x:f t="shared" si="10"/>
        <x:v>0</x:v>
      </x:c>
      <x:c r="S111">
        <x:f t="shared" si="11"/>
        <x:v>2</x:v>
      </x:c>
      <x:c r="T111" t="str">
        <x:f t="shared" si="12"/>
        <x:v>DerivedFromCount</x:v>
      </x:c>
      <x:c r="U111" t="str">
        <x:f>IF(COUNTIF(DailyProduction!$Q$5:$Q$100,B111)=1,"OK","CHECK")</x:f>
        <x:v>OK</x:v>
      </x:c>
      <x:c r="V111" t="str">
        <x:f t="shared" si="13"/>
        <x:v>OK</x:v>
      </x:c>
      <x:c r="W111" t="str">
        <x:f>IF(SUMIF($B$5:$B$914,B111,$S$5:$S$914)=SUMIF(DailyProduction!$Q$5:$Q$100,B111,DailyProduction!$R$5:$R$100),"OK","CHECK")</x:f>
        <x:v>OK</x:v>
      </x:c>
      <x:c r="X111" t="str">
        <x:v>PLC-PRD-JAR-720-L21</x:v>
      </x:c>
      <x:c r="Y111" t="str">
        <x:v>OK</x:v>
      </x:c>
      <x:c r="Z111" t="str">
        <x:v>OK</x:v>
      </x:c>
      <x:c r="AA111" t="n">
        <x:v>3</x:v>
      </x:c>
      <x:c r="AB111" t="n">
        <x:v>2</x:v>
      </x:c>
      <x:c r="AC111" t="str">
        <x:v>OK</x:v>
      </x:c>
      <x:c r="AD111" t="str">
        <x:v>OK</x:v>
      </x:c>
      <x:c r="AE111" t="str">
        <x:v>LOAD</x:v>
      </x:c>
      <x:c r="AF111" t="str">
        <x:v>02_Supervisor_Log(4).xlsx</x:v>
      </x:c>
      <x:c r="AG111" t="str">
        <x:v>ENH-20260830-01</x:v>
      </x:c>
      <x:c r="AH111" t="str">
        <x:v>Active</x:v>
      </x:c>
      <x:c r="AI111"/>
      <x:c r="AJ111"/>
      <x:c r="AK111"/>
      <x:c r="AL111"/>
    </x:row>
    <x:row r="112">
      <x:c r="A112" t="s">
        <x:v>317</x:v>
      </x:c>
      <x:c r="B112" t="s">
        <x:v>314</x:v>
      </x:c>
      <x:c r="C112" t="s">
        <x:v>44</x:v>
      </x:c>
      <x:c r="D112">
        <x:v>45954</x:v>
      </x:c>
      <x:c r="E112" t="s">
        <x:v>45</x:v>
      </x:c>
      <x:c r="F112" t="s">
        <x:v>46</x:v>
      </x:c>
      <x:c r="G112">
        <x:v>21</x:v>
      </x:c>
      <x:c r="H112" t="s">
        <x:v>48</x:v>
      </x:c>
      <x:c r="I112">
        <x:v>4</x:v>
      </x:c>
      <x:c r="J112">
        <x:v>10</x:v>
      </x:c>
      <x:c r="K112">
        <x:v>2</x:v>
      </x:c>
      <x:c r="L112">
        <x:f t="shared" si="7"/>
        <x:v>1</x:v>
      </x:c>
      <x:c r="P112">
        <x:f t="shared" si="8"/>
        <x:v>1</x:v>
      </x:c>
      <x:c r="Q112">
        <x:f t="shared" si="9"/>
        <x:v>1</x:v>
      </x:c>
      <x:c r="R112">
        <x:f t="shared" si="10"/>
        <x:v>0</x:v>
      </x:c>
      <x:c r="S112">
        <x:f t="shared" si="11"/>
        <x:v>2</x:v>
      </x:c>
      <x:c r="T112" t="str">
        <x:f t="shared" si="12"/>
        <x:v>DerivedFromCount</x:v>
      </x:c>
      <x:c r="U112" t="str">
        <x:f>IF(COUNTIF(DailyProduction!$Q$5:$Q$100,B112)=1,"OK","CHECK")</x:f>
        <x:v>OK</x:v>
      </x:c>
      <x:c r="V112" t="str">
        <x:f t="shared" si="13"/>
        <x:v>OK</x:v>
      </x:c>
      <x:c r="W112" t="str">
        <x:f>IF(SUMIF($B$5:$B$914,B112,$S$5:$S$914)=SUMIF(DailyProduction!$Q$5:$Q$100,B112,DailyProduction!$R$5:$R$100),"OK","CHECK")</x:f>
        <x:v>OK</x:v>
      </x:c>
      <x:c r="X112" t="str">
        <x:v>PLC-PRD-JAR-720-L21</x:v>
      </x:c>
      <x:c r="Y112" t="str">
        <x:v>OK</x:v>
      </x:c>
      <x:c r="Z112" t="str">
        <x:v>OK</x:v>
      </x:c>
      <x:c r="AA112" t="n">
        <x:v>3</x:v>
      </x:c>
      <x:c r="AB112" t="n">
        <x:v>2</x:v>
      </x:c>
      <x:c r="AC112" t="str">
        <x:v>OK</x:v>
      </x:c>
      <x:c r="AD112" t="str">
        <x:v>OK</x:v>
      </x:c>
      <x:c r="AE112" t="str">
        <x:v>LOAD</x:v>
      </x:c>
      <x:c r="AF112" t="str">
        <x:v>02_Supervisor_Log(4).xlsx</x:v>
      </x:c>
      <x:c r="AG112" t="str">
        <x:v>ENH-20260830-01</x:v>
      </x:c>
      <x:c r="AH112" t="str">
        <x:v>Active</x:v>
      </x:c>
      <x:c r="AI112"/>
      <x:c r="AJ112"/>
      <x:c r="AK112"/>
      <x:c r="AL112"/>
    </x:row>
    <x:row r="113">
      <x:c r="A113" t="s">
        <x:v>318</x:v>
      </x:c>
      <x:c r="B113" t="s">
        <x:v>314</x:v>
      </x:c>
      <x:c r="C113" t="s">
        <x:v>44</x:v>
      </x:c>
      <x:c r="D113">
        <x:v>45954</x:v>
      </x:c>
      <x:c r="E113" t="s">
        <x:v>45</x:v>
      </x:c>
      <x:c r="F113" t="s">
        <x:v>46</x:v>
      </x:c>
      <x:c r="G113">
        <x:v>21</x:v>
      </x:c>
      <x:c r="H113" t="s">
        <x:v>48</x:v>
      </x:c>
      <x:c r="I113">
        <x:v>5</x:v>
      </x:c>
      <x:c r="J113">
        <x:v>10</x:v>
      </x:c>
      <x:c r="K113">
        <x:v>2</x:v>
      </x:c>
      <x:c r="L113">
        <x:f t="shared" si="7"/>
        <x:v>1</x:v>
      </x:c>
      <x:c r="P113">
        <x:f t="shared" si="8"/>
        <x:v>1</x:v>
      </x:c>
      <x:c r="Q113">
        <x:f t="shared" si="9"/>
        <x:v>1</x:v>
      </x:c>
      <x:c r="R113">
        <x:f t="shared" si="10"/>
        <x:v>0</x:v>
      </x:c>
      <x:c r="S113">
        <x:f t="shared" si="11"/>
        <x:v>2</x:v>
      </x:c>
      <x:c r="T113" t="str">
        <x:f t="shared" si="12"/>
        <x:v>DerivedFromCount</x:v>
      </x:c>
      <x:c r="U113" t="str">
        <x:f>IF(COUNTIF(DailyProduction!$Q$5:$Q$100,B113)=1,"OK","CHECK")</x:f>
        <x:v>OK</x:v>
      </x:c>
      <x:c r="V113" t="str">
        <x:f t="shared" si="13"/>
        <x:v>OK</x:v>
      </x:c>
      <x:c r="W113" t="str">
        <x:f>IF(SUMIF($B$5:$B$914,B113,$S$5:$S$914)=SUMIF(DailyProduction!$Q$5:$Q$100,B113,DailyProduction!$R$5:$R$100),"OK","CHECK")</x:f>
        <x:v>OK</x:v>
      </x:c>
      <x:c r="X113" t="str">
        <x:v>PLC-PRD-JAR-720-L21</x:v>
      </x:c>
      <x:c r="Y113" t="str">
        <x:v>OK</x:v>
      </x:c>
      <x:c r="Z113" t="str">
        <x:v>OK</x:v>
      </x:c>
      <x:c r="AA113" t="n">
        <x:v>3</x:v>
      </x:c>
      <x:c r="AB113" t="n">
        <x:v>2</x:v>
      </x:c>
      <x:c r="AC113" t="str">
        <x:v>OK</x:v>
      </x:c>
      <x:c r="AD113" t="str">
        <x:v>OK</x:v>
      </x:c>
      <x:c r="AE113" t="str">
        <x:v>LOAD</x:v>
      </x:c>
      <x:c r="AF113" t="str">
        <x:v>02_Supervisor_Log(4).xlsx</x:v>
      </x:c>
      <x:c r="AG113" t="str">
        <x:v>ENH-20260830-01</x:v>
      </x:c>
      <x:c r="AH113" t="str">
        <x:v>Active</x:v>
      </x:c>
      <x:c r="AI113"/>
      <x:c r="AJ113"/>
      <x:c r="AK113"/>
      <x:c r="AL113"/>
    </x:row>
    <x:row r="114">
      <x:c r="A114" t="s">
        <x:v>319</x:v>
      </x:c>
      <x:c r="B114" t="s">
        <x:v>314</x:v>
      </x:c>
      <x:c r="C114" t="s">
        <x:v>44</x:v>
      </x:c>
      <x:c r="D114">
        <x:v>45954</x:v>
      </x:c>
      <x:c r="E114" t="s">
        <x:v>45</x:v>
      </x:c>
      <x:c r="F114" t="s">
        <x:v>46</x:v>
      </x:c>
      <x:c r="G114">
        <x:v>21</x:v>
      </x:c>
      <x:c r="H114" t="s">
        <x:v>48</x:v>
      </x:c>
      <x:c r="I114">
        <x:v>6</x:v>
      </x:c>
      <x:c r="J114">
        <x:v>10</x:v>
      </x:c>
      <x:c r="K114">
        <x:v>2</x:v>
      </x:c>
      <x:c r="L114">
        <x:f t="shared" si="7"/>
        <x:v>1</x:v>
      </x:c>
      <x:c r="P114">
        <x:f t="shared" si="8"/>
        <x:v>1</x:v>
      </x:c>
      <x:c r="Q114">
        <x:f t="shared" si="9"/>
        <x:v>1</x:v>
      </x:c>
      <x:c r="R114">
        <x:f t="shared" si="10"/>
        <x:v>0</x:v>
      </x:c>
      <x:c r="S114">
        <x:f t="shared" si="11"/>
        <x:v>2</x:v>
      </x:c>
      <x:c r="T114" t="str">
        <x:f t="shared" si="12"/>
        <x:v>DerivedFromCount</x:v>
      </x:c>
      <x:c r="U114" t="str">
        <x:f>IF(COUNTIF(DailyProduction!$Q$5:$Q$100,B114)=1,"OK","CHECK")</x:f>
        <x:v>OK</x:v>
      </x:c>
      <x:c r="V114" t="str">
        <x:f t="shared" si="13"/>
        <x:v>OK</x:v>
      </x:c>
      <x:c r="W114" t="str">
        <x:f>IF(SUMIF($B$5:$B$914,B114,$S$5:$S$914)=SUMIF(DailyProduction!$Q$5:$Q$100,B114,DailyProduction!$R$5:$R$100),"OK","CHECK")</x:f>
        <x:v>OK</x:v>
      </x:c>
      <x:c r="X114" t="str">
        <x:v>PLC-PRD-JAR-720-L21</x:v>
      </x:c>
      <x:c r="Y114" t="str">
        <x:v>OK</x:v>
      </x:c>
      <x:c r="Z114" t="str">
        <x:v>OK</x:v>
      </x:c>
      <x:c r="AA114" t="n">
        <x:v>3</x:v>
      </x:c>
      <x:c r="AB114" t="n">
        <x:v>2</x:v>
      </x:c>
      <x:c r="AC114" t="str">
        <x:v>OK</x:v>
      </x:c>
      <x:c r="AD114" t="str">
        <x:v>OK</x:v>
      </x:c>
      <x:c r="AE114" t="str">
        <x:v>LOAD</x:v>
      </x:c>
      <x:c r="AF114" t="str">
        <x:v>02_Supervisor_Log(4).xlsx</x:v>
      </x:c>
      <x:c r="AG114" t="str">
        <x:v>ENH-20260830-01</x:v>
      </x:c>
      <x:c r="AH114" t="str">
        <x:v>Active</x:v>
      </x:c>
      <x:c r="AI114"/>
      <x:c r="AJ114"/>
      <x:c r="AK114"/>
      <x:c r="AL114"/>
    </x:row>
    <x:row r="115">
      <x:c r="A115" t="s">
        <x:v>320</x:v>
      </x:c>
      <x:c r="B115" t="s">
        <x:v>314</x:v>
      </x:c>
      <x:c r="C115" t="s">
        <x:v>44</x:v>
      </x:c>
      <x:c r="D115">
        <x:v>45954</x:v>
      </x:c>
      <x:c r="E115" t="s">
        <x:v>45</x:v>
      </x:c>
      <x:c r="F115" t="s">
        <x:v>46</x:v>
      </x:c>
      <x:c r="G115">
        <x:v>21</x:v>
      </x:c>
      <x:c r="H115" t="s">
        <x:v>48</x:v>
      </x:c>
      <x:c r="I115">
        <x:v>7</x:v>
      </x:c>
      <x:c r="J115">
        <x:v>10</x:v>
      </x:c>
      <x:c r="K115">
        <x:v>2</x:v>
      </x:c>
      <x:c r="L115">
        <x:f t="shared" si="7"/>
        <x:v>1</x:v>
      </x:c>
      <x:c r="P115">
        <x:f t="shared" si="8"/>
        <x:v>1</x:v>
      </x:c>
      <x:c r="Q115">
        <x:f t="shared" si="9"/>
        <x:v>1</x:v>
      </x:c>
      <x:c r="R115">
        <x:f t="shared" si="10"/>
        <x:v>0</x:v>
      </x:c>
      <x:c r="S115">
        <x:f t="shared" si="11"/>
        <x:v>2</x:v>
      </x:c>
      <x:c r="T115" t="str">
        <x:f t="shared" si="12"/>
        <x:v>DerivedFromCount</x:v>
      </x:c>
      <x:c r="U115" t="str">
        <x:f>IF(COUNTIF(DailyProduction!$Q$5:$Q$100,B115)=1,"OK","CHECK")</x:f>
        <x:v>OK</x:v>
      </x:c>
      <x:c r="V115" t="str">
        <x:f t="shared" si="13"/>
        <x:v>OK</x:v>
      </x:c>
      <x:c r="W115" t="str">
        <x:f>IF(SUMIF($B$5:$B$914,B115,$S$5:$S$914)=SUMIF(DailyProduction!$Q$5:$Q$100,B115,DailyProduction!$R$5:$R$100),"OK","CHECK")</x:f>
        <x:v>OK</x:v>
      </x:c>
      <x:c r="X115" t="str">
        <x:v>PLC-PRD-JAR-720-L21</x:v>
      </x:c>
      <x:c r="Y115" t="str">
        <x:v>OK</x:v>
      </x:c>
      <x:c r="Z115" t="str">
        <x:v>OK</x:v>
      </x:c>
      <x:c r="AA115" t="n">
        <x:v>3</x:v>
      </x:c>
      <x:c r="AB115" t="n">
        <x:v>2</x:v>
      </x:c>
      <x:c r="AC115" t="str">
        <x:v>OK</x:v>
      </x:c>
      <x:c r="AD115" t="str">
        <x:v>OK</x:v>
      </x:c>
      <x:c r="AE115" t="str">
        <x:v>LOAD</x:v>
      </x:c>
      <x:c r="AF115" t="str">
        <x:v>02_Supervisor_Log(4).xlsx</x:v>
      </x:c>
      <x:c r="AG115" t="str">
        <x:v>ENH-20260830-01</x:v>
      </x:c>
      <x:c r="AH115" t="str">
        <x:v>Active</x:v>
      </x:c>
      <x:c r="AI115"/>
      <x:c r="AJ115"/>
      <x:c r="AK115"/>
      <x:c r="AL115"/>
    </x:row>
    <x:row r="116">
      <x:c r="A116" t="s">
        <x:v>321</x:v>
      </x:c>
      <x:c r="B116" t="s">
        <x:v>314</x:v>
      </x:c>
      <x:c r="C116" t="s">
        <x:v>44</x:v>
      </x:c>
      <x:c r="D116">
        <x:v>45954</x:v>
      </x:c>
      <x:c r="E116" t="s">
        <x:v>45</x:v>
      </x:c>
      <x:c r="F116" t="s">
        <x:v>46</x:v>
      </x:c>
      <x:c r="G116">
        <x:v>21</x:v>
      </x:c>
      <x:c r="H116" t="s">
        <x:v>48</x:v>
      </x:c>
      <x:c r="I116">
        <x:v>8</x:v>
      </x:c>
      <x:c r="J116">
        <x:v>10</x:v>
      </x:c>
      <x:c r="K116">
        <x:v>2</x:v>
      </x:c>
      <x:c r="L116">
        <x:f t="shared" si="7"/>
        <x:v>1</x:v>
      </x:c>
      <x:c r="P116">
        <x:f t="shared" si="8"/>
        <x:v>1</x:v>
      </x:c>
      <x:c r="Q116">
        <x:f t="shared" si="9"/>
        <x:v>1</x:v>
      </x:c>
      <x:c r="R116">
        <x:f t="shared" si="10"/>
        <x:v>0</x:v>
      </x:c>
      <x:c r="S116">
        <x:f t="shared" si="11"/>
        <x:v>2</x:v>
      </x:c>
      <x:c r="T116" t="str">
        <x:f t="shared" si="12"/>
        <x:v>DerivedFromCount</x:v>
      </x:c>
      <x:c r="U116" t="str">
        <x:f>IF(COUNTIF(DailyProduction!$Q$5:$Q$100,B116)=1,"OK","CHECK")</x:f>
        <x:v>OK</x:v>
      </x:c>
      <x:c r="V116" t="str">
        <x:f t="shared" si="13"/>
        <x:v>OK</x:v>
      </x:c>
      <x:c r="W116" t="str">
        <x:f>IF(SUMIF($B$5:$B$914,B116,$S$5:$S$914)=SUMIF(DailyProduction!$Q$5:$Q$100,B116,DailyProduction!$R$5:$R$100),"OK","CHECK")</x:f>
        <x:v>OK</x:v>
      </x:c>
      <x:c r="X116" t="str">
        <x:v>PLC-PRD-JAR-720-L21</x:v>
      </x:c>
      <x:c r="Y116" t="str">
        <x:v>OK</x:v>
      </x:c>
      <x:c r="Z116" t="str">
        <x:v>OK</x:v>
      </x:c>
      <x:c r="AA116" t="n">
        <x:v>3</x:v>
      </x:c>
      <x:c r="AB116" t="n">
        <x:v>2</x:v>
      </x:c>
      <x:c r="AC116" t="str">
        <x:v>OK</x:v>
      </x:c>
      <x:c r="AD116" t="str">
        <x:v>OK</x:v>
      </x:c>
      <x:c r="AE116" t="str">
        <x:v>LOAD</x:v>
      </x:c>
      <x:c r="AF116" t="str">
        <x:v>02_Supervisor_Log(4).xlsx</x:v>
      </x:c>
      <x:c r="AG116" t="str">
        <x:v>ENH-20260830-01</x:v>
      </x:c>
      <x:c r="AH116" t="str">
        <x:v>Active</x:v>
      </x:c>
      <x:c r="AI116"/>
      <x:c r="AJ116"/>
      <x:c r="AK116"/>
      <x:c r="AL116"/>
    </x:row>
    <x:row r="117">
      <x:c r="A117" t="s">
        <x:v>322</x:v>
      </x:c>
      <x:c r="B117" t="s">
        <x:v>314</x:v>
      </x:c>
      <x:c r="C117" t="s">
        <x:v>44</x:v>
      </x:c>
      <x:c r="D117">
        <x:v>45954</x:v>
      </x:c>
      <x:c r="E117" t="s">
        <x:v>45</x:v>
      </x:c>
      <x:c r="F117" t="s">
        <x:v>46</x:v>
      </x:c>
      <x:c r="G117">
        <x:v>21</x:v>
      </x:c>
      <x:c r="H117" t="s">
        <x:v>48</x:v>
      </x:c>
      <x:c r="I117">
        <x:v>9</x:v>
      </x:c>
      <x:c r="J117">
        <x:v>10</x:v>
      </x:c>
      <x:c r="K117">
        <x:v>2</x:v>
      </x:c>
      <x:c r="L117">
        <x:f t="shared" si="7"/>
        <x:v>1</x:v>
      </x:c>
      <x:c r="P117">
        <x:f t="shared" si="8"/>
        <x:v>1</x:v>
      </x:c>
      <x:c r="Q117">
        <x:f t="shared" si="9"/>
        <x:v>1</x:v>
      </x:c>
      <x:c r="R117">
        <x:f t="shared" si="10"/>
        <x:v>0</x:v>
      </x:c>
      <x:c r="S117">
        <x:f t="shared" si="11"/>
        <x:v>2</x:v>
      </x:c>
      <x:c r="T117" t="str">
        <x:f t="shared" si="12"/>
        <x:v>DerivedFromCount</x:v>
      </x:c>
      <x:c r="U117" t="str">
        <x:f>IF(COUNTIF(DailyProduction!$Q$5:$Q$100,B117)=1,"OK","CHECK")</x:f>
        <x:v>OK</x:v>
      </x:c>
      <x:c r="V117" t="str">
        <x:f t="shared" si="13"/>
        <x:v>OK</x:v>
      </x:c>
      <x:c r="W117" t="str">
        <x:f>IF(SUMIF($B$5:$B$914,B117,$S$5:$S$914)=SUMIF(DailyProduction!$Q$5:$Q$100,B117,DailyProduction!$R$5:$R$100),"OK","CHECK")</x:f>
        <x:v>OK</x:v>
      </x:c>
      <x:c r="X117" t="str">
        <x:v>PLC-PRD-JAR-720-L21</x:v>
      </x:c>
      <x:c r="Y117" t="str">
        <x:v>OK</x:v>
      </x:c>
      <x:c r="Z117" t="str">
        <x:v>OK</x:v>
      </x:c>
      <x:c r="AA117" t="n">
        <x:v>3</x:v>
      </x:c>
      <x:c r="AB117" t="n">
        <x:v>2</x:v>
      </x:c>
      <x:c r="AC117" t="str">
        <x:v>OK</x:v>
      </x:c>
      <x:c r="AD117" t="str">
        <x:v>OK</x:v>
      </x:c>
      <x:c r="AE117" t="str">
        <x:v>LOAD</x:v>
      </x:c>
      <x:c r="AF117" t="str">
        <x:v>02_Supervisor_Log(4).xlsx</x:v>
      </x:c>
      <x:c r="AG117" t="str">
        <x:v>ENH-20260830-01</x:v>
      </x:c>
      <x:c r="AH117" t="str">
        <x:v>Active</x:v>
      </x:c>
      <x:c r="AI117"/>
      <x:c r="AJ117"/>
      <x:c r="AK117"/>
      <x:c r="AL117"/>
    </x:row>
    <x:row r="118">
      <x:c r="A118" t="s">
        <x:v>323</x:v>
      </x:c>
      <x:c r="B118" t="s">
        <x:v>314</x:v>
      </x:c>
      <x:c r="C118" t="s">
        <x:v>44</x:v>
      </x:c>
      <x:c r="D118">
        <x:v>45954</x:v>
      </x:c>
      <x:c r="E118" t="s">
        <x:v>45</x:v>
      </x:c>
      <x:c r="F118" t="s">
        <x:v>46</x:v>
      </x:c>
      <x:c r="G118">
        <x:v>21</x:v>
      </x:c>
      <x:c r="H118" t="s">
        <x:v>48</x:v>
      </x:c>
      <x:c r="I118">
        <x:v>10</x:v>
      </x:c>
      <x:c r="J118">
        <x:v>10</x:v>
      </x:c>
      <x:c r="K118">
        <x:v>2</x:v>
      </x:c>
      <x:c r="L118">
        <x:f t="shared" si="7"/>
        <x:v>1</x:v>
      </x:c>
      <x:c r="P118">
        <x:f t="shared" si="8"/>
        <x:v>1</x:v>
      </x:c>
      <x:c r="Q118">
        <x:f t="shared" si="9"/>
        <x:v>1</x:v>
      </x:c>
      <x:c r="R118">
        <x:f t="shared" si="10"/>
        <x:v>0</x:v>
      </x:c>
      <x:c r="S118">
        <x:f t="shared" si="11"/>
        <x:v>2</x:v>
      </x:c>
      <x:c r="T118" t="str">
        <x:f t="shared" si="12"/>
        <x:v>DerivedFromCount</x:v>
      </x:c>
      <x:c r="U118" t="str">
        <x:f>IF(COUNTIF(DailyProduction!$Q$5:$Q$100,B118)=1,"OK","CHECK")</x:f>
        <x:v>OK</x:v>
      </x:c>
      <x:c r="V118" t="str">
        <x:f t="shared" si="13"/>
        <x:v>OK</x:v>
      </x:c>
      <x:c r="W118" t="str">
        <x:f>IF(SUMIF($B$5:$B$914,B118,$S$5:$S$914)=SUMIF(DailyProduction!$Q$5:$Q$100,B118,DailyProduction!$R$5:$R$100),"OK","CHECK")</x:f>
        <x:v>OK</x:v>
      </x:c>
      <x:c r="X118" t="str">
        <x:v>PLC-PRD-JAR-720-L21</x:v>
      </x:c>
      <x:c r="Y118" t="str">
        <x:v>OK</x:v>
      </x:c>
      <x:c r="Z118" t="str">
        <x:v>OK</x:v>
      </x:c>
      <x:c r="AA118" t="n">
        <x:v>3</x:v>
      </x:c>
      <x:c r="AB118" t="n">
        <x:v>2</x:v>
      </x:c>
      <x:c r="AC118" t="str">
        <x:v>OK</x:v>
      </x:c>
      <x:c r="AD118" t="str">
        <x:v>OK</x:v>
      </x:c>
      <x:c r="AE118" t="str">
        <x:v>LOAD</x:v>
      </x:c>
      <x:c r="AF118" t="str">
        <x:v>02_Supervisor_Log(4).xlsx</x:v>
      </x:c>
      <x:c r="AG118" t="str">
        <x:v>ENH-20260830-01</x:v>
      </x:c>
      <x:c r="AH118" t="str">
        <x:v>Active</x:v>
      </x:c>
      <x:c r="AI118"/>
      <x:c r="AJ118"/>
      <x:c r="AK118"/>
      <x:c r="AL118"/>
    </x:row>
    <x:row r="119">
      <x:c r="A119" t="s">
        <x:v>324</x:v>
      </x:c>
      <x:c r="B119" t="s">
        <x:v>314</x:v>
      </x:c>
      <x:c r="C119" t="s">
        <x:v>44</x:v>
      </x:c>
      <x:c r="D119">
        <x:v>45954</x:v>
      </x:c>
      <x:c r="E119" t="s">
        <x:v>45</x:v>
      </x:c>
      <x:c r="F119" t="s">
        <x:v>46</x:v>
      </x:c>
      <x:c r="G119">
        <x:v>21</x:v>
      </x:c>
      <x:c r="H119" t="s">
        <x:v>48</x:v>
      </x:c>
      <x:c r="I119">
        <x:v>11</x:v>
      </x:c>
      <x:c r="J119">
        <x:v>10</x:v>
      </x:c>
      <x:c r="K119">
        <x:v>2</x:v>
      </x:c>
      <x:c r="L119">
        <x:f t="shared" si="7"/>
        <x:v>0</x:v>
      </x:c>
      <x:c r="P119">
        <x:f t="shared" si="8"/>
        <x:v>0</x:v>
      </x:c>
      <x:c r="Q119">
        <x:f t="shared" si="9"/>
        <x:v>0</x:v>
      </x:c>
      <x:c r="R119">
        <x:f t="shared" si="10"/>
        <x:v>0</x:v>
      </x:c>
      <x:c r="S119">
        <x:f t="shared" si="11"/>
        <x:v>0</x:v>
      </x:c>
      <x:c r="T119" t="str">
        <x:f t="shared" si="12"/>
        <x:v>DerivedFromCount</x:v>
      </x:c>
      <x:c r="U119" t="str">
        <x:f>IF(COUNTIF(DailyProduction!$Q$5:$Q$100,B119)=1,"OK","CHECK")</x:f>
        <x:v>OK</x:v>
      </x:c>
      <x:c r="V119" t="str">
        <x:f t="shared" si="13"/>
        <x:v>OK</x:v>
      </x:c>
      <x:c r="W119" t="str">
        <x:f>IF(SUMIF($B$5:$B$914,B119,$S$5:$S$914)=SUMIF(DailyProduction!$Q$5:$Q$100,B119,DailyProduction!$R$5:$R$100),"OK","CHECK")</x:f>
        <x:v>OK</x:v>
      </x:c>
      <x:c r="X119" t="str">
        <x:v>PLC-PRD-JAR-720-L21</x:v>
      </x:c>
      <x:c r="Y119" t="str">
        <x:v>OK</x:v>
      </x:c>
      <x:c r="Z119" t="str">
        <x:v>OK</x:v>
      </x:c>
      <x:c r="AA119" t="n">
        <x:v>3</x:v>
      </x:c>
      <x:c r="AB119" t="n">
        <x:v>0</x:v>
      </x:c>
      <x:c r="AC119" t="str">
        <x:v>OK</x:v>
      </x:c>
      <x:c r="AD119" t="str">
        <x:v>OK</x:v>
      </x:c>
      <x:c r="AE119" t="str">
        <x:v>LOAD</x:v>
      </x:c>
      <x:c r="AF119" t="str">
        <x:v>02_Supervisor_Log(4).xlsx</x:v>
      </x:c>
      <x:c r="AG119" t="str">
        <x:v>ENH-20260830-01</x:v>
      </x:c>
      <x:c r="AH119" t="str">
        <x:v>Active</x:v>
      </x:c>
      <x:c r="AI119"/>
      <x:c r="AJ119"/>
      <x:c r="AK119"/>
      <x:c r="AL119"/>
    </x:row>
    <x:row r="120">
      <x:c r="A120" t="s">
        <x:v>325</x:v>
      </x:c>
      <x:c r="B120" t="s">
        <x:v>314</x:v>
      </x:c>
      <x:c r="C120" t="s">
        <x:v>44</x:v>
      </x:c>
      <x:c r="D120">
        <x:v>45954</x:v>
      </x:c>
      <x:c r="E120" t="s">
        <x:v>45</x:v>
      </x:c>
      <x:c r="F120" t="s">
        <x:v>46</x:v>
      </x:c>
      <x:c r="G120">
        <x:v>21</x:v>
      </x:c>
      <x:c r="H120" t="s">
        <x:v>48</x:v>
      </x:c>
      <x:c r="I120">
        <x:v>12</x:v>
      </x:c>
      <x:c r="J120">
        <x:v>10</x:v>
      </x:c>
      <x:c r="K120">
        <x:v>2</x:v>
      </x:c>
      <x:c r="L120">
        <x:f t="shared" si="7"/>
        <x:v>0</x:v>
      </x:c>
      <x:c r="P120">
        <x:f t="shared" si="8"/>
        <x:v>0</x:v>
      </x:c>
      <x:c r="Q120">
        <x:f t="shared" si="9"/>
        <x:v>0</x:v>
      </x:c>
      <x:c r="R120">
        <x:f t="shared" si="10"/>
        <x:v>0</x:v>
      </x:c>
      <x:c r="S120">
        <x:f t="shared" si="11"/>
        <x:v>0</x:v>
      </x:c>
      <x:c r="T120" t="str">
        <x:f t="shared" si="12"/>
        <x:v>DerivedFromCount</x:v>
      </x:c>
      <x:c r="U120" t="str">
        <x:f>IF(COUNTIF(DailyProduction!$Q$5:$Q$100,B120)=1,"OK","CHECK")</x:f>
        <x:v>OK</x:v>
      </x:c>
      <x:c r="V120" t="str">
        <x:f t="shared" si="13"/>
        <x:v>OK</x:v>
      </x:c>
      <x:c r="W120" t="str">
        <x:f>IF(SUMIF($B$5:$B$914,B120,$S$5:$S$914)=SUMIF(DailyProduction!$Q$5:$Q$100,B120,DailyProduction!$R$5:$R$100),"OK","CHECK")</x:f>
        <x:v>OK</x:v>
      </x:c>
      <x:c r="X120" t="str">
        <x:v>PLC-PRD-JAR-720-L21</x:v>
      </x:c>
      <x:c r="Y120" t="str">
        <x:v>OK</x:v>
      </x:c>
      <x:c r="Z120" t="str">
        <x:v>OK</x:v>
      </x:c>
      <x:c r="AA120" t="n">
        <x:v>3</x:v>
      </x:c>
      <x:c r="AB120" t="n">
        <x:v>0</x:v>
      </x:c>
      <x:c r="AC120" t="str">
        <x:v>OK</x:v>
      </x:c>
      <x:c r="AD120" t="str">
        <x:v>OK</x:v>
      </x:c>
      <x:c r="AE120" t="str">
        <x:v>LOAD</x:v>
      </x:c>
      <x:c r="AF120" t="str">
        <x:v>02_Supervisor_Log(4).xlsx</x:v>
      </x:c>
      <x:c r="AG120" t="str">
        <x:v>ENH-20260830-01</x:v>
      </x:c>
      <x:c r="AH120" t="str">
        <x:v>Active</x:v>
      </x:c>
      <x:c r="AI120"/>
      <x:c r="AJ120"/>
      <x:c r="AK120"/>
      <x:c r="AL120"/>
    </x:row>
    <x:row r="121">
      <x:c r="A121" t="s">
        <x:v>326</x:v>
      </x:c>
      <x:c r="B121" t="s">
        <x:v>314</x:v>
      </x:c>
      <x:c r="C121" t="s">
        <x:v>44</x:v>
      </x:c>
      <x:c r="D121">
        <x:v>45954</x:v>
      </x:c>
      <x:c r="E121" t="s">
        <x:v>45</x:v>
      </x:c>
      <x:c r="F121" t="s">
        <x:v>46</x:v>
      </x:c>
      <x:c r="G121">
        <x:v>21</x:v>
      </x:c>
      <x:c r="H121" t="s">
        <x:v>48</x:v>
      </x:c>
      <x:c r="I121">
        <x:v>13</x:v>
      </x:c>
      <x:c r="J121">
        <x:v>10</x:v>
      </x:c>
      <x:c r="K121">
        <x:v>2</x:v>
      </x:c>
      <x:c r="L121">
        <x:f t="shared" si="7"/>
        <x:v>0</x:v>
      </x:c>
      <x:c r="P121">
        <x:f t="shared" si="8"/>
        <x:v>0</x:v>
      </x:c>
      <x:c r="Q121">
        <x:f t="shared" si="9"/>
        <x:v>0</x:v>
      </x:c>
      <x:c r="R121">
        <x:f t="shared" si="10"/>
        <x:v>0</x:v>
      </x:c>
      <x:c r="S121">
        <x:f t="shared" si="11"/>
        <x:v>0</x:v>
      </x:c>
      <x:c r="T121" t="str">
        <x:f t="shared" si="12"/>
        <x:v>DerivedFromCount</x:v>
      </x:c>
      <x:c r="U121" t="str">
        <x:f>IF(COUNTIF(DailyProduction!$Q$5:$Q$100,B121)=1,"OK","CHECK")</x:f>
        <x:v>OK</x:v>
      </x:c>
      <x:c r="V121" t="str">
        <x:f t="shared" si="13"/>
        <x:v>OK</x:v>
      </x:c>
      <x:c r="W121" t="str">
        <x:f>IF(SUMIF($B$5:$B$914,B121,$S$5:$S$914)=SUMIF(DailyProduction!$Q$5:$Q$100,B121,DailyProduction!$R$5:$R$100),"OK","CHECK")</x:f>
        <x:v>OK</x:v>
      </x:c>
      <x:c r="X121" t="str">
        <x:v>PLC-PRD-JAR-720-L21</x:v>
      </x:c>
      <x:c r="Y121" t="str">
        <x:v>OK</x:v>
      </x:c>
      <x:c r="Z121" t="str">
        <x:v>OK</x:v>
      </x:c>
      <x:c r="AA121" t="n">
        <x:v>3</x:v>
      </x:c>
      <x:c r="AB121" t="n">
        <x:v>0</x:v>
      </x:c>
      <x:c r="AC121" t="str">
        <x:v>OK</x:v>
      </x:c>
      <x:c r="AD121" t="str">
        <x:v>OK</x:v>
      </x:c>
      <x:c r="AE121" t="str">
        <x:v>LOAD</x:v>
      </x:c>
      <x:c r="AF121" t="str">
        <x:v>02_Supervisor_Log(4).xlsx</x:v>
      </x:c>
      <x:c r="AG121" t="str">
        <x:v>ENH-20260830-01</x:v>
      </x:c>
      <x:c r="AH121" t="str">
        <x:v>Active</x:v>
      </x:c>
      <x:c r="AI121"/>
      <x:c r="AJ121"/>
      <x:c r="AK121"/>
      <x:c r="AL121"/>
    </x:row>
    <x:row r="122">
      <x:c r="A122" t="s">
        <x:v>327</x:v>
      </x:c>
      <x:c r="B122" t="s">
        <x:v>328</x:v>
      </x:c>
      <x:c r="C122" t="s">
        <x:v>44</x:v>
      </x:c>
      <x:c r="D122">
        <x:v>45954</x:v>
      </x:c>
      <x:c r="E122" t="s">
        <x:v>187</x:v>
      </x:c>
      <x:c r="F122" t="s">
        <x:v>51</x:v>
      </x:c>
      <x:c r="G122">
        <x:v>21</x:v>
      </x:c>
      <x:c r="H122" t="s">
        <x:v>48</x:v>
      </x:c>
      <x:c r="I122">
        <x:v>1</x:v>
      </x:c>
      <x:c r="J122">
        <x:v>10</x:v>
      </x:c>
      <x:c r="K122">
        <x:v>2</x:v>
      </x:c>
      <x:c r="L122">
        <x:f t="shared" si="7"/>
        <x:v>1</x:v>
      </x:c>
      <x:c r="P122">
        <x:f t="shared" si="8"/>
        <x:v>1</x:v>
      </x:c>
      <x:c r="Q122">
        <x:f t="shared" si="9"/>
        <x:v>1</x:v>
      </x:c>
      <x:c r="R122">
        <x:f t="shared" si="10"/>
        <x:v>0</x:v>
      </x:c>
      <x:c r="S122">
        <x:f t="shared" si="11"/>
        <x:v>2</x:v>
      </x:c>
      <x:c r="T122" t="str">
        <x:f t="shared" si="12"/>
        <x:v>DerivedFromCount</x:v>
      </x:c>
      <x:c r="U122" t="str">
        <x:f>IF(COUNTIF(DailyProduction!$Q$5:$Q$100,B122)=1,"OK","CHECK")</x:f>
        <x:v>OK</x:v>
      </x:c>
      <x:c r="V122" t="str">
        <x:f t="shared" si="13"/>
        <x:v>OK</x:v>
      </x:c>
      <x:c r="W122" t="str">
        <x:f>IF(SUMIF($B$5:$B$914,B122,$S$5:$S$914)=SUMIF(DailyProduction!$Q$5:$Q$100,B122,DailyProduction!$R$5:$R$100),"OK","CHECK")</x:f>
        <x:v>OK</x:v>
      </x:c>
      <x:c r="X122" t="str">
        <x:v>PLC-PRD-JAR-720-L21</x:v>
      </x:c>
      <x:c r="Y122" t="str">
        <x:v>OK</x:v>
      </x:c>
      <x:c r="Z122" t="str">
        <x:v>OK</x:v>
      </x:c>
      <x:c r="AA122" t="n">
        <x:v>3</x:v>
      </x:c>
      <x:c r="AB122" t="n">
        <x:v>2</x:v>
      </x:c>
      <x:c r="AC122" t="str">
        <x:v>OK</x:v>
      </x:c>
      <x:c r="AD122" t="str">
        <x:v>OK</x:v>
      </x:c>
      <x:c r="AE122" t="str">
        <x:v>LOAD</x:v>
      </x:c>
      <x:c r="AF122" t="str">
        <x:v>02_Supervisor_Log(4).xlsx</x:v>
      </x:c>
      <x:c r="AG122" t="str">
        <x:v>ENH-20260830-01</x:v>
      </x:c>
      <x:c r="AH122" t="str">
        <x:v>Active</x:v>
      </x:c>
      <x:c r="AI122"/>
      <x:c r="AJ122"/>
      <x:c r="AK122"/>
      <x:c r="AL122"/>
    </x:row>
    <x:row r="123">
      <x:c r="A123" t="s">
        <x:v>329</x:v>
      </x:c>
      <x:c r="B123" t="s">
        <x:v>328</x:v>
      </x:c>
      <x:c r="C123" t="s">
        <x:v>44</x:v>
      </x:c>
      <x:c r="D123">
        <x:v>45954</x:v>
      </x:c>
      <x:c r="E123" t="s">
        <x:v>187</x:v>
      </x:c>
      <x:c r="F123" t="s">
        <x:v>51</x:v>
      </x:c>
      <x:c r="G123">
        <x:v>21</x:v>
      </x:c>
      <x:c r="H123" t="s">
        <x:v>48</x:v>
      </x:c>
      <x:c r="I123">
        <x:v>2</x:v>
      </x:c>
      <x:c r="J123">
        <x:v>10</x:v>
      </x:c>
      <x:c r="K123">
        <x:v>2</x:v>
      </x:c>
      <x:c r="L123">
        <x:f t="shared" si="7"/>
        <x:v>1</x:v>
      </x:c>
      <x:c r="P123">
        <x:f t="shared" si="8"/>
        <x:v>1</x:v>
      </x:c>
      <x:c r="Q123">
        <x:f t="shared" si="9"/>
        <x:v>1</x:v>
      </x:c>
      <x:c r="R123">
        <x:f t="shared" si="10"/>
        <x:v>0</x:v>
      </x:c>
      <x:c r="S123">
        <x:f t="shared" si="11"/>
        <x:v>2</x:v>
      </x:c>
      <x:c r="T123" t="str">
        <x:f t="shared" si="12"/>
        <x:v>DerivedFromCount</x:v>
      </x:c>
      <x:c r="U123" t="str">
        <x:f>IF(COUNTIF(DailyProduction!$Q$5:$Q$100,B123)=1,"OK","CHECK")</x:f>
        <x:v>OK</x:v>
      </x:c>
      <x:c r="V123" t="str">
        <x:f t="shared" si="13"/>
        <x:v>OK</x:v>
      </x:c>
      <x:c r="W123" t="str">
        <x:f>IF(SUMIF($B$5:$B$914,B123,$S$5:$S$914)=SUMIF(DailyProduction!$Q$5:$Q$100,B123,DailyProduction!$R$5:$R$100),"OK","CHECK")</x:f>
        <x:v>OK</x:v>
      </x:c>
      <x:c r="X123" t="str">
        <x:v>PLC-PRD-JAR-720-L21</x:v>
      </x:c>
      <x:c r="Y123" t="str">
        <x:v>OK</x:v>
      </x:c>
      <x:c r="Z123" t="str">
        <x:v>OK</x:v>
      </x:c>
      <x:c r="AA123" t="n">
        <x:v>3</x:v>
      </x:c>
      <x:c r="AB123" t="n">
        <x:v>2</x:v>
      </x:c>
      <x:c r="AC123" t="str">
        <x:v>OK</x:v>
      </x:c>
      <x:c r="AD123" t="str">
        <x:v>OK</x:v>
      </x:c>
      <x:c r="AE123" t="str">
        <x:v>LOAD</x:v>
      </x:c>
      <x:c r="AF123" t="str">
        <x:v>02_Supervisor_Log(4).xlsx</x:v>
      </x:c>
      <x:c r="AG123" t="str">
        <x:v>ENH-20260830-01</x:v>
      </x:c>
      <x:c r="AH123" t="str">
        <x:v>Active</x:v>
      </x:c>
      <x:c r="AI123"/>
      <x:c r="AJ123"/>
      <x:c r="AK123"/>
      <x:c r="AL123"/>
    </x:row>
    <x:row r="124">
      <x:c r="A124" t="s">
        <x:v>330</x:v>
      </x:c>
      <x:c r="B124" t="s">
        <x:v>328</x:v>
      </x:c>
      <x:c r="C124" t="s">
        <x:v>44</x:v>
      </x:c>
      <x:c r="D124">
        <x:v>45954</x:v>
      </x:c>
      <x:c r="E124" t="s">
        <x:v>187</x:v>
      </x:c>
      <x:c r="F124" t="s">
        <x:v>51</x:v>
      </x:c>
      <x:c r="G124">
        <x:v>21</x:v>
      </x:c>
      <x:c r="H124" t="s">
        <x:v>48</x:v>
      </x:c>
      <x:c r="I124">
        <x:v>3</x:v>
      </x:c>
      <x:c r="J124">
        <x:v>10</x:v>
      </x:c>
      <x:c r="K124">
        <x:v>2</x:v>
      </x:c>
      <x:c r="L124">
        <x:f t="shared" si="7"/>
        <x:v>1</x:v>
      </x:c>
      <x:c r="P124">
        <x:f t="shared" si="8"/>
        <x:v>1</x:v>
      </x:c>
      <x:c r="Q124">
        <x:f t="shared" si="9"/>
        <x:v>1</x:v>
      </x:c>
      <x:c r="R124">
        <x:f t="shared" si="10"/>
        <x:v>0</x:v>
      </x:c>
      <x:c r="S124">
        <x:f t="shared" si="11"/>
        <x:v>2</x:v>
      </x:c>
      <x:c r="T124" t="str">
        <x:f t="shared" si="12"/>
        <x:v>DerivedFromCount</x:v>
      </x:c>
      <x:c r="U124" t="str">
        <x:f>IF(COUNTIF(DailyProduction!$Q$5:$Q$100,B124)=1,"OK","CHECK")</x:f>
        <x:v>OK</x:v>
      </x:c>
      <x:c r="V124" t="str">
        <x:f t="shared" si="13"/>
        <x:v>OK</x:v>
      </x:c>
      <x:c r="W124" t="str">
        <x:f>IF(SUMIF($B$5:$B$914,B124,$S$5:$S$914)=SUMIF(DailyProduction!$Q$5:$Q$100,B124,DailyProduction!$R$5:$R$100),"OK","CHECK")</x:f>
        <x:v>OK</x:v>
      </x:c>
      <x:c r="X124" t="str">
        <x:v>PLC-PRD-JAR-720-L21</x:v>
      </x:c>
      <x:c r="Y124" t="str">
        <x:v>OK</x:v>
      </x:c>
      <x:c r="Z124" t="str">
        <x:v>OK</x:v>
      </x:c>
      <x:c r="AA124" t="n">
        <x:v>3</x:v>
      </x:c>
      <x:c r="AB124" t="n">
        <x:v>2</x:v>
      </x:c>
      <x:c r="AC124" t="str">
        <x:v>OK</x:v>
      </x:c>
      <x:c r="AD124" t="str">
        <x:v>OK</x:v>
      </x:c>
      <x:c r="AE124" t="str">
        <x:v>LOAD</x:v>
      </x:c>
      <x:c r="AF124" t="str">
        <x:v>02_Supervisor_Log(4).xlsx</x:v>
      </x:c>
      <x:c r="AG124" t="str">
        <x:v>ENH-20260830-01</x:v>
      </x:c>
      <x:c r="AH124" t="str">
        <x:v>Active</x:v>
      </x:c>
      <x:c r="AI124"/>
      <x:c r="AJ124"/>
      <x:c r="AK124"/>
      <x:c r="AL124"/>
    </x:row>
    <x:row r="125">
      <x:c r="A125" t="s">
        <x:v>331</x:v>
      </x:c>
      <x:c r="B125" t="s">
        <x:v>328</x:v>
      </x:c>
      <x:c r="C125" t="s">
        <x:v>44</x:v>
      </x:c>
      <x:c r="D125">
        <x:v>45954</x:v>
      </x:c>
      <x:c r="E125" t="s">
        <x:v>187</x:v>
      </x:c>
      <x:c r="F125" t="s">
        <x:v>51</x:v>
      </x:c>
      <x:c r="G125">
        <x:v>21</x:v>
      </x:c>
      <x:c r="H125" t="s">
        <x:v>48</x:v>
      </x:c>
      <x:c r="I125">
        <x:v>4</x:v>
      </x:c>
      <x:c r="J125">
        <x:v>10</x:v>
      </x:c>
      <x:c r="K125">
        <x:v>2</x:v>
      </x:c>
      <x:c r="L125">
        <x:f t="shared" si="7"/>
        <x:v>1</x:v>
      </x:c>
      <x:c r="P125">
        <x:f t="shared" si="8"/>
        <x:v>1</x:v>
      </x:c>
      <x:c r="Q125">
        <x:f t="shared" si="9"/>
        <x:v>1</x:v>
      </x:c>
      <x:c r="R125">
        <x:f t="shared" si="10"/>
        <x:v>0</x:v>
      </x:c>
      <x:c r="S125">
        <x:f t="shared" si="11"/>
        <x:v>2</x:v>
      </x:c>
      <x:c r="T125" t="str">
        <x:f t="shared" si="12"/>
        <x:v>DerivedFromCount</x:v>
      </x:c>
      <x:c r="U125" t="str">
        <x:f>IF(COUNTIF(DailyProduction!$Q$5:$Q$100,B125)=1,"OK","CHECK")</x:f>
        <x:v>OK</x:v>
      </x:c>
      <x:c r="V125" t="str">
        <x:f t="shared" si="13"/>
        <x:v>OK</x:v>
      </x:c>
      <x:c r="W125" t="str">
        <x:f>IF(SUMIF($B$5:$B$914,B125,$S$5:$S$914)=SUMIF(DailyProduction!$Q$5:$Q$100,B125,DailyProduction!$R$5:$R$100),"OK","CHECK")</x:f>
        <x:v>OK</x:v>
      </x:c>
      <x:c r="X125" t="str">
        <x:v>PLC-PRD-JAR-720-L21</x:v>
      </x:c>
      <x:c r="Y125" t="str">
        <x:v>OK</x:v>
      </x:c>
      <x:c r="Z125" t="str">
        <x:v>OK</x:v>
      </x:c>
      <x:c r="AA125" t="n">
        <x:v>3</x:v>
      </x:c>
      <x:c r="AB125" t="n">
        <x:v>2</x:v>
      </x:c>
      <x:c r="AC125" t="str">
        <x:v>OK</x:v>
      </x:c>
      <x:c r="AD125" t="str">
        <x:v>OK</x:v>
      </x:c>
      <x:c r="AE125" t="str">
        <x:v>LOAD</x:v>
      </x:c>
      <x:c r="AF125" t="str">
        <x:v>02_Supervisor_Log(4).xlsx</x:v>
      </x:c>
      <x:c r="AG125" t="str">
        <x:v>ENH-20260830-01</x:v>
      </x:c>
      <x:c r="AH125" t="str">
        <x:v>Active</x:v>
      </x:c>
      <x:c r="AI125"/>
      <x:c r="AJ125"/>
      <x:c r="AK125"/>
      <x:c r="AL125"/>
    </x:row>
    <x:row r="126">
      <x:c r="A126" t="s">
        <x:v>332</x:v>
      </x:c>
      <x:c r="B126" t="s">
        <x:v>328</x:v>
      </x:c>
      <x:c r="C126" t="s">
        <x:v>44</x:v>
      </x:c>
      <x:c r="D126">
        <x:v>45954</x:v>
      </x:c>
      <x:c r="E126" t="s">
        <x:v>187</x:v>
      </x:c>
      <x:c r="F126" t="s">
        <x:v>51</x:v>
      </x:c>
      <x:c r="G126">
        <x:v>21</x:v>
      </x:c>
      <x:c r="H126" t="s">
        <x:v>48</x:v>
      </x:c>
      <x:c r="I126">
        <x:v>5</x:v>
      </x:c>
      <x:c r="J126">
        <x:v>10</x:v>
      </x:c>
      <x:c r="K126">
        <x:v>2</x:v>
      </x:c>
      <x:c r="L126">
        <x:f t="shared" si="7"/>
        <x:v>1</x:v>
      </x:c>
      <x:c r="P126">
        <x:f t="shared" si="8"/>
        <x:v>1</x:v>
      </x:c>
      <x:c r="Q126">
        <x:f t="shared" si="9"/>
        <x:v>1</x:v>
      </x:c>
      <x:c r="R126">
        <x:f t="shared" si="10"/>
        <x:v>0</x:v>
      </x:c>
      <x:c r="S126">
        <x:f t="shared" si="11"/>
        <x:v>2</x:v>
      </x:c>
      <x:c r="T126" t="str">
        <x:f t="shared" si="12"/>
        <x:v>DerivedFromCount</x:v>
      </x:c>
      <x:c r="U126" t="str">
        <x:f>IF(COUNTIF(DailyProduction!$Q$5:$Q$100,B126)=1,"OK","CHECK")</x:f>
        <x:v>OK</x:v>
      </x:c>
      <x:c r="V126" t="str">
        <x:f t="shared" si="13"/>
        <x:v>OK</x:v>
      </x:c>
      <x:c r="W126" t="str">
        <x:f>IF(SUMIF($B$5:$B$914,B126,$S$5:$S$914)=SUMIF(DailyProduction!$Q$5:$Q$100,B126,DailyProduction!$R$5:$R$100),"OK","CHECK")</x:f>
        <x:v>OK</x:v>
      </x:c>
      <x:c r="X126" t="str">
        <x:v>PLC-PRD-JAR-720-L21</x:v>
      </x:c>
      <x:c r="Y126" t="str">
        <x:v>OK</x:v>
      </x:c>
      <x:c r="Z126" t="str">
        <x:v>OK</x:v>
      </x:c>
      <x:c r="AA126" t="n">
        <x:v>3</x:v>
      </x:c>
      <x:c r="AB126" t="n">
        <x:v>2</x:v>
      </x:c>
      <x:c r="AC126" t="str">
        <x:v>OK</x:v>
      </x:c>
      <x:c r="AD126" t="str">
        <x:v>OK</x:v>
      </x:c>
      <x:c r="AE126" t="str">
        <x:v>LOAD</x:v>
      </x:c>
      <x:c r="AF126" t="str">
        <x:v>02_Supervisor_Log(4).xlsx</x:v>
      </x:c>
      <x:c r="AG126" t="str">
        <x:v>ENH-20260830-01</x:v>
      </x:c>
      <x:c r="AH126" t="str">
        <x:v>Active</x:v>
      </x:c>
      <x:c r="AI126"/>
      <x:c r="AJ126"/>
      <x:c r="AK126"/>
      <x:c r="AL126"/>
    </x:row>
    <x:row r="127">
      <x:c r="A127" t="s">
        <x:v>333</x:v>
      </x:c>
      <x:c r="B127" t="s">
        <x:v>328</x:v>
      </x:c>
      <x:c r="C127" t="s">
        <x:v>44</x:v>
      </x:c>
      <x:c r="D127">
        <x:v>45954</x:v>
      </x:c>
      <x:c r="E127" t="s">
        <x:v>187</x:v>
      </x:c>
      <x:c r="F127" t="s">
        <x:v>51</x:v>
      </x:c>
      <x:c r="G127">
        <x:v>21</x:v>
      </x:c>
      <x:c r="H127" t="s">
        <x:v>48</x:v>
      </x:c>
      <x:c r="I127">
        <x:v>6</x:v>
      </x:c>
      <x:c r="J127">
        <x:v>10</x:v>
      </x:c>
      <x:c r="K127">
        <x:v>2</x:v>
      </x:c>
      <x:c r="L127">
        <x:f t="shared" si="7"/>
        <x:v>1</x:v>
      </x:c>
      <x:c r="P127">
        <x:f t="shared" si="8"/>
        <x:v>1</x:v>
      </x:c>
      <x:c r="Q127">
        <x:f t="shared" si="9"/>
        <x:v>1</x:v>
      </x:c>
      <x:c r="R127">
        <x:f t="shared" si="10"/>
        <x:v>0</x:v>
      </x:c>
      <x:c r="S127">
        <x:f t="shared" si="11"/>
        <x:v>2</x:v>
      </x:c>
      <x:c r="T127" t="str">
        <x:f t="shared" si="12"/>
        <x:v>DerivedFromCount</x:v>
      </x:c>
      <x:c r="U127" t="str">
        <x:f>IF(COUNTIF(DailyProduction!$Q$5:$Q$100,B127)=1,"OK","CHECK")</x:f>
        <x:v>OK</x:v>
      </x:c>
      <x:c r="V127" t="str">
        <x:f t="shared" si="13"/>
        <x:v>OK</x:v>
      </x:c>
      <x:c r="W127" t="str">
        <x:f>IF(SUMIF($B$5:$B$914,B127,$S$5:$S$914)=SUMIF(DailyProduction!$Q$5:$Q$100,B127,DailyProduction!$R$5:$R$100),"OK","CHECK")</x:f>
        <x:v>OK</x:v>
      </x:c>
      <x:c r="X127" t="str">
        <x:v>PLC-PRD-JAR-720-L21</x:v>
      </x:c>
      <x:c r="Y127" t="str">
        <x:v>OK</x:v>
      </x:c>
      <x:c r="Z127" t="str">
        <x:v>OK</x:v>
      </x:c>
      <x:c r="AA127" t="n">
        <x:v>3</x:v>
      </x:c>
      <x:c r="AB127" t="n">
        <x:v>2</x:v>
      </x:c>
      <x:c r="AC127" t="str">
        <x:v>OK</x:v>
      </x:c>
      <x:c r="AD127" t="str">
        <x:v>OK</x:v>
      </x:c>
      <x:c r="AE127" t="str">
        <x:v>LOAD</x:v>
      </x:c>
      <x:c r="AF127" t="str">
        <x:v>02_Supervisor_Log(4).xlsx</x:v>
      </x:c>
      <x:c r="AG127" t="str">
        <x:v>ENH-20260830-01</x:v>
      </x:c>
      <x:c r="AH127" t="str">
        <x:v>Active</x:v>
      </x:c>
      <x:c r="AI127"/>
      <x:c r="AJ127"/>
      <x:c r="AK127"/>
      <x:c r="AL127"/>
    </x:row>
    <x:row r="128">
      <x:c r="A128" t="s">
        <x:v>334</x:v>
      </x:c>
      <x:c r="B128" t="s">
        <x:v>328</x:v>
      </x:c>
      <x:c r="C128" t="s">
        <x:v>44</x:v>
      </x:c>
      <x:c r="D128">
        <x:v>45954</x:v>
      </x:c>
      <x:c r="E128" t="s">
        <x:v>187</x:v>
      </x:c>
      <x:c r="F128" t="s">
        <x:v>51</x:v>
      </x:c>
      <x:c r="G128">
        <x:v>21</x:v>
      </x:c>
      <x:c r="H128" t="s">
        <x:v>48</x:v>
      </x:c>
      <x:c r="I128">
        <x:v>7</x:v>
      </x:c>
      <x:c r="J128">
        <x:v>10</x:v>
      </x:c>
      <x:c r="K128">
        <x:v>2</x:v>
      </x:c>
      <x:c r="L128">
        <x:f t="shared" si="7"/>
        <x:v>1</x:v>
      </x:c>
      <x:c r="P128">
        <x:f t="shared" si="8"/>
        <x:v>1</x:v>
      </x:c>
      <x:c r="Q128">
        <x:f t="shared" si="9"/>
        <x:v>1</x:v>
      </x:c>
      <x:c r="R128">
        <x:f t="shared" si="10"/>
        <x:v>0</x:v>
      </x:c>
      <x:c r="S128">
        <x:f t="shared" si="11"/>
        <x:v>2</x:v>
      </x:c>
      <x:c r="T128" t="str">
        <x:f t="shared" si="12"/>
        <x:v>DerivedFromCount</x:v>
      </x:c>
      <x:c r="U128" t="str">
        <x:f>IF(COUNTIF(DailyProduction!$Q$5:$Q$100,B128)=1,"OK","CHECK")</x:f>
        <x:v>OK</x:v>
      </x:c>
      <x:c r="V128" t="str">
        <x:f t="shared" si="13"/>
        <x:v>OK</x:v>
      </x:c>
      <x:c r="W128" t="str">
        <x:f>IF(SUMIF($B$5:$B$914,B128,$S$5:$S$914)=SUMIF(DailyProduction!$Q$5:$Q$100,B128,DailyProduction!$R$5:$R$100),"OK","CHECK")</x:f>
        <x:v>OK</x:v>
      </x:c>
      <x:c r="X128" t="str">
        <x:v>PLC-PRD-JAR-720-L21</x:v>
      </x:c>
      <x:c r="Y128" t="str">
        <x:v>OK</x:v>
      </x:c>
      <x:c r="Z128" t="str">
        <x:v>OK</x:v>
      </x:c>
      <x:c r="AA128" t="n">
        <x:v>3</x:v>
      </x:c>
      <x:c r="AB128" t="n">
        <x:v>2</x:v>
      </x:c>
      <x:c r="AC128" t="str">
        <x:v>OK</x:v>
      </x:c>
      <x:c r="AD128" t="str">
        <x:v>OK</x:v>
      </x:c>
      <x:c r="AE128" t="str">
        <x:v>LOAD</x:v>
      </x:c>
      <x:c r="AF128" t="str">
        <x:v>02_Supervisor_Log(4).xlsx</x:v>
      </x:c>
      <x:c r="AG128" t="str">
        <x:v>ENH-20260830-01</x:v>
      </x:c>
      <x:c r="AH128" t="str">
        <x:v>Active</x:v>
      </x:c>
      <x:c r="AI128"/>
      <x:c r="AJ128"/>
      <x:c r="AK128"/>
      <x:c r="AL128"/>
    </x:row>
    <x:row r="129">
      <x:c r="A129" t="s">
        <x:v>335</x:v>
      </x:c>
      <x:c r="B129" t="s">
        <x:v>328</x:v>
      </x:c>
      <x:c r="C129" t="s">
        <x:v>44</x:v>
      </x:c>
      <x:c r="D129">
        <x:v>45954</x:v>
      </x:c>
      <x:c r="E129" t="s">
        <x:v>187</x:v>
      </x:c>
      <x:c r="F129" t="s">
        <x:v>51</x:v>
      </x:c>
      <x:c r="G129">
        <x:v>21</x:v>
      </x:c>
      <x:c r="H129" t="s">
        <x:v>48</x:v>
      </x:c>
      <x:c r="I129">
        <x:v>8</x:v>
      </x:c>
      <x:c r="J129">
        <x:v>10</x:v>
      </x:c>
      <x:c r="K129">
        <x:v>2</x:v>
      </x:c>
      <x:c r="L129">
        <x:f t="shared" si="7"/>
        <x:v>1</x:v>
      </x:c>
      <x:c r="P129">
        <x:f t="shared" si="8"/>
        <x:v>1</x:v>
      </x:c>
      <x:c r="Q129">
        <x:f t="shared" si="9"/>
        <x:v>1</x:v>
      </x:c>
      <x:c r="R129">
        <x:f t="shared" si="10"/>
        <x:v>0</x:v>
      </x:c>
      <x:c r="S129">
        <x:f t="shared" si="11"/>
        <x:v>2</x:v>
      </x:c>
      <x:c r="T129" t="str">
        <x:f t="shared" si="12"/>
        <x:v>DerivedFromCount</x:v>
      </x:c>
      <x:c r="U129" t="str">
        <x:f>IF(COUNTIF(DailyProduction!$Q$5:$Q$100,B129)=1,"OK","CHECK")</x:f>
        <x:v>OK</x:v>
      </x:c>
      <x:c r="V129" t="str">
        <x:f t="shared" si="13"/>
        <x:v>OK</x:v>
      </x:c>
      <x:c r="W129" t="str">
        <x:f>IF(SUMIF($B$5:$B$914,B129,$S$5:$S$914)=SUMIF(DailyProduction!$Q$5:$Q$100,B129,DailyProduction!$R$5:$R$100),"OK","CHECK")</x:f>
        <x:v>OK</x:v>
      </x:c>
      <x:c r="X129" t="str">
        <x:v>PLC-PRD-JAR-720-L21</x:v>
      </x:c>
      <x:c r="Y129" t="str">
        <x:v>OK</x:v>
      </x:c>
      <x:c r="Z129" t="str">
        <x:v>OK</x:v>
      </x:c>
      <x:c r="AA129" t="n">
        <x:v>3</x:v>
      </x:c>
      <x:c r="AB129" t="n">
        <x:v>2</x:v>
      </x:c>
      <x:c r="AC129" t="str">
        <x:v>OK</x:v>
      </x:c>
      <x:c r="AD129" t="str">
        <x:v>OK</x:v>
      </x:c>
      <x:c r="AE129" t="str">
        <x:v>LOAD</x:v>
      </x:c>
      <x:c r="AF129" t="str">
        <x:v>02_Supervisor_Log(4).xlsx</x:v>
      </x:c>
      <x:c r="AG129" t="str">
        <x:v>ENH-20260830-01</x:v>
      </x:c>
      <x:c r="AH129" t="str">
        <x:v>Active</x:v>
      </x:c>
      <x:c r="AI129"/>
      <x:c r="AJ129"/>
      <x:c r="AK129"/>
      <x:c r="AL129"/>
    </x:row>
    <x:row r="130">
      <x:c r="A130" t="s">
        <x:v>336</x:v>
      </x:c>
      <x:c r="B130" t="s">
        <x:v>328</x:v>
      </x:c>
      <x:c r="C130" t="s">
        <x:v>44</x:v>
      </x:c>
      <x:c r="D130">
        <x:v>45954</x:v>
      </x:c>
      <x:c r="E130" t="s">
        <x:v>187</x:v>
      </x:c>
      <x:c r="F130" t="s">
        <x:v>51</x:v>
      </x:c>
      <x:c r="G130">
        <x:v>21</x:v>
      </x:c>
      <x:c r="H130" t="s">
        <x:v>48</x:v>
      </x:c>
      <x:c r="I130">
        <x:v>9</x:v>
      </x:c>
      <x:c r="J130">
        <x:v>10</x:v>
      </x:c>
      <x:c r="K130">
        <x:v>2</x:v>
      </x:c>
      <x:c r="L130">
        <x:f t="shared" si="7"/>
        <x:v>1</x:v>
      </x:c>
      <x:c r="P130">
        <x:f t="shared" si="8"/>
        <x:v>1</x:v>
      </x:c>
      <x:c r="Q130">
        <x:f t="shared" si="9"/>
        <x:v>1</x:v>
      </x:c>
      <x:c r="R130">
        <x:f t="shared" si="10"/>
        <x:v>0</x:v>
      </x:c>
      <x:c r="S130">
        <x:f t="shared" si="11"/>
        <x:v>2</x:v>
      </x:c>
      <x:c r="T130" t="str">
        <x:f t="shared" si="12"/>
        <x:v>DerivedFromCount</x:v>
      </x:c>
      <x:c r="U130" t="str">
        <x:f>IF(COUNTIF(DailyProduction!$Q$5:$Q$100,B130)=1,"OK","CHECK")</x:f>
        <x:v>OK</x:v>
      </x:c>
      <x:c r="V130" t="str">
        <x:f t="shared" si="13"/>
        <x:v>OK</x:v>
      </x:c>
      <x:c r="W130" t="str">
        <x:f>IF(SUMIF($B$5:$B$914,B130,$S$5:$S$914)=SUMIF(DailyProduction!$Q$5:$Q$100,B130,DailyProduction!$R$5:$R$100),"OK","CHECK")</x:f>
        <x:v>OK</x:v>
      </x:c>
      <x:c r="X130" t="str">
        <x:v>PLC-PRD-JAR-720-L21</x:v>
      </x:c>
      <x:c r="Y130" t="str">
        <x:v>OK</x:v>
      </x:c>
      <x:c r="Z130" t="str">
        <x:v>OK</x:v>
      </x:c>
      <x:c r="AA130" t="n">
        <x:v>3</x:v>
      </x:c>
      <x:c r="AB130" t="n">
        <x:v>2</x:v>
      </x:c>
      <x:c r="AC130" t="str">
        <x:v>OK</x:v>
      </x:c>
      <x:c r="AD130" t="str">
        <x:v>OK</x:v>
      </x:c>
      <x:c r="AE130" t="str">
        <x:v>LOAD</x:v>
      </x:c>
      <x:c r="AF130" t="str">
        <x:v>02_Supervisor_Log(4).xlsx</x:v>
      </x:c>
      <x:c r="AG130" t="str">
        <x:v>ENH-20260830-01</x:v>
      </x:c>
      <x:c r="AH130" t="str">
        <x:v>Active</x:v>
      </x:c>
      <x:c r="AI130"/>
      <x:c r="AJ130"/>
      <x:c r="AK130"/>
      <x:c r="AL130"/>
    </x:row>
    <x:row r="131">
      <x:c r="A131" t="s">
        <x:v>337</x:v>
      </x:c>
      <x:c r="B131" t="s">
        <x:v>328</x:v>
      </x:c>
      <x:c r="C131" t="s">
        <x:v>44</x:v>
      </x:c>
      <x:c r="D131">
        <x:v>45954</x:v>
      </x:c>
      <x:c r="E131" t="s">
        <x:v>187</x:v>
      </x:c>
      <x:c r="F131" t="s">
        <x:v>51</x:v>
      </x:c>
      <x:c r="G131">
        <x:v>21</x:v>
      </x:c>
      <x:c r="H131" t="s">
        <x:v>48</x:v>
      </x:c>
      <x:c r="I131">
        <x:v>10</x:v>
      </x:c>
      <x:c r="J131">
        <x:v>10</x:v>
      </x:c>
      <x:c r="K131">
        <x:v>2</x:v>
      </x:c>
      <x:c r="L131">
        <x:f t="shared" si="7"/>
        <x:v>1</x:v>
      </x:c>
      <x:c r="P131">
        <x:f t="shared" si="8"/>
        <x:v>1</x:v>
      </x:c>
      <x:c r="Q131">
        <x:f t="shared" si="9"/>
        <x:v>1</x:v>
      </x:c>
      <x:c r="R131">
        <x:f t="shared" si="10"/>
        <x:v>0</x:v>
      </x:c>
      <x:c r="S131">
        <x:f t="shared" si="11"/>
        <x:v>2</x:v>
      </x:c>
      <x:c r="T131" t="str">
        <x:f t="shared" si="12"/>
        <x:v>DerivedFromCount</x:v>
      </x:c>
      <x:c r="U131" t="str">
        <x:f>IF(COUNTIF(DailyProduction!$Q$5:$Q$100,B131)=1,"OK","CHECK")</x:f>
        <x:v>OK</x:v>
      </x:c>
      <x:c r="V131" t="str">
        <x:f t="shared" si="13"/>
        <x:v>OK</x:v>
      </x:c>
      <x:c r="W131" t="str">
        <x:f>IF(SUMIF($B$5:$B$914,B131,$S$5:$S$914)=SUMIF(DailyProduction!$Q$5:$Q$100,B131,DailyProduction!$R$5:$R$100),"OK","CHECK")</x:f>
        <x:v>OK</x:v>
      </x:c>
      <x:c r="X131" t="str">
        <x:v>PLC-PRD-JAR-720-L21</x:v>
      </x:c>
      <x:c r="Y131" t="str">
        <x:v>OK</x:v>
      </x:c>
      <x:c r="Z131" t="str">
        <x:v>OK</x:v>
      </x:c>
      <x:c r="AA131" t="n">
        <x:v>3</x:v>
      </x:c>
      <x:c r="AB131" t="n">
        <x:v>2</x:v>
      </x:c>
      <x:c r="AC131" t="str">
        <x:v>OK</x:v>
      </x:c>
      <x:c r="AD131" t="str">
        <x:v>OK</x:v>
      </x:c>
      <x:c r="AE131" t="str">
        <x:v>LOAD</x:v>
      </x:c>
      <x:c r="AF131" t="str">
        <x:v>02_Supervisor_Log(4).xlsx</x:v>
      </x:c>
      <x:c r="AG131" t="str">
        <x:v>ENH-20260830-01</x:v>
      </x:c>
      <x:c r="AH131" t="str">
        <x:v>Active</x:v>
      </x:c>
      <x:c r="AI131"/>
      <x:c r="AJ131"/>
      <x:c r="AK131"/>
      <x:c r="AL131"/>
    </x:row>
    <x:row r="132">
      <x:c r="A132" t="s">
        <x:v>338</x:v>
      </x:c>
      <x:c r="B132" t="s">
        <x:v>328</x:v>
      </x:c>
      <x:c r="C132" t="s">
        <x:v>44</x:v>
      </x:c>
      <x:c r="D132">
        <x:v>45954</x:v>
      </x:c>
      <x:c r="E132" t="s">
        <x:v>187</x:v>
      </x:c>
      <x:c r="F132" t="s">
        <x:v>51</x:v>
      </x:c>
      <x:c r="G132">
        <x:v>21</x:v>
      </x:c>
      <x:c r="H132" t="s">
        <x:v>48</x:v>
      </x:c>
      <x:c r="I132">
        <x:v>11</x:v>
      </x:c>
      <x:c r="J132">
        <x:v>10</x:v>
      </x:c>
      <x:c r="K132">
        <x:v>2</x:v>
      </x:c>
      <x:c r="L132">
        <x:f t="shared" si="7"/>
        <x:v>0</x:v>
      </x:c>
      <x:c r="P132">
        <x:f t="shared" si="8"/>
        <x:v>0</x:v>
      </x:c>
      <x:c r="Q132">
        <x:f t="shared" si="9"/>
        <x:v>0</x:v>
      </x:c>
      <x:c r="R132">
        <x:f t="shared" si="10"/>
        <x:v>0</x:v>
      </x:c>
      <x:c r="S132">
        <x:f t="shared" si="11"/>
        <x:v>0</x:v>
      </x:c>
      <x:c r="T132" t="str">
        <x:f t="shared" si="12"/>
        <x:v>DerivedFromCount</x:v>
      </x:c>
      <x:c r="U132" t="str">
        <x:f>IF(COUNTIF(DailyProduction!$Q$5:$Q$100,B132)=1,"OK","CHECK")</x:f>
        <x:v>OK</x:v>
      </x:c>
      <x:c r="V132" t="str">
        <x:f t="shared" si="13"/>
        <x:v>OK</x:v>
      </x:c>
      <x:c r="W132" t="str">
        <x:f>IF(SUMIF($B$5:$B$914,B132,$S$5:$S$914)=SUMIF(DailyProduction!$Q$5:$Q$100,B132,DailyProduction!$R$5:$R$100),"OK","CHECK")</x:f>
        <x:v>OK</x:v>
      </x:c>
      <x:c r="X132" t="str">
        <x:v>PLC-PRD-JAR-720-L21</x:v>
      </x:c>
      <x:c r="Y132" t="str">
        <x:v>OK</x:v>
      </x:c>
      <x:c r="Z132" t="str">
        <x:v>OK</x:v>
      </x:c>
      <x:c r="AA132" t="n">
        <x:v>3</x:v>
      </x:c>
      <x:c r="AB132" t="n">
        <x:v>0</x:v>
      </x:c>
      <x:c r="AC132" t="str">
        <x:v>OK</x:v>
      </x:c>
      <x:c r="AD132" t="str">
        <x:v>OK</x:v>
      </x:c>
      <x:c r="AE132" t="str">
        <x:v>LOAD</x:v>
      </x:c>
      <x:c r="AF132" t="str">
        <x:v>02_Supervisor_Log(4).xlsx</x:v>
      </x:c>
      <x:c r="AG132" t="str">
        <x:v>ENH-20260830-01</x:v>
      </x:c>
      <x:c r="AH132" t="str">
        <x:v>Active</x:v>
      </x:c>
      <x:c r="AI132"/>
      <x:c r="AJ132"/>
      <x:c r="AK132"/>
      <x:c r="AL132"/>
    </x:row>
    <x:row r="133">
      <x:c r="A133" t="s">
        <x:v>339</x:v>
      </x:c>
      <x:c r="B133" t="s">
        <x:v>328</x:v>
      </x:c>
      <x:c r="C133" t="s">
        <x:v>44</x:v>
      </x:c>
      <x:c r="D133">
        <x:v>45954</x:v>
      </x:c>
      <x:c r="E133" t="s">
        <x:v>187</x:v>
      </x:c>
      <x:c r="F133" t="s">
        <x:v>51</x:v>
      </x:c>
      <x:c r="G133">
        <x:v>21</x:v>
      </x:c>
      <x:c r="H133" t="s">
        <x:v>48</x:v>
      </x:c>
      <x:c r="I133">
        <x:v>12</x:v>
      </x:c>
      <x:c r="J133">
        <x:v>10</x:v>
      </x:c>
      <x:c r="K133">
        <x:v>2</x:v>
      </x:c>
      <x:c r="L133" t="n">
        <x:f t="shared" ref="L133:L196" si="14">IF(I133&lt;=J133,1,0)</x:f>
        <x:v>0</x:v>
      </x:c>
      <x:c r="P133" t="n">
        <x:f t="shared" ref="P133:P196" si="15">IF(M133="",IF(AND(L133=1,K133&gt;=1),1,0),M133)</x:f>
        <x:v>0</x:v>
      </x:c>
      <x:c r="Q133" t="n">
        <x:f t="shared" ref="Q133:Q196" si="16">IF(N133="",IF(AND(L133=1,K133&gt;=2),1,0),N133)</x:f>
        <x:v>0</x:v>
      </x:c>
      <x:c r="R133" t="n">
        <x:f t="shared" ref="R133:R196" si="17">IF(O133="",IF(AND(L133=1,K133&gt;=3),1,0),O133)</x:f>
        <x:v>0</x:v>
      </x:c>
      <x:c r="S133" t="n">
        <x:f t="shared" ref="S133:S196" si="18">SUM(P133:R133)</x:f>
        <x:v>0</x:v>
      </x:c>
      <x:c r="T133" t="str">
        <x:f t="shared" ref="T133:T196" si="19">IF(COUNTA(M133:O133)=0,"DerivedFromCount","ManualOverride")</x:f>
        <x:v>DerivedFromCount</x:v>
      </x:c>
      <x:c r="U133" t="str">
        <x:f>IF(COUNTIF(DailyProduction!$Q$5:$Q$100,B133)=1,"OK","CHECK")</x:f>
        <x:v>OK</x:v>
      </x:c>
      <x:c r="V133" t="str">
        <x:f t="shared" ref="V133:V196" si="20">IF(AND(I133&gt;=1,I133&lt;=13,K133&gt;=1,K133&lt;=3),"OK","CHECK")</x:f>
        <x:v>OK</x:v>
      </x:c>
      <x:c r="W133" t="str">
        <x:f>IF(SUMIF($B$5:$B$914,B133,$S$5:$S$914)=SUMIF(DailyProduction!$Q$5:$Q$100,B133,DailyProduction!$R$5:$R$100),"OK","CHECK")</x:f>
        <x:v>OK</x:v>
      </x:c>
      <x:c r="X133" t="str">
        <x:v>PLC-PRD-JAR-720-L21</x:v>
      </x:c>
      <x:c r="Y133" t="str">
        <x:v>OK</x:v>
      </x:c>
      <x:c r="Z133" t="str">
        <x:v>OK</x:v>
      </x:c>
      <x:c r="AA133" t="n">
        <x:v>3</x:v>
      </x:c>
      <x:c r="AB133" t="n">
        <x:v>0</x:v>
      </x:c>
      <x:c r="AC133" t="str">
        <x:v>OK</x:v>
      </x:c>
      <x:c r="AD133" t="str">
        <x:v>OK</x:v>
      </x:c>
      <x:c r="AE133" t="str">
        <x:v>LOAD</x:v>
      </x:c>
      <x:c r="AF133" t="str">
        <x:v>02_Supervisor_Log(4).xlsx</x:v>
      </x:c>
      <x:c r="AG133" t="str">
        <x:v>ENH-20260830-01</x:v>
      </x:c>
      <x:c r="AH133" t="str">
        <x:v>Active</x:v>
      </x:c>
      <x:c r="AI133"/>
      <x:c r="AJ133"/>
      <x:c r="AK133"/>
      <x:c r="AL133"/>
    </x:row>
    <x:row r="134">
      <x:c r="A134" t="s">
        <x:v>340</x:v>
      </x:c>
      <x:c r="B134" t="s">
        <x:v>328</x:v>
      </x:c>
      <x:c r="C134" t="s">
        <x:v>44</x:v>
      </x:c>
      <x:c r="D134">
        <x:v>45954</x:v>
      </x:c>
      <x:c r="E134" t="s">
        <x:v>187</x:v>
      </x:c>
      <x:c r="F134" t="s">
        <x:v>51</x:v>
      </x:c>
      <x:c r="G134">
        <x:v>21</x:v>
      </x:c>
      <x:c r="H134" t="s">
        <x:v>48</x:v>
      </x:c>
      <x:c r="I134">
        <x:v>13</x:v>
      </x:c>
      <x:c r="J134">
        <x:v>10</x:v>
      </x:c>
      <x:c r="K134">
        <x:v>2</x:v>
      </x:c>
      <x:c r="L134">
        <x:f t="shared" si="14"/>
        <x:v>0</x:v>
      </x:c>
      <x:c r="P134">
        <x:f t="shared" si="15"/>
        <x:v>0</x:v>
      </x:c>
      <x:c r="Q134">
        <x:f t="shared" si="16"/>
        <x:v>0</x:v>
      </x:c>
      <x:c r="R134">
        <x:f t="shared" si="17"/>
        <x:v>0</x:v>
      </x:c>
      <x:c r="S134">
        <x:f t="shared" si="18"/>
        <x:v>0</x:v>
      </x:c>
      <x:c r="T134" t="str">
        <x:f t="shared" si="19"/>
        <x:v>DerivedFromCount</x:v>
      </x:c>
      <x:c r="U134" t="str">
        <x:f>IF(COUNTIF(DailyProduction!$Q$5:$Q$100,B134)=1,"OK","CHECK")</x:f>
        <x:v>OK</x:v>
      </x:c>
      <x:c r="V134" t="str">
        <x:f t="shared" si="20"/>
        <x:v>OK</x:v>
      </x:c>
      <x:c r="W134" t="str">
        <x:f>IF(SUMIF($B$5:$B$914,B134,$S$5:$S$914)=SUMIF(DailyProduction!$Q$5:$Q$100,B134,DailyProduction!$R$5:$R$100),"OK","CHECK")</x:f>
        <x:v>OK</x:v>
      </x:c>
      <x:c r="X134" t="str">
        <x:v>PLC-PRD-JAR-720-L21</x:v>
      </x:c>
      <x:c r="Y134" t="str">
        <x:v>OK</x:v>
      </x:c>
      <x:c r="Z134" t="str">
        <x:v>OK</x:v>
      </x:c>
      <x:c r="AA134" t="n">
        <x:v>3</x:v>
      </x:c>
      <x:c r="AB134" t="n">
        <x:v>0</x:v>
      </x:c>
      <x:c r="AC134" t="str">
        <x:v>OK</x:v>
      </x:c>
      <x:c r="AD134" t="str">
        <x:v>OK</x:v>
      </x:c>
      <x:c r="AE134" t="str">
        <x:v>LOAD</x:v>
      </x:c>
      <x:c r="AF134" t="str">
        <x:v>02_Supervisor_Log(4).xlsx</x:v>
      </x:c>
      <x:c r="AG134" t="str">
        <x:v>ENH-20260830-01</x:v>
      </x:c>
      <x:c r="AH134" t="str">
        <x:v>Active</x:v>
      </x:c>
      <x:c r="AI134"/>
      <x:c r="AJ134"/>
      <x:c r="AK134"/>
      <x:c r="AL134"/>
    </x:row>
    <x:row r="135">
      <x:c r="A135" t="s">
        <x:v>341</x:v>
      </x:c>
      <x:c r="B135" t="s">
        <x:v>115</x:v>
      </x:c>
      <x:c r="C135" t="s">
        <x:v>44</x:v>
      </x:c>
      <x:c r="D135">
        <x:v>45955</x:v>
      </x:c>
      <x:c r="E135" t="s">
        <x:v>45</x:v>
      </x:c>
      <x:c r="F135" t="s">
        <x:v>51</x:v>
      </x:c>
      <x:c r="G135">
        <x:v>21</x:v>
      </x:c>
      <x:c r="H135" t="s">
        <x:v>52</x:v>
      </x:c>
      <x:c r="I135">
        <x:v>1</x:v>
      </x:c>
      <x:c r="J135">
        <x:v>10</x:v>
      </x:c>
      <x:c r="K135">
        <x:v>3</x:v>
      </x:c>
      <x:c r="L135">
        <x:f t="shared" si="14"/>
        <x:v>1</x:v>
      </x:c>
      <x:c r="P135">
        <x:f t="shared" si="15"/>
        <x:v>1</x:v>
      </x:c>
      <x:c r="Q135">
        <x:f t="shared" si="16"/>
        <x:v>1</x:v>
      </x:c>
      <x:c r="R135">
        <x:f t="shared" si="17"/>
        <x:v>1</x:v>
      </x:c>
      <x:c r="S135">
        <x:f t="shared" si="18"/>
        <x:v>3</x:v>
      </x:c>
      <x:c r="T135" t="str">
        <x:f t="shared" si="19"/>
        <x:v>DerivedFromCount</x:v>
      </x:c>
      <x:c r="U135" t="str">
        <x:f>IF(COUNTIF(DailyProduction!$Q$5:$Q$100,B135)=1,"OK","CHECK")</x:f>
        <x:v>OK</x:v>
      </x:c>
      <x:c r="V135" t="str">
        <x:f t="shared" si="20"/>
        <x:v>OK</x:v>
      </x:c>
      <x:c r="W135" t="str">
        <x:f>IF(SUMIF($B$5:$B$914,B135,$S$5:$S$914)=SUMIF(DailyProduction!$Q$5:$Q$100,B135,DailyProduction!$R$5:$R$100),"OK","CHECK")</x:f>
        <x:v>OK</x:v>
      </x:c>
      <x:c r="X135" t="str">
        <x:v>PLC-PRD-JAR-330-L21</x:v>
      </x:c>
      <x:c r="Y135" t="str">
        <x:v>OK</x:v>
      </x:c>
      <x:c r="Z135" t="str">
        <x:v>OK</x:v>
      </x:c>
      <x:c r="AA135" t="n">
        <x:v>3</x:v>
      </x:c>
      <x:c r="AB135" t="n">
        <x:v>3</x:v>
      </x:c>
      <x:c r="AC135" t="str">
        <x:v>OK</x:v>
      </x:c>
      <x:c r="AD135" t="str">
        <x:v>OK</x:v>
      </x:c>
      <x:c r="AE135" t="str">
        <x:v>LOAD</x:v>
      </x:c>
      <x:c r="AF135" t="str">
        <x:v>02_Supervisor_Log(4).xlsx</x:v>
      </x:c>
      <x:c r="AG135" t="str">
        <x:v>ENH-20260830-01</x:v>
      </x:c>
      <x:c r="AH135" t="str">
        <x:v>Active</x:v>
      </x:c>
      <x:c r="AI135"/>
      <x:c r="AJ135"/>
      <x:c r="AK135"/>
      <x:c r="AL135"/>
    </x:row>
    <x:row r="136">
      <x:c r="A136" t="s">
        <x:v>342</x:v>
      </x:c>
      <x:c r="B136" t="s">
        <x:v>115</x:v>
      </x:c>
      <x:c r="C136" t="s">
        <x:v>44</x:v>
      </x:c>
      <x:c r="D136">
        <x:v>45955</x:v>
      </x:c>
      <x:c r="E136" t="s">
        <x:v>45</x:v>
      </x:c>
      <x:c r="F136" t="s">
        <x:v>51</x:v>
      </x:c>
      <x:c r="G136">
        <x:v>21</x:v>
      </x:c>
      <x:c r="H136" t="s">
        <x:v>52</x:v>
      </x:c>
      <x:c r="I136">
        <x:v>2</x:v>
      </x:c>
      <x:c r="J136">
        <x:v>10</x:v>
      </x:c>
      <x:c r="K136">
        <x:v>3</x:v>
      </x:c>
      <x:c r="L136">
        <x:f t="shared" si="14"/>
        <x:v>1</x:v>
      </x:c>
      <x:c r="P136">
        <x:f t="shared" si="15"/>
        <x:v>1</x:v>
      </x:c>
      <x:c r="Q136">
        <x:f t="shared" si="16"/>
        <x:v>1</x:v>
      </x:c>
      <x:c r="R136">
        <x:f t="shared" si="17"/>
        <x:v>1</x:v>
      </x:c>
      <x:c r="S136">
        <x:f t="shared" si="18"/>
        <x:v>3</x:v>
      </x:c>
      <x:c r="T136" t="str">
        <x:f t="shared" si="19"/>
        <x:v>DerivedFromCount</x:v>
      </x:c>
      <x:c r="U136" t="str">
        <x:f>IF(COUNTIF(DailyProduction!$Q$5:$Q$100,B136)=1,"OK","CHECK")</x:f>
        <x:v>OK</x:v>
      </x:c>
      <x:c r="V136" t="str">
        <x:f t="shared" si="20"/>
        <x:v>OK</x:v>
      </x:c>
      <x:c r="W136" t="str">
        <x:f>IF(SUMIF($B$5:$B$914,B136,$S$5:$S$914)=SUMIF(DailyProduction!$Q$5:$Q$100,B136,DailyProduction!$R$5:$R$100),"OK","CHECK")</x:f>
        <x:v>OK</x:v>
      </x:c>
      <x:c r="X136" t="str">
        <x:v>PLC-PRD-JAR-330-L21</x:v>
      </x:c>
      <x:c r="Y136" t="str">
        <x:v>OK</x:v>
      </x:c>
      <x:c r="Z136" t="str">
        <x:v>OK</x:v>
      </x:c>
      <x:c r="AA136" t="n">
        <x:v>3</x:v>
      </x:c>
      <x:c r="AB136" t="n">
        <x:v>3</x:v>
      </x:c>
      <x:c r="AC136" t="str">
        <x:v>OK</x:v>
      </x:c>
      <x:c r="AD136" t="str">
        <x:v>OK</x:v>
      </x:c>
      <x:c r="AE136" t="str">
        <x:v>LOAD</x:v>
      </x:c>
      <x:c r="AF136" t="str">
        <x:v>02_Supervisor_Log(4).xlsx</x:v>
      </x:c>
      <x:c r="AG136" t="str">
        <x:v>ENH-20260830-01</x:v>
      </x:c>
      <x:c r="AH136" t="str">
        <x:v>Active</x:v>
      </x:c>
      <x:c r="AI136"/>
      <x:c r="AJ136"/>
      <x:c r="AK136"/>
      <x:c r="AL136"/>
    </x:row>
    <x:row r="137">
      <x:c r="A137" t="s">
        <x:v>343</x:v>
      </x:c>
      <x:c r="B137" t="s">
        <x:v>115</x:v>
      </x:c>
      <x:c r="C137" t="s">
        <x:v>44</x:v>
      </x:c>
      <x:c r="D137">
        <x:v>45955</x:v>
      </x:c>
      <x:c r="E137" t="s">
        <x:v>45</x:v>
      </x:c>
      <x:c r="F137" t="s">
        <x:v>51</x:v>
      </x:c>
      <x:c r="G137">
        <x:v>21</x:v>
      </x:c>
      <x:c r="H137" t="s">
        <x:v>52</x:v>
      </x:c>
      <x:c r="I137">
        <x:v>3</x:v>
      </x:c>
      <x:c r="J137">
        <x:v>10</x:v>
      </x:c>
      <x:c r="K137">
        <x:v>3</x:v>
      </x:c>
      <x:c r="L137">
        <x:f t="shared" si="14"/>
        <x:v>1</x:v>
      </x:c>
      <x:c r="P137">
        <x:f t="shared" si="15"/>
        <x:v>1</x:v>
      </x:c>
      <x:c r="Q137">
        <x:f t="shared" si="16"/>
        <x:v>1</x:v>
      </x:c>
      <x:c r="R137">
        <x:f t="shared" si="17"/>
        <x:v>1</x:v>
      </x:c>
      <x:c r="S137">
        <x:f t="shared" si="18"/>
        <x:v>3</x:v>
      </x:c>
      <x:c r="T137" t="str">
        <x:f t="shared" si="19"/>
        <x:v>DerivedFromCount</x:v>
      </x:c>
      <x:c r="U137" t="str">
        <x:f>IF(COUNTIF(DailyProduction!$Q$5:$Q$100,B137)=1,"OK","CHECK")</x:f>
        <x:v>OK</x:v>
      </x:c>
      <x:c r="V137" t="str">
        <x:f t="shared" si="20"/>
        <x:v>OK</x:v>
      </x:c>
      <x:c r="W137" t="str">
        <x:f>IF(SUMIF($B$5:$B$914,B137,$S$5:$S$914)=SUMIF(DailyProduction!$Q$5:$Q$100,B137,DailyProduction!$R$5:$R$100),"OK","CHECK")</x:f>
        <x:v>OK</x:v>
      </x:c>
      <x:c r="X137" t="str">
        <x:v>PLC-PRD-JAR-330-L21</x:v>
      </x:c>
      <x:c r="Y137" t="str">
        <x:v>OK</x:v>
      </x:c>
      <x:c r="Z137" t="str">
        <x:v>OK</x:v>
      </x:c>
      <x:c r="AA137" t="n">
        <x:v>3</x:v>
      </x:c>
      <x:c r="AB137" t="n">
        <x:v>3</x:v>
      </x:c>
      <x:c r="AC137" t="str">
        <x:v>OK</x:v>
      </x:c>
      <x:c r="AD137" t="str">
        <x:v>OK</x:v>
      </x:c>
      <x:c r="AE137" t="str">
        <x:v>LOAD</x:v>
      </x:c>
      <x:c r="AF137" t="str">
        <x:v>02_Supervisor_Log(4).xlsx</x:v>
      </x:c>
      <x:c r="AG137" t="str">
        <x:v>ENH-20260830-01</x:v>
      </x:c>
      <x:c r="AH137" t="str">
        <x:v>Active</x:v>
      </x:c>
      <x:c r="AI137"/>
      <x:c r="AJ137"/>
      <x:c r="AK137"/>
      <x:c r="AL137"/>
    </x:row>
    <x:row r="138">
      <x:c r="A138" t="s">
        <x:v>344</x:v>
      </x:c>
      <x:c r="B138" t="s">
        <x:v>115</x:v>
      </x:c>
      <x:c r="C138" t="s">
        <x:v>44</x:v>
      </x:c>
      <x:c r="D138">
        <x:v>45955</x:v>
      </x:c>
      <x:c r="E138" t="s">
        <x:v>45</x:v>
      </x:c>
      <x:c r="F138" t="s">
        <x:v>51</x:v>
      </x:c>
      <x:c r="G138">
        <x:v>21</x:v>
      </x:c>
      <x:c r="H138" t="s">
        <x:v>52</x:v>
      </x:c>
      <x:c r="I138">
        <x:v>4</x:v>
      </x:c>
      <x:c r="J138">
        <x:v>10</x:v>
      </x:c>
      <x:c r="K138">
        <x:v>3</x:v>
      </x:c>
      <x:c r="L138">
        <x:f t="shared" si="14"/>
        <x:v>1</x:v>
      </x:c>
      <x:c r="P138">
        <x:f t="shared" si="15"/>
        <x:v>1</x:v>
      </x:c>
      <x:c r="Q138">
        <x:f t="shared" si="16"/>
        <x:v>1</x:v>
      </x:c>
      <x:c r="R138">
        <x:f t="shared" si="17"/>
        <x:v>1</x:v>
      </x:c>
      <x:c r="S138">
        <x:f t="shared" si="18"/>
        <x:v>3</x:v>
      </x:c>
      <x:c r="T138" t="str">
        <x:f t="shared" si="19"/>
        <x:v>DerivedFromCount</x:v>
      </x:c>
      <x:c r="U138" t="str">
        <x:f>IF(COUNTIF(DailyProduction!$Q$5:$Q$100,B138)=1,"OK","CHECK")</x:f>
        <x:v>OK</x:v>
      </x:c>
      <x:c r="V138" t="str">
        <x:f t="shared" si="20"/>
        <x:v>OK</x:v>
      </x:c>
      <x:c r="W138" t="str">
        <x:f>IF(SUMIF($B$5:$B$914,B138,$S$5:$S$914)=SUMIF(DailyProduction!$Q$5:$Q$100,B138,DailyProduction!$R$5:$R$100),"OK","CHECK")</x:f>
        <x:v>OK</x:v>
      </x:c>
      <x:c r="X138" t="str">
        <x:v>PLC-PRD-JAR-330-L21</x:v>
      </x:c>
      <x:c r="Y138" t="str">
        <x:v>OK</x:v>
      </x:c>
      <x:c r="Z138" t="str">
        <x:v>OK</x:v>
      </x:c>
      <x:c r="AA138" t="n">
        <x:v>3</x:v>
      </x:c>
      <x:c r="AB138" t="n">
        <x:v>3</x:v>
      </x:c>
      <x:c r="AC138" t="str">
        <x:v>OK</x:v>
      </x:c>
      <x:c r="AD138" t="str">
        <x:v>OK</x:v>
      </x:c>
      <x:c r="AE138" t="str">
        <x:v>LOAD</x:v>
      </x:c>
      <x:c r="AF138" t="str">
        <x:v>02_Supervisor_Log(4).xlsx</x:v>
      </x:c>
      <x:c r="AG138" t="str">
        <x:v>ENH-20260830-01</x:v>
      </x:c>
      <x:c r="AH138" t="str">
        <x:v>Active</x:v>
      </x:c>
      <x:c r="AI138"/>
      <x:c r="AJ138"/>
      <x:c r="AK138"/>
      <x:c r="AL138"/>
    </x:row>
    <x:row r="139">
      <x:c r="A139" t="s">
        <x:v>345</x:v>
      </x:c>
      <x:c r="B139" t="s">
        <x:v>115</x:v>
      </x:c>
      <x:c r="C139" t="s">
        <x:v>44</x:v>
      </x:c>
      <x:c r="D139">
        <x:v>45955</x:v>
      </x:c>
      <x:c r="E139" t="s">
        <x:v>45</x:v>
      </x:c>
      <x:c r="F139" t="s">
        <x:v>51</x:v>
      </x:c>
      <x:c r="G139">
        <x:v>21</x:v>
      </x:c>
      <x:c r="H139" t="s">
        <x:v>52</x:v>
      </x:c>
      <x:c r="I139">
        <x:v>5</x:v>
      </x:c>
      <x:c r="J139">
        <x:v>10</x:v>
      </x:c>
      <x:c r="K139">
        <x:v>3</x:v>
      </x:c>
      <x:c r="L139">
        <x:f t="shared" si="14"/>
        <x:v>1</x:v>
      </x:c>
      <x:c r="P139">
        <x:f t="shared" si="15"/>
        <x:v>1</x:v>
      </x:c>
      <x:c r="Q139">
        <x:f t="shared" si="16"/>
        <x:v>1</x:v>
      </x:c>
      <x:c r="R139">
        <x:f t="shared" si="17"/>
        <x:v>1</x:v>
      </x:c>
      <x:c r="S139">
        <x:f t="shared" si="18"/>
        <x:v>3</x:v>
      </x:c>
      <x:c r="T139" t="str">
        <x:f t="shared" si="19"/>
        <x:v>DerivedFromCount</x:v>
      </x:c>
      <x:c r="U139" t="str">
        <x:f>IF(COUNTIF(DailyProduction!$Q$5:$Q$100,B139)=1,"OK","CHECK")</x:f>
        <x:v>OK</x:v>
      </x:c>
      <x:c r="V139" t="str">
        <x:f t="shared" si="20"/>
        <x:v>OK</x:v>
      </x:c>
      <x:c r="W139" t="str">
        <x:f>IF(SUMIF($B$5:$B$914,B139,$S$5:$S$914)=SUMIF(DailyProduction!$Q$5:$Q$100,B139,DailyProduction!$R$5:$R$100),"OK","CHECK")</x:f>
        <x:v>OK</x:v>
      </x:c>
      <x:c r="X139" t="str">
        <x:v>PLC-PRD-JAR-330-L21</x:v>
      </x:c>
      <x:c r="Y139" t="str">
        <x:v>OK</x:v>
      </x:c>
      <x:c r="Z139" t="str">
        <x:v>OK</x:v>
      </x:c>
      <x:c r="AA139" t="n">
        <x:v>3</x:v>
      </x:c>
      <x:c r="AB139" t="n">
        <x:v>3</x:v>
      </x:c>
      <x:c r="AC139" t="str">
        <x:v>OK</x:v>
      </x:c>
      <x:c r="AD139" t="str">
        <x:v>OK</x:v>
      </x:c>
      <x:c r="AE139" t="str">
        <x:v>LOAD</x:v>
      </x:c>
      <x:c r="AF139" t="str">
        <x:v>02_Supervisor_Log(4).xlsx</x:v>
      </x:c>
      <x:c r="AG139" t="str">
        <x:v>ENH-20260830-01</x:v>
      </x:c>
      <x:c r="AH139" t="str">
        <x:v>Active</x:v>
      </x:c>
      <x:c r="AI139"/>
      <x:c r="AJ139"/>
      <x:c r="AK139"/>
      <x:c r="AL139"/>
    </x:row>
    <x:row r="140">
      <x:c r="A140" t="s">
        <x:v>346</x:v>
      </x:c>
      <x:c r="B140" t="s">
        <x:v>115</x:v>
      </x:c>
      <x:c r="C140" t="s">
        <x:v>44</x:v>
      </x:c>
      <x:c r="D140">
        <x:v>45955</x:v>
      </x:c>
      <x:c r="E140" t="s">
        <x:v>45</x:v>
      </x:c>
      <x:c r="F140" t="s">
        <x:v>51</x:v>
      </x:c>
      <x:c r="G140">
        <x:v>21</x:v>
      </x:c>
      <x:c r="H140" t="s">
        <x:v>52</x:v>
      </x:c>
      <x:c r="I140">
        <x:v>6</x:v>
      </x:c>
      <x:c r="J140">
        <x:v>10</x:v>
      </x:c>
      <x:c r="K140">
        <x:v>3</x:v>
      </x:c>
      <x:c r="L140">
        <x:f t="shared" si="14"/>
        <x:v>1</x:v>
      </x:c>
      <x:c r="P140">
        <x:f t="shared" si="15"/>
        <x:v>1</x:v>
      </x:c>
      <x:c r="Q140">
        <x:f t="shared" si="16"/>
        <x:v>1</x:v>
      </x:c>
      <x:c r="R140">
        <x:f t="shared" si="17"/>
        <x:v>1</x:v>
      </x:c>
      <x:c r="S140">
        <x:f t="shared" si="18"/>
        <x:v>3</x:v>
      </x:c>
      <x:c r="T140" t="str">
        <x:f t="shared" si="19"/>
        <x:v>DerivedFromCount</x:v>
      </x:c>
      <x:c r="U140" t="str">
        <x:f>IF(COUNTIF(DailyProduction!$Q$5:$Q$100,B140)=1,"OK","CHECK")</x:f>
        <x:v>OK</x:v>
      </x:c>
      <x:c r="V140" t="str">
        <x:f t="shared" si="20"/>
        <x:v>OK</x:v>
      </x:c>
      <x:c r="W140" t="str">
        <x:f>IF(SUMIF($B$5:$B$914,B140,$S$5:$S$914)=SUMIF(DailyProduction!$Q$5:$Q$100,B140,DailyProduction!$R$5:$R$100),"OK","CHECK")</x:f>
        <x:v>OK</x:v>
      </x:c>
      <x:c r="X140" t="str">
        <x:v>PLC-PRD-JAR-330-L21</x:v>
      </x:c>
      <x:c r="Y140" t="str">
        <x:v>OK</x:v>
      </x:c>
      <x:c r="Z140" t="str">
        <x:v>OK</x:v>
      </x:c>
      <x:c r="AA140" t="n">
        <x:v>3</x:v>
      </x:c>
      <x:c r="AB140" t="n">
        <x:v>3</x:v>
      </x:c>
      <x:c r="AC140" t="str">
        <x:v>OK</x:v>
      </x:c>
      <x:c r="AD140" t="str">
        <x:v>OK</x:v>
      </x:c>
      <x:c r="AE140" t="str">
        <x:v>LOAD</x:v>
      </x:c>
      <x:c r="AF140" t="str">
        <x:v>02_Supervisor_Log(4).xlsx</x:v>
      </x:c>
      <x:c r="AG140" t="str">
        <x:v>ENH-20260830-01</x:v>
      </x:c>
      <x:c r="AH140" t="str">
        <x:v>Active</x:v>
      </x:c>
      <x:c r="AI140"/>
      <x:c r="AJ140"/>
      <x:c r="AK140"/>
      <x:c r="AL140"/>
    </x:row>
    <x:row r="141">
      <x:c r="A141" t="s">
        <x:v>347</x:v>
      </x:c>
      <x:c r="B141" t="s">
        <x:v>115</x:v>
      </x:c>
      <x:c r="C141" t="s">
        <x:v>44</x:v>
      </x:c>
      <x:c r="D141">
        <x:v>45955</x:v>
      </x:c>
      <x:c r="E141" t="s">
        <x:v>45</x:v>
      </x:c>
      <x:c r="F141" t="s">
        <x:v>51</x:v>
      </x:c>
      <x:c r="G141">
        <x:v>21</x:v>
      </x:c>
      <x:c r="H141" t="s">
        <x:v>52</x:v>
      </x:c>
      <x:c r="I141">
        <x:v>7</x:v>
      </x:c>
      <x:c r="J141">
        <x:v>10</x:v>
      </x:c>
      <x:c r="K141">
        <x:v>3</x:v>
      </x:c>
      <x:c r="L141">
        <x:f t="shared" si="14"/>
        <x:v>1</x:v>
      </x:c>
      <x:c r="P141">
        <x:f t="shared" si="15"/>
        <x:v>1</x:v>
      </x:c>
      <x:c r="Q141">
        <x:f t="shared" si="16"/>
        <x:v>1</x:v>
      </x:c>
      <x:c r="R141">
        <x:f t="shared" si="17"/>
        <x:v>1</x:v>
      </x:c>
      <x:c r="S141">
        <x:f t="shared" si="18"/>
        <x:v>3</x:v>
      </x:c>
      <x:c r="T141" t="str">
        <x:f t="shared" si="19"/>
        <x:v>DerivedFromCount</x:v>
      </x:c>
      <x:c r="U141" t="str">
        <x:f>IF(COUNTIF(DailyProduction!$Q$5:$Q$100,B141)=1,"OK","CHECK")</x:f>
        <x:v>OK</x:v>
      </x:c>
      <x:c r="V141" t="str">
        <x:f t="shared" si="20"/>
        <x:v>OK</x:v>
      </x:c>
      <x:c r="W141" t="str">
        <x:f>IF(SUMIF($B$5:$B$914,B141,$S$5:$S$914)=SUMIF(DailyProduction!$Q$5:$Q$100,B141,DailyProduction!$R$5:$R$100),"OK","CHECK")</x:f>
        <x:v>OK</x:v>
      </x:c>
      <x:c r="X141" t="str">
        <x:v>PLC-PRD-JAR-330-L21</x:v>
      </x:c>
      <x:c r="Y141" t="str">
        <x:v>OK</x:v>
      </x:c>
      <x:c r="Z141" t="str">
        <x:v>OK</x:v>
      </x:c>
      <x:c r="AA141" t="n">
        <x:v>3</x:v>
      </x:c>
      <x:c r="AB141" t="n">
        <x:v>3</x:v>
      </x:c>
      <x:c r="AC141" t="str">
        <x:v>OK</x:v>
      </x:c>
      <x:c r="AD141" t="str">
        <x:v>OK</x:v>
      </x:c>
      <x:c r="AE141" t="str">
        <x:v>LOAD</x:v>
      </x:c>
      <x:c r="AF141" t="str">
        <x:v>02_Supervisor_Log(4).xlsx</x:v>
      </x:c>
      <x:c r="AG141" t="str">
        <x:v>ENH-20260830-01</x:v>
      </x:c>
      <x:c r="AH141" t="str">
        <x:v>Active</x:v>
      </x:c>
      <x:c r="AI141"/>
      <x:c r="AJ141"/>
      <x:c r="AK141"/>
      <x:c r="AL141"/>
    </x:row>
    <x:row r="142">
      <x:c r="A142" t="s">
        <x:v>348</x:v>
      </x:c>
      <x:c r="B142" t="s">
        <x:v>115</x:v>
      </x:c>
      <x:c r="C142" t="s">
        <x:v>44</x:v>
      </x:c>
      <x:c r="D142">
        <x:v>45955</x:v>
      </x:c>
      <x:c r="E142" t="s">
        <x:v>45</x:v>
      </x:c>
      <x:c r="F142" t="s">
        <x:v>51</x:v>
      </x:c>
      <x:c r="G142">
        <x:v>21</x:v>
      </x:c>
      <x:c r="H142" t="s">
        <x:v>52</x:v>
      </x:c>
      <x:c r="I142">
        <x:v>8</x:v>
      </x:c>
      <x:c r="J142">
        <x:v>10</x:v>
      </x:c>
      <x:c r="K142">
        <x:v>3</x:v>
      </x:c>
      <x:c r="L142">
        <x:f t="shared" si="14"/>
        <x:v>1</x:v>
      </x:c>
      <x:c r="P142">
        <x:f t="shared" si="15"/>
        <x:v>1</x:v>
      </x:c>
      <x:c r="Q142">
        <x:f t="shared" si="16"/>
        <x:v>1</x:v>
      </x:c>
      <x:c r="R142">
        <x:f t="shared" si="17"/>
        <x:v>1</x:v>
      </x:c>
      <x:c r="S142">
        <x:f t="shared" si="18"/>
        <x:v>3</x:v>
      </x:c>
      <x:c r="T142" t="str">
        <x:f t="shared" si="19"/>
        <x:v>DerivedFromCount</x:v>
      </x:c>
      <x:c r="U142" t="str">
        <x:f>IF(COUNTIF(DailyProduction!$Q$5:$Q$100,B142)=1,"OK","CHECK")</x:f>
        <x:v>OK</x:v>
      </x:c>
      <x:c r="V142" t="str">
        <x:f t="shared" si="20"/>
        <x:v>OK</x:v>
      </x:c>
      <x:c r="W142" t="str">
        <x:f>IF(SUMIF($B$5:$B$914,B142,$S$5:$S$914)=SUMIF(DailyProduction!$Q$5:$Q$100,B142,DailyProduction!$R$5:$R$100),"OK","CHECK")</x:f>
        <x:v>OK</x:v>
      </x:c>
      <x:c r="X142" t="str">
        <x:v>PLC-PRD-JAR-330-L21</x:v>
      </x:c>
      <x:c r="Y142" t="str">
        <x:v>OK</x:v>
      </x:c>
      <x:c r="Z142" t="str">
        <x:v>OK</x:v>
      </x:c>
      <x:c r="AA142" t="n">
        <x:v>3</x:v>
      </x:c>
      <x:c r="AB142" t="n">
        <x:v>3</x:v>
      </x:c>
      <x:c r="AC142" t="str">
        <x:v>OK</x:v>
      </x:c>
      <x:c r="AD142" t="str">
        <x:v>OK</x:v>
      </x:c>
      <x:c r="AE142" t="str">
        <x:v>LOAD</x:v>
      </x:c>
      <x:c r="AF142" t="str">
        <x:v>02_Supervisor_Log(4).xlsx</x:v>
      </x:c>
      <x:c r="AG142" t="str">
        <x:v>ENH-20260830-01</x:v>
      </x:c>
      <x:c r="AH142" t="str">
        <x:v>Active</x:v>
      </x:c>
      <x:c r="AI142"/>
      <x:c r="AJ142"/>
      <x:c r="AK142"/>
      <x:c r="AL142"/>
    </x:row>
    <x:row r="143">
      <x:c r="A143" t="s">
        <x:v>349</x:v>
      </x:c>
      <x:c r="B143" t="s">
        <x:v>115</x:v>
      </x:c>
      <x:c r="C143" t="s">
        <x:v>44</x:v>
      </x:c>
      <x:c r="D143">
        <x:v>45955</x:v>
      </x:c>
      <x:c r="E143" t="s">
        <x:v>45</x:v>
      </x:c>
      <x:c r="F143" t="s">
        <x:v>51</x:v>
      </x:c>
      <x:c r="G143">
        <x:v>21</x:v>
      </x:c>
      <x:c r="H143" t="s">
        <x:v>52</x:v>
      </x:c>
      <x:c r="I143">
        <x:v>9</x:v>
      </x:c>
      <x:c r="J143">
        <x:v>10</x:v>
      </x:c>
      <x:c r="K143">
        <x:v>3</x:v>
      </x:c>
      <x:c r="L143">
        <x:f t="shared" si="14"/>
        <x:v>1</x:v>
      </x:c>
      <x:c r="P143">
        <x:f t="shared" si="15"/>
        <x:v>1</x:v>
      </x:c>
      <x:c r="Q143">
        <x:f t="shared" si="16"/>
        <x:v>1</x:v>
      </x:c>
      <x:c r="R143">
        <x:f t="shared" si="17"/>
        <x:v>1</x:v>
      </x:c>
      <x:c r="S143">
        <x:f t="shared" si="18"/>
        <x:v>3</x:v>
      </x:c>
      <x:c r="T143" t="str">
        <x:f t="shared" si="19"/>
        <x:v>DerivedFromCount</x:v>
      </x:c>
      <x:c r="U143" t="str">
        <x:f>IF(COUNTIF(DailyProduction!$Q$5:$Q$100,B143)=1,"OK","CHECK")</x:f>
        <x:v>OK</x:v>
      </x:c>
      <x:c r="V143" t="str">
        <x:f t="shared" si="20"/>
        <x:v>OK</x:v>
      </x:c>
      <x:c r="W143" t="str">
        <x:f>IF(SUMIF($B$5:$B$914,B143,$S$5:$S$914)=SUMIF(DailyProduction!$Q$5:$Q$100,B143,DailyProduction!$R$5:$R$100),"OK","CHECK")</x:f>
        <x:v>OK</x:v>
      </x:c>
      <x:c r="X143" t="str">
        <x:v>PLC-PRD-JAR-330-L21</x:v>
      </x:c>
      <x:c r="Y143" t="str">
        <x:v>OK</x:v>
      </x:c>
      <x:c r="Z143" t="str">
        <x:v>OK</x:v>
      </x:c>
      <x:c r="AA143" t="n">
        <x:v>3</x:v>
      </x:c>
      <x:c r="AB143" t="n">
        <x:v>3</x:v>
      </x:c>
      <x:c r="AC143" t="str">
        <x:v>OK</x:v>
      </x:c>
      <x:c r="AD143" t="str">
        <x:v>OK</x:v>
      </x:c>
      <x:c r="AE143" t="str">
        <x:v>LOAD</x:v>
      </x:c>
      <x:c r="AF143" t="str">
        <x:v>02_Supervisor_Log(4).xlsx</x:v>
      </x:c>
      <x:c r="AG143" t="str">
        <x:v>ENH-20260830-01</x:v>
      </x:c>
      <x:c r="AH143" t="str">
        <x:v>Active</x:v>
      </x:c>
      <x:c r="AI143"/>
      <x:c r="AJ143"/>
      <x:c r="AK143"/>
      <x:c r="AL143"/>
    </x:row>
    <x:row r="144">
      <x:c r="A144" t="s">
        <x:v>350</x:v>
      </x:c>
      <x:c r="B144" t="s">
        <x:v>115</x:v>
      </x:c>
      <x:c r="C144" t="s">
        <x:v>44</x:v>
      </x:c>
      <x:c r="D144">
        <x:v>45955</x:v>
      </x:c>
      <x:c r="E144" t="s">
        <x:v>45</x:v>
      </x:c>
      <x:c r="F144" t="s">
        <x:v>51</x:v>
      </x:c>
      <x:c r="G144">
        <x:v>21</x:v>
      </x:c>
      <x:c r="H144" t="s">
        <x:v>52</x:v>
      </x:c>
      <x:c r="I144">
        <x:v>10</x:v>
      </x:c>
      <x:c r="J144">
        <x:v>10</x:v>
      </x:c>
      <x:c r="K144">
        <x:v>3</x:v>
      </x:c>
      <x:c r="L144">
        <x:f t="shared" si="14"/>
        <x:v>1</x:v>
      </x:c>
      <x:c r="P144">
        <x:f t="shared" si="15"/>
        <x:v>1</x:v>
      </x:c>
      <x:c r="Q144">
        <x:f t="shared" si="16"/>
        <x:v>1</x:v>
      </x:c>
      <x:c r="R144">
        <x:f t="shared" si="17"/>
        <x:v>1</x:v>
      </x:c>
      <x:c r="S144">
        <x:f t="shared" si="18"/>
        <x:v>3</x:v>
      </x:c>
      <x:c r="T144" t="str">
        <x:f t="shared" si="19"/>
        <x:v>DerivedFromCount</x:v>
      </x:c>
      <x:c r="U144" t="str">
        <x:f>IF(COUNTIF(DailyProduction!$Q$5:$Q$100,B144)=1,"OK","CHECK")</x:f>
        <x:v>OK</x:v>
      </x:c>
      <x:c r="V144" t="str">
        <x:f t="shared" si="20"/>
        <x:v>OK</x:v>
      </x:c>
      <x:c r="W144" t="str">
        <x:f>IF(SUMIF($B$5:$B$914,B144,$S$5:$S$914)=SUMIF(DailyProduction!$Q$5:$Q$100,B144,DailyProduction!$R$5:$R$100),"OK","CHECK")</x:f>
        <x:v>OK</x:v>
      </x:c>
      <x:c r="X144" t="str">
        <x:v>PLC-PRD-JAR-330-L21</x:v>
      </x:c>
      <x:c r="Y144" t="str">
        <x:v>OK</x:v>
      </x:c>
      <x:c r="Z144" t="str">
        <x:v>OK</x:v>
      </x:c>
      <x:c r="AA144" t="n">
        <x:v>3</x:v>
      </x:c>
      <x:c r="AB144" t="n">
        <x:v>3</x:v>
      </x:c>
      <x:c r="AC144" t="str">
        <x:v>OK</x:v>
      </x:c>
      <x:c r="AD144" t="str">
        <x:v>OK</x:v>
      </x:c>
      <x:c r="AE144" t="str">
        <x:v>LOAD</x:v>
      </x:c>
      <x:c r="AF144" t="str">
        <x:v>02_Supervisor_Log(4).xlsx</x:v>
      </x:c>
      <x:c r="AG144" t="str">
        <x:v>ENH-20260830-01</x:v>
      </x:c>
      <x:c r="AH144" t="str">
        <x:v>Active</x:v>
      </x:c>
      <x:c r="AI144"/>
      <x:c r="AJ144"/>
      <x:c r="AK144"/>
      <x:c r="AL144"/>
    </x:row>
    <x:row r="145">
      <x:c r="A145" t="s">
        <x:v>351</x:v>
      </x:c>
      <x:c r="B145" t="s">
        <x:v>115</x:v>
      </x:c>
      <x:c r="C145" t="s">
        <x:v>44</x:v>
      </x:c>
      <x:c r="D145">
        <x:v>45955</x:v>
      </x:c>
      <x:c r="E145" t="s">
        <x:v>45</x:v>
      </x:c>
      <x:c r="F145" t="s">
        <x:v>51</x:v>
      </x:c>
      <x:c r="G145">
        <x:v>21</x:v>
      </x:c>
      <x:c r="H145" t="s">
        <x:v>52</x:v>
      </x:c>
      <x:c r="I145">
        <x:v>11</x:v>
      </x:c>
      <x:c r="J145">
        <x:v>10</x:v>
      </x:c>
      <x:c r="K145">
        <x:v>3</x:v>
      </x:c>
      <x:c r="L145">
        <x:f t="shared" si="14"/>
        <x:v>0</x:v>
      </x:c>
      <x:c r="P145">
        <x:f t="shared" si="15"/>
        <x:v>0</x:v>
      </x:c>
      <x:c r="Q145">
        <x:f t="shared" si="16"/>
        <x:v>0</x:v>
      </x:c>
      <x:c r="R145">
        <x:f t="shared" si="17"/>
        <x:v>0</x:v>
      </x:c>
      <x:c r="S145">
        <x:f t="shared" si="18"/>
        <x:v>0</x:v>
      </x:c>
      <x:c r="T145" t="str">
        <x:f t="shared" si="19"/>
        <x:v>DerivedFromCount</x:v>
      </x:c>
      <x:c r="U145" t="str">
        <x:f>IF(COUNTIF(DailyProduction!$Q$5:$Q$100,B145)=1,"OK","CHECK")</x:f>
        <x:v>OK</x:v>
      </x:c>
      <x:c r="V145" t="str">
        <x:f t="shared" si="20"/>
        <x:v>OK</x:v>
      </x:c>
      <x:c r="W145" t="str">
        <x:f>IF(SUMIF($B$5:$B$914,B145,$S$5:$S$914)=SUMIF(DailyProduction!$Q$5:$Q$100,B145,DailyProduction!$R$5:$R$100),"OK","CHECK")</x:f>
        <x:v>OK</x:v>
      </x:c>
      <x:c r="X145" t="str">
        <x:v>PLC-PRD-JAR-330-L21</x:v>
      </x:c>
      <x:c r="Y145" t="str">
        <x:v>OK</x:v>
      </x:c>
      <x:c r="Z145" t="str">
        <x:v>OK</x:v>
      </x:c>
      <x:c r="AA145" t="n">
        <x:v>3</x:v>
      </x:c>
      <x:c r="AB145" t="n">
        <x:v>0</x:v>
      </x:c>
      <x:c r="AC145" t="str">
        <x:v>OK</x:v>
      </x:c>
      <x:c r="AD145" t="str">
        <x:v>OK</x:v>
      </x:c>
      <x:c r="AE145" t="str">
        <x:v>LOAD</x:v>
      </x:c>
      <x:c r="AF145" t="str">
        <x:v>02_Supervisor_Log(4).xlsx</x:v>
      </x:c>
      <x:c r="AG145" t="str">
        <x:v>ENH-20260830-01</x:v>
      </x:c>
      <x:c r="AH145" t="str">
        <x:v>Active</x:v>
      </x:c>
      <x:c r="AI145"/>
      <x:c r="AJ145"/>
      <x:c r="AK145"/>
      <x:c r="AL145"/>
    </x:row>
    <x:row r="146">
      <x:c r="A146" t="s">
        <x:v>352</x:v>
      </x:c>
      <x:c r="B146" t="s">
        <x:v>115</x:v>
      </x:c>
      <x:c r="C146" t="s">
        <x:v>44</x:v>
      </x:c>
      <x:c r="D146">
        <x:v>45955</x:v>
      </x:c>
      <x:c r="E146" t="s">
        <x:v>45</x:v>
      </x:c>
      <x:c r="F146" t="s">
        <x:v>51</x:v>
      </x:c>
      <x:c r="G146">
        <x:v>21</x:v>
      </x:c>
      <x:c r="H146" t="s">
        <x:v>52</x:v>
      </x:c>
      <x:c r="I146">
        <x:v>12</x:v>
      </x:c>
      <x:c r="J146">
        <x:v>10</x:v>
      </x:c>
      <x:c r="K146">
        <x:v>3</x:v>
      </x:c>
      <x:c r="L146">
        <x:f t="shared" si="14"/>
        <x:v>0</x:v>
      </x:c>
      <x:c r="P146">
        <x:f t="shared" si="15"/>
        <x:v>0</x:v>
      </x:c>
      <x:c r="Q146">
        <x:f t="shared" si="16"/>
        <x:v>0</x:v>
      </x:c>
      <x:c r="R146">
        <x:f t="shared" si="17"/>
        <x:v>0</x:v>
      </x:c>
      <x:c r="S146">
        <x:f t="shared" si="18"/>
        <x:v>0</x:v>
      </x:c>
      <x:c r="T146" t="str">
        <x:f t="shared" si="19"/>
        <x:v>DerivedFromCount</x:v>
      </x:c>
      <x:c r="U146" t="str">
        <x:f>IF(COUNTIF(DailyProduction!$Q$5:$Q$100,B146)=1,"OK","CHECK")</x:f>
        <x:v>OK</x:v>
      </x:c>
      <x:c r="V146" t="str">
        <x:f t="shared" si="20"/>
        <x:v>OK</x:v>
      </x:c>
      <x:c r="W146" t="str">
        <x:f>IF(SUMIF($B$5:$B$914,B146,$S$5:$S$914)=SUMIF(DailyProduction!$Q$5:$Q$100,B146,DailyProduction!$R$5:$R$100),"OK","CHECK")</x:f>
        <x:v>OK</x:v>
      </x:c>
      <x:c r="X146" t="str">
        <x:v>PLC-PRD-JAR-330-L21</x:v>
      </x:c>
      <x:c r="Y146" t="str">
        <x:v>OK</x:v>
      </x:c>
      <x:c r="Z146" t="str">
        <x:v>OK</x:v>
      </x:c>
      <x:c r="AA146" t="n">
        <x:v>3</x:v>
      </x:c>
      <x:c r="AB146" t="n">
        <x:v>0</x:v>
      </x:c>
      <x:c r="AC146" t="str">
        <x:v>OK</x:v>
      </x:c>
      <x:c r="AD146" t="str">
        <x:v>OK</x:v>
      </x:c>
      <x:c r="AE146" t="str">
        <x:v>LOAD</x:v>
      </x:c>
      <x:c r="AF146" t="str">
        <x:v>02_Supervisor_Log(4).xlsx</x:v>
      </x:c>
      <x:c r="AG146" t="str">
        <x:v>ENH-20260830-01</x:v>
      </x:c>
      <x:c r="AH146" t="str">
        <x:v>Active</x:v>
      </x:c>
      <x:c r="AI146"/>
      <x:c r="AJ146"/>
      <x:c r="AK146"/>
      <x:c r="AL146"/>
    </x:row>
    <x:row r="147">
      <x:c r="A147" t="s">
        <x:v>353</x:v>
      </x:c>
      <x:c r="B147" t="s">
        <x:v>115</x:v>
      </x:c>
      <x:c r="C147" t="s">
        <x:v>44</x:v>
      </x:c>
      <x:c r="D147">
        <x:v>45955</x:v>
      </x:c>
      <x:c r="E147" t="s">
        <x:v>45</x:v>
      </x:c>
      <x:c r="F147" t="s">
        <x:v>51</x:v>
      </x:c>
      <x:c r="G147">
        <x:v>21</x:v>
      </x:c>
      <x:c r="H147" t="s">
        <x:v>52</x:v>
      </x:c>
      <x:c r="I147">
        <x:v>13</x:v>
      </x:c>
      <x:c r="J147">
        <x:v>10</x:v>
      </x:c>
      <x:c r="K147">
        <x:v>3</x:v>
      </x:c>
      <x:c r="L147">
        <x:f t="shared" si="14"/>
        <x:v>0</x:v>
      </x:c>
      <x:c r="P147">
        <x:f t="shared" si="15"/>
        <x:v>0</x:v>
      </x:c>
      <x:c r="Q147">
        <x:f t="shared" si="16"/>
        <x:v>0</x:v>
      </x:c>
      <x:c r="R147">
        <x:f t="shared" si="17"/>
        <x:v>0</x:v>
      </x:c>
      <x:c r="S147">
        <x:f t="shared" si="18"/>
        <x:v>0</x:v>
      </x:c>
      <x:c r="T147" t="str">
        <x:f t="shared" si="19"/>
        <x:v>DerivedFromCount</x:v>
      </x:c>
      <x:c r="U147" t="str">
        <x:f>IF(COUNTIF(DailyProduction!$Q$5:$Q$100,B147)=1,"OK","CHECK")</x:f>
        <x:v>OK</x:v>
      </x:c>
      <x:c r="V147" t="str">
        <x:f t="shared" si="20"/>
        <x:v>OK</x:v>
      </x:c>
      <x:c r="W147" t="str">
        <x:f>IF(SUMIF($B$5:$B$914,B147,$S$5:$S$914)=SUMIF(DailyProduction!$Q$5:$Q$100,B147,DailyProduction!$R$5:$R$100),"OK","CHECK")</x:f>
        <x:v>OK</x:v>
      </x:c>
      <x:c r="X147" t="str">
        <x:v>PLC-PRD-JAR-330-L21</x:v>
      </x:c>
      <x:c r="Y147" t="str">
        <x:v>OK</x:v>
      </x:c>
      <x:c r="Z147" t="str">
        <x:v>OK</x:v>
      </x:c>
      <x:c r="AA147" t="n">
        <x:v>3</x:v>
      </x:c>
      <x:c r="AB147" t="n">
        <x:v>0</x:v>
      </x:c>
      <x:c r="AC147" t="str">
        <x:v>OK</x:v>
      </x:c>
      <x:c r="AD147" t="str">
        <x:v>OK</x:v>
      </x:c>
      <x:c r="AE147" t="str">
        <x:v>LOAD</x:v>
      </x:c>
      <x:c r="AF147" t="str">
        <x:v>02_Supervisor_Log(4).xlsx</x:v>
      </x:c>
      <x:c r="AG147" t="str">
        <x:v>ENH-20260830-01</x:v>
      </x:c>
      <x:c r="AH147" t="str">
        <x:v>Active</x:v>
      </x:c>
      <x:c r="AI147"/>
      <x:c r="AJ147"/>
      <x:c r="AK147"/>
      <x:c r="AL147"/>
    </x:row>
    <x:row r="148">
      <x:c r="A148" t="s">
        <x:v>354</x:v>
      </x:c>
      <x:c r="B148" t="s">
        <x:v>355</x:v>
      </x:c>
      <x:c r="C148" t="s">
        <x:v>44</x:v>
      </x:c>
      <x:c r="D148">
        <x:v>45955</x:v>
      </x:c>
      <x:c r="E148" t="s">
        <x:v>187</x:v>
      </x:c>
      <x:c r="F148" t="s">
        <x:v>55</x:v>
      </x:c>
      <x:c r="G148">
        <x:v>21</x:v>
      </x:c>
      <x:c r="H148" t="s">
        <x:v>52</x:v>
      </x:c>
      <x:c r="I148">
        <x:v>1</x:v>
      </x:c>
      <x:c r="J148">
        <x:v>10</x:v>
      </x:c>
      <x:c r="K148">
        <x:v>3</x:v>
      </x:c>
      <x:c r="L148">
        <x:f t="shared" si="14"/>
        <x:v>1</x:v>
      </x:c>
      <x:c r="P148">
        <x:f t="shared" si="15"/>
        <x:v>1</x:v>
      </x:c>
      <x:c r="Q148">
        <x:f t="shared" si="16"/>
        <x:v>1</x:v>
      </x:c>
      <x:c r="R148">
        <x:f t="shared" si="17"/>
        <x:v>1</x:v>
      </x:c>
      <x:c r="S148">
        <x:f t="shared" si="18"/>
        <x:v>3</x:v>
      </x:c>
      <x:c r="T148" t="str">
        <x:f t="shared" si="19"/>
        <x:v>DerivedFromCount</x:v>
      </x:c>
      <x:c r="U148" t="str">
        <x:f>IF(COUNTIF(DailyProduction!$Q$5:$Q$100,B148)=1,"OK","CHECK")</x:f>
        <x:v>OK</x:v>
      </x:c>
      <x:c r="V148" t="str">
        <x:f t="shared" si="20"/>
        <x:v>OK</x:v>
      </x:c>
      <x:c r="W148" t="str">
        <x:f>IF(SUMIF($B$5:$B$914,B148,$S$5:$S$914)=SUMIF(DailyProduction!$Q$5:$Q$100,B148,DailyProduction!$R$5:$R$100),"OK","CHECK")</x:f>
        <x:v>OK</x:v>
      </x:c>
      <x:c r="X148" t="str">
        <x:v>PLC-PRD-JAR-330-L21</x:v>
      </x:c>
      <x:c r="Y148" t="str">
        <x:v>OK</x:v>
      </x:c>
      <x:c r="Z148" t="str">
        <x:v>OK</x:v>
      </x:c>
      <x:c r="AA148" t="n">
        <x:v>3</x:v>
      </x:c>
      <x:c r="AB148" t="n">
        <x:v>3</x:v>
      </x:c>
      <x:c r="AC148" t="str">
        <x:v>OK</x:v>
      </x:c>
      <x:c r="AD148" t="str">
        <x:v>OK</x:v>
      </x:c>
      <x:c r="AE148" t="str">
        <x:v>LOAD</x:v>
      </x:c>
      <x:c r="AF148" t="str">
        <x:v>02_Supervisor_Log(4).xlsx</x:v>
      </x:c>
      <x:c r="AG148" t="str">
        <x:v>ENH-20260830-01</x:v>
      </x:c>
      <x:c r="AH148" t="str">
        <x:v>Active</x:v>
      </x:c>
      <x:c r="AI148"/>
      <x:c r="AJ148"/>
      <x:c r="AK148"/>
      <x:c r="AL148"/>
    </x:row>
    <x:row r="149">
      <x:c r="A149" t="s">
        <x:v>356</x:v>
      </x:c>
      <x:c r="B149" t="s">
        <x:v>355</x:v>
      </x:c>
      <x:c r="C149" t="s">
        <x:v>44</x:v>
      </x:c>
      <x:c r="D149">
        <x:v>45955</x:v>
      </x:c>
      <x:c r="E149" t="s">
        <x:v>187</x:v>
      </x:c>
      <x:c r="F149" t="s">
        <x:v>55</x:v>
      </x:c>
      <x:c r="G149">
        <x:v>21</x:v>
      </x:c>
      <x:c r="H149" t="s">
        <x:v>52</x:v>
      </x:c>
      <x:c r="I149">
        <x:v>2</x:v>
      </x:c>
      <x:c r="J149">
        <x:v>10</x:v>
      </x:c>
      <x:c r="K149">
        <x:v>3</x:v>
      </x:c>
      <x:c r="L149">
        <x:f t="shared" si="14"/>
        <x:v>1</x:v>
      </x:c>
      <x:c r="P149">
        <x:f t="shared" si="15"/>
        <x:v>1</x:v>
      </x:c>
      <x:c r="Q149">
        <x:f t="shared" si="16"/>
        <x:v>1</x:v>
      </x:c>
      <x:c r="R149">
        <x:f t="shared" si="17"/>
        <x:v>1</x:v>
      </x:c>
      <x:c r="S149">
        <x:f t="shared" si="18"/>
        <x:v>3</x:v>
      </x:c>
      <x:c r="T149" t="str">
        <x:f t="shared" si="19"/>
        <x:v>DerivedFromCount</x:v>
      </x:c>
      <x:c r="U149" t="str">
        <x:f>IF(COUNTIF(DailyProduction!$Q$5:$Q$100,B149)=1,"OK","CHECK")</x:f>
        <x:v>OK</x:v>
      </x:c>
      <x:c r="V149" t="str">
        <x:f t="shared" si="20"/>
        <x:v>OK</x:v>
      </x:c>
      <x:c r="W149" t="str">
        <x:f>IF(SUMIF($B$5:$B$914,B149,$S$5:$S$914)=SUMIF(DailyProduction!$Q$5:$Q$100,B149,DailyProduction!$R$5:$R$100),"OK","CHECK")</x:f>
        <x:v>OK</x:v>
      </x:c>
      <x:c r="X149" t="str">
        <x:v>PLC-PRD-JAR-330-L21</x:v>
      </x:c>
      <x:c r="Y149" t="str">
        <x:v>OK</x:v>
      </x:c>
      <x:c r="Z149" t="str">
        <x:v>OK</x:v>
      </x:c>
      <x:c r="AA149" t="n">
        <x:v>3</x:v>
      </x:c>
      <x:c r="AB149" t="n">
        <x:v>3</x:v>
      </x:c>
      <x:c r="AC149" t="str">
        <x:v>OK</x:v>
      </x:c>
      <x:c r="AD149" t="str">
        <x:v>OK</x:v>
      </x:c>
      <x:c r="AE149" t="str">
        <x:v>LOAD</x:v>
      </x:c>
      <x:c r="AF149" t="str">
        <x:v>02_Supervisor_Log(4).xlsx</x:v>
      </x:c>
      <x:c r="AG149" t="str">
        <x:v>ENH-20260830-01</x:v>
      </x:c>
      <x:c r="AH149" t="str">
        <x:v>Active</x:v>
      </x:c>
      <x:c r="AI149"/>
      <x:c r="AJ149"/>
      <x:c r="AK149"/>
      <x:c r="AL149"/>
    </x:row>
    <x:row r="150">
      <x:c r="A150" t="s">
        <x:v>357</x:v>
      </x:c>
      <x:c r="B150" t="s">
        <x:v>355</x:v>
      </x:c>
      <x:c r="C150" t="s">
        <x:v>44</x:v>
      </x:c>
      <x:c r="D150">
        <x:v>45955</x:v>
      </x:c>
      <x:c r="E150" t="s">
        <x:v>187</x:v>
      </x:c>
      <x:c r="F150" t="s">
        <x:v>55</x:v>
      </x:c>
      <x:c r="G150">
        <x:v>21</x:v>
      </x:c>
      <x:c r="H150" t="s">
        <x:v>52</x:v>
      </x:c>
      <x:c r="I150">
        <x:v>3</x:v>
      </x:c>
      <x:c r="J150">
        <x:v>10</x:v>
      </x:c>
      <x:c r="K150">
        <x:v>3</x:v>
      </x:c>
      <x:c r="L150">
        <x:f t="shared" si="14"/>
        <x:v>1</x:v>
      </x:c>
      <x:c r="P150">
        <x:f t="shared" si="15"/>
        <x:v>1</x:v>
      </x:c>
      <x:c r="Q150">
        <x:f t="shared" si="16"/>
        <x:v>1</x:v>
      </x:c>
      <x:c r="R150">
        <x:f t="shared" si="17"/>
        <x:v>1</x:v>
      </x:c>
      <x:c r="S150">
        <x:f t="shared" si="18"/>
        <x:v>3</x:v>
      </x:c>
      <x:c r="T150" t="str">
        <x:f t="shared" si="19"/>
        <x:v>DerivedFromCount</x:v>
      </x:c>
      <x:c r="U150" t="str">
        <x:f>IF(COUNTIF(DailyProduction!$Q$5:$Q$100,B150)=1,"OK","CHECK")</x:f>
        <x:v>OK</x:v>
      </x:c>
      <x:c r="V150" t="str">
        <x:f t="shared" si="20"/>
        <x:v>OK</x:v>
      </x:c>
      <x:c r="W150" t="str">
        <x:f>IF(SUMIF($B$5:$B$914,B150,$S$5:$S$914)=SUMIF(DailyProduction!$Q$5:$Q$100,B150,DailyProduction!$R$5:$R$100),"OK","CHECK")</x:f>
        <x:v>OK</x:v>
      </x:c>
      <x:c r="X150" t="str">
        <x:v>PLC-PRD-JAR-330-L21</x:v>
      </x:c>
      <x:c r="Y150" t="str">
        <x:v>OK</x:v>
      </x:c>
      <x:c r="Z150" t="str">
        <x:v>OK</x:v>
      </x:c>
      <x:c r="AA150" t="n">
        <x:v>3</x:v>
      </x:c>
      <x:c r="AB150" t="n">
        <x:v>3</x:v>
      </x:c>
      <x:c r="AC150" t="str">
        <x:v>OK</x:v>
      </x:c>
      <x:c r="AD150" t="str">
        <x:v>OK</x:v>
      </x:c>
      <x:c r="AE150" t="str">
        <x:v>LOAD</x:v>
      </x:c>
      <x:c r="AF150" t="str">
        <x:v>02_Supervisor_Log(4).xlsx</x:v>
      </x:c>
      <x:c r="AG150" t="str">
        <x:v>ENH-20260830-01</x:v>
      </x:c>
      <x:c r="AH150" t="str">
        <x:v>Active</x:v>
      </x:c>
      <x:c r="AI150"/>
      <x:c r="AJ150"/>
      <x:c r="AK150"/>
      <x:c r="AL150"/>
    </x:row>
    <x:row r="151">
      <x:c r="A151" t="s">
        <x:v>358</x:v>
      </x:c>
      <x:c r="B151" t="s">
        <x:v>355</x:v>
      </x:c>
      <x:c r="C151" t="s">
        <x:v>44</x:v>
      </x:c>
      <x:c r="D151">
        <x:v>45955</x:v>
      </x:c>
      <x:c r="E151" t="s">
        <x:v>187</x:v>
      </x:c>
      <x:c r="F151" t="s">
        <x:v>55</x:v>
      </x:c>
      <x:c r="G151">
        <x:v>21</x:v>
      </x:c>
      <x:c r="H151" t="s">
        <x:v>52</x:v>
      </x:c>
      <x:c r="I151">
        <x:v>4</x:v>
      </x:c>
      <x:c r="J151">
        <x:v>10</x:v>
      </x:c>
      <x:c r="K151">
        <x:v>3</x:v>
      </x:c>
      <x:c r="L151">
        <x:f t="shared" si="14"/>
        <x:v>1</x:v>
      </x:c>
      <x:c r="P151">
        <x:f t="shared" si="15"/>
        <x:v>1</x:v>
      </x:c>
      <x:c r="Q151">
        <x:f t="shared" si="16"/>
        <x:v>1</x:v>
      </x:c>
      <x:c r="R151">
        <x:f t="shared" si="17"/>
        <x:v>1</x:v>
      </x:c>
      <x:c r="S151">
        <x:f t="shared" si="18"/>
        <x:v>3</x:v>
      </x:c>
      <x:c r="T151" t="str">
        <x:f t="shared" si="19"/>
        <x:v>DerivedFromCount</x:v>
      </x:c>
      <x:c r="U151" t="str">
        <x:f>IF(COUNTIF(DailyProduction!$Q$5:$Q$100,B151)=1,"OK","CHECK")</x:f>
        <x:v>OK</x:v>
      </x:c>
      <x:c r="V151" t="str">
        <x:f t="shared" si="20"/>
        <x:v>OK</x:v>
      </x:c>
      <x:c r="W151" t="str">
        <x:f>IF(SUMIF($B$5:$B$914,B151,$S$5:$S$914)=SUMIF(DailyProduction!$Q$5:$Q$100,B151,DailyProduction!$R$5:$R$100),"OK","CHECK")</x:f>
        <x:v>OK</x:v>
      </x:c>
      <x:c r="X151" t="str">
        <x:v>PLC-PRD-JAR-330-L21</x:v>
      </x:c>
      <x:c r="Y151" t="str">
        <x:v>OK</x:v>
      </x:c>
      <x:c r="Z151" t="str">
        <x:v>OK</x:v>
      </x:c>
      <x:c r="AA151" t="n">
        <x:v>3</x:v>
      </x:c>
      <x:c r="AB151" t="n">
        <x:v>3</x:v>
      </x:c>
      <x:c r="AC151" t="str">
        <x:v>OK</x:v>
      </x:c>
      <x:c r="AD151" t="str">
        <x:v>OK</x:v>
      </x:c>
      <x:c r="AE151" t="str">
        <x:v>LOAD</x:v>
      </x:c>
      <x:c r="AF151" t="str">
        <x:v>02_Supervisor_Log(4).xlsx</x:v>
      </x:c>
      <x:c r="AG151" t="str">
        <x:v>ENH-20260830-01</x:v>
      </x:c>
      <x:c r="AH151" t="str">
        <x:v>Active</x:v>
      </x:c>
      <x:c r="AI151"/>
      <x:c r="AJ151"/>
      <x:c r="AK151"/>
      <x:c r="AL151"/>
    </x:row>
    <x:row r="152">
      <x:c r="A152" t="s">
        <x:v>359</x:v>
      </x:c>
      <x:c r="B152" t="s">
        <x:v>355</x:v>
      </x:c>
      <x:c r="C152" t="s">
        <x:v>44</x:v>
      </x:c>
      <x:c r="D152">
        <x:v>45955</x:v>
      </x:c>
      <x:c r="E152" t="s">
        <x:v>187</x:v>
      </x:c>
      <x:c r="F152" t="s">
        <x:v>55</x:v>
      </x:c>
      <x:c r="G152">
        <x:v>21</x:v>
      </x:c>
      <x:c r="H152" t="s">
        <x:v>52</x:v>
      </x:c>
      <x:c r="I152">
        <x:v>5</x:v>
      </x:c>
      <x:c r="J152">
        <x:v>10</x:v>
      </x:c>
      <x:c r="K152">
        <x:v>3</x:v>
      </x:c>
      <x:c r="L152">
        <x:f t="shared" si="14"/>
        <x:v>1</x:v>
      </x:c>
      <x:c r="P152">
        <x:f t="shared" si="15"/>
        <x:v>1</x:v>
      </x:c>
      <x:c r="Q152">
        <x:f t="shared" si="16"/>
        <x:v>1</x:v>
      </x:c>
      <x:c r="R152">
        <x:f t="shared" si="17"/>
        <x:v>1</x:v>
      </x:c>
      <x:c r="S152">
        <x:f t="shared" si="18"/>
        <x:v>3</x:v>
      </x:c>
      <x:c r="T152" t="str">
        <x:f t="shared" si="19"/>
        <x:v>DerivedFromCount</x:v>
      </x:c>
      <x:c r="U152" t="str">
        <x:f>IF(COUNTIF(DailyProduction!$Q$5:$Q$100,B152)=1,"OK","CHECK")</x:f>
        <x:v>OK</x:v>
      </x:c>
      <x:c r="V152" t="str">
        <x:f t="shared" si="20"/>
        <x:v>OK</x:v>
      </x:c>
      <x:c r="W152" t="str">
        <x:f>IF(SUMIF($B$5:$B$914,B152,$S$5:$S$914)=SUMIF(DailyProduction!$Q$5:$Q$100,B152,DailyProduction!$R$5:$R$100),"OK","CHECK")</x:f>
        <x:v>OK</x:v>
      </x:c>
      <x:c r="X152" t="str">
        <x:v>PLC-PRD-JAR-330-L21</x:v>
      </x:c>
      <x:c r="Y152" t="str">
        <x:v>OK</x:v>
      </x:c>
      <x:c r="Z152" t="str">
        <x:v>OK</x:v>
      </x:c>
      <x:c r="AA152" t="n">
        <x:v>3</x:v>
      </x:c>
      <x:c r="AB152" t="n">
        <x:v>3</x:v>
      </x:c>
      <x:c r="AC152" t="str">
        <x:v>OK</x:v>
      </x:c>
      <x:c r="AD152" t="str">
        <x:v>OK</x:v>
      </x:c>
      <x:c r="AE152" t="str">
        <x:v>LOAD</x:v>
      </x:c>
      <x:c r="AF152" t="str">
        <x:v>02_Supervisor_Log(4).xlsx</x:v>
      </x:c>
      <x:c r="AG152" t="str">
        <x:v>ENH-20260830-01</x:v>
      </x:c>
      <x:c r="AH152" t="str">
        <x:v>Active</x:v>
      </x:c>
      <x:c r="AI152"/>
      <x:c r="AJ152"/>
      <x:c r="AK152"/>
      <x:c r="AL152"/>
    </x:row>
    <x:row r="153">
      <x:c r="A153" t="s">
        <x:v>360</x:v>
      </x:c>
      <x:c r="B153" t="s">
        <x:v>355</x:v>
      </x:c>
      <x:c r="C153" t="s">
        <x:v>44</x:v>
      </x:c>
      <x:c r="D153">
        <x:v>45955</x:v>
      </x:c>
      <x:c r="E153" t="s">
        <x:v>187</x:v>
      </x:c>
      <x:c r="F153" t="s">
        <x:v>55</x:v>
      </x:c>
      <x:c r="G153">
        <x:v>21</x:v>
      </x:c>
      <x:c r="H153" t="s">
        <x:v>52</x:v>
      </x:c>
      <x:c r="I153">
        <x:v>6</x:v>
      </x:c>
      <x:c r="J153">
        <x:v>10</x:v>
      </x:c>
      <x:c r="K153">
        <x:v>3</x:v>
      </x:c>
      <x:c r="L153">
        <x:f t="shared" si="14"/>
        <x:v>1</x:v>
      </x:c>
      <x:c r="P153">
        <x:f t="shared" si="15"/>
        <x:v>1</x:v>
      </x:c>
      <x:c r="Q153">
        <x:f t="shared" si="16"/>
        <x:v>1</x:v>
      </x:c>
      <x:c r="R153">
        <x:f t="shared" si="17"/>
        <x:v>1</x:v>
      </x:c>
      <x:c r="S153">
        <x:f t="shared" si="18"/>
        <x:v>3</x:v>
      </x:c>
      <x:c r="T153" t="str">
        <x:f t="shared" si="19"/>
        <x:v>DerivedFromCount</x:v>
      </x:c>
      <x:c r="U153" t="str">
        <x:f>IF(COUNTIF(DailyProduction!$Q$5:$Q$100,B153)=1,"OK","CHECK")</x:f>
        <x:v>OK</x:v>
      </x:c>
      <x:c r="V153" t="str">
        <x:f t="shared" si="20"/>
        <x:v>OK</x:v>
      </x:c>
      <x:c r="W153" t="str">
        <x:f>IF(SUMIF($B$5:$B$914,B153,$S$5:$S$914)=SUMIF(DailyProduction!$Q$5:$Q$100,B153,DailyProduction!$R$5:$R$100),"OK","CHECK")</x:f>
        <x:v>OK</x:v>
      </x:c>
      <x:c r="X153" t="str">
        <x:v>PLC-PRD-JAR-330-L21</x:v>
      </x:c>
      <x:c r="Y153" t="str">
        <x:v>OK</x:v>
      </x:c>
      <x:c r="Z153" t="str">
        <x:v>OK</x:v>
      </x:c>
      <x:c r="AA153" t="n">
        <x:v>3</x:v>
      </x:c>
      <x:c r="AB153" t="n">
        <x:v>3</x:v>
      </x:c>
      <x:c r="AC153" t="str">
        <x:v>OK</x:v>
      </x:c>
      <x:c r="AD153" t="str">
        <x:v>OK</x:v>
      </x:c>
      <x:c r="AE153" t="str">
        <x:v>LOAD</x:v>
      </x:c>
      <x:c r="AF153" t="str">
        <x:v>02_Supervisor_Log(4).xlsx</x:v>
      </x:c>
      <x:c r="AG153" t="str">
        <x:v>ENH-20260830-01</x:v>
      </x:c>
      <x:c r="AH153" t="str">
        <x:v>Active</x:v>
      </x:c>
      <x:c r="AI153"/>
      <x:c r="AJ153"/>
      <x:c r="AK153"/>
      <x:c r="AL153"/>
    </x:row>
    <x:row r="154">
      <x:c r="A154" t="s">
        <x:v>361</x:v>
      </x:c>
      <x:c r="B154" t="s">
        <x:v>355</x:v>
      </x:c>
      <x:c r="C154" t="s">
        <x:v>44</x:v>
      </x:c>
      <x:c r="D154">
        <x:v>45955</x:v>
      </x:c>
      <x:c r="E154" t="s">
        <x:v>187</x:v>
      </x:c>
      <x:c r="F154" t="s">
        <x:v>55</x:v>
      </x:c>
      <x:c r="G154">
        <x:v>21</x:v>
      </x:c>
      <x:c r="H154" t="s">
        <x:v>52</x:v>
      </x:c>
      <x:c r="I154">
        <x:v>7</x:v>
      </x:c>
      <x:c r="J154">
        <x:v>10</x:v>
      </x:c>
      <x:c r="K154">
        <x:v>3</x:v>
      </x:c>
      <x:c r="L154">
        <x:f t="shared" si="14"/>
        <x:v>1</x:v>
      </x:c>
      <x:c r="P154">
        <x:f t="shared" si="15"/>
        <x:v>1</x:v>
      </x:c>
      <x:c r="Q154">
        <x:f t="shared" si="16"/>
        <x:v>1</x:v>
      </x:c>
      <x:c r="R154">
        <x:f t="shared" si="17"/>
        <x:v>1</x:v>
      </x:c>
      <x:c r="S154">
        <x:f t="shared" si="18"/>
        <x:v>3</x:v>
      </x:c>
      <x:c r="T154" t="str">
        <x:f t="shared" si="19"/>
        <x:v>DerivedFromCount</x:v>
      </x:c>
      <x:c r="U154" t="str">
        <x:f>IF(COUNTIF(DailyProduction!$Q$5:$Q$100,B154)=1,"OK","CHECK")</x:f>
        <x:v>OK</x:v>
      </x:c>
      <x:c r="V154" t="str">
        <x:f t="shared" si="20"/>
        <x:v>OK</x:v>
      </x:c>
      <x:c r="W154" t="str">
        <x:f>IF(SUMIF($B$5:$B$914,B154,$S$5:$S$914)=SUMIF(DailyProduction!$Q$5:$Q$100,B154,DailyProduction!$R$5:$R$100),"OK","CHECK")</x:f>
        <x:v>OK</x:v>
      </x:c>
      <x:c r="X154" t="str">
        <x:v>PLC-PRD-JAR-330-L21</x:v>
      </x:c>
      <x:c r="Y154" t="str">
        <x:v>OK</x:v>
      </x:c>
      <x:c r="Z154" t="str">
        <x:v>OK</x:v>
      </x:c>
      <x:c r="AA154" t="n">
        <x:v>3</x:v>
      </x:c>
      <x:c r="AB154" t="n">
        <x:v>3</x:v>
      </x:c>
      <x:c r="AC154" t="str">
        <x:v>OK</x:v>
      </x:c>
      <x:c r="AD154" t="str">
        <x:v>OK</x:v>
      </x:c>
      <x:c r="AE154" t="str">
        <x:v>LOAD</x:v>
      </x:c>
      <x:c r="AF154" t="str">
        <x:v>02_Supervisor_Log(4).xlsx</x:v>
      </x:c>
      <x:c r="AG154" t="str">
        <x:v>ENH-20260830-01</x:v>
      </x:c>
      <x:c r="AH154" t="str">
        <x:v>Active</x:v>
      </x:c>
      <x:c r="AI154"/>
      <x:c r="AJ154"/>
      <x:c r="AK154"/>
      <x:c r="AL154"/>
    </x:row>
    <x:row r="155">
      <x:c r="A155" t="s">
        <x:v>362</x:v>
      </x:c>
      <x:c r="B155" t="s">
        <x:v>355</x:v>
      </x:c>
      <x:c r="C155" t="s">
        <x:v>44</x:v>
      </x:c>
      <x:c r="D155">
        <x:v>45955</x:v>
      </x:c>
      <x:c r="E155" t="s">
        <x:v>187</x:v>
      </x:c>
      <x:c r="F155" t="s">
        <x:v>55</x:v>
      </x:c>
      <x:c r="G155">
        <x:v>21</x:v>
      </x:c>
      <x:c r="H155" t="s">
        <x:v>52</x:v>
      </x:c>
      <x:c r="I155">
        <x:v>8</x:v>
      </x:c>
      <x:c r="J155">
        <x:v>10</x:v>
      </x:c>
      <x:c r="K155">
        <x:v>3</x:v>
      </x:c>
      <x:c r="L155">
        <x:f t="shared" si="14"/>
        <x:v>1</x:v>
      </x:c>
      <x:c r="P155">
        <x:f t="shared" si="15"/>
        <x:v>1</x:v>
      </x:c>
      <x:c r="Q155">
        <x:f t="shared" si="16"/>
        <x:v>1</x:v>
      </x:c>
      <x:c r="R155">
        <x:f t="shared" si="17"/>
        <x:v>1</x:v>
      </x:c>
      <x:c r="S155">
        <x:f t="shared" si="18"/>
        <x:v>3</x:v>
      </x:c>
      <x:c r="T155" t="str">
        <x:f t="shared" si="19"/>
        <x:v>DerivedFromCount</x:v>
      </x:c>
      <x:c r="U155" t="str">
        <x:f>IF(COUNTIF(DailyProduction!$Q$5:$Q$100,B155)=1,"OK","CHECK")</x:f>
        <x:v>OK</x:v>
      </x:c>
      <x:c r="V155" t="str">
        <x:f t="shared" si="20"/>
        <x:v>OK</x:v>
      </x:c>
      <x:c r="W155" t="str">
        <x:f>IF(SUMIF($B$5:$B$914,B155,$S$5:$S$914)=SUMIF(DailyProduction!$Q$5:$Q$100,B155,DailyProduction!$R$5:$R$100),"OK","CHECK")</x:f>
        <x:v>OK</x:v>
      </x:c>
      <x:c r="X155" t="str">
        <x:v>PLC-PRD-JAR-330-L21</x:v>
      </x:c>
      <x:c r="Y155" t="str">
        <x:v>OK</x:v>
      </x:c>
      <x:c r="Z155" t="str">
        <x:v>OK</x:v>
      </x:c>
      <x:c r="AA155" t="n">
        <x:v>3</x:v>
      </x:c>
      <x:c r="AB155" t="n">
        <x:v>3</x:v>
      </x:c>
      <x:c r="AC155" t="str">
        <x:v>OK</x:v>
      </x:c>
      <x:c r="AD155" t="str">
        <x:v>OK</x:v>
      </x:c>
      <x:c r="AE155" t="str">
        <x:v>LOAD</x:v>
      </x:c>
      <x:c r="AF155" t="str">
        <x:v>02_Supervisor_Log(4).xlsx</x:v>
      </x:c>
      <x:c r="AG155" t="str">
        <x:v>ENH-20260830-01</x:v>
      </x:c>
      <x:c r="AH155" t="str">
        <x:v>Active</x:v>
      </x:c>
      <x:c r="AI155"/>
      <x:c r="AJ155"/>
      <x:c r="AK155"/>
      <x:c r="AL155"/>
    </x:row>
    <x:row r="156">
      <x:c r="A156" t="s">
        <x:v>363</x:v>
      </x:c>
      <x:c r="B156" t="s">
        <x:v>355</x:v>
      </x:c>
      <x:c r="C156" t="s">
        <x:v>44</x:v>
      </x:c>
      <x:c r="D156">
        <x:v>45955</x:v>
      </x:c>
      <x:c r="E156" t="s">
        <x:v>187</x:v>
      </x:c>
      <x:c r="F156" t="s">
        <x:v>55</x:v>
      </x:c>
      <x:c r="G156">
        <x:v>21</x:v>
      </x:c>
      <x:c r="H156" t="s">
        <x:v>52</x:v>
      </x:c>
      <x:c r="I156">
        <x:v>9</x:v>
      </x:c>
      <x:c r="J156">
        <x:v>10</x:v>
      </x:c>
      <x:c r="K156">
        <x:v>3</x:v>
      </x:c>
      <x:c r="L156">
        <x:f t="shared" si="14"/>
        <x:v>1</x:v>
      </x:c>
      <x:c r="P156">
        <x:f t="shared" si="15"/>
        <x:v>1</x:v>
      </x:c>
      <x:c r="Q156">
        <x:f t="shared" si="16"/>
        <x:v>1</x:v>
      </x:c>
      <x:c r="R156">
        <x:f t="shared" si="17"/>
        <x:v>1</x:v>
      </x:c>
      <x:c r="S156">
        <x:f t="shared" si="18"/>
        <x:v>3</x:v>
      </x:c>
      <x:c r="T156" t="str">
        <x:f t="shared" si="19"/>
        <x:v>DerivedFromCount</x:v>
      </x:c>
      <x:c r="U156" t="str">
        <x:f>IF(COUNTIF(DailyProduction!$Q$5:$Q$100,B156)=1,"OK","CHECK")</x:f>
        <x:v>OK</x:v>
      </x:c>
      <x:c r="V156" t="str">
        <x:f t="shared" si="20"/>
        <x:v>OK</x:v>
      </x:c>
      <x:c r="W156" t="str">
        <x:f>IF(SUMIF($B$5:$B$914,B156,$S$5:$S$914)=SUMIF(DailyProduction!$Q$5:$Q$100,B156,DailyProduction!$R$5:$R$100),"OK","CHECK")</x:f>
        <x:v>OK</x:v>
      </x:c>
      <x:c r="X156" t="str">
        <x:v>PLC-PRD-JAR-330-L21</x:v>
      </x:c>
      <x:c r="Y156" t="str">
        <x:v>OK</x:v>
      </x:c>
      <x:c r="Z156" t="str">
        <x:v>OK</x:v>
      </x:c>
      <x:c r="AA156" t="n">
        <x:v>3</x:v>
      </x:c>
      <x:c r="AB156" t="n">
        <x:v>3</x:v>
      </x:c>
      <x:c r="AC156" t="str">
        <x:v>OK</x:v>
      </x:c>
      <x:c r="AD156" t="str">
        <x:v>OK</x:v>
      </x:c>
      <x:c r="AE156" t="str">
        <x:v>LOAD</x:v>
      </x:c>
      <x:c r="AF156" t="str">
        <x:v>02_Supervisor_Log(4).xlsx</x:v>
      </x:c>
      <x:c r="AG156" t="str">
        <x:v>ENH-20260830-01</x:v>
      </x:c>
      <x:c r="AH156" t="str">
        <x:v>Active</x:v>
      </x:c>
      <x:c r="AI156"/>
      <x:c r="AJ156"/>
      <x:c r="AK156"/>
      <x:c r="AL156"/>
    </x:row>
    <x:row r="157">
      <x:c r="A157" t="s">
        <x:v>364</x:v>
      </x:c>
      <x:c r="B157" t="s">
        <x:v>355</x:v>
      </x:c>
      <x:c r="C157" t="s">
        <x:v>44</x:v>
      </x:c>
      <x:c r="D157">
        <x:v>45955</x:v>
      </x:c>
      <x:c r="E157" t="s">
        <x:v>187</x:v>
      </x:c>
      <x:c r="F157" t="s">
        <x:v>55</x:v>
      </x:c>
      <x:c r="G157">
        <x:v>21</x:v>
      </x:c>
      <x:c r="H157" t="s">
        <x:v>52</x:v>
      </x:c>
      <x:c r="I157">
        <x:v>10</x:v>
      </x:c>
      <x:c r="J157">
        <x:v>10</x:v>
      </x:c>
      <x:c r="K157">
        <x:v>3</x:v>
      </x:c>
      <x:c r="L157">
        <x:f t="shared" si="14"/>
        <x:v>1</x:v>
      </x:c>
      <x:c r="P157">
        <x:f t="shared" si="15"/>
        <x:v>1</x:v>
      </x:c>
      <x:c r="Q157">
        <x:f t="shared" si="16"/>
        <x:v>1</x:v>
      </x:c>
      <x:c r="R157">
        <x:f t="shared" si="17"/>
        <x:v>1</x:v>
      </x:c>
      <x:c r="S157">
        <x:f t="shared" si="18"/>
        <x:v>3</x:v>
      </x:c>
      <x:c r="T157" t="str">
        <x:f t="shared" si="19"/>
        <x:v>DerivedFromCount</x:v>
      </x:c>
      <x:c r="U157" t="str">
        <x:f>IF(COUNTIF(DailyProduction!$Q$5:$Q$100,B157)=1,"OK","CHECK")</x:f>
        <x:v>OK</x:v>
      </x:c>
      <x:c r="V157" t="str">
        <x:f t="shared" si="20"/>
        <x:v>OK</x:v>
      </x:c>
      <x:c r="W157" t="str">
        <x:f>IF(SUMIF($B$5:$B$914,B157,$S$5:$S$914)=SUMIF(DailyProduction!$Q$5:$Q$100,B157,DailyProduction!$R$5:$R$100),"OK","CHECK")</x:f>
        <x:v>OK</x:v>
      </x:c>
      <x:c r="X157" t="str">
        <x:v>PLC-PRD-JAR-330-L21</x:v>
      </x:c>
      <x:c r="Y157" t="str">
        <x:v>OK</x:v>
      </x:c>
      <x:c r="Z157" t="str">
        <x:v>OK</x:v>
      </x:c>
      <x:c r="AA157" t="n">
        <x:v>3</x:v>
      </x:c>
      <x:c r="AB157" t="n">
        <x:v>3</x:v>
      </x:c>
      <x:c r="AC157" t="str">
        <x:v>OK</x:v>
      </x:c>
      <x:c r="AD157" t="str">
        <x:v>OK</x:v>
      </x:c>
      <x:c r="AE157" t="str">
        <x:v>LOAD</x:v>
      </x:c>
      <x:c r="AF157" t="str">
        <x:v>02_Supervisor_Log(4).xlsx</x:v>
      </x:c>
      <x:c r="AG157" t="str">
        <x:v>ENH-20260830-01</x:v>
      </x:c>
      <x:c r="AH157" t="str">
        <x:v>Active</x:v>
      </x:c>
      <x:c r="AI157"/>
      <x:c r="AJ157"/>
      <x:c r="AK157"/>
      <x:c r="AL157"/>
    </x:row>
    <x:row r="158">
      <x:c r="A158" t="s">
        <x:v>365</x:v>
      </x:c>
      <x:c r="B158" t="s">
        <x:v>355</x:v>
      </x:c>
      <x:c r="C158" t="s">
        <x:v>44</x:v>
      </x:c>
      <x:c r="D158">
        <x:v>45955</x:v>
      </x:c>
      <x:c r="E158" t="s">
        <x:v>187</x:v>
      </x:c>
      <x:c r="F158" t="s">
        <x:v>55</x:v>
      </x:c>
      <x:c r="G158">
        <x:v>21</x:v>
      </x:c>
      <x:c r="H158" t="s">
        <x:v>52</x:v>
      </x:c>
      <x:c r="I158">
        <x:v>11</x:v>
      </x:c>
      <x:c r="J158">
        <x:v>10</x:v>
      </x:c>
      <x:c r="K158">
        <x:v>3</x:v>
      </x:c>
      <x:c r="L158">
        <x:f t="shared" si="14"/>
        <x:v>0</x:v>
      </x:c>
      <x:c r="P158">
        <x:f t="shared" si="15"/>
        <x:v>0</x:v>
      </x:c>
      <x:c r="Q158">
        <x:f t="shared" si="16"/>
        <x:v>0</x:v>
      </x:c>
      <x:c r="R158">
        <x:f t="shared" si="17"/>
        <x:v>0</x:v>
      </x:c>
      <x:c r="S158">
        <x:f t="shared" si="18"/>
        <x:v>0</x:v>
      </x:c>
      <x:c r="T158" t="str">
        <x:f t="shared" si="19"/>
        <x:v>DerivedFromCount</x:v>
      </x:c>
      <x:c r="U158" t="str">
        <x:f>IF(COUNTIF(DailyProduction!$Q$5:$Q$100,B158)=1,"OK","CHECK")</x:f>
        <x:v>OK</x:v>
      </x:c>
      <x:c r="V158" t="str">
        <x:f t="shared" si="20"/>
        <x:v>OK</x:v>
      </x:c>
      <x:c r="W158" t="str">
        <x:f>IF(SUMIF($B$5:$B$914,B158,$S$5:$S$914)=SUMIF(DailyProduction!$Q$5:$Q$100,B158,DailyProduction!$R$5:$R$100),"OK","CHECK")</x:f>
        <x:v>OK</x:v>
      </x:c>
      <x:c r="X158" t="str">
        <x:v>PLC-PRD-JAR-330-L21</x:v>
      </x:c>
      <x:c r="Y158" t="str">
        <x:v>OK</x:v>
      </x:c>
      <x:c r="Z158" t="str">
        <x:v>OK</x:v>
      </x:c>
      <x:c r="AA158" t="n">
        <x:v>3</x:v>
      </x:c>
      <x:c r="AB158" t="n">
        <x:v>0</x:v>
      </x:c>
      <x:c r="AC158" t="str">
        <x:v>OK</x:v>
      </x:c>
      <x:c r="AD158" t="str">
        <x:v>OK</x:v>
      </x:c>
      <x:c r="AE158" t="str">
        <x:v>LOAD</x:v>
      </x:c>
      <x:c r="AF158" t="str">
        <x:v>02_Supervisor_Log(4).xlsx</x:v>
      </x:c>
      <x:c r="AG158" t="str">
        <x:v>ENH-20260830-01</x:v>
      </x:c>
      <x:c r="AH158" t="str">
        <x:v>Active</x:v>
      </x:c>
      <x:c r="AI158"/>
      <x:c r="AJ158"/>
      <x:c r="AK158"/>
      <x:c r="AL158"/>
    </x:row>
    <x:row r="159">
      <x:c r="A159" t="s">
        <x:v>366</x:v>
      </x:c>
      <x:c r="B159" t="s">
        <x:v>355</x:v>
      </x:c>
      <x:c r="C159" t="s">
        <x:v>44</x:v>
      </x:c>
      <x:c r="D159">
        <x:v>45955</x:v>
      </x:c>
      <x:c r="E159" t="s">
        <x:v>187</x:v>
      </x:c>
      <x:c r="F159" t="s">
        <x:v>55</x:v>
      </x:c>
      <x:c r="G159">
        <x:v>21</x:v>
      </x:c>
      <x:c r="H159" t="s">
        <x:v>52</x:v>
      </x:c>
      <x:c r="I159">
        <x:v>12</x:v>
      </x:c>
      <x:c r="J159">
        <x:v>10</x:v>
      </x:c>
      <x:c r="K159">
        <x:v>3</x:v>
      </x:c>
      <x:c r="L159">
        <x:f t="shared" si="14"/>
        <x:v>0</x:v>
      </x:c>
      <x:c r="P159">
        <x:f t="shared" si="15"/>
        <x:v>0</x:v>
      </x:c>
      <x:c r="Q159">
        <x:f t="shared" si="16"/>
        <x:v>0</x:v>
      </x:c>
      <x:c r="R159">
        <x:f t="shared" si="17"/>
        <x:v>0</x:v>
      </x:c>
      <x:c r="S159">
        <x:f t="shared" si="18"/>
        <x:v>0</x:v>
      </x:c>
      <x:c r="T159" t="str">
        <x:f t="shared" si="19"/>
        <x:v>DerivedFromCount</x:v>
      </x:c>
      <x:c r="U159" t="str">
        <x:f>IF(COUNTIF(DailyProduction!$Q$5:$Q$100,B159)=1,"OK","CHECK")</x:f>
        <x:v>OK</x:v>
      </x:c>
      <x:c r="V159" t="str">
        <x:f t="shared" si="20"/>
        <x:v>OK</x:v>
      </x:c>
      <x:c r="W159" t="str">
        <x:f>IF(SUMIF($B$5:$B$914,B159,$S$5:$S$914)=SUMIF(DailyProduction!$Q$5:$Q$100,B159,DailyProduction!$R$5:$R$100),"OK","CHECK")</x:f>
        <x:v>OK</x:v>
      </x:c>
      <x:c r="X159" t="str">
        <x:v>PLC-PRD-JAR-330-L21</x:v>
      </x:c>
      <x:c r="Y159" t="str">
        <x:v>OK</x:v>
      </x:c>
      <x:c r="Z159" t="str">
        <x:v>OK</x:v>
      </x:c>
      <x:c r="AA159" t="n">
        <x:v>3</x:v>
      </x:c>
      <x:c r="AB159" t="n">
        <x:v>0</x:v>
      </x:c>
      <x:c r="AC159" t="str">
        <x:v>OK</x:v>
      </x:c>
      <x:c r="AD159" t="str">
        <x:v>OK</x:v>
      </x:c>
      <x:c r="AE159" t="str">
        <x:v>LOAD</x:v>
      </x:c>
      <x:c r="AF159" t="str">
        <x:v>02_Supervisor_Log(4).xlsx</x:v>
      </x:c>
      <x:c r="AG159" t="str">
        <x:v>ENH-20260830-01</x:v>
      </x:c>
      <x:c r="AH159" t="str">
        <x:v>Active</x:v>
      </x:c>
      <x:c r="AI159"/>
      <x:c r="AJ159"/>
      <x:c r="AK159"/>
      <x:c r="AL159"/>
    </x:row>
    <x:row r="160">
      <x:c r="A160" t="s">
        <x:v>367</x:v>
      </x:c>
      <x:c r="B160" t="s">
        <x:v>355</x:v>
      </x:c>
      <x:c r="C160" t="s">
        <x:v>44</x:v>
      </x:c>
      <x:c r="D160">
        <x:v>45955</x:v>
      </x:c>
      <x:c r="E160" t="s">
        <x:v>187</x:v>
      </x:c>
      <x:c r="F160" t="s">
        <x:v>55</x:v>
      </x:c>
      <x:c r="G160">
        <x:v>21</x:v>
      </x:c>
      <x:c r="H160" t="s">
        <x:v>52</x:v>
      </x:c>
      <x:c r="I160">
        <x:v>13</x:v>
      </x:c>
      <x:c r="J160">
        <x:v>10</x:v>
      </x:c>
      <x:c r="K160">
        <x:v>3</x:v>
      </x:c>
      <x:c r="L160">
        <x:f t="shared" si="14"/>
        <x:v>0</x:v>
      </x:c>
      <x:c r="P160">
        <x:f t="shared" si="15"/>
        <x:v>0</x:v>
      </x:c>
      <x:c r="Q160">
        <x:f t="shared" si="16"/>
        <x:v>0</x:v>
      </x:c>
      <x:c r="R160">
        <x:f t="shared" si="17"/>
        <x:v>0</x:v>
      </x:c>
      <x:c r="S160">
        <x:f t="shared" si="18"/>
        <x:v>0</x:v>
      </x:c>
      <x:c r="T160" t="str">
        <x:f t="shared" si="19"/>
        <x:v>DerivedFromCount</x:v>
      </x:c>
      <x:c r="U160" t="str">
        <x:f>IF(COUNTIF(DailyProduction!$Q$5:$Q$100,B160)=1,"OK","CHECK")</x:f>
        <x:v>OK</x:v>
      </x:c>
      <x:c r="V160" t="str">
        <x:f t="shared" si="20"/>
        <x:v>OK</x:v>
      </x:c>
      <x:c r="W160" t="str">
        <x:f>IF(SUMIF($B$5:$B$914,B160,$S$5:$S$914)=SUMIF(DailyProduction!$Q$5:$Q$100,B160,DailyProduction!$R$5:$R$100),"OK","CHECK")</x:f>
        <x:v>OK</x:v>
      </x:c>
      <x:c r="X160" t="str">
        <x:v>PLC-PRD-JAR-330-L21</x:v>
      </x:c>
      <x:c r="Y160" t="str">
        <x:v>OK</x:v>
      </x:c>
      <x:c r="Z160" t="str">
        <x:v>OK</x:v>
      </x:c>
      <x:c r="AA160" t="n">
        <x:v>3</x:v>
      </x:c>
      <x:c r="AB160" t="n">
        <x:v>0</x:v>
      </x:c>
      <x:c r="AC160" t="str">
        <x:v>OK</x:v>
      </x:c>
      <x:c r="AD160" t="str">
        <x:v>OK</x:v>
      </x:c>
      <x:c r="AE160" t="str">
        <x:v>LOAD</x:v>
      </x:c>
      <x:c r="AF160" t="str">
        <x:v>02_Supervisor_Log(4).xlsx</x:v>
      </x:c>
      <x:c r="AG160" t="str">
        <x:v>ENH-20260830-01</x:v>
      </x:c>
      <x:c r="AH160" t="str">
        <x:v>Active</x:v>
      </x:c>
      <x:c r="AI160"/>
      <x:c r="AJ160"/>
      <x:c r="AK160"/>
      <x:c r="AL160"/>
    </x:row>
    <x:row r="161">
      <x:c r="A161" t="s">
        <x:v>368</x:v>
      </x:c>
      <x:c r="B161" t="s">
        <x:v>369</x:v>
      </x:c>
      <x:c r="C161" t="s">
        <x:v>44</x:v>
      </x:c>
      <x:c r="D161">
        <x:v>45956</x:v>
      </x:c>
      <x:c r="E161" t="s">
        <x:v>45</x:v>
      </x:c>
      <x:c r="F161" t="s">
        <x:v>55</x:v>
      </x:c>
      <x:c r="G161">
        <x:v>21</x:v>
      </x:c>
      <x:c r="H161" t="s">
        <x:v>52</x:v>
      </x:c>
      <x:c r="I161">
        <x:v>1</x:v>
      </x:c>
      <x:c r="J161">
        <x:v>10</x:v>
      </x:c>
      <x:c r="K161">
        <x:v>3</x:v>
      </x:c>
      <x:c r="L161">
        <x:f t="shared" si="14"/>
        <x:v>1</x:v>
      </x:c>
      <x:c r="P161">
        <x:f t="shared" si="15"/>
        <x:v>1</x:v>
      </x:c>
      <x:c r="Q161">
        <x:f t="shared" si="16"/>
        <x:v>1</x:v>
      </x:c>
      <x:c r="R161">
        <x:f t="shared" si="17"/>
        <x:v>1</x:v>
      </x:c>
      <x:c r="S161">
        <x:f t="shared" si="18"/>
        <x:v>3</x:v>
      </x:c>
      <x:c r="T161" t="str">
        <x:f t="shared" si="19"/>
        <x:v>DerivedFromCount</x:v>
      </x:c>
      <x:c r="U161" t="str">
        <x:f>IF(COUNTIF(DailyProduction!$Q$5:$Q$100,B161)=1,"OK","CHECK")</x:f>
        <x:v>OK</x:v>
      </x:c>
      <x:c r="V161" t="str">
        <x:f t="shared" si="20"/>
        <x:v>OK</x:v>
      </x:c>
      <x:c r="W161" t="str">
        <x:f>IF(SUMIF($B$5:$B$914,B161,$S$5:$S$914)=SUMIF(DailyProduction!$Q$5:$Q$100,B161,DailyProduction!$R$5:$R$100),"OK","CHECK")</x:f>
        <x:v>OK</x:v>
      </x:c>
      <x:c r="X161" t="str">
        <x:v>PLC-PRD-JAR-330-L21</x:v>
      </x:c>
      <x:c r="Y161" t="str">
        <x:v>OK</x:v>
      </x:c>
      <x:c r="Z161" t="str">
        <x:v>OK</x:v>
      </x:c>
      <x:c r="AA161" t="n">
        <x:v>3</x:v>
      </x:c>
      <x:c r="AB161" t="n">
        <x:v>3</x:v>
      </x:c>
      <x:c r="AC161" t="str">
        <x:v>OK</x:v>
      </x:c>
      <x:c r="AD161" t="str">
        <x:v>OK</x:v>
      </x:c>
      <x:c r="AE161" t="str">
        <x:v>LOAD</x:v>
      </x:c>
      <x:c r="AF161" t="str">
        <x:v>02_Supervisor_Log(4).xlsx</x:v>
      </x:c>
      <x:c r="AG161" t="str">
        <x:v>ENH-20260830-01</x:v>
      </x:c>
      <x:c r="AH161" t="str">
        <x:v>Active</x:v>
      </x:c>
      <x:c r="AI161"/>
      <x:c r="AJ161"/>
      <x:c r="AK161"/>
      <x:c r="AL161"/>
    </x:row>
    <x:row r="162">
      <x:c r="A162" t="s">
        <x:v>370</x:v>
      </x:c>
      <x:c r="B162" t="s">
        <x:v>369</x:v>
      </x:c>
      <x:c r="C162" t="s">
        <x:v>44</x:v>
      </x:c>
      <x:c r="D162">
        <x:v>45956</x:v>
      </x:c>
      <x:c r="E162" t="s">
        <x:v>45</x:v>
      </x:c>
      <x:c r="F162" t="s">
        <x:v>55</x:v>
      </x:c>
      <x:c r="G162">
        <x:v>21</x:v>
      </x:c>
      <x:c r="H162" t="s">
        <x:v>52</x:v>
      </x:c>
      <x:c r="I162">
        <x:v>2</x:v>
      </x:c>
      <x:c r="J162">
        <x:v>10</x:v>
      </x:c>
      <x:c r="K162">
        <x:v>3</x:v>
      </x:c>
      <x:c r="L162">
        <x:f t="shared" si="14"/>
        <x:v>1</x:v>
      </x:c>
      <x:c r="P162">
        <x:f t="shared" si="15"/>
        <x:v>1</x:v>
      </x:c>
      <x:c r="Q162">
        <x:f t="shared" si="16"/>
        <x:v>1</x:v>
      </x:c>
      <x:c r="R162">
        <x:f t="shared" si="17"/>
        <x:v>1</x:v>
      </x:c>
      <x:c r="S162">
        <x:f t="shared" si="18"/>
        <x:v>3</x:v>
      </x:c>
      <x:c r="T162" t="str">
        <x:f t="shared" si="19"/>
        <x:v>DerivedFromCount</x:v>
      </x:c>
      <x:c r="U162" t="str">
        <x:f>IF(COUNTIF(DailyProduction!$Q$5:$Q$100,B162)=1,"OK","CHECK")</x:f>
        <x:v>OK</x:v>
      </x:c>
      <x:c r="V162" t="str">
        <x:f t="shared" si="20"/>
        <x:v>OK</x:v>
      </x:c>
      <x:c r="W162" t="str">
        <x:f>IF(SUMIF($B$5:$B$914,B162,$S$5:$S$914)=SUMIF(DailyProduction!$Q$5:$Q$100,B162,DailyProduction!$R$5:$R$100),"OK","CHECK")</x:f>
        <x:v>OK</x:v>
      </x:c>
      <x:c r="X162" t="str">
        <x:v>PLC-PRD-JAR-330-L21</x:v>
      </x:c>
      <x:c r="Y162" t="str">
        <x:v>OK</x:v>
      </x:c>
      <x:c r="Z162" t="str">
        <x:v>OK</x:v>
      </x:c>
      <x:c r="AA162" t="n">
        <x:v>3</x:v>
      </x:c>
      <x:c r="AB162" t="n">
        <x:v>3</x:v>
      </x:c>
      <x:c r="AC162" t="str">
        <x:v>OK</x:v>
      </x:c>
      <x:c r="AD162" t="str">
        <x:v>OK</x:v>
      </x:c>
      <x:c r="AE162" t="str">
        <x:v>LOAD</x:v>
      </x:c>
      <x:c r="AF162" t="str">
        <x:v>02_Supervisor_Log(4).xlsx</x:v>
      </x:c>
      <x:c r="AG162" t="str">
        <x:v>ENH-20260830-01</x:v>
      </x:c>
      <x:c r="AH162" t="str">
        <x:v>Active</x:v>
      </x:c>
      <x:c r="AI162"/>
      <x:c r="AJ162"/>
      <x:c r="AK162"/>
      <x:c r="AL162"/>
    </x:row>
    <x:row r="163">
      <x:c r="A163" t="s">
        <x:v>371</x:v>
      </x:c>
      <x:c r="B163" t="s">
        <x:v>369</x:v>
      </x:c>
      <x:c r="C163" t="s">
        <x:v>44</x:v>
      </x:c>
      <x:c r="D163">
        <x:v>45956</x:v>
      </x:c>
      <x:c r="E163" t="s">
        <x:v>45</x:v>
      </x:c>
      <x:c r="F163" t="s">
        <x:v>55</x:v>
      </x:c>
      <x:c r="G163">
        <x:v>21</x:v>
      </x:c>
      <x:c r="H163" t="s">
        <x:v>52</x:v>
      </x:c>
      <x:c r="I163">
        <x:v>3</x:v>
      </x:c>
      <x:c r="J163">
        <x:v>10</x:v>
      </x:c>
      <x:c r="K163">
        <x:v>3</x:v>
      </x:c>
      <x:c r="L163">
        <x:f t="shared" si="14"/>
        <x:v>1</x:v>
      </x:c>
      <x:c r="P163">
        <x:f t="shared" si="15"/>
        <x:v>1</x:v>
      </x:c>
      <x:c r="Q163">
        <x:f t="shared" si="16"/>
        <x:v>1</x:v>
      </x:c>
      <x:c r="R163">
        <x:f t="shared" si="17"/>
        <x:v>1</x:v>
      </x:c>
      <x:c r="S163">
        <x:f t="shared" si="18"/>
        <x:v>3</x:v>
      </x:c>
      <x:c r="T163" t="str">
        <x:f t="shared" si="19"/>
        <x:v>DerivedFromCount</x:v>
      </x:c>
      <x:c r="U163" t="str">
        <x:f>IF(COUNTIF(DailyProduction!$Q$5:$Q$100,B163)=1,"OK","CHECK")</x:f>
        <x:v>OK</x:v>
      </x:c>
      <x:c r="V163" t="str">
        <x:f t="shared" si="20"/>
        <x:v>OK</x:v>
      </x:c>
      <x:c r="W163" t="str">
        <x:f>IF(SUMIF($B$5:$B$914,B163,$S$5:$S$914)=SUMIF(DailyProduction!$Q$5:$Q$100,B163,DailyProduction!$R$5:$R$100),"OK","CHECK")</x:f>
        <x:v>OK</x:v>
      </x:c>
      <x:c r="X163" t="str">
        <x:v>PLC-PRD-JAR-330-L21</x:v>
      </x:c>
      <x:c r="Y163" t="str">
        <x:v>OK</x:v>
      </x:c>
      <x:c r="Z163" t="str">
        <x:v>OK</x:v>
      </x:c>
      <x:c r="AA163" t="n">
        <x:v>3</x:v>
      </x:c>
      <x:c r="AB163" t="n">
        <x:v>3</x:v>
      </x:c>
      <x:c r="AC163" t="str">
        <x:v>OK</x:v>
      </x:c>
      <x:c r="AD163" t="str">
        <x:v>OK</x:v>
      </x:c>
      <x:c r="AE163" t="str">
        <x:v>LOAD</x:v>
      </x:c>
      <x:c r="AF163" t="str">
        <x:v>02_Supervisor_Log(4).xlsx</x:v>
      </x:c>
      <x:c r="AG163" t="str">
        <x:v>ENH-20260830-01</x:v>
      </x:c>
      <x:c r="AH163" t="str">
        <x:v>Active</x:v>
      </x:c>
      <x:c r="AI163"/>
      <x:c r="AJ163"/>
      <x:c r="AK163"/>
      <x:c r="AL163"/>
    </x:row>
    <x:row r="164">
      <x:c r="A164" t="s">
        <x:v>372</x:v>
      </x:c>
      <x:c r="B164" t="s">
        <x:v>369</x:v>
      </x:c>
      <x:c r="C164" t="s">
        <x:v>44</x:v>
      </x:c>
      <x:c r="D164">
        <x:v>45956</x:v>
      </x:c>
      <x:c r="E164" t="s">
        <x:v>45</x:v>
      </x:c>
      <x:c r="F164" t="s">
        <x:v>55</x:v>
      </x:c>
      <x:c r="G164">
        <x:v>21</x:v>
      </x:c>
      <x:c r="H164" t="s">
        <x:v>52</x:v>
      </x:c>
      <x:c r="I164">
        <x:v>4</x:v>
      </x:c>
      <x:c r="J164">
        <x:v>10</x:v>
      </x:c>
      <x:c r="K164">
        <x:v>3</x:v>
      </x:c>
      <x:c r="L164">
        <x:f t="shared" si="14"/>
        <x:v>1</x:v>
      </x:c>
      <x:c r="P164">
        <x:f t="shared" si="15"/>
        <x:v>1</x:v>
      </x:c>
      <x:c r="Q164">
        <x:f t="shared" si="16"/>
        <x:v>1</x:v>
      </x:c>
      <x:c r="R164">
        <x:f t="shared" si="17"/>
        <x:v>1</x:v>
      </x:c>
      <x:c r="S164">
        <x:f t="shared" si="18"/>
        <x:v>3</x:v>
      </x:c>
      <x:c r="T164" t="str">
        <x:f t="shared" si="19"/>
        <x:v>DerivedFromCount</x:v>
      </x:c>
      <x:c r="U164" t="str">
        <x:f>IF(COUNTIF(DailyProduction!$Q$5:$Q$100,B164)=1,"OK","CHECK")</x:f>
        <x:v>OK</x:v>
      </x:c>
      <x:c r="V164" t="str">
        <x:f t="shared" si="20"/>
        <x:v>OK</x:v>
      </x:c>
      <x:c r="W164" t="str">
        <x:f>IF(SUMIF($B$5:$B$914,B164,$S$5:$S$914)=SUMIF(DailyProduction!$Q$5:$Q$100,B164,DailyProduction!$R$5:$R$100),"OK","CHECK")</x:f>
        <x:v>OK</x:v>
      </x:c>
      <x:c r="X164" t="str">
        <x:v>PLC-PRD-JAR-330-L21</x:v>
      </x:c>
      <x:c r="Y164" t="str">
        <x:v>OK</x:v>
      </x:c>
      <x:c r="Z164" t="str">
        <x:v>OK</x:v>
      </x:c>
      <x:c r="AA164" t="n">
        <x:v>3</x:v>
      </x:c>
      <x:c r="AB164" t="n">
        <x:v>3</x:v>
      </x:c>
      <x:c r="AC164" t="str">
        <x:v>OK</x:v>
      </x:c>
      <x:c r="AD164" t="str">
        <x:v>OK</x:v>
      </x:c>
      <x:c r="AE164" t="str">
        <x:v>LOAD</x:v>
      </x:c>
      <x:c r="AF164" t="str">
        <x:v>02_Supervisor_Log(4).xlsx</x:v>
      </x:c>
      <x:c r="AG164" t="str">
        <x:v>ENH-20260830-01</x:v>
      </x:c>
      <x:c r="AH164" t="str">
        <x:v>Active</x:v>
      </x:c>
      <x:c r="AI164"/>
      <x:c r="AJ164"/>
      <x:c r="AK164"/>
      <x:c r="AL164"/>
    </x:row>
    <x:row r="165">
      <x:c r="A165" t="s">
        <x:v>373</x:v>
      </x:c>
      <x:c r="B165" t="s">
        <x:v>369</x:v>
      </x:c>
      <x:c r="C165" t="s">
        <x:v>44</x:v>
      </x:c>
      <x:c r="D165">
        <x:v>45956</x:v>
      </x:c>
      <x:c r="E165" t="s">
        <x:v>45</x:v>
      </x:c>
      <x:c r="F165" t="s">
        <x:v>55</x:v>
      </x:c>
      <x:c r="G165">
        <x:v>21</x:v>
      </x:c>
      <x:c r="H165" t="s">
        <x:v>52</x:v>
      </x:c>
      <x:c r="I165">
        <x:v>5</x:v>
      </x:c>
      <x:c r="J165">
        <x:v>10</x:v>
      </x:c>
      <x:c r="K165">
        <x:v>3</x:v>
      </x:c>
      <x:c r="L165">
        <x:f t="shared" si="14"/>
        <x:v>1</x:v>
      </x:c>
      <x:c r="P165">
        <x:f t="shared" si="15"/>
        <x:v>1</x:v>
      </x:c>
      <x:c r="Q165">
        <x:f t="shared" si="16"/>
        <x:v>1</x:v>
      </x:c>
      <x:c r="R165">
        <x:f t="shared" si="17"/>
        <x:v>1</x:v>
      </x:c>
      <x:c r="S165">
        <x:f t="shared" si="18"/>
        <x:v>3</x:v>
      </x:c>
      <x:c r="T165" t="str">
        <x:f t="shared" si="19"/>
        <x:v>DerivedFromCount</x:v>
      </x:c>
      <x:c r="U165" t="str">
        <x:f>IF(COUNTIF(DailyProduction!$Q$5:$Q$100,B165)=1,"OK","CHECK")</x:f>
        <x:v>OK</x:v>
      </x:c>
      <x:c r="V165" t="str">
        <x:f t="shared" si="20"/>
        <x:v>OK</x:v>
      </x:c>
      <x:c r="W165" t="str">
        <x:f>IF(SUMIF($B$5:$B$914,B165,$S$5:$S$914)=SUMIF(DailyProduction!$Q$5:$Q$100,B165,DailyProduction!$R$5:$R$100),"OK","CHECK")</x:f>
        <x:v>OK</x:v>
      </x:c>
      <x:c r="X165" t="str">
        <x:v>PLC-PRD-JAR-330-L21</x:v>
      </x:c>
      <x:c r="Y165" t="str">
        <x:v>OK</x:v>
      </x:c>
      <x:c r="Z165" t="str">
        <x:v>OK</x:v>
      </x:c>
      <x:c r="AA165" t="n">
        <x:v>3</x:v>
      </x:c>
      <x:c r="AB165" t="n">
        <x:v>3</x:v>
      </x:c>
      <x:c r="AC165" t="str">
        <x:v>OK</x:v>
      </x:c>
      <x:c r="AD165" t="str">
        <x:v>OK</x:v>
      </x:c>
      <x:c r="AE165" t="str">
        <x:v>LOAD</x:v>
      </x:c>
      <x:c r="AF165" t="str">
        <x:v>02_Supervisor_Log(4).xlsx</x:v>
      </x:c>
      <x:c r="AG165" t="str">
        <x:v>ENH-20260830-01</x:v>
      </x:c>
      <x:c r="AH165" t="str">
        <x:v>Active</x:v>
      </x:c>
      <x:c r="AI165"/>
      <x:c r="AJ165"/>
      <x:c r="AK165"/>
      <x:c r="AL165"/>
    </x:row>
    <x:row r="166">
      <x:c r="A166" t="s">
        <x:v>374</x:v>
      </x:c>
      <x:c r="B166" t="s">
        <x:v>369</x:v>
      </x:c>
      <x:c r="C166" t="s">
        <x:v>44</x:v>
      </x:c>
      <x:c r="D166">
        <x:v>45956</x:v>
      </x:c>
      <x:c r="E166" t="s">
        <x:v>45</x:v>
      </x:c>
      <x:c r="F166" t="s">
        <x:v>55</x:v>
      </x:c>
      <x:c r="G166">
        <x:v>21</x:v>
      </x:c>
      <x:c r="H166" t="s">
        <x:v>52</x:v>
      </x:c>
      <x:c r="I166">
        <x:v>6</x:v>
      </x:c>
      <x:c r="J166">
        <x:v>10</x:v>
      </x:c>
      <x:c r="K166">
        <x:v>3</x:v>
      </x:c>
      <x:c r="L166">
        <x:f t="shared" si="14"/>
        <x:v>1</x:v>
      </x:c>
      <x:c r="P166">
        <x:f t="shared" si="15"/>
        <x:v>1</x:v>
      </x:c>
      <x:c r="Q166">
        <x:f t="shared" si="16"/>
        <x:v>1</x:v>
      </x:c>
      <x:c r="R166">
        <x:f t="shared" si="17"/>
        <x:v>1</x:v>
      </x:c>
      <x:c r="S166">
        <x:f t="shared" si="18"/>
        <x:v>3</x:v>
      </x:c>
      <x:c r="T166" t="str">
        <x:f t="shared" si="19"/>
        <x:v>DerivedFromCount</x:v>
      </x:c>
      <x:c r="U166" t="str">
        <x:f>IF(COUNTIF(DailyProduction!$Q$5:$Q$100,B166)=1,"OK","CHECK")</x:f>
        <x:v>OK</x:v>
      </x:c>
      <x:c r="V166" t="str">
        <x:f t="shared" si="20"/>
        <x:v>OK</x:v>
      </x:c>
      <x:c r="W166" t="str">
        <x:f>IF(SUMIF($B$5:$B$914,B166,$S$5:$S$914)=SUMIF(DailyProduction!$Q$5:$Q$100,B166,DailyProduction!$R$5:$R$100),"OK","CHECK")</x:f>
        <x:v>OK</x:v>
      </x:c>
      <x:c r="X166" t="str">
        <x:v>PLC-PRD-JAR-330-L21</x:v>
      </x:c>
      <x:c r="Y166" t="str">
        <x:v>OK</x:v>
      </x:c>
      <x:c r="Z166" t="str">
        <x:v>OK</x:v>
      </x:c>
      <x:c r="AA166" t="n">
        <x:v>3</x:v>
      </x:c>
      <x:c r="AB166" t="n">
        <x:v>3</x:v>
      </x:c>
      <x:c r="AC166" t="str">
        <x:v>OK</x:v>
      </x:c>
      <x:c r="AD166" t="str">
        <x:v>OK</x:v>
      </x:c>
      <x:c r="AE166" t="str">
        <x:v>LOAD</x:v>
      </x:c>
      <x:c r="AF166" t="str">
        <x:v>02_Supervisor_Log(4).xlsx</x:v>
      </x:c>
      <x:c r="AG166" t="str">
        <x:v>ENH-20260830-01</x:v>
      </x:c>
      <x:c r="AH166" t="str">
        <x:v>Active</x:v>
      </x:c>
      <x:c r="AI166"/>
      <x:c r="AJ166"/>
      <x:c r="AK166"/>
      <x:c r="AL166"/>
    </x:row>
    <x:row r="167">
      <x:c r="A167" t="s">
        <x:v>375</x:v>
      </x:c>
      <x:c r="B167" t="s">
        <x:v>369</x:v>
      </x:c>
      <x:c r="C167" t="s">
        <x:v>44</x:v>
      </x:c>
      <x:c r="D167">
        <x:v>45956</x:v>
      </x:c>
      <x:c r="E167" t="s">
        <x:v>45</x:v>
      </x:c>
      <x:c r="F167" t="s">
        <x:v>55</x:v>
      </x:c>
      <x:c r="G167">
        <x:v>21</x:v>
      </x:c>
      <x:c r="H167" t="s">
        <x:v>52</x:v>
      </x:c>
      <x:c r="I167">
        <x:v>7</x:v>
      </x:c>
      <x:c r="J167">
        <x:v>10</x:v>
      </x:c>
      <x:c r="K167">
        <x:v>3</x:v>
      </x:c>
      <x:c r="L167">
        <x:f t="shared" si="14"/>
        <x:v>1</x:v>
      </x:c>
      <x:c r="P167">
        <x:f t="shared" si="15"/>
        <x:v>1</x:v>
      </x:c>
      <x:c r="Q167">
        <x:f t="shared" si="16"/>
        <x:v>1</x:v>
      </x:c>
      <x:c r="R167">
        <x:f t="shared" si="17"/>
        <x:v>1</x:v>
      </x:c>
      <x:c r="S167">
        <x:f t="shared" si="18"/>
        <x:v>3</x:v>
      </x:c>
      <x:c r="T167" t="str">
        <x:f t="shared" si="19"/>
        <x:v>DerivedFromCount</x:v>
      </x:c>
      <x:c r="U167" t="str">
        <x:f>IF(COUNTIF(DailyProduction!$Q$5:$Q$100,B167)=1,"OK","CHECK")</x:f>
        <x:v>OK</x:v>
      </x:c>
      <x:c r="V167" t="str">
        <x:f t="shared" si="20"/>
        <x:v>OK</x:v>
      </x:c>
      <x:c r="W167" t="str">
        <x:f>IF(SUMIF($B$5:$B$914,B167,$S$5:$S$914)=SUMIF(DailyProduction!$Q$5:$Q$100,B167,DailyProduction!$R$5:$R$100),"OK","CHECK")</x:f>
        <x:v>OK</x:v>
      </x:c>
      <x:c r="X167" t="str">
        <x:v>PLC-PRD-JAR-330-L21</x:v>
      </x:c>
      <x:c r="Y167" t="str">
        <x:v>OK</x:v>
      </x:c>
      <x:c r="Z167" t="str">
        <x:v>OK</x:v>
      </x:c>
      <x:c r="AA167" t="n">
        <x:v>3</x:v>
      </x:c>
      <x:c r="AB167" t="n">
        <x:v>3</x:v>
      </x:c>
      <x:c r="AC167" t="str">
        <x:v>OK</x:v>
      </x:c>
      <x:c r="AD167" t="str">
        <x:v>OK</x:v>
      </x:c>
      <x:c r="AE167" t="str">
        <x:v>LOAD</x:v>
      </x:c>
      <x:c r="AF167" t="str">
        <x:v>02_Supervisor_Log(4).xlsx</x:v>
      </x:c>
      <x:c r="AG167" t="str">
        <x:v>ENH-20260830-01</x:v>
      </x:c>
      <x:c r="AH167" t="str">
        <x:v>Active</x:v>
      </x:c>
      <x:c r="AI167"/>
      <x:c r="AJ167"/>
      <x:c r="AK167"/>
      <x:c r="AL167"/>
    </x:row>
    <x:row r="168">
      <x:c r="A168" t="s">
        <x:v>376</x:v>
      </x:c>
      <x:c r="B168" t="s">
        <x:v>369</x:v>
      </x:c>
      <x:c r="C168" t="s">
        <x:v>44</x:v>
      </x:c>
      <x:c r="D168">
        <x:v>45956</x:v>
      </x:c>
      <x:c r="E168" t="s">
        <x:v>45</x:v>
      </x:c>
      <x:c r="F168" t="s">
        <x:v>55</x:v>
      </x:c>
      <x:c r="G168">
        <x:v>21</x:v>
      </x:c>
      <x:c r="H168" t="s">
        <x:v>52</x:v>
      </x:c>
      <x:c r="I168">
        <x:v>8</x:v>
      </x:c>
      <x:c r="J168">
        <x:v>10</x:v>
      </x:c>
      <x:c r="K168">
        <x:v>3</x:v>
      </x:c>
      <x:c r="L168">
        <x:f t="shared" si="14"/>
        <x:v>1</x:v>
      </x:c>
      <x:c r="P168">
        <x:f t="shared" si="15"/>
        <x:v>1</x:v>
      </x:c>
      <x:c r="Q168">
        <x:f t="shared" si="16"/>
        <x:v>1</x:v>
      </x:c>
      <x:c r="R168">
        <x:f t="shared" si="17"/>
        <x:v>1</x:v>
      </x:c>
      <x:c r="S168">
        <x:f t="shared" si="18"/>
        <x:v>3</x:v>
      </x:c>
      <x:c r="T168" t="str">
        <x:f t="shared" si="19"/>
        <x:v>DerivedFromCount</x:v>
      </x:c>
      <x:c r="U168" t="str">
        <x:f>IF(COUNTIF(DailyProduction!$Q$5:$Q$100,B168)=1,"OK","CHECK")</x:f>
        <x:v>OK</x:v>
      </x:c>
      <x:c r="V168" t="str">
        <x:f t="shared" si="20"/>
        <x:v>OK</x:v>
      </x:c>
      <x:c r="W168" t="str">
        <x:f>IF(SUMIF($B$5:$B$914,B168,$S$5:$S$914)=SUMIF(DailyProduction!$Q$5:$Q$100,B168,DailyProduction!$R$5:$R$100),"OK","CHECK")</x:f>
        <x:v>OK</x:v>
      </x:c>
      <x:c r="X168" t="str">
        <x:v>PLC-PRD-JAR-330-L21</x:v>
      </x:c>
      <x:c r="Y168" t="str">
        <x:v>OK</x:v>
      </x:c>
      <x:c r="Z168" t="str">
        <x:v>OK</x:v>
      </x:c>
      <x:c r="AA168" t="n">
        <x:v>3</x:v>
      </x:c>
      <x:c r="AB168" t="n">
        <x:v>3</x:v>
      </x:c>
      <x:c r="AC168" t="str">
        <x:v>OK</x:v>
      </x:c>
      <x:c r="AD168" t="str">
        <x:v>OK</x:v>
      </x:c>
      <x:c r="AE168" t="str">
        <x:v>LOAD</x:v>
      </x:c>
      <x:c r="AF168" t="str">
        <x:v>02_Supervisor_Log(4).xlsx</x:v>
      </x:c>
      <x:c r="AG168" t="str">
        <x:v>ENH-20260830-01</x:v>
      </x:c>
      <x:c r="AH168" t="str">
        <x:v>Active</x:v>
      </x:c>
      <x:c r="AI168"/>
      <x:c r="AJ168"/>
      <x:c r="AK168"/>
      <x:c r="AL168"/>
    </x:row>
    <x:row r="169">
      <x:c r="A169" t="s">
        <x:v>377</x:v>
      </x:c>
      <x:c r="B169" t="s">
        <x:v>369</x:v>
      </x:c>
      <x:c r="C169" t="s">
        <x:v>44</x:v>
      </x:c>
      <x:c r="D169">
        <x:v>45956</x:v>
      </x:c>
      <x:c r="E169" t="s">
        <x:v>45</x:v>
      </x:c>
      <x:c r="F169" t="s">
        <x:v>55</x:v>
      </x:c>
      <x:c r="G169">
        <x:v>21</x:v>
      </x:c>
      <x:c r="H169" t="s">
        <x:v>52</x:v>
      </x:c>
      <x:c r="I169">
        <x:v>9</x:v>
      </x:c>
      <x:c r="J169">
        <x:v>10</x:v>
      </x:c>
      <x:c r="K169">
        <x:v>3</x:v>
      </x:c>
      <x:c r="L169">
        <x:f t="shared" si="14"/>
        <x:v>1</x:v>
      </x:c>
      <x:c r="P169">
        <x:f t="shared" si="15"/>
        <x:v>1</x:v>
      </x:c>
      <x:c r="Q169">
        <x:f t="shared" si="16"/>
        <x:v>1</x:v>
      </x:c>
      <x:c r="R169">
        <x:f t="shared" si="17"/>
        <x:v>1</x:v>
      </x:c>
      <x:c r="S169">
        <x:f t="shared" si="18"/>
        <x:v>3</x:v>
      </x:c>
      <x:c r="T169" t="str">
        <x:f t="shared" si="19"/>
        <x:v>DerivedFromCount</x:v>
      </x:c>
      <x:c r="U169" t="str">
        <x:f>IF(COUNTIF(DailyProduction!$Q$5:$Q$100,B169)=1,"OK","CHECK")</x:f>
        <x:v>OK</x:v>
      </x:c>
      <x:c r="V169" t="str">
        <x:f t="shared" si="20"/>
        <x:v>OK</x:v>
      </x:c>
      <x:c r="W169" t="str">
        <x:f>IF(SUMIF($B$5:$B$914,B169,$S$5:$S$914)=SUMIF(DailyProduction!$Q$5:$Q$100,B169,DailyProduction!$R$5:$R$100),"OK","CHECK")</x:f>
        <x:v>OK</x:v>
      </x:c>
      <x:c r="X169" t="str">
        <x:v>PLC-PRD-JAR-330-L21</x:v>
      </x:c>
      <x:c r="Y169" t="str">
        <x:v>OK</x:v>
      </x:c>
      <x:c r="Z169" t="str">
        <x:v>OK</x:v>
      </x:c>
      <x:c r="AA169" t="n">
        <x:v>3</x:v>
      </x:c>
      <x:c r="AB169" t="n">
        <x:v>3</x:v>
      </x:c>
      <x:c r="AC169" t="str">
        <x:v>OK</x:v>
      </x:c>
      <x:c r="AD169" t="str">
        <x:v>OK</x:v>
      </x:c>
      <x:c r="AE169" t="str">
        <x:v>LOAD</x:v>
      </x:c>
      <x:c r="AF169" t="str">
        <x:v>02_Supervisor_Log(4).xlsx</x:v>
      </x:c>
      <x:c r="AG169" t="str">
        <x:v>ENH-20260830-01</x:v>
      </x:c>
      <x:c r="AH169" t="str">
        <x:v>Active</x:v>
      </x:c>
      <x:c r="AI169"/>
      <x:c r="AJ169"/>
      <x:c r="AK169"/>
      <x:c r="AL169"/>
    </x:row>
    <x:row r="170">
      <x:c r="A170" t="s">
        <x:v>378</x:v>
      </x:c>
      <x:c r="B170" t="s">
        <x:v>369</x:v>
      </x:c>
      <x:c r="C170" t="s">
        <x:v>44</x:v>
      </x:c>
      <x:c r="D170">
        <x:v>45956</x:v>
      </x:c>
      <x:c r="E170" t="s">
        <x:v>45</x:v>
      </x:c>
      <x:c r="F170" t="s">
        <x:v>55</x:v>
      </x:c>
      <x:c r="G170">
        <x:v>21</x:v>
      </x:c>
      <x:c r="H170" t="s">
        <x:v>52</x:v>
      </x:c>
      <x:c r="I170">
        <x:v>10</x:v>
      </x:c>
      <x:c r="J170">
        <x:v>10</x:v>
      </x:c>
      <x:c r="K170">
        <x:v>3</x:v>
      </x:c>
      <x:c r="L170">
        <x:f t="shared" si="14"/>
        <x:v>1</x:v>
      </x:c>
      <x:c r="P170">
        <x:f t="shared" si="15"/>
        <x:v>1</x:v>
      </x:c>
      <x:c r="Q170">
        <x:f t="shared" si="16"/>
        <x:v>1</x:v>
      </x:c>
      <x:c r="R170">
        <x:f t="shared" si="17"/>
        <x:v>1</x:v>
      </x:c>
      <x:c r="S170">
        <x:f t="shared" si="18"/>
        <x:v>3</x:v>
      </x:c>
      <x:c r="T170" t="str">
        <x:f t="shared" si="19"/>
        <x:v>DerivedFromCount</x:v>
      </x:c>
      <x:c r="U170" t="str">
        <x:f>IF(COUNTIF(DailyProduction!$Q$5:$Q$100,B170)=1,"OK","CHECK")</x:f>
        <x:v>OK</x:v>
      </x:c>
      <x:c r="V170" t="str">
        <x:f t="shared" si="20"/>
        <x:v>OK</x:v>
      </x:c>
      <x:c r="W170" t="str">
        <x:f>IF(SUMIF($B$5:$B$914,B170,$S$5:$S$914)=SUMIF(DailyProduction!$Q$5:$Q$100,B170,DailyProduction!$R$5:$R$100),"OK","CHECK")</x:f>
        <x:v>OK</x:v>
      </x:c>
      <x:c r="X170" t="str">
        <x:v>PLC-PRD-JAR-330-L21</x:v>
      </x:c>
      <x:c r="Y170" t="str">
        <x:v>OK</x:v>
      </x:c>
      <x:c r="Z170" t="str">
        <x:v>OK</x:v>
      </x:c>
      <x:c r="AA170" t="n">
        <x:v>3</x:v>
      </x:c>
      <x:c r="AB170" t="n">
        <x:v>3</x:v>
      </x:c>
      <x:c r="AC170" t="str">
        <x:v>OK</x:v>
      </x:c>
      <x:c r="AD170" t="str">
        <x:v>OK</x:v>
      </x:c>
      <x:c r="AE170" t="str">
        <x:v>LOAD</x:v>
      </x:c>
      <x:c r="AF170" t="str">
        <x:v>02_Supervisor_Log(4).xlsx</x:v>
      </x:c>
      <x:c r="AG170" t="str">
        <x:v>ENH-20260830-01</x:v>
      </x:c>
      <x:c r="AH170" t="str">
        <x:v>Active</x:v>
      </x:c>
      <x:c r="AI170"/>
      <x:c r="AJ170"/>
      <x:c r="AK170"/>
      <x:c r="AL170"/>
    </x:row>
    <x:row r="171">
      <x:c r="A171" t="s">
        <x:v>379</x:v>
      </x:c>
      <x:c r="B171" t="s">
        <x:v>369</x:v>
      </x:c>
      <x:c r="C171" t="s">
        <x:v>44</x:v>
      </x:c>
      <x:c r="D171">
        <x:v>45956</x:v>
      </x:c>
      <x:c r="E171" t="s">
        <x:v>45</x:v>
      </x:c>
      <x:c r="F171" t="s">
        <x:v>55</x:v>
      </x:c>
      <x:c r="G171">
        <x:v>21</x:v>
      </x:c>
      <x:c r="H171" t="s">
        <x:v>52</x:v>
      </x:c>
      <x:c r="I171">
        <x:v>11</x:v>
      </x:c>
      <x:c r="J171">
        <x:v>10</x:v>
      </x:c>
      <x:c r="K171">
        <x:v>3</x:v>
      </x:c>
      <x:c r="L171">
        <x:f t="shared" si="14"/>
        <x:v>0</x:v>
      </x:c>
      <x:c r="P171">
        <x:f t="shared" si="15"/>
        <x:v>0</x:v>
      </x:c>
      <x:c r="Q171">
        <x:f t="shared" si="16"/>
        <x:v>0</x:v>
      </x:c>
      <x:c r="R171">
        <x:f t="shared" si="17"/>
        <x:v>0</x:v>
      </x:c>
      <x:c r="S171">
        <x:f t="shared" si="18"/>
        <x:v>0</x:v>
      </x:c>
      <x:c r="T171" t="str">
        <x:f t="shared" si="19"/>
        <x:v>DerivedFromCount</x:v>
      </x:c>
      <x:c r="U171" t="str">
        <x:f>IF(COUNTIF(DailyProduction!$Q$5:$Q$100,B171)=1,"OK","CHECK")</x:f>
        <x:v>OK</x:v>
      </x:c>
      <x:c r="V171" t="str">
        <x:f t="shared" si="20"/>
        <x:v>OK</x:v>
      </x:c>
      <x:c r="W171" t="str">
        <x:f>IF(SUMIF($B$5:$B$914,B171,$S$5:$S$914)=SUMIF(DailyProduction!$Q$5:$Q$100,B171,DailyProduction!$R$5:$R$100),"OK","CHECK")</x:f>
        <x:v>OK</x:v>
      </x:c>
      <x:c r="X171" t="str">
        <x:v>PLC-PRD-JAR-330-L21</x:v>
      </x:c>
      <x:c r="Y171" t="str">
        <x:v>OK</x:v>
      </x:c>
      <x:c r="Z171" t="str">
        <x:v>OK</x:v>
      </x:c>
      <x:c r="AA171" t="n">
        <x:v>3</x:v>
      </x:c>
      <x:c r="AB171" t="n">
        <x:v>0</x:v>
      </x:c>
      <x:c r="AC171" t="str">
        <x:v>OK</x:v>
      </x:c>
      <x:c r="AD171" t="str">
        <x:v>OK</x:v>
      </x:c>
      <x:c r="AE171" t="str">
        <x:v>LOAD</x:v>
      </x:c>
      <x:c r="AF171" t="str">
        <x:v>02_Supervisor_Log(4).xlsx</x:v>
      </x:c>
      <x:c r="AG171" t="str">
        <x:v>ENH-20260830-01</x:v>
      </x:c>
      <x:c r="AH171" t="str">
        <x:v>Active</x:v>
      </x:c>
      <x:c r="AI171"/>
      <x:c r="AJ171"/>
      <x:c r="AK171"/>
      <x:c r="AL171"/>
    </x:row>
    <x:row r="172">
      <x:c r="A172" t="s">
        <x:v>380</x:v>
      </x:c>
      <x:c r="B172" t="s">
        <x:v>369</x:v>
      </x:c>
      <x:c r="C172" t="s">
        <x:v>44</x:v>
      </x:c>
      <x:c r="D172">
        <x:v>45956</x:v>
      </x:c>
      <x:c r="E172" t="s">
        <x:v>45</x:v>
      </x:c>
      <x:c r="F172" t="s">
        <x:v>55</x:v>
      </x:c>
      <x:c r="G172">
        <x:v>21</x:v>
      </x:c>
      <x:c r="H172" t="s">
        <x:v>52</x:v>
      </x:c>
      <x:c r="I172">
        <x:v>12</x:v>
      </x:c>
      <x:c r="J172">
        <x:v>10</x:v>
      </x:c>
      <x:c r="K172">
        <x:v>3</x:v>
      </x:c>
      <x:c r="L172">
        <x:f t="shared" si="14"/>
        <x:v>0</x:v>
      </x:c>
      <x:c r="P172">
        <x:f t="shared" si="15"/>
        <x:v>0</x:v>
      </x:c>
      <x:c r="Q172">
        <x:f t="shared" si="16"/>
        <x:v>0</x:v>
      </x:c>
      <x:c r="R172">
        <x:f t="shared" si="17"/>
        <x:v>0</x:v>
      </x:c>
      <x:c r="S172">
        <x:f t="shared" si="18"/>
        <x:v>0</x:v>
      </x:c>
      <x:c r="T172" t="str">
        <x:f t="shared" si="19"/>
        <x:v>DerivedFromCount</x:v>
      </x:c>
      <x:c r="U172" t="str">
        <x:f>IF(COUNTIF(DailyProduction!$Q$5:$Q$100,B172)=1,"OK","CHECK")</x:f>
        <x:v>OK</x:v>
      </x:c>
      <x:c r="V172" t="str">
        <x:f t="shared" si="20"/>
        <x:v>OK</x:v>
      </x:c>
      <x:c r="W172" t="str">
        <x:f>IF(SUMIF($B$5:$B$914,B172,$S$5:$S$914)=SUMIF(DailyProduction!$Q$5:$Q$100,B172,DailyProduction!$R$5:$R$100),"OK","CHECK")</x:f>
        <x:v>OK</x:v>
      </x:c>
      <x:c r="X172" t="str">
        <x:v>PLC-PRD-JAR-330-L21</x:v>
      </x:c>
      <x:c r="Y172" t="str">
        <x:v>OK</x:v>
      </x:c>
      <x:c r="Z172" t="str">
        <x:v>OK</x:v>
      </x:c>
      <x:c r="AA172" t="n">
        <x:v>3</x:v>
      </x:c>
      <x:c r="AB172" t="n">
        <x:v>0</x:v>
      </x:c>
      <x:c r="AC172" t="str">
        <x:v>OK</x:v>
      </x:c>
      <x:c r="AD172" t="str">
        <x:v>OK</x:v>
      </x:c>
      <x:c r="AE172" t="str">
        <x:v>LOAD</x:v>
      </x:c>
      <x:c r="AF172" t="str">
        <x:v>02_Supervisor_Log(4).xlsx</x:v>
      </x:c>
      <x:c r="AG172" t="str">
        <x:v>ENH-20260830-01</x:v>
      </x:c>
      <x:c r="AH172" t="str">
        <x:v>Active</x:v>
      </x:c>
      <x:c r="AI172"/>
      <x:c r="AJ172"/>
      <x:c r="AK172"/>
      <x:c r="AL172"/>
    </x:row>
    <x:row r="173">
      <x:c r="A173" t="s">
        <x:v>381</x:v>
      </x:c>
      <x:c r="B173" t="s">
        <x:v>369</x:v>
      </x:c>
      <x:c r="C173" t="s">
        <x:v>44</x:v>
      </x:c>
      <x:c r="D173">
        <x:v>45956</x:v>
      </x:c>
      <x:c r="E173" t="s">
        <x:v>45</x:v>
      </x:c>
      <x:c r="F173" t="s">
        <x:v>55</x:v>
      </x:c>
      <x:c r="G173">
        <x:v>21</x:v>
      </x:c>
      <x:c r="H173" t="s">
        <x:v>52</x:v>
      </x:c>
      <x:c r="I173">
        <x:v>13</x:v>
      </x:c>
      <x:c r="J173">
        <x:v>10</x:v>
      </x:c>
      <x:c r="K173">
        <x:v>3</x:v>
      </x:c>
      <x:c r="L173">
        <x:f t="shared" si="14"/>
        <x:v>0</x:v>
      </x:c>
      <x:c r="P173">
        <x:f t="shared" si="15"/>
        <x:v>0</x:v>
      </x:c>
      <x:c r="Q173">
        <x:f t="shared" si="16"/>
        <x:v>0</x:v>
      </x:c>
      <x:c r="R173">
        <x:f t="shared" si="17"/>
        <x:v>0</x:v>
      </x:c>
      <x:c r="S173">
        <x:f t="shared" si="18"/>
        <x:v>0</x:v>
      </x:c>
      <x:c r="T173" t="str">
        <x:f t="shared" si="19"/>
        <x:v>DerivedFromCount</x:v>
      </x:c>
      <x:c r="U173" t="str">
        <x:f>IF(COUNTIF(DailyProduction!$Q$5:$Q$100,B173)=1,"OK","CHECK")</x:f>
        <x:v>OK</x:v>
      </x:c>
      <x:c r="V173" t="str">
        <x:f t="shared" si="20"/>
        <x:v>OK</x:v>
      </x:c>
      <x:c r="W173" t="str">
        <x:f>IF(SUMIF($B$5:$B$914,B173,$S$5:$S$914)=SUMIF(DailyProduction!$Q$5:$Q$100,B173,DailyProduction!$R$5:$R$100),"OK","CHECK")</x:f>
        <x:v>OK</x:v>
      </x:c>
      <x:c r="X173" t="str">
        <x:v>PLC-PRD-JAR-330-L21</x:v>
      </x:c>
      <x:c r="Y173" t="str">
        <x:v>OK</x:v>
      </x:c>
      <x:c r="Z173" t="str">
        <x:v>OK</x:v>
      </x:c>
      <x:c r="AA173" t="n">
        <x:v>3</x:v>
      </x:c>
      <x:c r="AB173" t="n">
        <x:v>0</x:v>
      </x:c>
      <x:c r="AC173" t="str">
        <x:v>OK</x:v>
      </x:c>
      <x:c r="AD173" t="str">
        <x:v>OK</x:v>
      </x:c>
      <x:c r="AE173" t="str">
        <x:v>LOAD</x:v>
      </x:c>
      <x:c r="AF173" t="str">
        <x:v>02_Supervisor_Log(4).xlsx</x:v>
      </x:c>
      <x:c r="AG173" t="str">
        <x:v>ENH-20260830-01</x:v>
      </x:c>
      <x:c r="AH173" t="str">
        <x:v>Active</x:v>
      </x:c>
      <x:c r="AI173"/>
      <x:c r="AJ173"/>
      <x:c r="AK173"/>
      <x:c r="AL173"/>
    </x:row>
    <x:row r="174">
      <x:c r="A174" t="s">
        <x:v>382</x:v>
      </x:c>
      <x:c r="B174" t="s">
        <x:v>383</x:v>
      </x:c>
      <x:c r="C174" t="s">
        <x:v>44</x:v>
      </x:c>
      <x:c r="D174">
        <x:v>45956</x:v>
      </x:c>
      <x:c r="E174" t="s">
        <x:v>187</x:v>
      </x:c>
      <x:c r="F174" t="s">
        <x:v>46</x:v>
      </x:c>
      <x:c r="G174">
        <x:v>21</x:v>
      </x:c>
      <x:c r="H174" t="s">
        <x:v>52</x:v>
      </x:c>
      <x:c r="I174">
        <x:v>1</x:v>
      </x:c>
      <x:c r="J174">
        <x:v>10</x:v>
      </x:c>
      <x:c r="K174">
        <x:v>3</x:v>
      </x:c>
      <x:c r="L174">
        <x:f t="shared" si="14"/>
        <x:v>1</x:v>
      </x:c>
      <x:c r="P174">
        <x:f t="shared" si="15"/>
        <x:v>1</x:v>
      </x:c>
      <x:c r="Q174">
        <x:f t="shared" si="16"/>
        <x:v>1</x:v>
      </x:c>
      <x:c r="R174">
        <x:f t="shared" si="17"/>
        <x:v>1</x:v>
      </x:c>
      <x:c r="S174">
        <x:f t="shared" si="18"/>
        <x:v>3</x:v>
      </x:c>
      <x:c r="T174" t="str">
        <x:f t="shared" si="19"/>
        <x:v>DerivedFromCount</x:v>
      </x:c>
      <x:c r="U174" t="str">
        <x:f>IF(COUNTIF(DailyProduction!$Q$5:$Q$100,B174)=1,"OK","CHECK")</x:f>
        <x:v>OK</x:v>
      </x:c>
      <x:c r="V174" t="str">
        <x:f t="shared" si="20"/>
        <x:v>OK</x:v>
      </x:c>
      <x:c r="W174" t="str">
        <x:f>IF(SUMIF($B$5:$B$914,B174,$S$5:$S$914)=SUMIF(DailyProduction!$Q$5:$Q$100,B174,DailyProduction!$R$5:$R$100),"OK","CHECK")</x:f>
        <x:v>OK</x:v>
      </x:c>
      <x:c r="X174" t="str">
        <x:v>PLC-PRD-JAR-330-L21</x:v>
      </x:c>
      <x:c r="Y174" t="str">
        <x:v>OK</x:v>
      </x:c>
      <x:c r="Z174" t="str">
        <x:v>OK</x:v>
      </x:c>
      <x:c r="AA174" t="n">
        <x:v>3</x:v>
      </x:c>
      <x:c r="AB174" t="n">
        <x:v>3</x:v>
      </x:c>
      <x:c r="AC174" t="str">
        <x:v>OK</x:v>
      </x:c>
      <x:c r="AD174" t="str">
        <x:v>OK</x:v>
      </x:c>
      <x:c r="AE174" t="str">
        <x:v>LOAD</x:v>
      </x:c>
      <x:c r="AF174" t="str">
        <x:v>02_Supervisor_Log(4).xlsx</x:v>
      </x:c>
      <x:c r="AG174" t="str">
        <x:v>ENH-20260830-01</x:v>
      </x:c>
      <x:c r="AH174" t="str">
        <x:v>Active</x:v>
      </x:c>
      <x:c r="AI174"/>
      <x:c r="AJ174"/>
      <x:c r="AK174"/>
      <x:c r="AL174"/>
    </x:row>
    <x:row r="175">
      <x:c r="A175" t="s">
        <x:v>384</x:v>
      </x:c>
      <x:c r="B175" t="s">
        <x:v>383</x:v>
      </x:c>
      <x:c r="C175" t="s">
        <x:v>44</x:v>
      </x:c>
      <x:c r="D175">
        <x:v>45956</x:v>
      </x:c>
      <x:c r="E175" t="s">
        <x:v>187</x:v>
      </x:c>
      <x:c r="F175" t="s">
        <x:v>46</x:v>
      </x:c>
      <x:c r="G175">
        <x:v>21</x:v>
      </x:c>
      <x:c r="H175" t="s">
        <x:v>52</x:v>
      </x:c>
      <x:c r="I175">
        <x:v>2</x:v>
      </x:c>
      <x:c r="J175">
        <x:v>10</x:v>
      </x:c>
      <x:c r="K175">
        <x:v>3</x:v>
      </x:c>
      <x:c r="L175">
        <x:f t="shared" si="14"/>
        <x:v>1</x:v>
      </x:c>
      <x:c r="P175">
        <x:f t="shared" si="15"/>
        <x:v>1</x:v>
      </x:c>
      <x:c r="Q175">
        <x:f t="shared" si="16"/>
        <x:v>1</x:v>
      </x:c>
      <x:c r="R175">
        <x:f t="shared" si="17"/>
        <x:v>1</x:v>
      </x:c>
      <x:c r="S175">
        <x:f t="shared" si="18"/>
        <x:v>3</x:v>
      </x:c>
      <x:c r="T175" t="str">
        <x:f t="shared" si="19"/>
        <x:v>DerivedFromCount</x:v>
      </x:c>
      <x:c r="U175" t="str">
        <x:f>IF(COUNTIF(DailyProduction!$Q$5:$Q$100,B175)=1,"OK","CHECK")</x:f>
        <x:v>OK</x:v>
      </x:c>
      <x:c r="V175" t="str">
        <x:f t="shared" si="20"/>
        <x:v>OK</x:v>
      </x:c>
      <x:c r="W175" t="str">
        <x:f>IF(SUMIF($B$5:$B$914,B175,$S$5:$S$914)=SUMIF(DailyProduction!$Q$5:$Q$100,B175,DailyProduction!$R$5:$R$100),"OK","CHECK")</x:f>
        <x:v>OK</x:v>
      </x:c>
      <x:c r="X175" t="str">
        <x:v>PLC-PRD-JAR-330-L21</x:v>
      </x:c>
      <x:c r="Y175" t="str">
        <x:v>OK</x:v>
      </x:c>
      <x:c r="Z175" t="str">
        <x:v>OK</x:v>
      </x:c>
      <x:c r="AA175" t="n">
        <x:v>3</x:v>
      </x:c>
      <x:c r="AB175" t="n">
        <x:v>3</x:v>
      </x:c>
      <x:c r="AC175" t="str">
        <x:v>OK</x:v>
      </x:c>
      <x:c r="AD175" t="str">
        <x:v>OK</x:v>
      </x:c>
      <x:c r="AE175" t="str">
        <x:v>LOAD</x:v>
      </x:c>
      <x:c r="AF175" t="str">
        <x:v>02_Supervisor_Log(4).xlsx</x:v>
      </x:c>
      <x:c r="AG175" t="str">
        <x:v>ENH-20260830-01</x:v>
      </x:c>
      <x:c r="AH175" t="str">
        <x:v>Active</x:v>
      </x:c>
      <x:c r="AI175"/>
      <x:c r="AJ175"/>
      <x:c r="AK175"/>
      <x:c r="AL175"/>
    </x:row>
    <x:row r="176">
      <x:c r="A176" t="s">
        <x:v>385</x:v>
      </x:c>
      <x:c r="B176" t="s">
        <x:v>383</x:v>
      </x:c>
      <x:c r="C176" t="s">
        <x:v>44</x:v>
      </x:c>
      <x:c r="D176">
        <x:v>45956</x:v>
      </x:c>
      <x:c r="E176" t="s">
        <x:v>187</x:v>
      </x:c>
      <x:c r="F176" t="s">
        <x:v>46</x:v>
      </x:c>
      <x:c r="G176">
        <x:v>21</x:v>
      </x:c>
      <x:c r="H176" t="s">
        <x:v>52</x:v>
      </x:c>
      <x:c r="I176">
        <x:v>3</x:v>
      </x:c>
      <x:c r="J176">
        <x:v>10</x:v>
      </x:c>
      <x:c r="K176">
        <x:v>3</x:v>
      </x:c>
      <x:c r="L176">
        <x:f t="shared" si="14"/>
        <x:v>1</x:v>
      </x:c>
      <x:c r="P176">
        <x:f t="shared" si="15"/>
        <x:v>1</x:v>
      </x:c>
      <x:c r="Q176">
        <x:f t="shared" si="16"/>
        <x:v>1</x:v>
      </x:c>
      <x:c r="R176">
        <x:f t="shared" si="17"/>
        <x:v>1</x:v>
      </x:c>
      <x:c r="S176">
        <x:f t="shared" si="18"/>
        <x:v>3</x:v>
      </x:c>
      <x:c r="T176" t="str">
        <x:f t="shared" si="19"/>
        <x:v>DerivedFromCount</x:v>
      </x:c>
      <x:c r="U176" t="str">
        <x:f>IF(COUNTIF(DailyProduction!$Q$5:$Q$100,B176)=1,"OK","CHECK")</x:f>
        <x:v>OK</x:v>
      </x:c>
      <x:c r="V176" t="str">
        <x:f t="shared" si="20"/>
        <x:v>OK</x:v>
      </x:c>
      <x:c r="W176" t="str">
        <x:f>IF(SUMIF($B$5:$B$914,B176,$S$5:$S$914)=SUMIF(DailyProduction!$Q$5:$Q$100,B176,DailyProduction!$R$5:$R$100),"OK","CHECK")</x:f>
        <x:v>OK</x:v>
      </x:c>
      <x:c r="X176" t="str">
        <x:v>PLC-PRD-JAR-330-L21</x:v>
      </x:c>
      <x:c r="Y176" t="str">
        <x:v>OK</x:v>
      </x:c>
      <x:c r="Z176" t="str">
        <x:v>OK</x:v>
      </x:c>
      <x:c r="AA176" t="n">
        <x:v>3</x:v>
      </x:c>
      <x:c r="AB176" t="n">
        <x:v>3</x:v>
      </x:c>
      <x:c r="AC176" t="str">
        <x:v>OK</x:v>
      </x:c>
      <x:c r="AD176" t="str">
        <x:v>OK</x:v>
      </x:c>
      <x:c r="AE176" t="str">
        <x:v>LOAD</x:v>
      </x:c>
      <x:c r="AF176" t="str">
        <x:v>02_Supervisor_Log(4).xlsx</x:v>
      </x:c>
      <x:c r="AG176" t="str">
        <x:v>ENH-20260830-01</x:v>
      </x:c>
      <x:c r="AH176" t="str">
        <x:v>Active</x:v>
      </x:c>
      <x:c r="AI176"/>
      <x:c r="AJ176"/>
      <x:c r="AK176"/>
      <x:c r="AL176"/>
    </x:row>
    <x:row r="177">
      <x:c r="A177" t="s">
        <x:v>386</x:v>
      </x:c>
      <x:c r="B177" t="s">
        <x:v>383</x:v>
      </x:c>
      <x:c r="C177" t="s">
        <x:v>44</x:v>
      </x:c>
      <x:c r="D177">
        <x:v>45956</x:v>
      </x:c>
      <x:c r="E177" t="s">
        <x:v>187</x:v>
      </x:c>
      <x:c r="F177" t="s">
        <x:v>46</x:v>
      </x:c>
      <x:c r="G177">
        <x:v>21</x:v>
      </x:c>
      <x:c r="H177" t="s">
        <x:v>52</x:v>
      </x:c>
      <x:c r="I177">
        <x:v>4</x:v>
      </x:c>
      <x:c r="J177">
        <x:v>10</x:v>
      </x:c>
      <x:c r="K177">
        <x:v>3</x:v>
      </x:c>
      <x:c r="L177">
        <x:f t="shared" si="14"/>
        <x:v>1</x:v>
      </x:c>
      <x:c r="P177">
        <x:f t="shared" si="15"/>
        <x:v>1</x:v>
      </x:c>
      <x:c r="Q177">
        <x:f t="shared" si="16"/>
        <x:v>1</x:v>
      </x:c>
      <x:c r="R177">
        <x:f t="shared" si="17"/>
        <x:v>1</x:v>
      </x:c>
      <x:c r="S177">
        <x:f t="shared" si="18"/>
        <x:v>3</x:v>
      </x:c>
      <x:c r="T177" t="str">
        <x:f t="shared" si="19"/>
        <x:v>DerivedFromCount</x:v>
      </x:c>
      <x:c r="U177" t="str">
        <x:f>IF(COUNTIF(DailyProduction!$Q$5:$Q$100,B177)=1,"OK","CHECK")</x:f>
        <x:v>OK</x:v>
      </x:c>
      <x:c r="V177" t="str">
        <x:f t="shared" si="20"/>
        <x:v>OK</x:v>
      </x:c>
      <x:c r="W177" t="str">
        <x:f>IF(SUMIF($B$5:$B$914,B177,$S$5:$S$914)=SUMIF(DailyProduction!$Q$5:$Q$100,B177,DailyProduction!$R$5:$R$100),"OK","CHECK")</x:f>
        <x:v>OK</x:v>
      </x:c>
      <x:c r="X177" t="str">
        <x:v>PLC-PRD-JAR-330-L21</x:v>
      </x:c>
      <x:c r="Y177" t="str">
        <x:v>OK</x:v>
      </x:c>
      <x:c r="Z177" t="str">
        <x:v>OK</x:v>
      </x:c>
      <x:c r="AA177" t="n">
        <x:v>3</x:v>
      </x:c>
      <x:c r="AB177" t="n">
        <x:v>3</x:v>
      </x:c>
      <x:c r="AC177" t="str">
        <x:v>OK</x:v>
      </x:c>
      <x:c r="AD177" t="str">
        <x:v>OK</x:v>
      </x:c>
      <x:c r="AE177" t="str">
        <x:v>LOAD</x:v>
      </x:c>
      <x:c r="AF177" t="str">
        <x:v>02_Supervisor_Log(4).xlsx</x:v>
      </x:c>
      <x:c r="AG177" t="str">
        <x:v>ENH-20260830-01</x:v>
      </x:c>
      <x:c r="AH177" t="str">
        <x:v>Active</x:v>
      </x:c>
      <x:c r="AI177"/>
      <x:c r="AJ177"/>
      <x:c r="AK177"/>
      <x:c r="AL177"/>
    </x:row>
    <x:row r="178">
      <x:c r="A178" t="s">
        <x:v>387</x:v>
      </x:c>
      <x:c r="B178" t="s">
        <x:v>383</x:v>
      </x:c>
      <x:c r="C178" t="s">
        <x:v>44</x:v>
      </x:c>
      <x:c r="D178">
        <x:v>45956</x:v>
      </x:c>
      <x:c r="E178" t="s">
        <x:v>187</x:v>
      </x:c>
      <x:c r="F178" t="s">
        <x:v>46</x:v>
      </x:c>
      <x:c r="G178">
        <x:v>21</x:v>
      </x:c>
      <x:c r="H178" t="s">
        <x:v>52</x:v>
      </x:c>
      <x:c r="I178">
        <x:v>5</x:v>
      </x:c>
      <x:c r="J178">
        <x:v>10</x:v>
      </x:c>
      <x:c r="K178">
        <x:v>3</x:v>
      </x:c>
      <x:c r="L178">
        <x:f t="shared" si="14"/>
        <x:v>1</x:v>
      </x:c>
      <x:c r="P178">
        <x:f t="shared" si="15"/>
        <x:v>1</x:v>
      </x:c>
      <x:c r="Q178">
        <x:f t="shared" si="16"/>
        <x:v>1</x:v>
      </x:c>
      <x:c r="R178">
        <x:f t="shared" si="17"/>
        <x:v>1</x:v>
      </x:c>
      <x:c r="S178">
        <x:f t="shared" si="18"/>
        <x:v>3</x:v>
      </x:c>
      <x:c r="T178" t="str">
        <x:f t="shared" si="19"/>
        <x:v>DerivedFromCount</x:v>
      </x:c>
      <x:c r="U178" t="str">
        <x:f>IF(COUNTIF(DailyProduction!$Q$5:$Q$100,B178)=1,"OK","CHECK")</x:f>
        <x:v>OK</x:v>
      </x:c>
      <x:c r="V178" t="str">
        <x:f t="shared" si="20"/>
        <x:v>OK</x:v>
      </x:c>
      <x:c r="W178" t="str">
        <x:f>IF(SUMIF($B$5:$B$914,B178,$S$5:$S$914)=SUMIF(DailyProduction!$Q$5:$Q$100,B178,DailyProduction!$R$5:$R$100),"OK","CHECK")</x:f>
        <x:v>OK</x:v>
      </x:c>
      <x:c r="X178" t="str">
        <x:v>PLC-PRD-JAR-330-L21</x:v>
      </x:c>
      <x:c r="Y178" t="str">
        <x:v>OK</x:v>
      </x:c>
      <x:c r="Z178" t="str">
        <x:v>OK</x:v>
      </x:c>
      <x:c r="AA178" t="n">
        <x:v>3</x:v>
      </x:c>
      <x:c r="AB178" t="n">
        <x:v>3</x:v>
      </x:c>
      <x:c r="AC178" t="str">
        <x:v>OK</x:v>
      </x:c>
      <x:c r="AD178" t="str">
        <x:v>OK</x:v>
      </x:c>
      <x:c r="AE178" t="str">
        <x:v>LOAD</x:v>
      </x:c>
      <x:c r="AF178" t="str">
        <x:v>02_Supervisor_Log(4).xlsx</x:v>
      </x:c>
      <x:c r="AG178" t="str">
        <x:v>ENH-20260830-01</x:v>
      </x:c>
      <x:c r="AH178" t="str">
        <x:v>Active</x:v>
      </x:c>
      <x:c r="AI178"/>
      <x:c r="AJ178"/>
      <x:c r="AK178"/>
      <x:c r="AL178"/>
    </x:row>
    <x:row r="179">
      <x:c r="A179" t="s">
        <x:v>388</x:v>
      </x:c>
      <x:c r="B179" t="s">
        <x:v>383</x:v>
      </x:c>
      <x:c r="C179" t="s">
        <x:v>44</x:v>
      </x:c>
      <x:c r="D179">
        <x:v>45956</x:v>
      </x:c>
      <x:c r="E179" t="s">
        <x:v>187</x:v>
      </x:c>
      <x:c r="F179" t="s">
        <x:v>46</x:v>
      </x:c>
      <x:c r="G179">
        <x:v>21</x:v>
      </x:c>
      <x:c r="H179" t="s">
        <x:v>52</x:v>
      </x:c>
      <x:c r="I179">
        <x:v>6</x:v>
      </x:c>
      <x:c r="J179">
        <x:v>10</x:v>
      </x:c>
      <x:c r="K179">
        <x:v>3</x:v>
      </x:c>
      <x:c r="L179">
        <x:f t="shared" si="14"/>
        <x:v>1</x:v>
      </x:c>
      <x:c r="P179">
        <x:f t="shared" si="15"/>
        <x:v>1</x:v>
      </x:c>
      <x:c r="Q179">
        <x:f t="shared" si="16"/>
        <x:v>1</x:v>
      </x:c>
      <x:c r="R179">
        <x:f t="shared" si="17"/>
        <x:v>1</x:v>
      </x:c>
      <x:c r="S179">
        <x:f t="shared" si="18"/>
        <x:v>3</x:v>
      </x:c>
      <x:c r="T179" t="str">
        <x:f t="shared" si="19"/>
        <x:v>DerivedFromCount</x:v>
      </x:c>
      <x:c r="U179" t="str">
        <x:f>IF(COUNTIF(DailyProduction!$Q$5:$Q$100,B179)=1,"OK","CHECK")</x:f>
        <x:v>OK</x:v>
      </x:c>
      <x:c r="V179" t="str">
        <x:f t="shared" si="20"/>
        <x:v>OK</x:v>
      </x:c>
      <x:c r="W179" t="str">
        <x:f>IF(SUMIF($B$5:$B$914,B179,$S$5:$S$914)=SUMIF(DailyProduction!$Q$5:$Q$100,B179,DailyProduction!$R$5:$R$100),"OK","CHECK")</x:f>
        <x:v>OK</x:v>
      </x:c>
      <x:c r="X179" t="str">
        <x:v>PLC-PRD-JAR-330-L21</x:v>
      </x:c>
      <x:c r="Y179" t="str">
        <x:v>OK</x:v>
      </x:c>
      <x:c r="Z179" t="str">
        <x:v>OK</x:v>
      </x:c>
      <x:c r="AA179" t="n">
        <x:v>3</x:v>
      </x:c>
      <x:c r="AB179" t="n">
        <x:v>3</x:v>
      </x:c>
      <x:c r="AC179" t="str">
        <x:v>OK</x:v>
      </x:c>
      <x:c r="AD179" t="str">
        <x:v>OK</x:v>
      </x:c>
      <x:c r="AE179" t="str">
        <x:v>LOAD</x:v>
      </x:c>
      <x:c r="AF179" t="str">
        <x:v>02_Supervisor_Log(4).xlsx</x:v>
      </x:c>
      <x:c r="AG179" t="str">
        <x:v>ENH-20260830-01</x:v>
      </x:c>
      <x:c r="AH179" t="str">
        <x:v>Active</x:v>
      </x:c>
      <x:c r="AI179"/>
      <x:c r="AJ179"/>
      <x:c r="AK179"/>
      <x:c r="AL179"/>
    </x:row>
    <x:row r="180">
      <x:c r="A180" t="s">
        <x:v>389</x:v>
      </x:c>
      <x:c r="B180" t="s">
        <x:v>383</x:v>
      </x:c>
      <x:c r="C180" t="s">
        <x:v>44</x:v>
      </x:c>
      <x:c r="D180">
        <x:v>45956</x:v>
      </x:c>
      <x:c r="E180" t="s">
        <x:v>187</x:v>
      </x:c>
      <x:c r="F180" t="s">
        <x:v>46</x:v>
      </x:c>
      <x:c r="G180">
        <x:v>21</x:v>
      </x:c>
      <x:c r="H180" t="s">
        <x:v>52</x:v>
      </x:c>
      <x:c r="I180">
        <x:v>7</x:v>
      </x:c>
      <x:c r="J180">
        <x:v>10</x:v>
      </x:c>
      <x:c r="K180">
        <x:v>3</x:v>
      </x:c>
      <x:c r="L180">
        <x:f t="shared" si="14"/>
        <x:v>1</x:v>
      </x:c>
      <x:c r="P180">
        <x:f t="shared" si="15"/>
        <x:v>1</x:v>
      </x:c>
      <x:c r="Q180">
        <x:f t="shared" si="16"/>
        <x:v>1</x:v>
      </x:c>
      <x:c r="R180">
        <x:f t="shared" si="17"/>
        <x:v>1</x:v>
      </x:c>
      <x:c r="S180">
        <x:f t="shared" si="18"/>
        <x:v>3</x:v>
      </x:c>
      <x:c r="T180" t="str">
        <x:f t="shared" si="19"/>
        <x:v>DerivedFromCount</x:v>
      </x:c>
      <x:c r="U180" t="str">
        <x:f>IF(COUNTIF(DailyProduction!$Q$5:$Q$100,B180)=1,"OK","CHECK")</x:f>
        <x:v>OK</x:v>
      </x:c>
      <x:c r="V180" t="str">
        <x:f t="shared" si="20"/>
        <x:v>OK</x:v>
      </x:c>
      <x:c r="W180" t="str">
        <x:f>IF(SUMIF($B$5:$B$914,B180,$S$5:$S$914)=SUMIF(DailyProduction!$Q$5:$Q$100,B180,DailyProduction!$R$5:$R$100),"OK","CHECK")</x:f>
        <x:v>OK</x:v>
      </x:c>
      <x:c r="X180" t="str">
        <x:v>PLC-PRD-JAR-330-L21</x:v>
      </x:c>
      <x:c r="Y180" t="str">
        <x:v>OK</x:v>
      </x:c>
      <x:c r="Z180" t="str">
        <x:v>OK</x:v>
      </x:c>
      <x:c r="AA180" t="n">
        <x:v>3</x:v>
      </x:c>
      <x:c r="AB180" t="n">
        <x:v>3</x:v>
      </x:c>
      <x:c r="AC180" t="str">
        <x:v>OK</x:v>
      </x:c>
      <x:c r="AD180" t="str">
        <x:v>OK</x:v>
      </x:c>
      <x:c r="AE180" t="str">
        <x:v>LOAD</x:v>
      </x:c>
      <x:c r="AF180" t="str">
        <x:v>02_Supervisor_Log(4).xlsx</x:v>
      </x:c>
      <x:c r="AG180" t="str">
        <x:v>ENH-20260830-01</x:v>
      </x:c>
      <x:c r="AH180" t="str">
        <x:v>Active</x:v>
      </x:c>
      <x:c r="AI180"/>
      <x:c r="AJ180"/>
      <x:c r="AK180"/>
      <x:c r="AL180"/>
    </x:row>
    <x:row r="181">
      <x:c r="A181" t="s">
        <x:v>390</x:v>
      </x:c>
      <x:c r="B181" t="s">
        <x:v>383</x:v>
      </x:c>
      <x:c r="C181" t="s">
        <x:v>44</x:v>
      </x:c>
      <x:c r="D181">
        <x:v>45956</x:v>
      </x:c>
      <x:c r="E181" t="s">
        <x:v>187</x:v>
      </x:c>
      <x:c r="F181" t="s">
        <x:v>46</x:v>
      </x:c>
      <x:c r="G181">
        <x:v>21</x:v>
      </x:c>
      <x:c r="H181" t="s">
        <x:v>52</x:v>
      </x:c>
      <x:c r="I181">
        <x:v>8</x:v>
      </x:c>
      <x:c r="J181">
        <x:v>10</x:v>
      </x:c>
      <x:c r="K181">
        <x:v>3</x:v>
      </x:c>
      <x:c r="L181">
        <x:f t="shared" si="14"/>
        <x:v>1</x:v>
      </x:c>
      <x:c r="P181">
        <x:f t="shared" si="15"/>
        <x:v>1</x:v>
      </x:c>
      <x:c r="Q181">
        <x:f t="shared" si="16"/>
        <x:v>1</x:v>
      </x:c>
      <x:c r="R181">
        <x:f t="shared" si="17"/>
        <x:v>1</x:v>
      </x:c>
      <x:c r="S181">
        <x:f t="shared" si="18"/>
        <x:v>3</x:v>
      </x:c>
      <x:c r="T181" t="str">
        <x:f t="shared" si="19"/>
        <x:v>DerivedFromCount</x:v>
      </x:c>
      <x:c r="U181" t="str">
        <x:f>IF(COUNTIF(DailyProduction!$Q$5:$Q$100,B181)=1,"OK","CHECK")</x:f>
        <x:v>OK</x:v>
      </x:c>
      <x:c r="V181" t="str">
        <x:f t="shared" si="20"/>
        <x:v>OK</x:v>
      </x:c>
      <x:c r="W181" t="str">
        <x:f>IF(SUMIF($B$5:$B$914,B181,$S$5:$S$914)=SUMIF(DailyProduction!$Q$5:$Q$100,B181,DailyProduction!$R$5:$R$100),"OK","CHECK")</x:f>
        <x:v>OK</x:v>
      </x:c>
      <x:c r="X181" t="str">
        <x:v>PLC-PRD-JAR-330-L21</x:v>
      </x:c>
      <x:c r="Y181" t="str">
        <x:v>OK</x:v>
      </x:c>
      <x:c r="Z181" t="str">
        <x:v>OK</x:v>
      </x:c>
      <x:c r="AA181" t="n">
        <x:v>3</x:v>
      </x:c>
      <x:c r="AB181" t="n">
        <x:v>3</x:v>
      </x:c>
      <x:c r="AC181" t="str">
        <x:v>OK</x:v>
      </x:c>
      <x:c r="AD181" t="str">
        <x:v>OK</x:v>
      </x:c>
      <x:c r="AE181" t="str">
        <x:v>LOAD</x:v>
      </x:c>
      <x:c r="AF181" t="str">
        <x:v>02_Supervisor_Log(4).xlsx</x:v>
      </x:c>
      <x:c r="AG181" t="str">
        <x:v>ENH-20260830-01</x:v>
      </x:c>
      <x:c r="AH181" t="str">
        <x:v>Active</x:v>
      </x:c>
      <x:c r="AI181"/>
      <x:c r="AJ181"/>
      <x:c r="AK181"/>
      <x:c r="AL181"/>
    </x:row>
    <x:row r="182">
      <x:c r="A182" t="s">
        <x:v>391</x:v>
      </x:c>
      <x:c r="B182" t="s">
        <x:v>383</x:v>
      </x:c>
      <x:c r="C182" t="s">
        <x:v>44</x:v>
      </x:c>
      <x:c r="D182">
        <x:v>45956</x:v>
      </x:c>
      <x:c r="E182" t="s">
        <x:v>187</x:v>
      </x:c>
      <x:c r="F182" t="s">
        <x:v>46</x:v>
      </x:c>
      <x:c r="G182">
        <x:v>21</x:v>
      </x:c>
      <x:c r="H182" t="s">
        <x:v>52</x:v>
      </x:c>
      <x:c r="I182">
        <x:v>9</x:v>
      </x:c>
      <x:c r="J182">
        <x:v>10</x:v>
      </x:c>
      <x:c r="K182">
        <x:v>3</x:v>
      </x:c>
      <x:c r="L182">
        <x:f t="shared" si="14"/>
        <x:v>1</x:v>
      </x:c>
      <x:c r="P182">
        <x:f t="shared" si="15"/>
        <x:v>1</x:v>
      </x:c>
      <x:c r="Q182">
        <x:f t="shared" si="16"/>
        <x:v>1</x:v>
      </x:c>
      <x:c r="R182">
        <x:f t="shared" si="17"/>
        <x:v>1</x:v>
      </x:c>
      <x:c r="S182">
        <x:f t="shared" si="18"/>
        <x:v>3</x:v>
      </x:c>
      <x:c r="T182" t="str">
        <x:f t="shared" si="19"/>
        <x:v>DerivedFromCount</x:v>
      </x:c>
      <x:c r="U182" t="str">
        <x:f>IF(COUNTIF(DailyProduction!$Q$5:$Q$100,B182)=1,"OK","CHECK")</x:f>
        <x:v>OK</x:v>
      </x:c>
      <x:c r="V182" t="str">
        <x:f t="shared" si="20"/>
        <x:v>OK</x:v>
      </x:c>
      <x:c r="W182" t="str">
        <x:f>IF(SUMIF($B$5:$B$914,B182,$S$5:$S$914)=SUMIF(DailyProduction!$Q$5:$Q$100,B182,DailyProduction!$R$5:$R$100),"OK","CHECK")</x:f>
        <x:v>OK</x:v>
      </x:c>
      <x:c r="X182" t="str">
        <x:v>PLC-PRD-JAR-330-L21</x:v>
      </x:c>
      <x:c r="Y182" t="str">
        <x:v>OK</x:v>
      </x:c>
      <x:c r="Z182" t="str">
        <x:v>OK</x:v>
      </x:c>
      <x:c r="AA182" t="n">
        <x:v>3</x:v>
      </x:c>
      <x:c r="AB182" t="n">
        <x:v>3</x:v>
      </x:c>
      <x:c r="AC182" t="str">
        <x:v>OK</x:v>
      </x:c>
      <x:c r="AD182" t="str">
        <x:v>OK</x:v>
      </x:c>
      <x:c r="AE182" t="str">
        <x:v>LOAD</x:v>
      </x:c>
      <x:c r="AF182" t="str">
        <x:v>02_Supervisor_Log(4).xlsx</x:v>
      </x:c>
      <x:c r="AG182" t="str">
        <x:v>ENH-20260830-01</x:v>
      </x:c>
      <x:c r="AH182" t="str">
        <x:v>Active</x:v>
      </x:c>
      <x:c r="AI182"/>
      <x:c r="AJ182"/>
      <x:c r="AK182"/>
      <x:c r="AL182"/>
    </x:row>
    <x:row r="183">
      <x:c r="A183" t="s">
        <x:v>392</x:v>
      </x:c>
      <x:c r="B183" t="s">
        <x:v>383</x:v>
      </x:c>
      <x:c r="C183" t="s">
        <x:v>44</x:v>
      </x:c>
      <x:c r="D183">
        <x:v>45956</x:v>
      </x:c>
      <x:c r="E183" t="s">
        <x:v>187</x:v>
      </x:c>
      <x:c r="F183" t="s">
        <x:v>46</x:v>
      </x:c>
      <x:c r="G183">
        <x:v>21</x:v>
      </x:c>
      <x:c r="H183" t="s">
        <x:v>52</x:v>
      </x:c>
      <x:c r="I183">
        <x:v>10</x:v>
      </x:c>
      <x:c r="J183">
        <x:v>10</x:v>
      </x:c>
      <x:c r="K183">
        <x:v>3</x:v>
      </x:c>
      <x:c r="L183">
        <x:f t="shared" si="14"/>
        <x:v>1</x:v>
      </x:c>
      <x:c r="P183">
        <x:f t="shared" si="15"/>
        <x:v>1</x:v>
      </x:c>
      <x:c r="Q183">
        <x:f t="shared" si="16"/>
        <x:v>1</x:v>
      </x:c>
      <x:c r="R183">
        <x:f t="shared" si="17"/>
        <x:v>1</x:v>
      </x:c>
      <x:c r="S183">
        <x:f t="shared" si="18"/>
        <x:v>3</x:v>
      </x:c>
      <x:c r="T183" t="str">
        <x:f t="shared" si="19"/>
        <x:v>DerivedFromCount</x:v>
      </x:c>
      <x:c r="U183" t="str">
        <x:f>IF(COUNTIF(DailyProduction!$Q$5:$Q$100,B183)=1,"OK","CHECK")</x:f>
        <x:v>OK</x:v>
      </x:c>
      <x:c r="V183" t="str">
        <x:f t="shared" si="20"/>
        <x:v>OK</x:v>
      </x:c>
      <x:c r="W183" t="str">
        <x:f>IF(SUMIF($B$5:$B$914,B183,$S$5:$S$914)=SUMIF(DailyProduction!$Q$5:$Q$100,B183,DailyProduction!$R$5:$R$100),"OK","CHECK")</x:f>
        <x:v>OK</x:v>
      </x:c>
      <x:c r="X183" t="str">
        <x:v>PLC-PRD-JAR-330-L21</x:v>
      </x:c>
      <x:c r="Y183" t="str">
        <x:v>OK</x:v>
      </x:c>
      <x:c r="Z183" t="str">
        <x:v>OK</x:v>
      </x:c>
      <x:c r="AA183" t="n">
        <x:v>3</x:v>
      </x:c>
      <x:c r="AB183" t="n">
        <x:v>3</x:v>
      </x:c>
      <x:c r="AC183" t="str">
        <x:v>OK</x:v>
      </x:c>
      <x:c r="AD183" t="str">
        <x:v>OK</x:v>
      </x:c>
      <x:c r="AE183" t="str">
        <x:v>LOAD</x:v>
      </x:c>
      <x:c r="AF183" t="str">
        <x:v>02_Supervisor_Log(4).xlsx</x:v>
      </x:c>
      <x:c r="AG183" t="str">
        <x:v>ENH-20260830-01</x:v>
      </x:c>
      <x:c r="AH183" t="str">
        <x:v>Active</x:v>
      </x:c>
      <x:c r="AI183"/>
      <x:c r="AJ183"/>
      <x:c r="AK183"/>
      <x:c r="AL183"/>
    </x:row>
    <x:row r="184">
      <x:c r="A184" t="s">
        <x:v>393</x:v>
      </x:c>
      <x:c r="B184" t="s">
        <x:v>383</x:v>
      </x:c>
      <x:c r="C184" t="s">
        <x:v>44</x:v>
      </x:c>
      <x:c r="D184">
        <x:v>45956</x:v>
      </x:c>
      <x:c r="E184" t="s">
        <x:v>187</x:v>
      </x:c>
      <x:c r="F184" t="s">
        <x:v>46</x:v>
      </x:c>
      <x:c r="G184">
        <x:v>21</x:v>
      </x:c>
      <x:c r="H184" t="s">
        <x:v>52</x:v>
      </x:c>
      <x:c r="I184">
        <x:v>11</x:v>
      </x:c>
      <x:c r="J184">
        <x:v>10</x:v>
      </x:c>
      <x:c r="K184">
        <x:v>3</x:v>
      </x:c>
      <x:c r="L184">
        <x:f t="shared" si="14"/>
        <x:v>0</x:v>
      </x:c>
      <x:c r="P184">
        <x:f t="shared" si="15"/>
        <x:v>0</x:v>
      </x:c>
      <x:c r="Q184">
        <x:f t="shared" si="16"/>
        <x:v>0</x:v>
      </x:c>
      <x:c r="R184">
        <x:f t="shared" si="17"/>
        <x:v>0</x:v>
      </x:c>
      <x:c r="S184">
        <x:f t="shared" si="18"/>
        <x:v>0</x:v>
      </x:c>
      <x:c r="T184" t="str">
        <x:f t="shared" si="19"/>
        <x:v>DerivedFromCount</x:v>
      </x:c>
      <x:c r="U184" t="str">
        <x:f>IF(COUNTIF(DailyProduction!$Q$5:$Q$100,B184)=1,"OK","CHECK")</x:f>
        <x:v>OK</x:v>
      </x:c>
      <x:c r="V184" t="str">
        <x:f t="shared" si="20"/>
        <x:v>OK</x:v>
      </x:c>
      <x:c r="W184" t="str">
        <x:f>IF(SUMIF($B$5:$B$914,B184,$S$5:$S$914)=SUMIF(DailyProduction!$Q$5:$Q$100,B184,DailyProduction!$R$5:$R$100),"OK","CHECK")</x:f>
        <x:v>OK</x:v>
      </x:c>
      <x:c r="X184" t="str">
        <x:v>PLC-PRD-JAR-330-L21</x:v>
      </x:c>
      <x:c r="Y184" t="str">
        <x:v>OK</x:v>
      </x:c>
      <x:c r="Z184" t="str">
        <x:v>OK</x:v>
      </x:c>
      <x:c r="AA184" t="n">
        <x:v>3</x:v>
      </x:c>
      <x:c r="AB184" t="n">
        <x:v>0</x:v>
      </x:c>
      <x:c r="AC184" t="str">
        <x:v>OK</x:v>
      </x:c>
      <x:c r="AD184" t="str">
        <x:v>OK</x:v>
      </x:c>
      <x:c r="AE184" t="str">
        <x:v>LOAD</x:v>
      </x:c>
      <x:c r="AF184" t="str">
        <x:v>02_Supervisor_Log(4).xlsx</x:v>
      </x:c>
      <x:c r="AG184" t="str">
        <x:v>ENH-20260830-01</x:v>
      </x:c>
      <x:c r="AH184" t="str">
        <x:v>Active</x:v>
      </x:c>
      <x:c r="AI184"/>
      <x:c r="AJ184"/>
      <x:c r="AK184"/>
      <x:c r="AL184"/>
    </x:row>
    <x:row r="185">
      <x:c r="A185" t="s">
        <x:v>394</x:v>
      </x:c>
      <x:c r="B185" t="s">
        <x:v>383</x:v>
      </x:c>
      <x:c r="C185" t="s">
        <x:v>44</x:v>
      </x:c>
      <x:c r="D185">
        <x:v>45956</x:v>
      </x:c>
      <x:c r="E185" t="s">
        <x:v>187</x:v>
      </x:c>
      <x:c r="F185" t="s">
        <x:v>46</x:v>
      </x:c>
      <x:c r="G185">
        <x:v>21</x:v>
      </x:c>
      <x:c r="H185" t="s">
        <x:v>52</x:v>
      </x:c>
      <x:c r="I185">
        <x:v>12</x:v>
      </x:c>
      <x:c r="J185">
        <x:v>10</x:v>
      </x:c>
      <x:c r="K185">
        <x:v>3</x:v>
      </x:c>
      <x:c r="L185">
        <x:f t="shared" si="14"/>
        <x:v>0</x:v>
      </x:c>
      <x:c r="P185">
        <x:f t="shared" si="15"/>
        <x:v>0</x:v>
      </x:c>
      <x:c r="Q185">
        <x:f t="shared" si="16"/>
        <x:v>0</x:v>
      </x:c>
      <x:c r="R185">
        <x:f t="shared" si="17"/>
        <x:v>0</x:v>
      </x:c>
      <x:c r="S185">
        <x:f t="shared" si="18"/>
        <x:v>0</x:v>
      </x:c>
      <x:c r="T185" t="str">
        <x:f t="shared" si="19"/>
        <x:v>DerivedFromCount</x:v>
      </x:c>
      <x:c r="U185" t="str">
        <x:f>IF(COUNTIF(DailyProduction!$Q$5:$Q$100,B185)=1,"OK","CHECK")</x:f>
        <x:v>OK</x:v>
      </x:c>
      <x:c r="V185" t="str">
        <x:f t="shared" si="20"/>
        <x:v>OK</x:v>
      </x:c>
      <x:c r="W185" t="str">
        <x:f>IF(SUMIF($B$5:$B$914,B185,$S$5:$S$914)=SUMIF(DailyProduction!$Q$5:$Q$100,B185,DailyProduction!$R$5:$R$100),"OK","CHECK")</x:f>
        <x:v>OK</x:v>
      </x:c>
      <x:c r="X185" t="str">
        <x:v>PLC-PRD-JAR-330-L21</x:v>
      </x:c>
      <x:c r="Y185" t="str">
        <x:v>OK</x:v>
      </x:c>
      <x:c r="Z185" t="str">
        <x:v>OK</x:v>
      </x:c>
      <x:c r="AA185" t="n">
        <x:v>3</x:v>
      </x:c>
      <x:c r="AB185" t="n">
        <x:v>0</x:v>
      </x:c>
      <x:c r="AC185" t="str">
        <x:v>OK</x:v>
      </x:c>
      <x:c r="AD185" t="str">
        <x:v>OK</x:v>
      </x:c>
      <x:c r="AE185" t="str">
        <x:v>LOAD</x:v>
      </x:c>
      <x:c r="AF185" t="str">
        <x:v>02_Supervisor_Log(4).xlsx</x:v>
      </x:c>
      <x:c r="AG185" t="str">
        <x:v>ENH-20260830-01</x:v>
      </x:c>
      <x:c r="AH185" t="str">
        <x:v>Active</x:v>
      </x:c>
      <x:c r="AI185"/>
      <x:c r="AJ185"/>
      <x:c r="AK185"/>
      <x:c r="AL185"/>
    </x:row>
    <x:row r="186">
      <x:c r="A186" t="s">
        <x:v>395</x:v>
      </x:c>
      <x:c r="B186" t="s">
        <x:v>383</x:v>
      </x:c>
      <x:c r="C186" t="s">
        <x:v>44</x:v>
      </x:c>
      <x:c r="D186">
        <x:v>45956</x:v>
      </x:c>
      <x:c r="E186" t="s">
        <x:v>187</x:v>
      </x:c>
      <x:c r="F186" t="s">
        <x:v>46</x:v>
      </x:c>
      <x:c r="G186">
        <x:v>21</x:v>
      </x:c>
      <x:c r="H186" t="s">
        <x:v>52</x:v>
      </x:c>
      <x:c r="I186">
        <x:v>13</x:v>
      </x:c>
      <x:c r="J186">
        <x:v>10</x:v>
      </x:c>
      <x:c r="K186">
        <x:v>3</x:v>
      </x:c>
      <x:c r="L186">
        <x:f t="shared" si="14"/>
        <x:v>0</x:v>
      </x:c>
      <x:c r="P186">
        <x:f t="shared" si="15"/>
        <x:v>0</x:v>
      </x:c>
      <x:c r="Q186">
        <x:f t="shared" si="16"/>
        <x:v>0</x:v>
      </x:c>
      <x:c r="R186">
        <x:f t="shared" si="17"/>
        <x:v>0</x:v>
      </x:c>
      <x:c r="S186">
        <x:f t="shared" si="18"/>
        <x:v>0</x:v>
      </x:c>
      <x:c r="T186" t="str">
        <x:f t="shared" si="19"/>
        <x:v>DerivedFromCount</x:v>
      </x:c>
      <x:c r="U186" t="str">
        <x:f>IF(COUNTIF(DailyProduction!$Q$5:$Q$100,B186)=1,"OK","CHECK")</x:f>
        <x:v>OK</x:v>
      </x:c>
      <x:c r="V186" t="str">
        <x:f t="shared" si="20"/>
        <x:v>OK</x:v>
      </x:c>
      <x:c r="W186" t="str">
        <x:f>IF(SUMIF($B$5:$B$914,B186,$S$5:$S$914)=SUMIF(DailyProduction!$Q$5:$Q$100,B186,DailyProduction!$R$5:$R$100),"OK","CHECK")</x:f>
        <x:v>OK</x:v>
      </x:c>
      <x:c r="X186" t="str">
        <x:v>PLC-PRD-JAR-330-L21</x:v>
      </x:c>
      <x:c r="Y186" t="str">
        <x:v>OK</x:v>
      </x:c>
      <x:c r="Z186" t="str">
        <x:v>OK</x:v>
      </x:c>
      <x:c r="AA186" t="n">
        <x:v>3</x:v>
      </x:c>
      <x:c r="AB186" t="n">
        <x:v>0</x:v>
      </x:c>
      <x:c r="AC186" t="str">
        <x:v>OK</x:v>
      </x:c>
      <x:c r="AD186" t="str">
        <x:v>OK</x:v>
      </x:c>
      <x:c r="AE186" t="str">
        <x:v>LOAD</x:v>
      </x:c>
      <x:c r="AF186" t="str">
        <x:v>02_Supervisor_Log(4).xlsx</x:v>
      </x:c>
      <x:c r="AG186" t="str">
        <x:v>ENH-20260830-01</x:v>
      </x:c>
      <x:c r="AH186" t="str">
        <x:v>Active</x:v>
      </x:c>
      <x:c r="AI186"/>
      <x:c r="AJ186"/>
      <x:c r="AK186"/>
      <x:c r="AL186"/>
    </x:row>
    <x:row r="187">
      <x:c r="A187" t="s">
        <x:v>396</x:v>
      </x:c>
      <x:c r="B187" t="s">
        <x:v>122</x:v>
      </x:c>
      <x:c r="C187" t="s">
        <x:v>44</x:v>
      </x:c>
      <x:c r="D187">
        <x:v>45950</x:v>
      </x:c>
      <x:c r="E187" t="s">
        <x:v>45</x:v>
      </x:c>
      <x:c r="F187" t="s">
        <x:v>55</x:v>
      </x:c>
      <x:c r="G187">
        <x:v>22</x:v>
      </x:c>
      <x:c r="H187" t="s">
        <x:v>57</x:v>
      </x:c>
      <x:c r="I187">
        <x:v>1</x:v>
      </x:c>
      <x:c r="J187">
        <x:v>10</x:v>
      </x:c>
      <x:c r="K187">
        <x:v>2</x:v>
      </x:c>
      <x:c r="L187">
        <x:f t="shared" si="14"/>
        <x:v>1</x:v>
      </x:c>
      <x:c r="P187">
        <x:f t="shared" si="15"/>
        <x:v>1</x:v>
      </x:c>
      <x:c r="Q187">
        <x:f t="shared" si="16"/>
        <x:v>1</x:v>
      </x:c>
      <x:c r="R187">
        <x:f t="shared" si="17"/>
        <x:v>0</x:v>
      </x:c>
      <x:c r="S187">
        <x:f t="shared" si="18"/>
        <x:v>2</x:v>
      </x:c>
      <x:c r="T187" t="str">
        <x:f t="shared" si="19"/>
        <x:v>DerivedFromCount</x:v>
      </x:c>
      <x:c r="U187" t="str">
        <x:f>IF(COUNTIF(DailyProduction!$Q$5:$Q$100,B187)=1,"OK","CHECK")</x:f>
        <x:v>OK</x:v>
      </x:c>
      <x:c r="V187" t="str">
        <x:f t="shared" si="20"/>
        <x:v>OK</x:v>
      </x:c>
      <x:c r="W187" t="str">
        <x:f>IF(SUMIF($B$5:$B$914,B187,$S$5:$S$914)=SUMIF(DailyProduction!$Q$5:$Q$100,B187,DailyProduction!$R$5:$R$100),"OK","CHECK")</x:f>
        <x:v>OK</x:v>
      </x:c>
      <x:c r="X187" t="str">
        <x:v>PLC-PRD-JAR-720-L22</x:v>
      </x:c>
      <x:c r="Y187" t="str">
        <x:v>OK</x:v>
      </x:c>
      <x:c r="Z187" t="str">
        <x:v>OK</x:v>
      </x:c>
      <x:c r="AA187" t="n">
        <x:v>3</x:v>
      </x:c>
      <x:c r="AB187" t="n">
        <x:v>2</x:v>
      </x:c>
      <x:c r="AC187" t="str">
        <x:v>OK</x:v>
      </x:c>
      <x:c r="AD187" t="str">
        <x:v>OK</x:v>
      </x:c>
      <x:c r="AE187" t="str">
        <x:v>LOAD</x:v>
      </x:c>
      <x:c r="AF187" t="str">
        <x:v>02_Supervisor_Log(4).xlsx</x:v>
      </x:c>
      <x:c r="AG187" t="str">
        <x:v>ENH-20260830-01</x:v>
      </x:c>
      <x:c r="AH187" t="str">
        <x:v>Active</x:v>
      </x:c>
      <x:c r="AI187"/>
      <x:c r="AJ187"/>
      <x:c r="AK187"/>
      <x:c r="AL187"/>
    </x:row>
    <x:row r="188">
      <x:c r="A188" t="s">
        <x:v>397</x:v>
      </x:c>
      <x:c r="B188" t="s">
        <x:v>122</x:v>
      </x:c>
      <x:c r="C188" t="s">
        <x:v>44</x:v>
      </x:c>
      <x:c r="D188">
        <x:v>45950</x:v>
      </x:c>
      <x:c r="E188" t="s">
        <x:v>45</x:v>
      </x:c>
      <x:c r="F188" t="s">
        <x:v>55</x:v>
      </x:c>
      <x:c r="G188">
        <x:v>22</x:v>
      </x:c>
      <x:c r="H188" t="s">
        <x:v>57</x:v>
      </x:c>
      <x:c r="I188">
        <x:v>2</x:v>
      </x:c>
      <x:c r="J188">
        <x:v>10</x:v>
      </x:c>
      <x:c r="K188">
        <x:v>2</x:v>
      </x:c>
      <x:c r="L188">
        <x:f t="shared" si="14"/>
        <x:v>1</x:v>
      </x:c>
      <x:c r="P188">
        <x:f t="shared" si="15"/>
        <x:v>1</x:v>
      </x:c>
      <x:c r="Q188">
        <x:f t="shared" si="16"/>
        <x:v>1</x:v>
      </x:c>
      <x:c r="R188">
        <x:f t="shared" si="17"/>
        <x:v>0</x:v>
      </x:c>
      <x:c r="S188">
        <x:f t="shared" si="18"/>
        <x:v>2</x:v>
      </x:c>
      <x:c r="T188" t="str">
        <x:f t="shared" si="19"/>
        <x:v>DerivedFromCount</x:v>
      </x:c>
      <x:c r="U188" t="str">
        <x:f>IF(COUNTIF(DailyProduction!$Q$5:$Q$100,B188)=1,"OK","CHECK")</x:f>
        <x:v>OK</x:v>
      </x:c>
      <x:c r="V188" t="str">
        <x:f t="shared" si="20"/>
        <x:v>OK</x:v>
      </x:c>
      <x:c r="W188" t="str">
        <x:f>IF(SUMIF($B$5:$B$914,B188,$S$5:$S$914)=SUMIF(DailyProduction!$Q$5:$Q$100,B188,DailyProduction!$R$5:$R$100),"OK","CHECK")</x:f>
        <x:v>OK</x:v>
      </x:c>
      <x:c r="X188" t="str">
        <x:v>PLC-PRD-JAR-720-L22</x:v>
      </x:c>
      <x:c r="Y188" t="str">
        <x:v>OK</x:v>
      </x:c>
      <x:c r="Z188" t="str">
        <x:v>OK</x:v>
      </x:c>
      <x:c r="AA188" t="n">
        <x:v>3</x:v>
      </x:c>
      <x:c r="AB188" t="n">
        <x:v>2</x:v>
      </x:c>
      <x:c r="AC188" t="str">
        <x:v>OK</x:v>
      </x:c>
      <x:c r="AD188" t="str">
        <x:v>OK</x:v>
      </x:c>
      <x:c r="AE188" t="str">
        <x:v>LOAD</x:v>
      </x:c>
      <x:c r="AF188" t="str">
        <x:v>02_Supervisor_Log(4).xlsx</x:v>
      </x:c>
      <x:c r="AG188" t="str">
        <x:v>ENH-20260830-01</x:v>
      </x:c>
      <x:c r="AH188" t="str">
        <x:v>Active</x:v>
      </x:c>
      <x:c r="AI188"/>
      <x:c r="AJ188"/>
      <x:c r="AK188"/>
      <x:c r="AL188"/>
    </x:row>
    <x:row r="189">
      <x:c r="A189" t="s">
        <x:v>398</x:v>
      </x:c>
      <x:c r="B189" t="s">
        <x:v>122</x:v>
      </x:c>
      <x:c r="C189" t="s">
        <x:v>44</x:v>
      </x:c>
      <x:c r="D189">
        <x:v>45950</x:v>
      </x:c>
      <x:c r="E189" t="s">
        <x:v>45</x:v>
      </x:c>
      <x:c r="F189" t="s">
        <x:v>55</x:v>
      </x:c>
      <x:c r="G189">
        <x:v>22</x:v>
      </x:c>
      <x:c r="H189" t="s">
        <x:v>57</x:v>
      </x:c>
      <x:c r="I189">
        <x:v>3</x:v>
      </x:c>
      <x:c r="J189">
        <x:v>10</x:v>
      </x:c>
      <x:c r="K189">
        <x:v>2</x:v>
      </x:c>
      <x:c r="L189">
        <x:f t="shared" si="14"/>
        <x:v>1</x:v>
      </x:c>
      <x:c r="P189">
        <x:f t="shared" si="15"/>
        <x:v>1</x:v>
      </x:c>
      <x:c r="Q189">
        <x:f t="shared" si="16"/>
        <x:v>1</x:v>
      </x:c>
      <x:c r="R189">
        <x:f t="shared" si="17"/>
        <x:v>0</x:v>
      </x:c>
      <x:c r="S189">
        <x:f t="shared" si="18"/>
        <x:v>2</x:v>
      </x:c>
      <x:c r="T189" t="str">
        <x:f t="shared" si="19"/>
        <x:v>DerivedFromCount</x:v>
      </x:c>
      <x:c r="U189" t="str">
        <x:f>IF(COUNTIF(DailyProduction!$Q$5:$Q$100,B189)=1,"OK","CHECK")</x:f>
        <x:v>OK</x:v>
      </x:c>
      <x:c r="V189" t="str">
        <x:f t="shared" si="20"/>
        <x:v>OK</x:v>
      </x:c>
      <x:c r="W189" t="str">
        <x:f>IF(SUMIF($B$5:$B$914,B189,$S$5:$S$914)=SUMIF(DailyProduction!$Q$5:$Q$100,B189,DailyProduction!$R$5:$R$100),"OK","CHECK")</x:f>
        <x:v>OK</x:v>
      </x:c>
      <x:c r="X189" t="str">
        <x:v>PLC-PRD-JAR-720-L22</x:v>
      </x:c>
      <x:c r="Y189" t="str">
        <x:v>OK</x:v>
      </x:c>
      <x:c r="Z189" t="str">
        <x:v>OK</x:v>
      </x:c>
      <x:c r="AA189" t="n">
        <x:v>3</x:v>
      </x:c>
      <x:c r="AB189" t="n">
        <x:v>2</x:v>
      </x:c>
      <x:c r="AC189" t="str">
        <x:v>OK</x:v>
      </x:c>
      <x:c r="AD189" t="str">
        <x:v>OK</x:v>
      </x:c>
      <x:c r="AE189" t="str">
        <x:v>LOAD</x:v>
      </x:c>
      <x:c r="AF189" t="str">
        <x:v>02_Supervisor_Log(4).xlsx</x:v>
      </x:c>
      <x:c r="AG189" t="str">
        <x:v>ENH-20260830-01</x:v>
      </x:c>
      <x:c r="AH189" t="str">
        <x:v>Active</x:v>
      </x:c>
      <x:c r="AI189"/>
      <x:c r="AJ189"/>
      <x:c r="AK189"/>
      <x:c r="AL189"/>
    </x:row>
    <x:row r="190">
      <x:c r="A190" t="s">
        <x:v>399</x:v>
      </x:c>
      <x:c r="B190" t="s">
        <x:v>122</x:v>
      </x:c>
      <x:c r="C190" t="s">
        <x:v>44</x:v>
      </x:c>
      <x:c r="D190">
        <x:v>45950</x:v>
      </x:c>
      <x:c r="E190" t="s">
        <x:v>45</x:v>
      </x:c>
      <x:c r="F190" t="s">
        <x:v>55</x:v>
      </x:c>
      <x:c r="G190">
        <x:v>22</x:v>
      </x:c>
      <x:c r="H190" t="s">
        <x:v>57</x:v>
      </x:c>
      <x:c r="I190">
        <x:v>4</x:v>
      </x:c>
      <x:c r="J190">
        <x:v>10</x:v>
      </x:c>
      <x:c r="K190">
        <x:v>2</x:v>
      </x:c>
      <x:c r="L190">
        <x:f t="shared" si="14"/>
        <x:v>1</x:v>
      </x:c>
      <x:c r="P190">
        <x:f t="shared" si="15"/>
        <x:v>1</x:v>
      </x:c>
      <x:c r="Q190">
        <x:f t="shared" si="16"/>
        <x:v>1</x:v>
      </x:c>
      <x:c r="R190">
        <x:f t="shared" si="17"/>
        <x:v>0</x:v>
      </x:c>
      <x:c r="S190">
        <x:f t="shared" si="18"/>
        <x:v>2</x:v>
      </x:c>
      <x:c r="T190" t="str">
        <x:f t="shared" si="19"/>
        <x:v>DerivedFromCount</x:v>
      </x:c>
      <x:c r="U190" t="str">
        <x:f>IF(COUNTIF(DailyProduction!$Q$5:$Q$100,B190)=1,"OK","CHECK")</x:f>
        <x:v>OK</x:v>
      </x:c>
      <x:c r="V190" t="str">
        <x:f t="shared" si="20"/>
        <x:v>OK</x:v>
      </x:c>
      <x:c r="W190" t="str">
        <x:f>IF(SUMIF($B$5:$B$914,B190,$S$5:$S$914)=SUMIF(DailyProduction!$Q$5:$Q$100,B190,DailyProduction!$R$5:$R$100),"OK","CHECK")</x:f>
        <x:v>OK</x:v>
      </x:c>
      <x:c r="X190" t="str">
        <x:v>PLC-PRD-JAR-720-L22</x:v>
      </x:c>
      <x:c r="Y190" t="str">
        <x:v>OK</x:v>
      </x:c>
      <x:c r="Z190" t="str">
        <x:v>OK</x:v>
      </x:c>
      <x:c r="AA190" t="n">
        <x:v>3</x:v>
      </x:c>
      <x:c r="AB190" t="n">
        <x:v>2</x:v>
      </x:c>
      <x:c r="AC190" t="str">
        <x:v>OK</x:v>
      </x:c>
      <x:c r="AD190" t="str">
        <x:v>OK</x:v>
      </x:c>
      <x:c r="AE190" t="str">
        <x:v>LOAD</x:v>
      </x:c>
      <x:c r="AF190" t="str">
        <x:v>02_Supervisor_Log(4).xlsx</x:v>
      </x:c>
      <x:c r="AG190" t="str">
        <x:v>ENH-20260830-01</x:v>
      </x:c>
      <x:c r="AH190" t="str">
        <x:v>Active</x:v>
      </x:c>
      <x:c r="AI190"/>
      <x:c r="AJ190"/>
      <x:c r="AK190"/>
      <x:c r="AL190"/>
    </x:row>
    <x:row r="191">
      <x:c r="A191" t="s">
        <x:v>400</x:v>
      </x:c>
      <x:c r="B191" t="s">
        <x:v>122</x:v>
      </x:c>
      <x:c r="C191" t="s">
        <x:v>44</x:v>
      </x:c>
      <x:c r="D191">
        <x:v>45950</x:v>
      </x:c>
      <x:c r="E191" t="s">
        <x:v>45</x:v>
      </x:c>
      <x:c r="F191" t="s">
        <x:v>55</x:v>
      </x:c>
      <x:c r="G191">
        <x:v>22</x:v>
      </x:c>
      <x:c r="H191" t="s">
        <x:v>57</x:v>
      </x:c>
      <x:c r="I191">
        <x:v>5</x:v>
      </x:c>
      <x:c r="J191">
        <x:v>10</x:v>
      </x:c>
      <x:c r="K191">
        <x:v>2</x:v>
      </x:c>
      <x:c r="L191">
        <x:f t="shared" si="14"/>
        <x:v>1</x:v>
      </x:c>
      <x:c r="P191">
        <x:f t="shared" si="15"/>
        <x:v>1</x:v>
      </x:c>
      <x:c r="Q191">
        <x:f t="shared" si="16"/>
        <x:v>1</x:v>
      </x:c>
      <x:c r="R191">
        <x:f t="shared" si="17"/>
        <x:v>0</x:v>
      </x:c>
      <x:c r="S191">
        <x:f t="shared" si="18"/>
        <x:v>2</x:v>
      </x:c>
      <x:c r="T191" t="str">
        <x:f t="shared" si="19"/>
        <x:v>DerivedFromCount</x:v>
      </x:c>
      <x:c r="U191" t="str">
        <x:f>IF(COUNTIF(DailyProduction!$Q$5:$Q$100,B191)=1,"OK","CHECK")</x:f>
        <x:v>OK</x:v>
      </x:c>
      <x:c r="V191" t="str">
        <x:f t="shared" si="20"/>
        <x:v>OK</x:v>
      </x:c>
      <x:c r="W191" t="str">
        <x:f>IF(SUMIF($B$5:$B$914,B191,$S$5:$S$914)=SUMIF(DailyProduction!$Q$5:$Q$100,B191,DailyProduction!$R$5:$R$100),"OK","CHECK")</x:f>
        <x:v>OK</x:v>
      </x:c>
      <x:c r="X191" t="str">
        <x:v>PLC-PRD-JAR-720-L22</x:v>
      </x:c>
      <x:c r="Y191" t="str">
        <x:v>OK</x:v>
      </x:c>
      <x:c r="Z191" t="str">
        <x:v>OK</x:v>
      </x:c>
      <x:c r="AA191" t="n">
        <x:v>3</x:v>
      </x:c>
      <x:c r="AB191" t="n">
        <x:v>2</x:v>
      </x:c>
      <x:c r="AC191" t="str">
        <x:v>OK</x:v>
      </x:c>
      <x:c r="AD191" t="str">
        <x:v>OK</x:v>
      </x:c>
      <x:c r="AE191" t="str">
        <x:v>LOAD</x:v>
      </x:c>
      <x:c r="AF191" t="str">
        <x:v>02_Supervisor_Log(4).xlsx</x:v>
      </x:c>
      <x:c r="AG191" t="str">
        <x:v>ENH-20260830-01</x:v>
      </x:c>
      <x:c r="AH191" t="str">
        <x:v>Active</x:v>
      </x:c>
      <x:c r="AI191"/>
      <x:c r="AJ191"/>
      <x:c r="AK191"/>
      <x:c r="AL191"/>
    </x:row>
    <x:row r="192">
      <x:c r="A192" t="s">
        <x:v>401</x:v>
      </x:c>
      <x:c r="B192" t="s">
        <x:v>122</x:v>
      </x:c>
      <x:c r="C192" t="s">
        <x:v>44</x:v>
      </x:c>
      <x:c r="D192">
        <x:v>45950</x:v>
      </x:c>
      <x:c r="E192" t="s">
        <x:v>45</x:v>
      </x:c>
      <x:c r="F192" t="s">
        <x:v>55</x:v>
      </x:c>
      <x:c r="G192">
        <x:v>22</x:v>
      </x:c>
      <x:c r="H192" t="s">
        <x:v>57</x:v>
      </x:c>
      <x:c r="I192">
        <x:v>6</x:v>
      </x:c>
      <x:c r="J192">
        <x:v>10</x:v>
      </x:c>
      <x:c r="K192">
        <x:v>2</x:v>
      </x:c>
      <x:c r="L192">
        <x:f t="shared" si="14"/>
        <x:v>1</x:v>
      </x:c>
      <x:c r="P192">
        <x:f t="shared" si="15"/>
        <x:v>1</x:v>
      </x:c>
      <x:c r="Q192">
        <x:f t="shared" si="16"/>
        <x:v>1</x:v>
      </x:c>
      <x:c r="R192">
        <x:f t="shared" si="17"/>
        <x:v>0</x:v>
      </x:c>
      <x:c r="S192">
        <x:f t="shared" si="18"/>
        <x:v>2</x:v>
      </x:c>
      <x:c r="T192" t="str">
        <x:f t="shared" si="19"/>
        <x:v>DerivedFromCount</x:v>
      </x:c>
      <x:c r="U192" t="str">
        <x:f>IF(COUNTIF(DailyProduction!$Q$5:$Q$100,B192)=1,"OK","CHECK")</x:f>
        <x:v>OK</x:v>
      </x:c>
      <x:c r="V192" t="str">
        <x:f t="shared" si="20"/>
        <x:v>OK</x:v>
      </x:c>
      <x:c r="W192" t="str">
        <x:f>IF(SUMIF($B$5:$B$914,B192,$S$5:$S$914)=SUMIF(DailyProduction!$Q$5:$Q$100,B192,DailyProduction!$R$5:$R$100),"OK","CHECK")</x:f>
        <x:v>OK</x:v>
      </x:c>
      <x:c r="X192" t="str">
        <x:v>PLC-PRD-JAR-720-L22</x:v>
      </x:c>
      <x:c r="Y192" t="str">
        <x:v>OK</x:v>
      </x:c>
      <x:c r="Z192" t="str">
        <x:v>OK</x:v>
      </x:c>
      <x:c r="AA192" t="n">
        <x:v>3</x:v>
      </x:c>
      <x:c r="AB192" t="n">
        <x:v>2</x:v>
      </x:c>
      <x:c r="AC192" t="str">
        <x:v>OK</x:v>
      </x:c>
      <x:c r="AD192" t="str">
        <x:v>OK</x:v>
      </x:c>
      <x:c r="AE192" t="str">
        <x:v>LOAD</x:v>
      </x:c>
      <x:c r="AF192" t="str">
        <x:v>02_Supervisor_Log(4).xlsx</x:v>
      </x:c>
      <x:c r="AG192" t="str">
        <x:v>ENH-20260830-01</x:v>
      </x:c>
      <x:c r="AH192" t="str">
        <x:v>Active</x:v>
      </x:c>
      <x:c r="AI192"/>
      <x:c r="AJ192"/>
      <x:c r="AK192"/>
      <x:c r="AL192"/>
    </x:row>
    <x:row r="193">
      <x:c r="A193" t="s">
        <x:v>402</x:v>
      </x:c>
      <x:c r="B193" t="s">
        <x:v>122</x:v>
      </x:c>
      <x:c r="C193" t="s">
        <x:v>44</x:v>
      </x:c>
      <x:c r="D193">
        <x:v>45950</x:v>
      </x:c>
      <x:c r="E193" t="s">
        <x:v>45</x:v>
      </x:c>
      <x:c r="F193" t="s">
        <x:v>55</x:v>
      </x:c>
      <x:c r="G193">
        <x:v>22</x:v>
      </x:c>
      <x:c r="H193" t="s">
        <x:v>57</x:v>
      </x:c>
      <x:c r="I193">
        <x:v>7</x:v>
      </x:c>
      <x:c r="J193">
        <x:v>10</x:v>
      </x:c>
      <x:c r="K193">
        <x:v>2</x:v>
      </x:c>
      <x:c r="L193">
        <x:f t="shared" si="14"/>
        <x:v>1</x:v>
      </x:c>
      <x:c r="P193">
        <x:f t="shared" si="15"/>
        <x:v>1</x:v>
      </x:c>
      <x:c r="Q193">
        <x:f t="shared" si="16"/>
        <x:v>1</x:v>
      </x:c>
      <x:c r="R193">
        <x:f t="shared" si="17"/>
        <x:v>0</x:v>
      </x:c>
      <x:c r="S193">
        <x:f t="shared" si="18"/>
        <x:v>2</x:v>
      </x:c>
      <x:c r="T193" t="str">
        <x:f t="shared" si="19"/>
        <x:v>DerivedFromCount</x:v>
      </x:c>
      <x:c r="U193" t="str">
        <x:f>IF(COUNTIF(DailyProduction!$Q$5:$Q$100,B193)=1,"OK","CHECK")</x:f>
        <x:v>OK</x:v>
      </x:c>
      <x:c r="V193" t="str">
        <x:f t="shared" si="20"/>
        <x:v>OK</x:v>
      </x:c>
      <x:c r="W193" t="str">
        <x:f>IF(SUMIF($B$5:$B$914,B193,$S$5:$S$914)=SUMIF(DailyProduction!$Q$5:$Q$100,B193,DailyProduction!$R$5:$R$100),"OK","CHECK")</x:f>
        <x:v>OK</x:v>
      </x:c>
      <x:c r="X193" t="str">
        <x:v>PLC-PRD-JAR-720-L22</x:v>
      </x:c>
      <x:c r="Y193" t="str">
        <x:v>OK</x:v>
      </x:c>
      <x:c r="Z193" t="str">
        <x:v>OK</x:v>
      </x:c>
      <x:c r="AA193" t="n">
        <x:v>3</x:v>
      </x:c>
      <x:c r="AB193" t="n">
        <x:v>2</x:v>
      </x:c>
      <x:c r="AC193" t="str">
        <x:v>OK</x:v>
      </x:c>
      <x:c r="AD193" t="str">
        <x:v>OK</x:v>
      </x:c>
      <x:c r="AE193" t="str">
        <x:v>LOAD</x:v>
      </x:c>
      <x:c r="AF193" t="str">
        <x:v>02_Supervisor_Log(4).xlsx</x:v>
      </x:c>
      <x:c r="AG193" t="str">
        <x:v>ENH-20260830-01</x:v>
      </x:c>
      <x:c r="AH193" t="str">
        <x:v>Active</x:v>
      </x:c>
      <x:c r="AI193"/>
      <x:c r="AJ193"/>
      <x:c r="AK193"/>
      <x:c r="AL193"/>
    </x:row>
    <x:row r="194">
      <x:c r="A194" t="s">
        <x:v>403</x:v>
      </x:c>
      <x:c r="B194" t="s">
        <x:v>122</x:v>
      </x:c>
      <x:c r="C194" t="s">
        <x:v>44</x:v>
      </x:c>
      <x:c r="D194">
        <x:v>45950</x:v>
      </x:c>
      <x:c r="E194" t="s">
        <x:v>45</x:v>
      </x:c>
      <x:c r="F194" t="s">
        <x:v>55</x:v>
      </x:c>
      <x:c r="G194">
        <x:v>22</x:v>
      </x:c>
      <x:c r="H194" t="s">
        <x:v>57</x:v>
      </x:c>
      <x:c r="I194">
        <x:v>8</x:v>
      </x:c>
      <x:c r="J194">
        <x:v>10</x:v>
      </x:c>
      <x:c r="K194">
        <x:v>2</x:v>
      </x:c>
      <x:c r="L194">
        <x:f t="shared" si="14"/>
        <x:v>1</x:v>
      </x:c>
      <x:c r="P194">
        <x:f t="shared" si="15"/>
        <x:v>1</x:v>
      </x:c>
      <x:c r="Q194">
        <x:f t="shared" si="16"/>
        <x:v>1</x:v>
      </x:c>
      <x:c r="R194">
        <x:f t="shared" si="17"/>
        <x:v>0</x:v>
      </x:c>
      <x:c r="S194">
        <x:f t="shared" si="18"/>
        <x:v>2</x:v>
      </x:c>
      <x:c r="T194" t="str">
        <x:f t="shared" si="19"/>
        <x:v>DerivedFromCount</x:v>
      </x:c>
      <x:c r="U194" t="str">
        <x:f>IF(COUNTIF(DailyProduction!$Q$5:$Q$100,B194)=1,"OK","CHECK")</x:f>
        <x:v>OK</x:v>
      </x:c>
      <x:c r="V194" t="str">
        <x:f t="shared" si="20"/>
        <x:v>OK</x:v>
      </x:c>
      <x:c r="W194" t="str">
        <x:f>IF(SUMIF($B$5:$B$914,B194,$S$5:$S$914)=SUMIF(DailyProduction!$Q$5:$Q$100,B194,DailyProduction!$R$5:$R$100),"OK","CHECK")</x:f>
        <x:v>OK</x:v>
      </x:c>
      <x:c r="X194" t="str">
        <x:v>PLC-PRD-JAR-720-L22</x:v>
      </x:c>
      <x:c r="Y194" t="str">
        <x:v>OK</x:v>
      </x:c>
      <x:c r="Z194" t="str">
        <x:v>OK</x:v>
      </x:c>
      <x:c r="AA194" t="n">
        <x:v>3</x:v>
      </x:c>
      <x:c r="AB194" t="n">
        <x:v>2</x:v>
      </x:c>
      <x:c r="AC194" t="str">
        <x:v>OK</x:v>
      </x:c>
      <x:c r="AD194" t="str">
        <x:v>OK</x:v>
      </x:c>
      <x:c r="AE194" t="str">
        <x:v>LOAD</x:v>
      </x:c>
      <x:c r="AF194" t="str">
        <x:v>02_Supervisor_Log(4).xlsx</x:v>
      </x:c>
      <x:c r="AG194" t="str">
        <x:v>ENH-20260830-01</x:v>
      </x:c>
      <x:c r="AH194" t="str">
        <x:v>Active</x:v>
      </x:c>
      <x:c r="AI194"/>
      <x:c r="AJ194"/>
      <x:c r="AK194"/>
      <x:c r="AL194"/>
    </x:row>
    <x:row r="195">
      <x:c r="A195" t="s">
        <x:v>404</x:v>
      </x:c>
      <x:c r="B195" t="s">
        <x:v>122</x:v>
      </x:c>
      <x:c r="C195" t="s">
        <x:v>44</x:v>
      </x:c>
      <x:c r="D195">
        <x:v>45950</x:v>
      </x:c>
      <x:c r="E195" t="s">
        <x:v>45</x:v>
      </x:c>
      <x:c r="F195" t="s">
        <x:v>55</x:v>
      </x:c>
      <x:c r="G195">
        <x:v>22</x:v>
      </x:c>
      <x:c r="H195" t="s">
        <x:v>57</x:v>
      </x:c>
      <x:c r="I195">
        <x:v>9</x:v>
      </x:c>
      <x:c r="J195">
        <x:v>10</x:v>
      </x:c>
      <x:c r="K195">
        <x:v>2</x:v>
      </x:c>
      <x:c r="L195">
        <x:f t="shared" si="14"/>
        <x:v>1</x:v>
      </x:c>
      <x:c r="P195">
        <x:f t="shared" si="15"/>
        <x:v>1</x:v>
      </x:c>
      <x:c r="Q195">
        <x:f t="shared" si="16"/>
        <x:v>1</x:v>
      </x:c>
      <x:c r="R195">
        <x:f t="shared" si="17"/>
        <x:v>0</x:v>
      </x:c>
      <x:c r="S195">
        <x:f t="shared" si="18"/>
        <x:v>2</x:v>
      </x:c>
      <x:c r="T195" t="str">
        <x:f t="shared" si="19"/>
        <x:v>DerivedFromCount</x:v>
      </x:c>
      <x:c r="U195" t="str">
        <x:f>IF(COUNTIF(DailyProduction!$Q$5:$Q$100,B195)=1,"OK","CHECK")</x:f>
        <x:v>OK</x:v>
      </x:c>
      <x:c r="V195" t="str">
        <x:f t="shared" si="20"/>
        <x:v>OK</x:v>
      </x:c>
      <x:c r="W195" t="str">
        <x:f>IF(SUMIF($B$5:$B$914,B195,$S$5:$S$914)=SUMIF(DailyProduction!$Q$5:$Q$100,B195,DailyProduction!$R$5:$R$100),"OK","CHECK")</x:f>
        <x:v>OK</x:v>
      </x:c>
      <x:c r="X195" t="str">
        <x:v>PLC-PRD-JAR-720-L22</x:v>
      </x:c>
      <x:c r="Y195" t="str">
        <x:v>OK</x:v>
      </x:c>
      <x:c r="Z195" t="str">
        <x:v>OK</x:v>
      </x:c>
      <x:c r="AA195" t="n">
        <x:v>3</x:v>
      </x:c>
      <x:c r="AB195" t="n">
        <x:v>2</x:v>
      </x:c>
      <x:c r="AC195" t="str">
        <x:v>OK</x:v>
      </x:c>
      <x:c r="AD195" t="str">
        <x:v>OK</x:v>
      </x:c>
      <x:c r="AE195" t="str">
        <x:v>LOAD</x:v>
      </x:c>
      <x:c r="AF195" t="str">
        <x:v>02_Supervisor_Log(4).xlsx</x:v>
      </x:c>
      <x:c r="AG195" t="str">
        <x:v>ENH-20260830-01</x:v>
      </x:c>
      <x:c r="AH195" t="str">
        <x:v>Active</x:v>
      </x:c>
      <x:c r="AI195"/>
      <x:c r="AJ195"/>
      <x:c r="AK195"/>
      <x:c r="AL195"/>
    </x:row>
    <x:row r="196">
      <x:c r="A196" t="s">
        <x:v>405</x:v>
      </x:c>
      <x:c r="B196" t="s">
        <x:v>122</x:v>
      </x:c>
      <x:c r="C196" t="s">
        <x:v>44</x:v>
      </x:c>
      <x:c r="D196">
        <x:v>45950</x:v>
      </x:c>
      <x:c r="E196" t="s">
        <x:v>45</x:v>
      </x:c>
      <x:c r="F196" t="s">
        <x:v>55</x:v>
      </x:c>
      <x:c r="G196">
        <x:v>22</x:v>
      </x:c>
      <x:c r="H196" t="s">
        <x:v>57</x:v>
      </x:c>
      <x:c r="I196">
        <x:v>10</x:v>
      </x:c>
      <x:c r="J196">
        <x:v>10</x:v>
      </x:c>
      <x:c r="K196">
        <x:v>2</x:v>
      </x:c>
      <x:c r="L196">
        <x:f t="shared" si="14"/>
        <x:v>1</x:v>
      </x:c>
      <x:c r="P196">
        <x:f t="shared" si="15"/>
        <x:v>1</x:v>
      </x:c>
      <x:c r="Q196">
        <x:f t="shared" si="16"/>
        <x:v>1</x:v>
      </x:c>
      <x:c r="R196">
        <x:f t="shared" si="17"/>
        <x:v>0</x:v>
      </x:c>
      <x:c r="S196">
        <x:f t="shared" si="18"/>
        <x:v>2</x:v>
      </x:c>
      <x:c r="T196" t="str">
        <x:f t="shared" si="19"/>
        <x:v>DerivedFromCount</x:v>
      </x:c>
      <x:c r="U196" t="str">
        <x:f>IF(COUNTIF(DailyProduction!$Q$5:$Q$100,B196)=1,"OK","CHECK")</x:f>
        <x:v>OK</x:v>
      </x:c>
      <x:c r="V196" t="str">
        <x:f t="shared" si="20"/>
        <x:v>OK</x:v>
      </x:c>
      <x:c r="W196" t="str">
        <x:f>IF(SUMIF($B$5:$B$914,B196,$S$5:$S$914)=SUMIF(DailyProduction!$Q$5:$Q$100,B196,DailyProduction!$R$5:$R$100),"OK","CHECK")</x:f>
        <x:v>OK</x:v>
      </x:c>
      <x:c r="X196" t="str">
        <x:v>PLC-PRD-JAR-720-L22</x:v>
      </x:c>
      <x:c r="Y196" t="str">
        <x:v>OK</x:v>
      </x:c>
      <x:c r="Z196" t="str">
        <x:v>OK</x:v>
      </x:c>
      <x:c r="AA196" t="n">
        <x:v>3</x:v>
      </x:c>
      <x:c r="AB196" t="n">
        <x:v>2</x:v>
      </x:c>
      <x:c r="AC196" t="str">
        <x:v>OK</x:v>
      </x:c>
      <x:c r="AD196" t="str">
        <x:v>OK</x:v>
      </x:c>
      <x:c r="AE196" t="str">
        <x:v>LOAD</x:v>
      </x:c>
      <x:c r="AF196" t="str">
        <x:v>02_Supervisor_Log(4).xlsx</x:v>
      </x:c>
      <x:c r="AG196" t="str">
        <x:v>ENH-20260830-01</x:v>
      </x:c>
      <x:c r="AH196" t="str">
        <x:v>Active</x:v>
      </x:c>
      <x:c r="AI196"/>
      <x:c r="AJ196"/>
      <x:c r="AK196"/>
      <x:c r="AL196"/>
    </x:row>
    <x:row r="197">
      <x:c r="A197" t="s">
        <x:v>406</x:v>
      </x:c>
      <x:c r="B197" t="s">
        <x:v>122</x:v>
      </x:c>
      <x:c r="C197" t="s">
        <x:v>44</x:v>
      </x:c>
      <x:c r="D197">
        <x:v>45950</x:v>
      </x:c>
      <x:c r="E197" t="s">
        <x:v>45</x:v>
      </x:c>
      <x:c r="F197" t="s">
        <x:v>55</x:v>
      </x:c>
      <x:c r="G197">
        <x:v>22</x:v>
      </x:c>
      <x:c r="H197" t="s">
        <x:v>57</x:v>
      </x:c>
      <x:c r="I197">
        <x:v>11</x:v>
      </x:c>
      <x:c r="J197">
        <x:v>10</x:v>
      </x:c>
      <x:c r="K197">
        <x:v>2</x:v>
      </x:c>
      <x:c r="L197" t="n">
        <x:f t="shared" ref="L197:L260" si="21">IF(I197&lt;=J197,1,0)</x:f>
        <x:v>0</x:v>
      </x:c>
      <x:c r="P197" t="n">
        <x:f t="shared" ref="P197:P260" si="22">IF(M197="",IF(AND(L197=1,K197&gt;=1),1,0),M197)</x:f>
        <x:v>0</x:v>
      </x:c>
      <x:c r="Q197" t="n">
        <x:f t="shared" ref="Q197:Q260" si="23">IF(N197="",IF(AND(L197=1,K197&gt;=2),1,0),N197)</x:f>
        <x:v>0</x:v>
      </x:c>
      <x:c r="R197" t="n">
        <x:f t="shared" ref="R197:R260" si="24">IF(O197="",IF(AND(L197=1,K197&gt;=3),1,0),O197)</x:f>
        <x:v>0</x:v>
      </x:c>
      <x:c r="S197" t="n">
        <x:f t="shared" ref="S197:S260" si="25">SUM(P197:R197)</x:f>
        <x:v>0</x:v>
      </x:c>
      <x:c r="T197" t="str">
        <x:f t="shared" ref="T197:T260" si="26">IF(COUNTA(M197:O197)=0,"DerivedFromCount","ManualOverride")</x:f>
        <x:v>DerivedFromCount</x:v>
      </x:c>
      <x:c r="U197" t="str">
        <x:f>IF(COUNTIF(DailyProduction!$Q$5:$Q$100,B197)=1,"OK","CHECK")</x:f>
        <x:v>OK</x:v>
      </x:c>
      <x:c r="V197" t="str">
        <x:f t="shared" ref="V197:V260" si="27">IF(AND(I197&gt;=1,I197&lt;=13,K197&gt;=1,K197&lt;=3),"OK","CHECK")</x:f>
        <x:v>OK</x:v>
      </x:c>
      <x:c r="W197" t="str">
        <x:f>IF(SUMIF($B$5:$B$914,B197,$S$5:$S$914)=SUMIF(DailyProduction!$Q$5:$Q$100,B197,DailyProduction!$R$5:$R$100),"OK","CHECK")</x:f>
        <x:v>OK</x:v>
      </x:c>
      <x:c r="X197" t="str">
        <x:v>PLC-PRD-JAR-720-L22</x:v>
      </x:c>
      <x:c r="Y197" t="str">
        <x:v>OK</x:v>
      </x:c>
      <x:c r="Z197" t="str">
        <x:v>OK</x:v>
      </x:c>
      <x:c r="AA197" t="n">
        <x:v>3</x:v>
      </x:c>
      <x:c r="AB197" t="n">
        <x:v>0</x:v>
      </x:c>
      <x:c r="AC197" t="str">
        <x:v>OK</x:v>
      </x:c>
      <x:c r="AD197" t="str">
        <x:v>OK</x:v>
      </x:c>
      <x:c r="AE197" t="str">
        <x:v>LOAD</x:v>
      </x:c>
      <x:c r="AF197" t="str">
        <x:v>02_Supervisor_Log(4).xlsx</x:v>
      </x:c>
      <x:c r="AG197" t="str">
        <x:v>ENH-20260830-01</x:v>
      </x:c>
      <x:c r="AH197" t="str">
        <x:v>Active</x:v>
      </x:c>
      <x:c r="AI197"/>
      <x:c r="AJ197"/>
      <x:c r="AK197"/>
      <x:c r="AL197"/>
    </x:row>
    <x:row r="198">
      <x:c r="A198" t="s">
        <x:v>407</x:v>
      </x:c>
      <x:c r="B198" t="s">
        <x:v>122</x:v>
      </x:c>
      <x:c r="C198" t="s">
        <x:v>44</x:v>
      </x:c>
      <x:c r="D198">
        <x:v>45950</x:v>
      </x:c>
      <x:c r="E198" t="s">
        <x:v>45</x:v>
      </x:c>
      <x:c r="F198" t="s">
        <x:v>55</x:v>
      </x:c>
      <x:c r="G198">
        <x:v>22</x:v>
      </x:c>
      <x:c r="H198" t="s">
        <x:v>57</x:v>
      </x:c>
      <x:c r="I198">
        <x:v>12</x:v>
      </x:c>
      <x:c r="J198">
        <x:v>10</x:v>
      </x:c>
      <x:c r="K198">
        <x:v>2</x:v>
      </x:c>
      <x:c r="L198">
        <x:f t="shared" si="21"/>
        <x:v>0</x:v>
      </x:c>
      <x:c r="P198">
        <x:f t="shared" si="22"/>
        <x:v>0</x:v>
      </x:c>
      <x:c r="Q198">
        <x:f t="shared" si="23"/>
        <x:v>0</x:v>
      </x:c>
      <x:c r="R198">
        <x:f t="shared" si="24"/>
        <x:v>0</x:v>
      </x:c>
      <x:c r="S198">
        <x:f t="shared" si="25"/>
        <x:v>0</x:v>
      </x:c>
      <x:c r="T198" t="str">
        <x:f t="shared" si="26"/>
        <x:v>DerivedFromCount</x:v>
      </x:c>
      <x:c r="U198" t="str">
        <x:f>IF(COUNTIF(DailyProduction!$Q$5:$Q$100,B198)=1,"OK","CHECK")</x:f>
        <x:v>OK</x:v>
      </x:c>
      <x:c r="V198" t="str">
        <x:f t="shared" si="27"/>
        <x:v>OK</x:v>
      </x:c>
      <x:c r="W198" t="str">
        <x:f>IF(SUMIF($B$5:$B$914,B198,$S$5:$S$914)=SUMIF(DailyProduction!$Q$5:$Q$100,B198,DailyProduction!$R$5:$R$100),"OK","CHECK")</x:f>
        <x:v>OK</x:v>
      </x:c>
      <x:c r="X198" t="str">
        <x:v>PLC-PRD-JAR-720-L22</x:v>
      </x:c>
      <x:c r="Y198" t="str">
        <x:v>OK</x:v>
      </x:c>
      <x:c r="Z198" t="str">
        <x:v>OK</x:v>
      </x:c>
      <x:c r="AA198" t="n">
        <x:v>3</x:v>
      </x:c>
      <x:c r="AB198" t="n">
        <x:v>0</x:v>
      </x:c>
      <x:c r="AC198" t="str">
        <x:v>OK</x:v>
      </x:c>
      <x:c r="AD198" t="str">
        <x:v>OK</x:v>
      </x:c>
      <x:c r="AE198" t="str">
        <x:v>LOAD</x:v>
      </x:c>
      <x:c r="AF198" t="str">
        <x:v>02_Supervisor_Log(4).xlsx</x:v>
      </x:c>
      <x:c r="AG198" t="str">
        <x:v>ENH-20260830-01</x:v>
      </x:c>
      <x:c r="AH198" t="str">
        <x:v>Active</x:v>
      </x:c>
      <x:c r="AI198"/>
      <x:c r="AJ198"/>
      <x:c r="AK198"/>
      <x:c r="AL198"/>
    </x:row>
    <x:row r="199">
      <x:c r="A199" t="s">
        <x:v>408</x:v>
      </x:c>
      <x:c r="B199" t="s">
        <x:v>122</x:v>
      </x:c>
      <x:c r="C199" t="s">
        <x:v>44</x:v>
      </x:c>
      <x:c r="D199">
        <x:v>45950</x:v>
      </x:c>
      <x:c r="E199" t="s">
        <x:v>45</x:v>
      </x:c>
      <x:c r="F199" t="s">
        <x:v>55</x:v>
      </x:c>
      <x:c r="G199">
        <x:v>22</x:v>
      </x:c>
      <x:c r="H199" t="s">
        <x:v>57</x:v>
      </x:c>
      <x:c r="I199">
        <x:v>13</x:v>
      </x:c>
      <x:c r="J199">
        <x:v>10</x:v>
      </x:c>
      <x:c r="K199">
        <x:v>2</x:v>
      </x:c>
      <x:c r="L199">
        <x:f t="shared" si="21"/>
        <x:v>0</x:v>
      </x:c>
      <x:c r="P199">
        <x:f t="shared" si="22"/>
        <x:v>0</x:v>
      </x:c>
      <x:c r="Q199">
        <x:f t="shared" si="23"/>
        <x:v>0</x:v>
      </x:c>
      <x:c r="R199">
        <x:f t="shared" si="24"/>
        <x:v>0</x:v>
      </x:c>
      <x:c r="S199">
        <x:f t="shared" si="25"/>
        <x:v>0</x:v>
      </x:c>
      <x:c r="T199" t="str">
        <x:f t="shared" si="26"/>
        <x:v>DerivedFromCount</x:v>
      </x:c>
      <x:c r="U199" t="str">
        <x:f>IF(COUNTIF(DailyProduction!$Q$5:$Q$100,B199)=1,"OK","CHECK")</x:f>
        <x:v>OK</x:v>
      </x:c>
      <x:c r="V199" t="str">
        <x:f t="shared" si="27"/>
        <x:v>OK</x:v>
      </x:c>
      <x:c r="W199" t="str">
        <x:f>IF(SUMIF($B$5:$B$914,B199,$S$5:$S$914)=SUMIF(DailyProduction!$Q$5:$Q$100,B199,DailyProduction!$R$5:$R$100),"OK","CHECK")</x:f>
        <x:v>OK</x:v>
      </x:c>
      <x:c r="X199" t="str">
        <x:v>PLC-PRD-JAR-720-L22</x:v>
      </x:c>
      <x:c r="Y199" t="str">
        <x:v>OK</x:v>
      </x:c>
      <x:c r="Z199" t="str">
        <x:v>OK</x:v>
      </x:c>
      <x:c r="AA199" t="n">
        <x:v>3</x:v>
      </x:c>
      <x:c r="AB199" t="n">
        <x:v>0</x:v>
      </x:c>
      <x:c r="AC199" t="str">
        <x:v>OK</x:v>
      </x:c>
      <x:c r="AD199" t="str">
        <x:v>OK</x:v>
      </x:c>
      <x:c r="AE199" t="str">
        <x:v>LOAD</x:v>
      </x:c>
      <x:c r="AF199" t="str">
        <x:v>02_Supervisor_Log(4).xlsx</x:v>
      </x:c>
      <x:c r="AG199" t="str">
        <x:v>ENH-20260830-01</x:v>
      </x:c>
      <x:c r="AH199" t="str">
        <x:v>Active</x:v>
      </x:c>
      <x:c r="AI199"/>
      <x:c r="AJ199"/>
      <x:c r="AK199"/>
      <x:c r="AL199"/>
    </x:row>
    <x:row r="200">
      <x:c r="A200" t="s">
        <x:v>409</x:v>
      </x:c>
      <x:c r="B200" t="s">
        <x:v>410</x:v>
      </x:c>
      <x:c r="C200" t="s">
        <x:v>44</x:v>
      </x:c>
      <x:c r="D200">
        <x:v>45950</x:v>
      </x:c>
      <x:c r="E200" t="s">
        <x:v>187</x:v>
      </x:c>
      <x:c r="F200" t="s">
        <x:v>46</x:v>
      </x:c>
      <x:c r="G200">
        <x:v>22</x:v>
      </x:c>
      <x:c r="H200" t="s">
        <x:v>57</x:v>
      </x:c>
      <x:c r="I200">
        <x:v>1</x:v>
      </x:c>
      <x:c r="J200">
        <x:v>10</x:v>
      </x:c>
      <x:c r="K200">
        <x:v>2</x:v>
      </x:c>
      <x:c r="L200">
        <x:f t="shared" si="21"/>
        <x:v>1</x:v>
      </x:c>
      <x:c r="P200">
        <x:f t="shared" si="22"/>
        <x:v>1</x:v>
      </x:c>
      <x:c r="Q200">
        <x:f t="shared" si="23"/>
        <x:v>1</x:v>
      </x:c>
      <x:c r="R200">
        <x:f t="shared" si="24"/>
        <x:v>0</x:v>
      </x:c>
      <x:c r="S200">
        <x:f t="shared" si="25"/>
        <x:v>2</x:v>
      </x:c>
      <x:c r="T200" t="str">
        <x:f t="shared" si="26"/>
        <x:v>DerivedFromCount</x:v>
      </x:c>
      <x:c r="U200" t="str">
        <x:f>IF(COUNTIF(DailyProduction!$Q$5:$Q$100,B200)=1,"OK","CHECK")</x:f>
        <x:v>OK</x:v>
      </x:c>
      <x:c r="V200" t="str">
        <x:f t="shared" si="27"/>
        <x:v>OK</x:v>
      </x:c>
      <x:c r="W200" t="str">
        <x:f>IF(SUMIF($B$5:$B$914,B200,$S$5:$S$914)=SUMIF(DailyProduction!$Q$5:$Q$100,B200,DailyProduction!$R$5:$R$100),"OK","CHECK")</x:f>
        <x:v>OK</x:v>
      </x:c>
      <x:c r="X200" t="str">
        <x:v>PLC-PRD-JAR-720-L22</x:v>
      </x:c>
      <x:c r="Y200" t="str">
        <x:v>OK</x:v>
      </x:c>
      <x:c r="Z200" t="str">
        <x:v>OK</x:v>
      </x:c>
      <x:c r="AA200" t="n">
        <x:v>3</x:v>
      </x:c>
      <x:c r="AB200" t="n">
        <x:v>2</x:v>
      </x:c>
      <x:c r="AC200" t="str">
        <x:v>OK</x:v>
      </x:c>
      <x:c r="AD200" t="str">
        <x:v>OK</x:v>
      </x:c>
      <x:c r="AE200" t="str">
        <x:v>LOAD</x:v>
      </x:c>
      <x:c r="AF200" t="str">
        <x:v>02_Supervisor_Log(4).xlsx</x:v>
      </x:c>
      <x:c r="AG200" t="str">
        <x:v>ENH-20260830-01</x:v>
      </x:c>
      <x:c r="AH200" t="str">
        <x:v>Active</x:v>
      </x:c>
      <x:c r="AI200"/>
      <x:c r="AJ200"/>
      <x:c r="AK200"/>
      <x:c r="AL200"/>
    </x:row>
    <x:row r="201">
      <x:c r="A201" t="s">
        <x:v>411</x:v>
      </x:c>
      <x:c r="B201" t="s">
        <x:v>410</x:v>
      </x:c>
      <x:c r="C201" t="s">
        <x:v>44</x:v>
      </x:c>
      <x:c r="D201">
        <x:v>45950</x:v>
      </x:c>
      <x:c r="E201" t="s">
        <x:v>187</x:v>
      </x:c>
      <x:c r="F201" t="s">
        <x:v>46</x:v>
      </x:c>
      <x:c r="G201">
        <x:v>22</x:v>
      </x:c>
      <x:c r="H201" t="s">
        <x:v>57</x:v>
      </x:c>
      <x:c r="I201">
        <x:v>2</x:v>
      </x:c>
      <x:c r="J201">
        <x:v>10</x:v>
      </x:c>
      <x:c r="K201">
        <x:v>2</x:v>
      </x:c>
      <x:c r="L201">
        <x:f t="shared" si="21"/>
        <x:v>1</x:v>
      </x:c>
      <x:c r="P201">
        <x:f t="shared" si="22"/>
        <x:v>1</x:v>
      </x:c>
      <x:c r="Q201">
        <x:f t="shared" si="23"/>
        <x:v>1</x:v>
      </x:c>
      <x:c r="R201">
        <x:f t="shared" si="24"/>
        <x:v>0</x:v>
      </x:c>
      <x:c r="S201">
        <x:f t="shared" si="25"/>
        <x:v>2</x:v>
      </x:c>
      <x:c r="T201" t="str">
        <x:f t="shared" si="26"/>
        <x:v>DerivedFromCount</x:v>
      </x:c>
      <x:c r="U201" t="str">
        <x:f>IF(COUNTIF(DailyProduction!$Q$5:$Q$100,B201)=1,"OK","CHECK")</x:f>
        <x:v>OK</x:v>
      </x:c>
      <x:c r="V201" t="str">
        <x:f t="shared" si="27"/>
        <x:v>OK</x:v>
      </x:c>
      <x:c r="W201" t="str">
        <x:f>IF(SUMIF($B$5:$B$914,B201,$S$5:$S$914)=SUMIF(DailyProduction!$Q$5:$Q$100,B201,DailyProduction!$R$5:$R$100),"OK","CHECK")</x:f>
        <x:v>OK</x:v>
      </x:c>
      <x:c r="X201" t="str">
        <x:v>PLC-PRD-JAR-720-L22</x:v>
      </x:c>
      <x:c r="Y201" t="str">
        <x:v>OK</x:v>
      </x:c>
      <x:c r="Z201" t="str">
        <x:v>OK</x:v>
      </x:c>
      <x:c r="AA201" t="n">
        <x:v>3</x:v>
      </x:c>
      <x:c r="AB201" t="n">
        <x:v>2</x:v>
      </x:c>
      <x:c r="AC201" t="str">
        <x:v>OK</x:v>
      </x:c>
      <x:c r="AD201" t="str">
        <x:v>OK</x:v>
      </x:c>
      <x:c r="AE201" t="str">
        <x:v>LOAD</x:v>
      </x:c>
      <x:c r="AF201" t="str">
        <x:v>02_Supervisor_Log(4).xlsx</x:v>
      </x:c>
      <x:c r="AG201" t="str">
        <x:v>ENH-20260830-01</x:v>
      </x:c>
      <x:c r="AH201" t="str">
        <x:v>Active</x:v>
      </x:c>
      <x:c r="AI201"/>
      <x:c r="AJ201"/>
      <x:c r="AK201"/>
      <x:c r="AL201"/>
    </x:row>
    <x:row r="202">
      <x:c r="A202" t="s">
        <x:v>412</x:v>
      </x:c>
      <x:c r="B202" t="s">
        <x:v>410</x:v>
      </x:c>
      <x:c r="C202" t="s">
        <x:v>44</x:v>
      </x:c>
      <x:c r="D202">
        <x:v>45950</x:v>
      </x:c>
      <x:c r="E202" t="s">
        <x:v>187</x:v>
      </x:c>
      <x:c r="F202" t="s">
        <x:v>46</x:v>
      </x:c>
      <x:c r="G202">
        <x:v>22</x:v>
      </x:c>
      <x:c r="H202" t="s">
        <x:v>57</x:v>
      </x:c>
      <x:c r="I202">
        <x:v>3</x:v>
      </x:c>
      <x:c r="J202">
        <x:v>10</x:v>
      </x:c>
      <x:c r="K202">
        <x:v>2</x:v>
      </x:c>
      <x:c r="L202">
        <x:f t="shared" si="21"/>
        <x:v>1</x:v>
      </x:c>
      <x:c r="P202">
        <x:f t="shared" si="22"/>
        <x:v>1</x:v>
      </x:c>
      <x:c r="Q202">
        <x:f t="shared" si="23"/>
        <x:v>1</x:v>
      </x:c>
      <x:c r="R202">
        <x:f t="shared" si="24"/>
        <x:v>0</x:v>
      </x:c>
      <x:c r="S202">
        <x:f t="shared" si="25"/>
        <x:v>2</x:v>
      </x:c>
      <x:c r="T202" t="str">
        <x:f t="shared" si="26"/>
        <x:v>DerivedFromCount</x:v>
      </x:c>
      <x:c r="U202" t="str">
        <x:f>IF(COUNTIF(DailyProduction!$Q$5:$Q$100,B202)=1,"OK","CHECK")</x:f>
        <x:v>OK</x:v>
      </x:c>
      <x:c r="V202" t="str">
        <x:f t="shared" si="27"/>
        <x:v>OK</x:v>
      </x:c>
      <x:c r="W202" t="str">
        <x:f>IF(SUMIF($B$5:$B$914,B202,$S$5:$S$914)=SUMIF(DailyProduction!$Q$5:$Q$100,B202,DailyProduction!$R$5:$R$100),"OK","CHECK")</x:f>
        <x:v>OK</x:v>
      </x:c>
      <x:c r="X202" t="str">
        <x:v>PLC-PRD-JAR-720-L22</x:v>
      </x:c>
      <x:c r="Y202" t="str">
        <x:v>OK</x:v>
      </x:c>
      <x:c r="Z202" t="str">
        <x:v>OK</x:v>
      </x:c>
      <x:c r="AA202" t="n">
        <x:v>3</x:v>
      </x:c>
      <x:c r="AB202" t="n">
        <x:v>2</x:v>
      </x:c>
      <x:c r="AC202" t="str">
        <x:v>OK</x:v>
      </x:c>
      <x:c r="AD202" t="str">
        <x:v>OK</x:v>
      </x:c>
      <x:c r="AE202" t="str">
        <x:v>LOAD</x:v>
      </x:c>
      <x:c r="AF202" t="str">
        <x:v>02_Supervisor_Log(4).xlsx</x:v>
      </x:c>
      <x:c r="AG202" t="str">
        <x:v>ENH-20260830-01</x:v>
      </x:c>
      <x:c r="AH202" t="str">
        <x:v>Active</x:v>
      </x:c>
      <x:c r="AI202"/>
      <x:c r="AJ202"/>
      <x:c r="AK202"/>
      <x:c r="AL202"/>
    </x:row>
    <x:row r="203">
      <x:c r="A203" t="s">
        <x:v>413</x:v>
      </x:c>
      <x:c r="B203" t="s">
        <x:v>410</x:v>
      </x:c>
      <x:c r="C203" t="s">
        <x:v>44</x:v>
      </x:c>
      <x:c r="D203">
        <x:v>45950</x:v>
      </x:c>
      <x:c r="E203" t="s">
        <x:v>187</x:v>
      </x:c>
      <x:c r="F203" t="s">
        <x:v>46</x:v>
      </x:c>
      <x:c r="G203">
        <x:v>22</x:v>
      </x:c>
      <x:c r="H203" t="s">
        <x:v>57</x:v>
      </x:c>
      <x:c r="I203">
        <x:v>4</x:v>
      </x:c>
      <x:c r="J203">
        <x:v>10</x:v>
      </x:c>
      <x:c r="K203">
        <x:v>2</x:v>
      </x:c>
      <x:c r="L203">
        <x:f t="shared" si="21"/>
        <x:v>1</x:v>
      </x:c>
      <x:c r="P203">
        <x:f t="shared" si="22"/>
        <x:v>1</x:v>
      </x:c>
      <x:c r="Q203">
        <x:f t="shared" si="23"/>
        <x:v>1</x:v>
      </x:c>
      <x:c r="R203">
        <x:f t="shared" si="24"/>
        <x:v>0</x:v>
      </x:c>
      <x:c r="S203">
        <x:f t="shared" si="25"/>
        <x:v>2</x:v>
      </x:c>
      <x:c r="T203" t="str">
        <x:f t="shared" si="26"/>
        <x:v>DerivedFromCount</x:v>
      </x:c>
      <x:c r="U203" t="str">
        <x:f>IF(COUNTIF(DailyProduction!$Q$5:$Q$100,B203)=1,"OK","CHECK")</x:f>
        <x:v>OK</x:v>
      </x:c>
      <x:c r="V203" t="str">
        <x:f t="shared" si="27"/>
        <x:v>OK</x:v>
      </x:c>
      <x:c r="W203" t="str">
        <x:f>IF(SUMIF($B$5:$B$914,B203,$S$5:$S$914)=SUMIF(DailyProduction!$Q$5:$Q$100,B203,DailyProduction!$R$5:$R$100),"OK","CHECK")</x:f>
        <x:v>OK</x:v>
      </x:c>
      <x:c r="X203" t="str">
        <x:v>PLC-PRD-JAR-720-L22</x:v>
      </x:c>
      <x:c r="Y203" t="str">
        <x:v>OK</x:v>
      </x:c>
      <x:c r="Z203" t="str">
        <x:v>OK</x:v>
      </x:c>
      <x:c r="AA203" t="n">
        <x:v>3</x:v>
      </x:c>
      <x:c r="AB203" t="n">
        <x:v>2</x:v>
      </x:c>
      <x:c r="AC203" t="str">
        <x:v>OK</x:v>
      </x:c>
      <x:c r="AD203" t="str">
        <x:v>OK</x:v>
      </x:c>
      <x:c r="AE203" t="str">
        <x:v>LOAD</x:v>
      </x:c>
      <x:c r="AF203" t="str">
        <x:v>02_Supervisor_Log(4).xlsx</x:v>
      </x:c>
      <x:c r="AG203" t="str">
        <x:v>ENH-20260830-01</x:v>
      </x:c>
      <x:c r="AH203" t="str">
        <x:v>Active</x:v>
      </x:c>
      <x:c r="AI203"/>
      <x:c r="AJ203"/>
      <x:c r="AK203"/>
      <x:c r="AL203"/>
    </x:row>
    <x:row r="204">
      <x:c r="A204" t="s">
        <x:v>414</x:v>
      </x:c>
      <x:c r="B204" t="s">
        <x:v>410</x:v>
      </x:c>
      <x:c r="C204" t="s">
        <x:v>44</x:v>
      </x:c>
      <x:c r="D204">
        <x:v>45950</x:v>
      </x:c>
      <x:c r="E204" t="s">
        <x:v>187</x:v>
      </x:c>
      <x:c r="F204" t="s">
        <x:v>46</x:v>
      </x:c>
      <x:c r="G204">
        <x:v>22</x:v>
      </x:c>
      <x:c r="H204" t="s">
        <x:v>57</x:v>
      </x:c>
      <x:c r="I204">
        <x:v>5</x:v>
      </x:c>
      <x:c r="J204">
        <x:v>10</x:v>
      </x:c>
      <x:c r="K204">
        <x:v>2</x:v>
      </x:c>
      <x:c r="L204">
        <x:f t="shared" si="21"/>
        <x:v>1</x:v>
      </x:c>
      <x:c r="P204">
        <x:f t="shared" si="22"/>
        <x:v>1</x:v>
      </x:c>
      <x:c r="Q204">
        <x:f t="shared" si="23"/>
        <x:v>1</x:v>
      </x:c>
      <x:c r="R204">
        <x:f t="shared" si="24"/>
        <x:v>0</x:v>
      </x:c>
      <x:c r="S204">
        <x:f t="shared" si="25"/>
        <x:v>2</x:v>
      </x:c>
      <x:c r="T204" t="str">
        <x:f t="shared" si="26"/>
        <x:v>DerivedFromCount</x:v>
      </x:c>
      <x:c r="U204" t="str">
        <x:f>IF(COUNTIF(DailyProduction!$Q$5:$Q$100,B204)=1,"OK","CHECK")</x:f>
        <x:v>OK</x:v>
      </x:c>
      <x:c r="V204" t="str">
        <x:f t="shared" si="27"/>
        <x:v>OK</x:v>
      </x:c>
      <x:c r="W204" t="str">
        <x:f>IF(SUMIF($B$5:$B$914,B204,$S$5:$S$914)=SUMIF(DailyProduction!$Q$5:$Q$100,B204,DailyProduction!$R$5:$R$100),"OK","CHECK")</x:f>
        <x:v>OK</x:v>
      </x:c>
      <x:c r="X204" t="str">
        <x:v>PLC-PRD-JAR-720-L22</x:v>
      </x:c>
      <x:c r="Y204" t="str">
        <x:v>OK</x:v>
      </x:c>
      <x:c r="Z204" t="str">
        <x:v>OK</x:v>
      </x:c>
      <x:c r="AA204" t="n">
        <x:v>3</x:v>
      </x:c>
      <x:c r="AB204" t="n">
        <x:v>2</x:v>
      </x:c>
      <x:c r="AC204" t="str">
        <x:v>OK</x:v>
      </x:c>
      <x:c r="AD204" t="str">
        <x:v>OK</x:v>
      </x:c>
      <x:c r="AE204" t="str">
        <x:v>LOAD</x:v>
      </x:c>
      <x:c r="AF204" t="str">
        <x:v>02_Supervisor_Log(4).xlsx</x:v>
      </x:c>
      <x:c r="AG204" t="str">
        <x:v>ENH-20260830-01</x:v>
      </x:c>
      <x:c r="AH204" t="str">
        <x:v>Active</x:v>
      </x:c>
      <x:c r="AI204"/>
      <x:c r="AJ204"/>
      <x:c r="AK204"/>
      <x:c r="AL204"/>
    </x:row>
    <x:row r="205">
      <x:c r="A205" t="s">
        <x:v>415</x:v>
      </x:c>
      <x:c r="B205" t="s">
        <x:v>410</x:v>
      </x:c>
      <x:c r="C205" t="s">
        <x:v>44</x:v>
      </x:c>
      <x:c r="D205">
        <x:v>45950</x:v>
      </x:c>
      <x:c r="E205" t="s">
        <x:v>187</x:v>
      </x:c>
      <x:c r="F205" t="s">
        <x:v>46</x:v>
      </x:c>
      <x:c r="G205">
        <x:v>22</x:v>
      </x:c>
      <x:c r="H205" t="s">
        <x:v>57</x:v>
      </x:c>
      <x:c r="I205">
        <x:v>6</x:v>
      </x:c>
      <x:c r="J205">
        <x:v>10</x:v>
      </x:c>
      <x:c r="K205">
        <x:v>2</x:v>
      </x:c>
      <x:c r="L205">
        <x:f t="shared" si="21"/>
        <x:v>1</x:v>
      </x:c>
      <x:c r="P205">
        <x:f t="shared" si="22"/>
        <x:v>1</x:v>
      </x:c>
      <x:c r="Q205">
        <x:f t="shared" si="23"/>
        <x:v>1</x:v>
      </x:c>
      <x:c r="R205">
        <x:f t="shared" si="24"/>
        <x:v>0</x:v>
      </x:c>
      <x:c r="S205">
        <x:f t="shared" si="25"/>
        <x:v>2</x:v>
      </x:c>
      <x:c r="T205" t="str">
        <x:f t="shared" si="26"/>
        <x:v>DerivedFromCount</x:v>
      </x:c>
      <x:c r="U205" t="str">
        <x:f>IF(COUNTIF(DailyProduction!$Q$5:$Q$100,B205)=1,"OK","CHECK")</x:f>
        <x:v>OK</x:v>
      </x:c>
      <x:c r="V205" t="str">
        <x:f t="shared" si="27"/>
        <x:v>OK</x:v>
      </x:c>
      <x:c r="W205" t="str">
        <x:f>IF(SUMIF($B$5:$B$914,B205,$S$5:$S$914)=SUMIF(DailyProduction!$Q$5:$Q$100,B205,DailyProduction!$R$5:$R$100),"OK","CHECK")</x:f>
        <x:v>OK</x:v>
      </x:c>
      <x:c r="X205" t="str">
        <x:v>PLC-PRD-JAR-720-L22</x:v>
      </x:c>
      <x:c r="Y205" t="str">
        <x:v>OK</x:v>
      </x:c>
      <x:c r="Z205" t="str">
        <x:v>OK</x:v>
      </x:c>
      <x:c r="AA205" t="n">
        <x:v>3</x:v>
      </x:c>
      <x:c r="AB205" t="n">
        <x:v>2</x:v>
      </x:c>
      <x:c r="AC205" t="str">
        <x:v>OK</x:v>
      </x:c>
      <x:c r="AD205" t="str">
        <x:v>OK</x:v>
      </x:c>
      <x:c r="AE205" t="str">
        <x:v>LOAD</x:v>
      </x:c>
      <x:c r="AF205" t="str">
        <x:v>02_Supervisor_Log(4).xlsx</x:v>
      </x:c>
      <x:c r="AG205" t="str">
        <x:v>ENH-20260830-01</x:v>
      </x:c>
      <x:c r="AH205" t="str">
        <x:v>Active</x:v>
      </x:c>
      <x:c r="AI205"/>
      <x:c r="AJ205"/>
      <x:c r="AK205"/>
      <x:c r="AL205"/>
    </x:row>
    <x:row r="206">
      <x:c r="A206" t="s">
        <x:v>416</x:v>
      </x:c>
      <x:c r="B206" t="s">
        <x:v>410</x:v>
      </x:c>
      <x:c r="C206" t="s">
        <x:v>44</x:v>
      </x:c>
      <x:c r="D206">
        <x:v>45950</x:v>
      </x:c>
      <x:c r="E206" t="s">
        <x:v>187</x:v>
      </x:c>
      <x:c r="F206" t="s">
        <x:v>46</x:v>
      </x:c>
      <x:c r="G206">
        <x:v>22</x:v>
      </x:c>
      <x:c r="H206" t="s">
        <x:v>57</x:v>
      </x:c>
      <x:c r="I206">
        <x:v>7</x:v>
      </x:c>
      <x:c r="J206">
        <x:v>10</x:v>
      </x:c>
      <x:c r="K206">
        <x:v>2</x:v>
      </x:c>
      <x:c r="L206">
        <x:f t="shared" si="21"/>
        <x:v>1</x:v>
      </x:c>
      <x:c r="P206">
        <x:f t="shared" si="22"/>
        <x:v>1</x:v>
      </x:c>
      <x:c r="Q206">
        <x:f t="shared" si="23"/>
        <x:v>1</x:v>
      </x:c>
      <x:c r="R206">
        <x:f t="shared" si="24"/>
        <x:v>0</x:v>
      </x:c>
      <x:c r="S206">
        <x:f t="shared" si="25"/>
        <x:v>2</x:v>
      </x:c>
      <x:c r="T206" t="str">
        <x:f t="shared" si="26"/>
        <x:v>DerivedFromCount</x:v>
      </x:c>
      <x:c r="U206" t="str">
        <x:f>IF(COUNTIF(DailyProduction!$Q$5:$Q$100,B206)=1,"OK","CHECK")</x:f>
        <x:v>OK</x:v>
      </x:c>
      <x:c r="V206" t="str">
        <x:f t="shared" si="27"/>
        <x:v>OK</x:v>
      </x:c>
      <x:c r="W206" t="str">
        <x:f>IF(SUMIF($B$5:$B$914,B206,$S$5:$S$914)=SUMIF(DailyProduction!$Q$5:$Q$100,B206,DailyProduction!$R$5:$R$100),"OK","CHECK")</x:f>
        <x:v>OK</x:v>
      </x:c>
      <x:c r="X206" t="str">
        <x:v>PLC-PRD-JAR-720-L22</x:v>
      </x:c>
      <x:c r="Y206" t="str">
        <x:v>OK</x:v>
      </x:c>
      <x:c r="Z206" t="str">
        <x:v>OK</x:v>
      </x:c>
      <x:c r="AA206" t="n">
        <x:v>3</x:v>
      </x:c>
      <x:c r="AB206" t="n">
        <x:v>2</x:v>
      </x:c>
      <x:c r="AC206" t="str">
        <x:v>OK</x:v>
      </x:c>
      <x:c r="AD206" t="str">
        <x:v>OK</x:v>
      </x:c>
      <x:c r="AE206" t="str">
        <x:v>LOAD</x:v>
      </x:c>
      <x:c r="AF206" t="str">
        <x:v>02_Supervisor_Log(4).xlsx</x:v>
      </x:c>
      <x:c r="AG206" t="str">
        <x:v>ENH-20260830-01</x:v>
      </x:c>
      <x:c r="AH206" t="str">
        <x:v>Active</x:v>
      </x:c>
      <x:c r="AI206"/>
      <x:c r="AJ206"/>
      <x:c r="AK206"/>
      <x:c r="AL206"/>
    </x:row>
    <x:row r="207">
      <x:c r="A207" t="s">
        <x:v>417</x:v>
      </x:c>
      <x:c r="B207" t="s">
        <x:v>410</x:v>
      </x:c>
      <x:c r="C207" t="s">
        <x:v>44</x:v>
      </x:c>
      <x:c r="D207">
        <x:v>45950</x:v>
      </x:c>
      <x:c r="E207" t="s">
        <x:v>187</x:v>
      </x:c>
      <x:c r="F207" t="s">
        <x:v>46</x:v>
      </x:c>
      <x:c r="G207">
        <x:v>22</x:v>
      </x:c>
      <x:c r="H207" t="s">
        <x:v>57</x:v>
      </x:c>
      <x:c r="I207">
        <x:v>8</x:v>
      </x:c>
      <x:c r="J207">
        <x:v>10</x:v>
      </x:c>
      <x:c r="K207">
        <x:v>2</x:v>
      </x:c>
      <x:c r="L207">
        <x:f t="shared" si="21"/>
        <x:v>1</x:v>
      </x:c>
      <x:c r="P207">
        <x:f t="shared" si="22"/>
        <x:v>1</x:v>
      </x:c>
      <x:c r="Q207">
        <x:f t="shared" si="23"/>
        <x:v>1</x:v>
      </x:c>
      <x:c r="R207">
        <x:f t="shared" si="24"/>
        <x:v>0</x:v>
      </x:c>
      <x:c r="S207">
        <x:f t="shared" si="25"/>
        <x:v>2</x:v>
      </x:c>
      <x:c r="T207" t="str">
        <x:f t="shared" si="26"/>
        <x:v>DerivedFromCount</x:v>
      </x:c>
      <x:c r="U207" t="str">
        <x:f>IF(COUNTIF(DailyProduction!$Q$5:$Q$100,B207)=1,"OK","CHECK")</x:f>
        <x:v>OK</x:v>
      </x:c>
      <x:c r="V207" t="str">
        <x:f t="shared" si="27"/>
        <x:v>OK</x:v>
      </x:c>
      <x:c r="W207" t="str">
        <x:f>IF(SUMIF($B$5:$B$914,B207,$S$5:$S$914)=SUMIF(DailyProduction!$Q$5:$Q$100,B207,DailyProduction!$R$5:$R$100),"OK","CHECK")</x:f>
        <x:v>OK</x:v>
      </x:c>
      <x:c r="X207" t="str">
        <x:v>PLC-PRD-JAR-720-L22</x:v>
      </x:c>
      <x:c r="Y207" t="str">
        <x:v>OK</x:v>
      </x:c>
      <x:c r="Z207" t="str">
        <x:v>OK</x:v>
      </x:c>
      <x:c r="AA207" t="n">
        <x:v>3</x:v>
      </x:c>
      <x:c r="AB207" t="n">
        <x:v>2</x:v>
      </x:c>
      <x:c r="AC207" t="str">
        <x:v>OK</x:v>
      </x:c>
      <x:c r="AD207" t="str">
        <x:v>OK</x:v>
      </x:c>
      <x:c r="AE207" t="str">
        <x:v>LOAD</x:v>
      </x:c>
      <x:c r="AF207" t="str">
        <x:v>02_Supervisor_Log(4).xlsx</x:v>
      </x:c>
      <x:c r="AG207" t="str">
        <x:v>ENH-20260830-01</x:v>
      </x:c>
      <x:c r="AH207" t="str">
        <x:v>Active</x:v>
      </x:c>
      <x:c r="AI207"/>
      <x:c r="AJ207"/>
      <x:c r="AK207"/>
      <x:c r="AL207"/>
    </x:row>
    <x:row r="208">
      <x:c r="A208" t="s">
        <x:v>418</x:v>
      </x:c>
      <x:c r="B208" t="s">
        <x:v>410</x:v>
      </x:c>
      <x:c r="C208" t="s">
        <x:v>44</x:v>
      </x:c>
      <x:c r="D208">
        <x:v>45950</x:v>
      </x:c>
      <x:c r="E208" t="s">
        <x:v>187</x:v>
      </x:c>
      <x:c r="F208" t="s">
        <x:v>46</x:v>
      </x:c>
      <x:c r="G208">
        <x:v>22</x:v>
      </x:c>
      <x:c r="H208" t="s">
        <x:v>57</x:v>
      </x:c>
      <x:c r="I208">
        <x:v>9</x:v>
      </x:c>
      <x:c r="J208">
        <x:v>10</x:v>
      </x:c>
      <x:c r="K208">
        <x:v>2</x:v>
      </x:c>
      <x:c r="L208">
        <x:f t="shared" si="21"/>
        <x:v>1</x:v>
      </x:c>
      <x:c r="P208">
        <x:f t="shared" si="22"/>
        <x:v>1</x:v>
      </x:c>
      <x:c r="Q208">
        <x:f t="shared" si="23"/>
        <x:v>1</x:v>
      </x:c>
      <x:c r="R208">
        <x:f t="shared" si="24"/>
        <x:v>0</x:v>
      </x:c>
      <x:c r="S208">
        <x:f t="shared" si="25"/>
        <x:v>2</x:v>
      </x:c>
      <x:c r="T208" t="str">
        <x:f t="shared" si="26"/>
        <x:v>DerivedFromCount</x:v>
      </x:c>
      <x:c r="U208" t="str">
        <x:f>IF(COUNTIF(DailyProduction!$Q$5:$Q$100,B208)=1,"OK","CHECK")</x:f>
        <x:v>OK</x:v>
      </x:c>
      <x:c r="V208" t="str">
        <x:f t="shared" si="27"/>
        <x:v>OK</x:v>
      </x:c>
      <x:c r="W208" t="str">
        <x:f>IF(SUMIF($B$5:$B$914,B208,$S$5:$S$914)=SUMIF(DailyProduction!$Q$5:$Q$100,B208,DailyProduction!$R$5:$R$100),"OK","CHECK")</x:f>
        <x:v>OK</x:v>
      </x:c>
      <x:c r="X208" t="str">
        <x:v>PLC-PRD-JAR-720-L22</x:v>
      </x:c>
      <x:c r="Y208" t="str">
        <x:v>OK</x:v>
      </x:c>
      <x:c r="Z208" t="str">
        <x:v>OK</x:v>
      </x:c>
      <x:c r="AA208" t="n">
        <x:v>3</x:v>
      </x:c>
      <x:c r="AB208" t="n">
        <x:v>2</x:v>
      </x:c>
      <x:c r="AC208" t="str">
        <x:v>OK</x:v>
      </x:c>
      <x:c r="AD208" t="str">
        <x:v>OK</x:v>
      </x:c>
      <x:c r="AE208" t="str">
        <x:v>LOAD</x:v>
      </x:c>
      <x:c r="AF208" t="str">
        <x:v>02_Supervisor_Log(4).xlsx</x:v>
      </x:c>
      <x:c r="AG208" t="str">
        <x:v>ENH-20260830-01</x:v>
      </x:c>
      <x:c r="AH208" t="str">
        <x:v>Active</x:v>
      </x:c>
      <x:c r="AI208"/>
      <x:c r="AJ208"/>
      <x:c r="AK208"/>
      <x:c r="AL208"/>
    </x:row>
    <x:row r="209">
      <x:c r="A209" t="s">
        <x:v>419</x:v>
      </x:c>
      <x:c r="B209" t="s">
        <x:v>410</x:v>
      </x:c>
      <x:c r="C209" t="s">
        <x:v>44</x:v>
      </x:c>
      <x:c r="D209">
        <x:v>45950</x:v>
      </x:c>
      <x:c r="E209" t="s">
        <x:v>187</x:v>
      </x:c>
      <x:c r="F209" t="s">
        <x:v>46</x:v>
      </x:c>
      <x:c r="G209">
        <x:v>22</x:v>
      </x:c>
      <x:c r="H209" t="s">
        <x:v>57</x:v>
      </x:c>
      <x:c r="I209">
        <x:v>10</x:v>
      </x:c>
      <x:c r="J209">
        <x:v>10</x:v>
      </x:c>
      <x:c r="K209">
        <x:v>2</x:v>
      </x:c>
      <x:c r="L209">
        <x:f t="shared" si="21"/>
        <x:v>1</x:v>
      </x:c>
      <x:c r="P209">
        <x:f t="shared" si="22"/>
        <x:v>1</x:v>
      </x:c>
      <x:c r="Q209">
        <x:f t="shared" si="23"/>
        <x:v>1</x:v>
      </x:c>
      <x:c r="R209">
        <x:f t="shared" si="24"/>
        <x:v>0</x:v>
      </x:c>
      <x:c r="S209">
        <x:f t="shared" si="25"/>
        <x:v>2</x:v>
      </x:c>
      <x:c r="T209" t="str">
        <x:f t="shared" si="26"/>
        <x:v>DerivedFromCount</x:v>
      </x:c>
      <x:c r="U209" t="str">
        <x:f>IF(COUNTIF(DailyProduction!$Q$5:$Q$100,B209)=1,"OK","CHECK")</x:f>
        <x:v>OK</x:v>
      </x:c>
      <x:c r="V209" t="str">
        <x:f t="shared" si="27"/>
        <x:v>OK</x:v>
      </x:c>
      <x:c r="W209" t="str">
        <x:f>IF(SUMIF($B$5:$B$914,B209,$S$5:$S$914)=SUMIF(DailyProduction!$Q$5:$Q$100,B209,DailyProduction!$R$5:$R$100),"OK","CHECK")</x:f>
        <x:v>OK</x:v>
      </x:c>
      <x:c r="X209" t="str">
        <x:v>PLC-PRD-JAR-720-L22</x:v>
      </x:c>
      <x:c r="Y209" t="str">
        <x:v>OK</x:v>
      </x:c>
      <x:c r="Z209" t="str">
        <x:v>OK</x:v>
      </x:c>
      <x:c r="AA209" t="n">
        <x:v>3</x:v>
      </x:c>
      <x:c r="AB209" t="n">
        <x:v>2</x:v>
      </x:c>
      <x:c r="AC209" t="str">
        <x:v>OK</x:v>
      </x:c>
      <x:c r="AD209" t="str">
        <x:v>OK</x:v>
      </x:c>
      <x:c r="AE209" t="str">
        <x:v>LOAD</x:v>
      </x:c>
      <x:c r="AF209" t="str">
        <x:v>02_Supervisor_Log(4).xlsx</x:v>
      </x:c>
      <x:c r="AG209" t="str">
        <x:v>ENH-20260830-01</x:v>
      </x:c>
      <x:c r="AH209" t="str">
        <x:v>Active</x:v>
      </x:c>
      <x:c r="AI209"/>
      <x:c r="AJ209"/>
      <x:c r="AK209"/>
      <x:c r="AL209"/>
    </x:row>
    <x:row r="210">
      <x:c r="A210" t="s">
        <x:v>420</x:v>
      </x:c>
      <x:c r="B210" t="s">
        <x:v>410</x:v>
      </x:c>
      <x:c r="C210" t="s">
        <x:v>44</x:v>
      </x:c>
      <x:c r="D210">
        <x:v>45950</x:v>
      </x:c>
      <x:c r="E210" t="s">
        <x:v>187</x:v>
      </x:c>
      <x:c r="F210" t="s">
        <x:v>46</x:v>
      </x:c>
      <x:c r="G210">
        <x:v>22</x:v>
      </x:c>
      <x:c r="H210" t="s">
        <x:v>57</x:v>
      </x:c>
      <x:c r="I210">
        <x:v>11</x:v>
      </x:c>
      <x:c r="J210">
        <x:v>10</x:v>
      </x:c>
      <x:c r="K210">
        <x:v>2</x:v>
      </x:c>
      <x:c r="L210">
        <x:f t="shared" si="21"/>
        <x:v>0</x:v>
      </x:c>
      <x:c r="P210">
        <x:f t="shared" si="22"/>
        <x:v>0</x:v>
      </x:c>
      <x:c r="Q210">
        <x:f t="shared" si="23"/>
        <x:v>0</x:v>
      </x:c>
      <x:c r="R210">
        <x:f t="shared" si="24"/>
        <x:v>0</x:v>
      </x:c>
      <x:c r="S210">
        <x:f t="shared" si="25"/>
        <x:v>0</x:v>
      </x:c>
      <x:c r="T210" t="str">
        <x:f t="shared" si="26"/>
        <x:v>DerivedFromCount</x:v>
      </x:c>
      <x:c r="U210" t="str">
        <x:f>IF(COUNTIF(DailyProduction!$Q$5:$Q$100,B210)=1,"OK","CHECK")</x:f>
        <x:v>OK</x:v>
      </x:c>
      <x:c r="V210" t="str">
        <x:f t="shared" si="27"/>
        <x:v>OK</x:v>
      </x:c>
      <x:c r="W210" t="str">
        <x:f>IF(SUMIF($B$5:$B$914,B210,$S$5:$S$914)=SUMIF(DailyProduction!$Q$5:$Q$100,B210,DailyProduction!$R$5:$R$100),"OK","CHECK")</x:f>
        <x:v>OK</x:v>
      </x:c>
      <x:c r="X210" t="str">
        <x:v>PLC-PRD-JAR-720-L22</x:v>
      </x:c>
      <x:c r="Y210" t="str">
        <x:v>OK</x:v>
      </x:c>
      <x:c r="Z210" t="str">
        <x:v>OK</x:v>
      </x:c>
      <x:c r="AA210" t="n">
        <x:v>3</x:v>
      </x:c>
      <x:c r="AB210" t="n">
        <x:v>0</x:v>
      </x:c>
      <x:c r="AC210" t="str">
        <x:v>OK</x:v>
      </x:c>
      <x:c r="AD210" t="str">
        <x:v>OK</x:v>
      </x:c>
      <x:c r="AE210" t="str">
        <x:v>LOAD</x:v>
      </x:c>
      <x:c r="AF210" t="str">
        <x:v>02_Supervisor_Log(4).xlsx</x:v>
      </x:c>
      <x:c r="AG210" t="str">
        <x:v>ENH-20260830-01</x:v>
      </x:c>
      <x:c r="AH210" t="str">
        <x:v>Active</x:v>
      </x:c>
      <x:c r="AI210"/>
      <x:c r="AJ210"/>
      <x:c r="AK210"/>
      <x:c r="AL210"/>
    </x:row>
    <x:row r="211">
      <x:c r="A211" t="s">
        <x:v>421</x:v>
      </x:c>
      <x:c r="B211" t="s">
        <x:v>410</x:v>
      </x:c>
      <x:c r="C211" t="s">
        <x:v>44</x:v>
      </x:c>
      <x:c r="D211">
        <x:v>45950</x:v>
      </x:c>
      <x:c r="E211" t="s">
        <x:v>187</x:v>
      </x:c>
      <x:c r="F211" t="s">
        <x:v>46</x:v>
      </x:c>
      <x:c r="G211">
        <x:v>22</x:v>
      </x:c>
      <x:c r="H211" t="s">
        <x:v>57</x:v>
      </x:c>
      <x:c r="I211">
        <x:v>12</x:v>
      </x:c>
      <x:c r="J211">
        <x:v>10</x:v>
      </x:c>
      <x:c r="K211">
        <x:v>2</x:v>
      </x:c>
      <x:c r="L211">
        <x:f t="shared" si="21"/>
        <x:v>0</x:v>
      </x:c>
      <x:c r="P211">
        <x:f t="shared" si="22"/>
        <x:v>0</x:v>
      </x:c>
      <x:c r="Q211">
        <x:f t="shared" si="23"/>
        <x:v>0</x:v>
      </x:c>
      <x:c r="R211">
        <x:f t="shared" si="24"/>
        <x:v>0</x:v>
      </x:c>
      <x:c r="S211">
        <x:f t="shared" si="25"/>
        <x:v>0</x:v>
      </x:c>
      <x:c r="T211" t="str">
        <x:f t="shared" si="26"/>
        <x:v>DerivedFromCount</x:v>
      </x:c>
      <x:c r="U211" t="str">
        <x:f>IF(COUNTIF(DailyProduction!$Q$5:$Q$100,B211)=1,"OK","CHECK")</x:f>
        <x:v>OK</x:v>
      </x:c>
      <x:c r="V211" t="str">
        <x:f t="shared" si="27"/>
        <x:v>OK</x:v>
      </x:c>
      <x:c r="W211" t="str">
        <x:f>IF(SUMIF($B$5:$B$914,B211,$S$5:$S$914)=SUMIF(DailyProduction!$Q$5:$Q$100,B211,DailyProduction!$R$5:$R$100),"OK","CHECK")</x:f>
        <x:v>OK</x:v>
      </x:c>
      <x:c r="X211" t="str">
        <x:v>PLC-PRD-JAR-720-L22</x:v>
      </x:c>
      <x:c r="Y211" t="str">
        <x:v>OK</x:v>
      </x:c>
      <x:c r="Z211" t="str">
        <x:v>OK</x:v>
      </x:c>
      <x:c r="AA211" t="n">
        <x:v>3</x:v>
      </x:c>
      <x:c r="AB211" t="n">
        <x:v>0</x:v>
      </x:c>
      <x:c r="AC211" t="str">
        <x:v>OK</x:v>
      </x:c>
      <x:c r="AD211" t="str">
        <x:v>OK</x:v>
      </x:c>
      <x:c r="AE211" t="str">
        <x:v>LOAD</x:v>
      </x:c>
      <x:c r="AF211" t="str">
        <x:v>02_Supervisor_Log(4).xlsx</x:v>
      </x:c>
      <x:c r="AG211" t="str">
        <x:v>ENH-20260830-01</x:v>
      </x:c>
      <x:c r="AH211" t="str">
        <x:v>Active</x:v>
      </x:c>
      <x:c r="AI211"/>
      <x:c r="AJ211"/>
      <x:c r="AK211"/>
      <x:c r="AL211"/>
    </x:row>
    <x:row r="212">
      <x:c r="A212" t="s">
        <x:v>422</x:v>
      </x:c>
      <x:c r="B212" t="s">
        <x:v>410</x:v>
      </x:c>
      <x:c r="C212" t="s">
        <x:v>44</x:v>
      </x:c>
      <x:c r="D212">
        <x:v>45950</x:v>
      </x:c>
      <x:c r="E212" t="s">
        <x:v>187</x:v>
      </x:c>
      <x:c r="F212" t="s">
        <x:v>46</x:v>
      </x:c>
      <x:c r="G212">
        <x:v>22</x:v>
      </x:c>
      <x:c r="H212" t="s">
        <x:v>57</x:v>
      </x:c>
      <x:c r="I212">
        <x:v>13</x:v>
      </x:c>
      <x:c r="J212">
        <x:v>10</x:v>
      </x:c>
      <x:c r="K212">
        <x:v>2</x:v>
      </x:c>
      <x:c r="L212">
        <x:f t="shared" si="21"/>
        <x:v>0</x:v>
      </x:c>
      <x:c r="P212">
        <x:f t="shared" si="22"/>
        <x:v>0</x:v>
      </x:c>
      <x:c r="Q212">
        <x:f t="shared" si="23"/>
        <x:v>0</x:v>
      </x:c>
      <x:c r="R212">
        <x:f t="shared" si="24"/>
        <x:v>0</x:v>
      </x:c>
      <x:c r="S212">
        <x:f t="shared" si="25"/>
        <x:v>0</x:v>
      </x:c>
      <x:c r="T212" t="str">
        <x:f t="shared" si="26"/>
        <x:v>DerivedFromCount</x:v>
      </x:c>
      <x:c r="U212" t="str">
        <x:f>IF(COUNTIF(DailyProduction!$Q$5:$Q$100,B212)=1,"OK","CHECK")</x:f>
        <x:v>OK</x:v>
      </x:c>
      <x:c r="V212" t="str">
        <x:f t="shared" si="27"/>
        <x:v>OK</x:v>
      </x:c>
      <x:c r="W212" t="str">
        <x:f>IF(SUMIF($B$5:$B$914,B212,$S$5:$S$914)=SUMIF(DailyProduction!$Q$5:$Q$100,B212,DailyProduction!$R$5:$R$100),"OK","CHECK")</x:f>
        <x:v>OK</x:v>
      </x:c>
      <x:c r="X212" t="str">
        <x:v>PLC-PRD-JAR-720-L22</x:v>
      </x:c>
      <x:c r="Y212" t="str">
        <x:v>OK</x:v>
      </x:c>
      <x:c r="Z212" t="str">
        <x:v>OK</x:v>
      </x:c>
      <x:c r="AA212" t="n">
        <x:v>3</x:v>
      </x:c>
      <x:c r="AB212" t="n">
        <x:v>0</x:v>
      </x:c>
      <x:c r="AC212" t="str">
        <x:v>OK</x:v>
      </x:c>
      <x:c r="AD212" t="str">
        <x:v>OK</x:v>
      </x:c>
      <x:c r="AE212" t="str">
        <x:v>LOAD</x:v>
      </x:c>
      <x:c r="AF212" t="str">
        <x:v>02_Supervisor_Log(4).xlsx</x:v>
      </x:c>
      <x:c r="AG212" t="str">
        <x:v>ENH-20260830-01</x:v>
      </x:c>
      <x:c r="AH212" t="str">
        <x:v>Active</x:v>
      </x:c>
      <x:c r="AI212"/>
      <x:c r="AJ212"/>
      <x:c r="AK212"/>
      <x:c r="AL212"/>
    </x:row>
    <x:row r="213">
      <x:c r="A213" t="s">
        <x:v>423</x:v>
      </x:c>
      <x:c r="B213" t="s">
        <x:v>424</x:v>
      </x:c>
      <x:c r="C213" t="s">
        <x:v>44</x:v>
      </x:c>
      <x:c r="D213">
        <x:v>45951</x:v>
      </x:c>
      <x:c r="E213" t="s">
        <x:v>45</x:v>
      </x:c>
      <x:c r="F213" t="s">
        <x:v>46</x:v>
      </x:c>
      <x:c r="G213">
        <x:v>22</x:v>
      </x:c>
      <x:c r="H213" t="s">
        <x:v>57</x:v>
      </x:c>
      <x:c r="I213">
        <x:v>1</x:v>
      </x:c>
      <x:c r="J213">
        <x:v>10</x:v>
      </x:c>
      <x:c r="K213">
        <x:v>2</x:v>
      </x:c>
      <x:c r="L213">
        <x:f t="shared" si="21"/>
        <x:v>1</x:v>
      </x:c>
      <x:c r="P213">
        <x:f t="shared" si="22"/>
        <x:v>1</x:v>
      </x:c>
      <x:c r="Q213">
        <x:f t="shared" si="23"/>
        <x:v>1</x:v>
      </x:c>
      <x:c r="R213">
        <x:f t="shared" si="24"/>
        <x:v>0</x:v>
      </x:c>
      <x:c r="S213">
        <x:f t="shared" si="25"/>
        <x:v>2</x:v>
      </x:c>
      <x:c r="T213" t="str">
        <x:f t="shared" si="26"/>
        <x:v>DerivedFromCount</x:v>
      </x:c>
      <x:c r="U213" t="str">
        <x:f>IF(COUNTIF(DailyProduction!$Q$5:$Q$100,B213)=1,"OK","CHECK")</x:f>
        <x:v>OK</x:v>
      </x:c>
      <x:c r="V213" t="str">
        <x:f t="shared" si="27"/>
        <x:v>OK</x:v>
      </x:c>
      <x:c r="W213" t="str">
        <x:f>IF(SUMIF($B$5:$B$914,B213,$S$5:$S$914)=SUMIF(DailyProduction!$Q$5:$Q$100,B213,DailyProduction!$R$5:$R$100),"OK","CHECK")</x:f>
        <x:v>OK</x:v>
      </x:c>
      <x:c r="X213" t="str">
        <x:v>PLC-PRD-JAR-720-L22</x:v>
      </x:c>
      <x:c r="Y213" t="str">
        <x:v>OK</x:v>
      </x:c>
      <x:c r="Z213" t="str">
        <x:v>OK</x:v>
      </x:c>
      <x:c r="AA213" t="n">
        <x:v>3</x:v>
      </x:c>
      <x:c r="AB213" t="n">
        <x:v>2</x:v>
      </x:c>
      <x:c r="AC213" t="str">
        <x:v>OK</x:v>
      </x:c>
      <x:c r="AD213" t="str">
        <x:v>OK</x:v>
      </x:c>
      <x:c r="AE213" t="str">
        <x:v>LOAD</x:v>
      </x:c>
      <x:c r="AF213" t="str">
        <x:v>02_Supervisor_Log(4).xlsx</x:v>
      </x:c>
      <x:c r="AG213" t="str">
        <x:v>ENH-20260830-01</x:v>
      </x:c>
      <x:c r="AH213" t="str">
        <x:v>Active</x:v>
      </x:c>
      <x:c r="AI213"/>
      <x:c r="AJ213"/>
      <x:c r="AK213"/>
      <x:c r="AL213"/>
    </x:row>
    <x:row r="214">
      <x:c r="A214" t="s">
        <x:v>425</x:v>
      </x:c>
      <x:c r="B214" t="s">
        <x:v>424</x:v>
      </x:c>
      <x:c r="C214" t="s">
        <x:v>44</x:v>
      </x:c>
      <x:c r="D214">
        <x:v>45951</x:v>
      </x:c>
      <x:c r="E214" t="s">
        <x:v>45</x:v>
      </x:c>
      <x:c r="F214" t="s">
        <x:v>46</x:v>
      </x:c>
      <x:c r="G214">
        <x:v>22</x:v>
      </x:c>
      <x:c r="H214" t="s">
        <x:v>57</x:v>
      </x:c>
      <x:c r="I214">
        <x:v>2</x:v>
      </x:c>
      <x:c r="J214">
        <x:v>10</x:v>
      </x:c>
      <x:c r="K214">
        <x:v>2</x:v>
      </x:c>
      <x:c r="L214">
        <x:f t="shared" si="21"/>
        <x:v>1</x:v>
      </x:c>
      <x:c r="P214">
        <x:f t="shared" si="22"/>
        <x:v>1</x:v>
      </x:c>
      <x:c r="Q214">
        <x:f t="shared" si="23"/>
        <x:v>1</x:v>
      </x:c>
      <x:c r="R214">
        <x:f t="shared" si="24"/>
        <x:v>0</x:v>
      </x:c>
      <x:c r="S214">
        <x:f t="shared" si="25"/>
        <x:v>2</x:v>
      </x:c>
      <x:c r="T214" t="str">
        <x:f t="shared" si="26"/>
        <x:v>DerivedFromCount</x:v>
      </x:c>
      <x:c r="U214" t="str">
        <x:f>IF(COUNTIF(DailyProduction!$Q$5:$Q$100,B214)=1,"OK","CHECK")</x:f>
        <x:v>OK</x:v>
      </x:c>
      <x:c r="V214" t="str">
        <x:f t="shared" si="27"/>
        <x:v>OK</x:v>
      </x:c>
      <x:c r="W214" t="str">
        <x:f>IF(SUMIF($B$5:$B$914,B214,$S$5:$S$914)=SUMIF(DailyProduction!$Q$5:$Q$100,B214,DailyProduction!$R$5:$R$100),"OK","CHECK")</x:f>
        <x:v>OK</x:v>
      </x:c>
      <x:c r="X214" t="str">
        <x:v>PLC-PRD-JAR-720-L22</x:v>
      </x:c>
      <x:c r="Y214" t="str">
        <x:v>OK</x:v>
      </x:c>
      <x:c r="Z214" t="str">
        <x:v>OK</x:v>
      </x:c>
      <x:c r="AA214" t="n">
        <x:v>3</x:v>
      </x:c>
      <x:c r="AB214" t="n">
        <x:v>2</x:v>
      </x:c>
      <x:c r="AC214" t="str">
        <x:v>OK</x:v>
      </x:c>
      <x:c r="AD214" t="str">
        <x:v>OK</x:v>
      </x:c>
      <x:c r="AE214" t="str">
        <x:v>LOAD</x:v>
      </x:c>
      <x:c r="AF214" t="str">
        <x:v>02_Supervisor_Log(4).xlsx</x:v>
      </x:c>
      <x:c r="AG214" t="str">
        <x:v>ENH-20260830-01</x:v>
      </x:c>
      <x:c r="AH214" t="str">
        <x:v>Active</x:v>
      </x:c>
      <x:c r="AI214"/>
      <x:c r="AJ214"/>
      <x:c r="AK214"/>
      <x:c r="AL214"/>
    </x:row>
    <x:row r="215">
      <x:c r="A215" t="s">
        <x:v>426</x:v>
      </x:c>
      <x:c r="B215" t="s">
        <x:v>424</x:v>
      </x:c>
      <x:c r="C215" t="s">
        <x:v>44</x:v>
      </x:c>
      <x:c r="D215">
        <x:v>45951</x:v>
      </x:c>
      <x:c r="E215" t="s">
        <x:v>45</x:v>
      </x:c>
      <x:c r="F215" t="s">
        <x:v>46</x:v>
      </x:c>
      <x:c r="G215">
        <x:v>22</x:v>
      </x:c>
      <x:c r="H215" t="s">
        <x:v>57</x:v>
      </x:c>
      <x:c r="I215">
        <x:v>3</x:v>
      </x:c>
      <x:c r="J215">
        <x:v>10</x:v>
      </x:c>
      <x:c r="K215">
        <x:v>2</x:v>
      </x:c>
      <x:c r="L215">
        <x:f t="shared" si="21"/>
        <x:v>1</x:v>
      </x:c>
      <x:c r="P215">
        <x:f t="shared" si="22"/>
        <x:v>1</x:v>
      </x:c>
      <x:c r="Q215">
        <x:f t="shared" si="23"/>
        <x:v>1</x:v>
      </x:c>
      <x:c r="R215">
        <x:f t="shared" si="24"/>
        <x:v>0</x:v>
      </x:c>
      <x:c r="S215">
        <x:f t="shared" si="25"/>
        <x:v>2</x:v>
      </x:c>
      <x:c r="T215" t="str">
        <x:f t="shared" si="26"/>
        <x:v>DerivedFromCount</x:v>
      </x:c>
      <x:c r="U215" t="str">
        <x:f>IF(COUNTIF(DailyProduction!$Q$5:$Q$100,B215)=1,"OK","CHECK")</x:f>
        <x:v>OK</x:v>
      </x:c>
      <x:c r="V215" t="str">
        <x:f t="shared" si="27"/>
        <x:v>OK</x:v>
      </x:c>
      <x:c r="W215" t="str">
        <x:f>IF(SUMIF($B$5:$B$914,B215,$S$5:$S$914)=SUMIF(DailyProduction!$Q$5:$Q$100,B215,DailyProduction!$R$5:$R$100),"OK","CHECK")</x:f>
        <x:v>OK</x:v>
      </x:c>
      <x:c r="X215" t="str">
        <x:v>PLC-PRD-JAR-720-L22</x:v>
      </x:c>
      <x:c r="Y215" t="str">
        <x:v>OK</x:v>
      </x:c>
      <x:c r="Z215" t="str">
        <x:v>OK</x:v>
      </x:c>
      <x:c r="AA215" t="n">
        <x:v>3</x:v>
      </x:c>
      <x:c r="AB215" t="n">
        <x:v>2</x:v>
      </x:c>
      <x:c r="AC215" t="str">
        <x:v>OK</x:v>
      </x:c>
      <x:c r="AD215" t="str">
        <x:v>OK</x:v>
      </x:c>
      <x:c r="AE215" t="str">
        <x:v>LOAD</x:v>
      </x:c>
      <x:c r="AF215" t="str">
        <x:v>02_Supervisor_Log(4).xlsx</x:v>
      </x:c>
      <x:c r="AG215" t="str">
        <x:v>ENH-20260830-01</x:v>
      </x:c>
      <x:c r="AH215" t="str">
        <x:v>Active</x:v>
      </x:c>
      <x:c r="AI215"/>
      <x:c r="AJ215"/>
      <x:c r="AK215"/>
      <x:c r="AL215"/>
    </x:row>
    <x:row r="216">
      <x:c r="A216" t="s">
        <x:v>427</x:v>
      </x:c>
      <x:c r="B216" t="s">
        <x:v>424</x:v>
      </x:c>
      <x:c r="C216" t="s">
        <x:v>44</x:v>
      </x:c>
      <x:c r="D216">
        <x:v>45951</x:v>
      </x:c>
      <x:c r="E216" t="s">
        <x:v>45</x:v>
      </x:c>
      <x:c r="F216" t="s">
        <x:v>46</x:v>
      </x:c>
      <x:c r="G216">
        <x:v>22</x:v>
      </x:c>
      <x:c r="H216" t="s">
        <x:v>57</x:v>
      </x:c>
      <x:c r="I216">
        <x:v>4</x:v>
      </x:c>
      <x:c r="J216">
        <x:v>10</x:v>
      </x:c>
      <x:c r="K216">
        <x:v>2</x:v>
      </x:c>
      <x:c r="L216">
        <x:f t="shared" si="21"/>
        <x:v>1</x:v>
      </x:c>
      <x:c r="P216">
        <x:f t="shared" si="22"/>
        <x:v>1</x:v>
      </x:c>
      <x:c r="Q216">
        <x:f t="shared" si="23"/>
        <x:v>1</x:v>
      </x:c>
      <x:c r="R216">
        <x:f t="shared" si="24"/>
        <x:v>0</x:v>
      </x:c>
      <x:c r="S216">
        <x:f t="shared" si="25"/>
        <x:v>2</x:v>
      </x:c>
      <x:c r="T216" t="str">
        <x:f t="shared" si="26"/>
        <x:v>DerivedFromCount</x:v>
      </x:c>
      <x:c r="U216" t="str">
        <x:f>IF(COUNTIF(DailyProduction!$Q$5:$Q$100,B216)=1,"OK","CHECK")</x:f>
        <x:v>OK</x:v>
      </x:c>
      <x:c r="V216" t="str">
        <x:f t="shared" si="27"/>
        <x:v>OK</x:v>
      </x:c>
      <x:c r="W216" t="str">
        <x:f>IF(SUMIF($B$5:$B$914,B216,$S$5:$S$914)=SUMIF(DailyProduction!$Q$5:$Q$100,B216,DailyProduction!$R$5:$R$100),"OK","CHECK")</x:f>
        <x:v>OK</x:v>
      </x:c>
      <x:c r="X216" t="str">
        <x:v>PLC-PRD-JAR-720-L22</x:v>
      </x:c>
      <x:c r="Y216" t="str">
        <x:v>OK</x:v>
      </x:c>
      <x:c r="Z216" t="str">
        <x:v>OK</x:v>
      </x:c>
      <x:c r="AA216" t="n">
        <x:v>3</x:v>
      </x:c>
      <x:c r="AB216" t="n">
        <x:v>2</x:v>
      </x:c>
      <x:c r="AC216" t="str">
        <x:v>OK</x:v>
      </x:c>
      <x:c r="AD216" t="str">
        <x:v>OK</x:v>
      </x:c>
      <x:c r="AE216" t="str">
        <x:v>LOAD</x:v>
      </x:c>
      <x:c r="AF216" t="str">
        <x:v>02_Supervisor_Log(4).xlsx</x:v>
      </x:c>
      <x:c r="AG216" t="str">
        <x:v>ENH-20260830-01</x:v>
      </x:c>
      <x:c r="AH216" t="str">
        <x:v>Active</x:v>
      </x:c>
      <x:c r="AI216"/>
      <x:c r="AJ216"/>
      <x:c r="AK216"/>
      <x:c r="AL216"/>
    </x:row>
    <x:row r="217">
      <x:c r="A217" t="s">
        <x:v>428</x:v>
      </x:c>
      <x:c r="B217" t="s">
        <x:v>424</x:v>
      </x:c>
      <x:c r="C217" t="s">
        <x:v>44</x:v>
      </x:c>
      <x:c r="D217">
        <x:v>45951</x:v>
      </x:c>
      <x:c r="E217" t="s">
        <x:v>45</x:v>
      </x:c>
      <x:c r="F217" t="s">
        <x:v>46</x:v>
      </x:c>
      <x:c r="G217">
        <x:v>22</x:v>
      </x:c>
      <x:c r="H217" t="s">
        <x:v>57</x:v>
      </x:c>
      <x:c r="I217">
        <x:v>5</x:v>
      </x:c>
      <x:c r="J217">
        <x:v>10</x:v>
      </x:c>
      <x:c r="K217">
        <x:v>2</x:v>
      </x:c>
      <x:c r="L217">
        <x:f t="shared" si="21"/>
        <x:v>1</x:v>
      </x:c>
      <x:c r="P217">
        <x:f t="shared" si="22"/>
        <x:v>1</x:v>
      </x:c>
      <x:c r="Q217">
        <x:f t="shared" si="23"/>
        <x:v>1</x:v>
      </x:c>
      <x:c r="R217">
        <x:f t="shared" si="24"/>
        <x:v>0</x:v>
      </x:c>
      <x:c r="S217">
        <x:f t="shared" si="25"/>
        <x:v>2</x:v>
      </x:c>
      <x:c r="T217" t="str">
        <x:f t="shared" si="26"/>
        <x:v>DerivedFromCount</x:v>
      </x:c>
      <x:c r="U217" t="str">
        <x:f>IF(COUNTIF(DailyProduction!$Q$5:$Q$100,B217)=1,"OK","CHECK")</x:f>
        <x:v>OK</x:v>
      </x:c>
      <x:c r="V217" t="str">
        <x:f t="shared" si="27"/>
        <x:v>OK</x:v>
      </x:c>
      <x:c r="W217" t="str">
        <x:f>IF(SUMIF($B$5:$B$914,B217,$S$5:$S$914)=SUMIF(DailyProduction!$Q$5:$Q$100,B217,DailyProduction!$R$5:$R$100),"OK","CHECK")</x:f>
        <x:v>OK</x:v>
      </x:c>
      <x:c r="X217" t="str">
        <x:v>PLC-PRD-JAR-720-L22</x:v>
      </x:c>
      <x:c r="Y217" t="str">
        <x:v>OK</x:v>
      </x:c>
      <x:c r="Z217" t="str">
        <x:v>OK</x:v>
      </x:c>
      <x:c r="AA217" t="n">
        <x:v>3</x:v>
      </x:c>
      <x:c r="AB217" t="n">
        <x:v>2</x:v>
      </x:c>
      <x:c r="AC217" t="str">
        <x:v>OK</x:v>
      </x:c>
      <x:c r="AD217" t="str">
        <x:v>OK</x:v>
      </x:c>
      <x:c r="AE217" t="str">
        <x:v>LOAD</x:v>
      </x:c>
      <x:c r="AF217" t="str">
        <x:v>02_Supervisor_Log(4).xlsx</x:v>
      </x:c>
      <x:c r="AG217" t="str">
        <x:v>ENH-20260830-01</x:v>
      </x:c>
      <x:c r="AH217" t="str">
        <x:v>Active</x:v>
      </x:c>
      <x:c r="AI217"/>
      <x:c r="AJ217"/>
      <x:c r="AK217"/>
      <x:c r="AL217"/>
    </x:row>
    <x:row r="218">
      <x:c r="A218" t="s">
        <x:v>429</x:v>
      </x:c>
      <x:c r="B218" t="s">
        <x:v>424</x:v>
      </x:c>
      <x:c r="C218" t="s">
        <x:v>44</x:v>
      </x:c>
      <x:c r="D218">
        <x:v>45951</x:v>
      </x:c>
      <x:c r="E218" t="s">
        <x:v>45</x:v>
      </x:c>
      <x:c r="F218" t="s">
        <x:v>46</x:v>
      </x:c>
      <x:c r="G218">
        <x:v>22</x:v>
      </x:c>
      <x:c r="H218" t="s">
        <x:v>57</x:v>
      </x:c>
      <x:c r="I218">
        <x:v>6</x:v>
      </x:c>
      <x:c r="J218">
        <x:v>10</x:v>
      </x:c>
      <x:c r="K218">
        <x:v>2</x:v>
      </x:c>
      <x:c r="L218">
        <x:f t="shared" si="21"/>
        <x:v>1</x:v>
      </x:c>
      <x:c r="P218">
        <x:f t="shared" si="22"/>
        <x:v>1</x:v>
      </x:c>
      <x:c r="Q218">
        <x:f t="shared" si="23"/>
        <x:v>1</x:v>
      </x:c>
      <x:c r="R218">
        <x:f t="shared" si="24"/>
        <x:v>0</x:v>
      </x:c>
      <x:c r="S218">
        <x:f t="shared" si="25"/>
        <x:v>2</x:v>
      </x:c>
      <x:c r="T218" t="str">
        <x:f t="shared" si="26"/>
        <x:v>DerivedFromCount</x:v>
      </x:c>
      <x:c r="U218" t="str">
        <x:f>IF(COUNTIF(DailyProduction!$Q$5:$Q$100,B218)=1,"OK","CHECK")</x:f>
        <x:v>OK</x:v>
      </x:c>
      <x:c r="V218" t="str">
        <x:f t="shared" si="27"/>
        <x:v>OK</x:v>
      </x:c>
      <x:c r="W218" t="str">
        <x:f>IF(SUMIF($B$5:$B$914,B218,$S$5:$S$914)=SUMIF(DailyProduction!$Q$5:$Q$100,B218,DailyProduction!$R$5:$R$100),"OK","CHECK")</x:f>
        <x:v>OK</x:v>
      </x:c>
      <x:c r="X218" t="str">
        <x:v>PLC-PRD-JAR-720-L22</x:v>
      </x:c>
      <x:c r="Y218" t="str">
        <x:v>OK</x:v>
      </x:c>
      <x:c r="Z218" t="str">
        <x:v>OK</x:v>
      </x:c>
      <x:c r="AA218" t="n">
        <x:v>3</x:v>
      </x:c>
      <x:c r="AB218" t="n">
        <x:v>2</x:v>
      </x:c>
      <x:c r="AC218" t="str">
        <x:v>OK</x:v>
      </x:c>
      <x:c r="AD218" t="str">
        <x:v>OK</x:v>
      </x:c>
      <x:c r="AE218" t="str">
        <x:v>LOAD</x:v>
      </x:c>
      <x:c r="AF218" t="str">
        <x:v>02_Supervisor_Log(4).xlsx</x:v>
      </x:c>
      <x:c r="AG218" t="str">
        <x:v>ENH-20260830-01</x:v>
      </x:c>
      <x:c r="AH218" t="str">
        <x:v>Active</x:v>
      </x:c>
      <x:c r="AI218"/>
      <x:c r="AJ218"/>
      <x:c r="AK218"/>
      <x:c r="AL218"/>
    </x:row>
    <x:row r="219">
      <x:c r="A219" t="s">
        <x:v>430</x:v>
      </x:c>
      <x:c r="B219" t="s">
        <x:v>424</x:v>
      </x:c>
      <x:c r="C219" t="s">
        <x:v>44</x:v>
      </x:c>
      <x:c r="D219">
        <x:v>45951</x:v>
      </x:c>
      <x:c r="E219" t="s">
        <x:v>45</x:v>
      </x:c>
      <x:c r="F219" t="s">
        <x:v>46</x:v>
      </x:c>
      <x:c r="G219">
        <x:v>22</x:v>
      </x:c>
      <x:c r="H219" t="s">
        <x:v>57</x:v>
      </x:c>
      <x:c r="I219">
        <x:v>7</x:v>
      </x:c>
      <x:c r="J219">
        <x:v>10</x:v>
      </x:c>
      <x:c r="K219">
        <x:v>2</x:v>
      </x:c>
      <x:c r="L219">
        <x:f t="shared" si="21"/>
        <x:v>1</x:v>
      </x:c>
      <x:c r="P219">
        <x:f t="shared" si="22"/>
        <x:v>1</x:v>
      </x:c>
      <x:c r="Q219">
        <x:f t="shared" si="23"/>
        <x:v>1</x:v>
      </x:c>
      <x:c r="R219">
        <x:f t="shared" si="24"/>
        <x:v>0</x:v>
      </x:c>
      <x:c r="S219">
        <x:f t="shared" si="25"/>
        <x:v>2</x:v>
      </x:c>
      <x:c r="T219" t="str">
        <x:f t="shared" si="26"/>
        <x:v>DerivedFromCount</x:v>
      </x:c>
      <x:c r="U219" t="str">
        <x:f>IF(COUNTIF(DailyProduction!$Q$5:$Q$100,B219)=1,"OK","CHECK")</x:f>
        <x:v>OK</x:v>
      </x:c>
      <x:c r="V219" t="str">
        <x:f t="shared" si="27"/>
        <x:v>OK</x:v>
      </x:c>
      <x:c r="W219" t="str">
        <x:f>IF(SUMIF($B$5:$B$914,B219,$S$5:$S$914)=SUMIF(DailyProduction!$Q$5:$Q$100,B219,DailyProduction!$R$5:$R$100),"OK","CHECK")</x:f>
        <x:v>OK</x:v>
      </x:c>
      <x:c r="X219" t="str">
        <x:v>PLC-PRD-JAR-720-L22</x:v>
      </x:c>
      <x:c r="Y219" t="str">
        <x:v>OK</x:v>
      </x:c>
      <x:c r="Z219" t="str">
        <x:v>OK</x:v>
      </x:c>
      <x:c r="AA219" t="n">
        <x:v>3</x:v>
      </x:c>
      <x:c r="AB219" t="n">
        <x:v>2</x:v>
      </x:c>
      <x:c r="AC219" t="str">
        <x:v>OK</x:v>
      </x:c>
      <x:c r="AD219" t="str">
        <x:v>OK</x:v>
      </x:c>
      <x:c r="AE219" t="str">
        <x:v>LOAD</x:v>
      </x:c>
      <x:c r="AF219" t="str">
        <x:v>02_Supervisor_Log(4).xlsx</x:v>
      </x:c>
      <x:c r="AG219" t="str">
        <x:v>ENH-20260830-01</x:v>
      </x:c>
      <x:c r="AH219" t="str">
        <x:v>Active</x:v>
      </x:c>
      <x:c r="AI219"/>
      <x:c r="AJ219"/>
      <x:c r="AK219"/>
      <x:c r="AL219"/>
    </x:row>
    <x:row r="220">
      <x:c r="A220" t="s">
        <x:v>431</x:v>
      </x:c>
      <x:c r="B220" t="s">
        <x:v>424</x:v>
      </x:c>
      <x:c r="C220" t="s">
        <x:v>44</x:v>
      </x:c>
      <x:c r="D220">
        <x:v>45951</x:v>
      </x:c>
      <x:c r="E220" t="s">
        <x:v>45</x:v>
      </x:c>
      <x:c r="F220" t="s">
        <x:v>46</x:v>
      </x:c>
      <x:c r="G220">
        <x:v>22</x:v>
      </x:c>
      <x:c r="H220" t="s">
        <x:v>57</x:v>
      </x:c>
      <x:c r="I220">
        <x:v>8</x:v>
      </x:c>
      <x:c r="J220">
        <x:v>10</x:v>
      </x:c>
      <x:c r="K220">
        <x:v>2</x:v>
      </x:c>
      <x:c r="L220">
        <x:f t="shared" si="21"/>
        <x:v>1</x:v>
      </x:c>
      <x:c r="P220">
        <x:f t="shared" si="22"/>
        <x:v>1</x:v>
      </x:c>
      <x:c r="Q220">
        <x:f t="shared" si="23"/>
        <x:v>1</x:v>
      </x:c>
      <x:c r="R220">
        <x:f t="shared" si="24"/>
        <x:v>0</x:v>
      </x:c>
      <x:c r="S220">
        <x:f t="shared" si="25"/>
        <x:v>2</x:v>
      </x:c>
      <x:c r="T220" t="str">
        <x:f t="shared" si="26"/>
        <x:v>DerivedFromCount</x:v>
      </x:c>
      <x:c r="U220" t="str">
        <x:f>IF(COUNTIF(DailyProduction!$Q$5:$Q$100,B220)=1,"OK","CHECK")</x:f>
        <x:v>OK</x:v>
      </x:c>
      <x:c r="V220" t="str">
        <x:f t="shared" si="27"/>
        <x:v>OK</x:v>
      </x:c>
      <x:c r="W220" t="str">
        <x:f>IF(SUMIF($B$5:$B$914,B220,$S$5:$S$914)=SUMIF(DailyProduction!$Q$5:$Q$100,B220,DailyProduction!$R$5:$R$100),"OK","CHECK")</x:f>
        <x:v>OK</x:v>
      </x:c>
      <x:c r="X220" t="str">
        <x:v>PLC-PRD-JAR-720-L22</x:v>
      </x:c>
      <x:c r="Y220" t="str">
        <x:v>OK</x:v>
      </x:c>
      <x:c r="Z220" t="str">
        <x:v>OK</x:v>
      </x:c>
      <x:c r="AA220" t="n">
        <x:v>3</x:v>
      </x:c>
      <x:c r="AB220" t="n">
        <x:v>2</x:v>
      </x:c>
      <x:c r="AC220" t="str">
        <x:v>OK</x:v>
      </x:c>
      <x:c r="AD220" t="str">
        <x:v>OK</x:v>
      </x:c>
      <x:c r="AE220" t="str">
        <x:v>LOAD</x:v>
      </x:c>
      <x:c r="AF220" t="str">
        <x:v>02_Supervisor_Log(4).xlsx</x:v>
      </x:c>
      <x:c r="AG220" t="str">
        <x:v>ENH-20260830-01</x:v>
      </x:c>
      <x:c r="AH220" t="str">
        <x:v>Active</x:v>
      </x:c>
      <x:c r="AI220"/>
      <x:c r="AJ220"/>
      <x:c r="AK220"/>
      <x:c r="AL220"/>
    </x:row>
    <x:row r="221">
      <x:c r="A221" t="s">
        <x:v>432</x:v>
      </x:c>
      <x:c r="B221" t="s">
        <x:v>424</x:v>
      </x:c>
      <x:c r="C221" t="s">
        <x:v>44</x:v>
      </x:c>
      <x:c r="D221">
        <x:v>45951</x:v>
      </x:c>
      <x:c r="E221" t="s">
        <x:v>45</x:v>
      </x:c>
      <x:c r="F221" t="s">
        <x:v>46</x:v>
      </x:c>
      <x:c r="G221">
        <x:v>22</x:v>
      </x:c>
      <x:c r="H221" t="s">
        <x:v>57</x:v>
      </x:c>
      <x:c r="I221">
        <x:v>9</x:v>
      </x:c>
      <x:c r="J221">
        <x:v>10</x:v>
      </x:c>
      <x:c r="K221">
        <x:v>2</x:v>
      </x:c>
      <x:c r="L221">
        <x:f t="shared" si="21"/>
        <x:v>1</x:v>
      </x:c>
      <x:c r="P221">
        <x:f t="shared" si="22"/>
        <x:v>1</x:v>
      </x:c>
      <x:c r="Q221">
        <x:f t="shared" si="23"/>
        <x:v>1</x:v>
      </x:c>
      <x:c r="R221">
        <x:f t="shared" si="24"/>
        <x:v>0</x:v>
      </x:c>
      <x:c r="S221">
        <x:f t="shared" si="25"/>
        <x:v>2</x:v>
      </x:c>
      <x:c r="T221" t="str">
        <x:f t="shared" si="26"/>
        <x:v>DerivedFromCount</x:v>
      </x:c>
      <x:c r="U221" t="str">
        <x:f>IF(COUNTIF(DailyProduction!$Q$5:$Q$100,B221)=1,"OK","CHECK")</x:f>
        <x:v>OK</x:v>
      </x:c>
      <x:c r="V221" t="str">
        <x:f t="shared" si="27"/>
        <x:v>OK</x:v>
      </x:c>
      <x:c r="W221" t="str">
        <x:f>IF(SUMIF($B$5:$B$914,B221,$S$5:$S$914)=SUMIF(DailyProduction!$Q$5:$Q$100,B221,DailyProduction!$R$5:$R$100),"OK","CHECK")</x:f>
        <x:v>OK</x:v>
      </x:c>
      <x:c r="X221" t="str">
        <x:v>PLC-PRD-JAR-720-L22</x:v>
      </x:c>
      <x:c r="Y221" t="str">
        <x:v>OK</x:v>
      </x:c>
      <x:c r="Z221" t="str">
        <x:v>OK</x:v>
      </x:c>
      <x:c r="AA221" t="n">
        <x:v>3</x:v>
      </x:c>
      <x:c r="AB221" t="n">
        <x:v>2</x:v>
      </x:c>
      <x:c r="AC221" t="str">
        <x:v>OK</x:v>
      </x:c>
      <x:c r="AD221" t="str">
        <x:v>OK</x:v>
      </x:c>
      <x:c r="AE221" t="str">
        <x:v>LOAD</x:v>
      </x:c>
      <x:c r="AF221" t="str">
        <x:v>02_Supervisor_Log(4).xlsx</x:v>
      </x:c>
      <x:c r="AG221" t="str">
        <x:v>ENH-20260830-01</x:v>
      </x:c>
      <x:c r="AH221" t="str">
        <x:v>Active</x:v>
      </x:c>
      <x:c r="AI221"/>
      <x:c r="AJ221"/>
      <x:c r="AK221"/>
      <x:c r="AL221"/>
    </x:row>
    <x:row r="222">
      <x:c r="A222" t="s">
        <x:v>433</x:v>
      </x:c>
      <x:c r="B222" t="s">
        <x:v>424</x:v>
      </x:c>
      <x:c r="C222" t="s">
        <x:v>44</x:v>
      </x:c>
      <x:c r="D222">
        <x:v>45951</x:v>
      </x:c>
      <x:c r="E222" t="s">
        <x:v>45</x:v>
      </x:c>
      <x:c r="F222" t="s">
        <x:v>46</x:v>
      </x:c>
      <x:c r="G222">
        <x:v>22</x:v>
      </x:c>
      <x:c r="H222" t="s">
        <x:v>57</x:v>
      </x:c>
      <x:c r="I222">
        <x:v>10</x:v>
      </x:c>
      <x:c r="J222">
        <x:v>10</x:v>
      </x:c>
      <x:c r="K222">
        <x:v>2</x:v>
      </x:c>
      <x:c r="L222">
        <x:f t="shared" si="21"/>
        <x:v>1</x:v>
      </x:c>
      <x:c r="P222">
        <x:f t="shared" si="22"/>
        <x:v>1</x:v>
      </x:c>
      <x:c r="Q222">
        <x:f t="shared" si="23"/>
        <x:v>1</x:v>
      </x:c>
      <x:c r="R222">
        <x:f t="shared" si="24"/>
        <x:v>0</x:v>
      </x:c>
      <x:c r="S222">
        <x:f t="shared" si="25"/>
        <x:v>2</x:v>
      </x:c>
      <x:c r="T222" t="str">
        <x:f t="shared" si="26"/>
        <x:v>DerivedFromCount</x:v>
      </x:c>
      <x:c r="U222" t="str">
        <x:f>IF(COUNTIF(DailyProduction!$Q$5:$Q$100,B222)=1,"OK","CHECK")</x:f>
        <x:v>OK</x:v>
      </x:c>
      <x:c r="V222" t="str">
        <x:f t="shared" si="27"/>
        <x:v>OK</x:v>
      </x:c>
      <x:c r="W222" t="str">
        <x:f>IF(SUMIF($B$5:$B$914,B222,$S$5:$S$914)=SUMIF(DailyProduction!$Q$5:$Q$100,B222,DailyProduction!$R$5:$R$100),"OK","CHECK")</x:f>
        <x:v>OK</x:v>
      </x:c>
      <x:c r="X222" t="str">
        <x:v>PLC-PRD-JAR-720-L22</x:v>
      </x:c>
      <x:c r="Y222" t="str">
        <x:v>OK</x:v>
      </x:c>
      <x:c r="Z222" t="str">
        <x:v>OK</x:v>
      </x:c>
      <x:c r="AA222" t="n">
        <x:v>3</x:v>
      </x:c>
      <x:c r="AB222" t="n">
        <x:v>2</x:v>
      </x:c>
      <x:c r="AC222" t="str">
        <x:v>OK</x:v>
      </x:c>
      <x:c r="AD222" t="str">
        <x:v>OK</x:v>
      </x:c>
      <x:c r="AE222" t="str">
        <x:v>LOAD</x:v>
      </x:c>
      <x:c r="AF222" t="str">
        <x:v>02_Supervisor_Log(4).xlsx</x:v>
      </x:c>
      <x:c r="AG222" t="str">
        <x:v>ENH-20260830-01</x:v>
      </x:c>
      <x:c r="AH222" t="str">
        <x:v>Active</x:v>
      </x:c>
      <x:c r="AI222"/>
      <x:c r="AJ222"/>
      <x:c r="AK222"/>
      <x:c r="AL222"/>
    </x:row>
    <x:row r="223">
      <x:c r="A223" t="s">
        <x:v>434</x:v>
      </x:c>
      <x:c r="B223" t="s">
        <x:v>424</x:v>
      </x:c>
      <x:c r="C223" t="s">
        <x:v>44</x:v>
      </x:c>
      <x:c r="D223">
        <x:v>45951</x:v>
      </x:c>
      <x:c r="E223" t="s">
        <x:v>45</x:v>
      </x:c>
      <x:c r="F223" t="s">
        <x:v>46</x:v>
      </x:c>
      <x:c r="G223">
        <x:v>22</x:v>
      </x:c>
      <x:c r="H223" t="s">
        <x:v>57</x:v>
      </x:c>
      <x:c r="I223">
        <x:v>11</x:v>
      </x:c>
      <x:c r="J223">
        <x:v>10</x:v>
      </x:c>
      <x:c r="K223">
        <x:v>2</x:v>
      </x:c>
      <x:c r="L223">
        <x:f t="shared" si="21"/>
        <x:v>0</x:v>
      </x:c>
      <x:c r="P223">
        <x:f t="shared" si="22"/>
        <x:v>0</x:v>
      </x:c>
      <x:c r="Q223">
        <x:f t="shared" si="23"/>
        <x:v>0</x:v>
      </x:c>
      <x:c r="R223">
        <x:f t="shared" si="24"/>
        <x:v>0</x:v>
      </x:c>
      <x:c r="S223">
        <x:f t="shared" si="25"/>
        <x:v>0</x:v>
      </x:c>
      <x:c r="T223" t="str">
        <x:f t="shared" si="26"/>
        <x:v>DerivedFromCount</x:v>
      </x:c>
      <x:c r="U223" t="str">
        <x:f>IF(COUNTIF(DailyProduction!$Q$5:$Q$100,B223)=1,"OK","CHECK")</x:f>
        <x:v>OK</x:v>
      </x:c>
      <x:c r="V223" t="str">
        <x:f t="shared" si="27"/>
        <x:v>OK</x:v>
      </x:c>
      <x:c r="W223" t="str">
        <x:f>IF(SUMIF($B$5:$B$914,B223,$S$5:$S$914)=SUMIF(DailyProduction!$Q$5:$Q$100,B223,DailyProduction!$R$5:$R$100),"OK","CHECK")</x:f>
        <x:v>OK</x:v>
      </x:c>
      <x:c r="X223" t="str">
        <x:v>PLC-PRD-JAR-720-L22</x:v>
      </x:c>
      <x:c r="Y223" t="str">
        <x:v>OK</x:v>
      </x:c>
      <x:c r="Z223" t="str">
        <x:v>OK</x:v>
      </x:c>
      <x:c r="AA223" t="n">
        <x:v>3</x:v>
      </x:c>
      <x:c r="AB223" t="n">
        <x:v>0</x:v>
      </x:c>
      <x:c r="AC223" t="str">
        <x:v>OK</x:v>
      </x:c>
      <x:c r="AD223" t="str">
        <x:v>OK</x:v>
      </x:c>
      <x:c r="AE223" t="str">
        <x:v>LOAD</x:v>
      </x:c>
      <x:c r="AF223" t="str">
        <x:v>02_Supervisor_Log(4).xlsx</x:v>
      </x:c>
      <x:c r="AG223" t="str">
        <x:v>ENH-20260830-01</x:v>
      </x:c>
      <x:c r="AH223" t="str">
        <x:v>Active</x:v>
      </x:c>
      <x:c r="AI223"/>
      <x:c r="AJ223"/>
      <x:c r="AK223"/>
      <x:c r="AL223"/>
    </x:row>
    <x:row r="224">
      <x:c r="A224" t="s">
        <x:v>435</x:v>
      </x:c>
      <x:c r="B224" t="s">
        <x:v>424</x:v>
      </x:c>
      <x:c r="C224" t="s">
        <x:v>44</x:v>
      </x:c>
      <x:c r="D224">
        <x:v>45951</x:v>
      </x:c>
      <x:c r="E224" t="s">
        <x:v>45</x:v>
      </x:c>
      <x:c r="F224" t="s">
        <x:v>46</x:v>
      </x:c>
      <x:c r="G224">
        <x:v>22</x:v>
      </x:c>
      <x:c r="H224" t="s">
        <x:v>57</x:v>
      </x:c>
      <x:c r="I224">
        <x:v>12</x:v>
      </x:c>
      <x:c r="J224">
        <x:v>10</x:v>
      </x:c>
      <x:c r="K224">
        <x:v>2</x:v>
      </x:c>
      <x:c r="L224">
        <x:f t="shared" si="21"/>
        <x:v>0</x:v>
      </x:c>
      <x:c r="P224">
        <x:f t="shared" si="22"/>
        <x:v>0</x:v>
      </x:c>
      <x:c r="Q224">
        <x:f t="shared" si="23"/>
        <x:v>0</x:v>
      </x:c>
      <x:c r="R224">
        <x:f t="shared" si="24"/>
        <x:v>0</x:v>
      </x:c>
      <x:c r="S224">
        <x:f t="shared" si="25"/>
        <x:v>0</x:v>
      </x:c>
      <x:c r="T224" t="str">
        <x:f t="shared" si="26"/>
        <x:v>DerivedFromCount</x:v>
      </x:c>
      <x:c r="U224" t="str">
        <x:f>IF(COUNTIF(DailyProduction!$Q$5:$Q$100,B224)=1,"OK","CHECK")</x:f>
        <x:v>OK</x:v>
      </x:c>
      <x:c r="V224" t="str">
        <x:f t="shared" si="27"/>
        <x:v>OK</x:v>
      </x:c>
      <x:c r="W224" t="str">
        <x:f>IF(SUMIF($B$5:$B$914,B224,$S$5:$S$914)=SUMIF(DailyProduction!$Q$5:$Q$100,B224,DailyProduction!$R$5:$R$100),"OK","CHECK")</x:f>
        <x:v>OK</x:v>
      </x:c>
      <x:c r="X224" t="str">
        <x:v>PLC-PRD-JAR-720-L22</x:v>
      </x:c>
      <x:c r="Y224" t="str">
        <x:v>OK</x:v>
      </x:c>
      <x:c r="Z224" t="str">
        <x:v>OK</x:v>
      </x:c>
      <x:c r="AA224" t="n">
        <x:v>3</x:v>
      </x:c>
      <x:c r="AB224" t="n">
        <x:v>0</x:v>
      </x:c>
      <x:c r="AC224" t="str">
        <x:v>OK</x:v>
      </x:c>
      <x:c r="AD224" t="str">
        <x:v>OK</x:v>
      </x:c>
      <x:c r="AE224" t="str">
        <x:v>LOAD</x:v>
      </x:c>
      <x:c r="AF224" t="str">
        <x:v>02_Supervisor_Log(4).xlsx</x:v>
      </x:c>
      <x:c r="AG224" t="str">
        <x:v>ENH-20260830-01</x:v>
      </x:c>
      <x:c r="AH224" t="str">
        <x:v>Active</x:v>
      </x:c>
      <x:c r="AI224"/>
      <x:c r="AJ224"/>
      <x:c r="AK224"/>
      <x:c r="AL224"/>
    </x:row>
    <x:row r="225">
      <x:c r="A225" t="s">
        <x:v>436</x:v>
      </x:c>
      <x:c r="B225" t="s">
        <x:v>424</x:v>
      </x:c>
      <x:c r="C225" t="s">
        <x:v>44</x:v>
      </x:c>
      <x:c r="D225">
        <x:v>45951</x:v>
      </x:c>
      <x:c r="E225" t="s">
        <x:v>45</x:v>
      </x:c>
      <x:c r="F225" t="s">
        <x:v>46</x:v>
      </x:c>
      <x:c r="G225">
        <x:v>22</x:v>
      </x:c>
      <x:c r="H225" t="s">
        <x:v>57</x:v>
      </x:c>
      <x:c r="I225">
        <x:v>13</x:v>
      </x:c>
      <x:c r="J225">
        <x:v>10</x:v>
      </x:c>
      <x:c r="K225">
        <x:v>2</x:v>
      </x:c>
      <x:c r="L225">
        <x:f t="shared" si="21"/>
        <x:v>0</x:v>
      </x:c>
      <x:c r="P225">
        <x:f t="shared" si="22"/>
        <x:v>0</x:v>
      </x:c>
      <x:c r="Q225">
        <x:f t="shared" si="23"/>
        <x:v>0</x:v>
      </x:c>
      <x:c r="R225">
        <x:f t="shared" si="24"/>
        <x:v>0</x:v>
      </x:c>
      <x:c r="S225">
        <x:f t="shared" si="25"/>
        <x:v>0</x:v>
      </x:c>
      <x:c r="T225" t="str">
        <x:f t="shared" si="26"/>
        <x:v>DerivedFromCount</x:v>
      </x:c>
      <x:c r="U225" t="str">
        <x:f>IF(COUNTIF(DailyProduction!$Q$5:$Q$100,B225)=1,"OK","CHECK")</x:f>
        <x:v>OK</x:v>
      </x:c>
      <x:c r="V225" t="str">
        <x:f t="shared" si="27"/>
        <x:v>OK</x:v>
      </x:c>
      <x:c r="W225" t="str">
        <x:f>IF(SUMIF($B$5:$B$914,B225,$S$5:$S$914)=SUMIF(DailyProduction!$Q$5:$Q$100,B225,DailyProduction!$R$5:$R$100),"OK","CHECK")</x:f>
        <x:v>OK</x:v>
      </x:c>
      <x:c r="X225" t="str">
        <x:v>PLC-PRD-JAR-720-L22</x:v>
      </x:c>
      <x:c r="Y225" t="str">
        <x:v>OK</x:v>
      </x:c>
      <x:c r="Z225" t="str">
        <x:v>OK</x:v>
      </x:c>
      <x:c r="AA225" t="n">
        <x:v>3</x:v>
      </x:c>
      <x:c r="AB225" t="n">
        <x:v>0</x:v>
      </x:c>
      <x:c r="AC225" t="str">
        <x:v>OK</x:v>
      </x:c>
      <x:c r="AD225" t="str">
        <x:v>OK</x:v>
      </x:c>
      <x:c r="AE225" t="str">
        <x:v>LOAD</x:v>
      </x:c>
      <x:c r="AF225" t="str">
        <x:v>02_Supervisor_Log(4).xlsx</x:v>
      </x:c>
      <x:c r="AG225" t="str">
        <x:v>ENH-20260830-01</x:v>
      </x:c>
      <x:c r="AH225" t="str">
        <x:v>Active</x:v>
      </x:c>
      <x:c r="AI225"/>
      <x:c r="AJ225"/>
      <x:c r="AK225"/>
      <x:c r="AL225"/>
    </x:row>
    <x:row r="226">
      <x:c r="A226" t="s">
        <x:v>437</x:v>
      </x:c>
      <x:c r="B226" t="s">
        <x:v>438</x:v>
      </x:c>
      <x:c r="C226" t="s">
        <x:v>44</x:v>
      </x:c>
      <x:c r="D226">
        <x:v>45951</x:v>
      </x:c>
      <x:c r="E226" t="s">
        <x:v>187</x:v>
      </x:c>
      <x:c r="F226" t="s">
        <x:v>51</x:v>
      </x:c>
      <x:c r="G226">
        <x:v>22</x:v>
      </x:c>
      <x:c r="H226" t="s">
        <x:v>57</x:v>
      </x:c>
      <x:c r="I226">
        <x:v>1</x:v>
      </x:c>
      <x:c r="J226">
        <x:v>10</x:v>
      </x:c>
      <x:c r="K226">
        <x:v>2</x:v>
      </x:c>
      <x:c r="L226">
        <x:f t="shared" si="21"/>
        <x:v>1</x:v>
      </x:c>
      <x:c r="P226">
        <x:f t="shared" si="22"/>
        <x:v>1</x:v>
      </x:c>
      <x:c r="Q226">
        <x:f t="shared" si="23"/>
        <x:v>1</x:v>
      </x:c>
      <x:c r="R226">
        <x:f t="shared" si="24"/>
        <x:v>0</x:v>
      </x:c>
      <x:c r="S226">
        <x:f t="shared" si="25"/>
        <x:v>2</x:v>
      </x:c>
      <x:c r="T226" t="str">
        <x:f t="shared" si="26"/>
        <x:v>DerivedFromCount</x:v>
      </x:c>
      <x:c r="U226" t="str">
        <x:f>IF(COUNTIF(DailyProduction!$Q$5:$Q$100,B226)=1,"OK","CHECK")</x:f>
        <x:v>OK</x:v>
      </x:c>
      <x:c r="V226" t="str">
        <x:f t="shared" si="27"/>
        <x:v>OK</x:v>
      </x:c>
      <x:c r="W226" t="str">
        <x:f>IF(SUMIF($B$5:$B$914,B226,$S$5:$S$914)=SUMIF(DailyProduction!$Q$5:$Q$100,B226,DailyProduction!$R$5:$R$100),"OK","CHECK")</x:f>
        <x:v>OK</x:v>
      </x:c>
      <x:c r="X226" t="str">
        <x:v>PLC-PRD-JAR-720-L22</x:v>
      </x:c>
      <x:c r="Y226" t="str">
        <x:v>OK</x:v>
      </x:c>
      <x:c r="Z226" t="str">
        <x:v>OK</x:v>
      </x:c>
      <x:c r="AA226" t="n">
        <x:v>3</x:v>
      </x:c>
      <x:c r="AB226" t="n">
        <x:v>2</x:v>
      </x:c>
      <x:c r="AC226" t="str">
        <x:v>OK</x:v>
      </x:c>
      <x:c r="AD226" t="str">
        <x:v>OK</x:v>
      </x:c>
      <x:c r="AE226" t="str">
        <x:v>LOAD</x:v>
      </x:c>
      <x:c r="AF226" t="str">
        <x:v>02_Supervisor_Log(4).xlsx</x:v>
      </x:c>
      <x:c r="AG226" t="str">
        <x:v>ENH-20260830-01</x:v>
      </x:c>
      <x:c r="AH226" t="str">
        <x:v>Active</x:v>
      </x:c>
      <x:c r="AI226"/>
      <x:c r="AJ226"/>
      <x:c r="AK226"/>
      <x:c r="AL226"/>
    </x:row>
    <x:row r="227">
      <x:c r="A227" t="s">
        <x:v>439</x:v>
      </x:c>
      <x:c r="B227" t="s">
        <x:v>438</x:v>
      </x:c>
      <x:c r="C227" t="s">
        <x:v>44</x:v>
      </x:c>
      <x:c r="D227">
        <x:v>45951</x:v>
      </x:c>
      <x:c r="E227" t="s">
        <x:v>187</x:v>
      </x:c>
      <x:c r="F227" t="s">
        <x:v>51</x:v>
      </x:c>
      <x:c r="G227">
        <x:v>22</x:v>
      </x:c>
      <x:c r="H227" t="s">
        <x:v>57</x:v>
      </x:c>
      <x:c r="I227">
        <x:v>2</x:v>
      </x:c>
      <x:c r="J227">
        <x:v>10</x:v>
      </x:c>
      <x:c r="K227">
        <x:v>2</x:v>
      </x:c>
      <x:c r="L227">
        <x:f t="shared" si="21"/>
        <x:v>1</x:v>
      </x:c>
      <x:c r="P227">
        <x:f t="shared" si="22"/>
        <x:v>1</x:v>
      </x:c>
      <x:c r="Q227">
        <x:f t="shared" si="23"/>
        <x:v>1</x:v>
      </x:c>
      <x:c r="R227">
        <x:f t="shared" si="24"/>
        <x:v>0</x:v>
      </x:c>
      <x:c r="S227">
        <x:f t="shared" si="25"/>
        <x:v>2</x:v>
      </x:c>
      <x:c r="T227" t="str">
        <x:f t="shared" si="26"/>
        <x:v>DerivedFromCount</x:v>
      </x:c>
      <x:c r="U227" t="str">
        <x:f>IF(COUNTIF(DailyProduction!$Q$5:$Q$100,B227)=1,"OK","CHECK")</x:f>
        <x:v>OK</x:v>
      </x:c>
      <x:c r="V227" t="str">
        <x:f t="shared" si="27"/>
        <x:v>OK</x:v>
      </x:c>
      <x:c r="W227" t="str">
        <x:f>IF(SUMIF($B$5:$B$914,B227,$S$5:$S$914)=SUMIF(DailyProduction!$Q$5:$Q$100,B227,DailyProduction!$R$5:$R$100),"OK","CHECK")</x:f>
        <x:v>OK</x:v>
      </x:c>
      <x:c r="X227" t="str">
        <x:v>PLC-PRD-JAR-720-L22</x:v>
      </x:c>
      <x:c r="Y227" t="str">
        <x:v>OK</x:v>
      </x:c>
      <x:c r="Z227" t="str">
        <x:v>OK</x:v>
      </x:c>
      <x:c r="AA227" t="n">
        <x:v>3</x:v>
      </x:c>
      <x:c r="AB227" t="n">
        <x:v>2</x:v>
      </x:c>
      <x:c r="AC227" t="str">
        <x:v>OK</x:v>
      </x:c>
      <x:c r="AD227" t="str">
        <x:v>OK</x:v>
      </x:c>
      <x:c r="AE227" t="str">
        <x:v>LOAD</x:v>
      </x:c>
      <x:c r="AF227" t="str">
        <x:v>02_Supervisor_Log(4).xlsx</x:v>
      </x:c>
      <x:c r="AG227" t="str">
        <x:v>ENH-20260830-01</x:v>
      </x:c>
      <x:c r="AH227" t="str">
        <x:v>Active</x:v>
      </x:c>
      <x:c r="AI227"/>
      <x:c r="AJ227"/>
      <x:c r="AK227"/>
      <x:c r="AL227"/>
    </x:row>
    <x:row r="228">
      <x:c r="A228" t="s">
        <x:v>440</x:v>
      </x:c>
      <x:c r="B228" t="s">
        <x:v>438</x:v>
      </x:c>
      <x:c r="C228" t="s">
        <x:v>44</x:v>
      </x:c>
      <x:c r="D228">
        <x:v>45951</x:v>
      </x:c>
      <x:c r="E228" t="s">
        <x:v>187</x:v>
      </x:c>
      <x:c r="F228" t="s">
        <x:v>51</x:v>
      </x:c>
      <x:c r="G228">
        <x:v>22</x:v>
      </x:c>
      <x:c r="H228" t="s">
        <x:v>57</x:v>
      </x:c>
      <x:c r="I228">
        <x:v>3</x:v>
      </x:c>
      <x:c r="J228">
        <x:v>10</x:v>
      </x:c>
      <x:c r="K228">
        <x:v>2</x:v>
      </x:c>
      <x:c r="L228">
        <x:f t="shared" si="21"/>
        <x:v>1</x:v>
      </x:c>
      <x:c r="P228">
        <x:f t="shared" si="22"/>
        <x:v>1</x:v>
      </x:c>
      <x:c r="Q228">
        <x:f t="shared" si="23"/>
        <x:v>1</x:v>
      </x:c>
      <x:c r="R228">
        <x:f t="shared" si="24"/>
        <x:v>0</x:v>
      </x:c>
      <x:c r="S228">
        <x:f t="shared" si="25"/>
        <x:v>2</x:v>
      </x:c>
      <x:c r="T228" t="str">
        <x:f t="shared" si="26"/>
        <x:v>DerivedFromCount</x:v>
      </x:c>
      <x:c r="U228" t="str">
        <x:f>IF(COUNTIF(DailyProduction!$Q$5:$Q$100,B228)=1,"OK","CHECK")</x:f>
        <x:v>OK</x:v>
      </x:c>
      <x:c r="V228" t="str">
        <x:f t="shared" si="27"/>
        <x:v>OK</x:v>
      </x:c>
      <x:c r="W228" t="str">
        <x:f>IF(SUMIF($B$5:$B$914,B228,$S$5:$S$914)=SUMIF(DailyProduction!$Q$5:$Q$100,B228,DailyProduction!$R$5:$R$100),"OK","CHECK")</x:f>
        <x:v>OK</x:v>
      </x:c>
      <x:c r="X228" t="str">
        <x:v>PLC-PRD-JAR-720-L22</x:v>
      </x:c>
      <x:c r="Y228" t="str">
        <x:v>OK</x:v>
      </x:c>
      <x:c r="Z228" t="str">
        <x:v>OK</x:v>
      </x:c>
      <x:c r="AA228" t="n">
        <x:v>3</x:v>
      </x:c>
      <x:c r="AB228" t="n">
        <x:v>2</x:v>
      </x:c>
      <x:c r="AC228" t="str">
        <x:v>OK</x:v>
      </x:c>
      <x:c r="AD228" t="str">
        <x:v>OK</x:v>
      </x:c>
      <x:c r="AE228" t="str">
        <x:v>LOAD</x:v>
      </x:c>
      <x:c r="AF228" t="str">
        <x:v>02_Supervisor_Log(4).xlsx</x:v>
      </x:c>
      <x:c r="AG228" t="str">
        <x:v>ENH-20260830-01</x:v>
      </x:c>
      <x:c r="AH228" t="str">
        <x:v>Active</x:v>
      </x:c>
      <x:c r="AI228"/>
      <x:c r="AJ228"/>
      <x:c r="AK228"/>
      <x:c r="AL228"/>
    </x:row>
    <x:row r="229">
      <x:c r="A229" t="s">
        <x:v>441</x:v>
      </x:c>
      <x:c r="B229" t="s">
        <x:v>438</x:v>
      </x:c>
      <x:c r="C229" t="s">
        <x:v>44</x:v>
      </x:c>
      <x:c r="D229">
        <x:v>45951</x:v>
      </x:c>
      <x:c r="E229" t="s">
        <x:v>187</x:v>
      </x:c>
      <x:c r="F229" t="s">
        <x:v>51</x:v>
      </x:c>
      <x:c r="G229">
        <x:v>22</x:v>
      </x:c>
      <x:c r="H229" t="s">
        <x:v>57</x:v>
      </x:c>
      <x:c r="I229">
        <x:v>4</x:v>
      </x:c>
      <x:c r="J229">
        <x:v>10</x:v>
      </x:c>
      <x:c r="K229">
        <x:v>2</x:v>
      </x:c>
      <x:c r="L229">
        <x:f t="shared" si="21"/>
        <x:v>1</x:v>
      </x:c>
      <x:c r="P229">
        <x:f t="shared" si="22"/>
        <x:v>1</x:v>
      </x:c>
      <x:c r="Q229">
        <x:f t="shared" si="23"/>
        <x:v>1</x:v>
      </x:c>
      <x:c r="R229">
        <x:f t="shared" si="24"/>
        <x:v>0</x:v>
      </x:c>
      <x:c r="S229">
        <x:f t="shared" si="25"/>
        <x:v>2</x:v>
      </x:c>
      <x:c r="T229" t="str">
        <x:f t="shared" si="26"/>
        <x:v>DerivedFromCount</x:v>
      </x:c>
      <x:c r="U229" t="str">
        <x:f>IF(COUNTIF(DailyProduction!$Q$5:$Q$100,B229)=1,"OK","CHECK")</x:f>
        <x:v>OK</x:v>
      </x:c>
      <x:c r="V229" t="str">
        <x:f t="shared" si="27"/>
        <x:v>OK</x:v>
      </x:c>
      <x:c r="W229" t="str">
        <x:f>IF(SUMIF($B$5:$B$914,B229,$S$5:$S$914)=SUMIF(DailyProduction!$Q$5:$Q$100,B229,DailyProduction!$R$5:$R$100),"OK","CHECK")</x:f>
        <x:v>OK</x:v>
      </x:c>
      <x:c r="X229" t="str">
        <x:v>PLC-PRD-JAR-720-L22</x:v>
      </x:c>
      <x:c r="Y229" t="str">
        <x:v>OK</x:v>
      </x:c>
      <x:c r="Z229" t="str">
        <x:v>OK</x:v>
      </x:c>
      <x:c r="AA229" t="n">
        <x:v>3</x:v>
      </x:c>
      <x:c r="AB229" t="n">
        <x:v>2</x:v>
      </x:c>
      <x:c r="AC229" t="str">
        <x:v>OK</x:v>
      </x:c>
      <x:c r="AD229" t="str">
        <x:v>OK</x:v>
      </x:c>
      <x:c r="AE229" t="str">
        <x:v>LOAD</x:v>
      </x:c>
      <x:c r="AF229" t="str">
        <x:v>02_Supervisor_Log(4).xlsx</x:v>
      </x:c>
      <x:c r="AG229" t="str">
        <x:v>ENH-20260830-01</x:v>
      </x:c>
      <x:c r="AH229" t="str">
        <x:v>Active</x:v>
      </x:c>
      <x:c r="AI229"/>
      <x:c r="AJ229"/>
      <x:c r="AK229"/>
      <x:c r="AL229"/>
    </x:row>
    <x:row r="230">
      <x:c r="A230" t="s">
        <x:v>442</x:v>
      </x:c>
      <x:c r="B230" t="s">
        <x:v>438</x:v>
      </x:c>
      <x:c r="C230" t="s">
        <x:v>44</x:v>
      </x:c>
      <x:c r="D230">
        <x:v>45951</x:v>
      </x:c>
      <x:c r="E230" t="s">
        <x:v>187</x:v>
      </x:c>
      <x:c r="F230" t="s">
        <x:v>51</x:v>
      </x:c>
      <x:c r="G230">
        <x:v>22</x:v>
      </x:c>
      <x:c r="H230" t="s">
        <x:v>57</x:v>
      </x:c>
      <x:c r="I230">
        <x:v>5</x:v>
      </x:c>
      <x:c r="J230">
        <x:v>10</x:v>
      </x:c>
      <x:c r="K230">
        <x:v>2</x:v>
      </x:c>
      <x:c r="L230">
        <x:f t="shared" si="21"/>
        <x:v>1</x:v>
      </x:c>
      <x:c r="P230">
        <x:f t="shared" si="22"/>
        <x:v>1</x:v>
      </x:c>
      <x:c r="Q230">
        <x:f t="shared" si="23"/>
        <x:v>1</x:v>
      </x:c>
      <x:c r="R230">
        <x:f t="shared" si="24"/>
        <x:v>0</x:v>
      </x:c>
      <x:c r="S230">
        <x:f t="shared" si="25"/>
        <x:v>2</x:v>
      </x:c>
      <x:c r="T230" t="str">
        <x:f t="shared" si="26"/>
        <x:v>DerivedFromCount</x:v>
      </x:c>
      <x:c r="U230" t="str">
        <x:f>IF(COUNTIF(DailyProduction!$Q$5:$Q$100,B230)=1,"OK","CHECK")</x:f>
        <x:v>OK</x:v>
      </x:c>
      <x:c r="V230" t="str">
        <x:f t="shared" si="27"/>
        <x:v>OK</x:v>
      </x:c>
      <x:c r="W230" t="str">
        <x:f>IF(SUMIF($B$5:$B$914,B230,$S$5:$S$914)=SUMIF(DailyProduction!$Q$5:$Q$100,B230,DailyProduction!$R$5:$R$100),"OK","CHECK")</x:f>
        <x:v>OK</x:v>
      </x:c>
      <x:c r="X230" t="str">
        <x:v>PLC-PRD-JAR-720-L22</x:v>
      </x:c>
      <x:c r="Y230" t="str">
        <x:v>OK</x:v>
      </x:c>
      <x:c r="Z230" t="str">
        <x:v>OK</x:v>
      </x:c>
      <x:c r="AA230" t="n">
        <x:v>3</x:v>
      </x:c>
      <x:c r="AB230" t="n">
        <x:v>2</x:v>
      </x:c>
      <x:c r="AC230" t="str">
        <x:v>OK</x:v>
      </x:c>
      <x:c r="AD230" t="str">
        <x:v>OK</x:v>
      </x:c>
      <x:c r="AE230" t="str">
        <x:v>LOAD</x:v>
      </x:c>
      <x:c r="AF230" t="str">
        <x:v>02_Supervisor_Log(4).xlsx</x:v>
      </x:c>
      <x:c r="AG230" t="str">
        <x:v>ENH-20260830-01</x:v>
      </x:c>
      <x:c r="AH230" t="str">
        <x:v>Active</x:v>
      </x:c>
      <x:c r="AI230"/>
      <x:c r="AJ230"/>
      <x:c r="AK230"/>
      <x:c r="AL230"/>
    </x:row>
    <x:row r="231">
      <x:c r="A231" t="s">
        <x:v>443</x:v>
      </x:c>
      <x:c r="B231" t="s">
        <x:v>438</x:v>
      </x:c>
      <x:c r="C231" t="s">
        <x:v>44</x:v>
      </x:c>
      <x:c r="D231">
        <x:v>45951</x:v>
      </x:c>
      <x:c r="E231" t="s">
        <x:v>187</x:v>
      </x:c>
      <x:c r="F231" t="s">
        <x:v>51</x:v>
      </x:c>
      <x:c r="G231">
        <x:v>22</x:v>
      </x:c>
      <x:c r="H231" t="s">
        <x:v>57</x:v>
      </x:c>
      <x:c r="I231">
        <x:v>6</x:v>
      </x:c>
      <x:c r="J231">
        <x:v>10</x:v>
      </x:c>
      <x:c r="K231">
        <x:v>2</x:v>
      </x:c>
      <x:c r="L231">
        <x:f t="shared" si="21"/>
        <x:v>1</x:v>
      </x:c>
      <x:c r="P231">
        <x:f t="shared" si="22"/>
        <x:v>1</x:v>
      </x:c>
      <x:c r="Q231">
        <x:f t="shared" si="23"/>
        <x:v>1</x:v>
      </x:c>
      <x:c r="R231">
        <x:f t="shared" si="24"/>
        <x:v>0</x:v>
      </x:c>
      <x:c r="S231">
        <x:f t="shared" si="25"/>
        <x:v>2</x:v>
      </x:c>
      <x:c r="T231" t="str">
        <x:f t="shared" si="26"/>
        <x:v>DerivedFromCount</x:v>
      </x:c>
      <x:c r="U231" t="str">
        <x:f>IF(COUNTIF(DailyProduction!$Q$5:$Q$100,B231)=1,"OK","CHECK")</x:f>
        <x:v>OK</x:v>
      </x:c>
      <x:c r="V231" t="str">
        <x:f t="shared" si="27"/>
        <x:v>OK</x:v>
      </x:c>
      <x:c r="W231" t="str">
        <x:f>IF(SUMIF($B$5:$B$914,B231,$S$5:$S$914)=SUMIF(DailyProduction!$Q$5:$Q$100,B231,DailyProduction!$R$5:$R$100),"OK","CHECK")</x:f>
        <x:v>OK</x:v>
      </x:c>
      <x:c r="X231" t="str">
        <x:v>PLC-PRD-JAR-720-L22</x:v>
      </x:c>
      <x:c r="Y231" t="str">
        <x:v>OK</x:v>
      </x:c>
      <x:c r="Z231" t="str">
        <x:v>OK</x:v>
      </x:c>
      <x:c r="AA231" t="n">
        <x:v>3</x:v>
      </x:c>
      <x:c r="AB231" t="n">
        <x:v>2</x:v>
      </x:c>
      <x:c r="AC231" t="str">
        <x:v>OK</x:v>
      </x:c>
      <x:c r="AD231" t="str">
        <x:v>OK</x:v>
      </x:c>
      <x:c r="AE231" t="str">
        <x:v>LOAD</x:v>
      </x:c>
      <x:c r="AF231" t="str">
        <x:v>02_Supervisor_Log(4).xlsx</x:v>
      </x:c>
      <x:c r="AG231" t="str">
        <x:v>ENH-20260830-01</x:v>
      </x:c>
      <x:c r="AH231" t="str">
        <x:v>Active</x:v>
      </x:c>
      <x:c r="AI231"/>
      <x:c r="AJ231"/>
      <x:c r="AK231"/>
      <x:c r="AL231"/>
    </x:row>
    <x:row r="232">
      <x:c r="A232" t="s">
        <x:v>444</x:v>
      </x:c>
      <x:c r="B232" t="s">
        <x:v>438</x:v>
      </x:c>
      <x:c r="C232" t="s">
        <x:v>44</x:v>
      </x:c>
      <x:c r="D232">
        <x:v>45951</x:v>
      </x:c>
      <x:c r="E232" t="s">
        <x:v>187</x:v>
      </x:c>
      <x:c r="F232" t="s">
        <x:v>51</x:v>
      </x:c>
      <x:c r="G232">
        <x:v>22</x:v>
      </x:c>
      <x:c r="H232" t="s">
        <x:v>57</x:v>
      </x:c>
      <x:c r="I232">
        <x:v>7</x:v>
      </x:c>
      <x:c r="J232">
        <x:v>10</x:v>
      </x:c>
      <x:c r="K232">
        <x:v>2</x:v>
      </x:c>
      <x:c r="L232">
        <x:f t="shared" si="21"/>
        <x:v>1</x:v>
      </x:c>
      <x:c r="P232">
        <x:f t="shared" si="22"/>
        <x:v>1</x:v>
      </x:c>
      <x:c r="Q232">
        <x:f t="shared" si="23"/>
        <x:v>1</x:v>
      </x:c>
      <x:c r="R232">
        <x:f t="shared" si="24"/>
        <x:v>0</x:v>
      </x:c>
      <x:c r="S232">
        <x:f t="shared" si="25"/>
        <x:v>2</x:v>
      </x:c>
      <x:c r="T232" t="str">
        <x:f t="shared" si="26"/>
        <x:v>DerivedFromCount</x:v>
      </x:c>
      <x:c r="U232" t="str">
        <x:f>IF(COUNTIF(DailyProduction!$Q$5:$Q$100,B232)=1,"OK","CHECK")</x:f>
        <x:v>OK</x:v>
      </x:c>
      <x:c r="V232" t="str">
        <x:f t="shared" si="27"/>
        <x:v>OK</x:v>
      </x:c>
      <x:c r="W232" t="str">
        <x:f>IF(SUMIF($B$5:$B$914,B232,$S$5:$S$914)=SUMIF(DailyProduction!$Q$5:$Q$100,B232,DailyProduction!$R$5:$R$100),"OK","CHECK")</x:f>
        <x:v>OK</x:v>
      </x:c>
      <x:c r="X232" t="str">
        <x:v>PLC-PRD-JAR-720-L22</x:v>
      </x:c>
      <x:c r="Y232" t="str">
        <x:v>OK</x:v>
      </x:c>
      <x:c r="Z232" t="str">
        <x:v>OK</x:v>
      </x:c>
      <x:c r="AA232" t="n">
        <x:v>3</x:v>
      </x:c>
      <x:c r="AB232" t="n">
        <x:v>2</x:v>
      </x:c>
      <x:c r="AC232" t="str">
        <x:v>OK</x:v>
      </x:c>
      <x:c r="AD232" t="str">
        <x:v>OK</x:v>
      </x:c>
      <x:c r="AE232" t="str">
        <x:v>LOAD</x:v>
      </x:c>
      <x:c r="AF232" t="str">
        <x:v>02_Supervisor_Log(4).xlsx</x:v>
      </x:c>
      <x:c r="AG232" t="str">
        <x:v>ENH-20260830-01</x:v>
      </x:c>
      <x:c r="AH232" t="str">
        <x:v>Active</x:v>
      </x:c>
      <x:c r="AI232"/>
      <x:c r="AJ232"/>
      <x:c r="AK232"/>
      <x:c r="AL232"/>
    </x:row>
    <x:row r="233">
      <x:c r="A233" t="s">
        <x:v>445</x:v>
      </x:c>
      <x:c r="B233" t="s">
        <x:v>438</x:v>
      </x:c>
      <x:c r="C233" t="s">
        <x:v>44</x:v>
      </x:c>
      <x:c r="D233">
        <x:v>45951</x:v>
      </x:c>
      <x:c r="E233" t="s">
        <x:v>187</x:v>
      </x:c>
      <x:c r="F233" t="s">
        <x:v>51</x:v>
      </x:c>
      <x:c r="G233">
        <x:v>22</x:v>
      </x:c>
      <x:c r="H233" t="s">
        <x:v>57</x:v>
      </x:c>
      <x:c r="I233">
        <x:v>8</x:v>
      </x:c>
      <x:c r="J233">
        <x:v>10</x:v>
      </x:c>
      <x:c r="K233">
        <x:v>2</x:v>
      </x:c>
      <x:c r="L233">
        <x:f t="shared" si="21"/>
        <x:v>1</x:v>
      </x:c>
      <x:c r="P233">
        <x:f t="shared" si="22"/>
        <x:v>1</x:v>
      </x:c>
      <x:c r="Q233">
        <x:f t="shared" si="23"/>
        <x:v>1</x:v>
      </x:c>
      <x:c r="R233">
        <x:f t="shared" si="24"/>
        <x:v>0</x:v>
      </x:c>
      <x:c r="S233">
        <x:f t="shared" si="25"/>
        <x:v>2</x:v>
      </x:c>
      <x:c r="T233" t="str">
        <x:f t="shared" si="26"/>
        <x:v>DerivedFromCount</x:v>
      </x:c>
      <x:c r="U233" t="str">
        <x:f>IF(COUNTIF(DailyProduction!$Q$5:$Q$100,B233)=1,"OK","CHECK")</x:f>
        <x:v>OK</x:v>
      </x:c>
      <x:c r="V233" t="str">
        <x:f t="shared" si="27"/>
        <x:v>OK</x:v>
      </x:c>
      <x:c r="W233" t="str">
        <x:f>IF(SUMIF($B$5:$B$914,B233,$S$5:$S$914)=SUMIF(DailyProduction!$Q$5:$Q$100,B233,DailyProduction!$R$5:$R$100),"OK","CHECK")</x:f>
        <x:v>OK</x:v>
      </x:c>
      <x:c r="X233" t="str">
        <x:v>PLC-PRD-JAR-720-L22</x:v>
      </x:c>
      <x:c r="Y233" t="str">
        <x:v>OK</x:v>
      </x:c>
      <x:c r="Z233" t="str">
        <x:v>OK</x:v>
      </x:c>
      <x:c r="AA233" t="n">
        <x:v>3</x:v>
      </x:c>
      <x:c r="AB233" t="n">
        <x:v>2</x:v>
      </x:c>
      <x:c r="AC233" t="str">
        <x:v>OK</x:v>
      </x:c>
      <x:c r="AD233" t="str">
        <x:v>OK</x:v>
      </x:c>
      <x:c r="AE233" t="str">
        <x:v>LOAD</x:v>
      </x:c>
      <x:c r="AF233" t="str">
        <x:v>02_Supervisor_Log(4).xlsx</x:v>
      </x:c>
      <x:c r="AG233" t="str">
        <x:v>ENH-20260830-01</x:v>
      </x:c>
      <x:c r="AH233" t="str">
        <x:v>Active</x:v>
      </x:c>
      <x:c r="AI233"/>
      <x:c r="AJ233"/>
      <x:c r="AK233"/>
      <x:c r="AL233"/>
    </x:row>
    <x:row r="234">
      <x:c r="A234" t="s">
        <x:v>446</x:v>
      </x:c>
      <x:c r="B234" t="s">
        <x:v>438</x:v>
      </x:c>
      <x:c r="C234" t="s">
        <x:v>44</x:v>
      </x:c>
      <x:c r="D234">
        <x:v>45951</x:v>
      </x:c>
      <x:c r="E234" t="s">
        <x:v>187</x:v>
      </x:c>
      <x:c r="F234" t="s">
        <x:v>51</x:v>
      </x:c>
      <x:c r="G234">
        <x:v>22</x:v>
      </x:c>
      <x:c r="H234" t="s">
        <x:v>57</x:v>
      </x:c>
      <x:c r="I234">
        <x:v>9</x:v>
      </x:c>
      <x:c r="J234">
        <x:v>10</x:v>
      </x:c>
      <x:c r="K234">
        <x:v>2</x:v>
      </x:c>
      <x:c r="L234">
        <x:f t="shared" si="21"/>
        <x:v>1</x:v>
      </x:c>
      <x:c r="P234">
        <x:f t="shared" si="22"/>
        <x:v>1</x:v>
      </x:c>
      <x:c r="Q234">
        <x:f t="shared" si="23"/>
        <x:v>1</x:v>
      </x:c>
      <x:c r="R234">
        <x:f t="shared" si="24"/>
        <x:v>0</x:v>
      </x:c>
      <x:c r="S234">
        <x:f t="shared" si="25"/>
        <x:v>2</x:v>
      </x:c>
      <x:c r="T234" t="str">
        <x:f t="shared" si="26"/>
        <x:v>DerivedFromCount</x:v>
      </x:c>
      <x:c r="U234" t="str">
        <x:f>IF(COUNTIF(DailyProduction!$Q$5:$Q$100,B234)=1,"OK","CHECK")</x:f>
        <x:v>OK</x:v>
      </x:c>
      <x:c r="V234" t="str">
        <x:f t="shared" si="27"/>
        <x:v>OK</x:v>
      </x:c>
      <x:c r="W234" t="str">
        <x:f>IF(SUMIF($B$5:$B$914,B234,$S$5:$S$914)=SUMIF(DailyProduction!$Q$5:$Q$100,B234,DailyProduction!$R$5:$R$100),"OK","CHECK")</x:f>
        <x:v>OK</x:v>
      </x:c>
      <x:c r="X234" t="str">
        <x:v>PLC-PRD-JAR-720-L22</x:v>
      </x:c>
      <x:c r="Y234" t="str">
        <x:v>OK</x:v>
      </x:c>
      <x:c r="Z234" t="str">
        <x:v>OK</x:v>
      </x:c>
      <x:c r="AA234" t="n">
        <x:v>3</x:v>
      </x:c>
      <x:c r="AB234" t="n">
        <x:v>2</x:v>
      </x:c>
      <x:c r="AC234" t="str">
        <x:v>OK</x:v>
      </x:c>
      <x:c r="AD234" t="str">
        <x:v>OK</x:v>
      </x:c>
      <x:c r="AE234" t="str">
        <x:v>LOAD</x:v>
      </x:c>
      <x:c r="AF234" t="str">
        <x:v>02_Supervisor_Log(4).xlsx</x:v>
      </x:c>
      <x:c r="AG234" t="str">
        <x:v>ENH-20260830-01</x:v>
      </x:c>
      <x:c r="AH234" t="str">
        <x:v>Active</x:v>
      </x:c>
      <x:c r="AI234"/>
      <x:c r="AJ234"/>
      <x:c r="AK234"/>
      <x:c r="AL234"/>
    </x:row>
    <x:row r="235">
      <x:c r="A235" t="s">
        <x:v>447</x:v>
      </x:c>
      <x:c r="B235" t="s">
        <x:v>438</x:v>
      </x:c>
      <x:c r="C235" t="s">
        <x:v>44</x:v>
      </x:c>
      <x:c r="D235">
        <x:v>45951</x:v>
      </x:c>
      <x:c r="E235" t="s">
        <x:v>187</x:v>
      </x:c>
      <x:c r="F235" t="s">
        <x:v>51</x:v>
      </x:c>
      <x:c r="G235">
        <x:v>22</x:v>
      </x:c>
      <x:c r="H235" t="s">
        <x:v>57</x:v>
      </x:c>
      <x:c r="I235">
        <x:v>10</x:v>
      </x:c>
      <x:c r="J235">
        <x:v>10</x:v>
      </x:c>
      <x:c r="K235">
        <x:v>2</x:v>
      </x:c>
      <x:c r="L235">
        <x:f t="shared" si="21"/>
        <x:v>1</x:v>
      </x:c>
      <x:c r="P235">
        <x:f t="shared" si="22"/>
        <x:v>1</x:v>
      </x:c>
      <x:c r="Q235">
        <x:f t="shared" si="23"/>
        <x:v>1</x:v>
      </x:c>
      <x:c r="R235">
        <x:f t="shared" si="24"/>
        <x:v>0</x:v>
      </x:c>
      <x:c r="S235">
        <x:f t="shared" si="25"/>
        <x:v>2</x:v>
      </x:c>
      <x:c r="T235" t="str">
        <x:f t="shared" si="26"/>
        <x:v>DerivedFromCount</x:v>
      </x:c>
      <x:c r="U235" t="str">
        <x:f>IF(COUNTIF(DailyProduction!$Q$5:$Q$100,B235)=1,"OK","CHECK")</x:f>
        <x:v>OK</x:v>
      </x:c>
      <x:c r="V235" t="str">
        <x:f t="shared" si="27"/>
        <x:v>OK</x:v>
      </x:c>
      <x:c r="W235" t="str">
        <x:f>IF(SUMIF($B$5:$B$914,B235,$S$5:$S$914)=SUMIF(DailyProduction!$Q$5:$Q$100,B235,DailyProduction!$R$5:$R$100),"OK","CHECK")</x:f>
        <x:v>OK</x:v>
      </x:c>
      <x:c r="X235" t="str">
        <x:v>PLC-PRD-JAR-720-L22</x:v>
      </x:c>
      <x:c r="Y235" t="str">
        <x:v>OK</x:v>
      </x:c>
      <x:c r="Z235" t="str">
        <x:v>OK</x:v>
      </x:c>
      <x:c r="AA235" t="n">
        <x:v>3</x:v>
      </x:c>
      <x:c r="AB235" t="n">
        <x:v>2</x:v>
      </x:c>
      <x:c r="AC235" t="str">
        <x:v>OK</x:v>
      </x:c>
      <x:c r="AD235" t="str">
        <x:v>OK</x:v>
      </x:c>
      <x:c r="AE235" t="str">
        <x:v>LOAD</x:v>
      </x:c>
      <x:c r="AF235" t="str">
        <x:v>02_Supervisor_Log(4).xlsx</x:v>
      </x:c>
      <x:c r="AG235" t="str">
        <x:v>ENH-20260830-01</x:v>
      </x:c>
      <x:c r="AH235" t="str">
        <x:v>Active</x:v>
      </x:c>
      <x:c r="AI235"/>
      <x:c r="AJ235"/>
      <x:c r="AK235"/>
      <x:c r="AL235"/>
    </x:row>
    <x:row r="236">
      <x:c r="A236" t="s">
        <x:v>448</x:v>
      </x:c>
      <x:c r="B236" t="s">
        <x:v>438</x:v>
      </x:c>
      <x:c r="C236" t="s">
        <x:v>44</x:v>
      </x:c>
      <x:c r="D236">
        <x:v>45951</x:v>
      </x:c>
      <x:c r="E236" t="s">
        <x:v>187</x:v>
      </x:c>
      <x:c r="F236" t="s">
        <x:v>51</x:v>
      </x:c>
      <x:c r="G236">
        <x:v>22</x:v>
      </x:c>
      <x:c r="H236" t="s">
        <x:v>57</x:v>
      </x:c>
      <x:c r="I236">
        <x:v>11</x:v>
      </x:c>
      <x:c r="J236">
        <x:v>10</x:v>
      </x:c>
      <x:c r="K236">
        <x:v>2</x:v>
      </x:c>
      <x:c r="L236">
        <x:f t="shared" si="21"/>
        <x:v>0</x:v>
      </x:c>
      <x:c r="P236">
        <x:f t="shared" si="22"/>
        <x:v>0</x:v>
      </x:c>
      <x:c r="Q236">
        <x:f t="shared" si="23"/>
        <x:v>0</x:v>
      </x:c>
      <x:c r="R236">
        <x:f t="shared" si="24"/>
        <x:v>0</x:v>
      </x:c>
      <x:c r="S236">
        <x:f t="shared" si="25"/>
        <x:v>0</x:v>
      </x:c>
      <x:c r="T236" t="str">
        <x:f t="shared" si="26"/>
        <x:v>DerivedFromCount</x:v>
      </x:c>
      <x:c r="U236" t="str">
        <x:f>IF(COUNTIF(DailyProduction!$Q$5:$Q$100,B236)=1,"OK","CHECK")</x:f>
        <x:v>OK</x:v>
      </x:c>
      <x:c r="V236" t="str">
        <x:f t="shared" si="27"/>
        <x:v>OK</x:v>
      </x:c>
      <x:c r="W236" t="str">
        <x:f>IF(SUMIF($B$5:$B$914,B236,$S$5:$S$914)=SUMIF(DailyProduction!$Q$5:$Q$100,B236,DailyProduction!$R$5:$R$100),"OK","CHECK")</x:f>
        <x:v>OK</x:v>
      </x:c>
      <x:c r="X236" t="str">
        <x:v>PLC-PRD-JAR-720-L22</x:v>
      </x:c>
      <x:c r="Y236" t="str">
        <x:v>OK</x:v>
      </x:c>
      <x:c r="Z236" t="str">
        <x:v>OK</x:v>
      </x:c>
      <x:c r="AA236" t="n">
        <x:v>3</x:v>
      </x:c>
      <x:c r="AB236" t="n">
        <x:v>0</x:v>
      </x:c>
      <x:c r="AC236" t="str">
        <x:v>OK</x:v>
      </x:c>
      <x:c r="AD236" t="str">
        <x:v>OK</x:v>
      </x:c>
      <x:c r="AE236" t="str">
        <x:v>LOAD</x:v>
      </x:c>
      <x:c r="AF236" t="str">
        <x:v>02_Supervisor_Log(4).xlsx</x:v>
      </x:c>
      <x:c r="AG236" t="str">
        <x:v>ENH-20260830-01</x:v>
      </x:c>
      <x:c r="AH236" t="str">
        <x:v>Active</x:v>
      </x:c>
      <x:c r="AI236"/>
      <x:c r="AJ236"/>
      <x:c r="AK236"/>
      <x:c r="AL236"/>
    </x:row>
    <x:row r="237">
      <x:c r="A237" t="s">
        <x:v>449</x:v>
      </x:c>
      <x:c r="B237" t="s">
        <x:v>438</x:v>
      </x:c>
      <x:c r="C237" t="s">
        <x:v>44</x:v>
      </x:c>
      <x:c r="D237">
        <x:v>45951</x:v>
      </x:c>
      <x:c r="E237" t="s">
        <x:v>187</x:v>
      </x:c>
      <x:c r="F237" t="s">
        <x:v>51</x:v>
      </x:c>
      <x:c r="G237">
        <x:v>22</x:v>
      </x:c>
      <x:c r="H237" t="s">
        <x:v>57</x:v>
      </x:c>
      <x:c r="I237">
        <x:v>12</x:v>
      </x:c>
      <x:c r="J237">
        <x:v>10</x:v>
      </x:c>
      <x:c r="K237">
        <x:v>2</x:v>
      </x:c>
      <x:c r="L237">
        <x:f t="shared" si="21"/>
        <x:v>0</x:v>
      </x:c>
      <x:c r="P237">
        <x:f t="shared" si="22"/>
        <x:v>0</x:v>
      </x:c>
      <x:c r="Q237">
        <x:f t="shared" si="23"/>
        <x:v>0</x:v>
      </x:c>
      <x:c r="R237">
        <x:f t="shared" si="24"/>
        <x:v>0</x:v>
      </x:c>
      <x:c r="S237">
        <x:f t="shared" si="25"/>
        <x:v>0</x:v>
      </x:c>
      <x:c r="T237" t="str">
        <x:f t="shared" si="26"/>
        <x:v>DerivedFromCount</x:v>
      </x:c>
      <x:c r="U237" t="str">
        <x:f>IF(COUNTIF(DailyProduction!$Q$5:$Q$100,B237)=1,"OK","CHECK")</x:f>
        <x:v>OK</x:v>
      </x:c>
      <x:c r="V237" t="str">
        <x:f t="shared" si="27"/>
        <x:v>OK</x:v>
      </x:c>
      <x:c r="W237" t="str">
        <x:f>IF(SUMIF($B$5:$B$914,B237,$S$5:$S$914)=SUMIF(DailyProduction!$Q$5:$Q$100,B237,DailyProduction!$R$5:$R$100),"OK","CHECK")</x:f>
        <x:v>OK</x:v>
      </x:c>
      <x:c r="X237" t="str">
        <x:v>PLC-PRD-JAR-720-L22</x:v>
      </x:c>
      <x:c r="Y237" t="str">
        <x:v>OK</x:v>
      </x:c>
      <x:c r="Z237" t="str">
        <x:v>OK</x:v>
      </x:c>
      <x:c r="AA237" t="n">
        <x:v>3</x:v>
      </x:c>
      <x:c r="AB237" t="n">
        <x:v>0</x:v>
      </x:c>
      <x:c r="AC237" t="str">
        <x:v>OK</x:v>
      </x:c>
      <x:c r="AD237" t="str">
        <x:v>OK</x:v>
      </x:c>
      <x:c r="AE237" t="str">
        <x:v>LOAD</x:v>
      </x:c>
      <x:c r="AF237" t="str">
        <x:v>02_Supervisor_Log(4).xlsx</x:v>
      </x:c>
      <x:c r="AG237" t="str">
        <x:v>ENH-20260830-01</x:v>
      </x:c>
      <x:c r="AH237" t="str">
        <x:v>Active</x:v>
      </x:c>
      <x:c r="AI237"/>
      <x:c r="AJ237"/>
      <x:c r="AK237"/>
      <x:c r="AL237"/>
    </x:row>
    <x:row r="238">
      <x:c r="A238" t="s">
        <x:v>450</x:v>
      </x:c>
      <x:c r="B238" t="s">
        <x:v>438</x:v>
      </x:c>
      <x:c r="C238" t="s">
        <x:v>44</x:v>
      </x:c>
      <x:c r="D238">
        <x:v>45951</x:v>
      </x:c>
      <x:c r="E238" t="s">
        <x:v>187</x:v>
      </x:c>
      <x:c r="F238" t="s">
        <x:v>51</x:v>
      </x:c>
      <x:c r="G238">
        <x:v>22</x:v>
      </x:c>
      <x:c r="H238" t="s">
        <x:v>57</x:v>
      </x:c>
      <x:c r="I238">
        <x:v>13</x:v>
      </x:c>
      <x:c r="J238">
        <x:v>10</x:v>
      </x:c>
      <x:c r="K238">
        <x:v>2</x:v>
      </x:c>
      <x:c r="L238">
        <x:f t="shared" si="21"/>
        <x:v>0</x:v>
      </x:c>
      <x:c r="P238">
        <x:f t="shared" si="22"/>
        <x:v>0</x:v>
      </x:c>
      <x:c r="Q238">
        <x:f t="shared" si="23"/>
        <x:v>0</x:v>
      </x:c>
      <x:c r="R238">
        <x:f t="shared" si="24"/>
        <x:v>0</x:v>
      </x:c>
      <x:c r="S238">
        <x:f t="shared" si="25"/>
        <x:v>0</x:v>
      </x:c>
      <x:c r="T238" t="str">
        <x:f t="shared" si="26"/>
        <x:v>DerivedFromCount</x:v>
      </x:c>
      <x:c r="U238" t="str">
        <x:f>IF(COUNTIF(DailyProduction!$Q$5:$Q$100,B238)=1,"OK","CHECK")</x:f>
        <x:v>OK</x:v>
      </x:c>
      <x:c r="V238" t="str">
        <x:f t="shared" si="27"/>
        <x:v>OK</x:v>
      </x:c>
      <x:c r="W238" t="str">
        <x:f>IF(SUMIF($B$5:$B$914,B238,$S$5:$S$914)=SUMIF(DailyProduction!$Q$5:$Q$100,B238,DailyProduction!$R$5:$R$100),"OK","CHECK")</x:f>
        <x:v>OK</x:v>
      </x:c>
      <x:c r="X238" t="str">
        <x:v>PLC-PRD-JAR-720-L22</x:v>
      </x:c>
      <x:c r="Y238" t="str">
        <x:v>OK</x:v>
      </x:c>
      <x:c r="Z238" t="str">
        <x:v>OK</x:v>
      </x:c>
      <x:c r="AA238" t="n">
        <x:v>3</x:v>
      </x:c>
      <x:c r="AB238" t="n">
        <x:v>0</x:v>
      </x:c>
      <x:c r="AC238" t="str">
        <x:v>OK</x:v>
      </x:c>
      <x:c r="AD238" t="str">
        <x:v>OK</x:v>
      </x:c>
      <x:c r="AE238" t="str">
        <x:v>LOAD</x:v>
      </x:c>
      <x:c r="AF238" t="str">
        <x:v>02_Supervisor_Log(4).xlsx</x:v>
      </x:c>
      <x:c r="AG238" t="str">
        <x:v>ENH-20260830-01</x:v>
      </x:c>
      <x:c r="AH238" t="str">
        <x:v>Active</x:v>
      </x:c>
      <x:c r="AI238"/>
      <x:c r="AJ238"/>
      <x:c r="AK238"/>
      <x:c r="AL238"/>
    </x:row>
    <x:row r="239">
      <x:c r="A239" t="s">
        <x:v>451</x:v>
      </x:c>
      <x:c r="B239" t="s">
        <x:v>452</x:v>
      </x:c>
      <x:c r="C239" t="s">
        <x:v>44</x:v>
      </x:c>
      <x:c r="D239">
        <x:v>45952</x:v>
      </x:c>
      <x:c r="E239" t="s">
        <x:v>45</x:v>
      </x:c>
      <x:c r="F239" t="s">
        <x:v>51</x:v>
      </x:c>
      <x:c r="G239">
        <x:v>22</x:v>
      </x:c>
      <x:c r="H239" t="s">
        <x:v>61</x:v>
      </x:c>
      <x:c r="I239">
        <x:v>1</x:v>
      </x:c>
      <x:c r="J239">
        <x:v>10</x:v>
      </x:c>
      <x:c r="K239">
        <x:v>2</x:v>
      </x:c>
      <x:c r="L239">
        <x:f t="shared" si="21"/>
        <x:v>1</x:v>
      </x:c>
      <x:c r="P239">
        <x:f t="shared" si="22"/>
        <x:v>1</x:v>
      </x:c>
      <x:c r="Q239">
        <x:f t="shared" si="23"/>
        <x:v>1</x:v>
      </x:c>
      <x:c r="R239">
        <x:f t="shared" si="24"/>
        <x:v>0</x:v>
      </x:c>
      <x:c r="S239">
        <x:f t="shared" si="25"/>
        <x:v>2</x:v>
      </x:c>
      <x:c r="T239" t="str">
        <x:f t="shared" si="26"/>
        <x:v>DerivedFromCount</x:v>
      </x:c>
      <x:c r="U239" t="str">
        <x:f>IF(COUNTIF(DailyProduction!$Q$5:$Q$100,B239)=1,"OK","CHECK")</x:f>
        <x:v>OK</x:v>
      </x:c>
      <x:c r="V239" t="str">
        <x:f t="shared" si="27"/>
        <x:v>OK</x:v>
      </x:c>
      <x:c r="W239" t="str">
        <x:f>IF(SUMIF($B$5:$B$914,B239,$S$5:$S$914)=SUMIF(DailyProduction!$Q$5:$Q$100,B239,DailyProduction!$R$5:$R$100),"OK","CHECK")</x:f>
        <x:v>OK</x:v>
      </x:c>
      <x:c r="X239" t="str">
        <x:v>PLC-PRD-JAR-720-L22</x:v>
      </x:c>
      <x:c r="Y239" t="str">
        <x:v>OK</x:v>
      </x:c>
      <x:c r="Z239" t="str">
        <x:v>OK</x:v>
      </x:c>
      <x:c r="AA239" t="n">
        <x:v>3</x:v>
      </x:c>
      <x:c r="AB239" t="n">
        <x:v>2</x:v>
      </x:c>
      <x:c r="AC239" t="str">
        <x:v>OK</x:v>
      </x:c>
      <x:c r="AD239" t="str">
        <x:v>OK</x:v>
      </x:c>
      <x:c r="AE239" t="str">
        <x:v>LOAD</x:v>
      </x:c>
      <x:c r="AF239" t="str">
        <x:v>02_Supervisor_Log(4).xlsx</x:v>
      </x:c>
      <x:c r="AG239" t="str">
        <x:v>ENH-20260830-01</x:v>
      </x:c>
      <x:c r="AH239" t="str">
        <x:v>Active</x:v>
      </x:c>
      <x:c r="AI239"/>
      <x:c r="AJ239"/>
      <x:c r="AK239"/>
      <x:c r="AL239"/>
    </x:row>
    <x:row r="240">
      <x:c r="A240" t="s">
        <x:v>453</x:v>
      </x:c>
      <x:c r="B240" t="s">
        <x:v>452</x:v>
      </x:c>
      <x:c r="C240" t="s">
        <x:v>44</x:v>
      </x:c>
      <x:c r="D240">
        <x:v>45952</x:v>
      </x:c>
      <x:c r="E240" t="s">
        <x:v>45</x:v>
      </x:c>
      <x:c r="F240" t="s">
        <x:v>51</x:v>
      </x:c>
      <x:c r="G240">
        <x:v>22</x:v>
      </x:c>
      <x:c r="H240" t="s">
        <x:v>61</x:v>
      </x:c>
      <x:c r="I240">
        <x:v>2</x:v>
      </x:c>
      <x:c r="J240">
        <x:v>10</x:v>
      </x:c>
      <x:c r="K240">
        <x:v>2</x:v>
      </x:c>
      <x:c r="L240">
        <x:f t="shared" si="21"/>
        <x:v>1</x:v>
      </x:c>
      <x:c r="P240">
        <x:f t="shared" si="22"/>
        <x:v>1</x:v>
      </x:c>
      <x:c r="Q240">
        <x:f t="shared" si="23"/>
        <x:v>1</x:v>
      </x:c>
      <x:c r="R240">
        <x:f t="shared" si="24"/>
        <x:v>0</x:v>
      </x:c>
      <x:c r="S240">
        <x:f t="shared" si="25"/>
        <x:v>2</x:v>
      </x:c>
      <x:c r="T240" t="str">
        <x:f t="shared" si="26"/>
        <x:v>DerivedFromCount</x:v>
      </x:c>
      <x:c r="U240" t="str">
        <x:f>IF(COUNTIF(DailyProduction!$Q$5:$Q$100,B240)=1,"OK","CHECK")</x:f>
        <x:v>OK</x:v>
      </x:c>
      <x:c r="V240" t="str">
        <x:f t="shared" si="27"/>
        <x:v>OK</x:v>
      </x:c>
      <x:c r="W240" t="str">
        <x:f>IF(SUMIF($B$5:$B$914,B240,$S$5:$S$914)=SUMIF(DailyProduction!$Q$5:$Q$100,B240,DailyProduction!$R$5:$R$100),"OK","CHECK")</x:f>
        <x:v>OK</x:v>
      </x:c>
      <x:c r="X240" t="str">
        <x:v>PLC-PRD-JAR-720-L22</x:v>
      </x:c>
      <x:c r="Y240" t="str">
        <x:v>OK</x:v>
      </x:c>
      <x:c r="Z240" t="str">
        <x:v>OK</x:v>
      </x:c>
      <x:c r="AA240" t="n">
        <x:v>3</x:v>
      </x:c>
      <x:c r="AB240" t="n">
        <x:v>2</x:v>
      </x:c>
      <x:c r="AC240" t="str">
        <x:v>OK</x:v>
      </x:c>
      <x:c r="AD240" t="str">
        <x:v>OK</x:v>
      </x:c>
      <x:c r="AE240" t="str">
        <x:v>LOAD</x:v>
      </x:c>
      <x:c r="AF240" t="str">
        <x:v>02_Supervisor_Log(4).xlsx</x:v>
      </x:c>
      <x:c r="AG240" t="str">
        <x:v>ENH-20260830-01</x:v>
      </x:c>
      <x:c r="AH240" t="str">
        <x:v>Active</x:v>
      </x:c>
      <x:c r="AI240"/>
      <x:c r="AJ240"/>
      <x:c r="AK240"/>
      <x:c r="AL240"/>
    </x:row>
    <x:row r="241">
      <x:c r="A241" t="s">
        <x:v>454</x:v>
      </x:c>
      <x:c r="B241" t="s">
        <x:v>452</x:v>
      </x:c>
      <x:c r="C241" t="s">
        <x:v>44</x:v>
      </x:c>
      <x:c r="D241">
        <x:v>45952</x:v>
      </x:c>
      <x:c r="E241" t="s">
        <x:v>45</x:v>
      </x:c>
      <x:c r="F241" t="s">
        <x:v>51</x:v>
      </x:c>
      <x:c r="G241">
        <x:v>22</x:v>
      </x:c>
      <x:c r="H241" t="s">
        <x:v>61</x:v>
      </x:c>
      <x:c r="I241">
        <x:v>3</x:v>
      </x:c>
      <x:c r="J241">
        <x:v>10</x:v>
      </x:c>
      <x:c r="K241">
        <x:v>2</x:v>
      </x:c>
      <x:c r="L241">
        <x:f t="shared" si="21"/>
        <x:v>1</x:v>
      </x:c>
      <x:c r="P241">
        <x:f t="shared" si="22"/>
        <x:v>1</x:v>
      </x:c>
      <x:c r="Q241">
        <x:f t="shared" si="23"/>
        <x:v>1</x:v>
      </x:c>
      <x:c r="R241">
        <x:f t="shared" si="24"/>
        <x:v>0</x:v>
      </x:c>
      <x:c r="S241">
        <x:f t="shared" si="25"/>
        <x:v>2</x:v>
      </x:c>
      <x:c r="T241" t="str">
        <x:f t="shared" si="26"/>
        <x:v>DerivedFromCount</x:v>
      </x:c>
      <x:c r="U241" t="str">
        <x:f>IF(COUNTIF(DailyProduction!$Q$5:$Q$100,B241)=1,"OK","CHECK")</x:f>
        <x:v>OK</x:v>
      </x:c>
      <x:c r="V241" t="str">
        <x:f t="shared" si="27"/>
        <x:v>OK</x:v>
      </x:c>
      <x:c r="W241" t="str">
        <x:f>IF(SUMIF($B$5:$B$914,B241,$S$5:$S$914)=SUMIF(DailyProduction!$Q$5:$Q$100,B241,DailyProduction!$R$5:$R$100),"OK","CHECK")</x:f>
        <x:v>OK</x:v>
      </x:c>
      <x:c r="X241" t="str">
        <x:v>PLC-PRD-JAR-720-L22</x:v>
      </x:c>
      <x:c r="Y241" t="str">
        <x:v>OK</x:v>
      </x:c>
      <x:c r="Z241" t="str">
        <x:v>OK</x:v>
      </x:c>
      <x:c r="AA241" t="n">
        <x:v>3</x:v>
      </x:c>
      <x:c r="AB241" t="n">
        <x:v>2</x:v>
      </x:c>
      <x:c r="AC241" t="str">
        <x:v>OK</x:v>
      </x:c>
      <x:c r="AD241" t="str">
        <x:v>OK</x:v>
      </x:c>
      <x:c r="AE241" t="str">
        <x:v>LOAD</x:v>
      </x:c>
      <x:c r="AF241" t="str">
        <x:v>02_Supervisor_Log(4).xlsx</x:v>
      </x:c>
      <x:c r="AG241" t="str">
        <x:v>ENH-20260830-01</x:v>
      </x:c>
      <x:c r="AH241" t="str">
        <x:v>Active</x:v>
      </x:c>
      <x:c r="AI241"/>
      <x:c r="AJ241"/>
      <x:c r="AK241"/>
      <x:c r="AL241"/>
    </x:row>
    <x:row r="242">
      <x:c r="A242" t="s">
        <x:v>455</x:v>
      </x:c>
      <x:c r="B242" t="s">
        <x:v>452</x:v>
      </x:c>
      <x:c r="C242" t="s">
        <x:v>44</x:v>
      </x:c>
      <x:c r="D242">
        <x:v>45952</x:v>
      </x:c>
      <x:c r="E242" t="s">
        <x:v>45</x:v>
      </x:c>
      <x:c r="F242" t="s">
        <x:v>51</x:v>
      </x:c>
      <x:c r="G242">
        <x:v>22</x:v>
      </x:c>
      <x:c r="H242" t="s">
        <x:v>61</x:v>
      </x:c>
      <x:c r="I242">
        <x:v>4</x:v>
      </x:c>
      <x:c r="J242">
        <x:v>10</x:v>
      </x:c>
      <x:c r="K242">
        <x:v>2</x:v>
      </x:c>
      <x:c r="L242">
        <x:f t="shared" si="21"/>
        <x:v>1</x:v>
      </x:c>
      <x:c r="P242">
        <x:f t="shared" si="22"/>
        <x:v>1</x:v>
      </x:c>
      <x:c r="Q242">
        <x:f t="shared" si="23"/>
        <x:v>1</x:v>
      </x:c>
      <x:c r="R242">
        <x:f t="shared" si="24"/>
        <x:v>0</x:v>
      </x:c>
      <x:c r="S242">
        <x:f t="shared" si="25"/>
        <x:v>2</x:v>
      </x:c>
      <x:c r="T242" t="str">
        <x:f t="shared" si="26"/>
        <x:v>DerivedFromCount</x:v>
      </x:c>
      <x:c r="U242" t="str">
        <x:f>IF(COUNTIF(DailyProduction!$Q$5:$Q$100,B242)=1,"OK","CHECK")</x:f>
        <x:v>OK</x:v>
      </x:c>
      <x:c r="V242" t="str">
        <x:f t="shared" si="27"/>
        <x:v>OK</x:v>
      </x:c>
      <x:c r="W242" t="str">
        <x:f>IF(SUMIF($B$5:$B$914,B242,$S$5:$S$914)=SUMIF(DailyProduction!$Q$5:$Q$100,B242,DailyProduction!$R$5:$R$100),"OK","CHECK")</x:f>
        <x:v>OK</x:v>
      </x:c>
      <x:c r="X242" t="str">
        <x:v>PLC-PRD-JAR-720-L22</x:v>
      </x:c>
      <x:c r="Y242" t="str">
        <x:v>OK</x:v>
      </x:c>
      <x:c r="Z242" t="str">
        <x:v>OK</x:v>
      </x:c>
      <x:c r="AA242" t="n">
        <x:v>3</x:v>
      </x:c>
      <x:c r="AB242" t="n">
        <x:v>2</x:v>
      </x:c>
      <x:c r="AC242" t="str">
        <x:v>OK</x:v>
      </x:c>
      <x:c r="AD242" t="str">
        <x:v>OK</x:v>
      </x:c>
      <x:c r="AE242" t="str">
        <x:v>LOAD</x:v>
      </x:c>
      <x:c r="AF242" t="str">
        <x:v>02_Supervisor_Log(4).xlsx</x:v>
      </x:c>
      <x:c r="AG242" t="str">
        <x:v>ENH-20260830-01</x:v>
      </x:c>
      <x:c r="AH242" t="str">
        <x:v>Active</x:v>
      </x:c>
      <x:c r="AI242"/>
      <x:c r="AJ242"/>
      <x:c r="AK242"/>
      <x:c r="AL242"/>
    </x:row>
    <x:row r="243">
      <x:c r="A243" t="s">
        <x:v>456</x:v>
      </x:c>
      <x:c r="B243" t="s">
        <x:v>452</x:v>
      </x:c>
      <x:c r="C243" t="s">
        <x:v>44</x:v>
      </x:c>
      <x:c r="D243">
        <x:v>45952</x:v>
      </x:c>
      <x:c r="E243" t="s">
        <x:v>45</x:v>
      </x:c>
      <x:c r="F243" t="s">
        <x:v>51</x:v>
      </x:c>
      <x:c r="G243">
        <x:v>22</x:v>
      </x:c>
      <x:c r="H243" t="s">
        <x:v>61</x:v>
      </x:c>
      <x:c r="I243">
        <x:v>5</x:v>
      </x:c>
      <x:c r="J243">
        <x:v>10</x:v>
      </x:c>
      <x:c r="K243">
        <x:v>2</x:v>
      </x:c>
      <x:c r="L243">
        <x:f t="shared" si="21"/>
        <x:v>1</x:v>
      </x:c>
      <x:c r="P243">
        <x:f t="shared" si="22"/>
        <x:v>1</x:v>
      </x:c>
      <x:c r="Q243">
        <x:f t="shared" si="23"/>
        <x:v>1</x:v>
      </x:c>
      <x:c r="R243">
        <x:f t="shared" si="24"/>
        <x:v>0</x:v>
      </x:c>
      <x:c r="S243">
        <x:f t="shared" si="25"/>
        <x:v>2</x:v>
      </x:c>
      <x:c r="T243" t="str">
        <x:f t="shared" si="26"/>
        <x:v>DerivedFromCount</x:v>
      </x:c>
      <x:c r="U243" t="str">
        <x:f>IF(COUNTIF(DailyProduction!$Q$5:$Q$100,B243)=1,"OK","CHECK")</x:f>
        <x:v>OK</x:v>
      </x:c>
      <x:c r="V243" t="str">
        <x:f t="shared" si="27"/>
        <x:v>OK</x:v>
      </x:c>
      <x:c r="W243" t="str">
        <x:f>IF(SUMIF($B$5:$B$914,B243,$S$5:$S$914)=SUMIF(DailyProduction!$Q$5:$Q$100,B243,DailyProduction!$R$5:$R$100),"OK","CHECK")</x:f>
        <x:v>OK</x:v>
      </x:c>
      <x:c r="X243" t="str">
        <x:v>PLC-PRD-JAR-720-L22</x:v>
      </x:c>
      <x:c r="Y243" t="str">
        <x:v>OK</x:v>
      </x:c>
      <x:c r="Z243" t="str">
        <x:v>OK</x:v>
      </x:c>
      <x:c r="AA243" t="n">
        <x:v>3</x:v>
      </x:c>
      <x:c r="AB243" t="n">
        <x:v>2</x:v>
      </x:c>
      <x:c r="AC243" t="str">
        <x:v>OK</x:v>
      </x:c>
      <x:c r="AD243" t="str">
        <x:v>OK</x:v>
      </x:c>
      <x:c r="AE243" t="str">
        <x:v>LOAD</x:v>
      </x:c>
      <x:c r="AF243" t="str">
        <x:v>02_Supervisor_Log(4).xlsx</x:v>
      </x:c>
      <x:c r="AG243" t="str">
        <x:v>ENH-20260830-01</x:v>
      </x:c>
      <x:c r="AH243" t="str">
        <x:v>Active</x:v>
      </x:c>
      <x:c r="AI243"/>
      <x:c r="AJ243"/>
      <x:c r="AK243"/>
      <x:c r="AL243"/>
    </x:row>
    <x:row r="244">
      <x:c r="A244" t="s">
        <x:v>457</x:v>
      </x:c>
      <x:c r="B244" t="s">
        <x:v>452</x:v>
      </x:c>
      <x:c r="C244" t="s">
        <x:v>44</x:v>
      </x:c>
      <x:c r="D244">
        <x:v>45952</x:v>
      </x:c>
      <x:c r="E244" t="s">
        <x:v>45</x:v>
      </x:c>
      <x:c r="F244" t="s">
        <x:v>51</x:v>
      </x:c>
      <x:c r="G244">
        <x:v>22</x:v>
      </x:c>
      <x:c r="H244" t="s">
        <x:v>61</x:v>
      </x:c>
      <x:c r="I244">
        <x:v>6</x:v>
      </x:c>
      <x:c r="J244">
        <x:v>10</x:v>
      </x:c>
      <x:c r="K244">
        <x:v>2</x:v>
      </x:c>
      <x:c r="L244">
        <x:f t="shared" si="21"/>
        <x:v>1</x:v>
      </x:c>
      <x:c r="P244">
        <x:f t="shared" si="22"/>
        <x:v>1</x:v>
      </x:c>
      <x:c r="Q244">
        <x:f t="shared" si="23"/>
        <x:v>1</x:v>
      </x:c>
      <x:c r="R244">
        <x:f t="shared" si="24"/>
        <x:v>0</x:v>
      </x:c>
      <x:c r="S244">
        <x:f t="shared" si="25"/>
        <x:v>2</x:v>
      </x:c>
      <x:c r="T244" t="str">
        <x:f t="shared" si="26"/>
        <x:v>DerivedFromCount</x:v>
      </x:c>
      <x:c r="U244" t="str">
        <x:f>IF(COUNTIF(DailyProduction!$Q$5:$Q$100,B244)=1,"OK","CHECK")</x:f>
        <x:v>OK</x:v>
      </x:c>
      <x:c r="V244" t="str">
        <x:f t="shared" si="27"/>
        <x:v>OK</x:v>
      </x:c>
      <x:c r="W244" t="str">
        <x:f>IF(SUMIF($B$5:$B$914,B244,$S$5:$S$914)=SUMIF(DailyProduction!$Q$5:$Q$100,B244,DailyProduction!$R$5:$R$100),"OK","CHECK")</x:f>
        <x:v>OK</x:v>
      </x:c>
      <x:c r="X244" t="str">
        <x:v>PLC-PRD-JAR-720-L22</x:v>
      </x:c>
      <x:c r="Y244" t="str">
        <x:v>OK</x:v>
      </x:c>
      <x:c r="Z244" t="str">
        <x:v>OK</x:v>
      </x:c>
      <x:c r="AA244" t="n">
        <x:v>3</x:v>
      </x:c>
      <x:c r="AB244" t="n">
        <x:v>2</x:v>
      </x:c>
      <x:c r="AC244" t="str">
        <x:v>OK</x:v>
      </x:c>
      <x:c r="AD244" t="str">
        <x:v>OK</x:v>
      </x:c>
      <x:c r="AE244" t="str">
        <x:v>LOAD</x:v>
      </x:c>
      <x:c r="AF244" t="str">
        <x:v>02_Supervisor_Log(4).xlsx</x:v>
      </x:c>
      <x:c r="AG244" t="str">
        <x:v>ENH-20260830-01</x:v>
      </x:c>
      <x:c r="AH244" t="str">
        <x:v>Active</x:v>
      </x:c>
      <x:c r="AI244"/>
      <x:c r="AJ244"/>
      <x:c r="AK244"/>
      <x:c r="AL244"/>
    </x:row>
    <x:row r="245">
      <x:c r="A245" t="s">
        <x:v>458</x:v>
      </x:c>
      <x:c r="B245" t="s">
        <x:v>452</x:v>
      </x:c>
      <x:c r="C245" t="s">
        <x:v>44</x:v>
      </x:c>
      <x:c r="D245">
        <x:v>45952</x:v>
      </x:c>
      <x:c r="E245" t="s">
        <x:v>45</x:v>
      </x:c>
      <x:c r="F245" t="s">
        <x:v>51</x:v>
      </x:c>
      <x:c r="G245">
        <x:v>22</x:v>
      </x:c>
      <x:c r="H245" t="s">
        <x:v>61</x:v>
      </x:c>
      <x:c r="I245">
        <x:v>7</x:v>
      </x:c>
      <x:c r="J245">
        <x:v>10</x:v>
      </x:c>
      <x:c r="K245">
        <x:v>2</x:v>
      </x:c>
      <x:c r="L245">
        <x:f t="shared" si="21"/>
        <x:v>1</x:v>
      </x:c>
      <x:c r="P245">
        <x:f t="shared" si="22"/>
        <x:v>1</x:v>
      </x:c>
      <x:c r="Q245">
        <x:f t="shared" si="23"/>
        <x:v>1</x:v>
      </x:c>
      <x:c r="R245">
        <x:f t="shared" si="24"/>
        <x:v>0</x:v>
      </x:c>
      <x:c r="S245">
        <x:f t="shared" si="25"/>
        <x:v>2</x:v>
      </x:c>
      <x:c r="T245" t="str">
        <x:f t="shared" si="26"/>
        <x:v>DerivedFromCount</x:v>
      </x:c>
      <x:c r="U245" t="str">
        <x:f>IF(COUNTIF(DailyProduction!$Q$5:$Q$100,B245)=1,"OK","CHECK")</x:f>
        <x:v>OK</x:v>
      </x:c>
      <x:c r="V245" t="str">
        <x:f t="shared" si="27"/>
        <x:v>OK</x:v>
      </x:c>
      <x:c r="W245" t="str">
        <x:f>IF(SUMIF($B$5:$B$914,B245,$S$5:$S$914)=SUMIF(DailyProduction!$Q$5:$Q$100,B245,DailyProduction!$R$5:$R$100),"OK","CHECK")</x:f>
        <x:v>OK</x:v>
      </x:c>
      <x:c r="X245" t="str">
        <x:v>PLC-PRD-JAR-720-L22</x:v>
      </x:c>
      <x:c r="Y245" t="str">
        <x:v>OK</x:v>
      </x:c>
      <x:c r="Z245" t="str">
        <x:v>OK</x:v>
      </x:c>
      <x:c r="AA245" t="n">
        <x:v>3</x:v>
      </x:c>
      <x:c r="AB245" t="n">
        <x:v>2</x:v>
      </x:c>
      <x:c r="AC245" t="str">
        <x:v>OK</x:v>
      </x:c>
      <x:c r="AD245" t="str">
        <x:v>OK</x:v>
      </x:c>
      <x:c r="AE245" t="str">
        <x:v>LOAD</x:v>
      </x:c>
      <x:c r="AF245" t="str">
        <x:v>02_Supervisor_Log(4).xlsx</x:v>
      </x:c>
      <x:c r="AG245" t="str">
        <x:v>ENH-20260830-01</x:v>
      </x:c>
      <x:c r="AH245" t="str">
        <x:v>Active</x:v>
      </x:c>
      <x:c r="AI245"/>
      <x:c r="AJ245"/>
      <x:c r="AK245"/>
      <x:c r="AL245"/>
    </x:row>
    <x:row r="246">
      <x:c r="A246" t="s">
        <x:v>459</x:v>
      </x:c>
      <x:c r="B246" t="s">
        <x:v>452</x:v>
      </x:c>
      <x:c r="C246" t="s">
        <x:v>44</x:v>
      </x:c>
      <x:c r="D246">
        <x:v>45952</x:v>
      </x:c>
      <x:c r="E246" t="s">
        <x:v>45</x:v>
      </x:c>
      <x:c r="F246" t="s">
        <x:v>51</x:v>
      </x:c>
      <x:c r="G246">
        <x:v>22</x:v>
      </x:c>
      <x:c r="H246" t="s">
        <x:v>61</x:v>
      </x:c>
      <x:c r="I246">
        <x:v>8</x:v>
      </x:c>
      <x:c r="J246">
        <x:v>10</x:v>
      </x:c>
      <x:c r="K246">
        <x:v>2</x:v>
      </x:c>
      <x:c r="L246">
        <x:f t="shared" si="21"/>
        <x:v>1</x:v>
      </x:c>
      <x:c r="P246">
        <x:f t="shared" si="22"/>
        <x:v>1</x:v>
      </x:c>
      <x:c r="Q246">
        <x:f t="shared" si="23"/>
        <x:v>1</x:v>
      </x:c>
      <x:c r="R246">
        <x:f t="shared" si="24"/>
        <x:v>0</x:v>
      </x:c>
      <x:c r="S246">
        <x:f t="shared" si="25"/>
        <x:v>2</x:v>
      </x:c>
      <x:c r="T246" t="str">
        <x:f t="shared" si="26"/>
        <x:v>DerivedFromCount</x:v>
      </x:c>
      <x:c r="U246" t="str">
        <x:f>IF(COUNTIF(DailyProduction!$Q$5:$Q$100,B246)=1,"OK","CHECK")</x:f>
        <x:v>OK</x:v>
      </x:c>
      <x:c r="V246" t="str">
        <x:f t="shared" si="27"/>
        <x:v>OK</x:v>
      </x:c>
      <x:c r="W246" t="str">
        <x:f>IF(SUMIF($B$5:$B$914,B246,$S$5:$S$914)=SUMIF(DailyProduction!$Q$5:$Q$100,B246,DailyProduction!$R$5:$R$100),"OK","CHECK")</x:f>
        <x:v>OK</x:v>
      </x:c>
      <x:c r="X246" t="str">
        <x:v>PLC-PRD-JAR-720-L22</x:v>
      </x:c>
      <x:c r="Y246" t="str">
        <x:v>OK</x:v>
      </x:c>
      <x:c r="Z246" t="str">
        <x:v>OK</x:v>
      </x:c>
      <x:c r="AA246" t="n">
        <x:v>3</x:v>
      </x:c>
      <x:c r="AB246" t="n">
        <x:v>2</x:v>
      </x:c>
      <x:c r="AC246" t="str">
        <x:v>OK</x:v>
      </x:c>
      <x:c r="AD246" t="str">
        <x:v>OK</x:v>
      </x:c>
      <x:c r="AE246" t="str">
        <x:v>LOAD</x:v>
      </x:c>
      <x:c r="AF246" t="str">
        <x:v>02_Supervisor_Log(4).xlsx</x:v>
      </x:c>
      <x:c r="AG246" t="str">
        <x:v>ENH-20260830-01</x:v>
      </x:c>
      <x:c r="AH246" t="str">
        <x:v>Active</x:v>
      </x:c>
      <x:c r="AI246"/>
      <x:c r="AJ246"/>
      <x:c r="AK246"/>
      <x:c r="AL246"/>
    </x:row>
    <x:row r="247">
      <x:c r="A247" t="s">
        <x:v>460</x:v>
      </x:c>
      <x:c r="B247" t="s">
        <x:v>452</x:v>
      </x:c>
      <x:c r="C247" t="s">
        <x:v>44</x:v>
      </x:c>
      <x:c r="D247">
        <x:v>45952</x:v>
      </x:c>
      <x:c r="E247" t="s">
        <x:v>45</x:v>
      </x:c>
      <x:c r="F247" t="s">
        <x:v>51</x:v>
      </x:c>
      <x:c r="G247">
        <x:v>22</x:v>
      </x:c>
      <x:c r="H247" t="s">
        <x:v>61</x:v>
      </x:c>
      <x:c r="I247">
        <x:v>9</x:v>
      </x:c>
      <x:c r="J247">
        <x:v>10</x:v>
      </x:c>
      <x:c r="K247">
        <x:v>2</x:v>
      </x:c>
      <x:c r="L247">
        <x:f t="shared" si="21"/>
        <x:v>1</x:v>
      </x:c>
      <x:c r="P247">
        <x:f t="shared" si="22"/>
        <x:v>1</x:v>
      </x:c>
      <x:c r="Q247">
        <x:f t="shared" si="23"/>
        <x:v>1</x:v>
      </x:c>
      <x:c r="R247">
        <x:f t="shared" si="24"/>
        <x:v>0</x:v>
      </x:c>
      <x:c r="S247">
        <x:f t="shared" si="25"/>
        <x:v>2</x:v>
      </x:c>
      <x:c r="T247" t="str">
        <x:f t="shared" si="26"/>
        <x:v>DerivedFromCount</x:v>
      </x:c>
      <x:c r="U247" t="str">
        <x:f>IF(COUNTIF(DailyProduction!$Q$5:$Q$100,B247)=1,"OK","CHECK")</x:f>
        <x:v>OK</x:v>
      </x:c>
      <x:c r="V247" t="str">
        <x:f t="shared" si="27"/>
        <x:v>OK</x:v>
      </x:c>
      <x:c r="W247" t="str">
        <x:f>IF(SUMIF($B$5:$B$914,B247,$S$5:$S$914)=SUMIF(DailyProduction!$Q$5:$Q$100,B247,DailyProduction!$R$5:$R$100),"OK","CHECK")</x:f>
        <x:v>OK</x:v>
      </x:c>
      <x:c r="X247" t="str">
        <x:v>PLC-PRD-JAR-720-L22</x:v>
      </x:c>
      <x:c r="Y247" t="str">
        <x:v>OK</x:v>
      </x:c>
      <x:c r="Z247" t="str">
        <x:v>OK</x:v>
      </x:c>
      <x:c r="AA247" t="n">
        <x:v>3</x:v>
      </x:c>
      <x:c r="AB247" t="n">
        <x:v>2</x:v>
      </x:c>
      <x:c r="AC247" t="str">
        <x:v>OK</x:v>
      </x:c>
      <x:c r="AD247" t="str">
        <x:v>OK</x:v>
      </x:c>
      <x:c r="AE247" t="str">
        <x:v>LOAD</x:v>
      </x:c>
      <x:c r="AF247" t="str">
        <x:v>02_Supervisor_Log(4).xlsx</x:v>
      </x:c>
      <x:c r="AG247" t="str">
        <x:v>ENH-20260830-01</x:v>
      </x:c>
      <x:c r="AH247" t="str">
        <x:v>Active</x:v>
      </x:c>
      <x:c r="AI247"/>
      <x:c r="AJ247"/>
      <x:c r="AK247"/>
      <x:c r="AL247"/>
    </x:row>
    <x:row r="248">
      <x:c r="A248" t="s">
        <x:v>461</x:v>
      </x:c>
      <x:c r="B248" t="s">
        <x:v>452</x:v>
      </x:c>
      <x:c r="C248" t="s">
        <x:v>44</x:v>
      </x:c>
      <x:c r="D248">
        <x:v>45952</x:v>
      </x:c>
      <x:c r="E248" t="s">
        <x:v>45</x:v>
      </x:c>
      <x:c r="F248" t="s">
        <x:v>51</x:v>
      </x:c>
      <x:c r="G248">
        <x:v>22</x:v>
      </x:c>
      <x:c r="H248" t="s">
        <x:v>61</x:v>
      </x:c>
      <x:c r="I248">
        <x:v>10</x:v>
      </x:c>
      <x:c r="J248">
        <x:v>10</x:v>
      </x:c>
      <x:c r="K248">
        <x:v>2</x:v>
      </x:c>
      <x:c r="L248">
        <x:f t="shared" si="21"/>
        <x:v>1</x:v>
      </x:c>
      <x:c r="P248">
        <x:f t="shared" si="22"/>
        <x:v>1</x:v>
      </x:c>
      <x:c r="Q248">
        <x:f t="shared" si="23"/>
        <x:v>1</x:v>
      </x:c>
      <x:c r="R248">
        <x:f t="shared" si="24"/>
        <x:v>0</x:v>
      </x:c>
      <x:c r="S248">
        <x:f t="shared" si="25"/>
        <x:v>2</x:v>
      </x:c>
      <x:c r="T248" t="str">
        <x:f t="shared" si="26"/>
        <x:v>DerivedFromCount</x:v>
      </x:c>
      <x:c r="U248" t="str">
        <x:f>IF(COUNTIF(DailyProduction!$Q$5:$Q$100,B248)=1,"OK","CHECK")</x:f>
        <x:v>OK</x:v>
      </x:c>
      <x:c r="V248" t="str">
        <x:f t="shared" si="27"/>
        <x:v>OK</x:v>
      </x:c>
      <x:c r="W248" t="str">
        <x:f>IF(SUMIF($B$5:$B$914,B248,$S$5:$S$914)=SUMIF(DailyProduction!$Q$5:$Q$100,B248,DailyProduction!$R$5:$R$100),"OK","CHECK")</x:f>
        <x:v>OK</x:v>
      </x:c>
      <x:c r="X248" t="str">
        <x:v>PLC-PRD-JAR-720-L22</x:v>
      </x:c>
      <x:c r="Y248" t="str">
        <x:v>OK</x:v>
      </x:c>
      <x:c r="Z248" t="str">
        <x:v>OK</x:v>
      </x:c>
      <x:c r="AA248" t="n">
        <x:v>3</x:v>
      </x:c>
      <x:c r="AB248" t="n">
        <x:v>2</x:v>
      </x:c>
      <x:c r="AC248" t="str">
        <x:v>OK</x:v>
      </x:c>
      <x:c r="AD248" t="str">
        <x:v>OK</x:v>
      </x:c>
      <x:c r="AE248" t="str">
        <x:v>LOAD</x:v>
      </x:c>
      <x:c r="AF248" t="str">
        <x:v>02_Supervisor_Log(4).xlsx</x:v>
      </x:c>
      <x:c r="AG248" t="str">
        <x:v>ENH-20260830-01</x:v>
      </x:c>
      <x:c r="AH248" t="str">
        <x:v>Active</x:v>
      </x:c>
      <x:c r="AI248"/>
      <x:c r="AJ248"/>
      <x:c r="AK248"/>
      <x:c r="AL248"/>
    </x:row>
    <x:row r="249">
      <x:c r="A249" t="s">
        <x:v>462</x:v>
      </x:c>
      <x:c r="B249" t="s">
        <x:v>452</x:v>
      </x:c>
      <x:c r="C249" t="s">
        <x:v>44</x:v>
      </x:c>
      <x:c r="D249">
        <x:v>45952</x:v>
      </x:c>
      <x:c r="E249" t="s">
        <x:v>45</x:v>
      </x:c>
      <x:c r="F249" t="s">
        <x:v>51</x:v>
      </x:c>
      <x:c r="G249">
        <x:v>22</x:v>
      </x:c>
      <x:c r="H249" t="s">
        <x:v>61</x:v>
      </x:c>
      <x:c r="I249">
        <x:v>11</x:v>
      </x:c>
      <x:c r="J249">
        <x:v>10</x:v>
      </x:c>
      <x:c r="K249">
        <x:v>2</x:v>
      </x:c>
      <x:c r="L249">
        <x:f t="shared" si="21"/>
        <x:v>0</x:v>
      </x:c>
      <x:c r="P249">
        <x:f t="shared" si="22"/>
        <x:v>0</x:v>
      </x:c>
      <x:c r="Q249">
        <x:f t="shared" si="23"/>
        <x:v>0</x:v>
      </x:c>
      <x:c r="R249">
        <x:f t="shared" si="24"/>
        <x:v>0</x:v>
      </x:c>
      <x:c r="S249">
        <x:f t="shared" si="25"/>
        <x:v>0</x:v>
      </x:c>
      <x:c r="T249" t="str">
        <x:f t="shared" si="26"/>
        <x:v>DerivedFromCount</x:v>
      </x:c>
      <x:c r="U249" t="str">
        <x:f>IF(COUNTIF(DailyProduction!$Q$5:$Q$100,B249)=1,"OK","CHECK")</x:f>
        <x:v>OK</x:v>
      </x:c>
      <x:c r="V249" t="str">
        <x:f t="shared" si="27"/>
        <x:v>OK</x:v>
      </x:c>
      <x:c r="W249" t="str">
        <x:f>IF(SUMIF($B$5:$B$914,B249,$S$5:$S$914)=SUMIF(DailyProduction!$Q$5:$Q$100,B249,DailyProduction!$R$5:$R$100),"OK","CHECK")</x:f>
        <x:v>OK</x:v>
      </x:c>
      <x:c r="X249" t="str">
        <x:v>PLC-PRD-JAR-720-L22</x:v>
      </x:c>
      <x:c r="Y249" t="str">
        <x:v>OK</x:v>
      </x:c>
      <x:c r="Z249" t="str">
        <x:v>OK</x:v>
      </x:c>
      <x:c r="AA249" t="n">
        <x:v>3</x:v>
      </x:c>
      <x:c r="AB249" t="n">
        <x:v>0</x:v>
      </x:c>
      <x:c r="AC249" t="str">
        <x:v>OK</x:v>
      </x:c>
      <x:c r="AD249" t="str">
        <x:v>OK</x:v>
      </x:c>
      <x:c r="AE249" t="str">
        <x:v>LOAD</x:v>
      </x:c>
      <x:c r="AF249" t="str">
        <x:v>02_Supervisor_Log(4).xlsx</x:v>
      </x:c>
      <x:c r="AG249" t="str">
        <x:v>ENH-20260830-01</x:v>
      </x:c>
      <x:c r="AH249" t="str">
        <x:v>Active</x:v>
      </x:c>
      <x:c r="AI249"/>
      <x:c r="AJ249"/>
      <x:c r="AK249"/>
      <x:c r="AL249"/>
    </x:row>
    <x:row r="250">
      <x:c r="A250" t="s">
        <x:v>463</x:v>
      </x:c>
      <x:c r="B250" t="s">
        <x:v>452</x:v>
      </x:c>
      <x:c r="C250" t="s">
        <x:v>44</x:v>
      </x:c>
      <x:c r="D250">
        <x:v>45952</x:v>
      </x:c>
      <x:c r="E250" t="s">
        <x:v>45</x:v>
      </x:c>
      <x:c r="F250" t="s">
        <x:v>51</x:v>
      </x:c>
      <x:c r="G250">
        <x:v>22</x:v>
      </x:c>
      <x:c r="H250" t="s">
        <x:v>61</x:v>
      </x:c>
      <x:c r="I250">
        <x:v>12</x:v>
      </x:c>
      <x:c r="J250">
        <x:v>10</x:v>
      </x:c>
      <x:c r="K250">
        <x:v>2</x:v>
      </x:c>
      <x:c r="L250">
        <x:f t="shared" si="21"/>
        <x:v>0</x:v>
      </x:c>
      <x:c r="P250">
        <x:f t="shared" si="22"/>
        <x:v>0</x:v>
      </x:c>
      <x:c r="Q250">
        <x:f t="shared" si="23"/>
        <x:v>0</x:v>
      </x:c>
      <x:c r="R250">
        <x:f t="shared" si="24"/>
        <x:v>0</x:v>
      </x:c>
      <x:c r="S250">
        <x:f t="shared" si="25"/>
        <x:v>0</x:v>
      </x:c>
      <x:c r="T250" t="str">
        <x:f t="shared" si="26"/>
        <x:v>DerivedFromCount</x:v>
      </x:c>
      <x:c r="U250" t="str">
        <x:f>IF(COUNTIF(DailyProduction!$Q$5:$Q$100,B250)=1,"OK","CHECK")</x:f>
        <x:v>OK</x:v>
      </x:c>
      <x:c r="V250" t="str">
        <x:f t="shared" si="27"/>
        <x:v>OK</x:v>
      </x:c>
      <x:c r="W250" t="str">
        <x:f>IF(SUMIF($B$5:$B$914,B250,$S$5:$S$914)=SUMIF(DailyProduction!$Q$5:$Q$100,B250,DailyProduction!$R$5:$R$100),"OK","CHECK")</x:f>
        <x:v>OK</x:v>
      </x:c>
      <x:c r="X250" t="str">
        <x:v>PLC-PRD-JAR-720-L22</x:v>
      </x:c>
      <x:c r="Y250" t="str">
        <x:v>OK</x:v>
      </x:c>
      <x:c r="Z250" t="str">
        <x:v>OK</x:v>
      </x:c>
      <x:c r="AA250" t="n">
        <x:v>3</x:v>
      </x:c>
      <x:c r="AB250" t="n">
        <x:v>0</x:v>
      </x:c>
      <x:c r="AC250" t="str">
        <x:v>OK</x:v>
      </x:c>
      <x:c r="AD250" t="str">
        <x:v>OK</x:v>
      </x:c>
      <x:c r="AE250" t="str">
        <x:v>LOAD</x:v>
      </x:c>
      <x:c r="AF250" t="str">
        <x:v>02_Supervisor_Log(4).xlsx</x:v>
      </x:c>
      <x:c r="AG250" t="str">
        <x:v>ENH-20260830-01</x:v>
      </x:c>
      <x:c r="AH250" t="str">
        <x:v>Active</x:v>
      </x:c>
      <x:c r="AI250"/>
      <x:c r="AJ250"/>
      <x:c r="AK250"/>
      <x:c r="AL250"/>
    </x:row>
    <x:row r="251">
      <x:c r="A251" t="s">
        <x:v>464</x:v>
      </x:c>
      <x:c r="B251" t="s">
        <x:v>452</x:v>
      </x:c>
      <x:c r="C251" t="s">
        <x:v>44</x:v>
      </x:c>
      <x:c r="D251">
        <x:v>45952</x:v>
      </x:c>
      <x:c r="E251" t="s">
        <x:v>45</x:v>
      </x:c>
      <x:c r="F251" t="s">
        <x:v>51</x:v>
      </x:c>
      <x:c r="G251">
        <x:v>22</x:v>
      </x:c>
      <x:c r="H251" t="s">
        <x:v>61</x:v>
      </x:c>
      <x:c r="I251">
        <x:v>13</x:v>
      </x:c>
      <x:c r="J251">
        <x:v>10</x:v>
      </x:c>
      <x:c r="K251">
        <x:v>2</x:v>
      </x:c>
      <x:c r="L251">
        <x:f t="shared" si="21"/>
        <x:v>0</x:v>
      </x:c>
      <x:c r="P251">
        <x:f t="shared" si="22"/>
        <x:v>0</x:v>
      </x:c>
      <x:c r="Q251">
        <x:f t="shared" si="23"/>
        <x:v>0</x:v>
      </x:c>
      <x:c r="R251">
        <x:f t="shared" si="24"/>
        <x:v>0</x:v>
      </x:c>
      <x:c r="S251">
        <x:f t="shared" si="25"/>
        <x:v>0</x:v>
      </x:c>
      <x:c r="T251" t="str">
        <x:f t="shared" si="26"/>
        <x:v>DerivedFromCount</x:v>
      </x:c>
      <x:c r="U251" t="str">
        <x:f>IF(COUNTIF(DailyProduction!$Q$5:$Q$100,B251)=1,"OK","CHECK")</x:f>
        <x:v>OK</x:v>
      </x:c>
      <x:c r="V251" t="str">
        <x:f t="shared" si="27"/>
        <x:v>OK</x:v>
      </x:c>
      <x:c r="W251" t="str">
        <x:f>IF(SUMIF($B$5:$B$914,B251,$S$5:$S$914)=SUMIF(DailyProduction!$Q$5:$Q$100,B251,DailyProduction!$R$5:$R$100),"OK","CHECK")</x:f>
        <x:v>OK</x:v>
      </x:c>
      <x:c r="X251" t="str">
        <x:v>PLC-PRD-JAR-720-L22</x:v>
      </x:c>
      <x:c r="Y251" t="str">
        <x:v>OK</x:v>
      </x:c>
      <x:c r="Z251" t="str">
        <x:v>OK</x:v>
      </x:c>
      <x:c r="AA251" t="n">
        <x:v>3</x:v>
      </x:c>
      <x:c r="AB251" t="n">
        <x:v>0</x:v>
      </x:c>
      <x:c r="AC251" t="str">
        <x:v>OK</x:v>
      </x:c>
      <x:c r="AD251" t="str">
        <x:v>OK</x:v>
      </x:c>
      <x:c r="AE251" t="str">
        <x:v>LOAD</x:v>
      </x:c>
      <x:c r="AF251" t="str">
        <x:v>02_Supervisor_Log(4).xlsx</x:v>
      </x:c>
      <x:c r="AG251" t="str">
        <x:v>ENH-20260830-01</x:v>
      </x:c>
      <x:c r="AH251" t="str">
        <x:v>Active</x:v>
      </x:c>
      <x:c r="AI251"/>
      <x:c r="AJ251"/>
      <x:c r="AK251"/>
      <x:c r="AL251"/>
    </x:row>
    <x:row r="252">
      <x:c r="A252" t="s">
        <x:v>465</x:v>
      </x:c>
      <x:c r="B252" t="s">
        <x:v>466</x:v>
      </x:c>
      <x:c r="C252" t="s">
        <x:v>44</x:v>
      </x:c>
      <x:c r="D252">
        <x:v>45952</x:v>
      </x:c>
      <x:c r="E252" t="s">
        <x:v>187</x:v>
      </x:c>
      <x:c r="F252" t="s">
        <x:v>55</x:v>
      </x:c>
      <x:c r="G252">
        <x:v>22</x:v>
      </x:c>
      <x:c r="H252" t="s">
        <x:v>61</x:v>
      </x:c>
      <x:c r="I252">
        <x:v>1</x:v>
      </x:c>
      <x:c r="J252">
        <x:v>10</x:v>
      </x:c>
      <x:c r="K252">
        <x:v>2</x:v>
      </x:c>
      <x:c r="L252">
        <x:f t="shared" si="21"/>
        <x:v>1</x:v>
      </x:c>
      <x:c r="P252">
        <x:f t="shared" si="22"/>
        <x:v>1</x:v>
      </x:c>
      <x:c r="Q252">
        <x:f t="shared" si="23"/>
        <x:v>1</x:v>
      </x:c>
      <x:c r="R252">
        <x:f t="shared" si="24"/>
        <x:v>0</x:v>
      </x:c>
      <x:c r="S252">
        <x:f t="shared" si="25"/>
        <x:v>2</x:v>
      </x:c>
      <x:c r="T252" t="str">
        <x:f t="shared" si="26"/>
        <x:v>DerivedFromCount</x:v>
      </x:c>
      <x:c r="U252" t="str">
        <x:f>IF(COUNTIF(DailyProduction!$Q$5:$Q$100,B252)=1,"OK","CHECK")</x:f>
        <x:v>OK</x:v>
      </x:c>
      <x:c r="V252" t="str">
        <x:f t="shared" si="27"/>
        <x:v>OK</x:v>
      </x:c>
      <x:c r="W252" t="str">
        <x:f>IF(SUMIF($B$5:$B$914,B252,$S$5:$S$914)=SUMIF(DailyProduction!$Q$5:$Q$100,B252,DailyProduction!$R$5:$R$100),"OK","CHECK")</x:f>
        <x:v>OK</x:v>
      </x:c>
      <x:c r="X252" t="str">
        <x:v>PLC-PRD-JAR-720-L22</x:v>
      </x:c>
      <x:c r="Y252" t="str">
        <x:v>OK</x:v>
      </x:c>
      <x:c r="Z252" t="str">
        <x:v>OK</x:v>
      </x:c>
      <x:c r="AA252" t="n">
        <x:v>3</x:v>
      </x:c>
      <x:c r="AB252" t="n">
        <x:v>2</x:v>
      </x:c>
      <x:c r="AC252" t="str">
        <x:v>OK</x:v>
      </x:c>
      <x:c r="AD252" t="str">
        <x:v>OK</x:v>
      </x:c>
      <x:c r="AE252" t="str">
        <x:v>LOAD</x:v>
      </x:c>
      <x:c r="AF252" t="str">
        <x:v>02_Supervisor_Log(4).xlsx</x:v>
      </x:c>
      <x:c r="AG252" t="str">
        <x:v>ENH-20260830-01</x:v>
      </x:c>
      <x:c r="AH252" t="str">
        <x:v>Active</x:v>
      </x:c>
      <x:c r="AI252"/>
      <x:c r="AJ252"/>
      <x:c r="AK252"/>
      <x:c r="AL252"/>
    </x:row>
    <x:row r="253">
      <x:c r="A253" t="s">
        <x:v>467</x:v>
      </x:c>
      <x:c r="B253" t="s">
        <x:v>466</x:v>
      </x:c>
      <x:c r="C253" t="s">
        <x:v>44</x:v>
      </x:c>
      <x:c r="D253">
        <x:v>45952</x:v>
      </x:c>
      <x:c r="E253" t="s">
        <x:v>187</x:v>
      </x:c>
      <x:c r="F253" t="s">
        <x:v>55</x:v>
      </x:c>
      <x:c r="G253">
        <x:v>22</x:v>
      </x:c>
      <x:c r="H253" t="s">
        <x:v>61</x:v>
      </x:c>
      <x:c r="I253">
        <x:v>2</x:v>
      </x:c>
      <x:c r="J253">
        <x:v>10</x:v>
      </x:c>
      <x:c r="K253">
        <x:v>2</x:v>
      </x:c>
      <x:c r="L253">
        <x:f t="shared" si="21"/>
        <x:v>1</x:v>
      </x:c>
      <x:c r="P253">
        <x:f t="shared" si="22"/>
        <x:v>1</x:v>
      </x:c>
      <x:c r="Q253">
        <x:f t="shared" si="23"/>
        <x:v>1</x:v>
      </x:c>
      <x:c r="R253">
        <x:f t="shared" si="24"/>
        <x:v>0</x:v>
      </x:c>
      <x:c r="S253">
        <x:f t="shared" si="25"/>
        <x:v>2</x:v>
      </x:c>
      <x:c r="T253" t="str">
        <x:f t="shared" si="26"/>
        <x:v>DerivedFromCount</x:v>
      </x:c>
      <x:c r="U253" t="str">
        <x:f>IF(COUNTIF(DailyProduction!$Q$5:$Q$100,B253)=1,"OK","CHECK")</x:f>
        <x:v>OK</x:v>
      </x:c>
      <x:c r="V253" t="str">
        <x:f t="shared" si="27"/>
        <x:v>OK</x:v>
      </x:c>
      <x:c r="W253" t="str">
        <x:f>IF(SUMIF($B$5:$B$914,B253,$S$5:$S$914)=SUMIF(DailyProduction!$Q$5:$Q$100,B253,DailyProduction!$R$5:$R$100),"OK","CHECK")</x:f>
        <x:v>OK</x:v>
      </x:c>
      <x:c r="X253" t="str">
        <x:v>PLC-PRD-JAR-720-L22</x:v>
      </x:c>
      <x:c r="Y253" t="str">
        <x:v>OK</x:v>
      </x:c>
      <x:c r="Z253" t="str">
        <x:v>OK</x:v>
      </x:c>
      <x:c r="AA253" t="n">
        <x:v>3</x:v>
      </x:c>
      <x:c r="AB253" t="n">
        <x:v>2</x:v>
      </x:c>
      <x:c r="AC253" t="str">
        <x:v>OK</x:v>
      </x:c>
      <x:c r="AD253" t="str">
        <x:v>OK</x:v>
      </x:c>
      <x:c r="AE253" t="str">
        <x:v>LOAD</x:v>
      </x:c>
      <x:c r="AF253" t="str">
        <x:v>02_Supervisor_Log(4).xlsx</x:v>
      </x:c>
      <x:c r="AG253" t="str">
        <x:v>ENH-20260830-01</x:v>
      </x:c>
      <x:c r="AH253" t="str">
        <x:v>Active</x:v>
      </x:c>
      <x:c r="AI253"/>
      <x:c r="AJ253"/>
      <x:c r="AK253"/>
      <x:c r="AL253"/>
    </x:row>
    <x:row r="254">
      <x:c r="A254" t="s">
        <x:v>468</x:v>
      </x:c>
      <x:c r="B254" t="s">
        <x:v>466</x:v>
      </x:c>
      <x:c r="C254" t="s">
        <x:v>44</x:v>
      </x:c>
      <x:c r="D254">
        <x:v>45952</x:v>
      </x:c>
      <x:c r="E254" t="s">
        <x:v>187</x:v>
      </x:c>
      <x:c r="F254" t="s">
        <x:v>55</x:v>
      </x:c>
      <x:c r="G254">
        <x:v>22</x:v>
      </x:c>
      <x:c r="H254" t="s">
        <x:v>61</x:v>
      </x:c>
      <x:c r="I254">
        <x:v>3</x:v>
      </x:c>
      <x:c r="J254">
        <x:v>10</x:v>
      </x:c>
      <x:c r="K254">
        <x:v>2</x:v>
      </x:c>
      <x:c r="L254">
        <x:f t="shared" si="21"/>
        <x:v>1</x:v>
      </x:c>
      <x:c r="P254">
        <x:f t="shared" si="22"/>
        <x:v>1</x:v>
      </x:c>
      <x:c r="Q254">
        <x:f t="shared" si="23"/>
        <x:v>1</x:v>
      </x:c>
      <x:c r="R254">
        <x:f t="shared" si="24"/>
        <x:v>0</x:v>
      </x:c>
      <x:c r="S254">
        <x:f t="shared" si="25"/>
        <x:v>2</x:v>
      </x:c>
      <x:c r="T254" t="str">
        <x:f t="shared" si="26"/>
        <x:v>DerivedFromCount</x:v>
      </x:c>
      <x:c r="U254" t="str">
        <x:f>IF(COUNTIF(DailyProduction!$Q$5:$Q$100,B254)=1,"OK","CHECK")</x:f>
        <x:v>OK</x:v>
      </x:c>
      <x:c r="V254" t="str">
        <x:f t="shared" si="27"/>
        <x:v>OK</x:v>
      </x:c>
      <x:c r="W254" t="str">
        <x:f>IF(SUMIF($B$5:$B$914,B254,$S$5:$S$914)=SUMIF(DailyProduction!$Q$5:$Q$100,B254,DailyProduction!$R$5:$R$100),"OK","CHECK")</x:f>
        <x:v>OK</x:v>
      </x:c>
      <x:c r="X254" t="str">
        <x:v>PLC-PRD-JAR-720-L22</x:v>
      </x:c>
      <x:c r="Y254" t="str">
        <x:v>OK</x:v>
      </x:c>
      <x:c r="Z254" t="str">
        <x:v>OK</x:v>
      </x:c>
      <x:c r="AA254" t="n">
        <x:v>3</x:v>
      </x:c>
      <x:c r="AB254" t="n">
        <x:v>2</x:v>
      </x:c>
      <x:c r="AC254" t="str">
        <x:v>OK</x:v>
      </x:c>
      <x:c r="AD254" t="str">
        <x:v>OK</x:v>
      </x:c>
      <x:c r="AE254" t="str">
        <x:v>LOAD</x:v>
      </x:c>
      <x:c r="AF254" t="str">
        <x:v>02_Supervisor_Log(4).xlsx</x:v>
      </x:c>
      <x:c r="AG254" t="str">
        <x:v>ENH-20260830-01</x:v>
      </x:c>
      <x:c r="AH254" t="str">
        <x:v>Active</x:v>
      </x:c>
      <x:c r="AI254"/>
      <x:c r="AJ254"/>
      <x:c r="AK254"/>
      <x:c r="AL254"/>
    </x:row>
    <x:row r="255">
      <x:c r="A255" t="s">
        <x:v>469</x:v>
      </x:c>
      <x:c r="B255" t="s">
        <x:v>466</x:v>
      </x:c>
      <x:c r="C255" t="s">
        <x:v>44</x:v>
      </x:c>
      <x:c r="D255">
        <x:v>45952</x:v>
      </x:c>
      <x:c r="E255" t="s">
        <x:v>187</x:v>
      </x:c>
      <x:c r="F255" t="s">
        <x:v>55</x:v>
      </x:c>
      <x:c r="G255">
        <x:v>22</x:v>
      </x:c>
      <x:c r="H255" t="s">
        <x:v>61</x:v>
      </x:c>
      <x:c r="I255">
        <x:v>4</x:v>
      </x:c>
      <x:c r="J255">
        <x:v>10</x:v>
      </x:c>
      <x:c r="K255">
        <x:v>2</x:v>
      </x:c>
      <x:c r="L255">
        <x:f t="shared" si="21"/>
        <x:v>1</x:v>
      </x:c>
      <x:c r="P255">
        <x:f t="shared" si="22"/>
        <x:v>1</x:v>
      </x:c>
      <x:c r="Q255">
        <x:f t="shared" si="23"/>
        <x:v>1</x:v>
      </x:c>
      <x:c r="R255">
        <x:f t="shared" si="24"/>
        <x:v>0</x:v>
      </x:c>
      <x:c r="S255">
        <x:f t="shared" si="25"/>
        <x:v>2</x:v>
      </x:c>
      <x:c r="T255" t="str">
        <x:f t="shared" si="26"/>
        <x:v>DerivedFromCount</x:v>
      </x:c>
      <x:c r="U255" t="str">
        <x:f>IF(COUNTIF(DailyProduction!$Q$5:$Q$100,B255)=1,"OK","CHECK")</x:f>
        <x:v>OK</x:v>
      </x:c>
      <x:c r="V255" t="str">
        <x:f t="shared" si="27"/>
        <x:v>OK</x:v>
      </x:c>
      <x:c r="W255" t="str">
        <x:f>IF(SUMIF($B$5:$B$914,B255,$S$5:$S$914)=SUMIF(DailyProduction!$Q$5:$Q$100,B255,DailyProduction!$R$5:$R$100),"OK","CHECK")</x:f>
        <x:v>OK</x:v>
      </x:c>
      <x:c r="X255" t="str">
        <x:v>PLC-PRD-JAR-720-L22</x:v>
      </x:c>
      <x:c r="Y255" t="str">
        <x:v>OK</x:v>
      </x:c>
      <x:c r="Z255" t="str">
        <x:v>OK</x:v>
      </x:c>
      <x:c r="AA255" t="n">
        <x:v>3</x:v>
      </x:c>
      <x:c r="AB255" t="n">
        <x:v>2</x:v>
      </x:c>
      <x:c r="AC255" t="str">
        <x:v>OK</x:v>
      </x:c>
      <x:c r="AD255" t="str">
        <x:v>OK</x:v>
      </x:c>
      <x:c r="AE255" t="str">
        <x:v>LOAD</x:v>
      </x:c>
      <x:c r="AF255" t="str">
        <x:v>02_Supervisor_Log(4).xlsx</x:v>
      </x:c>
      <x:c r="AG255" t="str">
        <x:v>ENH-20260830-01</x:v>
      </x:c>
      <x:c r="AH255" t="str">
        <x:v>Active</x:v>
      </x:c>
      <x:c r="AI255"/>
      <x:c r="AJ255"/>
      <x:c r="AK255"/>
      <x:c r="AL255"/>
    </x:row>
    <x:row r="256">
      <x:c r="A256" t="s">
        <x:v>470</x:v>
      </x:c>
      <x:c r="B256" t="s">
        <x:v>466</x:v>
      </x:c>
      <x:c r="C256" t="s">
        <x:v>44</x:v>
      </x:c>
      <x:c r="D256">
        <x:v>45952</x:v>
      </x:c>
      <x:c r="E256" t="s">
        <x:v>187</x:v>
      </x:c>
      <x:c r="F256" t="s">
        <x:v>55</x:v>
      </x:c>
      <x:c r="G256">
        <x:v>22</x:v>
      </x:c>
      <x:c r="H256" t="s">
        <x:v>61</x:v>
      </x:c>
      <x:c r="I256">
        <x:v>5</x:v>
      </x:c>
      <x:c r="J256">
        <x:v>10</x:v>
      </x:c>
      <x:c r="K256">
        <x:v>2</x:v>
      </x:c>
      <x:c r="L256">
        <x:f t="shared" si="21"/>
        <x:v>1</x:v>
      </x:c>
      <x:c r="P256">
        <x:f t="shared" si="22"/>
        <x:v>1</x:v>
      </x:c>
      <x:c r="Q256">
        <x:f t="shared" si="23"/>
        <x:v>1</x:v>
      </x:c>
      <x:c r="R256">
        <x:f t="shared" si="24"/>
        <x:v>0</x:v>
      </x:c>
      <x:c r="S256">
        <x:f t="shared" si="25"/>
        <x:v>2</x:v>
      </x:c>
      <x:c r="T256" t="str">
        <x:f t="shared" si="26"/>
        <x:v>DerivedFromCount</x:v>
      </x:c>
      <x:c r="U256" t="str">
        <x:f>IF(COUNTIF(DailyProduction!$Q$5:$Q$100,B256)=1,"OK","CHECK")</x:f>
        <x:v>OK</x:v>
      </x:c>
      <x:c r="V256" t="str">
        <x:f t="shared" si="27"/>
        <x:v>OK</x:v>
      </x:c>
      <x:c r="W256" t="str">
        <x:f>IF(SUMIF($B$5:$B$914,B256,$S$5:$S$914)=SUMIF(DailyProduction!$Q$5:$Q$100,B256,DailyProduction!$R$5:$R$100),"OK","CHECK")</x:f>
        <x:v>OK</x:v>
      </x:c>
      <x:c r="X256" t="str">
        <x:v>PLC-PRD-JAR-720-L22</x:v>
      </x:c>
      <x:c r="Y256" t="str">
        <x:v>OK</x:v>
      </x:c>
      <x:c r="Z256" t="str">
        <x:v>OK</x:v>
      </x:c>
      <x:c r="AA256" t="n">
        <x:v>3</x:v>
      </x:c>
      <x:c r="AB256" t="n">
        <x:v>2</x:v>
      </x:c>
      <x:c r="AC256" t="str">
        <x:v>OK</x:v>
      </x:c>
      <x:c r="AD256" t="str">
        <x:v>OK</x:v>
      </x:c>
      <x:c r="AE256" t="str">
        <x:v>LOAD</x:v>
      </x:c>
      <x:c r="AF256" t="str">
        <x:v>02_Supervisor_Log(4).xlsx</x:v>
      </x:c>
      <x:c r="AG256" t="str">
        <x:v>ENH-20260830-01</x:v>
      </x:c>
      <x:c r="AH256" t="str">
        <x:v>Active</x:v>
      </x:c>
      <x:c r="AI256"/>
      <x:c r="AJ256"/>
      <x:c r="AK256"/>
      <x:c r="AL256"/>
    </x:row>
    <x:row r="257">
      <x:c r="A257" t="s">
        <x:v>471</x:v>
      </x:c>
      <x:c r="B257" t="s">
        <x:v>466</x:v>
      </x:c>
      <x:c r="C257" t="s">
        <x:v>44</x:v>
      </x:c>
      <x:c r="D257">
        <x:v>45952</x:v>
      </x:c>
      <x:c r="E257" t="s">
        <x:v>187</x:v>
      </x:c>
      <x:c r="F257" t="s">
        <x:v>55</x:v>
      </x:c>
      <x:c r="G257">
        <x:v>22</x:v>
      </x:c>
      <x:c r="H257" t="s">
        <x:v>61</x:v>
      </x:c>
      <x:c r="I257">
        <x:v>6</x:v>
      </x:c>
      <x:c r="J257">
        <x:v>10</x:v>
      </x:c>
      <x:c r="K257">
        <x:v>2</x:v>
      </x:c>
      <x:c r="L257">
        <x:f t="shared" si="21"/>
        <x:v>1</x:v>
      </x:c>
      <x:c r="P257">
        <x:f t="shared" si="22"/>
        <x:v>1</x:v>
      </x:c>
      <x:c r="Q257">
        <x:f t="shared" si="23"/>
        <x:v>1</x:v>
      </x:c>
      <x:c r="R257">
        <x:f t="shared" si="24"/>
        <x:v>0</x:v>
      </x:c>
      <x:c r="S257">
        <x:f t="shared" si="25"/>
        <x:v>2</x:v>
      </x:c>
      <x:c r="T257" t="str">
        <x:f t="shared" si="26"/>
        <x:v>DerivedFromCount</x:v>
      </x:c>
      <x:c r="U257" t="str">
        <x:f>IF(COUNTIF(DailyProduction!$Q$5:$Q$100,B257)=1,"OK","CHECK")</x:f>
        <x:v>OK</x:v>
      </x:c>
      <x:c r="V257" t="str">
        <x:f t="shared" si="27"/>
        <x:v>OK</x:v>
      </x:c>
      <x:c r="W257" t="str">
        <x:f>IF(SUMIF($B$5:$B$914,B257,$S$5:$S$914)=SUMIF(DailyProduction!$Q$5:$Q$100,B257,DailyProduction!$R$5:$R$100),"OK","CHECK")</x:f>
        <x:v>OK</x:v>
      </x:c>
      <x:c r="X257" t="str">
        <x:v>PLC-PRD-JAR-720-L22</x:v>
      </x:c>
      <x:c r="Y257" t="str">
        <x:v>OK</x:v>
      </x:c>
      <x:c r="Z257" t="str">
        <x:v>OK</x:v>
      </x:c>
      <x:c r="AA257" t="n">
        <x:v>3</x:v>
      </x:c>
      <x:c r="AB257" t="n">
        <x:v>2</x:v>
      </x:c>
      <x:c r="AC257" t="str">
        <x:v>OK</x:v>
      </x:c>
      <x:c r="AD257" t="str">
        <x:v>OK</x:v>
      </x:c>
      <x:c r="AE257" t="str">
        <x:v>LOAD</x:v>
      </x:c>
      <x:c r="AF257" t="str">
        <x:v>02_Supervisor_Log(4).xlsx</x:v>
      </x:c>
      <x:c r="AG257" t="str">
        <x:v>ENH-20260830-01</x:v>
      </x:c>
      <x:c r="AH257" t="str">
        <x:v>Active</x:v>
      </x:c>
      <x:c r="AI257"/>
      <x:c r="AJ257"/>
      <x:c r="AK257"/>
      <x:c r="AL257"/>
    </x:row>
    <x:row r="258">
      <x:c r="A258" t="s">
        <x:v>472</x:v>
      </x:c>
      <x:c r="B258" t="s">
        <x:v>466</x:v>
      </x:c>
      <x:c r="C258" t="s">
        <x:v>44</x:v>
      </x:c>
      <x:c r="D258">
        <x:v>45952</x:v>
      </x:c>
      <x:c r="E258" t="s">
        <x:v>187</x:v>
      </x:c>
      <x:c r="F258" t="s">
        <x:v>55</x:v>
      </x:c>
      <x:c r="G258">
        <x:v>22</x:v>
      </x:c>
      <x:c r="H258" t="s">
        <x:v>61</x:v>
      </x:c>
      <x:c r="I258">
        <x:v>7</x:v>
      </x:c>
      <x:c r="J258">
        <x:v>10</x:v>
      </x:c>
      <x:c r="K258">
        <x:v>2</x:v>
      </x:c>
      <x:c r="L258">
        <x:f t="shared" si="21"/>
        <x:v>1</x:v>
      </x:c>
      <x:c r="P258">
        <x:f t="shared" si="22"/>
        <x:v>1</x:v>
      </x:c>
      <x:c r="Q258">
        <x:f t="shared" si="23"/>
        <x:v>1</x:v>
      </x:c>
      <x:c r="R258">
        <x:f t="shared" si="24"/>
        <x:v>0</x:v>
      </x:c>
      <x:c r="S258">
        <x:f t="shared" si="25"/>
        <x:v>2</x:v>
      </x:c>
      <x:c r="T258" t="str">
        <x:f t="shared" si="26"/>
        <x:v>DerivedFromCount</x:v>
      </x:c>
      <x:c r="U258" t="str">
        <x:f>IF(COUNTIF(DailyProduction!$Q$5:$Q$100,B258)=1,"OK","CHECK")</x:f>
        <x:v>OK</x:v>
      </x:c>
      <x:c r="V258" t="str">
        <x:f t="shared" si="27"/>
        <x:v>OK</x:v>
      </x:c>
      <x:c r="W258" t="str">
        <x:f>IF(SUMIF($B$5:$B$914,B258,$S$5:$S$914)=SUMIF(DailyProduction!$Q$5:$Q$100,B258,DailyProduction!$R$5:$R$100),"OK","CHECK")</x:f>
        <x:v>OK</x:v>
      </x:c>
      <x:c r="X258" t="str">
        <x:v>PLC-PRD-JAR-720-L22</x:v>
      </x:c>
      <x:c r="Y258" t="str">
        <x:v>OK</x:v>
      </x:c>
      <x:c r="Z258" t="str">
        <x:v>OK</x:v>
      </x:c>
      <x:c r="AA258" t="n">
        <x:v>3</x:v>
      </x:c>
      <x:c r="AB258" t="n">
        <x:v>2</x:v>
      </x:c>
      <x:c r="AC258" t="str">
        <x:v>OK</x:v>
      </x:c>
      <x:c r="AD258" t="str">
        <x:v>OK</x:v>
      </x:c>
      <x:c r="AE258" t="str">
        <x:v>LOAD</x:v>
      </x:c>
      <x:c r="AF258" t="str">
        <x:v>02_Supervisor_Log(4).xlsx</x:v>
      </x:c>
      <x:c r="AG258" t="str">
        <x:v>ENH-20260830-01</x:v>
      </x:c>
      <x:c r="AH258" t="str">
        <x:v>Active</x:v>
      </x:c>
      <x:c r="AI258"/>
      <x:c r="AJ258"/>
      <x:c r="AK258"/>
      <x:c r="AL258"/>
    </x:row>
    <x:row r="259">
      <x:c r="A259" t="s">
        <x:v>473</x:v>
      </x:c>
      <x:c r="B259" t="s">
        <x:v>466</x:v>
      </x:c>
      <x:c r="C259" t="s">
        <x:v>44</x:v>
      </x:c>
      <x:c r="D259">
        <x:v>45952</x:v>
      </x:c>
      <x:c r="E259" t="s">
        <x:v>187</x:v>
      </x:c>
      <x:c r="F259" t="s">
        <x:v>55</x:v>
      </x:c>
      <x:c r="G259">
        <x:v>22</x:v>
      </x:c>
      <x:c r="H259" t="s">
        <x:v>61</x:v>
      </x:c>
      <x:c r="I259">
        <x:v>8</x:v>
      </x:c>
      <x:c r="J259">
        <x:v>10</x:v>
      </x:c>
      <x:c r="K259">
        <x:v>2</x:v>
      </x:c>
      <x:c r="L259">
        <x:f t="shared" si="21"/>
        <x:v>1</x:v>
      </x:c>
      <x:c r="P259">
        <x:f t="shared" si="22"/>
        <x:v>1</x:v>
      </x:c>
      <x:c r="Q259">
        <x:f t="shared" si="23"/>
        <x:v>1</x:v>
      </x:c>
      <x:c r="R259">
        <x:f t="shared" si="24"/>
        <x:v>0</x:v>
      </x:c>
      <x:c r="S259">
        <x:f t="shared" si="25"/>
        <x:v>2</x:v>
      </x:c>
      <x:c r="T259" t="str">
        <x:f t="shared" si="26"/>
        <x:v>DerivedFromCount</x:v>
      </x:c>
      <x:c r="U259" t="str">
        <x:f>IF(COUNTIF(DailyProduction!$Q$5:$Q$100,B259)=1,"OK","CHECK")</x:f>
        <x:v>OK</x:v>
      </x:c>
      <x:c r="V259" t="str">
        <x:f t="shared" si="27"/>
        <x:v>OK</x:v>
      </x:c>
      <x:c r="W259" t="str">
        <x:f>IF(SUMIF($B$5:$B$914,B259,$S$5:$S$914)=SUMIF(DailyProduction!$Q$5:$Q$100,B259,DailyProduction!$R$5:$R$100),"OK","CHECK")</x:f>
        <x:v>OK</x:v>
      </x:c>
      <x:c r="X259" t="str">
        <x:v>PLC-PRD-JAR-720-L22</x:v>
      </x:c>
      <x:c r="Y259" t="str">
        <x:v>OK</x:v>
      </x:c>
      <x:c r="Z259" t="str">
        <x:v>OK</x:v>
      </x:c>
      <x:c r="AA259" t="n">
        <x:v>3</x:v>
      </x:c>
      <x:c r="AB259" t="n">
        <x:v>2</x:v>
      </x:c>
      <x:c r="AC259" t="str">
        <x:v>OK</x:v>
      </x:c>
      <x:c r="AD259" t="str">
        <x:v>OK</x:v>
      </x:c>
      <x:c r="AE259" t="str">
        <x:v>LOAD</x:v>
      </x:c>
      <x:c r="AF259" t="str">
        <x:v>02_Supervisor_Log(4).xlsx</x:v>
      </x:c>
      <x:c r="AG259" t="str">
        <x:v>ENH-20260830-01</x:v>
      </x:c>
      <x:c r="AH259" t="str">
        <x:v>Active</x:v>
      </x:c>
      <x:c r="AI259"/>
      <x:c r="AJ259"/>
      <x:c r="AK259"/>
      <x:c r="AL259"/>
    </x:row>
    <x:row r="260">
      <x:c r="A260" t="s">
        <x:v>474</x:v>
      </x:c>
      <x:c r="B260" t="s">
        <x:v>466</x:v>
      </x:c>
      <x:c r="C260" t="s">
        <x:v>44</x:v>
      </x:c>
      <x:c r="D260">
        <x:v>45952</x:v>
      </x:c>
      <x:c r="E260" t="s">
        <x:v>187</x:v>
      </x:c>
      <x:c r="F260" t="s">
        <x:v>55</x:v>
      </x:c>
      <x:c r="G260">
        <x:v>22</x:v>
      </x:c>
      <x:c r="H260" t="s">
        <x:v>61</x:v>
      </x:c>
      <x:c r="I260">
        <x:v>9</x:v>
      </x:c>
      <x:c r="J260">
        <x:v>10</x:v>
      </x:c>
      <x:c r="K260">
        <x:v>2</x:v>
      </x:c>
      <x:c r="L260">
        <x:f t="shared" si="21"/>
        <x:v>1</x:v>
      </x:c>
      <x:c r="P260">
        <x:f t="shared" si="22"/>
        <x:v>1</x:v>
      </x:c>
      <x:c r="Q260">
        <x:f t="shared" si="23"/>
        <x:v>1</x:v>
      </x:c>
      <x:c r="R260">
        <x:f t="shared" si="24"/>
        <x:v>0</x:v>
      </x:c>
      <x:c r="S260">
        <x:f t="shared" si="25"/>
        <x:v>2</x:v>
      </x:c>
      <x:c r="T260" t="str">
        <x:f t="shared" si="26"/>
        <x:v>DerivedFromCount</x:v>
      </x:c>
      <x:c r="U260" t="str">
        <x:f>IF(COUNTIF(DailyProduction!$Q$5:$Q$100,B260)=1,"OK","CHECK")</x:f>
        <x:v>OK</x:v>
      </x:c>
      <x:c r="V260" t="str">
        <x:f t="shared" si="27"/>
        <x:v>OK</x:v>
      </x:c>
      <x:c r="W260" t="str">
        <x:f>IF(SUMIF($B$5:$B$914,B260,$S$5:$S$914)=SUMIF(DailyProduction!$Q$5:$Q$100,B260,DailyProduction!$R$5:$R$100),"OK","CHECK")</x:f>
        <x:v>OK</x:v>
      </x:c>
      <x:c r="X260" t="str">
        <x:v>PLC-PRD-JAR-720-L22</x:v>
      </x:c>
      <x:c r="Y260" t="str">
        <x:v>OK</x:v>
      </x:c>
      <x:c r="Z260" t="str">
        <x:v>OK</x:v>
      </x:c>
      <x:c r="AA260" t="n">
        <x:v>3</x:v>
      </x:c>
      <x:c r="AB260" t="n">
        <x:v>2</x:v>
      </x:c>
      <x:c r="AC260" t="str">
        <x:v>OK</x:v>
      </x:c>
      <x:c r="AD260" t="str">
        <x:v>OK</x:v>
      </x:c>
      <x:c r="AE260" t="str">
        <x:v>LOAD</x:v>
      </x:c>
      <x:c r="AF260" t="str">
        <x:v>02_Supervisor_Log(4).xlsx</x:v>
      </x:c>
      <x:c r="AG260" t="str">
        <x:v>ENH-20260830-01</x:v>
      </x:c>
      <x:c r="AH260" t="str">
        <x:v>Active</x:v>
      </x:c>
      <x:c r="AI260"/>
      <x:c r="AJ260"/>
      <x:c r="AK260"/>
      <x:c r="AL260"/>
    </x:row>
    <x:row r="261">
      <x:c r="A261" t="s">
        <x:v>475</x:v>
      </x:c>
      <x:c r="B261" t="s">
        <x:v>466</x:v>
      </x:c>
      <x:c r="C261" t="s">
        <x:v>44</x:v>
      </x:c>
      <x:c r="D261">
        <x:v>45952</x:v>
      </x:c>
      <x:c r="E261" t="s">
        <x:v>187</x:v>
      </x:c>
      <x:c r="F261" t="s">
        <x:v>55</x:v>
      </x:c>
      <x:c r="G261">
        <x:v>22</x:v>
      </x:c>
      <x:c r="H261" t="s">
        <x:v>61</x:v>
      </x:c>
      <x:c r="I261">
        <x:v>10</x:v>
      </x:c>
      <x:c r="J261">
        <x:v>10</x:v>
      </x:c>
      <x:c r="K261">
        <x:v>2</x:v>
      </x:c>
      <x:c r="L261" t="n">
        <x:f t="shared" ref="L261:L324" si="28">IF(I261&lt;=J261,1,0)</x:f>
        <x:v>1</x:v>
      </x:c>
      <x:c r="P261" t="n">
        <x:f t="shared" ref="P261:P324" si="29">IF(M261="",IF(AND(L261=1,K261&gt;=1),1,0),M261)</x:f>
        <x:v>1</x:v>
      </x:c>
      <x:c r="Q261" t="n">
        <x:f t="shared" ref="Q261:Q324" si="30">IF(N261="",IF(AND(L261=1,K261&gt;=2),1,0),N261)</x:f>
        <x:v>1</x:v>
      </x:c>
      <x:c r="R261" t="n">
        <x:f t="shared" ref="R261:R324" si="31">IF(O261="",IF(AND(L261=1,K261&gt;=3),1,0),O261)</x:f>
        <x:v>0</x:v>
      </x:c>
      <x:c r="S261" t="n">
        <x:f t="shared" ref="S261:S324" si="32">SUM(P261:R261)</x:f>
        <x:v>2</x:v>
      </x:c>
      <x:c r="T261" t="str">
        <x:f t="shared" ref="T261:T324" si="33">IF(COUNTA(M261:O261)=0,"DerivedFromCount","ManualOverride")</x:f>
        <x:v>DerivedFromCount</x:v>
      </x:c>
      <x:c r="U261" t="str">
        <x:f>IF(COUNTIF(DailyProduction!$Q$5:$Q$100,B261)=1,"OK","CHECK")</x:f>
        <x:v>OK</x:v>
      </x:c>
      <x:c r="V261" t="str">
        <x:f t="shared" ref="V261:V324" si="34">IF(AND(I261&gt;=1,I261&lt;=13,K261&gt;=1,K261&lt;=3),"OK","CHECK")</x:f>
        <x:v>OK</x:v>
      </x:c>
      <x:c r="W261" t="str">
        <x:f>IF(SUMIF($B$5:$B$914,B261,$S$5:$S$914)=SUMIF(DailyProduction!$Q$5:$Q$100,B261,DailyProduction!$R$5:$R$100),"OK","CHECK")</x:f>
        <x:v>OK</x:v>
      </x:c>
      <x:c r="X261" t="str">
        <x:v>PLC-PRD-JAR-720-L22</x:v>
      </x:c>
      <x:c r="Y261" t="str">
        <x:v>OK</x:v>
      </x:c>
      <x:c r="Z261" t="str">
        <x:v>OK</x:v>
      </x:c>
      <x:c r="AA261" t="n">
        <x:v>3</x:v>
      </x:c>
      <x:c r="AB261" t="n">
        <x:v>2</x:v>
      </x:c>
      <x:c r="AC261" t="str">
        <x:v>OK</x:v>
      </x:c>
      <x:c r="AD261" t="str">
        <x:v>OK</x:v>
      </x:c>
      <x:c r="AE261" t="str">
        <x:v>LOAD</x:v>
      </x:c>
      <x:c r="AF261" t="str">
        <x:v>02_Supervisor_Log(4).xlsx</x:v>
      </x:c>
      <x:c r="AG261" t="str">
        <x:v>ENH-20260830-01</x:v>
      </x:c>
      <x:c r="AH261" t="str">
        <x:v>Active</x:v>
      </x:c>
      <x:c r="AI261"/>
      <x:c r="AJ261"/>
      <x:c r="AK261"/>
      <x:c r="AL261"/>
    </x:row>
    <x:row r="262">
      <x:c r="A262" t="s">
        <x:v>476</x:v>
      </x:c>
      <x:c r="B262" t="s">
        <x:v>466</x:v>
      </x:c>
      <x:c r="C262" t="s">
        <x:v>44</x:v>
      </x:c>
      <x:c r="D262">
        <x:v>45952</x:v>
      </x:c>
      <x:c r="E262" t="s">
        <x:v>187</x:v>
      </x:c>
      <x:c r="F262" t="s">
        <x:v>55</x:v>
      </x:c>
      <x:c r="G262">
        <x:v>22</x:v>
      </x:c>
      <x:c r="H262" t="s">
        <x:v>61</x:v>
      </x:c>
      <x:c r="I262">
        <x:v>11</x:v>
      </x:c>
      <x:c r="J262">
        <x:v>10</x:v>
      </x:c>
      <x:c r="K262">
        <x:v>2</x:v>
      </x:c>
      <x:c r="L262">
        <x:f t="shared" si="28"/>
        <x:v>0</x:v>
      </x:c>
      <x:c r="P262">
        <x:f t="shared" si="29"/>
        <x:v>0</x:v>
      </x:c>
      <x:c r="Q262">
        <x:f t="shared" si="30"/>
        <x:v>0</x:v>
      </x:c>
      <x:c r="R262">
        <x:f t="shared" si="31"/>
        <x:v>0</x:v>
      </x:c>
      <x:c r="S262">
        <x:f t="shared" si="32"/>
        <x:v>0</x:v>
      </x:c>
      <x:c r="T262" t="str">
        <x:f t="shared" si="33"/>
        <x:v>DerivedFromCount</x:v>
      </x:c>
      <x:c r="U262" t="str">
        <x:f>IF(COUNTIF(DailyProduction!$Q$5:$Q$100,B262)=1,"OK","CHECK")</x:f>
        <x:v>OK</x:v>
      </x:c>
      <x:c r="V262" t="str">
        <x:f t="shared" si="34"/>
        <x:v>OK</x:v>
      </x:c>
      <x:c r="W262" t="str">
        <x:f>IF(SUMIF($B$5:$B$914,B262,$S$5:$S$914)=SUMIF(DailyProduction!$Q$5:$Q$100,B262,DailyProduction!$R$5:$R$100),"OK","CHECK")</x:f>
        <x:v>OK</x:v>
      </x:c>
      <x:c r="X262" t="str">
        <x:v>PLC-PRD-JAR-720-L22</x:v>
      </x:c>
      <x:c r="Y262" t="str">
        <x:v>OK</x:v>
      </x:c>
      <x:c r="Z262" t="str">
        <x:v>OK</x:v>
      </x:c>
      <x:c r="AA262" t="n">
        <x:v>3</x:v>
      </x:c>
      <x:c r="AB262" t="n">
        <x:v>0</x:v>
      </x:c>
      <x:c r="AC262" t="str">
        <x:v>OK</x:v>
      </x:c>
      <x:c r="AD262" t="str">
        <x:v>OK</x:v>
      </x:c>
      <x:c r="AE262" t="str">
        <x:v>LOAD</x:v>
      </x:c>
      <x:c r="AF262" t="str">
        <x:v>02_Supervisor_Log(4).xlsx</x:v>
      </x:c>
      <x:c r="AG262" t="str">
        <x:v>ENH-20260830-01</x:v>
      </x:c>
      <x:c r="AH262" t="str">
        <x:v>Active</x:v>
      </x:c>
      <x:c r="AI262"/>
      <x:c r="AJ262"/>
      <x:c r="AK262"/>
      <x:c r="AL262"/>
    </x:row>
    <x:row r="263">
      <x:c r="A263" t="s">
        <x:v>477</x:v>
      </x:c>
      <x:c r="B263" t="s">
        <x:v>466</x:v>
      </x:c>
      <x:c r="C263" t="s">
        <x:v>44</x:v>
      </x:c>
      <x:c r="D263">
        <x:v>45952</x:v>
      </x:c>
      <x:c r="E263" t="s">
        <x:v>187</x:v>
      </x:c>
      <x:c r="F263" t="s">
        <x:v>55</x:v>
      </x:c>
      <x:c r="G263">
        <x:v>22</x:v>
      </x:c>
      <x:c r="H263" t="s">
        <x:v>61</x:v>
      </x:c>
      <x:c r="I263">
        <x:v>12</x:v>
      </x:c>
      <x:c r="J263">
        <x:v>10</x:v>
      </x:c>
      <x:c r="K263">
        <x:v>2</x:v>
      </x:c>
      <x:c r="L263">
        <x:f t="shared" si="28"/>
        <x:v>0</x:v>
      </x:c>
      <x:c r="P263">
        <x:f t="shared" si="29"/>
        <x:v>0</x:v>
      </x:c>
      <x:c r="Q263">
        <x:f t="shared" si="30"/>
        <x:v>0</x:v>
      </x:c>
      <x:c r="R263">
        <x:f t="shared" si="31"/>
        <x:v>0</x:v>
      </x:c>
      <x:c r="S263">
        <x:f t="shared" si="32"/>
        <x:v>0</x:v>
      </x:c>
      <x:c r="T263" t="str">
        <x:f t="shared" si="33"/>
        <x:v>DerivedFromCount</x:v>
      </x:c>
      <x:c r="U263" t="str">
        <x:f>IF(COUNTIF(DailyProduction!$Q$5:$Q$100,B263)=1,"OK","CHECK")</x:f>
        <x:v>OK</x:v>
      </x:c>
      <x:c r="V263" t="str">
        <x:f t="shared" si="34"/>
        <x:v>OK</x:v>
      </x:c>
      <x:c r="W263" t="str">
        <x:f>IF(SUMIF($B$5:$B$914,B263,$S$5:$S$914)=SUMIF(DailyProduction!$Q$5:$Q$100,B263,DailyProduction!$R$5:$R$100),"OK","CHECK")</x:f>
        <x:v>OK</x:v>
      </x:c>
      <x:c r="X263" t="str">
        <x:v>PLC-PRD-JAR-720-L22</x:v>
      </x:c>
      <x:c r="Y263" t="str">
        <x:v>OK</x:v>
      </x:c>
      <x:c r="Z263" t="str">
        <x:v>OK</x:v>
      </x:c>
      <x:c r="AA263" t="n">
        <x:v>3</x:v>
      </x:c>
      <x:c r="AB263" t="n">
        <x:v>0</x:v>
      </x:c>
      <x:c r="AC263" t="str">
        <x:v>OK</x:v>
      </x:c>
      <x:c r="AD263" t="str">
        <x:v>OK</x:v>
      </x:c>
      <x:c r="AE263" t="str">
        <x:v>LOAD</x:v>
      </x:c>
      <x:c r="AF263" t="str">
        <x:v>02_Supervisor_Log(4).xlsx</x:v>
      </x:c>
      <x:c r="AG263" t="str">
        <x:v>ENH-20260830-01</x:v>
      </x:c>
      <x:c r="AH263" t="str">
        <x:v>Active</x:v>
      </x:c>
      <x:c r="AI263"/>
      <x:c r="AJ263"/>
      <x:c r="AK263"/>
      <x:c r="AL263"/>
    </x:row>
    <x:row r="264">
      <x:c r="A264" t="s">
        <x:v>478</x:v>
      </x:c>
      <x:c r="B264" t="s">
        <x:v>466</x:v>
      </x:c>
      <x:c r="C264" t="s">
        <x:v>44</x:v>
      </x:c>
      <x:c r="D264">
        <x:v>45952</x:v>
      </x:c>
      <x:c r="E264" t="s">
        <x:v>187</x:v>
      </x:c>
      <x:c r="F264" t="s">
        <x:v>55</x:v>
      </x:c>
      <x:c r="G264">
        <x:v>22</x:v>
      </x:c>
      <x:c r="H264" t="s">
        <x:v>61</x:v>
      </x:c>
      <x:c r="I264">
        <x:v>13</x:v>
      </x:c>
      <x:c r="J264">
        <x:v>10</x:v>
      </x:c>
      <x:c r="K264">
        <x:v>2</x:v>
      </x:c>
      <x:c r="L264">
        <x:f t="shared" si="28"/>
        <x:v>0</x:v>
      </x:c>
      <x:c r="P264">
        <x:f t="shared" si="29"/>
        <x:v>0</x:v>
      </x:c>
      <x:c r="Q264">
        <x:f t="shared" si="30"/>
        <x:v>0</x:v>
      </x:c>
      <x:c r="R264">
        <x:f t="shared" si="31"/>
        <x:v>0</x:v>
      </x:c>
      <x:c r="S264">
        <x:f t="shared" si="32"/>
        <x:v>0</x:v>
      </x:c>
      <x:c r="T264" t="str">
        <x:f t="shared" si="33"/>
        <x:v>DerivedFromCount</x:v>
      </x:c>
      <x:c r="U264" t="str">
        <x:f>IF(COUNTIF(DailyProduction!$Q$5:$Q$100,B264)=1,"OK","CHECK")</x:f>
        <x:v>OK</x:v>
      </x:c>
      <x:c r="V264" t="str">
        <x:f t="shared" si="34"/>
        <x:v>OK</x:v>
      </x:c>
      <x:c r="W264" t="str">
        <x:f>IF(SUMIF($B$5:$B$914,B264,$S$5:$S$914)=SUMIF(DailyProduction!$Q$5:$Q$100,B264,DailyProduction!$R$5:$R$100),"OK","CHECK")</x:f>
        <x:v>OK</x:v>
      </x:c>
      <x:c r="X264" t="str">
        <x:v>PLC-PRD-JAR-720-L22</x:v>
      </x:c>
      <x:c r="Y264" t="str">
        <x:v>OK</x:v>
      </x:c>
      <x:c r="Z264" t="str">
        <x:v>OK</x:v>
      </x:c>
      <x:c r="AA264" t="n">
        <x:v>3</x:v>
      </x:c>
      <x:c r="AB264" t="n">
        <x:v>0</x:v>
      </x:c>
      <x:c r="AC264" t="str">
        <x:v>OK</x:v>
      </x:c>
      <x:c r="AD264" t="str">
        <x:v>OK</x:v>
      </x:c>
      <x:c r="AE264" t="str">
        <x:v>LOAD</x:v>
      </x:c>
      <x:c r="AF264" t="str">
        <x:v>02_Supervisor_Log(4).xlsx</x:v>
      </x:c>
      <x:c r="AG264" t="str">
        <x:v>ENH-20260830-01</x:v>
      </x:c>
      <x:c r="AH264" t="str">
        <x:v>Active</x:v>
      </x:c>
      <x:c r="AI264"/>
      <x:c r="AJ264"/>
      <x:c r="AK264"/>
      <x:c r="AL264"/>
    </x:row>
    <x:row r="265">
      <x:c r="A265" t="s">
        <x:v>479</x:v>
      </x:c>
      <x:c r="B265" t="s">
        <x:v>480</x:v>
      </x:c>
      <x:c r="C265" t="s">
        <x:v>44</x:v>
      </x:c>
      <x:c r="D265">
        <x:v>45953</x:v>
      </x:c>
      <x:c r="E265" t="s">
        <x:v>45</x:v>
      </x:c>
      <x:c r="F265" t="s">
        <x:v>55</x:v>
      </x:c>
      <x:c r="G265">
        <x:v>22</x:v>
      </x:c>
      <x:c r="H265" t="s">
        <x:v>61</x:v>
      </x:c>
      <x:c r="I265">
        <x:v>1</x:v>
      </x:c>
      <x:c r="J265">
        <x:v>10</x:v>
      </x:c>
      <x:c r="K265">
        <x:v>2</x:v>
      </x:c>
      <x:c r="L265">
        <x:f t="shared" si="28"/>
        <x:v>1</x:v>
      </x:c>
      <x:c r="P265">
        <x:f t="shared" si="29"/>
        <x:v>1</x:v>
      </x:c>
      <x:c r="Q265">
        <x:f t="shared" si="30"/>
        <x:v>1</x:v>
      </x:c>
      <x:c r="R265">
        <x:f t="shared" si="31"/>
        <x:v>0</x:v>
      </x:c>
      <x:c r="S265">
        <x:f t="shared" si="32"/>
        <x:v>2</x:v>
      </x:c>
      <x:c r="T265" t="str">
        <x:f t="shared" si="33"/>
        <x:v>DerivedFromCount</x:v>
      </x:c>
      <x:c r="U265" t="str">
        <x:f>IF(COUNTIF(DailyProduction!$Q$5:$Q$100,B265)=1,"OK","CHECK")</x:f>
        <x:v>OK</x:v>
      </x:c>
      <x:c r="V265" t="str">
        <x:f t="shared" si="34"/>
        <x:v>OK</x:v>
      </x:c>
      <x:c r="W265" t="str">
        <x:f>IF(SUMIF($B$5:$B$914,B265,$S$5:$S$914)=SUMIF(DailyProduction!$Q$5:$Q$100,B265,DailyProduction!$R$5:$R$100),"OK","CHECK")</x:f>
        <x:v>OK</x:v>
      </x:c>
      <x:c r="X265" t="str">
        <x:v>PLC-PRD-JAR-720-L22</x:v>
      </x:c>
      <x:c r="Y265" t="str">
        <x:v>OK</x:v>
      </x:c>
      <x:c r="Z265" t="str">
        <x:v>OK</x:v>
      </x:c>
      <x:c r="AA265" t="n">
        <x:v>3</x:v>
      </x:c>
      <x:c r="AB265" t="n">
        <x:v>2</x:v>
      </x:c>
      <x:c r="AC265" t="str">
        <x:v>OK</x:v>
      </x:c>
      <x:c r="AD265" t="str">
        <x:v>OK</x:v>
      </x:c>
      <x:c r="AE265" t="str">
        <x:v>LOAD</x:v>
      </x:c>
      <x:c r="AF265" t="str">
        <x:v>02_Supervisor_Log(4).xlsx</x:v>
      </x:c>
      <x:c r="AG265" t="str">
        <x:v>ENH-20260830-01</x:v>
      </x:c>
      <x:c r="AH265" t="str">
        <x:v>Active</x:v>
      </x:c>
      <x:c r="AI265"/>
      <x:c r="AJ265"/>
      <x:c r="AK265"/>
      <x:c r="AL265"/>
    </x:row>
    <x:row r="266">
      <x:c r="A266" t="s">
        <x:v>481</x:v>
      </x:c>
      <x:c r="B266" t="s">
        <x:v>480</x:v>
      </x:c>
      <x:c r="C266" t="s">
        <x:v>44</x:v>
      </x:c>
      <x:c r="D266">
        <x:v>45953</x:v>
      </x:c>
      <x:c r="E266" t="s">
        <x:v>45</x:v>
      </x:c>
      <x:c r="F266" t="s">
        <x:v>55</x:v>
      </x:c>
      <x:c r="G266">
        <x:v>22</x:v>
      </x:c>
      <x:c r="H266" t="s">
        <x:v>61</x:v>
      </x:c>
      <x:c r="I266">
        <x:v>2</x:v>
      </x:c>
      <x:c r="J266">
        <x:v>10</x:v>
      </x:c>
      <x:c r="K266">
        <x:v>2</x:v>
      </x:c>
      <x:c r="L266">
        <x:f t="shared" si="28"/>
        <x:v>1</x:v>
      </x:c>
      <x:c r="P266">
        <x:f t="shared" si="29"/>
        <x:v>1</x:v>
      </x:c>
      <x:c r="Q266">
        <x:f t="shared" si="30"/>
        <x:v>1</x:v>
      </x:c>
      <x:c r="R266">
        <x:f t="shared" si="31"/>
        <x:v>0</x:v>
      </x:c>
      <x:c r="S266">
        <x:f t="shared" si="32"/>
        <x:v>2</x:v>
      </x:c>
      <x:c r="T266" t="str">
        <x:f t="shared" si="33"/>
        <x:v>DerivedFromCount</x:v>
      </x:c>
      <x:c r="U266" t="str">
        <x:f>IF(COUNTIF(DailyProduction!$Q$5:$Q$100,B266)=1,"OK","CHECK")</x:f>
        <x:v>OK</x:v>
      </x:c>
      <x:c r="V266" t="str">
        <x:f t="shared" si="34"/>
        <x:v>OK</x:v>
      </x:c>
      <x:c r="W266" t="str">
        <x:f>IF(SUMIF($B$5:$B$914,B266,$S$5:$S$914)=SUMIF(DailyProduction!$Q$5:$Q$100,B266,DailyProduction!$R$5:$R$100),"OK","CHECK")</x:f>
        <x:v>OK</x:v>
      </x:c>
      <x:c r="X266" t="str">
        <x:v>PLC-PRD-JAR-720-L22</x:v>
      </x:c>
      <x:c r="Y266" t="str">
        <x:v>OK</x:v>
      </x:c>
      <x:c r="Z266" t="str">
        <x:v>OK</x:v>
      </x:c>
      <x:c r="AA266" t="n">
        <x:v>3</x:v>
      </x:c>
      <x:c r="AB266" t="n">
        <x:v>2</x:v>
      </x:c>
      <x:c r="AC266" t="str">
        <x:v>OK</x:v>
      </x:c>
      <x:c r="AD266" t="str">
        <x:v>OK</x:v>
      </x:c>
      <x:c r="AE266" t="str">
        <x:v>LOAD</x:v>
      </x:c>
      <x:c r="AF266" t="str">
        <x:v>02_Supervisor_Log(4).xlsx</x:v>
      </x:c>
      <x:c r="AG266" t="str">
        <x:v>ENH-20260830-01</x:v>
      </x:c>
      <x:c r="AH266" t="str">
        <x:v>Active</x:v>
      </x:c>
      <x:c r="AI266"/>
      <x:c r="AJ266"/>
      <x:c r="AK266"/>
      <x:c r="AL266"/>
    </x:row>
    <x:row r="267">
      <x:c r="A267" t="s">
        <x:v>482</x:v>
      </x:c>
      <x:c r="B267" t="s">
        <x:v>480</x:v>
      </x:c>
      <x:c r="C267" t="s">
        <x:v>44</x:v>
      </x:c>
      <x:c r="D267">
        <x:v>45953</x:v>
      </x:c>
      <x:c r="E267" t="s">
        <x:v>45</x:v>
      </x:c>
      <x:c r="F267" t="s">
        <x:v>55</x:v>
      </x:c>
      <x:c r="G267">
        <x:v>22</x:v>
      </x:c>
      <x:c r="H267" t="s">
        <x:v>61</x:v>
      </x:c>
      <x:c r="I267">
        <x:v>3</x:v>
      </x:c>
      <x:c r="J267">
        <x:v>10</x:v>
      </x:c>
      <x:c r="K267">
        <x:v>2</x:v>
      </x:c>
      <x:c r="L267">
        <x:f t="shared" si="28"/>
        <x:v>1</x:v>
      </x:c>
      <x:c r="P267">
        <x:f t="shared" si="29"/>
        <x:v>1</x:v>
      </x:c>
      <x:c r="Q267">
        <x:f t="shared" si="30"/>
        <x:v>1</x:v>
      </x:c>
      <x:c r="R267">
        <x:f t="shared" si="31"/>
        <x:v>0</x:v>
      </x:c>
      <x:c r="S267">
        <x:f t="shared" si="32"/>
        <x:v>2</x:v>
      </x:c>
      <x:c r="T267" t="str">
        <x:f t="shared" si="33"/>
        <x:v>DerivedFromCount</x:v>
      </x:c>
      <x:c r="U267" t="str">
        <x:f>IF(COUNTIF(DailyProduction!$Q$5:$Q$100,B267)=1,"OK","CHECK")</x:f>
        <x:v>OK</x:v>
      </x:c>
      <x:c r="V267" t="str">
        <x:f t="shared" si="34"/>
        <x:v>OK</x:v>
      </x:c>
      <x:c r="W267" t="str">
        <x:f>IF(SUMIF($B$5:$B$914,B267,$S$5:$S$914)=SUMIF(DailyProduction!$Q$5:$Q$100,B267,DailyProduction!$R$5:$R$100),"OK","CHECK")</x:f>
        <x:v>OK</x:v>
      </x:c>
      <x:c r="X267" t="str">
        <x:v>PLC-PRD-JAR-720-L22</x:v>
      </x:c>
      <x:c r="Y267" t="str">
        <x:v>OK</x:v>
      </x:c>
      <x:c r="Z267" t="str">
        <x:v>OK</x:v>
      </x:c>
      <x:c r="AA267" t="n">
        <x:v>3</x:v>
      </x:c>
      <x:c r="AB267" t="n">
        <x:v>2</x:v>
      </x:c>
      <x:c r="AC267" t="str">
        <x:v>OK</x:v>
      </x:c>
      <x:c r="AD267" t="str">
        <x:v>OK</x:v>
      </x:c>
      <x:c r="AE267" t="str">
        <x:v>LOAD</x:v>
      </x:c>
      <x:c r="AF267" t="str">
        <x:v>02_Supervisor_Log(4).xlsx</x:v>
      </x:c>
      <x:c r="AG267" t="str">
        <x:v>ENH-20260830-01</x:v>
      </x:c>
      <x:c r="AH267" t="str">
        <x:v>Active</x:v>
      </x:c>
      <x:c r="AI267"/>
      <x:c r="AJ267"/>
      <x:c r="AK267"/>
      <x:c r="AL267"/>
    </x:row>
    <x:row r="268">
      <x:c r="A268" t="s">
        <x:v>483</x:v>
      </x:c>
      <x:c r="B268" t="s">
        <x:v>480</x:v>
      </x:c>
      <x:c r="C268" t="s">
        <x:v>44</x:v>
      </x:c>
      <x:c r="D268">
        <x:v>45953</x:v>
      </x:c>
      <x:c r="E268" t="s">
        <x:v>45</x:v>
      </x:c>
      <x:c r="F268" t="s">
        <x:v>55</x:v>
      </x:c>
      <x:c r="G268">
        <x:v>22</x:v>
      </x:c>
      <x:c r="H268" t="s">
        <x:v>61</x:v>
      </x:c>
      <x:c r="I268">
        <x:v>4</x:v>
      </x:c>
      <x:c r="J268">
        <x:v>10</x:v>
      </x:c>
      <x:c r="K268">
        <x:v>2</x:v>
      </x:c>
      <x:c r="L268">
        <x:f t="shared" si="28"/>
        <x:v>1</x:v>
      </x:c>
      <x:c r="P268">
        <x:f t="shared" si="29"/>
        <x:v>1</x:v>
      </x:c>
      <x:c r="Q268">
        <x:f t="shared" si="30"/>
        <x:v>1</x:v>
      </x:c>
      <x:c r="R268">
        <x:f t="shared" si="31"/>
        <x:v>0</x:v>
      </x:c>
      <x:c r="S268">
        <x:f t="shared" si="32"/>
        <x:v>2</x:v>
      </x:c>
      <x:c r="T268" t="str">
        <x:f t="shared" si="33"/>
        <x:v>DerivedFromCount</x:v>
      </x:c>
      <x:c r="U268" t="str">
        <x:f>IF(COUNTIF(DailyProduction!$Q$5:$Q$100,B268)=1,"OK","CHECK")</x:f>
        <x:v>OK</x:v>
      </x:c>
      <x:c r="V268" t="str">
        <x:f t="shared" si="34"/>
        <x:v>OK</x:v>
      </x:c>
      <x:c r="W268" t="str">
        <x:f>IF(SUMIF($B$5:$B$914,B268,$S$5:$S$914)=SUMIF(DailyProduction!$Q$5:$Q$100,B268,DailyProduction!$R$5:$R$100),"OK","CHECK")</x:f>
        <x:v>OK</x:v>
      </x:c>
      <x:c r="X268" t="str">
        <x:v>PLC-PRD-JAR-720-L22</x:v>
      </x:c>
      <x:c r="Y268" t="str">
        <x:v>OK</x:v>
      </x:c>
      <x:c r="Z268" t="str">
        <x:v>OK</x:v>
      </x:c>
      <x:c r="AA268" t="n">
        <x:v>3</x:v>
      </x:c>
      <x:c r="AB268" t="n">
        <x:v>2</x:v>
      </x:c>
      <x:c r="AC268" t="str">
        <x:v>OK</x:v>
      </x:c>
      <x:c r="AD268" t="str">
        <x:v>OK</x:v>
      </x:c>
      <x:c r="AE268" t="str">
        <x:v>LOAD</x:v>
      </x:c>
      <x:c r="AF268" t="str">
        <x:v>02_Supervisor_Log(4).xlsx</x:v>
      </x:c>
      <x:c r="AG268" t="str">
        <x:v>ENH-20260830-01</x:v>
      </x:c>
      <x:c r="AH268" t="str">
        <x:v>Active</x:v>
      </x:c>
      <x:c r="AI268"/>
      <x:c r="AJ268"/>
      <x:c r="AK268"/>
      <x:c r="AL268"/>
    </x:row>
    <x:row r="269">
      <x:c r="A269" t="s">
        <x:v>484</x:v>
      </x:c>
      <x:c r="B269" t="s">
        <x:v>480</x:v>
      </x:c>
      <x:c r="C269" t="s">
        <x:v>44</x:v>
      </x:c>
      <x:c r="D269">
        <x:v>45953</x:v>
      </x:c>
      <x:c r="E269" t="s">
        <x:v>45</x:v>
      </x:c>
      <x:c r="F269" t="s">
        <x:v>55</x:v>
      </x:c>
      <x:c r="G269">
        <x:v>22</x:v>
      </x:c>
      <x:c r="H269" t="s">
        <x:v>61</x:v>
      </x:c>
      <x:c r="I269">
        <x:v>5</x:v>
      </x:c>
      <x:c r="J269">
        <x:v>10</x:v>
      </x:c>
      <x:c r="K269">
        <x:v>2</x:v>
      </x:c>
      <x:c r="L269">
        <x:f t="shared" si="28"/>
        <x:v>1</x:v>
      </x:c>
      <x:c r="P269">
        <x:f t="shared" si="29"/>
        <x:v>1</x:v>
      </x:c>
      <x:c r="Q269">
        <x:f t="shared" si="30"/>
        <x:v>1</x:v>
      </x:c>
      <x:c r="R269">
        <x:f t="shared" si="31"/>
        <x:v>0</x:v>
      </x:c>
      <x:c r="S269">
        <x:f t="shared" si="32"/>
        <x:v>2</x:v>
      </x:c>
      <x:c r="T269" t="str">
        <x:f t="shared" si="33"/>
        <x:v>DerivedFromCount</x:v>
      </x:c>
      <x:c r="U269" t="str">
        <x:f>IF(COUNTIF(DailyProduction!$Q$5:$Q$100,B269)=1,"OK","CHECK")</x:f>
        <x:v>OK</x:v>
      </x:c>
      <x:c r="V269" t="str">
        <x:f t="shared" si="34"/>
        <x:v>OK</x:v>
      </x:c>
      <x:c r="W269" t="str">
        <x:f>IF(SUMIF($B$5:$B$914,B269,$S$5:$S$914)=SUMIF(DailyProduction!$Q$5:$Q$100,B269,DailyProduction!$R$5:$R$100),"OK","CHECK")</x:f>
        <x:v>OK</x:v>
      </x:c>
      <x:c r="X269" t="str">
        <x:v>PLC-PRD-JAR-720-L22</x:v>
      </x:c>
      <x:c r="Y269" t="str">
        <x:v>OK</x:v>
      </x:c>
      <x:c r="Z269" t="str">
        <x:v>OK</x:v>
      </x:c>
      <x:c r="AA269" t="n">
        <x:v>3</x:v>
      </x:c>
      <x:c r="AB269" t="n">
        <x:v>2</x:v>
      </x:c>
      <x:c r="AC269" t="str">
        <x:v>OK</x:v>
      </x:c>
      <x:c r="AD269" t="str">
        <x:v>OK</x:v>
      </x:c>
      <x:c r="AE269" t="str">
        <x:v>LOAD</x:v>
      </x:c>
      <x:c r="AF269" t="str">
        <x:v>02_Supervisor_Log(4).xlsx</x:v>
      </x:c>
      <x:c r="AG269" t="str">
        <x:v>ENH-20260830-01</x:v>
      </x:c>
      <x:c r="AH269" t="str">
        <x:v>Active</x:v>
      </x:c>
      <x:c r="AI269"/>
      <x:c r="AJ269"/>
      <x:c r="AK269"/>
      <x:c r="AL269"/>
    </x:row>
    <x:row r="270">
      <x:c r="A270" t="s">
        <x:v>485</x:v>
      </x:c>
      <x:c r="B270" t="s">
        <x:v>480</x:v>
      </x:c>
      <x:c r="C270" t="s">
        <x:v>44</x:v>
      </x:c>
      <x:c r="D270">
        <x:v>45953</x:v>
      </x:c>
      <x:c r="E270" t="s">
        <x:v>45</x:v>
      </x:c>
      <x:c r="F270" t="s">
        <x:v>55</x:v>
      </x:c>
      <x:c r="G270">
        <x:v>22</x:v>
      </x:c>
      <x:c r="H270" t="s">
        <x:v>61</x:v>
      </x:c>
      <x:c r="I270">
        <x:v>6</x:v>
      </x:c>
      <x:c r="J270">
        <x:v>10</x:v>
      </x:c>
      <x:c r="K270">
        <x:v>2</x:v>
      </x:c>
      <x:c r="L270">
        <x:f t="shared" si="28"/>
        <x:v>1</x:v>
      </x:c>
      <x:c r="P270">
        <x:f t="shared" si="29"/>
        <x:v>1</x:v>
      </x:c>
      <x:c r="Q270">
        <x:f t="shared" si="30"/>
        <x:v>1</x:v>
      </x:c>
      <x:c r="R270">
        <x:f t="shared" si="31"/>
        <x:v>0</x:v>
      </x:c>
      <x:c r="S270">
        <x:f t="shared" si="32"/>
        <x:v>2</x:v>
      </x:c>
      <x:c r="T270" t="str">
        <x:f t="shared" si="33"/>
        <x:v>DerivedFromCount</x:v>
      </x:c>
      <x:c r="U270" t="str">
        <x:f>IF(COUNTIF(DailyProduction!$Q$5:$Q$100,B270)=1,"OK","CHECK")</x:f>
        <x:v>OK</x:v>
      </x:c>
      <x:c r="V270" t="str">
        <x:f t="shared" si="34"/>
        <x:v>OK</x:v>
      </x:c>
      <x:c r="W270" t="str">
        <x:f>IF(SUMIF($B$5:$B$914,B270,$S$5:$S$914)=SUMIF(DailyProduction!$Q$5:$Q$100,B270,DailyProduction!$R$5:$R$100),"OK","CHECK")</x:f>
        <x:v>OK</x:v>
      </x:c>
      <x:c r="X270" t="str">
        <x:v>PLC-PRD-JAR-720-L22</x:v>
      </x:c>
      <x:c r="Y270" t="str">
        <x:v>OK</x:v>
      </x:c>
      <x:c r="Z270" t="str">
        <x:v>OK</x:v>
      </x:c>
      <x:c r="AA270" t="n">
        <x:v>3</x:v>
      </x:c>
      <x:c r="AB270" t="n">
        <x:v>2</x:v>
      </x:c>
      <x:c r="AC270" t="str">
        <x:v>OK</x:v>
      </x:c>
      <x:c r="AD270" t="str">
        <x:v>OK</x:v>
      </x:c>
      <x:c r="AE270" t="str">
        <x:v>LOAD</x:v>
      </x:c>
      <x:c r="AF270" t="str">
        <x:v>02_Supervisor_Log(4).xlsx</x:v>
      </x:c>
      <x:c r="AG270" t="str">
        <x:v>ENH-20260830-01</x:v>
      </x:c>
      <x:c r="AH270" t="str">
        <x:v>Active</x:v>
      </x:c>
      <x:c r="AI270"/>
      <x:c r="AJ270"/>
      <x:c r="AK270"/>
      <x:c r="AL270"/>
    </x:row>
    <x:row r="271">
      <x:c r="A271" t="s">
        <x:v>486</x:v>
      </x:c>
      <x:c r="B271" t="s">
        <x:v>480</x:v>
      </x:c>
      <x:c r="C271" t="s">
        <x:v>44</x:v>
      </x:c>
      <x:c r="D271">
        <x:v>45953</x:v>
      </x:c>
      <x:c r="E271" t="s">
        <x:v>45</x:v>
      </x:c>
      <x:c r="F271" t="s">
        <x:v>55</x:v>
      </x:c>
      <x:c r="G271">
        <x:v>22</x:v>
      </x:c>
      <x:c r="H271" t="s">
        <x:v>61</x:v>
      </x:c>
      <x:c r="I271">
        <x:v>7</x:v>
      </x:c>
      <x:c r="J271">
        <x:v>10</x:v>
      </x:c>
      <x:c r="K271">
        <x:v>2</x:v>
      </x:c>
      <x:c r="L271">
        <x:f t="shared" si="28"/>
        <x:v>1</x:v>
      </x:c>
      <x:c r="P271">
        <x:f t="shared" si="29"/>
        <x:v>1</x:v>
      </x:c>
      <x:c r="Q271">
        <x:f t="shared" si="30"/>
        <x:v>1</x:v>
      </x:c>
      <x:c r="R271">
        <x:f t="shared" si="31"/>
        <x:v>0</x:v>
      </x:c>
      <x:c r="S271">
        <x:f t="shared" si="32"/>
        <x:v>2</x:v>
      </x:c>
      <x:c r="T271" t="str">
        <x:f t="shared" si="33"/>
        <x:v>DerivedFromCount</x:v>
      </x:c>
      <x:c r="U271" t="str">
        <x:f>IF(COUNTIF(DailyProduction!$Q$5:$Q$100,B271)=1,"OK","CHECK")</x:f>
        <x:v>OK</x:v>
      </x:c>
      <x:c r="V271" t="str">
        <x:f t="shared" si="34"/>
        <x:v>OK</x:v>
      </x:c>
      <x:c r="W271" t="str">
        <x:f>IF(SUMIF($B$5:$B$914,B271,$S$5:$S$914)=SUMIF(DailyProduction!$Q$5:$Q$100,B271,DailyProduction!$R$5:$R$100),"OK","CHECK")</x:f>
        <x:v>OK</x:v>
      </x:c>
      <x:c r="X271" t="str">
        <x:v>PLC-PRD-JAR-720-L22</x:v>
      </x:c>
      <x:c r="Y271" t="str">
        <x:v>OK</x:v>
      </x:c>
      <x:c r="Z271" t="str">
        <x:v>OK</x:v>
      </x:c>
      <x:c r="AA271" t="n">
        <x:v>3</x:v>
      </x:c>
      <x:c r="AB271" t="n">
        <x:v>2</x:v>
      </x:c>
      <x:c r="AC271" t="str">
        <x:v>OK</x:v>
      </x:c>
      <x:c r="AD271" t="str">
        <x:v>OK</x:v>
      </x:c>
      <x:c r="AE271" t="str">
        <x:v>LOAD</x:v>
      </x:c>
      <x:c r="AF271" t="str">
        <x:v>02_Supervisor_Log(4).xlsx</x:v>
      </x:c>
      <x:c r="AG271" t="str">
        <x:v>ENH-20260830-01</x:v>
      </x:c>
      <x:c r="AH271" t="str">
        <x:v>Active</x:v>
      </x:c>
      <x:c r="AI271"/>
      <x:c r="AJ271"/>
      <x:c r="AK271"/>
      <x:c r="AL271"/>
    </x:row>
    <x:row r="272">
      <x:c r="A272" t="s">
        <x:v>487</x:v>
      </x:c>
      <x:c r="B272" t="s">
        <x:v>480</x:v>
      </x:c>
      <x:c r="C272" t="s">
        <x:v>44</x:v>
      </x:c>
      <x:c r="D272">
        <x:v>45953</x:v>
      </x:c>
      <x:c r="E272" t="s">
        <x:v>45</x:v>
      </x:c>
      <x:c r="F272" t="s">
        <x:v>55</x:v>
      </x:c>
      <x:c r="G272">
        <x:v>22</x:v>
      </x:c>
      <x:c r="H272" t="s">
        <x:v>61</x:v>
      </x:c>
      <x:c r="I272">
        <x:v>8</x:v>
      </x:c>
      <x:c r="J272">
        <x:v>10</x:v>
      </x:c>
      <x:c r="K272">
        <x:v>2</x:v>
      </x:c>
      <x:c r="L272">
        <x:f t="shared" si="28"/>
        <x:v>1</x:v>
      </x:c>
      <x:c r="P272">
        <x:f t="shared" si="29"/>
        <x:v>1</x:v>
      </x:c>
      <x:c r="Q272">
        <x:f t="shared" si="30"/>
        <x:v>1</x:v>
      </x:c>
      <x:c r="R272">
        <x:f t="shared" si="31"/>
        <x:v>0</x:v>
      </x:c>
      <x:c r="S272">
        <x:f t="shared" si="32"/>
        <x:v>2</x:v>
      </x:c>
      <x:c r="T272" t="str">
        <x:f t="shared" si="33"/>
        <x:v>DerivedFromCount</x:v>
      </x:c>
      <x:c r="U272" t="str">
        <x:f>IF(COUNTIF(DailyProduction!$Q$5:$Q$100,B272)=1,"OK","CHECK")</x:f>
        <x:v>OK</x:v>
      </x:c>
      <x:c r="V272" t="str">
        <x:f t="shared" si="34"/>
        <x:v>OK</x:v>
      </x:c>
      <x:c r="W272" t="str">
        <x:f>IF(SUMIF($B$5:$B$914,B272,$S$5:$S$914)=SUMIF(DailyProduction!$Q$5:$Q$100,B272,DailyProduction!$R$5:$R$100),"OK","CHECK")</x:f>
        <x:v>OK</x:v>
      </x:c>
      <x:c r="X272" t="str">
        <x:v>PLC-PRD-JAR-720-L22</x:v>
      </x:c>
      <x:c r="Y272" t="str">
        <x:v>OK</x:v>
      </x:c>
      <x:c r="Z272" t="str">
        <x:v>OK</x:v>
      </x:c>
      <x:c r="AA272" t="n">
        <x:v>3</x:v>
      </x:c>
      <x:c r="AB272" t="n">
        <x:v>2</x:v>
      </x:c>
      <x:c r="AC272" t="str">
        <x:v>OK</x:v>
      </x:c>
      <x:c r="AD272" t="str">
        <x:v>OK</x:v>
      </x:c>
      <x:c r="AE272" t="str">
        <x:v>LOAD</x:v>
      </x:c>
      <x:c r="AF272" t="str">
        <x:v>02_Supervisor_Log(4).xlsx</x:v>
      </x:c>
      <x:c r="AG272" t="str">
        <x:v>ENH-20260830-01</x:v>
      </x:c>
      <x:c r="AH272" t="str">
        <x:v>Active</x:v>
      </x:c>
      <x:c r="AI272"/>
      <x:c r="AJ272"/>
      <x:c r="AK272"/>
      <x:c r="AL272"/>
    </x:row>
    <x:row r="273">
      <x:c r="A273" t="s">
        <x:v>488</x:v>
      </x:c>
      <x:c r="B273" t="s">
        <x:v>480</x:v>
      </x:c>
      <x:c r="C273" t="s">
        <x:v>44</x:v>
      </x:c>
      <x:c r="D273">
        <x:v>45953</x:v>
      </x:c>
      <x:c r="E273" t="s">
        <x:v>45</x:v>
      </x:c>
      <x:c r="F273" t="s">
        <x:v>55</x:v>
      </x:c>
      <x:c r="G273">
        <x:v>22</x:v>
      </x:c>
      <x:c r="H273" t="s">
        <x:v>61</x:v>
      </x:c>
      <x:c r="I273">
        <x:v>9</x:v>
      </x:c>
      <x:c r="J273">
        <x:v>10</x:v>
      </x:c>
      <x:c r="K273">
        <x:v>2</x:v>
      </x:c>
      <x:c r="L273">
        <x:f t="shared" si="28"/>
        <x:v>1</x:v>
      </x:c>
      <x:c r="P273">
        <x:f t="shared" si="29"/>
        <x:v>1</x:v>
      </x:c>
      <x:c r="Q273">
        <x:f t="shared" si="30"/>
        <x:v>1</x:v>
      </x:c>
      <x:c r="R273">
        <x:f t="shared" si="31"/>
        <x:v>0</x:v>
      </x:c>
      <x:c r="S273">
        <x:f t="shared" si="32"/>
        <x:v>2</x:v>
      </x:c>
      <x:c r="T273" t="str">
        <x:f t="shared" si="33"/>
        <x:v>DerivedFromCount</x:v>
      </x:c>
      <x:c r="U273" t="str">
        <x:f>IF(COUNTIF(DailyProduction!$Q$5:$Q$100,B273)=1,"OK","CHECK")</x:f>
        <x:v>OK</x:v>
      </x:c>
      <x:c r="V273" t="str">
        <x:f t="shared" si="34"/>
        <x:v>OK</x:v>
      </x:c>
      <x:c r="W273" t="str">
        <x:f>IF(SUMIF($B$5:$B$914,B273,$S$5:$S$914)=SUMIF(DailyProduction!$Q$5:$Q$100,B273,DailyProduction!$R$5:$R$100),"OK","CHECK")</x:f>
        <x:v>OK</x:v>
      </x:c>
      <x:c r="X273" t="str">
        <x:v>PLC-PRD-JAR-720-L22</x:v>
      </x:c>
      <x:c r="Y273" t="str">
        <x:v>OK</x:v>
      </x:c>
      <x:c r="Z273" t="str">
        <x:v>OK</x:v>
      </x:c>
      <x:c r="AA273" t="n">
        <x:v>3</x:v>
      </x:c>
      <x:c r="AB273" t="n">
        <x:v>2</x:v>
      </x:c>
      <x:c r="AC273" t="str">
        <x:v>OK</x:v>
      </x:c>
      <x:c r="AD273" t="str">
        <x:v>OK</x:v>
      </x:c>
      <x:c r="AE273" t="str">
        <x:v>LOAD</x:v>
      </x:c>
      <x:c r="AF273" t="str">
        <x:v>02_Supervisor_Log(4).xlsx</x:v>
      </x:c>
      <x:c r="AG273" t="str">
        <x:v>ENH-20260830-01</x:v>
      </x:c>
      <x:c r="AH273" t="str">
        <x:v>Active</x:v>
      </x:c>
      <x:c r="AI273"/>
      <x:c r="AJ273"/>
      <x:c r="AK273"/>
      <x:c r="AL273"/>
    </x:row>
    <x:row r="274">
      <x:c r="A274" t="s">
        <x:v>489</x:v>
      </x:c>
      <x:c r="B274" t="s">
        <x:v>480</x:v>
      </x:c>
      <x:c r="C274" t="s">
        <x:v>44</x:v>
      </x:c>
      <x:c r="D274">
        <x:v>45953</x:v>
      </x:c>
      <x:c r="E274" t="s">
        <x:v>45</x:v>
      </x:c>
      <x:c r="F274" t="s">
        <x:v>55</x:v>
      </x:c>
      <x:c r="G274">
        <x:v>22</x:v>
      </x:c>
      <x:c r="H274" t="s">
        <x:v>61</x:v>
      </x:c>
      <x:c r="I274">
        <x:v>10</x:v>
      </x:c>
      <x:c r="J274">
        <x:v>10</x:v>
      </x:c>
      <x:c r="K274">
        <x:v>2</x:v>
      </x:c>
      <x:c r="L274">
        <x:f t="shared" si="28"/>
        <x:v>1</x:v>
      </x:c>
      <x:c r="P274">
        <x:f t="shared" si="29"/>
        <x:v>1</x:v>
      </x:c>
      <x:c r="Q274">
        <x:f t="shared" si="30"/>
        <x:v>1</x:v>
      </x:c>
      <x:c r="R274">
        <x:f t="shared" si="31"/>
        <x:v>0</x:v>
      </x:c>
      <x:c r="S274">
        <x:f t="shared" si="32"/>
        <x:v>2</x:v>
      </x:c>
      <x:c r="T274" t="str">
        <x:f t="shared" si="33"/>
        <x:v>DerivedFromCount</x:v>
      </x:c>
      <x:c r="U274" t="str">
        <x:f>IF(COUNTIF(DailyProduction!$Q$5:$Q$100,B274)=1,"OK","CHECK")</x:f>
        <x:v>OK</x:v>
      </x:c>
      <x:c r="V274" t="str">
        <x:f t="shared" si="34"/>
        <x:v>OK</x:v>
      </x:c>
      <x:c r="W274" t="str">
        <x:f>IF(SUMIF($B$5:$B$914,B274,$S$5:$S$914)=SUMIF(DailyProduction!$Q$5:$Q$100,B274,DailyProduction!$R$5:$R$100),"OK","CHECK")</x:f>
        <x:v>OK</x:v>
      </x:c>
      <x:c r="X274" t="str">
        <x:v>PLC-PRD-JAR-720-L22</x:v>
      </x:c>
      <x:c r="Y274" t="str">
        <x:v>OK</x:v>
      </x:c>
      <x:c r="Z274" t="str">
        <x:v>OK</x:v>
      </x:c>
      <x:c r="AA274" t="n">
        <x:v>3</x:v>
      </x:c>
      <x:c r="AB274" t="n">
        <x:v>2</x:v>
      </x:c>
      <x:c r="AC274" t="str">
        <x:v>OK</x:v>
      </x:c>
      <x:c r="AD274" t="str">
        <x:v>OK</x:v>
      </x:c>
      <x:c r="AE274" t="str">
        <x:v>LOAD</x:v>
      </x:c>
      <x:c r="AF274" t="str">
        <x:v>02_Supervisor_Log(4).xlsx</x:v>
      </x:c>
      <x:c r="AG274" t="str">
        <x:v>ENH-20260830-01</x:v>
      </x:c>
      <x:c r="AH274" t="str">
        <x:v>Active</x:v>
      </x:c>
      <x:c r="AI274"/>
      <x:c r="AJ274"/>
      <x:c r="AK274"/>
      <x:c r="AL274"/>
    </x:row>
    <x:row r="275">
      <x:c r="A275" t="s">
        <x:v>490</x:v>
      </x:c>
      <x:c r="B275" t="s">
        <x:v>480</x:v>
      </x:c>
      <x:c r="C275" t="s">
        <x:v>44</x:v>
      </x:c>
      <x:c r="D275">
        <x:v>45953</x:v>
      </x:c>
      <x:c r="E275" t="s">
        <x:v>45</x:v>
      </x:c>
      <x:c r="F275" t="s">
        <x:v>55</x:v>
      </x:c>
      <x:c r="G275">
        <x:v>22</x:v>
      </x:c>
      <x:c r="H275" t="s">
        <x:v>61</x:v>
      </x:c>
      <x:c r="I275">
        <x:v>11</x:v>
      </x:c>
      <x:c r="J275">
        <x:v>10</x:v>
      </x:c>
      <x:c r="K275">
        <x:v>2</x:v>
      </x:c>
      <x:c r="L275">
        <x:f t="shared" si="28"/>
        <x:v>0</x:v>
      </x:c>
      <x:c r="P275">
        <x:f t="shared" si="29"/>
        <x:v>0</x:v>
      </x:c>
      <x:c r="Q275">
        <x:f t="shared" si="30"/>
        <x:v>0</x:v>
      </x:c>
      <x:c r="R275">
        <x:f t="shared" si="31"/>
        <x:v>0</x:v>
      </x:c>
      <x:c r="S275">
        <x:f t="shared" si="32"/>
        <x:v>0</x:v>
      </x:c>
      <x:c r="T275" t="str">
        <x:f t="shared" si="33"/>
        <x:v>DerivedFromCount</x:v>
      </x:c>
      <x:c r="U275" t="str">
        <x:f>IF(COUNTIF(DailyProduction!$Q$5:$Q$100,B275)=1,"OK","CHECK")</x:f>
        <x:v>OK</x:v>
      </x:c>
      <x:c r="V275" t="str">
        <x:f t="shared" si="34"/>
        <x:v>OK</x:v>
      </x:c>
      <x:c r="W275" t="str">
        <x:f>IF(SUMIF($B$5:$B$914,B275,$S$5:$S$914)=SUMIF(DailyProduction!$Q$5:$Q$100,B275,DailyProduction!$R$5:$R$100),"OK","CHECK")</x:f>
        <x:v>OK</x:v>
      </x:c>
      <x:c r="X275" t="str">
        <x:v>PLC-PRD-JAR-720-L22</x:v>
      </x:c>
      <x:c r="Y275" t="str">
        <x:v>OK</x:v>
      </x:c>
      <x:c r="Z275" t="str">
        <x:v>OK</x:v>
      </x:c>
      <x:c r="AA275" t="n">
        <x:v>3</x:v>
      </x:c>
      <x:c r="AB275" t="n">
        <x:v>0</x:v>
      </x:c>
      <x:c r="AC275" t="str">
        <x:v>OK</x:v>
      </x:c>
      <x:c r="AD275" t="str">
        <x:v>OK</x:v>
      </x:c>
      <x:c r="AE275" t="str">
        <x:v>LOAD</x:v>
      </x:c>
      <x:c r="AF275" t="str">
        <x:v>02_Supervisor_Log(4).xlsx</x:v>
      </x:c>
      <x:c r="AG275" t="str">
        <x:v>ENH-20260830-01</x:v>
      </x:c>
      <x:c r="AH275" t="str">
        <x:v>Active</x:v>
      </x:c>
      <x:c r="AI275"/>
      <x:c r="AJ275"/>
      <x:c r="AK275"/>
      <x:c r="AL275"/>
    </x:row>
    <x:row r="276">
      <x:c r="A276" t="s">
        <x:v>491</x:v>
      </x:c>
      <x:c r="B276" t="s">
        <x:v>480</x:v>
      </x:c>
      <x:c r="C276" t="s">
        <x:v>44</x:v>
      </x:c>
      <x:c r="D276">
        <x:v>45953</x:v>
      </x:c>
      <x:c r="E276" t="s">
        <x:v>45</x:v>
      </x:c>
      <x:c r="F276" t="s">
        <x:v>55</x:v>
      </x:c>
      <x:c r="G276">
        <x:v>22</x:v>
      </x:c>
      <x:c r="H276" t="s">
        <x:v>61</x:v>
      </x:c>
      <x:c r="I276">
        <x:v>12</x:v>
      </x:c>
      <x:c r="J276">
        <x:v>10</x:v>
      </x:c>
      <x:c r="K276">
        <x:v>2</x:v>
      </x:c>
      <x:c r="L276">
        <x:f t="shared" si="28"/>
        <x:v>0</x:v>
      </x:c>
      <x:c r="P276">
        <x:f t="shared" si="29"/>
        <x:v>0</x:v>
      </x:c>
      <x:c r="Q276">
        <x:f t="shared" si="30"/>
        <x:v>0</x:v>
      </x:c>
      <x:c r="R276">
        <x:f t="shared" si="31"/>
        <x:v>0</x:v>
      </x:c>
      <x:c r="S276">
        <x:f t="shared" si="32"/>
        <x:v>0</x:v>
      </x:c>
      <x:c r="T276" t="str">
        <x:f t="shared" si="33"/>
        <x:v>DerivedFromCount</x:v>
      </x:c>
      <x:c r="U276" t="str">
        <x:f>IF(COUNTIF(DailyProduction!$Q$5:$Q$100,B276)=1,"OK","CHECK")</x:f>
        <x:v>OK</x:v>
      </x:c>
      <x:c r="V276" t="str">
        <x:f t="shared" si="34"/>
        <x:v>OK</x:v>
      </x:c>
      <x:c r="W276" t="str">
        <x:f>IF(SUMIF($B$5:$B$914,B276,$S$5:$S$914)=SUMIF(DailyProduction!$Q$5:$Q$100,B276,DailyProduction!$R$5:$R$100),"OK","CHECK")</x:f>
        <x:v>OK</x:v>
      </x:c>
      <x:c r="X276" t="str">
        <x:v>PLC-PRD-JAR-720-L22</x:v>
      </x:c>
      <x:c r="Y276" t="str">
        <x:v>OK</x:v>
      </x:c>
      <x:c r="Z276" t="str">
        <x:v>OK</x:v>
      </x:c>
      <x:c r="AA276" t="n">
        <x:v>3</x:v>
      </x:c>
      <x:c r="AB276" t="n">
        <x:v>0</x:v>
      </x:c>
      <x:c r="AC276" t="str">
        <x:v>OK</x:v>
      </x:c>
      <x:c r="AD276" t="str">
        <x:v>OK</x:v>
      </x:c>
      <x:c r="AE276" t="str">
        <x:v>LOAD</x:v>
      </x:c>
      <x:c r="AF276" t="str">
        <x:v>02_Supervisor_Log(4).xlsx</x:v>
      </x:c>
      <x:c r="AG276" t="str">
        <x:v>ENH-20260830-01</x:v>
      </x:c>
      <x:c r="AH276" t="str">
        <x:v>Active</x:v>
      </x:c>
      <x:c r="AI276"/>
      <x:c r="AJ276"/>
      <x:c r="AK276"/>
      <x:c r="AL276"/>
    </x:row>
    <x:row r="277">
      <x:c r="A277" t="s">
        <x:v>492</x:v>
      </x:c>
      <x:c r="B277" t="s">
        <x:v>480</x:v>
      </x:c>
      <x:c r="C277" t="s">
        <x:v>44</x:v>
      </x:c>
      <x:c r="D277">
        <x:v>45953</x:v>
      </x:c>
      <x:c r="E277" t="s">
        <x:v>45</x:v>
      </x:c>
      <x:c r="F277" t="s">
        <x:v>55</x:v>
      </x:c>
      <x:c r="G277">
        <x:v>22</x:v>
      </x:c>
      <x:c r="H277" t="s">
        <x:v>61</x:v>
      </x:c>
      <x:c r="I277">
        <x:v>13</x:v>
      </x:c>
      <x:c r="J277">
        <x:v>10</x:v>
      </x:c>
      <x:c r="K277">
        <x:v>2</x:v>
      </x:c>
      <x:c r="L277">
        <x:f t="shared" si="28"/>
        <x:v>0</x:v>
      </x:c>
      <x:c r="P277">
        <x:f t="shared" si="29"/>
        <x:v>0</x:v>
      </x:c>
      <x:c r="Q277">
        <x:f t="shared" si="30"/>
        <x:v>0</x:v>
      </x:c>
      <x:c r="R277">
        <x:f t="shared" si="31"/>
        <x:v>0</x:v>
      </x:c>
      <x:c r="S277">
        <x:f t="shared" si="32"/>
        <x:v>0</x:v>
      </x:c>
      <x:c r="T277" t="str">
        <x:f t="shared" si="33"/>
        <x:v>DerivedFromCount</x:v>
      </x:c>
      <x:c r="U277" t="str">
        <x:f>IF(COUNTIF(DailyProduction!$Q$5:$Q$100,B277)=1,"OK","CHECK")</x:f>
        <x:v>OK</x:v>
      </x:c>
      <x:c r="V277" t="str">
        <x:f t="shared" si="34"/>
        <x:v>OK</x:v>
      </x:c>
      <x:c r="W277" t="str">
        <x:f>IF(SUMIF($B$5:$B$914,B277,$S$5:$S$914)=SUMIF(DailyProduction!$Q$5:$Q$100,B277,DailyProduction!$R$5:$R$100),"OK","CHECK")</x:f>
        <x:v>OK</x:v>
      </x:c>
      <x:c r="X277" t="str">
        <x:v>PLC-PRD-JAR-720-L22</x:v>
      </x:c>
      <x:c r="Y277" t="str">
        <x:v>OK</x:v>
      </x:c>
      <x:c r="Z277" t="str">
        <x:v>OK</x:v>
      </x:c>
      <x:c r="AA277" t="n">
        <x:v>3</x:v>
      </x:c>
      <x:c r="AB277" t="n">
        <x:v>0</x:v>
      </x:c>
      <x:c r="AC277" t="str">
        <x:v>OK</x:v>
      </x:c>
      <x:c r="AD277" t="str">
        <x:v>OK</x:v>
      </x:c>
      <x:c r="AE277" t="str">
        <x:v>LOAD</x:v>
      </x:c>
      <x:c r="AF277" t="str">
        <x:v>02_Supervisor_Log(4).xlsx</x:v>
      </x:c>
      <x:c r="AG277" t="str">
        <x:v>ENH-20260830-01</x:v>
      </x:c>
      <x:c r="AH277" t="str">
        <x:v>Active</x:v>
      </x:c>
      <x:c r="AI277"/>
      <x:c r="AJ277"/>
      <x:c r="AK277"/>
      <x:c r="AL277"/>
    </x:row>
    <x:row r="278">
      <x:c r="A278" t="s">
        <x:v>493</x:v>
      </x:c>
      <x:c r="B278" t="s">
        <x:v>494</x:v>
      </x:c>
      <x:c r="C278" t="s">
        <x:v>44</x:v>
      </x:c>
      <x:c r="D278">
        <x:v>45953</x:v>
      </x:c>
      <x:c r="E278" t="s">
        <x:v>187</x:v>
      </x:c>
      <x:c r="F278" t="s">
        <x:v>46</x:v>
      </x:c>
      <x:c r="G278">
        <x:v>22</x:v>
      </x:c>
      <x:c r="H278" t="s">
        <x:v>61</x:v>
      </x:c>
      <x:c r="I278">
        <x:v>1</x:v>
      </x:c>
      <x:c r="J278">
        <x:v>10</x:v>
      </x:c>
      <x:c r="K278">
        <x:v>2</x:v>
      </x:c>
      <x:c r="L278">
        <x:f t="shared" si="28"/>
        <x:v>1</x:v>
      </x:c>
      <x:c r="P278">
        <x:f t="shared" si="29"/>
        <x:v>1</x:v>
      </x:c>
      <x:c r="Q278">
        <x:f t="shared" si="30"/>
        <x:v>1</x:v>
      </x:c>
      <x:c r="R278">
        <x:f t="shared" si="31"/>
        <x:v>0</x:v>
      </x:c>
      <x:c r="S278">
        <x:f t="shared" si="32"/>
        <x:v>2</x:v>
      </x:c>
      <x:c r="T278" t="str">
        <x:f t="shared" si="33"/>
        <x:v>DerivedFromCount</x:v>
      </x:c>
      <x:c r="U278" t="str">
        <x:f>IF(COUNTIF(DailyProduction!$Q$5:$Q$100,B278)=1,"OK","CHECK")</x:f>
        <x:v>OK</x:v>
      </x:c>
      <x:c r="V278" t="str">
        <x:f t="shared" si="34"/>
        <x:v>OK</x:v>
      </x:c>
      <x:c r="W278" t="str">
        <x:f>IF(SUMIF($B$5:$B$914,B278,$S$5:$S$914)=SUMIF(DailyProduction!$Q$5:$Q$100,B278,DailyProduction!$R$5:$R$100),"OK","CHECK")</x:f>
        <x:v>OK</x:v>
      </x:c>
      <x:c r="X278" t="str">
        <x:v>PLC-PRD-JAR-720-L22</x:v>
      </x:c>
      <x:c r="Y278" t="str">
        <x:v>OK</x:v>
      </x:c>
      <x:c r="Z278" t="str">
        <x:v>OK</x:v>
      </x:c>
      <x:c r="AA278" t="n">
        <x:v>3</x:v>
      </x:c>
      <x:c r="AB278" t="n">
        <x:v>2</x:v>
      </x:c>
      <x:c r="AC278" t="str">
        <x:v>OK</x:v>
      </x:c>
      <x:c r="AD278" t="str">
        <x:v>OK</x:v>
      </x:c>
      <x:c r="AE278" t="str">
        <x:v>LOAD</x:v>
      </x:c>
      <x:c r="AF278" t="str">
        <x:v>02_Supervisor_Log(4).xlsx</x:v>
      </x:c>
      <x:c r="AG278" t="str">
        <x:v>ENH-20260830-01</x:v>
      </x:c>
      <x:c r="AH278" t="str">
        <x:v>Active</x:v>
      </x:c>
      <x:c r="AI278"/>
      <x:c r="AJ278"/>
      <x:c r="AK278"/>
      <x:c r="AL278"/>
    </x:row>
    <x:row r="279">
      <x:c r="A279" t="s">
        <x:v>495</x:v>
      </x:c>
      <x:c r="B279" t="s">
        <x:v>494</x:v>
      </x:c>
      <x:c r="C279" t="s">
        <x:v>44</x:v>
      </x:c>
      <x:c r="D279">
        <x:v>45953</x:v>
      </x:c>
      <x:c r="E279" t="s">
        <x:v>187</x:v>
      </x:c>
      <x:c r="F279" t="s">
        <x:v>46</x:v>
      </x:c>
      <x:c r="G279">
        <x:v>22</x:v>
      </x:c>
      <x:c r="H279" t="s">
        <x:v>61</x:v>
      </x:c>
      <x:c r="I279">
        <x:v>2</x:v>
      </x:c>
      <x:c r="J279">
        <x:v>10</x:v>
      </x:c>
      <x:c r="K279">
        <x:v>2</x:v>
      </x:c>
      <x:c r="L279">
        <x:f t="shared" si="28"/>
        <x:v>1</x:v>
      </x:c>
      <x:c r="P279">
        <x:f t="shared" si="29"/>
        <x:v>1</x:v>
      </x:c>
      <x:c r="Q279">
        <x:f t="shared" si="30"/>
        <x:v>1</x:v>
      </x:c>
      <x:c r="R279">
        <x:f t="shared" si="31"/>
        <x:v>0</x:v>
      </x:c>
      <x:c r="S279">
        <x:f t="shared" si="32"/>
        <x:v>2</x:v>
      </x:c>
      <x:c r="T279" t="str">
        <x:f t="shared" si="33"/>
        <x:v>DerivedFromCount</x:v>
      </x:c>
      <x:c r="U279" t="str">
        <x:f>IF(COUNTIF(DailyProduction!$Q$5:$Q$100,B279)=1,"OK","CHECK")</x:f>
        <x:v>OK</x:v>
      </x:c>
      <x:c r="V279" t="str">
        <x:f t="shared" si="34"/>
        <x:v>OK</x:v>
      </x:c>
      <x:c r="W279" t="str">
        <x:f>IF(SUMIF($B$5:$B$914,B279,$S$5:$S$914)=SUMIF(DailyProduction!$Q$5:$Q$100,B279,DailyProduction!$R$5:$R$100),"OK","CHECK")</x:f>
        <x:v>OK</x:v>
      </x:c>
      <x:c r="X279" t="str">
        <x:v>PLC-PRD-JAR-720-L22</x:v>
      </x:c>
      <x:c r="Y279" t="str">
        <x:v>OK</x:v>
      </x:c>
      <x:c r="Z279" t="str">
        <x:v>OK</x:v>
      </x:c>
      <x:c r="AA279" t="n">
        <x:v>3</x:v>
      </x:c>
      <x:c r="AB279" t="n">
        <x:v>2</x:v>
      </x:c>
      <x:c r="AC279" t="str">
        <x:v>OK</x:v>
      </x:c>
      <x:c r="AD279" t="str">
        <x:v>OK</x:v>
      </x:c>
      <x:c r="AE279" t="str">
        <x:v>LOAD</x:v>
      </x:c>
      <x:c r="AF279" t="str">
        <x:v>02_Supervisor_Log(4).xlsx</x:v>
      </x:c>
      <x:c r="AG279" t="str">
        <x:v>ENH-20260830-01</x:v>
      </x:c>
      <x:c r="AH279" t="str">
        <x:v>Active</x:v>
      </x:c>
      <x:c r="AI279"/>
      <x:c r="AJ279"/>
      <x:c r="AK279"/>
      <x:c r="AL279"/>
    </x:row>
    <x:row r="280">
      <x:c r="A280" t="s">
        <x:v>496</x:v>
      </x:c>
      <x:c r="B280" t="s">
        <x:v>494</x:v>
      </x:c>
      <x:c r="C280" t="s">
        <x:v>44</x:v>
      </x:c>
      <x:c r="D280">
        <x:v>45953</x:v>
      </x:c>
      <x:c r="E280" t="s">
        <x:v>187</x:v>
      </x:c>
      <x:c r="F280" t="s">
        <x:v>46</x:v>
      </x:c>
      <x:c r="G280">
        <x:v>22</x:v>
      </x:c>
      <x:c r="H280" t="s">
        <x:v>61</x:v>
      </x:c>
      <x:c r="I280">
        <x:v>3</x:v>
      </x:c>
      <x:c r="J280">
        <x:v>10</x:v>
      </x:c>
      <x:c r="K280">
        <x:v>2</x:v>
      </x:c>
      <x:c r="L280">
        <x:f t="shared" si="28"/>
        <x:v>1</x:v>
      </x:c>
      <x:c r="P280">
        <x:f t="shared" si="29"/>
        <x:v>1</x:v>
      </x:c>
      <x:c r="Q280">
        <x:f t="shared" si="30"/>
        <x:v>1</x:v>
      </x:c>
      <x:c r="R280">
        <x:f t="shared" si="31"/>
        <x:v>0</x:v>
      </x:c>
      <x:c r="S280">
        <x:f t="shared" si="32"/>
        <x:v>2</x:v>
      </x:c>
      <x:c r="T280" t="str">
        <x:f t="shared" si="33"/>
        <x:v>DerivedFromCount</x:v>
      </x:c>
      <x:c r="U280" t="str">
        <x:f>IF(COUNTIF(DailyProduction!$Q$5:$Q$100,B280)=1,"OK","CHECK")</x:f>
        <x:v>OK</x:v>
      </x:c>
      <x:c r="V280" t="str">
        <x:f t="shared" si="34"/>
        <x:v>OK</x:v>
      </x:c>
      <x:c r="W280" t="str">
        <x:f>IF(SUMIF($B$5:$B$914,B280,$S$5:$S$914)=SUMIF(DailyProduction!$Q$5:$Q$100,B280,DailyProduction!$R$5:$R$100),"OK","CHECK")</x:f>
        <x:v>OK</x:v>
      </x:c>
      <x:c r="X280" t="str">
        <x:v>PLC-PRD-JAR-720-L22</x:v>
      </x:c>
      <x:c r="Y280" t="str">
        <x:v>OK</x:v>
      </x:c>
      <x:c r="Z280" t="str">
        <x:v>OK</x:v>
      </x:c>
      <x:c r="AA280" t="n">
        <x:v>3</x:v>
      </x:c>
      <x:c r="AB280" t="n">
        <x:v>2</x:v>
      </x:c>
      <x:c r="AC280" t="str">
        <x:v>OK</x:v>
      </x:c>
      <x:c r="AD280" t="str">
        <x:v>OK</x:v>
      </x:c>
      <x:c r="AE280" t="str">
        <x:v>LOAD</x:v>
      </x:c>
      <x:c r="AF280" t="str">
        <x:v>02_Supervisor_Log(4).xlsx</x:v>
      </x:c>
      <x:c r="AG280" t="str">
        <x:v>ENH-20260830-01</x:v>
      </x:c>
      <x:c r="AH280" t="str">
        <x:v>Active</x:v>
      </x:c>
      <x:c r="AI280"/>
      <x:c r="AJ280"/>
      <x:c r="AK280"/>
      <x:c r="AL280"/>
    </x:row>
    <x:row r="281">
      <x:c r="A281" t="s">
        <x:v>497</x:v>
      </x:c>
      <x:c r="B281" t="s">
        <x:v>494</x:v>
      </x:c>
      <x:c r="C281" t="s">
        <x:v>44</x:v>
      </x:c>
      <x:c r="D281">
        <x:v>45953</x:v>
      </x:c>
      <x:c r="E281" t="s">
        <x:v>187</x:v>
      </x:c>
      <x:c r="F281" t="s">
        <x:v>46</x:v>
      </x:c>
      <x:c r="G281">
        <x:v>22</x:v>
      </x:c>
      <x:c r="H281" t="s">
        <x:v>61</x:v>
      </x:c>
      <x:c r="I281">
        <x:v>4</x:v>
      </x:c>
      <x:c r="J281">
        <x:v>10</x:v>
      </x:c>
      <x:c r="K281">
        <x:v>2</x:v>
      </x:c>
      <x:c r="L281">
        <x:f t="shared" si="28"/>
        <x:v>1</x:v>
      </x:c>
      <x:c r="P281">
        <x:f t="shared" si="29"/>
        <x:v>1</x:v>
      </x:c>
      <x:c r="Q281">
        <x:f t="shared" si="30"/>
        <x:v>1</x:v>
      </x:c>
      <x:c r="R281">
        <x:f t="shared" si="31"/>
        <x:v>0</x:v>
      </x:c>
      <x:c r="S281">
        <x:f t="shared" si="32"/>
        <x:v>2</x:v>
      </x:c>
      <x:c r="T281" t="str">
        <x:f t="shared" si="33"/>
        <x:v>DerivedFromCount</x:v>
      </x:c>
      <x:c r="U281" t="str">
        <x:f>IF(COUNTIF(DailyProduction!$Q$5:$Q$100,B281)=1,"OK","CHECK")</x:f>
        <x:v>OK</x:v>
      </x:c>
      <x:c r="V281" t="str">
        <x:f t="shared" si="34"/>
        <x:v>OK</x:v>
      </x:c>
      <x:c r="W281" t="str">
        <x:f>IF(SUMIF($B$5:$B$914,B281,$S$5:$S$914)=SUMIF(DailyProduction!$Q$5:$Q$100,B281,DailyProduction!$R$5:$R$100),"OK","CHECK")</x:f>
        <x:v>OK</x:v>
      </x:c>
      <x:c r="X281" t="str">
        <x:v>PLC-PRD-JAR-720-L22</x:v>
      </x:c>
      <x:c r="Y281" t="str">
        <x:v>OK</x:v>
      </x:c>
      <x:c r="Z281" t="str">
        <x:v>OK</x:v>
      </x:c>
      <x:c r="AA281" t="n">
        <x:v>3</x:v>
      </x:c>
      <x:c r="AB281" t="n">
        <x:v>2</x:v>
      </x:c>
      <x:c r="AC281" t="str">
        <x:v>OK</x:v>
      </x:c>
      <x:c r="AD281" t="str">
        <x:v>OK</x:v>
      </x:c>
      <x:c r="AE281" t="str">
        <x:v>LOAD</x:v>
      </x:c>
      <x:c r="AF281" t="str">
        <x:v>02_Supervisor_Log(4).xlsx</x:v>
      </x:c>
      <x:c r="AG281" t="str">
        <x:v>ENH-20260830-01</x:v>
      </x:c>
      <x:c r="AH281" t="str">
        <x:v>Active</x:v>
      </x:c>
      <x:c r="AI281"/>
      <x:c r="AJ281"/>
      <x:c r="AK281"/>
      <x:c r="AL281"/>
    </x:row>
    <x:row r="282">
      <x:c r="A282" t="s">
        <x:v>498</x:v>
      </x:c>
      <x:c r="B282" t="s">
        <x:v>494</x:v>
      </x:c>
      <x:c r="C282" t="s">
        <x:v>44</x:v>
      </x:c>
      <x:c r="D282">
        <x:v>45953</x:v>
      </x:c>
      <x:c r="E282" t="s">
        <x:v>187</x:v>
      </x:c>
      <x:c r="F282" t="s">
        <x:v>46</x:v>
      </x:c>
      <x:c r="G282">
        <x:v>22</x:v>
      </x:c>
      <x:c r="H282" t="s">
        <x:v>61</x:v>
      </x:c>
      <x:c r="I282">
        <x:v>5</x:v>
      </x:c>
      <x:c r="J282">
        <x:v>10</x:v>
      </x:c>
      <x:c r="K282">
        <x:v>2</x:v>
      </x:c>
      <x:c r="L282">
        <x:f t="shared" si="28"/>
        <x:v>1</x:v>
      </x:c>
      <x:c r="P282">
        <x:f t="shared" si="29"/>
        <x:v>1</x:v>
      </x:c>
      <x:c r="Q282">
        <x:f t="shared" si="30"/>
        <x:v>1</x:v>
      </x:c>
      <x:c r="R282">
        <x:f t="shared" si="31"/>
        <x:v>0</x:v>
      </x:c>
      <x:c r="S282">
        <x:f t="shared" si="32"/>
        <x:v>2</x:v>
      </x:c>
      <x:c r="T282" t="str">
        <x:f t="shared" si="33"/>
        <x:v>DerivedFromCount</x:v>
      </x:c>
      <x:c r="U282" t="str">
        <x:f>IF(COUNTIF(DailyProduction!$Q$5:$Q$100,B282)=1,"OK","CHECK")</x:f>
        <x:v>OK</x:v>
      </x:c>
      <x:c r="V282" t="str">
        <x:f t="shared" si="34"/>
        <x:v>OK</x:v>
      </x:c>
      <x:c r="W282" t="str">
        <x:f>IF(SUMIF($B$5:$B$914,B282,$S$5:$S$914)=SUMIF(DailyProduction!$Q$5:$Q$100,B282,DailyProduction!$R$5:$R$100),"OK","CHECK")</x:f>
        <x:v>OK</x:v>
      </x:c>
      <x:c r="X282" t="str">
        <x:v>PLC-PRD-JAR-720-L22</x:v>
      </x:c>
      <x:c r="Y282" t="str">
        <x:v>OK</x:v>
      </x:c>
      <x:c r="Z282" t="str">
        <x:v>OK</x:v>
      </x:c>
      <x:c r="AA282" t="n">
        <x:v>3</x:v>
      </x:c>
      <x:c r="AB282" t="n">
        <x:v>2</x:v>
      </x:c>
      <x:c r="AC282" t="str">
        <x:v>OK</x:v>
      </x:c>
      <x:c r="AD282" t="str">
        <x:v>OK</x:v>
      </x:c>
      <x:c r="AE282" t="str">
        <x:v>LOAD</x:v>
      </x:c>
      <x:c r="AF282" t="str">
        <x:v>02_Supervisor_Log(4).xlsx</x:v>
      </x:c>
      <x:c r="AG282" t="str">
        <x:v>ENH-20260830-01</x:v>
      </x:c>
      <x:c r="AH282" t="str">
        <x:v>Active</x:v>
      </x:c>
      <x:c r="AI282"/>
      <x:c r="AJ282"/>
      <x:c r="AK282"/>
      <x:c r="AL282"/>
    </x:row>
    <x:row r="283">
      <x:c r="A283" t="s">
        <x:v>499</x:v>
      </x:c>
      <x:c r="B283" t="s">
        <x:v>494</x:v>
      </x:c>
      <x:c r="C283" t="s">
        <x:v>44</x:v>
      </x:c>
      <x:c r="D283">
        <x:v>45953</x:v>
      </x:c>
      <x:c r="E283" t="s">
        <x:v>187</x:v>
      </x:c>
      <x:c r="F283" t="s">
        <x:v>46</x:v>
      </x:c>
      <x:c r="G283">
        <x:v>22</x:v>
      </x:c>
      <x:c r="H283" t="s">
        <x:v>61</x:v>
      </x:c>
      <x:c r="I283">
        <x:v>6</x:v>
      </x:c>
      <x:c r="J283">
        <x:v>10</x:v>
      </x:c>
      <x:c r="K283">
        <x:v>2</x:v>
      </x:c>
      <x:c r="L283">
        <x:f t="shared" si="28"/>
        <x:v>1</x:v>
      </x:c>
      <x:c r="P283">
        <x:f t="shared" si="29"/>
        <x:v>1</x:v>
      </x:c>
      <x:c r="Q283">
        <x:f t="shared" si="30"/>
        <x:v>1</x:v>
      </x:c>
      <x:c r="R283">
        <x:f t="shared" si="31"/>
        <x:v>0</x:v>
      </x:c>
      <x:c r="S283">
        <x:f t="shared" si="32"/>
        <x:v>2</x:v>
      </x:c>
      <x:c r="T283" t="str">
        <x:f t="shared" si="33"/>
        <x:v>DerivedFromCount</x:v>
      </x:c>
      <x:c r="U283" t="str">
        <x:f>IF(COUNTIF(DailyProduction!$Q$5:$Q$100,B283)=1,"OK","CHECK")</x:f>
        <x:v>OK</x:v>
      </x:c>
      <x:c r="V283" t="str">
        <x:f t="shared" si="34"/>
        <x:v>OK</x:v>
      </x:c>
      <x:c r="W283" t="str">
        <x:f>IF(SUMIF($B$5:$B$914,B283,$S$5:$S$914)=SUMIF(DailyProduction!$Q$5:$Q$100,B283,DailyProduction!$R$5:$R$100),"OK","CHECK")</x:f>
        <x:v>OK</x:v>
      </x:c>
      <x:c r="X283" t="str">
        <x:v>PLC-PRD-JAR-720-L22</x:v>
      </x:c>
      <x:c r="Y283" t="str">
        <x:v>OK</x:v>
      </x:c>
      <x:c r="Z283" t="str">
        <x:v>OK</x:v>
      </x:c>
      <x:c r="AA283" t="n">
        <x:v>3</x:v>
      </x:c>
      <x:c r="AB283" t="n">
        <x:v>2</x:v>
      </x:c>
      <x:c r="AC283" t="str">
        <x:v>OK</x:v>
      </x:c>
      <x:c r="AD283" t="str">
        <x:v>OK</x:v>
      </x:c>
      <x:c r="AE283" t="str">
        <x:v>LOAD</x:v>
      </x:c>
      <x:c r="AF283" t="str">
        <x:v>02_Supervisor_Log(4).xlsx</x:v>
      </x:c>
      <x:c r="AG283" t="str">
        <x:v>ENH-20260830-01</x:v>
      </x:c>
      <x:c r="AH283" t="str">
        <x:v>Active</x:v>
      </x:c>
      <x:c r="AI283"/>
      <x:c r="AJ283"/>
      <x:c r="AK283"/>
      <x:c r="AL283"/>
    </x:row>
    <x:row r="284">
      <x:c r="A284" t="s">
        <x:v>500</x:v>
      </x:c>
      <x:c r="B284" t="s">
        <x:v>494</x:v>
      </x:c>
      <x:c r="C284" t="s">
        <x:v>44</x:v>
      </x:c>
      <x:c r="D284">
        <x:v>45953</x:v>
      </x:c>
      <x:c r="E284" t="s">
        <x:v>187</x:v>
      </x:c>
      <x:c r="F284" t="s">
        <x:v>46</x:v>
      </x:c>
      <x:c r="G284">
        <x:v>22</x:v>
      </x:c>
      <x:c r="H284" t="s">
        <x:v>61</x:v>
      </x:c>
      <x:c r="I284">
        <x:v>7</x:v>
      </x:c>
      <x:c r="J284">
        <x:v>10</x:v>
      </x:c>
      <x:c r="K284">
        <x:v>2</x:v>
      </x:c>
      <x:c r="L284">
        <x:f t="shared" si="28"/>
        <x:v>1</x:v>
      </x:c>
      <x:c r="P284">
        <x:f t="shared" si="29"/>
        <x:v>1</x:v>
      </x:c>
      <x:c r="Q284">
        <x:f t="shared" si="30"/>
        <x:v>1</x:v>
      </x:c>
      <x:c r="R284">
        <x:f t="shared" si="31"/>
        <x:v>0</x:v>
      </x:c>
      <x:c r="S284">
        <x:f t="shared" si="32"/>
        <x:v>2</x:v>
      </x:c>
      <x:c r="T284" t="str">
        <x:f t="shared" si="33"/>
        <x:v>DerivedFromCount</x:v>
      </x:c>
      <x:c r="U284" t="str">
        <x:f>IF(COUNTIF(DailyProduction!$Q$5:$Q$100,B284)=1,"OK","CHECK")</x:f>
        <x:v>OK</x:v>
      </x:c>
      <x:c r="V284" t="str">
        <x:f t="shared" si="34"/>
        <x:v>OK</x:v>
      </x:c>
      <x:c r="W284" t="str">
        <x:f>IF(SUMIF($B$5:$B$914,B284,$S$5:$S$914)=SUMIF(DailyProduction!$Q$5:$Q$100,B284,DailyProduction!$R$5:$R$100),"OK","CHECK")</x:f>
        <x:v>OK</x:v>
      </x:c>
      <x:c r="X284" t="str">
        <x:v>PLC-PRD-JAR-720-L22</x:v>
      </x:c>
      <x:c r="Y284" t="str">
        <x:v>OK</x:v>
      </x:c>
      <x:c r="Z284" t="str">
        <x:v>OK</x:v>
      </x:c>
      <x:c r="AA284" t="n">
        <x:v>3</x:v>
      </x:c>
      <x:c r="AB284" t="n">
        <x:v>2</x:v>
      </x:c>
      <x:c r="AC284" t="str">
        <x:v>OK</x:v>
      </x:c>
      <x:c r="AD284" t="str">
        <x:v>OK</x:v>
      </x:c>
      <x:c r="AE284" t="str">
        <x:v>LOAD</x:v>
      </x:c>
      <x:c r="AF284" t="str">
        <x:v>02_Supervisor_Log(4).xlsx</x:v>
      </x:c>
      <x:c r="AG284" t="str">
        <x:v>ENH-20260830-01</x:v>
      </x:c>
      <x:c r="AH284" t="str">
        <x:v>Active</x:v>
      </x:c>
      <x:c r="AI284"/>
      <x:c r="AJ284"/>
      <x:c r="AK284"/>
      <x:c r="AL284"/>
    </x:row>
    <x:row r="285">
      <x:c r="A285" t="s">
        <x:v>501</x:v>
      </x:c>
      <x:c r="B285" t="s">
        <x:v>494</x:v>
      </x:c>
      <x:c r="C285" t="s">
        <x:v>44</x:v>
      </x:c>
      <x:c r="D285">
        <x:v>45953</x:v>
      </x:c>
      <x:c r="E285" t="s">
        <x:v>187</x:v>
      </x:c>
      <x:c r="F285" t="s">
        <x:v>46</x:v>
      </x:c>
      <x:c r="G285">
        <x:v>22</x:v>
      </x:c>
      <x:c r="H285" t="s">
        <x:v>61</x:v>
      </x:c>
      <x:c r="I285">
        <x:v>8</x:v>
      </x:c>
      <x:c r="J285">
        <x:v>10</x:v>
      </x:c>
      <x:c r="K285">
        <x:v>2</x:v>
      </x:c>
      <x:c r="L285">
        <x:f t="shared" si="28"/>
        <x:v>1</x:v>
      </x:c>
      <x:c r="P285">
        <x:f t="shared" si="29"/>
        <x:v>1</x:v>
      </x:c>
      <x:c r="Q285">
        <x:f t="shared" si="30"/>
        <x:v>1</x:v>
      </x:c>
      <x:c r="R285">
        <x:f t="shared" si="31"/>
        <x:v>0</x:v>
      </x:c>
      <x:c r="S285">
        <x:f t="shared" si="32"/>
        <x:v>2</x:v>
      </x:c>
      <x:c r="T285" t="str">
        <x:f t="shared" si="33"/>
        <x:v>DerivedFromCount</x:v>
      </x:c>
      <x:c r="U285" t="str">
        <x:f>IF(COUNTIF(DailyProduction!$Q$5:$Q$100,B285)=1,"OK","CHECK")</x:f>
        <x:v>OK</x:v>
      </x:c>
      <x:c r="V285" t="str">
        <x:f t="shared" si="34"/>
        <x:v>OK</x:v>
      </x:c>
      <x:c r="W285" t="str">
        <x:f>IF(SUMIF($B$5:$B$914,B285,$S$5:$S$914)=SUMIF(DailyProduction!$Q$5:$Q$100,B285,DailyProduction!$R$5:$R$100),"OK","CHECK")</x:f>
        <x:v>OK</x:v>
      </x:c>
      <x:c r="X285" t="str">
        <x:v>PLC-PRD-JAR-720-L22</x:v>
      </x:c>
      <x:c r="Y285" t="str">
        <x:v>OK</x:v>
      </x:c>
      <x:c r="Z285" t="str">
        <x:v>OK</x:v>
      </x:c>
      <x:c r="AA285" t="n">
        <x:v>3</x:v>
      </x:c>
      <x:c r="AB285" t="n">
        <x:v>2</x:v>
      </x:c>
      <x:c r="AC285" t="str">
        <x:v>OK</x:v>
      </x:c>
      <x:c r="AD285" t="str">
        <x:v>OK</x:v>
      </x:c>
      <x:c r="AE285" t="str">
        <x:v>LOAD</x:v>
      </x:c>
      <x:c r="AF285" t="str">
        <x:v>02_Supervisor_Log(4).xlsx</x:v>
      </x:c>
      <x:c r="AG285" t="str">
        <x:v>ENH-20260830-01</x:v>
      </x:c>
      <x:c r="AH285" t="str">
        <x:v>Active</x:v>
      </x:c>
      <x:c r="AI285"/>
      <x:c r="AJ285"/>
      <x:c r="AK285"/>
      <x:c r="AL285"/>
    </x:row>
    <x:row r="286">
      <x:c r="A286" t="s">
        <x:v>502</x:v>
      </x:c>
      <x:c r="B286" t="s">
        <x:v>494</x:v>
      </x:c>
      <x:c r="C286" t="s">
        <x:v>44</x:v>
      </x:c>
      <x:c r="D286">
        <x:v>45953</x:v>
      </x:c>
      <x:c r="E286" t="s">
        <x:v>187</x:v>
      </x:c>
      <x:c r="F286" t="s">
        <x:v>46</x:v>
      </x:c>
      <x:c r="G286">
        <x:v>22</x:v>
      </x:c>
      <x:c r="H286" t="s">
        <x:v>61</x:v>
      </x:c>
      <x:c r="I286">
        <x:v>9</x:v>
      </x:c>
      <x:c r="J286">
        <x:v>10</x:v>
      </x:c>
      <x:c r="K286">
        <x:v>2</x:v>
      </x:c>
      <x:c r="L286">
        <x:f t="shared" si="28"/>
        <x:v>1</x:v>
      </x:c>
      <x:c r="P286">
        <x:f t="shared" si="29"/>
        <x:v>1</x:v>
      </x:c>
      <x:c r="Q286">
        <x:f t="shared" si="30"/>
        <x:v>1</x:v>
      </x:c>
      <x:c r="R286">
        <x:f t="shared" si="31"/>
        <x:v>0</x:v>
      </x:c>
      <x:c r="S286">
        <x:f t="shared" si="32"/>
        <x:v>2</x:v>
      </x:c>
      <x:c r="T286" t="str">
        <x:f t="shared" si="33"/>
        <x:v>DerivedFromCount</x:v>
      </x:c>
      <x:c r="U286" t="str">
        <x:f>IF(COUNTIF(DailyProduction!$Q$5:$Q$100,B286)=1,"OK","CHECK")</x:f>
        <x:v>OK</x:v>
      </x:c>
      <x:c r="V286" t="str">
        <x:f t="shared" si="34"/>
        <x:v>OK</x:v>
      </x:c>
      <x:c r="W286" t="str">
        <x:f>IF(SUMIF($B$5:$B$914,B286,$S$5:$S$914)=SUMIF(DailyProduction!$Q$5:$Q$100,B286,DailyProduction!$R$5:$R$100),"OK","CHECK")</x:f>
        <x:v>OK</x:v>
      </x:c>
      <x:c r="X286" t="str">
        <x:v>PLC-PRD-JAR-720-L22</x:v>
      </x:c>
      <x:c r="Y286" t="str">
        <x:v>OK</x:v>
      </x:c>
      <x:c r="Z286" t="str">
        <x:v>OK</x:v>
      </x:c>
      <x:c r="AA286" t="n">
        <x:v>3</x:v>
      </x:c>
      <x:c r="AB286" t="n">
        <x:v>2</x:v>
      </x:c>
      <x:c r="AC286" t="str">
        <x:v>OK</x:v>
      </x:c>
      <x:c r="AD286" t="str">
        <x:v>OK</x:v>
      </x:c>
      <x:c r="AE286" t="str">
        <x:v>LOAD</x:v>
      </x:c>
      <x:c r="AF286" t="str">
        <x:v>02_Supervisor_Log(4).xlsx</x:v>
      </x:c>
      <x:c r="AG286" t="str">
        <x:v>ENH-20260830-01</x:v>
      </x:c>
      <x:c r="AH286" t="str">
        <x:v>Active</x:v>
      </x:c>
      <x:c r="AI286"/>
      <x:c r="AJ286"/>
      <x:c r="AK286"/>
      <x:c r="AL286"/>
    </x:row>
    <x:row r="287">
      <x:c r="A287" t="s">
        <x:v>503</x:v>
      </x:c>
      <x:c r="B287" t="s">
        <x:v>494</x:v>
      </x:c>
      <x:c r="C287" t="s">
        <x:v>44</x:v>
      </x:c>
      <x:c r="D287">
        <x:v>45953</x:v>
      </x:c>
      <x:c r="E287" t="s">
        <x:v>187</x:v>
      </x:c>
      <x:c r="F287" t="s">
        <x:v>46</x:v>
      </x:c>
      <x:c r="G287">
        <x:v>22</x:v>
      </x:c>
      <x:c r="H287" t="s">
        <x:v>61</x:v>
      </x:c>
      <x:c r="I287">
        <x:v>10</x:v>
      </x:c>
      <x:c r="J287">
        <x:v>10</x:v>
      </x:c>
      <x:c r="K287">
        <x:v>2</x:v>
      </x:c>
      <x:c r="L287">
        <x:f t="shared" si="28"/>
        <x:v>1</x:v>
      </x:c>
      <x:c r="P287">
        <x:f t="shared" si="29"/>
        <x:v>1</x:v>
      </x:c>
      <x:c r="Q287">
        <x:f t="shared" si="30"/>
        <x:v>1</x:v>
      </x:c>
      <x:c r="R287">
        <x:f t="shared" si="31"/>
        <x:v>0</x:v>
      </x:c>
      <x:c r="S287">
        <x:f t="shared" si="32"/>
        <x:v>2</x:v>
      </x:c>
      <x:c r="T287" t="str">
        <x:f t="shared" si="33"/>
        <x:v>DerivedFromCount</x:v>
      </x:c>
      <x:c r="U287" t="str">
        <x:f>IF(COUNTIF(DailyProduction!$Q$5:$Q$100,B287)=1,"OK","CHECK")</x:f>
        <x:v>OK</x:v>
      </x:c>
      <x:c r="V287" t="str">
        <x:f t="shared" si="34"/>
        <x:v>OK</x:v>
      </x:c>
      <x:c r="W287" t="str">
        <x:f>IF(SUMIF($B$5:$B$914,B287,$S$5:$S$914)=SUMIF(DailyProduction!$Q$5:$Q$100,B287,DailyProduction!$R$5:$R$100),"OK","CHECK")</x:f>
        <x:v>OK</x:v>
      </x:c>
      <x:c r="X287" t="str">
        <x:v>PLC-PRD-JAR-720-L22</x:v>
      </x:c>
      <x:c r="Y287" t="str">
        <x:v>OK</x:v>
      </x:c>
      <x:c r="Z287" t="str">
        <x:v>OK</x:v>
      </x:c>
      <x:c r="AA287" t="n">
        <x:v>3</x:v>
      </x:c>
      <x:c r="AB287" t="n">
        <x:v>2</x:v>
      </x:c>
      <x:c r="AC287" t="str">
        <x:v>OK</x:v>
      </x:c>
      <x:c r="AD287" t="str">
        <x:v>OK</x:v>
      </x:c>
      <x:c r="AE287" t="str">
        <x:v>LOAD</x:v>
      </x:c>
      <x:c r="AF287" t="str">
        <x:v>02_Supervisor_Log(4).xlsx</x:v>
      </x:c>
      <x:c r="AG287" t="str">
        <x:v>ENH-20260830-01</x:v>
      </x:c>
      <x:c r="AH287" t="str">
        <x:v>Active</x:v>
      </x:c>
      <x:c r="AI287"/>
      <x:c r="AJ287"/>
      <x:c r="AK287"/>
      <x:c r="AL287"/>
    </x:row>
    <x:row r="288">
      <x:c r="A288" t="s">
        <x:v>504</x:v>
      </x:c>
      <x:c r="B288" t="s">
        <x:v>494</x:v>
      </x:c>
      <x:c r="C288" t="s">
        <x:v>44</x:v>
      </x:c>
      <x:c r="D288">
        <x:v>45953</x:v>
      </x:c>
      <x:c r="E288" t="s">
        <x:v>187</x:v>
      </x:c>
      <x:c r="F288" t="s">
        <x:v>46</x:v>
      </x:c>
      <x:c r="G288">
        <x:v>22</x:v>
      </x:c>
      <x:c r="H288" t="s">
        <x:v>61</x:v>
      </x:c>
      <x:c r="I288">
        <x:v>11</x:v>
      </x:c>
      <x:c r="J288">
        <x:v>10</x:v>
      </x:c>
      <x:c r="K288">
        <x:v>2</x:v>
      </x:c>
      <x:c r="L288">
        <x:f t="shared" si="28"/>
        <x:v>0</x:v>
      </x:c>
      <x:c r="P288">
        <x:f t="shared" si="29"/>
        <x:v>0</x:v>
      </x:c>
      <x:c r="Q288">
        <x:f t="shared" si="30"/>
        <x:v>0</x:v>
      </x:c>
      <x:c r="R288">
        <x:f t="shared" si="31"/>
        <x:v>0</x:v>
      </x:c>
      <x:c r="S288">
        <x:f t="shared" si="32"/>
        <x:v>0</x:v>
      </x:c>
      <x:c r="T288" t="str">
        <x:f t="shared" si="33"/>
        <x:v>DerivedFromCount</x:v>
      </x:c>
      <x:c r="U288" t="str">
        <x:f>IF(COUNTIF(DailyProduction!$Q$5:$Q$100,B288)=1,"OK","CHECK")</x:f>
        <x:v>OK</x:v>
      </x:c>
      <x:c r="V288" t="str">
        <x:f t="shared" si="34"/>
        <x:v>OK</x:v>
      </x:c>
      <x:c r="W288" t="str">
        <x:f>IF(SUMIF($B$5:$B$914,B288,$S$5:$S$914)=SUMIF(DailyProduction!$Q$5:$Q$100,B288,DailyProduction!$R$5:$R$100),"OK","CHECK")</x:f>
        <x:v>OK</x:v>
      </x:c>
      <x:c r="X288" t="str">
        <x:v>PLC-PRD-JAR-720-L22</x:v>
      </x:c>
      <x:c r="Y288" t="str">
        <x:v>OK</x:v>
      </x:c>
      <x:c r="Z288" t="str">
        <x:v>OK</x:v>
      </x:c>
      <x:c r="AA288" t="n">
        <x:v>3</x:v>
      </x:c>
      <x:c r="AB288" t="n">
        <x:v>0</x:v>
      </x:c>
      <x:c r="AC288" t="str">
        <x:v>OK</x:v>
      </x:c>
      <x:c r="AD288" t="str">
        <x:v>OK</x:v>
      </x:c>
      <x:c r="AE288" t="str">
        <x:v>LOAD</x:v>
      </x:c>
      <x:c r="AF288" t="str">
        <x:v>02_Supervisor_Log(4).xlsx</x:v>
      </x:c>
      <x:c r="AG288" t="str">
        <x:v>ENH-20260830-01</x:v>
      </x:c>
      <x:c r="AH288" t="str">
        <x:v>Active</x:v>
      </x:c>
      <x:c r="AI288"/>
      <x:c r="AJ288"/>
      <x:c r="AK288"/>
      <x:c r="AL288"/>
    </x:row>
    <x:row r="289">
      <x:c r="A289" t="s">
        <x:v>505</x:v>
      </x:c>
      <x:c r="B289" t="s">
        <x:v>494</x:v>
      </x:c>
      <x:c r="C289" t="s">
        <x:v>44</x:v>
      </x:c>
      <x:c r="D289">
        <x:v>45953</x:v>
      </x:c>
      <x:c r="E289" t="s">
        <x:v>187</x:v>
      </x:c>
      <x:c r="F289" t="s">
        <x:v>46</x:v>
      </x:c>
      <x:c r="G289">
        <x:v>22</x:v>
      </x:c>
      <x:c r="H289" t="s">
        <x:v>61</x:v>
      </x:c>
      <x:c r="I289">
        <x:v>12</x:v>
      </x:c>
      <x:c r="J289">
        <x:v>10</x:v>
      </x:c>
      <x:c r="K289">
        <x:v>2</x:v>
      </x:c>
      <x:c r="L289">
        <x:f t="shared" si="28"/>
        <x:v>0</x:v>
      </x:c>
      <x:c r="P289">
        <x:f t="shared" si="29"/>
        <x:v>0</x:v>
      </x:c>
      <x:c r="Q289">
        <x:f t="shared" si="30"/>
        <x:v>0</x:v>
      </x:c>
      <x:c r="R289">
        <x:f t="shared" si="31"/>
        <x:v>0</x:v>
      </x:c>
      <x:c r="S289">
        <x:f t="shared" si="32"/>
        <x:v>0</x:v>
      </x:c>
      <x:c r="T289" t="str">
        <x:f t="shared" si="33"/>
        <x:v>DerivedFromCount</x:v>
      </x:c>
      <x:c r="U289" t="str">
        <x:f>IF(COUNTIF(DailyProduction!$Q$5:$Q$100,B289)=1,"OK","CHECK")</x:f>
        <x:v>OK</x:v>
      </x:c>
      <x:c r="V289" t="str">
        <x:f t="shared" si="34"/>
        <x:v>OK</x:v>
      </x:c>
      <x:c r="W289" t="str">
        <x:f>IF(SUMIF($B$5:$B$914,B289,$S$5:$S$914)=SUMIF(DailyProduction!$Q$5:$Q$100,B289,DailyProduction!$R$5:$R$100),"OK","CHECK")</x:f>
        <x:v>OK</x:v>
      </x:c>
      <x:c r="X289" t="str">
        <x:v>PLC-PRD-JAR-720-L22</x:v>
      </x:c>
      <x:c r="Y289" t="str">
        <x:v>OK</x:v>
      </x:c>
      <x:c r="Z289" t="str">
        <x:v>OK</x:v>
      </x:c>
      <x:c r="AA289" t="n">
        <x:v>3</x:v>
      </x:c>
      <x:c r="AB289" t="n">
        <x:v>0</x:v>
      </x:c>
      <x:c r="AC289" t="str">
        <x:v>OK</x:v>
      </x:c>
      <x:c r="AD289" t="str">
        <x:v>OK</x:v>
      </x:c>
      <x:c r="AE289" t="str">
        <x:v>LOAD</x:v>
      </x:c>
      <x:c r="AF289" t="str">
        <x:v>02_Supervisor_Log(4).xlsx</x:v>
      </x:c>
      <x:c r="AG289" t="str">
        <x:v>ENH-20260830-01</x:v>
      </x:c>
      <x:c r="AH289" t="str">
        <x:v>Active</x:v>
      </x:c>
      <x:c r="AI289"/>
      <x:c r="AJ289"/>
      <x:c r="AK289"/>
      <x:c r="AL289"/>
    </x:row>
    <x:row r="290">
      <x:c r="A290" t="s">
        <x:v>506</x:v>
      </x:c>
      <x:c r="B290" t="s">
        <x:v>494</x:v>
      </x:c>
      <x:c r="C290" t="s">
        <x:v>44</x:v>
      </x:c>
      <x:c r="D290">
        <x:v>45953</x:v>
      </x:c>
      <x:c r="E290" t="s">
        <x:v>187</x:v>
      </x:c>
      <x:c r="F290" t="s">
        <x:v>46</x:v>
      </x:c>
      <x:c r="G290">
        <x:v>22</x:v>
      </x:c>
      <x:c r="H290" t="s">
        <x:v>61</x:v>
      </x:c>
      <x:c r="I290">
        <x:v>13</x:v>
      </x:c>
      <x:c r="J290">
        <x:v>10</x:v>
      </x:c>
      <x:c r="K290">
        <x:v>2</x:v>
      </x:c>
      <x:c r="L290">
        <x:f t="shared" si="28"/>
        <x:v>0</x:v>
      </x:c>
      <x:c r="P290">
        <x:f t="shared" si="29"/>
        <x:v>0</x:v>
      </x:c>
      <x:c r="Q290">
        <x:f t="shared" si="30"/>
        <x:v>0</x:v>
      </x:c>
      <x:c r="R290">
        <x:f t="shared" si="31"/>
        <x:v>0</x:v>
      </x:c>
      <x:c r="S290">
        <x:f t="shared" si="32"/>
        <x:v>0</x:v>
      </x:c>
      <x:c r="T290" t="str">
        <x:f t="shared" si="33"/>
        <x:v>DerivedFromCount</x:v>
      </x:c>
      <x:c r="U290" t="str">
        <x:f>IF(COUNTIF(DailyProduction!$Q$5:$Q$100,B290)=1,"OK","CHECK")</x:f>
        <x:v>OK</x:v>
      </x:c>
      <x:c r="V290" t="str">
        <x:f t="shared" si="34"/>
        <x:v>OK</x:v>
      </x:c>
      <x:c r="W290" t="str">
        <x:f>IF(SUMIF($B$5:$B$914,B290,$S$5:$S$914)=SUMIF(DailyProduction!$Q$5:$Q$100,B290,DailyProduction!$R$5:$R$100),"OK","CHECK")</x:f>
        <x:v>OK</x:v>
      </x:c>
      <x:c r="X290" t="str">
        <x:v>PLC-PRD-JAR-720-L22</x:v>
      </x:c>
      <x:c r="Y290" t="str">
        <x:v>OK</x:v>
      </x:c>
      <x:c r="Z290" t="str">
        <x:v>OK</x:v>
      </x:c>
      <x:c r="AA290" t="n">
        <x:v>3</x:v>
      </x:c>
      <x:c r="AB290" t="n">
        <x:v>0</x:v>
      </x:c>
      <x:c r="AC290" t="str">
        <x:v>OK</x:v>
      </x:c>
      <x:c r="AD290" t="str">
        <x:v>OK</x:v>
      </x:c>
      <x:c r="AE290" t="str">
        <x:v>LOAD</x:v>
      </x:c>
      <x:c r="AF290" t="str">
        <x:v>02_Supervisor_Log(4).xlsx</x:v>
      </x:c>
      <x:c r="AG290" t="str">
        <x:v>ENH-20260830-01</x:v>
      </x:c>
      <x:c r="AH290" t="str">
        <x:v>Active</x:v>
      </x:c>
      <x:c r="AI290"/>
      <x:c r="AJ290"/>
      <x:c r="AK290"/>
      <x:c r="AL290"/>
    </x:row>
    <x:row r="291">
      <x:c r="A291" t="s">
        <x:v>507</x:v>
      </x:c>
      <x:c r="B291" t="s">
        <x:v>508</x:v>
      </x:c>
      <x:c r="C291" t="s">
        <x:v>44</x:v>
      </x:c>
      <x:c r="D291">
        <x:v>45954</x:v>
      </x:c>
      <x:c r="E291" t="s">
        <x:v>45</x:v>
      </x:c>
      <x:c r="F291" t="s">
        <x:v>46</x:v>
      </x:c>
      <x:c r="G291">
        <x:v>22</x:v>
      </x:c>
      <x:c r="H291" t="s">
        <x:v>61</x:v>
      </x:c>
      <x:c r="I291">
        <x:v>1</x:v>
      </x:c>
      <x:c r="J291">
        <x:v>10</x:v>
      </x:c>
      <x:c r="K291">
        <x:v>2</x:v>
      </x:c>
      <x:c r="L291">
        <x:f t="shared" si="28"/>
        <x:v>1</x:v>
      </x:c>
      <x:c r="P291">
        <x:f t="shared" si="29"/>
        <x:v>1</x:v>
      </x:c>
      <x:c r="Q291">
        <x:f t="shared" si="30"/>
        <x:v>1</x:v>
      </x:c>
      <x:c r="R291">
        <x:f t="shared" si="31"/>
        <x:v>0</x:v>
      </x:c>
      <x:c r="S291">
        <x:f t="shared" si="32"/>
        <x:v>2</x:v>
      </x:c>
      <x:c r="T291" t="str">
        <x:f t="shared" si="33"/>
        <x:v>DerivedFromCount</x:v>
      </x:c>
      <x:c r="U291" t="str">
        <x:f>IF(COUNTIF(DailyProduction!$Q$5:$Q$100,B291)=1,"OK","CHECK")</x:f>
        <x:v>OK</x:v>
      </x:c>
      <x:c r="V291" t="str">
        <x:f t="shared" si="34"/>
        <x:v>OK</x:v>
      </x:c>
      <x:c r="W291" t="str">
        <x:f>IF(SUMIF($B$5:$B$914,B291,$S$5:$S$914)=SUMIF(DailyProduction!$Q$5:$Q$100,B291,DailyProduction!$R$5:$R$100),"OK","CHECK")</x:f>
        <x:v>OK</x:v>
      </x:c>
      <x:c r="X291" t="str">
        <x:v>PLC-PRD-JAR-720-L22</x:v>
      </x:c>
      <x:c r="Y291" t="str">
        <x:v>OK</x:v>
      </x:c>
      <x:c r="Z291" t="str">
        <x:v>OK</x:v>
      </x:c>
      <x:c r="AA291" t="n">
        <x:v>3</x:v>
      </x:c>
      <x:c r="AB291" t="n">
        <x:v>2</x:v>
      </x:c>
      <x:c r="AC291" t="str">
        <x:v>OK</x:v>
      </x:c>
      <x:c r="AD291" t="str">
        <x:v>OK</x:v>
      </x:c>
      <x:c r="AE291" t="str">
        <x:v>LOAD</x:v>
      </x:c>
      <x:c r="AF291" t="str">
        <x:v>02_Supervisor_Log(4).xlsx</x:v>
      </x:c>
      <x:c r="AG291" t="str">
        <x:v>ENH-20260830-01</x:v>
      </x:c>
      <x:c r="AH291" t="str">
        <x:v>Active</x:v>
      </x:c>
      <x:c r="AI291"/>
      <x:c r="AJ291"/>
      <x:c r="AK291"/>
      <x:c r="AL291"/>
    </x:row>
    <x:row r="292">
      <x:c r="A292" t="s">
        <x:v>509</x:v>
      </x:c>
      <x:c r="B292" t="s">
        <x:v>508</x:v>
      </x:c>
      <x:c r="C292" t="s">
        <x:v>44</x:v>
      </x:c>
      <x:c r="D292">
        <x:v>45954</x:v>
      </x:c>
      <x:c r="E292" t="s">
        <x:v>45</x:v>
      </x:c>
      <x:c r="F292" t="s">
        <x:v>46</x:v>
      </x:c>
      <x:c r="G292">
        <x:v>22</x:v>
      </x:c>
      <x:c r="H292" t="s">
        <x:v>61</x:v>
      </x:c>
      <x:c r="I292">
        <x:v>2</x:v>
      </x:c>
      <x:c r="J292">
        <x:v>10</x:v>
      </x:c>
      <x:c r="K292">
        <x:v>2</x:v>
      </x:c>
      <x:c r="L292">
        <x:f t="shared" si="28"/>
        <x:v>1</x:v>
      </x:c>
      <x:c r="P292">
        <x:f t="shared" si="29"/>
        <x:v>1</x:v>
      </x:c>
      <x:c r="Q292">
        <x:f t="shared" si="30"/>
        <x:v>1</x:v>
      </x:c>
      <x:c r="R292">
        <x:f t="shared" si="31"/>
        <x:v>0</x:v>
      </x:c>
      <x:c r="S292">
        <x:f t="shared" si="32"/>
        <x:v>2</x:v>
      </x:c>
      <x:c r="T292" t="str">
        <x:f t="shared" si="33"/>
        <x:v>DerivedFromCount</x:v>
      </x:c>
      <x:c r="U292" t="str">
        <x:f>IF(COUNTIF(DailyProduction!$Q$5:$Q$100,B292)=1,"OK","CHECK")</x:f>
        <x:v>OK</x:v>
      </x:c>
      <x:c r="V292" t="str">
        <x:f t="shared" si="34"/>
        <x:v>OK</x:v>
      </x:c>
      <x:c r="W292" t="str">
        <x:f>IF(SUMIF($B$5:$B$914,B292,$S$5:$S$914)=SUMIF(DailyProduction!$Q$5:$Q$100,B292,DailyProduction!$R$5:$R$100),"OK","CHECK")</x:f>
        <x:v>OK</x:v>
      </x:c>
      <x:c r="X292" t="str">
        <x:v>PLC-PRD-JAR-720-L22</x:v>
      </x:c>
      <x:c r="Y292" t="str">
        <x:v>OK</x:v>
      </x:c>
      <x:c r="Z292" t="str">
        <x:v>OK</x:v>
      </x:c>
      <x:c r="AA292" t="n">
        <x:v>3</x:v>
      </x:c>
      <x:c r="AB292" t="n">
        <x:v>2</x:v>
      </x:c>
      <x:c r="AC292" t="str">
        <x:v>OK</x:v>
      </x:c>
      <x:c r="AD292" t="str">
        <x:v>OK</x:v>
      </x:c>
      <x:c r="AE292" t="str">
        <x:v>LOAD</x:v>
      </x:c>
      <x:c r="AF292" t="str">
        <x:v>02_Supervisor_Log(4).xlsx</x:v>
      </x:c>
      <x:c r="AG292" t="str">
        <x:v>ENH-20260830-01</x:v>
      </x:c>
      <x:c r="AH292" t="str">
        <x:v>Active</x:v>
      </x:c>
      <x:c r="AI292"/>
      <x:c r="AJ292"/>
      <x:c r="AK292"/>
      <x:c r="AL292"/>
    </x:row>
    <x:row r="293">
      <x:c r="A293" t="s">
        <x:v>510</x:v>
      </x:c>
      <x:c r="B293" t="s">
        <x:v>508</x:v>
      </x:c>
      <x:c r="C293" t="s">
        <x:v>44</x:v>
      </x:c>
      <x:c r="D293">
        <x:v>45954</x:v>
      </x:c>
      <x:c r="E293" t="s">
        <x:v>45</x:v>
      </x:c>
      <x:c r="F293" t="s">
        <x:v>46</x:v>
      </x:c>
      <x:c r="G293">
        <x:v>22</x:v>
      </x:c>
      <x:c r="H293" t="s">
        <x:v>61</x:v>
      </x:c>
      <x:c r="I293">
        <x:v>3</x:v>
      </x:c>
      <x:c r="J293">
        <x:v>10</x:v>
      </x:c>
      <x:c r="K293">
        <x:v>2</x:v>
      </x:c>
      <x:c r="L293">
        <x:f t="shared" si="28"/>
        <x:v>1</x:v>
      </x:c>
      <x:c r="P293">
        <x:f t="shared" si="29"/>
        <x:v>1</x:v>
      </x:c>
      <x:c r="Q293">
        <x:f t="shared" si="30"/>
        <x:v>1</x:v>
      </x:c>
      <x:c r="R293">
        <x:f t="shared" si="31"/>
        <x:v>0</x:v>
      </x:c>
      <x:c r="S293">
        <x:f t="shared" si="32"/>
        <x:v>2</x:v>
      </x:c>
      <x:c r="T293" t="str">
        <x:f t="shared" si="33"/>
        <x:v>DerivedFromCount</x:v>
      </x:c>
      <x:c r="U293" t="str">
        <x:f>IF(COUNTIF(DailyProduction!$Q$5:$Q$100,B293)=1,"OK","CHECK")</x:f>
        <x:v>OK</x:v>
      </x:c>
      <x:c r="V293" t="str">
        <x:f t="shared" si="34"/>
        <x:v>OK</x:v>
      </x:c>
      <x:c r="W293" t="str">
        <x:f>IF(SUMIF($B$5:$B$914,B293,$S$5:$S$914)=SUMIF(DailyProduction!$Q$5:$Q$100,B293,DailyProduction!$R$5:$R$100),"OK","CHECK")</x:f>
        <x:v>OK</x:v>
      </x:c>
      <x:c r="X293" t="str">
        <x:v>PLC-PRD-JAR-720-L22</x:v>
      </x:c>
      <x:c r="Y293" t="str">
        <x:v>OK</x:v>
      </x:c>
      <x:c r="Z293" t="str">
        <x:v>OK</x:v>
      </x:c>
      <x:c r="AA293" t="n">
        <x:v>3</x:v>
      </x:c>
      <x:c r="AB293" t="n">
        <x:v>2</x:v>
      </x:c>
      <x:c r="AC293" t="str">
        <x:v>OK</x:v>
      </x:c>
      <x:c r="AD293" t="str">
        <x:v>OK</x:v>
      </x:c>
      <x:c r="AE293" t="str">
        <x:v>LOAD</x:v>
      </x:c>
      <x:c r="AF293" t="str">
        <x:v>02_Supervisor_Log(4).xlsx</x:v>
      </x:c>
      <x:c r="AG293" t="str">
        <x:v>ENH-20260830-01</x:v>
      </x:c>
      <x:c r="AH293" t="str">
        <x:v>Active</x:v>
      </x:c>
      <x:c r="AI293"/>
      <x:c r="AJ293"/>
      <x:c r="AK293"/>
      <x:c r="AL293"/>
    </x:row>
    <x:row r="294">
      <x:c r="A294" t="s">
        <x:v>511</x:v>
      </x:c>
      <x:c r="B294" t="s">
        <x:v>508</x:v>
      </x:c>
      <x:c r="C294" t="s">
        <x:v>44</x:v>
      </x:c>
      <x:c r="D294">
        <x:v>45954</x:v>
      </x:c>
      <x:c r="E294" t="s">
        <x:v>45</x:v>
      </x:c>
      <x:c r="F294" t="s">
        <x:v>46</x:v>
      </x:c>
      <x:c r="G294">
        <x:v>22</x:v>
      </x:c>
      <x:c r="H294" t="s">
        <x:v>61</x:v>
      </x:c>
      <x:c r="I294">
        <x:v>4</x:v>
      </x:c>
      <x:c r="J294">
        <x:v>10</x:v>
      </x:c>
      <x:c r="K294">
        <x:v>2</x:v>
      </x:c>
      <x:c r="L294">
        <x:f t="shared" si="28"/>
        <x:v>1</x:v>
      </x:c>
      <x:c r="P294">
        <x:f t="shared" si="29"/>
        <x:v>1</x:v>
      </x:c>
      <x:c r="Q294">
        <x:f t="shared" si="30"/>
        <x:v>1</x:v>
      </x:c>
      <x:c r="R294">
        <x:f t="shared" si="31"/>
        <x:v>0</x:v>
      </x:c>
      <x:c r="S294">
        <x:f t="shared" si="32"/>
        <x:v>2</x:v>
      </x:c>
      <x:c r="T294" t="str">
        <x:f t="shared" si="33"/>
        <x:v>DerivedFromCount</x:v>
      </x:c>
      <x:c r="U294" t="str">
        <x:f>IF(COUNTIF(DailyProduction!$Q$5:$Q$100,B294)=1,"OK","CHECK")</x:f>
        <x:v>OK</x:v>
      </x:c>
      <x:c r="V294" t="str">
        <x:f t="shared" si="34"/>
        <x:v>OK</x:v>
      </x:c>
      <x:c r="W294" t="str">
        <x:f>IF(SUMIF($B$5:$B$914,B294,$S$5:$S$914)=SUMIF(DailyProduction!$Q$5:$Q$100,B294,DailyProduction!$R$5:$R$100),"OK","CHECK")</x:f>
        <x:v>OK</x:v>
      </x:c>
      <x:c r="X294" t="str">
        <x:v>PLC-PRD-JAR-720-L22</x:v>
      </x:c>
      <x:c r="Y294" t="str">
        <x:v>OK</x:v>
      </x:c>
      <x:c r="Z294" t="str">
        <x:v>OK</x:v>
      </x:c>
      <x:c r="AA294" t="n">
        <x:v>3</x:v>
      </x:c>
      <x:c r="AB294" t="n">
        <x:v>2</x:v>
      </x:c>
      <x:c r="AC294" t="str">
        <x:v>OK</x:v>
      </x:c>
      <x:c r="AD294" t="str">
        <x:v>OK</x:v>
      </x:c>
      <x:c r="AE294" t="str">
        <x:v>LOAD</x:v>
      </x:c>
      <x:c r="AF294" t="str">
        <x:v>02_Supervisor_Log(4).xlsx</x:v>
      </x:c>
      <x:c r="AG294" t="str">
        <x:v>ENH-20260830-01</x:v>
      </x:c>
      <x:c r="AH294" t="str">
        <x:v>Active</x:v>
      </x:c>
      <x:c r="AI294"/>
      <x:c r="AJ294"/>
      <x:c r="AK294"/>
      <x:c r="AL294"/>
    </x:row>
    <x:row r="295">
      <x:c r="A295" t="s">
        <x:v>512</x:v>
      </x:c>
      <x:c r="B295" t="s">
        <x:v>508</x:v>
      </x:c>
      <x:c r="C295" t="s">
        <x:v>44</x:v>
      </x:c>
      <x:c r="D295">
        <x:v>45954</x:v>
      </x:c>
      <x:c r="E295" t="s">
        <x:v>45</x:v>
      </x:c>
      <x:c r="F295" t="s">
        <x:v>46</x:v>
      </x:c>
      <x:c r="G295">
        <x:v>22</x:v>
      </x:c>
      <x:c r="H295" t="s">
        <x:v>61</x:v>
      </x:c>
      <x:c r="I295">
        <x:v>5</x:v>
      </x:c>
      <x:c r="J295">
        <x:v>10</x:v>
      </x:c>
      <x:c r="K295">
        <x:v>2</x:v>
      </x:c>
      <x:c r="L295">
        <x:f t="shared" si="28"/>
        <x:v>1</x:v>
      </x:c>
      <x:c r="P295">
        <x:f t="shared" si="29"/>
        <x:v>1</x:v>
      </x:c>
      <x:c r="Q295">
        <x:f t="shared" si="30"/>
        <x:v>1</x:v>
      </x:c>
      <x:c r="R295">
        <x:f t="shared" si="31"/>
        <x:v>0</x:v>
      </x:c>
      <x:c r="S295">
        <x:f t="shared" si="32"/>
        <x:v>2</x:v>
      </x:c>
      <x:c r="T295" t="str">
        <x:f t="shared" si="33"/>
        <x:v>DerivedFromCount</x:v>
      </x:c>
      <x:c r="U295" t="str">
        <x:f>IF(COUNTIF(DailyProduction!$Q$5:$Q$100,B295)=1,"OK","CHECK")</x:f>
        <x:v>OK</x:v>
      </x:c>
      <x:c r="V295" t="str">
        <x:f t="shared" si="34"/>
        <x:v>OK</x:v>
      </x:c>
      <x:c r="W295" t="str">
        <x:f>IF(SUMIF($B$5:$B$914,B295,$S$5:$S$914)=SUMIF(DailyProduction!$Q$5:$Q$100,B295,DailyProduction!$R$5:$R$100),"OK","CHECK")</x:f>
        <x:v>OK</x:v>
      </x:c>
      <x:c r="X295" t="str">
        <x:v>PLC-PRD-JAR-720-L22</x:v>
      </x:c>
      <x:c r="Y295" t="str">
        <x:v>OK</x:v>
      </x:c>
      <x:c r="Z295" t="str">
        <x:v>OK</x:v>
      </x:c>
      <x:c r="AA295" t="n">
        <x:v>3</x:v>
      </x:c>
      <x:c r="AB295" t="n">
        <x:v>2</x:v>
      </x:c>
      <x:c r="AC295" t="str">
        <x:v>OK</x:v>
      </x:c>
      <x:c r="AD295" t="str">
        <x:v>OK</x:v>
      </x:c>
      <x:c r="AE295" t="str">
        <x:v>LOAD</x:v>
      </x:c>
      <x:c r="AF295" t="str">
        <x:v>02_Supervisor_Log(4).xlsx</x:v>
      </x:c>
      <x:c r="AG295" t="str">
        <x:v>ENH-20260830-01</x:v>
      </x:c>
      <x:c r="AH295" t="str">
        <x:v>Active</x:v>
      </x:c>
      <x:c r="AI295"/>
      <x:c r="AJ295"/>
      <x:c r="AK295"/>
      <x:c r="AL295"/>
    </x:row>
    <x:row r="296">
      <x:c r="A296" t="s">
        <x:v>513</x:v>
      </x:c>
      <x:c r="B296" t="s">
        <x:v>508</x:v>
      </x:c>
      <x:c r="C296" t="s">
        <x:v>44</x:v>
      </x:c>
      <x:c r="D296">
        <x:v>45954</x:v>
      </x:c>
      <x:c r="E296" t="s">
        <x:v>45</x:v>
      </x:c>
      <x:c r="F296" t="s">
        <x:v>46</x:v>
      </x:c>
      <x:c r="G296">
        <x:v>22</x:v>
      </x:c>
      <x:c r="H296" t="s">
        <x:v>61</x:v>
      </x:c>
      <x:c r="I296">
        <x:v>6</x:v>
      </x:c>
      <x:c r="J296">
        <x:v>10</x:v>
      </x:c>
      <x:c r="K296">
        <x:v>2</x:v>
      </x:c>
      <x:c r="L296">
        <x:f t="shared" si="28"/>
        <x:v>1</x:v>
      </x:c>
      <x:c r="P296">
        <x:f t="shared" si="29"/>
        <x:v>1</x:v>
      </x:c>
      <x:c r="Q296">
        <x:f t="shared" si="30"/>
        <x:v>1</x:v>
      </x:c>
      <x:c r="R296">
        <x:f t="shared" si="31"/>
        <x:v>0</x:v>
      </x:c>
      <x:c r="S296">
        <x:f t="shared" si="32"/>
        <x:v>2</x:v>
      </x:c>
      <x:c r="T296" t="str">
        <x:f t="shared" si="33"/>
        <x:v>DerivedFromCount</x:v>
      </x:c>
      <x:c r="U296" t="str">
        <x:f>IF(COUNTIF(DailyProduction!$Q$5:$Q$100,B296)=1,"OK","CHECK")</x:f>
        <x:v>OK</x:v>
      </x:c>
      <x:c r="V296" t="str">
        <x:f t="shared" si="34"/>
        <x:v>OK</x:v>
      </x:c>
      <x:c r="W296" t="str">
        <x:f>IF(SUMIF($B$5:$B$914,B296,$S$5:$S$914)=SUMIF(DailyProduction!$Q$5:$Q$100,B296,DailyProduction!$R$5:$R$100),"OK","CHECK")</x:f>
        <x:v>OK</x:v>
      </x:c>
      <x:c r="X296" t="str">
        <x:v>PLC-PRD-JAR-720-L22</x:v>
      </x:c>
      <x:c r="Y296" t="str">
        <x:v>OK</x:v>
      </x:c>
      <x:c r="Z296" t="str">
        <x:v>OK</x:v>
      </x:c>
      <x:c r="AA296" t="n">
        <x:v>3</x:v>
      </x:c>
      <x:c r="AB296" t="n">
        <x:v>2</x:v>
      </x:c>
      <x:c r="AC296" t="str">
        <x:v>OK</x:v>
      </x:c>
      <x:c r="AD296" t="str">
        <x:v>OK</x:v>
      </x:c>
      <x:c r="AE296" t="str">
        <x:v>LOAD</x:v>
      </x:c>
      <x:c r="AF296" t="str">
        <x:v>02_Supervisor_Log(4).xlsx</x:v>
      </x:c>
      <x:c r="AG296" t="str">
        <x:v>ENH-20260830-01</x:v>
      </x:c>
      <x:c r="AH296" t="str">
        <x:v>Active</x:v>
      </x:c>
      <x:c r="AI296"/>
      <x:c r="AJ296"/>
      <x:c r="AK296"/>
      <x:c r="AL296"/>
    </x:row>
    <x:row r="297">
      <x:c r="A297" t="s">
        <x:v>514</x:v>
      </x:c>
      <x:c r="B297" t="s">
        <x:v>508</x:v>
      </x:c>
      <x:c r="C297" t="s">
        <x:v>44</x:v>
      </x:c>
      <x:c r="D297">
        <x:v>45954</x:v>
      </x:c>
      <x:c r="E297" t="s">
        <x:v>45</x:v>
      </x:c>
      <x:c r="F297" t="s">
        <x:v>46</x:v>
      </x:c>
      <x:c r="G297">
        <x:v>22</x:v>
      </x:c>
      <x:c r="H297" t="s">
        <x:v>61</x:v>
      </x:c>
      <x:c r="I297">
        <x:v>7</x:v>
      </x:c>
      <x:c r="J297">
        <x:v>10</x:v>
      </x:c>
      <x:c r="K297">
        <x:v>2</x:v>
      </x:c>
      <x:c r="L297">
        <x:f t="shared" si="28"/>
        <x:v>1</x:v>
      </x:c>
      <x:c r="P297">
        <x:f t="shared" si="29"/>
        <x:v>1</x:v>
      </x:c>
      <x:c r="Q297">
        <x:f t="shared" si="30"/>
        <x:v>1</x:v>
      </x:c>
      <x:c r="R297">
        <x:f t="shared" si="31"/>
        <x:v>0</x:v>
      </x:c>
      <x:c r="S297">
        <x:f t="shared" si="32"/>
        <x:v>2</x:v>
      </x:c>
      <x:c r="T297" t="str">
        <x:f t="shared" si="33"/>
        <x:v>DerivedFromCount</x:v>
      </x:c>
      <x:c r="U297" t="str">
        <x:f>IF(COUNTIF(DailyProduction!$Q$5:$Q$100,B297)=1,"OK","CHECK")</x:f>
        <x:v>OK</x:v>
      </x:c>
      <x:c r="V297" t="str">
        <x:f t="shared" si="34"/>
        <x:v>OK</x:v>
      </x:c>
      <x:c r="W297" t="str">
        <x:f>IF(SUMIF($B$5:$B$914,B297,$S$5:$S$914)=SUMIF(DailyProduction!$Q$5:$Q$100,B297,DailyProduction!$R$5:$R$100),"OK","CHECK")</x:f>
        <x:v>OK</x:v>
      </x:c>
      <x:c r="X297" t="str">
        <x:v>PLC-PRD-JAR-720-L22</x:v>
      </x:c>
      <x:c r="Y297" t="str">
        <x:v>OK</x:v>
      </x:c>
      <x:c r="Z297" t="str">
        <x:v>OK</x:v>
      </x:c>
      <x:c r="AA297" t="n">
        <x:v>3</x:v>
      </x:c>
      <x:c r="AB297" t="n">
        <x:v>2</x:v>
      </x:c>
      <x:c r="AC297" t="str">
        <x:v>OK</x:v>
      </x:c>
      <x:c r="AD297" t="str">
        <x:v>OK</x:v>
      </x:c>
      <x:c r="AE297" t="str">
        <x:v>LOAD</x:v>
      </x:c>
      <x:c r="AF297" t="str">
        <x:v>02_Supervisor_Log(4).xlsx</x:v>
      </x:c>
      <x:c r="AG297" t="str">
        <x:v>ENH-20260830-01</x:v>
      </x:c>
      <x:c r="AH297" t="str">
        <x:v>Active</x:v>
      </x:c>
      <x:c r="AI297"/>
      <x:c r="AJ297"/>
      <x:c r="AK297"/>
      <x:c r="AL297"/>
    </x:row>
    <x:row r="298">
      <x:c r="A298" t="s">
        <x:v>515</x:v>
      </x:c>
      <x:c r="B298" t="s">
        <x:v>508</x:v>
      </x:c>
      <x:c r="C298" t="s">
        <x:v>44</x:v>
      </x:c>
      <x:c r="D298">
        <x:v>45954</x:v>
      </x:c>
      <x:c r="E298" t="s">
        <x:v>45</x:v>
      </x:c>
      <x:c r="F298" t="s">
        <x:v>46</x:v>
      </x:c>
      <x:c r="G298">
        <x:v>22</x:v>
      </x:c>
      <x:c r="H298" t="s">
        <x:v>61</x:v>
      </x:c>
      <x:c r="I298">
        <x:v>8</x:v>
      </x:c>
      <x:c r="J298">
        <x:v>10</x:v>
      </x:c>
      <x:c r="K298">
        <x:v>2</x:v>
      </x:c>
      <x:c r="L298">
        <x:f t="shared" si="28"/>
        <x:v>1</x:v>
      </x:c>
      <x:c r="P298">
        <x:f t="shared" si="29"/>
        <x:v>1</x:v>
      </x:c>
      <x:c r="Q298">
        <x:f t="shared" si="30"/>
        <x:v>1</x:v>
      </x:c>
      <x:c r="R298">
        <x:f t="shared" si="31"/>
        <x:v>0</x:v>
      </x:c>
      <x:c r="S298">
        <x:f t="shared" si="32"/>
        <x:v>2</x:v>
      </x:c>
      <x:c r="T298" t="str">
        <x:f t="shared" si="33"/>
        <x:v>DerivedFromCount</x:v>
      </x:c>
      <x:c r="U298" t="str">
        <x:f>IF(COUNTIF(DailyProduction!$Q$5:$Q$100,B298)=1,"OK","CHECK")</x:f>
        <x:v>OK</x:v>
      </x:c>
      <x:c r="V298" t="str">
        <x:f t="shared" si="34"/>
        <x:v>OK</x:v>
      </x:c>
      <x:c r="W298" t="str">
        <x:f>IF(SUMIF($B$5:$B$914,B298,$S$5:$S$914)=SUMIF(DailyProduction!$Q$5:$Q$100,B298,DailyProduction!$R$5:$R$100),"OK","CHECK")</x:f>
        <x:v>OK</x:v>
      </x:c>
      <x:c r="X298" t="str">
        <x:v>PLC-PRD-JAR-720-L22</x:v>
      </x:c>
      <x:c r="Y298" t="str">
        <x:v>OK</x:v>
      </x:c>
      <x:c r="Z298" t="str">
        <x:v>OK</x:v>
      </x:c>
      <x:c r="AA298" t="n">
        <x:v>3</x:v>
      </x:c>
      <x:c r="AB298" t="n">
        <x:v>2</x:v>
      </x:c>
      <x:c r="AC298" t="str">
        <x:v>OK</x:v>
      </x:c>
      <x:c r="AD298" t="str">
        <x:v>OK</x:v>
      </x:c>
      <x:c r="AE298" t="str">
        <x:v>LOAD</x:v>
      </x:c>
      <x:c r="AF298" t="str">
        <x:v>02_Supervisor_Log(4).xlsx</x:v>
      </x:c>
      <x:c r="AG298" t="str">
        <x:v>ENH-20260830-01</x:v>
      </x:c>
      <x:c r="AH298" t="str">
        <x:v>Active</x:v>
      </x:c>
      <x:c r="AI298"/>
      <x:c r="AJ298"/>
      <x:c r="AK298"/>
      <x:c r="AL298"/>
    </x:row>
    <x:row r="299">
      <x:c r="A299" t="s">
        <x:v>516</x:v>
      </x:c>
      <x:c r="B299" t="s">
        <x:v>508</x:v>
      </x:c>
      <x:c r="C299" t="s">
        <x:v>44</x:v>
      </x:c>
      <x:c r="D299">
        <x:v>45954</x:v>
      </x:c>
      <x:c r="E299" t="s">
        <x:v>45</x:v>
      </x:c>
      <x:c r="F299" t="s">
        <x:v>46</x:v>
      </x:c>
      <x:c r="G299">
        <x:v>22</x:v>
      </x:c>
      <x:c r="H299" t="s">
        <x:v>61</x:v>
      </x:c>
      <x:c r="I299">
        <x:v>9</x:v>
      </x:c>
      <x:c r="J299">
        <x:v>10</x:v>
      </x:c>
      <x:c r="K299">
        <x:v>2</x:v>
      </x:c>
      <x:c r="L299">
        <x:f t="shared" si="28"/>
        <x:v>1</x:v>
      </x:c>
      <x:c r="P299">
        <x:f t="shared" si="29"/>
        <x:v>1</x:v>
      </x:c>
      <x:c r="Q299">
        <x:f t="shared" si="30"/>
        <x:v>1</x:v>
      </x:c>
      <x:c r="R299">
        <x:f t="shared" si="31"/>
        <x:v>0</x:v>
      </x:c>
      <x:c r="S299">
        <x:f t="shared" si="32"/>
        <x:v>2</x:v>
      </x:c>
      <x:c r="T299" t="str">
        <x:f t="shared" si="33"/>
        <x:v>DerivedFromCount</x:v>
      </x:c>
      <x:c r="U299" t="str">
        <x:f>IF(COUNTIF(DailyProduction!$Q$5:$Q$100,B299)=1,"OK","CHECK")</x:f>
        <x:v>OK</x:v>
      </x:c>
      <x:c r="V299" t="str">
        <x:f t="shared" si="34"/>
        <x:v>OK</x:v>
      </x:c>
      <x:c r="W299" t="str">
        <x:f>IF(SUMIF($B$5:$B$914,B299,$S$5:$S$914)=SUMIF(DailyProduction!$Q$5:$Q$100,B299,DailyProduction!$R$5:$R$100),"OK","CHECK")</x:f>
        <x:v>OK</x:v>
      </x:c>
      <x:c r="X299" t="str">
        <x:v>PLC-PRD-JAR-720-L22</x:v>
      </x:c>
      <x:c r="Y299" t="str">
        <x:v>OK</x:v>
      </x:c>
      <x:c r="Z299" t="str">
        <x:v>OK</x:v>
      </x:c>
      <x:c r="AA299" t="n">
        <x:v>3</x:v>
      </x:c>
      <x:c r="AB299" t="n">
        <x:v>2</x:v>
      </x:c>
      <x:c r="AC299" t="str">
        <x:v>OK</x:v>
      </x:c>
      <x:c r="AD299" t="str">
        <x:v>OK</x:v>
      </x:c>
      <x:c r="AE299" t="str">
        <x:v>LOAD</x:v>
      </x:c>
      <x:c r="AF299" t="str">
        <x:v>02_Supervisor_Log(4).xlsx</x:v>
      </x:c>
      <x:c r="AG299" t="str">
        <x:v>ENH-20260830-01</x:v>
      </x:c>
      <x:c r="AH299" t="str">
        <x:v>Active</x:v>
      </x:c>
      <x:c r="AI299"/>
      <x:c r="AJ299"/>
      <x:c r="AK299"/>
      <x:c r="AL299"/>
    </x:row>
    <x:row r="300">
      <x:c r="A300" t="s">
        <x:v>517</x:v>
      </x:c>
      <x:c r="B300" t="s">
        <x:v>508</x:v>
      </x:c>
      <x:c r="C300" t="s">
        <x:v>44</x:v>
      </x:c>
      <x:c r="D300">
        <x:v>45954</x:v>
      </x:c>
      <x:c r="E300" t="s">
        <x:v>45</x:v>
      </x:c>
      <x:c r="F300" t="s">
        <x:v>46</x:v>
      </x:c>
      <x:c r="G300">
        <x:v>22</x:v>
      </x:c>
      <x:c r="H300" t="s">
        <x:v>61</x:v>
      </x:c>
      <x:c r="I300">
        <x:v>10</x:v>
      </x:c>
      <x:c r="J300">
        <x:v>10</x:v>
      </x:c>
      <x:c r="K300">
        <x:v>2</x:v>
      </x:c>
      <x:c r="L300">
        <x:f t="shared" si="28"/>
        <x:v>1</x:v>
      </x:c>
      <x:c r="P300">
        <x:f t="shared" si="29"/>
        <x:v>1</x:v>
      </x:c>
      <x:c r="Q300">
        <x:f t="shared" si="30"/>
        <x:v>1</x:v>
      </x:c>
      <x:c r="R300">
        <x:f t="shared" si="31"/>
        <x:v>0</x:v>
      </x:c>
      <x:c r="S300">
        <x:f t="shared" si="32"/>
        <x:v>2</x:v>
      </x:c>
      <x:c r="T300" t="str">
        <x:f t="shared" si="33"/>
        <x:v>DerivedFromCount</x:v>
      </x:c>
      <x:c r="U300" t="str">
        <x:f>IF(COUNTIF(DailyProduction!$Q$5:$Q$100,B300)=1,"OK","CHECK")</x:f>
        <x:v>OK</x:v>
      </x:c>
      <x:c r="V300" t="str">
        <x:f t="shared" si="34"/>
        <x:v>OK</x:v>
      </x:c>
      <x:c r="W300" t="str">
        <x:f>IF(SUMIF($B$5:$B$914,B300,$S$5:$S$914)=SUMIF(DailyProduction!$Q$5:$Q$100,B300,DailyProduction!$R$5:$R$100),"OK","CHECK")</x:f>
        <x:v>OK</x:v>
      </x:c>
      <x:c r="X300" t="str">
        <x:v>PLC-PRD-JAR-720-L22</x:v>
      </x:c>
      <x:c r="Y300" t="str">
        <x:v>OK</x:v>
      </x:c>
      <x:c r="Z300" t="str">
        <x:v>OK</x:v>
      </x:c>
      <x:c r="AA300" t="n">
        <x:v>3</x:v>
      </x:c>
      <x:c r="AB300" t="n">
        <x:v>2</x:v>
      </x:c>
      <x:c r="AC300" t="str">
        <x:v>OK</x:v>
      </x:c>
      <x:c r="AD300" t="str">
        <x:v>OK</x:v>
      </x:c>
      <x:c r="AE300" t="str">
        <x:v>LOAD</x:v>
      </x:c>
      <x:c r="AF300" t="str">
        <x:v>02_Supervisor_Log(4).xlsx</x:v>
      </x:c>
      <x:c r="AG300" t="str">
        <x:v>ENH-20260830-01</x:v>
      </x:c>
      <x:c r="AH300" t="str">
        <x:v>Active</x:v>
      </x:c>
      <x:c r="AI300"/>
      <x:c r="AJ300"/>
      <x:c r="AK300"/>
      <x:c r="AL300"/>
    </x:row>
    <x:row r="301">
      <x:c r="A301" t="s">
        <x:v>518</x:v>
      </x:c>
      <x:c r="B301" t="s">
        <x:v>508</x:v>
      </x:c>
      <x:c r="C301" t="s">
        <x:v>44</x:v>
      </x:c>
      <x:c r="D301">
        <x:v>45954</x:v>
      </x:c>
      <x:c r="E301" t="s">
        <x:v>45</x:v>
      </x:c>
      <x:c r="F301" t="s">
        <x:v>46</x:v>
      </x:c>
      <x:c r="G301">
        <x:v>22</x:v>
      </x:c>
      <x:c r="H301" t="s">
        <x:v>61</x:v>
      </x:c>
      <x:c r="I301">
        <x:v>11</x:v>
      </x:c>
      <x:c r="J301">
        <x:v>10</x:v>
      </x:c>
      <x:c r="K301">
        <x:v>2</x:v>
      </x:c>
      <x:c r="L301">
        <x:f t="shared" si="28"/>
        <x:v>0</x:v>
      </x:c>
      <x:c r="P301">
        <x:f t="shared" si="29"/>
        <x:v>0</x:v>
      </x:c>
      <x:c r="Q301">
        <x:f t="shared" si="30"/>
        <x:v>0</x:v>
      </x:c>
      <x:c r="R301">
        <x:f t="shared" si="31"/>
        <x:v>0</x:v>
      </x:c>
      <x:c r="S301">
        <x:f t="shared" si="32"/>
        <x:v>0</x:v>
      </x:c>
      <x:c r="T301" t="str">
        <x:f t="shared" si="33"/>
        <x:v>DerivedFromCount</x:v>
      </x:c>
      <x:c r="U301" t="str">
        <x:f>IF(COUNTIF(DailyProduction!$Q$5:$Q$100,B301)=1,"OK","CHECK")</x:f>
        <x:v>OK</x:v>
      </x:c>
      <x:c r="V301" t="str">
        <x:f t="shared" si="34"/>
        <x:v>OK</x:v>
      </x:c>
      <x:c r="W301" t="str">
        <x:f>IF(SUMIF($B$5:$B$914,B301,$S$5:$S$914)=SUMIF(DailyProduction!$Q$5:$Q$100,B301,DailyProduction!$R$5:$R$100),"OK","CHECK")</x:f>
        <x:v>OK</x:v>
      </x:c>
      <x:c r="X301" t="str">
        <x:v>PLC-PRD-JAR-720-L22</x:v>
      </x:c>
      <x:c r="Y301" t="str">
        <x:v>OK</x:v>
      </x:c>
      <x:c r="Z301" t="str">
        <x:v>OK</x:v>
      </x:c>
      <x:c r="AA301" t="n">
        <x:v>3</x:v>
      </x:c>
      <x:c r="AB301" t="n">
        <x:v>0</x:v>
      </x:c>
      <x:c r="AC301" t="str">
        <x:v>OK</x:v>
      </x:c>
      <x:c r="AD301" t="str">
        <x:v>OK</x:v>
      </x:c>
      <x:c r="AE301" t="str">
        <x:v>LOAD</x:v>
      </x:c>
      <x:c r="AF301" t="str">
        <x:v>02_Supervisor_Log(4).xlsx</x:v>
      </x:c>
      <x:c r="AG301" t="str">
        <x:v>ENH-20260830-01</x:v>
      </x:c>
      <x:c r="AH301" t="str">
        <x:v>Active</x:v>
      </x:c>
      <x:c r="AI301"/>
      <x:c r="AJ301"/>
      <x:c r="AK301"/>
      <x:c r="AL301"/>
    </x:row>
    <x:row r="302">
      <x:c r="A302" t="s">
        <x:v>519</x:v>
      </x:c>
      <x:c r="B302" t="s">
        <x:v>508</x:v>
      </x:c>
      <x:c r="C302" t="s">
        <x:v>44</x:v>
      </x:c>
      <x:c r="D302">
        <x:v>45954</x:v>
      </x:c>
      <x:c r="E302" t="s">
        <x:v>45</x:v>
      </x:c>
      <x:c r="F302" t="s">
        <x:v>46</x:v>
      </x:c>
      <x:c r="G302">
        <x:v>22</x:v>
      </x:c>
      <x:c r="H302" t="s">
        <x:v>61</x:v>
      </x:c>
      <x:c r="I302">
        <x:v>12</x:v>
      </x:c>
      <x:c r="J302">
        <x:v>10</x:v>
      </x:c>
      <x:c r="K302">
        <x:v>2</x:v>
      </x:c>
      <x:c r="L302">
        <x:f t="shared" si="28"/>
        <x:v>0</x:v>
      </x:c>
      <x:c r="P302">
        <x:f t="shared" si="29"/>
        <x:v>0</x:v>
      </x:c>
      <x:c r="Q302">
        <x:f t="shared" si="30"/>
        <x:v>0</x:v>
      </x:c>
      <x:c r="R302">
        <x:f t="shared" si="31"/>
        <x:v>0</x:v>
      </x:c>
      <x:c r="S302">
        <x:f t="shared" si="32"/>
        <x:v>0</x:v>
      </x:c>
      <x:c r="T302" t="str">
        <x:f t="shared" si="33"/>
        <x:v>DerivedFromCount</x:v>
      </x:c>
      <x:c r="U302" t="str">
        <x:f>IF(COUNTIF(DailyProduction!$Q$5:$Q$100,B302)=1,"OK","CHECK")</x:f>
        <x:v>OK</x:v>
      </x:c>
      <x:c r="V302" t="str">
        <x:f t="shared" si="34"/>
        <x:v>OK</x:v>
      </x:c>
      <x:c r="W302" t="str">
        <x:f>IF(SUMIF($B$5:$B$914,B302,$S$5:$S$914)=SUMIF(DailyProduction!$Q$5:$Q$100,B302,DailyProduction!$R$5:$R$100),"OK","CHECK")</x:f>
        <x:v>OK</x:v>
      </x:c>
      <x:c r="X302" t="str">
        <x:v>PLC-PRD-JAR-720-L22</x:v>
      </x:c>
      <x:c r="Y302" t="str">
        <x:v>OK</x:v>
      </x:c>
      <x:c r="Z302" t="str">
        <x:v>OK</x:v>
      </x:c>
      <x:c r="AA302" t="n">
        <x:v>3</x:v>
      </x:c>
      <x:c r="AB302" t="n">
        <x:v>0</x:v>
      </x:c>
      <x:c r="AC302" t="str">
        <x:v>OK</x:v>
      </x:c>
      <x:c r="AD302" t="str">
        <x:v>OK</x:v>
      </x:c>
      <x:c r="AE302" t="str">
        <x:v>LOAD</x:v>
      </x:c>
      <x:c r="AF302" t="str">
        <x:v>02_Supervisor_Log(4).xlsx</x:v>
      </x:c>
      <x:c r="AG302" t="str">
        <x:v>ENH-20260830-01</x:v>
      </x:c>
      <x:c r="AH302" t="str">
        <x:v>Active</x:v>
      </x:c>
      <x:c r="AI302"/>
      <x:c r="AJ302"/>
      <x:c r="AK302"/>
      <x:c r="AL302"/>
    </x:row>
    <x:row r="303">
      <x:c r="A303" t="s">
        <x:v>520</x:v>
      </x:c>
      <x:c r="B303" t="s">
        <x:v>508</x:v>
      </x:c>
      <x:c r="C303" t="s">
        <x:v>44</x:v>
      </x:c>
      <x:c r="D303">
        <x:v>45954</x:v>
      </x:c>
      <x:c r="E303" t="s">
        <x:v>45</x:v>
      </x:c>
      <x:c r="F303" t="s">
        <x:v>46</x:v>
      </x:c>
      <x:c r="G303">
        <x:v>22</x:v>
      </x:c>
      <x:c r="H303" t="s">
        <x:v>61</x:v>
      </x:c>
      <x:c r="I303">
        <x:v>13</x:v>
      </x:c>
      <x:c r="J303">
        <x:v>10</x:v>
      </x:c>
      <x:c r="K303">
        <x:v>2</x:v>
      </x:c>
      <x:c r="L303">
        <x:f t="shared" si="28"/>
        <x:v>0</x:v>
      </x:c>
      <x:c r="P303">
        <x:f t="shared" si="29"/>
        <x:v>0</x:v>
      </x:c>
      <x:c r="Q303">
        <x:f t="shared" si="30"/>
        <x:v>0</x:v>
      </x:c>
      <x:c r="R303">
        <x:f t="shared" si="31"/>
        <x:v>0</x:v>
      </x:c>
      <x:c r="S303">
        <x:f t="shared" si="32"/>
        <x:v>0</x:v>
      </x:c>
      <x:c r="T303" t="str">
        <x:f t="shared" si="33"/>
        <x:v>DerivedFromCount</x:v>
      </x:c>
      <x:c r="U303" t="str">
        <x:f>IF(COUNTIF(DailyProduction!$Q$5:$Q$100,B303)=1,"OK","CHECK")</x:f>
        <x:v>OK</x:v>
      </x:c>
      <x:c r="V303" t="str">
        <x:f t="shared" si="34"/>
        <x:v>OK</x:v>
      </x:c>
      <x:c r="W303" t="str">
        <x:f>IF(SUMIF($B$5:$B$914,B303,$S$5:$S$914)=SUMIF(DailyProduction!$Q$5:$Q$100,B303,DailyProduction!$R$5:$R$100),"OK","CHECK")</x:f>
        <x:v>OK</x:v>
      </x:c>
      <x:c r="X303" t="str">
        <x:v>PLC-PRD-JAR-720-L22</x:v>
      </x:c>
      <x:c r="Y303" t="str">
        <x:v>OK</x:v>
      </x:c>
      <x:c r="Z303" t="str">
        <x:v>OK</x:v>
      </x:c>
      <x:c r="AA303" t="n">
        <x:v>3</x:v>
      </x:c>
      <x:c r="AB303" t="n">
        <x:v>0</x:v>
      </x:c>
      <x:c r="AC303" t="str">
        <x:v>OK</x:v>
      </x:c>
      <x:c r="AD303" t="str">
        <x:v>OK</x:v>
      </x:c>
      <x:c r="AE303" t="str">
        <x:v>LOAD</x:v>
      </x:c>
      <x:c r="AF303" t="str">
        <x:v>02_Supervisor_Log(4).xlsx</x:v>
      </x:c>
      <x:c r="AG303" t="str">
        <x:v>ENH-20260830-01</x:v>
      </x:c>
      <x:c r="AH303" t="str">
        <x:v>Active</x:v>
      </x:c>
      <x:c r="AI303"/>
      <x:c r="AJ303"/>
      <x:c r="AK303"/>
      <x:c r="AL303"/>
    </x:row>
    <x:row r="304">
      <x:c r="A304" t="s">
        <x:v>521</x:v>
      </x:c>
      <x:c r="B304" t="s">
        <x:v>522</x:v>
      </x:c>
      <x:c r="C304" t="s">
        <x:v>44</x:v>
      </x:c>
      <x:c r="D304">
        <x:v>45954</x:v>
      </x:c>
      <x:c r="E304" t="s">
        <x:v>187</x:v>
      </x:c>
      <x:c r="F304" t="s">
        <x:v>51</x:v>
      </x:c>
      <x:c r="G304">
        <x:v>22</x:v>
      </x:c>
      <x:c r="H304" t="s">
        <x:v>61</x:v>
      </x:c>
      <x:c r="I304">
        <x:v>1</x:v>
      </x:c>
      <x:c r="J304">
        <x:v>10</x:v>
      </x:c>
      <x:c r="K304">
        <x:v>2</x:v>
      </x:c>
      <x:c r="L304">
        <x:f t="shared" si="28"/>
        <x:v>1</x:v>
      </x:c>
      <x:c r="P304">
        <x:f t="shared" si="29"/>
        <x:v>1</x:v>
      </x:c>
      <x:c r="Q304">
        <x:f t="shared" si="30"/>
        <x:v>1</x:v>
      </x:c>
      <x:c r="R304">
        <x:f t="shared" si="31"/>
        <x:v>0</x:v>
      </x:c>
      <x:c r="S304">
        <x:f t="shared" si="32"/>
        <x:v>2</x:v>
      </x:c>
      <x:c r="T304" t="str">
        <x:f t="shared" si="33"/>
        <x:v>DerivedFromCount</x:v>
      </x:c>
      <x:c r="U304" t="str">
        <x:f>IF(COUNTIF(DailyProduction!$Q$5:$Q$100,B304)=1,"OK","CHECK")</x:f>
        <x:v>OK</x:v>
      </x:c>
      <x:c r="V304" t="str">
        <x:f t="shared" si="34"/>
        <x:v>OK</x:v>
      </x:c>
      <x:c r="W304" t="str">
        <x:f>IF(SUMIF($B$5:$B$914,B304,$S$5:$S$914)=SUMIF(DailyProduction!$Q$5:$Q$100,B304,DailyProduction!$R$5:$R$100),"OK","CHECK")</x:f>
        <x:v>OK</x:v>
      </x:c>
      <x:c r="X304" t="str">
        <x:v>PLC-PRD-JAR-720-L22</x:v>
      </x:c>
      <x:c r="Y304" t="str">
        <x:v>OK</x:v>
      </x:c>
      <x:c r="Z304" t="str">
        <x:v>OK</x:v>
      </x:c>
      <x:c r="AA304" t="n">
        <x:v>3</x:v>
      </x:c>
      <x:c r="AB304" t="n">
        <x:v>2</x:v>
      </x:c>
      <x:c r="AC304" t="str">
        <x:v>OK</x:v>
      </x:c>
      <x:c r="AD304" t="str">
        <x:v>OK</x:v>
      </x:c>
      <x:c r="AE304" t="str">
        <x:v>LOAD</x:v>
      </x:c>
      <x:c r="AF304" t="str">
        <x:v>02_Supervisor_Log(4).xlsx</x:v>
      </x:c>
      <x:c r="AG304" t="str">
        <x:v>ENH-20260830-01</x:v>
      </x:c>
      <x:c r="AH304" t="str">
        <x:v>Active</x:v>
      </x:c>
      <x:c r="AI304"/>
      <x:c r="AJ304"/>
      <x:c r="AK304"/>
      <x:c r="AL304"/>
    </x:row>
    <x:row r="305">
      <x:c r="A305" t="s">
        <x:v>523</x:v>
      </x:c>
      <x:c r="B305" t="s">
        <x:v>522</x:v>
      </x:c>
      <x:c r="C305" t="s">
        <x:v>44</x:v>
      </x:c>
      <x:c r="D305">
        <x:v>45954</x:v>
      </x:c>
      <x:c r="E305" t="s">
        <x:v>187</x:v>
      </x:c>
      <x:c r="F305" t="s">
        <x:v>51</x:v>
      </x:c>
      <x:c r="G305">
        <x:v>22</x:v>
      </x:c>
      <x:c r="H305" t="s">
        <x:v>61</x:v>
      </x:c>
      <x:c r="I305">
        <x:v>2</x:v>
      </x:c>
      <x:c r="J305">
        <x:v>10</x:v>
      </x:c>
      <x:c r="K305">
        <x:v>2</x:v>
      </x:c>
      <x:c r="L305">
        <x:f t="shared" si="28"/>
        <x:v>1</x:v>
      </x:c>
      <x:c r="P305">
        <x:f t="shared" si="29"/>
        <x:v>1</x:v>
      </x:c>
      <x:c r="Q305">
        <x:f t="shared" si="30"/>
        <x:v>1</x:v>
      </x:c>
      <x:c r="R305">
        <x:f t="shared" si="31"/>
        <x:v>0</x:v>
      </x:c>
      <x:c r="S305">
        <x:f t="shared" si="32"/>
        <x:v>2</x:v>
      </x:c>
      <x:c r="T305" t="str">
        <x:f t="shared" si="33"/>
        <x:v>DerivedFromCount</x:v>
      </x:c>
      <x:c r="U305" t="str">
        <x:f>IF(COUNTIF(DailyProduction!$Q$5:$Q$100,B305)=1,"OK","CHECK")</x:f>
        <x:v>OK</x:v>
      </x:c>
      <x:c r="V305" t="str">
        <x:f t="shared" si="34"/>
        <x:v>OK</x:v>
      </x:c>
      <x:c r="W305" t="str">
        <x:f>IF(SUMIF($B$5:$B$914,B305,$S$5:$S$914)=SUMIF(DailyProduction!$Q$5:$Q$100,B305,DailyProduction!$R$5:$R$100),"OK","CHECK")</x:f>
        <x:v>OK</x:v>
      </x:c>
      <x:c r="X305" t="str">
        <x:v>PLC-PRD-JAR-720-L22</x:v>
      </x:c>
      <x:c r="Y305" t="str">
        <x:v>OK</x:v>
      </x:c>
      <x:c r="Z305" t="str">
        <x:v>OK</x:v>
      </x:c>
      <x:c r="AA305" t="n">
        <x:v>3</x:v>
      </x:c>
      <x:c r="AB305" t="n">
        <x:v>2</x:v>
      </x:c>
      <x:c r="AC305" t="str">
        <x:v>OK</x:v>
      </x:c>
      <x:c r="AD305" t="str">
        <x:v>OK</x:v>
      </x:c>
      <x:c r="AE305" t="str">
        <x:v>LOAD</x:v>
      </x:c>
      <x:c r="AF305" t="str">
        <x:v>02_Supervisor_Log(4).xlsx</x:v>
      </x:c>
      <x:c r="AG305" t="str">
        <x:v>ENH-20260830-01</x:v>
      </x:c>
      <x:c r="AH305" t="str">
        <x:v>Active</x:v>
      </x:c>
      <x:c r="AI305"/>
      <x:c r="AJ305"/>
      <x:c r="AK305"/>
      <x:c r="AL305"/>
    </x:row>
    <x:row r="306">
      <x:c r="A306" t="s">
        <x:v>524</x:v>
      </x:c>
      <x:c r="B306" t="s">
        <x:v>522</x:v>
      </x:c>
      <x:c r="C306" t="s">
        <x:v>44</x:v>
      </x:c>
      <x:c r="D306">
        <x:v>45954</x:v>
      </x:c>
      <x:c r="E306" t="s">
        <x:v>187</x:v>
      </x:c>
      <x:c r="F306" t="s">
        <x:v>51</x:v>
      </x:c>
      <x:c r="G306">
        <x:v>22</x:v>
      </x:c>
      <x:c r="H306" t="s">
        <x:v>61</x:v>
      </x:c>
      <x:c r="I306">
        <x:v>3</x:v>
      </x:c>
      <x:c r="J306">
        <x:v>10</x:v>
      </x:c>
      <x:c r="K306">
        <x:v>2</x:v>
      </x:c>
      <x:c r="L306">
        <x:f t="shared" si="28"/>
        <x:v>1</x:v>
      </x:c>
      <x:c r="P306">
        <x:f t="shared" si="29"/>
        <x:v>1</x:v>
      </x:c>
      <x:c r="Q306">
        <x:f t="shared" si="30"/>
        <x:v>1</x:v>
      </x:c>
      <x:c r="R306">
        <x:f t="shared" si="31"/>
        <x:v>0</x:v>
      </x:c>
      <x:c r="S306">
        <x:f t="shared" si="32"/>
        <x:v>2</x:v>
      </x:c>
      <x:c r="T306" t="str">
        <x:f t="shared" si="33"/>
        <x:v>DerivedFromCount</x:v>
      </x:c>
      <x:c r="U306" t="str">
        <x:f>IF(COUNTIF(DailyProduction!$Q$5:$Q$100,B306)=1,"OK","CHECK")</x:f>
        <x:v>OK</x:v>
      </x:c>
      <x:c r="V306" t="str">
        <x:f t="shared" si="34"/>
        <x:v>OK</x:v>
      </x:c>
      <x:c r="W306" t="str">
        <x:f>IF(SUMIF($B$5:$B$914,B306,$S$5:$S$914)=SUMIF(DailyProduction!$Q$5:$Q$100,B306,DailyProduction!$R$5:$R$100),"OK","CHECK")</x:f>
        <x:v>OK</x:v>
      </x:c>
      <x:c r="X306" t="str">
        <x:v>PLC-PRD-JAR-720-L22</x:v>
      </x:c>
      <x:c r="Y306" t="str">
        <x:v>OK</x:v>
      </x:c>
      <x:c r="Z306" t="str">
        <x:v>OK</x:v>
      </x:c>
      <x:c r="AA306" t="n">
        <x:v>3</x:v>
      </x:c>
      <x:c r="AB306" t="n">
        <x:v>2</x:v>
      </x:c>
      <x:c r="AC306" t="str">
        <x:v>OK</x:v>
      </x:c>
      <x:c r="AD306" t="str">
        <x:v>OK</x:v>
      </x:c>
      <x:c r="AE306" t="str">
        <x:v>LOAD</x:v>
      </x:c>
      <x:c r="AF306" t="str">
        <x:v>02_Supervisor_Log(4).xlsx</x:v>
      </x:c>
      <x:c r="AG306" t="str">
        <x:v>ENH-20260830-01</x:v>
      </x:c>
      <x:c r="AH306" t="str">
        <x:v>Active</x:v>
      </x:c>
      <x:c r="AI306"/>
      <x:c r="AJ306"/>
      <x:c r="AK306"/>
      <x:c r="AL306"/>
    </x:row>
    <x:row r="307">
      <x:c r="A307" t="s">
        <x:v>525</x:v>
      </x:c>
      <x:c r="B307" t="s">
        <x:v>522</x:v>
      </x:c>
      <x:c r="C307" t="s">
        <x:v>44</x:v>
      </x:c>
      <x:c r="D307">
        <x:v>45954</x:v>
      </x:c>
      <x:c r="E307" t="s">
        <x:v>187</x:v>
      </x:c>
      <x:c r="F307" t="s">
        <x:v>51</x:v>
      </x:c>
      <x:c r="G307">
        <x:v>22</x:v>
      </x:c>
      <x:c r="H307" t="s">
        <x:v>61</x:v>
      </x:c>
      <x:c r="I307">
        <x:v>4</x:v>
      </x:c>
      <x:c r="J307">
        <x:v>10</x:v>
      </x:c>
      <x:c r="K307">
        <x:v>2</x:v>
      </x:c>
      <x:c r="L307">
        <x:f t="shared" si="28"/>
        <x:v>1</x:v>
      </x:c>
      <x:c r="P307">
        <x:f t="shared" si="29"/>
        <x:v>1</x:v>
      </x:c>
      <x:c r="Q307">
        <x:f t="shared" si="30"/>
        <x:v>1</x:v>
      </x:c>
      <x:c r="R307">
        <x:f t="shared" si="31"/>
        <x:v>0</x:v>
      </x:c>
      <x:c r="S307">
        <x:f t="shared" si="32"/>
        <x:v>2</x:v>
      </x:c>
      <x:c r="T307" t="str">
        <x:f t="shared" si="33"/>
        <x:v>DerivedFromCount</x:v>
      </x:c>
      <x:c r="U307" t="str">
        <x:f>IF(COUNTIF(DailyProduction!$Q$5:$Q$100,B307)=1,"OK","CHECK")</x:f>
        <x:v>OK</x:v>
      </x:c>
      <x:c r="V307" t="str">
        <x:f t="shared" si="34"/>
        <x:v>OK</x:v>
      </x:c>
      <x:c r="W307" t="str">
        <x:f>IF(SUMIF($B$5:$B$914,B307,$S$5:$S$914)=SUMIF(DailyProduction!$Q$5:$Q$100,B307,DailyProduction!$R$5:$R$100),"OK","CHECK")</x:f>
        <x:v>OK</x:v>
      </x:c>
      <x:c r="X307" t="str">
        <x:v>PLC-PRD-JAR-720-L22</x:v>
      </x:c>
      <x:c r="Y307" t="str">
        <x:v>OK</x:v>
      </x:c>
      <x:c r="Z307" t="str">
        <x:v>OK</x:v>
      </x:c>
      <x:c r="AA307" t="n">
        <x:v>3</x:v>
      </x:c>
      <x:c r="AB307" t="n">
        <x:v>2</x:v>
      </x:c>
      <x:c r="AC307" t="str">
        <x:v>OK</x:v>
      </x:c>
      <x:c r="AD307" t="str">
        <x:v>OK</x:v>
      </x:c>
      <x:c r="AE307" t="str">
        <x:v>LOAD</x:v>
      </x:c>
      <x:c r="AF307" t="str">
        <x:v>02_Supervisor_Log(4).xlsx</x:v>
      </x:c>
      <x:c r="AG307" t="str">
        <x:v>ENH-20260830-01</x:v>
      </x:c>
      <x:c r="AH307" t="str">
        <x:v>Active</x:v>
      </x:c>
      <x:c r="AI307"/>
      <x:c r="AJ307"/>
      <x:c r="AK307"/>
      <x:c r="AL307"/>
    </x:row>
    <x:row r="308">
      <x:c r="A308" t="s">
        <x:v>526</x:v>
      </x:c>
      <x:c r="B308" t="s">
        <x:v>522</x:v>
      </x:c>
      <x:c r="C308" t="s">
        <x:v>44</x:v>
      </x:c>
      <x:c r="D308">
        <x:v>45954</x:v>
      </x:c>
      <x:c r="E308" t="s">
        <x:v>187</x:v>
      </x:c>
      <x:c r="F308" t="s">
        <x:v>51</x:v>
      </x:c>
      <x:c r="G308">
        <x:v>22</x:v>
      </x:c>
      <x:c r="H308" t="s">
        <x:v>61</x:v>
      </x:c>
      <x:c r="I308">
        <x:v>5</x:v>
      </x:c>
      <x:c r="J308">
        <x:v>10</x:v>
      </x:c>
      <x:c r="K308">
        <x:v>2</x:v>
      </x:c>
      <x:c r="L308">
        <x:f t="shared" si="28"/>
        <x:v>1</x:v>
      </x:c>
      <x:c r="P308">
        <x:f t="shared" si="29"/>
        <x:v>1</x:v>
      </x:c>
      <x:c r="Q308">
        <x:f t="shared" si="30"/>
        <x:v>1</x:v>
      </x:c>
      <x:c r="R308">
        <x:f t="shared" si="31"/>
        <x:v>0</x:v>
      </x:c>
      <x:c r="S308">
        <x:f t="shared" si="32"/>
        <x:v>2</x:v>
      </x:c>
      <x:c r="T308" t="str">
        <x:f t="shared" si="33"/>
        <x:v>DerivedFromCount</x:v>
      </x:c>
      <x:c r="U308" t="str">
        <x:f>IF(COUNTIF(DailyProduction!$Q$5:$Q$100,B308)=1,"OK","CHECK")</x:f>
        <x:v>OK</x:v>
      </x:c>
      <x:c r="V308" t="str">
        <x:f t="shared" si="34"/>
        <x:v>OK</x:v>
      </x:c>
      <x:c r="W308" t="str">
        <x:f>IF(SUMIF($B$5:$B$914,B308,$S$5:$S$914)=SUMIF(DailyProduction!$Q$5:$Q$100,B308,DailyProduction!$R$5:$R$100),"OK","CHECK")</x:f>
        <x:v>OK</x:v>
      </x:c>
      <x:c r="X308" t="str">
        <x:v>PLC-PRD-JAR-720-L22</x:v>
      </x:c>
      <x:c r="Y308" t="str">
        <x:v>OK</x:v>
      </x:c>
      <x:c r="Z308" t="str">
        <x:v>OK</x:v>
      </x:c>
      <x:c r="AA308" t="n">
        <x:v>3</x:v>
      </x:c>
      <x:c r="AB308" t="n">
        <x:v>2</x:v>
      </x:c>
      <x:c r="AC308" t="str">
        <x:v>OK</x:v>
      </x:c>
      <x:c r="AD308" t="str">
        <x:v>OK</x:v>
      </x:c>
      <x:c r="AE308" t="str">
        <x:v>LOAD</x:v>
      </x:c>
      <x:c r="AF308" t="str">
        <x:v>02_Supervisor_Log(4).xlsx</x:v>
      </x:c>
      <x:c r="AG308" t="str">
        <x:v>ENH-20260830-01</x:v>
      </x:c>
      <x:c r="AH308" t="str">
        <x:v>Active</x:v>
      </x:c>
      <x:c r="AI308"/>
      <x:c r="AJ308"/>
      <x:c r="AK308"/>
      <x:c r="AL308"/>
    </x:row>
    <x:row r="309">
      <x:c r="A309" t="s">
        <x:v>527</x:v>
      </x:c>
      <x:c r="B309" t="s">
        <x:v>522</x:v>
      </x:c>
      <x:c r="C309" t="s">
        <x:v>44</x:v>
      </x:c>
      <x:c r="D309">
        <x:v>45954</x:v>
      </x:c>
      <x:c r="E309" t="s">
        <x:v>187</x:v>
      </x:c>
      <x:c r="F309" t="s">
        <x:v>51</x:v>
      </x:c>
      <x:c r="G309">
        <x:v>22</x:v>
      </x:c>
      <x:c r="H309" t="s">
        <x:v>61</x:v>
      </x:c>
      <x:c r="I309">
        <x:v>6</x:v>
      </x:c>
      <x:c r="J309">
        <x:v>10</x:v>
      </x:c>
      <x:c r="K309">
        <x:v>2</x:v>
      </x:c>
      <x:c r="L309">
        <x:f t="shared" si="28"/>
        <x:v>1</x:v>
      </x:c>
      <x:c r="P309">
        <x:f t="shared" si="29"/>
        <x:v>1</x:v>
      </x:c>
      <x:c r="Q309">
        <x:f t="shared" si="30"/>
        <x:v>1</x:v>
      </x:c>
      <x:c r="R309">
        <x:f t="shared" si="31"/>
        <x:v>0</x:v>
      </x:c>
      <x:c r="S309">
        <x:f t="shared" si="32"/>
        <x:v>2</x:v>
      </x:c>
      <x:c r="T309" t="str">
        <x:f t="shared" si="33"/>
        <x:v>DerivedFromCount</x:v>
      </x:c>
      <x:c r="U309" t="str">
        <x:f>IF(COUNTIF(DailyProduction!$Q$5:$Q$100,B309)=1,"OK","CHECK")</x:f>
        <x:v>OK</x:v>
      </x:c>
      <x:c r="V309" t="str">
        <x:f t="shared" si="34"/>
        <x:v>OK</x:v>
      </x:c>
      <x:c r="W309" t="str">
        <x:f>IF(SUMIF($B$5:$B$914,B309,$S$5:$S$914)=SUMIF(DailyProduction!$Q$5:$Q$100,B309,DailyProduction!$R$5:$R$100),"OK","CHECK")</x:f>
        <x:v>OK</x:v>
      </x:c>
      <x:c r="X309" t="str">
        <x:v>PLC-PRD-JAR-720-L22</x:v>
      </x:c>
      <x:c r="Y309" t="str">
        <x:v>OK</x:v>
      </x:c>
      <x:c r="Z309" t="str">
        <x:v>OK</x:v>
      </x:c>
      <x:c r="AA309" t="n">
        <x:v>3</x:v>
      </x:c>
      <x:c r="AB309" t="n">
        <x:v>2</x:v>
      </x:c>
      <x:c r="AC309" t="str">
        <x:v>OK</x:v>
      </x:c>
      <x:c r="AD309" t="str">
        <x:v>OK</x:v>
      </x:c>
      <x:c r="AE309" t="str">
        <x:v>LOAD</x:v>
      </x:c>
      <x:c r="AF309" t="str">
        <x:v>02_Supervisor_Log(4).xlsx</x:v>
      </x:c>
      <x:c r="AG309" t="str">
        <x:v>ENH-20260830-01</x:v>
      </x:c>
      <x:c r="AH309" t="str">
        <x:v>Active</x:v>
      </x:c>
      <x:c r="AI309"/>
      <x:c r="AJ309"/>
      <x:c r="AK309"/>
      <x:c r="AL309"/>
    </x:row>
    <x:row r="310">
      <x:c r="A310" t="s">
        <x:v>528</x:v>
      </x:c>
      <x:c r="B310" t="s">
        <x:v>522</x:v>
      </x:c>
      <x:c r="C310" t="s">
        <x:v>44</x:v>
      </x:c>
      <x:c r="D310">
        <x:v>45954</x:v>
      </x:c>
      <x:c r="E310" t="s">
        <x:v>187</x:v>
      </x:c>
      <x:c r="F310" t="s">
        <x:v>51</x:v>
      </x:c>
      <x:c r="G310">
        <x:v>22</x:v>
      </x:c>
      <x:c r="H310" t="s">
        <x:v>61</x:v>
      </x:c>
      <x:c r="I310">
        <x:v>7</x:v>
      </x:c>
      <x:c r="J310">
        <x:v>10</x:v>
      </x:c>
      <x:c r="K310">
        <x:v>2</x:v>
      </x:c>
      <x:c r="L310">
        <x:f t="shared" si="28"/>
        <x:v>1</x:v>
      </x:c>
      <x:c r="P310">
        <x:f t="shared" si="29"/>
        <x:v>1</x:v>
      </x:c>
      <x:c r="Q310">
        <x:f t="shared" si="30"/>
        <x:v>1</x:v>
      </x:c>
      <x:c r="R310">
        <x:f t="shared" si="31"/>
        <x:v>0</x:v>
      </x:c>
      <x:c r="S310">
        <x:f t="shared" si="32"/>
        <x:v>2</x:v>
      </x:c>
      <x:c r="T310" t="str">
        <x:f t="shared" si="33"/>
        <x:v>DerivedFromCount</x:v>
      </x:c>
      <x:c r="U310" t="str">
        <x:f>IF(COUNTIF(DailyProduction!$Q$5:$Q$100,B310)=1,"OK","CHECK")</x:f>
        <x:v>OK</x:v>
      </x:c>
      <x:c r="V310" t="str">
        <x:f t="shared" si="34"/>
        <x:v>OK</x:v>
      </x:c>
      <x:c r="W310" t="str">
        <x:f>IF(SUMIF($B$5:$B$914,B310,$S$5:$S$914)=SUMIF(DailyProduction!$Q$5:$Q$100,B310,DailyProduction!$R$5:$R$100),"OK","CHECK")</x:f>
        <x:v>OK</x:v>
      </x:c>
      <x:c r="X310" t="str">
        <x:v>PLC-PRD-JAR-720-L22</x:v>
      </x:c>
      <x:c r="Y310" t="str">
        <x:v>OK</x:v>
      </x:c>
      <x:c r="Z310" t="str">
        <x:v>OK</x:v>
      </x:c>
      <x:c r="AA310" t="n">
        <x:v>3</x:v>
      </x:c>
      <x:c r="AB310" t="n">
        <x:v>2</x:v>
      </x:c>
      <x:c r="AC310" t="str">
        <x:v>OK</x:v>
      </x:c>
      <x:c r="AD310" t="str">
        <x:v>OK</x:v>
      </x:c>
      <x:c r="AE310" t="str">
        <x:v>LOAD</x:v>
      </x:c>
      <x:c r="AF310" t="str">
        <x:v>02_Supervisor_Log(4).xlsx</x:v>
      </x:c>
      <x:c r="AG310" t="str">
        <x:v>ENH-20260830-01</x:v>
      </x:c>
      <x:c r="AH310" t="str">
        <x:v>Active</x:v>
      </x:c>
      <x:c r="AI310"/>
      <x:c r="AJ310"/>
      <x:c r="AK310"/>
      <x:c r="AL310"/>
    </x:row>
    <x:row r="311">
      <x:c r="A311" t="s">
        <x:v>529</x:v>
      </x:c>
      <x:c r="B311" t="s">
        <x:v>522</x:v>
      </x:c>
      <x:c r="C311" t="s">
        <x:v>44</x:v>
      </x:c>
      <x:c r="D311">
        <x:v>45954</x:v>
      </x:c>
      <x:c r="E311" t="s">
        <x:v>187</x:v>
      </x:c>
      <x:c r="F311" t="s">
        <x:v>51</x:v>
      </x:c>
      <x:c r="G311">
        <x:v>22</x:v>
      </x:c>
      <x:c r="H311" t="s">
        <x:v>61</x:v>
      </x:c>
      <x:c r="I311">
        <x:v>8</x:v>
      </x:c>
      <x:c r="J311">
        <x:v>10</x:v>
      </x:c>
      <x:c r="K311">
        <x:v>2</x:v>
      </x:c>
      <x:c r="L311">
        <x:f t="shared" si="28"/>
        <x:v>1</x:v>
      </x:c>
      <x:c r="P311">
        <x:f t="shared" si="29"/>
        <x:v>1</x:v>
      </x:c>
      <x:c r="Q311">
        <x:f t="shared" si="30"/>
        <x:v>1</x:v>
      </x:c>
      <x:c r="R311">
        <x:f t="shared" si="31"/>
        <x:v>0</x:v>
      </x:c>
      <x:c r="S311">
        <x:f t="shared" si="32"/>
        <x:v>2</x:v>
      </x:c>
      <x:c r="T311" t="str">
        <x:f t="shared" si="33"/>
        <x:v>DerivedFromCount</x:v>
      </x:c>
      <x:c r="U311" t="str">
        <x:f>IF(COUNTIF(DailyProduction!$Q$5:$Q$100,B311)=1,"OK","CHECK")</x:f>
        <x:v>OK</x:v>
      </x:c>
      <x:c r="V311" t="str">
        <x:f t="shared" si="34"/>
        <x:v>OK</x:v>
      </x:c>
      <x:c r="W311" t="str">
        <x:f>IF(SUMIF($B$5:$B$914,B311,$S$5:$S$914)=SUMIF(DailyProduction!$Q$5:$Q$100,B311,DailyProduction!$R$5:$R$100),"OK","CHECK")</x:f>
        <x:v>OK</x:v>
      </x:c>
      <x:c r="X311" t="str">
        <x:v>PLC-PRD-JAR-720-L22</x:v>
      </x:c>
      <x:c r="Y311" t="str">
        <x:v>OK</x:v>
      </x:c>
      <x:c r="Z311" t="str">
        <x:v>OK</x:v>
      </x:c>
      <x:c r="AA311" t="n">
        <x:v>3</x:v>
      </x:c>
      <x:c r="AB311" t="n">
        <x:v>2</x:v>
      </x:c>
      <x:c r="AC311" t="str">
        <x:v>OK</x:v>
      </x:c>
      <x:c r="AD311" t="str">
        <x:v>OK</x:v>
      </x:c>
      <x:c r="AE311" t="str">
        <x:v>LOAD</x:v>
      </x:c>
      <x:c r="AF311" t="str">
        <x:v>02_Supervisor_Log(4).xlsx</x:v>
      </x:c>
      <x:c r="AG311" t="str">
        <x:v>ENH-20260830-01</x:v>
      </x:c>
      <x:c r="AH311" t="str">
        <x:v>Active</x:v>
      </x:c>
      <x:c r="AI311"/>
      <x:c r="AJ311"/>
      <x:c r="AK311"/>
      <x:c r="AL311"/>
    </x:row>
    <x:row r="312">
      <x:c r="A312" t="s">
        <x:v>530</x:v>
      </x:c>
      <x:c r="B312" t="s">
        <x:v>522</x:v>
      </x:c>
      <x:c r="C312" t="s">
        <x:v>44</x:v>
      </x:c>
      <x:c r="D312">
        <x:v>45954</x:v>
      </x:c>
      <x:c r="E312" t="s">
        <x:v>187</x:v>
      </x:c>
      <x:c r="F312" t="s">
        <x:v>51</x:v>
      </x:c>
      <x:c r="G312">
        <x:v>22</x:v>
      </x:c>
      <x:c r="H312" t="s">
        <x:v>61</x:v>
      </x:c>
      <x:c r="I312">
        <x:v>9</x:v>
      </x:c>
      <x:c r="J312">
        <x:v>10</x:v>
      </x:c>
      <x:c r="K312">
        <x:v>2</x:v>
      </x:c>
      <x:c r="L312">
        <x:f t="shared" si="28"/>
        <x:v>1</x:v>
      </x:c>
      <x:c r="P312">
        <x:f t="shared" si="29"/>
        <x:v>1</x:v>
      </x:c>
      <x:c r="Q312">
        <x:f t="shared" si="30"/>
        <x:v>1</x:v>
      </x:c>
      <x:c r="R312">
        <x:f t="shared" si="31"/>
        <x:v>0</x:v>
      </x:c>
      <x:c r="S312">
        <x:f t="shared" si="32"/>
        <x:v>2</x:v>
      </x:c>
      <x:c r="T312" t="str">
        <x:f t="shared" si="33"/>
        <x:v>DerivedFromCount</x:v>
      </x:c>
      <x:c r="U312" t="str">
        <x:f>IF(COUNTIF(DailyProduction!$Q$5:$Q$100,B312)=1,"OK","CHECK")</x:f>
        <x:v>OK</x:v>
      </x:c>
      <x:c r="V312" t="str">
        <x:f t="shared" si="34"/>
        <x:v>OK</x:v>
      </x:c>
      <x:c r="W312" t="str">
        <x:f>IF(SUMIF($B$5:$B$914,B312,$S$5:$S$914)=SUMIF(DailyProduction!$Q$5:$Q$100,B312,DailyProduction!$R$5:$R$100),"OK","CHECK")</x:f>
        <x:v>OK</x:v>
      </x:c>
      <x:c r="X312" t="str">
        <x:v>PLC-PRD-JAR-720-L22</x:v>
      </x:c>
      <x:c r="Y312" t="str">
        <x:v>OK</x:v>
      </x:c>
      <x:c r="Z312" t="str">
        <x:v>OK</x:v>
      </x:c>
      <x:c r="AA312" t="n">
        <x:v>3</x:v>
      </x:c>
      <x:c r="AB312" t="n">
        <x:v>2</x:v>
      </x:c>
      <x:c r="AC312" t="str">
        <x:v>OK</x:v>
      </x:c>
      <x:c r="AD312" t="str">
        <x:v>OK</x:v>
      </x:c>
      <x:c r="AE312" t="str">
        <x:v>LOAD</x:v>
      </x:c>
      <x:c r="AF312" t="str">
        <x:v>02_Supervisor_Log(4).xlsx</x:v>
      </x:c>
      <x:c r="AG312" t="str">
        <x:v>ENH-20260830-01</x:v>
      </x:c>
      <x:c r="AH312" t="str">
        <x:v>Active</x:v>
      </x:c>
      <x:c r="AI312"/>
      <x:c r="AJ312"/>
      <x:c r="AK312"/>
      <x:c r="AL312"/>
    </x:row>
    <x:row r="313">
      <x:c r="A313" t="s">
        <x:v>531</x:v>
      </x:c>
      <x:c r="B313" t="s">
        <x:v>522</x:v>
      </x:c>
      <x:c r="C313" t="s">
        <x:v>44</x:v>
      </x:c>
      <x:c r="D313">
        <x:v>45954</x:v>
      </x:c>
      <x:c r="E313" t="s">
        <x:v>187</x:v>
      </x:c>
      <x:c r="F313" t="s">
        <x:v>51</x:v>
      </x:c>
      <x:c r="G313">
        <x:v>22</x:v>
      </x:c>
      <x:c r="H313" t="s">
        <x:v>61</x:v>
      </x:c>
      <x:c r="I313">
        <x:v>10</x:v>
      </x:c>
      <x:c r="J313">
        <x:v>10</x:v>
      </x:c>
      <x:c r="K313">
        <x:v>2</x:v>
      </x:c>
      <x:c r="L313">
        <x:f t="shared" si="28"/>
        <x:v>1</x:v>
      </x:c>
      <x:c r="P313">
        <x:f t="shared" si="29"/>
        <x:v>1</x:v>
      </x:c>
      <x:c r="Q313">
        <x:f t="shared" si="30"/>
        <x:v>1</x:v>
      </x:c>
      <x:c r="R313">
        <x:f t="shared" si="31"/>
        <x:v>0</x:v>
      </x:c>
      <x:c r="S313">
        <x:f t="shared" si="32"/>
        <x:v>2</x:v>
      </x:c>
      <x:c r="T313" t="str">
        <x:f t="shared" si="33"/>
        <x:v>DerivedFromCount</x:v>
      </x:c>
      <x:c r="U313" t="str">
        <x:f>IF(COUNTIF(DailyProduction!$Q$5:$Q$100,B313)=1,"OK","CHECK")</x:f>
        <x:v>OK</x:v>
      </x:c>
      <x:c r="V313" t="str">
        <x:f t="shared" si="34"/>
        <x:v>OK</x:v>
      </x:c>
      <x:c r="W313" t="str">
        <x:f>IF(SUMIF($B$5:$B$914,B313,$S$5:$S$914)=SUMIF(DailyProduction!$Q$5:$Q$100,B313,DailyProduction!$R$5:$R$100),"OK","CHECK")</x:f>
        <x:v>OK</x:v>
      </x:c>
      <x:c r="X313" t="str">
        <x:v>PLC-PRD-JAR-720-L22</x:v>
      </x:c>
      <x:c r="Y313" t="str">
        <x:v>OK</x:v>
      </x:c>
      <x:c r="Z313" t="str">
        <x:v>OK</x:v>
      </x:c>
      <x:c r="AA313" t="n">
        <x:v>3</x:v>
      </x:c>
      <x:c r="AB313" t="n">
        <x:v>2</x:v>
      </x:c>
      <x:c r="AC313" t="str">
        <x:v>OK</x:v>
      </x:c>
      <x:c r="AD313" t="str">
        <x:v>OK</x:v>
      </x:c>
      <x:c r="AE313" t="str">
        <x:v>LOAD</x:v>
      </x:c>
      <x:c r="AF313" t="str">
        <x:v>02_Supervisor_Log(4).xlsx</x:v>
      </x:c>
      <x:c r="AG313" t="str">
        <x:v>ENH-20260830-01</x:v>
      </x:c>
      <x:c r="AH313" t="str">
        <x:v>Active</x:v>
      </x:c>
      <x:c r="AI313"/>
      <x:c r="AJ313"/>
      <x:c r="AK313"/>
      <x:c r="AL313"/>
    </x:row>
    <x:row r="314">
      <x:c r="A314" t="s">
        <x:v>532</x:v>
      </x:c>
      <x:c r="B314" t="s">
        <x:v>522</x:v>
      </x:c>
      <x:c r="C314" t="s">
        <x:v>44</x:v>
      </x:c>
      <x:c r="D314">
        <x:v>45954</x:v>
      </x:c>
      <x:c r="E314" t="s">
        <x:v>187</x:v>
      </x:c>
      <x:c r="F314" t="s">
        <x:v>51</x:v>
      </x:c>
      <x:c r="G314">
        <x:v>22</x:v>
      </x:c>
      <x:c r="H314" t="s">
        <x:v>61</x:v>
      </x:c>
      <x:c r="I314">
        <x:v>11</x:v>
      </x:c>
      <x:c r="J314">
        <x:v>10</x:v>
      </x:c>
      <x:c r="K314">
        <x:v>2</x:v>
      </x:c>
      <x:c r="L314">
        <x:f t="shared" si="28"/>
        <x:v>0</x:v>
      </x:c>
      <x:c r="P314">
        <x:f t="shared" si="29"/>
        <x:v>0</x:v>
      </x:c>
      <x:c r="Q314">
        <x:f t="shared" si="30"/>
        <x:v>0</x:v>
      </x:c>
      <x:c r="R314">
        <x:f t="shared" si="31"/>
        <x:v>0</x:v>
      </x:c>
      <x:c r="S314">
        <x:f t="shared" si="32"/>
        <x:v>0</x:v>
      </x:c>
      <x:c r="T314" t="str">
        <x:f t="shared" si="33"/>
        <x:v>DerivedFromCount</x:v>
      </x:c>
      <x:c r="U314" t="str">
        <x:f>IF(COUNTIF(DailyProduction!$Q$5:$Q$100,B314)=1,"OK","CHECK")</x:f>
        <x:v>OK</x:v>
      </x:c>
      <x:c r="V314" t="str">
        <x:f t="shared" si="34"/>
        <x:v>OK</x:v>
      </x:c>
      <x:c r="W314" t="str">
        <x:f>IF(SUMIF($B$5:$B$914,B314,$S$5:$S$914)=SUMIF(DailyProduction!$Q$5:$Q$100,B314,DailyProduction!$R$5:$R$100),"OK","CHECK")</x:f>
        <x:v>OK</x:v>
      </x:c>
      <x:c r="X314" t="str">
        <x:v>PLC-PRD-JAR-720-L22</x:v>
      </x:c>
      <x:c r="Y314" t="str">
        <x:v>OK</x:v>
      </x:c>
      <x:c r="Z314" t="str">
        <x:v>OK</x:v>
      </x:c>
      <x:c r="AA314" t="n">
        <x:v>3</x:v>
      </x:c>
      <x:c r="AB314" t="n">
        <x:v>0</x:v>
      </x:c>
      <x:c r="AC314" t="str">
        <x:v>OK</x:v>
      </x:c>
      <x:c r="AD314" t="str">
        <x:v>OK</x:v>
      </x:c>
      <x:c r="AE314" t="str">
        <x:v>LOAD</x:v>
      </x:c>
      <x:c r="AF314" t="str">
        <x:v>02_Supervisor_Log(4).xlsx</x:v>
      </x:c>
      <x:c r="AG314" t="str">
        <x:v>ENH-20260830-01</x:v>
      </x:c>
      <x:c r="AH314" t="str">
        <x:v>Active</x:v>
      </x:c>
      <x:c r="AI314"/>
      <x:c r="AJ314"/>
      <x:c r="AK314"/>
      <x:c r="AL314"/>
    </x:row>
    <x:row r="315">
      <x:c r="A315" t="s">
        <x:v>533</x:v>
      </x:c>
      <x:c r="B315" t="s">
        <x:v>522</x:v>
      </x:c>
      <x:c r="C315" t="s">
        <x:v>44</x:v>
      </x:c>
      <x:c r="D315">
        <x:v>45954</x:v>
      </x:c>
      <x:c r="E315" t="s">
        <x:v>187</x:v>
      </x:c>
      <x:c r="F315" t="s">
        <x:v>51</x:v>
      </x:c>
      <x:c r="G315">
        <x:v>22</x:v>
      </x:c>
      <x:c r="H315" t="s">
        <x:v>61</x:v>
      </x:c>
      <x:c r="I315">
        <x:v>12</x:v>
      </x:c>
      <x:c r="J315">
        <x:v>10</x:v>
      </x:c>
      <x:c r="K315">
        <x:v>2</x:v>
      </x:c>
      <x:c r="L315">
        <x:f t="shared" si="28"/>
        <x:v>0</x:v>
      </x:c>
      <x:c r="P315">
        <x:f t="shared" si="29"/>
        <x:v>0</x:v>
      </x:c>
      <x:c r="Q315">
        <x:f t="shared" si="30"/>
        <x:v>0</x:v>
      </x:c>
      <x:c r="R315">
        <x:f t="shared" si="31"/>
        <x:v>0</x:v>
      </x:c>
      <x:c r="S315">
        <x:f t="shared" si="32"/>
        <x:v>0</x:v>
      </x:c>
      <x:c r="T315" t="str">
        <x:f t="shared" si="33"/>
        <x:v>DerivedFromCount</x:v>
      </x:c>
      <x:c r="U315" t="str">
        <x:f>IF(COUNTIF(DailyProduction!$Q$5:$Q$100,B315)=1,"OK","CHECK")</x:f>
        <x:v>OK</x:v>
      </x:c>
      <x:c r="V315" t="str">
        <x:f t="shared" si="34"/>
        <x:v>OK</x:v>
      </x:c>
      <x:c r="W315" t="str">
        <x:f>IF(SUMIF($B$5:$B$914,B315,$S$5:$S$914)=SUMIF(DailyProduction!$Q$5:$Q$100,B315,DailyProduction!$R$5:$R$100),"OK","CHECK")</x:f>
        <x:v>OK</x:v>
      </x:c>
      <x:c r="X315" t="str">
        <x:v>PLC-PRD-JAR-720-L22</x:v>
      </x:c>
      <x:c r="Y315" t="str">
        <x:v>OK</x:v>
      </x:c>
      <x:c r="Z315" t="str">
        <x:v>OK</x:v>
      </x:c>
      <x:c r="AA315" t="n">
        <x:v>3</x:v>
      </x:c>
      <x:c r="AB315" t="n">
        <x:v>0</x:v>
      </x:c>
      <x:c r="AC315" t="str">
        <x:v>OK</x:v>
      </x:c>
      <x:c r="AD315" t="str">
        <x:v>OK</x:v>
      </x:c>
      <x:c r="AE315" t="str">
        <x:v>LOAD</x:v>
      </x:c>
      <x:c r="AF315" t="str">
        <x:v>02_Supervisor_Log(4).xlsx</x:v>
      </x:c>
      <x:c r="AG315" t="str">
        <x:v>ENH-20260830-01</x:v>
      </x:c>
      <x:c r="AH315" t="str">
        <x:v>Active</x:v>
      </x:c>
      <x:c r="AI315"/>
      <x:c r="AJ315"/>
      <x:c r="AK315"/>
      <x:c r="AL315"/>
    </x:row>
    <x:row r="316">
      <x:c r="A316" t="s">
        <x:v>534</x:v>
      </x:c>
      <x:c r="B316" t="s">
        <x:v>522</x:v>
      </x:c>
      <x:c r="C316" t="s">
        <x:v>44</x:v>
      </x:c>
      <x:c r="D316">
        <x:v>45954</x:v>
      </x:c>
      <x:c r="E316" t="s">
        <x:v>187</x:v>
      </x:c>
      <x:c r="F316" t="s">
        <x:v>51</x:v>
      </x:c>
      <x:c r="G316">
        <x:v>22</x:v>
      </x:c>
      <x:c r="H316" t="s">
        <x:v>61</x:v>
      </x:c>
      <x:c r="I316">
        <x:v>13</x:v>
      </x:c>
      <x:c r="J316">
        <x:v>10</x:v>
      </x:c>
      <x:c r="K316">
        <x:v>2</x:v>
      </x:c>
      <x:c r="L316">
        <x:f t="shared" si="28"/>
        <x:v>0</x:v>
      </x:c>
      <x:c r="P316">
        <x:f t="shared" si="29"/>
        <x:v>0</x:v>
      </x:c>
      <x:c r="Q316">
        <x:f t="shared" si="30"/>
        <x:v>0</x:v>
      </x:c>
      <x:c r="R316">
        <x:f t="shared" si="31"/>
        <x:v>0</x:v>
      </x:c>
      <x:c r="S316">
        <x:f t="shared" si="32"/>
        <x:v>0</x:v>
      </x:c>
      <x:c r="T316" t="str">
        <x:f t="shared" si="33"/>
        <x:v>DerivedFromCount</x:v>
      </x:c>
      <x:c r="U316" t="str">
        <x:f>IF(COUNTIF(DailyProduction!$Q$5:$Q$100,B316)=1,"OK","CHECK")</x:f>
        <x:v>OK</x:v>
      </x:c>
      <x:c r="V316" t="str">
        <x:f t="shared" si="34"/>
        <x:v>OK</x:v>
      </x:c>
      <x:c r="W316" t="str">
        <x:f>IF(SUMIF($B$5:$B$914,B316,$S$5:$S$914)=SUMIF(DailyProduction!$Q$5:$Q$100,B316,DailyProduction!$R$5:$R$100),"OK","CHECK")</x:f>
        <x:v>OK</x:v>
      </x:c>
      <x:c r="X316" t="str">
        <x:v>PLC-PRD-JAR-720-L22</x:v>
      </x:c>
      <x:c r="Y316" t="str">
        <x:v>OK</x:v>
      </x:c>
      <x:c r="Z316" t="str">
        <x:v>OK</x:v>
      </x:c>
      <x:c r="AA316" t="n">
        <x:v>3</x:v>
      </x:c>
      <x:c r="AB316" t="n">
        <x:v>0</x:v>
      </x:c>
      <x:c r="AC316" t="str">
        <x:v>OK</x:v>
      </x:c>
      <x:c r="AD316" t="str">
        <x:v>OK</x:v>
      </x:c>
      <x:c r="AE316" t="str">
        <x:v>LOAD</x:v>
      </x:c>
      <x:c r="AF316" t="str">
        <x:v>02_Supervisor_Log(4).xlsx</x:v>
      </x:c>
      <x:c r="AG316" t="str">
        <x:v>ENH-20260830-01</x:v>
      </x:c>
      <x:c r="AH316" t="str">
        <x:v>Active</x:v>
      </x:c>
      <x:c r="AI316"/>
      <x:c r="AJ316"/>
      <x:c r="AK316"/>
      <x:c r="AL316"/>
    </x:row>
    <x:row r="317">
      <x:c r="A317" t="s">
        <x:v>535</x:v>
      </x:c>
      <x:c r="B317" t="s">
        <x:v>536</x:v>
      </x:c>
      <x:c r="C317" t="s">
        <x:v>44</x:v>
      </x:c>
      <x:c r="D317">
        <x:v>45955</x:v>
      </x:c>
      <x:c r="E317" t="s">
        <x:v>45</x:v>
      </x:c>
      <x:c r="F317" t="s">
        <x:v>51</x:v>
      </x:c>
      <x:c r="G317">
        <x:v>22</x:v>
      </x:c>
      <x:c r="H317" t="s">
        <x:v>61</x:v>
      </x:c>
      <x:c r="I317">
        <x:v>1</x:v>
      </x:c>
      <x:c r="J317">
        <x:v>10</x:v>
      </x:c>
      <x:c r="K317">
        <x:v>2</x:v>
      </x:c>
      <x:c r="L317">
        <x:f t="shared" si="28"/>
        <x:v>1</x:v>
      </x:c>
      <x:c r="P317">
        <x:f t="shared" si="29"/>
        <x:v>1</x:v>
      </x:c>
      <x:c r="Q317">
        <x:f t="shared" si="30"/>
        <x:v>1</x:v>
      </x:c>
      <x:c r="R317">
        <x:f t="shared" si="31"/>
        <x:v>0</x:v>
      </x:c>
      <x:c r="S317">
        <x:f t="shared" si="32"/>
        <x:v>2</x:v>
      </x:c>
      <x:c r="T317" t="str">
        <x:f t="shared" si="33"/>
        <x:v>DerivedFromCount</x:v>
      </x:c>
      <x:c r="U317" t="str">
        <x:f>IF(COUNTIF(DailyProduction!$Q$5:$Q$100,B317)=1,"OK","CHECK")</x:f>
        <x:v>OK</x:v>
      </x:c>
      <x:c r="V317" t="str">
        <x:f t="shared" si="34"/>
        <x:v>OK</x:v>
      </x:c>
      <x:c r="W317" t="str">
        <x:f>IF(SUMIF($B$5:$B$914,B317,$S$5:$S$914)=SUMIF(DailyProduction!$Q$5:$Q$100,B317,DailyProduction!$R$5:$R$100),"OK","CHECK")</x:f>
        <x:v>OK</x:v>
      </x:c>
      <x:c r="X317" t="str">
        <x:v>PLC-PRD-JAR-720-L22</x:v>
      </x:c>
      <x:c r="Y317" t="str">
        <x:v>OK</x:v>
      </x:c>
      <x:c r="Z317" t="str">
        <x:v>OK</x:v>
      </x:c>
      <x:c r="AA317" t="n">
        <x:v>3</x:v>
      </x:c>
      <x:c r="AB317" t="n">
        <x:v>2</x:v>
      </x:c>
      <x:c r="AC317" t="str">
        <x:v>OK</x:v>
      </x:c>
      <x:c r="AD317" t="str">
        <x:v>OK</x:v>
      </x:c>
      <x:c r="AE317" t="str">
        <x:v>LOAD</x:v>
      </x:c>
      <x:c r="AF317" t="str">
        <x:v>02_Supervisor_Log(4).xlsx</x:v>
      </x:c>
      <x:c r="AG317" t="str">
        <x:v>ENH-20260830-01</x:v>
      </x:c>
      <x:c r="AH317" t="str">
        <x:v>Active</x:v>
      </x:c>
      <x:c r="AI317"/>
      <x:c r="AJ317"/>
      <x:c r="AK317"/>
      <x:c r="AL317"/>
    </x:row>
    <x:row r="318">
      <x:c r="A318" t="s">
        <x:v>537</x:v>
      </x:c>
      <x:c r="B318" t="s">
        <x:v>536</x:v>
      </x:c>
      <x:c r="C318" t="s">
        <x:v>44</x:v>
      </x:c>
      <x:c r="D318">
        <x:v>45955</x:v>
      </x:c>
      <x:c r="E318" t="s">
        <x:v>45</x:v>
      </x:c>
      <x:c r="F318" t="s">
        <x:v>51</x:v>
      </x:c>
      <x:c r="G318">
        <x:v>22</x:v>
      </x:c>
      <x:c r="H318" t="s">
        <x:v>61</x:v>
      </x:c>
      <x:c r="I318">
        <x:v>2</x:v>
      </x:c>
      <x:c r="J318">
        <x:v>10</x:v>
      </x:c>
      <x:c r="K318">
        <x:v>2</x:v>
      </x:c>
      <x:c r="L318">
        <x:f t="shared" si="28"/>
        <x:v>1</x:v>
      </x:c>
      <x:c r="P318">
        <x:f t="shared" si="29"/>
        <x:v>1</x:v>
      </x:c>
      <x:c r="Q318">
        <x:f t="shared" si="30"/>
        <x:v>1</x:v>
      </x:c>
      <x:c r="R318">
        <x:f t="shared" si="31"/>
        <x:v>0</x:v>
      </x:c>
      <x:c r="S318">
        <x:f t="shared" si="32"/>
        <x:v>2</x:v>
      </x:c>
      <x:c r="T318" t="str">
        <x:f t="shared" si="33"/>
        <x:v>DerivedFromCount</x:v>
      </x:c>
      <x:c r="U318" t="str">
        <x:f>IF(COUNTIF(DailyProduction!$Q$5:$Q$100,B318)=1,"OK","CHECK")</x:f>
        <x:v>OK</x:v>
      </x:c>
      <x:c r="V318" t="str">
        <x:f t="shared" si="34"/>
        <x:v>OK</x:v>
      </x:c>
      <x:c r="W318" t="str">
        <x:f>IF(SUMIF($B$5:$B$914,B318,$S$5:$S$914)=SUMIF(DailyProduction!$Q$5:$Q$100,B318,DailyProduction!$R$5:$R$100),"OK","CHECK")</x:f>
        <x:v>OK</x:v>
      </x:c>
      <x:c r="X318" t="str">
        <x:v>PLC-PRD-JAR-720-L22</x:v>
      </x:c>
      <x:c r="Y318" t="str">
        <x:v>OK</x:v>
      </x:c>
      <x:c r="Z318" t="str">
        <x:v>OK</x:v>
      </x:c>
      <x:c r="AA318" t="n">
        <x:v>3</x:v>
      </x:c>
      <x:c r="AB318" t="n">
        <x:v>2</x:v>
      </x:c>
      <x:c r="AC318" t="str">
        <x:v>OK</x:v>
      </x:c>
      <x:c r="AD318" t="str">
        <x:v>OK</x:v>
      </x:c>
      <x:c r="AE318" t="str">
        <x:v>LOAD</x:v>
      </x:c>
      <x:c r="AF318" t="str">
        <x:v>02_Supervisor_Log(4).xlsx</x:v>
      </x:c>
      <x:c r="AG318" t="str">
        <x:v>ENH-20260830-01</x:v>
      </x:c>
      <x:c r="AH318" t="str">
        <x:v>Active</x:v>
      </x:c>
      <x:c r="AI318"/>
      <x:c r="AJ318"/>
      <x:c r="AK318"/>
      <x:c r="AL318"/>
    </x:row>
    <x:row r="319">
      <x:c r="A319" t="s">
        <x:v>538</x:v>
      </x:c>
      <x:c r="B319" t="s">
        <x:v>536</x:v>
      </x:c>
      <x:c r="C319" t="s">
        <x:v>44</x:v>
      </x:c>
      <x:c r="D319">
        <x:v>45955</x:v>
      </x:c>
      <x:c r="E319" t="s">
        <x:v>45</x:v>
      </x:c>
      <x:c r="F319" t="s">
        <x:v>51</x:v>
      </x:c>
      <x:c r="G319">
        <x:v>22</x:v>
      </x:c>
      <x:c r="H319" t="s">
        <x:v>61</x:v>
      </x:c>
      <x:c r="I319">
        <x:v>3</x:v>
      </x:c>
      <x:c r="J319">
        <x:v>10</x:v>
      </x:c>
      <x:c r="K319">
        <x:v>2</x:v>
      </x:c>
      <x:c r="L319">
        <x:f t="shared" si="28"/>
        <x:v>1</x:v>
      </x:c>
      <x:c r="P319">
        <x:f t="shared" si="29"/>
        <x:v>1</x:v>
      </x:c>
      <x:c r="Q319">
        <x:f t="shared" si="30"/>
        <x:v>1</x:v>
      </x:c>
      <x:c r="R319">
        <x:f t="shared" si="31"/>
        <x:v>0</x:v>
      </x:c>
      <x:c r="S319">
        <x:f t="shared" si="32"/>
        <x:v>2</x:v>
      </x:c>
      <x:c r="T319" t="str">
        <x:f t="shared" si="33"/>
        <x:v>DerivedFromCount</x:v>
      </x:c>
      <x:c r="U319" t="str">
        <x:f>IF(COUNTIF(DailyProduction!$Q$5:$Q$100,B319)=1,"OK","CHECK")</x:f>
        <x:v>OK</x:v>
      </x:c>
      <x:c r="V319" t="str">
        <x:f t="shared" si="34"/>
        <x:v>OK</x:v>
      </x:c>
      <x:c r="W319" t="str">
        <x:f>IF(SUMIF($B$5:$B$914,B319,$S$5:$S$914)=SUMIF(DailyProduction!$Q$5:$Q$100,B319,DailyProduction!$R$5:$R$100),"OK","CHECK")</x:f>
        <x:v>OK</x:v>
      </x:c>
      <x:c r="X319" t="str">
        <x:v>PLC-PRD-JAR-720-L22</x:v>
      </x:c>
      <x:c r="Y319" t="str">
        <x:v>OK</x:v>
      </x:c>
      <x:c r="Z319" t="str">
        <x:v>OK</x:v>
      </x:c>
      <x:c r="AA319" t="n">
        <x:v>3</x:v>
      </x:c>
      <x:c r="AB319" t="n">
        <x:v>2</x:v>
      </x:c>
      <x:c r="AC319" t="str">
        <x:v>OK</x:v>
      </x:c>
      <x:c r="AD319" t="str">
        <x:v>OK</x:v>
      </x:c>
      <x:c r="AE319" t="str">
        <x:v>LOAD</x:v>
      </x:c>
      <x:c r="AF319" t="str">
        <x:v>02_Supervisor_Log(4).xlsx</x:v>
      </x:c>
      <x:c r="AG319" t="str">
        <x:v>ENH-20260830-01</x:v>
      </x:c>
      <x:c r="AH319" t="str">
        <x:v>Active</x:v>
      </x:c>
      <x:c r="AI319"/>
      <x:c r="AJ319"/>
      <x:c r="AK319"/>
      <x:c r="AL319"/>
    </x:row>
    <x:row r="320">
      <x:c r="A320" t="s">
        <x:v>539</x:v>
      </x:c>
      <x:c r="B320" t="s">
        <x:v>536</x:v>
      </x:c>
      <x:c r="C320" t="s">
        <x:v>44</x:v>
      </x:c>
      <x:c r="D320">
        <x:v>45955</x:v>
      </x:c>
      <x:c r="E320" t="s">
        <x:v>45</x:v>
      </x:c>
      <x:c r="F320" t="s">
        <x:v>51</x:v>
      </x:c>
      <x:c r="G320">
        <x:v>22</x:v>
      </x:c>
      <x:c r="H320" t="s">
        <x:v>61</x:v>
      </x:c>
      <x:c r="I320">
        <x:v>4</x:v>
      </x:c>
      <x:c r="J320">
        <x:v>10</x:v>
      </x:c>
      <x:c r="K320">
        <x:v>2</x:v>
      </x:c>
      <x:c r="L320">
        <x:f t="shared" si="28"/>
        <x:v>1</x:v>
      </x:c>
      <x:c r="P320">
        <x:f t="shared" si="29"/>
        <x:v>1</x:v>
      </x:c>
      <x:c r="Q320">
        <x:f t="shared" si="30"/>
        <x:v>1</x:v>
      </x:c>
      <x:c r="R320">
        <x:f t="shared" si="31"/>
        <x:v>0</x:v>
      </x:c>
      <x:c r="S320">
        <x:f t="shared" si="32"/>
        <x:v>2</x:v>
      </x:c>
      <x:c r="T320" t="str">
        <x:f t="shared" si="33"/>
        <x:v>DerivedFromCount</x:v>
      </x:c>
      <x:c r="U320" t="str">
        <x:f>IF(COUNTIF(DailyProduction!$Q$5:$Q$100,B320)=1,"OK","CHECK")</x:f>
        <x:v>OK</x:v>
      </x:c>
      <x:c r="V320" t="str">
        <x:f t="shared" si="34"/>
        <x:v>OK</x:v>
      </x:c>
      <x:c r="W320" t="str">
        <x:f>IF(SUMIF($B$5:$B$914,B320,$S$5:$S$914)=SUMIF(DailyProduction!$Q$5:$Q$100,B320,DailyProduction!$R$5:$R$100),"OK","CHECK")</x:f>
        <x:v>OK</x:v>
      </x:c>
      <x:c r="X320" t="str">
        <x:v>PLC-PRD-JAR-720-L22</x:v>
      </x:c>
      <x:c r="Y320" t="str">
        <x:v>OK</x:v>
      </x:c>
      <x:c r="Z320" t="str">
        <x:v>OK</x:v>
      </x:c>
      <x:c r="AA320" t="n">
        <x:v>3</x:v>
      </x:c>
      <x:c r="AB320" t="n">
        <x:v>2</x:v>
      </x:c>
      <x:c r="AC320" t="str">
        <x:v>OK</x:v>
      </x:c>
      <x:c r="AD320" t="str">
        <x:v>OK</x:v>
      </x:c>
      <x:c r="AE320" t="str">
        <x:v>LOAD</x:v>
      </x:c>
      <x:c r="AF320" t="str">
        <x:v>02_Supervisor_Log(4).xlsx</x:v>
      </x:c>
      <x:c r="AG320" t="str">
        <x:v>ENH-20260830-01</x:v>
      </x:c>
      <x:c r="AH320" t="str">
        <x:v>Active</x:v>
      </x:c>
      <x:c r="AI320"/>
      <x:c r="AJ320"/>
      <x:c r="AK320"/>
      <x:c r="AL320"/>
    </x:row>
    <x:row r="321">
      <x:c r="A321" t="s">
        <x:v>540</x:v>
      </x:c>
      <x:c r="B321" t="s">
        <x:v>536</x:v>
      </x:c>
      <x:c r="C321" t="s">
        <x:v>44</x:v>
      </x:c>
      <x:c r="D321">
        <x:v>45955</x:v>
      </x:c>
      <x:c r="E321" t="s">
        <x:v>45</x:v>
      </x:c>
      <x:c r="F321" t="s">
        <x:v>51</x:v>
      </x:c>
      <x:c r="G321">
        <x:v>22</x:v>
      </x:c>
      <x:c r="H321" t="s">
        <x:v>61</x:v>
      </x:c>
      <x:c r="I321">
        <x:v>5</x:v>
      </x:c>
      <x:c r="J321">
        <x:v>10</x:v>
      </x:c>
      <x:c r="K321">
        <x:v>2</x:v>
      </x:c>
      <x:c r="L321">
        <x:f t="shared" si="28"/>
        <x:v>1</x:v>
      </x:c>
      <x:c r="P321">
        <x:f t="shared" si="29"/>
        <x:v>1</x:v>
      </x:c>
      <x:c r="Q321">
        <x:f t="shared" si="30"/>
        <x:v>1</x:v>
      </x:c>
      <x:c r="R321">
        <x:f t="shared" si="31"/>
        <x:v>0</x:v>
      </x:c>
      <x:c r="S321">
        <x:f t="shared" si="32"/>
        <x:v>2</x:v>
      </x:c>
      <x:c r="T321" t="str">
        <x:f t="shared" si="33"/>
        <x:v>DerivedFromCount</x:v>
      </x:c>
      <x:c r="U321" t="str">
        <x:f>IF(COUNTIF(DailyProduction!$Q$5:$Q$100,B321)=1,"OK","CHECK")</x:f>
        <x:v>OK</x:v>
      </x:c>
      <x:c r="V321" t="str">
        <x:f t="shared" si="34"/>
        <x:v>OK</x:v>
      </x:c>
      <x:c r="W321" t="str">
        <x:f>IF(SUMIF($B$5:$B$914,B321,$S$5:$S$914)=SUMIF(DailyProduction!$Q$5:$Q$100,B321,DailyProduction!$R$5:$R$100),"OK","CHECK")</x:f>
        <x:v>OK</x:v>
      </x:c>
      <x:c r="X321" t="str">
        <x:v>PLC-PRD-JAR-720-L22</x:v>
      </x:c>
      <x:c r="Y321" t="str">
        <x:v>OK</x:v>
      </x:c>
      <x:c r="Z321" t="str">
        <x:v>OK</x:v>
      </x:c>
      <x:c r="AA321" t="n">
        <x:v>3</x:v>
      </x:c>
      <x:c r="AB321" t="n">
        <x:v>2</x:v>
      </x:c>
      <x:c r="AC321" t="str">
        <x:v>OK</x:v>
      </x:c>
      <x:c r="AD321" t="str">
        <x:v>OK</x:v>
      </x:c>
      <x:c r="AE321" t="str">
        <x:v>LOAD</x:v>
      </x:c>
      <x:c r="AF321" t="str">
        <x:v>02_Supervisor_Log(4).xlsx</x:v>
      </x:c>
      <x:c r="AG321" t="str">
        <x:v>ENH-20260830-01</x:v>
      </x:c>
      <x:c r="AH321" t="str">
        <x:v>Active</x:v>
      </x:c>
      <x:c r="AI321"/>
      <x:c r="AJ321"/>
      <x:c r="AK321"/>
      <x:c r="AL321"/>
    </x:row>
    <x:row r="322">
      <x:c r="A322" t="s">
        <x:v>541</x:v>
      </x:c>
      <x:c r="B322" t="s">
        <x:v>536</x:v>
      </x:c>
      <x:c r="C322" t="s">
        <x:v>44</x:v>
      </x:c>
      <x:c r="D322">
        <x:v>45955</x:v>
      </x:c>
      <x:c r="E322" t="s">
        <x:v>45</x:v>
      </x:c>
      <x:c r="F322" t="s">
        <x:v>51</x:v>
      </x:c>
      <x:c r="G322">
        <x:v>22</x:v>
      </x:c>
      <x:c r="H322" t="s">
        <x:v>61</x:v>
      </x:c>
      <x:c r="I322">
        <x:v>6</x:v>
      </x:c>
      <x:c r="J322">
        <x:v>10</x:v>
      </x:c>
      <x:c r="K322">
        <x:v>2</x:v>
      </x:c>
      <x:c r="L322">
        <x:f t="shared" si="28"/>
        <x:v>1</x:v>
      </x:c>
      <x:c r="P322">
        <x:f t="shared" si="29"/>
        <x:v>1</x:v>
      </x:c>
      <x:c r="Q322">
        <x:f t="shared" si="30"/>
        <x:v>1</x:v>
      </x:c>
      <x:c r="R322">
        <x:f t="shared" si="31"/>
        <x:v>0</x:v>
      </x:c>
      <x:c r="S322">
        <x:f t="shared" si="32"/>
        <x:v>2</x:v>
      </x:c>
      <x:c r="T322" t="str">
        <x:f t="shared" si="33"/>
        <x:v>DerivedFromCount</x:v>
      </x:c>
      <x:c r="U322" t="str">
        <x:f>IF(COUNTIF(DailyProduction!$Q$5:$Q$100,B322)=1,"OK","CHECK")</x:f>
        <x:v>OK</x:v>
      </x:c>
      <x:c r="V322" t="str">
        <x:f t="shared" si="34"/>
        <x:v>OK</x:v>
      </x:c>
      <x:c r="W322" t="str">
        <x:f>IF(SUMIF($B$5:$B$914,B322,$S$5:$S$914)=SUMIF(DailyProduction!$Q$5:$Q$100,B322,DailyProduction!$R$5:$R$100),"OK","CHECK")</x:f>
        <x:v>OK</x:v>
      </x:c>
      <x:c r="X322" t="str">
        <x:v>PLC-PRD-JAR-720-L22</x:v>
      </x:c>
      <x:c r="Y322" t="str">
        <x:v>OK</x:v>
      </x:c>
      <x:c r="Z322" t="str">
        <x:v>OK</x:v>
      </x:c>
      <x:c r="AA322" t="n">
        <x:v>3</x:v>
      </x:c>
      <x:c r="AB322" t="n">
        <x:v>2</x:v>
      </x:c>
      <x:c r="AC322" t="str">
        <x:v>OK</x:v>
      </x:c>
      <x:c r="AD322" t="str">
        <x:v>OK</x:v>
      </x:c>
      <x:c r="AE322" t="str">
        <x:v>LOAD</x:v>
      </x:c>
      <x:c r="AF322" t="str">
        <x:v>02_Supervisor_Log(4).xlsx</x:v>
      </x:c>
      <x:c r="AG322" t="str">
        <x:v>ENH-20260830-01</x:v>
      </x:c>
      <x:c r="AH322" t="str">
        <x:v>Active</x:v>
      </x:c>
      <x:c r="AI322"/>
      <x:c r="AJ322"/>
      <x:c r="AK322"/>
      <x:c r="AL322"/>
    </x:row>
    <x:row r="323">
      <x:c r="A323" t="s">
        <x:v>542</x:v>
      </x:c>
      <x:c r="B323" t="s">
        <x:v>536</x:v>
      </x:c>
      <x:c r="C323" t="s">
        <x:v>44</x:v>
      </x:c>
      <x:c r="D323">
        <x:v>45955</x:v>
      </x:c>
      <x:c r="E323" t="s">
        <x:v>45</x:v>
      </x:c>
      <x:c r="F323" t="s">
        <x:v>51</x:v>
      </x:c>
      <x:c r="G323">
        <x:v>22</x:v>
      </x:c>
      <x:c r="H323" t="s">
        <x:v>61</x:v>
      </x:c>
      <x:c r="I323">
        <x:v>7</x:v>
      </x:c>
      <x:c r="J323">
        <x:v>10</x:v>
      </x:c>
      <x:c r="K323">
        <x:v>2</x:v>
      </x:c>
      <x:c r="L323">
        <x:f t="shared" si="28"/>
        <x:v>1</x:v>
      </x:c>
      <x:c r="P323">
        <x:f t="shared" si="29"/>
        <x:v>1</x:v>
      </x:c>
      <x:c r="Q323">
        <x:f t="shared" si="30"/>
        <x:v>1</x:v>
      </x:c>
      <x:c r="R323">
        <x:f t="shared" si="31"/>
        <x:v>0</x:v>
      </x:c>
      <x:c r="S323">
        <x:f t="shared" si="32"/>
        <x:v>2</x:v>
      </x:c>
      <x:c r="T323" t="str">
        <x:f t="shared" si="33"/>
        <x:v>DerivedFromCount</x:v>
      </x:c>
      <x:c r="U323" t="str">
        <x:f>IF(COUNTIF(DailyProduction!$Q$5:$Q$100,B323)=1,"OK","CHECK")</x:f>
        <x:v>OK</x:v>
      </x:c>
      <x:c r="V323" t="str">
        <x:f t="shared" si="34"/>
        <x:v>OK</x:v>
      </x:c>
      <x:c r="W323" t="str">
        <x:f>IF(SUMIF($B$5:$B$914,B323,$S$5:$S$914)=SUMIF(DailyProduction!$Q$5:$Q$100,B323,DailyProduction!$R$5:$R$100),"OK","CHECK")</x:f>
        <x:v>OK</x:v>
      </x:c>
      <x:c r="X323" t="str">
        <x:v>PLC-PRD-JAR-720-L22</x:v>
      </x:c>
      <x:c r="Y323" t="str">
        <x:v>OK</x:v>
      </x:c>
      <x:c r="Z323" t="str">
        <x:v>OK</x:v>
      </x:c>
      <x:c r="AA323" t="n">
        <x:v>3</x:v>
      </x:c>
      <x:c r="AB323" t="n">
        <x:v>2</x:v>
      </x:c>
      <x:c r="AC323" t="str">
        <x:v>OK</x:v>
      </x:c>
      <x:c r="AD323" t="str">
        <x:v>OK</x:v>
      </x:c>
      <x:c r="AE323" t="str">
        <x:v>LOAD</x:v>
      </x:c>
      <x:c r="AF323" t="str">
        <x:v>02_Supervisor_Log(4).xlsx</x:v>
      </x:c>
      <x:c r="AG323" t="str">
        <x:v>ENH-20260830-01</x:v>
      </x:c>
      <x:c r="AH323" t="str">
        <x:v>Active</x:v>
      </x:c>
      <x:c r="AI323"/>
      <x:c r="AJ323"/>
      <x:c r="AK323"/>
      <x:c r="AL323"/>
    </x:row>
    <x:row r="324">
      <x:c r="A324" t="s">
        <x:v>543</x:v>
      </x:c>
      <x:c r="B324" t="s">
        <x:v>536</x:v>
      </x:c>
      <x:c r="C324" t="s">
        <x:v>44</x:v>
      </x:c>
      <x:c r="D324">
        <x:v>45955</x:v>
      </x:c>
      <x:c r="E324" t="s">
        <x:v>45</x:v>
      </x:c>
      <x:c r="F324" t="s">
        <x:v>51</x:v>
      </x:c>
      <x:c r="G324">
        <x:v>22</x:v>
      </x:c>
      <x:c r="H324" t="s">
        <x:v>61</x:v>
      </x:c>
      <x:c r="I324">
        <x:v>8</x:v>
      </x:c>
      <x:c r="J324">
        <x:v>10</x:v>
      </x:c>
      <x:c r="K324">
        <x:v>2</x:v>
      </x:c>
      <x:c r="L324">
        <x:f t="shared" si="28"/>
        <x:v>1</x:v>
      </x:c>
      <x:c r="P324">
        <x:f t="shared" si="29"/>
        <x:v>1</x:v>
      </x:c>
      <x:c r="Q324">
        <x:f t="shared" si="30"/>
        <x:v>1</x:v>
      </x:c>
      <x:c r="R324">
        <x:f t="shared" si="31"/>
        <x:v>0</x:v>
      </x:c>
      <x:c r="S324">
        <x:f t="shared" si="32"/>
        <x:v>2</x:v>
      </x:c>
      <x:c r="T324" t="str">
        <x:f t="shared" si="33"/>
        <x:v>DerivedFromCount</x:v>
      </x:c>
      <x:c r="U324" t="str">
        <x:f>IF(COUNTIF(DailyProduction!$Q$5:$Q$100,B324)=1,"OK","CHECK")</x:f>
        <x:v>OK</x:v>
      </x:c>
      <x:c r="V324" t="str">
        <x:f t="shared" si="34"/>
        <x:v>OK</x:v>
      </x:c>
      <x:c r="W324" t="str">
        <x:f>IF(SUMIF($B$5:$B$914,B324,$S$5:$S$914)=SUMIF(DailyProduction!$Q$5:$Q$100,B324,DailyProduction!$R$5:$R$100),"OK","CHECK")</x:f>
        <x:v>OK</x:v>
      </x:c>
      <x:c r="X324" t="str">
        <x:v>PLC-PRD-JAR-720-L22</x:v>
      </x:c>
      <x:c r="Y324" t="str">
        <x:v>OK</x:v>
      </x:c>
      <x:c r="Z324" t="str">
        <x:v>OK</x:v>
      </x:c>
      <x:c r="AA324" t="n">
        <x:v>3</x:v>
      </x:c>
      <x:c r="AB324" t="n">
        <x:v>2</x:v>
      </x:c>
      <x:c r="AC324" t="str">
        <x:v>OK</x:v>
      </x:c>
      <x:c r="AD324" t="str">
        <x:v>OK</x:v>
      </x:c>
      <x:c r="AE324" t="str">
        <x:v>LOAD</x:v>
      </x:c>
      <x:c r="AF324" t="str">
        <x:v>02_Supervisor_Log(4).xlsx</x:v>
      </x:c>
      <x:c r="AG324" t="str">
        <x:v>ENH-20260830-01</x:v>
      </x:c>
      <x:c r="AH324" t="str">
        <x:v>Active</x:v>
      </x:c>
      <x:c r="AI324"/>
      <x:c r="AJ324"/>
      <x:c r="AK324"/>
      <x:c r="AL324"/>
    </x:row>
    <x:row r="325">
      <x:c r="A325" t="s">
        <x:v>544</x:v>
      </x:c>
      <x:c r="B325" t="s">
        <x:v>536</x:v>
      </x:c>
      <x:c r="C325" t="s">
        <x:v>44</x:v>
      </x:c>
      <x:c r="D325">
        <x:v>45955</x:v>
      </x:c>
      <x:c r="E325" t="s">
        <x:v>45</x:v>
      </x:c>
      <x:c r="F325" t="s">
        <x:v>51</x:v>
      </x:c>
      <x:c r="G325">
        <x:v>22</x:v>
      </x:c>
      <x:c r="H325" t="s">
        <x:v>61</x:v>
      </x:c>
      <x:c r="I325">
        <x:v>9</x:v>
      </x:c>
      <x:c r="J325">
        <x:v>10</x:v>
      </x:c>
      <x:c r="K325">
        <x:v>2</x:v>
      </x:c>
      <x:c r="L325" t="n">
        <x:f t="shared" ref="L325:L388" si="35">IF(I325&lt;=J325,1,0)</x:f>
        <x:v>1</x:v>
      </x:c>
      <x:c r="P325" t="n">
        <x:f t="shared" ref="P325:P388" si="36">IF(M325="",IF(AND(L325=1,K325&gt;=1),1,0),M325)</x:f>
        <x:v>1</x:v>
      </x:c>
      <x:c r="Q325" t="n">
        <x:f t="shared" ref="Q325:Q388" si="37">IF(N325="",IF(AND(L325=1,K325&gt;=2),1,0),N325)</x:f>
        <x:v>1</x:v>
      </x:c>
      <x:c r="R325" t="n">
        <x:f t="shared" ref="R325:R388" si="38">IF(O325="",IF(AND(L325=1,K325&gt;=3),1,0),O325)</x:f>
        <x:v>0</x:v>
      </x:c>
      <x:c r="S325" t="n">
        <x:f t="shared" ref="S325:S388" si="39">SUM(P325:R325)</x:f>
        <x:v>2</x:v>
      </x:c>
      <x:c r="T325" t="str">
        <x:f t="shared" ref="T325:T388" si="40">IF(COUNTA(M325:O325)=0,"DerivedFromCount","ManualOverride")</x:f>
        <x:v>DerivedFromCount</x:v>
      </x:c>
      <x:c r="U325" t="str">
        <x:f>IF(COUNTIF(DailyProduction!$Q$5:$Q$100,B325)=1,"OK","CHECK")</x:f>
        <x:v>OK</x:v>
      </x:c>
      <x:c r="V325" t="str">
        <x:f t="shared" ref="V325:V388" si="41">IF(AND(I325&gt;=1,I325&lt;=13,K325&gt;=1,K325&lt;=3),"OK","CHECK")</x:f>
        <x:v>OK</x:v>
      </x:c>
      <x:c r="W325" t="str">
        <x:f>IF(SUMIF($B$5:$B$914,B325,$S$5:$S$914)=SUMIF(DailyProduction!$Q$5:$Q$100,B325,DailyProduction!$R$5:$R$100),"OK","CHECK")</x:f>
        <x:v>OK</x:v>
      </x:c>
      <x:c r="X325" t="str">
        <x:v>PLC-PRD-JAR-720-L22</x:v>
      </x:c>
      <x:c r="Y325" t="str">
        <x:v>OK</x:v>
      </x:c>
      <x:c r="Z325" t="str">
        <x:v>OK</x:v>
      </x:c>
      <x:c r="AA325" t="n">
        <x:v>3</x:v>
      </x:c>
      <x:c r="AB325" t="n">
        <x:v>2</x:v>
      </x:c>
      <x:c r="AC325" t="str">
        <x:v>OK</x:v>
      </x:c>
      <x:c r="AD325" t="str">
        <x:v>OK</x:v>
      </x:c>
      <x:c r="AE325" t="str">
        <x:v>LOAD</x:v>
      </x:c>
      <x:c r="AF325" t="str">
        <x:v>02_Supervisor_Log(4).xlsx</x:v>
      </x:c>
      <x:c r="AG325" t="str">
        <x:v>ENH-20260830-01</x:v>
      </x:c>
      <x:c r="AH325" t="str">
        <x:v>Active</x:v>
      </x:c>
      <x:c r="AI325"/>
      <x:c r="AJ325"/>
      <x:c r="AK325"/>
      <x:c r="AL325"/>
    </x:row>
    <x:row r="326">
      <x:c r="A326" t="s">
        <x:v>545</x:v>
      </x:c>
      <x:c r="B326" t="s">
        <x:v>536</x:v>
      </x:c>
      <x:c r="C326" t="s">
        <x:v>44</x:v>
      </x:c>
      <x:c r="D326">
        <x:v>45955</x:v>
      </x:c>
      <x:c r="E326" t="s">
        <x:v>45</x:v>
      </x:c>
      <x:c r="F326" t="s">
        <x:v>51</x:v>
      </x:c>
      <x:c r="G326">
        <x:v>22</x:v>
      </x:c>
      <x:c r="H326" t="s">
        <x:v>61</x:v>
      </x:c>
      <x:c r="I326">
        <x:v>10</x:v>
      </x:c>
      <x:c r="J326">
        <x:v>10</x:v>
      </x:c>
      <x:c r="K326">
        <x:v>2</x:v>
      </x:c>
      <x:c r="L326">
        <x:f t="shared" si="35"/>
        <x:v>1</x:v>
      </x:c>
      <x:c r="P326">
        <x:f t="shared" si="36"/>
        <x:v>1</x:v>
      </x:c>
      <x:c r="Q326">
        <x:f t="shared" si="37"/>
        <x:v>1</x:v>
      </x:c>
      <x:c r="R326">
        <x:f t="shared" si="38"/>
        <x:v>0</x:v>
      </x:c>
      <x:c r="S326">
        <x:f t="shared" si="39"/>
        <x:v>2</x:v>
      </x:c>
      <x:c r="T326" t="str">
        <x:f t="shared" si="40"/>
        <x:v>DerivedFromCount</x:v>
      </x:c>
      <x:c r="U326" t="str">
        <x:f>IF(COUNTIF(DailyProduction!$Q$5:$Q$100,B326)=1,"OK","CHECK")</x:f>
        <x:v>OK</x:v>
      </x:c>
      <x:c r="V326" t="str">
        <x:f t="shared" si="41"/>
        <x:v>OK</x:v>
      </x:c>
      <x:c r="W326" t="str">
        <x:f>IF(SUMIF($B$5:$B$914,B326,$S$5:$S$914)=SUMIF(DailyProduction!$Q$5:$Q$100,B326,DailyProduction!$R$5:$R$100),"OK","CHECK")</x:f>
        <x:v>OK</x:v>
      </x:c>
      <x:c r="X326" t="str">
        <x:v>PLC-PRD-JAR-720-L22</x:v>
      </x:c>
      <x:c r="Y326" t="str">
        <x:v>OK</x:v>
      </x:c>
      <x:c r="Z326" t="str">
        <x:v>OK</x:v>
      </x:c>
      <x:c r="AA326" t="n">
        <x:v>3</x:v>
      </x:c>
      <x:c r="AB326" t="n">
        <x:v>2</x:v>
      </x:c>
      <x:c r="AC326" t="str">
        <x:v>OK</x:v>
      </x:c>
      <x:c r="AD326" t="str">
        <x:v>OK</x:v>
      </x:c>
      <x:c r="AE326" t="str">
        <x:v>LOAD</x:v>
      </x:c>
      <x:c r="AF326" t="str">
        <x:v>02_Supervisor_Log(4).xlsx</x:v>
      </x:c>
      <x:c r="AG326" t="str">
        <x:v>ENH-20260830-01</x:v>
      </x:c>
      <x:c r="AH326" t="str">
        <x:v>Active</x:v>
      </x:c>
      <x:c r="AI326"/>
      <x:c r="AJ326"/>
      <x:c r="AK326"/>
      <x:c r="AL326"/>
    </x:row>
    <x:row r="327">
      <x:c r="A327" t="s">
        <x:v>546</x:v>
      </x:c>
      <x:c r="B327" t="s">
        <x:v>536</x:v>
      </x:c>
      <x:c r="C327" t="s">
        <x:v>44</x:v>
      </x:c>
      <x:c r="D327">
        <x:v>45955</x:v>
      </x:c>
      <x:c r="E327" t="s">
        <x:v>45</x:v>
      </x:c>
      <x:c r="F327" t="s">
        <x:v>51</x:v>
      </x:c>
      <x:c r="G327">
        <x:v>22</x:v>
      </x:c>
      <x:c r="H327" t="s">
        <x:v>61</x:v>
      </x:c>
      <x:c r="I327">
        <x:v>11</x:v>
      </x:c>
      <x:c r="J327">
        <x:v>10</x:v>
      </x:c>
      <x:c r="K327">
        <x:v>2</x:v>
      </x:c>
      <x:c r="L327">
        <x:f t="shared" si="35"/>
        <x:v>0</x:v>
      </x:c>
      <x:c r="P327">
        <x:f t="shared" si="36"/>
        <x:v>0</x:v>
      </x:c>
      <x:c r="Q327">
        <x:f t="shared" si="37"/>
        <x:v>0</x:v>
      </x:c>
      <x:c r="R327">
        <x:f t="shared" si="38"/>
        <x:v>0</x:v>
      </x:c>
      <x:c r="S327">
        <x:f t="shared" si="39"/>
        <x:v>0</x:v>
      </x:c>
      <x:c r="T327" t="str">
        <x:f t="shared" si="40"/>
        <x:v>DerivedFromCount</x:v>
      </x:c>
      <x:c r="U327" t="str">
        <x:f>IF(COUNTIF(DailyProduction!$Q$5:$Q$100,B327)=1,"OK","CHECK")</x:f>
        <x:v>OK</x:v>
      </x:c>
      <x:c r="V327" t="str">
        <x:f t="shared" si="41"/>
        <x:v>OK</x:v>
      </x:c>
      <x:c r="W327" t="str">
        <x:f>IF(SUMIF($B$5:$B$914,B327,$S$5:$S$914)=SUMIF(DailyProduction!$Q$5:$Q$100,B327,DailyProduction!$R$5:$R$100),"OK","CHECK")</x:f>
        <x:v>OK</x:v>
      </x:c>
      <x:c r="X327" t="str">
        <x:v>PLC-PRD-JAR-720-L22</x:v>
      </x:c>
      <x:c r="Y327" t="str">
        <x:v>OK</x:v>
      </x:c>
      <x:c r="Z327" t="str">
        <x:v>OK</x:v>
      </x:c>
      <x:c r="AA327" t="n">
        <x:v>3</x:v>
      </x:c>
      <x:c r="AB327" t="n">
        <x:v>0</x:v>
      </x:c>
      <x:c r="AC327" t="str">
        <x:v>OK</x:v>
      </x:c>
      <x:c r="AD327" t="str">
        <x:v>OK</x:v>
      </x:c>
      <x:c r="AE327" t="str">
        <x:v>LOAD</x:v>
      </x:c>
      <x:c r="AF327" t="str">
        <x:v>02_Supervisor_Log(4).xlsx</x:v>
      </x:c>
      <x:c r="AG327" t="str">
        <x:v>ENH-20260830-01</x:v>
      </x:c>
      <x:c r="AH327" t="str">
        <x:v>Active</x:v>
      </x:c>
      <x:c r="AI327"/>
      <x:c r="AJ327"/>
      <x:c r="AK327"/>
      <x:c r="AL327"/>
    </x:row>
    <x:row r="328">
      <x:c r="A328" t="s">
        <x:v>547</x:v>
      </x:c>
      <x:c r="B328" t="s">
        <x:v>536</x:v>
      </x:c>
      <x:c r="C328" t="s">
        <x:v>44</x:v>
      </x:c>
      <x:c r="D328">
        <x:v>45955</x:v>
      </x:c>
      <x:c r="E328" t="s">
        <x:v>45</x:v>
      </x:c>
      <x:c r="F328" t="s">
        <x:v>51</x:v>
      </x:c>
      <x:c r="G328">
        <x:v>22</x:v>
      </x:c>
      <x:c r="H328" t="s">
        <x:v>61</x:v>
      </x:c>
      <x:c r="I328">
        <x:v>12</x:v>
      </x:c>
      <x:c r="J328">
        <x:v>10</x:v>
      </x:c>
      <x:c r="K328">
        <x:v>2</x:v>
      </x:c>
      <x:c r="L328">
        <x:f t="shared" si="35"/>
        <x:v>0</x:v>
      </x:c>
      <x:c r="P328">
        <x:f t="shared" si="36"/>
        <x:v>0</x:v>
      </x:c>
      <x:c r="Q328">
        <x:f t="shared" si="37"/>
        <x:v>0</x:v>
      </x:c>
      <x:c r="R328">
        <x:f t="shared" si="38"/>
        <x:v>0</x:v>
      </x:c>
      <x:c r="S328">
        <x:f t="shared" si="39"/>
        <x:v>0</x:v>
      </x:c>
      <x:c r="T328" t="str">
        <x:f t="shared" si="40"/>
        <x:v>DerivedFromCount</x:v>
      </x:c>
      <x:c r="U328" t="str">
        <x:f>IF(COUNTIF(DailyProduction!$Q$5:$Q$100,B328)=1,"OK","CHECK")</x:f>
        <x:v>OK</x:v>
      </x:c>
      <x:c r="V328" t="str">
        <x:f t="shared" si="41"/>
        <x:v>OK</x:v>
      </x:c>
      <x:c r="W328" t="str">
        <x:f>IF(SUMIF($B$5:$B$914,B328,$S$5:$S$914)=SUMIF(DailyProduction!$Q$5:$Q$100,B328,DailyProduction!$R$5:$R$100),"OK","CHECK")</x:f>
        <x:v>OK</x:v>
      </x:c>
      <x:c r="X328" t="str">
        <x:v>PLC-PRD-JAR-720-L22</x:v>
      </x:c>
      <x:c r="Y328" t="str">
        <x:v>OK</x:v>
      </x:c>
      <x:c r="Z328" t="str">
        <x:v>OK</x:v>
      </x:c>
      <x:c r="AA328" t="n">
        <x:v>3</x:v>
      </x:c>
      <x:c r="AB328" t="n">
        <x:v>0</x:v>
      </x:c>
      <x:c r="AC328" t="str">
        <x:v>OK</x:v>
      </x:c>
      <x:c r="AD328" t="str">
        <x:v>OK</x:v>
      </x:c>
      <x:c r="AE328" t="str">
        <x:v>LOAD</x:v>
      </x:c>
      <x:c r="AF328" t="str">
        <x:v>02_Supervisor_Log(4).xlsx</x:v>
      </x:c>
      <x:c r="AG328" t="str">
        <x:v>ENH-20260830-01</x:v>
      </x:c>
      <x:c r="AH328" t="str">
        <x:v>Active</x:v>
      </x:c>
      <x:c r="AI328"/>
      <x:c r="AJ328"/>
      <x:c r="AK328"/>
      <x:c r="AL328"/>
    </x:row>
    <x:row r="329">
      <x:c r="A329" t="s">
        <x:v>548</x:v>
      </x:c>
      <x:c r="B329" t="s">
        <x:v>536</x:v>
      </x:c>
      <x:c r="C329" t="s">
        <x:v>44</x:v>
      </x:c>
      <x:c r="D329">
        <x:v>45955</x:v>
      </x:c>
      <x:c r="E329" t="s">
        <x:v>45</x:v>
      </x:c>
      <x:c r="F329" t="s">
        <x:v>51</x:v>
      </x:c>
      <x:c r="G329">
        <x:v>22</x:v>
      </x:c>
      <x:c r="H329" t="s">
        <x:v>61</x:v>
      </x:c>
      <x:c r="I329">
        <x:v>13</x:v>
      </x:c>
      <x:c r="J329">
        <x:v>10</x:v>
      </x:c>
      <x:c r="K329">
        <x:v>2</x:v>
      </x:c>
      <x:c r="L329">
        <x:f t="shared" si="35"/>
        <x:v>0</x:v>
      </x:c>
      <x:c r="P329">
        <x:f t="shared" si="36"/>
        <x:v>0</x:v>
      </x:c>
      <x:c r="Q329">
        <x:f t="shared" si="37"/>
        <x:v>0</x:v>
      </x:c>
      <x:c r="R329">
        <x:f t="shared" si="38"/>
        <x:v>0</x:v>
      </x:c>
      <x:c r="S329">
        <x:f t="shared" si="39"/>
        <x:v>0</x:v>
      </x:c>
      <x:c r="T329" t="str">
        <x:f t="shared" si="40"/>
        <x:v>DerivedFromCount</x:v>
      </x:c>
      <x:c r="U329" t="str">
        <x:f>IF(COUNTIF(DailyProduction!$Q$5:$Q$100,B329)=1,"OK","CHECK")</x:f>
        <x:v>OK</x:v>
      </x:c>
      <x:c r="V329" t="str">
        <x:f t="shared" si="41"/>
        <x:v>OK</x:v>
      </x:c>
      <x:c r="W329" t="str">
        <x:f>IF(SUMIF($B$5:$B$914,B329,$S$5:$S$914)=SUMIF(DailyProduction!$Q$5:$Q$100,B329,DailyProduction!$R$5:$R$100),"OK","CHECK")</x:f>
        <x:v>OK</x:v>
      </x:c>
      <x:c r="X329" t="str">
        <x:v>PLC-PRD-JAR-720-L22</x:v>
      </x:c>
      <x:c r="Y329" t="str">
        <x:v>OK</x:v>
      </x:c>
      <x:c r="Z329" t="str">
        <x:v>OK</x:v>
      </x:c>
      <x:c r="AA329" t="n">
        <x:v>3</x:v>
      </x:c>
      <x:c r="AB329" t="n">
        <x:v>0</x:v>
      </x:c>
      <x:c r="AC329" t="str">
        <x:v>OK</x:v>
      </x:c>
      <x:c r="AD329" t="str">
        <x:v>OK</x:v>
      </x:c>
      <x:c r="AE329" t="str">
        <x:v>LOAD</x:v>
      </x:c>
      <x:c r="AF329" t="str">
        <x:v>02_Supervisor_Log(4).xlsx</x:v>
      </x:c>
      <x:c r="AG329" t="str">
        <x:v>ENH-20260830-01</x:v>
      </x:c>
      <x:c r="AH329" t="str">
        <x:v>Active</x:v>
      </x:c>
      <x:c r="AI329"/>
      <x:c r="AJ329"/>
      <x:c r="AK329"/>
      <x:c r="AL329"/>
    </x:row>
    <x:row r="330">
      <x:c r="A330" t="s">
        <x:v>549</x:v>
      </x:c>
      <x:c r="B330" t="s">
        <x:v>550</x:v>
      </x:c>
      <x:c r="C330" t="s">
        <x:v>44</x:v>
      </x:c>
      <x:c r="D330">
        <x:v>45955</x:v>
      </x:c>
      <x:c r="E330" t="s">
        <x:v>187</x:v>
      </x:c>
      <x:c r="F330" t="s">
        <x:v>55</x:v>
      </x:c>
      <x:c r="G330">
        <x:v>22</x:v>
      </x:c>
      <x:c r="H330" t="s">
        <x:v>61</x:v>
      </x:c>
      <x:c r="I330">
        <x:v>1</x:v>
      </x:c>
      <x:c r="J330">
        <x:v>10</x:v>
      </x:c>
      <x:c r="K330">
        <x:v>2</x:v>
      </x:c>
      <x:c r="L330">
        <x:f t="shared" si="35"/>
        <x:v>1</x:v>
      </x:c>
      <x:c r="P330">
        <x:f t="shared" si="36"/>
        <x:v>1</x:v>
      </x:c>
      <x:c r="Q330">
        <x:f t="shared" si="37"/>
        <x:v>1</x:v>
      </x:c>
      <x:c r="R330">
        <x:f t="shared" si="38"/>
        <x:v>0</x:v>
      </x:c>
      <x:c r="S330">
        <x:f t="shared" si="39"/>
        <x:v>2</x:v>
      </x:c>
      <x:c r="T330" t="str">
        <x:f t="shared" si="40"/>
        <x:v>DerivedFromCount</x:v>
      </x:c>
      <x:c r="U330" t="str">
        <x:f>IF(COUNTIF(DailyProduction!$Q$5:$Q$100,B330)=1,"OK","CHECK")</x:f>
        <x:v>OK</x:v>
      </x:c>
      <x:c r="V330" t="str">
        <x:f t="shared" si="41"/>
        <x:v>OK</x:v>
      </x:c>
      <x:c r="W330" t="str">
        <x:f>IF(SUMIF($B$5:$B$914,B330,$S$5:$S$914)=SUMIF(DailyProduction!$Q$5:$Q$100,B330,DailyProduction!$R$5:$R$100),"OK","CHECK")</x:f>
        <x:v>OK</x:v>
      </x:c>
      <x:c r="X330" t="str">
        <x:v>PLC-PRD-JAR-720-L22</x:v>
      </x:c>
      <x:c r="Y330" t="str">
        <x:v>OK</x:v>
      </x:c>
      <x:c r="Z330" t="str">
        <x:v>OK</x:v>
      </x:c>
      <x:c r="AA330" t="n">
        <x:v>3</x:v>
      </x:c>
      <x:c r="AB330" t="n">
        <x:v>2</x:v>
      </x:c>
      <x:c r="AC330" t="str">
        <x:v>OK</x:v>
      </x:c>
      <x:c r="AD330" t="str">
        <x:v>OK</x:v>
      </x:c>
      <x:c r="AE330" t="str">
        <x:v>LOAD</x:v>
      </x:c>
      <x:c r="AF330" t="str">
        <x:v>02_Supervisor_Log(4).xlsx</x:v>
      </x:c>
      <x:c r="AG330" t="str">
        <x:v>ENH-20260830-01</x:v>
      </x:c>
      <x:c r="AH330" t="str">
        <x:v>Active</x:v>
      </x:c>
      <x:c r="AI330"/>
      <x:c r="AJ330"/>
      <x:c r="AK330"/>
      <x:c r="AL330"/>
    </x:row>
    <x:row r="331">
      <x:c r="A331" t="s">
        <x:v>551</x:v>
      </x:c>
      <x:c r="B331" t="s">
        <x:v>550</x:v>
      </x:c>
      <x:c r="C331" t="s">
        <x:v>44</x:v>
      </x:c>
      <x:c r="D331">
        <x:v>45955</x:v>
      </x:c>
      <x:c r="E331" t="s">
        <x:v>187</x:v>
      </x:c>
      <x:c r="F331" t="s">
        <x:v>55</x:v>
      </x:c>
      <x:c r="G331">
        <x:v>22</x:v>
      </x:c>
      <x:c r="H331" t="s">
        <x:v>61</x:v>
      </x:c>
      <x:c r="I331">
        <x:v>2</x:v>
      </x:c>
      <x:c r="J331">
        <x:v>10</x:v>
      </x:c>
      <x:c r="K331">
        <x:v>2</x:v>
      </x:c>
      <x:c r="L331">
        <x:f t="shared" si="35"/>
        <x:v>1</x:v>
      </x:c>
      <x:c r="P331">
        <x:f t="shared" si="36"/>
        <x:v>1</x:v>
      </x:c>
      <x:c r="Q331">
        <x:f t="shared" si="37"/>
        <x:v>1</x:v>
      </x:c>
      <x:c r="R331">
        <x:f t="shared" si="38"/>
        <x:v>0</x:v>
      </x:c>
      <x:c r="S331">
        <x:f t="shared" si="39"/>
        <x:v>2</x:v>
      </x:c>
      <x:c r="T331" t="str">
        <x:f t="shared" si="40"/>
        <x:v>DerivedFromCount</x:v>
      </x:c>
      <x:c r="U331" t="str">
        <x:f>IF(COUNTIF(DailyProduction!$Q$5:$Q$100,B331)=1,"OK","CHECK")</x:f>
        <x:v>OK</x:v>
      </x:c>
      <x:c r="V331" t="str">
        <x:f t="shared" si="41"/>
        <x:v>OK</x:v>
      </x:c>
      <x:c r="W331" t="str">
        <x:f>IF(SUMIF($B$5:$B$914,B331,$S$5:$S$914)=SUMIF(DailyProduction!$Q$5:$Q$100,B331,DailyProduction!$R$5:$R$100),"OK","CHECK")</x:f>
        <x:v>OK</x:v>
      </x:c>
      <x:c r="X331" t="str">
        <x:v>PLC-PRD-JAR-720-L22</x:v>
      </x:c>
      <x:c r="Y331" t="str">
        <x:v>OK</x:v>
      </x:c>
      <x:c r="Z331" t="str">
        <x:v>OK</x:v>
      </x:c>
      <x:c r="AA331" t="n">
        <x:v>3</x:v>
      </x:c>
      <x:c r="AB331" t="n">
        <x:v>2</x:v>
      </x:c>
      <x:c r="AC331" t="str">
        <x:v>OK</x:v>
      </x:c>
      <x:c r="AD331" t="str">
        <x:v>OK</x:v>
      </x:c>
      <x:c r="AE331" t="str">
        <x:v>LOAD</x:v>
      </x:c>
      <x:c r="AF331" t="str">
        <x:v>02_Supervisor_Log(4).xlsx</x:v>
      </x:c>
      <x:c r="AG331" t="str">
        <x:v>ENH-20260830-01</x:v>
      </x:c>
      <x:c r="AH331" t="str">
        <x:v>Active</x:v>
      </x:c>
      <x:c r="AI331"/>
      <x:c r="AJ331"/>
      <x:c r="AK331"/>
      <x:c r="AL331"/>
    </x:row>
    <x:row r="332">
      <x:c r="A332" t="s">
        <x:v>552</x:v>
      </x:c>
      <x:c r="B332" t="s">
        <x:v>550</x:v>
      </x:c>
      <x:c r="C332" t="s">
        <x:v>44</x:v>
      </x:c>
      <x:c r="D332">
        <x:v>45955</x:v>
      </x:c>
      <x:c r="E332" t="s">
        <x:v>187</x:v>
      </x:c>
      <x:c r="F332" t="s">
        <x:v>55</x:v>
      </x:c>
      <x:c r="G332">
        <x:v>22</x:v>
      </x:c>
      <x:c r="H332" t="s">
        <x:v>61</x:v>
      </x:c>
      <x:c r="I332">
        <x:v>3</x:v>
      </x:c>
      <x:c r="J332">
        <x:v>10</x:v>
      </x:c>
      <x:c r="K332">
        <x:v>2</x:v>
      </x:c>
      <x:c r="L332">
        <x:f t="shared" si="35"/>
        <x:v>1</x:v>
      </x:c>
      <x:c r="P332">
        <x:f t="shared" si="36"/>
        <x:v>1</x:v>
      </x:c>
      <x:c r="Q332">
        <x:f t="shared" si="37"/>
        <x:v>1</x:v>
      </x:c>
      <x:c r="R332">
        <x:f t="shared" si="38"/>
        <x:v>0</x:v>
      </x:c>
      <x:c r="S332">
        <x:f t="shared" si="39"/>
        <x:v>2</x:v>
      </x:c>
      <x:c r="T332" t="str">
        <x:f t="shared" si="40"/>
        <x:v>DerivedFromCount</x:v>
      </x:c>
      <x:c r="U332" t="str">
        <x:f>IF(COUNTIF(DailyProduction!$Q$5:$Q$100,B332)=1,"OK","CHECK")</x:f>
        <x:v>OK</x:v>
      </x:c>
      <x:c r="V332" t="str">
        <x:f t="shared" si="41"/>
        <x:v>OK</x:v>
      </x:c>
      <x:c r="W332" t="str">
        <x:f>IF(SUMIF($B$5:$B$914,B332,$S$5:$S$914)=SUMIF(DailyProduction!$Q$5:$Q$100,B332,DailyProduction!$R$5:$R$100),"OK","CHECK")</x:f>
        <x:v>OK</x:v>
      </x:c>
      <x:c r="X332" t="str">
        <x:v>PLC-PRD-JAR-720-L22</x:v>
      </x:c>
      <x:c r="Y332" t="str">
        <x:v>OK</x:v>
      </x:c>
      <x:c r="Z332" t="str">
        <x:v>OK</x:v>
      </x:c>
      <x:c r="AA332" t="n">
        <x:v>3</x:v>
      </x:c>
      <x:c r="AB332" t="n">
        <x:v>2</x:v>
      </x:c>
      <x:c r="AC332" t="str">
        <x:v>OK</x:v>
      </x:c>
      <x:c r="AD332" t="str">
        <x:v>OK</x:v>
      </x:c>
      <x:c r="AE332" t="str">
        <x:v>LOAD</x:v>
      </x:c>
      <x:c r="AF332" t="str">
        <x:v>02_Supervisor_Log(4).xlsx</x:v>
      </x:c>
      <x:c r="AG332" t="str">
        <x:v>ENH-20260830-01</x:v>
      </x:c>
      <x:c r="AH332" t="str">
        <x:v>Active</x:v>
      </x:c>
      <x:c r="AI332"/>
      <x:c r="AJ332"/>
      <x:c r="AK332"/>
      <x:c r="AL332"/>
    </x:row>
    <x:row r="333">
      <x:c r="A333" t="s">
        <x:v>553</x:v>
      </x:c>
      <x:c r="B333" t="s">
        <x:v>550</x:v>
      </x:c>
      <x:c r="C333" t="s">
        <x:v>44</x:v>
      </x:c>
      <x:c r="D333">
        <x:v>45955</x:v>
      </x:c>
      <x:c r="E333" t="s">
        <x:v>187</x:v>
      </x:c>
      <x:c r="F333" t="s">
        <x:v>55</x:v>
      </x:c>
      <x:c r="G333">
        <x:v>22</x:v>
      </x:c>
      <x:c r="H333" t="s">
        <x:v>61</x:v>
      </x:c>
      <x:c r="I333">
        <x:v>4</x:v>
      </x:c>
      <x:c r="J333">
        <x:v>10</x:v>
      </x:c>
      <x:c r="K333">
        <x:v>2</x:v>
      </x:c>
      <x:c r="L333">
        <x:f t="shared" si="35"/>
        <x:v>1</x:v>
      </x:c>
      <x:c r="P333">
        <x:f t="shared" si="36"/>
        <x:v>1</x:v>
      </x:c>
      <x:c r="Q333">
        <x:f t="shared" si="37"/>
        <x:v>1</x:v>
      </x:c>
      <x:c r="R333">
        <x:f t="shared" si="38"/>
        <x:v>0</x:v>
      </x:c>
      <x:c r="S333">
        <x:f t="shared" si="39"/>
        <x:v>2</x:v>
      </x:c>
      <x:c r="T333" t="str">
        <x:f t="shared" si="40"/>
        <x:v>DerivedFromCount</x:v>
      </x:c>
      <x:c r="U333" t="str">
        <x:f>IF(COUNTIF(DailyProduction!$Q$5:$Q$100,B333)=1,"OK","CHECK")</x:f>
        <x:v>OK</x:v>
      </x:c>
      <x:c r="V333" t="str">
        <x:f t="shared" si="41"/>
        <x:v>OK</x:v>
      </x:c>
      <x:c r="W333" t="str">
        <x:f>IF(SUMIF($B$5:$B$914,B333,$S$5:$S$914)=SUMIF(DailyProduction!$Q$5:$Q$100,B333,DailyProduction!$R$5:$R$100),"OK","CHECK")</x:f>
        <x:v>OK</x:v>
      </x:c>
      <x:c r="X333" t="str">
        <x:v>PLC-PRD-JAR-720-L22</x:v>
      </x:c>
      <x:c r="Y333" t="str">
        <x:v>OK</x:v>
      </x:c>
      <x:c r="Z333" t="str">
        <x:v>OK</x:v>
      </x:c>
      <x:c r="AA333" t="n">
        <x:v>3</x:v>
      </x:c>
      <x:c r="AB333" t="n">
        <x:v>2</x:v>
      </x:c>
      <x:c r="AC333" t="str">
        <x:v>OK</x:v>
      </x:c>
      <x:c r="AD333" t="str">
        <x:v>OK</x:v>
      </x:c>
      <x:c r="AE333" t="str">
        <x:v>LOAD</x:v>
      </x:c>
      <x:c r="AF333" t="str">
        <x:v>02_Supervisor_Log(4).xlsx</x:v>
      </x:c>
      <x:c r="AG333" t="str">
        <x:v>ENH-20260830-01</x:v>
      </x:c>
      <x:c r="AH333" t="str">
        <x:v>Active</x:v>
      </x:c>
      <x:c r="AI333"/>
      <x:c r="AJ333"/>
      <x:c r="AK333"/>
      <x:c r="AL333"/>
    </x:row>
    <x:row r="334">
      <x:c r="A334" t="s">
        <x:v>554</x:v>
      </x:c>
      <x:c r="B334" t="s">
        <x:v>550</x:v>
      </x:c>
      <x:c r="C334" t="s">
        <x:v>44</x:v>
      </x:c>
      <x:c r="D334">
        <x:v>45955</x:v>
      </x:c>
      <x:c r="E334" t="s">
        <x:v>187</x:v>
      </x:c>
      <x:c r="F334" t="s">
        <x:v>55</x:v>
      </x:c>
      <x:c r="G334">
        <x:v>22</x:v>
      </x:c>
      <x:c r="H334" t="s">
        <x:v>61</x:v>
      </x:c>
      <x:c r="I334">
        <x:v>5</x:v>
      </x:c>
      <x:c r="J334">
        <x:v>10</x:v>
      </x:c>
      <x:c r="K334">
        <x:v>2</x:v>
      </x:c>
      <x:c r="L334">
        <x:f t="shared" si="35"/>
        <x:v>1</x:v>
      </x:c>
      <x:c r="P334">
        <x:f t="shared" si="36"/>
        <x:v>1</x:v>
      </x:c>
      <x:c r="Q334">
        <x:f t="shared" si="37"/>
        <x:v>1</x:v>
      </x:c>
      <x:c r="R334">
        <x:f t="shared" si="38"/>
        <x:v>0</x:v>
      </x:c>
      <x:c r="S334">
        <x:f t="shared" si="39"/>
        <x:v>2</x:v>
      </x:c>
      <x:c r="T334" t="str">
        <x:f t="shared" si="40"/>
        <x:v>DerivedFromCount</x:v>
      </x:c>
      <x:c r="U334" t="str">
        <x:f>IF(COUNTIF(DailyProduction!$Q$5:$Q$100,B334)=1,"OK","CHECK")</x:f>
        <x:v>OK</x:v>
      </x:c>
      <x:c r="V334" t="str">
        <x:f t="shared" si="41"/>
        <x:v>OK</x:v>
      </x:c>
      <x:c r="W334" t="str">
        <x:f>IF(SUMIF($B$5:$B$914,B334,$S$5:$S$914)=SUMIF(DailyProduction!$Q$5:$Q$100,B334,DailyProduction!$R$5:$R$100),"OK","CHECK")</x:f>
        <x:v>OK</x:v>
      </x:c>
      <x:c r="X334" t="str">
        <x:v>PLC-PRD-JAR-720-L22</x:v>
      </x:c>
      <x:c r="Y334" t="str">
        <x:v>OK</x:v>
      </x:c>
      <x:c r="Z334" t="str">
        <x:v>OK</x:v>
      </x:c>
      <x:c r="AA334" t="n">
        <x:v>3</x:v>
      </x:c>
      <x:c r="AB334" t="n">
        <x:v>2</x:v>
      </x:c>
      <x:c r="AC334" t="str">
        <x:v>OK</x:v>
      </x:c>
      <x:c r="AD334" t="str">
        <x:v>OK</x:v>
      </x:c>
      <x:c r="AE334" t="str">
        <x:v>LOAD</x:v>
      </x:c>
      <x:c r="AF334" t="str">
        <x:v>02_Supervisor_Log(4).xlsx</x:v>
      </x:c>
      <x:c r="AG334" t="str">
        <x:v>ENH-20260830-01</x:v>
      </x:c>
      <x:c r="AH334" t="str">
        <x:v>Active</x:v>
      </x:c>
      <x:c r="AI334"/>
      <x:c r="AJ334"/>
      <x:c r="AK334"/>
      <x:c r="AL334"/>
    </x:row>
    <x:row r="335">
      <x:c r="A335" t="s">
        <x:v>555</x:v>
      </x:c>
      <x:c r="B335" t="s">
        <x:v>550</x:v>
      </x:c>
      <x:c r="C335" t="s">
        <x:v>44</x:v>
      </x:c>
      <x:c r="D335">
        <x:v>45955</x:v>
      </x:c>
      <x:c r="E335" t="s">
        <x:v>187</x:v>
      </x:c>
      <x:c r="F335" t="s">
        <x:v>55</x:v>
      </x:c>
      <x:c r="G335">
        <x:v>22</x:v>
      </x:c>
      <x:c r="H335" t="s">
        <x:v>61</x:v>
      </x:c>
      <x:c r="I335">
        <x:v>6</x:v>
      </x:c>
      <x:c r="J335">
        <x:v>10</x:v>
      </x:c>
      <x:c r="K335">
        <x:v>2</x:v>
      </x:c>
      <x:c r="L335">
        <x:f t="shared" si="35"/>
        <x:v>1</x:v>
      </x:c>
      <x:c r="P335">
        <x:f t="shared" si="36"/>
        <x:v>1</x:v>
      </x:c>
      <x:c r="Q335">
        <x:f t="shared" si="37"/>
        <x:v>1</x:v>
      </x:c>
      <x:c r="R335">
        <x:f t="shared" si="38"/>
        <x:v>0</x:v>
      </x:c>
      <x:c r="S335">
        <x:f t="shared" si="39"/>
        <x:v>2</x:v>
      </x:c>
      <x:c r="T335" t="str">
        <x:f t="shared" si="40"/>
        <x:v>DerivedFromCount</x:v>
      </x:c>
      <x:c r="U335" t="str">
        <x:f>IF(COUNTIF(DailyProduction!$Q$5:$Q$100,B335)=1,"OK","CHECK")</x:f>
        <x:v>OK</x:v>
      </x:c>
      <x:c r="V335" t="str">
        <x:f t="shared" si="41"/>
        <x:v>OK</x:v>
      </x:c>
      <x:c r="W335" t="str">
        <x:f>IF(SUMIF($B$5:$B$914,B335,$S$5:$S$914)=SUMIF(DailyProduction!$Q$5:$Q$100,B335,DailyProduction!$R$5:$R$100),"OK","CHECK")</x:f>
        <x:v>OK</x:v>
      </x:c>
      <x:c r="X335" t="str">
        <x:v>PLC-PRD-JAR-720-L22</x:v>
      </x:c>
      <x:c r="Y335" t="str">
        <x:v>OK</x:v>
      </x:c>
      <x:c r="Z335" t="str">
        <x:v>OK</x:v>
      </x:c>
      <x:c r="AA335" t="n">
        <x:v>3</x:v>
      </x:c>
      <x:c r="AB335" t="n">
        <x:v>2</x:v>
      </x:c>
      <x:c r="AC335" t="str">
        <x:v>OK</x:v>
      </x:c>
      <x:c r="AD335" t="str">
        <x:v>OK</x:v>
      </x:c>
      <x:c r="AE335" t="str">
        <x:v>LOAD</x:v>
      </x:c>
      <x:c r="AF335" t="str">
        <x:v>02_Supervisor_Log(4).xlsx</x:v>
      </x:c>
      <x:c r="AG335" t="str">
        <x:v>ENH-20260830-01</x:v>
      </x:c>
      <x:c r="AH335" t="str">
        <x:v>Active</x:v>
      </x:c>
      <x:c r="AI335"/>
      <x:c r="AJ335"/>
      <x:c r="AK335"/>
      <x:c r="AL335"/>
    </x:row>
    <x:row r="336">
      <x:c r="A336" t="s">
        <x:v>556</x:v>
      </x:c>
      <x:c r="B336" t="s">
        <x:v>550</x:v>
      </x:c>
      <x:c r="C336" t="s">
        <x:v>44</x:v>
      </x:c>
      <x:c r="D336">
        <x:v>45955</x:v>
      </x:c>
      <x:c r="E336" t="s">
        <x:v>187</x:v>
      </x:c>
      <x:c r="F336" t="s">
        <x:v>55</x:v>
      </x:c>
      <x:c r="G336">
        <x:v>22</x:v>
      </x:c>
      <x:c r="H336" t="s">
        <x:v>61</x:v>
      </x:c>
      <x:c r="I336">
        <x:v>7</x:v>
      </x:c>
      <x:c r="J336">
        <x:v>10</x:v>
      </x:c>
      <x:c r="K336">
        <x:v>2</x:v>
      </x:c>
      <x:c r="L336">
        <x:f t="shared" si="35"/>
        <x:v>1</x:v>
      </x:c>
      <x:c r="P336">
        <x:f t="shared" si="36"/>
        <x:v>1</x:v>
      </x:c>
      <x:c r="Q336">
        <x:f t="shared" si="37"/>
        <x:v>1</x:v>
      </x:c>
      <x:c r="R336">
        <x:f t="shared" si="38"/>
        <x:v>0</x:v>
      </x:c>
      <x:c r="S336">
        <x:f t="shared" si="39"/>
        <x:v>2</x:v>
      </x:c>
      <x:c r="T336" t="str">
        <x:f t="shared" si="40"/>
        <x:v>DerivedFromCount</x:v>
      </x:c>
      <x:c r="U336" t="str">
        <x:f>IF(COUNTIF(DailyProduction!$Q$5:$Q$100,B336)=1,"OK","CHECK")</x:f>
        <x:v>OK</x:v>
      </x:c>
      <x:c r="V336" t="str">
        <x:f t="shared" si="41"/>
        <x:v>OK</x:v>
      </x:c>
      <x:c r="W336" t="str">
        <x:f>IF(SUMIF($B$5:$B$914,B336,$S$5:$S$914)=SUMIF(DailyProduction!$Q$5:$Q$100,B336,DailyProduction!$R$5:$R$100),"OK","CHECK")</x:f>
        <x:v>OK</x:v>
      </x:c>
      <x:c r="X336" t="str">
        <x:v>PLC-PRD-JAR-720-L22</x:v>
      </x:c>
      <x:c r="Y336" t="str">
        <x:v>OK</x:v>
      </x:c>
      <x:c r="Z336" t="str">
        <x:v>OK</x:v>
      </x:c>
      <x:c r="AA336" t="n">
        <x:v>3</x:v>
      </x:c>
      <x:c r="AB336" t="n">
        <x:v>2</x:v>
      </x:c>
      <x:c r="AC336" t="str">
        <x:v>OK</x:v>
      </x:c>
      <x:c r="AD336" t="str">
        <x:v>OK</x:v>
      </x:c>
      <x:c r="AE336" t="str">
        <x:v>LOAD</x:v>
      </x:c>
      <x:c r="AF336" t="str">
        <x:v>02_Supervisor_Log(4).xlsx</x:v>
      </x:c>
      <x:c r="AG336" t="str">
        <x:v>ENH-20260830-01</x:v>
      </x:c>
      <x:c r="AH336" t="str">
        <x:v>Active</x:v>
      </x:c>
      <x:c r="AI336"/>
      <x:c r="AJ336"/>
      <x:c r="AK336"/>
      <x:c r="AL336"/>
    </x:row>
    <x:row r="337">
      <x:c r="A337" t="s">
        <x:v>557</x:v>
      </x:c>
      <x:c r="B337" t="s">
        <x:v>550</x:v>
      </x:c>
      <x:c r="C337" t="s">
        <x:v>44</x:v>
      </x:c>
      <x:c r="D337">
        <x:v>45955</x:v>
      </x:c>
      <x:c r="E337" t="s">
        <x:v>187</x:v>
      </x:c>
      <x:c r="F337" t="s">
        <x:v>55</x:v>
      </x:c>
      <x:c r="G337">
        <x:v>22</x:v>
      </x:c>
      <x:c r="H337" t="s">
        <x:v>61</x:v>
      </x:c>
      <x:c r="I337">
        <x:v>8</x:v>
      </x:c>
      <x:c r="J337">
        <x:v>10</x:v>
      </x:c>
      <x:c r="K337">
        <x:v>2</x:v>
      </x:c>
      <x:c r="L337">
        <x:f t="shared" si="35"/>
        <x:v>1</x:v>
      </x:c>
      <x:c r="P337">
        <x:f t="shared" si="36"/>
        <x:v>1</x:v>
      </x:c>
      <x:c r="Q337">
        <x:f t="shared" si="37"/>
        <x:v>1</x:v>
      </x:c>
      <x:c r="R337">
        <x:f t="shared" si="38"/>
        <x:v>0</x:v>
      </x:c>
      <x:c r="S337">
        <x:f t="shared" si="39"/>
        <x:v>2</x:v>
      </x:c>
      <x:c r="T337" t="str">
        <x:f t="shared" si="40"/>
        <x:v>DerivedFromCount</x:v>
      </x:c>
      <x:c r="U337" t="str">
        <x:f>IF(COUNTIF(DailyProduction!$Q$5:$Q$100,B337)=1,"OK","CHECK")</x:f>
        <x:v>OK</x:v>
      </x:c>
      <x:c r="V337" t="str">
        <x:f t="shared" si="41"/>
        <x:v>OK</x:v>
      </x:c>
      <x:c r="W337" t="str">
        <x:f>IF(SUMIF($B$5:$B$914,B337,$S$5:$S$914)=SUMIF(DailyProduction!$Q$5:$Q$100,B337,DailyProduction!$R$5:$R$100),"OK","CHECK")</x:f>
        <x:v>OK</x:v>
      </x:c>
      <x:c r="X337" t="str">
        <x:v>PLC-PRD-JAR-720-L22</x:v>
      </x:c>
      <x:c r="Y337" t="str">
        <x:v>OK</x:v>
      </x:c>
      <x:c r="Z337" t="str">
        <x:v>OK</x:v>
      </x:c>
      <x:c r="AA337" t="n">
        <x:v>3</x:v>
      </x:c>
      <x:c r="AB337" t="n">
        <x:v>2</x:v>
      </x:c>
      <x:c r="AC337" t="str">
        <x:v>OK</x:v>
      </x:c>
      <x:c r="AD337" t="str">
        <x:v>OK</x:v>
      </x:c>
      <x:c r="AE337" t="str">
        <x:v>LOAD</x:v>
      </x:c>
      <x:c r="AF337" t="str">
        <x:v>02_Supervisor_Log(4).xlsx</x:v>
      </x:c>
      <x:c r="AG337" t="str">
        <x:v>ENH-20260830-01</x:v>
      </x:c>
      <x:c r="AH337" t="str">
        <x:v>Active</x:v>
      </x:c>
      <x:c r="AI337"/>
      <x:c r="AJ337"/>
      <x:c r="AK337"/>
      <x:c r="AL337"/>
    </x:row>
    <x:row r="338">
      <x:c r="A338" t="s">
        <x:v>558</x:v>
      </x:c>
      <x:c r="B338" t="s">
        <x:v>550</x:v>
      </x:c>
      <x:c r="C338" t="s">
        <x:v>44</x:v>
      </x:c>
      <x:c r="D338">
        <x:v>45955</x:v>
      </x:c>
      <x:c r="E338" t="s">
        <x:v>187</x:v>
      </x:c>
      <x:c r="F338" t="s">
        <x:v>55</x:v>
      </x:c>
      <x:c r="G338">
        <x:v>22</x:v>
      </x:c>
      <x:c r="H338" t="s">
        <x:v>61</x:v>
      </x:c>
      <x:c r="I338">
        <x:v>9</x:v>
      </x:c>
      <x:c r="J338">
        <x:v>10</x:v>
      </x:c>
      <x:c r="K338">
        <x:v>2</x:v>
      </x:c>
      <x:c r="L338">
        <x:f t="shared" si="35"/>
        <x:v>1</x:v>
      </x:c>
      <x:c r="P338">
        <x:f t="shared" si="36"/>
        <x:v>1</x:v>
      </x:c>
      <x:c r="Q338">
        <x:f t="shared" si="37"/>
        <x:v>1</x:v>
      </x:c>
      <x:c r="R338">
        <x:f t="shared" si="38"/>
        <x:v>0</x:v>
      </x:c>
      <x:c r="S338">
        <x:f t="shared" si="39"/>
        <x:v>2</x:v>
      </x:c>
      <x:c r="T338" t="str">
        <x:f t="shared" si="40"/>
        <x:v>DerivedFromCount</x:v>
      </x:c>
      <x:c r="U338" t="str">
        <x:f>IF(COUNTIF(DailyProduction!$Q$5:$Q$100,B338)=1,"OK","CHECK")</x:f>
        <x:v>OK</x:v>
      </x:c>
      <x:c r="V338" t="str">
        <x:f t="shared" si="41"/>
        <x:v>OK</x:v>
      </x:c>
      <x:c r="W338" t="str">
        <x:f>IF(SUMIF($B$5:$B$914,B338,$S$5:$S$914)=SUMIF(DailyProduction!$Q$5:$Q$100,B338,DailyProduction!$R$5:$R$100),"OK","CHECK")</x:f>
        <x:v>OK</x:v>
      </x:c>
      <x:c r="X338" t="str">
        <x:v>PLC-PRD-JAR-720-L22</x:v>
      </x:c>
      <x:c r="Y338" t="str">
        <x:v>OK</x:v>
      </x:c>
      <x:c r="Z338" t="str">
        <x:v>OK</x:v>
      </x:c>
      <x:c r="AA338" t="n">
        <x:v>3</x:v>
      </x:c>
      <x:c r="AB338" t="n">
        <x:v>2</x:v>
      </x:c>
      <x:c r="AC338" t="str">
        <x:v>OK</x:v>
      </x:c>
      <x:c r="AD338" t="str">
        <x:v>OK</x:v>
      </x:c>
      <x:c r="AE338" t="str">
        <x:v>LOAD</x:v>
      </x:c>
      <x:c r="AF338" t="str">
        <x:v>02_Supervisor_Log(4).xlsx</x:v>
      </x:c>
      <x:c r="AG338" t="str">
        <x:v>ENH-20260830-01</x:v>
      </x:c>
      <x:c r="AH338" t="str">
        <x:v>Active</x:v>
      </x:c>
      <x:c r="AI338"/>
      <x:c r="AJ338"/>
      <x:c r="AK338"/>
      <x:c r="AL338"/>
    </x:row>
    <x:row r="339">
      <x:c r="A339" t="s">
        <x:v>559</x:v>
      </x:c>
      <x:c r="B339" t="s">
        <x:v>550</x:v>
      </x:c>
      <x:c r="C339" t="s">
        <x:v>44</x:v>
      </x:c>
      <x:c r="D339">
        <x:v>45955</x:v>
      </x:c>
      <x:c r="E339" t="s">
        <x:v>187</x:v>
      </x:c>
      <x:c r="F339" t="s">
        <x:v>55</x:v>
      </x:c>
      <x:c r="G339">
        <x:v>22</x:v>
      </x:c>
      <x:c r="H339" t="s">
        <x:v>61</x:v>
      </x:c>
      <x:c r="I339">
        <x:v>10</x:v>
      </x:c>
      <x:c r="J339">
        <x:v>10</x:v>
      </x:c>
      <x:c r="K339">
        <x:v>2</x:v>
      </x:c>
      <x:c r="L339">
        <x:f t="shared" si="35"/>
        <x:v>1</x:v>
      </x:c>
      <x:c r="P339">
        <x:f t="shared" si="36"/>
        <x:v>1</x:v>
      </x:c>
      <x:c r="Q339">
        <x:f t="shared" si="37"/>
        <x:v>1</x:v>
      </x:c>
      <x:c r="R339">
        <x:f t="shared" si="38"/>
        <x:v>0</x:v>
      </x:c>
      <x:c r="S339">
        <x:f t="shared" si="39"/>
        <x:v>2</x:v>
      </x:c>
      <x:c r="T339" t="str">
        <x:f t="shared" si="40"/>
        <x:v>DerivedFromCount</x:v>
      </x:c>
      <x:c r="U339" t="str">
        <x:f>IF(COUNTIF(DailyProduction!$Q$5:$Q$100,B339)=1,"OK","CHECK")</x:f>
        <x:v>OK</x:v>
      </x:c>
      <x:c r="V339" t="str">
        <x:f t="shared" si="41"/>
        <x:v>OK</x:v>
      </x:c>
      <x:c r="W339" t="str">
        <x:f>IF(SUMIF($B$5:$B$914,B339,$S$5:$S$914)=SUMIF(DailyProduction!$Q$5:$Q$100,B339,DailyProduction!$R$5:$R$100),"OK","CHECK")</x:f>
        <x:v>OK</x:v>
      </x:c>
      <x:c r="X339" t="str">
        <x:v>PLC-PRD-JAR-720-L22</x:v>
      </x:c>
      <x:c r="Y339" t="str">
        <x:v>OK</x:v>
      </x:c>
      <x:c r="Z339" t="str">
        <x:v>OK</x:v>
      </x:c>
      <x:c r="AA339" t="n">
        <x:v>3</x:v>
      </x:c>
      <x:c r="AB339" t="n">
        <x:v>2</x:v>
      </x:c>
      <x:c r="AC339" t="str">
        <x:v>OK</x:v>
      </x:c>
      <x:c r="AD339" t="str">
        <x:v>OK</x:v>
      </x:c>
      <x:c r="AE339" t="str">
        <x:v>LOAD</x:v>
      </x:c>
      <x:c r="AF339" t="str">
        <x:v>02_Supervisor_Log(4).xlsx</x:v>
      </x:c>
      <x:c r="AG339" t="str">
        <x:v>ENH-20260830-01</x:v>
      </x:c>
      <x:c r="AH339" t="str">
        <x:v>Active</x:v>
      </x:c>
      <x:c r="AI339"/>
      <x:c r="AJ339"/>
      <x:c r="AK339"/>
      <x:c r="AL339"/>
    </x:row>
    <x:row r="340">
      <x:c r="A340" t="s">
        <x:v>560</x:v>
      </x:c>
      <x:c r="B340" t="s">
        <x:v>550</x:v>
      </x:c>
      <x:c r="C340" t="s">
        <x:v>44</x:v>
      </x:c>
      <x:c r="D340">
        <x:v>45955</x:v>
      </x:c>
      <x:c r="E340" t="s">
        <x:v>187</x:v>
      </x:c>
      <x:c r="F340" t="s">
        <x:v>55</x:v>
      </x:c>
      <x:c r="G340">
        <x:v>22</x:v>
      </x:c>
      <x:c r="H340" t="s">
        <x:v>61</x:v>
      </x:c>
      <x:c r="I340">
        <x:v>11</x:v>
      </x:c>
      <x:c r="J340">
        <x:v>10</x:v>
      </x:c>
      <x:c r="K340">
        <x:v>2</x:v>
      </x:c>
      <x:c r="L340">
        <x:f t="shared" si="35"/>
        <x:v>0</x:v>
      </x:c>
      <x:c r="P340">
        <x:f t="shared" si="36"/>
        <x:v>0</x:v>
      </x:c>
      <x:c r="Q340">
        <x:f t="shared" si="37"/>
        <x:v>0</x:v>
      </x:c>
      <x:c r="R340">
        <x:f t="shared" si="38"/>
        <x:v>0</x:v>
      </x:c>
      <x:c r="S340">
        <x:f t="shared" si="39"/>
        <x:v>0</x:v>
      </x:c>
      <x:c r="T340" t="str">
        <x:f t="shared" si="40"/>
        <x:v>DerivedFromCount</x:v>
      </x:c>
      <x:c r="U340" t="str">
        <x:f>IF(COUNTIF(DailyProduction!$Q$5:$Q$100,B340)=1,"OK","CHECK")</x:f>
        <x:v>OK</x:v>
      </x:c>
      <x:c r="V340" t="str">
        <x:f t="shared" si="41"/>
        <x:v>OK</x:v>
      </x:c>
      <x:c r="W340" t="str">
        <x:f>IF(SUMIF($B$5:$B$914,B340,$S$5:$S$914)=SUMIF(DailyProduction!$Q$5:$Q$100,B340,DailyProduction!$R$5:$R$100),"OK","CHECK")</x:f>
        <x:v>OK</x:v>
      </x:c>
      <x:c r="X340" t="str">
        <x:v>PLC-PRD-JAR-720-L22</x:v>
      </x:c>
      <x:c r="Y340" t="str">
        <x:v>OK</x:v>
      </x:c>
      <x:c r="Z340" t="str">
        <x:v>OK</x:v>
      </x:c>
      <x:c r="AA340" t="n">
        <x:v>3</x:v>
      </x:c>
      <x:c r="AB340" t="n">
        <x:v>0</x:v>
      </x:c>
      <x:c r="AC340" t="str">
        <x:v>OK</x:v>
      </x:c>
      <x:c r="AD340" t="str">
        <x:v>OK</x:v>
      </x:c>
      <x:c r="AE340" t="str">
        <x:v>LOAD</x:v>
      </x:c>
      <x:c r="AF340" t="str">
        <x:v>02_Supervisor_Log(4).xlsx</x:v>
      </x:c>
      <x:c r="AG340" t="str">
        <x:v>ENH-20260830-01</x:v>
      </x:c>
      <x:c r="AH340" t="str">
        <x:v>Active</x:v>
      </x:c>
      <x:c r="AI340"/>
      <x:c r="AJ340"/>
      <x:c r="AK340"/>
      <x:c r="AL340"/>
    </x:row>
    <x:row r="341">
      <x:c r="A341" t="s">
        <x:v>561</x:v>
      </x:c>
      <x:c r="B341" t="s">
        <x:v>550</x:v>
      </x:c>
      <x:c r="C341" t="s">
        <x:v>44</x:v>
      </x:c>
      <x:c r="D341">
        <x:v>45955</x:v>
      </x:c>
      <x:c r="E341" t="s">
        <x:v>187</x:v>
      </x:c>
      <x:c r="F341" t="s">
        <x:v>55</x:v>
      </x:c>
      <x:c r="G341">
        <x:v>22</x:v>
      </x:c>
      <x:c r="H341" t="s">
        <x:v>61</x:v>
      </x:c>
      <x:c r="I341">
        <x:v>12</x:v>
      </x:c>
      <x:c r="J341">
        <x:v>10</x:v>
      </x:c>
      <x:c r="K341">
        <x:v>2</x:v>
      </x:c>
      <x:c r="L341">
        <x:f t="shared" si="35"/>
        <x:v>0</x:v>
      </x:c>
      <x:c r="P341">
        <x:f t="shared" si="36"/>
        <x:v>0</x:v>
      </x:c>
      <x:c r="Q341">
        <x:f t="shared" si="37"/>
        <x:v>0</x:v>
      </x:c>
      <x:c r="R341">
        <x:f t="shared" si="38"/>
        <x:v>0</x:v>
      </x:c>
      <x:c r="S341">
        <x:f t="shared" si="39"/>
        <x:v>0</x:v>
      </x:c>
      <x:c r="T341" t="str">
        <x:f t="shared" si="40"/>
        <x:v>DerivedFromCount</x:v>
      </x:c>
      <x:c r="U341" t="str">
        <x:f>IF(COUNTIF(DailyProduction!$Q$5:$Q$100,B341)=1,"OK","CHECK")</x:f>
        <x:v>OK</x:v>
      </x:c>
      <x:c r="V341" t="str">
        <x:f t="shared" si="41"/>
        <x:v>OK</x:v>
      </x:c>
      <x:c r="W341" t="str">
        <x:f>IF(SUMIF($B$5:$B$914,B341,$S$5:$S$914)=SUMIF(DailyProduction!$Q$5:$Q$100,B341,DailyProduction!$R$5:$R$100),"OK","CHECK")</x:f>
        <x:v>OK</x:v>
      </x:c>
      <x:c r="X341" t="str">
        <x:v>PLC-PRD-JAR-720-L22</x:v>
      </x:c>
      <x:c r="Y341" t="str">
        <x:v>OK</x:v>
      </x:c>
      <x:c r="Z341" t="str">
        <x:v>OK</x:v>
      </x:c>
      <x:c r="AA341" t="n">
        <x:v>3</x:v>
      </x:c>
      <x:c r="AB341" t="n">
        <x:v>0</x:v>
      </x:c>
      <x:c r="AC341" t="str">
        <x:v>OK</x:v>
      </x:c>
      <x:c r="AD341" t="str">
        <x:v>OK</x:v>
      </x:c>
      <x:c r="AE341" t="str">
        <x:v>LOAD</x:v>
      </x:c>
      <x:c r="AF341" t="str">
        <x:v>02_Supervisor_Log(4).xlsx</x:v>
      </x:c>
      <x:c r="AG341" t="str">
        <x:v>ENH-20260830-01</x:v>
      </x:c>
      <x:c r="AH341" t="str">
        <x:v>Active</x:v>
      </x:c>
      <x:c r="AI341"/>
      <x:c r="AJ341"/>
      <x:c r="AK341"/>
      <x:c r="AL341"/>
    </x:row>
    <x:row r="342">
      <x:c r="A342" t="s">
        <x:v>562</x:v>
      </x:c>
      <x:c r="B342" t="s">
        <x:v>550</x:v>
      </x:c>
      <x:c r="C342" t="s">
        <x:v>44</x:v>
      </x:c>
      <x:c r="D342">
        <x:v>45955</x:v>
      </x:c>
      <x:c r="E342" t="s">
        <x:v>187</x:v>
      </x:c>
      <x:c r="F342" t="s">
        <x:v>55</x:v>
      </x:c>
      <x:c r="G342">
        <x:v>22</x:v>
      </x:c>
      <x:c r="H342" t="s">
        <x:v>61</x:v>
      </x:c>
      <x:c r="I342">
        <x:v>13</x:v>
      </x:c>
      <x:c r="J342">
        <x:v>10</x:v>
      </x:c>
      <x:c r="K342">
        <x:v>2</x:v>
      </x:c>
      <x:c r="L342">
        <x:f t="shared" si="35"/>
        <x:v>0</x:v>
      </x:c>
      <x:c r="P342">
        <x:f t="shared" si="36"/>
        <x:v>0</x:v>
      </x:c>
      <x:c r="Q342">
        <x:f t="shared" si="37"/>
        <x:v>0</x:v>
      </x:c>
      <x:c r="R342">
        <x:f t="shared" si="38"/>
        <x:v>0</x:v>
      </x:c>
      <x:c r="S342">
        <x:f t="shared" si="39"/>
        <x:v>0</x:v>
      </x:c>
      <x:c r="T342" t="str">
        <x:f t="shared" si="40"/>
        <x:v>DerivedFromCount</x:v>
      </x:c>
      <x:c r="U342" t="str">
        <x:f>IF(COUNTIF(DailyProduction!$Q$5:$Q$100,B342)=1,"OK","CHECK")</x:f>
        <x:v>OK</x:v>
      </x:c>
      <x:c r="V342" t="str">
        <x:f t="shared" si="41"/>
        <x:v>OK</x:v>
      </x:c>
      <x:c r="W342" t="str">
        <x:f>IF(SUMIF($B$5:$B$914,B342,$S$5:$S$914)=SUMIF(DailyProduction!$Q$5:$Q$100,B342,DailyProduction!$R$5:$R$100),"OK","CHECK")</x:f>
        <x:v>OK</x:v>
      </x:c>
      <x:c r="X342" t="str">
        <x:v>PLC-PRD-JAR-720-L22</x:v>
      </x:c>
      <x:c r="Y342" t="str">
        <x:v>OK</x:v>
      </x:c>
      <x:c r="Z342" t="str">
        <x:v>OK</x:v>
      </x:c>
      <x:c r="AA342" t="n">
        <x:v>3</x:v>
      </x:c>
      <x:c r="AB342" t="n">
        <x:v>0</x:v>
      </x:c>
      <x:c r="AC342" t="str">
        <x:v>OK</x:v>
      </x:c>
      <x:c r="AD342" t="str">
        <x:v>OK</x:v>
      </x:c>
      <x:c r="AE342" t="str">
        <x:v>LOAD</x:v>
      </x:c>
      <x:c r="AF342" t="str">
        <x:v>02_Supervisor_Log(4).xlsx</x:v>
      </x:c>
      <x:c r="AG342" t="str">
        <x:v>ENH-20260830-01</x:v>
      </x:c>
      <x:c r="AH342" t="str">
        <x:v>Active</x:v>
      </x:c>
      <x:c r="AI342"/>
      <x:c r="AJ342"/>
      <x:c r="AK342"/>
      <x:c r="AL342"/>
    </x:row>
    <x:row r="343">
      <x:c r="A343" t="s">
        <x:v>563</x:v>
      </x:c>
      <x:c r="B343" t="s">
        <x:v>130</x:v>
      </x:c>
      <x:c r="C343" t="s">
        <x:v>44</x:v>
      </x:c>
      <x:c r="D343">
        <x:v>45956</x:v>
      </x:c>
      <x:c r="E343" t="s">
        <x:v>45</x:v>
      </x:c>
      <x:c r="F343" t="s">
        <x:v>55</x:v>
      </x:c>
      <x:c r="G343">
        <x:v>22</x:v>
      </x:c>
      <x:c r="H343" t="s">
        <x:v>62</x:v>
      </x:c>
      <x:c r="I343">
        <x:v>1</x:v>
      </x:c>
      <x:c r="J343">
        <x:v>10</x:v>
      </x:c>
      <x:c r="K343">
        <x:v>4</x:v>
      </x:c>
      <x:c r="L343">
        <x:f t="shared" si="35"/>
        <x:v>1</x:v>
      </x:c>
      <x:c r="P343">
        <x:f t="shared" si="36"/>
        <x:v>1</x:v>
      </x:c>
      <x:c r="Q343">
        <x:f t="shared" si="37"/>
        <x:v>1</x:v>
      </x:c>
      <x:c r="R343">
        <x:f t="shared" si="38"/>
        <x:v>1</x:v>
      </x:c>
      <x:c r="S343">
        <x:f t="shared" si="39"/>
        <x:v>3</x:v>
      </x:c>
      <x:c r="T343" t="str">
        <x:f t="shared" si="40"/>
        <x:v>DerivedFromCount</x:v>
      </x:c>
      <x:c r="U343" t="str">
        <x:f>IF(COUNTIF(DailyProduction!$Q$5:$Q$100,B343)=1,"OK","CHECK")</x:f>
        <x:v>OK</x:v>
      </x:c>
      <x:c r="V343" t="str">
        <x:f t="shared" si="41"/>
        <x:v>CHECK</x:v>
      </x:c>
      <x:c r="W343" t="str">
        <x:f>IF(SUMIF($B$5:$B$914,B343,$S$5:$S$914)=SUMIF(DailyProduction!$Q$5:$Q$100,B343,DailyProduction!$R$5:$R$100),"OK","CHECK")</x:f>
        <x:v>CHECK</x:v>
      </x:c>
      <x:c r="X343" t="str">
        <x:v>PLC-PRD-BOT-500-L22</x:v>
      </x:c>
      <x:c r="Y343" t="str">
        <x:v>CHECK</x:v>
      </x:c>
      <x:c r="Z343" t="str">
        <x:v>OK</x:v>
      </x:c>
      <x:c r="AA343" t="n">
        <x:v>3</x:v>
      </x:c>
      <x:c r="AB343" t="n">
        <x:v>3</x:v>
      </x:c>
      <x:c r="AC343" t="str">
        <x:v>OK</x:v>
      </x:c>
      <x:c r="AD343" t="str">
        <x:v>CHECK</x:v>
      </x:c>
      <x:c r="AE343" t="str">
        <x:v>QUARANTINE</x:v>
      </x:c>
      <x:c r="AF343" t="str">
        <x:v>02_Supervisor_Log(4).xlsx</x:v>
      </x:c>
      <x:c r="AG343" t="str">
        <x:v>ENH-20260830-01</x:v>
      </x:c>
      <x:c r="AH343" t="str">
        <x:v>Active</x:v>
      </x:c>
      <x:c r="AI343"/>
      <x:c r="AJ343"/>
      <x:c r="AK343"/>
      <x:c r="AL343"/>
    </x:row>
    <x:row r="344">
      <x:c r="A344" t="s">
        <x:v>564</x:v>
      </x:c>
      <x:c r="B344" t="s">
        <x:v>130</x:v>
      </x:c>
      <x:c r="C344" t="s">
        <x:v>44</x:v>
      </x:c>
      <x:c r="D344">
        <x:v>45956</x:v>
      </x:c>
      <x:c r="E344" t="s">
        <x:v>45</x:v>
      </x:c>
      <x:c r="F344" t="s">
        <x:v>55</x:v>
      </x:c>
      <x:c r="G344">
        <x:v>22</x:v>
      </x:c>
      <x:c r="H344" t="s">
        <x:v>62</x:v>
      </x:c>
      <x:c r="I344">
        <x:v>2</x:v>
      </x:c>
      <x:c r="J344">
        <x:v>10</x:v>
      </x:c>
      <x:c r="K344">
        <x:v>4</x:v>
      </x:c>
      <x:c r="L344">
        <x:f t="shared" si="35"/>
        <x:v>1</x:v>
      </x:c>
      <x:c r="P344">
        <x:f t="shared" si="36"/>
        <x:v>1</x:v>
      </x:c>
      <x:c r="Q344">
        <x:f t="shared" si="37"/>
        <x:v>1</x:v>
      </x:c>
      <x:c r="R344">
        <x:f t="shared" si="38"/>
        <x:v>1</x:v>
      </x:c>
      <x:c r="S344">
        <x:f t="shared" si="39"/>
        <x:v>3</x:v>
      </x:c>
      <x:c r="T344" t="str">
        <x:f t="shared" si="40"/>
        <x:v>DerivedFromCount</x:v>
      </x:c>
      <x:c r="U344" t="str">
        <x:f>IF(COUNTIF(DailyProduction!$Q$5:$Q$100,B344)=1,"OK","CHECK")</x:f>
        <x:v>OK</x:v>
      </x:c>
      <x:c r="V344" t="str">
        <x:f t="shared" si="41"/>
        <x:v>CHECK</x:v>
      </x:c>
      <x:c r="W344" t="str">
        <x:f>IF(SUMIF($B$5:$B$914,B344,$S$5:$S$914)=SUMIF(DailyProduction!$Q$5:$Q$100,B344,DailyProduction!$R$5:$R$100),"OK","CHECK")</x:f>
        <x:v>CHECK</x:v>
      </x:c>
      <x:c r="X344" t="str">
        <x:v>PLC-PRD-BOT-500-L22</x:v>
      </x:c>
      <x:c r="Y344" t="str">
        <x:v>CHECK</x:v>
      </x:c>
      <x:c r="Z344" t="str">
        <x:v>OK</x:v>
      </x:c>
      <x:c r="AA344" t="n">
        <x:v>3</x:v>
      </x:c>
      <x:c r="AB344" t="n">
        <x:v>3</x:v>
      </x:c>
      <x:c r="AC344" t="str">
        <x:v>OK</x:v>
      </x:c>
      <x:c r="AD344" t="str">
        <x:v>CHECK</x:v>
      </x:c>
      <x:c r="AE344" t="str">
        <x:v>QUARANTINE</x:v>
      </x:c>
      <x:c r="AF344" t="str">
        <x:v>02_Supervisor_Log(4).xlsx</x:v>
      </x:c>
      <x:c r="AG344" t="str">
        <x:v>ENH-20260830-01</x:v>
      </x:c>
      <x:c r="AH344" t="str">
        <x:v>Active</x:v>
      </x:c>
      <x:c r="AI344"/>
      <x:c r="AJ344"/>
      <x:c r="AK344"/>
      <x:c r="AL344"/>
    </x:row>
    <x:row r="345">
      <x:c r="A345" t="s">
        <x:v>565</x:v>
      </x:c>
      <x:c r="B345" t="s">
        <x:v>130</x:v>
      </x:c>
      <x:c r="C345" t="s">
        <x:v>44</x:v>
      </x:c>
      <x:c r="D345">
        <x:v>45956</x:v>
      </x:c>
      <x:c r="E345" t="s">
        <x:v>45</x:v>
      </x:c>
      <x:c r="F345" t="s">
        <x:v>55</x:v>
      </x:c>
      <x:c r="G345">
        <x:v>22</x:v>
      </x:c>
      <x:c r="H345" t="s">
        <x:v>62</x:v>
      </x:c>
      <x:c r="I345">
        <x:v>3</x:v>
      </x:c>
      <x:c r="J345">
        <x:v>10</x:v>
      </x:c>
      <x:c r="K345">
        <x:v>4</x:v>
      </x:c>
      <x:c r="L345">
        <x:f t="shared" si="35"/>
        <x:v>1</x:v>
      </x:c>
      <x:c r="P345">
        <x:f t="shared" si="36"/>
        <x:v>1</x:v>
      </x:c>
      <x:c r="Q345">
        <x:f t="shared" si="37"/>
        <x:v>1</x:v>
      </x:c>
      <x:c r="R345">
        <x:f t="shared" si="38"/>
        <x:v>1</x:v>
      </x:c>
      <x:c r="S345">
        <x:f t="shared" si="39"/>
        <x:v>3</x:v>
      </x:c>
      <x:c r="T345" t="str">
        <x:f t="shared" si="40"/>
        <x:v>DerivedFromCount</x:v>
      </x:c>
      <x:c r="U345" t="str">
        <x:f>IF(COUNTIF(DailyProduction!$Q$5:$Q$100,B345)=1,"OK","CHECK")</x:f>
        <x:v>OK</x:v>
      </x:c>
      <x:c r="V345" t="str">
        <x:f t="shared" si="41"/>
        <x:v>CHECK</x:v>
      </x:c>
      <x:c r="W345" t="str">
        <x:f>IF(SUMIF($B$5:$B$914,B345,$S$5:$S$914)=SUMIF(DailyProduction!$Q$5:$Q$100,B345,DailyProduction!$R$5:$R$100),"OK","CHECK")</x:f>
        <x:v>CHECK</x:v>
      </x:c>
      <x:c r="X345" t="str">
        <x:v>PLC-PRD-BOT-500-L22</x:v>
      </x:c>
      <x:c r="Y345" t="str">
        <x:v>CHECK</x:v>
      </x:c>
      <x:c r="Z345" t="str">
        <x:v>OK</x:v>
      </x:c>
      <x:c r="AA345" t="n">
        <x:v>3</x:v>
      </x:c>
      <x:c r="AB345" t="n">
        <x:v>3</x:v>
      </x:c>
      <x:c r="AC345" t="str">
        <x:v>OK</x:v>
      </x:c>
      <x:c r="AD345" t="str">
        <x:v>CHECK</x:v>
      </x:c>
      <x:c r="AE345" t="str">
        <x:v>QUARANTINE</x:v>
      </x:c>
      <x:c r="AF345" t="str">
        <x:v>02_Supervisor_Log(4).xlsx</x:v>
      </x:c>
      <x:c r="AG345" t="str">
        <x:v>ENH-20260830-01</x:v>
      </x:c>
      <x:c r="AH345" t="str">
        <x:v>Active</x:v>
      </x:c>
      <x:c r="AI345"/>
      <x:c r="AJ345"/>
      <x:c r="AK345"/>
      <x:c r="AL345"/>
    </x:row>
    <x:row r="346">
      <x:c r="A346" t="s">
        <x:v>566</x:v>
      </x:c>
      <x:c r="B346" t="s">
        <x:v>130</x:v>
      </x:c>
      <x:c r="C346" t="s">
        <x:v>44</x:v>
      </x:c>
      <x:c r="D346">
        <x:v>45956</x:v>
      </x:c>
      <x:c r="E346" t="s">
        <x:v>45</x:v>
      </x:c>
      <x:c r="F346" t="s">
        <x:v>55</x:v>
      </x:c>
      <x:c r="G346">
        <x:v>22</x:v>
      </x:c>
      <x:c r="H346" t="s">
        <x:v>62</x:v>
      </x:c>
      <x:c r="I346">
        <x:v>4</x:v>
      </x:c>
      <x:c r="J346">
        <x:v>10</x:v>
      </x:c>
      <x:c r="K346">
        <x:v>4</x:v>
      </x:c>
      <x:c r="L346">
        <x:f t="shared" si="35"/>
        <x:v>1</x:v>
      </x:c>
      <x:c r="P346">
        <x:f t="shared" si="36"/>
        <x:v>1</x:v>
      </x:c>
      <x:c r="Q346">
        <x:f t="shared" si="37"/>
        <x:v>1</x:v>
      </x:c>
      <x:c r="R346">
        <x:f t="shared" si="38"/>
        <x:v>1</x:v>
      </x:c>
      <x:c r="S346">
        <x:f t="shared" si="39"/>
        <x:v>3</x:v>
      </x:c>
      <x:c r="T346" t="str">
        <x:f t="shared" si="40"/>
        <x:v>DerivedFromCount</x:v>
      </x:c>
      <x:c r="U346" t="str">
        <x:f>IF(COUNTIF(DailyProduction!$Q$5:$Q$100,B346)=1,"OK","CHECK")</x:f>
        <x:v>OK</x:v>
      </x:c>
      <x:c r="V346" t="str">
        <x:f t="shared" si="41"/>
        <x:v>CHECK</x:v>
      </x:c>
      <x:c r="W346" t="str">
        <x:f>IF(SUMIF($B$5:$B$914,B346,$S$5:$S$914)=SUMIF(DailyProduction!$Q$5:$Q$100,B346,DailyProduction!$R$5:$R$100),"OK","CHECK")</x:f>
        <x:v>CHECK</x:v>
      </x:c>
      <x:c r="X346" t="str">
        <x:v>PLC-PRD-BOT-500-L22</x:v>
      </x:c>
      <x:c r="Y346" t="str">
        <x:v>CHECK</x:v>
      </x:c>
      <x:c r="Z346" t="str">
        <x:v>OK</x:v>
      </x:c>
      <x:c r="AA346" t="n">
        <x:v>3</x:v>
      </x:c>
      <x:c r="AB346" t="n">
        <x:v>3</x:v>
      </x:c>
      <x:c r="AC346" t="str">
        <x:v>OK</x:v>
      </x:c>
      <x:c r="AD346" t="str">
        <x:v>CHECK</x:v>
      </x:c>
      <x:c r="AE346" t="str">
        <x:v>QUARANTINE</x:v>
      </x:c>
      <x:c r="AF346" t="str">
        <x:v>02_Supervisor_Log(4).xlsx</x:v>
      </x:c>
      <x:c r="AG346" t="str">
        <x:v>ENH-20260830-01</x:v>
      </x:c>
      <x:c r="AH346" t="str">
        <x:v>Active</x:v>
      </x:c>
      <x:c r="AI346"/>
      <x:c r="AJ346"/>
      <x:c r="AK346"/>
      <x:c r="AL346"/>
    </x:row>
    <x:row r="347">
      <x:c r="A347" t="s">
        <x:v>567</x:v>
      </x:c>
      <x:c r="B347" t="s">
        <x:v>130</x:v>
      </x:c>
      <x:c r="C347" t="s">
        <x:v>44</x:v>
      </x:c>
      <x:c r="D347">
        <x:v>45956</x:v>
      </x:c>
      <x:c r="E347" t="s">
        <x:v>45</x:v>
      </x:c>
      <x:c r="F347" t="s">
        <x:v>55</x:v>
      </x:c>
      <x:c r="G347">
        <x:v>22</x:v>
      </x:c>
      <x:c r="H347" t="s">
        <x:v>62</x:v>
      </x:c>
      <x:c r="I347">
        <x:v>5</x:v>
      </x:c>
      <x:c r="J347">
        <x:v>10</x:v>
      </x:c>
      <x:c r="K347">
        <x:v>4</x:v>
      </x:c>
      <x:c r="L347">
        <x:f t="shared" si="35"/>
        <x:v>1</x:v>
      </x:c>
      <x:c r="P347">
        <x:f t="shared" si="36"/>
        <x:v>1</x:v>
      </x:c>
      <x:c r="Q347">
        <x:f t="shared" si="37"/>
        <x:v>1</x:v>
      </x:c>
      <x:c r="R347">
        <x:f t="shared" si="38"/>
        <x:v>1</x:v>
      </x:c>
      <x:c r="S347">
        <x:f t="shared" si="39"/>
        <x:v>3</x:v>
      </x:c>
      <x:c r="T347" t="str">
        <x:f t="shared" si="40"/>
        <x:v>DerivedFromCount</x:v>
      </x:c>
      <x:c r="U347" t="str">
        <x:f>IF(COUNTIF(DailyProduction!$Q$5:$Q$100,B347)=1,"OK","CHECK")</x:f>
        <x:v>OK</x:v>
      </x:c>
      <x:c r="V347" t="str">
        <x:f t="shared" si="41"/>
        <x:v>CHECK</x:v>
      </x:c>
      <x:c r="W347" t="str">
        <x:f>IF(SUMIF($B$5:$B$914,B347,$S$5:$S$914)=SUMIF(DailyProduction!$Q$5:$Q$100,B347,DailyProduction!$R$5:$R$100),"OK","CHECK")</x:f>
        <x:v>CHECK</x:v>
      </x:c>
      <x:c r="X347" t="str">
        <x:v>PLC-PRD-BOT-500-L22</x:v>
      </x:c>
      <x:c r="Y347" t="str">
        <x:v>CHECK</x:v>
      </x:c>
      <x:c r="Z347" t="str">
        <x:v>OK</x:v>
      </x:c>
      <x:c r="AA347" t="n">
        <x:v>3</x:v>
      </x:c>
      <x:c r="AB347" t="n">
        <x:v>3</x:v>
      </x:c>
      <x:c r="AC347" t="str">
        <x:v>OK</x:v>
      </x:c>
      <x:c r="AD347" t="str">
        <x:v>CHECK</x:v>
      </x:c>
      <x:c r="AE347" t="str">
        <x:v>QUARANTINE</x:v>
      </x:c>
      <x:c r="AF347" t="str">
        <x:v>02_Supervisor_Log(4).xlsx</x:v>
      </x:c>
      <x:c r="AG347" t="str">
        <x:v>ENH-20260830-01</x:v>
      </x:c>
      <x:c r="AH347" t="str">
        <x:v>Active</x:v>
      </x:c>
      <x:c r="AI347"/>
      <x:c r="AJ347"/>
      <x:c r="AK347"/>
      <x:c r="AL347"/>
    </x:row>
    <x:row r="348">
      <x:c r="A348" t="s">
        <x:v>568</x:v>
      </x:c>
      <x:c r="B348" t="s">
        <x:v>130</x:v>
      </x:c>
      <x:c r="C348" t="s">
        <x:v>44</x:v>
      </x:c>
      <x:c r="D348">
        <x:v>45956</x:v>
      </x:c>
      <x:c r="E348" t="s">
        <x:v>45</x:v>
      </x:c>
      <x:c r="F348" t="s">
        <x:v>55</x:v>
      </x:c>
      <x:c r="G348">
        <x:v>22</x:v>
      </x:c>
      <x:c r="H348" t="s">
        <x:v>62</x:v>
      </x:c>
      <x:c r="I348">
        <x:v>6</x:v>
      </x:c>
      <x:c r="J348">
        <x:v>10</x:v>
      </x:c>
      <x:c r="K348">
        <x:v>4</x:v>
      </x:c>
      <x:c r="L348">
        <x:f t="shared" si="35"/>
        <x:v>1</x:v>
      </x:c>
      <x:c r="P348">
        <x:f t="shared" si="36"/>
        <x:v>1</x:v>
      </x:c>
      <x:c r="Q348">
        <x:f t="shared" si="37"/>
        <x:v>1</x:v>
      </x:c>
      <x:c r="R348">
        <x:f t="shared" si="38"/>
        <x:v>1</x:v>
      </x:c>
      <x:c r="S348">
        <x:f t="shared" si="39"/>
        <x:v>3</x:v>
      </x:c>
      <x:c r="T348" t="str">
        <x:f t="shared" si="40"/>
        <x:v>DerivedFromCount</x:v>
      </x:c>
      <x:c r="U348" t="str">
        <x:f>IF(COUNTIF(DailyProduction!$Q$5:$Q$100,B348)=1,"OK","CHECK")</x:f>
        <x:v>OK</x:v>
      </x:c>
      <x:c r="V348" t="str">
        <x:f t="shared" si="41"/>
        <x:v>CHECK</x:v>
      </x:c>
      <x:c r="W348" t="str">
        <x:f>IF(SUMIF($B$5:$B$914,B348,$S$5:$S$914)=SUMIF(DailyProduction!$Q$5:$Q$100,B348,DailyProduction!$R$5:$R$100),"OK","CHECK")</x:f>
        <x:v>CHECK</x:v>
      </x:c>
      <x:c r="X348" t="str">
        <x:v>PLC-PRD-BOT-500-L22</x:v>
      </x:c>
      <x:c r="Y348" t="str">
        <x:v>CHECK</x:v>
      </x:c>
      <x:c r="Z348" t="str">
        <x:v>OK</x:v>
      </x:c>
      <x:c r="AA348" t="n">
        <x:v>3</x:v>
      </x:c>
      <x:c r="AB348" t="n">
        <x:v>3</x:v>
      </x:c>
      <x:c r="AC348" t="str">
        <x:v>OK</x:v>
      </x:c>
      <x:c r="AD348" t="str">
        <x:v>CHECK</x:v>
      </x:c>
      <x:c r="AE348" t="str">
        <x:v>QUARANTINE</x:v>
      </x:c>
      <x:c r="AF348" t="str">
        <x:v>02_Supervisor_Log(4).xlsx</x:v>
      </x:c>
      <x:c r="AG348" t="str">
        <x:v>ENH-20260830-01</x:v>
      </x:c>
      <x:c r="AH348" t="str">
        <x:v>Active</x:v>
      </x:c>
      <x:c r="AI348"/>
      <x:c r="AJ348"/>
      <x:c r="AK348"/>
      <x:c r="AL348"/>
    </x:row>
    <x:row r="349">
      <x:c r="A349" t="s">
        <x:v>569</x:v>
      </x:c>
      <x:c r="B349" t="s">
        <x:v>130</x:v>
      </x:c>
      <x:c r="C349" t="s">
        <x:v>44</x:v>
      </x:c>
      <x:c r="D349">
        <x:v>45956</x:v>
      </x:c>
      <x:c r="E349" t="s">
        <x:v>45</x:v>
      </x:c>
      <x:c r="F349" t="s">
        <x:v>55</x:v>
      </x:c>
      <x:c r="G349">
        <x:v>22</x:v>
      </x:c>
      <x:c r="H349" t="s">
        <x:v>62</x:v>
      </x:c>
      <x:c r="I349">
        <x:v>7</x:v>
      </x:c>
      <x:c r="J349">
        <x:v>10</x:v>
      </x:c>
      <x:c r="K349">
        <x:v>4</x:v>
      </x:c>
      <x:c r="L349">
        <x:f t="shared" si="35"/>
        <x:v>1</x:v>
      </x:c>
      <x:c r="P349">
        <x:f t="shared" si="36"/>
        <x:v>1</x:v>
      </x:c>
      <x:c r="Q349">
        <x:f t="shared" si="37"/>
        <x:v>1</x:v>
      </x:c>
      <x:c r="R349">
        <x:f t="shared" si="38"/>
        <x:v>1</x:v>
      </x:c>
      <x:c r="S349">
        <x:f t="shared" si="39"/>
        <x:v>3</x:v>
      </x:c>
      <x:c r="T349" t="str">
        <x:f t="shared" si="40"/>
        <x:v>DerivedFromCount</x:v>
      </x:c>
      <x:c r="U349" t="str">
        <x:f>IF(COUNTIF(DailyProduction!$Q$5:$Q$100,B349)=1,"OK","CHECK")</x:f>
        <x:v>OK</x:v>
      </x:c>
      <x:c r="V349" t="str">
        <x:f t="shared" si="41"/>
        <x:v>CHECK</x:v>
      </x:c>
      <x:c r="W349" t="str">
        <x:f>IF(SUMIF($B$5:$B$914,B349,$S$5:$S$914)=SUMIF(DailyProduction!$Q$5:$Q$100,B349,DailyProduction!$R$5:$R$100),"OK","CHECK")</x:f>
        <x:v>CHECK</x:v>
      </x:c>
      <x:c r="X349" t="str">
        <x:v>PLC-PRD-BOT-500-L22</x:v>
      </x:c>
      <x:c r="Y349" t="str">
        <x:v>CHECK</x:v>
      </x:c>
      <x:c r="Z349" t="str">
        <x:v>OK</x:v>
      </x:c>
      <x:c r="AA349" t="n">
        <x:v>3</x:v>
      </x:c>
      <x:c r="AB349" t="n">
        <x:v>3</x:v>
      </x:c>
      <x:c r="AC349" t="str">
        <x:v>OK</x:v>
      </x:c>
      <x:c r="AD349" t="str">
        <x:v>CHECK</x:v>
      </x:c>
      <x:c r="AE349" t="str">
        <x:v>QUARANTINE</x:v>
      </x:c>
      <x:c r="AF349" t="str">
        <x:v>02_Supervisor_Log(4).xlsx</x:v>
      </x:c>
      <x:c r="AG349" t="str">
        <x:v>ENH-20260830-01</x:v>
      </x:c>
      <x:c r="AH349" t="str">
        <x:v>Active</x:v>
      </x:c>
      <x:c r="AI349"/>
      <x:c r="AJ349"/>
      <x:c r="AK349"/>
      <x:c r="AL349"/>
    </x:row>
    <x:row r="350">
      <x:c r="A350" t="s">
        <x:v>570</x:v>
      </x:c>
      <x:c r="B350" t="s">
        <x:v>130</x:v>
      </x:c>
      <x:c r="C350" t="s">
        <x:v>44</x:v>
      </x:c>
      <x:c r="D350">
        <x:v>45956</x:v>
      </x:c>
      <x:c r="E350" t="s">
        <x:v>45</x:v>
      </x:c>
      <x:c r="F350" t="s">
        <x:v>55</x:v>
      </x:c>
      <x:c r="G350">
        <x:v>22</x:v>
      </x:c>
      <x:c r="H350" t="s">
        <x:v>62</x:v>
      </x:c>
      <x:c r="I350">
        <x:v>8</x:v>
      </x:c>
      <x:c r="J350">
        <x:v>10</x:v>
      </x:c>
      <x:c r="K350">
        <x:v>4</x:v>
      </x:c>
      <x:c r="L350">
        <x:f t="shared" si="35"/>
        <x:v>1</x:v>
      </x:c>
      <x:c r="P350">
        <x:f t="shared" si="36"/>
        <x:v>1</x:v>
      </x:c>
      <x:c r="Q350">
        <x:f t="shared" si="37"/>
        <x:v>1</x:v>
      </x:c>
      <x:c r="R350">
        <x:f t="shared" si="38"/>
        <x:v>1</x:v>
      </x:c>
      <x:c r="S350">
        <x:f t="shared" si="39"/>
        <x:v>3</x:v>
      </x:c>
      <x:c r="T350" t="str">
        <x:f t="shared" si="40"/>
        <x:v>DerivedFromCount</x:v>
      </x:c>
      <x:c r="U350" t="str">
        <x:f>IF(COUNTIF(DailyProduction!$Q$5:$Q$100,B350)=1,"OK","CHECK")</x:f>
        <x:v>OK</x:v>
      </x:c>
      <x:c r="V350" t="str">
        <x:f t="shared" si="41"/>
        <x:v>CHECK</x:v>
      </x:c>
      <x:c r="W350" t="str">
        <x:f>IF(SUMIF($B$5:$B$914,B350,$S$5:$S$914)=SUMIF(DailyProduction!$Q$5:$Q$100,B350,DailyProduction!$R$5:$R$100),"OK","CHECK")</x:f>
        <x:v>CHECK</x:v>
      </x:c>
      <x:c r="X350" t="str">
        <x:v>PLC-PRD-BOT-500-L22</x:v>
      </x:c>
      <x:c r="Y350" t="str">
        <x:v>CHECK</x:v>
      </x:c>
      <x:c r="Z350" t="str">
        <x:v>OK</x:v>
      </x:c>
      <x:c r="AA350" t="n">
        <x:v>3</x:v>
      </x:c>
      <x:c r="AB350" t="n">
        <x:v>3</x:v>
      </x:c>
      <x:c r="AC350" t="str">
        <x:v>OK</x:v>
      </x:c>
      <x:c r="AD350" t="str">
        <x:v>CHECK</x:v>
      </x:c>
      <x:c r="AE350" t="str">
        <x:v>QUARANTINE</x:v>
      </x:c>
      <x:c r="AF350" t="str">
        <x:v>02_Supervisor_Log(4).xlsx</x:v>
      </x:c>
      <x:c r="AG350" t="str">
        <x:v>ENH-20260830-01</x:v>
      </x:c>
      <x:c r="AH350" t="str">
        <x:v>Active</x:v>
      </x:c>
      <x:c r="AI350"/>
      <x:c r="AJ350"/>
      <x:c r="AK350"/>
      <x:c r="AL350"/>
    </x:row>
    <x:row r="351">
      <x:c r="A351" t="s">
        <x:v>571</x:v>
      </x:c>
      <x:c r="B351" t="s">
        <x:v>130</x:v>
      </x:c>
      <x:c r="C351" t="s">
        <x:v>44</x:v>
      </x:c>
      <x:c r="D351">
        <x:v>45956</x:v>
      </x:c>
      <x:c r="E351" t="s">
        <x:v>45</x:v>
      </x:c>
      <x:c r="F351" t="s">
        <x:v>55</x:v>
      </x:c>
      <x:c r="G351">
        <x:v>22</x:v>
      </x:c>
      <x:c r="H351" t="s">
        <x:v>62</x:v>
      </x:c>
      <x:c r="I351">
        <x:v>9</x:v>
      </x:c>
      <x:c r="J351">
        <x:v>10</x:v>
      </x:c>
      <x:c r="K351">
        <x:v>4</x:v>
      </x:c>
      <x:c r="L351">
        <x:f t="shared" si="35"/>
        <x:v>1</x:v>
      </x:c>
      <x:c r="P351">
        <x:f t="shared" si="36"/>
        <x:v>1</x:v>
      </x:c>
      <x:c r="Q351">
        <x:f t="shared" si="37"/>
        <x:v>1</x:v>
      </x:c>
      <x:c r="R351">
        <x:f t="shared" si="38"/>
        <x:v>1</x:v>
      </x:c>
      <x:c r="S351">
        <x:f t="shared" si="39"/>
        <x:v>3</x:v>
      </x:c>
      <x:c r="T351" t="str">
        <x:f t="shared" si="40"/>
        <x:v>DerivedFromCount</x:v>
      </x:c>
      <x:c r="U351" t="str">
        <x:f>IF(COUNTIF(DailyProduction!$Q$5:$Q$100,B351)=1,"OK","CHECK")</x:f>
        <x:v>OK</x:v>
      </x:c>
      <x:c r="V351" t="str">
        <x:f t="shared" si="41"/>
        <x:v>CHECK</x:v>
      </x:c>
      <x:c r="W351" t="str">
        <x:f>IF(SUMIF($B$5:$B$914,B351,$S$5:$S$914)=SUMIF(DailyProduction!$Q$5:$Q$100,B351,DailyProduction!$R$5:$R$100),"OK","CHECK")</x:f>
        <x:v>CHECK</x:v>
      </x:c>
      <x:c r="X351" t="str">
        <x:v>PLC-PRD-BOT-500-L22</x:v>
      </x:c>
      <x:c r="Y351" t="str">
        <x:v>CHECK</x:v>
      </x:c>
      <x:c r="Z351" t="str">
        <x:v>OK</x:v>
      </x:c>
      <x:c r="AA351" t="n">
        <x:v>3</x:v>
      </x:c>
      <x:c r="AB351" t="n">
        <x:v>3</x:v>
      </x:c>
      <x:c r="AC351" t="str">
        <x:v>OK</x:v>
      </x:c>
      <x:c r="AD351" t="str">
        <x:v>CHECK</x:v>
      </x:c>
      <x:c r="AE351" t="str">
        <x:v>QUARANTINE</x:v>
      </x:c>
      <x:c r="AF351" t="str">
        <x:v>02_Supervisor_Log(4).xlsx</x:v>
      </x:c>
      <x:c r="AG351" t="str">
        <x:v>ENH-20260830-01</x:v>
      </x:c>
      <x:c r="AH351" t="str">
        <x:v>Active</x:v>
      </x:c>
      <x:c r="AI351"/>
      <x:c r="AJ351"/>
      <x:c r="AK351"/>
      <x:c r="AL351"/>
    </x:row>
    <x:row r="352">
      <x:c r="A352" t="s">
        <x:v>572</x:v>
      </x:c>
      <x:c r="B352" t="s">
        <x:v>130</x:v>
      </x:c>
      <x:c r="C352" t="s">
        <x:v>44</x:v>
      </x:c>
      <x:c r="D352">
        <x:v>45956</x:v>
      </x:c>
      <x:c r="E352" t="s">
        <x:v>45</x:v>
      </x:c>
      <x:c r="F352" t="s">
        <x:v>55</x:v>
      </x:c>
      <x:c r="G352">
        <x:v>22</x:v>
      </x:c>
      <x:c r="H352" t="s">
        <x:v>62</x:v>
      </x:c>
      <x:c r="I352">
        <x:v>10</x:v>
      </x:c>
      <x:c r="J352">
        <x:v>10</x:v>
      </x:c>
      <x:c r="K352">
        <x:v>4</x:v>
      </x:c>
      <x:c r="L352">
        <x:f t="shared" si="35"/>
        <x:v>1</x:v>
      </x:c>
      <x:c r="P352">
        <x:f t="shared" si="36"/>
        <x:v>1</x:v>
      </x:c>
      <x:c r="Q352">
        <x:f t="shared" si="37"/>
        <x:v>1</x:v>
      </x:c>
      <x:c r="R352">
        <x:f t="shared" si="38"/>
        <x:v>1</x:v>
      </x:c>
      <x:c r="S352">
        <x:f t="shared" si="39"/>
        <x:v>3</x:v>
      </x:c>
      <x:c r="T352" t="str">
        <x:f t="shared" si="40"/>
        <x:v>DerivedFromCount</x:v>
      </x:c>
      <x:c r="U352" t="str">
        <x:f>IF(COUNTIF(DailyProduction!$Q$5:$Q$100,B352)=1,"OK","CHECK")</x:f>
        <x:v>OK</x:v>
      </x:c>
      <x:c r="V352" t="str">
        <x:f t="shared" si="41"/>
        <x:v>CHECK</x:v>
      </x:c>
      <x:c r="W352" t="str">
        <x:f>IF(SUMIF($B$5:$B$914,B352,$S$5:$S$914)=SUMIF(DailyProduction!$Q$5:$Q$100,B352,DailyProduction!$R$5:$R$100),"OK","CHECK")</x:f>
        <x:v>CHECK</x:v>
      </x:c>
      <x:c r="X352" t="str">
        <x:v>PLC-PRD-BOT-500-L22</x:v>
      </x:c>
      <x:c r="Y352" t="str">
        <x:v>CHECK</x:v>
      </x:c>
      <x:c r="Z352" t="str">
        <x:v>OK</x:v>
      </x:c>
      <x:c r="AA352" t="n">
        <x:v>3</x:v>
      </x:c>
      <x:c r="AB352" t="n">
        <x:v>3</x:v>
      </x:c>
      <x:c r="AC352" t="str">
        <x:v>OK</x:v>
      </x:c>
      <x:c r="AD352" t="str">
        <x:v>CHECK</x:v>
      </x:c>
      <x:c r="AE352" t="str">
        <x:v>QUARANTINE</x:v>
      </x:c>
      <x:c r="AF352" t="str">
        <x:v>02_Supervisor_Log(4).xlsx</x:v>
      </x:c>
      <x:c r="AG352" t="str">
        <x:v>ENH-20260830-01</x:v>
      </x:c>
      <x:c r="AH352" t="str">
        <x:v>Active</x:v>
      </x:c>
      <x:c r="AI352"/>
      <x:c r="AJ352"/>
      <x:c r="AK352"/>
      <x:c r="AL352"/>
    </x:row>
    <x:row r="353">
      <x:c r="A353" t="s">
        <x:v>573</x:v>
      </x:c>
      <x:c r="B353" t="s">
        <x:v>130</x:v>
      </x:c>
      <x:c r="C353" t="s">
        <x:v>44</x:v>
      </x:c>
      <x:c r="D353">
        <x:v>45956</x:v>
      </x:c>
      <x:c r="E353" t="s">
        <x:v>45</x:v>
      </x:c>
      <x:c r="F353" t="s">
        <x:v>55</x:v>
      </x:c>
      <x:c r="G353">
        <x:v>22</x:v>
      </x:c>
      <x:c r="H353" t="s">
        <x:v>62</x:v>
      </x:c>
      <x:c r="I353">
        <x:v>11</x:v>
      </x:c>
      <x:c r="J353">
        <x:v>10</x:v>
      </x:c>
      <x:c r="K353">
        <x:v>4</x:v>
      </x:c>
      <x:c r="L353">
        <x:f t="shared" si="35"/>
        <x:v>0</x:v>
      </x:c>
      <x:c r="P353">
        <x:f t="shared" si="36"/>
        <x:v>0</x:v>
      </x:c>
      <x:c r="Q353">
        <x:f t="shared" si="37"/>
        <x:v>0</x:v>
      </x:c>
      <x:c r="R353">
        <x:f t="shared" si="38"/>
        <x:v>0</x:v>
      </x:c>
      <x:c r="S353">
        <x:f t="shared" si="39"/>
        <x:v>0</x:v>
      </x:c>
      <x:c r="T353" t="str">
        <x:f t="shared" si="40"/>
        <x:v>DerivedFromCount</x:v>
      </x:c>
      <x:c r="U353" t="str">
        <x:f>IF(COUNTIF(DailyProduction!$Q$5:$Q$100,B353)=1,"OK","CHECK")</x:f>
        <x:v>OK</x:v>
      </x:c>
      <x:c r="V353" t="str">
        <x:f t="shared" si="41"/>
        <x:v>CHECK</x:v>
      </x:c>
      <x:c r="W353" t="str">
        <x:f>IF(SUMIF($B$5:$B$914,B353,$S$5:$S$914)=SUMIF(DailyProduction!$Q$5:$Q$100,B353,DailyProduction!$R$5:$R$100),"OK","CHECK")</x:f>
        <x:v>CHECK</x:v>
      </x:c>
      <x:c r="X353" t="str">
        <x:v>PLC-PRD-BOT-500-L22</x:v>
      </x:c>
      <x:c r="Y353" t="str">
        <x:v>CHECK</x:v>
      </x:c>
      <x:c r="Z353" t="str">
        <x:v>OK</x:v>
      </x:c>
      <x:c r="AA353" t="n">
        <x:v>3</x:v>
      </x:c>
      <x:c r="AB353" t="n">
        <x:v>0</x:v>
      </x:c>
      <x:c r="AC353" t="str">
        <x:v>OK</x:v>
      </x:c>
      <x:c r="AD353" t="str">
        <x:v>CHECK</x:v>
      </x:c>
      <x:c r="AE353" t="str">
        <x:v>QUARANTINE</x:v>
      </x:c>
      <x:c r="AF353" t="str">
        <x:v>02_Supervisor_Log(4).xlsx</x:v>
      </x:c>
      <x:c r="AG353" t="str">
        <x:v>ENH-20260830-01</x:v>
      </x:c>
      <x:c r="AH353" t="str">
        <x:v>Active</x:v>
      </x:c>
      <x:c r="AI353"/>
      <x:c r="AJ353"/>
      <x:c r="AK353"/>
      <x:c r="AL353"/>
    </x:row>
    <x:row r="354">
      <x:c r="A354" t="s">
        <x:v>574</x:v>
      </x:c>
      <x:c r="B354" t="s">
        <x:v>130</x:v>
      </x:c>
      <x:c r="C354" t="s">
        <x:v>44</x:v>
      </x:c>
      <x:c r="D354">
        <x:v>45956</x:v>
      </x:c>
      <x:c r="E354" t="s">
        <x:v>45</x:v>
      </x:c>
      <x:c r="F354" t="s">
        <x:v>55</x:v>
      </x:c>
      <x:c r="G354">
        <x:v>22</x:v>
      </x:c>
      <x:c r="H354" t="s">
        <x:v>62</x:v>
      </x:c>
      <x:c r="I354">
        <x:v>12</x:v>
      </x:c>
      <x:c r="J354">
        <x:v>10</x:v>
      </x:c>
      <x:c r="K354">
        <x:v>4</x:v>
      </x:c>
      <x:c r="L354">
        <x:f t="shared" si="35"/>
        <x:v>0</x:v>
      </x:c>
      <x:c r="P354">
        <x:f t="shared" si="36"/>
        <x:v>0</x:v>
      </x:c>
      <x:c r="Q354">
        <x:f t="shared" si="37"/>
        <x:v>0</x:v>
      </x:c>
      <x:c r="R354">
        <x:f t="shared" si="38"/>
        <x:v>0</x:v>
      </x:c>
      <x:c r="S354">
        <x:f t="shared" si="39"/>
        <x:v>0</x:v>
      </x:c>
      <x:c r="T354" t="str">
        <x:f t="shared" si="40"/>
        <x:v>DerivedFromCount</x:v>
      </x:c>
      <x:c r="U354" t="str">
        <x:f>IF(COUNTIF(DailyProduction!$Q$5:$Q$100,B354)=1,"OK","CHECK")</x:f>
        <x:v>OK</x:v>
      </x:c>
      <x:c r="V354" t="str">
        <x:f t="shared" si="41"/>
        <x:v>CHECK</x:v>
      </x:c>
      <x:c r="W354" t="str">
        <x:f>IF(SUMIF($B$5:$B$914,B354,$S$5:$S$914)=SUMIF(DailyProduction!$Q$5:$Q$100,B354,DailyProduction!$R$5:$R$100),"OK","CHECK")</x:f>
        <x:v>CHECK</x:v>
      </x:c>
      <x:c r="X354" t="str">
        <x:v>PLC-PRD-BOT-500-L22</x:v>
      </x:c>
      <x:c r="Y354" t="str">
        <x:v>CHECK</x:v>
      </x:c>
      <x:c r="Z354" t="str">
        <x:v>OK</x:v>
      </x:c>
      <x:c r="AA354" t="n">
        <x:v>3</x:v>
      </x:c>
      <x:c r="AB354" t="n">
        <x:v>0</x:v>
      </x:c>
      <x:c r="AC354" t="str">
        <x:v>OK</x:v>
      </x:c>
      <x:c r="AD354" t="str">
        <x:v>CHECK</x:v>
      </x:c>
      <x:c r="AE354" t="str">
        <x:v>QUARANTINE</x:v>
      </x:c>
      <x:c r="AF354" t="str">
        <x:v>02_Supervisor_Log(4).xlsx</x:v>
      </x:c>
      <x:c r="AG354" t="str">
        <x:v>ENH-20260830-01</x:v>
      </x:c>
      <x:c r="AH354" t="str">
        <x:v>Active</x:v>
      </x:c>
      <x:c r="AI354"/>
      <x:c r="AJ354"/>
      <x:c r="AK354"/>
      <x:c r="AL354"/>
    </x:row>
    <x:row r="355">
      <x:c r="A355" t="s">
        <x:v>575</x:v>
      </x:c>
      <x:c r="B355" t="s">
        <x:v>130</x:v>
      </x:c>
      <x:c r="C355" t="s">
        <x:v>44</x:v>
      </x:c>
      <x:c r="D355">
        <x:v>45956</x:v>
      </x:c>
      <x:c r="E355" t="s">
        <x:v>45</x:v>
      </x:c>
      <x:c r="F355" t="s">
        <x:v>55</x:v>
      </x:c>
      <x:c r="G355">
        <x:v>22</x:v>
      </x:c>
      <x:c r="H355" t="s">
        <x:v>62</x:v>
      </x:c>
      <x:c r="I355">
        <x:v>13</x:v>
      </x:c>
      <x:c r="J355">
        <x:v>10</x:v>
      </x:c>
      <x:c r="K355">
        <x:v>4</x:v>
      </x:c>
      <x:c r="L355">
        <x:f t="shared" si="35"/>
        <x:v>0</x:v>
      </x:c>
      <x:c r="P355">
        <x:f t="shared" si="36"/>
        <x:v>0</x:v>
      </x:c>
      <x:c r="Q355">
        <x:f t="shared" si="37"/>
        <x:v>0</x:v>
      </x:c>
      <x:c r="R355">
        <x:f t="shared" si="38"/>
        <x:v>0</x:v>
      </x:c>
      <x:c r="S355">
        <x:f t="shared" si="39"/>
        <x:v>0</x:v>
      </x:c>
      <x:c r="T355" t="str">
        <x:f t="shared" si="40"/>
        <x:v>DerivedFromCount</x:v>
      </x:c>
      <x:c r="U355" t="str">
        <x:f>IF(COUNTIF(DailyProduction!$Q$5:$Q$100,B355)=1,"OK","CHECK")</x:f>
        <x:v>OK</x:v>
      </x:c>
      <x:c r="V355" t="str">
        <x:f t="shared" si="41"/>
        <x:v>CHECK</x:v>
      </x:c>
      <x:c r="W355" t="str">
        <x:f>IF(SUMIF($B$5:$B$914,B355,$S$5:$S$914)=SUMIF(DailyProduction!$Q$5:$Q$100,B355,DailyProduction!$R$5:$R$100),"OK","CHECK")</x:f>
        <x:v>CHECK</x:v>
      </x:c>
      <x:c r="X355" t="str">
        <x:v>PLC-PRD-BOT-500-L22</x:v>
      </x:c>
      <x:c r="Y355" t="str">
        <x:v>CHECK</x:v>
      </x:c>
      <x:c r="Z355" t="str">
        <x:v>OK</x:v>
      </x:c>
      <x:c r="AA355" t="n">
        <x:v>3</x:v>
      </x:c>
      <x:c r="AB355" t="n">
        <x:v>0</x:v>
      </x:c>
      <x:c r="AC355" t="str">
        <x:v>OK</x:v>
      </x:c>
      <x:c r="AD355" t="str">
        <x:v>CHECK</x:v>
      </x:c>
      <x:c r="AE355" t="str">
        <x:v>QUARANTINE</x:v>
      </x:c>
      <x:c r="AF355" t="str">
        <x:v>02_Supervisor_Log(4).xlsx</x:v>
      </x:c>
      <x:c r="AG355" t="str">
        <x:v>ENH-20260830-01</x:v>
      </x:c>
      <x:c r="AH355" t="str">
        <x:v>Active</x:v>
      </x:c>
      <x:c r="AI355"/>
      <x:c r="AJ355"/>
      <x:c r="AK355"/>
      <x:c r="AL355"/>
    </x:row>
    <x:row r="356">
      <x:c r="A356" t="s">
        <x:v>576</x:v>
      </x:c>
      <x:c r="B356" t="s">
        <x:v>577</x:v>
      </x:c>
      <x:c r="C356" t="s">
        <x:v>44</x:v>
      </x:c>
      <x:c r="D356">
        <x:v>45956</x:v>
      </x:c>
      <x:c r="E356" t="s">
        <x:v>187</x:v>
      </x:c>
      <x:c r="F356" t="s">
        <x:v>46</x:v>
      </x:c>
      <x:c r="G356">
        <x:v>22</x:v>
      </x:c>
      <x:c r="H356" t="s">
        <x:v>62</x:v>
      </x:c>
      <x:c r="I356">
        <x:v>1</x:v>
      </x:c>
      <x:c r="J356">
        <x:v>10</x:v>
      </x:c>
      <x:c r="K356">
        <x:v>4</x:v>
      </x:c>
      <x:c r="L356">
        <x:f t="shared" si="35"/>
        <x:v>1</x:v>
      </x:c>
      <x:c r="P356">
        <x:f t="shared" si="36"/>
        <x:v>1</x:v>
      </x:c>
      <x:c r="Q356">
        <x:f t="shared" si="37"/>
        <x:v>1</x:v>
      </x:c>
      <x:c r="R356">
        <x:f t="shared" si="38"/>
        <x:v>1</x:v>
      </x:c>
      <x:c r="S356">
        <x:f t="shared" si="39"/>
        <x:v>3</x:v>
      </x:c>
      <x:c r="T356" t="str">
        <x:f t="shared" si="40"/>
        <x:v>DerivedFromCount</x:v>
      </x:c>
      <x:c r="U356" t="str">
        <x:f>IF(COUNTIF(DailyProduction!$Q$5:$Q$100,B356)=1,"OK","CHECK")</x:f>
        <x:v>OK</x:v>
      </x:c>
      <x:c r="V356" t="str">
        <x:f t="shared" si="41"/>
        <x:v>CHECK</x:v>
      </x:c>
      <x:c r="W356" t="str">
        <x:f>IF(SUMIF($B$5:$B$914,B356,$S$5:$S$914)=SUMIF(DailyProduction!$Q$5:$Q$100,B356,DailyProduction!$R$5:$R$100),"OK","CHECK")</x:f>
        <x:v>CHECK</x:v>
      </x:c>
      <x:c r="X356" t="str">
        <x:v>PLC-PRD-BOT-500-L22</x:v>
      </x:c>
      <x:c r="Y356" t="str">
        <x:v>CHECK</x:v>
      </x:c>
      <x:c r="Z356" t="str">
        <x:v>OK</x:v>
      </x:c>
      <x:c r="AA356" t="n">
        <x:v>3</x:v>
      </x:c>
      <x:c r="AB356" t="n">
        <x:v>3</x:v>
      </x:c>
      <x:c r="AC356" t="str">
        <x:v>OK</x:v>
      </x:c>
      <x:c r="AD356" t="str">
        <x:v>CHECK</x:v>
      </x:c>
      <x:c r="AE356" t="str">
        <x:v>QUARANTINE</x:v>
      </x:c>
      <x:c r="AF356" t="str">
        <x:v>02_Supervisor_Log(4).xlsx</x:v>
      </x:c>
      <x:c r="AG356" t="str">
        <x:v>ENH-20260830-01</x:v>
      </x:c>
      <x:c r="AH356" t="str">
        <x:v>Active</x:v>
      </x:c>
      <x:c r="AI356"/>
      <x:c r="AJ356"/>
      <x:c r="AK356"/>
      <x:c r="AL356"/>
    </x:row>
    <x:row r="357">
      <x:c r="A357" t="s">
        <x:v>578</x:v>
      </x:c>
      <x:c r="B357" t="s">
        <x:v>577</x:v>
      </x:c>
      <x:c r="C357" t="s">
        <x:v>44</x:v>
      </x:c>
      <x:c r="D357">
        <x:v>45956</x:v>
      </x:c>
      <x:c r="E357" t="s">
        <x:v>187</x:v>
      </x:c>
      <x:c r="F357" t="s">
        <x:v>46</x:v>
      </x:c>
      <x:c r="G357">
        <x:v>22</x:v>
      </x:c>
      <x:c r="H357" t="s">
        <x:v>62</x:v>
      </x:c>
      <x:c r="I357">
        <x:v>2</x:v>
      </x:c>
      <x:c r="J357">
        <x:v>10</x:v>
      </x:c>
      <x:c r="K357">
        <x:v>4</x:v>
      </x:c>
      <x:c r="L357">
        <x:f t="shared" si="35"/>
        <x:v>1</x:v>
      </x:c>
      <x:c r="P357">
        <x:f t="shared" si="36"/>
        <x:v>1</x:v>
      </x:c>
      <x:c r="Q357">
        <x:f t="shared" si="37"/>
        <x:v>1</x:v>
      </x:c>
      <x:c r="R357">
        <x:f t="shared" si="38"/>
        <x:v>1</x:v>
      </x:c>
      <x:c r="S357">
        <x:f t="shared" si="39"/>
        <x:v>3</x:v>
      </x:c>
      <x:c r="T357" t="str">
        <x:f t="shared" si="40"/>
        <x:v>DerivedFromCount</x:v>
      </x:c>
      <x:c r="U357" t="str">
        <x:f>IF(COUNTIF(DailyProduction!$Q$5:$Q$100,B357)=1,"OK","CHECK")</x:f>
        <x:v>OK</x:v>
      </x:c>
      <x:c r="V357" t="str">
        <x:f t="shared" si="41"/>
        <x:v>CHECK</x:v>
      </x:c>
      <x:c r="W357" t="str">
        <x:f>IF(SUMIF($B$5:$B$914,B357,$S$5:$S$914)=SUMIF(DailyProduction!$Q$5:$Q$100,B357,DailyProduction!$R$5:$R$100),"OK","CHECK")</x:f>
        <x:v>CHECK</x:v>
      </x:c>
      <x:c r="X357" t="str">
        <x:v>PLC-PRD-BOT-500-L22</x:v>
      </x:c>
      <x:c r="Y357" t="str">
        <x:v>CHECK</x:v>
      </x:c>
      <x:c r="Z357" t="str">
        <x:v>OK</x:v>
      </x:c>
      <x:c r="AA357" t="n">
        <x:v>3</x:v>
      </x:c>
      <x:c r="AB357" t="n">
        <x:v>3</x:v>
      </x:c>
      <x:c r="AC357" t="str">
        <x:v>OK</x:v>
      </x:c>
      <x:c r="AD357" t="str">
        <x:v>CHECK</x:v>
      </x:c>
      <x:c r="AE357" t="str">
        <x:v>QUARANTINE</x:v>
      </x:c>
      <x:c r="AF357" t="str">
        <x:v>02_Supervisor_Log(4).xlsx</x:v>
      </x:c>
      <x:c r="AG357" t="str">
        <x:v>ENH-20260830-01</x:v>
      </x:c>
      <x:c r="AH357" t="str">
        <x:v>Active</x:v>
      </x:c>
      <x:c r="AI357"/>
      <x:c r="AJ357"/>
      <x:c r="AK357"/>
      <x:c r="AL357"/>
    </x:row>
    <x:row r="358">
      <x:c r="A358" t="s">
        <x:v>579</x:v>
      </x:c>
      <x:c r="B358" t="s">
        <x:v>577</x:v>
      </x:c>
      <x:c r="C358" t="s">
        <x:v>44</x:v>
      </x:c>
      <x:c r="D358">
        <x:v>45956</x:v>
      </x:c>
      <x:c r="E358" t="s">
        <x:v>187</x:v>
      </x:c>
      <x:c r="F358" t="s">
        <x:v>46</x:v>
      </x:c>
      <x:c r="G358">
        <x:v>22</x:v>
      </x:c>
      <x:c r="H358" t="s">
        <x:v>62</x:v>
      </x:c>
      <x:c r="I358">
        <x:v>3</x:v>
      </x:c>
      <x:c r="J358">
        <x:v>10</x:v>
      </x:c>
      <x:c r="K358">
        <x:v>4</x:v>
      </x:c>
      <x:c r="L358">
        <x:f t="shared" si="35"/>
        <x:v>1</x:v>
      </x:c>
      <x:c r="P358">
        <x:f t="shared" si="36"/>
        <x:v>1</x:v>
      </x:c>
      <x:c r="Q358">
        <x:f t="shared" si="37"/>
        <x:v>1</x:v>
      </x:c>
      <x:c r="R358">
        <x:f t="shared" si="38"/>
        <x:v>1</x:v>
      </x:c>
      <x:c r="S358">
        <x:f t="shared" si="39"/>
        <x:v>3</x:v>
      </x:c>
      <x:c r="T358" t="str">
        <x:f t="shared" si="40"/>
        <x:v>DerivedFromCount</x:v>
      </x:c>
      <x:c r="U358" t="str">
        <x:f>IF(COUNTIF(DailyProduction!$Q$5:$Q$100,B358)=1,"OK","CHECK")</x:f>
        <x:v>OK</x:v>
      </x:c>
      <x:c r="V358" t="str">
        <x:f t="shared" si="41"/>
        <x:v>CHECK</x:v>
      </x:c>
      <x:c r="W358" t="str">
        <x:f>IF(SUMIF($B$5:$B$914,B358,$S$5:$S$914)=SUMIF(DailyProduction!$Q$5:$Q$100,B358,DailyProduction!$R$5:$R$100),"OK","CHECK")</x:f>
        <x:v>CHECK</x:v>
      </x:c>
      <x:c r="X358" t="str">
        <x:v>PLC-PRD-BOT-500-L22</x:v>
      </x:c>
      <x:c r="Y358" t="str">
        <x:v>CHECK</x:v>
      </x:c>
      <x:c r="Z358" t="str">
        <x:v>OK</x:v>
      </x:c>
      <x:c r="AA358" t="n">
        <x:v>3</x:v>
      </x:c>
      <x:c r="AB358" t="n">
        <x:v>3</x:v>
      </x:c>
      <x:c r="AC358" t="str">
        <x:v>OK</x:v>
      </x:c>
      <x:c r="AD358" t="str">
        <x:v>CHECK</x:v>
      </x:c>
      <x:c r="AE358" t="str">
        <x:v>QUARANTINE</x:v>
      </x:c>
      <x:c r="AF358" t="str">
        <x:v>02_Supervisor_Log(4).xlsx</x:v>
      </x:c>
      <x:c r="AG358" t="str">
        <x:v>ENH-20260830-01</x:v>
      </x:c>
      <x:c r="AH358" t="str">
        <x:v>Active</x:v>
      </x:c>
      <x:c r="AI358"/>
      <x:c r="AJ358"/>
      <x:c r="AK358"/>
      <x:c r="AL358"/>
    </x:row>
    <x:row r="359">
      <x:c r="A359" t="s">
        <x:v>580</x:v>
      </x:c>
      <x:c r="B359" t="s">
        <x:v>577</x:v>
      </x:c>
      <x:c r="C359" t="s">
        <x:v>44</x:v>
      </x:c>
      <x:c r="D359">
        <x:v>45956</x:v>
      </x:c>
      <x:c r="E359" t="s">
        <x:v>187</x:v>
      </x:c>
      <x:c r="F359" t="s">
        <x:v>46</x:v>
      </x:c>
      <x:c r="G359">
        <x:v>22</x:v>
      </x:c>
      <x:c r="H359" t="s">
        <x:v>62</x:v>
      </x:c>
      <x:c r="I359">
        <x:v>4</x:v>
      </x:c>
      <x:c r="J359">
        <x:v>10</x:v>
      </x:c>
      <x:c r="K359">
        <x:v>4</x:v>
      </x:c>
      <x:c r="L359">
        <x:f t="shared" si="35"/>
        <x:v>1</x:v>
      </x:c>
      <x:c r="P359">
        <x:f t="shared" si="36"/>
        <x:v>1</x:v>
      </x:c>
      <x:c r="Q359">
        <x:f t="shared" si="37"/>
        <x:v>1</x:v>
      </x:c>
      <x:c r="R359">
        <x:f t="shared" si="38"/>
        <x:v>1</x:v>
      </x:c>
      <x:c r="S359">
        <x:f t="shared" si="39"/>
        <x:v>3</x:v>
      </x:c>
      <x:c r="T359" t="str">
        <x:f t="shared" si="40"/>
        <x:v>DerivedFromCount</x:v>
      </x:c>
      <x:c r="U359" t="str">
        <x:f>IF(COUNTIF(DailyProduction!$Q$5:$Q$100,B359)=1,"OK","CHECK")</x:f>
        <x:v>OK</x:v>
      </x:c>
      <x:c r="V359" t="str">
        <x:f t="shared" si="41"/>
        <x:v>CHECK</x:v>
      </x:c>
      <x:c r="W359" t="str">
        <x:f>IF(SUMIF($B$5:$B$914,B359,$S$5:$S$914)=SUMIF(DailyProduction!$Q$5:$Q$100,B359,DailyProduction!$R$5:$R$100),"OK","CHECK")</x:f>
        <x:v>CHECK</x:v>
      </x:c>
      <x:c r="X359" t="str">
        <x:v>PLC-PRD-BOT-500-L22</x:v>
      </x:c>
      <x:c r="Y359" t="str">
        <x:v>CHECK</x:v>
      </x:c>
      <x:c r="Z359" t="str">
        <x:v>OK</x:v>
      </x:c>
      <x:c r="AA359" t="n">
        <x:v>3</x:v>
      </x:c>
      <x:c r="AB359" t="n">
        <x:v>3</x:v>
      </x:c>
      <x:c r="AC359" t="str">
        <x:v>OK</x:v>
      </x:c>
      <x:c r="AD359" t="str">
        <x:v>CHECK</x:v>
      </x:c>
      <x:c r="AE359" t="str">
        <x:v>QUARANTINE</x:v>
      </x:c>
      <x:c r="AF359" t="str">
        <x:v>02_Supervisor_Log(4).xlsx</x:v>
      </x:c>
      <x:c r="AG359" t="str">
        <x:v>ENH-20260830-01</x:v>
      </x:c>
      <x:c r="AH359" t="str">
        <x:v>Active</x:v>
      </x:c>
      <x:c r="AI359"/>
      <x:c r="AJ359"/>
      <x:c r="AK359"/>
      <x:c r="AL359"/>
    </x:row>
    <x:row r="360">
      <x:c r="A360" t="s">
        <x:v>581</x:v>
      </x:c>
      <x:c r="B360" t="s">
        <x:v>577</x:v>
      </x:c>
      <x:c r="C360" t="s">
        <x:v>44</x:v>
      </x:c>
      <x:c r="D360">
        <x:v>45956</x:v>
      </x:c>
      <x:c r="E360" t="s">
        <x:v>187</x:v>
      </x:c>
      <x:c r="F360" t="s">
        <x:v>46</x:v>
      </x:c>
      <x:c r="G360">
        <x:v>22</x:v>
      </x:c>
      <x:c r="H360" t="s">
        <x:v>62</x:v>
      </x:c>
      <x:c r="I360">
        <x:v>5</x:v>
      </x:c>
      <x:c r="J360">
        <x:v>10</x:v>
      </x:c>
      <x:c r="K360">
        <x:v>4</x:v>
      </x:c>
      <x:c r="L360">
        <x:f t="shared" si="35"/>
        <x:v>1</x:v>
      </x:c>
      <x:c r="P360">
        <x:f t="shared" si="36"/>
        <x:v>1</x:v>
      </x:c>
      <x:c r="Q360">
        <x:f t="shared" si="37"/>
        <x:v>1</x:v>
      </x:c>
      <x:c r="R360">
        <x:f t="shared" si="38"/>
        <x:v>1</x:v>
      </x:c>
      <x:c r="S360">
        <x:f t="shared" si="39"/>
        <x:v>3</x:v>
      </x:c>
      <x:c r="T360" t="str">
        <x:f t="shared" si="40"/>
        <x:v>DerivedFromCount</x:v>
      </x:c>
      <x:c r="U360" t="str">
        <x:f>IF(COUNTIF(DailyProduction!$Q$5:$Q$100,B360)=1,"OK","CHECK")</x:f>
        <x:v>OK</x:v>
      </x:c>
      <x:c r="V360" t="str">
        <x:f t="shared" si="41"/>
        <x:v>CHECK</x:v>
      </x:c>
      <x:c r="W360" t="str">
        <x:f>IF(SUMIF($B$5:$B$914,B360,$S$5:$S$914)=SUMIF(DailyProduction!$Q$5:$Q$100,B360,DailyProduction!$R$5:$R$100),"OK","CHECK")</x:f>
        <x:v>CHECK</x:v>
      </x:c>
      <x:c r="X360" t="str">
        <x:v>PLC-PRD-BOT-500-L22</x:v>
      </x:c>
      <x:c r="Y360" t="str">
        <x:v>CHECK</x:v>
      </x:c>
      <x:c r="Z360" t="str">
        <x:v>OK</x:v>
      </x:c>
      <x:c r="AA360" t="n">
        <x:v>3</x:v>
      </x:c>
      <x:c r="AB360" t="n">
        <x:v>3</x:v>
      </x:c>
      <x:c r="AC360" t="str">
        <x:v>OK</x:v>
      </x:c>
      <x:c r="AD360" t="str">
        <x:v>CHECK</x:v>
      </x:c>
      <x:c r="AE360" t="str">
        <x:v>QUARANTINE</x:v>
      </x:c>
      <x:c r="AF360" t="str">
        <x:v>02_Supervisor_Log(4).xlsx</x:v>
      </x:c>
      <x:c r="AG360" t="str">
        <x:v>ENH-20260830-01</x:v>
      </x:c>
      <x:c r="AH360" t="str">
        <x:v>Active</x:v>
      </x:c>
      <x:c r="AI360"/>
      <x:c r="AJ360"/>
      <x:c r="AK360"/>
      <x:c r="AL360"/>
    </x:row>
    <x:row r="361">
      <x:c r="A361" t="s">
        <x:v>582</x:v>
      </x:c>
      <x:c r="B361" t="s">
        <x:v>577</x:v>
      </x:c>
      <x:c r="C361" t="s">
        <x:v>44</x:v>
      </x:c>
      <x:c r="D361">
        <x:v>45956</x:v>
      </x:c>
      <x:c r="E361" t="s">
        <x:v>187</x:v>
      </x:c>
      <x:c r="F361" t="s">
        <x:v>46</x:v>
      </x:c>
      <x:c r="G361">
        <x:v>22</x:v>
      </x:c>
      <x:c r="H361" t="s">
        <x:v>62</x:v>
      </x:c>
      <x:c r="I361">
        <x:v>6</x:v>
      </x:c>
      <x:c r="J361">
        <x:v>10</x:v>
      </x:c>
      <x:c r="K361">
        <x:v>4</x:v>
      </x:c>
      <x:c r="L361">
        <x:f t="shared" si="35"/>
        <x:v>1</x:v>
      </x:c>
      <x:c r="P361">
        <x:f t="shared" si="36"/>
        <x:v>1</x:v>
      </x:c>
      <x:c r="Q361">
        <x:f t="shared" si="37"/>
        <x:v>1</x:v>
      </x:c>
      <x:c r="R361">
        <x:f t="shared" si="38"/>
        <x:v>1</x:v>
      </x:c>
      <x:c r="S361">
        <x:f t="shared" si="39"/>
        <x:v>3</x:v>
      </x:c>
      <x:c r="T361" t="str">
        <x:f t="shared" si="40"/>
        <x:v>DerivedFromCount</x:v>
      </x:c>
      <x:c r="U361" t="str">
        <x:f>IF(COUNTIF(DailyProduction!$Q$5:$Q$100,B361)=1,"OK","CHECK")</x:f>
        <x:v>OK</x:v>
      </x:c>
      <x:c r="V361" t="str">
        <x:f t="shared" si="41"/>
        <x:v>CHECK</x:v>
      </x:c>
      <x:c r="W361" t="str">
        <x:f>IF(SUMIF($B$5:$B$914,B361,$S$5:$S$914)=SUMIF(DailyProduction!$Q$5:$Q$100,B361,DailyProduction!$R$5:$R$100),"OK","CHECK")</x:f>
        <x:v>CHECK</x:v>
      </x:c>
      <x:c r="X361" t="str">
        <x:v>PLC-PRD-BOT-500-L22</x:v>
      </x:c>
      <x:c r="Y361" t="str">
        <x:v>CHECK</x:v>
      </x:c>
      <x:c r="Z361" t="str">
        <x:v>OK</x:v>
      </x:c>
      <x:c r="AA361" t="n">
        <x:v>3</x:v>
      </x:c>
      <x:c r="AB361" t="n">
        <x:v>3</x:v>
      </x:c>
      <x:c r="AC361" t="str">
        <x:v>OK</x:v>
      </x:c>
      <x:c r="AD361" t="str">
        <x:v>CHECK</x:v>
      </x:c>
      <x:c r="AE361" t="str">
        <x:v>QUARANTINE</x:v>
      </x:c>
      <x:c r="AF361" t="str">
        <x:v>02_Supervisor_Log(4).xlsx</x:v>
      </x:c>
      <x:c r="AG361" t="str">
        <x:v>ENH-20260830-01</x:v>
      </x:c>
      <x:c r="AH361" t="str">
        <x:v>Active</x:v>
      </x:c>
      <x:c r="AI361"/>
      <x:c r="AJ361"/>
      <x:c r="AK361"/>
      <x:c r="AL361"/>
    </x:row>
    <x:row r="362">
      <x:c r="A362" t="s">
        <x:v>583</x:v>
      </x:c>
      <x:c r="B362" t="s">
        <x:v>577</x:v>
      </x:c>
      <x:c r="C362" t="s">
        <x:v>44</x:v>
      </x:c>
      <x:c r="D362">
        <x:v>45956</x:v>
      </x:c>
      <x:c r="E362" t="s">
        <x:v>187</x:v>
      </x:c>
      <x:c r="F362" t="s">
        <x:v>46</x:v>
      </x:c>
      <x:c r="G362">
        <x:v>22</x:v>
      </x:c>
      <x:c r="H362" t="s">
        <x:v>62</x:v>
      </x:c>
      <x:c r="I362">
        <x:v>7</x:v>
      </x:c>
      <x:c r="J362">
        <x:v>10</x:v>
      </x:c>
      <x:c r="K362">
        <x:v>4</x:v>
      </x:c>
      <x:c r="L362">
        <x:f t="shared" si="35"/>
        <x:v>1</x:v>
      </x:c>
      <x:c r="P362">
        <x:f t="shared" si="36"/>
        <x:v>1</x:v>
      </x:c>
      <x:c r="Q362">
        <x:f t="shared" si="37"/>
        <x:v>1</x:v>
      </x:c>
      <x:c r="R362">
        <x:f t="shared" si="38"/>
        <x:v>1</x:v>
      </x:c>
      <x:c r="S362">
        <x:f t="shared" si="39"/>
        <x:v>3</x:v>
      </x:c>
      <x:c r="T362" t="str">
        <x:f t="shared" si="40"/>
        <x:v>DerivedFromCount</x:v>
      </x:c>
      <x:c r="U362" t="str">
        <x:f>IF(COUNTIF(DailyProduction!$Q$5:$Q$100,B362)=1,"OK","CHECK")</x:f>
        <x:v>OK</x:v>
      </x:c>
      <x:c r="V362" t="str">
        <x:f t="shared" si="41"/>
        <x:v>CHECK</x:v>
      </x:c>
      <x:c r="W362" t="str">
        <x:f>IF(SUMIF($B$5:$B$914,B362,$S$5:$S$914)=SUMIF(DailyProduction!$Q$5:$Q$100,B362,DailyProduction!$R$5:$R$100),"OK","CHECK")</x:f>
        <x:v>CHECK</x:v>
      </x:c>
      <x:c r="X362" t="str">
        <x:v>PLC-PRD-BOT-500-L22</x:v>
      </x:c>
      <x:c r="Y362" t="str">
        <x:v>CHECK</x:v>
      </x:c>
      <x:c r="Z362" t="str">
        <x:v>OK</x:v>
      </x:c>
      <x:c r="AA362" t="n">
        <x:v>3</x:v>
      </x:c>
      <x:c r="AB362" t="n">
        <x:v>3</x:v>
      </x:c>
      <x:c r="AC362" t="str">
        <x:v>OK</x:v>
      </x:c>
      <x:c r="AD362" t="str">
        <x:v>CHECK</x:v>
      </x:c>
      <x:c r="AE362" t="str">
        <x:v>QUARANTINE</x:v>
      </x:c>
      <x:c r="AF362" t="str">
        <x:v>02_Supervisor_Log(4).xlsx</x:v>
      </x:c>
      <x:c r="AG362" t="str">
        <x:v>ENH-20260830-01</x:v>
      </x:c>
      <x:c r="AH362" t="str">
        <x:v>Active</x:v>
      </x:c>
      <x:c r="AI362"/>
      <x:c r="AJ362"/>
      <x:c r="AK362"/>
      <x:c r="AL362"/>
    </x:row>
    <x:row r="363">
      <x:c r="A363" t="s">
        <x:v>584</x:v>
      </x:c>
      <x:c r="B363" t="s">
        <x:v>577</x:v>
      </x:c>
      <x:c r="C363" t="s">
        <x:v>44</x:v>
      </x:c>
      <x:c r="D363">
        <x:v>45956</x:v>
      </x:c>
      <x:c r="E363" t="s">
        <x:v>187</x:v>
      </x:c>
      <x:c r="F363" t="s">
        <x:v>46</x:v>
      </x:c>
      <x:c r="G363">
        <x:v>22</x:v>
      </x:c>
      <x:c r="H363" t="s">
        <x:v>62</x:v>
      </x:c>
      <x:c r="I363">
        <x:v>8</x:v>
      </x:c>
      <x:c r="J363">
        <x:v>10</x:v>
      </x:c>
      <x:c r="K363">
        <x:v>4</x:v>
      </x:c>
      <x:c r="L363">
        <x:f t="shared" si="35"/>
        <x:v>1</x:v>
      </x:c>
      <x:c r="P363">
        <x:f t="shared" si="36"/>
        <x:v>1</x:v>
      </x:c>
      <x:c r="Q363">
        <x:f t="shared" si="37"/>
        <x:v>1</x:v>
      </x:c>
      <x:c r="R363">
        <x:f t="shared" si="38"/>
        <x:v>1</x:v>
      </x:c>
      <x:c r="S363">
        <x:f t="shared" si="39"/>
        <x:v>3</x:v>
      </x:c>
      <x:c r="T363" t="str">
        <x:f t="shared" si="40"/>
        <x:v>DerivedFromCount</x:v>
      </x:c>
      <x:c r="U363" t="str">
        <x:f>IF(COUNTIF(DailyProduction!$Q$5:$Q$100,B363)=1,"OK","CHECK")</x:f>
        <x:v>OK</x:v>
      </x:c>
      <x:c r="V363" t="str">
        <x:f t="shared" si="41"/>
        <x:v>CHECK</x:v>
      </x:c>
      <x:c r="W363" t="str">
        <x:f>IF(SUMIF($B$5:$B$914,B363,$S$5:$S$914)=SUMIF(DailyProduction!$Q$5:$Q$100,B363,DailyProduction!$R$5:$R$100),"OK","CHECK")</x:f>
        <x:v>CHECK</x:v>
      </x:c>
      <x:c r="X363" t="str">
        <x:v>PLC-PRD-BOT-500-L22</x:v>
      </x:c>
      <x:c r="Y363" t="str">
        <x:v>CHECK</x:v>
      </x:c>
      <x:c r="Z363" t="str">
        <x:v>OK</x:v>
      </x:c>
      <x:c r="AA363" t="n">
        <x:v>3</x:v>
      </x:c>
      <x:c r="AB363" t="n">
        <x:v>3</x:v>
      </x:c>
      <x:c r="AC363" t="str">
        <x:v>OK</x:v>
      </x:c>
      <x:c r="AD363" t="str">
        <x:v>CHECK</x:v>
      </x:c>
      <x:c r="AE363" t="str">
        <x:v>QUARANTINE</x:v>
      </x:c>
      <x:c r="AF363" t="str">
        <x:v>02_Supervisor_Log(4).xlsx</x:v>
      </x:c>
      <x:c r="AG363" t="str">
        <x:v>ENH-20260830-01</x:v>
      </x:c>
      <x:c r="AH363" t="str">
        <x:v>Active</x:v>
      </x:c>
      <x:c r="AI363"/>
      <x:c r="AJ363"/>
      <x:c r="AK363"/>
      <x:c r="AL363"/>
    </x:row>
    <x:row r="364">
      <x:c r="A364" t="s">
        <x:v>585</x:v>
      </x:c>
      <x:c r="B364" t="s">
        <x:v>577</x:v>
      </x:c>
      <x:c r="C364" t="s">
        <x:v>44</x:v>
      </x:c>
      <x:c r="D364">
        <x:v>45956</x:v>
      </x:c>
      <x:c r="E364" t="s">
        <x:v>187</x:v>
      </x:c>
      <x:c r="F364" t="s">
        <x:v>46</x:v>
      </x:c>
      <x:c r="G364">
        <x:v>22</x:v>
      </x:c>
      <x:c r="H364" t="s">
        <x:v>62</x:v>
      </x:c>
      <x:c r="I364">
        <x:v>9</x:v>
      </x:c>
      <x:c r="J364">
        <x:v>10</x:v>
      </x:c>
      <x:c r="K364">
        <x:v>4</x:v>
      </x:c>
      <x:c r="L364">
        <x:f t="shared" si="35"/>
        <x:v>1</x:v>
      </x:c>
      <x:c r="P364">
        <x:f t="shared" si="36"/>
        <x:v>1</x:v>
      </x:c>
      <x:c r="Q364">
        <x:f t="shared" si="37"/>
        <x:v>1</x:v>
      </x:c>
      <x:c r="R364">
        <x:f t="shared" si="38"/>
        <x:v>1</x:v>
      </x:c>
      <x:c r="S364">
        <x:f t="shared" si="39"/>
        <x:v>3</x:v>
      </x:c>
      <x:c r="T364" t="str">
        <x:f t="shared" si="40"/>
        <x:v>DerivedFromCount</x:v>
      </x:c>
      <x:c r="U364" t="str">
        <x:f>IF(COUNTIF(DailyProduction!$Q$5:$Q$100,B364)=1,"OK","CHECK")</x:f>
        <x:v>OK</x:v>
      </x:c>
      <x:c r="V364" t="str">
        <x:f t="shared" si="41"/>
        <x:v>CHECK</x:v>
      </x:c>
      <x:c r="W364" t="str">
        <x:f>IF(SUMIF($B$5:$B$914,B364,$S$5:$S$914)=SUMIF(DailyProduction!$Q$5:$Q$100,B364,DailyProduction!$R$5:$R$100),"OK","CHECK")</x:f>
        <x:v>CHECK</x:v>
      </x:c>
      <x:c r="X364" t="str">
        <x:v>PLC-PRD-BOT-500-L22</x:v>
      </x:c>
      <x:c r="Y364" t="str">
        <x:v>CHECK</x:v>
      </x:c>
      <x:c r="Z364" t="str">
        <x:v>OK</x:v>
      </x:c>
      <x:c r="AA364" t="n">
        <x:v>3</x:v>
      </x:c>
      <x:c r="AB364" t="n">
        <x:v>3</x:v>
      </x:c>
      <x:c r="AC364" t="str">
        <x:v>OK</x:v>
      </x:c>
      <x:c r="AD364" t="str">
        <x:v>CHECK</x:v>
      </x:c>
      <x:c r="AE364" t="str">
        <x:v>QUARANTINE</x:v>
      </x:c>
      <x:c r="AF364" t="str">
        <x:v>02_Supervisor_Log(4).xlsx</x:v>
      </x:c>
      <x:c r="AG364" t="str">
        <x:v>ENH-20260830-01</x:v>
      </x:c>
      <x:c r="AH364" t="str">
        <x:v>Active</x:v>
      </x:c>
      <x:c r="AI364"/>
      <x:c r="AJ364"/>
      <x:c r="AK364"/>
      <x:c r="AL364"/>
    </x:row>
    <x:row r="365">
      <x:c r="A365" t="s">
        <x:v>586</x:v>
      </x:c>
      <x:c r="B365" t="s">
        <x:v>577</x:v>
      </x:c>
      <x:c r="C365" t="s">
        <x:v>44</x:v>
      </x:c>
      <x:c r="D365">
        <x:v>45956</x:v>
      </x:c>
      <x:c r="E365" t="s">
        <x:v>187</x:v>
      </x:c>
      <x:c r="F365" t="s">
        <x:v>46</x:v>
      </x:c>
      <x:c r="G365">
        <x:v>22</x:v>
      </x:c>
      <x:c r="H365" t="s">
        <x:v>62</x:v>
      </x:c>
      <x:c r="I365">
        <x:v>10</x:v>
      </x:c>
      <x:c r="J365">
        <x:v>10</x:v>
      </x:c>
      <x:c r="K365">
        <x:v>4</x:v>
      </x:c>
      <x:c r="L365">
        <x:f t="shared" si="35"/>
        <x:v>1</x:v>
      </x:c>
      <x:c r="P365">
        <x:f t="shared" si="36"/>
        <x:v>1</x:v>
      </x:c>
      <x:c r="Q365">
        <x:f t="shared" si="37"/>
        <x:v>1</x:v>
      </x:c>
      <x:c r="R365">
        <x:f t="shared" si="38"/>
        <x:v>1</x:v>
      </x:c>
      <x:c r="S365">
        <x:f t="shared" si="39"/>
        <x:v>3</x:v>
      </x:c>
      <x:c r="T365" t="str">
        <x:f t="shared" si="40"/>
        <x:v>DerivedFromCount</x:v>
      </x:c>
      <x:c r="U365" t="str">
        <x:f>IF(COUNTIF(DailyProduction!$Q$5:$Q$100,B365)=1,"OK","CHECK")</x:f>
        <x:v>OK</x:v>
      </x:c>
      <x:c r="V365" t="str">
        <x:f t="shared" si="41"/>
        <x:v>CHECK</x:v>
      </x:c>
      <x:c r="W365" t="str">
        <x:f>IF(SUMIF($B$5:$B$914,B365,$S$5:$S$914)=SUMIF(DailyProduction!$Q$5:$Q$100,B365,DailyProduction!$R$5:$R$100),"OK","CHECK")</x:f>
        <x:v>CHECK</x:v>
      </x:c>
      <x:c r="X365" t="str">
        <x:v>PLC-PRD-BOT-500-L22</x:v>
      </x:c>
      <x:c r="Y365" t="str">
        <x:v>CHECK</x:v>
      </x:c>
      <x:c r="Z365" t="str">
        <x:v>OK</x:v>
      </x:c>
      <x:c r="AA365" t="n">
        <x:v>3</x:v>
      </x:c>
      <x:c r="AB365" t="n">
        <x:v>3</x:v>
      </x:c>
      <x:c r="AC365" t="str">
        <x:v>OK</x:v>
      </x:c>
      <x:c r="AD365" t="str">
        <x:v>CHECK</x:v>
      </x:c>
      <x:c r="AE365" t="str">
        <x:v>QUARANTINE</x:v>
      </x:c>
      <x:c r="AF365" t="str">
        <x:v>02_Supervisor_Log(4).xlsx</x:v>
      </x:c>
      <x:c r="AG365" t="str">
        <x:v>ENH-20260830-01</x:v>
      </x:c>
      <x:c r="AH365" t="str">
        <x:v>Active</x:v>
      </x:c>
      <x:c r="AI365"/>
      <x:c r="AJ365"/>
      <x:c r="AK365"/>
      <x:c r="AL365"/>
    </x:row>
    <x:row r="366">
      <x:c r="A366" t="s">
        <x:v>587</x:v>
      </x:c>
      <x:c r="B366" t="s">
        <x:v>577</x:v>
      </x:c>
      <x:c r="C366" t="s">
        <x:v>44</x:v>
      </x:c>
      <x:c r="D366">
        <x:v>45956</x:v>
      </x:c>
      <x:c r="E366" t="s">
        <x:v>187</x:v>
      </x:c>
      <x:c r="F366" t="s">
        <x:v>46</x:v>
      </x:c>
      <x:c r="G366">
        <x:v>22</x:v>
      </x:c>
      <x:c r="H366" t="s">
        <x:v>62</x:v>
      </x:c>
      <x:c r="I366">
        <x:v>11</x:v>
      </x:c>
      <x:c r="J366">
        <x:v>10</x:v>
      </x:c>
      <x:c r="K366">
        <x:v>4</x:v>
      </x:c>
      <x:c r="L366">
        <x:f t="shared" si="35"/>
        <x:v>0</x:v>
      </x:c>
      <x:c r="P366">
        <x:f t="shared" si="36"/>
        <x:v>0</x:v>
      </x:c>
      <x:c r="Q366">
        <x:f t="shared" si="37"/>
        <x:v>0</x:v>
      </x:c>
      <x:c r="R366">
        <x:f t="shared" si="38"/>
        <x:v>0</x:v>
      </x:c>
      <x:c r="S366">
        <x:f t="shared" si="39"/>
        <x:v>0</x:v>
      </x:c>
      <x:c r="T366" t="str">
        <x:f t="shared" si="40"/>
        <x:v>DerivedFromCount</x:v>
      </x:c>
      <x:c r="U366" t="str">
        <x:f>IF(COUNTIF(DailyProduction!$Q$5:$Q$100,B366)=1,"OK","CHECK")</x:f>
        <x:v>OK</x:v>
      </x:c>
      <x:c r="V366" t="str">
        <x:f t="shared" si="41"/>
        <x:v>CHECK</x:v>
      </x:c>
      <x:c r="W366" t="str">
        <x:f>IF(SUMIF($B$5:$B$914,B366,$S$5:$S$914)=SUMIF(DailyProduction!$Q$5:$Q$100,B366,DailyProduction!$R$5:$R$100),"OK","CHECK")</x:f>
        <x:v>CHECK</x:v>
      </x:c>
      <x:c r="X366" t="str">
        <x:v>PLC-PRD-BOT-500-L22</x:v>
      </x:c>
      <x:c r="Y366" t="str">
        <x:v>CHECK</x:v>
      </x:c>
      <x:c r="Z366" t="str">
        <x:v>OK</x:v>
      </x:c>
      <x:c r="AA366" t="n">
        <x:v>3</x:v>
      </x:c>
      <x:c r="AB366" t="n">
        <x:v>0</x:v>
      </x:c>
      <x:c r="AC366" t="str">
        <x:v>OK</x:v>
      </x:c>
      <x:c r="AD366" t="str">
        <x:v>CHECK</x:v>
      </x:c>
      <x:c r="AE366" t="str">
        <x:v>QUARANTINE</x:v>
      </x:c>
      <x:c r="AF366" t="str">
        <x:v>02_Supervisor_Log(4).xlsx</x:v>
      </x:c>
      <x:c r="AG366" t="str">
        <x:v>ENH-20260830-01</x:v>
      </x:c>
      <x:c r="AH366" t="str">
        <x:v>Active</x:v>
      </x:c>
      <x:c r="AI366"/>
      <x:c r="AJ366"/>
      <x:c r="AK366"/>
      <x:c r="AL366"/>
    </x:row>
    <x:row r="367">
      <x:c r="A367" t="s">
        <x:v>588</x:v>
      </x:c>
      <x:c r="B367" t="s">
        <x:v>577</x:v>
      </x:c>
      <x:c r="C367" t="s">
        <x:v>44</x:v>
      </x:c>
      <x:c r="D367">
        <x:v>45956</x:v>
      </x:c>
      <x:c r="E367" t="s">
        <x:v>187</x:v>
      </x:c>
      <x:c r="F367" t="s">
        <x:v>46</x:v>
      </x:c>
      <x:c r="G367">
        <x:v>22</x:v>
      </x:c>
      <x:c r="H367" t="s">
        <x:v>62</x:v>
      </x:c>
      <x:c r="I367">
        <x:v>12</x:v>
      </x:c>
      <x:c r="J367">
        <x:v>10</x:v>
      </x:c>
      <x:c r="K367">
        <x:v>4</x:v>
      </x:c>
      <x:c r="L367">
        <x:f t="shared" si="35"/>
        <x:v>0</x:v>
      </x:c>
      <x:c r="P367">
        <x:f t="shared" si="36"/>
        <x:v>0</x:v>
      </x:c>
      <x:c r="Q367">
        <x:f t="shared" si="37"/>
        <x:v>0</x:v>
      </x:c>
      <x:c r="R367">
        <x:f t="shared" si="38"/>
        <x:v>0</x:v>
      </x:c>
      <x:c r="S367">
        <x:f t="shared" si="39"/>
        <x:v>0</x:v>
      </x:c>
      <x:c r="T367" t="str">
        <x:f t="shared" si="40"/>
        <x:v>DerivedFromCount</x:v>
      </x:c>
      <x:c r="U367" t="str">
        <x:f>IF(COUNTIF(DailyProduction!$Q$5:$Q$100,B367)=1,"OK","CHECK")</x:f>
        <x:v>OK</x:v>
      </x:c>
      <x:c r="V367" t="str">
        <x:f t="shared" si="41"/>
        <x:v>CHECK</x:v>
      </x:c>
      <x:c r="W367" t="str">
        <x:f>IF(SUMIF($B$5:$B$914,B367,$S$5:$S$914)=SUMIF(DailyProduction!$Q$5:$Q$100,B367,DailyProduction!$R$5:$R$100),"OK","CHECK")</x:f>
        <x:v>CHECK</x:v>
      </x:c>
      <x:c r="X367" t="str">
        <x:v>PLC-PRD-BOT-500-L22</x:v>
      </x:c>
      <x:c r="Y367" t="str">
        <x:v>CHECK</x:v>
      </x:c>
      <x:c r="Z367" t="str">
        <x:v>OK</x:v>
      </x:c>
      <x:c r="AA367" t="n">
        <x:v>3</x:v>
      </x:c>
      <x:c r="AB367" t="n">
        <x:v>0</x:v>
      </x:c>
      <x:c r="AC367" t="str">
        <x:v>OK</x:v>
      </x:c>
      <x:c r="AD367" t="str">
        <x:v>CHECK</x:v>
      </x:c>
      <x:c r="AE367" t="str">
        <x:v>QUARANTINE</x:v>
      </x:c>
      <x:c r="AF367" t="str">
        <x:v>02_Supervisor_Log(4).xlsx</x:v>
      </x:c>
      <x:c r="AG367" t="str">
        <x:v>ENH-20260830-01</x:v>
      </x:c>
      <x:c r="AH367" t="str">
        <x:v>Active</x:v>
      </x:c>
      <x:c r="AI367"/>
      <x:c r="AJ367"/>
      <x:c r="AK367"/>
      <x:c r="AL367"/>
    </x:row>
    <x:row r="368">
      <x:c r="A368" t="s">
        <x:v>589</x:v>
      </x:c>
      <x:c r="B368" t="s">
        <x:v>577</x:v>
      </x:c>
      <x:c r="C368" t="s">
        <x:v>44</x:v>
      </x:c>
      <x:c r="D368">
        <x:v>45956</x:v>
      </x:c>
      <x:c r="E368" t="s">
        <x:v>187</x:v>
      </x:c>
      <x:c r="F368" t="s">
        <x:v>46</x:v>
      </x:c>
      <x:c r="G368">
        <x:v>22</x:v>
      </x:c>
      <x:c r="H368" t="s">
        <x:v>62</x:v>
      </x:c>
      <x:c r="I368">
        <x:v>13</x:v>
      </x:c>
      <x:c r="J368">
        <x:v>10</x:v>
      </x:c>
      <x:c r="K368">
        <x:v>4</x:v>
      </x:c>
      <x:c r="L368">
        <x:f t="shared" si="35"/>
        <x:v>0</x:v>
      </x:c>
      <x:c r="P368">
        <x:f t="shared" si="36"/>
        <x:v>0</x:v>
      </x:c>
      <x:c r="Q368">
        <x:f t="shared" si="37"/>
        <x:v>0</x:v>
      </x:c>
      <x:c r="R368">
        <x:f t="shared" si="38"/>
        <x:v>0</x:v>
      </x:c>
      <x:c r="S368">
        <x:f t="shared" si="39"/>
        <x:v>0</x:v>
      </x:c>
      <x:c r="T368" t="str">
        <x:f t="shared" si="40"/>
        <x:v>DerivedFromCount</x:v>
      </x:c>
      <x:c r="U368" t="str">
        <x:f>IF(COUNTIF(DailyProduction!$Q$5:$Q$100,B368)=1,"OK","CHECK")</x:f>
        <x:v>OK</x:v>
      </x:c>
      <x:c r="V368" t="str">
        <x:f t="shared" si="41"/>
        <x:v>CHECK</x:v>
      </x:c>
      <x:c r="W368" t="str">
        <x:f>IF(SUMIF($B$5:$B$914,B368,$S$5:$S$914)=SUMIF(DailyProduction!$Q$5:$Q$100,B368,DailyProduction!$R$5:$R$100),"OK","CHECK")</x:f>
        <x:v>CHECK</x:v>
      </x:c>
      <x:c r="X368" t="str">
        <x:v>PLC-PRD-BOT-500-L22</x:v>
      </x:c>
      <x:c r="Y368" t="str">
        <x:v>CHECK</x:v>
      </x:c>
      <x:c r="Z368" t="str">
        <x:v>OK</x:v>
      </x:c>
      <x:c r="AA368" t="n">
        <x:v>3</x:v>
      </x:c>
      <x:c r="AB368" t="n">
        <x:v>0</x:v>
      </x:c>
      <x:c r="AC368" t="str">
        <x:v>OK</x:v>
      </x:c>
      <x:c r="AD368" t="str">
        <x:v>CHECK</x:v>
      </x:c>
      <x:c r="AE368" t="str">
        <x:v>QUARANTINE</x:v>
      </x:c>
      <x:c r="AF368" t="str">
        <x:v>02_Supervisor_Log(4).xlsx</x:v>
      </x:c>
      <x:c r="AG368" t="str">
        <x:v>ENH-20260830-01</x:v>
      </x:c>
      <x:c r="AH368" t="str">
        <x:v>Active</x:v>
      </x:c>
      <x:c r="AI368"/>
      <x:c r="AJ368"/>
      <x:c r="AK368"/>
      <x:c r="AL368"/>
    </x:row>
    <x:row r="369">
      <x:c r="A369" t="s">
        <x:v>590</x:v>
      </x:c>
      <x:c r="B369" t="s">
        <x:v>591</x:v>
      </x:c>
      <x:c r="C369" t="s">
        <x:v>44</x:v>
      </x:c>
      <x:c r="D369">
        <x:v>45950</x:v>
      </x:c>
      <x:c r="E369" t="s">
        <x:v>45</x:v>
      </x:c>
      <x:c r="F369" t="s">
        <x:v>55</x:v>
      </x:c>
      <x:c r="G369">
        <x:v>23</x:v>
      </x:c>
      <x:c r="H369" t="s">
        <x:v>64</x:v>
      </x:c>
      <x:c r="I369">
        <x:v>1</x:v>
      </x:c>
      <x:c r="J369">
        <x:v>12</x:v>
      </x:c>
      <x:c r="K369">
        <x:v>3</x:v>
      </x:c>
      <x:c r="L369">
        <x:f t="shared" si="35"/>
        <x:v>1</x:v>
      </x:c>
      <x:c r="P369">
        <x:f t="shared" si="36"/>
        <x:v>1</x:v>
      </x:c>
      <x:c r="Q369">
        <x:f t="shared" si="37"/>
        <x:v>1</x:v>
      </x:c>
      <x:c r="R369">
        <x:f t="shared" si="38"/>
        <x:v>1</x:v>
      </x:c>
      <x:c r="S369">
        <x:f t="shared" si="39"/>
        <x:v>3</x:v>
      </x:c>
      <x:c r="T369" t="str">
        <x:f t="shared" si="40"/>
        <x:v>DerivedFromCount</x:v>
      </x:c>
      <x:c r="U369" t="str">
        <x:f>IF(COUNTIF(DailyProduction!$Q$5:$Q$100,B369)=1,"OK","CHECK")</x:f>
        <x:v>OK</x:v>
      </x:c>
      <x:c r="V369" t="str">
        <x:f t="shared" si="41"/>
        <x:v>OK</x:v>
      </x:c>
      <x:c r="W369" t="str">
        <x:f>IF(SUMIF($B$5:$B$914,B369,$S$5:$S$914)=SUMIF(DailyProduction!$Q$5:$Q$100,B369,DailyProduction!$R$5:$R$100),"OK","CHECK")</x:f>
        <x:v>OK</x:v>
      </x:c>
      <x:c r="X369" t="str">
        <x:v>PLC-PRD-JAR-330-L23</x:v>
      </x:c>
      <x:c r="Y369" t="str">
        <x:v>OK</x:v>
      </x:c>
      <x:c r="Z369" t="str">
        <x:v>OK</x:v>
      </x:c>
      <x:c r="AA369" t="n">
        <x:v>3</x:v>
      </x:c>
      <x:c r="AB369" t="n">
        <x:v>3</x:v>
      </x:c>
      <x:c r="AC369" t="str">
        <x:v>OK</x:v>
      </x:c>
      <x:c r="AD369" t="str">
        <x:v>OK</x:v>
      </x:c>
      <x:c r="AE369" t="str">
        <x:v>LOAD</x:v>
      </x:c>
      <x:c r="AF369" t="str">
        <x:v>02_Supervisor_Log(4).xlsx</x:v>
      </x:c>
      <x:c r="AG369" t="str">
        <x:v>ENH-20260830-01</x:v>
      </x:c>
      <x:c r="AH369" t="str">
        <x:v>Active</x:v>
      </x:c>
      <x:c r="AI369"/>
      <x:c r="AJ369"/>
      <x:c r="AK369"/>
      <x:c r="AL369"/>
    </x:row>
    <x:row r="370">
      <x:c r="A370" t="s">
        <x:v>592</x:v>
      </x:c>
      <x:c r="B370" t="s">
        <x:v>591</x:v>
      </x:c>
      <x:c r="C370" t="s">
        <x:v>44</x:v>
      </x:c>
      <x:c r="D370">
        <x:v>45950</x:v>
      </x:c>
      <x:c r="E370" t="s">
        <x:v>45</x:v>
      </x:c>
      <x:c r="F370" t="s">
        <x:v>55</x:v>
      </x:c>
      <x:c r="G370">
        <x:v>23</x:v>
      </x:c>
      <x:c r="H370" t="s">
        <x:v>64</x:v>
      </x:c>
      <x:c r="I370">
        <x:v>2</x:v>
      </x:c>
      <x:c r="J370">
        <x:v>12</x:v>
      </x:c>
      <x:c r="K370">
        <x:v>3</x:v>
      </x:c>
      <x:c r="L370">
        <x:f t="shared" si="35"/>
        <x:v>1</x:v>
      </x:c>
      <x:c r="P370">
        <x:f t="shared" si="36"/>
        <x:v>1</x:v>
      </x:c>
      <x:c r="Q370">
        <x:f t="shared" si="37"/>
        <x:v>1</x:v>
      </x:c>
      <x:c r="R370">
        <x:f t="shared" si="38"/>
        <x:v>1</x:v>
      </x:c>
      <x:c r="S370">
        <x:f t="shared" si="39"/>
        <x:v>3</x:v>
      </x:c>
      <x:c r="T370" t="str">
        <x:f t="shared" si="40"/>
        <x:v>DerivedFromCount</x:v>
      </x:c>
      <x:c r="U370" t="str">
        <x:f>IF(COUNTIF(DailyProduction!$Q$5:$Q$100,B370)=1,"OK","CHECK")</x:f>
        <x:v>OK</x:v>
      </x:c>
      <x:c r="V370" t="str">
        <x:f t="shared" si="41"/>
        <x:v>OK</x:v>
      </x:c>
      <x:c r="W370" t="str">
        <x:f>IF(SUMIF($B$5:$B$914,B370,$S$5:$S$914)=SUMIF(DailyProduction!$Q$5:$Q$100,B370,DailyProduction!$R$5:$R$100),"OK","CHECK")</x:f>
        <x:v>OK</x:v>
      </x:c>
      <x:c r="X370" t="str">
        <x:v>PLC-PRD-JAR-330-L23</x:v>
      </x:c>
      <x:c r="Y370" t="str">
        <x:v>OK</x:v>
      </x:c>
      <x:c r="Z370" t="str">
        <x:v>OK</x:v>
      </x:c>
      <x:c r="AA370" t="n">
        <x:v>3</x:v>
      </x:c>
      <x:c r="AB370" t="n">
        <x:v>3</x:v>
      </x:c>
      <x:c r="AC370" t="str">
        <x:v>OK</x:v>
      </x:c>
      <x:c r="AD370" t="str">
        <x:v>OK</x:v>
      </x:c>
      <x:c r="AE370" t="str">
        <x:v>LOAD</x:v>
      </x:c>
      <x:c r="AF370" t="str">
        <x:v>02_Supervisor_Log(4).xlsx</x:v>
      </x:c>
      <x:c r="AG370" t="str">
        <x:v>ENH-20260830-01</x:v>
      </x:c>
      <x:c r="AH370" t="str">
        <x:v>Active</x:v>
      </x:c>
      <x:c r="AI370"/>
      <x:c r="AJ370"/>
      <x:c r="AK370"/>
      <x:c r="AL370"/>
    </x:row>
    <x:row r="371">
      <x:c r="A371" t="s">
        <x:v>593</x:v>
      </x:c>
      <x:c r="B371" t="s">
        <x:v>591</x:v>
      </x:c>
      <x:c r="C371" t="s">
        <x:v>44</x:v>
      </x:c>
      <x:c r="D371">
        <x:v>45950</x:v>
      </x:c>
      <x:c r="E371" t="s">
        <x:v>45</x:v>
      </x:c>
      <x:c r="F371" t="s">
        <x:v>55</x:v>
      </x:c>
      <x:c r="G371">
        <x:v>23</x:v>
      </x:c>
      <x:c r="H371" t="s">
        <x:v>64</x:v>
      </x:c>
      <x:c r="I371">
        <x:v>3</x:v>
      </x:c>
      <x:c r="J371">
        <x:v>12</x:v>
      </x:c>
      <x:c r="K371">
        <x:v>3</x:v>
      </x:c>
      <x:c r="L371">
        <x:f t="shared" si="35"/>
        <x:v>1</x:v>
      </x:c>
      <x:c r="P371">
        <x:f t="shared" si="36"/>
        <x:v>1</x:v>
      </x:c>
      <x:c r="Q371">
        <x:f t="shared" si="37"/>
        <x:v>1</x:v>
      </x:c>
      <x:c r="R371">
        <x:f t="shared" si="38"/>
        <x:v>1</x:v>
      </x:c>
      <x:c r="S371">
        <x:f t="shared" si="39"/>
        <x:v>3</x:v>
      </x:c>
      <x:c r="T371" t="str">
        <x:f t="shared" si="40"/>
        <x:v>DerivedFromCount</x:v>
      </x:c>
      <x:c r="U371" t="str">
        <x:f>IF(COUNTIF(DailyProduction!$Q$5:$Q$100,B371)=1,"OK","CHECK")</x:f>
        <x:v>OK</x:v>
      </x:c>
      <x:c r="V371" t="str">
        <x:f t="shared" si="41"/>
        <x:v>OK</x:v>
      </x:c>
      <x:c r="W371" t="str">
        <x:f>IF(SUMIF($B$5:$B$914,B371,$S$5:$S$914)=SUMIF(DailyProduction!$Q$5:$Q$100,B371,DailyProduction!$R$5:$R$100),"OK","CHECK")</x:f>
        <x:v>OK</x:v>
      </x:c>
      <x:c r="X371" t="str">
        <x:v>PLC-PRD-JAR-330-L23</x:v>
      </x:c>
      <x:c r="Y371" t="str">
        <x:v>OK</x:v>
      </x:c>
      <x:c r="Z371" t="str">
        <x:v>OK</x:v>
      </x:c>
      <x:c r="AA371" t="n">
        <x:v>3</x:v>
      </x:c>
      <x:c r="AB371" t="n">
        <x:v>3</x:v>
      </x:c>
      <x:c r="AC371" t="str">
        <x:v>OK</x:v>
      </x:c>
      <x:c r="AD371" t="str">
        <x:v>OK</x:v>
      </x:c>
      <x:c r="AE371" t="str">
        <x:v>LOAD</x:v>
      </x:c>
      <x:c r="AF371" t="str">
        <x:v>02_Supervisor_Log(4).xlsx</x:v>
      </x:c>
      <x:c r="AG371" t="str">
        <x:v>ENH-20260830-01</x:v>
      </x:c>
      <x:c r="AH371" t="str">
        <x:v>Active</x:v>
      </x:c>
      <x:c r="AI371"/>
      <x:c r="AJ371"/>
      <x:c r="AK371"/>
      <x:c r="AL371"/>
    </x:row>
    <x:row r="372">
      <x:c r="A372" t="s">
        <x:v>594</x:v>
      </x:c>
      <x:c r="B372" t="s">
        <x:v>591</x:v>
      </x:c>
      <x:c r="C372" t="s">
        <x:v>44</x:v>
      </x:c>
      <x:c r="D372">
        <x:v>45950</x:v>
      </x:c>
      <x:c r="E372" t="s">
        <x:v>45</x:v>
      </x:c>
      <x:c r="F372" t="s">
        <x:v>55</x:v>
      </x:c>
      <x:c r="G372">
        <x:v>23</x:v>
      </x:c>
      <x:c r="H372" t="s">
        <x:v>64</x:v>
      </x:c>
      <x:c r="I372">
        <x:v>4</x:v>
      </x:c>
      <x:c r="J372">
        <x:v>12</x:v>
      </x:c>
      <x:c r="K372">
        <x:v>3</x:v>
      </x:c>
      <x:c r="L372">
        <x:f t="shared" si="35"/>
        <x:v>1</x:v>
      </x:c>
      <x:c r="P372">
        <x:f t="shared" si="36"/>
        <x:v>1</x:v>
      </x:c>
      <x:c r="Q372">
        <x:f t="shared" si="37"/>
        <x:v>1</x:v>
      </x:c>
      <x:c r="R372">
        <x:f t="shared" si="38"/>
        <x:v>1</x:v>
      </x:c>
      <x:c r="S372">
        <x:f t="shared" si="39"/>
        <x:v>3</x:v>
      </x:c>
      <x:c r="T372" t="str">
        <x:f t="shared" si="40"/>
        <x:v>DerivedFromCount</x:v>
      </x:c>
      <x:c r="U372" t="str">
        <x:f>IF(COUNTIF(DailyProduction!$Q$5:$Q$100,B372)=1,"OK","CHECK")</x:f>
        <x:v>OK</x:v>
      </x:c>
      <x:c r="V372" t="str">
        <x:f t="shared" si="41"/>
        <x:v>OK</x:v>
      </x:c>
      <x:c r="W372" t="str">
        <x:f>IF(SUMIF($B$5:$B$914,B372,$S$5:$S$914)=SUMIF(DailyProduction!$Q$5:$Q$100,B372,DailyProduction!$R$5:$R$100),"OK","CHECK")</x:f>
        <x:v>OK</x:v>
      </x:c>
      <x:c r="X372" t="str">
        <x:v>PLC-PRD-JAR-330-L23</x:v>
      </x:c>
      <x:c r="Y372" t="str">
        <x:v>OK</x:v>
      </x:c>
      <x:c r="Z372" t="str">
        <x:v>OK</x:v>
      </x:c>
      <x:c r="AA372" t="n">
        <x:v>3</x:v>
      </x:c>
      <x:c r="AB372" t="n">
        <x:v>3</x:v>
      </x:c>
      <x:c r="AC372" t="str">
        <x:v>OK</x:v>
      </x:c>
      <x:c r="AD372" t="str">
        <x:v>OK</x:v>
      </x:c>
      <x:c r="AE372" t="str">
        <x:v>LOAD</x:v>
      </x:c>
      <x:c r="AF372" t="str">
        <x:v>02_Supervisor_Log(4).xlsx</x:v>
      </x:c>
      <x:c r="AG372" t="str">
        <x:v>ENH-20260830-01</x:v>
      </x:c>
      <x:c r="AH372" t="str">
        <x:v>Active</x:v>
      </x:c>
      <x:c r="AI372"/>
      <x:c r="AJ372"/>
      <x:c r="AK372"/>
      <x:c r="AL372"/>
    </x:row>
    <x:row r="373">
      <x:c r="A373" t="s">
        <x:v>595</x:v>
      </x:c>
      <x:c r="B373" t="s">
        <x:v>591</x:v>
      </x:c>
      <x:c r="C373" t="s">
        <x:v>44</x:v>
      </x:c>
      <x:c r="D373">
        <x:v>45950</x:v>
      </x:c>
      <x:c r="E373" t="s">
        <x:v>45</x:v>
      </x:c>
      <x:c r="F373" t="s">
        <x:v>55</x:v>
      </x:c>
      <x:c r="G373">
        <x:v>23</x:v>
      </x:c>
      <x:c r="H373" t="s">
        <x:v>64</x:v>
      </x:c>
      <x:c r="I373">
        <x:v>5</x:v>
      </x:c>
      <x:c r="J373">
        <x:v>12</x:v>
      </x:c>
      <x:c r="K373">
        <x:v>3</x:v>
      </x:c>
      <x:c r="L373">
        <x:f t="shared" si="35"/>
        <x:v>1</x:v>
      </x:c>
      <x:c r="P373">
        <x:f t="shared" si="36"/>
        <x:v>1</x:v>
      </x:c>
      <x:c r="Q373">
        <x:f t="shared" si="37"/>
        <x:v>1</x:v>
      </x:c>
      <x:c r="R373">
        <x:f t="shared" si="38"/>
        <x:v>1</x:v>
      </x:c>
      <x:c r="S373">
        <x:f t="shared" si="39"/>
        <x:v>3</x:v>
      </x:c>
      <x:c r="T373" t="str">
        <x:f t="shared" si="40"/>
        <x:v>DerivedFromCount</x:v>
      </x:c>
      <x:c r="U373" t="str">
        <x:f>IF(COUNTIF(DailyProduction!$Q$5:$Q$100,B373)=1,"OK","CHECK")</x:f>
        <x:v>OK</x:v>
      </x:c>
      <x:c r="V373" t="str">
        <x:f t="shared" si="41"/>
        <x:v>OK</x:v>
      </x:c>
      <x:c r="W373" t="str">
        <x:f>IF(SUMIF($B$5:$B$914,B373,$S$5:$S$914)=SUMIF(DailyProduction!$Q$5:$Q$100,B373,DailyProduction!$R$5:$R$100),"OK","CHECK")</x:f>
        <x:v>OK</x:v>
      </x:c>
      <x:c r="X373" t="str">
        <x:v>PLC-PRD-JAR-330-L23</x:v>
      </x:c>
      <x:c r="Y373" t="str">
        <x:v>OK</x:v>
      </x:c>
      <x:c r="Z373" t="str">
        <x:v>OK</x:v>
      </x:c>
      <x:c r="AA373" t="n">
        <x:v>3</x:v>
      </x:c>
      <x:c r="AB373" t="n">
        <x:v>3</x:v>
      </x:c>
      <x:c r="AC373" t="str">
        <x:v>OK</x:v>
      </x:c>
      <x:c r="AD373" t="str">
        <x:v>OK</x:v>
      </x:c>
      <x:c r="AE373" t="str">
        <x:v>LOAD</x:v>
      </x:c>
      <x:c r="AF373" t="str">
        <x:v>02_Supervisor_Log(4).xlsx</x:v>
      </x:c>
      <x:c r="AG373" t="str">
        <x:v>ENH-20260830-01</x:v>
      </x:c>
      <x:c r="AH373" t="str">
        <x:v>Active</x:v>
      </x:c>
      <x:c r="AI373"/>
      <x:c r="AJ373"/>
      <x:c r="AK373"/>
      <x:c r="AL373"/>
    </x:row>
    <x:row r="374">
      <x:c r="A374" t="s">
        <x:v>596</x:v>
      </x:c>
      <x:c r="B374" t="s">
        <x:v>591</x:v>
      </x:c>
      <x:c r="C374" t="s">
        <x:v>44</x:v>
      </x:c>
      <x:c r="D374">
        <x:v>45950</x:v>
      </x:c>
      <x:c r="E374" t="s">
        <x:v>45</x:v>
      </x:c>
      <x:c r="F374" t="s">
        <x:v>55</x:v>
      </x:c>
      <x:c r="G374">
        <x:v>23</x:v>
      </x:c>
      <x:c r="H374" t="s">
        <x:v>64</x:v>
      </x:c>
      <x:c r="I374">
        <x:v>6</x:v>
      </x:c>
      <x:c r="J374">
        <x:v>12</x:v>
      </x:c>
      <x:c r="K374">
        <x:v>3</x:v>
      </x:c>
      <x:c r="L374">
        <x:f t="shared" si="35"/>
        <x:v>1</x:v>
      </x:c>
      <x:c r="P374">
        <x:f t="shared" si="36"/>
        <x:v>1</x:v>
      </x:c>
      <x:c r="Q374">
        <x:f t="shared" si="37"/>
        <x:v>1</x:v>
      </x:c>
      <x:c r="R374">
        <x:f t="shared" si="38"/>
        <x:v>1</x:v>
      </x:c>
      <x:c r="S374">
        <x:f t="shared" si="39"/>
        <x:v>3</x:v>
      </x:c>
      <x:c r="T374" t="str">
        <x:f t="shared" si="40"/>
        <x:v>DerivedFromCount</x:v>
      </x:c>
      <x:c r="U374" t="str">
        <x:f>IF(COUNTIF(DailyProduction!$Q$5:$Q$100,B374)=1,"OK","CHECK")</x:f>
        <x:v>OK</x:v>
      </x:c>
      <x:c r="V374" t="str">
        <x:f t="shared" si="41"/>
        <x:v>OK</x:v>
      </x:c>
      <x:c r="W374" t="str">
        <x:f>IF(SUMIF($B$5:$B$914,B374,$S$5:$S$914)=SUMIF(DailyProduction!$Q$5:$Q$100,B374,DailyProduction!$R$5:$R$100),"OK","CHECK")</x:f>
        <x:v>OK</x:v>
      </x:c>
      <x:c r="X374" t="str">
        <x:v>PLC-PRD-JAR-330-L23</x:v>
      </x:c>
      <x:c r="Y374" t="str">
        <x:v>OK</x:v>
      </x:c>
      <x:c r="Z374" t="str">
        <x:v>OK</x:v>
      </x:c>
      <x:c r="AA374" t="n">
        <x:v>3</x:v>
      </x:c>
      <x:c r="AB374" t="n">
        <x:v>3</x:v>
      </x:c>
      <x:c r="AC374" t="str">
        <x:v>OK</x:v>
      </x:c>
      <x:c r="AD374" t="str">
        <x:v>OK</x:v>
      </x:c>
      <x:c r="AE374" t="str">
        <x:v>LOAD</x:v>
      </x:c>
      <x:c r="AF374" t="str">
        <x:v>02_Supervisor_Log(4).xlsx</x:v>
      </x:c>
      <x:c r="AG374" t="str">
        <x:v>ENH-20260830-01</x:v>
      </x:c>
      <x:c r="AH374" t="str">
        <x:v>Active</x:v>
      </x:c>
      <x:c r="AI374"/>
      <x:c r="AJ374"/>
      <x:c r="AK374"/>
      <x:c r="AL374"/>
    </x:row>
    <x:row r="375">
      <x:c r="A375" t="s">
        <x:v>597</x:v>
      </x:c>
      <x:c r="B375" t="s">
        <x:v>591</x:v>
      </x:c>
      <x:c r="C375" t="s">
        <x:v>44</x:v>
      </x:c>
      <x:c r="D375">
        <x:v>45950</x:v>
      </x:c>
      <x:c r="E375" t="s">
        <x:v>45</x:v>
      </x:c>
      <x:c r="F375" t="s">
        <x:v>55</x:v>
      </x:c>
      <x:c r="G375">
        <x:v>23</x:v>
      </x:c>
      <x:c r="H375" t="s">
        <x:v>64</x:v>
      </x:c>
      <x:c r="I375">
        <x:v>7</x:v>
      </x:c>
      <x:c r="J375">
        <x:v>12</x:v>
      </x:c>
      <x:c r="K375">
        <x:v>3</x:v>
      </x:c>
      <x:c r="L375">
        <x:f t="shared" si="35"/>
        <x:v>1</x:v>
      </x:c>
      <x:c r="P375">
        <x:f t="shared" si="36"/>
        <x:v>1</x:v>
      </x:c>
      <x:c r="Q375">
        <x:f t="shared" si="37"/>
        <x:v>1</x:v>
      </x:c>
      <x:c r="R375">
        <x:f t="shared" si="38"/>
        <x:v>1</x:v>
      </x:c>
      <x:c r="S375">
        <x:f t="shared" si="39"/>
        <x:v>3</x:v>
      </x:c>
      <x:c r="T375" t="str">
        <x:f t="shared" si="40"/>
        <x:v>DerivedFromCount</x:v>
      </x:c>
      <x:c r="U375" t="str">
        <x:f>IF(COUNTIF(DailyProduction!$Q$5:$Q$100,B375)=1,"OK","CHECK")</x:f>
        <x:v>OK</x:v>
      </x:c>
      <x:c r="V375" t="str">
        <x:f t="shared" si="41"/>
        <x:v>OK</x:v>
      </x:c>
      <x:c r="W375" t="str">
        <x:f>IF(SUMIF($B$5:$B$914,B375,$S$5:$S$914)=SUMIF(DailyProduction!$Q$5:$Q$100,B375,DailyProduction!$R$5:$R$100),"OK","CHECK")</x:f>
        <x:v>OK</x:v>
      </x:c>
      <x:c r="X375" t="str">
        <x:v>PLC-PRD-JAR-330-L23</x:v>
      </x:c>
      <x:c r="Y375" t="str">
        <x:v>OK</x:v>
      </x:c>
      <x:c r="Z375" t="str">
        <x:v>OK</x:v>
      </x:c>
      <x:c r="AA375" t="n">
        <x:v>3</x:v>
      </x:c>
      <x:c r="AB375" t="n">
        <x:v>3</x:v>
      </x:c>
      <x:c r="AC375" t="str">
        <x:v>OK</x:v>
      </x:c>
      <x:c r="AD375" t="str">
        <x:v>OK</x:v>
      </x:c>
      <x:c r="AE375" t="str">
        <x:v>LOAD</x:v>
      </x:c>
      <x:c r="AF375" t="str">
        <x:v>02_Supervisor_Log(4).xlsx</x:v>
      </x:c>
      <x:c r="AG375" t="str">
        <x:v>ENH-20260830-01</x:v>
      </x:c>
      <x:c r="AH375" t="str">
        <x:v>Active</x:v>
      </x:c>
      <x:c r="AI375"/>
      <x:c r="AJ375"/>
      <x:c r="AK375"/>
      <x:c r="AL375"/>
    </x:row>
    <x:row r="376">
      <x:c r="A376" t="s">
        <x:v>598</x:v>
      </x:c>
      <x:c r="B376" t="s">
        <x:v>591</x:v>
      </x:c>
      <x:c r="C376" t="s">
        <x:v>44</x:v>
      </x:c>
      <x:c r="D376">
        <x:v>45950</x:v>
      </x:c>
      <x:c r="E376" t="s">
        <x:v>45</x:v>
      </x:c>
      <x:c r="F376" t="s">
        <x:v>55</x:v>
      </x:c>
      <x:c r="G376">
        <x:v>23</x:v>
      </x:c>
      <x:c r="H376" t="s">
        <x:v>64</x:v>
      </x:c>
      <x:c r="I376">
        <x:v>8</x:v>
      </x:c>
      <x:c r="J376">
        <x:v>12</x:v>
      </x:c>
      <x:c r="K376">
        <x:v>3</x:v>
      </x:c>
      <x:c r="L376">
        <x:f t="shared" si="35"/>
        <x:v>1</x:v>
      </x:c>
      <x:c r="P376">
        <x:f t="shared" si="36"/>
        <x:v>1</x:v>
      </x:c>
      <x:c r="Q376">
        <x:f t="shared" si="37"/>
        <x:v>1</x:v>
      </x:c>
      <x:c r="R376">
        <x:f t="shared" si="38"/>
        <x:v>1</x:v>
      </x:c>
      <x:c r="S376">
        <x:f t="shared" si="39"/>
        <x:v>3</x:v>
      </x:c>
      <x:c r="T376" t="str">
        <x:f t="shared" si="40"/>
        <x:v>DerivedFromCount</x:v>
      </x:c>
      <x:c r="U376" t="str">
        <x:f>IF(COUNTIF(DailyProduction!$Q$5:$Q$100,B376)=1,"OK","CHECK")</x:f>
        <x:v>OK</x:v>
      </x:c>
      <x:c r="V376" t="str">
        <x:f t="shared" si="41"/>
        <x:v>OK</x:v>
      </x:c>
      <x:c r="W376" t="str">
        <x:f>IF(SUMIF($B$5:$B$914,B376,$S$5:$S$914)=SUMIF(DailyProduction!$Q$5:$Q$100,B376,DailyProduction!$R$5:$R$100),"OK","CHECK")</x:f>
        <x:v>OK</x:v>
      </x:c>
      <x:c r="X376" t="str">
        <x:v>PLC-PRD-JAR-330-L23</x:v>
      </x:c>
      <x:c r="Y376" t="str">
        <x:v>OK</x:v>
      </x:c>
      <x:c r="Z376" t="str">
        <x:v>OK</x:v>
      </x:c>
      <x:c r="AA376" t="n">
        <x:v>3</x:v>
      </x:c>
      <x:c r="AB376" t="n">
        <x:v>3</x:v>
      </x:c>
      <x:c r="AC376" t="str">
        <x:v>OK</x:v>
      </x:c>
      <x:c r="AD376" t="str">
        <x:v>OK</x:v>
      </x:c>
      <x:c r="AE376" t="str">
        <x:v>LOAD</x:v>
      </x:c>
      <x:c r="AF376" t="str">
        <x:v>02_Supervisor_Log(4).xlsx</x:v>
      </x:c>
      <x:c r="AG376" t="str">
        <x:v>ENH-20260830-01</x:v>
      </x:c>
      <x:c r="AH376" t="str">
        <x:v>Active</x:v>
      </x:c>
      <x:c r="AI376"/>
      <x:c r="AJ376"/>
      <x:c r="AK376"/>
      <x:c r="AL376"/>
    </x:row>
    <x:row r="377">
      <x:c r="A377" t="s">
        <x:v>599</x:v>
      </x:c>
      <x:c r="B377" t="s">
        <x:v>591</x:v>
      </x:c>
      <x:c r="C377" t="s">
        <x:v>44</x:v>
      </x:c>
      <x:c r="D377">
        <x:v>45950</x:v>
      </x:c>
      <x:c r="E377" t="s">
        <x:v>45</x:v>
      </x:c>
      <x:c r="F377" t="s">
        <x:v>55</x:v>
      </x:c>
      <x:c r="G377">
        <x:v>23</x:v>
      </x:c>
      <x:c r="H377" t="s">
        <x:v>64</x:v>
      </x:c>
      <x:c r="I377">
        <x:v>9</x:v>
      </x:c>
      <x:c r="J377">
        <x:v>12</x:v>
      </x:c>
      <x:c r="K377">
        <x:v>3</x:v>
      </x:c>
      <x:c r="L377">
        <x:f t="shared" si="35"/>
        <x:v>1</x:v>
      </x:c>
      <x:c r="P377">
        <x:f t="shared" si="36"/>
        <x:v>1</x:v>
      </x:c>
      <x:c r="Q377">
        <x:f t="shared" si="37"/>
        <x:v>1</x:v>
      </x:c>
      <x:c r="R377">
        <x:f t="shared" si="38"/>
        <x:v>1</x:v>
      </x:c>
      <x:c r="S377">
        <x:f t="shared" si="39"/>
        <x:v>3</x:v>
      </x:c>
      <x:c r="T377" t="str">
        <x:f t="shared" si="40"/>
        <x:v>DerivedFromCount</x:v>
      </x:c>
      <x:c r="U377" t="str">
        <x:f>IF(COUNTIF(DailyProduction!$Q$5:$Q$100,B377)=1,"OK","CHECK")</x:f>
        <x:v>OK</x:v>
      </x:c>
      <x:c r="V377" t="str">
        <x:f t="shared" si="41"/>
        <x:v>OK</x:v>
      </x:c>
      <x:c r="W377" t="str">
        <x:f>IF(SUMIF($B$5:$B$914,B377,$S$5:$S$914)=SUMIF(DailyProduction!$Q$5:$Q$100,B377,DailyProduction!$R$5:$R$100),"OK","CHECK")</x:f>
        <x:v>OK</x:v>
      </x:c>
      <x:c r="X377" t="str">
        <x:v>PLC-PRD-JAR-330-L23</x:v>
      </x:c>
      <x:c r="Y377" t="str">
        <x:v>OK</x:v>
      </x:c>
      <x:c r="Z377" t="str">
        <x:v>OK</x:v>
      </x:c>
      <x:c r="AA377" t="n">
        <x:v>3</x:v>
      </x:c>
      <x:c r="AB377" t="n">
        <x:v>3</x:v>
      </x:c>
      <x:c r="AC377" t="str">
        <x:v>OK</x:v>
      </x:c>
      <x:c r="AD377" t="str">
        <x:v>OK</x:v>
      </x:c>
      <x:c r="AE377" t="str">
        <x:v>LOAD</x:v>
      </x:c>
      <x:c r="AF377" t="str">
        <x:v>02_Supervisor_Log(4).xlsx</x:v>
      </x:c>
      <x:c r="AG377" t="str">
        <x:v>ENH-20260830-01</x:v>
      </x:c>
      <x:c r="AH377" t="str">
        <x:v>Active</x:v>
      </x:c>
      <x:c r="AI377"/>
      <x:c r="AJ377"/>
      <x:c r="AK377"/>
      <x:c r="AL377"/>
    </x:row>
    <x:row r="378">
      <x:c r="A378" t="s">
        <x:v>600</x:v>
      </x:c>
      <x:c r="B378" t="s">
        <x:v>591</x:v>
      </x:c>
      <x:c r="C378" t="s">
        <x:v>44</x:v>
      </x:c>
      <x:c r="D378">
        <x:v>45950</x:v>
      </x:c>
      <x:c r="E378" t="s">
        <x:v>45</x:v>
      </x:c>
      <x:c r="F378" t="s">
        <x:v>55</x:v>
      </x:c>
      <x:c r="G378">
        <x:v>23</x:v>
      </x:c>
      <x:c r="H378" t="s">
        <x:v>64</x:v>
      </x:c>
      <x:c r="I378">
        <x:v>10</x:v>
      </x:c>
      <x:c r="J378">
        <x:v>12</x:v>
      </x:c>
      <x:c r="K378">
        <x:v>3</x:v>
      </x:c>
      <x:c r="L378">
        <x:f t="shared" si="35"/>
        <x:v>1</x:v>
      </x:c>
      <x:c r="P378">
        <x:f t="shared" si="36"/>
        <x:v>1</x:v>
      </x:c>
      <x:c r="Q378">
        <x:f t="shared" si="37"/>
        <x:v>1</x:v>
      </x:c>
      <x:c r="R378">
        <x:f t="shared" si="38"/>
        <x:v>1</x:v>
      </x:c>
      <x:c r="S378">
        <x:f t="shared" si="39"/>
        <x:v>3</x:v>
      </x:c>
      <x:c r="T378" t="str">
        <x:f t="shared" si="40"/>
        <x:v>DerivedFromCount</x:v>
      </x:c>
      <x:c r="U378" t="str">
        <x:f>IF(COUNTIF(DailyProduction!$Q$5:$Q$100,B378)=1,"OK","CHECK")</x:f>
        <x:v>OK</x:v>
      </x:c>
      <x:c r="V378" t="str">
        <x:f t="shared" si="41"/>
        <x:v>OK</x:v>
      </x:c>
      <x:c r="W378" t="str">
        <x:f>IF(SUMIF($B$5:$B$914,B378,$S$5:$S$914)=SUMIF(DailyProduction!$Q$5:$Q$100,B378,DailyProduction!$R$5:$R$100),"OK","CHECK")</x:f>
        <x:v>OK</x:v>
      </x:c>
      <x:c r="X378" t="str">
        <x:v>PLC-PRD-JAR-330-L23</x:v>
      </x:c>
      <x:c r="Y378" t="str">
        <x:v>OK</x:v>
      </x:c>
      <x:c r="Z378" t="str">
        <x:v>OK</x:v>
      </x:c>
      <x:c r="AA378" t="n">
        <x:v>3</x:v>
      </x:c>
      <x:c r="AB378" t="n">
        <x:v>3</x:v>
      </x:c>
      <x:c r="AC378" t="str">
        <x:v>OK</x:v>
      </x:c>
      <x:c r="AD378" t="str">
        <x:v>OK</x:v>
      </x:c>
      <x:c r="AE378" t="str">
        <x:v>LOAD</x:v>
      </x:c>
      <x:c r="AF378" t="str">
        <x:v>02_Supervisor_Log(4).xlsx</x:v>
      </x:c>
      <x:c r="AG378" t="str">
        <x:v>ENH-20260830-01</x:v>
      </x:c>
      <x:c r="AH378" t="str">
        <x:v>Active</x:v>
      </x:c>
      <x:c r="AI378"/>
      <x:c r="AJ378"/>
      <x:c r="AK378"/>
      <x:c r="AL378"/>
    </x:row>
    <x:row r="379">
      <x:c r="A379" t="s">
        <x:v>601</x:v>
      </x:c>
      <x:c r="B379" t="s">
        <x:v>591</x:v>
      </x:c>
      <x:c r="C379" t="s">
        <x:v>44</x:v>
      </x:c>
      <x:c r="D379">
        <x:v>45950</x:v>
      </x:c>
      <x:c r="E379" t="s">
        <x:v>45</x:v>
      </x:c>
      <x:c r="F379" t="s">
        <x:v>55</x:v>
      </x:c>
      <x:c r="G379">
        <x:v>23</x:v>
      </x:c>
      <x:c r="H379" t="s">
        <x:v>64</x:v>
      </x:c>
      <x:c r="I379">
        <x:v>11</x:v>
      </x:c>
      <x:c r="J379">
        <x:v>12</x:v>
      </x:c>
      <x:c r="K379">
        <x:v>3</x:v>
      </x:c>
      <x:c r="L379">
        <x:f t="shared" si="35"/>
        <x:v>1</x:v>
      </x:c>
      <x:c r="P379">
        <x:f t="shared" si="36"/>
        <x:v>1</x:v>
      </x:c>
      <x:c r="Q379">
        <x:f t="shared" si="37"/>
        <x:v>1</x:v>
      </x:c>
      <x:c r="R379">
        <x:f t="shared" si="38"/>
        <x:v>1</x:v>
      </x:c>
      <x:c r="S379">
        <x:f t="shared" si="39"/>
        <x:v>3</x:v>
      </x:c>
      <x:c r="T379" t="str">
        <x:f t="shared" si="40"/>
        <x:v>DerivedFromCount</x:v>
      </x:c>
      <x:c r="U379" t="str">
        <x:f>IF(COUNTIF(DailyProduction!$Q$5:$Q$100,B379)=1,"OK","CHECK")</x:f>
        <x:v>OK</x:v>
      </x:c>
      <x:c r="V379" t="str">
        <x:f t="shared" si="41"/>
        <x:v>OK</x:v>
      </x:c>
      <x:c r="W379" t="str">
        <x:f>IF(SUMIF($B$5:$B$914,B379,$S$5:$S$914)=SUMIF(DailyProduction!$Q$5:$Q$100,B379,DailyProduction!$R$5:$R$100),"OK","CHECK")</x:f>
        <x:v>OK</x:v>
      </x:c>
      <x:c r="X379" t="str">
        <x:v>PLC-PRD-JAR-330-L23</x:v>
      </x:c>
      <x:c r="Y379" t="str">
        <x:v>OK</x:v>
      </x:c>
      <x:c r="Z379" t="str">
        <x:v>OK</x:v>
      </x:c>
      <x:c r="AA379" t="n">
        <x:v>3</x:v>
      </x:c>
      <x:c r="AB379" t="n">
        <x:v>3</x:v>
      </x:c>
      <x:c r="AC379" t="str">
        <x:v>OK</x:v>
      </x:c>
      <x:c r="AD379" t="str">
        <x:v>OK</x:v>
      </x:c>
      <x:c r="AE379" t="str">
        <x:v>LOAD</x:v>
      </x:c>
      <x:c r="AF379" t="str">
        <x:v>02_Supervisor_Log(4).xlsx</x:v>
      </x:c>
      <x:c r="AG379" t="str">
        <x:v>ENH-20260830-01</x:v>
      </x:c>
      <x:c r="AH379" t="str">
        <x:v>Active</x:v>
      </x:c>
      <x:c r="AI379"/>
      <x:c r="AJ379"/>
      <x:c r="AK379"/>
      <x:c r="AL379"/>
    </x:row>
    <x:row r="380">
      <x:c r="A380" t="s">
        <x:v>602</x:v>
      </x:c>
      <x:c r="B380" t="s">
        <x:v>591</x:v>
      </x:c>
      <x:c r="C380" t="s">
        <x:v>44</x:v>
      </x:c>
      <x:c r="D380">
        <x:v>45950</x:v>
      </x:c>
      <x:c r="E380" t="s">
        <x:v>45</x:v>
      </x:c>
      <x:c r="F380" t="s">
        <x:v>55</x:v>
      </x:c>
      <x:c r="G380">
        <x:v>23</x:v>
      </x:c>
      <x:c r="H380" t="s">
        <x:v>64</x:v>
      </x:c>
      <x:c r="I380">
        <x:v>12</x:v>
      </x:c>
      <x:c r="J380">
        <x:v>12</x:v>
      </x:c>
      <x:c r="K380">
        <x:v>3</x:v>
      </x:c>
      <x:c r="L380">
        <x:f t="shared" si="35"/>
        <x:v>1</x:v>
      </x:c>
      <x:c r="P380">
        <x:f t="shared" si="36"/>
        <x:v>1</x:v>
      </x:c>
      <x:c r="Q380">
        <x:f t="shared" si="37"/>
        <x:v>1</x:v>
      </x:c>
      <x:c r="R380">
        <x:f t="shared" si="38"/>
        <x:v>1</x:v>
      </x:c>
      <x:c r="S380">
        <x:f t="shared" si="39"/>
        <x:v>3</x:v>
      </x:c>
      <x:c r="T380" t="str">
        <x:f t="shared" si="40"/>
        <x:v>DerivedFromCount</x:v>
      </x:c>
      <x:c r="U380" t="str">
        <x:f>IF(COUNTIF(DailyProduction!$Q$5:$Q$100,B380)=1,"OK","CHECK")</x:f>
        <x:v>OK</x:v>
      </x:c>
      <x:c r="V380" t="str">
        <x:f t="shared" si="41"/>
        <x:v>OK</x:v>
      </x:c>
      <x:c r="W380" t="str">
        <x:f>IF(SUMIF($B$5:$B$914,B380,$S$5:$S$914)=SUMIF(DailyProduction!$Q$5:$Q$100,B380,DailyProduction!$R$5:$R$100),"OK","CHECK")</x:f>
        <x:v>OK</x:v>
      </x:c>
      <x:c r="X380" t="str">
        <x:v>PLC-PRD-JAR-330-L23</x:v>
      </x:c>
      <x:c r="Y380" t="str">
        <x:v>OK</x:v>
      </x:c>
      <x:c r="Z380" t="str">
        <x:v>OK</x:v>
      </x:c>
      <x:c r="AA380" t="n">
        <x:v>3</x:v>
      </x:c>
      <x:c r="AB380" t="n">
        <x:v>3</x:v>
      </x:c>
      <x:c r="AC380" t="str">
        <x:v>OK</x:v>
      </x:c>
      <x:c r="AD380" t="str">
        <x:v>OK</x:v>
      </x:c>
      <x:c r="AE380" t="str">
        <x:v>LOAD</x:v>
      </x:c>
      <x:c r="AF380" t="str">
        <x:v>02_Supervisor_Log(4).xlsx</x:v>
      </x:c>
      <x:c r="AG380" t="str">
        <x:v>ENH-20260830-01</x:v>
      </x:c>
      <x:c r="AH380" t="str">
        <x:v>Active</x:v>
      </x:c>
      <x:c r="AI380"/>
      <x:c r="AJ380"/>
      <x:c r="AK380"/>
      <x:c r="AL380"/>
    </x:row>
    <x:row r="381">
      <x:c r="A381" t="s">
        <x:v>603</x:v>
      </x:c>
      <x:c r="B381" t="s">
        <x:v>591</x:v>
      </x:c>
      <x:c r="C381" t="s">
        <x:v>44</x:v>
      </x:c>
      <x:c r="D381">
        <x:v>45950</x:v>
      </x:c>
      <x:c r="E381" t="s">
        <x:v>45</x:v>
      </x:c>
      <x:c r="F381" t="s">
        <x:v>55</x:v>
      </x:c>
      <x:c r="G381">
        <x:v>23</x:v>
      </x:c>
      <x:c r="H381" t="s">
        <x:v>64</x:v>
      </x:c>
      <x:c r="I381">
        <x:v>13</x:v>
      </x:c>
      <x:c r="J381">
        <x:v>12</x:v>
      </x:c>
      <x:c r="K381">
        <x:v>3</x:v>
      </x:c>
      <x:c r="L381">
        <x:f t="shared" si="35"/>
        <x:v>0</x:v>
      </x:c>
      <x:c r="P381">
        <x:f t="shared" si="36"/>
        <x:v>0</x:v>
      </x:c>
      <x:c r="Q381">
        <x:f t="shared" si="37"/>
        <x:v>0</x:v>
      </x:c>
      <x:c r="R381">
        <x:f t="shared" si="38"/>
        <x:v>0</x:v>
      </x:c>
      <x:c r="S381">
        <x:f t="shared" si="39"/>
        <x:v>0</x:v>
      </x:c>
      <x:c r="T381" t="str">
        <x:f t="shared" si="40"/>
        <x:v>DerivedFromCount</x:v>
      </x:c>
      <x:c r="U381" t="str">
        <x:f>IF(COUNTIF(DailyProduction!$Q$5:$Q$100,B381)=1,"OK","CHECK")</x:f>
        <x:v>OK</x:v>
      </x:c>
      <x:c r="V381" t="str">
        <x:f t="shared" si="41"/>
        <x:v>OK</x:v>
      </x:c>
      <x:c r="W381" t="str">
        <x:f>IF(SUMIF($B$5:$B$914,B381,$S$5:$S$914)=SUMIF(DailyProduction!$Q$5:$Q$100,B381,DailyProduction!$R$5:$R$100),"OK","CHECK")</x:f>
        <x:v>OK</x:v>
      </x:c>
      <x:c r="X381" t="str">
        <x:v>PLC-PRD-JAR-330-L23</x:v>
      </x:c>
      <x:c r="Y381" t="str">
        <x:v>OK</x:v>
      </x:c>
      <x:c r="Z381" t="str">
        <x:v>OK</x:v>
      </x:c>
      <x:c r="AA381" t="n">
        <x:v>3</x:v>
      </x:c>
      <x:c r="AB381" t="n">
        <x:v>0</x:v>
      </x:c>
      <x:c r="AC381" t="str">
        <x:v>OK</x:v>
      </x:c>
      <x:c r="AD381" t="str">
        <x:v>OK</x:v>
      </x:c>
      <x:c r="AE381" t="str">
        <x:v>LOAD</x:v>
      </x:c>
      <x:c r="AF381" t="str">
        <x:v>02_Supervisor_Log(4).xlsx</x:v>
      </x:c>
      <x:c r="AG381" t="str">
        <x:v>ENH-20260830-01</x:v>
      </x:c>
      <x:c r="AH381" t="str">
        <x:v>Active</x:v>
      </x:c>
      <x:c r="AI381"/>
      <x:c r="AJ381"/>
      <x:c r="AK381"/>
      <x:c r="AL381"/>
    </x:row>
    <x:row r="382">
      <x:c r="A382" t="s">
        <x:v>604</x:v>
      </x:c>
      <x:c r="B382" t="s">
        <x:v>605</x:v>
      </x:c>
      <x:c r="C382" t="s">
        <x:v>44</x:v>
      </x:c>
      <x:c r="D382">
        <x:v>45950</x:v>
      </x:c>
      <x:c r="E382" t="s">
        <x:v>187</x:v>
      </x:c>
      <x:c r="F382" t="s">
        <x:v>46</x:v>
      </x:c>
      <x:c r="G382">
        <x:v>23</x:v>
      </x:c>
      <x:c r="H382" t="s">
        <x:v>64</x:v>
      </x:c>
      <x:c r="I382">
        <x:v>1</x:v>
      </x:c>
      <x:c r="J382">
        <x:v>12</x:v>
      </x:c>
      <x:c r="K382">
        <x:v>3</x:v>
      </x:c>
      <x:c r="L382">
        <x:f t="shared" si="35"/>
        <x:v>1</x:v>
      </x:c>
      <x:c r="P382">
        <x:f t="shared" si="36"/>
        <x:v>1</x:v>
      </x:c>
      <x:c r="Q382">
        <x:f t="shared" si="37"/>
        <x:v>1</x:v>
      </x:c>
      <x:c r="R382">
        <x:f t="shared" si="38"/>
        <x:v>1</x:v>
      </x:c>
      <x:c r="S382">
        <x:f t="shared" si="39"/>
        <x:v>3</x:v>
      </x:c>
      <x:c r="T382" t="str">
        <x:f t="shared" si="40"/>
        <x:v>DerivedFromCount</x:v>
      </x:c>
      <x:c r="U382" t="str">
        <x:f>IF(COUNTIF(DailyProduction!$Q$5:$Q$100,B382)=1,"OK","CHECK")</x:f>
        <x:v>OK</x:v>
      </x:c>
      <x:c r="V382" t="str">
        <x:f t="shared" si="41"/>
        <x:v>OK</x:v>
      </x:c>
      <x:c r="W382" t="str">
        <x:f>IF(SUMIF($B$5:$B$914,B382,$S$5:$S$914)=SUMIF(DailyProduction!$Q$5:$Q$100,B382,DailyProduction!$R$5:$R$100),"OK","CHECK")</x:f>
        <x:v>OK</x:v>
      </x:c>
      <x:c r="X382" t="str">
        <x:v>PLC-PRD-JAR-330-L23</x:v>
      </x:c>
      <x:c r="Y382" t="str">
        <x:v>OK</x:v>
      </x:c>
      <x:c r="Z382" t="str">
        <x:v>OK</x:v>
      </x:c>
      <x:c r="AA382" t="n">
        <x:v>3</x:v>
      </x:c>
      <x:c r="AB382" t="n">
        <x:v>3</x:v>
      </x:c>
      <x:c r="AC382" t="str">
        <x:v>OK</x:v>
      </x:c>
      <x:c r="AD382" t="str">
        <x:v>OK</x:v>
      </x:c>
      <x:c r="AE382" t="str">
        <x:v>LOAD</x:v>
      </x:c>
      <x:c r="AF382" t="str">
        <x:v>02_Supervisor_Log(4).xlsx</x:v>
      </x:c>
      <x:c r="AG382" t="str">
        <x:v>ENH-20260830-01</x:v>
      </x:c>
      <x:c r="AH382" t="str">
        <x:v>Active</x:v>
      </x:c>
      <x:c r="AI382"/>
      <x:c r="AJ382"/>
      <x:c r="AK382"/>
      <x:c r="AL382"/>
    </x:row>
    <x:row r="383">
      <x:c r="A383" t="s">
        <x:v>606</x:v>
      </x:c>
      <x:c r="B383" t="s">
        <x:v>605</x:v>
      </x:c>
      <x:c r="C383" t="s">
        <x:v>44</x:v>
      </x:c>
      <x:c r="D383">
        <x:v>45950</x:v>
      </x:c>
      <x:c r="E383" t="s">
        <x:v>187</x:v>
      </x:c>
      <x:c r="F383" t="s">
        <x:v>46</x:v>
      </x:c>
      <x:c r="G383">
        <x:v>23</x:v>
      </x:c>
      <x:c r="H383" t="s">
        <x:v>64</x:v>
      </x:c>
      <x:c r="I383">
        <x:v>2</x:v>
      </x:c>
      <x:c r="J383">
        <x:v>12</x:v>
      </x:c>
      <x:c r="K383">
        <x:v>3</x:v>
      </x:c>
      <x:c r="L383">
        <x:f t="shared" si="35"/>
        <x:v>1</x:v>
      </x:c>
      <x:c r="P383">
        <x:f t="shared" si="36"/>
        <x:v>1</x:v>
      </x:c>
      <x:c r="Q383">
        <x:f t="shared" si="37"/>
        <x:v>1</x:v>
      </x:c>
      <x:c r="R383">
        <x:f t="shared" si="38"/>
        <x:v>1</x:v>
      </x:c>
      <x:c r="S383">
        <x:f t="shared" si="39"/>
        <x:v>3</x:v>
      </x:c>
      <x:c r="T383" t="str">
        <x:f t="shared" si="40"/>
        <x:v>DerivedFromCount</x:v>
      </x:c>
      <x:c r="U383" t="str">
        <x:f>IF(COUNTIF(DailyProduction!$Q$5:$Q$100,B383)=1,"OK","CHECK")</x:f>
        <x:v>OK</x:v>
      </x:c>
      <x:c r="V383" t="str">
        <x:f t="shared" si="41"/>
        <x:v>OK</x:v>
      </x:c>
      <x:c r="W383" t="str">
        <x:f>IF(SUMIF($B$5:$B$914,B383,$S$5:$S$914)=SUMIF(DailyProduction!$Q$5:$Q$100,B383,DailyProduction!$R$5:$R$100),"OK","CHECK")</x:f>
        <x:v>OK</x:v>
      </x:c>
      <x:c r="X383" t="str">
        <x:v>PLC-PRD-JAR-330-L23</x:v>
      </x:c>
      <x:c r="Y383" t="str">
        <x:v>OK</x:v>
      </x:c>
      <x:c r="Z383" t="str">
        <x:v>OK</x:v>
      </x:c>
      <x:c r="AA383" t="n">
        <x:v>3</x:v>
      </x:c>
      <x:c r="AB383" t="n">
        <x:v>3</x:v>
      </x:c>
      <x:c r="AC383" t="str">
        <x:v>OK</x:v>
      </x:c>
      <x:c r="AD383" t="str">
        <x:v>OK</x:v>
      </x:c>
      <x:c r="AE383" t="str">
        <x:v>LOAD</x:v>
      </x:c>
      <x:c r="AF383" t="str">
        <x:v>02_Supervisor_Log(4).xlsx</x:v>
      </x:c>
      <x:c r="AG383" t="str">
        <x:v>ENH-20260830-01</x:v>
      </x:c>
      <x:c r="AH383" t="str">
        <x:v>Active</x:v>
      </x:c>
      <x:c r="AI383"/>
      <x:c r="AJ383"/>
      <x:c r="AK383"/>
      <x:c r="AL383"/>
    </x:row>
    <x:row r="384">
      <x:c r="A384" t="s">
        <x:v>607</x:v>
      </x:c>
      <x:c r="B384" t="s">
        <x:v>605</x:v>
      </x:c>
      <x:c r="C384" t="s">
        <x:v>44</x:v>
      </x:c>
      <x:c r="D384">
        <x:v>45950</x:v>
      </x:c>
      <x:c r="E384" t="s">
        <x:v>187</x:v>
      </x:c>
      <x:c r="F384" t="s">
        <x:v>46</x:v>
      </x:c>
      <x:c r="G384">
        <x:v>23</x:v>
      </x:c>
      <x:c r="H384" t="s">
        <x:v>64</x:v>
      </x:c>
      <x:c r="I384">
        <x:v>3</x:v>
      </x:c>
      <x:c r="J384">
        <x:v>12</x:v>
      </x:c>
      <x:c r="K384">
        <x:v>3</x:v>
      </x:c>
      <x:c r="L384">
        <x:f t="shared" si="35"/>
        <x:v>1</x:v>
      </x:c>
      <x:c r="P384">
        <x:f t="shared" si="36"/>
        <x:v>1</x:v>
      </x:c>
      <x:c r="Q384">
        <x:f t="shared" si="37"/>
        <x:v>1</x:v>
      </x:c>
      <x:c r="R384">
        <x:f t="shared" si="38"/>
        <x:v>1</x:v>
      </x:c>
      <x:c r="S384">
        <x:f t="shared" si="39"/>
        <x:v>3</x:v>
      </x:c>
      <x:c r="T384" t="str">
        <x:f t="shared" si="40"/>
        <x:v>DerivedFromCount</x:v>
      </x:c>
      <x:c r="U384" t="str">
        <x:f>IF(COUNTIF(DailyProduction!$Q$5:$Q$100,B384)=1,"OK","CHECK")</x:f>
        <x:v>OK</x:v>
      </x:c>
      <x:c r="V384" t="str">
        <x:f t="shared" si="41"/>
        <x:v>OK</x:v>
      </x:c>
      <x:c r="W384" t="str">
        <x:f>IF(SUMIF($B$5:$B$914,B384,$S$5:$S$914)=SUMIF(DailyProduction!$Q$5:$Q$100,B384,DailyProduction!$R$5:$R$100),"OK","CHECK")</x:f>
        <x:v>OK</x:v>
      </x:c>
      <x:c r="X384" t="str">
        <x:v>PLC-PRD-JAR-330-L23</x:v>
      </x:c>
      <x:c r="Y384" t="str">
        <x:v>OK</x:v>
      </x:c>
      <x:c r="Z384" t="str">
        <x:v>OK</x:v>
      </x:c>
      <x:c r="AA384" t="n">
        <x:v>3</x:v>
      </x:c>
      <x:c r="AB384" t="n">
        <x:v>3</x:v>
      </x:c>
      <x:c r="AC384" t="str">
        <x:v>OK</x:v>
      </x:c>
      <x:c r="AD384" t="str">
        <x:v>OK</x:v>
      </x:c>
      <x:c r="AE384" t="str">
        <x:v>LOAD</x:v>
      </x:c>
      <x:c r="AF384" t="str">
        <x:v>02_Supervisor_Log(4).xlsx</x:v>
      </x:c>
      <x:c r="AG384" t="str">
        <x:v>ENH-20260830-01</x:v>
      </x:c>
      <x:c r="AH384" t="str">
        <x:v>Active</x:v>
      </x:c>
      <x:c r="AI384"/>
      <x:c r="AJ384"/>
      <x:c r="AK384"/>
      <x:c r="AL384"/>
    </x:row>
    <x:row r="385">
      <x:c r="A385" t="s">
        <x:v>608</x:v>
      </x:c>
      <x:c r="B385" t="s">
        <x:v>605</x:v>
      </x:c>
      <x:c r="C385" t="s">
        <x:v>44</x:v>
      </x:c>
      <x:c r="D385">
        <x:v>45950</x:v>
      </x:c>
      <x:c r="E385" t="s">
        <x:v>187</x:v>
      </x:c>
      <x:c r="F385" t="s">
        <x:v>46</x:v>
      </x:c>
      <x:c r="G385">
        <x:v>23</x:v>
      </x:c>
      <x:c r="H385" t="s">
        <x:v>64</x:v>
      </x:c>
      <x:c r="I385">
        <x:v>4</x:v>
      </x:c>
      <x:c r="J385">
        <x:v>12</x:v>
      </x:c>
      <x:c r="K385">
        <x:v>3</x:v>
      </x:c>
      <x:c r="L385">
        <x:f t="shared" si="35"/>
        <x:v>1</x:v>
      </x:c>
      <x:c r="P385">
        <x:f t="shared" si="36"/>
        <x:v>1</x:v>
      </x:c>
      <x:c r="Q385">
        <x:f t="shared" si="37"/>
        <x:v>1</x:v>
      </x:c>
      <x:c r="R385">
        <x:f t="shared" si="38"/>
        <x:v>1</x:v>
      </x:c>
      <x:c r="S385">
        <x:f t="shared" si="39"/>
        <x:v>3</x:v>
      </x:c>
      <x:c r="T385" t="str">
        <x:f t="shared" si="40"/>
        <x:v>DerivedFromCount</x:v>
      </x:c>
      <x:c r="U385" t="str">
        <x:f>IF(COUNTIF(DailyProduction!$Q$5:$Q$100,B385)=1,"OK","CHECK")</x:f>
        <x:v>OK</x:v>
      </x:c>
      <x:c r="V385" t="str">
        <x:f t="shared" si="41"/>
        <x:v>OK</x:v>
      </x:c>
      <x:c r="W385" t="str">
        <x:f>IF(SUMIF($B$5:$B$914,B385,$S$5:$S$914)=SUMIF(DailyProduction!$Q$5:$Q$100,B385,DailyProduction!$R$5:$R$100),"OK","CHECK")</x:f>
        <x:v>OK</x:v>
      </x:c>
      <x:c r="X385" t="str">
        <x:v>PLC-PRD-JAR-330-L23</x:v>
      </x:c>
      <x:c r="Y385" t="str">
        <x:v>OK</x:v>
      </x:c>
      <x:c r="Z385" t="str">
        <x:v>OK</x:v>
      </x:c>
      <x:c r="AA385" t="n">
        <x:v>3</x:v>
      </x:c>
      <x:c r="AB385" t="n">
        <x:v>3</x:v>
      </x:c>
      <x:c r="AC385" t="str">
        <x:v>OK</x:v>
      </x:c>
      <x:c r="AD385" t="str">
        <x:v>OK</x:v>
      </x:c>
      <x:c r="AE385" t="str">
        <x:v>LOAD</x:v>
      </x:c>
      <x:c r="AF385" t="str">
        <x:v>02_Supervisor_Log(4).xlsx</x:v>
      </x:c>
      <x:c r="AG385" t="str">
        <x:v>ENH-20260830-01</x:v>
      </x:c>
      <x:c r="AH385" t="str">
        <x:v>Active</x:v>
      </x:c>
      <x:c r="AI385"/>
      <x:c r="AJ385"/>
      <x:c r="AK385"/>
      <x:c r="AL385"/>
    </x:row>
    <x:row r="386">
      <x:c r="A386" t="s">
        <x:v>609</x:v>
      </x:c>
      <x:c r="B386" t="s">
        <x:v>605</x:v>
      </x:c>
      <x:c r="C386" t="s">
        <x:v>44</x:v>
      </x:c>
      <x:c r="D386">
        <x:v>45950</x:v>
      </x:c>
      <x:c r="E386" t="s">
        <x:v>187</x:v>
      </x:c>
      <x:c r="F386" t="s">
        <x:v>46</x:v>
      </x:c>
      <x:c r="G386">
        <x:v>23</x:v>
      </x:c>
      <x:c r="H386" t="s">
        <x:v>64</x:v>
      </x:c>
      <x:c r="I386">
        <x:v>5</x:v>
      </x:c>
      <x:c r="J386">
        <x:v>12</x:v>
      </x:c>
      <x:c r="K386">
        <x:v>3</x:v>
      </x:c>
      <x:c r="L386">
        <x:f t="shared" si="35"/>
        <x:v>1</x:v>
      </x:c>
      <x:c r="P386">
        <x:f t="shared" si="36"/>
        <x:v>1</x:v>
      </x:c>
      <x:c r="Q386">
        <x:f t="shared" si="37"/>
        <x:v>1</x:v>
      </x:c>
      <x:c r="R386">
        <x:f t="shared" si="38"/>
        <x:v>1</x:v>
      </x:c>
      <x:c r="S386">
        <x:f t="shared" si="39"/>
        <x:v>3</x:v>
      </x:c>
      <x:c r="T386" t="str">
        <x:f t="shared" si="40"/>
        <x:v>DerivedFromCount</x:v>
      </x:c>
      <x:c r="U386" t="str">
        <x:f>IF(COUNTIF(DailyProduction!$Q$5:$Q$100,B386)=1,"OK","CHECK")</x:f>
        <x:v>OK</x:v>
      </x:c>
      <x:c r="V386" t="str">
        <x:f t="shared" si="41"/>
        <x:v>OK</x:v>
      </x:c>
      <x:c r="W386" t="str">
        <x:f>IF(SUMIF($B$5:$B$914,B386,$S$5:$S$914)=SUMIF(DailyProduction!$Q$5:$Q$100,B386,DailyProduction!$R$5:$R$100),"OK","CHECK")</x:f>
        <x:v>OK</x:v>
      </x:c>
      <x:c r="X386" t="str">
        <x:v>PLC-PRD-JAR-330-L23</x:v>
      </x:c>
      <x:c r="Y386" t="str">
        <x:v>OK</x:v>
      </x:c>
      <x:c r="Z386" t="str">
        <x:v>OK</x:v>
      </x:c>
      <x:c r="AA386" t="n">
        <x:v>3</x:v>
      </x:c>
      <x:c r="AB386" t="n">
        <x:v>3</x:v>
      </x:c>
      <x:c r="AC386" t="str">
        <x:v>OK</x:v>
      </x:c>
      <x:c r="AD386" t="str">
        <x:v>OK</x:v>
      </x:c>
      <x:c r="AE386" t="str">
        <x:v>LOAD</x:v>
      </x:c>
      <x:c r="AF386" t="str">
        <x:v>02_Supervisor_Log(4).xlsx</x:v>
      </x:c>
      <x:c r="AG386" t="str">
        <x:v>ENH-20260830-01</x:v>
      </x:c>
      <x:c r="AH386" t="str">
        <x:v>Active</x:v>
      </x:c>
      <x:c r="AI386"/>
      <x:c r="AJ386"/>
      <x:c r="AK386"/>
      <x:c r="AL386"/>
    </x:row>
    <x:row r="387">
      <x:c r="A387" t="s">
        <x:v>610</x:v>
      </x:c>
      <x:c r="B387" t="s">
        <x:v>605</x:v>
      </x:c>
      <x:c r="C387" t="s">
        <x:v>44</x:v>
      </x:c>
      <x:c r="D387">
        <x:v>45950</x:v>
      </x:c>
      <x:c r="E387" t="s">
        <x:v>187</x:v>
      </x:c>
      <x:c r="F387" t="s">
        <x:v>46</x:v>
      </x:c>
      <x:c r="G387">
        <x:v>23</x:v>
      </x:c>
      <x:c r="H387" t="s">
        <x:v>64</x:v>
      </x:c>
      <x:c r="I387">
        <x:v>6</x:v>
      </x:c>
      <x:c r="J387">
        <x:v>12</x:v>
      </x:c>
      <x:c r="K387">
        <x:v>3</x:v>
      </x:c>
      <x:c r="L387">
        <x:f t="shared" si="35"/>
        <x:v>1</x:v>
      </x:c>
      <x:c r="P387">
        <x:f t="shared" si="36"/>
        <x:v>1</x:v>
      </x:c>
      <x:c r="Q387">
        <x:f t="shared" si="37"/>
        <x:v>1</x:v>
      </x:c>
      <x:c r="R387">
        <x:f t="shared" si="38"/>
        <x:v>1</x:v>
      </x:c>
      <x:c r="S387">
        <x:f t="shared" si="39"/>
        <x:v>3</x:v>
      </x:c>
      <x:c r="T387" t="str">
        <x:f t="shared" si="40"/>
        <x:v>DerivedFromCount</x:v>
      </x:c>
      <x:c r="U387" t="str">
        <x:f>IF(COUNTIF(DailyProduction!$Q$5:$Q$100,B387)=1,"OK","CHECK")</x:f>
        <x:v>OK</x:v>
      </x:c>
      <x:c r="V387" t="str">
        <x:f t="shared" si="41"/>
        <x:v>OK</x:v>
      </x:c>
      <x:c r="W387" t="str">
        <x:f>IF(SUMIF($B$5:$B$914,B387,$S$5:$S$914)=SUMIF(DailyProduction!$Q$5:$Q$100,B387,DailyProduction!$R$5:$R$100),"OK","CHECK")</x:f>
        <x:v>OK</x:v>
      </x:c>
      <x:c r="X387" t="str">
        <x:v>PLC-PRD-JAR-330-L23</x:v>
      </x:c>
      <x:c r="Y387" t="str">
        <x:v>OK</x:v>
      </x:c>
      <x:c r="Z387" t="str">
        <x:v>OK</x:v>
      </x:c>
      <x:c r="AA387" t="n">
        <x:v>3</x:v>
      </x:c>
      <x:c r="AB387" t="n">
        <x:v>3</x:v>
      </x:c>
      <x:c r="AC387" t="str">
        <x:v>OK</x:v>
      </x:c>
      <x:c r="AD387" t="str">
        <x:v>OK</x:v>
      </x:c>
      <x:c r="AE387" t="str">
        <x:v>LOAD</x:v>
      </x:c>
      <x:c r="AF387" t="str">
        <x:v>02_Supervisor_Log(4).xlsx</x:v>
      </x:c>
      <x:c r="AG387" t="str">
        <x:v>ENH-20260830-01</x:v>
      </x:c>
      <x:c r="AH387" t="str">
        <x:v>Active</x:v>
      </x:c>
      <x:c r="AI387"/>
      <x:c r="AJ387"/>
      <x:c r="AK387"/>
      <x:c r="AL387"/>
    </x:row>
    <x:row r="388">
      <x:c r="A388" t="s">
        <x:v>611</x:v>
      </x:c>
      <x:c r="B388" t="s">
        <x:v>605</x:v>
      </x:c>
      <x:c r="C388" t="s">
        <x:v>44</x:v>
      </x:c>
      <x:c r="D388">
        <x:v>45950</x:v>
      </x:c>
      <x:c r="E388" t="s">
        <x:v>187</x:v>
      </x:c>
      <x:c r="F388" t="s">
        <x:v>46</x:v>
      </x:c>
      <x:c r="G388">
        <x:v>23</x:v>
      </x:c>
      <x:c r="H388" t="s">
        <x:v>64</x:v>
      </x:c>
      <x:c r="I388">
        <x:v>7</x:v>
      </x:c>
      <x:c r="J388">
        <x:v>12</x:v>
      </x:c>
      <x:c r="K388">
        <x:v>3</x:v>
      </x:c>
      <x:c r="L388">
        <x:f t="shared" si="35"/>
        <x:v>1</x:v>
      </x:c>
      <x:c r="P388">
        <x:f t="shared" si="36"/>
        <x:v>1</x:v>
      </x:c>
      <x:c r="Q388">
        <x:f t="shared" si="37"/>
        <x:v>1</x:v>
      </x:c>
      <x:c r="R388">
        <x:f t="shared" si="38"/>
        <x:v>1</x:v>
      </x:c>
      <x:c r="S388">
        <x:f t="shared" si="39"/>
        <x:v>3</x:v>
      </x:c>
      <x:c r="T388" t="str">
        <x:f t="shared" si="40"/>
        <x:v>DerivedFromCount</x:v>
      </x:c>
      <x:c r="U388" t="str">
        <x:f>IF(COUNTIF(DailyProduction!$Q$5:$Q$100,B388)=1,"OK","CHECK")</x:f>
        <x:v>OK</x:v>
      </x:c>
      <x:c r="V388" t="str">
        <x:f t="shared" si="41"/>
        <x:v>OK</x:v>
      </x:c>
      <x:c r="W388" t="str">
        <x:f>IF(SUMIF($B$5:$B$914,B388,$S$5:$S$914)=SUMIF(DailyProduction!$Q$5:$Q$100,B388,DailyProduction!$R$5:$R$100),"OK","CHECK")</x:f>
        <x:v>OK</x:v>
      </x:c>
      <x:c r="X388" t="str">
        <x:v>PLC-PRD-JAR-330-L23</x:v>
      </x:c>
      <x:c r="Y388" t="str">
        <x:v>OK</x:v>
      </x:c>
      <x:c r="Z388" t="str">
        <x:v>OK</x:v>
      </x:c>
      <x:c r="AA388" t="n">
        <x:v>3</x:v>
      </x:c>
      <x:c r="AB388" t="n">
        <x:v>3</x:v>
      </x:c>
      <x:c r="AC388" t="str">
        <x:v>OK</x:v>
      </x:c>
      <x:c r="AD388" t="str">
        <x:v>OK</x:v>
      </x:c>
      <x:c r="AE388" t="str">
        <x:v>LOAD</x:v>
      </x:c>
      <x:c r="AF388" t="str">
        <x:v>02_Supervisor_Log(4).xlsx</x:v>
      </x:c>
      <x:c r="AG388" t="str">
        <x:v>ENH-20260830-01</x:v>
      </x:c>
      <x:c r="AH388" t="str">
        <x:v>Active</x:v>
      </x:c>
      <x:c r="AI388"/>
      <x:c r="AJ388"/>
      <x:c r="AK388"/>
      <x:c r="AL388"/>
    </x:row>
    <x:row r="389">
      <x:c r="A389" t="s">
        <x:v>612</x:v>
      </x:c>
      <x:c r="B389" t="s">
        <x:v>605</x:v>
      </x:c>
      <x:c r="C389" t="s">
        <x:v>44</x:v>
      </x:c>
      <x:c r="D389">
        <x:v>45950</x:v>
      </x:c>
      <x:c r="E389" t="s">
        <x:v>187</x:v>
      </x:c>
      <x:c r="F389" t="s">
        <x:v>46</x:v>
      </x:c>
      <x:c r="G389">
        <x:v>23</x:v>
      </x:c>
      <x:c r="H389" t="s">
        <x:v>64</x:v>
      </x:c>
      <x:c r="I389">
        <x:v>8</x:v>
      </x:c>
      <x:c r="J389">
        <x:v>12</x:v>
      </x:c>
      <x:c r="K389">
        <x:v>3</x:v>
      </x:c>
      <x:c r="L389" t="n">
        <x:f t="shared" ref="L389:L452" si="42">IF(I389&lt;=J389,1,0)</x:f>
        <x:v>1</x:v>
      </x:c>
      <x:c r="P389" t="n">
        <x:f t="shared" ref="P389:P452" si="43">IF(M389="",IF(AND(L389=1,K389&gt;=1),1,0),M389)</x:f>
        <x:v>1</x:v>
      </x:c>
      <x:c r="Q389" t="n">
        <x:f t="shared" ref="Q389:Q452" si="44">IF(N389="",IF(AND(L389=1,K389&gt;=2),1,0),N389)</x:f>
        <x:v>1</x:v>
      </x:c>
      <x:c r="R389" t="n">
        <x:f t="shared" ref="R389:R452" si="45">IF(O389="",IF(AND(L389=1,K389&gt;=3),1,0),O389)</x:f>
        <x:v>1</x:v>
      </x:c>
      <x:c r="S389" t="n">
        <x:f t="shared" ref="S389:S452" si="46">SUM(P389:R389)</x:f>
        <x:v>3</x:v>
      </x:c>
      <x:c r="T389" t="str">
        <x:f t="shared" ref="T389:T452" si="47">IF(COUNTA(M389:O389)=0,"DerivedFromCount","ManualOverride")</x:f>
        <x:v>DerivedFromCount</x:v>
      </x:c>
      <x:c r="U389" t="str">
        <x:f>IF(COUNTIF(DailyProduction!$Q$5:$Q$100,B389)=1,"OK","CHECK")</x:f>
        <x:v>OK</x:v>
      </x:c>
      <x:c r="V389" t="str">
        <x:f t="shared" ref="V389:V452" si="48">IF(AND(I389&gt;=1,I389&lt;=13,K389&gt;=1,K389&lt;=3),"OK","CHECK")</x:f>
        <x:v>OK</x:v>
      </x:c>
      <x:c r="W389" t="str">
        <x:f>IF(SUMIF($B$5:$B$914,B389,$S$5:$S$914)=SUMIF(DailyProduction!$Q$5:$Q$100,B389,DailyProduction!$R$5:$R$100),"OK","CHECK")</x:f>
        <x:v>OK</x:v>
      </x:c>
      <x:c r="X389" t="str">
        <x:v>PLC-PRD-JAR-330-L23</x:v>
      </x:c>
      <x:c r="Y389" t="str">
        <x:v>OK</x:v>
      </x:c>
      <x:c r="Z389" t="str">
        <x:v>OK</x:v>
      </x:c>
      <x:c r="AA389" t="n">
        <x:v>3</x:v>
      </x:c>
      <x:c r="AB389" t="n">
        <x:v>3</x:v>
      </x:c>
      <x:c r="AC389" t="str">
        <x:v>OK</x:v>
      </x:c>
      <x:c r="AD389" t="str">
        <x:v>OK</x:v>
      </x:c>
      <x:c r="AE389" t="str">
        <x:v>LOAD</x:v>
      </x:c>
      <x:c r="AF389" t="str">
        <x:v>02_Supervisor_Log(4).xlsx</x:v>
      </x:c>
      <x:c r="AG389" t="str">
        <x:v>ENH-20260830-01</x:v>
      </x:c>
      <x:c r="AH389" t="str">
        <x:v>Active</x:v>
      </x:c>
      <x:c r="AI389"/>
      <x:c r="AJ389"/>
      <x:c r="AK389"/>
      <x:c r="AL389"/>
    </x:row>
    <x:row r="390">
      <x:c r="A390" t="s">
        <x:v>613</x:v>
      </x:c>
      <x:c r="B390" t="s">
        <x:v>605</x:v>
      </x:c>
      <x:c r="C390" t="s">
        <x:v>44</x:v>
      </x:c>
      <x:c r="D390">
        <x:v>45950</x:v>
      </x:c>
      <x:c r="E390" t="s">
        <x:v>187</x:v>
      </x:c>
      <x:c r="F390" t="s">
        <x:v>46</x:v>
      </x:c>
      <x:c r="G390">
        <x:v>23</x:v>
      </x:c>
      <x:c r="H390" t="s">
        <x:v>64</x:v>
      </x:c>
      <x:c r="I390">
        <x:v>9</x:v>
      </x:c>
      <x:c r="J390">
        <x:v>12</x:v>
      </x:c>
      <x:c r="K390">
        <x:v>3</x:v>
      </x:c>
      <x:c r="L390">
        <x:f t="shared" si="42"/>
        <x:v>1</x:v>
      </x:c>
      <x:c r="P390">
        <x:f t="shared" si="43"/>
        <x:v>1</x:v>
      </x:c>
      <x:c r="Q390">
        <x:f t="shared" si="44"/>
        <x:v>1</x:v>
      </x:c>
      <x:c r="R390">
        <x:f t="shared" si="45"/>
        <x:v>1</x:v>
      </x:c>
      <x:c r="S390">
        <x:f t="shared" si="46"/>
        <x:v>3</x:v>
      </x:c>
      <x:c r="T390" t="str">
        <x:f t="shared" si="47"/>
        <x:v>DerivedFromCount</x:v>
      </x:c>
      <x:c r="U390" t="str">
        <x:f>IF(COUNTIF(DailyProduction!$Q$5:$Q$100,B390)=1,"OK","CHECK")</x:f>
        <x:v>OK</x:v>
      </x:c>
      <x:c r="V390" t="str">
        <x:f t="shared" si="48"/>
        <x:v>OK</x:v>
      </x:c>
      <x:c r="W390" t="str">
        <x:f>IF(SUMIF($B$5:$B$914,B390,$S$5:$S$914)=SUMIF(DailyProduction!$Q$5:$Q$100,B390,DailyProduction!$R$5:$R$100),"OK","CHECK")</x:f>
        <x:v>OK</x:v>
      </x:c>
      <x:c r="X390" t="str">
        <x:v>PLC-PRD-JAR-330-L23</x:v>
      </x:c>
      <x:c r="Y390" t="str">
        <x:v>OK</x:v>
      </x:c>
      <x:c r="Z390" t="str">
        <x:v>OK</x:v>
      </x:c>
      <x:c r="AA390" t="n">
        <x:v>3</x:v>
      </x:c>
      <x:c r="AB390" t="n">
        <x:v>3</x:v>
      </x:c>
      <x:c r="AC390" t="str">
        <x:v>OK</x:v>
      </x:c>
      <x:c r="AD390" t="str">
        <x:v>OK</x:v>
      </x:c>
      <x:c r="AE390" t="str">
        <x:v>LOAD</x:v>
      </x:c>
      <x:c r="AF390" t="str">
        <x:v>02_Supervisor_Log(4).xlsx</x:v>
      </x:c>
      <x:c r="AG390" t="str">
        <x:v>ENH-20260830-01</x:v>
      </x:c>
      <x:c r="AH390" t="str">
        <x:v>Active</x:v>
      </x:c>
      <x:c r="AI390"/>
      <x:c r="AJ390"/>
      <x:c r="AK390"/>
      <x:c r="AL390"/>
    </x:row>
    <x:row r="391">
      <x:c r="A391" t="s">
        <x:v>614</x:v>
      </x:c>
      <x:c r="B391" t="s">
        <x:v>605</x:v>
      </x:c>
      <x:c r="C391" t="s">
        <x:v>44</x:v>
      </x:c>
      <x:c r="D391">
        <x:v>45950</x:v>
      </x:c>
      <x:c r="E391" t="s">
        <x:v>187</x:v>
      </x:c>
      <x:c r="F391" t="s">
        <x:v>46</x:v>
      </x:c>
      <x:c r="G391">
        <x:v>23</x:v>
      </x:c>
      <x:c r="H391" t="s">
        <x:v>64</x:v>
      </x:c>
      <x:c r="I391">
        <x:v>10</x:v>
      </x:c>
      <x:c r="J391">
        <x:v>12</x:v>
      </x:c>
      <x:c r="K391">
        <x:v>3</x:v>
      </x:c>
      <x:c r="L391">
        <x:f t="shared" si="42"/>
        <x:v>1</x:v>
      </x:c>
      <x:c r="P391">
        <x:f t="shared" si="43"/>
        <x:v>1</x:v>
      </x:c>
      <x:c r="Q391">
        <x:f t="shared" si="44"/>
        <x:v>1</x:v>
      </x:c>
      <x:c r="R391">
        <x:f t="shared" si="45"/>
        <x:v>1</x:v>
      </x:c>
      <x:c r="S391">
        <x:f t="shared" si="46"/>
        <x:v>3</x:v>
      </x:c>
      <x:c r="T391" t="str">
        <x:f t="shared" si="47"/>
        <x:v>DerivedFromCount</x:v>
      </x:c>
      <x:c r="U391" t="str">
        <x:f>IF(COUNTIF(DailyProduction!$Q$5:$Q$100,B391)=1,"OK","CHECK")</x:f>
        <x:v>OK</x:v>
      </x:c>
      <x:c r="V391" t="str">
        <x:f t="shared" si="48"/>
        <x:v>OK</x:v>
      </x:c>
      <x:c r="W391" t="str">
        <x:f>IF(SUMIF($B$5:$B$914,B391,$S$5:$S$914)=SUMIF(DailyProduction!$Q$5:$Q$100,B391,DailyProduction!$R$5:$R$100),"OK","CHECK")</x:f>
        <x:v>OK</x:v>
      </x:c>
      <x:c r="X391" t="str">
        <x:v>PLC-PRD-JAR-330-L23</x:v>
      </x:c>
      <x:c r="Y391" t="str">
        <x:v>OK</x:v>
      </x:c>
      <x:c r="Z391" t="str">
        <x:v>OK</x:v>
      </x:c>
      <x:c r="AA391" t="n">
        <x:v>3</x:v>
      </x:c>
      <x:c r="AB391" t="n">
        <x:v>3</x:v>
      </x:c>
      <x:c r="AC391" t="str">
        <x:v>OK</x:v>
      </x:c>
      <x:c r="AD391" t="str">
        <x:v>OK</x:v>
      </x:c>
      <x:c r="AE391" t="str">
        <x:v>LOAD</x:v>
      </x:c>
      <x:c r="AF391" t="str">
        <x:v>02_Supervisor_Log(4).xlsx</x:v>
      </x:c>
      <x:c r="AG391" t="str">
        <x:v>ENH-20260830-01</x:v>
      </x:c>
      <x:c r="AH391" t="str">
        <x:v>Active</x:v>
      </x:c>
      <x:c r="AI391"/>
      <x:c r="AJ391"/>
      <x:c r="AK391"/>
      <x:c r="AL391"/>
    </x:row>
    <x:row r="392">
      <x:c r="A392" t="s">
        <x:v>615</x:v>
      </x:c>
      <x:c r="B392" t="s">
        <x:v>605</x:v>
      </x:c>
      <x:c r="C392" t="s">
        <x:v>44</x:v>
      </x:c>
      <x:c r="D392">
        <x:v>45950</x:v>
      </x:c>
      <x:c r="E392" t="s">
        <x:v>187</x:v>
      </x:c>
      <x:c r="F392" t="s">
        <x:v>46</x:v>
      </x:c>
      <x:c r="G392">
        <x:v>23</x:v>
      </x:c>
      <x:c r="H392" t="s">
        <x:v>64</x:v>
      </x:c>
      <x:c r="I392">
        <x:v>11</x:v>
      </x:c>
      <x:c r="J392">
        <x:v>12</x:v>
      </x:c>
      <x:c r="K392">
        <x:v>3</x:v>
      </x:c>
      <x:c r="L392">
        <x:f t="shared" si="42"/>
        <x:v>1</x:v>
      </x:c>
      <x:c r="P392">
        <x:f t="shared" si="43"/>
        <x:v>1</x:v>
      </x:c>
      <x:c r="Q392">
        <x:f t="shared" si="44"/>
        <x:v>1</x:v>
      </x:c>
      <x:c r="R392">
        <x:f t="shared" si="45"/>
        <x:v>1</x:v>
      </x:c>
      <x:c r="S392">
        <x:f t="shared" si="46"/>
        <x:v>3</x:v>
      </x:c>
      <x:c r="T392" t="str">
        <x:f t="shared" si="47"/>
        <x:v>DerivedFromCount</x:v>
      </x:c>
      <x:c r="U392" t="str">
        <x:f>IF(COUNTIF(DailyProduction!$Q$5:$Q$100,B392)=1,"OK","CHECK")</x:f>
        <x:v>OK</x:v>
      </x:c>
      <x:c r="V392" t="str">
        <x:f t="shared" si="48"/>
        <x:v>OK</x:v>
      </x:c>
      <x:c r="W392" t="str">
        <x:f>IF(SUMIF($B$5:$B$914,B392,$S$5:$S$914)=SUMIF(DailyProduction!$Q$5:$Q$100,B392,DailyProduction!$R$5:$R$100),"OK","CHECK")</x:f>
        <x:v>OK</x:v>
      </x:c>
      <x:c r="X392" t="str">
        <x:v>PLC-PRD-JAR-330-L23</x:v>
      </x:c>
      <x:c r="Y392" t="str">
        <x:v>OK</x:v>
      </x:c>
      <x:c r="Z392" t="str">
        <x:v>OK</x:v>
      </x:c>
      <x:c r="AA392" t="n">
        <x:v>3</x:v>
      </x:c>
      <x:c r="AB392" t="n">
        <x:v>3</x:v>
      </x:c>
      <x:c r="AC392" t="str">
        <x:v>OK</x:v>
      </x:c>
      <x:c r="AD392" t="str">
        <x:v>OK</x:v>
      </x:c>
      <x:c r="AE392" t="str">
        <x:v>LOAD</x:v>
      </x:c>
      <x:c r="AF392" t="str">
        <x:v>02_Supervisor_Log(4).xlsx</x:v>
      </x:c>
      <x:c r="AG392" t="str">
        <x:v>ENH-20260830-01</x:v>
      </x:c>
      <x:c r="AH392" t="str">
        <x:v>Active</x:v>
      </x:c>
      <x:c r="AI392"/>
      <x:c r="AJ392"/>
      <x:c r="AK392"/>
      <x:c r="AL392"/>
    </x:row>
    <x:row r="393">
      <x:c r="A393" t="s">
        <x:v>616</x:v>
      </x:c>
      <x:c r="B393" t="s">
        <x:v>605</x:v>
      </x:c>
      <x:c r="C393" t="s">
        <x:v>44</x:v>
      </x:c>
      <x:c r="D393">
        <x:v>45950</x:v>
      </x:c>
      <x:c r="E393" t="s">
        <x:v>187</x:v>
      </x:c>
      <x:c r="F393" t="s">
        <x:v>46</x:v>
      </x:c>
      <x:c r="G393">
        <x:v>23</x:v>
      </x:c>
      <x:c r="H393" t="s">
        <x:v>64</x:v>
      </x:c>
      <x:c r="I393">
        <x:v>12</x:v>
      </x:c>
      <x:c r="J393">
        <x:v>12</x:v>
      </x:c>
      <x:c r="K393">
        <x:v>3</x:v>
      </x:c>
      <x:c r="L393">
        <x:f t="shared" si="42"/>
        <x:v>1</x:v>
      </x:c>
      <x:c r="P393">
        <x:f t="shared" si="43"/>
        <x:v>1</x:v>
      </x:c>
      <x:c r="Q393">
        <x:f t="shared" si="44"/>
        <x:v>1</x:v>
      </x:c>
      <x:c r="R393">
        <x:f t="shared" si="45"/>
        <x:v>1</x:v>
      </x:c>
      <x:c r="S393">
        <x:f t="shared" si="46"/>
        <x:v>3</x:v>
      </x:c>
      <x:c r="T393" t="str">
        <x:f t="shared" si="47"/>
        <x:v>DerivedFromCount</x:v>
      </x:c>
      <x:c r="U393" t="str">
        <x:f>IF(COUNTIF(DailyProduction!$Q$5:$Q$100,B393)=1,"OK","CHECK")</x:f>
        <x:v>OK</x:v>
      </x:c>
      <x:c r="V393" t="str">
        <x:f t="shared" si="48"/>
        <x:v>OK</x:v>
      </x:c>
      <x:c r="W393" t="str">
        <x:f>IF(SUMIF($B$5:$B$914,B393,$S$5:$S$914)=SUMIF(DailyProduction!$Q$5:$Q$100,B393,DailyProduction!$R$5:$R$100),"OK","CHECK")</x:f>
        <x:v>OK</x:v>
      </x:c>
      <x:c r="X393" t="str">
        <x:v>PLC-PRD-JAR-330-L23</x:v>
      </x:c>
      <x:c r="Y393" t="str">
        <x:v>OK</x:v>
      </x:c>
      <x:c r="Z393" t="str">
        <x:v>OK</x:v>
      </x:c>
      <x:c r="AA393" t="n">
        <x:v>3</x:v>
      </x:c>
      <x:c r="AB393" t="n">
        <x:v>3</x:v>
      </x:c>
      <x:c r="AC393" t="str">
        <x:v>OK</x:v>
      </x:c>
      <x:c r="AD393" t="str">
        <x:v>OK</x:v>
      </x:c>
      <x:c r="AE393" t="str">
        <x:v>LOAD</x:v>
      </x:c>
      <x:c r="AF393" t="str">
        <x:v>02_Supervisor_Log(4).xlsx</x:v>
      </x:c>
      <x:c r="AG393" t="str">
        <x:v>ENH-20260830-01</x:v>
      </x:c>
      <x:c r="AH393" t="str">
        <x:v>Active</x:v>
      </x:c>
      <x:c r="AI393"/>
      <x:c r="AJ393"/>
      <x:c r="AK393"/>
      <x:c r="AL393"/>
    </x:row>
    <x:row r="394">
      <x:c r="A394" t="s">
        <x:v>617</x:v>
      </x:c>
      <x:c r="B394" t="s">
        <x:v>605</x:v>
      </x:c>
      <x:c r="C394" t="s">
        <x:v>44</x:v>
      </x:c>
      <x:c r="D394">
        <x:v>45950</x:v>
      </x:c>
      <x:c r="E394" t="s">
        <x:v>187</x:v>
      </x:c>
      <x:c r="F394" t="s">
        <x:v>46</x:v>
      </x:c>
      <x:c r="G394">
        <x:v>23</x:v>
      </x:c>
      <x:c r="H394" t="s">
        <x:v>64</x:v>
      </x:c>
      <x:c r="I394">
        <x:v>13</x:v>
      </x:c>
      <x:c r="J394">
        <x:v>12</x:v>
      </x:c>
      <x:c r="K394">
        <x:v>3</x:v>
      </x:c>
      <x:c r="L394">
        <x:f t="shared" si="42"/>
        <x:v>0</x:v>
      </x:c>
      <x:c r="P394">
        <x:f t="shared" si="43"/>
        <x:v>0</x:v>
      </x:c>
      <x:c r="Q394">
        <x:f t="shared" si="44"/>
        <x:v>0</x:v>
      </x:c>
      <x:c r="R394">
        <x:f t="shared" si="45"/>
        <x:v>0</x:v>
      </x:c>
      <x:c r="S394">
        <x:f t="shared" si="46"/>
        <x:v>0</x:v>
      </x:c>
      <x:c r="T394" t="str">
        <x:f t="shared" si="47"/>
        <x:v>DerivedFromCount</x:v>
      </x:c>
      <x:c r="U394" t="str">
        <x:f>IF(COUNTIF(DailyProduction!$Q$5:$Q$100,B394)=1,"OK","CHECK")</x:f>
        <x:v>OK</x:v>
      </x:c>
      <x:c r="V394" t="str">
        <x:f t="shared" si="48"/>
        <x:v>OK</x:v>
      </x:c>
      <x:c r="W394" t="str">
        <x:f>IF(SUMIF($B$5:$B$914,B394,$S$5:$S$914)=SUMIF(DailyProduction!$Q$5:$Q$100,B394,DailyProduction!$R$5:$R$100),"OK","CHECK")</x:f>
        <x:v>OK</x:v>
      </x:c>
      <x:c r="X394" t="str">
        <x:v>PLC-PRD-JAR-330-L23</x:v>
      </x:c>
      <x:c r="Y394" t="str">
        <x:v>OK</x:v>
      </x:c>
      <x:c r="Z394" t="str">
        <x:v>OK</x:v>
      </x:c>
      <x:c r="AA394" t="n">
        <x:v>3</x:v>
      </x:c>
      <x:c r="AB394" t="n">
        <x:v>0</x:v>
      </x:c>
      <x:c r="AC394" t="str">
        <x:v>OK</x:v>
      </x:c>
      <x:c r="AD394" t="str">
        <x:v>OK</x:v>
      </x:c>
      <x:c r="AE394" t="str">
        <x:v>LOAD</x:v>
      </x:c>
      <x:c r="AF394" t="str">
        <x:v>02_Supervisor_Log(4).xlsx</x:v>
      </x:c>
      <x:c r="AG394" t="str">
        <x:v>ENH-20260830-01</x:v>
      </x:c>
      <x:c r="AH394" t="str">
        <x:v>Active</x:v>
      </x:c>
      <x:c r="AI394"/>
      <x:c r="AJ394"/>
      <x:c r="AK394"/>
      <x:c r="AL394"/>
    </x:row>
    <x:row r="395">
      <x:c r="A395" t="s">
        <x:v>618</x:v>
      </x:c>
      <x:c r="B395" t="s">
        <x:v>619</x:v>
      </x:c>
      <x:c r="C395" t="s">
        <x:v>44</x:v>
      </x:c>
      <x:c r="D395">
        <x:v>45951</x:v>
      </x:c>
      <x:c r="E395" t="s">
        <x:v>45</x:v>
      </x:c>
      <x:c r="F395" t="s">
        <x:v>46</x:v>
      </x:c>
      <x:c r="G395">
        <x:v>23</x:v>
      </x:c>
      <x:c r="H395" t="s">
        <x:v>64</x:v>
      </x:c>
      <x:c r="I395">
        <x:v>1</x:v>
      </x:c>
      <x:c r="J395">
        <x:v>12</x:v>
      </x:c>
      <x:c r="K395">
        <x:v>3</x:v>
      </x:c>
      <x:c r="L395">
        <x:f t="shared" si="42"/>
        <x:v>1</x:v>
      </x:c>
      <x:c r="P395">
        <x:f t="shared" si="43"/>
        <x:v>1</x:v>
      </x:c>
      <x:c r="Q395">
        <x:f t="shared" si="44"/>
        <x:v>1</x:v>
      </x:c>
      <x:c r="R395">
        <x:f t="shared" si="45"/>
        <x:v>1</x:v>
      </x:c>
      <x:c r="S395">
        <x:f t="shared" si="46"/>
        <x:v>3</x:v>
      </x:c>
      <x:c r="T395" t="str">
        <x:f t="shared" si="47"/>
        <x:v>DerivedFromCount</x:v>
      </x:c>
      <x:c r="U395" t="str">
        <x:f>IF(COUNTIF(DailyProduction!$Q$5:$Q$100,B395)=1,"OK","CHECK")</x:f>
        <x:v>OK</x:v>
      </x:c>
      <x:c r="V395" t="str">
        <x:f t="shared" si="48"/>
        <x:v>OK</x:v>
      </x:c>
      <x:c r="W395" t="str">
        <x:f>IF(SUMIF($B$5:$B$914,B395,$S$5:$S$914)=SUMIF(DailyProduction!$Q$5:$Q$100,B395,DailyProduction!$R$5:$R$100),"OK","CHECK")</x:f>
        <x:v>OK</x:v>
      </x:c>
      <x:c r="X395" t="str">
        <x:v>PLC-PRD-JAR-330-L23</x:v>
      </x:c>
      <x:c r="Y395" t="str">
        <x:v>OK</x:v>
      </x:c>
      <x:c r="Z395" t="str">
        <x:v>OK</x:v>
      </x:c>
      <x:c r="AA395" t="n">
        <x:v>3</x:v>
      </x:c>
      <x:c r="AB395" t="n">
        <x:v>3</x:v>
      </x:c>
      <x:c r="AC395" t="str">
        <x:v>OK</x:v>
      </x:c>
      <x:c r="AD395" t="str">
        <x:v>OK</x:v>
      </x:c>
      <x:c r="AE395" t="str">
        <x:v>LOAD</x:v>
      </x:c>
      <x:c r="AF395" t="str">
        <x:v>02_Supervisor_Log(4).xlsx</x:v>
      </x:c>
      <x:c r="AG395" t="str">
        <x:v>ENH-20260830-01</x:v>
      </x:c>
      <x:c r="AH395" t="str">
        <x:v>Active</x:v>
      </x:c>
      <x:c r="AI395"/>
      <x:c r="AJ395"/>
      <x:c r="AK395"/>
      <x:c r="AL395"/>
    </x:row>
    <x:row r="396">
      <x:c r="A396" t="s">
        <x:v>620</x:v>
      </x:c>
      <x:c r="B396" t="s">
        <x:v>619</x:v>
      </x:c>
      <x:c r="C396" t="s">
        <x:v>44</x:v>
      </x:c>
      <x:c r="D396">
        <x:v>45951</x:v>
      </x:c>
      <x:c r="E396" t="s">
        <x:v>45</x:v>
      </x:c>
      <x:c r="F396" t="s">
        <x:v>46</x:v>
      </x:c>
      <x:c r="G396">
        <x:v>23</x:v>
      </x:c>
      <x:c r="H396" t="s">
        <x:v>64</x:v>
      </x:c>
      <x:c r="I396">
        <x:v>2</x:v>
      </x:c>
      <x:c r="J396">
        <x:v>12</x:v>
      </x:c>
      <x:c r="K396">
        <x:v>3</x:v>
      </x:c>
      <x:c r="L396">
        <x:f t="shared" si="42"/>
        <x:v>1</x:v>
      </x:c>
      <x:c r="P396">
        <x:f t="shared" si="43"/>
        <x:v>1</x:v>
      </x:c>
      <x:c r="Q396">
        <x:f t="shared" si="44"/>
        <x:v>1</x:v>
      </x:c>
      <x:c r="R396">
        <x:f t="shared" si="45"/>
        <x:v>1</x:v>
      </x:c>
      <x:c r="S396">
        <x:f t="shared" si="46"/>
        <x:v>3</x:v>
      </x:c>
      <x:c r="T396" t="str">
        <x:f t="shared" si="47"/>
        <x:v>DerivedFromCount</x:v>
      </x:c>
      <x:c r="U396" t="str">
        <x:f>IF(COUNTIF(DailyProduction!$Q$5:$Q$100,B396)=1,"OK","CHECK")</x:f>
        <x:v>OK</x:v>
      </x:c>
      <x:c r="V396" t="str">
        <x:f t="shared" si="48"/>
        <x:v>OK</x:v>
      </x:c>
      <x:c r="W396" t="str">
        <x:f>IF(SUMIF($B$5:$B$914,B396,$S$5:$S$914)=SUMIF(DailyProduction!$Q$5:$Q$100,B396,DailyProduction!$R$5:$R$100),"OK","CHECK")</x:f>
        <x:v>OK</x:v>
      </x:c>
      <x:c r="X396" t="str">
        <x:v>PLC-PRD-JAR-330-L23</x:v>
      </x:c>
      <x:c r="Y396" t="str">
        <x:v>OK</x:v>
      </x:c>
      <x:c r="Z396" t="str">
        <x:v>OK</x:v>
      </x:c>
      <x:c r="AA396" t="n">
        <x:v>3</x:v>
      </x:c>
      <x:c r="AB396" t="n">
        <x:v>3</x:v>
      </x:c>
      <x:c r="AC396" t="str">
        <x:v>OK</x:v>
      </x:c>
      <x:c r="AD396" t="str">
        <x:v>OK</x:v>
      </x:c>
      <x:c r="AE396" t="str">
        <x:v>LOAD</x:v>
      </x:c>
      <x:c r="AF396" t="str">
        <x:v>02_Supervisor_Log(4).xlsx</x:v>
      </x:c>
      <x:c r="AG396" t="str">
        <x:v>ENH-20260830-01</x:v>
      </x:c>
      <x:c r="AH396" t="str">
        <x:v>Active</x:v>
      </x:c>
      <x:c r="AI396"/>
      <x:c r="AJ396"/>
      <x:c r="AK396"/>
      <x:c r="AL396"/>
    </x:row>
    <x:row r="397">
      <x:c r="A397" t="s">
        <x:v>621</x:v>
      </x:c>
      <x:c r="B397" t="s">
        <x:v>619</x:v>
      </x:c>
      <x:c r="C397" t="s">
        <x:v>44</x:v>
      </x:c>
      <x:c r="D397">
        <x:v>45951</x:v>
      </x:c>
      <x:c r="E397" t="s">
        <x:v>45</x:v>
      </x:c>
      <x:c r="F397" t="s">
        <x:v>46</x:v>
      </x:c>
      <x:c r="G397">
        <x:v>23</x:v>
      </x:c>
      <x:c r="H397" t="s">
        <x:v>64</x:v>
      </x:c>
      <x:c r="I397">
        <x:v>3</x:v>
      </x:c>
      <x:c r="J397">
        <x:v>12</x:v>
      </x:c>
      <x:c r="K397">
        <x:v>3</x:v>
      </x:c>
      <x:c r="L397">
        <x:f t="shared" si="42"/>
        <x:v>1</x:v>
      </x:c>
      <x:c r="P397">
        <x:f t="shared" si="43"/>
        <x:v>1</x:v>
      </x:c>
      <x:c r="Q397">
        <x:f t="shared" si="44"/>
        <x:v>1</x:v>
      </x:c>
      <x:c r="R397">
        <x:f t="shared" si="45"/>
        <x:v>1</x:v>
      </x:c>
      <x:c r="S397">
        <x:f t="shared" si="46"/>
        <x:v>3</x:v>
      </x:c>
      <x:c r="T397" t="str">
        <x:f t="shared" si="47"/>
        <x:v>DerivedFromCount</x:v>
      </x:c>
      <x:c r="U397" t="str">
        <x:f>IF(COUNTIF(DailyProduction!$Q$5:$Q$100,B397)=1,"OK","CHECK")</x:f>
        <x:v>OK</x:v>
      </x:c>
      <x:c r="V397" t="str">
        <x:f t="shared" si="48"/>
        <x:v>OK</x:v>
      </x:c>
      <x:c r="W397" t="str">
        <x:f>IF(SUMIF($B$5:$B$914,B397,$S$5:$S$914)=SUMIF(DailyProduction!$Q$5:$Q$100,B397,DailyProduction!$R$5:$R$100),"OK","CHECK")</x:f>
        <x:v>OK</x:v>
      </x:c>
      <x:c r="X397" t="str">
        <x:v>PLC-PRD-JAR-330-L23</x:v>
      </x:c>
      <x:c r="Y397" t="str">
        <x:v>OK</x:v>
      </x:c>
      <x:c r="Z397" t="str">
        <x:v>OK</x:v>
      </x:c>
      <x:c r="AA397" t="n">
        <x:v>3</x:v>
      </x:c>
      <x:c r="AB397" t="n">
        <x:v>3</x:v>
      </x:c>
      <x:c r="AC397" t="str">
        <x:v>OK</x:v>
      </x:c>
      <x:c r="AD397" t="str">
        <x:v>OK</x:v>
      </x:c>
      <x:c r="AE397" t="str">
        <x:v>LOAD</x:v>
      </x:c>
      <x:c r="AF397" t="str">
        <x:v>02_Supervisor_Log(4).xlsx</x:v>
      </x:c>
      <x:c r="AG397" t="str">
        <x:v>ENH-20260830-01</x:v>
      </x:c>
      <x:c r="AH397" t="str">
        <x:v>Active</x:v>
      </x:c>
      <x:c r="AI397"/>
      <x:c r="AJ397"/>
      <x:c r="AK397"/>
      <x:c r="AL397"/>
    </x:row>
    <x:row r="398">
      <x:c r="A398" t="s">
        <x:v>622</x:v>
      </x:c>
      <x:c r="B398" t="s">
        <x:v>619</x:v>
      </x:c>
      <x:c r="C398" t="s">
        <x:v>44</x:v>
      </x:c>
      <x:c r="D398">
        <x:v>45951</x:v>
      </x:c>
      <x:c r="E398" t="s">
        <x:v>45</x:v>
      </x:c>
      <x:c r="F398" t="s">
        <x:v>46</x:v>
      </x:c>
      <x:c r="G398">
        <x:v>23</x:v>
      </x:c>
      <x:c r="H398" t="s">
        <x:v>64</x:v>
      </x:c>
      <x:c r="I398">
        <x:v>4</x:v>
      </x:c>
      <x:c r="J398">
        <x:v>12</x:v>
      </x:c>
      <x:c r="K398">
        <x:v>3</x:v>
      </x:c>
      <x:c r="L398">
        <x:f t="shared" si="42"/>
        <x:v>1</x:v>
      </x:c>
      <x:c r="P398">
        <x:f t="shared" si="43"/>
        <x:v>1</x:v>
      </x:c>
      <x:c r="Q398">
        <x:f t="shared" si="44"/>
        <x:v>1</x:v>
      </x:c>
      <x:c r="R398">
        <x:f t="shared" si="45"/>
        <x:v>1</x:v>
      </x:c>
      <x:c r="S398">
        <x:f t="shared" si="46"/>
        <x:v>3</x:v>
      </x:c>
      <x:c r="T398" t="str">
        <x:f t="shared" si="47"/>
        <x:v>DerivedFromCount</x:v>
      </x:c>
      <x:c r="U398" t="str">
        <x:f>IF(COUNTIF(DailyProduction!$Q$5:$Q$100,B398)=1,"OK","CHECK")</x:f>
        <x:v>OK</x:v>
      </x:c>
      <x:c r="V398" t="str">
        <x:f t="shared" si="48"/>
        <x:v>OK</x:v>
      </x:c>
      <x:c r="W398" t="str">
        <x:f>IF(SUMIF($B$5:$B$914,B398,$S$5:$S$914)=SUMIF(DailyProduction!$Q$5:$Q$100,B398,DailyProduction!$R$5:$R$100),"OK","CHECK")</x:f>
        <x:v>OK</x:v>
      </x:c>
      <x:c r="X398" t="str">
        <x:v>PLC-PRD-JAR-330-L23</x:v>
      </x:c>
      <x:c r="Y398" t="str">
        <x:v>OK</x:v>
      </x:c>
      <x:c r="Z398" t="str">
        <x:v>OK</x:v>
      </x:c>
      <x:c r="AA398" t="n">
        <x:v>3</x:v>
      </x:c>
      <x:c r="AB398" t="n">
        <x:v>3</x:v>
      </x:c>
      <x:c r="AC398" t="str">
        <x:v>OK</x:v>
      </x:c>
      <x:c r="AD398" t="str">
        <x:v>OK</x:v>
      </x:c>
      <x:c r="AE398" t="str">
        <x:v>LOAD</x:v>
      </x:c>
      <x:c r="AF398" t="str">
        <x:v>02_Supervisor_Log(4).xlsx</x:v>
      </x:c>
      <x:c r="AG398" t="str">
        <x:v>ENH-20260830-01</x:v>
      </x:c>
      <x:c r="AH398" t="str">
        <x:v>Active</x:v>
      </x:c>
      <x:c r="AI398"/>
      <x:c r="AJ398"/>
      <x:c r="AK398"/>
      <x:c r="AL398"/>
    </x:row>
    <x:row r="399">
      <x:c r="A399" t="s">
        <x:v>623</x:v>
      </x:c>
      <x:c r="B399" t="s">
        <x:v>619</x:v>
      </x:c>
      <x:c r="C399" t="s">
        <x:v>44</x:v>
      </x:c>
      <x:c r="D399">
        <x:v>45951</x:v>
      </x:c>
      <x:c r="E399" t="s">
        <x:v>45</x:v>
      </x:c>
      <x:c r="F399" t="s">
        <x:v>46</x:v>
      </x:c>
      <x:c r="G399">
        <x:v>23</x:v>
      </x:c>
      <x:c r="H399" t="s">
        <x:v>64</x:v>
      </x:c>
      <x:c r="I399">
        <x:v>5</x:v>
      </x:c>
      <x:c r="J399">
        <x:v>12</x:v>
      </x:c>
      <x:c r="K399">
        <x:v>3</x:v>
      </x:c>
      <x:c r="L399">
        <x:f t="shared" si="42"/>
        <x:v>1</x:v>
      </x:c>
      <x:c r="P399">
        <x:f t="shared" si="43"/>
        <x:v>1</x:v>
      </x:c>
      <x:c r="Q399">
        <x:f t="shared" si="44"/>
        <x:v>1</x:v>
      </x:c>
      <x:c r="R399">
        <x:f t="shared" si="45"/>
        <x:v>1</x:v>
      </x:c>
      <x:c r="S399">
        <x:f t="shared" si="46"/>
        <x:v>3</x:v>
      </x:c>
      <x:c r="T399" t="str">
        <x:f t="shared" si="47"/>
        <x:v>DerivedFromCount</x:v>
      </x:c>
      <x:c r="U399" t="str">
        <x:f>IF(COUNTIF(DailyProduction!$Q$5:$Q$100,B399)=1,"OK","CHECK")</x:f>
        <x:v>OK</x:v>
      </x:c>
      <x:c r="V399" t="str">
        <x:f t="shared" si="48"/>
        <x:v>OK</x:v>
      </x:c>
      <x:c r="W399" t="str">
        <x:f>IF(SUMIF($B$5:$B$914,B399,$S$5:$S$914)=SUMIF(DailyProduction!$Q$5:$Q$100,B399,DailyProduction!$R$5:$R$100),"OK","CHECK")</x:f>
        <x:v>OK</x:v>
      </x:c>
      <x:c r="X399" t="str">
        <x:v>PLC-PRD-JAR-330-L23</x:v>
      </x:c>
      <x:c r="Y399" t="str">
        <x:v>OK</x:v>
      </x:c>
      <x:c r="Z399" t="str">
        <x:v>OK</x:v>
      </x:c>
      <x:c r="AA399" t="n">
        <x:v>3</x:v>
      </x:c>
      <x:c r="AB399" t="n">
        <x:v>3</x:v>
      </x:c>
      <x:c r="AC399" t="str">
        <x:v>OK</x:v>
      </x:c>
      <x:c r="AD399" t="str">
        <x:v>OK</x:v>
      </x:c>
      <x:c r="AE399" t="str">
        <x:v>LOAD</x:v>
      </x:c>
      <x:c r="AF399" t="str">
        <x:v>02_Supervisor_Log(4).xlsx</x:v>
      </x:c>
      <x:c r="AG399" t="str">
        <x:v>ENH-20260830-01</x:v>
      </x:c>
      <x:c r="AH399" t="str">
        <x:v>Active</x:v>
      </x:c>
      <x:c r="AI399"/>
      <x:c r="AJ399"/>
      <x:c r="AK399"/>
      <x:c r="AL399"/>
    </x:row>
    <x:row r="400">
      <x:c r="A400" t="s">
        <x:v>624</x:v>
      </x:c>
      <x:c r="B400" t="s">
        <x:v>619</x:v>
      </x:c>
      <x:c r="C400" t="s">
        <x:v>44</x:v>
      </x:c>
      <x:c r="D400">
        <x:v>45951</x:v>
      </x:c>
      <x:c r="E400" t="s">
        <x:v>45</x:v>
      </x:c>
      <x:c r="F400" t="s">
        <x:v>46</x:v>
      </x:c>
      <x:c r="G400">
        <x:v>23</x:v>
      </x:c>
      <x:c r="H400" t="s">
        <x:v>64</x:v>
      </x:c>
      <x:c r="I400">
        <x:v>6</x:v>
      </x:c>
      <x:c r="J400">
        <x:v>12</x:v>
      </x:c>
      <x:c r="K400">
        <x:v>3</x:v>
      </x:c>
      <x:c r="L400">
        <x:f t="shared" si="42"/>
        <x:v>1</x:v>
      </x:c>
      <x:c r="P400">
        <x:f t="shared" si="43"/>
        <x:v>1</x:v>
      </x:c>
      <x:c r="Q400">
        <x:f t="shared" si="44"/>
        <x:v>1</x:v>
      </x:c>
      <x:c r="R400">
        <x:f t="shared" si="45"/>
        <x:v>1</x:v>
      </x:c>
      <x:c r="S400">
        <x:f t="shared" si="46"/>
        <x:v>3</x:v>
      </x:c>
      <x:c r="T400" t="str">
        <x:f t="shared" si="47"/>
        <x:v>DerivedFromCount</x:v>
      </x:c>
      <x:c r="U400" t="str">
        <x:f>IF(COUNTIF(DailyProduction!$Q$5:$Q$100,B400)=1,"OK","CHECK")</x:f>
        <x:v>OK</x:v>
      </x:c>
      <x:c r="V400" t="str">
        <x:f t="shared" si="48"/>
        <x:v>OK</x:v>
      </x:c>
      <x:c r="W400" t="str">
        <x:f>IF(SUMIF($B$5:$B$914,B400,$S$5:$S$914)=SUMIF(DailyProduction!$Q$5:$Q$100,B400,DailyProduction!$R$5:$R$100),"OK","CHECK")</x:f>
        <x:v>OK</x:v>
      </x:c>
      <x:c r="X400" t="str">
        <x:v>PLC-PRD-JAR-330-L23</x:v>
      </x:c>
      <x:c r="Y400" t="str">
        <x:v>OK</x:v>
      </x:c>
      <x:c r="Z400" t="str">
        <x:v>OK</x:v>
      </x:c>
      <x:c r="AA400" t="n">
        <x:v>3</x:v>
      </x:c>
      <x:c r="AB400" t="n">
        <x:v>3</x:v>
      </x:c>
      <x:c r="AC400" t="str">
        <x:v>OK</x:v>
      </x:c>
      <x:c r="AD400" t="str">
        <x:v>OK</x:v>
      </x:c>
      <x:c r="AE400" t="str">
        <x:v>LOAD</x:v>
      </x:c>
      <x:c r="AF400" t="str">
        <x:v>02_Supervisor_Log(4).xlsx</x:v>
      </x:c>
      <x:c r="AG400" t="str">
        <x:v>ENH-20260830-01</x:v>
      </x:c>
      <x:c r="AH400" t="str">
        <x:v>Active</x:v>
      </x:c>
      <x:c r="AI400"/>
      <x:c r="AJ400"/>
      <x:c r="AK400"/>
      <x:c r="AL400"/>
    </x:row>
    <x:row r="401">
      <x:c r="A401" t="s">
        <x:v>625</x:v>
      </x:c>
      <x:c r="B401" t="s">
        <x:v>619</x:v>
      </x:c>
      <x:c r="C401" t="s">
        <x:v>44</x:v>
      </x:c>
      <x:c r="D401">
        <x:v>45951</x:v>
      </x:c>
      <x:c r="E401" t="s">
        <x:v>45</x:v>
      </x:c>
      <x:c r="F401" t="s">
        <x:v>46</x:v>
      </x:c>
      <x:c r="G401">
        <x:v>23</x:v>
      </x:c>
      <x:c r="H401" t="s">
        <x:v>64</x:v>
      </x:c>
      <x:c r="I401">
        <x:v>7</x:v>
      </x:c>
      <x:c r="J401">
        <x:v>12</x:v>
      </x:c>
      <x:c r="K401">
        <x:v>3</x:v>
      </x:c>
      <x:c r="L401">
        <x:f t="shared" si="42"/>
        <x:v>1</x:v>
      </x:c>
      <x:c r="P401">
        <x:f t="shared" si="43"/>
        <x:v>1</x:v>
      </x:c>
      <x:c r="Q401">
        <x:f t="shared" si="44"/>
        <x:v>1</x:v>
      </x:c>
      <x:c r="R401">
        <x:f t="shared" si="45"/>
        <x:v>1</x:v>
      </x:c>
      <x:c r="S401">
        <x:f t="shared" si="46"/>
        <x:v>3</x:v>
      </x:c>
      <x:c r="T401" t="str">
        <x:f t="shared" si="47"/>
        <x:v>DerivedFromCount</x:v>
      </x:c>
      <x:c r="U401" t="str">
        <x:f>IF(COUNTIF(DailyProduction!$Q$5:$Q$100,B401)=1,"OK","CHECK")</x:f>
        <x:v>OK</x:v>
      </x:c>
      <x:c r="V401" t="str">
        <x:f t="shared" si="48"/>
        <x:v>OK</x:v>
      </x:c>
      <x:c r="W401" t="str">
        <x:f>IF(SUMIF($B$5:$B$914,B401,$S$5:$S$914)=SUMIF(DailyProduction!$Q$5:$Q$100,B401,DailyProduction!$R$5:$R$100),"OK","CHECK")</x:f>
        <x:v>OK</x:v>
      </x:c>
      <x:c r="X401" t="str">
        <x:v>PLC-PRD-JAR-330-L23</x:v>
      </x:c>
      <x:c r="Y401" t="str">
        <x:v>OK</x:v>
      </x:c>
      <x:c r="Z401" t="str">
        <x:v>OK</x:v>
      </x:c>
      <x:c r="AA401" t="n">
        <x:v>3</x:v>
      </x:c>
      <x:c r="AB401" t="n">
        <x:v>3</x:v>
      </x:c>
      <x:c r="AC401" t="str">
        <x:v>OK</x:v>
      </x:c>
      <x:c r="AD401" t="str">
        <x:v>OK</x:v>
      </x:c>
      <x:c r="AE401" t="str">
        <x:v>LOAD</x:v>
      </x:c>
      <x:c r="AF401" t="str">
        <x:v>02_Supervisor_Log(4).xlsx</x:v>
      </x:c>
      <x:c r="AG401" t="str">
        <x:v>ENH-20260830-01</x:v>
      </x:c>
      <x:c r="AH401" t="str">
        <x:v>Active</x:v>
      </x:c>
      <x:c r="AI401"/>
      <x:c r="AJ401"/>
      <x:c r="AK401"/>
      <x:c r="AL401"/>
    </x:row>
    <x:row r="402">
      <x:c r="A402" t="s">
        <x:v>626</x:v>
      </x:c>
      <x:c r="B402" t="s">
        <x:v>619</x:v>
      </x:c>
      <x:c r="C402" t="s">
        <x:v>44</x:v>
      </x:c>
      <x:c r="D402">
        <x:v>45951</x:v>
      </x:c>
      <x:c r="E402" t="s">
        <x:v>45</x:v>
      </x:c>
      <x:c r="F402" t="s">
        <x:v>46</x:v>
      </x:c>
      <x:c r="G402">
        <x:v>23</x:v>
      </x:c>
      <x:c r="H402" t="s">
        <x:v>64</x:v>
      </x:c>
      <x:c r="I402">
        <x:v>8</x:v>
      </x:c>
      <x:c r="J402">
        <x:v>12</x:v>
      </x:c>
      <x:c r="K402">
        <x:v>3</x:v>
      </x:c>
      <x:c r="L402">
        <x:f t="shared" si="42"/>
        <x:v>1</x:v>
      </x:c>
      <x:c r="P402">
        <x:f t="shared" si="43"/>
        <x:v>1</x:v>
      </x:c>
      <x:c r="Q402">
        <x:f t="shared" si="44"/>
        <x:v>1</x:v>
      </x:c>
      <x:c r="R402">
        <x:f t="shared" si="45"/>
        <x:v>1</x:v>
      </x:c>
      <x:c r="S402">
        <x:f t="shared" si="46"/>
        <x:v>3</x:v>
      </x:c>
      <x:c r="T402" t="str">
        <x:f t="shared" si="47"/>
        <x:v>DerivedFromCount</x:v>
      </x:c>
      <x:c r="U402" t="str">
        <x:f>IF(COUNTIF(DailyProduction!$Q$5:$Q$100,B402)=1,"OK","CHECK")</x:f>
        <x:v>OK</x:v>
      </x:c>
      <x:c r="V402" t="str">
        <x:f t="shared" si="48"/>
        <x:v>OK</x:v>
      </x:c>
      <x:c r="W402" t="str">
        <x:f>IF(SUMIF($B$5:$B$914,B402,$S$5:$S$914)=SUMIF(DailyProduction!$Q$5:$Q$100,B402,DailyProduction!$R$5:$R$100),"OK","CHECK")</x:f>
        <x:v>OK</x:v>
      </x:c>
      <x:c r="X402" t="str">
        <x:v>PLC-PRD-JAR-330-L23</x:v>
      </x:c>
      <x:c r="Y402" t="str">
        <x:v>OK</x:v>
      </x:c>
      <x:c r="Z402" t="str">
        <x:v>OK</x:v>
      </x:c>
      <x:c r="AA402" t="n">
        <x:v>3</x:v>
      </x:c>
      <x:c r="AB402" t="n">
        <x:v>3</x:v>
      </x:c>
      <x:c r="AC402" t="str">
        <x:v>OK</x:v>
      </x:c>
      <x:c r="AD402" t="str">
        <x:v>OK</x:v>
      </x:c>
      <x:c r="AE402" t="str">
        <x:v>LOAD</x:v>
      </x:c>
      <x:c r="AF402" t="str">
        <x:v>02_Supervisor_Log(4).xlsx</x:v>
      </x:c>
      <x:c r="AG402" t="str">
        <x:v>ENH-20260830-01</x:v>
      </x:c>
      <x:c r="AH402" t="str">
        <x:v>Active</x:v>
      </x:c>
      <x:c r="AI402"/>
      <x:c r="AJ402"/>
      <x:c r="AK402"/>
      <x:c r="AL402"/>
    </x:row>
    <x:row r="403">
      <x:c r="A403" t="s">
        <x:v>627</x:v>
      </x:c>
      <x:c r="B403" t="s">
        <x:v>619</x:v>
      </x:c>
      <x:c r="C403" t="s">
        <x:v>44</x:v>
      </x:c>
      <x:c r="D403">
        <x:v>45951</x:v>
      </x:c>
      <x:c r="E403" t="s">
        <x:v>45</x:v>
      </x:c>
      <x:c r="F403" t="s">
        <x:v>46</x:v>
      </x:c>
      <x:c r="G403">
        <x:v>23</x:v>
      </x:c>
      <x:c r="H403" t="s">
        <x:v>64</x:v>
      </x:c>
      <x:c r="I403">
        <x:v>9</x:v>
      </x:c>
      <x:c r="J403">
        <x:v>12</x:v>
      </x:c>
      <x:c r="K403">
        <x:v>3</x:v>
      </x:c>
      <x:c r="L403">
        <x:f t="shared" si="42"/>
        <x:v>1</x:v>
      </x:c>
      <x:c r="P403">
        <x:f t="shared" si="43"/>
        <x:v>1</x:v>
      </x:c>
      <x:c r="Q403">
        <x:f t="shared" si="44"/>
        <x:v>1</x:v>
      </x:c>
      <x:c r="R403">
        <x:f t="shared" si="45"/>
        <x:v>1</x:v>
      </x:c>
      <x:c r="S403">
        <x:f t="shared" si="46"/>
        <x:v>3</x:v>
      </x:c>
      <x:c r="T403" t="str">
        <x:f t="shared" si="47"/>
        <x:v>DerivedFromCount</x:v>
      </x:c>
      <x:c r="U403" t="str">
        <x:f>IF(COUNTIF(DailyProduction!$Q$5:$Q$100,B403)=1,"OK","CHECK")</x:f>
        <x:v>OK</x:v>
      </x:c>
      <x:c r="V403" t="str">
        <x:f t="shared" si="48"/>
        <x:v>OK</x:v>
      </x:c>
      <x:c r="W403" t="str">
        <x:f>IF(SUMIF($B$5:$B$914,B403,$S$5:$S$914)=SUMIF(DailyProduction!$Q$5:$Q$100,B403,DailyProduction!$R$5:$R$100),"OK","CHECK")</x:f>
        <x:v>OK</x:v>
      </x:c>
      <x:c r="X403" t="str">
        <x:v>PLC-PRD-JAR-330-L23</x:v>
      </x:c>
      <x:c r="Y403" t="str">
        <x:v>OK</x:v>
      </x:c>
      <x:c r="Z403" t="str">
        <x:v>OK</x:v>
      </x:c>
      <x:c r="AA403" t="n">
        <x:v>3</x:v>
      </x:c>
      <x:c r="AB403" t="n">
        <x:v>3</x:v>
      </x:c>
      <x:c r="AC403" t="str">
        <x:v>OK</x:v>
      </x:c>
      <x:c r="AD403" t="str">
        <x:v>OK</x:v>
      </x:c>
      <x:c r="AE403" t="str">
        <x:v>LOAD</x:v>
      </x:c>
      <x:c r="AF403" t="str">
        <x:v>02_Supervisor_Log(4).xlsx</x:v>
      </x:c>
      <x:c r="AG403" t="str">
        <x:v>ENH-20260830-01</x:v>
      </x:c>
      <x:c r="AH403" t="str">
        <x:v>Active</x:v>
      </x:c>
      <x:c r="AI403"/>
      <x:c r="AJ403"/>
      <x:c r="AK403"/>
      <x:c r="AL403"/>
    </x:row>
    <x:row r="404">
      <x:c r="A404" t="s">
        <x:v>628</x:v>
      </x:c>
      <x:c r="B404" t="s">
        <x:v>619</x:v>
      </x:c>
      <x:c r="C404" t="s">
        <x:v>44</x:v>
      </x:c>
      <x:c r="D404">
        <x:v>45951</x:v>
      </x:c>
      <x:c r="E404" t="s">
        <x:v>45</x:v>
      </x:c>
      <x:c r="F404" t="s">
        <x:v>46</x:v>
      </x:c>
      <x:c r="G404">
        <x:v>23</x:v>
      </x:c>
      <x:c r="H404" t="s">
        <x:v>64</x:v>
      </x:c>
      <x:c r="I404">
        <x:v>10</x:v>
      </x:c>
      <x:c r="J404">
        <x:v>12</x:v>
      </x:c>
      <x:c r="K404">
        <x:v>3</x:v>
      </x:c>
      <x:c r="L404">
        <x:f t="shared" si="42"/>
        <x:v>1</x:v>
      </x:c>
      <x:c r="P404">
        <x:f t="shared" si="43"/>
        <x:v>1</x:v>
      </x:c>
      <x:c r="Q404">
        <x:f t="shared" si="44"/>
        <x:v>1</x:v>
      </x:c>
      <x:c r="R404">
        <x:f t="shared" si="45"/>
        <x:v>1</x:v>
      </x:c>
      <x:c r="S404">
        <x:f t="shared" si="46"/>
        <x:v>3</x:v>
      </x:c>
      <x:c r="T404" t="str">
        <x:f t="shared" si="47"/>
        <x:v>DerivedFromCount</x:v>
      </x:c>
      <x:c r="U404" t="str">
        <x:f>IF(COUNTIF(DailyProduction!$Q$5:$Q$100,B404)=1,"OK","CHECK")</x:f>
        <x:v>OK</x:v>
      </x:c>
      <x:c r="V404" t="str">
        <x:f t="shared" si="48"/>
        <x:v>OK</x:v>
      </x:c>
      <x:c r="W404" t="str">
        <x:f>IF(SUMIF($B$5:$B$914,B404,$S$5:$S$914)=SUMIF(DailyProduction!$Q$5:$Q$100,B404,DailyProduction!$R$5:$R$100),"OK","CHECK")</x:f>
        <x:v>OK</x:v>
      </x:c>
      <x:c r="X404" t="str">
        <x:v>PLC-PRD-JAR-330-L23</x:v>
      </x:c>
      <x:c r="Y404" t="str">
        <x:v>OK</x:v>
      </x:c>
      <x:c r="Z404" t="str">
        <x:v>OK</x:v>
      </x:c>
      <x:c r="AA404" t="n">
        <x:v>3</x:v>
      </x:c>
      <x:c r="AB404" t="n">
        <x:v>3</x:v>
      </x:c>
      <x:c r="AC404" t="str">
        <x:v>OK</x:v>
      </x:c>
      <x:c r="AD404" t="str">
        <x:v>OK</x:v>
      </x:c>
      <x:c r="AE404" t="str">
        <x:v>LOAD</x:v>
      </x:c>
      <x:c r="AF404" t="str">
        <x:v>02_Supervisor_Log(4).xlsx</x:v>
      </x:c>
      <x:c r="AG404" t="str">
        <x:v>ENH-20260830-01</x:v>
      </x:c>
      <x:c r="AH404" t="str">
        <x:v>Active</x:v>
      </x:c>
      <x:c r="AI404"/>
      <x:c r="AJ404"/>
      <x:c r="AK404"/>
      <x:c r="AL404"/>
    </x:row>
    <x:row r="405">
      <x:c r="A405" t="s">
        <x:v>629</x:v>
      </x:c>
      <x:c r="B405" t="s">
        <x:v>619</x:v>
      </x:c>
      <x:c r="C405" t="s">
        <x:v>44</x:v>
      </x:c>
      <x:c r="D405">
        <x:v>45951</x:v>
      </x:c>
      <x:c r="E405" t="s">
        <x:v>45</x:v>
      </x:c>
      <x:c r="F405" t="s">
        <x:v>46</x:v>
      </x:c>
      <x:c r="G405">
        <x:v>23</x:v>
      </x:c>
      <x:c r="H405" t="s">
        <x:v>64</x:v>
      </x:c>
      <x:c r="I405">
        <x:v>11</x:v>
      </x:c>
      <x:c r="J405">
        <x:v>12</x:v>
      </x:c>
      <x:c r="K405">
        <x:v>3</x:v>
      </x:c>
      <x:c r="L405">
        <x:f t="shared" si="42"/>
        <x:v>1</x:v>
      </x:c>
      <x:c r="P405">
        <x:f t="shared" si="43"/>
        <x:v>1</x:v>
      </x:c>
      <x:c r="Q405">
        <x:f t="shared" si="44"/>
        <x:v>1</x:v>
      </x:c>
      <x:c r="R405">
        <x:f t="shared" si="45"/>
        <x:v>1</x:v>
      </x:c>
      <x:c r="S405">
        <x:f t="shared" si="46"/>
        <x:v>3</x:v>
      </x:c>
      <x:c r="T405" t="str">
        <x:f t="shared" si="47"/>
        <x:v>DerivedFromCount</x:v>
      </x:c>
      <x:c r="U405" t="str">
        <x:f>IF(COUNTIF(DailyProduction!$Q$5:$Q$100,B405)=1,"OK","CHECK")</x:f>
        <x:v>OK</x:v>
      </x:c>
      <x:c r="V405" t="str">
        <x:f t="shared" si="48"/>
        <x:v>OK</x:v>
      </x:c>
      <x:c r="W405" t="str">
        <x:f>IF(SUMIF($B$5:$B$914,B405,$S$5:$S$914)=SUMIF(DailyProduction!$Q$5:$Q$100,B405,DailyProduction!$R$5:$R$100),"OK","CHECK")</x:f>
        <x:v>OK</x:v>
      </x:c>
      <x:c r="X405" t="str">
        <x:v>PLC-PRD-JAR-330-L23</x:v>
      </x:c>
      <x:c r="Y405" t="str">
        <x:v>OK</x:v>
      </x:c>
      <x:c r="Z405" t="str">
        <x:v>OK</x:v>
      </x:c>
      <x:c r="AA405" t="n">
        <x:v>3</x:v>
      </x:c>
      <x:c r="AB405" t="n">
        <x:v>3</x:v>
      </x:c>
      <x:c r="AC405" t="str">
        <x:v>OK</x:v>
      </x:c>
      <x:c r="AD405" t="str">
        <x:v>OK</x:v>
      </x:c>
      <x:c r="AE405" t="str">
        <x:v>LOAD</x:v>
      </x:c>
      <x:c r="AF405" t="str">
        <x:v>02_Supervisor_Log(4).xlsx</x:v>
      </x:c>
      <x:c r="AG405" t="str">
        <x:v>ENH-20260830-01</x:v>
      </x:c>
      <x:c r="AH405" t="str">
        <x:v>Active</x:v>
      </x:c>
      <x:c r="AI405"/>
      <x:c r="AJ405"/>
      <x:c r="AK405"/>
      <x:c r="AL405"/>
    </x:row>
    <x:row r="406">
      <x:c r="A406" t="s">
        <x:v>630</x:v>
      </x:c>
      <x:c r="B406" t="s">
        <x:v>619</x:v>
      </x:c>
      <x:c r="C406" t="s">
        <x:v>44</x:v>
      </x:c>
      <x:c r="D406">
        <x:v>45951</x:v>
      </x:c>
      <x:c r="E406" t="s">
        <x:v>45</x:v>
      </x:c>
      <x:c r="F406" t="s">
        <x:v>46</x:v>
      </x:c>
      <x:c r="G406">
        <x:v>23</x:v>
      </x:c>
      <x:c r="H406" t="s">
        <x:v>64</x:v>
      </x:c>
      <x:c r="I406">
        <x:v>12</x:v>
      </x:c>
      <x:c r="J406">
        <x:v>12</x:v>
      </x:c>
      <x:c r="K406">
        <x:v>3</x:v>
      </x:c>
      <x:c r="L406">
        <x:f t="shared" si="42"/>
        <x:v>1</x:v>
      </x:c>
      <x:c r="P406">
        <x:f t="shared" si="43"/>
        <x:v>1</x:v>
      </x:c>
      <x:c r="Q406">
        <x:f t="shared" si="44"/>
        <x:v>1</x:v>
      </x:c>
      <x:c r="R406">
        <x:f t="shared" si="45"/>
        <x:v>1</x:v>
      </x:c>
      <x:c r="S406">
        <x:f t="shared" si="46"/>
        <x:v>3</x:v>
      </x:c>
      <x:c r="T406" t="str">
        <x:f t="shared" si="47"/>
        <x:v>DerivedFromCount</x:v>
      </x:c>
      <x:c r="U406" t="str">
        <x:f>IF(COUNTIF(DailyProduction!$Q$5:$Q$100,B406)=1,"OK","CHECK")</x:f>
        <x:v>OK</x:v>
      </x:c>
      <x:c r="V406" t="str">
        <x:f t="shared" si="48"/>
        <x:v>OK</x:v>
      </x:c>
      <x:c r="W406" t="str">
        <x:f>IF(SUMIF($B$5:$B$914,B406,$S$5:$S$914)=SUMIF(DailyProduction!$Q$5:$Q$100,B406,DailyProduction!$R$5:$R$100),"OK","CHECK")</x:f>
        <x:v>OK</x:v>
      </x:c>
      <x:c r="X406" t="str">
        <x:v>PLC-PRD-JAR-330-L23</x:v>
      </x:c>
      <x:c r="Y406" t="str">
        <x:v>OK</x:v>
      </x:c>
      <x:c r="Z406" t="str">
        <x:v>OK</x:v>
      </x:c>
      <x:c r="AA406" t="n">
        <x:v>3</x:v>
      </x:c>
      <x:c r="AB406" t="n">
        <x:v>3</x:v>
      </x:c>
      <x:c r="AC406" t="str">
        <x:v>OK</x:v>
      </x:c>
      <x:c r="AD406" t="str">
        <x:v>OK</x:v>
      </x:c>
      <x:c r="AE406" t="str">
        <x:v>LOAD</x:v>
      </x:c>
      <x:c r="AF406" t="str">
        <x:v>02_Supervisor_Log(4).xlsx</x:v>
      </x:c>
      <x:c r="AG406" t="str">
        <x:v>ENH-20260830-01</x:v>
      </x:c>
      <x:c r="AH406" t="str">
        <x:v>Active</x:v>
      </x:c>
      <x:c r="AI406"/>
      <x:c r="AJ406"/>
      <x:c r="AK406"/>
      <x:c r="AL406"/>
    </x:row>
    <x:row r="407">
      <x:c r="A407" t="s">
        <x:v>631</x:v>
      </x:c>
      <x:c r="B407" t="s">
        <x:v>619</x:v>
      </x:c>
      <x:c r="C407" t="s">
        <x:v>44</x:v>
      </x:c>
      <x:c r="D407">
        <x:v>45951</x:v>
      </x:c>
      <x:c r="E407" t="s">
        <x:v>45</x:v>
      </x:c>
      <x:c r="F407" t="s">
        <x:v>46</x:v>
      </x:c>
      <x:c r="G407">
        <x:v>23</x:v>
      </x:c>
      <x:c r="H407" t="s">
        <x:v>64</x:v>
      </x:c>
      <x:c r="I407">
        <x:v>13</x:v>
      </x:c>
      <x:c r="J407">
        <x:v>12</x:v>
      </x:c>
      <x:c r="K407">
        <x:v>3</x:v>
      </x:c>
      <x:c r="L407">
        <x:f t="shared" si="42"/>
        <x:v>0</x:v>
      </x:c>
      <x:c r="P407">
        <x:f t="shared" si="43"/>
        <x:v>0</x:v>
      </x:c>
      <x:c r="Q407">
        <x:f t="shared" si="44"/>
        <x:v>0</x:v>
      </x:c>
      <x:c r="R407">
        <x:f t="shared" si="45"/>
        <x:v>0</x:v>
      </x:c>
      <x:c r="S407">
        <x:f t="shared" si="46"/>
        <x:v>0</x:v>
      </x:c>
      <x:c r="T407" t="str">
        <x:f t="shared" si="47"/>
        <x:v>DerivedFromCount</x:v>
      </x:c>
      <x:c r="U407" t="str">
        <x:f>IF(COUNTIF(DailyProduction!$Q$5:$Q$100,B407)=1,"OK","CHECK")</x:f>
        <x:v>OK</x:v>
      </x:c>
      <x:c r="V407" t="str">
        <x:f t="shared" si="48"/>
        <x:v>OK</x:v>
      </x:c>
      <x:c r="W407" t="str">
        <x:f>IF(SUMIF($B$5:$B$914,B407,$S$5:$S$914)=SUMIF(DailyProduction!$Q$5:$Q$100,B407,DailyProduction!$R$5:$R$100),"OK","CHECK")</x:f>
        <x:v>OK</x:v>
      </x:c>
      <x:c r="X407" t="str">
        <x:v>PLC-PRD-JAR-330-L23</x:v>
      </x:c>
      <x:c r="Y407" t="str">
        <x:v>OK</x:v>
      </x:c>
      <x:c r="Z407" t="str">
        <x:v>OK</x:v>
      </x:c>
      <x:c r="AA407" t="n">
        <x:v>3</x:v>
      </x:c>
      <x:c r="AB407" t="n">
        <x:v>0</x:v>
      </x:c>
      <x:c r="AC407" t="str">
        <x:v>OK</x:v>
      </x:c>
      <x:c r="AD407" t="str">
        <x:v>OK</x:v>
      </x:c>
      <x:c r="AE407" t="str">
        <x:v>LOAD</x:v>
      </x:c>
      <x:c r="AF407" t="str">
        <x:v>02_Supervisor_Log(4).xlsx</x:v>
      </x:c>
      <x:c r="AG407" t="str">
        <x:v>ENH-20260830-01</x:v>
      </x:c>
      <x:c r="AH407" t="str">
        <x:v>Active</x:v>
      </x:c>
      <x:c r="AI407"/>
      <x:c r="AJ407"/>
      <x:c r="AK407"/>
      <x:c r="AL407"/>
    </x:row>
    <x:row r="408">
      <x:c r="A408" t="s">
        <x:v>632</x:v>
      </x:c>
      <x:c r="B408" t="s">
        <x:v>633</x:v>
      </x:c>
      <x:c r="C408" t="s">
        <x:v>44</x:v>
      </x:c>
      <x:c r="D408">
        <x:v>45951</x:v>
      </x:c>
      <x:c r="E408" t="s">
        <x:v>187</x:v>
      </x:c>
      <x:c r="F408" t="s">
        <x:v>51</x:v>
      </x:c>
      <x:c r="G408">
        <x:v>23</x:v>
      </x:c>
      <x:c r="H408" t="s">
        <x:v>64</x:v>
      </x:c>
      <x:c r="I408">
        <x:v>1</x:v>
      </x:c>
      <x:c r="J408">
        <x:v>12</x:v>
      </x:c>
      <x:c r="K408">
        <x:v>3</x:v>
      </x:c>
      <x:c r="L408">
        <x:f t="shared" si="42"/>
        <x:v>1</x:v>
      </x:c>
      <x:c r="P408">
        <x:f t="shared" si="43"/>
        <x:v>1</x:v>
      </x:c>
      <x:c r="Q408">
        <x:f t="shared" si="44"/>
        <x:v>1</x:v>
      </x:c>
      <x:c r="R408">
        <x:f t="shared" si="45"/>
        <x:v>1</x:v>
      </x:c>
      <x:c r="S408">
        <x:f t="shared" si="46"/>
        <x:v>3</x:v>
      </x:c>
      <x:c r="T408" t="str">
        <x:f t="shared" si="47"/>
        <x:v>DerivedFromCount</x:v>
      </x:c>
      <x:c r="U408" t="str">
        <x:f>IF(COUNTIF(DailyProduction!$Q$5:$Q$100,B408)=1,"OK","CHECK")</x:f>
        <x:v>OK</x:v>
      </x:c>
      <x:c r="V408" t="str">
        <x:f t="shared" si="48"/>
        <x:v>OK</x:v>
      </x:c>
      <x:c r="W408" t="str">
        <x:f>IF(SUMIF($B$5:$B$914,B408,$S$5:$S$914)=SUMIF(DailyProduction!$Q$5:$Q$100,B408,DailyProduction!$R$5:$R$100),"OK","CHECK")</x:f>
        <x:v>OK</x:v>
      </x:c>
      <x:c r="X408" t="str">
        <x:v>PLC-PRD-JAR-330-L23</x:v>
      </x:c>
      <x:c r="Y408" t="str">
        <x:v>OK</x:v>
      </x:c>
      <x:c r="Z408" t="str">
        <x:v>OK</x:v>
      </x:c>
      <x:c r="AA408" t="n">
        <x:v>3</x:v>
      </x:c>
      <x:c r="AB408" t="n">
        <x:v>3</x:v>
      </x:c>
      <x:c r="AC408" t="str">
        <x:v>OK</x:v>
      </x:c>
      <x:c r="AD408" t="str">
        <x:v>OK</x:v>
      </x:c>
      <x:c r="AE408" t="str">
        <x:v>LOAD</x:v>
      </x:c>
      <x:c r="AF408" t="str">
        <x:v>02_Supervisor_Log(4).xlsx</x:v>
      </x:c>
      <x:c r="AG408" t="str">
        <x:v>ENH-20260830-01</x:v>
      </x:c>
      <x:c r="AH408" t="str">
        <x:v>Active</x:v>
      </x:c>
      <x:c r="AI408"/>
      <x:c r="AJ408"/>
      <x:c r="AK408"/>
      <x:c r="AL408"/>
    </x:row>
    <x:row r="409">
      <x:c r="A409" t="s">
        <x:v>634</x:v>
      </x:c>
      <x:c r="B409" t="s">
        <x:v>633</x:v>
      </x:c>
      <x:c r="C409" t="s">
        <x:v>44</x:v>
      </x:c>
      <x:c r="D409">
        <x:v>45951</x:v>
      </x:c>
      <x:c r="E409" t="s">
        <x:v>187</x:v>
      </x:c>
      <x:c r="F409" t="s">
        <x:v>51</x:v>
      </x:c>
      <x:c r="G409">
        <x:v>23</x:v>
      </x:c>
      <x:c r="H409" t="s">
        <x:v>64</x:v>
      </x:c>
      <x:c r="I409">
        <x:v>2</x:v>
      </x:c>
      <x:c r="J409">
        <x:v>12</x:v>
      </x:c>
      <x:c r="K409">
        <x:v>3</x:v>
      </x:c>
      <x:c r="L409">
        <x:f t="shared" si="42"/>
        <x:v>1</x:v>
      </x:c>
      <x:c r="P409">
        <x:f t="shared" si="43"/>
        <x:v>1</x:v>
      </x:c>
      <x:c r="Q409">
        <x:f t="shared" si="44"/>
        <x:v>1</x:v>
      </x:c>
      <x:c r="R409">
        <x:f t="shared" si="45"/>
        <x:v>1</x:v>
      </x:c>
      <x:c r="S409">
        <x:f t="shared" si="46"/>
        <x:v>3</x:v>
      </x:c>
      <x:c r="T409" t="str">
        <x:f t="shared" si="47"/>
        <x:v>DerivedFromCount</x:v>
      </x:c>
      <x:c r="U409" t="str">
        <x:f>IF(COUNTIF(DailyProduction!$Q$5:$Q$100,B409)=1,"OK","CHECK")</x:f>
        <x:v>OK</x:v>
      </x:c>
      <x:c r="V409" t="str">
        <x:f t="shared" si="48"/>
        <x:v>OK</x:v>
      </x:c>
      <x:c r="W409" t="str">
        <x:f>IF(SUMIF($B$5:$B$914,B409,$S$5:$S$914)=SUMIF(DailyProduction!$Q$5:$Q$100,B409,DailyProduction!$R$5:$R$100),"OK","CHECK")</x:f>
        <x:v>OK</x:v>
      </x:c>
      <x:c r="X409" t="str">
        <x:v>PLC-PRD-JAR-330-L23</x:v>
      </x:c>
      <x:c r="Y409" t="str">
        <x:v>OK</x:v>
      </x:c>
      <x:c r="Z409" t="str">
        <x:v>OK</x:v>
      </x:c>
      <x:c r="AA409" t="n">
        <x:v>3</x:v>
      </x:c>
      <x:c r="AB409" t="n">
        <x:v>3</x:v>
      </x:c>
      <x:c r="AC409" t="str">
        <x:v>OK</x:v>
      </x:c>
      <x:c r="AD409" t="str">
        <x:v>OK</x:v>
      </x:c>
      <x:c r="AE409" t="str">
        <x:v>LOAD</x:v>
      </x:c>
      <x:c r="AF409" t="str">
        <x:v>02_Supervisor_Log(4).xlsx</x:v>
      </x:c>
      <x:c r="AG409" t="str">
        <x:v>ENH-20260830-01</x:v>
      </x:c>
      <x:c r="AH409" t="str">
        <x:v>Active</x:v>
      </x:c>
      <x:c r="AI409"/>
      <x:c r="AJ409"/>
      <x:c r="AK409"/>
      <x:c r="AL409"/>
    </x:row>
    <x:row r="410">
      <x:c r="A410" t="s">
        <x:v>635</x:v>
      </x:c>
      <x:c r="B410" t="s">
        <x:v>633</x:v>
      </x:c>
      <x:c r="C410" t="s">
        <x:v>44</x:v>
      </x:c>
      <x:c r="D410">
        <x:v>45951</x:v>
      </x:c>
      <x:c r="E410" t="s">
        <x:v>187</x:v>
      </x:c>
      <x:c r="F410" t="s">
        <x:v>51</x:v>
      </x:c>
      <x:c r="G410">
        <x:v>23</x:v>
      </x:c>
      <x:c r="H410" t="s">
        <x:v>64</x:v>
      </x:c>
      <x:c r="I410">
        <x:v>3</x:v>
      </x:c>
      <x:c r="J410">
        <x:v>12</x:v>
      </x:c>
      <x:c r="K410">
        <x:v>3</x:v>
      </x:c>
      <x:c r="L410">
        <x:f t="shared" si="42"/>
        <x:v>1</x:v>
      </x:c>
      <x:c r="P410">
        <x:f t="shared" si="43"/>
        <x:v>1</x:v>
      </x:c>
      <x:c r="Q410">
        <x:f t="shared" si="44"/>
        <x:v>1</x:v>
      </x:c>
      <x:c r="R410">
        <x:f t="shared" si="45"/>
        <x:v>1</x:v>
      </x:c>
      <x:c r="S410">
        <x:f t="shared" si="46"/>
        <x:v>3</x:v>
      </x:c>
      <x:c r="T410" t="str">
        <x:f t="shared" si="47"/>
        <x:v>DerivedFromCount</x:v>
      </x:c>
      <x:c r="U410" t="str">
        <x:f>IF(COUNTIF(DailyProduction!$Q$5:$Q$100,B410)=1,"OK","CHECK")</x:f>
        <x:v>OK</x:v>
      </x:c>
      <x:c r="V410" t="str">
        <x:f t="shared" si="48"/>
        <x:v>OK</x:v>
      </x:c>
      <x:c r="W410" t="str">
        <x:f>IF(SUMIF($B$5:$B$914,B410,$S$5:$S$914)=SUMIF(DailyProduction!$Q$5:$Q$100,B410,DailyProduction!$R$5:$R$100),"OK","CHECK")</x:f>
        <x:v>OK</x:v>
      </x:c>
      <x:c r="X410" t="str">
        <x:v>PLC-PRD-JAR-330-L23</x:v>
      </x:c>
      <x:c r="Y410" t="str">
        <x:v>OK</x:v>
      </x:c>
      <x:c r="Z410" t="str">
        <x:v>OK</x:v>
      </x:c>
      <x:c r="AA410" t="n">
        <x:v>3</x:v>
      </x:c>
      <x:c r="AB410" t="n">
        <x:v>3</x:v>
      </x:c>
      <x:c r="AC410" t="str">
        <x:v>OK</x:v>
      </x:c>
      <x:c r="AD410" t="str">
        <x:v>OK</x:v>
      </x:c>
      <x:c r="AE410" t="str">
        <x:v>LOAD</x:v>
      </x:c>
      <x:c r="AF410" t="str">
        <x:v>02_Supervisor_Log(4).xlsx</x:v>
      </x:c>
      <x:c r="AG410" t="str">
        <x:v>ENH-20260830-01</x:v>
      </x:c>
      <x:c r="AH410" t="str">
        <x:v>Active</x:v>
      </x:c>
      <x:c r="AI410"/>
      <x:c r="AJ410"/>
      <x:c r="AK410"/>
      <x:c r="AL410"/>
    </x:row>
    <x:row r="411">
      <x:c r="A411" t="s">
        <x:v>636</x:v>
      </x:c>
      <x:c r="B411" t="s">
        <x:v>633</x:v>
      </x:c>
      <x:c r="C411" t="s">
        <x:v>44</x:v>
      </x:c>
      <x:c r="D411">
        <x:v>45951</x:v>
      </x:c>
      <x:c r="E411" t="s">
        <x:v>187</x:v>
      </x:c>
      <x:c r="F411" t="s">
        <x:v>51</x:v>
      </x:c>
      <x:c r="G411">
        <x:v>23</x:v>
      </x:c>
      <x:c r="H411" t="s">
        <x:v>64</x:v>
      </x:c>
      <x:c r="I411">
        <x:v>4</x:v>
      </x:c>
      <x:c r="J411">
        <x:v>12</x:v>
      </x:c>
      <x:c r="K411">
        <x:v>3</x:v>
      </x:c>
      <x:c r="L411">
        <x:f t="shared" si="42"/>
        <x:v>1</x:v>
      </x:c>
      <x:c r="P411">
        <x:f t="shared" si="43"/>
        <x:v>1</x:v>
      </x:c>
      <x:c r="Q411">
        <x:f t="shared" si="44"/>
        <x:v>1</x:v>
      </x:c>
      <x:c r="R411">
        <x:f t="shared" si="45"/>
        <x:v>1</x:v>
      </x:c>
      <x:c r="S411">
        <x:f t="shared" si="46"/>
        <x:v>3</x:v>
      </x:c>
      <x:c r="T411" t="str">
        <x:f t="shared" si="47"/>
        <x:v>DerivedFromCount</x:v>
      </x:c>
      <x:c r="U411" t="str">
        <x:f>IF(COUNTIF(DailyProduction!$Q$5:$Q$100,B411)=1,"OK","CHECK")</x:f>
        <x:v>OK</x:v>
      </x:c>
      <x:c r="V411" t="str">
        <x:f t="shared" si="48"/>
        <x:v>OK</x:v>
      </x:c>
      <x:c r="W411" t="str">
        <x:f>IF(SUMIF($B$5:$B$914,B411,$S$5:$S$914)=SUMIF(DailyProduction!$Q$5:$Q$100,B411,DailyProduction!$R$5:$R$100),"OK","CHECK")</x:f>
        <x:v>OK</x:v>
      </x:c>
      <x:c r="X411" t="str">
        <x:v>PLC-PRD-JAR-330-L23</x:v>
      </x:c>
      <x:c r="Y411" t="str">
        <x:v>OK</x:v>
      </x:c>
      <x:c r="Z411" t="str">
        <x:v>OK</x:v>
      </x:c>
      <x:c r="AA411" t="n">
        <x:v>3</x:v>
      </x:c>
      <x:c r="AB411" t="n">
        <x:v>3</x:v>
      </x:c>
      <x:c r="AC411" t="str">
        <x:v>OK</x:v>
      </x:c>
      <x:c r="AD411" t="str">
        <x:v>OK</x:v>
      </x:c>
      <x:c r="AE411" t="str">
        <x:v>LOAD</x:v>
      </x:c>
      <x:c r="AF411" t="str">
        <x:v>02_Supervisor_Log(4).xlsx</x:v>
      </x:c>
      <x:c r="AG411" t="str">
        <x:v>ENH-20260830-01</x:v>
      </x:c>
      <x:c r="AH411" t="str">
        <x:v>Active</x:v>
      </x:c>
      <x:c r="AI411"/>
      <x:c r="AJ411"/>
      <x:c r="AK411"/>
      <x:c r="AL411"/>
    </x:row>
    <x:row r="412">
      <x:c r="A412" t="s">
        <x:v>637</x:v>
      </x:c>
      <x:c r="B412" t="s">
        <x:v>633</x:v>
      </x:c>
      <x:c r="C412" t="s">
        <x:v>44</x:v>
      </x:c>
      <x:c r="D412">
        <x:v>45951</x:v>
      </x:c>
      <x:c r="E412" t="s">
        <x:v>187</x:v>
      </x:c>
      <x:c r="F412" t="s">
        <x:v>51</x:v>
      </x:c>
      <x:c r="G412">
        <x:v>23</x:v>
      </x:c>
      <x:c r="H412" t="s">
        <x:v>64</x:v>
      </x:c>
      <x:c r="I412">
        <x:v>5</x:v>
      </x:c>
      <x:c r="J412">
        <x:v>12</x:v>
      </x:c>
      <x:c r="K412">
        <x:v>3</x:v>
      </x:c>
      <x:c r="L412">
        <x:f t="shared" si="42"/>
        <x:v>1</x:v>
      </x:c>
      <x:c r="P412">
        <x:f t="shared" si="43"/>
        <x:v>1</x:v>
      </x:c>
      <x:c r="Q412">
        <x:f t="shared" si="44"/>
        <x:v>1</x:v>
      </x:c>
      <x:c r="R412">
        <x:f t="shared" si="45"/>
        <x:v>1</x:v>
      </x:c>
      <x:c r="S412">
        <x:f t="shared" si="46"/>
        <x:v>3</x:v>
      </x:c>
      <x:c r="T412" t="str">
        <x:f t="shared" si="47"/>
        <x:v>DerivedFromCount</x:v>
      </x:c>
      <x:c r="U412" t="str">
        <x:f>IF(COUNTIF(DailyProduction!$Q$5:$Q$100,B412)=1,"OK","CHECK")</x:f>
        <x:v>OK</x:v>
      </x:c>
      <x:c r="V412" t="str">
        <x:f t="shared" si="48"/>
        <x:v>OK</x:v>
      </x:c>
      <x:c r="W412" t="str">
        <x:f>IF(SUMIF($B$5:$B$914,B412,$S$5:$S$914)=SUMIF(DailyProduction!$Q$5:$Q$100,B412,DailyProduction!$R$5:$R$100),"OK","CHECK")</x:f>
        <x:v>OK</x:v>
      </x:c>
      <x:c r="X412" t="str">
        <x:v>PLC-PRD-JAR-330-L23</x:v>
      </x:c>
      <x:c r="Y412" t="str">
        <x:v>OK</x:v>
      </x:c>
      <x:c r="Z412" t="str">
        <x:v>OK</x:v>
      </x:c>
      <x:c r="AA412" t="n">
        <x:v>3</x:v>
      </x:c>
      <x:c r="AB412" t="n">
        <x:v>3</x:v>
      </x:c>
      <x:c r="AC412" t="str">
        <x:v>OK</x:v>
      </x:c>
      <x:c r="AD412" t="str">
        <x:v>OK</x:v>
      </x:c>
      <x:c r="AE412" t="str">
        <x:v>LOAD</x:v>
      </x:c>
      <x:c r="AF412" t="str">
        <x:v>02_Supervisor_Log(4).xlsx</x:v>
      </x:c>
      <x:c r="AG412" t="str">
        <x:v>ENH-20260830-01</x:v>
      </x:c>
      <x:c r="AH412" t="str">
        <x:v>Active</x:v>
      </x:c>
      <x:c r="AI412"/>
      <x:c r="AJ412"/>
      <x:c r="AK412"/>
      <x:c r="AL412"/>
    </x:row>
    <x:row r="413">
      <x:c r="A413" t="s">
        <x:v>638</x:v>
      </x:c>
      <x:c r="B413" t="s">
        <x:v>633</x:v>
      </x:c>
      <x:c r="C413" t="s">
        <x:v>44</x:v>
      </x:c>
      <x:c r="D413">
        <x:v>45951</x:v>
      </x:c>
      <x:c r="E413" t="s">
        <x:v>187</x:v>
      </x:c>
      <x:c r="F413" t="s">
        <x:v>51</x:v>
      </x:c>
      <x:c r="G413">
        <x:v>23</x:v>
      </x:c>
      <x:c r="H413" t="s">
        <x:v>64</x:v>
      </x:c>
      <x:c r="I413">
        <x:v>6</x:v>
      </x:c>
      <x:c r="J413">
        <x:v>12</x:v>
      </x:c>
      <x:c r="K413">
        <x:v>3</x:v>
      </x:c>
      <x:c r="L413">
        <x:f t="shared" si="42"/>
        <x:v>1</x:v>
      </x:c>
      <x:c r="P413">
        <x:f t="shared" si="43"/>
        <x:v>1</x:v>
      </x:c>
      <x:c r="Q413">
        <x:f t="shared" si="44"/>
        <x:v>1</x:v>
      </x:c>
      <x:c r="R413">
        <x:f t="shared" si="45"/>
        <x:v>1</x:v>
      </x:c>
      <x:c r="S413">
        <x:f t="shared" si="46"/>
        <x:v>3</x:v>
      </x:c>
      <x:c r="T413" t="str">
        <x:f t="shared" si="47"/>
        <x:v>DerivedFromCount</x:v>
      </x:c>
      <x:c r="U413" t="str">
        <x:f>IF(COUNTIF(DailyProduction!$Q$5:$Q$100,B413)=1,"OK","CHECK")</x:f>
        <x:v>OK</x:v>
      </x:c>
      <x:c r="V413" t="str">
        <x:f t="shared" si="48"/>
        <x:v>OK</x:v>
      </x:c>
      <x:c r="W413" t="str">
        <x:f>IF(SUMIF($B$5:$B$914,B413,$S$5:$S$914)=SUMIF(DailyProduction!$Q$5:$Q$100,B413,DailyProduction!$R$5:$R$100),"OK","CHECK")</x:f>
        <x:v>OK</x:v>
      </x:c>
      <x:c r="X413" t="str">
        <x:v>PLC-PRD-JAR-330-L23</x:v>
      </x:c>
      <x:c r="Y413" t="str">
        <x:v>OK</x:v>
      </x:c>
      <x:c r="Z413" t="str">
        <x:v>OK</x:v>
      </x:c>
      <x:c r="AA413" t="n">
        <x:v>3</x:v>
      </x:c>
      <x:c r="AB413" t="n">
        <x:v>3</x:v>
      </x:c>
      <x:c r="AC413" t="str">
        <x:v>OK</x:v>
      </x:c>
      <x:c r="AD413" t="str">
        <x:v>OK</x:v>
      </x:c>
      <x:c r="AE413" t="str">
        <x:v>LOAD</x:v>
      </x:c>
      <x:c r="AF413" t="str">
        <x:v>02_Supervisor_Log(4).xlsx</x:v>
      </x:c>
      <x:c r="AG413" t="str">
        <x:v>ENH-20260830-01</x:v>
      </x:c>
      <x:c r="AH413" t="str">
        <x:v>Active</x:v>
      </x:c>
      <x:c r="AI413"/>
      <x:c r="AJ413"/>
      <x:c r="AK413"/>
      <x:c r="AL413"/>
    </x:row>
    <x:row r="414">
      <x:c r="A414" t="s">
        <x:v>639</x:v>
      </x:c>
      <x:c r="B414" t="s">
        <x:v>633</x:v>
      </x:c>
      <x:c r="C414" t="s">
        <x:v>44</x:v>
      </x:c>
      <x:c r="D414">
        <x:v>45951</x:v>
      </x:c>
      <x:c r="E414" t="s">
        <x:v>187</x:v>
      </x:c>
      <x:c r="F414" t="s">
        <x:v>51</x:v>
      </x:c>
      <x:c r="G414">
        <x:v>23</x:v>
      </x:c>
      <x:c r="H414" t="s">
        <x:v>64</x:v>
      </x:c>
      <x:c r="I414">
        <x:v>7</x:v>
      </x:c>
      <x:c r="J414">
        <x:v>12</x:v>
      </x:c>
      <x:c r="K414">
        <x:v>3</x:v>
      </x:c>
      <x:c r="L414">
        <x:f t="shared" si="42"/>
        <x:v>1</x:v>
      </x:c>
      <x:c r="P414">
        <x:f t="shared" si="43"/>
        <x:v>1</x:v>
      </x:c>
      <x:c r="Q414">
        <x:f t="shared" si="44"/>
        <x:v>1</x:v>
      </x:c>
      <x:c r="R414">
        <x:f t="shared" si="45"/>
        <x:v>1</x:v>
      </x:c>
      <x:c r="S414">
        <x:f t="shared" si="46"/>
        <x:v>3</x:v>
      </x:c>
      <x:c r="T414" t="str">
        <x:f t="shared" si="47"/>
        <x:v>DerivedFromCount</x:v>
      </x:c>
      <x:c r="U414" t="str">
        <x:f>IF(COUNTIF(DailyProduction!$Q$5:$Q$100,B414)=1,"OK","CHECK")</x:f>
        <x:v>OK</x:v>
      </x:c>
      <x:c r="V414" t="str">
        <x:f t="shared" si="48"/>
        <x:v>OK</x:v>
      </x:c>
      <x:c r="W414" t="str">
        <x:f>IF(SUMIF($B$5:$B$914,B414,$S$5:$S$914)=SUMIF(DailyProduction!$Q$5:$Q$100,B414,DailyProduction!$R$5:$R$100),"OK","CHECK")</x:f>
        <x:v>OK</x:v>
      </x:c>
      <x:c r="X414" t="str">
        <x:v>PLC-PRD-JAR-330-L23</x:v>
      </x:c>
      <x:c r="Y414" t="str">
        <x:v>OK</x:v>
      </x:c>
      <x:c r="Z414" t="str">
        <x:v>OK</x:v>
      </x:c>
      <x:c r="AA414" t="n">
        <x:v>3</x:v>
      </x:c>
      <x:c r="AB414" t="n">
        <x:v>3</x:v>
      </x:c>
      <x:c r="AC414" t="str">
        <x:v>OK</x:v>
      </x:c>
      <x:c r="AD414" t="str">
        <x:v>OK</x:v>
      </x:c>
      <x:c r="AE414" t="str">
        <x:v>LOAD</x:v>
      </x:c>
      <x:c r="AF414" t="str">
        <x:v>02_Supervisor_Log(4).xlsx</x:v>
      </x:c>
      <x:c r="AG414" t="str">
        <x:v>ENH-20260830-01</x:v>
      </x:c>
      <x:c r="AH414" t="str">
        <x:v>Active</x:v>
      </x:c>
      <x:c r="AI414"/>
      <x:c r="AJ414"/>
      <x:c r="AK414"/>
      <x:c r="AL414"/>
    </x:row>
    <x:row r="415">
      <x:c r="A415" t="s">
        <x:v>640</x:v>
      </x:c>
      <x:c r="B415" t="s">
        <x:v>633</x:v>
      </x:c>
      <x:c r="C415" t="s">
        <x:v>44</x:v>
      </x:c>
      <x:c r="D415">
        <x:v>45951</x:v>
      </x:c>
      <x:c r="E415" t="s">
        <x:v>187</x:v>
      </x:c>
      <x:c r="F415" t="s">
        <x:v>51</x:v>
      </x:c>
      <x:c r="G415">
        <x:v>23</x:v>
      </x:c>
      <x:c r="H415" t="s">
        <x:v>64</x:v>
      </x:c>
      <x:c r="I415">
        <x:v>8</x:v>
      </x:c>
      <x:c r="J415">
        <x:v>12</x:v>
      </x:c>
      <x:c r="K415">
        <x:v>3</x:v>
      </x:c>
      <x:c r="L415">
        <x:f t="shared" si="42"/>
        <x:v>1</x:v>
      </x:c>
      <x:c r="P415">
        <x:f t="shared" si="43"/>
        <x:v>1</x:v>
      </x:c>
      <x:c r="Q415">
        <x:f t="shared" si="44"/>
        <x:v>1</x:v>
      </x:c>
      <x:c r="R415">
        <x:f t="shared" si="45"/>
        <x:v>1</x:v>
      </x:c>
      <x:c r="S415">
        <x:f t="shared" si="46"/>
        <x:v>3</x:v>
      </x:c>
      <x:c r="T415" t="str">
        <x:f t="shared" si="47"/>
        <x:v>DerivedFromCount</x:v>
      </x:c>
      <x:c r="U415" t="str">
        <x:f>IF(COUNTIF(DailyProduction!$Q$5:$Q$100,B415)=1,"OK","CHECK")</x:f>
        <x:v>OK</x:v>
      </x:c>
      <x:c r="V415" t="str">
        <x:f t="shared" si="48"/>
        <x:v>OK</x:v>
      </x:c>
      <x:c r="W415" t="str">
        <x:f>IF(SUMIF($B$5:$B$914,B415,$S$5:$S$914)=SUMIF(DailyProduction!$Q$5:$Q$100,B415,DailyProduction!$R$5:$R$100),"OK","CHECK")</x:f>
        <x:v>OK</x:v>
      </x:c>
      <x:c r="X415" t="str">
        <x:v>PLC-PRD-JAR-330-L23</x:v>
      </x:c>
      <x:c r="Y415" t="str">
        <x:v>OK</x:v>
      </x:c>
      <x:c r="Z415" t="str">
        <x:v>OK</x:v>
      </x:c>
      <x:c r="AA415" t="n">
        <x:v>3</x:v>
      </x:c>
      <x:c r="AB415" t="n">
        <x:v>3</x:v>
      </x:c>
      <x:c r="AC415" t="str">
        <x:v>OK</x:v>
      </x:c>
      <x:c r="AD415" t="str">
        <x:v>OK</x:v>
      </x:c>
      <x:c r="AE415" t="str">
        <x:v>LOAD</x:v>
      </x:c>
      <x:c r="AF415" t="str">
        <x:v>02_Supervisor_Log(4).xlsx</x:v>
      </x:c>
      <x:c r="AG415" t="str">
        <x:v>ENH-20260830-01</x:v>
      </x:c>
      <x:c r="AH415" t="str">
        <x:v>Active</x:v>
      </x:c>
      <x:c r="AI415"/>
      <x:c r="AJ415"/>
      <x:c r="AK415"/>
      <x:c r="AL415"/>
    </x:row>
    <x:row r="416">
      <x:c r="A416" t="s">
        <x:v>641</x:v>
      </x:c>
      <x:c r="B416" t="s">
        <x:v>633</x:v>
      </x:c>
      <x:c r="C416" t="s">
        <x:v>44</x:v>
      </x:c>
      <x:c r="D416">
        <x:v>45951</x:v>
      </x:c>
      <x:c r="E416" t="s">
        <x:v>187</x:v>
      </x:c>
      <x:c r="F416" t="s">
        <x:v>51</x:v>
      </x:c>
      <x:c r="G416">
        <x:v>23</x:v>
      </x:c>
      <x:c r="H416" t="s">
        <x:v>64</x:v>
      </x:c>
      <x:c r="I416">
        <x:v>9</x:v>
      </x:c>
      <x:c r="J416">
        <x:v>12</x:v>
      </x:c>
      <x:c r="K416">
        <x:v>3</x:v>
      </x:c>
      <x:c r="L416">
        <x:f t="shared" si="42"/>
        <x:v>1</x:v>
      </x:c>
      <x:c r="P416">
        <x:f t="shared" si="43"/>
        <x:v>1</x:v>
      </x:c>
      <x:c r="Q416">
        <x:f t="shared" si="44"/>
        <x:v>1</x:v>
      </x:c>
      <x:c r="R416">
        <x:f t="shared" si="45"/>
        <x:v>1</x:v>
      </x:c>
      <x:c r="S416">
        <x:f t="shared" si="46"/>
        <x:v>3</x:v>
      </x:c>
      <x:c r="T416" t="str">
        <x:f t="shared" si="47"/>
        <x:v>DerivedFromCount</x:v>
      </x:c>
      <x:c r="U416" t="str">
        <x:f>IF(COUNTIF(DailyProduction!$Q$5:$Q$100,B416)=1,"OK","CHECK")</x:f>
        <x:v>OK</x:v>
      </x:c>
      <x:c r="V416" t="str">
        <x:f t="shared" si="48"/>
        <x:v>OK</x:v>
      </x:c>
      <x:c r="W416" t="str">
        <x:f>IF(SUMIF($B$5:$B$914,B416,$S$5:$S$914)=SUMIF(DailyProduction!$Q$5:$Q$100,B416,DailyProduction!$R$5:$R$100),"OK","CHECK")</x:f>
        <x:v>OK</x:v>
      </x:c>
      <x:c r="X416" t="str">
        <x:v>PLC-PRD-JAR-330-L23</x:v>
      </x:c>
      <x:c r="Y416" t="str">
        <x:v>OK</x:v>
      </x:c>
      <x:c r="Z416" t="str">
        <x:v>OK</x:v>
      </x:c>
      <x:c r="AA416" t="n">
        <x:v>3</x:v>
      </x:c>
      <x:c r="AB416" t="n">
        <x:v>3</x:v>
      </x:c>
      <x:c r="AC416" t="str">
        <x:v>OK</x:v>
      </x:c>
      <x:c r="AD416" t="str">
        <x:v>OK</x:v>
      </x:c>
      <x:c r="AE416" t="str">
        <x:v>LOAD</x:v>
      </x:c>
      <x:c r="AF416" t="str">
        <x:v>02_Supervisor_Log(4).xlsx</x:v>
      </x:c>
      <x:c r="AG416" t="str">
        <x:v>ENH-20260830-01</x:v>
      </x:c>
      <x:c r="AH416" t="str">
        <x:v>Active</x:v>
      </x:c>
      <x:c r="AI416"/>
      <x:c r="AJ416"/>
      <x:c r="AK416"/>
      <x:c r="AL416"/>
    </x:row>
    <x:row r="417">
      <x:c r="A417" t="s">
        <x:v>642</x:v>
      </x:c>
      <x:c r="B417" t="s">
        <x:v>633</x:v>
      </x:c>
      <x:c r="C417" t="s">
        <x:v>44</x:v>
      </x:c>
      <x:c r="D417">
        <x:v>45951</x:v>
      </x:c>
      <x:c r="E417" t="s">
        <x:v>187</x:v>
      </x:c>
      <x:c r="F417" t="s">
        <x:v>51</x:v>
      </x:c>
      <x:c r="G417">
        <x:v>23</x:v>
      </x:c>
      <x:c r="H417" t="s">
        <x:v>64</x:v>
      </x:c>
      <x:c r="I417">
        <x:v>10</x:v>
      </x:c>
      <x:c r="J417">
        <x:v>12</x:v>
      </x:c>
      <x:c r="K417">
        <x:v>3</x:v>
      </x:c>
      <x:c r="L417">
        <x:f t="shared" si="42"/>
        <x:v>1</x:v>
      </x:c>
      <x:c r="P417">
        <x:f t="shared" si="43"/>
        <x:v>1</x:v>
      </x:c>
      <x:c r="Q417">
        <x:f t="shared" si="44"/>
        <x:v>1</x:v>
      </x:c>
      <x:c r="R417">
        <x:f t="shared" si="45"/>
        <x:v>1</x:v>
      </x:c>
      <x:c r="S417">
        <x:f t="shared" si="46"/>
        <x:v>3</x:v>
      </x:c>
      <x:c r="T417" t="str">
        <x:f t="shared" si="47"/>
        <x:v>DerivedFromCount</x:v>
      </x:c>
      <x:c r="U417" t="str">
        <x:f>IF(COUNTIF(DailyProduction!$Q$5:$Q$100,B417)=1,"OK","CHECK")</x:f>
        <x:v>OK</x:v>
      </x:c>
      <x:c r="V417" t="str">
        <x:f t="shared" si="48"/>
        <x:v>OK</x:v>
      </x:c>
      <x:c r="W417" t="str">
        <x:f>IF(SUMIF($B$5:$B$914,B417,$S$5:$S$914)=SUMIF(DailyProduction!$Q$5:$Q$100,B417,DailyProduction!$R$5:$R$100),"OK","CHECK")</x:f>
        <x:v>OK</x:v>
      </x:c>
      <x:c r="X417" t="str">
        <x:v>PLC-PRD-JAR-330-L23</x:v>
      </x:c>
      <x:c r="Y417" t="str">
        <x:v>OK</x:v>
      </x:c>
      <x:c r="Z417" t="str">
        <x:v>OK</x:v>
      </x:c>
      <x:c r="AA417" t="n">
        <x:v>3</x:v>
      </x:c>
      <x:c r="AB417" t="n">
        <x:v>3</x:v>
      </x:c>
      <x:c r="AC417" t="str">
        <x:v>OK</x:v>
      </x:c>
      <x:c r="AD417" t="str">
        <x:v>OK</x:v>
      </x:c>
      <x:c r="AE417" t="str">
        <x:v>LOAD</x:v>
      </x:c>
      <x:c r="AF417" t="str">
        <x:v>02_Supervisor_Log(4).xlsx</x:v>
      </x:c>
      <x:c r="AG417" t="str">
        <x:v>ENH-20260830-01</x:v>
      </x:c>
      <x:c r="AH417" t="str">
        <x:v>Active</x:v>
      </x:c>
      <x:c r="AI417"/>
      <x:c r="AJ417"/>
      <x:c r="AK417"/>
      <x:c r="AL417"/>
    </x:row>
    <x:row r="418">
      <x:c r="A418" t="s">
        <x:v>643</x:v>
      </x:c>
      <x:c r="B418" t="s">
        <x:v>633</x:v>
      </x:c>
      <x:c r="C418" t="s">
        <x:v>44</x:v>
      </x:c>
      <x:c r="D418">
        <x:v>45951</x:v>
      </x:c>
      <x:c r="E418" t="s">
        <x:v>187</x:v>
      </x:c>
      <x:c r="F418" t="s">
        <x:v>51</x:v>
      </x:c>
      <x:c r="G418">
        <x:v>23</x:v>
      </x:c>
      <x:c r="H418" t="s">
        <x:v>64</x:v>
      </x:c>
      <x:c r="I418">
        <x:v>11</x:v>
      </x:c>
      <x:c r="J418">
        <x:v>12</x:v>
      </x:c>
      <x:c r="K418">
        <x:v>3</x:v>
      </x:c>
      <x:c r="L418">
        <x:f t="shared" si="42"/>
        <x:v>1</x:v>
      </x:c>
      <x:c r="P418">
        <x:f t="shared" si="43"/>
        <x:v>1</x:v>
      </x:c>
      <x:c r="Q418">
        <x:f t="shared" si="44"/>
        <x:v>1</x:v>
      </x:c>
      <x:c r="R418">
        <x:f t="shared" si="45"/>
        <x:v>1</x:v>
      </x:c>
      <x:c r="S418">
        <x:f t="shared" si="46"/>
        <x:v>3</x:v>
      </x:c>
      <x:c r="T418" t="str">
        <x:f t="shared" si="47"/>
        <x:v>DerivedFromCount</x:v>
      </x:c>
      <x:c r="U418" t="str">
        <x:f>IF(COUNTIF(DailyProduction!$Q$5:$Q$100,B418)=1,"OK","CHECK")</x:f>
        <x:v>OK</x:v>
      </x:c>
      <x:c r="V418" t="str">
        <x:f t="shared" si="48"/>
        <x:v>OK</x:v>
      </x:c>
      <x:c r="W418" t="str">
        <x:f>IF(SUMIF($B$5:$B$914,B418,$S$5:$S$914)=SUMIF(DailyProduction!$Q$5:$Q$100,B418,DailyProduction!$R$5:$R$100),"OK","CHECK")</x:f>
        <x:v>OK</x:v>
      </x:c>
      <x:c r="X418" t="str">
        <x:v>PLC-PRD-JAR-330-L23</x:v>
      </x:c>
      <x:c r="Y418" t="str">
        <x:v>OK</x:v>
      </x:c>
      <x:c r="Z418" t="str">
        <x:v>OK</x:v>
      </x:c>
      <x:c r="AA418" t="n">
        <x:v>3</x:v>
      </x:c>
      <x:c r="AB418" t="n">
        <x:v>3</x:v>
      </x:c>
      <x:c r="AC418" t="str">
        <x:v>OK</x:v>
      </x:c>
      <x:c r="AD418" t="str">
        <x:v>OK</x:v>
      </x:c>
      <x:c r="AE418" t="str">
        <x:v>LOAD</x:v>
      </x:c>
      <x:c r="AF418" t="str">
        <x:v>02_Supervisor_Log(4).xlsx</x:v>
      </x:c>
      <x:c r="AG418" t="str">
        <x:v>ENH-20260830-01</x:v>
      </x:c>
      <x:c r="AH418" t="str">
        <x:v>Active</x:v>
      </x:c>
      <x:c r="AI418"/>
      <x:c r="AJ418"/>
      <x:c r="AK418"/>
      <x:c r="AL418"/>
    </x:row>
    <x:row r="419">
      <x:c r="A419" t="s">
        <x:v>644</x:v>
      </x:c>
      <x:c r="B419" t="s">
        <x:v>633</x:v>
      </x:c>
      <x:c r="C419" t="s">
        <x:v>44</x:v>
      </x:c>
      <x:c r="D419">
        <x:v>45951</x:v>
      </x:c>
      <x:c r="E419" t="s">
        <x:v>187</x:v>
      </x:c>
      <x:c r="F419" t="s">
        <x:v>51</x:v>
      </x:c>
      <x:c r="G419">
        <x:v>23</x:v>
      </x:c>
      <x:c r="H419" t="s">
        <x:v>64</x:v>
      </x:c>
      <x:c r="I419">
        <x:v>12</x:v>
      </x:c>
      <x:c r="J419">
        <x:v>12</x:v>
      </x:c>
      <x:c r="K419">
        <x:v>3</x:v>
      </x:c>
      <x:c r="L419">
        <x:f t="shared" si="42"/>
        <x:v>1</x:v>
      </x:c>
      <x:c r="P419">
        <x:f t="shared" si="43"/>
        <x:v>1</x:v>
      </x:c>
      <x:c r="Q419">
        <x:f t="shared" si="44"/>
        <x:v>1</x:v>
      </x:c>
      <x:c r="R419">
        <x:f t="shared" si="45"/>
        <x:v>1</x:v>
      </x:c>
      <x:c r="S419">
        <x:f t="shared" si="46"/>
        <x:v>3</x:v>
      </x:c>
      <x:c r="T419" t="str">
        <x:f t="shared" si="47"/>
        <x:v>DerivedFromCount</x:v>
      </x:c>
      <x:c r="U419" t="str">
        <x:f>IF(COUNTIF(DailyProduction!$Q$5:$Q$100,B419)=1,"OK","CHECK")</x:f>
        <x:v>OK</x:v>
      </x:c>
      <x:c r="V419" t="str">
        <x:f t="shared" si="48"/>
        <x:v>OK</x:v>
      </x:c>
      <x:c r="W419" t="str">
        <x:f>IF(SUMIF($B$5:$B$914,B419,$S$5:$S$914)=SUMIF(DailyProduction!$Q$5:$Q$100,B419,DailyProduction!$R$5:$R$100),"OK","CHECK")</x:f>
        <x:v>OK</x:v>
      </x:c>
      <x:c r="X419" t="str">
        <x:v>PLC-PRD-JAR-330-L23</x:v>
      </x:c>
      <x:c r="Y419" t="str">
        <x:v>OK</x:v>
      </x:c>
      <x:c r="Z419" t="str">
        <x:v>OK</x:v>
      </x:c>
      <x:c r="AA419" t="n">
        <x:v>3</x:v>
      </x:c>
      <x:c r="AB419" t="n">
        <x:v>3</x:v>
      </x:c>
      <x:c r="AC419" t="str">
        <x:v>OK</x:v>
      </x:c>
      <x:c r="AD419" t="str">
        <x:v>OK</x:v>
      </x:c>
      <x:c r="AE419" t="str">
        <x:v>LOAD</x:v>
      </x:c>
      <x:c r="AF419" t="str">
        <x:v>02_Supervisor_Log(4).xlsx</x:v>
      </x:c>
      <x:c r="AG419" t="str">
        <x:v>ENH-20260830-01</x:v>
      </x:c>
      <x:c r="AH419" t="str">
        <x:v>Active</x:v>
      </x:c>
      <x:c r="AI419"/>
      <x:c r="AJ419"/>
      <x:c r="AK419"/>
      <x:c r="AL419"/>
    </x:row>
    <x:row r="420">
      <x:c r="A420" t="s">
        <x:v>645</x:v>
      </x:c>
      <x:c r="B420" t="s">
        <x:v>633</x:v>
      </x:c>
      <x:c r="C420" t="s">
        <x:v>44</x:v>
      </x:c>
      <x:c r="D420">
        <x:v>45951</x:v>
      </x:c>
      <x:c r="E420" t="s">
        <x:v>187</x:v>
      </x:c>
      <x:c r="F420" t="s">
        <x:v>51</x:v>
      </x:c>
      <x:c r="G420">
        <x:v>23</x:v>
      </x:c>
      <x:c r="H420" t="s">
        <x:v>64</x:v>
      </x:c>
      <x:c r="I420">
        <x:v>13</x:v>
      </x:c>
      <x:c r="J420">
        <x:v>12</x:v>
      </x:c>
      <x:c r="K420">
        <x:v>3</x:v>
      </x:c>
      <x:c r="L420">
        <x:f t="shared" si="42"/>
        <x:v>0</x:v>
      </x:c>
      <x:c r="P420">
        <x:f t="shared" si="43"/>
        <x:v>0</x:v>
      </x:c>
      <x:c r="Q420">
        <x:f t="shared" si="44"/>
        <x:v>0</x:v>
      </x:c>
      <x:c r="R420">
        <x:f t="shared" si="45"/>
        <x:v>0</x:v>
      </x:c>
      <x:c r="S420">
        <x:f t="shared" si="46"/>
        <x:v>0</x:v>
      </x:c>
      <x:c r="T420" t="str">
        <x:f t="shared" si="47"/>
        <x:v>DerivedFromCount</x:v>
      </x:c>
      <x:c r="U420" t="str">
        <x:f>IF(COUNTIF(DailyProduction!$Q$5:$Q$100,B420)=1,"OK","CHECK")</x:f>
        <x:v>OK</x:v>
      </x:c>
      <x:c r="V420" t="str">
        <x:f t="shared" si="48"/>
        <x:v>OK</x:v>
      </x:c>
      <x:c r="W420" t="str">
        <x:f>IF(SUMIF($B$5:$B$914,B420,$S$5:$S$914)=SUMIF(DailyProduction!$Q$5:$Q$100,B420,DailyProduction!$R$5:$R$100),"OK","CHECK")</x:f>
        <x:v>OK</x:v>
      </x:c>
      <x:c r="X420" t="str">
        <x:v>PLC-PRD-JAR-330-L23</x:v>
      </x:c>
      <x:c r="Y420" t="str">
        <x:v>OK</x:v>
      </x:c>
      <x:c r="Z420" t="str">
        <x:v>OK</x:v>
      </x:c>
      <x:c r="AA420" t="n">
        <x:v>3</x:v>
      </x:c>
      <x:c r="AB420" t="n">
        <x:v>0</x:v>
      </x:c>
      <x:c r="AC420" t="str">
        <x:v>OK</x:v>
      </x:c>
      <x:c r="AD420" t="str">
        <x:v>OK</x:v>
      </x:c>
      <x:c r="AE420" t="str">
        <x:v>LOAD</x:v>
      </x:c>
      <x:c r="AF420" t="str">
        <x:v>02_Supervisor_Log(4).xlsx</x:v>
      </x:c>
      <x:c r="AG420" t="str">
        <x:v>ENH-20260830-01</x:v>
      </x:c>
      <x:c r="AH420" t="str">
        <x:v>Active</x:v>
      </x:c>
      <x:c r="AI420"/>
      <x:c r="AJ420"/>
      <x:c r="AK420"/>
      <x:c r="AL420"/>
    </x:row>
    <x:row r="421">
      <x:c r="A421" t="s">
        <x:v>646</x:v>
      </x:c>
      <x:c r="B421" t="s">
        <x:v>136</x:v>
      </x:c>
      <x:c r="C421" t="s">
        <x:v>44</x:v>
      </x:c>
      <x:c r="D421">
        <x:v>45952</x:v>
      </x:c>
      <x:c r="E421" t="s">
        <x:v>45</x:v>
      </x:c>
      <x:c r="F421" t="s">
        <x:v>51</x:v>
      </x:c>
      <x:c r="G421">
        <x:v>23</x:v>
      </x:c>
      <x:c r="H421" t="s">
        <x:v>65</x:v>
      </x:c>
      <x:c r="I421">
        <x:v>1</x:v>
      </x:c>
      <x:c r="J421">
        <x:v>12</x:v>
      </x:c>
      <x:c r="K421">
        <x:v>2</x:v>
      </x:c>
      <x:c r="L421">
        <x:f t="shared" si="42"/>
        <x:v>1</x:v>
      </x:c>
      <x:c r="P421">
        <x:f t="shared" si="43"/>
        <x:v>1</x:v>
      </x:c>
      <x:c r="Q421">
        <x:f t="shared" si="44"/>
        <x:v>1</x:v>
      </x:c>
      <x:c r="R421">
        <x:f t="shared" si="45"/>
        <x:v>0</x:v>
      </x:c>
      <x:c r="S421">
        <x:f t="shared" si="46"/>
        <x:v>2</x:v>
      </x:c>
      <x:c r="T421" t="str">
        <x:f t="shared" si="47"/>
        <x:v>DerivedFromCount</x:v>
      </x:c>
      <x:c r="U421" t="str">
        <x:f>IF(COUNTIF(DailyProduction!$Q$5:$Q$100,B421)=1,"OK","CHECK")</x:f>
        <x:v>OK</x:v>
      </x:c>
      <x:c r="V421" t="str">
        <x:f t="shared" si="48"/>
        <x:v>OK</x:v>
      </x:c>
      <x:c r="W421" t="str">
        <x:f>IF(SUMIF($B$5:$B$914,B421,$S$5:$S$914)=SUMIF(DailyProduction!$Q$5:$Q$100,B421,DailyProduction!$R$5:$R$100),"OK","CHECK")</x:f>
        <x:v>OK</x:v>
      </x:c>
      <x:c r="X421" t="str">
        <x:v>PLC-PRD-JAR-720-L23</x:v>
      </x:c>
      <x:c r="Y421" t="str">
        <x:v>OK</x:v>
      </x:c>
      <x:c r="Z421" t="str">
        <x:v>OK</x:v>
      </x:c>
      <x:c r="AA421" t="n">
        <x:v>3</x:v>
      </x:c>
      <x:c r="AB421" t="n">
        <x:v>2</x:v>
      </x:c>
      <x:c r="AC421" t="str">
        <x:v>OK</x:v>
      </x:c>
      <x:c r="AD421" t="str">
        <x:v>OK</x:v>
      </x:c>
      <x:c r="AE421" t="str">
        <x:v>LOAD</x:v>
      </x:c>
      <x:c r="AF421" t="str">
        <x:v>02_Supervisor_Log(4).xlsx</x:v>
      </x:c>
      <x:c r="AG421" t="str">
        <x:v>ENH-20260830-01</x:v>
      </x:c>
      <x:c r="AH421" t="str">
        <x:v>Active</x:v>
      </x:c>
      <x:c r="AI421"/>
      <x:c r="AJ421"/>
      <x:c r="AK421"/>
      <x:c r="AL421"/>
    </x:row>
    <x:row r="422">
      <x:c r="A422" t="s">
        <x:v>647</x:v>
      </x:c>
      <x:c r="B422" t="s">
        <x:v>136</x:v>
      </x:c>
      <x:c r="C422" t="s">
        <x:v>44</x:v>
      </x:c>
      <x:c r="D422">
        <x:v>45952</x:v>
      </x:c>
      <x:c r="E422" t="s">
        <x:v>45</x:v>
      </x:c>
      <x:c r="F422" t="s">
        <x:v>51</x:v>
      </x:c>
      <x:c r="G422">
        <x:v>23</x:v>
      </x:c>
      <x:c r="H422" t="s">
        <x:v>65</x:v>
      </x:c>
      <x:c r="I422">
        <x:v>2</x:v>
      </x:c>
      <x:c r="J422">
        <x:v>12</x:v>
      </x:c>
      <x:c r="K422">
        <x:v>2</x:v>
      </x:c>
      <x:c r="L422">
        <x:f t="shared" si="42"/>
        <x:v>1</x:v>
      </x:c>
      <x:c r="P422">
        <x:f t="shared" si="43"/>
        <x:v>1</x:v>
      </x:c>
      <x:c r="Q422">
        <x:f t="shared" si="44"/>
        <x:v>1</x:v>
      </x:c>
      <x:c r="R422">
        <x:f t="shared" si="45"/>
        <x:v>0</x:v>
      </x:c>
      <x:c r="S422">
        <x:f t="shared" si="46"/>
        <x:v>2</x:v>
      </x:c>
      <x:c r="T422" t="str">
        <x:f t="shared" si="47"/>
        <x:v>DerivedFromCount</x:v>
      </x:c>
      <x:c r="U422" t="str">
        <x:f>IF(COUNTIF(DailyProduction!$Q$5:$Q$100,B422)=1,"OK","CHECK")</x:f>
        <x:v>OK</x:v>
      </x:c>
      <x:c r="V422" t="str">
        <x:f t="shared" si="48"/>
        <x:v>OK</x:v>
      </x:c>
      <x:c r="W422" t="str">
        <x:f>IF(SUMIF($B$5:$B$914,B422,$S$5:$S$914)=SUMIF(DailyProduction!$Q$5:$Q$100,B422,DailyProduction!$R$5:$R$100),"OK","CHECK")</x:f>
        <x:v>OK</x:v>
      </x:c>
      <x:c r="X422" t="str">
        <x:v>PLC-PRD-JAR-720-L23</x:v>
      </x:c>
      <x:c r="Y422" t="str">
        <x:v>OK</x:v>
      </x:c>
      <x:c r="Z422" t="str">
        <x:v>OK</x:v>
      </x:c>
      <x:c r="AA422" t="n">
        <x:v>3</x:v>
      </x:c>
      <x:c r="AB422" t="n">
        <x:v>2</x:v>
      </x:c>
      <x:c r="AC422" t="str">
        <x:v>OK</x:v>
      </x:c>
      <x:c r="AD422" t="str">
        <x:v>OK</x:v>
      </x:c>
      <x:c r="AE422" t="str">
        <x:v>LOAD</x:v>
      </x:c>
      <x:c r="AF422" t="str">
        <x:v>02_Supervisor_Log(4).xlsx</x:v>
      </x:c>
      <x:c r="AG422" t="str">
        <x:v>ENH-20260830-01</x:v>
      </x:c>
      <x:c r="AH422" t="str">
        <x:v>Active</x:v>
      </x:c>
      <x:c r="AI422"/>
      <x:c r="AJ422"/>
      <x:c r="AK422"/>
      <x:c r="AL422"/>
    </x:row>
    <x:row r="423">
      <x:c r="A423" t="s">
        <x:v>648</x:v>
      </x:c>
      <x:c r="B423" t="s">
        <x:v>136</x:v>
      </x:c>
      <x:c r="C423" t="s">
        <x:v>44</x:v>
      </x:c>
      <x:c r="D423">
        <x:v>45952</x:v>
      </x:c>
      <x:c r="E423" t="s">
        <x:v>45</x:v>
      </x:c>
      <x:c r="F423" t="s">
        <x:v>51</x:v>
      </x:c>
      <x:c r="G423">
        <x:v>23</x:v>
      </x:c>
      <x:c r="H423" t="s">
        <x:v>65</x:v>
      </x:c>
      <x:c r="I423">
        <x:v>3</x:v>
      </x:c>
      <x:c r="J423">
        <x:v>12</x:v>
      </x:c>
      <x:c r="K423">
        <x:v>2</x:v>
      </x:c>
      <x:c r="L423">
        <x:f t="shared" si="42"/>
        <x:v>1</x:v>
      </x:c>
      <x:c r="P423">
        <x:f t="shared" si="43"/>
        <x:v>1</x:v>
      </x:c>
      <x:c r="Q423">
        <x:f t="shared" si="44"/>
        <x:v>1</x:v>
      </x:c>
      <x:c r="R423">
        <x:f t="shared" si="45"/>
        <x:v>0</x:v>
      </x:c>
      <x:c r="S423">
        <x:f t="shared" si="46"/>
        <x:v>2</x:v>
      </x:c>
      <x:c r="T423" t="str">
        <x:f t="shared" si="47"/>
        <x:v>DerivedFromCount</x:v>
      </x:c>
      <x:c r="U423" t="str">
        <x:f>IF(COUNTIF(DailyProduction!$Q$5:$Q$100,B423)=1,"OK","CHECK")</x:f>
        <x:v>OK</x:v>
      </x:c>
      <x:c r="V423" t="str">
        <x:f t="shared" si="48"/>
        <x:v>OK</x:v>
      </x:c>
      <x:c r="W423" t="str">
        <x:f>IF(SUMIF($B$5:$B$914,B423,$S$5:$S$914)=SUMIF(DailyProduction!$Q$5:$Q$100,B423,DailyProduction!$R$5:$R$100),"OK","CHECK")</x:f>
        <x:v>OK</x:v>
      </x:c>
      <x:c r="X423" t="str">
        <x:v>PLC-PRD-JAR-720-L23</x:v>
      </x:c>
      <x:c r="Y423" t="str">
        <x:v>OK</x:v>
      </x:c>
      <x:c r="Z423" t="str">
        <x:v>OK</x:v>
      </x:c>
      <x:c r="AA423" t="n">
        <x:v>3</x:v>
      </x:c>
      <x:c r="AB423" t="n">
        <x:v>2</x:v>
      </x:c>
      <x:c r="AC423" t="str">
        <x:v>OK</x:v>
      </x:c>
      <x:c r="AD423" t="str">
        <x:v>OK</x:v>
      </x:c>
      <x:c r="AE423" t="str">
        <x:v>LOAD</x:v>
      </x:c>
      <x:c r="AF423" t="str">
        <x:v>02_Supervisor_Log(4).xlsx</x:v>
      </x:c>
      <x:c r="AG423" t="str">
        <x:v>ENH-20260830-01</x:v>
      </x:c>
      <x:c r="AH423" t="str">
        <x:v>Active</x:v>
      </x:c>
      <x:c r="AI423"/>
      <x:c r="AJ423"/>
      <x:c r="AK423"/>
      <x:c r="AL423"/>
    </x:row>
    <x:row r="424">
      <x:c r="A424" t="s">
        <x:v>649</x:v>
      </x:c>
      <x:c r="B424" t="s">
        <x:v>136</x:v>
      </x:c>
      <x:c r="C424" t="s">
        <x:v>44</x:v>
      </x:c>
      <x:c r="D424">
        <x:v>45952</x:v>
      </x:c>
      <x:c r="E424" t="s">
        <x:v>45</x:v>
      </x:c>
      <x:c r="F424" t="s">
        <x:v>51</x:v>
      </x:c>
      <x:c r="G424">
        <x:v>23</x:v>
      </x:c>
      <x:c r="H424" t="s">
        <x:v>65</x:v>
      </x:c>
      <x:c r="I424">
        <x:v>4</x:v>
      </x:c>
      <x:c r="J424">
        <x:v>12</x:v>
      </x:c>
      <x:c r="K424">
        <x:v>2</x:v>
      </x:c>
      <x:c r="L424">
        <x:f t="shared" si="42"/>
        <x:v>1</x:v>
      </x:c>
      <x:c r="P424">
        <x:f t="shared" si="43"/>
        <x:v>1</x:v>
      </x:c>
      <x:c r="Q424">
        <x:f t="shared" si="44"/>
        <x:v>1</x:v>
      </x:c>
      <x:c r="R424">
        <x:f t="shared" si="45"/>
        <x:v>0</x:v>
      </x:c>
      <x:c r="S424">
        <x:f t="shared" si="46"/>
        <x:v>2</x:v>
      </x:c>
      <x:c r="T424" t="str">
        <x:f t="shared" si="47"/>
        <x:v>DerivedFromCount</x:v>
      </x:c>
      <x:c r="U424" t="str">
        <x:f>IF(COUNTIF(DailyProduction!$Q$5:$Q$100,B424)=1,"OK","CHECK")</x:f>
        <x:v>OK</x:v>
      </x:c>
      <x:c r="V424" t="str">
        <x:f t="shared" si="48"/>
        <x:v>OK</x:v>
      </x:c>
      <x:c r="W424" t="str">
        <x:f>IF(SUMIF($B$5:$B$914,B424,$S$5:$S$914)=SUMIF(DailyProduction!$Q$5:$Q$100,B424,DailyProduction!$R$5:$R$100),"OK","CHECK")</x:f>
        <x:v>OK</x:v>
      </x:c>
      <x:c r="X424" t="str">
        <x:v>PLC-PRD-JAR-720-L23</x:v>
      </x:c>
      <x:c r="Y424" t="str">
        <x:v>OK</x:v>
      </x:c>
      <x:c r="Z424" t="str">
        <x:v>OK</x:v>
      </x:c>
      <x:c r="AA424" t="n">
        <x:v>3</x:v>
      </x:c>
      <x:c r="AB424" t="n">
        <x:v>2</x:v>
      </x:c>
      <x:c r="AC424" t="str">
        <x:v>OK</x:v>
      </x:c>
      <x:c r="AD424" t="str">
        <x:v>OK</x:v>
      </x:c>
      <x:c r="AE424" t="str">
        <x:v>LOAD</x:v>
      </x:c>
      <x:c r="AF424" t="str">
        <x:v>02_Supervisor_Log(4).xlsx</x:v>
      </x:c>
      <x:c r="AG424" t="str">
        <x:v>ENH-20260830-01</x:v>
      </x:c>
      <x:c r="AH424" t="str">
        <x:v>Active</x:v>
      </x:c>
      <x:c r="AI424"/>
      <x:c r="AJ424"/>
      <x:c r="AK424"/>
      <x:c r="AL424"/>
    </x:row>
    <x:row r="425">
      <x:c r="A425" t="s">
        <x:v>650</x:v>
      </x:c>
      <x:c r="B425" t="s">
        <x:v>136</x:v>
      </x:c>
      <x:c r="C425" t="s">
        <x:v>44</x:v>
      </x:c>
      <x:c r="D425">
        <x:v>45952</x:v>
      </x:c>
      <x:c r="E425" t="s">
        <x:v>45</x:v>
      </x:c>
      <x:c r="F425" t="s">
        <x:v>51</x:v>
      </x:c>
      <x:c r="G425">
        <x:v>23</x:v>
      </x:c>
      <x:c r="H425" t="s">
        <x:v>65</x:v>
      </x:c>
      <x:c r="I425">
        <x:v>5</x:v>
      </x:c>
      <x:c r="J425">
        <x:v>12</x:v>
      </x:c>
      <x:c r="K425">
        <x:v>2</x:v>
      </x:c>
      <x:c r="L425">
        <x:f t="shared" si="42"/>
        <x:v>1</x:v>
      </x:c>
      <x:c r="P425">
        <x:f t="shared" si="43"/>
        <x:v>1</x:v>
      </x:c>
      <x:c r="Q425">
        <x:f t="shared" si="44"/>
        <x:v>1</x:v>
      </x:c>
      <x:c r="R425">
        <x:f t="shared" si="45"/>
        <x:v>0</x:v>
      </x:c>
      <x:c r="S425">
        <x:f t="shared" si="46"/>
        <x:v>2</x:v>
      </x:c>
      <x:c r="T425" t="str">
        <x:f t="shared" si="47"/>
        <x:v>DerivedFromCount</x:v>
      </x:c>
      <x:c r="U425" t="str">
        <x:f>IF(COUNTIF(DailyProduction!$Q$5:$Q$100,B425)=1,"OK","CHECK")</x:f>
        <x:v>OK</x:v>
      </x:c>
      <x:c r="V425" t="str">
        <x:f t="shared" si="48"/>
        <x:v>OK</x:v>
      </x:c>
      <x:c r="W425" t="str">
        <x:f>IF(SUMIF($B$5:$B$914,B425,$S$5:$S$914)=SUMIF(DailyProduction!$Q$5:$Q$100,B425,DailyProduction!$R$5:$R$100),"OK","CHECK")</x:f>
        <x:v>OK</x:v>
      </x:c>
      <x:c r="X425" t="str">
        <x:v>PLC-PRD-JAR-720-L23</x:v>
      </x:c>
      <x:c r="Y425" t="str">
        <x:v>OK</x:v>
      </x:c>
      <x:c r="Z425" t="str">
        <x:v>OK</x:v>
      </x:c>
      <x:c r="AA425" t="n">
        <x:v>3</x:v>
      </x:c>
      <x:c r="AB425" t="n">
        <x:v>2</x:v>
      </x:c>
      <x:c r="AC425" t="str">
        <x:v>OK</x:v>
      </x:c>
      <x:c r="AD425" t="str">
        <x:v>OK</x:v>
      </x:c>
      <x:c r="AE425" t="str">
        <x:v>LOAD</x:v>
      </x:c>
      <x:c r="AF425" t="str">
        <x:v>02_Supervisor_Log(4).xlsx</x:v>
      </x:c>
      <x:c r="AG425" t="str">
        <x:v>ENH-20260830-01</x:v>
      </x:c>
      <x:c r="AH425" t="str">
        <x:v>Active</x:v>
      </x:c>
      <x:c r="AI425"/>
      <x:c r="AJ425"/>
      <x:c r="AK425"/>
      <x:c r="AL425"/>
    </x:row>
    <x:row r="426">
      <x:c r="A426" t="s">
        <x:v>651</x:v>
      </x:c>
      <x:c r="B426" t="s">
        <x:v>136</x:v>
      </x:c>
      <x:c r="C426" t="s">
        <x:v>44</x:v>
      </x:c>
      <x:c r="D426">
        <x:v>45952</x:v>
      </x:c>
      <x:c r="E426" t="s">
        <x:v>45</x:v>
      </x:c>
      <x:c r="F426" t="s">
        <x:v>51</x:v>
      </x:c>
      <x:c r="G426">
        <x:v>23</x:v>
      </x:c>
      <x:c r="H426" t="s">
        <x:v>65</x:v>
      </x:c>
      <x:c r="I426">
        <x:v>6</x:v>
      </x:c>
      <x:c r="J426">
        <x:v>12</x:v>
      </x:c>
      <x:c r="K426">
        <x:v>2</x:v>
      </x:c>
      <x:c r="L426">
        <x:f t="shared" si="42"/>
        <x:v>1</x:v>
      </x:c>
      <x:c r="P426">
        <x:f t="shared" si="43"/>
        <x:v>1</x:v>
      </x:c>
      <x:c r="Q426">
        <x:f t="shared" si="44"/>
        <x:v>1</x:v>
      </x:c>
      <x:c r="R426">
        <x:f t="shared" si="45"/>
        <x:v>0</x:v>
      </x:c>
      <x:c r="S426">
        <x:f t="shared" si="46"/>
        <x:v>2</x:v>
      </x:c>
      <x:c r="T426" t="str">
        <x:f t="shared" si="47"/>
        <x:v>DerivedFromCount</x:v>
      </x:c>
      <x:c r="U426" t="str">
        <x:f>IF(COUNTIF(DailyProduction!$Q$5:$Q$100,B426)=1,"OK","CHECK")</x:f>
        <x:v>OK</x:v>
      </x:c>
      <x:c r="V426" t="str">
        <x:f t="shared" si="48"/>
        <x:v>OK</x:v>
      </x:c>
      <x:c r="W426" t="str">
        <x:f>IF(SUMIF($B$5:$B$914,B426,$S$5:$S$914)=SUMIF(DailyProduction!$Q$5:$Q$100,B426,DailyProduction!$R$5:$R$100),"OK","CHECK")</x:f>
        <x:v>OK</x:v>
      </x:c>
      <x:c r="X426" t="str">
        <x:v>PLC-PRD-JAR-720-L23</x:v>
      </x:c>
      <x:c r="Y426" t="str">
        <x:v>OK</x:v>
      </x:c>
      <x:c r="Z426" t="str">
        <x:v>OK</x:v>
      </x:c>
      <x:c r="AA426" t="n">
        <x:v>3</x:v>
      </x:c>
      <x:c r="AB426" t="n">
        <x:v>2</x:v>
      </x:c>
      <x:c r="AC426" t="str">
        <x:v>OK</x:v>
      </x:c>
      <x:c r="AD426" t="str">
        <x:v>OK</x:v>
      </x:c>
      <x:c r="AE426" t="str">
        <x:v>LOAD</x:v>
      </x:c>
      <x:c r="AF426" t="str">
        <x:v>02_Supervisor_Log(4).xlsx</x:v>
      </x:c>
      <x:c r="AG426" t="str">
        <x:v>ENH-20260830-01</x:v>
      </x:c>
      <x:c r="AH426" t="str">
        <x:v>Active</x:v>
      </x:c>
      <x:c r="AI426"/>
      <x:c r="AJ426"/>
      <x:c r="AK426"/>
      <x:c r="AL426"/>
    </x:row>
    <x:row r="427">
      <x:c r="A427" t="s">
        <x:v>652</x:v>
      </x:c>
      <x:c r="B427" t="s">
        <x:v>136</x:v>
      </x:c>
      <x:c r="C427" t="s">
        <x:v>44</x:v>
      </x:c>
      <x:c r="D427">
        <x:v>45952</x:v>
      </x:c>
      <x:c r="E427" t="s">
        <x:v>45</x:v>
      </x:c>
      <x:c r="F427" t="s">
        <x:v>51</x:v>
      </x:c>
      <x:c r="G427">
        <x:v>23</x:v>
      </x:c>
      <x:c r="H427" t="s">
        <x:v>65</x:v>
      </x:c>
      <x:c r="I427">
        <x:v>7</x:v>
      </x:c>
      <x:c r="J427">
        <x:v>12</x:v>
      </x:c>
      <x:c r="K427">
        <x:v>2</x:v>
      </x:c>
      <x:c r="L427">
        <x:f t="shared" si="42"/>
        <x:v>1</x:v>
      </x:c>
      <x:c r="P427">
        <x:f t="shared" si="43"/>
        <x:v>1</x:v>
      </x:c>
      <x:c r="Q427">
        <x:f t="shared" si="44"/>
        <x:v>1</x:v>
      </x:c>
      <x:c r="R427">
        <x:f t="shared" si="45"/>
        <x:v>0</x:v>
      </x:c>
      <x:c r="S427">
        <x:f t="shared" si="46"/>
        <x:v>2</x:v>
      </x:c>
      <x:c r="T427" t="str">
        <x:f t="shared" si="47"/>
        <x:v>DerivedFromCount</x:v>
      </x:c>
      <x:c r="U427" t="str">
        <x:f>IF(COUNTIF(DailyProduction!$Q$5:$Q$100,B427)=1,"OK","CHECK")</x:f>
        <x:v>OK</x:v>
      </x:c>
      <x:c r="V427" t="str">
        <x:f t="shared" si="48"/>
        <x:v>OK</x:v>
      </x:c>
      <x:c r="W427" t="str">
        <x:f>IF(SUMIF($B$5:$B$914,B427,$S$5:$S$914)=SUMIF(DailyProduction!$Q$5:$Q$100,B427,DailyProduction!$R$5:$R$100),"OK","CHECK")</x:f>
        <x:v>OK</x:v>
      </x:c>
      <x:c r="X427" t="str">
        <x:v>PLC-PRD-JAR-720-L23</x:v>
      </x:c>
      <x:c r="Y427" t="str">
        <x:v>OK</x:v>
      </x:c>
      <x:c r="Z427" t="str">
        <x:v>OK</x:v>
      </x:c>
      <x:c r="AA427" t="n">
        <x:v>3</x:v>
      </x:c>
      <x:c r="AB427" t="n">
        <x:v>2</x:v>
      </x:c>
      <x:c r="AC427" t="str">
        <x:v>OK</x:v>
      </x:c>
      <x:c r="AD427" t="str">
        <x:v>OK</x:v>
      </x:c>
      <x:c r="AE427" t="str">
        <x:v>LOAD</x:v>
      </x:c>
      <x:c r="AF427" t="str">
        <x:v>02_Supervisor_Log(4).xlsx</x:v>
      </x:c>
      <x:c r="AG427" t="str">
        <x:v>ENH-20260830-01</x:v>
      </x:c>
      <x:c r="AH427" t="str">
        <x:v>Active</x:v>
      </x:c>
      <x:c r="AI427"/>
      <x:c r="AJ427"/>
      <x:c r="AK427"/>
      <x:c r="AL427"/>
    </x:row>
    <x:row r="428">
      <x:c r="A428" t="s">
        <x:v>653</x:v>
      </x:c>
      <x:c r="B428" t="s">
        <x:v>136</x:v>
      </x:c>
      <x:c r="C428" t="s">
        <x:v>44</x:v>
      </x:c>
      <x:c r="D428">
        <x:v>45952</x:v>
      </x:c>
      <x:c r="E428" t="s">
        <x:v>45</x:v>
      </x:c>
      <x:c r="F428" t="s">
        <x:v>51</x:v>
      </x:c>
      <x:c r="G428">
        <x:v>23</x:v>
      </x:c>
      <x:c r="H428" t="s">
        <x:v>65</x:v>
      </x:c>
      <x:c r="I428">
        <x:v>8</x:v>
      </x:c>
      <x:c r="J428">
        <x:v>12</x:v>
      </x:c>
      <x:c r="K428">
        <x:v>2</x:v>
      </x:c>
      <x:c r="L428">
        <x:f t="shared" si="42"/>
        <x:v>1</x:v>
      </x:c>
      <x:c r="P428">
        <x:f t="shared" si="43"/>
        <x:v>1</x:v>
      </x:c>
      <x:c r="Q428">
        <x:f t="shared" si="44"/>
        <x:v>1</x:v>
      </x:c>
      <x:c r="R428">
        <x:f t="shared" si="45"/>
        <x:v>0</x:v>
      </x:c>
      <x:c r="S428">
        <x:f t="shared" si="46"/>
        <x:v>2</x:v>
      </x:c>
      <x:c r="T428" t="str">
        <x:f t="shared" si="47"/>
        <x:v>DerivedFromCount</x:v>
      </x:c>
      <x:c r="U428" t="str">
        <x:f>IF(COUNTIF(DailyProduction!$Q$5:$Q$100,B428)=1,"OK","CHECK")</x:f>
        <x:v>OK</x:v>
      </x:c>
      <x:c r="V428" t="str">
        <x:f t="shared" si="48"/>
        <x:v>OK</x:v>
      </x:c>
      <x:c r="W428" t="str">
        <x:f>IF(SUMIF($B$5:$B$914,B428,$S$5:$S$914)=SUMIF(DailyProduction!$Q$5:$Q$100,B428,DailyProduction!$R$5:$R$100),"OK","CHECK")</x:f>
        <x:v>OK</x:v>
      </x:c>
      <x:c r="X428" t="str">
        <x:v>PLC-PRD-JAR-720-L23</x:v>
      </x:c>
      <x:c r="Y428" t="str">
        <x:v>OK</x:v>
      </x:c>
      <x:c r="Z428" t="str">
        <x:v>OK</x:v>
      </x:c>
      <x:c r="AA428" t="n">
        <x:v>3</x:v>
      </x:c>
      <x:c r="AB428" t="n">
        <x:v>2</x:v>
      </x:c>
      <x:c r="AC428" t="str">
        <x:v>OK</x:v>
      </x:c>
      <x:c r="AD428" t="str">
        <x:v>OK</x:v>
      </x:c>
      <x:c r="AE428" t="str">
        <x:v>LOAD</x:v>
      </x:c>
      <x:c r="AF428" t="str">
        <x:v>02_Supervisor_Log(4).xlsx</x:v>
      </x:c>
      <x:c r="AG428" t="str">
        <x:v>ENH-20260830-01</x:v>
      </x:c>
      <x:c r="AH428" t="str">
        <x:v>Active</x:v>
      </x:c>
      <x:c r="AI428"/>
      <x:c r="AJ428"/>
      <x:c r="AK428"/>
      <x:c r="AL428"/>
    </x:row>
    <x:row r="429">
      <x:c r="A429" t="s">
        <x:v>654</x:v>
      </x:c>
      <x:c r="B429" t="s">
        <x:v>136</x:v>
      </x:c>
      <x:c r="C429" t="s">
        <x:v>44</x:v>
      </x:c>
      <x:c r="D429">
        <x:v>45952</x:v>
      </x:c>
      <x:c r="E429" t="s">
        <x:v>45</x:v>
      </x:c>
      <x:c r="F429" t="s">
        <x:v>51</x:v>
      </x:c>
      <x:c r="G429">
        <x:v>23</x:v>
      </x:c>
      <x:c r="H429" t="s">
        <x:v>65</x:v>
      </x:c>
      <x:c r="I429">
        <x:v>9</x:v>
      </x:c>
      <x:c r="J429">
        <x:v>12</x:v>
      </x:c>
      <x:c r="K429">
        <x:v>2</x:v>
      </x:c>
      <x:c r="L429">
        <x:f t="shared" si="42"/>
        <x:v>1</x:v>
      </x:c>
      <x:c r="P429">
        <x:f t="shared" si="43"/>
        <x:v>1</x:v>
      </x:c>
      <x:c r="Q429">
        <x:f t="shared" si="44"/>
        <x:v>1</x:v>
      </x:c>
      <x:c r="R429">
        <x:f t="shared" si="45"/>
        <x:v>0</x:v>
      </x:c>
      <x:c r="S429">
        <x:f t="shared" si="46"/>
        <x:v>2</x:v>
      </x:c>
      <x:c r="T429" t="str">
        <x:f t="shared" si="47"/>
        <x:v>DerivedFromCount</x:v>
      </x:c>
      <x:c r="U429" t="str">
        <x:f>IF(COUNTIF(DailyProduction!$Q$5:$Q$100,B429)=1,"OK","CHECK")</x:f>
        <x:v>OK</x:v>
      </x:c>
      <x:c r="V429" t="str">
        <x:f t="shared" si="48"/>
        <x:v>OK</x:v>
      </x:c>
      <x:c r="W429" t="str">
        <x:f>IF(SUMIF($B$5:$B$914,B429,$S$5:$S$914)=SUMIF(DailyProduction!$Q$5:$Q$100,B429,DailyProduction!$R$5:$R$100),"OK","CHECK")</x:f>
        <x:v>OK</x:v>
      </x:c>
      <x:c r="X429" t="str">
        <x:v>PLC-PRD-JAR-720-L23</x:v>
      </x:c>
      <x:c r="Y429" t="str">
        <x:v>OK</x:v>
      </x:c>
      <x:c r="Z429" t="str">
        <x:v>OK</x:v>
      </x:c>
      <x:c r="AA429" t="n">
        <x:v>3</x:v>
      </x:c>
      <x:c r="AB429" t="n">
        <x:v>2</x:v>
      </x:c>
      <x:c r="AC429" t="str">
        <x:v>OK</x:v>
      </x:c>
      <x:c r="AD429" t="str">
        <x:v>OK</x:v>
      </x:c>
      <x:c r="AE429" t="str">
        <x:v>LOAD</x:v>
      </x:c>
      <x:c r="AF429" t="str">
        <x:v>02_Supervisor_Log(4).xlsx</x:v>
      </x:c>
      <x:c r="AG429" t="str">
        <x:v>ENH-20260830-01</x:v>
      </x:c>
      <x:c r="AH429" t="str">
        <x:v>Active</x:v>
      </x:c>
      <x:c r="AI429"/>
      <x:c r="AJ429"/>
      <x:c r="AK429"/>
      <x:c r="AL429"/>
    </x:row>
    <x:row r="430">
      <x:c r="A430" t="s">
        <x:v>655</x:v>
      </x:c>
      <x:c r="B430" t="s">
        <x:v>136</x:v>
      </x:c>
      <x:c r="C430" t="s">
        <x:v>44</x:v>
      </x:c>
      <x:c r="D430">
        <x:v>45952</x:v>
      </x:c>
      <x:c r="E430" t="s">
        <x:v>45</x:v>
      </x:c>
      <x:c r="F430" t="s">
        <x:v>51</x:v>
      </x:c>
      <x:c r="G430">
        <x:v>23</x:v>
      </x:c>
      <x:c r="H430" t="s">
        <x:v>65</x:v>
      </x:c>
      <x:c r="I430">
        <x:v>10</x:v>
      </x:c>
      <x:c r="J430">
        <x:v>12</x:v>
      </x:c>
      <x:c r="K430">
        <x:v>2</x:v>
      </x:c>
      <x:c r="L430">
        <x:f t="shared" si="42"/>
        <x:v>1</x:v>
      </x:c>
      <x:c r="P430">
        <x:f t="shared" si="43"/>
        <x:v>1</x:v>
      </x:c>
      <x:c r="Q430">
        <x:f t="shared" si="44"/>
        <x:v>1</x:v>
      </x:c>
      <x:c r="R430">
        <x:f t="shared" si="45"/>
        <x:v>0</x:v>
      </x:c>
      <x:c r="S430">
        <x:f t="shared" si="46"/>
        <x:v>2</x:v>
      </x:c>
      <x:c r="T430" t="str">
        <x:f t="shared" si="47"/>
        <x:v>DerivedFromCount</x:v>
      </x:c>
      <x:c r="U430" t="str">
        <x:f>IF(COUNTIF(DailyProduction!$Q$5:$Q$100,B430)=1,"OK","CHECK")</x:f>
        <x:v>OK</x:v>
      </x:c>
      <x:c r="V430" t="str">
        <x:f t="shared" si="48"/>
        <x:v>OK</x:v>
      </x:c>
      <x:c r="W430" t="str">
        <x:f>IF(SUMIF($B$5:$B$914,B430,$S$5:$S$914)=SUMIF(DailyProduction!$Q$5:$Q$100,B430,DailyProduction!$R$5:$R$100),"OK","CHECK")</x:f>
        <x:v>OK</x:v>
      </x:c>
      <x:c r="X430" t="str">
        <x:v>PLC-PRD-JAR-720-L23</x:v>
      </x:c>
      <x:c r="Y430" t="str">
        <x:v>OK</x:v>
      </x:c>
      <x:c r="Z430" t="str">
        <x:v>OK</x:v>
      </x:c>
      <x:c r="AA430" t="n">
        <x:v>3</x:v>
      </x:c>
      <x:c r="AB430" t="n">
        <x:v>2</x:v>
      </x:c>
      <x:c r="AC430" t="str">
        <x:v>OK</x:v>
      </x:c>
      <x:c r="AD430" t="str">
        <x:v>OK</x:v>
      </x:c>
      <x:c r="AE430" t="str">
        <x:v>LOAD</x:v>
      </x:c>
      <x:c r="AF430" t="str">
        <x:v>02_Supervisor_Log(4).xlsx</x:v>
      </x:c>
      <x:c r="AG430" t="str">
        <x:v>ENH-20260830-01</x:v>
      </x:c>
      <x:c r="AH430" t="str">
        <x:v>Active</x:v>
      </x:c>
      <x:c r="AI430"/>
      <x:c r="AJ430"/>
      <x:c r="AK430"/>
      <x:c r="AL430"/>
    </x:row>
    <x:row r="431">
      <x:c r="A431" t="s">
        <x:v>656</x:v>
      </x:c>
      <x:c r="B431" t="s">
        <x:v>136</x:v>
      </x:c>
      <x:c r="C431" t="s">
        <x:v>44</x:v>
      </x:c>
      <x:c r="D431">
        <x:v>45952</x:v>
      </x:c>
      <x:c r="E431" t="s">
        <x:v>45</x:v>
      </x:c>
      <x:c r="F431" t="s">
        <x:v>51</x:v>
      </x:c>
      <x:c r="G431">
        <x:v>23</x:v>
      </x:c>
      <x:c r="H431" t="s">
        <x:v>65</x:v>
      </x:c>
      <x:c r="I431">
        <x:v>11</x:v>
      </x:c>
      <x:c r="J431">
        <x:v>12</x:v>
      </x:c>
      <x:c r="K431">
        <x:v>2</x:v>
      </x:c>
      <x:c r="L431">
        <x:f t="shared" si="42"/>
        <x:v>1</x:v>
      </x:c>
      <x:c r="P431">
        <x:f t="shared" si="43"/>
        <x:v>1</x:v>
      </x:c>
      <x:c r="Q431">
        <x:f t="shared" si="44"/>
        <x:v>1</x:v>
      </x:c>
      <x:c r="R431">
        <x:f t="shared" si="45"/>
        <x:v>0</x:v>
      </x:c>
      <x:c r="S431">
        <x:f t="shared" si="46"/>
        <x:v>2</x:v>
      </x:c>
      <x:c r="T431" t="str">
        <x:f t="shared" si="47"/>
        <x:v>DerivedFromCount</x:v>
      </x:c>
      <x:c r="U431" t="str">
        <x:f>IF(COUNTIF(DailyProduction!$Q$5:$Q$100,B431)=1,"OK","CHECK")</x:f>
        <x:v>OK</x:v>
      </x:c>
      <x:c r="V431" t="str">
        <x:f t="shared" si="48"/>
        <x:v>OK</x:v>
      </x:c>
      <x:c r="W431" t="str">
        <x:f>IF(SUMIF($B$5:$B$914,B431,$S$5:$S$914)=SUMIF(DailyProduction!$Q$5:$Q$100,B431,DailyProduction!$R$5:$R$100),"OK","CHECK")</x:f>
        <x:v>OK</x:v>
      </x:c>
      <x:c r="X431" t="str">
        <x:v>PLC-PRD-JAR-720-L23</x:v>
      </x:c>
      <x:c r="Y431" t="str">
        <x:v>OK</x:v>
      </x:c>
      <x:c r="Z431" t="str">
        <x:v>OK</x:v>
      </x:c>
      <x:c r="AA431" t="n">
        <x:v>3</x:v>
      </x:c>
      <x:c r="AB431" t="n">
        <x:v>2</x:v>
      </x:c>
      <x:c r="AC431" t="str">
        <x:v>OK</x:v>
      </x:c>
      <x:c r="AD431" t="str">
        <x:v>OK</x:v>
      </x:c>
      <x:c r="AE431" t="str">
        <x:v>LOAD</x:v>
      </x:c>
      <x:c r="AF431" t="str">
        <x:v>02_Supervisor_Log(4).xlsx</x:v>
      </x:c>
      <x:c r="AG431" t="str">
        <x:v>ENH-20260830-01</x:v>
      </x:c>
      <x:c r="AH431" t="str">
        <x:v>Active</x:v>
      </x:c>
      <x:c r="AI431"/>
      <x:c r="AJ431"/>
      <x:c r="AK431"/>
      <x:c r="AL431"/>
    </x:row>
    <x:row r="432">
      <x:c r="A432" t="s">
        <x:v>657</x:v>
      </x:c>
      <x:c r="B432" t="s">
        <x:v>136</x:v>
      </x:c>
      <x:c r="C432" t="s">
        <x:v>44</x:v>
      </x:c>
      <x:c r="D432">
        <x:v>45952</x:v>
      </x:c>
      <x:c r="E432" t="s">
        <x:v>45</x:v>
      </x:c>
      <x:c r="F432" t="s">
        <x:v>51</x:v>
      </x:c>
      <x:c r="G432">
        <x:v>23</x:v>
      </x:c>
      <x:c r="H432" t="s">
        <x:v>65</x:v>
      </x:c>
      <x:c r="I432">
        <x:v>12</x:v>
      </x:c>
      <x:c r="J432">
        <x:v>12</x:v>
      </x:c>
      <x:c r="K432">
        <x:v>2</x:v>
      </x:c>
      <x:c r="L432">
        <x:f t="shared" si="42"/>
        <x:v>1</x:v>
      </x:c>
      <x:c r="P432">
        <x:f t="shared" si="43"/>
        <x:v>1</x:v>
      </x:c>
      <x:c r="Q432">
        <x:f t="shared" si="44"/>
        <x:v>1</x:v>
      </x:c>
      <x:c r="R432">
        <x:f t="shared" si="45"/>
        <x:v>0</x:v>
      </x:c>
      <x:c r="S432">
        <x:f t="shared" si="46"/>
        <x:v>2</x:v>
      </x:c>
      <x:c r="T432" t="str">
        <x:f t="shared" si="47"/>
        <x:v>DerivedFromCount</x:v>
      </x:c>
      <x:c r="U432" t="str">
        <x:f>IF(COUNTIF(DailyProduction!$Q$5:$Q$100,B432)=1,"OK","CHECK")</x:f>
        <x:v>OK</x:v>
      </x:c>
      <x:c r="V432" t="str">
        <x:f t="shared" si="48"/>
        <x:v>OK</x:v>
      </x:c>
      <x:c r="W432" t="str">
        <x:f>IF(SUMIF($B$5:$B$914,B432,$S$5:$S$914)=SUMIF(DailyProduction!$Q$5:$Q$100,B432,DailyProduction!$R$5:$R$100),"OK","CHECK")</x:f>
        <x:v>OK</x:v>
      </x:c>
      <x:c r="X432" t="str">
        <x:v>PLC-PRD-JAR-720-L23</x:v>
      </x:c>
      <x:c r="Y432" t="str">
        <x:v>OK</x:v>
      </x:c>
      <x:c r="Z432" t="str">
        <x:v>OK</x:v>
      </x:c>
      <x:c r="AA432" t="n">
        <x:v>3</x:v>
      </x:c>
      <x:c r="AB432" t="n">
        <x:v>2</x:v>
      </x:c>
      <x:c r="AC432" t="str">
        <x:v>OK</x:v>
      </x:c>
      <x:c r="AD432" t="str">
        <x:v>OK</x:v>
      </x:c>
      <x:c r="AE432" t="str">
        <x:v>LOAD</x:v>
      </x:c>
      <x:c r="AF432" t="str">
        <x:v>02_Supervisor_Log(4).xlsx</x:v>
      </x:c>
      <x:c r="AG432" t="str">
        <x:v>ENH-20260830-01</x:v>
      </x:c>
      <x:c r="AH432" t="str">
        <x:v>Active</x:v>
      </x:c>
      <x:c r="AI432"/>
      <x:c r="AJ432"/>
      <x:c r="AK432"/>
      <x:c r="AL432"/>
    </x:row>
    <x:row r="433">
      <x:c r="A433" t="s">
        <x:v>658</x:v>
      </x:c>
      <x:c r="B433" t="s">
        <x:v>136</x:v>
      </x:c>
      <x:c r="C433" t="s">
        <x:v>44</x:v>
      </x:c>
      <x:c r="D433">
        <x:v>45952</x:v>
      </x:c>
      <x:c r="E433" t="s">
        <x:v>45</x:v>
      </x:c>
      <x:c r="F433" t="s">
        <x:v>51</x:v>
      </x:c>
      <x:c r="G433">
        <x:v>23</x:v>
      </x:c>
      <x:c r="H433" t="s">
        <x:v>65</x:v>
      </x:c>
      <x:c r="I433">
        <x:v>13</x:v>
      </x:c>
      <x:c r="J433">
        <x:v>12</x:v>
      </x:c>
      <x:c r="K433">
        <x:v>2</x:v>
      </x:c>
      <x:c r="L433">
        <x:f t="shared" si="42"/>
        <x:v>0</x:v>
      </x:c>
      <x:c r="P433">
        <x:f t="shared" si="43"/>
        <x:v>0</x:v>
      </x:c>
      <x:c r="Q433">
        <x:f t="shared" si="44"/>
        <x:v>0</x:v>
      </x:c>
      <x:c r="R433">
        <x:f t="shared" si="45"/>
        <x:v>0</x:v>
      </x:c>
      <x:c r="S433">
        <x:f t="shared" si="46"/>
        <x:v>0</x:v>
      </x:c>
      <x:c r="T433" t="str">
        <x:f t="shared" si="47"/>
        <x:v>DerivedFromCount</x:v>
      </x:c>
      <x:c r="U433" t="str">
        <x:f>IF(COUNTIF(DailyProduction!$Q$5:$Q$100,B433)=1,"OK","CHECK")</x:f>
        <x:v>OK</x:v>
      </x:c>
      <x:c r="V433" t="str">
        <x:f t="shared" si="48"/>
        <x:v>OK</x:v>
      </x:c>
      <x:c r="W433" t="str">
        <x:f>IF(SUMIF($B$5:$B$914,B433,$S$5:$S$914)=SUMIF(DailyProduction!$Q$5:$Q$100,B433,DailyProduction!$R$5:$R$100),"OK","CHECK")</x:f>
        <x:v>OK</x:v>
      </x:c>
      <x:c r="X433" t="str">
        <x:v>PLC-PRD-JAR-720-L23</x:v>
      </x:c>
      <x:c r="Y433" t="str">
        <x:v>OK</x:v>
      </x:c>
      <x:c r="Z433" t="str">
        <x:v>OK</x:v>
      </x:c>
      <x:c r="AA433" t="n">
        <x:v>3</x:v>
      </x:c>
      <x:c r="AB433" t="n">
        <x:v>0</x:v>
      </x:c>
      <x:c r="AC433" t="str">
        <x:v>OK</x:v>
      </x:c>
      <x:c r="AD433" t="str">
        <x:v>OK</x:v>
      </x:c>
      <x:c r="AE433" t="str">
        <x:v>LOAD</x:v>
      </x:c>
      <x:c r="AF433" t="str">
        <x:v>02_Supervisor_Log(4).xlsx</x:v>
      </x:c>
      <x:c r="AG433" t="str">
        <x:v>ENH-20260830-01</x:v>
      </x:c>
      <x:c r="AH433" t="str">
        <x:v>Active</x:v>
      </x:c>
      <x:c r="AI433"/>
      <x:c r="AJ433"/>
      <x:c r="AK433"/>
      <x:c r="AL433"/>
    </x:row>
    <x:row r="434">
      <x:c r="A434" t="s">
        <x:v>659</x:v>
      </x:c>
      <x:c r="B434" t="s">
        <x:v>660</x:v>
      </x:c>
      <x:c r="C434" t="s">
        <x:v>44</x:v>
      </x:c>
      <x:c r="D434">
        <x:v>45952</x:v>
      </x:c>
      <x:c r="E434" t="s">
        <x:v>187</x:v>
      </x:c>
      <x:c r="F434" t="s">
        <x:v>55</x:v>
      </x:c>
      <x:c r="G434">
        <x:v>23</x:v>
      </x:c>
      <x:c r="H434" t="s">
        <x:v>65</x:v>
      </x:c>
      <x:c r="I434">
        <x:v>1</x:v>
      </x:c>
      <x:c r="J434">
        <x:v>12</x:v>
      </x:c>
      <x:c r="K434">
        <x:v>2</x:v>
      </x:c>
      <x:c r="L434">
        <x:f t="shared" si="42"/>
        <x:v>1</x:v>
      </x:c>
      <x:c r="P434">
        <x:f t="shared" si="43"/>
        <x:v>1</x:v>
      </x:c>
      <x:c r="Q434">
        <x:f t="shared" si="44"/>
        <x:v>1</x:v>
      </x:c>
      <x:c r="R434">
        <x:f t="shared" si="45"/>
        <x:v>0</x:v>
      </x:c>
      <x:c r="S434">
        <x:f t="shared" si="46"/>
        <x:v>2</x:v>
      </x:c>
      <x:c r="T434" t="str">
        <x:f t="shared" si="47"/>
        <x:v>DerivedFromCount</x:v>
      </x:c>
      <x:c r="U434" t="str">
        <x:f>IF(COUNTIF(DailyProduction!$Q$5:$Q$100,B434)=1,"OK","CHECK")</x:f>
        <x:v>OK</x:v>
      </x:c>
      <x:c r="V434" t="str">
        <x:f t="shared" si="48"/>
        <x:v>OK</x:v>
      </x:c>
      <x:c r="W434" t="str">
        <x:f>IF(SUMIF($B$5:$B$914,B434,$S$5:$S$914)=SUMIF(DailyProduction!$Q$5:$Q$100,B434,DailyProduction!$R$5:$R$100),"OK","CHECK")</x:f>
        <x:v>OK</x:v>
      </x:c>
      <x:c r="X434" t="str">
        <x:v>PLC-PRD-JAR-720-L23</x:v>
      </x:c>
      <x:c r="Y434" t="str">
        <x:v>OK</x:v>
      </x:c>
      <x:c r="Z434" t="str">
        <x:v>OK</x:v>
      </x:c>
      <x:c r="AA434" t="n">
        <x:v>3</x:v>
      </x:c>
      <x:c r="AB434" t="n">
        <x:v>2</x:v>
      </x:c>
      <x:c r="AC434" t="str">
        <x:v>OK</x:v>
      </x:c>
      <x:c r="AD434" t="str">
        <x:v>OK</x:v>
      </x:c>
      <x:c r="AE434" t="str">
        <x:v>LOAD</x:v>
      </x:c>
      <x:c r="AF434" t="str">
        <x:v>02_Supervisor_Log(4).xlsx</x:v>
      </x:c>
      <x:c r="AG434" t="str">
        <x:v>ENH-20260830-01</x:v>
      </x:c>
      <x:c r="AH434" t="str">
        <x:v>Active</x:v>
      </x:c>
      <x:c r="AI434"/>
      <x:c r="AJ434"/>
      <x:c r="AK434"/>
      <x:c r="AL434"/>
    </x:row>
    <x:row r="435">
      <x:c r="A435" t="s">
        <x:v>661</x:v>
      </x:c>
      <x:c r="B435" t="s">
        <x:v>660</x:v>
      </x:c>
      <x:c r="C435" t="s">
        <x:v>44</x:v>
      </x:c>
      <x:c r="D435">
        <x:v>45952</x:v>
      </x:c>
      <x:c r="E435" t="s">
        <x:v>187</x:v>
      </x:c>
      <x:c r="F435" t="s">
        <x:v>55</x:v>
      </x:c>
      <x:c r="G435">
        <x:v>23</x:v>
      </x:c>
      <x:c r="H435" t="s">
        <x:v>65</x:v>
      </x:c>
      <x:c r="I435">
        <x:v>2</x:v>
      </x:c>
      <x:c r="J435">
        <x:v>12</x:v>
      </x:c>
      <x:c r="K435">
        <x:v>2</x:v>
      </x:c>
      <x:c r="L435">
        <x:f t="shared" si="42"/>
        <x:v>1</x:v>
      </x:c>
      <x:c r="P435">
        <x:f t="shared" si="43"/>
        <x:v>1</x:v>
      </x:c>
      <x:c r="Q435">
        <x:f t="shared" si="44"/>
        <x:v>1</x:v>
      </x:c>
      <x:c r="R435">
        <x:f t="shared" si="45"/>
        <x:v>0</x:v>
      </x:c>
      <x:c r="S435">
        <x:f t="shared" si="46"/>
        <x:v>2</x:v>
      </x:c>
      <x:c r="T435" t="str">
        <x:f t="shared" si="47"/>
        <x:v>DerivedFromCount</x:v>
      </x:c>
      <x:c r="U435" t="str">
        <x:f>IF(COUNTIF(DailyProduction!$Q$5:$Q$100,B435)=1,"OK","CHECK")</x:f>
        <x:v>OK</x:v>
      </x:c>
      <x:c r="V435" t="str">
        <x:f t="shared" si="48"/>
        <x:v>OK</x:v>
      </x:c>
      <x:c r="W435" t="str">
        <x:f>IF(SUMIF($B$5:$B$914,B435,$S$5:$S$914)=SUMIF(DailyProduction!$Q$5:$Q$100,B435,DailyProduction!$R$5:$R$100),"OK","CHECK")</x:f>
        <x:v>OK</x:v>
      </x:c>
      <x:c r="X435" t="str">
        <x:v>PLC-PRD-JAR-720-L23</x:v>
      </x:c>
      <x:c r="Y435" t="str">
        <x:v>OK</x:v>
      </x:c>
      <x:c r="Z435" t="str">
        <x:v>OK</x:v>
      </x:c>
      <x:c r="AA435" t="n">
        <x:v>3</x:v>
      </x:c>
      <x:c r="AB435" t="n">
        <x:v>2</x:v>
      </x:c>
      <x:c r="AC435" t="str">
        <x:v>OK</x:v>
      </x:c>
      <x:c r="AD435" t="str">
        <x:v>OK</x:v>
      </x:c>
      <x:c r="AE435" t="str">
        <x:v>LOAD</x:v>
      </x:c>
      <x:c r="AF435" t="str">
        <x:v>02_Supervisor_Log(4).xlsx</x:v>
      </x:c>
      <x:c r="AG435" t="str">
        <x:v>ENH-20260830-01</x:v>
      </x:c>
      <x:c r="AH435" t="str">
        <x:v>Active</x:v>
      </x:c>
      <x:c r="AI435"/>
      <x:c r="AJ435"/>
      <x:c r="AK435"/>
      <x:c r="AL435"/>
    </x:row>
    <x:row r="436">
      <x:c r="A436" t="s">
        <x:v>662</x:v>
      </x:c>
      <x:c r="B436" t="s">
        <x:v>660</x:v>
      </x:c>
      <x:c r="C436" t="s">
        <x:v>44</x:v>
      </x:c>
      <x:c r="D436">
        <x:v>45952</x:v>
      </x:c>
      <x:c r="E436" t="s">
        <x:v>187</x:v>
      </x:c>
      <x:c r="F436" t="s">
        <x:v>55</x:v>
      </x:c>
      <x:c r="G436">
        <x:v>23</x:v>
      </x:c>
      <x:c r="H436" t="s">
        <x:v>65</x:v>
      </x:c>
      <x:c r="I436">
        <x:v>3</x:v>
      </x:c>
      <x:c r="J436">
        <x:v>12</x:v>
      </x:c>
      <x:c r="K436">
        <x:v>2</x:v>
      </x:c>
      <x:c r="L436">
        <x:f t="shared" si="42"/>
        <x:v>1</x:v>
      </x:c>
      <x:c r="P436">
        <x:f t="shared" si="43"/>
        <x:v>1</x:v>
      </x:c>
      <x:c r="Q436">
        <x:f t="shared" si="44"/>
        <x:v>1</x:v>
      </x:c>
      <x:c r="R436">
        <x:f t="shared" si="45"/>
        <x:v>0</x:v>
      </x:c>
      <x:c r="S436">
        <x:f t="shared" si="46"/>
        <x:v>2</x:v>
      </x:c>
      <x:c r="T436" t="str">
        <x:f t="shared" si="47"/>
        <x:v>DerivedFromCount</x:v>
      </x:c>
      <x:c r="U436" t="str">
        <x:f>IF(COUNTIF(DailyProduction!$Q$5:$Q$100,B436)=1,"OK","CHECK")</x:f>
        <x:v>OK</x:v>
      </x:c>
      <x:c r="V436" t="str">
        <x:f t="shared" si="48"/>
        <x:v>OK</x:v>
      </x:c>
      <x:c r="W436" t="str">
        <x:f>IF(SUMIF($B$5:$B$914,B436,$S$5:$S$914)=SUMIF(DailyProduction!$Q$5:$Q$100,B436,DailyProduction!$R$5:$R$100),"OK","CHECK")</x:f>
        <x:v>OK</x:v>
      </x:c>
      <x:c r="X436" t="str">
        <x:v>PLC-PRD-JAR-720-L23</x:v>
      </x:c>
      <x:c r="Y436" t="str">
        <x:v>OK</x:v>
      </x:c>
      <x:c r="Z436" t="str">
        <x:v>OK</x:v>
      </x:c>
      <x:c r="AA436" t="n">
        <x:v>3</x:v>
      </x:c>
      <x:c r="AB436" t="n">
        <x:v>2</x:v>
      </x:c>
      <x:c r="AC436" t="str">
        <x:v>OK</x:v>
      </x:c>
      <x:c r="AD436" t="str">
        <x:v>OK</x:v>
      </x:c>
      <x:c r="AE436" t="str">
        <x:v>LOAD</x:v>
      </x:c>
      <x:c r="AF436" t="str">
        <x:v>02_Supervisor_Log(4).xlsx</x:v>
      </x:c>
      <x:c r="AG436" t="str">
        <x:v>ENH-20260830-01</x:v>
      </x:c>
      <x:c r="AH436" t="str">
        <x:v>Active</x:v>
      </x:c>
      <x:c r="AI436"/>
      <x:c r="AJ436"/>
      <x:c r="AK436"/>
      <x:c r="AL436"/>
    </x:row>
    <x:row r="437">
      <x:c r="A437" t="s">
        <x:v>663</x:v>
      </x:c>
      <x:c r="B437" t="s">
        <x:v>660</x:v>
      </x:c>
      <x:c r="C437" t="s">
        <x:v>44</x:v>
      </x:c>
      <x:c r="D437">
        <x:v>45952</x:v>
      </x:c>
      <x:c r="E437" t="s">
        <x:v>187</x:v>
      </x:c>
      <x:c r="F437" t="s">
        <x:v>55</x:v>
      </x:c>
      <x:c r="G437">
        <x:v>23</x:v>
      </x:c>
      <x:c r="H437" t="s">
        <x:v>65</x:v>
      </x:c>
      <x:c r="I437">
        <x:v>4</x:v>
      </x:c>
      <x:c r="J437">
        <x:v>12</x:v>
      </x:c>
      <x:c r="K437">
        <x:v>2</x:v>
      </x:c>
      <x:c r="L437">
        <x:f t="shared" si="42"/>
        <x:v>1</x:v>
      </x:c>
      <x:c r="P437">
        <x:f t="shared" si="43"/>
        <x:v>1</x:v>
      </x:c>
      <x:c r="Q437">
        <x:f t="shared" si="44"/>
        <x:v>1</x:v>
      </x:c>
      <x:c r="R437">
        <x:f t="shared" si="45"/>
        <x:v>0</x:v>
      </x:c>
      <x:c r="S437">
        <x:f t="shared" si="46"/>
        <x:v>2</x:v>
      </x:c>
      <x:c r="T437" t="str">
        <x:f t="shared" si="47"/>
        <x:v>DerivedFromCount</x:v>
      </x:c>
      <x:c r="U437" t="str">
        <x:f>IF(COUNTIF(DailyProduction!$Q$5:$Q$100,B437)=1,"OK","CHECK")</x:f>
        <x:v>OK</x:v>
      </x:c>
      <x:c r="V437" t="str">
        <x:f t="shared" si="48"/>
        <x:v>OK</x:v>
      </x:c>
      <x:c r="W437" t="str">
        <x:f>IF(SUMIF($B$5:$B$914,B437,$S$5:$S$914)=SUMIF(DailyProduction!$Q$5:$Q$100,B437,DailyProduction!$R$5:$R$100),"OK","CHECK")</x:f>
        <x:v>OK</x:v>
      </x:c>
      <x:c r="X437" t="str">
        <x:v>PLC-PRD-JAR-720-L23</x:v>
      </x:c>
      <x:c r="Y437" t="str">
        <x:v>OK</x:v>
      </x:c>
      <x:c r="Z437" t="str">
        <x:v>OK</x:v>
      </x:c>
      <x:c r="AA437" t="n">
        <x:v>3</x:v>
      </x:c>
      <x:c r="AB437" t="n">
        <x:v>2</x:v>
      </x:c>
      <x:c r="AC437" t="str">
        <x:v>OK</x:v>
      </x:c>
      <x:c r="AD437" t="str">
        <x:v>OK</x:v>
      </x:c>
      <x:c r="AE437" t="str">
        <x:v>LOAD</x:v>
      </x:c>
      <x:c r="AF437" t="str">
        <x:v>02_Supervisor_Log(4).xlsx</x:v>
      </x:c>
      <x:c r="AG437" t="str">
        <x:v>ENH-20260830-01</x:v>
      </x:c>
      <x:c r="AH437" t="str">
        <x:v>Active</x:v>
      </x:c>
      <x:c r="AI437"/>
      <x:c r="AJ437"/>
      <x:c r="AK437"/>
      <x:c r="AL437"/>
    </x:row>
    <x:row r="438">
      <x:c r="A438" t="s">
        <x:v>664</x:v>
      </x:c>
      <x:c r="B438" t="s">
        <x:v>660</x:v>
      </x:c>
      <x:c r="C438" t="s">
        <x:v>44</x:v>
      </x:c>
      <x:c r="D438">
        <x:v>45952</x:v>
      </x:c>
      <x:c r="E438" t="s">
        <x:v>187</x:v>
      </x:c>
      <x:c r="F438" t="s">
        <x:v>55</x:v>
      </x:c>
      <x:c r="G438">
        <x:v>23</x:v>
      </x:c>
      <x:c r="H438" t="s">
        <x:v>65</x:v>
      </x:c>
      <x:c r="I438">
        <x:v>5</x:v>
      </x:c>
      <x:c r="J438">
        <x:v>12</x:v>
      </x:c>
      <x:c r="K438">
        <x:v>2</x:v>
      </x:c>
      <x:c r="L438">
        <x:f t="shared" si="42"/>
        <x:v>1</x:v>
      </x:c>
      <x:c r="P438">
        <x:f t="shared" si="43"/>
        <x:v>1</x:v>
      </x:c>
      <x:c r="Q438">
        <x:f t="shared" si="44"/>
        <x:v>1</x:v>
      </x:c>
      <x:c r="R438">
        <x:f t="shared" si="45"/>
        <x:v>0</x:v>
      </x:c>
      <x:c r="S438">
        <x:f t="shared" si="46"/>
        <x:v>2</x:v>
      </x:c>
      <x:c r="T438" t="str">
        <x:f t="shared" si="47"/>
        <x:v>DerivedFromCount</x:v>
      </x:c>
      <x:c r="U438" t="str">
        <x:f>IF(COUNTIF(DailyProduction!$Q$5:$Q$100,B438)=1,"OK","CHECK")</x:f>
        <x:v>OK</x:v>
      </x:c>
      <x:c r="V438" t="str">
        <x:f t="shared" si="48"/>
        <x:v>OK</x:v>
      </x:c>
      <x:c r="W438" t="str">
        <x:f>IF(SUMIF($B$5:$B$914,B438,$S$5:$S$914)=SUMIF(DailyProduction!$Q$5:$Q$100,B438,DailyProduction!$R$5:$R$100),"OK","CHECK")</x:f>
        <x:v>OK</x:v>
      </x:c>
      <x:c r="X438" t="str">
        <x:v>PLC-PRD-JAR-720-L23</x:v>
      </x:c>
      <x:c r="Y438" t="str">
        <x:v>OK</x:v>
      </x:c>
      <x:c r="Z438" t="str">
        <x:v>OK</x:v>
      </x:c>
      <x:c r="AA438" t="n">
        <x:v>3</x:v>
      </x:c>
      <x:c r="AB438" t="n">
        <x:v>2</x:v>
      </x:c>
      <x:c r="AC438" t="str">
        <x:v>OK</x:v>
      </x:c>
      <x:c r="AD438" t="str">
        <x:v>OK</x:v>
      </x:c>
      <x:c r="AE438" t="str">
        <x:v>LOAD</x:v>
      </x:c>
      <x:c r="AF438" t="str">
        <x:v>02_Supervisor_Log(4).xlsx</x:v>
      </x:c>
      <x:c r="AG438" t="str">
        <x:v>ENH-20260830-01</x:v>
      </x:c>
      <x:c r="AH438" t="str">
        <x:v>Active</x:v>
      </x:c>
      <x:c r="AI438"/>
      <x:c r="AJ438"/>
      <x:c r="AK438"/>
      <x:c r="AL438"/>
    </x:row>
    <x:row r="439">
      <x:c r="A439" t="s">
        <x:v>665</x:v>
      </x:c>
      <x:c r="B439" t="s">
        <x:v>660</x:v>
      </x:c>
      <x:c r="C439" t="s">
        <x:v>44</x:v>
      </x:c>
      <x:c r="D439">
        <x:v>45952</x:v>
      </x:c>
      <x:c r="E439" t="s">
        <x:v>187</x:v>
      </x:c>
      <x:c r="F439" t="s">
        <x:v>55</x:v>
      </x:c>
      <x:c r="G439">
        <x:v>23</x:v>
      </x:c>
      <x:c r="H439" t="s">
        <x:v>65</x:v>
      </x:c>
      <x:c r="I439">
        <x:v>6</x:v>
      </x:c>
      <x:c r="J439">
        <x:v>12</x:v>
      </x:c>
      <x:c r="K439">
        <x:v>2</x:v>
      </x:c>
      <x:c r="L439">
        <x:f t="shared" si="42"/>
        <x:v>1</x:v>
      </x:c>
      <x:c r="P439">
        <x:f t="shared" si="43"/>
        <x:v>1</x:v>
      </x:c>
      <x:c r="Q439">
        <x:f t="shared" si="44"/>
        <x:v>1</x:v>
      </x:c>
      <x:c r="R439">
        <x:f t="shared" si="45"/>
        <x:v>0</x:v>
      </x:c>
      <x:c r="S439">
        <x:f t="shared" si="46"/>
        <x:v>2</x:v>
      </x:c>
      <x:c r="T439" t="str">
        <x:f t="shared" si="47"/>
        <x:v>DerivedFromCount</x:v>
      </x:c>
      <x:c r="U439" t="str">
        <x:f>IF(COUNTIF(DailyProduction!$Q$5:$Q$100,B439)=1,"OK","CHECK")</x:f>
        <x:v>OK</x:v>
      </x:c>
      <x:c r="V439" t="str">
        <x:f t="shared" si="48"/>
        <x:v>OK</x:v>
      </x:c>
      <x:c r="W439" t="str">
        <x:f>IF(SUMIF($B$5:$B$914,B439,$S$5:$S$914)=SUMIF(DailyProduction!$Q$5:$Q$100,B439,DailyProduction!$R$5:$R$100),"OK","CHECK")</x:f>
        <x:v>OK</x:v>
      </x:c>
      <x:c r="X439" t="str">
        <x:v>PLC-PRD-JAR-720-L23</x:v>
      </x:c>
      <x:c r="Y439" t="str">
        <x:v>OK</x:v>
      </x:c>
      <x:c r="Z439" t="str">
        <x:v>OK</x:v>
      </x:c>
      <x:c r="AA439" t="n">
        <x:v>3</x:v>
      </x:c>
      <x:c r="AB439" t="n">
        <x:v>2</x:v>
      </x:c>
      <x:c r="AC439" t="str">
        <x:v>OK</x:v>
      </x:c>
      <x:c r="AD439" t="str">
        <x:v>OK</x:v>
      </x:c>
      <x:c r="AE439" t="str">
        <x:v>LOAD</x:v>
      </x:c>
      <x:c r="AF439" t="str">
        <x:v>02_Supervisor_Log(4).xlsx</x:v>
      </x:c>
      <x:c r="AG439" t="str">
        <x:v>ENH-20260830-01</x:v>
      </x:c>
      <x:c r="AH439" t="str">
        <x:v>Active</x:v>
      </x:c>
      <x:c r="AI439"/>
      <x:c r="AJ439"/>
      <x:c r="AK439"/>
      <x:c r="AL439"/>
    </x:row>
    <x:row r="440">
      <x:c r="A440" t="s">
        <x:v>666</x:v>
      </x:c>
      <x:c r="B440" t="s">
        <x:v>660</x:v>
      </x:c>
      <x:c r="C440" t="s">
        <x:v>44</x:v>
      </x:c>
      <x:c r="D440">
        <x:v>45952</x:v>
      </x:c>
      <x:c r="E440" t="s">
        <x:v>187</x:v>
      </x:c>
      <x:c r="F440" t="s">
        <x:v>55</x:v>
      </x:c>
      <x:c r="G440">
        <x:v>23</x:v>
      </x:c>
      <x:c r="H440" t="s">
        <x:v>65</x:v>
      </x:c>
      <x:c r="I440">
        <x:v>7</x:v>
      </x:c>
      <x:c r="J440">
        <x:v>12</x:v>
      </x:c>
      <x:c r="K440">
        <x:v>2</x:v>
      </x:c>
      <x:c r="L440">
        <x:f t="shared" si="42"/>
        <x:v>1</x:v>
      </x:c>
      <x:c r="P440">
        <x:f t="shared" si="43"/>
        <x:v>1</x:v>
      </x:c>
      <x:c r="Q440">
        <x:f t="shared" si="44"/>
        <x:v>1</x:v>
      </x:c>
      <x:c r="R440">
        <x:f t="shared" si="45"/>
        <x:v>0</x:v>
      </x:c>
      <x:c r="S440">
        <x:f t="shared" si="46"/>
        <x:v>2</x:v>
      </x:c>
      <x:c r="T440" t="str">
        <x:f t="shared" si="47"/>
        <x:v>DerivedFromCount</x:v>
      </x:c>
      <x:c r="U440" t="str">
        <x:f>IF(COUNTIF(DailyProduction!$Q$5:$Q$100,B440)=1,"OK","CHECK")</x:f>
        <x:v>OK</x:v>
      </x:c>
      <x:c r="V440" t="str">
        <x:f t="shared" si="48"/>
        <x:v>OK</x:v>
      </x:c>
      <x:c r="W440" t="str">
        <x:f>IF(SUMIF($B$5:$B$914,B440,$S$5:$S$914)=SUMIF(DailyProduction!$Q$5:$Q$100,B440,DailyProduction!$R$5:$R$100),"OK","CHECK")</x:f>
        <x:v>OK</x:v>
      </x:c>
      <x:c r="X440" t="str">
        <x:v>PLC-PRD-JAR-720-L23</x:v>
      </x:c>
      <x:c r="Y440" t="str">
        <x:v>OK</x:v>
      </x:c>
      <x:c r="Z440" t="str">
        <x:v>OK</x:v>
      </x:c>
      <x:c r="AA440" t="n">
        <x:v>3</x:v>
      </x:c>
      <x:c r="AB440" t="n">
        <x:v>2</x:v>
      </x:c>
      <x:c r="AC440" t="str">
        <x:v>OK</x:v>
      </x:c>
      <x:c r="AD440" t="str">
        <x:v>OK</x:v>
      </x:c>
      <x:c r="AE440" t="str">
        <x:v>LOAD</x:v>
      </x:c>
      <x:c r="AF440" t="str">
        <x:v>02_Supervisor_Log(4).xlsx</x:v>
      </x:c>
      <x:c r="AG440" t="str">
        <x:v>ENH-20260830-01</x:v>
      </x:c>
      <x:c r="AH440" t="str">
        <x:v>Active</x:v>
      </x:c>
      <x:c r="AI440"/>
      <x:c r="AJ440"/>
      <x:c r="AK440"/>
      <x:c r="AL440"/>
    </x:row>
    <x:row r="441">
      <x:c r="A441" t="s">
        <x:v>667</x:v>
      </x:c>
      <x:c r="B441" t="s">
        <x:v>660</x:v>
      </x:c>
      <x:c r="C441" t="s">
        <x:v>44</x:v>
      </x:c>
      <x:c r="D441">
        <x:v>45952</x:v>
      </x:c>
      <x:c r="E441" t="s">
        <x:v>187</x:v>
      </x:c>
      <x:c r="F441" t="s">
        <x:v>55</x:v>
      </x:c>
      <x:c r="G441">
        <x:v>23</x:v>
      </x:c>
      <x:c r="H441" t="s">
        <x:v>65</x:v>
      </x:c>
      <x:c r="I441">
        <x:v>8</x:v>
      </x:c>
      <x:c r="J441">
        <x:v>12</x:v>
      </x:c>
      <x:c r="K441">
        <x:v>2</x:v>
      </x:c>
      <x:c r="L441">
        <x:f t="shared" si="42"/>
        <x:v>1</x:v>
      </x:c>
      <x:c r="P441">
        <x:f t="shared" si="43"/>
        <x:v>1</x:v>
      </x:c>
      <x:c r="Q441">
        <x:f t="shared" si="44"/>
        <x:v>1</x:v>
      </x:c>
      <x:c r="R441">
        <x:f t="shared" si="45"/>
        <x:v>0</x:v>
      </x:c>
      <x:c r="S441">
        <x:f t="shared" si="46"/>
        <x:v>2</x:v>
      </x:c>
      <x:c r="T441" t="str">
        <x:f t="shared" si="47"/>
        <x:v>DerivedFromCount</x:v>
      </x:c>
      <x:c r="U441" t="str">
        <x:f>IF(COUNTIF(DailyProduction!$Q$5:$Q$100,B441)=1,"OK","CHECK")</x:f>
        <x:v>OK</x:v>
      </x:c>
      <x:c r="V441" t="str">
        <x:f t="shared" si="48"/>
        <x:v>OK</x:v>
      </x:c>
      <x:c r="W441" t="str">
        <x:f>IF(SUMIF($B$5:$B$914,B441,$S$5:$S$914)=SUMIF(DailyProduction!$Q$5:$Q$100,B441,DailyProduction!$R$5:$R$100),"OK","CHECK")</x:f>
        <x:v>OK</x:v>
      </x:c>
      <x:c r="X441" t="str">
        <x:v>PLC-PRD-JAR-720-L23</x:v>
      </x:c>
      <x:c r="Y441" t="str">
        <x:v>OK</x:v>
      </x:c>
      <x:c r="Z441" t="str">
        <x:v>OK</x:v>
      </x:c>
      <x:c r="AA441" t="n">
        <x:v>3</x:v>
      </x:c>
      <x:c r="AB441" t="n">
        <x:v>2</x:v>
      </x:c>
      <x:c r="AC441" t="str">
        <x:v>OK</x:v>
      </x:c>
      <x:c r="AD441" t="str">
        <x:v>OK</x:v>
      </x:c>
      <x:c r="AE441" t="str">
        <x:v>LOAD</x:v>
      </x:c>
      <x:c r="AF441" t="str">
        <x:v>02_Supervisor_Log(4).xlsx</x:v>
      </x:c>
      <x:c r="AG441" t="str">
        <x:v>ENH-20260830-01</x:v>
      </x:c>
      <x:c r="AH441" t="str">
        <x:v>Active</x:v>
      </x:c>
      <x:c r="AI441"/>
      <x:c r="AJ441"/>
      <x:c r="AK441"/>
      <x:c r="AL441"/>
    </x:row>
    <x:row r="442">
      <x:c r="A442" t="s">
        <x:v>668</x:v>
      </x:c>
      <x:c r="B442" t="s">
        <x:v>660</x:v>
      </x:c>
      <x:c r="C442" t="s">
        <x:v>44</x:v>
      </x:c>
      <x:c r="D442">
        <x:v>45952</x:v>
      </x:c>
      <x:c r="E442" t="s">
        <x:v>187</x:v>
      </x:c>
      <x:c r="F442" t="s">
        <x:v>55</x:v>
      </x:c>
      <x:c r="G442">
        <x:v>23</x:v>
      </x:c>
      <x:c r="H442" t="s">
        <x:v>65</x:v>
      </x:c>
      <x:c r="I442">
        <x:v>9</x:v>
      </x:c>
      <x:c r="J442">
        <x:v>12</x:v>
      </x:c>
      <x:c r="K442">
        <x:v>2</x:v>
      </x:c>
      <x:c r="L442">
        <x:f t="shared" si="42"/>
        <x:v>1</x:v>
      </x:c>
      <x:c r="P442">
        <x:f t="shared" si="43"/>
        <x:v>1</x:v>
      </x:c>
      <x:c r="Q442">
        <x:f t="shared" si="44"/>
        <x:v>1</x:v>
      </x:c>
      <x:c r="R442">
        <x:f t="shared" si="45"/>
        <x:v>0</x:v>
      </x:c>
      <x:c r="S442">
        <x:f t="shared" si="46"/>
        <x:v>2</x:v>
      </x:c>
      <x:c r="T442" t="str">
        <x:f t="shared" si="47"/>
        <x:v>DerivedFromCount</x:v>
      </x:c>
      <x:c r="U442" t="str">
        <x:f>IF(COUNTIF(DailyProduction!$Q$5:$Q$100,B442)=1,"OK","CHECK")</x:f>
        <x:v>OK</x:v>
      </x:c>
      <x:c r="V442" t="str">
        <x:f t="shared" si="48"/>
        <x:v>OK</x:v>
      </x:c>
      <x:c r="W442" t="str">
        <x:f>IF(SUMIF($B$5:$B$914,B442,$S$5:$S$914)=SUMIF(DailyProduction!$Q$5:$Q$100,B442,DailyProduction!$R$5:$R$100),"OK","CHECK")</x:f>
        <x:v>OK</x:v>
      </x:c>
      <x:c r="X442" t="str">
        <x:v>PLC-PRD-JAR-720-L23</x:v>
      </x:c>
      <x:c r="Y442" t="str">
        <x:v>OK</x:v>
      </x:c>
      <x:c r="Z442" t="str">
        <x:v>OK</x:v>
      </x:c>
      <x:c r="AA442" t="n">
        <x:v>3</x:v>
      </x:c>
      <x:c r="AB442" t="n">
        <x:v>2</x:v>
      </x:c>
      <x:c r="AC442" t="str">
        <x:v>OK</x:v>
      </x:c>
      <x:c r="AD442" t="str">
        <x:v>OK</x:v>
      </x:c>
      <x:c r="AE442" t="str">
        <x:v>LOAD</x:v>
      </x:c>
      <x:c r="AF442" t="str">
        <x:v>02_Supervisor_Log(4).xlsx</x:v>
      </x:c>
      <x:c r="AG442" t="str">
        <x:v>ENH-20260830-01</x:v>
      </x:c>
      <x:c r="AH442" t="str">
        <x:v>Active</x:v>
      </x:c>
      <x:c r="AI442"/>
      <x:c r="AJ442"/>
      <x:c r="AK442"/>
      <x:c r="AL442"/>
    </x:row>
    <x:row r="443">
      <x:c r="A443" t="s">
        <x:v>669</x:v>
      </x:c>
      <x:c r="B443" t="s">
        <x:v>660</x:v>
      </x:c>
      <x:c r="C443" t="s">
        <x:v>44</x:v>
      </x:c>
      <x:c r="D443">
        <x:v>45952</x:v>
      </x:c>
      <x:c r="E443" t="s">
        <x:v>187</x:v>
      </x:c>
      <x:c r="F443" t="s">
        <x:v>55</x:v>
      </x:c>
      <x:c r="G443">
        <x:v>23</x:v>
      </x:c>
      <x:c r="H443" t="s">
        <x:v>65</x:v>
      </x:c>
      <x:c r="I443">
        <x:v>10</x:v>
      </x:c>
      <x:c r="J443">
        <x:v>12</x:v>
      </x:c>
      <x:c r="K443">
        <x:v>2</x:v>
      </x:c>
      <x:c r="L443">
        <x:f t="shared" si="42"/>
        <x:v>1</x:v>
      </x:c>
      <x:c r="P443">
        <x:f t="shared" si="43"/>
        <x:v>1</x:v>
      </x:c>
      <x:c r="Q443">
        <x:f t="shared" si="44"/>
        <x:v>1</x:v>
      </x:c>
      <x:c r="R443">
        <x:f t="shared" si="45"/>
        <x:v>0</x:v>
      </x:c>
      <x:c r="S443">
        <x:f t="shared" si="46"/>
        <x:v>2</x:v>
      </x:c>
      <x:c r="T443" t="str">
        <x:f t="shared" si="47"/>
        <x:v>DerivedFromCount</x:v>
      </x:c>
      <x:c r="U443" t="str">
        <x:f>IF(COUNTIF(DailyProduction!$Q$5:$Q$100,B443)=1,"OK","CHECK")</x:f>
        <x:v>OK</x:v>
      </x:c>
      <x:c r="V443" t="str">
        <x:f t="shared" si="48"/>
        <x:v>OK</x:v>
      </x:c>
      <x:c r="W443" t="str">
        <x:f>IF(SUMIF($B$5:$B$914,B443,$S$5:$S$914)=SUMIF(DailyProduction!$Q$5:$Q$100,B443,DailyProduction!$R$5:$R$100),"OK","CHECK")</x:f>
        <x:v>OK</x:v>
      </x:c>
      <x:c r="X443" t="str">
        <x:v>PLC-PRD-JAR-720-L23</x:v>
      </x:c>
      <x:c r="Y443" t="str">
        <x:v>OK</x:v>
      </x:c>
      <x:c r="Z443" t="str">
        <x:v>OK</x:v>
      </x:c>
      <x:c r="AA443" t="n">
        <x:v>3</x:v>
      </x:c>
      <x:c r="AB443" t="n">
        <x:v>2</x:v>
      </x:c>
      <x:c r="AC443" t="str">
        <x:v>OK</x:v>
      </x:c>
      <x:c r="AD443" t="str">
        <x:v>OK</x:v>
      </x:c>
      <x:c r="AE443" t="str">
        <x:v>LOAD</x:v>
      </x:c>
      <x:c r="AF443" t="str">
        <x:v>02_Supervisor_Log(4).xlsx</x:v>
      </x:c>
      <x:c r="AG443" t="str">
        <x:v>ENH-20260830-01</x:v>
      </x:c>
      <x:c r="AH443" t="str">
        <x:v>Active</x:v>
      </x:c>
      <x:c r="AI443"/>
      <x:c r="AJ443"/>
      <x:c r="AK443"/>
      <x:c r="AL443"/>
    </x:row>
    <x:row r="444">
      <x:c r="A444" t="s">
        <x:v>670</x:v>
      </x:c>
      <x:c r="B444" t="s">
        <x:v>660</x:v>
      </x:c>
      <x:c r="C444" t="s">
        <x:v>44</x:v>
      </x:c>
      <x:c r="D444">
        <x:v>45952</x:v>
      </x:c>
      <x:c r="E444" t="s">
        <x:v>187</x:v>
      </x:c>
      <x:c r="F444" t="s">
        <x:v>55</x:v>
      </x:c>
      <x:c r="G444">
        <x:v>23</x:v>
      </x:c>
      <x:c r="H444" t="s">
        <x:v>65</x:v>
      </x:c>
      <x:c r="I444">
        <x:v>11</x:v>
      </x:c>
      <x:c r="J444">
        <x:v>12</x:v>
      </x:c>
      <x:c r="K444">
        <x:v>2</x:v>
      </x:c>
      <x:c r="L444">
        <x:f t="shared" si="42"/>
        <x:v>1</x:v>
      </x:c>
      <x:c r="P444">
        <x:f t="shared" si="43"/>
        <x:v>1</x:v>
      </x:c>
      <x:c r="Q444">
        <x:f t="shared" si="44"/>
        <x:v>1</x:v>
      </x:c>
      <x:c r="R444">
        <x:f t="shared" si="45"/>
        <x:v>0</x:v>
      </x:c>
      <x:c r="S444">
        <x:f t="shared" si="46"/>
        <x:v>2</x:v>
      </x:c>
      <x:c r="T444" t="str">
        <x:f t="shared" si="47"/>
        <x:v>DerivedFromCount</x:v>
      </x:c>
      <x:c r="U444" t="str">
        <x:f>IF(COUNTIF(DailyProduction!$Q$5:$Q$100,B444)=1,"OK","CHECK")</x:f>
        <x:v>OK</x:v>
      </x:c>
      <x:c r="V444" t="str">
        <x:f t="shared" si="48"/>
        <x:v>OK</x:v>
      </x:c>
      <x:c r="W444" t="str">
        <x:f>IF(SUMIF($B$5:$B$914,B444,$S$5:$S$914)=SUMIF(DailyProduction!$Q$5:$Q$100,B444,DailyProduction!$R$5:$R$100),"OK","CHECK")</x:f>
        <x:v>OK</x:v>
      </x:c>
      <x:c r="X444" t="str">
        <x:v>PLC-PRD-JAR-720-L23</x:v>
      </x:c>
      <x:c r="Y444" t="str">
        <x:v>OK</x:v>
      </x:c>
      <x:c r="Z444" t="str">
        <x:v>OK</x:v>
      </x:c>
      <x:c r="AA444" t="n">
        <x:v>3</x:v>
      </x:c>
      <x:c r="AB444" t="n">
        <x:v>2</x:v>
      </x:c>
      <x:c r="AC444" t="str">
        <x:v>OK</x:v>
      </x:c>
      <x:c r="AD444" t="str">
        <x:v>OK</x:v>
      </x:c>
      <x:c r="AE444" t="str">
        <x:v>LOAD</x:v>
      </x:c>
      <x:c r="AF444" t="str">
        <x:v>02_Supervisor_Log(4).xlsx</x:v>
      </x:c>
      <x:c r="AG444" t="str">
        <x:v>ENH-20260830-01</x:v>
      </x:c>
      <x:c r="AH444" t="str">
        <x:v>Active</x:v>
      </x:c>
      <x:c r="AI444"/>
      <x:c r="AJ444"/>
      <x:c r="AK444"/>
      <x:c r="AL444"/>
    </x:row>
    <x:row r="445">
      <x:c r="A445" t="s">
        <x:v>671</x:v>
      </x:c>
      <x:c r="B445" t="s">
        <x:v>660</x:v>
      </x:c>
      <x:c r="C445" t="s">
        <x:v>44</x:v>
      </x:c>
      <x:c r="D445">
        <x:v>45952</x:v>
      </x:c>
      <x:c r="E445" t="s">
        <x:v>187</x:v>
      </x:c>
      <x:c r="F445" t="s">
        <x:v>55</x:v>
      </x:c>
      <x:c r="G445">
        <x:v>23</x:v>
      </x:c>
      <x:c r="H445" t="s">
        <x:v>65</x:v>
      </x:c>
      <x:c r="I445">
        <x:v>12</x:v>
      </x:c>
      <x:c r="J445">
        <x:v>12</x:v>
      </x:c>
      <x:c r="K445">
        <x:v>2</x:v>
      </x:c>
      <x:c r="L445">
        <x:f t="shared" si="42"/>
        <x:v>1</x:v>
      </x:c>
      <x:c r="P445">
        <x:f t="shared" si="43"/>
        <x:v>1</x:v>
      </x:c>
      <x:c r="Q445">
        <x:f t="shared" si="44"/>
        <x:v>1</x:v>
      </x:c>
      <x:c r="R445">
        <x:f t="shared" si="45"/>
        <x:v>0</x:v>
      </x:c>
      <x:c r="S445">
        <x:f t="shared" si="46"/>
        <x:v>2</x:v>
      </x:c>
      <x:c r="T445" t="str">
        <x:f t="shared" si="47"/>
        <x:v>DerivedFromCount</x:v>
      </x:c>
      <x:c r="U445" t="str">
        <x:f>IF(COUNTIF(DailyProduction!$Q$5:$Q$100,B445)=1,"OK","CHECK")</x:f>
        <x:v>OK</x:v>
      </x:c>
      <x:c r="V445" t="str">
        <x:f t="shared" si="48"/>
        <x:v>OK</x:v>
      </x:c>
      <x:c r="W445" t="str">
        <x:f>IF(SUMIF($B$5:$B$914,B445,$S$5:$S$914)=SUMIF(DailyProduction!$Q$5:$Q$100,B445,DailyProduction!$R$5:$R$100),"OK","CHECK")</x:f>
        <x:v>OK</x:v>
      </x:c>
      <x:c r="X445" t="str">
        <x:v>PLC-PRD-JAR-720-L23</x:v>
      </x:c>
      <x:c r="Y445" t="str">
        <x:v>OK</x:v>
      </x:c>
      <x:c r="Z445" t="str">
        <x:v>OK</x:v>
      </x:c>
      <x:c r="AA445" t="n">
        <x:v>3</x:v>
      </x:c>
      <x:c r="AB445" t="n">
        <x:v>2</x:v>
      </x:c>
      <x:c r="AC445" t="str">
        <x:v>OK</x:v>
      </x:c>
      <x:c r="AD445" t="str">
        <x:v>OK</x:v>
      </x:c>
      <x:c r="AE445" t="str">
        <x:v>LOAD</x:v>
      </x:c>
      <x:c r="AF445" t="str">
        <x:v>02_Supervisor_Log(4).xlsx</x:v>
      </x:c>
      <x:c r="AG445" t="str">
        <x:v>ENH-20260830-01</x:v>
      </x:c>
      <x:c r="AH445" t="str">
        <x:v>Active</x:v>
      </x:c>
      <x:c r="AI445"/>
      <x:c r="AJ445"/>
      <x:c r="AK445"/>
      <x:c r="AL445"/>
    </x:row>
    <x:row r="446">
      <x:c r="A446" t="s">
        <x:v>672</x:v>
      </x:c>
      <x:c r="B446" t="s">
        <x:v>660</x:v>
      </x:c>
      <x:c r="C446" t="s">
        <x:v>44</x:v>
      </x:c>
      <x:c r="D446">
        <x:v>45952</x:v>
      </x:c>
      <x:c r="E446" t="s">
        <x:v>187</x:v>
      </x:c>
      <x:c r="F446" t="s">
        <x:v>55</x:v>
      </x:c>
      <x:c r="G446">
        <x:v>23</x:v>
      </x:c>
      <x:c r="H446" t="s">
        <x:v>65</x:v>
      </x:c>
      <x:c r="I446">
        <x:v>13</x:v>
      </x:c>
      <x:c r="J446">
        <x:v>12</x:v>
      </x:c>
      <x:c r="K446">
        <x:v>2</x:v>
      </x:c>
      <x:c r="L446">
        <x:f t="shared" si="42"/>
        <x:v>0</x:v>
      </x:c>
      <x:c r="P446">
        <x:f t="shared" si="43"/>
        <x:v>0</x:v>
      </x:c>
      <x:c r="Q446">
        <x:f t="shared" si="44"/>
        <x:v>0</x:v>
      </x:c>
      <x:c r="R446">
        <x:f t="shared" si="45"/>
        <x:v>0</x:v>
      </x:c>
      <x:c r="S446">
        <x:f t="shared" si="46"/>
        <x:v>0</x:v>
      </x:c>
      <x:c r="T446" t="str">
        <x:f t="shared" si="47"/>
        <x:v>DerivedFromCount</x:v>
      </x:c>
      <x:c r="U446" t="str">
        <x:f>IF(COUNTIF(DailyProduction!$Q$5:$Q$100,B446)=1,"OK","CHECK")</x:f>
        <x:v>OK</x:v>
      </x:c>
      <x:c r="V446" t="str">
        <x:f t="shared" si="48"/>
        <x:v>OK</x:v>
      </x:c>
      <x:c r="W446" t="str">
        <x:f>IF(SUMIF($B$5:$B$914,B446,$S$5:$S$914)=SUMIF(DailyProduction!$Q$5:$Q$100,B446,DailyProduction!$R$5:$R$100),"OK","CHECK")</x:f>
        <x:v>OK</x:v>
      </x:c>
      <x:c r="X446" t="str">
        <x:v>PLC-PRD-JAR-720-L23</x:v>
      </x:c>
      <x:c r="Y446" t="str">
        <x:v>OK</x:v>
      </x:c>
      <x:c r="Z446" t="str">
        <x:v>OK</x:v>
      </x:c>
      <x:c r="AA446" t="n">
        <x:v>3</x:v>
      </x:c>
      <x:c r="AB446" t="n">
        <x:v>0</x:v>
      </x:c>
      <x:c r="AC446" t="str">
        <x:v>OK</x:v>
      </x:c>
      <x:c r="AD446" t="str">
        <x:v>OK</x:v>
      </x:c>
      <x:c r="AE446" t="str">
        <x:v>LOAD</x:v>
      </x:c>
      <x:c r="AF446" t="str">
        <x:v>02_Supervisor_Log(4).xlsx</x:v>
      </x:c>
      <x:c r="AG446" t="str">
        <x:v>ENH-20260830-01</x:v>
      </x:c>
      <x:c r="AH446" t="str">
        <x:v>Active</x:v>
      </x:c>
      <x:c r="AI446"/>
      <x:c r="AJ446"/>
      <x:c r="AK446"/>
      <x:c r="AL446"/>
    </x:row>
    <x:row r="447">
      <x:c r="A447" t="s">
        <x:v>673</x:v>
      </x:c>
      <x:c r="B447" t="s">
        <x:v>674</x:v>
      </x:c>
      <x:c r="C447" t="s">
        <x:v>44</x:v>
      </x:c>
      <x:c r="D447">
        <x:v>45953</x:v>
      </x:c>
      <x:c r="E447" t="s">
        <x:v>45</x:v>
      </x:c>
      <x:c r="F447" t="s">
        <x:v>55</x:v>
      </x:c>
      <x:c r="G447">
        <x:v>23</x:v>
      </x:c>
      <x:c r="H447" t="s">
        <x:v>65</x:v>
      </x:c>
      <x:c r="I447">
        <x:v>1</x:v>
      </x:c>
      <x:c r="J447">
        <x:v>12</x:v>
      </x:c>
      <x:c r="K447">
        <x:v>2</x:v>
      </x:c>
      <x:c r="L447">
        <x:f t="shared" si="42"/>
        <x:v>1</x:v>
      </x:c>
      <x:c r="P447">
        <x:f t="shared" si="43"/>
        <x:v>1</x:v>
      </x:c>
      <x:c r="Q447">
        <x:f t="shared" si="44"/>
        <x:v>1</x:v>
      </x:c>
      <x:c r="R447">
        <x:f t="shared" si="45"/>
        <x:v>0</x:v>
      </x:c>
      <x:c r="S447">
        <x:f t="shared" si="46"/>
        <x:v>2</x:v>
      </x:c>
      <x:c r="T447" t="str">
        <x:f t="shared" si="47"/>
        <x:v>DerivedFromCount</x:v>
      </x:c>
      <x:c r="U447" t="str">
        <x:f>IF(COUNTIF(DailyProduction!$Q$5:$Q$100,B447)=1,"OK","CHECK")</x:f>
        <x:v>OK</x:v>
      </x:c>
      <x:c r="V447" t="str">
        <x:f t="shared" si="48"/>
        <x:v>OK</x:v>
      </x:c>
      <x:c r="W447" t="str">
        <x:f>IF(SUMIF($B$5:$B$914,B447,$S$5:$S$914)=SUMIF(DailyProduction!$Q$5:$Q$100,B447,DailyProduction!$R$5:$R$100),"OK","CHECK")</x:f>
        <x:v>OK</x:v>
      </x:c>
      <x:c r="X447" t="str">
        <x:v>PLC-PRD-JAR-720-L23</x:v>
      </x:c>
      <x:c r="Y447" t="str">
        <x:v>OK</x:v>
      </x:c>
      <x:c r="Z447" t="str">
        <x:v>OK</x:v>
      </x:c>
      <x:c r="AA447" t="n">
        <x:v>3</x:v>
      </x:c>
      <x:c r="AB447" t="n">
        <x:v>2</x:v>
      </x:c>
      <x:c r="AC447" t="str">
        <x:v>OK</x:v>
      </x:c>
      <x:c r="AD447" t="str">
        <x:v>OK</x:v>
      </x:c>
      <x:c r="AE447" t="str">
        <x:v>LOAD</x:v>
      </x:c>
      <x:c r="AF447" t="str">
        <x:v>02_Supervisor_Log(4).xlsx</x:v>
      </x:c>
      <x:c r="AG447" t="str">
        <x:v>ENH-20260830-01</x:v>
      </x:c>
      <x:c r="AH447" t="str">
        <x:v>Active</x:v>
      </x:c>
      <x:c r="AI447"/>
      <x:c r="AJ447"/>
      <x:c r="AK447"/>
      <x:c r="AL447"/>
    </x:row>
    <x:row r="448">
      <x:c r="A448" t="s">
        <x:v>675</x:v>
      </x:c>
      <x:c r="B448" t="s">
        <x:v>674</x:v>
      </x:c>
      <x:c r="C448" t="s">
        <x:v>44</x:v>
      </x:c>
      <x:c r="D448">
        <x:v>45953</x:v>
      </x:c>
      <x:c r="E448" t="s">
        <x:v>45</x:v>
      </x:c>
      <x:c r="F448" t="s">
        <x:v>55</x:v>
      </x:c>
      <x:c r="G448">
        <x:v>23</x:v>
      </x:c>
      <x:c r="H448" t="s">
        <x:v>65</x:v>
      </x:c>
      <x:c r="I448">
        <x:v>2</x:v>
      </x:c>
      <x:c r="J448">
        <x:v>12</x:v>
      </x:c>
      <x:c r="K448">
        <x:v>2</x:v>
      </x:c>
      <x:c r="L448">
        <x:f t="shared" si="42"/>
        <x:v>1</x:v>
      </x:c>
      <x:c r="P448">
        <x:f t="shared" si="43"/>
        <x:v>1</x:v>
      </x:c>
      <x:c r="Q448">
        <x:f t="shared" si="44"/>
        <x:v>1</x:v>
      </x:c>
      <x:c r="R448">
        <x:f t="shared" si="45"/>
        <x:v>0</x:v>
      </x:c>
      <x:c r="S448">
        <x:f t="shared" si="46"/>
        <x:v>2</x:v>
      </x:c>
      <x:c r="T448" t="str">
        <x:f t="shared" si="47"/>
        <x:v>DerivedFromCount</x:v>
      </x:c>
      <x:c r="U448" t="str">
        <x:f>IF(COUNTIF(DailyProduction!$Q$5:$Q$100,B448)=1,"OK","CHECK")</x:f>
        <x:v>OK</x:v>
      </x:c>
      <x:c r="V448" t="str">
        <x:f t="shared" si="48"/>
        <x:v>OK</x:v>
      </x:c>
      <x:c r="W448" t="str">
        <x:f>IF(SUMIF($B$5:$B$914,B448,$S$5:$S$914)=SUMIF(DailyProduction!$Q$5:$Q$100,B448,DailyProduction!$R$5:$R$100),"OK","CHECK")</x:f>
        <x:v>OK</x:v>
      </x:c>
      <x:c r="X448" t="str">
        <x:v>PLC-PRD-JAR-720-L23</x:v>
      </x:c>
      <x:c r="Y448" t="str">
        <x:v>OK</x:v>
      </x:c>
      <x:c r="Z448" t="str">
        <x:v>OK</x:v>
      </x:c>
      <x:c r="AA448" t="n">
        <x:v>3</x:v>
      </x:c>
      <x:c r="AB448" t="n">
        <x:v>2</x:v>
      </x:c>
      <x:c r="AC448" t="str">
        <x:v>OK</x:v>
      </x:c>
      <x:c r="AD448" t="str">
        <x:v>OK</x:v>
      </x:c>
      <x:c r="AE448" t="str">
        <x:v>LOAD</x:v>
      </x:c>
      <x:c r="AF448" t="str">
        <x:v>02_Supervisor_Log(4).xlsx</x:v>
      </x:c>
      <x:c r="AG448" t="str">
        <x:v>ENH-20260830-01</x:v>
      </x:c>
      <x:c r="AH448" t="str">
        <x:v>Active</x:v>
      </x:c>
      <x:c r="AI448"/>
      <x:c r="AJ448"/>
      <x:c r="AK448"/>
      <x:c r="AL448"/>
    </x:row>
    <x:row r="449">
      <x:c r="A449" t="s">
        <x:v>676</x:v>
      </x:c>
      <x:c r="B449" t="s">
        <x:v>674</x:v>
      </x:c>
      <x:c r="C449" t="s">
        <x:v>44</x:v>
      </x:c>
      <x:c r="D449">
        <x:v>45953</x:v>
      </x:c>
      <x:c r="E449" t="s">
        <x:v>45</x:v>
      </x:c>
      <x:c r="F449" t="s">
        <x:v>55</x:v>
      </x:c>
      <x:c r="G449">
        <x:v>23</x:v>
      </x:c>
      <x:c r="H449" t="s">
        <x:v>65</x:v>
      </x:c>
      <x:c r="I449">
        <x:v>3</x:v>
      </x:c>
      <x:c r="J449">
        <x:v>12</x:v>
      </x:c>
      <x:c r="K449">
        <x:v>2</x:v>
      </x:c>
      <x:c r="L449">
        <x:f t="shared" si="42"/>
        <x:v>1</x:v>
      </x:c>
      <x:c r="P449">
        <x:f t="shared" si="43"/>
        <x:v>1</x:v>
      </x:c>
      <x:c r="Q449">
        <x:f t="shared" si="44"/>
        <x:v>1</x:v>
      </x:c>
      <x:c r="R449">
        <x:f t="shared" si="45"/>
        <x:v>0</x:v>
      </x:c>
      <x:c r="S449">
        <x:f t="shared" si="46"/>
        <x:v>2</x:v>
      </x:c>
      <x:c r="T449" t="str">
        <x:f t="shared" si="47"/>
        <x:v>DerivedFromCount</x:v>
      </x:c>
      <x:c r="U449" t="str">
        <x:f>IF(COUNTIF(DailyProduction!$Q$5:$Q$100,B449)=1,"OK","CHECK")</x:f>
        <x:v>OK</x:v>
      </x:c>
      <x:c r="V449" t="str">
        <x:f t="shared" si="48"/>
        <x:v>OK</x:v>
      </x:c>
      <x:c r="W449" t="str">
        <x:f>IF(SUMIF($B$5:$B$914,B449,$S$5:$S$914)=SUMIF(DailyProduction!$Q$5:$Q$100,B449,DailyProduction!$R$5:$R$100),"OK","CHECK")</x:f>
        <x:v>OK</x:v>
      </x:c>
      <x:c r="X449" t="str">
        <x:v>PLC-PRD-JAR-720-L23</x:v>
      </x:c>
      <x:c r="Y449" t="str">
        <x:v>OK</x:v>
      </x:c>
      <x:c r="Z449" t="str">
        <x:v>OK</x:v>
      </x:c>
      <x:c r="AA449" t="n">
        <x:v>3</x:v>
      </x:c>
      <x:c r="AB449" t="n">
        <x:v>2</x:v>
      </x:c>
      <x:c r="AC449" t="str">
        <x:v>OK</x:v>
      </x:c>
      <x:c r="AD449" t="str">
        <x:v>OK</x:v>
      </x:c>
      <x:c r="AE449" t="str">
        <x:v>LOAD</x:v>
      </x:c>
      <x:c r="AF449" t="str">
        <x:v>02_Supervisor_Log(4).xlsx</x:v>
      </x:c>
      <x:c r="AG449" t="str">
        <x:v>ENH-20260830-01</x:v>
      </x:c>
      <x:c r="AH449" t="str">
        <x:v>Active</x:v>
      </x:c>
      <x:c r="AI449"/>
      <x:c r="AJ449"/>
      <x:c r="AK449"/>
      <x:c r="AL449"/>
    </x:row>
    <x:row r="450">
      <x:c r="A450" t="s">
        <x:v>677</x:v>
      </x:c>
      <x:c r="B450" t="s">
        <x:v>674</x:v>
      </x:c>
      <x:c r="C450" t="s">
        <x:v>44</x:v>
      </x:c>
      <x:c r="D450">
        <x:v>45953</x:v>
      </x:c>
      <x:c r="E450" t="s">
        <x:v>45</x:v>
      </x:c>
      <x:c r="F450" t="s">
        <x:v>55</x:v>
      </x:c>
      <x:c r="G450">
        <x:v>23</x:v>
      </x:c>
      <x:c r="H450" t="s">
        <x:v>65</x:v>
      </x:c>
      <x:c r="I450">
        <x:v>4</x:v>
      </x:c>
      <x:c r="J450">
        <x:v>12</x:v>
      </x:c>
      <x:c r="K450">
        <x:v>2</x:v>
      </x:c>
      <x:c r="L450">
        <x:f t="shared" si="42"/>
        <x:v>1</x:v>
      </x:c>
      <x:c r="P450">
        <x:f t="shared" si="43"/>
        <x:v>1</x:v>
      </x:c>
      <x:c r="Q450">
        <x:f t="shared" si="44"/>
        <x:v>1</x:v>
      </x:c>
      <x:c r="R450">
        <x:f t="shared" si="45"/>
        <x:v>0</x:v>
      </x:c>
      <x:c r="S450">
        <x:f t="shared" si="46"/>
        <x:v>2</x:v>
      </x:c>
      <x:c r="T450" t="str">
        <x:f t="shared" si="47"/>
        <x:v>DerivedFromCount</x:v>
      </x:c>
      <x:c r="U450" t="str">
        <x:f>IF(COUNTIF(DailyProduction!$Q$5:$Q$100,B450)=1,"OK","CHECK")</x:f>
        <x:v>OK</x:v>
      </x:c>
      <x:c r="V450" t="str">
        <x:f t="shared" si="48"/>
        <x:v>OK</x:v>
      </x:c>
      <x:c r="W450" t="str">
        <x:f>IF(SUMIF($B$5:$B$914,B450,$S$5:$S$914)=SUMIF(DailyProduction!$Q$5:$Q$100,B450,DailyProduction!$R$5:$R$100),"OK","CHECK")</x:f>
        <x:v>OK</x:v>
      </x:c>
      <x:c r="X450" t="str">
        <x:v>PLC-PRD-JAR-720-L23</x:v>
      </x:c>
      <x:c r="Y450" t="str">
        <x:v>OK</x:v>
      </x:c>
      <x:c r="Z450" t="str">
        <x:v>OK</x:v>
      </x:c>
      <x:c r="AA450" t="n">
        <x:v>3</x:v>
      </x:c>
      <x:c r="AB450" t="n">
        <x:v>2</x:v>
      </x:c>
      <x:c r="AC450" t="str">
        <x:v>OK</x:v>
      </x:c>
      <x:c r="AD450" t="str">
        <x:v>OK</x:v>
      </x:c>
      <x:c r="AE450" t="str">
        <x:v>LOAD</x:v>
      </x:c>
      <x:c r="AF450" t="str">
        <x:v>02_Supervisor_Log(4).xlsx</x:v>
      </x:c>
      <x:c r="AG450" t="str">
        <x:v>ENH-20260830-01</x:v>
      </x:c>
      <x:c r="AH450" t="str">
        <x:v>Active</x:v>
      </x:c>
      <x:c r="AI450"/>
      <x:c r="AJ450"/>
      <x:c r="AK450"/>
      <x:c r="AL450"/>
    </x:row>
    <x:row r="451">
      <x:c r="A451" t="s">
        <x:v>678</x:v>
      </x:c>
      <x:c r="B451" t="s">
        <x:v>674</x:v>
      </x:c>
      <x:c r="C451" t="s">
        <x:v>44</x:v>
      </x:c>
      <x:c r="D451">
        <x:v>45953</x:v>
      </x:c>
      <x:c r="E451" t="s">
        <x:v>45</x:v>
      </x:c>
      <x:c r="F451" t="s">
        <x:v>55</x:v>
      </x:c>
      <x:c r="G451">
        <x:v>23</x:v>
      </x:c>
      <x:c r="H451" t="s">
        <x:v>65</x:v>
      </x:c>
      <x:c r="I451">
        <x:v>5</x:v>
      </x:c>
      <x:c r="J451">
        <x:v>12</x:v>
      </x:c>
      <x:c r="K451">
        <x:v>2</x:v>
      </x:c>
      <x:c r="L451">
        <x:f t="shared" si="42"/>
        <x:v>1</x:v>
      </x:c>
      <x:c r="P451">
        <x:f t="shared" si="43"/>
        <x:v>1</x:v>
      </x:c>
      <x:c r="Q451">
        <x:f t="shared" si="44"/>
        <x:v>1</x:v>
      </x:c>
      <x:c r="R451">
        <x:f t="shared" si="45"/>
        <x:v>0</x:v>
      </x:c>
      <x:c r="S451">
        <x:f t="shared" si="46"/>
        <x:v>2</x:v>
      </x:c>
      <x:c r="T451" t="str">
        <x:f t="shared" si="47"/>
        <x:v>DerivedFromCount</x:v>
      </x:c>
      <x:c r="U451" t="str">
        <x:f>IF(COUNTIF(DailyProduction!$Q$5:$Q$100,B451)=1,"OK","CHECK")</x:f>
        <x:v>OK</x:v>
      </x:c>
      <x:c r="V451" t="str">
        <x:f t="shared" si="48"/>
        <x:v>OK</x:v>
      </x:c>
      <x:c r="W451" t="str">
        <x:f>IF(SUMIF($B$5:$B$914,B451,$S$5:$S$914)=SUMIF(DailyProduction!$Q$5:$Q$100,B451,DailyProduction!$R$5:$R$100),"OK","CHECK")</x:f>
        <x:v>OK</x:v>
      </x:c>
      <x:c r="X451" t="str">
        <x:v>PLC-PRD-JAR-720-L23</x:v>
      </x:c>
      <x:c r="Y451" t="str">
        <x:v>OK</x:v>
      </x:c>
      <x:c r="Z451" t="str">
        <x:v>OK</x:v>
      </x:c>
      <x:c r="AA451" t="n">
        <x:v>3</x:v>
      </x:c>
      <x:c r="AB451" t="n">
        <x:v>2</x:v>
      </x:c>
      <x:c r="AC451" t="str">
        <x:v>OK</x:v>
      </x:c>
      <x:c r="AD451" t="str">
        <x:v>OK</x:v>
      </x:c>
      <x:c r="AE451" t="str">
        <x:v>LOAD</x:v>
      </x:c>
      <x:c r="AF451" t="str">
        <x:v>02_Supervisor_Log(4).xlsx</x:v>
      </x:c>
      <x:c r="AG451" t="str">
        <x:v>ENH-20260830-01</x:v>
      </x:c>
      <x:c r="AH451" t="str">
        <x:v>Active</x:v>
      </x:c>
      <x:c r="AI451"/>
      <x:c r="AJ451"/>
      <x:c r="AK451"/>
      <x:c r="AL451"/>
    </x:row>
    <x:row r="452">
      <x:c r="A452" t="s">
        <x:v>679</x:v>
      </x:c>
      <x:c r="B452" t="s">
        <x:v>674</x:v>
      </x:c>
      <x:c r="C452" t="s">
        <x:v>44</x:v>
      </x:c>
      <x:c r="D452">
        <x:v>45953</x:v>
      </x:c>
      <x:c r="E452" t="s">
        <x:v>45</x:v>
      </x:c>
      <x:c r="F452" t="s">
        <x:v>55</x:v>
      </x:c>
      <x:c r="G452">
        <x:v>23</x:v>
      </x:c>
      <x:c r="H452" t="s">
        <x:v>65</x:v>
      </x:c>
      <x:c r="I452">
        <x:v>6</x:v>
      </x:c>
      <x:c r="J452">
        <x:v>12</x:v>
      </x:c>
      <x:c r="K452">
        <x:v>2</x:v>
      </x:c>
      <x:c r="L452">
        <x:f t="shared" si="42"/>
        <x:v>1</x:v>
      </x:c>
      <x:c r="P452">
        <x:f t="shared" si="43"/>
        <x:v>1</x:v>
      </x:c>
      <x:c r="Q452">
        <x:f t="shared" si="44"/>
        <x:v>1</x:v>
      </x:c>
      <x:c r="R452">
        <x:f t="shared" si="45"/>
        <x:v>0</x:v>
      </x:c>
      <x:c r="S452">
        <x:f t="shared" si="46"/>
        <x:v>2</x:v>
      </x:c>
      <x:c r="T452" t="str">
        <x:f t="shared" si="47"/>
        <x:v>DerivedFromCount</x:v>
      </x:c>
      <x:c r="U452" t="str">
        <x:f>IF(COUNTIF(DailyProduction!$Q$5:$Q$100,B452)=1,"OK","CHECK")</x:f>
        <x:v>OK</x:v>
      </x:c>
      <x:c r="V452" t="str">
        <x:f t="shared" si="48"/>
        <x:v>OK</x:v>
      </x:c>
      <x:c r="W452" t="str">
        <x:f>IF(SUMIF($B$5:$B$914,B452,$S$5:$S$914)=SUMIF(DailyProduction!$Q$5:$Q$100,B452,DailyProduction!$R$5:$R$100),"OK","CHECK")</x:f>
        <x:v>OK</x:v>
      </x:c>
      <x:c r="X452" t="str">
        <x:v>PLC-PRD-JAR-720-L23</x:v>
      </x:c>
      <x:c r="Y452" t="str">
        <x:v>OK</x:v>
      </x:c>
      <x:c r="Z452" t="str">
        <x:v>OK</x:v>
      </x:c>
      <x:c r="AA452" t="n">
        <x:v>3</x:v>
      </x:c>
      <x:c r="AB452" t="n">
        <x:v>2</x:v>
      </x:c>
      <x:c r="AC452" t="str">
        <x:v>OK</x:v>
      </x:c>
      <x:c r="AD452" t="str">
        <x:v>OK</x:v>
      </x:c>
      <x:c r="AE452" t="str">
        <x:v>LOAD</x:v>
      </x:c>
      <x:c r="AF452" t="str">
        <x:v>02_Supervisor_Log(4).xlsx</x:v>
      </x:c>
      <x:c r="AG452" t="str">
        <x:v>ENH-20260830-01</x:v>
      </x:c>
      <x:c r="AH452" t="str">
        <x:v>Active</x:v>
      </x:c>
      <x:c r="AI452"/>
      <x:c r="AJ452"/>
      <x:c r="AK452"/>
      <x:c r="AL452"/>
    </x:row>
    <x:row r="453">
      <x:c r="A453" t="s">
        <x:v>680</x:v>
      </x:c>
      <x:c r="B453" t="s">
        <x:v>674</x:v>
      </x:c>
      <x:c r="C453" t="s">
        <x:v>44</x:v>
      </x:c>
      <x:c r="D453">
        <x:v>45953</x:v>
      </x:c>
      <x:c r="E453" t="s">
        <x:v>45</x:v>
      </x:c>
      <x:c r="F453" t="s">
        <x:v>55</x:v>
      </x:c>
      <x:c r="G453">
        <x:v>23</x:v>
      </x:c>
      <x:c r="H453" t="s">
        <x:v>65</x:v>
      </x:c>
      <x:c r="I453">
        <x:v>7</x:v>
      </x:c>
      <x:c r="J453">
        <x:v>12</x:v>
      </x:c>
      <x:c r="K453">
        <x:v>2</x:v>
      </x:c>
      <x:c r="L453" t="n">
        <x:f t="shared" ref="L453:L516" si="49">IF(I453&lt;=J453,1,0)</x:f>
        <x:v>1</x:v>
      </x:c>
      <x:c r="P453" t="n">
        <x:f t="shared" ref="P453:P516" si="50">IF(M453="",IF(AND(L453=1,K453&gt;=1),1,0),M453)</x:f>
        <x:v>1</x:v>
      </x:c>
      <x:c r="Q453" t="n">
        <x:f t="shared" ref="Q453:Q516" si="51">IF(N453="",IF(AND(L453=1,K453&gt;=2),1,0),N453)</x:f>
        <x:v>1</x:v>
      </x:c>
      <x:c r="R453" t="n">
        <x:f t="shared" ref="R453:R516" si="52">IF(O453="",IF(AND(L453=1,K453&gt;=3),1,0),O453)</x:f>
        <x:v>0</x:v>
      </x:c>
      <x:c r="S453" t="n">
        <x:f t="shared" ref="S453:S516" si="53">SUM(P453:R453)</x:f>
        <x:v>2</x:v>
      </x:c>
      <x:c r="T453" t="str">
        <x:f t="shared" ref="T453:T516" si="54">IF(COUNTA(M453:O453)=0,"DerivedFromCount","ManualOverride")</x:f>
        <x:v>DerivedFromCount</x:v>
      </x:c>
      <x:c r="U453" t="str">
        <x:f>IF(COUNTIF(DailyProduction!$Q$5:$Q$100,B453)=1,"OK","CHECK")</x:f>
        <x:v>OK</x:v>
      </x:c>
      <x:c r="V453" t="str">
        <x:f t="shared" ref="V453:V516" si="55">IF(AND(I453&gt;=1,I453&lt;=13,K453&gt;=1,K453&lt;=3),"OK","CHECK")</x:f>
        <x:v>OK</x:v>
      </x:c>
      <x:c r="W453" t="str">
        <x:f>IF(SUMIF($B$5:$B$914,B453,$S$5:$S$914)=SUMIF(DailyProduction!$Q$5:$Q$100,B453,DailyProduction!$R$5:$R$100),"OK","CHECK")</x:f>
        <x:v>OK</x:v>
      </x:c>
      <x:c r="X453" t="str">
        <x:v>PLC-PRD-JAR-720-L23</x:v>
      </x:c>
      <x:c r="Y453" t="str">
        <x:v>OK</x:v>
      </x:c>
      <x:c r="Z453" t="str">
        <x:v>OK</x:v>
      </x:c>
      <x:c r="AA453" t="n">
        <x:v>3</x:v>
      </x:c>
      <x:c r="AB453" t="n">
        <x:v>2</x:v>
      </x:c>
      <x:c r="AC453" t="str">
        <x:v>OK</x:v>
      </x:c>
      <x:c r="AD453" t="str">
        <x:v>OK</x:v>
      </x:c>
      <x:c r="AE453" t="str">
        <x:v>LOAD</x:v>
      </x:c>
      <x:c r="AF453" t="str">
        <x:v>02_Supervisor_Log(4).xlsx</x:v>
      </x:c>
      <x:c r="AG453" t="str">
        <x:v>ENH-20260830-01</x:v>
      </x:c>
      <x:c r="AH453" t="str">
        <x:v>Active</x:v>
      </x:c>
      <x:c r="AI453"/>
      <x:c r="AJ453"/>
      <x:c r="AK453"/>
      <x:c r="AL453"/>
    </x:row>
    <x:row r="454">
      <x:c r="A454" t="s">
        <x:v>681</x:v>
      </x:c>
      <x:c r="B454" t="s">
        <x:v>674</x:v>
      </x:c>
      <x:c r="C454" t="s">
        <x:v>44</x:v>
      </x:c>
      <x:c r="D454">
        <x:v>45953</x:v>
      </x:c>
      <x:c r="E454" t="s">
        <x:v>45</x:v>
      </x:c>
      <x:c r="F454" t="s">
        <x:v>55</x:v>
      </x:c>
      <x:c r="G454">
        <x:v>23</x:v>
      </x:c>
      <x:c r="H454" t="s">
        <x:v>65</x:v>
      </x:c>
      <x:c r="I454">
        <x:v>8</x:v>
      </x:c>
      <x:c r="J454">
        <x:v>12</x:v>
      </x:c>
      <x:c r="K454">
        <x:v>2</x:v>
      </x:c>
      <x:c r="L454">
        <x:f t="shared" si="49"/>
        <x:v>1</x:v>
      </x:c>
      <x:c r="P454">
        <x:f t="shared" si="50"/>
        <x:v>1</x:v>
      </x:c>
      <x:c r="Q454">
        <x:f t="shared" si="51"/>
        <x:v>1</x:v>
      </x:c>
      <x:c r="R454">
        <x:f t="shared" si="52"/>
        <x:v>0</x:v>
      </x:c>
      <x:c r="S454">
        <x:f t="shared" si="53"/>
        <x:v>2</x:v>
      </x:c>
      <x:c r="T454" t="str">
        <x:f t="shared" si="54"/>
        <x:v>DerivedFromCount</x:v>
      </x:c>
      <x:c r="U454" t="str">
        <x:f>IF(COUNTIF(DailyProduction!$Q$5:$Q$100,B454)=1,"OK","CHECK")</x:f>
        <x:v>OK</x:v>
      </x:c>
      <x:c r="V454" t="str">
        <x:f t="shared" si="55"/>
        <x:v>OK</x:v>
      </x:c>
      <x:c r="W454" t="str">
        <x:f>IF(SUMIF($B$5:$B$914,B454,$S$5:$S$914)=SUMIF(DailyProduction!$Q$5:$Q$100,B454,DailyProduction!$R$5:$R$100),"OK","CHECK")</x:f>
        <x:v>OK</x:v>
      </x:c>
      <x:c r="X454" t="str">
        <x:v>PLC-PRD-JAR-720-L23</x:v>
      </x:c>
      <x:c r="Y454" t="str">
        <x:v>OK</x:v>
      </x:c>
      <x:c r="Z454" t="str">
        <x:v>OK</x:v>
      </x:c>
      <x:c r="AA454" t="n">
        <x:v>3</x:v>
      </x:c>
      <x:c r="AB454" t="n">
        <x:v>2</x:v>
      </x:c>
      <x:c r="AC454" t="str">
        <x:v>OK</x:v>
      </x:c>
      <x:c r="AD454" t="str">
        <x:v>OK</x:v>
      </x:c>
      <x:c r="AE454" t="str">
        <x:v>LOAD</x:v>
      </x:c>
      <x:c r="AF454" t="str">
        <x:v>02_Supervisor_Log(4).xlsx</x:v>
      </x:c>
      <x:c r="AG454" t="str">
        <x:v>ENH-20260830-01</x:v>
      </x:c>
      <x:c r="AH454" t="str">
        <x:v>Active</x:v>
      </x:c>
      <x:c r="AI454"/>
      <x:c r="AJ454"/>
      <x:c r="AK454"/>
      <x:c r="AL454"/>
    </x:row>
    <x:row r="455">
      <x:c r="A455" t="s">
        <x:v>682</x:v>
      </x:c>
      <x:c r="B455" t="s">
        <x:v>674</x:v>
      </x:c>
      <x:c r="C455" t="s">
        <x:v>44</x:v>
      </x:c>
      <x:c r="D455">
        <x:v>45953</x:v>
      </x:c>
      <x:c r="E455" t="s">
        <x:v>45</x:v>
      </x:c>
      <x:c r="F455" t="s">
        <x:v>55</x:v>
      </x:c>
      <x:c r="G455">
        <x:v>23</x:v>
      </x:c>
      <x:c r="H455" t="s">
        <x:v>65</x:v>
      </x:c>
      <x:c r="I455">
        <x:v>9</x:v>
      </x:c>
      <x:c r="J455">
        <x:v>12</x:v>
      </x:c>
      <x:c r="K455">
        <x:v>2</x:v>
      </x:c>
      <x:c r="L455">
        <x:f t="shared" si="49"/>
        <x:v>1</x:v>
      </x:c>
      <x:c r="P455">
        <x:f t="shared" si="50"/>
        <x:v>1</x:v>
      </x:c>
      <x:c r="Q455">
        <x:f t="shared" si="51"/>
        <x:v>1</x:v>
      </x:c>
      <x:c r="R455">
        <x:f t="shared" si="52"/>
        <x:v>0</x:v>
      </x:c>
      <x:c r="S455">
        <x:f t="shared" si="53"/>
        <x:v>2</x:v>
      </x:c>
      <x:c r="T455" t="str">
        <x:f t="shared" si="54"/>
        <x:v>DerivedFromCount</x:v>
      </x:c>
      <x:c r="U455" t="str">
        <x:f>IF(COUNTIF(DailyProduction!$Q$5:$Q$100,B455)=1,"OK","CHECK")</x:f>
        <x:v>OK</x:v>
      </x:c>
      <x:c r="V455" t="str">
        <x:f t="shared" si="55"/>
        <x:v>OK</x:v>
      </x:c>
      <x:c r="W455" t="str">
        <x:f>IF(SUMIF($B$5:$B$914,B455,$S$5:$S$914)=SUMIF(DailyProduction!$Q$5:$Q$100,B455,DailyProduction!$R$5:$R$100),"OK","CHECK")</x:f>
        <x:v>OK</x:v>
      </x:c>
      <x:c r="X455" t="str">
        <x:v>PLC-PRD-JAR-720-L23</x:v>
      </x:c>
      <x:c r="Y455" t="str">
        <x:v>OK</x:v>
      </x:c>
      <x:c r="Z455" t="str">
        <x:v>OK</x:v>
      </x:c>
      <x:c r="AA455" t="n">
        <x:v>3</x:v>
      </x:c>
      <x:c r="AB455" t="n">
        <x:v>2</x:v>
      </x:c>
      <x:c r="AC455" t="str">
        <x:v>OK</x:v>
      </x:c>
      <x:c r="AD455" t="str">
        <x:v>OK</x:v>
      </x:c>
      <x:c r="AE455" t="str">
        <x:v>LOAD</x:v>
      </x:c>
      <x:c r="AF455" t="str">
        <x:v>02_Supervisor_Log(4).xlsx</x:v>
      </x:c>
      <x:c r="AG455" t="str">
        <x:v>ENH-20260830-01</x:v>
      </x:c>
      <x:c r="AH455" t="str">
        <x:v>Active</x:v>
      </x:c>
      <x:c r="AI455"/>
      <x:c r="AJ455"/>
      <x:c r="AK455"/>
      <x:c r="AL455"/>
    </x:row>
    <x:row r="456">
      <x:c r="A456" t="s">
        <x:v>683</x:v>
      </x:c>
      <x:c r="B456" t="s">
        <x:v>674</x:v>
      </x:c>
      <x:c r="C456" t="s">
        <x:v>44</x:v>
      </x:c>
      <x:c r="D456">
        <x:v>45953</x:v>
      </x:c>
      <x:c r="E456" t="s">
        <x:v>45</x:v>
      </x:c>
      <x:c r="F456" t="s">
        <x:v>55</x:v>
      </x:c>
      <x:c r="G456">
        <x:v>23</x:v>
      </x:c>
      <x:c r="H456" t="s">
        <x:v>65</x:v>
      </x:c>
      <x:c r="I456">
        <x:v>10</x:v>
      </x:c>
      <x:c r="J456">
        <x:v>12</x:v>
      </x:c>
      <x:c r="K456">
        <x:v>2</x:v>
      </x:c>
      <x:c r="L456">
        <x:f t="shared" si="49"/>
        <x:v>1</x:v>
      </x:c>
      <x:c r="P456">
        <x:f t="shared" si="50"/>
        <x:v>1</x:v>
      </x:c>
      <x:c r="Q456">
        <x:f t="shared" si="51"/>
        <x:v>1</x:v>
      </x:c>
      <x:c r="R456">
        <x:f t="shared" si="52"/>
        <x:v>0</x:v>
      </x:c>
      <x:c r="S456">
        <x:f t="shared" si="53"/>
        <x:v>2</x:v>
      </x:c>
      <x:c r="T456" t="str">
        <x:f t="shared" si="54"/>
        <x:v>DerivedFromCount</x:v>
      </x:c>
      <x:c r="U456" t="str">
        <x:f>IF(COUNTIF(DailyProduction!$Q$5:$Q$100,B456)=1,"OK","CHECK")</x:f>
        <x:v>OK</x:v>
      </x:c>
      <x:c r="V456" t="str">
        <x:f t="shared" si="55"/>
        <x:v>OK</x:v>
      </x:c>
      <x:c r="W456" t="str">
        <x:f>IF(SUMIF($B$5:$B$914,B456,$S$5:$S$914)=SUMIF(DailyProduction!$Q$5:$Q$100,B456,DailyProduction!$R$5:$R$100),"OK","CHECK")</x:f>
        <x:v>OK</x:v>
      </x:c>
      <x:c r="X456" t="str">
        <x:v>PLC-PRD-JAR-720-L23</x:v>
      </x:c>
      <x:c r="Y456" t="str">
        <x:v>OK</x:v>
      </x:c>
      <x:c r="Z456" t="str">
        <x:v>OK</x:v>
      </x:c>
      <x:c r="AA456" t="n">
        <x:v>3</x:v>
      </x:c>
      <x:c r="AB456" t="n">
        <x:v>2</x:v>
      </x:c>
      <x:c r="AC456" t="str">
        <x:v>OK</x:v>
      </x:c>
      <x:c r="AD456" t="str">
        <x:v>OK</x:v>
      </x:c>
      <x:c r="AE456" t="str">
        <x:v>LOAD</x:v>
      </x:c>
      <x:c r="AF456" t="str">
        <x:v>02_Supervisor_Log(4).xlsx</x:v>
      </x:c>
      <x:c r="AG456" t="str">
        <x:v>ENH-20260830-01</x:v>
      </x:c>
      <x:c r="AH456" t="str">
        <x:v>Active</x:v>
      </x:c>
      <x:c r="AI456"/>
      <x:c r="AJ456"/>
      <x:c r="AK456"/>
      <x:c r="AL456"/>
    </x:row>
    <x:row r="457">
      <x:c r="A457" t="s">
        <x:v>684</x:v>
      </x:c>
      <x:c r="B457" t="s">
        <x:v>674</x:v>
      </x:c>
      <x:c r="C457" t="s">
        <x:v>44</x:v>
      </x:c>
      <x:c r="D457">
        <x:v>45953</x:v>
      </x:c>
      <x:c r="E457" t="s">
        <x:v>45</x:v>
      </x:c>
      <x:c r="F457" t="s">
        <x:v>55</x:v>
      </x:c>
      <x:c r="G457">
        <x:v>23</x:v>
      </x:c>
      <x:c r="H457" t="s">
        <x:v>65</x:v>
      </x:c>
      <x:c r="I457">
        <x:v>11</x:v>
      </x:c>
      <x:c r="J457">
        <x:v>12</x:v>
      </x:c>
      <x:c r="K457">
        <x:v>2</x:v>
      </x:c>
      <x:c r="L457">
        <x:f t="shared" si="49"/>
        <x:v>1</x:v>
      </x:c>
      <x:c r="P457">
        <x:f t="shared" si="50"/>
        <x:v>1</x:v>
      </x:c>
      <x:c r="Q457">
        <x:f t="shared" si="51"/>
        <x:v>1</x:v>
      </x:c>
      <x:c r="R457">
        <x:f t="shared" si="52"/>
        <x:v>0</x:v>
      </x:c>
      <x:c r="S457">
        <x:f t="shared" si="53"/>
        <x:v>2</x:v>
      </x:c>
      <x:c r="T457" t="str">
        <x:f t="shared" si="54"/>
        <x:v>DerivedFromCount</x:v>
      </x:c>
      <x:c r="U457" t="str">
        <x:f>IF(COUNTIF(DailyProduction!$Q$5:$Q$100,B457)=1,"OK","CHECK")</x:f>
        <x:v>OK</x:v>
      </x:c>
      <x:c r="V457" t="str">
        <x:f t="shared" si="55"/>
        <x:v>OK</x:v>
      </x:c>
      <x:c r="W457" t="str">
        <x:f>IF(SUMIF($B$5:$B$914,B457,$S$5:$S$914)=SUMIF(DailyProduction!$Q$5:$Q$100,B457,DailyProduction!$R$5:$R$100),"OK","CHECK")</x:f>
        <x:v>OK</x:v>
      </x:c>
      <x:c r="X457" t="str">
        <x:v>PLC-PRD-JAR-720-L23</x:v>
      </x:c>
      <x:c r="Y457" t="str">
        <x:v>OK</x:v>
      </x:c>
      <x:c r="Z457" t="str">
        <x:v>OK</x:v>
      </x:c>
      <x:c r="AA457" t="n">
        <x:v>3</x:v>
      </x:c>
      <x:c r="AB457" t="n">
        <x:v>2</x:v>
      </x:c>
      <x:c r="AC457" t="str">
        <x:v>OK</x:v>
      </x:c>
      <x:c r="AD457" t="str">
        <x:v>OK</x:v>
      </x:c>
      <x:c r="AE457" t="str">
        <x:v>LOAD</x:v>
      </x:c>
      <x:c r="AF457" t="str">
        <x:v>02_Supervisor_Log(4).xlsx</x:v>
      </x:c>
      <x:c r="AG457" t="str">
        <x:v>ENH-20260830-01</x:v>
      </x:c>
      <x:c r="AH457" t="str">
        <x:v>Active</x:v>
      </x:c>
      <x:c r="AI457"/>
      <x:c r="AJ457"/>
      <x:c r="AK457"/>
      <x:c r="AL457"/>
    </x:row>
    <x:row r="458">
      <x:c r="A458" t="s">
        <x:v>685</x:v>
      </x:c>
      <x:c r="B458" t="s">
        <x:v>674</x:v>
      </x:c>
      <x:c r="C458" t="s">
        <x:v>44</x:v>
      </x:c>
      <x:c r="D458">
        <x:v>45953</x:v>
      </x:c>
      <x:c r="E458" t="s">
        <x:v>45</x:v>
      </x:c>
      <x:c r="F458" t="s">
        <x:v>55</x:v>
      </x:c>
      <x:c r="G458">
        <x:v>23</x:v>
      </x:c>
      <x:c r="H458" t="s">
        <x:v>65</x:v>
      </x:c>
      <x:c r="I458">
        <x:v>12</x:v>
      </x:c>
      <x:c r="J458">
        <x:v>12</x:v>
      </x:c>
      <x:c r="K458">
        <x:v>2</x:v>
      </x:c>
      <x:c r="L458">
        <x:f t="shared" si="49"/>
        <x:v>1</x:v>
      </x:c>
      <x:c r="P458">
        <x:f t="shared" si="50"/>
        <x:v>1</x:v>
      </x:c>
      <x:c r="Q458">
        <x:f t="shared" si="51"/>
        <x:v>1</x:v>
      </x:c>
      <x:c r="R458">
        <x:f t="shared" si="52"/>
        <x:v>0</x:v>
      </x:c>
      <x:c r="S458">
        <x:f t="shared" si="53"/>
        <x:v>2</x:v>
      </x:c>
      <x:c r="T458" t="str">
        <x:f t="shared" si="54"/>
        <x:v>DerivedFromCount</x:v>
      </x:c>
      <x:c r="U458" t="str">
        <x:f>IF(COUNTIF(DailyProduction!$Q$5:$Q$100,B458)=1,"OK","CHECK")</x:f>
        <x:v>OK</x:v>
      </x:c>
      <x:c r="V458" t="str">
        <x:f t="shared" si="55"/>
        <x:v>OK</x:v>
      </x:c>
      <x:c r="W458" t="str">
        <x:f>IF(SUMIF($B$5:$B$914,B458,$S$5:$S$914)=SUMIF(DailyProduction!$Q$5:$Q$100,B458,DailyProduction!$R$5:$R$100),"OK","CHECK")</x:f>
        <x:v>OK</x:v>
      </x:c>
      <x:c r="X458" t="str">
        <x:v>PLC-PRD-JAR-720-L23</x:v>
      </x:c>
      <x:c r="Y458" t="str">
        <x:v>OK</x:v>
      </x:c>
      <x:c r="Z458" t="str">
        <x:v>OK</x:v>
      </x:c>
      <x:c r="AA458" t="n">
        <x:v>3</x:v>
      </x:c>
      <x:c r="AB458" t="n">
        <x:v>2</x:v>
      </x:c>
      <x:c r="AC458" t="str">
        <x:v>OK</x:v>
      </x:c>
      <x:c r="AD458" t="str">
        <x:v>OK</x:v>
      </x:c>
      <x:c r="AE458" t="str">
        <x:v>LOAD</x:v>
      </x:c>
      <x:c r="AF458" t="str">
        <x:v>02_Supervisor_Log(4).xlsx</x:v>
      </x:c>
      <x:c r="AG458" t="str">
        <x:v>ENH-20260830-01</x:v>
      </x:c>
      <x:c r="AH458" t="str">
        <x:v>Active</x:v>
      </x:c>
      <x:c r="AI458"/>
      <x:c r="AJ458"/>
      <x:c r="AK458"/>
      <x:c r="AL458"/>
    </x:row>
    <x:row r="459">
      <x:c r="A459" t="s">
        <x:v>686</x:v>
      </x:c>
      <x:c r="B459" t="s">
        <x:v>674</x:v>
      </x:c>
      <x:c r="C459" t="s">
        <x:v>44</x:v>
      </x:c>
      <x:c r="D459">
        <x:v>45953</x:v>
      </x:c>
      <x:c r="E459" t="s">
        <x:v>45</x:v>
      </x:c>
      <x:c r="F459" t="s">
        <x:v>55</x:v>
      </x:c>
      <x:c r="G459">
        <x:v>23</x:v>
      </x:c>
      <x:c r="H459" t="s">
        <x:v>65</x:v>
      </x:c>
      <x:c r="I459">
        <x:v>13</x:v>
      </x:c>
      <x:c r="J459">
        <x:v>12</x:v>
      </x:c>
      <x:c r="K459">
        <x:v>2</x:v>
      </x:c>
      <x:c r="L459">
        <x:f t="shared" si="49"/>
        <x:v>0</x:v>
      </x:c>
      <x:c r="P459">
        <x:f t="shared" si="50"/>
        <x:v>0</x:v>
      </x:c>
      <x:c r="Q459">
        <x:f t="shared" si="51"/>
        <x:v>0</x:v>
      </x:c>
      <x:c r="R459">
        <x:f t="shared" si="52"/>
        <x:v>0</x:v>
      </x:c>
      <x:c r="S459">
        <x:f t="shared" si="53"/>
        <x:v>0</x:v>
      </x:c>
      <x:c r="T459" t="str">
        <x:f t="shared" si="54"/>
        <x:v>DerivedFromCount</x:v>
      </x:c>
      <x:c r="U459" t="str">
        <x:f>IF(COUNTIF(DailyProduction!$Q$5:$Q$100,B459)=1,"OK","CHECK")</x:f>
        <x:v>OK</x:v>
      </x:c>
      <x:c r="V459" t="str">
        <x:f t="shared" si="55"/>
        <x:v>OK</x:v>
      </x:c>
      <x:c r="W459" t="str">
        <x:f>IF(SUMIF($B$5:$B$914,B459,$S$5:$S$914)=SUMIF(DailyProduction!$Q$5:$Q$100,B459,DailyProduction!$R$5:$R$100),"OK","CHECK")</x:f>
        <x:v>OK</x:v>
      </x:c>
      <x:c r="X459" t="str">
        <x:v>PLC-PRD-JAR-720-L23</x:v>
      </x:c>
      <x:c r="Y459" t="str">
        <x:v>OK</x:v>
      </x:c>
      <x:c r="Z459" t="str">
        <x:v>OK</x:v>
      </x:c>
      <x:c r="AA459" t="n">
        <x:v>3</x:v>
      </x:c>
      <x:c r="AB459" t="n">
        <x:v>0</x:v>
      </x:c>
      <x:c r="AC459" t="str">
        <x:v>OK</x:v>
      </x:c>
      <x:c r="AD459" t="str">
        <x:v>OK</x:v>
      </x:c>
      <x:c r="AE459" t="str">
        <x:v>LOAD</x:v>
      </x:c>
      <x:c r="AF459" t="str">
        <x:v>02_Supervisor_Log(4).xlsx</x:v>
      </x:c>
      <x:c r="AG459" t="str">
        <x:v>ENH-20260830-01</x:v>
      </x:c>
      <x:c r="AH459" t="str">
        <x:v>Active</x:v>
      </x:c>
      <x:c r="AI459"/>
      <x:c r="AJ459"/>
      <x:c r="AK459"/>
      <x:c r="AL459"/>
    </x:row>
    <x:row r="460">
      <x:c r="A460" t="s">
        <x:v>687</x:v>
      </x:c>
      <x:c r="B460" t="s">
        <x:v>688</x:v>
      </x:c>
      <x:c r="C460" t="s">
        <x:v>44</x:v>
      </x:c>
      <x:c r="D460">
        <x:v>45953</x:v>
      </x:c>
      <x:c r="E460" t="s">
        <x:v>187</x:v>
      </x:c>
      <x:c r="F460" t="s">
        <x:v>46</x:v>
      </x:c>
      <x:c r="G460">
        <x:v>23</x:v>
      </x:c>
      <x:c r="H460" t="s">
        <x:v>65</x:v>
      </x:c>
      <x:c r="I460">
        <x:v>1</x:v>
      </x:c>
      <x:c r="J460">
        <x:v>12</x:v>
      </x:c>
      <x:c r="K460">
        <x:v>2</x:v>
      </x:c>
      <x:c r="L460">
        <x:f t="shared" si="49"/>
        <x:v>1</x:v>
      </x:c>
      <x:c r="P460">
        <x:f t="shared" si="50"/>
        <x:v>1</x:v>
      </x:c>
      <x:c r="Q460">
        <x:f t="shared" si="51"/>
        <x:v>1</x:v>
      </x:c>
      <x:c r="R460">
        <x:f t="shared" si="52"/>
        <x:v>0</x:v>
      </x:c>
      <x:c r="S460">
        <x:f t="shared" si="53"/>
        <x:v>2</x:v>
      </x:c>
      <x:c r="T460" t="str">
        <x:f t="shared" si="54"/>
        <x:v>DerivedFromCount</x:v>
      </x:c>
      <x:c r="U460" t="str">
        <x:f>IF(COUNTIF(DailyProduction!$Q$5:$Q$100,B460)=1,"OK","CHECK")</x:f>
        <x:v>OK</x:v>
      </x:c>
      <x:c r="V460" t="str">
        <x:f t="shared" si="55"/>
        <x:v>OK</x:v>
      </x:c>
      <x:c r="W460" t="str">
        <x:f>IF(SUMIF($B$5:$B$914,B460,$S$5:$S$914)=SUMIF(DailyProduction!$Q$5:$Q$100,B460,DailyProduction!$R$5:$R$100),"OK","CHECK")</x:f>
        <x:v>OK</x:v>
      </x:c>
      <x:c r="X460" t="str">
        <x:v>PLC-PRD-JAR-720-L23</x:v>
      </x:c>
      <x:c r="Y460" t="str">
        <x:v>OK</x:v>
      </x:c>
      <x:c r="Z460" t="str">
        <x:v>OK</x:v>
      </x:c>
      <x:c r="AA460" t="n">
        <x:v>3</x:v>
      </x:c>
      <x:c r="AB460" t="n">
        <x:v>2</x:v>
      </x:c>
      <x:c r="AC460" t="str">
        <x:v>OK</x:v>
      </x:c>
      <x:c r="AD460" t="str">
        <x:v>OK</x:v>
      </x:c>
      <x:c r="AE460" t="str">
        <x:v>LOAD</x:v>
      </x:c>
      <x:c r="AF460" t="str">
        <x:v>02_Supervisor_Log(4).xlsx</x:v>
      </x:c>
      <x:c r="AG460" t="str">
        <x:v>ENH-20260830-01</x:v>
      </x:c>
      <x:c r="AH460" t="str">
        <x:v>Active</x:v>
      </x:c>
      <x:c r="AI460"/>
      <x:c r="AJ460"/>
      <x:c r="AK460"/>
      <x:c r="AL460"/>
    </x:row>
    <x:row r="461">
      <x:c r="A461" t="s">
        <x:v>689</x:v>
      </x:c>
      <x:c r="B461" t="s">
        <x:v>688</x:v>
      </x:c>
      <x:c r="C461" t="s">
        <x:v>44</x:v>
      </x:c>
      <x:c r="D461">
        <x:v>45953</x:v>
      </x:c>
      <x:c r="E461" t="s">
        <x:v>187</x:v>
      </x:c>
      <x:c r="F461" t="s">
        <x:v>46</x:v>
      </x:c>
      <x:c r="G461">
        <x:v>23</x:v>
      </x:c>
      <x:c r="H461" t="s">
        <x:v>65</x:v>
      </x:c>
      <x:c r="I461">
        <x:v>2</x:v>
      </x:c>
      <x:c r="J461">
        <x:v>12</x:v>
      </x:c>
      <x:c r="K461">
        <x:v>2</x:v>
      </x:c>
      <x:c r="L461">
        <x:f t="shared" si="49"/>
        <x:v>1</x:v>
      </x:c>
      <x:c r="P461">
        <x:f t="shared" si="50"/>
        <x:v>1</x:v>
      </x:c>
      <x:c r="Q461">
        <x:f t="shared" si="51"/>
        <x:v>1</x:v>
      </x:c>
      <x:c r="R461">
        <x:f t="shared" si="52"/>
        <x:v>0</x:v>
      </x:c>
      <x:c r="S461">
        <x:f t="shared" si="53"/>
        <x:v>2</x:v>
      </x:c>
      <x:c r="T461" t="str">
        <x:f t="shared" si="54"/>
        <x:v>DerivedFromCount</x:v>
      </x:c>
      <x:c r="U461" t="str">
        <x:f>IF(COUNTIF(DailyProduction!$Q$5:$Q$100,B461)=1,"OK","CHECK")</x:f>
        <x:v>OK</x:v>
      </x:c>
      <x:c r="V461" t="str">
        <x:f t="shared" si="55"/>
        <x:v>OK</x:v>
      </x:c>
      <x:c r="W461" t="str">
        <x:f>IF(SUMIF($B$5:$B$914,B461,$S$5:$S$914)=SUMIF(DailyProduction!$Q$5:$Q$100,B461,DailyProduction!$R$5:$R$100),"OK","CHECK")</x:f>
        <x:v>OK</x:v>
      </x:c>
      <x:c r="X461" t="str">
        <x:v>PLC-PRD-JAR-720-L23</x:v>
      </x:c>
      <x:c r="Y461" t="str">
        <x:v>OK</x:v>
      </x:c>
      <x:c r="Z461" t="str">
        <x:v>OK</x:v>
      </x:c>
      <x:c r="AA461" t="n">
        <x:v>3</x:v>
      </x:c>
      <x:c r="AB461" t="n">
        <x:v>2</x:v>
      </x:c>
      <x:c r="AC461" t="str">
        <x:v>OK</x:v>
      </x:c>
      <x:c r="AD461" t="str">
        <x:v>OK</x:v>
      </x:c>
      <x:c r="AE461" t="str">
        <x:v>LOAD</x:v>
      </x:c>
      <x:c r="AF461" t="str">
        <x:v>02_Supervisor_Log(4).xlsx</x:v>
      </x:c>
      <x:c r="AG461" t="str">
        <x:v>ENH-20260830-01</x:v>
      </x:c>
      <x:c r="AH461" t="str">
        <x:v>Active</x:v>
      </x:c>
      <x:c r="AI461"/>
      <x:c r="AJ461"/>
      <x:c r="AK461"/>
      <x:c r="AL461"/>
    </x:row>
    <x:row r="462">
      <x:c r="A462" t="s">
        <x:v>690</x:v>
      </x:c>
      <x:c r="B462" t="s">
        <x:v>688</x:v>
      </x:c>
      <x:c r="C462" t="s">
        <x:v>44</x:v>
      </x:c>
      <x:c r="D462">
        <x:v>45953</x:v>
      </x:c>
      <x:c r="E462" t="s">
        <x:v>187</x:v>
      </x:c>
      <x:c r="F462" t="s">
        <x:v>46</x:v>
      </x:c>
      <x:c r="G462">
        <x:v>23</x:v>
      </x:c>
      <x:c r="H462" t="s">
        <x:v>65</x:v>
      </x:c>
      <x:c r="I462">
        <x:v>3</x:v>
      </x:c>
      <x:c r="J462">
        <x:v>12</x:v>
      </x:c>
      <x:c r="K462">
        <x:v>2</x:v>
      </x:c>
      <x:c r="L462">
        <x:f t="shared" si="49"/>
        <x:v>1</x:v>
      </x:c>
      <x:c r="P462">
        <x:f t="shared" si="50"/>
        <x:v>1</x:v>
      </x:c>
      <x:c r="Q462">
        <x:f t="shared" si="51"/>
        <x:v>1</x:v>
      </x:c>
      <x:c r="R462">
        <x:f t="shared" si="52"/>
        <x:v>0</x:v>
      </x:c>
      <x:c r="S462">
        <x:f t="shared" si="53"/>
        <x:v>2</x:v>
      </x:c>
      <x:c r="T462" t="str">
        <x:f t="shared" si="54"/>
        <x:v>DerivedFromCount</x:v>
      </x:c>
      <x:c r="U462" t="str">
        <x:f>IF(COUNTIF(DailyProduction!$Q$5:$Q$100,B462)=1,"OK","CHECK")</x:f>
        <x:v>OK</x:v>
      </x:c>
      <x:c r="V462" t="str">
        <x:f t="shared" si="55"/>
        <x:v>OK</x:v>
      </x:c>
      <x:c r="W462" t="str">
        <x:f>IF(SUMIF($B$5:$B$914,B462,$S$5:$S$914)=SUMIF(DailyProduction!$Q$5:$Q$100,B462,DailyProduction!$R$5:$R$100),"OK","CHECK")</x:f>
        <x:v>OK</x:v>
      </x:c>
      <x:c r="X462" t="str">
        <x:v>PLC-PRD-JAR-720-L23</x:v>
      </x:c>
      <x:c r="Y462" t="str">
        <x:v>OK</x:v>
      </x:c>
      <x:c r="Z462" t="str">
        <x:v>OK</x:v>
      </x:c>
      <x:c r="AA462" t="n">
        <x:v>3</x:v>
      </x:c>
      <x:c r="AB462" t="n">
        <x:v>2</x:v>
      </x:c>
      <x:c r="AC462" t="str">
        <x:v>OK</x:v>
      </x:c>
      <x:c r="AD462" t="str">
        <x:v>OK</x:v>
      </x:c>
      <x:c r="AE462" t="str">
        <x:v>LOAD</x:v>
      </x:c>
      <x:c r="AF462" t="str">
        <x:v>02_Supervisor_Log(4).xlsx</x:v>
      </x:c>
      <x:c r="AG462" t="str">
        <x:v>ENH-20260830-01</x:v>
      </x:c>
      <x:c r="AH462" t="str">
        <x:v>Active</x:v>
      </x:c>
      <x:c r="AI462"/>
      <x:c r="AJ462"/>
      <x:c r="AK462"/>
      <x:c r="AL462"/>
    </x:row>
    <x:row r="463">
      <x:c r="A463" t="s">
        <x:v>691</x:v>
      </x:c>
      <x:c r="B463" t="s">
        <x:v>688</x:v>
      </x:c>
      <x:c r="C463" t="s">
        <x:v>44</x:v>
      </x:c>
      <x:c r="D463">
        <x:v>45953</x:v>
      </x:c>
      <x:c r="E463" t="s">
        <x:v>187</x:v>
      </x:c>
      <x:c r="F463" t="s">
        <x:v>46</x:v>
      </x:c>
      <x:c r="G463">
        <x:v>23</x:v>
      </x:c>
      <x:c r="H463" t="s">
        <x:v>65</x:v>
      </x:c>
      <x:c r="I463">
        <x:v>4</x:v>
      </x:c>
      <x:c r="J463">
        <x:v>12</x:v>
      </x:c>
      <x:c r="K463">
        <x:v>2</x:v>
      </x:c>
      <x:c r="L463">
        <x:f t="shared" si="49"/>
        <x:v>1</x:v>
      </x:c>
      <x:c r="P463">
        <x:f t="shared" si="50"/>
        <x:v>1</x:v>
      </x:c>
      <x:c r="Q463">
        <x:f t="shared" si="51"/>
        <x:v>1</x:v>
      </x:c>
      <x:c r="R463">
        <x:f t="shared" si="52"/>
        <x:v>0</x:v>
      </x:c>
      <x:c r="S463">
        <x:f t="shared" si="53"/>
        <x:v>2</x:v>
      </x:c>
      <x:c r="T463" t="str">
        <x:f t="shared" si="54"/>
        <x:v>DerivedFromCount</x:v>
      </x:c>
      <x:c r="U463" t="str">
        <x:f>IF(COUNTIF(DailyProduction!$Q$5:$Q$100,B463)=1,"OK","CHECK")</x:f>
        <x:v>OK</x:v>
      </x:c>
      <x:c r="V463" t="str">
        <x:f t="shared" si="55"/>
        <x:v>OK</x:v>
      </x:c>
      <x:c r="W463" t="str">
        <x:f>IF(SUMIF($B$5:$B$914,B463,$S$5:$S$914)=SUMIF(DailyProduction!$Q$5:$Q$100,B463,DailyProduction!$R$5:$R$100),"OK","CHECK")</x:f>
        <x:v>OK</x:v>
      </x:c>
      <x:c r="X463" t="str">
        <x:v>PLC-PRD-JAR-720-L23</x:v>
      </x:c>
      <x:c r="Y463" t="str">
        <x:v>OK</x:v>
      </x:c>
      <x:c r="Z463" t="str">
        <x:v>OK</x:v>
      </x:c>
      <x:c r="AA463" t="n">
        <x:v>3</x:v>
      </x:c>
      <x:c r="AB463" t="n">
        <x:v>2</x:v>
      </x:c>
      <x:c r="AC463" t="str">
        <x:v>OK</x:v>
      </x:c>
      <x:c r="AD463" t="str">
        <x:v>OK</x:v>
      </x:c>
      <x:c r="AE463" t="str">
        <x:v>LOAD</x:v>
      </x:c>
      <x:c r="AF463" t="str">
        <x:v>02_Supervisor_Log(4).xlsx</x:v>
      </x:c>
      <x:c r="AG463" t="str">
        <x:v>ENH-20260830-01</x:v>
      </x:c>
      <x:c r="AH463" t="str">
        <x:v>Active</x:v>
      </x:c>
      <x:c r="AI463"/>
      <x:c r="AJ463"/>
      <x:c r="AK463"/>
      <x:c r="AL463"/>
    </x:row>
    <x:row r="464">
      <x:c r="A464" t="s">
        <x:v>692</x:v>
      </x:c>
      <x:c r="B464" t="s">
        <x:v>688</x:v>
      </x:c>
      <x:c r="C464" t="s">
        <x:v>44</x:v>
      </x:c>
      <x:c r="D464">
        <x:v>45953</x:v>
      </x:c>
      <x:c r="E464" t="s">
        <x:v>187</x:v>
      </x:c>
      <x:c r="F464" t="s">
        <x:v>46</x:v>
      </x:c>
      <x:c r="G464">
        <x:v>23</x:v>
      </x:c>
      <x:c r="H464" t="s">
        <x:v>65</x:v>
      </x:c>
      <x:c r="I464">
        <x:v>5</x:v>
      </x:c>
      <x:c r="J464">
        <x:v>12</x:v>
      </x:c>
      <x:c r="K464">
        <x:v>2</x:v>
      </x:c>
      <x:c r="L464">
        <x:f t="shared" si="49"/>
        <x:v>1</x:v>
      </x:c>
      <x:c r="P464">
        <x:f t="shared" si="50"/>
        <x:v>1</x:v>
      </x:c>
      <x:c r="Q464">
        <x:f t="shared" si="51"/>
        <x:v>1</x:v>
      </x:c>
      <x:c r="R464">
        <x:f t="shared" si="52"/>
        <x:v>0</x:v>
      </x:c>
      <x:c r="S464">
        <x:f t="shared" si="53"/>
        <x:v>2</x:v>
      </x:c>
      <x:c r="T464" t="str">
        <x:f t="shared" si="54"/>
        <x:v>DerivedFromCount</x:v>
      </x:c>
      <x:c r="U464" t="str">
        <x:f>IF(COUNTIF(DailyProduction!$Q$5:$Q$100,B464)=1,"OK","CHECK")</x:f>
        <x:v>OK</x:v>
      </x:c>
      <x:c r="V464" t="str">
        <x:f t="shared" si="55"/>
        <x:v>OK</x:v>
      </x:c>
      <x:c r="W464" t="str">
        <x:f>IF(SUMIF($B$5:$B$914,B464,$S$5:$S$914)=SUMIF(DailyProduction!$Q$5:$Q$100,B464,DailyProduction!$R$5:$R$100),"OK","CHECK")</x:f>
        <x:v>OK</x:v>
      </x:c>
      <x:c r="X464" t="str">
        <x:v>PLC-PRD-JAR-720-L23</x:v>
      </x:c>
      <x:c r="Y464" t="str">
        <x:v>OK</x:v>
      </x:c>
      <x:c r="Z464" t="str">
        <x:v>OK</x:v>
      </x:c>
      <x:c r="AA464" t="n">
        <x:v>3</x:v>
      </x:c>
      <x:c r="AB464" t="n">
        <x:v>2</x:v>
      </x:c>
      <x:c r="AC464" t="str">
        <x:v>OK</x:v>
      </x:c>
      <x:c r="AD464" t="str">
        <x:v>OK</x:v>
      </x:c>
      <x:c r="AE464" t="str">
        <x:v>LOAD</x:v>
      </x:c>
      <x:c r="AF464" t="str">
        <x:v>02_Supervisor_Log(4).xlsx</x:v>
      </x:c>
      <x:c r="AG464" t="str">
        <x:v>ENH-20260830-01</x:v>
      </x:c>
      <x:c r="AH464" t="str">
        <x:v>Active</x:v>
      </x:c>
      <x:c r="AI464"/>
      <x:c r="AJ464"/>
      <x:c r="AK464"/>
      <x:c r="AL464"/>
    </x:row>
    <x:row r="465">
      <x:c r="A465" t="s">
        <x:v>693</x:v>
      </x:c>
      <x:c r="B465" t="s">
        <x:v>688</x:v>
      </x:c>
      <x:c r="C465" t="s">
        <x:v>44</x:v>
      </x:c>
      <x:c r="D465">
        <x:v>45953</x:v>
      </x:c>
      <x:c r="E465" t="s">
        <x:v>187</x:v>
      </x:c>
      <x:c r="F465" t="s">
        <x:v>46</x:v>
      </x:c>
      <x:c r="G465">
        <x:v>23</x:v>
      </x:c>
      <x:c r="H465" t="s">
        <x:v>65</x:v>
      </x:c>
      <x:c r="I465">
        <x:v>6</x:v>
      </x:c>
      <x:c r="J465">
        <x:v>12</x:v>
      </x:c>
      <x:c r="K465">
        <x:v>2</x:v>
      </x:c>
      <x:c r="L465">
        <x:f t="shared" si="49"/>
        <x:v>1</x:v>
      </x:c>
      <x:c r="P465">
        <x:f t="shared" si="50"/>
        <x:v>1</x:v>
      </x:c>
      <x:c r="Q465">
        <x:f t="shared" si="51"/>
        <x:v>1</x:v>
      </x:c>
      <x:c r="R465">
        <x:f t="shared" si="52"/>
        <x:v>0</x:v>
      </x:c>
      <x:c r="S465">
        <x:f t="shared" si="53"/>
        <x:v>2</x:v>
      </x:c>
      <x:c r="T465" t="str">
        <x:f t="shared" si="54"/>
        <x:v>DerivedFromCount</x:v>
      </x:c>
      <x:c r="U465" t="str">
        <x:f>IF(COUNTIF(DailyProduction!$Q$5:$Q$100,B465)=1,"OK","CHECK")</x:f>
        <x:v>OK</x:v>
      </x:c>
      <x:c r="V465" t="str">
        <x:f t="shared" si="55"/>
        <x:v>OK</x:v>
      </x:c>
      <x:c r="W465" t="str">
        <x:f>IF(SUMIF($B$5:$B$914,B465,$S$5:$S$914)=SUMIF(DailyProduction!$Q$5:$Q$100,B465,DailyProduction!$R$5:$R$100),"OK","CHECK")</x:f>
        <x:v>OK</x:v>
      </x:c>
      <x:c r="X465" t="str">
        <x:v>PLC-PRD-JAR-720-L23</x:v>
      </x:c>
      <x:c r="Y465" t="str">
        <x:v>OK</x:v>
      </x:c>
      <x:c r="Z465" t="str">
        <x:v>OK</x:v>
      </x:c>
      <x:c r="AA465" t="n">
        <x:v>3</x:v>
      </x:c>
      <x:c r="AB465" t="n">
        <x:v>2</x:v>
      </x:c>
      <x:c r="AC465" t="str">
        <x:v>OK</x:v>
      </x:c>
      <x:c r="AD465" t="str">
        <x:v>OK</x:v>
      </x:c>
      <x:c r="AE465" t="str">
        <x:v>LOAD</x:v>
      </x:c>
      <x:c r="AF465" t="str">
        <x:v>02_Supervisor_Log(4).xlsx</x:v>
      </x:c>
      <x:c r="AG465" t="str">
        <x:v>ENH-20260830-01</x:v>
      </x:c>
      <x:c r="AH465" t="str">
        <x:v>Active</x:v>
      </x:c>
      <x:c r="AI465"/>
      <x:c r="AJ465"/>
      <x:c r="AK465"/>
      <x:c r="AL465"/>
    </x:row>
    <x:row r="466">
      <x:c r="A466" t="s">
        <x:v>694</x:v>
      </x:c>
      <x:c r="B466" t="s">
        <x:v>688</x:v>
      </x:c>
      <x:c r="C466" t="s">
        <x:v>44</x:v>
      </x:c>
      <x:c r="D466">
        <x:v>45953</x:v>
      </x:c>
      <x:c r="E466" t="s">
        <x:v>187</x:v>
      </x:c>
      <x:c r="F466" t="s">
        <x:v>46</x:v>
      </x:c>
      <x:c r="G466">
        <x:v>23</x:v>
      </x:c>
      <x:c r="H466" t="s">
        <x:v>65</x:v>
      </x:c>
      <x:c r="I466">
        <x:v>7</x:v>
      </x:c>
      <x:c r="J466">
        <x:v>12</x:v>
      </x:c>
      <x:c r="K466">
        <x:v>2</x:v>
      </x:c>
      <x:c r="L466">
        <x:f t="shared" si="49"/>
        <x:v>1</x:v>
      </x:c>
      <x:c r="P466">
        <x:f t="shared" si="50"/>
        <x:v>1</x:v>
      </x:c>
      <x:c r="Q466">
        <x:f t="shared" si="51"/>
        <x:v>1</x:v>
      </x:c>
      <x:c r="R466">
        <x:f t="shared" si="52"/>
        <x:v>0</x:v>
      </x:c>
      <x:c r="S466">
        <x:f t="shared" si="53"/>
        <x:v>2</x:v>
      </x:c>
      <x:c r="T466" t="str">
        <x:f t="shared" si="54"/>
        <x:v>DerivedFromCount</x:v>
      </x:c>
      <x:c r="U466" t="str">
        <x:f>IF(COUNTIF(DailyProduction!$Q$5:$Q$100,B466)=1,"OK","CHECK")</x:f>
        <x:v>OK</x:v>
      </x:c>
      <x:c r="V466" t="str">
        <x:f t="shared" si="55"/>
        <x:v>OK</x:v>
      </x:c>
      <x:c r="W466" t="str">
        <x:f>IF(SUMIF($B$5:$B$914,B466,$S$5:$S$914)=SUMIF(DailyProduction!$Q$5:$Q$100,B466,DailyProduction!$R$5:$R$100),"OK","CHECK")</x:f>
        <x:v>OK</x:v>
      </x:c>
      <x:c r="X466" t="str">
        <x:v>PLC-PRD-JAR-720-L23</x:v>
      </x:c>
      <x:c r="Y466" t="str">
        <x:v>OK</x:v>
      </x:c>
      <x:c r="Z466" t="str">
        <x:v>OK</x:v>
      </x:c>
      <x:c r="AA466" t="n">
        <x:v>3</x:v>
      </x:c>
      <x:c r="AB466" t="n">
        <x:v>2</x:v>
      </x:c>
      <x:c r="AC466" t="str">
        <x:v>OK</x:v>
      </x:c>
      <x:c r="AD466" t="str">
        <x:v>OK</x:v>
      </x:c>
      <x:c r="AE466" t="str">
        <x:v>LOAD</x:v>
      </x:c>
      <x:c r="AF466" t="str">
        <x:v>02_Supervisor_Log(4).xlsx</x:v>
      </x:c>
      <x:c r="AG466" t="str">
        <x:v>ENH-20260830-01</x:v>
      </x:c>
      <x:c r="AH466" t="str">
        <x:v>Active</x:v>
      </x:c>
      <x:c r="AI466"/>
      <x:c r="AJ466"/>
      <x:c r="AK466"/>
      <x:c r="AL466"/>
    </x:row>
    <x:row r="467">
      <x:c r="A467" t="s">
        <x:v>695</x:v>
      </x:c>
      <x:c r="B467" t="s">
        <x:v>688</x:v>
      </x:c>
      <x:c r="C467" t="s">
        <x:v>44</x:v>
      </x:c>
      <x:c r="D467">
        <x:v>45953</x:v>
      </x:c>
      <x:c r="E467" t="s">
        <x:v>187</x:v>
      </x:c>
      <x:c r="F467" t="s">
        <x:v>46</x:v>
      </x:c>
      <x:c r="G467">
        <x:v>23</x:v>
      </x:c>
      <x:c r="H467" t="s">
        <x:v>65</x:v>
      </x:c>
      <x:c r="I467">
        <x:v>8</x:v>
      </x:c>
      <x:c r="J467">
        <x:v>12</x:v>
      </x:c>
      <x:c r="K467">
        <x:v>2</x:v>
      </x:c>
      <x:c r="L467">
        <x:f t="shared" si="49"/>
        <x:v>1</x:v>
      </x:c>
      <x:c r="P467">
        <x:f t="shared" si="50"/>
        <x:v>1</x:v>
      </x:c>
      <x:c r="Q467">
        <x:f t="shared" si="51"/>
        <x:v>1</x:v>
      </x:c>
      <x:c r="R467">
        <x:f t="shared" si="52"/>
        <x:v>0</x:v>
      </x:c>
      <x:c r="S467">
        <x:f t="shared" si="53"/>
        <x:v>2</x:v>
      </x:c>
      <x:c r="T467" t="str">
        <x:f t="shared" si="54"/>
        <x:v>DerivedFromCount</x:v>
      </x:c>
      <x:c r="U467" t="str">
        <x:f>IF(COUNTIF(DailyProduction!$Q$5:$Q$100,B467)=1,"OK","CHECK")</x:f>
        <x:v>OK</x:v>
      </x:c>
      <x:c r="V467" t="str">
        <x:f t="shared" si="55"/>
        <x:v>OK</x:v>
      </x:c>
      <x:c r="W467" t="str">
        <x:f>IF(SUMIF($B$5:$B$914,B467,$S$5:$S$914)=SUMIF(DailyProduction!$Q$5:$Q$100,B467,DailyProduction!$R$5:$R$100),"OK","CHECK")</x:f>
        <x:v>OK</x:v>
      </x:c>
      <x:c r="X467" t="str">
        <x:v>PLC-PRD-JAR-720-L23</x:v>
      </x:c>
      <x:c r="Y467" t="str">
        <x:v>OK</x:v>
      </x:c>
      <x:c r="Z467" t="str">
        <x:v>OK</x:v>
      </x:c>
      <x:c r="AA467" t="n">
        <x:v>3</x:v>
      </x:c>
      <x:c r="AB467" t="n">
        <x:v>2</x:v>
      </x:c>
      <x:c r="AC467" t="str">
        <x:v>OK</x:v>
      </x:c>
      <x:c r="AD467" t="str">
        <x:v>OK</x:v>
      </x:c>
      <x:c r="AE467" t="str">
        <x:v>LOAD</x:v>
      </x:c>
      <x:c r="AF467" t="str">
        <x:v>02_Supervisor_Log(4).xlsx</x:v>
      </x:c>
      <x:c r="AG467" t="str">
        <x:v>ENH-20260830-01</x:v>
      </x:c>
      <x:c r="AH467" t="str">
        <x:v>Active</x:v>
      </x:c>
      <x:c r="AI467"/>
      <x:c r="AJ467"/>
      <x:c r="AK467"/>
      <x:c r="AL467"/>
    </x:row>
    <x:row r="468">
      <x:c r="A468" t="s">
        <x:v>696</x:v>
      </x:c>
      <x:c r="B468" t="s">
        <x:v>688</x:v>
      </x:c>
      <x:c r="C468" t="s">
        <x:v>44</x:v>
      </x:c>
      <x:c r="D468">
        <x:v>45953</x:v>
      </x:c>
      <x:c r="E468" t="s">
        <x:v>187</x:v>
      </x:c>
      <x:c r="F468" t="s">
        <x:v>46</x:v>
      </x:c>
      <x:c r="G468">
        <x:v>23</x:v>
      </x:c>
      <x:c r="H468" t="s">
        <x:v>65</x:v>
      </x:c>
      <x:c r="I468">
        <x:v>9</x:v>
      </x:c>
      <x:c r="J468">
        <x:v>12</x:v>
      </x:c>
      <x:c r="K468">
        <x:v>2</x:v>
      </x:c>
      <x:c r="L468">
        <x:f t="shared" si="49"/>
        <x:v>1</x:v>
      </x:c>
      <x:c r="P468">
        <x:f t="shared" si="50"/>
        <x:v>1</x:v>
      </x:c>
      <x:c r="Q468">
        <x:f t="shared" si="51"/>
        <x:v>1</x:v>
      </x:c>
      <x:c r="R468">
        <x:f t="shared" si="52"/>
        <x:v>0</x:v>
      </x:c>
      <x:c r="S468">
        <x:f t="shared" si="53"/>
        <x:v>2</x:v>
      </x:c>
      <x:c r="T468" t="str">
        <x:f t="shared" si="54"/>
        <x:v>DerivedFromCount</x:v>
      </x:c>
      <x:c r="U468" t="str">
        <x:f>IF(COUNTIF(DailyProduction!$Q$5:$Q$100,B468)=1,"OK","CHECK")</x:f>
        <x:v>OK</x:v>
      </x:c>
      <x:c r="V468" t="str">
        <x:f t="shared" si="55"/>
        <x:v>OK</x:v>
      </x:c>
      <x:c r="W468" t="str">
        <x:f>IF(SUMIF($B$5:$B$914,B468,$S$5:$S$914)=SUMIF(DailyProduction!$Q$5:$Q$100,B468,DailyProduction!$R$5:$R$100),"OK","CHECK")</x:f>
        <x:v>OK</x:v>
      </x:c>
      <x:c r="X468" t="str">
        <x:v>PLC-PRD-JAR-720-L23</x:v>
      </x:c>
      <x:c r="Y468" t="str">
        <x:v>OK</x:v>
      </x:c>
      <x:c r="Z468" t="str">
        <x:v>OK</x:v>
      </x:c>
      <x:c r="AA468" t="n">
        <x:v>3</x:v>
      </x:c>
      <x:c r="AB468" t="n">
        <x:v>2</x:v>
      </x:c>
      <x:c r="AC468" t="str">
        <x:v>OK</x:v>
      </x:c>
      <x:c r="AD468" t="str">
        <x:v>OK</x:v>
      </x:c>
      <x:c r="AE468" t="str">
        <x:v>LOAD</x:v>
      </x:c>
      <x:c r="AF468" t="str">
        <x:v>02_Supervisor_Log(4).xlsx</x:v>
      </x:c>
      <x:c r="AG468" t="str">
        <x:v>ENH-20260830-01</x:v>
      </x:c>
      <x:c r="AH468" t="str">
        <x:v>Active</x:v>
      </x:c>
      <x:c r="AI468"/>
      <x:c r="AJ468"/>
      <x:c r="AK468"/>
      <x:c r="AL468"/>
    </x:row>
    <x:row r="469">
      <x:c r="A469" t="s">
        <x:v>697</x:v>
      </x:c>
      <x:c r="B469" t="s">
        <x:v>688</x:v>
      </x:c>
      <x:c r="C469" t="s">
        <x:v>44</x:v>
      </x:c>
      <x:c r="D469">
        <x:v>45953</x:v>
      </x:c>
      <x:c r="E469" t="s">
        <x:v>187</x:v>
      </x:c>
      <x:c r="F469" t="s">
        <x:v>46</x:v>
      </x:c>
      <x:c r="G469">
        <x:v>23</x:v>
      </x:c>
      <x:c r="H469" t="s">
        <x:v>65</x:v>
      </x:c>
      <x:c r="I469">
        <x:v>10</x:v>
      </x:c>
      <x:c r="J469">
        <x:v>12</x:v>
      </x:c>
      <x:c r="K469">
        <x:v>2</x:v>
      </x:c>
      <x:c r="L469">
        <x:f t="shared" si="49"/>
        <x:v>1</x:v>
      </x:c>
      <x:c r="P469">
        <x:f t="shared" si="50"/>
        <x:v>1</x:v>
      </x:c>
      <x:c r="Q469">
        <x:f t="shared" si="51"/>
        <x:v>1</x:v>
      </x:c>
      <x:c r="R469">
        <x:f t="shared" si="52"/>
        <x:v>0</x:v>
      </x:c>
      <x:c r="S469">
        <x:f t="shared" si="53"/>
        <x:v>2</x:v>
      </x:c>
      <x:c r="T469" t="str">
        <x:f t="shared" si="54"/>
        <x:v>DerivedFromCount</x:v>
      </x:c>
      <x:c r="U469" t="str">
        <x:f>IF(COUNTIF(DailyProduction!$Q$5:$Q$100,B469)=1,"OK","CHECK")</x:f>
        <x:v>OK</x:v>
      </x:c>
      <x:c r="V469" t="str">
        <x:f t="shared" si="55"/>
        <x:v>OK</x:v>
      </x:c>
      <x:c r="W469" t="str">
        <x:f>IF(SUMIF($B$5:$B$914,B469,$S$5:$S$914)=SUMIF(DailyProduction!$Q$5:$Q$100,B469,DailyProduction!$R$5:$R$100),"OK","CHECK")</x:f>
        <x:v>OK</x:v>
      </x:c>
      <x:c r="X469" t="str">
        <x:v>PLC-PRD-JAR-720-L23</x:v>
      </x:c>
      <x:c r="Y469" t="str">
        <x:v>OK</x:v>
      </x:c>
      <x:c r="Z469" t="str">
        <x:v>OK</x:v>
      </x:c>
      <x:c r="AA469" t="n">
        <x:v>3</x:v>
      </x:c>
      <x:c r="AB469" t="n">
        <x:v>2</x:v>
      </x:c>
      <x:c r="AC469" t="str">
        <x:v>OK</x:v>
      </x:c>
      <x:c r="AD469" t="str">
        <x:v>OK</x:v>
      </x:c>
      <x:c r="AE469" t="str">
        <x:v>LOAD</x:v>
      </x:c>
      <x:c r="AF469" t="str">
        <x:v>02_Supervisor_Log(4).xlsx</x:v>
      </x:c>
      <x:c r="AG469" t="str">
        <x:v>ENH-20260830-01</x:v>
      </x:c>
      <x:c r="AH469" t="str">
        <x:v>Active</x:v>
      </x:c>
      <x:c r="AI469"/>
      <x:c r="AJ469"/>
      <x:c r="AK469"/>
      <x:c r="AL469"/>
    </x:row>
    <x:row r="470">
      <x:c r="A470" t="s">
        <x:v>698</x:v>
      </x:c>
      <x:c r="B470" t="s">
        <x:v>688</x:v>
      </x:c>
      <x:c r="C470" t="s">
        <x:v>44</x:v>
      </x:c>
      <x:c r="D470">
        <x:v>45953</x:v>
      </x:c>
      <x:c r="E470" t="s">
        <x:v>187</x:v>
      </x:c>
      <x:c r="F470" t="s">
        <x:v>46</x:v>
      </x:c>
      <x:c r="G470">
        <x:v>23</x:v>
      </x:c>
      <x:c r="H470" t="s">
        <x:v>65</x:v>
      </x:c>
      <x:c r="I470">
        <x:v>11</x:v>
      </x:c>
      <x:c r="J470">
        <x:v>12</x:v>
      </x:c>
      <x:c r="K470">
        <x:v>2</x:v>
      </x:c>
      <x:c r="L470">
        <x:f t="shared" si="49"/>
        <x:v>1</x:v>
      </x:c>
      <x:c r="P470">
        <x:f t="shared" si="50"/>
        <x:v>1</x:v>
      </x:c>
      <x:c r="Q470">
        <x:f t="shared" si="51"/>
        <x:v>1</x:v>
      </x:c>
      <x:c r="R470">
        <x:f t="shared" si="52"/>
        <x:v>0</x:v>
      </x:c>
      <x:c r="S470">
        <x:f t="shared" si="53"/>
        <x:v>2</x:v>
      </x:c>
      <x:c r="T470" t="str">
        <x:f t="shared" si="54"/>
        <x:v>DerivedFromCount</x:v>
      </x:c>
      <x:c r="U470" t="str">
        <x:f>IF(COUNTIF(DailyProduction!$Q$5:$Q$100,B470)=1,"OK","CHECK")</x:f>
        <x:v>OK</x:v>
      </x:c>
      <x:c r="V470" t="str">
        <x:f t="shared" si="55"/>
        <x:v>OK</x:v>
      </x:c>
      <x:c r="W470" t="str">
        <x:f>IF(SUMIF($B$5:$B$914,B470,$S$5:$S$914)=SUMIF(DailyProduction!$Q$5:$Q$100,B470,DailyProduction!$R$5:$R$100),"OK","CHECK")</x:f>
        <x:v>OK</x:v>
      </x:c>
      <x:c r="X470" t="str">
        <x:v>PLC-PRD-JAR-720-L23</x:v>
      </x:c>
      <x:c r="Y470" t="str">
        <x:v>OK</x:v>
      </x:c>
      <x:c r="Z470" t="str">
        <x:v>OK</x:v>
      </x:c>
      <x:c r="AA470" t="n">
        <x:v>3</x:v>
      </x:c>
      <x:c r="AB470" t="n">
        <x:v>2</x:v>
      </x:c>
      <x:c r="AC470" t="str">
        <x:v>OK</x:v>
      </x:c>
      <x:c r="AD470" t="str">
        <x:v>OK</x:v>
      </x:c>
      <x:c r="AE470" t="str">
        <x:v>LOAD</x:v>
      </x:c>
      <x:c r="AF470" t="str">
        <x:v>02_Supervisor_Log(4).xlsx</x:v>
      </x:c>
      <x:c r="AG470" t="str">
        <x:v>ENH-20260830-01</x:v>
      </x:c>
      <x:c r="AH470" t="str">
        <x:v>Active</x:v>
      </x:c>
      <x:c r="AI470"/>
      <x:c r="AJ470"/>
      <x:c r="AK470"/>
      <x:c r="AL470"/>
    </x:row>
    <x:row r="471">
      <x:c r="A471" t="s">
        <x:v>699</x:v>
      </x:c>
      <x:c r="B471" t="s">
        <x:v>688</x:v>
      </x:c>
      <x:c r="C471" t="s">
        <x:v>44</x:v>
      </x:c>
      <x:c r="D471">
        <x:v>45953</x:v>
      </x:c>
      <x:c r="E471" t="s">
        <x:v>187</x:v>
      </x:c>
      <x:c r="F471" t="s">
        <x:v>46</x:v>
      </x:c>
      <x:c r="G471">
        <x:v>23</x:v>
      </x:c>
      <x:c r="H471" t="s">
        <x:v>65</x:v>
      </x:c>
      <x:c r="I471">
        <x:v>12</x:v>
      </x:c>
      <x:c r="J471">
        <x:v>12</x:v>
      </x:c>
      <x:c r="K471">
        <x:v>2</x:v>
      </x:c>
      <x:c r="L471">
        <x:f t="shared" si="49"/>
        <x:v>1</x:v>
      </x:c>
      <x:c r="P471">
        <x:f t="shared" si="50"/>
        <x:v>1</x:v>
      </x:c>
      <x:c r="Q471">
        <x:f t="shared" si="51"/>
        <x:v>1</x:v>
      </x:c>
      <x:c r="R471">
        <x:f t="shared" si="52"/>
        <x:v>0</x:v>
      </x:c>
      <x:c r="S471">
        <x:f t="shared" si="53"/>
        <x:v>2</x:v>
      </x:c>
      <x:c r="T471" t="str">
        <x:f t="shared" si="54"/>
        <x:v>DerivedFromCount</x:v>
      </x:c>
      <x:c r="U471" t="str">
        <x:f>IF(COUNTIF(DailyProduction!$Q$5:$Q$100,B471)=1,"OK","CHECK")</x:f>
        <x:v>OK</x:v>
      </x:c>
      <x:c r="V471" t="str">
        <x:f t="shared" si="55"/>
        <x:v>OK</x:v>
      </x:c>
      <x:c r="W471" t="str">
        <x:f>IF(SUMIF($B$5:$B$914,B471,$S$5:$S$914)=SUMIF(DailyProduction!$Q$5:$Q$100,B471,DailyProduction!$R$5:$R$100),"OK","CHECK")</x:f>
        <x:v>OK</x:v>
      </x:c>
      <x:c r="X471" t="str">
        <x:v>PLC-PRD-JAR-720-L23</x:v>
      </x:c>
      <x:c r="Y471" t="str">
        <x:v>OK</x:v>
      </x:c>
      <x:c r="Z471" t="str">
        <x:v>OK</x:v>
      </x:c>
      <x:c r="AA471" t="n">
        <x:v>3</x:v>
      </x:c>
      <x:c r="AB471" t="n">
        <x:v>2</x:v>
      </x:c>
      <x:c r="AC471" t="str">
        <x:v>OK</x:v>
      </x:c>
      <x:c r="AD471" t="str">
        <x:v>OK</x:v>
      </x:c>
      <x:c r="AE471" t="str">
        <x:v>LOAD</x:v>
      </x:c>
      <x:c r="AF471" t="str">
        <x:v>02_Supervisor_Log(4).xlsx</x:v>
      </x:c>
      <x:c r="AG471" t="str">
        <x:v>ENH-20260830-01</x:v>
      </x:c>
      <x:c r="AH471" t="str">
        <x:v>Active</x:v>
      </x:c>
      <x:c r="AI471"/>
      <x:c r="AJ471"/>
      <x:c r="AK471"/>
      <x:c r="AL471"/>
    </x:row>
    <x:row r="472">
      <x:c r="A472" t="s">
        <x:v>700</x:v>
      </x:c>
      <x:c r="B472" t="s">
        <x:v>688</x:v>
      </x:c>
      <x:c r="C472" t="s">
        <x:v>44</x:v>
      </x:c>
      <x:c r="D472">
        <x:v>45953</x:v>
      </x:c>
      <x:c r="E472" t="s">
        <x:v>187</x:v>
      </x:c>
      <x:c r="F472" t="s">
        <x:v>46</x:v>
      </x:c>
      <x:c r="G472">
        <x:v>23</x:v>
      </x:c>
      <x:c r="H472" t="s">
        <x:v>65</x:v>
      </x:c>
      <x:c r="I472">
        <x:v>13</x:v>
      </x:c>
      <x:c r="J472">
        <x:v>12</x:v>
      </x:c>
      <x:c r="K472">
        <x:v>2</x:v>
      </x:c>
      <x:c r="L472">
        <x:f t="shared" si="49"/>
        <x:v>0</x:v>
      </x:c>
      <x:c r="P472">
        <x:f t="shared" si="50"/>
        <x:v>0</x:v>
      </x:c>
      <x:c r="Q472">
        <x:f t="shared" si="51"/>
        <x:v>0</x:v>
      </x:c>
      <x:c r="R472">
        <x:f t="shared" si="52"/>
        <x:v>0</x:v>
      </x:c>
      <x:c r="S472">
        <x:f t="shared" si="53"/>
        <x:v>0</x:v>
      </x:c>
      <x:c r="T472" t="str">
        <x:f t="shared" si="54"/>
        <x:v>DerivedFromCount</x:v>
      </x:c>
      <x:c r="U472" t="str">
        <x:f>IF(COUNTIF(DailyProduction!$Q$5:$Q$100,B472)=1,"OK","CHECK")</x:f>
        <x:v>OK</x:v>
      </x:c>
      <x:c r="V472" t="str">
        <x:f t="shared" si="55"/>
        <x:v>OK</x:v>
      </x:c>
      <x:c r="W472" t="str">
        <x:f>IF(SUMIF($B$5:$B$914,B472,$S$5:$S$914)=SUMIF(DailyProduction!$Q$5:$Q$100,B472,DailyProduction!$R$5:$R$100),"OK","CHECK")</x:f>
        <x:v>OK</x:v>
      </x:c>
      <x:c r="X472" t="str">
        <x:v>PLC-PRD-JAR-720-L23</x:v>
      </x:c>
      <x:c r="Y472" t="str">
        <x:v>OK</x:v>
      </x:c>
      <x:c r="Z472" t="str">
        <x:v>OK</x:v>
      </x:c>
      <x:c r="AA472" t="n">
        <x:v>3</x:v>
      </x:c>
      <x:c r="AB472" t="n">
        <x:v>0</x:v>
      </x:c>
      <x:c r="AC472" t="str">
        <x:v>OK</x:v>
      </x:c>
      <x:c r="AD472" t="str">
        <x:v>OK</x:v>
      </x:c>
      <x:c r="AE472" t="str">
        <x:v>LOAD</x:v>
      </x:c>
      <x:c r="AF472" t="str">
        <x:v>02_Supervisor_Log(4).xlsx</x:v>
      </x:c>
      <x:c r="AG472" t="str">
        <x:v>ENH-20260830-01</x:v>
      </x:c>
      <x:c r="AH472" t="str">
        <x:v>Active</x:v>
      </x:c>
      <x:c r="AI472"/>
      <x:c r="AJ472"/>
      <x:c r="AK472"/>
      <x:c r="AL472"/>
    </x:row>
    <x:row r="473">
      <x:c r="A473" t="s">
        <x:v>701</x:v>
      </x:c>
      <x:c r="B473" t="s">
        <x:v>702</x:v>
      </x:c>
      <x:c r="C473" t="s">
        <x:v>44</x:v>
      </x:c>
      <x:c r="D473">
        <x:v>45954</x:v>
      </x:c>
      <x:c r="E473" t="s">
        <x:v>45</x:v>
      </x:c>
      <x:c r="F473" t="s">
        <x:v>46</x:v>
      </x:c>
      <x:c r="G473">
        <x:v>23</x:v>
      </x:c>
      <x:c r="H473" t="s">
        <x:v>65</x:v>
      </x:c>
      <x:c r="I473">
        <x:v>1</x:v>
      </x:c>
      <x:c r="J473">
        <x:v>12</x:v>
      </x:c>
      <x:c r="K473">
        <x:v>2</x:v>
      </x:c>
      <x:c r="L473">
        <x:f t="shared" si="49"/>
        <x:v>1</x:v>
      </x:c>
      <x:c r="P473">
        <x:f t="shared" si="50"/>
        <x:v>1</x:v>
      </x:c>
      <x:c r="Q473">
        <x:f t="shared" si="51"/>
        <x:v>1</x:v>
      </x:c>
      <x:c r="R473">
        <x:f t="shared" si="52"/>
        <x:v>0</x:v>
      </x:c>
      <x:c r="S473">
        <x:f t="shared" si="53"/>
        <x:v>2</x:v>
      </x:c>
      <x:c r="T473" t="str">
        <x:f t="shared" si="54"/>
        <x:v>DerivedFromCount</x:v>
      </x:c>
      <x:c r="U473" t="str">
        <x:f>IF(COUNTIF(DailyProduction!$Q$5:$Q$100,B473)=1,"OK","CHECK")</x:f>
        <x:v>OK</x:v>
      </x:c>
      <x:c r="V473" t="str">
        <x:f t="shared" si="55"/>
        <x:v>OK</x:v>
      </x:c>
      <x:c r="W473" t="str">
        <x:f>IF(SUMIF($B$5:$B$914,B473,$S$5:$S$914)=SUMIF(DailyProduction!$Q$5:$Q$100,B473,DailyProduction!$R$5:$R$100),"OK","CHECK")</x:f>
        <x:v>OK</x:v>
      </x:c>
      <x:c r="X473" t="str">
        <x:v>PLC-PRD-JAR-720-L23</x:v>
      </x:c>
      <x:c r="Y473" t="str">
        <x:v>OK</x:v>
      </x:c>
      <x:c r="Z473" t="str">
        <x:v>OK</x:v>
      </x:c>
      <x:c r="AA473" t="n">
        <x:v>3</x:v>
      </x:c>
      <x:c r="AB473" t="n">
        <x:v>2</x:v>
      </x:c>
      <x:c r="AC473" t="str">
        <x:v>OK</x:v>
      </x:c>
      <x:c r="AD473" t="str">
        <x:v>OK</x:v>
      </x:c>
      <x:c r="AE473" t="str">
        <x:v>LOAD</x:v>
      </x:c>
      <x:c r="AF473" t="str">
        <x:v>02_Supervisor_Log(4).xlsx</x:v>
      </x:c>
      <x:c r="AG473" t="str">
        <x:v>ENH-20260830-01</x:v>
      </x:c>
      <x:c r="AH473" t="str">
        <x:v>Active</x:v>
      </x:c>
      <x:c r="AI473"/>
      <x:c r="AJ473"/>
      <x:c r="AK473"/>
      <x:c r="AL473"/>
    </x:row>
    <x:row r="474">
      <x:c r="A474" t="s">
        <x:v>703</x:v>
      </x:c>
      <x:c r="B474" t="s">
        <x:v>702</x:v>
      </x:c>
      <x:c r="C474" t="s">
        <x:v>44</x:v>
      </x:c>
      <x:c r="D474">
        <x:v>45954</x:v>
      </x:c>
      <x:c r="E474" t="s">
        <x:v>45</x:v>
      </x:c>
      <x:c r="F474" t="s">
        <x:v>46</x:v>
      </x:c>
      <x:c r="G474">
        <x:v>23</x:v>
      </x:c>
      <x:c r="H474" t="s">
        <x:v>65</x:v>
      </x:c>
      <x:c r="I474">
        <x:v>2</x:v>
      </x:c>
      <x:c r="J474">
        <x:v>12</x:v>
      </x:c>
      <x:c r="K474">
        <x:v>2</x:v>
      </x:c>
      <x:c r="L474">
        <x:f t="shared" si="49"/>
        <x:v>1</x:v>
      </x:c>
      <x:c r="P474">
        <x:f t="shared" si="50"/>
        <x:v>1</x:v>
      </x:c>
      <x:c r="Q474">
        <x:f t="shared" si="51"/>
        <x:v>1</x:v>
      </x:c>
      <x:c r="R474">
        <x:f t="shared" si="52"/>
        <x:v>0</x:v>
      </x:c>
      <x:c r="S474">
        <x:f t="shared" si="53"/>
        <x:v>2</x:v>
      </x:c>
      <x:c r="T474" t="str">
        <x:f t="shared" si="54"/>
        <x:v>DerivedFromCount</x:v>
      </x:c>
      <x:c r="U474" t="str">
        <x:f>IF(COUNTIF(DailyProduction!$Q$5:$Q$100,B474)=1,"OK","CHECK")</x:f>
        <x:v>OK</x:v>
      </x:c>
      <x:c r="V474" t="str">
        <x:f t="shared" si="55"/>
        <x:v>OK</x:v>
      </x:c>
      <x:c r="W474" t="str">
        <x:f>IF(SUMIF($B$5:$B$914,B474,$S$5:$S$914)=SUMIF(DailyProduction!$Q$5:$Q$100,B474,DailyProduction!$R$5:$R$100),"OK","CHECK")</x:f>
        <x:v>OK</x:v>
      </x:c>
      <x:c r="X474" t="str">
        <x:v>PLC-PRD-JAR-720-L23</x:v>
      </x:c>
      <x:c r="Y474" t="str">
        <x:v>OK</x:v>
      </x:c>
      <x:c r="Z474" t="str">
        <x:v>OK</x:v>
      </x:c>
      <x:c r="AA474" t="n">
        <x:v>3</x:v>
      </x:c>
      <x:c r="AB474" t="n">
        <x:v>2</x:v>
      </x:c>
      <x:c r="AC474" t="str">
        <x:v>OK</x:v>
      </x:c>
      <x:c r="AD474" t="str">
        <x:v>OK</x:v>
      </x:c>
      <x:c r="AE474" t="str">
        <x:v>LOAD</x:v>
      </x:c>
      <x:c r="AF474" t="str">
        <x:v>02_Supervisor_Log(4).xlsx</x:v>
      </x:c>
      <x:c r="AG474" t="str">
        <x:v>ENH-20260830-01</x:v>
      </x:c>
      <x:c r="AH474" t="str">
        <x:v>Active</x:v>
      </x:c>
      <x:c r="AI474"/>
      <x:c r="AJ474"/>
      <x:c r="AK474"/>
      <x:c r="AL474"/>
    </x:row>
    <x:row r="475">
      <x:c r="A475" t="s">
        <x:v>704</x:v>
      </x:c>
      <x:c r="B475" t="s">
        <x:v>702</x:v>
      </x:c>
      <x:c r="C475" t="s">
        <x:v>44</x:v>
      </x:c>
      <x:c r="D475">
        <x:v>45954</x:v>
      </x:c>
      <x:c r="E475" t="s">
        <x:v>45</x:v>
      </x:c>
      <x:c r="F475" t="s">
        <x:v>46</x:v>
      </x:c>
      <x:c r="G475">
        <x:v>23</x:v>
      </x:c>
      <x:c r="H475" t="s">
        <x:v>65</x:v>
      </x:c>
      <x:c r="I475">
        <x:v>3</x:v>
      </x:c>
      <x:c r="J475">
        <x:v>12</x:v>
      </x:c>
      <x:c r="K475">
        <x:v>2</x:v>
      </x:c>
      <x:c r="L475">
        <x:f t="shared" si="49"/>
        <x:v>1</x:v>
      </x:c>
      <x:c r="P475">
        <x:f t="shared" si="50"/>
        <x:v>1</x:v>
      </x:c>
      <x:c r="Q475">
        <x:f t="shared" si="51"/>
        <x:v>1</x:v>
      </x:c>
      <x:c r="R475">
        <x:f t="shared" si="52"/>
        <x:v>0</x:v>
      </x:c>
      <x:c r="S475">
        <x:f t="shared" si="53"/>
        <x:v>2</x:v>
      </x:c>
      <x:c r="T475" t="str">
        <x:f t="shared" si="54"/>
        <x:v>DerivedFromCount</x:v>
      </x:c>
      <x:c r="U475" t="str">
        <x:f>IF(COUNTIF(DailyProduction!$Q$5:$Q$100,B475)=1,"OK","CHECK")</x:f>
        <x:v>OK</x:v>
      </x:c>
      <x:c r="V475" t="str">
        <x:f t="shared" si="55"/>
        <x:v>OK</x:v>
      </x:c>
      <x:c r="W475" t="str">
        <x:f>IF(SUMIF($B$5:$B$914,B475,$S$5:$S$914)=SUMIF(DailyProduction!$Q$5:$Q$100,B475,DailyProduction!$R$5:$R$100),"OK","CHECK")</x:f>
        <x:v>OK</x:v>
      </x:c>
      <x:c r="X475" t="str">
        <x:v>PLC-PRD-JAR-720-L23</x:v>
      </x:c>
      <x:c r="Y475" t="str">
        <x:v>OK</x:v>
      </x:c>
      <x:c r="Z475" t="str">
        <x:v>OK</x:v>
      </x:c>
      <x:c r="AA475" t="n">
        <x:v>3</x:v>
      </x:c>
      <x:c r="AB475" t="n">
        <x:v>2</x:v>
      </x:c>
      <x:c r="AC475" t="str">
        <x:v>OK</x:v>
      </x:c>
      <x:c r="AD475" t="str">
        <x:v>OK</x:v>
      </x:c>
      <x:c r="AE475" t="str">
        <x:v>LOAD</x:v>
      </x:c>
      <x:c r="AF475" t="str">
        <x:v>02_Supervisor_Log(4).xlsx</x:v>
      </x:c>
      <x:c r="AG475" t="str">
        <x:v>ENH-20260830-01</x:v>
      </x:c>
      <x:c r="AH475" t="str">
        <x:v>Active</x:v>
      </x:c>
      <x:c r="AI475"/>
      <x:c r="AJ475"/>
      <x:c r="AK475"/>
      <x:c r="AL475"/>
    </x:row>
    <x:row r="476">
      <x:c r="A476" t="s">
        <x:v>705</x:v>
      </x:c>
      <x:c r="B476" t="s">
        <x:v>702</x:v>
      </x:c>
      <x:c r="C476" t="s">
        <x:v>44</x:v>
      </x:c>
      <x:c r="D476">
        <x:v>45954</x:v>
      </x:c>
      <x:c r="E476" t="s">
        <x:v>45</x:v>
      </x:c>
      <x:c r="F476" t="s">
        <x:v>46</x:v>
      </x:c>
      <x:c r="G476">
        <x:v>23</x:v>
      </x:c>
      <x:c r="H476" t="s">
        <x:v>65</x:v>
      </x:c>
      <x:c r="I476">
        <x:v>4</x:v>
      </x:c>
      <x:c r="J476">
        <x:v>12</x:v>
      </x:c>
      <x:c r="K476">
        <x:v>2</x:v>
      </x:c>
      <x:c r="L476">
        <x:f t="shared" si="49"/>
        <x:v>1</x:v>
      </x:c>
      <x:c r="P476">
        <x:f t="shared" si="50"/>
        <x:v>1</x:v>
      </x:c>
      <x:c r="Q476">
        <x:f t="shared" si="51"/>
        <x:v>1</x:v>
      </x:c>
      <x:c r="R476">
        <x:f t="shared" si="52"/>
        <x:v>0</x:v>
      </x:c>
      <x:c r="S476">
        <x:f t="shared" si="53"/>
        <x:v>2</x:v>
      </x:c>
      <x:c r="T476" t="str">
        <x:f t="shared" si="54"/>
        <x:v>DerivedFromCount</x:v>
      </x:c>
      <x:c r="U476" t="str">
        <x:f>IF(COUNTIF(DailyProduction!$Q$5:$Q$100,B476)=1,"OK","CHECK")</x:f>
        <x:v>OK</x:v>
      </x:c>
      <x:c r="V476" t="str">
        <x:f t="shared" si="55"/>
        <x:v>OK</x:v>
      </x:c>
      <x:c r="W476" t="str">
        <x:f>IF(SUMIF($B$5:$B$914,B476,$S$5:$S$914)=SUMIF(DailyProduction!$Q$5:$Q$100,B476,DailyProduction!$R$5:$R$100),"OK","CHECK")</x:f>
        <x:v>OK</x:v>
      </x:c>
      <x:c r="X476" t="str">
        <x:v>PLC-PRD-JAR-720-L23</x:v>
      </x:c>
      <x:c r="Y476" t="str">
        <x:v>OK</x:v>
      </x:c>
      <x:c r="Z476" t="str">
        <x:v>OK</x:v>
      </x:c>
      <x:c r="AA476" t="n">
        <x:v>3</x:v>
      </x:c>
      <x:c r="AB476" t="n">
        <x:v>2</x:v>
      </x:c>
      <x:c r="AC476" t="str">
        <x:v>OK</x:v>
      </x:c>
      <x:c r="AD476" t="str">
        <x:v>OK</x:v>
      </x:c>
      <x:c r="AE476" t="str">
        <x:v>LOAD</x:v>
      </x:c>
      <x:c r="AF476" t="str">
        <x:v>02_Supervisor_Log(4).xlsx</x:v>
      </x:c>
      <x:c r="AG476" t="str">
        <x:v>ENH-20260830-01</x:v>
      </x:c>
      <x:c r="AH476" t="str">
        <x:v>Active</x:v>
      </x:c>
      <x:c r="AI476"/>
      <x:c r="AJ476"/>
      <x:c r="AK476"/>
      <x:c r="AL476"/>
    </x:row>
    <x:row r="477">
      <x:c r="A477" t="s">
        <x:v>706</x:v>
      </x:c>
      <x:c r="B477" t="s">
        <x:v>702</x:v>
      </x:c>
      <x:c r="C477" t="s">
        <x:v>44</x:v>
      </x:c>
      <x:c r="D477">
        <x:v>45954</x:v>
      </x:c>
      <x:c r="E477" t="s">
        <x:v>45</x:v>
      </x:c>
      <x:c r="F477" t="s">
        <x:v>46</x:v>
      </x:c>
      <x:c r="G477">
        <x:v>23</x:v>
      </x:c>
      <x:c r="H477" t="s">
        <x:v>65</x:v>
      </x:c>
      <x:c r="I477">
        <x:v>5</x:v>
      </x:c>
      <x:c r="J477">
        <x:v>12</x:v>
      </x:c>
      <x:c r="K477">
        <x:v>2</x:v>
      </x:c>
      <x:c r="L477">
        <x:f t="shared" si="49"/>
        <x:v>1</x:v>
      </x:c>
      <x:c r="P477">
        <x:f t="shared" si="50"/>
        <x:v>1</x:v>
      </x:c>
      <x:c r="Q477">
        <x:f t="shared" si="51"/>
        <x:v>1</x:v>
      </x:c>
      <x:c r="R477">
        <x:f t="shared" si="52"/>
        <x:v>0</x:v>
      </x:c>
      <x:c r="S477">
        <x:f t="shared" si="53"/>
        <x:v>2</x:v>
      </x:c>
      <x:c r="T477" t="str">
        <x:f t="shared" si="54"/>
        <x:v>DerivedFromCount</x:v>
      </x:c>
      <x:c r="U477" t="str">
        <x:f>IF(COUNTIF(DailyProduction!$Q$5:$Q$100,B477)=1,"OK","CHECK")</x:f>
        <x:v>OK</x:v>
      </x:c>
      <x:c r="V477" t="str">
        <x:f t="shared" si="55"/>
        <x:v>OK</x:v>
      </x:c>
      <x:c r="W477" t="str">
        <x:f>IF(SUMIF($B$5:$B$914,B477,$S$5:$S$914)=SUMIF(DailyProduction!$Q$5:$Q$100,B477,DailyProduction!$R$5:$R$100),"OK","CHECK")</x:f>
        <x:v>OK</x:v>
      </x:c>
      <x:c r="X477" t="str">
        <x:v>PLC-PRD-JAR-720-L23</x:v>
      </x:c>
      <x:c r="Y477" t="str">
        <x:v>OK</x:v>
      </x:c>
      <x:c r="Z477" t="str">
        <x:v>OK</x:v>
      </x:c>
      <x:c r="AA477" t="n">
        <x:v>3</x:v>
      </x:c>
      <x:c r="AB477" t="n">
        <x:v>2</x:v>
      </x:c>
      <x:c r="AC477" t="str">
        <x:v>OK</x:v>
      </x:c>
      <x:c r="AD477" t="str">
        <x:v>OK</x:v>
      </x:c>
      <x:c r="AE477" t="str">
        <x:v>LOAD</x:v>
      </x:c>
      <x:c r="AF477" t="str">
        <x:v>02_Supervisor_Log(4).xlsx</x:v>
      </x:c>
      <x:c r="AG477" t="str">
        <x:v>ENH-20260830-01</x:v>
      </x:c>
      <x:c r="AH477" t="str">
        <x:v>Active</x:v>
      </x:c>
      <x:c r="AI477"/>
      <x:c r="AJ477"/>
      <x:c r="AK477"/>
      <x:c r="AL477"/>
    </x:row>
    <x:row r="478">
      <x:c r="A478" t="s">
        <x:v>707</x:v>
      </x:c>
      <x:c r="B478" t="s">
        <x:v>702</x:v>
      </x:c>
      <x:c r="C478" t="s">
        <x:v>44</x:v>
      </x:c>
      <x:c r="D478">
        <x:v>45954</x:v>
      </x:c>
      <x:c r="E478" t="s">
        <x:v>45</x:v>
      </x:c>
      <x:c r="F478" t="s">
        <x:v>46</x:v>
      </x:c>
      <x:c r="G478">
        <x:v>23</x:v>
      </x:c>
      <x:c r="H478" t="s">
        <x:v>65</x:v>
      </x:c>
      <x:c r="I478">
        <x:v>6</x:v>
      </x:c>
      <x:c r="J478">
        <x:v>12</x:v>
      </x:c>
      <x:c r="K478">
        <x:v>2</x:v>
      </x:c>
      <x:c r="L478">
        <x:f t="shared" si="49"/>
        <x:v>1</x:v>
      </x:c>
      <x:c r="P478">
        <x:f t="shared" si="50"/>
        <x:v>1</x:v>
      </x:c>
      <x:c r="Q478">
        <x:f t="shared" si="51"/>
        <x:v>1</x:v>
      </x:c>
      <x:c r="R478">
        <x:f t="shared" si="52"/>
        <x:v>0</x:v>
      </x:c>
      <x:c r="S478">
        <x:f t="shared" si="53"/>
        <x:v>2</x:v>
      </x:c>
      <x:c r="T478" t="str">
        <x:f t="shared" si="54"/>
        <x:v>DerivedFromCount</x:v>
      </x:c>
      <x:c r="U478" t="str">
        <x:f>IF(COUNTIF(DailyProduction!$Q$5:$Q$100,B478)=1,"OK","CHECK")</x:f>
        <x:v>OK</x:v>
      </x:c>
      <x:c r="V478" t="str">
        <x:f t="shared" si="55"/>
        <x:v>OK</x:v>
      </x:c>
      <x:c r="W478" t="str">
        <x:f>IF(SUMIF($B$5:$B$914,B478,$S$5:$S$914)=SUMIF(DailyProduction!$Q$5:$Q$100,B478,DailyProduction!$R$5:$R$100),"OK","CHECK")</x:f>
        <x:v>OK</x:v>
      </x:c>
      <x:c r="X478" t="str">
        <x:v>PLC-PRD-JAR-720-L23</x:v>
      </x:c>
      <x:c r="Y478" t="str">
        <x:v>OK</x:v>
      </x:c>
      <x:c r="Z478" t="str">
        <x:v>OK</x:v>
      </x:c>
      <x:c r="AA478" t="n">
        <x:v>3</x:v>
      </x:c>
      <x:c r="AB478" t="n">
        <x:v>2</x:v>
      </x:c>
      <x:c r="AC478" t="str">
        <x:v>OK</x:v>
      </x:c>
      <x:c r="AD478" t="str">
        <x:v>OK</x:v>
      </x:c>
      <x:c r="AE478" t="str">
        <x:v>LOAD</x:v>
      </x:c>
      <x:c r="AF478" t="str">
        <x:v>02_Supervisor_Log(4).xlsx</x:v>
      </x:c>
      <x:c r="AG478" t="str">
        <x:v>ENH-20260830-01</x:v>
      </x:c>
      <x:c r="AH478" t="str">
        <x:v>Active</x:v>
      </x:c>
      <x:c r="AI478"/>
      <x:c r="AJ478"/>
      <x:c r="AK478"/>
      <x:c r="AL478"/>
    </x:row>
    <x:row r="479">
      <x:c r="A479" t="s">
        <x:v>708</x:v>
      </x:c>
      <x:c r="B479" t="s">
        <x:v>702</x:v>
      </x:c>
      <x:c r="C479" t="s">
        <x:v>44</x:v>
      </x:c>
      <x:c r="D479">
        <x:v>45954</x:v>
      </x:c>
      <x:c r="E479" t="s">
        <x:v>45</x:v>
      </x:c>
      <x:c r="F479" t="s">
        <x:v>46</x:v>
      </x:c>
      <x:c r="G479">
        <x:v>23</x:v>
      </x:c>
      <x:c r="H479" t="s">
        <x:v>65</x:v>
      </x:c>
      <x:c r="I479">
        <x:v>7</x:v>
      </x:c>
      <x:c r="J479">
        <x:v>12</x:v>
      </x:c>
      <x:c r="K479">
        <x:v>2</x:v>
      </x:c>
      <x:c r="L479">
        <x:f t="shared" si="49"/>
        <x:v>1</x:v>
      </x:c>
      <x:c r="P479">
        <x:f t="shared" si="50"/>
        <x:v>1</x:v>
      </x:c>
      <x:c r="Q479">
        <x:f t="shared" si="51"/>
        <x:v>1</x:v>
      </x:c>
      <x:c r="R479">
        <x:f t="shared" si="52"/>
        <x:v>0</x:v>
      </x:c>
      <x:c r="S479">
        <x:f t="shared" si="53"/>
        <x:v>2</x:v>
      </x:c>
      <x:c r="T479" t="str">
        <x:f t="shared" si="54"/>
        <x:v>DerivedFromCount</x:v>
      </x:c>
      <x:c r="U479" t="str">
        <x:f>IF(COUNTIF(DailyProduction!$Q$5:$Q$100,B479)=1,"OK","CHECK")</x:f>
        <x:v>OK</x:v>
      </x:c>
      <x:c r="V479" t="str">
        <x:f t="shared" si="55"/>
        <x:v>OK</x:v>
      </x:c>
      <x:c r="W479" t="str">
        <x:f>IF(SUMIF($B$5:$B$914,B479,$S$5:$S$914)=SUMIF(DailyProduction!$Q$5:$Q$100,B479,DailyProduction!$R$5:$R$100),"OK","CHECK")</x:f>
        <x:v>OK</x:v>
      </x:c>
      <x:c r="X479" t="str">
        <x:v>PLC-PRD-JAR-720-L23</x:v>
      </x:c>
      <x:c r="Y479" t="str">
        <x:v>OK</x:v>
      </x:c>
      <x:c r="Z479" t="str">
        <x:v>OK</x:v>
      </x:c>
      <x:c r="AA479" t="n">
        <x:v>3</x:v>
      </x:c>
      <x:c r="AB479" t="n">
        <x:v>2</x:v>
      </x:c>
      <x:c r="AC479" t="str">
        <x:v>OK</x:v>
      </x:c>
      <x:c r="AD479" t="str">
        <x:v>OK</x:v>
      </x:c>
      <x:c r="AE479" t="str">
        <x:v>LOAD</x:v>
      </x:c>
      <x:c r="AF479" t="str">
        <x:v>02_Supervisor_Log(4).xlsx</x:v>
      </x:c>
      <x:c r="AG479" t="str">
        <x:v>ENH-20260830-01</x:v>
      </x:c>
      <x:c r="AH479" t="str">
        <x:v>Active</x:v>
      </x:c>
      <x:c r="AI479"/>
      <x:c r="AJ479"/>
      <x:c r="AK479"/>
      <x:c r="AL479"/>
    </x:row>
    <x:row r="480">
      <x:c r="A480" t="s">
        <x:v>709</x:v>
      </x:c>
      <x:c r="B480" t="s">
        <x:v>702</x:v>
      </x:c>
      <x:c r="C480" t="s">
        <x:v>44</x:v>
      </x:c>
      <x:c r="D480">
        <x:v>45954</x:v>
      </x:c>
      <x:c r="E480" t="s">
        <x:v>45</x:v>
      </x:c>
      <x:c r="F480" t="s">
        <x:v>46</x:v>
      </x:c>
      <x:c r="G480">
        <x:v>23</x:v>
      </x:c>
      <x:c r="H480" t="s">
        <x:v>65</x:v>
      </x:c>
      <x:c r="I480">
        <x:v>8</x:v>
      </x:c>
      <x:c r="J480">
        <x:v>12</x:v>
      </x:c>
      <x:c r="K480">
        <x:v>2</x:v>
      </x:c>
      <x:c r="L480">
        <x:f t="shared" si="49"/>
        <x:v>1</x:v>
      </x:c>
      <x:c r="P480">
        <x:f t="shared" si="50"/>
        <x:v>1</x:v>
      </x:c>
      <x:c r="Q480">
        <x:f t="shared" si="51"/>
        <x:v>1</x:v>
      </x:c>
      <x:c r="R480">
        <x:f t="shared" si="52"/>
        <x:v>0</x:v>
      </x:c>
      <x:c r="S480">
        <x:f t="shared" si="53"/>
        <x:v>2</x:v>
      </x:c>
      <x:c r="T480" t="str">
        <x:f t="shared" si="54"/>
        <x:v>DerivedFromCount</x:v>
      </x:c>
      <x:c r="U480" t="str">
        <x:f>IF(COUNTIF(DailyProduction!$Q$5:$Q$100,B480)=1,"OK","CHECK")</x:f>
        <x:v>OK</x:v>
      </x:c>
      <x:c r="V480" t="str">
        <x:f t="shared" si="55"/>
        <x:v>OK</x:v>
      </x:c>
      <x:c r="W480" t="str">
        <x:f>IF(SUMIF($B$5:$B$914,B480,$S$5:$S$914)=SUMIF(DailyProduction!$Q$5:$Q$100,B480,DailyProduction!$R$5:$R$100),"OK","CHECK")</x:f>
        <x:v>OK</x:v>
      </x:c>
      <x:c r="X480" t="str">
        <x:v>PLC-PRD-JAR-720-L23</x:v>
      </x:c>
      <x:c r="Y480" t="str">
        <x:v>OK</x:v>
      </x:c>
      <x:c r="Z480" t="str">
        <x:v>OK</x:v>
      </x:c>
      <x:c r="AA480" t="n">
        <x:v>3</x:v>
      </x:c>
      <x:c r="AB480" t="n">
        <x:v>2</x:v>
      </x:c>
      <x:c r="AC480" t="str">
        <x:v>OK</x:v>
      </x:c>
      <x:c r="AD480" t="str">
        <x:v>OK</x:v>
      </x:c>
      <x:c r="AE480" t="str">
        <x:v>LOAD</x:v>
      </x:c>
      <x:c r="AF480" t="str">
        <x:v>02_Supervisor_Log(4).xlsx</x:v>
      </x:c>
      <x:c r="AG480" t="str">
        <x:v>ENH-20260830-01</x:v>
      </x:c>
      <x:c r="AH480" t="str">
        <x:v>Active</x:v>
      </x:c>
      <x:c r="AI480"/>
      <x:c r="AJ480"/>
      <x:c r="AK480"/>
      <x:c r="AL480"/>
    </x:row>
    <x:row r="481">
      <x:c r="A481" t="s">
        <x:v>710</x:v>
      </x:c>
      <x:c r="B481" t="s">
        <x:v>702</x:v>
      </x:c>
      <x:c r="C481" t="s">
        <x:v>44</x:v>
      </x:c>
      <x:c r="D481">
        <x:v>45954</x:v>
      </x:c>
      <x:c r="E481" t="s">
        <x:v>45</x:v>
      </x:c>
      <x:c r="F481" t="s">
        <x:v>46</x:v>
      </x:c>
      <x:c r="G481">
        <x:v>23</x:v>
      </x:c>
      <x:c r="H481" t="s">
        <x:v>65</x:v>
      </x:c>
      <x:c r="I481">
        <x:v>9</x:v>
      </x:c>
      <x:c r="J481">
        <x:v>12</x:v>
      </x:c>
      <x:c r="K481">
        <x:v>2</x:v>
      </x:c>
      <x:c r="L481">
        <x:f t="shared" si="49"/>
        <x:v>1</x:v>
      </x:c>
      <x:c r="P481">
        <x:f t="shared" si="50"/>
        <x:v>1</x:v>
      </x:c>
      <x:c r="Q481">
        <x:f t="shared" si="51"/>
        <x:v>1</x:v>
      </x:c>
      <x:c r="R481">
        <x:f t="shared" si="52"/>
        <x:v>0</x:v>
      </x:c>
      <x:c r="S481">
        <x:f t="shared" si="53"/>
        <x:v>2</x:v>
      </x:c>
      <x:c r="T481" t="str">
        <x:f t="shared" si="54"/>
        <x:v>DerivedFromCount</x:v>
      </x:c>
      <x:c r="U481" t="str">
        <x:f>IF(COUNTIF(DailyProduction!$Q$5:$Q$100,B481)=1,"OK","CHECK")</x:f>
        <x:v>OK</x:v>
      </x:c>
      <x:c r="V481" t="str">
        <x:f t="shared" si="55"/>
        <x:v>OK</x:v>
      </x:c>
      <x:c r="W481" t="str">
        <x:f>IF(SUMIF($B$5:$B$914,B481,$S$5:$S$914)=SUMIF(DailyProduction!$Q$5:$Q$100,B481,DailyProduction!$R$5:$R$100),"OK","CHECK")</x:f>
        <x:v>OK</x:v>
      </x:c>
      <x:c r="X481" t="str">
        <x:v>PLC-PRD-JAR-720-L23</x:v>
      </x:c>
      <x:c r="Y481" t="str">
        <x:v>OK</x:v>
      </x:c>
      <x:c r="Z481" t="str">
        <x:v>OK</x:v>
      </x:c>
      <x:c r="AA481" t="n">
        <x:v>3</x:v>
      </x:c>
      <x:c r="AB481" t="n">
        <x:v>2</x:v>
      </x:c>
      <x:c r="AC481" t="str">
        <x:v>OK</x:v>
      </x:c>
      <x:c r="AD481" t="str">
        <x:v>OK</x:v>
      </x:c>
      <x:c r="AE481" t="str">
        <x:v>LOAD</x:v>
      </x:c>
      <x:c r="AF481" t="str">
        <x:v>02_Supervisor_Log(4).xlsx</x:v>
      </x:c>
      <x:c r="AG481" t="str">
        <x:v>ENH-20260830-01</x:v>
      </x:c>
      <x:c r="AH481" t="str">
        <x:v>Active</x:v>
      </x:c>
      <x:c r="AI481"/>
      <x:c r="AJ481"/>
      <x:c r="AK481"/>
      <x:c r="AL481"/>
    </x:row>
    <x:row r="482">
      <x:c r="A482" t="s">
        <x:v>711</x:v>
      </x:c>
      <x:c r="B482" t="s">
        <x:v>702</x:v>
      </x:c>
      <x:c r="C482" t="s">
        <x:v>44</x:v>
      </x:c>
      <x:c r="D482">
        <x:v>45954</x:v>
      </x:c>
      <x:c r="E482" t="s">
        <x:v>45</x:v>
      </x:c>
      <x:c r="F482" t="s">
        <x:v>46</x:v>
      </x:c>
      <x:c r="G482">
        <x:v>23</x:v>
      </x:c>
      <x:c r="H482" t="s">
        <x:v>65</x:v>
      </x:c>
      <x:c r="I482">
        <x:v>10</x:v>
      </x:c>
      <x:c r="J482">
        <x:v>12</x:v>
      </x:c>
      <x:c r="K482">
        <x:v>2</x:v>
      </x:c>
      <x:c r="L482">
        <x:f t="shared" si="49"/>
        <x:v>1</x:v>
      </x:c>
      <x:c r="P482">
        <x:f t="shared" si="50"/>
        <x:v>1</x:v>
      </x:c>
      <x:c r="Q482">
        <x:f t="shared" si="51"/>
        <x:v>1</x:v>
      </x:c>
      <x:c r="R482">
        <x:f t="shared" si="52"/>
        <x:v>0</x:v>
      </x:c>
      <x:c r="S482">
        <x:f t="shared" si="53"/>
        <x:v>2</x:v>
      </x:c>
      <x:c r="T482" t="str">
        <x:f t="shared" si="54"/>
        <x:v>DerivedFromCount</x:v>
      </x:c>
      <x:c r="U482" t="str">
        <x:f>IF(COUNTIF(DailyProduction!$Q$5:$Q$100,B482)=1,"OK","CHECK")</x:f>
        <x:v>OK</x:v>
      </x:c>
      <x:c r="V482" t="str">
        <x:f t="shared" si="55"/>
        <x:v>OK</x:v>
      </x:c>
      <x:c r="W482" t="str">
        <x:f>IF(SUMIF($B$5:$B$914,B482,$S$5:$S$914)=SUMIF(DailyProduction!$Q$5:$Q$100,B482,DailyProduction!$R$5:$R$100),"OK","CHECK")</x:f>
        <x:v>OK</x:v>
      </x:c>
      <x:c r="X482" t="str">
        <x:v>PLC-PRD-JAR-720-L23</x:v>
      </x:c>
      <x:c r="Y482" t="str">
        <x:v>OK</x:v>
      </x:c>
      <x:c r="Z482" t="str">
        <x:v>OK</x:v>
      </x:c>
      <x:c r="AA482" t="n">
        <x:v>3</x:v>
      </x:c>
      <x:c r="AB482" t="n">
        <x:v>2</x:v>
      </x:c>
      <x:c r="AC482" t="str">
        <x:v>OK</x:v>
      </x:c>
      <x:c r="AD482" t="str">
        <x:v>OK</x:v>
      </x:c>
      <x:c r="AE482" t="str">
        <x:v>LOAD</x:v>
      </x:c>
      <x:c r="AF482" t="str">
        <x:v>02_Supervisor_Log(4).xlsx</x:v>
      </x:c>
      <x:c r="AG482" t="str">
        <x:v>ENH-20260830-01</x:v>
      </x:c>
      <x:c r="AH482" t="str">
        <x:v>Active</x:v>
      </x:c>
      <x:c r="AI482"/>
      <x:c r="AJ482"/>
      <x:c r="AK482"/>
      <x:c r="AL482"/>
    </x:row>
    <x:row r="483">
      <x:c r="A483" t="s">
        <x:v>712</x:v>
      </x:c>
      <x:c r="B483" t="s">
        <x:v>702</x:v>
      </x:c>
      <x:c r="C483" t="s">
        <x:v>44</x:v>
      </x:c>
      <x:c r="D483">
        <x:v>45954</x:v>
      </x:c>
      <x:c r="E483" t="s">
        <x:v>45</x:v>
      </x:c>
      <x:c r="F483" t="s">
        <x:v>46</x:v>
      </x:c>
      <x:c r="G483">
        <x:v>23</x:v>
      </x:c>
      <x:c r="H483" t="s">
        <x:v>65</x:v>
      </x:c>
      <x:c r="I483">
        <x:v>11</x:v>
      </x:c>
      <x:c r="J483">
        <x:v>12</x:v>
      </x:c>
      <x:c r="K483">
        <x:v>2</x:v>
      </x:c>
      <x:c r="L483">
        <x:f t="shared" si="49"/>
        <x:v>1</x:v>
      </x:c>
      <x:c r="P483">
        <x:f t="shared" si="50"/>
        <x:v>1</x:v>
      </x:c>
      <x:c r="Q483">
        <x:f t="shared" si="51"/>
        <x:v>1</x:v>
      </x:c>
      <x:c r="R483">
        <x:f t="shared" si="52"/>
        <x:v>0</x:v>
      </x:c>
      <x:c r="S483">
        <x:f t="shared" si="53"/>
        <x:v>2</x:v>
      </x:c>
      <x:c r="T483" t="str">
        <x:f t="shared" si="54"/>
        <x:v>DerivedFromCount</x:v>
      </x:c>
      <x:c r="U483" t="str">
        <x:f>IF(COUNTIF(DailyProduction!$Q$5:$Q$100,B483)=1,"OK","CHECK")</x:f>
        <x:v>OK</x:v>
      </x:c>
      <x:c r="V483" t="str">
        <x:f t="shared" si="55"/>
        <x:v>OK</x:v>
      </x:c>
      <x:c r="W483" t="str">
        <x:f>IF(SUMIF($B$5:$B$914,B483,$S$5:$S$914)=SUMIF(DailyProduction!$Q$5:$Q$100,B483,DailyProduction!$R$5:$R$100),"OK","CHECK")</x:f>
        <x:v>OK</x:v>
      </x:c>
      <x:c r="X483" t="str">
        <x:v>PLC-PRD-JAR-720-L23</x:v>
      </x:c>
      <x:c r="Y483" t="str">
        <x:v>OK</x:v>
      </x:c>
      <x:c r="Z483" t="str">
        <x:v>OK</x:v>
      </x:c>
      <x:c r="AA483" t="n">
        <x:v>3</x:v>
      </x:c>
      <x:c r="AB483" t="n">
        <x:v>2</x:v>
      </x:c>
      <x:c r="AC483" t="str">
        <x:v>OK</x:v>
      </x:c>
      <x:c r="AD483" t="str">
        <x:v>OK</x:v>
      </x:c>
      <x:c r="AE483" t="str">
        <x:v>LOAD</x:v>
      </x:c>
      <x:c r="AF483" t="str">
        <x:v>02_Supervisor_Log(4).xlsx</x:v>
      </x:c>
      <x:c r="AG483" t="str">
        <x:v>ENH-20260830-01</x:v>
      </x:c>
      <x:c r="AH483" t="str">
        <x:v>Active</x:v>
      </x:c>
      <x:c r="AI483"/>
      <x:c r="AJ483"/>
      <x:c r="AK483"/>
      <x:c r="AL483"/>
    </x:row>
    <x:row r="484">
      <x:c r="A484" t="s">
        <x:v>713</x:v>
      </x:c>
      <x:c r="B484" t="s">
        <x:v>702</x:v>
      </x:c>
      <x:c r="C484" t="s">
        <x:v>44</x:v>
      </x:c>
      <x:c r="D484">
        <x:v>45954</x:v>
      </x:c>
      <x:c r="E484" t="s">
        <x:v>45</x:v>
      </x:c>
      <x:c r="F484" t="s">
        <x:v>46</x:v>
      </x:c>
      <x:c r="G484">
        <x:v>23</x:v>
      </x:c>
      <x:c r="H484" t="s">
        <x:v>65</x:v>
      </x:c>
      <x:c r="I484">
        <x:v>12</x:v>
      </x:c>
      <x:c r="J484">
        <x:v>12</x:v>
      </x:c>
      <x:c r="K484">
        <x:v>2</x:v>
      </x:c>
      <x:c r="L484">
        <x:f t="shared" si="49"/>
        <x:v>1</x:v>
      </x:c>
      <x:c r="P484">
        <x:f t="shared" si="50"/>
        <x:v>1</x:v>
      </x:c>
      <x:c r="Q484">
        <x:f t="shared" si="51"/>
        <x:v>1</x:v>
      </x:c>
      <x:c r="R484">
        <x:f t="shared" si="52"/>
        <x:v>0</x:v>
      </x:c>
      <x:c r="S484">
        <x:f t="shared" si="53"/>
        <x:v>2</x:v>
      </x:c>
      <x:c r="T484" t="str">
        <x:f t="shared" si="54"/>
        <x:v>DerivedFromCount</x:v>
      </x:c>
      <x:c r="U484" t="str">
        <x:f>IF(COUNTIF(DailyProduction!$Q$5:$Q$100,B484)=1,"OK","CHECK")</x:f>
        <x:v>OK</x:v>
      </x:c>
      <x:c r="V484" t="str">
        <x:f t="shared" si="55"/>
        <x:v>OK</x:v>
      </x:c>
      <x:c r="W484" t="str">
        <x:f>IF(SUMIF($B$5:$B$914,B484,$S$5:$S$914)=SUMIF(DailyProduction!$Q$5:$Q$100,B484,DailyProduction!$R$5:$R$100),"OK","CHECK")</x:f>
        <x:v>OK</x:v>
      </x:c>
      <x:c r="X484" t="str">
        <x:v>PLC-PRD-JAR-720-L23</x:v>
      </x:c>
      <x:c r="Y484" t="str">
        <x:v>OK</x:v>
      </x:c>
      <x:c r="Z484" t="str">
        <x:v>OK</x:v>
      </x:c>
      <x:c r="AA484" t="n">
        <x:v>3</x:v>
      </x:c>
      <x:c r="AB484" t="n">
        <x:v>2</x:v>
      </x:c>
      <x:c r="AC484" t="str">
        <x:v>OK</x:v>
      </x:c>
      <x:c r="AD484" t="str">
        <x:v>OK</x:v>
      </x:c>
      <x:c r="AE484" t="str">
        <x:v>LOAD</x:v>
      </x:c>
      <x:c r="AF484" t="str">
        <x:v>02_Supervisor_Log(4).xlsx</x:v>
      </x:c>
      <x:c r="AG484" t="str">
        <x:v>ENH-20260830-01</x:v>
      </x:c>
      <x:c r="AH484" t="str">
        <x:v>Active</x:v>
      </x:c>
      <x:c r="AI484"/>
      <x:c r="AJ484"/>
      <x:c r="AK484"/>
      <x:c r="AL484"/>
    </x:row>
    <x:row r="485">
      <x:c r="A485" t="s">
        <x:v>714</x:v>
      </x:c>
      <x:c r="B485" t="s">
        <x:v>702</x:v>
      </x:c>
      <x:c r="C485" t="s">
        <x:v>44</x:v>
      </x:c>
      <x:c r="D485">
        <x:v>45954</x:v>
      </x:c>
      <x:c r="E485" t="s">
        <x:v>45</x:v>
      </x:c>
      <x:c r="F485" t="s">
        <x:v>46</x:v>
      </x:c>
      <x:c r="G485">
        <x:v>23</x:v>
      </x:c>
      <x:c r="H485" t="s">
        <x:v>65</x:v>
      </x:c>
      <x:c r="I485">
        <x:v>13</x:v>
      </x:c>
      <x:c r="J485">
        <x:v>12</x:v>
      </x:c>
      <x:c r="K485">
        <x:v>2</x:v>
      </x:c>
      <x:c r="L485">
        <x:f t="shared" si="49"/>
        <x:v>0</x:v>
      </x:c>
      <x:c r="P485">
        <x:f t="shared" si="50"/>
        <x:v>0</x:v>
      </x:c>
      <x:c r="Q485">
        <x:f t="shared" si="51"/>
        <x:v>0</x:v>
      </x:c>
      <x:c r="R485">
        <x:f t="shared" si="52"/>
        <x:v>0</x:v>
      </x:c>
      <x:c r="S485">
        <x:f t="shared" si="53"/>
        <x:v>0</x:v>
      </x:c>
      <x:c r="T485" t="str">
        <x:f t="shared" si="54"/>
        <x:v>DerivedFromCount</x:v>
      </x:c>
      <x:c r="U485" t="str">
        <x:f>IF(COUNTIF(DailyProduction!$Q$5:$Q$100,B485)=1,"OK","CHECK")</x:f>
        <x:v>OK</x:v>
      </x:c>
      <x:c r="V485" t="str">
        <x:f t="shared" si="55"/>
        <x:v>OK</x:v>
      </x:c>
      <x:c r="W485" t="str">
        <x:f>IF(SUMIF($B$5:$B$914,B485,$S$5:$S$914)=SUMIF(DailyProduction!$Q$5:$Q$100,B485,DailyProduction!$R$5:$R$100),"OK","CHECK")</x:f>
        <x:v>OK</x:v>
      </x:c>
      <x:c r="X485" t="str">
        <x:v>PLC-PRD-JAR-720-L23</x:v>
      </x:c>
      <x:c r="Y485" t="str">
        <x:v>OK</x:v>
      </x:c>
      <x:c r="Z485" t="str">
        <x:v>OK</x:v>
      </x:c>
      <x:c r="AA485" t="n">
        <x:v>3</x:v>
      </x:c>
      <x:c r="AB485" t="n">
        <x:v>0</x:v>
      </x:c>
      <x:c r="AC485" t="str">
        <x:v>OK</x:v>
      </x:c>
      <x:c r="AD485" t="str">
        <x:v>OK</x:v>
      </x:c>
      <x:c r="AE485" t="str">
        <x:v>LOAD</x:v>
      </x:c>
      <x:c r="AF485" t="str">
        <x:v>02_Supervisor_Log(4).xlsx</x:v>
      </x:c>
      <x:c r="AG485" t="str">
        <x:v>ENH-20260830-01</x:v>
      </x:c>
      <x:c r="AH485" t="str">
        <x:v>Active</x:v>
      </x:c>
      <x:c r="AI485"/>
      <x:c r="AJ485"/>
      <x:c r="AK485"/>
      <x:c r="AL485"/>
    </x:row>
    <x:row r="486">
      <x:c r="A486" t="s">
        <x:v>715</x:v>
      </x:c>
      <x:c r="B486" t="s">
        <x:v>716</x:v>
      </x:c>
      <x:c r="C486" t="s">
        <x:v>44</x:v>
      </x:c>
      <x:c r="D486">
        <x:v>45954</x:v>
      </x:c>
      <x:c r="E486" t="s">
        <x:v>187</x:v>
      </x:c>
      <x:c r="F486" t="s">
        <x:v>51</x:v>
      </x:c>
      <x:c r="G486">
        <x:v>23</x:v>
      </x:c>
      <x:c r="H486" t="s">
        <x:v>65</x:v>
      </x:c>
      <x:c r="I486">
        <x:v>1</x:v>
      </x:c>
      <x:c r="J486">
        <x:v>12</x:v>
      </x:c>
      <x:c r="K486">
        <x:v>2</x:v>
      </x:c>
      <x:c r="L486">
        <x:f t="shared" si="49"/>
        <x:v>1</x:v>
      </x:c>
      <x:c r="P486">
        <x:f t="shared" si="50"/>
        <x:v>1</x:v>
      </x:c>
      <x:c r="Q486">
        <x:f t="shared" si="51"/>
        <x:v>1</x:v>
      </x:c>
      <x:c r="R486">
        <x:f t="shared" si="52"/>
        <x:v>0</x:v>
      </x:c>
      <x:c r="S486">
        <x:f t="shared" si="53"/>
        <x:v>2</x:v>
      </x:c>
      <x:c r="T486" t="str">
        <x:f t="shared" si="54"/>
        <x:v>DerivedFromCount</x:v>
      </x:c>
      <x:c r="U486" t="str">
        <x:f>IF(COUNTIF(DailyProduction!$Q$5:$Q$100,B486)=1,"OK","CHECK")</x:f>
        <x:v>OK</x:v>
      </x:c>
      <x:c r="V486" t="str">
        <x:f t="shared" si="55"/>
        <x:v>OK</x:v>
      </x:c>
      <x:c r="W486" t="str">
        <x:f>IF(SUMIF($B$5:$B$914,B486,$S$5:$S$914)=SUMIF(DailyProduction!$Q$5:$Q$100,B486,DailyProduction!$R$5:$R$100),"OK","CHECK")</x:f>
        <x:v>OK</x:v>
      </x:c>
      <x:c r="X486" t="str">
        <x:v>PLC-PRD-JAR-720-L23</x:v>
      </x:c>
      <x:c r="Y486" t="str">
        <x:v>OK</x:v>
      </x:c>
      <x:c r="Z486" t="str">
        <x:v>OK</x:v>
      </x:c>
      <x:c r="AA486" t="n">
        <x:v>3</x:v>
      </x:c>
      <x:c r="AB486" t="n">
        <x:v>2</x:v>
      </x:c>
      <x:c r="AC486" t="str">
        <x:v>OK</x:v>
      </x:c>
      <x:c r="AD486" t="str">
        <x:v>OK</x:v>
      </x:c>
      <x:c r="AE486" t="str">
        <x:v>LOAD</x:v>
      </x:c>
      <x:c r="AF486" t="str">
        <x:v>02_Supervisor_Log(4).xlsx</x:v>
      </x:c>
      <x:c r="AG486" t="str">
        <x:v>ENH-20260830-01</x:v>
      </x:c>
      <x:c r="AH486" t="str">
        <x:v>Active</x:v>
      </x:c>
      <x:c r="AI486"/>
      <x:c r="AJ486"/>
      <x:c r="AK486"/>
      <x:c r="AL486"/>
    </x:row>
    <x:row r="487">
      <x:c r="A487" t="s">
        <x:v>717</x:v>
      </x:c>
      <x:c r="B487" t="s">
        <x:v>716</x:v>
      </x:c>
      <x:c r="C487" t="s">
        <x:v>44</x:v>
      </x:c>
      <x:c r="D487">
        <x:v>45954</x:v>
      </x:c>
      <x:c r="E487" t="s">
        <x:v>187</x:v>
      </x:c>
      <x:c r="F487" t="s">
        <x:v>51</x:v>
      </x:c>
      <x:c r="G487">
        <x:v>23</x:v>
      </x:c>
      <x:c r="H487" t="s">
        <x:v>65</x:v>
      </x:c>
      <x:c r="I487">
        <x:v>2</x:v>
      </x:c>
      <x:c r="J487">
        <x:v>12</x:v>
      </x:c>
      <x:c r="K487">
        <x:v>2</x:v>
      </x:c>
      <x:c r="L487">
        <x:f t="shared" si="49"/>
        <x:v>1</x:v>
      </x:c>
      <x:c r="P487">
        <x:f t="shared" si="50"/>
        <x:v>1</x:v>
      </x:c>
      <x:c r="Q487">
        <x:f t="shared" si="51"/>
        <x:v>1</x:v>
      </x:c>
      <x:c r="R487">
        <x:f t="shared" si="52"/>
        <x:v>0</x:v>
      </x:c>
      <x:c r="S487">
        <x:f t="shared" si="53"/>
        <x:v>2</x:v>
      </x:c>
      <x:c r="T487" t="str">
        <x:f t="shared" si="54"/>
        <x:v>DerivedFromCount</x:v>
      </x:c>
      <x:c r="U487" t="str">
        <x:f>IF(COUNTIF(DailyProduction!$Q$5:$Q$100,B487)=1,"OK","CHECK")</x:f>
        <x:v>OK</x:v>
      </x:c>
      <x:c r="V487" t="str">
        <x:f t="shared" si="55"/>
        <x:v>OK</x:v>
      </x:c>
      <x:c r="W487" t="str">
        <x:f>IF(SUMIF($B$5:$B$914,B487,$S$5:$S$914)=SUMIF(DailyProduction!$Q$5:$Q$100,B487,DailyProduction!$R$5:$R$100),"OK","CHECK")</x:f>
        <x:v>OK</x:v>
      </x:c>
      <x:c r="X487" t="str">
        <x:v>PLC-PRD-JAR-720-L23</x:v>
      </x:c>
      <x:c r="Y487" t="str">
        <x:v>OK</x:v>
      </x:c>
      <x:c r="Z487" t="str">
        <x:v>OK</x:v>
      </x:c>
      <x:c r="AA487" t="n">
        <x:v>3</x:v>
      </x:c>
      <x:c r="AB487" t="n">
        <x:v>2</x:v>
      </x:c>
      <x:c r="AC487" t="str">
        <x:v>OK</x:v>
      </x:c>
      <x:c r="AD487" t="str">
        <x:v>OK</x:v>
      </x:c>
      <x:c r="AE487" t="str">
        <x:v>LOAD</x:v>
      </x:c>
      <x:c r="AF487" t="str">
        <x:v>02_Supervisor_Log(4).xlsx</x:v>
      </x:c>
      <x:c r="AG487" t="str">
        <x:v>ENH-20260830-01</x:v>
      </x:c>
      <x:c r="AH487" t="str">
        <x:v>Active</x:v>
      </x:c>
      <x:c r="AI487"/>
      <x:c r="AJ487"/>
      <x:c r="AK487"/>
      <x:c r="AL487"/>
    </x:row>
    <x:row r="488">
      <x:c r="A488" t="s">
        <x:v>718</x:v>
      </x:c>
      <x:c r="B488" t="s">
        <x:v>716</x:v>
      </x:c>
      <x:c r="C488" t="s">
        <x:v>44</x:v>
      </x:c>
      <x:c r="D488">
        <x:v>45954</x:v>
      </x:c>
      <x:c r="E488" t="s">
        <x:v>187</x:v>
      </x:c>
      <x:c r="F488" t="s">
        <x:v>51</x:v>
      </x:c>
      <x:c r="G488">
        <x:v>23</x:v>
      </x:c>
      <x:c r="H488" t="s">
        <x:v>65</x:v>
      </x:c>
      <x:c r="I488">
        <x:v>3</x:v>
      </x:c>
      <x:c r="J488">
        <x:v>12</x:v>
      </x:c>
      <x:c r="K488">
        <x:v>2</x:v>
      </x:c>
      <x:c r="L488">
        <x:f t="shared" si="49"/>
        <x:v>1</x:v>
      </x:c>
      <x:c r="P488">
        <x:f t="shared" si="50"/>
        <x:v>1</x:v>
      </x:c>
      <x:c r="Q488">
        <x:f t="shared" si="51"/>
        <x:v>1</x:v>
      </x:c>
      <x:c r="R488">
        <x:f t="shared" si="52"/>
        <x:v>0</x:v>
      </x:c>
      <x:c r="S488">
        <x:f t="shared" si="53"/>
        <x:v>2</x:v>
      </x:c>
      <x:c r="T488" t="str">
        <x:f t="shared" si="54"/>
        <x:v>DerivedFromCount</x:v>
      </x:c>
      <x:c r="U488" t="str">
        <x:f>IF(COUNTIF(DailyProduction!$Q$5:$Q$100,B488)=1,"OK","CHECK")</x:f>
        <x:v>OK</x:v>
      </x:c>
      <x:c r="V488" t="str">
        <x:f t="shared" si="55"/>
        <x:v>OK</x:v>
      </x:c>
      <x:c r="W488" t="str">
        <x:f>IF(SUMIF($B$5:$B$914,B488,$S$5:$S$914)=SUMIF(DailyProduction!$Q$5:$Q$100,B488,DailyProduction!$R$5:$R$100),"OK","CHECK")</x:f>
        <x:v>OK</x:v>
      </x:c>
      <x:c r="X488" t="str">
        <x:v>PLC-PRD-JAR-720-L23</x:v>
      </x:c>
      <x:c r="Y488" t="str">
        <x:v>OK</x:v>
      </x:c>
      <x:c r="Z488" t="str">
        <x:v>OK</x:v>
      </x:c>
      <x:c r="AA488" t="n">
        <x:v>3</x:v>
      </x:c>
      <x:c r="AB488" t="n">
        <x:v>2</x:v>
      </x:c>
      <x:c r="AC488" t="str">
        <x:v>OK</x:v>
      </x:c>
      <x:c r="AD488" t="str">
        <x:v>OK</x:v>
      </x:c>
      <x:c r="AE488" t="str">
        <x:v>LOAD</x:v>
      </x:c>
      <x:c r="AF488" t="str">
        <x:v>02_Supervisor_Log(4).xlsx</x:v>
      </x:c>
      <x:c r="AG488" t="str">
        <x:v>ENH-20260830-01</x:v>
      </x:c>
      <x:c r="AH488" t="str">
        <x:v>Active</x:v>
      </x:c>
      <x:c r="AI488"/>
      <x:c r="AJ488"/>
      <x:c r="AK488"/>
      <x:c r="AL488"/>
    </x:row>
    <x:row r="489">
      <x:c r="A489" t="s">
        <x:v>719</x:v>
      </x:c>
      <x:c r="B489" t="s">
        <x:v>716</x:v>
      </x:c>
      <x:c r="C489" t="s">
        <x:v>44</x:v>
      </x:c>
      <x:c r="D489">
        <x:v>45954</x:v>
      </x:c>
      <x:c r="E489" t="s">
        <x:v>187</x:v>
      </x:c>
      <x:c r="F489" t="s">
        <x:v>51</x:v>
      </x:c>
      <x:c r="G489">
        <x:v>23</x:v>
      </x:c>
      <x:c r="H489" t="s">
        <x:v>65</x:v>
      </x:c>
      <x:c r="I489">
        <x:v>4</x:v>
      </x:c>
      <x:c r="J489">
        <x:v>12</x:v>
      </x:c>
      <x:c r="K489">
        <x:v>2</x:v>
      </x:c>
      <x:c r="L489">
        <x:f t="shared" si="49"/>
        <x:v>1</x:v>
      </x:c>
      <x:c r="P489">
        <x:f t="shared" si="50"/>
        <x:v>1</x:v>
      </x:c>
      <x:c r="Q489">
        <x:f t="shared" si="51"/>
        <x:v>1</x:v>
      </x:c>
      <x:c r="R489">
        <x:f t="shared" si="52"/>
        <x:v>0</x:v>
      </x:c>
      <x:c r="S489">
        <x:f t="shared" si="53"/>
        <x:v>2</x:v>
      </x:c>
      <x:c r="T489" t="str">
        <x:f t="shared" si="54"/>
        <x:v>DerivedFromCount</x:v>
      </x:c>
      <x:c r="U489" t="str">
        <x:f>IF(COUNTIF(DailyProduction!$Q$5:$Q$100,B489)=1,"OK","CHECK")</x:f>
        <x:v>OK</x:v>
      </x:c>
      <x:c r="V489" t="str">
        <x:f t="shared" si="55"/>
        <x:v>OK</x:v>
      </x:c>
      <x:c r="W489" t="str">
        <x:f>IF(SUMIF($B$5:$B$914,B489,$S$5:$S$914)=SUMIF(DailyProduction!$Q$5:$Q$100,B489,DailyProduction!$R$5:$R$100),"OK","CHECK")</x:f>
        <x:v>OK</x:v>
      </x:c>
      <x:c r="X489" t="str">
        <x:v>PLC-PRD-JAR-720-L23</x:v>
      </x:c>
      <x:c r="Y489" t="str">
        <x:v>OK</x:v>
      </x:c>
      <x:c r="Z489" t="str">
        <x:v>OK</x:v>
      </x:c>
      <x:c r="AA489" t="n">
        <x:v>3</x:v>
      </x:c>
      <x:c r="AB489" t="n">
        <x:v>2</x:v>
      </x:c>
      <x:c r="AC489" t="str">
        <x:v>OK</x:v>
      </x:c>
      <x:c r="AD489" t="str">
        <x:v>OK</x:v>
      </x:c>
      <x:c r="AE489" t="str">
        <x:v>LOAD</x:v>
      </x:c>
      <x:c r="AF489" t="str">
        <x:v>02_Supervisor_Log(4).xlsx</x:v>
      </x:c>
      <x:c r="AG489" t="str">
        <x:v>ENH-20260830-01</x:v>
      </x:c>
      <x:c r="AH489" t="str">
        <x:v>Active</x:v>
      </x:c>
      <x:c r="AI489"/>
      <x:c r="AJ489"/>
      <x:c r="AK489"/>
      <x:c r="AL489"/>
    </x:row>
    <x:row r="490">
      <x:c r="A490" t="s">
        <x:v>720</x:v>
      </x:c>
      <x:c r="B490" t="s">
        <x:v>716</x:v>
      </x:c>
      <x:c r="C490" t="s">
        <x:v>44</x:v>
      </x:c>
      <x:c r="D490">
        <x:v>45954</x:v>
      </x:c>
      <x:c r="E490" t="s">
        <x:v>187</x:v>
      </x:c>
      <x:c r="F490" t="s">
        <x:v>51</x:v>
      </x:c>
      <x:c r="G490">
        <x:v>23</x:v>
      </x:c>
      <x:c r="H490" t="s">
        <x:v>65</x:v>
      </x:c>
      <x:c r="I490">
        <x:v>5</x:v>
      </x:c>
      <x:c r="J490">
        <x:v>12</x:v>
      </x:c>
      <x:c r="K490">
        <x:v>2</x:v>
      </x:c>
      <x:c r="L490">
        <x:f t="shared" si="49"/>
        <x:v>1</x:v>
      </x:c>
      <x:c r="P490">
        <x:f t="shared" si="50"/>
        <x:v>1</x:v>
      </x:c>
      <x:c r="Q490">
        <x:f t="shared" si="51"/>
        <x:v>1</x:v>
      </x:c>
      <x:c r="R490">
        <x:f t="shared" si="52"/>
        <x:v>0</x:v>
      </x:c>
      <x:c r="S490">
        <x:f t="shared" si="53"/>
        <x:v>2</x:v>
      </x:c>
      <x:c r="T490" t="str">
        <x:f t="shared" si="54"/>
        <x:v>DerivedFromCount</x:v>
      </x:c>
      <x:c r="U490" t="str">
        <x:f>IF(COUNTIF(DailyProduction!$Q$5:$Q$100,B490)=1,"OK","CHECK")</x:f>
        <x:v>OK</x:v>
      </x:c>
      <x:c r="V490" t="str">
        <x:f t="shared" si="55"/>
        <x:v>OK</x:v>
      </x:c>
      <x:c r="W490" t="str">
        <x:f>IF(SUMIF($B$5:$B$914,B490,$S$5:$S$914)=SUMIF(DailyProduction!$Q$5:$Q$100,B490,DailyProduction!$R$5:$R$100),"OK","CHECK")</x:f>
        <x:v>OK</x:v>
      </x:c>
      <x:c r="X490" t="str">
        <x:v>PLC-PRD-JAR-720-L23</x:v>
      </x:c>
      <x:c r="Y490" t="str">
        <x:v>OK</x:v>
      </x:c>
      <x:c r="Z490" t="str">
        <x:v>OK</x:v>
      </x:c>
      <x:c r="AA490" t="n">
        <x:v>3</x:v>
      </x:c>
      <x:c r="AB490" t="n">
        <x:v>2</x:v>
      </x:c>
      <x:c r="AC490" t="str">
        <x:v>OK</x:v>
      </x:c>
      <x:c r="AD490" t="str">
        <x:v>OK</x:v>
      </x:c>
      <x:c r="AE490" t="str">
        <x:v>LOAD</x:v>
      </x:c>
      <x:c r="AF490" t="str">
        <x:v>02_Supervisor_Log(4).xlsx</x:v>
      </x:c>
      <x:c r="AG490" t="str">
        <x:v>ENH-20260830-01</x:v>
      </x:c>
      <x:c r="AH490" t="str">
        <x:v>Active</x:v>
      </x:c>
      <x:c r="AI490"/>
      <x:c r="AJ490"/>
      <x:c r="AK490"/>
      <x:c r="AL490"/>
    </x:row>
    <x:row r="491">
      <x:c r="A491" t="s">
        <x:v>721</x:v>
      </x:c>
      <x:c r="B491" t="s">
        <x:v>716</x:v>
      </x:c>
      <x:c r="C491" t="s">
        <x:v>44</x:v>
      </x:c>
      <x:c r="D491">
        <x:v>45954</x:v>
      </x:c>
      <x:c r="E491" t="s">
        <x:v>187</x:v>
      </x:c>
      <x:c r="F491" t="s">
        <x:v>51</x:v>
      </x:c>
      <x:c r="G491">
        <x:v>23</x:v>
      </x:c>
      <x:c r="H491" t="s">
        <x:v>65</x:v>
      </x:c>
      <x:c r="I491">
        <x:v>6</x:v>
      </x:c>
      <x:c r="J491">
        <x:v>12</x:v>
      </x:c>
      <x:c r="K491">
        <x:v>2</x:v>
      </x:c>
      <x:c r="L491">
        <x:f t="shared" si="49"/>
        <x:v>1</x:v>
      </x:c>
      <x:c r="P491">
        <x:f t="shared" si="50"/>
        <x:v>1</x:v>
      </x:c>
      <x:c r="Q491">
        <x:f t="shared" si="51"/>
        <x:v>1</x:v>
      </x:c>
      <x:c r="R491">
        <x:f t="shared" si="52"/>
        <x:v>0</x:v>
      </x:c>
      <x:c r="S491">
        <x:f t="shared" si="53"/>
        <x:v>2</x:v>
      </x:c>
      <x:c r="T491" t="str">
        <x:f t="shared" si="54"/>
        <x:v>DerivedFromCount</x:v>
      </x:c>
      <x:c r="U491" t="str">
        <x:f>IF(COUNTIF(DailyProduction!$Q$5:$Q$100,B491)=1,"OK","CHECK")</x:f>
        <x:v>OK</x:v>
      </x:c>
      <x:c r="V491" t="str">
        <x:f t="shared" si="55"/>
        <x:v>OK</x:v>
      </x:c>
      <x:c r="W491" t="str">
        <x:f>IF(SUMIF($B$5:$B$914,B491,$S$5:$S$914)=SUMIF(DailyProduction!$Q$5:$Q$100,B491,DailyProduction!$R$5:$R$100),"OK","CHECK")</x:f>
        <x:v>OK</x:v>
      </x:c>
      <x:c r="X491" t="str">
        <x:v>PLC-PRD-JAR-720-L23</x:v>
      </x:c>
      <x:c r="Y491" t="str">
        <x:v>OK</x:v>
      </x:c>
      <x:c r="Z491" t="str">
        <x:v>OK</x:v>
      </x:c>
      <x:c r="AA491" t="n">
        <x:v>3</x:v>
      </x:c>
      <x:c r="AB491" t="n">
        <x:v>2</x:v>
      </x:c>
      <x:c r="AC491" t="str">
        <x:v>OK</x:v>
      </x:c>
      <x:c r="AD491" t="str">
        <x:v>OK</x:v>
      </x:c>
      <x:c r="AE491" t="str">
        <x:v>LOAD</x:v>
      </x:c>
      <x:c r="AF491" t="str">
        <x:v>02_Supervisor_Log(4).xlsx</x:v>
      </x:c>
      <x:c r="AG491" t="str">
        <x:v>ENH-20260830-01</x:v>
      </x:c>
      <x:c r="AH491" t="str">
        <x:v>Active</x:v>
      </x:c>
      <x:c r="AI491"/>
      <x:c r="AJ491"/>
      <x:c r="AK491"/>
      <x:c r="AL491"/>
    </x:row>
    <x:row r="492">
      <x:c r="A492" t="s">
        <x:v>722</x:v>
      </x:c>
      <x:c r="B492" t="s">
        <x:v>716</x:v>
      </x:c>
      <x:c r="C492" t="s">
        <x:v>44</x:v>
      </x:c>
      <x:c r="D492">
        <x:v>45954</x:v>
      </x:c>
      <x:c r="E492" t="s">
        <x:v>187</x:v>
      </x:c>
      <x:c r="F492" t="s">
        <x:v>51</x:v>
      </x:c>
      <x:c r="G492">
        <x:v>23</x:v>
      </x:c>
      <x:c r="H492" t="s">
        <x:v>65</x:v>
      </x:c>
      <x:c r="I492">
        <x:v>7</x:v>
      </x:c>
      <x:c r="J492">
        <x:v>12</x:v>
      </x:c>
      <x:c r="K492">
        <x:v>2</x:v>
      </x:c>
      <x:c r="L492">
        <x:f t="shared" si="49"/>
        <x:v>1</x:v>
      </x:c>
      <x:c r="P492">
        <x:f t="shared" si="50"/>
        <x:v>1</x:v>
      </x:c>
      <x:c r="Q492">
        <x:f t="shared" si="51"/>
        <x:v>1</x:v>
      </x:c>
      <x:c r="R492">
        <x:f t="shared" si="52"/>
        <x:v>0</x:v>
      </x:c>
      <x:c r="S492">
        <x:f t="shared" si="53"/>
        <x:v>2</x:v>
      </x:c>
      <x:c r="T492" t="str">
        <x:f t="shared" si="54"/>
        <x:v>DerivedFromCount</x:v>
      </x:c>
      <x:c r="U492" t="str">
        <x:f>IF(COUNTIF(DailyProduction!$Q$5:$Q$100,B492)=1,"OK","CHECK")</x:f>
        <x:v>OK</x:v>
      </x:c>
      <x:c r="V492" t="str">
        <x:f t="shared" si="55"/>
        <x:v>OK</x:v>
      </x:c>
      <x:c r="W492" t="str">
        <x:f>IF(SUMIF($B$5:$B$914,B492,$S$5:$S$914)=SUMIF(DailyProduction!$Q$5:$Q$100,B492,DailyProduction!$R$5:$R$100),"OK","CHECK")</x:f>
        <x:v>OK</x:v>
      </x:c>
      <x:c r="X492" t="str">
        <x:v>PLC-PRD-JAR-720-L23</x:v>
      </x:c>
      <x:c r="Y492" t="str">
        <x:v>OK</x:v>
      </x:c>
      <x:c r="Z492" t="str">
        <x:v>OK</x:v>
      </x:c>
      <x:c r="AA492" t="n">
        <x:v>3</x:v>
      </x:c>
      <x:c r="AB492" t="n">
        <x:v>2</x:v>
      </x:c>
      <x:c r="AC492" t="str">
        <x:v>OK</x:v>
      </x:c>
      <x:c r="AD492" t="str">
        <x:v>OK</x:v>
      </x:c>
      <x:c r="AE492" t="str">
        <x:v>LOAD</x:v>
      </x:c>
      <x:c r="AF492" t="str">
        <x:v>02_Supervisor_Log(4).xlsx</x:v>
      </x:c>
      <x:c r="AG492" t="str">
        <x:v>ENH-20260830-01</x:v>
      </x:c>
      <x:c r="AH492" t="str">
        <x:v>Active</x:v>
      </x:c>
      <x:c r="AI492"/>
      <x:c r="AJ492"/>
      <x:c r="AK492"/>
      <x:c r="AL492"/>
    </x:row>
    <x:row r="493">
      <x:c r="A493" t="s">
        <x:v>723</x:v>
      </x:c>
      <x:c r="B493" t="s">
        <x:v>716</x:v>
      </x:c>
      <x:c r="C493" t="s">
        <x:v>44</x:v>
      </x:c>
      <x:c r="D493">
        <x:v>45954</x:v>
      </x:c>
      <x:c r="E493" t="s">
        <x:v>187</x:v>
      </x:c>
      <x:c r="F493" t="s">
        <x:v>51</x:v>
      </x:c>
      <x:c r="G493">
        <x:v>23</x:v>
      </x:c>
      <x:c r="H493" t="s">
        <x:v>65</x:v>
      </x:c>
      <x:c r="I493">
        <x:v>8</x:v>
      </x:c>
      <x:c r="J493">
        <x:v>12</x:v>
      </x:c>
      <x:c r="K493">
        <x:v>2</x:v>
      </x:c>
      <x:c r="L493">
        <x:f t="shared" si="49"/>
        <x:v>1</x:v>
      </x:c>
      <x:c r="P493">
        <x:f t="shared" si="50"/>
        <x:v>1</x:v>
      </x:c>
      <x:c r="Q493">
        <x:f t="shared" si="51"/>
        <x:v>1</x:v>
      </x:c>
      <x:c r="R493">
        <x:f t="shared" si="52"/>
        <x:v>0</x:v>
      </x:c>
      <x:c r="S493">
        <x:f t="shared" si="53"/>
        <x:v>2</x:v>
      </x:c>
      <x:c r="T493" t="str">
        <x:f t="shared" si="54"/>
        <x:v>DerivedFromCount</x:v>
      </x:c>
      <x:c r="U493" t="str">
        <x:f>IF(COUNTIF(DailyProduction!$Q$5:$Q$100,B493)=1,"OK","CHECK")</x:f>
        <x:v>OK</x:v>
      </x:c>
      <x:c r="V493" t="str">
        <x:f t="shared" si="55"/>
        <x:v>OK</x:v>
      </x:c>
      <x:c r="W493" t="str">
        <x:f>IF(SUMIF($B$5:$B$914,B493,$S$5:$S$914)=SUMIF(DailyProduction!$Q$5:$Q$100,B493,DailyProduction!$R$5:$R$100),"OK","CHECK")</x:f>
        <x:v>OK</x:v>
      </x:c>
      <x:c r="X493" t="str">
        <x:v>PLC-PRD-JAR-720-L23</x:v>
      </x:c>
      <x:c r="Y493" t="str">
        <x:v>OK</x:v>
      </x:c>
      <x:c r="Z493" t="str">
        <x:v>OK</x:v>
      </x:c>
      <x:c r="AA493" t="n">
        <x:v>3</x:v>
      </x:c>
      <x:c r="AB493" t="n">
        <x:v>2</x:v>
      </x:c>
      <x:c r="AC493" t="str">
        <x:v>OK</x:v>
      </x:c>
      <x:c r="AD493" t="str">
        <x:v>OK</x:v>
      </x:c>
      <x:c r="AE493" t="str">
        <x:v>LOAD</x:v>
      </x:c>
      <x:c r="AF493" t="str">
        <x:v>02_Supervisor_Log(4).xlsx</x:v>
      </x:c>
      <x:c r="AG493" t="str">
        <x:v>ENH-20260830-01</x:v>
      </x:c>
      <x:c r="AH493" t="str">
        <x:v>Active</x:v>
      </x:c>
      <x:c r="AI493"/>
      <x:c r="AJ493"/>
      <x:c r="AK493"/>
      <x:c r="AL493"/>
    </x:row>
    <x:row r="494">
      <x:c r="A494" t="s">
        <x:v>724</x:v>
      </x:c>
      <x:c r="B494" t="s">
        <x:v>716</x:v>
      </x:c>
      <x:c r="C494" t="s">
        <x:v>44</x:v>
      </x:c>
      <x:c r="D494">
        <x:v>45954</x:v>
      </x:c>
      <x:c r="E494" t="s">
        <x:v>187</x:v>
      </x:c>
      <x:c r="F494" t="s">
        <x:v>51</x:v>
      </x:c>
      <x:c r="G494">
        <x:v>23</x:v>
      </x:c>
      <x:c r="H494" t="s">
        <x:v>65</x:v>
      </x:c>
      <x:c r="I494">
        <x:v>9</x:v>
      </x:c>
      <x:c r="J494">
        <x:v>12</x:v>
      </x:c>
      <x:c r="K494">
        <x:v>2</x:v>
      </x:c>
      <x:c r="L494">
        <x:f t="shared" si="49"/>
        <x:v>1</x:v>
      </x:c>
      <x:c r="P494">
        <x:f t="shared" si="50"/>
        <x:v>1</x:v>
      </x:c>
      <x:c r="Q494">
        <x:f t="shared" si="51"/>
        <x:v>1</x:v>
      </x:c>
      <x:c r="R494">
        <x:f t="shared" si="52"/>
        <x:v>0</x:v>
      </x:c>
      <x:c r="S494">
        <x:f t="shared" si="53"/>
        <x:v>2</x:v>
      </x:c>
      <x:c r="T494" t="str">
        <x:f t="shared" si="54"/>
        <x:v>DerivedFromCount</x:v>
      </x:c>
      <x:c r="U494" t="str">
        <x:f>IF(COUNTIF(DailyProduction!$Q$5:$Q$100,B494)=1,"OK","CHECK")</x:f>
        <x:v>OK</x:v>
      </x:c>
      <x:c r="V494" t="str">
        <x:f t="shared" si="55"/>
        <x:v>OK</x:v>
      </x:c>
      <x:c r="W494" t="str">
        <x:f>IF(SUMIF($B$5:$B$914,B494,$S$5:$S$914)=SUMIF(DailyProduction!$Q$5:$Q$100,B494,DailyProduction!$R$5:$R$100),"OK","CHECK")</x:f>
        <x:v>OK</x:v>
      </x:c>
      <x:c r="X494" t="str">
        <x:v>PLC-PRD-JAR-720-L23</x:v>
      </x:c>
      <x:c r="Y494" t="str">
        <x:v>OK</x:v>
      </x:c>
      <x:c r="Z494" t="str">
        <x:v>OK</x:v>
      </x:c>
      <x:c r="AA494" t="n">
        <x:v>3</x:v>
      </x:c>
      <x:c r="AB494" t="n">
        <x:v>2</x:v>
      </x:c>
      <x:c r="AC494" t="str">
        <x:v>OK</x:v>
      </x:c>
      <x:c r="AD494" t="str">
        <x:v>OK</x:v>
      </x:c>
      <x:c r="AE494" t="str">
        <x:v>LOAD</x:v>
      </x:c>
      <x:c r="AF494" t="str">
        <x:v>02_Supervisor_Log(4).xlsx</x:v>
      </x:c>
      <x:c r="AG494" t="str">
        <x:v>ENH-20260830-01</x:v>
      </x:c>
      <x:c r="AH494" t="str">
        <x:v>Active</x:v>
      </x:c>
      <x:c r="AI494"/>
      <x:c r="AJ494"/>
      <x:c r="AK494"/>
      <x:c r="AL494"/>
    </x:row>
    <x:row r="495">
      <x:c r="A495" t="s">
        <x:v>725</x:v>
      </x:c>
      <x:c r="B495" t="s">
        <x:v>716</x:v>
      </x:c>
      <x:c r="C495" t="s">
        <x:v>44</x:v>
      </x:c>
      <x:c r="D495">
        <x:v>45954</x:v>
      </x:c>
      <x:c r="E495" t="s">
        <x:v>187</x:v>
      </x:c>
      <x:c r="F495" t="s">
        <x:v>51</x:v>
      </x:c>
      <x:c r="G495">
        <x:v>23</x:v>
      </x:c>
      <x:c r="H495" t="s">
        <x:v>65</x:v>
      </x:c>
      <x:c r="I495">
        <x:v>10</x:v>
      </x:c>
      <x:c r="J495">
        <x:v>12</x:v>
      </x:c>
      <x:c r="K495">
        <x:v>2</x:v>
      </x:c>
      <x:c r="L495">
        <x:f t="shared" si="49"/>
        <x:v>1</x:v>
      </x:c>
      <x:c r="P495">
        <x:f t="shared" si="50"/>
        <x:v>1</x:v>
      </x:c>
      <x:c r="Q495">
        <x:f t="shared" si="51"/>
        <x:v>1</x:v>
      </x:c>
      <x:c r="R495">
        <x:f t="shared" si="52"/>
        <x:v>0</x:v>
      </x:c>
      <x:c r="S495">
        <x:f t="shared" si="53"/>
        <x:v>2</x:v>
      </x:c>
      <x:c r="T495" t="str">
        <x:f t="shared" si="54"/>
        <x:v>DerivedFromCount</x:v>
      </x:c>
      <x:c r="U495" t="str">
        <x:f>IF(COUNTIF(DailyProduction!$Q$5:$Q$100,B495)=1,"OK","CHECK")</x:f>
        <x:v>OK</x:v>
      </x:c>
      <x:c r="V495" t="str">
        <x:f t="shared" si="55"/>
        <x:v>OK</x:v>
      </x:c>
      <x:c r="W495" t="str">
        <x:f>IF(SUMIF($B$5:$B$914,B495,$S$5:$S$914)=SUMIF(DailyProduction!$Q$5:$Q$100,B495,DailyProduction!$R$5:$R$100),"OK","CHECK")</x:f>
        <x:v>OK</x:v>
      </x:c>
      <x:c r="X495" t="str">
        <x:v>PLC-PRD-JAR-720-L23</x:v>
      </x:c>
      <x:c r="Y495" t="str">
        <x:v>OK</x:v>
      </x:c>
      <x:c r="Z495" t="str">
        <x:v>OK</x:v>
      </x:c>
      <x:c r="AA495" t="n">
        <x:v>3</x:v>
      </x:c>
      <x:c r="AB495" t="n">
        <x:v>2</x:v>
      </x:c>
      <x:c r="AC495" t="str">
        <x:v>OK</x:v>
      </x:c>
      <x:c r="AD495" t="str">
        <x:v>OK</x:v>
      </x:c>
      <x:c r="AE495" t="str">
        <x:v>LOAD</x:v>
      </x:c>
      <x:c r="AF495" t="str">
        <x:v>02_Supervisor_Log(4).xlsx</x:v>
      </x:c>
      <x:c r="AG495" t="str">
        <x:v>ENH-20260830-01</x:v>
      </x:c>
      <x:c r="AH495" t="str">
        <x:v>Active</x:v>
      </x:c>
      <x:c r="AI495"/>
      <x:c r="AJ495"/>
      <x:c r="AK495"/>
      <x:c r="AL495"/>
    </x:row>
    <x:row r="496">
      <x:c r="A496" t="s">
        <x:v>726</x:v>
      </x:c>
      <x:c r="B496" t="s">
        <x:v>716</x:v>
      </x:c>
      <x:c r="C496" t="s">
        <x:v>44</x:v>
      </x:c>
      <x:c r="D496">
        <x:v>45954</x:v>
      </x:c>
      <x:c r="E496" t="s">
        <x:v>187</x:v>
      </x:c>
      <x:c r="F496" t="s">
        <x:v>51</x:v>
      </x:c>
      <x:c r="G496">
        <x:v>23</x:v>
      </x:c>
      <x:c r="H496" t="s">
        <x:v>65</x:v>
      </x:c>
      <x:c r="I496">
        <x:v>11</x:v>
      </x:c>
      <x:c r="J496">
        <x:v>12</x:v>
      </x:c>
      <x:c r="K496">
        <x:v>2</x:v>
      </x:c>
      <x:c r="L496">
        <x:f t="shared" si="49"/>
        <x:v>1</x:v>
      </x:c>
      <x:c r="P496">
        <x:f t="shared" si="50"/>
        <x:v>1</x:v>
      </x:c>
      <x:c r="Q496">
        <x:f t="shared" si="51"/>
        <x:v>1</x:v>
      </x:c>
      <x:c r="R496">
        <x:f t="shared" si="52"/>
        <x:v>0</x:v>
      </x:c>
      <x:c r="S496">
        <x:f t="shared" si="53"/>
        <x:v>2</x:v>
      </x:c>
      <x:c r="T496" t="str">
        <x:f t="shared" si="54"/>
        <x:v>DerivedFromCount</x:v>
      </x:c>
      <x:c r="U496" t="str">
        <x:f>IF(COUNTIF(DailyProduction!$Q$5:$Q$100,B496)=1,"OK","CHECK")</x:f>
        <x:v>OK</x:v>
      </x:c>
      <x:c r="V496" t="str">
        <x:f t="shared" si="55"/>
        <x:v>OK</x:v>
      </x:c>
      <x:c r="W496" t="str">
        <x:f>IF(SUMIF($B$5:$B$914,B496,$S$5:$S$914)=SUMIF(DailyProduction!$Q$5:$Q$100,B496,DailyProduction!$R$5:$R$100),"OK","CHECK")</x:f>
        <x:v>OK</x:v>
      </x:c>
      <x:c r="X496" t="str">
        <x:v>PLC-PRD-JAR-720-L23</x:v>
      </x:c>
      <x:c r="Y496" t="str">
        <x:v>OK</x:v>
      </x:c>
      <x:c r="Z496" t="str">
        <x:v>OK</x:v>
      </x:c>
      <x:c r="AA496" t="n">
        <x:v>3</x:v>
      </x:c>
      <x:c r="AB496" t="n">
        <x:v>2</x:v>
      </x:c>
      <x:c r="AC496" t="str">
        <x:v>OK</x:v>
      </x:c>
      <x:c r="AD496" t="str">
        <x:v>OK</x:v>
      </x:c>
      <x:c r="AE496" t="str">
        <x:v>LOAD</x:v>
      </x:c>
      <x:c r="AF496" t="str">
        <x:v>02_Supervisor_Log(4).xlsx</x:v>
      </x:c>
      <x:c r="AG496" t="str">
        <x:v>ENH-20260830-01</x:v>
      </x:c>
      <x:c r="AH496" t="str">
        <x:v>Active</x:v>
      </x:c>
      <x:c r="AI496"/>
      <x:c r="AJ496"/>
      <x:c r="AK496"/>
      <x:c r="AL496"/>
    </x:row>
    <x:row r="497">
      <x:c r="A497" t="s">
        <x:v>727</x:v>
      </x:c>
      <x:c r="B497" t="s">
        <x:v>716</x:v>
      </x:c>
      <x:c r="C497" t="s">
        <x:v>44</x:v>
      </x:c>
      <x:c r="D497">
        <x:v>45954</x:v>
      </x:c>
      <x:c r="E497" t="s">
        <x:v>187</x:v>
      </x:c>
      <x:c r="F497" t="s">
        <x:v>51</x:v>
      </x:c>
      <x:c r="G497">
        <x:v>23</x:v>
      </x:c>
      <x:c r="H497" t="s">
        <x:v>65</x:v>
      </x:c>
      <x:c r="I497">
        <x:v>12</x:v>
      </x:c>
      <x:c r="J497">
        <x:v>12</x:v>
      </x:c>
      <x:c r="K497">
        <x:v>2</x:v>
      </x:c>
      <x:c r="L497">
        <x:f t="shared" si="49"/>
        <x:v>1</x:v>
      </x:c>
      <x:c r="P497">
        <x:f t="shared" si="50"/>
        <x:v>1</x:v>
      </x:c>
      <x:c r="Q497">
        <x:f t="shared" si="51"/>
        <x:v>1</x:v>
      </x:c>
      <x:c r="R497">
        <x:f t="shared" si="52"/>
        <x:v>0</x:v>
      </x:c>
      <x:c r="S497">
        <x:f t="shared" si="53"/>
        <x:v>2</x:v>
      </x:c>
      <x:c r="T497" t="str">
        <x:f t="shared" si="54"/>
        <x:v>DerivedFromCount</x:v>
      </x:c>
      <x:c r="U497" t="str">
        <x:f>IF(COUNTIF(DailyProduction!$Q$5:$Q$100,B497)=1,"OK","CHECK")</x:f>
        <x:v>OK</x:v>
      </x:c>
      <x:c r="V497" t="str">
        <x:f t="shared" si="55"/>
        <x:v>OK</x:v>
      </x:c>
      <x:c r="W497" t="str">
        <x:f>IF(SUMIF($B$5:$B$914,B497,$S$5:$S$914)=SUMIF(DailyProduction!$Q$5:$Q$100,B497,DailyProduction!$R$5:$R$100),"OK","CHECK")</x:f>
        <x:v>OK</x:v>
      </x:c>
      <x:c r="X497" t="str">
        <x:v>PLC-PRD-JAR-720-L23</x:v>
      </x:c>
      <x:c r="Y497" t="str">
        <x:v>OK</x:v>
      </x:c>
      <x:c r="Z497" t="str">
        <x:v>OK</x:v>
      </x:c>
      <x:c r="AA497" t="n">
        <x:v>3</x:v>
      </x:c>
      <x:c r="AB497" t="n">
        <x:v>2</x:v>
      </x:c>
      <x:c r="AC497" t="str">
        <x:v>OK</x:v>
      </x:c>
      <x:c r="AD497" t="str">
        <x:v>OK</x:v>
      </x:c>
      <x:c r="AE497" t="str">
        <x:v>LOAD</x:v>
      </x:c>
      <x:c r="AF497" t="str">
        <x:v>02_Supervisor_Log(4).xlsx</x:v>
      </x:c>
      <x:c r="AG497" t="str">
        <x:v>ENH-20260830-01</x:v>
      </x:c>
      <x:c r="AH497" t="str">
        <x:v>Active</x:v>
      </x:c>
      <x:c r="AI497"/>
      <x:c r="AJ497"/>
      <x:c r="AK497"/>
      <x:c r="AL497"/>
    </x:row>
    <x:row r="498">
      <x:c r="A498" t="s">
        <x:v>728</x:v>
      </x:c>
      <x:c r="B498" t="s">
        <x:v>716</x:v>
      </x:c>
      <x:c r="C498" t="s">
        <x:v>44</x:v>
      </x:c>
      <x:c r="D498">
        <x:v>45954</x:v>
      </x:c>
      <x:c r="E498" t="s">
        <x:v>187</x:v>
      </x:c>
      <x:c r="F498" t="s">
        <x:v>51</x:v>
      </x:c>
      <x:c r="G498">
        <x:v>23</x:v>
      </x:c>
      <x:c r="H498" t="s">
        <x:v>65</x:v>
      </x:c>
      <x:c r="I498">
        <x:v>13</x:v>
      </x:c>
      <x:c r="J498">
        <x:v>12</x:v>
      </x:c>
      <x:c r="K498">
        <x:v>2</x:v>
      </x:c>
      <x:c r="L498">
        <x:f t="shared" si="49"/>
        <x:v>0</x:v>
      </x:c>
      <x:c r="P498">
        <x:f t="shared" si="50"/>
        <x:v>0</x:v>
      </x:c>
      <x:c r="Q498">
        <x:f t="shared" si="51"/>
        <x:v>0</x:v>
      </x:c>
      <x:c r="R498">
        <x:f t="shared" si="52"/>
        <x:v>0</x:v>
      </x:c>
      <x:c r="S498">
        <x:f t="shared" si="53"/>
        <x:v>0</x:v>
      </x:c>
      <x:c r="T498" t="str">
        <x:f t="shared" si="54"/>
        <x:v>DerivedFromCount</x:v>
      </x:c>
      <x:c r="U498" t="str">
        <x:f>IF(COUNTIF(DailyProduction!$Q$5:$Q$100,B498)=1,"OK","CHECK")</x:f>
        <x:v>OK</x:v>
      </x:c>
      <x:c r="V498" t="str">
        <x:f t="shared" si="55"/>
        <x:v>OK</x:v>
      </x:c>
      <x:c r="W498" t="str">
        <x:f>IF(SUMIF($B$5:$B$914,B498,$S$5:$S$914)=SUMIF(DailyProduction!$Q$5:$Q$100,B498,DailyProduction!$R$5:$R$100),"OK","CHECK")</x:f>
        <x:v>OK</x:v>
      </x:c>
      <x:c r="X498" t="str">
        <x:v>PLC-PRD-JAR-720-L23</x:v>
      </x:c>
      <x:c r="Y498" t="str">
        <x:v>OK</x:v>
      </x:c>
      <x:c r="Z498" t="str">
        <x:v>OK</x:v>
      </x:c>
      <x:c r="AA498" t="n">
        <x:v>3</x:v>
      </x:c>
      <x:c r="AB498" t="n">
        <x:v>0</x:v>
      </x:c>
      <x:c r="AC498" t="str">
        <x:v>OK</x:v>
      </x:c>
      <x:c r="AD498" t="str">
        <x:v>OK</x:v>
      </x:c>
      <x:c r="AE498" t="str">
        <x:v>LOAD</x:v>
      </x:c>
      <x:c r="AF498" t="str">
        <x:v>02_Supervisor_Log(4).xlsx</x:v>
      </x:c>
      <x:c r="AG498" t="str">
        <x:v>ENH-20260830-01</x:v>
      </x:c>
      <x:c r="AH498" t="str">
        <x:v>Active</x:v>
      </x:c>
      <x:c r="AI498"/>
      <x:c r="AJ498"/>
      <x:c r="AK498"/>
      <x:c r="AL498"/>
    </x:row>
    <x:row r="499">
      <x:c r="A499" t="s">
        <x:v>729</x:v>
      </x:c>
      <x:c r="B499" t="s">
        <x:v>730</x:v>
      </x:c>
      <x:c r="C499" t="s">
        <x:v>44</x:v>
      </x:c>
      <x:c r="D499">
        <x:v>45955</x:v>
      </x:c>
      <x:c r="E499" t="s">
        <x:v>45</x:v>
      </x:c>
      <x:c r="F499" t="s">
        <x:v>51</x:v>
      </x:c>
      <x:c r="G499">
        <x:v>23</x:v>
      </x:c>
      <x:c r="H499" t="s">
        <x:v>65</x:v>
      </x:c>
      <x:c r="I499">
        <x:v>1</x:v>
      </x:c>
      <x:c r="J499">
        <x:v>12</x:v>
      </x:c>
      <x:c r="K499">
        <x:v>2</x:v>
      </x:c>
      <x:c r="L499">
        <x:f t="shared" si="49"/>
        <x:v>1</x:v>
      </x:c>
      <x:c r="P499">
        <x:f t="shared" si="50"/>
        <x:v>1</x:v>
      </x:c>
      <x:c r="Q499">
        <x:f t="shared" si="51"/>
        <x:v>1</x:v>
      </x:c>
      <x:c r="R499">
        <x:f t="shared" si="52"/>
        <x:v>0</x:v>
      </x:c>
      <x:c r="S499">
        <x:f t="shared" si="53"/>
        <x:v>2</x:v>
      </x:c>
      <x:c r="T499" t="str">
        <x:f t="shared" si="54"/>
        <x:v>DerivedFromCount</x:v>
      </x:c>
      <x:c r="U499" t="str">
        <x:f>IF(COUNTIF(DailyProduction!$Q$5:$Q$100,B499)=1,"OK","CHECK")</x:f>
        <x:v>OK</x:v>
      </x:c>
      <x:c r="V499" t="str">
        <x:f t="shared" si="55"/>
        <x:v>OK</x:v>
      </x:c>
      <x:c r="W499" t="str">
        <x:f>IF(SUMIF($B$5:$B$914,B499,$S$5:$S$914)=SUMIF(DailyProduction!$Q$5:$Q$100,B499,DailyProduction!$R$5:$R$100),"OK","CHECK")</x:f>
        <x:v>OK</x:v>
      </x:c>
      <x:c r="X499" t="str">
        <x:v>PLC-PRD-JAR-720-L23</x:v>
      </x:c>
      <x:c r="Y499" t="str">
        <x:v>OK</x:v>
      </x:c>
      <x:c r="Z499" t="str">
        <x:v>OK</x:v>
      </x:c>
      <x:c r="AA499" t="n">
        <x:v>3</x:v>
      </x:c>
      <x:c r="AB499" t="n">
        <x:v>2</x:v>
      </x:c>
      <x:c r="AC499" t="str">
        <x:v>OK</x:v>
      </x:c>
      <x:c r="AD499" t="str">
        <x:v>OK</x:v>
      </x:c>
      <x:c r="AE499" t="str">
        <x:v>LOAD</x:v>
      </x:c>
      <x:c r="AF499" t="str">
        <x:v>02_Supervisor_Log(4).xlsx</x:v>
      </x:c>
      <x:c r="AG499" t="str">
        <x:v>ENH-20260830-01</x:v>
      </x:c>
      <x:c r="AH499" t="str">
        <x:v>Active</x:v>
      </x:c>
      <x:c r="AI499"/>
      <x:c r="AJ499"/>
      <x:c r="AK499"/>
      <x:c r="AL499"/>
    </x:row>
    <x:row r="500">
      <x:c r="A500" t="s">
        <x:v>731</x:v>
      </x:c>
      <x:c r="B500" t="s">
        <x:v>730</x:v>
      </x:c>
      <x:c r="C500" t="s">
        <x:v>44</x:v>
      </x:c>
      <x:c r="D500">
        <x:v>45955</x:v>
      </x:c>
      <x:c r="E500" t="s">
        <x:v>45</x:v>
      </x:c>
      <x:c r="F500" t="s">
        <x:v>51</x:v>
      </x:c>
      <x:c r="G500">
        <x:v>23</x:v>
      </x:c>
      <x:c r="H500" t="s">
        <x:v>65</x:v>
      </x:c>
      <x:c r="I500">
        <x:v>2</x:v>
      </x:c>
      <x:c r="J500">
        <x:v>12</x:v>
      </x:c>
      <x:c r="K500">
        <x:v>2</x:v>
      </x:c>
      <x:c r="L500">
        <x:f t="shared" si="49"/>
        <x:v>1</x:v>
      </x:c>
      <x:c r="P500">
        <x:f t="shared" si="50"/>
        <x:v>1</x:v>
      </x:c>
      <x:c r="Q500">
        <x:f t="shared" si="51"/>
        <x:v>1</x:v>
      </x:c>
      <x:c r="R500">
        <x:f t="shared" si="52"/>
        <x:v>0</x:v>
      </x:c>
      <x:c r="S500">
        <x:f t="shared" si="53"/>
        <x:v>2</x:v>
      </x:c>
      <x:c r="T500" t="str">
        <x:f t="shared" si="54"/>
        <x:v>DerivedFromCount</x:v>
      </x:c>
      <x:c r="U500" t="str">
        <x:f>IF(COUNTIF(DailyProduction!$Q$5:$Q$100,B500)=1,"OK","CHECK")</x:f>
        <x:v>OK</x:v>
      </x:c>
      <x:c r="V500" t="str">
        <x:f t="shared" si="55"/>
        <x:v>OK</x:v>
      </x:c>
      <x:c r="W500" t="str">
        <x:f>IF(SUMIF($B$5:$B$914,B500,$S$5:$S$914)=SUMIF(DailyProduction!$Q$5:$Q$100,B500,DailyProduction!$R$5:$R$100),"OK","CHECK")</x:f>
        <x:v>OK</x:v>
      </x:c>
      <x:c r="X500" t="str">
        <x:v>PLC-PRD-JAR-720-L23</x:v>
      </x:c>
      <x:c r="Y500" t="str">
        <x:v>OK</x:v>
      </x:c>
      <x:c r="Z500" t="str">
        <x:v>OK</x:v>
      </x:c>
      <x:c r="AA500" t="n">
        <x:v>3</x:v>
      </x:c>
      <x:c r="AB500" t="n">
        <x:v>2</x:v>
      </x:c>
      <x:c r="AC500" t="str">
        <x:v>OK</x:v>
      </x:c>
      <x:c r="AD500" t="str">
        <x:v>OK</x:v>
      </x:c>
      <x:c r="AE500" t="str">
        <x:v>LOAD</x:v>
      </x:c>
      <x:c r="AF500" t="str">
        <x:v>02_Supervisor_Log(4).xlsx</x:v>
      </x:c>
      <x:c r="AG500" t="str">
        <x:v>ENH-20260830-01</x:v>
      </x:c>
      <x:c r="AH500" t="str">
        <x:v>Active</x:v>
      </x:c>
      <x:c r="AI500"/>
      <x:c r="AJ500"/>
      <x:c r="AK500"/>
      <x:c r="AL500"/>
    </x:row>
    <x:row r="501">
      <x:c r="A501" t="s">
        <x:v>732</x:v>
      </x:c>
      <x:c r="B501" t="s">
        <x:v>730</x:v>
      </x:c>
      <x:c r="C501" t="s">
        <x:v>44</x:v>
      </x:c>
      <x:c r="D501">
        <x:v>45955</x:v>
      </x:c>
      <x:c r="E501" t="s">
        <x:v>45</x:v>
      </x:c>
      <x:c r="F501" t="s">
        <x:v>51</x:v>
      </x:c>
      <x:c r="G501">
        <x:v>23</x:v>
      </x:c>
      <x:c r="H501" t="s">
        <x:v>65</x:v>
      </x:c>
      <x:c r="I501">
        <x:v>3</x:v>
      </x:c>
      <x:c r="J501">
        <x:v>12</x:v>
      </x:c>
      <x:c r="K501">
        <x:v>2</x:v>
      </x:c>
      <x:c r="L501">
        <x:f t="shared" si="49"/>
        <x:v>1</x:v>
      </x:c>
      <x:c r="P501">
        <x:f t="shared" si="50"/>
        <x:v>1</x:v>
      </x:c>
      <x:c r="Q501">
        <x:f t="shared" si="51"/>
        <x:v>1</x:v>
      </x:c>
      <x:c r="R501">
        <x:f t="shared" si="52"/>
        <x:v>0</x:v>
      </x:c>
      <x:c r="S501">
        <x:f t="shared" si="53"/>
        <x:v>2</x:v>
      </x:c>
      <x:c r="T501" t="str">
        <x:f t="shared" si="54"/>
        <x:v>DerivedFromCount</x:v>
      </x:c>
      <x:c r="U501" t="str">
        <x:f>IF(COUNTIF(DailyProduction!$Q$5:$Q$100,B501)=1,"OK","CHECK")</x:f>
        <x:v>OK</x:v>
      </x:c>
      <x:c r="V501" t="str">
        <x:f t="shared" si="55"/>
        <x:v>OK</x:v>
      </x:c>
      <x:c r="W501" t="str">
        <x:f>IF(SUMIF($B$5:$B$914,B501,$S$5:$S$914)=SUMIF(DailyProduction!$Q$5:$Q$100,B501,DailyProduction!$R$5:$R$100),"OK","CHECK")</x:f>
        <x:v>OK</x:v>
      </x:c>
      <x:c r="X501" t="str">
        <x:v>PLC-PRD-JAR-720-L23</x:v>
      </x:c>
      <x:c r="Y501" t="str">
        <x:v>OK</x:v>
      </x:c>
      <x:c r="Z501" t="str">
        <x:v>OK</x:v>
      </x:c>
      <x:c r="AA501" t="n">
        <x:v>3</x:v>
      </x:c>
      <x:c r="AB501" t="n">
        <x:v>2</x:v>
      </x:c>
      <x:c r="AC501" t="str">
        <x:v>OK</x:v>
      </x:c>
      <x:c r="AD501" t="str">
        <x:v>OK</x:v>
      </x:c>
      <x:c r="AE501" t="str">
        <x:v>LOAD</x:v>
      </x:c>
      <x:c r="AF501" t="str">
        <x:v>02_Supervisor_Log(4).xlsx</x:v>
      </x:c>
      <x:c r="AG501" t="str">
        <x:v>ENH-20260830-01</x:v>
      </x:c>
      <x:c r="AH501" t="str">
        <x:v>Active</x:v>
      </x:c>
      <x:c r="AI501"/>
      <x:c r="AJ501"/>
      <x:c r="AK501"/>
      <x:c r="AL501"/>
    </x:row>
    <x:row r="502">
      <x:c r="A502" t="s">
        <x:v>733</x:v>
      </x:c>
      <x:c r="B502" t="s">
        <x:v>730</x:v>
      </x:c>
      <x:c r="C502" t="s">
        <x:v>44</x:v>
      </x:c>
      <x:c r="D502">
        <x:v>45955</x:v>
      </x:c>
      <x:c r="E502" t="s">
        <x:v>45</x:v>
      </x:c>
      <x:c r="F502" t="s">
        <x:v>51</x:v>
      </x:c>
      <x:c r="G502">
        <x:v>23</x:v>
      </x:c>
      <x:c r="H502" t="s">
        <x:v>65</x:v>
      </x:c>
      <x:c r="I502">
        <x:v>4</x:v>
      </x:c>
      <x:c r="J502">
        <x:v>12</x:v>
      </x:c>
      <x:c r="K502">
        <x:v>2</x:v>
      </x:c>
      <x:c r="L502">
        <x:f t="shared" si="49"/>
        <x:v>1</x:v>
      </x:c>
      <x:c r="P502">
        <x:f t="shared" si="50"/>
        <x:v>1</x:v>
      </x:c>
      <x:c r="Q502">
        <x:f t="shared" si="51"/>
        <x:v>1</x:v>
      </x:c>
      <x:c r="R502">
        <x:f t="shared" si="52"/>
        <x:v>0</x:v>
      </x:c>
      <x:c r="S502">
        <x:f t="shared" si="53"/>
        <x:v>2</x:v>
      </x:c>
      <x:c r="T502" t="str">
        <x:f t="shared" si="54"/>
        <x:v>DerivedFromCount</x:v>
      </x:c>
      <x:c r="U502" t="str">
        <x:f>IF(COUNTIF(DailyProduction!$Q$5:$Q$100,B502)=1,"OK","CHECK")</x:f>
        <x:v>OK</x:v>
      </x:c>
      <x:c r="V502" t="str">
        <x:f t="shared" si="55"/>
        <x:v>OK</x:v>
      </x:c>
      <x:c r="W502" t="str">
        <x:f>IF(SUMIF($B$5:$B$914,B502,$S$5:$S$914)=SUMIF(DailyProduction!$Q$5:$Q$100,B502,DailyProduction!$R$5:$R$100),"OK","CHECK")</x:f>
        <x:v>OK</x:v>
      </x:c>
      <x:c r="X502" t="str">
        <x:v>PLC-PRD-JAR-720-L23</x:v>
      </x:c>
      <x:c r="Y502" t="str">
        <x:v>OK</x:v>
      </x:c>
      <x:c r="Z502" t="str">
        <x:v>OK</x:v>
      </x:c>
      <x:c r="AA502" t="n">
        <x:v>3</x:v>
      </x:c>
      <x:c r="AB502" t="n">
        <x:v>2</x:v>
      </x:c>
      <x:c r="AC502" t="str">
        <x:v>OK</x:v>
      </x:c>
      <x:c r="AD502" t="str">
        <x:v>OK</x:v>
      </x:c>
      <x:c r="AE502" t="str">
        <x:v>LOAD</x:v>
      </x:c>
      <x:c r="AF502" t="str">
        <x:v>02_Supervisor_Log(4).xlsx</x:v>
      </x:c>
      <x:c r="AG502" t="str">
        <x:v>ENH-20260830-01</x:v>
      </x:c>
      <x:c r="AH502" t="str">
        <x:v>Active</x:v>
      </x:c>
      <x:c r="AI502"/>
      <x:c r="AJ502"/>
      <x:c r="AK502"/>
      <x:c r="AL502"/>
    </x:row>
    <x:row r="503">
      <x:c r="A503" t="s">
        <x:v>734</x:v>
      </x:c>
      <x:c r="B503" t="s">
        <x:v>730</x:v>
      </x:c>
      <x:c r="C503" t="s">
        <x:v>44</x:v>
      </x:c>
      <x:c r="D503">
        <x:v>45955</x:v>
      </x:c>
      <x:c r="E503" t="s">
        <x:v>45</x:v>
      </x:c>
      <x:c r="F503" t="s">
        <x:v>51</x:v>
      </x:c>
      <x:c r="G503">
        <x:v>23</x:v>
      </x:c>
      <x:c r="H503" t="s">
        <x:v>65</x:v>
      </x:c>
      <x:c r="I503">
        <x:v>5</x:v>
      </x:c>
      <x:c r="J503">
        <x:v>12</x:v>
      </x:c>
      <x:c r="K503">
        <x:v>2</x:v>
      </x:c>
      <x:c r="L503">
        <x:f t="shared" si="49"/>
        <x:v>1</x:v>
      </x:c>
      <x:c r="P503">
        <x:f t="shared" si="50"/>
        <x:v>1</x:v>
      </x:c>
      <x:c r="Q503">
        <x:f t="shared" si="51"/>
        <x:v>1</x:v>
      </x:c>
      <x:c r="R503">
        <x:f t="shared" si="52"/>
        <x:v>0</x:v>
      </x:c>
      <x:c r="S503">
        <x:f t="shared" si="53"/>
        <x:v>2</x:v>
      </x:c>
      <x:c r="T503" t="str">
        <x:f t="shared" si="54"/>
        <x:v>DerivedFromCount</x:v>
      </x:c>
      <x:c r="U503" t="str">
        <x:f>IF(COUNTIF(DailyProduction!$Q$5:$Q$100,B503)=1,"OK","CHECK")</x:f>
        <x:v>OK</x:v>
      </x:c>
      <x:c r="V503" t="str">
        <x:f t="shared" si="55"/>
        <x:v>OK</x:v>
      </x:c>
      <x:c r="W503" t="str">
        <x:f>IF(SUMIF($B$5:$B$914,B503,$S$5:$S$914)=SUMIF(DailyProduction!$Q$5:$Q$100,B503,DailyProduction!$R$5:$R$100),"OK","CHECK")</x:f>
        <x:v>OK</x:v>
      </x:c>
      <x:c r="X503" t="str">
        <x:v>PLC-PRD-JAR-720-L23</x:v>
      </x:c>
      <x:c r="Y503" t="str">
        <x:v>OK</x:v>
      </x:c>
      <x:c r="Z503" t="str">
        <x:v>OK</x:v>
      </x:c>
      <x:c r="AA503" t="n">
        <x:v>3</x:v>
      </x:c>
      <x:c r="AB503" t="n">
        <x:v>2</x:v>
      </x:c>
      <x:c r="AC503" t="str">
        <x:v>OK</x:v>
      </x:c>
      <x:c r="AD503" t="str">
        <x:v>OK</x:v>
      </x:c>
      <x:c r="AE503" t="str">
        <x:v>LOAD</x:v>
      </x:c>
      <x:c r="AF503" t="str">
        <x:v>02_Supervisor_Log(4).xlsx</x:v>
      </x:c>
      <x:c r="AG503" t="str">
        <x:v>ENH-20260830-01</x:v>
      </x:c>
      <x:c r="AH503" t="str">
        <x:v>Active</x:v>
      </x:c>
      <x:c r="AI503"/>
      <x:c r="AJ503"/>
      <x:c r="AK503"/>
      <x:c r="AL503"/>
    </x:row>
    <x:row r="504">
      <x:c r="A504" t="s">
        <x:v>735</x:v>
      </x:c>
      <x:c r="B504" t="s">
        <x:v>730</x:v>
      </x:c>
      <x:c r="C504" t="s">
        <x:v>44</x:v>
      </x:c>
      <x:c r="D504">
        <x:v>45955</x:v>
      </x:c>
      <x:c r="E504" t="s">
        <x:v>45</x:v>
      </x:c>
      <x:c r="F504" t="s">
        <x:v>51</x:v>
      </x:c>
      <x:c r="G504">
        <x:v>23</x:v>
      </x:c>
      <x:c r="H504" t="s">
        <x:v>65</x:v>
      </x:c>
      <x:c r="I504">
        <x:v>6</x:v>
      </x:c>
      <x:c r="J504">
        <x:v>12</x:v>
      </x:c>
      <x:c r="K504">
        <x:v>2</x:v>
      </x:c>
      <x:c r="L504">
        <x:f t="shared" si="49"/>
        <x:v>1</x:v>
      </x:c>
      <x:c r="P504">
        <x:f t="shared" si="50"/>
        <x:v>1</x:v>
      </x:c>
      <x:c r="Q504">
        <x:f t="shared" si="51"/>
        <x:v>1</x:v>
      </x:c>
      <x:c r="R504">
        <x:f t="shared" si="52"/>
        <x:v>0</x:v>
      </x:c>
      <x:c r="S504">
        <x:f t="shared" si="53"/>
        <x:v>2</x:v>
      </x:c>
      <x:c r="T504" t="str">
        <x:f t="shared" si="54"/>
        <x:v>DerivedFromCount</x:v>
      </x:c>
      <x:c r="U504" t="str">
        <x:f>IF(COUNTIF(DailyProduction!$Q$5:$Q$100,B504)=1,"OK","CHECK")</x:f>
        <x:v>OK</x:v>
      </x:c>
      <x:c r="V504" t="str">
        <x:f t="shared" si="55"/>
        <x:v>OK</x:v>
      </x:c>
      <x:c r="W504" t="str">
        <x:f>IF(SUMIF($B$5:$B$914,B504,$S$5:$S$914)=SUMIF(DailyProduction!$Q$5:$Q$100,B504,DailyProduction!$R$5:$R$100),"OK","CHECK")</x:f>
        <x:v>OK</x:v>
      </x:c>
      <x:c r="X504" t="str">
        <x:v>PLC-PRD-JAR-720-L23</x:v>
      </x:c>
      <x:c r="Y504" t="str">
        <x:v>OK</x:v>
      </x:c>
      <x:c r="Z504" t="str">
        <x:v>OK</x:v>
      </x:c>
      <x:c r="AA504" t="n">
        <x:v>3</x:v>
      </x:c>
      <x:c r="AB504" t="n">
        <x:v>2</x:v>
      </x:c>
      <x:c r="AC504" t="str">
        <x:v>OK</x:v>
      </x:c>
      <x:c r="AD504" t="str">
        <x:v>OK</x:v>
      </x:c>
      <x:c r="AE504" t="str">
        <x:v>LOAD</x:v>
      </x:c>
      <x:c r="AF504" t="str">
        <x:v>02_Supervisor_Log(4).xlsx</x:v>
      </x:c>
      <x:c r="AG504" t="str">
        <x:v>ENH-20260830-01</x:v>
      </x:c>
      <x:c r="AH504" t="str">
        <x:v>Active</x:v>
      </x:c>
      <x:c r="AI504"/>
      <x:c r="AJ504"/>
      <x:c r="AK504"/>
      <x:c r="AL504"/>
    </x:row>
    <x:row r="505">
      <x:c r="A505" t="s">
        <x:v>736</x:v>
      </x:c>
      <x:c r="B505" t="s">
        <x:v>730</x:v>
      </x:c>
      <x:c r="C505" t="s">
        <x:v>44</x:v>
      </x:c>
      <x:c r="D505">
        <x:v>45955</x:v>
      </x:c>
      <x:c r="E505" t="s">
        <x:v>45</x:v>
      </x:c>
      <x:c r="F505" t="s">
        <x:v>51</x:v>
      </x:c>
      <x:c r="G505">
        <x:v>23</x:v>
      </x:c>
      <x:c r="H505" t="s">
        <x:v>65</x:v>
      </x:c>
      <x:c r="I505">
        <x:v>7</x:v>
      </x:c>
      <x:c r="J505">
        <x:v>12</x:v>
      </x:c>
      <x:c r="K505">
        <x:v>2</x:v>
      </x:c>
      <x:c r="L505">
        <x:f t="shared" si="49"/>
        <x:v>1</x:v>
      </x:c>
      <x:c r="P505">
        <x:f t="shared" si="50"/>
        <x:v>1</x:v>
      </x:c>
      <x:c r="Q505">
        <x:f t="shared" si="51"/>
        <x:v>1</x:v>
      </x:c>
      <x:c r="R505">
        <x:f t="shared" si="52"/>
        <x:v>0</x:v>
      </x:c>
      <x:c r="S505">
        <x:f t="shared" si="53"/>
        <x:v>2</x:v>
      </x:c>
      <x:c r="T505" t="str">
        <x:f t="shared" si="54"/>
        <x:v>DerivedFromCount</x:v>
      </x:c>
      <x:c r="U505" t="str">
        <x:f>IF(COUNTIF(DailyProduction!$Q$5:$Q$100,B505)=1,"OK","CHECK")</x:f>
        <x:v>OK</x:v>
      </x:c>
      <x:c r="V505" t="str">
        <x:f t="shared" si="55"/>
        <x:v>OK</x:v>
      </x:c>
      <x:c r="W505" t="str">
        <x:f>IF(SUMIF($B$5:$B$914,B505,$S$5:$S$914)=SUMIF(DailyProduction!$Q$5:$Q$100,B505,DailyProduction!$R$5:$R$100),"OK","CHECK")</x:f>
        <x:v>OK</x:v>
      </x:c>
      <x:c r="X505" t="str">
        <x:v>PLC-PRD-JAR-720-L23</x:v>
      </x:c>
      <x:c r="Y505" t="str">
        <x:v>OK</x:v>
      </x:c>
      <x:c r="Z505" t="str">
        <x:v>OK</x:v>
      </x:c>
      <x:c r="AA505" t="n">
        <x:v>3</x:v>
      </x:c>
      <x:c r="AB505" t="n">
        <x:v>2</x:v>
      </x:c>
      <x:c r="AC505" t="str">
        <x:v>OK</x:v>
      </x:c>
      <x:c r="AD505" t="str">
        <x:v>OK</x:v>
      </x:c>
      <x:c r="AE505" t="str">
        <x:v>LOAD</x:v>
      </x:c>
      <x:c r="AF505" t="str">
        <x:v>02_Supervisor_Log(4).xlsx</x:v>
      </x:c>
      <x:c r="AG505" t="str">
        <x:v>ENH-20260830-01</x:v>
      </x:c>
      <x:c r="AH505" t="str">
        <x:v>Active</x:v>
      </x:c>
      <x:c r="AI505"/>
      <x:c r="AJ505"/>
      <x:c r="AK505"/>
      <x:c r="AL505"/>
    </x:row>
    <x:row r="506">
      <x:c r="A506" t="s">
        <x:v>737</x:v>
      </x:c>
      <x:c r="B506" t="s">
        <x:v>730</x:v>
      </x:c>
      <x:c r="C506" t="s">
        <x:v>44</x:v>
      </x:c>
      <x:c r="D506">
        <x:v>45955</x:v>
      </x:c>
      <x:c r="E506" t="s">
        <x:v>45</x:v>
      </x:c>
      <x:c r="F506" t="s">
        <x:v>51</x:v>
      </x:c>
      <x:c r="G506">
        <x:v>23</x:v>
      </x:c>
      <x:c r="H506" t="s">
        <x:v>65</x:v>
      </x:c>
      <x:c r="I506">
        <x:v>8</x:v>
      </x:c>
      <x:c r="J506">
        <x:v>12</x:v>
      </x:c>
      <x:c r="K506">
        <x:v>2</x:v>
      </x:c>
      <x:c r="L506">
        <x:f t="shared" si="49"/>
        <x:v>1</x:v>
      </x:c>
      <x:c r="P506">
        <x:f t="shared" si="50"/>
        <x:v>1</x:v>
      </x:c>
      <x:c r="Q506">
        <x:f t="shared" si="51"/>
        <x:v>1</x:v>
      </x:c>
      <x:c r="R506">
        <x:f t="shared" si="52"/>
        <x:v>0</x:v>
      </x:c>
      <x:c r="S506">
        <x:f t="shared" si="53"/>
        <x:v>2</x:v>
      </x:c>
      <x:c r="T506" t="str">
        <x:f t="shared" si="54"/>
        <x:v>DerivedFromCount</x:v>
      </x:c>
      <x:c r="U506" t="str">
        <x:f>IF(COUNTIF(DailyProduction!$Q$5:$Q$100,B506)=1,"OK","CHECK")</x:f>
        <x:v>OK</x:v>
      </x:c>
      <x:c r="V506" t="str">
        <x:f t="shared" si="55"/>
        <x:v>OK</x:v>
      </x:c>
      <x:c r="W506" t="str">
        <x:f>IF(SUMIF($B$5:$B$914,B506,$S$5:$S$914)=SUMIF(DailyProduction!$Q$5:$Q$100,B506,DailyProduction!$R$5:$R$100),"OK","CHECK")</x:f>
        <x:v>OK</x:v>
      </x:c>
      <x:c r="X506" t="str">
        <x:v>PLC-PRD-JAR-720-L23</x:v>
      </x:c>
      <x:c r="Y506" t="str">
        <x:v>OK</x:v>
      </x:c>
      <x:c r="Z506" t="str">
        <x:v>OK</x:v>
      </x:c>
      <x:c r="AA506" t="n">
        <x:v>3</x:v>
      </x:c>
      <x:c r="AB506" t="n">
        <x:v>2</x:v>
      </x:c>
      <x:c r="AC506" t="str">
        <x:v>OK</x:v>
      </x:c>
      <x:c r="AD506" t="str">
        <x:v>OK</x:v>
      </x:c>
      <x:c r="AE506" t="str">
        <x:v>LOAD</x:v>
      </x:c>
      <x:c r="AF506" t="str">
        <x:v>02_Supervisor_Log(4).xlsx</x:v>
      </x:c>
      <x:c r="AG506" t="str">
        <x:v>ENH-20260830-01</x:v>
      </x:c>
      <x:c r="AH506" t="str">
        <x:v>Active</x:v>
      </x:c>
      <x:c r="AI506"/>
      <x:c r="AJ506"/>
      <x:c r="AK506"/>
      <x:c r="AL506"/>
    </x:row>
    <x:row r="507">
      <x:c r="A507" t="s">
        <x:v>738</x:v>
      </x:c>
      <x:c r="B507" t="s">
        <x:v>730</x:v>
      </x:c>
      <x:c r="C507" t="s">
        <x:v>44</x:v>
      </x:c>
      <x:c r="D507">
        <x:v>45955</x:v>
      </x:c>
      <x:c r="E507" t="s">
        <x:v>45</x:v>
      </x:c>
      <x:c r="F507" t="s">
        <x:v>51</x:v>
      </x:c>
      <x:c r="G507">
        <x:v>23</x:v>
      </x:c>
      <x:c r="H507" t="s">
        <x:v>65</x:v>
      </x:c>
      <x:c r="I507">
        <x:v>9</x:v>
      </x:c>
      <x:c r="J507">
        <x:v>12</x:v>
      </x:c>
      <x:c r="K507">
        <x:v>2</x:v>
      </x:c>
      <x:c r="L507">
        <x:f t="shared" si="49"/>
        <x:v>1</x:v>
      </x:c>
      <x:c r="P507">
        <x:f t="shared" si="50"/>
        <x:v>1</x:v>
      </x:c>
      <x:c r="Q507">
        <x:f t="shared" si="51"/>
        <x:v>1</x:v>
      </x:c>
      <x:c r="R507">
        <x:f t="shared" si="52"/>
        <x:v>0</x:v>
      </x:c>
      <x:c r="S507">
        <x:f t="shared" si="53"/>
        <x:v>2</x:v>
      </x:c>
      <x:c r="T507" t="str">
        <x:f t="shared" si="54"/>
        <x:v>DerivedFromCount</x:v>
      </x:c>
      <x:c r="U507" t="str">
        <x:f>IF(COUNTIF(DailyProduction!$Q$5:$Q$100,B507)=1,"OK","CHECK")</x:f>
        <x:v>OK</x:v>
      </x:c>
      <x:c r="V507" t="str">
        <x:f t="shared" si="55"/>
        <x:v>OK</x:v>
      </x:c>
      <x:c r="W507" t="str">
        <x:f>IF(SUMIF($B$5:$B$914,B507,$S$5:$S$914)=SUMIF(DailyProduction!$Q$5:$Q$100,B507,DailyProduction!$R$5:$R$100),"OK","CHECK")</x:f>
        <x:v>OK</x:v>
      </x:c>
      <x:c r="X507" t="str">
        <x:v>PLC-PRD-JAR-720-L23</x:v>
      </x:c>
      <x:c r="Y507" t="str">
        <x:v>OK</x:v>
      </x:c>
      <x:c r="Z507" t="str">
        <x:v>OK</x:v>
      </x:c>
      <x:c r="AA507" t="n">
        <x:v>3</x:v>
      </x:c>
      <x:c r="AB507" t="n">
        <x:v>2</x:v>
      </x:c>
      <x:c r="AC507" t="str">
        <x:v>OK</x:v>
      </x:c>
      <x:c r="AD507" t="str">
        <x:v>OK</x:v>
      </x:c>
      <x:c r="AE507" t="str">
        <x:v>LOAD</x:v>
      </x:c>
      <x:c r="AF507" t="str">
        <x:v>02_Supervisor_Log(4).xlsx</x:v>
      </x:c>
      <x:c r="AG507" t="str">
        <x:v>ENH-20260830-01</x:v>
      </x:c>
      <x:c r="AH507" t="str">
        <x:v>Active</x:v>
      </x:c>
      <x:c r="AI507"/>
      <x:c r="AJ507"/>
      <x:c r="AK507"/>
      <x:c r="AL507"/>
    </x:row>
    <x:row r="508">
      <x:c r="A508" t="s">
        <x:v>739</x:v>
      </x:c>
      <x:c r="B508" t="s">
        <x:v>730</x:v>
      </x:c>
      <x:c r="C508" t="s">
        <x:v>44</x:v>
      </x:c>
      <x:c r="D508">
        <x:v>45955</x:v>
      </x:c>
      <x:c r="E508" t="s">
        <x:v>45</x:v>
      </x:c>
      <x:c r="F508" t="s">
        <x:v>51</x:v>
      </x:c>
      <x:c r="G508">
        <x:v>23</x:v>
      </x:c>
      <x:c r="H508" t="s">
        <x:v>65</x:v>
      </x:c>
      <x:c r="I508">
        <x:v>10</x:v>
      </x:c>
      <x:c r="J508">
        <x:v>12</x:v>
      </x:c>
      <x:c r="K508">
        <x:v>2</x:v>
      </x:c>
      <x:c r="L508">
        <x:f t="shared" si="49"/>
        <x:v>1</x:v>
      </x:c>
      <x:c r="P508">
        <x:f t="shared" si="50"/>
        <x:v>1</x:v>
      </x:c>
      <x:c r="Q508">
        <x:f t="shared" si="51"/>
        <x:v>1</x:v>
      </x:c>
      <x:c r="R508">
        <x:f t="shared" si="52"/>
        <x:v>0</x:v>
      </x:c>
      <x:c r="S508">
        <x:f t="shared" si="53"/>
        <x:v>2</x:v>
      </x:c>
      <x:c r="T508" t="str">
        <x:f t="shared" si="54"/>
        <x:v>DerivedFromCount</x:v>
      </x:c>
      <x:c r="U508" t="str">
        <x:f>IF(COUNTIF(DailyProduction!$Q$5:$Q$100,B508)=1,"OK","CHECK")</x:f>
        <x:v>OK</x:v>
      </x:c>
      <x:c r="V508" t="str">
        <x:f t="shared" si="55"/>
        <x:v>OK</x:v>
      </x:c>
      <x:c r="W508" t="str">
        <x:f>IF(SUMIF($B$5:$B$914,B508,$S$5:$S$914)=SUMIF(DailyProduction!$Q$5:$Q$100,B508,DailyProduction!$R$5:$R$100),"OK","CHECK")</x:f>
        <x:v>OK</x:v>
      </x:c>
      <x:c r="X508" t="str">
        <x:v>PLC-PRD-JAR-720-L23</x:v>
      </x:c>
      <x:c r="Y508" t="str">
        <x:v>OK</x:v>
      </x:c>
      <x:c r="Z508" t="str">
        <x:v>OK</x:v>
      </x:c>
      <x:c r="AA508" t="n">
        <x:v>3</x:v>
      </x:c>
      <x:c r="AB508" t="n">
        <x:v>2</x:v>
      </x:c>
      <x:c r="AC508" t="str">
        <x:v>OK</x:v>
      </x:c>
      <x:c r="AD508" t="str">
        <x:v>OK</x:v>
      </x:c>
      <x:c r="AE508" t="str">
        <x:v>LOAD</x:v>
      </x:c>
      <x:c r="AF508" t="str">
        <x:v>02_Supervisor_Log(4).xlsx</x:v>
      </x:c>
      <x:c r="AG508" t="str">
        <x:v>ENH-20260830-01</x:v>
      </x:c>
      <x:c r="AH508" t="str">
        <x:v>Active</x:v>
      </x:c>
      <x:c r="AI508"/>
      <x:c r="AJ508"/>
      <x:c r="AK508"/>
      <x:c r="AL508"/>
    </x:row>
    <x:row r="509">
      <x:c r="A509" t="s">
        <x:v>740</x:v>
      </x:c>
      <x:c r="B509" t="s">
        <x:v>730</x:v>
      </x:c>
      <x:c r="C509" t="s">
        <x:v>44</x:v>
      </x:c>
      <x:c r="D509">
        <x:v>45955</x:v>
      </x:c>
      <x:c r="E509" t="s">
        <x:v>45</x:v>
      </x:c>
      <x:c r="F509" t="s">
        <x:v>51</x:v>
      </x:c>
      <x:c r="G509">
        <x:v>23</x:v>
      </x:c>
      <x:c r="H509" t="s">
        <x:v>65</x:v>
      </x:c>
      <x:c r="I509">
        <x:v>11</x:v>
      </x:c>
      <x:c r="J509">
        <x:v>12</x:v>
      </x:c>
      <x:c r="K509">
        <x:v>2</x:v>
      </x:c>
      <x:c r="L509">
        <x:f t="shared" si="49"/>
        <x:v>1</x:v>
      </x:c>
      <x:c r="P509">
        <x:f t="shared" si="50"/>
        <x:v>1</x:v>
      </x:c>
      <x:c r="Q509">
        <x:f t="shared" si="51"/>
        <x:v>1</x:v>
      </x:c>
      <x:c r="R509">
        <x:f t="shared" si="52"/>
        <x:v>0</x:v>
      </x:c>
      <x:c r="S509">
        <x:f t="shared" si="53"/>
        <x:v>2</x:v>
      </x:c>
      <x:c r="T509" t="str">
        <x:f t="shared" si="54"/>
        <x:v>DerivedFromCount</x:v>
      </x:c>
      <x:c r="U509" t="str">
        <x:f>IF(COUNTIF(DailyProduction!$Q$5:$Q$100,B509)=1,"OK","CHECK")</x:f>
        <x:v>OK</x:v>
      </x:c>
      <x:c r="V509" t="str">
        <x:f t="shared" si="55"/>
        <x:v>OK</x:v>
      </x:c>
      <x:c r="W509" t="str">
        <x:f>IF(SUMIF($B$5:$B$914,B509,$S$5:$S$914)=SUMIF(DailyProduction!$Q$5:$Q$100,B509,DailyProduction!$R$5:$R$100),"OK","CHECK")</x:f>
        <x:v>OK</x:v>
      </x:c>
      <x:c r="X509" t="str">
        <x:v>PLC-PRD-JAR-720-L23</x:v>
      </x:c>
      <x:c r="Y509" t="str">
        <x:v>OK</x:v>
      </x:c>
      <x:c r="Z509" t="str">
        <x:v>OK</x:v>
      </x:c>
      <x:c r="AA509" t="n">
        <x:v>3</x:v>
      </x:c>
      <x:c r="AB509" t="n">
        <x:v>2</x:v>
      </x:c>
      <x:c r="AC509" t="str">
        <x:v>OK</x:v>
      </x:c>
      <x:c r="AD509" t="str">
        <x:v>OK</x:v>
      </x:c>
      <x:c r="AE509" t="str">
        <x:v>LOAD</x:v>
      </x:c>
      <x:c r="AF509" t="str">
        <x:v>02_Supervisor_Log(4).xlsx</x:v>
      </x:c>
      <x:c r="AG509" t="str">
        <x:v>ENH-20260830-01</x:v>
      </x:c>
      <x:c r="AH509" t="str">
        <x:v>Active</x:v>
      </x:c>
      <x:c r="AI509"/>
      <x:c r="AJ509"/>
      <x:c r="AK509"/>
      <x:c r="AL509"/>
    </x:row>
    <x:row r="510">
      <x:c r="A510" t="s">
        <x:v>741</x:v>
      </x:c>
      <x:c r="B510" t="s">
        <x:v>730</x:v>
      </x:c>
      <x:c r="C510" t="s">
        <x:v>44</x:v>
      </x:c>
      <x:c r="D510">
        <x:v>45955</x:v>
      </x:c>
      <x:c r="E510" t="s">
        <x:v>45</x:v>
      </x:c>
      <x:c r="F510" t="s">
        <x:v>51</x:v>
      </x:c>
      <x:c r="G510">
        <x:v>23</x:v>
      </x:c>
      <x:c r="H510" t="s">
        <x:v>65</x:v>
      </x:c>
      <x:c r="I510">
        <x:v>12</x:v>
      </x:c>
      <x:c r="J510">
        <x:v>12</x:v>
      </x:c>
      <x:c r="K510">
        <x:v>2</x:v>
      </x:c>
      <x:c r="L510">
        <x:f t="shared" si="49"/>
        <x:v>1</x:v>
      </x:c>
      <x:c r="P510">
        <x:f t="shared" si="50"/>
        <x:v>1</x:v>
      </x:c>
      <x:c r="Q510">
        <x:f t="shared" si="51"/>
        <x:v>1</x:v>
      </x:c>
      <x:c r="R510">
        <x:f t="shared" si="52"/>
        <x:v>0</x:v>
      </x:c>
      <x:c r="S510">
        <x:f t="shared" si="53"/>
        <x:v>2</x:v>
      </x:c>
      <x:c r="T510" t="str">
        <x:f t="shared" si="54"/>
        <x:v>DerivedFromCount</x:v>
      </x:c>
      <x:c r="U510" t="str">
        <x:f>IF(COUNTIF(DailyProduction!$Q$5:$Q$100,B510)=1,"OK","CHECK")</x:f>
        <x:v>OK</x:v>
      </x:c>
      <x:c r="V510" t="str">
        <x:f t="shared" si="55"/>
        <x:v>OK</x:v>
      </x:c>
      <x:c r="W510" t="str">
        <x:f>IF(SUMIF($B$5:$B$914,B510,$S$5:$S$914)=SUMIF(DailyProduction!$Q$5:$Q$100,B510,DailyProduction!$R$5:$R$100),"OK","CHECK")</x:f>
        <x:v>OK</x:v>
      </x:c>
      <x:c r="X510" t="str">
        <x:v>PLC-PRD-JAR-720-L23</x:v>
      </x:c>
      <x:c r="Y510" t="str">
        <x:v>OK</x:v>
      </x:c>
      <x:c r="Z510" t="str">
        <x:v>OK</x:v>
      </x:c>
      <x:c r="AA510" t="n">
        <x:v>3</x:v>
      </x:c>
      <x:c r="AB510" t="n">
        <x:v>2</x:v>
      </x:c>
      <x:c r="AC510" t="str">
        <x:v>OK</x:v>
      </x:c>
      <x:c r="AD510" t="str">
        <x:v>OK</x:v>
      </x:c>
      <x:c r="AE510" t="str">
        <x:v>LOAD</x:v>
      </x:c>
      <x:c r="AF510" t="str">
        <x:v>02_Supervisor_Log(4).xlsx</x:v>
      </x:c>
      <x:c r="AG510" t="str">
        <x:v>ENH-20260830-01</x:v>
      </x:c>
      <x:c r="AH510" t="str">
        <x:v>Active</x:v>
      </x:c>
      <x:c r="AI510"/>
      <x:c r="AJ510"/>
      <x:c r="AK510"/>
      <x:c r="AL510"/>
    </x:row>
    <x:row r="511">
      <x:c r="A511" t="s">
        <x:v>742</x:v>
      </x:c>
      <x:c r="B511" t="s">
        <x:v>730</x:v>
      </x:c>
      <x:c r="C511" t="s">
        <x:v>44</x:v>
      </x:c>
      <x:c r="D511">
        <x:v>45955</x:v>
      </x:c>
      <x:c r="E511" t="s">
        <x:v>45</x:v>
      </x:c>
      <x:c r="F511" t="s">
        <x:v>51</x:v>
      </x:c>
      <x:c r="G511">
        <x:v>23</x:v>
      </x:c>
      <x:c r="H511" t="s">
        <x:v>65</x:v>
      </x:c>
      <x:c r="I511">
        <x:v>13</x:v>
      </x:c>
      <x:c r="J511">
        <x:v>12</x:v>
      </x:c>
      <x:c r="K511">
        <x:v>2</x:v>
      </x:c>
      <x:c r="L511">
        <x:f t="shared" si="49"/>
        <x:v>0</x:v>
      </x:c>
      <x:c r="P511">
        <x:f t="shared" si="50"/>
        <x:v>0</x:v>
      </x:c>
      <x:c r="Q511">
        <x:f t="shared" si="51"/>
        <x:v>0</x:v>
      </x:c>
      <x:c r="R511">
        <x:f t="shared" si="52"/>
        <x:v>0</x:v>
      </x:c>
      <x:c r="S511">
        <x:f t="shared" si="53"/>
        <x:v>0</x:v>
      </x:c>
      <x:c r="T511" t="str">
        <x:f t="shared" si="54"/>
        <x:v>DerivedFromCount</x:v>
      </x:c>
      <x:c r="U511" t="str">
        <x:f>IF(COUNTIF(DailyProduction!$Q$5:$Q$100,B511)=1,"OK","CHECK")</x:f>
        <x:v>OK</x:v>
      </x:c>
      <x:c r="V511" t="str">
        <x:f t="shared" si="55"/>
        <x:v>OK</x:v>
      </x:c>
      <x:c r="W511" t="str">
        <x:f>IF(SUMIF($B$5:$B$914,B511,$S$5:$S$914)=SUMIF(DailyProduction!$Q$5:$Q$100,B511,DailyProduction!$R$5:$R$100),"OK","CHECK")</x:f>
        <x:v>OK</x:v>
      </x:c>
      <x:c r="X511" t="str">
        <x:v>PLC-PRD-JAR-720-L23</x:v>
      </x:c>
      <x:c r="Y511" t="str">
        <x:v>OK</x:v>
      </x:c>
      <x:c r="Z511" t="str">
        <x:v>OK</x:v>
      </x:c>
      <x:c r="AA511" t="n">
        <x:v>3</x:v>
      </x:c>
      <x:c r="AB511" t="n">
        <x:v>0</x:v>
      </x:c>
      <x:c r="AC511" t="str">
        <x:v>OK</x:v>
      </x:c>
      <x:c r="AD511" t="str">
        <x:v>OK</x:v>
      </x:c>
      <x:c r="AE511" t="str">
        <x:v>LOAD</x:v>
      </x:c>
      <x:c r="AF511" t="str">
        <x:v>02_Supervisor_Log(4).xlsx</x:v>
      </x:c>
      <x:c r="AG511" t="str">
        <x:v>ENH-20260830-01</x:v>
      </x:c>
      <x:c r="AH511" t="str">
        <x:v>Active</x:v>
      </x:c>
      <x:c r="AI511"/>
      <x:c r="AJ511"/>
      <x:c r="AK511"/>
      <x:c r="AL511"/>
    </x:row>
    <x:row r="512">
      <x:c r="A512" t="s">
        <x:v>743</x:v>
      </x:c>
      <x:c r="B512" t="s">
        <x:v>744</x:v>
      </x:c>
      <x:c r="C512" t="s">
        <x:v>44</x:v>
      </x:c>
      <x:c r="D512">
        <x:v>45955</x:v>
      </x:c>
      <x:c r="E512" t="s">
        <x:v>187</x:v>
      </x:c>
      <x:c r="F512" t="s">
        <x:v>55</x:v>
      </x:c>
      <x:c r="G512">
        <x:v>23</x:v>
      </x:c>
      <x:c r="H512" t="s">
        <x:v>65</x:v>
      </x:c>
      <x:c r="I512">
        <x:v>1</x:v>
      </x:c>
      <x:c r="J512">
        <x:v>12</x:v>
      </x:c>
      <x:c r="K512">
        <x:v>2</x:v>
      </x:c>
      <x:c r="L512">
        <x:f t="shared" si="49"/>
        <x:v>1</x:v>
      </x:c>
      <x:c r="P512">
        <x:f t="shared" si="50"/>
        <x:v>1</x:v>
      </x:c>
      <x:c r="Q512">
        <x:f t="shared" si="51"/>
        <x:v>1</x:v>
      </x:c>
      <x:c r="R512">
        <x:f t="shared" si="52"/>
        <x:v>0</x:v>
      </x:c>
      <x:c r="S512">
        <x:f t="shared" si="53"/>
        <x:v>2</x:v>
      </x:c>
      <x:c r="T512" t="str">
        <x:f t="shared" si="54"/>
        <x:v>DerivedFromCount</x:v>
      </x:c>
      <x:c r="U512" t="str">
        <x:f>IF(COUNTIF(DailyProduction!$Q$5:$Q$100,B512)=1,"OK","CHECK")</x:f>
        <x:v>OK</x:v>
      </x:c>
      <x:c r="V512" t="str">
        <x:f t="shared" si="55"/>
        <x:v>OK</x:v>
      </x:c>
      <x:c r="W512" t="str">
        <x:f>IF(SUMIF($B$5:$B$914,B512,$S$5:$S$914)=SUMIF(DailyProduction!$Q$5:$Q$100,B512,DailyProduction!$R$5:$R$100),"OK","CHECK")</x:f>
        <x:v>OK</x:v>
      </x:c>
      <x:c r="X512" t="str">
        <x:v>PLC-PRD-JAR-720-L23</x:v>
      </x:c>
      <x:c r="Y512" t="str">
        <x:v>OK</x:v>
      </x:c>
      <x:c r="Z512" t="str">
        <x:v>OK</x:v>
      </x:c>
      <x:c r="AA512" t="n">
        <x:v>3</x:v>
      </x:c>
      <x:c r="AB512" t="n">
        <x:v>2</x:v>
      </x:c>
      <x:c r="AC512" t="str">
        <x:v>OK</x:v>
      </x:c>
      <x:c r="AD512" t="str">
        <x:v>OK</x:v>
      </x:c>
      <x:c r="AE512" t="str">
        <x:v>LOAD</x:v>
      </x:c>
      <x:c r="AF512" t="str">
        <x:v>02_Supervisor_Log(4).xlsx</x:v>
      </x:c>
      <x:c r="AG512" t="str">
        <x:v>ENH-20260830-01</x:v>
      </x:c>
      <x:c r="AH512" t="str">
        <x:v>Active</x:v>
      </x:c>
      <x:c r="AI512"/>
      <x:c r="AJ512"/>
      <x:c r="AK512"/>
      <x:c r="AL512"/>
    </x:row>
    <x:row r="513">
      <x:c r="A513" t="s">
        <x:v>745</x:v>
      </x:c>
      <x:c r="B513" t="s">
        <x:v>744</x:v>
      </x:c>
      <x:c r="C513" t="s">
        <x:v>44</x:v>
      </x:c>
      <x:c r="D513">
        <x:v>45955</x:v>
      </x:c>
      <x:c r="E513" t="s">
        <x:v>187</x:v>
      </x:c>
      <x:c r="F513" t="s">
        <x:v>55</x:v>
      </x:c>
      <x:c r="G513">
        <x:v>23</x:v>
      </x:c>
      <x:c r="H513" t="s">
        <x:v>65</x:v>
      </x:c>
      <x:c r="I513">
        <x:v>2</x:v>
      </x:c>
      <x:c r="J513">
        <x:v>12</x:v>
      </x:c>
      <x:c r="K513">
        <x:v>2</x:v>
      </x:c>
      <x:c r="L513">
        <x:f t="shared" si="49"/>
        <x:v>1</x:v>
      </x:c>
      <x:c r="P513">
        <x:f t="shared" si="50"/>
        <x:v>1</x:v>
      </x:c>
      <x:c r="Q513">
        <x:f t="shared" si="51"/>
        <x:v>1</x:v>
      </x:c>
      <x:c r="R513">
        <x:f t="shared" si="52"/>
        <x:v>0</x:v>
      </x:c>
      <x:c r="S513">
        <x:f t="shared" si="53"/>
        <x:v>2</x:v>
      </x:c>
      <x:c r="T513" t="str">
        <x:f t="shared" si="54"/>
        <x:v>DerivedFromCount</x:v>
      </x:c>
      <x:c r="U513" t="str">
        <x:f>IF(COUNTIF(DailyProduction!$Q$5:$Q$100,B513)=1,"OK","CHECK")</x:f>
        <x:v>OK</x:v>
      </x:c>
      <x:c r="V513" t="str">
        <x:f t="shared" si="55"/>
        <x:v>OK</x:v>
      </x:c>
      <x:c r="W513" t="str">
        <x:f>IF(SUMIF($B$5:$B$914,B513,$S$5:$S$914)=SUMIF(DailyProduction!$Q$5:$Q$100,B513,DailyProduction!$R$5:$R$100),"OK","CHECK")</x:f>
        <x:v>OK</x:v>
      </x:c>
      <x:c r="X513" t="str">
        <x:v>PLC-PRD-JAR-720-L23</x:v>
      </x:c>
      <x:c r="Y513" t="str">
        <x:v>OK</x:v>
      </x:c>
      <x:c r="Z513" t="str">
        <x:v>OK</x:v>
      </x:c>
      <x:c r="AA513" t="n">
        <x:v>3</x:v>
      </x:c>
      <x:c r="AB513" t="n">
        <x:v>2</x:v>
      </x:c>
      <x:c r="AC513" t="str">
        <x:v>OK</x:v>
      </x:c>
      <x:c r="AD513" t="str">
        <x:v>OK</x:v>
      </x:c>
      <x:c r="AE513" t="str">
        <x:v>LOAD</x:v>
      </x:c>
      <x:c r="AF513" t="str">
        <x:v>02_Supervisor_Log(4).xlsx</x:v>
      </x:c>
      <x:c r="AG513" t="str">
        <x:v>ENH-20260830-01</x:v>
      </x:c>
      <x:c r="AH513" t="str">
        <x:v>Active</x:v>
      </x:c>
      <x:c r="AI513"/>
      <x:c r="AJ513"/>
      <x:c r="AK513"/>
      <x:c r="AL513"/>
    </x:row>
    <x:row r="514">
      <x:c r="A514" t="s">
        <x:v>746</x:v>
      </x:c>
      <x:c r="B514" t="s">
        <x:v>744</x:v>
      </x:c>
      <x:c r="C514" t="s">
        <x:v>44</x:v>
      </x:c>
      <x:c r="D514">
        <x:v>45955</x:v>
      </x:c>
      <x:c r="E514" t="s">
        <x:v>187</x:v>
      </x:c>
      <x:c r="F514" t="s">
        <x:v>55</x:v>
      </x:c>
      <x:c r="G514">
        <x:v>23</x:v>
      </x:c>
      <x:c r="H514" t="s">
        <x:v>65</x:v>
      </x:c>
      <x:c r="I514">
        <x:v>3</x:v>
      </x:c>
      <x:c r="J514">
        <x:v>12</x:v>
      </x:c>
      <x:c r="K514">
        <x:v>2</x:v>
      </x:c>
      <x:c r="L514">
        <x:f t="shared" si="49"/>
        <x:v>1</x:v>
      </x:c>
      <x:c r="P514">
        <x:f t="shared" si="50"/>
        <x:v>1</x:v>
      </x:c>
      <x:c r="Q514">
        <x:f t="shared" si="51"/>
        <x:v>1</x:v>
      </x:c>
      <x:c r="R514">
        <x:f t="shared" si="52"/>
        <x:v>0</x:v>
      </x:c>
      <x:c r="S514">
        <x:f t="shared" si="53"/>
        <x:v>2</x:v>
      </x:c>
      <x:c r="T514" t="str">
        <x:f t="shared" si="54"/>
        <x:v>DerivedFromCount</x:v>
      </x:c>
      <x:c r="U514" t="str">
        <x:f>IF(COUNTIF(DailyProduction!$Q$5:$Q$100,B514)=1,"OK","CHECK")</x:f>
        <x:v>OK</x:v>
      </x:c>
      <x:c r="V514" t="str">
        <x:f t="shared" si="55"/>
        <x:v>OK</x:v>
      </x:c>
      <x:c r="W514" t="str">
        <x:f>IF(SUMIF($B$5:$B$914,B514,$S$5:$S$914)=SUMIF(DailyProduction!$Q$5:$Q$100,B514,DailyProduction!$R$5:$R$100),"OK","CHECK")</x:f>
        <x:v>OK</x:v>
      </x:c>
      <x:c r="X514" t="str">
        <x:v>PLC-PRD-JAR-720-L23</x:v>
      </x:c>
      <x:c r="Y514" t="str">
        <x:v>OK</x:v>
      </x:c>
      <x:c r="Z514" t="str">
        <x:v>OK</x:v>
      </x:c>
      <x:c r="AA514" t="n">
        <x:v>3</x:v>
      </x:c>
      <x:c r="AB514" t="n">
        <x:v>2</x:v>
      </x:c>
      <x:c r="AC514" t="str">
        <x:v>OK</x:v>
      </x:c>
      <x:c r="AD514" t="str">
        <x:v>OK</x:v>
      </x:c>
      <x:c r="AE514" t="str">
        <x:v>LOAD</x:v>
      </x:c>
      <x:c r="AF514" t="str">
        <x:v>02_Supervisor_Log(4).xlsx</x:v>
      </x:c>
      <x:c r="AG514" t="str">
        <x:v>ENH-20260830-01</x:v>
      </x:c>
      <x:c r="AH514" t="str">
        <x:v>Active</x:v>
      </x:c>
      <x:c r="AI514"/>
      <x:c r="AJ514"/>
      <x:c r="AK514"/>
      <x:c r="AL514"/>
    </x:row>
    <x:row r="515">
      <x:c r="A515" t="s">
        <x:v>747</x:v>
      </x:c>
      <x:c r="B515" t="s">
        <x:v>744</x:v>
      </x:c>
      <x:c r="C515" t="s">
        <x:v>44</x:v>
      </x:c>
      <x:c r="D515">
        <x:v>45955</x:v>
      </x:c>
      <x:c r="E515" t="s">
        <x:v>187</x:v>
      </x:c>
      <x:c r="F515" t="s">
        <x:v>55</x:v>
      </x:c>
      <x:c r="G515">
        <x:v>23</x:v>
      </x:c>
      <x:c r="H515" t="s">
        <x:v>65</x:v>
      </x:c>
      <x:c r="I515">
        <x:v>4</x:v>
      </x:c>
      <x:c r="J515">
        <x:v>12</x:v>
      </x:c>
      <x:c r="K515">
        <x:v>2</x:v>
      </x:c>
      <x:c r="L515">
        <x:f t="shared" si="49"/>
        <x:v>1</x:v>
      </x:c>
      <x:c r="P515">
        <x:f t="shared" si="50"/>
        <x:v>1</x:v>
      </x:c>
      <x:c r="Q515">
        <x:f t="shared" si="51"/>
        <x:v>1</x:v>
      </x:c>
      <x:c r="R515">
        <x:f t="shared" si="52"/>
        <x:v>0</x:v>
      </x:c>
      <x:c r="S515">
        <x:f t="shared" si="53"/>
        <x:v>2</x:v>
      </x:c>
      <x:c r="T515" t="str">
        <x:f t="shared" si="54"/>
        <x:v>DerivedFromCount</x:v>
      </x:c>
      <x:c r="U515" t="str">
        <x:f>IF(COUNTIF(DailyProduction!$Q$5:$Q$100,B515)=1,"OK","CHECK")</x:f>
        <x:v>OK</x:v>
      </x:c>
      <x:c r="V515" t="str">
        <x:f t="shared" si="55"/>
        <x:v>OK</x:v>
      </x:c>
      <x:c r="W515" t="str">
        <x:f>IF(SUMIF($B$5:$B$914,B515,$S$5:$S$914)=SUMIF(DailyProduction!$Q$5:$Q$100,B515,DailyProduction!$R$5:$R$100),"OK","CHECK")</x:f>
        <x:v>OK</x:v>
      </x:c>
      <x:c r="X515" t="str">
        <x:v>PLC-PRD-JAR-720-L23</x:v>
      </x:c>
      <x:c r="Y515" t="str">
        <x:v>OK</x:v>
      </x:c>
      <x:c r="Z515" t="str">
        <x:v>OK</x:v>
      </x:c>
      <x:c r="AA515" t="n">
        <x:v>3</x:v>
      </x:c>
      <x:c r="AB515" t="n">
        <x:v>2</x:v>
      </x:c>
      <x:c r="AC515" t="str">
        <x:v>OK</x:v>
      </x:c>
      <x:c r="AD515" t="str">
        <x:v>OK</x:v>
      </x:c>
      <x:c r="AE515" t="str">
        <x:v>LOAD</x:v>
      </x:c>
      <x:c r="AF515" t="str">
        <x:v>02_Supervisor_Log(4).xlsx</x:v>
      </x:c>
      <x:c r="AG515" t="str">
        <x:v>ENH-20260830-01</x:v>
      </x:c>
      <x:c r="AH515" t="str">
        <x:v>Active</x:v>
      </x:c>
      <x:c r="AI515"/>
      <x:c r="AJ515"/>
      <x:c r="AK515"/>
      <x:c r="AL515"/>
    </x:row>
    <x:row r="516">
      <x:c r="A516" t="s">
        <x:v>748</x:v>
      </x:c>
      <x:c r="B516" t="s">
        <x:v>744</x:v>
      </x:c>
      <x:c r="C516" t="s">
        <x:v>44</x:v>
      </x:c>
      <x:c r="D516">
        <x:v>45955</x:v>
      </x:c>
      <x:c r="E516" t="s">
        <x:v>187</x:v>
      </x:c>
      <x:c r="F516" t="s">
        <x:v>55</x:v>
      </x:c>
      <x:c r="G516">
        <x:v>23</x:v>
      </x:c>
      <x:c r="H516" t="s">
        <x:v>65</x:v>
      </x:c>
      <x:c r="I516">
        <x:v>5</x:v>
      </x:c>
      <x:c r="J516">
        <x:v>12</x:v>
      </x:c>
      <x:c r="K516">
        <x:v>2</x:v>
      </x:c>
      <x:c r="L516">
        <x:f t="shared" si="49"/>
        <x:v>1</x:v>
      </x:c>
      <x:c r="P516">
        <x:f t="shared" si="50"/>
        <x:v>1</x:v>
      </x:c>
      <x:c r="Q516">
        <x:f t="shared" si="51"/>
        <x:v>1</x:v>
      </x:c>
      <x:c r="R516">
        <x:f t="shared" si="52"/>
        <x:v>0</x:v>
      </x:c>
      <x:c r="S516">
        <x:f t="shared" si="53"/>
        <x:v>2</x:v>
      </x:c>
      <x:c r="T516" t="str">
        <x:f t="shared" si="54"/>
        <x:v>DerivedFromCount</x:v>
      </x:c>
      <x:c r="U516" t="str">
        <x:f>IF(COUNTIF(DailyProduction!$Q$5:$Q$100,B516)=1,"OK","CHECK")</x:f>
        <x:v>OK</x:v>
      </x:c>
      <x:c r="V516" t="str">
        <x:f t="shared" si="55"/>
        <x:v>OK</x:v>
      </x:c>
      <x:c r="W516" t="str">
        <x:f>IF(SUMIF($B$5:$B$914,B516,$S$5:$S$914)=SUMIF(DailyProduction!$Q$5:$Q$100,B516,DailyProduction!$R$5:$R$100),"OK","CHECK")</x:f>
        <x:v>OK</x:v>
      </x:c>
      <x:c r="X516" t="str">
        <x:v>PLC-PRD-JAR-720-L23</x:v>
      </x:c>
      <x:c r="Y516" t="str">
        <x:v>OK</x:v>
      </x:c>
      <x:c r="Z516" t="str">
        <x:v>OK</x:v>
      </x:c>
      <x:c r="AA516" t="n">
        <x:v>3</x:v>
      </x:c>
      <x:c r="AB516" t="n">
        <x:v>2</x:v>
      </x:c>
      <x:c r="AC516" t="str">
        <x:v>OK</x:v>
      </x:c>
      <x:c r="AD516" t="str">
        <x:v>OK</x:v>
      </x:c>
      <x:c r="AE516" t="str">
        <x:v>LOAD</x:v>
      </x:c>
      <x:c r="AF516" t="str">
        <x:v>02_Supervisor_Log(4).xlsx</x:v>
      </x:c>
      <x:c r="AG516" t="str">
        <x:v>ENH-20260830-01</x:v>
      </x:c>
      <x:c r="AH516" t="str">
        <x:v>Active</x:v>
      </x:c>
      <x:c r="AI516"/>
      <x:c r="AJ516"/>
      <x:c r="AK516"/>
      <x:c r="AL516"/>
    </x:row>
    <x:row r="517">
      <x:c r="A517" t="s">
        <x:v>749</x:v>
      </x:c>
      <x:c r="B517" t="s">
        <x:v>744</x:v>
      </x:c>
      <x:c r="C517" t="s">
        <x:v>44</x:v>
      </x:c>
      <x:c r="D517">
        <x:v>45955</x:v>
      </x:c>
      <x:c r="E517" t="s">
        <x:v>187</x:v>
      </x:c>
      <x:c r="F517" t="s">
        <x:v>55</x:v>
      </x:c>
      <x:c r="G517">
        <x:v>23</x:v>
      </x:c>
      <x:c r="H517" t="s">
        <x:v>65</x:v>
      </x:c>
      <x:c r="I517">
        <x:v>6</x:v>
      </x:c>
      <x:c r="J517">
        <x:v>12</x:v>
      </x:c>
      <x:c r="K517">
        <x:v>2</x:v>
      </x:c>
      <x:c r="L517" t="n">
        <x:f t="shared" ref="L517:L580" si="56">IF(I517&lt;=J517,1,0)</x:f>
        <x:v>1</x:v>
      </x:c>
      <x:c r="P517" t="n">
        <x:f t="shared" ref="P517:P580" si="57">IF(M517="",IF(AND(L517=1,K517&gt;=1),1,0),M517)</x:f>
        <x:v>1</x:v>
      </x:c>
      <x:c r="Q517" t="n">
        <x:f t="shared" ref="Q517:Q580" si="58">IF(N517="",IF(AND(L517=1,K517&gt;=2),1,0),N517)</x:f>
        <x:v>1</x:v>
      </x:c>
      <x:c r="R517" t="n">
        <x:f t="shared" ref="R517:R580" si="59">IF(O517="",IF(AND(L517=1,K517&gt;=3),1,0),O517)</x:f>
        <x:v>0</x:v>
      </x:c>
      <x:c r="S517" t="n">
        <x:f t="shared" ref="S517:S580" si="60">SUM(P517:R517)</x:f>
        <x:v>2</x:v>
      </x:c>
      <x:c r="T517" t="str">
        <x:f t="shared" ref="T517:T580" si="61">IF(COUNTA(M517:O517)=0,"DerivedFromCount","ManualOverride")</x:f>
        <x:v>DerivedFromCount</x:v>
      </x:c>
      <x:c r="U517" t="str">
        <x:f>IF(COUNTIF(DailyProduction!$Q$5:$Q$100,B517)=1,"OK","CHECK")</x:f>
        <x:v>OK</x:v>
      </x:c>
      <x:c r="V517" t="str">
        <x:f t="shared" ref="V517:V580" si="62">IF(AND(I517&gt;=1,I517&lt;=13,K517&gt;=1,K517&lt;=3),"OK","CHECK")</x:f>
        <x:v>OK</x:v>
      </x:c>
      <x:c r="W517" t="str">
        <x:f>IF(SUMIF($B$5:$B$914,B517,$S$5:$S$914)=SUMIF(DailyProduction!$Q$5:$Q$100,B517,DailyProduction!$R$5:$R$100),"OK","CHECK")</x:f>
        <x:v>OK</x:v>
      </x:c>
      <x:c r="X517" t="str">
        <x:v>PLC-PRD-JAR-720-L23</x:v>
      </x:c>
      <x:c r="Y517" t="str">
        <x:v>OK</x:v>
      </x:c>
      <x:c r="Z517" t="str">
        <x:v>OK</x:v>
      </x:c>
      <x:c r="AA517" t="n">
        <x:v>3</x:v>
      </x:c>
      <x:c r="AB517" t="n">
        <x:v>2</x:v>
      </x:c>
      <x:c r="AC517" t="str">
        <x:v>OK</x:v>
      </x:c>
      <x:c r="AD517" t="str">
        <x:v>OK</x:v>
      </x:c>
      <x:c r="AE517" t="str">
        <x:v>LOAD</x:v>
      </x:c>
      <x:c r="AF517" t="str">
        <x:v>02_Supervisor_Log(4).xlsx</x:v>
      </x:c>
      <x:c r="AG517" t="str">
        <x:v>ENH-20260830-01</x:v>
      </x:c>
      <x:c r="AH517" t="str">
        <x:v>Active</x:v>
      </x:c>
      <x:c r="AI517"/>
      <x:c r="AJ517"/>
      <x:c r="AK517"/>
      <x:c r="AL517"/>
    </x:row>
    <x:row r="518">
      <x:c r="A518" t="s">
        <x:v>750</x:v>
      </x:c>
      <x:c r="B518" t="s">
        <x:v>744</x:v>
      </x:c>
      <x:c r="C518" t="s">
        <x:v>44</x:v>
      </x:c>
      <x:c r="D518">
        <x:v>45955</x:v>
      </x:c>
      <x:c r="E518" t="s">
        <x:v>187</x:v>
      </x:c>
      <x:c r="F518" t="s">
        <x:v>55</x:v>
      </x:c>
      <x:c r="G518">
        <x:v>23</x:v>
      </x:c>
      <x:c r="H518" t="s">
        <x:v>65</x:v>
      </x:c>
      <x:c r="I518">
        <x:v>7</x:v>
      </x:c>
      <x:c r="J518">
        <x:v>12</x:v>
      </x:c>
      <x:c r="K518">
        <x:v>2</x:v>
      </x:c>
      <x:c r="L518">
        <x:f t="shared" si="56"/>
        <x:v>1</x:v>
      </x:c>
      <x:c r="P518">
        <x:f t="shared" si="57"/>
        <x:v>1</x:v>
      </x:c>
      <x:c r="Q518">
        <x:f t="shared" si="58"/>
        <x:v>1</x:v>
      </x:c>
      <x:c r="R518">
        <x:f t="shared" si="59"/>
        <x:v>0</x:v>
      </x:c>
      <x:c r="S518">
        <x:f t="shared" si="60"/>
        <x:v>2</x:v>
      </x:c>
      <x:c r="T518" t="str">
        <x:f t="shared" si="61"/>
        <x:v>DerivedFromCount</x:v>
      </x:c>
      <x:c r="U518" t="str">
        <x:f>IF(COUNTIF(DailyProduction!$Q$5:$Q$100,B518)=1,"OK","CHECK")</x:f>
        <x:v>OK</x:v>
      </x:c>
      <x:c r="V518" t="str">
        <x:f t="shared" si="62"/>
        <x:v>OK</x:v>
      </x:c>
      <x:c r="W518" t="str">
        <x:f>IF(SUMIF($B$5:$B$914,B518,$S$5:$S$914)=SUMIF(DailyProduction!$Q$5:$Q$100,B518,DailyProduction!$R$5:$R$100),"OK","CHECK")</x:f>
        <x:v>OK</x:v>
      </x:c>
      <x:c r="X518" t="str">
        <x:v>PLC-PRD-JAR-720-L23</x:v>
      </x:c>
      <x:c r="Y518" t="str">
        <x:v>OK</x:v>
      </x:c>
      <x:c r="Z518" t="str">
        <x:v>OK</x:v>
      </x:c>
      <x:c r="AA518" t="n">
        <x:v>3</x:v>
      </x:c>
      <x:c r="AB518" t="n">
        <x:v>2</x:v>
      </x:c>
      <x:c r="AC518" t="str">
        <x:v>OK</x:v>
      </x:c>
      <x:c r="AD518" t="str">
        <x:v>OK</x:v>
      </x:c>
      <x:c r="AE518" t="str">
        <x:v>LOAD</x:v>
      </x:c>
      <x:c r="AF518" t="str">
        <x:v>02_Supervisor_Log(4).xlsx</x:v>
      </x:c>
      <x:c r="AG518" t="str">
        <x:v>ENH-20260830-01</x:v>
      </x:c>
      <x:c r="AH518" t="str">
        <x:v>Active</x:v>
      </x:c>
      <x:c r="AI518"/>
      <x:c r="AJ518"/>
      <x:c r="AK518"/>
      <x:c r="AL518"/>
    </x:row>
    <x:row r="519">
      <x:c r="A519" t="s">
        <x:v>751</x:v>
      </x:c>
      <x:c r="B519" t="s">
        <x:v>744</x:v>
      </x:c>
      <x:c r="C519" t="s">
        <x:v>44</x:v>
      </x:c>
      <x:c r="D519">
        <x:v>45955</x:v>
      </x:c>
      <x:c r="E519" t="s">
        <x:v>187</x:v>
      </x:c>
      <x:c r="F519" t="s">
        <x:v>55</x:v>
      </x:c>
      <x:c r="G519">
        <x:v>23</x:v>
      </x:c>
      <x:c r="H519" t="s">
        <x:v>65</x:v>
      </x:c>
      <x:c r="I519">
        <x:v>8</x:v>
      </x:c>
      <x:c r="J519">
        <x:v>12</x:v>
      </x:c>
      <x:c r="K519">
        <x:v>2</x:v>
      </x:c>
      <x:c r="L519">
        <x:f t="shared" si="56"/>
        <x:v>1</x:v>
      </x:c>
      <x:c r="P519">
        <x:f t="shared" si="57"/>
        <x:v>1</x:v>
      </x:c>
      <x:c r="Q519">
        <x:f t="shared" si="58"/>
        <x:v>1</x:v>
      </x:c>
      <x:c r="R519">
        <x:f t="shared" si="59"/>
        <x:v>0</x:v>
      </x:c>
      <x:c r="S519">
        <x:f t="shared" si="60"/>
        <x:v>2</x:v>
      </x:c>
      <x:c r="T519" t="str">
        <x:f t="shared" si="61"/>
        <x:v>DerivedFromCount</x:v>
      </x:c>
      <x:c r="U519" t="str">
        <x:f>IF(COUNTIF(DailyProduction!$Q$5:$Q$100,B519)=1,"OK","CHECK")</x:f>
        <x:v>OK</x:v>
      </x:c>
      <x:c r="V519" t="str">
        <x:f t="shared" si="62"/>
        <x:v>OK</x:v>
      </x:c>
      <x:c r="W519" t="str">
        <x:f>IF(SUMIF($B$5:$B$914,B519,$S$5:$S$914)=SUMIF(DailyProduction!$Q$5:$Q$100,B519,DailyProduction!$R$5:$R$100),"OK","CHECK")</x:f>
        <x:v>OK</x:v>
      </x:c>
      <x:c r="X519" t="str">
        <x:v>PLC-PRD-JAR-720-L23</x:v>
      </x:c>
      <x:c r="Y519" t="str">
        <x:v>OK</x:v>
      </x:c>
      <x:c r="Z519" t="str">
        <x:v>OK</x:v>
      </x:c>
      <x:c r="AA519" t="n">
        <x:v>3</x:v>
      </x:c>
      <x:c r="AB519" t="n">
        <x:v>2</x:v>
      </x:c>
      <x:c r="AC519" t="str">
        <x:v>OK</x:v>
      </x:c>
      <x:c r="AD519" t="str">
        <x:v>OK</x:v>
      </x:c>
      <x:c r="AE519" t="str">
        <x:v>LOAD</x:v>
      </x:c>
      <x:c r="AF519" t="str">
        <x:v>02_Supervisor_Log(4).xlsx</x:v>
      </x:c>
      <x:c r="AG519" t="str">
        <x:v>ENH-20260830-01</x:v>
      </x:c>
      <x:c r="AH519" t="str">
        <x:v>Active</x:v>
      </x:c>
      <x:c r="AI519"/>
      <x:c r="AJ519"/>
      <x:c r="AK519"/>
      <x:c r="AL519"/>
    </x:row>
    <x:row r="520">
      <x:c r="A520" t="s">
        <x:v>752</x:v>
      </x:c>
      <x:c r="B520" t="s">
        <x:v>744</x:v>
      </x:c>
      <x:c r="C520" t="s">
        <x:v>44</x:v>
      </x:c>
      <x:c r="D520">
        <x:v>45955</x:v>
      </x:c>
      <x:c r="E520" t="s">
        <x:v>187</x:v>
      </x:c>
      <x:c r="F520" t="s">
        <x:v>55</x:v>
      </x:c>
      <x:c r="G520">
        <x:v>23</x:v>
      </x:c>
      <x:c r="H520" t="s">
        <x:v>65</x:v>
      </x:c>
      <x:c r="I520">
        <x:v>9</x:v>
      </x:c>
      <x:c r="J520">
        <x:v>12</x:v>
      </x:c>
      <x:c r="K520">
        <x:v>2</x:v>
      </x:c>
      <x:c r="L520">
        <x:f t="shared" si="56"/>
        <x:v>1</x:v>
      </x:c>
      <x:c r="P520">
        <x:f t="shared" si="57"/>
        <x:v>1</x:v>
      </x:c>
      <x:c r="Q520">
        <x:f t="shared" si="58"/>
        <x:v>1</x:v>
      </x:c>
      <x:c r="R520">
        <x:f t="shared" si="59"/>
        <x:v>0</x:v>
      </x:c>
      <x:c r="S520">
        <x:f t="shared" si="60"/>
        <x:v>2</x:v>
      </x:c>
      <x:c r="T520" t="str">
        <x:f t="shared" si="61"/>
        <x:v>DerivedFromCount</x:v>
      </x:c>
      <x:c r="U520" t="str">
        <x:f>IF(COUNTIF(DailyProduction!$Q$5:$Q$100,B520)=1,"OK","CHECK")</x:f>
        <x:v>OK</x:v>
      </x:c>
      <x:c r="V520" t="str">
        <x:f t="shared" si="62"/>
        <x:v>OK</x:v>
      </x:c>
      <x:c r="W520" t="str">
        <x:f>IF(SUMIF($B$5:$B$914,B520,$S$5:$S$914)=SUMIF(DailyProduction!$Q$5:$Q$100,B520,DailyProduction!$R$5:$R$100),"OK","CHECK")</x:f>
        <x:v>OK</x:v>
      </x:c>
      <x:c r="X520" t="str">
        <x:v>PLC-PRD-JAR-720-L23</x:v>
      </x:c>
      <x:c r="Y520" t="str">
        <x:v>OK</x:v>
      </x:c>
      <x:c r="Z520" t="str">
        <x:v>OK</x:v>
      </x:c>
      <x:c r="AA520" t="n">
        <x:v>3</x:v>
      </x:c>
      <x:c r="AB520" t="n">
        <x:v>2</x:v>
      </x:c>
      <x:c r="AC520" t="str">
        <x:v>OK</x:v>
      </x:c>
      <x:c r="AD520" t="str">
        <x:v>OK</x:v>
      </x:c>
      <x:c r="AE520" t="str">
        <x:v>LOAD</x:v>
      </x:c>
      <x:c r="AF520" t="str">
        <x:v>02_Supervisor_Log(4).xlsx</x:v>
      </x:c>
      <x:c r="AG520" t="str">
        <x:v>ENH-20260830-01</x:v>
      </x:c>
      <x:c r="AH520" t="str">
        <x:v>Active</x:v>
      </x:c>
      <x:c r="AI520"/>
      <x:c r="AJ520"/>
      <x:c r="AK520"/>
      <x:c r="AL520"/>
    </x:row>
    <x:row r="521">
      <x:c r="A521" t="s">
        <x:v>753</x:v>
      </x:c>
      <x:c r="B521" t="s">
        <x:v>744</x:v>
      </x:c>
      <x:c r="C521" t="s">
        <x:v>44</x:v>
      </x:c>
      <x:c r="D521">
        <x:v>45955</x:v>
      </x:c>
      <x:c r="E521" t="s">
        <x:v>187</x:v>
      </x:c>
      <x:c r="F521" t="s">
        <x:v>55</x:v>
      </x:c>
      <x:c r="G521">
        <x:v>23</x:v>
      </x:c>
      <x:c r="H521" t="s">
        <x:v>65</x:v>
      </x:c>
      <x:c r="I521">
        <x:v>10</x:v>
      </x:c>
      <x:c r="J521">
        <x:v>12</x:v>
      </x:c>
      <x:c r="K521">
        <x:v>2</x:v>
      </x:c>
      <x:c r="L521">
        <x:f t="shared" si="56"/>
        <x:v>1</x:v>
      </x:c>
      <x:c r="P521">
        <x:f t="shared" si="57"/>
        <x:v>1</x:v>
      </x:c>
      <x:c r="Q521">
        <x:f t="shared" si="58"/>
        <x:v>1</x:v>
      </x:c>
      <x:c r="R521">
        <x:f t="shared" si="59"/>
        <x:v>0</x:v>
      </x:c>
      <x:c r="S521">
        <x:f t="shared" si="60"/>
        <x:v>2</x:v>
      </x:c>
      <x:c r="T521" t="str">
        <x:f t="shared" si="61"/>
        <x:v>DerivedFromCount</x:v>
      </x:c>
      <x:c r="U521" t="str">
        <x:f>IF(COUNTIF(DailyProduction!$Q$5:$Q$100,B521)=1,"OK","CHECK")</x:f>
        <x:v>OK</x:v>
      </x:c>
      <x:c r="V521" t="str">
        <x:f t="shared" si="62"/>
        <x:v>OK</x:v>
      </x:c>
      <x:c r="W521" t="str">
        <x:f>IF(SUMIF($B$5:$B$914,B521,$S$5:$S$914)=SUMIF(DailyProduction!$Q$5:$Q$100,B521,DailyProduction!$R$5:$R$100),"OK","CHECK")</x:f>
        <x:v>OK</x:v>
      </x:c>
      <x:c r="X521" t="str">
        <x:v>PLC-PRD-JAR-720-L23</x:v>
      </x:c>
      <x:c r="Y521" t="str">
        <x:v>OK</x:v>
      </x:c>
      <x:c r="Z521" t="str">
        <x:v>OK</x:v>
      </x:c>
      <x:c r="AA521" t="n">
        <x:v>3</x:v>
      </x:c>
      <x:c r="AB521" t="n">
        <x:v>2</x:v>
      </x:c>
      <x:c r="AC521" t="str">
        <x:v>OK</x:v>
      </x:c>
      <x:c r="AD521" t="str">
        <x:v>OK</x:v>
      </x:c>
      <x:c r="AE521" t="str">
        <x:v>LOAD</x:v>
      </x:c>
      <x:c r="AF521" t="str">
        <x:v>02_Supervisor_Log(4).xlsx</x:v>
      </x:c>
      <x:c r="AG521" t="str">
        <x:v>ENH-20260830-01</x:v>
      </x:c>
      <x:c r="AH521" t="str">
        <x:v>Active</x:v>
      </x:c>
      <x:c r="AI521"/>
      <x:c r="AJ521"/>
      <x:c r="AK521"/>
      <x:c r="AL521"/>
    </x:row>
    <x:row r="522">
      <x:c r="A522" t="s">
        <x:v>754</x:v>
      </x:c>
      <x:c r="B522" t="s">
        <x:v>744</x:v>
      </x:c>
      <x:c r="C522" t="s">
        <x:v>44</x:v>
      </x:c>
      <x:c r="D522">
        <x:v>45955</x:v>
      </x:c>
      <x:c r="E522" t="s">
        <x:v>187</x:v>
      </x:c>
      <x:c r="F522" t="s">
        <x:v>55</x:v>
      </x:c>
      <x:c r="G522">
        <x:v>23</x:v>
      </x:c>
      <x:c r="H522" t="s">
        <x:v>65</x:v>
      </x:c>
      <x:c r="I522">
        <x:v>11</x:v>
      </x:c>
      <x:c r="J522">
        <x:v>12</x:v>
      </x:c>
      <x:c r="K522">
        <x:v>2</x:v>
      </x:c>
      <x:c r="L522">
        <x:f t="shared" si="56"/>
        <x:v>1</x:v>
      </x:c>
      <x:c r="P522">
        <x:f t="shared" si="57"/>
        <x:v>1</x:v>
      </x:c>
      <x:c r="Q522">
        <x:f t="shared" si="58"/>
        <x:v>1</x:v>
      </x:c>
      <x:c r="R522">
        <x:f t="shared" si="59"/>
        <x:v>0</x:v>
      </x:c>
      <x:c r="S522">
        <x:f t="shared" si="60"/>
        <x:v>2</x:v>
      </x:c>
      <x:c r="T522" t="str">
        <x:f t="shared" si="61"/>
        <x:v>DerivedFromCount</x:v>
      </x:c>
      <x:c r="U522" t="str">
        <x:f>IF(COUNTIF(DailyProduction!$Q$5:$Q$100,B522)=1,"OK","CHECK")</x:f>
        <x:v>OK</x:v>
      </x:c>
      <x:c r="V522" t="str">
        <x:f t="shared" si="62"/>
        <x:v>OK</x:v>
      </x:c>
      <x:c r="W522" t="str">
        <x:f>IF(SUMIF($B$5:$B$914,B522,$S$5:$S$914)=SUMIF(DailyProduction!$Q$5:$Q$100,B522,DailyProduction!$R$5:$R$100),"OK","CHECK")</x:f>
        <x:v>OK</x:v>
      </x:c>
      <x:c r="X522" t="str">
        <x:v>PLC-PRD-JAR-720-L23</x:v>
      </x:c>
      <x:c r="Y522" t="str">
        <x:v>OK</x:v>
      </x:c>
      <x:c r="Z522" t="str">
        <x:v>OK</x:v>
      </x:c>
      <x:c r="AA522" t="n">
        <x:v>3</x:v>
      </x:c>
      <x:c r="AB522" t="n">
        <x:v>2</x:v>
      </x:c>
      <x:c r="AC522" t="str">
        <x:v>OK</x:v>
      </x:c>
      <x:c r="AD522" t="str">
        <x:v>OK</x:v>
      </x:c>
      <x:c r="AE522" t="str">
        <x:v>LOAD</x:v>
      </x:c>
      <x:c r="AF522" t="str">
        <x:v>02_Supervisor_Log(4).xlsx</x:v>
      </x:c>
      <x:c r="AG522" t="str">
        <x:v>ENH-20260830-01</x:v>
      </x:c>
      <x:c r="AH522" t="str">
        <x:v>Active</x:v>
      </x:c>
      <x:c r="AI522"/>
      <x:c r="AJ522"/>
      <x:c r="AK522"/>
      <x:c r="AL522"/>
    </x:row>
    <x:row r="523">
      <x:c r="A523" t="s">
        <x:v>755</x:v>
      </x:c>
      <x:c r="B523" t="s">
        <x:v>744</x:v>
      </x:c>
      <x:c r="C523" t="s">
        <x:v>44</x:v>
      </x:c>
      <x:c r="D523">
        <x:v>45955</x:v>
      </x:c>
      <x:c r="E523" t="s">
        <x:v>187</x:v>
      </x:c>
      <x:c r="F523" t="s">
        <x:v>55</x:v>
      </x:c>
      <x:c r="G523">
        <x:v>23</x:v>
      </x:c>
      <x:c r="H523" t="s">
        <x:v>65</x:v>
      </x:c>
      <x:c r="I523">
        <x:v>12</x:v>
      </x:c>
      <x:c r="J523">
        <x:v>12</x:v>
      </x:c>
      <x:c r="K523">
        <x:v>2</x:v>
      </x:c>
      <x:c r="L523">
        <x:f t="shared" si="56"/>
        <x:v>1</x:v>
      </x:c>
      <x:c r="P523">
        <x:f t="shared" si="57"/>
        <x:v>1</x:v>
      </x:c>
      <x:c r="Q523">
        <x:f t="shared" si="58"/>
        <x:v>1</x:v>
      </x:c>
      <x:c r="R523">
        <x:f t="shared" si="59"/>
        <x:v>0</x:v>
      </x:c>
      <x:c r="S523">
        <x:f t="shared" si="60"/>
        <x:v>2</x:v>
      </x:c>
      <x:c r="T523" t="str">
        <x:f t="shared" si="61"/>
        <x:v>DerivedFromCount</x:v>
      </x:c>
      <x:c r="U523" t="str">
        <x:f>IF(COUNTIF(DailyProduction!$Q$5:$Q$100,B523)=1,"OK","CHECK")</x:f>
        <x:v>OK</x:v>
      </x:c>
      <x:c r="V523" t="str">
        <x:f t="shared" si="62"/>
        <x:v>OK</x:v>
      </x:c>
      <x:c r="W523" t="str">
        <x:f>IF(SUMIF($B$5:$B$914,B523,$S$5:$S$914)=SUMIF(DailyProduction!$Q$5:$Q$100,B523,DailyProduction!$R$5:$R$100),"OK","CHECK")</x:f>
        <x:v>OK</x:v>
      </x:c>
      <x:c r="X523" t="str">
        <x:v>PLC-PRD-JAR-720-L23</x:v>
      </x:c>
      <x:c r="Y523" t="str">
        <x:v>OK</x:v>
      </x:c>
      <x:c r="Z523" t="str">
        <x:v>OK</x:v>
      </x:c>
      <x:c r="AA523" t="n">
        <x:v>3</x:v>
      </x:c>
      <x:c r="AB523" t="n">
        <x:v>2</x:v>
      </x:c>
      <x:c r="AC523" t="str">
        <x:v>OK</x:v>
      </x:c>
      <x:c r="AD523" t="str">
        <x:v>OK</x:v>
      </x:c>
      <x:c r="AE523" t="str">
        <x:v>LOAD</x:v>
      </x:c>
      <x:c r="AF523" t="str">
        <x:v>02_Supervisor_Log(4).xlsx</x:v>
      </x:c>
      <x:c r="AG523" t="str">
        <x:v>ENH-20260830-01</x:v>
      </x:c>
      <x:c r="AH523" t="str">
        <x:v>Active</x:v>
      </x:c>
      <x:c r="AI523"/>
      <x:c r="AJ523"/>
      <x:c r="AK523"/>
      <x:c r="AL523"/>
    </x:row>
    <x:row r="524">
      <x:c r="A524" t="s">
        <x:v>756</x:v>
      </x:c>
      <x:c r="B524" t="s">
        <x:v>744</x:v>
      </x:c>
      <x:c r="C524" t="s">
        <x:v>44</x:v>
      </x:c>
      <x:c r="D524">
        <x:v>45955</x:v>
      </x:c>
      <x:c r="E524" t="s">
        <x:v>187</x:v>
      </x:c>
      <x:c r="F524" t="s">
        <x:v>55</x:v>
      </x:c>
      <x:c r="G524">
        <x:v>23</x:v>
      </x:c>
      <x:c r="H524" t="s">
        <x:v>65</x:v>
      </x:c>
      <x:c r="I524">
        <x:v>13</x:v>
      </x:c>
      <x:c r="J524">
        <x:v>12</x:v>
      </x:c>
      <x:c r="K524">
        <x:v>2</x:v>
      </x:c>
      <x:c r="L524">
        <x:f t="shared" si="56"/>
        <x:v>0</x:v>
      </x:c>
      <x:c r="P524">
        <x:f t="shared" si="57"/>
        <x:v>0</x:v>
      </x:c>
      <x:c r="Q524">
        <x:f t="shared" si="58"/>
        <x:v>0</x:v>
      </x:c>
      <x:c r="R524">
        <x:f t="shared" si="59"/>
        <x:v>0</x:v>
      </x:c>
      <x:c r="S524">
        <x:f t="shared" si="60"/>
        <x:v>0</x:v>
      </x:c>
      <x:c r="T524" t="str">
        <x:f t="shared" si="61"/>
        <x:v>DerivedFromCount</x:v>
      </x:c>
      <x:c r="U524" t="str">
        <x:f>IF(COUNTIF(DailyProduction!$Q$5:$Q$100,B524)=1,"OK","CHECK")</x:f>
        <x:v>OK</x:v>
      </x:c>
      <x:c r="V524" t="str">
        <x:f t="shared" si="62"/>
        <x:v>OK</x:v>
      </x:c>
      <x:c r="W524" t="str">
        <x:f>IF(SUMIF($B$5:$B$914,B524,$S$5:$S$914)=SUMIF(DailyProduction!$Q$5:$Q$100,B524,DailyProduction!$R$5:$R$100),"OK","CHECK")</x:f>
        <x:v>OK</x:v>
      </x:c>
      <x:c r="X524" t="str">
        <x:v>PLC-PRD-JAR-720-L23</x:v>
      </x:c>
      <x:c r="Y524" t="str">
        <x:v>OK</x:v>
      </x:c>
      <x:c r="Z524" t="str">
        <x:v>OK</x:v>
      </x:c>
      <x:c r="AA524" t="n">
        <x:v>3</x:v>
      </x:c>
      <x:c r="AB524" t="n">
        <x:v>0</x:v>
      </x:c>
      <x:c r="AC524" t="str">
        <x:v>OK</x:v>
      </x:c>
      <x:c r="AD524" t="str">
        <x:v>OK</x:v>
      </x:c>
      <x:c r="AE524" t="str">
        <x:v>LOAD</x:v>
      </x:c>
      <x:c r="AF524" t="str">
        <x:v>02_Supervisor_Log(4).xlsx</x:v>
      </x:c>
      <x:c r="AG524" t="str">
        <x:v>ENH-20260830-01</x:v>
      </x:c>
      <x:c r="AH524" t="str">
        <x:v>Active</x:v>
      </x:c>
      <x:c r="AI524"/>
      <x:c r="AJ524"/>
      <x:c r="AK524"/>
      <x:c r="AL524"/>
    </x:row>
    <x:row r="525">
      <x:c r="A525" t="s">
        <x:v>757</x:v>
      </x:c>
      <x:c r="B525" t="s">
        <x:v>143</x:v>
      </x:c>
      <x:c r="C525" t="s">
        <x:v>44</x:v>
      </x:c>
      <x:c r="D525">
        <x:v>45956</x:v>
      </x:c>
      <x:c r="E525" t="s">
        <x:v>45</x:v>
      </x:c>
      <x:c r="F525" t="s">
        <x:v>55</x:v>
      </x:c>
      <x:c r="G525">
        <x:v>23</x:v>
      </x:c>
      <x:c r="H525" t="s">
        <x:v>67</x:v>
      </x:c>
      <x:c r="I525">
        <x:v>1</x:v>
      </x:c>
      <x:c r="J525">
        <x:v>12</x:v>
      </x:c>
      <x:c r="K525">
        <x:v>2</x:v>
      </x:c>
      <x:c r="L525">
        <x:f t="shared" si="56"/>
        <x:v>1</x:v>
      </x:c>
      <x:c r="P525">
        <x:f t="shared" si="57"/>
        <x:v>1</x:v>
      </x:c>
      <x:c r="Q525">
        <x:f t="shared" si="58"/>
        <x:v>1</x:v>
      </x:c>
      <x:c r="R525">
        <x:f t="shared" si="59"/>
        <x:v>0</x:v>
      </x:c>
      <x:c r="S525">
        <x:f t="shared" si="60"/>
        <x:v>2</x:v>
      </x:c>
      <x:c r="T525" t="str">
        <x:f t="shared" si="61"/>
        <x:v>DerivedFromCount</x:v>
      </x:c>
      <x:c r="U525" t="str">
        <x:f>IF(COUNTIF(DailyProduction!$Q$5:$Q$100,B525)=1,"OK","CHECK")</x:f>
        <x:v>OK</x:v>
      </x:c>
      <x:c r="V525" t="str">
        <x:f t="shared" si="62"/>
        <x:v>OK</x:v>
      </x:c>
      <x:c r="W525" t="str">
        <x:f>IF(SUMIF($B$5:$B$914,B525,$S$5:$S$914)=SUMIF(DailyProduction!$Q$5:$Q$100,B525,DailyProduction!$R$5:$R$100),"OK","CHECK")</x:f>
        <x:v>OK</x:v>
      </x:c>
      <x:c r="X525" t="str">
        <x:v>PLC-PRD-JAR-720-L23</x:v>
      </x:c>
      <x:c r="Y525" t="str">
        <x:v>OK</x:v>
      </x:c>
      <x:c r="Z525" t="str">
        <x:v>OK</x:v>
      </x:c>
      <x:c r="AA525" t="n">
        <x:v>3</x:v>
      </x:c>
      <x:c r="AB525" t="n">
        <x:v>2</x:v>
      </x:c>
      <x:c r="AC525" t="str">
        <x:v>OK</x:v>
      </x:c>
      <x:c r="AD525" t="str">
        <x:v>OK</x:v>
      </x:c>
      <x:c r="AE525" t="str">
        <x:v>LOAD</x:v>
      </x:c>
      <x:c r="AF525" t="str">
        <x:v>02_Supervisor_Log(4).xlsx</x:v>
      </x:c>
      <x:c r="AG525" t="str">
        <x:v>ENH-20260830-01</x:v>
      </x:c>
      <x:c r="AH525" t="str">
        <x:v>Active</x:v>
      </x:c>
      <x:c r="AI525"/>
      <x:c r="AJ525"/>
      <x:c r="AK525"/>
      <x:c r="AL525"/>
    </x:row>
    <x:row r="526">
      <x:c r="A526" t="s">
        <x:v>758</x:v>
      </x:c>
      <x:c r="B526" t="s">
        <x:v>143</x:v>
      </x:c>
      <x:c r="C526" t="s">
        <x:v>44</x:v>
      </x:c>
      <x:c r="D526">
        <x:v>45956</x:v>
      </x:c>
      <x:c r="E526" t="s">
        <x:v>45</x:v>
      </x:c>
      <x:c r="F526" t="s">
        <x:v>55</x:v>
      </x:c>
      <x:c r="G526">
        <x:v>23</x:v>
      </x:c>
      <x:c r="H526" t="s">
        <x:v>67</x:v>
      </x:c>
      <x:c r="I526">
        <x:v>2</x:v>
      </x:c>
      <x:c r="J526">
        <x:v>12</x:v>
      </x:c>
      <x:c r="K526">
        <x:v>2</x:v>
      </x:c>
      <x:c r="L526">
        <x:f t="shared" si="56"/>
        <x:v>1</x:v>
      </x:c>
      <x:c r="P526">
        <x:f t="shared" si="57"/>
        <x:v>1</x:v>
      </x:c>
      <x:c r="Q526">
        <x:f t="shared" si="58"/>
        <x:v>1</x:v>
      </x:c>
      <x:c r="R526">
        <x:f t="shared" si="59"/>
        <x:v>0</x:v>
      </x:c>
      <x:c r="S526">
        <x:f t="shared" si="60"/>
        <x:v>2</x:v>
      </x:c>
      <x:c r="T526" t="str">
        <x:f t="shared" si="61"/>
        <x:v>DerivedFromCount</x:v>
      </x:c>
      <x:c r="U526" t="str">
        <x:f>IF(COUNTIF(DailyProduction!$Q$5:$Q$100,B526)=1,"OK","CHECK")</x:f>
        <x:v>OK</x:v>
      </x:c>
      <x:c r="V526" t="str">
        <x:f t="shared" si="62"/>
        <x:v>OK</x:v>
      </x:c>
      <x:c r="W526" t="str">
        <x:f>IF(SUMIF($B$5:$B$914,B526,$S$5:$S$914)=SUMIF(DailyProduction!$Q$5:$Q$100,B526,DailyProduction!$R$5:$R$100),"OK","CHECK")</x:f>
        <x:v>OK</x:v>
      </x:c>
      <x:c r="X526" t="str">
        <x:v>PLC-PRD-JAR-720-L23</x:v>
      </x:c>
      <x:c r="Y526" t="str">
        <x:v>OK</x:v>
      </x:c>
      <x:c r="Z526" t="str">
        <x:v>OK</x:v>
      </x:c>
      <x:c r="AA526" t="n">
        <x:v>3</x:v>
      </x:c>
      <x:c r="AB526" t="n">
        <x:v>2</x:v>
      </x:c>
      <x:c r="AC526" t="str">
        <x:v>OK</x:v>
      </x:c>
      <x:c r="AD526" t="str">
        <x:v>OK</x:v>
      </x:c>
      <x:c r="AE526" t="str">
        <x:v>LOAD</x:v>
      </x:c>
      <x:c r="AF526" t="str">
        <x:v>02_Supervisor_Log(4).xlsx</x:v>
      </x:c>
      <x:c r="AG526" t="str">
        <x:v>ENH-20260830-01</x:v>
      </x:c>
      <x:c r="AH526" t="str">
        <x:v>Active</x:v>
      </x:c>
      <x:c r="AI526"/>
      <x:c r="AJ526"/>
      <x:c r="AK526"/>
      <x:c r="AL526"/>
    </x:row>
    <x:row r="527">
      <x:c r="A527" t="s">
        <x:v>759</x:v>
      </x:c>
      <x:c r="B527" t="s">
        <x:v>143</x:v>
      </x:c>
      <x:c r="C527" t="s">
        <x:v>44</x:v>
      </x:c>
      <x:c r="D527">
        <x:v>45956</x:v>
      </x:c>
      <x:c r="E527" t="s">
        <x:v>45</x:v>
      </x:c>
      <x:c r="F527" t="s">
        <x:v>55</x:v>
      </x:c>
      <x:c r="G527">
        <x:v>23</x:v>
      </x:c>
      <x:c r="H527" t="s">
        <x:v>67</x:v>
      </x:c>
      <x:c r="I527">
        <x:v>3</x:v>
      </x:c>
      <x:c r="J527">
        <x:v>12</x:v>
      </x:c>
      <x:c r="K527">
        <x:v>2</x:v>
      </x:c>
      <x:c r="L527">
        <x:f t="shared" si="56"/>
        <x:v>1</x:v>
      </x:c>
      <x:c r="P527">
        <x:f t="shared" si="57"/>
        <x:v>1</x:v>
      </x:c>
      <x:c r="Q527">
        <x:f t="shared" si="58"/>
        <x:v>1</x:v>
      </x:c>
      <x:c r="R527">
        <x:f t="shared" si="59"/>
        <x:v>0</x:v>
      </x:c>
      <x:c r="S527">
        <x:f t="shared" si="60"/>
        <x:v>2</x:v>
      </x:c>
      <x:c r="T527" t="str">
        <x:f t="shared" si="61"/>
        <x:v>DerivedFromCount</x:v>
      </x:c>
      <x:c r="U527" t="str">
        <x:f>IF(COUNTIF(DailyProduction!$Q$5:$Q$100,B527)=1,"OK","CHECK")</x:f>
        <x:v>OK</x:v>
      </x:c>
      <x:c r="V527" t="str">
        <x:f t="shared" si="62"/>
        <x:v>OK</x:v>
      </x:c>
      <x:c r="W527" t="str">
        <x:f>IF(SUMIF($B$5:$B$914,B527,$S$5:$S$914)=SUMIF(DailyProduction!$Q$5:$Q$100,B527,DailyProduction!$R$5:$R$100),"OK","CHECK")</x:f>
        <x:v>OK</x:v>
      </x:c>
      <x:c r="X527" t="str">
        <x:v>PLC-PRD-JAR-720-L23</x:v>
      </x:c>
      <x:c r="Y527" t="str">
        <x:v>OK</x:v>
      </x:c>
      <x:c r="Z527" t="str">
        <x:v>OK</x:v>
      </x:c>
      <x:c r="AA527" t="n">
        <x:v>3</x:v>
      </x:c>
      <x:c r="AB527" t="n">
        <x:v>2</x:v>
      </x:c>
      <x:c r="AC527" t="str">
        <x:v>OK</x:v>
      </x:c>
      <x:c r="AD527" t="str">
        <x:v>OK</x:v>
      </x:c>
      <x:c r="AE527" t="str">
        <x:v>LOAD</x:v>
      </x:c>
      <x:c r="AF527" t="str">
        <x:v>02_Supervisor_Log(4).xlsx</x:v>
      </x:c>
      <x:c r="AG527" t="str">
        <x:v>ENH-20260830-01</x:v>
      </x:c>
      <x:c r="AH527" t="str">
        <x:v>Active</x:v>
      </x:c>
      <x:c r="AI527"/>
      <x:c r="AJ527"/>
      <x:c r="AK527"/>
      <x:c r="AL527"/>
    </x:row>
    <x:row r="528">
      <x:c r="A528" t="s">
        <x:v>760</x:v>
      </x:c>
      <x:c r="B528" t="s">
        <x:v>143</x:v>
      </x:c>
      <x:c r="C528" t="s">
        <x:v>44</x:v>
      </x:c>
      <x:c r="D528">
        <x:v>45956</x:v>
      </x:c>
      <x:c r="E528" t="s">
        <x:v>45</x:v>
      </x:c>
      <x:c r="F528" t="s">
        <x:v>55</x:v>
      </x:c>
      <x:c r="G528">
        <x:v>23</x:v>
      </x:c>
      <x:c r="H528" t="s">
        <x:v>67</x:v>
      </x:c>
      <x:c r="I528">
        <x:v>4</x:v>
      </x:c>
      <x:c r="J528">
        <x:v>12</x:v>
      </x:c>
      <x:c r="K528">
        <x:v>2</x:v>
      </x:c>
      <x:c r="L528">
        <x:f t="shared" si="56"/>
        <x:v>1</x:v>
      </x:c>
      <x:c r="P528">
        <x:f t="shared" si="57"/>
        <x:v>1</x:v>
      </x:c>
      <x:c r="Q528">
        <x:f t="shared" si="58"/>
        <x:v>1</x:v>
      </x:c>
      <x:c r="R528">
        <x:f t="shared" si="59"/>
        <x:v>0</x:v>
      </x:c>
      <x:c r="S528">
        <x:f t="shared" si="60"/>
        <x:v>2</x:v>
      </x:c>
      <x:c r="T528" t="str">
        <x:f t="shared" si="61"/>
        <x:v>DerivedFromCount</x:v>
      </x:c>
      <x:c r="U528" t="str">
        <x:f>IF(COUNTIF(DailyProduction!$Q$5:$Q$100,B528)=1,"OK","CHECK")</x:f>
        <x:v>OK</x:v>
      </x:c>
      <x:c r="V528" t="str">
        <x:f t="shared" si="62"/>
        <x:v>OK</x:v>
      </x:c>
      <x:c r="W528" t="str">
        <x:f>IF(SUMIF($B$5:$B$914,B528,$S$5:$S$914)=SUMIF(DailyProduction!$Q$5:$Q$100,B528,DailyProduction!$R$5:$R$100),"OK","CHECK")</x:f>
        <x:v>OK</x:v>
      </x:c>
      <x:c r="X528" t="str">
        <x:v>PLC-PRD-JAR-720-L23</x:v>
      </x:c>
      <x:c r="Y528" t="str">
        <x:v>OK</x:v>
      </x:c>
      <x:c r="Z528" t="str">
        <x:v>OK</x:v>
      </x:c>
      <x:c r="AA528" t="n">
        <x:v>3</x:v>
      </x:c>
      <x:c r="AB528" t="n">
        <x:v>2</x:v>
      </x:c>
      <x:c r="AC528" t="str">
        <x:v>OK</x:v>
      </x:c>
      <x:c r="AD528" t="str">
        <x:v>OK</x:v>
      </x:c>
      <x:c r="AE528" t="str">
        <x:v>LOAD</x:v>
      </x:c>
      <x:c r="AF528" t="str">
        <x:v>02_Supervisor_Log(4).xlsx</x:v>
      </x:c>
      <x:c r="AG528" t="str">
        <x:v>ENH-20260830-01</x:v>
      </x:c>
      <x:c r="AH528" t="str">
        <x:v>Active</x:v>
      </x:c>
      <x:c r="AI528"/>
      <x:c r="AJ528"/>
      <x:c r="AK528"/>
      <x:c r="AL528"/>
    </x:row>
    <x:row r="529">
      <x:c r="A529" t="s">
        <x:v>761</x:v>
      </x:c>
      <x:c r="B529" t="s">
        <x:v>143</x:v>
      </x:c>
      <x:c r="C529" t="s">
        <x:v>44</x:v>
      </x:c>
      <x:c r="D529">
        <x:v>45956</x:v>
      </x:c>
      <x:c r="E529" t="s">
        <x:v>45</x:v>
      </x:c>
      <x:c r="F529" t="s">
        <x:v>55</x:v>
      </x:c>
      <x:c r="G529">
        <x:v>23</x:v>
      </x:c>
      <x:c r="H529" t="s">
        <x:v>67</x:v>
      </x:c>
      <x:c r="I529">
        <x:v>5</x:v>
      </x:c>
      <x:c r="J529">
        <x:v>12</x:v>
      </x:c>
      <x:c r="K529">
        <x:v>2</x:v>
      </x:c>
      <x:c r="L529">
        <x:f t="shared" si="56"/>
        <x:v>1</x:v>
      </x:c>
      <x:c r="P529">
        <x:f t="shared" si="57"/>
        <x:v>1</x:v>
      </x:c>
      <x:c r="Q529">
        <x:f t="shared" si="58"/>
        <x:v>1</x:v>
      </x:c>
      <x:c r="R529">
        <x:f t="shared" si="59"/>
        <x:v>0</x:v>
      </x:c>
      <x:c r="S529">
        <x:f t="shared" si="60"/>
        <x:v>2</x:v>
      </x:c>
      <x:c r="T529" t="str">
        <x:f t="shared" si="61"/>
        <x:v>DerivedFromCount</x:v>
      </x:c>
      <x:c r="U529" t="str">
        <x:f>IF(COUNTIF(DailyProduction!$Q$5:$Q$100,B529)=1,"OK","CHECK")</x:f>
        <x:v>OK</x:v>
      </x:c>
      <x:c r="V529" t="str">
        <x:f t="shared" si="62"/>
        <x:v>OK</x:v>
      </x:c>
      <x:c r="W529" t="str">
        <x:f>IF(SUMIF($B$5:$B$914,B529,$S$5:$S$914)=SUMIF(DailyProduction!$Q$5:$Q$100,B529,DailyProduction!$R$5:$R$100),"OK","CHECK")</x:f>
        <x:v>OK</x:v>
      </x:c>
      <x:c r="X529" t="str">
        <x:v>PLC-PRD-JAR-720-L23</x:v>
      </x:c>
      <x:c r="Y529" t="str">
        <x:v>OK</x:v>
      </x:c>
      <x:c r="Z529" t="str">
        <x:v>OK</x:v>
      </x:c>
      <x:c r="AA529" t="n">
        <x:v>3</x:v>
      </x:c>
      <x:c r="AB529" t="n">
        <x:v>2</x:v>
      </x:c>
      <x:c r="AC529" t="str">
        <x:v>OK</x:v>
      </x:c>
      <x:c r="AD529" t="str">
        <x:v>OK</x:v>
      </x:c>
      <x:c r="AE529" t="str">
        <x:v>LOAD</x:v>
      </x:c>
      <x:c r="AF529" t="str">
        <x:v>02_Supervisor_Log(4).xlsx</x:v>
      </x:c>
      <x:c r="AG529" t="str">
        <x:v>ENH-20260830-01</x:v>
      </x:c>
      <x:c r="AH529" t="str">
        <x:v>Active</x:v>
      </x:c>
      <x:c r="AI529"/>
      <x:c r="AJ529"/>
      <x:c r="AK529"/>
      <x:c r="AL529"/>
    </x:row>
    <x:row r="530">
      <x:c r="A530" t="s">
        <x:v>762</x:v>
      </x:c>
      <x:c r="B530" t="s">
        <x:v>143</x:v>
      </x:c>
      <x:c r="C530" t="s">
        <x:v>44</x:v>
      </x:c>
      <x:c r="D530">
        <x:v>45956</x:v>
      </x:c>
      <x:c r="E530" t="s">
        <x:v>45</x:v>
      </x:c>
      <x:c r="F530" t="s">
        <x:v>55</x:v>
      </x:c>
      <x:c r="G530">
        <x:v>23</x:v>
      </x:c>
      <x:c r="H530" t="s">
        <x:v>67</x:v>
      </x:c>
      <x:c r="I530">
        <x:v>6</x:v>
      </x:c>
      <x:c r="J530">
        <x:v>12</x:v>
      </x:c>
      <x:c r="K530">
        <x:v>2</x:v>
      </x:c>
      <x:c r="L530">
        <x:f t="shared" si="56"/>
        <x:v>1</x:v>
      </x:c>
      <x:c r="P530">
        <x:f t="shared" si="57"/>
        <x:v>1</x:v>
      </x:c>
      <x:c r="Q530">
        <x:f t="shared" si="58"/>
        <x:v>1</x:v>
      </x:c>
      <x:c r="R530">
        <x:f t="shared" si="59"/>
        <x:v>0</x:v>
      </x:c>
      <x:c r="S530">
        <x:f t="shared" si="60"/>
        <x:v>2</x:v>
      </x:c>
      <x:c r="T530" t="str">
        <x:f t="shared" si="61"/>
        <x:v>DerivedFromCount</x:v>
      </x:c>
      <x:c r="U530" t="str">
        <x:f>IF(COUNTIF(DailyProduction!$Q$5:$Q$100,B530)=1,"OK","CHECK")</x:f>
        <x:v>OK</x:v>
      </x:c>
      <x:c r="V530" t="str">
        <x:f t="shared" si="62"/>
        <x:v>OK</x:v>
      </x:c>
      <x:c r="W530" t="str">
        <x:f>IF(SUMIF($B$5:$B$914,B530,$S$5:$S$914)=SUMIF(DailyProduction!$Q$5:$Q$100,B530,DailyProduction!$R$5:$R$100),"OK","CHECK")</x:f>
        <x:v>OK</x:v>
      </x:c>
      <x:c r="X530" t="str">
        <x:v>PLC-PRD-JAR-720-L23</x:v>
      </x:c>
      <x:c r="Y530" t="str">
        <x:v>OK</x:v>
      </x:c>
      <x:c r="Z530" t="str">
        <x:v>OK</x:v>
      </x:c>
      <x:c r="AA530" t="n">
        <x:v>3</x:v>
      </x:c>
      <x:c r="AB530" t="n">
        <x:v>2</x:v>
      </x:c>
      <x:c r="AC530" t="str">
        <x:v>OK</x:v>
      </x:c>
      <x:c r="AD530" t="str">
        <x:v>OK</x:v>
      </x:c>
      <x:c r="AE530" t="str">
        <x:v>LOAD</x:v>
      </x:c>
      <x:c r="AF530" t="str">
        <x:v>02_Supervisor_Log(4).xlsx</x:v>
      </x:c>
      <x:c r="AG530" t="str">
        <x:v>ENH-20260830-01</x:v>
      </x:c>
      <x:c r="AH530" t="str">
        <x:v>Active</x:v>
      </x:c>
      <x:c r="AI530"/>
      <x:c r="AJ530"/>
      <x:c r="AK530"/>
      <x:c r="AL530"/>
    </x:row>
    <x:row r="531">
      <x:c r="A531" t="s">
        <x:v>763</x:v>
      </x:c>
      <x:c r="B531" t="s">
        <x:v>143</x:v>
      </x:c>
      <x:c r="C531" t="s">
        <x:v>44</x:v>
      </x:c>
      <x:c r="D531">
        <x:v>45956</x:v>
      </x:c>
      <x:c r="E531" t="s">
        <x:v>45</x:v>
      </x:c>
      <x:c r="F531" t="s">
        <x:v>55</x:v>
      </x:c>
      <x:c r="G531">
        <x:v>23</x:v>
      </x:c>
      <x:c r="H531" t="s">
        <x:v>67</x:v>
      </x:c>
      <x:c r="I531">
        <x:v>7</x:v>
      </x:c>
      <x:c r="J531">
        <x:v>12</x:v>
      </x:c>
      <x:c r="K531">
        <x:v>2</x:v>
      </x:c>
      <x:c r="L531">
        <x:f t="shared" si="56"/>
        <x:v>1</x:v>
      </x:c>
      <x:c r="P531">
        <x:f t="shared" si="57"/>
        <x:v>1</x:v>
      </x:c>
      <x:c r="Q531">
        <x:f t="shared" si="58"/>
        <x:v>1</x:v>
      </x:c>
      <x:c r="R531">
        <x:f t="shared" si="59"/>
        <x:v>0</x:v>
      </x:c>
      <x:c r="S531">
        <x:f t="shared" si="60"/>
        <x:v>2</x:v>
      </x:c>
      <x:c r="T531" t="str">
        <x:f t="shared" si="61"/>
        <x:v>DerivedFromCount</x:v>
      </x:c>
      <x:c r="U531" t="str">
        <x:f>IF(COUNTIF(DailyProduction!$Q$5:$Q$100,B531)=1,"OK","CHECK")</x:f>
        <x:v>OK</x:v>
      </x:c>
      <x:c r="V531" t="str">
        <x:f t="shared" si="62"/>
        <x:v>OK</x:v>
      </x:c>
      <x:c r="W531" t="str">
        <x:f>IF(SUMIF($B$5:$B$914,B531,$S$5:$S$914)=SUMIF(DailyProduction!$Q$5:$Q$100,B531,DailyProduction!$R$5:$R$100),"OK","CHECK")</x:f>
        <x:v>OK</x:v>
      </x:c>
      <x:c r="X531" t="str">
        <x:v>PLC-PRD-JAR-720-L23</x:v>
      </x:c>
      <x:c r="Y531" t="str">
        <x:v>OK</x:v>
      </x:c>
      <x:c r="Z531" t="str">
        <x:v>OK</x:v>
      </x:c>
      <x:c r="AA531" t="n">
        <x:v>3</x:v>
      </x:c>
      <x:c r="AB531" t="n">
        <x:v>2</x:v>
      </x:c>
      <x:c r="AC531" t="str">
        <x:v>OK</x:v>
      </x:c>
      <x:c r="AD531" t="str">
        <x:v>OK</x:v>
      </x:c>
      <x:c r="AE531" t="str">
        <x:v>LOAD</x:v>
      </x:c>
      <x:c r="AF531" t="str">
        <x:v>02_Supervisor_Log(4).xlsx</x:v>
      </x:c>
      <x:c r="AG531" t="str">
        <x:v>ENH-20260830-01</x:v>
      </x:c>
      <x:c r="AH531" t="str">
        <x:v>Active</x:v>
      </x:c>
      <x:c r="AI531"/>
      <x:c r="AJ531"/>
      <x:c r="AK531"/>
      <x:c r="AL531"/>
    </x:row>
    <x:row r="532">
      <x:c r="A532" t="s">
        <x:v>764</x:v>
      </x:c>
      <x:c r="B532" t="s">
        <x:v>143</x:v>
      </x:c>
      <x:c r="C532" t="s">
        <x:v>44</x:v>
      </x:c>
      <x:c r="D532">
        <x:v>45956</x:v>
      </x:c>
      <x:c r="E532" t="s">
        <x:v>45</x:v>
      </x:c>
      <x:c r="F532" t="s">
        <x:v>55</x:v>
      </x:c>
      <x:c r="G532">
        <x:v>23</x:v>
      </x:c>
      <x:c r="H532" t="s">
        <x:v>67</x:v>
      </x:c>
      <x:c r="I532">
        <x:v>8</x:v>
      </x:c>
      <x:c r="J532">
        <x:v>12</x:v>
      </x:c>
      <x:c r="K532">
        <x:v>2</x:v>
      </x:c>
      <x:c r="L532">
        <x:f t="shared" si="56"/>
        <x:v>1</x:v>
      </x:c>
      <x:c r="P532">
        <x:f t="shared" si="57"/>
        <x:v>1</x:v>
      </x:c>
      <x:c r="Q532">
        <x:f t="shared" si="58"/>
        <x:v>1</x:v>
      </x:c>
      <x:c r="R532">
        <x:f t="shared" si="59"/>
        <x:v>0</x:v>
      </x:c>
      <x:c r="S532">
        <x:f t="shared" si="60"/>
        <x:v>2</x:v>
      </x:c>
      <x:c r="T532" t="str">
        <x:f t="shared" si="61"/>
        <x:v>DerivedFromCount</x:v>
      </x:c>
      <x:c r="U532" t="str">
        <x:f>IF(COUNTIF(DailyProduction!$Q$5:$Q$100,B532)=1,"OK","CHECK")</x:f>
        <x:v>OK</x:v>
      </x:c>
      <x:c r="V532" t="str">
        <x:f t="shared" si="62"/>
        <x:v>OK</x:v>
      </x:c>
      <x:c r="W532" t="str">
        <x:f>IF(SUMIF($B$5:$B$914,B532,$S$5:$S$914)=SUMIF(DailyProduction!$Q$5:$Q$100,B532,DailyProduction!$R$5:$R$100),"OK","CHECK")</x:f>
        <x:v>OK</x:v>
      </x:c>
      <x:c r="X532" t="str">
        <x:v>PLC-PRD-JAR-720-L23</x:v>
      </x:c>
      <x:c r="Y532" t="str">
        <x:v>OK</x:v>
      </x:c>
      <x:c r="Z532" t="str">
        <x:v>OK</x:v>
      </x:c>
      <x:c r="AA532" t="n">
        <x:v>3</x:v>
      </x:c>
      <x:c r="AB532" t="n">
        <x:v>2</x:v>
      </x:c>
      <x:c r="AC532" t="str">
        <x:v>OK</x:v>
      </x:c>
      <x:c r="AD532" t="str">
        <x:v>OK</x:v>
      </x:c>
      <x:c r="AE532" t="str">
        <x:v>LOAD</x:v>
      </x:c>
      <x:c r="AF532" t="str">
        <x:v>02_Supervisor_Log(4).xlsx</x:v>
      </x:c>
      <x:c r="AG532" t="str">
        <x:v>ENH-20260830-01</x:v>
      </x:c>
      <x:c r="AH532" t="str">
        <x:v>Active</x:v>
      </x:c>
      <x:c r="AI532"/>
      <x:c r="AJ532"/>
      <x:c r="AK532"/>
      <x:c r="AL532"/>
    </x:row>
    <x:row r="533">
      <x:c r="A533" t="s">
        <x:v>765</x:v>
      </x:c>
      <x:c r="B533" t="s">
        <x:v>143</x:v>
      </x:c>
      <x:c r="C533" t="s">
        <x:v>44</x:v>
      </x:c>
      <x:c r="D533">
        <x:v>45956</x:v>
      </x:c>
      <x:c r="E533" t="s">
        <x:v>45</x:v>
      </x:c>
      <x:c r="F533" t="s">
        <x:v>55</x:v>
      </x:c>
      <x:c r="G533">
        <x:v>23</x:v>
      </x:c>
      <x:c r="H533" t="s">
        <x:v>67</x:v>
      </x:c>
      <x:c r="I533">
        <x:v>9</x:v>
      </x:c>
      <x:c r="J533">
        <x:v>12</x:v>
      </x:c>
      <x:c r="K533">
        <x:v>2</x:v>
      </x:c>
      <x:c r="L533">
        <x:f t="shared" si="56"/>
        <x:v>1</x:v>
      </x:c>
      <x:c r="P533">
        <x:f t="shared" si="57"/>
        <x:v>1</x:v>
      </x:c>
      <x:c r="Q533">
        <x:f t="shared" si="58"/>
        <x:v>1</x:v>
      </x:c>
      <x:c r="R533">
        <x:f t="shared" si="59"/>
        <x:v>0</x:v>
      </x:c>
      <x:c r="S533">
        <x:f t="shared" si="60"/>
        <x:v>2</x:v>
      </x:c>
      <x:c r="T533" t="str">
        <x:f t="shared" si="61"/>
        <x:v>DerivedFromCount</x:v>
      </x:c>
      <x:c r="U533" t="str">
        <x:f>IF(COUNTIF(DailyProduction!$Q$5:$Q$100,B533)=1,"OK","CHECK")</x:f>
        <x:v>OK</x:v>
      </x:c>
      <x:c r="V533" t="str">
        <x:f t="shared" si="62"/>
        <x:v>OK</x:v>
      </x:c>
      <x:c r="W533" t="str">
        <x:f>IF(SUMIF($B$5:$B$914,B533,$S$5:$S$914)=SUMIF(DailyProduction!$Q$5:$Q$100,B533,DailyProduction!$R$5:$R$100),"OK","CHECK")</x:f>
        <x:v>OK</x:v>
      </x:c>
      <x:c r="X533" t="str">
        <x:v>PLC-PRD-JAR-720-L23</x:v>
      </x:c>
      <x:c r="Y533" t="str">
        <x:v>OK</x:v>
      </x:c>
      <x:c r="Z533" t="str">
        <x:v>OK</x:v>
      </x:c>
      <x:c r="AA533" t="n">
        <x:v>3</x:v>
      </x:c>
      <x:c r="AB533" t="n">
        <x:v>2</x:v>
      </x:c>
      <x:c r="AC533" t="str">
        <x:v>OK</x:v>
      </x:c>
      <x:c r="AD533" t="str">
        <x:v>OK</x:v>
      </x:c>
      <x:c r="AE533" t="str">
        <x:v>LOAD</x:v>
      </x:c>
      <x:c r="AF533" t="str">
        <x:v>02_Supervisor_Log(4).xlsx</x:v>
      </x:c>
      <x:c r="AG533" t="str">
        <x:v>ENH-20260830-01</x:v>
      </x:c>
      <x:c r="AH533" t="str">
        <x:v>Active</x:v>
      </x:c>
      <x:c r="AI533"/>
      <x:c r="AJ533"/>
      <x:c r="AK533"/>
      <x:c r="AL533"/>
    </x:row>
    <x:row r="534">
      <x:c r="A534" t="s">
        <x:v>766</x:v>
      </x:c>
      <x:c r="B534" t="s">
        <x:v>143</x:v>
      </x:c>
      <x:c r="C534" t="s">
        <x:v>44</x:v>
      </x:c>
      <x:c r="D534">
        <x:v>45956</x:v>
      </x:c>
      <x:c r="E534" t="s">
        <x:v>45</x:v>
      </x:c>
      <x:c r="F534" t="s">
        <x:v>55</x:v>
      </x:c>
      <x:c r="G534">
        <x:v>23</x:v>
      </x:c>
      <x:c r="H534" t="s">
        <x:v>67</x:v>
      </x:c>
      <x:c r="I534">
        <x:v>10</x:v>
      </x:c>
      <x:c r="J534">
        <x:v>12</x:v>
      </x:c>
      <x:c r="K534">
        <x:v>2</x:v>
      </x:c>
      <x:c r="L534">
        <x:f t="shared" si="56"/>
        <x:v>1</x:v>
      </x:c>
      <x:c r="P534">
        <x:f t="shared" si="57"/>
        <x:v>1</x:v>
      </x:c>
      <x:c r="Q534">
        <x:f t="shared" si="58"/>
        <x:v>1</x:v>
      </x:c>
      <x:c r="R534">
        <x:f t="shared" si="59"/>
        <x:v>0</x:v>
      </x:c>
      <x:c r="S534">
        <x:f t="shared" si="60"/>
        <x:v>2</x:v>
      </x:c>
      <x:c r="T534" t="str">
        <x:f t="shared" si="61"/>
        <x:v>DerivedFromCount</x:v>
      </x:c>
      <x:c r="U534" t="str">
        <x:f>IF(COUNTIF(DailyProduction!$Q$5:$Q$100,B534)=1,"OK","CHECK")</x:f>
        <x:v>OK</x:v>
      </x:c>
      <x:c r="V534" t="str">
        <x:f t="shared" si="62"/>
        <x:v>OK</x:v>
      </x:c>
      <x:c r="W534" t="str">
        <x:f>IF(SUMIF($B$5:$B$914,B534,$S$5:$S$914)=SUMIF(DailyProduction!$Q$5:$Q$100,B534,DailyProduction!$R$5:$R$100),"OK","CHECK")</x:f>
        <x:v>OK</x:v>
      </x:c>
      <x:c r="X534" t="str">
        <x:v>PLC-PRD-JAR-720-L23</x:v>
      </x:c>
      <x:c r="Y534" t="str">
        <x:v>OK</x:v>
      </x:c>
      <x:c r="Z534" t="str">
        <x:v>OK</x:v>
      </x:c>
      <x:c r="AA534" t="n">
        <x:v>3</x:v>
      </x:c>
      <x:c r="AB534" t="n">
        <x:v>2</x:v>
      </x:c>
      <x:c r="AC534" t="str">
        <x:v>OK</x:v>
      </x:c>
      <x:c r="AD534" t="str">
        <x:v>OK</x:v>
      </x:c>
      <x:c r="AE534" t="str">
        <x:v>LOAD</x:v>
      </x:c>
      <x:c r="AF534" t="str">
        <x:v>02_Supervisor_Log(4).xlsx</x:v>
      </x:c>
      <x:c r="AG534" t="str">
        <x:v>ENH-20260830-01</x:v>
      </x:c>
      <x:c r="AH534" t="str">
        <x:v>Active</x:v>
      </x:c>
      <x:c r="AI534"/>
      <x:c r="AJ534"/>
      <x:c r="AK534"/>
      <x:c r="AL534"/>
    </x:row>
    <x:row r="535">
      <x:c r="A535" t="s">
        <x:v>767</x:v>
      </x:c>
      <x:c r="B535" t="s">
        <x:v>143</x:v>
      </x:c>
      <x:c r="C535" t="s">
        <x:v>44</x:v>
      </x:c>
      <x:c r="D535">
        <x:v>45956</x:v>
      </x:c>
      <x:c r="E535" t="s">
        <x:v>45</x:v>
      </x:c>
      <x:c r="F535" t="s">
        <x:v>55</x:v>
      </x:c>
      <x:c r="G535">
        <x:v>23</x:v>
      </x:c>
      <x:c r="H535" t="s">
        <x:v>67</x:v>
      </x:c>
      <x:c r="I535">
        <x:v>11</x:v>
      </x:c>
      <x:c r="J535">
        <x:v>12</x:v>
      </x:c>
      <x:c r="K535">
        <x:v>2</x:v>
      </x:c>
      <x:c r="L535">
        <x:f t="shared" si="56"/>
        <x:v>1</x:v>
      </x:c>
      <x:c r="P535">
        <x:f t="shared" si="57"/>
        <x:v>1</x:v>
      </x:c>
      <x:c r="Q535">
        <x:f t="shared" si="58"/>
        <x:v>1</x:v>
      </x:c>
      <x:c r="R535">
        <x:f t="shared" si="59"/>
        <x:v>0</x:v>
      </x:c>
      <x:c r="S535">
        <x:f t="shared" si="60"/>
        <x:v>2</x:v>
      </x:c>
      <x:c r="T535" t="str">
        <x:f t="shared" si="61"/>
        <x:v>DerivedFromCount</x:v>
      </x:c>
      <x:c r="U535" t="str">
        <x:f>IF(COUNTIF(DailyProduction!$Q$5:$Q$100,B535)=1,"OK","CHECK")</x:f>
        <x:v>OK</x:v>
      </x:c>
      <x:c r="V535" t="str">
        <x:f t="shared" si="62"/>
        <x:v>OK</x:v>
      </x:c>
      <x:c r="W535" t="str">
        <x:f>IF(SUMIF($B$5:$B$914,B535,$S$5:$S$914)=SUMIF(DailyProduction!$Q$5:$Q$100,B535,DailyProduction!$R$5:$R$100),"OK","CHECK")</x:f>
        <x:v>OK</x:v>
      </x:c>
      <x:c r="X535" t="str">
        <x:v>PLC-PRD-JAR-720-L23</x:v>
      </x:c>
      <x:c r="Y535" t="str">
        <x:v>OK</x:v>
      </x:c>
      <x:c r="Z535" t="str">
        <x:v>OK</x:v>
      </x:c>
      <x:c r="AA535" t="n">
        <x:v>3</x:v>
      </x:c>
      <x:c r="AB535" t="n">
        <x:v>2</x:v>
      </x:c>
      <x:c r="AC535" t="str">
        <x:v>OK</x:v>
      </x:c>
      <x:c r="AD535" t="str">
        <x:v>OK</x:v>
      </x:c>
      <x:c r="AE535" t="str">
        <x:v>LOAD</x:v>
      </x:c>
      <x:c r="AF535" t="str">
        <x:v>02_Supervisor_Log(4).xlsx</x:v>
      </x:c>
      <x:c r="AG535" t="str">
        <x:v>ENH-20260830-01</x:v>
      </x:c>
      <x:c r="AH535" t="str">
        <x:v>Active</x:v>
      </x:c>
      <x:c r="AI535"/>
      <x:c r="AJ535"/>
      <x:c r="AK535"/>
      <x:c r="AL535"/>
    </x:row>
    <x:row r="536">
      <x:c r="A536" t="s">
        <x:v>768</x:v>
      </x:c>
      <x:c r="B536" t="s">
        <x:v>143</x:v>
      </x:c>
      <x:c r="C536" t="s">
        <x:v>44</x:v>
      </x:c>
      <x:c r="D536">
        <x:v>45956</x:v>
      </x:c>
      <x:c r="E536" t="s">
        <x:v>45</x:v>
      </x:c>
      <x:c r="F536" t="s">
        <x:v>55</x:v>
      </x:c>
      <x:c r="G536">
        <x:v>23</x:v>
      </x:c>
      <x:c r="H536" t="s">
        <x:v>67</x:v>
      </x:c>
      <x:c r="I536">
        <x:v>12</x:v>
      </x:c>
      <x:c r="J536">
        <x:v>12</x:v>
      </x:c>
      <x:c r="K536">
        <x:v>2</x:v>
      </x:c>
      <x:c r="L536">
        <x:f t="shared" si="56"/>
        <x:v>1</x:v>
      </x:c>
      <x:c r="P536">
        <x:f t="shared" si="57"/>
        <x:v>1</x:v>
      </x:c>
      <x:c r="Q536">
        <x:f t="shared" si="58"/>
        <x:v>1</x:v>
      </x:c>
      <x:c r="R536">
        <x:f t="shared" si="59"/>
        <x:v>0</x:v>
      </x:c>
      <x:c r="S536">
        <x:f t="shared" si="60"/>
        <x:v>2</x:v>
      </x:c>
      <x:c r="T536" t="str">
        <x:f t="shared" si="61"/>
        <x:v>DerivedFromCount</x:v>
      </x:c>
      <x:c r="U536" t="str">
        <x:f>IF(COUNTIF(DailyProduction!$Q$5:$Q$100,B536)=1,"OK","CHECK")</x:f>
        <x:v>OK</x:v>
      </x:c>
      <x:c r="V536" t="str">
        <x:f t="shared" si="62"/>
        <x:v>OK</x:v>
      </x:c>
      <x:c r="W536" t="str">
        <x:f>IF(SUMIF($B$5:$B$914,B536,$S$5:$S$914)=SUMIF(DailyProduction!$Q$5:$Q$100,B536,DailyProduction!$R$5:$R$100),"OK","CHECK")</x:f>
        <x:v>OK</x:v>
      </x:c>
      <x:c r="X536" t="str">
        <x:v>PLC-PRD-JAR-720-L23</x:v>
      </x:c>
      <x:c r="Y536" t="str">
        <x:v>OK</x:v>
      </x:c>
      <x:c r="Z536" t="str">
        <x:v>OK</x:v>
      </x:c>
      <x:c r="AA536" t="n">
        <x:v>3</x:v>
      </x:c>
      <x:c r="AB536" t="n">
        <x:v>2</x:v>
      </x:c>
      <x:c r="AC536" t="str">
        <x:v>OK</x:v>
      </x:c>
      <x:c r="AD536" t="str">
        <x:v>OK</x:v>
      </x:c>
      <x:c r="AE536" t="str">
        <x:v>LOAD</x:v>
      </x:c>
      <x:c r="AF536" t="str">
        <x:v>02_Supervisor_Log(4).xlsx</x:v>
      </x:c>
      <x:c r="AG536" t="str">
        <x:v>ENH-20260830-01</x:v>
      </x:c>
      <x:c r="AH536" t="str">
        <x:v>Active</x:v>
      </x:c>
      <x:c r="AI536"/>
      <x:c r="AJ536"/>
      <x:c r="AK536"/>
      <x:c r="AL536"/>
    </x:row>
    <x:row r="537">
      <x:c r="A537" t="s">
        <x:v>769</x:v>
      </x:c>
      <x:c r="B537" t="s">
        <x:v>143</x:v>
      </x:c>
      <x:c r="C537" t="s">
        <x:v>44</x:v>
      </x:c>
      <x:c r="D537">
        <x:v>45956</x:v>
      </x:c>
      <x:c r="E537" t="s">
        <x:v>45</x:v>
      </x:c>
      <x:c r="F537" t="s">
        <x:v>55</x:v>
      </x:c>
      <x:c r="G537">
        <x:v>23</x:v>
      </x:c>
      <x:c r="H537" t="s">
        <x:v>67</x:v>
      </x:c>
      <x:c r="I537">
        <x:v>13</x:v>
      </x:c>
      <x:c r="J537">
        <x:v>12</x:v>
      </x:c>
      <x:c r="K537">
        <x:v>2</x:v>
      </x:c>
      <x:c r="L537">
        <x:f t="shared" si="56"/>
        <x:v>0</x:v>
      </x:c>
      <x:c r="P537">
        <x:f t="shared" si="57"/>
        <x:v>0</x:v>
      </x:c>
      <x:c r="Q537">
        <x:f t="shared" si="58"/>
        <x:v>0</x:v>
      </x:c>
      <x:c r="R537">
        <x:f t="shared" si="59"/>
        <x:v>0</x:v>
      </x:c>
      <x:c r="S537">
        <x:f t="shared" si="60"/>
        <x:v>0</x:v>
      </x:c>
      <x:c r="T537" t="str">
        <x:f t="shared" si="61"/>
        <x:v>DerivedFromCount</x:v>
      </x:c>
      <x:c r="U537" t="str">
        <x:f>IF(COUNTIF(DailyProduction!$Q$5:$Q$100,B537)=1,"OK","CHECK")</x:f>
        <x:v>OK</x:v>
      </x:c>
      <x:c r="V537" t="str">
        <x:f t="shared" si="62"/>
        <x:v>OK</x:v>
      </x:c>
      <x:c r="W537" t="str">
        <x:f>IF(SUMIF($B$5:$B$914,B537,$S$5:$S$914)=SUMIF(DailyProduction!$Q$5:$Q$100,B537,DailyProduction!$R$5:$R$100),"OK","CHECK")</x:f>
        <x:v>OK</x:v>
      </x:c>
      <x:c r="X537" t="str">
        <x:v>PLC-PRD-JAR-720-L23</x:v>
      </x:c>
      <x:c r="Y537" t="str">
        <x:v>OK</x:v>
      </x:c>
      <x:c r="Z537" t="str">
        <x:v>OK</x:v>
      </x:c>
      <x:c r="AA537" t="n">
        <x:v>3</x:v>
      </x:c>
      <x:c r="AB537" t="n">
        <x:v>0</x:v>
      </x:c>
      <x:c r="AC537" t="str">
        <x:v>OK</x:v>
      </x:c>
      <x:c r="AD537" t="str">
        <x:v>OK</x:v>
      </x:c>
      <x:c r="AE537" t="str">
        <x:v>LOAD</x:v>
      </x:c>
      <x:c r="AF537" t="str">
        <x:v>02_Supervisor_Log(4).xlsx</x:v>
      </x:c>
      <x:c r="AG537" t="str">
        <x:v>ENH-20260830-01</x:v>
      </x:c>
      <x:c r="AH537" t="str">
        <x:v>Active</x:v>
      </x:c>
      <x:c r="AI537"/>
      <x:c r="AJ537"/>
      <x:c r="AK537"/>
      <x:c r="AL537"/>
    </x:row>
    <x:row r="538">
      <x:c r="A538" t="s">
        <x:v>770</x:v>
      </x:c>
      <x:c r="B538" t="s">
        <x:v>771</x:v>
      </x:c>
      <x:c r="C538" t="s">
        <x:v>44</x:v>
      </x:c>
      <x:c r="D538">
        <x:v>45956</x:v>
      </x:c>
      <x:c r="E538" t="s">
        <x:v>187</x:v>
      </x:c>
      <x:c r="F538" t="s">
        <x:v>46</x:v>
      </x:c>
      <x:c r="G538">
        <x:v>23</x:v>
      </x:c>
      <x:c r="H538" t="s">
        <x:v>67</x:v>
      </x:c>
      <x:c r="I538">
        <x:v>1</x:v>
      </x:c>
      <x:c r="J538">
        <x:v>12</x:v>
      </x:c>
      <x:c r="K538">
        <x:v>2</x:v>
      </x:c>
      <x:c r="L538">
        <x:f t="shared" si="56"/>
        <x:v>1</x:v>
      </x:c>
      <x:c r="P538">
        <x:f t="shared" si="57"/>
        <x:v>1</x:v>
      </x:c>
      <x:c r="Q538">
        <x:f t="shared" si="58"/>
        <x:v>1</x:v>
      </x:c>
      <x:c r="R538">
        <x:f t="shared" si="59"/>
        <x:v>0</x:v>
      </x:c>
      <x:c r="S538">
        <x:f t="shared" si="60"/>
        <x:v>2</x:v>
      </x:c>
      <x:c r="T538" t="str">
        <x:f t="shared" si="61"/>
        <x:v>DerivedFromCount</x:v>
      </x:c>
      <x:c r="U538" t="str">
        <x:f>IF(COUNTIF(DailyProduction!$Q$5:$Q$100,B538)=1,"OK","CHECK")</x:f>
        <x:v>OK</x:v>
      </x:c>
      <x:c r="V538" t="str">
        <x:f t="shared" si="62"/>
        <x:v>OK</x:v>
      </x:c>
      <x:c r="W538" t="str">
        <x:f>IF(SUMIF($B$5:$B$914,B538,$S$5:$S$914)=SUMIF(DailyProduction!$Q$5:$Q$100,B538,DailyProduction!$R$5:$R$100),"OK","CHECK")</x:f>
        <x:v>OK</x:v>
      </x:c>
      <x:c r="X538" t="str">
        <x:v>PLC-PRD-JAR-720-L23</x:v>
      </x:c>
      <x:c r="Y538" t="str">
        <x:v>OK</x:v>
      </x:c>
      <x:c r="Z538" t="str">
        <x:v>OK</x:v>
      </x:c>
      <x:c r="AA538" t="n">
        <x:v>3</x:v>
      </x:c>
      <x:c r="AB538" t="n">
        <x:v>2</x:v>
      </x:c>
      <x:c r="AC538" t="str">
        <x:v>OK</x:v>
      </x:c>
      <x:c r="AD538" t="str">
        <x:v>OK</x:v>
      </x:c>
      <x:c r="AE538" t="str">
        <x:v>LOAD</x:v>
      </x:c>
      <x:c r="AF538" t="str">
        <x:v>02_Supervisor_Log(4).xlsx</x:v>
      </x:c>
      <x:c r="AG538" t="str">
        <x:v>ENH-20260830-01</x:v>
      </x:c>
      <x:c r="AH538" t="str">
        <x:v>Active</x:v>
      </x:c>
      <x:c r="AI538"/>
      <x:c r="AJ538"/>
      <x:c r="AK538"/>
      <x:c r="AL538"/>
    </x:row>
    <x:row r="539">
      <x:c r="A539" t="s">
        <x:v>772</x:v>
      </x:c>
      <x:c r="B539" t="s">
        <x:v>771</x:v>
      </x:c>
      <x:c r="C539" t="s">
        <x:v>44</x:v>
      </x:c>
      <x:c r="D539">
        <x:v>45956</x:v>
      </x:c>
      <x:c r="E539" t="s">
        <x:v>187</x:v>
      </x:c>
      <x:c r="F539" t="s">
        <x:v>46</x:v>
      </x:c>
      <x:c r="G539">
        <x:v>23</x:v>
      </x:c>
      <x:c r="H539" t="s">
        <x:v>67</x:v>
      </x:c>
      <x:c r="I539">
        <x:v>2</x:v>
      </x:c>
      <x:c r="J539">
        <x:v>12</x:v>
      </x:c>
      <x:c r="K539">
        <x:v>2</x:v>
      </x:c>
      <x:c r="L539">
        <x:f t="shared" si="56"/>
        <x:v>1</x:v>
      </x:c>
      <x:c r="P539">
        <x:f t="shared" si="57"/>
        <x:v>1</x:v>
      </x:c>
      <x:c r="Q539">
        <x:f t="shared" si="58"/>
        <x:v>1</x:v>
      </x:c>
      <x:c r="R539">
        <x:f t="shared" si="59"/>
        <x:v>0</x:v>
      </x:c>
      <x:c r="S539">
        <x:f t="shared" si="60"/>
        <x:v>2</x:v>
      </x:c>
      <x:c r="T539" t="str">
        <x:f t="shared" si="61"/>
        <x:v>DerivedFromCount</x:v>
      </x:c>
      <x:c r="U539" t="str">
        <x:f>IF(COUNTIF(DailyProduction!$Q$5:$Q$100,B539)=1,"OK","CHECK")</x:f>
        <x:v>OK</x:v>
      </x:c>
      <x:c r="V539" t="str">
        <x:f t="shared" si="62"/>
        <x:v>OK</x:v>
      </x:c>
      <x:c r="W539" t="str">
        <x:f>IF(SUMIF($B$5:$B$914,B539,$S$5:$S$914)=SUMIF(DailyProduction!$Q$5:$Q$100,B539,DailyProduction!$R$5:$R$100),"OK","CHECK")</x:f>
        <x:v>OK</x:v>
      </x:c>
      <x:c r="X539" t="str">
        <x:v>PLC-PRD-JAR-720-L23</x:v>
      </x:c>
      <x:c r="Y539" t="str">
        <x:v>OK</x:v>
      </x:c>
      <x:c r="Z539" t="str">
        <x:v>OK</x:v>
      </x:c>
      <x:c r="AA539" t="n">
        <x:v>3</x:v>
      </x:c>
      <x:c r="AB539" t="n">
        <x:v>2</x:v>
      </x:c>
      <x:c r="AC539" t="str">
        <x:v>OK</x:v>
      </x:c>
      <x:c r="AD539" t="str">
        <x:v>OK</x:v>
      </x:c>
      <x:c r="AE539" t="str">
        <x:v>LOAD</x:v>
      </x:c>
      <x:c r="AF539" t="str">
        <x:v>02_Supervisor_Log(4).xlsx</x:v>
      </x:c>
      <x:c r="AG539" t="str">
        <x:v>ENH-20260830-01</x:v>
      </x:c>
      <x:c r="AH539" t="str">
        <x:v>Active</x:v>
      </x:c>
      <x:c r="AI539"/>
      <x:c r="AJ539"/>
      <x:c r="AK539"/>
      <x:c r="AL539"/>
    </x:row>
    <x:row r="540">
      <x:c r="A540" t="s">
        <x:v>773</x:v>
      </x:c>
      <x:c r="B540" t="s">
        <x:v>771</x:v>
      </x:c>
      <x:c r="C540" t="s">
        <x:v>44</x:v>
      </x:c>
      <x:c r="D540">
        <x:v>45956</x:v>
      </x:c>
      <x:c r="E540" t="s">
        <x:v>187</x:v>
      </x:c>
      <x:c r="F540" t="s">
        <x:v>46</x:v>
      </x:c>
      <x:c r="G540">
        <x:v>23</x:v>
      </x:c>
      <x:c r="H540" t="s">
        <x:v>67</x:v>
      </x:c>
      <x:c r="I540">
        <x:v>3</x:v>
      </x:c>
      <x:c r="J540">
        <x:v>12</x:v>
      </x:c>
      <x:c r="K540">
        <x:v>2</x:v>
      </x:c>
      <x:c r="L540">
        <x:f t="shared" si="56"/>
        <x:v>1</x:v>
      </x:c>
      <x:c r="P540">
        <x:f t="shared" si="57"/>
        <x:v>1</x:v>
      </x:c>
      <x:c r="Q540">
        <x:f t="shared" si="58"/>
        <x:v>1</x:v>
      </x:c>
      <x:c r="R540">
        <x:f t="shared" si="59"/>
        <x:v>0</x:v>
      </x:c>
      <x:c r="S540">
        <x:f t="shared" si="60"/>
        <x:v>2</x:v>
      </x:c>
      <x:c r="T540" t="str">
        <x:f t="shared" si="61"/>
        <x:v>DerivedFromCount</x:v>
      </x:c>
      <x:c r="U540" t="str">
        <x:f>IF(COUNTIF(DailyProduction!$Q$5:$Q$100,B540)=1,"OK","CHECK")</x:f>
        <x:v>OK</x:v>
      </x:c>
      <x:c r="V540" t="str">
        <x:f t="shared" si="62"/>
        <x:v>OK</x:v>
      </x:c>
      <x:c r="W540" t="str">
        <x:f>IF(SUMIF($B$5:$B$914,B540,$S$5:$S$914)=SUMIF(DailyProduction!$Q$5:$Q$100,B540,DailyProduction!$R$5:$R$100),"OK","CHECK")</x:f>
        <x:v>OK</x:v>
      </x:c>
      <x:c r="X540" t="str">
        <x:v>PLC-PRD-JAR-720-L23</x:v>
      </x:c>
      <x:c r="Y540" t="str">
        <x:v>OK</x:v>
      </x:c>
      <x:c r="Z540" t="str">
        <x:v>OK</x:v>
      </x:c>
      <x:c r="AA540" t="n">
        <x:v>3</x:v>
      </x:c>
      <x:c r="AB540" t="n">
        <x:v>2</x:v>
      </x:c>
      <x:c r="AC540" t="str">
        <x:v>OK</x:v>
      </x:c>
      <x:c r="AD540" t="str">
        <x:v>OK</x:v>
      </x:c>
      <x:c r="AE540" t="str">
        <x:v>LOAD</x:v>
      </x:c>
      <x:c r="AF540" t="str">
        <x:v>02_Supervisor_Log(4).xlsx</x:v>
      </x:c>
      <x:c r="AG540" t="str">
        <x:v>ENH-20260830-01</x:v>
      </x:c>
      <x:c r="AH540" t="str">
        <x:v>Active</x:v>
      </x:c>
      <x:c r="AI540"/>
      <x:c r="AJ540"/>
      <x:c r="AK540"/>
      <x:c r="AL540"/>
    </x:row>
    <x:row r="541">
      <x:c r="A541" t="s">
        <x:v>774</x:v>
      </x:c>
      <x:c r="B541" t="s">
        <x:v>771</x:v>
      </x:c>
      <x:c r="C541" t="s">
        <x:v>44</x:v>
      </x:c>
      <x:c r="D541">
        <x:v>45956</x:v>
      </x:c>
      <x:c r="E541" t="s">
        <x:v>187</x:v>
      </x:c>
      <x:c r="F541" t="s">
        <x:v>46</x:v>
      </x:c>
      <x:c r="G541">
        <x:v>23</x:v>
      </x:c>
      <x:c r="H541" t="s">
        <x:v>67</x:v>
      </x:c>
      <x:c r="I541">
        <x:v>4</x:v>
      </x:c>
      <x:c r="J541">
        <x:v>12</x:v>
      </x:c>
      <x:c r="K541">
        <x:v>2</x:v>
      </x:c>
      <x:c r="L541">
        <x:f t="shared" si="56"/>
        <x:v>1</x:v>
      </x:c>
      <x:c r="P541">
        <x:f t="shared" si="57"/>
        <x:v>1</x:v>
      </x:c>
      <x:c r="Q541">
        <x:f t="shared" si="58"/>
        <x:v>1</x:v>
      </x:c>
      <x:c r="R541">
        <x:f t="shared" si="59"/>
        <x:v>0</x:v>
      </x:c>
      <x:c r="S541">
        <x:f t="shared" si="60"/>
        <x:v>2</x:v>
      </x:c>
      <x:c r="T541" t="str">
        <x:f t="shared" si="61"/>
        <x:v>DerivedFromCount</x:v>
      </x:c>
      <x:c r="U541" t="str">
        <x:f>IF(COUNTIF(DailyProduction!$Q$5:$Q$100,B541)=1,"OK","CHECK")</x:f>
        <x:v>OK</x:v>
      </x:c>
      <x:c r="V541" t="str">
        <x:f t="shared" si="62"/>
        <x:v>OK</x:v>
      </x:c>
      <x:c r="W541" t="str">
        <x:f>IF(SUMIF($B$5:$B$914,B541,$S$5:$S$914)=SUMIF(DailyProduction!$Q$5:$Q$100,B541,DailyProduction!$R$5:$R$100),"OK","CHECK")</x:f>
        <x:v>OK</x:v>
      </x:c>
      <x:c r="X541" t="str">
        <x:v>PLC-PRD-JAR-720-L23</x:v>
      </x:c>
      <x:c r="Y541" t="str">
        <x:v>OK</x:v>
      </x:c>
      <x:c r="Z541" t="str">
        <x:v>OK</x:v>
      </x:c>
      <x:c r="AA541" t="n">
        <x:v>3</x:v>
      </x:c>
      <x:c r="AB541" t="n">
        <x:v>2</x:v>
      </x:c>
      <x:c r="AC541" t="str">
        <x:v>OK</x:v>
      </x:c>
      <x:c r="AD541" t="str">
        <x:v>OK</x:v>
      </x:c>
      <x:c r="AE541" t="str">
        <x:v>LOAD</x:v>
      </x:c>
      <x:c r="AF541" t="str">
        <x:v>02_Supervisor_Log(4).xlsx</x:v>
      </x:c>
      <x:c r="AG541" t="str">
        <x:v>ENH-20260830-01</x:v>
      </x:c>
      <x:c r="AH541" t="str">
        <x:v>Active</x:v>
      </x:c>
      <x:c r="AI541"/>
      <x:c r="AJ541"/>
      <x:c r="AK541"/>
      <x:c r="AL541"/>
    </x:row>
    <x:row r="542">
      <x:c r="A542" t="s">
        <x:v>775</x:v>
      </x:c>
      <x:c r="B542" t="s">
        <x:v>771</x:v>
      </x:c>
      <x:c r="C542" t="s">
        <x:v>44</x:v>
      </x:c>
      <x:c r="D542">
        <x:v>45956</x:v>
      </x:c>
      <x:c r="E542" t="s">
        <x:v>187</x:v>
      </x:c>
      <x:c r="F542" t="s">
        <x:v>46</x:v>
      </x:c>
      <x:c r="G542">
        <x:v>23</x:v>
      </x:c>
      <x:c r="H542" t="s">
        <x:v>67</x:v>
      </x:c>
      <x:c r="I542">
        <x:v>5</x:v>
      </x:c>
      <x:c r="J542">
        <x:v>12</x:v>
      </x:c>
      <x:c r="K542">
        <x:v>2</x:v>
      </x:c>
      <x:c r="L542">
        <x:f t="shared" si="56"/>
        <x:v>1</x:v>
      </x:c>
      <x:c r="P542">
        <x:f t="shared" si="57"/>
        <x:v>1</x:v>
      </x:c>
      <x:c r="Q542">
        <x:f t="shared" si="58"/>
        <x:v>1</x:v>
      </x:c>
      <x:c r="R542">
        <x:f t="shared" si="59"/>
        <x:v>0</x:v>
      </x:c>
      <x:c r="S542">
        <x:f t="shared" si="60"/>
        <x:v>2</x:v>
      </x:c>
      <x:c r="T542" t="str">
        <x:f t="shared" si="61"/>
        <x:v>DerivedFromCount</x:v>
      </x:c>
      <x:c r="U542" t="str">
        <x:f>IF(COUNTIF(DailyProduction!$Q$5:$Q$100,B542)=1,"OK","CHECK")</x:f>
        <x:v>OK</x:v>
      </x:c>
      <x:c r="V542" t="str">
        <x:f t="shared" si="62"/>
        <x:v>OK</x:v>
      </x:c>
      <x:c r="W542" t="str">
        <x:f>IF(SUMIF($B$5:$B$914,B542,$S$5:$S$914)=SUMIF(DailyProduction!$Q$5:$Q$100,B542,DailyProduction!$R$5:$R$100),"OK","CHECK")</x:f>
        <x:v>OK</x:v>
      </x:c>
      <x:c r="X542" t="str">
        <x:v>PLC-PRD-JAR-720-L23</x:v>
      </x:c>
      <x:c r="Y542" t="str">
        <x:v>OK</x:v>
      </x:c>
      <x:c r="Z542" t="str">
        <x:v>OK</x:v>
      </x:c>
      <x:c r="AA542" t="n">
        <x:v>3</x:v>
      </x:c>
      <x:c r="AB542" t="n">
        <x:v>2</x:v>
      </x:c>
      <x:c r="AC542" t="str">
        <x:v>OK</x:v>
      </x:c>
      <x:c r="AD542" t="str">
        <x:v>OK</x:v>
      </x:c>
      <x:c r="AE542" t="str">
        <x:v>LOAD</x:v>
      </x:c>
      <x:c r="AF542" t="str">
        <x:v>02_Supervisor_Log(4).xlsx</x:v>
      </x:c>
      <x:c r="AG542" t="str">
        <x:v>ENH-20260830-01</x:v>
      </x:c>
      <x:c r="AH542" t="str">
        <x:v>Active</x:v>
      </x:c>
      <x:c r="AI542"/>
      <x:c r="AJ542"/>
      <x:c r="AK542"/>
      <x:c r="AL542"/>
    </x:row>
    <x:row r="543">
      <x:c r="A543" t="s">
        <x:v>776</x:v>
      </x:c>
      <x:c r="B543" t="s">
        <x:v>771</x:v>
      </x:c>
      <x:c r="C543" t="s">
        <x:v>44</x:v>
      </x:c>
      <x:c r="D543">
        <x:v>45956</x:v>
      </x:c>
      <x:c r="E543" t="s">
        <x:v>187</x:v>
      </x:c>
      <x:c r="F543" t="s">
        <x:v>46</x:v>
      </x:c>
      <x:c r="G543">
        <x:v>23</x:v>
      </x:c>
      <x:c r="H543" t="s">
        <x:v>67</x:v>
      </x:c>
      <x:c r="I543">
        <x:v>6</x:v>
      </x:c>
      <x:c r="J543">
        <x:v>12</x:v>
      </x:c>
      <x:c r="K543">
        <x:v>2</x:v>
      </x:c>
      <x:c r="L543">
        <x:f t="shared" si="56"/>
        <x:v>1</x:v>
      </x:c>
      <x:c r="P543">
        <x:f t="shared" si="57"/>
        <x:v>1</x:v>
      </x:c>
      <x:c r="Q543">
        <x:f t="shared" si="58"/>
        <x:v>1</x:v>
      </x:c>
      <x:c r="R543">
        <x:f t="shared" si="59"/>
        <x:v>0</x:v>
      </x:c>
      <x:c r="S543">
        <x:f t="shared" si="60"/>
        <x:v>2</x:v>
      </x:c>
      <x:c r="T543" t="str">
        <x:f t="shared" si="61"/>
        <x:v>DerivedFromCount</x:v>
      </x:c>
      <x:c r="U543" t="str">
        <x:f>IF(COUNTIF(DailyProduction!$Q$5:$Q$100,B543)=1,"OK","CHECK")</x:f>
        <x:v>OK</x:v>
      </x:c>
      <x:c r="V543" t="str">
        <x:f t="shared" si="62"/>
        <x:v>OK</x:v>
      </x:c>
      <x:c r="W543" t="str">
        <x:f>IF(SUMIF($B$5:$B$914,B543,$S$5:$S$914)=SUMIF(DailyProduction!$Q$5:$Q$100,B543,DailyProduction!$R$5:$R$100),"OK","CHECK")</x:f>
        <x:v>OK</x:v>
      </x:c>
      <x:c r="X543" t="str">
        <x:v>PLC-PRD-JAR-720-L23</x:v>
      </x:c>
      <x:c r="Y543" t="str">
        <x:v>OK</x:v>
      </x:c>
      <x:c r="Z543" t="str">
        <x:v>OK</x:v>
      </x:c>
      <x:c r="AA543" t="n">
        <x:v>3</x:v>
      </x:c>
      <x:c r="AB543" t="n">
        <x:v>2</x:v>
      </x:c>
      <x:c r="AC543" t="str">
        <x:v>OK</x:v>
      </x:c>
      <x:c r="AD543" t="str">
        <x:v>OK</x:v>
      </x:c>
      <x:c r="AE543" t="str">
        <x:v>LOAD</x:v>
      </x:c>
      <x:c r="AF543" t="str">
        <x:v>02_Supervisor_Log(4).xlsx</x:v>
      </x:c>
      <x:c r="AG543" t="str">
        <x:v>ENH-20260830-01</x:v>
      </x:c>
      <x:c r="AH543" t="str">
        <x:v>Active</x:v>
      </x:c>
      <x:c r="AI543"/>
      <x:c r="AJ543"/>
      <x:c r="AK543"/>
      <x:c r="AL543"/>
    </x:row>
    <x:row r="544">
      <x:c r="A544" t="s">
        <x:v>777</x:v>
      </x:c>
      <x:c r="B544" t="s">
        <x:v>771</x:v>
      </x:c>
      <x:c r="C544" t="s">
        <x:v>44</x:v>
      </x:c>
      <x:c r="D544">
        <x:v>45956</x:v>
      </x:c>
      <x:c r="E544" t="s">
        <x:v>187</x:v>
      </x:c>
      <x:c r="F544" t="s">
        <x:v>46</x:v>
      </x:c>
      <x:c r="G544">
        <x:v>23</x:v>
      </x:c>
      <x:c r="H544" t="s">
        <x:v>67</x:v>
      </x:c>
      <x:c r="I544">
        <x:v>7</x:v>
      </x:c>
      <x:c r="J544">
        <x:v>12</x:v>
      </x:c>
      <x:c r="K544">
        <x:v>2</x:v>
      </x:c>
      <x:c r="L544">
        <x:f t="shared" si="56"/>
        <x:v>1</x:v>
      </x:c>
      <x:c r="P544">
        <x:f t="shared" si="57"/>
        <x:v>1</x:v>
      </x:c>
      <x:c r="Q544">
        <x:f t="shared" si="58"/>
        <x:v>1</x:v>
      </x:c>
      <x:c r="R544">
        <x:f t="shared" si="59"/>
        <x:v>0</x:v>
      </x:c>
      <x:c r="S544">
        <x:f t="shared" si="60"/>
        <x:v>2</x:v>
      </x:c>
      <x:c r="T544" t="str">
        <x:f t="shared" si="61"/>
        <x:v>DerivedFromCount</x:v>
      </x:c>
      <x:c r="U544" t="str">
        <x:f>IF(COUNTIF(DailyProduction!$Q$5:$Q$100,B544)=1,"OK","CHECK")</x:f>
        <x:v>OK</x:v>
      </x:c>
      <x:c r="V544" t="str">
        <x:f t="shared" si="62"/>
        <x:v>OK</x:v>
      </x:c>
      <x:c r="W544" t="str">
        <x:f>IF(SUMIF($B$5:$B$914,B544,$S$5:$S$914)=SUMIF(DailyProduction!$Q$5:$Q$100,B544,DailyProduction!$R$5:$R$100),"OK","CHECK")</x:f>
        <x:v>OK</x:v>
      </x:c>
      <x:c r="X544" t="str">
        <x:v>PLC-PRD-JAR-720-L23</x:v>
      </x:c>
      <x:c r="Y544" t="str">
        <x:v>OK</x:v>
      </x:c>
      <x:c r="Z544" t="str">
        <x:v>OK</x:v>
      </x:c>
      <x:c r="AA544" t="n">
        <x:v>3</x:v>
      </x:c>
      <x:c r="AB544" t="n">
        <x:v>2</x:v>
      </x:c>
      <x:c r="AC544" t="str">
        <x:v>OK</x:v>
      </x:c>
      <x:c r="AD544" t="str">
        <x:v>OK</x:v>
      </x:c>
      <x:c r="AE544" t="str">
        <x:v>LOAD</x:v>
      </x:c>
      <x:c r="AF544" t="str">
        <x:v>02_Supervisor_Log(4).xlsx</x:v>
      </x:c>
      <x:c r="AG544" t="str">
        <x:v>ENH-20260830-01</x:v>
      </x:c>
      <x:c r="AH544" t="str">
        <x:v>Active</x:v>
      </x:c>
      <x:c r="AI544"/>
      <x:c r="AJ544"/>
      <x:c r="AK544"/>
      <x:c r="AL544"/>
    </x:row>
    <x:row r="545">
      <x:c r="A545" t="s">
        <x:v>778</x:v>
      </x:c>
      <x:c r="B545" t="s">
        <x:v>771</x:v>
      </x:c>
      <x:c r="C545" t="s">
        <x:v>44</x:v>
      </x:c>
      <x:c r="D545">
        <x:v>45956</x:v>
      </x:c>
      <x:c r="E545" t="s">
        <x:v>187</x:v>
      </x:c>
      <x:c r="F545" t="s">
        <x:v>46</x:v>
      </x:c>
      <x:c r="G545">
        <x:v>23</x:v>
      </x:c>
      <x:c r="H545" t="s">
        <x:v>67</x:v>
      </x:c>
      <x:c r="I545">
        <x:v>8</x:v>
      </x:c>
      <x:c r="J545">
        <x:v>12</x:v>
      </x:c>
      <x:c r="K545">
        <x:v>2</x:v>
      </x:c>
      <x:c r="L545">
        <x:f t="shared" si="56"/>
        <x:v>1</x:v>
      </x:c>
      <x:c r="P545">
        <x:f t="shared" si="57"/>
        <x:v>1</x:v>
      </x:c>
      <x:c r="Q545">
        <x:f t="shared" si="58"/>
        <x:v>1</x:v>
      </x:c>
      <x:c r="R545">
        <x:f t="shared" si="59"/>
        <x:v>0</x:v>
      </x:c>
      <x:c r="S545">
        <x:f t="shared" si="60"/>
        <x:v>2</x:v>
      </x:c>
      <x:c r="T545" t="str">
        <x:f t="shared" si="61"/>
        <x:v>DerivedFromCount</x:v>
      </x:c>
      <x:c r="U545" t="str">
        <x:f>IF(COUNTIF(DailyProduction!$Q$5:$Q$100,B545)=1,"OK","CHECK")</x:f>
        <x:v>OK</x:v>
      </x:c>
      <x:c r="V545" t="str">
        <x:f t="shared" si="62"/>
        <x:v>OK</x:v>
      </x:c>
      <x:c r="W545" t="str">
        <x:f>IF(SUMIF($B$5:$B$914,B545,$S$5:$S$914)=SUMIF(DailyProduction!$Q$5:$Q$100,B545,DailyProduction!$R$5:$R$100),"OK","CHECK")</x:f>
        <x:v>OK</x:v>
      </x:c>
      <x:c r="X545" t="str">
        <x:v>PLC-PRD-JAR-720-L23</x:v>
      </x:c>
      <x:c r="Y545" t="str">
        <x:v>OK</x:v>
      </x:c>
      <x:c r="Z545" t="str">
        <x:v>OK</x:v>
      </x:c>
      <x:c r="AA545" t="n">
        <x:v>3</x:v>
      </x:c>
      <x:c r="AB545" t="n">
        <x:v>2</x:v>
      </x:c>
      <x:c r="AC545" t="str">
        <x:v>OK</x:v>
      </x:c>
      <x:c r="AD545" t="str">
        <x:v>OK</x:v>
      </x:c>
      <x:c r="AE545" t="str">
        <x:v>LOAD</x:v>
      </x:c>
      <x:c r="AF545" t="str">
        <x:v>02_Supervisor_Log(4).xlsx</x:v>
      </x:c>
      <x:c r="AG545" t="str">
        <x:v>ENH-20260830-01</x:v>
      </x:c>
      <x:c r="AH545" t="str">
        <x:v>Active</x:v>
      </x:c>
      <x:c r="AI545"/>
      <x:c r="AJ545"/>
      <x:c r="AK545"/>
      <x:c r="AL545"/>
    </x:row>
    <x:row r="546">
      <x:c r="A546" t="s">
        <x:v>779</x:v>
      </x:c>
      <x:c r="B546" t="s">
        <x:v>771</x:v>
      </x:c>
      <x:c r="C546" t="s">
        <x:v>44</x:v>
      </x:c>
      <x:c r="D546">
        <x:v>45956</x:v>
      </x:c>
      <x:c r="E546" t="s">
        <x:v>187</x:v>
      </x:c>
      <x:c r="F546" t="s">
        <x:v>46</x:v>
      </x:c>
      <x:c r="G546">
        <x:v>23</x:v>
      </x:c>
      <x:c r="H546" t="s">
        <x:v>67</x:v>
      </x:c>
      <x:c r="I546">
        <x:v>9</x:v>
      </x:c>
      <x:c r="J546">
        <x:v>12</x:v>
      </x:c>
      <x:c r="K546">
        <x:v>2</x:v>
      </x:c>
      <x:c r="L546">
        <x:f t="shared" si="56"/>
        <x:v>1</x:v>
      </x:c>
      <x:c r="P546">
        <x:f t="shared" si="57"/>
        <x:v>1</x:v>
      </x:c>
      <x:c r="Q546">
        <x:f t="shared" si="58"/>
        <x:v>1</x:v>
      </x:c>
      <x:c r="R546">
        <x:f t="shared" si="59"/>
        <x:v>0</x:v>
      </x:c>
      <x:c r="S546">
        <x:f t="shared" si="60"/>
        <x:v>2</x:v>
      </x:c>
      <x:c r="T546" t="str">
        <x:f t="shared" si="61"/>
        <x:v>DerivedFromCount</x:v>
      </x:c>
      <x:c r="U546" t="str">
        <x:f>IF(COUNTIF(DailyProduction!$Q$5:$Q$100,B546)=1,"OK","CHECK")</x:f>
        <x:v>OK</x:v>
      </x:c>
      <x:c r="V546" t="str">
        <x:f t="shared" si="62"/>
        <x:v>OK</x:v>
      </x:c>
      <x:c r="W546" t="str">
        <x:f>IF(SUMIF($B$5:$B$914,B546,$S$5:$S$914)=SUMIF(DailyProduction!$Q$5:$Q$100,B546,DailyProduction!$R$5:$R$100),"OK","CHECK")</x:f>
        <x:v>OK</x:v>
      </x:c>
      <x:c r="X546" t="str">
        <x:v>PLC-PRD-JAR-720-L23</x:v>
      </x:c>
      <x:c r="Y546" t="str">
        <x:v>OK</x:v>
      </x:c>
      <x:c r="Z546" t="str">
        <x:v>OK</x:v>
      </x:c>
      <x:c r="AA546" t="n">
        <x:v>3</x:v>
      </x:c>
      <x:c r="AB546" t="n">
        <x:v>2</x:v>
      </x:c>
      <x:c r="AC546" t="str">
        <x:v>OK</x:v>
      </x:c>
      <x:c r="AD546" t="str">
        <x:v>OK</x:v>
      </x:c>
      <x:c r="AE546" t="str">
        <x:v>LOAD</x:v>
      </x:c>
      <x:c r="AF546" t="str">
        <x:v>02_Supervisor_Log(4).xlsx</x:v>
      </x:c>
      <x:c r="AG546" t="str">
        <x:v>ENH-20260830-01</x:v>
      </x:c>
      <x:c r="AH546" t="str">
        <x:v>Active</x:v>
      </x:c>
      <x:c r="AI546"/>
      <x:c r="AJ546"/>
      <x:c r="AK546"/>
      <x:c r="AL546"/>
    </x:row>
    <x:row r="547">
      <x:c r="A547" t="s">
        <x:v>780</x:v>
      </x:c>
      <x:c r="B547" t="s">
        <x:v>771</x:v>
      </x:c>
      <x:c r="C547" t="s">
        <x:v>44</x:v>
      </x:c>
      <x:c r="D547">
        <x:v>45956</x:v>
      </x:c>
      <x:c r="E547" t="s">
        <x:v>187</x:v>
      </x:c>
      <x:c r="F547" t="s">
        <x:v>46</x:v>
      </x:c>
      <x:c r="G547">
        <x:v>23</x:v>
      </x:c>
      <x:c r="H547" t="s">
        <x:v>67</x:v>
      </x:c>
      <x:c r="I547">
        <x:v>10</x:v>
      </x:c>
      <x:c r="J547">
        <x:v>12</x:v>
      </x:c>
      <x:c r="K547">
        <x:v>2</x:v>
      </x:c>
      <x:c r="L547">
        <x:f t="shared" si="56"/>
        <x:v>1</x:v>
      </x:c>
      <x:c r="P547">
        <x:f t="shared" si="57"/>
        <x:v>1</x:v>
      </x:c>
      <x:c r="Q547">
        <x:f t="shared" si="58"/>
        <x:v>1</x:v>
      </x:c>
      <x:c r="R547">
        <x:f t="shared" si="59"/>
        <x:v>0</x:v>
      </x:c>
      <x:c r="S547">
        <x:f t="shared" si="60"/>
        <x:v>2</x:v>
      </x:c>
      <x:c r="T547" t="str">
        <x:f t="shared" si="61"/>
        <x:v>DerivedFromCount</x:v>
      </x:c>
      <x:c r="U547" t="str">
        <x:f>IF(COUNTIF(DailyProduction!$Q$5:$Q$100,B547)=1,"OK","CHECK")</x:f>
        <x:v>OK</x:v>
      </x:c>
      <x:c r="V547" t="str">
        <x:f t="shared" si="62"/>
        <x:v>OK</x:v>
      </x:c>
      <x:c r="W547" t="str">
        <x:f>IF(SUMIF($B$5:$B$914,B547,$S$5:$S$914)=SUMIF(DailyProduction!$Q$5:$Q$100,B547,DailyProduction!$R$5:$R$100),"OK","CHECK")</x:f>
        <x:v>OK</x:v>
      </x:c>
      <x:c r="X547" t="str">
        <x:v>PLC-PRD-JAR-720-L23</x:v>
      </x:c>
      <x:c r="Y547" t="str">
        <x:v>OK</x:v>
      </x:c>
      <x:c r="Z547" t="str">
        <x:v>OK</x:v>
      </x:c>
      <x:c r="AA547" t="n">
        <x:v>3</x:v>
      </x:c>
      <x:c r="AB547" t="n">
        <x:v>2</x:v>
      </x:c>
      <x:c r="AC547" t="str">
        <x:v>OK</x:v>
      </x:c>
      <x:c r="AD547" t="str">
        <x:v>OK</x:v>
      </x:c>
      <x:c r="AE547" t="str">
        <x:v>LOAD</x:v>
      </x:c>
      <x:c r="AF547" t="str">
        <x:v>02_Supervisor_Log(4).xlsx</x:v>
      </x:c>
      <x:c r="AG547" t="str">
        <x:v>ENH-20260830-01</x:v>
      </x:c>
      <x:c r="AH547" t="str">
        <x:v>Active</x:v>
      </x:c>
      <x:c r="AI547"/>
      <x:c r="AJ547"/>
      <x:c r="AK547"/>
      <x:c r="AL547"/>
    </x:row>
    <x:row r="548">
      <x:c r="A548" t="s">
        <x:v>781</x:v>
      </x:c>
      <x:c r="B548" t="s">
        <x:v>771</x:v>
      </x:c>
      <x:c r="C548" t="s">
        <x:v>44</x:v>
      </x:c>
      <x:c r="D548">
        <x:v>45956</x:v>
      </x:c>
      <x:c r="E548" t="s">
        <x:v>187</x:v>
      </x:c>
      <x:c r="F548" t="s">
        <x:v>46</x:v>
      </x:c>
      <x:c r="G548">
        <x:v>23</x:v>
      </x:c>
      <x:c r="H548" t="s">
        <x:v>67</x:v>
      </x:c>
      <x:c r="I548">
        <x:v>11</x:v>
      </x:c>
      <x:c r="J548">
        <x:v>12</x:v>
      </x:c>
      <x:c r="K548">
        <x:v>2</x:v>
      </x:c>
      <x:c r="L548">
        <x:f t="shared" si="56"/>
        <x:v>1</x:v>
      </x:c>
      <x:c r="P548">
        <x:f t="shared" si="57"/>
        <x:v>1</x:v>
      </x:c>
      <x:c r="Q548">
        <x:f t="shared" si="58"/>
        <x:v>1</x:v>
      </x:c>
      <x:c r="R548">
        <x:f t="shared" si="59"/>
        <x:v>0</x:v>
      </x:c>
      <x:c r="S548">
        <x:f t="shared" si="60"/>
        <x:v>2</x:v>
      </x:c>
      <x:c r="T548" t="str">
        <x:f t="shared" si="61"/>
        <x:v>DerivedFromCount</x:v>
      </x:c>
      <x:c r="U548" t="str">
        <x:f>IF(COUNTIF(DailyProduction!$Q$5:$Q$100,B548)=1,"OK","CHECK")</x:f>
        <x:v>OK</x:v>
      </x:c>
      <x:c r="V548" t="str">
        <x:f t="shared" si="62"/>
        <x:v>OK</x:v>
      </x:c>
      <x:c r="W548" t="str">
        <x:f>IF(SUMIF($B$5:$B$914,B548,$S$5:$S$914)=SUMIF(DailyProduction!$Q$5:$Q$100,B548,DailyProduction!$R$5:$R$100),"OK","CHECK")</x:f>
        <x:v>OK</x:v>
      </x:c>
      <x:c r="X548" t="str">
        <x:v>PLC-PRD-JAR-720-L23</x:v>
      </x:c>
      <x:c r="Y548" t="str">
        <x:v>OK</x:v>
      </x:c>
      <x:c r="Z548" t="str">
        <x:v>OK</x:v>
      </x:c>
      <x:c r="AA548" t="n">
        <x:v>3</x:v>
      </x:c>
      <x:c r="AB548" t="n">
        <x:v>2</x:v>
      </x:c>
      <x:c r="AC548" t="str">
        <x:v>OK</x:v>
      </x:c>
      <x:c r="AD548" t="str">
        <x:v>OK</x:v>
      </x:c>
      <x:c r="AE548" t="str">
        <x:v>LOAD</x:v>
      </x:c>
      <x:c r="AF548" t="str">
        <x:v>02_Supervisor_Log(4).xlsx</x:v>
      </x:c>
      <x:c r="AG548" t="str">
        <x:v>ENH-20260830-01</x:v>
      </x:c>
      <x:c r="AH548" t="str">
        <x:v>Active</x:v>
      </x:c>
      <x:c r="AI548"/>
      <x:c r="AJ548"/>
      <x:c r="AK548"/>
      <x:c r="AL548"/>
    </x:row>
    <x:row r="549">
      <x:c r="A549" t="s">
        <x:v>782</x:v>
      </x:c>
      <x:c r="B549" t="s">
        <x:v>771</x:v>
      </x:c>
      <x:c r="C549" t="s">
        <x:v>44</x:v>
      </x:c>
      <x:c r="D549">
        <x:v>45956</x:v>
      </x:c>
      <x:c r="E549" t="s">
        <x:v>187</x:v>
      </x:c>
      <x:c r="F549" t="s">
        <x:v>46</x:v>
      </x:c>
      <x:c r="G549">
        <x:v>23</x:v>
      </x:c>
      <x:c r="H549" t="s">
        <x:v>67</x:v>
      </x:c>
      <x:c r="I549">
        <x:v>12</x:v>
      </x:c>
      <x:c r="J549">
        <x:v>12</x:v>
      </x:c>
      <x:c r="K549">
        <x:v>2</x:v>
      </x:c>
      <x:c r="L549">
        <x:f t="shared" si="56"/>
        <x:v>1</x:v>
      </x:c>
      <x:c r="P549">
        <x:f t="shared" si="57"/>
        <x:v>1</x:v>
      </x:c>
      <x:c r="Q549">
        <x:f t="shared" si="58"/>
        <x:v>1</x:v>
      </x:c>
      <x:c r="R549">
        <x:f t="shared" si="59"/>
        <x:v>0</x:v>
      </x:c>
      <x:c r="S549">
        <x:f t="shared" si="60"/>
        <x:v>2</x:v>
      </x:c>
      <x:c r="T549" t="str">
        <x:f t="shared" si="61"/>
        <x:v>DerivedFromCount</x:v>
      </x:c>
      <x:c r="U549" t="str">
        <x:f>IF(COUNTIF(DailyProduction!$Q$5:$Q$100,B549)=1,"OK","CHECK")</x:f>
        <x:v>OK</x:v>
      </x:c>
      <x:c r="V549" t="str">
        <x:f t="shared" si="62"/>
        <x:v>OK</x:v>
      </x:c>
      <x:c r="W549" t="str">
        <x:f>IF(SUMIF($B$5:$B$914,B549,$S$5:$S$914)=SUMIF(DailyProduction!$Q$5:$Q$100,B549,DailyProduction!$R$5:$R$100),"OK","CHECK")</x:f>
        <x:v>OK</x:v>
      </x:c>
      <x:c r="X549" t="str">
        <x:v>PLC-PRD-JAR-720-L23</x:v>
      </x:c>
      <x:c r="Y549" t="str">
        <x:v>OK</x:v>
      </x:c>
      <x:c r="Z549" t="str">
        <x:v>OK</x:v>
      </x:c>
      <x:c r="AA549" t="n">
        <x:v>3</x:v>
      </x:c>
      <x:c r="AB549" t="n">
        <x:v>2</x:v>
      </x:c>
      <x:c r="AC549" t="str">
        <x:v>OK</x:v>
      </x:c>
      <x:c r="AD549" t="str">
        <x:v>OK</x:v>
      </x:c>
      <x:c r="AE549" t="str">
        <x:v>LOAD</x:v>
      </x:c>
      <x:c r="AF549" t="str">
        <x:v>02_Supervisor_Log(4).xlsx</x:v>
      </x:c>
      <x:c r="AG549" t="str">
        <x:v>ENH-20260830-01</x:v>
      </x:c>
      <x:c r="AH549" t="str">
        <x:v>Active</x:v>
      </x:c>
      <x:c r="AI549"/>
      <x:c r="AJ549"/>
      <x:c r="AK549"/>
      <x:c r="AL549"/>
    </x:row>
    <x:row r="550">
      <x:c r="A550" t="s">
        <x:v>783</x:v>
      </x:c>
      <x:c r="B550" t="s">
        <x:v>771</x:v>
      </x:c>
      <x:c r="C550" t="s">
        <x:v>44</x:v>
      </x:c>
      <x:c r="D550">
        <x:v>45956</x:v>
      </x:c>
      <x:c r="E550" t="s">
        <x:v>187</x:v>
      </x:c>
      <x:c r="F550" t="s">
        <x:v>46</x:v>
      </x:c>
      <x:c r="G550">
        <x:v>23</x:v>
      </x:c>
      <x:c r="H550" t="s">
        <x:v>67</x:v>
      </x:c>
      <x:c r="I550">
        <x:v>13</x:v>
      </x:c>
      <x:c r="J550">
        <x:v>12</x:v>
      </x:c>
      <x:c r="K550">
        <x:v>2</x:v>
      </x:c>
      <x:c r="L550">
        <x:f t="shared" si="56"/>
        <x:v>0</x:v>
      </x:c>
      <x:c r="P550">
        <x:f t="shared" si="57"/>
        <x:v>0</x:v>
      </x:c>
      <x:c r="Q550">
        <x:f t="shared" si="58"/>
        <x:v>0</x:v>
      </x:c>
      <x:c r="R550">
        <x:f t="shared" si="59"/>
        <x:v>0</x:v>
      </x:c>
      <x:c r="S550">
        <x:f t="shared" si="60"/>
        <x:v>0</x:v>
      </x:c>
      <x:c r="T550" t="str">
        <x:f t="shared" si="61"/>
        <x:v>DerivedFromCount</x:v>
      </x:c>
      <x:c r="U550" t="str">
        <x:f>IF(COUNTIF(DailyProduction!$Q$5:$Q$100,B550)=1,"OK","CHECK")</x:f>
        <x:v>OK</x:v>
      </x:c>
      <x:c r="V550" t="str">
        <x:f t="shared" si="62"/>
        <x:v>OK</x:v>
      </x:c>
      <x:c r="W550" t="str">
        <x:f>IF(SUMIF($B$5:$B$914,B550,$S$5:$S$914)=SUMIF(DailyProduction!$Q$5:$Q$100,B550,DailyProduction!$R$5:$R$100),"OK","CHECK")</x:f>
        <x:v>OK</x:v>
      </x:c>
      <x:c r="X550" t="str">
        <x:v>PLC-PRD-JAR-720-L23</x:v>
      </x:c>
      <x:c r="Y550" t="str">
        <x:v>OK</x:v>
      </x:c>
      <x:c r="Z550" t="str">
        <x:v>OK</x:v>
      </x:c>
      <x:c r="AA550" t="n">
        <x:v>3</x:v>
      </x:c>
      <x:c r="AB550" t="n">
        <x:v>0</x:v>
      </x:c>
      <x:c r="AC550" t="str">
        <x:v>OK</x:v>
      </x:c>
      <x:c r="AD550" t="str">
        <x:v>OK</x:v>
      </x:c>
      <x:c r="AE550" t="str">
        <x:v>LOAD</x:v>
      </x:c>
      <x:c r="AF550" t="str">
        <x:v>02_Supervisor_Log(4).xlsx</x:v>
      </x:c>
      <x:c r="AG550" t="str">
        <x:v>ENH-20260830-01</x:v>
      </x:c>
      <x:c r="AH550" t="str">
        <x:v>Active</x:v>
      </x:c>
      <x:c r="AI550"/>
      <x:c r="AJ550"/>
      <x:c r="AK550"/>
      <x:c r="AL550"/>
    </x:row>
    <x:row r="551">
      <x:c r="A551" t="s">
        <x:v>784</x:v>
      </x:c>
      <x:c r="B551" t="s">
        <x:v>785</x:v>
      </x:c>
      <x:c r="C551" t="s">
        <x:v>44</x:v>
      </x:c>
      <x:c r="D551">
        <x:v>45950</x:v>
      </x:c>
      <x:c r="E551" t="s">
        <x:v>45</x:v>
      </x:c>
      <x:c r="F551" t="s">
        <x:v>55</x:v>
      </x:c>
      <x:c r="G551">
        <x:v>24</x:v>
      </x:c>
      <x:c r="H551" t="s">
        <x:v>72</x:v>
      </x:c>
      <x:c r="I551">
        <x:v>1</x:v>
      </x:c>
      <x:c r="J551">
        <x:v>12</x:v>
      </x:c>
      <x:c r="K551">
        <x:v>4</x:v>
      </x:c>
      <x:c r="L551">
        <x:f t="shared" si="56"/>
        <x:v>1</x:v>
      </x:c>
      <x:c r="P551">
        <x:f t="shared" si="57"/>
        <x:v>1</x:v>
      </x:c>
      <x:c r="Q551">
        <x:f t="shared" si="58"/>
        <x:v>1</x:v>
      </x:c>
      <x:c r="R551">
        <x:f t="shared" si="59"/>
        <x:v>1</x:v>
      </x:c>
      <x:c r="S551">
        <x:f t="shared" si="60"/>
        <x:v>3</x:v>
      </x:c>
      <x:c r="T551" t="str">
        <x:f t="shared" si="61"/>
        <x:v>DerivedFromCount</x:v>
      </x:c>
      <x:c r="U551" t="str">
        <x:f>IF(COUNTIF(DailyProduction!$Q$5:$Q$100,B551)=1,"OK","CHECK")</x:f>
        <x:v>OK</x:v>
      </x:c>
      <x:c r="V551" t="str">
        <x:f t="shared" si="62"/>
        <x:v>CHECK</x:v>
      </x:c>
      <x:c r="W551" t="str">
        <x:f>IF(SUMIF($B$5:$B$914,B551,$S$5:$S$914)=SUMIF(DailyProduction!$Q$5:$Q$100,B551,DailyProduction!$R$5:$R$100),"OK","CHECK")</x:f>
        <x:v>CHECK</x:v>
      </x:c>
      <x:c r="X551" t="str">
        <x:v>PLC-PRD-BOT-500-L24</x:v>
      </x:c>
      <x:c r="Y551" t="str">
        <x:v>CHECK</x:v>
      </x:c>
      <x:c r="Z551" t="str">
        <x:v>OK</x:v>
      </x:c>
      <x:c r="AA551" t="n">
        <x:v>3</x:v>
      </x:c>
      <x:c r="AB551" t="n">
        <x:v>3</x:v>
      </x:c>
      <x:c r="AC551" t="str">
        <x:v>OK</x:v>
      </x:c>
      <x:c r="AD551" t="str">
        <x:v>CHECK</x:v>
      </x:c>
      <x:c r="AE551" t="str">
        <x:v>QUARANTINE</x:v>
      </x:c>
      <x:c r="AF551" t="str">
        <x:v>02_Supervisor_Log(4).xlsx</x:v>
      </x:c>
      <x:c r="AG551" t="str">
        <x:v>ENH-20260830-01</x:v>
      </x:c>
      <x:c r="AH551" t="str">
        <x:v>Active</x:v>
      </x:c>
      <x:c r="AI551"/>
      <x:c r="AJ551"/>
      <x:c r="AK551"/>
      <x:c r="AL551"/>
    </x:row>
    <x:row r="552">
      <x:c r="A552" t="s">
        <x:v>786</x:v>
      </x:c>
      <x:c r="B552" t="s">
        <x:v>785</x:v>
      </x:c>
      <x:c r="C552" t="s">
        <x:v>44</x:v>
      </x:c>
      <x:c r="D552">
        <x:v>45950</x:v>
      </x:c>
      <x:c r="E552" t="s">
        <x:v>45</x:v>
      </x:c>
      <x:c r="F552" t="s">
        <x:v>55</x:v>
      </x:c>
      <x:c r="G552">
        <x:v>24</x:v>
      </x:c>
      <x:c r="H552" t="s">
        <x:v>72</x:v>
      </x:c>
      <x:c r="I552">
        <x:v>2</x:v>
      </x:c>
      <x:c r="J552">
        <x:v>12</x:v>
      </x:c>
      <x:c r="K552">
        <x:v>4</x:v>
      </x:c>
      <x:c r="L552">
        <x:f t="shared" si="56"/>
        <x:v>1</x:v>
      </x:c>
      <x:c r="P552">
        <x:f t="shared" si="57"/>
        <x:v>1</x:v>
      </x:c>
      <x:c r="Q552">
        <x:f t="shared" si="58"/>
        <x:v>1</x:v>
      </x:c>
      <x:c r="R552">
        <x:f t="shared" si="59"/>
        <x:v>1</x:v>
      </x:c>
      <x:c r="S552">
        <x:f t="shared" si="60"/>
        <x:v>3</x:v>
      </x:c>
      <x:c r="T552" t="str">
        <x:f t="shared" si="61"/>
        <x:v>DerivedFromCount</x:v>
      </x:c>
      <x:c r="U552" t="str">
        <x:f>IF(COUNTIF(DailyProduction!$Q$5:$Q$100,B552)=1,"OK","CHECK")</x:f>
        <x:v>OK</x:v>
      </x:c>
      <x:c r="V552" t="str">
        <x:f t="shared" si="62"/>
        <x:v>CHECK</x:v>
      </x:c>
      <x:c r="W552" t="str">
        <x:f>IF(SUMIF($B$5:$B$914,B552,$S$5:$S$914)=SUMIF(DailyProduction!$Q$5:$Q$100,B552,DailyProduction!$R$5:$R$100),"OK","CHECK")</x:f>
        <x:v>CHECK</x:v>
      </x:c>
      <x:c r="X552" t="str">
        <x:v>PLC-PRD-BOT-500-L24</x:v>
      </x:c>
      <x:c r="Y552" t="str">
        <x:v>CHECK</x:v>
      </x:c>
      <x:c r="Z552" t="str">
        <x:v>OK</x:v>
      </x:c>
      <x:c r="AA552" t="n">
        <x:v>3</x:v>
      </x:c>
      <x:c r="AB552" t="n">
        <x:v>3</x:v>
      </x:c>
      <x:c r="AC552" t="str">
        <x:v>OK</x:v>
      </x:c>
      <x:c r="AD552" t="str">
        <x:v>CHECK</x:v>
      </x:c>
      <x:c r="AE552" t="str">
        <x:v>QUARANTINE</x:v>
      </x:c>
      <x:c r="AF552" t="str">
        <x:v>02_Supervisor_Log(4).xlsx</x:v>
      </x:c>
      <x:c r="AG552" t="str">
        <x:v>ENH-20260830-01</x:v>
      </x:c>
      <x:c r="AH552" t="str">
        <x:v>Active</x:v>
      </x:c>
      <x:c r="AI552"/>
      <x:c r="AJ552"/>
      <x:c r="AK552"/>
      <x:c r="AL552"/>
    </x:row>
    <x:row r="553">
      <x:c r="A553" t="s">
        <x:v>787</x:v>
      </x:c>
      <x:c r="B553" t="s">
        <x:v>785</x:v>
      </x:c>
      <x:c r="C553" t="s">
        <x:v>44</x:v>
      </x:c>
      <x:c r="D553">
        <x:v>45950</x:v>
      </x:c>
      <x:c r="E553" t="s">
        <x:v>45</x:v>
      </x:c>
      <x:c r="F553" t="s">
        <x:v>55</x:v>
      </x:c>
      <x:c r="G553">
        <x:v>24</x:v>
      </x:c>
      <x:c r="H553" t="s">
        <x:v>72</x:v>
      </x:c>
      <x:c r="I553">
        <x:v>3</x:v>
      </x:c>
      <x:c r="J553">
        <x:v>12</x:v>
      </x:c>
      <x:c r="K553">
        <x:v>4</x:v>
      </x:c>
      <x:c r="L553">
        <x:f t="shared" si="56"/>
        <x:v>1</x:v>
      </x:c>
      <x:c r="P553">
        <x:f t="shared" si="57"/>
        <x:v>1</x:v>
      </x:c>
      <x:c r="Q553">
        <x:f t="shared" si="58"/>
        <x:v>1</x:v>
      </x:c>
      <x:c r="R553">
        <x:f t="shared" si="59"/>
        <x:v>1</x:v>
      </x:c>
      <x:c r="S553">
        <x:f t="shared" si="60"/>
        <x:v>3</x:v>
      </x:c>
      <x:c r="T553" t="str">
        <x:f t="shared" si="61"/>
        <x:v>DerivedFromCount</x:v>
      </x:c>
      <x:c r="U553" t="str">
        <x:f>IF(COUNTIF(DailyProduction!$Q$5:$Q$100,B553)=1,"OK","CHECK")</x:f>
        <x:v>OK</x:v>
      </x:c>
      <x:c r="V553" t="str">
        <x:f t="shared" si="62"/>
        <x:v>CHECK</x:v>
      </x:c>
      <x:c r="W553" t="str">
        <x:f>IF(SUMIF($B$5:$B$914,B553,$S$5:$S$914)=SUMIF(DailyProduction!$Q$5:$Q$100,B553,DailyProduction!$R$5:$R$100),"OK","CHECK")</x:f>
        <x:v>CHECK</x:v>
      </x:c>
      <x:c r="X553" t="str">
        <x:v>PLC-PRD-BOT-500-L24</x:v>
      </x:c>
      <x:c r="Y553" t="str">
        <x:v>CHECK</x:v>
      </x:c>
      <x:c r="Z553" t="str">
        <x:v>OK</x:v>
      </x:c>
      <x:c r="AA553" t="n">
        <x:v>3</x:v>
      </x:c>
      <x:c r="AB553" t="n">
        <x:v>3</x:v>
      </x:c>
      <x:c r="AC553" t="str">
        <x:v>OK</x:v>
      </x:c>
      <x:c r="AD553" t="str">
        <x:v>CHECK</x:v>
      </x:c>
      <x:c r="AE553" t="str">
        <x:v>QUARANTINE</x:v>
      </x:c>
      <x:c r="AF553" t="str">
        <x:v>02_Supervisor_Log(4).xlsx</x:v>
      </x:c>
      <x:c r="AG553" t="str">
        <x:v>ENH-20260830-01</x:v>
      </x:c>
      <x:c r="AH553" t="str">
        <x:v>Active</x:v>
      </x:c>
      <x:c r="AI553"/>
      <x:c r="AJ553"/>
      <x:c r="AK553"/>
      <x:c r="AL553"/>
    </x:row>
    <x:row r="554">
      <x:c r="A554" t="s">
        <x:v>788</x:v>
      </x:c>
      <x:c r="B554" t="s">
        <x:v>785</x:v>
      </x:c>
      <x:c r="C554" t="s">
        <x:v>44</x:v>
      </x:c>
      <x:c r="D554">
        <x:v>45950</x:v>
      </x:c>
      <x:c r="E554" t="s">
        <x:v>45</x:v>
      </x:c>
      <x:c r="F554" t="s">
        <x:v>55</x:v>
      </x:c>
      <x:c r="G554">
        <x:v>24</x:v>
      </x:c>
      <x:c r="H554" t="s">
        <x:v>72</x:v>
      </x:c>
      <x:c r="I554">
        <x:v>4</x:v>
      </x:c>
      <x:c r="J554">
        <x:v>12</x:v>
      </x:c>
      <x:c r="K554">
        <x:v>4</x:v>
      </x:c>
      <x:c r="L554">
        <x:f t="shared" si="56"/>
        <x:v>1</x:v>
      </x:c>
      <x:c r="P554">
        <x:f t="shared" si="57"/>
        <x:v>1</x:v>
      </x:c>
      <x:c r="Q554">
        <x:f t="shared" si="58"/>
        <x:v>1</x:v>
      </x:c>
      <x:c r="R554">
        <x:f t="shared" si="59"/>
        <x:v>1</x:v>
      </x:c>
      <x:c r="S554">
        <x:f t="shared" si="60"/>
        <x:v>3</x:v>
      </x:c>
      <x:c r="T554" t="str">
        <x:f t="shared" si="61"/>
        <x:v>DerivedFromCount</x:v>
      </x:c>
      <x:c r="U554" t="str">
        <x:f>IF(COUNTIF(DailyProduction!$Q$5:$Q$100,B554)=1,"OK","CHECK")</x:f>
        <x:v>OK</x:v>
      </x:c>
      <x:c r="V554" t="str">
        <x:f t="shared" si="62"/>
        <x:v>CHECK</x:v>
      </x:c>
      <x:c r="W554" t="str">
        <x:f>IF(SUMIF($B$5:$B$914,B554,$S$5:$S$914)=SUMIF(DailyProduction!$Q$5:$Q$100,B554,DailyProduction!$R$5:$R$100),"OK","CHECK")</x:f>
        <x:v>CHECK</x:v>
      </x:c>
      <x:c r="X554" t="str">
        <x:v>PLC-PRD-BOT-500-L24</x:v>
      </x:c>
      <x:c r="Y554" t="str">
        <x:v>CHECK</x:v>
      </x:c>
      <x:c r="Z554" t="str">
        <x:v>OK</x:v>
      </x:c>
      <x:c r="AA554" t="n">
        <x:v>3</x:v>
      </x:c>
      <x:c r="AB554" t="n">
        <x:v>3</x:v>
      </x:c>
      <x:c r="AC554" t="str">
        <x:v>OK</x:v>
      </x:c>
      <x:c r="AD554" t="str">
        <x:v>CHECK</x:v>
      </x:c>
      <x:c r="AE554" t="str">
        <x:v>QUARANTINE</x:v>
      </x:c>
      <x:c r="AF554" t="str">
        <x:v>02_Supervisor_Log(4).xlsx</x:v>
      </x:c>
      <x:c r="AG554" t="str">
        <x:v>ENH-20260830-01</x:v>
      </x:c>
      <x:c r="AH554" t="str">
        <x:v>Active</x:v>
      </x:c>
      <x:c r="AI554"/>
      <x:c r="AJ554"/>
      <x:c r="AK554"/>
      <x:c r="AL554"/>
    </x:row>
    <x:row r="555">
      <x:c r="A555" t="s">
        <x:v>789</x:v>
      </x:c>
      <x:c r="B555" t="s">
        <x:v>785</x:v>
      </x:c>
      <x:c r="C555" t="s">
        <x:v>44</x:v>
      </x:c>
      <x:c r="D555">
        <x:v>45950</x:v>
      </x:c>
      <x:c r="E555" t="s">
        <x:v>45</x:v>
      </x:c>
      <x:c r="F555" t="s">
        <x:v>55</x:v>
      </x:c>
      <x:c r="G555">
        <x:v>24</x:v>
      </x:c>
      <x:c r="H555" t="s">
        <x:v>72</x:v>
      </x:c>
      <x:c r="I555">
        <x:v>5</x:v>
      </x:c>
      <x:c r="J555">
        <x:v>12</x:v>
      </x:c>
      <x:c r="K555">
        <x:v>4</x:v>
      </x:c>
      <x:c r="L555">
        <x:f t="shared" si="56"/>
        <x:v>1</x:v>
      </x:c>
      <x:c r="P555">
        <x:f t="shared" si="57"/>
        <x:v>1</x:v>
      </x:c>
      <x:c r="Q555">
        <x:f t="shared" si="58"/>
        <x:v>1</x:v>
      </x:c>
      <x:c r="R555">
        <x:f t="shared" si="59"/>
        <x:v>1</x:v>
      </x:c>
      <x:c r="S555">
        <x:f t="shared" si="60"/>
        <x:v>3</x:v>
      </x:c>
      <x:c r="T555" t="str">
        <x:f t="shared" si="61"/>
        <x:v>DerivedFromCount</x:v>
      </x:c>
      <x:c r="U555" t="str">
        <x:f>IF(COUNTIF(DailyProduction!$Q$5:$Q$100,B555)=1,"OK","CHECK")</x:f>
        <x:v>OK</x:v>
      </x:c>
      <x:c r="V555" t="str">
        <x:f t="shared" si="62"/>
        <x:v>CHECK</x:v>
      </x:c>
      <x:c r="W555" t="str">
        <x:f>IF(SUMIF($B$5:$B$914,B555,$S$5:$S$914)=SUMIF(DailyProduction!$Q$5:$Q$100,B555,DailyProduction!$R$5:$R$100),"OK","CHECK")</x:f>
        <x:v>CHECK</x:v>
      </x:c>
      <x:c r="X555" t="str">
        <x:v>PLC-PRD-BOT-500-L24</x:v>
      </x:c>
      <x:c r="Y555" t="str">
        <x:v>CHECK</x:v>
      </x:c>
      <x:c r="Z555" t="str">
        <x:v>OK</x:v>
      </x:c>
      <x:c r="AA555" t="n">
        <x:v>3</x:v>
      </x:c>
      <x:c r="AB555" t="n">
        <x:v>3</x:v>
      </x:c>
      <x:c r="AC555" t="str">
        <x:v>OK</x:v>
      </x:c>
      <x:c r="AD555" t="str">
        <x:v>CHECK</x:v>
      </x:c>
      <x:c r="AE555" t="str">
        <x:v>QUARANTINE</x:v>
      </x:c>
      <x:c r="AF555" t="str">
        <x:v>02_Supervisor_Log(4).xlsx</x:v>
      </x:c>
      <x:c r="AG555" t="str">
        <x:v>ENH-20260830-01</x:v>
      </x:c>
      <x:c r="AH555" t="str">
        <x:v>Active</x:v>
      </x:c>
      <x:c r="AI555"/>
      <x:c r="AJ555"/>
      <x:c r="AK555"/>
      <x:c r="AL555"/>
    </x:row>
    <x:row r="556">
      <x:c r="A556" t="s">
        <x:v>790</x:v>
      </x:c>
      <x:c r="B556" t="s">
        <x:v>785</x:v>
      </x:c>
      <x:c r="C556" t="s">
        <x:v>44</x:v>
      </x:c>
      <x:c r="D556">
        <x:v>45950</x:v>
      </x:c>
      <x:c r="E556" t="s">
        <x:v>45</x:v>
      </x:c>
      <x:c r="F556" t="s">
        <x:v>55</x:v>
      </x:c>
      <x:c r="G556">
        <x:v>24</x:v>
      </x:c>
      <x:c r="H556" t="s">
        <x:v>72</x:v>
      </x:c>
      <x:c r="I556">
        <x:v>6</x:v>
      </x:c>
      <x:c r="J556">
        <x:v>12</x:v>
      </x:c>
      <x:c r="K556">
        <x:v>4</x:v>
      </x:c>
      <x:c r="L556">
        <x:f t="shared" si="56"/>
        <x:v>1</x:v>
      </x:c>
      <x:c r="P556">
        <x:f t="shared" si="57"/>
        <x:v>1</x:v>
      </x:c>
      <x:c r="Q556">
        <x:f t="shared" si="58"/>
        <x:v>1</x:v>
      </x:c>
      <x:c r="R556">
        <x:f t="shared" si="59"/>
        <x:v>1</x:v>
      </x:c>
      <x:c r="S556">
        <x:f t="shared" si="60"/>
        <x:v>3</x:v>
      </x:c>
      <x:c r="T556" t="str">
        <x:f t="shared" si="61"/>
        <x:v>DerivedFromCount</x:v>
      </x:c>
      <x:c r="U556" t="str">
        <x:f>IF(COUNTIF(DailyProduction!$Q$5:$Q$100,B556)=1,"OK","CHECK")</x:f>
        <x:v>OK</x:v>
      </x:c>
      <x:c r="V556" t="str">
        <x:f t="shared" si="62"/>
        <x:v>CHECK</x:v>
      </x:c>
      <x:c r="W556" t="str">
        <x:f>IF(SUMIF($B$5:$B$914,B556,$S$5:$S$914)=SUMIF(DailyProduction!$Q$5:$Q$100,B556,DailyProduction!$R$5:$R$100),"OK","CHECK")</x:f>
        <x:v>CHECK</x:v>
      </x:c>
      <x:c r="X556" t="str">
        <x:v>PLC-PRD-BOT-500-L24</x:v>
      </x:c>
      <x:c r="Y556" t="str">
        <x:v>CHECK</x:v>
      </x:c>
      <x:c r="Z556" t="str">
        <x:v>OK</x:v>
      </x:c>
      <x:c r="AA556" t="n">
        <x:v>3</x:v>
      </x:c>
      <x:c r="AB556" t="n">
        <x:v>3</x:v>
      </x:c>
      <x:c r="AC556" t="str">
        <x:v>OK</x:v>
      </x:c>
      <x:c r="AD556" t="str">
        <x:v>CHECK</x:v>
      </x:c>
      <x:c r="AE556" t="str">
        <x:v>QUARANTINE</x:v>
      </x:c>
      <x:c r="AF556" t="str">
        <x:v>02_Supervisor_Log(4).xlsx</x:v>
      </x:c>
      <x:c r="AG556" t="str">
        <x:v>ENH-20260830-01</x:v>
      </x:c>
      <x:c r="AH556" t="str">
        <x:v>Active</x:v>
      </x:c>
      <x:c r="AI556"/>
      <x:c r="AJ556"/>
      <x:c r="AK556"/>
      <x:c r="AL556"/>
    </x:row>
    <x:row r="557">
      <x:c r="A557" t="s">
        <x:v>791</x:v>
      </x:c>
      <x:c r="B557" t="s">
        <x:v>785</x:v>
      </x:c>
      <x:c r="C557" t="s">
        <x:v>44</x:v>
      </x:c>
      <x:c r="D557">
        <x:v>45950</x:v>
      </x:c>
      <x:c r="E557" t="s">
        <x:v>45</x:v>
      </x:c>
      <x:c r="F557" t="s">
        <x:v>55</x:v>
      </x:c>
      <x:c r="G557">
        <x:v>24</x:v>
      </x:c>
      <x:c r="H557" t="s">
        <x:v>72</x:v>
      </x:c>
      <x:c r="I557">
        <x:v>7</x:v>
      </x:c>
      <x:c r="J557">
        <x:v>12</x:v>
      </x:c>
      <x:c r="K557">
        <x:v>4</x:v>
      </x:c>
      <x:c r="L557">
        <x:f t="shared" si="56"/>
        <x:v>1</x:v>
      </x:c>
      <x:c r="P557">
        <x:f t="shared" si="57"/>
        <x:v>1</x:v>
      </x:c>
      <x:c r="Q557">
        <x:f t="shared" si="58"/>
        <x:v>1</x:v>
      </x:c>
      <x:c r="R557">
        <x:f t="shared" si="59"/>
        <x:v>1</x:v>
      </x:c>
      <x:c r="S557">
        <x:f t="shared" si="60"/>
        <x:v>3</x:v>
      </x:c>
      <x:c r="T557" t="str">
        <x:f t="shared" si="61"/>
        <x:v>DerivedFromCount</x:v>
      </x:c>
      <x:c r="U557" t="str">
        <x:f>IF(COUNTIF(DailyProduction!$Q$5:$Q$100,B557)=1,"OK","CHECK")</x:f>
        <x:v>OK</x:v>
      </x:c>
      <x:c r="V557" t="str">
        <x:f t="shared" si="62"/>
        <x:v>CHECK</x:v>
      </x:c>
      <x:c r="W557" t="str">
        <x:f>IF(SUMIF($B$5:$B$914,B557,$S$5:$S$914)=SUMIF(DailyProduction!$Q$5:$Q$100,B557,DailyProduction!$R$5:$R$100),"OK","CHECK")</x:f>
        <x:v>CHECK</x:v>
      </x:c>
      <x:c r="X557" t="str">
        <x:v>PLC-PRD-BOT-500-L24</x:v>
      </x:c>
      <x:c r="Y557" t="str">
        <x:v>CHECK</x:v>
      </x:c>
      <x:c r="Z557" t="str">
        <x:v>OK</x:v>
      </x:c>
      <x:c r="AA557" t="n">
        <x:v>3</x:v>
      </x:c>
      <x:c r="AB557" t="n">
        <x:v>3</x:v>
      </x:c>
      <x:c r="AC557" t="str">
        <x:v>OK</x:v>
      </x:c>
      <x:c r="AD557" t="str">
        <x:v>CHECK</x:v>
      </x:c>
      <x:c r="AE557" t="str">
        <x:v>QUARANTINE</x:v>
      </x:c>
      <x:c r="AF557" t="str">
        <x:v>02_Supervisor_Log(4).xlsx</x:v>
      </x:c>
      <x:c r="AG557" t="str">
        <x:v>ENH-20260830-01</x:v>
      </x:c>
      <x:c r="AH557" t="str">
        <x:v>Active</x:v>
      </x:c>
      <x:c r="AI557"/>
      <x:c r="AJ557"/>
      <x:c r="AK557"/>
      <x:c r="AL557"/>
    </x:row>
    <x:row r="558">
      <x:c r="A558" t="s">
        <x:v>792</x:v>
      </x:c>
      <x:c r="B558" t="s">
        <x:v>785</x:v>
      </x:c>
      <x:c r="C558" t="s">
        <x:v>44</x:v>
      </x:c>
      <x:c r="D558">
        <x:v>45950</x:v>
      </x:c>
      <x:c r="E558" t="s">
        <x:v>45</x:v>
      </x:c>
      <x:c r="F558" t="s">
        <x:v>55</x:v>
      </x:c>
      <x:c r="G558">
        <x:v>24</x:v>
      </x:c>
      <x:c r="H558" t="s">
        <x:v>72</x:v>
      </x:c>
      <x:c r="I558">
        <x:v>8</x:v>
      </x:c>
      <x:c r="J558">
        <x:v>12</x:v>
      </x:c>
      <x:c r="K558">
        <x:v>4</x:v>
      </x:c>
      <x:c r="L558">
        <x:f t="shared" si="56"/>
        <x:v>1</x:v>
      </x:c>
      <x:c r="P558">
        <x:f t="shared" si="57"/>
        <x:v>1</x:v>
      </x:c>
      <x:c r="Q558">
        <x:f t="shared" si="58"/>
        <x:v>1</x:v>
      </x:c>
      <x:c r="R558">
        <x:f t="shared" si="59"/>
        <x:v>1</x:v>
      </x:c>
      <x:c r="S558">
        <x:f t="shared" si="60"/>
        <x:v>3</x:v>
      </x:c>
      <x:c r="T558" t="str">
        <x:f t="shared" si="61"/>
        <x:v>DerivedFromCount</x:v>
      </x:c>
      <x:c r="U558" t="str">
        <x:f>IF(COUNTIF(DailyProduction!$Q$5:$Q$100,B558)=1,"OK","CHECK")</x:f>
        <x:v>OK</x:v>
      </x:c>
      <x:c r="V558" t="str">
        <x:f t="shared" si="62"/>
        <x:v>CHECK</x:v>
      </x:c>
      <x:c r="W558" t="str">
        <x:f>IF(SUMIF($B$5:$B$914,B558,$S$5:$S$914)=SUMIF(DailyProduction!$Q$5:$Q$100,B558,DailyProduction!$R$5:$R$100),"OK","CHECK")</x:f>
        <x:v>CHECK</x:v>
      </x:c>
      <x:c r="X558" t="str">
        <x:v>PLC-PRD-BOT-500-L24</x:v>
      </x:c>
      <x:c r="Y558" t="str">
        <x:v>CHECK</x:v>
      </x:c>
      <x:c r="Z558" t="str">
        <x:v>OK</x:v>
      </x:c>
      <x:c r="AA558" t="n">
        <x:v>3</x:v>
      </x:c>
      <x:c r="AB558" t="n">
        <x:v>3</x:v>
      </x:c>
      <x:c r="AC558" t="str">
        <x:v>OK</x:v>
      </x:c>
      <x:c r="AD558" t="str">
        <x:v>CHECK</x:v>
      </x:c>
      <x:c r="AE558" t="str">
        <x:v>QUARANTINE</x:v>
      </x:c>
      <x:c r="AF558" t="str">
        <x:v>02_Supervisor_Log(4).xlsx</x:v>
      </x:c>
      <x:c r="AG558" t="str">
        <x:v>ENH-20260830-01</x:v>
      </x:c>
      <x:c r="AH558" t="str">
        <x:v>Active</x:v>
      </x:c>
      <x:c r="AI558"/>
      <x:c r="AJ558"/>
      <x:c r="AK558"/>
      <x:c r="AL558"/>
    </x:row>
    <x:row r="559">
      <x:c r="A559" t="s">
        <x:v>793</x:v>
      </x:c>
      <x:c r="B559" t="s">
        <x:v>785</x:v>
      </x:c>
      <x:c r="C559" t="s">
        <x:v>44</x:v>
      </x:c>
      <x:c r="D559">
        <x:v>45950</x:v>
      </x:c>
      <x:c r="E559" t="s">
        <x:v>45</x:v>
      </x:c>
      <x:c r="F559" t="s">
        <x:v>55</x:v>
      </x:c>
      <x:c r="G559">
        <x:v>24</x:v>
      </x:c>
      <x:c r="H559" t="s">
        <x:v>72</x:v>
      </x:c>
      <x:c r="I559">
        <x:v>9</x:v>
      </x:c>
      <x:c r="J559">
        <x:v>12</x:v>
      </x:c>
      <x:c r="K559">
        <x:v>4</x:v>
      </x:c>
      <x:c r="L559">
        <x:f t="shared" si="56"/>
        <x:v>1</x:v>
      </x:c>
      <x:c r="P559">
        <x:f t="shared" si="57"/>
        <x:v>1</x:v>
      </x:c>
      <x:c r="Q559">
        <x:f t="shared" si="58"/>
        <x:v>1</x:v>
      </x:c>
      <x:c r="R559">
        <x:f t="shared" si="59"/>
        <x:v>1</x:v>
      </x:c>
      <x:c r="S559">
        <x:f t="shared" si="60"/>
        <x:v>3</x:v>
      </x:c>
      <x:c r="T559" t="str">
        <x:f t="shared" si="61"/>
        <x:v>DerivedFromCount</x:v>
      </x:c>
      <x:c r="U559" t="str">
        <x:f>IF(COUNTIF(DailyProduction!$Q$5:$Q$100,B559)=1,"OK","CHECK")</x:f>
        <x:v>OK</x:v>
      </x:c>
      <x:c r="V559" t="str">
        <x:f t="shared" si="62"/>
        <x:v>CHECK</x:v>
      </x:c>
      <x:c r="W559" t="str">
        <x:f>IF(SUMIF($B$5:$B$914,B559,$S$5:$S$914)=SUMIF(DailyProduction!$Q$5:$Q$100,B559,DailyProduction!$R$5:$R$100),"OK","CHECK")</x:f>
        <x:v>CHECK</x:v>
      </x:c>
      <x:c r="X559" t="str">
        <x:v>PLC-PRD-BOT-500-L24</x:v>
      </x:c>
      <x:c r="Y559" t="str">
        <x:v>CHECK</x:v>
      </x:c>
      <x:c r="Z559" t="str">
        <x:v>OK</x:v>
      </x:c>
      <x:c r="AA559" t="n">
        <x:v>3</x:v>
      </x:c>
      <x:c r="AB559" t="n">
        <x:v>3</x:v>
      </x:c>
      <x:c r="AC559" t="str">
        <x:v>OK</x:v>
      </x:c>
      <x:c r="AD559" t="str">
        <x:v>CHECK</x:v>
      </x:c>
      <x:c r="AE559" t="str">
        <x:v>QUARANTINE</x:v>
      </x:c>
      <x:c r="AF559" t="str">
        <x:v>02_Supervisor_Log(4).xlsx</x:v>
      </x:c>
      <x:c r="AG559" t="str">
        <x:v>ENH-20260830-01</x:v>
      </x:c>
      <x:c r="AH559" t="str">
        <x:v>Active</x:v>
      </x:c>
      <x:c r="AI559"/>
      <x:c r="AJ559"/>
      <x:c r="AK559"/>
      <x:c r="AL559"/>
    </x:row>
    <x:row r="560">
      <x:c r="A560" t="s">
        <x:v>794</x:v>
      </x:c>
      <x:c r="B560" t="s">
        <x:v>785</x:v>
      </x:c>
      <x:c r="C560" t="s">
        <x:v>44</x:v>
      </x:c>
      <x:c r="D560">
        <x:v>45950</x:v>
      </x:c>
      <x:c r="E560" t="s">
        <x:v>45</x:v>
      </x:c>
      <x:c r="F560" t="s">
        <x:v>55</x:v>
      </x:c>
      <x:c r="G560">
        <x:v>24</x:v>
      </x:c>
      <x:c r="H560" t="s">
        <x:v>72</x:v>
      </x:c>
      <x:c r="I560">
        <x:v>10</x:v>
      </x:c>
      <x:c r="J560">
        <x:v>12</x:v>
      </x:c>
      <x:c r="K560">
        <x:v>4</x:v>
      </x:c>
      <x:c r="L560">
        <x:f t="shared" si="56"/>
        <x:v>1</x:v>
      </x:c>
      <x:c r="P560">
        <x:f t="shared" si="57"/>
        <x:v>1</x:v>
      </x:c>
      <x:c r="Q560">
        <x:f t="shared" si="58"/>
        <x:v>1</x:v>
      </x:c>
      <x:c r="R560">
        <x:f t="shared" si="59"/>
        <x:v>1</x:v>
      </x:c>
      <x:c r="S560">
        <x:f t="shared" si="60"/>
        <x:v>3</x:v>
      </x:c>
      <x:c r="T560" t="str">
        <x:f t="shared" si="61"/>
        <x:v>DerivedFromCount</x:v>
      </x:c>
      <x:c r="U560" t="str">
        <x:f>IF(COUNTIF(DailyProduction!$Q$5:$Q$100,B560)=1,"OK","CHECK")</x:f>
        <x:v>OK</x:v>
      </x:c>
      <x:c r="V560" t="str">
        <x:f t="shared" si="62"/>
        <x:v>CHECK</x:v>
      </x:c>
      <x:c r="W560" t="str">
        <x:f>IF(SUMIF($B$5:$B$914,B560,$S$5:$S$914)=SUMIF(DailyProduction!$Q$5:$Q$100,B560,DailyProduction!$R$5:$R$100),"OK","CHECK")</x:f>
        <x:v>CHECK</x:v>
      </x:c>
      <x:c r="X560" t="str">
        <x:v>PLC-PRD-BOT-500-L24</x:v>
      </x:c>
      <x:c r="Y560" t="str">
        <x:v>CHECK</x:v>
      </x:c>
      <x:c r="Z560" t="str">
        <x:v>OK</x:v>
      </x:c>
      <x:c r="AA560" t="n">
        <x:v>3</x:v>
      </x:c>
      <x:c r="AB560" t="n">
        <x:v>3</x:v>
      </x:c>
      <x:c r="AC560" t="str">
        <x:v>OK</x:v>
      </x:c>
      <x:c r="AD560" t="str">
        <x:v>CHECK</x:v>
      </x:c>
      <x:c r="AE560" t="str">
        <x:v>QUARANTINE</x:v>
      </x:c>
      <x:c r="AF560" t="str">
        <x:v>02_Supervisor_Log(4).xlsx</x:v>
      </x:c>
      <x:c r="AG560" t="str">
        <x:v>ENH-20260830-01</x:v>
      </x:c>
      <x:c r="AH560" t="str">
        <x:v>Active</x:v>
      </x:c>
      <x:c r="AI560"/>
      <x:c r="AJ560"/>
      <x:c r="AK560"/>
      <x:c r="AL560"/>
    </x:row>
    <x:row r="561">
      <x:c r="A561" t="s">
        <x:v>795</x:v>
      </x:c>
      <x:c r="B561" t="s">
        <x:v>785</x:v>
      </x:c>
      <x:c r="C561" t="s">
        <x:v>44</x:v>
      </x:c>
      <x:c r="D561">
        <x:v>45950</x:v>
      </x:c>
      <x:c r="E561" t="s">
        <x:v>45</x:v>
      </x:c>
      <x:c r="F561" t="s">
        <x:v>55</x:v>
      </x:c>
      <x:c r="G561">
        <x:v>24</x:v>
      </x:c>
      <x:c r="H561" t="s">
        <x:v>72</x:v>
      </x:c>
      <x:c r="I561">
        <x:v>11</x:v>
      </x:c>
      <x:c r="J561">
        <x:v>12</x:v>
      </x:c>
      <x:c r="K561">
        <x:v>4</x:v>
      </x:c>
      <x:c r="L561">
        <x:f t="shared" si="56"/>
        <x:v>1</x:v>
      </x:c>
      <x:c r="P561">
        <x:f t="shared" si="57"/>
        <x:v>1</x:v>
      </x:c>
      <x:c r="Q561">
        <x:f t="shared" si="58"/>
        <x:v>1</x:v>
      </x:c>
      <x:c r="R561">
        <x:f t="shared" si="59"/>
        <x:v>1</x:v>
      </x:c>
      <x:c r="S561">
        <x:f t="shared" si="60"/>
        <x:v>3</x:v>
      </x:c>
      <x:c r="T561" t="str">
        <x:f t="shared" si="61"/>
        <x:v>DerivedFromCount</x:v>
      </x:c>
      <x:c r="U561" t="str">
        <x:f>IF(COUNTIF(DailyProduction!$Q$5:$Q$100,B561)=1,"OK","CHECK")</x:f>
        <x:v>OK</x:v>
      </x:c>
      <x:c r="V561" t="str">
        <x:f t="shared" si="62"/>
        <x:v>CHECK</x:v>
      </x:c>
      <x:c r="W561" t="str">
        <x:f>IF(SUMIF($B$5:$B$914,B561,$S$5:$S$914)=SUMIF(DailyProduction!$Q$5:$Q$100,B561,DailyProduction!$R$5:$R$100),"OK","CHECK")</x:f>
        <x:v>CHECK</x:v>
      </x:c>
      <x:c r="X561" t="str">
        <x:v>PLC-PRD-BOT-500-L24</x:v>
      </x:c>
      <x:c r="Y561" t="str">
        <x:v>CHECK</x:v>
      </x:c>
      <x:c r="Z561" t="str">
        <x:v>OK</x:v>
      </x:c>
      <x:c r="AA561" t="n">
        <x:v>3</x:v>
      </x:c>
      <x:c r="AB561" t="n">
        <x:v>3</x:v>
      </x:c>
      <x:c r="AC561" t="str">
        <x:v>OK</x:v>
      </x:c>
      <x:c r="AD561" t="str">
        <x:v>CHECK</x:v>
      </x:c>
      <x:c r="AE561" t="str">
        <x:v>QUARANTINE</x:v>
      </x:c>
      <x:c r="AF561" t="str">
        <x:v>02_Supervisor_Log(4).xlsx</x:v>
      </x:c>
      <x:c r="AG561" t="str">
        <x:v>ENH-20260830-01</x:v>
      </x:c>
      <x:c r="AH561" t="str">
        <x:v>Active</x:v>
      </x:c>
      <x:c r="AI561"/>
      <x:c r="AJ561"/>
      <x:c r="AK561"/>
      <x:c r="AL561"/>
    </x:row>
    <x:row r="562">
      <x:c r="A562" t="s">
        <x:v>796</x:v>
      </x:c>
      <x:c r="B562" t="s">
        <x:v>785</x:v>
      </x:c>
      <x:c r="C562" t="s">
        <x:v>44</x:v>
      </x:c>
      <x:c r="D562">
        <x:v>45950</x:v>
      </x:c>
      <x:c r="E562" t="s">
        <x:v>45</x:v>
      </x:c>
      <x:c r="F562" t="s">
        <x:v>55</x:v>
      </x:c>
      <x:c r="G562">
        <x:v>24</x:v>
      </x:c>
      <x:c r="H562" t="s">
        <x:v>72</x:v>
      </x:c>
      <x:c r="I562">
        <x:v>12</x:v>
      </x:c>
      <x:c r="J562">
        <x:v>12</x:v>
      </x:c>
      <x:c r="K562">
        <x:v>4</x:v>
      </x:c>
      <x:c r="L562">
        <x:f t="shared" si="56"/>
        <x:v>1</x:v>
      </x:c>
      <x:c r="P562">
        <x:f t="shared" si="57"/>
        <x:v>1</x:v>
      </x:c>
      <x:c r="Q562">
        <x:f t="shared" si="58"/>
        <x:v>1</x:v>
      </x:c>
      <x:c r="R562">
        <x:f t="shared" si="59"/>
        <x:v>1</x:v>
      </x:c>
      <x:c r="S562">
        <x:f t="shared" si="60"/>
        <x:v>3</x:v>
      </x:c>
      <x:c r="T562" t="str">
        <x:f t="shared" si="61"/>
        <x:v>DerivedFromCount</x:v>
      </x:c>
      <x:c r="U562" t="str">
        <x:f>IF(COUNTIF(DailyProduction!$Q$5:$Q$100,B562)=1,"OK","CHECK")</x:f>
        <x:v>OK</x:v>
      </x:c>
      <x:c r="V562" t="str">
        <x:f t="shared" si="62"/>
        <x:v>CHECK</x:v>
      </x:c>
      <x:c r="W562" t="str">
        <x:f>IF(SUMIF($B$5:$B$914,B562,$S$5:$S$914)=SUMIF(DailyProduction!$Q$5:$Q$100,B562,DailyProduction!$R$5:$R$100),"OK","CHECK")</x:f>
        <x:v>CHECK</x:v>
      </x:c>
      <x:c r="X562" t="str">
        <x:v>PLC-PRD-BOT-500-L24</x:v>
      </x:c>
      <x:c r="Y562" t="str">
        <x:v>CHECK</x:v>
      </x:c>
      <x:c r="Z562" t="str">
        <x:v>OK</x:v>
      </x:c>
      <x:c r="AA562" t="n">
        <x:v>3</x:v>
      </x:c>
      <x:c r="AB562" t="n">
        <x:v>3</x:v>
      </x:c>
      <x:c r="AC562" t="str">
        <x:v>OK</x:v>
      </x:c>
      <x:c r="AD562" t="str">
        <x:v>CHECK</x:v>
      </x:c>
      <x:c r="AE562" t="str">
        <x:v>QUARANTINE</x:v>
      </x:c>
      <x:c r="AF562" t="str">
        <x:v>02_Supervisor_Log(4).xlsx</x:v>
      </x:c>
      <x:c r="AG562" t="str">
        <x:v>ENH-20260830-01</x:v>
      </x:c>
      <x:c r="AH562" t="str">
        <x:v>Active</x:v>
      </x:c>
      <x:c r="AI562"/>
      <x:c r="AJ562"/>
      <x:c r="AK562"/>
      <x:c r="AL562"/>
    </x:row>
    <x:row r="563">
      <x:c r="A563" t="s">
        <x:v>797</x:v>
      </x:c>
      <x:c r="B563" t="s">
        <x:v>785</x:v>
      </x:c>
      <x:c r="C563" t="s">
        <x:v>44</x:v>
      </x:c>
      <x:c r="D563">
        <x:v>45950</x:v>
      </x:c>
      <x:c r="E563" t="s">
        <x:v>45</x:v>
      </x:c>
      <x:c r="F563" t="s">
        <x:v>55</x:v>
      </x:c>
      <x:c r="G563">
        <x:v>24</x:v>
      </x:c>
      <x:c r="H563" t="s">
        <x:v>72</x:v>
      </x:c>
      <x:c r="I563">
        <x:v>13</x:v>
      </x:c>
      <x:c r="J563">
        <x:v>12</x:v>
      </x:c>
      <x:c r="K563">
        <x:v>4</x:v>
      </x:c>
      <x:c r="L563">
        <x:f t="shared" si="56"/>
        <x:v>0</x:v>
      </x:c>
      <x:c r="P563">
        <x:f t="shared" si="57"/>
        <x:v>0</x:v>
      </x:c>
      <x:c r="Q563">
        <x:f t="shared" si="58"/>
        <x:v>0</x:v>
      </x:c>
      <x:c r="R563">
        <x:f t="shared" si="59"/>
        <x:v>0</x:v>
      </x:c>
      <x:c r="S563">
        <x:f t="shared" si="60"/>
        <x:v>0</x:v>
      </x:c>
      <x:c r="T563" t="str">
        <x:f t="shared" si="61"/>
        <x:v>DerivedFromCount</x:v>
      </x:c>
      <x:c r="U563" t="str">
        <x:f>IF(COUNTIF(DailyProduction!$Q$5:$Q$100,B563)=1,"OK","CHECK")</x:f>
        <x:v>OK</x:v>
      </x:c>
      <x:c r="V563" t="str">
        <x:f t="shared" si="62"/>
        <x:v>CHECK</x:v>
      </x:c>
      <x:c r="W563" t="str">
        <x:f>IF(SUMIF($B$5:$B$914,B563,$S$5:$S$914)=SUMIF(DailyProduction!$Q$5:$Q$100,B563,DailyProduction!$R$5:$R$100),"OK","CHECK")</x:f>
        <x:v>CHECK</x:v>
      </x:c>
      <x:c r="X563" t="str">
        <x:v>PLC-PRD-BOT-500-L24</x:v>
      </x:c>
      <x:c r="Y563" t="str">
        <x:v>CHECK</x:v>
      </x:c>
      <x:c r="Z563" t="str">
        <x:v>OK</x:v>
      </x:c>
      <x:c r="AA563" t="n">
        <x:v>3</x:v>
      </x:c>
      <x:c r="AB563" t="n">
        <x:v>0</x:v>
      </x:c>
      <x:c r="AC563" t="str">
        <x:v>OK</x:v>
      </x:c>
      <x:c r="AD563" t="str">
        <x:v>CHECK</x:v>
      </x:c>
      <x:c r="AE563" t="str">
        <x:v>QUARANTINE</x:v>
      </x:c>
      <x:c r="AF563" t="str">
        <x:v>02_Supervisor_Log(4).xlsx</x:v>
      </x:c>
      <x:c r="AG563" t="str">
        <x:v>ENH-20260830-01</x:v>
      </x:c>
      <x:c r="AH563" t="str">
        <x:v>Active</x:v>
      </x:c>
      <x:c r="AI563"/>
      <x:c r="AJ563"/>
      <x:c r="AK563"/>
      <x:c r="AL563"/>
    </x:row>
    <x:row r="564">
      <x:c r="A564" t="s">
        <x:v>798</x:v>
      </x:c>
      <x:c r="B564" t="s">
        <x:v>799</x:v>
      </x:c>
      <x:c r="C564" t="s">
        <x:v>44</x:v>
      </x:c>
      <x:c r="D564">
        <x:v>45950</x:v>
      </x:c>
      <x:c r="E564" t="s">
        <x:v>187</x:v>
      </x:c>
      <x:c r="F564" t="s">
        <x:v>46</x:v>
      </x:c>
      <x:c r="G564">
        <x:v>24</x:v>
      </x:c>
      <x:c r="H564" t="s">
        <x:v>72</x:v>
      </x:c>
      <x:c r="I564">
        <x:v>1</x:v>
      </x:c>
      <x:c r="J564">
        <x:v>12</x:v>
      </x:c>
      <x:c r="K564">
        <x:v>4</x:v>
      </x:c>
      <x:c r="L564">
        <x:f t="shared" si="56"/>
        <x:v>1</x:v>
      </x:c>
      <x:c r="P564">
        <x:f t="shared" si="57"/>
        <x:v>1</x:v>
      </x:c>
      <x:c r="Q564">
        <x:f t="shared" si="58"/>
        <x:v>1</x:v>
      </x:c>
      <x:c r="R564">
        <x:f t="shared" si="59"/>
        <x:v>1</x:v>
      </x:c>
      <x:c r="S564">
        <x:f t="shared" si="60"/>
        <x:v>3</x:v>
      </x:c>
      <x:c r="T564" t="str">
        <x:f t="shared" si="61"/>
        <x:v>DerivedFromCount</x:v>
      </x:c>
      <x:c r="U564" t="str">
        <x:f>IF(COUNTIF(DailyProduction!$Q$5:$Q$100,B564)=1,"OK","CHECK")</x:f>
        <x:v>OK</x:v>
      </x:c>
      <x:c r="V564" t="str">
        <x:f t="shared" si="62"/>
        <x:v>CHECK</x:v>
      </x:c>
      <x:c r="W564" t="str">
        <x:f>IF(SUMIF($B$5:$B$914,B564,$S$5:$S$914)=SUMIF(DailyProduction!$Q$5:$Q$100,B564,DailyProduction!$R$5:$R$100),"OK","CHECK")</x:f>
        <x:v>CHECK</x:v>
      </x:c>
      <x:c r="X564" t="str">
        <x:v>PLC-PRD-BOT-500-L24</x:v>
      </x:c>
      <x:c r="Y564" t="str">
        <x:v>CHECK</x:v>
      </x:c>
      <x:c r="Z564" t="str">
        <x:v>OK</x:v>
      </x:c>
      <x:c r="AA564" t="n">
        <x:v>3</x:v>
      </x:c>
      <x:c r="AB564" t="n">
        <x:v>3</x:v>
      </x:c>
      <x:c r="AC564" t="str">
        <x:v>OK</x:v>
      </x:c>
      <x:c r="AD564" t="str">
        <x:v>CHECK</x:v>
      </x:c>
      <x:c r="AE564" t="str">
        <x:v>QUARANTINE</x:v>
      </x:c>
      <x:c r="AF564" t="str">
        <x:v>02_Supervisor_Log(4).xlsx</x:v>
      </x:c>
      <x:c r="AG564" t="str">
        <x:v>ENH-20260830-01</x:v>
      </x:c>
      <x:c r="AH564" t="str">
        <x:v>Active</x:v>
      </x:c>
      <x:c r="AI564"/>
      <x:c r="AJ564"/>
      <x:c r="AK564"/>
      <x:c r="AL564"/>
    </x:row>
    <x:row r="565">
      <x:c r="A565" t="s">
        <x:v>800</x:v>
      </x:c>
      <x:c r="B565" t="s">
        <x:v>799</x:v>
      </x:c>
      <x:c r="C565" t="s">
        <x:v>44</x:v>
      </x:c>
      <x:c r="D565">
        <x:v>45950</x:v>
      </x:c>
      <x:c r="E565" t="s">
        <x:v>187</x:v>
      </x:c>
      <x:c r="F565" t="s">
        <x:v>46</x:v>
      </x:c>
      <x:c r="G565">
        <x:v>24</x:v>
      </x:c>
      <x:c r="H565" t="s">
        <x:v>72</x:v>
      </x:c>
      <x:c r="I565">
        <x:v>2</x:v>
      </x:c>
      <x:c r="J565">
        <x:v>12</x:v>
      </x:c>
      <x:c r="K565">
        <x:v>4</x:v>
      </x:c>
      <x:c r="L565">
        <x:f t="shared" si="56"/>
        <x:v>1</x:v>
      </x:c>
      <x:c r="P565">
        <x:f t="shared" si="57"/>
        <x:v>1</x:v>
      </x:c>
      <x:c r="Q565">
        <x:f t="shared" si="58"/>
        <x:v>1</x:v>
      </x:c>
      <x:c r="R565">
        <x:f t="shared" si="59"/>
        <x:v>1</x:v>
      </x:c>
      <x:c r="S565">
        <x:f t="shared" si="60"/>
        <x:v>3</x:v>
      </x:c>
      <x:c r="T565" t="str">
        <x:f t="shared" si="61"/>
        <x:v>DerivedFromCount</x:v>
      </x:c>
      <x:c r="U565" t="str">
        <x:f>IF(COUNTIF(DailyProduction!$Q$5:$Q$100,B565)=1,"OK","CHECK")</x:f>
        <x:v>OK</x:v>
      </x:c>
      <x:c r="V565" t="str">
        <x:f t="shared" si="62"/>
        <x:v>CHECK</x:v>
      </x:c>
      <x:c r="W565" t="str">
        <x:f>IF(SUMIF($B$5:$B$914,B565,$S$5:$S$914)=SUMIF(DailyProduction!$Q$5:$Q$100,B565,DailyProduction!$R$5:$R$100),"OK","CHECK")</x:f>
        <x:v>CHECK</x:v>
      </x:c>
      <x:c r="X565" t="str">
        <x:v>PLC-PRD-BOT-500-L24</x:v>
      </x:c>
      <x:c r="Y565" t="str">
        <x:v>CHECK</x:v>
      </x:c>
      <x:c r="Z565" t="str">
        <x:v>OK</x:v>
      </x:c>
      <x:c r="AA565" t="n">
        <x:v>3</x:v>
      </x:c>
      <x:c r="AB565" t="n">
        <x:v>3</x:v>
      </x:c>
      <x:c r="AC565" t="str">
        <x:v>OK</x:v>
      </x:c>
      <x:c r="AD565" t="str">
        <x:v>CHECK</x:v>
      </x:c>
      <x:c r="AE565" t="str">
        <x:v>QUARANTINE</x:v>
      </x:c>
      <x:c r="AF565" t="str">
        <x:v>02_Supervisor_Log(4).xlsx</x:v>
      </x:c>
      <x:c r="AG565" t="str">
        <x:v>ENH-20260830-01</x:v>
      </x:c>
      <x:c r="AH565" t="str">
        <x:v>Active</x:v>
      </x:c>
      <x:c r="AI565"/>
      <x:c r="AJ565"/>
      <x:c r="AK565"/>
      <x:c r="AL565"/>
    </x:row>
    <x:row r="566">
      <x:c r="A566" t="s">
        <x:v>801</x:v>
      </x:c>
      <x:c r="B566" t="s">
        <x:v>799</x:v>
      </x:c>
      <x:c r="C566" t="s">
        <x:v>44</x:v>
      </x:c>
      <x:c r="D566">
        <x:v>45950</x:v>
      </x:c>
      <x:c r="E566" t="s">
        <x:v>187</x:v>
      </x:c>
      <x:c r="F566" t="s">
        <x:v>46</x:v>
      </x:c>
      <x:c r="G566">
        <x:v>24</x:v>
      </x:c>
      <x:c r="H566" t="s">
        <x:v>72</x:v>
      </x:c>
      <x:c r="I566">
        <x:v>3</x:v>
      </x:c>
      <x:c r="J566">
        <x:v>12</x:v>
      </x:c>
      <x:c r="K566">
        <x:v>4</x:v>
      </x:c>
      <x:c r="L566">
        <x:f t="shared" si="56"/>
        <x:v>1</x:v>
      </x:c>
      <x:c r="P566">
        <x:f t="shared" si="57"/>
        <x:v>1</x:v>
      </x:c>
      <x:c r="Q566">
        <x:f t="shared" si="58"/>
        <x:v>1</x:v>
      </x:c>
      <x:c r="R566">
        <x:f t="shared" si="59"/>
        <x:v>1</x:v>
      </x:c>
      <x:c r="S566">
        <x:f t="shared" si="60"/>
        <x:v>3</x:v>
      </x:c>
      <x:c r="T566" t="str">
        <x:f t="shared" si="61"/>
        <x:v>DerivedFromCount</x:v>
      </x:c>
      <x:c r="U566" t="str">
        <x:f>IF(COUNTIF(DailyProduction!$Q$5:$Q$100,B566)=1,"OK","CHECK")</x:f>
        <x:v>OK</x:v>
      </x:c>
      <x:c r="V566" t="str">
        <x:f t="shared" si="62"/>
        <x:v>CHECK</x:v>
      </x:c>
      <x:c r="W566" t="str">
        <x:f>IF(SUMIF($B$5:$B$914,B566,$S$5:$S$914)=SUMIF(DailyProduction!$Q$5:$Q$100,B566,DailyProduction!$R$5:$R$100),"OK","CHECK")</x:f>
        <x:v>CHECK</x:v>
      </x:c>
      <x:c r="X566" t="str">
        <x:v>PLC-PRD-BOT-500-L24</x:v>
      </x:c>
      <x:c r="Y566" t="str">
        <x:v>CHECK</x:v>
      </x:c>
      <x:c r="Z566" t="str">
        <x:v>OK</x:v>
      </x:c>
      <x:c r="AA566" t="n">
        <x:v>3</x:v>
      </x:c>
      <x:c r="AB566" t="n">
        <x:v>3</x:v>
      </x:c>
      <x:c r="AC566" t="str">
        <x:v>OK</x:v>
      </x:c>
      <x:c r="AD566" t="str">
        <x:v>CHECK</x:v>
      </x:c>
      <x:c r="AE566" t="str">
        <x:v>QUARANTINE</x:v>
      </x:c>
      <x:c r="AF566" t="str">
        <x:v>02_Supervisor_Log(4).xlsx</x:v>
      </x:c>
      <x:c r="AG566" t="str">
        <x:v>ENH-20260830-01</x:v>
      </x:c>
      <x:c r="AH566" t="str">
        <x:v>Active</x:v>
      </x:c>
      <x:c r="AI566"/>
      <x:c r="AJ566"/>
      <x:c r="AK566"/>
      <x:c r="AL566"/>
    </x:row>
    <x:row r="567">
      <x:c r="A567" t="s">
        <x:v>802</x:v>
      </x:c>
      <x:c r="B567" t="s">
        <x:v>799</x:v>
      </x:c>
      <x:c r="C567" t="s">
        <x:v>44</x:v>
      </x:c>
      <x:c r="D567">
        <x:v>45950</x:v>
      </x:c>
      <x:c r="E567" t="s">
        <x:v>187</x:v>
      </x:c>
      <x:c r="F567" t="s">
        <x:v>46</x:v>
      </x:c>
      <x:c r="G567">
        <x:v>24</x:v>
      </x:c>
      <x:c r="H567" t="s">
        <x:v>72</x:v>
      </x:c>
      <x:c r="I567">
        <x:v>4</x:v>
      </x:c>
      <x:c r="J567">
        <x:v>12</x:v>
      </x:c>
      <x:c r="K567">
        <x:v>4</x:v>
      </x:c>
      <x:c r="L567">
        <x:f t="shared" si="56"/>
        <x:v>1</x:v>
      </x:c>
      <x:c r="P567">
        <x:f t="shared" si="57"/>
        <x:v>1</x:v>
      </x:c>
      <x:c r="Q567">
        <x:f t="shared" si="58"/>
        <x:v>1</x:v>
      </x:c>
      <x:c r="R567">
        <x:f t="shared" si="59"/>
        <x:v>1</x:v>
      </x:c>
      <x:c r="S567">
        <x:f t="shared" si="60"/>
        <x:v>3</x:v>
      </x:c>
      <x:c r="T567" t="str">
        <x:f t="shared" si="61"/>
        <x:v>DerivedFromCount</x:v>
      </x:c>
      <x:c r="U567" t="str">
        <x:f>IF(COUNTIF(DailyProduction!$Q$5:$Q$100,B567)=1,"OK","CHECK")</x:f>
        <x:v>OK</x:v>
      </x:c>
      <x:c r="V567" t="str">
        <x:f t="shared" si="62"/>
        <x:v>CHECK</x:v>
      </x:c>
      <x:c r="W567" t="str">
        <x:f>IF(SUMIF($B$5:$B$914,B567,$S$5:$S$914)=SUMIF(DailyProduction!$Q$5:$Q$100,B567,DailyProduction!$R$5:$R$100),"OK","CHECK")</x:f>
        <x:v>CHECK</x:v>
      </x:c>
      <x:c r="X567" t="str">
        <x:v>PLC-PRD-BOT-500-L24</x:v>
      </x:c>
      <x:c r="Y567" t="str">
        <x:v>CHECK</x:v>
      </x:c>
      <x:c r="Z567" t="str">
        <x:v>OK</x:v>
      </x:c>
      <x:c r="AA567" t="n">
        <x:v>3</x:v>
      </x:c>
      <x:c r="AB567" t="n">
        <x:v>3</x:v>
      </x:c>
      <x:c r="AC567" t="str">
        <x:v>OK</x:v>
      </x:c>
      <x:c r="AD567" t="str">
        <x:v>CHECK</x:v>
      </x:c>
      <x:c r="AE567" t="str">
        <x:v>QUARANTINE</x:v>
      </x:c>
      <x:c r="AF567" t="str">
        <x:v>02_Supervisor_Log(4).xlsx</x:v>
      </x:c>
      <x:c r="AG567" t="str">
        <x:v>ENH-20260830-01</x:v>
      </x:c>
      <x:c r="AH567" t="str">
        <x:v>Active</x:v>
      </x:c>
      <x:c r="AI567"/>
      <x:c r="AJ567"/>
      <x:c r="AK567"/>
      <x:c r="AL567"/>
    </x:row>
    <x:row r="568">
      <x:c r="A568" t="s">
        <x:v>803</x:v>
      </x:c>
      <x:c r="B568" t="s">
        <x:v>799</x:v>
      </x:c>
      <x:c r="C568" t="s">
        <x:v>44</x:v>
      </x:c>
      <x:c r="D568">
        <x:v>45950</x:v>
      </x:c>
      <x:c r="E568" t="s">
        <x:v>187</x:v>
      </x:c>
      <x:c r="F568" t="s">
        <x:v>46</x:v>
      </x:c>
      <x:c r="G568">
        <x:v>24</x:v>
      </x:c>
      <x:c r="H568" t="s">
        <x:v>72</x:v>
      </x:c>
      <x:c r="I568">
        <x:v>5</x:v>
      </x:c>
      <x:c r="J568">
        <x:v>12</x:v>
      </x:c>
      <x:c r="K568">
        <x:v>4</x:v>
      </x:c>
      <x:c r="L568">
        <x:f t="shared" si="56"/>
        <x:v>1</x:v>
      </x:c>
      <x:c r="P568">
        <x:f t="shared" si="57"/>
        <x:v>1</x:v>
      </x:c>
      <x:c r="Q568">
        <x:f t="shared" si="58"/>
        <x:v>1</x:v>
      </x:c>
      <x:c r="R568">
        <x:f t="shared" si="59"/>
        <x:v>1</x:v>
      </x:c>
      <x:c r="S568">
        <x:f t="shared" si="60"/>
        <x:v>3</x:v>
      </x:c>
      <x:c r="T568" t="str">
        <x:f t="shared" si="61"/>
        <x:v>DerivedFromCount</x:v>
      </x:c>
      <x:c r="U568" t="str">
        <x:f>IF(COUNTIF(DailyProduction!$Q$5:$Q$100,B568)=1,"OK","CHECK")</x:f>
        <x:v>OK</x:v>
      </x:c>
      <x:c r="V568" t="str">
        <x:f t="shared" si="62"/>
        <x:v>CHECK</x:v>
      </x:c>
      <x:c r="W568" t="str">
        <x:f>IF(SUMIF($B$5:$B$914,B568,$S$5:$S$914)=SUMIF(DailyProduction!$Q$5:$Q$100,B568,DailyProduction!$R$5:$R$100),"OK","CHECK")</x:f>
        <x:v>CHECK</x:v>
      </x:c>
      <x:c r="X568" t="str">
        <x:v>PLC-PRD-BOT-500-L24</x:v>
      </x:c>
      <x:c r="Y568" t="str">
        <x:v>CHECK</x:v>
      </x:c>
      <x:c r="Z568" t="str">
        <x:v>OK</x:v>
      </x:c>
      <x:c r="AA568" t="n">
        <x:v>3</x:v>
      </x:c>
      <x:c r="AB568" t="n">
        <x:v>3</x:v>
      </x:c>
      <x:c r="AC568" t="str">
        <x:v>OK</x:v>
      </x:c>
      <x:c r="AD568" t="str">
        <x:v>CHECK</x:v>
      </x:c>
      <x:c r="AE568" t="str">
        <x:v>QUARANTINE</x:v>
      </x:c>
      <x:c r="AF568" t="str">
        <x:v>02_Supervisor_Log(4).xlsx</x:v>
      </x:c>
      <x:c r="AG568" t="str">
        <x:v>ENH-20260830-01</x:v>
      </x:c>
      <x:c r="AH568" t="str">
        <x:v>Active</x:v>
      </x:c>
      <x:c r="AI568"/>
      <x:c r="AJ568"/>
      <x:c r="AK568"/>
      <x:c r="AL568"/>
    </x:row>
    <x:row r="569">
      <x:c r="A569" t="s">
        <x:v>804</x:v>
      </x:c>
      <x:c r="B569" t="s">
        <x:v>799</x:v>
      </x:c>
      <x:c r="C569" t="s">
        <x:v>44</x:v>
      </x:c>
      <x:c r="D569">
        <x:v>45950</x:v>
      </x:c>
      <x:c r="E569" t="s">
        <x:v>187</x:v>
      </x:c>
      <x:c r="F569" t="s">
        <x:v>46</x:v>
      </x:c>
      <x:c r="G569">
        <x:v>24</x:v>
      </x:c>
      <x:c r="H569" t="s">
        <x:v>72</x:v>
      </x:c>
      <x:c r="I569">
        <x:v>6</x:v>
      </x:c>
      <x:c r="J569">
        <x:v>12</x:v>
      </x:c>
      <x:c r="K569">
        <x:v>4</x:v>
      </x:c>
      <x:c r="L569">
        <x:f t="shared" si="56"/>
        <x:v>1</x:v>
      </x:c>
      <x:c r="P569">
        <x:f t="shared" si="57"/>
        <x:v>1</x:v>
      </x:c>
      <x:c r="Q569">
        <x:f t="shared" si="58"/>
        <x:v>1</x:v>
      </x:c>
      <x:c r="R569">
        <x:f t="shared" si="59"/>
        <x:v>1</x:v>
      </x:c>
      <x:c r="S569">
        <x:f t="shared" si="60"/>
        <x:v>3</x:v>
      </x:c>
      <x:c r="T569" t="str">
        <x:f t="shared" si="61"/>
        <x:v>DerivedFromCount</x:v>
      </x:c>
      <x:c r="U569" t="str">
        <x:f>IF(COUNTIF(DailyProduction!$Q$5:$Q$100,B569)=1,"OK","CHECK")</x:f>
        <x:v>OK</x:v>
      </x:c>
      <x:c r="V569" t="str">
        <x:f t="shared" si="62"/>
        <x:v>CHECK</x:v>
      </x:c>
      <x:c r="W569" t="str">
        <x:f>IF(SUMIF($B$5:$B$914,B569,$S$5:$S$914)=SUMIF(DailyProduction!$Q$5:$Q$100,B569,DailyProduction!$R$5:$R$100),"OK","CHECK")</x:f>
        <x:v>CHECK</x:v>
      </x:c>
      <x:c r="X569" t="str">
        <x:v>PLC-PRD-BOT-500-L24</x:v>
      </x:c>
      <x:c r="Y569" t="str">
        <x:v>CHECK</x:v>
      </x:c>
      <x:c r="Z569" t="str">
        <x:v>OK</x:v>
      </x:c>
      <x:c r="AA569" t="n">
        <x:v>3</x:v>
      </x:c>
      <x:c r="AB569" t="n">
        <x:v>3</x:v>
      </x:c>
      <x:c r="AC569" t="str">
        <x:v>OK</x:v>
      </x:c>
      <x:c r="AD569" t="str">
        <x:v>CHECK</x:v>
      </x:c>
      <x:c r="AE569" t="str">
        <x:v>QUARANTINE</x:v>
      </x:c>
      <x:c r="AF569" t="str">
        <x:v>02_Supervisor_Log(4).xlsx</x:v>
      </x:c>
      <x:c r="AG569" t="str">
        <x:v>ENH-20260830-01</x:v>
      </x:c>
      <x:c r="AH569" t="str">
        <x:v>Active</x:v>
      </x:c>
      <x:c r="AI569"/>
      <x:c r="AJ569"/>
      <x:c r="AK569"/>
      <x:c r="AL569"/>
    </x:row>
    <x:row r="570">
      <x:c r="A570" t="s">
        <x:v>805</x:v>
      </x:c>
      <x:c r="B570" t="s">
        <x:v>799</x:v>
      </x:c>
      <x:c r="C570" t="s">
        <x:v>44</x:v>
      </x:c>
      <x:c r="D570">
        <x:v>45950</x:v>
      </x:c>
      <x:c r="E570" t="s">
        <x:v>187</x:v>
      </x:c>
      <x:c r="F570" t="s">
        <x:v>46</x:v>
      </x:c>
      <x:c r="G570">
        <x:v>24</x:v>
      </x:c>
      <x:c r="H570" t="s">
        <x:v>72</x:v>
      </x:c>
      <x:c r="I570">
        <x:v>7</x:v>
      </x:c>
      <x:c r="J570">
        <x:v>12</x:v>
      </x:c>
      <x:c r="K570">
        <x:v>4</x:v>
      </x:c>
      <x:c r="L570">
        <x:f t="shared" si="56"/>
        <x:v>1</x:v>
      </x:c>
      <x:c r="P570">
        <x:f t="shared" si="57"/>
        <x:v>1</x:v>
      </x:c>
      <x:c r="Q570">
        <x:f t="shared" si="58"/>
        <x:v>1</x:v>
      </x:c>
      <x:c r="R570">
        <x:f t="shared" si="59"/>
        <x:v>1</x:v>
      </x:c>
      <x:c r="S570">
        <x:f t="shared" si="60"/>
        <x:v>3</x:v>
      </x:c>
      <x:c r="T570" t="str">
        <x:f t="shared" si="61"/>
        <x:v>DerivedFromCount</x:v>
      </x:c>
      <x:c r="U570" t="str">
        <x:f>IF(COUNTIF(DailyProduction!$Q$5:$Q$100,B570)=1,"OK","CHECK")</x:f>
        <x:v>OK</x:v>
      </x:c>
      <x:c r="V570" t="str">
        <x:f t="shared" si="62"/>
        <x:v>CHECK</x:v>
      </x:c>
      <x:c r="W570" t="str">
        <x:f>IF(SUMIF($B$5:$B$914,B570,$S$5:$S$914)=SUMIF(DailyProduction!$Q$5:$Q$100,B570,DailyProduction!$R$5:$R$100),"OK","CHECK")</x:f>
        <x:v>CHECK</x:v>
      </x:c>
      <x:c r="X570" t="str">
        <x:v>PLC-PRD-BOT-500-L24</x:v>
      </x:c>
      <x:c r="Y570" t="str">
        <x:v>CHECK</x:v>
      </x:c>
      <x:c r="Z570" t="str">
        <x:v>OK</x:v>
      </x:c>
      <x:c r="AA570" t="n">
        <x:v>3</x:v>
      </x:c>
      <x:c r="AB570" t="n">
        <x:v>3</x:v>
      </x:c>
      <x:c r="AC570" t="str">
        <x:v>OK</x:v>
      </x:c>
      <x:c r="AD570" t="str">
        <x:v>CHECK</x:v>
      </x:c>
      <x:c r="AE570" t="str">
        <x:v>QUARANTINE</x:v>
      </x:c>
      <x:c r="AF570" t="str">
        <x:v>02_Supervisor_Log(4).xlsx</x:v>
      </x:c>
      <x:c r="AG570" t="str">
        <x:v>ENH-20260830-01</x:v>
      </x:c>
      <x:c r="AH570" t="str">
        <x:v>Active</x:v>
      </x:c>
      <x:c r="AI570"/>
      <x:c r="AJ570"/>
      <x:c r="AK570"/>
      <x:c r="AL570"/>
    </x:row>
    <x:row r="571">
      <x:c r="A571" t="s">
        <x:v>806</x:v>
      </x:c>
      <x:c r="B571" t="s">
        <x:v>799</x:v>
      </x:c>
      <x:c r="C571" t="s">
        <x:v>44</x:v>
      </x:c>
      <x:c r="D571">
        <x:v>45950</x:v>
      </x:c>
      <x:c r="E571" t="s">
        <x:v>187</x:v>
      </x:c>
      <x:c r="F571" t="s">
        <x:v>46</x:v>
      </x:c>
      <x:c r="G571">
        <x:v>24</x:v>
      </x:c>
      <x:c r="H571" t="s">
        <x:v>72</x:v>
      </x:c>
      <x:c r="I571">
        <x:v>8</x:v>
      </x:c>
      <x:c r="J571">
        <x:v>12</x:v>
      </x:c>
      <x:c r="K571">
        <x:v>4</x:v>
      </x:c>
      <x:c r="L571">
        <x:f t="shared" si="56"/>
        <x:v>1</x:v>
      </x:c>
      <x:c r="P571">
        <x:f t="shared" si="57"/>
        <x:v>1</x:v>
      </x:c>
      <x:c r="Q571">
        <x:f t="shared" si="58"/>
        <x:v>1</x:v>
      </x:c>
      <x:c r="R571">
        <x:f t="shared" si="59"/>
        <x:v>1</x:v>
      </x:c>
      <x:c r="S571">
        <x:f t="shared" si="60"/>
        <x:v>3</x:v>
      </x:c>
      <x:c r="T571" t="str">
        <x:f t="shared" si="61"/>
        <x:v>DerivedFromCount</x:v>
      </x:c>
      <x:c r="U571" t="str">
        <x:f>IF(COUNTIF(DailyProduction!$Q$5:$Q$100,B571)=1,"OK","CHECK")</x:f>
        <x:v>OK</x:v>
      </x:c>
      <x:c r="V571" t="str">
        <x:f t="shared" si="62"/>
        <x:v>CHECK</x:v>
      </x:c>
      <x:c r="W571" t="str">
        <x:f>IF(SUMIF($B$5:$B$914,B571,$S$5:$S$914)=SUMIF(DailyProduction!$Q$5:$Q$100,B571,DailyProduction!$R$5:$R$100),"OK","CHECK")</x:f>
        <x:v>CHECK</x:v>
      </x:c>
      <x:c r="X571" t="str">
        <x:v>PLC-PRD-BOT-500-L24</x:v>
      </x:c>
      <x:c r="Y571" t="str">
        <x:v>CHECK</x:v>
      </x:c>
      <x:c r="Z571" t="str">
        <x:v>OK</x:v>
      </x:c>
      <x:c r="AA571" t="n">
        <x:v>3</x:v>
      </x:c>
      <x:c r="AB571" t="n">
        <x:v>3</x:v>
      </x:c>
      <x:c r="AC571" t="str">
        <x:v>OK</x:v>
      </x:c>
      <x:c r="AD571" t="str">
        <x:v>CHECK</x:v>
      </x:c>
      <x:c r="AE571" t="str">
        <x:v>QUARANTINE</x:v>
      </x:c>
      <x:c r="AF571" t="str">
        <x:v>02_Supervisor_Log(4).xlsx</x:v>
      </x:c>
      <x:c r="AG571" t="str">
        <x:v>ENH-20260830-01</x:v>
      </x:c>
      <x:c r="AH571" t="str">
        <x:v>Active</x:v>
      </x:c>
      <x:c r="AI571"/>
      <x:c r="AJ571"/>
      <x:c r="AK571"/>
      <x:c r="AL571"/>
    </x:row>
    <x:row r="572">
      <x:c r="A572" t="s">
        <x:v>807</x:v>
      </x:c>
      <x:c r="B572" t="s">
        <x:v>799</x:v>
      </x:c>
      <x:c r="C572" t="s">
        <x:v>44</x:v>
      </x:c>
      <x:c r="D572">
        <x:v>45950</x:v>
      </x:c>
      <x:c r="E572" t="s">
        <x:v>187</x:v>
      </x:c>
      <x:c r="F572" t="s">
        <x:v>46</x:v>
      </x:c>
      <x:c r="G572">
        <x:v>24</x:v>
      </x:c>
      <x:c r="H572" t="s">
        <x:v>72</x:v>
      </x:c>
      <x:c r="I572">
        <x:v>9</x:v>
      </x:c>
      <x:c r="J572">
        <x:v>12</x:v>
      </x:c>
      <x:c r="K572">
        <x:v>4</x:v>
      </x:c>
      <x:c r="L572">
        <x:f t="shared" si="56"/>
        <x:v>1</x:v>
      </x:c>
      <x:c r="P572">
        <x:f t="shared" si="57"/>
        <x:v>1</x:v>
      </x:c>
      <x:c r="Q572">
        <x:f t="shared" si="58"/>
        <x:v>1</x:v>
      </x:c>
      <x:c r="R572">
        <x:f t="shared" si="59"/>
        <x:v>1</x:v>
      </x:c>
      <x:c r="S572">
        <x:f t="shared" si="60"/>
        <x:v>3</x:v>
      </x:c>
      <x:c r="T572" t="str">
        <x:f t="shared" si="61"/>
        <x:v>DerivedFromCount</x:v>
      </x:c>
      <x:c r="U572" t="str">
        <x:f>IF(COUNTIF(DailyProduction!$Q$5:$Q$100,B572)=1,"OK","CHECK")</x:f>
        <x:v>OK</x:v>
      </x:c>
      <x:c r="V572" t="str">
        <x:f t="shared" si="62"/>
        <x:v>CHECK</x:v>
      </x:c>
      <x:c r="W572" t="str">
        <x:f>IF(SUMIF($B$5:$B$914,B572,$S$5:$S$914)=SUMIF(DailyProduction!$Q$5:$Q$100,B572,DailyProduction!$R$5:$R$100),"OK","CHECK")</x:f>
        <x:v>CHECK</x:v>
      </x:c>
      <x:c r="X572" t="str">
        <x:v>PLC-PRD-BOT-500-L24</x:v>
      </x:c>
      <x:c r="Y572" t="str">
        <x:v>CHECK</x:v>
      </x:c>
      <x:c r="Z572" t="str">
        <x:v>OK</x:v>
      </x:c>
      <x:c r="AA572" t="n">
        <x:v>3</x:v>
      </x:c>
      <x:c r="AB572" t="n">
        <x:v>3</x:v>
      </x:c>
      <x:c r="AC572" t="str">
        <x:v>OK</x:v>
      </x:c>
      <x:c r="AD572" t="str">
        <x:v>CHECK</x:v>
      </x:c>
      <x:c r="AE572" t="str">
        <x:v>QUARANTINE</x:v>
      </x:c>
      <x:c r="AF572" t="str">
        <x:v>02_Supervisor_Log(4).xlsx</x:v>
      </x:c>
      <x:c r="AG572" t="str">
        <x:v>ENH-20260830-01</x:v>
      </x:c>
      <x:c r="AH572" t="str">
        <x:v>Active</x:v>
      </x:c>
      <x:c r="AI572"/>
      <x:c r="AJ572"/>
      <x:c r="AK572"/>
      <x:c r="AL572"/>
    </x:row>
    <x:row r="573">
      <x:c r="A573" t="s">
        <x:v>808</x:v>
      </x:c>
      <x:c r="B573" t="s">
        <x:v>799</x:v>
      </x:c>
      <x:c r="C573" t="s">
        <x:v>44</x:v>
      </x:c>
      <x:c r="D573">
        <x:v>45950</x:v>
      </x:c>
      <x:c r="E573" t="s">
        <x:v>187</x:v>
      </x:c>
      <x:c r="F573" t="s">
        <x:v>46</x:v>
      </x:c>
      <x:c r="G573">
        <x:v>24</x:v>
      </x:c>
      <x:c r="H573" t="s">
        <x:v>72</x:v>
      </x:c>
      <x:c r="I573">
        <x:v>10</x:v>
      </x:c>
      <x:c r="J573">
        <x:v>12</x:v>
      </x:c>
      <x:c r="K573">
        <x:v>4</x:v>
      </x:c>
      <x:c r="L573">
        <x:f t="shared" si="56"/>
        <x:v>1</x:v>
      </x:c>
      <x:c r="P573">
        <x:f t="shared" si="57"/>
        <x:v>1</x:v>
      </x:c>
      <x:c r="Q573">
        <x:f t="shared" si="58"/>
        <x:v>1</x:v>
      </x:c>
      <x:c r="R573">
        <x:f t="shared" si="59"/>
        <x:v>1</x:v>
      </x:c>
      <x:c r="S573">
        <x:f t="shared" si="60"/>
        <x:v>3</x:v>
      </x:c>
      <x:c r="T573" t="str">
        <x:f t="shared" si="61"/>
        <x:v>DerivedFromCount</x:v>
      </x:c>
      <x:c r="U573" t="str">
        <x:f>IF(COUNTIF(DailyProduction!$Q$5:$Q$100,B573)=1,"OK","CHECK")</x:f>
        <x:v>OK</x:v>
      </x:c>
      <x:c r="V573" t="str">
        <x:f t="shared" si="62"/>
        <x:v>CHECK</x:v>
      </x:c>
      <x:c r="W573" t="str">
        <x:f>IF(SUMIF($B$5:$B$914,B573,$S$5:$S$914)=SUMIF(DailyProduction!$Q$5:$Q$100,B573,DailyProduction!$R$5:$R$100),"OK","CHECK")</x:f>
        <x:v>CHECK</x:v>
      </x:c>
      <x:c r="X573" t="str">
        <x:v>PLC-PRD-BOT-500-L24</x:v>
      </x:c>
      <x:c r="Y573" t="str">
        <x:v>CHECK</x:v>
      </x:c>
      <x:c r="Z573" t="str">
        <x:v>OK</x:v>
      </x:c>
      <x:c r="AA573" t="n">
        <x:v>3</x:v>
      </x:c>
      <x:c r="AB573" t="n">
        <x:v>3</x:v>
      </x:c>
      <x:c r="AC573" t="str">
        <x:v>OK</x:v>
      </x:c>
      <x:c r="AD573" t="str">
        <x:v>CHECK</x:v>
      </x:c>
      <x:c r="AE573" t="str">
        <x:v>QUARANTINE</x:v>
      </x:c>
      <x:c r="AF573" t="str">
        <x:v>02_Supervisor_Log(4).xlsx</x:v>
      </x:c>
      <x:c r="AG573" t="str">
        <x:v>ENH-20260830-01</x:v>
      </x:c>
      <x:c r="AH573" t="str">
        <x:v>Active</x:v>
      </x:c>
      <x:c r="AI573"/>
      <x:c r="AJ573"/>
      <x:c r="AK573"/>
      <x:c r="AL573"/>
    </x:row>
    <x:row r="574">
      <x:c r="A574" t="s">
        <x:v>809</x:v>
      </x:c>
      <x:c r="B574" t="s">
        <x:v>799</x:v>
      </x:c>
      <x:c r="C574" t="s">
        <x:v>44</x:v>
      </x:c>
      <x:c r="D574">
        <x:v>45950</x:v>
      </x:c>
      <x:c r="E574" t="s">
        <x:v>187</x:v>
      </x:c>
      <x:c r="F574" t="s">
        <x:v>46</x:v>
      </x:c>
      <x:c r="G574">
        <x:v>24</x:v>
      </x:c>
      <x:c r="H574" t="s">
        <x:v>72</x:v>
      </x:c>
      <x:c r="I574">
        <x:v>11</x:v>
      </x:c>
      <x:c r="J574">
        <x:v>12</x:v>
      </x:c>
      <x:c r="K574">
        <x:v>4</x:v>
      </x:c>
      <x:c r="L574">
        <x:f t="shared" si="56"/>
        <x:v>1</x:v>
      </x:c>
      <x:c r="P574">
        <x:f t="shared" si="57"/>
        <x:v>1</x:v>
      </x:c>
      <x:c r="Q574">
        <x:f t="shared" si="58"/>
        <x:v>1</x:v>
      </x:c>
      <x:c r="R574">
        <x:f t="shared" si="59"/>
        <x:v>1</x:v>
      </x:c>
      <x:c r="S574">
        <x:f t="shared" si="60"/>
        <x:v>3</x:v>
      </x:c>
      <x:c r="T574" t="str">
        <x:f t="shared" si="61"/>
        <x:v>DerivedFromCount</x:v>
      </x:c>
      <x:c r="U574" t="str">
        <x:f>IF(COUNTIF(DailyProduction!$Q$5:$Q$100,B574)=1,"OK","CHECK")</x:f>
        <x:v>OK</x:v>
      </x:c>
      <x:c r="V574" t="str">
        <x:f t="shared" si="62"/>
        <x:v>CHECK</x:v>
      </x:c>
      <x:c r="W574" t="str">
        <x:f>IF(SUMIF($B$5:$B$914,B574,$S$5:$S$914)=SUMIF(DailyProduction!$Q$5:$Q$100,B574,DailyProduction!$R$5:$R$100),"OK","CHECK")</x:f>
        <x:v>CHECK</x:v>
      </x:c>
      <x:c r="X574" t="str">
        <x:v>PLC-PRD-BOT-500-L24</x:v>
      </x:c>
      <x:c r="Y574" t="str">
        <x:v>CHECK</x:v>
      </x:c>
      <x:c r="Z574" t="str">
        <x:v>OK</x:v>
      </x:c>
      <x:c r="AA574" t="n">
        <x:v>3</x:v>
      </x:c>
      <x:c r="AB574" t="n">
        <x:v>3</x:v>
      </x:c>
      <x:c r="AC574" t="str">
        <x:v>OK</x:v>
      </x:c>
      <x:c r="AD574" t="str">
        <x:v>CHECK</x:v>
      </x:c>
      <x:c r="AE574" t="str">
        <x:v>QUARANTINE</x:v>
      </x:c>
      <x:c r="AF574" t="str">
        <x:v>02_Supervisor_Log(4).xlsx</x:v>
      </x:c>
      <x:c r="AG574" t="str">
        <x:v>ENH-20260830-01</x:v>
      </x:c>
      <x:c r="AH574" t="str">
        <x:v>Active</x:v>
      </x:c>
      <x:c r="AI574"/>
      <x:c r="AJ574"/>
      <x:c r="AK574"/>
      <x:c r="AL574"/>
    </x:row>
    <x:row r="575">
      <x:c r="A575" t="s">
        <x:v>810</x:v>
      </x:c>
      <x:c r="B575" t="s">
        <x:v>799</x:v>
      </x:c>
      <x:c r="C575" t="s">
        <x:v>44</x:v>
      </x:c>
      <x:c r="D575">
        <x:v>45950</x:v>
      </x:c>
      <x:c r="E575" t="s">
        <x:v>187</x:v>
      </x:c>
      <x:c r="F575" t="s">
        <x:v>46</x:v>
      </x:c>
      <x:c r="G575">
        <x:v>24</x:v>
      </x:c>
      <x:c r="H575" t="s">
        <x:v>72</x:v>
      </x:c>
      <x:c r="I575">
        <x:v>12</x:v>
      </x:c>
      <x:c r="J575">
        <x:v>12</x:v>
      </x:c>
      <x:c r="K575">
        <x:v>4</x:v>
      </x:c>
      <x:c r="L575">
        <x:f t="shared" si="56"/>
        <x:v>1</x:v>
      </x:c>
      <x:c r="P575">
        <x:f t="shared" si="57"/>
        <x:v>1</x:v>
      </x:c>
      <x:c r="Q575">
        <x:f t="shared" si="58"/>
        <x:v>1</x:v>
      </x:c>
      <x:c r="R575">
        <x:f t="shared" si="59"/>
        <x:v>1</x:v>
      </x:c>
      <x:c r="S575">
        <x:f t="shared" si="60"/>
        <x:v>3</x:v>
      </x:c>
      <x:c r="T575" t="str">
        <x:f t="shared" si="61"/>
        <x:v>DerivedFromCount</x:v>
      </x:c>
      <x:c r="U575" t="str">
        <x:f>IF(COUNTIF(DailyProduction!$Q$5:$Q$100,B575)=1,"OK","CHECK")</x:f>
        <x:v>OK</x:v>
      </x:c>
      <x:c r="V575" t="str">
        <x:f t="shared" si="62"/>
        <x:v>CHECK</x:v>
      </x:c>
      <x:c r="W575" t="str">
        <x:f>IF(SUMIF($B$5:$B$914,B575,$S$5:$S$914)=SUMIF(DailyProduction!$Q$5:$Q$100,B575,DailyProduction!$R$5:$R$100),"OK","CHECK")</x:f>
        <x:v>CHECK</x:v>
      </x:c>
      <x:c r="X575" t="str">
        <x:v>PLC-PRD-BOT-500-L24</x:v>
      </x:c>
      <x:c r="Y575" t="str">
        <x:v>CHECK</x:v>
      </x:c>
      <x:c r="Z575" t="str">
        <x:v>OK</x:v>
      </x:c>
      <x:c r="AA575" t="n">
        <x:v>3</x:v>
      </x:c>
      <x:c r="AB575" t="n">
        <x:v>3</x:v>
      </x:c>
      <x:c r="AC575" t="str">
        <x:v>OK</x:v>
      </x:c>
      <x:c r="AD575" t="str">
        <x:v>CHECK</x:v>
      </x:c>
      <x:c r="AE575" t="str">
        <x:v>QUARANTINE</x:v>
      </x:c>
      <x:c r="AF575" t="str">
        <x:v>02_Supervisor_Log(4).xlsx</x:v>
      </x:c>
      <x:c r="AG575" t="str">
        <x:v>ENH-20260830-01</x:v>
      </x:c>
      <x:c r="AH575" t="str">
        <x:v>Active</x:v>
      </x:c>
      <x:c r="AI575"/>
      <x:c r="AJ575"/>
      <x:c r="AK575"/>
      <x:c r="AL575"/>
    </x:row>
    <x:row r="576">
      <x:c r="A576" t="s">
        <x:v>811</x:v>
      </x:c>
      <x:c r="B576" t="s">
        <x:v>799</x:v>
      </x:c>
      <x:c r="C576" t="s">
        <x:v>44</x:v>
      </x:c>
      <x:c r="D576">
        <x:v>45950</x:v>
      </x:c>
      <x:c r="E576" t="s">
        <x:v>187</x:v>
      </x:c>
      <x:c r="F576" t="s">
        <x:v>46</x:v>
      </x:c>
      <x:c r="G576">
        <x:v>24</x:v>
      </x:c>
      <x:c r="H576" t="s">
        <x:v>72</x:v>
      </x:c>
      <x:c r="I576">
        <x:v>13</x:v>
      </x:c>
      <x:c r="J576">
        <x:v>12</x:v>
      </x:c>
      <x:c r="K576">
        <x:v>4</x:v>
      </x:c>
      <x:c r="L576">
        <x:f t="shared" si="56"/>
        <x:v>0</x:v>
      </x:c>
      <x:c r="P576">
        <x:f t="shared" si="57"/>
        <x:v>0</x:v>
      </x:c>
      <x:c r="Q576">
        <x:f t="shared" si="58"/>
        <x:v>0</x:v>
      </x:c>
      <x:c r="R576">
        <x:f t="shared" si="59"/>
        <x:v>0</x:v>
      </x:c>
      <x:c r="S576">
        <x:f t="shared" si="60"/>
        <x:v>0</x:v>
      </x:c>
      <x:c r="T576" t="str">
        <x:f t="shared" si="61"/>
        <x:v>DerivedFromCount</x:v>
      </x:c>
      <x:c r="U576" t="str">
        <x:f>IF(COUNTIF(DailyProduction!$Q$5:$Q$100,B576)=1,"OK","CHECK")</x:f>
        <x:v>OK</x:v>
      </x:c>
      <x:c r="V576" t="str">
        <x:f t="shared" si="62"/>
        <x:v>CHECK</x:v>
      </x:c>
      <x:c r="W576" t="str">
        <x:f>IF(SUMIF($B$5:$B$914,B576,$S$5:$S$914)=SUMIF(DailyProduction!$Q$5:$Q$100,B576,DailyProduction!$R$5:$R$100),"OK","CHECK")</x:f>
        <x:v>CHECK</x:v>
      </x:c>
      <x:c r="X576" t="str">
        <x:v>PLC-PRD-BOT-500-L24</x:v>
      </x:c>
      <x:c r="Y576" t="str">
        <x:v>CHECK</x:v>
      </x:c>
      <x:c r="Z576" t="str">
        <x:v>OK</x:v>
      </x:c>
      <x:c r="AA576" t="n">
        <x:v>3</x:v>
      </x:c>
      <x:c r="AB576" t="n">
        <x:v>0</x:v>
      </x:c>
      <x:c r="AC576" t="str">
        <x:v>OK</x:v>
      </x:c>
      <x:c r="AD576" t="str">
        <x:v>CHECK</x:v>
      </x:c>
      <x:c r="AE576" t="str">
        <x:v>QUARANTINE</x:v>
      </x:c>
      <x:c r="AF576" t="str">
        <x:v>02_Supervisor_Log(4).xlsx</x:v>
      </x:c>
      <x:c r="AG576" t="str">
        <x:v>ENH-20260830-01</x:v>
      </x:c>
      <x:c r="AH576" t="str">
        <x:v>Active</x:v>
      </x:c>
      <x:c r="AI576"/>
      <x:c r="AJ576"/>
      <x:c r="AK576"/>
      <x:c r="AL576"/>
    </x:row>
    <x:row r="577">
      <x:c r="A577" t="s">
        <x:v>812</x:v>
      </x:c>
      <x:c r="B577" t="s">
        <x:v>151</x:v>
      </x:c>
      <x:c r="C577" t="s">
        <x:v>44</x:v>
      </x:c>
      <x:c r="D577">
        <x:v>45951</x:v>
      </x:c>
      <x:c r="E577" t="s">
        <x:v>45</x:v>
      </x:c>
      <x:c r="F577" t="s">
        <x:v>46</x:v>
      </x:c>
      <x:c r="G577">
        <x:v>24</x:v>
      </x:c>
      <x:c r="H577" t="s">
        <x:v>73</x:v>
      </x:c>
      <x:c r="I577">
        <x:v>1</x:v>
      </x:c>
      <x:c r="J577">
        <x:v>12</x:v>
      </x:c>
      <x:c r="K577">
        <x:v>3</x:v>
      </x:c>
      <x:c r="L577">
        <x:f t="shared" si="56"/>
        <x:v>1</x:v>
      </x:c>
      <x:c r="P577">
        <x:f t="shared" si="57"/>
        <x:v>1</x:v>
      </x:c>
      <x:c r="Q577">
        <x:f t="shared" si="58"/>
        <x:v>1</x:v>
      </x:c>
      <x:c r="R577">
        <x:f t="shared" si="59"/>
        <x:v>1</x:v>
      </x:c>
      <x:c r="S577">
        <x:f t="shared" si="60"/>
        <x:v>3</x:v>
      </x:c>
      <x:c r="T577" t="str">
        <x:f t="shared" si="61"/>
        <x:v>DerivedFromCount</x:v>
      </x:c>
      <x:c r="U577" t="str">
        <x:f>IF(COUNTIF(DailyProduction!$Q$5:$Q$100,B577)=1,"OK","CHECK")</x:f>
        <x:v>OK</x:v>
      </x:c>
      <x:c r="V577" t="str">
        <x:f t="shared" si="62"/>
        <x:v>OK</x:v>
      </x:c>
      <x:c r="W577" t="str">
        <x:f>IF(SUMIF($B$5:$B$914,B577,$S$5:$S$914)=SUMIF(DailyProduction!$Q$5:$Q$100,B577,DailyProduction!$R$5:$R$100),"OK","CHECK")</x:f>
        <x:v>OK</x:v>
      </x:c>
      <x:c r="X577" t="str">
        <x:v>PLC-PRD-JAR-330-L24</x:v>
      </x:c>
      <x:c r="Y577" t="str">
        <x:v>OK</x:v>
      </x:c>
      <x:c r="Z577" t="str">
        <x:v>OK</x:v>
      </x:c>
      <x:c r="AA577" t="n">
        <x:v>3</x:v>
      </x:c>
      <x:c r="AB577" t="n">
        <x:v>3</x:v>
      </x:c>
      <x:c r="AC577" t="str">
        <x:v>OK</x:v>
      </x:c>
      <x:c r="AD577" t="str">
        <x:v>OK</x:v>
      </x:c>
      <x:c r="AE577" t="str">
        <x:v>LOAD</x:v>
      </x:c>
      <x:c r="AF577" t="str">
        <x:v>02_Supervisor_Log(4).xlsx</x:v>
      </x:c>
      <x:c r="AG577" t="str">
        <x:v>ENH-20260830-01</x:v>
      </x:c>
      <x:c r="AH577" t="str">
        <x:v>Active</x:v>
      </x:c>
      <x:c r="AI577"/>
      <x:c r="AJ577"/>
      <x:c r="AK577"/>
      <x:c r="AL577"/>
    </x:row>
    <x:row r="578">
      <x:c r="A578" t="s">
        <x:v>813</x:v>
      </x:c>
      <x:c r="B578" t="s">
        <x:v>151</x:v>
      </x:c>
      <x:c r="C578" t="s">
        <x:v>44</x:v>
      </x:c>
      <x:c r="D578">
        <x:v>45951</x:v>
      </x:c>
      <x:c r="E578" t="s">
        <x:v>45</x:v>
      </x:c>
      <x:c r="F578" t="s">
        <x:v>46</x:v>
      </x:c>
      <x:c r="G578">
        <x:v>24</x:v>
      </x:c>
      <x:c r="H578" t="s">
        <x:v>73</x:v>
      </x:c>
      <x:c r="I578">
        <x:v>2</x:v>
      </x:c>
      <x:c r="J578">
        <x:v>12</x:v>
      </x:c>
      <x:c r="K578">
        <x:v>3</x:v>
      </x:c>
      <x:c r="L578">
        <x:f t="shared" si="56"/>
        <x:v>1</x:v>
      </x:c>
      <x:c r="P578">
        <x:f t="shared" si="57"/>
        <x:v>1</x:v>
      </x:c>
      <x:c r="Q578">
        <x:f t="shared" si="58"/>
        <x:v>1</x:v>
      </x:c>
      <x:c r="R578">
        <x:f t="shared" si="59"/>
        <x:v>1</x:v>
      </x:c>
      <x:c r="S578">
        <x:f t="shared" si="60"/>
        <x:v>3</x:v>
      </x:c>
      <x:c r="T578" t="str">
        <x:f t="shared" si="61"/>
        <x:v>DerivedFromCount</x:v>
      </x:c>
      <x:c r="U578" t="str">
        <x:f>IF(COUNTIF(DailyProduction!$Q$5:$Q$100,B578)=1,"OK","CHECK")</x:f>
        <x:v>OK</x:v>
      </x:c>
      <x:c r="V578" t="str">
        <x:f t="shared" si="62"/>
        <x:v>OK</x:v>
      </x:c>
      <x:c r="W578" t="str">
        <x:f>IF(SUMIF($B$5:$B$914,B578,$S$5:$S$914)=SUMIF(DailyProduction!$Q$5:$Q$100,B578,DailyProduction!$R$5:$R$100),"OK","CHECK")</x:f>
        <x:v>OK</x:v>
      </x:c>
      <x:c r="X578" t="str">
        <x:v>PLC-PRD-JAR-330-L24</x:v>
      </x:c>
      <x:c r="Y578" t="str">
        <x:v>OK</x:v>
      </x:c>
      <x:c r="Z578" t="str">
        <x:v>OK</x:v>
      </x:c>
      <x:c r="AA578" t="n">
        <x:v>3</x:v>
      </x:c>
      <x:c r="AB578" t="n">
        <x:v>3</x:v>
      </x:c>
      <x:c r="AC578" t="str">
        <x:v>OK</x:v>
      </x:c>
      <x:c r="AD578" t="str">
        <x:v>OK</x:v>
      </x:c>
      <x:c r="AE578" t="str">
        <x:v>LOAD</x:v>
      </x:c>
      <x:c r="AF578" t="str">
        <x:v>02_Supervisor_Log(4).xlsx</x:v>
      </x:c>
      <x:c r="AG578" t="str">
        <x:v>ENH-20260830-01</x:v>
      </x:c>
      <x:c r="AH578" t="str">
        <x:v>Active</x:v>
      </x:c>
      <x:c r="AI578"/>
      <x:c r="AJ578"/>
      <x:c r="AK578"/>
      <x:c r="AL578"/>
    </x:row>
    <x:row r="579">
      <x:c r="A579" t="s">
        <x:v>814</x:v>
      </x:c>
      <x:c r="B579" t="s">
        <x:v>151</x:v>
      </x:c>
      <x:c r="C579" t="s">
        <x:v>44</x:v>
      </x:c>
      <x:c r="D579">
        <x:v>45951</x:v>
      </x:c>
      <x:c r="E579" t="s">
        <x:v>45</x:v>
      </x:c>
      <x:c r="F579" t="s">
        <x:v>46</x:v>
      </x:c>
      <x:c r="G579">
        <x:v>24</x:v>
      </x:c>
      <x:c r="H579" t="s">
        <x:v>73</x:v>
      </x:c>
      <x:c r="I579">
        <x:v>3</x:v>
      </x:c>
      <x:c r="J579">
        <x:v>12</x:v>
      </x:c>
      <x:c r="K579">
        <x:v>3</x:v>
      </x:c>
      <x:c r="L579">
        <x:f t="shared" si="56"/>
        <x:v>1</x:v>
      </x:c>
      <x:c r="P579">
        <x:f t="shared" si="57"/>
        <x:v>1</x:v>
      </x:c>
      <x:c r="Q579">
        <x:f t="shared" si="58"/>
        <x:v>1</x:v>
      </x:c>
      <x:c r="R579">
        <x:f t="shared" si="59"/>
        <x:v>1</x:v>
      </x:c>
      <x:c r="S579">
        <x:f t="shared" si="60"/>
        <x:v>3</x:v>
      </x:c>
      <x:c r="T579" t="str">
        <x:f t="shared" si="61"/>
        <x:v>DerivedFromCount</x:v>
      </x:c>
      <x:c r="U579" t="str">
        <x:f>IF(COUNTIF(DailyProduction!$Q$5:$Q$100,B579)=1,"OK","CHECK")</x:f>
        <x:v>OK</x:v>
      </x:c>
      <x:c r="V579" t="str">
        <x:f t="shared" si="62"/>
        <x:v>OK</x:v>
      </x:c>
      <x:c r="W579" t="str">
        <x:f>IF(SUMIF($B$5:$B$914,B579,$S$5:$S$914)=SUMIF(DailyProduction!$Q$5:$Q$100,B579,DailyProduction!$R$5:$R$100),"OK","CHECK")</x:f>
        <x:v>OK</x:v>
      </x:c>
      <x:c r="X579" t="str">
        <x:v>PLC-PRD-JAR-330-L24</x:v>
      </x:c>
      <x:c r="Y579" t="str">
        <x:v>OK</x:v>
      </x:c>
      <x:c r="Z579" t="str">
        <x:v>OK</x:v>
      </x:c>
      <x:c r="AA579" t="n">
        <x:v>3</x:v>
      </x:c>
      <x:c r="AB579" t="n">
        <x:v>3</x:v>
      </x:c>
      <x:c r="AC579" t="str">
        <x:v>OK</x:v>
      </x:c>
      <x:c r="AD579" t="str">
        <x:v>OK</x:v>
      </x:c>
      <x:c r="AE579" t="str">
        <x:v>LOAD</x:v>
      </x:c>
      <x:c r="AF579" t="str">
        <x:v>02_Supervisor_Log(4).xlsx</x:v>
      </x:c>
      <x:c r="AG579" t="str">
        <x:v>ENH-20260830-01</x:v>
      </x:c>
      <x:c r="AH579" t="str">
        <x:v>Active</x:v>
      </x:c>
      <x:c r="AI579"/>
      <x:c r="AJ579"/>
      <x:c r="AK579"/>
      <x:c r="AL579"/>
    </x:row>
    <x:row r="580">
      <x:c r="A580" t="s">
        <x:v>815</x:v>
      </x:c>
      <x:c r="B580" t="s">
        <x:v>151</x:v>
      </x:c>
      <x:c r="C580" t="s">
        <x:v>44</x:v>
      </x:c>
      <x:c r="D580">
        <x:v>45951</x:v>
      </x:c>
      <x:c r="E580" t="s">
        <x:v>45</x:v>
      </x:c>
      <x:c r="F580" t="s">
        <x:v>46</x:v>
      </x:c>
      <x:c r="G580">
        <x:v>24</x:v>
      </x:c>
      <x:c r="H580" t="s">
        <x:v>73</x:v>
      </x:c>
      <x:c r="I580">
        <x:v>4</x:v>
      </x:c>
      <x:c r="J580">
        <x:v>12</x:v>
      </x:c>
      <x:c r="K580">
        <x:v>3</x:v>
      </x:c>
      <x:c r="L580">
        <x:f t="shared" si="56"/>
        <x:v>1</x:v>
      </x:c>
      <x:c r="P580">
        <x:f t="shared" si="57"/>
        <x:v>1</x:v>
      </x:c>
      <x:c r="Q580">
        <x:f t="shared" si="58"/>
        <x:v>1</x:v>
      </x:c>
      <x:c r="R580">
        <x:f t="shared" si="59"/>
        <x:v>1</x:v>
      </x:c>
      <x:c r="S580">
        <x:f t="shared" si="60"/>
        <x:v>3</x:v>
      </x:c>
      <x:c r="T580" t="str">
        <x:f t="shared" si="61"/>
        <x:v>DerivedFromCount</x:v>
      </x:c>
      <x:c r="U580" t="str">
        <x:f>IF(COUNTIF(DailyProduction!$Q$5:$Q$100,B580)=1,"OK","CHECK")</x:f>
        <x:v>OK</x:v>
      </x:c>
      <x:c r="V580" t="str">
        <x:f t="shared" si="62"/>
        <x:v>OK</x:v>
      </x:c>
      <x:c r="W580" t="str">
        <x:f>IF(SUMIF($B$5:$B$914,B580,$S$5:$S$914)=SUMIF(DailyProduction!$Q$5:$Q$100,B580,DailyProduction!$R$5:$R$100),"OK","CHECK")</x:f>
        <x:v>OK</x:v>
      </x:c>
      <x:c r="X580" t="str">
        <x:v>PLC-PRD-JAR-330-L24</x:v>
      </x:c>
      <x:c r="Y580" t="str">
        <x:v>OK</x:v>
      </x:c>
      <x:c r="Z580" t="str">
        <x:v>OK</x:v>
      </x:c>
      <x:c r="AA580" t="n">
        <x:v>3</x:v>
      </x:c>
      <x:c r="AB580" t="n">
        <x:v>3</x:v>
      </x:c>
      <x:c r="AC580" t="str">
        <x:v>OK</x:v>
      </x:c>
      <x:c r="AD580" t="str">
        <x:v>OK</x:v>
      </x:c>
      <x:c r="AE580" t="str">
        <x:v>LOAD</x:v>
      </x:c>
      <x:c r="AF580" t="str">
        <x:v>02_Supervisor_Log(4).xlsx</x:v>
      </x:c>
      <x:c r="AG580" t="str">
        <x:v>ENH-20260830-01</x:v>
      </x:c>
      <x:c r="AH580" t="str">
        <x:v>Active</x:v>
      </x:c>
      <x:c r="AI580"/>
      <x:c r="AJ580"/>
      <x:c r="AK580"/>
      <x:c r="AL580"/>
    </x:row>
    <x:row r="581">
      <x:c r="A581" t="s">
        <x:v>816</x:v>
      </x:c>
      <x:c r="B581" t="s">
        <x:v>151</x:v>
      </x:c>
      <x:c r="C581" t="s">
        <x:v>44</x:v>
      </x:c>
      <x:c r="D581">
        <x:v>45951</x:v>
      </x:c>
      <x:c r="E581" t="s">
        <x:v>45</x:v>
      </x:c>
      <x:c r="F581" t="s">
        <x:v>46</x:v>
      </x:c>
      <x:c r="G581">
        <x:v>24</x:v>
      </x:c>
      <x:c r="H581" t="s">
        <x:v>73</x:v>
      </x:c>
      <x:c r="I581">
        <x:v>5</x:v>
      </x:c>
      <x:c r="J581">
        <x:v>12</x:v>
      </x:c>
      <x:c r="K581">
        <x:v>3</x:v>
      </x:c>
      <x:c r="L581" t="n">
        <x:f t="shared" ref="L581:L644" si="63">IF(I581&lt;=J581,1,0)</x:f>
        <x:v>1</x:v>
      </x:c>
      <x:c r="P581" t="n">
        <x:f t="shared" ref="P581:P644" si="64">IF(M581="",IF(AND(L581=1,K581&gt;=1),1,0),M581)</x:f>
        <x:v>1</x:v>
      </x:c>
      <x:c r="Q581" t="n">
        <x:f t="shared" ref="Q581:Q644" si="65">IF(N581="",IF(AND(L581=1,K581&gt;=2),1,0),N581)</x:f>
        <x:v>1</x:v>
      </x:c>
      <x:c r="R581" t="n">
        <x:f t="shared" ref="R581:R644" si="66">IF(O581="",IF(AND(L581=1,K581&gt;=3),1,0),O581)</x:f>
        <x:v>1</x:v>
      </x:c>
      <x:c r="S581" t="n">
        <x:f t="shared" ref="S581:S644" si="67">SUM(P581:R581)</x:f>
        <x:v>3</x:v>
      </x:c>
      <x:c r="T581" t="str">
        <x:f t="shared" ref="T581:T644" si="68">IF(COUNTA(M581:O581)=0,"DerivedFromCount","ManualOverride")</x:f>
        <x:v>DerivedFromCount</x:v>
      </x:c>
      <x:c r="U581" t="str">
        <x:f>IF(COUNTIF(DailyProduction!$Q$5:$Q$100,B581)=1,"OK","CHECK")</x:f>
        <x:v>OK</x:v>
      </x:c>
      <x:c r="V581" t="str">
        <x:f t="shared" ref="V581:V644" si="69">IF(AND(I581&gt;=1,I581&lt;=13,K581&gt;=1,K581&lt;=3),"OK","CHECK")</x:f>
        <x:v>OK</x:v>
      </x:c>
      <x:c r="W581" t="str">
        <x:f>IF(SUMIF($B$5:$B$914,B581,$S$5:$S$914)=SUMIF(DailyProduction!$Q$5:$Q$100,B581,DailyProduction!$R$5:$R$100),"OK","CHECK")</x:f>
        <x:v>OK</x:v>
      </x:c>
      <x:c r="X581" t="str">
        <x:v>PLC-PRD-JAR-330-L24</x:v>
      </x:c>
      <x:c r="Y581" t="str">
        <x:v>OK</x:v>
      </x:c>
      <x:c r="Z581" t="str">
        <x:v>OK</x:v>
      </x:c>
      <x:c r="AA581" t="n">
        <x:v>3</x:v>
      </x:c>
      <x:c r="AB581" t="n">
        <x:v>3</x:v>
      </x:c>
      <x:c r="AC581" t="str">
        <x:v>OK</x:v>
      </x:c>
      <x:c r="AD581" t="str">
        <x:v>OK</x:v>
      </x:c>
      <x:c r="AE581" t="str">
        <x:v>LOAD</x:v>
      </x:c>
      <x:c r="AF581" t="str">
        <x:v>02_Supervisor_Log(4).xlsx</x:v>
      </x:c>
      <x:c r="AG581" t="str">
        <x:v>ENH-20260830-01</x:v>
      </x:c>
      <x:c r="AH581" t="str">
        <x:v>Active</x:v>
      </x:c>
      <x:c r="AI581"/>
      <x:c r="AJ581"/>
      <x:c r="AK581"/>
      <x:c r="AL581"/>
    </x:row>
    <x:row r="582">
      <x:c r="A582" t="s">
        <x:v>817</x:v>
      </x:c>
      <x:c r="B582" t="s">
        <x:v>151</x:v>
      </x:c>
      <x:c r="C582" t="s">
        <x:v>44</x:v>
      </x:c>
      <x:c r="D582">
        <x:v>45951</x:v>
      </x:c>
      <x:c r="E582" t="s">
        <x:v>45</x:v>
      </x:c>
      <x:c r="F582" t="s">
        <x:v>46</x:v>
      </x:c>
      <x:c r="G582">
        <x:v>24</x:v>
      </x:c>
      <x:c r="H582" t="s">
        <x:v>73</x:v>
      </x:c>
      <x:c r="I582">
        <x:v>6</x:v>
      </x:c>
      <x:c r="J582">
        <x:v>12</x:v>
      </x:c>
      <x:c r="K582">
        <x:v>3</x:v>
      </x:c>
      <x:c r="L582">
        <x:f t="shared" si="63"/>
        <x:v>1</x:v>
      </x:c>
      <x:c r="P582">
        <x:f t="shared" si="64"/>
        <x:v>1</x:v>
      </x:c>
      <x:c r="Q582">
        <x:f t="shared" si="65"/>
        <x:v>1</x:v>
      </x:c>
      <x:c r="R582">
        <x:f t="shared" si="66"/>
        <x:v>1</x:v>
      </x:c>
      <x:c r="S582">
        <x:f t="shared" si="67"/>
        <x:v>3</x:v>
      </x:c>
      <x:c r="T582" t="str">
        <x:f t="shared" si="68"/>
        <x:v>DerivedFromCount</x:v>
      </x:c>
      <x:c r="U582" t="str">
        <x:f>IF(COUNTIF(DailyProduction!$Q$5:$Q$100,B582)=1,"OK","CHECK")</x:f>
        <x:v>OK</x:v>
      </x:c>
      <x:c r="V582" t="str">
        <x:f t="shared" si="69"/>
        <x:v>OK</x:v>
      </x:c>
      <x:c r="W582" t="str">
        <x:f>IF(SUMIF($B$5:$B$914,B582,$S$5:$S$914)=SUMIF(DailyProduction!$Q$5:$Q$100,B582,DailyProduction!$R$5:$R$100),"OK","CHECK")</x:f>
        <x:v>OK</x:v>
      </x:c>
      <x:c r="X582" t="str">
        <x:v>PLC-PRD-JAR-330-L24</x:v>
      </x:c>
      <x:c r="Y582" t="str">
        <x:v>OK</x:v>
      </x:c>
      <x:c r="Z582" t="str">
        <x:v>OK</x:v>
      </x:c>
      <x:c r="AA582" t="n">
        <x:v>3</x:v>
      </x:c>
      <x:c r="AB582" t="n">
        <x:v>3</x:v>
      </x:c>
      <x:c r="AC582" t="str">
        <x:v>OK</x:v>
      </x:c>
      <x:c r="AD582" t="str">
        <x:v>OK</x:v>
      </x:c>
      <x:c r="AE582" t="str">
        <x:v>LOAD</x:v>
      </x:c>
      <x:c r="AF582" t="str">
        <x:v>02_Supervisor_Log(4).xlsx</x:v>
      </x:c>
      <x:c r="AG582" t="str">
        <x:v>ENH-20260830-01</x:v>
      </x:c>
      <x:c r="AH582" t="str">
        <x:v>Active</x:v>
      </x:c>
      <x:c r="AI582"/>
      <x:c r="AJ582"/>
      <x:c r="AK582"/>
      <x:c r="AL582"/>
    </x:row>
    <x:row r="583">
      <x:c r="A583" t="s">
        <x:v>818</x:v>
      </x:c>
      <x:c r="B583" t="s">
        <x:v>151</x:v>
      </x:c>
      <x:c r="C583" t="s">
        <x:v>44</x:v>
      </x:c>
      <x:c r="D583">
        <x:v>45951</x:v>
      </x:c>
      <x:c r="E583" t="s">
        <x:v>45</x:v>
      </x:c>
      <x:c r="F583" t="s">
        <x:v>46</x:v>
      </x:c>
      <x:c r="G583">
        <x:v>24</x:v>
      </x:c>
      <x:c r="H583" t="s">
        <x:v>73</x:v>
      </x:c>
      <x:c r="I583">
        <x:v>7</x:v>
      </x:c>
      <x:c r="J583">
        <x:v>12</x:v>
      </x:c>
      <x:c r="K583">
        <x:v>3</x:v>
      </x:c>
      <x:c r="L583">
        <x:f t="shared" si="63"/>
        <x:v>1</x:v>
      </x:c>
      <x:c r="P583">
        <x:f t="shared" si="64"/>
        <x:v>1</x:v>
      </x:c>
      <x:c r="Q583">
        <x:f t="shared" si="65"/>
        <x:v>1</x:v>
      </x:c>
      <x:c r="R583">
        <x:f t="shared" si="66"/>
        <x:v>1</x:v>
      </x:c>
      <x:c r="S583">
        <x:f t="shared" si="67"/>
        <x:v>3</x:v>
      </x:c>
      <x:c r="T583" t="str">
        <x:f t="shared" si="68"/>
        <x:v>DerivedFromCount</x:v>
      </x:c>
      <x:c r="U583" t="str">
        <x:f>IF(COUNTIF(DailyProduction!$Q$5:$Q$100,B583)=1,"OK","CHECK")</x:f>
        <x:v>OK</x:v>
      </x:c>
      <x:c r="V583" t="str">
        <x:f t="shared" si="69"/>
        <x:v>OK</x:v>
      </x:c>
      <x:c r="W583" t="str">
        <x:f>IF(SUMIF($B$5:$B$914,B583,$S$5:$S$914)=SUMIF(DailyProduction!$Q$5:$Q$100,B583,DailyProduction!$R$5:$R$100),"OK","CHECK")</x:f>
        <x:v>OK</x:v>
      </x:c>
      <x:c r="X583" t="str">
        <x:v>PLC-PRD-JAR-330-L24</x:v>
      </x:c>
      <x:c r="Y583" t="str">
        <x:v>OK</x:v>
      </x:c>
      <x:c r="Z583" t="str">
        <x:v>OK</x:v>
      </x:c>
      <x:c r="AA583" t="n">
        <x:v>3</x:v>
      </x:c>
      <x:c r="AB583" t="n">
        <x:v>3</x:v>
      </x:c>
      <x:c r="AC583" t="str">
        <x:v>OK</x:v>
      </x:c>
      <x:c r="AD583" t="str">
        <x:v>OK</x:v>
      </x:c>
      <x:c r="AE583" t="str">
        <x:v>LOAD</x:v>
      </x:c>
      <x:c r="AF583" t="str">
        <x:v>02_Supervisor_Log(4).xlsx</x:v>
      </x:c>
      <x:c r="AG583" t="str">
        <x:v>ENH-20260830-01</x:v>
      </x:c>
      <x:c r="AH583" t="str">
        <x:v>Active</x:v>
      </x:c>
      <x:c r="AI583"/>
      <x:c r="AJ583"/>
      <x:c r="AK583"/>
      <x:c r="AL583"/>
    </x:row>
    <x:row r="584">
      <x:c r="A584" t="s">
        <x:v>819</x:v>
      </x:c>
      <x:c r="B584" t="s">
        <x:v>151</x:v>
      </x:c>
      <x:c r="C584" t="s">
        <x:v>44</x:v>
      </x:c>
      <x:c r="D584">
        <x:v>45951</x:v>
      </x:c>
      <x:c r="E584" t="s">
        <x:v>45</x:v>
      </x:c>
      <x:c r="F584" t="s">
        <x:v>46</x:v>
      </x:c>
      <x:c r="G584">
        <x:v>24</x:v>
      </x:c>
      <x:c r="H584" t="s">
        <x:v>73</x:v>
      </x:c>
      <x:c r="I584">
        <x:v>8</x:v>
      </x:c>
      <x:c r="J584">
        <x:v>12</x:v>
      </x:c>
      <x:c r="K584">
        <x:v>3</x:v>
      </x:c>
      <x:c r="L584">
        <x:f t="shared" si="63"/>
        <x:v>1</x:v>
      </x:c>
      <x:c r="P584">
        <x:f t="shared" si="64"/>
        <x:v>1</x:v>
      </x:c>
      <x:c r="Q584">
        <x:f t="shared" si="65"/>
        <x:v>1</x:v>
      </x:c>
      <x:c r="R584">
        <x:f t="shared" si="66"/>
        <x:v>1</x:v>
      </x:c>
      <x:c r="S584">
        <x:f t="shared" si="67"/>
        <x:v>3</x:v>
      </x:c>
      <x:c r="T584" t="str">
        <x:f t="shared" si="68"/>
        <x:v>DerivedFromCount</x:v>
      </x:c>
      <x:c r="U584" t="str">
        <x:f>IF(COUNTIF(DailyProduction!$Q$5:$Q$100,B584)=1,"OK","CHECK")</x:f>
        <x:v>OK</x:v>
      </x:c>
      <x:c r="V584" t="str">
        <x:f t="shared" si="69"/>
        <x:v>OK</x:v>
      </x:c>
      <x:c r="W584" t="str">
        <x:f>IF(SUMIF($B$5:$B$914,B584,$S$5:$S$914)=SUMIF(DailyProduction!$Q$5:$Q$100,B584,DailyProduction!$R$5:$R$100),"OK","CHECK")</x:f>
        <x:v>OK</x:v>
      </x:c>
      <x:c r="X584" t="str">
        <x:v>PLC-PRD-JAR-330-L24</x:v>
      </x:c>
      <x:c r="Y584" t="str">
        <x:v>OK</x:v>
      </x:c>
      <x:c r="Z584" t="str">
        <x:v>OK</x:v>
      </x:c>
      <x:c r="AA584" t="n">
        <x:v>3</x:v>
      </x:c>
      <x:c r="AB584" t="n">
        <x:v>3</x:v>
      </x:c>
      <x:c r="AC584" t="str">
        <x:v>OK</x:v>
      </x:c>
      <x:c r="AD584" t="str">
        <x:v>OK</x:v>
      </x:c>
      <x:c r="AE584" t="str">
        <x:v>LOAD</x:v>
      </x:c>
      <x:c r="AF584" t="str">
        <x:v>02_Supervisor_Log(4).xlsx</x:v>
      </x:c>
      <x:c r="AG584" t="str">
        <x:v>ENH-20260830-01</x:v>
      </x:c>
      <x:c r="AH584" t="str">
        <x:v>Active</x:v>
      </x:c>
      <x:c r="AI584"/>
      <x:c r="AJ584"/>
      <x:c r="AK584"/>
      <x:c r="AL584"/>
    </x:row>
    <x:row r="585">
      <x:c r="A585" t="s">
        <x:v>820</x:v>
      </x:c>
      <x:c r="B585" t="s">
        <x:v>151</x:v>
      </x:c>
      <x:c r="C585" t="s">
        <x:v>44</x:v>
      </x:c>
      <x:c r="D585">
        <x:v>45951</x:v>
      </x:c>
      <x:c r="E585" t="s">
        <x:v>45</x:v>
      </x:c>
      <x:c r="F585" t="s">
        <x:v>46</x:v>
      </x:c>
      <x:c r="G585">
        <x:v>24</x:v>
      </x:c>
      <x:c r="H585" t="s">
        <x:v>73</x:v>
      </x:c>
      <x:c r="I585">
        <x:v>9</x:v>
      </x:c>
      <x:c r="J585">
        <x:v>12</x:v>
      </x:c>
      <x:c r="K585">
        <x:v>3</x:v>
      </x:c>
      <x:c r="L585">
        <x:f t="shared" si="63"/>
        <x:v>1</x:v>
      </x:c>
      <x:c r="P585">
        <x:f t="shared" si="64"/>
        <x:v>1</x:v>
      </x:c>
      <x:c r="Q585">
        <x:f t="shared" si="65"/>
        <x:v>1</x:v>
      </x:c>
      <x:c r="R585">
        <x:f t="shared" si="66"/>
        <x:v>1</x:v>
      </x:c>
      <x:c r="S585">
        <x:f t="shared" si="67"/>
        <x:v>3</x:v>
      </x:c>
      <x:c r="T585" t="str">
        <x:f t="shared" si="68"/>
        <x:v>DerivedFromCount</x:v>
      </x:c>
      <x:c r="U585" t="str">
        <x:f>IF(COUNTIF(DailyProduction!$Q$5:$Q$100,B585)=1,"OK","CHECK")</x:f>
        <x:v>OK</x:v>
      </x:c>
      <x:c r="V585" t="str">
        <x:f t="shared" si="69"/>
        <x:v>OK</x:v>
      </x:c>
      <x:c r="W585" t="str">
        <x:f>IF(SUMIF($B$5:$B$914,B585,$S$5:$S$914)=SUMIF(DailyProduction!$Q$5:$Q$100,B585,DailyProduction!$R$5:$R$100),"OK","CHECK")</x:f>
        <x:v>OK</x:v>
      </x:c>
      <x:c r="X585" t="str">
        <x:v>PLC-PRD-JAR-330-L24</x:v>
      </x:c>
      <x:c r="Y585" t="str">
        <x:v>OK</x:v>
      </x:c>
      <x:c r="Z585" t="str">
        <x:v>OK</x:v>
      </x:c>
      <x:c r="AA585" t="n">
        <x:v>3</x:v>
      </x:c>
      <x:c r="AB585" t="n">
        <x:v>3</x:v>
      </x:c>
      <x:c r="AC585" t="str">
        <x:v>OK</x:v>
      </x:c>
      <x:c r="AD585" t="str">
        <x:v>OK</x:v>
      </x:c>
      <x:c r="AE585" t="str">
        <x:v>LOAD</x:v>
      </x:c>
      <x:c r="AF585" t="str">
        <x:v>02_Supervisor_Log(4).xlsx</x:v>
      </x:c>
      <x:c r="AG585" t="str">
        <x:v>ENH-20260830-01</x:v>
      </x:c>
      <x:c r="AH585" t="str">
        <x:v>Active</x:v>
      </x:c>
      <x:c r="AI585"/>
      <x:c r="AJ585"/>
      <x:c r="AK585"/>
      <x:c r="AL585"/>
    </x:row>
    <x:row r="586">
      <x:c r="A586" t="s">
        <x:v>821</x:v>
      </x:c>
      <x:c r="B586" t="s">
        <x:v>151</x:v>
      </x:c>
      <x:c r="C586" t="s">
        <x:v>44</x:v>
      </x:c>
      <x:c r="D586">
        <x:v>45951</x:v>
      </x:c>
      <x:c r="E586" t="s">
        <x:v>45</x:v>
      </x:c>
      <x:c r="F586" t="s">
        <x:v>46</x:v>
      </x:c>
      <x:c r="G586">
        <x:v>24</x:v>
      </x:c>
      <x:c r="H586" t="s">
        <x:v>73</x:v>
      </x:c>
      <x:c r="I586">
        <x:v>10</x:v>
      </x:c>
      <x:c r="J586">
        <x:v>12</x:v>
      </x:c>
      <x:c r="K586">
        <x:v>3</x:v>
      </x:c>
      <x:c r="L586">
        <x:f t="shared" si="63"/>
        <x:v>1</x:v>
      </x:c>
      <x:c r="P586">
        <x:f t="shared" si="64"/>
        <x:v>1</x:v>
      </x:c>
      <x:c r="Q586">
        <x:f t="shared" si="65"/>
        <x:v>1</x:v>
      </x:c>
      <x:c r="R586">
        <x:f t="shared" si="66"/>
        <x:v>1</x:v>
      </x:c>
      <x:c r="S586">
        <x:f t="shared" si="67"/>
        <x:v>3</x:v>
      </x:c>
      <x:c r="T586" t="str">
        <x:f t="shared" si="68"/>
        <x:v>DerivedFromCount</x:v>
      </x:c>
      <x:c r="U586" t="str">
        <x:f>IF(COUNTIF(DailyProduction!$Q$5:$Q$100,B586)=1,"OK","CHECK")</x:f>
        <x:v>OK</x:v>
      </x:c>
      <x:c r="V586" t="str">
        <x:f t="shared" si="69"/>
        <x:v>OK</x:v>
      </x:c>
      <x:c r="W586" t="str">
        <x:f>IF(SUMIF($B$5:$B$914,B586,$S$5:$S$914)=SUMIF(DailyProduction!$Q$5:$Q$100,B586,DailyProduction!$R$5:$R$100),"OK","CHECK")</x:f>
        <x:v>OK</x:v>
      </x:c>
      <x:c r="X586" t="str">
        <x:v>PLC-PRD-JAR-330-L24</x:v>
      </x:c>
      <x:c r="Y586" t="str">
        <x:v>OK</x:v>
      </x:c>
      <x:c r="Z586" t="str">
        <x:v>OK</x:v>
      </x:c>
      <x:c r="AA586" t="n">
        <x:v>3</x:v>
      </x:c>
      <x:c r="AB586" t="n">
        <x:v>3</x:v>
      </x:c>
      <x:c r="AC586" t="str">
        <x:v>OK</x:v>
      </x:c>
      <x:c r="AD586" t="str">
        <x:v>OK</x:v>
      </x:c>
      <x:c r="AE586" t="str">
        <x:v>LOAD</x:v>
      </x:c>
      <x:c r="AF586" t="str">
        <x:v>02_Supervisor_Log(4).xlsx</x:v>
      </x:c>
      <x:c r="AG586" t="str">
        <x:v>ENH-20260830-01</x:v>
      </x:c>
      <x:c r="AH586" t="str">
        <x:v>Active</x:v>
      </x:c>
      <x:c r="AI586"/>
      <x:c r="AJ586"/>
      <x:c r="AK586"/>
      <x:c r="AL586"/>
    </x:row>
    <x:row r="587">
      <x:c r="A587" t="s">
        <x:v>822</x:v>
      </x:c>
      <x:c r="B587" t="s">
        <x:v>151</x:v>
      </x:c>
      <x:c r="C587" t="s">
        <x:v>44</x:v>
      </x:c>
      <x:c r="D587">
        <x:v>45951</x:v>
      </x:c>
      <x:c r="E587" t="s">
        <x:v>45</x:v>
      </x:c>
      <x:c r="F587" t="s">
        <x:v>46</x:v>
      </x:c>
      <x:c r="G587">
        <x:v>24</x:v>
      </x:c>
      <x:c r="H587" t="s">
        <x:v>73</x:v>
      </x:c>
      <x:c r="I587">
        <x:v>11</x:v>
      </x:c>
      <x:c r="J587">
        <x:v>12</x:v>
      </x:c>
      <x:c r="K587">
        <x:v>3</x:v>
      </x:c>
      <x:c r="L587">
        <x:f t="shared" si="63"/>
        <x:v>1</x:v>
      </x:c>
      <x:c r="P587">
        <x:f t="shared" si="64"/>
        <x:v>1</x:v>
      </x:c>
      <x:c r="Q587">
        <x:f t="shared" si="65"/>
        <x:v>1</x:v>
      </x:c>
      <x:c r="R587">
        <x:f t="shared" si="66"/>
        <x:v>1</x:v>
      </x:c>
      <x:c r="S587">
        <x:f t="shared" si="67"/>
        <x:v>3</x:v>
      </x:c>
      <x:c r="T587" t="str">
        <x:f t="shared" si="68"/>
        <x:v>DerivedFromCount</x:v>
      </x:c>
      <x:c r="U587" t="str">
        <x:f>IF(COUNTIF(DailyProduction!$Q$5:$Q$100,B587)=1,"OK","CHECK")</x:f>
        <x:v>OK</x:v>
      </x:c>
      <x:c r="V587" t="str">
        <x:f t="shared" si="69"/>
        <x:v>OK</x:v>
      </x:c>
      <x:c r="W587" t="str">
        <x:f>IF(SUMIF($B$5:$B$914,B587,$S$5:$S$914)=SUMIF(DailyProduction!$Q$5:$Q$100,B587,DailyProduction!$R$5:$R$100),"OK","CHECK")</x:f>
        <x:v>OK</x:v>
      </x:c>
      <x:c r="X587" t="str">
        <x:v>PLC-PRD-JAR-330-L24</x:v>
      </x:c>
      <x:c r="Y587" t="str">
        <x:v>OK</x:v>
      </x:c>
      <x:c r="Z587" t="str">
        <x:v>OK</x:v>
      </x:c>
      <x:c r="AA587" t="n">
        <x:v>3</x:v>
      </x:c>
      <x:c r="AB587" t="n">
        <x:v>3</x:v>
      </x:c>
      <x:c r="AC587" t="str">
        <x:v>OK</x:v>
      </x:c>
      <x:c r="AD587" t="str">
        <x:v>OK</x:v>
      </x:c>
      <x:c r="AE587" t="str">
        <x:v>LOAD</x:v>
      </x:c>
      <x:c r="AF587" t="str">
        <x:v>02_Supervisor_Log(4).xlsx</x:v>
      </x:c>
      <x:c r="AG587" t="str">
        <x:v>ENH-20260830-01</x:v>
      </x:c>
      <x:c r="AH587" t="str">
        <x:v>Active</x:v>
      </x:c>
      <x:c r="AI587"/>
      <x:c r="AJ587"/>
      <x:c r="AK587"/>
      <x:c r="AL587"/>
    </x:row>
    <x:row r="588">
      <x:c r="A588" t="s">
        <x:v>823</x:v>
      </x:c>
      <x:c r="B588" t="s">
        <x:v>151</x:v>
      </x:c>
      <x:c r="C588" t="s">
        <x:v>44</x:v>
      </x:c>
      <x:c r="D588">
        <x:v>45951</x:v>
      </x:c>
      <x:c r="E588" t="s">
        <x:v>45</x:v>
      </x:c>
      <x:c r="F588" t="s">
        <x:v>46</x:v>
      </x:c>
      <x:c r="G588">
        <x:v>24</x:v>
      </x:c>
      <x:c r="H588" t="s">
        <x:v>73</x:v>
      </x:c>
      <x:c r="I588">
        <x:v>12</x:v>
      </x:c>
      <x:c r="J588">
        <x:v>12</x:v>
      </x:c>
      <x:c r="K588">
        <x:v>3</x:v>
      </x:c>
      <x:c r="L588">
        <x:f t="shared" si="63"/>
        <x:v>1</x:v>
      </x:c>
      <x:c r="P588">
        <x:f t="shared" si="64"/>
        <x:v>1</x:v>
      </x:c>
      <x:c r="Q588">
        <x:f t="shared" si="65"/>
        <x:v>1</x:v>
      </x:c>
      <x:c r="R588">
        <x:f t="shared" si="66"/>
        <x:v>1</x:v>
      </x:c>
      <x:c r="S588">
        <x:f t="shared" si="67"/>
        <x:v>3</x:v>
      </x:c>
      <x:c r="T588" t="str">
        <x:f t="shared" si="68"/>
        <x:v>DerivedFromCount</x:v>
      </x:c>
      <x:c r="U588" t="str">
        <x:f>IF(COUNTIF(DailyProduction!$Q$5:$Q$100,B588)=1,"OK","CHECK")</x:f>
        <x:v>OK</x:v>
      </x:c>
      <x:c r="V588" t="str">
        <x:f t="shared" si="69"/>
        <x:v>OK</x:v>
      </x:c>
      <x:c r="W588" t="str">
        <x:f>IF(SUMIF($B$5:$B$914,B588,$S$5:$S$914)=SUMIF(DailyProduction!$Q$5:$Q$100,B588,DailyProduction!$R$5:$R$100),"OK","CHECK")</x:f>
        <x:v>OK</x:v>
      </x:c>
      <x:c r="X588" t="str">
        <x:v>PLC-PRD-JAR-330-L24</x:v>
      </x:c>
      <x:c r="Y588" t="str">
        <x:v>OK</x:v>
      </x:c>
      <x:c r="Z588" t="str">
        <x:v>OK</x:v>
      </x:c>
      <x:c r="AA588" t="n">
        <x:v>3</x:v>
      </x:c>
      <x:c r="AB588" t="n">
        <x:v>3</x:v>
      </x:c>
      <x:c r="AC588" t="str">
        <x:v>OK</x:v>
      </x:c>
      <x:c r="AD588" t="str">
        <x:v>OK</x:v>
      </x:c>
      <x:c r="AE588" t="str">
        <x:v>LOAD</x:v>
      </x:c>
      <x:c r="AF588" t="str">
        <x:v>02_Supervisor_Log(4).xlsx</x:v>
      </x:c>
      <x:c r="AG588" t="str">
        <x:v>ENH-20260830-01</x:v>
      </x:c>
      <x:c r="AH588" t="str">
        <x:v>Active</x:v>
      </x:c>
      <x:c r="AI588"/>
      <x:c r="AJ588"/>
      <x:c r="AK588"/>
      <x:c r="AL588"/>
    </x:row>
    <x:row r="589">
      <x:c r="A589" t="s">
        <x:v>824</x:v>
      </x:c>
      <x:c r="B589" t="s">
        <x:v>151</x:v>
      </x:c>
      <x:c r="C589" t="s">
        <x:v>44</x:v>
      </x:c>
      <x:c r="D589">
        <x:v>45951</x:v>
      </x:c>
      <x:c r="E589" t="s">
        <x:v>45</x:v>
      </x:c>
      <x:c r="F589" t="s">
        <x:v>46</x:v>
      </x:c>
      <x:c r="G589">
        <x:v>24</x:v>
      </x:c>
      <x:c r="H589" t="s">
        <x:v>73</x:v>
      </x:c>
      <x:c r="I589">
        <x:v>13</x:v>
      </x:c>
      <x:c r="J589">
        <x:v>12</x:v>
      </x:c>
      <x:c r="K589">
        <x:v>3</x:v>
      </x:c>
      <x:c r="L589">
        <x:f t="shared" si="63"/>
        <x:v>0</x:v>
      </x:c>
      <x:c r="P589">
        <x:f t="shared" si="64"/>
        <x:v>0</x:v>
      </x:c>
      <x:c r="Q589">
        <x:f t="shared" si="65"/>
        <x:v>0</x:v>
      </x:c>
      <x:c r="R589">
        <x:f t="shared" si="66"/>
        <x:v>0</x:v>
      </x:c>
      <x:c r="S589">
        <x:f t="shared" si="67"/>
        <x:v>0</x:v>
      </x:c>
      <x:c r="T589" t="str">
        <x:f t="shared" si="68"/>
        <x:v>DerivedFromCount</x:v>
      </x:c>
      <x:c r="U589" t="str">
        <x:f>IF(COUNTIF(DailyProduction!$Q$5:$Q$100,B589)=1,"OK","CHECK")</x:f>
        <x:v>OK</x:v>
      </x:c>
      <x:c r="V589" t="str">
        <x:f t="shared" si="69"/>
        <x:v>OK</x:v>
      </x:c>
      <x:c r="W589" t="str">
        <x:f>IF(SUMIF($B$5:$B$914,B589,$S$5:$S$914)=SUMIF(DailyProduction!$Q$5:$Q$100,B589,DailyProduction!$R$5:$R$100),"OK","CHECK")</x:f>
        <x:v>OK</x:v>
      </x:c>
      <x:c r="X589" t="str">
        <x:v>PLC-PRD-JAR-330-L24</x:v>
      </x:c>
      <x:c r="Y589" t="str">
        <x:v>OK</x:v>
      </x:c>
      <x:c r="Z589" t="str">
        <x:v>OK</x:v>
      </x:c>
      <x:c r="AA589" t="n">
        <x:v>3</x:v>
      </x:c>
      <x:c r="AB589" t="n">
        <x:v>0</x:v>
      </x:c>
      <x:c r="AC589" t="str">
        <x:v>OK</x:v>
      </x:c>
      <x:c r="AD589" t="str">
        <x:v>OK</x:v>
      </x:c>
      <x:c r="AE589" t="str">
        <x:v>LOAD</x:v>
      </x:c>
      <x:c r="AF589" t="str">
        <x:v>02_Supervisor_Log(4).xlsx</x:v>
      </x:c>
      <x:c r="AG589" t="str">
        <x:v>ENH-20260830-01</x:v>
      </x:c>
      <x:c r="AH589" t="str">
        <x:v>Active</x:v>
      </x:c>
      <x:c r="AI589"/>
      <x:c r="AJ589"/>
      <x:c r="AK589"/>
      <x:c r="AL589"/>
    </x:row>
    <x:row r="590">
      <x:c r="A590" t="s">
        <x:v>825</x:v>
      </x:c>
      <x:c r="B590" t="s">
        <x:v>826</x:v>
      </x:c>
      <x:c r="C590" t="s">
        <x:v>44</x:v>
      </x:c>
      <x:c r="D590">
        <x:v>45951</x:v>
      </x:c>
      <x:c r="E590" t="s">
        <x:v>187</x:v>
      </x:c>
      <x:c r="F590" t="s">
        <x:v>51</x:v>
      </x:c>
      <x:c r="G590">
        <x:v>24</x:v>
      </x:c>
      <x:c r="H590" t="s">
        <x:v>73</x:v>
      </x:c>
      <x:c r="I590">
        <x:v>1</x:v>
      </x:c>
      <x:c r="J590">
        <x:v>12</x:v>
      </x:c>
      <x:c r="K590">
        <x:v>3</x:v>
      </x:c>
      <x:c r="L590">
        <x:f t="shared" si="63"/>
        <x:v>1</x:v>
      </x:c>
      <x:c r="P590">
        <x:f t="shared" si="64"/>
        <x:v>1</x:v>
      </x:c>
      <x:c r="Q590">
        <x:f t="shared" si="65"/>
        <x:v>1</x:v>
      </x:c>
      <x:c r="R590">
        <x:f t="shared" si="66"/>
        <x:v>1</x:v>
      </x:c>
      <x:c r="S590">
        <x:f t="shared" si="67"/>
        <x:v>3</x:v>
      </x:c>
      <x:c r="T590" t="str">
        <x:f t="shared" si="68"/>
        <x:v>DerivedFromCount</x:v>
      </x:c>
      <x:c r="U590" t="str">
        <x:f>IF(COUNTIF(DailyProduction!$Q$5:$Q$100,B590)=1,"OK","CHECK")</x:f>
        <x:v>OK</x:v>
      </x:c>
      <x:c r="V590" t="str">
        <x:f t="shared" si="69"/>
        <x:v>OK</x:v>
      </x:c>
      <x:c r="W590" t="str">
        <x:f>IF(SUMIF($B$5:$B$914,B590,$S$5:$S$914)=SUMIF(DailyProduction!$Q$5:$Q$100,B590,DailyProduction!$R$5:$R$100),"OK","CHECK")</x:f>
        <x:v>OK</x:v>
      </x:c>
      <x:c r="X590" t="str">
        <x:v>PLC-PRD-JAR-330-L24</x:v>
      </x:c>
      <x:c r="Y590" t="str">
        <x:v>OK</x:v>
      </x:c>
      <x:c r="Z590" t="str">
        <x:v>OK</x:v>
      </x:c>
      <x:c r="AA590" t="n">
        <x:v>3</x:v>
      </x:c>
      <x:c r="AB590" t="n">
        <x:v>3</x:v>
      </x:c>
      <x:c r="AC590" t="str">
        <x:v>OK</x:v>
      </x:c>
      <x:c r="AD590" t="str">
        <x:v>OK</x:v>
      </x:c>
      <x:c r="AE590" t="str">
        <x:v>LOAD</x:v>
      </x:c>
      <x:c r="AF590" t="str">
        <x:v>02_Supervisor_Log(4).xlsx</x:v>
      </x:c>
      <x:c r="AG590" t="str">
        <x:v>ENH-20260830-01</x:v>
      </x:c>
      <x:c r="AH590" t="str">
        <x:v>Active</x:v>
      </x:c>
      <x:c r="AI590"/>
      <x:c r="AJ590"/>
      <x:c r="AK590"/>
      <x:c r="AL590"/>
    </x:row>
    <x:row r="591">
      <x:c r="A591" t="s">
        <x:v>827</x:v>
      </x:c>
      <x:c r="B591" t="s">
        <x:v>826</x:v>
      </x:c>
      <x:c r="C591" t="s">
        <x:v>44</x:v>
      </x:c>
      <x:c r="D591">
        <x:v>45951</x:v>
      </x:c>
      <x:c r="E591" t="s">
        <x:v>187</x:v>
      </x:c>
      <x:c r="F591" t="s">
        <x:v>51</x:v>
      </x:c>
      <x:c r="G591">
        <x:v>24</x:v>
      </x:c>
      <x:c r="H591" t="s">
        <x:v>73</x:v>
      </x:c>
      <x:c r="I591">
        <x:v>2</x:v>
      </x:c>
      <x:c r="J591">
        <x:v>12</x:v>
      </x:c>
      <x:c r="K591">
        <x:v>3</x:v>
      </x:c>
      <x:c r="L591">
        <x:f t="shared" si="63"/>
        <x:v>1</x:v>
      </x:c>
      <x:c r="P591">
        <x:f t="shared" si="64"/>
        <x:v>1</x:v>
      </x:c>
      <x:c r="Q591">
        <x:f t="shared" si="65"/>
        <x:v>1</x:v>
      </x:c>
      <x:c r="R591">
        <x:f t="shared" si="66"/>
        <x:v>1</x:v>
      </x:c>
      <x:c r="S591">
        <x:f t="shared" si="67"/>
        <x:v>3</x:v>
      </x:c>
      <x:c r="T591" t="str">
        <x:f t="shared" si="68"/>
        <x:v>DerivedFromCount</x:v>
      </x:c>
      <x:c r="U591" t="str">
        <x:f>IF(COUNTIF(DailyProduction!$Q$5:$Q$100,B591)=1,"OK","CHECK")</x:f>
        <x:v>OK</x:v>
      </x:c>
      <x:c r="V591" t="str">
        <x:f t="shared" si="69"/>
        <x:v>OK</x:v>
      </x:c>
      <x:c r="W591" t="str">
        <x:f>IF(SUMIF($B$5:$B$914,B591,$S$5:$S$914)=SUMIF(DailyProduction!$Q$5:$Q$100,B591,DailyProduction!$R$5:$R$100),"OK","CHECK")</x:f>
        <x:v>OK</x:v>
      </x:c>
      <x:c r="X591" t="str">
        <x:v>PLC-PRD-JAR-330-L24</x:v>
      </x:c>
      <x:c r="Y591" t="str">
        <x:v>OK</x:v>
      </x:c>
      <x:c r="Z591" t="str">
        <x:v>OK</x:v>
      </x:c>
      <x:c r="AA591" t="n">
        <x:v>3</x:v>
      </x:c>
      <x:c r="AB591" t="n">
        <x:v>3</x:v>
      </x:c>
      <x:c r="AC591" t="str">
        <x:v>OK</x:v>
      </x:c>
      <x:c r="AD591" t="str">
        <x:v>OK</x:v>
      </x:c>
      <x:c r="AE591" t="str">
        <x:v>LOAD</x:v>
      </x:c>
      <x:c r="AF591" t="str">
        <x:v>02_Supervisor_Log(4).xlsx</x:v>
      </x:c>
      <x:c r="AG591" t="str">
        <x:v>ENH-20260830-01</x:v>
      </x:c>
      <x:c r="AH591" t="str">
        <x:v>Active</x:v>
      </x:c>
      <x:c r="AI591"/>
      <x:c r="AJ591"/>
      <x:c r="AK591"/>
      <x:c r="AL591"/>
    </x:row>
    <x:row r="592">
      <x:c r="A592" t="s">
        <x:v>828</x:v>
      </x:c>
      <x:c r="B592" t="s">
        <x:v>826</x:v>
      </x:c>
      <x:c r="C592" t="s">
        <x:v>44</x:v>
      </x:c>
      <x:c r="D592">
        <x:v>45951</x:v>
      </x:c>
      <x:c r="E592" t="s">
        <x:v>187</x:v>
      </x:c>
      <x:c r="F592" t="s">
        <x:v>51</x:v>
      </x:c>
      <x:c r="G592">
        <x:v>24</x:v>
      </x:c>
      <x:c r="H592" t="s">
        <x:v>73</x:v>
      </x:c>
      <x:c r="I592">
        <x:v>3</x:v>
      </x:c>
      <x:c r="J592">
        <x:v>12</x:v>
      </x:c>
      <x:c r="K592">
        <x:v>3</x:v>
      </x:c>
      <x:c r="L592">
        <x:f t="shared" si="63"/>
        <x:v>1</x:v>
      </x:c>
      <x:c r="P592">
        <x:f t="shared" si="64"/>
        <x:v>1</x:v>
      </x:c>
      <x:c r="Q592">
        <x:f t="shared" si="65"/>
        <x:v>1</x:v>
      </x:c>
      <x:c r="R592">
        <x:f t="shared" si="66"/>
        <x:v>1</x:v>
      </x:c>
      <x:c r="S592">
        <x:f t="shared" si="67"/>
        <x:v>3</x:v>
      </x:c>
      <x:c r="T592" t="str">
        <x:f t="shared" si="68"/>
        <x:v>DerivedFromCount</x:v>
      </x:c>
      <x:c r="U592" t="str">
        <x:f>IF(COUNTIF(DailyProduction!$Q$5:$Q$100,B592)=1,"OK","CHECK")</x:f>
        <x:v>OK</x:v>
      </x:c>
      <x:c r="V592" t="str">
        <x:f t="shared" si="69"/>
        <x:v>OK</x:v>
      </x:c>
      <x:c r="W592" t="str">
        <x:f>IF(SUMIF($B$5:$B$914,B592,$S$5:$S$914)=SUMIF(DailyProduction!$Q$5:$Q$100,B592,DailyProduction!$R$5:$R$100),"OK","CHECK")</x:f>
        <x:v>OK</x:v>
      </x:c>
      <x:c r="X592" t="str">
        <x:v>PLC-PRD-JAR-330-L24</x:v>
      </x:c>
      <x:c r="Y592" t="str">
        <x:v>OK</x:v>
      </x:c>
      <x:c r="Z592" t="str">
        <x:v>OK</x:v>
      </x:c>
      <x:c r="AA592" t="n">
        <x:v>3</x:v>
      </x:c>
      <x:c r="AB592" t="n">
        <x:v>3</x:v>
      </x:c>
      <x:c r="AC592" t="str">
        <x:v>OK</x:v>
      </x:c>
      <x:c r="AD592" t="str">
        <x:v>OK</x:v>
      </x:c>
      <x:c r="AE592" t="str">
        <x:v>LOAD</x:v>
      </x:c>
      <x:c r="AF592" t="str">
        <x:v>02_Supervisor_Log(4).xlsx</x:v>
      </x:c>
      <x:c r="AG592" t="str">
        <x:v>ENH-20260830-01</x:v>
      </x:c>
      <x:c r="AH592" t="str">
        <x:v>Active</x:v>
      </x:c>
      <x:c r="AI592"/>
      <x:c r="AJ592"/>
      <x:c r="AK592"/>
      <x:c r="AL592"/>
    </x:row>
    <x:row r="593">
      <x:c r="A593" t="s">
        <x:v>829</x:v>
      </x:c>
      <x:c r="B593" t="s">
        <x:v>826</x:v>
      </x:c>
      <x:c r="C593" t="s">
        <x:v>44</x:v>
      </x:c>
      <x:c r="D593">
        <x:v>45951</x:v>
      </x:c>
      <x:c r="E593" t="s">
        <x:v>187</x:v>
      </x:c>
      <x:c r="F593" t="s">
        <x:v>51</x:v>
      </x:c>
      <x:c r="G593">
        <x:v>24</x:v>
      </x:c>
      <x:c r="H593" t="s">
        <x:v>73</x:v>
      </x:c>
      <x:c r="I593">
        <x:v>4</x:v>
      </x:c>
      <x:c r="J593">
        <x:v>12</x:v>
      </x:c>
      <x:c r="K593">
        <x:v>3</x:v>
      </x:c>
      <x:c r="L593">
        <x:f t="shared" si="63"/>
        <x:v>1</x:v>
      </x:c>
      <x:c r="P593">
        <x:f t="shared" si="64"/>
        <x:v>1</x:v>
      </x:c>
      <x:c r="Q593">
        <x:f t="shared" si="65"/>
        <x:v>1</x:v>
      </x:c>
      <x:c r="R593">
        <x:f t="shared" si="66"/>
        <x:v>1</x:v>
      </x:c>
      <x:c r="S593">
        <x:f t="shared" si="67"/>
        <x:v>3</x:v>
      </x:c>
      <x:c r="T593" t="str">
        <x:f t="shared" si="68"/>
        <x:v>DerivedFromCount</x:v>
      </x:c>
      <x:c r="U593" t="str">
        <x:f>IF(COUNTIF(DailyProduction!$Q$5:$Q$100,B593)=1,"OK","CHECK")</x:f>
        <x:v>OK</x:v>
      </x:c>
      <x:c r="V593" t="str">
        <x:f t="shared" si="69"/>
        <x:v>OK</x:v>
      </x:c>
      <x:c r="W593" t="str">
        <x:f>IF(SUMIF($B$5:$B$914,B593,$S$5:$S$914)=SUMIF(DailyProduction!$Q$5:$Q$100,B593,DailyProduction!$R$5:$R$100),"OK","CHECK")</x:f>
        <x:v>OK</x:v>
      </x:c>
      <x:c r="X593" t="str">
        <x:v>PLC-PRD-JAR-330-L24</x:v>
      </x:c>
      <x:c r="Y593" t="str">
        <x:v>OK</x:v>
      </x:c>
      <x:c r="Z593" t="str">
        <x:v>OK</x:v>
      </x:c>
      <x:c r="AA593" t="n">
        <x:v>3</x:v>
      </x:c>
      <x:c r="AB593" t="n">
        <x:v>3</x:v>
      </x:c>
      <x:c r="AC593" t="str">
        <x:v>OK</x:v>
      </x:c>
      <x:c r="AD593" t="str">
        <x:v>OK</x:v>
      </x:c>
      <x:c r="AE593" t="str">
        <x:v>LOAD</x:v>
      </x:c>
      <x:c r="AF593" t="str">
        <x:v>02_Supervisor_Log(4).xlsx</x:v>
      </x:c>
      <x:c r="AG593" t="str">
        <x:v>ENH-20260830-01</x:v>
      </x:c>
      <x:c r="AH593" t="str">
        <x:v>Active</x:v>
      </x:c>
      <x:c r="AI593"/>
      <x:c r="AJ593"/>
      <x:c r="AK593"/>
      <x:c r="AL593"/>
    </x:row>
    <x:row r="594">
      <x:c r="A594" t="s">
        <x:v>830</x:v>
      </x:c>
      <x:c r="B594" t="s">
        <x:v>826</x:v>
      </x:c>
      <x:c r="C594" t="s">
        <x:v>44</x:v>
      </x:c>
      <x:c r="D594">
        <x:v>45951</x:v>
      </x:c>
      <x:c r="E594" t="s">
        <x:v>187</x:v>
      </x:c>
      <x:c r="F594" t="s">
        <x:v>51</x:v>
      </x:c>
      <x:c r="G594">
        <x:v>24</x:v>
      </x:c>
      <x:c r="H594" t="s">
        <x:v>73</x:v>
      </x:c>
      <x:c r="I594">
        <x:v>5</x:v>
      </x:c>
      <x:c r="J594">
        <x:v>12</x:v>
      </x:c>
      <x:c r="K594">
        <x:v>3</x:v>
      </x:c>
      <x:c r="L594">
        <x:f t="shared" si="63"/>
        <x:v>1</x:v>
      </x:c>
      <x:c r="P594">
        <x:f t="shared" si="64"/>
        <x:v>1</x:v>
      </x:c>
      <x:c r="Q594">
        <x:f t="shared" si="65"/>
        <x:v>1</x:v>
      </x:c>
      <x:c r="R594">
        <x:f t="shared" si="66"/>
        <x:v>1</x:v>
      </x:c>
      <x:c r="S594">
        <x:f t="shared" si="67"/>
        <x:v>3</x:v>
      </x:c>
      <x:c r="T594" t="str">
        <x:f t="shared" si="68"/>
        <x:v>DerivedFromCount</x:v>
      </x:c>
      <x:c r="U594" t="str">
        <x:f>IF(COUNTIF(DailyProduction!$Q$5:$Q$100,B594)=1,"OK","CHECK")</x:f>
        <x:v>OK</x:v>
      </x:c>
      <x:c r="V594" t="str">
        <x:f t="shared" si="69"/>
        <x:v>OK</x:v>
      </x:c>
      <x:c r="W594" t="str">
        <x:f>IF(SUMIF($B$5:$B$914,B594,$S$5:$S$914)=SUMIF(DailyProduction!$Q$5:$Q$100,B594,DailyProduction!$R$5:$R$100),"OK","CHECK")</x:f>
        <x:v>OK</x:v>
      </x:c>
      <x:c r="X594" t="str">
        <x:v>PLC-PRD-JAR-330-L24</x:v>
      </x:c>
      <x:c r="Y594" t="str">
        <x:v>OK</x:v>
      </x:c>
      <x:c r="Z594" t="str">
        <x:v>OK</x:v>
      </x:c>
      <x:c r="AA594" t="n">
        <x:v>3</x:v>
      </x:c>
      <x:c r="AB594" t="n">
        <x:v>3</x:v>
      </x:c>
      <x:c r="AC594" t="str">
        <x:v>OK</x:v>
      </x:c>
      <x:c r="AD594" t="str">
        <x:v>OK</x:v>
      </x:c>
      <x:c r="AE594" t="str">
        <x:v>LOAD</x:v>
      </x:c>
      <x:c r="AF594" t="str">
        <x:v>02_Supervisor_Log(4).xlsx</x:v>
      </x:c>
      <x:c r="AG594" t="str">
        <x:v>ENH-20260830-01</x:v>
      </x:c>
      <x:c r="AH594" t="str">
        <x:v>Active</x:v>
      </x:c>
      <x:c r="AI594"/>
      <x:c r="AJ594"/>
      <x:c r="AK594"/>
      <x:c r="AL594"/>
    </x:row>
    <x:row r="595">
      <x:c r="A595" t="s">
        <x:v>831</x:v>
      </x:c>
      <x:c r="B595" t="s">
        <x:v>826</x:v>
      </x:c>
      <x:c r="C595" t="s">
        <x:v>44</x:v>
      </x:c>
      <x:c r="D595">
        <x:v>45951</x:v>
      </x:c>
      <x:c r="E595" t="s">
        <x:v>187</x:v>
      </x:c>
      <x:c r="F595" t="s">
        <x:v>51</x:v>
      </x:c>
      <x:c r="G595">
        <x:v>24</x:v>
      </x:c>
      <x:c r="H595" t="s">
        <x:v>73</x:v>
      </x:c>
      <x:c r="I595">
        <x:v>6</x:v>
      </x:c>
      <x:c r="J595">
        <x:v>12</x:v>
      </x:c>
      <x:c r="K595">
        <x:v>3</x:v>
      </x:c>
      <x:c r="L595">
        <x:f t="shared" si="63"/>
        <x:v>1</x:v>
      </x:c>
      <x:c r="P595">
        <x:f t="shared" si="64"/>
        <x:v>1</x:v>
      </x:c>
      <x:c r="Q595">
        <x:f t="shared" si="65"/>
        <x:v>1</x:v>
      </x:c>
      <x:c r="R595">
        <x:f t="shared" si="66"/>
        <x:v>1</x:v>
      </x:c>
      <x:c r="S595">
        <x:f t="shared" si="67"/>
        <x:v>3</x:v>
      </x:c>
      <x:c r="T595" t="str">
        <x:f t="shared" si="68"/>
        <x:v>DerivedFromCount</x:v>
      </x:c>
      <x:c r="U595" t="str">
        <x:f>IF(COUNTIF(DailyProduction!$Q$5:$Q$100,B595)=1,"OK","CHECK")</x:f>
        <x:v>OK</x:v>
      </x:c>
      <x:c r="V595" t="str">
        <x:f t="shared" si="69"/>
        <x:v>OK</x:v>
      </x:c>
      <x:c r="W595" t="str">
        <x:f>IF(SUMIF($B$5:$B$914,B595,$S$5:$S$914)=SUMIF(DailyProduction!$Q$5:$Q$100,B595,DailyProduction!$R$5:$R$100),"OK","CHECK")</x:f>
        <x:v>OK</x:v>
      </x:c>
      <x:c r="X595" t="str">
        <x:v>PLC-PRD-JAR-330-L24</x:v>
      </x:c>
      <x:c r="Y595" t="str">
        <x:v>OK</x:v>
      </x:c>
      <x:c r="Z595" t="str">
        <x:v>OK</x:v>
      </x:c>
      <x:c r="AA595" t="n">
        <x:v>3</x:v>
      </x:c>
      <x:c r="AB595" t="n">
        <x:v>3</x:v>
      </x:c>
      <x:c r="AC595" t="str">
        <x:v>OK</x:v>
      </x:c>
      <x:c r="AD595" t="str">
        <x:v>OK</x:v>
      </x:c>
      <x:c r="AE595" t="str">
        <x:v>LOAD</x:v>
      </x:c>
      <x:c r="AF595" t="str">
        <x:v>02_Supervisor_Log(4).xlsx</x:v>
      </x:c>
      <x:c r="AG595" t="str">
        <x:v>ENH-20260830-01</x:v>
      </x:c>
      <x:c r="AH595" t="str">
        <x:v>Active</x:v>
      </x:c>
      <x:c r="AI595"/>
      <x:c r="AJ595"/>
      <x:c r="AK595"/>
      <x:c r="AL595"/>
    </x:row>
    <x:row r="596">
      <x:c r="A596" t="s">
        <x:v>832</x:v>
      </x:c>
      <x:c r="B596" t="s">
        <x:v>826</x:v>
      </x:c>
      <x:c r="C596" t="s">
        <x:v>44</x:v>
      </x:c>
      <x:c r="D596">
        <x:v>45951</x:v>
      </x:c>
      <x:c r="E596" t="s">
        <x:v>187</x:v>
      </x:c>
      <x:c r="F596" t="s">
        <x:v>51</x:v>
      </x:c>
      <x:c r="G596">
        <x:v>24</x:v>
      </x:c>
      <x:c r="H596" t="s">
        <x:v>73</x:v>
      </x:c>
      <x:c r="I596">
        <x:v>7</x:v>
      </x:c>
      <x:c r="J596">
        <x:v>12</x:v>
      </x:c>
      <x:c r="K596">
        <x:v>3</x:v>
      </x:c>
      <x:c r="L596">
        <x:f t="shared" si="63"/>
        <x:v>1</x:v>
      </x:c>
      <x:c r="P596">
        <x:f t="shared" si="64"/>
        <x:v>1</x:v>
      </x:c>
      <x:c r="Q596">
        <x:f t="shared" si="65"/>
        <x:v>1</x:v>
      </x:c>
      <x:c r="R596">
        <x:f t="shared" si="66"/>
        <x:v>1</x:v>
      </x:c>
      <x:c r="S596">
        <x:f t="shared" si="67"/>
        <x:v>3</x:v>
      </x:c>
      <x:c r="T596" t="str">
        <x:f t="shared" si="68"/>
        <x:v>DerivedFromCount</x:v>
      </x:c>
      <x:c r="U596" t="str">
        <x:f>IF(COUNTIF(DailyProduction!$Q$5:$Q$100,B596)=1,"OK","CHECK")</x:f>
        <x:v>OK</x:v>
      </x:c>
      <x:c r="V596" t="str">
        <x:f t="shared" si="69"/>
        <x:v>OK</x:v>
      </x:c>
      <x:c r="W596" t="str">
        <x:f>IF(SUMIF($B$5:$B$914,B596,$S$5:$S$914)=SUMIF(DailyProduction!$Q$5:$Q$100,B596,DailyProduction!$R$5:$R$100),"OK","CHECK")</x:f>
        <x:v>OK</x:v>
      </x:c>
      <x:c r="X596" t="str">
        <x:v>PLC-PRD-JAR-330-L24</x:v>
      </x:c>
      <x:c r="Y596" t="str">
        <x:v>OK</x:v>
      </x:c>
      <x:c r="Z596" t="str">
        <x:v>OK</x:v>
      </x:c>
      <x:c r="AA596" t="n">
        <x:v>3</x:v>
      </x:c>
      <x:c r="AB596" t="n">
        <x:v>3</x:v>
      </x:c>
      <x:c r="AC596" t="str">
        <x:v>OK</x:v>
      </x:c>
      <x:c r="AD596" t="str">
        <x:v>OK</x:v>
      </x:c>
      <x:c r="AE596" t="str">
        <x:v>LOAD</x:v>
      </x:c>
      <x:c r="AF596" t="str">
        <x:v>02_Supervisor_Log(4).xlsx</x:v>
      </x:c>
      <x:c r="AG596" t="str">
        <x:v>ENH-20260830-01</x:v>
      </x:c>
      <x:c r="AH596" t="str">
        <x:v>Active</x:v>
      </x:c>
      <x:c r="AI596"/>
      <x:c r="AJ596"/>
      <x:c r="AK596"/>
      <x:c r="AL596"/>
    </x:row>
    <x:row r="597">
      <x:c r="A597" t="s">
        <x:v>833</x:v>
      </x:c>
      <x:c r="B597" t="s">
        <x:v>826</x:v>
      </x:c>
      <x:c r="C597" t="s">
        <x:v>44</x:v>
      </x:c>
      <x:c r="D597">
        <x:v>45951</x:v>
      </x:c>
      <x:c r="E597" t="s">
        <x:v>187</x:v>
      </x:c>
      <x:c r="F597" t="s">
        <x:v>51</x:v>
      </x:c>
      <x:c r="G597">
        <x:v>24</x:v>
      </x:c>
      <x:c r="H597" t="s">
        <x:v>73</x:v>
      </x:c>
      <x:c r="I597">
        <x:v>8</x:v>
      </x:c>
      <x:c r="J597">
        <x:v>12</x:v>
      </x:c>
      <x:c r="K597">
        <x:v>3</x:v>
      </x:c>
      <x:c r="L597">
        <x:f t="shared" si="63"/>
        <x:v>1</x:v>
      </x:c>
      <x:c r="P597">
        <x:f t="shared" si="64"/>
        <x:v>1</x:v>
      </x:c>
      <x:c r="Q597">
        <x:f t="shared" si="65"/>
        <x:v>1</x:v>
      </x:c>
      <x:c r="R597">
        <x:f t="shared" si="66"/>
        <x:v>1</x:v>
      </x:c>
      <x:c r="S597">
        <x:f t="shared" si="67"/>
        <x:v>3</x:v>
      </x:c>
      <x:c r="T597" t="str">
        <x:f t="shared" si="68"/>
        <x:v>DerivedFromCount</x:v>
      </x:c>
      <x:c r="U597" t="str">
        <x:f>IF(COUNTIF(DailyProduction!$Q$5:$Q$100,B597)=1,"OK","CHECK")</x:f>
        <x:v>OK</x:v>
      </x:c>
      <x:c r="V597" t="str">
        <x:f t="shared" si="69"/>
        <x:v>OK</x:v>
      </x:c>
      <x:c r="W597" t="str">
        <x:f>IF(SUMIF($B$5:$B$914,B597,$S$5:$S$914)=SUMIF(DailyProduction!$Q$5:$Q$100,B597,DailyProduction!$R$5:$R$100),"OK","CHECK")</x:f>
        <x:v>OK</x:v>
      </x:c>
      <x:c r="X597" t="str">
        <x:v>PLC-PRD-JAR-330-L24</x:v>
      </x:c>
      <x:c r="Y597" t="str">
        <x:v>OK</x:v>
      </x:c>
      <x:c r="Z597" t="str">
        <x:v>OK</x:v>
      </x:c>
      <x:c r="AA597" t="n">
        <x:v>3</x:v>
      </x:c>
      <x:c r="AB597" t="n">
        <x:v>3</x:v>
      </x:c>
      <x:c r="AC597" t="str">
        <x:v>OK</x:v>
      </x:c>
      <x:c r="AD597" t="str">
        <x:v>OK</x:v>
      </x:c>
      <x:c r="AE597" t="str">
        <x:v>LOAD</x:v>
      </x:c>
      <x:c r="AF597" t="str">
        <x:v>02_Supervisor_Log(4).xlsx</x:v>
      </x:c>
      <x:c r="AG597" t="str">
        <x:v>ENH-20260830-01</x:v>
      </x:c>
      <x:c r="AH597" t="str">
        <x:v>Active</x:v>
      </x:c>
      <x:c r="AI597"/>
      <x:c r="AJ597"/>
      <x:c r="AK597"/>
      <x:c r="AL597"/>
    </x:row>
    <x:row r="598">
      <x:c r="A598" t="s">
        <x:v>834</x:v>
      </x:c>
      <x:c r="B598" t="s">
        <x:v>826</x:v>
      </x:c>
      <x:c r="C598" t="s">
        <x:v>44</x:v>
      </x:c>
      <x:c r="D598">
        <x:v>45951</x:v>
      </x:c>
      <x:c r="E598" t="s">
        <x:v>187</x:v>
      </x:c>
      <x:c r="F598" t="s">
        <x:v>51</x:v>
      </x:c>
      <x:c r="G598">
        <x:v>24</x:v>
      </x:c>
      <x:c r="H598" t="s">
        <x:v>73</x:v>
      </x:c>
      <x:c r="I598">
        <x:v>9</x:v>
      </x:c>
      <x:c r="J598">
        <x:v>12</x:v>
      </x:c>
      <x:c r="K598">
        <x:v>3</x:v>
      </x:c>
      <x:c r="L598">
        <x:f t="shared" si="63"/>
        <x:v>1</x:v>
      </x:c>
      <x:c r="P598">
        <x:f t="shared" si="64"/>
        <x:v>1</x:v>
      </x:c>
      <x:c r="Q598">
        <x:f t="shared" si="65"/>
        <x:v>1</x:v>
      </x:c>
      <x:c r="R598">
        <x:f t="shared" si="66"/>
        <x:v>1</x:v>
      </x:c>
      <x:c r="S598">
        <x:f t="shared" si="67"/>
        <x:v>3</x:v>
      </x:c>
      <x:c r="T598" t="str">
        <x:f t="shared" si="68"/>
        <x:v>DerivedFromCount</x:v>
      </x:c>
      <x:c r="U598" t="str">
        <x:f>IF(COUNTIF(DailyProduction!$Q$5:$Q$100,B598)=1,"OK","CHECK")</x:f>
        <x:v>OK</x:v>
      </x:c>
      <x:c r="V598" t="str">
        <x:f t="shared" si="69"/>
        <x:v>OK</x:v>
      </x:c>
      <x:c r="W598" t="str">
        <x:f>IF(SUMIF($B$5:$B$914,B598,$S$5:$S$914)=SUMIF(DailyProduction!$Q$5:$Q$100,B598,DailyProduction!$R$5:$R$100),"OK","CHECK")</x:f>
        <x:v>OK</x:v>
      </x:c>
      <x:c r="X598" t="str">
        <x:v>PLC-PRD-JAR-330-L24</x:v>
      </x:c>
      <x:c r="Y598" t="str">
        <x:v>OK</x:v>
      </x:c>
      <x:c r="Z598" t="str">
        <x:v>OK</x:v>
      </x:c>
      <x:c r="AA598" t="n">
        <x:v>3</x:v>
      </x:c>
      <x:c r="AB598" t="n">
        <x:v>3</x:v>
      </x:c>
      <x:c r="AC598" t="str">
        <x:v>OK</x:v>
      </x:c>
      <x:c r="AD598" t="str">
        <x:v>OK</x:v>
      </x:c>
      <x:c r="AE598" t="str">
        <x:v>LOAD</x:v>
      </x:c>
      <x:c r="AF598" t="str">
        <x:v>02_Supervisor_Log(4).xlsx</x:v>
      </x:c>
      <x:c r="AG598" t="str">
        <x:v>ENH-20260830-01</x:v>
      </x:c>
      <x:c r="AH598" t="str">
        <x:v>Active</x:v>
      </x:c>
      <x:c r="AI598"/>
      <x:c r="AJ598"/>
      <x:c r="AK598"/>
      <x:c r="AL598"/>
    </x:row>
    <x:row r="599">
      <x:c r="A599" t="s">
        <x:v>835</x:v>
      </x:c>
      <x:c r="B599" t="s">
        <x:v>826</x:v>
      </x:c>
      <x:c r="C599" t="s">
        <x:v>44</x:v>
      </x:c>
      <x:c r="D599">
        <x:v>45951</x:v>
      </x:c>
      <x:c r="E599" t="s">
        <x:v>187</x:v>
      </x:c>
      <x:c r="F599" t="s">
        <x:v>51</x:v>
      </x:c>
      <x:c r="G599">
        <x:v>24</x:v>
      </x:c>
      <x:c r="H599" t="s">
        <x:v>73</x:v>
      </x:c>
      <x:c r="I599">
        <x:v>10</x:v>
      </x:c>
      <x:c r="J599">
        <x:v>12</x:v>
      </x:c>
      <x:c r="K599">
        <x:v>3</x:v>
      </x:c>
      <x:c r="L599">
        <x:f t="shared" si="63"/>
        <x:v>1</x:v>
      </x:c>
      <x:c r="P599">
        <x:f t="shared" si="64"/>
        <x:v>1</x:v>
      </x:c>
      <x:c r="Q599">
        <x:f t="shared" si="65"/>
        <x:v>1</x:v>
      </x:c>
      <x:c r="R599">
        <x:f t="shared" si="66"/>
        <x:v>1</x:v>
      </x:c>
      <x:c r="S599">
        <x:f t="shared" si="67"/>
        <x:v>3</x:v>
      </x:c>
      <x:c r="T599" t="str">
        <x:f t="shared" si="68"/>
        <x:v>DerivedFromCount</x:v>
      </x:c>
      <x:c r="U599" t="str">
        <x:f>IF(COUNTIF(DailyProduction!$Q$5:$Q$100,B599)=1,"OK","CHECK")</x:f>
        <x:v>OK</x:v>
      </x:c>
      <x:c r="V599" t="str">
        <x:f t="shared" si="69"/>
        <x:v>OK</x:v>
      </x:c>
      <x:c r="W599" t="str">
        <x:f>IF(SUMIF($B$5:$B$914,B599,$S$5:$S$914)=SUMIF(DailyProduction!$Q$5:$Q$100,B599,DailyProduction!$R$5:$R$100),"OK","CHECK")</x:f>
        <x:v>OK</x:v>
      </x:c>
      <x:c r="X599" t="str">
        <x:v>PLC-PRD-JAR-330-L24</x:v>
      </x:c>
      <x:c r="Y599" t="str">
        <x:v>OK</x:v>
      </x:c>
      <x:c r="Z599" t="str">
        <x:v>OK</x:v>
      </x:c>
      <x:c r="AA599" t="n">
        <x:v>3</x:v>
      </x:c>
      <x:c r="AB599" t="n">
        <x:v>3</x:v>
      </x:c>
      <x:c r="AC599" t="str">
        <x:v>OK</x:v>
      </x:c>
      <x:c r="AD599" t="str">
        <x:v>OK</x:v>
      </x:c>
      <x:c r="AE599" t="str">
        <x:v>LOAD</x:v>
      </x:c>
      <x:c r="AF599" t="str">
        <x:v>02_Supervisor_Log(4).xlsx</x:v>
      </x:c>
      <x:c r="AG599" t="str">
        <x:v>ENH-20260830-01</x:v>
      </x:c>
      <x:c r="AH599" t="str">
        <x:v>Active</x:v>
      </x:c>
      <x:c r="AI599"/>
      <x:c r="AJ599"/>
      <x:c r="AK599"/>
      <x:c r="AL599"/>
    </x:row>
    <x:row r="600">
      <x:c r="A600" t="s">
        <x:v>836</x:v>
      </x:c>
      <x:c r="B600" t="s">
        <x:v>826</x:v>
      </x:c>
      <x:c r="C600" t="s">
        <x:v>44</x:v>
      </x:c>
      <x:c r="D600">
        <x:v>45951</x:v>
      </x:c>
      <x:c r="E600" t="s">
        <x:v>187</x:v>
      </x:c>
      <x:c r="F600" t="s">
        <x:v>51</x:v>
      </x:c>
      <x:c r="G600">
        <x:v>24</x:v>
      </x:c>
      <x:c r="H600" t="s">
        <x:v>73</x:v>
      </x:c>
      <x:c r="I600">
        <x:v>11</x:v>
      </x:c>
      <x:c r="J600">
        <x:v>12</x:v>
      </x:c>
      <x:c r="K600">
        <x:v>3</x:v>
      </x:c>
      <x:c r="L600">
        <x:f t="shared" si="63"/>
        <x:v>1</x:v>
      </x:c>
      <x:c r="P600">
        <x:f t="shared" si="64"/>
        <x:v>1</x:v>
      </x:c>
      <x:c r="Q600">
        <x:f t="shared" si="65"/>
        <x:v>1</x:v>
      </x:c>
      <x:c r="R600">
        <x:f t="shared" si="66"/>
        <x:v>1</x:v>
      </x:c>
      <x:c r="S600">
        <x:f t="shared" si="67"/>
        <x:v>3</x:v>
      </x:c>
      <x:c r="T600" t="str">
        <x:f t="shared" si="68"/>
        <x:v>DerivedFromCount</x:v>
      </x:c>
      <x:c r="U600" t="str">
        <x:f>IF(COUNTIF(DailyProduction!$Q$5:$Q$100,B600)=1,"OK","CHECK")</x:f>
        <x:v>OK</x:v>
      </x:c>
      <x:c r="V600" t="str">
        <x:f t="shared" si="69"/>
        <x:v>OK</x:v>
      </x:c>
      <x:c r="W600" t="str">
        <x:f>IF(SUMIF($B$5:$B$914,B600,$S$5:$S$914)=SUMIF(DailyProduction!$Q$5:$Q$100,B600,DailyProduction!$R$5:$R$100),"OK","CHECK")</x:f>
        <x:v>OK</x:v>
      </x:c>
      <x:c r="X600" t="str">
        <x:v>PLC-PRD-JAR-330-L24</x:v>
      </x:c>
      <x:c r="Y600" t="str">
        <x:v>OK</x:v>
      </x:c>
      <x:c r="Z600" t="str">
        <x:v>OK</x:v>
      </x:c>
      <x:c r="AA600" t="n">
        <x:v>3</x:v>
      </x:c>
      <x:c r="AB600" t="n">
        <x:v>3</x:v>
      </x:c>
      <x:c r="AC600" t="str">
        <x:v>OK</x:v>
      </x:c>
      <x:c r="AD600" t="str">
        <x:v>OK</x:v>
      </x:c>
      <x:c r="AE600" t="str">
        <x:v>LOAD</x:v>
      </x:c>
      <x:c r="AF600" t="str">
        <x:v>02_Supervisor_Log(4).xlsx</x:v>
      </x:c>
      <x:c r="AG600" t="str">
        <x:v>ENH-20260830-01</x:v>
      </x:c>
      <x:c r="AH600" t="str">
        <x:v>Active</x:v>
      </x:c>
      <x:c r="AI600"/>
      <x:c r="AJ600"/>
      <x:c r="AK600"/>
      <x:c r="AL600"/>
    </x:row>
    <x:row r="601">
      <x:c r="A601" t="s">
        <x:v>837</x:v>
      </x:c>
      <x:c r="B601" t="s">
        <x:v>826</x:v>
      </x:c>
      <x:c r="C601" t="s">
        <x:v>44</x:v>
      </x:c>
      <x:c r="D601">
        <x:v>45951</x:v>
      </x:c>
      <x:c r="E601" t="s">
        <x:v>187</x:v>
      </x:c>
      <x:c r="F601" t="s">
        <x:v>51</x:v>
      </x:c>
      <x:c r="G601">
        <x:v>24</x:v>
      </x:c>
      <x:c r="H601" t="s">
        <x:v>73</x:v>
      </x:c>
      <x:c r="I601">
        <x:v>12</x:v>
      </x:c>
      <x:c r="J601">
        <x:v>12</x:v>
      </x:c>
      <x:c r="K601">
        <x:v>3</x:v>
      </x:c>
      <x:c r="L601">
        <x:f t="shared" si="63"/>
        <x:v>1</x:v>
      </x:c>
      <x:c r="P601">
        <x:f t="shared" si="64"/>
        <x:v>1</x:v>
      </x:c>
      <x:c r="Q601">
        <x:f t="shared" si="65"/>
        <x:v>1</x:v>
      </x:c>
      <x:c r="R601">
        <x:f t="shared" si="66"/>
        <x:v>1</x:v>
      </x:c>
      <x:c r="S601">
        <x:f t="shared" si="67"/>
        <x:v>3</x:v>
      </x:c>
      <x:c r="T601" t="str">
        <x:f t="shared" si="68"/>
        <x:v>DerivedFromCount</x:v>
      </x:c>
      <x:c r="U601" t="str">
        <x:f>IF(COUNTIF(DailyProduction!$Q$5:$Q$100,B601)=1,"OK","CHECK")</x:f>
        <x:v>OK</x:v>
      </x:c>
      <x:c r="V601" t="str">
        <x:f t="shared" si="69"/>
        <x:v>OK</x:v>
      </x:c>
      <x:c r="W601" t="str">
        <x:f>IF(SUMIF($B$5:$B$914,B601,$S$5:$S$914)=SUMIF(DailyProduction!$Q$5:$Q$100,B601,DailyProduction!$R$5:$R$100),"OK","CHECK")</x:f>
        <x:v>OK</x:v>
      </x:c>
      <x:c r="X601" t="str">
        <x:v>PLC-PRD-JAR-330-L24</x:v>
      </x:c>
      <x:c r="Y601" t="str">
        <x:v>OK</x:v>
      </x:c>
      <x:c r="Z601" t="str">
        <x:v>OK</x:v>
      </x:c>
      <x:c r="AA601" t="n">
        <x:v>3</x:v>
      </x:c>
      <x:c r="AB601" t="n">
        <x:v>3</x:v>
      </x:c>
      <x:c r="AC601" t="str">
        <x:v>OK</x:v>
      </x:c>
      <x:c r="AD601" t="str">
        <x:v>OK</x:v>
      </x:c>
      <x:c r="AE601" t="str">
        <x:v>LOAD</x:v>
      </x:c>
      <x:c r="AF601" t="str">
        <x:v>02_Supervisor_Log(4).xlsx</x:v>
      </x:c>
      <x:c r="AG601" t="str">
        <x:v>ENH-20260830-01</x:v>
      </x:c>
      <x:c r="AH601" t="str">
        <x:v>Active</x:v>
      </x:c>
      <x:c r="AI601"/>
      <x:c r="AJ601"/>
      <x:c r="AK601"/>
      <x:c r="AL601"/>
    </x:row>
    <x:row r="602">
      <x:c r="A602" t="s">
        <x:v>838</x:v>
      </x:c>
      <x:c r="B602" t="s">
        <x:v>826</x:v>
      </x:c>
      <x:c r="C602" t="s">
        <x:v>44</x:v>
      </x:c>
      <x:c r="D602">
        <x:v>45951</x:v>
      </x:c>
      <x:c r="E602" t="s">
        <x:v>187</x:v>
      </x:c>
      <x:c r="F602" t="s">
        <x:v>51</x:v>
      </x:c>
      <x:c r="G602">
        <x:v>24</x:v>
      </x:c>
      <x:c r="H602" t="s">
        <x:v>73</x:v>
      </x:c>
      <x:c r="I602">
        <x:v>13</x:v>
      </x:c>
      <x:c r="J602">
        <x:v>12</x:v>
      </x:c>
      <x:c r="K602">
        <x:v>3</x:v>
      </x:c>
      <x:c r="L602">
        <x:f t="shared" si="63"/>
        <x:v>0</x:v>
      </x:c>
      <x:c r="P602">
        <x:f t="shared" si="64"/>
        <x:v>0</x:v>
      </x:c>
      <x:c r="Q602">
        <x:f t="shared" si="65"/>
        <x:v>0</x:v>
      </x:c>
      <x:c r="R602">
        <x:f t="shared" si="66"/>
        <x:v>0</x:v>
      </x:c>
      <x:c r="S602">
        <x:f t="shared" si="67"/>
        <x:v>0</x:v>
      </x:c>
      <x:c r="T602" t="str">
        <x:f t="shared" si="68"/>
        <x:v>DerivedFromCount</x:v>
      </x:c>
      <x:c r="U602" t="str">
        <x:f>IF(COUNTIF(DailyProduction!$Q$5:$Q$100,B602)=1,"OK","CHECK")</x:f>
        <x:v>OK</x:v>
      </x:c>
      <x:c r="V602" t="str">
        <x:f t="shared" si="69"/>
        <x:v>OK</x:v>
      </x:c>
      <x:c r="W602" t="str">
        <x:f>IF(SUMIF($B$5:$B$914,B602,$S$5:$S$914)=SUMIF(DailyProduction!$Q$5:$Q$100,B602,DailyProduction!$R$5:$R$100),"OK","CHECK")</x:f>
        <x:v>OK</x:v>
      </x:c>
      <x:c r="X602" t="str">
        <x:v>PLC-PRD-JAR-330-L24</x:v>
      </x:c>
      <x:c r="Y602" t="str">
        <x:v>OK</x:v>
      </x:c>
      <x:c r="Z602" t="str">
        <x:v>OK</x:v>
      </x:c>
      <x:c r="AA602" t="n">
        <x:v>3</x:v>
      </x:c>
      <x:c r="AB602" t="n">
        <x:v>0</x:v>
      </x:c>
      <x:c r="AC602" t="str">
        <x:v>OK</x:v>
      </x:c>
      <x:c r="AD602" t="str">
        <x:v>OK</x:v>
      </x:c>
      <x:c r="AE602" t="str">
        <x:v>LOAD</x:v>
      </x:c>
      <x:c r="AF602" t="str">
        <x:v>02_Supervisor_Log(4).xlsx</x:v>
      </x:c>
      <x:c r="AG602" t="str">
        <x:v>ENH-20260830-01</x:v>
      </x:c>
      <x:c r="AH602" t="str">
        <x:v>Active</x:v>
      </x:c>
      <x:c r="AI602"/>
      <x:c r="AJ602"/>
      <x:c r="AK602"/>
      <x:c r="AL602"/>
    </x:row>
    <x:row r="603">
      <x:c r="A603" t="s">
        <x:v>839</x:v>
      </x:c>
      <x:c r="B603" t="s">
        <x:v>840</x:v>
      </x:c>
      <x:c r="C603" t="s">
        <x:v>44</x:v>
      </x:c>
      <x:c r="D603">
        <x:v>45952</x:v>
      </x:c>
      <x:c r="E603" t="s">
        <x:v>45</x:v>
      </x:c>
      <x:c r="F603" t="s">
        <x:v>51</x:v>
      </x:c>
      <x:c r="G603">
        <x:v>24</x:v>
      </x:c>
      <x:c r="H603" t="s">
        <x:v>73</x:v>
      </x:c>
      <x:c r="I603">
        <x:v>1</x:v>
      </x:c>
      <x:c r="J603">
        <x:v>12</x:v>
      </x:c>
      <x:c r="K603">
        <x:v>3</x:v>
      </x:c>
      <x:c r="L603">
        <x:f t="shared" si="63"/>
        <x:v>1</x:v>
      </x:c>
      <x:c r="P603">
        <x:f t="shared" si="64"/>
        <x:v>1</x:v>
      </x:c>
      <x:c r="Q603">
        <x:f t="shared" si="65"/>
        <x:v>1</x:v>
      </x:c>
      <x:c r="R603">
        <x:f t="shared" si="66"/>
        <x:v>1</x:v>
      </x:c>
      <x:c r="S603">
        <x:f t="shared" si="67"/>
        <x:v>3</x:v>
      </x:c>
      <x:c r="T603" t="str">
        <x:f t="shared" si="68"/>
        <x:v>DerivedFromCount</x:v>
      </x:c>
      <x:c r="U603" t="str">
        <x:f>IF(COUNTIF(DailyProduction!$Q$5:$Q$100,B603)=1,"OK","CHECK")</x:f>
        <x:v>OK</x:v>
      </x:c>
      <x:c r="V603" t="str">
        <x:f t="shared" si="69"/>
        <x:v>OK</x:v>
      </x:c>
      <x:c r="W603" t="str">
        <x:f>IF(SUMIF($B$5:$B$914,B603,$S$5:$S$914)=SUMIF(DailyProduction!$Q$5:$Q$100,B603,DailyProduction!$R$5:$R$100),"OK","CHECK")</x:f>
        <x:v>OK</x:v>
      </x:c>
      <x:c r="X603" t="str">
        <x:v>PLC-PRD-JAR-330-L24</x:v>
      </x:c>
      <x:c r="Y603" t="str">
        <x:v>OK</x:v>
      </x:c>
      <x:c r="Z603" t="str">
        <x:v>OK</x:v>
      </x:c>
      <x:c r="AA603" t="n">
        <x:v>3</x:v>
      </x:c>
      <x:c r="AB603" t="n">
        <x:v>3</x:v>
      </x:c>
      <x:c r="AC603" t="str">
        <x:v>OK</x:v>
      </x:c>
      <x:c r="AD603" t="str">
        <x:v>OK</x:v>
      </x:c>
      <x:c r="AE603" t="str">
        <x:v>LOAD</x:v>
      </x:c>
      <x:c r="AF603" t="str">
        <x:v>02_Supervisor_Log(4).xlsx</x:v>
      </x:c>
      <x:c r="AG603" t="str">
        <x:v>ENH-20260830-01</x:v>
      </x:c>
      <x:c r="AH603" t="str">
        <x:v>Active</x:v>
      </x:c>
      <x:c r="AI603"/>
      <x:c r="AJ603"/>
      <x:c r="AK603"/>
      <x:c r="AL603"/>
    </x:row>
    <x:row r="604">
      <x:c r="A604" t="s">
        <x:v>841</x:v>
      </x:c>
      <x:c r="B604" t="s">
        <x:v>840</x:v>
      </x:c>
      <x:c r="C604" t="s">
        <x:v>44</x:v>
      </x:c>
      <x:c r="D604">
        <x:v>45952</x:v>
      </x:c>
      <x:c r="E604" t="s">
        <x:v>45</x:v>
      </x:c>
      <x:c r="F604" t="s">
        <x:v>51</x:v>
      </x:c>
      <x:c r="G604">
        <x:v>24</x:v>
      </x:c>
      <x:c r="H604" t="s">
        <x:v>73</x:v>
      </x:c>
      <x:c r="I604">
        <x:v>2</x:v>
      </x:c>
      <x:c r="J604">
        <x:v>12</x:v>
      </x:c>
      <x:c r="K604">
        <x:v>3</x:v>
      </x:c>
      <x:c r="L604">
        <x:f t="shared" si="63"/>
        <x:v>1</x:v>
      </x:c>
      <x:c r="P604">
        <x:f t="shared" si="64"/>
        <x:v>1</x:v>
      </x:c>
      <x:c r="Q604">
        <x:f t="shared" si="65"/>
        <x:v>1</x:v>
      </x:c>
      <x:c r="R604">
        <x:f t="shared" si="66"/>
        <x:v>1</x:v>
      </x:c>
      <x:c r="S604">
        <x:f t="shared" si="67"/>
        <x:v>3</x:v>
      </x:c>
      <x:c r="T604" t="str">
        <x:f t="shared" si="68"/>
        <x:v>DerivedFromCount</x:v>
      </x:c>
      <x:c r="U604" t="str">
        <x:f>IF(COUNTIF(DailyProduction!$Q$5:$Q$100,B604)=1,"OK","CHECK")</x:f>
        <x:v>OK</x:v>
      </x:c>
      <x:c r="V604" t="str">
        <x:f t="shared" si="69"/>
        <x:v>OK</x:v>
      </x:c>
      <x:c r="W604" t="str">
        <x:f>IF(SUMIF($B$5:$B$914,B604,$S$5:$S$914)=SUMIF(DailyProduction!$Q$5:$Q$100,B604,DailyProduction!$R$5:$R$100),"OK","CHECK")</x:f>
        <x:v>OK</x:v>
      </x:c>
      <x:c r="X604" t="str">
        <x:v>PLC-PRD-JAR-330-L24</x:v>
      </x:c>
      <x:c r="Y604" t="str">
        <x:v>OK</x:v>
      </x:c>
      <x:c r="Z604" t="str">
        <x:v>OK</x:v>
      </x:c>
      <x:c r="AA604" t="n">
        <x:v>3</x:v>
      </x:c>
      <x:c r="AB604" t="n">
        <x:v>3</x:v>
      </x:c>
      <x:c r="AC604" t="str">
        <x:v>OK</x:v>
      </x:c>
      <x:c r="AD604" t="str">
        <x:v>OK</x:v>
      </x:c>
      <x:c r="AE604" t="str">
        <x:v>LOAD</x:v>
      </x:c>
      <x:c r="AF604" t="str">
        <x:v>02_Supervisor_Log(4).xlsx</x:v>
      </x:c>
      <x:c r="AG604" t="str">
        <x:v>ENH-20260830-01</x:v>
      </x:c>
      <x:c r="AH604" t="str">
        <x:v>Active</x:v>
      </x:c>
      <x:c r="AI604"/>
      <x:c r="AJ604"/>
      <x:c r="AK604"/>
      <x:c r="AL604"/>
    </x:row>
    <x:row r="605">
      <x:c r="A605" t="s">
        <x:v>842</x:v>
      </x:c>
      <x:c r="B605" t="s">
        <x:v>840</x:v>
      </x:c>
      <x:c r="C605" t="s">
        <x:v>44</x:v>
      </x:c>
      <x:c r="D605">
        <x:v>45952</x:v>
      </x:c>
      <x:c r="E605" t="s">
        <x:v>45</x:v>
      </x:c>
      <x:c r="F605" t="s">
        <x:v>51</x:v>
      </x:c>
      <x:c r="G605">
        <x:v>24</x:v>
      </x:c>
      <x:c r="H605" t="s">
        <x:v>73</x:v>
      </x:c>
      <x:c r="I605">
        <x:v>3</x:v>
      </x:c>
      <x:c r="J605">
        <x:v>12</x:v>
      </x:c>
      <x:c r="K605">
        <x:v>3</x:v>
      </x:c>
      <x:c r="L605">
        <x:f t="shared" si="63"/>
        <x:v>1</x:v>
      </x:c>
      <x:c r="P605">
        <x:f t="shared" si="64"/>
        <x:v>1</x:v>
      </x:c>
      <x:c r="Q605">
        <x:f t="shared" si="65"/>
        <x:v>1</x:v>
      </x:c>
      <x:c r="R605">
        <x:f t="shared" si="66"/>
        <x:v>1</x:v>
      </x:c>
      <x:c r="S605">
        <x:f t="shared" si="67"/>
        <x:v>3</x:v>
      </x:c>
      <x:c r="T605" t="str">
        <x:f t="shared" si="68"/>
        <x:v>DerivedFromCount</x:v>
      </x:c>
      <x:c r="U605" t="str">
        <x:f>IF(COUNTIF(DailyProduction!$Q$5:$Q$100,B605)=1,"OK","CHECK")</x:f>
        <x:v>OK</x:v>
      </x:c>
      <x:c r="V605" t="str">
        <x:f t="shared" si="69"/>
        <x:v>OK</x:v>
      </x:c>
      <x:c r="W605" t="str">
        <x:f>IF(SUMIF($B$5:$B$914,B605,$S$5:$S$914)=SUMIF(DailyProduction!$Q$5:$Q$100,B605,DailyProduction!$R$5:$R$100),"OK","CHECK")</x:f>
        <x:v>OK</x:v>
      </x:c>
      <x:c r="X605" t="str">
        <x:v>PLC-PRD-JAR-330-L24</x:v>
      </x:c>
      <x:c r="Y605" t="str">
        <x:v>OK</x:v>
      </x:c>
      <x:c r="Z605" t="str">
        <x:v>OK</x:v>
      </x:c>
      <x:c r="AA605" t="n">
        <x:v>3</x:v>
      </x:c>
      <x:c r="AB605" t="n">
        <x:v>3</x:v>
      </x:c>
      <x:c r="AC605" t="str">
        <x:v>OK</x:v>
      </x:c>
      <x:c r="AD605" t="str">
        <x:v>OK</x:v>
      </x:c>
      <x:c r="AE605" t="str">
        <x:v>LOAD</x:v>
      </x:c>
      <x:c r="AF605" t="str">
        <x:v>02_Supervisor_Log(4).xlsx</x:v>
      </x:c>
      <x:c r="AG605" t="str">
        <x:v>ENH-20260830-01</x:v>
      </x:c>
      <x:c r="AH605" t="str">
        <x:v>Active</x:v>
      </x:c>
      <x:c r="AI605"/>
      <x:c r="AJ605"/>
      <x:c r="AK605"/>
      <x:c r="AL605"/>
    </x:row>
    <x:row r="606">
      <x:c r="A606" t="s">
        <x:v>843</x:v>
      </x:c>
      <x:c r="B606" t="s">
        <x:v>840</x:v>
      </x:c>
      <x:c r="C606" t="s">
        <x:v>44</x:v>
      </x:c>
      <x:c r="D606">
        <x:v>45952</x:v>
      </x:c>
      <x:c r="E606" t="s">
        <x:v>45</x:v>
      </x:c>
      <x:c r="F606" t="s">
        <x:v>51</x:v>
      </x:c>
      <x:c r="G606">
        <x:v>24</x:v>
      </x:c>
      <x:c r="H606" t="s">
        <x:v>73</x:v>
      </x:c>
      <x:c r="I606">
        <x:v>4</x:v>
      </x:c>
      <x:c r="J606">
        <x:v>12</x:v>
      </x:c>
      <x:c r="K606">
        <x:v>3</x:v>
      </x:c>
      <x:c r="L606">
        <x:f t="shared" si="63"/>
        <x:v>1</x:v>
      </x:c>
      <x:c r="P606">
        <x:f t="shared" si="64"/>
        <x:v>1</x:v>
      </x:c>
      <x:c r="Q606">
        <x:f t="shared" si="65"/>
        <x:v>1</x:v>
      </x:c>
      <x:c r="R606">
        <x:f t="shared" si="66"/>
        <x:v>1</x:v>
      </x:c>
      <x:c r="S606">
        <x:f t="shared" si="67"/>
        <x:v>3</x:v>
      </x:c>
      <x:c r="T606" t="str">
        <x:f t="shared" si="68"/>
        <x:v>DerivedFromCount</x:v>
      </x:c>
      <x:c r="U606" t="str">
        <x:f>IF(COUNTIF(DailyProduction!$Q$5:$Q$100,B606)=1,"OK","CHECK")</x:f>
        <x:v>OK</x:v>
      </x:c>
      <x:c r="V606" t="str">
        <x:f t="shared" si="69"/>
        <x:v>OK</x:v>
      </x:c>
      <x:c r="W606" t="str">
        <x:f>IF(SUMIF($B$5:$B$914,B606,$S$5:$S$914)=SUMIF(DailyProduction!$Q$5:$Q$100,B606,DailyProduction!$R$5:$R$100),"OK","CHECK")</x:f>
        <x:v>OK</x:v>
      </x:c>
      <x:c r="X606" t="str">
        <x:v>PLC-PRD-JAR-330-L24</x:v>
      </x:c>
      <x:c r="Y606" t="str">
        <x:v>OK</x:v>
      </x:c>
      <x:c r="Z606" t="str">
        <x:v>OK</x:v>
      </x:c>
      <x:c r="AA606" t="n">
        <x:v>3</x:v>
      </x:c>
      <x:c r="AB606" t="n">
        <x:v>3</x:v>
      </x:c>
      <x:c r="AC606" t="str">
        <x:v>OK</x:v>
      </x:c>
      <x:c r="AD606" t="str">
        <x:v>OK</x:v>
      </x:c>
      <x:c r="AE606" t="str">
        <x:v>LOAD</x:v>
      </x:c>
      <x:c r="AF606" t="str">
        <x:v>02_Supervisor_Log(4).xlsx</x:v>
      </x:c>
      <x:c r="AG606" t="str">
        <x:v>ENH-20260830-01</x:v>
      </x:c>
      <x:c r="AH606" t="str">
        <x:v>Active</x:v>
      </x:c>
      <x:c r="AI606"/>
      <x:c r="AJ606"/>
      <x:c r="AK606"/>
      <x:c r="AL606"/>
    </x:row>
    <x:row r="607">
      <x:c r="A607" t="s">
        <x:v>844</x:v>
      </x:c>
      <x:c r="B607" t="s">
        <x:v>840</x:v>
      </x:c>
      <x:c r="C607" t="s">
        <x:v>44</x:v>
      </x:c>
      <x:c r="D607">
        <x:v>45952</x:v>
      </x:c>
      <x:c r="E607" t="s">
        <x:v>45</x:v>
      </x:c>
      <x:c r="F607" t="s">
        <x:v>51</x:v>
      </x:c>
      <x:c r="G607">
        <x:v>24</x:v>
      </x:c>
      <x:c r="H607" t="s">
        <x:v>73</x:v>
      </x:c>
      <x:c r="I607">
        <x:v>5</x:v>
      </x:c>
      <x:c r="J607">
        <x:v>12</x:v>
      </x:c>
      <x:c r="K607">
        <x:v>3</x:v>
      </x:c>
      <x:c r="L607">
        <x:f t="shared" si="63"/>
        <x:v>1</x:v>
      </x:c>
      <x:c r="P607">
        <x:f t="shared" si="64"/>
        <x:v>1</x:v>
      </x:c>
      <x:c r="Q607">
        <x:f t="shared" si="65"/>
        <x:v>1</x:v>
      </x:c>
      <x:c r="R607">
        <x:f t="shared" si="66"/>
        <x:v>1</x:v>
      </x:c>
      <x:c r="S607">
        <x:f t="shared" si="67"/>
        <x:v>3</x:v>
      </x:c>
      <x:c r="T607" t="str">
        <x:f t="shared" si="68"/>
        <x:v>DerivedFromCount</x:v>
      </x:c>
      <x:c r="U607" t="str">
        <x:f>IF(COUNTIF(DailyProduction!$Q$5:$Q$100,B607)=1,"OK","CHECK")</x:f>
        <x:v>OK</x:v>
      </x:c>
      <x:c r="V607" t="str">
        <x:f t="shared" si="69"/>
        <x:v>OK</x:v>
      </x:c>
      <x:c r="W607" t="str">
        <x:f>IF(SUMIF($B$5:$B$914,B607,$S$5:$S$914)=SUMIF(DailyProduction!$Q$5:$Q$100,B607,DailyProduction!$R$5:$R$100),"OK","CHECK")</x:f>
        <x:v>OK</x:v>
      </x:c>
      <x:c r="X607" t="str">
        <x:v>PLC-PRD-JAR-330-L24</x:v>
      </x:c>
      <x:c r="Y607" t="str">
        <x:v>OK</x:v>
      </x:c>
      <x:c r="Z607" t="str">
        <x:v>OK</x:v>
      </x:c>
      <x:c r="AA607" t="n">
        <x:v>3</x:v>
      </x:c>
      <x:c r="AB607" t="n">
        <x:v>3</x:v>
      </x:c>
      <x:c r="AC607" t="str">
        <x:v>OK</x:v>
      </x:c>
      <x:c r="AD607" t="str">
        <x:v>OK</x:v>
      </x:c>
      <x:c r="AE607" t="str">
        <x:v>LOAD</x:v>
      </x:c>
      <x:c r="AF607" t="str">
        <x:v>02_Supervisor_Log(4).xlsx</x:v>
      </x:c>
      <x:c r="AG607" t="str">
        <x:v>ENH-20260830-01</x:v>
      </x:c>
      <x:c r="AH607" t="str">
        <x:v>Active</x:v>
      </x:c>
      <x:c r="AI607"/>
      <x:c r="AJ607"/>
      <x:c r="AK607"/>
      <x:c r="AL607"/>
    </x:row>
    <x:row r="608">
      <x:c r="A608" t="s">
        <x:v>845</x:v>
      </x:c>
      <x:c r="B608" t="s">
        <x:v>840</x:v>
      </x:c>
      <x:c r="C608" t="s">
        <x:v>44</x:v>
      </x:c>
      <x:c r="D608">
        <x:v>45952</x:v>
      </x:c>
      <x:c r="E608" t="s">
        <x:v>45</x:v>
      </x:c>
      <x:c r="F608" t="s">
        <x:v>51</x:v>
      </x:c>
      <x:c r="G608">
        <x:v>24</x:v>
      </x:c>
      <x:c r="H608" t="s">
        <x:v>73</x:v>
      </x:c>
      <x:c r="I608">
        <x:v>6</x:v>
      </x:c>
      <x:c r="J608">
        <x:v>12</x:v>
      </x:c>
      <x:c r="K608">
        <x:v>3</x:v>
      </x:c>
      <x:c r="L608">
        <x:f t="shared" si="63"/>
        <x:v>1</x:v>
      </x:c>
      <x:c r="P608">
        <x:f t="shared" si="64"/>
        <x:v>1</x:v>
      </x:c>
      <x:c r="Q608">
        <x:f t="shared" si="65"/>
        <x:v>1</x:v>
      </x:c>
      <x:c r="R608">
        <x:f t="shared" si="66"/>
        <x:v>1</x:v>
      </x:c>
      <x:c r="S608">
        <x:f t="shared" si="67"/>
        <x:v>3</x:v>
      </x:c>
      <x:c r="T608" t="str">
        <x:f t="shared" si="68"/>
        <x:v>DerivedFromCount</x:v>
      </x:c>
      <x:c r="U608" t="str">
        <x:f>IF(COUNTIF(DailyProduction!$Q$5:$Q$100,B608)=1,"OK","CHECK")</x:f>
        <x:v>OK</x:v>
      </x:c>
      <x:c r="V608" t="str">
        <x:f t="shared" si="69"/>
        <x:v>OK</x:v>
      </x:c>
      <x:c r="W608" t="str">
        <x:f>IF(SUMIF($B$5:$B$914,B608,$S$5:$S$914)=SUMIF(DailyProduction!$Q$5:$Q$100,B608,DailyProduction!$R$5:$R$100),"OK","CHECK")</x:f>
        <x:v>OK</x:v>
      </x:c>
      <x:c r="X608" t="str">
        <x:v>PLC-PRD-JAR-330-L24</x:v>
      </x:c>
      <x:c r="Y608" t="str">
        <x:v>OK</x:v>
      </x:c>
      <x:c r="Z608" t="str">
        <x:v>OK</x:v>
      </x:c>
      <x:c r="AA608" t="n">
        <x:v>3</x:v>
      </x:c>
      <x:c r="AB608" t="n">
        <x:v>3</x:v>
      </x:c>
      <x:c r="AC608" t="str">
        <x:v>OK</x:v>
      </x:c>
      <x:c r="AD608" t="str">
        <x:v>OK</x:v>
      </x:c>
      <x:c r="AE608" t="str">
        <x:v>LOAD</x:v>
      </x:c>
      <x:c r="AF608" t="str">
        <x:v>02_Supervisor_Log(4).xlsx</x:v>
      </x:c>
      <x:c r="AG608" t="str">
        <x:v>ENH-20260830-01</x:v>
      </x:c>
      <x:c r="AH608" t="str">
        <x:v>Active</x:v>
      </x:c>
      <x:c r="AI608"/>
      <x:c r="AJ608"/>
      <x:c r="AK608"/>
      <x:c r="AL608"/>
    </x:row>
    <x:row r="609">
      <x:c r="A609" t="s">
        <x:v>846</x:v>
      </x:c>
      <x:c r="B609" t="s">
        <x:v>840</x:v>
      </x:c>
      <x:c r="C609" t="s">
        <x:v>44</x:v>
      </x:c>
      <x:c r="D609">
        <x:v>45952</x:v>
      </x:c>
      <x:c r="E609" t="s">
        <x:v>45</x:v>
      </x:c>
      <x:c r="F609" t="s">
        <x:v>51</x:v>
      </x:c>
      <x:c r="G609">
        <x:v>24</x:v>
      </x:c>
      <x:c r="H609" t="s">
        <x:v>73</x:v>
      </x:c>
      <x:c r="I609">
        <x:v>7</x:v>
      </x:c>
      <x:c r="J609">
        <x:v>12</x:v>
      </x:c>
      <x:c r="K609">
        <x:v>3</x:v>
      </x:c>
      <x:c r="L609">
        <x:f t="shared" si="63"/>
        <x:v>1</x:v>
      </x:c>
      <x:c r="P609">
        <x:f t="shared" si="64"/>
        <x:v>1</x:v>
      </x:c>
      <x:c r="Q609">
        <x:f t="shared" si="65"/>
        <x:v>1</x:v>
      </x:c>
      <x:c r="R609">
        <x:f t="shared" si="66"/>
        <x:v>1</x:v>
      </x:c>
      <x:c r="S609">
        <x:f t="shared" si="67"/>
        <x:v>3</x:v>
      </x:c>
      <x:c r="T609" t="str">
        <x:f t="shared" si="68"/>
        <x:v>DerivedFromCount</x:v>
      </x:c>
      <x:c r="U609" t="str">
        <x:f>IF(COUNTIF(DailyProduction!$Q$5:$Q$100,B609)=1,"OK","CHECK")</x:f>
        <x:v>OK</x:v>
      </x:c>
      <x:c r="V609" t="str">
        <x:f t="shared" si="69"/>
        <x:v>OK</x:v>
      </x:c>
      <x:c r="W609" t="str">
        <x:f>IF(SUMIF($B$5:$B$914,B609,$S$5:$S$914)=SUMIF(DailyProduction!$Q$5:$Q$100,B609,DailyProduction!$R$5:$R$100),"OK","CHECK")</x:f>
        <x:v>OK</x:v>
      </x:c>
      <x:c r="X609" t="str">
        <x:v>PLC-PRD-JAR-330-L24</x:v>
      </x:c>
      <x:c r="Y609" t="str">
        <x:v>OK</x:v>
      </x:c>
      <x:c r="Z609" t="str">
        <x:v>OK</x:v>
      </x:c>
      <x:c r="AA609" t="n">
        <x:v>3</x:v>
      </x:c>
      <x:c r="AB609" t="n">
        <x:v>3</x:v>
      </x:c>
      <x:c r="AC609" t="str">
        <x:v>OK</x:v>
      </x:c>
      <x:c r="AD609" t="str">
        <x:v>OK</x:v>
      </x:c>
      <x:c r="AE609" t="str">
        <x:v>LOAD</x:v>
      </x:c>
      <x:c r="AF609" t="str">
        <x:v>02_Supervisor_Log(4).xlsx</x:v>
      </x:c>
      <x:c r="AG609" t="str">
        <x:v>ENH-20260830-01</x:v>
      </x:c>
      <x:c r="AH609" t="str">
        <x:v>Active</x:v>
      </x:c>
      <x:c r="AI609"/>
      <x:c r="AJ609"/>
      <x:c r="AK609"/>
      <x:c r="AL609"/>
    </x:row>
    <x:row r="610">
      <x:c r="A610" t="s">
        <x:v>847</x:v>
      </x:c>
      <x:c r="B610" t="s">
        <x:v>840</x:v>
      </x:c>
      <x:c r="C610" t="s">
        <x:v>44</x:v>
      </x:c>
      <x:c r="D610">
        <x:v>45952</x:v>
      </x:c>
      <x:c r="E610" t="s">
        <x:v>45</x:v>
      </x:c>
      <x:c r="F610" t="s">
        <x:v>51</x:v>
      </x:c>
      <x:c r="G610">
        <x:v>24</x:v>
      </x:c>
      <x:c r="H610" t="s">
        <x:v>73</x:v>
      </x:c>
      <x:c r="I610">
        <x:v>8</x:v>
      </x:c>
      <x:c r="J610">
        <x:v>12</x:v>
      </x:c>
      <x:c r="K610">
        <x:v>3</x:v>
      </x:c>
      <x:c r="L610">
        <x:f t="shared" si="63"/>
        <x:v>1</x:v>
      </x:c>
      <x:c r="P610">
        <x:f t="shared" si="64"/>
        <x:v>1</x:v>
      </x:c>
      <x:c r="Q610">
        <x:f t="shared" si="65"/>
        <x:v>1</x:v>
      </x:c>
      <x:c r="R610">
        <x:f t="shared" si="66"/>
        <x:v>1</x:v>
      </x:c>
      <x:c r="S610">
        <x:f t="shared" si="67"/>
        <x:v>3</x:v>
      </x:c>
      <x:c r="T610" t="str">
        <x:f t="shared" si="68"/>
        <x:v>DerivedFromCount</x:v>
      </x:c>
      <x:c r="U610" t="str">
        <x:f>IF(COUNTIF(DailyProduction!$Q$5:$Q$100,B610)=1,"OK","CHECK")</x:f>
        <x:v>OK</x:v>
      </x:c>
      <x:c r="V610" t="str">
        <x:f t="shared" si="69"/>
        <x:v>OK</x:v>
      </x:c>
      <x:c r="W610" t="str">
        <x:f>IF(SUMIF($B$5:$B$914,B610,$S$5:$S$914)=SUMIF(DailyProduction!$Q$5:$Q$100,B610,DailyProduction!$R$5:$R$100),"OK","CHECK")</x:f>
        <x:v>OK</x:v>
      </x:c>
      <x:c r="X610" t="str">
        <x:v>PLC-PRD-JAR-330-L24</x:v>
      </x:c>
      <x:c r="Y610" t="str">
        <x:v>OK</x:v>
      </x:c>
      <x:c r="Z610" t="str">
        <x:v>OK</x:v>
      </x:c>
      <x:c r="AA610" t="n">
        <x:v>3</x:v>
      </x:c>
      <x:c r="AB610" t="n">
        <x:v>3</x:v>
      </x:c>
      <x:c r="AC610" t="str">
        <x:v>OK</x:v>
      </x:c>
      <x:c r="AD610" t="str">
        <x:v>OK</x:v>
      </x:c>
      <x:c r="AE610" t="str">
        <x:v>LOAD</x:v>
      </x:c>
      <x:c r="AF610" t="str">
        <x:v>02_Supervisor_Log(4).xlsx</x:v>
      </x:c>
      <x:c r="AG610" t="str">
        <x:v>ENH-20260830-01</x:v>
      </x:c>
      <x:c r="AH610" t="str">
        <x:v>Active</x:v>
      </x:c>
      <x:c r="AI610"/>
      <x:c r="AJ610"/>
      <x:c r="AK610"/>
      <x:c r="AL610"/>
    </x:row>
    <x:row r="611">
      <x:c r="A611" t="s">
        <x:v>848</x:v>
      </x:c>
      <x:c r="B611" t="s">
        <x:v>840</x:v>
      </x:c>
      <x:c r="C611" t="s">
        <x:v>44</x:v>
      </x:c>
      <x:c r="D611">
        <x:v>45952</x:v>
      </x:c>
      <x:c r="E611" t="s">
        <x:v>45</x:v>
      </x:c>
      <x:c r="F611" t="s">
        <x:v>51</x:v>
      </x:c>
      <x:c r="G611">
        <x:v>24</x:v>
      </x:c>
      <x:c r="H611" t="s">
        <x:v>73</x:v>
      </x:c>
      <x:c r="I611">
        <x:v>9</x:v>
      </x:c>
      <x:c r="J611">
        <x:v>12</x:v>
      </x:c>
      <x:c r="K611">
        <x:v>3</x:v>
      </x:c>
      <x:c r="L611">
        <x:f t="shared" si="63"/>
        <x:v>1</x:v>
      </x:c>
      <x:c r="P611">
        <x:f t="shared" si="64"/>
        <x:v>1</x:v>
      </x:c>
      <x:c r="Q611">
        <x:f t="shared" si="65"/>
        <x:v>1</x:v>
      </x:c>
      <x:c r="R611">
        <x:f t="shared" si="66"/>
        <x:v>1</x:v>
      </x:c>
      <x:c r="S611">
        <x:f t="shared" si="67"/>
        <x:v>3</x:v>
      </x:c>
      <x:c r="T611" t="str">
        <x:f t="shared" si="68"/>
        <x:v>DerivedFromCount</x:v>
      </x:c>
      <x:c r="U611" t="str">
        <x:f>IF(COUNTIF(DailyProduction!$Q$5:$Q$100,B611)=1,"OK","CHECK")</x:f>
        <x:v>OK</x:v>
      </x:c>
      <x:c r="V611" t="str">
        <x:f t="shared" si="69"/>
        <x:v>OK</x:v>
      </x:c>
      <x:c r="W611" t="str">
        <x:f>IF(SUMIF($B$5:$B$914,B611,$S$5:$S$914)=SUMIF(DailyProduction!$Q$5:$Q$100,B611,DailyProduction!$R$5:$R$100),"OK","CHECK")</x:f>
        <x:v>OK</x:v>
      </x:c>
      <x:c r="X611" t="str">
        <x:v>PLC-PRD-JAR-330-L24</x:v>
      </x:c>
      <x:c r="Y611" t="str">
        <x:v>OK</x:v>
      </x:c>
      <x:c r="Z611" t="str">
        <x:v>OK</x:v>
      </x:c>
      <x:c r="AA611" t="n">
        <x:v>3</x:v>
      </x:c>
      <x:c r="AB611" t="n">
        <x:v>3</x:v>
      </x:c>
      <x:c r="AC611" t="str">
        <x:v>OK</x:v>
      </x:c>
      <x:c r="AD611" t="str">
        <x:v>OK</x:v>
      </x:c>
      <x:c r="AE611" t="str">
        <x:v>LOAD</x:v>
      </x:c>
      <x:c r="AF611" t="str">
        <x:v>02_Supervisor_Log(4).xlsx</x:v>
      </x:c>
      <x:c r="AG611" t="str">
        <x:v>ENH-20260830-01</x:v>
      </x:c>
      <x:c r="AH611" t="str">
        <x:v>Active</x:v>
      </x:c>
      <x:c r="AI611"/>
      <x:c r="AJ611"/>
      <x:c r="AK611"/>
      <x:c r="AL611"/>
    </x:row>
    <x:row r="612">
      <x:c r="A612" t="s">
        <x:v>849</x:v>
      </x:c>
      <x:c r="B612" t="s">
        <x:v>840</x:v>
      </x:c>
      <x:c r="C612" t="s">
        <x:v>44</x:v>
      </x:c>
      <x:c r="D612">
        <x:v>45952</x:v>
      </x:c>
      <x:c r="E612" t="s">
        <x:v>45</x:v>
      </x:c>
      <x:c r="F612" t="s">
        <x:v>51</x:v>
      </x:c>
      <x:c r="G612">
        <x:v>24</x:v>
      </x:c>
      <x:c r="H612" t="s">
        <x:v>73</x:v>
      </x:c>
      <x:c r="I612">
        <x:v>10</x:v>
      </x:c>
      <x:c r="J612">
        <x:v>12</x:v>
      </x:c>
      <x:c r="K612">
        <x:v>3</x:v>
      </x:c>
      <x:c r="L612">
        <x:f t="shared" si="63"/>
        <x:v>1</x:v>
      </x:c>
      <x:c r="P612">
        <x:f t="shared" si="64"/>
        <x:v>1</x:v>
      </x:c>
      <x:c r="Q612">
        <x:f t="shared" si="65"/>
        <x:v>1</x:v>
      </x:c>
      <x:c r="R612">
        <x:f t="shared" si="66"/>
        <x:v>1</x:v>
      </x:c>
      <x:c r="S612">
        <x:f t="shared" si="67"/>
        <x:v>3</x:v>
      </x:c>
      <x:c r="T612" t="str">
        <x:f t="shared" si="68"/>
        <x:v>DerivedFromCount</x:v>
      </x:c>
      <x:c r="U612" t="str">
        <x:f>IF(COUNTIF(DailyProduction!$Q$5:$Q$100,B612)=1,"OK","CHECK")</x:f>
        <x:v>OK</x:v>
      </x:c>
      <x:c r="V612" t="str">
        <x:f t="shared" si="69"/>
        <x:v>OK</x:v>
      </x:c>
      <x:c r="W612" t="str">
        <x:f>IF(SUMIF($B$5:$B$914,B612,$S$5:$S$914)=SUMIF(DailyProduction!$Q$5:$Q$100,B612,DailyProduction!$R$5:$R$100),"OK","CHECK")</x:f>
        <x:v>OK</x:v>
      </x:c>
      <x:c r="X612" t="str">
        <x:v>PLC-PRD-JAR-330-L24</x:v>
      </x:c>
      <x:c r="Y612" t="str">
        <x:v>OK</x:v>
      </x:c>
      <x:c r="Z612" t="str">
        <x:v>OK</x:v>
      </x:c>
      <x:c r="AA612" t="n">
        <x:v>3</x:v>
      </x:c>
      <x:c r="AB612" t="n">
        <x:v>3</x:v>
      </x:c>
      <x:c r="AC612" t="str">
        <x:v>OK</x:v>
      </x:c>
      <x:c r="AD612" t="str">
        <x:v>OK</x:v>
      </x:c>
      <x:c r="AE612" t="str">
        <x:v>LOAD</x:v>
      </x:c>
      <x:c r="AF612" t="str">
        <x:v>02_Supervisor_Log(4).xlsx</x:v>
      </x:c>
      <x:c r="AG612" t="str">
        <x:v>ENH-20260830-01</x:v>
      </x:c>
      <x:c r="AH612" t="str">
        <x:v>Active</x:v>
      </x:c>
      <x:c r="AI612"/>
      <x:c r="AJ612"/>
      <x:c r="AK612"/>
      <x:c r="AL612"/>
    </x:row>
    <x:row r="613">
      <x:c r="A613" t="s">
        <x:v>850</x:v>
      </x:c>
      <x:c r="B613" t="s">
        <x:v>840</x:v>
      </x:c>
      <x:c r="C613" t="s">
        <x:v>44</x:v>
      </x:c>
      <x:c r="D613">
        <x:v>45952</x:v>
      </x:c>
      <x:c r="E613" t="s">
        <x:v>45</x:v>
      </x:c>
      <x:c r="F613" t="s">
        <x:v>51</x:v>
      </x:c>
      <x:c r="G613">
        <x:v>24</x:v>
      </x:c>
      <x:c r="H613" t="s">
        <x:v>73</x:v>
      </x:c>
      <x:c r="I613">
        <x:v>11</x:v>
      </x:c>
      <x:c r="J613">
        <x:v>12</x:v>
      </x:c>
      <x:c r="K613">
        <x:v>3</x:v>
      </x:c>
      <x:c r="L613">
        <x:f t="shared" si="63"/>
        <x:v>1</x:v>
      </x:c>
      <x:c r="P613">
        <x:f t="shared" si="64"/>
        <x:v>1</x:v>
      </x:c>
      <x:c r="Q613">
        <x:f t="shared" si="65"/>
        <x:v>1</x:v>
      </x:c>
      <x:c r="R613">
        <x:f t="shared" si="66"/>
        <x:v>1</x:v>
      </x:c>
      <x:c r="S613">
        <x:f t="shared" si="67"/>
        <x:v>3</x:v>
      </x:c>
      <x:c r="T613" t="str">
        <x:f t="shared" si="68"/>
        <x:v>DerivedFromCount</x:v>
      </x:c>
      <x:c r="U613" t="str">
        <x:f>IF(COUNTIF(DailyProduction!$Q$5:$Q$100,B613)=1,"OK","CHECK")</x:f>
        <x:v>OK</x:v>
      </x:c>
      <x:c r="V613" t="str">
        <x:f t="shared" si="69"/>
        <x:v>OK</x:v>
      </x:c>
      <x:c r="W613" t="str">
        <x:f>IF(SUMIF($B$5:$B$914,B613,$S$5:$S$914)=SUMIF(DailyProduction!$Q$5:$Q$100,B613,DailyProduction!$R$5:$R$100),"OK","CHECK")</x:f>
        <x:v>OK</x:v>
      </x:c>
      <x:c r="X613" t="str">
        <x:v>PLC-PRD-JAR-330-L24</x:v>
      </x:c>
      <x:c r="Y613" t="str">
        <x:v>OK</x:v>
      </x:c>
      <x:c r="Z613" t="str">
        <x:v>OK</x:v>
      </x:c>
      <x:c r="AA613" t="n">
        <x:v>3</x:v>
      </x:c>
      <x:c r="AB613" t="n">
        <x:v>3</x:v>
      </x:c>
      <x:c r="AC613" t="str">
        <x:v>OK</x:v>
      </x:c>
      <x:c r="AD613" t="str">
        <x:v>OK</x:v>
      </x:c>
      <x:c r="AE613" t="str">
        <x:v>LOAD</x:v>
      </x:c>
      <x:c r="AF613" t="str">
        <x:v>02_Supervisor_Log(4).xlsx</x:v>
      </x:c>
      <x:c r="AG613" t="str">
        <x:v>ENH-20260830-01</x:v>
      </x:c>
      <x:c r="AH613" t="str">
        <x:v>Active</x:v>
      </x:c>
      <x:c r="AI613"/>
      <x:c r="AJ613"/>
      <x:c r="AK613"/>
      <x:c r="AL613"/>
    </x:row>
    <x:row r="614">
      <x:c r="A614" t="s">
        <x:v>851</x:v>
      </x:c>
      <x:c r="B614" t="s">
        <x:v>840</x:v>
      </x:c>
      <x:c r="C614" t="s">
        <x:v>44</x:v>
      </x:c>
      <x:c r="D614">
        <x:v>45952</x:v>
      </x:c>
      <x:c r="E614" t="s">
        <x:v>45</x:v>
      </x:c>
      <x:c r="F614" t="s">
        <x:v>51</x:v>
      </x:c>
      <x:c r="G614">
        <x:v>24</x:v>
      </x:c>
      <x:c r="H614" t="s">
        <x:v>73</x:v>
      </x:c>
      <x:c r="I614">
        <x:v>12</x:v>
      </x:c>
      <x:c r="J614">
        <x:v>12</x:v>
      </x:c>
      <x:c r="K614">
        <x:v>3</x:v>
      </x:c>
      <x:c r="L614">
        <x:f t="shared" si="63"/>
        <x:v>1</x:v>
      </x:c>
      <x:c r="P614">
        <x:f t="shared" si="64"/>
        <x:v>1</x:v>
      </x:c>
      <x:c r="Q614">
        <x:f t="shared" si="65"/>
        <x:v>1</x:v>
      </x:c>
      <x:c r="R614">
        <x:f t="shared" si="66"/>
        <x:v>1</x:v>
      </x:c>
      <x:c r="S614">
        <x:f t="shared" si="67"/>
        <x:v>3</x:v>
      </x:c>
      <x:c r="T614" t="str">
        <x:f t="shared" si="68"/>
        <x:v>DerivedFromCount</x:v>
      </x:c>
      <x:c r="U614" t="str">
        <x:f>IF(COUNTIF(DailyProduction!$Q$5:$Q$100,B614)=1,"OK","CHECK")</x:f>
        <x:v>OK</x:v>
      </x:c>
      <x:c r="V614" t="str">
        <x:f t="shared" si="69"/>
        <x:v>OK</x:v>
      </x:c>
      <x:c r="W614" t="str">
        <x:f>IF(SUMIF($B$5:$B$914,B614,$S$5:$S$914)=SUMIF(DailyProduction!$Q$5:$Q$100,B614,DailyProduction!$R$5:$R$100),"OK","CHECK")</x:f>
        <x:v>OK</x:v>
      </x:c>
      <x:c r="X614" t="str">
        <x:v>PLC-PRD-JAR-330-L24</x:v>
      </x:c>
      <x:c r="Y614" t="str">
        <x:v>OK</x:v>
      </x:c>
      <x:c r="Z614" t="str">
        <x:v>OK</x:v>
      </x:c>
      <x:c r="AA614" t="n">
        <x:v>3</x:v>
      </x:c>
      <x:c r="AB614" t="n">
        <x:v>3</x:v>
      </x:c>
      <x:c r="AC614" t="str">
        <x:v>OK</x:v>
      </x:c>
      <x:c r="AD614" t="str">
        <x:v>OK</x:v>
      </x:c>
      <x:c r="AE614" t="str">
        <x:v>LOAD</x:v>
      </x:c>
      <x:c r="AF614" t="str">
        <x:v>02_Supervisor_Log(4).xlsx</x:v>
      </x:c>
      <x:c r="AG614" t="str">
        <x:v>ENH-20260830-01</x:v>
      </x:c>
      <x:c r="AH614" t="str">
        <x:v>Active</x:v>
      </x:c>
      <x:c r="AI614"/>
      <x:c r="AJ614"/>
      <x:c r="AK614"/>
      <x:c r="AL614"/>
    </x:row>
    <x:row r="615">
      <x:c r="A615" t="s">
        <x:v>852</x:v>
      </x:c>
      <x:c r="B615" t="s">
        <x:v>840</x:v>
      </x:c>
      <x:c r="C615" t="s">
        <x:v>44</x:v>
      </x:c>
      <x:c r="D615">
        <x:v>45952</x:v>
      </x:c>
      <x:c r="E615" t="s">
        <x:v>45</x:v>
      </x:c>
      <x:c r="F615" t="s">
        <x:v>51</x:v>
      </x:c>
      <x:c r="G615">
        <x:v>24</x:v>
      </x:c>
      <x:c r="H615" t="s">
        <x:v>73</x:v>
      </x:c>
      <x:c r="I615">
        <x:v>13</x:v>
      </x:c>
      <x:c r="J615">
        <x:v>12</x:v>
      </x:c>
      <x:c r="K615">
        <x:v>3</x:v>
      </x:c>
      <x:c r="L615">
        <x:f t="shared" si="63"/>
        <x:v>0</x:v>
      </x:c>
      <x:c r="P615">
        <x:f t="shared" si="64"/>
        <x:v>0</x:v>
      </x:c>
      <x:c r="Q615">
        <x:f t="shared" si="65"/>
        <x:v>0</x:v>
      </x:c>
      <x:c r="R615">
        <x:f t="shared" si="66"/>
        <x:v>0</x:v>
      </x:c>
      <x:c r="S615">
        <x:f t="shared" si="67"/>
        <x:v>0</x:v>
      </x:c>
      <x:c r="T615" t="str">
        <x:f t="shared" si="68"/>
        <x:v>DerivedFromCount</x:v>
      </x:c>
      <x:c r="U615" t="str">
        <x:f>IF(COUNTIF(DailyProduction!$Q$5:$Q$100,B615)=1,"OK","CHECK")</x:f>
        <x:v>OK</x:v>
      </x:c>
      <x:c r="V615" t="str">
        <x:f t="shared" si="69"/>
        <x:v>OK</x:v>
      </x:c>
      <x:c r="W615" t="str">
        <x:f>IF(SUMIF($B$5:$B$914,B615,$S$5:$S$914)=SUMIF(DailyProduction!$Q$5:$Q$100,B615,DailyProduction!$R$5:$R$100),"OK","CHECK")</x:f>
        <x:v>OK</x:v>
      </x:c>
      <x:c r="X615" t="str">
        <x:v>PLC-PRD-JAR-330-L24</x:v>
      </x:c>
      <x:c r="Y615" t="str">
        <x:v>OK</x:v>
      </x:c>
      <x:c r="Z615" t="str">
        <x:v>OK</x:v>
      </x:c>
      <x:c r="AA615" t="n">
        <x:v>3</x:v>
      </x:c>
      <x:c r="AB615" t="n">
        <x:v>0</x:v>
      </x:c>
      <x:c r="AC615" t="str">
        <x:v>OK</x:v>
      </x:c>
      <x:c r="AD615" t="str">
        <x:v>OK</x:v>
      </x:c>
      <x:c r="AE615" t="str">
        <x:v>LOAD</x:v>
      </x:c>
      <x:c r="AF615" t="str">
        <x:v>02_Supervisor_Log(4).xlsx</x:v>
      </x:c>
      <x:c r="AG615" t="str">
        <x:v>ENH-20260830-01</x:v>
      </x:c>
      <x:c r="AH615" t="str">
        <x:v>Active</x:v>
      </x:c>
      <x:c r="AI615"/>
      <x:c r="AJ615"/>
      <x:c r="AK615"/>
      <x:c r="AL615"/>
    </x:row>
    <x:row r="616">
      <x:c r="A616" t="s">
        <x:v>853</x:v>
      </x:c>
      <x:c r="B616" t="s">
        <x:v>854</x:v>
      </x:c>
      <x:c r="C616" t="s">
        <x:v>44</x:v>
      </x:c>
      <x:c r="D616">
        <x:v>45952</x:v>
      </x:c>
      <x:c r="E616" t="s">
        <x:v>187</x:v>
      </x:c>
      <x:c r="F616" t="s">
        <x:v>55</x:v>
      </x:c>
      <x:c r="G616">
        <x:v>24</x:v>
      </x:c>
      <x:c r="H616" t="s">
        <x:v>73</x:v>
      </x:c>
      <x:c r="I616">
        <x:v>1</x:v>
      </x:c>
      <x:c r="J616">
        <x:v>12</x:v>
      </x:c>
      <x:c r="K616">
        <x:v>3</x:v>
      </x:c>
      <x:c r="L616">
        <x:f t="shared" si="63"/>
        <x:v>1</x:v>
      </x:c>
      <x:c r="P616">
        <x:f t="shared" si="64"/>
        <x:v>1</x:v>
      </x:c>
      <x:c r="Q616">
        <x:f t="shared" si="65"/>
        <x:v>1</x:v>
      </x:c>
      <x:c r="R616">
        <x:f t="shared" si="66"/>
        <x:v>1</x:v>
      </x:c>
      <x:c r="S616">
        <x:f t="shared" si="67"/>
        <x:v>3</x:v>
      </x:c>
      <x:c r="T616" t="str">
        <x:f t="shared" si="68"/>
        <x:v>DerivedFromCount</x:v>
      </x:c>
      <x:c r="U616" t="str">
        <x:f>IF(COUNTIF(DailyProduction!$Q$5:$Q$100,B616)=1,"OK","CHECK")</x:f>
        <x:v>OK</x:v>
      </x:c>
      <x:c r="V616" t="str">
        <x:f t="shared" si="69"/>
        <x:v>OK</x:v>
      </x:c>
      <x:c r="W616" t="str">
        <x:f>IF(SUMIF($B$5:$B$914,B616,$S$5:$S$914)=SUMIF(DailyProduction!$Q$5:$Q$100,B616,DailyProduction!$R$5:$R$100),"OK","CHECK")</x:f>
        <x:v>OK</x:v>
      </x:c>
      <x:c r="X616" t="str">
        <x:v>PLC-PRD-JAR-330-L24</x:v>
      </x:c>
      <x:c r="Y616" t="str">
        <x:v>OK</x:v>
      </x:c>
      <x:c r="Z616" t="str">
        <x:v>OK</x:v>
      </x:c>
      <x:c r="AA616" t="n">
        <x:v>3</x:v>
      </x:c>
      <x:c r="AB616" t="n">
        <x:v>3</x:v>
      </x:c>
      <x:c r="AC616" t="str">
        <x:v>OK</x:v>
      </x:c>
      <x:c r="AD616" t="str">
        <x:v>OK</x:v>
      </x:c>
      <x:c r="AE616" t="str">
        <x:v>LOAD</x:v>
      </x:c>
      <x:c r="AF616" t="str">
        <x:v>02_Supervisor_Log(4).xlsx</x:v>
      </x:c>
      <x:c r="AG616" t="str">
        <x:v>ENH-20260830-01</x:v>
      </x:c>
      <x:c r="AH616" t="str">
        <x:v>Active</x:v>
      </x:c>
      <x:c r="AI616"/>
      <x:c r="AJ616"/>
      <x:c r="AK616"/>
      <x:c r="AL616"/>
    </x:row>
    <x:row r="617">
      <x:c r="A617" t="s">
        <x:v>855</x:v>
      </x:c>
      <x:c r="B617" t="s">
        <x:v>854</x:v>
      </x:c>
      <x:c r="C617" t="s">
        <x:v>44</x:v>
      </x:c>
      <x:c r="D617">
        <x:v>45952</x:v>
      </x:c>
      <x:c r="E617" t="s">
        <x:v>187</x:v>
      </x:c>
      <x:c r="F617" t="s">
        <x:v>55</x:v>
      </x:c>
      <x:c r="G617">
        <x:v>24</x:v>
      </x:c>
      <x:c r="H617" t="s">
        <x:v>73</x:v>
      </x:c>
      <x:c r="I617">
        <x:v>2</x:v>
      </x:c>
      <x:c r="J617">
        <x:v>12</x:v>
      </x:c>
      <x:c r="K617">
        <x:v>3</x:v>
      </x:c>
      <x:c r="L617">
        <x:f t="shared" si="63"/>
        <x:v>1</x:v>
      </x:c>
      <x:c r="P617">
        <x:f t="shared" si="64"/>
        <x:v>1</x:v>
      </x:c>
      <x:c r="Q617">
        <x:f t="shared" si="65"/>
        <x:v>1</x:v>
      </x:c>
      <x:c r="R617">
        <x:f t="shared" si="66"/>
        <x:v>1</x:v>
      </x:c>
      <x:c r="S617">
        <x:f t="shared" si="67"/>
        <x:v>3</x:v>
      </x:c>
      <x:c r="T617" t="str">
        <x:f t="shared" si="68"/>
        <x:v>DerivedFromCount</x:v>
      </x:c>
      <x:c r="U617" t="str">
        <x:f>IF(COUNTIF(DailyProduction!$Q$5:$Q$100,B617)=1,"OK","CHECK")</x:f>
        <x:v>OK</x:v>
      </x:c>
      <x:c r="V617" t="str">
        <x:f t="shared" si="69"/>
        <x:v>OK</x:v>
      </x:c>
      <x:c r="W617" t="str">
        <x:f>IF(SUMIF($B$5:$B$914,B617,$S$5:$S$914)=SUMIF(DailyProduction!$Q$5:$Q$100,B617,DailyProduction!$R$5:$R$100),"OK","CHECK")</x:f>
        <x:v>OK</x:v>
      </x:c>
      <x:c r="X617" t="str">
        <x:v>PLC-PRD-JAR-330-L24</x:v>
      </x:c>
      <x:c r="Y617" t="str">
        <x:v>OK</x:v>
      </x:c>
      <x:c r="Z617" t="str">
        <x:v>OK</x:v>
      </x:c>
      <x:c r="AA617" t="n">
        <x:v>3</x:v>
      </x:c>
      <x:c r="AB617" t="n">
        <x:v>3</x:v>
      </x:c>
      <x:c r="AC617" t="str">
        <x:v>OK</x:v>
      </x:c>
      <x:c r="AD617" t="str">
        <x:v>OK</x:v>
      </x:c>
      <x:c r="AE617" t="str">
        <x:v>LOAD</x:v>
      </x:c>
      <x:c r="AF617" t="str">
        <x:v>02_Supervisor_Log(4).xlsx</x:v>
      </x:c>
      <x:c r="AG617" t="str">
        <x:v>ENH-20260830-01</x:v>
      </x:c>
      <x:c r="AH617" t="str">
        <x:v>Active</x:v>
      </x:c>
      <x:c r="AI617"/>
      <x:c r="AJ617"/>
      <x:c r="AK617"/>
      <x:c r="AL617"/>
    </x:row>
    <x:row r="618">
      <x:c r="A618" t="s">
        <x:v>856</x:v>
      </x:c>
      <x:c r="B618" t="s">
        <x:v>854</x:v>
      </x:c>
      <x:c r="C618" t="s">
        <x:v>44</x:v>
      </x:c>
      <x:c r="D618">
        <x:v>45952</x:v>
      </x:c>
      <x:c r="E618" t="s">
        <x:v>187</x:v>
      </x:c>
      <x:c r="F618" t="s">
        <x:v>55</x:v>
      </x:c>
      <x:c r="G618">
        <x:v>24</x:v>
      </x:c>
      <x:c r="H618" t="s">
        <x:v>73</x:v>
      </x:c>
      <x:c r="I618">
        <x:v>3</x:v>
      </x:c>
      <x:c r="J618">
        <x:v>12</x:v>
      </x:c>
      <x:c r="K618">
        <x:v>3</x:v>
      </x:c>
      <x:c r="L618">
        <x:f t="shared" si="63"/>
        <x:v>1</x:v>
      </x:c>
      <x:c r="P618">
        <x:f t="shared" si="64"/>
        <x:v>1</x:v>
      </x:c>
      <x:c r="Q618">
        <x:f t="shared" si="65"/>
        <x:v>1</x:v>
      </x:c>
      <x:c r="R618">
        <x:f t="shared" si="66"/>
        <x:v>1</x:v>
      </x:c>
      <x:c r="S618">
        <x:f t="shared" si="67"/>
        <x:v>3</x:v>
      </x:c>
      <x:c r="T618" t="str">
        <x:f t="shared" si="68"/>
        <x:v>DerivedFromCount</x:v>
      </x:c>
      <x:c r="U618" t="str">
        <x:f>IF(COUNTIF(DailyProduction!$Q$5:$Q$100,B618)=1,"OK","CHECK")</x:f>
        <x:v>OK</x:v>
      </x:c>
      <x:c r="V618" t="str">
        <x:f t="shared" si="69"/>
        <x:v>OK</x:v>
      </x:c>
      <x:c r="W618" t="str">
        <x:f>IF(SUMIF($B$5:$B$914,B618,$S$5:$S$914)=SUMIF(DailyProduction!$Q$5:$Q$100,B618,DailyProduction!$R$5:$R$100),"OK","CHECK")</x:f>
        <x:v>OK</x:v>
      </x:c>
      <x:c r="X618" t="str">
        <x:v>PLC-PRD-JAR-330-L24</x:v>
      </x:c>
      <x:c r="Y618" t="str">
        <x:v>OK</x:v>
      </x:c>
      <x:c r="Z618" t="str">
        <x:v>OK</x:v>
      </x:c>
      <x:c r="AA618" t="n">
        <x:v>3</x:v>
      </x:c>
      <x:c r="AB618" t="n">
        <x:v>3</x:v>
      </x:c>
      <x:c r="AC618" t="str">
        <x:v>OK</x:v>
      </x:c>
      <x:c r="AD618" t="str">
        <x:v>OK</x:v>
      </x:c>
      <x:c r="AE618" t="str">
        <x:v>LOAD</x:v>
      </x:c>
      <x:c r="AF618" t="str">
        <x:v>02_Supervisor_Log(4).xlsx</x:v>
      </x:c>
      <x:c r="AG618" t="str">
        <x:v>ENH-20260830-01</x:v>
      </x:c>
      <x:c r="AH618" t="str">
        <x:v>Active</x:v>
      </x:c>
      <x:c r="AI618"/>
      <x:c r="AJ618"/>
      <x:c r="AK618"/>
      <x:c r="AL618"/>
    </x:row>
    <x:row r="619">
      <x:c r="A619" t="s">
        <x:v>857</x:v>
      </x:c>
      <x:c r="B619" t="s">
        <x:v>854</x:v>
      </x:c>
      <x:c r="C619" t="s">
        <x:v>44</x:v>
      </x:c>
      <x:c r="D619">
        <x:v>45952</x:v>
      </x:c>
      <x:c r="E619" t="s">
        <x:v>187</x:v>
      </x:c>
      <x:c r="F619" t="s">
        <x:v>55</x:v>
      </x:c>
      <x:c r="G619">
        <x:v>24</x:v>
      </x:c>
      <x:c r="H619" t="s">
        <x:v>73</x:v>
      </x:c>
      <x:c r="I619">
        <x:v>4</x:v>
      </x:c>
      <x:c r="J619">
        <x:v>12</x:v>
      </x:c>
      <x:c r="K619">
        <x:v>3</x:v>
      </x:c>
      <x:c r="L619">
        <x:f t="shared" si="63"/>
        <x:v>1</x:v>
      </x:c>
      <x:c r="P619">
        <x:f t="shared" si="64"/>
        <x:v>1</x:v>
      </x:c>
      <x:c r="Q619">
        <x:f t="shared" si="65"/>
        <x:v>1</x:v>
      </x:c>
      <x:c r="R619">
        <x:f t="shared" si="66"/>
        <x:v>1</x:v>
      </x:c>
      <x:c r="S619">
        <x:f t="shared" si="67"/>
        <x:v>3</x:v>
      </x:c>
      <x:c r="T619" t="str">
        <x:f t="shared" si="68"/>
        <x:v>DerivedFromCount</x:v>
      </x:c>
      <x:c r="U619" t="str">
        <x:f>IF(COUNTIF(DailyProduction!$Q$5:$Q$100,B619)=1,"OK","CHECK")</x:f>
        <x:v>OK</x:v>
      </x:c>
      <x:c r="V619" t="str">
        <x:f t="shared" si="69"/>
        <x:v>OK</x:v>
      </x:c>
      <x:c r="W619" t="str">
        <x:f>IF(SUMIF($B$5:$B$914,B619,$S$5:$S$914)=SUMIF(DailyProduction!$Q$5:$Q$100,B619,DailyProduction!$R$5:$R$100),"OK","CHECK")</x:f>
        <x:v>OK</x:v>
      </x:c>
      <x:c r="X619" t="str">
        <x:v>PLC-PRD-JAR-330-L24</x:v>
      </x:c>
      <x:c r="Y619" t="str">
        <x:v>OK</x:v>
      </x:c>
      <x:c r="Z619" t="str">
        <x:v>OK</x:v>
      </x:c>
      <x:c r="AA619" t="n">
        <x:v>3</x:v>
      </x:c>
      <x:c r="AB619" t="n">
        <x:v>3</x:v>
      </x:c>
      <x:c r="AC619" t="str">
        <x:v>OK</x:v>
      </x:c>
      <x:c r="AD619" t="str">
        <x:v>OK</x:v>
      </x:c>
      <x:c r="AE619" t="str">
        <x:v>LOAD</x:v>
      </x:c>
      <x:c r="AF619" t="str">
        <x:v>02_Supervisor_Log(4).xlsx</x:v>
      </x:c>
      <x:c r="AG619" t="str">
        <x:v>ENH-20260830-01</x:v>
      </x:c>
      <x:c r="AH619" t="str">
        <x:v>Active</x:v>
      </x:c>
      <x:c r="AI619"/>
      <x:c r="AJ619"/>
      <x:c r="AK619"/>
      <x:c r="AL619"/>
    </x:row>
    <x:row r="620">
      <x:c r="A620" t="s">
        <x:v>858</x:v>
      </x:c>
      <x:c r="B620" t="s">
        <x:v>854</x:v>
      </x:c>
      <x:c r="C620" t="s">
        <x:v>44</x:v>
      </x:c>
      <x:c r="D620">
        <x:v>45952</x:v>
      </x:c>
      <x:c r="E620" t="s">
        <x:v>187</x:v>
      </x:c>
      <x:c r="F620" t="s">
        <x:v>55</x:v>
      </x:c>
      <x:c r="G620">
        <x:v>24</x:v>
      </x:c>
      <x:c r="H620" t="s">
        <x:v>73</x:v>
      </x:c>
      <x:c r="I620">
        <x:v>5</x:v>
      </x:c>
      <x:c r="J620">
        <x:v>12</x:v>
      </x:c>
      <x:c r="K620">
        <x:v>3</x:v>
      </x:c>
      <x:c r="L620">
        <x:f t="shared" si="63"/>
        <x:v>1</x:v>
      </x:c>
      <x:c r="P620">
        <x:f t="shared" si="64"/>
        <x:v>1</x:v>
      </x:c>
      <x:c r="Q620">
        <x:f t="shared" si="65"/>
        <x:v>1</x:v>
      </x:c>
      <x:c r="R620">
        <x:f t="shared" si="66"/>
        <x:v>1</x:v>
      </x:c>
      <x:c r="S620">
        <x:f t="shared" si="67"/>
        <x:v>3</x:v>
      </x:c>
      <x:c r="T620" t="str">
        <x:f t="shared" si="68"/>
        <x:v>DerivedFromCount</x:v>
      </x:c>
      <x:c r="U620" t="str">
        <x:f>IF(COUNTIF(DailyProduction!$Q$5:$Q$100,B620)=1,"OK","CHECK")</x:f>
        <x:v>OK</x:v>
      </x:c>
      <x:c r="V620" t="str">
        <x:f t="shared" si="69"/>
        <x:v>OK</x:v>
      </x:c>
      <x:c r="W620" t="str">
        <x:f>IF(SUMIF($B$5:$B$914,B620,$S$5:$S$914)=SUMIF(DailyProduction!$Q$5:$Q$100,B620,DailyProduction!$R$5:$R$100),"OK","CHECK")</x:f>
        <x:v>OK</x:v>
      </x:c>
      <x:c r="X620" t="str">
        <x:v>PLC-PRD-JAR-330-L24</x:v>
      </x:c>
      <x:c r="Y620" t="str">
        <x:v>OK</x:v>
      </x:c>
      <x:c r="Z620" t="str">
        <x:v>OK</x:v>
      </x:c>
      <x:c r="AA620" t="n">
        <x:v>3</x:v>
      </x:c>
      <x:c r="AB620" t="n">
        <x:v>3</x:v>
      </x:c>
      <x:c r="AC620" t="str">
        <x:v>OK</x:v>
      </x:c>
      <x:c r="AD620" t="str">
        <x:v>OK</x:v>
      </x:c>
      <x:c r="AE620" t="str">
        <x:v>LOAD</x:v>
      </x:c>
      <x:c r="AF620" t="str">
        <x:v>02_Supervisor_Log(4).xlsx</x:v>
      </x:c>
      <x:c r="AG620" t="str">
        <x:v>ENH-20260830-01</x:v>
      </x:c>
      <x:c r="AH620" t="str">
        <x:v>Active</x:v>
      </x:c>
      <x:c r="AI620"/>
      <x:c r="AJ620"/>
      <x:c r="AK620"/>
      <x:c r="AL620"/>
    </x:row>
    <x:row r="621">
      <x:c r="A621" t="s">
        <x:v>859</x:v>
      </x:c>
      <x:c r="B621" t="s">
        <x:v>854</x:v>
      </x:c>
      <x:c r="C621" t="s">
        <x:v>44</x:v>
      </x:c>
      <x:c r="D621">
        <x:v>45952</x:v>
      </x:c>
      <x:c r="E621" t="s">
        <x:v>187</x:v>
      </x:c>
      <x:c r="F621" t="s">
        <x:v>55</x:v>
      </x:c>
      <x:c r="G621">
        <x:v>24</x:v>
      </x:c>
      <x:c r="H621" t="s">
        <x:v>73</x:v>
      </x:c>
      <x:c r="I621">
        <x:v>6</x:v>
      </x:c>
      <x:c r="J621">
        <x:v>12</x:v>
      </x:c>
      <x:c r="K621">
        <x:v>3</x:v>
      </x:c>
      <x:c r="L621">
        <x:f t="shared" si="63"/>
        <x:v>1</x:v>
      </x:c>
      <x:c r="P621">
        <x:f t="shared" si="64"/>
        <x:v>1</x:v>
      </x:c>
      <x:c r="Q621">
        <x:f t="shared" si="65"/>
        <x:v>1</x:v>
      </x:c>
      <x:c r="R621">
        <x:f t="shared" si="66"/>
        <x:v>1</x:v>
      </x:c>
      <x:c r="S621">
        <x:f t="shared" si="67"/>
        <x:v>3</x:v>
      </x:c>
      <x:c r="T621" t="str">
        <x:f t="shared" si="68"/>
        <x:v>DerivedFromCount</x:v>
      </x:c>
      <x:c r="U621" t="str">
        <x:f>IF(COUNTIF(DailyProduction!$Q$5:$Q$100,B621)=1,"OK","CHECK")</x:f>
        <x:v>OK</x:v>
      </x:c>
      <x:c r="V621" t="str">
        <x:f t="shared" si="69"/>
        <x:v>OK</x:v>
      </x:c>
      <x:c r="W621" t="str">
        <x:f>IF(SUMIF($B$5:$B$914,B621,$S$5:$S$914)=SUMIF(DailyProduction!$Q$5:$Q$100,B621,DailyProduction!$R$5:$R$100),"OK","CHECK")</x:f>
        <x:v>OK</x:v>
      </x:c>
      <x:c r="X621" t="str">
        <x:v>PLC-PRD-JAR-330-L24</x:v>
      </x:c>
      <x:c r="Y621" t="str">
        <x:v>OK</x:v>
      </x:c>
      <x:c r="Z621" t="str">
        <x:v>OK</x:v>
      </x:c>
      <x:c r="AA621" t="n">
        <x:v>3</x:v>
      </x:c>
      <x:c r="AB621" t="n">
        <x:v>3</x:v>
      </x:c>
      <x:c r="AC621" t="str">
        <x:v>OK</x:v>
      </x:c>
      <x:c r="AD621" t="str">
        <x:v>OK</x:v>
      </x:c>
      <x:c r="AE621" t="str">
        <x:v>LOAD</x:v>
      </x:c>
      <x:c r="AF621" t="str">
        <x:v>02_Supervisor_Log(4).xlsx</x:v>
      </x:c>
      <x:c r="AG621" t="str">
        <x:v>ENH-20260830-01</x:v>
      </x:c>
      <x:c r="AH621" t="str">
        <x:v>Active</x:v>
      </x:c>
      <x:c r="AI621"/>
      <x:c r="AJ621"/>
      <x:c r="AK621"/>
      <x:c r="AL621"/>
    </x:row>
    <x:row r="622">
      <x:c r="A622" t="s">
        <x:v>860</x:v>
      </x:c>
      <x:c r="B622" t="s">
        <x:v>854</x:v>
      </x:c>
      <x:c r="C622" t="s">
        <x:v>44</x:v>
      </x:c>
      <x:c r="D622">
        <x:v>45952</x:v>
      </x:c>
      <x:c r="E622" t="s">
        <x:v>187</x:v>
      </x:c>
      <x:c r="F622" t="s">
        <x:v>55</x:v>
      </x:c>
      <x:c r="G622">
        <x:v>24</x:v>
      </x:c>
      <x:c r="H622" t="s">
        <x:v>73</x:v>
      </x:c>
      <x:c r="I622">
        <x:v>7</x:v>
      </x:c>
      <x:c r="J622">
        <x:v>12</x:v>
      </x:c>
      <x:c r="K622">
        <x:v>3</x:v>
      </x:c>
      <x:c r="L622">
        <x:f t="shared" si="63"/>
        <x:v>1</x:v>
      </x:c>
      <x:c r="P622">
        <x:f t="shared" si="64"/>
        <x:v>1</x:v>
      </x:c>
      <x:c r="Q622">
        <x:f t="shared" si="65"/>
        <x:v>1</x:v>
      </x:c>
      <x:c r="R622">
        <x:f t="shared" si="66"/>
        <x:v>1</x:v>
      </x:c>
      <x:c r="S622">
        <x:f t="shared" si="67"/>
        <x:v>3</x:v>
      </x:c>
      <x:c r="T622" t="str">
        <x:f t="shared" si="68"/>
        <x:v>DerivedFromCount</x:v>
      </x:c>
      <x:c r="U622" t="str">
        <x:f>IF(COUNTIF(DailyProduction!$Q$5:$Q$100,B622)=1,"OK","CHECK")</x:f>
        <x:v>OK</x:v>
      </x:c>
      <x:c r="V622" t="str">
        <x:f t="shared" si="69"/>
        <x:v>OK</x:v>
      </x:c>
      <x:c r="W622" t="str">
        <x:f>IF(SUMIF($B$5:$B$914,B622,$S$5:$S$914)=SUMIF(DailyProduction!$Q$5:$Q$100,B622,DailyProduction!$R$5:$R$100),"OK","CHECK")</x:f>
        <x:v>OK</x:v>
      </x:c>
      <x:c r="X622" t="str">
        <x:v>PLC-PRD-JAR-330-L24</x:v>
      </x:c>
      <x:c r="Y622" t="str">
        <x:v>OK</x:v>
      </x:c>
      <x:c r="Z622" t="str">
        <x:v>OK</x:v>
      </x:c>
      <x:c r="AA622" t="n">
        <x:v>3</x:v>
      </x:c>
      <x:c r="AB622" t="n">
        <x:v>3</x:v>
      </x:c>
      <x:c r="AC622" t="str">
        <x:v>OK</x:v>
      </x:c>
      <x:c r="AD622" t="str">
        <x:v>OK</x:v>
      </x:c>
      <x:c r="AE622" t="str">
        <x:v>LOAD</x:v>
      </x:c>
      <x:c r="AF622" t="str">
        <x:v>02_Supervisor_Log(4).xlsx</x:v>
      </x:c>
      <x:c r="AG622" t="str">
        <x:v>ENH-20260830-01</x:v>
      </x:c>
      <x:c r="AH622" t="str">
        <x:v>Active</x:v>
      </x:c>
      <x:c r="AI622"/>
      <x:c r="AJ622"/>
      <x:c r="AK622"/>
      <x:c r="AL622"/>
    </x:row>
    <x:row r="623">
      <x:c r="A623" t="s">
        <x:v>861</x:v>
      </x:c>
      <x:c r="B623" t="s">
        <x:v>854</x:v>
      </x:c>
      <x:c r="C623" t="s">
        <x:v>44</x:v>
      </x:c>
      <x:c r="D623">
        <x:v>45952</x:v>
      </x:c>
      <x:c r="E623" t="s">
        <x:v>187</x:v>
      </x:c>
      <x:c r="F623" t="s">
        <x:v>55</x:v>
      </x:c>
      <x:c r="G623">
        <x:v>24</x:v>
      </x:c>
      <x:c r="H623" t="s">
        <x:v>73</x:v>
      </x:c>
      <x:c r="I623">
        <x:v>8</x:v>
      </x:c>
      <x:c r="J623">
        <x:v>12</x:v>
      </x:c>
      <x:c r="K623">
        <x:v>3</x:v>
      </x:c>
      <x:c r="L623">
        <x:f t="shared" si="63"/>
        <x:v>1</x:v>
      </x:c>
      <x:c r="P623">
        <x:f t="shared" si="64"/>
        <x:v>1</x:v>
      </x:c>
      <x:c r="Q623">
        <x:f t="shared" si="65"/>
        <x:v>1</x:v>
      </x:c>
      <x:c r="R623">
        <x:f t="shared" si="66"/>
        <x:v>1</x:v>
      </x:c>
      <x:c r="S623">
        <x:f t="shared" si="67"/>
        <x:v>3</x:v>
      </x:c>
      <x:c r="T623" t="str">
        <x:f t="shared" si="68"/>
        <x:v>DerivedFromCount</x:v>
      </x:c>
      <x:c r="U623" t="str">
        <x:f>IF(COUNTIF(DailyProduction!$Q$5:$Q$100,B623)=1,"OK","CHECK")</x:f>
        <x:v>OK</x:v>
      </x:c>
      <x:c r="V623" t="str">
        <x:f t="shared" si="69"/>
        <x:v>OK</x:v>
      </x:c>
      <x:c r="W623" t="str">
        <x:f>IF(SUMIF($B$5:$B$914,B623,$S$5:$S$914)=SUMIF(DailyProduction!$Q$5:$Q$100,B623,DailyProduction!$R$5:$R$100),"OK","CHECK")</x:f>
        <x:v>OK</x:v>
      </x:c>
      <x:c r="X623" t="str">
        <x:v>PLC-PRD-JAR-330-L24</x:v>
      </x:c>
      <x:c r="Y623" t="str">
        <x:v>OK</x:v>
      </x:c>
      <x:c r="Z623" t="str">
        <x:v>OK</x:v>
      </x:c>
      <x:c r="AA623" t="n">
        <x:v>3</x:v>
      </x:c>
      <x:c r="AB623" t="n">
        <x:v>3</x:v>
      </x:c>
      <x:c r="AC623" t="str">
        <x:v>OK</x:v>
      </x:c>
      <x:c r="AD623" t="str">
        <x:v>OK</x:v>
      </x:c>
      <x:c r="AE623" t="str">
        <x:v>LOAD</x:v>
      </x:c>
      <x:c r="AF623" t="str">
        <x:v>02_Supervisor_Log(4).xlsx</x:v>
      </x:c>
      <x:c r="AG623" t="str">
        <x:v>ENH-20260830-01</x:v>
      </x:c>
      <x:c r="AH623" t="str">
        <x:v>Active</x:v>
      </x:c>
      <x:c r="AI623"/>
      <x:c r="AJ623"/>
      <x:c r="AK623"/>
      <x:c r="AL623"/>
    </x:row>
    <x:row r="624">
      <x:c r="A624" t="s">
        <x:v>862</x:v>
      </x:c>
      <x:c r="B624" t="s">
        <x:v>854</x:v>
      </x:c>
      <x:c r="C624" t="s">
        <x:v>44</x:v>
      </x:c>
      <x:c r="D624">
        <x:v>45952</x:v>
      </x:c>
      <x:c r="E624" t="s">
        <x:v>187</x:v>
      </x:c>
      <x:c r="F624" t="s">
        <x:v>55</x:v>
      </x:c>
      <x:c r="G624">
        <x:v>24</x:v>
      </x:c>
      <x:c r="H624" t="s">
        <x:v>73</x:v>
      </x:c>
      <x:c r="I624">
        <x:v>9</x:v>
      </x:c>
      <x:c r="J624">
        <x:v>12</x:v>
      </x:c>
      <x:c r="K624">
        <x:v>3</x:v>
      </x:c>
      <x:c r="L624">
        <x:f t="shared" si="63"/>
        <x:v>1</x:v>
      </x:c>
      <x:c r="P624">
        <x:f t="shared" si="64"/>
        <x:v>1</x:v>
      </x:c>
      <x:c r="Q624">
        <x:f t="shared" si="65"/>
        <x:v>1</x:v>
      </x:c>
      <x:c r="R624">
        <x:f t="shared" si="66"/>
        <x:v>1</x:v>
      </x:c>
      <x:c r="S624">
        <x:f t="shared" si="67"/>
        <x:v>3</x:v>
      </x:c>
      <x:c r="T624" t="str">
        <x:f t="shared" si="68"/>
        <x:v>DerivedFromCount</x:v>
      </x:c>
      <x:c r="U624" t="str">
        <x:f>IF(COUNTIF(DailyProduction!$Q$5:$Q$100,B624)=1,"OK","CHECK")</x:f>
        <x:v>OK</x:v>
      </x:c>
      <x:c r="V624" t="str">
        <x:f t="shared" si="69"/>
        <x:v>OK</x:v>
      </x:c>
      <x:c r="W624" t="str">
        <x:f>IF(SUMIF($B$5:$B$914,B624,$S$5:$S$914)=SUMIF(DailyProduction!$Q$5:$Q$100,B624,DailyProduction!$R$5:$R$100),"OK","CHECK")</x:f>
        <x:v>OK</x:v>
      </x:c>
      <x:c r="X624" t="str">
        <x:v>PLC-PRD-JAR-330-L24</x:v>
      </x:c>
      <x:c r="Y624" t="str">
        <x:v>OK</x:v>
      </x:c>
      <x:c r="Z624" t="str">
        <x:v>OK</x:v>
      </x:c>
      <x:c r="AA624" t="n">
        <x:v>3</x:v>
      </x:c>
      <x:c r="AB624" t="n">
        <x:v>3</x:v>
      </x:c>
      <x:c r="AC624" t="str">
        <x:v>OK</x:v>
      </x:c>
      <x:c r="AD624" t="str">
        <x:v>OK</x:v>
      </x:c>
      <x:c r="AE624" t="str">
        <x:v>LOAD</x:v>
      </x:c>
      <x:c r="AF624" t="str">
        <x:v>02_Supervisor_Log(4).xlsx</x:v>
      </x:c>
      <x:c r="AG624" t="str">
        <x:v>ENH-20260830-01</x:v>
      </x:c>
      <x:c r="AH624" t="str">
        <x:v>Active</x:v>
      </x:c>
      <x:c r="AI624"/>
      <x:c r="AJ624"/>
      <x:c r="AK624"/>
      <x:c r="AL624"/>
    </x:row>
    <x:row r="625">
      <x:c r="A625" t="s">
        <x:v>863</x:v>
      </x:c>
      <x:c r="B625" t="s">
        <x:v>854</x:v>
      </x:c>
      <x:c r="C625" t="s">
        <x:v>44</x:v>
      </x:c>
      <x:c r="D625">
        <x:v>45952</x:v>
      </x:c>
      <x:c r="E625" t="s">
        <x:v>187</x:v>
      </x:c>
      <x:c r="F625" t="s">
        <x:v>55</x:v>
      </x:c>
      <x:c r="G625">
        <x:v>24</x:v>
      </x:c>
      <x:c r="H625" t="s">
        <x:v>73</x:v>
      </x:c>
      <x:c r="I625">
        <x:v>10</x:v>
      </x:c>
      <x:c r="J625">
        <x:v>12</x:v>
      </x:c>
      <x:c r="K625">
        <x:v>3</x:v>
      </x:c>
      <x:c r="L625">
        <x:f t="shared" si="63"/>
        <x:v>1</x:v>
      </x:c>
      <x:c r="P625">
        <x:f t="shared" si="64"/>
        <x:v>1</x:v>
      </x:c>
      <x:c r="Q625">
        <x:f t="shared" si="65"/>
        <x:v>1</x:v>
      </x:c>
      <x:c r="R625">
        <x:f t="shared" si="66"/>
        <x:v>1</x:v>
      </x:c>
      <x:c r="S625">
        <x:f t="shared" si="67"/>
        <x:v>3</x:v>
      </x:c>
      <x:c r="T625" t="str">
        <x:f t="shared" si="68"/>
        <x:v>DerivedFromCount</x:v>
      </x:c>
      <x:c r="U625" t="str">
        <x:f>IF(COUNTIF(DailyProduction!$Q$5:$Q$100,B625)=1,"OK","CHECK")</x:f>
        <x:v>OK</x:v>
      </x:c>
      <x:c r="V625" t="str">
        <x:f t="shared" si="69"/>
        <x:v>OK</x:v>
      </x:c>
      <x:c r="W625" t="str">
        <x:f>IF(SUMIF($B$5:$B$914,B625,$S$5:$S$914)=SUMIF(DailyProduction!$Q$5:$Q$100,B625,DailyProduction!$R$5:$R$100),"OK","CHECK")</x:f>
        <x:v>OK</x:v>
      </x:c>
      <x:c r="X625" t="str">
        <x:v>PLC-PRD-JAR-330-L24</x:v>
      </x:c>
      <x:c r="Y625" t="str">
        <x:v>OK</x:v>
      </x:c>
      <x:c r="Z625" t="str">
        <x:v>OK</x:v>
      </x:c>
      <x:c r="AA625" t="n">
        <x:v>3</x:v>
      </x:c>
      <x:c r="AB625" t="n">
        <x:v>3</x:v>
      </x:c>
      <x:c r="AC625" t="str">
        <x:v>OK</x:v>
      </x:c>
      <x:c r="AD625" t="str">
        <x:v>OK</x:v>
      </x:c>
      <x:c r="AE625" t="str">
        <x:v>LOAD</x:v>
      </x:c>
      <x:c r="AF625" t="str">
        <x:v>02_Supervisor_Log(4).xlsx</x:v>
      </x:c>
      <x:c r="AG625" t="str">
        <x:v>ENH-20260830-01</x:v>
      </x:c>
      <x:c r="AH625" t="str">
        <x:v>Active</x:v>
      </x:c>
      <x:c r="AI625"/>
      <x:c r="AJ625"/>
      <x:c r="AK625"/>
      <x:c r="AL625"/>
    </x:row>
    <x:row r="626">
      <x:c r="A626" t="s">
        <x:v>864</x:v>
      </x:c>
      <x:c r="B626" t="s">
        <x:v>854</x:v>
      </x:c>
      <x:c r="C626" t="s">
        <x:v>44</x:v>
      </x:c>
      <x:c r="D626">
        <x:v>45952</x:v>
      </x:c>
      <x:c r="E626" t="s">
        <x:v>187</x:v>
      </x:c>
      <x:c r="F626" t="s">
        <x:v>55</x:v>
      </x:c>
      <x:c r="G626">
        <x:v>24</x:v>
      </x:c>
      <x:c r="H626" t="s">
        <x:v>73</x:v>
      </x:c>
      <x:c r="I626">
        <x:v>11</x:v>
      </x:c>
      <x:c r="J626">
        <x:v>12</x:v>
      </x:c>
      <x:c r="K626">
        <x:v>3</x:v>
      </x:c>
      <x:c r="L626">
        <x:f t="shared" si="63"/>
        <x:v>1</x:v>
      </x:c>
      <x:c r="P626">
        <x:f t="shared" si="64"/>
        <x:v>1</x:v>
      </x:c>
      <x:c r="Q626">
        <x:f t="shared" si="65"/>
        <x:v>1</x:v>
      </x:c>
      <x:c r="R626">
        <x:f t="shared" si="66"/>
        <x:v>1</x:v>
      </x:c>
      <x:c r="S626">
        <x:f t="shared" si="67"/>
        <x:v>3</x:v>
      </x:c>
      <x:c r="T626" t="str">
        <x:f t="shared" si="68"/>
        <x:v>DerivedFromCount</x:v>
      </x:c>
      <x:c r="U626" t="str">
        <x:f>IF(COUNTIF(DailyProduction!$Q$5:$Q$100,B626)=1,"OK","CHECK")</x:f>
        <x:v>OK</x:v>
      </x:c>
      <x:c r="V626" t="str">
        <x:f t="shared" si="69"/>
        <x:v>OK</x:v>
      </x:c>
      <x:c r="W626" t="str">
        <x:f>IF(SUMIF($B$5:$B$914,B626,$S$5:$S$914)=SUMIF(DailyProduction!$Q$5:$Q$100,B626,DailyProduction!$R$5:$R$100),"OK","CHECK")</x:f>
        <x:v>OK</x:v>
      </x:c>
      <x:c r="X626" t="str">
        <x:v>PLC-PRD-JAR-330-L24</x:v>
      </x:c>
      <x:c r="Y626" t="str">
        <x:v>OK</x:v>
      </x:c>
      <x:c r="Z626" t="str">
        <x:v>OK</x:v>
      </x:c>
      <x:c r="AA626" t="n">
        <x:v>3</x:v>
      </x:c>
      <x:c r="AB626" t="n">
        <x:v>3</x:v>
      </x:c>
      <x:c r="AC626" t="str">
        <x:v>OK</x:v>
      </x:c>
      <x:c r="AD626" t="str">
        <x:v>OK</x:v>
      </x:c>
      <x:c r="AE626" t="str">
        <x:v>LOAD</x:v>
      </x:c>
      <x:c r="AF626" t="str">
        <x:v>02_Supervisor_Log(4).xlsx</x:v>
      </x:c>
      <x:c r="AG626" t="str">
        <x:v>ENH-20260830-01</x:v>
      </x:c>
      <x:c r="AH626" t="str">
        <x:v>Active</x:v>
      </x:c>
      <x:c r="AI626"/>
      <x:c r="AJ626"/>
      <x:c r="AK626"/>
      <x:c r="AL626"/>
    </x:row>
    <x:row r="627">
      <x:c r="A627" t="s">
        <x:v>865</x:v>
      </x:c>
      <x:c r="B627" t="s">
        <x:v>854</x:v>
      </x:c>
      <x:c r="C627" t="s">
        <x:v>44</x:v>
      </x:c>
      <x:c r="D627">
        <x:v>45952</x:v>
      </x:c>
      <x:c r="E627" t="s">
        <x:v>187</x:v>
      </x:c>
      <x:c r="F627" t="s">
        <x:v>55</x:v>
      </x:c>
      <x:c r="G627">
        <x:v>24</x:v>
      </x:c>
      <x:c r="H627" t="s">
        <x:v>73</x:v>
      </x:c>
      <x:c r="I627">
        <x:v>12</x:v>
      </x:c>
      <x:c r="J627">
        <x:v>12</x:v>
      </x:c>
      <x:c r="K627">
        <x:v>3</x:v>
      </x:c>
      <x:c r="L627">
        <x:f t="shared" si="63"/>
        <x:v>1</x:v>
      </x:c>
      <x:c r="P627">
        <x:f t="shared" si="64"/>
        <x:v>1</x:v>
      </x:c>
      <x:c r="Q627">
        <x:f t="shared" si="65"/>
        <x:v>1</x:v>
      </x:c>
      <x:c r="R627">
        <x:f t="shared" si="66"/>
        <x:v>1</x:v>
      </x:c>
      <x:c r="S627">
        <x:f t="shared" si="67"/>
        <x:v>3</x:v>
      </x:c>
      <x:c r="T627" t="str">
        <x:f t="shared" si="68"/>
        <x:v>DerivedFromCount</x:v>
      </x:c>
      <x:c r="U627" t="str">
        <x:f>IF(COUNTIF(DailyProduction!$Q$5:$Q$100,B627)=1,"OK","CHECK")</x:f>
        <x:v>OK</x:v>
      </x:c>
      <x:c r="V627" t="str">
        <x:f t="shared" si="69"/>
        <x:v>OK</x:v>
      </x:c>
      <x:c r="W627" t="str">
        <x:f>IF(SUMIF($B$5:$B$914,B627,$S$5:$S$914)=SUMIF(DailyProduction!$Q$5:$Q$100,B627,DailyProduction!$R$5:$R$100),"OK","CHECK")</x:f>
        <x:v>OK</x:v>
      </x:c>
      <x:c r="X627" t="str">
        <x:v>PLC-PRD-JAR-330-L24</x:v>
      </x:c>
      <x:c r="Y627" t="str">
        <x:v>OK</x:v>
      </x:c>
      <x:c r="Z627" t="str">
        <x:v>OK</x:v>
      </x:c>
      <x:c r="AA627" t="n">
        <x:v>3</x:v>
      </x:c>
      <x:c r="AB627" t="n">
        <x:v>3</x:v>
      </x:c>
      <x:c r="AC627" t="str">
        <x:v>OK</x:v>
      </x:c>
      <x:c r="AD627" t="str">
        <x:v>OK</x:v>
      </x:c>
      <x:c r="AE627" t="str">
        <x:v>LOAD</x:v>
      </x:c>
      <x:c r="AF627" t="str">
        <x:v>02_Supervisor_Log(4).xlsx</x:v>
      </x:c>
      <x:c r="AG627" t="str">
        <x:v>ENH-20260830-01</x:v>
      </x:c>
      <x:c r="AH627" t="str">
        <x:v>Active</x:v>
      </x:c>
      <x:c r="AI627"/>
      <x:c r="AJ627"/>
      <x:c r="AK627"/>
      <x:c r="AL627"/>
    </x:row>
    <x:row r="628">
      <x:c r="A628" t="s">
        <x:v>866</x:v>
      </x:c>
      <x:c r="B628" t="s">
        <x:v>854</x:v>
      </x:c>
      <x:c r="C628" t="s">
        <x:v>44</x:v>
      </x:c>
      <x:c r="D628">
        <x:v>45952</x:v>
      </x:c>
      <x:c r="E628" t="s">
        <x:v>187</x:v>
      </x:c>
      <x:c r="F628" t="s">
        <x:v>55</x:v>
      </x:c>
      <x:c r="G628">
        <x:v>24</x:v>
      </x:c>
      <x:c r="H628" t="s">
        <x:v>73</x:v>
      </x:c>
      <x:c r="I628">
        <x:v>13</x:v>
      </x:c>
      <x:c r="J628">
        <x:v>12</x:v>
      </x:c>
      <x:c r="K628">
        <x:v>3</x:v>
      </x:c>
      <x:c r="L628">
        <x:f t="shared" si="63"/>
        <x:v>0</x:v>
      </x:c>
      <x:c r="P628">
        <x:f t="shared" si="64"/>
        <x:v>0</x:v>
      </x:c>
      <x:c r="Q628">
        <x:f t="shared" si="65"/>
        <x:v>0</x:v>
      </x:c>
      <x:c r="R628">
        <x:f t="shared" si="66"/>
        <x:v>0</x:v>
      </x:c>
      <x:c r="S628">
        <x:f t="shared" si="67"/>
        <x:v>0</x:v>
      </x:c>
      <x:c r="T628" t="str">
        <x:f t="shared" si="68"/>
        <x:v>DerivedFromCount</x:v>
      </x:c>
      <x:c r="U628" t="str">
        <x:f>IF(COUNTIF(DailyProduction!$Q$5:$Q$100,B628)=1,"OK","CHECK")</x:f>
        <x:v>OK</x:v>
      </x:c>
      <x:c r="V628" t="str">
        <x:f t="shared" si="69"/>
        <x:v>OK</x:v>
      </x:c>
      <x:c r="W628" t="str">
        <x:f>IF(SUMIF($B$5:$B$914,B628,$S$5:$S$914)=SUMIF(DailyProduction!$Q$5:$Q$100,B628,DailyProduction!$R$5:$R$100),"OK","CHECK")</x:f>
        <x:v>OK</x:v>
      </x:c>
      <x:c r="X628" t="str">
        <x:v>PLC-PRD-JAR-330-L24</x:v>
      </x:c>
      <x:c r="Y628" t="str">
        <x:v>OK</x:v>
      </x:c>
      <x:c r="Z628" t="str">
        <x:v>OK</x:v>
      </x:c>
      <x:c r="AA628" t="n">
        <x:v>3</x:v>
      </x:c>
      <x:c r="AB628" t="n">
        <x:v>0</x:v>
      </x:c>
      <x:c r="AC628" t="str">
        <x:v>OK</x:v>
      </x:c>
      <x:c r="AD628" t="str">
        <x:v>OK</x:v>
      </x:c>
      <x:c r="AE628" t="str">
        <x:v>LOAD</x:v>
      </x:c>
      <x:c r="AF628" t="str">
        <x:v>02_Supervisor_Log(4).xlsx</x:v>
      </x:c>
      <x:c r="AG628" t="str">
        <x:v>ENH-20260830-01</x:v>
      </x:c>
      <x:c r="AH628" t="str">
        <x:v>Active</x:v>
      </x:c>
      <x:c r="AI628"/>
      <x:c r="AJ628"/>
      <x:c r="AK628"/>
      <x:c r="AL628"/>
    </x:row>
    <x:row r="629">
      <x:c r="A629" t="s">
        <x:v>867</x:v>
      </x:c>
      <x:c r="B629" t="s">
        <x:v>868</x:v>
      </x:c>
      <x:c r="C629" t="s">
        <x:v>44</x:v>
      </x:c>
      <x:c r="D629">
        <x:v>45953</x:v>
      </x:c>
      <x:c r="E629" t="s">
        <x:v>45</x:v>
      </x:c>
      <x:c r="F629" t="s">
        <x:v>55</x:v>
      </x:c>
      <x:c r="G629">
        <x:v>24</x:v>
      </x:c>
      <x:c r="H629" t="s">
        <x:v>73</x:v>
      </x:c>
      <x:c r="I629">
        <x:v>1</x:v>
      </x:c>
      <x:c r="J629">
        <x:v>12</x:v>
      </x:c>
      <x:c r="K629">
        <x:v>3</x:v>
      </x:c>
      <x:c r="L629">
        <x:f t="shared" si="63"/>
        <x:v>1</x:v>
      </x:c>
      <x:c r="P629">
        <x:f t="shared" si="64"/>
        <x:v>1</x:v>
      </x:c>
      <x:c r="Q629">
        <x:f t="shared" si="65"/>
        <x:v>1</x:v>
      </x:c>
      <x:c r="R629">
        <x:f t="shared" si="66"/>
        <x:v>1</x:v>
      </x:c>
      <x:c r="S629">
        <x:f t="shared" si="67"/>
        <x:v>3</x:v>
      </x:c>
      <x:c r="T629" t="str">
        <x:f t="shared" si="68"/>
        <x:v>DerivedFromCount</x:v>
      </x:c>
      <x:c r="U629" t="str">
        <x:f>IF(COUNTIF(DailyProduction!$Q$5:$Q$100,B629)=1,"OK","CHECK")</x:f>
        <x:v>OK</x:v>
      </x:c>
      <x:c r="V629" t="str">
        <x:f t="shared" si="69"/>
        <x:v>OK</x:v>
      </x:c>
      <x:c r="W629" t="str">
        <x:f>IF(SUMIF($B$5:$B$914,B629,$S$5:$S$914)=SUMIF(DailyProduction!$Q$5:$Q$100,B629,DailyProduction!$R$5:$R$100),"OK","CHECK")</x:f>
        <x:v>OK</x:v>
      </x:c>
      <x:c r="X629" t="str">
        <x:v>PLC-PRD-JAR-330-L24</x:v>
      </x:c>
      <x:c r="Y629" t="str">
        <x:v>OK</x:v>
      </x:c>
      <x:c r="Z629" t="str">
        <x:v>OK</x:v>
      </x:c>
      <x:c r="AA629" t="n">
        <x:v>3</x:v>
      </x:c>
      <x:c r="AB629" t="n">
        <x:v>3</x:v>
      </x:c>
      <x:c r="AC629" t="str">
        <x:v>OK</x:v>
      </x:c>
      <x:c r="AD629" t="str">
        <x:v>OK</x:v>
      </x:c>
      <x:c r="AE629" t="str">
        <x:v>LOAD</x:v>
      </x:c>
      <x:c r="AF629" t="str">
        <x:v>02_Supervisor_Log(4).xlsx</x:v>
      </x:c>
      <x:c r="AG629" t="str">
        <x:v>ENH-20260830-01</x:v>
      </x:c>
      <x:c r="AH629" t="str">
        <x:v>Active</x:v>
      </x:c>
      <x:c r="AI629"/>
      <x:c r="AJ629"/>
      <x:c r="AK629"/>
      <x:c r="AL629"/>
    </x:row>
    <x:row r="630">
      <x:c r="A630" t="s">
        <x:v>869</x:v>
      </x:c>
      <x:c r="B630" t="s">
        <x:v>868</x:v>
      </x:c>
      <x:c r="C630" t="s">
        <x:v>44</x:v>
      </x:c>
      <x:c r="D630">
        <x:v>45953</x:v>
      </x:c>
      <x:c r="E630" t="s">
        <x:v>45</x:v>
      </x:c>
      <x:c r="F630" t="s">
        <x:v>55</x:v>
      </x:c>
      <x:c r="G630">
        <x:v>24</x:v>
      </x:c>
      <x:c r="H630" t="s">
        <x:v>73</x:v>
      </x:c>
      <x:c r="I630">
        <x:v>2</x:v>
      </x:c>
      <x:c r="J630">
        <x:v>12</x:v>
      </x:c>
      <x:c r="K630">
        <x:v>3</x:v>
      </x:c>
      <x:c r="L630">
        <x:f t="shared" si="63"/>
        <x:v>1</x:v>
      </x:c>
      <x:c r="P630">
        <x:f t="shared" si="64"/>
        <x:v>1</x:v>
      </x:c>
      <x:c r="Q630">
        <x:f t="shared" si="65"/>
        <x:v>1</x:v>
      </x:c>
      <x:c r="R630">
        <x:f t="shared" si="66"/>
        <x:v>1</x:v>
      </x:c>
      <x:c r="S630">
        <x:f t="shared" si="67"/>
        <x:v>3</x:v>
      </x:c>
      <x:c r="T630" t="str">
        <x:f t="shared" si="68"/>
        <x:v>DerivedFromCount</x:v>
      </x:c>
      <x:c r="U630" t="str">
        <x:f>IF(COUNTIF(DailyProduction!$Q$5:$Q$100,B630)=1,"OK","CHECK")</x:f>
        <x:v>OK</x:v>
      </x:c>
      <x:c r="V630" t="str">
        <x:f t="shared" si="69"/>
        <x:v>OK</x:v>
      </x:c>
      <x:c r="W630" t="str">
        <x:f>IF(SUMIF($B$5:$B$914,B630,$S$5:$S$914)=SUMIF(DailyProduction!$Q$5:$Q$100,B630,DailyProduction!$R$5:$R$100),"OK","CHECK")</x:f>
        <x:v>OK</x:v>
      </x:c>
      <x:c r="X630" t="str">
        <x:v>PLC-PRD-JAR-330-L24</x:v>
      </x:c>
      <x:c r="Y630" t="str">
        <x:v>OK</x:v>
      </x:c>
      <x:c r="Z630" t="str">
        <x:v>OK</x:v>
      </x:c>
      <x:c r="AA630" t="n">
        <x:v>3</x:v>
      </x:c>
      <x:c r="AB630" t="n">
        <x:v>3</x:v>
      </x:c>
      <x:c r="AC630" t="str">
        <x:v>OK</x:v>
      </x:c>
      <x:c r="AD630" t="str">
        <x:v>OK</x:v>
      </x:c>
      <x:c r="AE630" t="str">
        <x:v>LOAD</x:v>
      </x:c>
      <x:c r="AF630" t="str">
        <x:v>02_Supervisor_Log(4).xlsx</x:v>
      </x:c>
      <x:c r="AG630" t="str">
        <x:v>ENH-20260830-01</x:v>
      </x:c>
      <x:c r="AH630" t="str">
        <x:v>Active</x:v>
      </x:c>
      <x:c r="AI630"/>
      <x:c r="AJ630"/>
      <x:c r="AK630"/>
      <x:c r="AL630"/>
    </x:row>
    <x:row r="631">
      <x:c r="A631" t="s">
        <x:v>870</x:v>
      </x:c>
      <x:c r="B631" t="s">
        <x:v>868</x:v>
      </x:c>
      <x:c r="C631" t="s">
        <x:v>44</x:v>
      </x:c>
      <x:c r="D631">
        <x:v>45953</x:v>
      </x:c>
      <x:c r="E631" t="s">
        <x:v>45</x:v>
      </x:c>
      <x:c r="F631" t="s">
        <x:v>55</x:v>
      </x:c>
      <x:c r="G631">
        <x:v>24</x:v>
      </x:c>
      <x:c r="H631" t="s">
        <x:v>73</x:v>
      </x:c>
      <x:c r="I631">
        <x:v>3</x:v>
      </x:c>
      <x:c r="J631">
        <x:v>12</x:v>
      </x:c>
      <x:c r="K631">
        <x:v>3</x:v>
      </x:c>
      <x:c r="L631">
        <x:f t="shared" si="63"/>
        <x:v>1</x:v>
      </x:c>
      <x:c r="P631">
        <x:f t="shared" si="64"/>
        <x:v>1</x:v>
      </x:c>
      <x:c r="Q631">
        <x:f t="shared" si="65"/>
        <x:v>1</x:v>
      </x:c>
      <x:c r="R631">
        <x:f t="shared" si="66"/>
        <x:v>1</x:v>
      </x:c>
      <x:c r="S631">
        <x:f t="shared" si="67"/>
        <x:v>3</x:v>
      </x:c>
      <x:c r="T631" t="str">
        <x:f t="shared" si="68"/>
        <x:v>DerivedFromCount</x:v>
      </x:c>
      <x:c r="U631" t="str">
        <x:f>IF(COUNTIF(DailyProduction!$Q$5:$Q$100,B631)=1,"OK","CHECK")</x:f>
        <x:v>OK</x:v>
      </x:c>
      <x:c r="V631" t="str">
        <x:f t="shared" si="69"/>
        <x:v>OK</x:v>
      </x:c>
      <x:c r="W631" t="str">
        <x:f>IF(SUMIF($B$5:$B$914,B631,$S$5:$S$914)=SUMIF(DailyProduction!$Q$5:$Q$100,B631,DailyProduction!$R$5:$R$100),"OK","CHECK")</x:f>
        <x:v>OK</x:v>
      </x:c>
      <x:c r="X631" t="str">
        <x:v>PLC-PRD-JAR-330-L24</x:v>
      </x:c>
      <x:c r="Y631" t="str">
        <x:v>OK</x:v>
      </x:c>
      <x:c r="Z631" t="str">
        <x:v>OK</x:v>
      </x:c>
      <x:c r="AA631" t="n">
        <x:v>3</x:v>
      </x:c>
      <x:c r="AB631" t="n">
        <x:v>3</x:v>
      </x:c>
      <x:c r="AC631" t="str">
        <x:v>OK</x:v>
      </x:c>
      <x:c r="AD631" t="str">
        <x:v>OK</x:v>
      </x:c>
      <x:c r="AE631" t="str">
        <x:v>LOAD</x:v>
      </x:c>
      <x:c r="AF631" t="str">
        <x:v>02_Supervisor_Log(4).xlsx</x:v>
      </x:c>
      <x:c r="AG631" t="str">
        <x:v>ENH-20260830-01</x:v>
      </x:c>
      <x:c r="AH631" t="str">
        <x:v>Active</x:v>
      </x:c>
      <x:c r="AI631"/>
      <x:c r="AJ631"/>
      <x:c r="AK631"/>
      <x:c r="AL631"/>
    </x:row>
    <x:row r="632">
      <x:c r="A632" t="s">
        <x:v>871</x:v>
      </x:c>
      <x:c r="B632" t="s">
        <x:v>868</x:v>
      </x:c>
      <x:c r="C632" t="s">
        <x:v>44</x:v>
      </x:c>
      <x:c r="D632">
        <x:v>45953</x:v>
      </x:c>
      <x:c r="E632" t="s">
        <x:v>45</x:v>
      </x:c>
      <x:c r="F632" t="s">
        <x:v>55</x:v>
      </x:c>
      <x:c r="G632">
        <x:v>24</x:v>
      </x:c>
      <x:c r="H632" t="s">
        <x:v>73</x:v>
      </x:c>
      <x:c r="I632">
        <x:v>4</x:v>
      </x:c>
      <x:c r="J632">
        <x:v>12</x:v>
      </x:c>
      <x:c r="K632">
        <x:v>3</x:v>
      </x:c>
      <x:c r="L632">
        <x:f t="shared" si="63"/>
        <x:v>1</x:v>
      </x:c>
      <x:c r="P632">
        <x:f t="shared" si="64"/>
        <x:v>1</x:v>
      </x:c>
      <x:c r="Q632">
        <x:f t="shared" si="65"/>
        <x:v>1</x:v>
      </x:c>
      <x:c r="R632">
        <x:f t="shared" si="66"/>
        <x:v>1</x:v>
      </x:c>
      <x:c r="S632">
        <x:f t="shared" si="67"/>
        <x:v>3</x:v>
      </x:c>
      <x:c r="T632" t="str">
        <x:f t="shared" si="68"/>
        <x:v>DerivedFromCount</x:v>
      </x:c>
      <x:c r="U632" t="str">
        <x:f>IF(COUNTIF(DailyProduction!$Q$5:$Q$100,B632)=1,"OK","CHECK")</x:f>
        <x:v>OK</x:v>
      </x:c>
      <x:c r="V632" t="str">
        <x:f t="shared" si="69"/>
        <x:v>OK</x:v>
      </x:c>
      <x:c r="W632" t="str">
        <x:f>IF(SUMIF($B$5:$B$914,B632,$S$5:$S$914)=SUMIF(DailyProduction!$Q$5:$Q$100,B632,DailyProduction!$R$5:$R$100),"OK","CHECK")</x:f>
        <x:v>OK</x:v>
      </x:c>
      <x:c r="X632" t="str">
        <x:v>PLC-PRD-JAR-330-L24</x:v>
      </x:c>
      <x:c r="Y632" t="str">
        <x:v>OK</x:v>
      </x:c>
      <x:c r="Z632" t="str">
        <x:v>OK</x:v>
      </x:c>
      <x:c r="AA632" t="n">
        <x:v>3</x:v>
      </x:c>
      <x:c r="AB632" t="n">
        <x:v>3</x:v>
      </x:c>
      <x:c r="AC632" t="str">
        <x:v>OK</x:v>
      </x:c>
      <x:c r="AD632" t="str">
        <x:v>OK</x:v>
      </x:c>
      <x:c r="AE632" t="str">
        <x:v>LOAD</x:v>
      </x:c>
      <x:c r="AF632" t="str">
        <x:v>02_Supervisor_Log(4).xlsx</x:v>
      </x:c>
      <x:c r="AG632" t="str">
        <x:v>ENH-20260830-01</x:v>
      </x:c>
      <x:c r="AH632" t="str">
        <x:v>Active</x:v>
      </x:c>
      <x:c r="AI632"/>
      <x:c r="AJ632"/>
      <x:c r="AK632"/>
      <x:c r="AL632"/>
    </x:row>
    <x:row r="633">
      <x:c r="A633" t="s">
        <x:v>872</x:v>
      </x:c>
      <x:c r="B633" t="s">
        <x:v>868</x:v>
      </x:c>
      <x:c r="C633" t="s">
        <x:v>44</x:v>
      </x:c>
      <x:c r="D633">
        <x:v>45953</x:v>
      </x:c>
      <x:c r="E633" t="s">
        <x:v>45</x:v>
      </x:c>
      <x:c r="F633" t="s">
        <x:v>55</x:v>
      </x:c>
      <x:c r="G633">
        <x:v>24</x:v>
      </x:c>
      <x:c r="H633" t="s">
        <x:v>73</x:v>
      </x:c>
      <x:c r="I633">
        <x:v>5</x:v>
      </x:c>
      <x:c r="J633">
        <x:v>12</x:v>
      </x:c>
      <x:c r="K633">
        <x:v>3</x:v>
      </x:c>
      <x:c r="L633">
        <x:f t="shared" si="63"/>
        <x:v>1</x:v>
      </x:c>
      <x:c r="P633">
        <x:f t="shared" si="64"/>
        <x:v>1</x:v>
      </x:c>
      <x:c r="Q633">
        <x:f t="shared" si="65"/>
        <x:v>1</x:v>
      </x:c>
      <x:c r="R633">
        <x:f t="shared" si="66"/>
        <x:v>1</x:v>
      </x:c>
      <x:c r="S633">
        <x:f t="shared" si="67"/>
        <x:v>3</x:v>
      </x:c>
      <x:c r="T633" t="str">
        <x:f t="shared" si="68"/>
        <x:v>DerivedFromCount</x:v>
      </x:c>
      <x:c r="U633" t="str">
        <x:f>IF(COUNTIF(DailyProduction!$Q$5:$Q$100,B633)=1,"OK","CHECK")</x:f>
        <x:v>OK</x:v>
      </x:c>
      <x:c r="V633" t="str">
        <x:f t="shared" si="69"/>
        <x:v>OK</x:v>
      </x:c>
      <x:c r="W633" t="str">
        <x:f>IF(SUMIF($B$5:$B$914,B633,$S$5:$S$914)=SUMIF(DailyProduction!$Q$5:$Q$100,B633,DailyProduction!$R$5:$R$100),"OK","CHECK")</x:f>
        <x:v>OK</x:v>
      </x:c>
      <x:c r="X633" t="str">
        <x:v>PLC-PRD-JAR-330-L24</x:v>
      </x:c>
      <x:c r="Y633" t="str">
        <x:v>OK</x:v>
      </x:c>
      <x:c r="Z633" t="str">
        <x:v>OK</x:v>
      </x:c>
      <x:c r="AA633" t="n">
        <x:v>3</x:v>
      </x:c>
      <x:c r="AB633" t="n">
        <x:v>3</x:v>
      </x:c>
      <x:c r="AC633" t="str">
        <x:v>OK</x:v>
      </x:c>
      <x:c r="AD633" t="str">
        <x:v>OK</x:v>
      </x:c>
      <x:c r="AE633" t="str">
        <x:v>LOAD</x:v>
      </x:c>
      <x:c r="AF633" t="str">
        <x:v>02_Supervisor_Log(4).xlsx</x:v>
      </x:c>
      <x:c r="AG633" t="str">
        <x:v>ENH-20260830-01</x:v>
      </x:c>
      <x:c r="AH633" t="str">
        <x:v>Active</x:v>
      </x:c>
      <x:c r="AI633"/>
      <x:c r="AJ633"/>
      <x:c r="AK633"/>
      <x:c r="AL633"/>
    </x:row>
    <x:row r="634">
      <x:c r="A634" t="s">
        <x:v>873</x:v>
      </x:c>
      <x:c r="B634" t="s">
        <x:v>868</x:v>
      </x:c>
      <x:c r="C634" t="s">
        <x:v>44</x:v>
      </x:c>
      <x:c r="D634">
        <x:v>45953</x:v>
      </x:c>
      <x:c r="E634" t="s">
        <x:v>45</x:v>
      </x:c>
      <x:c r="F634" t="s">
        <x:v>55</x:v>
      </x:c>
      <x:c r="G634">
        <x:v>24</x:v>
      </x:c>
      <x:c r="H634" t="s">
        <x:v>73</x:v>
      </x:c>
      <x:c r="I634">
        <x:v>6</x:v>
      </x:c>
      <x:c r="J634">
        <x:v>12</x:v>
      </x:c>
      <x:c r="K634">
        <x:v>3</x:v>
      </x:c>
      <x:c r="L634">
        <x:f t="shared" si="63"/>
        <x:v>1</x:v>
      </x:c>
      <x:c r="P634">
        <x:f t="shared" si="64"/>
        <x:v>1</x:v>
      </x:c>
      <x:c r="Q634">
        <x:f t="shared" si="65"/>
        <x:v>1</x:v>
      </x:c>
      <x:c r="R634">
        <x:f t="shared" si="66"/>
        <x:v>1</x:v>
      </x:c>
      <x:c r="S634">
        <x:f t="shared" si="67"/>
        <x:v>3</x:v>
      </x:c>
      <x:c r="T634" t="str">
        <x:f t="shared" si="68"/>
        <x:v>DerivedFromCount</x:v>
      </x:c>
      <x:c r="U634" t="str">
        <x:f>IF(COUNTIF(DailyProduction!$Q$5:$Q$100,B634)=1,"OK","CHECK")</x:f>
        <x:v>OK</x:v>
      </x:c>
      <x:c r="V634" t="str">
        <x:f t="shared" si="69"/>
        <x:v>OK</x:v>
      </x:c>
      <x:c r="W634" t="str">
        <x:f>IF(SUMIF($B$5:$B$914,B634,$S$5:$S$914)=SUMIF(DailyProduction!$Q$5:$Q$100,B634,DailyProduction!$R$5:$R$100),"OK","CHECK")</x:f>
        <x:v>OK</x:v>
      </x:c>
      <x:c r="X634" t="str">
        <x:v>PLC-PRD-JAR-330-L24</x:v>
      </x:c>
      <x:c r="Y634" t="str">
        <x:v>OK</x:v>
      </x:c>
      <x:c r="Z634" t="str">
        <x:v>OK</x:v>
      </x:c>
      <x:c r="AA634" t="n">
        <x:v>3</x:v>
      </x:c>
      <x:c r="AB634" t="n">
        <x:v>3</x:v>
      </x:c>
      <x:c r="AC634" t="str">
        <x:v>OK</x:v>
      </x:c>
      <x:c r="AD634" t="str">
        <x:v>OK</x:v>
      </x:c>
      <x:c r="AE634" t="str">
        <x:v>LOAD</x:v>
      </x:c>
      <x:c r="AF634" t="str">
        <x:v>02_Supervisor_Log(4).xlsx</x:v>
      </x:c>
      <x:c r="AG634" t="str">
        <x:v>ENH-20260830-01</x:v>
      </x:c>
      <x:c r="AH634" t="str">
        <x:v>Active</x:v>
      </x:c>
      <x:c r="AI634"/>
      <x:c r="AJ634"/>
      <x:c r="AK634"/>
      <x:c r="AL634"/>
    </x:row>
    <x:row r="635">
      <x:c r="A635" t="s">
        <x:v>874</x:v>
      </x:c>
      <x:c r="B635" t="s">
        <x:v>868</x:v>
      </x:c>
      <x:c r="C635" t="s">
        <x:v>44</x:v>
      </x:c>
      <x:c r="D635">
        <x:v>45953</x:v>
      </x:c>
      <x:c r="E635" t="s">
        <x:v>45</x:v>
      </x:c>
      <x:c r="F635" t="s">
        <x:v>55</x:v>
      </x:c>
      <x:c r="G635">
        <x:v>24</x:v>
      </x:c>
      <x:c r="H635" t="s">
        <x:v>73</x:v>
      </x:c>
      <x:c r="I635">
        <x:v>7</x:v>
      </x:c>
      <x:c r="J635">
        <x:v>12</x:v>
      </x:c>
      <x:c r="K635">
        <x:v>3</x:v>
      </x:c>
      <x:c r="L635">
        <x:f t="shared" si="63"/>
        <x:v>1</x:v>
      </x:c>
      <x:c r="P635">
        <x:f t="shared" si="64"/>
        <x:v>1</x:v>
      </x:c>
      <x:c r="Q635">
        <x:f t="shared" si="65"/>
        <x:v>1</x:v>
      </x:c>
      <x:c r="R635">
        <x:f t="shared" si="66"/>
        <x:v>1</x:v>
      </x:c>
      <x:c r="S635">
        <x:f t="shared" si="67"/>
        <x:v>3</x:v>
      </x:c>
      <x:c r="T635" t="str">
        <x:f t="shared" si="68"/>
        <x:v>DerivedFromCount</x:v>
      </x:c>
      <x:c r="U635" t="str">
        <x:f>IF(COUNTIF(DailyProduction!$Q$5:$Q$100,B635)=1,"OK","CHECK")</x:f>
        <x:v>OK</x:v>
      </x:c>
      <x:c r="V635" t="str">
        <x:f t="shared" si="69"/>
        <x:v>OK</x:v>
      </x:c>
      <x:c r="W635" t="str">
        <x:f>IF(SUMIF($B$5:$B$914,B635,$S$5:$S$914)=SUMIF(DailyProduction!$Q$5:$Q$100,B635,DailyProduction!$R$5:$R$100),"OK","CHECK")</x:f>
        <x:v>OK</x:v>
      </x:c>
      <x:c r="X635" t="str">
        <x:v>PLC-PRD-JAR-330-L24</x:v>
      </x:c>
      <x:c r="Y635" t="str">
        <x:v>OK</x:v>
      </x:c>
      <x:c r="Z635" t="str">
        <x:v>OK</x:v>
      </x:c>
      <x:c r="AA635" t="n">
        <x:v>3</x:v>
      </x:c>
      <x:c r="AB635" t="n">
        <x:v>3</x:v>
      </x:c>
      <x:c r="AC635" t="str">
        <x:v>OK</x:v>
      </x:c>
      <x:c r="AD635" t="str">
        <x:v>OK</x:v>
      </x:c>
      <x:c r="AE635" t="str">
        <x:v>LOAD</x:v>
      </x:c>
      <x:c r="AF635" t="str">
        <x:v>02_Supervisor_Log(4).xlsx</x:v>
      </x:c>
      <x:c r="AG635" t="str">
        <x:v>ENH-20260830-01</x:v>
      </x:c>
      <x:c r="AH635" t="str">
        <x:v>Active</x:v>
      </x:c>
      <x:c r="AI635"/>
      <x:c r="AJ635"/>
      <x:c r="AK635"/>
      <x:c r="AL635"/>
    </x:row>
    <x:row r="636">
      <x:c r="A636" t="s">
        <x:v>875</x:v>
      </x:c>
      <x:c r="B636" t="s">
        <x:v>868</x:v>
      </x:c>
      <x:c r="C636" t="s">
        <x:v>44</x:v>
      </x:c>
      <x:c r="D636">
        <x:v>45953</x:v>
      </x:c>
      <x:c r="E636" t="s">
        <x:v>45</x:v>
      </x:c>
      <x:c r="F636" t="s">
        <x:v>55</x:v>
      </x:c>
      <x:c r="G636">
        <x:v>24</x:v>
      </x:c>
      <x:c r="H636" t="s">
        <x:v>73</x:v>
      </x:c>
      <x:c r="I636">
        <x:v>8</x:v>
      </x:c>
      <x:c r="J636">
        <x:v>12</x:v>
      </x:c>
      <x:c r="K636">
        <x:v>3</x:v>
      </x:c>
      <x:c r="L636">
        <x:f t="shared" si="63"/>
        <x:v>1</x:v>
      </x:c>
      <x:c r="P636">
        <x:f t="shared" si="64"/>
        <x:v>1</x:v>
      </x:c>
      <x:c r="Q636">
        <x:f t="shared" si="65"/>
        <x:v>1</x:v>
      </x:c>
      <x:c r="R636">
        <x:f t="shared" si="66"/>
        <x:v>1</x:v>
      </x:c>
      <x:c r="S636">
        <x:f t="shared" si="67"/>
        <x:v>3</x:v>
      </x:c>
      <x:c r="T636" t="str">
        <x:f t="shared" si="68"/>
        <x:v>DerivedFromCount</x:v>
      </x:c>
      <x:c r="U636" t="str">
        <x:f>IF(COUNTIF(DailyProduction!$Q$5:$Q$100,B636)=1,"OK","CHECK")</x:f>
        <x:v>OK</x:v>
      </x:c>
      <x:c r="V636" t="str">
        <x:f t="shared" si="69"/>
        <x:v>OK</x:v>
      </x:c>
      <x:c r="W636" t="str">
        <x:f>IF(SUMIF($B$5:$B$914,B636,$S$5:$S$914)=SUMIF(DailyProduction!$Q$5:$Q$100,B636,DailyProduction!$R$5:$R$100),"OK","CHECK")</x:f>
        <x:v>OK</x:v>
      </x:c>
      <x:c r="X636" t="str">
        <x:v>PLC-PRD-JAR-330-L24</x:v>
      </x:c>
      <x:c r="Y636" t="str">
        <x:v>OK</x:v>
      </x:c>
      <x:c r="Z636" t="str">
        <x:v>OK</x:v>
      </x:c>
      <x:c r="AA636" t="n">
        <x:v>3</x:v>
      </x:c>
      <x:c r="AB636" t="n">
        <x:v>3</x:v>
      </x:c>
      <x:c r="AC636" t="str">
        <x:v>OK</x:v>
      </x:c>
      <x:c r="AD636" t="str">
        <x:v>OK</x:v>
      </x:c>
      <x:c r="AE636" t="str">
        <x:v>LOAD</x:v>
      </x:c>
      <x:c r="AF636" t="str">
        <x:v>02_Supervisor_Log(4).xlsx</x:v>
      </x:c>
      <x:c r="AG636" t="str">
        <x:v>ENH-20260830-01</x:v>
      </x:c>
      <x:c r="AH636" t="str">
        <x:v>Active</x:v>
      </x:c>
      <x:c r="AI636"/>
      <x:c r="AJ636"/>
      <x:c r="AK636"/>
      <x:c r="AL636"/>
    </x:row>
    <x:row r="637">
      <x:c r="A637" t="s">
        <x:v>876</x:v>
      </x:c>
      <x:c r="B637" t="s">
        <x:v>868</x:v>
      </x:c>
      <x:c r="C637" t="s">
        <x:v>44</x:v>
      </x:c>
      <x:c r="D637">
        <x:v>45953</x:v>
      </x:c>
      <x:c r="E637" t="s">
        <x:v>45</x:v>
      </x:c>
      <x:c r="F637" t="s">
        <x:v>55</x:v>
      </x:c>
      <x:c r="G637">
        <x:v>24</x:v>
      </x:c>
      <x:c r="H637" t="s">
        <x:v>73</x:v>
      </x:c>
      <x:c r="I637">
        <x:v>9</x:v>
      </x:c>
      <x:c r="J637">
        <x:v>12</x:v>
      </x:c>
      <x:c r="K637">
        <x:v>3</x:v>
      </x:c>
      <x:c r="L637">
        <x:f t="shared" si="63"/>
        <x:v>1</x:v>
      </x:c>
      <x:c r="P637">
        <x:f t="shared" si="64"/>
        <x:v>1</x:v>
      </x:c>
      <x:c r="Q637">
        <x:f t="shared" si="65"/>
        <x:v>1</x:v>
      </x:c>
      <x:c r="R637">
        <x:f t="shared" si="66"/>
        <x:v>1</x:v>
      </x:c>
      <x:c r="S637">
        <x:f t="shared" si="67"/>
        <x:v>3</x:v>
      </x:c>
      <x:c r="T637" t="str">
        <x:f t="shared" si="68"/>
        <x:v>DerivedFromCount</x:v>
      </x:c>
      <x:c r="U637" t="str">
        <x:f>IF(COUNTIF(DailyProduction!$Q$5:$Q$100,B637)=1,"OK","CHECK")</x:f>
        <x:v>OK</x:v>
      </x:c>
      <x:c r="V637" t="str">
        <x:f t="shared" si="69"/>
        <x:v>OK</x:v>
      </x:c>
      <x:c r="W637" t="str">
        <x:f>IF(SUMIF($B$5:$B$914,B637,$S$5:$S$914)=SUMIF(DailyProduction!$Q$5:$Q$100,B637,DailyProduction!$R$5:$R$100),"OK","CHECK")</x:f>
        <x:v>OK</x:v>
      </x:c>
      <x:c r="X637" t="str">
        <x:v>PLC-PRD-JAR-330-L24</x:v>
      </x:c>
      <x:c r="Y637" t="str">
        <x:v>OK</x:v>
      </x:c>
      <x:c r="Z637" t="str">
        <x:v>OK</x:v>
      </x:c>
      <x:c r="AA637" t="n">
        <x:v>3</x:v>
      </x:c>
      <x:c r="AB637" t="n">
        <x:v>3</x:v>
      </x:c>
      <x:c r="AC637" t="str">
        <x:v>OK</x:v>
      </x:c>
      <x:c r="AD637" t="str">
        <x:v>OK</x:v>
      </x:c>
      <x:c r="AE637" t="str">
        <x:v>LOAD</x:v>
      </x:c>
      <x:c r="AF637" t="str">
        <x:v>02_Supervisor_Log(4).xlsx</x:v>
      </x:c>
      <x:c r="AG637" t="str">
        <x:v>ENH-20260830-01</x:v>
      </x:c>
      <x:c r="AH637" t="str">
        <x:v>Active</x:v>
      </x:c>
      <x:c r="AI637"/>
      <x:c r="AJ637"/>
      <x:c r="AK637"/>
      <x:c r="AL637"/>
    </x:row>
    <x:row r="638">
      <x:c r="A638" t="s">
        <x:v>877</x:v>
      </x:c>
      <x:c r="B638" t="s">
        <x:v>868</x:v>
      </x:c>
      <x:c r="C638" t="s">
        <x:v>44</x:v>
      </x:c>
      <x:c r="D638">
        <x:v>45953</x:v>
      </x:c>
      <x:c r="E638" t="s">
        <x:v>45</x:v>
      </x:c>
      <x:c r="F638" t="s">
        <x:v>55</x:v>
      </x:c>
      <x:c r="G638">
        <x:v>24</x:v>
      </x:c>
      <x:c r="H638" t="s">
        <x:v>73</x:v>
      </x:c>
      <x:c r="I638">
        <x:v>10</x:v>
      </x:c>
      <x:c r="J638">
        <x:v>12</x:v>
      </x:c>
      <x:c r="K638">
        <x:v>3</x:v>
      </x:c>
      <x:c r="L638">
        <x:f t="shared" si="63"/>
        <x:v>1</x:v>
      </x:c>
      <x:c r="P638">
        <x:f t="shared" si="64"/>
        <x:v>1</x:v>
      </x:c>
      <x:c r="Q638">
        <x:f t="shared" si="65"/>
        <x:v>1</x:v>
      </x:c>
      <x:c r="R638">
        <x:f t="shared" si="66"/>
        <x:v>1</x:v>
      </x:c>
      <x:c r="S638">
        <x:f t="shared" si="67"/>
        <x:v>3</x:v>
      </x:c>
      <x:c r="T638" t="str">
        <x:f t="shared" si="68"/>
        <x:v>DerivedFromCount</x:v>
      </x:c>
      <x:c r="U638" t="str">
        <x:f>IF(COUNTIF(DailyProduction!$Q$5:$Q$100,B638)=1,"OK","CHECK")</x:f>
        <x:v>OK</x:v>
      </x:c>
      <x:c r="V638" t="str">
        <x:f t="shared" si="69"/>
        <x:v>OK</x:v>
      </x:c>
      <x:c r="W638" t="str">
        <x:f>IF(SUMIF($B$5:$B$914,B638,$S$5:$S$914)=SUMIF(DailyProduction!$Q$5:$Q$100,B638,DailyProduction!$R$5:$R$100),"OK","CHECK")</x:f>
        <x:v>OK</x:v>
      </x:c>
      <x:c r="X638" t="str">
        <x:v>PLC-PRD-JAR-330-L24</x:v>
      </x:c>
      <x:c r="Y638" t="str">
        <x:v>OK</x:v>
      </x:c>
      <x:c r="Z638" t="str">
        <x:v>OK</x:v>
      </x:c>
      <x:c r="AA638" t="n">
        <x:v>3</x:v>
      </x:c>
      <x:c r="AB638" t="n">
        <x:v>3</x:v>
      </x:c>
      <x:c r="AC638" t="str">
        <x:v>OK</x:v>
      </x:c>
      <x:c r="AD638" t="str">
        <x:v>OK</x:v>
      </x:c>
      <x:c r="AE638" t="str">
        <x:v>LOAD</x:v>
      </x:c>
      <x:c r="AF638" t="str">
        <x:v>02_Supervisor_Log(4).xlsx</x:v>
      </x:c>
      <x:c r="AG638" t="str">
        <x:v>ENH-20260830-01</x:v>
      </x:c>
      <x:c r="AH638" t="str">
        <x:v>Active</x:v>
      </x:c>
      <x:c r="AI638"/>
      <x:c r="AJ638"/>
      <x:c r="AK638"/>
      <x:c r="AL638"/>
    </x:row>
    <x:row r="639">
      <x:c r="A639" t="s">
        <x:v>878</x:v>
      </x:c>
      <x:c r="B639" t="s">
        <x:v>868</x:v>
      </x:c>
      <x:c r="C639" t="s">
        <x:v>44</x:v>
      </x:c>
      <x:c r="D639">
        <x:v>45953</x:v>
      </x:c>
      <x:c r="E639" t="s">
        <x:v>45</x:v>
      </x:c>
      <x:c r="F639" t="s">
        <x:v>55</x:v>
      </x:c>
      <x:c r="G639">
        <x:v>24</x:v>
      </x:c>
      <x:c r="H639" t="s">
        <x:v>73</x:v>
      </x:c>
      <x:c r="I639">
        <x:v>11</x:v>
      </x:c>
      <x:c r="J639">
        <x:v>12</x:v>
      </x:c>
      <x:c r="K639">
        <x:v>3</x:v>
      </x:c>
      <x:c r="L639">
        <x:f t="shared" si="63"/>
        <x:v>1</x:v>
      </x:c>
      <x:c r="P639">
        <x:f t="shared" si="64"/>
        <x:v>1</x:v>
      </x:c>
      <x:c r="Q639">
        <x:f t="shared" si="65"/>
        <x:v>1</x:v>
      </x:c>
      <x:c r="R639">
        <x:f t="shared" si="66"/>
        <x:v>1</x:v>
      </x:c>
      <x:c r="S639">
        <x:f t="shared" si="67"/>
        <x:v>3</x:v>
      </x:c>
      <x:c r="T639" t="str">
        <x:f t="shared" si="68"/>
        <x:v>DerivedFromCount</x:v>
      </x:c>
      <x:c r="U639" t="str">
        <x:f>IF(COUNTIF(DailyProduction!$Q$5:$Q$100,B639)=1,"OK","CHECK")</x:f>
        <x:v>OK</x:v>
      </x:c>
      <x:c r="V639" t="str">
        <x:f t="shared" si="69"/>
        <x:v>OK</x:v>
      </x:c>
      <x:c r="W639" t="str">
        <x:f>IF(SUMIF($B$5:$B$914,B639,$S$5:$S$914)=SUMIF(DailyProduction!$Q$5:$Q$100,B639,DailyProduction!$R$5:$R$100),"OK","CHECK")</x:f>
        <x:v>OK</x:v>
      </x:c>
      <x:c r="X639" t="str">
        <x:v>PLC-PRD-JAR-330-L24</x:v>
      </x:c>
      <x:c r="Y639" t="str">
        <x:v>OK</x:v>
      </x:c>
      <x:c r="Z639" t="str">
        <x:v>OK</x:v>
      </x:c>
      <x:c r="AA639" t="n">
        <x:v>3</x:v>
      </x:c>
      <x:c r="AB639" t="n">
        <x:v>3</x:v>
      </x:c>
      <x:c r="AC639" t="str">
        <x:v>OK</x:v>
      </x:c>
      <x:c r="AD639" t="str">
        <x:v>OK</x:v>
      </x:c>
      <x:c r="AE639" t="str">
        <x:v>LOAD</x:v>
      </x:c>
      <x:c r="AF639" t="str">
        <x:v>02_Supervisor_Log(4).xlsx</x:v>
      </x:c>
      <x:c r="AG639" t="str">
        <x:v>ENH-20260830-01</x:v>
      </x:c>
      <x:c r="AH639" t="str">
        <x:v>Active</x:v>
      </x:c>
      <x:c r="AI639"/>
      <x:c r="AJ639"/>
      <x:c r="AK639"/>
      <x:c r="AL639"/>
    </x:row>
    <x:row r="640">
      <x:c r="A640" t="s">
        <x:v>879</x:v>
      </x:c>
      <x:c r="B640" t="s">
        <x:v>868</x:v>
      </x:c>
      <x:c r="C640" t="s">
        <x:v>44</x:v>
      </x:c>
      <x:c r="D640">
        <x:v>45953</x:v>
      </x:c>
      <x:c r="E640" t="s">
        <x:v>45</x:v>
      </x:c>
      <x:c r="F640" t="s">
        <x:v>55</x:v>
      </x:c>
      <x:c r="G640">
        <x:v>24</x:v>
      </x:c>
      <x:c r="H640" t="s">
        <x:v>73</x:v>
      </x:c>
      <x:c r="I640">
        <x:v>12</x:v>
      </x:c>
      <x:c r="J640">
        <x:v>12</x:v>
      </x:c>
      <x:c r="K640">
        <x:v>3</x:v>
      </x:c>
      <x:c r="L640">
        <x:f t="shared" si="63"/>
        <x:v>1</x:v>
      </x:c>
      <x:c r="P640">
        <x:f t="shared" si="64"/>
        <x:v>1</x:v>
      </x:c>
      <x:c r="Q640">
        <x:f t="shared" si="65"/>
        <x:v>1</x:v>
      </x:c>
      <x:c r="R640">
        <x:f t="shared" si="66"/>
        <x:v>1</x:v>
      </x:c>
      <x:c r="S640">
        <x:f t="shared" si="67"/>
        <x:v>3</x:v>
      </x:c>
      <x:c r="T640" t="str">
        <x:f t="shared" si="68"/>
        <x:v>DerivedFromCount</x:v>
      </x:c>
      <x:c r="U640" t="str">
        <x:f>IF(COUNTIF(DailyProduction!$Q$5:$Q$100,B640)=1,"OK","CHECK")</x:f>
        <x:v>OK</x:v>
      </x:c>
      <x:c r="V640" t="str">
        <x:f t="shared" si="69"/>
        <x:v>OK</x:v>
      </x:c>
      <x:c r="W640" t="str">
        <x:f>IF(SUMIF($B$5:$B$914,B640,$S$5:$S$914)=SUMIF(DailyProduction!$Q$5:$Q$100,B640,DailyProduction!$R$5:$R$100),"OK","CHECK")</x:f>
        <x:v>OK</x:v>
      </x:c>
      <x:c r="X640" t="str">
        <x:v>PLC-PRD-JAR-330-L24</x:v>
      </x:c>
      <x:c r="Y640" t="str">
        <x:v>OK</x:v>
      </x:c>
      <x:c r="Z640" t="str">
        <x:v>OK</x:v>
      </x:c>
      <x:c r="AA640" t="n">
        <x:v>3</x:v>
      </x:c>
      <x:c r="AB640" t="n">
        <x:v>3</x:v>
      </x:c>
      <x:c r="AC640" t="str">
        <x:v>OK</x:v>
      </x:c>
      <x:c r="AD640" t="str">
        <x:v>OK</x:v>
      </x:c>
      <x:c r="AE640" t="str">
        <x:v>LOAD</x:v>
      </x:c>
      <x:c r="AF640" t="str">
        <x:v>02_Supervisor_Log(4).xlsx</x:v>
      </x:c>
      <x:c r="AG640" t="str">
        <x:v>ENH-20260830-01</x:v>
      </x:c>
      <x:c r="AH640" t="str">
        <x:v>Active</x:v>
      </x:c>
      <x:c r="AI640"/>
      <x:c r="AJ640"/>
      <x:c r="AK640"/>
      <x:c r="AL640"/>
    </x:row>
    <x:row r="641">
      <x:c r="A641" t="s">
        <x:v>880</x:v>
      </x:c>
      <x:c r="B641" t="s">
        <x:v>868</x:v>
      </x:c>
      <x:c r="C641" t="s">
        <x:v>44</x:v>
      </x:c>
      <x:c r="D641">
        <x:v>45953</x:v>
      </x:c>
      <x:c r="E641" t="s">
        <x:v>45</x:v>
      </x:c>
      <x:c r="F641" t="s">
        <x:v>55</x:v>
      </x:c>
      <x:c r="G641">
        <x:v>24</x:v>
      </x:c>
      <x:c r="H641" t="s">
        <x:v>73</x:v>
      </x:c>
      <x:c r="I641">
        <x:v>13</x:v>
      </x:c>
      <x:c r="J641">
        <x:v>12</x:v>
      </x:c>
      <x:c r="K641">
        <x:v>3</x:v>
      </x:c>
      <x:c r="L641">
        <x:f t="shared" si="63"/>
        <x:v>0</x:v>
      </x:c>
      <x:c r="P641">
        <x:f t="shared" si="64"/>
        <x:v>0</x:v>
      </x:c>
      <x:c r="Q641">
        <x:f t="shared" si="65"/>
        <x:v>0</x:v>
      </x:c>
      <x:c r="R641">
        <x:f t="shared" si="66"/>
        <x:v>0</x:v>
      </x:c>
      <x:c r="S641">
        <x:f t="shared" si="67"/>
        <x:v>0</x:v>
      </x:c>
      <x:c r="T641" t="str">
        <x:f t="shared" si="68"/>
        <x:v>DerivedFromCount</x:v>
      </x:c>
      <x:c r="U641" t="str">
        <x:f>IF(COUNTIF(DailyProduction!$Q$5:$Q$100,B641)=1,"OK","CHECK")</x:f>
        <x:v>OK</x:v>
      </x:c>
      <x:c r="V641" t="str">
        <x:f t="shared" si="69"/>
        <x:v>OK</x:v>
      </x:c>
      <x:c r="W641" t="str">
        <x:f>IF(SUMIF($B$5:$B$914,B641,$S$5:$S$914)=SUMIF(DailyProduction!$Q$5:$Q$100,B641,DailyProduction!$R$5:$R$100),"OK","CHECK")</x:f>
        <x:v>OK</x:v>
      </x:c>
      <x:c r="X641" t="str">
        <x:v>PLC-PRD-JAR-330-L24</x:v>
      </x:c>
      <x:c r="Y641" t="str">
        <x:v>OK</x:v>
      </x:c>
      <x:c r="Z641" t="str">
        <x:v>OK</x:v>
      </x:c>
      <x:c r="AA641" t="n">
        <x:v>3</x:v>
      </x:c>
      <x:c r="AB641" t="n">
        <x:v>0</x:v>
      </x:c>
      <x:c r="AC641" t="str">
        <x:v>OK</x:v>
      </x:c>
      <x:c r="AD641" t="str">
        <x:v>OK</x:v>
      </x:c>
      <x:c r="AE641" t="str">
        <x:v>LOAD</x:v>
      </x:c>
      <x:c r="AF641" t="str">
        <x:v>02_Supervisor_Log(4).xlsx</x:v>
      </x:c>
      <x:c r="AG641" t="str">
        <x:v>ENH-20260830-01</x:v>
      </x:c>
      <x:c r="AH641" t="str">
        <x:v>Active</x:v>
      </x:c>
      <x:c r="AI641"/>
      <x:c r="AJ641"/>
      <x:c r="AK641"/>
      <x:c r="AL641"/>
    </x:row>
    <x:row r="642">
      <x:c r="A642" t="s">
        <x:v>881</x:v>
      </x:c>
      <x:c r="B642" t="s">
        <x:v>882</x:v>
      </x:c>
      <x:c r="C642" t="s">
        <x:v>44</x:v>
      </x:c>
      <x:c r="D642">
        <x:v>45953</x:v>
      </x:c>
      <x:c r="E642" t="s">
        <x:v>187</x:v>
      </x:c>
      <x:c r="F642" t="s">
        <x:v>46</x:v>
      </x:c>
      <x:c r="G642">
        <x:v>24</x:v>
      </x:c>
      <x:c r="H642" t="s">
        <x:v>73</x:v>
      </x:c>
      <x:c r="I642">
        <x:v>1</x:v>
      </x:c>
      <x:c r="J642">
        <x:v>12</x:v>
      </x:c>
      <x:c r="K642">
        <x:v>3</x:v>
      </x:c>
      <x:c r="L642">
        <x:f t="shared" si="63"/>
        <x:v>1</x:v>
      </x:c>
      <x:c r="P642">
        <x:f t="shared" si="64"/>
        <x:v>1</x:v>
      </x:c>
      <x:c r="Q642">
        <x:f t="shared" si="65"/>
        <x:v>1</x:v>
      </x:c>
      <x:c r="R642">
        <x:f t="shared" si="66"/>
        <x:v>1</x:v>
      </x:c>
      <x:c r="S642">
        <x:f t="shared" si="67"/>
        <x:v>3</x:v>
      </x:c>
      <x:c r="T642" t="str">
        <x:f t="shared" si="68"/>
        <x:v>DerivedFromCount</x:v>
      </x:c>
      <x:c r="U642" t="str">
        <x:f>IF(COUNTIF(DailyProduction!$Q$5:$Q$100,B642)=1,"OK","CHECK")</x:f>
        <x:v>OK</x:v>
      </x:c>
      <x:c r="V642" t="str">
        <x:f t="shared" si="69"/>
        <x:v>OK</x:v>
      </x:c>
      <x:c r="W642" t="str">
        <x:f>IF(SUMIF($B$5:$B$914,B642,$S$5:$S$914)=SUMIF(DailyProduction!$Q$5:$Q$100,B642,DailyProduction!$R$5:$R$100),"OK","CHECK")</x:f>
        <x:v>OK</x:v>
      </x:c>
      <x:c r="X642" t="str">
        <x:v>PLC-PRD-JAR-330-L24</x:v>
      </x:c>
      <x:c r="Y642" t="str">
        <x:v>OK</x:v>
      </x:c>
      <x:c r="Z642" t="str">
        <x:v>OK</x:v>
      </x:c>
      <x:c r="AA642" t="n">
        <x:v>3</x:v>
      </x:c>
      <x:c r="AB642" t="n">
        <x:v>3</x:v>
      </x:c>
      <x:c r="AC642" t="str">
        <x:v>OK</x:v>
      </x:c>
      <x:c r="AD642" t="str">
        <x:v>OK</x:v>
      </x:c>
      <x:c r="AE642" t="str">
        <x:v>LOAD</x:v>
      </x:c>
      <x:c r="AF642" t="str">
        <x:v>02_Supervisor_Log(4).xlsx</x:v>
      </x:c>
      <x:c r="AG642" t="str">
        <x:v>ENH-20260830-01</x:v>
      </x:c>
      <x:c r="AH642" t="str">
        <x:v>Active</x:v>
      </x:c>
      <x:c r="AI642"/>
      <x:c r="AJ642"/>
      <x:c r="AK642"/>
      <x:c r="AL642"/>
    </x:row>
    <x:row r="643">
      <x:c r="A643" t="s">
        <x:v>883</x:v>
      </x:c>
      <x:c r="B643" t="s">
        <x:v>882</x:v>
      </x:c>
      <x:c r="C643" t="s">
        <x:v>44</x:v>
      </x:c>
      <x:c r="D643">
        <x:v>45953</x:v>
      </x:c>
      <x:c r="E643" t="s">
        <x:v>187</x:v>
      </x:c>
      <x:c r="F643" t="s">
        <x:v>46</x:v>
      </x:c>
      <x:c r="G643">
        <x:v>24</x:v>
      </x:c>
      <x:c r="H643" t="s">
        <x:v>73</x:v>
      </x:c>
      <x:c r="I643">
        <x:v>2</x:v>
      </x:c>
      <x:c r="J643">
        <x:v>12</x:v>
      </x:c>
      <x:c r="K643">
        <x:v>3</x:v>
      </x:c>
      <x:c r="L643">
        <x:f t="shared" si="63"/>
        <x:v>1</x:v>
      </x:c>
      <x:c r="P643">
        <x:f t="shared" si="64"/>
        <x:v>1</x:v>
      </x:c>
      <x:c r="Q643">
        <x:f t="shared" si="65"/>
        <x:v>1</x:v>
      </x:c>
      <x:c r="R643">
        <x:f t="shared" si="66"/>
        <x:v>1</x:v>
      </x:c>
      <x:c r="S643">
        <x:f t="shared" si="67"/>
        <x:v>3</x:v>
      </x:c>
      <x:c r="T643" t="str">
        <x:f t="shared" si="68"/>
        <x:v>DerivedFromCount</x:v>
      </x:c>
      <x:c r="U643" t="str">
        <x:f>IF(COUNTIF(DailyProduction!$Q$5:$Q$100,B643)=1,"OK","CHECK")</x:f>
        <x:v>OK</x:v>
      </x:c>
      <x:c r="V643" t="str">
        <x:f t="shared" si="69"/>
        <x:v>OK</x:v>
      </x:c>
      <x:c r="W643" t="str">
        <x:f>IF(SUMIF($B$5:$B$914,B643,$S$5:$S$914)=SUMIF(DailyProduction!$Q$5:$Q$100,B643,DailyProduction!$R$5:$R$100),"OK","CHECK")</x:f>
        <x:v>OK</x:v>
      </x:c>
      <x:c r="X643" t="str">
        <x:v>PLC-PRD-JAR-330-L24</x:v>
      </x:c>
      <x:c r="Y643" t="str">
        <x:v>OK</x:v>
      </x:c>
      <x:c r="Z643" t="str">
        <x:v>OK</x:v>
      </x:c>
      <x:c r="AA643" t="n">
        <x:v>3</x:v>
      </x:c>
      <x:c r="AB643" t="n">
        <x:v>3</x:v>
      </x:c>
      <x:c r="AC643" t="str">
        <x:v>OK</x:v>
      </x:c>
      <x:c r="AD643" t="str">
        <x:v>OK</x:v>
      </x:c>
      <x:c r="AE643" t="str">
        <x:v>LOAD</x:v>
      </x:c>
      <x:c r="AF643" t="str">
        <x:v>02_Supervisor_Log(4).xlsx</x:v>
      </x:c>
      <x:c r="AG643" t="str">
        <x:v>ENH-20260830-01</x:v>
      </x:c>
      <x:c r="AH643" t="str">
        <x:v>Active</x:v>
      </x:c>
      <x:c r="AI643"/>
      <x:c r="AJ643"/>
      <x:c r="AK643"/>
      <x:c r="AL643"/>
    </x:row>
    <x:row r="644">
      <x:c r="A644" t="s">
        <x:v>884</x:v>
      </x:c>
      <x:c r="B644" t="s">
        <x:v>882</x:v>
      </x:c>
      <x:c r="C644" t="s">
        <x:v>44</x:v>
      </x:c>
      <x:c r="D644">
        <x:v>45953</x:v>
      </x:c>
      <x:c r="E644" t="s">
        <x:v>187</x:v>
      </x:c>
      <x:c r="F644" t="s">
        <x:v>46</x:v>
      </x:c>
      <x:c r="G644">
        <x:v>24</x:v>
      </x:c>
      <x:c r="H644" t="s">
        <x:v>73</x:v>
      </x:c>
      <x:c r="I644">
        <x:v>3</x:v>
      </x:c>
      <x:c r="J644">
        <x:v>12</x:v>
      </x:c>
      <x:c r="K644">
        <x:v>3</x:v>
      </x:c>
      <x:c r="L644">
        <x:f t="shared" si="63"/>
        <x:v>1</x:v>
      </x:c>
      <x:c r="P644">
        <x:f t="shared" si="64"/>
        <x:v>1</x:v>
      </x:c>
      <x:c r="Q644">
        <x:f t="shared" si="65"/>
        <x:v>1</x:v>
      </x:c>
      <x:c r="R644">
        <x:f t="shared" si="66"/>
        <x:v>1</x:v>
      </x:c>
      <x:c r="S644">
        <x:f t="shared" si="67"/>
        <x:v>3</x:v>
      </x:c>
      <x:c r="T644" t="str">
        <x:f t="shared" si="68"/>
        <x:v>DerivedFromCount</x:v>
      </x:c>
      <x:c r="U644" t="str">
        <x:f>IF(COUNTIF(DailyProduction!$Q$5:$Q$100,B644)=1,"OK","CHECK")</x:f>
        <x:v>OK</x:v>
      </x:c>
      <x:c r="V644" t="str">
        <x:f t="shared" si="69"/>
        <x:v>OK</x:v>
      </x:c>
      <x:c r="W644" t="str">
        <x:f>IF(SUMIF($B$5:$B$914,B644,$S$5:$S$914)=SUMIF(DailyProduction!$Q$5:$Q$100,B644,DailyProduction!$R$5:$R$100),"OK","CHECK")</x:f>
        <x:v>OK</x:v>
      </x:c>
      <x:c r="X644" t="str">
        <x:v>PLC-PRD-JAR-330-L24</x:v>
      </x:c>
      <x:c r="Y644" t="str">
        <x:v>OK</x:v>
      </x:c>
      <x:c r="Z644" t="str">
        <x:v>OK</x:v>
      </x:c>
      <x:c r="AA644" t="n">
        <x:v>3</x:v>
      </x:c>
      <x:c r="AB644" t="n">
        <x:v>3</x:v>
      </x:c>
      <x:c r="AC644" t="str">
        <x:v>OK</x:v>
      </x:c>
      <x:c r="AD644" t="str">
        <x:v>OK</x:v>
      </x:c>
      <x:c r="AE644" t="str">
        <x:v>LOAD</x:v>
      </x:c>
      <x:c r="AF644" t="str">
        <x:v>02_Supervisor_Log(4).xlsx</x:v>
      </x:c>
      <x:c r="AG644" t="str">
        <x:v>ENH-20260830-01</x:v>
      </x:c>
      <x:c r="AH644" t="str">
        <x:v>Active</x:v>
      </x:c>
      <x:c r="AI644"/>
      <x:c r="AJ644"/>
      <x:c r="AK644"/>
      <x:c r="AL644"/>
    </x:row>
    <x:row r="645">
      <x:c r="A645" t="s">
        <x:v>885</x:v>
      </x:c>
      <x:c r="B645" t="s">
        <x:v>882</x:v>
      </x:c>
      <x:c r="C645" t="s">
        <x:v>44</x:v>
      </x:c>
      <x:c r="D645">
        <x:v>45953</x:v>
      </x:c>
      <x:c r="E645" t="s">
        <x:v>187</x:v>
      </x:c>
      <x:c r="F645" t="s">
        <x:v>46</x:v>
      </x:c>
      <x:c r="G645">
        <x:v>24</x:v>
      </x:c>
      <x:c r="H645" t="s">
        <x:v>73</x:v>
      </x:c>
      <x:c r="I645">
        <x:v>4</x:v>
      </x:c>
      <x:c r="J645">
        <x:v>12</x:v>
      </x:c>
      <x:c r="K645">
        <x:v>3</x:v>
      </x:c>
      <x:c r="L645" t="n">
        <x:f t="shared" ref="L645:L708" si="70">IF(I645&lt;=J645,1,0)</x:f>
        <x:v>1</x:v>
      </x:c>
      <x:c r="P645" t="n">
        <x:f t="shared" ref="P645:P708" si="71">IF(M645="",IF(AND(L645=1,K645&gt;=1),1,0),M645)</x:f>
        <x:v>1</x:v>
      </x:c>
      <x:c r="Q645" t="n">
        <x:f t="shared" ref="Q645:Q708" si="72">IF(N645="",IF(AND(L645=1,K645&gt;=2),1,0),N645)</x:f>
        <x:v>1</x:v>
      </x:c>
      <x:c r="R645" t="n">
        <x:f t="shared" ref="R645:R708" si="73">IF(O645="",IF(AND(L645=1,K645&gt;=3),1,0),O645)</x:f>
        <x:v>1</x:v>
      </x:c>
      <x:c r="S645" t="n">
        <x:f t="shared" ref="S645:S708" si="74">SUM(P645:R645)</x:f>
        <x:v>3</x:v>
      </x:c>
      <x:c r="T645" t="str">
        <x:f t="shared" ref="T645:T708" si="75">IF(COUNTA(M645:O645)=0,"DerivedFromCount","ManualOverride")</x:f>
        <x:v>DerivedFromCount</x:v>
      </x:c>
      <x:c r="U645" t="str">
        <x:f>IF(COUNTIF(DailyProduction!$Q$5:$Q$100,B645)=1,"OK","CHECK")</x:f>
        <x:v>OK</x:v>
      </x:c>
      <x:c r="V645" t="str">
        <x:f t="shared" ref="V645:V708" si="76">IF(AND(I645&gt;=1,I645&lt;=13,K645&gt;=1,K645&lt;=3),"OK","CHECK")</x:f>
        <x:v>OK</x:v>
      </x:c>
      <x:c r="W645" t="str">
        <x:f>IF(SUMIF($B$5:$B$914,B645,$S$5:$S$914)=SUMIF(DailyProduction!$Q$5:$Q$100,B645,DailyProduction!$R$5:$R$100),"OK","CHECK")</x:f>
        <x:v>OK</x:v>
      </x:c>
      <x:c r="X645" t="str">
        <x:v>PLC-PRD-JAR-330-L24</x:v>
      </x:c>
      <x:c r="Y645" t="str">
        <x:v>OK</x:v>
      </x:c>
      <x:c r="Z645" t="str">
        <x:v>OK</x:v>
      </x:c>
      <x:c r="AA645" t="n">
        <x:v>3</x:v>
      </x:c>
      <x:c r="AB645" t="n">
        <x:v>3</x:v>
      </x:c>
      <x:c r="AC645" t="str">
        <x:v>OK</x:v>
      </x:c>
      <x:c r="AD645" t="str">
        <x:v>OK</x:v>
      </x:c>
      <x:c r="AE645" t="str">
        <x:v>LOAD</x:v>
      </x:c>
      <x:c r="AF645" t="str">
        <x:v>02_Supervisor_Log(4).xlsx</x:v>
      </x:c>
      <x:c r="AG645" t="str">
        <x:v>ENH-20260830-01</x:v>
      </x:c>
      <x:c r="AH645" t="str">
        <x:v>Active</x:v>
      </x:c>
      <x:c r="AI645"/>
      <x:c r="AJ645"/>
      <x:c r="AK645"/>
      <x:c r="AL645"/>
    </x:row>
    <x:row r="646">
      <x:c r="A646" t="s">
        <x:v>886</x:v>
      </x:c>
      <x:c r="B646" t="s">
        <x:v>882</x:v>
      </x:c>
      <x:c r="C646" t="s">
        <x:v>44</x:v>
      </x:c>
      <x:c r="D646">
        <x:v>45953</x:v>
      </x:c>
      <x:c r="E646" t="s">
        <x:v>187</x:v>
      </x:c>
      <x:c r="F646" t="s">
        <x:v>46</x:v>
      </x:c>
      <x:c r="G646">
        <x:v>24</x:v>
      </x:c>
      <x:c r="H646" t="s">
        <x:v>73</x:v>
      </x:c>
      <x:c r="I646">
        <x:v>5</x:v>
      </x:c>
      <x:c r="J646">
        <x:v>12</x:v>
      </x:c>
      <x:c r="K646">
        <x:v>3</x:v>
      </x:c>
      <x:c r="L646">
        <x:f t="shared" si="70"/>
        <x:v>1</x:v>
      </x:c>
      <x:c r="P646">
        <x:f t="shared" si="71"/>
        <x:v>1</x:v>
      </x:c>
      <x:c r="Q646">
        <x:f t="shared" si="72"/>
        <x:v>1</x:v>
      </x:c>
      <x:c r="R646">
        <x:f t="shared" si="73"/>
        <x:v>1</x:v>
      </x:c>
      <x:c r="S646">
        <x:f t="shared" si="74"/>
        <x:v>3</x:v>
      </x:c>
      <x:c r="T646" t="str">
        <x:f t="shared" si="75"/>
        <x:v>DerivedFromCount</x:v>
      </x:c>
      <x:c r="U646" t="str">
        <x:f>IF(COUNTIF(DailyProduction!$Q$5:$Q$100,B646)=1,"OK","CHECK")</x:f>
        <x:v>OK</x:v>
      </x:c>
      <x:c r="V646" t="str">
        <x:f t="shared" si="76"/>
        <x:v>OK</x:v>
      </x:c>
      <x:c r="W646" t="str">
        <x:f>IF(SUMIF($B$5:$B$914,B646,$S$5:$S$914)=SUMIF(DailyProduction!$Q$5:$Q$100,B646,DailyProduction!$R$5:$R$100),"OK","CHECK")</x:f>
        <x:v>OK</x:v>
      </x:c>
      <x:c r="X646" t="str">
        <x:v>PLC-PRD-JAR-330-L24</x:v>
      </x:c>
      <x:c r="Y646" t="str">
        <x:v>OK</x:v>
      </x:c>
      <x:c r="Z646" t="str">
        <x:v>OK</x:v>
      </x:c>
      <x:c r="AA646" t="n">
        <x:v>3</x:v>
      </x:c>
      <x:c r="AB646" t="n">
        <x:v>3</x:v>
      </x:c>
      <x:c r="AC646" t="str">
        <x:v>OK</x:v>
      </x:c>
      <x:c r="AD646" t="str">
        <x:v>OK</x:v>
      </x:c>
      <x:c r="AE646" t="str">
        <x:v>LOAD</x:v>
      </x:c>
      <x:c r="AF646" t="str">
        <x:v>02_Supervisor_Log(4).xlsx</x:v>
      </x:c>
      <x:c r="AG646" t="str">
        <x:v>ENH-20260830-01</x:v>
      </x:c>
      <x:c r="AH646" t="str">
        <x:v>Active</x:v>
      </x:c>
      <x:c r="AI646"/>
      <x:c r="AJ646"/>
      <x:c r="AK646"/>
      <x:c r="AL646"/>
    </x:row>
    <x:row r="647">
      <x:c r="A647" t="s">
        <x:v>887</x:v>
      </x:c>
      <x:c r="B647" t="s">
        <x:v>882</x:v>
      </x:c>
      <x:c r="C647" t="s">
        <x:v>44</x:v>
      </x:c>
      <x:c r="D647">
        <x:v>45953</x:v>
      </x:c>
      <x:c r="E647" t="s">
        <x:v>187</x:v>
      </x:c>
      <x:c r="F647" t="s">
        <x:v>46</x:v>
      </x:c>
      <x:c r="G647">
        <x:v>24</x:v>
      </x:c>
      <x:c r="H647" t="s">
        <x:v>73</x:v>
      </x:c>
      <x:c r="I647">
        <x:v>6</x:v>
      </x:c>
      <x:c r="J647">
        <x:v>12</x:v>
      </x:c>
      <x:c r="K647">
        <x:v>3</x:v>
      </x:c>
      <x:c r="L647">
        <x:f t="shared" si="70"/>
        <x:v>1</x:v>
      </x:c>
      <x:c r="P647">
        <x:f t="shared" si="71"/>
        <x:v>1</x:v>
      </x:c>
      <x:c r="Q647">
        <x:f t="shared" si="72"/>
        <x:v>1</x:v>
      </x:c>
      <x:c r="R647">
        <x:f t="shared" si="73"/>
        <x:v>1</x:v>
      </x:c>
      <x:c r="S647">
        <x:f t="shared" si="74"/>
        <x:v>3</x:v>
      </x:c>
      <x:c r="T647" t="str">
        <x:f t="shared" si="75"/>
        <x:v>DerivedFromCount</x:v>
      </x:c>
      <x:c r="U647" t="str">
        <x:f>IF(COUNTIF(DailyProduction!$Q$5:$Q$100,B647)=1,"OK","CHECK")</x:f>
        <x:v>OK</x:v>
      </x:c>
      <x:c r="V647" t="str">
        <x:f t="shared" si="76"/>
        <x:v>OK</x:v>
      </x:c>
      <x:c r="W647" t="str">
        <x:f>IF(SUMIF($B$5:$B$914,B647,$S$5:$S$914)=SUMIF(DailyProduction!$Q$5:$Q$100,B647,DailyProduction!$R$5:$R$100),"OK","CHECK")</x:f>
        <x:v>OK</x:v>
      </x:c>
      <x:c r="X647" t="str">
        <x:v>PLC-PRD-JAR-330-L24</x:v>
      </x:c>
      <x:c r="Y647" t="str">
        <x:v>OK</x:v>
      </x:c>
      <x:c r="Z647" t="str">
        <x:v>OK</x:v>
      </x:c>
      <x:c r="AA647" t="n">
        <x:v>3</x:v>
      </x:c>
      <x:c r="AB647" t="n">
        <x:v>3</x:v>
      </x:c>
      <x:c r="AC647" t="str">
        <x:v>OK</x:v>
      </x:c>
      <x:c r="AD647" t="str">
        <x:v>OK</x:v>
      </x:c>
      <x:c r="AE647" t="str">
        <x:v>LOAD</x:v>
      </x:c>
      <x:c r="AF647" t="str">
        <x:v>02_Supervisor_Log(4).xlsx</x:v>
      </x:c>
      <x:c r="AG647" t="str">
        <x:v>ENH-20260830-01</x:v>
      </x:c>
      <x:c r="AH647" t="str">
        <x:v>Active</x:v>
      </x:c>
      <x:c r="AI647"/>
      <x:c r="AJ647"/>
      <x:c r="AK647"/>
      <x:c r="AL647"/>
    </x:row>
    <x:row r="648">
      <x:c r="A648" t="s">
        <x:v>888</x:v>
      </x:c>
      <x:c r="B648" t="s">
        <x:v>882</x:v>
      </x:c>
      <x:c r="C648" t="s">
        <x:v>44</x:v>
      </x:c>
      <x:c r="D648">
        <x:v>45953</x:v>
      </x:c>
      <x:c r="E648" t="s">
        <x:v>187</x:v>
      </x:c>
      <x:c r="F648" t="s">
        <x:v>46</x:v>
      </x:c>
      <x:c r="G648">
        <x:v>24</x:v>
      </x:c>
      <x:c r="H648" t="s">
        <x:v>73</x:v>
      </x:c>
      <x:c r="I648">
        <x:v>7</x:v>
      </x:c>
      <x:c r="J648">
        <x:v>12</x:v>
      </x:c>
      <x:c r="K648">
        <x:v>3</x:v>
      </x:c>
      <x:c r="L648">
        <x:f t="shared" si="70"/>
        <x:v>1</x:v>
      </x:c>
      <x:c r="P648">
        <x:f t="shared" si="71"/>
        <x:v>1</x:v>
      </x:c>
      <x:c r="Q648">
        <x:f t="shared" si="72"/>
        <x:v>1</x:v>
      </x:c>
      <x:c r="R648">
        <x:f t="shared" si="73"/>
        <x:v>1</x:v>
      </x:c>
      <x:c r="S648">
        <x:f t="shared" si="74"/>
        <x:v>3</x:v>
      </x:c>
      <x:c r="T648" t="str">
        <x:f t="shared" si="75"/>
        <x:v>DerivedFromCount</x:v>
      </x:c>
      <x:c r="U648" t="str">
        <x:f>IF(COUNTIF(DailyProduction!$Q$5:$Q$100,B648)=1,"OK","CHECK")</x:f>
        <x:v>OK</x:v>
      </x:c>
      <x:c r="V648" t="str">
        <x:f t="shared" si="76"/>
        <x:v>OK</x:v>
      </x:c>
      <x:c r="W648" t="str">
        <x:f>IF(SUMIF($B$5:$B$914,B648,$S$5:$S$914)=SUMIF(DailyProduction!$Q$5:$Q$100,B648,DailyProduction!$R$5:$R$100),"OK","CHECK")</x:f>
        <x:v>OK</x:v>
      </x:c>
      <x:c r="X648" t="str">
        <x:v>PLC-PRD-JAR-330-L24</x:v>
      </x:c>
      <x:c r="Y648" t="str">
        <x:v>OK</x:v>
      </x:c>
      <x:c r="Z648" t="str">
        <x:v>OK</x:v>
      </x:c>
      <x:c r="AA648" t="n">
        <x:v>3</x:v>
      </x:c>
      <x:c r="AB648" t="n">
        <x:v>3</x:v>
      </x:c>
      <x:c r="AC648" t="str">
        <x:v>OK</x:v>
      </x:c>
      <x:c r="AD648" t="str">
        <x:v>OK</x:v>
      </x:c>
      <x:c r="AE648" t="str">
        <x:v>LOAD</x:v>
      </x:c>
      <x:c r="AF648" t="str">
        <x:v>02_Supervisor_Log(4).xlsx</x:v>
      </x:c>
      <x:c r="AG648" t="str">
        <x:v>ENH-20260830-01</x:v>
      </x:c>
      <x:c r="AH648" t="str">
        <x:v>Active</x:v>
      </x:c>
      <x:c r="AI648"/>
      <x:c r="AJ648"/>
      <x:c r="AK648"/>
      <x:c r="AL648"/>
    </x:row>
    <x:row r="649">
      <x:c r="A649" t="s">
        <x:v>889</x:v>
      </x:c>
      <x:c r="B649" t="s">
        <x:v>882</x:v>
      </x:c>
      <x:c r="C649" t="s">
        <x:v>44</x:v>
      </x:c>
      <x:c r="D649">
        <x:v>45953</x:v>
      </x:c>
      <x:c r="E649" t="s">
        <x:v>187</x:v>
      </x:c>
      <x:c r="F649" t="s">
        <x:v>46</x:v>
      </x:c>
      <x:c r="G649">
        <x:v>24</x:v>
      </x:c>
      <x:c r="H649" t="s">
        <x:v>73</x:v>
      </x:c>
      <x:c r="I649">
        <x:v>8</x:v>
      </x:c>
      <x:c r="J649">
        <x:v>12</x:v>
      </x:c>
      <x:c r="K649">
        <x:v>3</x:v>
      </x:c>
      <x:c r="L649">
        <x:f t="shared" si="70"/>
        <x:v>1</x:v>
      </x:c>
      <x:c r="P649">
        <x:f t="shared" si="71"/>
        <x:v>1</x:v>
      </x:c>
      <x:c r="Q649">
        <x:f t="shared" si="72"/>
        <x:v>1</x:v>
      </x:c>
      <x:c r="R649">
        <x:f t="shared" si="73"/>
        <x:v>1</x:v>
      </x:c>
      <x:c r="S649">
        <x:f t="shared" si="74"/>
        <x:v>3</x:v>
      </x:c>
      <x:c r="T649" t="str">
        <x:f t="shared" si="75"/>
        <x:v>DerivedFromCount</x:v>
      </x:c>
      <x:c r="U649" t="str">
        <x:f>IF(COUNTIF(DailyProduction!$Q$5:$Q$100,B649)=1,"OK","CHECK")</x:f>
        <x:v>OK</x:v>
      </x:c>
      <x:c r="V649" t="str">
        <x:f t="shared" si="76"/>
        <x:v>OK</x:v>
      </x:c>
      <x:c r="W649" t="str">
        <x:f>IF(SUMIF($B$5:$B$914,B649,$S$5:$S$914)=SUMIF(DailyProduction!$Q$5:$Q$100,B649,DailyProduction!$R$5:$R$100),"OK","CHECK")</x:f>
        <x:v>OK</x:v>
      </x:c>
      <x:c r="X649" t="str">
        <x:v>PLC-PRD-JAR-330-L24</x:v>
      </x:c>
      <x:c r="Y649" t="str">
        <x:v>OK</x:v>
      </x:c>
      <x:c r="Z649" t="str">
        <x:v>OK</x:v>
      </x:c>
      <x:c r="AA649" t="n">
        <x:v>3</x:v>
      </x:c>
      <x:c r="AB649" t="n">
        <x:v>3</x:v>
      </x:c>
      <x:c r="AC649" t="str">
        <x:v>OK</x:v>
      </x:c>
      <x:c r="AD649" t="str">
        <x:v>OK</x:v>
      </x:c>
      <x:c r="AE649" t="str">
        <x:v>LOAD</x:v>
      </x:c>
      <x:c r="AF649" t="str">
        <x:v>02_Supervisor_Log(4).xlsx</x:v>
      </x:c>
      <x:c r="AG649" t="str">
        <x:v>ENH-20260830-01</x:v>
      </x:c>
      <x:c r="AH649" t="str">
        <x:v>Active</x:v>
      </x:c>
      <x:c r="AI649"/>
      <x:c r="AJ649"/>
      <x:c r="AK649"/>
      <x:c r="AL649"/>
    </x:row>
    <x:row r="650">
      <x:c r="A650" t="s">
        <x:v>890</x:v>
      </x:c>
      <x:c r="B650" t="s">
        <x:v>882</x:v>
      </x:c>
      <x:c r="C650" t="s">
        <x:v>44</x:v>
      </x:c>
      <x:c r="D650">
        <x:v>45953</x:v>
      </x:c>
      <x:c r="E650" t="s">
        <x:v>187</x:v>
      </x:c>
      <x:c r="F650" t="s">
        <x:v>46</x:v>
      </x:c>
      <x:c r="G650">
        <x:v>24</x:v>
      </x:c>
      <x:c r="H650" t="s">
        <x:v>73</x:v>
      </x:c>
      <x:c r="I650">
        <x:v>9</x:v>
      </x:c>
      <x:c r="J650">
        <x:v>12</x:v>
      </x:c>
      <x:c r="K650">
        <x:v>3</x:v>
      </x:c>
      <x:c r="L650">
        <x:f t="shared" si="70"/>
        <x:v>1</x:v>
      </x:c>
      <x:c r="P650">
        <x:f t="shared" si="71"/>
        <x:v>1</x:v>
      </x:c>
      <x:c r="Q650">
        <x:f t="shared" si="72"/>
        <x:v>1</x:v>
      </x:c>
      <x:c r="R650">
        <x:f t="shared" si="73"/>
        <x:v>1</x:v>
      </x:c>
      <x:c r="S650">
        <x:f t="shared" si="74"/>
        <x:v>3</x:v>
      </x:c>
      <x:c r="T650" t="str">
        <x:f t="shared" si="75"/>
        <x:v>DerivedFromCount</x:v>
      </x:c>
      <x:c r="U650" t="str">
        <x:f>IF(COUNTIF(DailyProduction!$Q$5:$Q$100,B650)=1,"OK","CHECK")</x:f>
        <x:v>OK</x:v>
      </x:c>
      <x:c r="V650" t="str">
        <x:f t="shared" si="76"/>
        <x:v>OK</x:v>
      </x:c>
      <x:c r="W650" t="str">
        <x:f>IF(SUMIF($B$5:$B$914,B650,$S$5:$S$914)=SUMIF(DailyProduction!$Q$5:$Q$100,B650,DailyProduction!$R$5:$R$100),"OK","CHECK")</x:f>
        <x:v>OK</x:v>
      </x:c>
      <x:c r="X650" t="str">
        <x:v>PLC-PRD-JAR-330-L24</x:v>
      </x:c>
      <x:c r="Y650" t="str">
        <x:v>OK</x:v>
      </x:c>
      <x:c r="Z650" t="str">
        <x:v>OK</x:v>
      </x:c>
      <x:c r="AA650" t="n">
        <x:v>3</x:v>
      </x:c>
      <x:c r="AB650" t="n">
        <x:v>3</x:v>
      </x:c>
      <x:c r="AC650" t="str">
        <x:v>OK</x:v>
      </x:c>
      <x:c r="AD650" t="str">
        <x:v>OK</x:v>
      </x:c>
      <x:c r="AE650" t="str">
        <x:v>LOAD</x:v>
      </x:c>
      <x:c r="AF650" t="str">
        <x:v>02_Supervisor_Log(4).xlsx</x:v>
      </x:c>
      <x:c r="AG650" t="str">
        <x:v>ENH-20260830-01</x:v>
      </x:c>
      <x:c r="AH650" t="str">
        <x:v>Active</x:v>
      </x:c>
      <x:c r="AI650"/>
      <x:c r="AJ650"/>
      <x:c r="AK650"/>
      <x:c r="AL650"/>
    </x:row>
    <x:row r="651">
      <x:c r="A651" t="s">
        <x:v>891</x:v>
      </x:c>
      <x:c r="B651" t="s">
        <x:v>882</x:v>
      </x:c>
      <x:c r="C651" t="s">
        <x:v>44</x:v>
      </x:c>
      <x:c r="D651">
        <x:v>45953</x:v>
      </x:c>
      <x:c r="E651" t="s">
        <x:v>187</x:v>
      </x:c>
      <x:c r="F651" t="s">
        <x:v>46</x:v>
      </x:c>
      <x:c r="G651">
        <x:v>24</x:v>
      </x:c>
      <x:c r="H651" t="s">
        <x:v>73</x:v>
      </x:c>
      <x:c r="I651">
        <x:v>10</x:v>
      </x:c>
      <x:c r="J651">
        <x:v>12</x:v>
      </x:c>
      <x:c r="K651">
        <x:v>3</x:v>
      </x:c>
      <x:c r="L651">
        <x:f t="shared" si="70"/>
        <x:v>1</x:v>
      </x:c>
      <x:c r="P651">
        <x:f t="shared" si="71"/>
        <x:v>1</x:v>
      </x:c>
      <x:c r="Q651">
        <x:f t="shared" si="72"/>
        <x:v>1</x:v>
      </x:c>
      <x:c r="R651">
        <x:f t="shared" si="73"/>
        <x:v>1</x:v>
      </x:c>
      <x:c r="S651">
        <x:f t="shared" si="74"/>
        <x:v>3</x:v>
      </x:c>
      <x:c r="T651" t="str">
        <x:f t="shared" si="75"/>
        <x:v>DerivedFromCount</x:v>
      </x:c>
      <x:c r="U651" t="str">
        <x:f>IF(COUNTIF(DailyProduction!$Q$5:$Q$100,B651)=1,"OK","CHECK")</x:f>
        <x:v>OK</x:v>
      </x:c>
      <x:c r="V651" t="str">
        <x:f t="shared" si="76"/>
        <x:v>OK</x:v>
      </x:c>
      <x:c r="W651" t="str">
        <x:f>IF(SUMIF($B$5:$B$914,B651,$S$5:$S$914)=SUMIF(DailyProduction!$Q$5:$Q$100,B651,DailyProduction!$R$5:$R$100),"OK","CHECK")</x:f>
        <x:v>OK</x:v>
      </x:c>
      <x:c r="X651" t="str">
        <x:v>PLC-PRD-JAR-330-L24</x:v>
      </x:c>
      <x:c r="Y651" t="str">
        <x:v>OK</x:v>
      </x:c>
      <x:c r="Z651" t="str">
        <x:v>OK</x:v>
      </x:c>
      <x:c r="AA651" t="n">
        <x:v>3</x:v>
      </x:c>
      <x:c r="AB651" t="n">
        <x:v>3</x:v>
      </x:c>
      <x:c r="AC651" t="str">
        <x:v>OK</x:v>
      </x:c>
      <x:c r="AD651" t="str">
        <x:v>OK</x:v>
      </x:c>
      <x:c r="AE651" t="str">
        <x:v>LOAD</x:v>
      </x:c>
      <x:c r="AF651" t="str">
        <x:v>02_Supervisor_Log(4).xlsx</x:v>
      </x:c>
      <x:c r="AG651" t="str">
        <x:v>ENH-20260830-01</x:v>
      </x:c>
      <x:c r="AH651" t="str">
        <x:v>Active</x:v>
      </x:c>
      <x:c r="AI651"/>
      <x:c r="AJ651"/>
      <x:c r="AK651"/>
      <x:c r="AL651"/>
    </x:row>
    <x:row r="652">
      <x:c r="A652" t="s">
        <x:v>892</x:v>
      </x:c>
      <x:c r="B652" t="s">
        <x:v>882</x:v>
      </x:c>
      <x:c r="C652" t="s">
        <x:v>44</x:v>
      </x:c>
      <x:c r="D652">
        <x:v>45953</x:v>
      </x:c>
      <x:c r="E652" t="s">
        <x:v>187</x:v>
      </x:c>
      <x:c r="F652" t="s">
        <x:v>46</x:v>
      </x:c>
      <x:c r="G652">
        <x:v>24</x:v>
      </x:c>
      <x:c r="H652" t="s">
        <x:v>73</x:v>
      </x:c>
      <x:c r="I652">
        <x:v>11</x:v>
      </x:c>
      <x:c r="J652">
        <x:v>12</x:v>
      </x:c>
      <x:c r="K652">
        <x:v>3</x:v>
      </x:c>
      <x:c r="L652">
        <x:f t="shared" si="70"/>
        <x:v>1</x:v>
      </x:c>
      <x:c r="P652">
        <x:f t="shared" si="71"/>
        <x:v>1</x:v>
      </x:c>
      <x:c r="Q652">
        <x:f t="shared" si="72"/>
        <x:v>1</x:v>
      </x:c>
      <x:c r="R652">
        <x:f t="shared" si="73"/>
        <x:v>1</x:v>
      </x:c>
      <x:c r="S652">
        <x:f t="shared" si="74"/>
        <x:v>3</x:v>
      </x:c>
      <x:c r="T652" t="str">
        <x:f t="shared" si="75"/>
        <x:v>DerivedFromCount</x:v>
      </x:c>
      <x:c r="U652" t="str">
        <x:f>IF(COUNTIF(DailyProduction!$Q$5:$Q$100,B652)=1,"OK","CHECK")</x:f>
        <x:v>OK</x:v>
      </x:c>
      <x:c r="V652" t="str">
        <x:f t="shared" si="76"/>
        <x:v>OK</x:v>
      </x:c>
      <x:c r="W652" t="str">
        <x:f>IF(SUMIF($B$5:$B$914,B652,$S$5:$S$914)=SUMIF(DailyProduction!$Q$5:$Q$100,B652,DailyProduction!$R$5:$R$100),"OK","CHECK")</x:f>
        <x:v>OK</x:v>
      </x:c>
      <x:c r="X652" t="str">
        <x:v>PLC-PRD-JAR-330-L24</x:v>
      </x:c>
      <x:c r="Y652" t="str">
        <x:v>OK</x:v>
      </x:c>
      <x:c r="Z652" t="str">
        <x:v>OK</x:v>
      </x:c>
      <x:c r="AA652" t="n">
        <x:v>3</x:v>
      </x:c>
      <x:c r="AB652" t="n">
        <x:v>3</x:v>
      </x:c>
      <x:c r="AC652" t="str">
        <x:v>OK</x:v>
      </x:c>
      <x:c r="AD652" t="str">
        <x:v>OK</x:v>
      </x:c>
      <x:c r="AE652" t="str">
        <x:v>LOAD</x:v>
      </x:c>
      <x:c r="AF652" t="str">
        <x:v>02_Supervisor_Log(4).xlsx</x:v>
      </x:c>
      <x:c r="AG652" t="str">
        <x:v>ENH-20260830-01</x:v>
      </x:c>
      <x:c r="AH652" t="str">
        <x:v>Active</x:v>
      </x:c>
      <x:c r="AI652"/>
      <x:c r="AJ652"/>
      <x:c r="AK652"/>
      <x:c r="AL652"/>
    </x:row>
    <x:row r="653">
      <x:c r="A653" t="s">
        <x:v>893</x:v>
      </x:c>
      <x:c r="B653" t="s">
        <x:v>882</x:v>
      </x:c>
      <x:c r="C653" t="s">
        <x:v>44</x:v>
      </x:c>
      <x:c r="D653">
        <x:v>45953</x:v>
      </x:c>
      <x:c r="E653" t="s">
        <x:v>187</x:v>
      </x:c>
      <x:c r="F653" t="s">
        <x:v>46</x:v>
      </x:c>
      <x:c r="G653">
        <x:v>24</x:v>
      </x:c>
      <x:c r="H653" t="s">
        <x:v>73</x:v>
      </x:c>
      <x:c r="I653">
        <x:v>12</x:v>
      </x:c>
      <x:c r="J653">
        <x:v>12</x:v>
      </x:c>
      <x:c r="K653">
        <x:v>3</x:v>
      </x:c>
      <x:c r="L653">
        <x:f t="shared" si="70"/>
        <x:v>1</x:v>
      </x:c>
      <x:c r="P653">
        <x:f t="shared" si="71"/>
        <x:v>1</x:v>
      </x:c>
      <x:c r="Q653">
        <x:f t="shared" si="72"/>
        <x:v>1</x:v>
      </x:c>
      <x:c r="R653">
        <x:f t="shared" si="73"/>
        <x:v>1</x:v>
      </x:c>
      <x:c r="S653">
        <x:f t="shared" si="74"/>
        <x:v>3</x:v>
      </x:c>
      <x:c r="T653" t="str">
        <x:f t="shared" si="75"/>
        <x:v>DerivedFromCount</x:v>
      </x:c>
      <x:c r="U653" t="str">
        <x:f>IF(COUNTIF(DailyProduction!$Q$5:$Q$100,B653)=1,"OK","CHECK")</x:f>
        <x:v>OK</x:v>
      </x:c>
      <x:c r="V653" t="str">
        <x:f t="shared" si="76"/>
        <x:v>OK</x:v>
      </x:c>
      <x:c r="W653" t="str">
        <x:f>IF(SUMIF($B$5:$B$914,B653,$S$5:$S$914)=SUMIF(DailyProduction!$Q$5:$Q$100,B653,DailyProduction!$R$5:$R$100),"OK","CHECK")</x:f>
        <x:v>OK</x:v>
      </x:c>
      <x:c r="X653" t="str">
        <x:v>PLC-PRD-JAR-330-L24</x:v>
      </x:c>
      <x:c r="Y653" t="str">
        <x:v>OK</x:v>
      </x:c>
      <x:c r="Z653" t="str">
        <x:v>OK</x:v>
      </x:c>
      <x:c r="AA653" t="n">
        <x:v>3</x:v>
      </x:c>
      <x:c r="AB653" t="n">
        <x:v>3</x:v>
      </x:c>
      <x:c r="AC653" t="str">
        <x:v>OK</x:v>
      </x:c>
      <x:c r="AD653" t="str">
        <x:v>OK</x:v>
      </x:c>
      <x:c r="AE653" t="str">
        <x:v>LOAD</x:v>
      </x:c>
      <x:c r="AF653" t="str">
        <x:v>02_Supervisor_Log(4).xlsx</x:v>
      </x:c>
      <x:c r="AG653" t="str">
        <x:v>ENH-20260830-01</x:v>
      </x:c>
      <x:c r="AH653" t="str">
        <x:v>Active</x:v>
      </x:c>
      <x:c r="AI653"/>
      <x:c r="AJ653"/>
      <x:c r="AK653"/>
      <x:c r="AL653"/>
    </x:row>
    <x:row r="654">
      <x:c r="A654" t="s">
        <x:v>894</x:v>
      </x:c>
      <x:c r="B654" t="s">
        <x:v>882</x:v>
      </x:c>
      <x:c r="C654" t="s">
        <x:v>44</x:v>
      </x:c>
      <x:c r="D654">
        <x:v>45953</x:v>
      </x:c>
      <x:c r="E654" t="s">
        <x:v>187</x:v>
      </x:c>
      <x:c r="F654" t="s">
        <x:v>46</x:v>
      </x:c>
      <x:c r="G654">
        <x:v>24</x:v>
      </x:c>
      <x:c r="H654" t="s">
        <x:v>73</x:v>
      </x:c>
      <x:c r="I654">
        <x:v>13</x:v>
      </x:c>
      <x:c r="J654">
        <x:v>12</x:v>
      </x:c>
      <x:c r="K654">
        <x:v>3</x:v>
      </x:c>
      <x:c r="L654">
        <x:f t="shared" si="70"/>
        <x:v>0</x:v>
      </x:c>
      <x:c r="P654">
        <x:f t="shared" si="71"/>
        <x:v>0</x:v>
      </x:c>
      <x:c r="Q654">
        <x:f t="shared" si="72"/>
        <x:v>0</x:v>
      </x:c>
      <x:c r="R654">
        <x:f t="shared" si="73"/>
        <x:v>0</x:v>
      </x:c>
      <x:c r="S654">
        <x:f t="shared" si="74"/>
        <x:v>0</x:v>
      </x:c>
      <x:c r="T654" t="str">
        <x:f t="shared" si="75"/>
        <x:v>DerivedFromCount</x:v>
      </x:c>
      <x:c r="U654" t="str">
        <x:f>IF(COUNTIF(DailyProduction!$Q$5:$Q$100,B654)=1,"OK","CHECK")</x:f>
        <x:v>OK</x:v>
      </x:c>
      <x:c r="V654" t="str">
        <x:f t="shared" si="76"/>
        <x:v>OK</x:v>
      </x:c>
      <x:c r="W654" t="str">
        <x:f>IF(SUMIF($B$5:$B$914,B654,$S$5:$S$914)=SUMIF(DailyProduction!$Q$5:$Q$100,B654,DailyProduction!$R$5:$R$100),"OK","CHECK")</x:f>
        <x:v>OK</x:v>
      </x:c>
      <x:c r="X654" t="str">
        <x:v>PLC-PRD-JAR-330-L24</x:v>
      </x:c>
      <x:c r="Y654" t="str">
        <x:v>OK</x:v>
      </x:c>
      <x:c r="Z654" t="str">
        <x:v>OK</x:v>
      </x:c>
      <x:c r="AA654" t="n">
        <x:v>3</x:v>
      </x:c>
      <x:c r="AB654" t="n">
        <x:v>0</x:v>
      </x:c>
      <x:c r="AC654" t="str">
        <x:v>OK</x:v>
      </x:c>
      <x:c r="AD654" t="str">
        <x:v>OK</x:v>
      </x:c>
      <x:c r="AE654" t="str">
        <x:v>LOAD</x:v>
      </x:c>
      <x:c r="AF654" t="str">
        <x:v>02_Supervisor_Log(4).xlsx</x:v>
      </x:c>
      <x:c r="AG654" t="str">
        <x:v>ENH-20260830-01</x:v>
      </x:c>
      <x:c r="AH654" t="str">
        <x:v>Active</x:v>
      </x:c>
      <x:c r="AI654"/>
      <x:c r="AJ654"/>
      <x:c r="AK654"/>
      <x:c r="AL654"/>
    </x:row>
    <x:row r="655">
      <x:c r="A655" t="s">
        <x:v>895</x:v>
      </x:c>
      <x:c r="B655" t="s">
        <x:v>896</x:v>
      </x:c>
      <x:c r="C655" t="s">
        <x:v>44</x:v>
      </x:c>
      <x:c r="D655">
        <x:v>45954</x:v>
      </x:c>
      <x:c r="E655" t="s">
        <x:v>45</x:v>
      </x:c>
      <x:c r="F655" t="s">
        <x:v>46</x:v>
      </x:c>
      <x:c r="G655">
        <x:v>24</x:v>
      </x:c>
      <x:c r="H655" t="s">
        <x:v>73</x:v>
      </x:c>
      <x:c r="I655">
        <x:v>1</x:v>
      </x:c>
      <x:c r="J655">
        <x:v>12</x:v>
      </x:c>
      <x:c r="K655">
        <x:v>3</x:v>
      </x:c>
      <x:c r="L655">
        <x:f t="shared" si="70"/>
        <x:v>1</x:v>
      </x:c>
      <x:c r="P655">
        <x:f t="shared" si="71"/>
        <x:v>1</x:v>
      </x:c>
      <x:c r="Q655">
        <x:f t="shared" si="72"/>
        <x:v>1</x:v>
      </x:c>
      <x:c r="R655">
        <x:f t="shared" si="73"/>
        <x:v>1</x:v>
      </x:c>
      <x:c r="S655">
        <x:f t="shared" si="74"/>
        <x:v>3</x:v>
      </x:c>
      <x:c r="T655" t="str">
        <x:f t="shared" si="75"/>
        <x:v>DerivedFromCount</x:v>
      </x:c>
      <x:c r="U655" t="str">
        <x:f>IF(COUNTIF(DailyProduction!$Q$5:$Q$100,B655)=1,"OK","CHECK")</x:f>
        <x:v>OK</x:v>
      </x:c>
      <x:c r="V655" t="str">
        <x:f t="shared" si="76"/>
        <x:v>OK</x:v>
      </x:c>
      <x:c r="W655" t="str">
        <x:f>IF(SUMIF($B$5:$B$914,B655,$S$5:$S$914)=SUMIF(DailyProduction!$Q$5:$Q$100,B655,DailyProduction!$R$5:$R$100),"OK","CHECK")</x:f>
        <x:v>OK</x:v>
      </x:c>
      <x:c r="X655" t="str">
        <x:v>PLC-PRD-JAR-330-L24</x:v>
      </x:c>
      <x:c r="Y655" t="str">
        <x:v>OK</x:v>
      </x:c>
      <x:c r="Z655" t="str">
        <x:v>OK</x:v>
      </x:c>
      <x:c r="AA655" t="n">
        <x:v>3</x:v>
      </x:c>
      <x:c r="AB655" t="n">
        <x:v>3</x:v>
      </x:c>
      <x:c r="AC655" t="str">
        <x:v>OK</x:v>
      </x:c>
      <x:c r="AD655" t="str">
        <x:v>OK</x:v>
      </x:c>
      <x:c r="AE655" t="str">
        <x:v>LOAD</x:v>
      </x:c>
      <x:c r="AF655" t="str">
        <x:v>02_Supervisor_Log(4).xlsx</x:v>
      </x:c>
      <x:c r="AG655" t="str">
        <x:v>ENH-20260830-01</x:v>
      </x:c>
      <x:c r="AH655" t="str">
        <x:v>Active</x:v>
      </x:c>
      <x:c r="AI655"/>
      <x:c r="AJ655"/>
      <x:c r="AK655"/>
      <x:c r="AL655"/>
    </x:row>
    <x:row r="656">
      <x:c r="A656" t="s">
        <x:v>897</x:v>
      </x:c>
      <x:c r="B656" t="s">
        <x:v>896</x:v>
      </x:c>
      <x:c r="C656" t="s">
        <x:v>44</x:v>
      </x:c>
      <x:c r="D656">
        <x:v>45954</x:v>
      </x:c>
      <x:c r="E656" t="s">
        <x:v>45</x:v>
      </x:c>
      <x:c r="F656" t="s">
        <x:v>46</x:v>
      </x:c>
      <x:c r="G656">
        <x:v>24</x:v>
      </x:c>
      <x:c r="H656" t="s">
        <x:v>73</x:v>
      </x:c>
      <x:c r="I656">
        <x:v>2</x:v>
      </x:c>
      <x:c r="J656">
        <x:v>12</x:v>
      </x:c>
      <x:c r="K656">
        <x:v>3</x:v>
      </x:c>
      <x:c r="L656">
        <x:f t="shared" si="70"/>
        <x:v>1</x:v>
      </x:c>
      <x:c r="P656">
        <x:f t="shared" si="71"/>
        <x:v>1</x:v>
      </x:c>
      <x:c r="Q656">
        <x:f t="shared" si="72"/>
        <x:v>1</x:v>
      </x:c>
      <x:c r="R656">
        <x:f t="shared" si="73"/>
        <x:v>1</x:v>
      </x:c>
      <x:c r="S656">
        <x:f t="shared" si="74"/>
        <x:v>3</x:v>
      </x:c>
      <x:c r="T656" t="str">
        <x:f t="shared" si="75"/>
        <x:v>DerivedFromCount</x:v>
      </x:c>
      <x:c r="U656" t="str">
        <x:f>IF(COUNTIF(DailyProduction!$Q$5:$Q$100,B656)=1,"OK","CHECK")</x:f>
        <x:v>OK</x:v>
      </x:c>
      <x:c r="V656" t="str">
        <x:f t="shared" si="76"/>
        <x:v>OK</x:v>
      </x:c>
      <x:c r="W656" t="str">
        <x:f>IF(SUMIF($B$5:$B$914,B656,$S$5:$S$914)=SUMIF(DailyProduction!$Q$5:$Q$100,B656,DailyProduction!$R$5:$R$100),"OK","CHECK")</x:f>
        <x:v>OK</x:v>
      </x:c>
      <x:c r="X656" t="str">
        <x:v>PLC-PRD-JAR-330-L24</x:v>
      </x:c>
      <x:c r="Y656" t="str">
        <x:v>OK</x:v>
      </x:c>
      <x:c r="Z656" t="str">
        <x:v>OK</x:v>
      </x:c>
      <x:c r="AA656" t="n">
        <x:v>3</x:v>
      </x:c>
      <x:c r="AB656" t="n">
        <x:v>3</x:v>
      </x:c>
      <x:c r="AC656" t="str">
        <x:v>OK</x:v>
      </x:c>
      <x:c r="AD656" t="str">
        <x:v>OK</x:v>
      </x:c>
      <x:c r="AE656" t="str">
        <x:v>LOAD</x:v>
      </x:c>
      <x:c r="AF656" t="str">
        <x:v>02_Supervisor_Log(4).xlsx</x:v>
      </x:c>
      <x:c r="AG656" t="str">
        <x:v>ENH-20260830-01</x:v>
      </x:c>
      <x:c r="AH656" t="str">
        <x:v>Active</x:v>
      </x:c>
      <x:c r="AI656"/>
      <x:c r="AJ656"/>
      <x:c r="AK656"/>
      <x:c r="AL656"/>
    </x:row>
    <x:row r="657">
      <x:c r="A657" t="s">
        <x:v>898</x:v>
      </x:c>
      <x:c r="B657" t="s">
        <x:v>896</x:v>
      </x:c>
      <x:c r="C657" t="s">
        <x:v>44</x:v>
      </x:c>
      <x:c r="D657">
        <x:v>45954</x:v>
      </x:c>
      <x:c r="E657" t="s">
        <x:v>45</x:v>
      </x:c>
      <x:c r="F657" t="s">
        <x:v>46</x:v>
      </x:c>
      <x:c r="G657">
        <x:v>24</x:v>
      </x:c>
      <x:c r="H657" t="s">
        <x:v>73</x:v>
      </x:c>
      <x:c r="I657">
        <x:v>3</x:v>
      </x:c>
      <x:c r="J657">
        <x:v>12</x:v>
      </x:c>
      <x:c r="K657">
        <x:v>3</x:v>
      </x:c>
      <x:c r="L657">
        <x:f t="shared" si="70"/>
        <x:v>1</x:v>
      </x:c>
      <x:c r="P657">
        <x:f t="shared" si="71"/>
        <x:v>1</x:v>
      </x:c>
      <x:c r="Q657">
        <x:f t="shared" si="72"/>
        <x:v>1</x:v>
      </x:c>
      <x:c r="R657">
        <x:f t="shared" si="73"/>
        <x:v>1</x:v>
      </x:c>
      <x:c r="S657">
        <x:f t="shared" si="74"/>
        <x:v>3</x:v>
      </x:c>
      <x:c r="T657" t="str">
        <x:f t="shared" si="75"/>
        <x:v>DerivedFromCount</x:v>
      </x:c>
      <x:c r="U657" t="str">
        <x:f>IF(COUNTIF(DailyProduction!$Q$5:$Q$100,B657)=1,"OK","CHECK")</x:f>
        <x:v>OK</x:v>
      </x:c>
      <x:c r="V657" t="str">
        <x:f t="shared" si="76"/>
        <x:v>OK</x:v>
      </x:c>
      <x:c r="W657" t="str">
        <x:f>IF(SUMIF($B$5:$B$914,B657,$S$5:$S$914)=SUMIF(DailyProduction!$Q$5:$Q$100,B657,DailyProduction!$R$5:$R$100),"OK","CHECK")</x:f>
        <x:v>OK</x:v>
      </x:c>
      <x:c r="X657" t="str">
        <x:v>PLC-PRD-JAR-330-L24</x:v>
      </x:c>
      <x:c r="Y657" t="str">
        <x:v>OK</x:v>
      </x:c>
      <x:c r="Z657" t="str">
        <x:v>OK</x:v>
      </x:c>
      <x:c r="AA657" t="n">
        <x:v>3</x:v>
      </x:c>
      <x:c r="AB657" t="n">
        <x:v>3</x:v>
      </x:c>
      <x:c r="AC657" t="str">
        <x:v>OK</x:v>
      </x:c>
      <x:c r="AD657" t="str">
        <x:v>OK</x:v>
      </x:c>
      <x:c r="AE657" t="str">
        <x:v>LOAD</x:v>
      </x:c>
      <x:c r="AF657" t="str">
        <x:v>02_Supervisor_Log(4).xlsx</x:v>
      </x:c>
      <x:c r="AG657" t="str">
        <x:v>ENH-20260830-01</x:v>
      </x:c>
      <x:c r="AH657" t="str">
        <x:v>Active</x:v>
      </x:c>
      <x:c r="AI657"/>
      <x:c r="AJ657"/>
      <x:c r="AK657"/>
      <x:c r="AL657"/>
    </x:row>
    <x:row r="658">
      <x:c r="A658" t="s">
        <x:v>899</x:v>
      </x:c>
      <x:c r="B658" t="s">
        <x:v>896</x:v>
      </x:c>
      <x:c r="C658" t="s">
        <x:v>44</x:v>
      </x:c>
      <x:c r="D658">
        <x:v>45954</x:v>
      </x:c>
      <x:c r="E658" t="s">
        <x:v>45</x:v>
      </x:c>
      <x:c r="F658" t="s">
        <x:v>46</x:v>
      </x:c>
      <x:c r="G658">
        <x:v>24</x:v>
      </x:c>
      <x:c r="H658" t="s">
        <x:v>73</x:v>
      </x:c>
      <x:c r="I658">
        <x:v>4</x:v>
      </x:c>
      <x:c r="J658">
        <x:v>12</x:v>
      </x:c>
      <x:c r="K658">
        <x:v>3</x:v>
      </x:c>
      <x:c r="L658">
        <x:f t="shared" si="70"/>
        <x:v>1</x:v>
      </x:c>
      <x:c r="P658">
        <x:f t="shared" si="71"/>
        <x:v>1</x:v>
      </x:c>
      <x:c r="Q658">
        <x:f t="shared" si="72"/>
        <x:v>1</x:v>
      </x:c>
      <x:c r="R658">
        <x:f t="shared" si="73"/>
        <x:v>1</x:v>
      </x:c>
      <x:c r="S658">
        <x:f t="shared" si="74"/>
        <x:v>3</x:v>
      </x:c>
      <x:c r="T658" t="str">
        <x:f t="shared" si="75"/>
        <x:v>DerivedFromCount</x:v>
      </x:c>
      <x:c r="U658" t="str">
        <x:f>IF(COUNTIF(DailyProduction!$Q$5:$Q$100,B658)=1,"OK","CHECK")</x:f>
        <x:v>OK</x:v>
      </x:c>
      <x:c r="V658" t="str">
        <x:f t="shared" si="76"/>
        <x:v>OK</x:v>
      </x:c>
      <x:c r="W658" t="str">
        <x:f>IF(SUMIF($B$5:$B$914,B658,$S$5:$S$914)=SUMIF(DailyProduction!$Q$5:$Q$100,B658,DailyProduction!$R$5:$R$100),"OK","CHECK")</x:f>
        <x:v>OK</x:v>
      </x:c>
      <x:c r="X658" t="str">
        <x:v>PLC-PRD-JAR-330-L24</x:v>
      </x:c>
      <x:c r="Y658" t="str">
        <x:v>OK</x:v>
      </x:c>
      <x:c r="Z658" t="str">
        <x:v>OK</x:v>
      </x:c>
      <x:c r="AA658" t="n">
        <x:v>3</x:v>
      </x:c>
      <x:c r="AB658" t="n">
        <x:v>3</x:v>
      </x:c>
      <x:c r="AC658" t="str">
        <x:v>OK</x:v>
      </x:c>
      <x:c r="AD658" t="str">
        <x:v>OK</x:v>
      </x:c>
      <x:c r="AE658" t="str">
        <x:v>LOAD</x:v>
      </x:c>
      <x:c r="AF658" t="str">
        <x:v>02_Supervisor_Log(4).xlsx</x:v>
      </x:c>
      <x:c r="AG658" t="str">
        <x:v>ENH-20260830-01</x:v>
      </x:c>
      <x:c r="AH658" t="str">
        <x:v>Active</x:v>
      </x:c>
      <x:c r="AI658"/>
      <x:c r="AJ658"/>
      <x:c r="AK658"/>
      <x:c r="AL658"/>
    </x:row>
    <x:row r="659">
      <x:c r="A659" t="s">
        <x:v>900</x:v>
      </x:c>
      <x:c r="B659" t="s">
        <x:v>896</x:v>
      </x:c>
      <x:c r="C659" t="s">
        <x:v>44</x:v>
      </x:c>
      <x:c r="D659">
        <x:v>45954</x:v>
      </x:c>
      <x:c r="E659" t="s">
        <x:v>45</x:v>
      </x:c>
      <x:c r="F659" t="s">
        <x:v>46</x:v>
      </x:c>
      <x:c r="G659">
        <x:v>24</x:v>
      </x:c>
      <x:c r="H659" t="s">
        <x:v>73</x:v>
      </x:c>
      <x:c r="I659">
        <x:v>5</x:v>
      </x:c>
      <x:c r="J659">
        <x:v>12</x:v>
      </x:c>
      <x:c r="K659">
        <x:v>3</x:v>
      </x:c>
      <x:c r="L659">
        <x:f t="shared" si="70"/>
        <x:v>1</x:v>
      </x:c>
      <x:c r="P659">
        <x:f t="shared" si="71"/>
        <x:v>1</x:v>
      </x:c>
      <x:c r="Q659">
        <x:f t="shared" si="72"/>
        <x:v>1</x:v>
      </x:c>
      <x:c r="R659">
        <x:f t="shared" si="73"/>
        <x:v>1</x:v>
      </x:c>
      <x:c r="S659">
        <x:f t="shared" si="74"/>
        <x:v>3</x:v>
      </x:c>
      <x:c r="T659" t="str">
        <x:f t="shared" si="75"/>
        <x:v>DerivedFromCount</x:v>
      </x:c>
      <x:c r="U659" t="str">
        <x:f>IF(COUNTIF(DailyProduction!$Q$5:$Q$100,B659)=1,"OK","CHECK")</x:f>
        <x:v>OK</x:v>
      </x:c>
      <x:c r="V659" t="str">
        <x:f t="shared" si="76"/>
        <x:v>OK</x:v>
      </x:c>
      <x:c r="W659" t="str">
        <x:f>IF(SUMIF($B$5:$B$914,B659,$S$5:$S$914)=SUMIF(DailyProduction!$Q$5:$Q$100,B659,DailyProduction!$R$5:$R$100),"OK","CHECK")</x:f>
        <x:v>OK</x:v>
      </x:c>
      <x:c r="X659" t="str">
        <x:v>PLC-PRD-JAR-330-L24</x:v>
      </x:c>
      <x:c r="Y659" t="str">
        <x:v>OK</x:v>
      </x:c>
      <x:c r="Z659" t="str">
        <x:v>OK</x:v>
      </x:c>
      <x:c r="AA659" t="n">
        <x:v>3</x:v>
      </x:c>
      <x:c r="AB659" t="n">
        <x:v>3</x:v>
      </x:c>
      <x:c r="AC659" t="str">
        <x:v>OK</x:v>
      </x:c>
      <x:c r="AD659" t="str">
        <x:v>OK</x:v>
      </x:c>
      <x:c r="AE659" t="str">
        <x:v>LOAD</x:v>
      </x:c>
      <x:c r="AF659" t="str">
        <x:v>02_Supervisor_Log(4).xlsx</x:v>
      </x:c>
      <x:c r="AG659" t="str">
        <x:v>ENH-20260830-01</x:v>
      </x:c>
      <x:c r="AH659" t="str">
        <x:v>Active</x:v>
      </x:c>
      <x:c r="AI659"/>
      <x:c r="AJ659"/>
      <x:c r="AK659"/>
      <x:c r="AL659"/>
    </x:row>
    <x:row r="660">
      <x:c r="A660" t="s">
        <x:v>901</x:v>
      </x:c>
      <x:c r="B660" t="s">
        <x:v>896</x:v>
      </x:c>
      <x:c r="C660" t="s">
        <x:v>44</x:v>
      </x:c>
      <x:c r="D660">
        <x:v>45954</x:v>
      </x:c>
      <x:c r="E660" t="s">
        <x:v>45</x:v>
      </x:c>
      <x:c r="F660" t="s">
        <x:v>46</x:v>
      </x:c>
      <x:c r="G660">
        <x:v>24</x:v>
      </x:c>
      <x:c r="H660" t="s">
        <x:v>73</x:v>
      </x:c>
      <x:c r="I660">
        <x:v>6</x:v>
      </x:c>
      <x:c r="J660">
        <x:v>12</x:v>
      </x:c>
      <x:c r="K660">
        <x:v>3</x:v>
      </x:c>
      <x:c r="L660">
        <x:f t="shared" si="70"/>
        <x:v>1</x:v>
      </x:c>
      <x:c r="P660">
        <x:f t="shared" si="71"/>
        <x:v>1</x:v>
      </x:c>
      <x:c r="Q660">
        <x:f t="shared" si="72"/>
        <x:v>1</x:v>
      </x:c>
      <x:c r="R660">
        <x:f t="shared" si="73"/>
        <x:v>1</x:v>
      </x:c>
      <x:c r="S660">
        <x:f t="shared" si="74"/>
        <x:v>3</x:v>
      </x:c>
      <x:c r="T660" t="str">
        <x:f t="shared" si="75"/>
        <x:v>DerivedFromCount</x:v>
      </x:c>
      <x:c r="U660" t="str">
        <x:f>IF(COUNTIF(DailyProduction!$Q$5:$Q$100,B660)=1,"OK","CHECK")</x:f>
        <x:v>OK</x:v>
      </x:c>
      <x:c r="V660" t="str">
        <x:f t="shared" si="76"/>
        <x:v>OK</x:v>
      </x:c>
      <x:c r="W660" t="str">
        <x:f>IF(SUMIF($B$5:$B$914,B660,$S$5:$S$914)=SUMIF(DailyProduction!$Q$5:$Q$100,B660,DailyProduction!$R$5:$R$100),"OK","CHECK")</x:f>
        <x:v>OK</x:v>
      </x:c>
      <x:c r="X660" t="str">
        <x:v>PLC-PRD-JAR-330-L24</x:v>
      </x:c>
      <x:c r="Y660" t="str">
        <x:v>OK</x:v>
      </x:c>
      <x:c r="Z660" t="str">
        <x:v>OK</x:v>
      </x:c>
      <x:c r="AA660" t="n">
        <x:v>3</x:v>
      </x:c>
      <x:c r="AB660" t="n">
        <x:v>3</x:v>
      </x:c>
      <x:c r="AC660" t="str">
        <x:v>OK</x:v>
      </x:c>
      <x:c r="AD660" t="str">
        <x:v>OK</x:v>
      </x:c>
      <x:c r="AE660" t="str">
        <x:v>LOAD</x:v>
      </x:c>
      <x:c r="AF660" t="str">
        <x:v>02_Supervisor_Log(4).xlsx</x:v>
      </x:c>
      <x:c r="AG660" t="str">
        <x:v>ENH-20260830-01</x:v>
      </x:c>
      <x:c r="AH660" t="str">
        <x:v>Active</x:v>
      </x:c>
      <x:c r="AI660"/>
      <x:c r="AJ660"/>
      <x:c r="AK660"/>
      <x:c r="AL660"/>
    </x:row>
    <x:row r="661">
      <x:c r="A661" t="s">
        <x:v>902</x:v>
      </x:c>
      <x:c r="B661" t="s">
        <x:v>896</x:v>
      </x:c>
      <x:c r="C661" t="s">
        <x:v>44</x:v>
      </x:c>
      <x:c r="D661">
        <x:v>45954</x:v>
      </x:c>
      <x:c r="E661" t="s">
        <x:v>45</x:v>
      </x:c>
      <x:c r="F661" t="s">
        <x:v>46</x:v>
      </x:c>
      <x:c r="G661">
        <x:v>24</x:v>
      </x:c>
      <x:c r="H661" t="s">
        <x:v>73</x:v>
      </x:c>
      <x:c r="I661">
        <x:v>7</x:v>
      </x:c>
      <x:c r="J661">
        <x:v>12</x:v>
      </x:c>
      <x:c r="K661">
        <x:v>3</x:v>
      </x:c>
      <x:c r="L661">
        <x:f t="shared" si="70"/>
        <x:v>1</x:v>
      </x:c>
      <x:c r="P661">
        <x:f t="shared" si="71"/>
        <x:v>1</x:v>
      </x:c>
      <x:c r="Q661">
        <x:f t="shared" si="72"/>
        <x:v>1</x:v>
      </x:c>
      <x:c r="R661">
        <x:f t="shared" si="73"/>
        <x:v>1</x:v>
      </x:c>
      <x:c r="S661">
        <x:f t="shared" si="74"/>
        <x:v>3</x:v>
      </x:c>
      <x:c r="T661" t="str">
        <x:f t="shared" si="75"/>
        <x:v>DerivedFromCount</x:v>
      </x:c>
      <x:c r="U661" t="str">
        <x:f>IF(COUNTIF(DailyProduction!$Q$5:$Q$100,B661)=1,"OK","CHECK")</x:f>
        <x:v>OK</x:v>
      </x:c>
      <x:c r="V661" t="str">
        <x:f t="shared" si="76"/>
        <x:v>OK</x:v>
      </x:c>
      <x:c r="W661" t="str">
        <x:f>IF(SUMIF($B$5:$B$914,B661,$S$5:$S$914)=SUMIF(DailyProduction!$Q$5:$Q$100,B661,DailyProduction!$R$5:$R$100),"OK","CHECK")</x:f>
        <x:v>OK</x:v>
      </x:c>
      <x:c r="X661" t="str">
        <x:v>PLC-PRD-JAR-330-L24</x:v>
      </x:c>
      <x:c r="Y661" t="str">
        <x:v>OK</x:v>
      </x:c>
      <x:c r="Z661" t="str">
        <x:v>OK</x:v>
      </x:c>
      <x:c r="AA661" t="n">
        <x:v>3</x:v>
      </x:c>
      <x:c r="AB661" t="n">
        <x:v>3</x:v>
      </x:c>
      <x:c r="AC661" t="str">
        <x:v>OK</x:v>
      </x:c>
      <x:c r="AD661" t="str">
        <x:v>OK</x:v>
      </x:c>
      <x:c r="AE661" t="str">
        <x:v>LOAD</x:v>
      </x:c>
      <x:c r="AF661" t="str">
        <x:v>02_Supervisor_Log(4).xlsx</x:v>
      </x:c>
      <x:c r="AG661" t="str">
        <x:v>ENH-20260830-01</x:v>
      </x:c>
      <x:c r="AH661" t="str">
        <x:v>Active</x:v>
      </x:c>
      <x:c r="AI661"/>
      <x:c r="AJ661"/>
      <x:c r="AK661"/>
      <x:c r="AL661"/>
    </x:row>
    <x:row r="662">
      <x:c r="A662" t="s">
        <x:v>903</x:v>
      </x:c>
      <x:c r="B662" t="s">
        <x:v>896</x:v>
      </x:c>
      <x:c r="C662" t="s">
        <x:v>44</x:v>
      </x:c>
      <x:c r="D662">
        <x:v>45954</x:v>
      </x:c>
      <x:c r="E662" t="s">
        <x:v>45</x:v>
      </x:c>
      <x:c r="F662" t="s">
        <x:v>46</x:v>
      </x:c>
      <x:c r="G662">
        <x:v>24</x:v>
      </x:c>
      <x:c r="H662" t="s">
        <x:v>73</x:v>
      </x:c>
      <x:c r="I662">
        <x:v>8</x:v>
      </x:c>
      <x:c r="J662">
        <x:v>12</x:v>
      </x:c>
      <x:c r="K662">
        <x:v>3</x:v>
      </x:c>
      <x:c r="L662">
        <x:f t="shared" si="70"/>
        <x:v>1</x:v>
      </x:c>
      <x:c r="P662">
        <x:f t="shared" si="71"/>
        <x:v>1</x:v>
      </x:c>
      <x:c r="Q662">
        <x:f t="shared" si="72"/>
        <x:v>1</x:v>
      </x:c>
      <x:c r="R662">
        <x:f t="shared" si="73"/>
        <x:v>1</x:v>
      </x:c>
      <x:c r="S662">
        <x:f t="shared" si="74"/>
        <x:v>3</x:v>
      </x:c>
      <x:c r="T662" t="str">
        <x:f t="shared" si="75"/>
        <x:v>DerivedFromCount</x:v>
      </x:c>
      <x:c r="U662" t="str">
        <x:f>IF(COUNTIF(DailyProduction!$Q$5:$Q$100,B662)=1,"OK","CHECK")</x:f>
        <x:v>OK</x:v>
      </x:c>
      <x:c r="V662" t="str">
        <x:f t="shared" si="76"/>
        <x:v>OK</x:v>
      </x:c>
      <x:c r="W662" t="str">
        <x:f>IF(SUMIF($B$5:$B$914,B662,$S$5:$S$914)=SUMIF(DailyProduction!$Q$5:$Q$100,B662,DailyProduction!$R$5:$R$100),"OK","CHECK")</x:f>
        <x:v>OK</x:v>
      </x:c>
      <x:c r="X662" t="str">
        <x:v>PLC-PRD-JAR-330-L24</x:v>
      </x:c>
      <x:c r="Y662" t="str">
        <x:v>OK</x:v>
      </x:c>
      <x:c r="Z662" t="str">
        <x:v>OK</x:v>
      </x:c>
      <x:c r="AA662" t="n">
        <x:v>3</x:v>
      </x:c>
      <x:c r="AB662" t="n">
        <x:v>3</x:v>
      </x:c>
      <x:c r="AC662" t="str">
        <x:v>OK</x:v>
      </x:c>
      <x:c r="AD662" t="str">
        <x:v>OK</x:v>
      </x:c>
      <x:c r="AE662" t="str">
        <x:v>LOAD</x:v>
      </x:c>
      <x:c r="AF662" t="str">
        <x:v>02_Supervisor_Log(4).xlsx</x:v>
      </x:c>
      <x:c r="AG662" t="str">
        <x:v>ENH-20260830-01</x:v>
      </x:c>
      <x:c r="AH662" t="str">
        <x:v>Active</x:v>
      </x:c>
      <x:c r="AI662"/>
      <x:c r="AJ662"/>
      <x:c r="AK662"/>
      <x:c r="AL662"/>
    </x:row>
    <x:row r="663">
      <x:c r="A663" t="s">
        <x:v>904</x:v>
      </x:c>
      <x:c r="B663" t="s">
        <x:v>896</x:v>
      </x:c>
      <x:c r="C663" t="s">
        <x:v>44</x:v>
      </x:c>
      <x:c r="D663">
        <x:v>45954</x:v>
      </x:c>
      <x:c r="E663" t="s">
        <x:v>45</x:v>
      </x:c>
      <x:c r="F663" t="s">
        <x:v>46</x:v>
      </x:c>
      <x:c r="G663">
        <x:v>24</x:v>
      </x:c>
      <x:c r="H663" t="s">
        <x:v>73</x:v>
      </x:c>
      <x:c r="I663">
        <x:v>9</x:v>
      </x:c>
      <x:c r="J663">
        <x:v>12</x:v>
      </x:c>
      <x:c r="K663">
        <x:v>3</x:v>
      </x:c>
      <x:c r="L663">
        <x:f t="shared" si="70"/>
        <x:v>1</x:v>
      </x:c>
      <x:c r="P663">
        <x:f t="shared" si="71"/>
        <x:v>1</x:v>
      </x:c>
      <x:c r="Q663">
        <x:f t="shared" si="72"/>
        <x:v>1</x:v>
      </x:c>
      <x:c r="R663">
        <x:f t="shared" si="73"/>
        <x:v>1</x:v>
      </x:c>
      <x:c r="S663">
        <x:f t="shared" si="74"/>
        <x:v>3</x:v>
      </x:c>
      <x:c r="T663" t="str">
        <x:f t="shared" si="75"/>
        <x:v>DerivedFromCount</x:v>
      </x:c>
      <x:c r="U663" t="str">
        <x:f>IF(COUNTIF(DailyProduction!$Q$5:$Q$100,B663)=1,"OK","CHECK")</x:f>
        <x:v>OK</x:v>
      </x:c>
      <x:c r="V663" t="str">
        <x:f t="shared" si="76"/>
        <x:v>OK</x:v>
      </x:c>
      <x:c r="W663" t="str">
        <x:f>IF(SUMIF($B$5:$B$914,B663,$S$5:$S$914)=SUMIF(DailyProduction!$Q$5:$Q$100,B663,DailyProduction!$R$5:$R$100),"OK","CHECK")</x:f>
        <x:v>OK</x:v>
      </x:c>
      <x:c r="X663" t="str">
        <x:v>PLC-PRD-JAR-330-L24</x:v>
      </x:c>
      <x:c r="Y663" t="str">
        <x:v>OK</x:v>
      </x:c>
      <x:c r="Z663" t="str">
        <x:v>OK</x:v>
      </x:c>
      <x:c r="AA663" t="n">
        <x:v>3</x:v>
      </x:c>
      <x:c r="AB663" t="n">
        <x:v>3</x:v>
      </x:c>
      <x:c r="AC663" t="str">
        <x:v>OK</x:v>
      </x:c>
      <x:c r="AD663" t="str">
        <x:v>OK</x:v>
      </x:c>
      <x:c r="AE663" t="str">
        <x:v>LOAD</x:v>
      </x:c>
      <x:c r="AF663" t="str">
        <x:v>02_Supervisor_Log(4).xlsx</x:v>
      </x:c>
      <x:c r="AG663" t="str">
        <x:v>ENH-20260830-01</x:v>
      </x:c>
      <x:c r="AH663" t="str">
        <x:v>Active</x:v>
      </x:c>
      <x:c r="AI663"/>
      <x:c r="AJ663"/>
      <x:c r="AK663"/>
      <x:c r="AL663"/>
    </x:row>
    <x:row r="664">
      <x:c r="A664" t="s">
        <x:v>905</x:v>
      </x:c>
      <x:c r="B664" t="s">
        <x:v>896</x:v>
      </x:c>
      <x:c r="C664" t="s">
        <x:v>44</x:v>
      </x:c>
      <x:c r="D664">
        <x:v>45954</x:v>
      </x:c>
      <x:c r="E664" t="s">
        <x:v>45</x:v>
      </x:c>
      <x:c r="F664" t="s">
        <x:v>46</x:v>
      </x:c>
      <x:c r="G664">
        <x:v>24</x:v>
      </x:c>
      <x:c r="H664" t="s">
        <x:v>73</x:v>
      </x:c>
      <x:c r="I664">
        <x:v>10</x:v>
      </x:c>
      <x:c r="J664">
        <x:v>12</x:v>
      </x:c>
      <x:c r="K664">
        <x:v>3</x:v>
      </x:c>
      <x:c r="L664">
        <x:f t="shared" si="70"/>
        <x:v>1</x:v>
      </x:c>
      <x:c r="P664">
        <x:f t="shared" si="71"/>
        <x:v>1</x:v>
      </x:c>
      <x:c r="Q664">
        <x:f t="shared" si="72"/>
        <x:v>1</x:v>
      </x:c>
      <x:c r="R664">
        <x:f t="shared" si="73"/>
        <x:v>1</x:v>
      </x:c>
      <x:c r="S664">
        <x:f t="shared" si="74"/>
        <x:v>3</x:v>
      </x:c>
      <x:c r="T664" t="str">
        <x:f t="shared" si="75"/>
        <x:v>DerivedFromCount</x:v>
      </x:c>
      <x:c r="U664" t="str">
        <x:f>IF(COUNTIF(DailyProduction!$Q$5:$Q$100,B664)=1,"OK","CHECK")</x:f>
        <x:v>OK</x:v>
      </x:c>
      <x:c r="V664" t="str">
        <x:f t="shared" si="76"/>
        <x:v>OK</x:v>
      </x:c>
      <x:c r="W664" t="str">
        <x:f>IF(SUMIF($B$5:$B$914,B664,$S$5:$S$914)=SUMIF(DailyProduction!$Q$5:$Q$100,B664,DailyProduction!$R$5:$R$100),"OK","CHECK")</x:f>
        <x:v>OK</x:v>
      </x:c>
      <x:c r="X664" t="str">
        <x:v>PLC-PRD-JAR-330-L24</x:v>
      </x:c>
      <x:c r="Y664" t="str">
        <x:v>OK</x:v>
      </x:c>
      <x:c r="Z664" t="str">
        <x:v>OK</x:v>
      </x:c>
      <x:c r="AA664" t="n">
        <x:v>3</x:v>
      </x:c>
      <x:c r="AB664" t="n">
        <x:v>3</x:v>
      </x:c>
      <x:c r="AC664" t="str">
        <x:v>OK</x:v>
      </x:c>
      <x:c r="AD664" t="str">
        <x:v>OK</x:v>
      </x:c>
      <x:c r="AE664" t="str">
        <x:v>LOAD</x:v>
      </x:c>
      <x:c r="AF664" t="str">
        <x:v>02_Supervisor_Log(4).xlsx</x:v>
      </x:c>
      <x:c r="AG664" t="str">
        <x:v>ENH-20260830-01</x:v>
      </x:c>
      <x:c r="AH664" t="str">
        <x:v>Active</x:v>
      </x:c>
      <x:c r="AI664"/>
      <x:c r="AJ664"/>
      <x:c r="AK664"/>
      <x:c r="AL664"/>
    </x:row>
    <x:row r="665">
      <x:c r="A665" t="s">
        <x:v>906</x:v>
      </x:c>
      <x:c r="B665" t="s">
        <x:v>896</x:v>
      </x:c>
      <x:c r="C665" t="s">
        <x:v>44</x:v>
      </x:c>
      <x:c r="D665">
        <x:v>45954</x:v>
      </x:c>
      <x:c r="E665" t="s">
        <x:v>45</x:v>
      </x:c>
      <x:c r="F665" t="s">
        <x:v>46</x:v>
      </x:c>
      <x:c r="G665">
        <x:v>24</x:v>
      </x:c>
      <x:c r="H665" t="s">
        <x:v>73</x:v>
      </x:c>
      <x:c r="I665">
        <x:v>11</x:v>
      </x:c>
      <x:c r="J665">
        <x:v>12</x:v>
      </x:c>
      <x:c r="K665">
        <x:v>3</x:v>
      </x:c>
      <x:c r="L665">
        <x:f t="shared" si="70"/>
        <x:v>1</x:v>
      </x:c>
      <x:c r="P665">
        <x:f t="shared" si="71"/>
        <x:v>1</x:v>
      </x:c>
      <x:c r="Q665">
        <x:f t="shared" si="72"/>
        <x:v>1</x:v>
      </x:c>
      <x:c r="R665">
        <x:f t="shared" si="73"/>
        <x:v>1</x:v>
      </x:c>
      <x:c r="S665">
        <x:f t="shared" si="74"/>
        <x:v>3</x:v>
      </x:c>
      <x:c r="T665" t="str">
        <x:f t="shared" si="75"/>
        <x:v>DerivedFromCount</x:v>
      </x:c>
      <x:c r="U665" t="str">
        <x:f>IF(COUNTIF(DailyProduction!$Q$5:$Q$100,B665)=1,"OK","CHECK")</x:f>
        <x:v>OK</x:v>
      </x:c>
      <x:c r="V665" t="str">
        <x:f t="shared" si="76"/>
        <x:v>OK</x:v>
      </x:c>
      <x:c r="W665" t="str">
        <x:f>IF(SUMIF($B$5:$B$914,B665,$S$5:$S$914)=SUMIF(DailyProduction!$Q$5:$Q$100,B665,DailyProduction!$R$5:$R$100),"OK","CHECK")</x:f>
        <x:v>OK</x:v>
      </x:c>
      <x:c r="X665" t="str">
        <x:v>PLC-PRD-JAR-330-L24</x:v>
      </x:c>
      <x:c r="Y665" t="str">
        <x:v>OK</x:v>
      </x:c>
      <x:c r="Z665" t="str">
        <x:v>OK</x:v>
      </x:c>
      <x:c r="AA665" t="n">
        <x:v>3</x:v>
      </x:c>
      <x:c r="AB665" t="n">
        <x:v>3</x:v>
      </x:c>
      <x:c r="AC665" t="str">
        <x:v>OK</x:v>
      </x:c>
      <x:c r="AD665" t="str">
        <x:v>OK</x:v>
      </x:c>
      <x:c r="AE665" t="str">
        <x:v>LOAD</x:v>
      </x:c>
      <x:c r="AF665" t="str">
        <x:v>02_Supervisor_Log(4).xlsx</x:v>
      </x:c>
      <x:c r="AG665" t="str">
        <x:v>ENH-20260830-01</x:v>
      </x:c>
      <x:c r="AH665" t="str">
        <x:v>Active</x:v>
      </x:c>
      <x:c r="AI665"/>
      <x:c r="AJ665"/>
      <x:c r="AK665"/>
      <x:c r="AL665"/>
    </x:row>
    <x:row r="666">
      <x:c r="A666" t="s">
        <x:v>907</x:v>
      </x:c>
      <x:c r="B666" t="s">
        <x:v>896</x:v>
      </x:c>
      <x:c r="C666" t="s">
        <x:v>44</x:v>
      </x:c>
      <x:c r="D666">
        <x:v>45954</x:v>
      </x:c>
      <x:c r="E666" t="s">
        <x:v>45</x:v>
      </x:c>
      <x:c r="F666" t="s">
        <x:v>46</x:v>
      </x:c>
      <x:c r="G666">
        <x:v>24</x:v>
      </x:c>
      <x:c r="H666" t="s">
        <x:v>73</x:v>
      </x:c>
      <x:c r="I666">
        <x:v>12</x:v>
      </x:c>
      <x:c r="J666">
        <x:v>12</x:v>
      </x:c>
      <x:c r="K666">
        <x:v>3</x:v>
      </x:c>
      <x:c r="L666">
        <x:f t="shared" si="70"/>
        <x:v>1</x:v>
      </x:c>
      <x:c r="P666">
        <x:f t="shared" si="71"/>
        <x:v>1</x:v>
      </x:c>
      <x:c r="Q666">
        <x:f t="shared" si="72"/>
        <x:v>1</x:v>
      </x:c>
      <x:c r="R666">
        <x:f t="shared" si="73"/>
        <x:v>1</x:v>
      </x:c>
      <x:c r="S666">
        <x:f t="shared" si="74"/>
        <x:v>3</x:v>
      </x:c>
      <x:c r="T666" t="str">
        <x:f t="shared" si="75"/>
        <x:v>DerivedFromCount</x:v>
      </x:c>
      <x:c r="U666" t="str">
        <x:f>IF(COUNTIF(DailyProduction!$Q$5:$Q$100,B666)=1,"OK","CHECK")</x:f>
        <x:v>OK</x:v>
      </x:c>
      <x:c r="V666" t="str">
        <x:f t="shared" si="76"/>
        <x:v>OK</x:v>
      </x:c>
      <x:c r="W666" t="str">
        <x:f>IF(SUMIF($B$5:$B$914,B666,$S$5:$S$914)=SUMIF(DailyProduction!$Q$5:$Q$100,B666,DailyProduction!$R$5:$R$100),"OK","CHECK")</x:f>
        <x:v>OK</x:v>
      </x:c>
      <x:c r="X666" t="str">
        <x:v>PLC-PRD-JAR-330-L24</x:v>
      </x:c>
      <x:c r="Y666" t="str">
        <x:v>OK</x:v>
      </x:c>
      <x:c r="Z666" t="str">
        <x:v>OK</x:v>
      </x:c>
      <x:c r="AA666" t="n">
        <x:v>3</x:v>
      </x:c>
      <x:c r="AB666" t="n">
        <x:v>3</x:v>
      </x:c>
      <x:c r="AC666" t="str">
        <x:v>OK</x:v>
      </x:c>
      <x:c r="AD666" t="str">
        <x:v>OK</x:v>
      </x:c>
      <x:c r="AE666" t="str">
        <x:v>LOAD</x:v>
      </x:c>
      <x:c r="AF666" t="str">
        <x:v>02_Supervisor_Log(4).xlsx</x:v>
      </x:c>
      <x:c r="AG666" t="str">
        <x:v>ENH-20260830-01</x:v>
      </x:c>
      <x:c r="AH666" t="str">
        <x:v>Active</x:v>
      </x:c>
      <x:c r="AI666"/>
      <x:c r="AJ666"/>
      <x:c r="AK666"/>
      <x:c r="AL666"/>
    </x:row>
    <x:row r="667">
      <x:c r="A667" t="s">
        <x:v>908</x:v>
      </x:c>
      <x:c r="B667" t="s">
        <x:v>896</x:v>
      </x:c>
      <x:c r="C667" t="s">
        <x:v>44</x:v>
      </x:c>
      <x:c r="D667">
        <x:v>45954</x:v>
      </x:c>
      <x:c r="E667" t="s">
        <x:v>45</x:v>
      </x:c>
      <x:c r="F667" t="s">
        <x:v>46</x:v>
      </x:c>
      <x:c r="G667">
        <x:v>24</x:v>
      </x:c>
      <x:c r="H667" t="s">
        <x:v>73</x:v>
      </x:c>
      <x:c r="I667">
        <x:v>13</x:v>
      </x:c>
      <x:c r="J667">
        <x:v>12</x:v>
      </x:c>
      <x:c r="K667">
        <x:v>3</x:v>
      </x:c>
      <x:c r="L667">
        <x:f t="shared" si="70"/>
        <x:v>0</x:v>
      </x:c>
      <x:c r="P667">
        <x:f t="shared" si="71"/>
        <x:v>0</x:v>
      </x:c>
      <x:c r="Q667">
        <x:f t="shared" si="72"/>
        <x:v>0</x:v>
      </x:c>
      <x:c r="R667">
        <x:f t="shared" si="73"/>
        <x:v>0</x:v>
      </x:c>
      <x:c r="S667">
        <x:f t="shared" si="74"/>
        <x:v>0</x:v>
      </x:c>
      <x:c r="T667" t="str">
        <x:f t="shared" si="75"/>
        <x:v>DerivedFromCount</x:v>
      </x:c>
      <x:c r="U667" t="str">
        <x:f>IF(COUNTIF(DailyProduction!$Q$5:$Q$100,B667)=1,"OK","CHECK")</x:f>
        <x:v>OK</x:v>
      </x:c>
      <x:c r="V667" t="str">
        <x:f t="shared" si="76"/>
        <x:v>OK</x:v>
      </x:c>
      <x:c r="W667" t="str">
        <x:f>IF(SUMIF($B$5:$B$914,B667,$S$5:$S$914)=SUMIF(DailyProduction!$Q$5:$Q$100,B667,DailyProduction!$R$5:$R$100),"OK","CHECK")</x:f>
        <x:v>OK</x:v>
      </x:c>
      <x:c r="X667" t="str">
        <x:v>PLC-PRD-JAR-330-L24</x:v>
      </x:c>
      <x:c r="Y667" t="str">
        <x:v>OK</x:v>
      </x:c>
      <x:c r="Z667" t="str">
        <x:v>OK</x:v>
      </x:c>
      <x:c r="AA667" t="n">
        <x:v>3</x:v>
      </x:c>
      <x:c r="AB667" t="n">
        <x:v>0</x:v>
      </x:c>
      <x:c r="AC667" t="str">
        <x:v>OK</x:v>
      </x:c>
      <x:c r="AD667" t="str">
        <x:v>OK</x:v>
      </x:c>
      <x:c r="AE667" t="str">
        <x:v>LOAD</x:v>
      </x:c>
      <x:c r="AF667" t="str">
        <x:v>02_Supervisor_Log(4).xlsx</x:v>
      </x:c>
      <x:c r="AG667" t="str">
        <x:v>ENH-20260830-01</x:v>
      </x:c>
      <x:c r="AH667" t="str">
        <x:v>Active</x:v>
      </x:c>
      <x:c r="AI667"/>
      <x:c r="AJ667"/>
      <x:c r="AK667"/>
      <x:c r="AL667"/>
    </x:row>
    <x:row r="668">
      <x:c r="A668" t="s">
        <x:v>909</x:v>
      </x:c>
      <x:c r="B668" t="s">
        <x:v>910</x:v>
      </x:c>
      <x:c r="C668" t="s">
        <x:v>44</x:v>
      </x:c>
      <x:c r="D668">
        <x:v>45954</x:v>
      </x:c>
      <x:c r="E668" t="s">
        <x:v>187</x:v>
      </x:c>
      <x:c r="F668" t="s">
        <x:v>51</x:v>
      </x:c>
      <x:c r="G668">
        <x:v>24</x:v>
      </x:c>
      <x:c r="H668" t="s">
        <x:v>73</x:v>
      </x:c>
      <x:c r="I668">
        <x:v>1</x:v>
      </x:c>
      <x:c r="J668">
        <x:v>12</x:v>
      </x:c>
      <x:c r="K668">
        <x:v>3</x:v>
      </x:c>
      <x:c r="L668">
        <x:f t="shared" si="70"/>
        <x:v>1</x:v>
      </x:c>
      <x:c r="P668">
        <x:f t="shared" si="71"/>
        <x:v>1</x:v>
      </x:c>
      <x:c r="Q668">
        <x:f t="shared" si="72"/>
        <x:v>1</x:v>
      </x:c>
      <x:c r="R668">
        <x:f t="shared" si="73"/>
        <x:v>1</x:v>
      </x:c>
      <x:c r="S668">
        <x:f t="shared" si="74"/>
        <x:v>3</x:v>
      </x:c>
      <x:c r="T668" t="str">
        <x:f t="shared" si="75"/>
        <x:v>DerivedFromCount</x:v>
      </x:c>
      <x:c r="U668" t="str">
        <x:f>IF(COUNTIF(DailyProduction!$Q$5:$Q$100,B668)=1,"OK","CHECK")</x:f>
        <x:v>OK</x:v>
      </x:c>
      <x:c r="V668" t="str">
        <x:f t="shared" si="76"/>
        <x:v>OK</x:v>
      </x:c>
      <x:c r="W668" t="str">
        <x:f>IF(SUMIF($B$5:$B$914,B668,$S$5:$S$914)=SUMIF(DailyProduction!$Q$5:$Q$100,B668,DailyProduction!$R$5:$R$100),"OK","CHECK")</x:f>
        <x:v>OK</x:v>
      </x:c>
      <x:c r="X668" t="str">
        <x:v>PLC-PRD-JAR-330-L24</x:v>
      </x:c>
      <x:c r="Y668" t="str">
        <x:v>OK</x:v>
      </x:c>
      <x:c r="Z668" t="str">
        <x:v>OK</x:v>
      </x:c>
      <x:c r="AA668" t="n">
        <x:v>3</x:v>
      </x:c>
      <x:c r="AB668" t="n">
        <x:v>3</x:v>
      </x:c>
      <x:c r="AC668" t="str">
        <x:v>OK</x:v>
      </x:c>
      <x:c r="AD668" t="str">
        <x:v>OK</x:v>
      </x:c>
      <x:c r="AE668" t="str">
        <x:v>LOAD</x:v>
      </x:c>
      <x:c r="AF668" t="str">
        <x:v>02_Supervisor_Log(4).xlsx</x:v>
      </x:c>
      <x:c r="AG668" t="str">
        <x:v>ENH-20260830-01</x:v>
      </x:c>
      <x:c r="AH668" t="str">
        <x:v>Active</x:v>
      </x:c>
      <x:c r="AI668"/>
      <x:c r="AJ668"/>
      <x:c r="AK668"/>
      <x:c r="AL668"/>
    </x:row>
    <x:row r="669">
      <x:c r="A669" t="s">
        <x:v>911</x:v>
      </x:c>
      <x:c r="B669" t="s">
        <x:v>910</x:v>
      </x:c>
      <x:c r="C669" t="s">
        <x:v>44</x:v>
      </x:c>
      <x:c r="D669">
        <x:v>45954</x:v>
      </x:c>
      <x:c r="E669" t="s">
        <x:v>187</x:v>
      </x:c>
      <x:c r="F669" t="s">
        <x:v>51</x:v>
      </x:c>
      <x:c r="G669">
        <x:v>24</x:v>
      </x:c>
      <x:c r="H669" t="s">
        <x:v>73</x:v>
      </x:c>
      <x:c r="I669">
        <x:v>2</x:v>
      </x:c>
      <x:c r="J669">
        <x:v>12</x:v>
      </x:c>
      <x:c r="K669">
        <x:v>3</x:v>
      </x:c>
      <x:c r="L669">
        <x:f t="shared" si="70"/>
        <x:v>1</x:v>
      </x:c>
      <x:c r="P669">
        <x:f t="shared" si="71"/>
        <x:v>1</x:v>
      </x:c>
      <x:c r="Q669">
        <x:f t="shared" si="72"/>
        <x:v>1</x:v>
      </x:c>
      <x:c r="R669">
        <x:f t="shared" si="73"/>
        <x:v>1</x:v>
      </x:c>
      <x:c r="S669">
        <x:f t="shared" si="74"/>
        <x:v>3</x:v>
      </x:c>
      <x:c r="T669" t="str">
        <x:f t="shared" si="75"/>
        <x:v>DerivedFromCount</x:v>
      </x:c>
      <x:c r="U669" t="str">
        <x:f>IF(COUNTIF(DailyProduction!$Q$5:$Q$100,B669)=1,"OK","CHECK")</x:f>
        <x:v>OK</x:v>
      </x:c>
      <x:c r="V669" t="str">
        <x:f t="shared" si="76"/>
        <x:v>OK</x:v>
      </x:c>
      <x:c r="W669" t="str">
        <x:f>IF(SUMIF($B$5:$B$914,B669,$S$5:$S$914)=SUMIF(DailyProduction!$Q$5:$Q$100,B669,DailyProduction!$R$5:$R$100),"OK","CHECK")</x:f>
        <x:v>OK</x:v>
      </x:c>
      <x:c r="X669" t="str">
        <x:v>PLC-PRD-JAR-330-L24</x:v>
      </x:c>
      <x:c r="Y669" t="str">
        <x:v>OK</x:v>
      </x:c>
      <x:c r="Z669" t="str">
        <x:v>OK</x:v>
      </x:c>
      <x:c r="AA669" t="n">
        <x:v>3</x:v>
      </x:c>
      <x:c r="AB669" t="n">
        <x:v>3</x:v>
      </x:c>
      <x:c r="AC669" t="str">
        <x:v>OK</x:v>
      </x:c>
      <x:c r="AD669" t="str">
        <x:v>OK</x:v>
      </x:c>
      <x:c r="AE669" t="str">
        <x:v>LOAD</x:v>
      </x:c>
      <x:c r="AF669" t="str">
        <x:v>02_Supervisor_Log(4).xlsx</x:v>
      </x:c>
      <x:c r="AG669" t="str">
        <x:v>ENH-20260830-01</x:v>
      </x:c>
      <x:c r="AH669" t="str">
        <x:v>Active</x:v>
      </x:c>
      <x:c r="AI669"/>
      <x:c r="AJ669"/>
      <x:c r="AK669"/>
      <x:c r="AL669"/>
    </x:row>
    <x:row r="670">
      <x:c r="A670" t="s">
        <x:v>912</x:v>
      </x:c>
      <x:c r="B670" t="s">
        <x:v>910</x:v>
      </x:c>
      <x:c r="C670" t="s">
        <x:v>44</x:v>
      </x:c>
      <x:c r="D670">
        <x:v>45954</x:v>
      </x:c>
      <x:c r="E670" t="s">
        <x:v>187</x:v>
      </x:c>
      <x:c r="F670" t="s">
        <x:v>51</x:v>
      </x:c>
      <x:c r="G670">
        <x:v>24</x:v>
      </x:c>
      <x:c r="H670" t="s">
        <x:v>73</x:v>
      </x:c>
      <x:c r="I670">
        <x:v>3</x:v>
      </x:c>
      <x:c r="J670">
        <x:v>12</x:v>
      </x:c>
      <x:c r="K670">
        <x:v>3</x:v>
      </x:c>
      <x:c r="L670">
        <x:f t="shared" si="70"/>
        <x:v>1</x:v>
      </x:c>
      <x:c r="P670">
        <x:f t="shared" si="71"/>
        <x:v>1</x:v>
      </x:c>
      <x:c r="Q670">
        <x:f t="shared" si="72"/>
        <x:v>1</x:v>
      </x:c>
      <x:c r="R670">
        <x:f t="shared" si="73"/>
        <x:v>1</x:v>
      </x:c>
      <x:c r="S670">
        <x:f t="shared" si="74"/>
        <x:v>3</x:v>
      </x:c>
      <x:c r="T670" t="str">
        <x:f t="shared" si="75"/>
        <x:v>DerivedFromCount</x:v>
      </x:c>
      <x:c r="U670" t="str">
        <x:f>IF(COUNTIF(DailyProduction!$Q$5:$Q$100,B670)=1,"OK","CHECK")</x:f>
        <x:v>OK</x:v>
      </x:c>
      <x:c r="V670" t="str">
        <x:f t="shared" si="76"/>
        <x:v>OK</x:v>
      </x:c>
      <x:c r="W670" t="str">
        <x:f>IF(SUMIF($B$5:$B$914,B670,$S$5:$S$914)=SUMIF(DailyProduction!$Q$5:$Q$100,B670,DailyProduction!$R$5:$R$100),"OK","CHECK")</x:f>
        <x:v>OK</x:v>
      </x:c>
      <x:c r="X670" t="str">
        <x:v>PLC-PRD-JAR-330-L24</x:v>
      </x:c>
      <x:c r="Y670" t="str">
        <x:v>OK</x:v>
      </x:c>
      <x:c r="Z670" t="str">
        <x:v>OK</x:v>
      </x:c>
      <x:c r="AA670" t="n">
        <x:v>3</x:v>
      </x:c>
      <x:c r="AB670" t="n">
        <x:v>3</x:v>
      </x:c>
      <x:c r="AC670" t="str">
        <x:v>OK</x:v>
      </x:c>
      <x:c r="AD670" t="str">
        <x:v>OK</x:v>
      </x:c>
      <x:c r="AE670" t="str">
        <x:v>LOAD</x:v>
      </x:c>
      <x:c r="AF670" t="str">
        <x:v>02_Supervisor_Log(4).xlsx</x:v>
      </x:c>
      <x:c r="AG670" t="str">
        <x:v>ENH-20260830-01</x:v>
      </x:c>
      <x:c r="AH670" t="str">
        <x:v>Active</x:v>
      </x:c>
      <x:c r="AI670"/>
      <x:c r="AJ670"/>
      <x:c r="AK670"/>
      <x:c r="AL670"/>
    </x:row>
    <x:row r="671">
      <x:c r="A671" t="s">
        <x:v>913</x:v>
      </x:c>
      <x:c r="B671" t="s">
        <x:v>910</x:v>
      </x:c>
      <x:c r="C671" t="s">
        <x:v>44</x:v>
      </x:c>
      <x:c r="D671">
        <x:v>45954</x:v>
      </x:c>
      <x:c r="E671" t="s">
        <x:v>187</x:v>
      </x:c>
      <x:c r="F671" t="s">
        <x:v>51</x:v>
      </x:c>
      <x:c r="G671">
        <x:v>24</x:v>
      </x:c>
      <x:c r="H671" t="s">
        <x:v>73</x:v>
      </x:c>
      <x:c r="I671">
        <x:v>4</x:v>
      </x:c>
      <x:c r="J671">
        <x:v>12</x:v>
      </x:c>
      <x:c r="K671">
        <x:v>3</x:v>
      </x:c>
      <x:c r="L671">
        <x:f t="shared" si="70"/>
        <x:v>1</x:v>
      </x:c>
      <x:c r="P671">
        <x:f t="shared" si="71"/>
        <x:v>1</x:v>
      </x:c>
      <x:c r="Q671">
        <x:f t="shared" si="72"/>
        <x:v>1</x:v>
      </x:c>
      <x:c r="R671">
        <x:f t="shared" si="73"/>
        <x:v>1</x:v>
      </x:c>
      <x:c r="S671">
        <x:f t="shared" si="74"/>
        <x:v>3</x:v>
      </x:c>
      <x:c r="T671" t="str">
        <x:f t="shared" si="75"/>
        <x:v>DerivedFromCount</x:v>
      </x:c>
      <x:c r="U671" t="str">
        <x:f>IF(COUNTIF(DailyProduction!$Q$5:$Q$100,B671)=1,"OK","CHECK")</x:f>
        <x:v>OK</x:v>
      </x:c>
      <x:c r="V671" t="str">
        <x:f t="shared" si="76"/>
        <x:v>OK</x:v>
      </x:c>
      <x:c r="W671" t="str">
        <x:f>IF(SUMIF($B$5:$B$914,B671,$S$5:$S$914)=SUMIF(DailyProduction!$Q$5:$Q$100,B671,DailyProduction!$R$5:$R$100),"OK","CHECK")</x:f>
        <x:v>OK</x:v>
      </x:c>
      <x:c r="X671" t="str">
        <x:v>PLC-PRD-JAR-330-L24</x:v>
      </x:c>
      <x:c r="Y671" t="str">
        <x:v>OK</x:v>
      </x:c>
      <x:c r="Z671" t="str">
        <x:v>OK</x:v>
      </x:c>
      <x:c r="AA671" t="n">
        <x:v>3</x:v>
      </x:c>
      <x:c r="AB671" t="n">
        <x:v>3</x:v>
      </x:c>
      <x:c r="AC671" t="str">
        <x:v>OK</x:v>
      </x:c>
      <x:c r="AD671" t="str">
        <x:v>OK</x:v>
      </x:c>
      <x:c r="AE671" t="str">
        <x:v>LOAD</x:v>
      </x:c>
      <x:c r="AF671" t="str">
        <x:v>02_Supervisor_Log(4).xlsx</x:v>
      </x:c>
      <x:c r="AG671" t="str">
        <x:v>ENH-20260830-01</x:v>
      </x:c>
      <x:c r="AH671" t="str">
        <x:v>Active</x:v>
      </x:c>
      <x:c r="AI671"/>
      <x:c r="AJ671"/>
      <x:c r="AK671"/>
      <x:c r="AL671"/>
    </x:row>
    <x:row r="672">
      <x:c r="A672" t="s">
        <x:v>914</x:v>
      </x:c>
      <x:c r="B672" t="s">
        <x:v>910</x:v>
      </x:c>
      <x:c r="C672" t="s">
        <x:v>44</x:v>
      </x:c>
      <x:c r="D672">
        <x:v>45954</x:v>
      </x:c>
      <x:c r="E672" t="s">
        <x:v>187</x:v>
      </x:c>
      <x:c r="F672" t="s">
        <x:v>51</x:v>
      </x:c>
      <x:c r="G672">
        <x:v>24</x:v>
      </x:c>
      <x:c r="H672" t="s">
        <x:v>73</x:v>
      </x:c>
      <x:c r="I672">
        <x:v>5</x:v>
      </x:c>
      <x:c r="J672">
        <x:v>12</x:v>
      </x:c>
      <x:c r="K672">
        <x:v>3</x:v>
      </x:c>
      <x:c r="L672">
        <x:f t="shared" si="70"/>
        <x:v>1</x:v>
      </x:c>
      <x:c r="P672">
        <x:f t="shared" si="71"/>
        <x:v>1</x:v>
      </x:c>
      <x:c r="Q672">
        <x:f t="shared" si="72"/>
        <x:v>1</x:v>
      </x:c>
      <x:c r="R672">
        <x:f t="shared" si="73"/>
        <x:v>1</x:v>
      </x:c>
      <x:c r="S672">
        <x:f t="shared" si="74"/>
        <x:v>3</x:v>
      </x:c>
      <x:c r="T672" t="str">
        <x:f t="shared" si="75"/>
        <x:v>DerivedFromCount</x:v>
      </x:c>
      <x:c r="U672" t="str">
        <x:f>IF(COUNTIF(DailyProduction!$Q$5:$Q$100,B672)=1,"OK","CHECK")</x:f>
        <x:v>OK</x:v>
      </x:c>
      <x:c r="V672" t="str">
        <x:f t="shared" si="76"/>
        <x:v>OK</x:v>
      </x:c>
      <x:c r="W672" t="str">
        <x:f>IF(SUMIF($B$5:$B$914,B672,$S$5:$S$914)=SUMIF(DailyProduction!$Q$5:$Q$100,B672,DailyProduction!$R$5:$R$100),"OK","CHECK")</x:f>
        <x:v>OK</x:v>
      </x:c>
      <x:c r="X672" t="str">
        <x:v>PLC-PRD-JAR-330-L24</x:v>
      </x:c>
      <x:c r="Y672" t="str">
        <x:v>OK</x:v>
      </x:c>
      <x:c r="Z672" t="str">
        <x:v>OK</x:v>
      </x:c>
      <x:c r="AA672" t="n">
        <x:v>3</x:v>
      </x:c>
      <x:c r="AB672" t="n">
        <x:v>3</x:v>
      </x:c>
      <x:c r="AC672" t="str">
        <x:v>OK</x:v>
      </x:c>
      <x:c r="AD672" t="str">
        <x:v>OK</x:v>
      </x:c>
      <x:c r="AE672" t="str">
        <x:v>LOAD</x:v>
      </x:c>
      <x:c r="AF672" t="str">
        <x:v>02_Supervisor_Log(4).xlsx</x:v>
      </x:c>
      <x:c r="AG672" t="str">
        <x:v>ENH-20260830-01</x:v>
      </x:c>
      <x:c r="AH672" t="str">
        <x:v>Active</x:v>
      </x:c>
      <x:c r="AI672"/>
      <x:c r="AJ672"/>
      <x:c r="AK672"/>
      <x:c r="AL672"/>
    </x:row>
    <x:row r="673">
      <x:c r="A673" t="s">
        <x:v>915</x:v>
      </x:c>
      <x:c r="B673" t="s">
        <x:v>910</x:v>
      </x:c>
      <x:c r="C673" t="s">
        <x:v>44</x:v>
      </x:c>
      <x:c r="D673">
        <x:v>45954</x:v>
      </x:c>
      <x:c r="E673" t="s">
        <x:v>187</x:v>
      </x:c>
      <x:c r="F673" t="s">
        <x:v>51</x:v>
      </x:c>
      <x:c r="G673">
        <x:v>24</x:v>
      </x:c>
      <x:c r="H673" t="s">
        <x:v>73</x:v>
      </x:c>
      <x:c r="I673">
        <x:v>6</x:v>
      </x:c>
      <x:c r="J673">
        <x:v>12</x:v>
      </x:c>
      <x:c r="K673">
        <x:v>3</x:v>
      </x:c>
      <x:c r="L673">
        <x:f t="shared" si="70"/>
        <x:v>1</x:v>
      </x:c>
      <x:c r="P673">
        <x:f t="shared" si="71"/>
        <x:v>1</x:v>
      </x:c>
      <x:c r="Q673">
        <x:f t="shared" si="72"/>
        <x:v>1</x:v>
      </x:c>
      <x:c r="R673">
        <x:f t="shared" si="73"/>
        <x:v>1</x:v>
      </x:c>
      <x:c r="S673">
        <x:f t="shared" si="74"/>
        <x:v>3</x:v>
      </x:c>
      <x:c r="T673" t="str">
        <x:f t="shared" si="75"/>
        <x:v>DerivedFromCount</x:v>
      </x:c>
      <x:c r="U673" t="str">
        <x:f>IF(COUNTIF(DailyProduction!$Q$5:$Q$100,B673)=1,"OK","CHECK")</x:f>
        <x:v>OK</x:v>
      </x:c>
      <x:c r="V673" t="str">
        <x:f t="shared" si="76"/>
        <x:v>OK</x:v>
      </x:c>
      <x:c r="W673" t="str">
        <x:f>IF(SUMIF($B$5:$B$914,B673,$S$5:$S$914)=SUMIF(DailyProduction!$Q$5:$Q$100,B673,DailyProduction!$R$5:$R$100),"OK","CHECK")</x:f>
        <x:v>OK</x:v>
      </x:c>
      <x:c r="X673" t="str">
        <x:v>PLC-PRD-JAR-330-L24</x:v>
      </x:c>
      <x:c r="Y673" t="str">
        <x:v>OK</x:v>
      </x:c>
      <x:c r="Z673" t="str">
        <x:v>OK</x:v>
      </x:c>
      <x:c r="AA673" t="n">
        <x:v>3</x:v>
      </x:c>
      <x:c r="AB673" t="n">
        <x:v>3</x:v>
      </x:c>
      <x:c r="AC673" t="str">
        <x:v>OK</x:v>
      </x:c>
      <x:c r="AD673" t="str">
        <x:v>OK</x:v>
      </x:c>
      <x:c r="AE673" t="str">
        <x:v>LOAD</x:v>
      </x:c>
      <x:c r="AF673" t="str">
        <x:v>02_Supervisor_Log(4).xlsx</x:v>
      </x:c>
      <x:c r="AG673" t="str">
        <x:v>ENH-20260830-01</x:v>
      </x:c>
      <x:c r="AH673" t="str">
        <x:v>Active</x:v>
      </x:c>
      <x:c r="AI673"/>
      <x:c r="AJ673"/>
      <x:c r="AK673"/>
      <x:c r="AL673"/>
    </x:row>
    <x:row r="674">
      <x:c r="A674" t="s">
        <x:v>916</x:v>
      </x:c>
      <x:c r="B674" t="s">
        <x:v>910</x:v>
      </x:c>
      <x:c r="C674" t="s">
        <x:v>44</x:v>
      </x:c>
      <x:c r="D674">
        <x:v>45954</x:v>
      </x:c>
      <x:c r="E674" t="s">
        <x:v>187</x:v>
      </x:c>
      <x:c r="F674" t="s">
        <x:v>51</x:v>
      </x:c>
      <x:c r="G674">
        <x:v>24</x:v>
      </x:c>
      <x:c r="H674" t="s">
        <x:v>73</x:v>
      </x:c>
      <x:c r="I674">
        <x:v>7</x:v>
      </x:c>
      <x:c r="J674">
        <x:v>12</x:v>
      </x:c>
      <x:c r="K674">
        <x:v>3</x:v>
      </x:c>
      <x:c r="L674">
        <x:f t="shared" si="70"/>
        <x:v>1</x:v>
      </x:c>
      <x:c r="P674">
        <x:f t="shared" si="71"/>
        <x:v>1</x:v>
      </x:c>
      <x:c r="Q674">
        <x:f t="shared" si="72"/>
        <x:v>1</x:v>
      </x:c>
      <x:c r="R674">
        <x:f t="shared" si="73"/>
        <x:v>1</x:v>
      </x:c>
      <x:c r="S674">
        <x:f t="shared" si="74"/>
        <x:v>3</x:v>
      </x:c>
      <x:c r="T674" t="str">
        <x:f t="shared" si="75"/>
        <x:v>DerivedFromCount</x:v>
      </x:c>
      <x:c r="U674" t="str">
        <x:f>IF(COUNTIF(DailyProduction!$Q$5:$Q$100,B674)=1,"OK","CHECK")</x:f>
        <x:v>OK</x:v>
      </x:c>
      <x:c r="V674" t="str">
        <x:f t="shared" si="76"/>
        <x:v>OK</x:v>
      </x:c>
      <x:c r="W674" t="str">
        <x:f>IF(SUMIF($B$5:$B$914,B674,$S$5:$S$914)=SUMIF(DailyProduction!$Q$5:$Q$100,B674,DailyProduction!$R$5:$R$100),"OK","CHECK")</x:f>
        <x:v>OK</x:v>
      </x:c>
      <x:c r="X674" t="str">
        <x:v>PLC-PRD-JAR-330-L24</x:v>
      </x:c>
      <x:c r="Y674" t="str">
        <x:v>OK</x:v>
      </x:c>
      <x:c r="Z674" t="str">
        <x:v>OK</x:v>
      </x:c>
      <x:c r="AA674" t="n">
        <x:v>3</x:v>
      </x:c>
      <x:c r="AB674" t="n">
        <x:v>3</x:v>
      </x:c>
      <x:c r="AC674" t="str">
        <x:v>OK</x:v>
      </x:c>
      <x:c r="AD674" t="str">
        <x:v>OK</x:v>
      </x:c>
      <x:c r="AE674" t="str">
        <x:v>LOAD</x:v>
      </x:c>
      <x:c r="AF674" t="str">
        <x:v>02_Supervisor_Log(4).xlsx</x:v>
      </x:c>
      <x:c r="AG674" t="str">
        <x:v>ENH-20260830-01</x:v>
      </x:c>
      <x:c r="AH674" t="str">
        <x:v>Active</x:v>
      </x:c>
      <x:c r="AI674"/>
      <x:c r="AJ674"/>
      <x:c r="AK674"/>
      <x:c r="AL674"/>
    </x:row>
    <x:row r="675">
      <x:c r="A675" t="s">
        <x:v>917</x:v>
      </x:c>
      <x:c r="B675" t="s">
        <x:v>910</x:v>
      </x:c>
      <x:c r="C675" t="s">
        <x:v>44</x:v>
      </x:c>
      <x:c r="D675">
        <x:v>45954</x:v>
      </x:c>
      <x:c r="E675" t="s">
        <x:v>187</x:v>
      </x:c>
      <x:c r="F675" t="s">
        <x:v>51</x:v>
      </x:c>
      <x:c r="G675">
        <x:v>24</x:v>
      </x:c>
      <x:c r="H675" t="s">
        <x:v>73</x:v>
      </x:c>
      <x:c r="I675">
        <x:v>8</x:v>
      </x:c>
      <x:c r="J675">
        <x:v>12</x:v>
      </x:c>
      <x:c r="K675">
        <x:v>3</x:v>
      </x:c>
      <x:c r="L675">
        <x:f t="shared" si="70"/>
        <x:v>1</x:v>
      </x:c>
      <x:c r="P675">
        <x:f t="shared" si="71"/>
        <x:v>1</x:v>
      </x:c>
      <x:c r="Q675">
        <x:f t="shared" si="72"/>
        <x:v>1</x:v>
      </x:c>
      <x:c r="R675">
        <x:f t="shared" si="73"/>
        <x:v>1</x:v>
      </x:c>
      <x:c r="S675">
        <x:f t="shared" si="74"/>
        <x:v>3</x:v>
      </x:c>
      <x:c r="T675" t="str">
        <x:f t="shared" si="75"/>
        <x:v>DerivedFromCount</x:v>
      </x:c>
      <x:c r="U675" t="str">
        <x:f>IF(COUNTIF(DailyProduction!$Q$5:$Q$100,B675)=1,"OK","CHECK")</x:f>
        <x:v>OK</x:v>
      </x:c>
      <x:c r="V675" t="str">
        <x:f t="shared" si="76"/>
        <x:v>OK</x:v>
      </x:c>
      <x:c r="W675" t="str">
        <x:f>IF(SUMIF($B$5:$B$914,B675,$S$5:$S$914)=SUMIF(DailyProduction!$Q$5:$Q$100,B675,DailyProduction!$R$5:$R$100),"OK","CHECK")</x:f>
        <x:v>OK</x:v>
      </x:c>
      <x:c r="X675" t="str">
        <x:v>PLC-PRD-JAR-330-L24</x:v>
      </x:c>
      <x:c r="Y675" t="str">
        <x:v>OK</x:v>
      </x:c>
      <x:c r="Z675" t="str">
        <x:v>OK</x:v>
      </x:c>
      <x:c r="AA675" t="n">
        <x:v>3</x:v>
      </x:c>
      <x:c r="AB675" t="n">
        <x:v>3</x:v>
      </x:c>
      <x:c r="AC675" t="str">
        <x:v>OK</x:v>
      </x:c>
      <x:c r="AD675" t="str">
        <x:v>OK</x:v>
      </x:c>
      <x:c r="AE675" t="str">
        <x:v>LOAD</x:v>
      </x:c>
      <x:c r="AF675" t="str">
        <x:v>02_Supervisor_Log(4).xlsx</x:v>
      </x:c>
      <x:c r="AG675" t="str">
        <x:v>ENH-20260830-01</x:v>
      </x:c>
      <x:c r="AH675" t="str">
        <x:v>Active</x:v>
      </x:c>
      <x:c r="AI675"/>
      <x:c r="AJ675"/>
      <x:c r="AK675"/>
      <x:c r="AL675"/>
    </x:row>
    <x:row r="676">
      <x:c r="A676" t="s">
        <x:v>918</x:v>
      </x:c>
      <x:c r="B676" t="s">
        <x:v>910</x:v>
      </x:c>
      <x:c r="C676" t="s">
        <x:v>44</x:v>
      </x:c>
      <x:c r="D676">
        <x:v>45954</x:v>
      </x:c>
      <x:c r="E676" t="s">
        <x:v>187</x:v>
      </x:c>
      <x:c r="F676" t="s">
        <x:v>51</x:v>
      </x:c>
      <x:c r="G676">
        <x:v>24</x:v>
      </x:c>
      <x:c r="H676" t="s">
        <x:v>73</x:v>
      </x:c>
      <x:c r="I676">
        <x:v>9</x:v>
      </x:c>
      <x:c r="J676">
        <x:v>12</x:v>
      </x:c>
      <x:c r="K676">
        <x:v>3</x:v>
      </x:c>
      <x:c r="L676">
        <x:f t="shared" si="70"/>
        <x:v>1</x:v>
      </x:c>
      <x:c r="P676">
        <x:f t="shared" si="71"/>
        <x:v>1</x:v>
      </x:c>
      <x:c r="Q676">
        <x:f t="shared" si="72"/>
        <x:v>1</x:v>
      </x:c>
      <x:c r="R676">
        <x:f t="shared" si="73"/>
        <x:v>1</x:v>
      </x:c>
      <x:c r="S676">
        <x:f t="shared" si="74"/>
        <x:v>3</x:v>
      </x:c>
      <x:c r="T676" t="str">
        <x:f t="shared" si="75"/>
        <x:v>DerivedFromCount</x:v>
      </x:c>
      <x:c r="U676" t="str">
        <x:f>IF(COUNTIF(DailyProduction!$Q$5:$Q$100,B676)=1,"OK","CHECK")</x:f>
        <x:v>OK</x:v>
      </x:c>
      <x:c r="V676" t="str">
        <x:f t="shared" si="76"/>
        <x:v>OK</x:v>
      </x:c>
      <x:c r="W676" t="str">
        <x:f>IF(SUMIF($B$5:$B$914,B676,$S$5:$S$914)=SUMIF(DailyProduction!$Q$5:$Q$100,B676,DailyProduction!$R$5:$R$100),"OK","CHECK")</x:f>
        <x:v>OK</x:v>
      </x:c>
      <x:c r="X676" t="str">
        <x:v>PLC-PRD-JAR-330-L24</x:v>
      </x:c>
      <x:c r="Y676" t="str">
        <x:v>OK</x:v>
      </x:c>
      <x:c r="Z676" t="str">
        <x:v>OK</x:v>
      </x:c>
      <x:c r="AA676" t="n">
        <x:v>3</x:v>
      </x:c>
      <x:c r="AB676" t="n">
        <x:v>3</x:v>
      </x:c>
      <x:c r="AC676" t="str">
        <x:v>OK</x:v>
      </x:c>
      <x:c r="AD676" t="str">
        <x:v>OK</x:v>
      </x:c>
      <x:c r="AE676" t="str">
        <x:v>LOAD</x:v>
      </x:c>
      <x:c r="AF676" t="str">
        <x:v>02_Supervisor_Log(4).xlsx</x:v>
      </x:c>
      <x:c r="AG676" t="str">
        <x:v>ENH-20260830-01</x:v>
      </x:c>
      <x:c r="AH676" t="str">
        <x:v>Active</x:v>
      </x:c>
      <x:c r="AI676"/>
      <x:c r="AJ676"/>
      <x:c r="AK676"/>
      <x:c r="AL676"/>
    </x:row>
    <x:row r="677">
      <x:c r="A677" t="s">
        <x:v>919</x:v>
      </x:c>
      <x:c r="B677" t="s">
        <x:v>910</x:v>
      </x:c>
      <x:c r="C677" t="s">
        <x:v>44</x:v>
      </x:c>
      <x:c r="D677">
        <x:v>45954</x:v>
      </x:c>
      <x:c r="E677" t="s">
        <x:v>187</x:v>
      </x:c>
      <x:c r="F677" t="s">
        <x:v>51</x:v>
      </x:c>
      <x:c r="G677">
        <x:v>24</x:v>
      </x:c>
      <x:c r="H677" t="s">
        <x:v>73</x:v>
      </x:c>
      <x:c r="I677">
        <x:v>10</x:v>
      </x:c>
      <x:c r="J677">
        <x:v>12</x:v>
      </x:c>
      <x:c r="K677">
        <x:v>3</x:v>
      </x:c>
      <x:c r="L677">
        <x:f t="shared" si="70"/>
        <x:v>1</x:v>
      </x:c>
      <x:c r="P677">
        <x:f t="shared" si="71"/>
        <x:v>1</x:v>
      </x:c>
      <x:c r="Q677">
        <x:f t="shared" si="72"/>
        <x:v>1</x:v>
      </x:c>
      <x:c r="R677">
        <x:f t="shared" si="73"/>
        <x:v>1</x:v>
      </x:c>
      <x:c r="S677">
        <x:f t="shared" si="74"/>
        <x:v>3</x:v>
      </x:c>
      <x:c r="T677" t="str">
        <x:f t="shared" si="75"/>
        <x:v>DerivedFromCount</x:v>
      </x:c>
      <x:c r="U677" t="str">
        <x:f>IF(COUNTIF(DailyProduction!$Q$5:$Q$100,B677)=1,"OK","CHECK")</x:f>
        <x:v>OK</x:v>
      </x:c>
      <x:c r="V677" t="str">
        <x:f t="shared" si="76"/>
        <x:v>OK</x:v>
      </x:c>
      <x:c r="W677" t="str">
        <x:f>IF(SUMIF($B$5:$B$914,B677,$S$5:$S$914)=SUMIF(DailyProduction!$Q$5:$Q$100,B677,DailyProduction!$R$5:$R$100),"OK","CHECK")</x:f>
        <x:v>OK</x:v>
      </x:c>
      <x:c r="X677" t="str">
        <x:v>PLC-PRD-JAR-330-L24</x:v>
      </x:c>
      <x:c r="Y677" t="str">
        <x:v>OK</x:v>
      </x:c>
      <x:c r="Z677" t="str">
        <x:v>OK</x:v>
      </x:c>
      <x:c r="AA677" t="n">
        <x:v>3</x:v>
      </x:c>
      <x:c r="AB677" t="n">
        <x:v>3</x:v>
      </x:c>
      <x:c r="AC677" t="str">
        <x:v>OK</x:v>
      </x:c>
      <x:c r="AD677" t="str">
        <x:v>OK</x:v>
      </x:c>
      <x:c r="AE677" t="str">
        <x:v>LOAD</x:v>
      </x:c>
      <x:c r="AF677" t="str">
        <x:v>02_Supervisor_Log(4).xlsx</x:v>
      </x:c>
      <x:c r="AG677" t="str">
        <x:v>ENH-20260830-01</x:v>
      </x:c>
      <x:c r="AH677" t="str">
        <x:v>Active</x:v>
      </x:c>
      <x:c r="AI677"/>
      <x:c r="AJ677"/>
      <x:c r="AK677"/>
      <x:c r="AL677"/>
    </x:row>
    <x:row r="678">
      <x:c r="A678" t="s">
        <x:v>920</x:v>
      </x:c>
      <x:c r="B678" t="s">
        <x:v>910</x:v>
      </x:c>
      <x:c r="C678" t="s">
        <x:v>44</x:v>
      </x:c>
      <x:c r="D678">
        <x:v>45954</x:v>
      </x:c>
      <x:c r="E678" t="s">
        <x:v>187</x:v>
      </x:c>
      <x:c r="F678" t="s">
        <x:v>51</x:v>
      </x:c>
      <x:c r="G678">
        <x:v>24</x:v>
      </x:c>
      <x:c r="H678" t="s">
        <x:v>73</x:v>
      </x:c>
      <x:c r="I678">
        <x:v>11</x:v>
      </x:c>
      <x:c r="J678">
        <x:v>12</x:v>
      </x:c>
      <x:c r="K678">
        <x:v>3</x:v>
      </x:c>
      <x:c r="L678">
        <x:f t="shared" si="70"/>
        <x:v>1</x:v>
      </x:c>
      <x:c r="P678">
        <x:f t="shared" si="71"/>
        <x:v>1</x:v>
      </x:c>
      <x:c r="Q678">
        <x:f t="shared" si="72"/>
        <x:v>1</x:v>
      </x:c>
      <x:c r="R678">
        <x:f t="shared" si="73"/>
        <x:v>1</x:v>
      </x:c>
      <x:c r="S678">
        <x:f t="shared" si="74"/>
        <x:v>3</x:v>
      </x:c>
      <x:c r="T678" t="str">
        <x:f t="shared" si="75"/>
        <x:v>DerivedFromCount</x:v>
      </x:c>
      <x:c r="U678" t="str">
        <x:f>IF(COUNTIF(DailyProduction!$Q$5:$Q$100,B678)=1,"OK","CHECK")</x:f>
        <x:v>OK</x:v>
      </x:c>
      <x:c r="V678" t="str">
        <x:f t="shared" si="76"/>
        <x:v>OK</x:v>
      </x:c>
      <x:c r="W678" t="str">
        <x:f>IF(SUMIF($B$5:$B$914,B678,$S$5:$S$914)=SUMIF(DailyProduction!$Q$5:$Q$100,B678,DailyProduction!$R$5:$R$100),"OK","CHECK")</x:f>
        <x:v>OK</x:v>
      </x:c>
      <x:c r="X678" t="str">
        <x:v>PLC-PRD-JAR-330-L24</x:v>
      </x:c>
      <x:c r="Y678" t="str">
        <x:v>OK</x:v>
      </x:c>
      <x:c r="Z678" t="str">
        <x:v>OK</x:v>
      </x:c>
      <x:c r="AA678" t="n">
        <x:v>3</x:v>
      </x:c>
      <x:c r="AB678" t="n">
        <x:v>3</x:v>
      </x:c>
      <x:c r="AC678" t="str">
        <x:v>OK</x:v>
      </x:c>
      <x:c r="AD678" t="str">
        <x:v>OK</x:v>
      </x:c>
      <x:c r="AE678" t="str">
        <x:v>LOAD</x:v>
      </x:c>
      <x:c r="AF678" t="str">
        <x:v>02_Supervisor_Log(4).xlsx</x:v>
      </x:c>
      <x:c r="AG678" t="str">
        <x:v>ENH-20260830-01</x:v>
      </x:c>
      <x:c r="AH678" t="str">
        <x:v>Active</x:v>
      </x:c>
      <x:c r="AI678"/>
      <x:c r="AJ678"/>
      <x:c r="AK678"/>
      <x:c r="AL678"/>
    </x:row>
    <x:row r="679">
      <x:c r="A679" t="s">
        <x:v>921</x:v>
      </x:c>
      <x:c r="B679" t="s">
        <x:v>910</x:v>
      </x:c>
      <x:c r="C679" t="s">
        <x:v>44</x:v>
      </x:c>
      <x:c r="D679">
        <x:v>45954</x:v>
      </x:c>
      <x:c r="E679" t="s">
        <x:v>187</x:v>
      </x:c>
      <x:c r="F679" t="s">
        <x:v>51</x:v>
      </x:c>
      <x:c r="G679">
        <x:v>24</x:v>
      </x:c>
      <x:c r="H679" t="s">
        <x:v>73</x:v>
      </x:c>
      <x:c r="I679">
        <x:v>12</x:v>
      </x:c>
      <x:c r="J679">
        <x:v>12</x:v>
      </x:c>
      <x:c r="K679">
        <x:v>3</x:v>
      </x:c>
      <x:c r="L679">
        <x:f t="shared" si="70"/>
        <x:v>1</x:v>
      </x:c>
      <x:c r="P679">
        <x:f t="shared" si="71"/>
        <x:v>1</x:v>
      </x:c>
      <x:c r="Q679">
        <x:f t="shared" si="72"/>
        <x:v>1</x:v>
      </x:c>
      <x:c r="R679">
        <x:f t="shared" si="73"/>
        <x:v>1</x:v>
      </x:c>
      <x:c r="S679">
        <x:f t="shared" si="74"/>
        <x:v>3</x:v>
      </x:c>
      <x:c r="T679" t="str">
        <x:f t="shared" si="75"/>
        <x:v>DerivedFromCount</x:v>
      </x:c>
      <x:c r="U679" t="str">
        <x:f>IF(COUNTIF(DailyProduction!$Q$5:$Q$100,B679)=1,"OK","CHECK")</x:f>
        <x:v>OK</x:v>
      </x:c>
      <x:c r="V679" t="str">
        <x:f t="shared" si="76"/>
        <x:v>OK</x:v>
      </x:c>
      <x:c r="W679" t="str">
        <x:f>IF(SUMIF($B$5:$B$914,B679,$S$5:$S$914)=SUMIF(DailyProduction!$Q$5:$Q$100,B679,DailyProduction!$R$5:$R$100),"OK","CHECK")</x:f>
        <x:v>OK</x:v>
      </x:c>
      <x:c r="X679" t="str">
        <x:v>PLC-PRD-JAR-330-L24</x:v>
      </x:c>
      <x:c r="Y679" t="str">
        <x:v>OK</x:v>
      </x:c>
      <x:c r="Z679" t="str">
        <x:v>OK</x:v>
      </x:c>
      <x:c r="AA679" t="n">
        <x:v>3</x:v>
      </x:c>
      <x:c r="AB679" t="n">
        <x:v>3</x:v>
      </x:c>
      <x:c r="AC679" t="str">
        <x:v>OK</x:v>
      </x:c>
      <x:c r="AD679" t="str">
        <x:v>OK</x:v>
      </x:c>
      <x:c r="AE679" t="str">
        <x:v>LOAD</x:v>
      </x:c>
      <x:c r="AF679" t="str">
        <x:v>02_Supervisor_Log(4).xlsx</x:v>
      </x:c>
      <x:c r="AG679" t="str">
        <x:v>ENH-20260830-01</x:v>
      </x:c>
      <x:c r="AH679" t="str">
        <x:v>Active</x:v>
      </x:c>
      <x:c r="AI679"/>
      <x:c r="AJ679"/>
      <x:c r="AK679"/>
      <x:c r="AL679"/>
    </x:row>
    <x:row r="680">
      <x:c r="A680" t="s">
        <x:v>922</x:v>
      </x:c>
      <x:c r="B680" t="s">
        <x:v>910</x:v>
      </x:c>
      <x:c r="C680" t="s">
        <x:v>44</x:v>
      </x:c>
      <x:c r="D680">
        <x:v>45954</x:v>
      </x:c>
      <x:c r="E680" t="s">
        <x:v>187</x:v>
      </x:c>
      <x:c r="F680" t="s">
        <x:v>51</x:v>
      </x:c>
      <x:c r="G680">
        <x:v>24</x:v>
      </x:c>
      <x:c r="H680" t="s">
        <x:v>73</x:v>
      </x:c>
      <x:c r="I680">
        <x:v>13</x:v>
      </x:c>
      <x:c r="J680">
        <x:v>12</x:v>
      </x:c>
      <x:c r="K680">
        <x:v>3</x:v>
      </x:c>
      <x:c r="L680">
        <x:f t="shared" si="70"/>
        <x:v>0</x:v>
      </x:c>
      <x:c r="P680">
        <x:f t="shared" si="71"/>
        <x:v>0</x:v>
      </x:c>
      <x:c r="Q680">
        <x:f t="shared" si="72"/>
        <x:v>0</x:v>
      </x:c>
      <x:c r="R680">
        <x:f t="shared" si="73"/>
        <x:v>0</x:v>
      </x:c>
      <x:c r="S680">
        <x:f t="shared" si="74"/>
        <x:v>0</x:v>
      </x:c>
      <x:c r="T680" t="str">
        <x:f t="shared" si="75"/>
        <x:v>DerivedFromCount</x:v>
      </x:c>
      <x:c r="U680" t="str">
        <x:f>IF(COUNTIF(DailyProduction!$Q$5:$Q$100,B680)=1,"OK","CHECK")</x:f>
        <x:v>OK</x:v>
      </x:c>
      <x:c r="V680" t="str">
        <x:f t="shared" si="76"/>
        <x:v>OK</x:v>
      </x:c>
      <x:c r="W680" t="str">
        <x:f>IF(SUMIF($B$5:$B$914,B680,$S$5:$S$914)=SUMIF(DailyProduction!$Q$5:$Q$100,B680,DailyProduction!$R$5:$R$100),"OK","CHECK")</x:f>
        <x:v>OK</x:v>
      </x:c>
      <x:c r="X680" t="str">
        <x:v>PLC-PRD-JAR-330-L24</x:v>
      </x:c>
      <x:c r="Y680" t="str">
        <x:v>OK</x:v>
      </x:c>
      <x:c r="Z680" t="str">
        <x:v>OK</x:v>
      </x:c>
      <x:c r="AA680" t="n">
        <x:v>3</x:v>
      </x:c>
      <x:c r="AB680" t="n">
        <x:v>0</x:v>
      </x:c>
      <x:c r="AC680" t="str">
        <x:v>OK</x:v>
      </x:c>
      <x:c r="AD680" t="str">
        <x:v>OK</x:v>
      </x:c>
      <x:c r="AE680" t="str">
        <x:v>LOAD</x:v>
      </x:c>
      <x:c r="AF680" t="str">
        <x:v>02_Supervisor_Log(4).xlsx</x:v>
      </x:c>
      <x:c r="AG680" t="str">
        <x:v>ENH-20260830-01</x:v>
      </x:c>
      <x:c r="AH680" t="str">
        <x:v>Active</x:v>
      </x:c>
      <x:c r="AI680"/>
      <x:c r="AJ680"/>
      <x:c r="AK680"/>
      <x:c r="AL680"/>
    </x:row>
    <x:row r="681">
      <x:c r="A681" t="s">
        <x:v>923</x:v>
      </x:c>
      <x:c r="B681" t="s">
        <x:v>157</x:v>
      </x:c>
      <x:c r="C681" t="s">
        <x:v>44</x:v>
      </x:c>
      <x:c r="D681">
        <x:v>45955</x:v>
      </x:c>
      <x:c r="E681" t="s">
        <x:v>45</x:v>
      </x:c>
      <x:c r="F681" t="s">
        <x:v>51</x:v>
      </x:c>
      <x:c r="G681">
        <x:v>24</x:v>
      </x:c>
      <x:c r="H681" t="s">
        <x:v>74</x:v>
      </x:c>
      <x:c r="I681">
        <x:v>1</x:v>
      </x:c>
      <x:c r="J681">
        <x:v>12</x:v>
      </x:c>
      <x:c r="K681">
        <x:v>2</x:v>
      </x:c>
      <x:c r="L681">
        <x:f t="shared" si="70"/>
        <x:v>1</x:v>
      </x:c>
      <x:c r="P681">
        <x:f t="shared" si="71"/>
        <x:v>1</x:v>
      </x:c>
      <x:c r="Q681">
        <x:f t="shared" si="72"/>
        <x:v>1</x:v>
      </x:c>
      <x:c r="R681">
        <x:f t="shared" si="73"/>
        <x:v>0</x:v>
      </x:c>
      <x:c r="S681">
        <x:f t="shared" si="74"/>
        <x:v>2</x:v>
      </x:c>
      <x:c r="T681" t="str">
        <x:f t="shared" si="75"/>
        <x:v>DerivedFromCount</x:v>
      </x:c>
      <x:c r="U681" t="str">
        <x:f>IF(COUNTIF(DailyProduction!$Q$5:$Q$100,B681)=1,"OK","CHECK")</x:f>
        <x:v>OK</x:v>
      </x:c>
      <x:c r="V681" t="str">
        <x:f t="shared" si="76"/>
        <x:v>OK</x:v>
      </x:c>
      <x:c r="W681" t="str">
        <x:f>IF(SUMIF($B$5:$B$914,B681,$S$5:$S$914)=SUMIF(DailyProduction!$Q$5:$Q$100,B681,DailyProduction!$R$5:$R$100),"OK","CHECK")</x:f>
        <x:v>OK</x:v>
      </x:c>
      <x:c r="X681" t="str">
        <x:v>PLC-PRD-JAR-720-L24</x:v>
      </x:c>
      <x:c r="Y681" t="str">
        <x:v>OK</x:v>
      </x:c>
      <x:c r="Z681" t="str">
        <x:v>OK</x:v>
      </x:c>
      <x:c r="AA681" t="n">
        <x:v>3</x:v>
      </x:c>
      <x:c r="AB681" t="n">
        <x:v>2</x:v>
      </x:c>
      <x:c r="AC681" t="str">
        <x:v>OK</x:v>
      </x:c>
      <x:c r="AD681" t="str">
        <x:v>OK</x:v>
      </x:c>
      <x:c r="AE681" t="str">
        <x:v>LOAD</x:v>
      </x:c>
      <x:c r="AF681" t="str">
        <x:v>02_Supervisor_Log(4).xlsx</x:v>
      </x:c>
      <x:c r="AG681" t="str">
        <x:v>ENH-20260830-01</x:v>
      </x:c>
      <x:c r="AH681" t="str">
        <x:v>Active</x:v>
      </x:c>
      <x:c r="AI681"/>
      <x:c r="AJ681"/>
      <x:c r="AK681"/>
      <x:c r="AL681"/>
    </x:row>
    <x:row r="682">
      <x:c r="A682" t="s">
        <x:v>924</x:v>
      </x:c>
      <x:c r="B682" t="s">
        <x:v>157</x:v>
      </x:c>
      <x:c r="C682" t="s">
        <x:v>44</x:v>
      </x:c>
      <x:c r="D682">
        <x:v>45955</x:v>
      </x:c>
      <x:c r="E682" t="s">
        <x:v>45</x:v>
      </x:c>
      <x:c r="F682" t="s">
        <x:v>51</x:v>
      </x:c>
      <x:c r="G682">
        <x:v>24</x:v>
      </x:c>
      <x:c r="H682" t="s">
        <x:v>74</x:v>
      </x:c>
      <x:c r="I682">
        <x:v>2</x:v>
      </x:c>
      <x:c r="J682">
        <x:v>12</x:v>
      </x:c>
      <x:c r="K682">
        <x:v>2</x:v>
      </x:c>
      <x:c r="L682">
        <x:f t="shared" si="70"/>
        <x:v>1</x:v>
      </x:c>
      <x:c r="P682">
        <x:f t="shared" si="71"/>
        <x:v>1</x:v>
      </x:c>
      <x:c r="Q682">
        <x:f t="shared" si="72"/>
        <x:v>1</x:v>
      </x:c>
      <x:c r="R682">
        <x:f t="shared" si="73"/>
        <x:v>0</x:v>
      </x:c>
      <x:c r="S682">
        <x:f t="shared" si="74"/>
        <x:v>2</x:v>
      </x:c>
      <x:c r="T682" t="str">
        <x:f t="shared" si="75"/>
        <x:v>DerivedFromCount</x:v>
      </x:c>
      <x:c r="U682" t="str">
        <x:f>IF(COUNTIF(DailyProduction!$Q$5:$Q$100,B682)=1,"OK","CHECK")</x:f>
        <x:v>OK</x:v>
      </x:c>
      <x:c r="V682" t="str">
        <x:f t="shared" si="76"/>
        <x:v>OK</x:v>
      </x:c>
      <x:c r="W682" t="str">
        <x:f>IF(SUMIF($B$5:$B$914,B682,$S$5:$S$914)=SUMIF(DailyProduction!$Q$5:$Q$100,B682,DailyProduction!$R$5:$R$100),"OK","CHECK")</x:f>
        <x:v>OK</x:v>
      </x:c>
      <x:c r="X682" t="str">
        <x:v>PLC-PRD-JAR-720-L24</x:v>
      </x:c>
      <x:c r="Y682" t="str">
        <x:v>OK</x:v>
      </x:c>
      <x:c r="Z682" t="str">
        <x:v>OK</x:v>
      </x:c>
      <x:c r="AA682" t="n">
        <x:v>3</x:v>
      </x:c>
      <x:c r="AB682" t="n">
        <x:v>2</x:v>
      </x:c>
      <x:c r="AC682" t="str">
        <x:v>OK</x:v>
      </x:c>
      <x:c r="AD682" t="str">
        <x:v>OK</x:v>
      </x:c>
      <x:c r="AE682" t="str">
        <x:v>LOAD</x:v>
      </x:c>
      <x:c r="AF682" t="str">
        <x:v>02_Supervisor_Log(4).xlsx</x:v>
      </x:c>
      <x:c r="AG682" t="str">
        <x:v>ENH-20260830-01</x:v>
      </x:c>
      <x:c r="AH682" t="str">
        <x:v>Active</x:v>
      </x:c>
      <x:c r="AI682"/>
      <x:c r="AJ682"/>
      <x:c r="AK682"/>
      <x:c r="AL682"/>
    </x:row>
    <x:row r="683">
      <x:c r="A683" t="s">
        <x:v>925</x:v>
      </x:c>
      <x:c r="B683" t="s">
        <x:v>157</x:v>
      </x:c>
      <x:c r="C683" t="s">
        <x:v>44</x:v>
      </x:c>
      <x:c r="D683">
        <x:v>45955</x:v>
      </x:c>
      <x:c r="E683" t="s">
        <x:v>45</x:v>
      </x:c>
      <x:c r="F683" t="s">
        <x:v>51</x:v>
      </x:c>
      <x:c r="G683">
        <x:v>24</x:v>
      </x:c>
      <x:c r="H683" t="s">
        <x:v>74</x:v>
      </x:c>
      <x:c r="I683">
        <x:v>3</x:v>
      </x:c>
      <x:c r="J683">
        <x:v>12</x:v>
      </x:c>
      <x:c r="K683">
        <x:v>2</x:v>
      </x:c>
      <x:c r="L683">
        <x:f t="shared" si="70"/>
        <x:v>1</x:v>
      </x:c>
      <x:c r="P683">
        <x:f t="shared" si="71"/>
        <x:v>1</x:v>
      </x:c>
      <x:c r="Q683">
        <x:f t="shared" si="72"/>
        <x:v>1</x:v>
      </x:c>
      <x:c r="R683">
        <x:f t="shared" si="73"/>
        <x:v>0</x:v>
      </x:c>
      <x:c r="S683">
        <x:f t="shared" si="74"/>
        <x:v>2</x:v>
      </x:c>
      <x:c r="T683" t="str">
        <x:f t="shared" si="75"/>
        <x:v>DerivedFromCount</x:v>
      </x:c>
      <x:c r="U683" t="str">
        <x:f>IF(COUNTIF(DailyProduction!$Q$5:$Q$100,B683)=1,"OK","CHECK")</x:f>
        <x:v>OK</x:v>
      </x:c>
      <x:c r="V683" t="str">
        <x:f t="shared" si="76"/>
        <x:v>OK</x:v>
      </x:c>
      <x:c r="W683" t="str">
        <x:f>IF(SUMIF($B$5:$B$914,B683,$S$5:$S$914)=SUMIF(DailyProduction!$Q$5:$Q$100,B683,DailyProduction!$R$5:$R$100),"OK","CHECK")</x:f>
        <x:v>OK</x:v>
      </x:c>
      <x:c r="X683" t="str">
        <x:v>PLC-PRD-JAR-720-L24</x:v>
      </x:c>
      <x:c r="Y683" t="str">
        <x:v>OK</x:v>
      </x:c>
      <x:c r="Z683" t="str">
        <x:v>OK</x:v>
      </x:c>
      <x:c r="AA683" t="n">
        <x:v>3</x:v>
      </x:c>
      <x:c r="AB683" t="n">
        <x:v>2</x:v>
      </x:c>
      <x:c r="AC683" t="str">
        <x:v>OK</x:v>
      </x:c>
      <x:c r="AD683" t="str">
        <x:v>OK</x:v>
      </x:c>
      <x:c r="AE683" t="str">
        <x:v>LOAD</x:v>
      </x:c>
      <x:c r="AF683" t="str">
        <x:v>02_Supervisor_Log(4).xlsx</x:v>
      </x:c>
      <x:c r="AG683" t="str">
        <x:v>ENH-20260830-01</x:v>
      </x:c>
      <x:c r="AH683" t="str">
        <x:v>Active</x:v>
      </x:c>
      <x:c r="AI683"/>
      <x:c r="AJ683"/>
      <x:c r="AK683"/>
      <x:c r="AL683"/>
    </x:row>
    <x:row r="684">
      <x:c r="A684" t="s">
        <x:v>926</x:v>
      </x:c>
      <x:c r="B684" t="s">
        <x:v>157</x:v>
      </x:c>
      <x:c r="C684" t="s">
        <x:v>44</x:v>
      </x:c>
      <x:c r="D684">
        <x:v>45955</x:v>
      </x:c>
      <x:c r="E684" t="s">
        <x:v>45</x:v>
      </x:c>
      <x:c r="F684" t="s">
        <x:v>51</x:v>
      </x:c>
      <x:c r="G684">
        <x:v>24</x:v>
      </x:c>
      <x:c r="H684" t="s">
        <x:v>74</x:v>
      </x:c>
      <x:c r="I684">
        <x:v>4</x:v>
      </x:c>
      <x:c r="J684">
        <x:v>12</x:v>
      </x:c>
      <x:c r="K684">
        <x:v>2</x:v>
      </x:c>
      <x:c r="L684">
        <x:f t="shared" si="70"/>
        <x:v>1</x:v>
      </x:c>
      <x:c r="P684">
        <x:f t="shared" si="71"/>
        <x:v>1</x:v>
      </x:c>
      <x:c r="Q684">
        <x:f t="shared" si="72"/>
        <x:v>1</x:v>
      </x:c>
      <x:c r="R684">
        <x:f t="shared" si="73"/>
        <x:v>0</x:v>
      </x:c>
      <x:c r="S684">
        <x:f t="shared" si="74"/>
        <x:v>2</x:v>
      </x:c>
      <x:c r="T684" t="str">
        <x:f t="shared" si="75"/>
        <x:v>DerivedFromCount</x:v>
      </x:c>
      <x:c r="U684" t="str">
        <x:f>IF(COUNTIF(DailyProduction!$Q$5:$Q$100,B684)=1,"OK","CHECK")</x:f>
        <x:v>OK</x:v>
      </x:c>
      <x:c r="V684" t="str">
        <x:f t="shared" si="76"/>
        <x:v>OK</x:v>
      </x:c>
      <x:c r="W684" t="str">
        <x:f>IF(SUMIF($B$5:$B$914,B684,$S$5:$S$914)=SUMIF(DailyProduction!$Q$5:$Q$100,B684,DailyProduction!$R$5:$R$100),"OK","CHECK")</x:f>
        <x:v>OK</x:v>
      </x:c>
      <x:c r="X684" t="str">
        <x:v>PLC-PRD-JAR-720-L24</x:v>
      </x:c>
      <x:c r="Y684" t="str">
        <x:v>OK</x:v>
      </x:c>
      <x:c r="Z684" t="str">
        <x:v>OK</x:v>
      </x:c>
      <x:c r="AA684" t="n">
        <x:v>3</x:v>
      </x:c>
      <x:c r="AB684" t="n">
        <x:v>2</x:v>
      </x:c>
      <x:c r="AC684" t="str">
        <x:v>OK</x:v>
      </x:c>
      <x:c r="AD684" t="str">
        <x:v>OK</x:v>
      </x:c>
      <x:c r="AE684" t="str">
        <x:v>LOAD</x:v>
      </x:c>
      <x:c r="AF684" t="str">
        <x:v>02_Supervisor_Log(4).xlsx</x:v>
      </x:c>
      <x:c r="AG684" t="str">
        <x:v>ENH-20260830-01</x:v>
      </x:c>
      <x:c r="AH684" t="str">
        <x:v>Active</x:v>
      </x:c>
      <x:c r="AI684"/>
      <x:c r="AJ684"/>
      <x:c r="AK684"/>
      <x:c r="AL684"/>
    </x:row>
    <x:row r="685">
      <x:c r="A685" t="s">
        <x:v>927</x:v>
      </x:c>
      <x:c r="B685" t="s">
        <x:v>157</x:v>
      </x:c>
      <x:c r="C685" t="s">
        <x:v>44</x:v>
      </x:c>
      <x:c r="D685">
        <x:v>45955</x:v>
      </x:c>
      <x:c r="E685" t="s">
        <x:v>45</x:v>
      </x:c>
      <x:c r="F685" t="s">
        <x:v>51</x:v>
      </x:c>
      <x:c r="G685">
        <x:v>24</x:v>
      </x:c>
      <x:c r="H685" t="s">
        <x:v>74</x:v>
      </x:c>
      <x:c r="I685">
        <x:v>5</x:v>
      </x:c>
      <x:c r="J685">
        <x:v>12</x:v>
      </x:c>
      <x:c r="K685">
        <x:v>2</x:v>
      </x:c>
      <x:c r="L685">
        <x:f t="shared" si="70"/>
        <x:v>1</x:v>
      </x:c>
      <x:c r="P685">
        <x:f t="shared" si="71"/>
        <x:v>1</x:v>
      </x:c>
      <x:c r="Q685">
        <x:f t="shared" si="72"/>
        <x:v>1</x:v>
      </x:c>
      <x:c r="R685">
        <x:f t="shared" si="73"/>
        <x:v>0</x:v>
      </x:c>
      <x:c r="S685">
        <x:f t="shared" si="74"/>
        <x:v>2</x:v>
      </x:c>
      <x:c r="T685" t="str">
        <x:f t="shared" si="75"/>
        <x:v>DerivedFromCount</x:v>
      </x:c>
      <x:c r="U685" t="str">
        <x:f>IF(COUNTIF(DailyProduction!$Q$5:$Q$100,B685)=1,"OK","CHECK")</x:f>
        <x:v>OK</x:v>
      </x:c>
      <x:c r="V685" t="str">
        <x:f t="shared" si="76"/>
        <x:v>OK</x:v>
      </x:c>
      <x:c r="W685" t="str">
        <x:f>IF(SUMIF($B$5:$B$914,B685,$S$5:$S$914)=SUMIF(DailyProduction!$Q$5:$Q$100,B685,DailyProduction!$R$5:$R$100),"OK","CHECK")</x:f>
        <x:v>OK</x:v>
      </x:c>
      <x:c r="X685" t="str">
        <x:v>PLC-PRD-JAR-720-L24</x:v>
      </x:c>
      <x:c r="Y685" t="str">
        <x:v>OK</x:v>
      </x:c>
      <x:c r="Z685" t="str">
        <x:v>OK</x:v>
      </x:c>
      <x:c r="AA685" t="n">
        <x:v>3</x:v>
      </x:c>
      <x:c r="AB685" t="n">
        <x:v>2</x:v>
      </x:c>
      <x:c r="AC685" t="str">
        <x:v>OK</x:v>
      </x:c>
      <x:c r="AD685" t="str">
        <x:v>OK</x:v>
      </x:c>
      <x:c r="AE685" t="str">
        <x:v>LOAD</x:v>
      </x:c>
      <x:c r="AF685" t="str">
        <x:v>02_Supervisor_Log(4).xlsx</x:v>
      </x:c>
      <x:c r="AG685" t="str">
        <x:v>ENH-20260830-01</x:v>
      </x:c>
      <x:c r="AH685" t="str">
        <x:v>Active</x:v>
      </x:c>
      <x:c r="AI685"/>
      <x:c r="AJ685"/>
      <x:c r="AK685"/>
      <x:c r="AL685"/>
    </x:row>
    <x:row r="686">
      <x:c r="A686" t="s">
        <x:v>928</x:v>
      </x:c>
      <x:c r="B686" t="s">
        <x:v>157</x:v>
      </x:c>
      <x:c r="C686" t="s">
        <x:v>44</x:v>
      </x:c>
      <x:c r="D686">
        <x:v>45955</x:v>
      </x:c>
      <x:c r="E686" t="s">
        <x:v>45</x:v>
      </x:c>
      <x:c r="F686" t="s">
        <x:v>51</x:v>
      </x:c>
      <x:c r="G686">
        <x:v>24</x:v>
      </x:c>
      <x:c r="H686" t="s">
        <x:v>74</x:v>
      </x:c>
      <x:c r="I686">
        <x:v>6</x:v>
      </x:c>
      <x:c r="J686">
        <x:v>12</x:v>
      </x:c>
      <x:c r="K686">
        <x:v>2</x:v>
      </x:c>
      <x:c r="L686">
        <x:f t="shared" si="70"/>
        <x:v>1</x:v>
      </x:c>
      <x:c r="P686">
        <x:f t="shared" si="71"/>
        <x:v>1</x:v>
      </x:c>
      <x:c r="Q686">
        <x:f t="shared" si="72"/>
        <x:v>1</x:v>
      </x:c>
      <x:c r="R686">
        <x:f t="shared" si="73"/>
        <x:v>0</x:v>
      </x:c>
      <x:c r="S686">
        <x:f t="shared" si="74"/>
        <x:v>2</x:v>
      </x:c>
      <x:c r="T686" t="str">
        <x:f t="shared" si="75"/>
        <x:v>DerivedFromCount</x:v>
      </x:c>
      <x:c r="U686" t="str">
        <x:f>IF(COUNTIF(DailyProduction!$Q$5:$Q$100,B686)=1,"OK","CHECK")</x:f>
        <x:v>OK</x:v>
      </x:c>
      <x:c r="V686" t="str">
        <x:f t="shared" si="76"/>
        <x:v>OK</x:v>
      </x:c>
      <x:c r="W686" t="str">
        <x:f>IF(SUMIF($B$5:$B$914,B686,$S$5:$S$914)=SUMIF(DailyProduction!$Q$5:$Q$100,B686,DailyProduction!$R$5:$R$100),"OK","CHECK")</x:f>
        <x:v>OK</x:v>
      </x:c>
      <x:c r="X686" t="str">
        <x:v>PLC-PRD-JAR-720-L24</x:v>
      </x:c>
      <x:c r="Y686" t="str">
        <x:v>OK</x:v>
      </x:c>
      <x:c r="Z686" t="str">
        <x:v>OK</x:v>
      </x:c>
      <x:c r="AA686" t="n">
        <x:v>3</x:v>
      </x:c>
      <x:c r="AB686" t="n">
        <x:v>2</x:v>
      </x:c>
      <x:c r="AC686" t="str">
        <x:v>OK</x:v>
      </x:c>
      <x:c r="AD686" t="str">
        <x:v>OK</x:v>
      </x:c>
      <x:c r="AE686" t="str">
        <x:v>LOAD</x:v>
      </x:c>
      <x:c r="AF686" t="str">
        <x:v>02_Supervisor_Log(4).xlsx</x:v>
      </x:c>
      <x:c r="AG686" t="str">
        <x:v>ENH-20260830-01</x:v>
      </x:c>
      <x:c r="AH686" t="str">
        <x:v>Active</x:v>
      </x:c>
      <x:c r="AI686"/>
      <x:c r="AJ686"/>
      <x:c r="AK686"/>
      <x:c r="AL686"/>
    </x:row>
    <x:row r="687">
      <x:c r="A687" t="s">
        <x:v>929</x:v>
      </x:c>
      <x:c r="B687" t="s">
        <x:v>157</x:v>
      </x:c>
      <x:c r="C687" t="s">
        <x:v>44</x:v>
      </x:c>
      <x:c r="D687">
        <x:v>45955</x:v>
      </x:c>
      <x:c r="E687" t="s">
        <x:v>45</x:v>
      </x:c>
      <x:c r="F687" t="s">
        <x:v>51</x:v>
      </x:c>
      <x:c r="G687">
        <x:v>24</x:v>
      </x:c>
      <x:c r="H687" t="s">
        <x:v>74</x:v>
      </x:c>
      <x:c r="I687">
        <x:v>7</x:v>
      </x:c>
      <x:c r="J687">
        <x:v>12</x:v>
      </x:c>
      <x:c r="K687">
        <x:v>2</x:v>
      </x:c>
      <x:c r="L687">
        <x:f t="shared" si="70"/>
        <x:v>1</x:v>
      </x:c>
      <x:c r="P687">
        <x:f t="shared" si="71"/>
        <x:v>1</x:v>
      </x:c>
      <x:c r="Q687">
        <x:f t="shared" si="72"/>
        <x:v>1</x:v>
      </x:c>
      <x:c r="R687">
        <x:f t="shared" si="73"/>
        <x:v>0</x:v>
      </x:c>
      <x:c r="S687">
        <x:f t="shared" si="74"/>
        <x:v>2</x:v>
      </x:c>
      <x:c r="T687" t="str">
        <x:f t="shared" si="75"/>
        <x:v>DerivedFromCount</x:v>
      </x:c>
      <x:c r="U687" t="str">
        <x:f>IF(COUNTIF(DailyProduction!$Q$5:$Q$100,B687)=1,"OK","CHECK")</x:f>
        <x:v>OK</x:v>
      </x:c>
      <x:c r="V687" t="str">
        <x:f t="shared" si="76"/>
        <x:v>OK</x:v>
      </x:c>
      <x:c r="W687" t="str">
        <x:f>IF(SUMIF($B$5:$B$914,B687,$S$5:$S$914)=SUMIF(DailyProduction!$Q$5:$Q$100,B687,DailyProduction!$R$5:$R$100),"OK","CHECK")</x:f>
        <x:v>OK</x:v>
      </x:c>
      <x:c r="X687" t="str">
        <x:v>PLC-PRD-JAR-720-L24</x:v>
      </x:c>
      <x:c r="Y687" t="str">
        <x:v>OK</x:v>
      </x:c>
      <x:c r="Z687" t="str">
        <x:v>OK</x:v>
      </x:c>
      <x:c r="AA687" t="n">
        <x:v>3</x:v>
      </x:c>
      <x:c r="AB687" t="n">
        <x:v>2</x:v>
      </x:c>
      <x:c r="AC687" t="str">
        <x:v>OK</x:v>
      </x:c>
      <x:c r="AD687" t="str">
        <x:v>OK</x:v>
      </x:c>
      <x:c r="AE687" t="str">
        <x:v>LOAD</x:v>
      </x:c>
      <x:c r="AF687" t="str">
        <x:v>02_Supervisor_Log(4).xlsx</x:v>
      </x:c>
      <x:c r="AG687" t="str">
        <x:v>ENH-20260830-01</x:v>
      </x:c>
      <x:c r="AH687" t="str">
        <x:v>Active</x:v>
      </x:c>
      <x:c r="AI687"/>
      <x:c r="AJ687"/>
      <x:c r="AK687"/>
      <x:c r="AL687"/>
    </x:row>
    <x:row r="688">
      <x:c r="A688" t="s">
        <x:v>930</x:v>
      </x:c>
      <x:c r="B688" t="s">
        <x:v>157</x:v>
      </x:c>
      <x:c r="C688" t="s">
        <x:v>44</x:v>
      </x:c>
      <x:c r="D688">
        <x:v>45955</x:v>
      </x:c>
      <x:c r="E688" t="s">
        <x:v>45</x:v>
      </x:c>
      <x:c r="F688" t="s">
        <x:v>51</x:v>
      </x:c>
      <x:c r="G688">
        <x:v>24</x:v>
      </x:c>
      <x:c r="H688" t="s">
        <x:v>74</x:v>
      </x:c>
      <x:c r="I688">
        <x:v>8</x:v>
      </x:c>
      <x:c r="J688">
        <x:v>12</x:v>
      </x:c>
      <x:c r="K688">
        <x:v>2</x:v>
      </x:c>
      <x:c r="L688">
        <x:f t="shared" si="70"/>
        <x:v>1</x:v>
      </x:c>
      <x:c r="P688">
        <x:f t="shared" si="71"/>
        <x:v>1</x:v>
      </x:c>
      <x:c r="Q688">
        <x:f t="shared" si="72"/>
        <x:v>1</x:v>
      </x:c>
      <x:c r="R688">
        <x:f t="shared" si="73"/>
        <x:v>0</x:v>
      </x:c>
      <x:c r="S688">
        <x:f t="shared" si="74"/>
        <x:v>2</x:v>
      </x:c>
      <x:c r="T688" t="str">
        <x:f t="shared" si="75"/>
        <x:v>DerivedFromCount</x:v>
      </x:c>
      <x:c r="U688" t="str">
        <x:f>IF(COUNTIF(DailyProduction!$Q$5:$Q$100,B688)=1,"OK","CHECK")</x:f>
        <x:v>OK</x:v>
      </x:c>
      <x:c r="V688" t="str">
        <x:f t="shared" si="76"/>
        <x:v>OK</x:v>
      </x:c>
      <x:c r="W688" t="str">
        <x:f>IF(SUMIF($B$5:$B$914,B688,$S$5:$S$914)=SUMIF(DailyProduction!$Q$5:$Q$100,B688,DailyProduction!$R$5:$R$100),"OK","CHECK")</x:f>
        <x:v>OK</x:v>
      </x:c>
      <x:c r="X688" t="str">
        <x:v>PLC-PRD-JAR-720-L24</x:v>
      </x:c>
      <x:c r="Y688" t="str">
        <x:v>OK</x:v>
      </x:c>
      <x:c r="Z688" t="str">
        <x:v>OK</x:v>
      </x:c>
      <x:c r="AA688" t="n">
        <x:v>3</x:v>
      </x:c>
      <x:c r="AB688" t="n">
        <x:v>2</x:v>
      </x:c>
      <x:c r="AC688" t="str">
        <x:v>OK</x:v>
      </x:c>
      <x:c r="AD688" t="str">
        <x:v>OK</x:v>
      </x:c>
      <x:c r="AE688" t="str">
        <x:v>LOAD</x:v>
      </x:c>
      <x:c r="AF688" t="str">
        <x:v>02_Supervisor_Log(4).xlsx</x:v>
      </x:c>
      <x:c r="AG688" t="str">
        <x:v>ENH-20260830-01</x:v>
      </x:c>
      <x:c r="AH688" t="str">
        <x:v>Active</x:v>
      </x:c>
      <x:c r="AI688"/>
      <x:c r="AJ688"/>
      <x:c r="AK688"/>
      <x:c r="AL688"/>
    </x:row>
    <x:row r="689">
      <x:c r="A689" t="s">
        <x:v>931</x:v>
      </x:c>
      <x:c r="B689" t="s">
        <x:v>157</x:v>
      </x:c>
      <x:c r="C689" t="s">
        <x:v>44</x:v>
      </x:c>
      <x:c r="D689">
        <x:v>45955</x:v>
      </x:c>
      <x:c r="E689" t="s">
        <x:v>45</x:v>
      </x:c>
      <x:c r="F689" t="s">
        <x:v>51</x:v>
      </x:c>
      <x:c r="G689">
        <x:v>24</x:v>
      </x:c>
      <x:c r="H689" t="s">
        <x:v>74</x:v>
      </x:c>
      <x:c r="I689">
        <x:v>9</x:v>
      </x:c>
      <x:c r="J689">
        <x:v>12</x:v>
      </x:c>
      <x:c r="K689">
        <x:v>2</x:v>
      </x:c>
      <x:c r="L689">
        <x:f t="shared" si="70"/>
        <x:v>1</x:v>
      </x:c>
      <x:c r="P689">
        <x:f t="shared" si="71"/>
        <x:v>1</x:v>
      </x:c>
      <x:c r="Q689">
        <x:f t="shared" si="72"/>
        <x:v>1</x:v>
      </x:c>
      <x:c r="R689">
        <x:f t="shared" si="73"/>
        <x:v>0</x:v>
      </x:c>
      <x:c r="S689">
        <x:f t="shared" si="74"/>
        <x:v>2</x:v>
      </x:c>
      <x:c r="T689" t="str">
        <x:f t="shared" si="75"/>
        <x:v>DerivedFromCount</x:v>
      </x:c>
      <x:c r="U689" t="str">
        <x:f>IF(COUNTIF(DailyProduction!$Q$5:$Q$100,B689)=1,"OK","CHECK")</x:f>
        <x:v>OK</x:v>
      </x:c>
      <x:c r="V689" t="str">
        <x:f t="shared" si="76"/>
        <x:v>OK</x:v>
      </x:c>
      <x:c r="W689" t="str">
        <x:f>IF(SUMIF($B$5:$B$914,B689,$S$5:$S$914)=SUMIF(DailyProduction!$Q$5:$Q$100,B689,DailyProduction!$R$5:$R$100),"OK","CHECK")</x:f>
        <x:v>OK</x:v>
      </x:c>
      <x:c r="X689" t="str">
        <x:v>PLC-PRD-JAR-720-L24</x:v>
      </x:c>
      <x:c r="Y689" t="str">
        <x:v>OK</x:v>
      </x:c>
      <x:c r="Z689" t="str">
        <x:v>OK</x:v>
      </x:c>
      <x:c r="AA689" t="n">
        <x:v>3</x:v>
      </x:c>
      <x:c r="AB689" t="n">
        <x:v>2</x:v>
      </x:c>
      <x:c r="AC689" t="str">
        <x:v>OK</x:v>
      </x:c>
      <x:c r="AD689" t="str">
        <x:v>OK</x:v>
      </x:c>
      <x:c r="AE689" t="str">
        <x:v>LOAD</x:v>
      </x:c>
      <x:c r="AF689" t="str">
        <x:v>02_Supervisor_Log(4).xlsx</x:v>
      </x:c>
      <x:c r="AG689" t="str">
        <x:v>ENH-20260830-01</x:v>
      </x:c>
      <x:c r="AH689" t="str">
        <x:v>Active</x:v>
      </x:c>
      <x:c r="AI689"/>
      <x:c r="AJ689"/>
      <x:c r="AK689"/>
      <x:c r="AL689"/>
    </x:row>
    <x:row r="690">
      <x:c r="A690" t="s">
        <x:v>932</x:v>
      </x:c>
      <x:c r="B690" t="s">
        <x:v>157</x:v>
      </x:c>
      <x:c r="C690" t="s">
        <x:v>44</x:v>
      </x:c>
      <x:c r="D690">
        <x:v>45955</x:v>
      </x:c>
      <x:c r="E690" t="s">
        <x:v>45</x:v>
      </x:c>
      <x:c r="F690" t="s">
        <x:v>51</x:v>
      </x:c>
      <x:c r="G690">
        <x:v>24</x:v>
      </x:c>
      <x:c r="H690" t="s">
        <x:v>74</x:v>
      </x:c>
      <x:c r="I690">
        <x:v>10</x:v>
      </x:c>
      <x:c r="J690">
        <x:v>12</x:v>
      </x:c>
      <x:c r="K690">
        <x:v>2</x:v>
      </x:c>
      <x:c r="L690">
        <x:f t="shared" si="70"/>
        <x:v>1</x:v>
      </x:c>
      <x:c r="P690">
        <x:f t="shared" si="71"/>
        <x:v>1</x:v>
      </x:c>
      <x:c r="Q690">
        <x:f t="shared" si="72"/>
        <x:v>1</x:v>
      </x:c>
      <x:c r="R690">
        <x:f t="shared" si="73"/>
        <x:v>0</x:v>
      </x:c>
      <x:c r="S690">
        <x:f t="shared" si="74"/>
        <x:v>2</x:v>
      </x:c>
      <x:c r="T690" t="str">
        <x:f t="shared" si="75"/>
        <x:v>DerivedFromCount</x:v>
      </x:c>
      <x:c r="U690" t="str">
        <x:f>IF(COUNTIF(DailyProduction!$Q$5:$Q$100,B690)=1,"OK","CHECK")</x:f>
        <x:v>OK</x:v>
      </x:c>
      <x:c r="V690" t="str">
        <x:f t="shared" si="76"/>
        <x:v>OK</x:v>
      </x:c>
      <x:c r="W690" t="str">
        <x:f>IF(SUMIF($B$5:$B$914,B690,$S$5:$S$914)=SUMIF(DailyProduction!$Q$5:$Q$100,B690,DailyProduction!$R$5:$R$100),"OK","CHECK")</x:f>
        <x:v>OK</x:v>
      </x:c>
      <x:c r="X690" t="str">
        <x:v>PLC-PRD-JAR-720-L24</x:v>
      </x:c>
      <x:c r="Y690" t="str">
        <x:v>OK</x:v>
      </x:c>
      <x:c r="Z690" t="str">
        <x:v>OK</x:v>
      </x:c>
      <x:c r="AA690" t="n">
        <x:v>3</x:v>
      </x:c>
      <x:c r="AB690" t="n">
        <x:v>2</x:v>
      </x:c>
      <x:c r="AC690" t="str">
        <x:v>OK</x:v>
      </x:c>
      <x:c r="AD690" t="str">
        <x:v>OK</x:v>
      </x:c>
      <x:c r="AE690" t="str">
        <x:v>LOAD</x:v>
      </x:c>
      <x:c r="AF690" t="str">
        <x:v>02_Supervisor_Log(4).xlsx</x:v>
      </x:c>
      <x:c r="AG690" t="str">
        <x:v>ENH-20260830-01</x:v>
      </x:c>
      <x:c r="AH690" t="str">
        <x:v>Active</x:v>
      </x:c>
      <x:c r="AI690"/>
      <x:c r="AJ690"/>
      <x:c r="AK690"/>
      <x:c r="AL690"/>
    </x:row>
    <x:row r="691">
      <x:c r="A691" t="s">
        <x:v>933</x:v>
      </x:c>
      <x:c r="B691" t="s">
        <x:v>157</x:v>
      </x:c>
      <x:c r="C691" t="s">
        <x:v>44</x:v>
      </x:c>
      <x:c r="D691">
        <x:v>45955</x:v>
      </x:c>
      <x:c r="E691" t="s">
        <x:v>45</x:v>
      </x:c>
      <x:c r="F691" t="s">
        <x:v>51</x:v>
      </x:c>
      <x:c r="G691">
        <x:v>24</x:v>
      </x:c>
      <x:c r="H691" t="s">
        <x:v>74</x:v>
      </x:c>
      <x:c r="I691">
        <x:v>11</x:v>
      </x:c>
      <x:c r="J691">
        <x:v>12</x:v>
      </x:c>
      <x:c r="K691">
        <x:v>2</x:v>
      </x:c>
      <x:c r="L691">
        <x:f t="shared" si="70"/>
        <x:v>1</x:v>
      </x:c>
      <x:c r="P691">
        <x:f t="shared" si="71"/>
        <x:v>1</x:v>
      </x:c>
      <x:c r="Q691">
        <x:f t="shared" si="72"/>
        <x:v>1</x:v>
      </x:c>
      <x:c r="R691">
        <x:f t="shared" si="73"/>
        <x:v>0</x:v>
      </x:c>
      <x:c r="S691">
        <x:f t="shared" si="74"/>
        <x:v>2</x:v>
      </x:c>
      <x:c r="T691" t="str">
        <x:f t="shared" si="75"/>
        <x:v>DerivedFromCount</x:v>
      </x:c>
      <x:c r="U691" t="str">
        <x:f>IF(COUNTIF(DailyProduction!$Q$5:$Q$100,B691)=1,"OK","CHECK")</x:f>
        <x:v>OK</x:v>
      </x:c>
      <x:c r="V691" t="str">
        <x:f t="shared" si="76"/>
        <x:v>OK</x:v>
      </x:c>
      <x:c r="W691" t="str">
        <x:f>IF(SUMIF($B$5:$B$914,B691,$S$5:$S$914)=SUMIF(DailyProduction!$Q$5:$Q$100,B691,DailyProduction!$R$5:$R$100),"OK","CHECK")</x:f>
        <x:v>OK</x:v>
      </x:c>
      <x:c r="X691" t="str">
        <x:v>PLC-PRD-JAR-720-L24</x:v>
      </x:c>
      <x:c r="Y691" t="str">
        <x:v>OK</x:v>
      </x:c>
      <x:c r="Z691" t="str">
        <x:v>OK</x:v>
      </x:c>
      <x:c r="AA691" t="n">
        <x:v>3</x:v>
      </x:c>
      <x:c r="AB691" t="n">
        <x:v>2</x:v>
      </x:c>
      <x:c r="AC691" t="str">
        <x:v>OK</x:v>
      </x:c>
      <x:c r="AD691" t="str">
        <x:v>OK</x:v>
      </x:c>
      <x:c r="AE691" t="str">
        <x:v>LOAD</x:v>
      </x:c>
      <x:c r="AF691" t="str">
        <x:v>02_Supervisor_Log(4).xlsx</x:v>
      </x:c>
      <x:c r="AG691" t="str">
        <x:v>ENH-20260830-01</x:v>
      </x:c>
      <x:c r="AH691" t="str">
        <x:v>Active</x:v>
      </x:c>
      <x:c r="AI691"/>
      <x:c r="AJ691"/>
      <x:c r="AK691"/>
      <x:c r="AL691"/>
    </x:row>
    <x:row r="692">
      <x:c r="A692" t="s">
        <x:v>934</x:v>
      </x:c>
      <x:c r="B692" t="s">
        <x:v>157</x:v>
      </x:c>
      <x:c r="C692" t="s">
        <x:v>44</x:v>
      </x:c>
      <x:c r="D692">
        <x:v>45955</x:v>
      </x:c>
      <x:c r="E692" t="s">
        <x:v>45</x:v>
      </x:c>
      <x:c r="F692" t="s">
        <x:v>51</x:v>
      </x:c>
      <x:c r="G692">
        <x:v>24</x:v>
      </x:c>
      <x:c r="H692" t="s">
        <x:v>74</x:v>
      </x:c>
      <x:c r="I692">
        <x:v>12</x:v>
      </x:c>
      <x:c r="J692">
        <x:v>12</x:v>
      </x:c>
      <x:c r="K692">
        <x:v>2</x:v>
      </x:c>
      <x:c r="L692">
        <x:f t="shared" si="70"/>
        <x:v>1</x:v>
      </x:c>
      <x:c r="P692">
        <x:f t="shared" si="71"/>
        <x:v>1</x:v>
      </x:c>
      <x:c r="Q692">
        <x:f t="shared" si="72"/>
        <x:v>1</x:v>
      </x:c>
      <x:c r="R692">
        <x:f t="shared" si="73"/>
        <x:v>0</x:v>
      </x:c>
      <x:c r="S692">
        <x:f t="shared" si="74"/>
        <x:v>2</x:v>
      </x:c>
      <x:c r="T692" t="str">
        <x:f t="shared" si="75"/>
        <x:v>DerivedFromCount</x:v>
      </x:c>
      <x:c r="U692" t="str">
        <x:f>IF(COUNTIF(DailyProduction!$Q$5:$Q$100,B692)=1,"OK","CHECK")</x:f>
        <x:v>OK</x:v>
      </x:c>
      <x:c r="V692" t="str">
        <x:f t="shared" si="76"/>
        <x:v>OK</x:v>
      </x:c>
      <x:c r="W692" t="str">
        <x:f>IF(SUMIF($B$5:$B$914,B692,$S$5:$S$914)=SUMIF(DailyProduction!$Q$5:$Q$100,B692,DailyProduction!$R$5:$R$100),"OK","CHECK")</x:f>
        <x:v>OK</x:v>
      </x:c>
      <x:c r="X692" t="str">
        <x:v>PLC-PRD-JAR-720-L24</x:v>
      </x:c>
      <x:c r="Y692" t="str">
        <x:v>OK</x:v>
      </x:c>
      <x:c r="Z692" t="str">
        <x:v>OK</x:v>
      </x:c>
      <x:c r="AA692" t="n">
        <x:v>3</x:v>
      </x:c>
      <x:c r="AB692" t="n">
        <x:v>2</x:v>
      </x:c>
      <x:c r="AC692" t="str">
        <x:v>OK</x:v>
      </x:c>
      <x:c r="AD692" t="str">
        <x:v>OK</x:v>
      </x:c>
      <x:c r="AE692" t="str">
        <x:v>LOAD</x:v>
      </x:c>
      <x:c r="AF692" t="str">
        <x:v>02_Supervisor_Log(4).xlsx</x:v>
      </x:c>
      <x:c r="AG692" t="str">
        <x:v>ENH-20260830-01</x:v>
      </x:c>
      <x:c r="AH692" t="str">
        <x:v>Active</x:v>
      </x:c>
      <x:c r="AI692"/>
      <x:c r="AJ692"/>
      <x:c r="AK692"/>
      <x:c r="AL692"/>
    </x:row>
    <x:row r="693">
      <x:c r="A693" t="s">
        <x:v>935</x:v>
      </x:c>
      <x:c r="B693" t="s">
        <x:v>157</x:v>
      </x:c>
      <x:c r="C693" t="s">
        <x:v>44</x:v>
      </x:c>
      <x:c r="D693">
        <x:v>45955</x:v>
      </x:c>
      <x:c r="E693" t="s">
        <x:v>45</x:v>
      </x:c>
      <x:c r="F693" t="s">
        <x:v>51</x:v>
      </x:c>
      <x:c r="G693">
        <x:v>24</x:v>
      </x:c>
      <x:c r="H693" t="s">
        <x:v>74</x:v>
      </x:c>
      <x:c r="I693">
        <x:v>13</x:v>
      </x:c>
      <x:c r="J693">
        <x:v>12</x:v>
      </x:c>
      <x:c r="K693">
        <x:v>2</x:v>
      </x:c>
      <x:c r="L693">
        <x:f t="shared" si="70"/>
        <x:v>0</x:v>
      </x:c>
      <x:c r="P693">
        <x:f t="shared" si="71"/>
        <x:v>0</x:v>
      </x:c>
      <x:c r="Q693">
        <x:f t="shared" si="72"/>
        <x:v>0</x:v>
      </x:c>
      <x:c r="R693">
        <x:f t="shared" si="73"/>
        <x:v>0</x:v>
      </x:c>
      <x:c r="S693">
        <x:f t="shared" si="74"/>
        <x:v>0</x:v>
      </x:c>
      <x:c r="T693" t="str">
        <x:f t="shared" si="75"/>
        <x:v>DerivedFromCount</x:v>
      </x:c>
      <x:c r="U693" t="str">
        <x:f>IF(COUNTIF(DailyProduction!$Q$5:$Q$100,B693)=1,"OK","CHECK")</x:f>
        <x:v>OK</x:v>
      </x:c>
      <x:c r="V693" t="str">
        <x:f t="shared" si="76"/>
        <x:v>OK</x:v>
      </x:c>
      <x:c r="W693" t="str">
        <x:f>IF(SUMIF($B$5:$B$914,B693,$S$5:$S$914)=SUMIF(DailyProduction!$Q$5:$Q$100,B693,DailyProduction!$R$5:$R$100),"OK","CHECK")</x:f>
        <x:v>OK</x:v>
      </x:c>
      <x:c r="X693" t="str">
        <x:v>PLC-PRD-JAR-720-L24</x:v>
      </x:c>
      <x:c r="Y693" t="str">
        <x:v>OK</x:v>
      </x:c>
      <x:c r="Z693" t="str">
        <x:v>OK</x:v>
      </x:c>
      <x:c r="AA693" t="n">
        <x:v>3</x:v>
      </x:c>
      <x:c r="AB693" t="n">
        <x:v>0</x:v>
      </x:c>
      <x:c r="AC693" t="str">
        <x:v>OK</x:v>
      </x:c>
      <x:c r="AD693" t="str">
        <x:v>OK</x:v>
      </x:c>
      <x:c r="AE693" t="str">
        <x:v>LOAD</x:v>
      </x:c>
      <x:c r="AF693" t="str">
        <x:v>02_Supervisor_Log(4).xlsx</x:v>
      </x:c>
      <x:c r="AG693" t="str">
        <x:v>ENH-20260830-01</x:v>
      </x:c>
      <x:c r="AH693" t="str">
        <x:v>Active</x:v>
      </x:c>
      <x:c r="AI693"/>
      <x:c r="AJ693"/>
      <x:c r="AK693"/>
      <x:c r="AL693"/>
    </x:row>
    <x:row r="694">
      <x:c r="A694" t="s">
        <x:v>936</x:v>
      </x:c>
      <x:c r="B694" t="s">
        <x:v>937</x:v>
      </x:c>
      <x:c r="C694" t="s">
        <x:v>44</x:v>
      </x:c>
      <x:c r="D694">
        <x:v>45955</x:v>
      </x:c>
      <x:c r="E694" t="s">
        <x:v>187</x:v>
      </x:c>
      <x:c r="F694" t="s">
        <x:v>55</x:v>
      </x:c>
      <x:c r="G694">
        <x:v>24</x:v>
      </x:c>
      <x:c r="H694" t="s">
        <x:v>74</x:v>
      </x:c>
      <x:c r="I694">
        <x:v>1</x:v>
      </x:c>
      <x:c r="J694">
        <x:v>12</x:v>
      </x:c>
      <x:c r="K694">
        <x:v>2</x:v>
      </x:c>
      <x:c r="L694">
        <x:f t="shared" si="70"/>
        <x:v>1</x:v>
      </x:c>
      <x:c r="P694">
        <x:f t="shared" si="71"/>
        <x:v>1</x:v>
      </x:c>
      <x:c r="Q694">
        <x:f t="shared" si="72"/>
        <x:v>1</x:v>
      </x:c>
      <x:c r="R694">
        <x:f t="shared" si="73"/>
        <x:v>0</x:v>
      </x:c>
      <x:c r="S694">
        <x:f t="shared" si="74"/>
        <x:v>2</x:v>
      </x:c>
      <x:c r="T694" t="str">
        <x:f t="shared" si="75"/>
        <x:v>DerivedFromCount</x:v>
      </x:c>
      <x:c r="U694" t="str">
        <x:f>IF(COUNTIF(DailyProduction!$Q$5:$Q$100,B694)=1,"OK","CHECK")</x:f>
        <x:v>OK</x:v>
      </x:c>
      <x:c r="V694" t="str">
        <x:f t="shared" si="76"/>
        <x:v>OK</x:v>
      </x:c>
      <x:c r="W694" t="str">
        <x:f>IF(SUMIF($B$5:$B$914,B694,$S$5:$S$914)=SUMIF(DailyProduction!$Q$5:$Q$100,B694,DailyProduction!$R$5:$R$100),"OK","CHECK")</x:f>
        <x:v>OK</x:v>
      </x:c>
      <x:c r="X694" t="str">
        <x:v>PLC-PRD-JAR-720-L24</x:v>
      </x:c>
      <x:c r="Y694" t="str">
        <x:v>OK</x:v>
      </x:c>
      <x:c r="Z694" t="str">
        <x:v>OK</x:v>
      </x:c>
      <x:c r="AA694" t="n">
        <x:v>3</x:v>
      </x:c>
      <x:c r="AB694" t="n">
        <x:v>2</x:v>
      </x:c>
      <x:c r="AC694" t="str">
        <x:v>OK</x:v>
      </x:c>
      <x:c r="AD694" t="str">
        <x:v>OK</x:v>
      </x:c>
      <x:c r="AE694" t="str">
        <x:v>LOAD</x:v>
      </x:c>
      <x:c r="AF694" t="str">
        <x:v>02_Supervisor_Log(4).xlsx</x:v>
      </x:c>
      <x:c r="AG694" t="str">
        <x:v>ENH-20260830-01</x:v>
      </x:c>
      <x:c r="AH694" t="str">
        <x:v>Active</x:v>
      </x:c>
      <x:c r="AI694"/>
      <x:c r="AJ694"/>
      <x:c r="AK694"/>
      <x:c r="AL694"/>
    </x:row>
    <x:row r="695">
      <x:c r="A695" t="s">
        <x:v>938</x:v>
      </x:c>
      <x:c r="B695" t="s">
        <x:v>937</x:v>
      </x:c>
      <x:c r="C695" t="s">
        <x:v>44</x:v>
      </x:c>
      <x:c r="D695">
        <x:v>45955</x:v>
      </x:c>
      <x:c r="E695" t="s">
        <x:v>187</x:v>
      </x:c>
      <x:c r="F695" t="s">
        <x:v>55</x:v>
      </x:c>
      <x:c r="G695">
        <x:v>24</x:v>
      </x:c>
      <x:c r="H695" t="s">
        <x:v>74</x:v>
      </x:c>
      <x:c r="I695">
        <x:v>2</x:v>
      </x:c>
      <x:c r="J695">
        <x:v>12</x:v>
      </x:c>
      <x:c r="K695">
        <x:v>2</x:v>
      </x:c>
      <x:c r="L695">
        <x:f t="shared" si="70"/>
        <x:v>1</x:v>
      </x:c>
      <x:c r="P695">
        <x:f t="shared" si="71"/>
        <x:v>1</x:v>
      </x:c>
      <x:c r="Q695">
        <x:f t="shared" si="72"/>
        <x:v>1</x:v>
      </x:c>
      <x:c r="R695">
        <x:f t="shared" si="73"/>
        <x:v>0</x:v>
      </x:c>
      <x:c r="S695">
        <x:f t="shared" si="74"/>
        <x:v>2</x:v>
      </x:c>
      <x:c r="T695" t="str">
        <x:f t="shared" si="75"/>
        <x:v>DerivedFromCount</x:v>
      </x:c>
      <x:c r="U695" t="str">
        <x:f>IF(COUNTIF(DailyProduction!$Q$5:$Q$100,B695)=1,"OK","CHECK")</x:f>
        <x:v>OK</x:v>
      </x:c>
      <x:c r="V695" t="str">
        <x:f t="shared" si="76"/>
        <x:v>OK</x:v>
      </x:c>
      <x:c r="W695" t="str">
        <x:f>IF(SUMIF($B$5:$B$914,B695,$S$5:$S$914)=SUMIF(DailyProduction!$Q$5:$Q$100,B695,DailyProduction!$R$5:$R$100),"OK","CHECK")</x:f>
        <x:v>OK</x:v>
      </x:c>
      <x:c r="X695" t="str">
        <x:v>PLC-PRD-JAR-720-L24</x:v>
      </x:c>
      <x:c r="Y695" t="str">
        <x:v>OK</x:v>
      </x:c>
      <x:c r="Z695" t="str">
        <x:v>OK</x:v>
      </x:c>
      <x:c r="AA695" t="n">
        <x:v>3</x:v>
      </x:c>
      <x:c r="AB695" t="n">
        <x:v>2</x:v>
      </x:c>
      <x:c r="AC695" t="str">
        <x:v>OK</x:v>
      </x:c>
      <x:c r="AD695" t="str">
        <x:v>OK</x:v>
      </x:c>
      <x:c r="AE695" t="str">
        <x:v>LOAD</x:v>
      </x:c>
      <x:c r="AF695" t="str">
        <x:v>02_Supervisor_Log(4).xlsx</x:v>
      </x:c>
      <x:c r="AG695" t="str">
        <x:v>ENH-20260830-01</x:v>
      </x:c>
      <x:c r="AH695" t="str">
        <x:v>Active</x:v>
      </x:c>
      <x:c r="AI695"/>
      <x:c r="AJ695"/>
      <x:c r="AK695"/>
      <x:c r="AL695"/>
    </x:row>
    <x:row r="696">
      <x:c r="A696" t="s">
        <x:v>939</x:v>
      </x:c>
      <x:c r="B696" t="s">
        <x:v>937</x:v>
      </x:c>
      <x:c r="C696" t="s">
        <x:v>44</x:v>
      </x:c>
      <x:c r="D696">
        <x:v>45955</x:v>
      </x:c>
      <x:c r="E696" t="s">
        <x:v>187</x:v>
      </x:c>
      <x:c r="F696" t="s">
        <x:v>55</x:v>
      </x:c>
      <x:c r="G696">
        <x:v>24</x:v>
      </x:c>
      <x:c r="H696" t="s">
        <x:v>74</x:v>
      </x:c>
      <x:c r="I696">
        <x:v>3</x:v>
      </x:c>
      <x:c r="J696">
        <x:v>12</x:v>
      </x:c>
      <x:c r="K696">
        <x:v>2</x:v>
      </x:c>
      <x:c r="L696">
        <x:f t="shared" si="70"/>
        <x:v>1</x:v>
      </x:c>
      <x:c r="P696">
        <x:f t="shared" si="71"/>
        <x:v>1</x:v>
      </x:c>
      <x:c r="Q696">
        <x:f t="shared" si="72"/>
        <x:v>1</x:v>
      </x:c>
      <x:c r="R696">
        <x:f t="shared" si="73"/>
        <x:v>0</x:v>
      </x:c>
      <x:c r="S696">
        <x:f t="shared" si="74"/>
        <x:v>2</x:v>
      </x:c>
      <x:c r="T696" t="str">
        <x:f t="shared" si="75"/>
        <x:v>DerivedFromCount</x:v>
      </x:c>
      <x:c r="U696" t="str">
        <x:f>IF(COUNTIF(DailyProduction!$Q$5:$Q$100,B696)=1,"OK","CHECK")</x:f>
        <x:v>OK</x:v>
      </x:c>
      <x:c r="V696" t="str">
        <x:f t="shared" si="76"/>
        <x:v>OK</x:v>
      </x:c>
      <x:c r="W696" t="str">
        <x:f>IF(SUMIF($B$5:$B$914,B696,$S$5:$S$914)=SUMIF(DailyProduction!$Q$5:$Q$100,B696,DailyProduction!$R$5:$R$100),"OK","CHECK")</x:f>
        <x:v>OK</x:v>
      </x:c>
      <x:c r="X696" t="str">
        <x:v>PLC-PRD-JAR-720-L24</x:v>
      </x:c>
      <x:c r="Y696" t="str">
        <x:v>OK</x:v>
      </x:c>
      <x:c r="Z696" t="str">
        <x:v>OK</x:v>
      </x:c>
      <x:c r="AA696" t="n">
        <x:v>3</x:v>
      </x:c>
      <x:c r="AB696" t="n">
        <x:v>2</x:v>
      </x:c>
      <x:c r="AC696" t="str">
        <x:v>OK</x:v>
      </x:c>
      <x:c r="AD696" t="str">
        <x:v>OK</x:v>
      </x:c>
      <x:c r="AE696" t="str">
        <x:v>LOAD</x:v>
      </x:c>
      <x:c r="AF696" t="str">
        <x:v>02_Supervisor_Log(4).xlsx</x:v>
      </x:c>
      <x:c r="AG696" t="str">
        <x:v>ENH-20260830-01</x:v>
      </x:c>
      <x:c r="AH696" t="str">
        <x:v>Active</x:v>
      </x:c>
      <x:c r="AI696"/>
      <x:c r="AJ696"/>
      <x:c r="AK696"/>
      <x:c r="AL696"/>
    </x:row>
    <x:row r="697">
      <x:c r="A697" t="s">
        <x:v>940</x:v>
      </x:c>
      <x:c r="B697" t="s">
        <x:v>937</x:v>
      </x:c>
      <x:c r="C697" t="s">
        <x:v>44</x:v>
      </x:c>
      <x:c r="D697">
        <x:v>45955</x:v>
      </x:c>
      <x:c r="E697" t="s">
        <x:v>187</x:v>
      </x:c>
      <x:c r="F697" t="s">
        <x:v>55</x:v>
      </x:c>
      <x:c r="G697">
        <x:v>24</x:v>
      </x:c>
      <x:c r="H697" t="s">
        <x:v>74</x:v>
      </x:c>
      <x:c r="I697">
        <x:v>4</x:v>
      </x:c>
      <x:c r="J697">
        <x:v>12</x:v>
      </x:c>
      <x:c r="K697">
        <x:v>2</x:v>
      </x:c>
      <x:c r="L697">
        <x:f t="shared" si="70"/>
        <x:v>1</x:v>
      </x:c>
      <x:c r="P697">
        <x:f t="shared" si="71"/>
        <x:v>1</x:v>
      </x:c>
      <x:c r="Q697">
        <x:f t="shared" si="72"/>
        <x:v>1</x:v>
      </x:c>
      <x:c r="R697">
        <x:f t="shared" si="73"/>
        <x:v>0</x:v>
      </x:c>
      <x:c r="S697">
        <x:f t="shared" si="74"/>
        <x:v>2</x:v>
      </x:c>
      <x:c r="T697" t="str">
        <x:f t="shared" si="75"/>
        <x:v>DerivedFromCount</x:v>
      </x:c>
      <x:c r="U697" t="str">
        <x:f>IF(COUNTIF(DailyProduction!$Q$5:$Q$100,B697)=1,"OK","CHECK")</x:f>
        <x:v>OK</x:v>
      </x:c>
      <x:c r="V697" t="str">
        <x:f t="shared" si="76"/>
        <x:v>OK</x:v>
      </x:c>
      <x:c r="W697" t="str">
        <x:f>IF(SUMIF($B$5:$B$914,B697,$S$5:$S$914)=SUMIF(DailyProduction!$Q$5:$Q$100,B697,DailyProduction!$R$5:$R$100),"OK","CHECK")</x:f>
        <x:v>OK</x:v>
      </x:c>
      <x:c r="X697" t="str">
        <x:v>PLC-PRD-JAR-720-L24</x:v>
      </x:c>
      <x:c r="Y697" t="str">
        <x:v>OK</x:v>
      </x:c>
      <x:c r="Z697" t="str">
        <x:v>OK</x:v>
      </x:c>
      <x:c r="AA697" t="n">
        <x:v>3</x:v>
      </x:c>
      <x:c r="AB697" t="n">
        <x:v>2</x:v>
      </x:c>
      <x:c r="AC697" t="str">
        <x:v>OK</x:v>
      </x:c>
      <x:c r="AD697" t="str">
        <x:v>OK</x:v>
      </x:c>
      <x:c r="AE697" t="str">
        <x:v>LOAD</x:v>
      </x:c>
      <x:c r="AF697" t="str">
        <x:v>02_Supervisor_Log(4).xlsx</x:v>
      </x:c>
      <x:c r="AG697" t="str">
        <x:v>ENH-20260830-01</x:v>
      </x:c>
      <x:c r="AH697" t="str">
        <x:v>Active</x:v>
      </x:c>
      <x:c r="AI697"/>
      <x:c r="AJ697"/>
      <x:c r="AK697"/>
      <x:c r="AL697"/>
    </x:row>
    <x:row r="698">
      <x:c r="A698" t="s">
        <x:v>941</x:v>
      </x:c>
      <x:c r="B698" t="s">
        <x:v>937</x:v>
      </x:c>
      <x:c r="C698" t="s">
        <x:v>44</x:v>
      </x:c>
      <x:c r="D698">
        <x:v>45955</x:v>
      </x:c>
      <x:c r="E698" t="s">
        <x:v>187</x:v>
      </x:c>
      <x:c r="F698" t="s">
        <x:v>55</x:v>
      </x:c>
      <x:c r="G698">
        <x:v>24</x:v>
      </x:c>
      <x:c r="H698" t="s">
        <x:v>74</x:v>
      </x:c>
      <x:c r="I698">
        <x:v>5</x:v>
      </x:c>
      <x:c r="J698">
        <x:v>12</x:v>
      </x:c>
      <x:c r="K698">
        <x:v>2</x:v>
      </x:c>
      <x:c r="L698">
        <x:f t="shared" si="70"/>
        <x:v>1</x:v>
      </x:c>
      <x:c r="P698">
        <x:f t="shared" si="71"/>
        <x:v>1</x:v>
      </x:c>
      <x:c r="Q698">
        <x:f t="shared" si="72"/>
        <x:v>1</x:v>
      </x:c>
      <x:c r="R698">
        <x:f t="shared" si="73"/>
        <x:v>0</x:v>
      </x:c>
      <x:c r="S698">
        <x:f t="shared" si="74"/>
        <x:v>2</x:v>
      </x:c>
      <x:c r="T698" t="str">
        <x:f t="shared" si="75"/>
        <x:v>DerivedFromCount</x:v>
      </x:c>
      <x:c r="U698" t="str">
        <x:f>IF(COUNTIF(DailyProduction!$Q$5:$Q$100,B698)=1,"OK","CHECK")</x:f>
        <x:v>OK</x:v>
      </x:c>
      <x:c r="V698" t="str">
        <x:f t="shared" si="76"/>
        <x:v>OK</x:v>
      </x:c>
      <x:c r="W698" t="str">
        <x:f>IF(SUMIF($B$5:$B$914,B698,$S$5:$S$914)=SUMIF(DailyProduction!$Q$5:$Q$100,B698,DailyProduction!$R$5:$R$100),"OK","CHECK")</x:f>
        <x:v>OK</x:v>
      </x:c>
      <x:c r="X698" t="str">
        <x:v>PLC-PRD-JAR-720-L24</x:v>
      </x:c>
      <x:c r="Y698" t="str">
        <x:v>OK</x:v>
      </x:c>
      <x:c r="Z698" t="str">
        <x:v>OK</x:v>
      </x:c>
      <x:c r="AA698" t="n">
        <x:v>3</x:v>
      </x:c>
      <x:c r="AB698" t="n">
        <x:v>2</x:v>
      </x:c>
      <x:c r="AC698" t="str">
        <x:v>OK</x:v>
      </x:c>
      <x:c r="AD698" t="str">
        <x:v>OK</x:v>
      </x:c>
      <x:c r="AE698" t="str">
        <x:v>LOAD</x:v>
      </x:c>
      <x:c r="AF698" t="str">
        <x:v>02_Supervisor_Log(4).xlsx</x:v>
      </x:c>
      <x:c r="AG698" t="str">
        <x:v>ENH-20260830-01</x:v>
      </x:c>
      <x:c r="AH698" t="str">
        <x:v>Active</x:v>
      </x:c>
      <x:c r="AI698"/>
      <x:c r="AJ698"/>
      <x:c r="AK698"/>
      <x:c r="AL698"/>
    </x:row>
    <x:row r="699">
      <x:c r="A699" t="s">
        <x:v>942</x:v>
      </x:c>
      <x:c r="B699" t="s">
        <x:v>937</x:v>
      </x:c>
      <x:c r="C699" t="s">
        <x:v>44</x:v>
      </x:c>
      <x:c r="D699">
        <x:v>45955</x:v>
      </x:c>
      <x:c r="E699" t="s">
        <x:v>187</x:v>
      </x:c>
      <x:c r="F699" t="s">
        <x:v>55</x:v>
      </x:c>
      <x:c r="G699">
        <x:v>24</x:v>
      </x:c>
      <x:c r="H699" t="s">
        <x:v>74</x:v>
      </x:c>
      <x:c r="I699">
        <x:v>6</x:v>
      </x:c>
      <x:c r="J699">
        <x:v>12</x:v>
      </x:c>
      <x:c r="K699">
        <x:v>2</x:v>
      </x:c>
      <x:c r="L699">
        <x:f t="shared" si="70"/>
        <x:v>1</x:v>
      </x:c>
      <x:c r="P699">
        <x:f t="shared" si="71"/>
        <x:v>1</x:v>
      </x:c>
      <x:c r="Q699">
        <x:f t="shared" si="72"/>
        <x:v>1</x:v>
      </x:c>
      <x:c r="R699">
        <x:f t="shared" si="73"/>
        <x:v>0</x:v>
      </x:c>
      <x:c r="S699">
        <x:f t="shared" si="74"/>
        <x:v>2</x:v>
      </x:c>
      <x:c r="T699" t="str">
        <x:f t="shared" si="75"/>
        <x:v>DerivedFromCount</x:v>
      </x:c>
      <x:c r="U699" t="str">
        <x:f>IF(COUNTIF(DailyProduction!$Q$5:$Q$100,B699)=1,"OK","CHECK")</x:f>
        <x:v>OK</x:v>
      </x:c>
      <x:c r="V699" t="str">
        <x:f t="shared" si="76"/>
        <x:v>OK</x:v>
      </x:c>
      <x:c r="W699" t="str">
        <x:f>IF(SUMIF($B$5:$B$914,B699,$S$5:$S$914)=SUMIF(DailyProduction!$Q$5:$Q$100,B699,DailyProduction!$R$5:$R$100),"OK","CHECK")</x:f>
        <x:v>OK</x:v>
      </x:c>
      <x:c r="X699" t="str">
        <x:v>PLC-PRD-JAR-720-L24</x:v>
      </x:c>
      <x:c r="Y699" t="str">
        <x:v>OK</x:v>
      </x:c>
      <x:c r="Z699" t="str">
        <x:v>OK</x:v>
      </x:c>
      <x:c r="AA699" t="n">
        <x:v>3</x:v>
      </x:c>
      <x:c r="AB699" t="n">
        <x:v>2</x:v>
      </x:c>
      <x:c r="AC699" t="str">
        <x:v>OK</x:v>
      </x:c>
      <x:c r="AD699" t="str">
        <x:v>OK</x:v>
      </x:c>
      <x:c r="AE699" t="str">
        <x:v>LOAD</x:v>
      </x:c>
      <x:c r="AF699" t="str">
        <x:v>02_Supervisor_Log(4).xlsx</x:v>
      </x:c>
      <x:c r="AG699" t="str">
        <x:v>ENH-20260830-01</x:v>
      </x:c>
      <x:c r="AH699" t="str">
        <x:v>Active</x:v>
      </x:c>
      <x:c r="AI699"/>
      <x:c r="AJ699"/>
      <x:c r="AK699"/>
      <x:c r="AL699"/>
    </x:row>
    <x:row r="700">
      <x:c r="A700" t="s">
        <x:v>943</x:v>
      </x:c>
      <x:c r="B700" t="s">
        <x:v>937</x:v>
      </x:c>
      <x:c r="C700" t="s">
        <x:v>44</x:v>
      </x:c>
      <x:c r="D700">
        <x:v>45955</x:v>
      </x:c>
      <x:c r="E700" t="s">
        <x:v>187</x:v>
      </x:c>
      <x:c r="F700" t="s">
        <x:v>55</x:v>
      </x:c>
      <x:c r="G700">
        <x:v>24</x:v>
      </x:c>
      <x:c r="H700" t="s">
        <x:v>74</x:v>
      </x:c>
      <x:c r="I700">
        <x:v>7</x:v>
      </x:c>
      <x:c r="J700">
        <x:v>12</x:v>
      </x:c>
      <x:c r="K700">
        <x:v>2</x:v>
      </x:c>
      <x:c r="L700">
        <x:f t="shared" si="70"/>
        <x:v>1</x:v>
      </x:c>
      <x:c r="P700">
        <x:f t="shared" si="71"/>
        <x:v>1</x:v>
      </x:c>
      <x:c r="Q700">
        <x:f t="shared" si="72"/>
        <x:v>1</x:v>
      </x:c>
      <x:c r="R700">
        <x:f t="shared" si="73"/>
        <x:v>0</x:v>
      </x:c>
      <x:c r="S700">
        <x:f t="shared" si="74"/>
        <x:v>2</x:v>
      </x:c>
      <x:c r="T700" t="str">
        <x:f t="shared" si="75"/>
        <x:v>DerivedFromCount</x:v>
      </x:c>
      <x:c r="U700" t="str">
        <x:f>IF(COUNTIF(DailyProduction!$Q$5:$Q$100,B700)=1,"OK","CHECK")</x:f>
        <x:v>OK</x:v>
      </x:c>
      <x:c r="V700" t="str">
        <x:f t="shared" si="76"/>
        <x:v>OK</x:v>
      </x:c>
      <x:c r="W700" t="str">
        <x:f>IF(SUMIF($B$5:$B$914,B700,$S$5:$S$914)=SUMIF(DailyProduction!$Q$5:$Q$100,B700,DailyProduction!$R$5:$R$100),"OK","CHECK")</x:f>
        <x:v>OK</x:v>
      </x:c>
      <x:c r="X700" t="str">
        <x:v>PLC-PRD-JAR-720-L24</x:v>
      </x:c>
      <x:c r="Y700" t="str">
        <x:v>OK</x:v>
      </x:c>
      <x:c r="Z700" t="str">
        <x:v>OK</x:v>
      </x:c>
      <x:c r="AA700" t="n">
        <x:v>3</x:v>
      </x:c>
      <x:c r="AB700" t="n">
        <x:v>2</x:v>
      </x:c>
      <x:c r="AC700" t="str">
        <x:v>OK</x:v>
      </x:c>
      <x:c r="AD700" t="str">
        <x:v>OK</x:v>
      </x:c>
      <x:c r="AE700" t="str">
        <x:v>LOAD</x:v>
      </x:c>
      <x:c r="AF700" t="str">
        <x:v>02_Supervisor_Log(4).xlsx</x:v>
      </x:c>
      <x:c r="AG700" t="str">
        <x:v>ENH-20260830-01</x:v>
      </x:c>
      <x:c r="AH700" t="str">
        <x:v>Active</x:v>
      </x:c>
      <x:c r="AI700"/>
      <x:c r="AJ700"/>
      <x:c r="AK700"/>
      <x:c r="AL700"/>
    </x:row>
    <x:row r="701">
      <x:c r="A701" t="s">
        <x:v>944</x:v>
      </x:c>
      <x:c r="B701" t="s">
        <x:v>937</x:v>
      </x:c>
      <x:c r="C701" t="s">
        <x:v>44</x:v>
      </x:c>
      <x:c r="D701">
        <x:v>45955</x:v>
      </x:c>
      <x:c r="E701" t="s">
        <x:v>187</x:v>
      </x:c>
      <x:c r="F701" t="s">
        <x:v>55</x:v>
      </x:c>
      <x:c r="G701">
        <x:v>24</x:v>
      </x:c>
      <x:c r="H701" t="s">
        <x:v>74</x:v>
      </x:c>
      <x:c r="I701">
        <x:v>8</x:v>
      </x:c>
      <x:c r="J701">
        <x:v>12</x:v>
      </x:c>
      <x:c r="K701">
        <x:v>2</x:v>
      </x:c>
      <x:c r="L701">
        <x:f t="shared" si="70"/>
        <x:v>1</x:v>
      </x:c>
      <x:c r="P701">
        <x:f t="shared" si="71"/>
        <x:v>1</x:v>
      </x:c>
      <x:c r="Q701">
        <x:f t="shared" si="72"/>
        <x:v>1</x:v>
      </x:c>
      <x:c r="R701">
        <x:f t="shared" si="73"/>
        <x:v>0</x:v>
      </x:c>
      <x:c r="S701">
        <x:f t="shared" si="74"/>
        <x:v>2</x:v>
      </x:c>
      <x:c r="T701" t="str">
        <x:f t="shared" si="75"/>
        <x:v>DerivedFromCount</x:v>
      </x:c>
      <x:c r="U701" t="str">
        <x:f>IF(COUNTIF(DailyProduction!$Q$5:$Q$100,B701)=1,"OK","CHECK")</x:f>
        <x:v>OK</x:v>
      </x:c>
      <x:c r="V701" t="str">
        <x:f t="shared" si="76"/>
        <x:v>OK</x:v>
      </x:c>
      <x:c r="W701" t="str">
        <x:f>IF(SUMIF($B$5:$B$914,B701,$S$5:$S$914)=SUMIF(DailyProduction!$Q$5:$Q$100,B701,DailyProduction!$R$5:$R$100),"OK","CHECK")</x:f>
        <x:v>OK</x:v>
      </x:c>
      <x:c r="X701" t="str">
        <x:v>PLC-PRD-JAR-720-L24</x:v>
      </x:c>
      <x:c r="Y701" t="str">
        <x:v>OK</x:v>
      </x:c>
      <x:c r="Z701" t="str">
        <x:v>OK</x:v>
      </x:c>
      <x:c r="AA701" t="n">
        <x:v>3</x:v>
      </x:c>
      <x:c r="AB701" t="n">
        <x:v>2</x:v>
      </x:c>
      <x:c r="AC701" t="str">
        <x:v>OK</x:v>
      </x:c>
      <x:c r="AD701" t="str">
        <x:v>OK</x:v>
      </x:c>
      <x:c r="AE701" t="str">
        <x:v>LOAD</x:v>
      </x:c>
      <x:c r="AF701" t="str">
        <x:v>02_Supervisor_Log(4).xlsx</x:v>
      </x:c>
      <x:c r="AG701" t="str">
        <x:v>ENH-20260830-01</x:v>
      </x:c>
      <x:c r="AH701" t="str">
        <x:v>Active</x:v>
      </x:c>
      <x:c r="AI701"/>
      <x:c r="AJ701"/>
      <x:c r="AK701"/>
      <x:c r="AL701"/>
    </x:row>
    <x:row r="702">
      <x:c r="A702" t="s">
        <x:v>945</x:v>
      </x:c>
      <x:c r="B702" t="s">
        <x:v>937</x:v>
      </x:c>
      <x:c r="C702" t="s">
        <x:v>44</x:v>
      </x:c>
      <x:c r="D702">
        <x:v>45955</x:v>
      </x:c>
      <x:c r="E702" t="s">
        <x:v>187</x:v>
      </x:c>
      <x:c r="F702" t="s">
        <x:v>55</x:v>
      </x:c>
      <x:c r="G702">
        <x:v>24</x:v>
      </x:c>
      <x:c r="H702" t="s">
        <x:v>74</x:v>
      </x:c>
      <x:c r="I702">
        <x:v>9</x:v>
      </x:c>
      <x:c r="J702">
        <x:v>12</x:v>
      </x:c>
      <x:c r="K702">
        <x:v>2</x:v>
      </x:c>
      <x:c r="L702">
        <x:f t="shared" si="70"/>
        <x:v>1</x:v>
      </x:c>
      <x:c r="P702">
        <x:f t="shared" si="71"/>
        <x:v>1</x:v>
      </x:c>
      <x:c r="Q702">
        <x:f t="shared" si="72"/>
        <x:v>1</x:v>
      </x:c>
      <x:c r="R702">
        <x:f t="shared" si="73"/>
        <x:v>0</x:v>
      </x:c>
      <x:c r="S702">
        <x:f t="shared" si="74"/>
        <x:v>2</x:v>
      </x:c>
      <x:c r="T702" t="str">
        <x:f t="shared" si="75"/>
        <x:v>DerivedFromCount</x:v>
      </x:c>
      <x:c r="U702" t="str">
        <x:f>IF(COUNTIF(DailyProduction!$Q$5:$Q$100,B702)=1,"OK","CHECK")</x:f>
        <x:v>OK</x:v>
      </x:c>
      <x:c r="V702" t="str">
        <x:f t="shared" si="76"/>
        <x:v>OK</x:v>
      </x:c>
      <x:c r="W702" t="str">
        <x:f>IF(SUMIF($B$5:$B$914,B702,$S$5:$S$914)=SUMIF(DailyProduction!$Q$5:$Q$100,B702,DailyProduction!$R$5:$R$100),"OK","CHECK")</x:f>
        <x:v>OK</x:v>
      </x:c>
      <x:c r="X702" t="str">
        <x:v>PLC-PRD-JAR-720-L24</x:v>
      </x:c>
      <x:c r="Y702" t="str">
        <x:v>OK</x:v>
      </x:c>
      <x:c r="Z702" t="str">
        <x:v>OK</x:v>
      </x:c>
      <x:c r="AA702" t="n">
        <x:v>3</x:v>
      </x:c>
      <x:c r="AB702" t="n">
        <x:v>2</x:v>
      </x:c>
      <x:c r="AC702" t="str">
        <x:v>OK</x:v>
      </x:c>
      <x:c r="AD702" t="str">
        <x:v>OK</x:v>
      </x:c>
      <x:c r="AE702" t="str">
        <x:v>LOAD</x:v>
      </x:c>
      <x:c r="AF702" t="str">
        <x:v>02_Supervisor_Log(4).xlsx</x:v>
      </x:c>
      <x:c r="AG702" t="str">
        <x:v>ENH-20260830-01</x:v>
      </x:c>
      <x:c r="AH702" t="str">
        <x:v>Active</x:v>
      </x:c>
      <x:c r="AI702"/>
      <x:c r="AJ702"/>
      <x:c r="AK702"/>
      <x:c r="AL702"/>
    </x:row>
    <x:row r="703">
      <x:c r="A703" t="s">
        <x:v>946</x:v>
      </x:c>
      <x:c r="B703" t="s">
        <x:v>937</x:v>
      </x:c>
      <x:c r="C703" t="s">
        <x:v>44</x:v>
      </x:c>
      <x:c r="D703">
        <x:v>45955</x:v>
      </x:c>
      <x:c r="E703" t="s">
        <x:v>187</x:v>
      </x:c>
      <x:c r="F703" t="s">
        <x:v>55</x:v>
      </x:c>
      <x:c r="G703">
        <x:v>24</x:v>
      </x:c>
      <x:c r="H703" t="s">
        <x:v>74</x:v>
      </x:c>
      <x:c r="I703">
        <x:v>10</x:v>
      </x:c>
      <x:c r="J703">
        <x:v>12</x:v>
      </x:c>
      <x:c r="K703">
        <x:v>2</x:v>
      </x:c>
      <x:c r="L703">
        <x:f t="shared" si="70"/>
        <x:v>1</x:v>
      </x:c>
      <x:c r="P703">
        <x:f t="shared" si="71"/>
        <x:v>1</x:v>
      </x:c>
      <x:c r="Q703">
        <x:f t="shared" si="72"/>
        <x:v>1</x:v>
      </x:c>
      <x:c r="R703">
        <x:f t="shared" si="73"/>
        <x:v>0</x:v>
      </x:c>
      <x:c r="S703">
        <x:f t="shared" si="74"/>
        <x:v>2</x:v>
      </x:c>
      <x:c r="T703" t="str">
        <x:f t="shared" si="75"/>
        <x:v>DerivedFromCount</x:v>
      </x:c>
      <x:c r="U703" t="str">
        <x:f>IF(COUNTIF(DailyProduction!$Q$5:$Q$100,B703)=1,"OK","CHECK")</x:f>
        <x:v>OK</x:v>
      </x:c>
      <x:c r="V703" t="str">
        <x:f t="shared" si="76"/>
        <x:v>OK</x:v>
      </x:c>
      <x:c r="W703" t="str">
        <x:f>IF(SUMIF($B$5:$B$914,B703,$S$5:$S$914)=SUMIF(DailyProduction!$Q$5:$Q$100,B703,DailyProduction!$R$5:$R$100),"OK","CHECK")</x:f>
        <x:v>OK</x:v>
      </x:c>
      <x:c r="X703" t="str">
        <x:v>PLC-PRD-JAR-720-L24</x:v>
      </x:c>
      <x:c r="Y703" t="str">
        <x:v>OK</x:v>
      </x:c>
      <x:c r="Z703" t="str">
        <x:v>OK</x:v>
      </x:c>
      <x:c r="AA703" t="n">
        <x:v>3</x:v>
      </x:c>
      <x:c r="AB703" t="n">
        <x:v>2</x:v>
      </x:c>
      <x:c r="AC703" t="str">
        <x:v>OK</x:v>
      </x:c>
      <x:c r="AD703" t="str">
        <x:v>OK</x:v>
      </x:c>
      <x:c r="AE703" t="str">
        <x:v>LOAD</x:v>
      </x:c>
      <x:c r="AF703" t="str">
        <x:v>02_Supervisor_Log(4).xlsx</x:v>
      </x:c>
      <x:c r="AG703" t="str">
        <x:v>ENH-20260830-01</x:v>
      </x:c>
      <x:c r="AH703" t="str">
        <x:v>Active</x:v>
      </x:c>
      <x:c r="AI703"/>
      <x:c r="AJ703"/>
      <x:c r="AK703"/>
      <x:c r="AL703"/>
    </x:row>
    <x:row r="704">
      <x:c r="A704" t="s">
        <x:v>947</x:v>
      </x:c>
      <x:c r="B704" t="s">
        <x:v>937</x:v>
      </x:c>
      <x:c r="C704" t="s">
        <x:v>44</x:v>
      </x:c>
      <x:c r="D704">
        <x:v>45955</x:v>
      </x:c>
      <x:c r="E704" t="s">
        <x:v>187</x:v>
      </x:c>
      <x:c r="F704" t="s">
        <x:v>55</x:v>
      </x:c>
      <x:c r="G704">
        <x:v>24</x:v>
      </x:c>
      <x:c r="H704" t="s">
        <x:v>74</x:v>
      </x:c>
      <x:c r="I704">
        <x:v>11</x:v>
      </x:c>
      <x:c r="J704">
        <x:v>12</x:v>
      </x:c>
      <x:c r="K704">
        <x:v>2</x:v>
      </x:c>
      <x:c r="L704">
        <x:f t="shared" si="70"/>
        <x:v>1</x:v>
      </x:c>
      <x:c r="P704">
        <x:f t="shared" si="71"/>
        <x:v>1</x:v>
      </x:c>
      <x:c r="Q704">
        <x:f t="shared" si="72"/>
        <x:v>1</x:v>
      </x:c>
      <x:c r="R704">
        <x:f t="shared" si="73"/>
        <x:v>0</x:v>
      </x:c>
      <x:c r="S704">
        <x:f t="shared" si="74"/>
        <x:v>2</x:v>
      </x:c>
      <x:c r="T704" t="str">
        <x:f t="shared" si="75"/>
        <x:v>DerivedFromCount</x:v>
      </x:c>
      <x:c r="U704" t="str">
        <x:f>IF(COUNTIF(DailyProduction!$Q$5:$Q$100,B704)=1,"OK","CHECK")</x:f>
        <x:v>OK</x:v>
      </x:c>
      <x:c r="V704" t="str">
        <x:f t="shared" si="76"/>
        <x:v>OK</x:v>
      </x:c>
      <x:c r="W704" t="str">
        <x:f>IF(SUMIF($B$5:$B$914,B704,$S$5:$S$914)=SUMIF(DailyProduction!$Q$5:$Q$100,B704,DailyProduction!$R$5:$R$100),"OK","CHECK")</x:f>
        <x:v>OK</x:v>
      </x:c>
      <x:c r="X704" t="str">
        <x:v>PLC-PRD-JAR-720-L24</x:v>
      </x:c>
      <x:c r="Y704" t="str">
        <x:v>OK</x:v>
      </x:c>
      <x:c r="Z704" t="str">
        <x:v>OK</x:v>
      </x:c>
      <x:c r="AA704" t="n">
        <x:v>3</x:v>
      </x:c>
      <x:c r="AB704" t="n">
        <x:v>2</x:v>
      </x:c>
      <x:c r="AC704" t="str">
        <x:v>OK</x:v>
      </x:c>
      <x:c r="AD704" t="str">
        <x:v>OK</x:v>
      </x:c>
      <x:c r="AE704" t="str">
        <x:v>LOAD</x:v>
      </x:c>
      <x:c r="AF704" t="str">
        <x:v>02_Supervisor_Log(4).xlsx</x:v>
      </x:c>
      <x:c r="AG704" t="str">
        <x:v>ENH-20260830-01</x:v>
      </x:c>
      <x:c r="AH704" t="str">
        <x:v>Active</x:v>
      </x:c>
      <x:c r="AI704"/>
      <x:c r="AJ704"/>
      <x:c r="AK704"/>
      <x:c r="AL704"/>
    </x:row>
    <x:row r="705">
      <x:c r="A705" t="s">
        <x:v>948</x:v>
      </x:c>
      <x:c r="B705" t="s">
        <x:v>937</x:v>
      </x:c>
      <x:c r="C705" t="s">
        <x:v>44</x:v>
      </x:c>
      <x:c r="D705">
        <x:v>45955</x:v>
      </x:c>
      <x:c r="E705" t="s">
        <x:v>187</x:v>
      </x:c>
      <x:c r="F705" t="s">
        <x:v>55</x:v>
      </x:c>
      <x:c r="G705">
        <x:v>24</x:v>
      </x:c>
      <x:c r="H705" t="s">
        <x:v>74</x:v>
      </x:c>
      <x:c r="I705">
        <x:v>12</x:v>
      </x:c>
      <x:c r="J705">
        <x:v>12</x:v>
      </x:c>
      <x:c r="K705">
        <x:v>2</x:v>
      </x:c>
      <x:c r="L705">
        <x:f t="shared" si="70"/>
        <x:v>1</x:v>
      </x:c>
      <x:c r="P705">
        <x:f t="shared" si="71"/>
        <x:v>1</x:v>
      </x:c>
      <x:c r="Q705">
        <x:f t="shared" si="72"/>
        <x:v>1</x:v>
      </x:c>
      <x:c r="R705">
        <x:f t="shared" si="73"/>
        <x:v>0</x:v>
      </x:c>
      <x:c r="S705">
        <x:f t="shared" si="74"/>
        <x:v>2</x:v>
      </x:c>
      <x:c r="T705" t="str">
        <x:f t="shared" si="75"/>
        <x:v>DerivedFromCount</x:v>
      </x:c>
      <x:c r="U705" t="str">
        <x:f>IF(COUNTIF(DailyProduction!$Q$5:$Q$100,B705)=1,"OK","CHECK")</x:f>
        <x:v>OK</x:v>
      </x:c>
      <x:c r="V705" t="str">
        <x:f t="shared" si="76"/>
        <x:v>OK</x:v>
      </x:c>
      <x:c r="W705" t="str">
        <x:f>IF(SUMIF($B$5:$B$914,B705,$S$5:$S$914)=SUMIF(DailyProduction!$Q$5:$Q$100,B705,DailyProduction!$R$5:$R$100),"OK","CHECK")</x:f>
        <x:v>OK</x:v>
      </x:c>
      <x:c r="X705" t="str">
        <x:v>PLC-PRD-JAR-720-L24</x:v>
      </x:c>
      <x:c r="Y705" t="str">
        <x:v>OK</x:v>
      </x:c>
      <x:c r="Z705" t="str">
        <x:v>OK</x:v>
      </x:c>
      <x:c r="AA705" t="n">
        <x:v>3</x:v>
      </x:c>
      <x:c r="AB705" t="n">
        <x:v>2</x:v>
      </x:c>
      <x:c r="AC705" t="str">
        <x:v>OK</x:v>
      </x:c>
      <x:c r="AD705" t="str">
        <x:v>OK</x:v>
      </x:c>
      <x:c r="AE705" t="str">
        <x:v>LOAD</x:v>
      </x:c>
      <x:c r="AF705" t="str">
        <x:v>02_Supervisor_Log(4).xlsx</x:v>
      </x:c>
      <x:c r="AG705" t="str">
        <x:v>ENH-20260830-01</x:v>
      </x:c>
      <x:c r="AH705" t="str">
        <x:v>Active</x:v>
      </x:c>
      <x:c r="AI705"/>
      <x:c r="AJ705"/>
      <x:c r="AK705"/>
      <x:c r="AL705"/>
    </x:row>
    <x:row r="706">
      <x:c r="A706" t="s">
        <x:v>949</x:v>
      </x:c>
      <x:c r="B706" t="s">
        <x:v>937</x:v>
      </x:c>
      <x:c r="C706" t="s">
        <x:v>44</x:v>
      </x:c>
      <x:c r="D706">
        <x:v>45955</x:v>
      </x:c>
      <x:c r="E706" t="s">
        <x:v>187</x:v>
      </x:c>
      <x:c r="F706" t="s">
        <x:v>55</x:v>
      </x:c>
      <x:c r="G706">
        <x:v>24</x:v>
      </x:c>
      <x:c r="H706" t="s">
        <x:v>74</x:v>
      </x:c>
      <x:c r="I706">
        <x:v>13</x:v>
      </x:c>
      <x:c r="J706">
        <x:v>12</x:v>
      </x:c>
      <x:c r="K706">
        <x:v>2</x:v>
      </x:c>
      <x:c r="L706">
        <x:f t="shared" si="70"/>
        <x:v>0</x:v>
      </x:c>
      <x:c r="P706">
        <x:f t="shared" si="71"/>
        <x:v>0</x:v>
      </x:c>
      <x:c r="Q706">
        <x:f t="shared" si="72"/>
        <x:v>0</x:v>
      </x:c>
      <x:c r="R706">
        <x:f t="shared" si="73"/>
        <x:v>0</x:v>
      </x:c>
      <x:c r="S706">
        <x:f t="shared" si="74"/>
        <x:v>0</x:v>
      </x:c>
      <x:c r="T706" t="str">
        <x:f t="shared" si="75"/>
        <x:v>DerivedFromCount</x:v>
      </x:c>
      <x:c r="U706" t="str">
        <x:f>IF(COUNTIF(DailyProduction!$Q$5:$Q$100,B706)=1,"OK","CHECK")</x:f>
        <x:v>OK</x:v>
      </x:c>
      <x:c r="V706" t="str">
        <x:f t="shared" si="76"/>
        <x:v>OK</x:v>
      </x:c>
      <x:c r="W706" t="str">
        <x:f>IF(SUMIF($B$5:$B$914,B706,$S$5:$S$914)=SUMIF(DailyProduction!$Q$5:$Q$100,B706,DailyProduction!$R$5:$R$100),"OK","CHECK")</x:f>
        <x:v>OK</x:v>
      </x:c>
      <x:c r="X706" t="str">
        <x:v>PLC-PRD-JAR-720-L24</x:v>
      </x:c>
      <x:c r="Y706" t="str">
        <x:v>OK</x:v>
      </x:c>
      <x:c r="Z706" t="str">
        <x:v>OK</x:v>
      </x:c>
      <x:c r="AA706" t="n">
        <x:v>3</x:v>
      </x:c>
      <x:c r="AB706" t="n">
        <x:v>0</x:v>
      </x:c>
      <x:c r="AC706" t="str">
        <x:v>OK</x:v>
      </x:c>
      <x:c r="AD706" t="str">
        <x:v>OK</x:v>
      </x:c>
      <x:c r="AE706" t="str">
        <x:v>LOAD</x:v>
      </x:c>
      <x:c r="AF706" t="str">
        <x:v>02_Supervisor_Log(4).xlsx</x:v>
      </x:c>
      <x:c r="AG706" t="str">
        <x:v>ENH-20260830-01</x:v>
      </x:c>
      <x:c r="AH706" t="str">
        <x:v>Active</x:v>
      </x:c>
      <x:c r="AI706"/>
      <x:c r="AJ706"/>
      <x:c r="AK706"/>
      <x:c r="AL706"/>
    </x:row>
    <x:row r="707">
      <x:c r="A707" t="s">
        <x:v>950</x:v>
      </x:c>
      <x:c r="B707" t="s">
        <x:v>951</x:v>
      </x:c>
      <x:c r="C707" t="s">
        <x:v>44</x:v>
      </x:c>
      <x:c r="D707">
        <x:v>45956</x:v>
      </x:c>
      <x:c r="E707" t="s">
        <x:v>45</x:v>
      </x:c>
      <x:c r="F707" t="s">
        <x:v>55</x:v>
      </x:c>
      <x:c r="G707">
        <x:v>24</x:v>
      </x:c>
      <x:c r="H707" t="s">
        <x:v>74</x:v>
      </x:c>
      <x:c r="I707">
        <x:v>1</x:v>
      </x:c>
      <x:c r="J707">
        <x:v>12</x:v>
      </x:c>
      <x:c r="K707">
        <x:v>2</x:v>
      </x:c>
      <x:c r="L707">
        <x:f t="shared" si="70"/>
        <x:v>1</x:v>
      </x:c>
      <x:c r="P707">
        <x:f t="shared" si="71"/>
        <x:v>1</x:v>
      </x:c>
      <x:c r="Q707">
        <x:f t="shared" si="72"/>
        <x:v>1</x:v>
      </x:c>
      <x:c r="R707">
        <x:f t="shared" si="73"/>
        <x:v>0</x:v>
      </x:c>
      <x:c r="S707">
        <x:f t="shared" si="74"/>
        <x:v>2</x:v>
      </x:c>
      <x:c r="T707" t="str">
        <x:f t="shared" si="75"/>
        <x:v>DerivedFromCount</x:v>
      </x:c>
      <x:c r="U707" t="str">
        <x:f>IF(COUNTIF(DailyProduction!$Q$5:$Q$100,B707)=1,"OK","CHECK")</x:f>
        <x:v>OK</x:v>
      </x:c>
      <x:c r="V707" t="str">
        <x:f t="shared" si="76"/>
        <x:v>OK</x:v>
      </x:c>
      <x:c r="W707" t="str">
        <x:f>IF(SUMIF($B$5:$B$914,B707,$S$5:$S$914)=SUMIF(DailyProduction!$Q$5:$Q$100,B707,DailyProduction!$R$5:$R$100),"OK","CHECK")</x:f>
        <x:v>OK</x:v>
      </x:c>
      <x:c r="X707" t="str">
        <x:v>PLC-PRD-JAR-720-L24</x:v>
      </x:c>
      <x:c r="Y707" t="str">
        <x:v>OK</x:v>
      </x:c>
      <x:c r="Z707" t="str">
        <x:v>OK</x:v>
      </x:c>
      <x:c r="AA707" t="n">
        <x:v>3</x:v>
      </x:c>
      <x:c r="AB707" t="n">
        <x:v>2</x:v>
      </x:c>
      <x:c r="AC707" t="str">
        <x:v>OK</x:v>
      </x:c>
      <x:c r="AD707" t="str">
        <x:v>OK</x:v>
      </x:c>
      <x:c r="AE707" t="str">
        <x:v>LOAD</x:v>
      </x:c>
      <x:c r="AF707" t="str">
        <x:v>02_Supervisor_Log(4).xlsx</x:v>
      </x:c>
      <x:c r="AG707" t="str">
        <x:v>ENH-20260830-01</x:v>
      </x:c>
      <x:c r="AH707" t="str">
        <x:v>Active</x:v>
      </x:c>
      <x:c r="AI707"/>
      <x:c r="AJ707"/>
      <x:c r="AK707"/>
      <x:c r="AL707"/>
    </x:row>
    <x:row r="708">
      <x:c r="A708" t="s">
        <x:v>952</x:v>
      </x:c>
      <x:c r="B708" t="s">
        <x:v>951</x:v>
      </x:c>
      <x:c r="C708" t="s">
        <x:v>44</x:v>
      </x:c>
      <x:c r="D708">
        <x:v>45956</x:v>
      </x:c>
      <x:c r="E708" t="s">
        <x:v>45</x:v>
      </x:c>
      <x:c r="F708" t="s">
        <x:v>55</x:v>
      </x:c>
      <x:c r="G708">
        <x:v>24</x:v>
      </x:c>
      <x:c r="H708" t="s">
        <x:v>74</x:v>
      </x:c>
      <x:c r="I708">
        <x:v>2</x:v>
      </x:c>
      <x:c r="J708">
        <x:v>12</x:v>
      </x:c>
      <x:c r="K708">
        <x:v>2</x:v>
      </x:c>
      <x:c r="L708">
        <x:f t="shared" si="70"/>
        <x:v>1</x:v>
      </x:c>
      <x:c r="P708">
        <x:f t="shared" si="71"/>
        <x:v>1</x:v>
      </x:c>
      <x:c r="Q708">
        <x:f t="shared" si="72"/>
        <x:v>1</x:v>
      </x:c>
      <x:c r="R708">
        <x:f t="shared" si="73"/>
        <x:v>0</x:v>
      </x:c>
      <x:c r="S708">
        <x:f t="shared" si="74"/>
        <x:v>2</x:v>
      </x:c>
      <x:c r="T708" t="str">
        <x:f t="shared" si="75"/>
        <x:v>DerivedFromCount</x:v>
      </x:c>
      <x:c r="U708" t="str">
        <x:f>IF(COUNTIF(DailyProduction!$Q$5:$Q$100,B708)=1,"OK","CHECK")</x:f>
        <x:v>OK</x:v>
      </x:c>
      <x:c r="V708" t="str">
        <x:f t="shared" si="76"/>
        <x:v>OK</x:v>
      </x:c>
      <x:c r="W708" t="str">
        <x:f>IF(SUMIF($B$5:$B$914,B708,$S$5:$S$914)=SUMIF(DailyProduction!$Q$5:$Q$100,B708,DailyProduction!$R$5:$R$100),"OK","CHECK")</x:f>
        <x:v>OK</x:v>
      </x:c>
      <x:c r="X708" t="str">
        <x:v>PLC-PRD-JAR-720-L24</x:v>
      </x:c>
      <x:c r="Y708" t="str">
        <x:v>OK</x:v>
      </x:c>
      <x:c r="Z708" t="str">
        <x:v>OK</x:v>
      </x:c>
      <x:c r="AA708" t="n">
        <x:v>3</x:v>
      </x:c>
      <x:c r="AB708" t="n">
        <x:v>2</x:v>
      </x:c>
      <x:c r="AC708" t="str">
        <x:v>OK</x:v>
      </x:c>
      <x:c r="AD708" t="str">
        <x:v>OK</x:v>
      </x:c>
      <x:c r="AE708" t="str">
        <x:v>LOAD</x:v>
      </x:c>
      <x:c r="AF708" t="str">
        <x:v>02_Supervisor_Log(4).xlsx</x:v>
      </x:c>
      <x:c r="AG708" t="str">
        <x:v>ENH-20260830-01</x:v>
      </x:c>
      <x:c r="AH708" t="str">
        <x:v>Active</x:v>
      </x:c>
      <x:c r="AI708"/>
      <x:c r="AJ708"/>
      <x:c r="AK708"/>
      <x:c r="AL708"/>
    </x:row>
    <x:row r="709">
      <x:c r="A709" t="s">
        <x:v>953</x:v>
      </x:c>
      <x:c r="B709" t="s">
        <x:v>951</x:v>
      </x:c>
      <x:c r="C709" t="s">
        <x:v>44</x:v>
      </x:c>
      <x:c r="D709">
        <x:v>45956</x:v>
      </x:c>
      <x:c r="E709" t="s">
        <x:v>45</x:v>
      </x:c>
      <x:c r="F709" t="s">
        <x:v>55</x:v>
      </x:c>
      <x:c r="G709">
        <x:v>24</x:v>
      </x:c>
      <x:c r="H709" t="s">
        <x:v>74</x:v>
      </x:c>
      <x:c r="I709">
        <x:v>3</x:v>
      </x:c>
      <x:c r="J709">
        <x:v>12</x:v>
      </x:c>
      <x:c r="K709">
        <x:v>2</x:v>
      </x:c>
      <x:c r="L709" t="n">
        <x:f t="shared" ref="L709:L772" si="77">IF(I709&lt;=J709,1,0)</x:f>
        <x:v>1</x:v>
      </x:c>
      <x:c r="P709" t="n">
        <x:f t="shared" ref="P709:P772" si="78">IF(M709="",IF(AND(L709=1,K709&gt;=1),1,0),M709)</x:f>
        <x:v>1</x:v>
      </x:c>
      <x:c r="Q709" t="n">
        <x:f t="shared" ref="Q709:Q772" si="79">IF(N709="",IF(AND(L709=1,K709&gt;=2),1,0),N709)</x:f>
        <x:v>1</x:v>
      </x:c>
      <x:c r="R709" t="n">
        <x:f t="shared" ref="R709:R772" si="80">IF(O709="",IF(AND(L709=1,K709&gt;=3),1,0),O709)</x:f>
        <x:v>0</x:v>
      </x:c>
      <x:c r="S709" t="n">
        <x:f t="shared" ref="S709:S772" si="81">SUM(P709:R709)</x:f>
        <x:v>2</x:v>
      </x:c>
      <x:c r="T709" t="str">
        <x:f t="shared" ref="T709:T772" si="82">IF(COUNTA(M709:O709)=0,"DerivedFromCount","ManualOverride")</x:f>
        <x:v>DerivedFromCount</x:v>
      </x:c>
      <x:c r="U709" t="str">
        <x:f>IF(COUNTIF(DailyProduction!$Q$5:$Q$100,B709)=1,"OK","CHECK")</x:f>
        <x:v>OK</x:v>
      </x:c>
      <x:c r="V709" t="str">
        <x:f t="shared" ref="V709:V772" si="83">IF(AND(I709&gt;=1,I709&lt;=13,K709&gt;=1,K709&lt;=3),"OK","CHECK")</x:f>
        <x:v>OK</x:v>
      </x:c>
      <x:c r="W709" t="str">
        <x:f>IF(SUMIF($B$5:$B$914,B709,$S$5:$S$914)=SUMIF(DailyProduction!$Q$5:$Q$100,B709,DailyProduction!$R$5:$R$100),"OK","CHECK")</x:f>
        <x:v>OK</x:v>
      </x:c>
      <x:c r="X709" t="str">
        <x:v>PLC-PRD-JAR-720-L24</x:v>
      </x:c>
      <x:c r="Y709" t="str">
        <x:v>OK</x:v>
      </x:c>
      <x:c r="Z709" t="str">
        <x:v>OK</x:v>
      </x:c>
      <x:c r="AA709" t="n">
        <x:v>3</x:v>
      </x:c>
      <x:c r="AB709" t="n">
        <x:v>2</x:v>
      </x:c>
      <x:c r="AC709" t="str">
        <x:v>OK</x:v>
      </x:c>
      <x:c r="AD709" t="str">
        <x:v>OK</x:v>
      </x:c>
      <x:c r="AE709" t="str">
        <x:v>LOAD</x:v>
      </x:c>
      <x:c r="AF709" t="str">
        <x:v>02_Supervisor_Log(4).xlsx</x:v>
      </x:c>
      <x:c r="AG709" t="str">
        <x:v>ENH-20260830-01</x:v>
      </x:c>
      <x:c r="AH709" t="str">
        <x:v>Active</x:v>
      </x:c>
      <x:c r="AI709"/>
      <x:c r="AJ709"/>
      <x:c r="AK709"/>
      <x:c r="AL709"/>
    </x:row>
    <x:row r="710">
      <x:c r="A710" t="s">
        <x:v>954</x:v>
      </x:c>
      <x:c r="B710" t="s">
        <x:v>951</x:v>
      </x:c>
      <x:c r="C710" t="s">
        <x:v>44</x:v>
      </x:c>
      <x:c r="D710">
        <x:v>45956</x:v>
      </x:c>
      <x:c r="E710" t="s">
        <x:v>45</x:v>
      </x:c>
      <x:c r="F710" t="s">
        <x:v>55</x:v>
      </x:c>
      <x:c r="G710">
        <x:v>24</x:v>
      </x:c>
      <x:c r="H710" t="s">
        <x:v>74</x:v>
      </x:c>
      <x:c r="I710">
        <x:v>4</x:v>
      </x:c>
      <x:c r="J710">
        <x:v>12</x:v>
      </x:c>
      <x:c r="K710">
        <x:v>2</x:v>
      </x:c>
      <x:c r="L710">
        <x:f t="shared" si="77"/>
        <x:v>1</x:v>
      </x:c>
      <x:c r="P710">
        <x:f t="shared" si="78"/>
        <x:v>1</x:v>
      </x:c>
      <x:c r="Q710">
        <x:f t="shared" si="79"/>
        <x:v>1</x:v>
      </x:c>
      <x:c r="R710">
        <x:f t="shared" si="80"/>
        <x:v>0</x:v>
      </x:c>
      <x:c r="S710">
        <x:f t="shared" si="81"/>
        <x:v>2</x:v>
      </x:c>
      <x:c r="T710" t="str">
        <x:f t="shared" si="82"/>
        <x:v>DerivedFromCount</x:v>
      </x:c>
      <x:c r="U710" t="str">
        <x:f>IF(COUNTIF(DailyProduction!$Q$5:$Q$100,B710)=1,"OK","CHECK")</x:f>
        <x:v>OK</x:v>
      </x:c>
      <x:c r="V710" t="str">
        <x:f t="shared" si="83"/>
        <x:v>OK</x:v>
      </x:c>
      <x:c r="W710" t="str">
        <x:f>IF(SUMIF($B$5:$B$914,B710,$S$5:$S$914)=SUMIF(DailyProduction!$Q$5:$Q$100,B710,DailyProduction!$R$5:$R$100),"OK","CHECK")</x:f>
        <x:v>OK</x:v>
      </x:c>
      <x:c r="X710" t="str">
        <x:v>PLC-PRD-JAR-720-L24</x:v>
      </x:c>
      <x:c r="Y710" t="str">
        <x:v>OK</x:v>
      </x:c>
      <x:c r="Z710" t="str">
        <x:v>OK</x:v>
      </x:c>
      <x:c r="AA710" t="n">
        <x:v>3</x:v>
      </x:c>
      <x:c r="AB710" t="n">
        <x:v>2</x:v>
      </x:c>
      <x:c r="AC710" t="str">
        <x:v>OK</x:v>
      </x:c>
      <x:c r="AD710" t="str">
        <x:v>OK</x:v>
      </x:c>
      <x:c r="AE710" t="str">
        <x:v>LOAD</x:v>
      </x:c>
      <x:c r="AF710" t="str">
        <x:v>02_Supervisor_Log(4).xlsx</x:v>
      </x:c>
      <x:c r="AG710" t="str">
        <x:v>ENH-20260830-01</x:v>
      </x:c>
      <x:c r="AH710" t="str">
        <x:v>Active</x:v>
      </x:c>
      <x:c r="AI710"/>
      <x:c r="AJ710"/>
      <x:c r="AK710"/>
      <x:c r="AL710"/>
    </x:row>
    <x:row r="711">
      <x:c r="A711" t="s">
        <x:v>955</x:v>
      </x:c>
      <x:c r="B711" t="s">
        <x:v>951</x:v>
      </x:c>
      <x:c r="C711" t="s">
        <x:v>44</x:v>
      </x:c>
      <x:c r="D711">
        <x:v>45956</x:v>
      </x:c>
      <x:c r="E711" t="s">
        <x:v>45</x:v>
      </x:c>
      <x:c r="F711" t="s">
        <x:v>55</x:v>
      </x:c>
      <x:c r="G711">
        <x:v>24</x:v>
      </x:c>
      <x:c r="H711" t="s">
        <x:v>74</x:v>
      </x:c>
      <x:c r="I711">
        <x:v>5</x:v>
      </x:c>
      <x:c r="J711">
        <x:v>12</x:v>
      </x:c>
      <x:c r="K711">
        <x:v>2</x:v>
      </x:c>
      <x:c r="L711">
        <x:f t="shared" si="77"/>
        <x:v>1</x:v>
      </x:c>
      <x:c r="P711">
        <x:f t="shared" si="78"/>
        <x:v>1</x:v>
      </x:c>
      <x:c r="Q711">
        <x:f t="shared" si="79"/>
        <x:v>1</x:v>
      </x:c>
      <x:c r="R711">
        <x:f t="shared" si="80"/>
        <x:v>0</x:v>
      </x:c>
      <x:c r="S711">
        <x:f t="shared" si="81"/>
        <x:v>2</x:v>
      </x:c>
      <x:c r="T711" t="str">
        <x:f t="shared" si="82"/>
        <x:v>DerivedFromCount</x:v>
      </x:c>
      <x:c r="U711" t="str">
        <x:f>IF(COUNTIF(DailyProduction!$Q$5:$Q$100,B711)=1,"OK","CHECK")</x:f>
        <x:v>OK</x:v>
      </x:c>
      <x:c r="V711" t="str">
        <x:f t="shared" si="83"/>
        <x:v>OK</x:v>
      </x:c>
      <x:c r="W711" t="str">
        <x:f>IF(SUMIF($B$5:$B$914,B711,$S$5:$S$914)=SUMIF(DailyProduction!$Q$5:$Q$100,B711,DailyProduction!$R$5:$R$100),"OK","CHECK")</x:f>
        <x:v>OK</x:v>
      </x:c>
      <x:c r="X711" t="str">
        <x:v>PLC-PRD-JAR-720-L24</x:v>
      </x:c>
      <x:c r="Y711" t="str">
        <x:v>OK</x:v>
      </x:c>
      <x:c r="Z711" t="str">
        <x:v>OK</x:v>
      </x:c>
      <x:c r="AA711" t="n">
        <x:v>3</x:v>
      </x:c>
      <x:c r="AB711" t="n">
        <x:v>2</x:v>
      </x:c>
      <x:c r="AC711" t="str">
        <x:v>OK</x:v>
      </x:c>
      <x:c r="AD711" t="str">
        <x:v>OK</x:v>
      </x:c>
      <x:c r="AE711" t="str">
        <x:v>LOAD</x:v>
      </x:c>
      <x:c r="AF711" t="str">
        <x:v>02_Supervisor_Log(4).xlsx</x:v>
      </x:c>
      <x:c r="AG711" t="str">
        <x:v>ENH-20260830-01</x:v>
      </x:c>
      <x:c r="AH711" t="str">
        <x:v>Active</x:v>
      </x:c>
      <x:c r="AI711"/>
      <x:c r="AJ711"/>
      <x:c r="AK711"/>
      <x:c r="AL711"/>
    </x:row>
    <x:row r="712">
      <x:c r="A712" t="s">
        <x:v>956</x:v>
      </x:c>
      <x:c r="B712" t="s">
        <x:v>951</x:v>
      </x:c>
      <x:c r="C712" t="s">
        <x:v>44</x:v>
      </x:c>
      <x:c r="D712">
        <x:v>45956</x:v>
      </x:c>
      <x:c r="E712" t="s">
        <x:v>45</x:v>
      </x:c>
      <x:c r="F712" t="s">
        <x:v>55</x:v>
      </x:c>
      <x:c r="G712">
        <x:v>24</x:v>
      </x:c>
      <x:c r="H712" t="s">
        <x:v>74</x:v>
      </x:c>
      <x:c r="I712">
        <x:v>6</x:v>
      </x:c>
      <x:c r="J712">
        <x:v>12</x:v>
      </x:c>
      <x:c r="K712">
        <x:v>2</x:v>
      </x:c>
      <x:c r="L712">
        <x:f t="shared" si="77"/>
        <x:v>1</x:v>
      </x:c>
      <x:c r="P712">
        <x:f t="shared" si="78"/>
        <x:v>1</x:v>
      </x:c>
      <x:c r="Q712">
        <x:f t="shared" si="79"/>
        <x:v>1</x:v>
      </x:c>
      <x:c r="R712">
        <x:f t="shared" si="80"/>
        <x:v>0</x:v>
      </x:c>
      <x:c r="S712">
        <x:f t="shared" si="81"/>
        <x:v>2</x:v>
      </x:c>
      <x:c r="T712" t="str">
        <x:f t="shared" si="82"/>
        <x:v>DerivedFromCount</x:v>
      </x:c>
      <x:c r="U712" t="str">
        <x:f>IF(COUNTIF(DailyProduction!$Q$5:$Q$100,B712)=1,"OK","CHECK")</x:f>
        <x:v>OK</x:v>
      </x:c>
      <x:c r="V712" t="str">
        <x:f t="shared" si="83"/>
        <x:v>OK</x:v>
      </x:c>
      <x:c r="W712" t="str">
        <x:f>IF(SUMIF($B$5:$B$914,B712,$S$5:$S$914)=SUMIF(DailyProduction!$Q$5:$Q$100,B712,DailyProduction!$R$5:$R$100),"OK","CHECK")</x:f>
        <x:v>OK</x:v>
      </x:c>
      <x:c r="X712" t="str">
        <x:v>PLC-PRD-JAR-720-L24</x:v>
      </x:c>
      <x:c r="Y712" t="str">
        <x:v>OK</x:v>
      </x:c>
      <x:c r="Z712" t="str">
        <x:v>OK</x:v>
      </x:c>
      <x:c r="AA712" t="n">
        <x:v>3</x:v>
      </x:c>
      <x:c r="AB712" t="n">
        <x:v>2</x:v>
      </x:c>
      <x:c r="AC712" t="str">
        <x:v>OK</x:v>
      </x:c>
      <x:c r="AD712" t="str">
        <x:v>OK</x:v>
      </x:c>
      <x:c r="AE712" t="str">
        <x:v>LOAD</x:v>
      </x:c>
      <x:c r="AF712" t="str">
        <x:v>02_Supervisor_Log(4).xlsx</x:v>
      </x:c>
      <x:c r="AG712" t="str">
        <x:v>ENH-20260830-01</x:v>
      </x:c>
      <x:c r="AH712" t="str">
        <x:v>Active</x:v>
      </x:c>
      <x:c r="AI712"/>
      <x:c r="AJ712"/>
      <x:c r="AK712"/>
      <x:c r="AL712"/>
    </x:row>
    <x:row r="713">
      <x:c r="A713" t="s">
        <x:v>957</x:v>
      </x:c>
      <x:c r="B713" t="s">
        <x:v>951</x:v>
      </x:c>
      <x:c r="C713" t="s">
        <x:v>44</x:v>
      </x:c>
      <x:c r="D713">
        <x:v>45956</x:v>
      </x:c>
      <x:c r="E713" t="s">
        <x:v>45</x:v>
      </x:c>
      <x:c r="F713" t="s">
        <x:v>55</x:v>
      </x:c>
      <x:c r="G713">
        <x:v>24</x:v>
      </x:c>
      <x:c r="H713" t="s">
        <x:v>74</x:v>
      </x:c>
      <x:c r="I713">
        <x:v>7</x:v>
      </x:c>
      <x:c r="J713">
        <x:v>12</x:v>
      </x:c>
      <x:c r="K713">
        <x:v>2</x:v>
      </x:c>
      <x:c r="L713">
        <x:f t="shared" si="77"/>
        <x:v>1</x:v>
      </x:c>
      <x:c r="P713">
        <x:f t="shared" si="78"/>
        <x:v>1</x:v>
      </x:c>
      <x:c r="Q713">
        <x:f t="shared" si="79"/>
        <x:v>1</x:v>
      </x:c>
      <x:c r="R713">
        <x:f t="shared" si="80"/>
        <x:v>0</x:v>
      </x:c>
      <x:c r="S713">
        <x:f t="shared" si="81"/>
        <x:v>2</x:v>
      </x:c>
      <x:c r="T713" t="str">
        <x:f t="shared" si="82"/>
        <x:v>DerivedFromCount</x:v>
      </x:c>
      <x:c r="U713" t="str">
        <x:f>IF(COUNTIF(DailyProduction!$Q$5:$Q$100,B713)=1,"OK","CHECK")</x:f>
        <x:v>OK</x:v>
      </x:c>
      <x:c r="V713" t="str">
        <x:f t="shared" si="83"/>
        <x:v>OK</x:v>
      </x:c>
      <x:c r="W713" t="str">
        <x:f>IF(SUMIF($B$5:$B$914,B713,$S$5:$S$914)=SUMIF(DailyProduction!$Q$5:$Q$100,B713,DailyProduction!$R$5:$R$100),"OK","CHECK")</x:f>
        <x:v>OK</x:v>
      </x:c>
      <x:c r="X713" t="str">
        <x:v>PLC-PRD-JAR-720-L24</x:v>
      </x:c>
      <x:c r="Y713" t="str">
        <x:v>OK</x:v>
      </x:c>
      <x:c r="Z713" t="str">
        <x:v>OK</x:v>
      </x:c>
      <x:c r="AA713" t="n">
        <x:v>3</x:v>
      </x:c>
      <x:c r="AB713" t="n">
        <x:v>2</x:v>
      </x:c>
      <x:c r="AC713" t="str">
        <x:v>OK</x:v>
      </x:c>
      <x:c r="AD713" t="str">
        <x:v>OK</x:v>
      </x:c>
      <x:c r="AE713" t="str">
        <x:v>LOAD</x:v>
      </x:c>
      <x:c r="AF713" t="str">
        <x:v>02_Supervisor_Log(4).xlsx</x:v>
      </x:c>
      <x:c r="AG713" t="str">
        <x:v>ENH-20260830-01</x:v>
      </x:c>
      <x:c r="AH713" t="str">
        <x:v>Active</x:v>
      </x:c>
      <x:c r="AI713"/>
      <x:c r="AJ713"/>
      <x:c r="AK713"/>
      <x:c r="AL713"/>
    </x:row>
    <x:row r="714">
      <x:c r="A714" t="s">
        <x:v>958</x:v>
      </x:c>
      <x:c r="B714" t="s">
        <x:v>951</x:v>
      </x:c>
      <x:c r="C714" t="s">
        <x:v>44</x:v>
      </x:c>
      <x:c r="D714">
        <x:v>45956</x:v>
      </x:c>
      <x:c r="E714" t="s">
        <x:v>45</x:v>
      </x:c>
      <x:c r="F714" t="s">
        <x:v>55</x:v>
      </x:c>
      <x:c r="G714">
        <x:v>24</x:v>
      </x:c>
      <x:c r="H714" t="s">
        <x:v>74</x:v>
      </x:c>
      <x:c r="I714">
        <x:v>8</x:v>
      </x:c>
      <x:c r="J714">
        <x:v>12</x:v>
      </x:c>
      <x:c r="K714">
        <x:v>2</x:v>
      </x:c>
      <x:c r="L714">
        <x:f t="shared" si="77"/>
        <x:v>1</x:v>
      </x:c>
      <x:c r="P714">
        <x:f t="shared" si="78"/>
        <x:v>1</x:v>
      </x:c>
      <x:c r="Q714">
        <x:f t="shared" si="79"/>
        <x:v>1</x:v>
      </x:c>
      <x:c r="R714">
        <x:f t="shared" si="80"/>
        <x:v>0</x:v>
      </x:c>
      <x:c r="S714">
        <x:f t="shared" si="81"/>
        <x:v>2</x:v>
      </x:c>
      <x:c r="T714" t="str">
        <x:f t="shared" si="82"/>
        <x:v>DerivedFromCount</x:v>
      </x:c>
      <x:c r="U714" t="str">
        <x:f>IF(COUNTIF(DailyProduction!$Q$5:$Q$100,B714)=1,"OK","CHECK")</x:f>
        <x:v>OK</x:v>
      </x:c>
      <x:c r="V714" t="str">
        <x:f t="shared" si="83"/>
        <x:v>OK</x:v>
      </x:c>
      <x:c r="W714" t="str">
        <x:f>IF(SUMIF($B$5:$B$914,B714,$S$5:$S$914)=SUMIF(DailyProduction!$Q$5:$Q$100,B714,DailyProduction!$R$5:$R$100),"OK","CHECK")</x:f>
        <x:v>OK</x:v>
      </x:c>
      <x:c r="X714" t="str">
        <x:v>PLC-PRD-JAR-720-L24</x:v>
      </x:c>
      <x:c r="Y714" t="str">
        <x:v>OK</x:v>
      </x:c>
      <x:c r="Z714" t="str">
        <x:v>OK</x:v>
      </x:c>
      <x:c r="AA714" t="n">
        <x:v>3</x:v>
      </x:c>
      <x:c r="AB714" t="n">
        <x:v>2</x:v>
      </x:c>
      <x:c r="AC714" t="str">
        <x:v>OK</x:v>
      </x:c>
      <x:c r="AD714" t="str">
        <x:v>OK</x:v>
      </x:c>
      <x:c r="AE714" t="str">
        <x:v>LOAD</x:v>
      </x:c>
      <x:c r="AF714" t="str">
        <x:v>02_Supervisor_Log(4).xlsx</x:v>
      </x:c>
      <x:c r="AG714" t="str">
        <x:v>ENH-20260830-01</x:v>
      </x:c>
      <x:c r="AH714" t="str">
        <x:v>Active</x:v>
      </x:c>
      <x:c r="AI714"/>
      <x:c r="AJ714"/>
      <x:c r="AK714"/>
      <x:c r="AL714"/>
    </x:row>
    <x:row r="715">
      <x:c r="A715" t="s">
        <x:v>959</x:v>
      </x:c>
      <x:c r="B715" t="s">
        <x:v>951</x:v>
      </x:c>
      <x:c r="C715" t="s">
        <x:v>44</x:v>
      </x:c>
      <x:c r="D715">
        <x:v>45956</x:v>
      </x:c>
      <x:c r="E715" t="s">
        <x:v>45</x:v>
      </x:c>
      <x:c r="F715" t="s">
        <x:v>55</x:v>
      </x:c>
      <x:c r="G715">
        <x:v>24</x:v>
      </x:c>
      <x:c r="H715" t="s">
        <x:v>74</x:v>
      </x:c>
      <x:c r="I715">
        <x:v>9</x:v>
      </x:c>
      <x:c r="J715">
        <x:v>12</x:v>
      </x:c>
      <x:c r="K715">
        <x:v>2</x:v>
      </x:c>
      <x:c r="L715">
        <x:f t="shared" si="77"/>
        <x:v>1</x:v>
      </x:c>
      <x:c r="P715">
        <x:f t="shared" si="78"/>
        <x:v>1</x:v>
      </x:c>
      <x:c r="Q715">
        <x:f t="shared" si="79"/>
        <x:v>1</x:v>
      </x:c>
      <x:c r="R715">
        <x:f t="shared" si="80"/>
        <x:v>0</x:v>
      </x:c>
      <x:c r="S715">
        <x:f t="shared" si="81"/>
        <x:v>2</x:v>
      </x:c>
      <x:c r="T715" t="str">
        <x:f t="shared" si="82"/>
        <x:v>DerivedFromCount</x:v>
      </x:c>
      <x:c r="U715" t="str">
        <x:f>IF(COUNTIF(DailyProduction!$Q$5:$Q$100,B715)=1,"OK","CHECK")</x:f>
        <x:v>OK</x:v>
      </x:c>
      <x:c r="V715" t="str">
        <x:f t="shared" si="83"/>
        <x:v>OK</x:v>
      </x:c>
      <x:c r="W715" t="str">
        <x:f>IF(SUMIF($B$5:$B$914,B715,$S$5:$S$914)=SUMIF(DailyProduction!$Q$5:$Q$100,B715,DailyProduction!$R$5:$R$100),"OK","CHECK")</x:f>
        <x:v>OK</x:v>
      </x:c>
      <x:c r="X715" t="str">
        <x:v>PLC-PRD-JAR-720-L24</x:v>
      </x:c>
      <x:c r="Y715" t="str">
        <x:v>OK</x:v>
      </x:c>
      <x:c r="Z715" t="str">
        <x:v>OK</x:v>
      </x:c>
      <x:c r="AA715" t="n">
        <x:v>3</x:v>
      </x:c>
      <x:c r="AB715" t="n">
        <x:v>2</x:v>
      </x:c>
      <x:c r="AC715" t="str">
        <x:v>OK</x:v>
      </x:c>
      <x:c r="AD715" t="str">
        <x:v>OK</x:v>
      </x:c>
      <x:c r="AE715" t="str">
        <x:v>LOAD</x:v>
      </x:c>
      <x:c r="AF715" t="str">
        <x:v>02_Supervisor_Log(4).xlsx</x:v>
      </x:c>
      <x:c r="AG715" t="str">
        <x:v>ENH-20260830-01</x:v>
      </x:c>
      <x:c r="AH715" t="str">
        <x:v>Active</x:v>
      </x:c>
      <x:c r="AI715"/>
      <x:c r="AJ715"/>
      <x:c r="AK715"/>
      <x:c r="AL715"/>
    </x:row>
    <x:row r="716">
      <x:c r="A716" t="s">
        <x:v>960</x:v>
      </x:c>
      <x:c r="B716" t="s">
        <x:v>951</x:v>
      </x:c>
      <x:c r="C716" t="s">
        <x:v>44</x:v>
      </x:c>
      <x:c r="D716">
        <x:v>45956</x:v>
      </x:c>
      <x:c r="E716" t="s">
        <x:v>45</x:v>
      </x:c>
      <x:c r="F716" t="s">
        <x:v>55</x:v>
      </x:c>
      <x:c r="G716">
        <x:v>24</x:v>
      </x:c>
      <x:c r="H716" t="s">
        <x:v>74</x:v>
      </x:c>
      <x:c r="I716">
        <x:v>10</x:v>
      </x:c>
      <x:c r="J716">
        <x:v>12</x:v>
      </x:c>
      <x:c r="K716">
        <x:v>2</x:v>
      </x:c>
      <x:c r="L716">
        <x:f t="shared" si="77"/>
        <x:v>1</x:v>
      </x:c>
      <x:c r="P716">
        <x:f t="shared" si="78"/>
        <x:v>1</x:v>
      </x:c>
      <x:c r="Q716">
        <x:f t="shared" si="79"/>
        <x:v>1</x:v>
      </x:c>
      <x:c r="R716">
        <x:f t="shared" si="80"/>
        <x:v>0</x:v>
      </x:c>
      <x:c r="S716">
        <x:f t="shared" si="81"/>
        <x:v>2</x:v>
      </x:c>
      <x:c r="T716" t="str">
        <x:f t="shared" si="82"/>
        <x:v>DerivedFromCount</x:v>
      </x:c>
      <x:c r="U716" t="str">
        <x:f>IF(COUNTIF(DailyProduction!$Q$5:$Q$100,B716)=1,"OK","CHECK")</x:f>
        <x:v>OK</x:v>
      </x:c>
      <x:c r="V716" t="str">
        <x:f t="shared" si="83"/>
        <x:v>OK</x:v>
      </x:c>
      <x:c r="W716" t="str">
        <x:f>IF(SUMIF($B$5:$B$914,B716,$S$5:$S$914)=SUMIF(DailyProduction!$Q$5:$Q$100,B716,DailyProduction!$R$5:$R$100),"OK","CHECK")</x:f>
        <x:v>OK</x:v>
      </x:c>
      <x:c r="X716" t="str">
        <x:v>PLC-PRD-JAR-720-L24</x:v>
      </x:c>
      <x:c r="Y716" t="str">
        <x:v>OK</x:v>
      </x:c>
      <x:c r="Z716" t="str">
        <x:v>OK</x:v>
      </x:c>
      <x:c r="AA716" t="n">
        <x:v>3</x:v>
      </x:c>
      <x:c r="AB716" t="n">
        <x:v>2</x:v>
      </x:c>
      <x:c r="AC716" t="str">
        <x:v>OK</x:v>
      </x:c>
      <x:c r="AD716" t="str">
        <x:v>OK</x:v>
      </x:c>
      <x:c r="AE716" t="str">
        <x:v>LOAD</x:v>
      </x:c>
      <x:c r="AF716" t="str">
        <x:v>02_Supervisor_Log(4).xlsx</x:v>
      </x:c>
      <x:c r="AG716" t="str">
        <x:v>ENH-20260830-01</x:v>
      </x:c>
      <x:c r="AH716" t="str">
        <x:v>Active</x:v>
      </x:c>
      <x:c r="AI716"/>
      <x:c r="AJ716"/>
      <x:c r="AK716"/>
      <x:c r="AL716"/>
    </x:row>
    <x:row r="717">
      <x:c r="A717" t="s">
        <x:v>961</x:v>
      </x:c>
      <x:c r="B717" t="s">
        <x:v>951</x:v>
      </x:c>
      <x:c r="C717" t="s">
        <x:v>44</x:v>
      </x:c>
      <x:c r="D717">
        <x:v>45956</x:v>
      </x:c>
      <x:c r="E717" t="s">
        <x:v>45</x:v>
      </x:c>
      <x:c r="F717" t="s">
        <x:v>55</x:v>
      </x:c>
      <x:c r="G717">
        <x:v>24</x:v>
      </x:c>
      <x:c r="H717" t="s">
        <x:v>74</x:v>
      </x:c>
      <x:c r="I717">
        <x:v>11</x:v>
      </x:c>
      <x:c r="J717">
        <x:v>12</x:v>
      </x:c>
      <x:c r="K717">
        <x:v>2</x:v>
      </x:c>
      <x:c r="L717">
        <x:f t="shared" si="77"/>
        <x:v>1</x:v>
      </x:c>
      <x:c r="P717">
        <x:f t="shared" si="78"/>
        <x:v>1</x:v>
      </x:c>
      <x:c r="Q717">
        <x:f t="shared" si="79"/>
        <x:v>1</x:v>
      </x:c>
      <x:c r="R717">
        <x:f t="shared" si="80"/>
        <x:v>0</x:v>
      </x:c>
      <x:c r="S717">
        <x:f t="shared" si="81"/>
        <x:v>2</x:v>
      </x:c>
      <x:c r="T717" t="str">
        <x:f t="shared" si="82"/>
        <x:v>DerivedFromCount</x:v>
      </x:c>
      <x:c r="U717" t="str">
        <x:f>IF(COUNTIF(DailyProduction!$Q$5:$Q$100,B717)=1,"OK","CHECK")</x:f>
        <x:v>OK</x:v>
      </x:c>
      <x:c r="V717" t="str">
        <x:f t="shared" si="83"/>
        <x:v>OK</x:v>
      </x:c>
      <x:c r="W717" t="str">
        <x:f>IF(SUMIF($B$5:$B$914,B717,$S$5:$S$914)=SUMIF(DailyProduction!$Q$5:$Q$100,B717,DailyProduction!$R$5:$R$100),"OK","CHECK")</x:f>
        <x:v>OK</x:v>
      </x:c>
      <x:c r="X717" t="str">
        <x:v>PLC-PRD-JAR-720-L24</x:v>
      </x:c>
      <x:c r="Y717" t="str">
        <x:v>OK</x:v>
      </x:c>
      <x:c r="Z717" t="str">
        <x:v>OK</x:v>
      </x:c>
      <x:c r="AA717" t="n">
        <x:v>3</x:v>
      </x:c>
      <x:c r="AB717" t="n">
        <x:v>2</x:v>
      </x:c>
      <x:c r="AC717" t="str">
        <x:v>OK</x:v>
      </x:c>
      <x:c r="AD717" t="str">
        <x:v>OK</x:v>
      </x:c>
      <x:c r="AE717" t="str">
        <x:v>LOAD</x:v>
      </x:c>
      <x:c r="AF717" t="str">
        <x:v>02_Supervisor_Log(4).xlsx</x:v>
      </x:c>
      <x:c r="AG717" t="str">
        <x:v>ENH-20260830-01</x:v>
      </x:c>
      <x:c r="AH717" t="str">
        <x:v>Active</x:v>
      </x:c>
      <x:c r="AI717"/>
      <x:c r="AJ717"/>
      <x:c r="AK717"/>
      <x:c r="AL717"/>
    </x:row>
    <x:row r="718">
      <x:c r="A718" t="s">
        <x:v>962</x:v>
      </x:c>
      <x:c r="B718" t="s">
        <x:v>951</x:v>
      </x:c>
      <x:c r="C718" t="s">
        <x:v>44</x:v>
      </x:c>
      <x:c r="D718">
        <x:v>45956</x:v>
      </x:c>
      <x:c r="E718" t="s">
        <x:v>45</x:v>
      </x:c>
      <x:c r="F718" t="s">
        <x:v>55</x:v>
      </x:c>
      <x:c r="G718">
        <x:v>24</x:v>
      </x:c>
      <x:c r="H718" t="s">
        <x:v>74</x:v>
      </x:c>
      <x:c r="I718">
        <x:v>12</x:v>
      </x:c>
      <x:c r="J718">
        <x:v>12</x:v>
      </x:c>
      <x:c r="K718">
        <x:v>2</x:v>
      </x:c>
      <x:c r="L718">
        <x:f t="shared" si="77"/>
        <x:v>1</x:v>
      </x:c>
      <x:c r="P718">
        <x:f t="shared" si="78"/>
        <x:v>1</x:v>
      </x:c>
      <x:c r="Q718">
        <x:f t="shared" si="79"/>
        <x:v>1</x:v>
      </x:c>
      <x:c r="R718">
        <x:f t="shared" si="80"/>
        <x:v>0</x:v>
      </x:c>
      <x:c r="S718">
        <x:f t="shared" si="81"/>
        <x:v>2</x:v>
      </x:c>
      <x:c r="T718" t="str">
        <x:f t="shared" si="82"/>
        <x:v>DerivedFromCount</x:v>
      </x:c>
      <x:c r="U718" t="str">
        <x:f>IF(COUNTIF(DailyProduction!$Q$5:$Q$100,B718)=1,"OK","CHECK")</x:f>
        <x:v>OK</x:v>
      </x:c>
      <x:c r="V718" t="str">
        <x:f t="shared" si="83"/>
        <x:v>OK</x:v>
      </x:c>
      <x:c r="W718" t="str">
        <x:f>IF(SUMIF($B$5:$B$914,B718,$S$5:$S$914)=SUMIF(DailyProduction!$Q$5:$Q$100,B718,DailyProduction!$R$5:$R$100),"OK","CHECK")</x:f>
        <x:v>OK</x:v>
      </x:c>
      <x:c r="X718" t="str">
        <x:v>PLC-PRD-JAR-720-L24</x:v>
      </x:c>
      <x:c r="Y718" t="str">
        <x:v>OK</x:v>
      </x:c>
      <x:c r="Z718" t="str">
        <x:v>OK</x:v>
      </x:c>
      <x:c r="AA718" t="n">
        <x:v>3</x:v>
      </x:c>
      <x:c r="AB718" t="n">
        <x:v>2</x:v>
      </x:c>
      <x:c r="AC718" t="str">
        <x:v>OK</x:v>
      </x:c>
      <x:c r="AD718" t="str">
        <x:v>OK</x:v>
      </x:c>
      <x:c r="AE718" t="str">
        <x:v>LOAD</x:v>
      </x:c>
      <x:c r="AF718" t="str">
        <x:v>02_Supervisor_Log(4).xlsx</x:v>
      </x:c>
      <x:c r="AG718" t="str">
        <x:v>ENH-20260830-01</x:v>
      </x:c>
      <x:c r="AH718" t="str">
        <x:v>Active</x:v>
      </x:c>
      <x:c r="AI718"/>
      <x:c r="AJ718"/>
      <x:c r="AK718"/>
      <x:c r="AL718"/>
    </x:row>
    <x:row r="719">
      <x:c r="A719" t="s">
        <x:v>963</x:v>
      </x:c>
      <x:c r="B719" t="s">
        <x:v>951</x:v>
      </x:c>
      <x:c r="C719" t="s">
        <x:v>44</x:v>
      </x:c>
      <x:c r="D719">
        <x:v>45956</x:v>
      </x:c>
      <x:c r="E719" t="s">
        <x:v>45</x:v>
      </x:c>
      <x:c r="F719" t="s">
        <x:v>55</x:v>
      </x:c>
      <x:c r="G719">
        <x:v>24</x:v>
      </x:c>
      <x:c r="H719" t="s">
        <x:v>74</x:v>
      </x:c>
      <x:c r="I719">
        <x:v>13</x:v>
      </x:c>
      <x:c r="J719">
        <x:v>12</x:v>
      </x:c>
      <x:c r="K719">
        <x:v>2</x:v>
      </x:c>
      <x:c r="L719">
        <x:f t="shared" si="77"/>
        <x:v>0</x:v>
      </x:c>
      <x:c r="P719">
        <x:f t="shared" si="78"/>
        <x:v>0</x:v>
      </x:c>
      <x:c r="Q719">
        <x:f t="shared" si="79"/>
        <x:v>0</x:v>
      </x:c>
      <x:c r="R719">
        <x:f t="shared" si="80"/>
        <x:v>0</x:v>
      </x:c>
      <x:c r="S719">
        <x:f t="shared" si="81"/>
        <x:v>0</x:v>
      </x:c>
      <x:c r="T719" t="str">
        <x:f t="shared" si="82"/>
        <x:v>DerivedFromCount</x:v>
      </x:c>
      <x:c r="U719" t="str">
        <x:f>IF(COUNTIF(DailyProduction!$Q$5:$Q$100,B719)=1,"OK","CHECK")</x:f>
        <x:v>OK</x:v>
      </x:c>
      <x:c r="V719" t="str">
        <x:f t="shared" si="83"/>
        <x:v>OK</x:v>
      </x:c>
      <x:c r="W719" t="str">
        <x:f>IF(SUMIF($B$5:$B$914,B719,$S$5:$S$914)=SUMIF(DailyProduction!$Q$5:$Q$100,B719,DailyProduction!$R$5:$R$100),"OK","CHECK")</x:f>
        <x:v>OK</x:v>
      </x:c>
      <x:c r="X719" t="str">
        <x:v>PLC-PRD-JAR-720-L24</x:v>
      </x:c>
      <x:c r="Y719" t="str">
        <x:v>OK</x:v>
      </x:c>
      <x:c r="Z719" t="str">
        <x:v>OK</x:v>
      </x:c>
      <x:c r="AA719" t="n">
        <x:v>3</x:v>
      </x:c>
      <x:c r="AB719" t="n">
        <x:v>0</x:v>
      </x:c>
      <x:c r="AC719" t="str">
        <x:v>OK</x:v>
      </x:c>
      <x:c r="AD719" t="str">
        <x:v>OK</x:v>
      </x:c>
      <x:c r="AE719" t="str">
        <x:v>LOAD</x:v>
      </x:c>
      <x:c r="AF719" t="str">
        <x:v>02_Supervisor_Log(4).xlsx</x:v>
      </x:c>
      <x:c r="AG719" t="str">
        <x:v>ENH-20260830-01</x:v>
      </x:c>
      <x:c r="AH719" t="str">
        <x:v>Active</x:v>
      </x:c>
      <x:c r="AI719"/>
      <x:c r="AJ719"/>
      <x:c r="AK719"/>
      <x:c r="AL719"/>
    </x:row>
    <x:row r="720">
      <x:c r="A720" t="s">
        <x:v>964</x:v>
      </x:c>
      <x:c r="B720" t="s">
        <x:v>965</x:v>
      </x:c>
      <x:c r="C720" t="s">
        <x:v>44</x:v>
      </x:c>
      <x:c r="D720">
        <x:v>45956</x:v>
      </x:c>
      <x:c r="E720" t="s">
        <x:v>187</x:v>
      </x:c>
      <x:c r="F720" t="s">
        <x:v>46</x:v>
      </x:c>
      <x:c r="G720">
        <x:v>24</x:v>
      </x:c>
      <x:c r="H720" t="s">
        <x:v>74</x:v>
      </x:c>
      <x:c r="I720">
        <x:v>1</x:v>
      </x:c>
      <x:c r="J720">
        <x:v>12</x:v>
      </x:c>
      <x:c r="K720">
        <x:v>2</x:v>
      </x:c>
      <x:c r="L720">
        <x:f t="shared" si="77"/>
        <x:v>1</x:v>
      </x:c>
      <x:c r="P720">
        <x:f t="shared" si="78"/>
        <x:v>1</x:v>
      </x:c>
      <x:c r="Q720">
        <x:f t="shared" si="79"/>
        <x:v>1</x:v>
      </x:c>
      <x:c r="R720">
        <x:f t="shared" si="80"/>
        <x:v>0</x:v>
      </x:c>
      <x:c r="S720">
        <x:f t="shared" si="81"/>
        <x:v>2</x:v>
      </x:c>
      <x:c r="T720" t="str">
        <x:f t="shared" si="82"/>
        <x:v>DerivedFromCount</x:v>
      </x:c>
      <x:c r="U720" t="str">
        <x:f>IF(COUNTIF(DailyProduction!$Q$5:$Q$100,B720)=1,"OK","CHECK")</x:f>
        <x:v>OK</x:v>
      </x:c>
      <x:c r="V720" t="str">
        <x:f t="shared" si="83"/>
        <x:v>OK</x:v>
      </x:c>
      <x:c r="W720" t="str">
        <x:f>IF(SUMIF($B$5:$B$914,B720,$S$5:$S$914)=SUMIF(DailyProduction!$Q$5:$Q$100,B720,DailyProduction!$R$5:$R$100),"OK","CHECK")</x:f>
        <x:v>OK</x:v>
      </x:c>
      <x:c r="X720" t="str">
        <x:v>PLC-PRD-JAR-720-L24</x:v>
      </x:c>
      <x:c r="Y720" t="str">
        <x:v>OK</x:v>
      </x:c>
      <x:c r="Z720" t="str">
        <x:v>OK</x:v>
      </x:c>
      <x:c r="AA720" t="n">
        <x:v>3</x:v>
      </x:c>
      <x:c r="AB720" t="n">
        <x:v>2</x:v>
      </x:c>
      <x:c r="AC720" t="str">
        <x:v>OK</x:v>
      </x:c>
      <x:c r="AD720" t="str">
        <x:v>OK</x:v>
      </x:c>
      <x:c r="AE720" t="str">
        <x:v>LOAD</x:v>
      </x:c>
      <x:c r="AF720" t="str">
        <x:v>02_Supervisor_Log(4).xlsx</x:v>
      </x:c>
      <x:c r="AG720" t="str">
        <x:v>ENH-20260830-01</x:v>
      </x:c>
      <x:c r="AH720" t="str">
        <x:v>Active</x:v>
      </x:c>
      <x:c r="AI720"/>
      <x:c r="AJ720"/>
      <x:c r="AK720"/>
      <x:c r="AL720"/>
    </x:row>
    <x:row r="721">
      <x:c r="A721" t="s">
        <x:v>966</x:v>
      </x:c>
      <x:c r="B721" t="s">
        <x:v>965</x:v>
      </x:c>
      <x:c r="C721" t="s">
        <x:v>44</x:v>
      </x:c>
      <x:c r="D721">
        <x:v>45956</x:v>
      </x:c>
      <x:c r="E721" t="s">
        <x:v>187</x:v>
      </x:c>
      <x:c r="F721" t="s">
        <x:v>46</x:v>
      </x:c>
      <x:c r="G721">
        <x:v>24</x:v>
      </x:c>
      <x:c r="H721" t="s">
        <x:v>74</x:v>
      </x:c>
      <x:c r="I721">
        <x:v>2</x:v>
      </x:c>
      <x:c r="J721">
        <x:v>12</x:v>
      </x:c>
      <x:c r="K721">
        <x:v>2</x:v>
      </x:c>
      <x:c r="L721">
        <x:f t="shared" si="77"/>
        <x:v>1</x:v>
      </x:c>
      <x:c r="P721">
        <x:f t="shared" si="78"/>
        <x:v>1</x:v>
      </x:c>
      <x:c r="Q721">
        <x:f t="shared" si="79"/>
        <x:v>1</x:v>
      </x:c>
      <x:c r="R721">
        <x:f t="shared" si="80"/>
        <x:v>0</x:v>
      </x:c>
      <x:c r="S721">
        <x:f t="shared" si="81"/>
        <x:v>2</x:v>
      </x:c>
      <x:c r="T721" t="str">
        <x:f t="shared" si="82"/>
        <x:v>DerivedFromCount</x:v>
      </x:c>
      <x:c r="U721" t="str">
        <x:f>IF(COUNTIF(DailyProduction!$Q$5:$Q$100,B721)=1,"OK","CHECK")</x:f>
        <x:v>OK</x:v>
      </x:c>
      <x:c r="V721" t="str">
        <x:f t="shared" si="83"/>
        <x:v>OK</x:v>
      </x:c>
      <x:c r="W721" t="str">
        <x:f>IF(SUMIF($B$5:$B$914,B721,$S$5:$S$914)=SUMIF(DailyProduction!$Q$5:$Q$100,B721,DailyProduction!$R$5:$R$100),"OK","CHECK")</x:f>
        <x:v>OK</x:v>
      </x:c>
      <x:c r="X721" t="str">
        <x:v>PLC-PRD-JAR-720-L24</x:v>
      </x:c>
      <x:c r="Y721" t="str">
        <x:v>OK</x:v>
      </x:c>
      <x:c r="Z721" t="str">
        <x:v>OK</x:v>
      </x:c>
      <x:c r="AA721" t="n">
        <x:v>3</x:v>
      </x:c>
      <x:c r="AB721" t="n">
        <x:v>2</x:v>
      </x:c>
      <x:c r="AC721" t="str">
        <x:v>OK</x:v>
      </x:c>
      <x:c r="AD721" t="str">
        <x:v>OK</x:v>
      </x:c>
      <x:c r="AE721" t="str">
        <x:v>LOAD</x:v>
      </x:c>
      <x:c r="AF721" t="str">
        <x:v>02_Supervisor_Log(4).xlsx</x:v>
      </x:c>
      <x:c r="AG721" t="str">
        <x:v>ENH-20260830-01</x:v>
      </x:c>
      <x:c r="AH721" t="str">
        <x:v>Active</x:v>
      </x:c>
      <x:c r="AI721"/>
      <x:c r="AJ721"/>
      <x:c r="AK721"/>
      <x:c r="AL721"/>
    </x:row>
    <x:row r="722">
      <x:c r="A722" t="s">
        <x:v>967</x:v>
      </x:c>
      <x:c r="B722" t="s">
        <x:v>965</x:v>
      </x:c>
      <x:c r="C722" t="s">
        <x:v>44</x:v>
      </x:c>
      <x:c r="D722">
        <x:v>45956</x:v>
      </x:c>
      <x:c r="E722" t="s">
        <x:v>187</x:v>
      </x:c>
      <x:c r="F722" t="s">
        <x:v>46</x:v>
      </x:c>
      <x:c r="G722">
        <x:v>24</x:v>
      </x:c>
      <x:c r="H722" t="s">
        <x:v>74</x:v>
      </x:c>
      <x:c r="I722">
        <x:v>3</x:v>
      </x:c>
      <x:c r="J722">
        <x:v>12</x:v>
      </x:c>
      <x:c r="K722">
        <x:v>2</x:v>
      </x:c>
      <x:c r="L722">
        <x:f t="shared" si="77"/>
        <x:v>1</x:v>
      </x:c>
      <x:c r="P722">
        <x:f t="shared" si="78"/>
        <x:v>1</x:v>
      </x:c>
      <x:c r="Q722">
        <x:f t="shared" si="79"/>
        <x:v>1</x:v>
      </x:c>
      <x:c r="R722">
        <x:f t="shared" si="80"/>
        <x:v>0</x:v>
      </x:c>
      <x:c r="S722">
        <x:f t="shared" si="81"/>
        <x:v>2</x:v>
      </x:c>
      <x:c r="T722" t="str">
        <x:f t="shared" si="82"/>
        <x:v>DerivedFromCount</x:v>
      </x:c>
      <x:c r="U722" t="str">
        <x:f>IF(COUNTIF(DailyProduction!$Q$5:$Q$100,B722)=1,"OK","CHECK")</x:f>
        <x:v>OK</x:v>
      </x:c>
      <x:c r="V722" t="str">
        <x:f t="shared" si="83"/>
        <x:v>OK</x:v>
      </x:c>
      <x:c r="W722" t="str">
        <x:f>IF(SUMIF($B$5:$B$914,B722,$S$5:$S$914)=SUMIF(DailyProduction!$Q$5:$Q$100,B722,DailyProduction!$R$5:$R$100),"OK","CHECK")</x:f>
        <x:v>OK</x:v>
      </x:c>
      <x:c r="X722" t="str">
        <x:v>PLC-PRD-JAR-720-L24</x:v>
      </x:c>
      <x:c r="Y722" t="str">
        <x:v>OK</x:v>
      </x:c>
      <x:c r="Z722" t="str">
        <x:v>OK</x:v>
      </x:c>
      <x:c r="AA722" t="n">
        <x:v>3</x:v>
      </x:c>
      <x:c r="AB722" t="n">
        <x:v>2</x:v>
      </x:c>
      <x:c r="AC722" t="str">
        <x:v>OK</x:v>
      </x:c>
      <x:c r="AD722" t="str">
        <x:v>OK</x:v>
      </x:c>
      <x:c r="AE722" t="str">
        <x:v>LOAD</x:v>
      </x:c>
      <x:c r="AF722" t="str">
        <x:v>02_Supervisor_Log(4).xlsx</x:v>
      </x:c>
      <x:c r="AG722" t="str">
        <x:v>ENH-20260830-01</x:v>
      </x:c>
      <x:c r="AH722" t="str">
        <x:v>Active</x:v>
      </x:c>
      <x:c r="AI722"/>
      <x:c r="AJ722"/>
      <x:c r="AK722"/>
      <x:c r="AL722"/>
    </x:row>
    <x:row r="723">
      <x:c r="A723" t="s">
        <x:v>968</x:v>
      </x:c>
      <x:c r="B723" t="s">
        <x:v>965</x:v>
      </x:c>
      <x:c r="C723" t="s">
        <x:v>44</x:v>
      </x:c>
      <x:c r="D723">
        <x:v>45956</x:v>
      </x:c>
      <x:c r="E723" t="s">
        <x:v>187</x:v>
      </x:c>
      <x:c r="F723" t="s">
        <x:v>46</x:v>
      </x:c>
      <x:c r="G723">
        <x:v>24</x:v>
      </x:c>
      <x:c r="H723" t="s">
        <x:v>74</x:v>
      </x:c>
      <x:c r="I723">
        <x:v>4</x:v>
      </x:c>
      <x:c r="J723">
        <x:v>12</x:v>
      </x:c>
      <x:c r="K723">
        <x:v>2</x:v>
      </x:c>
      <x:c r="L723">
        <x:f t="shared" si="77"/>
        <x:v>1</x:v>
      </x:c>
      <x:c r="P723">
        <x:f t="shared" si="78"/>
        <x:v>1</x:v>
      </x:c>
      <x:c r="Q723">
        <x:f t="shared" si="79"/>
        <x:v>1</x:v>
      </x:c>
      <x:c r="R723">
        <x:f t="shared" si="80"/>
        <x:v>0</x:v>
      </x:c>
      <x:c r="S723">
        <x:f t="shared" si="81"/>
        <x:v>2</x:v>
      </x:c>
      <x:c r="T723" t="str">
        <x:f t="shared" si="82"/>
        <x:v>DerivedFromCount</x:v>
      </x:c>
      <x:c r="U723" t="str">
        <x:f>IF(COUNTIF(DailyProduction!$Q$5:$Q$100,B723)=1,"OK","CHECK")</x:f>
        <x:v>OK</x:v>
      </x:c>
      <x:c r="V723" t="str">
        <x:f t="shared" si="83"/>
        <x:v>OK</x:v>
      </x:c>
      <x:c r="W723" t="str">
        <x:f>IF(SUMIF($B$5:$B$914,B723,$S$5:$S$914)=SUMIF(DailyProduction!$Q$5:$Q$100,B723,DailyProduction!$R$5:$R$100),"OK","CHECK")</x:f>
        <x:v>OK</x:v>
      </x:c>
      <x:c r="X723" t="str">
        <x:v>PLC-PRD-JAR-720-L24</x:v>
      </x:c>
      <x:c r="Y723" t="str">
        <x:v>OK</x:v>
      </x:c>
      <x:c r="Z723" t="str">
        <x:v>OK</x:v>
      </x:c>
      <x:c r="AA723" t="n">
        <x:v>3</x:v>
      </x:c>
      <x:c r="AB723" t="n">
        <x:v>2</x:v>
      </x:c>
      <x:c r="AC723" t="str">
        <x:v>OK</x:v>
      </x:c>
      <x:c r="AD723" t="str">
        <x:v>OK</x:v>
      </x:c>
      <x:c r="AE723" t="str">
        <x:v>LOAD</x:v>
      </x:c>
      <x:c r="AF723" t="str">
        <x:v>02_Supervisor_Log(4).xlsx</x:v>
      </x:c>
      <x:c r="AG723" t="str">
        <x:v>ENH-20260830-01</x:v>
      </x:c>
      <x:c r="AH723" t="str">
        <x:v>Active</x:v>
      </x:c>
      <x:c r="AI723"/>
      <x:c r="AJ723"/>
      <x:c r="AK723"/>
      <x:c r="AL723"/>
    </x:row>
    <x:row r="724">
      <x:c r="A724" t="s">
        <x:v>969</x:v>
      </x:c>
      <x:c r="B724" t="s">
        <x:v>965</x:v>
      </x:c>
      <x:c r="C724" t="s">
        <x:v>44</x:v>
      </x:c>
      <x:c r="D724">
        <x:v>45956</x:v>
      </x:c>
      <x:c r="E724" t="s">
        <x:v>187</x:v>
      </x:c>
      <x:c r="F724" t="s">
        <x:v>46</x:v>
      </x:c>
      <x:c r="G724">
        <x:v>24</x:v>
      </x:c>
      <x:c r="H724" t="s">
        <x:v>74</x:v>
      </x:c>
      <x:c r="I724">
        <x:v>5</x:v>
      </x:c>
      <x:c r="J724">
        <x:v>12</x:v>
      </x:c>
      <x:c r="K724">
        <x:v>2</x:v>
      </x:c>
      <x:c r="L724">
        <x:f t="shared" si="77"/>
        <x:v>1</x:v>
      </x:c>
      <x:c r="P724">
        <x:f t="shared" si="78"/>
        <x:v>1</x:v>
      </x:c>
      <x:c r="Q724">
        <x:f t="shared" si="79"/>
        <x:v>1</x:v>
      </x:c>
      <x:c r="R724">
        <x:f t="shared" si="80"/>
        <x:v>0</x:v>
      </x:c>
      <x:c r="S724">
        <x:f t="shared" si="81"/>
        <x:v>2</x:v>
      </x:c>
      <x:c r="T724" t="str">
        <x:f t="shared" si="82"/>
        <x:v>DerivedFromCount</x:v>
      </x:c>
      <x:c r="U724" t="str">
        <x:f>IF(COUNTIF(DailyProduction!$Q$5:$Q$100,B724)=1,"OK","CHECK")</x:f>
        <x:v>OK</x:v>
      </x:c>
      <x:c r="V724" t="str">
        <x:f t="shared" si="83"/>
        <x:v>OK</x:v>
      </x:c>
      <x:c r="W724" t="str">
        <x:f>IF(SUMIF($B$5:$B$914,B724,$S$5:$S$914)=SUMIF(DailyProduction!$Q$5:$Q$100,B724,DailyProduction!$R$5:$R$100),"OK","CHECK")</x:f>
        <x:v>OK</x:v>
      </x:c>
      <x:c r="X724" t="str">
        <x:v>PLC-PRD-JAR-720-L24</x:v>
      </x:c>
      <x:c r="Y724" t="str">
        <x:v>OK</x:v>
      </x:c>
      <x:c r="Z724" t="str">
        <x:v>OK</x:v>
      </x:c>
      <x:c r="AA724" t="n">
        <x:v>3</x:v>
      </x:c>
      <x:c r="AB724" t="n">
        <x:v>2</x:v>
      </x:c>
      <x:c r="AC724" t="str">
        <x:v>OK</x:v>
      </x:c>
      <x:c r="AD724" t="str">
        <x:v>OK</x:v>
      </x:c>
      <x:c r="AE724" t="str">
        <x:v>LOAD</x:v>
      </x:c>
      <x:c r="AF724" t="str">
        <x:v>02_Supervisor_Log(4).xlsx</x:v>
      </x:c>
      <x:c r="AG724" t="str">
        <x:v>ENH-20260830-01</x:v>
      </x:c>
      <x:c r="AH724" t="str">
        <x:v>Active</x:v>
      </x:c>
      <x:c r="AI724"/>
      <x:c r="AJ724"/>
      <x:c r="AK724"/>
      <x:c r="AL724"/>
    </x:row>
    <x:row r="725">
      <x:c r="A725" t="s">
        <x:v>970</x:v>
      </x:c>
      <x:c r="B725" t="s">
        <x:v>965</x:v>
      </x:c>
      <x:c r="C725" t="s">
        <x:v>44</x:v>
      </x:c>
      <x:c r="D725">
        <x:v>45956</x:v>
      </x:c>
      <x:c r="E725" t="s">
        <x:v>187</x:v>
      </x:c>
      <x:c r="F725" t="s">
        <x:v>46</x:v>
      </x:c>
      <x:c r="G725">
        <x:v>24</x:v>
      </x:c>
      <x:c r="H725" t="s">
        <x:v>74</x:v>
      </x:c>
      <x:c r="I725">
        <x:v>6</x:v>
      </x:c>
      <x:c r="J725">
        <x:v>12</x:v>
      </x:c>
      <x:c r="K725">
        <x:v>2</x:v>
      </x:c>
      <x:c r="L725">
        <x:f t="shared" si="77"/>
        <x:v>1</x:v>
      </x:c>
      <x:c r="P725">
        <x:f t="shared" si="78"/>
        <x:v>1</x:v>
      </x:c>
      <x:c r="Q725">
        <x:f t="shared" si="79"/>
        <x:v>1</x:v>
      </x:c>
      <x:c r="R725">
        <x:f t="shared" si="80"/>
        <x:v>0</x:v>
      </x:c>
      <x:c r="S725">
        <x:f t="shared" si="81"/>
        <x:v>2</x:v>
      </x:c>
      <x:c r="T725" t="str">
        <x:f t="shared" si="82"/>
        <x:v>DerivedFromCount</x:v>
      </x:c>
      <x:c r="U725" t="str">
        <x:f>IF(COUNTIF(DailyProduction!$Q$5:$Q$100,B725)=1,"OK","CHECK")</x:f>
        <x:v>OK</x:v>
      </x:c>
      <x:c r="V725" t="str">
        <x:f t="shared" si="83"/>
        <x:v>OK</x:v>
      </x:c>
      <x:c r="W725" t="str">
        <x:f>IF(SUMIF($B$5:$B$914,B725,$S$5:$S$914)=SUMIF(DailyProduction!$Q$5:$Q$100,B725,DailyProduction!$R$5:$R$100),"OK","CHECK")</x:f>
        <x:v>OK</x:v>
      </x:c>
      <x:c r="X725" t="str">
        <x:v>PLC-PRD-JAR-720-L24</x:v>
      </x:c>
      <x:c r="Y725" t="str">
        <x:v>OK</x:v>
      </x:c>
      <x:c r="Z725" t="str">
        <x:v>OK</x:v>
      </x:c>
      <x:c r="AA725" t="n">
        <x:v>3</x:v>
      </x:c>
      <x:c r="AB725" t="n">
        <x:v>2</x:v>
      </x:c>
      <x:c r="AC725" t="str">
        <x:v>OK</x:v>
      </x:c>
      <x:c r="AD725" t="str">
        <x:v>OK</x:v>
      </x:c>
      <x:c r="AE725" t="str">
        <x:v>LOAD</x:v>
      </x:c>
      <x:c r="AF725" t="str">
        <x:v>02_Supervisor_Log(4).xlsx</x:v>
      </x:c>
      <x:c r="AG725" t="str">
        <x:v>ENH-20260830-01</x:v>
      </x:c>
      <x:c r="AH725" t="str">
        <x:v>Active</x:v>
      </x:c>
      <x:c r="AI725"/>
      <x:c r="AJ725"/>
      <x:c r="AK725"/>
      <x:c r="AL725"/>
    </x:row>
    <x:row r="726">
      <x:c r="A726" t="s">
        <x:v>971</x:v>
      </x:c>
      <x:c r="B726" t="s">
        <x:v>965</x:v>
      </x:c>
      <x:c r="C726" t="s">
        <x:v>44</x:v>
      </x:c>
      <x:c r="D726">
        <x:v>45956</x:v>
      </x:c>
      <x:c r="E726" t="s">
        <x:v>187</x:v>
      </x:c>
      <x:c r="F726" t="s">
        <x:v>46</x:v>
      </x:c>
      <x:c r="G726">
        <x:v>24</x:v>
      </x:c>
      <x:c r="H726" t="s">
        <x:v>74</x:v>
      </x:c>
      <x:c r="I726">
        <x:v>7</x:v>
      </x:c>
      <x:c r="J726">
        <x:v>12</x:v>
      </x:c>
      <x:c r="K726">
        <x:v>2</x:v>
      </x:c>
      <x:c r="L726">
        <x:f t="shared" si="77"/>
        <x:v>1</x:v>
      </x:c>
      <x:c r="P726">
        <x:f t="shared" si="78"/>
        <x:v>1</x:v>
      </x:c>
      <x:c r="Q726">
        <x:f t="shared" si="79"/>
        <x:v>1</x:v>
      </x:c>
      <x:c r="R726">
        <x:f t="shared" si="80"/>
        <x:v>0</x:v>
      </x:c>
      <x:c r="S726">
        <x:f t="shared" si="81"/>
        <x:v>2</x:v>
      </x:c>
      <x:c r="T726" t="str">
        <x:f t="shared" si="82"/>
        <x:v>DerivedFromCount</x:v>
      </x:c>
      <x:c r="U726" t="str">
        <x:f>IF(COUNTIF(DailyProduction!$Q$5:$Q$100,B726)=1,"OK","CHECK")</x:f>
        <x:v>OK</x:v>
      </x:c>
      <x:c r="V726" t="str">
        <x:f t="shared" si="83"/>
        <x:v>OK</x:v>
      </x:c>
      <x:c r="W726" t="str">
        <x:f>IF(SUMIF($B$5:$B$914,B726,$S$5:$S$914)=SUMIF(DailyProduction!$Q$5:$Q$100,B726,DailyProduction!$R$5:$R$100),"OK","CHECK")</x:f>
        <x:v>OK</x:v>
      </x:c>
      <x:c r="X726" t="str">
        <x:v>PLC-PRD-JAR-720-L24</x:v>
      </x:c>
      <x:c r="Y726" t="str">
        <x:v>OK</x:v>
      </x:c>
      <x:c r="Z726" t="str">
        <x:v>OK</x:v>
      </x:c>
      <x:c r="AA726" t="n">
        <x:v>3</x:v>
      </x:c>
      <x:c r="AB726" t="n">
        <x:v>2</x:v>
      </x:c>
      <x:c r="AC726" t="str">
        <x:v>OK</x:v>
      </x:c>
      <x:c r="AD726" t="str">
        <x:v>OK</x:v>
      </x:c>
      <x:c r="AE726" t="str">
        <x:v>LOAD</x:v>
      </x:c>
      <x:c r="AF726" t="str">
        <x:v>02_Supervisor_Log(4).xlsx</x:v>
      </x:c>
      <x:c r="AG726" t="str">
        <x:v>ENH-20260830-01</x:v>
      </x:c>
      <x:c r="AH726" t="str">
        <x:v>Active</x:v>
      </x:c>
      <x:c r="AI726"/>
      <x:c r="AJ726"/>
      <x:c r="AK726"/>
      <x:c r="AL726"/>
    </x:row>
    <x:row r="727">
      <x:c r="A727" t="s">
        <x:v>972</x:v>
      </x:c>
      <x:c r="B727" t="s">
        <x:v>965</x:v>
      </x:c>
      <x:c r="C727" t="s">
        <x:v>44</x:v>
      </x:c>
      <x:c r="D727">
        <x:v>45956</x:v>
      </x:c>
      <x:c r="E727" t="s">
        <x:v>187</x:v>
      </x:c>
      <x:c r="F727" t="s">
        <x:v>46</x:v>
      </x:c>
      <x:c r="G727">
        <x:v>24</x:v>
      </x:c>
      <x:c r="H727" t="s">
        <x:v>74</x:v>
      </x:c>
      <x:c r="I727">
        <x:v>8</x:v>
      </x:c>
      <x:c r="J727">
        <x:v>12</x:v>
      </x:c>
      <x:c r="K727">
        <x:v>2</x:v>
      </x:c>
      <x:c r="L727">
        <x:f t="shared" si="77"/>
        <x:v>1</x:v>
      </x:c>
      <x:c r="P727">
        <x:f t="shared" si="78"/>
        <x:v>1</x:v>
      </x:c>
      <x:c r="Q727">
        <x:f t="shared" si="79"/>
        <x:v>1</x:v>
      </x:c>
      <x:c r="R727">
        <x:f t="shared" si="80"/>
        <x:v>0</x:v>
      </x:c>
      <x:c r="S727">
        <x:f t="shared" si="81"/>
        <x:v>2</x:v>
      </x:c>
      <x:c r="T727" t="str">
        <x:f t="shared" si="82"/>
        <x:v>DerivedFromCount</x:v>
      </x:c>
      <x:c r="U727" t="str">
        <x:f>IF(COUNTIF(DailyProduction!$Q$5:$Q$100,B727)=1,"OK","CHECK")</x:f>
        <x:v>OK</x:v>
      </x:c>
      <x:c r="V727" t="str">
        <x:f t="shared" si="83"/>
        <x:v>OK</x:v>
      </x:c>
      <x:c r="W727" t="str">
        <x:f>IF(SUMIF($B$5:$B$914,B727,$S$5:$S$914)=SUMIF(DailyProduction!$Q$5:$Q$100,B727,DailyProduction!$R$5:$R$100),"OK","CHECK")</x:f>
        <x:v>OK</x:v>
      </x:c>
      <x:c r="X727" t="str">
        <x:v>PLC-PRD-JAR-720-L24</x:v>
      </x:c>
      <x:c r="Y727" t="str">
        <x:v>OK</x:v>
      </x:c>
      <x:c r="Z727" t="str">
        <x:v>OK</x:v>
      </x:c>
      <x:c r="AA727" t="n">
        <x:v>3</x:v>
      </x:c>
      <x:c r="AB727" t="n">
        <x:v>2</x:v>
      </x:c>
      <x:c r="AC727" t="str">
        <x:v>OK</x:v>
      </x:c>
      <x:c r="AD727" t="str">
        <x:v>OK</x:v>
      </x:c>
      <x:c r="AE727" t="str">
        <x:v>LOAD</x:v>
      </x:c>
      <x:c r="AF727" t="str">
        <x:v>02_Supervisor_Log(4).xlsx</x:v>
      </x:c>
      <x:c r="AG727" t="str">
        <x:v>ENH-20260830-01</x:v>
      </x:c>
      <x:c r="AH727" t="str">
        <x:v>Active</x:v>
      </x:c>
      <x:c r="AI727"/>
      <x:c r="AJ727"/>
      <x:c r="AK727"/>
      <x:c r="AL727"/>
    </x:row>
    <x:row r="728">
      <x:c r="A728" t="s">
        <x:v>973</x:v>
      </x:c>
      <x:c r="B728" t="s">
        <x:v>965</x:v>
      </x:c>
      <x:c r="C728" t="s">
        <x:v>44</x:v>
      </x:c>
      <x:c r="D728">
        <x:v>45956</x:v>
      </x:c>
      <x:c r="E728" t="s">
        <x:v>187</x:v>
      </x:c>
      <x:c r="F728" t="s">
        <x:v>46</x:v>
      </x:c>
      <x:c r="G728">
        <x:v>24</x:v>
      </x:c>
      <x:c r="H728" t="s">
        <x:v>74</x:v>
      </x:c>
      <x:c r="I728">
        <x:v>9</x:v>
      </x:c>
      <x:c r="J728">
        <x:v>12</x:v>
      </x:c>
      <x:c r="K728">
        <x:v>2</x:v>
      </x:c>
      <x:c r="L728">
        <x:f t="shared" si="77"/>
        <x:v>1</x:v>
      </x:c>
      <x:c r="P728">
        <x:f t="shared" si="78"/>
        <x:v>1</x:v>
      </x:c>
      <x:c r="Q728">
        <x:f t="shared" si="79"/>
        <x:v>1</x:v>
      </x:c>
      <x:c r="R728">
        <x:f t="shared" si="80"/>
        <x:v>0</x:v>
      </x:c>
      <x:c r="S728">
        <x:f t="shared" si="81"/>
        <x:v>2</x:v>
      </x:c>
      <x:c r="T728" t="str">
        <x:f t="shared" si="82"/>
        <x:v>DerivedFromCount</x:v>
      </x:c>
      <x:c r="U728" t="str">
        <x:f>IF(COUNTIF(DailyProduction!$Q$5:$Q$100,B728)=1,"OK","CHECK")</x:f>
        <x:v>OK</x:v>
      </x:c>
      <x:c r="V728" t="str">
        <x:f t="shared" si="83"/>
        <x:v>OK</x:v>
      </x:c>
      <x:c r="W728" t="str">
        <x:f>IF(SUMIF($B$5:$B$914,B728,$S$5:$S$914)=SUMIF(DailyProduction!$Q$5:$Q$100,B728,DailyProduction!$R$5:$R$100),"OK","CHECK")</x:f>
        <x:v>OK</x:v>
      </x:c>
      <x:c r="X728" t="str">
        <x:v>PLC-PRD-JAR-720-L24</x:v>
      </x:c>
      <x:c r="Y728" t="str">
        <x:v>OK</x:v>
      </x:c>
      <x:c r="Z728" t="str">
        <x:v>OK</x:v>
      </x:c>
      <x:c r="AA728" t="n">
        <x:v>3</x:v>
      </x:c>
      <x:c r="AB728" t="n">
        <x:v>2</x:v>
      </x:c>
      <x:c r="AC728" t="str">
        <x:v>OK</x:v>
      </x:c>
      <x:c r="AD728" t="str">
        <x:v>OK</x:v>
      </x:c>
      <x:c r="AE728" t="str">
        <x:v>LOAD</x:v>
      </x:c>
      <x:c r="AF728" t="str">
        <x:v>02_Supervisor_Log(4).xlsx</x:v>
      </x:c>
      <x:c r="AG728" t="str">
        <x:v>ENH-20260830-01</x:v>
      </x:c>
      <x:c r="AH728" t="str">
        <x:v>Active</x:v>
      </x:c>
      <x:c r="AI728"/>
      <x:c r="AJ728"/>
      <x:c r="AK728"/>
      <x:c r="AL728"/>
    </x:row>
    <x:row r="729">
      <x:c r="A729" t="s">
        <x:v>974</x:v>
      </x:c>
      <x:c r="B729" t="s">
        <x:v>965</x:v>
      </x:c>
      <x:c r="C729" t="s">
        <x:v>44</x:v>
      </x:c>
      <x:c r="D729">
        <x:v>45956</x:v>
      </x:c>
      <x:c r="E729" t="s">
        <x:v>187</x:v>
      </x:c>
      <x:c r="F729" t="s">
        <x:v>46</x:v>
      </x:c>
      <x:c r="G729">
        <x:v>24</x:v>
      </x:c>
      <x:c r="H729" t="s">
        <x:v>74</x:v>
      </x:c>
      <x:c r="I729">
        <x:v>10</x:v>
      </x:c>
      <x:c r="J729">
        <x:v>12</x:v>
      </x:c>
      <x:c r="K729">
        <x:v>2</x:v>
      </x:c>
      <x:c r="L729">
        <x:f t="shared" si="77"/>
        <x:v>1</x:v>
      </x:c>
      <x:c r="P729">
        <x:f t="shared" si="78"/>
        <x:v>1</x:v>
      </x:c>
      <x:c r="Q729">
        <x:f t="shared" si="79"/>
        <x:v>1</x:v>
      </x:c>
      <x:c r="R729">
        <x:f t="shared" si="80"/>
        <x:v>0</x:v>
      </x:c>
      <x:c r="S729">
        <x:f t="shared" si="81"/>
        <x:v>2</x:v>
      </x:c>
      <x:c r="T729" t="str">
        <x:f t="shared" si="82"/>
        <x:v>DerivedFromCount</x:v>
      </x:c>
      <x:c r="U729" t="str">
        <x:f>IF(COUNTIF(DailyProduction!$Q$5:$Q$100,B729)=1,"OK","CHECK")</x:f>
        <x:v>OK</x:v>
      </x:c>
      <x:c r="V729" t="str">
        <x:f t="shared" si="83"/>
        <x:v>OK</x:v>
      </x:c>
      <x:c r="W729" t="str">
        <x:f>IF(SUMIF($B$5:$B$914,B729,$S$5:$S$914)=SUMIF(DailyProduction!$Q$5:$Q$100,B729,DailyProduction!$R$5:$R$100),"OK","CHECK")</x:f>
        <x:v>OK</x:v>
      </x:c>
      <x:c r="X729" t="str">
        <x:v>PLC-PRD-JAR-720-L24</x:v>
      </x:c>
      <x:c r="Y729" t="str">
        <x:v>OK</x:v>
      </x:c>
      <x:c r="Z729" t="str">
        <x:v>OK</x:v>
      </x:c>
      <x:c r="AA729" t="n">
        <x:v>3</x:v>
      </x:c>
      <x:c r="AB729" t="n">
        <x:v>2</x:v>
      </x:c>
      <x:c r="AC729" t="str">
        <x:v>OK</x:v>
      </x:c>
      <x:c r="AD729" t="str">
        <x:v>OK</x:v>
      </x:c>
      <x:c r="AE729" t="str">
        <x:v>LOAD</x:v>
      </x:c>
      <x:c r="AF729" t="str">
        <x:v>02_Supervisor_Log(4).xlsx</x:v>
      </x:c>
      <x:c r="AG729" t="str">
        <x:v>ENH-20260830-01</x:v>
      </x:c>
      <x:c r="AH729" t="str">
        <x:v>Active</x:v>
      </x:c>
      <x:c r="AI729"/>
      <x:c r="AJ729"/>
      <x:c r="AK729"/>
      <x:c r="AL729"/>
    </x:row>
    <x:row r="730">
      <x:c r="A730" t="s">
        <x:v>975</x:v>
      </x:c>
      <x:c r="B730" t="s">
        <x:v>965</x:v>
      </x:c>
      <x:c r="C730" t="s">
        <x:v>44</x:v>
      </x:c>
      <x:c r="D730">
        <x:v>45956</x:v>
      </x:c>
      <x:c r="E730" t="s">
        <x:v>187</x:v>
      </x:c>
      <x:c r="F730" t="s">
        <x:v>46</x:v>
      </x:c>
      <x:c r="G730">
        <x:v>24</x:v>
      </x:c>
      <x:c r="H730" t="s">
        <x:v>74</x:v>
      </x:c>
      <x:c r="I730">
        <x:v>11</x:v>
      </x:c>
      <x:c r="J730">
        <x:v>12</x:v>
      </x:c>
      <x:c r="K730">
        <x:v>2</x:v>
      </x:c>
      <x:c r="L730">
        <x:f t="shared" si="77"/>
        <x:v>1</x:v>
      </x:c>
      <x:c r="P730">
        <x:f t="shared" si="78"/>
        <x:v>1</x:v>
      </x:c>
      <x:c r="Q730">
        <x:f t="shared" si="79"/>
        <x:v>1</x:v>
      </x:c>
      <x:c r="R730">
        <x:f t="shared" si="80"/>
        <x:v>0</x:v>
      </x:c>
      <x:c r="S730">
        <x:f t="shared" si="81"/>
        <x:v>2</x:v>
      </x:c>
      <x:c r="T730" t="str">
        <x:f t="shared" si="82"/>
        <x:v>DerivedFromCount</x:v>
      </x:c>
      <x:c r="U730" t="str">
        <x:f>IF(COUNTIF(DailyProduction!$Q$5:$Q$100,B730)=1,"OK","CHECK")</x:f>
        <x:v>OK</x:v>
      </x:c>
      <x:c r="V730" t="str">
        <x:f t="shared" si="83"/>
        <x:v>OK</x:v>
      </x:c>
      <x:c r="W730" t="str">
        <x:f>IF(SUMIF($B$5:$B$914,B730,$S$5:$S$914)=SUMIF(DailyProduction!$Q$5:$Q$100,B730,DailyProduction!$R$5:$R$100),"OK","CHECK")</x:f>
        <x:v>OK</x:v>
      </x:c>
      <x:c r="X730" t="str">
        <x:v>PLC-PRD-JAR-720-L24</x:v>
      </x:c>
      <x:c r="Y730" t="str">
        <x:v>OK</x:v>
      </x:c>
      <x:c r="Z730" t="str">
        <x:v>OK</x:v>
      </x:c>
      <x:c r="AA730" t="n">
        <x:v>3</x:v>
      </x:c>
      <x:c r="AB730" t="n">
        <x:v>2</x:v>
      </x:c>
      <x:c r="AC730" t="str">
        <x:v>OK</x:v>
      </x:c>
      <x:c r="AD730" t="str">
        <x:v>OK</x:v>
      </x:c>
      <x:c r="AE730" t="str">
        <x:v>LOAD</x:v>
      </x:c>
      <x:c r="AF730" t="str">
        <x:v>02_Supervisor_Log(4).xlsx</x:v>
      </x:c>
      <x:c r="AG730" t="str">
        <x:v>ENH-20260830-01</x:v>
      </x:c>
      <x:c r="AH730" t="str">
        <x:v>Active</x:v>
      </x:c>
      <x:c r="AI730"/>
      <x:c r="AJ730"/>
      <x:c r="AK730"/>
      <x:c r="AL730"/>
    </x:row>
    <x:row r="731">
      <x:c r="A731" t="s">
        <x:v>976</x:v>
      </x:c>
      <x:c r="B731" t="s">
        <x:v>965</x:v>
      </x:c>
      <x:c r="C731" t="s">
        <x:v>44</x:v>
      </x:c>
      <x:c r="D731">
        <x:v>45956</x:v>
      </x:c>
      <x:c r="E731" t="s">
        <x:v>187</x:v>
      </x:c>
      <x:c r="F731" t="s">
        <x:v>46</x:v>
      </x:c>
      <x:c r="G731">
        <x:v>24</x:v>
      </x:c>
      <x:c r="H731" t="s">
        <x:v>74</x:v>
      </x:c>
      <x:c r="I731">
        <x:v>12</x:v>
      </x:c>
      <x:c r="J731">
        <x:v>12</x:v>
      </x:c>
      <x:c r="K731">
        <x:v>2</x:v>
      </x:c>
      <x:c r="L731">
        <x:f t="shared" si="77"/>
        <x:v>1</x:v>
      </x:c>
      <x:c r="P731">
        <x:f t="shared" si="78"/>
        <x:v>1</x:v>
      </x:c>
      <x:c r="Q731">
        <x:f t="shared" si="79"/>
        <x:v>1</x:v>
      </x:c>
      <x:c r="R731">
        <x:f t="shared" si="80"/>
        <x:v>0</x:v>
      </x:c>
      <x:c r="S731">
        <x:f t="shared" si="81"/>
        <x:v>2</x:v>
      </x:c>
      <x:c r="T731" t="str">
        <x:f t="shared" si="82"/>
        <x:v>DerivedFromCount</x:v>
      </x:c>
      <x:c r="U731" t="str">
        <x:f>IF(COUNTIF(DailyProduction!$Q$5:$Q$100,B731)=1,"OK","CHECK")</x:f>
        <x:v>OK</x:v>
      </x:c>
      <x:c r="V731" t="str">
        <x:f t="shared" si="83"/>
        <x:v>OK</x:v>
      </x:c>
      <x:c r="W731" t="str">
        <x:f>IF(SUMIF($B$5:$B$914,B731,$S$5:$S$914)=SUMIF(DailyProduction!$Q$5:$Q$100,B731,DailyProduction!$R$5:$R$100),"OK","CHECK")</x:f>
        <x:v>OK</x:v>
      </x:c>
      <x:c r="X731" t="str">
        <x:v>PLC-PRD-JAR-720-L24</x:v>
      </x:c>
      <x:c r="Y731" t="str">
        <x:v>OK</x:v>
      </x:c>
      <x:c r="Z731" t="str">
        <x:v>OK</x:v>
      </x:c>
      <x:c r="AA731" t="n">
        <x:v>3</x:v>
      </x:c>
      <x:c r="AB731" t="n">
        <x:v>2</x:v>
      </x:c>
      <x:c r="AC731" t="str">
        <x:v>OK</x:v>
      </x:c>
      <x:c r="AD731" t="str">
        <x:v>OK</x:v>
      </x:c>
      <x:c r="AE731" t="str">
        <x:v>LOAD</x:v>
      </x:c>
      <x:c r="AF731" t="str">
        <x:v>02_Supervisor_Log(4).xlsx</x:v>
      </x:c>
      <x:c r="AG731" t="str">
        <x:v>ENH-20260830-01</x:v>
      </x:c>
      <x:c r="AH731" t="str">
        <x:v>Active</x:v>
      </x:c>
      <x:c r="AI731"/>
      <x:c r="AJ731"/>
      <x:c r="AK731"/>
      <x:c r="AL731"/>
    </x:row>
    <x:row r="732">
      <x:c r="A732" t="s">
        <x:v>977</x:v>
      </x:c>
      <x:c r="B732" t="s">
        <x:v>965</x:v>
      </x:c>
      <x:c r="C732" t="s">
        <x:v>44</x:v>
      </x:c>
      <x:c r="D732">
        <x:v>45956</x:v>
      </x:c>
      <x:c r="E732" t="s">
        <x:v>187</x:v>
      </x:c>
      <x:c r="F732" t="s">
        <x:v>46</x:v>
      </x:c>
      <x:c r="G732">
        <x:v>24</x:v>
      </x:c>
      <x:c r="H732" t="s">
        <x:v>74</x:v>
      </x:c>
      <x:c r="I732">
        <x:v>13</x:v>
      </x:c>
      <x:c r="J732">
        <x:v>12</x:v>
      </x:c>
      <x:c r="K732">
        <x:v>2</x:v>
      </x:c>
      <x:c r="L732">
        <x:f t="shared" si="77"/>
        <x:v>0</x:v>
      </x:c>
      <x:c r="P732">
        <x:f t="shared" si="78"/>
        <x:v>0</x:v>
      </x:c>
      <x:c r="Q732">
        <x:f t="shared" si="79"/>
        <x:v>0</x:v>
      </x:c>
      <x:c r="R732">
        <x:f t="shared" si="80"/>
        <x:v>0</x:v>
      </x:c>
      <x:c r="S732">
        <x:f t="shared" si="81"/>
        <x:v>0</x:v>
      </x:c>
      <x:c r="T732" t="str">
        <x:f t="shared" si="82"/>
        <x:v>DerivedFromCount</x:v>
      </x:c>
      <x:c r="U732" t="str">
        <x:f>IF(COUNTIF(DailyProduction!$Q$5:$Q$100,B732)=1,"OK","CHECK")</x:f>
        <x:v>OK</x:v>
      </x:c>
      <x:c r="V732" t="str">
        <x:f t="shared" si="83"/>
        <x:v>OK</x:v>
      </x:c>
      <x:c r="W732" t="str">
        <x:f>IF(SUMIF($B$5:$B$914,B732,$S$5:$S$914)=SUMIF(DailyProduction!$Q$5:$Q$100,B732,DailyProduction!$R$5:$R$100),"OK","CHECK")</x:f>
        <x:v>OK</x:v>
      </x:c>
      <x:c r="X732" t="str">
        <x:v>PLC-PRD-JAR-720-L24</x:v>
      </x:c>
      <x:c r="Y732" t="str">
        <x:v>OK</x:v>
      </x:c>
      <x:c r="Z732" t="str">
        <x:v>OK</x:v>
      </x:c>
      <x:c r="AA732" t="n">
        <x:v>3</x:v>
      </x:c>
      <x:c r="AB732" t="n">
        <x:v>0</x:v>
      </x:c>
      <x:c r="AC732" t="str">
        <x:v>OK</x:v>
      </x:c>
      <x:c r="AD732" t="str">
        <x:v>OK</x:v>
      </x:c>
      <x:c r="AE732" t="str">
        <x:v>LOAD</x:v>
      </x:c>
      <x:c r="AF732" t="str">
        <x:v>02_Supervisor_Log(4).xlsx</x:v>
      </x:c>
      <x:c r="AG732" t="str">
        <x:v>ENH-20260830-01</x:v>
      </x:c>
      <x:c r="AH732" t="str">
        <x:v>Active</x:v>
      </x:c>
      <x:c r="AI732"/>
      <x:c r="AJ732"/>
      <x:c r="AK732"/>
      <x:c r="AL732"/>
    </x:row>
    <x:row r="733">
      <x:c r="A733" t="s">
        <x:v>978</x:v>
      </x:c>
      <x:c r="B733" t="s">
        <x:v>979</x:v>
      </x:c>
      <x:c r="C733" t="s">
        <x:v>44</x:v>
      </x:c>
      <x:c r="D733">
        <x:v>45950</x:v>
      </x:c>
      <x:c r="E733" t="s">
        <x:v>45</x:v>
      </x:c>
      <x:c r="F733" t="s">
        <x:v>55</x:v>
      </x:c>
      <x:c r="G733">
        <x:v>25</x:v>
      </x:c>
      <x:c r="H733" t="s">
        <x:v>76</x:v>
      </x:c>
      <x:c r="I733">
        <x:v>1</x:v>
      </x:c>
      <x:c r="J733">
        <x:v>8</x:v>
      </x:c>
      <x:c r="K733">
        <x:v>2</x:v>
      </x:c>
      <x:c r="L733">
        <x:f t="shared" si="77"/>
        <x:v>1</x:v>
      </x:c>
      <x:c r="P733">
        <x:f t="shared" si="78"/>
        <x:v>1</x:v>
      </x:c>
      <x:c r="Q733">
        <x:f t="shared" si="79"/>
        <x:v>1</x:v>
      </x:c>
      <x:c r="R733">
        <x:f t="shared" si="80"/>
        <x:v>0</x:v>
      </x:c>
      <x:c r="S733">
        <x:f t="shared" si="81"/>
        <x:v>2</x:v>
      </x:c>
      <x:c r="T733" t="str">
        <x:f t="shared" si="82"/>
        <x:v>DerivedFromCount</x:v>
      </x:c>
      <x:c r="U733" t="str">
        <x:f>IF(COUNTIF(DailyProduction!$Q$5:$Q$100,B733)=1,"OK","CHECK")</x:f>
        <x:v>OK</x:v>
      </x:c>
      <x:c r="V733" t="str">
        <x:f t="shared" si="83"/>
        <x:v>OK</x:v>
      </x:c>
      <x:c r="W733" t="str">
        <x:f>IF(SUMIF($B$5:$B$914,B733,$S$5:$S$914)=SUMIF(DailyProduction!$Q$5:$Q$100,B733,DailyProduction!$R$5:$R$100),"OK","CHECK")</x:f>
        <x:v>OK</x:v>
      </x:c>
      <x:c r="X733" t="str">
        <x:v>PLC-PRD-JAR-720-L25</x:v>
      </x:c>
      <x:c r="Y733" t="str">
        <x:v>OK</x:v>
      </x:c>
      <x:c r="Z733" t="str">
        <x:v>OK</x:v>
      </x:c>
      <x:c r="AA733" t="n">
        <x:v>3</x:v>
      </x:c>
      <x:c r="AB733" t="n">
        <x:v>2</x:v>
      </x:c>
      <x:c r="AC733" t="str">
        <x:v>OK</x:v>
      </x:c>
      <x:c r="AD733" t="str">
        <x:v>OK</x:v>
      </x:c>
      <x:c r="AE733" t="str">
        <x:v>LOAD</x:v>
      </x:c>
      <x:c r="AF733" t="str">
        <x:v>02_Supervisor_Log(4).xlsx</x:v>
      </x:c>
      <x:c r="AG733" t="str">
        <x:v>ENH-20260830-01</x:v>
      </x:c>
      <x:c r="AH733" t="str">
        <x:v>Active</x:v>
      </x:c>
      <x:c r="AI733"/>
      <x:c r="AJ733"/>
      <x:c r="AK733"/>
      <x:c r="AL733"/>
    </x:row>
    <x:row r="734">
      <x:c r="A734" t="s">
        <x:v>980</x:v>
      </x:c>
      <x:c r="B734" t="s">
        <x:v>979</x:v>
      </x:c>
      <x:c r="C734" t="s">
        <x:v>44</x:v>
      </x:c>
      <x:c r="D734">
        <x:v>45950</x:v>
      </x:c>
      <x:c r="E734" t="s">
        <x:v>45</x:v>
      </x:c>
      <x:c r="F734" t="s">
        <x:v>55</x:v>
      </x:c>
      <x:c r="G734">
        <x:v>25</x:v>
      </x:c>
      <x:c r="H734" t="s">
        <x:v>76</x:v>
      </x:c>
      <x:c r="I734">
        <x:v>2</x:v>
      </x:c>
      <x:c r="J734">
        <x:v>8</x:v>
      </x:c>
      <x:c r="K734">
        <x:v>2</x:v>
      </x:c>
      <x:c r="L734">
        <x:f t="shared" si="77"/>
        <x:v>1</x:v>
      </x:c>
      <x:c r="P734">
        <x:f t="shared" si="78"/>
        <x:v>1</x:v>
      </x:c>
      <x:c r="Q734">
        <x:f t="shared" si="79"/>
        <x:v>1</x:v>
      </x:c>
      <x:c r="R734">
        <x:f t="shared" si="80"/>
        <x:v>0</x:v>
      </x:c>
      <x:c r="S734">
        <x:f t="shared" si="81"/>
        <x:v>2</x:v>
      </x:c>
      <x:c r="T734" t="str">
        <x:f t="shared" si="82"/>
        <x:v>DerivedFromCount</x:v>
      </x:c>
      <x:c r="U734" t="str">
        <x:f>IF(COUNTIF(DailyProduction!$Q$5:$Q$100,B734)=1,"OK","CHECK")</x:f>
        <x:v>OK</x:v>
      </x:c>
      <x:c r="V734" t="str">
        <x:f t="shared" si="83"/>
        <x:v>OK</x:v>
      </x:c>
      <x:c r="W734" t="str">
        <x:f>IF(SUMIF($B$5:$B$914,B734,$S$5:$S$914)=SUMIF(DailyProduction!$Q$5:$Q$100,B734,DailyProduction!$R$5:$R$100),"OK","CHECK")</x:f>
        <x:v>OK</x:v>
      </x:c>
      <x:c r="X734" t="str">
        <x:v>PLC-PRD-JAR-720-L25</x:v>
      </x:c>
      <x:c r="Y734" t="str">
        <x:v>OK</x:v>
      </x:c>
      <x:c r="Z734" t="str">
        <x:v>OK</x:v>
      </x:c>
      <x:c r="AA734" t="n">
        <x:v>3</x:v>
      </x:c>
      <x:c r="AB734" t="n">
        <x:v>2</x:v>
      </x:c>
      <x:c r="AC734" t="str">
        <x:v>OK</x:v>
      </x:c>
      <x:c r="AD734" t="str">
        <x:v>OK</x:v>
      </x:c>
      <x:c r="AE734" t="str">
        <x:v>LOAD</x:v>
      </x:c>
      <x:c r="AF734" t="str">
        <x:v>02_Supervisor_Log(4).xlsx</x:v>
      </x:c>
      <x:c r="AG734" t="str">
        <x:v>ENH-20260830-01</x:v>
      </x:c>
      <x:c r="AH734" t="str">
        <x:v>Active</x:v>
      </x:c>
      <x:c r="AI734"/>
      <x:c r="AJ734"/>
      <x:c r="AK734"/>
      <x:c r="AL734"/>
    </x:row>
    <x:row r="735">
      <x:c r="A735" t="s">
        <x:v>981</x:v>
      </x:c>
      <x:c r="B735" t="s">
        <x:v>979</x:v>
      </x:c>
      <x:c r="C735" t="s">
        <x:v>44</x:v>
      </x:c>
      <x:c r="D735">
        <x:v>45950</x:v>
      </x:c>
      <x:c r="E735" t="s">
        <x:v>45</x:v>
      </x:c>
      <x:c r="F735" t="s">
        <x:v>55</x:v>
      </x:c>
      <x:c r="G735">
        <x:v>25</x:v>
      </x:c>
      <x:c r="H735" t="s">
        <x:v>76</x:v>
      </x:c>
      <x:c r="I735">
        <x:v>3</x:v>
      </x:c>
      <x:c r="J735">
        <x:v>8</x:v>
      </x:c>
      <x:c r="K735">
        <x:v>2</x:v>
      </x:c>
      <x:c r="L735">
        <x:f t="shared" si="77"/>
        <x:v>1</x:v>
      </x:c>
      <x:c r="P735">
        <x:f t="shared" si="78"/>
        <x:v>1</x:v>
      </x:c>
      <x:c r="Q735">
        <x:f t="shared" si="79"/>
        <x:v>1</x:v>
      </x:c>
      <x:c r="R735">
        <x:f t="shared" si="80"/>
        <x:v>0</x:v>
      </x:c>
      <x:c r="S735">
        <x:f t="shared" si="81"/>
        <x:v>2</x:v>
      </x:c>
      <x:c r="T735" t="str">
        <x:f t="shared" si="82"/>
        <x:v>DerivedFromCount</x:v>
      </x:c>
      <x:c r="U735" t="str">
        <x:f>IF(COUNTIF(DailyProduction!$Q$5:$Q$100,B735)=1,"OK","CHECK")</x:f>
        <x:v>OK</x:v>
      </x:c>
      <x:c r="V735" t="str">
        <x:f t="shared" si="83"/>
        <x:v>OK</x:v>
      </x:c>
      <x:c r="W735" t="str">
        <x:f>IF(SUMIF($B$5:$B$914,B735,$S$5:$S$914)=SUMIF(DailyProduction!$Q$5:$Q$100,B735,DailyProduction!$R$5:$R$100),"OK","CHECK")</x:f>
        <x:v>OK</x:v>
      </x:c>
      <x:c r="X735" t="str">
        <x:v>PLC-PRD-JAR-720-L25</x:v>
      </x:c>
      <x:c r="Y735" t="str">
        <x:v>OK</x:v>
      </x:c>
      <x:c r="Z735" t="str">
        <x:v>OK</x:v>
      </x:c>
      <x:c r="AA735" t="n">
        <x:v>3</x:v>
      </x:c>
      <x:c r="AB735" t="n">
        <x:v>2</x:v>
      </x:c>
      <x:c r="AC735" t="str">
        <x:v>OK</x:v>
      </x:c>
      <x:c r="AD735" t="str">
        <x:v>OK</x:v>
      </x:c>
      <x:c r="AE735" t="str">
        <x:v>LOAD</x:v>
      </x:c>
      <x:c r="AF735" t="str">
        <x:v>02_Supervisor_Log(4).xlsx</x:v>
      </x:c>
      <x:c r="AG735" t="str">
        <x:v>ENH-20260830-01</x:v>
      </x:c>
      <x:c r="AH735" t="str">
        <x:v>Active</x:v>
      </x:c>
      <x:c r="AI735"/>
      <x:c r="AJ735"/>
      <x:c r="AK735"/>
      <x:c r="AL735"/>
    </x:row>
    <x:row r="736">
      <x:c r="A736" t="s">
        <x:v>982</x:v>
      </x:c>
      <x:c r="B736" t="s">
        <x:v>979</x:v>
      </x:c>
      <x:c r="C736" t="s">
        <x:v>44</x:v>
      </x:c>
      <x:c r="D736">
        <x:v>45950</x:v>
      </x:c>
      <x:c r="E736" t="s">
        <x:v>45</x:v>
      </x:c>
      <x:c r="F736" t="s">
        <x:v>55</x:v>
      </x:c>
      <x:c r="G736">
        <x:v>25</x:v>
      </x:c>
      <x:c r="H736" t="s">
        <x:v>76</x:v>
      </x:c>
      <x:c r="I736">
        <x:v>4</x:v>
      </x:c>
      <x:c r="J736">
        <x:v>8</x:v>
      </x:c>
      <x:c r="K736">
        <x:v>2</x:v>
      </x:c>
      <x:c r="L736">
        <x:f t="shared" si="77"/>
        <x:v>1</x:v>
      </x:c>
      <x:c r="P736">
        <x:f t="shared" si="78"/>
        <x:v>1</x:v>
      </x:c>
      <x:c r="Q736">
        <x:f t="shared" si="79"/>
        <x:v>1</x:v>
      </x:c>
      <x:c r="R736">
        <x:f t="shared" si="80"/>
        <x:v>0</x:v>
      </x:c>
      <x:c r="S736">
        <x:f t="shared" si="81"/>
        <x:v>2</x:v>
      </x:c>
      <x:c r="T736" t="str">
        <x:f t="shared" si="82"/>
        <x:v>DerivedFromCount</x:v>
      </x:c>
      <x:c r="U736" t="str">
        <x:f>IF(COUNTIF(DailyProduction!$Q$5:$Q$100,B736)=1,"OK","CHECK")</x:f>
        <x:v>OK</x:v>
      </x:c>
      <x:c r="V736" t="str">
        <x:f t="shared" si="83"/>
        <x:v>OK</x:v>
      </x:c>
      <x:c r="W736" t="str">
        <x:f>IF(SUMIF($B$5:$B$914,B736,$S$5:$S$914)=SUMIF(DailyProduction!$Q$5:$Q$100,B736,DailyProduction!$R$5:$R$100),"OK","CHECK")</x:f>
        <x:v>OK</x:v>
      </x:c>
      <x:c r="X736" t="str">
        <x:v>PLC-PRD-JAR-720-L25</x:v>
      </x:c>
      <x:c r="Y736" t="str">
        <x:v>OK</x:v>
      </x:c>
      <x:c r="Z736" t="str">
        <x:v>OK</x:v>
      </x:c>
      <x:c r="AA736" t="n">
        <x:v>3</x:v>
      </x:c>
      <x:c r="AB736" t="n">
        <x:v>2</x:v>
      </x:c>
      <x:c r="AC736" t="str">
        <x:v>OK</x:v>
      </x:c>
      <x:c r="AD736" t="str">
        <x:v>OK</x:v>
      </x:c>
      <x:c r="AE736" t="str">
        <x:v>LOAD</x:v>
      </x:c>
      <x:c r="AF736" t="str">
        <x:v>02_Supervisor_Log(4).xlsx</x:v>
      </x:c>
      <x:c r="AG736" t="str">
        <x:v>ENH-20260830-01</x:v>
      </x:c>
      <x:c r="AH736" t="str">
        <x:v>Active</x:v>
      </x:c>
      <x:c r="AI736"/>
      <x:c r="AJ736"/>
      <x:c r="AK736"/>
      <x:c r="AL736"/>
    </x:row>
    <x:row r="737">
      <x:c r="A737" t="s">
        <x:v>983</x:v>
      </x:c>
      <x:c r="B737" t="s">
        <x:v>979</x:v>
      </x:c>
      <x:c r="C737" t="s">
        <x:v>44</x:v>
      </x:c>
      <x:c r="D737">
        <x:v>45950</x:v>
      </x:c>
      <x:c r="E737" t="s">
        <x:v>45</x:v>
      </x:c>
      <x:c r="F737" t="s">
        <x:v>55</x:v>
      </x:c>
      <x:c r="G737">
        <x:v>25</x:v>
      </x:c>
      <x:c r="H737" t="s">
        <x:v>76</x:v>
      </x:c>
      <x:c r="I737">
        <x:v>5</x:v>
      </x:c>
      <x:c r="J737">
        <x:v>8</x:v>
      </x:c>
      <x:c r="K737">
        <x:v>2</x:v>
      </x:c>
      <x:c r="L737">
        <x:f t="shared" si="77"/>
        <x:v>1</x:v>
      </x:c>
      <x:c r="P737">
        <x:f t="shared" si="78"/>
        <x:v>1</x:v>
      </x:c>
      <x:c r="Q737">
        <x:f t="shared" si="79"/>
        <x:v>1</x:v>
      </x:c>
      <x:c r="R737">
        <x:f t="shared" si="80"/>
        <x:v>0</x:v>
      </x:c>
      <x:c r="S737">
        <x:f t="shared" si="81"/>
        <x:v>2</x:v>
      </x:c>
      <x:c r="T737" t="str">
        <x:f t="shared" si="82"/>
        <x:v>DerivedFromCount</x:v>
      </x:c>
      <x:c r="U737" t="str">
        <x:f>IF(COUNTIF(DailyProduction!$Q$5:$Q$100,B737)=1,"OK","CHECK")</x:f>
        <x:v>OK</x:v>
      </x:c>
      <x:c r="V737" t="str">
        <x:f t="shared" si="83"/>
        <x:v>OK</x:v>
      </x:c>
      <x:c r="W737" t="str">
        <x:f>IF(SUMIF($B$5:$B$914,B737,$S$5:$S$914)=SUMIF(DailyProduction!$Q$5:$Q$100,B737,DailyProduction!$R$5:$R$100),"OK","CHECK")</x:f>
        <x:v>OK</x:v>
      </x:c>
      <x:c r="X737" t="str">
        <x:v>PLC-PRD-JAR-720-L25</x:v>
      </x:c>
      <x:c r="Y737" t="str">
        <x:v>OK</x:v>
      </x:c>
      <x:c r="Z737" t="str">
        <x:v>OK</x:v>
      </x:c>
      <x:c r="AA737" t="n">
        <x:v>3</x:v>
      </x:c>
      <x:c r="AB737" t="n">
        <x:v>2</x:v>
      </x:c>
      <x:c r="AC737" t="str">
        <x:v>OK</x:v>
      </x:c>
      <x:c r="AD737" t="str">
        <x:v>OK</x:v>
      </x:c>
      <x:c r="AE737" t="str">
        <x:v>LOAD</x:v>
      </x:c>
      <x:c r="AF737" t="str">
        <x:v>02_Supervisor_Log(4).xlsx</x:v>
      </x:c>
      <x:c r="AG737" t="str">
        <x:v>ENH-20260830-01</x:v>
      </x:c>
      <x:c r="AH737" t="str">
        <x:v>Active</x:v>
      </x:c>
      <x:c r="AI737"/>
      <x:c r="AJ737"/>
      <x:c r="AK737"/>
      <x:c r="AL737"/>
    </x:row>
    <x:row r="738">
      <x:c r="A738" t="s">
        <x:v>984</x:v>
      </x:c>
      <x:c r="B738" t="s">
        <x:v>979</x:v>
      </x:c>
      <x:c r="C738" t="s">
        <x:v>44</x:v>
      </x:c>
      <x:c r="D738">
        <x:v>45950</x:v>
      </x:c>
      <x:c r="E738" t="s">
        <x:v>45</x:v>
      </x:c>
      <x:c r="F738" t="s">
        <x:v>55</x:v>
      </x:c>
      <x:c r="G738">
        <x:v>25</x:v>
      </x:c>
      <x:c r="H738" t="s">
        <x:v>76</x:v>
      </x:c>
      <x:c r="I738">
        <x:v>6</x:v>
      </x:c>
      <x:c r="J738">
        <x:v>8</x:v>
      </x:c>
      <x:c r="K738">
        <x:v>2</x:v>
      </x:c>
      <x:c r="L738">
        <x:f t="shared" si="77"/>
        <x:v>1</x:v>
      </x:c>
      <x:c r="P738">
        <x:f t="shared" si="78"/>
        <x:v>1</x:v>
      </x:c>
      <x:c r="Q738">
        <x:f t="shared" si="79"/>
        <x:v>1</x:v>
      </x:c>
      <x:c r="R738">
        <x:f t="shared" si="80"/>
        <x:v>0</x:v>
      </x:c>
      <x:c r="S738">
        <x:f t="shared" si="81"/>
        <x:v>2</x:v>
      </x:c>
      <x:c r="T738" t="str">
        <x:f t="shared" si="82"/>
        <x:v>DerivedFromCount</x:v>
      </x:c>
      <x:c r="U738" t="str">
        <x:f>IF(COUNTIF(DailyProduction!$Q$5:$Q$100,B738)=1,"OK","CHECK")</x:f>
        <x:v>OK</x:v>
      </x:c>
      <x:c r="V738" t="str">
        <x:f t="shared" si="83"/>
        <x:v>OK</x:v>
      </x:c>
      <x:c r="W738" t="str">
        <x:f>IF(SUMIF($B$5:$B$914,B738,$S$5:$S$914)=SUMIF(DailyProduction!$Q$5:$Q$100,B738,DailyProduction!$R$5:$R$100),"OK","CHECK")</x:f>
        <x:v>OK</x:v>
      </x:c>
      <x:c r="X738" t="str">
        <x:v>PLC-PRD-JAR-720-L25</x:v>
      </x:c>
      <x:c r="Y738" t="str">
        <x:v>OK</x:v>
      </x:c>
      <x:c r="Z738" t="str">
        <x:v>OK</x:v>
      </x:c>
      <x:c r="AA738" t="n">
        <x:v>3</x:v>
      </x:c>
      <x:c r="AB738" t="n">
        <x:v>2</x:v>
      </x:c>
      <x:c r="AC738" t="str">
        <x:v>OK</x:v>
      </x:c>
      <x:c r="AD738" t="str">
        <x:v>OK</x:v>
      </x:c>
      <x:c r="AE738" t="str">
        <x:v>LOAD</x:v>
      </x:c>
      <x:c r="AF738" t="str">
        <x:v>02_Supervisor_Log(4).xlsx</x:v>
      </x:c>
      <x:c r="AG738" t="str">
        <x:v>ENH-20260830-01</x:v>
      </x:c>
      <x:c r="AH738" t="str">
        <x:v>Active</x:v>
      </x:c>
      <x:c r="AI738"/>
      <x:c r="AJ738"/>
      <x:c r="AK738"/>
      <x:c r="AL738"/>
    </x:row>
    <x:row r="739">
      <x:c r="A739" t="s">
        <x:v>985</x:v>
      </x:c>
      <x:c r="B739" t="s">
        <x:v>979</x:v>
      </x:c>
      <x:c r="C739" t="s">
        <x:v>44</x:v>
      </x:c>
      <x:c r="D739">
        <x:v>45950</x:v>
      </x:c>
      <x:c r="E739" t="s">
        <x:v>45</x:v>
      </x:c>
      <x:c r="F739" t="s">
        <x:v>55</x:v>
      </x:c>
      <x:c r="G739">
        <x:v>25</x:v>
      </x:c>
      <x:c r="H739" t="s">
        <x:v>76</x:v>
      </x:c>
      <x:c r="I739">
        <x:v>7</x:v>
      </x:c>
      <x:c r="J739">
        <x:v>8</x:v>
      </x:c>
      <x:c r="K739">
        <x:v>2</x:v>
      </x:c>
      <x:c r="L739">
        <x:f t="shared" si="77"/>
        <x:v>1</x:v>
      </x:c>
      <x:c r="P739">
        <x:f t="shared" si="78"/>
        <x:v>1</x:v>
      </x:c>
      <x:c r="Q739">
        <x:f t="shared" si="79"/>
        <x:v>1</x:v>
      </x:c>
      <x:c r="R739">
        <x:f t="shared" si="80"/>
        <x:v>0</x:v>
      </x:c>
      <x:c r="S739">
        <x:f t="shared" si="81"/>
        <x:v>2</x:v>
      </x:c>
      <x:c r="T739" t="str">
        <x:f t="shared" si="82"/>
        <x:v>DerivedFromCount</x:v>
      </x:c>
      <x:c r="U739" t="str">
        <x:f>IF(COUNTIF(DailyProduction!$Q$5:$Q$100,B739)=1,"OK","CHECK")</x:f>
        <x:v>OK</x:v>
      </x:c>
      <x:c r="V739" t="str">
        <x:f t="shared" si="83"/>
        <x:v>OK</x:v>
      </x:c>
      <x:c r="W739" t="str">
        <x:f>IF(SUMIF($B$5:$B$914,B739,$S$5:$S$914)=SUMIF(DailyProduction!$Q$5:$Q$100,B739,DailyProduction!$R$5:$R$100),"OK","CHECK")</x:f>
        <x:v>OK</x:v>
      </x:c>
      <x:c r="X739" t="str">
        <x:v>PLC-PRD-JAR-720-L25</x:v>
      </x:c>
      <x:c r="Y739" t="str">
        <x:v>OK</x:v>
      </x:c>
      <x:c r="Z739" t="str">
        <x:v>OK</x:v>
      </x:c>
      <x:c r="AA739" t="n">
        <x:v>3</x:v>
      </x:c>
      <x:c r="AB739" t="n">
        <x:v>2</x:v>
      </x:c>
      <x:c r="AC739" t="str">
        <x:v>OK</x:v>
      </x:c>
      <x:c r="AD739" t="str">
        <x:v>OK</x:v>
      </x:c>
      <x:c r="AE739" t="str">
        <x:v>LOAD</x:v>
      </x:c>
      <x:c r="AF739" t="str">
        <x:v>02_Supervisor_Log(4).xlsx</x:v>
      </x:c>
      <x:c r="AG739" t="str">
        <x:v>ENH-20260830-01</x:v>
      </x:c>
      <x:c r="AH739" t="str">
        <x:v>Active</x:v>
      </x:c>
      <x:c r="AI739"/>
      <x:c r="AJ739"/>
      <x:c r="AK739"/>
      <x:c r="AL739"/>
    </x:row>
    <x:row r="740">
      <x:c r="A740" t="s">
        <x:v>986</x:v>
      </x:c>
      <x:c r="B740" t="s">
        <x:v>979</x:v>
      </x:c>
      <x:c r="C740" t="s">
        <x:v>44</x:v>
      </x:c>
      <x:c r="D740">
        <x:v>45950</x:v>
      </x:c>
      <x:c r="E740" t="s">
        <x:v>45</x:v>
      </x:c>
      <x:c r="F740" t="s">
        <x:v>55</x:v>
      </x:c>
      <x:c r="G740">
        <x:v>25</x:v>
      </x:c>
      <x:c r="H740" t="s">
        <x:v>76</x:v>
      </x:c>
      <x:c r="I740">
        <x:v>8</x:v>
      </x:c>
      <x:c r="J740">
        <x:v>8</x:v>
      </x:c>
      <x:c r="K740">
        <x:v>2</x:v>
      </x:c>
      <x:c r="L740">
        <x:f t="shared" si="77"/>
        <x:v>1</x:v>
      </x:c>
      <x:c r="P740">
        <x:f t="shared" si="78"/>
        <x:v>1</x:v>
      </x:c>
      <x:c r="Q740">
        <x:f t="shared" si="79"/>
        <x:v>1</x:v>
      </x:c>
      <x:c r="R740">
        <x:f t="shared" si="80"/>
        <x:v>0</x:v>
      </x:c>
      <x:c r="S740">
        <x:f t="shared" si="81"/>
        <x:v>2</x:v>
      </x:c>
      <x:c r="T740" t="str">
        <x:f t="shared" si="82"/>
        <x:v>DerivedFromCount</x:v>
      </x:c>
      <x:c r="U740" t="str">
        <x:f>IF(COUNTIF(DailyProduction!$Q$5:$Q$100,B740)=1,"OK","CHECK")</x:f>
        <x:v>OK</x:v>
      </x:c>
      <x:c r="V740" t="str">
        <x:f t="shared" si="83"/>
        <x:v>OK</x:v>
      </x:c>
      <x:c r="W740" t="str">
        <x:f>IF(SUMIF($B$5:$B$914,B740,$S$5:$S$914)=SUMIF(DailyProduction!$Q$5:$Q$100,B740,DailyProduction!$R$5:$R$100),"OK","CHECK")</x:f>
        <x:v>OK</x:v>
      </x:c>
      <x:c r="X740" t="str">
        <x:v>PLC-PRD-JAR-720-L25</x:v>
      </x:c>
      <x:c r="Y740" t="str">
        <x:v>OK</x:v>
      </x:c>
      <x:c r="Z740" t="str">
        <x:v>OK</x:v>
      </x:c>
      <x:c r="AA740" t="n">
        <x:v>3</x:v>
      </x:c>
      <x:c r="AB740" t="n">
        <x:v>2</x:v>
      </x:c>
      <x:c r="AC740" t="str">
        <x:v>OK</x:v>
      </x:c>
      <x:c r="AD740" t="str">
        <x:v>OK</x:v>
      </x:c>
      <x:c r="AE740" t="str">
        <x:v>LOAD</x:v>
      </x:c>
      <x:c r="AF740" t="str">
        <x:v>02_Supervisor_Log(4).xlsx</x:v>
      </x:c>
      <x:c r="AG740" t="str">
        <x:v>ENH-20260830-01</x:v>
      </x:c>
      <x:c r="AH740" t="str">
        <x:v>Active</x:v>
      </x:c>
      <x:c r="AI740"/>
      <x:c r="AJ740"/>
      <x:c r="AK740"/>
      <x:c r="AL740"/>
    </x:row>
    <x:row r="741">
      <x:c r="A741" t="s">
        <x:v>987</x:v>
      </x:c>
      <x:c r="B741" t="s">
        <x:v>979</x:v>
      </x:c>
      <x:c r="C741" t="s">
        <x:v>44</x:v>
      </x:c>
      <x:c r="D741">
        <x:v>45950</x:v>
      </x:c>
      <x:c r="E741" t="s">
        <x:v>45</x:v>
      </x:c>
      <x:c r="F741" t="s">
        <x:v>55</x:v>
      </x:c>
      <x:c r="G741">
        <x:v>25</x:v>
      </x:c>
      <x:c r="H741" t="s">
        <x:v>76</x:v>
      </x:c>
      <x:c r="I741">
        <x:v>9</x:v>
      </x:c>
      <x:c r="J741">
        <x:v>8</x:v>
      </x:c>
      <x:c r="K741">
        <x:v>2</x:v>
      </x:c>
      <x:c r="L741">
        <x:f t="shared" si="77"/>
        <x:v>0</x:v>
      </x:c>
      <x:c r="P741">
        <x:f t="shared" si="78"/>
        <x:v>0</x:v>
      </x:c>
      <x:c r="Q741">
        <x:f t="shared" si="79"/>
        <x:v>0</x:v>
      </x:c>
      <x:c r="R741">
        <x:f t="shared" si="80"/>
        <x:v>0</x:v>
      </x:c>
      <x:c r="S741">
        <x:f t="shared" si="81"/>
        <x:v>0</x:v>
      </x:c>
      <x:c r="T741" t="str">
        <x:f t="shared" si="82"/>
        <x:v>DerivedFromCount</x:v>
      </x:c>
      <x:c r="U741" t="str">
        <x:f>IF(COUNTIF(DailyProduction!$Q$5:$Q$100,B741)=1,"OK","CHECK")</x:f>
        <x:v>OK</x:v>
      </x:c>
      <x:c r="V741" t="str">
        <x:f t="shared" si="83"/>
        <x:v>OK</x:v>
      </x:c>
      <x:c r="W741" t="str">
        <x:f>IF(SUMIF($B$5:$B$914,B741,$S$5:$S$914)=SUMIF(DailyProduction!$Q$5:$Q$100,B741,DailyProduction!$R$5:$R$100),"OK","CHECK")</x:f>
        <x:v>OK</x:v>
      </x:c>
      <x:c r="X741" t="str">
        <x:v>PLC-PRD-JAR-720-L25</x:v>
      </x:c>
      <x:c r="Y741" t="str">
        <x:v>OK</x:v>
      </x:c>
      <x:c r="Z741" t="str">
        <x:v>OK</x:v>
      </x:c>
      <x:c r="AA741" t="n">
        <x:v>3</x:v>
      </x:c>
      <x:c r="AB741" t="n">
        <x:v>0</x:v>
      </x:c>
      <x:c r="AC741" t="str">
        <x:v>OK</x:v>
      </x:c>
      <x:c r="AD741" t="str">
        <x:v>OK</x:v>
      </x:c>
      <x:c r="AE741" t="str">
        <x:v>LOAD</x:v>
      </x:c>
      <x:c r="AF741" t="str">
        <x:v>02_Supervisor_Log(4).xlsx</x:v>
      </x:c>
      <x:c r="AG741" t="str">
        <x:v>ENH-20260830-01</x:v>
      </x:c>
      <x:c r="AH741" t="str">
        <x:v>Active</x:v>
      </x:c>
      <x:c r="AI741"/>
      <x:c r="AJ741"/>
      <x:c r="AK741"/>
      <x:c r="AL741"/>
    </x:row>
    <x:row r="742">
      <x:c r="A742" t="s">
        <x:v>988</x:v>
      </x:c>
      <x:c r="B742" t="s">
        <x:v>979</x:v>
      </x:c>
      <x:c r="C742" t="s">
        <x:v>44</x:v>
      </x:c>
      <x:c r="D742">
        <x:v>45950</x:v>
      </x:c>
      <x:c r="E742" t="s">
        <x:v>45</x:v>
      </x:c>
      <x:c r="F742" t="s">
        <x:v>55</x:v>
      </x:c>
      <x:c r="G742">
        <x:v>25</x:v>
      </x:c>
      <x:c r="H742" t="s">
        <x:v>76</x:v>
      </x:c>
      <x:c r="I742">
        <x:v>10</x:v>
      </x:c>
      <x:c r="J742">
        <x:v>8</x:v>
      </x:c>
      <x:c r="K742">
        <x:v>2</x:v>
      </x:c>
      <x:c r="L742">
        <x:f t="shared" si="77"/>
        <x:v>0</x:v>
      </x:c>
      <x:c r="P742">
        <x:f t="shared" si="78"/>
        <x:v>0</x:v>
      </x:c>
      <x:c r="Q742">
        <x:f t="shared" si="79"/>
        <x:v>0</x:v>
      </x:c>
      <x:c r="R742">
        <x:f t="shared" si="80"/>
        <x:v>0</x:v>
      </x:c>
      <x:c r="S742">
        <x:f t="shared" si="81"/>
        <x:v>0</x:v>
      </x:c>
      <x:c r="T742" t="str">
        <x:f t="shared" si="82"/>
        <x:v>DerivedFromCount</x:v>
      </x:c>
      <x:c r="U742" t="str">
        <x:f>IF(COUNTIF(DailyProduction!$Q$5:$Q$100,B742)=1,"OK","CHECK")</x:f>
        <x:v>OK</x:v>
      </x:c>
      <x:c r="V742" t="str">
        <x:f t="shared" si="83"/>
        <x:v>OK</x:v>
      </x:c>
      <x:c r="W742" t="str">
        <x:f>IF(SUMIF($B$5:$B$914,B742,$S$5:$S$914)=SUMIF(DailyProduction!$Q$5:$Q$100,B742,DailyProduction!$R$5:$R$100),"OK","CHECK")</x:f>
        <x:v>OK</x:v>
      </x:c>
      <x:c r="X742" t="str">
        <x:v>PLC-PRD-JAR-720-L25</x:v>
      </x:c>
      <x:c r="Y742" t="str">
        <x:v>OK</x:v>
      </x:c>
      <x:c r="Z742" t="str">
        <x:v>OK</x:v>
      </x:c>
      <x:c r="AA742" t="n">
        <x:v>3</x:v>
      </x:c>
      <x:c r="AB742" t="n">
        <x:v>0</x:v>
      </x:c>
      <x:c r="AC742" t="str">
        <x:v>OK</x:v>
      </x:c>
      <x:c r="AD742" t="str">
        <x:v>OK</x:v>
      </x:c>
      <x:c r="AE742" t="str">
        <x:v>LOAD</x:v>
      </x:c>
      <x:c r="AF742" t="str">
        <x:v>02_Supervisor_Log(4).xlsx</x:v>
      </x:c>
      <x:c r="AG742" t="str">
        <x:v>ENH-20260830-01</x:v>
      </x:c>
      <x:c r="AH742" t="str">
        <x:v>Active</x:v>
      </x:c>
      <x:c r="AI742"/>
      <x:c r="AJ742"/>
      <x:c r="AK742"/>
      <x:c r="AL742"/>
    </x:row>
    <x:row r="743">
      <x:c r="A743" t="s">
        <x:v>989</x:v>
      </x:c>
      <x:c r="B743" t="s">
        <x:v>979</x:v>
      </x:c>
      <x:c r="C743" t="s">
        <x:v>44</x:v>
      </x:c>
      <x:c r="D743">
        <x:v>45950</x:v>
      </x:c>
      <x:c r="E743" t="s">
        <x:v>45</x:v>
      </x:c>
      <x:c r="F743" t="s">
        <x:v>55</x:v>
      </x:c>
      <x:c r="G743">
        <x:v>25</x:v>
      </x:c>
      <x:c r="H743" t="s">
        <x:v>76</x:v>
      </x:c>
      <x:c r="I743">
        <x:v>11</x:v>
      </x:c>
      <x:c r="J743">
        <x:v>8</x:v>
      </x:c>
      <x:c r="K743">
        <x:v>2</x:v>
      </x:c>
      <x:c r="L743">
        <x:f t="shared" si="77"/>
        <x:v>0</x:v>
      </x:c>
      <x:c r="P743">
        <x:f t="shared" si="78"/>
        <x:v>0</x:v>
      </x:c>
      <x:c r="Q743">
        <x:f t="shared" si="79"/>
        <x:v>0</x:v>
      </x:c>
      <x:c r="R743">
        <x:f t="shared" si="80"/>
        <x:v>0</x:v>
      </x:c>
      <x:c r="S743">
        <x:f t="shared" si="81"/>
        <x:v>0</x:v>
      </x:c>
      <x:c r="T743" t="str">
        <x:f t="shared" si="82"/>
        <x:v>DerivedFromCount</x:v>
      </x:c>
      <x:c r="U743" t="str">
        <x:f>IF(COUNTIF(DailyProduction!$Q$5:$Q$100,B743)=1,"OK","CHECK")</x:f>
        <x:v>OK</x:v>
      </x:c>
      <x:c r="V743" t="str">
        <x:f t="shared" si="83"/>
        <x:v>OK</x:v>
      </x:c>
      <x:c r="W743" t="str">
        <x:f>IF(SUMIF($B$5:$B$914,B743,$S$5:$S$914)=SUMIF(DailyProduction!$Q$5:$Q$100,B743,DailyProduction!$R$5:$R$100),"OK","CHECK")</x:f>
        <x:v>OK</x:v>
      </x:c>
      <x:c r="X743" t="str">
        <x:v>PLC-PRD-JAR-720-L25</x:v>
      </x:c>
      <x:c r="Y743" t="str">
        <x:v>OK</x:v>
      </x:c>
      <x:c r="Z743" t="str">
        <x:v>OK</x:v>
      </x:c>
      <x:c r="AA743" t="n">
        <x:v>3</x:v>
      </x:c>
      <x:c r="AB743" t="n">
        <x:v>0</x:v>
      </x:c>
      <x:c r="AC743" t="str">
        <x:v>OK</x:v>
      </x:c>
      <x:c r="AD743" t="str">
        <x:v>OK</x:v>
      </x:c>
      <x:c r="AE743" t="str">
        <x:v>LOAD</x:v>
      </x:c>
      <x:c r="AF743" t="str">
        <x:v>02_Supervisor_Log(4).xlsx</x:v>
      </x:c>
      <x:c r="AG743" t="str">
        <x:v>ENH-20260830-01</x:v>
      </x:c>
      <x:c r="AH743" t="str">
        <x:v>Active</x:v>
      </x:c>
      <x:c r="AI743"/>
      <x:c r="AJ743"/>
      <x:c r="AK743"/>
      <x:c r="AL743"/>
    </x:row>
    <x:row r="744">
      <x:c r="A744" t="s">
        <x:v>990</x:v>
      </x:c>
      <x:c r="B744" t="s">
        <x:v>979</x:v>
      </x:c>
      <x:c r="C744" t="s">
        <x:v>44</x:v>
      </x:c>
      <x:c r="D744">
        <x:v>45950</x:v>
      </x:c>
      <x:c r="E744" t="s">
        <x:v>45</x:v>
      </x:c>
      <x:c r="F744" t="s">
        <x:v>55</x:v>
      </x:c>
      <x:c r="G744">
        <x:v>25</x:v>
      </x:c>
      <x:c r="H744" t="s">
        <x:v>76</x:v>
      </x:c>
      <x:c r="I744">
        <x:v>12</x:v>
      </x:c>
      <x:c r="J744">
        <x:v>8</x:v>
      </x:c>
      <x:c r="K744">
        <x:v>2</x:v>
      </x:c>
      <x:c r="L744">
        <x:f t="shared" si="77"/>
        <x:v>0</x:v>
      </x:c>
      <x:c r="P744">
        <x:f t="shared" si="78"/>
        <x:v>0</x:v>
      </x:c>
      <x:c r="Q744">
        <x:f t="shared" si="79"/>
        <x:v>0</x:v>
      </x:c>
      <x:c r="R744">
        <x:f t="shared" si="80"/>
        <x:v>0</x:v>
      </x:c>
      <x:c r="S744">
        <x:f t="shared" si="81"/>
        <x:v>0</x:v>
      </x:c>
      <x:c r="T744" t="str">
        <x:f t="shared" si="82"/>
        <x:v>DerivedFromCount</x:v>
      </x:c>
      <x:c r="U744" t="str">
        <x:f>IF(COUNTIF(DailyProduction!$Q$5:$Q$100,B744)=1,"OK","CHECK")</x:f>
        <x:v>OK</x:v>
      </x:c>
      <x:c r="V744" t="str">
        <x:f t="shared" si="83"/>
        <x:v>OK</x:v>
      </x:c>
      <x:c r="W744" t="str">
        <x:f>IF(SUMIF($B$5:$B$914,B744,$S$5:$S$914)=SUMIF(DailyProduction!$Q$5:$Q$100,B744,DailyProduction!$R$5:$R$100),"OK","CHECK")</x:f>
        <x:v>OK</x:v>
      </x:c>
      <x:c r="X744" t="str">
        <x:v>PLC-PRD-JAR-720-L25</x:v>
      </x:c>
      <x:c r="Y744" t="str">
        <x:v>OK</x:v>
      </x:c>
      <x:c r="Z744" t="str">
        <x:v>OK</x:v>
      </x:c>
      <x:c r="AA744" t="n">
        <x:v>3</x:v>
      </x:c>
      <x:c r="AB744" t="n">
        <x:v>0</x:v>
      </x:c>
      <x:c r="AC744" t="str">
        <x:v>OK</x:v>
      </x:c>
      <x:c r="AD744" t="str">
        <x:v>OK</x:v>
      </x:c>
      <x:c r="AE744" t="str">
        <x:v>LOAD</x:v>
      </x:c>
      <x:c r="AF744" t="str">
        <x:v>02_Supervisor_Log(4).xlsx</x:v>
      </x:c>
      <x:c r="AG744" t="str">
        <x:v>ENH-20260830-01</x:v>
      </x:c>
      <x:c r="AH744" t="str">
        <x:v>Active</x:v>
      </x:c>
      <x:c r="AI744"/>
      <x:c r="AJ744"/>
      <x:c r="AK744"/>
      <x:c r="AL744"/>
    </x:row>
    <x:row r="745">
      <x:c r="A745" t="s">
        <x:v>991</x:v>
      </x:c>
      <x:c r="B745" t="s">
        <x:v>979</x:v>
      </x:c>
      <x:c r="C745" t="s">
        <x:v>44</x:v>
      </x:c>
      <x:c r="D745">
        <x:v>45950</x:v>
      </x:c>
      <x:c r="E745" t="s">
        <x:v>45</x:v>
      </x:c>
      <x:c r="F745" t="s">
        <x:v>55</x:v>
      </x:c>
      <x:c r="G745">
        <x:v>25</x:v>
      </x:c>
      <x:c r="H745" t="s">
        <x:v>76</x:v>
      </x:c>
      <x:c r="I745">
        <x:v>13</x:v>
      </x:c>
      <x:c r="J745">
        <x:v>8</x:v>
      </x:c>
      <x:c r="K745">
        <x:v>2</x:v>
      </x:c>
      <x:c r="L745">
        <x:f t="shared" si="77"/>
        <x:v>0</x:v>
      </x:c>
      <x:c r="P745">
        <x:f t="shared" si="78"/>
        <x:v>0</x:v>
      </x:c>
      <x:c r="Q745">
        <x:f t="shared" si="79"/>
        <x:v>0</x:v>
      </x:c>
      <x:c r="R745">
        <x:f t="shared" si="80"/>
        <x:v>0</x:v>
      </x:c>
      <x:c r="S745">
        <x:f t="shared" si="81"/>
        <x:v>0</x:v>
      </x:c>
      <x:c r="T745" t="str">
        <x:f t="shared" si="82"/>
        <x:v>DerivedFromCount</x:v>
      </x:c>
      <x:c r="U745" t="str">
        <x:f>IF(COUNTIF(DailyProduction!$Q$5:$Q$100,B745)=1,"OK","CHECK")</x:f>
        <x:v>OK</x:v>
      </x:c>
      <x:c r="V745" t="str">
        <x:f t="shared" si="83"/>
        <x:v>OK</x:v>
      </x:c>
      <x:c r="W745" t="str">
        <x:f>IF(SUMIF($B$5:$B$914,B745,$S$5:$S$914)=SUMIF(DailyProduction!$Q$5:$Q$100,B745,DailyProduction!$R$5:$R$100),"OK","CHECK")</x:f>
        <x:v>OK</x:v>
      </x:c>
      <x:c r="X745" t="str">
        <x:v>PLC-PRD-JAR-720-L25</x:v>
      </x:c>
      <x:c r="Y745" t="str">
        <x:v>OK</x:v>
      </x:c>
      <x:c r="Z745" t="str">
        <x:v>OK</x:v>
      </x:c>
      <x:c r="AA745" t="n">
        <x:v>3</x:v>
      </x:c>
      <x:c r="AB745" t="n">
        <x:v>0</x:v>
      </x:c>
      <x:c r="AC745" t="str">
        <x:v>OK</x:v>
      </x:c>
      <x:c r="AD745" t="str">
        <x:v>OK</x:v>
      </x:c>
      <x:c r="AE745" t="str">
        <x:v>LOAD</x:v>
      </x:c>
      <x:c r="AF745" t="str">
        <x:v>02_Supervisor_Log(4).xlsx</x:v>
      </x:c>
      <x:c r="AG745" t="str">
        <x:v>ENH-20260830-01</x:v>
      </x:c>
      <x:c r="AH745" t="str">
        <x:v>Active</x:v>
      </x:c>
      <x:c r="AI745"/>
      <x:c r="AJ745"/>
      <x:c r="AK745"/>
      <x:c r="AL745"/>
    </x:row>
    <x:row r="746">
      <x:c r="A746" t="s">
        <x:v>992</x:v>
      </x:c>
      <x:c r="B746" t="s">
        <x:v>993</x:v>
      </x:c>
      <x:c r="C746" t="s">
        <x:v>44</x:v>
      </x:c>
      <x:c r="D746">
        <x:v>45950</x:v>
      </x:c>
      <x:c r="E746" t="s">
        <x:v>187</x:v>
      </x:c>
      <x:c r="F746" t="s">
        <x:v>46</x:v>
      </x:c>
      <x:c r="G746">
        <x:v>25</x:v>
      </x:c>
      <x:c r="H746" t="s">
        <x:v>76</x:v>
      </x:c>
      <x:c r="I746">
        <x:v>1</x:v>
      </x:c>
      <x:c r="J746">
        <x:v>8</x:v>
      </x:c>
      <x:c r="K746">
        <x:v>2</x:v>
      </x:c>
      <x:c r="L746">
        <x:f t="shared" si="77"/>
        <x:v>1</x:v>
      </x:c>
      <x:c r="P746">
        <x:f t="shared" si="78"/>
        <x:v>1</x:v>
      </x:c>
      <x:c r="Q746">
        <x:f t="shared" si="79"/>
        <x:v>1</x:v>
      </x:c>
      <x:c r="R746">
        <x:f t="shared" si="80"/>
        <x:v>0</x:v>
      </x:c>
      <x:c r="S746">
        <x:f t="shared" si="81"/>
        <x:v>2</x:v>
      </x:c>
      <x:c r="T746" t="str">
        <x:f t="shared" si="82"/>
        <x:v>DerivedFromCount</x:v>
      </x:c>
      <x:c r="U746" t="str">
        <x:f>IF(COUNTIF(DailyProduction!$Q$5:$Q$100,B746)=1,"OK","CHECK")</x:f>
        <x:v>OK</x:v>
      </x:c>
      <x:c r="V746" t="str">
        <x:f t="shared" si="83"/>
        <x:v>OK</x:v>
      </x:c>
      <x:c r="W746" t="str">
        <x:f>IF(SUMIF($B$5:$B$914,B746,$S$5:$S$914)=SUMIF(DailyProduction!$Q$5:$Q$100,B746,DailyProduction!$R$5:$R$100),"OK","CHECK")</x:f>
        <x:v>OK</x:v>
      </x:c>
      <x:c r="X746" t="str">
        <x:v>PLC-PRD-JAR-720-L25</x:v>
      </x:c>
      <x:c r="Y746" t="str">
        <x:v>OK</x:v>
      </x:c>
      <x:c r="Z746" t="str">
        <x:v>OK</x:v>
      </x:c>
      <x:c r="AA746" t="n">
        <x:v>3</x:v>
      </x:c>
      <x:c r="AB746" t="n">
        <x:v>2</x:v>
      </x:c>
      <x:c r="AC746" t="str">
        <x:v>OK</x:v>
      </x:c>
      <x:c r="AD746" t="str">
        <x:v>OK</x:v>
      </x:c>
      <x:c r="AE746" t="str">
        <x:v>LOAD</x:v>
      </x:c>
      <x:c r="AF746" t="str">
        <x:v>02_Supervisor_Log(4).xlsx</x:v>
      </x:c>
      <x:c r="AG746" t="str">
        <x:v>ENH-20260830-01</x:v>
      </x:c>
      <x:c r="AH746" t="str">
        <x:v>Active</x:v>
      </x:c>
      <x:c r="AI746"/>
      <x:c r="AJ746"/>
      <x:c r="AK746"/>
      <x:c r="AL746"/>
    </x:row>
    <x:row r="747">
      <x:c r="A747" t="s">
        <x:v>994</x:v>
      </x:c>
      <x:c r="B747" t="s">
        <x:v>993</x:v>
      </x:c>
      <x:c r="C747" t="s">
        <x:v>44</x:v>
      </x:c>
      <x:c r="D747">
        <x:v>45950</x:v>
      </x:c>
      <x:c r="E747" t="s">
        <x:v>187</x:v>
      </x:c>
      <x:c r="F747" t="s">
        <x:v>46</x:v>
      </x:c>
      <x:c r="G747">
        <x:v>25</x:v>
      </x:c>
      <x:c r="H747" t="s">
        <x:v>76</x:v>
      </x:c>
      <x:c r="I747">
        <x:v>2</x:v>
      </x:c>
      <x:c r="J747">
        <x:v>8</x:v>
      </x:c>
      <x:c r="K747">
        <x:v>2</x:v>
      </x:c>
      <x:c r="L747">
        <x:f t="shared" si="77"/>
        <x:v>1</x:v>
      </x:c>
      <x:c r="P747">
        <x:f t="shared" si="78"/>
        <x:v>1</x:v>
      </x:c>
      <x:c r="Q747">
        <x:f t="shared" si="79"/>
        <x:v>1</x:v>
      </x:c>
      <x:c r="R747">
        <x:f t="shared" si="80"/>
        <x:v>0</x:v>
      </x:c>
      <x:c r="S747">
        <x:f t="shared" si="81"/>
        <x:v>2</x:v>
      </x:c>
      <x:c r="T747" t="str">
        <x:f t="shared" si="82"/>
        <x:v>DerivedFromCount</x:v>
      </x:c>
      <x:c r="U747" t="str">
        <x:f>IF(COUNTIF(DailyProduction!$Q$5:$Q$100,B747)=1,"OK","CHECK")</x:f>
        <x:v>OK</x:v>
      </x:c>
      <x:c r="V747" t="str">
        <x:f t="shared" si="83"/>
        <x:v>OK</x:v>
      </x:c>
      <x:c r="W747" t="str">
        <x:f>IF(SUMIF($B$5:$B$914,B747,$S$5:$S$914)=SUMIF(DailyProduction!$Q$5:$Q$100,B747,DailyProduction!$R$5:$R$100),"OK","CHECK")</x:f>
        <x:v>OK</x:v>
      </x:c>
      <x:c r="X747" t="str">
        <x:v>PLC-PRD-JAR-720-L25</x:v>
      </x:c>
      <x:c r="Y747" t="str">
        <x:v>OK</x:v>
      </x:c>
      <x:c r="Z747" t="str">
        <x:v>OK</x:v>
      </x:c>
      <x:c r="AA747" t="n">
        <x:v>3</x:v>
      </x:c>
      <x:c r="AB747" t="n">
        <x:v>2</x:v>
      </x:c>
      <x:c r="AC747" t="str">
        <x:v>OK</x:v>
      </x:c>
      <x:c r="AD747" t="str">
        <x:v>OK</x:v>
      </x:c>
      <x:c r="AE747" t="str">
        <x:v>LOAD</x:v>
      </x:c>
      <x:c r="AF747" t="str">
        <x:v>02_Supervisor_Log(4).xlsx</x:v>
      </x:c>
      <x:c r="AG747" t="str">
        <x:v>ENH-20260830-01</x:v>
      </x:c>
      <x:c r="AH747" t="str">
        <x:v>Active</x:v>
      </x:c>
      <x:c r="AI747"/>
      <x:c r="AJ747"/>
      <x:c r="AK747"/>
      <x:c r="AL747"/>
    </x:row>
    <x:row r="748">
      <x:c r="A748" t="s">
        <x:v>995</x:v>
      </x:c>
      <x:c r="B748" t="s">
        <x:v>993</x:v>
      </x:c>
      <x:c r="C748" t="s">
        <x:v>44</x:v>
      </x:c>
      <x:c r="D748">
        <x:v>45950</x:v>
      </x:c>
      <x:c r="E748" t="s">
        <x:v>187</x:v>
      </x:c>
      <x:c r="F748" t="s">
        <x:v>46</x:v>
      </x:c>
      <x:c r="G748">
        <x:v>25</x:v>
      </x:c>
      <x:c r="H748" t="s">
        <x:v>76</x:v>
      </x:c>
      <x:c r="I748">
        <x:v>3</x:v>
      </x:c>
      <x:c r="J748">
        <x:v>8</x:v>
      </x:c>
      <x:c r="K748">
        <x:v>2</x:v>
      </x:c>
      <x:c r="L748">
        <x:f t="shared" si="77"/>
        <x:v>1</x:v>
      </x:c>
      <x:c r="P748">
        <x:f t="shared" si="78"/>
        <x:v>1</x:v>
      </x:c>
      <x:c r="Q748">
        <x:f t="shared" si="79"/>
        <x:v>1</x:v>
      </x:c>
      <x:c r="R748">
        <x:f t="shared" si="80"/>
        <x:v>0</x:v>
      </x:c>
      <x:c r="S748">
        <x:f t="shared" si="81"/>
        <x:v>2</x:v>
      </x:c>
      <x:c r="T748" t="str">
        <x:f t="shared" si="82"/>
        <x:v>DerivedFromCount</x:v>
      </x:c>
      <x:c r="U748" t="str">
        <x:f>IF(COUNTIF(DailyProduction!$Q$5:$Q$100,B748)=1,"OK","CHECK")</x:f>
        <x:v>OK</x:v>
      </x:c>
      <x:c r="V748" t="str">
        <x:f t="shared" si="83"/>
        <x:v>OK</x:v>
      </x:c>
      <x:c r="W748" t="str">
        <x:f>IF(SUMIF($B$5:$B$914,B748,$S$5:$S$914)=SUMIF(DailyProduction!$Q$5:$Q$100,B748,DailyProduction!$R$5:$R$100),"OK","CHECK")</x:f>
        <x:v>OK</x:v>
      </x:c>
      <x:c r="X748" t="str">
        <x:v>PLC-PRD-JAR-720-L25</x:v>
      </x:c>
      <x:c r="Y748" t="str">
        <x:v>OK</x:v>
      </x:c>
      <x:c r="Z748" t="str">
        <x:v>OK</x:v>
      </x:c>
      <x:c r="AA748" t="n">
        <x:v>3</x:v>
      </x:c>
      <x:c r="AB748" t="n">
        <x:v>2</x:v>
      </x:c>
      <x:c r="AC748" t="str">
        <x:v>OK</x:v>
      </x:c>
      <x:c r="AD748" t="str">
        <x:v>OK</x:v>
      </x:c>
      <x:c r="AE748" t="str">
        <x:v>LOAD</x:v>
      </x:c>
      <x:c r="AF748" t="str">
        <x:v>02_Supervisor_Log(4).xlsx</x:v>
      </x:c>
      <x:c r="AG748" t="str">
        <x:v>ENH-20260830-01</x:v>
      </x:c>
      <x:c r="AH748" t="str">
        <x:v>Active</x:v>
      </x:c>
      <x:c r="AI748"/>
      <x:c r="AJ748"/>
      <x:c r="AK748"/>
      <x:c r="AL748"/>
    </x:row>
    <x:row r="749">
      <x:c r="A749" t="s">
        <x:v>996</x:v>
      </x:c>
      <x:c r="B749" t="s">
        <x:v>993</x:v>
      </x:c>
      <x:c r="C749" t="s">
        <x:v>44</x:v>
      </x:c>
      <x:c r="D749">
        <x:v>45950</x:v>
      </x:c>
      <x:c r="E749" t="s">
        <x:v>187</x:v>
      </x:c>
      <x:c r="F749" t="s">
        <x:v>46</x:v>
      </x:c>
      <x:c r="G749">
        <x:v>25</x:v>
      </x:c>
      <x:c r="H749" t="s">
        <x:v>76</x:v>
      </x:c>
      <x:c r="I749">
        <x:v>4</x:v>
      </x:c>
      <x:c r="J749">
        <x:v>8</x:v>
      </x:c>
      <x:c r="K749">
        <x:v>2</x:v>
      </x:c>
      <x:c r="L749">
        <x:f t="shared" si="77"/>
        <x:v>1</x:v>
      </x:c>
      <x:c r="P749">
        <x:f t="shared" si="78"/>
        <x:v>1</x:v>
      </x:c>
      <x:c r="Q749">
        <x:f t="shared" si="79"/>
        <x:v>1</x:v>
      </x:c>
      <x:c r="R749">
        <x:f t="shared" si="80"/>
        <x:v>0</x:v>
      </x:c>
      <x:c r="S749">
        <x:f t="shared" si="81"/>
        <x:v>2</x:v>
      </x:c>
      <x:c r="T749" t="str">
        <x:f t="shared" si="82"/>
        <x:v>DerivedFromCount</x:v>
      </x:c>
      <x:c r="U749" t="str">
        <x:f>IF(COUNTIF(DailyProduction!$Q$5:$Q$100,B749)=1,"OK","CHECK")</x:f>
        <x:v>OK</x:v>
      </x:c>
      <x:c r="V749" t="str">
        <x:f t="shared" si="83"/>
        <x:v>OK</x:v>
      </x:c>
      <x:c r="W749" t="str">
        <x:f>IF(SUMIF($B$5:$B$914,B749,$S$5:$S$914)=SUMIF(DailyProduction!$Q$5:$Q$100,B749,DailyProduction!$R$5:$R$100),"OK","CHECK")</x:f>
        <x:v>OK</x:v>
      </x:c>
      <x:c r="X749" t="str">
        <x:v>PLC-PRD-JAR-720-L25</x:v>
      </x:c>
      <x:c r="Y749" t="str">
        <x:v>OK</x:v>
      </x:c>
      <x:c r="Z749" t="str">
        <x:v>OK</x:v>
      </x:c>
      <x:c r="AA749" t="n">
        <x:v>3</x:v>
      </x:c>
      <x:c r="AB749" t="n">
        <x:v>2</x:v>
      </x:c>
      <x:c r="AC749" t="str">
        <x:v>OK</x:v>
      </x:c>
      <x:c r="AD749" t="str">
        <x:v>OK</x:v>
      </x:c>
      <x:c r="AE749" t="str">
        <x:v>LOAD</x:v>
      </x:c>
      <x:c r="AF749" t="str">
        <x:v>02_Supervisor_Log(4).xlsx</x:v>
      </x:c>
      <x:c r="AG749" t="str">
        <x:v>ENH-20260830-01</x:v>
      </x:c>
      <x:c r="AH749" t="str">
        <x:v>Active</x:v>
      </x:c>
      <x:c r="AI749"/>
      <x:c r="AJ749"/>
      <x:c r="AK749"/>
      <x:c r="AL749"/>
    </x:row>
    <x:row r="750">
      <x:c r="A750" t="s">
        <x:v>997</x:v>
      </x:c>
      <x:c r="B750" t="s">
        <x:v>993</x:v>
      </x:c>
      <x:c r="C750" t="s">
        <x:v>44</x:v>
      </x:c>
      <x:c r="D750">
        <x:v>45950</x:v>
      </x:c>
      <x:c r="E750" t="s">
        <x:v>187</x:v>
      </x:c>
      <x:c r="F750" t="s">
        <x:v>46</x:v>
      </x:c>
      <x:c r="G750">
        <x:v>25</x:v>
      </x:c>
      <x:c r="H750" t="s">
        <x:v>76</x:v>
      </x:c>
      <x:c r="I750">
        <x:v>5</x:v>
      </x:c>
      <x:c r="J750">
        <x:v>8</x:v>
      </x:c>
      <x:c r="K750">
        <x:v>2</x:v>
      </x:c>
      <x:c r="L750">
        <x:f t="shared" si="77"/>
        <x:v>1</x:v>
      </x:c>
      <x:c r="P750">
        <x:f t="shared" si="78"/>
        <x:v>1</x:v>
      </x:c>
      <x:c r="Q750">
        <x:f t="shared" si="79"/>
        <x:v>1</x:v>
      </x:c>
      <x:c r="R750">
        <x:f t="shared" si="80"/>
        <x:v>0</x:v>
      </x:c>
      <x:c r="S750">
        <x:f t="shared" si="81"/>
        <x:v>2</x:v>
      </x:c>
      <x:c r="T750" t="str">
        <x:f t="shared" si="82"/>
        <x:v>DerivedFromCount</x:v>
      </x:c>
      <x:c r="U750" t="str">
        <x:f>IF(COUNTIF(DailyProduction!$Q$5:$Q$100,B750)=1,"OK","CHECK")</x:f>
        <x:v>OK</x:v>
      </x:c>
      <x:c r="V750" t="str">
        <x:f t="shared" si="83"/>
        <x:v>OK</x:v>
      </x:c>
      <x:c r="W750" t="str">
        <x:f>IF(SUMIF($B$5:$B$914,B750,$S$5:$S$914)=SUMIF(DailyProduction!$Q$5:$Q$100,B750,DailyProduction!$R$5:$R$100),"OK","CHECK")</x:f>
        <x:v>OK</x:v>
      </x:c>
      <x:c r="X750" t="str">
        <x:v>PLC-PRD-JAR-720-L25</x:v>
      </x:c>
      <x:c r="Y750" t="str">
        <x:v>OK</x:v>
      </x:c>
      <x:c r="Z750" t="str">
        <x:v>OK</x:v>
      </x:c>
      <x:c r="AA750" t="n">
        <x:v>3</x:v>
      </x:c>
      <x:c r="AB750" t="n">
        <x:v>2</x:v>
      </x:c>
      <x:c r="AC750" t="str">
        <x:v>OK</x:v>
      </x:c>
      <x:c r="AD750" t="str">
        <x:v>OK</x:v>
      </x:c>
      <x:c r="AE750" t="str">
        <x:v>LOAD</x:v>
      </x:c>
      <x:c r="AF750" t="str">
        <x:v>02_Supervisor_Log(4).xlsx</x:v>
      </x:c>
      <x:c r="AG750" t="str">
        <x:v>ENH-20260830-01</x:v>
      </x:c>
      <x:c r="AH750" t="str">
        <x:v>Active</x:v>
      </x:c>
      <x:c r="AI750"/>
      <x:c r="AJ750"/>
      <x:c r="AK750"/>
      <x:c r="AL750"/>
    </x:row>
    <x:row r="751">
      <x:c r="A751" t="s">
        <x:v>998</x:v>
      </x:c>
      <x:c r="B751" t="s">
        <x:v>993</x:v>
      </x:c>
      <x:c r="C751" t="s">
        <x:v>44</x:v>
      </x:c>
      <x:c r="D751">
        <x:v>45950</x:v>
      </x:c>
      <x:c r="E751" t="s">
        <x:v>187</x:v>
      </x:c>
      <x:c r="F751" t="s">
        <x:v>46</x:v>
      </x:c>
      <x:c r="G751">
        <x:v>25</x:v>
      </x:c>
      <x:c r="H751" t="s">
        <x:v>76</x:v>
      </x:c>
      <x:c r="I751">
        <x:v>6</x:v>
      </x:c>
      <x:c r="J751">
        <x:v>8</x:v>
      </x:c>
      <x:c r="K751">
        <x:v>2</x:v>
      </x:c>
      <x:c r="L751">
        <x:f t="shared" si="77"/>
        <x:v>1</x:v>
      </x:c>
      <x:c r="P751">
        <x:f t="shared" si="78"/>
        <x:v>1</x:v>
      </x:c>
      <x:c r="Q751">
        <x:f t="shared" si="79"/>
        <x:v>1</x:v>
      </x:c>
      <x:c r="R751">
        <x:f t="shared" si="80"/>
        <x:v>0</x:v>
      </x:c>
      <x:c r="S751">
        <x:f t="shared" si="81"/>
        <x:v>2</x:v>
      </x:c>
      <x:c r="T751" t="str">
        <x:f t="shared" si="82"/>
        <x:v>DerivedFromCount</x:v>
      </x:c>
      <x:c r="U751" t="str">
        <x:f>IF(COUNTIF(DailyProduction!$Q$5:$Q$100,B751)=1,"OK","CHECK")</x:f>
        <x:v>OK</x:v>
      </x:c>
      <x:c r="V751" t="str">
        <x:f t="shared" si="83"/>
        <x:v>OK</x:v>
      </x:c>
      <x:c r="W751" t="str">
        <x:f>IF(SUMIF($B$5:$B$914,B751,$S$5:$S$914)=SUMIF(DailyProduction!$Q$5:$Q$100,B751,DailyProduction!$R$5:$R$100),"OK","CHECK")</x:f>
        <x:v>OK</x:v>
      </x:c>
      <x:c r="X751" t="str">
        <x:v>PLC-PRD-JAR-720-L25</x:v>
      </x:c>
      <x:c r="Y751" t="str">
        <x:v>OK</x:v>
      </x:c>
      <x:c r="Z751" t="str">
        <x:v>OK</x:v>
      </x:c>
      <x:c r="AA751" t="n">
        <x:v>3</x:v>
      </x:c>
      <x:c r="AB751" t="n">
        <x:v>2</x:v>
      </x:c>
      <x:c r="AC751" t="str">
        <x:v>OK</x:v>
      </x:c>
      <x:c r="AD751" t="str">
        <x:v>OK</x:v>
      </x:c>
      <x:c r="AE751" t="str">
        <x:v>LOAD</x:v>
      </x:c>
      <x:c r="AF751" t="str">
        <x:v>02_Supervisor_Log(4).xlsx</x:v>
      </x:c>
      <x:c r="AG751" t="str">
        <x:v>ENH-20260830-01</x:v>
      </x:c>
      <x:c r="AH751" t="str">
        <x:v>Active</x:v>
      </x:c>
      <x:c r="AI751"/>
      <x:c r="AJ751"/>
      <x:c r="AK751"/>
      <x:c r="AL751"/>
    </x:row>
    <x:row r="752">
      <x:c r="A752" t="s">
        <x:v>999</x:v>
      </x:c>
      <x:c r="B752" t="s">
        <x:v>993</x:v>
      </x:c>
      <x:c r="C752" t="s">
        <x:v>44</x:v>
      </x:c>
      <x:c r="D752">
        <x:v>45950</x:v>
      </x:c>
      <x:c r="E752" t="s">
        <x:v>187</x:v>
      </x:c>
      <x:c r="F752" t="s">
        <x:v>46</x:v>
      </x:c>
      <x:c r="G752">
        <x:v>25</x:v>
      </x:c>
      <x:c r="H752" t="s">
        <x:v>76</x:v>
      </x:c>
      <x:c r="I752">
        <x:v>7</x:v>
      </x:c>
      <x:c r="J752">
        <x:v>8</x:v>
      </x:c>
      <x:c r="K752">
        <x:v>2</x:v>
      </x:c>
      <x:c r="L752">
        <x:f t="shared" si="77"/>
        <x:v>1</x:v>
      </x:c>
      <x:c r="P752">
        <x:f t="shared" si="78"/>
        <x:v>1</x:v>
      </x:c>
      <x:c r="Q752">
        <x:f t="shared" si="79"/>
        <x:v>1</x:v>
      </x:c>
      <x:c r="R752">
        <x:f t="shared" si="80"/>
        <x:v>0</x:v>
      </x:c>
      <x:c r="S752">
        <x:f t="shared" si="81"/>
        <x:v>2</x:v>
      </x:c>
      <x:c r="T752" t="str">
        <x:f t="shared" si="82"/>
        <x:v>DerivedFromCount</x:v>
      </x:c>
      <x:c r="U752" t="str">
        <x:f>IF(COUNTIF(DailyProduction!$Q$5:$Q$100,B752)=1,"OK","CHECK")</x:f>
        <x:v>OK</x:v>
      </x:c>
      <x:c r="V752" t="str">
        <x:f t="shared" si="83"/>
        <x:v>OK</x:v>
      </x:c>
      <x:c r="W752" t="str">
        <x:f>IF(SUMIF($B$5:$B$914,B752,$S$5:$S$914)=SUMIF(DailyProduction!$Q$5:$Q$100,B752,DailyProduction!$R$5:$R$100),"OK","CHECK")</x:f>
        <x:v>OK</x:v>
      </x:c>
      <x:c r="X752" t="str">
        <x:v>PLC-PRD-JAR-720-L25</x:v>
      </x:c>
      <x:c r="Y752" t="str">
        <x:v>OK</x:v>
      </x:c>
      <x:c r="Z752" t="str">
        <x:v>OK</x:v>
      </x:c>
      <x:c r="AA752" t="n">
        <x:v>3</x:v>
      </x:c>
      <x:c r="AB752" t="n">
        <x:v>2</x:v>
      </x:c>
      <x:c r="AC752" t="str">
        <x:v>OK</x:v>
      </x:c>
      <x:c r="AD752" t="str">
        <x:v>OK</x:v>
      </x:c>
      <x:c r="AE752" t="str">
        <x:v>LOAD</x:v>
      </x:c>
      <x:c r="AF752" t="str">
        <x:v>02_Supervisor_Log(4).xlsx</x:v>
      </x:c>
      <x:c r="AG752" t="str">
        <x:v>ENH-20260830-01</x:v>
      </x:c>
      <x:c r="AH752" t="str">
        <x:v>Active</x:v>
      </x:c>
      <x:c r="AI752"/>
      <x:c r="AJ752"/>
      <x:c r="AK752"/>
      <x:c r="AL752"/>
    </x:row>
    <x:row r="753">
      <x:c r="A753" t="s">
        <x:v>1000</x:v>
      </x:c>
      <x:c r="B753" t="s">
        <x:v>993</x:v>
      </x:c>
      <x:c r="C753" t="s">
        <x:v>44</x:v>
      </x:c>
      <x:c r="D753">
        <x:v>45950</x:v>
      </x:c>
      <x:c r="E753" t="s">
        <x:v>187</x:v>
      </x:c>
      <x:c r="F753" t="s">
        <x:v>46</x:v>
      </x:c>
      <x:c r="G753">
        <x:v>25</x:v>
      </x:c>
      <x:c r="H753" t="s">
        <x:v>76</x:v>
      </x:c>
      <x:c r="I753">
        <x:v>8</x:v>
      </x:c>
      <x:c r="J753">
        <x:v>8</x:v>
      </x:c>
      <x:c r="K753">
        <x:v>2</x:v>
      </x:c>
      <x:c r="L753">
        <x:f t="shared" si="77"/>
        <x:v>1</x:v>
      </x:c>
      <x:c r="P753">
        <x:f t="shared" si="78"/>
        <x:v>1</x:v>
      </x:c>
      <x:c r="Q753">
        <x:f t="shared" si="79"/>
        <x:v>1</x:v>
      </x:c>
      <x:c r="R753">
        <x:f t="shared" si="80"/>
        <x:v>0</x:v>
      </x:c>
      <x:c r="S753">
        <x:f t="shared" si="81"/>
        <x:v>2</x:v>
      </x:c>
      <x:c r="T753" t="str">
        <x:f t="shared" si="82"/>
        <x:v>DerivedFromCount</x:v>
      </x:c>
      <x:c r="U753" t="str">
        <x:f>IF(COUNTIF(DailyProduction!$Q$5:$Q$100,B753)=1,"OK","CHECK")</x:f>
        <x:v>OK</x:v>
      </x:c>
      <x:c r="V753" t="str">
        <x:f t="shared" si="83"/>
        <x:v>OK</x:v>
      </x:c>
      <x:c r="W753" t="str">
        <x:f>IF(SUMIF($B$5:$B$914,B753,$S$5:$S$914)=SUMIF(DailyProduction!$Q$5:$Q$100,B753,DailyProduction!$R$5:$R$100),"OK","CHECK")</x:f>
        <x:v>OK</x:v>
      </x:c>
      <x:c r="X753" t="str">
        <x:v>PLC-PRD-JAR-720-L25</x:v>
      </x:c>
      <x:c r="Y753" t="str">
        <x:v>OK</x:v>
      </x:c>
      <x:c r="Z753" t="str">
        <x:v>OK</x:v>
      </x:c>
      <x:c r="AA753" t="n">
        <x:v>3</x:v>
      </x:c>
      <x:c r="AB753" t="n">
        <x:v>2</x:v>
      </x:c>
      <x:c r="AC753" t="str">
        <x:v>OK</x:v>
      </x:c>
      <x:c r="AD753" t="str">
        <x:v>OK</x:v>
      </x:c>
      <x:c r="AE753" t="str">
        <x:v>LOAD</x:v>
      </x:c>
      <x:c r="AF753" t="str">
        <x:v>02_Supervisor_Log(4).xlsx</x:v>
      </x:c>
      <x:c r="AG753" t="str">
        <x:v>ENH-20260830-01</x:v>
      </x:c>
      <x:c r="AH753" t="str">
        <x:v>Active</x:v>
      </x:c>
      <x:c r="AI753"/>
      <x:c r="AJ753"/>
      <x:c r="AK753"/>
      <x:c r="AL753"/>
    </x:row>
    <x:row r="754">
      <x:c r="A754" t="s">
        <x:v>1001</x:v>
      </x:c>
      <x:c r="B754" t="s">
        <x:v>993</x:v>
      </x:c>
      <x:c r="C754" t="s">
        <x:v>44</x:v>
      </x:c>
      <x:c r="D754">
        <x:v>45950</x:v>
      </x:c>
      <x:c r="E754" t="s">
        <x:v>187</x:v>
      </x:c>
      <x:c r="F754" t="s">
        <x:v>46</x:v>
      </x:c>
      <x:c r="G754">
        <x:v>25</x:v>
      </x:c>
      <x:c r="H754" t="s">
        <x:v>76</x:v>
      </x:c>
      <x:c r="I754">
        <x:v>9</x:v>
      </x:c>
      <x:c r="J754">
        <x:v>8</x:v>
      </x:c>
      <x:c r="K754">
        <x:v>2</x:v>
      </x:c>
      <x:c r="L754">
        <x:f t="shared" si="77"/>
        <x:v>0</x:v>
      </x:c>
      <x:c r="P754">
        <x:f t="shared" si="78"/>
        <x:v>0</x:v>
      </x:c>
      <x:c r="Q754">
        <x:f t="shared" si="79"/>
        <x:v>0</x:v>
      </x:c>
      <x:c r="R754">
        <x:f t="shared" si="80"/>
        <x:v>0</x:v>
      </x:c>
      <x:c r="S754">
        <x:f t="shared" si="81"/>
        <x:v>0</x:v>
      </x:c>
      <x:c r="T754" t="str">
        <x:f t="shared" si="82"/>
        <x:v>DerivedFromCount</x:v>
      </x:c>
      <x:c r="U754" t="str">
        <x:f>IF(COUNTIF(DailyProduction!$Q$5:$Q$100,B754)=1,"OK","CHECK")</x:f>
        <x:v>OK</x:v>
      </x:c>
      <x:c r="V754" t="str">
        <x:f t="shared" si="83"/>
        <x:v>OK</x:v>
      </x:c>
      <x:c r="W754" t="str">
        <x:f>IF(SUMIF($B$5:$B$914,B754,$S$5:$S$914)=SUMIF(DailyProduction!$Q$5:$Q$100,B754,DailyProduction!$R$5:$R$100),"OK","CHECK")</x:f>
        <x:v>OK</x:v>
      </x:c>
      <x:c r="X754" t="str">
        <x:v>PLC-PRD-JAR-720-L25</x:v>
      </x:c>
      <x:c r="Y754" t="str">
        <x:v>OK</x:v>
      </x:c>
      <x:c r="Z754" t="str">
        <x:v>OK</x:v>
      </x:c>
      <x:c r="AA754" t="n">
        <x:v>3</x:v>
      </x:c>
      <x:c r="AB754" t="n">
        <x:v>0</x:v>
      </x:c>
      <x:c r="AC754" t="str">
        <x:v>OK</x:v>
      </x:c>
      <x:c r="AD754" t="str">
        <x:v>OK</x:v>
      </x:c>
      <x:c r="AE754" t="str">
        <x:v>LOAD</x:v>
      </x:c>
      <x:c r="AF754" t="str">
        <x:v>02_Supervisor_Log(4).xlsx</x:v>
      </x:c>
      <x:c r="AG754" t="str">
        <x:v>ENH-20260830-01</x:v>
      </x:c>
      <x:c r="AH754" t="str">
        <x:v>Active</x:v>
      </x:c>
      <x:c r="AI754"/>
      <x:c r="AJ754"/>
      <x:c r="AK754"/>
      <x:c r="AL754"/>
    </x:row>
    <x:row r="755">
      <x:c r="A755" t="s">
        <x:v>1002</x:v>
      </x:c>
      <x:c r="B755" t="s">
        <x:v>993</x:v>
      </x:c>
      <x:c r="C755" t="s">
        <x:v>44</x:v>
      </x:c>
      <x:c r="D755">
        <x:v>45950</x:v>
      </x:c>
      <x:c r="E755" t="s">
        <x:v>187</x:v>
      </x:c>
      <x:c r="F755" t="s">
        <x:v>46</x:v>
      </x:c>
      <x:c r="G755">
        <x:v>25</x:v>
      </x:c>
      <x:c r="H755" t="s">
        <x:v>76</x:v>
      </x:c>
      <x:c r="I755">
        <x:v>10</x:v>
      </x:c>
      <x:c r="J755">
        <x:v>8</x:v>
      </x:c>
      <x:c r="K755">
        <x:v>2</x:v>
      </x:c>
      <x:c r="L755">
        <x:f t="shared" si="77"/>
        <x:v>0</x:v>
      </x:c>
      <x:c r="P755">
        <x:f t="shared" si="78"/>
        <x:v>0</x:v>
      </x:c>
      <x:c r="Q755">
        <x:f t="shared" si="79"/>
        <x:v>0</x:v>
      </x:c>
      <x:c r="R755">
        <x:f t="shared" si="80"/>
        <x:v>0</x:v>
      </x:c>
      <x:c r="S755">
        <x:f t="shared" si="81"/>
        <x:v>0</x:v>
      </x:c>
      <x:c r="T755" t="str">
        <x:f t="shared" si="82"/>
        <x:v>DerivedFromCount</x:v>
      </x:c>
      <x:c r="U755" t="str">
        <x:f>IF(COUNTIF(DailyProduction!$Q$5:$Q$100,B755)=1,"OK","CHECK")</x:f>
        <x:v>OK</x:v>
      </x:c>
      <x:c r="V755" t="str">
        <x:f t="shared" si="83"/>
        <x:v>OK</x:v>
      </x:c>
      <x:c r="W755" t="str">
        <x:f>IF(SUMIF($B$5:$B$914,B755,$S$5:$S$914)=SUMIF(DailyProduction!$Q$5:$Q$100,B755,DailyProduction!$R$5:$R$100),"OK","CHECK")</x:f>
        <x:v>OK</x:v>
      </x:c>
      <x:c r="X755" t="str">
        <x:v>PLC-PRD-JAR-720-L25</x:v>
      </x:c>
      <x:c r="Y755" t="str">
        <x:v>OK</x:v>
      </x:c>
      <x:c r="Z755" t="str">
        <x:v>OK</x:v>
      </x:c>
      <x:c r="AA755" t="n">
        <x:v>3</x:v>
      </x:c>
      <x:c r="AB755" t="n">
        <x:v>0</x:v>
      </x:c>
      <x:c r="AC755" t="str">
        <x:v>OK</x:v>
      </x:c>
      <x:c r="AD755" t="str">
        <x:v>OK</x:v>
      </x:c>
      <x:c r="AE755" t="str">
        <x:v>LOAD</x:v>
      </x:c>
      <x:c r="AF755" t="str">
        <x:v>02_Supervisor_Log(4).xlsx</x:v>
      </x:c>
      <x:c r="AG755" t="str">
        <x:v>ENH-20260830-01</x:v>
      </x:c>
      <x:c r="AH755" t="str">
        <x:v>Active</x:v>
      </x:c>
      <x:c r="AI755"/>
      <x:c r="AJ755"/>
      <x:c r="AK755"/>
      <x:c r="AL755"/>
    </x:row>
    <x:row r="756">
      <x:c r="A756" t="s">
        <x:v>1003</x:v>
      </x:c>
      <x:c r="B756" t="s">
        <x:v>993</x:v>
      </x:c>
      <x:c r="C756" t="s">
        <x:v>44</x:v>
      </x:c>
      <x:c r="D756">
        <x:v>45950</x:v>
      </x:c>
      <x:c r="E756" t="s">
        <x:v>187</x:v>
      </x:c>
      <x:c r="F756" t="s">
        <x:v>46</x:v>
      </x:c>
      <x:c r="G756">
        <x:v>25</x:v>
      </x:c>
      <x:c r="H756" t="s">
        <x:v>76</x:v>
      </x:c>
      <x:c r="I756">
        <x:v>11</x:v>
      </x:c>
      <x:c r="J756">
        <x:v>8</x:v>
      </x:c>
      <x:c r="K756">
        <x:v>2</x:v>
      </x:c>
      <x:c r="L756">
        <x:f t="shared" si="77"/>
        <x:v>0</x:v>
      </x:c>
      <x:c r="P756">
        <x:f t="shared" si="78"/>
        <x:v>0</x:v>
      </x:c>
      <x:c r="Q756">
        <x:f t="shared" si="79"/>
        <x:v>0</x:v>
      </x:c>
      <x:c r="R756">
        <x:f t="shared" si="80"/>
        <x:v>0</x:v>
      </x:c>
      <x:c r="S756">
        <x:f t="shared" si="81"/>
        <x:v>0</x:v>
      </x:c>
      <x:c r="T756" t="str">
        <x:f t="shared" si="82"/>
        <x:v>DerivedFromCount</x:v>
      </x:c>
      <x:c r="U756" t="str">
        <x:f>IF(COUNTIF(DailyProduction!$Q$5:$Q$100,B756)=1,"OK","CHECK")</x:f>
        <x:v>OK</x:v>
      </x:c>
      <x:c r="V756" t="str">
        <x:f t="shared" si="83"/>
        <x:v>OK</x:v>
      </x:c>
      <x:c r="W756" t="str">
        <x:f>IF(SUMIF($B$5:$B$914,B756,$S$5:$S$914)=SUMIF(DailyProduction!$Q$5:$Q$100,B756,DailyProduction!$R$5:$R$100),"OK","CHECK")</x:f>
        <x:v>OK</x:v>
      </x:c>
      <x:c r="X756" t="str">
        <x:v>PLC-PRD-JAR-720-L25</x:v>
      </x:c>
      <x:c r="Y756" t="str">
        <x:v>OK</x:v>
      </x:c>
      <x:c r="Z756" t="str">
        <x:v>OK</x:v>
      </x:c>
      <x:c r="AA756" t="n">
        <x:v>3</x:v>
      </x:c>
      <x:c r="AB756" t="n">
        <x:v>0</x:v>
      </x:c>
      <x:c r="AC756" t="str">
        <x:v>OK</x:v>
      </x:c>
      <x:c r="AD756" t="str">
        <x:v>OK</x:v>
      </x:c>
      <x:c r="AE756" t="str">
        <x:v>LOAD</x:v>
      </x:c>
      <x:c r="AF756" t="str">
        <x:v>02_Supervisor_Log(4).xlsx</x:v>
      </x:c>
      <x:c r="AG756" t="str">
        <x:v>ENH-20260830-01</x:v>
      </x:c>
      <x:c r="AH756" t="str">
        <x:v>Active</x:v>
      </x:c>
      <x:c r="AI756"/>
      <x:c r="AJ756"/>
      <x:c r="AK756"/>
      <x:c r="AL756"/>
    </x:row>
    <x:row r="757">
      <x:c r="A757" t="s">
        <x:v>1004</x:v>
      </x:c>
      <x:c r="B757" t="s">
        <x:v>993</x:v>
      </x:c>
      <x:c r="C757" t="s">
        <x:v>44</x:v>
      </x:c>
      <x:c r="D757">
        <x:v>45950</x:v>
      </x:c>
      <x:c r="E757" t="s">
        <x:v>187</x:v>
      </x:c>
      <x:c r="F757" t="s">
        <x:v>46</x:v>
      </x:c>
      <x:c r="G757">
        <x:v>25</x:v>
      </x:c>
      <x:c r="H757" t="s">
        <x:v>76</x:v>
      </x:c>
      <x:c r="I757">
        <x:v>12</x:v>
      </x:c>
      <x:c r="J757">
        <x:v>8</x:v>
      </x:c>
      <x:c r="K757">
        <x:v>2</x:v>
      </x:c>
      <x:c r="L757">
        <x:f t="shared" si="77"/>
        <x:v>0</x:v>
      </x:c>
      <x:c r="P757">
        <x:f t="shared" si="78"/>
        <x:v>0</x:v>
      </x:c>
      <x:c r="Q757">
        <x:f t="shared" si="79"/>
        <x:v>0</x:v>
      </x:c>
      <x:c r="R757">
        <x:f t="shared" si="80"/>
        <x:v>0</x:v>
      </x:c>
      <x:c r="S757">
        <x:f t="shared" si="81"/>
        <x:v>0</x:v>
      </x:c>
      <x:c r="T757" t="str">
        <x:f t="shared" si="82"/>
        <x:v>DerivedFromCount</x:v>
      </x:c>
      <x:c r="U757" t="str">
        <x:f>IF(COUNTIF(DailyProduction!$Q$5:$Q$100,B757)=1,"OK","CHECK")</x:f>
        <x:v>OK</x:v>
      </x:c>
      <x:c r="V757" t="str">
        <x:f t="shared" si="83"/>
        <x:v>OK</x:v>
      </x:c>
      <x:c r="W757" t="str">
        <x:f>IF(SUMIF($B$5:$B$914,B757,$S$5:$S$914)=SUMIF(DailyProduction!$Q$5:$Q$100,B757,DailyProduction!$R$5:$R$100),"OK","CHECK")</x:f>
        <x:v>OK</x:v>
      </x:c>
      <x:c r="X757" t="str">
        <x:v>PLC-PRD-JAR-720-L25</x:v>
      </x:c>
      <x:c r="Y757" t="str">
        <x:v>OK</x:v>
      </x:c>
      <x:c r="Z757" t="str">
        <x:v>OK</x:v>
      </x:c>
      <x:c r="AA757" t="n">
        <x:v>3</x:v>
      </x:c>
      <x:c r="AB757" t="n">
        <x:v>0</x:v>
      </x:c>
      <x:c r="AC757" t="str">
        <x:v>OK</x:v>
      </x:c>
      <x:c r="AD757" t="str">
        <x:v>OK</x:v>
      </x:c>
      <x:c r="AE757" t="str">
        <x:v>LOAD</x:v>
      </x:c>
      <x:c r="AF757" t="str">
        <x:v>02_Supervisor_Log(4).xlsx</x:v>
      </x:c>
      <x:c r="AG757" t="str">
        <x:v>ENH-20260830-01</x:v>
      </x:c>
      <x:c r="AH757" t="str">
        <x:v>Active</x:v>
      </x:c>
      <x:c r="AI757"/>
      <x:c r="AJ757"/>
      <x:c r="AK757"/>
      <x:c r="AL757"/>
    </x:row>
    <x:row r="758">
      <x:c r="A758" t="s">
        <x:v>1005</x:v>
      </x:c>
      <x:c r="B758" t="s">
        <x:v>993</x:v>
      </x:c>
      <x:c r="C758" t="s">
        <x:v>44</x:v>
      </x:c>
      <x:c r="D758">
        <x:v>45950</x:v>
      </x:c>
      <x:c r="E758" t="s">
        <x:v>187</x:v>
      </x:c>
      <x:c r="F758" t="s">
        <x:v>46</x:v>
      </x:c>
      <x:c r="G758">
        <x:v>25</x:v>
      </x:c>
      <x:c r="H758" t="s">
        <x:v>76</x:v>
      </x:c>
      <x:c r="I758">
        <x:v>13</x:v>
      </x:c>
      <x:c r="J758">
        <x:v>8</x:v>
      </x:c>
      <x:c r="K758">
        <x:v>2</x:v>
      </x:c>
      <x:c r="L758">
        <x:f t="shared" si="77"/>
        <x:v>0</x:v>
      </x:c>
      <x:c r="P758">
        <x:f t="shared" si="78"/>
        <x:v>0</x:v>
      </x:c>
      <x:c r="Q758">
        <x:f t="shared" si="79"/>
        <x:v>0</x:v>
      </x:c>
      <x:c r="R758">
        <x:f t="shared" si="80"/>
        <x:v>0</x:v>
      </x:c>
      <x:c r="S758">
        <x:f t="shared" si="81"/>
        <x:v>0</x:v>
      </x:c>
      <x:c r="T758" t="str">
        <x:f t="shared" si="82"/>
        <x:v>DerivedFromCount</x:v>
      </x:c>
      <x:c r="U758" t="str">
        <x:f>IF(COUNTIF(DailyProduction!$Q$5:$Q$100,B758)=1,"OK","CHECK")</x:f>
        <x:v>OK</x:v>
      </x:c>
      <x:c r="V758" t="str">
        <x:f t="shared" si="83"/>
        <x:v>OK</x:v>
      </x:c>
      <x:c r="W758" t="str">
        <x:f>IF(SUMIF($B$5:$B$914,B758,$S$5:$S$914)=SUMIF(DailyProduction!$Q$5:$Q$100,B758,DailyProduction!$R$5:$R$100),"OK","CHECK")</x:f>
        <x:v>OK</x:v>
      </x:c>
      <x:c r="X758" t="str">
        <x:v>PLC-PRD-JAR-720-L25</x:v>
      </x:c>
      <x:c r="Y758" t="str">
        <x:v>OK</x:v>
      </x:c>
      <x:c r="Z758" t="str">
        <x:v>OK</x:v>
      </x:c>
      <x:c r="AA758" t="n">
        <x:v>3</x:v>
      </x:c>
      <x:c r="AB758" t="n">
        <x:v>0</x:v>
      </x:c>
      <x:c r="AC758" t="str">
        <x:v>OK</x:v>
      </x:c>
      <x:c r="AD758" t="str">
        <x:v>OK</x:v>
      </x:c>
      <x:c r="AE758" t="str">
        <x:v>LOAD</x:v>
      </x:c>
      <x:c r="AF758" t="str">
        <x:v>02_Supervisor_Log(4).xlsx</x:v>
      </x:c>
      <x:c r="AG758" t="str">
        <x:v>ENH-20260830-01</x:v>
      </x:c>
      <x:c r="AH758" t="str">
        <x:v>Active</x:v>
      </x:c>
      <x:c r="AI758"/>
      <x:c r="AJ758"/>
      <x:c r="AK758"/>
      <x:c r="AL758"/>
    </x:row>
    <x:row r="759">
      <x:c r="A759" t="s">
        <x:v>1006</x:v>
      </x:c>
      <x:c r="B759" t="s">
        <x:v>1007</x:v>
      </x:c>
      <x:c r="C759" t="s">
        <x:v>44</x:v>
      </x:c>
      <x:c r="D759">
        <x:v>45951</x:v>
      </x:c>
      <x:c r="E759" t="s">
        <x:v>45</x:v>
      </x:c>
      <x:c r="F759" t="s">
        <x:v>46</x:v>
      </x:c>
      <x:c r="G759">
        <x:v>25</x:v>
      </x:c>
      <x:c r="H759" t="s">
        <x:v>76</x:v>
      </x:c>
      <x:c r="I759">
        <x:v>1</x:v>
      </x:c>
      <x:c r="J759">
        <x:v>8</x:v>
      </x:c>
      <x:c r="K759">
        <x:v>2</x:v>
      </x:c>
      <x:c r="L759">
        <x:f t="shared" si="77"/>
        <x:v>1</x:v>
      </x:c>
      <x:c r="P759">
        <x:f t="shared" si="78"/>
        <x:v>1</x:v>
      </x:c>
      <x:c r="Q759">
        <x:f t="shared" si="79"/>
        <x:v>1</x:v>
      </x:c>
      <x:c r="R759">
        <x:f t="shared" si="80"/>
        <x:v>0</x:v>
      </x:c>
      <x:c r="S759">
        <x:f t="shared" si="81"/>
        <x:v>2</x:v>
      </x:c>
      <x:c r="T759" t="str">
        <x:f t="shared" si="82"/>
        <x:v>DerivedFromCount</x:v>
      </x:c>
      <x:c r="U759" t="str">
        <x:f>IF(COUNTIF(DailyProduction!$Q$5:$Q$100,B759)=1,"OK","CHECK")</x:f>
        <x:v>OK</x:v>
      </x:c>
      <x:c r="V759" t="str">
        <x:f t="shared" si="83"/>
        <x:v>OK</x:v>
      </x:c>
      <x:c r="W759" t="str">
        <x:f>IF(SUMIF($B$5:$B$914,B759,$S$5:$S$914)=SUMIF(DailyProduction!$Q$5:$Q$100,B759,DailyProduction!$R$5:$R$100),"OK","CHECK")</x:f>
        <x:v>OK</x:v>
      </x:c>
      <x:c r="X759" t="str">
        <x:v>PLC-PRD-JAR-720-L25</x:v>
      </x:c>
      <x:c r="Y759" t="str">
        <x:v>OK</x:v>
      </x:c>
      <x:c r="Z759" t="str">
        <x:v>OK</x:v>
      </x:c>
      <x:c r="AA759" t="n">
        <x:v>3</x:v>
      </x:c>
      <x:c r="AB759" t="n">
        <x:v>2</x:v>
      </x:c>
      <x:c r="AC759" t="str">
        <x:v>OK</x:v>
      </x:c>
      <x:c r="AD759" t="str">
        <x:v>OK</x:v>
      </x:c>
      <x:c r="AE759" t="str">
        <x:v>LOAD</x:v>
      </x:c>
      <x:c r="AF759" t="str">
        <x:v>02_Supervisor_Log(4).xlsx</x:v>
      </x:c>
      <x:c r="AG759" t="str">
        <x:v>ENH-20260830-01</x:v>
      </x:c>
      <x:c r="AH759" t="str">
        <x:v>Active</x:v>
      </x:c>
      <x:c r="AI759"/>
      <x:c r="AJ759"/>
      <x:c r="AK759"/>
      <x:c r="AL759"/>
    </x:row>
    <x:row r="760">
      <x:c r="A760" t="s">
        <x:v>1008</x:v>
      </x:c>
      <x:c r="B760" t="s">
        <x:v>1007</x:v>
      </x:c>
      <x:c r="C760" t="s">
        <x:v>44</x:v>
      </x:c>
      <x:c r="D760">
        <x:v>45951</x:v>
      </x:c>
      <x:c r="E760" t="s">
        <x:v>45</x:v>
      </x:c>
      <x:c r="F760" t="s">
        <x:v>46</x:v>
      </x:c>
      <x:c r="G760">
        <x:v>25</x:v>
      </x:c>
      <x:c r="H760" t="s">
        <x:v>76</x:v>
      </x:c>
      <x:c r="I760">
        <x:v>2</x:v>
      </x:c>
      <x:c r="J760">
        <x:v>8</x:v>
      </x:c>
      <x:c r="K760">
        <x:v>2</x:v>
      </x:c>
      <x:c r="L760">
        <x:f t="shared" si="77"/>
        <x:v>1</x:v>
      </x:c>
      <x:c r="P760">
        <x:f t="shared" si="78"/>
        <x:v>1</x:v>
      </x:c>
      <x:c r="Q760">
        <x:f t="shared" si="79"/>
        <x:v>1</x:v>
      </x:c>
      <x:c r="R760">
        <x:f t="shared" si="80"/>
        <x:v>0</x:v>
      </x:c>
      <x:c r="S760">
        <x:f t="shared" si="81"/>
        <x:v>2</x:v>
      </x:c>
      <x:c r="T760" t="str">
        <x:f t="shared" si="82"/>
        <x:v>DerivedFromCount</x:v>
      </x:c>
      <x:c r="U760" t="str">
        <x:f>IF(COUNTIF(DailyProduction!$Q$5:$Q$100,B760)=1,"OK","CHECK")</x:f>
        <x:v>OK</x:v>
      </x:c>
      <x:c r="V760" t="str">
        <x:f t="shared" si="83"/>
        <x:v>OK</x:v>
      </x:c>
      <x:c r="W760" t="str">
        <x:f>IF(SUMIF($B$5:$B$914,B760,$S$5:$S$914)=SUMIF(DailyProduction!$Q$5:$Q$100,B760,DailyProduction!$R$5:$R$100),"OK","CHECK")</x:f>
        <x:v>OK</x:v>
      </x:c>
      <x:c r="X760" t="str">
        <x:v>PLC-PRD-JAR-720-L25</x:v>
      </x:c>
      <x:c r="Y760" t="str">
        <x:v>OK</x:v>
      </x:c>
      <x:c r="Z760" t="str">
        <x:v>OK</x:v>
      </x:c>
      <x:c r="AA760" t="n">
        <x:v>3</x:v>
      </x:c>
      <x:c r="AB760" t="n">
        <x:v>2</x:v>
      </x:c>
      <x:c r="AC760" t="str">
        <x:v>OK</x:v>
      </x:c>
      <x:c r="AD760" t="str">
        <x:v>OK</x:v>
      </x:c>
      <x:c r="AE760" t="str">
        <x:v>LOAD</x:v>
      </x:c>
      <x:c r="AF760" t="str">
        <x:v>02_Supervisor_Log(4).xlsx</x:v>
      </x:c>
      <x:c r="AG760" t="str">
        <x:v>ENH-20260830-01</x:v>
      </x:c>
      <x:c r="AH760" t="str">
        <x:v>Active</x:v>
      </x:c>
      <x:c r="AI760"/>
      <x:c r="AJ760"/>
      <x:c r="AK760"/>
      <x:c r="AL760"/>
    </x:row>
    <x:row r="761">
      <x:c r="A761" t="s">
        <x:v>1009</x:v>
      </x:c>
      <x:c r="B761" t="s">
        <x:v>1007</x:v>
      </x:c>
      <x:c r="C761" t="s">
        <x:v>44</x:v>
      </x:c>
      <x:c r="D761">
        <x:v>45951</x:v>
      </x:c>
      <x:c r="E761" t="s">
        <x:v>45</x:v>
      </x:c>
      <x:c r="F761" t="s">
        <x:v>46</x:v>
      </x:c>
      <x:c r="G761">
        <x:v>25</x:v>
      </x:c>
      <x:c r="H761" t="s">
        <x:v>76</x:v>
      </x:c>
      <x:c r="I761">
        <x:v>3</x:v>
      </x:c>
      <x:c r="J761">
        <x:v>8</x:v>
      </x:c>
      <x:c r="K761">
        <x:v>2</x:v>
      </x:c>
      <x:c r="L761">
        <x:f t="shared" si="77"/>
        <x:v>1</x:v>
      </x:c>
      <x:c r="P761">
        <x:f t="shared" si="78"/>
        <x:v>1</x:v>
      </x:c>
      <x:c r="Q761">
        <x:f t="shared" si="79"/>
        <x:v>1</x:v>
      </x:c>
      <x:c r="R761">
        <x:f t="shared" si="80"/>
        <x:v>0</x:v>
      </x:c>
      <x:c r="S761">
        <x:f t="shared" si="81"/>
        <x:v>2</x:v>
      </x:c>
      <x:c r="T761" t="str">
        <x:f t="shared" si="82"/>
        <x:v>DerivedFromCount</x:v>
      </x:c>
      <x:c r="U761" t="str">
        <x:f>IF(COUNTIF(DailyProduction!$Q$5:$Q$100,B761)=1,"OK","CHECK")</x:f>
        <x:v>OK</x:v>
      </x:c>
      <x:c r="V761" t="str">
        <x:f t="shared" si="83"/>
        <x:v>OK</x:v>
      </x:c>
      <x:c r="W761" t="str">
        <x:f>IF(SUMIF($B$5:$B$914,B761,$S$5:$S$914)=SUMIF(DailyProduction!$Q$5:$Q$100,B761,DailyProduction!$R$5:$R$100),"OK","CHECK")</x:f>
        <x:v>OK</x:v>
      </x:c>
      <x:c r="X761" t="str">
        <x:v>PLC-PRD-JAR-720-L25</x:v>
      </x:c>
      <x:c r="Y761" t="str">
        <x:v>OK</x:v>
      </x:c>
      <x:c r="Z761" t="str">
        <x:v>OK</x:v>
      </x:c>
      <x:c r="AA761" t="n">
        <x:v>3</x:v>
      </x:c>
      <x:c r="AB761" t="n">
        <x:v>2</x:v>
      </x:c>
      <x:c r="AC761" t="str">
        <x:v>OK</x:v>
      </x:c>
      <x:c r="AD761" t="str">
        <x:v>OK</x:v>
      </x:c>
      <x:c r="AE761" t="str">
        <x:v>LOAD</x:v>
      </x:c>
      <x:c r="AF761" t="str">
        <x:v>02_Supervisor_Log(4).xlsx</x:v>
      </x:c>
      <x:c r="AG761" t="str">
        <x:v>ENH-20260830-01</x:v>
      </x:c>
      <x:c r="AH761" t="str">
        <x:v>Active</x:v>
      </x:c>
      <x:c r="AI761"/>
      <x:c r="AJ761"/>
      <x:c r="AK761"/>
      <x:c r="AL761"/>
    </x:row>
    <x:row r="762">
      <x:c r="A762" t="s">
        <x:v>1010</x:v>
      </x:c>
      <x:c r="B762" t="s">
        <x:v>1007</x:v>
      </x:c>
      <x:c r="C762" t="s">
        <x:v>44</x:v>
      </x:c>
      <x:c r="D762">
        <x:v>45951</x:v>
      </x:c>
      <x:c r="E762" t="s">
        <x:v>45</x:v>
      </x:c>
      <x:c r="F762" t="s">
        <x:v>46</x:v>
      </x:c>
      <x:c r="G762">
        <x:v>25</x:v>
      </x:c>
      <x:c r="H762" t="s">
        <x:v>76</x:v>
      </x:c>
      <x:c r="I762">
        <x:v>4</x:v>
      </x:c>
      <x:c r="J762">
        <x:v>8</x:v>
      </x:c>
      <x:c r="K762">
        <x:v>2</x:v>
      </x:c>
      <x:c r="L762">
        <x:f t="shared" si="77"/>
        <x:v>1</x:v>
      </x:c>
      <x:c r="P762">
        <x:f t="shared" si="78"/>
        <x:v>1</x:v>
      </x:c>
      <x:c r="Q762">
        <x:f t="shared" si="79"/>
        <x:v>1</x:v>
      </x:c>
      <x:c r="R762">
        <x:f t="shared" si="80"/>
        <x:v>0</x:v>
      </x:c>
      <x:c r="S762">
        <x:f t="shared" si="81"/>
        <x:v>2</x:v>
      </x:c>
      <x:c r="T762" t="str">
        <x:f t="shared" si="82"/>
        <x:v>DerivedFromCount</x:v>
      </x:c>
      <x:c r="U762" t="str">
        <x:f>IF(COUNTIF(DailyProduction!$Q$5:$Q$100,B762)=1,"OK","CHECK")</x:f>
        <x:v>OK</x:v>
      </x:c>
      <x:c r="V762" t="str">
        <x:f t="shared" si="83"/>
        <x:v>OK</x:v>
      </x:c>
      <x:c r="W762" t="str">
        <x:f>IF(SUMIF($B$5:$B$914,B762,$S$5:$S$914)=SUMIF(DailyProduction!$Q$5:$Q$100,B762,DailyProduction!$R$5:$R$100),"OK","CHECK")</x:f>
        <x:v>OK</x:v>
      </x:c>
      <x:c r="X762" t="str">
        <x:v>PLC-PRD-JAR-720-L25</x:v>
      </x:c>
      <x:c r="Y762" t="str">
        <x:v>OK</x:v>
      </x:c>
      <x:c r="Z762" t="str">
        <x:v>OK</x:v>
      </x:c>
      <x:c r="AA762" t="n">
        <x:v>3</x:v>
      </x:c>
      <x:c r="AB762" t="n">
        <x:v>2</x:v>
      </x:c>
      <x:c r="AC762" t="str">
        <x:v>OK</x:v>
      </x:c>
      <x:c r="AD762" t="str">
        <x:v>OK</x:v>
      </x:c>
      <x:c r="AE762" t="str">
        <x:v>LOAD</x:v>
      </x:c>
      <x:c r="AF762" t="str">
        <x:v>02_Supervisor_Log(4).xlsx</x:v>
      </x:c>
      <x:c r="AG762" t="str">
        <x:v>ENH-20260830-01</x:v>
      </x:c>
      <x:c r="AH762" t="str">
        <x:v>Active</x:v>
      </x:c>
      <x:c r="AI762"/>
      <x:c r="AJ762"/>
      <x:c r="AK762"/>
      <x:c r="AL762"/>
    </x:row>
    <x:row r="763">
      <x:c r="A763" t="s">
        <x:v>1011</x:v>
      </x:c>
      <x:c r="B763" t="s">
        <x:v>1007</x:v>
      </x:c>
      <x:c r="C763" t="s">
        <x:v>44</x:v>
      </x:c>
      <x:c r="D763">
        <x:v>45951</x:v>
      </x:c>
      <x:c r="E763" t="s">
        <x:v>45</x:v>
      </x:c>
      <x:c r="F763" t="s">
        <x:v>46</x:v>
      </x:c>
      <x:c r="G763">
        <x:v>25</x:v>
      </x:c>
      <x:c r="H763" t="s">
        <x:v>76</x:v>
      </x:c>
      <x:c r="I763">
        <x:v>5</x:v>
      </x:c>
      <x:c r="J763">
        <x:v>8</x:v>
      </x:c>
      <x:c r="K763">
        <x:v>2</x:v>
      </x:c>
      <x:c r="L763">
        <x:f t="shared" si="77"/>
        <x:v>1</x:v>
      </x:c>
      <x:c r="P763">
        <x:f t="shared" si="78"/>
        <x:v>1</x:v>
      </x:c>
      <x:c r="Q763">
        <x:f t="shared" si="79"/>
        <x:v>1</x:v>
      </x:c>
      <x:c r="R763">
        <x:f t="shared" si="80"/>
        <x:v>0</x:v>
      </x:c>
      <x:c r="S763">
        <x:f t="shared" si="81"/>
        <x:v>2</x:v>
      </x:c>
      <x:c r="T763" t="str">
        <x:f t="shared" si="82"/>
        <x:v>DerivedFromCount</x:v>
      </x:c>
      <x:c r="U763" t="str">
        <x:f>IF(COUNTIF(DailyProduction!$Q$5:$Q$100,B763)=1,"OK","CHECK")</x:f>
        <x:v>OK</x:v>
      </x:c>
      <x:c r="V763" t="str">
        <x:f t="shared" si="83"/>
        <x:v>OK</x:v>
      </x:c>
      <x:c r="W763" t="str">
        <x:f>IF(SUMIF($B$5:$B$914,B763,$S$5:$S$914)=SUMIF(DailyProduction!$Q$5:$Q$100,B763,DailyProduction!$R$5:$R$100),"OK","CHECK")</x:f>
        <x:v>OK</x:v>
      </x:c>
      <x:c r="X763" t="str">
        <x:v>PLC-PRD-JAR-720-L25</x:v>
      </x:c>
      <x:c r="Y763" t="str">
        <x:v>OK</x:v>
      </x:c>
      <x:c r="Z763" t="str">
        <x:v>OK</x:v>
      </x:c>
      <x:c r="AA763" t="n">
        <x:v>3</x:v>
      </x:c>
      <x:c r="AB763" t="n">
        <x:v>2</x:v>
      </x:c>
      <x:c r="AC763" t="str">
        <x:v>OK</x:v>
      </x:c>
      <x:c r="AD763" t="str">
        <x:v>OK</x:v>
      </x:c>
      <x:c r="AE763" t="str">
        <x:v>LOAD</x:v>
      </x:c>
      <x:c r="AF763" t="str">
        <x:v>02_Supervisor_Log(4).xlsx</x:v>
      </x:c>
      <x:c r="AG763" t="str">
        <x:v>ENH-20260830-01</x:v>
      </x:c>
      <x:c r="AH763" t="str">
        <x:v>Active</x:v>
      </x:c>
      <x:c r="AI763"/>
      <x:c r="AJ763"/>
      <x:c r="AK763"/>
      <x:c r="AL763"/>
    </x:row>
    <x:row r="764">
      <x:c r="A764" t="s">
        <x:v>1012</x:v>
      </x:c>
      <x:c r="B764" t="s">
        <x:v>1007</x:v>
      </x:c>
      <x:c r="C764" t="s">
        <x:v>44</x:v>
      </x:c>
      <x:c r="D764">
        <x:v>45951</x:v>
      </x:c>
      <x:c r="E764" t="s">
        <x:v>45</x:v>
      </x:c>
      <x:c r="F764" t="s">
        <x:v>46</x:v>
      </x:c>
      <x:c r="G764">
        <x:v>25</x:v>
      </x:c>
      <x:c r="H764" t="s">
        <x:v>76</x:v>
      </x:c>
      <x:c r="I764">
        <x:v>6</x:v>
      </x:c>
      <x:c r="J764">
        <x:v>8</x:v>
      </x:c>
      <x:c r="K764">
        <x:v>2</x:v>
      </x:c>
      <x:c r="L764">
        <x:f t="shared" si="77"/>
        <x:v>1</x:v>
      </x:c>
      <x:c r="P764">
        <x:f t="shared" si="78"/>
        <x:v>1</x:v>
      </x:c>
      <x:c r="Q764">
        <x:f t="shared" si="79"/>
        <x:v>1</x:v>
      </x:c>
      <x:c r="R764">
        <x:f t="shared" si="80"/>
        <x:v>0</x:v>
      </x:c>
      <x:c r="S764">
        <x:f t="shared" si="81"/>
        <x:v>2</x:v>
      </x:c>
      <x:c r="T764" t="str">
        <x:f t="shared" si="82"/>
        <x:v>DerivedFromCount</x:v>
      </x:c>
      <x:c r="U764" t="str">
        <x:f>IF(COUNTIF(DailyProduction!$Q$5:$Q$100,B764)=1,"OK","CHECK")</x:f>
        <x:v>OK</x:v>
      </x:c>
      <x:c r="V764" t="str">
        <x:f t="shared" si="83"/>
        <x:v>OK</x:v>
      </x:c>
      <x:c r="W764" t="str">
        <x:f>IF(SUMIF($B$5:$B$914,B764,$S$5:$S$914)=SUMIF(DailyProduction!$Q$5:$Q$100,B764,DailyProduction!$R$5:$R$100),"OK","CHECK")</x:f>
        <x:v>OK</x:v>
      </x:c>
      <x:c r="X764" t="str">
        <x:v>PLC-PRD-JAR-720-L25</x:v>
      </x:c>
      <x:c r="Y764" t="str">
        <x:v>OK</x:v>
      </x:c>
      <x:c r="Z764" t="str">
        <x:v>OK</x:v>
      </x:c>
      <x:c r="AA764" t="n">
        <x:v>3</x:v>
      </x:c>
      <x:c r="AB764" t="n">
        <x:v>2</x:v>
      </x:c>
      <x:c r="AC764" t="str">
        <x:v>OK</x:v>
      </x:c>
      <x:c r="AD764" t="str">
        <x:v>OK</x:v>
      </x:c>
      <x:c r="AE764" t="str">
        <x:v>LOAD</x:v>
      </x:c>
      <x:c r="AF764" t="str">
        <x:v>02_Supervisor_Log(4).xlsx</x:v>
      </x:c>
      <x:c r="AG764" t="str">
        <x:v>ENH-20260830-01</x:v>
      </x:c>
      <x:c r="AH764" t="str">
        <x:v>Active</x:v>
      </x:c>
      <x:c r="AI764"/>
      <x:c r="AJ764"/>
      <x:c r="AK764"/>
      <x:c r="AL764"/>
    </x:row>
    <x:row r="765">
      <x:c r="A765" t="s">
        <x:v>1013</x:v>
      </x:c>
      <x:c r="B765" t="s">
        <x:v>1007</x:v>
      </x:c>
      <x:c r="C765" t="s">
        <x:v>44</x:v>
      </x:c>
      <x:c r="D765">
        <x:v>45951</x:v>
      </x:c>
      <x:c r="E765" t="s">
        <x:v>45</x:v>
      </x:c>
      <x:c r="F765" t="s">
        <x:v>46</x:v>
      </x:c>
      <x:c r="G765">
        <x:v>25</x:v>
      </x:c>
      <x:c r="H765" t="s">
        <x:v>76</x:v>
      </x:c>
      <x:c r="I765">
        <x:v>7</x:v>
      </x:c>
      <x:c r="J765">
        <x:v>8</x:v>
      </x:c>
      <x:c r="K765">
        <x:v>2</x:v>
      </x:c>
      <x:c r="L765">
        <x:f t="shared" si="77"/>
        <x:v>1</x:v>
      </x:c>
      <x:c r="P765">
        <x:f t="shared" si="78"/>
        <x:v>1</x:v>
      </x:c>
      <x:c r="Q765">
        <x:f t="shared" si="79"/>
        <x:v>1</x:v>
      </x:c>
      <x:c r="R765">
        <x:f t="shared" si="80"/>
        <x:v>0</x:v>
      </x:c>
      <x:c r="S765">
        <x:f t="shared" si="81"/>
        <x:v>2</x:v>
      </x:c>
      <x:c r="T765" t="str">
        <x:f t="shared" si="82"/>
        <x:v>DerivedFromCount</x:v>
      </x:c>
      <x:c r="U765" t="str">
        <x:f>IF(COUNTIF(DailyProduction!$Q$5:$Q$100,B765)=1,"OK","CHECK")</x:f>
        <x:v>OK</x:v>
      </x:c>
      <x:c r="V765" t="str">
        <x:f t="shared" si="83"/>
        <x:v>OK</x:v>
      </x:c>
      <x:c r="W765" t="str">
        <x:f>IF(SUMIF($B$5:$B$914,B765,$S$5:$S$914)=SUMIF(DailyProduction!$Q$5:$Q$100,B765,DailyProduction!$R$5:$R$100),"OK","CHECK")</x:f>
        <x:v>OK</x:v>
      </x:c>
      <x:c r="X765" t="str">
        <x:v>PLC-PRD-JAR-720-L25</x:v>
      </x:c>
      <x:c r="Y765" t="str">
        <x:v>OK</x:v>
      </x:c>
      <x:c r="Z765" t="str">
        <x:v>OK</x:v>
      </x:c>
      <x:c r="AA765" t="n">
        <x:v>3</x:v>
      </x:c>
      <x:c r="AB765" t="n">
        <x:v>2</x:v>
      </x:c>
      <x:c r="AC765" t="str">
        <x:v>OK</x:v>
      </x:c>
      <x:c r="AD765" t="str">
        <x:v>OK</x:v>
      </x:c>
      <x:c r="AE765" t="str">
        <x:v>LOAD</x:v>
      </x:c>
      <x:c r="AF765" t="str">
        <x:v>02_Supervisor_Log(4).xlsx</x:v>
      </x:c>
      <x:c r="AG765" t="str">
        <x:v>ENH-20260830-01</x:v>
      </x:c>
      <x:c r="AH765" t="str">
        <x:v>Active</x:v>
      </x:c>
      <x:c r="AI765"/>
      <x:c r="AJ765"/>
      <x:c r="AK765"/>
      <x:c r="AL765"/>
    </x:row>
    <x:row r="766">
      <x:c r="A766" t="s">
        <x:v>1014</x:v>
      </x:c>
      <x:c r="B766" t="s">
        <x:v>1007</x:v>
      </x:c>
      <x:c r="C766" t="s">
        <x:v>44</x:v>
      </x:c>
      <x:c r="D766">
        <x:v>45951</x:v>
      </x:c>
      <x:c r="E766" t="s">
        <x:v>45</x:v>
      </x:c>
      <x:c r="F766" t="s">
        <x:v>46</x:v>
      </x:c>
      <x:c r="G766">
        <x:v>25</x:v>
      </x:c>
      <x:c r="H766" t="s">
        <x:v>76</x:v>
      </x:c>
      <x:c r="I766">
        <x:v>8</x:v>
      </x:c>
      <x:c r="J766">
        <x:v>8</x:v>
      </x:c>
      <x:c r="K766">
        <x:v>2</x:v>
      </x:c>
      <x:c r="L766">
        <x:f t="shared" si="77"/>
        <x:v>1</x:v>
      </x:c>
      <x:c r="P766">
        <x:f t="shared" si="78"/>
        <x:v>1</x:v>
      </x:c>
      <x:c r="Q766">
        <x:f t="shared" si="79"/>
        <x:v>1</x:v>
      </x:c>
      <x:c r="R766">
        <x:f t="shared" si="80"/>
        <x:v>0</x:v>
      </x:c>
      <x:c r="S766">
        <x:f t="shared" si="81"/>
        <x:v>2</x:v>
      </x:c>
      <x:c r="T766" t="str">
        <x:f t="shared" si="82"/>
        <x:v>DerivedFromCount</x:v>
      </x:c>
      <x:c r="U766" t="str">
        <x:f>IF(COUNTIF(DailyProduction!$Q$5:$Q$100,B766)=1,"OK","CHECK")</x:f>
        <x:v>OK</x:v>
      </x:c>
      <x:c r="V766" t="str">
        <x:f t="shared" si="83"/>
        <x:v>OK</x:v>
      </x:c>
      <x:c r="W766" t="str">
        <x:f>IF(SUMIF($B$5:$B$914,B766,$S$5:$S$914)=SUMIF(DailyProduction!$Q$5:$Q$100,B766,DailyProduction!$R$5:$R$100),"OK","CHECK")</x:f>
        <x:v>OK</x:v>
      </x:c>
      <x:c r="X766" t="str">
        <x:v>PLC-PRD-JAR-720-L25</x:v>
      </x:c>
      <x:c r="Y766" t="str">
        <x:v>OK</x:v>
      </x:c>
      <x:c r="Z766" t="str">
        <x:v>OK</x:v>
      </x:c>
      <x:c r="AA766" t="n">
        <x:v>3</x:v>
      </x:c>
      <x:c r="AB766" t="n">
        <x:v>2</x:v>
      </x:c>
      <x:c r="AC766" t="str">
        <x:v>OK</x:v>
      </x:c>
      <x:c r="AD766" t="str">
        <x:v>OK</x:v>
      </x:c>
      <x:c r="AE766" t="str">
        <x:v>LOAD</x:v>
      </x:c>
      <x:c r="AF766" t="str">
        <x:v>02_Supervisor_Log(4).xlsx</x:v>
      </x:c>
      <x:c r="AG766" t="str">
        <x:v>ENH-20260830-01</x:v>
      </x:c>
      <x:c r="AH766" t="str">
        <x:v>Active</x:v>
      </x:c>
      <x:c r="AI766"/>
      <x:c r="AJ766"/>
      <x:c r="AK766"/>
      <x:c r="AL766"/>
    </x:row>
    <x:row r="767">
      <x:c r="A767" t="s">
        <x:v>1015</x:v>
      </x:c>
      <x:c r="B767" t="s">
        <x:v>1007</x:v>
      </x:c>
      <x:c r="C767" t="s">
        <x:v>44</x:v>
      </x:c>
      <x:c r="D767">
        <x:v>45951</x:v>
      </x:c>
      <x:c r="E767" t="s">
        <x:v>45</x:v>
      </x:c>
      <x:c r="F767" t="s">
        <x:v>46</x:v>
      </x:c>
      <x:c r="G767">
        <x:v>25</x:v>
      </x:c>
      <x:c r="H767" t="s">
        <x:v>76</x:v>
      </x:c>
      <x:c r="I767">
        <x:v>9</x:v>
      </x:c>
      <x:c r="J767">
        <x:v>8</x:v>
      </x:c>
      <x:c r="K767">
        <x:v>2</x:v>
      </x:c>
      <x:c r="L767">
        <x:f t="shared" si="77"/>
        <x:v>0</x:v>
      </x:c>
      <x:c r="P767">
        <x:f t="shared" si="78"/>
        <x:v>0</x:v>
      </x:c>
      <x:c r="Q767">
        <x:f t="shared" si="79"/>
        <x:v>0</x:v>
      </x:c>
      <x:c r="R767">
        <x:f t="shared" si="80"/>
        <x:v>0</x:v>
      </x:c>
      <x:c r="S767">
        <x:f t="shared" si="81"/>
        <x:v>0</x:v>
      </x:c>
      <x:c r="T767" t="str">
        <x:f t="shared" si="82"/>
        <x:v>DerivedFromCount</x:v>
      </x:c>
      <x:c r="U767" t="str">
        <x:f>IF(COUNTIF(DailyProduction!$Q$5:$Q$100,B767)=1,"OK","CHECK")</x:f>
        <x:v>OK</x:v>
      </x:c>
      <x:c r="V767" t="str">
        <x:f t="shared" si="83"/>
        <x:v>OK</x:v>
      </x:c>
      <x:c r="W767" t="str">
        <x:f>IF(SUMIF($B$5:$B$914,B767,$S$5:$S$914)=SUMIF(DailyProduction!$Q$5:$Q$100,B767,DailyProduction!$R$5:$R$100),"OK","CHECK")</x:f>
        <x:v>OK</x:v>
      </x:c>
      <x:c r="X767" t="str">
        <x:v>PLC-PRD-JAR-720-L25</x:v>
      </x:c>
      <x:c r="Y767" t="str">
        <x:v>OK</x:v>
      </x:c>
      <x:c r="Z767" t="str">
        <x:v>OK</x:v>
      </x:c>
      <x:c r="AA767" t="n">
        <x:v>3</x:v>
      </x:c>
      <x:c r="AB767" t="n">
        <x:v>0</x:v>
      </x:c>
      <x:c r="AC767" t="str">
        <x:v>OK</x:v>
      </x:c>
      <x:c r="AD767" t="str">
        <x:v>OK</x:v>
      </x:c>
      <x:c r="AE767" t="str">
        <x:v>LOAD</x:v>
      </x:c>
      <x:c r="AF767" t="str">
        <x:v>02_Supervisor_Log(4).xlsx</x:v>
      </x:c>
      <x:c r="AG767" t="str">
        <x:v>ENH-20260830-01</x:v>
      </x:c>
      <x:c r="AH767" t="str">
        <x:v>Active</x:v>
      </x:c>
      <x:c r="AI767"/>
      <x:c r="AJ767"/>
      <x:c r="AK767"/>
      <x:c r="AL767"/>
    </x:row>
    <x:row r="768">
      <x:c r="A768" t="s">
        <x:v>1016</x:v>
      </x:c>
      <x:c r="B768" t="s">
        <x:v>1007</x:v>
      </x:c>
      <x:c r="C768" t="s">
        <x:v>44</x:v>
      </x:c>
      <x:c r="D768">
        <x:v>45951</x:v>
      </x:c>
      <x:c r="E768" t="s">
        <x:v>45</x:v>
      </x:c>
      <x:c r="F768" t="s">
        <x:v>46</x:v>
      </x:c>
      <x:c r="G768">
        <x:v>25</x:v>
      </x:c>
      <x:c r="H768" t="s">
        <x:v>76</x:v>
      </x:c>
      <x:c r="I768">
        <x:v>10</x:v>
      </x:c>
      <x:c r="J768">
        <x:v>8</x:v>
      </x:c>
      <x:c r="K768">
        <x:v>2</x:v>
      </x:c>
      <x:c r="L768">
        <x:f t="shared" si="77"/>
        <x:v>0</x:v>
      </x:c>
      <x:c r="P768">
        <x:f t="shared" si="78"/>
        <x:v>0</x:v>
      </x:c>
      <x:c r="Q768">
        <x:f t="shared" si="79"/>
        <x:v>0</x:v>
      </x:c>
      <x:c r="R768">
        <x:f t="shared" si="80"/>
        <x:v>0</x:v>
      </x:c>
      <x:c r="S768">
        <x:f t="shared" si="81"/>
        <x:v>0</x:v>
      </x:c>
      <x:c r="T768" t="str">
        <x:f t="shared" si="82"/>
        <x:v>DerivedFromCount</x:v>
      </x:c>
      <x:c r="U768" t="str">
        <x:f>IF(COUNTIF(DailyProduction!$Q$5:$Q$100,B768)=1,"OK","CHECK")</x:f>
        <x:v>OK</x:v>
      </x:c>
      <x:c r="V768" t="str">
        <x:f t="shared" si="83"/>
        <x:v>OK</x:v>
      </x:c>
      <x:c r="W768" t="str">
        <x:f>IF(SUMIF($B$5:$B$914,B768,$S$5:$S$914)=SUMIF(DailyProduction!$Q$5:$Q$100,B768,DailyProduction!$R$5:$R$100),"OK","CHECK")</x:f>
        <x:v>OK</x:v>
      </x:c>
      <x:c r="X768" t="str">
        <x:v>PLC-PRD-JAR-720-L25</x:v>
      </x:c>
      <x:c r="Y768" t="str">
        <x:v>OK</x:v>
      </x:c>
      <x:c r="Z768" t="str">
        <x:v>OK</x:v>
      </x:c>
      <x:c r="AA768" t="n">
        <x:v>3</x:v>
      </x:c>
      <x:c r="AB768" t="n">
        <x:v>0</x:v>
      </x:c>
      <x:c r="AC768" t="str">
        <x:v>OK</x:v>
      </x:c>
      <x:c r="AD768" t="str">
        <x:v>OK</x:v>
      </x:c>
      <x:c r="AE768" t="str">
        <x:v>LOAD</x:v>
      </x:c>
      <x:c r="AF768" t="str">
        <x:v>02_Supervisor_Log(4).xlsx</x:v>
      </x:c>
      <x:c r="AG768" t="str">
        <x:v>ENH-20260830-01</x:v>
      </x:c>
      <x:c r="AH768" t="str">
        <x:v>Active</x:v>
      </x:c>
      <x:c r="AI768"/>
      <x:c r="AJ768"/>
      <x:c r="AK768"/>
      <x:c r="AL768"/>
    </x:row>
    <x:row r="769">
      <x:c r="A769" t="s">
        <x:v>1017</x:v>
      </x:c>
      <x:c r="B769" t="s">
        <x:v>1007</x:v>
      </x:c>
      <x:c r="C769" t="s">
        <x:v>44</x:v>
      </x:c>
      <x:c r="D769">
        <x:v>45951</x:v>
      </x:c>
      <x:c r="E769" t="s">
        <x:v>45</x:v>
      </x:c>
      <x:c r="F769" t="s">
        <x:v>46</x:v>
      </x:c>
      <x:c r="G769">
        <x:v>25</x:v>
      </x:c>
      <x:c r="H769" t="s">
        <x:v>76</x:v>
      </x:c>
      <x:c r="I769">
        <x:v>11</x:v>
      </x:c>
      <x:c r="J769">
        <x:v>8</x:v>
      </x:c>
      <x:c r="K769">
        <x:v>2</x:v>
      </x:c>
      <x:c r="L769">
        <x:f t="shared" si="77"/>
        <x:v>0</x:v>
      </x:c>
      <x:c r="P769">
        <x:f t="shared" si="78"/>
        <x:v>0</x:v>
      </x:c>
      <x:c r="Q769">
        <x:f t="shared" si="79"/>
        <x:v>0</x:v>
      </x:c>
      <x:c r="R769">
        <x:f t="shared" si="80"/>
        <x:v>0</x:v>
      </x:c>
      <x:c r="S769">
        <x:f t="shared" si="81"/>
        <x:v>0</x:v>
      </x:c>
      <x:c r="T769" t="str">
        <x:f t="shared" si="82"/>
        <x:v>DerivedFromCount</x:v>
      </x:c>
      <x:c r="U769" t="str">
        <x:f>IF(COUNTIF(DailyProduction!$Q$5:$Q$100,B769)=1,"OK","CHECK")</x:f>
        <x:v>OK</x:v>
      </x:c>
      <x:c r="V769" t="str">
        <x:f t="shared" si="83"/>
        <x:v>OK</x:v>
      </x:c>
      <x:c r="W769" t="str">
        <x:f>IF(SUMIF($B$5:$B$914,B769,$S$5:$S$914)=SUMIF(DailyProduction!$Q$5:$Q$100,B769,DailyProduction!$R$5:$R$100),"OK","CHECK")</x:f>
        <x:v>OK</x:v>
      </x:c>
      <x:c r="X769" t="str">
        <x:v>PLC-PRD-JAR-720-L25</x:v>
      </x:c>
      <x:c r="Y769" t="str">
        <x:v>OK</x:v>
      </x:c>
      <x:c r="Z769" t="str">
        <x:v>OK</x:v>
      </x:c>
      <x:c r="AA769" t="n">
        <x:v>3</x:v>
      </x:c>
      <x:c r="AB769" t="n">
        <x:v>0</x:v>
      </x:c>
      <x:c r="AC769" t="str">
        <x:v>OK</x:v>
      </x:c>
      <x:c r="AD769" t="str">
        <x:v>OK</x:v>
      </x:c>
      <x:c r="AE769" t="str">
        <x:v>LOAD</x:v>
      </x:c>
      <x:c r="AF769" t="str">
        <x:v>02_Supervisor_Log(4).xlsx</x:v>
      </x:c>
      <x:c r="AG769" t="str">
        <x:v>ENH-20260830-01</x:v>
      </x:c>
      <x:c r="AH769" t="str">
        <x:v>Active</x:v>
      </x:c>
      <x:c r="AI769"/>
      <x:c r="AJ769"/>
      <x:c r="AK769"/>
      <x:c r="AL769"/>
    </x:row>
    <x:row r="770">
      <x:c r="A770" t="s">
        <x:v>1018</x:v>
      </x:c>
      <x:c r="B770" t="s">
        <x:v>1007</x:v>
      </x:c>
      <x:c r="C770" t="s">
        <x:v>44</x:v>
      </x:c>
      <x:c r="D770">
        <x:v>45951</x:v>
      </x:c>
      <x:c r="E770" t="s">
        <x:v>45</x:v>
      </x:c>
      <x:c r="F770" t="s">
        <x:v>46</x:v>
      </x:c>
      <x:c r="G770">
        <x:v>25</x:v>
      </x:c>
      <x:c r="H770" t="s">
        <x:v>76</x:v>
      </x:c>
      <x:c r="I770">
        <x:v>12</x:v>
      </x:c>
      <x:c r="J770">
        <x:v>8</x:v>
      </x:c>
      <x:c r="K770">
        <x:v>2</x:v>
      </x:c>
      <x:c r="L770">
        <x:f t="shared" si="77"/>
        <x:v>0</x:v>
      </x:c>
      <x:c r="P770">
        <x:f t="shared" si="78"/>
        <x:v>0</x:v>
      </x:c>
      <x:c r="Q770">
        <x:f t="shared" si="79"/>
        <x:v>0</x:v>
      </x:c>
      <x:c r="R770">
        <x:f t="shared" si="80"/>
        <x:v>0</x:v>
      </x:c>
      <x:c r="S770">
        <x:f t="shared" si="81"/>
        <x:v>0</x:v>
      </x:c>
      <x:c r="T770" t="str">
        <x:f t="shared" si="82"/>
        <x:v>DerivedFromCount</x:v>
      </x:c>
      <x:c r="U770" t="str">
        <x:f>IF(COUNTIF(DailyProduction!$Q$5:$Q$100,B770)=1,"OK","CHECK")</x:f>
        <x:v>OK</x:v>
      </x:c>
      <x:c r="V770" t="str">
        <x:f t="shared" si="83"/>
        <x:v>OK</x:v>
      </x:c>
      <x:c r="W770" t="str">
        <x:f>IF(SUMIF($B$5:$B$914,B770,$S$5:$S$914)=SUMIF(DailyProduction!$Q$5:$Q$100,B770,DailyProduction!$R$5:$R$100),"OK","CHECK")</x:f>
        <x:v>OK</x:v>
      </x:c>
      <x:c r="X770" t="str">
        <x:v>PLC-PRD-JAR-720-L25</x:v>
      </x:c>
      <x:c r="Y770" t="str">
        <x:v>OK</x:v>
      </x:c>
      <x:c r="Z770" t="str">
        <x:v>OK</x:v>
      </x:c>
      <x:c r="AA770" t="n">
        <x:v>3</x:v>
      </x:c>
      <x:c r="AB770" t="n">
        <x:v>0</x:v>
      </x:c>
      <x:c r="AC770" t="str">
        <x:v>OK</x:v>
      </x:c>
      <x:c r="AD770" t="str">
        <x:v>OK</x:v>
      </x:c>
      <x:c r="AE770" t="str">
        <x:v>LOAD</x:v>
      </x:c>
      <x:c r="AF770" t="str">
        <x:v>02_Supervisor_Log(4).xlsx</x:v>
      </x:c>
      <x:c r="AG770" t="str">
        <x:v>ENH-20260830-01</x:v>
      </x:c>
      <x:c r="AH770" t="str">
        <x:v>Active</x:v>
      </x:c>
      <x:c r="AI770"/>
      <x:c r="AJ770"/>
      <x:c r="AK770"/>
      <x:c r="AL770"/>
    </x:row>
    <x:row r="771">
      <x:c r="A771" t="s">
        <x:v>1019</x:v>
      </x:c>
      <x:c r="B771" t="s">
        <x:v>1007</x:v>
      </x:c>
      <x:c r="C771" t="s">
        <x:v>44</x:v>
      </x:c>
      <x:c r="D771">
        <x:v>45951</x:v>
      </x:c>
      <x:c r="E771" t="s">
        <x:v>45</x:v>
      </x:c>
      <x:c r="F771" t="s">
        <x:v>46</x:v>
      </x:c>
      <x:c r="G771">
        <x:v>25</x:v>
      </x:c>
      <x:c r="H771" t="s">
        <x:v>76</x:v>
      </x:c>
      <x:c r="I771">
        <x:v>13</x:v>
      </x:c>
      <x:c r="J771">
        <x:v>8</x:v>
      </x:c>
      <x:c r="K771">
        <x:v>2</x:v>
      </x:c>
      <x:c r="L771">
        <x:f t="shared" si="77"/>
        <x:v>0</x:v>
      </x:c>
      <x:c r="P771">
        <x:f t="shared" si="78"/>
        <x:v>0</x:v>
      </x:c>
      <x:c r="Q771">
        <x:f t="shared" si="79"/>
        <x:v>0</x:v>
      </x:c>
      <x:c r="R771">
        <x:f t="shared" si="80"/>
        <x:v>0</x:v>
      </x:c>
      <x:c r="S771">
        <x:f t="shared" si="81"/>
        <x:v>0</x:v>
      </x:c>
      <x:c r="T771" t="str">
        <x:f t="shared" si="82"/>
        <x:v>DerivedFromCount</x:v>
      </x:c>
      <x:c r="U771" t="str">
        <x:f>IF(COUNTIF(DailyProduction!$Q$5:$Q$100,B771)=1,"OK","CHECK")</x:f>
        <x:v>OK</x:v>
      </x:c>
      <x:c r="V771" t="str">
        <x:f t="shared" si="83"/>
        <x:v>OK</x:v>
      </x:c>
      <x:c r="W771" t="str">
        <x:f>IF(SUMIF($B$5:$B$914,B771,$S$5:$S$914)=SUMIF(DailyProduction!$Q$5:$Q$100,B771,DailyProduction!$R$5:$R$100),"OK","CHECK")</x:f>
        <x:v>OK</x:v>
      </x:c>
      <x:c r="X771" t="str">
        <x:v>PLC-PRD-JAR-720-L25</x:v>
      </x:c>
      <x:c r="Y771" t="str">
        <x:v>OK</x:v>
      </x:c>
      <x:c r="Z771" t="str">
        <x:v>OK</x:v>
      </x:c>
      <x:c r="AA771" t="n">
        <x:v>3</x:v>
      </x:c>
      <x:c r="AB771" t="n">
        <x:v>0</x:v>
      </x:c>
      <x:c r="AC771" t="str">
        <x:v>OK</x:v>
      </x:c>
      <x:c r="AD771" t="str">
        <x:v>OK</x:v>
      </x:c>
      <x:c r="AE771" t="str">
        <x:v>LOAD</x:v>
      </x:c>
      <x:c r="AF771" t="str">
        <x:v>02_Supervisor_Log(4).xlsx</x:v>
      </x:c>
      <x:c r="AG771" t="str">
        <x:v>ENH-20260830-01</x:v>
      </x:c>
      <x:c r="AH771" t="str">
        <x:v>Active</x:v>
      </x:c>
      <x:c r="AI771"/>
      <x:c r="AJ771"/>
      <x:c r="AK771"/>
      <x:c r="AL771"/>
    </x:row>
    <x:row r="772">
      <x:c r="A772" t="s">
        <x:v>1020</x:v>
      </x:c>
      <x:c r="B772" t="s">
        <x:v>1021</x:v>
      </x:c>
      <x:c r="C772" t="s">
        <x:v>44</x:v>
      </x:c>
      <x:c r="D772">
        <x:v>45951</x:v>
      </x:c>
      <x:c r="E772" t="s">
        <x:v>187</x:v>
      </x:c>
      <x:c r="F772" t="s">
        <x:v>51</x:v>
      </x:c>
      <x:c r="G772">
        <x:v>25</x:v>
      </x:c>
      <x:c r="H772" t="s">
        <x:v>76</x:v>
      </x:c>
      <x:c r="I772">
        <x:v>1</x:v>
      </x:c>
      <x:c r="J772">
        <x:v>8</x:v>
      </x:c>
      <x:c r="K772">
        <x:v>2</x:v>
      </x:c>
      <x:c r="L772">
        <x:f t="shared" si="77"/>
        <x:v>1</x:v>
      </x:c>
      <x:c r="P772">
        <x:f t="shared" si="78"/>
        <x:v>1</x:v>
      </x:c>
      <x:c r="Q772">
        <x:f t="shared" si="79"/>
        <x:v>1</x:v>
      </x:c>
      <x:c r="R772">
        <x:f t="shared" si="80"/>
        <x:v>0</x:v>
      </x:c>
      <x:c r="S772">
        <x:f t="shared" si="81"/>
        <x:v>2</x:v>
      </x:c>
      <x:c r="T772" t="str">
        <x:f t="shared" si="82"/>
        <x:v>DerivedFromCount</x:v>
      </x:c>
      <x:c r="U772" t="str">
        <x:f>IF(COUNTIF(DailyProduction!$Q$5:$Q$100,B772)=1,"OK","CHECK")</x:f>
        <x:v>OK</x:v>
      </x:c>
      <x:c r="V772" t="str">
        <x:f t="shared" si="83"/>
        <x:v>OK</x:v>
      </x:c>
      <x:c r="W772" t="str">
        <x:f>IF(SUMIF($B$5:$B$914,B772,$S$5:$S$914)=SUMIF(DailyProduction!$Q$5:$Q$100,B772,DailyProduction!$R$5:$R$100),"OK","CHECK")</x:f>
        <x:v>OK</x:v>
      </x:c>
      <x:c r="X772" t="str">
        <x:v>PLC-PRD-JAR-720-L25</x:v>
      </x:c>
      <x:c r="Y772" t="str">
        <x:v>OK</x:v>
      </x:c>
      <x:c r="Z772" t="str">
        <x:v>OK</x:v>
      </x:c>
      <x:c r="AA772" t="n">
        <x:v>3</x:v>
      </x:c>
      <x:c r="AB772" t="n">
        <x:v>2</x:v>
      </x:c>
      <x:c r="AC772" t="str">
        <x:v>OK</x:v>
      </x:c>
      <x:c r="AD772" t="str">
        <x:v>OK</x:v>
      </x:c>
      <x:c r="AE772" t="str">
        <x:v>LOAD</x:v>
      </x:c>
      <x:c r="AF772" t="str">
        <x:v>02_Supervisor_Log(4).xlsx</x:v>
      </x:c>
      <x:c r="AG772" t="str">
        <x:v>ENH-20260830-01</x:v>
      </x:c>
      <x:c r="AH772" t="str">
        <x:v>Active</x:v>
      </x:c>
      <x:c r="AI772"/>
      <x:c r="AJ772"/>
      <x:c r="AK772"/>
      <x:c r="AL772"/>
    </x:row>
    <x:row r="773">
      <x:c r="A773" t="s">
        <x:v>1022</x:v>
      </x:c>
      <x:c r="B773" t="s">
        <x:v>1021</x:v>
      </x:c>
      <x:c r="C773" t="s">
        <x:v>44</x:v>
      </x:c>
      <x:c r="D773">
        <x:v>45951</x:v>
      </x:c>
      <x:c r="E773" t="s">
        <x:v>187</x:v>
      </x:c>
      <x:c r="F773" t="s">
        <x:v>51</x:v>
      </x:c>
      <x:c r="G773">
        <x:v>25</x:v>
      </x:c>
      <x:c r="H773" t="s">
        <x:v>76</x:v>
      </x:c>
      <x:c r="I773">
        <x:v>2</x:v>
      </x:c>
      <x:c r="J773">
        <x:v>8</x:v>
      </x:c>
      <x:c r="K773">
        <x:v>2</x:v>
      </x:c>
      <x:c r="L773" t="n">
        <x:f t="shared" ref="L773:L836" si="84">IF(I773&lt;=J773,1,0)</x:f>
        <x:v>1</x:v>
      </x:c>
      <x:c r="P773" t="n">
        <x:f t="shared" ref="P773:P836" si="85">IF(M773="",IF(AND(L773=1,K773&gt;=1),1,0),M773)</x:f>
        <x:v>1</x:v>
      </x:c>
      <x:c r="Q773" t="n">
        <x:f t="shared" ref="Q773:Q836" si="86">IF(N773="",IF(AND(L773=1,K773&gt;=2),1,0),N773)</x:f>
        <x:v>1</x:v>
      </x:c>
      <x:c r="R773" t="n">
        <x:f t="shared" ref="R773:R836" si="87">IF(O773="",IF(AND(L773=1,K773&gt;=3),1,0),O773)</x:f>
        <x:v>0</x:v>
      </x:c>
      <x:c r="S773" t="n">
        <x:f t="shared" ref="S773:S836" si="88">SUM(P773:R773)</x:f>
        <x:v>2</x:v>
      </x:c>
      <x:c r="T773" t="str">
        <x:f t="shared" ref="T773:T836" si="89">IF(COUNTA(M773:O773)=0,"DerivedFromCount","ManualOverride")</x:f>
        <x:v>DerivedFromCount</x:v>
      </x:c>
      <x:c r="U773" t="str">
        <x:f>IF(COUNTIF(DailyProduction!$Q$5:$Q$100,B773)=1,"OK","CHECK")</x:f>
        <x:v>OK</x:v>
      </x:c>
      <x:c r="V773" t="str">
        <x:f t="shared" ref="V773:V836" si="90">IF(AND(I773&gt;=1,I773&lt;=13,K773&gt;=1,K773&lt;=3),"OK","CHECK")</x:f>
        <x:v>OK</x:v>
      </x:c>
      <x:c r="W773" t="str">
        <x:f>IF(SUMIF($B$5:$B$914,B773,$S$5:$S$914)=SUMIF(DailyProduction!$Q$5:$Q$100,B773,DailyProduction!$R$5:$R$100),"OK","CHECK")</x:f>
        <x:v>OK</x:v>
      </x:c>
      <x:c r="X773" t="str">
        <x:v>PLC-PRD-JAR-720-L25</x:v>
      </x:c>
      <x:c r="Y773" t="str">
        <x:v>OK</x:v>
      </x:c>
      <x:c r="Z773" t="str">
        <x:v>OK</x:v>
      </x:c>
      <x:c r="AA773" t="n">
        <x:v>3</x:v>
      </x:c>
      <x:c r="AB773" t="n">
        <x:v>2</x:v>
      </x:c>
      <x:c r="AC773" t="str">
        <x:v>OK</x:v>
      </x:c>
      <x:c r="AD773" t="str">
        <x:v>OK</x:v>
      </x:c>
      <x:c r="AE773" t="str">
        <x:v>LOAD</x:v>
      </x:c>
      <x:c r="AF773" t="str">
        <x:v>02_Supervisor_Log(4).xlsx</x:v>
      </x:c>
      <x:c r="AG773" t="str">
        <x:v>ENH-20260830-01</x:v>
      </x:c>
      <x:c r="AH773" t="str">
        <x:v>Active</x:v>
      </x:c>
      <x:c r="AI773"/>
      <x:c r="AJ773"/>
      <x:c r="AK773"/>
      <x:c r="AL773"/>
    </x:row>
    <x:row r="774">
      <x:c r="A774" t="s">
        <x:v>1023</x:v>
      </x:c>
      <x:c r="B774" t="s">
        <x:v>1021</x:v>
      </x:c>
      <x:c r="C774" t="s">
        <x:v>44</x:v>
      </x:c>
      <x:c r="D774">
        <x:v>45951</x:v>
      </x:c>
      <x:c r="E774" t="s">
        <x:v>187</x:v>
      </x:c>
      <x:c r="F774" t="s">
        <x:v>51</x:v>
      </x:c>
      <x:c r="G774">
        <x:v>25</x:v>
      </x:c>
      <x:c r="H774" t="s">
        <x:v>76</x:v>
      </x:c>
      <x:c r="I774">
        <x:v>3</x:v>
      </x:c>
      <x:c r="J774">
        <x:v>8</x:v>
      </x:c>
      <x:c r="K774">
        <x:v>2</x:v>
      </x:c>
      <x:c r="L774">
        <x:f t="shared" si="84"/>
        <x:v>1</x:v>
      </x:c>
      <x:c r="P774">
        <x:f t="shared" si="85"/>
        <x:v>1</x:v>
      </x:c>
      <x:c r="Q774">
        <x:f t="shared" si="86"/>
        <x:v>1</x:v>
      </x:c>
      <x:c r="R774">
        <x:f t="shared" si="87"/>
        <x:v>0</x:v>
      </x:c>
      <x:c r="S774">
        <x:f t="shared" si="88"/>
        <x:v>2</x:v>
      </x:c>
      <x:c r="T774" t="str">
        <x:f t="shared" si="89"/>
        <x:v>DerivedFromCount</x:v>
      </x:c>
      <x:c r="U774" t="str">
        <x:f>IF(COUNTIF(DailyProduction!$Q$5:$Q$100,B774)=1,"OK","CHECK")</x:f>
        <x:v>OK</x:v>
      </x:c>
      <x:c r="V774" t="str">
        <x:f t="shared" si="90"/>
        <x:v>OK</x:v>
      </x:c>
      <x:c r="W774" t="str">
        <x:f>IF(SUMIF($B$5:$B$914,B774,$S$5:$S$914)=SUMIF(DailyProduction!$Q$5:$Q$100,B774,DailyProduction!$R$5:$R$100),"OK","CHECK")</x:f>
        <x:v>OK</x:v>
      </x:c>
      <x:c r="X774" t="str">
        <x:v>PLC-PRD-JAR-720-L25</x:v>
      </x:c>
      <x:c r="Y774" t="str">
        <x:v>OK</x:v>
      </x:c>
      <x:c r="Z774" t="str">
        <x:v>OK</x:v>
      </x:c>
      <x:c r="AA774" t="n">
        <x:v>3</x:v>
      </x:c>
      <x:c r="AB774" t="n">
        <x:v>2</x:v>
      </x:c>
      <x:c r="AC774" t="str">
        <x:v>OK</x:v>
      </x:c>
      <x:c r="AD774" t="str">
        <x:v>OK</x:v>
      </x:c>
      <x:c r="AE774" t="str">
        <x:v>LOAD</x:v>
      </x:c>
      <x:c r="AF774" t="str">
        <x:v>02_Supervisor_Log(4).xlsx</x:v>
      </x:c>
      <x:c r="AG774" t="str">
        <x:v>ENH-20260830-01</x:v>
      </x:c>
      <x:c r="AH774" t="str">
        <x:v>Active</x:v>
      </x:c>
      <x:c r="AI774"/>
      <x:c r="AJ774"/>
      <x:c r="AK774"/>
      <x:c r="AL774"/>
    </x:row>
    <x:row r="775">
      <x:c r="A775" t="s">
        <x:v>1024</x:v>
      </x:c>
      <x:c r="B775" t="s">
        <x:v>1021</x:v>
      </x:c>
      <x:c r="C775" t="s">
        <x:v>44</x:v>
      </x:c>
      <x:c r="D775">
        <x:v>45951</x:v>
      </x:c>
      <x:c r="E775" t="s">
        <x:v>187</x:v>
      </x:c>
      <x:c r="F775" t="s">
        <x:v>51</x:v>
      </x:c>
      <x:c r="G775">
        <x:v>25</x:v>
      </x:c>
      <x:c r="H775" t="s">
        <x:v>76</x:v>
      </x:c>
      <x:c r="I775">
        <x:v>4</x:v>
      </x:c>
      <x:c r="J775">
        <x:v>8</x:v>
      </x:c>
      <x:c r="K775">
        <x:v>2</x:v>
      </x:c>
      <x:c r="L775">
        <x:f t="shared" si="84"/>
        <x:v>1</x:v>
      </x:c>
      <x:c r="P775">
        <x:f t="shared" si="85"/>
        <x:v>1</x:v>
      </x:c>
      <x:c r="Q775">
        <x:f t="shared" si="86"/>
        <x:v>1</x:v>
      </x:c>
      <x:c r="R775">
        <x:f t="shared" si="87"/>
        <x:v>0</x:v>
      </x:c>
      <x:c r="S775">
        <x:f t="shared" si="88"/>
        <x:v>2</x:v>
      </x:c>
      <x:c r="T775" t="str">
        <x:f t="shared" si="89"/>
        <x:v>DerivedFromCount</x:v>
      </x:c>
      <x:c r="U775" t="str">
        <x:f>IF(COUNTIF(DailyProduction!$Q$5:$Q$100,B775)=1,"OK","CHECK")</x:f>
        <x:v>OK</x:v>
      </x:c>
      <x:c r="V775" t="str">
        <x:f t="shared" si="90"/>
        <x:v>OK</x:v>
      </x:c>
      <x:c r="W775" t="str">
        <x:f>IF(SUMIF($B$5:$B$914,B775,$S$5:$S$914)=SUMIF(DailyProduction!$Q$5:$Q$100,B775,DailyProduction!$R$5:$R$100),"OK","CHECK")</x:f>
        <x:v>OK</x:v>
      </x:c>
      <x:c r="X775" t="str">
        <x:v>PLC-PRD-JAR-720-L25</x:v>
      </x:c>
      <x:c r="Y775" t="str">
        <x:v>OK</x:v>
      </x:c>
      <x:c r="Z775" t="str">
        <x:v>OK</x:v>
      </x:c>
      <x:c r="AA775" t="n">
        <x:v>3</x:v>
      </x:c>
      <x:c r="AB775" t="n">
        <x:v>2</x:v>
      </x:c>
      <x:c r="AC775" t="str">
        <x:v>OK</x:v>
      </x:c>
      <x:c r="AD775" t="str">
        <x:v>OK</x:v>
      </x:c>
      <x:c r="AE775" t="str">
        <x:v>LOAD</x:v>
      </x:c>
      <x:c r="AF775" t="str">
        <x:v>02_Supervisor_Log(4).xlsx</x:v>
      </x:c>
      <x:c r="AG775" t="str">
        <x:v>ENH-20260830-01</x:v>
      </x:c>
      <x:c r="AH775" t="str">
        <x:v>Active</x:v>
      </x:c>
      <x:c r="AI775"/>
      <x:c r="AJ775"/>
      <x:c r="AK775"/>
      <x:c r="AL775"/>
    </x:row>
    <x:row r="776">
      <x:c r="A776" t="s">
        <x:v>1025</x:v>
      </x:c>
      <x:c r="B776" t="s">
        <x:v>1021</x:v>
      </x:c>
      <x:c r="C776" t="s">
        <x:v>44</x:v>
      </x:c>
      <x:c r="D776">
        <x:v>45951</x:v>
      </x:c>
      <x:c r="E776" t="s">
        <x:v>187</x:v>
      </x:c>
      <x:c r="F776" t="s">
        <x:v>51</x:v>
      </x:c>
      <x:c r="G776">
        <x:v>25</x:v>
      </x:c>
      <x:c r="H776" t="s">
        <x:v>76</x:v>
      </x:c>
      <x:c r="I776">
        <x:v>5</x:v>
      </x:c>
      <x:c r="J776">
        <x:v>8</x:v>
      </x:c>
      <x:c r="K776">
        <x:v>2</x:v>
      </x:c>
      <x:c r="L776">
        <x:f t="shared" si="84"/>
        <x:v>1</x:v>
      </x:c>
      <x:c r="P776">
        <x:f t="shared" si="85"/>
        <x:v>1</x:v>
      </x:c>
      <x:c r="Q776">
        <x:f t="shared" si="86"/>
        <x:v>1</x:v>
      </x:c>
      <x:c r="R776">
        <x:f t="shared" si="87"/>
        <x:v>0</x:v>
      </x:c>
      <x:c r="S776">
        <x:f t="shared" si="88"/>
        <x:v>2</x:v>
      </x:c>
      <x:c r="T776" t="str">
        <x:f t="shared" si="89"/>
        <x:v>DerivedFromCount</x:v>
      </x:c>
      <x:c r="U776" t="str">
        <x:f>IF(COUNTIF(DailyProduction!$Q$5:$Q$100,B776)=1,"OK","CHECK")</x:f>
        <x:v>OK</x:v>
      </x:c>
      <x:c r="V776" t="str">
        <x:f t="shared" si="90"/>
        <x:v>OK</x:v>
      </x:c>
      <x:c r="W776" t="str">
        <x:f>IF(SUMIF($B$5:$B$914,B776,$S$5:$S$914)=SUMIF(DailyProduction!$Q$5:$Q$100,B776,DailyProduction!$R$5:$R$100),"OK","CHECK")</x:f>
        <x:v>OK</x:v>
      </x:c>
      <x:c r="X776" t="str">
        <x:v>PLC-PRD-JAR-720-L25</x:v>
      </x:c>
      <x:c r="Y776" t="str">
        <x:v>OK</x:v>
      </x:c>
      <x:c r="Z776" t="str">
        <x:v>OK</x:v>
      </x:c>
      <x:c r="AA776" t="n">
        <x:v>3</x:v>
      </x:c>
      <x:c r="AB776" t="n">
        <x:v>2</x:v>
      </x:c>
      <x:c r="AC776" t="str">
        <x:v>OK</x:v>
      </x:c>
      <x:c r="AD776" t="str">
        <x:v>OK</x:v>
      </x:c>
      <x:c r="AE776" t="str">
        <x:v>LOAD</x:v>
      </x:c>
      <x:c r="AF776" t="str">
        <x:v>02_Supervisor_Log(4).xlsx</x:v>
      </x:c>
      <x:c r="AG776" t="str">
        <x:v>ENH-20260830-01</x:v>
      </x:c>
      <x:c r="AH776" t="str">
        <x:v>Active</x:v>
      </x:c>
      <x:c r="AI776"/>
      <x:c r="AJ776"/>
      <x:c r="AK776"/>
      <x:c r="AL776"/>
    </x:row>
    <x:row r="777">
      <x:c r="A777" t="s">
        <x:v>1026</x:v>
      </x:c>
      <x:c r="B777" t="s">
        <x:v>1021</x:v>
      </x:c>
      <x:c r="C777" t="s">
        <x:v>44</x:v>
      </x:c>
      <x:c r="D777">
        <x:v>45951</x:v>
      </x:c>
      <x:c r="E777" t="s">
        <x:v>187</x:v>
      </x:c>
      <x:c r="F777" t="s">
        <x:v>51</x:v>
      </x:c>
      <x:c r="G777">
        <x:v>25</x:v>
      </x:c>
      <x:c r="H777" t="s">
        <x:v>76</x:v>
      </x:c>
      <x:c r="I777">
        <x:v>6</x:v>
      </x:c>
      <x:c r="J777">
        <x:v>8</x:v>
      </x:c>
      <x:c r="K777">
        <x:v>2</x:v>
      </x:c>
      <x:c r="L777">
        <x:f t="shared" si="84"/>
        <x:v>1</x:v>
      </x:c>
      <x:c r="P777">
        <x:f t="shared" si="85"/>
        <x:v>1</x:v>
      </x:c>
      <x:c r="Q777">
        <x:f t="shared" si="86"/>
        <x:v>1</x:v>
      </x:c>
      <x:c r="R777">
        <x:f t="shared" si="87"/>
        <x:v>0</x:v>
      </x:c>
      <x:c r="S777">
        <x:f t="shared" si="88"/>
        <x:v>2</x:v>
      </x:c>
      <x:c r="T777" t="str">
        <x:f t="shared" si="89"/>
        <x:v>DerivedFromCount</x:v>
      </x:c>
      <x:c r="U777" t="str">
        <x:f>IF(COUNTIF(DailyProduction!$Q$5:$Q$100,B777)=1,"OK","CHECK")</x:f>
        <x:v>OK</x:v>
      </x:c>
      <x:c r="V777" t="str">
        <x:f t="shared" si="90"/>
        <x:v>OK</x:v>
      </x:c>
      <x:c r="W777" t="str">
        <x:f>IF(SUMIF($B$5:$B$914,B777,$S$5:$S$914)=SUMIF(DailyProduction!$Q$5:$Q$100,B777,DailyProduction!$R$5:$R$100),"OK","CHECK")</x:f>
        <x:v>OK</x:v>
      </x:c>
      <x:c r="X777" t="str">
        <x:v>PLC-PRD-JAR-720-L25</x:v>
      </x:c>
      <x:c r="Y777" t="str">
        <x:v>OK</x:v>
      </x:c>
      <x:c r="Z777" t="str">
        <x:v>OK</x:v>
      </x:c>
      <x:c r="AA777" t="n">
        <x:v>3</x:v>
      </x:c>
      <x:c r="AB777" t="n">
        <x:v>2</x:v>
      </x:c>
      <x:c r="AC777" t="str">
        <x:v>OK</x:v>
      </x:c>
      <x:c r="AD777" t="str">
        <x:v>OK</x:v>
      </x:c>
      <x:c r="AE777" t="str">
        <x:v>LOAD</x:v>
      </x:c>
      <x:c r="AF777" t="str">
        <x:v>02_Supervisor_Log(4).xlsx</x:v>
      </x:c>
      <x:c r="AG777" t="str">
        <x:v>ENH-20260830-01</x:v>
      </x:c>
      <x:c r="AH777" t="str">
        <x:v>Active</x:v>
      </x:c>
      <x:c r="AI777"/>
      <x:c r="AJ777"/>
      <x:c r="AK777"/>
      <x:c r="AL777"/>
    </x:row>
    <x:row r="778">
      <x:c r="A778" t="s">
        <x:v>1027</x:v>
      </x:c>
      <x:c r="B778" t="s">
        <x:v>1021</x:v>
      </x:c>
      <x:c r="C778" t="s">
        <x:v>44</x:v>
      </x:c>
      <x:c r="D778">
        <x:v>45951</x:v>
      </x:c>
      <x:c r="E778" t="s">
        <x:v>187</x:v>
      </x:c>
      <x:c r="F778" t="s">
        <x:v>51</x:v>
      </x:c>
      <x:c r="G778">
        <x:v>25</x:v>
      </x:c>
      <x:c r="H778" t="s">
        <x:v>76</x:v>
      </x:c>
      <x:c r="I778">
        <x:v>7</x:v>
      </x:c>
      <x:c r="J778">
        <x:v>8</x:v>
      </x:c>
      <x:c r="K778">
        <x:v>2</x:v>
      </x:c>
      <x:c r="L778">
        <x:f t="shared" si="84"/>
        <x:v>1</x:v>
      </x:c>
      <x:c r="P778">
        <x:f t="shared" si="85"/>
        <x:v>1</x:v>
      </x:c>
      <x:c r="Q778">
        <x:f t="shared" si="86"/>
        <x:v>1</x:v>
      </x:c>
      <x:c r="R778">
        <x:f t="shared" si="87"/>
        <x:v>0</x:v>
      </x:c>
      <x:c r="S778">
        <x:f t="shared" si="88"/>
        <x:v>2</x:v>
      </x:c>
      <x:c r="T778" t="str">
        <x:f t="shared" si="89"/>
        <x:v>DerivedFromCount</x:v>
      </x:c>
      <x:c r="U778" t="str">
        <x:f>IF(COUNTIF(DailyProduction!$Q$5:$Q$100,B778)=1,"OK","CHECK")</x:f>
        <x:v>OK</x:v>
      </x:c>
      <x:c r="V778" t="str">
        <x:f t="shared" si="90"/>
        <x:v>OK</x:v>
      </x:c>
      <x:c r="W778" t="str">
        <x:f>IF(SUMIF($B$5:$B$914,B778,$S$5:$S$914)=SUMIF(DailyProduction!$Q$5:$Q$100,B778,DailyProduction!$R$5:$R$100),"OK","CHECK")</x:f>
        <x:v>OK</x:v>
      </x:c>
      <x:c r="X778" t="str">
        <x:v>PLC-PRD-JAR-720-L25</x:v>
      </x:c>
      <x:c r="Y778" t="str">
        <x:v>OK</x:v>
      </x:c>
      <x:c r="Z778" t="str">
        <x:v>OK</x:v>
      </x:c>
      <x:c r="AA778" t="n">
        <x:v>3</x:v>
      </x:c>
      <x:c r="AB778" t="n">
        <x:v>2</x:v>
      </x:c>
      <x:c r="AC778" t="str">
        <x:v>OK</x:v>
      </x:c>
      <x:c r="AD778" t="str">
        <x:v>OK</x:v>
      </x:c>
      <x:c r="AE778" t="str">
        <x:v>LOAD</x:v>
      </x:c>
      <x:c r="AF778" t="str">
        <x:v>02_Supervisor_Log(4).xlsx</x:v>
      </x:c>
      <x:c r="AG778" t="str">
        <x:v>ENH-20260830-01</x:v>
      </x:c>
      <x:c r="AH778" t="str">
        <x:v>Active</x:v>
      </x:c>
      <x:c r="AI778"/>
      <x:c r="AJ778"/>
      <x:c r="AK778"/>
      <x:c r="AL778"/>
    </x:row>
    <x:row r="779">
      <x:c r="A779" t="s">
        <x:v>1028</x:v>
      </x:c>
      <x:c r="B779" t="s">
        <x:v>1021</x:v>
      </x:c>
      <x:c r="C779" t="s">
        <x:v>44</x:v>
      </x:c>
      <x:c r="D779">
        <x:v>45951</x:v>
      </x:c>
      <x:c r="E779" t="s">
        <x:v>187</x:v>
      </x:c>
      <x:c r="F779" t="s">
        <x:v>51</x:v>
      </x:c>
      <x:c r="G779">
        <x:v>25</x:v>
      </x:c>
      <x:c r="H779" t="s">
        <x:v>76</x:v>
      </x:c>
      <x:c r="I779">
        <x:v>8</x:v>
      </x:c>
      <x:c r="J779">
        <x:v>8</x:v>
      </x:c>
      <x:c r="K779">
        <x:v>2</x:v>
      </x:c>
      <x:c r="L779">
        <x:f t="shared" si="84"/>
        <x:v>1</x:v>
      </x:c>
      <x:c r="P779">
        <x:f t="shared" si="85"/>
        <x:v>1</x:v>
      </x:c>
      <x:c r="Q779">
        <x:f t="shared" si="86"/>
        <x:v>1</x:v>
      </x:c>
      <x:c r="R779">
        <x:f t="shared" si="87"/>
        <x:v>0</x:v>
      </x:c>
      <x:c r="S779">
        <x:f t="shared" si="88"/>
        <x:v>2</x:v>
      </x:c>
      <x:c r="T779" t="str">
        <x:f t="shared" si="89"/>
        <x:v>DerivedFromCount</x:v>
      </x:c>
      <x:c r="U779" t="str">
        <x:f>IF(COUNTIF(DailyProduction!$Q$5:$Q$100,B779)=1,"OK","CHECK")</x:f>
        <x:v>OK</x:v>
      </x:c>
      <x:c r="V779" t="str">
        <x:f t="shared" si="90"/>
        <x:v>OK</x:v>
      </x:c>
      <x:c r="W779" t="str">
        <x:f>IF(SUMIF($B$5:$B$914,B779,$S$5:$S$914)=SUMIF(DailyProduction!$Q$5:$Q$100,B779,DailyProduction!$R$5:$R$100),"OK","CHECK")</x:f>
        <x:v>OK</x:v>
      </x:c>
      <x:c r="X779" t="str">
        <x:v>PLC-PRD-JAR-720-L25</x:v>
      </x:c>
      <x:c r="Y779" t="str">
        <x:v>OK</x:v>
      </x:c>
      <x:c r="Z779" t="str">
        <x:v>OK</x:v>
      </x:c>
      <x:c r="AA779" t="n">
        <x:v>3</x:v>
      </x:c>
      <x:c r="AB779" t="n">
        <x:v>2</x:v>
      </x:c>
      <x:c r="AC779" t="str">
        <x:v>OK</x:v>
      </x:c>
      <x:c r="AD779" t="str">
        <x:v>OK</x:v>
      </x:c>
      <x:c r="AE779" t="str">
        <x:v>LOAD</x:v>
      </x:c>
      <x:c r="AF779" t="str">
        <x:v>02_Supervisor_Log(4).xlsx</x:v>
      </x:c>
      <x:c r="AG779" t="str">
        <x:v>ENH-20260830-01</x:v>
      </x:c>
      <x:c r="AH779" t="str">
        <x:v>Active</x:v>
      </x:c>
      <x:c r="AI779"/>
      <x:c r="AJ779"/>
      <x:c r="AK779"/>
      <x:c r="AL779"/>
    </x:row>
    <x:row r="780">
      <x:c r="A780" t="s">
        <x:v>1029</x:v>
      </x:c>
      <x:c r="B780" t="s">
        <x:v>1021</x:v>
      </x:c>
      <x:c r="C780" t="s">
        <x:v>44</x:v>
      </x:c>
      <x:c r="D780">
        <x:v>45951</x:v>
      </x:c>
      <x:c r="E780" t="s">
        <x:v>187</x:v>
      </x:c>
      <x:c r="F780" t="s">
        <x:v>51</x:v>
      </x:c>
      <x:c r="G780">
        <x:v>25</x:v>
      </x:c>
      <x:c r="H780" t="s">
        <x:v>76</x:v>
      </x:c>
      <x:c r="I780">
        <x:v>9</x:v>
      </x:c>
      <x:c r="J780">
        <x:v>8</x:v>
      </x:c>
      <x:c r="K780">
        <x:v>2</x:v>
      </x:c>
      <x:c r="L780">
        <x:f t="shared" si="84"/>
        <x:v>0</x:v>
      </x:c>
      <x:c r="P780">
        <x:f t="shared" si="85"/>
        <x:v>0</x:v>
      </x:c>
      <x:c r="Q780">
        <x:f t="shared" si="86"/>
        <x:v>0</x:v>
      </x:c>
      <x:c r="R780">
        <x:f t="shared" si="87"/>
        <x:v>0</x:v>
      </x:c>
      <x:c r="S780">
        <x:f t="shared" si="88"/>
        <x:v>0</x:v>
      </x:c>
      <x:c r="T780" t="str">
        <x:f t="shared" si="89"/>
        <x:v>DerivedFromCount</x:v>
      </x:c>
      <x:c r="U780" t="str">
        <x:f>IF(COUNTIF(DailyProduction!$Q$5:$Q$100,B780)=1,"OK","CHECK")</x:f>
        <x:v>OK</x:v>
      </x:c>
      <x:c r="V780" t="str">
        <x:f t="shared" si="90"/>
        <x:v>OK</x:v>
      </x:c>
      <x:c r="W780" t="str">
        <x:f>IF(SUMIF($B$5:$B$914,B780,$S$5:$S$914)=SUMIF(DailyProduction!$Q$5:$Q$100,B780,DailyProduction!$R$5:$R$100),"OK","CHECK")</x:f>
        <x:v>OK</x:v>
      </x:c>
      <x:c r="X780" t="str">
        <x:v>PLC-PRD-JAR-720-L25</x:v>
      </x:c>
      <x:c r="Y780" t="str">
        <x:v>OK</x:v>
      </x:c>
      <x:c r="Z780" t="str">
        <x:v>OK</x:v>
      </x:c>
      <x:c r="AA780" t="n">
        <x:v>3</x:v>
      </x:c>
      <x:c r="AB780" t="n">
        <x:v>0</x:v>
      </x:c>
      <x:c r="AC780" t="str">
        <x:v>OK</x:v>
      </x:c>
      <x:c r="AD780" t="str">
        <x:v>OK</x:v>
      </x:c>
      <x:c r="AE780" t="str">
        <x:v>LOAD</x:v>
      </x:c>
      <x:c r="AF780" t="str">
        <x:v>02_Supervisor_Log(4).xlsx</x:v>
      </x:c>
      <x:c r="AG780" t="str">
        <x:v>ENH-20260830-01</x:v>
      </x:c>
      <x:c r="AH780" t="str">
        <x:v>Active</x:v>
      </x:c>
      <x:c r="AI780"/>
      <x:c r="AJ780"/>
      <x:c r="AK780"/>
      <x:c r="AL780"/>
    </x:row>
    <x:row r="781">
      <x:c r="A781" t="s">
        <x:v>1030</x:v>
      </x:c>
      <x:c r="B781" t="s">
        <x:v>1021</x:v>
      </x:c>
      <x:c r="C781" t="s">
        <x:v>44</x:v>
      </x:c>
      <x:c r="D781">
        <x:v>45951</x:v>
      </x:c>
      <x:c r="E781" t="s">
        <x:v>187</x:v>
      </x:c>
      <x:c r="F781" t="s">
        <x:v>51</x:v>
      </x:c>
      <x:c r="G781">
        <x:v>25</x:v>
      </x:c>
      <x:c r="H781" t="s">
        <x:v>76</x:v>
      </x:c>
      <x:c r="I781">
        <x:v>10</x:v>
      </x:c>
      <x:c r="J781">
        <x:v>8</x:v>
      </x:c>
      <x:c r="K781">
        <x:v>2</x:v>
      </x:c>
      <x:c r="L781">
        <x:f t="shared" si="84"/>
        <x:v>0</x:v>
      </x:c>
      <x:c r="P781">
        <x:f t="shared" si="85"/>
        <x:v>0</x:v>
      </x:c>
      <x:c r="Q781">
        <x:f t="shared" si="86"/>
        <x:v>0</x:v>
      </x:c>
      <x:c r="R781">
        <x:f t="shared" si="87"/>
        <x:v>0</x:v>
      </x:c>
      <x:c r="S781">
        <x:f t="shared" si="88"/>
        <x:v>0</x:v>
      </x:c>
      <x:c r="T781" t="str">
        <x:f t="shared" si="89"/>
        <x:v>DerivedFromCount</x:v>
      </x:c>
      <x:c r="U781" t="str">
        <x:f>IF(COUNTIF(DailyProduction!$Q$5:$Q$100,B781)=1,"OK","CHECK")</x:f>
        <x:v>OK</x:v>
      </x:c>
      <x:c r="V781" t="str">
        <x:f t="shared" si="90"/>
        <x:v>OK</x:v>
      </x:c>
      <x:c r="W781" t="str">
        <x:f>IF(SUMIF($B$5:$B$914,B781,$S$5:$S$914)=SUMIF(DailyProduction!$Q$5:$Q$100,B781,DailyProduction!$R$5:$R$100),"OK","CHECK")</x:f>
        <x:v>OK</x:v>
      </x:c>
      <x:c r="X781" t="str">
        <x:v>PLC-PRD-JAR-720-L25</x:v>
      </x:c>
      <x:c r="Y781" t="str">
        <x:v>OK</x:v>
      </x:c>
      <x:c r="Z781" t="str">
        <x:v>OK</x:v>
      </x:c>
      <x:c r="AA781" t="n">
        <x:v>3</x:v>
      </x:c>
      <x:c r="AB781" t="n">
        <x:v>0</x:v>
      </x:c>
      <x:c r="AC781" t="str">
        <x:v>OK</x:v>
      </x:c>
      <x:c r="AD781" t="str">
        <x:v>OK</x:v>
      </x:c>
      <x:c r="AE781" t="str">
        <x:v>LOAD</x:v>
      </x:c>
      <x:c r="AF781" t="str">
        <x:v>02_Supervisor_Log(4).xlsx</x:v>
      </x:c>
      <x:c r="AG781" t="str">
        <x:v>ENH-20260830-01</x:v>
      </x:c>
      <x:c r="AH781" t="str">
        <x:v>Active</x:v>
      </x:c>
      <x:c r="AI781"/>
      <x:c r="AJ781"/>
      <x:c r="AK781"/>
      <x:c r="AL781"/>
    </x:row>
    <x:row r="782">
      <x:c r="A782" t="s">
        <x:v>1031</x:v>
      </x:c>
      <x:c r="B782" t="s">
        <x:v>1021</x:v>
      </x:c>
      <x:c r="C782" t="s">
        <x:v>44</x:v>
      </x:c>
      <x:c r="D782">
        <x:v>45951</x:v>
      </x:c>
      <x:c r="E782" t="s">
        <x:v>187</x:v>
      </x:c>
      <x:c r="F782" t="s">
        <x:v>51</x:v>
      </x:c>
      <x:c r="G782">
        <x:v>25</x:v>
      </x:c>
      <x:c r="H782" t="s">
        <x:v>76</x:v>
      </x:c>
      <x:c r="I782">
        <x:v>11</x:v>
      </x:c>
      <x:c r="J782">
        <x:v>8</x:v>
      </x:c>
      <x:c r="K782">
        <x:v>2</x:v>
      </x:c>
      <x:c r="L782">
        <x:f t="shared" si="84"/>
        <x:v>0</x:v>
      </x:c>
      <x:c r="P782">
        <x:f t="shared" si="85"/>
        <x:v>0</x:v>
      </x:c>
      <x:c r="Q782">
        <x:f t="shared" si="86"/>
        <x:v>0</x:v>
      </x:c>
      <x:c r="R782">
        <x:f t="shared" si="87"/>
        <x:v>0</x:v>
      </x:c>
      <x:c r="S782">
        <x:f t="shared" si="88"/>
        <x:v>0</x:v>
      </x:c>
      <x:c r="T782" t="str">
        <x:f t="shared" si="89"/>
        <x:v>DerivedFromCount</x:v>
      </x:c>
      <x:c r="U782" t="str">
        <x:f>IF(COUNTIF(DailyProduction!$Q$5:$Q$100,B782)=1,"OK","CHECK")</x:f>
        <x:v>OK</x:v>
      </x:c>
      <x:c r="V782" t="str">
        <x:f t="shared" si="90"/>
        <x:v>OK</x:v>
      </x:c>
      <x:c r="W782" t="str">
        <x:f>IF(SUMIF($B$5:$B$914,B782,$S$5:$S$914)=SUMIF(DailyProduction!$Q$5:$Q$100,B782,DailyProduction!$R$5:$R$100),"OK","CHECK")</x:f>
        <x:v>OK</x:v>
      </x:c>
      <x:c r="X782" t="str">
        <x:v>PLC-PRD-JAR-720-L25</x:v>
      </x:c>
      <x:c r="Y782" t="str">
        <x:v>OK</x:v>
      </x:c>
      <x:c r="Z782" t="str">
        <x:v>OK</x:v>
      </x:c>
      <x:c r="AA782" t="n">
        <x:v>3</x:v>
      </x:c>
      <x:c r="AB782" t="n">
        <x:v>0</x:v>
      </x:c>
      <x:c r="AC782" t="str">
        <x:v>OK</x:v>
      </x:c>
      <x:c r="AD782" t="str">
        <x:v>OK</x:v>
      </x:c>
      <x:c r="AE782" t="str">
        <x:v>LOAD</x:v>
      </x:c>
      <x:c r="AF782" t="str">
        <x:v>02_Supervisor_Log(4).xlsx</x:v>
      </x:c>
      <x:c r="AG782" t="str">
        <x:v>ENH-20260830-01</x:v>
      </x:c>
      <x:c r="AH782" t="str">
        <x:v>Active</x:v>
      </x:c>
      <x:c r="AI782"/>
      <x:c r="AJ782"/>
      <x:c r="AK782"/>
      <x:c r="AL782"/>
    </x:row>
    <x:row r="783">
      <x:c r="A783" t="s">
        <x:v>1032</x:v>
      </x:c>
      <x:c r="B783" t="s">
        <x:v>1021</x:v>
      </x:c>
      <x:c r="C783" t="s">
        <x:v>44</x:v>
      </x:c>
      <x:c r="D783">
        <x:v>45951</x:v>
      </x:c>
      <x:c r="E783" t="s">
        <x:v>187</x:v>
      </x:c>
      <x:c r="F783" t="s">
        <x:v>51</x:v>
      </x:c>
      <x:c r="G783">
        <x:v>25</x:v>
      </x:c>
      <x:c r="H783" t="s">
        <x:v>76</x:v>
      </x:c>
      <x:c r="I783">
        <x:v>12</x:v>
      </x:c>
      <x:c r="J783">
        <x:v>8</x:v>
      </x:c>
      <x:c r="K783">
        <x:v>2</x:v>
      </x:c>
      <x:c r="L783">
        <x:f t="shared" si="84"/>
        <x:v>0</x:v>
      </x:c>
      <x:c r="P783">
        <x:f t="shared" si="85"/>
        <x:v>0</x:v>
      </x:c>
      <x:c r="Q783">
        <x:f t="shared" si="86"/>
        <x:v>0</x:v>
      </x:c>
      <x:c r="R783">
        <x:f t="shared" si="87"/>
        <x:v>0</x:v>
      </x:c>
      <x:c r="S783">
        <x:f t="shared" si="88"/>
        <x:v>0</x:v>
      </x:c>
      <x:c r="T783" t="str">
        <x:f t="shared" si="89"/>
        <x:v>DerivedFromCount</x:v>
      </x:c>
      <x:c r="U783" t="str">
        <x:f>IF(COUNTIF(DailyProduction!$Q$5:$Q$100,B783)=1,"OK","CHECK")</x:f>
        <x:v>OK</x:v>
      </x:c>
      <x:c r="V783" t="str">
        <x:f t="shared" si="90"/>
        <x:v>OK</x:v>
      </x:c>
      <x:c r="W783" t="str">
        <x:f>IF(SUMIF($B$5:$B$914,B783,$S$5:$S$914)=SUMIF(DailyProduction!$Q$5:$Q$100,B783,DailyProduction!$R$5:$R$100),"OK","CHECK")</x:f>
        <x:v>OK</x:v>
      </x:c>
      <x:c r="X783" t="str">
        <x:v>PLC-PRD-JAR-720-L25</x:v>
      </x:c>
      <x:c r="Y783" t="str">
        <x:v>OK</x:v>
      </x:c>
      <x:c r="Z783" t="str">
        <x:v>OK</x:v>
      </x:c>
      <x:c r="AA783" t="n">
        <x:v>3</x:v>
      </x:c>
      <x:c r="AB783" t="n">
        <x:v>0</x:v>
      </x:c>
      <x:c r="AC783" t="str">
        <x:v>OK</x:v>
      </x:c>
      <x:c r="AD783" t="str">
        <x:v>OK</x:v>
      </x:c>
      <x:c r="AE783" t="str">
        <x:v>LOAD</x:v>
      </x:c>
      <x:c r="AF783" t="str">
        <x:v>02_Supervisor_Log(4).xlsx</x:v>
      </x:c>
      <x:c r="AG783" t="str">
        <x:v>ENH-20260830-01</x:v>
      </x:c>
      <x:c r="AH783" t="str">
        <x:v>Active</x:v>
      </x:c>
      <x:c r="AI783"/>
      <x:c r="AJ783"/>
      <x:c r="AK783"/>
      <x:c r="AL783"/>
    </x:row>
    <x:row r="784">
      <x:c r="A784" t="s">
        <x:v>1033</x:v>
      </x:c>
      <x:c r="B784" t="s">
        <x:v>1021</x:v>
      </x:c>
      <x:c r="C784" t="s">
        <x:v>44</x:v>
      </x:c>
      <x:c r="D784">
        <x:v>45951</x:v>
      </x:c>
      <x:c r="E784" t="s">
        <x:v>187</x:v>
      </x:c>
      <x:c r="F784" t="s">
        <x:v>51</x:v>
      </x:c>
      <x:c r="G784">
        <x:v>25</x:v>
      </x:c>
      <x:c r="H784" t="s">
        <x:v>76</x:v>
      </x:c>
      <x:c r="I784">
        <x:v>13</x:v>
      </x:c>
      <x:c r="J784">
        <x:v>8</x:v>
      </x:c>
      <x:c r="K784">
        <x:v>2</x:v>
      </x:c>
      <x:c r="L784">
        <x:f t="shared" si="84"/>
        <x:v>0</x:v>
      </x:c>
      <x:c r="P784">
        <x:f t="shared" si="85"/>
        <x:v>0</x:v>
      </x:c>
      <x:c r="Q784">
        <x:f t="shared" si="86"/>
        <x:v>0</x:v>
      </x:c>
      <x:c r="R784">
        <x:f t="shared" si="87"/>
        <x:v>0</x:v>
      </x:c>
      <x:c r="S784">
        <x:f t="shared" si="88"/>
        <x:v>0</x:v>
      </x:c>
      <x:c r="T784" t="str">
        <x:f t="shared" si="89"/>
        <x:v>DerivedFromCount</x:v>
      </x:c>
      <x:c r="U784" t="str">
        <x:f>IF(COUNTIF(DailyProduction!$Q$5:$Q$100,B784)=1,"OK","CHECK")</x:f>
        <x:v>OK</x:v>
      </x:c>
      <x:c r="V784" t="str">
        <x:f t="shared" si="90"/>
        <x:v>OK</x:v>
      </x:c>
      <x:c r="W784" t="str">
        <x:f>IF(SUMIF($B$5:$B$914,B784,$S$5:$S$914)=SUMIF(DailyProduction!$Q$5:$Q$100,B784,DailyProduction!$R$5:$R$100),"OK","CHECK")</x:f>
        <x:v>OK</x:v>
      </x:c>
      <x:c r="X784" t="str">
        <x:v>PLC-PRD-JAR-720-L25</x:v>
      </x:c>
      <x:c r="Y784" t="str">
        <x:v>OK</x:v>
      </x:c>
      <x:c r="Z784" t="str">
        <x:v>OK</x:v>
      </x:c>
      <x:c r="AA784" t="n">
        <x:v>3</x:v>
      </x:c>
      <x:c r="AB784" t="n">
        <x:v>0</x:v>
      </x:c>
      <x:c r="AC784" t="str">
        <x:v>OK</x:v>
      </x:c>
      <x:c r="AD784" t="str">
        <x:v>OK</x:v>
      </x:c>
      <x:c r="AE784" t="str">
        <x:v>LOAD</x:v>
      </x:c>
      <x:c r="AF784" t="str">
        <x:v>02_Supervisor_Log(4).xlsx</x:v>
      </x:c>
      <x:c r="AG784" t="str">
        <x:v>ENH-20260830-01</x:v>
      </x:c>
      <x:c r="AH784" t="str">
        <x:v>Active</x:v>
      </x:c>
      <x:c r="AI784"/>
      <x:c r="AJ784"/>
      <x:c r="AK784"/>
      <x:c r="AL784"/>
    </x:row>
    <x:row r="785">
      <x:c r="A785" t="s">
        <x:v>1034</x:v>
      </x:c>
      <x:c r="B785" t="s">
        <x:v>1035</x:v>
      </x:c>
      <x:c r="C785" t="s">
        <x:v>44</x:v>
      </x:c>
      <x:c r="D785">
        <x:v>45952</x:v>
      </x:c>
      <x:c r="E785" t="s">
        <x:v>45</x:v>
      </x:c>
      <x:c r="F785" t="s">
        <x:v>51</x:v>
      </x:c>
      <x:c r="G785">
        <x:v>25</x:v>
      </x:c>
      <x:c r="H785" t="s">
        <x:v>76</x:v>
      </x:c>
      <x:c r="I785">
        <x:v>1</x:v>
      </x:c>
      <x:c r="J785">
        <x:v>8</x:v>
      </x:c>
      <x:c r="K785">
        <x:v>2</x:v>
      </x:c>
      <x:c r="L785">
        <x:f t="shared" si="84"/>
        <x:v>1</x:v>
      </x:c>
      <x:c r="P785">
        <x:f t="shared" si="85"/>
        <x:v>1</x:v>
      </x:c>
      <x:c r="Q785">
        <x:f t="shared" si="86"/>
        <x:v>1</x:v>
      </x:c>
      <x:c r="R785">
        <x:f t="shared" si="87"/>
        <x:v>0</x:v>
      </x:c>
      <x:c r="S785">
        <x:f t="shared" si="88"/>
        <x:v>2</x:v>
      </x:c>
      <x:c r="T785" t="str">
        <x:f t="shared" si="89"/>
        <x:v>DerivedFromCount</x:v>
      </x:c>
      <x:c r="U785" t="str">
        <x:f>IF(COUNTIF(DailyProduction!$Q$5:$Q$100,B785)=1,"OK","CHECK")</x:f>
        <x:v>OK</x:v>
      </x:c>
      <x:c r="V785" t="str">
        <x:f t="shared" si="90"/>
        <x:v>OK</x:v>
      </x:c>
      <x:c r="W785" t="str">
        <x:f>IF(SUMIF($B$5:$B$914,B785,$S$5:$S$914)=SUMIF(DailyProduction!$Q$5:$Q$100,B785,DailyProduction!$R$5:$R$100),"OK","CHECK")</x:f>
        <x:v>OK</x:v>
      </x:c>
      <x:c r="X785" t="str">
        <x:v>PLC-PRD-JAR-720-L25</x:v>
      </x:c>
      <x:c r="Y785" t="str">
        <x:v>OK</x:v>
      </x:c>
      <x:c r="Z785" t="str">
        <x:v>OK</x:v>
      </x:c>
      <x:c r="AA785" t="n">
        <x:v>3</x:v>
      </x:c>
      <x:c r="AB785" t="n">
        <x:v>2</x:v>
      </x:c>
      <x:c r="AC785" t="str">
        <x:v>OK</x:v>
      </x:c>
      <x:c r="AD785" t="str">
        <x:v>OK</x:v>
      </x:c>
      <x:c r="AE785" t="str">
        <x:v>LOAD</x:v>
      </x:c>
      <x:c r="AF785" t="str">
        <x:v>02_Supervisor_Log(4).xlsx</x:v>
      </x:c>
      <x:c r="AG785" t="str">
        <x:v>ENH-20260830-01</x:v>
      </x:c>
      <x:c r="AH785" t="str">
        <x:v>Active</x:v>
      </x:c>
      <x:c r="AI785"/>
      <x:c r="AJ785"/>
      <x:c r="AK785"/>
      <x:c r="AL785"/>
    </x:row>
    <x:row r="786">
      <x:c r="A786" t="s">
        <x:v>1036</x:v>
      </x:c>
      <x:c r="B786" t="s">
        <x:v>1035</x:v>
      </x:c>
      <x:c r="C786" t="s">
        <x:v>44</x:v>
      </x:c>
      <x:c r="D786">
        <x:v>45952</x:v>
      </x:c>
      <x:c r="E786" t="s">
        <x:v>45</x:v>
      </x:c>
      <x:c r="F786" t="s">
        <x:v>51</x:v>
      </x:c>
      <x:c r="G786">
        <x:v>25</x:v>
      </x:c>
      <x:c r="H786" t="s">
        <x:v>76</x:v>
      </x:c>
      <x:c r="I786">
        <x:v>2</x:v>
      </x:c>
      <x:c r="J786">
        <x:v>8</x:v>
      </x:c>
      <x:c r="K786">
        <x:v>2</x:v>
      </x:c>
      <x:c r="L786">
        <x:f t="shared" si="84"/>
        <x:v>1</x:v>
      </x:c>
      <x:c r="P786">
        <x:f t="shared" si="85"/>
        <x:v>1</x:v>
      </x:c>
      <x:c r="Q786">
        <x:f t="shared" si="86"/>
        <x:v>1</x:v>
      </x:c>
      <x:c r="R786">
        <x:f t="shared" si="87"/>
        <x:v>0</x:v>
      </x:c>
      <x:c r="S786">
        <x:f t="shared" si="88"/>
        <x:v>2</x:v>
      </x:c>
      <x:c r="T786" t="str">
        <x:f t="shared" si="89"/>
        <x:v>DerivedFromCount</x:v>
      </x:c>
      <x:c r="U786" t="str">
        <x:f>IF(COUNTIF(DailyProduction!$Q$5:$Q$100,B786)=1,"OK","CHECK")</x:f>
        <x:v>OK</x:v>
      </x:c>
      <x:c r="V786" t="str">
        <x:f t="shared" si="90"/>
        <x:v>OK</x:v>
      </x:c>
      <x:c r="W786" t="str">
        <x:f>IF(SUMIF($B$5:$B$914,B786,$S$5:$S$914)=SUMIF(DailyProduction!$Q$5:$Q$100,B786,DailyProduction!$R$5:$R$100),"OK","CHECK")</x:f>
        <x:v>OK</x:v>
      </x:c>
      <x:c r="X786" t="str">
        <x:v>PLC-PRD-JAR-720-L25</x:v>
      </x:c>
      <x:c r="Y786" t="str">
        <x:v>OK</x:v>
      </x:c>
      <x:c r="Z786" t="str">
        <x:v>OK</x:v>
      </x:c>
      <x:c r="AA786" t="n">
        <x:v>3</x:v>
      </x:c>
      <x:c r="AB786" t="n">
        <x:v>2</x:v>
      </x:c>
      <x:c r="AC786" t="str">
        <x:v>OK</x:v>
      </x:c>
      <x:c r="AD786" t="str">
        <x:v>OK</x:v>
      </x:c>
      <x:c r="AE786" t="str">
        <x:v>LOAD</x:v>
      </x:c>
      <x:c r="AF786" t="str">
        <x:v>02_Supervisor_Log(4).xlsx</x:v>
      </x:c>
      <x:c r="AG786" t="str">
        <x:v>ENH-20260830-01</x:v>
      </x:c>
      <x:c r="AH786" t="str">
        <x:v>Active</x:v>
      </x:c>
      <x:c r="AI786"/>
      <x:c r="AJ786"/>
      <x:c r="AK786"/>
      <x:c r="AL786"/>
    </x:row>
    <x:row r="787">
      <x:c r="A787" t="s">
        <x:v>1037</x:v>
      </x:c>
      <x:c r="B787" t="s">
        <x:v>1035</x:v>
      </x:c>
      <x:c r="C787" t="s">
        <x:v>44</x:v>
      </x:c>
      <x:c r="D787">
        <x:v>45952</x:v>
      </x:c>
      <x:c r="E787" t="s">
        <x:v>45</x:v>
      </x:c>
      <x:c r="F787" t="s">
        <x:v>51</x:v>
      </x:c>
      <x:c r="G787">
        <x:v>25</x:v>
      </x:c>
      <x:c r="H787" t="s">
        <x:v>76</x:v>
      </x:c>
      <x:c r="I787">
        <x:v>3</x:v>
      </x:c>
      <x:c r="J787">
        <x:v>8</x:v>
      </x:c>
      <x:c r="K787">
        <x:v>2</x:v>
      </x:c>
      <x:c r="L787">
        <x:f t="shared" si="84"/>
        <x:v>1</x:v>
      </x:c>
      <x:c r="P787">
        <x:f t="shared" si="85"/>
        <x:v>1</x:v>
      </x:c>
      <x:c r="Q787">
        <x:f t="shared" si="86"/>
        <x:v>1</x:v>
      </x:c>
      <x:c r="R787">
        <x:f t="shared" si="87"/>
        <x:v>0</x:v>
      </x:c>
      <x:c r="S787">
        <x:f t="shared" si="88"/>
        <x:v>2</x:v>
      </x:c>
      <x:c r="T787" t="str">
        <x:f t="shared" si="89"/>
        <x:v>DerivedFromCount</x:v>
      </x:c>
      <x:c r="U787" t="str">
        <x:f>IF(COUNTIF(DailyProduction!$Q$5:$Q$100,B787)=1,"OK","CHECK")</x:f>
        <x:v>OK</x:v>
      </x:c>
      <x:c r="V787" t="str">
        <x:f t="shared" si="90"/>
        <x:v>OK</x:v>
      </x:c>
      <x:c r="W787" t="str">
        <x:f>IF(SUMIF($B$5:$B$914,B787,$S$5:$S$914)=SUMIF(DailyProduction!$Q$5:$Q$100,B787,DailyProduction!$R$5:$R$100),"OK","CHECK")</x:f>
        <x:v>OK</x:v>
      </x:c>
      <x:c r="X787" t="str">
        <x:v>PLC-PRD-JAR-720-L25</x:v>
      </x:c>
      <x:c r="Y787" t="str">
        <x:v>OK</x:v>
      </x:c>
      <x:c r="Z787" t="str">
        <x:v>OK</x:v>
      </x:c>
      <x:c r="AA787" t="n">
        <x:v>3</x:v>
      </x:c>
      <x:c r="AB787" t="n">
        <x:v>2</x:v>
      </x:c>
      <x:c r="AC787" t="str">
        <x:v>OK</x:v>
      </x:c>
      <x:c r="AD787" t="str">
        <x:v>OK</x:v>
      </x:c>
      <x:c r="AE787" t="str">
        <x:v>LOAD</x:v>
      </x:c>
      <x:c r="AF787" t="str">
        <x:v>02_Supervisor_Log(4).xlsx</x:v>
      </x:c>
      <x:c r="AG787" t="str">
        <x:v>ENH-20260830-01</x:v>
      </x:c>
      <x:c r="AH787" t="str">
        <x:v>Active</x:v>
      </x:c>
      <x:c r="AI787"/>
      <x:c r="AJ787"/>
      <x:c r="AK787"/>
      <x:c r="AL787"/>
    </x:row>
    <x:row r="788">
      <x:c r="A788" t="s">
        <x:v>1038</x:v>
      </x:c>
      <x:c r="B788" t="s">
        <x:v>1035</x:v>
      </x:c>
      <x:c r="C788" t="s">
        <x:v>44</x:v>
      </x:c>
      <x:c r="D788">
        <x:v>45952</x:v>
      </x:c>
      <x:c r="E788" t="s">
        <x:v>45</x:v>
      </x:c>
      <x:c r="F788" t="s">
        <x:v>51</x:v>
      </x:c>
      <x:c r="G788">
        <x:v>25</x:v>
      </x:c>
      <x:c r="H788" t="s">
        <x:v>76</x:v>
      </x:c>
      <x:c r="I788">
        <x:v>4</x:v>
      </x:c>
      <x:c r="J788">
        <x:v>8</x:v>
      </x:c>
      <x:c r="K788">
        <x:v>2</x:v>
      </x:c>
      <x:c r="L788">
        <x:f t="shared" si="84"/>
        <x:v>1</x:v>
      </x:c>
      <x:c r="P788">
        <x:f t="shared" si="85"/>
        <x:v>1</x:v>
      </x:c>
      <x:c r="Q788">
        <x:f t="shared" si="86"/>
        <x:v>1</x:v>
      </x:c>
      <x:c r="R788">
        <x:f t="shared" si="87"/>
        <x:v>0</x:v>
      </x:c>
      <x:c r="S788">
        <x:f t="shared" si="88"/>
        <x:v>2</x:v>
      </x:c>
      <x:c r="T788" t="str">
        <x:f t="shared" si="89"/>
        <x:v>DerivedFromCount</x:v>
      </x:c>
      <x:c r="U788" t="str">
        <x:f>IF(COUNTIF(DailyProduction!$Q$5:$Q$100,B788)=1,"OK","CHECK")</x:f>
        <x:v>OK</x:v>
      </x:c>
      <x:c r="V788" t="str">
        <x:f t="shared" si="90"/>
        <x:v>OK</x:v>
      </x:c>
      <x:c r="W788" t="str">
        <x:f>IF(SUMIF($B$5:$B$914,B788,$S$5:$S$914)=SUMIF(DailyProduction!$Q$5:$Q$100,B788,DailyProduction!$R$5:$R$100),"OK","CHECK")</x:f>
        <x:v>OK</x:v>
      </x:c>
      <x:c r="X788" t="str">
        <x:v>PLC-PRD-JAR-720-L25</x:v>
      </x:c>
      <x:c r="Y788" t="str">
        <x:v>OK</x:v>
      </x:c>
      <x:c r="Z788" t="str">
        <x:v>OK</x:v>
      </x:c>
      <x:c r="AA788" t="n">
        <x:v>3</x:v>
      </x:c>
      <x:c r="AB788" t="n">
        <x:v>2</x:v>
      </x:c>
      <x:c r="AC788" t="str">
        <x:v>OK</x:v>
      </x:c>
      <x:c r="AD788" t="str">
        <x:v>OK</x:v>
      </x:c>
      <x:c r="AE788" t="str">
        <x:v>LOAD</x:v>
      </x:c>
      <x:c r="AF788" t="str">
        <x:v>02_Supervisor_Log(4).xlsx</x:v>
      </x:c>
      <x:c r="AG788" t="str">
        <x:v>ENH-20260830-01</x:v>
      </x:c>
      <x:c r="AH788" t="str">
        <x:v>Active</x:v>
      </x:c>
      <x:c r="AI788"/>
      <x:c r="AJ788"/>
      <x:c r="AK788"/>
      <x:c r="AL788"/>
    </x:row>
    <x:row r="789">
      <x:c r="A789" t="s">
        <x:v>1039</x:v>
      </x:c>
      <x:c r="B789" t="s">
        <x:v>1035</x:v>
      </x:c>
      <x:c r="C789" t="s">
        <x:v>44</x:v>
      </x:c>
      <x:c r="D789">
        <x:v>45952</x:v>
      </x:c>
      <x:c r="E789" t="s">
        <x:v>45</x:v>
      </x:c>
      <x:c r="F789" t="s">
        <x:v>51</x:v>
      </x:c>
      <x:c r="G789">
        <x:v>25</x:v>
      </x:c>
      <x:c r="H789" t="s">
        <x:v>76</x:v>
      </x:c>
      <x:c r="I789">
        <x:v>5</x:v>
      </x:c>
      <x:c r="J789">
        <x:v>8</x:v>
      </x:c>
      <x:c r="K789">
        <x:v>2</x:v>
      </x:c>
      <x:c r="L789">
        <x:f t="shared" si="84"/>
        <x:v>1</x:v>
      </x:c>
      <x:c r="P789">
        <x:f t="shared" si="85"/>
        <x:v>1</x:v>
      </x:c>
      <x:c r="Q789">
        <x:f t="shared" si="86"/>
        <x:v>1</x:v>
      </x:c>
      <x:c r="R789">
        <x:f t="shared" si="87"/>
        <x:v>0</x:v>
      </x:c>
      <x:c r="S789">
        <x:f t="shared" si="88"/>
        <x:v>2</x:v>
      </x:c>
      <x:c r="T789" t="str">
        <x:f t="shared" si="89"/>
        <x:v>DerivedFromCount</x:v>
      </x:c>
      <x:c r="U789" t="str">
        <x:f>IF(COUNTIF(DailyProduction!$Q$5:$Q$100,B789)=1,"OK","CHECK")</x:f>
        <x:v>OK</x:v>
      </x:c>
      <x:c r="V789" t="str">
        <x:f t="shared" si="90"/>
        <x:v>OK</x:v>
      </x:c>
      <x:c r="W789" t="str">
        <x:f>IF(SUMIF($B$5:$B$914,B789,$S$5:$S$914)=SUMIF(DailyProduction!$Q$5:$Q$100,B789,DailyProduction!$R$5:$R$100),"OK","CHECK")</x:f>
        <x:v>OK</x:v>
      </x:c>
      <x:c r="X789" t="str">
        <x:v>PLC-PRD-JAR-720-L25</x:v>
      </x:c>
      <x:c r="Y789" t="str">
        <x:v>OK</x:v>
      </x:c>
      <x:c r="Z789" t="str">
        <x:v>OK</x:v>
      </x:c>
      <x:c r="AA789" t="n">
        <x:v>3</x:v>
      </x:c>
      <x:c r="AB789" t="n">
        <x:v>2</x:v>
      </x:c>
      <x:c r="AC789" t="str">
        <x:v>OK</x:v>
      </x:c>
      <x:c r="AD789" t="str">
        <x:v>OK</x:v>
      </x:c>
      <x:c r="AE789" t="str">
        <x:v>LOAD</x:v>
      </x:c>
      <x:c r="AF789" t="str">
        <x:v>02_Supervisor_Log(4).xlsx</x:v>
      </x:c>
      <x:c r="AG789" t="str">
        <x:v>ENH-20260830-01</x:v>
      </x:c>
      <x:c r="AH789" t="str">
        <x:v>Active</x:v>
      </x:c>
      <x:c r="AI789"/>
      <x:c r="AJ789"/>
      <x:c r="AK789"/>
      <x:c r="AL789"/>
    </x:row>
    <x:row r="790">
      <x:c r="A790" t="s">
        <x:v>1040</x:v>
      </x:c>
      <x:c r="B790" t="s">
        <x:v>1035</x:v>
      </x:c>
      <x:c r="C790" t="s">
        <x:v>44</x:v>
      </x:c>
      <x:c r="D790">
        <x:v>45952</x:v>
      </x:c>
      <x:c r="E790" t="s">
        <x:v>45</x:v>
      </x:c>
      <x:c r="F790" t="s">
        <x:v>51</x:v>
      </x:c>
      <x:c r="G790">
        <x:v>25</x:v>
      </x:c>
      <x:c r="H790" t="s">
        <x:v>76</x:v>
      </x:c>
      <x:c r="I790">
        <x:v>6</x:v>
      </x:c>
      <x:c r="J790">
        <x:v>8</x:v>
      </x:c>
      <x:c r="K790">
        <x:v>2</x:v>
      </x:c>
      <x:c r="L790">
        <x:f t="shared" si="84"/>
        <x:v>1</x:v>
      </x:c>
      <x:c r="P790">
        <x:f t="shared" si="85"/>
        <x:v>1</x:v>
      </x:c>
      <x:c r="Q790">
        <x:f t="shared" si="86"/>
        <x:v>1</x:v>
      </x:c>
      <x:c r="R790">
        <x:f t="shared" si="87"/>
        <x:v>0</x:v>
      </x:c>
      <x:c r="S790">
        <x:f t="shared" si="88"/>
        <x:v>2</x:v>
      </x:c>
      <x:c r="T790" t="str">
        <x:f t="shared" si="89"/>
        <x:v>DerivedFromCount</x:v>
      </x:c>
      <x:c r="U790" t="str">
        <x:f>IF(COUNTIF(DailyProduction!$Q$5:$Q$100,B790)=1,"OK","CHECK")</x:f>
        <x:v>OK</x:v>
      </x:c>
      <x:c r="V790" t="str">
        <x:f t="shared" si="90"/>
        <x:v>OK</x:v>
      </x:c>
      <x:c r="W790" t="str">
        <x:f>IF(SUMIF($B$5:$B$914,B790,$S$5:$S$914)=SUMIF(DailyProduction!$Q$5:$Q$100,B790,DailyProduction!$R$5:$R$100),"OK","CHECK")</x:f>
        <x:v>OK</x:v>
      </x:c>
      <x:c r="X790" t="str">
        <x:v>PLC-PRD-JAR-720-L25</x:v>
      </x:c>
      <x:c r="Y790" t="str">
        <x:v>OK</x:v>
      </x:c>
      <x:c r="Z790" t="str">
        <x:v>OK</x:v>
      </x:c>
      <x:c r="AA790" t="n">
        <x:v>3</x:v>
      </x:c>
      <x:c r="AB790" t="n">
        <x:v>2</x:v>
      </x:c>
      <x:c r="AC790" t="str">
        <x:v>OK</x:v>
      </x:c>
      <x:c r="AD790" t="str">
        <x:v>OK</x:v>
      </x:c>
      <x:c r="AE790" t="str">
        <x:v>LOAD</x:v>
      </x:c>
      <x:c r="AF790" t="str">
        <x:v>02_Supervisor_Log(4).xlsx</x:v>
      </x:c>
      <x:c r="AG790" t="str">
        <x:v>ENH-20260830-01</x:v>
      </x:c>
      <x:c r="AH790" t="str">
        <x:v>Active</x:v>
      </x:c>
      <x:c r="AI790"/>
      <x:c r="AJ790"/>
      <x:c r="AK790"/>
      <x:c r="AL790"/>
    </x:row>
    <x:row r="791">
      <x:c r="A791" t="s">
        <x:v>1041</x:v>
      </x:c>
      <x:c r="B791" t="s">
        <x:v>1035</x:v>
      </x:c>
      <x:c r="C791" t="s">
        <x:v>44</x:v>
      </x:c>
      <x:c r="D791">
        <x:v>45952</x:v>
      </x:c>
      <x:c r="E791" t="s">
        <x:v>45</x:v>
      </x:c>
      <x:c r="F791" t="s">
        <x:v>51</x:v>
      </x:c>
      <x:c r="G791">
        <x:v>25</x:v>
      </x:c>
      <x:c r="H791" t="s">
        <x:v>76</x:v>
      </x:c>
      <x:c r="I791">
        <x:v>7</x:v>
      </x:c>
      <x:c r="J791">
        <x:v>8</x:v>
      </x:c>
      <x:c r="K791">
        <x:v>2</x:v>
      </x:c>
      <x:c r="L791">
        <x:f t="shared" si="84"/>
        <x:v>1</x:v>
      </x:c>
      <x:c r="P791">
        <x:f t="shared" si="85"/>
        <x:v>1</x:v>
      </x:c>
      <x:c r="Q791">
        <x:f t="shared" si="86"/>
        <x:v>1</x:v>
      </x:c>
      <x:c r="R791">
        <x:f t="shared" si="87"/>
        <x:v>0</x:v>
      </x:c>
      <x:c r="S791">
        <x:f t="shared" si="88"/>
        <x:v>2</x:v>
      </x:c>
      <x:c r="T791" t="str">
        <x:f t="shared" si="89"/>
        <x:v>DerivedFromCount</x:v>
      </x:c>
      <x:c r="U791" t="str">
        <x:f>IF(COUNTIF(DailyProduction!$Q$5:$Q$100,B791)=1,"OK","CHECK")</x:f>
        <x:v>OK</x:v>
      </x:c>
      <x:c r="V791" t="str">
        <x:f t="shared" si="90"/>
        <x:v>OK</x:v>
      </x:c>
      <x:c r="W791" t="str">
        <x:f>IF(SUMIF($B$5:$B$914,B791,$S$5:$S$914)=SUMIF(DailyProduction!$Q$5:$Q$100,B791,DailyProduction!$R$5:$R$100),"OK","CHECK")</x:f>
        <x:v>OK</x:v>
      </x:c>
      <x:c r="X791" t="str">
        <x:v>PLC-PRD-JAR-720-L25</x:v>
      </x:c>
      <x:c r="Y791" t="str">
        <x:v>OK</x:v>
      </x:c>
      <x:c r="Z791" t="str">
        <x:v>OK</x:v>
      </x:c>
      <x:c r="AA791" t="n">
        <x:v>3</x:v>
      </x:c>
      <x:c r="AB791" t="n">
        <x:v>2</x:v>
      </x:c>
      <x:c r="AC791" t="str">
        <x:v>OK</x:v>
      </x:c>
      <x:c r="AD791" t="str">
        <x:v>OK</x:v>
      </x:c>
      <x:c r="AE791" t="str">
        <x:v>LOAD</x:v>
      </x:c>
      <x:c r="AF791" t="str">
        <x:v>02_Supervisor_Log(4).xlsx</x:v>
      </x:c>
      <x:c r="AG791" t="str">
        <x:v>ENH-20260830-01</x:v>
      </x:c>
      <x:c r="AH791" t="str">
        <x:v>Active</x:v>
      </x:c>
      <x:c r="AI791"/>
      <x:c r="AJ791"/>
      <x:c r="AK791"/>
      <x:c r="AL791"/>
    </x:row>
    <x:row r="792">
      <x:c r="A792" t="s">
        <x:v>1042</x:v>
      </x:c>
      <x:c r="B792" t="s">
        <x:v>1035</x:v>
      </x:c>
      <x:c r="C792" t="s">
        <x:v>44</x:v>
      </x:c>
      <x:c r="D792">
        <x:v>45952</x:v>
      </x:c>
      <x:c r="E792" t="s">
        <x:v>45</x:v>
      </x:c>
      <x:c r="F792" t="s">
        <x:v>51</x:v>
      </x:c>
      <x:c r="G792">
        <x:v>25</x:v>
      </x:c>
      <x:c r="H792" t="s">
        <x:v>76</x:v>
      </x:c>
      <x:c r="I792">
        <x:v>8</x:v>
      </x:c>
      <x:c r="J792">
        <x:v>8</x:v>
      </x:c>
      <x:c r="K792">
        <x:v>2</x:v>
      </x:c>
      <x:c r="L792">
        <x:f t="shared" si="84"/>
        <x:v>1</x:v>
      </x:c>
      <x:c r="P792">
        <x:f t="shared" si="85"/>
        <x:v>1</x:v>
      </x:c>
      <x:c r="Q792">
        <x:f t="shared" si="86"/>
        <x:v>1</x:v>
      </x:c>
      <x:c r="R792">
        <x:f t="shared" si="87"/>
        <x:v>0</x:v>
      </x:c>
      <x:c r="S792">
        <x:f t="shared" si="88"/>
        <x:v>2</x:v>
      </x:c>
      <x:c r="T792" t="str">
        <x:f t="shared" si="89"/>
        <x:v>DerivedFromCount</x:v>
      </x:c>
      <x:c r="U792" t="str">
        <x:f>IF(COUNTIF(DailyProduction!$Q$5:$Q$100,B792)=1,"OK","CHECK")</x:f>
        <x:v>OK</x:v>
      </x:c>
      <x:c r="V792" t="str">
        <x:f t="shared" si="90"/>
        <x:v>OK</x:v>
      </x:c>
      <x:c r="W792" t="str">
        <x:f>IF(SUMIF($B$5:$B$914,B792,$S$5:$S$914)=SUMIF(DailyProduction!$Q$5:$Q$100,B792,DailyProduction!$R$5:$R$100),"OK","CHECK")</x:f>
        <x:v>OK</x:v>
      </x:c>
      <x:c r="X792" t="str">
        <x:v>PLC-PRD-JAR-720-L25</x:v>
      </x:c>
      <x:c r="Y792" t="str">
        <x:v>OK</x:v>
      </x:c>
      <x:c r="Z792" t="str">
        <x:v>OK</x:v>
      </x:c>
      <x:c r="AA792" t="n">
        <x:v>3</x:v>
      </x:c>
      <x:c r="AB792" t="n">
        <x:v>2</x:v>
      </x:c>
      <x:c r="AC792" t="str">
        <x:v>OK</x:v>
      </x:c>
      <x:c r="AD792" t="str">
        <x:v>OK</x:v>
      </x:c>
      <x:c r="AE792" t="str">
        <x:v>LOAD</x:v>
      </x:c>
      <x:c r="AF792" t="str">
        <x:v>02_Supervisor_Log(4).xlsx</x:v>
      </x:c>
      <x:c r="AG792" t="str">
        <x:v>ENH-20260830-01</x:v>
      </x:c>
      <x:c r="AH792" t="str">
        <x:v>Active</x:v>
      </x:c>
      <x:c r="AI792"/>
      <x:c r="AJ792"/>
      <x:c r="AK792"/>
      <x:c r="AL792"/>
    </x:row>
    <x:row r="793">
      <x:c r="A793" t="s">
        <x:v>1043</x:v>
      </x:c>
      <x:c r="B793" t="s">
        <x:v>1035</x:v>
      </x:c>
      <x:c r="C793" t="s">
        <x:v>44</x:v>
      </x:c>
      <x:c r="D793">
        <x:v>45952</x:v>
      </x:c>
      <x:c r="E793" t="s">
        <x:v>45</x:v>
      </x:c>
      <x:c r="F793" t="s">
        <x:v>51</x:v>
      </x:c>
      <x:c r="G793">
        <x:v>25</x:v>
      </x:c>
      <x:c r="H793" t="s">
        <x:v>76</x:v>
      </x:c>
      <x:c r="I793">
        <x:v>9</x:v>
      </x:c>
      <x:c r="J793">
        <x:v>8</x:v>
      </x:c>
      <x:c r="K793">
        <x:v>2</x:v>
      </x:c>
      <x:c r="L793">
        <x:f t="shared" si="84"/>
        <x:v>0</x:v>
      </x:c>
      <x:c r="P793">
        <x:f t="shared" si="85"/>
        <x:v>0</x:v>
      </x:c>
      <x:c r="Q793">
        <x:f t="shared" si="86"/>
        <x:v>0</x:v>
      </x:c>
      <x:c r="R793">
        <x:f t="shared" si="87"/>
        <x:v>0</x:v>
      </x:c>
      <x:c r="S793">
        <x:f t="shared" si="88"/>
        <x:v>0</x:v>
      </x:c>
      <x:c r="T793" t="str">
        <x:f t="shared" si="89"/>
        <x:v>DerivedFromCount</x:v>
      </x:c>
      <x:c r="U793" t="str">
        <x:f>IF(COUNTIF(DailyProduction!$Q$5:$Q$100,B793)=1,"OK","CHECK")</x:f>
        <x:v>OK</x:v>
      </x:c>
      <x:c r="V793" t="str">
        <x:f t="shared" si="90"/>
        <x:v>OK</x:v>
      </x:c>
      <x:c r="W793" t="str">
        <x:f>IF(SUMIF($B$5:$B$914,B793,$S$5:$S$914)=SUMIF(DailyProduction!$Q$5:$Q$100,B793,DailyProduction!$R$5:$R$100),"OK","CHECK")</x:f>
        <x:v>OK</x:v>
      </x:c>
      <x:c r="X793" t="str">
        <x:v>PLC-PRD-JAR-720-L25</x:v>
      </x:c>
      <x:c r="Y793" t="str">
        <x:v>OK</x:v>
      </x:c>
      <x:c r="Z793" t="str">
        <x:v>OK</x:v>
      </x:c>
      <x:c r="AA793" t="n">
        <x:v>3</x:v>
      </x:c>
      <x:c r="AB793" t="n">
        <x:v>0</x:v>
      </x:c>
      <x:c r="AC793" t="str">
        <x:v>OK</x:v>
      </x:c>
      <x:c r="AD793" t="str">
        <x:v>OK</x:v>
      </x:c>
      <x:c r="AE793" t="str">
        <x:v>LOAD</x:v>
      </x:c>
      <x:c r="AF793" t="str">
        <x:v>02_Supervisor_Log(4).xlsx</x:v>
      </x:c>
      <x:c r="AG793" t="str">
        <x:v>ENH-20260830-01</x:v>
      </x:c>
      <x:c r="AH793" t="str">
        <x:v>Active</x:v>
      </x:c>
      <x:c r="AI793"/>
      <x:c r="AJ793"/>
      <x:c r="AK793"/>
      <x:c r="AL793"/>
    </x:row>
    <x:row r="794">
      <x:c r="A794" t="s">
        <x:v>1044</x:v>
      </x:c>
      <x:c r="B794" t="s">
        <x:v>1035</x:v>
      </x:c>
      <x:c r="C794" t="s">
        <x:v>44</x:v>
      </x:c>
      <x:c r="D794">
        <x:v>45952</x:v>
      </x:c>
      <x:c r="E794" t="s">
        <x:v>45</x:v>
      </x:c>
      <x:c r="F794" t="s">
        <x:v>51</x:v>
      </x:c>
      <x:c r="G794">
        <x:v>25</x:v>
      </x:c>
      <x:c r="H794" t="s">
        <x:v>76</x:v>
      </x:c>
      <x:c r="I794">
        <x:v>10</x:v>
      </x:c>
      <x:c r="J794">
        <x:v>8</x:v>
      </x:c>
      <x:c r="K794">
        <x:v>2</x:v>
      </x:c>
      <x:c r="L794">
        <x:f t="shared" si="84"/>
        <x:v>0</x:v>
      </x:c>
      <x:c r="P794">
        <x:f t="shared" si="85"/>
        <x:v>0</x:v>
      </x:c>
      <x:c r="Q794">
        <x:f t="shared" si="86"/>
        <x:v>0</x:v>
      </x:c>
      <x:c r="R794">
        <x:f t="shared" si="87"/>
        <x:v>0</x:v>
      </x:c>
      <x:c r="S794">
        <x:f t="shared" si="88"/>
        <x:v>0</x:v>
      </x:c>
      <x:c r="T794" t="str">
        <x:f t="shared" si="89"/>
        <x:v>DerivedFromCount</x:v>
      </x:c>
      <x:c r="U794" t="str">
        <x:f>IF(COUNTIF(DailyProduction!$Q$5:$Q$100,B794)=1,"OK","CHECK")</x:f>
        <x:v>OK</x:v>
      </x:c>
      <x:c r="V794" t="str">
        <x:f t="shared" si="90"/>
        <x:v>OK</x:v>
      </x:c>
      <x:c r="W794" t="str">
        <x:f>IF(SUMIF($B$5:$B$914,B794,$S$5:$S$914)=SUMIF(DailyProduction!$Q$5:$Q$100,B794,DailyProduction!$R$5:$R$100),"OK","CHECK")</x:f>
        <x:v>OK</x:v>
      </x:c>
      <x:c r="X794" t="str">
        <x:v>PLC-PRD-JAR-720-L25</x:v>
      </x:c>
      <x:c r="Y794" t="str">
        <x:v>OK</x:v>
      </x:c>
      <x:c r="Z794" t="str">
        <x:v>OK</x:v>
      </x:c>
      <x:c r="AA794" t="n">
        <x:v>3</x:v>
      </x:c>
      <x:c r="AB794" t="n">
        <x:v>0</x:v>
      </x:c>
      <x:c r="AC794" t="str">
        <x:v>OK</x:v>
      </x:c>
      <x:c r="AD794" t="str">
        <x:v>OK</x:v>
      </x:c>
      <x:c r="AE794" t="str">
        <x:v>LOAD</x:v>
      </x:c>
      <x:c r="AF794" t="str">
        <x:v>02_Supervisor_Log(4).xlsx</x:v>
      </x:c>
      <x:c r="AG794" t="str">
        <x:v>ENH-20260830-01</x:v>
      </x:c>
      <x:c r="AH794" t="str">
        <x:v>Active</x:v>
      </x:c>
      <x:c r="AI794"/>
      <x:c r="AJ794"/>
      <x:c r="AK794"/>
      <x:c r="AL794"/>
    </x:row>
    <x:row r="795">
      <x:c r="A795" t="s">
        <x:v>1045</x:v>
      </x:c>
      <x:c r="B795" t="s">
        <x:v>1035</x:v>
      </x:c>
      <x:c r="C795" t="s">
        <x:v>44</x:v>
      </x:c>
      <x:c r="D795">
        <x:v>45952</x:v>
      </x:c>
      <x:c r="E795" t="s">
        <x:v>45</x:v>
      </x:c>
      <x:c r="F795" t="s">
        <x:v>51</x:v>
      </x:c>
      <x:c r="G795">
        <x:v>25</x:v>
      </x:c>
      <x:c r="H795" t="s">
        <x:v>76</x:v>
      </x:c>
      <x:c r="I795">
        <x:v>11</x:v>
      </x:c>
      <x:c r="J795">
        <x:v>8</x:v>
      </x:c>
      <x:c r="K795">
        <x:v>2</x:v>
      </x:c>
      <x:c r="L795">
        <x:f t="shared" si="84"/>
        <x:v>0</x:v>
      </x:c>
      <x:c r="P795">
        <x:f t="shared" si="85"/>
        <x:v>0</x:v>
      </x:c>
      <x:c r="Q795">
        <x:f t="shared" si="86"/>
        <x:v>0</x:v>
      </x:c>
      <x:c r="R795">
        <x:f t="shared" si="87"/>
        <x:v>0</x:v>
      </x:c>
      <x:c r="S795">
        <x:f t="shared" si="88"/>
        <x:v>0</x:v>
      </x:c>
      <x:c r="T795" t="str">
        <x:f t="shared" si="89"/>
        <x:v>DerivedFromCount</x:v>
      </x:c>
      <x:c r="U795" t="str">
        <x:f>IF(COUNTIF(DailyProduction!$Q$5:$Q$100,B795)=1,"OK","CHECK")</x:f>
        <x:v>OK</x:v>
      </x:c>
      <x:c r="V795" t="str">
        <x:f t="shared" si="90"/>
        <x:v>OK</x:v>
      </x:c>
      <x:c r="W795" t="str">
        <x:f>IF(SUMIF($B$5:$B$914,B795,$S$5:$S$914)=SUMIF(DailyProduction!$Q$5:$Q$100,B795,DailyProduction!$R$5:$R$100),"OK","CHECK")</x:f>
        <x:v>OK</x:v>
      </x:c>
      <x:c r="X795" t="str">
        <x:v>PLC-PRD-JAR-720-L25</x:v>
      </x:c>
      <x:c r="Y795" t="str">
        <x:v>OK</x:v>
      </x:c>
      <x:c r="Z795" t="str">
        <x:v>OK</x:v>
      </x:c>
      <x:c r="AA795" t="n">
        <x:v>3</x:v>
      </x:c>
      <x:c r="AB795" t="n">
        <x:v>0</x:v>
      </x:c>
      <x:c r="AC795" t="str">
        <x:v>OK</x:v>
      </x:c>
      <x:c r="AD795" t="str">
        <x:v>OK</x:v>
      </x:c>
      <x:c r="AE795" t="str">
        <x:v>LOAD</x:v>
      </x:c>
      <x:c r="AF795" t="str">
        <x:v>02_Supervisor_Log(4).xlsx</x:v>
      </x:c>
      <x:c r="AG795" t="str">
        <x:v>ENH-20260830-01</x:v>
      </x:c>
      <x:c r="AH795" t="str">
        <x:v>Active</x:v>
      </x:c>
      <x:c r="AI795"/>
      <x:c r="AJ795"/>
      <x:c r="AK795"/>
      <x:c r="AL795"/>
    </x:row>
    <x:row r="796">
      <x:c r="A796" t="s">
        <x:v>1046</x:v>
      </x:c>
      <x:c r="B796" t="s">
        <x:v>1035</x:v>
      </x:c>
      <x:c r="C796" t="s">
        <x:v>44</x:v>
      </x:c>
      <x:c r="D796">
        <x:v>45952</x:v>
      </x:c>
      <x:c r="E796" t="s">
        <x:v>45</x:v>
      </x:c>
      <x:c r="F796" t="s">
        <x:v>51</x:v>
      </x:c>
      <x:c r="G796">
        <x:v>25</x:v>
      </x:c>
      <x:c r="H796" t="s">
        <x:v>76</x:v>
      </x:c>
      <x:c r="I796">
        <x:v>12</x:v>
      </x:c>
      <x:c r="J796">
        <x:v>8</x:v>
      </x:c>
      <x:c r="K796">
        <x:v>2</x:v>
      </x:c>
      <x:c r="L796">
        <x:f t="shared" si="84"/>
        <x:v>0</x:v>
      </x:c>
      <x:c r="P796">
        <x:f t="shared" si="85"/>
        <x:v>0</x:v>
      </x:c>
      <x:c r="Q796">
        <x:f t="shared" si="86"/>
        <x:v>0</x:v>
      </x:c>
      <x:c r="R796">
        <x:f t="shared" si="87"/>
        <x:v>0</x:v>
      </x:c>
      <x:c r="S796">
        <x:f t="shared" si="88"/>
        <x:v>0</x:v>
      </x:c>
      <x:c r="T796" t="str">
        <x:f t="shared" si="89"/>
        <x:v>DerivedFromCount</x:v>
      </x:c>
      <x:c r="U796" t="str">
        <x:f>IF(COUNTIF(DailyProduction!$Q$5:$Q$100,B796)=1,"OK","CHECK")</x:f>
        <x:v>OK</x:v>
      </x:c>
      <x:c r="V796" t="str">
        <x:f t="shared" si="90"/>
        <x:v>OK</x:v>
      </x:c>
      <x:c r="W796" t="str">
        <x:f>IF(SUMIF($B$5:$B$914,B796,$S$5:$S$914)=SUMIF(DailyProduction!$Q$5:$Q$100,B796,DailyProduction!$R$5:$R$100),"OK","CHECK")</x:f>
        <x:v>OK</x:v>
      </x:c>
      <x:c r="X796" t="str">
        <x:v>PLC-PRD-JAR-720-L25</x:v>
      </x:c>
      <x:c r="Y796" t="str">
        <x:v>OK</x:v>
      </x:c>
      <x:c r="Z796" t="str">
        <x:v>OK</x:v>
      </x:c>
      <x:c r="AA796" t="n">
        <x:v>3</x:v>
      </x:c>
      <x:c r="AB796" t="n">
        <x:v>0</x:v>
      </x:c>
      <x:c r="AC796" t="str">
        <x:v>OK</x:v>
      </x:c>
      <x:c r="AD796" t="str">
        <x:v>OK</x:v>
      </x:c>
      <x:c r="AE796" t="str">
        <x:v>LOAD</x:v>
      </x:c>
      <x:c r="AF796" t="str">
        <x:v>02_Supervisor_Log(4).xlsx</x:v>
      </x:c>
      <x:c r="AG796" t="str">
        <x:v>ENH-20260830-01</x:v>
      </x:c>
      <x:c r="AH796" t="str">
        <x:v>Active</x:v>
      </x:c>
      <x:c r="AI796"/>
      <x:c r="AJ796"/>
      <x:c r="AK796"/>
      <x:c r="AL796"/>
    </x:row>
    <x:row r="797">
      <x:c r="A797" t="s">
        <x:v>1047</x:v>
      </x:c>
      <x:c r="B797" t="s">
        <x:v>1035</x:v>
      </x:c>
      <x:c r="C797" t="s">
        <x:v>44</x:v>
      </x:c>
      <x:c r="D797">
        <x:v>45952</x:v>
      </x:c>
      <x:c r="E797" t="s">
        <x:v>45</x:v>
      </x:c>
      <x:c r="F797" t="s">
        <x:v>51</x:v>
      </x:c>
      <x:c r="G797">
        <x:v>25</x:v>
      </x:c>
      <x:c r="H797" t="s">
        <x:v>76</x:v>
      </x:c>
      <x:c r="I797">
        <x:v>13</x:v>
      </x:c>
      <x:c r="J797">
        <x:v>8</x:v>
      </x:c>
      <x:c r="K797">
        <x:v>2</x:v>
      </x:c>
      <x:c r="L797">
        <x:f t="shared" si="84"/>
        <x:v>0</x:v>
      </x:c>
      <x:c r="P797">
        <x:f t="shared" si="85"/>
        <x:v>0</x:v>
      </x:c>
      <x:c r="Q797">
        <x:f t="shared" si="86"/>
        <x:v>0</x:v>
      </x:c>
      <x:c r="R797">
        <x:f t="shared" si="87"/>
        <x:v>0</x:v>
      </x:c>
      <x:c r="S797">
        <x:f t="shared" si="88"/>
        <x:v>0</x:v>
      </x:c>
      <x:c r="T797" t="str">
        <x:f t="shared" si="89"/>
        <x:v>DerivedFromCount</x:v>
      </x:c>
      <x:c r="U797" t="str">
        <x:f>IF(COUNTIF(DailyProduction!$Q$5:$Q$100,B797)=1,"OK","CHECK")</x:f>
        <x:v>OK</x:v>
      </x:c>
      <x:c r="V797" t="str">
        <x:f t="shared" si="90"/>
        <x:v>OK</x:v>
      </x:c>
      <x:c r="W797" t="str">
        <x:f>IF(SUMIF($B$5:$B$914,B797,$S$5:$S$914)=SUMIF(DailyProduction!$Q$5:$Q$100,B797,DailyProduction!$R$5:$R$100),"OK","CHECK")</x:f>
        <x:v>OK</x:v>
      </x:c>
      <x:c r="X797" t="str">
        <x:v>PLC-PRD-JAR-720-L25</x:v>
      </x:c>
      <x:c r="Y797" t="str">
        <x:v>OK</x:v>
      </x:c>
      <x:c r="Z797" t="str">
        <x:v>OK</x:v>
      </x:c>
      <x:c r="AA797" t="n">
        <x:v>3</x:v>
      </x:c>
      <x:c r="AB797" t="n">
        <x:v>0</x:v>
      </x:c>
      <x:c r="AC797" t="str">
        <x:v>OK</x:v>
      </x:c>
      <x:c r="AD797" t="str">
        <x:v>OK</x:v>
      </x:c>
      <x:c r="AE797" t="str">
        <x:v>LOAD</x:v>
      </x:c>
      <x:c r="AF797" t="str">
        <x:v>02_Supervisor_Log(4).xlsx</x:v>
      </x:c>
      <x:c r="AG797" t="str">
        <x:v>ENH-20260830-01</x:v>
      </x:c>
      <x:c r="AH797" t="str">
        <x:v>Active</x:v>
      </x:c>
      <x:c r="AI797"/>
      <x:c r="AJ797"/>
      <x:c r="AK797"/>
      <x:c r="AL797"/>
    </x:row>
    <x:row r="798">
      <x:c r="A798" t="s">
        <x:v>1048</x:v>
      </x:c>
      <x:c r="B798" t="s">
        <x:v>1049</x:v>
      </x:c>
      <x:c r="C798" t="s">
        <x:v>44</x:v>
      </x:c>
      <x:c r="D798">
        <x:v>45952</x:v>
      </x:c>
      <x:c r="E798" t="s">
        <x:v>187</x:v>
      </x:c>
      <x:c r="F798" t="s">
        <x:v>55</x:v>
      </x:c>
      <x:c r="G798">
        <x:v>25</x:v>
      </x:c>
      <x:c r="H798" t="s">
        <x:v>76</x:v>
      </x:c>
      <x:c r="I798">
        <x:v>1</x:v>
      </x:c>
      <x:c r="J798">
        <x:v>8</x:v>
      </x:c>
      <x:c r="K798">
        <x:v>2</x:v>
      </x:c>
      <x:c r="L798">
        <x:f t="shared" si="84"/>
        <x:v>1</x:v>
      </x:c>
      <x:c r="P798">
        <x:f t="shared" si="85"/>
        <x:v>1</x:v>
      </x:c>
      <x:c r="Q798">
        <x:f t="shared" si="86"/>
        <x:v>1</x:v>
      </x:c>
      <x:c r="R798">
        <x:f t="shared" si="87"/>
        <x:v>0</x:v>
      </x:c>
      <x:c r="S798">
        <x:f t="shared" si="88"/>
        <x:v>2</x:v>
      </x:c>
      <x:c r="T798" t="str">
        <x:f t="shared" si="89"/>
        <x:v>DerivedFromCount</x:v>
      </x:c>
      <x:c r="U798" t="str">
        <x:f>IF(COUNTIF(DailyProduction!$Q$5:$Q$100,B798)=1,"OK","CHECK")</x:f>
        <x:v>OK</x:v>
      </x:c>
      <x:c r="V798" t="str">
        <x:f t="shared" si="90"/>
        <x:v>OK</x:v>
      </x:c>
      <x:c r="W798" t="str">
        <x:f>IF(SUMIF($B$5:$B$914,B798,$S$5:$S$914)=SUMIF(DailyProduction!$Q$5:$Q$100,B798,DailyProduction!$R$5:$R$100),"OK","CHECK")</x:f>
        <x:v>OK</x:v>
      </x:c>
      <x:c r="X798" t="str">
        <x:v>PLC-PRD-JAR-720-L25</x:v>
      </x:c>
      <x:c r="Y798" t="str">
        <x:v>OK</x:v>
      </x:c>
      <x:c r="Z798" t="str">
        <x:v>OK</x:v>
      </x:c>
      <x:c r="AA798" t="n">
        <x:v>3</x:v>
      </x:c>
      <x:c r="AB798" t="n">
        <x:v>2</x:v>
      </x:c>
      <x:c r="AC798" t="str">
        <x:v>OK</x:v>
      </x:c>
      <x:c r="AD798" t="str">
        <x:v>OK</x:v>
      </x:c>
      <x:c r="AE798" t="str">
        <x:v>LOAD</x:v>
      </x:c>
      <x:c r="AF798" t="str">
        <x:v>02_Supervisor_Log(4).xlsx</x:v>
      </x:c>
      <x:c r="AG798" t="str">
        <x:v>ENH-20260830-01</x:v>
      </x:c>
      <x:c r="AH798" t="str">
        <x:v>Active</x:v>
      </x:c>
      <x:c r="AI798"/>
      <x:c r="AJ798"/>
      <x:c r="AK798"/>
      <x:c r="AL798"/>
    </x:row>
    <x:row r="799">
      <x:c r="A799" t="s">
        <x:v>1050</x:v>
      </x:c>
      <x:c r="B799" t="s">
        <x:v>1049</x:v>
      </x:c>
      <x:c r="C799" t="s">
        <x:v>44</x:v>
      </x:c>
      <x:c r="D799">
        <x:v>45952</x:v>
      </x:c>
      <x:c r="E799" t="s">
        <x:v>187</x:v>
      </x:c>
      <x:c r="F799" t="s">
        <x:v>55</x:v>
      </x:c>
      <x:c r="G799">
        <x:v>25</x:v>
      </x:c>
      <x:c r="H799" t="s">
        <x:v>76</x:v>
      </x:c>
      <x:c r="I799">
        <x:v>2</x:v>
      </x:c>
      <x:c r="J799">
        <x:v>8</x:v>
      </x:c>
      <x:c r="K799">
        <x:v>2</x:v>
      </x:c>
      <x:c r="L799">
        <x:f t="shared" si="84"/>
        <x:v>1</x:v>
      </x:c>
      <x:c r="P799">
        <x:f t="shared" si="85"/>
        <x:v>1</x:v>
      </x:c>
      <x:c r="Q799">
        <x:f t="shared" si="86"/>
        <x:v>1</x:v>
      </x:c>
      <x:c r="R799">
        <x:f t="shared" si="87"/>
        <x:v>0</x:v>
      </x:c>
      <x:c r="S799">
        <x:f t="shared" si="88"/>
        <x:v>2</x:v>
      </x:c>
      <x:c r="T799" t="str">
        <x:f t="shared" si="89"/>
        <x:v>DerivedFromCount</x:v>
      </x:c>
      <x:c r="U799" t="str">
        <x:f>IF(COUNTIF(DailyProduction!$Q$5:$Q$100,B799)=1,"OK","CHECK")</x:f>
        <x:v>OK</x:v>
      </x:c>
      <x:c r="V799" t="str">
        <x:f t="shared" si="90"/>
        <x:v>OK</x:v>
      </x:c>
      <x:c r="W799" t="str">
        <x:f>IF(SUMIF($B$5:$B$914,B799,$S$5:$S$914)=SUMIF(DailyProduction!$Q$5:$Q$100,B799,DailyProduction!$R$5:$R$100),"OK","CHECK")</x:f>
        <x:v>OK</x:v>
      </x:c>
      <x:c r="X799" t="str">
        <x:v>PLC-PRD-JAR-720-L25</x:v>
      </x:c>
      <x:c r="Y799" t="str">
        <x:v>OK</x:v>
      </x:c>
      <x:c r="Z799" t="str">
        <x:v>OK</x:v>
      </x:c>
      <x:c r="AA799" t="n">
        <x:v>3</x:v>
      </x:c>
      <x:c r="AB799" t="n">
        <x:v>2</x:v>
      </x:c>
      <x:c r="AC799" t="str">
        <x:v>OK</x:v>
      </x:c>
      <x:c r="AD799" t="str">
        <x:v>OK</x:v>
      </x:c>
      <x:c r="AE799" t="str">
        <x:v>LOAD</x:v>
      </x:c>
      <x:c r="AF799" t="str">
        <x:v>02_Supervisor_Log(4).xlsx</x:v>
      </x:c>
      <x:c r="AG799" t="str">
        <x:v>ENH-20260830-01</x:v>
      </x:c>
      <x:c r="AH799" t="str">
        <x:v>Active</x:v>
      </x:c>
      <x:c r="AI799"/>
      <x:c r="AJ799"/>
      <x:c r="AK799"/>
      <x:c r="AL799"/>
    </x:row>
    <x:row r="800">
      <x:c r="A800" t="s">
        <x:v>1051</x:v>
      </x:c>
      <x:c r="B800" t="s">
        <x:v>1049</x:v>
      </x:c>
      <x:c r="C800" t="s">
        <x:v>44</x:v>
      </x:c>
      <x:c r="D800">
        <x:v>45952</x:v>
      </x:c>
      <x:c r="E800" t="s">
        <x:v>187</x:v>
      </x:c>
      <x:c r="F800" t="s">
        <x:v>55</x:v>
      </x:c>
      <x:c r="G800">
        <x:v>25</x:v>
      </x:c>
      <x:c r="H800" t="s">
        <x:v>76</x:v>
      </x:c>
      <x:c r="I800">
        <x:v>3</x:v>
      </x:c>
      <x:c r="J800">
        <x:v>8</x:v>
      </x:c>
      <x:c r="K800">
        <x:v>2</x:v>
      </x:c>
      <x:c r="L800">
        <x:f t="shared" si="84"/>
        <x:v>1</x:v>
      </x:c>
      <x:c r="P800">
        <x:f t="shared" si="85"/>
        <x:v>1</x:v>
      </x:c>
      <x:c r="Q800">
        <x:f t="shared" si="86"/>
        <x:v>1</x:v>
      </x:c>
      <x:c r="R800">
        <x:f t="shared" si="87"/>
        <x:v>0</x:v>
      </x:c>
      <x:c r="S800">
        <x:f t="shared" si="88"/>
        <x:v>2</x:v>
      </x:c>
      <x:c r="T800" t="str">
        <x:f t="shared" si="89"/>
        <x:v>DerivedFromCount</x:v>
      </x:c>
      <x:c r="U800" t="str">
        <x:f>IF(COUNTIF(DailyProduction!$Q$5:$Q$100,B800)=1,"OK","CHECK")</x:f>
        <x:v>OK</x:v>
      </x:c>
      <x:c r="V800" t="str">
        <x:f t="shared" si="90"/>
        <x:v>OK</x:v>
      </x:c>
      <x:c r="W800" t="str">
        <x:f>IF(SUMIF($B$5:$B$914,B800,$S$5:$S$914)=SUMIF(DailyProduction!$Q$5:$Q$100,B800,DailyProduction!$R$5:$R$100),"OK","CHECK")</x:f>
        <x:v>OK</x:v>
      </x:c>
      <x:c r="X800" t="str">
        <x:v>PLC-PRD-JAR-720-L25</x:v>
      </x:c>
      <x:c r="Y800" t="str">
        <x:v>OK</x:v>
      </x:c>
      <x:c r="Z800" t="str">
        <x:v>OK</x:v>
      </x:c>
      <x:c r="AA800" t="n">
        <x:v>3</x:v>
      </x:c>
      <x:c r="AB800" t="n">
        <x:v>2</x:v>
      </x:c>
      <x:c r="AC800" t="str">
        <x:v>OK</x:v>
      </x:c>
      <x:c r="AD800" t="str">
        <x:v>OK</x:v>
      </x:c>
      <x:c r="AE800" t="str">
        <x:v>LOAD</x:v>
      </x:c>
      <x:c r="AF800" t="str">
        <x:v>02_Supervisor_Log(4).xlsx</x:v>
      </x:c>
      <x:c r="AG800" t="str">
        <x:v>ENH-20260830-01</x:v>
      </x:c>
      <x:c r="AH800" t="str">
        <x:v>Active</x:v>
      </x:c>
      <x:c r="AI800"/>
      <x:c r="AJ800"/>
      <x:c r="AK800"/>
      <x:c r="AL800"/>
    </x:row>
    <x:row r="801">
      <x:c r="A801" t="s">
        <x:v>1052</x:v>
      </x:c>
      <x:c r="B801" t="s">
        <x:v>1049</x:v>
      </x:c>
      <x:c r="C801" t="s">
        <x:v>44</x:v>
      </x:c>
      <x:c r="D801">
        <x:v>45952</x:v>
      </x:c>
      <x:c r="E801" t="s">
        <x:v>187</x:v>
      </x:c>
      <x:c r="F801" t="s">
        <x:v>55</x:v>
      </x:c>
      <x:c r="G801">
        <x:v>25</x:v>
      </x:c>
      <x:c r="H801" t="s">
        <x:v>76</x:v>
      </x:c>
      <x:c r="I801">
        <x:v>4</x:v>
      </x:c>
      <x:c r="J801">
        <x:v>8</x:v>
      </x:c>
      <x:c r="K801">
        <x:v>2</x:v>
      </x:c>
      <x:c r="L801">
        <x:f t="shared" si="84"/>
        <x:v>1</x:v>
      </x:c>
      <x:c r="P801">
        <x:f t="shared" si="85"/>
        <x:v>1</x:v>
      </x:c>
      <x:c r="Q801">
        <x:f t="shared" si="86"/>
        <x:v>1</x:v>
      </x:c>
      <x:c r="R801">
        <x:f t="shared" si="87"/>
        <x:v>0</x:v>
      </x:c>
      <x:c r="S801">
        <x:f t="shared" si="88"/>
        <x:v>2</x:v>
      </x:c>
      <x:c r="T801" t="str">
        <x:f t="shared" si="89"/>
        <x:v>DerivedFromCount</x:v>
      </x:c>
      <x:c r="U801" t="str">
        <x:f>IF(COUNTIF(DailyProduction!$Q$5:$Q$100,B801)=1,"OK","CHECK")</x:f>
        <x:v>OK</x:v>
      </x:c>
      <x:c r="V801" t="str">
        <x:f t="shared" si="90"/>
        <x:v>OK</x:v>
      </x:c>
      <x:c r="W801" t="str">
        <x:f>IF(SUMIF($B$5:$B$914,B801,$S$5:$S$914)=SUMIF(DailyProduction!$Q$5:$Q$100,B801,DailyProduction!$R$5:$R$100),"OK","CHECK")</x:f>
        <x:v>OK</x:v>
      </x:c>
      <x:c r="X801" t="str">
        <x:v>PLC-PRD-JAR-720-L25</x:v>
      </x:c>
      <x:c r="Y801" t="str">
        <x:v>OK</x:v>
      </x:c>
      <x:c r="Z801" t="str">
        <x:v>OK</x:v>
      </x:c>
      <x:c r="AA801" t="n">
        <x:v>3</x:v>
      </x:c>
      <x:c r="AB801" t="n">
        <x:v>2</x:v>
      </x:c>
      <x:c r="AC801" t="str">
        <x:v>OK</x:v>
      </x:c>
      <x:c r="AD801" t="str">
        <x:v>OK</x:v>
      </x:c>
      <x:c r="AE801" t="str">
        <x:v>LOAD</x:v>
      </x:c>
      <x:c r="AF801" t="str">
        <x:v>02_Supervisor_Log(4).xlsx</x:v>
      </x:c>
      <x:c r="AG801" t="str">
        <x:v>ENH-20260830-01</x:v>
      </x:c>
      <x:c r="AH801" t="str">
        <x:v>Active</x:v>
      </x:c>
      <x:c r="AI801"/>
      <x:c r="AJ801"/>
      <x:c r="AK801"/>
      <x:c r="AL801"/>
    </x:row>
    <x:row r="802">
      <x:c r="A802" t="s">
        <x:v>1053</x:v>
      </x:c>
      <x:c r="B802" t="s">
        <x:v>1049</x:v>
      </x:c>
      <x:c r="C802" t="s">
        <x:v>44</x:v>
      </x:c>
      <x:c r="D802">
        <x:v>45952</x:v>
      </x:c>
      <x:c r="E802" t="s">
        <x:v>187</x:v>
      </x:c>
      <x:c r="F802" t="s">
        <x:v>55</x:v>
      </x:c>
      <x:c r="G802">
        <x:v>25</x:v>
      </x:c>
      <x:c r="H802" t="s">
        <x:v>76</x:v>
      </x:c>
      <x:c r="I802">
        <x:v>5</x:v>
      </x:c>
      <x:c r="J802">
        <x:v>8</x:v>
      </x:c>
      <x:c r="K802">
        <x:v>2</x:v>
      </x:c>
      <x:c r="L802">
        <x:f t="shared" si="84"/>
        <x:v>1</x:v>
      </x:c>
      <x:c r="P802">
        <x:f t="shared" si="85"/>
        <x:v>1</x:v>
      </x:c>
      <x:c r="Q802">
        <x:f t="shared" si="86"/>
        <x:v>1</x:v>
      </x:c>
      <x:c r="R802">
        <x:f t="shared" si="87"/>
        <x:v>0</x:v>
      </x:c>
      <x:c r="S802">
        <x:f t="shared" si="88"/>
        <x:v>2</x:v>
      </x:c>
      <x:c r="T802" t="str">
        <x:f t="shared" si="89"/>
        <x:v>DerivedFromCount</x:v>
      </x:c>
      <x:c r="U802" t="str">
        <x:f>IF(COUNTIF(DailyProduction!$Q$5:$Q$100,B802)=1,"OK","CHECK")</x:f>
        <x:v>OK</x:v>
      </x:c>
      <x:c r="V802" t="str">
        <x:f t="shared" si="90"/>
        <x:v>OK</x:v>
      </x:c>
      <x:c r="W802" t="str">
        <x:f>IF(SUMIF($B$5:$B$914,B802,$S$5:$S$914)=SUMIF(DailyProduction!$Q$5:$Q$100,B802,DailyProduction!$R$5:$R$100),"OK","CHECK")</x:f>
        <x:v>OK</x:v>
      </x:c>
      <x:c r="X802" t="str">
        <x:v>PLC-PRD-JAR-720-L25</x:v>
      </x:c>
      <x:c r="Y802" t="str">
        <x:v>OK</x:v>
      </x:c>
      <x:c r="Z802" t="str">
        <x:v>OK</x:v>
      </x:c>
      <x:c r="AA802" t="n">
        <x:v>3</x:v>
      </x:c>
      <x:c r="AB802" t="n">
        <x:v>2</x:v>
      </x:c>
      <x:c r="AC802" t="str">
        <x:v>OK</x:v>
      </x:c>
      <x:c r="AD802" t="str">
        <x:v>OK</x:v>
      </x:c>
      <x:c r="AE802" t="str">
        <x:v>LOAD</x:v>
      </x:c>
      <x:c r="AF802" t="str">
        <x:v>02_Supervisor_Log(4).xlsx</x:v>
      </x:c>
      <x:c r="AG802" t="str">
        <x:v>ENH-20260830-01</x:v>
      </x:c>
      <x:c r="AH802" t="str">
        <x:v>Active</x:v>
      </x:c>
      <x:c r="AI802"/>
      <x:c r="AJ802"/>
      <x:c r="AK802"/>
      <x:c r="AL802"/>
    </x:row>
    <x:row r="803">
      <x:c r="A803" t="s">
        <x:v>1054</x:v>
      </x:c>
      <x:c r="B803" t="s">
        <x:v>1049</x:v>
      </x:c>
      <x:c r="C803" t="s">
        <x:v>44</x:v>
      </x:c>
      <x:c r="D803">
        <x:v>45952</x:v>
      </x:c>
      <x:c r="E803" t="s">
        <x:v>187</x:v>
      </x:c>
      <x:c r="F803" t="s">
        <x:v>55</x:v>
      </x:c>
      <x:c r="G803">
        <x:v>25</x:v>
      </x:c>
      <x:c r="H803" t="s">
        <x:v>76</x:v>
      </x:c>
      <x:c r="I803">
        <x:v>6</x:v>
      </x:c>
      <x:c r="J803">
        <x:v>8</x:v>
      </x:c>
      <x:c r="K803">
        <x:v>2</x:v>
      </x:c>
      <x:c r="L803">
        <x:f t="shared" si="84"/>
        <x:v>1</x:v>
      </x:c>
      <x:c r="P803">
        <x:f t="shared" si="85"/>
        <x:v>1</x:v>
      </x:c>
      <x:c r="Q803">
        <x:f t="shared" si="86"/>
        <x:v>1</x:v>
      </x:c>
      <x:c r="R803">
        <x:f t="shared" si="87"/>
        <x:v>0</x:v>
      </x:c>
      <x:c r="S803">
        <x:f t="shared" si="88"/>
        <x:v>2</x:v>
      </x:c>
      <x:c r="T803" t="str">
        <x:f t="shared" si="89"/>
        <x:v>DerivedFromCount</x:v>
      </x:c>
      <x:c r="U803" t="str">
        <x:f>IF(COUNTIF(DailyProduction!$Q$5:$Q$100,B803)=1,"OK","CHECK")</x:f>
        <x:v>OK</x:v>
      </x:c>
      <x:c r="V803" t="str">
        <x:f t="shared" si="90"/>
        <x:v>OK</x:v>
      </x:c>
      <x:c r="W803" t="str">
        <x:f>IF(SUMIF($B$5:$B$914,B803,$S$5:$S$914)=SUMIF(DailyProduction!$Q$5:$Q$100,B803,DailyProduction!$R$5:$R$100),"OK","CHECK")</x:f>
        <x:v>OK</x:v>
      </x:c>
      <x:c r="X803" t="str">
        <x:v>PLC-PRD-JAR-720-L25</x:v>
      </x:c>
      <x:c r="Y803" t="str">
        <x:v>OK</x:v>
      </x:c>
      <x:c r="Z803" t="str">
        <x:v>OK</x:v>
      </x:c>
      <x:c r="AA803" t="n">
        <x:v>3</x:v>
      </x:c>
      <x:c r="AB803" t="n">
        <x:v>2</x:v>
      </x:c>
      <x:c r="AC803" t="str">
        <x:v>OK</x:v>
      </x:c>
      <x:c r="AD803" t="str">
        <x:v>OK</x:v>
      </x:c>
      <x:c r="AE803" t="str">
        <x:v>LOAD</x:v>
      </x:c>
      <x:c r="AF803" t="str">
        <x:v>02_Supervisor_Log(4).xlsx</x:v>
      </x:c>
      <x:c r="AG803" t="str">
        <x:v>ENH-20260830-01</x:v>
      </x:c>
      <x:c r="AH803" t="str">
        <x:v>Active</x:v>
      </x:c>
      <x:c r="AI803"/>
      <x:c r="AJ803"/>
      <x:c r="AK803"/>
      <x:c r="AL803"/>
    </x:row>
    <x:row r="804">
      <x:c r="A804" t="s">
        <x:v>1055</x:v>
      </x:c>
      <x:c r="B804" t="s">
        <x:v>1049</x:v>
      </x:c>
      <x:c r="C804" t="s">
        <x:v>44</x:v>
      </x:c>
      <x:c r="D804">
        <x:v>45952</x:v>
      </x:c>
      <x:c r="E804" t="s">
        <x:v>187</x:v>
      </x:c>
      <x:c r="F804" t="s">
        <x:v>55</x:v>
      </x:c>
      <x:c r="G804">
        <x:v>25</x:v>
      </x:c>
      <x:c r="H804" t="s">
        <x:v>76</x:v>
      </x:c>
      <x:c r="I804">
        <x:v>7</x:v>
      </x:c>
      <x:c r="J804">
        <x:v>8</x:v>
      </x:c>
      <x:c r="K804">
        <x:v>2</x:v>
      </x:c>
      <x:c r="L804">
        <x:f t="shared" si="84"/>
        <x:v>1</x:v>
      </x:c>
      <x:c r="P804">
        <x:f t="shared" si="85"/>
        <x:v>1</x:v>
      </x:c>
      <x:c r="Q804">
        <x:f t="shared" si="86"/>
        <x:v>1</x:v>
      </x:c>
      <x:c r="R804">
        <x:f t="shared" si="87"/>
        <x:v>0</x:v>
      </x:c>
      <x:c r="S804">
        <x:f t="shared" si="88"/>
        <x:v>2</x:v>
      </x:c>
      <x:c r="T804" t="str">
        <x:f t="shared" si="89"/>
        <x:v>DerivedFromCount</x:v>
      </x:c>
      <x:c r="U804" t="str">
        <x:f>IF(COUNTIF(DailyProduction!$Q$5:$Q$100,B804)=1,"OK","CHECK")</x:f>
        <x:v>OK</x:v>
      </x:c>
      <x:c r="V804" t="str">
        <x:f t="shared" si="90"/>
        <x:v>OK</x:v>
      </x:c>
      <x:c r="W804" t="str">
        <x:f>IF(SUMIF($B$5:$B$914,B804,$S$5:$S$914)=SUMIF(DailyProduction!$Q$5:$Q$100,B804,DailyProduction!$R$5:$R$100),"OK","CHECK")</x:f>
        <x:v>OK</x:v>
      </x:c>
      <x:c r="X804" t="str">
        <x:v>PLC-PRD-JAR-720-L25</x:v>
      </x:c>
      <x:c r="Y804" t="str">
        <x:v>OK</x:v>
      </x:c>
      <x:c r="Z804" t="str">
        <x:v>OK</x:v>
      </x:c>
      <x:c r="AA804" t="n">
        <x:v>3</x:v>
      </x:c>
      <x:c r="AB804" t="n">
        <x:v>2</x:v>
      </x:c>
      <x:c r="AC804" t="str">
        <x:v>OK</x:v>
      </x:c>
      <x:c r="AD804" t="str">
        <x:v>OK</x:v>
      </x:c>
      <x:c r="AE804" t="str">
        <x:v>LOAD</x:v>
      </x:c>
      <x:c r="AF804" t="str">
        <x:v>02_Supervisor_Log(4).xlsx</x:v>
      </x:c>
      <x:c r="AG804" t="str">
        <x:v>ENH-20260830-01</x:v>
      </x:c>
      <x:c r="AH804" t="str">
        <x:v>Active</x:v>
      </x:c>
      <x:c r="AI804"/>
      <x:c r="AJ804"/>
      <x:c r="AK804"/>
      <x:c r="AL804"/>
    </x:row>
    <x:row r="805">
      <x:c r="A805" t="s">
        <x:v>1056</x:v>
      </x:c>
      <x:c r="B805" t="s">
        <x:v>1049</x:v>
      </x:c>
      <x:c r="C805" t="s">
        <x:v>44</x:v>
      </x:c>
      <x:c r="D805">
        <x:v>45952</x:v>
      </x:c>
      <x:c r="E805" t="s">
        <x:v>187</x:v>
      </x:c>
      <x:c r="F805" t="s">
        <x:v>55</x:v>
      </x:c>
      <x:c r="G805">
        <x:v>25</x:v>
      </x:c>
      <x:c r="H805" t="s">
        <x:v>76</x:v>
      </x:c>
      <x:c r="I805">
        <x:v>8</x:v>
      </x:c>
      <x:c r="J805">
        <x:v>8</x:v>
      </x:c>
      <x:c r="K805">
        <x:v>2</x:v>
      </x:c>
      <x:c r="L805">
        <x:f t="shared" si="84"/>
        <x:v>1</x:v>
      </x:c>
      <x:c r="P805">
        <x:f t="shared" si="85"/>
        <x:v>1</x:v>
      </x:c>
      <x:c r="Q805">
        <x:f t="shared" si="86"/>
        <x:v>1</x:v>
      </x:c>
      <x:c r="R805">
        <x:f t="shared" si="87"/>
        <x:v>0</x:v>
      </x:c>
      <x:c r="S805">
        <x:f t="shared" si="88"/>
        <x:v>2</x:v>
      </x:c>
      <x:c r="T805" t="str">
        <x:f t="shared" si="89"/>
        <x:v>DerivedFromCount</x:v>
      </x:c>
      <x:c r="U805" t="str">
        <x:f>IF(COUNTIF(DailyProduction!$Q$5:$Q$100,B805)=1,"OK","CHECK")</x:f>
        <x:v>OK</x:v>
      </x:c>
      <x:c r="V805" t="str">
        <x:f t="shared" si="90"/>
        <x:v>OK</x:v>
      </x:c>
      <x:c r="W805" t="str">
        <x:f>IF(SUMIF($B$5:$B$914,B805,$S$5:$S$914)=SUMIF(DailyProduction!$Q$5:$Q$100,B805,DailyProduction!$R$5:$R$100),"OK","CHECK")</x:f>
        <x:v>OK</x:v>
      </x:c>
      <x:c r="X805" t="str">
        <x:v>PLC-PRD-JAR-720-L25</x:v>
      </x:c>
      <x:c r="Y805" t="str">
        <x:v>OK</x:v>
      </x:c>
      <x:c r="Z805" t="str">
        <x:v>OK</x:v>
      </x:c>
      <x:c r="AA805" t="n">
        <x:v>3</x:v>
      </x:c>
      <x:c r="AB805" t="n">
        <x:v>2</x:v>
      </x:c>
      <x:c r="AC805" t="str">
        <x:v>OK</x:v>
      </x:c>
      <x:c r="AD805" t="str">
        <x:v>OK</x:v>
      </x:c>
      <x:c r="AE805" t="str">
        <x:v>LOAD</x:v>
      </x:c>
      <x:c r="AF805" t="str">
        <x:v>02_Supervisor_Log(4).xlsx</x:v>
      </x:c>
      <x:c r="AG805" t="str">
        <x:v>ENH-20260830-01</x:v>
      </x:c>
      <x:c r="AH805" t="str">
        <x:v>Active</x:v>
      </x:c>
      <x:c r="AI805"/>
      <x:c r="AJ805"/>
      <x:c r="AK805"/>
      <x:c r="AL805"/>
    </x:row>
    <x:row r="806">
      <x:c r="A806" t="s">
        <x:v>1057</x:v>
      </x:c>
      <x:c r="B806" t="s">
        <x:v>1049</x:v>
      </x:c>
      <x:c r="C806" t="s">
        <x:v>44</x:v>
      </x:c>
      <x:c r="D806">
        <x:v>45952</x:v>
      </x:c>
      <x:c r="E806" t="s">
        <x:v>187</x:v>
      </x:c>
      <x:c r="F806" t="s">
        <x:v>55</x:v>
      </x:c>
      <x:c r="G806">
        <x:v>25</x:v>
      </x:c>
      <x:c r="H806" t="s">
        <x:v>76</x:v>
      </x:c>
      <x:c r="I806">
        <x:v>9</x:v>
      </x:c>
      <x:c r="J806">
        <x:v>8</x:v>
      </x:c>
      <x:c r="K806">
        <x:v>2</x:v>
      </x:c>
      <x:c r="L806">
        <x:f t="shared" si="84"/>
        <x:v>0</x:v>
      </x:c>
      <x:c r="P806">
        <x:f t="shared" si="85"/>
        <x:v>0</x:v>
      </x:c>
      <x:c r="Q806">
        <x:f t="shared" si="86"/>
        <x:v>0</x:v>
      </x:c>
      <x:c r="R806">
        <x:f t="shared" si="87"/>
        <x:v>0</x:v>
      </x:c>
      <x:c r="S806">
        <x:f t="shared" si="88"/>
        <x:v>0</x:v>
      </x:c>
      <x:c r="T806" t="str">
        <x:f t="shared" si="89"/>
        <x:v>DerivedFromCount</x:v>
      </x:c>
      <x:c r="U806" t="str">
        <x:f>IF(COUNTIF(DailyProduction!$Q$5:$Q$100,B806)=1,"OK","CHECK")</x:f>
        <x:v>OK</x:v>
      </x:c>
      <x:c r="V806" t="str">
        <x:f t="shared" si="90"/>
        <x:v>OK</x:v>
      </x:c>
      <x:c r="W806" t="str">
        <x:f>IF(SUMIF($B$5:$B$914,B806,$S$5:$S$914)=SUMIF(DailyProduction!$Q$5:$Q$100,B806,DailyProduction!$R$5:$R$100),"OK","CHECK")</x:f>
        <x:v>OK</x:v>
      </x:c>
      <x:c r="X806" t="str">
        <x:v>PLC-PRD-JAR-720-L25</x:v>
      </x:c>
      <x:c r="Y806" t="str">
        <x:v>OK</x:v>
      </x:c>
      <x:c r="Z806" t="str">
        <x:v>OK</x:v>
      </x:c>
      <x:c r="AA806" t="n">
        <x:v>3</x:v>
      </x:c>
      <x:c r="AB806" t="n">
        <x:v>0</x:v>
      </x:c>
      <x:c r="AC806" t="str">
        <x:v>OK</x:v>
      </x:c>
      <x:c r="AD806" t="str">
        <x:v>OK</x:v>
      </x:c>
      <x:c r="AE806" t="str">
        <x:v>LOAD</x:v>
      </x:c>
      <x:c r="AF806" t="str">
        <x:v>02_Supervisor_Log(4).xlsx</x:v>
      </x:c>
      <x:c r="AG806" t="str">
        <x:v>ENH-20260830-01</x:v>
      </x:c>
      <x:c r="AH806" t="str">
        <x:v>Active</x:v>
      </x:c>
      <x:c r="AI806"/>
      <x:c r="AJ806"/>
      <x:c r="AK806"/>
      <x:c r="AL806"/>
    </x:row>
    <x:row r="807">
      <x:c r="A807" t="s">
        <x:v>1058</x:v>
      </x:c>
      <x:c r="B807" t="s">
        <x:v>1049</x:v>
      </x:c>
      <x:c r="C807" t="s">
        <x:v>44</x:v>
      </x:c>
      <x:c r="D807">
        <x:v>45952</x:v>
      </x:c>
      <x:c r="E807" t="s">
        <x:v>187</x:v>
      </x:c>
      <x:c r="F807" t="s">
        <x:v>55</x:v>
      </x:c>
      <x:c r="G807">
        <x:v>25</x:v>
      </x:c>
      <x:c r="H807" t="s">
        <x:v>76</x:v>
      </x:c>
      <x:c r="I807">
        <x:v>10</x:v>
      </x:c>
      <x:c r="J807">
        <x:v>8</x:v>
      </x:c>
      <x:c r="K807">
        <x:v>2</x:v>
      </x:c>
      <x:c r="L807">
        <x:f t="shared" si="84"/>
        <x:v>0</x:v>
      </x:c>
      <x:c r="P807">
        <x:f t="shared" si="85"/>
        <x:v>0</x:v>
      </x:c>
      <x:c r="Q807">
        <x:f t="shared" si="86"/>
        <x:v>0</x:v>
      </x:c>
      <x:c r="R807">
        <x:f t="shared" si="87"/>
        <x:v>0</x:v>
      </x:c>
      <x:c r="S807">
        <x:f t="shared" si="88"/>
        <x:v>0</x:v>
      </x:c>
      <x:c r="T807" t="str">
        <x:f t="shared" si="89"/>
        <x:v>DerivedFromCount</x:v>
      </x:c>
      <x:c r="U807" t="str">
        <x:f>IF(COUNTIF(DailyProduction!$Q$5:$Q$100,B807)=1,"OK","CHECK")</x:f>
        <x:v>OK</x:v>
      </x:c>
      <x:c r="V807" t="str">
        <x:f t="shared" si="90"/>
        <x:v>OK</x:v>
      </x:c>
      <x:c r="W807" t="str">
        <x:f>IF(SUMIF($B$5:$B$914,B807,$S$5:$S$914)=SUMIF(DailyProduction!$Q$5:$Q$100,B807,DailyProduction!$R$5:$R$100),"OK","CHECK")</x:f>
        <x:v>OK</x:v>
      </x:c>
      <x:c r="X807" t="str">
        <x:v>PLC-PRD-JAR-720-L25</x:v>
      </x:c>
      <x:c r="Y807" t="str">
        <x:v>OK</x:v>
      </x:c>
      <x:c r="Z807" t="str">
        <x:v>OK</x:v>
      </x:c>
      <x:c r="AA807" t="n">
        <x:v>3</x:v>
      </x:c>
      <x:c r="AB807" t="n">
        <x:v>0</x:v>
      </x:c>
      <x:c r="AC807" t="str">
        <x:v>OK</x:v>
      </x:c>
      <x:c r="AD807" t="str">
        <x:v>OK</x:v>
      </x:c>
      <x:c r="AE807" t="str">
        <x:v>LOAD</x:v>
      </x:c>
      <x:c r="AF807" t="str">
        <x:v>02_Supervisor_Log(4).xlsx</x:v>
      </x:c>
      <x:c r="AG807" t="str">
        <x:v>ENH-20260830-01</x:v>
      </x:c>
      <x:c r="AH807" t="str">
        <x:v>Active</x:v>
      </x:c>
      <x:c r="AI807"/>
      <x:c r="AJ807"/>
      <x:c r="AK807"/>
      <x:c r="AL807"/>
    </x:row>
    <x:row r="808">
      <x:c r="A808" t="s">
        <x:v>1059</x:v>
      </x:c>
      <x:c r="B808" t="s">
        <x:v>1049</x:v>
      </x:c>
      <x:c r="C808" t="s">
        <x:v>44</x:v>
      </x:c>
      <x:c r="D808">
        <x:v>45952</x:v>
      </x:c>
      <x:c r="E808" t="s">
        <x:v>187</x:v>
      </x:c>
      <x:c r="F808" t="s">
        <x:v>55</x:v>
      </x:c>
      <x:c r="G808">
        <x:v>25</x:v>
      </x:c>
      <x:c r="H808" t="s">
        <x:v>76</x:v>
      </x:c>
      <x:c r="I808">
        <x:v>11</x:v>
      </x:c>
      <x:c r="J808">
        <x:v>8</x:v>
      </x:c>
      <x:c r="K808">
        <x:v>2</x:v>
      </x:c>
      <x:c r="L808">
        <x:f t="shared" si="84"/>
        <x:v>0</x:v>
      </x:c>
      <x:c r="P808">
        <x:f t="shared" si="85"/>
        <x:v>0</x:v>
      </x:c>
      <x:c r="Q808">
        <x:f t="shared" si="86"/>
        <x:v>0</x:v>
      </x:c>
      <x:c r="R808">
        <x:f t="shared" si="87"/>
        <x:v>0</x:v>
      </x:c>
      <x:c r="S808">
        <x:f t="shared" si="88"/>
        <x:v>0</x:v>
      </x:c>
      <x:c r="T808" t="str">
        <x:f t="shared" si="89"/>
        <x:v>DerivedFromCount</x:v>
      </x:c>
      <x:c r="U808" t="str">
        <x:f>IF(COUNTIF(DailyProduction!$Q$5:$Q$100,B808)=1,"OK","CHECK")</x:f>
        <x:v>OK</x:v>
      </x:c>
      <x:c r="V808" t="str">
        <x:f t="shared" si="90"/>
        <x:v>OK</x:v>
      </x:c>
      <x:c r="W808" t="str">
        <x:f>IF(SUMIF($B$5:$B$914,B808,$S$5:$S$914)=SUMIF(DailyProduction!$Q$5:$Q$100,B808,DailyProduction!$R$5:$R$100),"OK","CHECK")</x:f>
        <x:v>OK</x:v>
      </x:c>
      <x:c r="X808" t="str">
        <x:v>PLC-PRD-JAR-720-L25</x:v>
      </x:c>
      <x:c r="Y808" t="str">
        <x:v>OK</x:v>
      </x:c>
      <x:c r="Z808" t="str">
        <x:v>OK</x:v>
      </x:c>
      <x:c r="AA808" t="n">
        <x:v>3</x:v>
      </x:c>
      <x:c r="AB808" t="n">
        <x:v>0</x:v>
      </x:c>
      <x:c r="AC808" t="str">
        <x:v>OK</x:v>
      </x:c>
      <x:c r="AD808" t="str">
        <x:v>OK</x:v>
      </x:c>
      <x:c r="AE808" t="str">
        <x:v>LOAD</x:v>
      </x:c>
      <x:c r="AF808" t="str">
        <x:v>02_Supervisor_Log(4).xlsx</x:v>
      </x:c>
      <x:c r="AG808" t="str">
        <x:v>ENH-20260830-01</x:v>
      </x:c>
      <x:c r="AH808" t="str">
        <x:v>Active</x:v>
      </x:c>
      <x:c r="AI808"/>
      <x:c r="AJ808"/>
      <x:c r="AK808"/>
      <x:c r="AL808"/>
    </x:row>
    <x:row r="809">
      <x:c r="A809" t="s">
        <x:v>1060</x:v>
      </x:c>
      <x:c r="B809" t="s">
        <x:v>1049</x:v>
      </x:c>
      <x:c r="C809" t="s">
        <x:v>44</x:v>
      </x:c>
      <x:c r="D809">
        <x:v>45952</x:v>
      </x:c>
      <x:c r="E809" t="s">
        <x:v>187</x:v>
      </x:c>
      <x:c r="F809" t="s">
        <x:v>55</x:v>
      </x:c>
      <x:c r="G809">
        <x:v>25</x:v>
      </x:c>
      <x:c r="H809" t="s">
        <x:v>76</x:v>
      </x:c>
      <x:c r="I809">
        <x:v>12</x:v>
      </x:c>
      <x:c r="J809">
        <x:v>8</x:v>
      </x:c>
      <x:c r="K809">
        <x:v>2</x:v>
      </x:c>
      <x:c r="L809">
        <x:f t="shared" si="84"/>
        <x:v>0</x:v>
      </x:c>
      <x:c r="P809">
        <x:f t="shared" si="85"/>
        <x:v>0</x:v>
      </x:c>
      <x:c r="Q809">
        <x:f t="shared" si="86"/>
        <x:v>0</x:v>
      </x:c>
      <x:c r="R809">
        <x:f t="shared" si="87"/>
        <x:v>0</x:v>
      </x:c>
      <x:c r="S809">
        <x:f t="shared" si="88"/>
        <x:v>0</x:v>
      </x:c>
      <x:c r="T809" t="str">
        <x:f t="shared" si="89"/>
        <x:v>DerivedFromCount</x:v>
      </x:c>
      <x:c r="U809" t="str">
        <x:f>IF(COUNTIF(DailyProduction!$Q$5:$Q$100,B809)=1,"OK","CHECK")</x:f>
        <x:v>OK</x:v>
      </x:c>
      <x:c r="V809" t="str">
        <x:f t="shared" si="90"/>
        <x:v>OK</x:v>
      </x:c>
      <x:c r="W809" t="str">
        <x:f>IF(SUMIF($B$5:$B$914,B809,$S$5:$S$914)=SUMIF(DailyProduction!$Q$5:$Q$100,B809,DailyProduction!$R$5:$R$100),"OK","CHECK")</x:f>
        <x:v>OK</x:v>
      </x:c>
      <x:c r="X809" t="str">
        <x:v>PLC-PRD-JAR-720-L25</x:v>
      </x:c>
      <x:c r="Y809" t="str">
        <x:v>OK</x:v>
      </x:c>
      <x:c r="Z809" t="str">
        <x:v>OK</x:v>
      </x:c>
      <x:c r="AA809" t="n">
        <x:v>3</x:v>
      </x:c>
      <x:c r="AB809" t="n">
        <x:v>0</x:v>
      </x:c>
      <x:c r="AC809" t="str">
        <x:v>OK</x:v>
      </x:c>
      <x:c r="AD809" t="str">
        <x:v>OK</x:v>
      </x:c>
      <x:c r="AE809" t="str">
        <x:v>LOAD</x:v>
      </x:c>
      <x:c r="AF809" t="str">
        <x:v>02_Supervisor_Log(4).xlsx</x:v>
      </x:c>
      <x:c r="AG809" t="str">
        <x:v>ENH-20260830-01</x:v>
      </x:c>
      <x:c r="AH809" t="str">
        <x:v>Active</x:v>
      </x:c>
      <x:c r="AI809"/>
      <x:c r="AJ809"/>
      <x:c r="AK809"/>
      <x:c r="AL809"/>
    </x:row>
    <x:row r="810">
      <x:c r="A810" t="s">
        <x:v>1061</x:v>
      </x:c>
      <x:c r="B810" t="s">
        <x:v>1049</x:v>
      </x:c>
      <x:c r="C810" t="s">
        <x:v>44</x:v>
      </x:c>
      <x:c r="D810">
        <x:v>45952</x:v>
      </x:c>
      <x:c r="E810" t="s">
        <x:v>187</x:v>
      </x:c>
      <x:c r="F810" t="s">
        <x:v>55</x:v>
      </x:c>
      <x:c r="G810">
        <x:v>25</x:v>
      </x:c>
      <x:c r="H810" t="s">
        <x:v>76</x:v>
      </x:c>
      <x:c r="I810">
        <x:v>13</x:v>
      </x:c>
      <x:c r="J810">
        <x:v>8</x:v>
      </x:c>
      <x:c r="K810">
        <x:v>2</x:v>
      </x:c>
      <x:c r="L810">
        <x:f t="shared" si="84"/>
        <x:v>0</x:v>
      </x:c>
      <x:c r="P810">
        <x:f t="shared" si="85"/>
        <x:v>0</x:v>
      </x:c>
      <x:c r="Q810">
        <x:f t="shared" si="86"/>
        <x:v>0</x:v>
      </x:c>
      <x:c r="R810">
        <x:f t="shared" si="87"/>
        <x:v>0</x:v>
      </x:c>
      <x:c r="S810">
        <x:f t="shared" si="88"/>
        <x:v>0</x:v>
      </x:c>
      <x:c r="T810" t="str">
        <x:f t="shared" si="89"/>
        <x:v>DerivedFromCount</x:v>
      </x:c>
      <x:c r="U810" t="str">
        <x:f>IF(COUNTIF(DailyProduction!$Q$5:$Q$100,B810)=1,"OK","CHECK")</x:f>
        <x:v>OK</x:v>
      </x:c>
      <x:c r="V810" t="str">
        <x:f t="shared" si="90"/>
        <x:v>OK</x:v>
      </x:c>
      <x:c r="W810" t="str">
        <x:f>IF(SUMIF($B$5:$B$914,B810,$S$5:$S$914)=SUMIF(DailyProduction!$Q$5:$Q$100,B810,DailyProduction!$R$5:$R$100),"OK","CHECK")</x:f>
        <x:v>OK</x:v>
      </x:c>
      <x:c r="X810" t="str">
        <x:v>PLC-PRD-JAR-720-L25</x:v>
      </x:c>
      <x:c r="Y810" t="str">
        <x:v>OK</x:v>
      </x:c>
      <x:c r="Z810" t="str">
        <x:v>OK</x:v>
      </x:c>
      <x:c r="AA810" t="n">
        <x:v>3</x:v>
      </x:c>
      <x:c r="AB810" t="n">
        <x:v>0</x:v>
      </x:c>
      <x:c r="AC810" t="str">
        <x:v>OK</x:v>
      </x:c>
      <x:c r="AD810" t="str">
        <x:v>OK</x:v>
      </x:c>
      <x:c r="AE810" t="str">
        <x:v>LOAD</x:v>
      </x:c>
      <x:c r="AF810" t="str">
        <x:v>02_Supervisor_Log(4).xlsx</x:v>
      </x:c>
      <x:c r="AG810" t="str">
        <x:v>ENH-20260830-01</x:v>
      </x:c>
      <x:c r="AH810" t="str">
        <x:v>Active</x:v>
      </x:c>
      <x:c r="AI810"/>
      <x:c r="AJ810"/>
      <x:c r="AK810"/>
      <x:c r="AL810"/>
    </x:row>
    <x:row r="811">
      <x:c r="A811" t="s">
        <x:v>1062</x:v>
      </x:c>
      <x:c r="B811" t="s">
        <x:v>162</x:v>
      </x:c>
      <x:c r="C811" t="s">
        <x:v>44</x:v>
      </x:c>
      <x:c r="D811">
        <x:v>45953</x:v>
      </x:c>
      <x:c r="E811" t="s">
        <x:v>45</x:v>
      </x:c>
      <x:c r="F811" t="s">
        <x:v>55</x:v>
      </x:c>
      <x:c r="G811">
        <x:v>25</x:v>
      </x:c>
      <x:c r="H811" t="s">
        <x:v>77</x:v>
      </x:c>
      <x:c r="I811">
        <x:v>1</x:v>
      </x:c>
      <x:c r="J811">
        <x:v>8</x:v>
      </x:c>
      <x:c r="K811">
        <x:v>3</x:v>
      </x:c>
      <x:c r="L811">
        <x:f t="shared" si="84"/>
        <x:v>1</x:v>
      </x:c>
      <x:c r="P811">
        <x:f t="shared" si="85"/>
        <x:v>1</x:v>
      </x:c>
      <x:c r="Q811">
        <x:f t="shared" si="86"/>
        <x:v>1</x:v>
      </x:c>
      <x:c r="R811">
        <x:f t="shared" si="87"/>
        <x:v>1</x:v>
      </x:c>
      <x:c r="S811">
        <x:f t="shared" si="88"/>
        <x:v>3</x:v>
      </x:c>
      <x:c r="T811" t="str">
        <x:f t="shared" si="89"/>
        <x:v>DerivedFromCount</x:v>
      </x:c>
      <x:c r="U811" t="str">
        <x:f>IF(COUNTIF(DailyProduction!$Q$5:$Q$100,B811)=1,"OK","CHECK")</x:f>
        <x:v>OK</x:v>
      </x:c>
      <x:c r="V811" t="str">
        <x:f t="shared" si="90"/>
        <x:v>OK</x:v>
      </x:c>
      <x:c r="W811" t="str">
        <x:f>IF(SUMIF($B$5:$B$914,B811,$S$5:$S$914)=SUMIF(DailyProduction!$Q$5:$Q$100,B811,DailyProduction!$R$5:$R$100),"OK","CHECK")</x:f>
        <x:v>OK</x:v>
      </x:c>
      <x:c r="X811" t="str">
        <x:v>PLC-PRD-JAR-330-L25</x:v>
      </x:c>
      <x:c r="Y811" t="str">
        <x:v>OK</x:v>
      </x:c>
      <x:c r="Z811" t="str">
        <x:v>OK</x:v>
      </x:c>
      <x:c r="AA811" t="n">
        <x:v>3</x:v>
      </x:c>
      <x:c r="AB811" t="n">
        <x:v>3</x:v>
      </x:c>
      <x:c r="AC811" t="str">
        <x:v>OK</x:v>
      </x:c>
      <x:c r="AD811" t="str">
        <x:v>OK</x:v>
      </x:c>
      <x:c r="AE811" t="str">
        <x:v>LOAD</x:v>
      </x:c>
      <x:c r="AF811" t="str">
        <x:v>02_Supervisor_Log(4).xlsx</x:v>
      </x:c>
      <x:c r="AG811" t="str">
        <x:v>ENH-20260830-01</x:v>
      </x:c>
      <x:c r="AH811" t="str">
        <x:v>Active</x:v>
      </x:c>
      <x:c r="AI811"/>
      <x:c r="AJ811"/>
      <x:c r="AK811"/>
      <x:c r="AL811"/>
    </x:row>
    <x:row r="812">
      <x:c r="A812" t="s">
        <x:v>1063</x:v>
      </x:c>
      <x:c r="B812" t="s">
        <x:v>162</x:v>
      </x:c>
      <x:c r="C812" t="s">
        <x:v>44</x:v>
      </x:c>
      <x:c r="D812">
        <x:v>45953</x:v>
      </x:c>
      <x:c r="E812" t="s">
        <x:v>45</x:v>
      </x:c>
      <x:c r="F812" t="s">
        <x:v>55</x:v>
      </x:c>
      <x:c r="G812">
        <x:v>25</x:v>
      </x:c>
      <x:c r="H812" t="s">
        <x:v>77</x:v>
      </x:c>
      <x:c r="I812">
        <x:v>2</x:v>
      </x:c>
      <x:c r="J812">
        <x:v>8</x:v>
      </x:c>
      <x:c r="K812">
        <x:v>3</x:v>
      </x:c>
      <x:c r="L812">
        <x:f t="shared" si="84"/>
        <x:v>1</x:v>
      </x:c>
      <x:c r="P812">
        <x:f t="shared" si="85"/>
        <x:v>1</x:v>
      </x:c>
      <x:c r="Q812">
        <x:f t="shared" si="86"/>
        <x:v>1</x:v>
      </x:c>
      <x:c r="R812">
        <x:f t="shared" si="87"/>
        <x:v>1</x:v>
      </x:c>
      <x:c r="S812">
        <x:f t="shared" si="88"/>
        <x:v>3</x:v>
      </x:c>
      <x:c r="T812" t="str">
        <x:f t="shared" si="89"/>
        <x:v>DerivedFromCount</x:v>
      </x:c>
      <x:c r="U812" t="str">
        <x:f>IF(COUNTIF(DailyProduction!$Q$5:$Q$100,B812)=1,"OK","CHECK")</x:f>
        <x:v>OK</x:v>
      </x:c>
      <x:c r="V812" t="str">
        <x:f t="shared" si="90"/>
        <x:v>OK</x:v>
      </x:c>
      <x:c r="W812" t="str">
        <x:f>IF(SUMIF($B$5:$B$914,B812,$S$5:$S$914)=SUMIF(DailyProduction!$Q$5:$Q$100,B812,DailyProduction!$R$5:$R$100),"OK","CHECK")</x:f>
        <x:v>OK</x:v>
      </x:c>
      <x:c r="X812" t="str">
        <x:v>PLC-PRD-JAR-330-L25</x:v>
      </x:c>
      <x:c r="Y812" t="str">
        <x:v>OK</x:v>
      </x:c>
      <x:c r="Z812" t="str">
        <x:v>OK</x:v>
      </x:c>
      <x:c r="AA812" t="n">
        <x:v>3</x:v>
      </x:c>
      <x:c r="AB812" t="n">
        <x:v>3</x:v>
      </x:c>
      <x:c r="AC812" t="str">
        <x:v>OK</x:v>
      </x:c>
      <x:c r="AD812" t="str">
        <x:v>OK</x:v>
      </x:c>
      <x:c r="AE812" t="str">
        <x:v>LOAD</x:v>
      </x:c>
      <x:c r="AF812" t="str">
        <x:v>02_Supervisor_Log(4).xlsx</x:v>
      </x:c>
      <x:c r="AG812" t="str">
        <x:v>ENH-20260830-01</x:v>
      </x:c>
      <x:c r="AH812" t="str">
        <x:v>Active</x:v>
      </x:c>
      <x:c r="AI812"/>
      <x:c r="AJ812"/>
      <x:c r="AK812"/>
      <x:c r="AL812"/>
    </x:row>
    <x:row r="813">
      <x:c r="A813" t="s">
        <x:v>1064</x:v>
      </x:c>
      <x:c r="B813" t="s">
        <x:v>162</x:v>
      </x:c>
      <x:c r="C813" t="s">
        <x:v>44</x:v>
      </x:c>
      <x:c r="D813">
        <x:v>45953</x:v>
      </x:c>
      <x:c r="E813" t="s">
        <x:v>45</x:v>
      </x:c>
      <x:c r="F813" t="s">
        <x:v>55</x:v>
      </x:c>
      <x:c r="G813">
        <x:v>25</x:v>
      </x:c>
      <x:c r="H813" t="s">
        <x:v>77</x:v>
      </x:c>
      <x:c r="I813">
        <x:v>3</x:v>
      </x:c>
      <x:c r="J813">
        <x:v>8</x:v>
      </x:c>
      <x:c r="K813">
        <x:v>3</x:v>
      </x:c>
      <x:c r="L813">
        <x:f t="shared" si="84"/>
        <x:v>1</x:v>
      </x:c>
      <x:c r="P813">
        <x:f t="shared" si="85"/>
        <x:v>1</x:v>
      </x:c>
      <x:c r="Q813">
        <x:f t="shared" si="86"/>
        <x:v>1</x:v>
      </x:c>
      <x:c r="R813">
        <x:f t="shared" si="87"/>
        <x:v>1</x:v>
      </x:c>
      <x:c r="S813">
        <x:f t="shared" si="88"/>
        <x:v>3</x:v>
      </x:c>
      <x:c r="T813" t="str">
        <x:f t="shared" si="89"/>
        <x:v>DerivedFromCount</x:v>
      </x:c>
      <x:c r="U813" t="str">
        <x:f>IF(COUNTIF(DailyProduction!$Q$5:$Q$100,B813)=1,"OK","CHECK")</x:f>
        <x:v>OK</x:v>
      </x:c>
      <x:c r="V813" t="str">
        <x:f t="shared" si="90"/>
        <x:v>OK</x:v>
      </x:c>
      <x:c r="W813" t="str">
        <x:f>IF(SUMIF($B$5:$B$914,B813,$S$5:$S$914)=SUMIF(DailyProduction!$Q$5:$Q$100,B813,DailyProduction!$R$5:$R$100),"OK","CHECK")</x:f>
        <x:v>OK</x:v>
      </x:c>
      <x:c r="X813" t="str">
        <x:v>PLC-PRD-JAR-330-L25</x:v>
      </x:c>
      <x:c r="Y813" t="str">
        <x:v>OK</x:v>
      </x:c>
      <x:c r="Z813" t="str">
        <x:v>OK</x:v>
      </x:c>
      <x:c r="AA813" t="n">
        <x:v>3</x:v>
      </x:c>
      <x:c r="AB813" t="n">
        <x:v>3</x:v>
      </x:c>
      <x:c r="AC813" t="str">
        <x:v>OK</x:v>
      </x:c>
      <x:c r="AD813" t="str">
        <x:v>OK</x:v>
      </x:c>
      <x:c r="AE813" t="str">
        <x:v>LOAD</x:v>
      </x:c>
      <x:c r="AF813" t="str">
        <x:v>02_Supervisor_Log(4).xlsx</x:v>
      </x:c>
      <x:c r="AG813" t="str">
        <x:v>ENH-20260830-01</x:v>
      </x:c>
      <x:c r="AH813" t="str">
        <x:v>Active</x:v>
      </x:c>
      <x:c r="AI813"/>
      <x:c r="AJ813"/>
      <x:c r="AK813"/>
      <x:c r="AL813"/>
    </x:row>
    <x:row r="814">
      <x:c r="A814" t="s">
        <x:v>1065</x:v>
      </x:c>
      <x:c r="B814" t="s">
        <x:v>162</x:v>
      </x:c>
      <x:c r="C814" t="s">
        <x:v>44</x:v>
      </x:c>
      <x:c r="D814">
        <x:v>45953</x:v>
      </x:c>
      <x:c r="E814" t="s">
        <x:v>45</x:v>
      </x:c>
      <x:c r="F814" t="s">
        <x:v>55</x:v>
      </x:c>
      <x:c r="G814">
        <x:v>25</x:v>
      </x:c>
      <x:c r="H814" t="s">
        <x:v>77</x:v>
      </x:c>
      <x:c r="I814">
        <x:v>4</x:v>
      </x:c>
      <x:c r="J814">
        <x:v>8</x:v>
      </x:c>
      <x:c r="K814">
        <x:v>3</x:v>
      </x:c>
      <x:c r="L814">
        <x:f t="shared" si="84"/>
        <x:v>1</x:v>
      </x:c>
      <x:c r="P814">
        <x:f t="shared" si="85"/>
        <x:v>1</x:v>
      </x:c>
      <x:c r="Q814">
        <x:f t="shared" si="86"/>
        <x:v>1</x:v>
      </x:c>
      <x:c r="R814">
        <x:f t="shared" si="87"/>
        <x:v>1</x:v>
      </x:c>
      <x:c r="S814">
        <x:f t="shared" si="88"/>
        <x:v>3</x:v>
      </x:c>
      <x:c r="T814" t="str">
        <x:f t="shared" si="89"/>
        <x:v>DerivedFromCount</x:v>
      </x:c>
      <x:c r="U814" t="str">
        <x:f>IF(COUNTIF(DailyProduction!$Q$5:$Q$100,B814)=1,"OK","CHECK")</x:f>
        <x:v>OK</x:v>
      </x:c>
      <x:c r="V814" t="str">
        <x:f t="shared" si="90"/>
        <x:v>OK</x:v>
      </x:c>
      <x:c r="W814" t="str">
        <x:f>IF(SUMIF($B$5:$B$914,B814,$S$5:$S$914)=SUMIF(DailyProduction!$Q$5:$Q$100,B814,DailyProduction!$R$5:$R$100),"OK","CHECK")</x:f>
        <x:v>OK</x:v>
      </x:c>
      <x:c r="X814" t="str">
        <x:v>PLC-PRD-JAR-330-L25</x:v>
      </x:c>
      <x:c r="Y814" t="str">
        <x:v>OK</x:v>
      </x:c>
      <x:c r="Z814" t="str">
        <x:v>OK</x:v>
      </x:c>
      <x:c r="AA814" t="n">
        <x:v>3</x:v>
      </x:c>
      <x:c r="AB814" t="n">
        <x:v>3</x:v>
      </x:c>
      <x:c r="AC814" t="str">
        <x:v>OK</x:v>
      </x:c>
      <x:c r="AD814" t="str">
        <x:v>OK</x:v>
      </x:c>
      <x:c r="AE814" t="str">
        <x:v>LOAD</x:v>
      </x:c>
      <x:c r="AF814" t="str">
        <x:v>02_Supervisor_Log(4).xlsx</x:v>
      </x:c>
      <x:c r="AG814" t="str">
        <x:v>ENH-20260830-01</x:v>
      </x:c>
      <x:c r="AH814" t="str">
        <x:v>Active</x:v>
      </x:c>
      <x:c r="AI814"/>
      <x:c r="AJ814"/>
      <x:c r="AK814"/>
      <x:c r="AL814"/>
    </x:row>
    <x:row r="815">
      <x:c r="A815" t="s">
        <x:v>1066</x:v>
      </x:c>
      <x:c r="B815" t="s">
        <x:v>162</x:v>
      </x:c>
      <x:c r="C815" t="s">
        <x:v>44</x:v>
      </x:c>
      <x:c r="D815">
        <x:v>45953</x:v>
      </x:c>
      <x:c r="E815" t="s">
        <x:v>45</x:v>
      </x:c>
      <x:c r="F815" t="s">
        <x:v>55</x:v>
      </x:c>
      <x:c r="G815">
        <x:v>25</x:v>
      </x:c>
      <x:c r="H815" t="s">
        <x:v>77</x:v>
      </x:c>
      <x:c r="I815">
        <x:v>5</x:v>
      </x:c>
      <x:c r="J815">
        <x:v>8</x:v>
      </x:c>
      <x:c r="K815">
        <x:v>3</x:v>
      </x:c>
      <x:c r="L815">
        <x:f t="shared" si="84"/>
        <x:v>1</x:v>
      </x:c>
      <x:c r="P815">
        <x:f t="shared" si="85"/>
        <x:v>1</x:v>
      </x:c>
      <x:c r="Q815">
        <x:f t="shared" si="86"/>
        <x:v>1</x:v>
      </x:c>
      <x:c r="R815">
        <x:f t="shared" si="87"/>
        <x:v>1</x:v>
      </x:c>
      <x:c r="S815">
        <x:f t="shared" si="88"/>
        <x:v>3</x:v>
      </x:c>
      <x:c r="T815" t="str">
        <x:f t="shared" si="89"/>
        <x:v>DerivedFromCount</x:v>
      </x:c>
      <x:c r="U815" t="str">
        <x:f>IF(COUNTIF(DailyProduction!$Q$5:$Q$100,B815)=1,"OK","CHECK")</x:f>
        <x:v>OK</x:v>
      </x:c>
      <x:c r="V815" t="str">
        <x:f t="shared" si="90"/>
        <x:v>OK</x:v>
      </x:c>
      <x:c r="W815" t="str">
        <x:f>IF(SUMIF($B$5:$B$914,B815,$S$5:$S$914)=SUMIF(DailyProduction!$Q$5:$Q$100,B815,DailyProduction!$R$5:$R$100),"OK","CHECK")</x:f>
        <x:v>OK</x:v>
      </x:c>
      <x:c r="X815" t="str">
        <x:v>PLC-PRD-JAR-330-L25</x:v>
      </x:c>
      <x:c r="Y815" t="str">
        <x:v>OK</x:v>
      </x:c>
      <x:c r="Z815" t="str">
        <x:v>OK</x:v>
      </x:c>
      <x:c r="AA815" t="n">
        <x:v>3</x:v>
      </x:c>
      <x:c r="AB815" t="n">
        <x:v>3</x:v>
      </x:c>
      <x:c r="AC815" t="str">
        <x:v>OK</x:v>
      </x:c>
      <x:c r="AD815" t="str">
        <x:v>OK</x:v>
      </x:c>
      <x:c r="AE815" t="str">
        <x:v>LOAD</x:v>
      </x:c>
      <x:c r="AF815" t="str">
        <x:v>02_Supervisor_Log(4).xlsx</x:v>
      </x:c>
      <x:c r="AG815" t="str">
        <x:v>ENH-20260830-01</x:v>
      </x:c>
      <x:c r="AH815" t="str">
        <x:v>Active</x:v>
      </x:c>
      <x:c r="AI815"/>
      <x:c r="AJ815"/>
      <x:c r="AK815"/>
      <x:c r="AL815"/>
    </x:row>
    <x:row r="816">
      <x:c r="A816" t="s">
        <x:v>1067</x:v>
      </x:c>
      <x:c r="B816" t="s">
        <x:v>162</x:v>
      </x:c>
      <x:c r="C816" t="s">
        <x:v>44</x:v>
      </x:c>
      <x:c r="D816">
        <x:v>45953</x:v>
      </x:c>
      <x:c r="E816" t="s">
        <x:v>45</x:v>
      </x:c>
      <x:c r="F816" t="s">
        <x:v>55</x:v>
      </x:c>
      <x:c r="G816">
        <x:v>25</x:v>
      </x:c>
      <x:c r="H816" t="s">
        <x:v>77</x:v>
      </x:c>
      <x:c r="I816">
        <x:v>6</x:v>
      </x:c>
      <x:c r="J816">
        <x:v>8</x:v>
      </x:c>
      <x:c r="K816">
        <x:v>3</x:v>
      </x:c>
      <x:c r="L816">
        <x:f t="shared" si="84"/>
        <x:v>1</x:v>
      </x:c>
      <x:c r="P816">
        <x:f t="shared" si="85"/>
        <x:v>1</x:v>
      </x:c>
      <x:c r="Q816">
        <x:f t="shared" si="86"/>
        <x:v>1</x:v>
      </x:c>
      <x:c r="R816">
        <x:f t="shared" si="87"/>
        <x:v>1</x:v>
      </x:c>
      <x:c r="S816">
        <x:f t="shared" si="88"/>
        <x:v>3</x:v>
      </x:c>
      <x:c r="T816" t="str">
        <x:f t="shared" si="89"/>
        <x:v>DerivedFromCount</x:v>
      </x:c>
      <x:c r="U816" t="str">
        <x:f>IF(COUNTIF(DailyProduction!$Q$5:$Q$100,B816)=1,"OK","CHECK")</x:f>
        <x:v>OK</x:v>
      </x:c>
      <x:c r="V816" t="str">
        <x:f t="shared" si="90"/>
        <x:v>OK</x:v>
      </x:c>
      <x:c r="W816" t="str">
        <x:f>IF(SUMIF($B$5:$B$914,B816,$S$5:$S$914)=SUMIF(DailyProduction!$Q$5:$Q$100,B816,DailyProduction!$R$5:$R$100),"OK","CHECK")</x:f>
        <x:v>OK</x:v>
      </x:c>
      <x:c r="X816" t="str">
        <x:v>PLC-PRD-JAR-330-L25</x:v>
      </x:c>
      <x:c r="Y816" t="str">
        <x:v>OK</x:v>
      </x:c>
      <x:c r="Z816" t="str">
        <x:v>OK</x:v>
      </x:c>
      <x:c r="AA816" t="n">
        <x:v>3</x:v>
      </x:c>
      <x:c r="AB816" t="n">
        <x:v>3</x:v>
      </x:c>
      <x:c r="AC816" t="str">
        <x:v>OK</x:v>
      </x:c>
      <x:c r="AD816" t="str">
        <x:v>OK</x:v>
      </x:c>
      <x:c r="AE816" t="str">
        <x:v>LOAD</x:v>
      </x:c>
      <x:c r="AF816" t="str">
        <x:v>02_Supervisor_Log(4).xlsx</x:v>
      </x:c>
      <x:c r="AG816" t="str">
        <x:v>ENH-20260830-01</x:v>
      </x:c>
      <x:c r="AH816" t="str">
        <x:v>Active</x:v>
      </x:c>
      <x:c r="AI816"/>
      <x:c r="AJ816"/>
      <x:c r="AK816"/>
      <x:c r="AL816"/>
    </x:row>
    <x:row r="817">
      <x:c r="A817" t="s">
        <x:v>1068</x:v>
      </x:c>
      <x:c r="B817" t="s">
        <x:v>162</x:v>
      </x:c>
      <x:c r="C817" t="s">
        <x:v>44</x:v>
      </x:c>
      <x:c r="D817">
        <x:v>45953</x:v>
      </x:c>
      <x:c r="E817" t="s">
        <x:v>45</x:v>
      </x:c>
      <x:c r="F817" t="s">
        <x:v>55</x:v>
      </x:c>
      <x:c r="G817">
        <x:v>25</x:v>
      </x:c>
      <x:c r="H817" t="s">
        <x:v>77</x:v>
      </x:c>
      <x:c r="I817">
        <x:v>7</x:v>
      </x:c>
      <x:c r="J817">
        <x:v>8</x:v>
      </x:c>
      <x:c r="K817">
        <x:v>3</x:v>
      </x:c>
      <x:c r="L817">
        <x:f t="shared" si="84"/>
        <x:v>1</x:v>
      </x:c>
      <x:c r="P817">
        <x:f t="shared" si="85"/>
        <x:v>1</x:v>
      </x:c>
      <x:c r="Q817">
        <x:f t="shared" si="86"/>
        <x:v>1</x:v>
      </x:c>
      <x:c r="R817">
        <x:f t="shared" si="87"/>
        <x:v>1</x:v>
      </x:c>
      <x:c r="S817">
        <x:f t="shared" si="88"/>
        <x:v>3</x:v>
      </x:c>
      <x:c r="T817" t="str">
        <x:f t="shared" si="89"/>
        <x:v>DerivedFromCount</x:v>
      </x:c>
      <x:c r="U817" t="str">
        <x:f>IF(COUNTIF(DailyProduction!$Q$5:$Q$100,B817)=1,"OK","CHECK")</x:f>
        <x:v>OK</x:v>
      </x:c>
      <x:c r="V817" t="str">
        <x:f t="shared" si="90"/>
        <x:v>OK</x:v>
      </x:c>
      <x:c r="W817" t="str">
        <x:f>IF(SUMIF($B$5:$B$914,B817,$S$5:$S$914)=SUMIF(DailyProduction!$Q$5:$Q$100,B817,DailyProduction!$R$5:$R$100),"OK","CHECK")</x:f>
        <x:v>OK</x:v>
      </x:c>
      <x:c r="X817" t="str">
        <x:v>PLC-PRD-JAR-330-L25</x:v>
      </x:c>
      <x:c r="Y817" t="str">
        <x:v>OK</x:v>
      </x:c>
      <x:c r="Z817" t="str">
        <x:v>OK</x:v>
      </x:c>
      <x:c r="AA817" t="n">
        <x:v>3</x:v>
      </x:c>
      <x:c r="AB817" t="n">
        <x:v>3</x:v>
      </x:c>
      <x:c r="AC817" t="str">
        <x:v>OK</x:v>
      </x:c>
      <x:c r="AD817" t="str">
        <x:v>OK</x:v>
      </x:c>
      <x:c r="AE817" t="str">
        <x:v>LOAD</x:v>
      </x:c>
      <x:c r="AF817" t="str">
        <x:v>02_Supervisor_Log(4).xlsx</x:v>
      </x:c>
      <x:c r="AG817" t="str">
        <x:v>ENH-20260830-01</x:v>
      </x:c>
      <x:c r="AH817" t="str">
        <x:v>Active</x:v>
      </x:c>
      <x:c r="AI817"/>
      <x:c r="AJ817"/>
      <x:c r="AK817"/>
      <x:c r="AL817"/>
    </x:row>
    <x:row r="818">
      <x:c r="A818" t="s">
        <x:v>1069</x:v>
      </x:c>
      <x:c r="B818" t="s">
        <x:v>162</x:v>
      </x:c>
      <x:c r="C818" t="s">
        <x:v>44</x:v>
      </x:c>
      <x:c r="D818">
        <x:v>45953</x:v>
      </x:c>
      <x:c r="E818" t="s">
        <x:v>45</x:v>
      </x:c>
      <x:c r="F818" t="s">
        <x:v>55</x:v>
      </x:c>
      <x:c r="G818">
        <x:v>25</x:v>
      </x:c>
      <x:c r="H818" t="s">
        <x:v>77</x:v>
      </x:c>
      <x:c r="I818">
        <x:v>8</x:v>
      </x:c>
      <x:c r="J818">
        <x:v>8</x:v>
      </x:c>
      <x:c r="K818">
        <x:v>3</x:v>
      </x:c>
      <x:c r="L818">
        <x:f t="shared" si="84"/>
        <x:v>1</x:v>
      </x:c>
      <x:c r="P818">
        <x:f t="shared" si="85"/>
        <x:v>1</x:v>
      </x:c>
      <x:c r="Q818">
        <x:f t="shared" si="86"/>
        <x:v>1</x:v>
      </x:c>
      <x:c r="R818">
        <x:f t="shared" si="87"/>
        <x:v>1</x:v>
      </x:c>
      <x:c r="S818">
        <x:f t="shared" si="88"/>
        <x:v>3</x:v>
      </x:c>
      <x:c r="T818" t="str">
        <x:f t="shared" si="89"/>
        <x:v>DerivedFromCount</x:v>
      </x:c>
      <x:c r="U818" t="str">
        <x:f>IF(COUNTIF(DailyProduction!$Q$5:$Q$100,B818)=1,"OK","CHECK")</x:f>
        <x:v>OK</x:v>
      </x:c>
      <x:c r="V818" t="str">
        <x:f t="shared" si="90"/>
        <x:v>OK</x:v>
      </x:c>
      <x:c r="W818" t="str">
        <x:f>IF(SUMIF($B$5:$B$914,B818,$S$5:$S$914)=SUMIF(DailyProduction!$Q$5:$Q$100,B818,DailyProduction!$R$5:$R$100),"OK","CHECK")</x:f>
        <x:v>OK</x:v>
      </x:c>
      <x:c r="X818" t="str">
        <x:v>PLC-PRD-JAR-330-L25</x:v>
      </x:c>
      <x:c r="Y818" t="str">
        <x:v>OK</x:v>
      </x:c>
      <x:c r="Z818" t="str">
        <x:v>OK</x:v>
      </x:c>
      <x:c r="AA818" t="n">
        <x:v>3</x:v>
      </x:c>
      <x:c r="AB818" t="n">
        <x:v>3</x:v>
      </x:c>
      <x:c r="AC818" t="str">
        <x:v>OK</x:v>
      </x:c>
      <x:c r="AD818" t="str">
        <x:v>OK</x:v>
      </x:c>
      <x:c r="AE818" t="str">
        <x:v>LOAD</x:v>
      </x:c>
      <x:c r="AF818" t="str">
        <x:v>02_Supervisor_Log(4).xlsx</x:v>
      </x:c>
      <x:c r="AG818" t="str">
        <x:v>ENH-20260830-01</x:v>
      </x:c>
      <x:c r="AH818" t="str">
        <x:v>Active</x:v>
      </x:c>
      <x:c r="AI818"/>
      <x:c r="AJ818"/>
      <x:c r="AK818"/>
      <x:c r="AL818"/>
    </x:row>
    <x:row r="819">
      <x:c r="A819" t="s">
        <x:v>1070</x:v>
      </x:c>
      <x:c r="B819" t="s">
        <x:v>162</x:v>
      </x:c>
      <x:c r="C819" t="s">
        <x:v>44</x:v>
      </x:c>
      <x:c r="D819">
        <x:v>45953</x:v>
      </x:c>
      <x:c r="E819" t="s">
        <x:v>45</x:v>
      </x:c>
      <x:c r="F819" t="s">
        <x:v>55</x:v>
      </x:c>
      <x:c r="G819">
        <x:v>25</x:v>
      </x:c>
      <x:c r="H819" t="s">
        <x:v>77</x:v>
      </x:c>
      <x:c r="I819">
        <x:v>9</x:v>
      </x:c>
      <x:c r="J819">
        <x:v>8</x:v>
      </x:c>
      <x:c r="K819">
        <x:v>3</x:v>
      </x:c>
      <x:c r="L819">
        <x:f t="shared" si="84"/>
        <x:v>0</x:v>
      </x:c>
      <x:c r="P819">
        <x:f t="shared" si="85"/>
        <x:v>0</x:v>
      </x:c>
      <x:c r="Q819">
        <x:f t="shared" si="86"/>
        <x:v>0</x:v>
      </x:c>
      <x:c r="R819">
        <x:f t="shared" si="87"/>
        <x:v>0</x:v>
      </x:c>
      <x:c r="S819">
        <x:f t="shared" si="88"/>
        <x:v>0</x:v>
      </x:c>
      <x:c r="T819" t="str">
        <x:f t="shared" si="89"/>
        <x:v>DerivedFromCount</x:v>
      </x:c>
      <x:c r="U819" t="str">
        <x:f>IF(COUNTIF(DailyProduction!$Q$5:$Q$100,B819)=1,"OK","CHECK")</x:f>
        <x:v>OK</x:v>
      </x:c>
      <x:c r="V819" t="str">
        <x:f t="shared" si="90"/>
        <x:v>OK</x:v>
      </x:c>
      <x:c r="W819" t="str">
        <x:f>IF(SUMIF($B$5:$B$914,B819,$S$5:$S$914)=SUMIF(DailyProduction!$Q$5:$Q$100,B819,DailyProduction!$R$5:$R$100),"OK","CHECK")</x:f>
        <x:v>OK</x:v>
      </x:c>
      <x:c r="X819" t="str">
        <x:v>PLC-PRD-JAR-330-L25</x:v>
      </x:c>
      <x:c r="Y819" t="str">
        <x:v>OK</x:v>
      </x:c>
      <x:c r="Z819" t="str">
        <x:v>OK</x:v>
      </x:c>
      <x:c r="AA819" t="n">
        <x:v>3</x:v>
      </x:c>
      <x:c r="AB819" t="n">
        <x:v>0</x:v>
      </x:c>
      <x:c r="AC819" t="str">
        <x:v>OK</x:v>
      </x:c>
      <x:c r="AD819" t="str">
        <x:v>OK</x:v>
      </x:c>
      <x:c r="AE819" t="str">
        <x:v>LOAD</x:v>
      </x:c>
      <x:c r="AF819" t="str">
        <x:v>02_Supervisor_Log(4).xlsx</x:v>
      </x:c>
      <x:c r="AG819" t="str">
        <x:v>ENH-20260830-01</x:v>
      </x:c>
      <x:c r="AH819" t="str">
        <x:v>Active</x:v>
      </x:c>
      <x:c r="AI819"/>
      <x:c r="AJ819"/>
      <x:c r="AK819"/>
      <x:c r="AL819"/>
    </x:row>
    <x:row r="820">
      <x:c r="A820" t="s">
        <x:v>1071</x:v>
      </x:c>
      <x:c r="B820" t="s">
        <x:v>162</x:v>
      </x:c>
      <x:c r="C820" t="s">
        <x:v>44</x:v>
      </x:c>
      <x:c r="D820">
        <x:v>45953</x:v>
      </x:c>
      <x:c r="E820" t="s">
        <x:v>45</x:v>
      </x:c>
      <x:c r="F820" t="s">
        <x:v>55</x:v>
      </x:c>
      <x:c r="G820">
        <x:v>25</x:v>
      </x:c>
      <x:c r="H820" t="s">
        <x:v>77</x:v>
      </x:c>
      <x:c r="I820">
        <x:v>10</x:v>
      </x:c>
      <x:c r="J820">
        <x:v>8</x:v>
      </x:c>
      <x:c r="K820">
        <x:v>3</x:v>
      </x:c>
      <x:c r="L820">
        <x:f t="shared" si="84"/>
        <x:v>0</x:v>
      </x:c>
      <x:c r="P820">
        <x:f t="shared" si="85"/>
        <x:v>0</x:v>
      </x:c>
      <x:c r="Q820">
        <x:f t="shared" si="86"/>
        <x:v>0</x:v>
      </x:c>
      <x:c r="R820">
        <x:f t="shared" si="87"/>
        <x:v>0</x:v>
      </x:c>
      <x:c r="S820">
        <x:f t="shared" si="88"/>
        <x:v>0</x:v>
      </x:c>
      <x:c r="T820" t="str">
        <x:f t="shared" si="89"/>
        <x:v>DerivedFromCount</x:v>
      </x:c>
      <x:c r="U820" t="str">
        <x:f>IF(COUNTIF(DailyProduction!$Q$5:$Q$100,B820)=1,"OK","CHECK")</x:f>
        <x:v>OK</x:v>
      </x:c>
      <x:c r="V820" t="str">
        <x:f t="shared" si="90"/>
        <x:v>OK</x:v>
      </x:c>
      <x:c r="W820" t="str">
        <x:f>IF(SUMIF($B$5:$B$914,B820,$S$5:$S$914)=SUMIF(DailyProduction!$Q$5:$Q$100,B820,DailyProduction!$R$5:$R$100),"OK","CHECK")</x:f>
        <x:v>OK</x:v>
      </x:c>
      <x:c r="X820" t="str">
        <x:v>PLC-PRD-JAR-330-L25</x:v>
      </x:c>
      <x:c r="Y820" t="str">
        <x:v>OK</x:v>
      </x:c>
      <x:c r="Z820" t="str">
        <x:v>OK</x:v>
      </x:c>
      <x:c r="AA820" t="n">
        <x:v>3</x:v>
      </x:c>
      <x:c r="AB820" t="n">
        <x:v>0</x:v>
      </x:c>
      <x:c r="AC820" t="str">
        <x:v>OK</x:v>
      </x:c>
      <x:c r="AD820" t="str">
        <x:v>OK</x:v>
      </x:c>
      <x:c r="AE820" t="str">
        <x:v>LOAD</x:v>
      </x:c>
      <x:c r="AF820" t="str">
        <x:v>02_Supervisor_Log(4).xlsx</x:v>
      </x:c>
      <x:c r="AG820" t="str">
        <x:v>ENH-20260830-01</x:v>
      </x:c>
      <x:c r="AH820" t="str">
        <x:v>Active</x:v>
      </x:c>
      <x:c r="AI820"/>
      <x:c r="AJ820"/>
      <x:c r="AK820"/>
      <x:c r="AL820"/>
    </x:row>
    <x:row r="821">
      <x:c r="A821" t="s">
        <x:v>1072</x:v>
      </x:c>
      <x:c r="B821" t="s">
        <x:v>162</x:v>
      </x:c>
      <x:c r="C821" t="s">
        <x:v>44</x:v>
      </x:c>
      <x:c r="D821">
        <x:v>45953</x:v>
      </x:c>
      <x:c r="E821" t="s">
        <x:v>45</x:v>
      </x:c>
      <x:c r="F821" t="s">
        <x:v>55</x:v>
      </x:c>
      <x:c r="G821">
        <x:v>25</x:v>
      </x:c>
      <x:c r="H821" t="s">
        <x:v>77</x:v>
      </x:c>
      <x:c r="I821">
        <x:v>11</x:v>
      </x:c>
      <x:c r="J821">
        <x:v>8</x:v>
      </x:c>
      <x:c r="K821">
        <x:v>3</x:v>
      </x:c>
      <x:c r="L821">
        <x:f t="shared" si="84"/>
        <x:v>0</x:v>
      </x:c>
      <x:c r="P821">
        <x:f t="shared" si="85"/>
        <x:v>0</x:v>
      </x:c>
      <x:c r="Q821">
        <x:f t="shared" si="86"/>
        <x:v>0</x:v>
      </x:c>
      <x:c r="R821">
        <x:f t="shared" si="87"/>
        <x:v>0</x:v>
      </x:c>
      <x:c r="S821">
        <x:f t="shared" si="88"/>
        <x:v>0</x:v>
      </x:c>
      <x:c r="T821" t="str">
        <x:f t="shared" si="89"/>
        <x:v>DerivedFromCount</x:v>
      </x:c>
      <x:c r="U821" t="str">
        <x:f>IF(COUNTIF(DailyProduction!$Q$5:$Q$100,B821)=1,"OK","CHECK")</x:f>
        <x:v>OK</x:v>
      </x:c>
      <x:c r="V821" t="str">
        <x:f t="shared" si="90"/>
        <x:v>OK</x:v>
      </x:c>
      <x:c r="W821" t="str">
        <x:f>IF(SUMIF($B$5:$B$914,B821,$S$5:$S$914)=SUMIF(DailyProduction!$Q$5:$Q$100,B821,DailyProduction!$R$5:$R$100),"OK","CHECK")</x:f>
        <x:v>OK</x:v>
      </x:c>
      <x:c r="X821" t="str">
        <x:v>PLC-PRD-JAR-330-L25</x:v>
      </x:c>
      <x:c r="Y821" t="str">
        <x:v>OK</x:v>
      </x:c>
      <x:c r="Z821" t="str">
        <x:v>OK</x:v>
      </x:c>
      <x:c r="AA821" t="n">
        <x:v>3</x:v>
      </x:c>
      <x:c r="AB821" t="n">
        <x:v>0</x:v>
      </x:c>
      <x:c r="AC821" t="str">
        <x:v>OK</x:v>
      </x:c>
      <x:c r="AD821" t="str">
        <x:v>OK</x:v>
      </x:c>
      <x:c r="AE821" t="str">
        <x:v>LOAD</x:v>
      </x:c>
      <x:c r="AF821" t="str">
        <x:v>02_Supervisor_Log(4).xlsx</x:v>
      </x:c>
      <x:c r="AG821" t="str">
        <x:v>ENH-20260830-01</x:v>
      </x:c>
      <x:c r="AH821" t="str">
        <x:v>Active</x:v>
      </x:c>
      <x:c r="AI821"/>
      <x:c r="AJ821"/>
      <x:c r="AK821"/>
      <x:c r="AL821"/>
    </x:row>
    <x:row r="822">
      <x:c r="A822" t="s">
        <x:v>1073</x:v>
      </x:c>
      <x:c r="B822" t="s">
        <x:v>162</x:v>
      </x:c>
      <x:c r="C822" t="s">
        <x:v>44</x:v>
      </x:c>
      <x:c r="D822">
        <x:v>45953</x:v>
      </x:c>
      <x:c r="E822" t="s">
        <x:v>45</x:v>
      </x:c>
      <x:c r="F822" t="s">
        <x:v>55</x:v>
      </x:c>
      <x:c r="G822">
        <x:v>25</x:v>
      </x:c>
      <x:c r="H822" t="s">
        <x:v>77</x:v>
      </x:c>
      <x:c r="I822">
        <x:v>12</x:v>
      </x:c>
      <x:c r="J822">
        <x:v>8</x:v>
      </x:c>
      <x:c r="K822">
        <x:v>3</x:v>
      </x:c>
      <x:c r="L822">
        <x:f t="shared" si="84"/>
        <x:v>0</x:v>
      </x:c>
      <x:c r="P822">
        <x:f t="shared" si="85"/>
        <x:v>0</x:v>
      </x:c>
      <x:c r="Q822">
        <x:f t="shared" si="86"/>
        <x:v>0</x:v>
      </x:c>
      <x:c r="R822">
        <x:f t="shared" si="87"/>
        <x:v>0</x:v>
      </x:c>
      <x:c r="S822">
        <x:f t="shared" si="88"/>
        <x:v>0</x:v>
      </x:c>
      <x:c r="T822" t="str">
        <x:f t="shared" si="89"/>
        <x:v>DerivedFromCount</x:v>
      </x:c>
      <x:c r="U822" t="str">
        <x:f>IF(COUNTIF(DailyProduction!$Q$5:$Q$100,B822)=1,"OK","CHECK")</x:f>
        <x:v>OK</x:v>
      </x:c>
      <x:c r="V822" t="str">
        <x:f t="shared" si="90"/>
        <x:v>OK</x:v>
      </x:c>
      <x:c r="W822" t="str">
        <x:f>IF(SUMIF($B$5:$B$914,B822,$S$5:$S$914)=SUMIF(DailyProduction!$Q$5:$Q$100,B822,DailyProduction!$R$5:$R$100),"OK","CHECK")</x:f>
        <x:v>OK</x:v>
      </x:c>
      <x:c r="X822" t="str">
        <x:v>PLC-PRD-JAR-330-L25</x:v>
      </x:c>
      <x:c r="Y822" t="str">
        <x:v>OK</x:v>
      </x:c>
      <x:c r="Z822" t="str">
        <x:v>OK</x:v>
      </x:c>
      <x:c r="AA822" t="n">
        <x:v>3</x:v>
      </x:c>
      <x:c r="AB822" t="n">
        <x:v>0</x:v>
      </x:c>
      <x:c r="AC822" t="str">
        <x:v>OK</x:v>
      </x:c>
      <x:c r="AD822" t="str">
        <x:v>OK</x:v>
      </x:c>
      <x:c r="AE822" t="str">
        <x:v>LOAD</x:v>
      </x:c>
      <x:c r="AF822" t="str">
        <x:v>02_Supervisor_Log(4).xlsx</x:v>
      </x:c>
      <x:c r="AG822" t="str">
        <x:v>ENH-20260830-01</x:v>
      </x:c>
      <x:c r="AH822" t="str">
        <x:v>Active</x:v>
      </x:c>
      <x:c r="AI822"/>
      <x:c r="AJ822"/>
      <x:c r="AK822"/>
      <x:c r="AL822"/>
    </x:row>
    <x:row r="823">
      <x:c r="A823" t="s">
        <x:v>1074</x:v>
      </x:c>
      <x:c r="B823" t="s">
        <x:v>162</x:v>
      </x:c>
      <x:c r="C823" t="s">
        <x:v>44</x:v>
      </x:c>
      <x:c r="D823">
        <x:v>45953</x:v>
      </x:c>
      <x:c r="E823" t="s">
        <x:v>45</x:v>
      </x:c>
      <x:c r="F823" t="s">
        <x:v>55</x:v>
      </x:c>
      <x:c r="G823">
        <x:v>25</x:v>
      </x:c>
      <x:c r="H823" t="s">
        <x:v>77</x:v>
      </x:c>
      <x:c r="I823">
        <x:v>13</x:v>
      </x:c>
      <x:c r="J823">
        <x:v>8</x:v>
      </x:c>
      <x:c r="K823">
        <x:v>3</x:v>
      </x:c>
      <x:c r="L823">
        <x:f t="shared" si="84"/>
        <x:v>0</x:v>
      </x:c>
      <x:c r="P823">
        <x:f t="shared" si="85"/>
        <x:v>0</x:v>
      </x:c>
      <x:c r="Q823">
        <x:f t="shared" si="86"/>
        <x:v>0</x:v>
      </x:c>
      <x:c r="R823">
        <x:f t="shared" si="87"/>
        <x:v>0</x:v>
      </x:c>
      <x:c r="S823">
        <x:f t="shared" si="88"/>
        <x:v>0</x:v>
      </x:c>
      <x:c r="T823" t="str">
        <x:f t="shared" si="89"/>
        <x:v>DerivedFromCount</x:v>
      </x:c>
      <x:c r="U823" t="str">
        <x:f>IF(COUNTIF(DailyProduction!$Q$5:$Q$100,B823)=1,"OK","CHECK")</x:f>
        <x:v>OK</x:v>
      </x:c>
      <x:c r="V823" t="str">
        <x:f t="shared" si="90"/>
        <x:v>OK</x:v>
      </x:c>
      <x:c r="W823" t="str">
        <x:f>IF(SUMIF($B$5:$B$914,B823,$S$5:$S$914)=SUMIF(DailyProduction!$Q$5:$Q$100,B823,DailyProduction!$R$5:$R$100),"OK","CHECK")</x:f>
        <x:v>OK</x:v>
      </x:c>
      <x:c r="X823" t="str">
        <x:v>PLC-PRD-JAR-330-L25</x:v>
      </x:c>
      <x:c r="Y823" t="str">
        <x:v>OK</x:v>
      </x:c>
      <x:c r="Z823" t="str">
        <x:v>OK</x:v>
      </x:c>
      <x:c r="AA823" t="n">
        <x:v>3</x:v>
      </x:c>
      <x:c r="AB823" t="n">
        <x:v>0</x:v>
      </x:c>
      <x:c r="AC823" t="str">
        <x:v>OK</x:v>
      </x:c>
      <x:c r="AD823" t="str">
        <x:v>OK</x:v>
      </x:c>
      <x:c r="AE823" t="str">
        <x:v>LOAD</x:v>
      </x:c>
      <x:c r="AF823" t="str">
        <x:v>02_Supervisor_Log(4).xlsx</x:v>
      </x:c>
      <x:c r="AG823" t="str">
        <x:v>ENH-20260830-01</x:v>
      </x:c>
      <x:c r="AH823" t="str">
        <x:v>Active</x:v>
      </x:c>
      <x:c r="AI823"/>
      <x:c r="AJ823"/>
      <x:c r="AK823"/>
      <x:c r="AL823"/>
    </x:row>
    <x:row r="824">
      <x:c r="A824" t="s">
        <x:v>1075</x:v>
      </x:c>
      <x:c r="B824" t="s">
        <x:v>1076</x:v>
      </x:c>
      <x:c r="C824" t="s">
        <x:v>44</x:v>
      </x:c>
      <x:c r="D824">
        <x:v>45953</x:v>
      </x:c>
      <x:c r="E824" t="s">
        <x:v>187</x:v>
      </x:c>
      <x:c r="F824" t="s">
        <x:v>46</x:v>
      </x:c>
      <x:c r="G824">
        <x:v>25</x:v>
      </x:c>
      <x:c r="H824" t="s">
        <x:v>77</x:v>
      </x:c>
      <x:c r="I824">
        <x:v>1</x:v>
      </x:c>
      <x:c r="J824">
        <x:v>8</x:v>
      </x:c>
      <x:c r="K824">
        <x:v>3</x:v>
      </x:c>
      <x:c r="L824">
        <x:f t="shared" si="84"/>
        <x:v>1</x:v>
      </x:c>
      <x:c r="P824">
        <x:f t="shared" si="85"/>
        <x:v>1</x:v>
      </x:c>
      <x:c r="Q824">
        <x:f t="shared" si="86"/>
        <x:v>1</x:v>
      </x:c>
      <x:c r="R824">
        <x:f t="shared" si="87"/>
        <x:v>1</x:v>
      </x:c>
      <x:c r="S824">
        <x:f t="shared" si="88"/>
        <x:v>3</x:v>
      </x:c>
      <x:c r="T824" t="str">
        <x:f t="shared" si="89"/>
        <x:v>DerivedFromCount</x:v>
      </x:c>
      <x:c r="U824" t="str">
        <x:f>IF(COUNTIF(DailyProduction!$Q$5:$Q$100,B824)=1,"OK","CHECK")</x:f>
        <x:v>OK</x:v>
      </x:c>
      <x:c r="V824" t="str">
        <x:f t="shared" si="90"/>
        <x:v>OK</x:v>
      </x:c>
      <x:c r="W824" t="str">
        <x:f>IF(SUMIF($B$5:$B$914,B824,$S$5:$S$914)=SUMIF(DailyProduction!$Q$5:$Q$100,B824,DailyProduction!$R$5:$R$100),"OK","CHECK")</x:f>
        <x:v>OK</x:v>
      </x:c>
      <x:c r="X824" t="str">
        <x:v>PLC-PRD-JAR-330-L25</x:v>
      </x:c>
      <x:c r="Y824" t="str">
        <x:v>OK</x:v>
      </x:c>
      <x:c r="Z824" t="str">
        <x:v>OK</x:v>
      </x:c>
      <x:c r="AA824" t="n">
        <x:v>3</x:v>
      </x:c>
      <x:c r="AB824" t="n">
        <x:v>3</x:v>
      </x:c>
      <x:c r="AC824" t="str">
        <x:v>OK</x:v>
      </x:c>
      <x:c r="AD824" t="str">
        <x:v>OK</x:v>
      </x:c>
      <x:c r="AE824" t="str">
        <x:v>LOAD</x:v>
      </x:c>
      <x:c r="AF824" t="str">
        <x:v>02_Supervisor_Log(4).xlsx</x:v>
      </x:c>
      <x:c r="AG824" t="str">
        <x:v>ENH-20260830-01</x:v>
      </x:c>
      <x:c r="AH824" t="str">
        <x:v>Active</x:v>
      </x:c>
      <x:c r="AI824"/>
      <x:c r="AJ824"/>
      <x:c r="AK824"/>
      <x:c r="AL824"/>
    </x:row>
    <x:row r="825">
      <x:c r="A825" t="s">
        <x:v>1077</x:v>
      </x:c>
      <x:c r="B825" t="s">
        <x:v>1076</x:v>
      </x:c>
      <x:c r="C825" t="s">
        <x:v>44</x:v>
      </x:c>
      <x:c r="D825">
        <x:v>45953</x:v>
      </x:c>
      <x:c r="E825" t="s">
        <x:v>187</x:v>
      </x:c>
      <x:c r="F825" t="s">
        <x:v>46</x:v>
      </x:c>
      <x:c r="G825">
        <x:v>25</x:v>
      </x:c>
      <x:c r="H825" t="s">
        <x:v>77</x:v>
      </x:c>
      <x:c r="I825">
        <x:v>2</x:v>
      </x:c>
      <x:c r="J825">
        <x:v>8</x:v>
      </x:c>
      <x:c r="K825">
        <x:v>3</x:v>
      </x:c>
      <x:c r="L825">
        <x:f t="shared" si="84"/>
        <x:v>1</x:v>
      </x:c>
      <x:c r="P825">
        <x:f t="shared" si="85"/>
        <x:v>1</x:v>
      </x:c>
      <x:c r="Q825">
        <x:f t="shared" si="86"/>
        <x:v>1</x:v>
      </x:c>
      <x:c r="R825">
        <x:f t="shared" si="87"/>
        <x:v>1</x:v>
      </x:c>
      <x:c r="S825">
        <x:f t="shared" si="88"/>
        <x:v>3</x:v>
      </x:c>
      <x:c r="T825" t="str">
        <x:f t="shared" si="89"/>
        <x:v>DerivedFromCount</x:v>
      </x:c>
      <x:c r="U825" t="str">
        <x:f>IF(COUNTIF(DailyProduction!$Q$5:$Q$100,B825)=1,"OK","CHECK")</x:f>
        <x:v>OK</x:v>
      </x:c>
      <x:c r="V825" t="str">
        <x:f t="shared" si="90"/>
        <x:v>OK</x:v>
      </x:c>
      <x:c r="W825" t="str">
        <x:f>IF(SUMIF($B$5:$B$914,B825,$S$5:$S$914)=SUMIF(DailyProduction!$Q$5:$Q$100,B825,DailyProduction!$R$5:$R$100),"OK","CHECK")</x:f>
        <x:v>OK</x:v>
      </x:c>
      <x:c r="X825" t="str">
        <x:v>PLC-PRD-JAR-330-L25</x:v>
      </x:c>
      <x:c r="Y825" t="str">
        <x:v>OK</x:v>
      </x:c>
      <x:c r="Z825" t="str">
        <x:v>OK</x:v>
      </x:c>
      <x:c r="AA825" t="n">
        <x:v>3</x:v>
      </x:c>
      <x:c r="AB825" t="n">
        <x:v>3</x:v>
      </x:c>
      <x:c r="AC825" t="str">
        <x:v>OK</x:v>
      </x:c>
      <x:c r="AD825" t="str">
        <x:v>OK</x:v>
      </x:c>
      <x:c r="AE825" t="str">
        <x:v>LOAD</x:v>
      </x:c>
      <x:c r="AF825" t="str">
        <x:v>02_Supervisor_Log(4).xlsx</x:v>
      </x:c>
      <x:c r="AG825" t="str">
        <x:v>ENH-20260830-01</x:v>
      </x:c>
      <x:c r="AH825" t="str">
        <x:v>Active</x:v>
      </x:c>
      <x:c r="AI825"/>
      <x:c r="AJ825"/>
      <x:c r="AK825"/>
      <x:c r="AL825"/>
    </x:row>
    <x:row r="826">
      <x:c r="A826" t="s">
        <x:v>1078</x:v>
      </x:c>
      <x:c r="B826" t="s">
        <x:v>1076</x:v>
      </x:c>
      <x:c r="C826" t="s">
        <x:v>44</x:v>
      </x:c>
      <x:c r="D826">
        <x:v>45953</x:v>
      </x:c>
      <x:c r="E826" t="s">
        <x:v>187</x:v>
      </x:c>
      <x:c r="F826" t="s">
        <x:v>46</x:v>
      </x:c>
      <x:c r="G826">
        <x:v>25</x:v>
      </x:c>
      <x:c r="H826" t="s">
        <x:v>77</x:v>
      </x:c>
      <x:c r="I826">
        <x:v>3</x:v>
      </x:c>
      <x:c r="J826">
        <x:v>8</x:v>
      </x:c>
      <x:c r="K826">
        <x:v>3</x:v>
      </x:c>
      <x:c r="L826">
        <x:f t="shared" si="84"/>
        <x:v>1</x:v>
      </x:c>
      <x:c r="P826">
        <x:f t="shared" si="85"/>
        <x:v>1</x:v>
      </x:c>
      <x:c r="Q826">
        <x:f t="shared" si="86"/>
        <x:v>1</x:v>
      </x:c>
      <x:c r="R826">
        <x:f t="shared" si="87"/>
        <x:v>1</x:v>
      </x:c>
      <x:c r="S826">
        <x:f t="shared" si="88"/>
        <x:v>3</x:v>
      </x:c>
      <x:c r="T826" t="str">
        <x:f t="shared" si="89"/>
        <x:v>DerivedFromCount</x:v>
      </x:c>
      <x:c r="U826" t="str">
        <x:f>IF(COUNTIF(DailyProduction!$Q$5:$Q$100,B826)=1,"OK","CHECK")</x:f>
        <x:v>OK</x:v>
      </x:c>
      <x:c r="V826" t="str">
        <x:f t="shared" si="90"/>
        <x:v>OK</x:v>
      </x:c>
      <x:c r="W826" t="str">
        <x:f>IF(SUMIF($B$5:$B$914,B826,$S$5:$S$914)=SUMIF(DailyProduction!$Q$5:$Q$100,B826,DailyProduction!$R$5:$R$100),"OK","CHECK")</x:f>
        <x:v>OK</x:v>
      </x:c>
      <x:c r="X826" t="str">
        <x:v>PLC-PRD-JAR-330-L25</x:v>
      </x:c>
      <x:c r="Y826" t="str">
        <x:v>OK</x:v>
      </x:c>
      <x:c r="Z826" t="str">
        <x:v>OK</x:v>
      </x:c>
      <x:c r="AA826" t="n">
        <x:v>3</x:v>
      </x:c>
      <x:c r="AB826" t="n">
        <x:v>3</x:v>
      </x:c>
      <x:c r="AC826" t="str">
        <x:v>OK</x:v>
      </x:c>
      <x:c r="AD826" t="str">
        <x:v>OK</x:v>
      </x:c>
      <x:c r="AE826" t="str">
        <x:v>LOAD</x:v>
      </x:c>
      <x:c r="AF826" t="str">
        <x:v>02_Supervisor_Log(4).xlsx</x:v>
      </x:c>
      <x:c r="AG826" t="str">
        <x:v>ENH-20260830-01</x:v>
      </x:c>
      <x:c r="AH826" t="str">
        <x:v>Active</x:v>
      </x:c>
      <x:c r="AI826"/>
      <x:c r="AJ826"/>
      <x:c r="AK826"/>
      <x:c r="AL826"/>
    </x:row>
    <x:row r="827">
      <x:c r="A827" t="s">
        <x:v>1079</x:v>
      </x:c>
      <x:c r="B827" t="s">
        <x:v>1076</x:v>
      </x:c>
      <x:c r="C827" t="s">
        <x:v>44</x:v>
      </x:c>
      <x:c r="D827">
        <x:v>45953</x:v>
      </x:c>
      <x:c r="E827" t="s">
        <x:v>187</x:v>
      </x:c>
      <x:c r="F827" t="s">
        <x:v>46</x:v>
      </x:c>
      <x:c r="G827">
        <x:v>25</x:v>
      </x:c>
      <x:c r="H827" t="s">
        <x:v>77</x:v>
      </x:c>
      <x:c r="I827">
        <x:v>4</x:v>
      </x:c>
      <x:c r="J827">
        <x:v>8</x:v>
      </x:c>
      <x:c r="K827">
        <x:v>3</x:v>
      </x:c>
      <x:c r="L827">
        <x:f t="shared" si="84"/>
        <x:v>1</x:v>
      </x:c>
      <x:c r="P827">
        <x:f t="shared" si="85"/>
        <x:v>1</x:v>
      </x:c>
      <x:c r="Q827">
        <x:f t="shared" si="86"/>
        <x:v>1</x:v>
      </x:c>
      <x:c r="R827">
        <x:f t="shared" si="87"/>
        <x:v>1</x:v>
      </x:c>
      <x:c r="S827">
        <x:f t="shared" si="88"/>
        <x:v>3</x:v>
      </x:c>
      <x:c r="T827" t="str">
        <x:f t="shared" si="89"/>
        <x:v>DerivedFromCount</x:v>
      </x:c>
      <x:c r="U827" t="str">
        <x:f>IF(COUNTIF(DailyProduction!$Q$5:$Q$100,B827)=1,"OK","CHECK")</x:f>
        <x:v>OK</x:v>
      </x:c>
      <x:c r="V827" t="str">
        <x:f t="shared" si="90"/>
        <x:v>OK</x:v>
      </x:c>
      <x:c r="W827" t="str">
        <x:f>IF(SUMIF($B$5:$B$914,B827,$S$5:$S$914)=SUMIF(DailyProduction!$Q$5:$Q$100,B827,DailyProduction!$R$5:$R$100),"OK","CHECK")</x:f>
        <x:v>OK</x:v>
      </x:c>
      <x:c r="X827" t="str">
        <x:v>PLC-PRD-JAR-330-L25</x:v>
      </x:c>
      <x:c r="Y827" t="str">
        <x:v>OK</x:v>
      </x:c>
      <x:c r="Z827" t="str">
        <x:v>OK</x:v>
      </x:c>
      <x:c r="AA827" t="n">
        <x:v>3</x:v>
      </x:c>
      <x:c r="AB827" t="n">
        <x:v>3</x:v>
      </x:c>
      <x:c r="AC827" t="str">
        <x:v>OK</x:v>
      </x:c>
      <x:c r="AD827" t="str">
        <x:v>OK</x:v>
      </x:c>
      <x:c r="AE827" t="str">
        <x:v>LOAD</x:v>
      </x:c>
      <x:c r="AF827" t="str">
        <x:v>02_Supervisor_Log(4).xlsx</x:v>
      </x:c>
      <x:c r="AG827" t="str">
        <x:v>ENH-20260830-01</x:v>
      </x:c>
      <x:c r="AH827" t="str">
        <x:v>Active</x:v>
      </x:c>
      <x:c r="AI827"/>
      <x:c r="AJ827"/>
      <x:c r="AK827"/>
      <x:c r="AL827"/>
    </x:row>
    <x:row r="828">
      <x:c r="A828" t="s">
        <x:v>1080</x:v>
      </x:c>
      <x:c r="B828" t="s">
        <x:v>1076</x:v>
      </x:c>
      <x:c r="C828" t="s">
        <x:v>44</x:v>
      </x:c>
      <x:c r="D828">
        <x:v>45953</x:v>
      </x:c>
      <x:c r="E828" t="s">
        <x:v>187</x:v>
      </x:c>
      <x:c r="F828" t="s">
        <x:v>46</x:v>
      </x:c>
      <x:c r="G828">
        <x:v>25</x:v>
      </x:c>
      <x:c r="H828" t="s">
        <x:v>77</x:v>
      </x:c>
      <x:c r="I828">
        <x:v>5</x:v>
      </x:c>
      <x:c r="J828">
        <x:v>8</x:v>
      </x:c>
      <x:c r="K828">
        <x:v>3</x:v>
      </x:c>
      <x:c r="L828">
        <x:f t="shared" si="84"/>
        <x:v>1</x:v>
      </x:c>
      <x:c r="P828">
        <x:f t="shared" si="85"/>
        <x:v>1</x:v>
      </x:c>
      <x:c r="Q828">
        <x:f t="shared" si="86"/>
        <x:v>1</x:v>
      </x:c>
      <x:c r="R828">
        <x:f t="shared" si="87"/>
        <x:v>1</x:v>
      </x:c>
      <x:c r="S828">
        <x:f t="shared" si="88"/>
        <x:v>3</x:v>
      </x:c>
      <x:c r="T828" t="str">
        <x:f t="shared" si="89"/>
        <x:v>DerivedFromCount</x:v>
      </x:c>
      <x:c r="U828" t="str">
        <x:f>IF(COUNTIF(DailyProduction!$Q$5:$Q$100,B828)=1,"OK","CHECK")</x:f>
        <x:v>OK</x:v>
      </x:c>
      <x:c r="V828" t="str">
        <x:f t="shared" si="90"/>
        <x:v>OK</x:v>
      </x:c>
      <x:c r="W828" t="str">
        <x:f>IF(SUMIF($B$5:$B$914,B828,$S$5:$S$914)=SUMIF(DailyProduction!$Q$5:$Q$100,B828,DailyProduction!$R$5:$R$100),"OK","CHECK")</x:f>
        <x:v>OK</x:v>
      </x:c>
      <x:c r="X828" t="str">
        <x:v>PLC-PRD-JAR-330-L25</x:v>
      </x:c>
      <x:c r="Y828" t="str">
        <x:v>OK</x:v>
      </x:c>
      <x:c r="Z828" t="str">
        <x:v>OK</x:v>
      </x:c>
      <x:c r="AA828" t="n">
        <x:v>3</x:v>
      </x:c>
      <x:c r="AB828" t="n">
        <x:v>3</x:v>
      </x:c>
      <x:c r="AC828" t="str">
        <x:v>OK</x:v>
      </x:c>
      <x:c r="AD828" t="str">
        <x:v>OK</x:v>
      </x:c>
      <x:c r="AE828" t="str">
        <x:v>LOAD</x:v>
      </x:c>
      <x:c r="AF828" t="str">
        <x:v>02_Supervisor_Log(4).xlsx</x:v>
      </x:c>
      <x:c r="AG828" t="str">
        <x:v>ENH-20260830-01</x:v>
      </x:c>
      <x:c r="AH828" t="str">
        <x:v>Active</x:v>
      </x:c>
      <x:c r="AI828"/>
      <x:c r="AJ828"/>
      <x:c r="AK828"/>
      <x:c r="AL828"/>
    </x:row>
    <x:row r="829">
      <x:c r="A829" t="s">
        <x:v>1081</x:v>
      </x:c>
      <x:c r="B829" t="s">
        <x:v>1076</x:v>
      </x:c>
      <x:c r="C829" t="s">
        <x:v>44</x:v>
      </x:c>
      <x:c r="D829">
        <x:v>45953</x:v>
      </x:c>
      <x:c r="E829" t="s">
        <x:v>187</x:v>
      </x:c>
      <x:c r="F829" t="s">
        <x:v>46</x:v>
      </x:c>
      <x:c r="G829">
        <x:v>25</x:v>
      </x:c>
      <x:c r="H829" t="s">
        <x:v>77</x:v>
      </x:c>
      <x:c r="I829">
        <x:v>6</x:v>
      </x:c>
      <x:c r="J829">
        <x:v>8</x:v>
      </x:c>
      <x:c r="K829">
        <x:v>3</x:v>
      </x:c>
      <x:c r="L829">
        <x:f t="shared" si="84"/>
        <x:v>1</x:v>
      </x:c>
      <x:c r="P829">
        <x:f t="shared" si="85"/>
        <x:v>1</x:v>
      </x:c>
      <x:c r="Q829">
        <x:f t="shared" si="86"/>
        <x:v>1</x:v>
      </x:c>
      <x:c r="R829">
        <x:f t="shared" si="87"/>
        <x:v>1</x:v>
      </x:c>
      <x:c r="S829">
        <x:f t="shared" si="88"/>
        <x:v>3</x:v>
      </x:c>
      <x:c r="T829" t="str">
        <x:f t="shared" si="89"/>
        <x:v>DerivedFromCount</x:v>
      </x:c>
      <x:c r="U829" t="str">
        <x:f>IF(COUNTIF(DailyProduction!$Q$5:$Q$100,B829)=1,"OK","CHECK")</x:f>
        <x:v>OK</x:v>
      </x:c>
      <x:c r="V829" t="str">
        <x:f t="shared" si="90"/>
        <x:v>OK</x:v>
      </x:c>
      <x:c r="W829" t="str">
        <x:f>IF(SUMIF($B$5:$B$914,B829,$S$5:$S$914)=SUMIF(DailyProduction!$Q$5:$Q$100,B829,DailyProduction!$R$5:$R$100),"OK","CHECK")</x:f>
        <x:v>OK</x:v>
      </x:c>
      <x:c r="X829" t="str">
        <x:v>PLC-PRD-JAR-330-L25</x:v>
      </x:c>
      <x:c r="Y829" t="str">
        <x:v>OK</x:v>
      </x:c>
      <x:c r="Z829" t="str">
        <x:v>OK</x:v>
      </x:c>
      <x:c r="AA829" t="n">
        <x:v>3</x:v>
      </x:c>
      <x:c r="AB829" t="n">
        <x:v>3</x:v>
      </x:c>
      <x:c r="AC829" t="str">
        <x:v>OK</x:v>
      </x:c>
      <x:c r="AD829" t="str">
        <x:v>OK</x:v>
      </x:c>
      <x:c r="AE829" t="str">
        <x:v>LOAD</x:v>
      </x:c>
      <x:c r="AF829" t="str">
        <x:v>02_Supervisor_Log(4).xlsx</x:v>
      </x:c>
      <x:c r="AG829" t="str">
        <x:v>ENH-20260830-01</x:v>
      </x:c>
      <x:c r="AH829" t="str">
        <x:v>Active</x:v>
      </x:c>
      <x:c r="AI829"/>
      <x:c r="AJ829"/>
      <x:c r="AK829"/>
      <x:c r="AL829"/>
    </x:row>
    <x:row r="830">
      <x:c r="A830" t="s">
        <x:v>1082</x:v>
      </x:c>
      <x:c r="B830" t="s">
        <x:v>1076</x:v>
      </x:c>
      <x:c r="C830" t="s">
        <x:v>44</x:v>
      </x:c>
      <x:c r="D830">
        <x:v>45953</x:v>
      </x:c>
      <x:c r="E830" t="s">
        <x:v>187</x:v>
      </x:c>
      <x:c r="F830" t="s">
        <x:v>46</x:v>
      </x:c>
      <x:c r="G830">
        <x:v>25</x:v>
      </x:c>
      <x:c r="H830" t="s">
        <x:v>77</x:v>
      </x:c>
      <x:c r="I830">
        <x:v>7</x:v>
      </x:c>
      <x:c r="J830">
        <x:v>8</x:v>
      </x:c>
      <x:c r="K830">
        <x:v>3</x:v>
      </x:c>
      <x:c r="L830">
        <x:f t="shared" si="84"/>
        <x:v>1</x:v>
      </x:c>
      <x:c r="P830">
        <x:f t="shared" si="85"/>
        <x:v>1</x:v>
      </x:c>
      <x:c r="Q830">
        <x:f t="shared" si="86"/>
        <x:v>1</x:v>
      </x:c>
      <x:c r="R830">
        <x:f t="shared" si="87"/>
        <x:v>1</x:v>
      </x:c>
      <x:c r="S830">
        <x:f t="shared" si="88"/>
        <x:v>3</x:v>
      </x:c>
      <x:c r="T830" t="str">
        <x:f t="shared" si="89"/>
        <x:v>DerivedFromCount</x:v>
      </x:c>
      <x:c r="U830" t="str">
        <x:f>IF(COUNTIF(DailyProduction!$Q$5:$Q$100,B830)=1,"OK","CHECK")</x:f>
        <x:v>OK</x:v>
      </x:c>
      <x:c r="V830" t="str">
        <x:f t="shared" si="90"/>
        <x:v>OK</x:v>
      </x:c>
      <x:c r="W830" t="str">
        <x:f>IF(SUMIF($B$5:$B$914,B830,$S$5:$S$914)=SUMIF(DailyProduction!$Q$5:$Q$100,B830,DailyProduction!$R$5:$R$100),"OK","CHECK")</x:f>
        <x:v>OK</x:v>
      </x:c>
      <x:c r="X830" t="str">
        <x:v>PLC-PRD-JAR-330-L25</x:v>
      </x:c>
      <x:c r="Y830" t="str">
        <x:v>OK</x:v>
      </x:c>
      <x:c r="Z830" t="str">
        <x:v>OK</x:v>
      </x:c>
      <x:c r="AA830" t="n">
        <x:v>3</x:v>
      </x:c>
      <x:c r="AB830" t="n">
        <x:v>3</x:v>
      </x:c>
      <x:c r="AC830" t="str">
        <x:v>OK</x:v>
      </x:c>
      <x:c r="AD830" t="str">
        <x:v>OK</x:v>
      </x:c>
      <x:c r="AE830" t="str">
        <x:v>LOAD</x:v>
      </x:c>
      <x:c r="AF830" t="str">
        <x:v>02_Supervisor_Log(4).xlsx</x:v>
      </x:c>
      <x:c r="AG830" t="str">
        <x:v>ENH-20260830-01</x:v>
      </x:c>
      <x:c r="AH830" t="str">
        <x:v>Active</x:v>
      </x:c>
      <x:c r="AI830"/>
      <x:c r="AJ830"/>
      <x:c r="AK830"/>
      <x:c r="AL830"/>
    </x:row>
    <x:row r="831">
      <x:c r="A831" t="s">
        <x:v>1083</x:v>
      </x:c>
      <x:c r="B831" t="s">
        <x:v>1076</x:v>
      </x:c>
      <x:c r="C831" t="s">
        <x:v>44</x:v>
      </x:c>
      <x:c r="D831">
        <x:v>45953</x:v>
      </x:c>
      <x:c r="E831" t="s">
        <x:v>187</x:v>
      </x:c>
      <x:c r="F831" t="s">
        <x:v>46</x:v>
      </x:c>
      <x:c r="G831">
        <x:v>25</x:v>
      </x:c>
      <x:c r="H831" t="s">
        <x:v>77</x:v>
      </x:c>
      <x:c r="I831">
        <x:v>8</x:v>
      </x:c>
      <x:c r="J831">
        <x:v>8</x:v>
      </x:c>
      <x:c r="K831">
        <x:v>3</x:v>
      </x:c>
      <x:c r="L831">
        <x:f t="shared" si="84"/>
        <x:v>1</x:v>
      </x:c>
      <x:c r="P831">
        <x:f t="shared" si="85"/>
        <x:v>1</x:v>
      </x:c>
      <x:c r="Q831">
        <x:f t="shared" si="86"/>
        <x:v>1</x:v>
      </x:c>
      <x:c r="R831">
        <x:f t="shared" si="87"/>
        <x:v>1</x:v>
      </x:c>
      <x:c r="S831">
        <x:f t="shared" si="88"/>
        <x:v>3</x:v>
      </x:c>
      <x:c r="T831" t="str">
        <x:f t="shared" si="89"/>
        <x:v>DerivedFromCount</x:v>
      </x:c>
      <x:c r="U831" t="str">
        <x:f>IF(COUNTIF(DailyProduction!$Q$5:$Q$100,B831)=1,"OK","CHECK")</x:f>
        <x:v>OK</x:v>
      </x:c>
      <x:c r="V831" t="str">
        <x:f t="shared" si="90"/>
        <x:v>OK</x:v>
      </x:c>
      <x:c r="W831" t="str">
        <x:f>IF(SUMIF($B$5:$B$914,B831,$S$5:$S$914)=SUMIF(DailyProduction!$Q$5:$Q$100,B831,DailyProduction!$R$5:$R$100),"OK","CHECK")</x:f>
        <x:v>OK</x:v>
      </x:c>
      <x:c r="X831" t="str">
        <x:v>PLC-PRD-JAR-330-L25</x:v>
      </x:c>
      <x:c r="Y831" t="str">
        <x:v>OK</x:v>
      </x:c>
      <x:c r="Z831" t="str">
        <x:v>OK</x:v>
      </x:c>
      <x:c r="AA831" t="n">
        <x:v>3</x:v>
      </x:c>
      <x:c r="AB831" t="n">
        <x:v>3</x:v>
      </x:c>
      <x:c r="AC831" t="str">
        <x:v>OK</x:v>
      </x:c>
      <x:c r="AD831" t="str">
        <x:v>OK</x:v>
      </x:c>
      <x:c r="AE831" t="str">
        <x:v>LOAD</x:v>
      </x:c>
      <x:c r="AF831" t="str">
        <x:v>02_Supervisor_Log(4).xlsx</x:v>
      </x:c>
      <x:c r="AG831" t="str">
        <x:v>ENH-20260830-01</x:v>
      </x:c>
      <x:c r="AH831" t="str">
        <x:v>Active</x:v>
      </x:c>
      <x:c r="AI831"/>
      <x:c r="AJ831"/>
      <x:c r="AK831"/>
      <x:c r="AL831"/>
    </x:row>
    <x:row r="832">
      <x:c r="A832" t="s">
        <x:v>1084</x:v>
      </x:c>
      <x:c r="B832" t="s">
        <x:v>1076</x:v>
      </x:c>
      <x:c r="C832" t="s">
        <x:v>44</x:v>
      </x:c>
      <x:c r="D832">
        <x:v>45953</x:v>
      </x:c>
      <x:c r="E832" t="s">
        <x:v>187</x:v>
      </x:c>
      <x:c r="F832" t="s">
        <x:v>46</x:v>
      </x:c>
      <x:c r="G832">
        <x:v>25</x:v>
      </x:c>
      <x:c r="H832" t="s">
        <x:v>77</x:v>
      </x:c>
      <x:c r="I832">
        <x:v>9</x:v>
      </x:c>
      <x:c r="J832">
        <x:v>8</x:v>
      </x:c>
      <x:c r="K832">
        <x:v>3</x:v>
      </x:c>
      <x:c r="L832">
        <x:f t="shared" si="84"/>
        <x:v>0</x:v>
      </x:c>
      <x:c r="P832">
        <x:f t="shared" si="85"/>
        <x:v>0</x:v>
      </x:c>
      <x:c r="Q832">
        <x:f t="shared" si="86"/>
        <x:v>0</x:v>
      </x:c>
      <x:c r="R832">
        <x:f t="shared" si="87"/>
        <x:v>0</x:v>
      </x:c>
      <x:c r="S832">
        <x:f t="shared" si="88"/>
        <x:v>0</x:v>
      </x:c>
      <x:c r="T832" t="str">
        <x:f t="shared" si="89"/>
        <x:v>DerivedFromCount</x:v>
      </x:c>
      <x:c r="U832" t="str">
        <x:f>IF(COUNTIF(DailyProduction!$Q$5:$Q$100,B832)=1,"OK","CHECK")</x:f>
        <x:v>OK</x:v>
      </x:c>
      <x:c r="V832" t="str">
        <x:f t="shared" si="90"/>
        <x:v>OK</x:v>
      </x:c>
      <x:c r="W832" t="str">
        <x:f>IF(SUMIF($B$5:$B$914,B832,$S$5:$S$914)=SUMIF(DailyProduction!$Q$5:$Q$100,B832,DailyProduction!$R$5:$R$100),"OK","CHECK")</x:f>
        <x:v>OK</x:v>
      </x:c>
      <x:c r="X832" t="str">
        <x:v>PLC-PRD-JAR-330-L25</x:v>
      </x:c>
      <x:c r="Y832" t="str">
        <x:v>OK</x:v>
      </x:c>
      <x:c r="Z832" t="str">
        <x:v>OK</x:v>
      </x:c>
      <x:c r="AA832" t="n">
        <x:v>3</x:v>
      </x:c>
      <x:c r="AB832" t="n">
        <x:v>0</x:v>
      </x:c>
      <x:c r="AC832" t="str">
        <x:v>OK</x:v>
      </x:c>
      <x:c r="AD832" t="str">
        <x:v>OK</x:v>
      </x:c>
      <x:c r="AE832" t="str">
        <x:v>LOAD</x:v>
      </x:c>
      <x:c r="AF832" t="str">
        <x:v>02_Supervisor_Log(4).xlsx</x:v>
      </x:c>
      <x:c r="AG832" t="str">
        <x:v>ENH-20260830-01</x:v>
      </x:c>
      <x:c r="AH832" t="str">
        <x:v>Active</x:v>
      </x:c>
      <x:c r="AI832"/>
      <x:c r="AJ832"/>
      <x:c r="AK832"/>
      <x:c r="AL832"/>
    </x:row>
    <x:row r="833">
      <x:c r="A833" t="s">
        <x:v>1085</x:v>
      </x:c>
      <x:c r="B833" t="s">
        <x:v>1076</x:v>
      </x:c>
      <x:c r="C833" t="s">
        <x:v>44</x:v>
      </x:c>
      <x:c r="D833">
        <x:v>45953</x:v>
      </x:c>
      <x:c r="E833" t="s">
        <x:v>187</x:v>
      </x:c>
      <x:c r="F833" t="s">
        <x:v>46</x:v>
      </x:c>
      <x:c r="G833">
        <x:v>25</x:v>
      </x:c>
      <x:c r="H833" t="s">
        <x:v>77</x:v>
      </x:c>
      <x:c r="I833">
        <x:v>10</x:v>
      </x:c>
      <x:c r="J833">
        <x:v>8</x:v>
      </x:c>
      <x:c r="K833">
        <x:v>3</x:v>
      </x:c>
      <x:c r="L833">
        <x:f t="shared" si="84"/>
        <x:v>0</x:v>
      </x:c>
      <x:c r="P833">
        <x:f t="shared" si="85"/>
        <x:v>0</x:v>
      </x:c>
      <x:c r="Q833">
        <x:f t="shared" si="86"/>
        <x:v>0</x:v>
      </x:c>
      <x:c r="R833">
        <x:f t="shared" si="87"/>
        <x:v>0</x:v>
      </x:c>
      <x:c r="S833">
        <x:f t="shared" si="88"/>
        <x:v>0</x:v>
      </x:c>
      <x:c r="T833" t="str">
        <x:f t="shared" si="89"/>
        <x:v>DerivedFromCount</x:v>
      </x:c>
      <x:c r="U833" t="str">
        <x:f>IF(COUNTIF(DailyProduction!$Q$5:$Q$100,B833)=1,"OK","CHECK")</x:f>
        <x:v>OK</x:v>
      </x:c>
      <x:c r="V833" t="str">
        <x:f t="shared" si="90"/>
        <x:v>OK</x:v>
      </x:c>
      <x:c r="W833" t="str">
        <x:f>IF(SUMIF($B$5:$B$914,B833,$S$5:$S$914)=SUMIF(DailyProduction!$Q$5:$Q$100,B833,DailyProduction!$R$5:$R$100),"OK","CHECK")</x:f>
        <x:v>OK</x:v>
      </x:c>
      <x:c r="X833" t="str">
        <x:v>PLC-PRD-JAR-330-L25</x:v>
      </x:c>
      <x:c r="Y833" t="str">
        <x:v>OK</x:v>
      </x:c>
      <x:c r="Z833" t="str">
        <x:v>OK</x:v>
      </x:c>
      <x:c r="AA833" t="n">
        <x:v>3</x:v>
      </x:c>
      <x:c r="AB833" t="n">
        <x:v>0</x:v>
      </x:c>
      <x:c r="AC833" t="str">
        <x:v>OK</x:v>
      </x:c>
      <x:c r="AD833" t="str">
        <x:v>OK</x:v>
      </x:c>
      <x:c r="AE833" t="str">
        <x:v>LOAD</x:v>
      </x:c>
      <x:c r="AF833" t="str">
        <x:v>02_Supervisor_Log(4).xlsx</x:v>
      </x:c>
      <x:c r="AG833" t="str">
        <x:v>ENH-20260830-01</x:v>
      </x:c>
      <x:c r="AH833" t="str">
        <x:v>Active</x:v>
      </x:c>
      <x:c r="AI833"/>
      <x:c r="AJ833"/>
      <x:c r="AK833"/>
      <x:c r="AL833"/>
    </x:row>
    <x:row r="834">
      <x:c r="A834" t="s">
        <x:v>1086</x:v>
      </x:c>
      <x:c r="B834" t="s">
        <x:v>1076</x:v>
      </x:c>
      <x:c r="C834" t="s">
        <x:v>44</x:v>
      </x:c>
      <x:c r="D834">
        <x:v>45953</x:v>
      </x:c>
      <x:c r="E834" t="s">
        <x:v>187</x:v>
      </x:c>
      <x:c r="F834" t="s">
        <x:v>46</x:v>
      </x:c>
      <x:c r="G834">
        <x:v>25</x:v>
      </x:c>
      <x:c r="H834" t="s">
        <x:v>77</x:v>
      </x:c>
      <x:c r="I834">
        <x:v>11</x:v>
      </x:c>
      <x:c r="J834">
        <x:v>8</x:v>
      </x:c>
      <x:c r="K834">
        <x:v>3</x:v>
      </x:c>
      <x:c r="L834">
        <x:f t="shared" si="84"/>
        <x:v>0</x:v>
      </x:c>
      <x:c r="P834">
        <x:f t="shared" si="85"/>
        <x:v>0</x:v>
      </x:c>
      <x:c r="Q834">
        <x:f t="shared" si="86"/>
        <x:v>0</x:v>
      </x:c>
      <x:c r="R834">
        <x:f t="shared" si="87"/>
        <x:v>0</x:v>
      </x:c>
      <x:c r="S834">
        <x:f t="shared" si="88"/>
        <x:v>0</x:v>
      </x:c>
      <x:c r="T834" t="str">
        <x:f t="shared" si="89"/>
        <x:v>DerivedFromCount</x:v>
      </x:c>
      <x:c r="U834" t="str">
        <x:f>IF(COUNTIF(DailyProduction!$Q$5:$Q$100,B834)=1,"OK","CHECK")</x:f>
        <x:v>OK</x:v>
      </x:c>
      <x:c r="V834" t="str">
        <x:f t="shared" si="90"/>
        <x:v>OK</x:v>
      </x:c>
      <x:c r="W834" t="str">
        <x:f>IF(SUMIF($B$5:$B$914,B834,$S$5:$S$914)=SUMIF(DailyProduction!$Q$5:$Q$100,B834,DailyProduction!$R$5:$R$100),"OK","CHECK")</x:f>
        <x:v>OK</x:v>
      </x:c>
      <x:c r="X834" t="str">
        <x:v>PLC-PRD-JAR-330-L25</x:v>
      </x:c>
      <x:c r="Y834" t="str">
        <x:v>OK</x:v>
      </x:c>
      <x:c r="Z834" t="str">
        <x:v>OK</x:v>
      </x:c>
      <x:c r="AA834" t="n">
        <x:v>3</x:v>
      </x:c>
      <x:c r="AB834" t="n">
        <x:v>0</x:v>
      </x:c>
      <x:c r="AC834" t="str">
        <x:v>OK</x:v>
      </x:c>
      <x:c r="AD834" t="str">
        <x:v>OK</x:v>
      </x:c>
      <x:c r="AE834" t="str">
        <x:v>LOAD</x:v>
      </x:c>
      <x:c r="AF834" t="str">
        <x:v>02_Supervisor_Log(4).xlsx</x:v>
      </x:c>
      <x:c r="AG834" t="str">
        <x:v>ENH-20260830-01</x:v>
      </x:c>
      <x:c r="AH834" t="str">
        <x:v>Active</x:v>
      </x:c>
      <x:c r="AI834"/>
      <x:c r="AJ834"/>
      <x:c r="AK834"/>
      <x:c r="AL834"/>
    </x:row>
    <x:row r="835">
      <x:c r="A835" t="s">
        <x:v>1087</x:v>
      </x:c>
      <x:c r="B835" t="s">
        <x:v>1076</x:v>
      </x:c>
      <x:c r="C835" t="s">
        <x:v>44</x:v>
      </x:c>
      <x:c r="D835">
        <x:v>45953</x:v>
      </x:c>
      <x:c r="E835" t="s">
        <x:v>187</x:v>
      </x:c>
      <x:c r="F835" t="s">
        <x:v>46</x:v>
      </x:c>
      <x:c r="G835">
        <x:v>25</x:v>
      </x:c>
      <x:c r="H835" t="s">
        <x:v>77</x:v>
      </x:c>
      <x:c r="I835">
        <x:v>12</x:v>
      </x:c>
      <x:c r="J835">
        <x:v>8</x:v>
      </x:c>
      <x:c r="K835">
        <x:v>3</x:v>
      </x:c>
      <x:c r="L835">
        <x:f t="shared" si="84"/>
        <x:v>0</x:v>
      </x:c>
      <x:c r="P835">
        <x:f t="shared" si="85"/>
        <x:v>0</x:v>
      </x:c>
      <x:c r="Q835">
        <x:f t="shared" si="86"/>
        <x:v>0</x:v>
      </x:c>
      <x:c r="R835">
        <x:f t="shared" si="87"/>
        <x:v>0</x:v>
      </x:c>
      <x:c r="S835">
        <x:f t="shared" si="88"/>
        <x:v>0</x:v>
      </x:c>
      <x:c r="T835" t="str">
        <x:f t="shared" si="89"/>
        <x:v>DerivedFromCount</x:v>
      </x:c>
      <x:c r="U835" t="str">
        <x:f>IF(COUNTIF(DailyProduction!$Q$5:$Q$100,B835)=1,"OK","CHECK")</x:f>
        <x:v>OK</x:v>
      </x:c>
      <x:c r="V835" t="str">
        <x:f t="shared" si="90"/>
        <x:v>OK</x:v>
      </x:c>
      <x:c r="W835" t="str">
        <x:f>IF(SUMIF($B$5:$B$914,B835,$S$5:$S$914)=SUMIF(DailyProduction!$Q$5:$Q$100,B835,DailyProduction!$R$5:$R$100),"OK","CHECK")</x:f>
        <x:v>OK</x:v>
      </x:c>
      <x:c r="X835" t="str">
        <x:v>PLC-PRD-JAR-330-L25</x:v>
      </x:c>
      <x:c r="Y835" t="str">
        <x:v>OK</x:v>
      </x:c>
      <x:c r="Z835" t="str">
        <x:v>OK</x:v>
      </x:c>
      <x:c r="AA835" t="n">
        <x:v>3</x:v>
      </x:c>
      <x:c r="AB835" t="n">
        <x:v>0</x:v>
      </x:c>
      <x:c r="AC835" t="str">
        <x:v>OK</x:v>
      </x:c>
      <x:c r="AD835" t="str">
        <x:v>OK</x:v>
      </x:c>
      <x:c r="AE835" t="str">
        <x:v>LOAD</x:v>
      </x:c>
      <x:c r="AF835" t="str">
        <x:v>02_Supervisor_Log(4).xlsx</x:v>
      </x:c>
      <x:c r="AG835" t="str">
        <x:v>ENH-20260830-01</x:v>
      </x:c>
      <x:c r="AH835" t="str">
        <x:v>Active</x:v>
      </x:c>
      <x:c r="AI835"/>
      <x:c r="AJ835"/>
      <x:c r="AK835"/>
      <x:c r="AL835"/>
    </x:row>
    <x:row r="836">
      <x:c r="A836" t="s">
        <x:v>1088</x:v>
      </x:c>
      <x:c r="B836" t="s">
        <x:v>1076</x:v>
      </x:c>
      <x:c r="C836" t="s">
        <x:v>44</x:v>
      </x:c>
      <x:c r="D836">
        <x:v>45953</x:v>
      </x:c>
      <x:c r="E836" t="s">
        <x:v>187</x:v>
      </x:c>
      <x:c r="F836" t="s">
        <x:v>46</x:v>
      </x:c>
      <x:c r="G836">
        <x:v>25</x:v>
      </x:c>
      <x:c r="H836" t="s">
        <x:v>77</x:v>
      </x:c>
      <x:c r="I836">
        <x:v>13</x:v>
      </x:c>
      <x:c r="J836">
        <x:v>8</x:v>
      </x:c>
      <x:c r="K836">
        <x:v>3</x:v>
      </x:c>
      <x:c r="L836">
        <x:f t="shared" si="84"/>
        <x:v>0</x:v>
      </x:c>
      <x:c r="P836">
        <x:f t="shared" si="85"/>
        <x:v>0</x:v>
      </x:c>
      <x:c r="Q836">
        <x:f t="shared" si="86"/>
        <x:v>0</x:v>
      </x:c>
      <x:c r="R836">
        <x:f t="shared" si="87"/>
        <x:v>0</x:v>
      </x:c>
      <x:c r="S836">
        <x:f t="shared" si="88"/>
        <x:v>0</x:v>
      </x:c>
      <x:c r="T836" t="str">
        <x:f t="shared" si="89"/>
        <x:v>DerivedFromCount</x:v>
      </x:c>
      <x:c r="U836" t="str">
        <x:f>IF(COUNTIF(DailyProduction!$Q$5:$Q$100,B836)=1,"OK","CHECK")</x:f>
        <x:v>OK</x:v>
      </x:c>
      <x:c r="V836" t="str">
        <x:f t="shared" si="90"/>
        <x:v>OK</x:v>
      </x:c>
      <x:c r="W836" t="str">
        <x:f>IF(SUMIF($B$5:$B$914,B836,$S$5:$S$914)=SUMIF(DailyProduction!$Q$5:$Q$100,B836,DailyProduction!$R$5:$R$100),"OK","CHECK")</x:f>
        <x:v>OK</x:v>
      </x:c>
      <x:c r="X836" t="str">
        <x:v>PLC-PRD-JAR-330-L25</x:v>
      </x:c>
      <x:c r="Y836" t="str">
        <x:v>OK</x:v>
      </x:c>
      <x:c r="Z836" t="str">
        <x:v>OK</x:v>
      </x:c>
      <x:c r="AA836" t="n">
        <x:v>3</x:v>
      </x:c>
      <x:c r="AB836" t="n">
        <x:v>0</x:v>
      </x:c>
      <x:c r="AC836" t="str">
        <x:v>OK</x:v>
      </x:c>
      <x:c r="AD836" t="str">
        <x:v>OK</x:v>
      </x:c>
      <x:c r="AE836" t="str">
        <x:v>LOAD</x:v>
      </x:c>
      <x:c r="AF836" t="str">
        <x:v>02_Supervisor_Log(4).xlsx</x:v>
      </x:c>
      <x:c r="AG836" t="str">
        <x:v>ENH-20260830-01</x:v>
      </x:c>
      <x:c r="AH836" t="str">
        <x:v>Active</x:v>
      </x:c>
      <x:c r="AI836"/>
      <x:c r="AJ836"/>
      <x:c r="AK836"/>
      <x:c r="AL836"/>
    </x:row>
    <x:row r="837">
      <x:c r="A837" t="s">
        <x:v>1089</x:v>
      </x:c>
      <x:c r="B837" t="s">
        <x:v>1090</x:v>
      </x:c>
      <x:c r="C837" t="s">
        <x:v>44</x:v>
      </x:c>
      <x:c r="D837">
        <x:v>45954</x:v>
      </x:c>
      <x:c r="E837" t="s">
        <x:v>45</x:v>
      </x:c>
      <x:c r="F837" t="s">
        <x:v>46</x:v>
      </x:c>
      <x:c r="G837">
        <x:v>25</x:v>
      </x:c>
      <x:c r="H837" t="s">
        <x:v>77</x:v>
      </x:c>
      <x:c r="I837">
        <x:v>1</x:v>
      </x:c>
      <x:c r="J837">
        <x:v>8</x:v>
      </x:c>
      <x:c r="K837">
        <x:v>3</x:v>
      </x:c>
      <x:c r="L837" t="n">
        <x:f t="shared" ref="L837:L900" si="91">IF(I837&lt;=J837,1,0)</x:f>
        <x:v>1</x:v>
      </x:c>
      <x:c r="P837" t="n">
        <x:f t="shared" ref="P837:P900" si="92">IF(M837="",IF(AND(L837=1,K837&gt;=1),1,0),M837)</x:f>
        <x:v>1</x:v>
      </x:c>
      <x:c r="Q837" t="n">
        <x:f t="shared" ref="Q837:Q900" si="93">IF(N837="",IF(AND(L837=1,K837&gt;=2),1,0),N837)</x:f>
        <x:v>1</x:v>
      </x:c>
      <x:c r="R837" t="n">
        <x:f t="shared" ref="R837:R900" si="94">IF(O837="",IF(AND(L837=1,K837&gt;=3),1,0),O837)</x:f>
        <x:v>1</x:v>
      </x:c>
      <x:c r="S837" t="n">
        <x:f t="shared" ref="S837:S900" si="95">SUM(P837:R837)</x:f>
        <x:v>3</x:v>
      </x:c>
      <x:c r="T837" t="str">
        <x:f t="shared" ref="T837:T900" si="96">IF(COUNTA(M837:O837)=0,"DerivedFromCount","ManualOverride")</x:f>
        <x:v>DerivedFromCount</x:v>
      </x:c>
      <x:c r="U837" t="str">
        <x:f>IF(COUNTIF(DailyProduction!$Q$5:$Q$100,B837)=1,"OK","CHECK")</x:f>
        <x:v>OK</x:v>
      </x:c>
      <x:c r="V837" t="str">
        <x:f t="shared" ref="V837:V900" si="97">IF(AND(I837&gt;=1,I837&lt;=13,K837&gt;=1,K837&lt;=3),"OK","CHECK")</x:f>
        <x:v>OK</x:v>
      </x:c>
      <x:c r="W837" t="str">
        <x:f>IF(SUMIF($B$5:$B$914,B837,$S$5:$S$914)=SUMIF(DailyProduction!$Q$5:$Q$100,B837,DailyProduction!$R$5:$R$100),"OK","CHECK")</x:f>
        <x:v>OK</x:v>
      </x:c>
      <x:c r="X837" t="str">
        <x:v>PLC-PRD-JAR-330-L25</x:v>
      </x:c>
      <x:c r="Y837" t="str">
        <x:v>OK</x:v>
      </x:c>
      <x:c r="Z837" t="str">
        <x:v>OK</x:v>
      </x:c>
      <x:c r="AA837" t="n">
        <x:v>3</x:v>
      </x:c>
      <x:c r="AB837" t="n">
        <x:v>3</x:v>
      </x:c>
      <x:c r="AC837" t="str">
        <x:v>OK</x:v>
      </x:c>
      <x:c r="AD837" t="str">
        <x:v>OK</x:v>
      </x:c>
      <x:c r="AE837" t="str">
        <x:v>LOAD</x:v>
      </x:c>
      <x:c r="AF837" t="str">
        <x:v>02_Supervisor_Log(4).xlsx</x:v>
      </x:c>
      <x:c r="AG837" t="str">
        <x:v>ENH-20260830-01</x:v>
      </x:c>
      <x:c r="AH837" t="str">
        <x:v>Active</x:v>
      </x:c>
      <x:c r="AI837"/>
      <x:c r="AJ837"/>
      <x:c r="AK837"/>
      <x:c r="AL837"/>
    </x:row>
    <x:row r="838">
      <x:c r="A838" t="s">
        <x:v>1091</x:v>
      </x:c>
      <x:c r="B838" t="s">
        <x:v>1090</x:v>
      </x:c>
      <x:c r="C838" t="s">
        <x:v>44</x:v>
      </x:c>
      <x:c r="D838">
        <x:v>45954</x:v>
      </x:c>
      <x:c r="E838" t="s">
        <x:v>45</x:v>
      </x:c>
      <x:c r="F838" t="s">
        <x:v>46</x:v>
      </x:c>
      <x:c r="G838">
        <x:v>25</x:v>
      </x:c>
      <x:c r="H838" t="s">
        <x:v>77</x:v>
      </x:c>
      <x:c r="I838">
        <x:v>2</x:v>
      </x:c>
      <x:c r="J838">
        <x:v>8</x:v>
      </x:c>
      <x:c r="K838">
        <x:v>3</x:v>
      </x:c>
      <x:c r="L838">
        <x:f t="shared" si="91"/>
        <x:v>1</x:v>
      </x:c>
      <x:c r="P838">
        <x:f t="shared" si="92"/>
        <x:v>1</x:v>
      </x:c>
      <x:c r="Q838">
        <x:f t="shared" si="93"/>
        <x:v>1</x:v>
      </x:c>
      <x:c r="R838">
        <x:f t="shared" si="94"/>
        <x:v>1</x:v>
      </x:c>
      <x:c r="S838">
        <x:f t="shared" si="95"/>
        <x:v>3</x:v>
      </x:c>
      <x:c r="T838" t="str">
        <x:f t="shared" si="96"/>
        <x:v>DerivedFromCount</x:v>
      </x:c>
      <x:c r="U838" t="str">
        <x:f>IF(COUNTIF(DailyProduction!$Q$5:$Q$100,B838)=1,"OK","CHECK")</x:f>
        <x:v>OK</x:v>
      </x:c>
      <x:c r="V838" t="str">
        <x:f t="shared" si="97"/>
        <x:v>OK</x:v>
      </x:c>
      <x:c r="W838" t="str">
        <x:f>IF(SUMIF($B$5:$B$914,B838,$S$5:$S$914)=SUMIF(DailyProduction!$Q$5:$Q$100,B838,DailyProduction!$R$5:$R$100),"OK","CHECK")</x:f>
        <x:v>OK</x:v>
      </x:c>
      <x:c r="X838" t="str">
        <x:v>PLC-PRD-JAR-330-L25</x:v>
      </x:c>
      <x:c r="Y838" t="str">
        <x:v>OK</x:v>
      </x:c>
      <x:c r="Z838" t="str">
        <x:v>OK</x:v>
      </x:c>
      <x:c r="AA838" t="n">
        <x:v>3</x:v>
      </x:c>
      <x:c r="AB838" t="n">
        <x:v>3</x:v>
      </x:c>
      <x:c r="AC838" t="str">
        <x:v>OK</x:v>
      </x:c>
      <x:c r="AD838" t="str">
        <x:v>OK</x:v>
      </x:c>
      <x:c r="AE838" t="str">
        <x:v>LOAD</x:v>
      </x:c>
      <x:c r="AF838" t="str">
        <x:v>02_Supervisor_Log(4).xlsx</x:v>
      </x:c>
      <x:c r="AG838" t="str">
        <x:v>ENH-20260830-01</x:v>
      </x:c>
      <x:c r="AH838" t="str">
        <x:v>Active</x:v>
      </x:c>
      <x:c r="AI838"/>
      <x:c r="AJ838"/>
      <x:c r="AK838"/>
      <x:c r="AL838"/>
    </x:row>
    <x:row r="839">
      <x:c r="A839" t="s">
        <x:v>1092</x:v>
      </x:c>
      <x:c r="B839" t="s">
        <x:v>1090</x:v>
      </x:c>
      <x:c r="C839" t="s">
        <x:v>44</x:v>
      </x:c>
      <x:c r="D839">
        <x:v>45954</x:v>
      </x:c>
      <x:c r="E839" t="s">
        <x:v>45</x:v>
      </x:c>
      <x:c r="F839" t="s">
        <x:v>46</x:v>
      </x:c>
      <x:c r="G839">
        <x:v>25</x:v>
      </x:c>
      <x:c r="H839" t="s">
        <x:v>77</x:v>
      </x:c>
      <x:c r="I839">
        <x:v>3</x:v>
      </x:c>
      <x:c r="J839">
        <x:v>8</x:v>
      </x:c>
      <x:c r="K839">
        <x:v>3</x:v>
      </x:c>
      <x:c r="L839">
        <x:f t="shared" si="91"/>
        <x:v>1</x:v>
      </x:c>
      <x:c r="P839">
        <x:f t="shared" si="92"/>
        <x:v>1</x:v>
      </x:c>
      <x:c r="Q839">
        <x:f t="shared" si="93"/>
        <x:v>1</x:v>
      </x:c>
      <x:c r="R839">
        <x:f t="shared" si="94"/>
        <x:v>1</x:v>
      </x:c>
      <x:c r="S839">
        <x:f t="shared" si="95"/>
        <x:v>3</x:v>
      </x:c>
      <x:c r="T839" t="str">
        <x:f t="shared" si="96"/>
        <x:v>DerivedFromCount</x:v>
      </x:c>
      <x:c r="U839" t="str">
        <x:f>IF(COUNTIF(DailyProduction!$Q$5:$Q$100,B839)=1,"OK","CHECK")</x:f>
        <x:v>OK</x:v>
      </x:c>
      <x:c r="V839" t="str">
        <x:f t="shared" si="97"/>
        <x:v>OK</x:v>
      </x:c>
      <x:c r="W839" t="str">
        <x:f>IF(SUMIF($B$5:$B$914,B839,$S$5:$S$914)=SUMIF(DailyProduction!$Q$5:$Q$100,B839,DailyProduction!$R$5:$R$100),"OK","CHECK")</x:f>
        <x:v>OK</x:v>
      </x:c>
      <x:c r="X839" t="str">
        <x:v>PLC-PRD-JAR-330-L25</x:v>
      </x:c>
      <x:c r="Y839" t="str">
        <x:v>OK</x:v>
      </x:c>
      <x:c r="Z839" t="str">
        <x:v>OK</x:v>
      </x:c>
      <x:c r="AA839" t="n">
        <x:v>3</x:v>
      </x:c>
      <x:c r="AB839" t="n">
        <x:v>3</x:v>
      </x:c>
      <x:c r="AC839" t="str">
        <x:v>OK</x:v>
      </x:c>
      <x:c r="AD839" t="str">
        <x:v>OK</x:v>
      </x:c>
      <x:c r="AE839" t="str">
        <x:v>LOAD</x:v>
      </x:c>
      <x:c r="AF839" t="str">
        <x:v>02_Supervisor_Log(4).xlsx</x:v>
      </x:c>
      <x:c r="AG839" t="str">
        <x:v>ENH-20260830-01</x:v>
      </x:c>
      <x:c r="AH839" t="str">
        <x:v>Active</x:v>
      </x:c>
      <x:c r="AI839"/>
      <x:c r="AJ839"/>
      <x:c r="AK839"/>
      <x:c r="AL839"/>
    </x:row>
    <x:row r="840">
      <x:c r="A840" t="s">
        <x:v>1093</x:v>
      </x:c>
      <x:c r="B840" t="s">
        <x:v>1090</x:v>
      </x:c>
      <x:c r="C840" t="s">
        <x:v>44</x:v>
      </x:c>
      <x:c r="D840">
        <x:v>45954</x:v>
      </x:c>
      <x:c r="E840" t="s">
        <x:v>45</x:v>
      </x:c>
      <x:c r="F840" t="s">
        <x:v>46</x:v>
      </x:c>
      <x:c r="G840">
        <x:v>25</x:v>
      </x:c>
      <x:c r="H840" t="s">
        <x:v>77</x:v>
      </x:c>
      <x:c r="I840">
        <x:v>4</x:v>
      </x:c>
      <x:c r="J840">
        <x:v>8</x:v>
      </x:c>
      <x:c r="K840">
        <x:v>3</x:v>
      </x:c>
      <x:c r="L840">
        <x:f t="shared" si="91"/>
        <x:v>1</x:v>
      </x:c>
      <x:c r="P840">
        <x:f t="shared" si="92"/>
        <x:v>1</x:v>
      </x:c>
      <x:c r="Q840">
        <x:f t="shared" si="93"/>
        <x:v>1</x:v>
      </x:c>
      <x:c r="R840">
        <x:f t="shared" si="94"/>
        <x:v>1</x:v>
      </x:c>
      <x:c r="S840">
        <x:f t="shared" si="95"/>
        <x:v>3</x:v>
      </x:c>
      <x:c r="T840" t="str">
        <x:f t="shared" si="96"/>
        <x:v>DerivedFromCount</x:v>
      </x:c>
      <x:c r="U840" t="str">
        <x:f>IF(COUNTIF(DailyProduction!$Q$5:$Q$100,B840)=1,"OK","CHECK")</x:f>
        <x:v>OK</x:v>
      </x:c>
      <x:c r="V840" t="str">
        <x:f t="shared" si="97"/>
        <x:v>OK</x:v>
      </x:c>
      <x:c r="W840" t="str">
        <x:f>IF(SUMIF($B$5:$B$914,B840,$S$5:$S$914)=SUMIF(DailyProduction!$Q$5:$Q$100,B840,DailyProduction!$R$5:$R$100),"OK","CHECK")</x:f>
        <x:v>OK</x:v>
      </x:c>
      <x:c r="X840" t="str">
        <x:v>PLC-PRD-JAR-330-L25</x:v>
      </x:c>
      <x:c r="Y840" t="str">
        <x:v>OK</x:v>
      </x:c>
      <x:c r="Z840" t="str">
        <x:v>OK</x:v>
      </x:c>
      <x:c r="AA840" t="n">
        <x:v>3</x:v>
      </x:c>
      <x:c r="AB840" t="n">
        <x:v>3</x:v>
      </x:c>
      <x:c r="AC840" t="str">
        <x:v>OK</x:v>
      </x:c>
      <x:c r="AD840" t="str">
        <x:v>OK</x:v>
      </x:c>
      <x:c r="AE840" t="str">
        <x:v>LOAD</x:v>
      </x:c>
      <x:c r="AF840" t="str">
        <x:v>02_Supervisor_Log(4).xlsx</x:v>
      </x:c>
      <x:c r="AG840" t="str">
        <x:v>ENH-20260830-01</x:v>
      </x:c>
      <x:c r="AH840" t="str">
        <x:v>Active</x:v>
      </x:c>
      <x:c r="AI840"/>
      <x:c r="AJ840"/>
      <x:c r="AK840"/>
      <x:c r="AL840"/>
    </x:row>
    <x:row r="841">
      <x:c r="A841" t="s">
        <x:v>1094</x:v>
      </x:c>
      <x:c r="B841" t="s">
        <x:v>1090</x:v>
      </x:c>
      <x:c r="C841" t="s">
        <x:v>44</x:v>
      </x:c>
      <x:c r="D841">
        <x:v>45954</x:v>
      </x:c>
      <x:c r="E841" t="s">
        <x:v>45</x:v>
      </x:c>
      <x:c r="F841" t="s">
        <x:v>46</x:v>
      </x:c>
      <x:c r="G841">
        <x:v>25</x:v>
      </x:c>
      <x:c r="H841" t="s">
        <x:v>77</x:v>
      </x:c>
      <x:c r="I841">
        <x:v>5</x:v>
      </x:c>
      <x:c r="J841">
        <x:v>8</x:v>
      </x:c>
      <x:c r="K841">
        <x:v>3</x:v>
      </x:c>
      <x:c r="L841">
        <x:f t="shared" si="91"/>
        <x:v>1</x:v>
      </x:c>
      <x:c r="P841">
        <x:f t="shared" si="92"/>
        <x:v>1</x:v>
      </x:c>
      <x:c r="Q841">
        <x:f t="shared" si="93"/>
        <x:v>1</x:v>
      </x:c>
      <x:c r="R841">
        <x:f t="shared" si="94"/>
        <x:v>1</x:v>
      </x:c>
      <x:c r="S841">
        <x:f t="shared" si="95"/>
        <x:v>3</x:v>
      </x:c>
      <x:c r="T841" t="str">
        <x:f t="shared" si="96"/>
        <x:v>DerivedFromCount</x:v>
      </x:c>
      <x:c r="U841" t="str">
        <x:f>IF(COUNTIF(DailyProduction!$Q$5:$Q$100,B841)=1,"OK","CHECK")</x:f>
        <x:v>OK</x:v>
      </x:c>
      <x:c r="V841" t="str">
        <x:f t="shared" si="97"/>
        <x:v>OK</x:v>
      </x:c>
      <x:c r="W841" t="str">
        <x:f>IF(SUMIF($B$5:$B$914,B841,$S$5:$S$914)=SUMIF(DailyProduction!$Q$5:$Q$100,B841,DailyProduction!$R$5:$R$100),"OK","CHECK")</x:f>
        <x:v>OK</x:v>
      </x:c>
      <x:c r="X841" t="str">
        <x:v>PLC-PRD-JAR-330-L25</x:v>
      </x:c>
      <x:c r="Y841" t="str">
        <x:v>OK</x:v>
      </x:c>
      <x:c r="Z841" t="str">
        <x:v>OK</x:v>
      </x:c>
      <x:c r="AA841" t="n">
        <x:v>3</x:v>
      </x:c>
      <x:c r="AB841" t="n">
        <x:v>3</x:v>
      </x:c>
      <x:c r="AC841" t="str">
        <x:v>OK</x:v>
      </x:c>
      <x:c r="AD841" t="str">
        <x:v>OK</x:v>
      </x:c>
      <x:c r="AE841" t="str">
        <x:v>LOAD</x:v>
      </x:c>
      <x:c r="AF841" t="str">
        <x:v>02_Supervisor_Log(4).xlsx</x:v>
      </x:c>
      <x:c r="AG841" t="str">
        <x:v>ENH-20260830-01</x:v>
      </x:c>
      <x:c r="AH841" t="str">
        <x:v>Active</x:v>
      </x:c>
      <x:c r="AI841"/>
      <x:c r="AJ841"/>
      <x:c r="AK841"/>
      <x:c r="AL841"/>
    </x:row>
    <x:row r="842">
      <x:c r="A842" t="s">
        <x:v>1095</x:v>
      </x:c>
      <x:c r="B842" t="s">
        <x:v>1090</x:v>
      </x:c>
      <x:c r="C842" t="s">
        <x:v>44</x:v>
      </x:c>
      <x:c r="D842">
        <x:v>45954</x:v>
      </x:c>
      <x:c r="E842" t="s">
        <x:v>45</x:v>
      </x:c>
      <x:c r="F842" t="s">
        <x:v>46</x:v>
      </x:c>
      <x:c r="G842">
        <x:v>25</x:v>
      </x:c>
      <x:c r="H842" t="s">
        <x:v>77</x:v>
      </x:c>
      <x:c r="I842">
        <x:v>6</x:v>
      </x:c>
      <x:c r="J842">
        <x:v>8</x:v>
      </x:c>
      <x:c r="K842">
        <x:v>3</x:v>
      </x:c>
      <x:c r="L842">
        <x:f t="shared" si="91"/>
        <x:v>1</x:v>
      </x:c>
      <x:c r="P842">
        <x:f t="shared" si="92"/>
        <x:v>1</x:v>
      </x:c>
      <x:c r="Q842">
        <x:f t="shared" si="93"/>
        <x:v>1</x:v>
      </x:c>
      <x:c r="R842">
        <x:f t="shared" si="94"/>
        <x:v>1</x:v>
      </x:c>
      <x:c r="S842">
        <x:f t="shared" si="95"/>
        <x:v>3</x:v>
      </x:c>
      <x:c r="T842" t="str">
        <x:f t="shared" si="96"/>
        <x:v>DerivedFromCount</x:v>
      </x:c>
      <x:c r="U842" t="str">
        <x:f>IF(COUNTIF(DailyProduction!$Q$5:$Q$100,B842)=1,"OK","CHECK")</x:f>
        <x:v>OK</x:v>
      </x:c>
      <x:c r="V842" t="str">
        <x:f t="shared" si="97"/>
        <x:v>OK</x:v>
      </x:c>
      <x:c r="W842" t="str">
        <x:f>IF(SUMIF($B$5:$B$914,B842,$S$5:$S$914)=SUMIF(DailyProduction!$Q$5:$Q$100,B842,DailyProduction!$R$5:$R$100),"OK","CHECK")</x:f>
        <x:v>OK</x:v>
      </x:c>
      <x:c r="X842" t="str">
        <x:v>PLC-PRD-JAR-330-L25</x:v>
      </x:c>
      <x:c r="Y842" t="str">
        <x:v>OK</x:v>
      </x:c>
      <x:c r="Z842" t="str">
        <x:v>OK</x:v>
      </x:c>
      <x:c r="AA842" t="n">
        <x:v>3</x:v>
      </x:c>
      <x:c r="AB842" t="n">
        <x:v>3</x:v>
      </x:c>
      <x:c r="AC842" t="str">
        <x:v>OK</x:v>
      </x:c>
      <x:c r="AD842" t="str">
        <x:v>OK</x:v>
      </x:c>
      <x:c r="AE842" t="str">
        <x:v>LOAD</x:v>
      </x:c>
      <x:c r="AF842" t="str">
        <x:v>02_Supervisor_Log(4).xlsx</x:v>
      </x:c>
      <x:c r="AG842" t="str">
        <x:v>ENH-20260830-01</x:v>
      </x:c>
      <x:c r="AH842" t="str">
        <x:v>Active</x:v>
      </x:c>
      <x:c r="AI842"/>
      <x:c r="AJ842"/>
      <x:c r="AK842"/>
      <x:c r="AL842"/>
    </x:row>
    <x:row r="843">
      <x:c r="A843" t="s">
        <x:v>1096</x:v>
      </x:c>
      <x:c r="B843" t="s">
        <x:v>1090</x:v>
      </x:c>
      <x:c r="C843" t="s">
        <x:v>44</x:v>
      </x:c>
      <x:c r="D843">
        <x:v>45954</x:v>
      </x:c>
      <x:c r="E843" t="s">
        <x:v>45</x:v>
      </x:c>
      <x:c r="F843" t="s">
        <x:v>46</x:v>
      </x:c>
      <x:c r="G843">
        <x:v>25</x:v>
      </x:c>
      <x:c r="H843" t="s">
        <x:v>77</x:v>
      </x:c>
      <x:c r="I843">
        <x:v>7</x:v>
      </x:c>
      <x:c r="J843">
        <x:v>8</x:v>
      </x:c>
      <x:c r="K843">
        <x:v>3</x:v>
      </x:c>
      <x:c r="L843">
        <x:f t="shared" si="91"/>
        <x:v>1</x:v>
      </x:c>
      <x:c r="P843">
        <x:f t="shared" si="92"/>
        <x:v>1</x:v>
      </x:c>
      <x:c r="Q843">
        <x:f t="shared" si="93"/>
        <x:v>1</x:v>
      </x:c>
      <x:c r="R843">
        <x:f t="shared" si="94"/>
        <x:v>1</x:v>
      </x:c>
      <x:c r="S843">
        <x:f t="shared" si="95"/>
        <x:v>3</x:v>
      </x:c>
      <x:c r="T843" t="str">
        <x:f t="shared" si="96"/>
        <x:v>DerivedFromCount</x:v>
      </x:c>
      <x:c r="U843" t="str">
        <x:f>IF(COUNTIF(DailyProduction!$Q$5:$Q$100,B843)=1,"OK","CHECK")</x:f>
        <x:v>OK</x:v>
      </x:c>
      <x:c r="V843" t="str">
        <x:f t="shared" si="97"/>
        <x:v>OK</x:v>
      </x:c>
      <x:c r="W843" t="str">
        <x:f>IF(SUMIF($B$5:$B$914,B843,$S$5:$S$914)=SUMIF(DailyProduction!$Q$5:$Q$100,B843,DailyProduction!$R$5:$R$100),"OK","CHECK")</x:f>
        <x:v>OK</x:v>
      </x:c>
      <x:c r="X843" t="str">
        <x:v>PLC-PRD-JAR-330-L25</x:v>
      </x:c>
      <x:c r="Y843" t="str">
        <x:v>OK</x:v>
      </x:c>
      <x:c r="Z843" t="str">
        <x:v>OK</x:v>
      </x:c>
      <x:c r="AA843" t="n">
        <x:v>3</x:v>
      </x:c>
      <x:c r="AB843" t="n">
        <x:v>3</x:v>
      </x:c>
      <x:c r="AC843" t="str">
        <x:v>OK</x:v>
      </x:c>
      <x:c r="AD843" t="str">
        <x:v>OK</x:v>
      </x:c>
      <x:c r="AE843" t="str">
        <x:v>LOAD</x:v>
      </x:c>
      <x:c r="AF843" t="str">
        <x:v>02_Supervisor_Log(4).xlsx</x:v>
      </x:c>
      <x:c r="AG843" t="str">
        <x:v>ENH-20260830-01</x:v>
      </x:c>
      <x:c r="AH843" t="str">
        <x:v>Active</x:v>
      </x:c>
      <x:c r="AI843"/>
      <x:c r="AJ843"/>
      <x:c r="AK843"/>
      <x:c r="AL843"/>
    </x:row>
    <x:row r="844">
      <x:c r="A844" t="s">
        <x:v>1097</x:v>
      </x:c>
      <x:c r="B844" t="s">
        <x:v>1090</x:v>
      </x:c>
      <x:c r="C844" t="s">
        <x:v>44</x:v>
      </x:c>
      <x:c r="D844">
        <x:v>45954</x:v>
      </x:c>
      <x:c r="E844" t="s">
        <x:v>45</x:v>
      </x:c>
      <x:c r="F844" t="s">
        <x:v>46</x:v>
      </x:c>
      <x:c r="G844">
        <x:v>25</x:v>
      </x:c>
      <x:c r="H844" t="s">
        <x:v>77</x:v>
      </x:c>
      <x:c r="I844">
        <x:v>8</x:v>
      </x:c>
      <x:c r="J844">
        <x:v>8</x:v>
      </x:c>
      <x:c r="K844">
        <x:v>3</x:v>
      </x:c>
      <x:c r="L844">
        <x:f t="shared" si="91"/>
        <x:v>1</x:v>
      </x:c>
      <x:c r="P844">
        <x:f t="shared" si="92"/>
        <x:v>1</x:v>
      </x:c>
      <x:c r="Q844">
        <x:f t="shared" si="93"/>
        <x:v>1</x:v>
      </x:c>
      <x:c r="R844">
        <x:f t="shared" si="94"/>
        <x:v>1</x:v>
      </x:c>
      <x:c r="S844">
        <x:f t="shared" si="95"/>
        <x:v>3</x:v>
      </x:c>
      <x:c r="T844" t="str">
        <x:f t="shared" si="96"/>
        <x:v>DerivedFromCount</x:v>
      </x:c>
      <x:c r="U844" t="str">
        <x:f>IF(COUNTIF(DailyProduction!$Q$5:$Q$100,B844)=1,"OK","CHECK")</x:f>
        <x:v>OK</x:v>
      </x:c>
      <x:c r="V844" t="str">
        <x:f t="shared" si="97"/>
        <x:v>OK</x:v>
      </x:c>
      <x:c r="W844" t="str">
        <x:f>IF(SUMIF($B$5:$B$914,B844,$S$5:$S$914)=SUMIF(DailyProduction!$Q$5:$Q$100,B844,DailyProduction!$R$5:$R$100),"OK","CHECK")</x:f>
        <x:v>OK</x:v>
      </x:c>
      <x:c r="X844" t="str">
        <x:v>PLC-PRD-JAR-330-L25</x:v>
      </x:c>
      <x:c r="Y844" t="str">
        <x:v>OK</x:v>
      </x:c>
      <x:c r="Z844" t="str">
        <x:v>OK</x:v>
      </x:c>
      <x:c r="AA844" t="n">
        <x:v>3</x:v>
      </x:c>
      <x:c r="AB844" t="n">
        <x:v>3</x:v>
      </x:c>
      <x:c r="AC844" t="str">
        <x:v>OK</x:v>
      </x:c>
      <x:c r="AD844" t="str">
        <x:v>OK</x:v>
      </x:c>
      <x:c r="AE844" t="str">
        <x:v>LOAD</x:v>
      </x:c>
      <x:c r="AF844" t="str">
        <x:v>02_Supervisor_Log(4).xlsx</x:v>
      </x:c>
      <x:c r="AG844" t="str">
        <x:v>ENH-20260830-01</x:v>
      </x:c>
      <x:c r="AH844" t="str">
        <x:v>Active</x:v>
      </x:c>
      <x:c r="AI844"/>
      <x:c r="AJ844"/>
      <x:c r="AK844"/>
      <x:c r="AL844"/>
    </x:row>
    <x:row r="845">
      <x:c r="A845" t="s">
        <x:v>1098</x:v>
      </x:c>
      <x:c r="B845" t="s">
        <x:v>1090</x:v>
      </x:c>
      <x:c r="C845" t="s">
        <x:v>44</x:v>
      </x:c>
      <x:c r="D845">
        <x:v>45954</x:v>
      </x:c>
      <x:c r="E845" t="s">
        <x:v>45</x:v>
      </x:c>
      <x:c r="F845" t="s">
        <x:v>46</x:v>
      </x:c>
      <x:c r="G845">
        <x:v>25</x:v>
      </x:c>
      <x:c r="H845" t="s">
        <x:v>77</x:v>
      </x:c>
      <x:c r="I845">
        <x:v>9</x:v>
      </x:c>
      <x:c r="J845">
        <x:v>8</x:v>
      </x:c>
      <x:c r="K845">
        <x:v>3</x:v>
      </x:c>
      <x:c r="L845">
        <x:f t="shared" si="91"/>
        <x:v>0</x:v>
      </x:c>
      <x:c r="P845">
        <x:f t="shared" si="92"/>
        <x:v>0</x:v>
      </x:c>
      <x:c r="Q845">
        <x:f t="shared" si="93"/>
        <x:v>0</x:v>
      </x:c>
      <x:c r="R845">
        <x:f t="shared" si="94"/>
        <x:v>0</x:v>
      </x:c>
      <x:c r="S845">
        <x:f t="shared" si="95"/>
        <x:v>0</x:v>
      </x:c>
      <x:c r="T845" t="str">
        <x:f t="shared" si="96"/>
        <x:v>DerivedFromCount</x:v>
      </x:c>
      <x:c r="U845" t="str">
        <x:f>IF(COUNTIF(DailyProduction!$Q$5:$Q$100,B845)=1,"OK","CHECK")</x:f>
        <x:v>OK</x:v>
      </x:c>
      <x:c r="V845" t="str">
        <x:f t="shared" si="97"/>
        <x:v>OK</x:v>
      </x:c>
      <x:c r="W845" t="str">
        <x:f>IF(SUMIF($B$5:$B$914,B845,$S$5:$S$914)=SUMIF(DailyProduction!$Q$5:$Q$100,B845,DailyProduction!$R$5:$R$100),"OK","CHECK")</x:f>
        <x:v>OK</x:v>
      </x:c>
      <x:c r="X845" t="str">
        <x:v>PLC-PRD-JAR-330-L25</x:v>
      </x:c>
      <x:c r="Y845" t="str">
        <x:v>OK</x:v>
      </x:c>
      <x:c r="Z845" t="str">
        <x:v>OK</x:v>
      </x:c>
      <x:c r="AA845" t="n">
        <x:v>3</x:v>
      </x:c>
      <x:c r="AB845" t="n">
        <x:v>0</x:v>
      </x:c>
      <x:c r="AC845" t="str">
        <x:v>OK</x:v>
      </x:c>
      <x:c r="AD845" t="str">
        <x:v>OK</x:v>
      </x:c>
      <x:c r="AE845" t="str">
        <x:v>LOAD</x:v>
      </x:c>
      <x:c r="AF845" t="str">
        <x:v>02_Supervisor_Log(4).xlsx</x:v>
      </x:c>
      <x:c r="AG845" t="str">
        <x:v>ENH-20260830-01</x:v>
      </x:c>
      <x:c r="AH845" t="str">
        <x:v>Active</x:v>
      </x:c>
      <x:c r="AI845"/>
      <x:c r="AJ845"/>
      <x:c r="AK845"/>
      <x:c r="AL845"/>
    </x:row>
    <x:row r="846">
      <x:c r="A846" t="s">
        <x:v>1099</x:v>
      </x:c>
      <x:c r="B846" t="s">
        <x:v>1090</x:v>
      </x:c>
      <x:c r="C846" t="s">
        <x:v>44</x:v>
      </x:c>
      <x:c r="D846">
        <x:v>45954</x:v>
      </x:c>
      <x:c r="E846" t="s">
        <x:v>45</x:v>
      </x:c>
      <x:c r="F846" t="s">
        <x:v>46</x:v>
      </x:c>
      <x:c r="G846">
        <x:v>25</x:v>
      </x:c>
      <x:c r="H846" t="s">
        <x:v>77</x:v>
      </x:c>
      <x:c r="I846">
        <x:v>10</x:v>
      </x:c>
      <x:c r="J846">
        <x:v>8</x:v>
      </x:c>
      <x:c r="K846">
        <x:v>3</x:v>
      </x:c>
      <x:c r="L846">
        <x:f t="shared" si="91"/>
        <x:v>0</x:v>
      </x:c>
      <x:c r="P846">
        <x:f t="shared" si="92"/>
        <x:v>0</x:v>
      </x:c>
      <x:c r="Q846">
        <x:f t="shared" si="93"/>
        <x:v>0</x:v>
      </x:c>
      <x:c r="R846">
        <x:f t="shared" si="94"/>
        <x:v>0</x:v>
      </x:c>
      <x:c r="S846">
        <x:f t="shared" si="95"/>
        <x:v>0</x:v>
      </x:c>
      <x:c r="T846" t="str">
        <x:f t="shared" si="96"/>
        <x:v>DerivedFromCount</x:v>
      </x:c>
      <x:c r="U846" t="str">
        <x:f>IF(COUNTIF(DailyProduction!$Q$5:$Q$100,B846)=1,"OK","CHECK")</x:f>
        <x:v>OK</x:v>
      </x:c>
      <x:c r="V846" t="str">
        <x:f t="shared" si="97"/>
        <x:v>OK</x:v>
      </x:c>
      <x:c r="W846" t="str">
        <x:f>IF(SUMIF($B$5:$B$914,B846,$S$5:$S$914)=SUMIF(DailyProduction!$Q$5:$Q$100,B846,DailyProduction!$R$5:$R$100),"OK","CHECK")</x:f>
        <x:v>OK</x:v>
      </x:c>
      <x:c r="X846" t="str">
        <x:v>PLC-PRD-JAR-330-L25</x:v>
      </x:c>
      <x:c r="Y846" t="str">
        <x:v>OK</x:v>
      </x:c>
      <x:c r="Z846" t="str">
        <x:v>OK</x:v>
      </x:c>
      <x:c r="AA846" t="n">
        <x:v>3</x:v>
      </x:c>
      <x:c r="AB846" t="n">
        <x:v>0</x:v>
      </x:c>
      <x:c r="AC846" t="str">
        <x:v>OK</x:v>
      </x:c>
      <x:c r="AD846" t="str">
        <x:v>OK</x:v>
      </x:c>
      <x:c r="AE846" t="str">
        <x:v>LOAD</x:v>
      </x:c>
      <x:c r="AF846" t="str">
        <x:v>02_Supervisor_Log(4).xlsx</x:v>
      </x:c>
      <x:c r="AG846" t="str">
        <x:v>ENH-20260830-01</x:v>
      </x:c>
      <x:c r="AH846" t="str">
        <x:v>Active</x:v>
      </x:c>
      <x:c r="AI846"/>
      <x:c r="AJ846"/>
      <x:c r="AK846"/>
      <x:c r="AL846"/>
    </x:row>
    <x:row r="847">
      <x:c r="A847" t="s">
        <x:v>1100</x:v>
      </x:c>
      <x:c r="B847" t="s">
        <x:v>1090</x:v>
      </x:c>
      <x:c r="C847" t="s">
        <x:v>44</x:v>
      </x:c>
      <x:c r="D847">
        <x:v>45954</x:v>
      </x:c>
      <x:c r="E847" t="s">
        <x:v>45</x:v>
      </x:c>
      <x:c r="F847" t="s">
        <x:v>46</x:v>
      </x:c>
      <x:c r="G847">
        <x:v>25</x:v>
      </x:c>
      <x:c r="H847" t="s">
        <x:v>77</x:v>
      </x:c>
      <x:c r="I847">
        <x:v>11</x:v>
      </x:c>
      <x:c r="J847">
        <x:v>8</x:v>
      </x:c>
      <x:c r="K847">
        <x:v>3</x:v>
      </x:c>
      <x:c r="L847">
        <x:f t="shared" si="91"/>
        <x:v>0</x:v>
      </x:c>
      <x:c r="P847">
        <x:f t="shared" si="92"/>
        <x:v>0</x:v>
      </x:c>
      <x:c r="Q847">
        <x:f t="shared" si="93"/>
        <x:v>0</x:v>
      </x:c>
      <x:c r="R847">
        <x:f t="shared" si="94"/>
        <x:v>0</x:v>
      </x:c>
      <x:c r="S847">
        <x:f t="shared" si="95"/>
        <x:v>0</x:v>
      </x:c>
      <x:c r="T847" t="str">
        <x:f t="shared" si="96"/>
        <x:v>DerivedFromCount</x:v>
      </x:c>
      <x:c r="U847" t="str">
        <x:f>IF(COUNTIF(DailyProduction!$Q$5:$Q$100,B847)=1,"OK","CHECK")</x:f>
        <x:v>OK</x:v>
      </x:c>
      <x:c r="V847" t="str">
        <x:f t="shared" si="97"/>
        <x:v>OK</x:v>
      </x:c>
      <x:c r="W847" t="str">
        <x:f>IF(SUMIF($B$5:$B$914,B847,$S$5:$S$914)=SUMIF(DailyProduction!$Q$5:$Q$100,B847,DailyProduction!$R$5:$R$100),"OK","CHECK")</x:f>
        <x:v>OK</x:v>
      </x:c>
      <x:c r="X847" t="str">
        <x:v>PLC-PRD-JAR-330-L25</x:v>
      </x:c>
      <x:c r="Y847" t="str">
        <x:v>OK</x:v>
      </x:c>
      <x:c r="Z847" t="str">
        <x:v>OK</x:v>
      </x:c>
      <x:c r="AA847" t="n">
        <x:v>3</x:v>
      </x:c>
      <x:c r="AB847" t="n">
        <x:v>0</x:v>
      </x:c>
      <x:c r="AC847" t="str">
        <x:v>OK</x:v>
      </x:c>
      <x:c r="AD847" t="str">
        <x:v>OK</x:v>
      </x:c>
      <x:c r="AE847" t="str">
        <x:v>LOAD</x:v>
      </x:c>
      <x:c r="AF847" t="str">
        <x:v>02_Supervisor_Log(4).xlsx</x:v>
      </x:c>
      <x:c r="AG847" t="str">
        <x:v>ENH-20260830-01</x:v>
      </x:c>
      <x:c r="AH847" t="str">
        <x:v>Active</x:v>
      </x:c>
      <x:c r="AI847"/>
      <x:c r="AJ847"/>
      <x:c r="AK847"/>
      <x:c r="AL847"/>
    </x:row>
    <x:row r="848">
      <x:c r="A848" t="s">
        <x:v>1101</x:v>
      </x:c>
      <x:c r="B848" t="s">
        <x:v>1090</x:v>
      </x:c>
      <x:c r="C848" t="s">
        <x:v>44</x:v>
      </x:c>
      <x:c r="D848">
        <x:v>45954</x:v>
      </x:c>
      <x:c r="E848" t="s">
        <x:v>45</x:v>
      </x:c>
      <x:c r="F848" t="s">
        <x:v>46</x:v>
      </x:c>
      <x:c r="G848">
        <x:v>25</x:v>
      </x:c>
      <x:c r="H848" t="s">
        <x:v>77</x:v>
      </x:c>
      <x:c r="I848">
        <x:v>12</x:v>
      </x:c>
      <x:c r="J848">
        <x:v>8</x:v>
      </x:c>
      <x:c r="K848">
        <x:v>3</x:v>
      </x:c>
      <x:c r="L848">
        <x:f t="shared" si="91"/>
        <x:v>0</x:v>
      </x:c>
      <x:c r="P848">
        <x:f t="shared" si="92"/>
        <x:v>0</x:v>
      </x:c>
      <x:c r="Q848">
        <x:f t="shared" si="93"/>
        <x:v>0</x:v>
      </x:c>
      <x:c r="R848">
        <x:f t="shared" si="94"/>
        <x:v>0</x:v>
      </x:c>
      <x:c r="S848">
        <x:f t="shared" si="95"/>
        <x:v>0</x:v>
      </x:c>
      <x:c r="T848" t="str">
        <x:f t="shared" si="96"/>
        <x:v>DerivedFromCount</x:v>
      </x:c>
      <x:c r="U848" t="str">
        <x:f>IF(COUNTIF(DailyProduction!$Q$5:$Q$100,B848)=1,"OK","CHECK")</x:f>
        <x:v>OK</x:v>
      </x:c>
      <x:c r="V848" t="str">
        <x:f t="shared" si="97"/>
        <x:v>OK</x:v>
      </x:c>
      <x:c r="W848" t="str">
        <x:f>IF(SUMIF($B$5:$B$914,B848,$S$5:$S$914)=SUMIF(DailyProduction!$Q$5:$Q$100,B848,DailyProduction!$R$5:$R$100),"OK","CHECK")</x:f>
        <x:v>OK</x:v>
      </x:c>
      <x:c r="X848" t="str">
        <x:v>PLC-PRD-JAR-330-L25</x:v>
      </x:c>
      <x:c r="Y848" t="str">
        <x:v>OK</x:v>
      </x:c>
      <x:c r="Z848" t="str">
        <x:v>OK</x:v>
      </x:c>
      <x:c r="AA848" t="n">
        <x:v>3</x:v>
      </x:c>
      <x:c r="AB848" t="n">
        <x:v>0</x:v>
      </x:c>
      <x:c r="AC848" t="str">
        <x:v>OK</x:v>
      </x:c>
      <x:c r="AD848" t="str">
        <x:v>OK</x:v>
      </x:c>
      <x:c r="AE848" t="str">
        <x:v>LOAD</x:v>
      </x:c>
      <x:c r="AF848" t="str">
        <x:v>02_Supervisor_Log(4).xlsx</x:v>
      </x:c>
      <x:c r="AG848" t="str">
        <x:v>ENH-20260830-01</x:v>
      </x:c>
      <x:c r="AH848" t="str">
        <x:v>Active</x:v>
      </x:c>
      <x:c r="AI848"/>
      <x:c r="AJ848"/>
      <x:c r="AK848"/>
      <x:c r="AL848"/>
    </x:row>
    <x:row r="849">
      <x:c r="A849" t="s">
        <x:v>1102</x:v>
      </x:c>
      <x:c r="B849" t="s">
        <x:v>1090</x:v>
      </x:c>
      <x:c r="C849" t="s">
        <x:v>44</x:v>
      </x:c>
      <x:c r="D849">
        <x:v>45954</x:v>
      </x:c>
      <x:c r="E849" t="s">
        <x:v>45</x:v>
      </x:c>
      <x:c r="F849" t="s">
        <x:v>46</x:v>
      </x:c>
      <x:c r="G849">
        <x:v>25</x:v>
      </x:c>
      <x:c r="H849" t="s">
        <x:v>77</x:v>
      </x:c>
      <x:c r="I849">
        <x:v>13</x:v>
      </x:c>
      <x:c r="J849">
        <x:v>8</x:v>
      </x:c>
      <x:c r="K849">
        <x:v>3</x:v>
      </x:c>
      <x:c r="L849">
        <x:f t="shared" si="91"/>
        <x:v>0</x:v>
      </x:c>
      <x:c r="P849">
        <x:f t="shared" si="92"/>
        <x:v>0</x:v>
      </x:c>
      <x:c r="Q849">
        <x:f t="shared" si="93"/>
        <x:v>0</x:v>
      </x:c>
      <x:c r="R849">
        <x:f t="shared" si="94"/>
        <x:v>0</x:v>
      </x:c>
      <x:c r="S849">
        <x:f t="shared" si="95"/>
        <x:v>0</x:v>
      </x:c>
      <x:c r="T849" t="str">
        <x:f t="shared" si="96"/>
        <x:v>DerivedFromCount</x:v>
      </x:c>
      <x:c r="U849" t="str">
        <x:f>IF(COUNTIF(DailyProduction!$Q$5:$Q$100,B849)=1,"OK","CHECK")</x:f>
        <x:v>OK</x:v>
      </x:c>
      <x:c r="V849" t="str">
        <x:f t="shared" si="97"/>
        <x:v>OK</x:v>
      </x:c>
      <x:c r="W849" t="str">
        <x:f>IF(SUMIF($B$5:$B$914,B849,$S$5:$S$914)=SUMIF(DailyProduction!$Q$5:$Q$100,B849,DailyProduction!$R$5:$R$100),"OK","CHECK")</x:f>
        <x:v>OK</x:v>
      </x:c>
      <x:c r="X849" t="str">
        <x:v>PLC-PRD-JAR-330-L25</x:v>
      </x:c>
      <x:c r="Y849" t="str">
        <x:v>OK</x:v>
      </x:c>
      <x:c r="Z849" t="str">
        <x:v>OK</x:v>
      </x:c>
      <x:c r="AA849" t="n">
        <x:v>3</x:v>
      </x:c>
      <x:c r="AB849" t="n">
        <x:v>0</x:v>
      </x:c>
      <x:c r="AC849" t="str">
        <x:v>OK</x:v>
      </x:c>
      <x:c r="AD849" t="str">
        <x:v>OK</x:v>
      </x:c>
      <x:c r="AE849" t="str">
        <x:v>LOAD</x:v>
      </x:c>
      <x:c r="AF849" t="str">
        <x:v>02_Supervisor_Log(4).xlsx</x:v>
      </x:c>
      <x:c r="AG849" t="str">
        <x:v>ENH-20260830-01</x:v>
      </x:c>
      <x:c r="AH849" t="str">
        <x:v>Active</x:v>
      </x:c>
      <x:c r="AI849"/>
      <x:c r="AJ849"/>
      <x:c r="AK849"/>
      <x:c r="AL849"/>
    </x:row>
    <x:row r="850">
      <x:c r="A850" t="s">
        <x:v>1103</x:v>
      </x:c>
      <x:c r="B850" t="s">
        <x:v>1104</x:v>
      </x:c>
      <x:c r="C850" t="s">
        <x:v>44</x:v>
      </x:c>
      <x:c r="D850">
        <x:v>45954</x:v>
      </x:c>
      <x:c r="E850" t="s">
        <x:v>187</x:v>
      </x:c>
      <x:c r="F850" t="s">
        <x:v>51</x:v>
      </x:c>
      <x:c r="G850">
        <x:v>25</x:v>
      </x:c>
      <x:c r="H850" t="s">
        <x:v>77</x:v>
      </x:c>
      <x:c r="I850">
        <x:v>1</x:v>
      </x:c>
      <x:c r="J850">
        <x:v>8</x:v>
      </x:c>
      <x:c r="K850">
        <x:v>3</x:v>
      </x:c>
      <x:c r="L850">
        <x:f t="shared" si="91"/>
        <x:v>1</x:v>
      </x:c>
      <x:c r="P850">
        <x:f t="shared" si="92"/>
        <x:v>1</x:v>
      </x:c>
      <x:c r="Q850">
        <x:f t="shared" si="93"/>
        <x:v>1</x:v>
      </x:c>
      <x:c r="R850">
        <x:f t="shared" si="94"/>
        <x:v>1</x:v>
      </x:c>
      <x:c r="S850">
        <x:f t="shared" si="95"/>
        <x:v>3</x:v>
      </x:c>
      <x:c r="T850" t="str">
        <x:f t="shared" si="96"/>
        <x:v>DerivedFromCount</x:v>
      </x:c>
      <x:c r="U850" t="str">
        <x:f>IF(COUNTIF(DailyProduction!$Q$5:$Q$100,B850)=1,"OK","CHECK")</x:f>
        <x:v>OK</x:v>
      </x:c>
      <x:c r="V850" t="str">
        <x:f t="shared" si="97"/>
        <x:v>OK</x:v>
      </x:c>
      <x:c r="W850" t="str">
        <x:f>IF(SUMIF($B$5:$B$914,B850,$S$5:$S$914)=SUMIF(DailyProduction!$Q$5:$Q$100,B850,DailyProduction!$R$5:$R$100),"OK","CHECK")</x:f>
        <x:v>OK</x:v>
      </x:c>
      <x:c r="X850" t="str">
        <x:v>PLC-PRD-JAR-330-L25</x:v>
      </x:c>
      <x:c r="Y850" t="str">
        <x:v>OK</x:v>
      </x:c>
      <x:c r="Z850" t="str">
        <x:v>OK</x:v>
      </x:c>
      <x:c r="AA850" t="n">
        <x:v>3</x:v>
      </x:c>
      <x:c r="AB850" t="n">
        <x:v>3</x:v>
      </x:c>
      <x:c r="AC850" t="str">
        <x:v>OK</x:v>
      </x:c>
      <x:c r="AD850" t="str">
        <x:v>OK</x:v>
      </x:c>
      <x:c r="AE850" t="str">
        <x:v>LOAD</x:v>
      </x:c>
      <x:c r="AF850" t="str">
        <x:v>02_Supervisor_Log(4).xlsx</x:v>
      </x:c>
      <x:c r="AG850" t="str">
        <x:v>ENH-20260830-01</x:v>
      </x:c>
      <x:c r="AH850" t="str">
        <x:v>Active</x:v>
      </x:c>
      <x:c r="AI850"/>
      <x:c r="AJ850"/>
      <x:c r="AK850"/>
      <x:c r="AL850"/>
    </x:row>
    <x:row r="851">
      <x:c r="A851" t="s">
        <x:v>1105</x:v>
      </x:c>
      <x:c r="B851" t="s">
        <x:v>1104</x:v>
      </x:c>
      <x:c r="C851" t="s">
        <x:v>44</x:v>
      </x:c>
      <x:c r="D851">
        <x:v>45954</x:v>
      </x:c>
      <x:c r="E851" t="s">
        <x:v>187</x:v>
      </x:c>
      <x:c r="F851" t="s">
        <x:v>51</x:v>
      </x:c>
      <x:c r="G851">
        <x:v>25</x:v>
      </x:c>
      <x:c r="H851" t="s">
        <x:v>77</x:v>
      </x:c>
      <x:c r="I851">
        <x:v>2</x:v>
      </x:c>
      <x:c r="J851">
        <x:v>8</x:v>
      </x:c>
      <x:c r="K851">
        <x:v>3</x:v>
      </x:c>
      <x:c r="L851">
        <x:f t="shared" si="91"/>
        <x:v>1</x:v>
      </x:c>
      <x:c r="P851">
        <x:f t="shared" si="92"/>
        <x:v>1</x:v>
      </x:c>
      <x:c r="Q851">
        <x:f t="shared" si="93"/>
        <x:v>1</x:v>
      </x:c>
      <x:c r="R851">
        <x:f t="shared" si="94"/>
        <x:v>1</x:v>
      </x:c>
      <x:c r="S851">
        <x:f t="shared" si="95"/>
        <x:v>3</x:v>
      </x:c>
      <x:c r="T851" t="str">
        <x:f t="shared" si="96"/>
        <x:v>DerivedFromCount</x:v>
      </x:c>
      <x:c r="U851" t="str">
        <x:f>IF(COUNTIF(DailyProduction!$Q$5:$Q$100,B851)=1,"OK","CHECK")</x:f>
        <x:v>OK</x:v>
      </x:c>
      <x:c r="V851" t="str">
        <x:f t="shared" si="97"/>
        <x:v>OK</x:v>
      </x:c>
      <x:c r="W851" t="str">
        <x:f>IF(SUMIF($B$5:$B$914,B851,$S$5:$S$914)=SUMIF(DailyProduction!$Q$5:$Q$100,B851,DailyProduction!$R$5:$R$100),"OK","CHECK")</x:f>
        <x:v>OK</x:v>
      </x:c>
      <x:c r="X851" t="str">
        <x:v>PLC-PRD-JAR-330-L25</x:v>
      </x:c>
      <x:c r="Y851" t="str">
        <x:v>OK</x:v>
      </x:c>
      <x:c r="Z851" t="str">
        <x:v>OK</x:v>
      </x:c>
      <x:c r="AA851" t="n">
        <x:v>3</x:v>
      </x:c>
      <x:c r="AB851" t="n">
        <x:v>3</x:v>
      </x:c>
      <x:c r="AC851" t="str">
        <x:v>OK</x:v>
      </x:c>
      <x:c r="AD851" t="str">
        <x:v>OK</x:v>
      </x:c>
      <x:c r="AE851" t="str">
        <x:v>LOAD</x:v>
      </x:c>
      <x:c r="AF851" t="str">
        <x:v>02_Supervisor_Log(4).xlsx</x:v>
      </x:c>
      <x:c r="AG851" t="str">
        <x:v>ENH-20260830-01</x:v>
      </x:c>
      <x:c r="AH851" t="str">
        <x:v>Active</x:v>
      </x:c>
      <x:c r="AI851"/>
      <x:c r="AJ851"/>
      <x:c r="AK851"/>
      <x:c r="AL851"/>
    </x:row>
    <x:row r="852">
      <x:c r="A852" t="s">
        <x:v>1106</x:v>
      </x:c>
      <x:c r="B852" t="s">
        <x:v>1104</x:v>
      </x:c>
      <x:c r="C852" t="s">
        <x:v>44</x:v>
      </x:c>
      <x:c r="D852">
        <x:v>45954</x:v>
      </x:c>
      <x:c r="E852" t="s">
        <x:v>187</x:v>
      </x:c>
      <x:c r="F852" t="s">
        <x:v>51</x:v>
      </x:c>
      <x:c r="G852">
        <x:v>25</x:v>
      </x:c>
      <x:c r="H852" t="s">
        <x:v>77</x:v>
      </x:c>
      <x:c r="I852">
        <x:v>3</x:v>
      </x:c>
      <x:c r="J852">
        <x:v>8</x:v>
      </x:c>
      <x:c r="K852">
        <x:v>3</x:v>
      </x:c>
      <x:c r="L852">
        <x:f t="shared" si="91"/>
        <x:v>1</x:v>
      </x:c>
      <x:c r="P852">
        <x:f t="shared" si="92"/>
        <x:v>1</x:v>
      </x:c>
      <x:c r="Q852">
        <x:f t="shared" si="93"/>
        <x:v>1</x:v>
      </x:c>
      <x:c r="R852">
        <x:f t="shared" si="94"/>
        <x:v>1</x:v>
      </x:c>
      <x:c r="S852">
        <x:f t="shared" si="95"/>
        <x:v>3</x:v>
      </x:c>
      <x:c r="T852" t="str">
        <x:f t="shared" si="96"/>
        <x:v>DerivedFromCount</x:v>
      </x:c>
      <x:c r="U852" t="str">
        <x:f>IF(COUNTIF(DailyProduction!$Q$5:$Q$100,B852)=1,"OK","CHECK")</x:f>
        <x:v>OK</x:v>
      </x:c>
      <x:c r="V852" t="str">
        <x:f t="shared" si="97"/>
        <x:v>OK</x:v>
      </x:c>
      <x:c r="W852" t="str">
        <x:f>IF(SUMIF($B$5:$B$914,B852,$S$5:$S$914)=SUMIF(DailyProduction!$Q$5:$Q$100,B852,DailyProduction!$R$5:$R$100),"OK","CHECK")</x:f>
        <x:v>OK</x:v>
      </x:c>
      <x:c r="X852" t="str">
        <x:v>PLC-PRD-JAR-330-L25</x:v>
      </x:c>
      <x:c r="Y852" t="str">
        <x:v>OK</x:v>
      </x:c>
      <x:c r="Z852" t="str">
        <x:v>OK</x:v>
      </x:c>
      <x:c r="AA852" t="n">
        <x:v>3</x:v>
      </x:c>
      <x:c r="AB852" t="n">
        <x:v>3</x:v>
      </x:c>
      <x:c r="AC852" t="str">
        <x:v>OK</x:v>
      </x:c>
      <x:c r="AD852" t="str">
        <x:v>OK</x:v>
      </x:c>
      <x:c r="AE852" t="str">
        <x:v>LOAD</x:v>
      </x:c>
      <x:c r="AF852" t="str">
        <x:v>02_Supervisor_Log(4).xlsx</x:v>
      </x:c>
      <x:c r="AG852" t="str">
        <x:v>ENH-20260830-01</x:v>
      </x:c>
      <x:c r="AH852" t="str">
        <x:v>Active</x:v>
      </x:c>
      <x:c r="AI852"/>
      <x:c r="AJ852"/>
      <x:c r="AK852"/>
      <x:c r="AL852"/>
    </x:row>
    <x:row r="853">
      <x:c r="A853" t="s">
        <x:v>1107</x:v>
      </x:c>
      <x:c r="B853" t="s">
        <x:v>1104</x:v>
      </x:c>
      <x:c r="C853" t="s">
        <x:v>44</x:v>
      </x:c>
      <x:c r="D853">
        <x:v>45954</x:v>
      </x:c>
      <x:c r="E853" t="s">
        <x:v>187</x:v>
      </x:c>
      <x:c r="F853" t="s">
        <x:v>51</x:v>
      </x:c>
      <x:c r="G853">
        <x:v>25</x:v>
      </x:c>
      <x:c r="H853" t="s">
        <x:v>77</x:v>
      </x:c>
      <x:c r="I853">
        <x:v>4</x:v>
      </x:c>
      <x:c r="J853">
        <x:v>8</x:v>
      </x:c>
      <x:c r="K853">
        <x:v>3</x:v>
      </x:c>
      <x:c r="L853">
        <x:f t="shared" si="91"/>
        <x:v>1</x:v>
      </x:c>
      <x:c r="P853">
        <x:f t="shared" si="92"/>
        <x:v>1</x:v>
      </x:c>
      <x:c r="Q853">
        <x:f t="shared" si="93"/>
        <x:v>1</x:v>
      </x:c>
      <x:c r="R853">
        <x:f t="shared" si="94"/>
        <x:v>1</x:v>
      </x:c>
      <x:c r="S853">
        <x:f t="shared" si="95"/>
        <x:v>3</x:v>
      </x:c>
      <x:c r="T853" t="str">
        <x:f t="shared" si="96"/>
        <x:v>DerivedFromCount</x:v>
      </x:c>
      <x:c r="U853" t="str">
        <x:f>IF(COUNTIF(DailyProduction!$Q$5:$Q$100,B853)=1,"OK","CHECK")</x:f>
        <x:v>OK</x:v>
      </x:c>
      <x:c r="V853" t="str">
        <x:f t="shared" si="97"/>
        <x:v>OK</x:v>
      </x:c>
      <x:c r="W853" t="str">
        <x:f>IF(SUMIF($B$5:$B$914,B853,$S$5:$S$914)=SUMIF(DailyProduction!$Q$5:$Q$100,B853,DailyProduction!$R$5:$R$100),"OK","CHECK")</x:f>
        <x:v>OK</x:v>
      </x:c>
      <x:c r="X853" t="str">
        <x:v>PLC-PRD-JAR-330-L25</x:v>
      </x:c>
      <x:c r="Y853" t="str">
        <x:v>OK</x:v>
      </x:c>
      <x:c r="Z853" t="str">
        <x:v>OK</x:v>
      </x:c>
      <x:c r="AA853" t="n">
        <x:v>3</x:v>
      </x:c>
      <x:c r="AB853" t="n">
        <x:v>3</x:v>
      </x:c>
      <x:c r="AC853" t="str">
        <x:v>OK</x:v>
      </x:c>
      <x:c r="AD853" t="str">
        <x:v>OK</x:v>
      </x:c>
      <x:c r="AE853" t="str">
        <x:v>LOAD</x:v>
      </x:c>
      <x:c r="AF853" t="str">
        <x:v>02_Supervisor_Log(4).xlsx</x:v>
      </x:c>
      <x:c r="AG853" t="str">
        <x:v>ENH-20260830-01</x:v>
      </x:c>
      <x:c r="AH853" t="str">
        <x:v>Active</x:v>
      </x:c>
      <x:c r="AI853"/>
      <x:c r="AJ853"/>
      <x:c r="AK853"/>
      <x:c r="AL853"/>
    </x:row>
    <x:row r="854">
      <x:c r="A854" t="s">
        <x:v>1108</x:v>
      </x:c>
      <x:c r="B854" t="s">
        <x:v>1104</x:v>
      </x:c>
      <x:c r="C854" t="s">
        <x:v>44</x:v>
      </x:c>
      <x:c r="D854">
        <x:v>45954</x:v>
      </x:c>
      <x:c r="E854" t="s">
        <x:v>187</x:v>
      </x:c>
      <x:c r="F854" t="s">
        <x:v>51</x:v>
      </x:c>
      <x:c r="G854">
        <x:v>25</x:v>
      </x:c>
      <x:c r="H854" t="s">
        <x:v>77</x:v>
      </x:c>
      <x:c r="I854">
        <x:v>5</x:v>
      </x:c>
      <x:c r="J854">
        <x:v>8</x:v>
      </x:c>
      <x:c r="K854">
        <x:v>3</x:v>
      </x:c>
      <x:c r="L854">
        <x:f t="shared" si="91"/>
        <x:v>1</x:v>
      </x:c>
      <x:c r="P854">
        <x:f t="shared" si="92"/>
        <x:v>1</x:v>
      </x:c>
      <x:c r="Q854">
        <x:f t="shared" si="93"/>
        <x:v>1</x:v>
      </x:c>
      <x:c r="R854">
        <x:f t="shared" si="94"/>
        <x:v>1</x:v>
      </x:c>
      <x:c r="S854">
        <x:f t="shared" si="95"/>
        <x:v>3</x:v>
      </x:c>
      <x:c r="T854" t="str">
        <x:f t="shared" si="96"/>
        <x:v>DerivedFromCount</x:v>
      </x:c>
      <x:c r="U854" t="str">
        <x:f>IF(COUNTIF(DailyProduction!$Q$5:$Q$100,B854)=1,"OK","CHECK")</x:f>
        <x:v>OK</x:v>
      </x:c>
      <x:c r="V854" t="str">
        <x:f t="shared" si="97"/>
        <x:v>OK</x:v>
      </x:c>
      <x:c r="W854" t="str">
        <x:f>IF(SUMIF($B$5:$B$914,B854,$S$5:$S$914)=SUMIF(DailyProduction!$Q$5:$Q$100,B854,DailyProduction!$R$5:$R$100),"OK","CHECK")</x:f>
        <x:v>OK</x:v>
      </x:c>
      <x:c r="X854" t="str">
        <x:v>PLC-PRD-JAR-330-L25</x:v>
      </x:c>
      <x:c r="Y854" t="str">
        <x:v>OK</x:v>
      </x:c>
      <x:c r="Z854" t="str">
        <x:v>OK</x:v>
      </x:c>
      <x:c r="AA854" t="n">
        <x:v>3</x:v>
      </x:c>
      <x:c r="AB854" t="n">
        <x:v>3</x:v>
      </x:c>
      <x:c r="AC854" t="str">
        <x:v>OK</x:v>
      </x:c>
      <x:c r="AD854" t="str">
        <x:v>OK</x:v>
      </x:c>
      <x:c r="AE854" t="str">
        <x:v>LOAD</x:v>
      </x:c>
      <x:c r="AF854" t="str">
        <x:v>02_Supervisor_Log(4).xlsx</x:v>
      </x:c>
      <x:c r="AG854" t="str">
        <x:v>ENH-20260830-01</x:v>
      </x:c>
      <x:c r="AH854" t="str">
        <x:v>Active</x:v>
      </x:c>
      <x:c r="AI854"/>
      <x:c r="AJ854"/>
      <x:c r="AK854"/>
      <x:c r="AL854"/>
    </x:row>
    <x:row r="855">
      <x:c r="A855" t="s">
        <x:v>1109</x:v>
      </x:c>
      <x:c r="B855" t="s">
        <x:v>1104</x:v>
      </x:c>
      <x:c r="C855" t="s">
        <x:v>44</x:v>
      </x:c>
      <x:c r="D855">
        <x:v>45954</x:v>
      </x:c>
      <x:c r="E855" t="s">
        <x:v>187</x:v>
      </x:c>
      <x:c r="F855" t="s">
        <x:v>51</x:v>
      </x:c>
      <x:c r="G855">
        <x:v>25</x:v>
      </x:c>
      <x:c r="H855" t="s">
        <x:v>77</x:v>
      </x:c>
      <x:c r="I855">
        <x:v>6</x:v>
      </x:c>
      <x:c r="J855">
        <x:v>8</x:v>
      </x:c>
      <x:c r="K855">
        <x:v>3</x:v>
      </x:c>
      <x:c r="L855">
        <x:f t="shared" si="91"/>
        <x:v>1</x:v>
      </x:c>
      <x:c r="P855">
        <x:f t="shared" si="92"/>
        <x:v>1</x:v>
      </x:c>
      <x:c r="Q855">
        <x:f t="shared" si="93"/>
        <x:v>1</x:v>
      </x:c>
      <x:c r="R855">
        <x:f t="shared" si="94"/>
        <x:v>1</x:v>
      </x:c>
      <x:c r="S855">
        <x:f t="shared" si="95"/>
        <x:v>3</x:v>
      </x:c>
      <x:c r="T855" t="str">
        <x:f t="shared" si="96"/>
        <x:v>DerivedFromCount</x:v>
      </x:c>
      <x:c r="U855" t="str">
        <x:f>IF(COUNTIF(DailyProduction!$Q$5:$Q$100,B855)=1,"OK","CHECK")</x:f>
        <x:v>OK</x:v>
      </x:c>
      <x:c r="V855" t="str">
        <x:f t="shared" si="97"/>
        <x:v>OK</x:v>
      </x:c>
      <x:c r="W855" t="str">
        <x:f>IF(SUMIF($B$5:$B$914,B855,$S$5:$S$914)=SUMIF(DailyProduction!$Q$5:$Q$100,B855,DailyProduction!$R$5:$R$100),"OK","CHECK")</x:f>
        <x:v>OK</x:v>
      </x:c>
      <x:c r="X855" t="str">
        <x:v>PLC-PRD-JAR-330-L25</x:v>
      </x:c>
      <x:c r="Y855" t="str">
        <x:v>OK</x:v>
      </x:c>
      <x:c r="Z855" t="str">
        <x:v>OK</x:v>
      </x:c>
      <x:c r="AA855" t="n">
        <x:v>3</x:v>
      </x:c>
      <x:c r="AB855" t="n">
        <x:v>3</x:v>
      </x:c>
      <x:c r="AC855" t="str">
        <x:v>OK</x:v>
      </x:c>
      <x:c r="AD855" t="str">
        <x:v>OK</x:v>
      </x:c>
      <x:c r="AE855" t="str">
        <x:v>LOAD</x:v>
      </x:c>
      <x:c r="AF855" t="str">
        <x:v>02_Supervisor_Log(4).xlsx</x:v>
      </x:c>
      <x:c r="AG855" t="str">
        <x:v>ENH-20260830-01</x:v>
      </x:c>
      <x:c r="AH855" t="str">
        <x:v>Active</x:v>
      </x:c>
      <x:c r="AI855"/>
      <x:c r="AJ855"/>
      <x:c r="AK855"/>
      <x:c r="AL855"/>
    </x:row>
    <x:row r="856">
      <x:c r="A856" t="s">
        <x:v>1110</x:v>
      </x:c>
      <x:c r="B856" t="s">
        <x:v>1104</x:v>
      </x:c>
      <x:c r="C856" t="s">
        <x:v>44</x:v>
      </x:c>
      <x:c r="D856">
        <x:v>45954</x:v>
      </x:c>
      <x:c r="E856" t="s">
        <x:v>187</x:v>
      </x:c>
      <x:c r="F856" t="s">
        <x:v>51</x:v>
      </x:c>
      <x:c r="G856">
        <x:v>25</x:v>
      </x:c>
      <x:c r="H856" t="s">
        <x:v>77</x:v>
      </x:c>
      <x:c r="I856">
        <x:v>7</x:v>
      </x:c>
      <x:c r="J856">
        <x:v>8</x:v>
      </x:c>
      <x:c r="K856">
        <x:v>3</x:v>
      </x:c>
      <x:c r="L856">
        <x:f t="shared" si="91"/>
        <x:v>1</x:v>
      </x:c>
      <x:c r="P856">
        <x:f t="shared" si="92"/>
        <x:v>1</x:v>
      </x:c>
      <x:c r="Q856">
        <x:f t="shared" si="93"/>
        <x:v>1</x:v>
      </x:c>
      <x:c r="R856">
        <x:f t="shared" si="94"/>
        <x:v>1</x:v>
      </x:c>
      <x:c r="S856">
        <x:f t="shared" si="95"/>
        <x:v>3</x:v>
      </x:c>
      <x:c r="T856" t="str">
        <x:f t="shared" si="96"/>
        <x:v>DerivedFromCount</x:v>
      </x:c>
      <x:c r="U856" t="str">
        <x:f>IF(COUNTIF(DailyProduction!$Q$5:$Q$100,B856)=1,"OK","CHECK")</x:f>
        <x:v>OK</x:v>
      </x:c>
      <x:c r="V856" t="str">
        <x:f t="shared" si="97"/>
        <x:v>OK</x:v>
      </x:c>
      <x:c r="W856" t="str">
        <x:f>IF(SUMIF($B$5:$B$914,B856,$S$5:$S$914)=SUMIF(DailyProduction!$Q$5:$Q$100,B856,DailyProduction!$R$5:$R$100),"OK","CHECK")</x:f>
        <x:v>OK</x:v>
      </x:c>
      <x:c r="X856" t="str">
        <x:v>PLC-PRD-JAR-330-L25</x:v>
      </x:c>
      <x:c r="Y856" t="str">
        <x:v>OK</x:v>
      </x:c>
      <x:c r="Z856" t="str">
        <x:v>OK</x:v>
      </x:c>
      <x:c r="AA856" t="n">
        <x:v>3</x:v>
      </x:c>
      <x:c r="AB856" t="n">
        <x:v>3</x:v>
      </x:c>
      <x:c r="AC856" t="str">
        <x:v>OK</x:v>
      </x:c>
      <x:c r="AD856" t="str">
        <x:v>OK</x:v>
      </x:c>
      <x:c r="AE856" t="str">
        <x:v>LOAD</x:v>
      </x:c>
      <x:c r="AF856" t="str">
        <x:v>02_Supervisor_Log(4).xlsx</x:v>
      </x:c>
      <x:c r="AG856" t="str">
        <x:v>ENH-20260830-01</x:v>
      </x:c>
      <x:c r="AH856" t="str">
        <x:v>Active</x:v>
      </x:c>
      <x:c r="AI856"/>
      <x:c r="AJ856"/>
      <x:c r="AK856"/>
      <x:c r="AL856"/>
    </x:row>
    <x:row r="857">
      <x:c r="A857" t="s">
        <x:v>1111</x:v>
      </x:c>
      <x:c r="B857" t="s">
        <x:v>1104</x:v>
      </x:c>
      <x:c r="C857" t="s">
        <x:v>44</x:v>
      </x:c>
      <x:c r="D857">
        <x:v>45954</x:v>
      </x:c>
      <x:c r="E857" t="s">
        <x:v>187</x:v>
      </x:c>
      <x:c r="F857" t="s">
        <x:v>51</x:v>
      </x:c>
      <x:c r="G857">
        <x:v>25</x:v>
      </x:c>
      <x:c r="H857" t="s">
        <x:v>77</x:v>
      </x:c>
      <x:c r="I857">
        <x:v>8</x:v>
      </x:c>
      <x:c r="J857">
        <x:v>8</x:v>
      </x:c>
      <x:c r="K857">
        <x:v>3</x:v>
      </x:c>
      <x:c r="L857">
        <x:f t="shared" si="91"/>
        <x:v>1</x:v>
      </x:c>
      <x:c r="P857">
        <x:f t="shared" si="92"/>
        <x:v>1</x:v>
      </x:c>
      <x:c r="Q857">
        <x:f t="shared" si="93"/>
        <x:v>1</x:v>
      </x:c>
      <x:c r="R857">
        <x:f t="shared" si="94"/>
        <x:v>1</x:v>
      </x:c>
      <x:c r="S857">
        <x:f t="shared" si="95"/>
        <x:v>3</x:v>
      </x:c>
      <x:c r="T857" t="str">
        <x:f t="shared" si="96"/>
        <x:v>DerivedFromCount</x:v>
      </x:c>
      <x:c r="U857" t="str">
        <x:f>IF(COUNTIF(DailyProduction!$Q$5:$Q$100,B857)=1,"OK","CHECK")</x:f>
        <x:v>OK</x:v>
      </x:c>
      <x:c r="V857" t="str">
        <x:f t="shared" si="97"/>
        <x:v>OK</x:v>
      </x:c>
      <x:c r="W857" t="str">
        <x:f>IF(SUMIF($B$5:$B$914,B857,$S$5:$S$914)=SUMIF(DailyProduction!$Q$5:$Q$100,B857,DailyProduction!$R$5:$R$100),"OK","CHECK")</x:f>
        <x:v>OK</x:v>
      </x:c>
      <x:c r="X857" t="str">
        <x:v>PLC-PRD-JAR-330-L25</x:v>
      </x:c>
      <x:c r="Y857" t="str">
        <x:v>OK</x:v>
      </x:c>
      <x:c r="Z857" t="str">
        <x:v>OK</x:v>
      </x:c>
      <x:c r="AA857" t="n">
        <x:v>3</x:v>
      </x:c>
      <x:c r="AB857" t="n">
        <x:v>3</x:v>
      </x:c>
      <x:c r="AC857" t="str">
        <x:v>OK</x:v>
      </x:c>
      <x:c r="AD857" t="str">
        <x:v>OK</x:v>
      </x:c>
      <x:c r="AE857" t="str">
        <x:v>LOAD</x:v>
      </x:c>
      <x:c r="AF857" t="str">
        <x:v>02_Supervisor_Log(4).xlsx</x:v>
      </x:c>
      <x:c r="AG857" t="str">
        <x:v>ENH-20260830-01</x:v>
      </x:c>
      <x:c r="AH857" t="str">
        <x:v>Active</x:v>
      </x:c>
      <x:c r="AI857"/>
      <x:c r="AJ857"/>
      <x:c r="AK857"/>
      <x:c r="AL857"/>
    </x:row>
    <x:row r="858">
      <x:c r="A858" t="s">
        <x:v>1112</x:v>
      </x:c>
      <x:c r="B858" t="s">
        <x:v>1104</x:v>
      </x:c>
      <x:c r="C858" t="s">
        <x:v>44</x:v>
      </x:c>
      <x:c r="D858">
        <x:v>45954</x:v>
      </x:c>
      <x:c r="E858" t="s">
        <x:v>187</x:v>
      </x:c>
      <x:c r="F858" t="s">
        <x:v>51</x:v>
      </x:c>
      <x:c r="G858">
        <x:v>25</x:v>
      </x:c>
      <x:c r="H858" t="s">
        <x:v>77</x:v>
      </x:c>
      <x:c r="I858">
        <x:v>9</x:v>
      </x:c>
      <x:c r="J858">
        <x:v>8</x:v>
      </x:c>
      <x:c r="K858">
        <x:v>3</x:v>
      </x:c>
      <x:c r="L858">
        <x:f t="shared" si="91"/>
        <x:v>0</x:v>
      </x:c>
      <x:c r="P858">
        <x:f t="shared" si="92"/>
        <x:v>0</x:v>
      </x:c>
      <x:c r="Q858">
        <x:f t="shared" si="93"/>
        <x:v>0</x:v>
      </x:c>
      <x:c r="R858">
        <x:f t="shared" si="94"/>
        <x:v>0</x:v>
      </x:c>
      <x:c r="S858">
        <x:f t="shared" si="95"/>
        <x:v>0</x:v>
      </x:c>
      <x:c r="T858" t="str">
        <x:f t="shared" si="96"/>
        <x:v>DerivedFromCount</x:v>
      </x:c>
      <x:c r="U858" t="str">
        <x:f>IF(COUNTIF(DailyProduction!$Q$5:$Q$100,B858)=1,"OK","CHECK")</x:f>
        <x:v>OK</x:v>
      </x:c>
      <x:c r="V858" t="str">
        <x:f t="shared" si="97"/>
        <x:v>OK</x:v>
      </x:c>
      <x:c r="W858" t="str">
        <x:f>IF(SUMIF($B$5:$B$914,B858,$S$5:$S$914)=SUMIF(DailyProduction!$Q$5:$Q$100,B858,DailyProduction!$R$5:$R$100),"OK","CHECK")</x:f>
        <x:v>OK</x:v>
      </x:c>
      <x:c r="X858" t="str">
        <x:v>PLC-PRD-JAR-330-L25</x:v>
      </x:c>
      <x:c r="Y858" t="str">
        <x:v>OK</x:v>
      </x:c>
      <x:c r="Z858" t="str">
        <x:v>OK</x:v>
      </x:c>
      <x:c r="AA858" t="n">
        <x:v>3</x:v>
      </x:c>
      <x:c r="AB858" t="n">
        <x:v>0</x:v>
      </x:c>
      <x:c r="AC858" t="str">
        <x:v>OK</x:v>
      </x:c>
      <x:c r="AD858" t="str">
        <x:v>OK</x:v>
      </x:c>
      <x:c r="AE858" t="str">
        <x:v>LOAD</x:v>
      </x:c>
      <x:c r="AF858" t="str">
        <x:v>02_Supervisor_Log(4).xlsx</x:v>
      </x:c>
      <x:c r="AG858" t="str">
        <x:v>ENH-20260830-01</x:v>
      </x:c>
      <x:c r="AH858" t="str">
        <x:v>Active</x:v>
      </x:c>
      <x:c r="AI858"/>
      <x:c r="AJ858"/>
      <x:c r="AK858"/>
      <x:c r="AL858"/>
    </x:row>
    <x:row r="859">
      <x:c r="A859" t="s">
        <x:v>1113</x:v>
      </x:c>
      <x:c r="B859" t="s">
        <x:v>1104</x:v>
      </x:c>
      <x:c r="C859" t="s">
        <x:v>44</x:v>
      </x:c>
      <x:c r="D859">
        <x:v>45954</x:v>
      </x:c>
      <x:c r="E859" t="s">
        <x:v>187</x:v>
      </x:c>
      <x:c r="F859" t="s">
        <x:v>51</x:v>
      </x:c>
      <x:c r="G859">
        <x:v>25</x:v>
      </x:c>
      <x:c r="H859" t="s">
        <x:v>77</x:v>
      </x:c>
      <x:c r="I859">
        <x:v>10</x:v>
      </x:c>
      <x:c r="J859">
        <x:v>8</x:v>
      </x:c>
      <x:c r="K859">
        <x:v>3</x:v>
      </x:c>
      <x:c r="L859">
        <x:f t="shared" si="91"/>
        <x:v>0</x:v>
      </x:c>
      <x:c r="P859">
        <x:f t="shared" si="92"/>
        <x:v>0</x:v>
      </x:c>
      <x:c r="Q859">
        <x:f t="shared" si="93"/>
        <x:v>0</x:v>
      </x:c>
      <x:c r="R859">
        <x:f t="shared" si="94"/>
        <x:v>0</x:v>
      </x:c>
      <x:c r="S859">
        <x:f t="shared" si="95"/>
        <x:v>0</x:v>
      </x:c>
      <x:c r="T859" t="str">
        <x:f t="shared" si="96"/>
        <x:v>DerivedFromCount</x:v>
      </x:c>
      <x:c r="U859" t="str">
        <x:f>IF(COUNTIF(DailyProduction!$Q$5:$Q$100,B859)=1,"OK","CHECK")</x:f>
        <x:v>OK</x:v>
      </x:c>
      <x:c r="V859" t="str">
        <x:f t="shared" si="97"/>
        <x:v>OK</x:v>
      </x:c>
      <x:c r="W859" t="str">
        <x:f>IF(SUMIF($B$5:$B$914,B859,$S$5:$S$914)=SUMIF(DailyProduction!$Q$5:$Q$100,B859,DailyProduction!$R$5:$R$100),"OK","CHECK")</x:f>
        <x:v>OK</x:v>
      </x:c>
      <x:c r="X859" t="str">
        <x:v>PLC-PRD-JAR-330-L25</x:v>
      </x:c>
      <x:c r="Y859" t="str">
        <x:v>OK</x:v>
      </x:c>
      <x:c r="Z859" t="str">
        <x:v>OK</x:v>
      </x:c>
      <x:c r="AA859" t="n">
        <x:v>3</x:v>
      </x:c>
      <x:c r="AB859" t="n">
        <x:v>0</x:v>
      </x:c>
      <x:c r="AC859" t="str">
        <x:v>OK</x:v>
      </x:c>
      <x:c r="AD859" t="str">
        <x:v>OK</x:v>
      </x:c>
      <x:c r="AE859" t="str">
        <x:v>LOAD</x:v>
      </x:c>
      <x:c r="AF859" t="str">
        <x:v>02_Supervisor_Log(4).xlsx</x:v>
      </x:c>
      <x:c r="AG859" t="str">
        <x:v>ENH-20260830-01</x:v>
      </x:c>
      <x:c r="AH859" t="str">
        <x:v>Active</x:v>
      </x:c>
      <x:c r="AI859"/>
      <x:c r="AJ859"/>
      <x:c r="AK859"/>
      <x:c r="AL859"/>
    </x:row>
    <x:row r="860">
      <x:c r="A860" t="s">
        <x:v>1114</x:v>
      </x:c>
      <x:c r="B860" t="s">
        <x:v>1104</x:v>
      </x:c>
      <x:c r="C860" t="s">
        <x:v>44</x:v>
      </x:c>
      <x:c r="D860">
        <x:v>45954</x:v>
      </x:c>
      <x:c r="E860" t="s">
        <x:v>187</x:v>
      </x:c>
      <x:c r="F860" t="s">
        <x:v>51</x:v>
      </x:c>
      <x:c r="G860">
        <x:v>25</x:v>
      </x:c>
      <x:c r="H860" t="s">
        <x:v>77</x:v>
      </x:c>
      <x:c r="I860">
        <x:v>11</x:v>
      </x:c>
      <x:c r="J860">
        <x:v>8</x:v>
      </x:c>
      <x:c r="K860">
        <x:v>3</x:v>
      </x:c>
      <x:c r="L860">
        <x:f t="shared" si="91"/>
        <x:v>0</x:v>
      </x:c>
      <x:c r="P860">
        <x:f t="shared" si="92"/>
        <x:v>0</x:v>
      </x:c>
      <x:c r="Q860">
        <x:f t="shared" si="93"/>
        <x:v>0</x:v>
      </x:c>
      <x:c r="R860">
        <x:f t="shared" si="94"/>
        <x:v>0</x:v>
      </x:c>
      <x:c r="S860">
        <x:f t="shared" si="95"/>
        <x:v>0</x:v>
      </x:c>
      <x:c r="T860" t="str">
        <x:f t="shared" si="96"/>
        <x:v>DerivedFromCount</x:v>
      </x:c>
      <x:c r="U860" t="str">
        <x:f>IF(COUNTIF(DailyProduction!$Q$5:$Q$100,B860)=1,"OK","CHECK")</x:f>
        <x:v>OK</x:v>
      </x:c>
      <x:c r="V860" t="str">
        <x:f t="shared" si="97"/>
        <x:v>OK</x:v>
      </x:c>
      <x:c r="W860" t="str">
        <x:f>IF(SUMIF($B$5:$B$914,B860,$S$5:$S$914)=SUMIF(DailyProduction!$Q$5:$Q$100,B860,DailyProduction!$R$5:$R$100),"OK","CHECK")</x:f>
        <x:v>OK</x:v>
      </x:c>
      <x:c r="X860" t="str">
        <x:v>PLC-PRD-JAR-330-L25</x:v>
      </x:c>
      <x:c r="Y860" t="str">
        <x:v>OK</x:v>
      </x:c>
      <x:c r="Z860" t="str">
        <x:v>OK</x:v>
      </x:c>
      <x:c r="AA860" t="n">
        <x:v>3</x:v>
      </x:c>
      <x:c r="AB860" t="n">
        <x:v>0</x:v>
      </x:c>
      <x:c r="AC860" t="str">
        <x:v>OK</x:v>
      </x:c>
      <x:c r="AD860" t="str">
        <x:v>OK</x:v>
      </x:c>
      <x:c r="AE860" t="str">
        <x:v>LOAD</x:v>
      </x:c>
      <x:c r="AF860" t="str">
        <x:v>02_Supervisor_Log(4).xlsx</x:v>
      </x:c>
      <x:c r="AG860" t="str">
        <x:v>ENH-20260830-01</x:v>
      </x:c>
      <x:c r="AH860" t="str">
        <x:v>Active</x:v>
      </x:c>
      <x:c r="AI860"/>
      <x:c r="AJ860"/>
      <x:c r="AK860"/>
      <x:c r="AL860"/>
    </x:row>
    <x:row r="861">
      <x:c r="A861" t="s">
        <x:v>1115</x:v>
      </x:c>
      <x:c r="B861" t="s">
        <x:v>1104</x:v>
      </x:c>
      <x:c r="C861" t="s">
        <x:v>44</x:v>
      </x:c>
      <x:c r="D861">
        <x:v>45954</x:v>
      </x:c>
      <x:c r="E861" t="s">
        <x:v>187</x:v>
      </x:c>
      <x:c r="F861" t="s">
        <x:v>51</x:v>
      </x:c>
      <x:c r="G861">
        <x:v>25</x:v>
      </x:c>
      <x:c r="H861" t="s">
        <x:v>77</x:v>
      </x:c>
      <x:c r="I861">
        <x:v>12</x:v>
      </x:c>
      <x:c r="J861">
        <x:v>8</x:v>
      </x:c>
      <x:c r="K861">
        <x:v>3</x:v>
      </x:c>
      <x:c r="L861">
        <x:f t="shared" si="91"/>
        <x:v>0</x:v>
      </x:c>
      <x:c r="P861">
        <x:f t="shared" si="92"/>
        <x:v>0</x:v>
      </x:c>
      <x:c r="Q861">
        <x:f t="shared" si="93"/>
        <x:v>0</x:v>
      </x:c>
      <x:c r="R861">
        <x:f t="shared" si="94"/>
        <x:v>0</x:v>
      </x:c>
      <x:c r="S861">
        <x:f t="shared" si="95"/>
        <x:v>0</x:v>
      </x:c>
      <x:c r="T861" t="str">
        <x:f t="shared" si="96"/>
        <x:v>DerivedFromCount</x:v>
      </x:c>
      <x:c r="U861" t="str">
        <x:f>IF(COUNTIF(DailyProduction!$Q$5:$Q$100,B861)=1,"OK","CHECK")</x:f>
        <x:v>OK</x:v>
      </x:c>
      <x:c r="V861" t="str">
        <x:f t="shared" si="97"/>
        <x:v>OK</x:v>
      </x:c>
      <x:c r="W861" t="str">
        <x:f>IF(SUMIF($B$5:$B$914,B861,$S$5:$S$914)=SUMIF(DailyProduction!$Q$5:$Q$100,B861,DailyProduction!$R$5:$R$100),"OK","CHECK")</x:f>
        <x:v>OK</x:v>
      </x:c>
      <x:c r="X861" t="str">
        <x:v>PLC-PRD-JAR-330-L25</x:v>
      </x:c>
      <x:c r="Y861" t="str">
        <x:v>OK</x:v>
      </x:c>
      <x:c r="Z861" t="str">
        <x:v>OK</x:v>
      </x:c>
      <x:c r="AA861" t="n">
        <x:v>3</x:v>
      </x:c>
      <x:c r="AB861" t="n">
        <x:v>0</x:v>
      </x:c>
      <x:c r="AC861" t="str">
        <x:v>OK</x:v>
      </x:c>
      <x:c r="AD861" t="str">
        <x:v>OK</x:v>
      </x:c>
      <x:c r="AE861" t="str">
        <x:v>LOAD</x:v>
      </x:c>
      <x:c r="AF861" t="str">
        <x:v>02_Supervisor_Log(4).xlsx</x:v>
      </x:c>
      <x:c r="AG861" t="str">
        <x:v>ENH-20260830-01</x:v>
      </x:c>
      <x:c r="AH861" t="str">
        <x:v>Active</x:v>
      </x:c>
      <x:c r="AI861"/>
      <x:c r="AJ861"/>
      <x:c r="AK861"/>
      <x:c r="AL861"/>
    </x:row>
    <x:row r="862">
      <x:c r="A862" t="s">
        <x:v>1116</x:v>
      </x:c>
      <x:c r="B862" t="s">
        <x:v>1104</x:v>
      </x:c>
      <x:c r="C862" t="s">
        <x:v>44</x:v>
      </x:c>
      <x:c r="D862">
        <x:v>45954</x:v>
      </x:c>
      <x:c r="E862" t="s">
        <x:v>187</x:v>
      </x:c>
      <x:c r="F862" t="s">
        <x:v>51</x:v>
      </x:c>
      <x:c r="G862">
        <x:v>25</x:v>
      </x:c>
      <x:c r="H862" t="s">
        <x:v>77</x:v>
      </x:c>
      <x:c r="I862">
        <x:v>13</x:v>
      </x:c>
      <x:c r="J862">
        <x:v>8</x:v>
      </x:c>
      <x:c r="K862">
        <x:v>3</x:v>
      </x:c>
      <x:c r="L862">
        <x:f t="shared" si="91"/>
        <x:v>0</x:v>
      </x:c>
      <x:c r="P862">
        <x:f t="shared" si="92"/>
        <x:v>0</x:v>
      </x:c>
      <x:c r="Q862">
        <x:f t="shared" si="93"/>
        <x:v>0</x:v>
      </x:c>
      <x:c r="R862">
        <x:f t="shared" si="94"/>
        <x:v>0</x:v>
      </x:c>
      <x:c r="S862">
        <x:f t="shared" si="95"/>
        <x:v>0</x:v>
      </x:c>
      <x:c r="T862" t="str">
        <x:f t="shared" si="96"/>
        <x:v>DerivedFromCount</x:v>
      </x:c>
      <x:c r="U862" t="str">
        <x:f>IF(COUNTIF(DailyProduction!$Q$5:$Q$100,B862)=1,"OK","CHECK")</x:f>
        <x:v>OK</x:v>
      </x:c>
      <x:c r="V862" t="str">
        <x:f t="shared" si="97"/>
        <x:v>OK</x:v>
      </x:c>
      <x:c r="W862" t="str">
        <x:f>IF(SUMIF($B$5:$B$914,B862,$S$5:$S$914)=SUMIF(DailyProduction!$Q$5:$Q$100,B862,DailyProduction!$R$5:$R$100),"OK","CHECK")</x:f>
        <x:v>OK</x:v>
      </x:c>
      <x:c r="X862" t="str">
        <x:v>PLC-PRD-JAR-330-L25</x:v>
      </x:c>
      <x:c r="Y862" t="str">
        <x:v>OK</x:v>
      </x:c>
      <x:c r="Z862" t="str">
        <x:v>OK</x:v>
      </x:c>
      <x:c r="AA862" t="n">
        <x:v>3</x:v>
      </x:c>
      <x:c r="AB862" t="n">
        <x:v>0</x:v>
      </x:c>
      <x:c r="AC862" t="str">
        <x:v>OK</x:v>
      </x:c>
      <x:c r="AD862" t="str">
        <x:v>OK</x:v>
      </x:c>
      <x:c r="AE862" t="str">
        <x:v>LOAD</x:v>
      </x:c>
      <x:c r="AF862" t="str">
        <x:v>02_Supervisor_Log(4).xlsx</x:v>
      </x:c>
      <x:c r="AG862" t="str">
        <x:v>ENH-20260830-01</x:v>
      </x:c>
      <x:c r="AH862" t="str">
        <x:v>Active</x:v>
      </x:c>
      <x:c r="AI862"/>
      <x:c r="AJ862"/>
      <x:c r="AK862"/>
      <x:c r="AL862"/>
    </x:row>
    <x:row r="863">
      <x:c r="A863" t="s">
        <x:v>1117</x:v>
      </x:c>
      <x:c r="B863" t="s">
        <x:v>1118</x:v>
      </x:c>
      <x:c r="C863" t="s">
        <x:v>44</x:v>
      </x:c>
      <x:c r="D863">
        <x:v>45955</x:v>
      </x:c>
      <x:c r="E863" t="s">
        <x:v>45</x:v>
      </x:c>
      <x:c r="F863" t="s">
        <x:v>51</x:v>
      </x:c>
      <x:c r="G863">
        <x:v>25</x:v>
      </x:c>
      <x:c r="H863" t="s">
        <x:v>77</x:v>
      </x:c>
      <x:c r="I863">
        <x:v>1</x:v>
      </x:c>
      <x:c r="J863">
        <x:v>8</x:v>
      </x:c>
      <x:c r="K863">
        <x:v>3</x:v>
      </x:c>
      <x:c r="L863">
        <x:f t="shared" si="91"/>
        <x:v>1</x:v>
      </x:c>
      <x:c r="P863">
        <x:f t="shared" si="92"/>
        <x:v>1</x:v>
      </x:c>
      <x:c r="Q863">
        <x:f t="shared" si="93"/>
        <x:v>1</x:v>
      </x:c>
      <x:c r="R863">
        <x:f t="shared" si="94"/>
        <x:v>1</x:v>
      </x:c>
      <x:c r="S863">
        <x:f t="shared" si="95"/>
        <x:v>3</x:v>
      </x:c>
      <x:c r="T863" t="str">
        <x:f t="shared" si="96"/>
        <x:v>DerivedFromCount</x:v>
      </x:c>
      <x:c r="U863" t="str">
        <x:f>IF(COUNTIF(DailyProduction!$Q$5:$Q$100,B863)=1,"OK","CHECK")</x:f>
        <x:v>OK</x:v>
      </x:c>
      <x:c r="V863" t="str">
        <x:f t="shared" si="97"/>
        <x:v>OK</x:v>
      </x:c>
      <x:c r="W863" t="str">
        <x:f>IF(SUMIF($B$5:$B$914,B863,$S$5:$S$914)=SUMIF(DailyProduction!$Q$5:$Q$100,B863,DailyProduction!$R$5:$R$100),"OK","CHECK")</x:f>
        <x:v>OK</x:v>
      </x:c>
      <x:c r="X863" t="str">
        <x:v>PLC-PRD-JAR-330-L25</x:v>
      </x:c>
      <x:c r="Y863" t="str">
        <x:v>OK</x:v>
      </x:c>
      <x:c r="Z863" t="str">
        <x:v>OK</x:v>
      </x:c>
      <x:c r="AA863" t="n">
        <x:v>3</x:v>
      </x:c>
      <x:c r="AB863" t="n">
        <x:v>3</x:v>
      </x:c>
      <x:c r="AC863" t="str">
        <x:v>OK</x:v>
      </x:c>
      <x:c r="AD863" t="str">
        <x:v>OK</x:v>
      </x:c>
      <x:c r="AE863" t="str">
        <x:v>LOAD</x:v>
      </x:c>
      <x:c r="AF863" t="str">
        <x:v>02_Supervisor_Log(4).xlsx</x:v>
      </x:c>
      <x:c r="AG863" t="str">
        <x:v>ENH-20260830-01</x:v>
      </x:c>
      <x:c r="AH863" t="str">
        <x:v>Active</x:v>
      </x:c>
      <x:c r="AI863"/>
      <x:c r="AJ863"/>
      <x:c r="AK863"/>
      <x:c r="AL863"/>
    </x:row>
    <x:row r="864">
      <x:c r="A864" t="s">
        <x:v>1119</x:v>
      </x:c>
      <x:c r="B864" t="s">
        <x:v>1118</x:v>
      </x:c>
      <x:c r="C864" t="s">
        <x:v>44</x:v>
      </x:c>
      <x:c r="D864">
        <x:v>45955</x:v>
      </x:c>
      <x:c r="E864" t="s">
        <x:v>45</x:v>
      </x:c>
      <x:c r="F864" t="s">
        <x:v>51</x:v>
      </x:c>
      <x:c r="G864">
        <x:v>25</x:v>
      </x:c>
      <x:c r="H864" t="s">
        <x:v>77</x:v>
      </x:c>
      <x:c r="I864">
        <x:v>2</x:v>
      </x:c>
      <x:c r="J864">
        <x:v>8</x:v>
      </x:c>
      <x:c r="K864">
        <x:v>3</x:v>
      </x:c>
      <x:c r="L864">
        <x:f t="shared" si="91"/>
        <x:v>1</x:v>
      </x:c>
      <x:c r="P864">
        <x:f t="shared" si="92"/>
        <x:v>1</x:v>
      </x:c>
      <x:c r="Q864">
        <x:f t="shared" si="93"/>
        <x:v>1</x:v>
      </x:c>
      <x:c r="R864">
        <x:f t="shared" si="94"/>
        <x:v>1</x:v>
      </x:c>
      <x:c r="S864">
        <x:f t="shared" si="95"/>
        <x:v>3</x:v>
      </x:c>
      <x:c r="T864" t="str">
        <x:f t="shared" si="96"/>
        <x:v>DerivedFromCount</x:v>
      </x:c>
      <x:c r="U864" t="str">
        <x:f>IF(COUNTIF(DailyProduction!$Q$5:$Q$100,B864)=1,"OK","CHECK")</x:f>
        <x:v>OK</x:v>
      </x:c>
      <x:c r="V864" t="str">
        <x:f t="shared" si="97"/>
        <x:v>OK</x:v>
      </x:c>
      <x:c r="W864" t="str">
        <x:f>IF(SUMIF($B$5:$B$914,B864,$S$5:$S$914)=SUMIF(DailyProduction!$Q$5:$Q$100,B864,DailyProduction!$R$5:$R$100),"OK","CHECK")</x:f>
        <x:v>OK</x:v>
      </x:c>
      <x:c r="X864" t="str">
        <x:v>PLC-PRD-JAR-330-L25</x:v>
      </x:c>
      <x:c r="Y864" t="str">
        <x:v>OK</x:v>
      </x:c>
      <x:c r="Z864" t="str">
        <x:v>OK</x:v>
      </x:c>
      <x:c r="AA864" t="n">
        <x:v>3</x:v>
      </x:c>
      <x:c r="AB864" t="n">
        <x:v>3</x:v>
      </x:c>
      <x:c r="AC864" t="str">
        <x:v>OK</x:v>
      </x:c>
      <x:c r="AD864" t="str">
        <x:v>OK</x:v>
      </x:c>
      <x:c r="AE864" t="str">
        <x:v>LOAD</x:v>
      </x:c>
      <x:c r="AF864" t="str">
        <x:v>02_Supervisor_Log(4).xlsx</x:v>
      </x:c>
      <x:c r="AG864" t="str">
        <x:v>ENH-20260830-01</x:v>
      </x:c>
      <x:c r="AH864" t="str">
        <x:v>Active</x:v>
      </x:c>
      <x:c r="AI864"/>
      <x:c r="AJ864"/>
      <x:c r="AK864"/>
      <x:c r="AL864"/>
    </x:row>
    <x:row r="865">
      <x:c r="A865" t="s">
        <x:v>1120</x:v>
      </x:c>
      <x:c r="B865" t="s">
        <x:v>1118</x:v>
      </x:c>
      <x:c r="C865" t="s">
        <x:v>44</x:v>
      </x:c>
      <x:c r="D865">
        <x:v>45955</x:v>
      </x:c>
      <x:c r="E865" t="s">
        <x:v>45</x:v>
      </x:c>
      <x:c r="F865" t="s">
        <x:v>51</x:v>
      </x:c>
      <x:c r="G865">
        <x:v>25</x:v>
      </x:c>
      <x:c r="H865" t="s">
        <x:v>77</x:v>
      </x:c>
      <x:c r="I865">
        <x:v>3</x:v>
      </x:c>
      <x:c r="J865">
        <x:v>8</x:v>
      </x:c>
      <x:c r="K865">
        <x:v>3</x:v>
      </x:c>
      <x:c r="L865">
        <x:f t="shared" si="91"/>
        <x:v>1</x:v>
      </x:c>
      <x:c r="P865">
        <x:f t="shared" si="92"/>
        <x:v>1</x:v>
      </x:c>
      <x:c r="Q865">
        <x:f t="shared" si="93"/>
        <x:v>1</x:v>
      </x:c>
      <x:c r="R865">
        <x:f t="shared" si="94"/>
        <x:v>1</x:v>
      </x:c>
      <x:c r="S865">
        <x:f t="shared" si="95"/>
        <x:v>3</x:v>
      </x:c>
      <x:c r="T865" t="str">
        <x:f t="shared" si="96"/>
        <x:v>DerivedFromCount</x:v>
      </x:c>
      <x:c r="U865" t="str">
        <x:f>IF(COUNTIF(DailyProduction!$Q$5:$Q$100,B865)=1,"OK","CHECK")</x:f>
        <x:v>OK</x:v>
      </x:c>
      <x:c r="V865" t="str">
        <x:f t="shared" si="97"/>
        <x:v>OK</x:v>
      </x:c>
      <x:c r="W865" t="str">
        <x:f>IF(SUMIF($B$5:$B$914,B865,$S$5:$S$914)=SUMIF(DailyProduction!$Q$5:$Q$100,B865,DailyProduction!$R$5:$R$100),"OK","CHECK")</x:f>
        <x:v>OK</x:v>
      </x:c>
      <x:c r="X865" t="str">
        <x:v>PLC-PRD-JAR-330-L25</x:v>
      </x:c>
      <x:c r="Y865" t="str">
        <x:v>OK</x:v>
      </x:c>
      <x:c r="Z865" t="str">
        <x:v>OK</x:v>
      </x:c>
      <x:c r="AA865" t="n">
        <x:v>3</x:v>
      </x:c>
      <x:c r="AB865" t="n">
        <x:v>3</x:v>
      </x:c>
      <x:c r="AC865" t="str">
        <x:v>OK</x:v>
      </x:c>
      <x:c r="AD865" t="str">
        <x:v>OK</x:v>
      </x:c>
      <x:c r="AE865" t="str">
        <x:v>LOAD</x:v>
      </x:c>
      <x:c r="AF865" t="str">
        <x:v>02_Supervisor_Log(4).xlsx</x:v>
      </x:c>
      <x:c r="AG865" t="str">
        <x:v>ENH-20260830-01</x:v>
      </x:c>
      <x:c r="AH865" t="str">
        <x:v>Active</x:v>
      </x:c>
      <x:c r="AI865"/>
      <x:c r="AJ865"/>
      <x:c r="AK865"/>
      <x:c r="AL865"/>
    </x:row>
    <x:row r="866">
      <x:c r="A866" t="s">
        <x:v>1121</x:v>
      </x:c>
      <x:c r="B866" t="s">
        <x:v>1118</x:v>
      </x:c>
      <x:c r="C866" t="s">
        <x:v>44</x:v>
      </x:c>
      <x:c r="D866">
        <x:v>45955</x:v>
      </x:c>
      <x:c r="E866" t="s">
        <x:v>45</x:v>
      </x:c>
      <x:c r="F866" t="s">
        <x:v>51</x:v>
      </x:c>
      <x:c r="G866">
        <x:v>25</x:v>
      </x:c>
      <x:c r="H866" t="s">
        <x:v>77</x:v>
      </x:c>
      <x:c r="I866">
        <x:v>4</x:v>
      </x:c>
      <x:c r="J866">
        <x:v>8</x:v>
      </x:c>
      <x:c r="K866">
        <x:v>3</x:v>
      </x:c>
      <x:c r="L866">
        <x:f t="shared" si="91"/>
        <x:v>1</x:v>
      </x:c>
      <x:c r="P866">
        <x:f t="shared" si="92"/>
        <x:v>1</x:v>
      </x:c>
      <x:c r="Q866">
        <x:f t="shared" si="93"/>
        <x:v>1</x:v>
      </x:c>
      <x:c r="R866">
        <x:f t="shared" si="94"/>
        <x:v>1</x:v>
      </x:c>
      <x:c r="S866">
        <x:f t="shared" si="95"/>
        <x:v>3</x:v>
      </x:c>
      <x:c r="T866" t="str">
        <x:f t="shared" si="96"/>
        <x:v>DerivedFromCount</x:v>
      </x:c>
      <x:c r="U866" t="str">
        <x:f>IF(COUNTIF(DailyProduction!$Q$5:$Q$100,B866)=1,"OK","CHECK")</x:f>
        <x:v>OK</x:v>
      </x:c>
      <x:c r="V866" t="str">
        <x:f t="shared" si="97"/>
        <x:v>OK</x:v>
      </x:c>
      <x:c r="W866" t="str">
        <x:f>IF(SUMIF($B$5:$B$914,B866,$S$5:$S$914)=SUMIF(DailyProduction!$Q$5:$Q$100,B866,DailyProduction!$R$5:$R$100),"OK","CHECK")</x:f>
        <x:v>OK</x:v>
      </x:c>
      <x:c r="X866" t="str">
        <x:v>PLC-PRD-JAR-330-L25</x:v>
      </x:c>
      <x:c r="Y866" t="str">
        <x:v>OK</x:v>
      </x:c>
      <x:c r="Z866" t="str">
        <x:v>OK</x:v>
      </x:c>
      <x:c r="AA866" t="n">
        <x:v>3</x:v>
      </x:c>
      <x:c r="AB866" t="n">
        <x:v>3</x:v>
      </x:c>
      <x:c r="AC866" t="str">
        <x:v>OK</x:v>
      </x:c>
      <x:c r="AD866" t="str">
        <x:v>OK</x:v>
      </x:c>
      <x:c r="AE866" t="str">
        <x:v>LOAD</x:v>
      </x:c>
      <x:c r="AF866" t="str">
        <x:v>02_Supervisor_Log(4).xlsx</x:v>
      </x:c>
      <x:c r="AG866" t="str">
        <x:v>ENH-20260830-01</x:v>
      </x:c>
      <x:c r="AH866" t="str">
        <x:v>Active</x:v>
      </x:c>
      <x:c r="AI866"/>
      <x:c r="AJ866"/>
      <x:c r="AK866"/>
      <x:c r="AL866"/>
    </x:row>
    <x:row r="867">
      <x:c r="A867" t="s">
        <x:v>1122</x:v>
      </x:c>
      <x:c r="B867" t="s">
        <x:v>1118</x:v>
      </x:c>
      <x:c r="C867" t="s">
        <x:v>44</x:v>
      </x:c>
      <x:c r="D867">
        <x:v>45955</x:v>
      </x:c>
      <x:c r="E867" t="s">
        <x:v>45</x:v>
      </x:c>
      <x:c r="F867" t="s">
        <x:v>51</x:v>
      </x:c>
      <x:c r="G867">
        <x:v>25</x:v>
      </x:c>
      <x:c r="H867" t="s">
        <x:v>77</x:v>
      </x:c>
      <x:c r="I867">
        <x:v>5</x:v>
      </x:c>
      <x:c r="J867">
        <x:v>8</x:v>
      </x:c>
      <x:c r="K867">
        <x:v>3</x:v>
      </x:c>
      <x:c r="L867">
        <x:f t="shared" si="91"/>
        <x:v>1</x:v>
      </x:c>
      <x:c r="P867">
        <x:f t="shared" si="92"/>
        <x:v>1</x:v>
      </x:c>
      <x:c r="Q867">
        <x:f t="shared" si="93"/>
        <x:v>1</x:v>
      </x:c>
      <x:c r="R867">
        <x:f t="shared" si="94"/>
        <x:v>1</x:v>
      </x:c>
      <x:c r="S867">
        <x:f t="shared" si="95"/>
        <x:v>3</x:v>
      </x:c>
      <x:c r="T867" t="str">
        <x:f t="shared" si="96"/>
        <x:v>DerivedFromCount</x:v>
      </x:c>
      <x:c r="U867" t="str">
        <x:f>IF(COUNTIF(DailyProduction!$Q$5:$Q$100,B867)=1,"OK","CHECK")</x:f>
        <x:v>OK</x:v>
      </x:c>
      <x:c r="V867" t="str">
        <x:f t="shared" si="97"/>
        <x:v>OK</x:v>
      </x:c>
      <x:c r="W867" t="str">
        <x:f>IF(SUMIF($B$5:$B$914,B867,$S$5:$S$914)=SUMIF(DailyProduction!$Q$5:$Q$100,B867,DailyProduction!$R$5:$R$100),"OK","CHECK")</x:f>
        <x:v>OK</x:v>
      </x:c>
      <x:c r="X867" t="str">
        <x:v>PLC-PRD-JAR-330-L25</x:v>
      </x:c>
      <x:c r="Y867" t="str">
        <x:v>OK</x:v>
      </x:c>
      <x:c r="Z867" t="str">
        <x:v>OK</x:v>
      </x:c>
      <x:c r="AA867" t="n">
        <x:v>3</x:v>
      </x:c>
      <x:c r="AB867" t="n">
        <x:v>3</x:v>
      </x:c>
      <x:c r="AC867" t="str">
        <x:v>OK</x:v>
      </x:c>
      <x:c r="AD867" t="str">
        <x:v>OK</x:v>
      </x:c>
      <x:c r="AE867" t="str">
        <x:v>LOAD</x:v>
      </x:c>
      <x:c r="AF867" t="str">
        <x:v>02_Supervisor_Log(4).xlsx</x:v>
      </x:c>
      <x:c r="AG867" t="str">
        <x:v>ENH-20260830-01</x:v>
      </x:c>
      <x:c r="AH867" t="str">
        <x:v>Active</x:v>
      </x:c>
      <x:c r="AI867"/>
      <x:c r="AJ867"/>
      <x:c r="AK867"/>
      <x:c r="AL867"/>
    </x:row>
    <x:row r="868">
      <x:c r="A868" t="s">
        <x:v>1123</x:v>
      </x:c>
      <x:c r="B868" t="s">
        <x:v>1118</x:v>
      </x:c>
      <x:c r="C868" t="s">
        <x:v>44</x:v>
      </x:c>
      <x:c r="D868">
        <x:v>45955</x:v>
      </x:c>
      <x:c r="E868" t="s">
        <x:v>45</x:v>
      </x:c>
      <x:c r="F868" t="s">
        <x:v>51</x:v>
      </x:c>
      <x:c r="G868">
        <x:v>25</x:v>
      </x:c>
      <x:c r="H868" t="s">
        <x:v>77</x:v>
      </x:c>
      <x:c r="I868">
        <x:v>6</x:v>
      </x:c>
      <x:c r="J868">
        <x:v>8</x:v>
      </x:c>
      <x:c r="K868">
        <x:v>3</x:v>
      </x:c>
      <x:c r="L868">
        <x:f t="shared" si="91"/>
        <x:v>1</x:v>
      </x:c>
      <x:c r="P868">
        <x:f t="shared" si="92"/>
        <x:v>1</x:v>
      </x:c>
      <x:c r="Q868">
        <x:f t="shared" si="93"/>
        <x:v>1</x:v>
      </x:c>
      <x:c r="R868">
        <x:f t="shared" si="94"/>
        <x:v>1</x:v>
      </x:c>
      <x:c r="S868">
        <x:f t="shared" si="95"/>
        <x:v>3</x:v>
      </x:c>
      <x:c r="T868" t="str">
        <x:f t="shared" si="96"/>
        <x:v>DerivedFromCount</x:v>
      </x:c>
      <x:c r="U868" t="str">
        <x:f>IF(COUNTIF(DailyProduction!$Q$5:$Q$100,B868)=1,"OK","CHECK")</x:f>
        <x:v>OK</x:v>
      </x:c>
      <x:c r="V868" t="str">
        <x:f t="shared" si="97"/>
        <x:v>OK</x:v>
      </x:c>
      <x:c r="W868" t="str">
        <x:f>IF(SUMIF($B$5:$B$914,B868,$S$5:$S$914)=SUMIF(DailyProduction!$Q$5:$Q$100,B868,DailyProduction!$R$5:$R$100),"OK","CHECK")</x:f>
        <x:v>OK</x:v>
      </x:c>
      <x:c r="X868" t="str">
        <x:v>PLC-PRD-JAR-330-L25</x:v>
      </x:c>
      <x:c r="Y868" t="str">
        <x:v>OK</x:v>
      </x:c>
      <x:c r="Z868" t="str">
        <x:v>OK</x:v>
      </x:c>
      <x:c r="AA868" t="n">
        <x:v>3</x:v>
      </x:c>
      <x:c r="AB868" t="n">
        <x:v>3</x:v>
      </x:c>
      <x:c r="AC868" t="str">
        <x:v>OK</x:v>
      </x:c>
      <x:c r="AD868" t="str">
        <x:v>OK</x:v>
      </x:c>
      <x:c r="AE868" t="str">
        <x:v>LOAD</x:v>
      </x:c>
      <x:c r="AF868" t="str">
        <x:v>02_Supervisor_Log(4).xlsx</x:v>
      </x:c>
      <x:c r="AG868" t="str">
        <x:v>ENH-20260830-01</x:v>
      </x:c>
      <x:c r="AH868" t="str">
        <x:v>Active</x:v>
      </x:c>
      <x:c r="AI868"/>
      <x:c r="AJ868"/>
      <x:c r="AK868"/>
      <x:c r="AL868"/>
    </x:row>
    <x:row r="869">
      <x:c r="A869" t="s">
        <x:v>1124</x:v>
      </x:c>
      <x:c r="B869" t="s">
        <x:v>1118</x:v>
      </x:c>
      <x:c r="C869" t="s">
        <x:v>44</x:v>
      </x:c>
      <x:c r="D869">
        <x:v>45955</x:v>
      </x:c>
      <x:c r="E869" t="s">
        <x:v>45</x:v>
      </x:c>
      <x:c r="F869" t="s">
        <x:v>51</x:v>
      </x:c>
      <x:c r="G869">
        <x:v>25</x:v>
      </x:c>
      <x:c r="H869" t="s">
        <x:v>77</x:v>
      </x:c>
      <x:c r="I869">
        <x:v>7</x:v>
      </x:c>
      <x:c r="J869">
        <x:v>8</x:v>
      </x:c>
      <x:c r="K869">
        <x:v>3</x:v>
      </x:c>
      <x:c r="L869">
        <x:f t="shared" si="91"/>
        <x:v>1</x:v>
      </x:c>
      <x:c r="P869">
        <x:f t="shared" si="92"/>
        <x:v>1</x:v>
      </x:c>
      <x:c r="Q869">
        <x:f t="shared" si="93"/>
        <x:v>1</x:v>
      </x:c>
      <x:c r="R869">
        <x:f t="shared" si="94"/>
        <x:v>1</x:v>
      </x:c>
      <x:c r="S869">
        <x:f t="shared" si="95"/>
        <x:v>3</x:v>
      </x:c>
      <x:c r="T869" t="str">
        <x:f t="shared" si="96"/>
        <x:v>DerivedFromCount</x:v>
      </x:c>
      <x:c r="U869" t="str">
        <x:f>IF(COUNTIF(DailyProduction!$Q$5:$Q$100,B869)=1,"OK","CHECK")</x:f>
        <x:v>OK</x:v>
      </x:c>
      <x:c r="V869" t="str">
        <x:f t="shared" si="97"/>
        <x:v>OK</x:v>
      </x:c>
      <x:c r="W869" t="str">
        <x:f>IF(SUMIF($B$5:$B$914,B869,$S$5:$S$914)=SUMIF(DailyProduction!$Q$5:$Q$100,B869,DailyProduction!$R$5:$R$100),"OK","CHECK")</x:f>
        <x:v>OK</x:v>
      </x:c>
      <x:c r="X869" t="str">
        <x:v>PLC-PRD-JAR-330-L25</x:v>
      </x:c>
      <x:c r="Y869" t="str">
        <x:v>OK</x:v>
      </x:c>
      <x:c r="Z869" t="str">
        <x:v>OK</x:v>
      </x:c>
      <x:c r="AA869" t="n">
        <x:v>3</x:v>
      </x:c>
      <x:c r="AB869" t="n">
        <x:v>3</x:v>
      </x:c>
      <x:c r="AC869" t="str">
        <x:v>OK</x:v>
      </x:c>
      <x:c r="AD869" t="str">
        <x:v>OK</x:v>
      </x:c>
      <x:c r="AE869" t="str">
        <x:v>LOAD</x:v>
      </x:c>
      <x:c r="AF869" t="str">
        <x:v>02_Supervisor_Log(4).xlsx</x:v>
      </x:c>
      <x:c r="AG869" t="str">
        <x:v>ENH-20260830-01</x:v>
      </x:c>
      <x:c r="AH869" t="str">
        <x:v>Active</x:v>
      </x:c>
      <x:c r="AI869"/>
      <x:c r="AJ869"/>
      <x:c r="AK869"/>
      <x:c r="AL869"/>
    </x:row>
    <x:row r="870">
      <x:c r="A870" t="s">
        <x:v>1125</x:v>
      </x:c>
      <x:c r="B870" t="s">
        <x:v>1118</x:v>
      </x:c>
      <x:c r="C870" t="s">
        <x:v>44</x:v>
      </x:c>
      <x:c r="D870">
        <x:v>45955</x:v>
      </x:c>
      <x:c r="E870" t="s">
        <x:v>45</x:v>
      </x:c>
      <x:c r="F870" t="s">
        <x:v>51</x:v>
      </x:c>
      <x:c r="G870">
        <x:v>25</x:v>
      </x:c>
      <x:c r="H870" t="s">
        <x:v>77</x:v>
      </x:c>
      <x:c r="I870">
        <x:v>8</x:v>
      </x:c>
      <x:c r="J870">
        <x:v>8</x:v>
      </x:c>
      <x:c r="K870">
        <x:v>3</x:v>
      </x:c>
      <x:c r="L870">
        <x:f t="shared" si="91"/>
        <x:v>1</x:v>
      </x:c>
      <x:c r="P870">
        <x:f t="shared" si="92"/>
        <x:v>1</x:v>
      </x:c>
      <x:c r="Q870">
        <x:f t="shared" si="93"/>
        <x:v>1</x:v>
      </x:c>
      <x:c r="R870">
        <x:f t="shared" si="94"/>
        <x:v>1</x:v>
      </x:c>
      <x:c r="S870">
        <x:f t="shared" si="95"/>
        <x:v>3</x:v>
      </x:c>
      <x:c r="T870" t="str">
        <x:f t="shared" si="96"/>
        <x:v>DerivedFromCount</x:v>
      </x:c>
      <x:c r="U870" t="str">
        <x:f>IF(COUNTIF(DailyProduction!$Q$5:$Q$100,B870)=1,"OK","CHECK")</x:f>
        <x:v>OK</x:v>
      </x:c>
      <x:c r="V870" t="str">
        <x:f t="shared" si="97"/>
        <x:v>OK</x:v>
      </x:c>
      <x:c r="W870" t="str">
        <x:f>IF(SUMIF($B$5:$B$914,B870,$S$5:$S$914)=SUMIF(DailyProduction!$Q$5:$Q$100,B870,DailyProduction!$R$5:$R$100),"OK","CHECK")</x:f>
        <x:v>OK</x:v>
      </x:c>
      <x:c r="X870" t="str">
        <x:v>PLC-PRD-JAR-330-L25</x:v>
      </x:c>
      <x:c r="Y870" t="str">
        <x:v>OK</x:v>
      </x:c>
      <x:c r="Z870" t="str">
        <x:v>OK</x:v>
      </x:c>
      <x:c r="AA870" t="n">
        <x:v>3</x:v>
      </x:c>
      <x:c r="AB870" t="n">
        <x:v>3</x:v>
      </x:c>
      <x:c r="AC870" t="str">
        <x:v>OK</x:v>
      </x:c>
      <x:c r="AD870" t="str">
        <x:v>OK</x:v>
      </x:c>
      <x:c r="AE870" t="str">
        <x:v>LOAD</x:v>
      </x:c>
      <x:c r="AF870" t="str">
        <x:v>02_Supervisor_Log(4).xlsx</x:v>
      </x:c>
      <x:c r="AG870" t="str">
        <x:v>ENH-20260830-01</x:v>
      </x:c>
      <x:c r="AH870" t="str">
        <x:v>Active</x:v>
      </x:c>
      <x:c r="AI870"/>
      <x:c r="AJ870"/>
      <x:c r="AK870"/>
      <x:c r="AL870"/>
    </x:row>
    <x:row r="871">
      <x:c r="A871" t="s">
        <x:v>1126</x:v>
      </x:c>
      <x:c r="B871" t="s">
        <x:v>1118</x:v>
      </x:c>
      <x:c r="C871" t="s">
        <x:v>44</x:v>
      </x:c>
      <x:c r="D871">
        <x:v>45955</x:v>
      </x:c>
      <x:c r="E871" t="s">
        <x:v>45</x:v>
      </x:c>
      <x:c r="F871" t="s">
        <x:v>51</x:v>
      </x:c>
      <x:c r="G871">
        <x:v>25</x:v>
      </x:c>
      <x:c r="H871" t="s">
        <x:v>77</x:v>
      </x:c>
      <x:c r="I871">
        <x:v>9</x:v>
      </x:c>
      <x:c r="J871">
        <x:v>8</x:v>
      </x:c>
      <x:c r="K871">
        <x:v>3</x:v>
      </x:c>
      <x:c r="L871">
        <x:f t="shared" si="91"/>
        <x:v>0</x:v>
      </x:c>
      <x:c r="P871">
        <x:f t="shared" si="92"/>
        <x:v>0</x:v>
      </x:c>
      <x:c r="Q871">
        <x:f t="shared" si="93"/>
        <x:v>0</x:v>
      </x:c>
      <x:c r="R871">
        <x:f t="shared" si="94"/>
        <x:v>0</x:v>
      </x:c>
      <x:c r="S871">
        <x:f t="shared" si="95"/>
        <x:v>0</x:v>
      </x:c>
      <x:c r="T871" t="str">
        <x:f t="shared" si="96"/>
        <x:v>DerivedFromCount</x:v>
      </x:c>
      <x:c r="U871" t="str">
        <x:f>IF(COUNTIF(DailyProduction!$Q$5:$Q$100,B871)=1,"OK","CHECK")</x:f>
        <x:v>OK</x:v>
      </x:c>
      <x:c r="V871" t="str">
        <x:f t="shared" si="97"/>
        <x:v>OK</x:v>
      </x:c>
      <x:c r="W871" t="str">
        <x:f>IF(SUMIF($B$5:$B$914,B871,$S$5:$S$914)=SUMIF(DailyProduction!$Q$5:$Q$100,B871,DailyProduction!$R$5:$R$100),"OK","CHECK")</x:f>
        <x:v>OK</x:v>
      </x:c>
      <x:c r="X871" t="str">
        <x:v>PLC-PRD-JAR-330-L25</x:v>
      </x:c>
      <x:c r="Y871" t="str">
        <x:v>OK</x:v>
      </x:c>
      <x:c r="Z871" t="str">
        <x:v>OK</x:v>
      </x:c>
      <x:c r="AA871" t="n">
        <x:v>3</x:v>
      </x:c>
      <x:c r="AB871" t="n">
        <x:v>0</x:v>
      </x:c>
      <x:c r="AC871" t="str">
        <x:v>OK</x:v>
      </x:c>
      <x:c r="AD871" t="str">
        <x:v>OK</x:v>
      </x:c>
      <x:c r="AE871" t="str">
        <x:v>LOAD</x:v>
      </x:c>
      <x:c r="AF871" t="str">
        <x:v>02_Supervisor_Log(4).xlsx</x:v>
      </x:c>
      <x:c r="AG871" t="str">
        <x:v>ENH-20260830-01</x:v>
      </x:c>
      <x:c r="AH871" t="str">
        <x:v>Active</x:v>
      </x:c>
      <x:c r="AI871"/>
      <x:c r="AJ871"/>
      <x:c r="AK871"/>
      <x:c r="AL871"/>
    </x:row>
    <x:row r="872">
      <x:c r="A872" t="s">
        <x:v>1127</x:v>
      </x:c>
      <x:c r="B872" t="s">
        <x:v>1118</x:v>
      </x:c>
      <x:c r="C872" t="s">
        <x:v>44</x:v>
      </x:c>
      <x:c r="D872">
        <x:v>45955</x:v>
      </x:c>
      <x:c r="E872" t="s">
        <x:v>45</x:v>
      </x:c>
      <x:c r="F872" t="s">
        <x:v>51</x:v>
      </x:c>
      <x:c r="G872">
        <x:v>25</x:v>
      </x:c>
      <x:c r="H872" t="s">
        <x:v>77</x:v>
      </x:c>
      <x:c r="I872">
        <x:v>10</x:v>
      </x:c>
      <x:c r="J872">
        <x:v>8</x:v>
      </x:c>
      <x:c r="K872">
        <x:v>3</x:v>
      </x:c>
      <x:c r="L872">
        <x:f t="shared" si="91"/>
        <x:v>0</x:v>
      </x:c>
      <x:c r="P872">
        <x:f t="shared" si="92"/>
        <x:v>0</x:v>
      </x:c>
      <x:c r="Q872">
        <x:f t="shared" si="93"/>
        <x:v>0</x:v>
      </x:c>
      <x:c r="R872">
        <x:f t="shared" si="94"/>
        <x:v>0</x:v>
      </x:c>
      <x:c r="S872">
        <x:f t="shared" si="95"/>
        <x:v>0</x:v>
      </x:c>
      <x:c r="T872" t="str">
        <x:f t="shared" si="96"/>
        <x:v>DerivedFromCount</x:v>
      </x:c>
      <x:c r="U872" t="str">
        <x:f>IF(COUNTIF(DailyProduction!$Q$5:$Q$100,B872)=1,"OK","CHECK")</x:f>
        <x:v>OK</x:v>
      </x:c>
      <x:c r="V872" t="str">
        <x:f t="shared" si="97"/>
        <x:v>OK</x:v>
      </x:c>
      <x:c r="W872" t="str">
        <x:f>IF(SUMIF($B$5:$B$914,B872,$S$5:$S$914)=SUMIF(DailyProduction!$Q$5:$Q$100,B872,DailyProduction!$R$5:$R$100),"OK","CHECK")</x:f>
        <x:v>OK</x:v>
      </x:c>
      <x:c r="X872" t="str">
        <x:v>PLC-PRD-JAR-330-L25</x:v>
      </x:c>
      <x:c r="Y872" t="str">
        <x:v>OK</x:v>
      </x:c>
      <x:c r="Z872" t="str">
        <x:v>OK</x:v>
      </x:c>
      <x:c r="AA872" t="n">
        <x:v>3</x:v>
      </x:c>
      <x:c r="AB872" t="n">
        <x:v>0</x:v>
      </x:c>
      <x:c r="AC872" t="str">
        <x:v>OK</x:v>
      </x:c>
      <x:c r="AD872" t="str">
        <x:v>OK</x:v>
      </x:c>
      <x:c r="AE872" t="str">
        <x:v>LOAD</x:v>
      </x:c>
      <x:c r="AF872" t="str">
        <x:v>02_Supervisor_Log(4).xlsx</x:v>
      </x:c>
      <x:c r="AG872" t="str">
        <x:v>ENH-20260830-01</x:v>
      </x:c>
      <x:c r="AH872" t="str">
        <x:v>Active</x:v>
      </x:c>
      <x:c r="AI872"/>
      <x:c r="AJ872"/>
      <x:c r="AK872"/>
      <x:c r="AL872"/>
    </x:row>
    <x:row r="873">
      <x:c r="A873" t="s">
        <x:v>1128</x:v>
      </x:c>
      <x:c r="B873" t="s">
        <x:v>1118</x:v>
      </x:c>
      <x:c r="C873" t="s">
        <x:v>44</x:v>
      </x:c>
      <x:c r="D873">
        <x:v>45955</x:v>
      </x:c>
      <x:c r="E873" t="s">
        <x:v>45</x:v>
      </x:c>
      <x:c r="F873" t="s">
        <x:v>51</x:v>
      </x:c>
      <x:c r="G873">
        <x:v>25</x:v>
      </x:c>
      <x:c r="H873" t="s">
        <x:v>77</x:v>
      </x:c>
      <x:c r="I873">
        <x:v>11</x:v>
      </x:c>
      <x:c r="J873">
        <x:v>8</x:v>
      </x:c>
      <x:c r="K873">
        <x:v>3</x:v>
      </x:c>
      <x:c r="L873">
        <x:f t="shared" si="91"/>
        <x:v>0</x:v>
      </x:c>
      <x:c r="P873">
        <x:f t="shared" si="92"/>
        <x:v>0</x:v>
      </x:c>
      <x:c r="Q873">
        <x:f t="shared" si="93"/>
        <x:v>0</x:v>
      </x:c>
      <x:c r="R873">
        <x:f t="shared" si="94"/>
        <x:v>0</x:v>
      </x:c>
      <x:c r="S873">
        <x:f t="shared" si="95"/>
        <x:v>0</x:v>
      </x:c>
      <x:c r="T873" t="str">
        <x:f t="shared" si="96"/>
        <x:v>DerivedFromCount</x:v>
      </x:c>
      <x:c r="U873" t="str">
        <x:f>IF(COUNTIF(DailyProduction!$Q$5:$Q$100,B873)=1,"OK","CHECK")</x:f>
        <x:v>OK</x:v>
      </x:c>
      <x:c r="V873" t="str">
        <x:f t="shared" si="97"/>
        <x:v>OK</x:v>
      </x:c>
      <x:c r="W873" t="str">
        <x:f>IF(SUMIF($B$5:$B$914,B873,$S$5:$S$914)=SUMIF(DailyProduction!$Q$5:$Q$100,B873,DailyProduction!$R$5:$R$100),"OK","CHECK")</x:f>
        <x:v>OK</x:v>
      </x:c>
      <x:c r="X873" t="str">
        <x:v>PLC-PRD-JAR-330-L25</x:v>
      </x:c>
      <x:c r="Y873" t="str">
        <x:v>OK</x:v>
      </x:c>
      <x:c r="Z873" t="str">
        <x:v>OK</x:v>
      </x:c>
      <x:c r="AA873" t="n">
        <x:v>3</x:v>
      </x:c>
      <x:c r="AB873" t="n">
        <x:v>0</x:v>
      </x:c>
      <x:c r="AC873" t="str">
        <x:v>OK</x:v>
      </x:c>
      <x:c r="AD873" t="str">
        <x:v>OK</x:v>
      </x:c>
      <x:c r="AE873" t="str">
        <x:v>LOAD</x:v>
      </x:c>
      <x:c r="AF873" t="str">
        <x:v>02_Supervisor_Log(4).xlsx</x:v>
      </x:c>
      <x:c r="AG873" t="str">
        <x:v>ENH-20260830-01</x:v>
      </x:c>
      <x:c r="AH873" t="str">
        <x:v>Active</x:v>
      </x:c>
      <x:c r="AI873"/>
      <x:c r="AJ873"/>
      <x:c r="AK873"/>
      <x:c r="AL873"/>
    </x:row>
    <x:row r="874">
      <x:c r="A874" t="s">
        <x:v>1129</x:v>
      </x:c>
      <x:c r="B874" t="s">
        <x:v>1118</x:v>
      </x:c>
      <x:c r="C874" t="s">
        <x:v>44</x:v>
      </x:c>
      <x:c r="D874">
        <x:v>45955</x:v>
      </x:c>
      <x:c r="E874" t="s">
        <x:v>45</x:v>
      </x:c>
      <x:c r="F874" t="s">
        <x:v>51</x:v>
      </x:c>
      <x:c r="G874">
        <x:v>25</x:v>
      </x:c>
      <x:c r="H874" t="s">
        <x:v>77</x:v>
      </x:c>
      <x:c r="I874">
        <x:v>12</x:v>
      </x:c>
      <x:c r="J874">
        <x:v>8</x:v>
      </x:c>
      <x:c r="K874">
        <x:v>3</x:v>
      </x:c>
      <x:c r="L874">
        <x:f t="shared" si="91"/>
        <x:v>0</x:v>
      </x:c>
      <x:c r="P874">
        <x:f t="shared" si="92"/>
        <x:v>0</x:v>
      </x:c>
      <x:c r="Q874">
        <x:f t="shared" si="93"/>
        <x:v>0</x:v>
      </x:c>
      <x:c r="R874">
        <x:f t="shared" si="94"/>
        <x:v>0</x:v>
      </x:c>
      <x:c r="S874">
        <x:f t="shared" si="95"/>
        <x:v>0</x:v>
      </x:c>
      <x:c r="T874" t="str">
        <x:f t="shared" si="96"/>
        <x:v>DerivedFromCount</x:v>
      </x:c>
      <x:c r="U874" t="str">
        <x:f>IF(COUNTIF(DailyProduction!$Q$5:$Q$100,B874)=1,"OK","CHECK")</x:f>
        <x:v>OK</x:v>
      </x:c>
      <x:c r="V874" t="str">
        <x:f t="shared" si="97"/>
        <x:v>OK</x:v>
      </x:c>
      <x:c r="W874" t="str">
        <x:f>IF(SUMIF($B$5:$B$914,B874,$S$5:$S$914)=SUMIF(DailyProduction!$Q$5:$Q$100,B874,DailyProduction!$R$5:$R$100),"OK","CHECK")</x:f>
        <x:v>OK</x:v>
      </x:c>
      <x:c r="X874" t="str">
        <x:v>PLC-PRD-JAR-330-L25</x:v>
      </x:c>
      <x:c r="Y874" t="str">
        <x:v>OK</x:v>
      </x:c>
      <x:c r="Z874" t="str">
        <x:v>OK</x:v>
      </x:c>
      <x:c r="AA874" t="n">
        <x:v>3</x:v>
      </x:c>
      <x:c r="AB874" t="n">
        <x:v>0</x:v>
      </x:c>
      <x:c r="AC874" t="str">
        <x:v>OK</x:v>
      </x:c>
      <x:c r="AD874" t="str">
        <x:v>OK</x:v>
      </x:c>
      <x:c r="AE874" t="str">
        <x:v>LOAD</x:v>
      </x:c>
      <x:c r="AF874" t="str">
        <x:v>02_Supervisor_Log(4).xlsx</x:v>
      </x:c>
      <x:c r="AG874" t="str">
        <x:v>ENH-20260830-01</x:v>
      </x:c>
      <x:c r="AH874" t="str">
        <x:v>Active</x:v>
      </x:c>
      <x:c r="AI874"/>
      <x:c r="AJ874"/>
      <x:c r="AK874"/>
      <x:c r="AL874"/>
    </x:row>
    <x:row r="875">
      <x:c r="A875" t="s">
        <x:v>1130</x:v>
      </x:c>
      <x:c r="B875" t="s">
        <x:v>1118</x:v>
      </x:c>
      <x:c r="C875" t="s">
        <x:v>44</x:v>
      </x:c>
      <x:c r="D875">
        <x:v>45955</x:v>
      </x:c>
      <x:c r="E875" t="s">
        <x:v>45</x:v>
      </x:c>
      <x:c r="F875" t="s">
        <x:v>51</x:v>
      </x:c>
      <x:c r="G875">
        <x:v>25</x:v>
      </x:c>
      <x:c r="H875" t="s">
        <x:v>77</x:v>
      </x:c>
      <x:c r="I875">
        <x:v>13</x:v>
      </x:c>
      <x:c r="J875">
        <x:v>8</x:v>
      </x:c>
      <x:c r="K875">
        <x:v>3</x:v>
      </x:c>
      <x:c r="L875">
        <x:f t="shared" si="91"/>
        <x:v>0</x:v>
      </x:c>
      <x:c r="P875">
        <x:f t="shared" si="92"/>
        <x:v>0</x:v>
      </x:c>
      <x:c r="Q875">
        <x:f t="shared" si="93"/>
        <x:v>0</x:v>
      </x:c>
      <x:c r="R875">
        <x:f t="shared" si="94"/>
        <x:v>0</x:v>
      </x:c>
      <x:c r="S875">
        <x:f t="shared" si="95"/>
        <x:v>0</x:v>
      </x:c>
      <x:c r="T875" t="str">
        <x:f t="shared" si="96"/>
        <x:v>DerivedFromCount</x:v>
      </x:c>
      <x:c r="U875" t="str">
        <x:f>IF(COUNTIF(DailyProduction!$Q$5:$Q$100,B875)=1,"OK","CHECK")</x:f>
        <x:v>OK</x:v>
      </x:c>
      <x:c r="V875" t="str">
        <x:f t="shared" si="97"/>
        <x:v>OK</x:v>
      </x:c>
      <x:c r="W875" t="str">
        <x:f>IF(SUMIF($B$5:$B$914,B875,$S$5:$S$914)=SUMIF(DailyProduction!$Q$5:$Q$100,B875,DailyProduction!$R$5:$R$100),"OK","CHECK")</x:f>
        <x:v>OK</x:v>
      </x:c>
      <x:c r="X875" t="str">
        <x:v>PLC-PRD-JAR-330-L25</x:v>
      </x:c>
      <x:c r="Y875" t="str">
        <x:v>OK</x:v>
      </x:c>
      <x:c r="Z875" t="str">
        <x:v>OK</x:v>
      </x:c>
      <x:c r="AA875" t="n">
        <x:v>3</x:v>
      </x:c>
      <x:c r="AB875" t="n">
        <x:v>0</x:v>
      </x:c>
      <x:c r="AC875" t="str">
        <x:v>OK</x:v>
      </x:c>
      <x:c r="AD875" t="str">
        <x:v>OK</x:v>
      </x:c>
      <x:c r="AE875" t="str">
        <x:v>LOAD</x:v>
      </x:c>
      <x:c r="AF875" t="str">
        <x:v>02_Supervisor_Log(4).xlsx</x:v>
      </x:c>
      <x:c r="AG875" t="str">
        <x:v>ENH-20260830-01</x:v>
      </x:c>
      <x:c r="AH875" t="str">
        <x:v>Active</x:v>
      </x:c>
      <x:c r="AI875"/>
      <x:c r="AJ875"/>
      <x:c r="AK875"/>
      <x:c r="AL875"/>
    </x:row>
    <x:row r="876">
      <x:c r="A876" t="s">
        <x:v>1131</x:v>
      </x:c>
      <x:c r="B876" t="s">
        <x:v>1132</x:v>
      </x:c>
      <x:c r="C876" t="s">
        <x:v>44</x:v>
      </x:c>
      <x:c r="D876">
        <x:v>45955</x:v>
      </x:c>
      <x:c r="E876" t="s">
        <x:v>187</x:v>
      </x:c>
      <x:c r="F876" t="s">
        <x:v>55</x:v>
      </x:c>
      <x:c r="G876">
        <x:v>25</x:v>
      </x:c>
      <x:c r="H876" t="s">
        <x:v>77</x:v>
      </x:c>
      <x:c r="I876">
        <x:v>1</x:v>
      </x:c>
      <x:c r="J876">
        <x:v>8</x:v>
      </x:c>
      <x:c r="K876">
        <x:v>3</x:v>
      </x:c>
      <x:c r="L876">
        <x:f t="shared" si="91"/>
        <x:v>1</x:v>
      </x:c>
      <x:c r="P876">
        <x:f t="shared" si="92"/>
        <x:v>1</x:v>
      </x:c>
      <x:c r="Q876">
        <x:f t="shared" si="93"/>
        <x:v>1</x:v>
      </x:c>
      <x:c r="R876">
        <x:f t="shared" si="94"/>
        <x:v>1</x:v>
      </x:c>
      <x:c r="S876">
        <x:f t="shared" si="95"/>
        <x:v>3</x:v>
      </x:c>
      <x:c r="T876" t="str">
        <x:f t="shared" si="96"/>
        <x:v>DerivedFromCount</x:v>
      </x:c>
      <x:c r="U876" t="str">
        <x:f>IF(COUNTIF(DailyProduction!$Q$5:$Q$100,B876)=1,"OK","CHECK")</x:f>
        <x:v>OK</x:v>
      </x:c>
      <x:c r="V876" t="str">
        <x:f t="shared" si="97"/>
        <x:v>OK</x:v>
      </x:c>
      <x:c r="W876" t="str">
        <x:f>IF(SUMIF($B$5:$B$914,B876,$S$5:$S$914)=SUMIF(DailyProduction!$Q$5:$Q$100,B876,DailyProduction!$R$5:$R$100),"OK","CHECK")</x:f>
        <x:v>OK</x:v>
      </x:c>
      <x:c r="X876" t="str">
        <x:v>PLC-PRD-JAR-330-L25</x:v>
      </x:c>
      <x:c r="Y876" t="str">
        <x:v>OK</x:v>
      </x:c>
      <x:c r="Z876" t="str">
        <x:v>OK</x:v>
      </x:c>
      <x:c r="AA876" t="n">
        <x:v>3</x:v>
      </x:c>
      <x:c r="AB876" t="n">
        <x:v>3</x:v>
      </x:c>
      <x:c r="AC876" t="str">
        <x:v>OK</x:v>
      </x:c>
      <x:c r="AD876" t="str">
        <x:v>OK</x:v>
      </x:c>
      <x:c r="AE876" t="str">
        <x:v>LOAD</x:v>
      </x:c>
      <x:c r="AF876" t="str">
        <x:v>02_Supervisor_Log(4).xlsx</x:v>
      </x:c>
      <x:c r="AG876" t="str">
        <x:v>ENH-20260830-01</x:v>
      </x:c>
      <x:c r="AH876" t="str">
        <x:v>Active</x:v>
      </x:c>
      <x:c r="AI876"/>
      <x:c r="AJ876"/>
      <x:c r="AK876"/>
      <x:c r="AL876"/>
    </x:row>
    <x:row r="877">
      <x:c r="A877" t="s">
        <x:v>1133</x:v>
      </x:c>
      <x:c r="B877" t="s">
        <x:v>1132</x:v>
      </x:c>
      <x:c r="C877" t="s">
        <x:v>44</x:v>
      </x:c>
      <x:c r="D877">
        <x:v>45955</x:v>
      </x:c>
      <x:c r="E877" t="s">
        <x:v>187</x:v>
      </x:c>
      <x:c r="F877" t="s">
        <x:v>55</x:v>
      </x:c>
      <x:c r="G877">
        <x:v>25</x:v>
      </x:c>
      <x:c r="H877" t="s">
        <x:v>77</x:v>
      </x:c>
      <x:c r="I877">
        <x:v>2</x:v>
      </x:c>
      <x:c r="J877">
        <x:v>8</x:v>
      </x:c>
      <x:c r="K877">
        <x:v>3</x:v>
      </x:c>
      <x:c r="L877">
        <x:f t="shared" si="91"/>
        <x:v>1</x:v>
      </x:c>
      <x:c r="P877">
        <x:f t="shared" si="92"/>
        <x:v>1</x:v>
      </x:c>
      <x:c r="Q877">
        <x:f t="shared" si="93"/>
        <x:v>1</x:v>
      </x:c>
      <x:c r="R877">
        <x:f t="shared" si="94"/>
        <x:v>1</x:v>
      </x:c>
      <x:c r="S877">
        <x:f t="shared" si="95"/>
        <x:v>3</x:v>
      </x:c>
      <x:c r="T877" t="str">
        <x:f t="shared" si="96"/>
        <x:v>DerivedFromCount</x:v>
      </x:c>
      <x:c r="U877" t="str">
        <x:f>IF(COUNTIF(DailyProduction!$Q$5:$Q$100,B877)=1,"OK","CHECK")</x:f>
        <x:v>OK</x:v>
      </x:c>
      <x:c r="V877" t="str">
        <x:f t="shared" si="97"/>
        <x:v>OK</x:v>
      </x:c>
      <x:c r="W877" t="str">
        <x:f>IF(SUMIF($B$5:$B$914,B877,$S$5:$S$914)=SUMIF(DailyProduction!$Q$5:$Q$100,B877,DailyProduction!$R$5:$R$100),"OK","CHECK")</x:f>
        <x:v>OK</x:v>
      </x:c>
      <x:c r="X877" t="str">
        <x:v>PLC-PRD-JAR-330-L25</x:v>
      </x:c>
      <x:c r="Y877" t="str">
        <x:v>OK</x:v>
      </x:c>
      <x:c r="Z877" t="str">
        <x:v>OK</x:v>
      </x:c>
      <x:c r="AA877" t="n">
        <x:v>3</x:v>
      </x:c>
      <x:c r="AB877" t="n">
        <x:v>3</x:v>
      </x:c>
      <x:c r="AC877" t="str">
        <x:v>OK</x:v>
      </x:c>
      <x:c r="AD877" t="str">
        <x:v>OK</x:v>
      </x:c>
      <x:c r="AE877" t="str">
        <x:v>LOAD</x:v>
      </x:c>
      <x:c r="AF877" t="str">
        <x:v>02_Supervisor_Log(4).xlsx</x:v>
      </x:c>
      <x:c r="AG877" t="str">
        <x:v>ENH-20260830-01</x:v>
      </x:c>
      <x:c r="AH877" t="str">
        <x:v>Active</x:v>
      </x:c>
      <x:c r="AI877"/>
      <x:c r="AJ877"/>
      <x:c r="AK877"/>
      <x:c r="AL877"/>
    </x:row>
    <x:row r="878">
      <x:c r="A878" t="s">
        <x:v>1134</x:v>
      </x:c>
      <x:c r="B878" t="s">
        <x:v>1132</x:v>
      </x:c>
      <x:c r="C878" t="s">
        <x:v>44</x:v>
      </x:c>
      <x:c r="D878">
        <x:v>45955</x:v>
      </x:c>
      <x:c r="E878" t="s">
        <x:v>187</x:v>
      </x:c>
      <x:c r="F878" t="s">
        <x:v>55</x:v>
      </x:c>
      <x:c r="G878">
        <x:v>25</x:v>
      </x:c>
      <x:c r="H878" t="s">
        <x:v>77</x:v>
      </x:c>
      <x:c r="I878">
        <x:v>3</x:v>
      </x:c>
      <x:c r="J878">
        <x:v>8</x:v>
      </x:c>
      <x:c r="K878">
        <x:v>3</x:v>
      </x:c>
      <x:c r="L878">
        <x:f t="shared" si="91"/>
        <x:v>1</x:v>
      </x:c>
      <x:c r="P878">
        <x:f t="shared" si="92"/>
        <x:v>1</x:v>
      </x:c>
      <x:c r="Q878">
        <x:f t="shared" si="93"/>
        <x:v>1</x:v>
      </x:c>
      <x:c r="R878">
        <x:f t="shared" si="94"/>
        <x:v>1</x:v>
      </x:c>
      <x:c r="S878">
        <x:f t="shared" si="95"/>
        <x:v>3</x:v>
      </x:c>
      <x:c r="T878" t="str">
        <x:f t="shared" si="96"/>
        <x:v>DerivedFromCount</x:v>
      </x:c>
      <x:c r="U878" t="str">
        <x:f>IF(COUNTIF(DailyProduction!$Q$5:$Q$100,B878)=1,"OK","CHECK")</x:f>
        <x:v>OK</x:v>
      </x:c>
      <x:c r="V878" t="str">
        <x:f t="shared" si="97"/>
        <x:v>OK</x:v>
      </x:c>
      <x:c r="W878" t="str">
        <x:f>IF(SUMIF($B$5:$B$914,B878,$S$5:$S$914)=SUMIF(DailyProduction!$Q$5:$Q$100,B878,DailyProduction!$R$5:$R$100),"OK","CHECK")</x:f>
        <x:v>OK</x:v>
      </x:c>
      <x:c r="X878" t="str">
        <x:v>PLC-PRD-JAR-330-L25</x:v>
      </x:c>
      <x:c r="Y878" t="str">
        <x:v>OK</x:v>
      </x:c>
      <x:c r="Z878" t="str">
        <x:v>OK</x:v>
      </x:c>
      <x:c r="AA878" t="n">
        <x:v>3</x:v>
      </x:c>
      <x:c r="AB878" t="n">
        <x:v>3</x:v>
      </x:c>
      <x:c r="AC878" t="str">
        <x:v>OK</x:v>
      </x:c>
      <x:c r="AD878" t="str">
        <x:v>OK</x:v>
      </x:c>
      <x:c r="AE878" t="str">
        <x:v>LOAD</x:v>
      </x:c>
      <x:c r="AF878" t="str">
        <x:v>02_Supervisor_Log(4).xlsx</x:v>
      </x:c>
      <x:c r="AG878" t="str">
        <x:v>ENH-20260830-01</x:v>
      </x:c>
      <x:c r="AH878" t="str">
        <x:v>Active</x:v>
      </x:c>
      <x:c r="AI878"/>
      <x:c r="AJ878"/>
      <x:c r="AK878"/>
      <x:c r="AL878"/>
    </x:row>
    <x:row r="879">
      <x:c r="A879" t="s">
        <x:v>1135</x:v>
      </x:c>
      <x:c r="B879" t="s">
        <x:v>1132</x:v>
      </x:c>
      <x:c r="C879" t="s">
        <x:v>44</x:v>
      </x:c>
      <x:c r="D879">
        <x:v>45955</x:v>
      </x:c>
      <x:c r="E879" t="s">
        <x:v>187</x:v>
      </x:c>
      <x:c r="F879" t="s">
        <x:v>55</x:v>
      </x:c>
      <x:c r="G879">
        <x:v>25</x:v>
      </x:c>
      <x:c r="H879" t="s">
        <x:v>77</x:v>
      </x:c>
      <x:c r="I879">
        <x:v>4</x:v>
      </x:c>
      <x:c r="J879">
        <x:v>8</x:v>
      </x:c>
      <x:c r="K879">
        <x:v>3</x:v>
      </x:c>
      <x:c r="L879">
        <x:f t="shared" si="91"/>
        <x:v>1</x:v>
      </x:c>
      <x:c r="P879">
        <x:f t="shared" si="92"/>
        <x:v>1</x:v>
      </x:c>
      <x:c r="Q879">
        <x:f t="shared" si="93"/>
        <x:v>1</x:v>
      </x:c>
      <x:c r="R879">
        <x:f t="shared" si="94"/>
        <x:v>1</x:v>
      </x:c>
      <x:c r="S879">
        <x:f t="shared" si="95"/>
        <x:v>3</x:v>
      </x:c>
      <x:c r="T879" t="str">
        <x:f t="shared" si="96"/>
        <x:v>DerivedFromCount</x:v>
      </x:c>
      <x:c r="U879" t="str">
        <x:f>IF(COUNTIF(DailyProduction!$Q$5:$Q$100,B879)=1,"OK","CHECK")</x:f>
        <x:v>OK</x:v>
      </x:c>
      <x:c r="V879" t="str">
        <x:f t="shared" si="97"/>
        <x:v>OK</x:v>
      </x:c>
      <x:c r="W879" t="str">
        <x:f>IF(SUMIF($B$5:$B$914,B879,$S$5:$S$914)=SUMIF(DailyProduction!$Q$5:$Q$100,B879,DailyProduction!$R$5:$R$100),"OK","CHECK")</x:f>
        <x:v>OK</x:v>
      </x:c>
      <x:c r="X879" t="str">
        <x:v>PLC-PRD-JAR-330-L25</x:v>
      </x:c>
      <x:c r="Y879" t="str">
        <x:v>OK</x:v>
      </x:c>
      <x:c r="Z879" t="str">
        <x:v>OK</x:v>
      </x:c>
      <x:c r="AA879" t="n">
        <x:v>3</x:v>
      </x:c>
      <x:c r="AB879" t="n">
        <x:v>3</x:v>
      </x:c>
      <x:c r="AC879" t="str">
        <x:v>OK</x:v>
      </x:c>
      <x:c r="AD879" t="str">
        <x:v>OK</x:v>
      </x:c>
      <x:c r="AE879" t="str">
        <x:v>LOAD</x:v>
      </x:c>
      <x:c r="AF879" t="str">
        <x:v>02_Supervisor_Log(4).xlsx</x:v>
      </x:c>
      <x:c r="AG879" t="str">
        <x:v>ENH-20260830-01</x:v>
      </x:c>
      <x:c r="AH879" t="str">
        <x:v>Active</x:v>
      </x:c>
      <x:c r="AI879"/>
      <x:c r="AJ879"/>
      <x:c r="AK879"/>
      <x:c r="AL879"/>
    </x:row>
    <x:row r="880">
      <x:c r="A880" t="s">
        <x:v>1136</x:v>
      </x:c>
      <x:c r="B880" t="s">
        <x:v>1132</x:v>
      </x:c>
      <x:c r="C880" t="s">
        <x:v>44</x:v>
      </x:c>
      <x:c r="D880">
        <x:v>45955</x:v>
      </x:c>
      <x:c r="E880" t="s">
        <x:v>187</x:v>
      </x:c>
      <x:c r="F880" t="s">
        <x:v>55</x:v>
      </x:c>
      <x:c r="G880">
        <x:v>25</x:v>
      </x:c>
      <x:c r="H880" t="s">
        <x:v>77</x:v>
      </x:c>
      <x:c r="I880">
        <x:v>5</x:v>
      </x:c>
      <x:c r="J880">
        <x:v>8</x:v>
      </x:c>
      <x:c r="K880">
        <x:v>3</x:v>
      </x:c>
      <x:c r="L880">
        <x:f t="shared" si="91"/>
        <x:v>1</x:v>
      </x:c>
      <x:c r="P880">
        <x:f t="shared" si="92"/>
        <x:v>1</x:v>
      </x:c>
      <x:c r="Q880">
        <x:f t="shared" si="93"/>
        <x:v>1</x:v>
      </x:c>
      <x:c r="R880">
        <x:f t="shared" si="94"/>
        <x:v>1</x:v>
      </x:c>
      <x:c r="S880">
        <x:f t="shared" si="95"/>
        <x:v>3</x:v>
      </x:c>
      <x:c r="T880" t="str">
        <x:f t="shared" si="96"/>
        <x:v>DerivedFromCount</x:v>
      </x:c>
      <x:c r="U880" t="str">
        <x:f>IF(COUNTIF(DailyProduction!$Q$5:$Q$100,B880)=1,"OK","CHECK")</x:f>
        <x:v>OK</x:v>
      </x:c>
      <x:c r="V880" t="str">
        <x:f t="shared" si="97"/>
        <x:v>OK</x:v>
      </x:c>
      <x:c r="W880" t="str">
        <x:f>IF(SUMIF($B$5:$B$914,B880,$S$5:$S$914)=SUMIF(DailyProduction!$Q$5:$Q$100,B880,DailyProduction!$R$5:$R$100),"OK","CHECK")</x:f>
        <x:v>OK</x:v>
      </x:c>
      <x:c r="X880" t="str">
        <x:v>PLC-PRD-JAR-330-L25</x:v>
      </x:c>
      <x:c r="Y880" t="str">
        <x:v>OK</x:v>
      </x:c>
      <x:c r="Z880" t="str">
        <x:v>OK</x:v>
      </x:c>
      <x:c r="AA880" t="n">
        <x:v>3</x:v>
      </x:c>
      <x:c r="AB880" t="n">
        <x:v>3</x:v>
      </x:c>
      <x:c r="AC880" t="str">
        <x:v>OK</x:v>
      </x:c>
      <x:c r="AD880" t="str">
        <x:v>OK</x:v>
      </x:c>
      <x:c r="AE880" t="str">
        <x:v>LOAD</x:v>
      </x:c>
      <x:c r="AF880" t="str">
        <x:v>02_Supervisor_Log(4).xlsx</x:v>
      </x:c>
      <x:c r="AG880" t="str">
        <x:v>ENH-20260830-01</x:v>
      </x:c>
      <x:c r="AH880" t="str">
        <x:v>Active</x:v>
      </x:c>
      <x:c r="AI880"/>
      <x:c r="AJ880"/>
      <x:c r="AK880"/>
      <x:c r="AL880"/>
    </x:row>
    <x:row r="881">
      <x:c r="A881" t="s">
        <x:v>1137</x:v>
      </x:c>
      <x:c r="B881" t="s">
        <x:v>1132</x:v>
      </x:c>
      <x:c r="C881" t="s">
        <x:v>44</x:v>
      </x:c>
      <x:c r="D881">
        <x:v>45955</x:v>
      </x:c>
      <x:c r="E881" t="s">
        <x:v>187</x:v>
      </x:c>
      <x:c r="F881" t="s">
        <x:v>55</x:v>
      </x:c>
      <x:c r="G881">
        <x:v>25</x:v>
      </x:c>
      <x:c r="H881" t="s">
        <x:v>77</x:v>
      </x:c>
      <x:c r="I881">
        <x:v>6</x:v>
      </x:c>
      <x:c r="J881">
        <x:v>8</x:v>
      </x:c>
      <x:c r="K881">
        <x:v>3</x:v>
      </x:c>
      <x:c r="L881">
        <x:f t="shared" si="91"/>
        <x:v>1</x:v>
      </x:c>
      <x:c r="P881">
        <x:f t="shared" si="92"/>
        <x:v>1</x:v>
      </x:c>
      <x:c r="Q881">
        <x:f t="shared" si="93"/>
        <x:v>1</x:v>
      </x:c>
      <x:c r="R881">
        <x:f t="shared" si="94"/>
        <x:v>1</x:v>
      </x:c>
      <x:c r="S881">
        <x:f t="shared" si="95"/>
        <x:v>3</x:v>
      </x:c>
      <x:c r="T881" t="str">
        <x:f t="shared" si="96"/>
        <x:v>DerivedFromCount</x:v>
      </x:c>
      <x:c r="U881" t="str">
        <x:f>IF(COUNTIF(DailyProduction!$Q$5:$Q$100,B881)=1,"OK","CHECK")</x:f>
        <x:v>OK</x:v>
      </x:c>
      <x:c r="V881" t="str">
        <x:f t="shared" si="97"/>
        <x:v>OK</x:v>
      </x:c>
      <x:c r="W881" t="str">
        <x:f>IF(SUMIF($B$5:$B$914,B881,$S$5:$S$914)=SUMIF(DailyProduction!$Q$5:$Q$100,B881,DailyProduction!$R$5:$R$100),"OK","CHECK")</x:f>
        <x:v>OK</x:v>
      </x:c>
      <x:c r="X881" t="str">
        <x:v>PLC-PRD-JAR-330-L25</x:v>
      </x:c>
      <x:c r="Y881" t="str">
        <x:v>OK</x:v>
      </x:c>
      <x:c r="Z881" t="str">
        <x:v>OK</x:v>
      </x:c>
      <x:c r="AA881" t="n">
        <x:v>3</x:v>
      </x:c>
      <x:c r="AB881" t="n">
        <x:v>3</x:v>
      </x:c>
      <x:c r="AC881" t="str">
        <x:v>OK</x:v>
      </x:c>
      <x:c r="AD881" t="str">
        <x:v>OK</x:v>
      </x:c>
      <x:c r="AE881" t="str">
        <x:v>LOAD</x:v>
      </x:c>
      <x:c r="AF881" t="str">
        <x:v>02_Supervisor_Log(4).xlsx</x:v>
      </x:c>
      <x:c r="AG881" t="str">
        <x:v>ENH-20260830-01</x:v>
      </x:c>
      <x:c r="AH881" t="str">
        <x:v>Active</x:v>
      </x:c>
      <x:c r="AI881"/>
      <x:c r="AJ881"/>
      <x:c r="AK881"/>
      <x:c r="AL881"/>
    </x:row>
    <x:row r="882">
      <x:c r="A882" t="s">
        <x:v>1138</x:v>
      </x:c>
      <x:c r="B882" t="s">
        <x:v>1132</x:v>
      </x:c>
      <x:c r="C882" t="s">
        <x:v>44</x:v>
      </x:c>
      <x:c r="D882">
        <x:v>45955</x:v>
      </x:c>
      <x:c r="E882" t="s">
        <x:v>187</x:v>
      </x:c>
      <x:c r="F882" t="s">
        <x:v>55</x:v>
      </x:c>
      <x:c r="G882">
        <x:v>25</x:v>
      </x:c>
      <x:c r="H882" t="s">
        <x:v>77</x:v>
      </x:c>
      <x:c r="I882">
        <x:v>7</x:v>
      </x:c>
      <x:c r="J882">
        <x:v>8</x:v>
      </x:c>
      <x:c r="K882">
        <x:v>3</x:v>
      </x:c>
      <x:c r="L882">
        <x:f t="shared" si="91"/>
        <x:v>1</x:v>
      </x:c>
      <x:c r="P882">
        <x:f t="shared" si="92"/>
        <x:v>1</x:v>
      </x:c>
      <x:c r="Q882">
        <x:f t="shared" si="93"/>
        <x:v>1</x:v>
      </x:c>
      <x:c r="R882">
        <x:f t="shared" si="94"/>
        <x:v>1</x:v>
      </x:c>
      <x:c r="S882">
        <x:f t="shared" si="95"/>
        <x:v>3</x:v>
      </x:c>
      <x:c r="T882" t="str">
        <x:f t="shared" si="96"/>
        <x:v>DerivedFromCount</x:v>
      </x:c>
      <x:c r="U882" t="str">
        <x:f>IF(COUNTIF(DailyProduction!$Q$5:$Q$100,B882)=1,"OK","CHECK")</x:f>
        <x:v>OK</x:v>
      </x:c>
      <x:c r="V882" t="str">
        <x:f t="shared" si="97"/>
        <x:v>OK</x:v>
      </x:c>
      <x:c r="W882" t="str">
        <x:f>IF(SUMIF($B$5:$B$914,B882,$S$5:$S$914)=SUMIF(DailyProduction!$Q$5:$Q$100,B882,DailyProduction!$R$5:$R$100),"OK","CHECK")</x:f>
        <x:v>OK</x:v>
      </x:c>
      <x:c r="X882" t="str">
        <x:v>PLC-PRD-JAR-330-L25</x:v>
      </x:c>
      <x:c r="Y882" t="str">
        <x:v>OK</x:v>
      </x:c>
      <x:c r="Z882" t="str">
        <x:v>OK</x:v>
      </x:c>
      <x:c r="AA882" t="n">
        <x:v>3</x:v>
      </x:c>
      <x:c r="AB882" t="n">
        <x:v>3</x:v>
      </x:c>
      <x:c r="AC882" t="str">
        <x:v>OK</x:v>
      </x:c>
      <x:c r="AD882" t="str">
        <x:v>OK</x:v>
      </x:c>
      <x:c r="AE882" t="str">
        <x:v>LOAD</x:v>
      </x:c>
      <x:c r="AF882" t="str">
        <x:v>02_Supervisor_Log(4).xlsx</x:v>
      </x:c>
      <x:c r="AG882" t="str">
        <x:v>ENH-20260830-01</x:v>
      </x:c>
      <x:c r="AH882" t="str">
        <x:v>Active</x:v>
      </x:c>
      <x:c r="AI882"/>
      <x:c r="AJ882"/>
      <x:c r="AK882"/>
      <x:c r="AL882"/>
    </x:row>
    <x:row r="883">
      <x:c r="A883" t="s">
        <x:v>1139</x:v>
      </x:c>
      <x:c r="B883" t="s">
        <x:v>1132</x:v>
      </x:c>
      <x:c r="C883" t="s">
        <x:v>44</x:v>
      </x:c>
      <x:c r="D883">
        <x:v>45955</x:v>
      </x:c>
      <x:c r="E883" t="s">
        <x:v>187</x:v>
      </x:c>
      <x:c r="F883" t="s">
        <x:v>55</x:v>
      </x:c>
      <x:c r="G883">
        <x:v>25</x:v>
      </x:c>
      <x:c r="H883" t="s">
        <x:v>77</x:v>
      </x:c>
      <x:c r="I883">
        <x:v>8</x:v>
      </x:c>
      <x:c r="J883">
        <x:v>8</x:v>
      </x:c>
      <x:c r="K883">
        <x:v>3</x:v>
      </x:c>
      <x:c r="L883">
        <x:f t="shared" si="91"/>
        <x:v>1</x:v>
      </x:c>
      <x:c r="P883">
        <x:f t="shared" si="92"/>
        <x:v>1</x:v>
      </x:c>
      <x:c r="Q883">
        <x:f t="shared" si="93"/>
        <x:v>1</x:v>
      </x:c>
      <x:c r="R883">
        <x:f t="shared" si="94"/>
        <x:v>1</x:v>
      </x:c>
      <x:c r="S883">
        <x:f t="shared" si="95"/>
        <x:v>3</x:v>
      </x:c>
      <x:c r="T883" t="str">
        <x:f t="shared" si="96"/>
        <x:v>DerivedFromCount</x:v>
      </x:c>
      <x:c r="U883" t="str">
        <x:f>IF(COUNTIF(DailyProduction!$Q$5:$Q$100,B883)=1,"OK","CHECK")</x:f>
        <x:v>OK</x:v>
      </x:c>
      <x:c r="V883" t="str">
        <x:f t="shared" si="97"/>
        <x:v>OK</x:v>
      </x:c>
      <x:c r="W883" t="str">
        <x:f>IF(SUMIF($B$5:$B$914,B883,$S$5:$S$914)=SUMIF(DailyProduction!$Q$5:$Q$100,B883,DailyProduction!$R$5:$R$100),"OK","CHECK")</x:f>
        <x:v>OK</x:v>
      </x:c>
      <x:c r="X883" t="str">
        <x:v>PLC-PRD-JAR-330-L25</x:v>
      </x:c>
      <x:c r="Y883" t="str">
        <x:v>OK</x:v>
      </x:c>
      <x:c r="Z883" t="str">
        <x:v>OK</x:v>
      </x:c>
      <x:c r="AA883" t="n">
        <x:v>3</x:v>
      </x:c>
      <x:c r="AB883" t="n">
        <x:v>3</x:v>
      </x:c>
      <x:c r="AC883" t="str">
        <x:v>OK</x:v>
      </x:c>
      <x:c r="AD883" t="str">
        <x:v>OK</x:v>
      </x:c>
      <x:c r="AE883" t="str">
        <x:v>LOAD</x:v>
      </x:c>
      <x:c r="AF883" t="str">
        <x:v>02_Supervisor_Log(4).xlsx</x:v>
      </x:c>
      <x:c r="AG883" t="str">
        <x:v>ENH-20260830-01</x:v>
      </x:c>
      <x:c r="AH883" t="str">
        <x:v>Active</x:v>
      </x:c>
      <x:c r="AI883"/>
      <x:c r="AJ883"/>
      <x:c r="AK883"/>
      <x:c r="AL883"/>
    </x:row>
    <x:row r="884">
      <x:c r="A884" t="s">
        <x:v>1140</x:v>
      </x:c>
      <x:c r="B884" t="s">
        <x:v>1132</x:v>
      </x:c>
      <x:c r="C884" t="s">
        <x:v>44</x:v>
      </x:c>
      <x:c r="D884">
        <x:v>45955</x:v>
      </x:c>
      <x:c r="E884" t="s">
        <x:v>187</x:v>
      </x:c>
      <x:c r="F884" t="s">
        <x:v>55</x:v>
      </x:c>
      <x:c r="G884">
        <x:v>25</x:v>
      </x:c>
      <x:c r="H884" t="s">
        <x:v>77</x:v>
      </x:c>
      <x:c r="I884">
        <x:v>9</x:v>
      </x:c>
      <x:c r="J884">
        <x:v>8</x:v>
      </x:c>
      <x:c r="K884">
        <x:v>3</x:v>
      </x:c>
      <x:c r="L884">
        <x:f t="shared" si="91"/>
        <x:v>0</x:v>
      </x:c>
      <x:c r="P884">
        <x:f t="shared" si="92"/>
        <x:v>0</x:v>
      </x:c>
      <x:c r="Q884">
        <x:f t="shared" si="93"/>
        <x:v>0</x:v>
      </x:c>
      <x:c r="R884">
        <x:f t="shared" si="94"/>
        <x:v>0</x:v>
      </x:c>
      <x:c r="S884">
        <x:f t="shared" si="95"/>
        <x:v>0</x:v>
      </x:c>
      <x:c r="T884" t="str">
        <x:f t="shared" si="96"/>
        <x:v>DerivedFromCount</x:v>
      </x:c>
      <x:c r="U884" t="str">
        <x:f>IF(COUNTIF(DailyProduction!$Q$5:$Q$100,B884)=1,"OK","CHECK")</x:f>
        <x:v>OK</x:v>
      </x:c>
      <x:c r="V884" t="str">
        <x:f t="shared" si="97"/>
        <x:v>OK</x:v>
      </x:c>
      <x:c r="W884" t="str">
        <x:f>IF(SUMIF($B$5:$B$914,B884,$S$5:$S$914)=SUMIF(DailyProduction!$Q$5:$Q$100,B884,DailyProduction!$R$5:$R$100),"OK","CHECK")</x:f>
        <x:v>OK</x:v>
      </x:c>
      <x:c r="X884" t="str">
        <x:v>PLC-PRD-JAR-330-L25</x:v>
      </x:c>
      <x:c r="Y884" t="str">
        <x:v>OK</x:v>
      </x:c>
      <x:c r="Z884" t="str">
        <x:v>OK</x:v>
      </x:c>
      <x:c r="AA884" t="n">
        <x:v>3</x:v>
      </x:c>
      <x:c r="AB884" t="n">
        <x:v>0</x:v>
      </x:c>
      <x:c r="AC884" t="str">
        <x:v>OK</x:v>
      </x:c>
      <x:c r="AD884" t="str">
        <x:v>OK</x:v>
      </x:c>
      <x:c r="AE884" t="str">
        <x:v>LOAD</x:v>
      </x:c>
      <x:c r="AF884" t="str">
        <x:v>02_Supervisor_Log(4).xlsx</x:v>
      </x:c>
      <x:c r="AG884" t="str">
        <x:v>ENH-20260830-01</x:v>
      </x:c>
      <x:c r="AH884" t="str">
        <x:v>Active</x:v>
      </x:c>
      <x:c r="AI884"/>
      <x:c r="AJ884"/>
      <x:c r="AK884"/>
      <x:c r="AL884"/>
    </x:row>
    <x:row r="885">
      <x:c r="A885" t="s">
        <x:v>1141</x:v>
      </x:c>
      <x:c r="B885" t="s">
        <x:v>1132</x:v>
      </x:c>
      <x:c r="C885" t="s">
        <x:v>44</x:v>
      </x:c>
      <x:c r="D885">
        <x:v>45955</x:v>
      </x:c>
      <x:c r="E885" t="s">
        <x:v>187</x:v>
      </x:c>
      <x:c r="F885" t="s">
        <x:v>55</x:v>
      </x:c>
      <x:c r="G885">
        <x:v>25</x:v>
      </x:c>
      <x:c r="H885" t="s">
        <x:v>77</x:v>
      </x:c>
      <x:c r="I885">
        <x:v>10</x:v>
      </x:c>
      <x:c r="J885">
        <x:v>8</x:v>
      </x:c>
      <x:c r="K885">
        <x:v>3</x:v>
      </x:c>
      <x:c r="L885">
        <x:f t="shared" si="91"/>
        <x:v>0</x:v>
      </x:c>
      <x:c r="P885">
        <x:f t="shared" si="92"/>
        <x:v>0</x:v>
      </x:c>
      <x:c r="Q885">
        <x:f t="shared" si="93"/>
        <x:v>0</x:v>
      </x:c>
      <x:c r="R885">
        <x:f t="shared" si="94"/>
        <x:v>0</x:v>
      </x:c>
      <x:c r="S885">
        <x:f t="shared" si="95"/>
        <x:v>0</x:v>
      </x:c>
      <x:c r="T885" t="str">
        <x:f t="shared" si="96"/>
        <x:v>DerivedFromCount</x:v>
      </x:c>
      <x:c r="U885" t="str">
        <x:f>IF(COUNTIF(DailyProduction!$Q$5:$Q$100,B885)=1,"OK","CHECK")</x:f>
        <x:v>OK</x:v>
      </x:c>
      <x:c r="V885" t="str">
        <x:f t="shared" si="97"/>
        <x:v>OK</x:v>
      </x:c>
      <x:c r="W885" t="str">
        <x:f>IF(SUMIF($B$5:$B$914,B885,$S$5:$S$914)=SUMIF(DailyProduction!$Q$5:$Q$100,B885,DailyProduction!$R$5:$R$100),"OK","CHECK")</x:f>
        <x:v>OK</x:v>
      </x:c>
      <x:c r="X885" t="str">
        <x:v>PLC-PRD-JAR-330-L25</x:v>
      </x:c>
      <x:c r="Y885" t="str">
        <x:v>OK</x:v>
      </x:c>
      <x:c r="Z885" t="str">
        <x:v>OK</x:v>
      </x:c>
      <x:c r="AA885" t="n">
        <x:v>3</x:v>
      </x:c>
      <x:c r="AB885" t="n">
        <x:v>0</x:v>
      </x:c>
      <x:c r="AC885" t="str">
        <x:v>OK</x:v>
      </x:c>
      <x:c r="AD885" t="str">
        <x:v>OK</x:v>
      </x:c>
      <x:c r="AE885" t="str">
        <x:v>LOAD</x:v>
      </x:c>
      <x:c r="AF885" t="str">
        <x:v>02_Supervisor_Log(4).xlsx</x:v>
      </x:c>
      <x:c r="AG885" t="str">
        <x:v>ENH-20260830-01</x:v>
      </x:c>
      <x:c r="AH885" t="str">
        <x:v>Active</x:v>
      </x:c>
      <x:c r="AI885"/>
      <x:c r="AJ885"/>
      <x:c r="AK885"/>
      <x:c r="AL885"/>
    </x:row>
    <x:row r="886">
      <x:c r="A886" t="s">
        <x:v>1142</x:v>
      </x:c>
      <x:c r="B886" t="s">
        <x:v>1132</x:v>
      </x:c>
      <x:c r="C886" t="s">
        <x:v>44</x:v>
      </x:c>
      <x:c r="D886">
        <x:v>45955</x:v>
      </x:c>
      <x:c r="E886" t="s">
        <x:v>187</x:v>
      </x:c>
      <x:c r="F886" t="s">
        <x:v>55</x:v>
      </x:c>
      <x:c r="G886">
        <x:v>25</x:v>
      </x:c>
      <x:c r="H886" t="s">
        <x:v>77</x:v>
      </x:c>
      <x:c r="I886">
        <x:v>11</x:v>
      </x:c>
      <x:c r="J886">
        <x:v>8</x:v>
      </x:c>
      <x:c r="K886">
        <x:v>3</x:v>
      </x:c>
      <x:c r="L886">
        <x:f t="shared" si="91"/>
        <x:v>0</x:v>
      </x:c>
      <x:c r="P886">
        <x:f t="shared" si="92"/>
        <x:v>0</x:v>
      </x:c>
      <x:c r="Q886">
        <x:f t="shared" si="93"/>
        <x:v>0</x:v>
      </x:c>
      <x:c r="R886">
        <x:f t="shared" si="94"/>
        <x:v>0</x:v>
      </x:c>
      <x:c r="S886">
        <x:f t="shared" si="95"/>
        <x:v>0</x:v>
      </x:c>
      <x:c r="T886" t="str">
        <x:f t="shared" si="96"/>
        <x:v>DerivedFromCount</x:v>
      </x:c>
      <x:c r="U886" t="str">
        <x:f>IF(COUNTIF(DailyProduction!$Q$5:$Q$100,B886)=1,"OK","CHECK")</x:f>
        <x:v>OK</x:v>
      </x:c>
      <x:c r="V886" t="str">
        <x:f t="shared" si="97"/>
        <x:v>OK</x:v>
      </x:c>
      <x:c r="W886" t="str">
        <x:f>IF(SUMIF($B$5:$B$914,B886,$S$5:$S$914)=SUMIF(DailyProduction!$Q$5:$Q$100,B886,DailyProduction!$R$5:$R$100),"OK","CHECK")</x:f>
        <x:v>OK</x:v>
      </x:c>
      <x:c r="X886" t="str">
        <x:v>PLC-PRD-JAR-330-L25</x:v>
      </x:c>
      <x:c r="Y886" t="str">
        <x:v>OK</x:v>
      </x:c>
      <x:c r="Z886" t="str">
        <x:v>OK</x:v>
      </x:c>
      <x:c r="AA886" t="n">
        <x:v>3</x:v>
      </x:c>
      <x:c r="AB886" t="n">
        <x:v>0</x:v>
      </x:c>
      <x:c r="AC886" t="str">
        <x:v>OK</x:v>
      </x:c>
      <x:c r="AD886" t="str">
        <x:v>OK</x:v>
      </x:c>
      <x:c r="AE886" t="str">
        <x:v>LOAD</x:v>
      </x:c>
      <x:c r="AF886" t="str">
        <x:v>02_Supervisor_Log(4).xlsx</x:v>
      </x:c>
      <x:c r="AG886" t="str">
        <x:v>ENH-20260830-01</x:v>
      </x:c>
      <x:c r="AH886" t="str">
        <x:v>Active</x:v>
      </x:c>
      <x:c r="AI886"/>
      <x:c r="AJ886"/>
      <x:c r="AK886"/>
      <x:c r="AL886"/>
    </x:row>
    <x:row r="887">
      <x:c r="A887" t="s">
        <x:v>1143</x:v>
      </x:c>
      <x:c r="B887" t="s">
        <x:v>1132</x:v>
      </x:c>
      <x:c r="C887" t="s">
        <x:v>44</x:v>
      </x:c>
      <x:c r="D887">
        <x:v>45955</x:v>
      </x:c>
      <x:c r="E887" t="s">
        <x:v>187</x:v>
      </x:c>
      <x:c r="F887" t="s">
        <x:v>55</x:v>
      </x:c>
      <x:c r="G887">
        <x:v>25</x:v>
      </x:c>
      <x:c r="H887" t="s">
        <x:v>77</x:v>
      </x:c>
      <x:c r="I887">
        <x:v>12</x:v>
      </x:c>
      <x:c r="J887">
        <x:v>8</x:v>
      </x:c>
      <x:c r="K887">
        <x:v>3</x:v>
      </x:c>
      <x:c r="L887">
        <x:f t="shared" si="91"/>
        <x:v>0</x:v>
      </x:c>
      <x:c r="P887">
        <x:f t="shared" si="92"/>
        <x:v>0</x:v>
      </x:c>
      <x:c r="Q887">
        <x:f t="shared" si="93"/>
        <x:v>0</x:v>
      </x:c>
      <x:c r="R887">
        <x:f t="shared" si="94"/>
        <x:v>0</x:v>
      </x:c>
      <x:c r="S887">
        <x:f t="shared" si="95"/>
        <x:v>0</x:v>
      </x:c>
      <x:c r="T887" t="str">
        <x:f t="shared" si="96"/>
        <x:v>DerivedFromCount</x:v>
      </x:c>
      <x:c r="U887" t="str">
        <x:f>IF(COUNTIF(DailyProduction!$Q$5:$Q$100,B887)=1,"OK","CHECK")</x:f>
        <x:v>OK</x:v>
      </x:c>
      <x:c r="V887" t="str">
        <x:f t="shared" si="97"/>
        <x:v>OK</x:v>
      </x:c>
      <x:c r="W887" t="str">
        <x:f>IF(SUMIF($B$5:$B$914,B887,$S$5:$S$914)=SUMIF(DailyProduction!$Q$5:$Q$100,B887,DailyProduction!$R$5:$R$100),"OK","CHECK")</x:f>
        <x:v>OK</x:v>
      </x:c>
      <x:c r="X887" t="str">
        <x:v>PLC-PRD-JAR-330-L25</x:v>
      </x:c>
      <x:c r="Y887" t="str">
        <x:v>OK</x:v>
      </x:c>
      <x:c r="Z887" t="str">
        <x:v>OK</x:v>
      </x:c>
      <x:c r="AA887" t="n">
        <x:v>3</x:v>
      </x:c>
      <x:c r="AB887" t="n">
        <x:v>0</x:v>
      </x:c>
      <x:c r="AC887" t="str">
        <x:v>OK</x:v>
      </x:c>
      <x:c r="AD887" t="str">
        <x:v>OK</x:v>
      </x:c>
      <x:c r="AE887" t="str">
        <x:v>LOAD</x:v>
      </x:c>
      <x:c r="AF887" t="str">
        <x:v>02_Supervisor_Log(4).xlsx</x:v>
      </x:c>
      <x:c r="AG887" t="str">
        <x:v>ENH-20260830-01</x:v>
      </x:c>
      <x:c r="AH887" t="str">
        <x:v>Active</x:v>
      </x:c>
      <x:c r="AI887"/>
      <x:c r="AJ887"/>
      <x:c r="AK887"/>
      <x:c r="AL887"/>
    </x:row>
    <x:row r="888">
      <x:c r="A888" t="s">
        <x:v>1144</x:v>
      </x:c>
      <x:c r="B888" t="s">
        <x:v>1132</x:v>
      </x:c>
      <x:c r="C888" t="s">
        <x:v>44</x:v>
      </x:c>
      <x:c r="D888">
        <x:v>45955</x:v>
      </x:c>
      <x:c r="E888" t="s">
        <x:v>187</x:v>
      </x:c>
      <x:c r="F888" t="s">
        <x:v>55</x:v>
      </x:c>
      <x:c r="G888">
        <x:v>25</x:v>
      </x:c>
      <x:c r="H888" t="s">
        <x:v>77</x:v>
      </x:c>
      <x:c r="I888">
        <x:v>13</x:v>
      </x:c>
      <x:c r="J888">
        <x:v>8</x:v>
      </x:c>
      <x:c r="K888">
        <x:v>3</x:v>
      </x:c>
      <x:c r="L888">
        <x:f t="shared" si="91"/>
        <x:v>0</x:v>
      </x:c>
      <x:c r="P888">
        <x:f t="shared" si="92"/>
        <x:v>0</x:v>
      </x:c>
      <x:c r="Q888">
        <x:f t="shared" si="93"/>
        <x:v>0</x:v>
      </x:c>
      <x:c r="R888">
        <x:f t="shared" si="94"/>
        <x:v>0</x:v>
      </x:c>
      <x:c r="S888">
        <x:f t="shared" si="95"/>
        <x:v>0</x:v>
      </x:c>
      <x:c r="T888" t="str">
        <x:f t="shared" si="96"/>
        <x:v>DerivedFromCount</x:v>
      </x:c>
      <x:c r="U888" t="str">
        <x:f>IF(COUNTIF(DailyProduction!$Q$5:$Q$100,B888)=1,"OK","CHECK")</x:f>
        <x:v>OK</x:v>
      </x:c>
      <x:c r="V888" t="str">
        <x:f t="shared" si="97"/>
        <x:v>OK</x:v>
      </x:c>
      <x:c r="W888" t="str">
        <x:f>IF(SUMIF($B$5:$B$914,B888,$S$5:$S$914)=SUMIF(DailyProduction!$Q$5:$Q$100,B888,DailyProduction!$R$5:$R$100),"OK","CHECK")</x:f>
        <x:v>OK</x:v>
      </x:c>
      <x:c r="X888" t="str">
        <x:v>PLC-PRD-JAR-330-L25</x:v>
      </x:c>
      <x:c r="Y888" t="str">
        <x:v>OK</x:v>
      </x:c>
      <x:c r="Z888" t="str">
        <x:v>OK</x:v>
      </x:c>
      <x:c r="AA888" t="n">
        <x:v>3</x:v>
      </x:c>
      <x:c r="AB888" t="n">
        <x:v>0</x:v>
      </x:c>
      <x:c r="AC888" t="str">
        <x:v>OK</x:v>
      </x:c>
      <x:c r="AD888" t="str">
        <x:v>OK</x:v>
      </x:c>
      <x:c r="AE888" t="str">
        <x:v>LOAD</x:v>
      </x:c>
      <x:c r="AF888" t="str">
        <x:v>02_Supervisor_Log(4).xlsx</x:v>
      </x:c>
      <x:c r="AG888" t="str">
        <x:v>ENH-20260830-01</x:v>
      </x:c>
      <x:c r="AH888" t="str">
        <x:v>Active</x:v>
      </x:c>
      <x:c r="AI888"/>
      <x:c r="AJ888"/>
      <x:c r="AK888"/>
      <x:c r="AL888"/>
    </x:row>
    <x:row r="889">
      <x:c r="A889" t="s">
        <x:v>1145</x:v>
      </x:c>
      <x:c r="B889" t="s">
        <x:v>1146</x:v>
      </x:c>
      <x:c r="C889" t="s">
        <x:v>44</x:v>
      </x:c>
      <x:c r="D889">
        <x:v>45956</x:v>
      </x:c>
      <x:c r="E889" t="s">
        <x:v>45</x:v>
      </x:c>
      <x:c r="F889" t="s">
        <x:v>55</x:v>
      </x:c>
      <x:c r="G889">
        <x:v>25</x:v>
      </x:c>
      <x:c r="H889" t="s">
        <x:v>77</x:v>
      </x:c>
      <x:c r="I889">
        <x:v>1</x:v>
      </x:c>
      <x:c r="J889">
        <x:v>8</x:v>
      </x:c>
      <x:c r="K889">
        <x:v>3</x:v>
      </x:c>
      <x:c r="L889">
        <x:f t="shared" si="91"/>
        <x:v>1</x:v>
      </x:c>
      <x:c r="P889">
        <x:f t="shared" si="92"/>
        <x:v>1</x:v>
      </x:c>
      <x:c r="Q889">
        <x:f t="shared" si="93"/>
        <x:v>1</x:v>
      </x:c>
      <x:c r="R889">
        <x:f t="shared" si="94"/>
        <x:v>1</x:v>
      </x:c>
      <x:c r="S889">
        <x:f t="shared" si="95"/>
        <x:v>3</x:v>
      </x:c>
      <x:c r="T889" t="str">
        <x:f t="shared" si="96"/>
        <x:v>DerivedFromCount</x:v>
      </x:c>
      <x:c r="U889" t="str">
        <x:f>IF(COUNTIF(DailyProduction!$Q$5:$Q$100,B889)=1,"OK","CHECK")</x:f>
        <x:v>OK</x:v>
      </x:c>
      <x:c r="V889" t="str">
        <x:f t="shared" si="97"/>
        <x:v>OK</x:v>
      </x:c>
      <x:c r="W889" t="str">
        <x:f>IF(SUMIF($B$5:$B$914,B889,$S$5:$S$914)=SUMIF(DailyProduction!$Q$5:$Q$100,B889,DailyProduction!$R$5:$R$100),"OK","CHECK")</x:f>
        <x:v>OK</x:v>
      </x:c>
      <x:c r="X889" t="str">
        <x:v>PLC-PRD-JAR-330-L25</x:v>
      </x:c>
      <x:c r="Y889" t="str">
        <x:v>OK</x:v>
      </x:c>
      <x:c r="Z889" t="str">
        <x:v>OK</x:v>
      </x:c>
      <x:c r="AA889" t="n">
        <x:v>3</x:v>
      </x:c>
      <x:c r="AB889" t="n">
        <x:v>3</x:v>
      </x:c>
      <x:c r="AC889" t="str">
        <x:v>OK</x:v>
      </x:c>
      <x:c r="AD889" t="str">
        <x:v>OK</x:v>
      </x:c>
      <x:c r="AE889" t="str">
        <x:v>LOAD</x:v>
      </x:c>
      <x:c r="AF889" t="str">
        <x:v>02_Supervisor_Log(4).xlsx</x:v>
      </x:c>
      <x:c r="AG889" t="str">
        <x:v>ENH-20260830-01</x:v>
      </x:c>
      <x:c r="AH889" t="str">
        <x:v>Active</x:v>
      </x:c>
      <x:c r="AI889"/>
      <x:c r="AJ889"/>
      <x:c r="AK889"/>
      <x:c r="AL889"/>
    </x:row>
    <x:row r="890">
      <x:c r="A890" t="s">
        <x:v>1147</x:v>
      </x:c>
      <x:c r="B890" t="s">
        <x:v>1146</x:v>
      </x:c>
      <x:c r="C890" t="s">
        <x:v>44</x:v>
      </x:c>
      <x:c r="D890">
        <x:v>45956</x:v>
      </x:c>
      <x:c r="E890" t="s">
        <x:v>45</x:v>
      </x:c>
      <x:c r="F890" t="s">
        <x:v>55</x:v>
      </x:c>
      <x:c r="G890">
        <x:v>25</x:v>
      </x:c>
      <x:c r="H890" t="s">
        <x:v>77</x:v>
      </x:c>
      <x:c r="I890">
        <x:v>2</x:v>
      </x:c>
      <x:c r="J890">
        <x:v>8</x:v>
      </x:c>
      <x:c r="K890">
        <x:v>3</x:v>
      </x:c>
      <x:c r="L890">
        <x:f t="shared" si="91"/>
        <x:v>1</x:v>
      </x:c>
      <x:c r="P890">
        <x:f t="shared" si="92"/>
        <x:v>1</x:v>
      </x:c>
      <x:c r="Q890">
        <x:f t="shared" si="93"/>
        <x:v>1</x:v>
      </x:c>
      <x:c r="R890">
        <x:f t="shared" si="94"/>
        <x:v>1</x:v>
      </x:c>
      <x:c r="S890">
        <x:f t="shared" si="95"/>
        <x:v>3</x:v>
      </x:c>
      <x:c r="T890" t="str">
        <x:f t="shared" si="96"/>
        <x:v>DerivedFromCount</x:v>
      </x:c>
      <x:c r="U890" t="str">
        <x:f>IF(COUNTIF(DailyProduction!$Q$5:$Q$100,B890)=1,"OK","CHECK")</x:f>
        <x:v>OK</x:v>
      </x:c>
      <x:c r="V890" t="str">
        <x:f t="shared" si="97"/>
        <x:v>OK</x:v>
      </x:c>
      <x:c r="W890" t="str">
        <x:f>IF(SUMIF($B$5:$B$914,B890,$S$5:$S$914)=SUMIF(DailyProduction!$Q$5:$Q$100,B890,DailyProduction!$R$5:$R$100),"OK","CHECK")</x:f>
        <x:v>OK</x:v>
      </x:c>
      <x:c r="X890" t="str">
        <x:v>PLC-PRD-JAR-330-L25</x:v>
      </x:c>
      <x:c r="Y890" t="str">
        <x:v>OK</x:v>
      </x:c>
      <x:c r="Z890" t="str">
        <x:v>OK</x:v>
      </x:c>
      <x:c r="AA890" t="n">
        <x:v>3</x:v>
      </x:c>
      <x:c r="AB890" t="n">
        <x:v>3</x:v>
      </x:c>
      <x:c r="AC890" t="str">
        <x:v>OK</x:v>
      </x:c>
      <x:c r="AD890" t="str">
        <x:v>OK</x:v>
      </x:c>
      <x:c r="AE890" t="str">
        <x:v>LOAD</x:v>
      </x:c>
      <x:c r="AF890" t="str">
        <x:v>02_Supervisor_Log(4).xlsx</x:v>
      </x:c>
      <x:c r="AG890" t="str">
        <x:v>ENH-20260830-01</x:v>
      </x:c>
      <x:c r="AH890" t="str">
        <x:v>Active</x:v>
      </x:c>
      <x:c r="AI890"/>
      <x:c r="AJ890"/>
      <x:c r="AK890"/>
      <x:c r="AL890"/>
    </x:row>
    <x:row r="891">
      <x:c r="A891" t="s">
        <x:v>1148</x:v>
      </x:c>
      <x:c r="B891" t="s">
        <x:v>1146</x:v>
      </x:c>
      <x:c r="C891" t="s">
        <x:v>44</x:v>
      </x:c>
      <x:c r="D891">
        <x:v>45956</x:v>
      </x:c>
      <x:c r="E891" t="s">
        <x:v>45</x:v>
      </x:c>
      <x:c r="F891" t="s">
        <x:v>55</x:v>
      </x:c>
      <x:c r="G891">
        <x:v>25</x:v>
      </x:c>
      <x:c r="H891" t="s">
        <x:v>77</x:v>
      </x:c>
      <x:c r="I891">
        <x:v>3</x:v>
      </x:c>
      <x:c r="J891">
        <x:v>8</x:v>
      </x:c>
      <x:c r="K891">
        <x:v>3</x:v>
      </x:c>
      <x:c r="L891">
        <x:f t="shared" si="91"/>
        <x:v>1</x:v>
      </x:c>
      <x:c r="P891">
        <x:f t="shared" si="92"/>
        <x:v>1</x:v>
      </x:c>
      <x:c r="Q891">
        <x:f t="shared" si="93"/>
        <x:v>1</x:v>
      </x:c>
      <x:c r="R891">
        <x:f t="shared" si="94"/>
        <x:v>1</x:v>
      </x:c>
      <x:c r="S891">
        <x:f t="shared" si="95"/>
        <x:v>3</x:v>
      </x:c>
      <x:c r="T891" t="str">
        <x:f t="shared" si="96"/>
        <x:v>DerivedFromCount</x:v>
      </x:c>
      <x:c r="U891" t="str">
        <x:f>IF(COUNTIF(DailyProduction!$Q$5:$Q$100,B891)=1,"OK","CHECK")</x:f>
        <x:v>OK</x:v>
      </x:c>
      <x:c r="V891" t="str">
        <x:f t="shared" si="97"/>
        <x:v>OK</x:v>
      </x:c>
      <x:c r="W891" t="str">
        <x:f>IF(SUMIF($B$5:$B$914,B891,$S$5:$S$914)=SUMIF(DailyProduction!$Q$5:$Q$100,B891,DailyProduction!$R$5:$R$100),"OK","CHECK")</x:f>
        <x:v>OK</x:v>
      </x:c>
      <x:c r="X891" t="str">
        <x:v>PLC-PRD-JAR-330-L25</x:v>
      </x:c>
      <x:c r="Y891" t="str">
        <x:v>OK</x:v>
      </x:c>
      <x:c r="Z891" t="str">
        <x:v>OK</x:v>
      </x:c>
      <x:c r="AA891" t="n">
        <x:v>3</x:v>
      </x:c>
      <x:c r="AB891" t="n">
        <x:v>3</x:v>
      </x:c>
      <x:c r="AC891" t="str">
        <x:v>OK</x:v>
      </x:c>
      <x:c r="AD891" t="str">
        <x:v>OK</x:v>
      </x:c>
      <x:c r="AE891" t="str">
        <x:v>LOAD</x:v>
      </x:c>
      <x:c r="AF891" t="str">
        <x:v>02_Supervisor_Log(4).xlsx</x:v>
      </x:c>
      <x:c r="AG891" t="str">
        <x:v>ENH-20260830-01</x:v>
      </x:c>
      <x:c r="AH891" t="str">
        <x:v>Active</x:v>
      </x:c>
      <x:c r="AI891"/>
      <x:c r="AJ891"/>
      <x:c r="AK891"/>
      <x:c r="AL891"/>
    </x:row>
    <x:row r="892">
      <x:c r="A892" t="s">
        <x:v>1149</x:v>
      </x:c>
      <x:c r="B892" t="s">
        <x:v>1146</x:v>
      </x:c>
      <x:c r="C892" t="s">
        <x:v>44</x:v>
      </x:c>
      <x:c r="D892">
        <x:v>45956</x:v>
      </x:c>
      <x:c r="E892" t="s">
        <x:v>45</x:v>
      </x:c>
      <x:c r="F892" t="s">
        <x:v>55</x:v>
      </x:c>
      <x:c r="G892">
        <x:v>25</x:v>
      </x:c>
      <x:c r="H892" t="s">
        <x:v>77</x:v>
      </x:c>
      <x:c r="I892">
        <x:v>4</x:v>
      </x:c>
      <x:c r="J892">
        <x:v>8</x:v>
      </x:c>
      <x:c r="K892">
        <x:v>3</x:v>
      </x:c>
      <x:c r="L892">
        <x:f t="shared" si="91"/>
        <x:v>1</x:v>
      </x:c>
      <x:c r="P892">
        <x:f t="shared" si="92"/>
        <x:v>1</x:v>
      </x:c>
      <x:c r="Q892">
        <x:f t="shared" si="93"/>
        <x:v>1</x:v>
      </x:c>
      <x:c r="R892">
        <x:f t="shared" si="94"/>
        <x:v>1</x:v>
      </x:c>
      <x:c r="S892">
        <x:f t="shared" si="95"/>
        <x:v>3</x:v>
      </x:c>
      <x:c r="T892" t="str">
        <x:f t="shared" si="96"/>
        <x:v>DerivedFromCount</x:v>
      </x:c>
      <x:c r="U892" t="str">
        <x:f>IF(COUNTIF(DailyProduction!$Q$5:$Q$100,B892)=1,"OK","CHECK")</x:f>
        <x:v>OK</x:v>
      </x:c>
      <x:c r="V892" t="str">
        <x:f t="shared" si="97"/>
        <x:v>OK</x:v>
      </x:c>
      <x:c r="W892" t="str">
        <x:f>IF(SUMIF($B$5:$B$914,B892,$S$5:$S$914)=SUMIF(DailyProduction!$Q$5:$Q$100,B892,DailyProduction!$R$5:$R$100),"OK","CHECK")</x:f>
        <x:v>OK</x:v>
      </x:c>
      <x:c r="X892" t="str">
        <x:v>PLC-PRD-JAR-330-L25</x:v>
      </x:c>
      <x:c r="Y892" t="str">
        <x:v>OK</x:v>
      </x:c>
      <x:c r="Z892" t="str">
        <x:v>OK</x:v>
      </x:c>
      <x:c r="AA892" t="n">
        <x:v>3</x:v>
      </x:c>
      <x:c r="AB892" t="n">
        <x:v>3</x:v>
      </x:c>
      <x:c r="AC892" t="str">
        <x:v>OK</x:v>
      </x:c>
      <x:c r="AD892" t="str">
        <x:v>OK</x:v>
      </x:c>
      <x:c r="AE892" t="str">
        <x:v>LOAD</x:v>
      </x:c>
      <x:c r="AF892" t="str">
        <x:v>02_Supervisor_Log(4).xlsx</x:v>
      </x:c>
      <x:c r="AG892" t="str">
        <x:v>ENH-20260830-01</x:v>
      </x:c>
      <x:c r="AH892" t="str">
        <x:v>Active</x:v>
      </x:c>
      <x:c r="AI892"/>
      <x:c r="AJ892"/>
      <x:c r="AK892"/>
      <x:c r="AL892"/>
    </x:row>
    <x:row r="893">
      <x:c r="A893" t="s">
        <x:v>1150</x:v>
      </x:c>
      <x:c r="B893" t="s">
        <x:v>1146</x:v>
      </x:c>
      <x:c r="C893" t="s">
        <x:v>44</x:v>
      </x:c>
      <x:c r="D893">
        <x:v>45956</x:v>
      </x:c>
      <x:c r="E893" t="s">
        <x:v>45</x:v>
      </x:c>
      <x:c r="F893" t="s">
        <x:v>55</x:v>
      </x:c>
      <x:c r="G893">
        <x:v>25</x:v>
      </x:c>
      <x:c r="H893" t="s">
        <x:v>77</x:v>
      </x:c>
      <x:c r="I893">
        <x:v>5</x:v>
      </x:c>
      <x:c r="J893">
        <x:v>8</x:v>
      </x:c>
      <x:c r="K893">
        <x:v>3</x:v>
      </x:c>
      <x:c r="L893">
        <x:f t="shared" si="91"/>
        <x:v>1</x:v>
      </x:c>
      <x:c r="P893">
        <x:f t="shared" si="92"/>
        <x:v>1</x:v>
      </x:c>
      <x:c r="Q893">
        <x:f t="shared" si="93"/>
        <x:v>1</x:v>
      </x:c>
      <x:c r="R893">
        <x:f t="shared" si="94"/>
        <x:v>1</x:v>
      </x:c>
      <x:c r="S893">
        <x:f t="shared" si="95"/>
        <x:v>3</x:v>
      </x:c>
      <x:c r="T893" t="str">
        <x:f t="shared" si="96"/>
        <x:v>DerivedFromCount</x:v>
      </x:c>
      <x:c r="U893" t="str">
        <x:f>IF(COUNTIF(DailyProduction!$Q$5:$Q$100,B893)=1,"OK","CHECK")</x:f>
        <x:v>OK</x:v>
      </x:c>
      <x:c r="V893" t="str">
        <x:f t="shared" si="97"/>
        <x:v>OK</x:v>
      </x:c>
      <x:c r="W893" t="str">
        <x:f>IF(SUMIF($B$5:$B$914,B893,$S$5:$S$914)=SUMIF(DailyProduction!$Q$5:$Q$100,B893,DailyProduction!$R$5:$R$100),"OK","CHECK")</x:f>
        <x:v>OK</x:v>
      </x:c>
      <x:c r="X893" t="str">
        <x:v>PLC-PRD-JAR-330-L25</x:v>
      </x:c>
      <x:c r="Y893" t="str">
        <x:v>OK</x:v>
      </x:c>
      <x:c r="Z893" t="str">
        <x:v>OK</x:v>
      </x:c>
      <x:c r="AA893" t="n">
        <x:v>3</x:v>
      </x:c>
      <x:c r="AB893" t="n">
        <x:v>3</x:v>
      </x:c>
      <x:c r="AC893" t="str">
        <x:v>OK</x:v>
      </x:c>
      <x:c r="AD893" t="str">
        <x:v>OK</x:v>
      </x:c>
      <x:c r="AE893" t="str">
        <x:v>LOAD</x:v>
      </x:c>
      <x:c r="AF893" t="str">
        <x:v>02_Supervisor_Log(4).xlsx</x:v>
      </x:c>
      <x:c r="AG893" t="str">
        <x:v>ENH-20260830-01</x:v>
      </x:c>
      <x:c r="AH893" t="str">
        <x:v>Active</x:v>
      </x:c>
      <x:c r="AI893"/>
      <x:c r="AJ893"/>
      <x:c r="AK893"/>
      <x:c r="AL893"/>
    </x:row>
    <x:row r="894">
      <x:c r="A894" t="s">
        <x:v>1151</x:v>
      </x:c>
      <x:c r="B894" t="s">
        <x:v>1146</x:v>
      </x:c>
      <x:c r="C894" t="s">
        <x:v>44</x:v>
      </x:c>
      <x:c r="D894">
        <x:v>45956</x:v>
      </x:c>
      <x:c r="E894" t="s">
        <x:v>45</x:v>
      </x:c>
      <x:c r="F894" t="s">
        <x:v>55</x:v>
      </x:c>
      <x:c r="G894">
        <x:v>25</x:v>
      </x:c>
      <x:c r="H894" t="s">
        <x:v>77</x:v>
      </x:c>
      <x:c r="I894">
        <x:v>6</x:v>
      </x:c>
      <x:c r="J894">
        <x:v>8</x:v>
      </x:c>
      <x:c r="K894">
        <x:v>3</x:v>
      </x:c>
      <x:c r="L894">
        <x:f t="shared" si="91"/>
        <x:v>1</x:v>
      </x:c>
      <x:c r="P894">
        <x:f t="shared" si="92"/>
        <x:v>1</x:v>
      </x:c>
      <x:c r="Q894">
        <x:f t="shared" si="93"/>
        <x:v>1</x:v>
      </x:c>
      <x:c r="R894">
        <x:f t="shared" si="94"/>
        <x:v>1</x:v>
      </x:c>
      <x:c r="S894">
        <x:f t="shared" si="95"/>
        <x:v>3</x:v>
      </x:c>
      <x:c r="T894" t="str">
        <x:f t="shared" si="96"/>
        <x:v>DerivedFromCount</x:v>
      </x:c>
      <x:c r="U894" t="str">
        <x:f>IF(COUNTIF(DailyProduction!$Q$5:$Q$100,B894)=1,"OK","CHECK")</x:f>
        <x:v>OK</x:v>
      </x:c>
      <x:c r="V894" t="str">
        <x:f t="shared" si="97"/>
        <x:v>OK</x:v>
      </x:c>
      <x:c r="W894" t="str">
        <x:f>IF(SUMIF($B$5:$B$914,B894,$S$5:$S$914)=SUMIF(DailyProduction!$Q$5:$Q$100,B894,DailyProduction!$R$5:$R$100),"OK","CHECK")</x:f>
        <x:v>OK</x:v>
      </x:c>
      <x:c r="X894" t="str">
        <x:v>PLC-PRD-JAR-330-L25</x:v>
      </x:c>
      <x:c r="Y894" t="str">
        <x:v>OK</x:v>
      </x:c>
      <x:c r="Z894" t="str">
        <x:v>OK</x:v>
      </x:c>
      <x:c r="AA894" t="n">
        <x:v>3</x:v>
      </x:c>
      <x:c r="AB894" t="n">
        <x:v>3</x:v>
      </x:c>
      <x:c r="AC894" t="str">
        <x:v>OK</x:v>
      </x:c>
      <x:c r="AD894" t="str">
        <x:v>OK</x:v>
      </x:c>
      <x:c r="AE894" t="str">
        <x:v>LOAD</x:v>
      </x:c>
      <x:c r="AF894" t="str">
        <x:v>02_Supervisor_Log(4).xlsx</x:v>
      </x:c>
      <x:c r="AG894" t="str">
        <x:v>ENH-20260830-01</x:v>
      </x:c>
      <x:c r="AH894" t="str">
        <x:v>Active</x:v>
      </x:c>
      <x:c r="AI894"/>
      <x:c r="AJ894"/>
      <x:c r="AK894"/>
      <x:c r="AL894"/>
    </x:row>
    <x:row r="895">
      <x:c r="A895" t="s">
        <x:v>1152</x:v>
      </x:c>
      <x:c r="B895" t="s">
        <x:v>1146</x:v>
      </x:c>
      <x:c r="C895" t="s">
        <x:v>44</x:v>
      </x:c>
      <x:c r="D895">
        <x:v>45956</x:v>
      </x:c>
      <x:c r="E895" t="s">
        <x:v>45</x:v>
      </x:c>
      <x:c r="F895" t="s">
        <x:v>55</x:v>
      </x:c>
      <x:c r="G895">
        <x:v>25</x:v>
      </x:c>
      <x:c r="H895" t="s">
        <x:v>77</x:v>
      </x:c>
      <x:c r="I895">
        <x:v>7</x:v>
      </x:c>
      <x:c r="J895">
        <x:v>8</x:v>
      </x:c>
      <x:c r="K895">
        <x:v>3</x:v>
      </x:c>
      <x:c r="L895">
        <x:f t="shared" si="91"/>
        <x:v>1</x:v>
      </x:c>
      <x:c r="P895">
        <x:f t="shared" si="92"/>
        <x:v>1</x:v>
      </x:c>
      <x:c r="Q895">
        <x:f t="shared" si="93"/>
        <x:v>1</x:v>
      </x:c>
      <x:c r="R895">
        <x:f t="shared" si="94"/>
        <x:v>1</x:v>
      </x:c>
      <x:c r="S895">
        <x:f t="shared" si="95"/>
        <x:v>3</x:v>
      </x:c>
      <x:c r="T895" t="str">
        <x:f t="shared" si="96"/>
        <x:v>DerivedFromCount</x:v>
      </x:c>
      <x:c r="U895" t="str">
        <x:f>IF(COUNTIF(DailyProduction!$Q$5:$Q$100,B895)=1,"OK","CHECK")</x:f>
        <x:v>OK</x:v>
      </x:c>
      <x:c r="V895" t="str">
        <x:f t="shared" si="97"/>
        <x:v>OK</x:v>
      </x:c>
      <x:c r="W895" t="str">
        <x:f>IF(SUMIF($B$5:$B$914,B895,$S$5:$S$914)=SUMIF(DailyProduction!$Q$5:$Q$100,B895,DailyProduction!$R$5:$R$100),"OK","CHECK")</x:f>
        <x:v>OK</x:v>
      </x:c>
      <x:c r="X895" t="str">
        <x:v>PLC-PRD-JAR-330-L25</x:v>
      </x:c>
      <x:c r="Y895" t="str">
        <x:v>OK</x:v>
      </x:c>
      <x:c r="Z895" t="str">
        <x:v>OK</x:v>
      </x:c>
      <x:c r="AA895" t="n">
        <x:v>3</x:v>
      </x:c>
      <x:c r="AB895" t="n">
        <x:v>3</x:v>
      </x:c>
      <x:c r="AC895" t="str">
        <x:v>OK</x:v>
      </x:c>
      <x:c r="AD895" t="str">
        <x:v>OK</x:v>
      </x:c>
      <x:c r="AE895" t="str">
        <x:v>LOAD</x:v>
      </x:c>
      <x:c r="AF895" t="str">
        <x:v>02_Supervisor_Log(4).xlsx</x:v>
      </x:c>
      <x:c r="AG895" t="str">
        <x:v>ENH-20260830-01</x:v>
      </x:c>
      <x:c r="AH895" t="str">
        <x:v>Active</x:v>
      </x:c>
      <x:c r="AI895"/>
      <x:c r="AJ895"/>
      <x:c r="AK895"/>
      <x:c r="AL895"/>
    </x:row>
    <x:row r="896">
      <x:c r="A896" t="s">
        <x:v>1153</x:v>
      </x:c>
      <x:c r="B896" t="s">
        <x:v>1146</x:v>
      </x:c>
      <x:c r="C896" t="s">
        <x:v>44</x:v>
      </x:c>
      <x:c r="D896">
        <x:v>45956</x:v>
      </x:c>
      <x:c r="E896" t="s">
        <x:v>45</x:v>
      </x:c>
      <x:c r="F896" t="s">
        <x:v>55</x:v>
      </x:c>
      <x:c r="G896">
        <x:v>25</x:v>
      </x:c>
      <x:c r="H896" t="s">
        <x:v>77</x:v>
      </x:c>
      <x:c r="I896">
        <x:v>8</x:v>
      </x:c>
      <x:c r="J896">
        <x:v>8</x:v>
      </x:c>
      <x:c r="K896">
        <x:v>3</x:v>
      </x:c>
      <x:c r="L896">
        <x:f t="shared" si="91"/>
        <x:v>1</x:v>
      </x:c>
      <x:c r="P896">
        <x:f t="shared" si="92"/>
        <x:v>1</x:v>
      </x:c>
      <x:c r="Q896">
        <x:f t="shared" si="93"/>
        <x:v>1</x:v>
      </x:c>
      <x:c r="R896">
        <x:f t="shared" si="94"/>
        <x:v>1</x:v>
      </x:c>
      <x:c r="S896">
        <x:f t="shared" si="95"/>
        <x:v>3</x:v>
      </x:c>
      <x:c r="T896" t="str">
        <x:f t="shared" si="96"/>
        <x:v>DerivedFromCount</x:v>
      </x:c>
      <x:c r="U896" t="str">
        <x:f>IF(COUNTIF(DailyProduction!$Q$5:$Q$100,B896)=1,"OK","CHECK")</x:f>
        <x:v>OK</x:v>
      </x:c>
      <x:c r="V896" t="str">
        <x:f t="shared" si="97"/>
        <x:v>OK</x:v>
      </x:c>
      <x:c r="W896" t="str">
        <x:f>IF(SUMIF($B$5:$B$914,B896,$S$5:$S$914)=SUMIF(DailyProduction!$Q$5:$Q$100,B896,DailyProduction!$R$5:$R$100),"OK","CHECK")</x:f>
        <x:v>OK</x:v>
      </x:c>
      <x:c r="X896" t="str">
        <x:v>PLC-PRD-JAR-330-L25</x:v>
      </x:c>
      <x:c r="Y896" t="str">
        <x:v>OK</x:v>
      </x:c>
      <x:c r="Z896" t="str">
        <x:v>OK</x:v>
      </x:c>
      <x:c r="AA896" t="n">
        <x:v>3</x:v>
      </x:c>
      <x:c r="AB896" t="n">
        <x:v>3</x:v>
      </x:c>
      <x:c r="AC896" t="str">
        <x:v>OK</x:v>
      </x:c>
      <x:c r="AD896" t="str">
        <x:v>OK</x:v>
      </x:c>
      <x:c r="AE896" t="str">
        <x:v>LOAD</x:v>
      </x:c>
      <x:c r="AF896" t="str">
        <x:v>02_Supervisor_Log(4).xlsx</x:v>
      </x:c>
      <x:c r="AG896" t="str">
        <x:v>ENH-20260830-01</x:v>
      </x:c>
      <x:c r="AH896" t="str">
        <x:v>Active</x:v>
      </x:c>
      <x:c r="AI896"/>
      <x:c r="AJ896"/>
      <x:c r="AK896"/>
      <x:c r="AL896"/>
    </x:row>
    <x:row r="897">
      <x:c r="A897" t="s">
        <x:v>1154</x:v>
      </x:c>
      <x:c r="B897" t="s">
        <x:v>1146</x:v>
      </x:c>
      <x:c r="C897" t="s">
        <x:v>44</x:v>
      </x:c>
      <x:c r="D897">
        <x:v>45956</x:v>
      </x:c>
      <x:c r="E897" t="s">
        <x:v>45</x:v>
      </x:c>
      <x:c r="F897" t="s">
        <x:v>55</x:v>
      </x:c>
      <x:c r="G897">
        <x:v>25</x:v>
      </x:c>
      <x:c r="H897" t="s">
        <x:v>77</x:v>
      </x:c>
      <x:c r="I897">
        <x:v>9</x:v>
      </x:c>
      <x:c r="J897">
        <x:v>8</x:v>
      </x:c>
      <x:c r="K897">
        <x:v>3</x:v>
      </x:c>
      <x:c r="L897">
        <x:f t="shared" si="91"/>
        <x:v>0</x:v>
      </x:c>
      <x:c r="P897">
        <x:f t="shared" si="92"/>
        <x:v>0</x:v>
      </x:c>
      <x:c r="Q897">
        <x:f t="shared" si="93"/>
        <x:v>0</x:v>
      </x:c>
      <x:c r="R897">
        <x:f t="shared" si="94"/>
        <x:v>0</x:v>
      </x:c>
      <x:c r="S897">
        <x:f t="shared" si="95"/>
        <x:v>0</x:v>
      </x:c>
      <x:c r="T897" t="str">
        <x:f t="shared" si="96"/>
        <x:v>DerivedFromCount</x:v>
      </x:c>
      <x:c r="U897" t="str">
        <x:f>IF(COUNTIF(DailyProduction!$Q$5:$Q$100,B897)=1,"OK","CHECK")</x:f>
        <x:v>OK</x:v>
      </x:c>
      <x:c r="V897" t="str">
        <x:f t="shared" si="97"/>
        <x:v>OK</x:v>
      </x:c>
      <x:c r="W897" t="str">
        <x:f>IF(SUMIF($B$5:$B$914,B897,$S$5:$S$914)=SUMIF(DailyProduction!$Q$5:$Q$100,B897,DailyProduction!$R$5:$R$100),"OK","CHECK")</x:f>
        <x:v>OK</x:v>
      </x:c>
      <x:c r="X897" t="str">
        <x:v>PLC-PRD-JAR-330-L25</x:v>
      </x:c>
      <x:c r="Y897" t="str">
        <x:v>OK</x:v>
      </x:c>
      <x:c r="Z897" t="str">
        <x:v>OK</x:v>
      </x:c>
      <x:c r="AA897" t="n">
        <x:v>3</x:v>
      </x:c>
      <x:c r="AB897" t="n">
        <x:v>0</x:v>
      </x:c>
      <x:c r="AC897" t="str">
        <x:v>OK</x:v>
      </x:c>
      <x:c r="AD897" t="str">
        <x:v>OK</x:v>
      </x:c>
      <x:c r="AE897" t="str">
        <x:v>LOAD</x:v>
      </x:c>
      <x:c r="AF897" t="str">
        <x:v>02_Supervisor_Log(4).xlsx</x:v>
      </x:c>
      <x:c r="AG897" t="str">
        <x:v>ENH-20260830-01</x:v>
      </x:c>
      <x:c r="AH897" t="str">
        <x:v>Active</x:v>
      </x:c>
      <x:c r="AI897"/>
      <x:c r="AJ897"/>
      <x:c r="AK897"/>
      <x:c r="AL897"/>
    </x:row>
    <x:row r="898">
      <x:c r="A898" t="s">
        <x:v>1155</x:v>
      </x:c>
      <x:c r="B898" t="s">
        <x:v>1146</x:v>
      </x:c>
      <x:c r="C898" t="s">
        <x:v>44</x:v>
      </x:c>
      <x:c r="D898">
        <x:v>45956</x:v>
      </x:c>
      <x:c r="E898" t="s">
        <x:v>45</x:v>
      </x:c>
      <x:c r="F898" t="s">
        <x:v>55</x:v>
      </x:c>
      <x:c r="G898">
        <x:v>25</x:v>
      </x:c>
      <x:c r="H898" t="s">
        <x:v>77</x:v>
      </x:c>
      <x:c r="I898">
        <x:v>10</x:v>
      </x:c>
      <x:c r="J898">
        <x:v>8</x:v>
      </x:c>
      <x:c r="K898">
        <x:v>3</x:v>
      </x:c>
      <x:c r="L898">
        <x:f t="shared" si="91"/>
        <x:v>0</x:v>
      </x:c>
      <x:c r="P898">
        <x:f t="shared" si="92"/>
        <x:v>0</x:v>
      </x:c>
      <x:c r="Q898">
        <x:f t="shared" si="93"/>
        <x:v>0</x:v>
      </x:c>
      <x:c r="R898">
        <x:f t="shared" si="94"/>
        <x:v>0</x:v>
      </x:c>
      <x:c r="S898">
        <x:f t="shared" si="95"/>
        <x:v>0</x:v>
      </x:c>
      <x:c r="T898" t="str">
        <x:f t="shared" si="96"/>
        <x:v>DerivedFromCount</x:v>
      </x:c>
      <x:c r="U898" t="str">
        <x:f>IF(COUNTIF(DailyProduction!$Q$5:$Q$100,B898)=1,"OK","CHECK")</x:f>
        <x:v>OK</x:v>
      </x:c>
      <x:c r="V898" t="str">
        <x:f t="shared" si="97"/>
        <x:v>OK</x:v>
      </x:c>
      <x:c r="W898" t="str">
        <x:f>IF(SUMIF($B$5:$B$914,B898,$S$5:$S$914)=SUMIF(DailyProduction!$Q$5:$Q$100,B898,DailyProduction!$R$5:$R$100),"OK","CHECK")</x:f>
        <x:v>OK</x:v>
      </x:c>
      <x:c r="X898" t="str">
        <x:v>PLC-PRD-JAR-330-L25</x:v>
      </x:c>
      <x:c r="Y898" t="str">
        <x:v>OK</x:v>
      </x:c>
      <x:c r="Z898" t="str">
        <x:v>OK</x:v>
      </x:c>
      <x:c r="AA898" t="n">
        <x:v>3</x:v>
      </x:c>
      <x:c r="AB898" t="n">
        <x:v>0</x:v>
      </x:c>
      <x:c r="AC898" t="str">
        <x:v>OK</x:v>
      </x:c>
      <x:c r="AD898" t="str">
        <x:v>OK</x:v>
      </x:c>
      <x:c r="AE898" t="str">
        <x:v>LOAD</x:v>
      </x:c>
      <x:c r="AF898" t="str">
        <x:v>02_Supervisor_Log(4).xlsx</x:v>
      </x:c>
      <x:c r="AG898" t="str">
        <x:v>ENH-20260830-01</x:v>
      </x:c>
      <x:c r="AH898" t="str">
        <x:v>Active</x:v>
      </x:c>
      <x:c r="AI898"/>
      <x:c r="AJ898"/>
      <x:c r="AK898"/>
      <x:c r="AL898"/>
    </x:row>
    <x:row r="899">
      <x:c r="A899" t="s">
        <x:v>1156</x:v>
      </x:c>
      <x:c r="B899" t="s">
        <x:v>1146</x:v>
      </x:c>
      <x:c r="C899" t="s">
        <x:v>44</x:v>
      </x:c>
      <x:c r="D899">
        <x:v>45956</x:v>
      </x:c>
      <x:c r="E899" t="s">
        <x:v>45</x:v>
      </x:c>
      <x:c r="F899" t="s">
        <x:v>55</x:v>
      </x:c>
      <x:c r="G899">
        <x:v>25</x:v>
      </x:c>
      <x:c r="H899" t="s">
        <x:v>77</x:v>
      </x:c>
      <x:c r="I899">
        <x:v>11</x:v>
      </x:c>
      <x:c r="J899">
        <x:v>8</x:v>
      </x:c>
      <x:c r="K899">
        <x:v>3</x:v>
      </x:c>
      <x:c r="L899">
        <x:f t="shared" si="91"/>
        <x:v>0</x:v>
      </x:c>
      <x:c r="P899">
        <x:f t="shared" si="92"/>
        <x:v>0</x:v>
      </x:c>
      <x:c r="Q899">
        <x:f t="shared" si="93"/>
        <x:v>0</x:v>
      </x:c>
      <x:c r="R899">
        <x:f t="shared" si="94"/>
        <x:v>0</x:v>
      </x:c>
      <x:c r="S899">
        <x:f t="shared" si="95"/>
        <x:v>0</x:v>
      </x:c>
      <x:c r="T899" t="str">
        <x:f t="shared" si="96"/>
        <x:v>DerivedFromCount</x:v>
      </x:c>
      <x:c r="U899" t="str">
        <x:f>IF(COUNTIF(DailyProduction!$Q$5:$Q$100,B899)=1,"OK","CHECK")</x:f>
        <x:v>OK</x:v>
      </x:c>
      <x:c r="V899" t="str">
        <x:f t="shared" si="97"/>
        <x:v>OK</x:v>
      </x:c>
      <x:c r="W899" t="str">
        <x:f>IF(SUMIF($B$5:$B$914,B899,$S$5:$S$914)=SUMIF(DailyProduction!$Q$5:$Q$100,B899,DailyProduction!$R$5:$R$100),"OK","CHECK")</x:f>
        <x:v>OK</x:v>
      </x:c>
      <x:c r="X899" t="str">
        <x:v>PLC-PRD-JAR-330-L25</x:v>
      </x:c>
      <x:c r="Y899" t="str">
        <x:v>OK</x:v>
      </x:c>
      <x:c r="Z899" t="str">
        <x:v>OK</x:v>
      </x:c>
      <x:c r="AA899" t="n">
        <x:v>3</x:v>
      </x:c>
      <x:c r="AB899" t="n">
        <x:v>0</x:v>
      </x:c>
      <x:c r="AC899" t="str">
        <x:v>OK</x:v>
      </x:c>
      <x:c r="AD899" t="str">
        <x:v>OK</x:v>
      </x:c>
      <x:c r="AE899" t="str">
        <x:v>LOAD</x:v>
      </x:c>
      <x:c r="AF899" t="str">
        <x:v>02_Supervisor_Log(4).xlsx</x:v>
      </x:c>
      <x:c r="AG899" t="str">
        <x:v>ENH-20260830-01</x:v>
      </x:c>
      <x:c r="AH899" t="str">
        <x:v>Active</x:v>
      </x:c>
      <x:c r="AI899"/>
      <x:c r="AJ899"/>
      <x:c r="AK899"/>
      <x:c r="AL899"/>
    </x:row>
    <x:row r="900">
      <x:c r="A900" t="s">
        <x:v>1157</x:v>
      </x:c>
      <x:c r="B900" t="s">
        <x:v>1146</x:v>
      </x:c>
      <x:c r="C900" t="s">
        <x:v>44</x:v>
      </x:c>
      <x:c r="D900">
        <x:v>45956</x:v>
      </x:c>
      <x:c r="E900" t="s">
        <x:v>45</x:v>
      </x:c>
      <x:c r="F900" t="s">
        <x:v>55</x:v>
      </x:c>
      <x:c r="G900">
        <x:v>25</x:v>
      </x:c>
      <x:c r="H900" t="s">
        <x:v>77</x:v>
      </x:c>
      <x:c r="I900">
        <x:v>12</x:v>
      </x:c>
      <x:c r="J900">
        <x:v>8</x:v>
      </x:c>
      <x:c r="K900">
        <x:v>3</x:v>
      </x:c>
      <x:c r="L900">
        <x:f t="shared" si="91"/>
        <x:v>0</x:v>
      </x:c>
      <x:c r="P900">
        <x:f t="shared" si="92"/>
        <x:v>0</x:v>
      </x:c>
      <x:c r="Q900">
        <x:f t="shared" si="93"/>
        <x:v>0</x:v>
      </x:c>
      <x:c r="R900">
        <x:f t="shared" si="94"/>
        <x:v>0</x:v>
      </x:c>
      <x:c r="S900">
        <x:f t="shared" si="95"/>
        <x:v>0</x:v>
      </x:c>
      <x:c r="T900" t="str">
        <x:f t="shared" si="96"/>
        <x:v>DerivedFromCount</x:v>
      </x:c>
      <x:c r="U900" t="str">
        <x:f>IF(COUNTIF(DailyProduction!$Q$5:$Q$100,B900)=1,"OK","CHECK")</x:f>
        <x:v>OK</x:v>
      </x:c>
      <x:c r="V900" t="str">
        <x:f t="shared" si="97"/>
        <x:v>OK</x:v>
      </x:c>
      <x:c r="W900" t="str">
        <x:f>IF(SUMIF($B$5:$B$914,B900,$S$5:$S$914)=SUMIF(DailyProduction!$Q$5:$Q$100,B900,DailyProduction!$R$5:$R$100),"OK","CHECK")</x:f>
        <x:v>OK</x:v>
      </x:c>
      <x:c r="X900" t="str">
        <x:v>PLC-PRD-JAR-330-L25</x:v>
      </x:c>
      <x:c r="Y900" t="str">
        <x:v>OK</x:v>
      </x:c>
      <x:c r="Z900" t="str">
        <x:v>OK</x:v>
      </x:c>
      <x:c r="AA900" t="n">
        <x:v>3</x:v>
      </x:c>
      <x:c r="AB900" t="n">
        <x:v>0</x:v>
      </x:c>
      <x:c r="AC900" t="str">
        <x:v>OK</x:v>
      </x:c>
      <x:c r="AD900" t="str">
        <x:v>OK</x:v>
      </x:c>
      <x:c r="AE900" t="str">
        <x:v>LOAD</x:v>
      </x:c>
      <x:c r="AF900" t="str">
        <x:v>02_Supervisor_Log(4).xlsx</x:v>
      </x:c>
      <x:c r="AG900" t="str">
        <x:v>ENH-20260830-01</x:v>
      </x:c>
      <x:c r="AH900" t="str">
        <x:v>Active</x:v>
      </x:c>
      <x:c r="AI900"/>
      <x:c r="AJ900"/>
      <x:c r="AK900"/>
      <x:c r="AL900"/>
    </x:row>
    <x:row r="901">
      <x:c r="A901" t="s">
        <x:v>1158</x:v>
      </x:c>
      <x:c r="B901" t="s">
        <x:v>1146</x:v>
      </x:c>
      <x:c r="C901" t="s">
        <x:v>44</x:v>
      </x:c>
      <x:c r="D901">
        <x:v>45956</x:v>
      </x:c>
      <x:c r="E901" t="s">
        <x:v>45</x:v>
      </x:c>
      <x:c r="F901" t="s">
        <x:v>55</x:v>
      </x:c>
      <x:c r="G901">
        <x:v>25</x:v>
      </x:c>
      <x:c r="H901" t="s">
        <x:v>77</x:v>
      </x:c>
      <x:c r="I901">
        <x:v>13</x:v>
      </x:c>
      <x:c r="J901">
        <x:v>8</x:v>
      </x:c>
      <x:c r="K901">
        <x:v>3</x:v>
      </x:c>
      <x:c r="L901" t="n">
        <x:f t="shared" ref="L901:L914" si="98">IF(I901&lt;=J901,1,0)</x:f>
        <x:v>0</x:v>
      </x:c>
      <x:c r="P901" t="n">
        <x:f t="shared" ref="P901:P914" si="99">IF(M901="",IF(AND(L901=1,K901&gt;=1),1,0),M901)</x:f>
        <x:v>0</x:v>
      </x:c>
      <x:c r="Q901" t="n">
        <x:f t="shared" ref="Q901:Q914" si="100">IF(N901="",IF(AND(L901=1,K901&gt;=2),1,0),N901)</x:f>
        <x:v>0</x:v>
      </x:c>
      <x:c r="R901" t="n">
        <x:f t="shared" ref="R901:R914" si="101">IF(O901="",IF(AND(L901=1,K901&gt;=3),1,0),O901)</x:f>
        <x:v>0</x:v>
      </x:c>
      <x:c r="S901" t="n">
        <x:f t="shared" ref="S901:S914" si="102">SUM(P901:R901)</x:f>
        <x:v>0</x:v>
      </x:c>
      <x:c r="T901" t="str">
        <x:f t="shared" ref="T901:T914" si="103">IF(COUNTA(M901:O901)=0,"DerivedFromCount","ManualOverride")</x:f>
        <x:v>DerivedFromCount</x:v>
      </x:c>
      <x:c r="U901" t="str">
        <x:f>IF(COUNTIF(DailyProduction!$Q$5:$Q$100,B901)=1,"OK","CHECK")</x:f>
        <x:v>OK</x:v>
      </x:c>
      <x:c r="V901" t="str">
        <x:f t="shared" ref="V901:V914" si="104">IF(AND(I901&gt;=1,I901&lt;=13,K901&gt;=1,K901&lt;=3),"OK","CHECK")</x:f>
        <x:v>OK</x:v>
      </x:c>
      <x:c r="W901" t="str">
        <x:f>IF(SUMIF($B$5:$B$914,B901,$S$5:$S$914)=SUMIF(DailyProduction!$Q$5:$Q$100,B901,DailyProduction!$R$5:$R$100),"OK","CHECK")</x:f>
        <x:v>OK</x:v>
      </x:c>
      <x:c r="X901" t="str">
        <x:v>PLC-PRD-JAR-330-L25</x:v>
      </x:c>
      <x:c r="Y901" t="str">
        <x:v>OK</x:v>
      </x:c>
      <x:c r="Z901" t="str">
        <x:v>OK</x:v>
      </x:c>
      <x:c r="AA901" t="n">
        <x:v>3</x:v>
      </x:c>
      <x:c r="AB901" t="n">
        <x:v>0</x:v>
      </x:c>
      <x:c r="AC901" t="str">
        <x:v>OK</x:v>
      </x:c>
      <x:c r="AD901" t="str">
        <x:v>OK</x:v>
      </x:c>
      <x:c r="AE901" t="str">
        <x:v>LOAD</x:v>
      </x:c>
      <x:c r="AF901" t="str">
        <x:v>02_Supervisor_Log(4).xlsx</x:v>
      </x:c>
      <x:c r="AG901" t="str">
        <x:v>ENH-20260830-01</x:v>
      </x:c>
      <x:c r="AH901" t="str">
        <x:v>Active</x:v>
      </x:c>
      <x:c r="AI901"/>
      <x:c r="AJ901"/>
      <x:c r="AK901"/>
      <x:c r="AL901"/>
    </x:row>
    <x:row r="902">
      <x:c r="A902" t="s">
        <x:v>1159</x:v>
      </x:c>
      <x:c r="B902" t="s">
        <x:v>1160</x:v>
      </x:c>
      <x:c r="C902" t="s">
        <x:v>44</x:v>
      </x:c>
      <x:c r="D902">
        <x:v>45956</x:v>
      </x:c>
      <x:c r="E902" t="s">
        <x:v>187</x:v>
      </x:c>
      <x:c r="F902" t="s">
        <x:v>46</x:v>
      </x:c>
      <x:c r="G902">
        <x:v>25</x:v>
      </x:c>
      <x:c r="H902" t="s">
        <x:v>77</x:v>
      </x:c>
      <x:c r="I902">
        <x:v>1</x:v>
      </x:c>
      <x:c r="J902">
        <x:v>8</x:v>
      </x:c>
      <x:c r="K902">
        <x:v>3</x:v>
      </x:c>
      <x:c r="L902">
        <x:f t="shared" si="98"/>
        <x:v>1</x:v>
      </x:c>
      <x:c r="P902">
        <x:f t="shared" si="99"/>
        <x:v>1</x:v>
      </x:c>
      <x:c r="Q902">
        <x:f t="shared" si="100"/>
        <x:v>1</x:v>
      </x:c>
      <x:c r="R902">
        <x:f t="shared" si="101"/>
        <x:v>1</x:v>
      </x:c>
      <x:c r="S902">
        <x:f t="shared" si="102"/>
        <x:v>3</x:v>
      </x:c>
      <x:c r="T902" t="str">
        <x:f t="shared" si="103"/>
        <x:v>DerivedFromCount</x:v>
      </x:c>
      <x:c r="U902" t="str">
        <x:f>IF(COUNTIF(DailyProduction!$Q$5:$Q$100,B902)=1,"OK","CHECK")</x:f>
        <x:v>OK</x:v>
      </x:c>
      <x:c r="V902" t="str">
        <x:f t="shared" si="104"/>
        <x:v>OK</x:v>
      </x:c>
      <x:c r="W902" t="str">
        <x:f>IF(SUMIF($B$5:$B$914,B902,$S$5:$S$914)=SUMIF(DailyProduction!$Q$5:$Q$100,B902,DailyProduction!$R$5:$R$100),"OK","CHECK")</x:f>
        <x:v>OK</x:v>
      </x:c>
      <x:c r="X902" t="str">
        <x:v>PLC-PRD-JAR-330-L25</x:v>
      </x:c>
      <x:c r="Y902" t="str">
        <x:v>OK</x:v>
      </x:c>
      <x:c r="Z902" t="str">
        <x:v>OK</x:v>
      </x:c>
      <x:c r="AA902" t="n">
        <x:v>3</x:v>
      </x:c>
      <x:c r="AB902" t="n">
        <x:v>3</x:v>
      </x:c>
      <x:c r="AC902" t="str">
        <x:v>OK</x:v>
      </x:c>
      <x:c r="AD902" t="str">
        <x:v>OK</x:v>
      </x:c>
      <x:c r="AE902" t="str">
        <x:v>LOAD</x:v>
      </x:c>
      <x:c r="AF902" t="str">
        <x:v>02_Supervisor_Log(4).xlsx</x:v>
      </x:c>
      <x:c r="AG902" t="str">
        <x:v>ENH-20260830-01</x:v>
      </x:c>
      <x:c r="AH902" t="str">
        <x:v>Active</x:v>
      </x:c>
      <x:c r="AI902"/>
      <x:c r="AJ902"/>
      <x:c r="AK902"/>
      <x:c r="AL902"/>
    </x:row>
    <x:row r="903">
      <x:c r="A903" t="s">
        <x:v>1161</x:v>
      </x:c>
      <x:c r="B903" t="s">
        <x:v>1160</x:v>
      </x:c>
      <x:c r="C903" t="s">
        <x:v>44</x:v>
      </x:c>
      <x:c r="D903">
        <x:v>45956</x:v>
      </x:c>
      <x:c r="E903" t="s">
        <x:v>187</x:v>
      </x:c>
      <x:c r="F903" t="s">
        <x:v>46</x:v>
      </x:c>
      <x:c r="G903">
        <x:v>25</x:v>
      </x:c>
      <x:c r="H903" t="s">
        <x:v>77</x:v>
      </x:c>
      <x:c r="I903">
        <x:v>2</x:v>
      </x:c>
      <x:c r="J903">
        <x:v>8</x:v>
      </x:c>
      <x:c r="K903">
        <x:v>3</x:v>
      </x:c>
      <x:c r="L903">
        <x:f t="shared" si="98"/>
        <x:v>1</x:v>
      </x:c>
      <x:c r="P903">
        <x:f t="shared" si="99"/>
        <x:v>1</x:v>
      </x:c>
      <x:c r="Q903">
        <x:f t="shared" si="100"/>
        <x:v>1</x:v>
      </x:c>
      <x:c r="R903">
        <x:f t="shared" si="101"/>
        <x:v>1</x:v>
      </x:c>
      <x:c r="S903">
        <x:f t="shared" si="102"/>
        <x:v>3</x:v>
      </x:c>
      <x:c r="T903" t="str">
        <x:f t="shared" si="103"/>
        <x:v>DerivedFromCount</x:v>
      </x:c>
      <x:c r="U903" t="str">
        <x:f>IF(COUNTIF(DailyProduction!$Q$5:$Q$100,B903)=1,"OK","CHECK")</x:f>
        <x:v>OK</x:v>
      </x:c>
      <x:c r="V903" t="str">
        <x:f t="shared" si="104"/>
        <x:v>OK</x:v>
      </x:c>
      <x:c r="W903" t="str">
        <x:f>IF(SUMIF($B$5:$B$914,B903,$S$5:$S$914)=SUMIF(DailyProduction!$Q$5:$Q$100,B903,DailyProduction!$R$5:$R$100),"OK","CHECK")</x:f>
        <x:v>OK</x:v>
      </x:c>
      <x:c r="X903" t="str">
        <x:v>PLC-PRD-JAR-330-L25</x:v>
      </x:c>
      <x:c r="Y903" t="str">
        <x:v>OK</x:v>
      </x:c>
      <x:c r="Z903" t="str">
        <x:v>OK</x:v>
      </x:c>
      <x:c r="AA903" t="n">
        <x:v>3</x:v>
      </x:c>
      <x:c r="AB903" t="n">
        <x:v>3</x:v>
      </x:c>
      <x:c r="AC903" t="str">
        <x:v>OK</x:v>
      </x:c>
      <x:c r="AD903" t="str">
        <x:v>OK</x:v>
      </x:c>
      <x:c r="AE903" t="str">
        <x:v>LOAD</x:v>
      </x:c>
      <x:c r="AF903" t="str">
        <x:v>02_Supervisor_Log(4).xlsx</x:v>
      </x:c>
      <x:c r="AG903" t="str">
        <x:v>ENH-20260830-01</x:v>
      </x:c>
      <x:c r="AH903" t="str">
        <x:v>Active</x:v>
      </x:c>
      <x:c r="AI903"/>
      <x:c r="AJ903"/>
      <x:c r="AK903"/>
      <x:c r="AL903"/>
    </x:row>
    <x:row r="904">
      <x:c r="A904" t="s">
        <x:v>1162</x:v>
      </x:c>
      <x:c r="B904" t="s">
        <x:v>1160</x:v>
      </x:c>
      <x:c r="C904" t="s">
        <x:v>44</x:v>
      </x:c>
      <x:c r="D904">
        <x:v>45956</x:v>
      </x:c>
      <x:c r="E904" t="s">
        <x:v>187</x:v>
      </x:c>
      <x:c r="F904" t="s">
        <x:v>46</x:v>
      </x:c>
      <x:c r="G904">
        <x:v>25</x:v>
      </x:c>
      <x:c r="H904" t="s">
        <x:v>77</x:v>
      </x:c>
      <x:c r="I904">
        <x:v>3</x:v>
      </x:c>
      <x:c r="J904">
        <x:v>8</x:v>
      </x:c>
      <x:c r="K904">
        <x:v>3</x:v>
      </x:c>
      <x:c r="L904">
        <x:f t="shared" si="98"/>
        <x:v>1</x:v>
      </x:c>
      <x:c r="P904">
        <x:f t="shared" si="99"/>
        <x:v>1</x:v>
      </x:c>
      <x:c r="Q904">
        <x:f t="shared" si="100"/>
        <x:v>1</x:v>
      </x:c>
      <x:c r="R904">
        <x:f t="shared" si="101"/>
        <x:v>1</x:v>
      </x:c>
      <x:c r="S904">
        <x:f t="shared" si="102"/>
        <x:v>3</x:v>
      </x:c>
      <x:c r="T904" t="str">
        <x:f t="shared" si="103"/>
        <x:v>DerivedFromCount</x:v>
      </x:c>
      <x:c r="U904" t="str">
        <x:f>IF(COUNTIF(DailyProduction!$Q$5:$Q$100,B904)=1,"OK","CHECK")</x:f>
        <x:v>OK</x:v>
      </x:c>
      <x:c r="V904" t="str">
        <x:f t="shared" si="104"/>
        <x:v>OK</x:v>
      </x:c>
      <x:c r="W904" t="str">
        <x:f>IF(SUMIF($B$5:$B$914,B904,$S$5:$S$914)=SUMIF(DailyProduction!$Q$5:$Q$100,B904,DailyProduction!$R$5:$R$100),"OK","CHECK")</x:f>
        <x:v>OK</x:v>
      </x:c>
      <x:c r="X904" t="str">
        <x:v>PLC-PRD-JAR-330-L25</x:v>
      </x:c>
      <x:c r="Y904" t="str">
        <x:v>OK</x:v>
      </x:c>
      <x:c r="Z904" t="str">
        <x:v>OK</x:v>
      </x:c>
      <x:c r="AA904" t="n">
        <x:v>3</x:v>
      </x:c>
      <x:c r="AB904" t="n">
        <x:v>3</x:v>
      </x:c>
      <x:c r="AC904" t="str">
        <x:v>OK</x:v>
      </x:c>
      <x:c r="AD904" t="str">
        <x:v>OK</x:v>
      </x:c>
      <x:c r="AE904" t="str">
        <x:v>LOAD</x:v>
      </x:c>
      <x:c r="AF904" t="str">
        <x:v>02_Supervisor_Log(4).xlsx</x:v>
      </x:c>
      <x:c r="AG904" t="str">
        <x:v>ENH-20260830-01</x:v>
      </x:c>
      <x:c r="AH904" t="str">
        <x:v>Active</x:v>
      </x:c>
      <x:c r="AI904"/>
      <x:c r="AJ904"/>
      <x:c r="AK904"/>
      <x:c r="AL904"/>
    </x:row>
    <x:row r="905">
      <x:c r="A905" t="s">
        <x:v>1163</x:v>
      </x:c>
      <x:c r="B905" t="s">
        <x:v>1160</x:v>
      </x:c>
      <x:c r="C905" t="s">
        <x:v>44</x:v>
      </x:c>
      <x:c r="D905">
        <x:v>45956</x:v>
      </x:c>
      <x:c r="E905" t="s">
        <x:v>187</x:v>
      </x:c>
      <x:c r="F905" t="s">
        <x:v>46</x:v>
      </x:c>
      <x:c r="G905">
        <x:v>25</x:v>
      </x:c>
      <x:c r="H905" t="s">
        <x:v>77</x:v>
      </x:c>
      <x:c r="I905">
        <x:v>4</x:v>
      </x:c>
      <x:c r="J905">
        <x:v>8</x:v>
      </x:c>
      <x:c r="K905">
        <x:v>3</x:v>
      </x:c>
      <x:c r="L905">
        <x:f t="shared" si="98"/>
        <x:v>1</x:v>
      </x:c>
      <x:c r="P905">
        <x:f t="shared" si="99"/>
        <x:v>1</x:v>
      </x:c>
      <x:c r="Q905">
        <x:f t="shared" si="100"/>
        <x:v>1</x:v>
      </x:c>
      <x:c r="R905">
        <x:f t="shared" si="101"/>
        <x:v>1</x:v>
      </x:c>
      <x:c r="S905">
        <x:f t="shared" si="102"/>
        <x:v>3</x:v>
      </x:c>
      <x:c r="T905" t="str">
        <x:f t="shared" si="103"/>
        <x:v>DerivedFromCount</x:v>
      </x:c>
      <x:c r="U905" t="str">
        <x:f>IF(COUNTIF(DailyProduction!$Q$5:$Q$100,B905)=1,"OK","CHECK")</x:f>
        <x:v>OK</x:v>
      </x:c>
      <x:c r="V905" t="str">
        <x:f t="shared" si="104"/>
        <x:v>OK</x:v>
      </x:c>
      <x:c r="W905" t="str">
        <x:f>IF(SUMIF($B$5:$B$914,B905,$S$5:$S$914)=SUMIF(DailyProduction!$Q$5:$Q$100,B905,DailyProduction!$R$5:$R$100),"OK","CHECK")</x:f>
        <x:v>OK</x:v>
      </x:c>
      <x:c r="X905" t="str">
        <x:v>PLC-PRD-JAR-330-L25</x:v>
      </x:c>
      <x:c r="Y905" t="str">
        <x:v>OK</x:v>
      </x:c>
      <x:c r="Z905" t="str">
        <x:v>OK</x:v>
      </x:c>
      <x:c r="AA905" t="n">
        <x:v>3</x:v>
      </x:c>
      <x:c r="AB905" t="n">
        <x:v>3</x:v>
      </x:c>
      <x:c r="AC905" t="str">
        <x:v>OK</x:v>
      </x:c>
      <x:c r="AD905" t="str">
        <x:v>OK</x:v>
      </x:c>
      <x:c r="AE905" t="str">
        <x:v>LOAD</x:v>
      </x:c>
      <x:c r="AF905" t="str">
        <x:v>02_Supervisor_Log(4).xlsx</x:v>
      </x:c>
      <x:c r="AG905" t="str">
        <x:v>ENH-20260830-01</x:v>
      </x:c>
      <x:c r="AH905" t="str">
        <x:v>Active</x:v>
      </x:c>
      <x:c r="AI905"/>
      <x:c r="AJ905"/>
      <x:c r="AK905"/>
      <x:c r="AL905"/>
    </x:row>
    <x:row r="906">
      <x:c r="A906" t="s">
        <x:v>1164</x:v>
      </x:c>
      <x:c r="B906" t="s">
        <x:v>1160</x:v>
      </x:c>
      <x:c r="C906" t="s">
        <x:v>44</x:v>
      </x:c>
      <x:c r="D906">
        <x:v>45956</x:v>
      </x:c>
      <x:c r="E906" t="s">
        <x:v>187</x:v>
      </x:c>
      <x:c r="F906" t="s">
        <x:v>46</x:v>
      </x:c>
      <x:c r="G906">
        <x:v>25</x:v>
      </x:c>
      <x:c r="H906" t="s">
        <x:v>77</x:v>
      </x:c>
      <x:c r="I906">
        <x:v>5</x:v>
      </x:c>
      <x:c r="J906">
        <x:v>8</x:v>
      </x:c>
      <x:c r="K906">
        <x:v>3</x:v>
      </x:c>
      <x:c r="L906">
        <x:f t="shared" si="98"/>
        <x:v>1</x:v>
      </x:c>
      <x:c r="P906">
        <x:f t="shared" si="99"/>
        <x:v>1</x:v>
      </x:c>
      <x:c r="Q906">
        <x:f t="shared" si="100"/>
        <x:v>1</x:v>
      </x:c>
      <x:c r="R906">
        <x:f t="shared" si="101"/>
        <x:v>1</x:v>
      </x:c>
      <x:c r="S906">
        <x:f t="shared" si="102"/>
        <x:v>3</x:v>
      </x:c>
      <x:c r="T906" t="str">
        <x:f t="shared" si="103"/>
        <x:v>DerivedFromCount</x:v>
      </x:c>
      <x:c r="U906" t="str">
        <x:f>IF(COUNTIF(DailyProduction!$Q$5:$Q$100,B906)=1,"OK","CHECK")</x:f>
        <x:v>OK</x:v>
      </x:c>
      <x:c r="V906" t="str">
        <x:f t="shared" si="104"/>
        <x:v>OK</x:v>
      </x:c>
      <x:c r="W906" t="str">
        <x:f>IF(SUMIF($B$5:$B$914,B906,$S$5:$S$914)=SUMIF(DailyProduction!$Q$5:$Q$100,B906,DailyProduction!$R$5:$R$100),"OK","CHECK")</x:f>
        <x:v>OK</x:v>
      </x:c>
      <x:c r="X906" t="str">
        <x:v>PLC-PRD-JAR-330-L25</x:v>
      </x:c>
      <x:c r="Y906" t="str">
        <x:v>OK</x:v>
      </x:c>
      <x:c r="Z906" t="str">
        <x:v>OK</x:v>
      </x:c>
      <x:c r="AA906" t="n">
        <x:v>3</x:v>
      </x:c>
      <x:c r="AB906" t="n">
        <x:v>3</x:v>
      </x:c>
      <x:c r="AC906" t="str">
        <x:v>OK</x:v>
      </x:c>
      <x:c r="AD906" t="str">
        <x:v>OK</x:v>
      </x:c>
      <x:c r="AE906" t="str">
        <x:v>LOAD</x:v>
      </x:c>
      <x:c r="AF906" t="str">
        <x:v>02_Supervisor_Log(4).xlsx</x:v>
      </x:c>
      <x:c r="AG906" t="str">
        <x:v>ENH-20260830-01</x:v>
      </x:c>
      <x:c r="AH906" t="str">
        <x:v>Active</x:v>
      </x:c>
      <x:c r="AI906"/>
      <x:c r="AJ906"/>
      <x:c r="AK906"/>
      <x:c r="AL906"/>
    </x:row>
    <x:row r="907">
      <x:c r="A907" t="s">
        <x:v>1165</x:v>
      </x:c>
      <x:c r="B907" t="s">
        <x:v>1160</x:v>
      </x:c>
      <x:c r="C907" t="s">
        <x:v>44</x:v>
      </x:c>
      <x:c r="D907">
        <x:v>45956</x:v>
      </x:c>
      <x:c r="E907" t="s">
        <x:v>187</x:v>
      </x:c>
      <x:c r="F907" t="s">
        <x:v>46</x:v>
      </x:c>
      <x:c r="G907">
        <x:v>25</x:v>
      </x:c>
      <x:c r="H907" t="s">
        <x:v>77</x:v>
      </x:c>
      <x:c r="I907">
        <x:v>6</x:v>
      </x:c>
      <x:c r="J907">
        <x:v>8</x:v>
      </x:c>
      <x:c r="K907">
        <x:v>3</x:v>
      </x:c>
      <x:c r="L907">
        <x:f t="shared" si="98"/>
        <x:v>1</x:v>
      </x:c>
      <x:c r="P907">
        <x:f t="shared" si="99"/>
        <x:v>1</x:v>
      </x:c>
      <x:c r="Q907">
        <x:f t="shared" si="100"/>
        <x:v>1</x:v>
      </x:c>
      <x:c r="R907">
        <x:f t="shared" si="101"/>
        <x:v>1</x:v>
      </x:c>
      <x:c r="S907">
        <x:f t="shared" si="102"/>
        <x:v>3</x:v>
      </x:c>
      <x:c r="T907" t="str">
        <x:f t="shared" si="103"/>
        <x:v>DerivedFromCount</x:v>
      </x:c>
      <x:c r="U907" t="str">
        <x:f>IF(COUNTIF(DailyProduction!$Q$5:$Q$100,B907)=1,"OK","CHECK")</x:f>
        <x:v>OK</x:v>
      </x:c>
      <x:c r="V907" t="str">
        <x:f t="shared" si="104"/>
        <x:v>OK</x:v>
      </x:c>
      <x:c r="W907" t="str">
        <x:f>IF(SUMIF($B$5:$B$914,B907,$S$5:$S$914)=SUMIF(DailyProduction!$Q$5:$Q$100,B907,DailyProduction!$R$5:$R$100),"OK","CHECK")</x:f>
        <x:v>OK</x:v>
      </x:c>
      <x:c r="X907" t="str">
        <x:v>PLC-PRD-JAR-330-L25</x:v>
      </x:c>
      <x:c r="Y907" t="str">
        <x:v>OK</x:v>
      </x:c>
      <x:c r="Z907" t="str">
        <x:v>OK</x:v>
      </x:c>
      <x:c r="AA907" t="n">
        <x:v>3</x:v>
      </x:c>
      <x:c r="AB907" t="n">
        <x:v>3</x:v>
      </x:c>
      <x:c r="AC907" t="str">
        <x:v>OK</x:v>
      </x:c>
      <x:c r="AD907" t="str">
        <x:v>OK</x:v>
      </x:c>
      <x:c r="AE907" t="str">
        <x:v>LOAD</x:v>
      </x:c>
      <x:c r="AF907" t="str">
        <x:v>02_Supervisor_Log(4).xlsx</x:v>
      </x:c>
      <x:c r="AG907" t="str">
        <x:v>ENH-20260830-01</x:v>
      </x:c>
      <x:c r="AH907" t="str">
        <x:v>Active</x:v>
      </x:c>
      <x:c r="AI907"/>
      <x:c r="AJ907"/>
      <x:c r="AK907"/>
      <x:c r="AL907"/>
    </x:row>
    <x:row r="908">
      <x:c r="A908" t="s">
        <x:v>1166</x:v>
      </x:c>
      <x:c r="B908" t="s">
        <x:v>1160</x:v>
      </x:c>
      <x:c r="C908" t="s">
        <x:v>44</x:v>
      </x:c>
      <x:c r="D908">
        <x:v>45956</x:v>
      </x:c>
      <x:c r="E908" t="s">
        <x:v>187</x:v>
      </x:c>
      <x:c r="F908" t="s">
        <x:v>46</x:v>
      </x:c>
      <x:c r="G908">
        <x:v>25</x:v>
      </x:c>
      <x:c r="H908" t="s">
        <x:v>77</x:v>
      </x:c>
      <x:c r="I908">
        <x:v>7</x:v>
      </x:c>
      <x:c r="J908">
        <x:v>8</x:v>
      </x:c>
      <x:c r="K908">
        <x:v>3</x:v>
      </x:c>
      <x:c r="L908">
        <x:f t="shared" si="98"/>
        <x:v>1</x:v>
      </x:c>
      <x:c r="P908">
        <x:f t="shared" si="99"/>
        <x:v>1</x:v>
      </x:c>
      <x:c r="Q908">
        <x:f t="shared" si="100"/>
        <x:v>1</x:v>
      </x:c>
      <x:c r="R908">
        <x:f t="shared" si="101"/>
        <x:v>1</x:v>
      </x:c>
      <x:c r="S908">
        <x:f t="shared" si="102"/>
        <x:v>3</x:v>
      </x:c>
      <x:c r="T908" t="str">
        <x:f t="shared" si="103"/>
        <x:v>DerivedFromCount</x:v>
      </x:c>
      <x:c r="U908" t="str">
        <x:f>IF(COUNTIF(DailyProduction!$Q$5:$Q$100,B908)=1,"OK","CHECK")</x:f>
        <x:v>OK</x:v>
      </x:c>
      <x:c r="V908" t="str">
        <x:f t="shared" si="104"/>
        <x:v>OK</x:v>
      </x:c>
      <x:c r="W908" t="str">
        <x:f>IF(SUMIF($B$5:$B$914,B908,$S$5:$S$914)=SUMIF(DailyProduction!$Q$5:$Q$100,B908,DailyProduction!$R$5:$R$100),"OK","CHECK")</x:f>
        <x:v>OK</x:v>
      </x:c>
      <x:c r="X908" t="str">
        <x:v>PLC-PRD-JAR-330-L25</x:v>
      </x:c>
      <x:c r="Y908" t="str">
        <x:v>OK</x:v>
      </x:c>
      <x:c r="Z908" t="str">
        <x:v>OK</x:v>
      </x:c>
      <x:c r="AA908" t="n">
        <x:v>3</x:v>
      </x:c>
      <x:c r="AB908" t="n">
        <x:v>3</x:v>
      </x:c>
      <x:c r="AC908" t="str">
        <x:v>OK</x:v>
      </x:c>
      <x:c r="AD908" t="str">
        <x:v>OK</x:v>
      </x:c>
      <x:c r="AE908" t="str">
        <x:v>LOAD</x:v>
      </x:c>
      <x:c r="AF908" t="str">
        <x:v>02_Supervisor_Log(4).xlsx</x:v>
      </x:c>
      <x:c r="AG908" t="str">
        <x:v>ENH-20260830-01</x:v>
      </x:c>
      <x:c r="AH908" t="str">
        <x:v>Active</x:v>
      </x:c>
      <x:c r="AI908"/>
      <x:c r="AJ908"/>
      <x:c r="AK908"/>
      <x:c r="AL908"/>
    </x:row>
    <x:row r="909">
      <x:c r="A909" t="s">
        <x:v>1167</x:v>
      </x:c>
      <x:c r="B909" t="s">
        <x:v>1160</x:v>
      </x:c>
      <x:c r="C909" t="s">
        <x:v>44</x:v>
      </x:c>
      <x:c r="D909">
        <x:v>45956</x:v>
      </x:c>
      <x:c r="E909" t="s">
        <x:v>187</x:v>
      </x:c>
      <x:c r="F909" t="s">
        <x:v>46</x:v>
      </x:c>
      <x:c r="G909">
        <x:v>25</x:v>
      </x:c>
      <x:c r="H909" t="s">
        <x:v>77</x:v>
      </x:c>
      <x:c r="I909">
        <x:v>8</x:v>
      </x:c>
      <x:c r="J909">
        <x:v>8</x:v>
      </x:c>
      <x:c r="K909">
        <x:v>3</x:v>
      </x:c>
      <x:c r="L909">
        <x:f t="shared" si="98"/>
        <x:v>1</x:v>
      </x:c>
      <x:c r="P909">
        <x:f t="shared" si="99"/>
        <x:v>1</x:v>
      </x:c>
      <x:c r="Q909">
        <x:f t="shared" si="100"/>
        <x:v>1</x:v>
      </x:c>
      <x:c r="R909">
        <x:f t="shared" si="101"/>
        <x:v>1</x:v>
      </x:c>
      <x:c r="S909">
        <x:f t="shared" si="102"/>
        <x:v>3</x:v>
      </x:c>
      <x:c r="T909" t="str">
        <x:f t="shared" si="103"/>
        <x:v>DerivedFromCount</x:v>
      </x:c>
      <x:c r="U909" t="str">
        <x:f>IF(COUNTIF(DailyProduction!$Q$5:$Q$100,B909)=1,"OK","CHECK")</x:f>
        <x:v>OK</x:v>
      </x:c>
      <x:c r="V909" t="str">
        <x:f t="shared" si="104"/>
        <x:v>OK</x:v>
      </x:c>
      <x:c r="W909" t="str">
        <x:f>IF(SUMIF($B$5:$B$914,B909,$S$5:$S$914)=SUMIF(DailyProduction!$Q$5:$Q$100,B909,DailyProduction!$R$5:$R$100),"OK","CHECK")</x:f>
        <x:v>OK</x:v>
      </x:c>
      <x:c r="X909" t="str">
        <x:v>PLC-PRD-JAR-330-L25</x:v>
      </x:c>
      <x:c r="Y909" t="str">
        <x:v>OK</x:v>
      </x:c>
      <x:c r="Z909" t="str">
        <x:v>OK</x:v>
      </x:c>
      <x:c r="AA909" t="n">
        <x:v>3</x:v>
      </x:c>
      <x:c r="AB909" t="n">
        <x:v>3</x:v>
      </x:c>
      <x:c r="AC909" t="str">
        <x:v>OK</x:v>
      </x:c>
      <x:c r="AD909" t="str">
        <x:v>OK</x:v>
      </x:c>
      <x:c r="AE909" t="str">
        <x:v>LOAD</x:v>
      </x:c>
      <x:c r="AF909" t="str">
        <x:v>02_Supervisor_Log(4).xlsx</x:v>
      </x:c>
      <x:c r="AG909" t="str">
        <x:v>ENH-20260830-01</x:v>
      </x:c>
      <x:c r="AH909" t="str">
        <x:v>Active</x:v>
      </x:c>
      <x:c r="AI909"/>
      <x:c r="AJ909"/>
      <x:c r="AK909"/>
      <x:c r="AL909"/>
    </x:row>
    <x:row r="910">
      <x:c r="A910" t="s">
        <x:v>1168</x:v>
      </x:c>
      <x:c r="B910" t="s">
        <x:v>1160</x:v>
      </x:c>
      <x:c r="C910" t="s">
        <x:v>44</x:v>
      </x:c>
      <x:c r="D910">
        <x:v>45956</x:v>
      </x:c>
      <x:c r="E910" t="s">
        <x:v>187</x:v>
      </x:c>
      <x:c r="F910" t="s">
        <x:v>46</x:v>
      </x:c>
      <x:c r="G910">
        <x:v>25</x:v>
      </x:c>
      <x:c r="H910" t="s">
        <x:v>77</x:v>
      </x:c>
      <x:c r="I910">
        <x:v>9</x:v>
      </x:c>
      <x:c r="J910">
        <x:v>8</x:v>
      </x:c>
      <x:c r="K910">
        <x:v>3</x:v>
      </x:c>
      <x:c r="L910">
        <x:f t="shared" si="98"/>
        <x:v>0</x:v>
      </x:c>
      <x:c r="P910">
        <x:f t="shared" si="99"/>
        <x:v>0</x:v>
      </x:c>
      <x:c r="Q910">
        <x:f t="shared" si="100"/>
        <x:v>0</x:v>
      </x:c>
      <x:c r="R910">
        <x:f t="shared" si="101"/>
        <x:v>0</x:v>
      </x:c>
      <x:c r="S910">
        <x:f t="shared" si="102"/>
        <x:v>0</x:v>
      </x:c>
      <x:c r="T910" t="str">
        <x:f t="shared" si="103"/>
        <x:v>DerivedFromCount</x:v>
      </x:c>
      <x:c r="U910" t="str">
        <x:f>IF(COUNTIF(DailyProduction!$Q$5:$Q$100,B910)=1,"OK","CHECK")</x:f>
        <x:v>OK</x:v>
      </x:c>
      <x:c r="V910" t="str">
        <x:f t="shared" si="104"/>
        <x:v>OK</x:v>
      </x:c>
      <x:c r="W910" t="str">
        <x:f>IF(SUMIF($B$5:$B$914,B910,$S$5:$S$914)=SUMIF(DailyProduction!$Q$5:$Q$100,B910,DailyProduction!$R$5:$R$100),"OK","CHECK")</x:f>
        <x:v>OK</x:v>
      </x:c>
      <x:c r="X910" t="str">
        <x:v>PLC-PRD-JAR-330-L25</x:v>
      </x:c>
      <x:c r="Y910" t="str">
        <x:v>OK</x:v>
      </x:c>
      <x:c r="Z910" t="str">
        <x:v>OK</x:v>
      </x:c>
      <x:c r="AA910" t="n">
        <x:v>3</x:v>
      </x:c>
      <x:c r="AB910" t="n">
        <x:v>0</x:v>
      </x:c>
      <x:c r="AC910" t="str">
        <x:v>OK</x:v>
      </x:c>
      <x:c r="AD910" t="str">
        <x:v>OK</x:v>
      </x:c>
      <x:c r="AE910" t="str">
        <x:v>LOAD</x:v>
      </x:c>
      <x:c r="AF910" t="str">
        <x:v>02_Supervisor_Log(4).xlsx</x:v>
      </x:c>
      <x:c r="AG910" t="str">
        <x:v>ENH-20260830-01</x:v>
      </x:c>
      <x:c r="AH910" t="str">
        <x:v>Active</x:v>
      </x:c>
      <x:c r="AI910"/>
      <x:c r="AJ910"/>
      <x:c r="AK910"/>
      <x:c r="AL910"/>
    </x:row>
    <x:row r="911">
      <x:c r="A911" t="s">
        <x:v>1169</x:v>
      </x:c>
      <x:c r="B911" t="s">
        <x:v>1160</x:v>
      </x:c>
      <x:c r="C911" t="s">
        <x:v>44</x:v>
      </x:c>
      <x:c r="D911">
        <x:v>45956</x:v>
      </x:c>
      <x:c r="E911" t="s">
        <x:v>187</x:v>
      </x:c>
      <x:c r="F911" t="s">
        <x:v>46</x:v>
      </x:c>
      <x:c r="G911">
        <x:v>25</x:v>
      </x:c>
      <x:c r="H911" t="s">
        <x:v>77</x:v>
      </x:c>
      <x:c r="I911">
        <x:v>10</x:v>
      </x:c>
      <x:c r="J911">
        <x:v>8</x:v>
      </x:c>
      <x:c r="K911">
        <x:v>3</x:v>
      </x:c>
      <x:c r="L911">
        <x:f t="shared" si="98"/>
        <x:v>0</x:v>
      </x:c>
      <x:c r="P911">
        <x:f t="shared" si="99"/>
        <x:v>0</x:v>
      </x:c>
      <x:c r="Q911">
        <x:f t="shared" si="100"/>
        <x:v>0</x:v>
      </x:c>
      <x:c r="R911">
        <x:f t="shared" si="101"/>
        <x:v>0</x:v>
      </x:c>
      <x:c r="S911">
        <x:f t="shared" si="102"/>
        <x:v>0</x:v>
      </x:c>
      <x:c r="T911" t="str">
        <x:f t="shared" si="103"/>
        <x:v>DerivedFromCount</x:v>
      </x:c>
      <x:c r="U911" t="str">
        <x:f>IF(COUNTIF(DailyProduction!$Q$5:$Q$100,B911)=1,"OK","CHECK")</x:f>
        <x:v>OK</x:v>
      </x:c>
      <x:c r="V911" t="str">
        <x:f t="shared" si="104"/>
        <x:v>OK</x:v>
      </x:c>
      <x:c r="W911" t="str">
        <x:f>IF(SUMIF($B$5:$B$914,B911,$S$5:$S$914)=SUMIF(DailyProduction!$Q$5:$Q$100,B911,DailyProduction!$R$5:$R$100),"OK","CHECK")</x:f>
        <x:v>OK</x:v>
      </x:c>
      <x:c r="X911" t="str">
        <x:v>PLC-PRD-JAR-330-L25</x:v>
      </x:c>
      <x:c r="Y911" t="str">
        <x:v>OK</x:v>
      </x:c>
      <x:c r="Z911" t="str">
        <x:v>OK</x:v>
      </x:c>
      <x:c r="AA911" t="n">
        <x:v>3</x:v>
      </x:c>
      <x:c r="AB911" t="n">
        <x:v>0</x:v>
      </x:c>
      <x:c r="AC911" t="str">
        <x:v>OK</x:v>
      </x:c>
      <x:c r="AD911" t="str">
        <x:v>OK</x:v>
      </x:c>
      <x:c r="AE911" t="str">
        <x:v>LOAD</x:v>
      </x:c>
      <x:c r="AF911" t="str">
        <x:v>02_Supervisor_Log(4).xlsx</x:v>
      </x:c>
      <x:c r="AG911" t="str">
        <x:v>ENH-20260830-01</x:v>
      </x:c>
      <x:c r="AH911" t="str">
        <x:v>Active</x:v>
      </x:c>
      <x:c r="AI911"/>
      <x:c r="AJ911"/>
      <x:c r="AK911"/>
      <x:c r="AL911"/>
    </x:row>
    <x:row r="912">
      <x:c r="A912" t="s">
        <x:v>1170</x:v>
      </x:c>
      <x:c r="B912" t="s">
        <x:v>1160</x:v>
      </x:c>
      <x:c r="C912" t="s">
        <x:v>44</x:v>
      </x:c>
      <x:c r="D912">
        <x:v>45956</x:v>
      </x:c>
      <x:c r="E912" t="s">
        <x:v>187</x:v>
      </x:c>
      <x:c r="F912" t="s">
        <x:v>46</x:v>
      </x:c>
      <x:c r="G912">
        <x:v>25</x:v>
      </x:c>
      <x:c r="H912" t="s">
        <x:v>77</x:v>
      </x:c>
      <x:c r="I912">
        <x:v>11</x:v>
      </x:c>
      <x:c r="J912">
        <x:v>8</x:v>
      </x:c>
      <x:c r="K912">
        <x:v>3</x:v>
      </x:c>
      <x:c r="L912">
        <x:f t="shared" si="98"/>
        <x:v>0</x:v>
      </x:c>
      <x:c r="P912">
        <x:f t="shared" si="99"/>
        <x:v>0</x:v>
      </x:c>
      <x:c r="Q912">
        <x:f t="shared" si="100"/>
        <x:v>0</x:v>
      </x:c>
      <x:c r="R912">
        <x:f t="shared" si="101"/>
        <x:v>0</x:v>
      </x:c>
      <x:c r="S912">
        <x:f t="shared" si="102"/>
        <x:v>0</x:v>
      </x:c>
      <x:c r="T912" t="str">
        <x:f t="shared" si="103"/>
        <x:v>DerivedFromCount</x:v>
      </x:c>
      <x:c r="U912" t="str">
        <x:f>IF(COUNTIF(DailyProduction!$Q$5:$Q$100,B912)=1,"OK","CHECK")</x:f>
        <x:v>OK</x:v>
      </x:c>
      <x:c r="V912" t="str">
        <x:f t="shared" si="104"/>
        <x:v>OK</x:v>
      </x:c>
      <x:c r="W912" t="str">
        <x:f>IF(SUMIF($B$5:$B$914,B912,$S$5:$S$914)=SUMIF(DailyProduction!$Q$5:$Q$100,B912,DailyProduction!$R$5:$R$100),"OK","CHECK")</x:f>
        <x:v>OK</x:v>
      </x:c>
      <x:c r="X912" t="str">
        <x:v>PLC-PRD-JAR-330-L25</x:v>
      </x:c>
      <x:c r="Y912" t="str">
        <x:v>OK</x:v>
      </x:c>
      <x:c r="Z912" t="str">
        <x:v>OK</x:v>
      </x:c>
      <x:c r="AA912" t="n">
        <x:v>3</x:v>
      </x:c>
      <x:c r="AB912" t="n">
        <x:v>0</x:v>
      </x:c>
      <x:c r="AC912" t="str">
        <x:v>OK</x:v>
      </x:c>
      <x:c r="AD912" t="str">
        <x:v>OK</x:v>
      </x:c>
      <x:c r="AE912" t="str">
        <x:v>LOAD</x:v>
      </x:c>
      <x:c r="AF912" t="str">
        <x:v>02_Supervisor_Log(4).xlsx</x:v>
      </x:c>
      <x:c r="AG912" t="str">
        <x:v>ENH-20260830-01</x:v>
      </x:c>
      <x:c r="AH912" t="str">
        <x:v>Active</x:v>
      </x:c>
      <x:c r="AI912"/>
      <x:c r="AJ912"/>
      <x:c r="AK912"/>
      <x:c r="AL912"/>
    </x:row>
    <x:row r="913">
      <x:c r="A913" t="s">
        <x:v>1171</x:v>
      </x:c>
      <x:c r="B913" t="s">
        <x:v>1160</x:v>
      </x:c>
      <x:c r="C913" t="s">
        <x:v>44</x:v>
      </x:c>
      <x:c r="D913">
        <x:v>45956</x:v>
      </x:c>
      <x:c r="E913" t="s">
        <x:v>187</x:v>
      </x:c>
      <x:c r="F913" t="s">
        <x:v>46</x:v>
      </x:c>
      <x:c r="G913">
        <x:v>25</x:v>
      </x:c>
      <x:c r="H913" t="s">
        <x:v>77</x:v>
      </x:c>
      <x:c r="I913">
        <x:v>12</x:v>
      </x:c>
      <x:c r="J913">
        <x:v>8</x:v>
      </x:c>
      <x:c r="K913">
        <x:v>3</x:v>
      </x:c>
      <x:c r="L913">
        <x:f t="shared" si="98"/>
        <x:v>0</x:v>
      </x:c>
      <x:c r="P913">
        <x:f t="shared" si="99"/>
        <x:v>0</x:v>
      </x:c>
      <x:c r="Q913">
        <x:f t="shared" si="100"/>
        <x:v>0</x:v>
      </x:c>
      <x:c r="R913">
        <x:f t="shared" si="101"/>
        <x:v>0</x:v>
      </x:c>
      <x:c r="S913">
        <x:f t="shared" si="102"/>
        <x:v>0</x:v>
      </x:c>
      <x:c r="T913" t="str">
        <x:f t="shared" si="103"/>
        <x:v>DerivedFromCount</x:v>
      </x:c>
      <x:c r="U913" t="str">
        <x:f>IF(COUNTIF(DailyProduction!$Q$5:$Q$100,B913)=1,"OK","CHECK")</x:f>
        <x:v>OK</x:v>
      </x:c>
      <x:c r="V913" t="str">
        <x:f t="shared" si="104"/>
        <x:v>OK</x:v>
      </x:c>
      <x:c r="W913" t="str">
        <x:f>IF(SUMIF($B$5:$B$914,B913,$S$5:$S$914)=SUMIF(DailyProduction!$Q$5:$Q$100,B913,DailyProduction!$R$5:$R$100),"OK","CHECK")</x:f>
        <x:v>OK</x:v>
      </x:c>
      <x:c r="X913" t="str">
        <x:v>PLC-PRD-JAR-330-L25</x:v>
      </x:c>
      <x:c r="Y913" t="str">
        <x:v>OK</x:v>
      </x:c>
      <x:c r="Z913" t="str">
        <x:v>OK</x:v>
      </x:c>
      <x:c r="AA913" t="n">
        <x:v>3</x:v>
      </x:c>
      <x:c r="AB913" t="n">
        <x:v>0</x:v>
      </x:c>
      <x:c r="AC913" t="str">
        <x:v>OK</x:v>
      </x:c>
      <x:c r="AD913" t="str">
        <x:v>OK</x:v>
      </x:c>
      <x:c r="AE913" t="str">
        <x:v>LOAD</x:v>
      </x:c>
      <x:c r="AF913" t="str">
        <x:v>02_Supervisor_Log(4).xlsx</x:v>
      </x:c>
      <x:c r="AG913" t="str">
        <x:v>ENH-20260830-01</x:v>
      </x:c>
      <x:c r="AH913" t="str">
        <x:v>Active</x:v>
      </x:c>
      <x:c r="AI913"/>
      <x:c r="AJ913"/>
      <x:c r="AK913"/>
      <x:c r="AL913"/>
    </x:row>
    <x:row r="914">
      <x:c r="A914" t="s">
        <x:v>1172</x:v>
      </x:c>
      <x:c r="B914" t="s">
        <x:v>1160</x:v>
      </x:c>
      <x:c r="C914" t="s">
        <x:v>44</x:v>
      </x:c>
      <x:c r="D914">
        <x:v>45956</x:v>
      </x:c>
      <x:c r="E914" t="s">
        <x:v>187</x:v>
      </x:c>
      <x:c r="F914" t="s">
        <x:v>46</x:v>
      </x:c>
      <x:c r="G914">
        <x:v>25</x:v>
      </x:c>
      <x:c r="H914" t="s">
        <x:v>77</x:v>
      </x:c>
      <x:c r="I914">
        <x:v>13</x:v>
      </x:c>
      <x:c r="J914">
        <x:v>8</x:v>
      </x:c>
      <x:c r="K914">
        <x:v>3</x:v>
      </x:c>
      <x:c r="L914">
        <x:f t="shared" si="98"/>
        <x:v>0</x:v>
      </x:c>
      <x:c r="P914">
        <x:f t="shared" si="99"/>
        <x:v>0</x:v>
      </x:c>
      <x:c r="Q914">
        <x:f t="shared" si="100"/>
        <x:v>0</x:v>
      </x:c>
      <x:c r="R914">
        <x:f t="shared" si="101"/>
        <x:v>0</x:v>
      </x:c>
      <x:c r="S914">
        <x:f t="shared" si="102"/>
        <x:v>0</x:v>
      </x:c>
      <x:c r="T914" t="str">
        <x:f t="shared" si="103"/>
        <x:v>DerivedFromCount</x:v>
      </x:c>
      <x:c r="U914" t="str">
        <x:f>IF(COUNTIF(DailyProduction!$Q$5:$Q$100,B914)=1,"OK","CHECK")</x:f>
        <x:v>OK</x:v>
      </x:c>
      <x:c r="V914" t="str">
        <x:f t="shared" si="104"/>
        <x:v>OK</x:v>
      </x:c>
      <x:c r="W914" t="str">
        <x:f>IF(SUMIF($B$5:$B$914,B914,$S$5:$S$914)=SUMIF(DailyProduction!$Q$5:$Q$100,B914,DailyProduction!$R$5:$R$100),"OK","CHECK")</x:f>
        <x:v>OK</x:v>
      </x:c>
      <x:c r="X914" t="str">
        <x:v>PLC-PRD-JAR-330-L25</x:v>
      </x:c>
      <x:c r="Y914" t="str">
        <x:v>OK</x:v>
      </x:c>
      <x:c r="Z914" t="str">
        <x:v>OK</x:v>
      </x:c>
      <x:c r="AA914" t="n">
        <x:v>3</x:v>
      </x:c>
      <x:c r="AB914" t="n">
        <x:v>0</x:v>
      </x:c>
      <x:c r="AC914" t="str">
        <x:v>OK</x:v>
      </x:c>
      <x:c r="AD914" t="str">
        <x:v>OK</x:v>
      </x:c>
      <x:c r="AE914" t="str">
        <x:v>LOAD</x:v>
      </x:c>
      <x:c r="AF914" t="str">
        <x:v>02_Supervisor_Log(4).xlsx</x:v>
      </x:c>
      <x:c r="AG914" t="str">
        <x:v>ENH-20260830-01</x:v>
      </x:c>
      <x:c r="AH914" t="str">
        <x:v>Active</x:v>
      </x:c>
      <x:c r="AI914"/>
      <x:c r="AJ914"/>
      <x:c r="AK914"/>
      <x:c r="AL914"/>
    </x:row>
  </x:sheetData>
  <x:dataValidations count="1">
    <x:dataValidation type="list" sqref="M5:O5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a60e5790fb4950"/>
  </x:tableParts>
</x:worksheet>
</file>

<file path=xl/worksheets/sheet6.xml><?xml version="1.0" encoding="utf-8"?>
<x:worksheet xmlns:x="http://schemas.openxmlformats.org/spreadsheetml/2006/main">
  <x:sheetFormatPr defaultRowHeight="14.25"/>
  <x:sheetData>
    <x:row r="1">
      <x:c r="A1" t="s">
        <x:v>19</x:v>
      </x:c>
      <x:c r="B1" t="s">
        <x:v>21</x:v>
      </x:c>
      <x:c r="C1" t="s">
        <x:v>22</x:v>
      </x:c>
      <x:c r="D1" t="s">
        <x:v>169</x:v>
      </x:c>
      <x:c r="E1" t="s">
        <x:v>84</x:v>
      </x:c>
      <x:c r="F1" t="s">
        <x:v>82</x:v>
      </x:c>
      <x:c r="G1" t="s">
        <x:v>1173</x:v>
      </x:c>
      <x:c r="H1" t="s">
        <x:v>83</x:v>
      </x:c>
      <x:c r="I1" s="46" t="str">
        <x:v>JobChangeTypeName</x:v>
      </x:c>
      <x:c r="J1" s="46" t="str">
        <x:v>TargetT1_Hrs</x:v>
      </x:c>
      <x:c r="K1" s="46" t="str">
        <x:v>TargetT2_Hrs</x:v>
      </x:c>
      <x:c r="L1" s="46" t="str">
        <x:v>ProductLineKey</x:v>
      </x:c>
      <x:c r="M1" s="46" t="str">
        <x:v>ProductLineCapabilityID</x:v>
      </x:c>
      <x:c r="N1" s="46" t="str">
        <x:v>MaxSectionsAllowed</x:v>
      </x:c>
      <x:c r="O1" s="46" t="str">
        <x:v>MaxCavitiesAllowed</x:v>
      </x:c>
      <x:c r="P1" s="46" t="str">
        <x:v>MinCyclesPerMin</x:v>
      </x:c>
      <x:c r="Q1" s="46" t="str">
        <x:v>MaxCyclesPerMin</x:v>
      </x:c>
      <x:c r="R1" s="46" t="str">
        <x:v>PLCReviewStatus</x:v>
      </x:c>
      <x:c r="S1" s="46" t="str">
        <x:v>RootCauseCode</x:v>
      </x:c>
      <x:c r="T1" s="46" t="str">
        <x:v>DepartmentCode</x:v>
      </x:c>
      <x:c r="U1" s="46" t="str">
        <x:v>ActionStatusCode</x:v>
      </x:c>
      <x:c r="V1" s="46" t="str">
        <x:v>LossTypeCode</x:v>
      </x:c>
      <x:c r="W1" s="46" t="str">
        <x:v>MachineCode</x:v>
      </x:c>
      <x:c r="X1" s="46" t="str">
        <x:v>OrderNumberRef</x:v>
      </x:c>
      <x:c r="Y1" s="46" t="str">
        <x:v>ProductCodeRef</x:v>
      </x:c>
      <x:c r="Z1" s="46" t="str">
        <x:v>RecordStatus</x:v>
      </x:c>
    </x:row>
    <x:row r="2">
      <x:c r="A2">
        <x:v>21</x:v>
      </x:c>
      <x:c r="B2" t="s">
        <x:v>45</x:v>
      </x:c>
      <x:c r="C2" t="s">
        <x:v>46</x:v>
      </x:c>
      <x:c r="D2" t="s">
        <x:v>47</x:v>
      </x:c>
      <x:c r="E2" t="s">
        <x:v>106</x:v>
      </x:c>
      <x:c r="F2" t="s">
        <x:v>104</x:v>
      </x:c>
      <x:c r="G2">
        <x:v>0</x:v>
      </x:c>
      <x:c r="H2" t="s">
        <x:v>105</x:v>
      </x:c>
      <x:c r="I2" t="str">
        <x:v>Small</x:v>
      </x:c>
      <x:c r="J2" t="n">
        <x:v>1.5</x:v>
      </x:c>
      <x:c r="K2" t="n">
        <x:v>0.5</x:v>
      </x:c>
      <x:c r="L2" t="str">
        <x:v>PRD-BOT-500|22</x:v>
      </x:c>
      <x:c r="M2" t="str">
        <x:v>PLC-PRD-BOT-500-L22</x:v>
      </x:c>
      <x:c r="N2" t="n">
        <x:v>10</x:v>
      </x:c>
      <x:c r="O2" t="n">
        <x:v>3</x:v>
      </x:c>
      <x:c r="P2" t="n">
        <x:v>12</x:v>
      </x:c>
      <x:c r="Q2" t="n">
        <x:v>14</x:v>
      </x:c>
      <x:c r="R2" t="str">
        <x:v>ReviewRequired</x:v>
      </x:c>
      <x:c r="S2" t="str">
        <x:v>RC_SETUP</x:v>
      </x:c>
      <x:c r="T2" t="str">
        <x:v>DEP_PROD</x:v>
      </x:c>
      <x:c r="U2" t="str">
        <x:v>ACT_OPEN</x:v>
      </x:c>
      <x:c r="V2" t="str">
        <x:v>JC_T1</x:v>
      </x:c>
      <x:c r="W2" t="str">
        <x:v>M21</x:v>
      </x:c>
      <x:c r="X2" t="str">
        <x:v>ORD-2025-00019</x:v>
      </x:c>
      <x:c r="Y2" t="str">
        <x:v>PRD-JAR-330</x:v>
      </x:c>
      <x:c r="Z2" t="str">
        <x:v>Active</x:v>
      </x:c>
    </x:row>
    <x:row r="3">
      <x:c r="A3">
        <x:v>22</x:v>
      </x:c>
      <x:c r="B3" t="s">
        <x:v>187</x:v>
      </x:c>
      <x:c r="C3" t="s">
        <x:v>51</x:v>
      </x:c>
      <x:c r="D3" t="s">
        <x:v>48</x:v>
      </x:c>
      <x:c r="E3" t="s">
        <x:v>1174</x:v>
      </x:c>
      <x:c r="F3" t="s">
        <x:v>110</x:v>
      </x:c>
      <x:c r="G3">
        <x:v>1</x:v>
      </x:c>
      <x:c r="H3" t="s">
        <x:v>1175</x:v>
      </x:c>
      <x:c r="I3" t="str">
        <x:v>Medium</x:v>
      </x:c>
      <x:c r="J3" t="n">
        <x:v>3</x:v>
      </x:c>
      <x:c r="K3" t="n">
        <x:v>1</x:v>
      </x:c>
      <x:c r="L3" t="str">
        <x:v>PRD-BOT-500|24</x:v>
      </x:c>
      <x:c r="M3" t="str">
        <x:v>PLC-PRD-BOT-500-L24</x:v>
      </x:c>
      <x:c r="N3" t="n">
        <x:v>12</x:v>
      </x:c>
      <x:c r="O3" t="n">
        <x:v>3</x:v>
      </x:c>
      <x:c r="P3" t="n">
        <x:v>13</x:v>
      </x:c>
      <x:c r="Q3" t="n">
        <x:v>13</x:v>
      </x:c>
      <x:c r="R3" t="str">
        <x:v>ReviewRequired</x:v>
      </x:c>
      <x:c r="S3" t="str">
        <x:v>RC_MECH</x:v>
      </x:c>
      <x:c r="T3" t="str">
        <x:v>DEP_FORM</x:v>
      </x:c>
      <x:c r="U3" t="str">
        <x:v>ACT_PROGRESS</x:v>
      </x:c>
      <x:c r="V3" t="str">
        <x:v>JC_T2</x:v>
      </x:c>
      <x:c r="W3" t="str">
        <x:v>M22</x:v>
      </x:c>
      <x:c r="X3" t="str">
        <x:v>ORD-2025-00020</x:v>
      </x:c>
      <x:c r="Y3" t="str">
        <x:v>PRD-JAR-720</x:v>
      </x:c>
      <x:c r="Z3" t="str">
        <x:v>Inactive</x:v>
      </x:c>
    </x:row>
    <x:row r="4">
      <x:c r="A4">
        <x:v>23</x:v>
      </x:c>
      <x:c r="C4" t="s">
        <x:v>55</x:v>
      </x:c>
      <x:c r="D4" t="s">
        <x:v>52</x:v>
      </x:c>
      <x:c r="E4" t="s">
        <x:v>1176</x:v>
      </x:c>
      <x:c r="F4" t="s">
        <x:v>112</x:v>
      </x:c>
      <x:c r="H4" t="s">
        <x:v>1177</x:v>
      </x:c>
      <x:c r="I4" t="str">
        <x:v>Big</x:v>
      </x:c>
      <x:c r="J4" t="n">
        <x:v>6</x:v>
      </x:c>
      <x:c r="K4" t="n">
        <x:v>2</x:v>
      </x:c>
      <x:c r="L4" t="str">
        <x:v>PRD-JAR-330|21</x:v>
      </x:c>
      <x:c r="M4" t="str">
        <x:v>PLC-PRD-JAR-330-L21</x:v>
      </x:c>
      <x:c r="N4" t="n">
        <x:v>10</x:v>
      </x:c>
      <x:c r="O4" t="n">
        <x:v>3</x:v>
      </x:c>
      <x:c r="P4" t="n">
        <x:v>11</x:v>
      </x:c>
      <x:c r="Q4" t="n">
        <x:v>13</x:v>
      </x:c>
      <x:c r="R4" t="str">
        <x:v>BaselineObserved</x:v>
      </x:c>
      <x:c r="S4" t="str">
        <x:v>RC_PROCESS</x:v>
      </x:c>
      <x:c r="T4" t="str">
        <x:v>DEP_HE</x:v>
      </x:c>
      <x:c r="U4" t="str">
        <x:v>ACT_MONITOR</x:v>
      </x:c>
      <x:c r="V4" t="str">
        <x:v>JC_TRIAL</x:v>
      </x:c>
      <x:c r="W4" t="str">
        <x:v>M23</x:v>
      </x:c>
      <x:c r="X4" t="str">
        <x:v>ORD-2025-00021</x:v>
      </x:c>
      <x:c r="Y4" t="str">
        <x:v>PRD-JAR-330</x:v>
      </x:c>
      <x:c r="Z4" t="str">
        <x:v>Archived</x:v>
      </x:c>
    </x:row>
    <x:row r="5">
      <x:c r="A5">
        <x:v>24</x:v>
      </x:c>
      <x:c r="D5" t="s">
        <x:v>56</x:v>
      </x:c>
      <x:c r="F5" t="s">
        <x:v>119</x:v>
      </x:c>
      <x:c r="H5" t="s">
        <x:v>1178</x:v>
      </x:c>
      <x:c r="I5" t="str">
        <x:v>Process</x:v>
      </x:c>
      <x:c r="J5" t="n">
        <x:v>8</x:v>
      </x:c>
      <x:c r="K5" t="n">
        <x:v>3</x:v>
      </x:c>
      <x:c r="L5" t="str">
        <x:v>PRD-JAR-330|23</x:v>
      </x:c>
      <x:c r="M5" t="str">
        <x:v>PLC-PRD-JAR-330-L23</x:v>
      </x:c>
      <x:c r="N5" t="n">
        <x:v>12</x:v>
      </x:c>
      <x:c r="O5" t="n">
        <x:v>3</x:v>
      </x:c>
      <x:c r="P5" t="n">
        <x:v>11</x:v>
      </x:c>
      <x:c r="Q5" t="n">
        <x:v>13</x:v>
      </x:c>
      <x:c r="R5" t="str">
        <x:v>BaselineObserved</x:v>
      </x:c>
      <x:c r="S5" t="str">
        <x:v>RC_MATERIAL</x:v>
      </x:c>
      <x:c r="T5" t="str">
        <x:v>DEP_CE</x:v>
      </x:c>
      <x:c r="U5" t="str">
        <x:v>ACT_CLOSED</x:v>
      </x:c>
      <x:c r="V5" t="str">
        <x:v>JC_HE</x:v>
      </x:c>
      <x:c r="W5" t="str">
        <x:v>M24</x:v>
      </x:c>
      <x:c r="X5" t="str">
        <x:v>ORD-2025-00055</x:v>
      </x:c>
      <x:c r="Y5" t="str">
        <x:v>PRD-BOT-500</x:v>
      </x:c>
    </x:row>
    <x:row r="6">
      <x:c r="A6">
        <x:v>25</x:v>
      </x:c>
      <x:c r="D6" t="s">
        <x:v>57</x:v>
      </x:c>
      <x:c r="F6" t="s">
        <x:v>148</x:v>
      </x:c>
      <x:c r="H6" t="s">
        <x:v>1179</x:v>
      </x:c>
      <x:c r="L6" t="str">
        <x:v>PRD-JAR-330|24</x:v>
      </x:c>
      <x:c r="M6" t="str">
        <x:v>PLC-PRD-JAR-330-L24</x:v>
      </x:c>
      <x:c r="N6" t="n">
        <x:v>12</x:v>
      </x:c>
      <x:c r="O6" t="n">
        <x:v>3</x:v>
      </x:c>
      <x:c r="P6" t="n">
        <x:v>11</x:v>
      </x:c>
      <x:c r="Q6" t="n">
        <x:v>13</x:v>
      </x:c>
      <x:c r="R6" t="str">
        <x:v>BaselineObserved</x:v>
      </x:c>
      <x:c r="S6" t="str">
        <x:v>RC_HANDLING</x:v>
      </x:c>
      <x:c r="T6" t="str">
        <x:v>DEP_MAINT</x:v>
      </x:c>
      <x:c r="U6" t="str">
        <x:v>ACT_CANCELLED</x:v>
      </x:c>
      <x:c r="V6" t="str">
        <x:v>JC_CE</x:v>
      </x:c>
      <x:c r="W6" t="str">
        <x:v>M25</x:v>
      </x:c>
      <x:c r="X6" t="str">
        <x:v>ORD-2025-00056</x:v>
      </x:c>
      <x:c r="Y6" t="str">
        <x:v>PRD-JAR-720</x:v>
      </x:c>
    </x:row>
    <x:row r="7">
      <x:c r="D7" t="s">
        <x:v>61</x:v>
      </x:c>
      <x:c r="F7" t="s">
        <x:v>127</x:v>
      </x:c>
      <x:c r="H7" t="s">
        <x:v>1180</x:v>
      </x:c>
      <x:c r="L7" t="str">
        <x:v>PRD-JAR-330|25</x:v>
      </x:c>
      <x:c r="M7" t="str">
        <x:v>PLC-PRD-JAR-330-L25</x:v>
      </x:c>
      <x:c r="N7" t="n">
        <x:v>8</x:v>
      </x:c>
      <x:c r="O7" t="n">
        <x:v>3</x:v>
      </x:c>
      <x:c r="P7" t="n">
        <x:v>11</x:v>
      </x:c>
      <x:c r="Q7" t="n">
        <x:v>12</x:v>
      </x:c>
      <x:c r="R7" t="str">
        <x:v>BaselineObserved</x:v>
      </x:c>
      <x:c r="S7" t="str">
        <x:v>RC_QUALITY</x:v>
      </x:c>
      <x:c r="T7" t="str">
        <x:v>DEP_QUAL</x:v>
      </x:c>
      <x:c r="V7" t="str">
        <x:v>JC_PALLETIZER</x:v>
      </x:c>
      <x:c r="X7" t="str">
        <x:v>ORD-2025-00057</x:v>
      </x:c>
      <x:c r="Y7" t="str">
        <x:v>PRD-JAR-720</x:v>
      </x:c>
    </x:row>
    <x:row r="8">
      <x:c r="D8" t="s">
        <x:v>62</x:v>
      </x:c>
      <x:c r="H8" t="s">
        <x:v>1181</x:v>
      </x:c>
      <x:c r="L8" t="str">
        <x:v>PRD-JAR-720|21</x:v>
      </x:c>
      <x:c r="M8" t="str">
        <x:v>PLC-PRD-JAR-720-L21</x:v>
      </x:c>
      <x:c r="N8" t="n">
        <x:v>10</x:v>
      </x:c>
      <x:c r="O8" t="n">
        <x:v>2</x:v>
      </x:c>
      <x:c r="P8" t="n">
        <x:v>9</x:v>
      </x:c>
      <x:c r="Q8" t="n">
        <x:v>11</x:v>
      </x:c>
      <x:c r="R8" t="str">
        <x:v>BaselineObserved</x:v>
      </x:c>
      <x:c r="S8" t="str">
        <x:v>RC_UTILITY</x:v>
      </x:c>
      <x:c r="T8" t="str">
        <x:v>DEP_ENG</x:v>
      </x:c>
      <x:c r="X8" t="str">
        <x:v>ORD-2025-00058</x:v>
      </x:c>
      <x:c r="Y8" t="str">
        <x:v>PRD-BOT-500</x:v>
      </x:c>
    </x:row>
    <x:row r="9">
      <x:c r="D9" t="s">
        <x:v>64</x:v>
      </x:c>
      <x:c r="H9" t="s">
        <x:v>1182</x:v>
      </x:c>
      <x:c r="L9" t="str">
        <x:v>PRD-JAR-720|22</x:v>
      </x:c>
      <x:c r="M9" t="str">
        <x:v>PLC-PRD-JAR-720-L22</x:v>
      </x:c>
      <x:c r="N9" t="n">
        <x:v>10</x:v>
      </x:c>
      <x:c r="O9" t="n">
        <x:v>2</x:v>
      </x:c>
      <x:c r="P9" t="n">
        <x:v>9</x:v>
      </x:c>
      <x:c r="Q9" t="n">
        <x:v>11</x:v>
      </x:c>
      <x:c r="R9" t="str">
        <x:v>BaselineObserved</x:v>
      </x:c>
      <x:c r="S9" t="str">
        <x:v>RC_UNKNOWN</x:v>
      </x:c>
      <x:c r="T9" t="str">
        <x:v>DEP_LOG</x:v>
      </x:c>
      <x:c r="X9" t="str">
        <x:v>ORD-2025-00092</x:v>
      </x:c>
      <x:c r="Y9" t="str">
        <x:v>PRD-JAR-330</x:v>
      </x:c>
    </x:row>
    <x:row r="10">
      <x:c r="D10" t="s">
        <x:v>65</x:v>
      </x:c>
      <x:c r="H10" t="s">
        <x:v>1183</x:v>
      </x:c>
      <x:c r="L10" t="str">
        <x:v>PRD-JAR-720|23</x:v>
      </x:c>
      <x:c r="M10" t="str">
        <x:v>PLC-PRD-JAR-720-L23</x:v>
      </x:c>
      <x:c r="N10" t="n">
        <x:v>12</x:v>
      </x:c>
      <x:c r="O10" t="n">
        <x:v>2</x:v>
      </x:c>
      <x:c r="P10" t="n">
        <x:v>9</x:v>
      </x:c>
      <x:c r="Q10" t="n">
        <x:v>11</x:v>
      </x:c>
      <x:c r="R10" t="str">
        <x:v>BaselineObserved</x:v>
      </x:c>
      <x:c r="X10" t="str">
        <x:v>ORD-2025-00093</x:v>
      </x:c>
      <x:c r="Y10" t="str">
        <x:v>PRD-JAR-720</x:v>
      </x:c>
    </x:row>
    <x:row r="11">
      <x:c r="D11" t="s">
        <x:v>67</x:v>
      </x:c>
      <x:c r="H11" t="s">
        <x:v>1184</x:v>
      </x:c>
      <x:c r="L11" t="str">
        <x:v>PRD-JAR-720|24</x:v>
      </x:c>
      <x:c r="M11" t="str">
        <x:v>PLC-PRD-JAR-720-L24</x:v>
      </x:c>
      <x:c r="N11" t="n">
        <x:v>12</x:v>
      </x:c>
      <x:c r="O11" t="n">
        <x:v>2</x:v>
      </x:c>
      <x:c r="P11" t="n">
        <x:v>9</x:v>
      </x:c>
      <x:c r="Q11" t="n">
        <x:v>11</x:v>
      </x:c>
      <x:c r="R11" t="str">
        <x:v>BaselineObserved</x:v>
      </x:c>
      <x:c r="X11" t="str">
        <x:v>ORD-2025-00094</x:v>
      </x:c>
      <x:c r="Y11" t="str">
        <x:v>PRD-JAR-720</x:v>
      </x:c>
    </x:row>
    <x:row r="12">
      <x:c r="D12" t="s">
        <x:v>72</x:v>
      </x:c>
      <x:c r="H12" t="s">
        <x:v>1185</x:v>
      </x:c>
      <x:c r="L12" t="str">
        <x:v>PRD-JAR-720|25</x:v>
      </x:c>
      <x:c r="M12" t="str">
        <x:v>PLC-PRD-JAR-720-L25</x:v>
      </x:c>
      <x:c r="N12" t="n">
        <x:v>8</x:v>
      </x:c>
      <x:c r="O12" t="n">
        <x:v>2</x:v>
      </x:c>
      <x:c r="P12" t="n">
        <x:v>9</x:v>
      </x:c>
      <x:c r="Q12" t="n">
        <x:v>10</x:v>
      </x:c>
      <x:c r="R12" t="str">
        <x:v>BaselineObserved</x:v>
      </x:c>
      <x:c r="X12" t="str">
        <x:v>ORD-2025-00124</x:v>
      </x:c>
      <x:c r="Y12" t="str">
        <x:v>PRD-BOT-500</x:v>
      </x:c>
    </x:row>
    <x:row r="13">
      <x:c r="D13" t="s">
        <x:v>73</x:v>
      </x:c>
      <x:c r="H13" t="s">
        <x:v>1186</x:v>
      </x:c>
      <x:c r="X13" t="str">
        <x:v>ORD-2025-00125</x:v>
      </x:c>
      <x:c r="Y13" t="str">
        <x:v>PRD-JAR-330</x:v>
      </x:c>
    </x:row>
    <x:row r="14">
      <x:c r="D14" t="s">
        <x:v>74</x:v>
      </x:c>
      <x:c r="H14" t="s">
        <x:v>1187</x:v>
      </x:c>
      <x:c r="X14" t="str">
        <x:v>ORD-2025-00126</x:v>
      </x:c>
      <x:c r="Y14" t="str">
        <x:v>PRD-JAR-720</x:v>
      </x:c>
    </x:row>
    <x:row r="15">
      <x:c r="D15" t="s">
        <x:v>76</x:v>
      </x:c>
      <x:c r="H15" t="s">
        <x:v>1188</x:v>
      </x:c>
      <x:c r="X15" t="str">
        <x:v>ORD-2025-00161</x:v>
      </x:c>
      <x:c r="Y15" t="str">
        <x:v>PRD-JAR-720</x:v>
      </x:c>
    </x:row>
    <x:row r="16">
      <x:c r="D16" t="s">
        <x:v>77</x:v>
      </x:c>
      <x:c r="H16" t="s">
        <x:v>1189</x:v>
      </x:c>
      <x:c r="X16" t="str">
        <x:v>ORD-2025-00162</x:v>
      </x:c>
      <x:c r="Y16" t="str">
        <x:v>PRD-JAR-330</x:v>
      </x:c>
    </x:row>
    <x:row r="17">
      <x:c r="H17" t="s">
        <x:v>1190</x:v>
      </x:c>
    </x:row>
    <x:row r="18">
      <x:c r="H18" t="s">
        <x:v>1191</x:v>
      </x:c>
    </x:row>
    <x:row r="19">
      <x:c r="H19" t="s">
        <x:v>1192</x:v>
      </x:c>
    </x:row>
    <x:row r="20">
      <x:c r="H20" t="s">
        <x:v>1193</x:v>
      </x:c>
    </x:row>
    <x:row r="21">
      <x:c r="H21" t="s">
        <x:v>1194</x:v>
      </x:c>
    </x:row>
    <x:row r="22">
      <x:c r="H22" t="s">
        <x:v>1195</x:v>
      </x:c>
    </x:row>
    <x:row r="23">
      <x:c r="H23" t="s">
        <x:v>1196</x:v>
      </x:c>
    </x:row>
    <x:row r="24">
      <x:c r="H24" t="s">
        <x:v>1197</x:v>
      </x:c>
    </x:row>
    <x:row r="25">
      <x:c r="H25" t="s">
        <x:v>1198</x:v>
      </x:c>
    </x:row>
    <x:row r="26">
      <x:c r="H26" t="s">
        <x:v>1199</x:v>
      </x:c>
    </x:row>
    <x:row r="27">
      <x:c r="H27" t="s">
        <x:v>1200</x:v>
      </x:c>
    </x:row>
    <x:row r="28">
      <x:c r="H28" t="s">
        <x:v>1201</x:v>
      </x:c>
    </x:row>
    <x:row r="29">
      <x:c r="H29" t="s">
        <x:v>1202</x:v>
      </x:c>
    </x:row>
    <x:row r="30">
      <x:c r="H30" t="s">
        <x:v>1203</x:v>
      </x:c>
    </x:row>
    <x:row r="31">
      <x:c r="H31" t="s">
        <x:v>1204</x:v>
      </x:c>
    </x:row>
    <x:row r="32">
      <x:c r="H32" t="s">
        <x:v>1205</x:v>
      </x:c>
    </x:row>
    <x:row r="33">
      <x:c r="H33" t="s">
        <x:v>1206</x:v>
      </x:c>
    </x:row>
    <x:row r="34">
      <x:c r="H34" t="s">
        <x:v>1207</x:v>
      </x:c>
    </x:row>
    <x:row r="35">
      <x:c r="H35" t="s">
        <x:v>1208</x:v>
      </x:c>
    </x:row>
    <x:row r="36">
      <x:c r="H36" t="s">
        <x:v>1209</x:v>
      </x:c>
    </x:row>
    <x:row r="37">
      <x:c r="H37" t="s">
        <x:v>1210</x:v>
      </x:c>
    </x:row>
    <x:row r="38">
      <x:c r="H38" t="s">
        <x:v>1211</x:v>
      </x:c>
    </x:row>
    <x:row r="39">
      <x:c r="H39" t="s">
        <x:v>1212</x:v>
      </x:c>
    </x:row>
    <x:row r="40">
      <x:c r="H40" t="s">
        <x:v>1213</x:v>
      </x:c>
    </x:row>
    <x:row r="41">
      <x:c r="H41" t="s">
        <x:v>1214</x:v>
      </x:c>
    </x:row>
    <x:row r="42">
      <x:c r="H42" t="s">
        <x:v>1215</x:v>
      </x:c>
    </x:row>
    <x:row r="43">
      <x:c r="H43" t="s">
        <x:v>1216</x:v>
      </x:c>
    </x:row>
    <x:row r="44">
      <x:c r="H44" t="s">
        <x:v>1217</x:v>
      </x:c>
    </x:row>
    <x:row r="45">
      <x:c r="H45" t="s">
        <x:v>1218</x:v>
      </x:c>
    </x:row>
    <x:row r="46">
      <x:c r="H46" t="s">
        <x:v>1219</x:v>
      </x:c>
    </x:row>
    <x:row r="47">
      <x:c r="H47" t="s">
        <x:v>1220</x:v>
      </x:c>
    </x:row>
    <x:row r="48">
      <x:c r="H48" t="s">
        <x:v>1221</x:v>
      </x:c>
    </x:row>
    <x:row r="49">
      <x:c r="H49" t="s">
        <x:v>1222</x:v>
      </x:c>
    </x:row>
    <x:row r="50">
      <x:c r="H50" t="s">
        <x:v>1223</x:v>
      </x:c>
    </x:row>
    <x:row r="51">
      <x:c r="H51" t="s">
        <x:v>1224</x:v>
      </x:c>
    </x:row>
    <x:row r="52">
      <x:c r="H52" t="s">
        <x:v>1225</x:v>
      </x:c>
    </x:row>
    <x:row r="53">
      <x:c r="H53" t="s">
        <x:v>1226</x:v>
      </x:c>
    </x:row>
    <x:row r="54">
      <x:c r="H54" t="s">
        <x:v>1227</x:v>
      </x:c>
    </x:row>
    <x:row r="55">
      <x:c r="H55" t="s">
        <x:v>123</x:v>
      </x:c>
    </x:row>
    <x:row r="56">
      <x:c r="H56" t="s">
        <x:v>1228</x:v>
      </x:c>
    </x:row>
    <x:row r="57">
      <x:c r="H57" t="s">
        <x:v>1229</x:v>
      </x:c>
    </x:row>
    <x:row r="58">
      <x:c r="H58" t="s">
        <x:v>1230</x:v>
      </x:c>
    </x:row>
    <x:row r="59">
      <x:c r="H59" t="s">
        <x:v>1231</x:v>
      </x:c>
    </x:row>
    <x:row r="60">
      <x:c r="H60" t="s">
        <x:v>1232</x:v>
      </x:c>
    </x:row>
    <x:row r="61">
      <x:c r="H61" t="s">
        <x:v>1233</x:v>
      </x:c>
    </x:row>
    <x:row r="62">
      <x:c r="H62" t="s">
        <x:v>1234</x:v>
      </x:c>
    </x:row>
    <x:row r="63">
      <x:c r="H63" t="s">
        <x:v>1235</x:v>
      </x:c>
    </x:row>
    <x:row r="64">
      <x:c r="H64" t="s">
        <x:v>1236</x:v>
      </x:c>
    </x:row>
    <x:row r="65">
      <x:c r="H65" t="s">
        <x:v>1237</x:v>
      </x:c>
    </x:row>
    <x:row r="66">
      <x:c r="H66" t="s">
        <x:v>1238</x:v>
      </x:c>
    </x:row>
    <x:row r="67">
      <x:c r="H67" t="s">
        <x:v>1239</x:v>
      </x:c>
    </x:row>
    <x:row r="68">
      <x:c r="H68" t="s">
        <x:v>1240</x:v>
      </x:c>
    </x:row>
    <x:row r="69">
      <x:c r="H69" t="s">
        <x:v>1241</x:v>
      </x:c>
    </x:row>
    <x:row r="70">
      <x:c r="H70" t="s">
        <x:v>1242</x:v>
      </x:c>
    </x:row>
    <x:row r="71">
      <x:c r="H71" t="s">
        <x:v>1243</x:v>
      </x:c>
    </x:row>
    <x:row r="72">
      <x:c r="H72" t="s">
        <x:v>1244</x:v>
      </x:c>
    </x:row>
    <x:row r="73">
      <x:c r="H73" t="s">
        <x:v>1245</x:v>
      </x:c>
    </x:row>
    <x:row r="74">
      <x:c r="H74" t="s">
        <x:v>1246</x:v>
      </x:c>
    </x:row>
    <x:row r="75">
      <x:c r="H75" t="s">
        <x:v>1247</x:v>
      </x:c>
    </x:row>
    <x:row r="76">
      <x:c r="H76" t="s">
        <x:v>1248</x:v>
      </x:c>
    </x:row>
    <x:row r="77">
      <x:c r="H77" t="s">
        <x:v>1249</x:v>
      </x:c>
    </x:row>
    <x:row r="78">
      <x:c r="H78" t="s">
        <x:v>1250</x:v>
      </x:c>
    </x:row>
    <x:row r="79">
      <x:c r="H79" t="s">
        <x:v>1251</x:v>
      </x:c>
    </x:row>
    <x:row r="80">
      <x:c r="H80" t="s">
        <x:v>1252</x:v>
      </x:c>
    </x:row>
    <x:row r="81">
      <x:c r="H81" t="s">
        <x:v>1253</x:v>
      </x:c>
    </x:row>
    <x:row r="82">
      <x:c r="H82" t="s">
        <x:v>1254</x:v>
      </x:c>
    </x:row>
    <x:row r="83">
      <x:c r="H83" t="s">
        <x:v>1255</x:v>
      </x:c>
    </x:row>
    <x:row r="84">
      <x:c r="H84" t="s">
        <x:v>1256</x:v>
      </x:c>
    </x:row>
    <x:row r="85">
      <x:c r="H85" t="s">
        <x:v>1257</x:v>
      </x:c>
    </x:row>
    <x:row r="86">
      <x:c r="H86" t="s">
        <x:v>1258</x:v>
      </x:c>
    </x:row>
    <x:row r="87">
      <x:c r="H87" t="s">
        <x:v>1259</x:v>
      </x:c>
    </x:row>
    <x:row r="88">
      <x:c r="H88" t="s">
        <x:v>1260</x:v>
      </x:c>
    </x:row>
    <x:row r="89">
      <x:c r="H89" t="s">
        <x:v>1261</x:v>
      </x:c>
    </x:row>
    <x:row r="90">
      <x:c r="H90" t="s">
        <x:v>1262</x:v>
      </x:c>
    </x:row>
    <x:row r="91">
      <x:c r="H91" t="s">
        <x:v>1263</x:v>
      </x:c>
    </x:row>
    <x:row r="92">
      <x:c r="H92" t="s">
        <x:v>1264</x:v>
      </x:c>
    </x:row>
    <x:row r="93">
      <x:c r="H93" t="s">
        <x:v>1265</x:v>
      </x:c>
    </x:row>
    <x:row r="94">
      <x:c r="H94" t="s">
        <x:v>1266</x:v>
      </x:c>
    </x:row>
    <x:row r="95">
      <x:c r="H95" t="s">
        <x:v>1267</x:v>
      </x:c>
    </x:row>
    <x:row r="96">
      <x:c r="H96" t="s">
        <x:v>1268</x:v>
      </x:c>
    </x:row>
    <x:row r="97">
      <x:c r="H97" t="s">
        <x:v>1269</x:v>
      </x:c>
    </x:row>
    <x:row r="98">
      <x:c r="H98" t="s">
        <x:v>1270</x:v>
      </x:c>
    </x:row>
    <x:row r="99">
      <x:c r="H99" t="s">
        <x:v>1271</x:v>
      </x:c>
    </x:row>
    <x:row r="100">
      <x:c r="H100" t="s">
        <x:v>1272</x:v>
      </x:c>
    </x:row>
    <x:row r="101">
      <x:c r="H101" t="s">
        <x:v>1273</x:v>
      </x:c>
    </x:row>
    <x:row r="102">
      <x:c r="H102" t="s">
        <x:v>1274</x:v>
      </x:c>
    </x:row>
    <x:row r="103">
      <x:c r="H103" t="s">
        <x:v>1275</x:v>
      </x:c>
    </x:row>
    <x:row r="104">
      <x:c r="H104" t="s">
        <x:v>1276</x:v>
      </x:c>
    </x:row>
    <x:row r="105">
      <x:c r="H105" t="s">
        <x:v>1277</x:v>
      </x:c>
    </x:row>
    <x:row r="106">
      <x:c r="H106" t="s">
        <x:v>1278</x:v>
      </x:c>
    </x:row>
    <x:row r="107">
      <x:c r="H107" t="s">
        <x:v>1279</x:v>
      </x:c>
    </x:row>
    <x:row r="108">
      <x:c r="H108" t="s">
        <x:v>137</x:v>
      </x:c>
    </x:row>
    <x:row r="109">
      <x:c r="H109" t="s">
        <x:v>1280</x:v>
      </x:c>
    </x:row>
    <x:row r="110">
      <x:c r="H110" t="s">
        <x:v>1281</x:v>
      </x:c>
    </x:row>
    <x:row r="111">
      <x:c r="H111" t="s">
        <x:v>1282</x:v>
      </x:c>
    </x:row>
    <x:row r="112">
      <x:c r="H112" t="s">
        <x:v>1283</x:v>
      </x:c>
    </x:row>
    <x:row r="113">
      <x:c r="H113" t="s">
        <x:v>1284</x:v>
      </x:c>
    </x:row>
    <x:row r="114">
      <x:c r="H114" t="s">
        <x:v>1285</x:v>
      </x:c>
    </x:row>
    <x:row r="115">
      <x:c r="H115" t="s">
        <x:v>1286</x:v>
      </x:c>
    </x:row>
    <x:row r="116">
      <x:c r="H116" t="s">
        <x:v>1287</x:v>
      </x:c>
    </x:row>
    <x:row r="117">
      <x:c r="H117" t="s">
        <x:v>1288</x:v>
      </x:c>
    </x:row>
    <x:row r="118">
      <x:c r="H118" t="s">
        <x:v>1289</x:v>
      </x:c>
    </x:row>
    <x:row r="119">
      <x:c r="H119" t="s">
        <x:v>1290</x:v>
      </x:c>
    </x:row>
    <x:row r="120">
      <x:c r="H120" t="s">
        <x:v>1291</x:v>
      </x:c>
    </x:row>
    <x:row r="121">
      <x:c r="H121" t="s">
        <x:v>1292</x:v>
      </x:c>
    </x:row>
    <x:row r="122">
      <x:c r="H122" t="s">
        <x:v>1293</x:v>
      </x:c>
    </x:row>
    <x:row r="123">
      <x:c r="H123" t="s">
        <x:v>1294</x:v>
      </x:c>
    </x:row>
    <x:row r="124">
      <x:c r="H124" t="s">
        <x:v>1295</x:v>
      </x:c>
    </x:row>
    <x:row r="125">
      <x:c r="H125" t="s">
        <x:v>1296</x:v>
      </x:c>
    </x:row>
    <x:row r="126">
      <x:c r="H126" t="s">
        <x:v>1297</x:v>
      </x:c>
    </x:row>
    <x:row r="127">
      <x:c r="H127" t="s">
        <x:v>1298</x:v>
      </x:c>
    </x:row>
    <x:row r="128">
      <x:c r="H128" t="s">
        <x:v>1299</x:v>
      </x:c>
    </x:row>
    <x:row r="129">
      <x:c r="H129" t="s">
        <x:v>1300</x:v>
      </x:c>
    </x:row>
    <x:row r="130">
      <x:c r="H130" t="s">
        <x:v>1301</x:v>
      </x:c>
    </x:row>
    <x:row r="131">
      <x:c r="H131" t="s">
        <x:v>1302</x:v>
      </x:c>
    </x:row>
    <x:row r="132">
      <x:c r="H132" t="s">
        <x:v>1303</x:v>
      </x:c>
    </x:row>
    <x:row r="133">
      <x:c r="H133" t="s">
        <x:v>1304</x:v>
      </x:c>
    </x:row>
    <x:row r="134">
      <x:c r="H134" t="s">
        <x:v>1305</x:v>
      </x:c>
    </x:row>
    <x:row r="135">
      <x:c r="H135" t="s">
        <x:v>1306</x:v>
      </x:c>
    </x:row>
    <x:row r="136">
      <x:c r="H136" t="s">
        <x:v>1307</x:v>
      </x:c>
    </x:row>
    <x:row r="137">
      <x:c r="H137" t="s">
        <x:v>1308</x:v>
      </x:c>
    </x:row>
    <x:row r="138">
      <x:c r="H138" t="s">
        <x:v>1309</x:v>
      </x:c>
    </x:row>
    <x:row r="139">
      <x:c r="H139" t="s">
        <x:v>1310</x:v>
      </x:c>
    </x:row>
    <x:row r="140">
      <x:c r="H140" t="s">
        <x:v>1311</x:v>
      </x:c>
    </x:row>
    <x:row r="141">
      <x:c r="H141" t="s">
        <x:v>1312</x:v>
      </x:c>
    </x:row>
    <x:row r="142">
      <x:c r="H142" t="s">
        <x:v>1313</x:v>
      </x:c>
    </x:row>
    <x:row r="143">
      <x:c r="H143" t="s">
        <x:v>1314</x:v>
      </x:c>
    </x:row>
    <x:row r="144">
      <x:c r="H144" t="s">
        <x:v>1315</x:v>
      </x:c>
    </x:row>
    <x:row r="145">
      <x:c r="H145" t="s">
        <x:v>1316</x:v>
      </x:c>
    </x:row>
    <x:row r="146">
      <x:c r="H146" t="s">
        <x:v>1317</x:v>
      </x:c>
    </x:row>
    <x:row r="147">
      <x:c r="H147" t="s">
        <x:v>1318</x:v>
      </x:c>
    </x:row>
    <x:row r="148">
      <x:c r="H148" t="s">
        <x:v>1319</x:v>
      </x:c>
    </x:row>
    <x:row r="149">
      <x:c r="H149" t="s">
        <x:v>1320</x:v>
      </x:c>
    </x:row>
    <x:row r="150">
      <x:c r="H150" t="s">
        <x:v>1321</x:v>
      </x:c>
    </x:row>
    <x:row r="151">
      <x:c r="H151" t="s">
        <x:v>1322</x:v>
      </x:c>
    </x:row>
    <x:row r="152">
      <x:c r="H152" t="s">
        <x:v>1323</x:v>
      </x:c>
    </x:row>
    <x:row r="153">
      <x:c r="H153" t="s">
        <x:v>1324</x:v>
      </x:c>
    </x:row>
    <x:row r="154">
      <x:c r="H154" t="s">
        <x:v>1325</x:v>
      </x:c>
    </x:row>
    <x:row r="155">
      <x:c r="H155" t="s">
        <x:v>1326</x:v>
      </x:c>
    </x:row>
    <x:row r="156">
      <x:c r="H156" t="s">
        <x:v>1327</x:v>
      </x:c>
    </x:row>
    <x:row r="157">
      <x:c r="H157" t="s">
        <x:v>1328</x:v>
      </x:c>
    </x:row>
    <x:row r="158">
      <x:c r="H158" t="s">
        <x:v>1329</x:v>
      </x:c>
    </x:row>
    <x:row r="159">
      <x:c r="H159" t="s">
        <x:v>1330</x:v>
      </x:c>
    </x:row>
    <x:row r="160">
      <x:c r="H160" t="s">
        <x:v>1331</x:v>
      </x:c>
    </x:row>
    <x:row r="161">
      <x:c r="H161" t="s">
        <x:v>152</x:v>
      </x:c>
    </x:row>
    <x:row r="162">
      <x:c r="H162" t="s">
        <x:v>1332</x:v>
      </x:c>
    </x:row>
    <x:row r="163">
      <x:c r="H163" t="s">
        <x:v>1333</x:v>
      </x:c>
    </x:row>
    <x:row r="164">
      <x:c r="H164" t="s">
        <x:v>1334</x:v>
      </x:c>
    </x:row>
    <x:row r="165">
      <x:c r="H165" t="s">
        <x:v>1335</x:v>
      </x:c>
    </x:row>
    <x:row r="166">
      <x:c r="H166" t="s">
        <x:v>1336</x:v>
      </x:c>
    </x:row>
    <x:row r="167">
      <x:c r="H167" t="s">
        <x:v>1337</x:v>
      </x:c>
    </x:row>
    <x:row r="168">
      <x:c r="H168" t="s">
        <x:v>1338</x:v>
      </x:c>
    </x:row>
    <x:row r="169">
      <x:c r="H169" t="s">
        <x:v>1339</x:v>
      </x:c>
    </x:row>
    <x:row r="170">
      <x:c r="H170" t="s">
        <x:v>1340</x:v>
      </x:c>
    </x:row>
    <x:row r="171">
      <x:c r="H171" t="s">
        <x:v>1341</x:v>
      </x:c>
    </x:row>
    <x:row r="172">
      <x:c r="H172" t="s">
        <x:v>1342</x:v>
      </x:c>
    </x:row>
    <x:row r="173">
      <x:c r="H173" t="s">
        <x:v>1343</x:v>
      </x:c>
    </x:row>
    <x:row r="174">
      <x:c r="H174" t="s">
        <x:v>1344</x:v>
      </x:c>
    </x:row>
    <x:row r="175">
      <x:c r="H175" t="s">
        <x:v>1345</x:v>
      </x:c>
    </x:row>
    <x:row r="176">
      <x:c r="H176" t="s">
        <x:v>1346</x:v>
      </x:c>
    </x:row>
    <x:row r="177">
      <x:c r="H177" t="s">
        <x:v>1347</x:v>
      </x:c>
    </x:row>
    <x:row r="178">
      <x:c r="H178" t="s">
        <x:v>1348</x:v>
      </x:c>
    </x:row>
    <x:row r="179">
      <x:c r="H179" t="s">
        <x:v>1349</x:v>
      </x:c>
    </x:row>
    <x:row r="180">
      <x:c r="H180" t="s">
        <x:v>1350</x:v>
      </x:c>
    </x:row>
    <x:row r="181">
      <x:c r="H181" t="s">
        <x:v>1351</x:v>
      </x:c>
    </x:row>
    <x:row r="182">
      <x:c r="H182" t="s">
        <x:v>1352</x:v>
      </x:c>
    </x:row>
    <x:row r="183">
      <x:c r="H183" t="s">
        <x:v>1353</x:v>
      </x:c>
    </x:row>
    <x:row r="184">
      <x:c r="H184" t="s">
        <x:v>1354</x:v>
      </x:c>
    </x:row>
    <x:row r="185">
      <x:c r="H185" t="s">
        <x:v>1355</x:v>
      </x:c>
    </x:row>
    <x:row r="186">
      <x:c r="H186" t="s">
        <x:v>1356</x:v>
      </x:c>
    </x:row>
    <x:row r="187">
      <x:c r="H187" t="s">
        <x:v>1357</x:v>
      </x:c>
    </x:row>
    <x:row r="188">
      <x:c r="H188" t="s">
        <x:v>1358</x:v>
      </x:c>
    </x:row>
    <x:row r="189">
      <x:c r="H189" t="s">
        <x:v>1359</x:v>
      </x:c>
    </x:row>
    <x:row r="190">
      <x:c r="H190" t="s">
        <x:v>1360</x:v>
      </x:c>
    </x:row>
    <x:row r="191">
      <x:c r="H191" t="s">
        <x:v>1361</x:v>
      </x:c>
    </x:row>
    <x:row r="192">
      <x:c r="H192" t="s">
        <x:v>1362</x:v>
      </x:c>
    </x:row>
    <x:row r="193">
      <x:c r="H193" t="s">
        <x:v>1363</x:v>
      </x:c>
    </x:row>
    <x:row r="194">
      <x:c r="H194" t="s">
        <x:v>1364</x:v>
      </x:c>
    </x:row>
    <x:row r="195">
      <x:c r="H195" t="s">
        <x:v>1365</x:v>
      </x:c>
    </x:row>
    <x:row r="196">
      <x:c r="H196" t="s">
        <x:v>1366</x:v>
      </x:c>
    </x:row>
    <x:row r="197">
      <x:c r="H197" t="s">
        <x:v>1367</x:v>
      </x:c>
    </x:row>
    <x:row r="198">
      <x:c r="H198" t="s">
        <x:v>1368</x:v>
      </x:c>
    </x:row>
    <x:row r="199">
      <x:c r="H199" t="s">
        <x:v>1369</x:v>
      </x:c>
    </x:row>
    <x:row r="200">
      <x:c r="H200" t="s">
        <x:v>1370</x:v>
      </x:c>
    </x:row>
    <x:row r="201">
      <x:c r="H201" t="s">
        <x:v>1371</x:v>
      </x:c>
    </x:row>
    <x:row r="202">
      <x:c r="H202" t="s">
        <x:v>1372</x:v>
      </x:c>
    </x:row>
    <x:row r="203">
      <x:c r="H203" t="s">
        <x:v>1373</x:v>
      </x:c>
    </x:row>
    <x:row r="204">
      <x:c r="H204" t="s">
        <x:v>1374</x:v>
      </x:c>
    </x:row>
    <x:row r="205">
      <x:c r="H205" t="s">
        <x:v>1375</x:v>
      </x:c>
    </x:row>
    <x:row r="206">
      <x:c r="H206" t="s">
        <x:v>1376</x:v>
      </x:c>
    </x:row>
    <x:row r="207">
      <x:c r="H207" t="s">
        <x:v>1377</x:v>
      </x:c>
    </x:row>
    <x:row r="208">
      <x:c r="H208" t="s">
        <x:v>1378</x:v>
      </x:c>
    </x:row>
    <x:row r="209">
      <x:c r="H209" t="s">
        <x:v>1379</x:v>
      </x:c>
    </x:row>
    <x:row r="210">
      <x:c r="H210" t="s">
        <x:v>1380</x:v>
      </x:c>
    </x:row>
    <x:row r="211">
      <x:c r="H211" t="s">
        <x:v>1381</x:v>
      </x:c>
    </x:row>
    <x:row r="212">
      <x:c r="H212" t="s">
        <x:v>1382</x:v>
      </x:c>
    </x:row>
    <x:row r="213">
      <x:c r="H213" t="s">
        <x:v>1383</x:v>
      </x:c>
    </x:row>
    <x:row r="214">
      <x:c r="H214" t="s">
        <x:v>163</x:v>
      </x:c>
    </x:row>
    <x:row r="215">
      <x:c r="H215" t="s">
        <x:v>1384</x:v>
      </x:c>
    </x:row>
    <x:row r="216">
      <x:c r="H216" t="s">
        <x:v>1385</x:v>
      </x:c>
    </x:row>
    <x:row r="217">
      <x:c r="H217" t="s">
        <x:v>1386</x:v>
      </x:c>
    </x:row>
    <x:row r="218">
      <x:c r="H218" t="s">
        <x:v>1387</x:v>
      </x:c>
    </x:row>
    <x:row r="219">
      <x:c r="H219" t="s">
        <x:v>1388</x:v>
      </x:c>
    </x:row>
    <x:row r="220">
      <x:c r="H220" t="s">
        <x:v>1389</x:v>
      </x:c>
    </x:row>
    <x:row r="221">
      <x:c r="H221" t="s">
        <x:v>1390</x:v>
      </x:c>
    </x:row>
    <x:row r="222">
      <x:c r="H222" t="s">
        <x:v>1391</x:v>
      </x:c>
    </x:row>
    <x:row r="223">
      <x:c r="H223" t="s">
        <x:v>1392</x:v>
      </x:c>
    </x:row>
    <x:row r="224">
      <x:c r="H224" t="s">
        <x:v>1393</x:v>
      </x:c>
    </x:row>
    <x:row r="225">
      <x:c r="H225" t="s">
        <x:v>1394</x:v>
      </x:c>
    </x:row>
    <x:row r="226">
      <x:c r="H226" t="s">
        <x:v>1395</x:v>
      </x:c>
    </x:row>
    <x:row r="227">
      <x:c r="H227" t="s">
        <x:v>1396</x:v>
      </x:c>
    </x:row>
    <x:row r="228">
      <x:c r="H228" t="s">
        <x:v>1397</x:v>
      </x:c>
    </x:row>
    <x:row r="229">
      <x:c r="H229" t="s">
        <x:v>1398</x:v>
      </x:c>
    </x:row>
    <x:row r="230">
      <x:c r="H230" t="s">
        <x:v>1399</x:v>
      </x:c>
    </x:row>
    <x:row r="231">
      <x:c r="H231" t="s">
        <x:v>1400</x:v>
      </x:c>
    </x:row>
    <x:row r="232">
      <x:c r="H232" t="s">
        <x:v>1401</x:v>
      </x:c>
    </x:row>
    <x:row r="233">
      <x:c r="H233" t="s">
        <x:v>1402</x:v>
      </x:c>
    </x:row>
    <x:row r="234">
      <x:c r="H234" t="s">
        <x:v>1403</x:v>
      </x:c>
    </x:row>
    <x:row r="235">
      <x:c r="H235" t="s">
        <x:v>1404</x:v>
      </x:c>
    </x:row>
    <x:row r="236">
      <x:c r="H236" t="s">
        <x:v>1405</x:v>
      </x:c>
    </x:row>
    <x:row r="237">
      <x:c r="H237" t="s">
        <x:v>1406</x:v>
      </x:c>
    </x:row>
    <x:row r="238">
      <x:c r="H238" t="s">
        <x:v>1407</x:v>
      </x:c>
    </x:row>
    <x:row r="239">
      <x:c r="H239" t="s">
        <x:v>1408</x:v>
      </x:c>
    </x:row>
    <x:row r="240">
      <x:c r="H240" t="s">
        <x:v>1409</x:v>
      </x:c>
    </x:row>
    <x:row r="241">
      <x:c r="H241" t="s">
        <x:v>1410</x:v>
      </x:c>
    </x:row>
    <x:row r="242">
      <x:c r="H242" t="s">
        <x:v>1411</x:v>
      </x:c>
    </x:row>
    <x:row r="243">
      <x:c r="H243" t="s">
        <x:v>1412</x:v>
      </x:c>
    </x:row>
    <x:row r="244">
      <x:c r="H244" t="s">
        <x:v>1413</x:v>
      </x:c>
    </x:row>
    <x:row r="245">
      <x:c r="H245" t="s">
        <x:v>1414</x:v>
      </x:c>
    </x:row>
    <x:row r="246">
      <x:c r="H246" t="s">
        <x:v>1415</x:v>
      </x:c>
    </x:row>
    <x:row r="247">
      <x:c r="H247" t="s">
        <x:v>1416</x:v>
      </x:c>
    </x:row>
    <x:row r="248">
      <x:c r="H248" t="s">
        <x:v>1417</x:v>
      </x:c>
    </x:row>
    <x:row r="249">
      <x:c r="H249" t="s">
        <x:v>1418</x:v>
      </x:c>
    </x:row>
    <x:row r="250">
      <x:c r="H250" t="s">
        <x:v>1419</x:v>
      </x:c>
    </x:row>
    <x:row r="251">
      <x:c r="H251" t="s">
        <x:v>1420</x:v>
      </x:c>
    </x:row>
    <x:row r="252">
      <x:c r="H252" t="s">
        <x:v>1421</x:v>
      </x:c>
    </x:row>
    <x:row r="253">
      <x:c r="H253" t="s">
        <x:v>1422</x:v>
      </x:c>
    </x:row>
    <x:row r="254">
      <x:c r="H254" t="s">
        <x:v>1423</x:v>
      </x:c>
    </x:row>
    <x:row r="255">
      <x:c r="H255" t="s">
        <x:v>1424</x:v>
      </x:c>
    </x:row>
    <x:row r="256">
      <x:c r="H256" t="s">
        <x:v>1425</x:v>
      </x:c>
    </x:row>
    <x:row r="257">
      <x:c r="H257" t="s">
        <x:v>1426</x:v>
      </x:c>
    </x:row>
    <x:row r="258">
      <x:c r="H258" t="s">
        <x:v>1427</x:v>
      </x:c>
    </x:row>
    <x:row r="259">
      <x:c r="H259" t="s">
        <x:v>1428</x:v>
      </x:c>
    </x:row>
    <x:row r="260">
      <x:c r="H260" t="s">
        <x:v>1429</x:v>
      </x:c>
    </x:row>
    <x:row r="261">
      <x:c r="H261" t="s">
        <x:v>1430</x:v>
      </x:c>
    </x:row>
    <x:row r="262">
      <x:c r="H262" t="s">
        <x:v>1431</x:v>
      </x:c>
    </x:row>
    <x:row r="263">
      <x:c r="H263" t="s">
        <x:v>1432</x:v>
      </x:c>
    </x:row>
    <x:row r="264">
      <x:c r="H264" t="s">
        <x:v>1433</x:v>
      </x:c>
    </x:row>
    <x:row r="265">
      <x:c r="H265" t="s">
        <x:v>1434</x:v>
      </x:c>
    </x:row>
    <x:row r="266">
      <x:c r="H266" t="s">
        <x:v>1435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28" hidden="0" customWidth="1"/>
    <x:col min="12" max="12" width="18" hidden="0" customWidth="1"/>
    <x:col min="13" max="13" width="18" hidden="0" customWidth="1"/>
    <x:col min="14" max="14" width="14" hidden="0" customWidth="1"/>
    <x:col min="15" max="15" width="16" hidden="0" customWidth="1"/>
    <x:col min="16" max="16" width="30" hidden="0" customWidth="1"/>
    <x:col min="17" max="17" width="20" hidden="0" customWidth="1"/>
    <x:col min="18" max="18" width="20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8" hidden="0" customWidth="1"/>
    <x:col min="30" max="30" width="18" hidden="0" customWidth="1"/>
    <x:col min="31" max="31" width="18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20" hidden="0" customWidth="1"/>
    <x:col min="37" max="37" width="20" hidden="0" customWidth="1"/>
    <x:col min="38" max="38" width="20" hidden="0" customWidth="1"/>
  </x:cols>
  <x:sheetData>
    <x:row r="1">
      <x:c r="A1" s="53" t="str">
        <x:v>JOB CHANGE LOSS — AUTHORITATIVE ELAPSED TIME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  <x:c r="AE1" s="53"/>
      <x:c r="AF1" s="53"/>
      <x:c r="AG1" s="53"/>
      <x:c r="AH1" s="53"/>
      <x:c r="AI1" s="53"/>
      <x:c r="AJ1" s="53"/>
      <x:c r="AK1" s="53"/>
      <x:c r="AL1" s="53"/>
    </x:row>
    <x:row r="2">
      <x:c r="A2" s="58" t="str">
        <x:v>One row = one job-change loss component. ElapsedLossHrs is stored once here; impacts only allocate the loss to assets.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</x:row>
    <x:row r="4" ht="36" customHeight="1">
      <x:c r="A4" s="46" t="str">
        <x:v>JobChangeLossID</x:v>
      </x:c>
      <x:c r="B4" s="46" t="str">
        <x:v>JobChangeEventID</x:v>
      </x:c>
      <x:c r="C4" s="46" t="str">
        <x:v>ProductionEventID</x:v>
      </x:c>
      <x:c r="D4" s="46" t="str">
        <x:v>FactoryCode</x:v>
      </x:c>
      <x:c r="E4" s="46" t="str">
        <x:v>LineNumber</x:v>
      </x:c>
      <x:c r="F4" s="46" t="str">
        <x:v>EventDate</x:v>
      </x:c>
      <x:c r="G4" s="46" t="str">
        <x:v>ShiftCode</x:v>
      </x:c>
      <x:c r="H4" s="46" t="str">
        <x:v>ToOrderNumber</x:v>
      </x:c>
      <x:c r="I4" s="46" t="str">
        <x:v>LossTypeCode</x:v>
      </x:c>
      <x:c r="J4" s="46" t="str">
        <x:v>LossArea</x:v>
      </x:c>
      <x:c r="K4" s="46" t="str">
        <x:v>Reason</x:v>
      </x:c>
      <x:c r="L4" s="46" t="str">
        <x:v>StartDateTime</x:v>
      </x:c>
      <x:c r="M4" s="46" t="str">
        <x:v>EndDateTime</x:v>
      </x:c>
      <x:c r="N4" s="46" t="str">
        <x:v>ElapsedLossHrs</x:v>
      </x:c>
      <x:c r="O4" s="46" t="str">
        <x:v>RootCauseCode</x:v>
      </x:c>
      <x:c r="P4" s="46" t="str">
        <x:v>CorrectiveAction</x:v>
      </x:c>
      <x:c r="Q4" s="46" t="str">
        <x:v>ResponsibleDepartment</x:v>
      </x:c>
      <x:c r="R4" s="46" t="str">
        <x:v>ActionStatus</x:v>
      </x:c>
      <x:c r="S4" s="46" t="str">
        <x:v>ActionDueDate</x:v>
      </x:c>
      <x:c r="T4" s="46" t="str">
        <x:v>ParentEventCheck</x:v>
      </x:c>
      <x:c r="U4" s="46" t="str">
        <x:v>ProductionEventCheck</x:v>
      </x:c>
      <x:c r="V4" s="46" t="str">
        <x:v>LossIDUniquenessCheck</x:v>
      </x:c>
      <x:c r="W4" s="46" t="str">
        <x:v>ReasonConsistencyCheck</x:v>
      </x:c>
      <x:c r="X4" s="46" t="str">
        <x:v>DurationCheck</x:v>
      </x:c>
      <x:c r="Y4" s="46" t="str">
        <x:v>ImpactRowCount</x:v>
      </x:c>
      <x:c r="Z4" s="46" t="str">
        <x:v>ImpactCapacityPctSum</x:v>
      </x:c>
      <x:c r="AA4" s="46" t="str">
        <x:v>LineEquivalentLossHrs</x:v>
      </x:c>
      <x:c r="AB4" s="46" t="str">
        <x:v>EstimatedLostUnits</x:v>
      </x:c>
      <x:c r="AC4" s="46" t="str">
        <x:v>ImpactAllocationCheck</x:v>
      </x:c>
      <x:c r="AD4" s="46" t="str">
        <x:v>DataQualityCheck</x:v>
      </x:c>
      <x:c r="AE4" s="46" t="str">
        <x:v>LoadDecision</x:v>
      </x:c>
      <x:c r="AF4" s="46" t="str">
        <x:v>CreatedAt</x:v>
      </x:c>
      <x:c r="AG4" s="46" t="str">
        <x:v>CreatedBy</x:v>
      </x:c>
      <x:c r="AH4" s="46" t="str">
        <x:v>ModifiedAt</x:v>
      </x:c>
      <x:c r="AI4" s="46" t="str">
        <x:v>ModifiedBy</x:v>
      </x:c>
      <x:c r="AJ4" s="46" t="str">
        <x:v>SourceFile</x:v>
      </x:c>
      <x:c r="AK4" s="46" t="str">
        <x:v>LoadBatchID</x:v>
      </x:c>
      <x:c r="AL4" s="46" t="str">
        <x:v>RecordStatus</x:v>
      </x:c>
    </x:row>
    <x:row r="5">
      <x:c r="A5" t="str">
        <x:v>JCL-000001</x:v>
      </x:c>
      <x:c r="B5" t="str">
        <x:v>JC-KG01-L21-20251021-AM-ORD-2025-00019-ORD-2025-00020</x:v>
      </x:c>
      <x:c r="C5" t="str">
        <x:v>PE-KG01-L21-20251021-AM-ORD-2025-00020</x:v>
      </x:c>
      <x:c r="D5" t="str">
        <x:v>KG01</x:v>
      </x:c>
      <x:c r="E5" t="n">
        <x:v>21</x:v>
      </x:c>
      <x:c r="F5" s="62" t="n">
        <x:v>45951</x:v>
      </x:c>
      <x:c r="G5" t="str">
        <x:v>AM</x:v>
      </x:c>
      <x:c r="H5" t="str">
        <x:v>ORD-2025-00020</x:v>
      </x:c>
      <x:c r="I5" t="str">
        <x:v>JC_T1</x:v>
      </x:c>
      <x:c r="J5" t="str">
        <x:v>T1</x:v>
      </x:c>
      <x:c r="K5" t="str">
        <x:v>Historical summary</x:v>
      </x:c>
      <x:c r="L5" s="64"/>
      <x:c r="M5" s="64"/>
      <x:c r="N5" t="n">
        <x:v>3.08</x:v>
      </x:c>
      <x:c r="O5"/>
      <x:c r="P5"/>
      <x:c r="Q5"/>
      <x:c r="R5"/>
      <x:c r="S5" s="62"/>
      <x:c r="T5" t="str">
        <x:f>IF(A5="","",IF(COUNTIF(JobChange!$S$5:$S$200,B5)=1,"OK","CHECK"))</x:f>
        <x:v>OK</x:v>
      </x:c>
      <x:c r="U5" t="str">
        <x:f>IF(A5="","",IF(COUNTIF(DailyProduction!$Q$5:$Q$500,C5)=1,"OK","CHECK"))</x:f>
        <x:v>OK</x:v>
      </x:c>
      <x:c r="V5" t="str">
        <x:f>IF(A5="","",IF(COUNTIF($A$5:$A$1000,A5)=1,"OK","CHECK"))</x:f>
        <x:v>OK</x:v>
      </x:c>
      <x:c r="W5" t="str">
        <x:f>IF(A5="","",IF(OR(J5="T1",J5="T2",J5="Trial",K5&lt;&gt;""),"OK","CHECK"))</x:f>
        <x:v>OK</x:v>
      </x:c>
      <x:c r="X5" t="str">
        <x:f>IF(A5="","",IF(AND(N5&gt;0,OR(AND(L5="",M5=""),AND(L5&lt;&gt;"",M5&lt;&gt;"",M5&gt;=L5,ABS(N5-((M5-L5)*24))&lt;=0.01))),"OK","CHECK"))</x:f>
        <x:v>OK</x:v>
      </x:c>
      <x:c r="Y5" t="n">
        <x:f>IF(A5="","",COUNTIF(JobChangeImpact!$AC$5:$AC$1000,A5))</x:f>
        <x:v>1</x:v>
      </x:c>
      <x:c r="Z5" t="n">
        <x:f>IF(A5="","",SUMIF(JobChangeImpact!$AC$5:$AC$1000,A5,JobChangeImpact!$T$5:$T$1000))</x:f>
        <x:v>1</x:v>
      </x:c>
      <x:c r="AA5" t="n">
        <x:f>IF(A5="","",SUMIF(JobChangeImpact!$AC$5:$AC$1000,A5,JobChangeImpact!$U$5:$U$1000))</x:f>
        <x:v>3.08</x:v>
      </x:c>
      <x:c r="AB5" t="n">
        <x:f>IF(A5="","",SUMIF(JobChangeImpact!$AC$5:$AC$1000,A5,JobChangeImpact!$W$5:$W$1000))</x:f>
        <x:v>36960</x:v>
      </x:c>
      <x:c r="AC5" t="str">
        <x:f>IF(A5="","",IF(AND(Y5&gt;=1,Z5&gt;0,Z5&lt;=1,COUNTIFS(JobChangeImpact!$AC$5:$AC$1000,A5,JobChangeImpact!$AJ$5:$AJ$1000,"CHECK")=0),"OK","CHECK"))</x:f>
        <x:v>OK</x:v>
      </x:c>
      <x:c r="AD5" t="str">
        <x:f>IF(A5="","",IF(AND(T5="OK",U5="OK",V5="OK",W5="OK",X5="OK",AC5="OK"),"OK","CHECK"))</x:f>
        <x:v>OK</x:v>
      </x:c>
      <x:c r="AE5" t="str">
        <x:f>IF(A5="","",IF(AD5="OK","LOAD","QUARANTINE"))</x:f>
        <x:v>LOAD</x:v>
      </x:c>
      <x:c r="AF5"/>
      <x:c r="AG5"/>
      <x:c r="AH5"/>
      <x:c r="AI5"/>
      <x:c r="AJ5" t="str">
        <x:v>02_Supervisor_Log(4).xlsx</x:v>
      </x:c>
      <x:c r="AK5" t="str">
        <x:v>ENH-20260830-01</x:v>
      </x:c>
      <x:c r="AL5" t="str">
        <x:v>Active</x:v>
      </x:c>
    </x:row>
    <x:row r="6">
      <x:c r="A6" t="str">
        <x:v>JCL-000002</x:v>
      </x:c>
      <x:c r="B6" t="str">
        <x:v>JC-KG01-L21-20251021-AM-ORD-2025-00019-ORD-2025-00020</x:v>
      </x:c>
      <x:c r="C6" t="str">
        <x:v>PE-KG01-L21-20251021-AM-ORD-2025-00020</x:v>
      </x:c>
      <x:c r="D6" t="str">
        <x:v>KG01</x:v>
      </x:c>
      <x:c r="E6" t="n">
        <x:v>21</x:v>
      </x:c>
      <x:c r="F6" s="62" t="n">
        <x:v>45951</x:v>
      </x:c>
      <x:c r="G6" t="str">
        <x:v>AM</x:v>
      </x:c>
      <x:c r="H6" t="str">
        <x:v>ORD-2025-00020</x:v>
      </x:c>
      <x:c r="I6" t="str">
        <x:v>JC_T2</x:v>
      </x:c>
      <x:c r="J6" t="str">
        <x:v>T2</x:v>
      </x:c>
      <x:c r="K6" t="str">
        <x:v>Historical summary</x:v>
      </x:c>
      <x:c r="L6" s="64"/>
      <x:c r="M6" s="64"/>
      <x:c r="N6" t="n">
        <x:v>1</x:v>
      </x:c>
      <x:c r="O6"/>
      <x:c r="P6"/>
      <x:c r="Q6"/>
      <x:c r="R6"/>
      <x:c r="S6" s="62"/>
      <x:c r="T6" t="str">
        <x:f>IF(A6="","",IF(COUNTIF(JobChange!$S$5:$S$200,B6)=1,"OK","CHECK"))</x:f>
        <x:v>OK</x:v>
      </x:c>
      <x:c r="U6" t="str">
        <x:f>IF(A6="","",IF(COUNTIF(DailyProduction!$Q$5:$Q$500,C6)=1,"OK","CHECK"))</x:f>
        <x:v>OK</x:v>
      </x:c>
      <x:c r="V6" t="str">
        <x:f>IF(A6="","",IF(COUNTIF($A$5:$A$1000,A6)=1,"OK","CHECK"))</x:f>
        <x:v>OK</x:v>
      </x:c>
      <x:c r="W6" t="str">
        <x:f>IF(A6="","",IF(OR(J6="T2",J6="T3",J6="Trial",K6&lt;&gt;""),"OK","CHECK"))</x:f>
        <x:v>OK</x:v>
      </x:c>
      <x:c r="X6" t="str">
        <x:f>IF(A6="","",IF(AND(N6&gt;0,OR(AND(L6="",M6=""),AND(L6&lt;&gt;"",M6&lt;&gt;"",M6&gt;=L6,ABS(N6-((M6-L6)*24))&lt;=0.01))),"OK","CHECK"))</x:f>
        <x:v>OK</x:v>
      </x:c>
      <x:c r="Y6" t="n">
        <x:f>IF(A6="","",COUNTIF(JobChangeImpact!$AC$5:$AC$1000,A6))</x:f>
        <x:v>1</x:v>
      </x:c>
      <x:c r="Z6" t="n">
        <x:f>IF(A6="","",SUMIF(JobChangeImpact!$AC$5:$AC$1000,A6,JobChangeImpact!$T$5:$T$1000))</x:f>
        <x:v>1</x:v>
      </x:c>
      <x:c r="AA6" t="n">
        <x:f>IF(A6="","",SUMIF(JobChangeImpact!$AC$5:$AC$1000,A6,JobChangeImpact!$U$5:$U$1000))</x:f>
        <x:v>1</x:v>
      </x:c>
      <x:c r="AB6" t="n">
        <x:f>IF(A6="","",SUMIF(JobChangeImpact!$AC$5:$AC$1000,A6,JobChangeImpact!$W$5:$W$1000))</x:f>
        <x:v>12000</x:v>
      </x:c>
      <x:c r="AC6" t="str">
        <x:f>IF(A6="","",IF(AND(Y6&gt;=1,Z6&gt;0,Z6&lt;=1,COUNTIFS(JobChangeImpact!$AC$5:$AC$1000,A6,JobChangeImpact!$AJ$5:$AJ$1000,"CHECK")=0),"OK","CHECK"))</x:f>
        <x:v>OK</x:v>
      </x:c>
      <x:c r="AD6" t="str">
        <x:f>IF(A6="","",IF(AND(T6="OK",U6="OK",V6="OK",W6="OK",X6="OK",AC6="OK"),"OK","CHECK"))</x:f>
        <x:v>OK</x:v>
      </x:c>
      <x:c r="AE6" t="str">
        <x:f>IF(A6="","",IF(AD6="OK","LOAD","QUARANTINE"))</x:f>
        <x:v>LOAD</x:v>
      </x:c>
      <x:c r="AF6"/>
      <x:c r="AG6"/>
      <x:c r="AH6"/>
      <x:c r="AI6"/>
      <x:c r="AJ6" t="str">
        <x:v>02_Supervisor_Log(4).xlsx</x:v>
      </x:c>
      <x:c r="AK6" t="str">
        <x:v>ENH-20260830-01</x:v>
      </x:c>
      <x:c r="AL6" t="str">
        <x:v>Active</x:v>
      </x:c>
    </x:row>
    <x:row r="7">
      <x:c r="A7" t="str">
        <x:v>JCL-000003</x:v>
      </x:c>
      <x:c r="B7" t="str">
        <x:v>JC-KG01-L21-20251021-AM-ORD-2025-00019-ORD-2025-00020</x:v>
      </x:c>
      <x:c r="C7" t="str">
        <x:v>PE-KG01-L21-20251021-AM-ORD-2025-00020</x:v>
      </x:c>
      <x:c r="D7" t="str">
        <x:v>KG01</x:v>
      </x:c>
      <x:c r="E7" t="n">
        <x:v>21</x:v>
      </x:c>
      <x:c r="F7" s="62" t="n">
        <x:v>45951</x:v>
      </x:c>
      <x:c r="G7" t="str">
        <x:v>AM</x:v>
      </x:c>
      <x:c r="H7" t="str">
        <x:v>ORD-2025-00020</x:v>
      </x:c>
      <x:c r="I7" t="str">
        <x:v>JC_TRIAL</x:v>
      </x:c>
      <x:c r="J7" t="str">
        <x:v>Trial</x:v>
      </x:c>
      <x:c r="K7" t="str">
        <x:v>Historical summary</x:v>
      </x:c>
      <x:c r="L7" s="64"/>
      <x:c r="M7" s="64"/>
      <x:c r="N7" t="n">
        <x:v>0.19</x:v>
      </x:c>
      <x:c r="O7"/>
      <x:c r="P7"/>
      <x:c r="Q7"/>
      <x:c r="R7"/>
      <x:c r="S7" s="62"/>
      <x:c r="T7" t="str">
        <x:f>IF(A7="","",IF(COUNTIF(JobChange!$S$5:$S$200,B7)=1,"OK","CHECK"))</x:f>
        <x:v>OK</x:v>
      </x:c>
      <x:c r="U7" t="str">
        <x:f>IF(A7="","",IF(COUNTIF(DailyProduction!$Q$5:$Q$500,C7)=1,"OK","CHECK"))</x:f>
        <x:v>OK</x:v>
      </x:c>
      <x:c r="V7" t="str">
        <x:f>IF(A7="","",IF(COUNTIF($A$5:$A$1000,A7)=1,"OK","CHECK"))</x:f>
        <x:v>OK</x:v>
      </x:c>
      <x:c r="W7" t="str">
        <x:f>IF(A7="","",IF(OR(J7="T3",J7="T4",J7="Trial",K7&lt;&gt;""),"OK","CHECK"))</x:f>
        <x:v>OK</x:v>
      </x:c>
      <x:c r="X7" t="str">
        <x:f>IF(A7="","",IF(AND(N7&gt;0,OR(AND(L7="",M7=""),AND(L7&lt;&gt;"",M7&lt;&gt;"",M7&gt;=L7,ABS(N7-((M7-L7)*24))&lt;=0.01))),"OK","CHECK"))</x:f>
        <x:v>OK</x:v>
      </x:c>
      <x:c r="Y7" t="n">
        <x:f>IF(A7="","",COUNTIF(JobChangeImpact!$AC$5:$AC$1000,A7))</x:f>
        <x:v>1</x:v>
      </x:c>
      <x:c r="Z7" t="n">
        <x:f>IF(A7="","",SUMIF(JobChangeImpact!$AC$5:$AC$1000,A7,JobChangeImpact!$T$5:$T$1000))</x:f>
        <x:v>1</x:v>
      </x:c>
      <x:c r="AA7" t="n">
        <x:f>IF(A7="","",SUMIF(JobChangeImpact!$AC$5:$AC$1000,A7,JobChangeImpact!$U$5:$U$1000))</x:f>
        <x:v>0.19</x:v>
      </x:c>
      <x:c r="AB7" t="n">
        <x:f>IF(A7="","",SUMIF(JobChangeImpact!$AC$5:$AC$1000,A7,JobChangeImpact!$W$5:$W$1000))</x:f>
        <x:v>2280</x:v>
      </x:c>
      <x:c r="AC7" t="str">
        <x:f>IF(A7="","",IF(AND(Y7&gt;=1,Z7&gt;0,Z7&lt;=1,COUNTIFS(JobChangeImpact!$AC$5:$AC$1000,A7,JobChangeImpact!$AJ$5:$AJ$1000,"CHECK")=0),"OK","CHECK"))</x:f>
        <x:v>OK</x:v>
      </x:c>
      <x:c r="AD7" t="str">
        <x:f>IF(A7="","",IF(AND(T7="OK",U7="OK",V7="OK",W7="OK",X7="OK",AC7="OK"),"OK","CHECK"))</x:f>
        <x:v>OK</x:v>
      </x:c>
      <x:c r="AE7" t="str">
        <x:f>IF(A7="","",IF(AD7="OK","LOAD","QUARANTINE"))</x:f>
        <x:v>LOAD</x:v>
      </x:c>
      <x:c r="AF7"/>
      <x:c r="AG7"/>
      <x:c r="AH7"/>
      <x:c r="AI7"/>
      <x:c r="AJ7" t="str">
        <x:v>02_Supervisor_Log(4).xlsx</x:v>
      </x:c>
      <x:c r="AK7" t="str">
        <x:v>ENH-20260830-01</x:v>
      </x:c>
      <x:c r="AL7" t="str">
        <x:v>Active</x:v>
      </x:c>
    </x:row>
    <x:row r="8">
      <x:c r="A8" t="str">
        <x:v>JCL-000004</x:v>
      </x:c>
      <x:c r="B8" t="str">
        <x:v>JC-KG01-L21-20251025-AM-ORD-2025-00020-ORD-2025-00021</x:v>
      </x:c>
      <x:c r="C8" t="str">
        <x:v>PE-KG01-L21-20251025-AM-ORD-2025-00021</x:v>
      </x:c>
      <x:c r="D8" t="str">
        <x:v>KG01</x:v>
      </x:c>
      <x:c r="E8" t="n">
        <x:v>21</x:v>
      </x:c>
      <x:c r="F8" s="62" t="n">
        <x:v>45955</x:v>
      </x:c>
      <x:c r="G8" t="str">
        <x:v>AM</x:v>
      </x:c>
      <x:c r="H8" t="str">
        <x:v>ORD-2025-00021</x:v>
      </x:c>
      <x:c r="I8" t="str">
        <x:v>JC_T1</x:v>
      </x:c>
      <x:c r="J8" t="str">
        <x:v>T1</x:v>
      </x:c>
      <x:c r="K8" t="str">
        <x:v>Historical summary</x:v>
      </x:c>
      <x:c r="L8" s="64"/>
      <x:c r="M8" s="64"/>
      <x:c r="N8" t="n">
        <x:v>3.15</x:v>
      </x:c>
      <x:c r="O8"/>
      <x:c r="P8"/>
      <x:c r="Q8"/>
      <x:c r="R8"/>
      <x:c r="S8" s="62"/>
      <x:c r="T8" t="str">
        <x:f>IF(A8="","",IF(COUNTIF(JobChange!$S$5:$S$200,B8)=1,"OK","CHECK"))</x:f>
        <x:v>OK</x:v>
      </x:c>
      <x:c r="U8" t="str">
        <x:f>IF(A8="","",IF(COUNTIF(DailyProduction!$Q$5:$Q$500,C8)=1,"OK","CHECK"))</x:f>
        <x:v>OK</x:v>
      </x:c>
      <x:c r="V8" t="str">
        <x:f>IF(A8="","",IF(COUNTIF($A$5:$A$1000,A8)=1,"OK","CHECK"))</x:f>
        <x:v>OK</x:v>
      </x:c>
      <x:c r="W8" t="str">
        <x:f>IF(A8="","",IF(OR(J8="T4",J8="T5",J8="Trial",K8&lt;&gt;""),"OK","CHECK"))</x:f>
        <x:v>OK</x:v>
      </x:c>
      <x:c r="X8" t="str">
        <x:f>IF(A8="","",IF(AND(N8&gt;0,OR(AND(L8="",M8=""),AND(L8&lt;&gt;"",M8&lt;&gt;"",M8&gt;=L8,ABS(N8-((M8-L8)*24))&lt;=0.01))),"OK","CHECK"))</x:f>
        <x:v>OK</x:v>
      </x:c>
      <x:c r="Y8" t="n">
        <x:f>IF(A8="","",COUNTIF(JobChangeImpact!$AC$5:$AC$1000,A8))</x:f>
        <x:v>1</x:v>
      </x:c>
      <x:c r="Z8" t="n">
        <x:f>IF(A8="","",SUMIF(JobChangeImpact!$AC$5:$AC$1000,A8,JobChangeImpact!$T$5:$T$1000))</x:f>
        <x:v>1</x:v>
      </x:c>
      <x:c r="AA8" t="n">
        <x:f>IF(A8="","",SUMIF(JobChangeImpact!$AC$5:$AC$1000,A8,JobChangeImpact!$U$5:$U$1000))</x:f>
        <x:v>3.15</x:v>
      </x:c>
      <x:c r="AB8" t="n">
        <x:f>IF(A8="","",SUMIF(JobChangeImpact!$AC$5:$AC$1000,A8,JobChangeImpact!$W$5:$W$1000))</x:f>
        <x:v>62370</x:v>
      </x:c>
      <x:c r="AC8" t="str">
        <x:f>IF(A8="","",IF(AND(Y8&gt;=1,Z8&gt;0,Z8&lt;=1,COUNTIFS(JobChangeImpact!$AC$5:$AC$1000,A8,JobChangeImpact!$AJ$5:$AJ$1000,"CHECK")=0),"OK","CHECK"))</x:f>
        <x:v>OK</x:v>
      </x:c>
      <x:c r="AD8" t="str">
        <x:f>IF(A8="","",IF(AND(T8="OK",U8="OK",V8="OK",W8="OK",X8="OK",AC8="OK"),"OK","CHECK"))</x:f>
        <x:v>OK</x:v>
      </x:c>
      <x:c r="AE8" t="str">
        <x:f>IF(A8="","",IF(AD8="OK","LOAD","QUARANTINE"))</x:f>
        <x:v>LOAD</x:v>
      </x:c>
      <x:c r="AF8"/>
      <x:c r="AG8"/>
      <x:c r="AH8"/>
      <x:c r="AI8"/>
      <x:c r="AJ8" t="str">
        <x:v>02_Supervisor_Log(4).xlsx</x:v>
      </x:c>
      <x:c r="AK8" t="str">
        <x:v>ENH-20260830-01</x:v>
      </x:c>
      <x:c r="AL8" t="str">
        <x:v>Active</x:v>
      </x:c>
    </x:row>
    <x:row r="9">
      <x:c r="A9" t="str">
        <x:v>JCL-000005</x:v>
      </x:c>
      <x:c r="B9" t="str">
        <x:v>JC-KG01-L21-20251025-AM-ORD-2025-00020-ORD-2025-00021</x:v>
      </x:c>
      <x:c r="C9" t="str">
        <x:v>PE-KG01-L21-20251025-AM-ORD-2025-00021</x:v>
      </x:c>
      <x:c r="D9" t="str">
        <x:v>KG01</x:v>
      </x:c>
      <x:c r="E9" t="n">
        <x:v>21</x:v>
      </x:c>
      <x:c r="F9" s="62" t="n">
        <x:v>45955</x:v>
      </x:c>
      <x:c r="G9" t="str">
        <x:v>AM</x:v>
      </x:c>
      <x:c r="H9" t="str">
        <x:v>ORD-2025-00021</x:v>
      </x:c>
      <x:c r="I9" t="str">
        <x:v>JC_T2</x:v>
      </x:c>
      <x:c r="J9" t="str">
        <x:v>T2</x:v>
      </x:c>
      <x:c r="K9" t="str">
        <x:v>Historical summary</x:v>
      </x:c>
      <x:c r="L9" s="64"/>
      <x:c r="M9" s="64"/>
      <x:c r="N9" t="n">
        <x:v>1.2</x:v>
      </x:c>
      <x:c r="O9"/>
      <x:c r="P9"/>
      <x:c r="Q9"/>
      <x:c r="R9"/>
      <x:c r="S9" s="62"/>
      <x:c r="T9" t="str">
        <x:f>IF(A9="","",IF(COUNTIF(JobChange!$S$5:$S$200,B9)=1,"OK","CHECK"))</x:f>
        <x:v>OK</x:v>
      </x:c>
      <x:c r="U9" t="str">
        <x:f>IF(A9="","",IF(COUNTIF(DailyProduction!$Q$5:$Q$500,C9)=1,"OK","CHECK"))</x:f>
        <x:v>OK</x:v>
      </x:c>
      <x:c r="V9" t="str">
        <x:f>IF(A9="","",IF(COUNTIF($A$5:$A$1000,A9)=1,"OK","CHECK"))</x:f>
        <x:v>OK</x:v>
      </x:c>
      <x:c r="W9" t="str">
        <x:f>IF(A9="","",IF(OR(J9="T5",J9="T6",J9="Trial",K9&lt;&gt;""),"OK","CHECK"))</x:f>
        <x:v>OK</x:v>
      </x:c>
      <x:c r="X9" t="str">
        <x:f>IF(A9="","",IF(AND(N9&gt;0,OR(AND(L9="",M9=""),AND(L9&lt;&gt;"",M9&lt;&gt;"",M9&gt;=L9,ABS(N9-((M9-L9)*24))&lt;=0.01))),"OK","CHECK"))</x:f>
        <x:v>OK</x:v>
      </x:c>
      <x:c r="Y9" t="n">
        <x:f>IF(A9="","",COUNTIF(JobChangeImpact!$AC$5:$AC$1000,A9))</x:f>
        <x:v>1</x:v>
      </x:c>
      <x:c r="Z9" t="n">
        <x:f>IF(A9="","",SUMIF(JobChangeImpact!$AC$5:$AC$1000,A9,JobChangeImpact!$T$5:$T$1000))</x:f>
        <x:v>1</x:v>
      </x:c>
      <x:c r="AA9" t="n">
        <x:f>IF(A9="","",SUMIF(JobChangeImpact!$AC$5:$AC$1000,A9,JobChangeImpact!$U$5:$U$1000))</x:f>
        <x:v>1.2</x:v>
      </x:c>
      <x:c r="AB9" t="n">
        <x:f>IF(A9="","",SUMIF(JobChangeImpact!$AC$5:$AC$1000,A9,JobChangeImpact!$W$5:$W$1000))</x:f>
        <x:v>23760</x:v>
      </x:c>
      <x:c r="AC9" t="str">
        <x:f>IF(A9="","",IF(AND(Y9&gt;=1,Z9&gt;0,Z9&lt;=1,COUNTIFS(JobChangeImpact!$AC$5:$AC$1000,A9,JobChangeImpact!$AJ$5:$AJ$1000,"CHECK")=0),"OK","CHECK"))</x:f>
        <x:v>OK</x:v>
      </x:c>
      <x:c r="AD9" t="str">
        <x:f>IF(A9="","",IF(AND(T9="OK",U9="OK",V9="OK",W9="OK",X9="OK",AC9="OK"),"OK","CHECK"))</x:f>
        <x:v>OK</x:v>
      </x:c>
      <x:c r="AE9" t="str">
        <x:f>IF(A9="","",IF(AD9="OK","LOAD","QUARANTINE"))</x:f>
        <x:v>LOAD</x:v>
      </x:c>
      <x:c r="AF9"/>
      <x:c r="AG9"/>
      <x:c r="AH9"/>
      <x:c r="AI9"/>
      <x:c r="AJ9" t="str">
        <x:v>02_Supervisor_Log(4).xlsx</x:v>
      </x:c>
      <x:c r="AK9" t="str">
        <x:v>ENH-20260830-01</x:v>
      </x:c>
      <x:c r="AL9" t="str">
        <x:v>Active</x:v>
      </x:c>
    </x:row>
    <x:row r="10">
      <x:c r="A10" t="str">
        <x:v>JCL-000006</x:v>
      </x:c>
      <x:c r="B10" t="str">
        <x:v>JC-KG01-L21-20251025-AM-ORD-2025-00020-ORD-2025-00021</x:v>
      </x:c>
      <x:c r="C10" t="str">
        <x:v>PE-KG01-L21-20251025-AM-ORD-2025-00021</x:v>
      </x:c>
      <x:c r="D10" t="str">
        <x:v>KG01</x:v>
      </x:c>
      <x:c r="E10" t="n">
        <x:v>21</x:v>
      </x:c>
      <x:c r="F10" s="62" t="n">
        <x:v>45955</x:v>
      </x:c>
      <x:c r="G10" t="str">
        <x:v>AM</x:v>
      </x:c>
      <x:c r="H10" t="str">
        <x:v>ORD-2025-00021</x:v>
      </x:c>
      <x:c r="I10" t="str">
        <x:v>JC_TRIAL</x:v>
      </x:c>
      <x:c r="J10" t="str">
        <x:v>Trial</x:v>
      </x:c>
      <x:c r="K10" t="str">
        <x:v>Historical summary</x:v>
      </x:c>
      <x:c r="L10" s="64"/>
      <x:c r="M10" s="64"/>
      <x:c r="N10" t="n">
        <x:v>0.1</x:v>
      </x:c>
      <x:c r="O10"/>
      <x:c r="P10"/>
      <x:c r="Q10"/>
      <x:c r="R10"/>
      <x:c r="S10" s="62"/>
      <x:c r="T10" t="str">
        <x:f>IF(A10="","",IF(COUNTIF(JobChange!$S$5:$S$200,B10)=1,"OK","CHECK"))</x:f>
        <x:v>OK</x:v>
      </x:c>
      <x:c r="U10" t="str">
        <x:f>IF(A10="","",IF(COUNTIF(DailyProduction!$Q$5:$Q$500,C10)=1,"OK","CHECK"))</x:f>
        <x:v>OK</x:v>
      </x:c>
      <x:c r="V10" t="str">
        <x:f>IF(A10="","",IF(COUNTIF($A$5:$A$1000,A10)=1,"OK","CHECK"))</x:f>
        <x:v>OK</x:v>
      </x:c>
      <x:c r="W10" t="str">
        <x:f>IF(A10="","",IF(OR(J10="T6",J10="T7",J10="Trial",K10&lt;&gt;""),"OK","CHECK"))</x:f>
        <x:v>OK</x:v>
      </x:c>
      <x:c r="X10" t="str">
        <x:f>IF(A10="","",IF(AND(N10&gt;0,OR(AND(L10="",M10=""),AND(L10&lt;&gt;"",M10&lt;&gt;"",M10&gt;=L10,ABS(N10-((M10-L10)*24))&lt;=0.01))),"OK","CHECK"))</x:f>
        <x:v>OK</x:v>
      </x:c>
      <x:c r="Y10" t="n">
        <x:f>IF(A10="","",COUNTIF(JobChangeImpact!$AC$5:$AC$1000,A10))</x:f>
        <x:v>1</x:v>
      </x:c>
      <x:c r="Z10" t="n">
        <x:f>IF(A10="","",SUMIF(JobChangeImpact!$AC$5:$AC$1000,A10,JobChangeImpact!$T$5:$T$1000))</x:f>
        <x:v>1</x:v>
      </x:c>
      <x:c r="AA10" t="n">
        <x:f>IF(A10="","",SUMIF(JobChangeImpact!$AC$5:$AC$1000,A10,JobChangeImpact!$U$5:$U$1000))</x:f>
        <x:v>0.1</x:v>
      </x:c>
      <x:c r="AB10" t="n">
        <x:f>IF(A10="","",SUMIF(JobChangeImpact!$AC$5:$AC$1000,A10,JobChangeImpact!$W$5:$W$1000))</x:f>
        <x:v>1980</x:v>
      </x:c>
      <x:c r="AC10" t="str">
        <x:f>IF(A10="","",IF(AND(Y10&gt;=1,Z10&gt;0,Z10&lt;=1,COUNTIFS(JobChangeImpact!$AC$5:$AC$1000,A10,JobChangeImpact!$AJ$5:$AJ$1000,"CHECK")=0),"OK","CHECK"))</x:f>
        <x:v>OK</x:v>
      </x:c>
      <x:c r="AD10" t="str">
        <x:f>IF(A10="","",IF(AND(T10="OK",U10="OK",V10="OK",W10="OK",X10="OK",AC10="OK"),"OK","CHECK"))</x:f>
        <x:v>OK</x:v>
      </x:c>
      <x:c r="AE10" t="str">
        <x:f>IF(A10="","",IF(AD10="OK","LOAD","QUARANTINE"))</x:f>
        <x:v>LOAD</x:v>
      </x:c>
      <x:c r="AF10"/>
      <x:c r="AG10"/>
      <x:c r="AH10"/>
      <x:c r="AI10"/>
      <x:c r="AJ10" t="str">
        <x:v>02_Supervisor_Log(4).xlsx</x:v>
      </x:c>
      <x:c r="AK10" t="str">
        <x:v>ENH-20260830-01</x:v>
      </x:c>
      <x:c r="AL10" t="str">
        <x:v>Active</x:v>
      </x:c>
    </x:row>
    <x:row r="11">
      <x:c r="A11" t="str">
        <x:v>JCL-000007</x:v>
      </x:c>
      <x:c r="B11" t="str">
        <x:v>JC-KG01-L21-20251025-AM-ORD-2025-00020-ORD-2025-00021</x:v>
      </x:c>
      <x:c r="C11" t="str">
        <x:v>PE-KG01-L21-20251025-AM-ORD-2025-00021</x:v>
      </x:c>
      <x:c r="D11" t="str">
        <x:v>KG01</x:v>
      </x:c>
      <x:c r="E11" t="n">
        <x:v>21</x:v>
      </x:c>
      <x:c r="F11" s="62" t="n">
        <x:v>45955</x:v>
      </x:c>
      <x:c r="G11" t="str">
        <x:v>AM</x:v>
      </x:c>
      <x:c r="H11" t="str">
        <x:v>ORD-2025-00021</x:v>
      </x:c>
      <x:c r="I11" t="str">
        <x:v>JC_HE</x:v>
      </x:c>
      <x:c r="J11" t="str">
        <x:v>HE</x:v>
      </x:c>
      <x:c r="K11" t="str">
        <x:v>Gob Weight Adjustment</x:v>
      </x:c>
      <x:c r="L11" s="64"/>
      <x:c r="M11" s="64"/>
      <x:c r="N11" t="n">
        <x:v>0.51</x:v>
      </x:c>
      <x:c r="O11"/>
      <x:c r="P11"/>
      <x:c r="Q11"/>
      <x:c r="R11"/>
      <x:c r="S11" s="62"/>
      <x:c r="T11" t="str">
        <x:f>IF(A11="","",IF(COUNTIF(JobChange!$S$5:$S$200,B11)=1,"OK","CHECK"))</x:f>
        <x:v>OK</x:v>
      </x:c>
      <x:c r="U11" t="str">
        <x:f>IF(A11="","",IF(COUNTIF(DailyProduction!$Q$5:$Q$500,C11)=1,"OK","CHECK"))</x:f>
        <x:v>OK</x:v>
      </x:c>
      <x:c r="V11" t="str">
        <x:f>IF(A11="","",IF(COUNTIF($A$5:$A$1000,A11)=1,"OK","CHECK"))</x:f>
        <x:v>OK</x:v>
      </x:c>
      <x:c r="W11" t="str">
        <x:f>IF(A11="","",IF(OR(J11="T7",J11="T8",J11="Trial",K11&lt;&gt;""),"OK","CHECK"))</x:f>
        <x:v>OK</x:v>
      </x:c>
      <x:c r="X11" t="str">
        <x:f>IF(A11="","",IF(AND(N11&gt;0,OR(AND(L11="",M11=""),AND(L11&lt;&gt;"",M11&lt;&gt;"",M11&gt;=L11,ABS(N11-((M11-L11)*24))&lt;=0.01))),"OK","CHECK"))</x:f>
        <x:v>OK</x:v>
      </x:c>
      <x:c r="Y11" t="n">
        <x:f>IF(A11="","",COUNTIF(JobChangeImpact!$AC$5:$AC$1000,A11))</x:f>
        <x:v>1</x:v>
      </x:c>
      <x:c r="Z11" t="n">
        <x:f>IF(A11="","",SUMIF(JobChangeImpact!$AC$5:$AC$1000,A11,JobChangeImpact!$T$5:$T$1000))</x:f>
        <x:v>1</x:v>
      </x:c>
      <x:c r="AA11" t="n">
        <x:f>IF(A11="","",SUMIF(JobChangeImpact!$AC$5:$AC$1000,A11,JobChangeImpact!$U$5:$U$1000))</x:f>
        <x:v>0.51</x:v>
      </x:c>
      <x:c r="AB11" t="n">
        <x:f>IF(A11="","",SUMIF(JobChangeImpact!$AC$5:$AC$1000,A11,JobChangeImpact!$W$5:$W$1000))</x:f>
        <x:v>10098</x:v>
      </x:c>
      <x:c r="AC11" t="str">
        <x:f>IF(A11="","",IF(AND(Y11&gt;=1,Z11&gt;0,Z11&lt;=1,COUNTIFS(JobChangeImpact!$AC$5:$AC$1000,A11,JobChangeImpact!$AJ$5:$AJ$1000,"CHECK")=0),"OK","CHECK"))</x:f>
        <x:v>OK</x:v>
      </x:c>
      <x:c r="AD11" t="str">
        <x:f>IF(A11="","",IF(AND(T11="OK",U11="OK",V11="OK",W11="OK",X11="OK",AC11="OK"),"OK","CHECK"))</x:f>
        <x:v>OK</x:v>
      </x:c>
      <x:c r="AE11" t="str">
        <x:f>IF(A11="","",IF(AD11="OK","LOAD","QUARANTINE"))</x:f>
        <x:v>LOAD</x:v>
      </x:c>
      <x:c r="AF11"/>
      <x:c r="AG11"/>
      <x:c r="AH11"/>
      <x:c r="AI11"/>
      <x:c r="AJ11" t="str">
        <x:v>02_Supervisor_Log(4).xlsx</x:v>
      </x:c>
      <x:c r="AK11" t="str">
        <x:v>ENH-20260830-01</x:v>
      </x:c>
      <x:c r="AL11" t="str">
        <x:v>Active</x:v>
      </x:c>
    </x:row>
    <x:row r="12">
      <x:c r="A12" t="str">
        <x:v>JCL-000008</x:v>
      </x:c>
      <x:c r="B12" t="str">
        <x:v>JC-KG01-L22-20251020-AM-ORD-2025-00055-ORD-2025-00056</x:v>
      </x:c>
      <x:c r="C12" t="str">
        <x:v>PE-KG01-L22-20251020-AM-ORD-2025-00056</x:v>
      </x:c>
      <x:c r="D12" t="str">
        <x:v>KG01</x:v>
      </x:c>
      <x:c r="E12" t="n">
        <x:v>22</x:v>
      </x:c>
      <x:c r="F12" s="62" t="n">
        <x:v>45950</x:v>
      </x:c>
      <x:c r="G12" t="str">
        <x:v>AM</x:v>
      </x:c>
      <x:c r="H12" t="str">
        <x:v>ORD-2025-00056</x:v>
      </x:c>
      <x:c r="I12" t="str">
        <x:v>JC_T1</x:v>
      </x:c>
      <x:c r="J12" t="str">
        <x:v>T1</x:v>
      </x:c>
      <x:c r="K12" t="str">
        <x:v>Historical summary</x:v>
      </x:c>
      <x:c r="L12" s="64"/>
      <x:c r="M12" s="64"/>
      <x:c r="N12" t="n">
        <x:v>6.84</x:v>
      </x:c>
      <x:c r="O12"/>
      <x:c r="P12"/>
      <x:c r="Q12"/>
      <x:c r="R12"/>
      <x:c r="S12" s="62"/>
      <x:c r="T12" t="str">
        <x:f>IF(A12="","",IF(COUNTIF(JobChange!$S$5:$S$200,B12)=1,"OK","CHECK"))</x:f>
        <x:v>OK</x:v>
      </x:c>
      <x:c r="U12" t="str">
        <x:f>IF(A12="","",IF(COUNTIF(DailyProduction!$Q$5:$Q$500,C12)=1,"OK","CHECK"))</x:f>
        <x:v>OK</x:v>
      </x:c>
      <x:c r="V12" t="str">
        <x:f>IF(A12="","",IF(COUNTIF($A$5:$A$1000,A12)=1,"OK","CHECK"))</x:f>
        <x:v>OK</x:v>
      </x:c>
      <x:c r="W12" t="str">
        <x:f>IF(A12="","",IF(OR(J12="T8",J12="T9",J12="Trial",K12&lt;&gt;""),"OK","CHECK"))</x:f>
        <x:v>OK</x:v>
      </x:c>
      <x:c r="X12" t="str">
        <x:f>IF(A12="","",IF(AND(N12&gt;0,OR(AND(L12="",M12=""),AND(L12&lt;&gt;"",M12&lt;&gt;"",M12&gt;=L12,ABS(N12-((M12-L12)*24))&lt;=0.01))),"OK","CHECK"))</x:f>
        <x:v>OK</x:v>
      </x:c>
      <x:c r="Y12" t="n">
        <x:f>IF(A12="","",COUNTIF(JobChangeImpact!$AC$5:$AC$1000,A12))</x:f>
        <x:v>1</x:v>
      </x:c>
      <x:c r="Z12" t="n">
        <x:f>IF(A12="","",SUMIF(JobChangeImpact!$AC$5:$AC$1000,A12,JobChangeImpact!$T$5:$T$1000))</x:f>
        <x:v>1</x:v>
      </x:c>
      <x:c r="AA12" t="n">
        <x:f>IF(A12="","",SUMIF(JobChangeImpact!$AC$5:$AC$1000,A12,JobChangeImpact!$U$5:$U$1000))</x:f>
        <x:v>6.84</x:v>
      </x:c>
      <x:c r="AB12" t="n">
        <x:f>IF(A12="","",SUMIF(JobChangeImpact!$AC$5:$AC$1000,A12,JobChangeImpact!$W$5:$W$1000))</x:f>
        <x:v>82080</x:v>
      </x:c>
      <x:c r="AC12" t="str">
        <x:f>IF(A12="","",IF(AND(Y12&gt;=1,Z12&gt;0,Z12&lt;=1,COUNTIFS(JobChangeImpact!$AC$5:$AC$1000,A12,JobChangeImpact!$AJ$5:$AJ$1000,"CHECK")=0),"OK","CHECK"))</x:f>
        <x:v>OK</x:v>
      </x:c>
      <x:c r="AD12" t="str">
        <x:f>IF(A12="","",IF(AND(T12="OK",U12="OK",V12="OK",W12="OK",X12="OK",AC12="OK"),"OK","CHECK"))</x:f>
        <x:v>OK</x:v>
      </x:c>
      <x:c r="AE12" t="str">
        <x:f>IF(A12="","",IF(AD12="OK","LOAD","QUARANTINE"))</x:f>
        <x:v>LOAD</x:v>
      </x:c>
      <x:c r="AF12"/>
      <x:c r="AG12"/>
      <x:c r="AH12"/>
      <x:c r="AI12"/>
      <x:c r="AJ12" t="str">
        <x:v>02_Supervisor_Log(4).xlsx</x:v>
      </x:c>
      <x:c r="AK12" t="str">
        <x:v>ENH-20260830-01</x:v>
      </x:c>
      <x:c r="AL12" t="str">
        <x:v>Active</x:v>
      </x:c>
    </x:row>
    <x:row r="13">
      <x:c r="A13" t="str">
        <x:v>JCL-000009</x:v>
      </x:c>
      <x:c r="B13" t="str">
        <x:v>JC-KG01-L22-20251020-AM-ORD-2025-00055-ORD-2025-00056</x:v>
      </x:c>
      <x:c r="C13" t="str">
        <x:v>PE-KG01-L22-20251020-AM-ORD-2025-00056</x:v>
      </x:c>
      <x:c r="D13" t="str">
        <x:v>KG01</x:v>
      </x:c>
      <x:c r="E13" t="n">
        <x:v>22</x:v>
      </x:c>
      <x:c r="F13" s="62" t="n">
        <x:v>45950</x:v>
      </x:c>
      <x:c r="G13" t="str">
        <x:v>AM</x:v>
      </x:c>
      <x:c r="H13" t="str">
        <x:v>ORD-2025-00056</x:v>
      </x:c>
      <x:c r="I13" t="str">
        <x:v>JC_T2</x:v>
      </x:c>
      <x:c r="J13" t="str">
        <x:v>T2</x:v>
      </x:c>
      <x:c r="K13" t="str">
        <x:v>Historical summary</x:v>
      </x:c>
      <x:c r="L13" s="64"/>
      <x:c r="M13" s="64"/>
      <x:c r="N13" t="n">
        <x:v>1.63</x:v>
      </x:c>
      <x:c r="O13"/>
      <x:c r="P13"/>
      <x:c r="Q13"/>
      <x:c r="R13"/>
      <x:c r="S13" s="62"/>
      <x:c r="T13" t="str">
        <x:f>IF(A13="","",IF(COUNTIF(JobChange!$S$5:$S$200,B13)=1,"OK","CHECK"))</x:f>
        <x:v>OK</x:v>
      </x:c>
      <x:c r="U13" t="str">
        <x:f>IF(A13="","",IF(COUNTIF(DailyProduction!$Q$5:$Q$500,C13)=1,"OK","CHECK"))</x:f>
        <x:v>OK</x:v>
      </x:c>
      <x:c r="V13" t="str">
        <x:f>IF(A13="","",IF(COUNTIF($A$5:$A$1000,A13)=1,"OK","CHECK"))</x:f>
        <x:v>OK</x:v>
      </x:c>
      <x:c r="W13" t="str">
        <x:f>IF(A13="","",IF(OR(J13="T9",J13="T10",J13="Trial",K13&lt;&gt;""),"OK","CHECK"))</x:f>
        <x:v>OK</x:v>
      </x:c>
      <x:c r="X13" t="str">
        <x:f>IF(A13="","",IF(AND(N13&gt;0,OR(AND(L13="",M13=""),AND(L13&lt;&gt;"",M13&lt;&gt;"",M13&gt;=L13,ABS(N13-((M13-L13)*24))&lt;=0.01))),"OK","CHECK"))</x:f>
        <x:v>OK</x:v>
      </x:c>
      <x:c r="Y13" t="n">
        <x:f>IF(A13="","",COUNTIF(JobChangeImpact!$AC$5:$AC$1000,A13))</x:f>
        <x:v>1</x:v>
      </x:c>
      <x:c r="Z13" t="n">
        <x:f>IF(A13="","",SUMIF(JobChangeImpact!$AC$5:$AC$1000,A13,JobChangeImpact!$T$5:$T$1000))</x:f>
        <x:v>1</x:v>
      </x:c>
      <x:c r="AA13" t="n">
        <x:f>IF(A13="","",SUMIF(JobChangeImpact!$AC$5:$AC$1000,A13,JobChangeImpact!$U$5:$U$1000))</x:f>
        <x:v>1.63</x:v>
      </x:c>
      <x:c r="AB13" t="n">
        <x:f>IF(A13="","",SUMIF(JobChangeImpact!$AC$5:$AC$1000,A13,JobChangeImpact!$W$5:$W$1000))</x:f>
        <x:v>19560</x:v>
      </x:c>
      <x:c r="AC13" t="str">
        <x:f>IF(A13="","",IF(AND(Y13&gt;=1,Z13&gt;0,Z13&lt;=1,COUNTIFS(JobChangeImpact!$AC$5:$AC$1000,A13,JobChangeImpact!$AJ$5:$AJ$1000,"CHECK")=0),"OK","CHECK"))</x:f>
        <x:v>OK</x:v>
      </x:c>
      <x:c r="AD13" t="str">
        <x:f>IF(A13="","",IF(AND(T13="OK",U13="OK",V13="OK",W13="OK",X13="OK",AC13="OK"),"OK","CHECK"))</x:f>
        <x:v>OK</x:v>
      </x:c>
      <x:c r="AE13" t="str">
        <x:f>IF(A13="","",IF(AD13="OK","LOAD","QUARANTINE"))</x:f>
        <x:v>LOAD</x:v>
      </x:c>
      <x:c r="AF13"/>
      <x:c r="AG13"/>
      <x:c r="AH13"/>
      <x:c r="AI13"/>
      <x:c r="AJ13" t="str">
        <x:v>02_Supervisor_Log(4).xlsx</x:v>
      </x:c>
      <x:c r="AK13" t="str">
        <x:v>ENH-20260830-01</x:v>
      </x:c>
      <x:c r="AL13" t="str">
        <x:v>Active</x:v>
      </x:c>
    </x:row>
    <x:row r="14">
      <x:c r="A14" t="str">
        <x:v>JCL-000010</x:v>
      </x:c>
      <x:c r="B14" t="str">
        <x:v>JC-KG01-L22-20251020-AM-ORD-2025-00055-ORD-2025-00056</x:v>
      </x:c>
      <x:c r="C14" t="str">
        <x:v>PE-KG01-L22-20251020-AM-ORD-2025-00056</x:v>
      </x:c>
      <x:c r="D14" t="str">
        <x:v>KG01</x:v>
      </x:c>
      <x:c r="E14" t="n">
        <x:v>22</x:v>
      </x:c>
      <x:c r="F14" s="62" t="n">
        <x:v>45950</x:v>
      </x:c>
      <x:c r="G14" t="str">
        <x:v>AM</x:v>
      </x:c>
      <x:c r="H14" t="str">
        <x:v>ORD-2025-00056</x:v>
      </x:c>
      <x:c r="I14" t="str">
        <x:v>JC_TRIAL</x:v>
      </x:c>
      <x:c r="J14" t="str">
        <x:v>Trial</x:v>
      </x:c>
      <x:c r="K14" t="str">
        <x:v>Historical summary</x:v>
      </x:c>
      <x:c r="L14" s="64"/>
      <x:c r="M14" s="64"/>
      <x:c r="N14" t="n">
        <x:v>0.78</x:v>
      </x:c>
      <x:c r="O14"/>
      <x:c r="P14"/>
      <x:c r="Q14"/>
      <x:c r="R14"/>
      <x:c r="S14" s="62"/>
      <x:c r="T14" t="str">
        <x:f>IF(A14="","",IF(COUNTIF(JobChange!$S$5:$S$200,B14)=1,"OK","CHECK"))</x:f>
        <x:v>OK</x:v>
      </x:c>
      <x:c r="U14" t="str">
        <x:f>IF(A14="","",IF(COUNTIF(DailyProduction!$Q$5:$Q$500,C14)=1,"OK","CHECK"))</x:f>
        <x:v>OK</x:v>
      </x:c>
      <x:c r="V14" t="str">
        <x:f>IF(A14="","",IF(COUNTIF($A$5:$A$1000,A14)=1,"OK","CHECK"))</x:f>
        <x:v>OK</x:v>
      </x:c>
      <x:c r="W14" t="str">
        <x:f>IF(A14="","",IF(OR(J14="T10",J14="T11",J14="Trial",K14&lt;&gt;""),"OK","CHECK"))</x:f>
        <x:v>OK</x:v>
      </x:c>
      <x:c r="X14" t="str">
        <x:f>IF(A14="","",IF(AND(N14&gt;0,OR(AND(L14="",M14=""),AND(L14&lt;&gt;"",M14&lt;&gt;"",M14&gt;=L14,ABS(N14-((M14-L14)*24))&lt;=0.01))),"OK","CHECK"))</x:f>
        <x:v>OK</x:v>
      </x:c>
      <x:c r="Y14" t="n">
        <x:f>IF(A14="","",COUNTIF(JobChangeImpact!$AC$5:$AC$1000,A14))</x:f>
        <x:v>1</x:v>
      </x:c>
      <x:c r="Z14" t="n">
        <x:f>IF(A14="","",SUMIF(JobChangeImpact!$AC$5:$AC$1000,A14,JobChangeImpact!$T$5:$T$1000))</x:f>
        <x:v>1</x:v>
      </x:c>
      <x:c r="AA14" t="n">
        <x:f>IF(A14="","",SUMIF(JobChangeImpact!$AC$5:$AC$1000,A14,JobChangeImpact!$U$5:$U$1000))</x:f>
        <x:v>0.78</x:v>
      </x:c>
      <x:c r="AB14" t="n">
        <x:f>IF(A14="","",SUMIF(JobChangeImpact!$AC$5:$AC$1000,A14,JobChangeImpact!$W$5:$W$1000))</x:f>
        <x:v>9360.000000000002</x:v>
      </x:c>
      <x:c r="AC14" t="str">
        <x:f>IF(A14="","",IF(AND(Y14&gt;=1,Z14&gt;0,Z14&lt;=1,COUNTIFS(JobChangeImpact!$AC$5:$AC$1000,A14,JobChangeImpact!$AJ$5:$AJ$1000,"CHECK")=0),"OK","CHECK"))</x:f>
        <x:v>OK</x:v>
      </x:c>
      <x:c r="AD14" t="str">
        <x:f>IF(A14="","",IF(AND(T14="OK",U14="OK",V14="OK",W14="OK",X14="OK",AC14="OK"),"OK","CHECK"))</x:f>
        <x:v>OK</x:v>
      </x:c>
      <x:c r="AE14" t="str">
        <x:f>IF(A14="","",IF(AD14="OK","LOAD","QUARANTINE"))</x:f>
        <x:v>LOAD</x:v>
      </x:c>
      <x:c r="AF14"/>
      <x:c r="AG14"/>
      <x:c r="AH14"/>
      <x:c r="AI14"/>
      <x:c r="AJ14" t="str">
        <x:v>02_Supervisor_Log(4).xlsx</x:v>
      </x:c>
      <x:c r="AK14" t="str">
        <x:v>ENH-20260830-01</x:v>
      </x:c>
      <x:c r="AL14" t="str">
        <x:v>Active</x:v>
      </x:c>
    </x:row>
    <x:row r="15">
      <x:c r="A15" t="str">
        <x:v>JCL-000011</x:v>
      </x:c>
      <x:c r="B15" t="str">
        <x:v>JC-KG01-L22-20251020-AM-ORD-2025-00055-ORD-2025-00056</x:v>
      </x:c>
      <x:c r="C15" t="str">
        <x:v>PE-KG01-L22-20251020-AM-ORD-2025-00056</x:v>
      </x:c>
      <x:c r="D15" t="str">
        <x:v>KG01</x:v>
      </x:c>
      <x:c r="E15" t="n">
        <x:v>22</x:v>
      </x:c>
      <x:c r="F15" s="62" t="n">
        <x:v>45950</x:v>
      </x:c>
      <x:c r="G15" t="str">
        <x:v>AM</x:v>
      </x:c>
      <x:c r="H15" t="str">
        <x:v>ORD-2025-00056</x:v>
      </x:c>
      <x:c r="I15" t="str">
        <x:v>JC_PALLETIZER</x:v>
      </x:c>
      <x:c r="J15" t="str">
        <x:v>Palletizer</x:v>
      </x:c>
      <x:c r="K15" t="str">
        <x:v>Pallet Conveyor Jam</x:v>
      </x:c>
      <x:c r="L15" s="64"/>
      <x:c r="M15" s="64"/>
      <x:c r="N15" t="n">
        <x:v>0.24</x:v>
      </x:c>
      <x:c r="O15"/>
      <x:c r="P15"/>
      <x:c r="Q15"/>
      <x:c r="R15"/>
      <x:c r="S15" s="62"/>
      <x:c r="T15" t="str">
        <x:f>IF(A15="","",IF(COUNTIF(JobChange!$S$5:$S$200,B15)=1,"OK","CHECK"))</x:f>
        <x:v>OK</x:v>
      </x:c>
      <x:c r="U15" t="str">
        <x:f>IF(A15="","",IF(COUNTIF(DailyProduction!$Q$5:$Q$500,C15)=1,"OK","CHECK"))</x:f>
        <x:v>OK</x:v>
      </x:c>
      <x:c r="V15" t="str">
        <x:f>IF(A15="","",IF(COUNTIF($A$5:$A$1000,A15)=1,"OK","CHECK"))</x:f>
        <x:v>OK</x:v>
      </x:c>
      <x:c r="W15" t="str">
        <x:f>IF(A15="","",IF(OR(J15="T11",J15="T12",J15="Trial",K15&lt;&gt;""),"OK","CHECK"))</x:f>
        <x:v>OK</x:v>
      </x:c>
      <x:c r="X15" t="str">
        <x:f>IF(A15="","",IF(AND(N15&gt;0,OR(AND(L15="",M15=""),AND(L15&lt;&gt;"",M15&lt;&gt;"",M15&gt;=L15,ABS(N15-((M15-L15)*24))&lt;=0.01))),"OK","CHECK"))</x:f>
        <x:v>OK</x:v>
      </x:c>
      <x:c r="Y15" t="n">
        <x:f>IF(A15="","",COUNTIF(JobChangeImpact!$AC$5:$AC$1000,A15))</x:f>
        <x:v>1</x:v>
      </x:c>
      <x:c r="Z15" t="n">
        <x:f>IF(A15="","",SUMIF(JobChangeImpact!$AC$5:$AC$1000,A15,JobChangeImpact!$T$5:$T$1000))</x:f>
        <x:v>1</x:v>
      </x:c>
      <x:c r="AA15" t="n">
        <x:f>IF(A15="","",SUMIF(JobChangeImpact!$AC$5:$AC$1000,A15,JobChangeImpact!$U$5:$U$1000))</x:f>
        <x:v>0.24</x:v>
      </x:c>
      <x:c r="AB15" t="n">
        <x:f>IF(A15="","",SUMIF(JobChangeImpact!$AC$5:$AC$1000,A15,JobChangeImpact!$W$5:$W$1000))</x:f>
        <x:v>2880</x:v>
      </x:c>
      <x:c r="AC15" t="str">
        <x:f>IF(A15="","",IF(AND(Y15&gt;=1,Z15&gt;0,Z15&lt;=1,COUNTIFS(JobChangeImpact!$AC$5:$AC$1000,A15,JobChangeImpact!$AJ$5:$AJ$1000,"CHECK")=0),"OK","CHECK"))</x:f>
        <x:v>OK</x:v>
      </x:c>
      <x:c r="AD15" t="str">
        <x:f>IF(A15="","",IF(AND(T15="OK",U15="OK",V15="OK",W15="OK",X15="OK",AC15="OK"),"OK","CHECK"))</x:f>
        <x:v>OK</x:v>
      </x:c>
      <x:c r="AE15" t="str">
        <x:f>IF(A15="","",IF(AD15="OK","LOAD","QUARANTINE"))</x:f>
        <x:v>LOAD</x:v>
      </x:c>
      <x:c r="AF15"/>
      <x:c r="AG15"/>
      <x:c r="AH15"/>
      <x:c r="AI15"/>
      <x:c r="AJ15" t="str">
        <x:v>02_Supervisor_Log(4).xlsx</x:v>
      </x:c>
      <x:c r="AK15" t="str">
        <x:v>ENH-20260830-01</x:v>
      </x:c>
      <x:c r="AL15" t="str">
        <x:v>Active</x:v>
      </x:c>
    </x:row>
    <x:row r="16">
      <x:c r="A16" t="str">
        <x:v>JCL-000012</x:v>
      </x:c>
      <x:c r="B16" t="str">
        <x:v>JC-KG01-L22-20251026-AM-ORD-2025-00057-ORD-2025-00058</x:v>
      </x:c>
      <x:c r="C16" t="str">
        <x:v>PE-KG01-L22-20251026-AM-ORD-2025-00058</x:v>
      </x:c>
      <x:c r="D16" t="str">
        <x:v>KG01</x:v>
      </x:c>
      <x:c r="E16" t="n">
        <x:v>22</x:v>
      </x:c>
      <x:c r="F16" s="62" t="n">
        <x:v>45956</x:v>
      </x:c>
      <x:c r="G16" t="str">
        <x:v>AM</x:v>
      </x:c>
      <x:c r="H16" t="str">
        <x:v>ORD-2025-00058</x:v>
      </x:c>
      <x:c r="I16" t="str">
        <x:v>JC_T1</x:v>
      </x:c>
      <x:c r="J16" t="str">
        <x:v>T1</x:v>
      </x:c>
      <x:c r="K16" t="str">
        <x:v>Historical summary</x:v>
      </x:c>
      <x:c r="L16" s="64"/>
      <x:c r="M16" s="64"/>
      <x:c r="N16" t="n">
        <x:v>5.65</x:v>
      </x:c>
      <x:c r="O16"/>
      <x:c r="P16"/>
      <x:c r="Q16"/>
      <x:c r="R16"/>
      <x:c r="S16" s="62"/>
      <x:c r="T16" t="str">
        <x:f>IF(A16="","",IF(COUNTIF(JobChange!$S$5:$S$200,B16)=1,"OK","CHECK"))</x:f>
        <x:v>OK</x:v>
      </x:c>
      <x:c r="U16" t="str">
        <x:f>IF(A16="","",IF(COUNTIF(DailyProduction!$Q$5:$Q$500,C16)=1,"OK","CHECK"))</x:f>
        <x:v>OK</x:v>
      </x:c>
      <x:c r="V16" t="str">
        <x:f>IF(A16="","",IF(COUNTIF($A$5:$A$1000,A16)=1,"OK","CHECK"))</x:f>
        <x:v>OK</x:v>
      </x:c>
      <x:c r="W16" t="str">
        <x:f>IF(A16="","",IF(OR(J16="T12",J16="T13",J16="Trial",K16&lt;&gt;""),"OK","CHECK"))</x:f>
        <x:v>OK</x:v>
      </x:c>
      <x:c r="X16" t="str">
        <x:f>IF(A16="","",IF(AND(N16&gt;0,OR(AND(L16="",M16=""),AND(L16&lt;&gt;"",M16&lt;&gt;"",M16&gt;=L16,ABS(N16-((M16-L16)*24))&lt;=0.01))),"OK","CHECK"))</x:f>
        <x:v>OK</x:v>
      </x:c>
      <x:c r="Y16" t="n">
        <x:f>IF(A16="","",COUNTIF(JobChangeImpact!$AC$5:$AC$1000,A16))</x:f>
        <x:v>1</x:v>
      </x:c>
      <x:c r="Z16" t="n">
        <x:f>IF(A16="","",SUMIF(JobChangeImpact!$AC$5:$AC$1000,A16,JobChangeImpact!$T$5:$T$1000))</x:f>
        <x:v>1</x:v>
      </x:c>
      <x:c r="AA16" t="n">
        <x:f>IF(A16="","",SUMIF(JobChangeImpact!$AC$5:$AC$1000,A16,JobChangeImpact!$U$5:$U$1000))</x:f>
        <x:v>5.65</x:v>
      </x:c>
      <x:c r="AB16" t="n">
        <x:f>IF(A16="","",SUMIF(JobChangeImpact!$AC$5:$AC$1000,A16,JobChangeImpact!$W$5:$W$1000))</x:f>
        <x:v>142380</x:v>
      </x:c>
      <x:c r="AC16" t="str">
        <x:f>IF(A16="","",IF(AND(Y16&gt;=1,Z16&gt;0,Z16&lt;=1,COUNTIFS(JobChangeImpact!$AC$5:$AC$1000,A16,JobChangeImpact!$AJ$5:$AJ$1000,"CHECK")=0),"OK","CHECK"))</x:f>
        <x:v>OK</x:v>
      </x:c>
      <x:c r="AD16" t="str">
        <x:f>IF(A16="","",IF(AND(T16="OK",U16="OK",V16="OK",W16="OK",X16="OK",AC16="OK"),"OK","CHECK"))</x:f>
        <x:v>OK</x:v>
      </x:c>
      <x:c r="AE16" t="str">
        <x:f>IF(A16="","",IF(AD16="OK","LOAD","QUARANTINE"))</x:f>
        <x:v>LOAD</x:v>
      </x:c>
      <x:c r="AF16"/>
      <x:c r="AG16"/>
      <x:c r="AH16"/>
      <x:c r="AI16"/>
      <x:c r="AJ16" t="str">
        <x:v>02_Supervisor_Log(4).xlsx</x:v>
      </x:c>
      <x:c r="AK16" t="str">
        <x:v>ENH-20260830-01</x:v>
      </x:c>
      <x:c r="AL16" t="str">
        <x:v>Active</x:v>
      </x:c>
    </x:row>
    <x:row r="17">
      <x:c r="A17" t="str">
        <x:v>JCL-000013</x:v>
      </x:c>
      <x:c r="B17" t="str">
        <x:v>JC-KG01-L22-20251026-AM-ORD-2025-00057-ORD-2025-00058</x:v>
      </x:c>
      <x:c r="C17" t="str">
        <x:v>PE-KG01-L22-20251026-AM-ORD-2025-00058</x:v>
      </x:c>
      <x:c r="D17" t="str">
        <x:v>KG01</x:v>
      </x:c>
      <x:c r="E17" t="n">
        <x:v>22</x:v>
      </x:c>
      <x:c r="F17" s="62" t="n">
        <x:v>45956</x:v>
      </x:c>
      <x:c r="G17" t="str">
        <x:v>AM</x:v>
      </x:c>
      <x:c r="H17" t="str">
        <x:v>ORD-2025-00058</x:v>
      </x:c>
      <x:c r="I17" t="str">
        <x:v>JC_T2</x:v>
      </x:c>
      <x:c r="J17" t="str">
        <x:v>T2</x:v>
      </x:c>
      <x:c r="K17" t="str">
        <x:v>Historical summary</x:v>
      </x:c>
      <x:c r="L17" s="64"/>
      <x:c r="M17" s="64"/>
      <x:c r="N17" t="n">
        <x:v>1.35</x:v>
      </x:c>
      <x:c r="O17"/>
      <x:c r="P17"/>
      <x:c r="Q17"/>
      <x:c r="R17"/>
      <x:c r="S17" s="62"/>
      <x:c r="T17" t="str">
        <x:f>IF(A17="","",IF(COUNTIF(JobChange!$S$5:$S$200,B17)=1,"OK","CHECK"))</x:f>
        <x:v>OK</x:v>
      </x:c>
      <x:c r="U17" t="str">
        <x:f>IF(A17="","",IF(COUNTIF(DailyProduction!$Q$5:$Q$500,C17)=1,"OK","CHECK"))</x:f>
        <x:v>OK</x:v>
      </x:c>
      <x:c r="V17" t="str">
        <x:f>IF(A17="","",IF(COUNTIF($A$5:$A$1000,A17)=1,"OK","CHECK"))</x:f>
        <x:v>OK</x:v>
      </x:c>
      <x:c r="W17" t="str">
        <x:f>IF(A17="","",IF(OR(J17="T13",J17="T14",J17="Trial",K17&lt;&gt;""),"OK","CHECK"))</x:f>
        <x:v>OK</x:v>
      </x:c>
      <x:c r="X17" t="str">
        <x:f>IF(A17="","",IF(AND(N17&gt;0,OR(AND(L17="",M17=""),AND(L17&lt;&gt;"",M17&lt;&gt;"",M17&gt;=L17,ABS(N17-((M17-L17)*24))&lt;=0.01))),"OK","CHECK"))</x:f>
        <x:v>OK</x:v>
      </x:c>
      <x:c r="Y17" t="n">
        <x:f>IF(A17="","",COUNTIF(JobChangeImpact!$AC$5:$AC$1000,A17))</x:f>
        <x:v>1</x:v>
      </x:c>
      <x:c r="Z17" t="n">
        <x:f>IF(A17="","",SUMIF(JobChangeImpact!$AC$5:$AC$1000,A17,JobChangeImpact!$T$5:$T$1000))</x:f>
        <x:v>1</x:v>
      </x:c>
      <x:c r="AA17" t="n">
        <x:f>IF(A17="","",SUMIF(JobChangeImpact!$AC$5:$AC$1000,A17,JobChangeImpact!$U$5:$U$1000))</x:f>
        <x:v>1.35</x:v>
      </x:c>
      <x:c r="AB17" t="n">
        <x:f>IF(A17="","",SUMIF(JobChangeImpact!$AC$5:$AC$1000,A17,JobChangeImpact!$W$5:$W$1000))</x:f>
        <x:v>34020</x:v>
      </x:c>
      <x:c r="AC17" t="str">
        <x:f>IF(A17="","",IF(AND(Y17&gt;=1,Z17&gt;0,Z17&lt;=1,COUNTIFS(JobChangeImpact!$AC$5:$AC$1000,A17,JobChangeImpact!$AJ$5:$AJ$1000,"CHECK")=0),"OK","CHECK"))</x:f>
        <x:v>OK</x:v>
      </x:c>
      <x:c r="AD17" t="str">
        <x:f>IF(A17="","",IF(AND(T17="OK",U17="OK",V17="OK",W17="OK",X17="OK",AC17="OK"),"OK","CHECK"))</x:f>
        <x:v>OK</x:v>
      </x:c>
      <x:c r="AE17" t="str">
        <x:f>IF(A17="","",IF(AD17="OK","LOAD","QUARANTINE"))</x:f>
        <x:v>LOAD</x:v>
      </x:c>
      <x:c r="AF17"/>
      <x:c r="AG17"/>
      <x:c r="AH17"/>
      <x:c r="AI17"/>
      <x:c r="AJ17" t="str">
        <x:v>02_Supervisor_Log(4).xlsx</x:v>
      </x:c>
      <x:c r="AK17" t="str">
        <x:v>ENH-20260830-01</x:v>
      </x:c>
      <x:c r="AL17" t="str">
        <x:v>Active</x:v>
      </x:c>
    </x:row>
    <x:row r="18">
      <x:c r="A18" t="str">
        <x:v>JCL-000014</x:v>
      </x:c>
      <x:c r="B18" t="str">
        <x:v>JC-KG01-L22-20251026-AM-ORD-2025-00057-ORD-2025-00058</x:v>
      </x:c>
      <x:c r="C18" t="str">
        <x:v>PE-KG01-L22-20251026-AM-ORD-2025-00058</x:v>
      </x:c>
      <x:c r="D18" t="str">
        <x:v>KG01</x:v>
      </x:c>
      <x:c r="E18" t="n">
        <x:v>22</x:v>
      </x:c>
      <x:c r="F18" s="62" t="n">
        <x:v>45956</x:v>
      </x:c>
      <x:c r="G18" t="str">
        <x:v>AM</x:v>
      </x:c>
      <x:c r="H18" t="str">
        <x:v>ORD-2025-00058</x:v>
      </x:c>
      <x:c r="I18" t="str">
        <x:v>JC_TRIAL</x:v>
      </x:c>
      <x:c r="J18" t="str">
        <x:v>Trial</x:v>
      </x:c>
      <x:c r="K18" t="str">
        <x:v>Historical summary</x:v>
      </x:c>
      <x:c r="L18" s="64"/>
      <x:c r="M18" s="64"/>
      <x:c r="N18" t="n">
        <x:v>0.78</x:v>
      </x:c>
      <x:c r="O18"/>
      <x:c r="P18"/>
      <x:c r="Q18"/>
      <x:c r="R18"/>
      <x:c r="S18" s="62"/>
      <x:c r="T18" t="str">
        <x:f>IF(A18="","",IF(COUNTIF(JobChange!$S$5:$S$200,B18)=1,"OK","CHECK"))</x:f>
        <x:v>OK</x:v>
      </x:c>
      <x:c r="U18" t="str">
        <x:f>IF(A18="","",IF(COUNTIF(DailyProduction!$Q$5:$Q$500,C18)=1,"OK","CHECK"))</x:f>
        <x:v>OK</x:v>
      </x:c>
      <x:c r="V18" t="str">
        <x:f>IF(A18="","",IF(COUNTIF($A$5:$A$1000,A18)=1,"OK","CHECK"))</x:f>
        <x:v>OK</x:v>
      </x:c>
      <x:c r="W18" t="str">
        <x:f>IF(A18="","",IF(OR(J18="T14",J18="T15",J18="Trial",K18&lt;&gt;""),"OK","CHECK"))</x:f>
        <x:v>OK</x:v>
      </x:c>
      <x:c r="X18" t="str">
        <x:f>IF(A18="","",IF(AND(N18&gt;0,OR(AND(L18="",M18=""),AND(L18&lt;&gt;"",M18&lt;&gt;"",M18&gt;=L18,ABS(N18-((M18-L18)*24))&lt;=0.01))),"OK","CHECK"))</x:f>
        <x:v>OK</x:v>
      </x:c>
      <x:c r="Y18" t="n">
        <x:f>IF(A18="","",COUNTIF(JobChangeImpact!$AC$5:$AC$1000,A18))</x:f>
        <x:v>1</x:v>
      </x:c>
      <x:c r="Z18" t="n">
        <x:f>IF(A18="","",SUMIF(JobChangeImpact!$AC$5:$AC$1000,A18,JobChangeImpact!$T$5:$T$1000))</x:f>
        <x:v>1</x:v>
      </x:c>
      <x:c r="AA18" t="n">
        <x:f>IF(A18="","",SUMIF(JobChangeImpact!$AC$5:$AC$1000,A18,JobChangeImpact!$U$5:$U$1000))</x:f>
        <x:v>0.78</x:v>
      </x:c>
      <x:c r="AB18" t="n">
        <x:f>IF(A18="","",SUMIF(JobChangeImpact!$AC$5:$AC$1000,A18,JobChangeImpact!$W$5:$W$1000))</x:f>
        <x:v>19656</x:v>
      </x:c>
      <x:c r="AC18" t="str">
        <x:f>IF(A18="","",IF(AND(Y18&gt;=1,Z18&gt;0,Z18&lt;=1,COUNTIFS(JobChangeImpact!$AC$5:$AC$1000,A18,JobChangeImpact!$AJ$5:$AJ$1000,"CHECK")=0),"OK","CHECK"))</x:f>
        <x:v>OK</x:v>
      </x:c>
      <x:c r="AD18" t="str">
        <x:f>IF(A18="","",IF(AND(T18="OK",U18="OK",V18="OK",W18="OK",X18="OK",AC18="OK"),"OK","CHECK"))</x:f>
        <x:v>OK</x:v>
      </x:c>
      <x:c r="AE18" t="str">
        <x:f>IF(A18="","",IF(AD18="OK","LOAD","QUARANTINE"))</x:f>
        <x:v>LOAD</x:v>
      </x:c>
      <x:c r="AF18"/>
      <x:c r="AG18"/>
      <x:c r="AH18"/>
      <x:c r="AI18"/>
      <x:c r="AJ18" t="str">
        <x:v>02_Supervisor_Log(4).xlsx</x:v>
      </x:c>
      <x:c r="AK18" t="str">
        <x:v>ENH-20260830-01</x:v>
      </x:c>
      <x:c r="AL18" t="str">
        <x:v>Active</x:v>
      </x:c>
    </x:row>
    <x:row r="19">
      <x:c r="A19" t="str">
        <x:v>JCL-000015</x:v>
      </x:c>
      <x:c r="B19" t="str">
        <x:v>JC-KG01-L22-20251026-AM-ORD-2025-00057-ORD-2025-00058</x:v>
      </x:c>
      <x:c r="C19" t="str">
        <x:v>PE-KG01-L22-20251026-AM-ORD-2025-00058</x:v>
      </x:c>
      <x:c r="D19" t="str">
        <x:v>KG01</x:v>
      </x:c>
      <x:c r="E19" t="n">
        <x:v>22</x:v>
      </x:c>
      <x:c r="F19" s="62" t="n">
        <x:v>45956</x:v>
      </x:c>
      <x:c r="G19" t="str">
        <x:v>AM</x:v>
      </x:c>
      <x:c r="H19" t="str">
        <x:v>ORD-2025-00058</x:v>
      </x:c>
      <x:c r="I19" t="str">
        <x:v>JC_HE</x:v>
      </x:c>
      <x:c r="J19" t="str">
        <x:v>HE</x:v>
      </x:c>
      <x:c r="K19" t="str">
        <x:v>Neck Ring Issue</x:v>
      </x:c>
      <x:c r="L19" s="64"/>
      <x:c r="M19" s="64"/>
      <x:c r="N19" t="n">
        <x:v>0.69</x:v>
      </x:c>
      <x:c r="O19"/>
      <x:c r="P19"/>
      <x:c r="Q19"/>
      <x:c r="R19"/>
      <x:c r="S19" s="62"/>
      <x:c r="T19" t="str">
        <x:f>IF(A19="","",IF(COUNTIF(JobChange!$S$5:$S$200,B19)=1,"OK","CHECK"))</x:f>
        <x:v>OK</x:v>
      </x:c>
      <x:c r="U19" t="str">
        <x:f>IF(A19="","",IF(COUNTIF(DailyProduction!$Q$5:$Q$500,C19)=1,"OK","CHECK"))</x:f>
        <x:v>OK</x:v>
      </x:c>
      <x:c r="V19" t="str">
        <x:f>IF(A19="","",IF(COUNTIF($A$5:$A$1000,A19)=1,"OK","CHECK"))</x:f>
        <x:v>OK</x:v>
      </x:c>
      <x:c r="W19" t="str">
        <x:f>IF(A19="","",IF(OR(J19="T15",J19="T16",J19="Trial",K19&lt;&gt;""),"OK","CHECK"))</x:f>
        <x:v>OK</x:v>
      </x:c>
      <x:c r="X19" t="str">
        <x:f>IF(A19="","",IF(AND(N19&gt;0,OR(AND(L19="",M19=""),AND(L19&lt;&gt;"",M19&lt;&gt;"",M19&gt;=L19,ABS(N19-((M19-L19)*24))&lt;=0.01))),"OK","CHECK"))</x:f>
        <x:v>OK</x:v>
      </x:c>
      <x:c r="Y19" t="n">
        <x:f>IF(A19="","",COUNTIF(JobChangeImpact!$AC$5:$AC$1000,A19))</x:f>
        <x:v>1</x:v>
      </x:c>
      <x:c r="Z19" t="n">
        <x:f>IF(A19="","",SUMIF(JobChangeImpact!$AC$5:$AC$1000,A19,JobChangeImpact!$T$5:$T$1000))</x:f>
        <x:v>1</x:v>
      </x:c>
      <x:c r="AA19" t="n">
        <x:f>IF(A19="","",SUMIF(JobChangeImpact!$AC$5:$AC$1000,A19,JobChangeImpact!$U$5:$U$1000))</x:f>
        <x:v>0.69</x:v>
      </x:c>
      <x:c r="AB19" t="n">
        <x:f>IF(A19="","",SUMIF(JobChangeImpact!$AC$5:$AC$1000,A19,JobChangeImpact!$W$5:$W$1000))</x:f>
        <x:v>17388</x:v>
      </x:c>
      <x:c r="AC19" t="str">
        <x:f>IF(A19="","",IF(AND(Y19&gt;=1,Z19&gt;0,Z19&lt;=1,COUNTIFS(JobChangeImpact!$AC$5:$AC$1000,A19,JobChangeImpact!$AJ$5:$AJ$1000,"CHECK")=0),"OK","CHECK"))</x:f>
        <x:v>OK</x:v>
      </x:c>
      <x:c r="AD19" t="str">
        <x:f>IF(A19="","",IF(AND(T19="OK",U19="OK",V19="OK",W19="OK",X19="OK",AC19="OK"),"OK","CHECK"))</x:f>
        <x:v>OK</x:v>
      </x:c>
      <x:c r="AE19" t="str">
        <x:f>IF(A19="","",IF(AD19="OK","LOAD","QUARANTINE"))</x:f>
        <x:v>LOAD</x:v>
      </x:c>
      <x:c r="AF19"/>
      <x:c r="AG19"/>
      <x:c r="AH19"/>
      <x:c r="AI19"/>
      <x:c r="AJ19" t="str">
        <x:v>02_Supervisor_Log(4).xlsx</x:v>
      </x:c>
      <x:c r="AK19" t="str">
        <x:v>ENH-20260830-01</x:v>
      </x:c>
      <x:c r="AL19" t="str">
        <x:v>Active</x:v>
      </x:c>
    </x:row>
    <x:row r="20">
      <x:c r="A20" t="str">
        <x:v>JCL-000016</x:v>
      </x:c>
      <x:c r="B20" t="str">
        <x:v>JC-KG01-L23-20251022-AM-ORD-2025-00092-ORD-2025-00093</x:v>
      </x:c>
      <x:c r="C20" t="str">
        <x:v>PE-KG01-L23-20251022-AM-ORD-2025-00093</x:v>
      </x:c>
      <x:c r="D20" t="str">
        <x:v>KG01</x:v>
      </x:c>
      <x:c r="E20" t="n">
        <x:v>23</x:v>
      </x:c>
      <x:c r="F20" s="62" t="n">
        <x:v>45952</x:v>
      </x:c>
      <x:c r="G20" t="str">
        <x:v>AM</x:v>
      </x:c>
      <x:c r="H20" t="str">
        <x:v>ORD-2025-00093</x:v>
      </x:c>
      <x:c r="I20" t="str">
        <x:v>JC_T1</x:v>
      </x:c>
      <x:c r="J20" t="str">
        <x:v>T1</x:v>
      </x:c>
      <x:c r="K20" t="str">
        <x:v>Historical summary</x:v>
      </x:c>
      <x:c r="L20" s="64"/>
      <x:c r="M20" s="64"/>
      <x:c r="N20" t="n">
        <x:v>2.73</x:v>
      </x:c>
      <x:c r="O20"/>
      <x:c r="P20"/>
      <x:c r="Q20"/>
      <x:c r="R20"/>
      <x:c r="S20" s="62"/>
      <x:c r="T20" t="str">
        <x:f>IF(A20="","",IF(COUNTIF(JobChange!$S$5:$S$200,B20)=1,"OK","CHECK"))</x:f>
        <x:v>OK</x:v>
      </x:c>
      <x:c r="U20" t="str">
        <x:f>IF(A20="","",IF(COUNTIF(DailyProduction!$Q$5:$Q$500,C20)=1,"OK","CHECK"))</x:f>
        <x:v>OK</x:v>
      </x:c>
      <x:c r="V20" t="str">
        <x:f>IF(A20="","",IF(COUNTIF($A$5:$A$1000,A20)=1,"OK","CHECK"))</x:f>
        <x:v>OK</x:v>
      </x:c>
      <x:c r="W20" t="str">
        <x:f>IF(A20="","",IF(OR(J20="T16",J20="T17",J20="Trial",K20&lt;&gt;""),"OK","CHECK"))</x:f>
        <x:v>OK</x:v>
      </x:c>
      <x:c r="X20" t="str">
        <x:f>IF(A20="","",IF(AND(N20&gt;0,OR(AND(L20="",M20=""),AND(L20&lt;&gt;"",M20&lt;&gt;"",M20&gt;=L20,ABS(N20-((M20-L20)*24))&lt;=0.01))),"OK","CHECK"))</x:f>
        <x:v>OK</x:v>
      </x:c>
      <x:c r="Y20" t="n">
        <x:f>IF(A20="","",COUNTIF(JobChangeImpact!$AC$5:$AC$1000,A20))</x:f>
        <x:v>1</x:v>
      </x:c>
      <x:c r="Z20" t="n">
        <x:f>IF(A20="","",SUMIF(JobChangeImpact!$AC$5:$AC$1000,A20,JobChangeImpact!$T$5:$T$1000))</x:f>
        <x:v>1</x:v>
      </x:c>
      <x:c r="AA20" t="n">
        <x:f>IF(A20="","",SUMIF(JobChangeImpact!$AC$5:$AC$1000,A20,JobChangeImpact!$U$5:$U$1000))</x:f>
        <x:v>2.73</x:v>
      </x:c>
      <x:c r="AB20" t="n">
        <x:f>IF(A20="","",SUMIF(JobChangeImpact!$AC$5:$AC$1000,A20,JobChangeImpact!$W$5:$W$1000))</x:f>
        <x:v>35380.8</x:v>
      </x:c>
      <x:c r="AC20" t="str">
        <x:f>IF(A20="","",IF(AND(Y20&gt;=1,Z20&gt;0,Z20&lt;=1,COUNTIFS(JobChangeImpact!$AC$5:$AC$1000,A20,JobChangeImpact!$AJ$5:$AJ$1000,"CHECK")=0),"OK","CHECK"))</x:f>
        <x:v>OK</x:v>
      </x:c>
      <x:c r="AD20" t="str">
        <x:f>IF(A20="","",IF(AND(T20="OK",U20="OK",V20="OK",W20="OK",X20="OK",AC20="OK"),"OK","CHECK"))</x:f>
        <x:v>OK</x:v>
      </x:c>
      <x:c r="AE20" t="str">
        <x:f>IF(A20="","",IF(AD20="OK","LOAD","QUARANTINE"))</x:f>
        <x:v>LOAD</x:v>
      </x:c>
      <x:c r="AF20"/>
      <x:c r="AG20"/>
      <x:c r="AH20"/>
      <x:c r="AI20"/>
      <x:c r="AJ20" t="str">
        <x:v>02_Supervisor_Log(4).xlsx</x:v>
      </x:c>
      <x:c r="AK20" t="str">
        <x:v>ENH-20260830-01</x:v>
      </x:c>
      <x:c r="AL20" t="str">
        <x:v>Active</x:v>
      </x:c>
    </x:row>
    <x:row r="21">
      <x:c r="A21" t="str">
        <x:v>JCL-000017</x:v>
      </x:c>
      <x:c r="B21" t="str">
        <x:v>JC-KG01-L23-20251022-AM-ORD-2025-00092-ORD-2025-00093</x:v>
      </x:c>
      <x:c r="C21" t="str">
        <x:v>PE-KG01-L23-20251022-AM-ORD-2025-00093</x:v>
      </x:c>
      <x:c r="D21" t="str">
        <x:v>KG01</x:v>
      </x:c>
      <x:c r="E21" t="n">
        <x:v>23</x:v>
      </x:c>
      <x:c r="F21" s="62" t="n">
        <x:v>45952</x:v>
      </x:c>
      <x:c r="G21" t="str">
        <x:v>AM</x:v>
      </x:c>
      <x:c r="H21" t="str">
        <x:v>ORD-2025-00093</x:v>
      </x:c>
      <x:c r="I21" t="str">
        <x:v>JC_T2</x:v>
      </x:c>
      <x:c r="J21" t="str">
        <x:v>T2</x:v>
      </x:c>
      <x:c r="K21" t="str">
        <x:v>Historical summary</x:v>
      </x:c>
      <x:c r="L21" s="64"/>
      <x:c r="M21" s="64"/>
      <x:c r="N21" t="n">
        <x:v>1.06</x:v>
      </x:c>
      <x:c r="O21"/>
      <x:c r="P21"/>
      <x:c r="Q21"/>
      <x:c r="R21"/>
      <x:c r="S21" s="62"/>
      <x:c r="T21" t="str">
        <x:f>IF(A21="","",IF(COUNTIF(JobChange!$S$5:$S$200,B21)=1,"OK","CHECK"))</x:f>
        <x:v>OK</x:v>
      </x:c>
      <x:c r="U21" t="str">
        <x:f>IF(A21="","",IF(COUNTIF(DailyProduction!$Q$5:$Q$500,C21)=1,"OK","CHECK"))</x:f>
        <x:v>OK</x:v>
      </x:c>
      <x:c r="V21" t="str">
        <x:f>IF(A21="","",IF(COUNTIF($A$5:$A$1000,A21)=1,"OK","CHECK"))</x:f>
        <x:v>OK</x:v>
      </x:c>
      <x:c r="W21" t="str">
        <x:f>IF(A21="","",IF(OR(J21="T17",J21="T18",J21="Trial",K21&lt;&gt;""),"OK","CHECK"))</x:f>
        <x:v>OK</x:v>
      </x:c>
      <x:c r="X21" t="str">
        <x:f>IF(A21="","",IF(AND(N21&gt;0,OR(AND(L21="",M21=""),AND(L21&lt;&gt;"",M21&lt;&gt;"",M21&gt;=L21,ABS(N21-((M21-L21)*24))&lt;=0.01))),"OK","CHECK"))</x:f>
        <x:v>OK</x:v>
      </x:c>
      <x:c r="Y21" t="n">
        <x:f>IF(A21="","",COUNTIF(JobChangeImpact!$AC$5:$AC$1000,A21))</x:f>
        <x:v>1</x:v>
      </x:c>
      <x:c r="Z21" t="n">
        <x:f>IF(A21="","",SUMIF(JobChangeImpact!$AC$5:$AC$1000,A21,JobChangeImpact!$T$5:$T$1000))</x:f>
        <x:v>1</x:v>
      </x:c>
      <x:c r="AA21" t="n">
        <x:f>IF(A21="","",SUMIF(JobChangeImpact!$AC$5:$AC$1000,A21,JobChangeImpact!$U$5:$U$1000))</x:f>
        <x:v>1.06</x:v>
      </x:c>
      <x:c r="AB21" t="n">
        <x:f>IF(A21="","",SUMIF(JobChangeImpact!$AC$5:$AC$1000,A21,JobChangeImpact!$W$5:$W$1000))</x:f>
        <x:v>13737.599999999999</x:v>
      </x:c>
      <x:c r="AC21" t="str">
        <x:f>IF(A21="","",IF(AND(Y21&gt;=1,Z21&gt;0,Z21&lt;=1,COUNTIFS(JobChangeImpact!$AC$5:$AC$1000,A21,JobChangeImpact!$AJ$5:$AJ$1000,"CHECK")=0),"OK","CHECK"))</x:f>
        <x:v>OK</x:v>
      </x:c>
      <x:c r="AD21" t="str">
        <x:f>IF(A21="","",IF(AND(T21="OK",U21="OK",V21="OK",W21="OK",X21="OK",AC21="OK"),"OK","CHECK"))</x:f>
        <x:v>OK</x:v>
      </x:c>
      <x:c r="AE21" t="str">
        <x:f>IF(A21="","",IF(AD21="OK","LOAD","QUARANTINE"))</x:f>
        <x:v>LOAD</x:v>
      </x:c>
      <x:c r="AF21"/>
      <x:c r="AG21"/>
      <x:c r="AH21"/>
      <x:c r="AI21"/>
      <x:c r="AJ21" t="str">
        <x:v>02_Supervisor_Log(4).xlsx</x:v>
      </x:c>
      <x:c r="AK21" t="str">
        <x:v>ENH-20260830-01</x:v>
      </x:c>
      <x:c r="AL21" t="str">
        <x:v>Active</x:v>
      </x:c>
    </x:row>
    <x:row r="22">
      <x:c r="A22" t="str">
        <x:v>JCL-000018</x:v>
      </x:c>
      <x:c r="B22" t="str">
        <x:v>JC-KG01-L23-20251022-AM-ORD-2025-00092-ORD-2025-00093</x:v>
      </x:c>
      <x:c r="C22" t="str">
        <x:v>PE-KG01-L23-20251022-AM-ORD-2025-00093</x:v>
      </x:c>
      <x:c r="D22" t="str">
        <x:v>KG01</x:v>
      </x:c>
      <x:c r="E22" t="n">
        <x:v>23</x:v>
      </x:c>
      <x:c r="F22" s="62" t="n">
        <x:v>45952</x:v>
      </x:c>
      <x:c r="G22" t="str">
        <x:v>AM</x:v>
      </x:c>
      <x:c r="H22" t="str">
        <x:v>ORD-2025-00093</x:v>
      </x:c>
      <x:c r="I22" t="str">
        <x:v>JC_TRIAL</x:v>
      </x:c>
      <x:c r="J22" t="str">
        <x:v>Trial</x:v>
      </x:c>
      <x:c r="K22" t="str">
        <x:v>Historical summary</x:v>
      </x:c>
      <x:c r="L22" s="64"/>
      <x:c r="M22" s="64"/>
      <x:c r="N22" t="n">
        <x:v>0.49</x:v>
      </x:c>
      <x:c r="O22"/>
      <x:c r="P22"/>
      <x:c r="Q22"/>
      <x:c r="R22"/>
      <x:c r="S22" s="62"/>
      <x:c r="T22" t="str">
        <x:f>IF(A22="","",IF(COUNTIF(JobChange!$S$5:$S$200,B22)=1,"OK","CHECK"))</x:f>
        <x:v>OK</x:v>
      </x:c>
      <x:c r="U22" t="str">
        <x:f>IF(A22="","",IF(COUNTIF(DailyProduction!$Q$5:$Q$500,C22)=1,"OK","CHECK"))</x:f>
        <x:v>OK</x:v>
      </x:c>
      <x:c r="V22" t="str">
        <x:f>IF(A22="","",IF(COUNTIF($A$5:$A$1000,A22)=1,"OK","CHECK"))</x:f>
        <x:v>OK</x:v>
      </x:c>
      <x:c r="W22" t="str">
        <x:f>IF(A22="","",IF(OR(J22="T18",J22="T19",J22="Trial",K22&lt;&gt;""),"OK","CHECK"))</x:f>
        <x:v>OK</x:v>
      </x:c>
      <x:c r="X22" t="str">
        <x:f>IF(A22="","",IF(AND(N22&gt;0,OR(AND(L22="",M22=""),AND(L22&lt;&gt;"",M22&lt;&gt;"",M22&gt;=L22,ABS(N22-((M22-L22)*24))&lt;=0.01))),"OK","CHECK"))</x:f>
        <x:v>OK</x:v>
      </x:c>
      <x:c r="Y22" t="n">
        <x:f>IF(A22="","",COUNTIF(JobChangeImpact!$AC$5:$AC$1000,A22))</x:f>
        <x:v>1</x:v>
      </x:c>
      <x:c r="Z22" t="n">
        <x:f>IF(A22="","",SUMIF(JobChangeImpact!$AC$5:$AC$1000,A22,JobChangeImpact!$T$5:$T$1000))</x:f>
        <x:v>1</x:v>
      </x:c>
      <x:c r="AA22" t="n">
        <x:f>IF(A22="","",SUMIF(JobChangeImpact!$AC$5:$AC$1000,A22,JobChangeImpact!$U$5:$U$1000))</x:f>
        <x:v>0.49</x:v>
      </x:c>
      <x:c r="AB22" t="n">
        <x:f>IF(A22="","",SUMIF(JobChangeImpact!$AC$5:$AC$1000,A22,JobChangeImpact!$W$5:$W$1000))</x:f>
        <x:v>6350.4</x:v>
      </x:c>
      <x:c r="AC22" t="str">
        <x:f>IF(A22="","",IF(AND(Y22&gt;=1,Z22&gt;0,Z22&lt;=1,COUNTIFS(JobChangeImpact!$AC$5:$AC$1000,A22,JobChangeImpact!$AJ$5:$AJ$1000,"CHECK")=0),"OK","CHECK"))</x:f>
        <x:v>OK</x:v>
      </x:c>
      <x:c r="AD22" t="str">
        <x:f>IF(A22="","",IF(AND(T22="OK",U22="OK",V22="OK",W22="OK",X22="OK",AC22="OK"),"OK","CHECK"))</x:f>
        <x:v>OK</x:v>
      </x:c>
      <x:c r="AE22" t="str">
        <x:f>IF(A22="","",IF(AD22="OK","LOAD","QUARANTINE"))</x:f>
        <x:v>LOAD</x:v>
      </x:c>
      <x:c r="AF22"/>
      <x:c r="AG22"/>
      <x:c r="AH22"/>
      <x:c r="AI22"/>
      <x:c r="AJ22" t="str">
        <x:v>02_Supervisor_Log(4).xlsx</x:v>
      </x:c>
      <x:c r="AK22" t="str">
        <x:v>ENH-20260830-01</x:v>
      </x:c>
      <x:c r="AL22" t="str">
        <x:v>Active</x:v>
      </x:c>
    </x:row>
    <x:row r="23">
      <x:c r="A23" t="str">
        <x:v>JCL-000019</x:v>
      </x:c>
      <x:c r="B23" t="str">
        <x:v>JC-KG01-L23-20251022-AM-ORD-2025-00092-ORD-2025-00093</x:v>
      </x:c>
      <x:c r="C23" t="str">
        <x:v>PE-KG01-L23-20251022-AM-ORD-2025-00093</x:v>
      </x:c>
      <x:c r="D23" t="str">
        <x:v>KG01</x:v>
      </x:c>
      <x:c r="E23" t="n">
        <x:v>23</x:v>
      </x:c>
      <x:c r="F23" s="62" t="n">
        <x:v>45952</x:v>
      </x:c>
      <x:c r="G23" t="str">
        <x:v>AM</x:v>
      </x:c>
      <x:c r="H23" t="str">
        <x:v>ORD-2025-00093</x:v>
      </x:c>
      <x:c r="I23" t="str">
        <x:v>JC_PALLETIZER</x:v>
      </x:c>
      <x:c r="J23" t="str">
        <x:v>Palletizer</x:v>
      </x:c>
      <x:c r="K23" t="str">
        <x:v>Palletizer Robot Fault</x:v>
      </x:c>
      <x:c r="L23" s="64"/>
      <x:c r="M23" s="64"/>
      <x:c r="N23" t="n">
        <x:v>0.4</x:v>
      </x:c>
      <x:c r="O23"/>
      <x:c r="P23"/>
      <x:c r="Q23"/>
      <x:c r="R23"/>
      <x:c r="S23" s="62"/>
      <x:c r="T23" t="str">
        <x:f>IF(A23="","",IF(COUNTIF(JobChange!$S$5:$S$200,B23)=1,"OK","CHECK"))</x:f>
        <x:v>OK</x:v>
      </x:c>
      <x:c r="U23" t="str">
        <x:f>IF(A23="","",IF(COUNTIF(DailyProduction!$Q$5:$Q$500,C23)=1,"OK","CHECK"))</x:f>
        <x:v>OK</x:v>
      </x:c>
      <x:c r="V23" t="str">
        <x:f>IF(A23="","",IF(COUNTIF($A$5:$A$1000,A23)=1,"OK","CHECK"))</x:f>
        <x:v>OK</x:v>
      </x:c>
      <x:c r="W23" t="str">
        <x:f>IF(A23="","",IF(OR(J23="T19",J23="T20",J23="Trial",K23&lt;&gt;""),"OK","CHECK"))</x:f>
        <x:v>OK</x:v>
      </x:c>
      <x:c r="X23" t="str">
        <x:f>IF(A23="","",IF(AND(N23&gt;0,OR(AND(L23="",M23=""),AND(L23&lt;&gt;"",M23&lt;&gt;"",M23&gt;=L23,ABS(N23-((M23-L23)*24))&lt;=0.01))),"OK","CHECK"))</x:f>
        <x:v>OK</x:v>
      </x:c>
      <x:c r="Y23" t="n">
        <x:f>IF(A23="","",COUNTIF(JobChangeImpact!$AC$5:$AC$1000,A23))</x:f>
        <x:v>1</x:v>
      </x:c>
      <x:c r="Z23" t="n">
        <x:f>IF(A23="","",SUMIF(JobChangeImpact!$AC$5:$AC$1000,A23,JobChangeImpact!$T$5:$T$1000))</x:f>
        <x:v>1</x:v>
      </x:c>
      <x:c r="AA23" t="n">
        <x:f>IF(A23="","",SUMIF(JobChangeImpact!$AC$5:$AC$1000,A23,JobChangeImpact!$U$5:$U$1000))</x:f>
        <x:v>0.4</x:v>
      </x:c>
      <x:c r="AB23" t="n">
        <x:f>IF(A23="","",SUMIF(JobChangeImpact!$AC$5:$AC$1000,A23,JobChangeImpact!$W$5:$W$1000))</x:f>
        <x:v>5184</x:v>
      </x:c>
      <x:c r="AC23" t="str">
        <x:f>IF(A23="","",IF(AND(Y23&gt;=1,Z23&gt;0,Z23&lt;=1,COUNTIFS(JobChangeImpact!$AC$5:$AC$1000,A23,JobChangeImpact!$AJ$5:$AJ$1000,"CHECK")=0),"OK","CHECK"))</x:f>
        <x:v>OK</x:v>
      </x:c>
      <x:c r="AD23" t="str">
        <x:f>IF(A23="","",IF(AND(T23="OK",U23="OK",V23="OK",W23="OK",X23="OK",AC23="OK"),"OK","CHECK"))</x:f>
        <x:v>OK</x:v>
      </x:c>
      <x:c r="AE23" t="str">
        <x:f>IF(A23="","",IF(AD23="OK","LOAD","QUARANTINE"))</x:f>
        <x:v>LOAD</x:v>
      </x:c>
      <x:c r="AF23"/>
      <x:c r="AG23"/>
      <x:c r="AH23"/>
      <x:c r="AI23"/>
      <x:c r="AJ23" t="str">
        <x:v>02_Supervisor_Log(4).xlsx</x:v>
      </x:c>
      <x:c r="AK23" t="str">
        <x:v>ENH-20260830-01</x:v>
      </x:c>
      <x:c r="AL23" t="str">
        <x:v>Active</x:v>
      </x:c>
    </x:row>
    <x:row r="24">
      <x:c r="A24" t="str">
        <x:v>JCL-000020</x:v>
      </x:c>
      <x:c r="B24" t="str">
        <x:v>JC-KG01-L23-20251026-AM-ORD-2025-00093-ORD-2025-00094</x:v>
      </x:c>
      <x:c r="C24" t="str">
        <x:v>PE-KG01-L23-20251026-AM-ORD-2025-00094</x:v>
      </x:c>
      <x:c r="D24" t="str">
        <x:v>KG01</x:v>
      </x:c>
      <x:c r="E24" t="n">
        <x:v>23</x:v>
      </x:c>
      <x:c r="F24" s="62" t="n">
        <x:v>45956</x:v>
      </x:c>
      <x:c r="G24" t="str">
        <x:v>AM</x:v>
      </x:c>
      <x:c r="H24" t="str">
        <x:v>ORD-2025-00094</x:v>
      </x:c>
      <x:c r="I24" t="str">
        <x:v>JC_T1</x:v>
      </x:c>
      <x:c r="J24" t="str">
        <x:v>T1</x:v>
      </x:c>
      <x:c r="K24" t="str">
        <x:v>Historical summary</x:v>
      </x:c>
      <x:c r="L24" s="64"/>
      <x:c r="M24" s="64"/>
      <x:c r="N24" t="n">
        <x:v>6.68</x:v>
      </x:c>
      <x:c r="O24"/>
      <x:c r="P24"/>
      <x:c r="Q24"/>
      <x:c r="R24"/>
      <x:c r="S24" s="62"/>
      <x:c r="T24" t="str">
        <x:f>IF(A24="","",IF(COUNTIF(JobChange!$S$5:$S$200,B24)=1,"OK","CHECK"))</x:f>
        <x:v>OK</x:v>
      </x:c>
      <x:c r="U24" t="str">
        <x:f>IF(A24="","",IF(COUNTIF(DailyProduction!$Q$5:$Q$500,C24)=1,"OK","CHECK"))</x:f>
        <x:v>OK</x:v>
      </x:c>
      <x:c r="V24" t="str">
        <x:f>IF(A24="","",IF(COUNTIF($A$5:$A$1000,A24)=1,"OK","CHECK"))</x:f>
        <x:v>OK</x:v>
      </x:c>
      <x:c r="W24" t="str">
        <x:f>IF(A24="","",IF(OR(J24="T20",J24="T21",J24="Trial",K24&lt;&gt;""),"OK","CHECK"))</x:f>
        <x:v>OK</x:v>
      </x:c>
      <x:c r="X24" t="str">
        <x:f>IF(A24="","",IF(AND(N24&gt;0,OR(AND(L24="",M24=""),AND(L24&lt;&gt;"",M24&lt;&gt;"",M24&gt;=L24,ABS(N24-((M24-L24)*24))&lt;=0.01))),"OK","CHECK"))</x:f>
        <x:v>OK</x:v>
      </x:c>
      <x:c r="Y24" t="n">
        <x:f>IF(A24="","",COUNTIF(JobChangeImpact!$AC$5:$AC$1000,A24))</x:f>
        <x:v>1</x:v>
      </x:c>
      <x:c r="Z24" t="n">
        <x:f>IF(A24="","",SUMIF(JobChangeImpact!$AC$5:$AC$1000,A24,JobChangeImpact!$T$5:$T$1000))</x:f>
        <x:v>1</x:v>
      </x:c>
      <x:c r="AA24" t="n">
        <x:f>IF(A24="","",SUMIF(JobChangeImpact!$AC$5:$AC$1000,A24,JobChangeImpact!$U$5:$U$1000))</x:f>
        <x:v>6.68</x:v>
      </x:c>
      <x:c r="AB24" t="n">
        <x:f>IF(A24="","",SUMIF(JobChangeImpact!$AC$5:$AC$1000,A24,JobChangeImpact!$W$5:$W$1000))</x:f>
        <x:v>96191.99999999999</x:v>
      </x:c>
      <x:c r="AC24" t="str">
        <x:f>IF(A24="","",IF(AND(Y24&gt;=1,Z24&gt;0,Z24&lt;=1,COUNTIFS(JobChangeImpact!$AC$5:$AC$1000,A24,JobChangeImpact!$AJ$5:$AJ$1000,"CHECK")=0),"OK","CHECK"))</x:f>
        <x:v>OK</x:v>
      </x:c>
      <x:c r="AD24" t="str">
        <x:f>IF(A24="","",IF(AND(T24="OK",U24="OK",V24="OK",W24="OK",X24="OK",AC24="OK"),"OK","CHECK"))</x:f>
        <x:v>OK</x:v>
      </x:c>
      <x:c r="AE24" t="str">
        <x:f>IF(A24="","",IF(AD24="OK","LOAD","QUARANTINE"))</x:f>
        <x:v>LOAD</x:v>
      </x:c>
      <x:c r="AF24"/>
      <x:c r="AG24"/>
      <x:c r="AH24"/>
      <x:c r="AI24"/>
      <x:c r="AJ24" t="str">
        <x:v>02_Supervisor_Log(4).xlsx</x:v>
      </x:c>
      <x:c r="AK24" t="str">
        <x:v>ENH-20260830-01</x:v>
      </x:c>
      <x:c r="AL24" t="str">
        <x:v>Active</x:v>
      </x:c>
    </x:row>
    <x:row r="25">
      <x:c r="A25" t="str">
        <x:v>JCL-000021</x:v>
      </x:c>
      <x:c r="B25" t="str">
        <x:v>JC-KG01-L23-20251026-AM-ORD-2025-00093-ORD-2025-00094</x:v>
      </x:c>
      <x:c r="C25" t="str">
        <x:v>PE-KG01-L23-20251026-AM-ORD-2025-00094</x:v>
      </x:c>
      <x:c r="D25" t="str">
        <x:v>KG01</x:v>
      </x:c>
      <x:c r="E25" t="n">
        <x:v>23</x:v>
      </x:c>
      <x:c r="F25" s="62" t="n">
        <x:v>45956</x:v>
      </x:c>
      <x:c r="G25" t="str">
        <x:v>AM</x:v>
      </x:c>
      <x:c r="H25" t="str">
        <x:v>ORD-2025-00094</x:v>
      </x:c>
      <x:c r="I25" t="str">
        <x:v>JC_T2</x:v>
      </x:c>
      <x:c r="J25" t="str">
        <x:v>T2</x:v>
      </x:c>
      <x:c r="K25" t="str">
        <x:v>Historical summary</x:v>
      </x:c>
      <x:c r="L25" s="64"/>
      <x:c r="M25" s="64"/>
      <x:c r="N25" t="n">
        <x:v>2.81</x:v>
      </x:c>
      <x:c r="O25"/>
      <x:c r="P25"/>
      <x:c r="Q25"/>
      <x:c r="R25"/>
      <x:c r="S25" s="62"/>
      <x:c r="T25" t="str">
        <x:f>IF(A25="","",IF(COUNTIF(JobChange!$S$5:$S$200,B25)=1,"OK","CHECK"))</x:f>
        <x:v>OK</x:v>
      </x:c>
      <x:c r="U25" t="str">
        <x:f>IF(A25="","",IF(COUNTIF(DailyProduction!$Q$5:$Q$500,C25)=1,"OK","CHECK"))</x:f>
        <x:v>OK</x:v>
      </x:c>
      <x:c r="V25" t="str">
        <x:f>IF(A25="","",IF(COUNTIF($A$5:$A$1000,A25)=1,"OK","CHECK"))</x:f>
        <x:v>OK</x:v>
      </x:c>
      <x:c r="W25" t="str">
        <x:f>IF(A25="","",IF(OR(J25="T21",J25="T22",J25="Trial",K25&lt;&gt;""),"OK","CHECK"))</x:f>
        <x:v>OK</x:v>
      </x:c>
      <x:c r="X25" t="str">
        <x:f>IF(A25="","",IF(AND(N25&gt;0,OR(AND(L25="",M25=""),AND(L25&lt;&gt;"",M25&lt;&gt;"",M25&gt;=L25,ABS(N25-((M25-L25)*24))&lt;=0.01))),"OK","CHECK"))</x:f>
        <x:v>OK</x:v>
      </x:c>
      <x:c r="Y25" t="n">
        <x:f>IF(A25="","",COUNTIF(JobChangeImpact!$AC$5:$AC$1000,A25))</x:f>
        <x:v>1</x:v>
      </x:c>
      <x:c r="Z25" t="n">
        <x:f>IF(A25="","",SUMIF(JobChangeImpact!$AC$5:$AC$1000,A25,JobChangeImpact!$T$5:$T$1000))</x:f>
        <x:v>1</x:v>
      </x:c>
      <x:c r="AA25" t="n">
        <x:f>IF(A25="","",SUMIF(JobChangeImpact!$AC$5:$AC$1000,A25,JobChangeImpact!$U$5:$U$1000))</x:f>
        <x:v>2.81</x:v>
      </x:c>
      <x:c r="AB25" t="n">
        <x:f>IF(A25="","",SUMIF(JobChangeImpact!$AC$5:$AC$1000,A25,JobChangeImpact!$W$5:$W$1000))</x:f>
        <x:v>40464</x:v>
      </x:c>
      <x:c r="AC25" t="str">
        <x:f>IF(A25="","",IF(AND(Y25&gt;=1,Z25&gt;0,Z25&lt;=1,COUNTIFS(JobChangeImpact!$AC$5:$AC$1000,A25,JobChangeImpact!$AJ$5:$AJ$1000,"CHECK")=0),"OK","CHECK"))</x:f>
        <x:v>OK</x:v>
      </x:c>
      <x:c r="AD25" t="str">
        <x:f>IF(A25="","",IF(AND(T25="OK",U25="OK",V25="OK",W25="OK",X25="OK",AC25="OK"),"OK","CHECK"))</x:f>
        <x:v>OK</x:v>
      </x:c>
      <x:c r="AE25" t="str">
        <x:f>IF(A25="","",IF(AD25="OK","LOAD","QUARANTINE"))</x:f>
        <x:v>LOAD</x:v>
      </x:c>
      <x:c r="AF25"/>
      <x:c r="AG25"/>
      <x:c r="AH25"/>
      <x:c r="AI25"/>
      <x:c r="AJ25" t="str">
        <x:v>02_Supervisor_Log(4).xlsx</x:v>
      </x:c>
      <x:c r="AK25" t="str">
        <x:v>ENH-20260830-01</x:v>
      </x:c>
      <x:c r="AL25" t="str">
        <x:v>Active</x:v>
      </x:c>
    </x:row>
    <x:row r="26">
      <x:c r="A26" t="str">
        <x:v>JCL-000022</x:v>
      </x:c>
      <x:c r="B26" t="str">
        <x:v>JC-KG01-L23-20251026-AM-ORD-2025-00093-ORD-2025-00094</x:v>
      </x:c>
      <x:c r="C26" t="str">
        <x:v>PE-KG01-L23-20251026-AM-ORD-2025-00094</x:v>
      </x:c>
      <x:c r="D26" t="str">
        <x:v>KG01</x:v>
      </x:c>
      <x:c r="E26" t="n">
        <x:v>23</x:v>
      </x:c>
      <x:c r="F26" s="62" t="n">
        <x:v>45956</x:v>
      </x:c>
      <x:c r="G26" t="str">
        <x:v>AM</x:v>
      </x:c>
      <x:c r="H26" t="str">
        <x:v>ORD-2025-00094</x:v>
      </x:c>
      <x:c r="I26" t="str">
        <x:v>JC_TRIAL</x:v>
      </x:c>
      <x:c r="J26" t="str">
        <x:v>Trial</x:v>
      </x:c>
      <x:c r="K26" t="str">
        <x:v>Historical summary</x:v>
      </x:c>
      <x:c r="L26" s="64"/>
      <x:c r="M26" s="64"/>
      <x:c r="N26" t="n">
        <x:v>0.35</x:v>
      </x:c>
      <x:c r="O26"/>
      <x:c r="P26"/>
      <x:c r="Q26"/>
      <x:c r="R26"/>
      <x:c r="S26" s="62"/>
      <x:c r="T26" t="str">
        <x:f>IF(A26="","",IF(COUNTIF(JobChange!$S$5:$S$200,B26)=1,"OK","CHECK"))</x:f>
        <x:v>OK</x:v>
      </x:c>
      <x:c r="U26" t="str">
        <x:f>IF(A26="","",IF(COUNTIF(DailyProduction!$Q$5:$Q$500,C26)=1,"OK","CHECK"))</x:f>
        <x:v>OK</x:v>
      </x:c>
      <x:c r="V26" t="str">
        <x:f>IF(A26="","",IF(COUNTIF($A$5:$A$1000,A26)=1,"OK","CHECK"))</x:f>
        <x:v>OK</x:v>
      </x:c>
      <x:c r="W26" t="str">
        <x:f>IF(A26="","",IF(OR(J26="T22",J26="T23",J26="Trial",K26&lt;&gt;""),"OK","CHECK"))</x:f>
        <x:v>OK</x:v>
      </x:c>
      <x:c r="X26" t="str">
        <x:f>IF(A26="","",IF(AND(N26&gt;0,OR(AND(L26="",M26=""),AND(L26&lt;&gt;"",M26&lt;&gt;"",M26&gt;=L26,ABS(N26-((M26-L26)*24))&lt;=0.01))),"OK","CHECK"))</x:f>
        <x:v>OK</x:v>
      </x:c>
      <x:c r="Y26" t="n">
        <x:f>IF(A26="","",COUNTIF(JobChangeImpact!$AC$5:$AC$1000,A26))</x:f>
        <x:v>1</x:v>
      </x:c>
      <x:c r="Z26" t="n">
        <x:f>IF(A26="","",SUMIF(JobChangeImpact!$AC$5:$AC$1000,A26,JobChangeImpact!$T$5:$T$1000))</x:f>
        <x:v>1</x:v>
      </x:c>
      <x:c r="AA26" t="n">
        <x:f>IF(A26="","",SUMIF(JobChangeImpact!$AC$5:$AC$1000,A26,JobChangeImpact!$U$5:$U$1000))</x:f>
        <x:v>0.35</x:v>
      </x:c>
      <x:c r="AB26" t="n">
        <x:f>IF(A26="","",SUMIF(JobChangeImpact!$AC$5:$AC$1000,A26,JobChangeImpact!$W$5:$W$1000))</x:f>
        <x:v>5040</x:v>
      </x:c>
      <x:c r="AC26" t="str">
        <x:f>IF(A26="","",IF(AND(Y26&gt;=1,Z26&gt;0,Z26&lt;=1,COUNTIFS(JobChangeImpact!$AC$5:$AC$1000,A26,JobChangeImpact!$AJ$5:$AJ$1000,"CHECK")=0),"OK","CHECK"))</x:f>
        <x:v>OK</x:v>
      </x:c>
      <x:c r="AD26" t="str">
        <x:f>IF(A26="","",IF(AND(T26="OK",U26="OK",V26="OK",W26="OK",X26="OK",AC26="OK"),"OK","CHECK"))</x:f>
        <x:v>OK</x:v>
      </x:c>
      <x:c r="AE26" t="str">
        <x:f>IF(A26="","",IF(AD26="OK","LOAD","QUARANTINE"))</x:f>
        <x:v>LOAD</x:v>
      </x:c>
      <x:c r="AF26"/>
      <x:c r="AG26"/>
      <x:c r="AH26"/>
      <x:c r="AI26"/>
      <x:c r="AJ26" t="str">
        <x:v>02_Supervisor_Log(4).xlsx</x:v>
      </x:c>
      <x:c r="AK26" t="str">
        <x:v>ENH-20260830-01</x:v>
      </x:c>
      <x:c r="AL26" t="str">
        <x:v>Active</x:v>
      </x:c>
    </x:row>
    <x:row r="27">
      <x:c r="A27" t="str">
        <x:v>JCL-000023</x:v>
      </x:c>
      <x:c r="B27" t="str">
        <x:v>JC-KG01-L23-20251026-AM-ORD-2025-00093-ORD-2025-00094</x:v>
      </x:c>
      <x:c r="C27" t="str">
        <x:v>PE-KG01-L23-20251026-AM-ORD-2025-00094</x:v>
      </x:c>
      <x:c r="D27" t="str">
        <x:v>KG01</x:v>
      </x:c>
      <x:c r="E27" t="n">
        <x:v>23</x:v>
      </x:c>
      <x:c r="F27" s="62" t="n">
        <x:v>45956</x:v>
      </x:c>
      <x:c r="G27" t="str">
        <x:v>AM</x:v>
      </x:c>
      <x:c r="H27" t="str">
        <x:v>ORD-2025-00094</x:v>
      </x:c>
      <x:c r="I27" t="str">
        <x:v>JC_HE</x:v>
      </x:c>
      <x:c r="J27" t="str">
        <x:v>HE</x:v>
      </x:c>
      <x:c r="K27" t="str">
        <x:v>Gob Distributor Jam</x:v>
      </x:c>
      <x:c r="L27" s="64"/>
      <x:c r="M27" s="64"/>
      <x:c r="N27" t="n">
        <x:v>0.47</x:v>
      </x:c>
      <x:c r="O27"/>
      <x:c r="P27"/>
      <x:c r="Q27"/>
      <x:c r="R27"/>
      <x:c r="S27" s="62"/>
      <x:c r="T27" t="str">
        <x:f>IF(A27="","",IF(COUNTIF(JobChange!$S$5:$S$200,B27)=1,"OK","CHECK"))</x:f>
        <x:v>OK</x:v>
      </x:c>
      <x:c r="U27" t="str">
        <x:f>IF(A27="","",IF(COUNTIF(DailyProduction!$Q$5:$Q$500,C27)=1,"OK","CHECK"))</x:f>
        <x:v>OK</x:v>
      </x:c>
      <x:c r="V27" t="str">
        <x:f>IF(A27="","",IF(COUNTIF($A$5:$A$1000,A27)=1,"OK","CHECK"))</x:f>
        <x:v>OK</x:v>
      </x:c>
      <x:c r="W27" t="str">
        <x:f>IF(A27="","",IF(OR(J27="T23",J27="T24",J27="Trial",K27&lt;&gt;""),"OK","CHECK"))</x:f>
        <x:v>OK</x:v>
      </x:c>
      <x:c r="X27" t="str">
        <x:f>IF(A27="","",IF(AND(N27&gt;0,OR(AND(L27="",M27=""),AND(L27&lt;&gt;"",M27&lt;&gt;"",M27&gt;=L27,ABS(N27-((M27-L27)*24))&lt;=0.01))),"OK","CHECK"))</x:f>
        <x:v>OK</x:v>
      </x:c>
      <x:c r="Y27" t="n">
        <x:f>IF(A27="","",COUNTIF(JobChangeImpact!$AC$5:$AC$1000,A27))</x:f>
        <x:v>1</x:v>
      </x:c>
      <x:c r="Z27" t="n">
        <x:f>IF(A27="","",SUMIF(JobChangeImpact!$AC$5:$AC$1000,A27,JobChangeImpact!$T$5:$T$1000))</x:f>
        <x:v>1</x:v>
      </x:c>
      <x:c r="AA27" t="n">
        <x:f>IF(A27="","",SUMIF(JobChangeImpact!$AC$5:$AC$1000,A27,JobChangeImpact!$U$5:$U$1000))</x:f>
        <x:v>0.47</x:v>
      </x:c>
      <x:c r="AB27" t="n">
        <x:f>IF(A27="","",SUMIF(JobChangeImpact!$AC$5:$AC$1000,A27,JobChangeImpact!$W$5:$W$1000))</x:f>
        <x:v>6768</x:v>
      </x:c>
      <x:c r="AC27" t="str">
        <x:f>IF(A27="","",IF(AND(Y27&gt;=1,Z27&gt;0,Z27&lt;=1,COUNTIFS(JobChangeImpact!$AC$5:$AC$1000,A27,JobChangeImpact!$AJ$5:$AJ$1000,"CHECK")=0),"OK","CHECK"))</x:f>
        <x:v>OK</x:v>
      </x:c>
      <x:c r="AD27" t="str">
        <x:f>IF(A27="","",IF(AND(T27="OK",U27="OK",V27="OK",W27="OK",X27="OK",AC27="OK"),"OK","CHECK"))</x:f>
        <x:v>OK</x:v>
      </x:c>
      <x:c r="AE27" t="str">
        <x:f>IF(A27="","",IF(AD27="OK","LOAD","QUARANTINE"))</x:f>
        <x:v>LOAD</x:v>
      </x:c>
      <x:c r="AF27"/>
      <x:c r="AG27"/>
      <x:c r="AH27"/>
      <x:c r="AI27"/>
      <x:c r="AJ27" t="str">
        <x:v>02_Supervisor_Log(4).xlsx</x:v>
      </x:c>
      <x:c r="AK27" t="str">
        <x:v>ENH-20260830-01</x:v>
      </x:c>
      <x:c r="AL27" t="str">
        <x:v>Active</x:v>
      </x:c>
    </x:row>
    <x:row r="28">
      <x:c r="A28" t="str">
        <x:v>JCL-000024</x:v>
      </x:c>
      <x:c r="B28" t="str">
        <x:v>JC-KG01-L23-20251026-AM-ORD-2025-00093-ORD-2025-00094</x:v>
      </x:c>
      <x:c r="C28" t="str">
        <x:v>PE-KG01-L23-20251026-AM-ORD-2025-00094</x:v>
      </x:c>
      <x:c r="D28" t="str">
        <x:v>KG01</x:v>
      </x:c>
      <x:c r="E28" t="n">
        <x:v>23</x:v>
      </x:c>
      <x:c r="F28" s="62" t="n">
        <x:v>45956</x:v>
      </x:c>
      <x:c r="G28" t="str">
        <x:v>AM</x:v>
      </x:c>
      <x:c r="H28" t="str">
        <x:v>ORD-2025-00094</x:v>
      </x:c>
      <x:c r="I28" t="str">
        <x:v>JC_CE</x:v>
      </x:c>
      <x:c r="J28" t="str">
        <x:v>CE</x:v>
      </x:c>
      <x:c r="K28" t="str">
        <x:v>Conveyor Speed Mismatch</x:v>
      </x:c>
      <x:c r="L28" s="64"/>
      <x:c r="M28" s="64"/>
      <x:c r="N28" t="n">
        <x:v>0.39</x:v>
      </x:c>
      <x:c r="O28"/>
      <x:c r="P28"/>
      <x:c r="Q28"/>
      <x:c r="R28"/>
      <x:c r="S28" s="62"/>
      <x:c r="T28" t="str">
        <x:f>IF(A28="","",IF(COUNTIF(JobChange!$S$5:$S$200,B28)=1,"OK","CHECK"))</x:f>
        <x:v>OK</x:v>
      </x:c>
      <x:c r="U28" t="str">
        <x:f>IF(A28="","",IF(COUNTIF(DailyProduction!$Q$5:$Q$500,C28)=1,"OK","CHECK"))</x:f>
        <x:v>OK</x:v>
      </x:c>
      <x:c r="V28" t="str">
        <x:f>IF(A28="","",IF(COUNTIF($A$5:$A$1000,A28)=1,"OK","CHECK"))</x:f>
        <x:v>OK</x:v>
      </x:c>
      <x:c r="W28" t="str">
        <x:f>IF(A28="","",IF(OR(J28="T24",J28="T25",J28="Trial",K28&lt;&gt;""),"OK","CHECK"))</x:f>
        <x:v>OK</x:v>
      </x:c>
      <x:c r="X28" t="str">
        <x:f>IF(A28="","",IF(AND(N28&gt;0,OR(AND(L28="",M28=""),AND(L28&lt;&gt;"",M28&lt;&gt;"",M28&gt;=L28,ABS(N28-((M28-L28)*24))&lt;=0.01))),"OK","CHECK"))</x:f>
        <x:v>OK</x:v>
      </x:c>
      <x:c r="Y28" t="n">
        <x:f>IF(A28="","",COUNTIF(JobChangeImpact!$AC$5:$AC$1000,A28))</x:f>
        <x:v>1</x:v>
      </x:c>
      <x:c r="Z28" t="n">
        <x:f>IF(A28="","",SUMIF(JobChangeImpact!$AC$5:$AC$1000,A28,JobChangeImpact!$T$5:$T$1000))</x:f>
        <x:v>1</x:v>
      </x:c>
      <x:c r="AA28" t="n">
        <x:f>IF(A28="","",SUMIF(JobChangeImpact!$AC$5:$AC$1000,A28,JobChangeImpact!$U$5:$U$1000))</x:f>
        <x:v>0.39</x:v>
      </x:c>
      <x:c r="AB28" t="n">
        <x:f>IF(A28="","",SUMIF(JobChangeImpact!$AC$5:$AC$1000,A28,JobChangeImpact!$W$5:$W$1000))</x:f>
        <x:v>5616.000000000001</x:v>
      </x:c>
      <x:c r="AC28" t="str">
        <x:f>IF(A28="","",IF(AND(Y28&gt;=1,Z28&gt;0,Z28&lt;=1,COUNTIFS(JobChangeImpact!$AC$5:$AC$1000,A28,JobChangeImpact!$AJ$5:$AJ$1000,"CHECK")=0),"OK","CHECK"))</x:f>
        <x:v>OK</x:v>
      </x:c>
      <x:c r="AD28" t="str">
        <x:f>IF(A28="","",IF(AND(T28="OK",U28="OK",V28="OK",W28="OK",X28="OK",AC28="OK"),"OK","CHECK"))</x:f>
        <x:v>OK</x:v>
      </x:c>
      <x:c r="AE28" t="str">
        <x:f>IF(A28="","",IF(AD28="OK","LOAD","QUARANTINE"))</x:f>
        <x:v>LOAD</x:v>
      </x:c>
      <x:c r="AF28"/>
      <x:c r="AG28"/>
      <x:c r="AH28"/>
      <x:c r="AI28"/>
      <x:c r="AJ28" t="str">
        <x:v>02_Supervisor_Log(4).xlsx</x:v>
      </x:c>
      <x:c r="AK28" t="str">
        <x:v>ENH-20260830-01</x:v>
      </x:c>
      <x:c r="AL28" t="str">
        <x:v>Active</x:v>
      </x:c>
    </x:row>
    <x:row r="29">
      <x:c r="A29" t="str">
        <x:v>JCL-000025</x:v>
      </x:c>
      <x:c r="B29" t="str">
        <x:v>JC-KG01-L24-20251021-AM-ORD-2025-00124-ORD-2025-00125</x:v>
      </x:c>
      <x:c r="C29" t="str">
        <x:v>PE-KG01-L24-20251021-AM-ORD-2025-00125</x:v>
      </x:c>
      <x:c r="D29" t="str">
        <x:v>KG01</x:v>
      </x:c>
      <x:c r="E29" t="n">
        <x:v>24</x:v>
      </x:c>
      <x:c r="F29" s="62" t="n">
        <x:v>45951</x:v>
      </x:c>
      <x:c r="G29" t="str">
        <x:v>AM</x:v>
      </x:c>
      <x:c r="H29" t="str">
        <x:v>ORD-2025-00125</x:v>
      </x:c>
      <x:c r="I29" t="str">
        <x:v>JC_T1</x:v>
      </x:c>
      <x:c r="J29" t="str">
        <x:v>T1</x:v>
      </x:c>
      <x:c r="K29" t="str">
        <x:v>Historical summary</x:v>
      </x:c>
      <x:c r="L29" s="64"/>
      <x:c r="M29" s="64"/>
      <x:c r="N29" t="n">
        <x:v>3.5</x:v>
      </x:c>
      <x:c r="O29"/>
      <x:c r="P29"/>
      <x:c r="Q29"/>
      <x:c r="R29"/>
      <x:c r="S29" s="62"/>
      <x:c r="T29" t="str">
        <x:f>IF(A29="","",IF(COUNTIF(JobChange!$S$5:$S$200,B29)=1,"OK","CHECK"))</x:f>
        <x:v>OK</x:v>
      </x:c>
      <x:c r="U29" t="str">
        <x:f>IF(A29="","",IF(COUNTIF(DailyProduction!$Q$5:$Q$500,C29)=1,"OK","CHECK"))</x:f>
        <x:v>OK</x:v>
      </x:c>
      <x:c r="V29" t="str">
        <x:f>IF(A29="","",IF(COUNTIF($A$5:$A$1000,A29)=1,"OK","CHECK"))</x:f>
        <x:v>OK</x:v>
      </x:c>
      <x:c r="W29" t="str">
        <x:f>IF(A29="","",IF(OR(J29="T25",J29="T26",J29="Trial",K29&lt;&gt;""),"OK","CHECK"))</x:f>
        <x:v>OK</x:v>
      </x:c>
      <x:c r="X29" t="str">
        <x:f>IF(A29="","",IF(AND(N29&gt;0,OR(AND(L29="",M29=""),AND(L29&lt;&gt;"",M29&lt;&gt;"",M29&gt;=L29,ABS(N29-((M29-L29)*24))&lt;=0.01))),"OK","CHECK"))</x:f>
        <x:v>OK</x:v>
      </x:c>
      <x:c r="Y29" t="n">
        <x:f>IF(A29="","",COUNTIF(JobChangeImpact!$AC$5:$AC$1000,A29))</x:f>
        <x:v>1</x:v>
      </x:c>
      <x:c r="Z29" t="n">
        <x:f>IF(A29="","",SUMIF(JobChangeImpact!$AC$5:$AC$1000,A29,JobChangeImpact!$T$5:$T$1000))</x:f>
        <x:v>1</x:v>
      </x:c>
      <x:c r="AA29" t="n">
        <x:f>IF(A29="","",SUMIF(JobChangeImpact!$AC$5:$AC$1000,A29,JobChangeImpact!$U$5:$U$1000))</x:f>
        <x:v>3.5</x:v>
      </x:c>
      <x:c r="AB29" t="n">
        <x:f>IF(A29="","",SUMIF(JobChangeImpact!$AC$5:$AC$1000,A29,JobChangeImpact!$W$5:$W$1000))</x:f>
        <x:v>90720</x:v>
      </x:c>
      <x:c r="AC29" t="str">
        <x:f>IF(A29="","",IF(AND(Y29&gt;=1,Z29&gt;0,Z29&lt;=1,COUNTIFS(JobChangeImpact!$AC$5:$AC$1000,A29,JobChangeImpact!$AJ$5:$AJ$1000,"CHECK")=0),"OK","CHECK"))</x:f>
        <x:v>OK</x:v>
      </x:c>
      <x:c r="AD29" t="str">
        <x:f>IF(A29="","",IF(AND(T29="OK",U29="OK",V29="OK",W29="OK",X29="OK",AC29="OK"),"OK","CHECK"))</x:f>
        <x:v>OK</x:v>
      </x:c>
      <x:c r="AE29" t="str">
        <x:f>IF(A29="","",IF(AD29="OK","LOAD","QUARANTINE"))</x:f>
        <x:v>LOAD</x:v>
      </x:c>
      <x:c r="AF29"/>
      <x:c r="AG29"/>
      <x:c r="AH29"/>
      <x:c r="AI29"/>
      <x:c r="AJ29" t="str">
        <x:v>02_Supervisor_Log(4).xlsx</x:v>
      </x:c>
      <x:c r="AK29" t="str">
        <x:v>ENH-20260830-01</x:v>
      </x:c>
      <x:c r="AL29" t="str">
        <x:v>Active</x:v>
      </x:c>
    </x:row>
    <x:row r="30">
      <x:c r="A30" t="str">
        <x:v>JCL-000026</x:v>
      </x:c>
      <x:c r="B30" t="str">
        <x:v>JC-KG01-L24-20251021-AM-ORD-2025-00124-ORD-2025-00125</x:v>
      </x:c>
      <x:c r="C30" t="str">
        <x:v>PE-KG01-L24-20251021-AM-ORD-2025-00125</x:v>
      </x:c>
      <x:c r="D30" t="str">
        <x:v>KG01</x:v>
      </x:c>
      <x:c r="E30" t="n">
        <x:v>24</x:v>
      </x:c>
      <x:c r="F30" s="62" t="n">
        <x:v>45951</x:v>
      </x:c>
      <x:c r="G30" t="str">
        <x:v>AM</x:v>
      </x:c>
      <x:c r="H30" t="str">
        <x:v>ORD-2025-00125</x:v>
      </x:c>
      <x:c r="I30" t="str">
        <x:v>JC_T2</x:v>
      </x:c>
      <x:c r="J30" t="str">
        <x:v>T2</x:v>
      </x:c>
      <x:c r="K30" t="str">
        <x:v>Historical summary</x:v>
      </x:c>
      <x:c r="L30" s="64"/>
      <x:c r="M30" s="64"/>
      <x:c r="N30" t="n">
        <x:v>0.76</x:v>
      </x:c>
      <x:c r="O30"/>
      <x:c r="P30"/>
      <x:c r="Q30"/>
      <x:c r="R30"/>
      <x:c r="S30" s="62"/>
      <x:c r="T30" t="str">
        <x:f>IF(A30="","",IF(COUNTIF(JobChange!$S$5:$S$200,B30)=1,"OK","CHECK"))</x:f>
        <x:v>OK</x:v>
      </x:c>
      <x:c r="U30" t="str">
        <x:f>IF(A30="","",IF(COUNTIF(DailyProduction!$Q$5:$Q$500,C30)=1,"OK","CHECK"))</x:f>
        <x:v>OK</x:v>
      </x:c>
      <x:c r="V30" t="str">
        <x:f>IF(A30="","",IF(COUNTIF($A$5:$A$1000,A30)=1,"OK","CHECK"))</x:f>
        <x:v>OK</x:v>
      </x:c>
      <x:c r="W30" t="str">
        <x:f>IF(A30="","",IF(OR(J30="T26",J30="T27",J30="Trial",K30&lt;&gt;""),"OK","CHECK"))</x:f>
        <x:v>OK</x:v>
      </x:c>
      <x:c r="X30" t="str">
        <x:f>IF(A30="","",IF(AND(N30&gt;0,OR(AND(L30="",M30=""),AND(L30&lt;&gt;"",M30&lt;&gt;"",M30&gt;=L30,ABS(N30-((M30-L30)*24))&lt;=0.01))),"OK","CHECK"))</x:f>
        <x:v>OK</x:v>
      </x:c>
      <x:c r="Y30" t="n">
        <x:f>IF(A30="","",COUNTIF(JobChangeImpact!$AC$5:$AC$1000,A30))</x:f>
        <x:v>1</x:v>
      </x:c>
      <x:c r="Z30" t="n">
        <x:f>IF(A30="","",SUMIF(JobChangeImpact!$AC$5:$AC$1000,A30,JobChangeImpact!$T$5:$T$1000))</x:f>
        <x:v>1</x:v>
      </x:c>
      <x:c r="AA30" t="n">
        <x:f>IF(A30="","",SUMIF(JobChangeImpact!$AC$5:$AC$1000,A30,JobChangeImpact!$U$5:$U$1000))</x:f>
        <x:v>0.76</x:v>
      </x:c>
      <x:c r="AB30" t="n">
        <x:f>IF(A30="","",SUMIF(JobChangeImpact!$AC$5:$AC$1000,A30,JobChangeImpact!$W$5:$W$1000))</x:f>
        <x:v>19699.2</x:v>
      </x:c>
      <x:c r="AC30" t="str">
        <x:f>IF(A30="","",IF(AND(Y30&gt;=1,Z30&gt;0,Z30&lt;=1,COUNTIFS(JobChangeImpact!$AC$5:$AC$1000,A30,JobChangeImpact!$AJ$5:$AJ$1000,"CHECK")=0),"OK","CHECK"))</x:f>
        <x:v>OK</x:v>
      </x:c>
      <x:c r="AD30" t="str">
        <x:f>IF(A30="","",IF(AND(T30="OK",U30="OK",V30="OK",W30="OK",X30="OK",AC30="OK"),"OK","CHECK"))</x:f>
        <x:v>OK</x:v>
      </x:c>
      <x:c r="AE30" t="str">
        <x:f>IF(A30="","",IF(AD30="OK","LOAD","QUARANTINE"))</x:f>
        <x:v>LOAD</x:v>
      </x:c>
      <x:c r="AF30"/>
      <x:c r="AG30"/>
      <x:c r="AH30"/>
      <x:c r="AI30"/>
      <x:c r="AJ30" t="str">
        <x:v>02_Supervisor_Log(4).xlsx</x:v>
      </x:c>
      <x:c r="AK30" t="str">
        <x:v>ENH-20260830-01</x:v>
      </x:c>
      <x:c r="AL30" t="str">
        <x:v>Active</x:v>
      </x:c>
    </x:row>
    <x:row r="31">
      <x:c r="A31" t="str">
        <x:v>JCL-000027</x:v>
      </x:c>
      <x:c r="B31" t="str">
        <x:v>JC-KG01-L24-20251021-AM-ORD-2025-00124-ORD-2025-00125</x:v>
      </x:c>
      <x:c r="C31" t="str">
        <x:v>PE-KG01-L24-20251021-AM-ORD-2025-00125</x:v>
      </x:c>
      <x:c r="D31" t="str">
        <x:v>KG01</x:v>
      </x:c>
      <x:c r="E31" t="n">
        <x:v>24</x:v>
      </x:c>
      <x:c r="F31" s="62" t="n">
        <x:v>45951</x:v>
      </x:c>
      <x:c r="G31" t="str">
        <x:v>AM</x:v>
      </x:c>
      <x:c r="H31" t="str">
        <x:v>ORD-2025-00125</x:v>
      </x:c>
      <x:c r="I31" t="str">
        <x:v>JC_TRIAL</x:v>
      </x:c>
      <x:c r="J31" t="str">
        <x:v>Trial</x:v>
      </x:c>
      <x:c r="K31" t="str">
        <x:v>Historical summary</x:v>
      </x:c>
      <x:c r="L31" s="64"/>
      <x:c r="M31" s="64"/>
      <x:c r="N31" t="n">
        <x:v>0.5</x:v>
      </x:c>
      <x:c r="O31"/>
      <x:c r="P31"/>
      <x:c r="Q31"/>
      <x:c r="R31"/>
      <x:c r="S31" s="62"/>
      <x:c r="T31" t="str">
        <x:f>IF(A31="","",IF(COUNTIF(JobChange!$S$5:$S$200,B31)=1,"OK","CHECK"))</x:f>
        <x:v>OK</x:v>
      </x:c>
      <x:c r="U31" t="str">
        <x:f>IF(A31="","",IF(COUNTIF(DailyProduction!$Q$5:$Q$500,C31)=1,"OK","CHECK"))</x:f>
        <x:v>OK</x:v>
      </x:c>
      <x:c r="V31" t="str">
        <x:f>IF(A31="","",IF(COUNTIF($A$5:$A$1000,A31)=1,"OK","CHECK"))</x:f>
        <x:v>OK</x:v>
      </x:c>
      <x:c r="W31" t="str">
        <x:f>IF(A31="","",IF(OR(J31="T27",J31="T28",J31="Trial",K31&lt;&gt;""),"OK","CHECK"))</x:f>
        <x:v>OK</x:v>
      </x:c>
      <x:c r="X31" t="str">
        <x:f>IF(A31="","",IF(AND(N31&gt;0,OR(AND(L31="",M31=""),AND(L31&lt;&gt;"",M31&lt;&gt;"",M31&gt;=L31,ABS(N31-((M31-L31)*24))&lt;=0.01))),"OK","CHECK"))</x:f>
        <x:v>OK</x:v>
      </x:c>
      <x:c r="Y31" t="n">
        <x:f>IF(A31="","",COUNTIF(JobChangeImpact!$AC$5:$AC$1000,A31))</x:f>
        <x:v>1</x:v>
      </x:c>
      <x:c r="Z31" t="n">
        <x:f>IF(A31="","",SUMIF(JobChangeImpact!$AC$5:$AC$1000,A31,JobChangeImpact!$T$5:$T$1000))</x:f>
        <x:v>1</x:v>
      </x:c>
      <x:c r="AA31" t="n">
        <x:f>IF(A31="","",SUMIF(JobChangeImpact!$AC$5:$AC$1000,A31,JobChangeImpact!$U$5:$U$1000))</x:f>
        <x:v>0.5</x:v>
      </x:c>
      <x:c r="AB31" t="n">
        <x:f>IF(A31="","",SUMIF(JobChangeImpact!$AC$5:$AC$1000,A31,JobChangeImpact!$W$5:$W$1000))</x:f>
        <x:v>12960</x:v>
      </x:c>
      <x:c r="AC31" t="str">
        <x:f>IF(A31="","",IF(AND(Y31&gt;=1,Z31&gt;0,Z31&lt;=1,COUNTIFS(JobChangeImpact!$AC$5:$AC$1000,A31,JobChangeImpact!$AJ$5:$AJ$1000,"CHECK")=0),"OK","CHECK"))</x:f>
        <x:v>OK</x:v>
      </x:c>
      <x:c r="AD31" t="str">
        <x:f>IF(A31="","",IF(AND(T31="OK",U31="OK",V31="OK",W31="OK",X31="OK",AC31="OK"),"OK","CHECK"))</x:f>
        <x:v>OK</x:v>
      </x:c>
      <x:c r="AE31" t="str">
        <x:f>IF(A31="","",IF(AD31="OK","LOAD","QUARANTINE"))</x:f>
        <x:v>LOAD</x:v>
      </x:c>
      <x:c r="AF31"/>
      <x:c r="AG31"/>
      <x:c r="AH31"/>
      <x:c r="AI31"/>
      <x:c r="AJ31" t="str">
        <x:v>02_Supervisor_Log(4).xlsx</x:v>
      </x:c>
      <x:c r="AK31" t="str">
        <x:v>ENH-20260830-01</x:v>
      </x:c>
      <x:c r="AL31" t="str">
        <x:v>Active</x:v>
      </x:c>
    </x:row>
    <x:row r="32">
      <x:c r="A32" t="str">
        <x:v>JCL-000028</x:v>
      </x:c>
      <x:c r="B32" t="str">
        <x:v>JC-KG01-L24-20251025-AM-ORD-2025-00125-ORD-2025-00126</x:v>
      </x:c>
      <x:c r="C32" t="str">
        <x:v>PE-KG01-L24-20251025-AM-ORD-2025-00126</x:v>
      </x:c>
      <x:c r="D32" t="str">
        <x:v>KG01</x:v>
      </x:c>
      <x:c r="E32" t="n">
        <x:v>24</x:v>
      </x:c>
      <x:c r="F32" s="62" t="n">
        <x:v>45955</x:v>
      </x:c>
      <x:c r="G32" t="str">
        <x:v>AM</x:v>
      </x:c>
      <x:c r="H32" t="str">
        <x:v>ORD-2025-00126</x:v>
      </x:c>
      <x:c r="I32" t="str">
        <x:v>JC_T1</x:v>
      </x:c>
      <x:c r="J32" t="str">
        <x:v>T1</x:v>
      </x:c>
      <x:c r="K32" t="str">
        <x:v>Historical summary</x:v>
      </x:c>
      <x:c r="L32" s="64"/>
      <x:c r="M32" s="64"/>
      <x:c r="N32" t="n">
        <x:v>1.35</x:v>
      </x:c>
      <x:c r="O32"/>
      <x:c r="P32"/>
      <x:c r="Q32"/>
      <x:c r="R32"/>
      <x:c r="S32" s="62"/>
      <x:c r="T32" t="str">
        <x:f>IF(A32="","",IF(COUNTIF(JobChange!$S$5:$S$200,B32)=1,"OK","CHECK"))</x:f>
        <x:v>OK</x:v>
      </x:c>
      <x:c r="U32" t="str">
        <x:f>IF(A32="","",IF(COUNTIF(DailyProduction!$Q$5:$Q$500,C32)=1,"OK","CHECK"))</x:f>
        <x:v>OK</x:v>
      </x:c>
      <x:c r="V32" t="str">
        <x:f>IF(A32="","",IF(COUNTIF($A$5:$A$1000,A32)=1,"OK","CHECK"))</x:f>
        <x:v>OK</x:v>
      </x:c>
      <x:c r="W32" t="str">
        <x:f>IF(A32="","",IF(OR(J32="T28",J32="T29",J32="Trial",K32&lt;&gt;""),"OK","CHECK"))</x:f>
        <x:v>OK</x:v>
      </x:c>
      <x:c r="X32" t="str">
        <x:f>IF(A32="","",IF(AND(N32&gt;0,OR(AND(L32="",M32=""),AND(L32&lt;&gt;"",M32&lt;&gt;"",M32&gt;=L32,ABS(N32-((M32-L32)*24))&lt;=0.01))),"OK","CHECK"))</x:f>
        <x:v>OK</x:v>
      </x:c>
      <x:c r="Y32" t="n">
        <x:f>IF(A32="","",COUNTIF(JobChangeImpact!$AC$5:$AC$1000,A32))</x:f>
        <x:v>1</x:v>
      </x:c>
      <x:c r="Z32" t="n">
        <x:f>IF(A32="","",SUMIF(JobChangeImpact!$AC$5:$AC$1000,A32,JobChangeImpact!$T$5:$T$1000))</x:f>
        <x:v>1</x:v>
      </x:c>
      <x:c r="AA32" t="n">
        <x:f>IF(A32="","",SUMIF(JobChangeImpact!$AC$5:$AC$1000,A32,JobChangeImpact!$U$5:$U$1000))</x:f>
        <x:v>1.35</x:v>
      </x:c>
      <x:c r="AB32" t="n">
        <x:f>IF(A32="","",SUMIF(JobChangeImpact!$AC$5:$AC$1000,A32,JobChangeImpact!$W$5:$W$1000))</x:f>
        <x:v>21384</x:v>
      </x:c>
      <x:c r="AC32" t="str">
        <x:f>IF(A32="","",IF(AND(Y32&gt;=1,Z32&gt;0,Z32&lt;=1,COUNTIFS(JobChangeImpact!$AC$5:$AC$1000,A32,JobChangeImpact!$AJ$5:$AJ$1000,"CHECK")=0),"OK","CHECK"))</x:f>
        <x:v>OK</x:v>
      </x:c>
      <x:c r="AD32" t="str">
        <x:f>IF(A32="","",IF(AND(T32="OK",U32="OK",V32="OK",W32="OK",X32="OK",AC32="OK"),"OK","CHECK"))</x:f>
        <x:v>OK</x:v>
      </x:c>
      <x:c r="AE32" t="str">
        <x:f>IF(A32="","",IF(AD32="OK","LOAD","QUARANTINE"))</x:f>
        <x:v>LOAD</x:v>
      </x:c>
      <x:c r="AF32"/>
      <x:c r="AG32"/>
      <x:c r="AH32"/>
      <x:c r="AI32"/>
      <x:c r="AJ32" t="str">
        <x:v>02_Supervisor_Log(4).xlsx</x:v>
      </x:c>
      <x:c r="AK32" t="str">
        <x:v>ENH-20260830-01</x:v>
      </x:c>
      <x:c r="AL32" t="str">
        <x:v>Active</x:v>
      </x:c>
    </x:row>
    <x:row r="33">
      <x:c r="A33" t="str">
        <x:v>JCL-000029</x:v>
      </x:c>
      <x:c r="B33" t="str">
        <x:v>JC-KG01-L24-20251025-AM-ORD-2025-00125-ORD-2025-00126</x:v>
      </x:c>
      <x:c r="C33" t="str">
        <x:v>PE-KG01-L24-20251025-AM-ORD-2025-00126</x:v>
      </x:c>
      <x:c r="D33" t="str">
        <x:v>KG01</x:v>
      </x:c>
      <x:c r="E33" t="n">
        <x:v>24</x:v>
      </x:c>
      <x:c r="F33" s="62" t="n">
        <x:v>45955</x:v>
      </x:c>
      <x:c r="G33" t="str">
        <x:v>AM</x:v>
      </x:c>
      <x:c r="H33" t="str">
        <x:v>ORD-2025-00126</x:v>
      </x:c>
      <x:c r="I33" t="str">
        <x:v>JC_T2</x:v>
      </x:c>
      <x:c r="J33" t="str">
        <x:v>T2</x:v>
      </x:c>
      <x:c r="K33" t="str">
        <x:v>Historical summary</x:v>
      </x:c>
      <x:c r="L33" s="64"/>
      <x:c r="M33" s="64"/>
      <x:c r="N33" t="n">
        <x:v>0.42</x:v>
      </x:c>
      <x:c r="O33"/>
      <x:c r="P33"/>
      <x:c r="Q33"/>
      <x:c r="R33"/>
      <x:c r="S33" s="62"/>
      <x:c r="T33" t="str">
        <x:f>IF(A33="","",IF(COUNTIF(JobChange!$S$5:$S$200,B33)=1,"OK","CHECK"))</x:f>
        <x:v>OK</x:v>
      </x:c>
      <x:c r="U33" t="str">
        <x:f>IF(A33="","",IF(COUNTIF(DailyProduction!$Q$5:$Q$500,C33)=1,"OK","CHECK"))</x:f>
        <x:v>OK</x:v>
      </x:c>
      <x:c r="V33" t="str">
        <x:f>IF(A33="","",IF(COUNTIF($A$5:$A$1000,A33)=1,"OK","CHECK"))</x:f>
        <x:v>OK</x:v>
      </x:c>
      <x:c r="W33" t="str">
        <x:f>IF(A33="","",IF(OR(J33="T29",J33="T30",J33="Trial",K33&lt;&gt;""),"OK","CHECK"))</x:f>
        <x:v>OK</x:v>
      </x:c>
      <x:c r="X33" t="str">
        <x:f>IF(A33="","",IF(AND(N33&gt;0,OR(AND(L33="",M33=""),AND(L33&lt;&gt;"",M33&lt;&gt;"",M33&gt;=L33,ABS(N33-((M33-L33)*24))&lt;=0.01))),"OK","CHECK"))</x:f>
        <x:v>OK</x:v>
      </x:c>
      <x:c r="Y33" t="n">
        <x:f>IF(A33="","",COUNTIF(JobChangeImpact!$AC$5:$AC$1000,A33))</x:f>
        <x:v>1</x:v>
      </x:c>
      <x:c r="Z33" t="n">
        <x:f>IF(A33="","",SUMIF(JobChangeImpact!$AC$5:$AC$1000,A33,JobChangeImpact!$T$5:$T$1000))</x:f>
        <x:v>1</x:v>
      </x:c>
      <x:c r="AA33" t="n">
        <x:f>IF(A33="","",SUMIF(JobChangeImpact!$AC$5:$AC$1000,A33,JobChangeImpact!$U$5:$U$1000))</x:f>
        <x:v>0.42</x:v>
      </x:c>
      <x:c r="AB33" t="n">
        <x:f>IF(A33="","",SUMIF(JobChangeImpact!$AC$5:$AC$1000,A33,JobChangeImpact!$W$5:$W$1000))</x:f>
        <x:v>6652.799999999999</x:v>
      </x:c>
      <x:c r="AC33" t="str">
        <x:f>IF(A33="","",IF(AND(Y33&gt;=1,Z33&gt;0,Z33&lt;=1,COUNTIFS(JobChangeImpact!$AC$5:$AC$1000,A33,JobChangeImpact!$AJ$5:$AJ$1000,"CHECK")=0),"OK","CHECK"))</x:f>
        <x:v>OK</x:v>
      </x:c>
      <x:c r="AD33" t="str">
        <x:f>IF(A33="","",IF(AND(T33="OK",U33="OK",V33="OK",W33="OK",X33="OK",AC33="OK"),"OK","CHECK"))</x:f>
        <x:v>OK</x:v>
      </x:c>
      <x:c r="AE33" t="str">
        <x:f>IF(A33="","",IF(AD33="OK","LOAD","QUARANTINE"))</x:f>
        <x:v>LOAD</x:v>
      </x:c>
      <x:c r="AF33"/>
      <x:c r="AG33"/>
      <x:c r="AH33"/>
      <x:c r="AI33"/>
      <x:c r="AJ33" t="str">
        <x:v>02_Supervisor_Log(4).xlsx</x:v>
      </x:c>
      <x:c r="AK33" t="str">
        <x:v>ENH-20260830-01</x:v>
      </x:c>
      <x:c r="AL33" t="str">
        <x:v>Active</x:v>
      </x:c>
    </x:row>
    <x:row r="34">
      <x:c r="A34" t="str">
        <x:v>JCL-000030</x:v>
      </x:c>
      <x:c r="B34" t="str">
        <x:v>JC-KG01-L24-20251025-AM-ORD-2025-00125-ORD-2025-00126</x:v>
      </x:c>
      <x:c r="C34" t="str">
        <x:v>PE-KG01-L24-20251025-AM-ORD-2025-00126</x:v>
      </x:c>
      <x:c r="D34" t="str">
        <x:v>KG01</x:v>
      </x:c>
      <x:c r="E34" t="n">
        <x:v>24</x:v>
      </x:c>
      <x:c r="F34" s="62" t="n">
        <x:v>45955</x:v>
      </x:c>
      <x:c r="G34" t="str">
        <x:v>AM</x:v>
      </x:c>
      <x:c r="H34" t="str">
        <x:v>ORD-2025-00126</x:v>
      </x:c>
      <x:c r="I34" t="str">
        <x:v>JC_TRIAL</x:v>
      </x:c>
      <x:c r="J34" t="str">
        <x:v>Trial</x:v>
      </x:c>
      <x:c r="K34" t="str">
        <x:v>Historical summary</x:v>
      </x:c>
      <x:c r="L34" s="64"/>
      <x:c r="M34" s="64"/>
      <x:c r="N34" t="n">
        <x:v>0.42</x:v>
      </x:c>
      <x:c r="O34"/>
      <x:c r="P34"/>
      <x:c r="Q34"/>
      <x:c r="R34"/>
      <x:c r="S34" s="62"/>
      <x:c r="T34" t="str">
        <x:f>IF(A34="","",IF(COUNTIF(JobChange!$S$5:$S$200,B34)=1,"OK","CHECK"))</x:f>
        <x:v>OK</x:v>
      </x:c>
      <x:c r="U34" t="str">
        <x:f>IF(A34="","",IF(COUNTIF(DailyProduction!$Q$5:$Q$500,C34)=1,"OK","CHECK"))</x:f>
        <x:v>OK</x:v>
      </x:c>
      <x:c r="V34" t="str">
        <x:f>IF(A34="","",IF(COUNTIF($A$5:$A$1000,A34)=1,"OK","CHECK"))</x:f>
        <x:v>OK</x:v>
      </x:c>
      <x:c r="W34" t="str">
        <x:f>IF(A34="","",IF(OR(J34="T30",J34="T31",J34="Trial",K34&lt;&gt;""),"OK","CHECK"))</x:f>
        <x:v>OK</x:v>
      </x:c>
      <x:c r="X34" t="str">
        <x:f>IF(A34="","",IF(AND(N34&gt;0,OR(AND(L34="",M34=""),AND(L34&lt;&gt;"",M34&lt;&gt;"",M34&gt;=L34,ABS(N34-((M34-L34)*24))&lt;=0.01))),"OK","CHECK"))</x:f>
        <x:v>OK</x:v>
      </x:c>
      <x:c r="Y34" t="n">
        <x:f>IF(A34="","",COUNTIF(JobChangeImpact!$AC$5:$AC$1000,A34))</x:f>
        <x:v>1</x:v>
      </x:c>
      <x:c r="Z34" t="n">
        <x:f>IF(A34="","",SUMIF(JobChangeImpact!$AC$5:$AC$1000,A34,JobChangeImpact!$T$5:$T$1000))</x:f>
        <x:v>1</x:v>
      </x:c>
      <x:c r="AA34" t="n">
        <x:f>IF(A34="","",SUMIF(JobChangeImpact!$AC$5:$AC$1000,A34,JobChangeImpact!$U$5:$U$1000))</x:f>
        <x:v>0.42</x:v>
      </x:c>
      <x:c r="AB34" t="n">
        <x:f>IF(A34="","",SUMIF(JobChangeImpact!$AC$5:$AC$1000,A34,JobChangeImpact!$W$5:$W$1000))</x:f>
        <x:v>6652.799999999999</x:v>
      </x:c>
      <x:c r="AC34" t="str">
        <x:f>IF(A34="","",IF(AND(Y34&gt;=1,Z34&gt;0,Z34&lt;=1,COUNTIFS(JobChangeImpact!$AC$5:$AC$1000,A34,JobChangeImpact!$AJ$5:$AJ$1000,"CHECK")=0),"OK","CHECK"))</x:f>
        <x:v>OK</x:v>
      </x:c>
      <x:c r="AD34" t="str">
        <x:f>IF(A34="","",IF(AND(T34="OK",U34="OK",V34="OK",W34="OK",X34="OK",AC34="OK"),"OK","CHECK"))</x:f>
        <x:v>OK</x:v>
      </x:c>
      <x:c r="AE34" t="str">
        <x:f>IF(A34="","",IF(AD34="OK","LOAD","QUARANTINE"))</x:f>
        <x:v>LOAD</x:v>
      </x:c>
      <x:c r="AF34"/>
      <x:c r="AG34"/>
      <x:c r="AH34"/>
      <x:c r="AI34"/>
      <x:c r="AJ34" t="str">
        <x:v>02_Supervisor_Log(4).xlsx</x:v>
      </x:c>
      <x:c r="AK34" t="str">
        <x:v>ENH-20260830-01</x:v>
      </x:c>
      <x:c r="AL34" t="str">
        <x:v>Active</x:v>
      </x:c>
    </x:row>
    <x:row r="35">
      <x:c r="A35" t="str">
        <x:v>JCL-000031</x:v>
      </x:c>
      <x:c r="B35" t="str">
        <x:v>JC-KG01-L25-20251023-AM-ORD-2025-00161-ORD-2025-00162</x:v>
      </x:c>
      <x:c r="C35" t="str">
        <x:v>PE-KG01-L25-20251023-AM-ORD-2025-00162</x:v>
      </x:c>
      <x:c r="D35" t="str">
        <x:v>KG01</x:v>
      </x:c>
      <x:c r="E35" t="n">
        <x:v>25</x:v>
      </x:c>
      <x:c r="F35" s="62" t="n">
        <x:v>45953</x:v>
      </x:c>
      <x:c r="G35" t="str">
        <x:v>AM</x:v>
      </x:c>
      <x:c r="H35" t="str">
        <x:v>ORD-2025-00162</x:v>
      </x:c>
      <x:c r="I35" t="str">
        <x:v>JC_T1</x:v>
      </x:c>
      <x:c r="J35" t="str">
        <x:v>T1</x:v>
      </x:c>
      <x:c r="K35" t="str">
        <x:v>Historical summary</x:v>
      </x:c>
      <x:c r="L35" s="64"/>
      <x:c r="M35" s="64"/>
      <x:c r="N35" t="n">
        <x:v>2.75</x:v>
      </x:c>
      <x:c r="O35"/>
      <x:c r="P35"/>
      <x:c r="Q35"/>
      <x:c r="R35"/>
      <x:c r="S35" s="62"/>
      <x:c r="T35" t="str">
        <x:f>IF(A35="","",IF(COUNTIF(JobChange!$S$5:$S$200,B35)=1,"OK","CHECK"))</x:f>
        <x:v>OK</x:v>
      </x:c>
      <x:c r="U35" t="str">
        <x:f>IF(A35="","",IF(COUNTIF(DailyProduction!$Q$5:$Q$500,C35)=1,"OK","CHECK"))</x:f>
        <x:v>OK</x:v>
      </x:c>
      <x:c r="V35" t="str">
        <x:f>IF(A35="","",IF(COUNTIF($A$5:$A$1000,A35)=1,"OK","CHECK"))</x:f>
        <x:v>OK</x:v>
      </x:c>
      <x:c r="W35" t="str">
        <x:f>IF(A35="","",IF(OR(J35="T31",J35="T32",J35="Trial",K35&lt;&gt;""),"OK","CHECK"))</x:f>
        <x:v>OK</x:v>
      </x:c>
      <x:c r="X35" t="str">
        <x:f>IF(A35="","",IF(AND(N35&gt;0,OR(AND(L35="",M35=""),AND(L35&lt;&gt;"",M35&lt;&gt;"",M35&gt;=L35,ABS(N35-((M35-L35)*24))&lt;=0.01))),"OK","CHECK"))</x:f>
        <x:v>OK</x:v>
      </x:c>
      <x:c r="Y35" t="n">
        <x:f>IF(A35="","",COUNTIF(JobChangeImpact!$AC$5:$AC$1000,A35))</x:f>
        <x:v>1</x:v>
      </x:c>
      <x:c r="Z35" t="n">
        <x:f>IF(A35="","",SUMIF(JobChangeImpact!$AC$5:$AC$1000,A35,JobChangeImpact!$T$5:$T$1000))</x:f>
        <x:v>1</x:v>
      </x:c>
      <x:c r="AA35" t="n">
        <x:f>IF(A35="","",SUMIF(JobChangeImpact!$AC$5:$AC$1000,A35,JobChangeImpact!$U$5:$U$1000))</x:f>
        <x:v>2.75</x:v>
      </x:c>
      <x:c r="AB35" t="n">
        <x:f>IF(A35="","",SUMIF(JobChangeImpact!$AC$5:$AC$1000,A35,JobChangeImpact!$W$5:$W$1000))</x:f>
        <x:v>47520</x:v>
      </x:c>
      <x:c r="AC35" t="str">
        <x:f>IF(A35="","",IF(AND(Y35&gt;=1,Z35&gt;0,Z35&lt;=1,COUNTIFS(JobChangeImpact!$AC$5:$AC$1000,A35,JobChangeImpact!$AJ$5:$AJ$1000,"CHECK")=0),"OK","CHECK"))</x:f>
        <x:v>OK</x:v>
      </x:c>
      <x:c r="AD35" t="str">
        <x:f>IF(A35="","",IF(AND(T35="OK",U35="OK",V35="OK",W35="OK",X35="OK",AC35="OK"),"OK","CHECK"))</x:f>
        <x:v>OK</x:v>
      </x:c>
      <x:c r="AE35" t="str">
        <x:f>IF(A35="","",IF(AD35="OK","LOAD","QUARANTINE"))</x:f>
        <x:v>LOAD</x:v>
      </x:c>
      <x:c r="AF35"/>
      <x:c r="AG35"/>
      <x:c r="AH35"/>
      <x:c r="AI35"/>
      <x:c r="AJ35" t="str">
        <x:v>02_Supervisor_Log(4).xlsx</x:v>
      </x:c>
      <x:c r="AK35" t="str">
        <x:v>ENH-20260830-01</x:v>
      </x:c>
      <x:c r="AL35" t="str">
        <x:v>Active</x:v>
      </x:c>
    </x:row>
    <x:row r="36">
      <x:c r="A36" t="str">
        <x:v>JCL-000032</x:v>
      </x:c>
      <x:c r="B36" t="str">
        <x:v>JC-KG01-L25-20251023-AM-ORD-2025-00161-ORD-2025-00162</x:v>
      </x:c>
      <x:c r="C36" t="str">
        <x:v>PE-KG01-L25-20251023-AM-ORD-2025-00162</x:v>
      </x:c>
      <x:c r="D36" t="str">
        <x:v>KG01</x:v>
      </x:c>
      <x:c r="E36" t="n">
        <x:v>25</x:v>
      </x:c>
      <x:c r="F36" s="62" t="n">
        <x:v>45953</x:v>
      </x:c>
      <x:c r="G36" t="str">
        <x:v>AM</x:v>
      </x:c>
      <x:c r="H36" t="str">
        <x:v>ORD-2025-00162</x:v>
      </x:c>
      <x:c r="I36" t="str">
        <x:v>JC_T2</x:v>
      </x:c>
      <x:c r="J36" t="str">
        <x:v>T2</x:v>
      </x:c>
      <x:c r="K36" t="str">
        <x:v>Historical summary</x:v>
      </x:c>
      <x:c r="L36" s="64"/>
      <x:c r="M36" s="64"/>
      <x:c r="N36" t="n">
        <x:v>0.89</x:v>
      </x:c>
      <x:c r="O36"/>
      <x:c r="P36"/>
      <x:c r="Q36"/>
      <x:c r="R36"/>
      <x:c r="S36" s="62"/>
      <x:c r="T36" t="str">
        <x:f>IF(A36="","",IF(COUNTIF(JobChange!$S$5:$S$200,B36)=1,"OK","CHECK"))</x:f>
        <x:v>OK</x:v>
      </x:c>
      <x:c r="U36" t="str">
        <x:f>IF(A36="","",IF(COUNTIF(DailyProduction!$Q$5:$Q$500,C36)=1,"OK","CHECK"))</x:f>
        <x:v>OK</x:v>
      </x:c>
      <x:c r="V36" t="str">
        <x:f>IF(A36="","",IF(COUNTIF($A$5:$A$1000,A36)=1,"OK","CHECK"))</x:f>
        <x:v>OK</x:v>
      </x:c>
      <x:c r="W36" t="str">
        <x:f>IF(A36="","",IF(OR(J36="T32",J36="T33",J36="Trial",K36&lt;&gt;""),"OK","CHECK"))</x:f>
        <x:v>OK</x:v>
      </x:c>
      <x:c r="X36" t="str">
        <x:f>IF(A36="","",IF(AND(N36&gt;0,OR(AND(L36="",M36=""),AND(L36&lt;&gt;"",M36&lt;&gt;"",M36&gt;=L36,ABS(N36-((M36-L36)*24))&lt;=0.01))),"OK","CHECK"))</x:f>
        <x:v>OK</x:v>
      </x:c>
      <x:c r="Y36" t="n">
        <x:f>IF(A36="","",COUNTIF(JobChangeImpact!$AC$5:$AC$1000,A36))</x:f>
        <x:v>1</x:v>
      </x:c>
      <x:c r="Z36" t="n">
        <x:f>IF(A36="","",SUMIF(JobChangeImpact!$AC$5:$AC$1000,A36,JobChangeImpact!$T$5:$T$1000))</x:f>
        <x:v>1</x:v>
      </x:c>
      <x:c r="AA36" t="n">
        <x:f>IF(A36="","",SUMIF(JobChangeImpact!$AC$5:$AC$1000,A36,JobChangeImpact!$U$5:$U$1000))</x:f>
        <x:v>0.89</x:v>
      </x:c>
      <x:c r="AB36" t="n">
        <x:f>IF(A36="","",SUMIF(JobChangeImpact!$AC$5:$AC$1000,A36,JobChangeImpact!$W$5:$W$1000))</x:f>
        <x:v>15379.199999999999</x:v>
      </x:c>
      <x:c r="AC36" t="str">
        <x:f>IF(A36="","",IF(AND(Y36&gt;=1,Z36&gt;0,Z36&lt;=1,COUNTIFS(JobChangeImpact!$AC$5:$AC$1000,A36,JobChangeImpact!$AJ$5:$AJ$1000,"CHECK")=0),"OK","CHECK"))</x:f>
        <x:v>OK</x:v>
      </x:c>
      <x:c r="AD36" t="str">
        <x:f>IF(A36="","",IF(AND(T36="OK",U36="OK",V36="OK",W36="OK",X36="OK",AC36="OK"),"OK","CHECK"))</x:f>
        <x:v>OK</x:v>
      </x:c>
      <x:c r="AE36" t="str">
        <x:f>IF(A36="","",IF(AD36="OK","LOAD","QUARANTINE"))</x:f>
        <x:v>LOAD</x:v>
      </x:c>
      <x:c r="AF36"/>
      <x:c r="AG36"/>
      <x:c r="AH36"/>
      <x:c r="AI36"/>
      <x:c r="AJ36" t="str">
        <x:v>02_Supervisor_Log(4).xlsx</x:v>
      </x:c>
      <x:c r="AK36" t="str">
        <x:v>ENH-20260830-01</x:v>
      </x:c>
      <x:c r="AL36" t="str">
        <x:v>Active</x:v>
      </x:c>
    </x:row>
    <x:row r="37">
      <x:c r="A37" t="str">
        <x:v>JCL-000033</x:v>
      </x:c>
      <x:c r="B37" t="str">
        <x:v>JC-KG01-L25-20251023-AM-ORD-2025-00161-ORD-2025-00162</x:v>
      </x:c>
      <x:c r="C37" t="str">
        <x:v>PE-KG01-L25-20251023-AM-ORD-2025-00162</x:v>
      </x:c>
      <x:c r="D37" t="str">
        <x:v>KG01</x:v>
      </x:c>
      <x:c r="E37" t="n">
        <x:v>25</x:v>
      </x:c>
      <x:c r="F37" s="62" t="n">
        <x:v>45953</x:v>
      </x:c>
      <x:c r="G37" t="str">
        <x:v>AM</x:v>
      </x:c>
      <x:c r="H37" t="str">
        <x:v>ORD-2025-00162</x:v>
      </x:c>
      <x:c r="I37" t="str">
        <x:v>JC_TRIAL</x:v>
      </x:c>
      <x:c r="J37" t="str">
        <x:v>Trial</x:v>
      </x:c>
      <x:c r="K37" t="str">
        <x:v>Historical summary</x:v>
      </x:c>
      <x:c r="L37" s="64"/>
      <x:c r="M37" s="64"/>
      <x:c r="N37" t="n">
        <x:v>0.49</x:v>
      </x:c>
      <x:c r="O37"/>
      <x:c r="P37"/>
      <x:c r="Q37"/>
      <x:c r="R37"/>
      <x:c r="S37" s="62"/>
      <x:c r="T37" t="str">
        <x:f>IF(A37="","",IF(COUNTIF(JobChange!$S$5:$S$200,B37)=1,"OK","CHECK"))</x:f>
        <x:v>OK</x:v>
      </x:c>
      <x:c r="U37" t="str">
        <x:f>IF(A37="","",IF(COUNTIF(DailyProduction!$Q$5:$Q$500,C37)=1,"OK","CHECK"))</x:f>
        <x:v>OK</x:v>
      </x:c>
      <x:c r="V37" t="str">
        <x:f>IF(A37="","",IF(COUNTIF($A$5:$A$1000,A37)=1,"OK","CHECK"))</x:f>
        <x:v>OK</x:v>
      </x:c>
      <x:c r="W37" t="str">
        <x:f>IF(A37="","",IF(OR(J37="T33",J37="T34",J37="Trial",K37&lt;&gt;""),"OK","CHECK"))</x:f>
        <x:v>OK</x:v>
      </x:c>
      <x:c r="X37" t="str">
        <x:f>IF(A37="","",IF(AND(N37&gt;0,OR(AND(L37="",M37=""),AND(L37&lt;&gt;"",M37&lt;&gt;"",M37&gt;=L37,ABS(N37-((M37-L37)*24))&lt;=0.01))),"OK","CHECK"))</x:f>
        <x:v>OK</x:v>
      </x:c>
      <x:c r="Y37" t="n">
        <x:f>IF(A37="","",COUNTIF(JobChangeImpact!$AC$5:$AC$1000,A37))</x:f>
        <x:v>1</x:v>
      </x:c>
      <x:c r="Z37" t="n">
        <x:f>IF(A37="","",SUMIF(JobChangeImpact!$AC$5:$AC$1000,A37,JobChangeImpact!$T$5:$T$1000))</x:f>
        <x:v>1</x:v>
      </x:c>
      <x:c r="AA37" t="n">
        <x:f>IF(A37="","",SUMIF(JobChangeImpact!$AC$5:$AC$1000,A37,JobChangeImpact!$U$5:$U$1000))</x:f>
        <x:v>0.49</x:v>
      </x:c>
      <x:c r="AB37" t="n">
        <x:f>IF(A37="","",SUMIF(JobChangeImpact!$AC$5:$AC$1000,A37,JobChangeImpact!$W$5:$W$1000))</x:f>
        <x:v>8467.199999999999</x:v>
      </x:c>
      <x:c r="AC37" t="str">
        <x:f>IF(A37="","",IF(AND(Y37&gt;=1,Z37&gt;0,Z37&lt;=1,COUNTIFS(JobChangeImpact!$AC$5:$AC$1000,A37,JobChangeImpact!$AJ$5:$AJ$1000,"CHECK")=0),"OK","CHECK"))</x:f>
        <x:v>OK</x:v>
      </x:c>
      <x:c r="AD37" t="str">
        <x:f>IF(A37="","",IF(AND(T37="OK",U37="OK",V37="OK",W37="OK",X37="OK",AC37="OK"),"OK","CHECK"))</x:f>
        <x:v>OK</x:v>
      </x:c>
      <x:c r="AE37" t="str">
        <x:f>IF(A37="","",IF(AD37="OK","LOAD","QUARANTINE"))</x:f>
        <x:v>LOAD</x:v>
      </x:c>
      <x:c r="AF37"/>
      <x:c r="AG37"/>
      <x:c r="AH37"/>
      <x:c r="AI37"/>
      <x:c r="AJ37" t="str">
        <x:v>02_Supervisor_Log(4).xlsx</x:v>
      </x:c>
      <x:c r="AK37" t="str">
        <x:v>ENH-20260830-01</x:v>
      </x:c>
      <x:c r="AL37" t="str">
        <x:v>Active</x:v>
      </x:c>
    </x:row>
  </x:sheetData>
  <x:mergeCells>
    <x:mergeCell ref="A1:AL1"/>
    <x:mergeCell ref="A2:AL2"/>
  </x:mergeCells>
  <x:dataValidations count="9">
    <x:dataValidation type="list" sqref="I5:I1000">
      <x:formula1>_ValidationLists!$V$2:$V$7</x:formula1>
    </x:dataValidation>
    <x:dataValidation type="list" sqref="O5:O1000">
      <x:formula1>_ValidationLists!$S$2:$S$9</x:formula1>
    </x:dataValidation>
    <x:dataValidation type="list" sqref="Q5:Q1000">
      <x:formula1>_ValidationLists!$T$2:$T$9</x:formula1>
    </x:dataValidation>
    <x:dataValidation type="list" sqref="R5:R1000">
      <x:formula1>_ValidationLists!$U$2:$U$6</x:formula1>
    </x:dataValidation>
    <x:dataValidation type="list" sqref="AL5:AL1000">
      <x:formula1>_ValidationLists!$Z$2:$Z$4</x:formula1>
    </x:dataValidation>
    <x:dataValidation type="list" sqref="I5:I500">
      <x:formula1>"JC_T1,JC_T2,JC_TRIAL,JC_HE,JC_CE,JC_PALLETIZER"</x:formula1>
    </x:dataValidation>
    <x:dataValidation type="list" sqref="O5:O500">
      <x:formula1>"RC_SETUP,RC_MECH,RC_PROCESS,RC_MATERIAL,RC_HANDLING,RC_QUALITY,RC_UTILITY,RC_UNKNOWN"</x:formula1>
    </x:dataValidation>
    <x:dataValidation type="list" sqref="Q5:Q500">
      <x:formula1>"DEP_PROD,DEP_FORM,DEP_HE,DEP_CE,DEP_MAINT,DEP_QUAL,DEP_ENG,DEP_LOG"</x:formula1>
    </x:dataValidation>
    <x:dataValidation type="list" sqref="R5:R500">
      <x:formula1>"ACT_OPEN,ACT_PROGRESS,ACT_MONITOR,ACT_CLOSED,ACT_CANCELLED"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93a37e5d04be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22" hidden="0" customWidth="1"/>
    <x:col min="13" max="13" width="10" hidden="0" customWidth="1"/>
    <x:col min="14" max="14" width="28" hidden="0" customWidth="1"/>
    <x:col min="15" max="15" width="28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>
      <x:c r="A1" s="53" t="str">
        <x:v>PRODUCTION CONFIGURATION — EVENT × SECTION × CAVITY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  <x:c r="AD1" s="53"/>
    </x:row>
    <x:row r="2">
      <x:c r="A2" s="58" t="str">
        <x:v>Normalized ETL snapshot. One row per physical cavity position. Regenerate after operator source changes.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</x:row>
    <x:row r="4" ht="36" customHeight="1">
      <x:c r="A4" s="46" t="str">
        <x:v>ProductionCavityConfigID</x:v>
      </x:c>
      <x:c r="B4" s="46" t="str">
        <x:v>ProductionConfigID</x:v>
      </x:c>
      <x:c r="C4" s="46" t="str">
        <x:v>ProductionEventID</x:v>
      </x:c>
      <x:c r="D4" s="46" t="str">
        <x:v>FactoryCode</x:v>
      </x:c>
      <x:c r="E4" s="46" t="str">
        <x:v>EventDate</x:v>
      </x:c>
      <x:c r="F4" s="46" t="str">
        <x:v>ShiftCode</x:v>
      </x:c>
      <x:c r="G4" s="46" t="str">
        <x:v>CrewCode</x:v>
      </x:c>
      <x:c r="H4" s="46" t="str">
        <x:v>LineNumber</x:v>
      </x:c>
      <x:c r="I4" s="46" t="str">
        <x:v>OrderNumber</x:v>
      </x:c>
      <x:c r="J4" s="46" t="str">
        <x:v>SectionNumber</x:v>
      </x:c>
      <x:c r="K4" s="46" t="str">
        <x:v>CavityNumber</x:v>
      </x:c>
      <x:c r="L4" s="46" t="str">
        <x:v>AssetScopeKey</x:v>
      </x:c>
      <x:c r="M4" s="46" t="str">
        <x:v>IsActive</x:v>
      </x:c>
      <x:c r="N4" s="46" t="str">
        <x:v>ConfigurationSource</x:v>
      </x:c>
      <x:c r="O4" s="46" t="str">
        <x:v>ProductLineCapabilityID</x:v>
      </x:c>
      <x:c r="P4" s="46" t="str">
        <x:v>ParentEventCheck</x:v>
      </x:c>
      <x:c r="Q4" s="46" t="str">
        <x:v>PhysicalSlotCheck</x:v>
      </x:c>
      <x:c r="R4" s="46" t="str">
        <x:v>ProductCapabilityCheck</x:v>
      </x:c>
      <x:c r="S4" s="46" t="str">
        <x:v>IsActiveCheck</x:v>
      </x:c>
      <x:c r="T4" s="46" t="str">
        <x:v>EventCavityCount</x:v>
      </x:c>
      <x:c r="U4" s="46" t="str">
        <x:v>EventReconciliationCheck</x:v>
      </x:c>
      <x:c r="V4" s="46" t="str">
        <x:v>DataQualityCheck</x:v>
      </x:c>
      <x:c r="W4" s="46" t="str">
        <x:v>LoadDecision</x:v>
      </x:c>
      <x:c r="X4" s="46" t="str">
        <x:v>SourceFile</x:v>
      </x:c>
      <x:c r="Y4" s="46" t="str">
        <x:v>LoadBatchID</x:v>
      </x:c>
      <x:c r="Z4" s="46" t="str">
        <x:v>RecordStatus</x:v>
      </x:c>
      <x:c r="AA4" s="46" t="str">
        <x:v>CreatedAt</x:v>
      </x:c>
      <x:c r="AB4" s="46" t="str">
        <x:v>CreatedBy</x:v>
      </x:c>
      <x:c r="AC4" s="46" t="str">
        <x:v>ModifiedAt</x:v>
      </x:c>
      <x:c r="AD4" s="46" t="str">
        <x:v>ModifiedBy</x:v>
      </x:c>
    </x:row>
    <x:row r="5">
      <x:c r="A5" t="str">
        <x:v>PCC-PE-KG01-L21-20251020-AM-ORD-2025-00019-S01-C1</x:v>
      </x:c>
      <x:c r="B5" t="str">
        <x:v>PC-PE-KG01-L21-20251020-AM-ORD-2025-00019-S01</x:v>
      </x:c>
      <x:c r="C5" t="str">
        <x:v>PE-KG01-L21-20251020-AM-ORD-2025-00019</x:v>
      </x:c>
      <x:c r="D5" t="str">
        <x:v>KG01</x:v>
      </x:c>
      <x:c r="E5" s="62" t="n">
        <x:v>45950</x:v>
      </x:c>
      <x:c r="F5" t="str">
        <x:v>AM</x:v>
      </x:c>
      <x:c r="G5" t="str">
        <x:v>C</x:v>
      </x:c>
      <x:c r="H5" t="n">
        <x:v>21</x:v>
      </x:c>
      <x:c r="I5" t="str">
        <x:v>ORD-2025-00019</x:v>
      </x:c>
      <x:c r="J5" t="n">
        <x:v>1</x:v>
      </x:c>
      <x:c r="K5" t="n">
        <x:v>1</x:v>
      </x:c>
      <x:c r="L5" t="str">
        <x:v>L21-S01-C1</x:v>
      </x:c>
      <x:c r="M5" t="n">
        <x:v>1</x:v>
      </x:c>
      <x:c r="N5" t="str">
        <x:v>DerivedFromCount</x:v>
      </x:c>
      <x:c r="O5" t="str">
        <x:v>PLC-PRD-JAR-330-L21</x:v>
      </x:c>
      <x:c r="P5" t="str">
        <x:v>OK</x:v>
      </x:c>
      <x:c r="Q5" t="str">
        <x:v>OK</x:v>
      </x:c>
      <x:c r="R5" t="str">
        <x:v>OK</x:v>
      </x:c>
      <x:c r="S5" t="str">
        <x:v>OK</x:v>
      </x:c>
      <x:c r="T5" t="n">
        <x:v>30</x:v>
      </x:c>
      <x:c r="U5" t="str">
        <x:v>OK</x:v>
      </x:c>
      <x:c r="V5" t="str">
        <x:v>OK</x:v>
      </x:c>
      <x:c r="W5" t="str">
        <x:v>LOAD</x:v>
      </x:c>
      <x:c r="X5" t="str">
        <x:v>02_Supervisor_Log(4).xlsx</x:v>
      </x:c>
      <x:c r="Y5" t="str">
        <x:v>ENH-20260830-01</x:v>
      </x:c>
      <x:c r="Z5" t="str">
        <x:v>Active</x:v>
      </x:c>
      <x:c r="AA5"/>
      <x:c r="AB5"/>
      <x:c r="AC5"/>
      <x:c r="AD5"/>
    </x:row>
    <x:row r="6">
      <x:c r="A6" t="str">
        <x:v>PCC-PE-KG01-L21-20251020-AM-ORD-2025-00019-S01-C2</x:v>
      </x:c>
      <x:c r="B6" t="str">
        <x:v>PC-PE-KG01-L21-20251020-AM-ORD-2025-00019-S01</x:v>
      </x:c>
      <x:c r="C6" t="str">
        <x:v>PE-KG01-L21-20251020-AM-ORD-2025-00019</x:v>
      </x:c>
      <x:c r="D6" t="str">
        <x:v>KG01</x:v>
      </x:c>
      <x:c r="E6" s="62" t="n">
        <x:v>45950</x:v>
      </x:c>
      <x:c r="F6" t="str">
        <x:v>AM</x:v>
      </x:c>
      <x:c r="G6" t="str">
        <x:v>C</x:v>
      </x:c>
      <x:c r="H6" t="n">
        <x:v>21</x:v>
      </x:c>
      <x:c r="I6" t="str">
        <x:v>ORD-2025-00019</x:v>
      </x:c>
      <x:c r="J6" t="n">
        <x:v>1</x:v>
      </x:c>
      <x:c r="K6" t="n">
        <x:v>2</x:v>
      </x:c>
      <x:c r="L6" t="str">
        <x:v>L21-S01-C2</x:v>
      </x:c>
      <x:c r="M6" t="n">
        <x:v>1</x:v>
      </x:c>
      <x:c r="N6" t="str">
        <x:v>DerivedFromCount</x:v>
      </x:c>
      <x:c r="O6" t="str">
        <x:v>PLC-PRD-JAR-330-L21</x:v>
      </x:c>
      <x:c r="P6" t="str">
        <x:v>OK</x:v>
      </x:c>
      <x:c r="Q6" t="str">
        <x:v>OK</x:v>
      </x:c>
      <x:c r="R6" t="str">
        <x:v>OK</x:v>
      </x:c>
      <x:c r="S6" t="str">
        <x:v>OK</x:v>
      </x:c>
      <x:c r="T6" t="n">
        <x:v>30</x:v>
      </x:c>
      <x:c r="U6" t="str">
        <x:v>OK</x:v>
      </x:c>
      <x:c r="V6" t="str">
        <x:v>OK</x:v>
      </x:c>
      <x:c r="W6" t="str">
        <x:v>LOAD</x:v>
      </x:c>
      <x:c r="X6" t="str">
        <x:v>02_Supervisor_Log(4).xlsx</x:v>
      </x:c>
      <x:c r="Y6" t="str">
        <x:v>ENH-20260830-01</x:v>
      </x:c>
      <x:c r="Z6" t="str">
        <x:v>Active</x:v>
      </x:c>
      <x:c r="AA6"/>
      <x:c r="AB6"/>
      <x:c r="AC6"/>
      <x:c r="AD6"/>
    </x:row>
    <x:row r="7">
      <x:c r="A7" t="str">
        <x:v>PCC-PE-KG01-L21-20251020-AM-ORD-2025-00019-S01-C3</x:v>
      </x:c>
      <x:c r="B7" t="str">
        <x:v>PC-PE-KG01-L21-20251020-AM-ORD-2025-00019-S01</x:v>
      </x:c>
      <x:c r="C7" t="str">
        <x:v>PE-KG01-L21-20251020-AM-ORD-2025-00019</x:v>
      </x:c>
      <x:c r="D7" t="str">
        <x:v>KG01</x:v>
      </x:c>
      <x:c r="E7" s="62" t="n">
        <x:v>45950</x:v>
      </x:c>
      <x:c r="F7" t="str">
        <x:v>AM</x:v>
      </x:c>
      <x:c r="G7" t="str">
        <x:v>C</x:v>
      </x:c>
      <x:c r="H7" t="n">
        <x:v>21</x:v>
      </x:c>
      <x:c r="I7" t="str">
        <x:v>ORD-2025-00019</x:v>
      </x:c>
      <x:c r="J7" t="n">
        <x:v>1</x:v>
      </x:c>
      <x:c r="K7" t="n">
        <x:v>3</x:v>
      </x:c>
      <x:c r="L7" t="str">
        <x:v>L21-S01-C3</x:v>
      </x:c>
      <x:c r="M7" t="n">
        <x:v>1</x:v>
      </x:c>
      <x:c r="N7" t="str">
        <x:v>DerivedFromCount</x:v>
      </x:c>
      <x:c r="O7" t="str">
        <x:v>PLC-PRD-JAR-330-L21</x:v>
      </x:c>
      <x:c r="P7" t="str">
        <x:v>OK</x:v>
      </x:c>
      <x:c r="Q7" t="str">
        <x:v>OK</x:v>
      </x:c>
      <x:c r="R7" t="str">
        <x:v>OK</x:v>
      </x:c>
      <x:c r="S7" t="str">
        <x:v>OK</x:v>
      </x:c>
      <x:c r="T7" t="n">
        <x:v>30</x:v>
      </x:c>
      <x:c r="U7" t="str">
        <x:v>OK</x:v>
      </x:c>
      <x:c r="V7" t="str">
        <x:v>OK</x:v>
      </x:c>
      <x:c r="W7" t="str">
        <x:v>LOAD</x:v>
      </x:c>
      <x:c r="X7" t="str">
        <x:v>02_Supervisor_Log(4).xlsx</x:v>
      </x:c>
      <x:c r="Y7" t="str">
        <x:v>ENH-20260830-01</x:v>
      </x:c>
      <x:c r="Z7" t="str">
        <x:v>Active</x:v>
      </x:c>
      <x:c r="AA7"/>
      <x:c r="AB7"/>
      <x:c r="AC7"/>
      <x:c r="AD7"/>
    </x:row>
    <x:row r="8">
      <x:c r="A8" t="str">
        <x:v>PCC-PE-KG01-L21-20251020-AM-ORD-2025-00019-S02-C1</x:v>
      </x:c>
      <x:c r="B8" t="str">
        <x:v>PC-PE-KG01-L21-20251020-AM-ORD-2025-00019-S02</x:v>
      </x:c>
      <x:c r="C8" t="str">
        <x:v>PE-KG01-L21-20251020-AM-ORD-2025-00019</x:v>
      </x:c>
      <x:c r="D8" t="str">
        <x:v>KG01</x:v>
      </x:c>
      <x:c r="E8" s="62" t="n">
        <x:v>45950</x:v>
      </x:c>
      <x:c r="F8" t="str">
        <x:v>AM</x:v>
      </x:c>
      <x:c r="G8" t="str">
        <x:v>C</x:v>
      </x:c>
      <x:c r="H8" t="n">
        <x:v>21</x:v>
      </x:c>
      <x:c r="I8" t="str">
        <x:v>ORD-2025-00019</x:v>
      </x:c>
      <x:c r="J8" t="n">
        <x:v>2</x:v>
      </x:c>
      <x:c r="K8" t="n">
        <x:v>1</x:v>
      </x:c>
      <x:c r="L8" t="str">
        <x:v>L21-S02-C1</x:v>
      </x:c>
      <x:c r="M8" t="n">
        <x:v>1</x:v>
      </x:c>
      <x:c r="N8" t="str">
        <x:v>DerivedFromCount</x:v>
      </x:c>
      <x:c r="O8" t="str">
        <x:v>PLC-PRD-JAR-330-L21</x:v>
      </x:c>
      <x:c r="P8" t="str">
        <x:v>OK</x:v>
      </x:c>
      <x:c r="Q8" t="str">
        <x:v>OK</x:v>
      </x:c>
      <x:c r="R8" t="str">
        <x:v>OK</x:v>
      </x:c>
      <x:c r="S8" t="str">
        <x:v>OK</x:v>
      </x:c>
      <x:c r="T8" t="n">
        <x:v>30</x:v>
      </x:c>
      <x:c r="U8" t="str">
        <x:v>OK</x:v>
      </x:c>
      <x:c r="V8" t="str">
        <x:v>OK</x:v>
      </x:c>
      <x:c r="W8" t="str">
        <x:v>LOAD</x:v>
      </x:c>
      <x:c r="X8" t="str">
        <x:v>02_Supervisor_Log(4).xlsx</x:v>
      </x:c>
      <x:c r="Y8" t="str">
        <x:v>ENH-20260830-01</x:v>
      </x:c>
      <x:c r="Z8" t="str">
        <x:v>Active</x:v>
      </x:c>
      <x:c r="AA8"/>
      <x:c r="AB8"/>
      <x:c r="AC8"/>
      <x:c r="AD8"/>
    </x:row>
    <x:row r="9">
      <x:c r="A9" t="str">
        <x:v>PCC-PE-KG01-L21-20251020-AM-ORD-2025-00019-S02-C2</x:v>
      </x:c>
      <x:c r="B9" t="str">
        <x:v>PC-PE-KG01-L21-20251020-AM-ORD-2025-00019-S02</x:v>
      </x:c>
      <x:c r="C9" t="str">
        <x:v>PE-KG01-L21-20251020-AM-ORD-2025-00019</x:v>
      </x:c>
      <x:c r="D9" t="str">
        <x:v>KG01</x:v>
      </x:c>
      <x:c r="E9" s="62" t="n">
        <x:v>45950</x:v>
      </x:c>
      <x:c r="F9" t="str">
        <x:v>AM</x:v>
      </x:c>
      <x:c r="G9" t="str">
        <x:v>C</x:v>
      </x:c>
      <x:c r="H9" t="n">
        <x:v>21</x:v>
      </x:c>
      <x:c r="I9" t="str">
        <x:v>ORD-2025-00019</x:v>
      </x:c>
      <x:c r="J9" t="n">
        <x:v>2</x:v>
      </x:c>
      <x:c r="K9" t="n">
        <x:v>2</x:v>
      </x:c>
      <x:c r="L9" t="str">
        <x:v>L21-S02-C2</x:v>
      </x:c>
      <x:c r="M9" t="n">
        <x:v>1</x:v>
      </x:c>
      <x:c r="N9" t="str">
        <x:v>DerivedFromCount</x:v>
      </x:c>
      <x:c r="O9" t="str">
        <x:v>PLC-PRD-JAR-330-L21</x:v>
      </x:c>
      <x:c r="P9" t="str">
        <x:v>OK</x:v>
      </x:c>
      <x:c r="Q9" t="str">
        <x:v>OK</x:v>
      </x:c>
      <x:c r="R9" t="str">
        <x:v>OK</x:v>
      </x:c>
      <x:c r="S9" t="str">
        <x:v>OK</x:v>
      </x:c>
      <x:c r="T9" t="n">
        <x:v>30</x:v>
      </x:c>
      <x:c r="U9" t="str">
        <x:v>OK</x:v>
      </x:c>
      <x:c r="V9" t="str">
        <x:v>OK</x:v>
      </x:c>
      <x:c r="W9" t="str">
        <x:v>LOAD</x:v>
      </x:c>
      <x:c r="X9" t="str">
        <x:v>02_Supervisor_Log(4).xlsx</x:v>
      </x:c>
      <x:c r="Y9" t="str">
        <x:v>ENH-20260830-01</x:v>
      </x:c>
      <x:c r="Z9" t="str">
        <x:v>Active</x:v>
      </x:c>
      <x:c r="AA9"/>
      <x:c r="AB9"/>
      <x:c r="AC9"/>
      <x:c r="AD9"/>
    </x:row>
    <x:row r="10">
      <x:c r="A10" t="str">
        <x:v>PCC-PE-KG01-L21-20251020-AM-ORD-2025-00019-S02-C3</x:v>
      </x:c>
      <x:c r="B10" t="str">
        <x:v>PC-PE-KG01-L21-20251020-AM-ORD-2025-00019-S02</x:v>
      </x:c>
      <x:c r="C10" t="str">
        <x:v>PE-KG01-L21-20251020-AM-ORD-2025-00019</x:v>
      </x:c>
      <x:c r="D10" t="str">
        <x:v>KG01</x:v>
      </x:c>
      <x:c r="E10" s="62" t="n">
        <x:v>45950</x:v>
      </x:c>
      <x:c r="F10" t="str">
        <x:v>AM</x:v>
      </x:c>
      <x:c r="G10" t="str">
        <x:v>C</x:v>
      </x:c>
      <x:c r="H10" t="n">
        <x:v>21</x:v>
      </x:c>
      <x:c r="I10" t="str">
        <x:v>ORD-2025-00019</x:v>
      </x:c>
      <x:c r="J10" t="n">
        <x:v>2</x:v>
      </x:c>
      <x:c r="K10" t="n">
        <x:v>3</x:v>
      </x:c>
      <x:c r="L10" t="str">
        <x:v>L21-S02-C3</x:v>
      </x:c>
      <x:c r="M10" t="n">
        <x:v>1</x:v>
      </x:c>
      <x:c r="N10" t="str">
        <x:v>DerivedFromCount</x:v>
      </x:c>
      <x:c r="O10" t="str">
        <x:v>PLC-PRD-JAR-330-L21</x:v>
      </x:c>
      <x:c r="P10" t="str">
        <x:v>OK</x:v>
      </x:c>
      <x:c r="Q10" t="str">
        <x:v>OK</x:v>
      </x:c>
      <x:c r="R10" t="str">
        <x:v>OK</x:v>
      </x:c>
      <x:c r="S10" t="str">
        <x:v>OK</x:v>
      </x:c>
      <x:c r="T10" t="n">
        <x:v>30</x:v>
      </x:c>
      <x:c r="U10" t="str">
        <x:v>OK</x:v>
      </x:c>
      <x:c r="V10" t="str">
        <x:v>OK</x:v>
      </x:c>
      <x:c r="W10" t="str">
        <x:v>LOAD</x:v>
      </x:c>
      <x:c r="X10" t="str">
        <x:v>02_Supervisor_Log(4).xlsx</x:v>
      </x:c>
      <x:c r="Y10" t="str">
        <x:v>ENH-20260830-01</x:v>
      </x:c>
      <x:c r="Z10" t="str">
        <x:v>Active</x:v>
      </x:c>
      <x:c r="AA10"/>
      <x:c r="AB10"/>
      <x:c r="AC10"/>
      <x:c r="AD10"/>
    </x:row>
    <x:row r="11">
      <x:c r="A11" t="str">
        <x:v>PCC-PE-KG01-L21-20251020-AM-ORD-2025-00019-S03-C1</x:v>
      </x:c>
      <x:c r="B11" t="str">
        <x:v>PC-PE-KG01-L21-20251020-AM-ORD-2025-00019-S03</x:v>
      </x:c>
      <x:c r="C11" t="str">
        <x:v>PE-KG01-L21-20251020-AM-ORD-2025-00019</x:v>
      </x:c>
      <x:c r="D11" t="str">
        <x:v>KG01</x:v>
      </x:c>
      <x:c r="E11" s="62" t="n">
        <x:v>45950</x:v>
      </x:c>
      <x:c r="F11" t="str">
        <x:v>AM</x:v>
      </x:c>
      <x:c r="G11" t="str">
        <x:v>C</x:v>
      </x:c>
      <x:c r="H11" t="n">
        <x:v>21</x:v>
      </x:c>
      <x:c r="I11" t="str">
        <x:v>ORD-2025-00019</x:v>
      </x:c>
      <x:c r="J11" t="n">
        <x:v>3</x:v>
      </x:c>
      <x:c r="K11" t="n">
        <x:v>1</x:v>
      </x:c>
      <x:c r="L11" t="str">
        <x:v>L21-S03-C1</x:v>
      </x:c>
      <x:c r="M11" t="n">
        <x:v>1</x:v>
      </x:c>
      <x:c r="N11" t="str">
        <x:v>DerivedFromCount</x:v>
      </x:c>
      <x:c r="O11" t="str">
        <x:v>PLC-PRD-JAR-330-L21</x:v>
      </x:c>
      <x:c r="P11" t="str">
        <x:v>OK</x:v>
      </x:c>
      <x:c r="Q11" t="str">
        <x:v>OK</x:v>
      </x:c>
      <x:c r="R11" t="str">
        <x:v>OK</x:v>
      </x:c>
      <x:c r="S11" t="str">
        <x:v>OK</x:v>
      </x:c>
      <x:c r="T11" t="n">
        <x:v>30</x:v>
      </x:c>
      <x:c r="U11" t="str">
        <x:v>OK</x:v>
      </x:c>
      <x:c r="V11" t="str">
        <x:v>OK</x:v>
      </x:c>
      <x:c r="W11" t="str">
        <x:v>LOAD</x:v>
      </x:c>
      <x:c r="X11" t="str">
        <x:v>02_Supervisor_Log(4).xlsx</x:v>
      </x:c>
      <x:c r="Y11" t="str">
        <x:v>ENH-20260830-01</x:v>
      </x:c>
      <x:c r="Z11" t="str">
        <x:v>Active</x:v>
      </x:c>
      <x:c r="AA11"/>
      <x:c r="AB11"/>
      <x:c r="AC11"/>
      <x:c r="AD11"/>
    </x:row>
    <x:row r="12">
      <x:c r="A12" t="str">
        <x:v>PCC-PE-KG01-L21-20251020-AM-ORD-2025-00019-S03-C2</x:v>
      </x:c>
      <x:c r="B12" t="str">
        <x:v>PC-PE-KG01-L21-20251020-AM-ORD-2025-00019-S03</x:v>
      </x:c>
      <x:c r="C12" t="str">
        <x:v>PE-KG01-L21-20251020-AM-ORD-2025-00019</x:v>
      </x:c>
      <x:c r="D12" t="str">
        <x:v>KG01</x:v>
      </x:c>
      <x:c r="E12" s="62" t="n">
        <x:v>45950</x:v>
      </x:c>
      <x:c r="F12" t="str">
        <x:v>AM</x:v>
      </x:c>
      <x:c r="G12" t="str">
        <x:v>C</x:v>
      </x:c>
      <x:c r="H12" t="n">
        <x:v>21</x:v>
      </x:c>
      <x:c r="I12" t="str">
        <x:v>ORD-2025-00019</x:v>
      </x:c>
      <x:c r="J12" t="n">
        <x:v>3</x:v>
      </x:c>
      <x:c r="K12" t="n">
        <x:v>2</x:v>
      </x:c>
      <x:c r="L12" t="str">
        <x:v>L21-S03-C2</x:v>
      </x:c>
      <x:c r="M12" t="n">
        <x:v>1</x:v>
      </x:c>
      <x:c r="N12" t="str">
        <x:v>DerivedFromCount</x:v>
      </x:c>
      <x:c r="O12" t="str">
        <x:v>PLC-PRD-JAR-330-L21</x:v>
      </x:c>
      <x:c r="P12" t="str">
        <x:v>OK</x:v>
      </x:c>
      <x:c r="Q12" t="str">
        <x:v>OK</x:v>
      </x:c>
      <x:c r="R12" t="str">
        <x:v>OK</x:v>
      </x:c>
      <x:c r="S12" t="str">
        <x:v>OK</x:v>
      </x:c>
      <x:c r="T12" t="n">
        <x:v>30</x:v>
      </x:c>
      <x:c r="U12" t="str">
        <x:v>OK</x:v>
      </x:c>
      <x:c r="V12" t="str">
        <x:v>OK</x:v>
      </x:c>
      <x:c r="W12" t="str">
        <x:v>LOAD</x:v>
      </x:c>
      <x:c r="X12" t="str">
        <x:v>02_Supervisor_Log(4).xlsx</x:v>
      </x:c>
      <x:c r="Y12" t="str">
        <x:v>ENH-20260830-01</x:v>
      </x:c>
      <x:c r="Z12" t="str">
        <x:v>Active</x:v>
      </x:c>
      <x:c r="AA12"/>
      <x:c r="AB12"/>
      <x:c r="AC12"/>
      <x:c r="AD12"/>
    </x:row>
    <x:row r="13">
      <x:c r="A13" t="str">
        <x:v>PCC-PE-KG01-L21-20251020-AM-ORD-2025-00019-S03-C3</x:v>
      </x:c>
      <x:c r="B13" t="str">
        <x:v>PC-PE-KG01-L21-20251020-AM-ORD-2025-00019-S03</x:v>
      </x:c>
      <x:c r="C13" t="str">
        <x:v>PE-KG01-L21-20251020-AM-ORD-2025-00019</x:v>
      </x:c>
      <x:c r="D13" t="str">
        <x:v>KG01</x:v>
      </x:c>
      <x:c r="E13" s="62" t="n">
        <x:v>45950</x:v>
      </x:c>
      <x:c r="F13" t="str">
        <x:v>AM</x:v>
      </x:c>
      <x:c r="G13" t="str">
        <x:v>C</x:v>
      </x:c>
      <x:c r="H13" t="n">
        <x:v>21</x:v>
      </x:c>
      <x:c r="I13" t="str">
        <x:v>ORD-2025-00019</x:v>
      </x:c>
      <x:c r="J13" t="n">
        <x:v>3</x:v>
      </x:c>
      <x:c r="K13" t="n">
        <x:v>3</x:v>
      </x:c>
      <x:c r="L13" t="str">
        <x:v>L21-S03-C3</x:v>
      </x:c>
      <x:c r="M13" t="n">
        <x:v>1</x:v>
      </x:c>
      <x:c r="N13" t="str">
        <x:v>DerivedFromCount</x:v>
      </x:c>
      <x:c r="O13" t="str">
        <x:v>PLC-PRD-JAR-330-L21</x:v>
      </x:c>
      <x:c r="P13" t="str">
        <x:v>OK</x:v>
      </x:c>
      <x:c r="Q13" t="str">
        <x:v>OK</x:v>
      </x:c>
      <x:c r="R13" t="str">
        <x:v>OK</x:v>
      </x:c>
      <x:c r="S13" t="str">
        <x:v>OK</x:v>
      </x:c>
      <x:c r="T13" t="n">
        <x:v>30</x:v>
      </x:c>
      <x:c r="U13" t="str">
        <x:v>OK</x:v>
      </x:c>
      <x:c r="V13" t="str">
        <x:v>OK</x:v>
      </x:c>
      <x:c r="W13" t="str">
        <x:v>LOAD</x:v>
      </x:c>
      <x:c r="X13" t="str">
        <x:v>02_Supervisor_Log(4).xlsx</x:v>
      </x:c>
      <x:c r="Y13" t="str">
        <x:v>ENH-20260830-01</x:v>
      </x:c>
      <x:c r="Z13" t="str">
        <x:v>Active</x:v>
      </x:c>
      <x:c r="AA13"/>
      <x:c r="AB13"/>
      <x:c r="AC13"/>
      <x:c r="AD13"/>
    </x:row>
    <x:row r="14">
      <x:c r="A14" t="str">
        <x:v>PCC-PE-KG01-L21-20251020-AM-ORD-2025-00019-S04-C1</x:v>
      </x:c>
      <x:c r="B14" t="str">
        <x:v>PC-PE-KG01-L21-20251020-AM-ORD-2025-00019-S04</x:v>
      </x:c>
      <x:c r="C14" t="str">
        <x:v>PE-KG01-L21-20251020-AM-ORD-2025-00019</x:v>
      </x:c>
      <x:c r="D14" t="str">
        <x:v>KG01</x:v>
      </x:c>
      <x:c r="E14" s="62" t="n">
        <x:v>45950</x:v>
      </x:c>
      <x:c r="F14" t="str">
        <x:v>AM</x:v>
      </x:c>
      <x:c r="G14" t="str">
        <x:v>C</x:v>
      </x:c>
      <x:c r="H14" t="n">
        <x:v>21</x:v>
      </x:c>
      <x:c r="I14" t="str">
        <x:v>ORD-2025-00019</x:v>
      </x:c>
      <x:c r="J14" t="n">
        <x:v>4</x:v>
      </x:c>
      <x:c r="K14" t="n">
        <x:v>1</x:v>
      </x:c>
      <x:c r="L14" t="str">
        <x:v>L21-S04-C1</x:v>
      </x:c>
      <x:c r="M14" t="n">
        <x:v>1</x:v>
      </x:c>
      <x:c r="N14" t="str">
        <x:v>DerivedFromCount</x:v>
      </x:c>
      <x:c r="O14" t="str">
        <x:v>PLC-PRD-JAR-330-L21</x:v>
      </x:c>
      <x:c r="P14" t="str">
        <x:v>OK</x:v>
      </x:c>
      <x:c r="Q14" t="str">
        <x:v>OK</x:v>
      </x:c>
      <x:c r="R14" t="str">
        <x:v>OK</x:v>
      </x:c>
      <x:c r="S14" t="str">
        <x:v>OK</x:v>
      </x:c>
      <x:c r="T14" t="n">
        <x:v>30</x:v>
      </x:c>
      <x:c r="U14" t="str">
        <x:v>OK</x:v>
      </x:c>
      <x:c r="V14" t="str">
        <x:v>OK</x:v>
      </x:c>
      <x:c r="W14" t="str">
        <x:v>LOAD</x:v>
      </x:c>
      <x:c r="X14" t="str">
        <x:v>02_Supervisor_Log(4).xlsx</x:v>
      </x:c>
      <x:c r="Y14" t="str">
        <x:v>ENH-20260830-01</x:v>
      </x:c>
      <x:c r="Z14" t="str">
        <x:v>Active</x:v>
      </x:c>
      <x:c r="AA14"/>
      <x:c r="AB14"/>
      <x:c r="AC14"/>
      <x:c r="AD14"/>
    </x:row>
    <x:row r="15">
      <x:c r="A15" t="str">
        <x:v>PCC-PE-KG01-L21-20251020-AM-ORD-2025-00019-S04-C2</x:v>
      </x:c>
      <x:c r="B15" t="str">
        <x:v>PC-PE-KG01-L21-20251020-AM-ORD-2025-00019-S04</x:v>
      </x:c>
      <x:c r="C15" t="str">
        <x:v>PE-KG01-L21-20251020-AM-ORD-2025-00019</x:v>
      </x:c>
      <x:c r="D15" t="str">
        <x:v>KG01</x:v>
      </x:c>
      <x:c r="E15" s="62" t="n">
        <x:v>45950</x:v>
      </x:c>
      <x:c r="F15" t="str">
        <x:v>AM</x:v>
      </x:c>
      <x:c r="G15" t="str">
        <x:v>C</x:v>
      </x:c>
      <x:c r="H15" t="n">
        <x:v>21</x:v>
      </x:c>
      <x:c r="I15" t="str">
        <x:v>ORD-2025-00019</x:v>
      </x:c>
      <x:c r="J15" t="n">
        <x:v>4</x:v>
      </x:c>
      <x:c r="K15" t="n">
        <x:v>2</x:v>
      </x:c>
      <x:c r="L15" t="str">
        <x:v>L21-S04-C2</x:v>
      </x:c>
      <x:c r="M15" t="n">
        <x:v>1</x:v>
      </x:c>
      <x:c r="N15" t="str">
        <x:v>DerivedFromCount</x:v>
      </x:c>
      <x:c r="O15" t="str">
        <x:v>PLC-PRD-JAR-330-L21</x:v>
      </x:c>
      <x:c r="P15" t="str">
        <x:v>OK</x:v>
      </x:c>
      <x:c r="Q15" t="str">
        <x:v>OK</x:v>
      </x:c>
      <x:c r="R15" t="str">
        <x:v>OK</x:v>
      </x:c>
      <x:c r="S15" t="str">
        <x:v>OK</x:v>
      </x:c>
      <x:c r="T15" t="n">
        <x:v>30</x:v>
      </x:c>
      <x:c r="U15" t="str">
        <x:v>OK</x:v>
      </x:c>
      <x:c r="V15" t="str">
        <x:v>OK</x:v>
      </x:c>
      <x:c r="W15" t="str">
        <x:v>LOAD</x:v>
      </x:c>
      <x:c r="X15" t="str">
        <x:v>02_Supervisor_Log(4).xlsx</x:v>
      </x:c>
      <x:c r="Y15" t="str">
        <x:v>ENH-20260830-01</x:v>
      </x:c>
      <x:c r="Z15" t="str">
        <x:v>Active</x:v>
      </x:c>
      <x:c r="AA15"/>
      <x:c r="AB15"/>
      <x:c r="AC15"/>
      <x:c r="AD15"/>
    </x:row>
    <x:row r="16">
      <x:c r="A16" t="str">
        <x:v>PCC-PE-KG01-L21-20251020-AM-ORD-2025-00019-S04-C3</x:v>
      </x:c>
      <x:c r="B16" t="str">
        <x:v>PC-PE-KG01-L21-20251020-AM-ORD-2025-00019-S04</x:v>
      </x:c>
      <x:c r="C16" t="str">
        <x:v>PE-KG01-L21-20251020-AM-ORD-2025-00019</x:v>
      </x:c>
      <x:c r="D16" t="str">
        <x:v>KG01</x:v>
      </x:c>
      <x:c r="E16" s="62" t="n">
        <x:v>45950</x:v>
      </x:c>
      <x:c r="F16" t="str">
        <x:v>AM</x:v>
      </x:c>
      <x:c r="G16" t="str">
        <x:v>C</x:v>
      </x:c>
      <x:c r="H16" t="n">
        <x:v>21</x:v>
      </x:c>
      <x:c r="I16" t="str">
        <x:v>ORD-2025-00019</x:v>
      </x:c>
      <x:c r="J16" t="n">
        <x:v>4</x:v>
      </x:c>
      <x:c r="K16" t="n">
        <x:v>3</x:v>
      </x:c>
      <x:c r="L16" t="str">
        <x:v>L21-S04-C3</x:v>
      </x:c>
      <x:c r="M16" t="n">
        <x:v>1</x:v>
      </x:c>
      <x:c r="N16" t="str">
        <x:v>DerivedFromCount</x:v>
      </x:c>
      <x:c r="O16" t="str">
        <x:v>PLC-PRD-JAR-330-L21</x:v>
      </x:c>
      <x:c r="P16" t="str">
        <x:v>OK</x:v>
      </x:c>
      <x:c r="Q16" t="str">
        <x:v>OK</x:v>
      </x:c>
      <x:c r="R16" t="str">
        <x:v>OK</x:v>
      </x:c>
      <x:c r="S16" t="str">
        <x:v>OK</x:v>
      </x:c>
      <x:c r="T16" t="n">
        <x:v>30</x:v>
      </x:c>
      <x:c r="U16" t="str">
        <x:v>OK</x:v>
      </x:c>
      <x:c r="V16" t="str">
        <x:v>OK</x:v>
      </x:c>
      <x:c r="W16" t="str">
        <x:v>LOAD</x:v>
      </x:c>
      <x:c r="X16" t="str">
        <x:v>02_Supervisor_Log(4).xlsx</x:v>
      </x:c>
      <x:c r="Y16" t="str">
        <x:v>ENH-20260830-01</x:v>
      </x:c>
      <x:c r="Z16" t="str">
        <x:v>Active</x:v>
      </x:c>
      <x:c r="AA16"/>
      <x:c r="AB16"/>
      <x:c r="AC16"/>
      <x:c r="AD16"/>
    </x:row>
    <x:row r="17">
      <x:c r="A17" t="str">
        <x:v>PCC-PE-KG01-L21-20251020-AM-ORD-2025-00019-S05-C1</x:v>
      </x:c>
      <x:c r="B17" t="str">
        <x:v>PC-PE-KG01-L21-20251020-AM-ORD-2025-00019-S05</x:v>
      </x:c>
      <x:c r="C17" t="str">
        <x:v>PE-KG01-L21-20251020-AM-ORD-2025-00019</x:v>
      </x:c>
      <x:c r="D17" t="str">
        <x:v>KG01</x:v>
      </x:c>
      <x:c r="E17" s="62" t="n">
        <x:v>45950</x:v>
      </x:c>
      <x:c r="F17" t="str">
        <x:v>AM</x:v>
      </x:c>
      <x:c r="G17" t="str">
        <x:v>C</x:v>
      </x:c>
      <x:c r="H17" t="n">
        <x:v>21</x:v>
      </x:c>
      <x:c r="I17" t="str">
        <x:v>ORD-2025-00019</x:v>
      </x:c>
      <x:c r="J17" t="n">
        <x:v>5</x:v>
      </x:c>
      <x:c r="K17" t="n">
        <x:v>1</x:v>
      </x:c>
      <x:c r="L17" t="str">
        <x:v>L21-S05-C1</x:v>
      </x:c>
      <x:c r="M17" t="n">
        <x:v>1</x:v>
      </x:c>
      <x:c r="N17" t="str">
        <x:v>DerivedFromCount</x:v>
      </x:c>
      <x:c r="O17" t="str">
        <x:v>PLC-PRD-JAR-330-L21</x:v>
      </x:c>
      <x:c r="P17" t="str">
        <x:v>OK</x:v>
      </x:c>
      <x:c r="Q17" t="str">
        <x:v>OK</x:v>
      </x:c>
      <x:c r="R17" t="str">
        <x:v>OK</x:v>
      </x:c>
      <x:c r="S17" t="str">
        <x:v>OK</x:v>
      </x:c>
      <x:c r="T17" t="n">
        <x:v>30</x:v>
      </x:c>
      <x:c r="U17" t="str">
        <x:v>OK</x:v>
      </x:c>
      <x:c r="V17" t="str">
        <x:v>OK</x:v>
      </x:c>
      <x:c r="W17" t="str">
        <x:v>LOAD</x:v>
      </x:c>
      <x:c r="X17" t="str">
        <x:v>02_Supervisor_Log(4).xlsx</x:v>
      </x:c>
      <x:c r="Y17" t="str">
        <x:v>ENH-20260830-01</x:v>
      </x:c>
      <x:c r="Z17" t="str">
        <x:v>Active</x:v>
      </x:c>
      <x:c r="AA17"/>
      <x:c r="AB17"/>
      <x:c r="AC17"/>
      <x:c r="AD17"/>
    </x:row>
    <x:row r="18">
      <x:c r="A18" t="str">
        <x:v>PCC-PE-KG01-L21-20251020-AM-ORD-2025-00019-S05-C2</x:v>
      </x:c>
      <x:c r="B18" t="str">
        <x:v>PC-PE-KG01-L21-20251020-AM-ORD-2025-00019-S05</x:v>
      </x:c>
      <x:c r="C18" t="str">
        <x:v>PE-KG01-L21-20251020-AM-ORD-2025-00019</x:v>
      </x:c>
      <x:c r="D18" t="str">
        <x:v>KG01</x:v>
      </x:c>
      <x:c r="E18" s="62" t="n">
        <x:v>45950</x:v>
      </x:c>
      <x:c r="F18" t="str">
        <x:v>AM</x:v>
      </x:c>
      <x:c r="G18" t="str">
        <x:v>C</x:v>
      </x:c>
      <x:c r="H18" t="n">
        <x:v>21</x:v>
      </x:c>
      <x:c r="I18" t="str">
        <x:v>ORD-2025-00019</x:v>
      </x:c>
      <x:c r="J18" t="n">
        <x:v>5</x:v>
      </x:c>
      <x:c r="K18" t="n">
        <x:v>2</x:v>
      </x:c>
      <x:c r="L18" t="str">
        <x:v>L21-S05-C2</x:v>
      </x:c>
      <x:c r="M18" t="n">
        <x:v>1</x:v>
      </x:c>
      <x:c r="N18" t="str">
        <x:v>DerivedFromCount</x:v>
      </x:c>
      <x:c r="O18" t="str">
        <x:v>PLC-PRD-JAR-330-L21</x:v>
      </x:c>
      <x:c r="P18" t="str">
        <x:v>OK</x:v>
      </x:c>
      <x:c r="Q18" t="str">
        <x:v>OK</x:v>
      </x:c>
      <x:c r="R18" t="str">
        <x:v>OK</x:v>
      </x:c>
      <x:c r="S18" t="str">
        <x:v>OK</x:v>
      </x:c>
      <x:c r="T18" t="n">
        <x:v>30</x:v>
      </x:c>
      <x:c r="U18" t="str">
        <x:v>OK</x:v>
      </x:c>
      <x:c r="V18" t="str">
        <x:v>OK</x:v>
      </x:c>
      <x:c r="W18" t="str">
        <x:v>LOAD</x:v>
      </x:c>
      <x:c r="X18" t="str">
        <x:v>02_Supervisor_Log(4).xlsx</x:v>
      </x:c>
      <x:c r="Y18" t="str">
        <x:v>ENH-20260830-01</x:v>
      </x:c>
      <x:c r="Z18" t="str">
        <x:v>Active</x:v>
      </x:c>
      <x:c r="AA18"/>
      <x:c r="AB18"/>
      <x:c r="AC18"/>
      <x:c r="AD18"/>
    </x:row>
    <x:row r="19">
      <x:c r="A19" t="str">
        <x:v>PCC-PE-KG01-L21-20251020-AM-ORD-2025-00019-S05-C3</x:v>
      </x:c>
      <x:c r="B19" t="str">
        <x:v>PC-PE-KG01-L21-20251020-AM-ORD-2025-00019-S05</x:v>
      </x:c>
      <x:c r="C19" t="str">
        <x:v>PE-KG01-L21-20251020-AM-ORD-2025-00019</x:v>
      </x:c>
      <x:c r="D19" t="str">
        <x:v>KG01</x:v>
      </x:c>
      <x:c r="E19" s="62" t="n">
        <x:v>45950</x:v>
      </x:c>
      <x:c r="F19" t="str">
        <x:v>AM</x:v>
      </x:c>
      <x:c r="G19" t="str">
        <x:v>C</x:v>
      </x:c>
      <x:c r="H19" t="n">
        <x:v>21</x:v>
      </x:c>
      <x:c r="I19" t="str">
        <x:v>ORD-2025-00019</x:v>
      </x:c>
      <x:c r="J19" t="n">
        <x:v>5</x:v>
      </x:c>
      <x:c r="K19" t="n">
        <x:v>3</x:v>
      </x:c>
      <x:c r="L19" t="str">
        <x:v>L21-S05-C3</x:v>
      </x:c>
      <x:c r="M19" t="n">
        <x:v>1</x:v>
      </x:c>
      <x:c r="N19" t="str">
        <x:v>DerivedFromCount</x:v>
      </x:c>
      <x:c r="O19" t="str">
        <x:v>PLC-PRD-JAR-330-L21</x:v>
      </x:c>
      <x:c r="P19" t="str">
        <x:v>OK</x:v>
      </x:c>
      <x:c r="Q19" t="str">
        <x:v>OK</x:v>
      </x:c>
      <x:c r="R19" t="str">
        <x:v>OK</x:v>
      </x:c>
      <x:c r="S19" t="str">
        <x:v>OK</x:v>
      </x:c>
      <x:c r="T19" t="n">
        <x:v>30</x:v>
      </x:c>
      <x:c r="U19" t="str">
        <x:v>OK</x:v>
      </x:c>
      <x:c r="V19" t="str">
        <x:v>OK</x:v>
      </x:c>
      <x:c r="W19" t="str">
        <x:v>LOAD</x:v>
      </x:c>
      <x:c r="X19" t="str">
        <x:v>02_Supervisor_Log(4).xlsx</x:v>
      </x:c>
      <x:c r="Y19" t="str">
        <x:v>ENH-20260830-01</x:v>
      </x:c>
      <x:c r="Z19" t="str">
        <x:v>Active</x:v>
      </x:c>
      <x:c r="AA19"/>
      <x:c r="AB19"/>
      <x:c r="AC19"/>
      <x:c r="AD19"/>
    </x:row>
    <x:row r="20">
      <x:c r="A20" t="str">
        <x:v>PCC-PE-KG01-L21-20251020-AM-ORD-2025-00019-S06-C1</x:v>
      </x:c>
      <x:c r="B20" t="str">
        <x:v>PC-PE-KG01-L21-20251020-AM-ORD-2025-00019-S06</x:v>
      </x:c>
      <x:c r="C20" t="str">
        <x:v>PE-KG01-L21-20251020-AM-ORD-2025-00019</x:v>
      </x:c>
      <x:c r="D20" t="str">
        <x:v>KG01</x:v>
      </x:c>
      <x:c r="E20" s="62" t="n">
        <x:v>45950</x:v>
      </x:c>
      <x:c r="F20" t="str">
        <x:v>AM</x:v>
      </x:c>
      <x:c r="G20" t="str">
        <x:v>C</x:v>
      </x:c>
      <x:c r="H20" t="n">
        <x:v>21</x:v>
      </x:c>
      <x:c r="I20" t="str">
        <x:v>ORD-2025-00019</x:v>
      </x:c>
      <x:c r="J20" t="n">
        <x:v>6</x:v>
      </x:c>
      <x:c r="K20" t="n">
        <x:v>1</x:v>
      </x:c>
      <x:c r="L20" t="str">
        <x:v>L21-S06-C1</x:v>
      </x:c>
      <x:c r="M20" t="n">
        <x:v>1</x:v>
      </x:c>
      <x:c r="N20" t="str">
        <x:v>DerivedFromCount</x:v>
      </x:c>
      <x:c r="O20" t="str">
        <x:v>PLC-PRD-JAR-330-L21</x:v>
      </x:c>
      <x:c r="P20" t="str">
        <x:v>OK</x:v>
      </x:c>
      <x:c r="Q20" t="str">
        <x:v>OK</x:v>
      </x:c>
      <x:c r="R20" t="str">
        <x:v>OK</x:v>
      </x:c>
      <x:c r="S20" t="str">
        <x:v>OK</x:v>
      </x:c>
      <x:c r="T20" t="n">
        <x:v>30</x:v>
      </x:c>
      <x:c r="U20" t="str">
        <x:v>OK</x:v>
      </x:c>
      <x:c r="V20" t="str">
        <x:v>OK</x:v>
      </x:c>
      <x:c r="W20" t="str">
        <x:v>LOAD</x:v>
      </x:c>
      <x:c r="X20" t="str">
        <x:v>02_Supervisor_Log(4).xlsx</x:v>
      </x:c>
      <x:c r="Y20" t="str">
        <x:v>ENH-20260830-01</x:v>
      </x:c>
      <x:c r="Z20" t="str">
        <x:v>Active</x:v>
      </x:c>
      <x:c r="AA20"/>
      <x:c r="AB20"/>
      <x:c r="AC20"/>
      <x:c r="AD20"/>
    </x:row>
    <x:row r="21">
      <x:c r="A21" t="str">
        <x:v>PCC-PE-KG01-L21-20251020-AM-ORD-2025-00019-S06-C2</x:v>
      </x:c>
      <x:c r="B21" t="str">
        <x:v>PC-PE-KG01-L21-20251020-AM-ORD-2025-00019-S06</x:v>
      </x:c>
      <x:c r="C21" t="str">
        <x:v>PE-KG01-L21-20251020-AM-ORD-2025-00019</x:v>
      </x:c>
      <x:c r="D21" t="str">
        <x:v>KG01</x:v>
      </x:c>
      <x:c r="E21" s="62" t="n">
        <x:v>45950</x:v>
      </x:c>
      <x:c r="F21" t="str">
        <x:v>AM</x:v>
      </x:c>
      <x:c r="G21" t="str">
        <x:v>C</x:v>
      </x:c>
      <x:c r="H21" t="n">
        <x:v>21</x:v>
      </x:c>
      <x:c r="I21" t="str">
        <x:v>ORD-2025-00019</x:v>
      </x:c>
      <x:c r="J21" t="n">
        <x:v>6</x:v>
      </x:c>
      <x:c r="K21" t="n">
        <x:v>2</x:v>
      </x:c>
      <x:c r="L21" t="str">
        <x:v>L21-S06-C2</x:v>
      </x:c>
      <x:c r="M21" t="n">
        <x:v>1</x:v>
      </x:c>
      <x:c r="N21" t="str">
        <x:v>DerivedFromCount</x:v>
      </x:c>
      <x:c r="O21" t="str">
        <x:v>PLC-PRD-JAR-330-L21</x:v>
      </x:c>
      <x:c r="P21" t="str">
        <x:v>OK</x:v>
      </x:c>
      <x:c r="Q21" t="str">
        <x:v>OK</x:v>
      </x:c>
      <x:c r="R21" t="str">
        <x:v>OK</x:v>
      </x:c>
      <x:c r="S21" t="str">
        <x:v>OK</x:v>
      </x:c>
      <x:c r="T21" t="n">
        <x:v>30</x:v>
      </x:c>
      <x:c r="U21" t="str">
        <x:v>OK</x:v>
      </x:c>
      <x:c r="V21" t="str">
        <x:v>OK</x:v>
      </x:c>
      <x:c r="W21" t="str">
        <x:v>LOAD</x:v>
      </x:c>
      <x:c r="X21" t="str">
        <x:v>02_Supervisor_Log(4).xlsx</x:v>
      </x:c>
      <x:c r="Y21" t="str">
        <x:v>ENH-20260830-01</x:v>
      </x:c>
      <x:c r="Z21" t="str">
        <x:v>Active</x:v>
      </x:c>
      <x:c r="AA21"/>
      <x:c r="AB21"/>
      <x:c r="AC21"/>
      <x:c r="AD21"/>
    </x:row>
    <x:row r="22">
      <x:c r="A22" t="str">
        <x:v>PCC-PE-KG01-L21-20251020-AM-ORD-2025-00019-S06-C3</x:v>
      </x:c>
      <x:c r="B22" t="str">
        <x:v>PC-PE-KG01-L21-20251020-AM-ORD-2025-00019-S06</x:v>
      </x:c>
      <x:c r="C22" t="str">
        <x:v>PE-KG01-L21-20251020-AM-ORD-2025-00019</x:v>
      </x:c>
      <x:c r="D22" t="str">
        <x:v>KG01</x:v>
      </x:c>
      <x:c r="E22" s="62" t="n">
        <x:v>45950</x:v>
      </x:c>
      <x:c r="F22" t="str">
        <x:v>AM</x:v>
      </x:c>
      <x:c r="G22" t="str">
        <x:v>C</x:v>
      </x:c>
      <x:c r="H22" t="n">
        <x:v>21</x:v>
      </x:c>
      <x:c r="I22" t="str">
        <x:v>ORD-2025-00019</x:v>
      </x:c>
      <x:c r="J22" t="n">
        <x:v>6</x:v>
      </x:c>
      <x:c r="K22" t="n">
        <x:v>3</x:v>
      </x:c>
      <x:c r="L22" t="str">
        <x:v>L21-S06-C3</x:v>
      </x:c>
      <x:c r="M22" t="n">
        <x:v>1</x:v>
      </x:c>
      <x:c r="N22" t="str">
        <x:v>DerivedFromCount</x:v>
      </x:c>
      <x:c r="O22" t="str">
        <x:v>PLC-PRD-JAR-330-L21</x:v>
      </x:c>
      <x:c r="P22" t="str">
        <x:v>OK</x:v>
      </x:c>
      <x:c r="Q22" t="str">
        <x:v>OK</x:v>
      </x:c>
      <x:c r="R22" t="str">
        <x:v>OK</x:v>
      </x:c>
      <x:c r="S22" t="str">
        <x:v>OK</x:v>
      </x:c>
      <x:c r="T22" t="n">
        <x:v>30</x:v>
      </x:c>
      <x:c r="U22" t="str">
        <x:v>OK</x:v>
      </x:c>
      <x:c r="V22" t="str">
        <x:v>OK</x:v>
      </x:c>
      <x:c r="W22" t="str">
        <x:v>LOAD</x:v>
      </x:c>
      <x:c r="X22" t="str">
        <x:v>02_Supervisor_Log(4).xlsx</x:v>
      </x:c>
      <x:c r="Y22" t="str">
        <x:v>ENH-20260830-01</x:v>
      </x:c>
      <x:c r="Z22" t="str">
        <x:v>Active</x:v>
      </x:c>
      <x:c r="AA22"/>
      <x:c r="AB22"/>
      <x:c r="AC22"/>
      <x:c r="AD22"/>
    </x:row>
    <x:row r="23">
      <x:c r="A23" t="str">
        <x:v>PCC-PE-KG01-L21-20251020-AM-ORD-2025-00019-S07-C1</x:v>
      </x:c>
      <x:c r="B23" t="str">
        <x:v>PC-PE-KG01-L21-20251020-AM-ORD-2025-00019-S07</x:v>
      </x:c>
      <x:c r="C23" t="str">
        <x:v>PE-KG01-L21-20251020-AM-ORD-2025-00019</x:v>
      </x:c>
      <x:c r="D23" t="str">
        <x:v>KG01</x:v>
      </x:c>
      <x:c r="E23" s="62" t="n">
        <x:v>45950</x:v>
      </x:c>
      <x:c r="F23" t="str">
        <x:v>AM</x:v>
      </x:c>
      <x:c r="G23" t="str">
        <x:v>C</x:v>
      </x:c>
      <x:c r="H23" t="n">
        <x:v>21</x:v>
      </x:c>
      <x:c r="I23" t="str">
        <x:v>ORD-2025-00019</x:v>
      </x:c>
      <x:c r="J23" t="n">
        <x:v>7</x:v>
      </x:c>
      <x:c r="K23" t="n">
        <x:v>1</x:v>
      </x:c>
      <x:c r="L23" t="str">
        <x:v>L21-S07-C1</x:v>
      </x:c>
      <x:c r="M23" t="n">
        <x:v>1</x:v>
      </x:c>
      <x:c r="N23" t="str">
        <x:v>DerivedFromCount</x:v>
      </x:c>
      <x:c r="O23" t="str">
        <x:v>PLC-PRD-JAR-330-L21</x:v>
      </x:c>
      <x:c r="P23" t="str">
        <x:v>OK</x:v>
      </x:c>
      <x:c r="Q23" t="str">
        <x:v>OK</x:v>
      </x:c>
      <x:c r="R23" t="str">
        <x:v>OK</x:v>
      </x:c>
      <x:c r="S23" t="str">
        <x:v>OK</x:v>
      </x:c>
      <x:c r="T23" t="n">
        <x:v>30</x:v>
      </x:c>
      <x:c r="U23" t="str">
        <x:v>OK</x:v>
      </x:c>
      <x:c r="V23" t="str">
        <x:v>OK</x:v>
      </x:c>
      <x:c r="W23" t="str">
        <x:v>LOAD</x:v>
      </x:c>
      <x:c r="X23" t="str">
        <x:v>02_Supervisor_Log(4).xlsx</x:v>
      </x:c>
      <x:c r="Y23" t="str">
        <x:v>ENH-20260830-01</x:v>
      </x:c>
      <x:c r="Z23" t="str">
        <x:v>Active</x:v>
      </x:c>
      <x:c r="AA23"/>
      <x:c r="AB23"/>
      <x:c r="AC23"/>
      <x:c r="AD23"/>
    </x:row>
    <x:row r="24">
      <x:c r="A24" t="str">
        <x:v>PCC-PE-KG01-L21-20251020-AM-ORD-2025-00019-S07-C2</x:v>
      </x:c>
      <x:c r="B24" t="str">
        <x:v>PC-PE-KG01-L21-20251020-AM-ORD-2025-00019-S07</x:v>
      </x:c>
      <x:c r="C24" t="str">
        <x:v>PE-KG01-L21-20251020-AM-ORD-2025-00019</x:v>
      </x:c>
      <x:c r="D24" t="str">
        <x:v>KG01</x:v>
      </x:c>
      <x:c r="E24" s="62" t="n">
        <x:v>45950</x:v>
      </x:c>
      <x:c r="F24" t="str">
        <x:v>AM</x:v>
      </x:c>
      <x:c r="G24" t="str">
        <x:v>C</x:v>
      </x:c>
      <x:c r="H24" t="n">
        <x:v>21</x:v>
      </x:c>
      <x:c r="I24" t="str">
        <x:v>ORD-2025-00019</x:v>
      </x:c>
      <x:c r="J24" t="n">
        <x:v>7</x:v>
      </x:c>
      <x:c r="K24" t="n">
        <x:v>2</x:v>
      </x:c>
      <x:c r="L24" t="str">
        <x:v>L21-S07-C2</x:v>
      </x:c>
      <x:c r="M24" t="n">
        <x:v>1</x:v>
      </x:c>
      <x:c r="N24" t="str">
        <x:v>DerivedFromCount</x:v>
      </x:c>
      <x:c r="O24" t="str">
        <x:v>PLC-PRD-JAR-330-L21</x:v>
      </x:c>
      <x:c r="P24" t="str">
        <x:v>OK</x:v>
      </x:c>
      <x:c r="Q24" t="str">
        <x:v>OK</x:v>
      </x:c>
      <x:c r="R24" t="str">
        <x:v>OK</x:v>
      </x:c>
      <x:c r="S24" t="str">
        <x:v>OK</x:v>
      </x:c>
      <x:c r="T24" t="n">
        <x:v>30</x:v>
      </x:c>
      <x:c r="U24" t="str">
        <x:v>OK</x:v>
      </x:c>
      <x:c r="V24" t="str">
        <x:v>OK</x:v>
      </x:c>
      <x:c r="W24" t="str">
        <x:v>LOAD</x:v>
      </x:c>
      <x:c r="X24" t="str">
        <x:v>02_Supervisor_Log(4).xlsx</x:v>
      </x:c>
      <x:c r="Y24" t="str">
        <x:v>ENH-20260830-01</x:v>
      </x:c>
      <x:c r="Z24" t="str">
        <x:v>Active</x:v>
      </x:c>
      <x:c r="AA24"/>
      <x:c r="AB24"/>
      <x:c r="AC24"/>
      <x:c r="AD24"/>
    </x:row>
    <x:row r="25">
      <x:c r="A25" t="str">
        <x:v>PCC-PE-KG01-L21-20251020-AM-ORD-2025-00019-S07-C3</x:v>
      </x:c>
      <x:c r="B25" t="str">
        <x:v>PC-PE-KG01-L21-20251020-AM-ORD-2025-00019-S07</x:v>
      </x:c>
      <x:c r="C25" t="str">
        <x:v>PE-KG01-L21-20251020-AM-ORD-2025-00019</x:v>
      </x:c>
      <x:c r="D25" t="str">
        <x:v>KG01</x:v>
      </x:c>
      <x:c r="E25" s="62" t="n">
        <x:v>45950</x:v>
      </x:c>
      <x:c r="F25" t="str">
        <x:v>AM</x:v>
      </x:c>
      <x:c r="G25" t="str">
        <x:v>C</x:v>
      </x:c>
      <x:c r="H25" t="n">
        <x:v>21</x:v>
      </x:c>
      <x:c r="I25" t="str">
        <x:v>ORD-2025-00019</x:v>
      </x:c>
      <x:c r="J25" t="n">
        <x:v>7</x:v>
      </x:c>
      <x:c r="K25" t="n">
        <x:v>3</x:v>
      </x:c>
      <x:c r="L25" t="str">
        <x:v>L21-S07-C3</x:v>
      </x:c>
      <x:c r="M25" t="n">
        <x:v>1</x:v>
      </x:c>
      <x:c r="N25" t="str">
        <x:v>DerivedFromCount</x:v>
      </x:c>
      <x:c r="O25" t="str">
        <x:v>PLC-PRD-JAR-330-L21</x:v>
      </x:c>
      <x:c r="P25" t="str">
        <x:v>OK</x:v>
      </x:c>
      <x:c r="Q25" t="str">
        <x:v>OK</x:v>
      </x:c>
      <x:c r="R25" t="str">
        <x:v>OK</x:v>
      </x:c>
      <x:c r="S25" t="str">
        <x:v>OK</x:v>
      </x:c>
      <x:c r="T25" t="n">
        <x:v>30</x:v>
      </x:c>
      <x:c r="U25" t="str">
        <x:v>OK</x:v>
      </x:c>
      <x:c r="V25" t="str">
        <x:v>OK</x:v>
      </x:c>
      <x:c r="W25" t="str">
        <x:v>LOAD</x:v>
      </x:c>
      <x:c r="X25" t="str">
        <x:v>02_Supervisor_Log(4).xlsx</x:v>
      </x:c>
      <x:c r="Y25" t="str">
        <x:v>ENH-20260830-01</x:v>
      </x:c>
      <x:c r="Z25" t="str">
        <x:v>Active</x:v>
      </x:c>
      <x:c r="AA25"/>
      <x:c r="AB25"/>
      <x:c r="AC25"/>
      <x:c r="AD25"/>
    </x:row>
    <x:row r="26">
      <x:c r="A26" t="str">
        <x:v>PCC-PE-KG01-L21-20251020-AM-ORD-2025-00019-S08-C1</x:v>
      </x:c>
      <x:c r="B26" t="str">
        <x:v>PC-PE-KG01-L21-20251020-AM-ORD-2025-00019-S08</x:v>
      </x:c>
      <x:c r="C26" t="str">
        <x:v>PE-KG01-L21-20251020-AM-ORD-2025-00019</x:v>
      </x:c>
      <x:c r="D26" t="str">
        <x:v>KG01</x:v>
      </x:c>
      <x:c r="E26" s="62" t="n">
        <x:v>45950</x:v>
      </x:c>
      <x:c r="F26" t="str">
        <x:v>AM</x:v>
      </x:c>
      <x:c r="G26" t="str">
        <x:v>C</x:v>
      </x:c>
      <x:c r="H26" t="n">
        <x:v>21</x:v>
      </x:c>
      <x:c r="I26" t="str">
        <x:v>ORD-2025-00019</x:v>
      </x:c>
      <x:c r="J26" t="n">
        <x:v>8</x:v>
      </x:c>
      <x:c r="K26" t="n">
        <x:v>1</x:v>
      </x:c>
      <x:c r="L26" t="str">
        <x:v>L21-S08-C1</x:v>
      </x:c>
      <x:c r="M26" t="n">
        <x:v>1</x:v>
      </x:c>
      <x:c r="N26" t="str">
        <x:v>DerivedFromCount</x:v>
      </x:c>
      <x:c r="O26" t="str">
        <x:v>PLC-PRD-JAR-330-L21</x:v>
      </x:c>
      <x:c r="P26" t="str">
        <x:v>OK</x:v>
      </x:c>
      <x:c r="Q26" t="str">
        <x:v>OK</x:v>
      </x:c>
      <x:c r="R26" t="str">
        <x:v>OK</x:v>
      </x:c>
      <x:c r="S26" t="str">
        <x:v>OK</x:v>
      </x:c>
      <x:c r="T26" t="n">
        <x:v>30</x:v>
      </x:c>
      <x:c r="U26" t="str">
        <x:v>OK</x:v>
      </x:c>
      <x:c r="V26" t="str">
        <x:v>OK</x:v>
      </x:c>
      <x:c r="W26" t="str">
        <x:v>LOAD</x:v>
      </x:c>
      <x:c r="X26" t="str">
        <x:v>02_Supervisor_Log(4).xlsx</x:v>
      </x:c>
      <x:c r="Y26" t="str">
        <x:v>ENH-20260830-01</x:v>
      </x:c>
      <x:c r="Z26" t="str">
        <x:v>Active</x:v>
      </x:c>
      <x:c r="AA26"/>
      <x:c r="AB26"/>
      <x:c r="AC26"/>
      <x:c r="AD26"/>
    </x:row>
    <x:row r="27">
      <x:c r="A27" t="str">
        <x:v>PCC-PE-KG01-L21-20251020-AM-ORD-2025-00019-S08-C2</x:v>
      </x:c>
      <x:c r="B27" t="str">
        <x:v>PC-PE-KG01-L21-20251020-AM-ORD-2025-00019-S08</x:v>
      </x:c>
      <x:c r="C27" t="str">
        <x:v>PE-KG01-L21-20251020-AM-ORD-2025-00019</x:v>
      </x:c>
      <x:c r="D27" t="str">
        <x:v>KG01</x:v>
      </x:c>
      <x:c r="E27" s="62" t="n">
        <x:v>45950</x:v>
      </x:c>
      <x:c r="F27" t="str">
        <x:v>AM</x:v>
      </x:c>
      <x:c r="G27" t="str">
        <x:v>C</x:v>
      </x:c>
      <x:c r="H27" t="n">
        <x:v>21</x:v>
      </x:c>
      <x:c r="I27" t="str">
        <x:v>ORD-2025-00019</x:v>
      </x:c>
      <x:c r="J27" t="n">
        <x:v>8</x:v>
      </x:c>
      <x:c r="K27" t="n">
        <x:v>2</x:v>
      </x:c>
      <x:c r="L27" t="str">
        <x:v>L21-S08-C2</x:v>
      </x:c>
      <x:c r="M27" t="n">
        <x:v>1</x:v>
      </x:c>
      <x:c r="N27" t="str">
        <x:v>DerivedFromCount</x:v>
      </x:c>
      <x:c r="O27" t="str">
        <x:v>PLC-PRD-JAR-330-L21</x:v>
      </x:c>
      <x:c r="P27" t="str">
        <x:v>OK</x:v>
      </x:c>
      <x:c r="Q27" t="str">
        <x:v>OK</x:v>
      </x:c>
      <x:c r="R27" t="str">
        <x:v>OK</x:v>
      </x:c>
      <x:c r="S27" t="str">
        <x:v>OK</x:v>
      </x:c>
      <x:c r="T27" t="n">
        <x:v>30</x:v>
      </x:c>
      <x:c r="U27" t="str">
        <x:v>OK</x:v>
      </x:c>
      <x:c r="V27" t="str">
        <x:v>OK</x:v>
      </x:c>
      <x:c r="W27" t="str">
        <x:v>LOAD</x:v>
      </x:c>
      <x:c r="X27" t="str">
        <x:v>02_Supervisor_Log(4).xlsx</x:v>
      </x:c>
      <x:c r="Y27" t="str">
        <x:v>ENH-20260830-01</x:v>
      </x:c>
      <x:c r="Z27" t="str">
        <x:v>Active</x:v>
      </x:c>
      <x:c r="AA27"/>
      <x:c r="AB27"/>
      <x:c r="AC27"/>
      <x:c r="AD27"/>
    </x:row>
    <x:row r="28">
      <x:c r="A28" t="str">
        <x:v>PCC-PE-KG01-L21-20251020-AM-ORD-2025-00019-S08-C3</x:v>
      </x:c>
      <x:c r="B28" t="str">
        <x:v>PC-PE-KG01-L21-20251020-AM-ORD-2025-00019-S08</x:v>
      </x:c>
      <x:c r="C28" t="str">
        <x:v>PE-KG01-L21-20251020-AM-ORD-2025-00019</x:v>
      </x:c>
      <x:c r="D28" t="str">
        <x:v>KG01</x:v>
      </x:c>
      <x:c r="E28" s="62" t="n">
        <x:v>45950</x:v>
      </x:c>
      <x:c r="F28" t="str">
        <x:v>AM</x:v>
      </x:c>
      <x:c r="G28" t="str">
        <x:v>C</x:v>
      </x:c>
      <x:c r="H28" t="n">
        <x:v>21</x:v>
      </x:c>
      <x:c r="I28" t="str">
        <x:v>ORD-2025-00019</x:v>
      </x:c>
      <x:c r="J28" t="n">
        <x:v>8</x:v>
      </x:c>
      <x:c r="K28" t="n">
        <x:v>3</x:v>
      </x:c>
      <x:c r="L28" t="str">
        <x:v>L21-S08-C3</x:v>
      </x:c>
      <x:c r="M28" t="n">
        <x:v>1</x:v>
      </x:c>
      <x:c r="N28" t="str">
        <x:v>DerivedFromCount</x:v>
      </x:c>
      <x:c r="O28" t="str">
        <x:v>PLC-PRD-JAR-330-L21</x:v>
      </x:c>
      <x:c r="P28" t="str">
        <x:v>OK</x:v>
      </x:c>
      <x:c r="Q28" t="str">
        <x:v>OK</x:v>
      </x:c>
      <x:c r="R28" t="str">
        <x:v>OK</x:v>
      </x:c>
      <x:c r="S28" t="str">
        <x:v>OK</x:v>
      </x:c>
      <x:c r="T28" t="n">
        <x:v>30</x:v>
      </x:c>
      <x:c r="U28" t="str">
        <x:v>OK</x:v>
      </x:c>
      <x:c r="V28" t="str">
        <x:v>OK</x:v>
      </x:c>
      <x:c r="W28" t="str">
        <x:v>LOAD</x:v>
      </x:c>
      <x:c r="X28" t="str">
        <x:v>02_Supervisor_Log(4).xlsx</x:v>
      </x:c>
      <x:c r="Y28" t="str">
        <x:v>ENH-20260830-01</x:v>
      </x:c>
      <x:c r="Z28" t="str">
        <x:v>Active</x:v>
      </x:c>
      <x:c r="AA28"/>
      <x:c r="AB28"/>
      <x:c r="AC28"/>
      <x:c r="AD28"/>
    </x:row>
    <x:row r="29">
      <x:c r="A29" t="str">
        <x:v>PCC-PE-KG01-L21-20251020-AM-ORD-2025-00019-S09-C1</x:v>
      </x:c>
      <x:c r="B29" t="str">
        <x:v>PC-PE-KG01-L21-20251020-AM-ORD-2025-00019-S09</x:v>
      </x:c>
      <x:c r="C29" t="str">
        <x:v>PE-KG01-L21-20251020-AM-ORD-2025-00019</x:v>
      </x:c>
      <x:c r="D29" t="str">
        <x:v>KG01</x:v>
      </x:c>
      <x:c r="E29" s="62" t="n">
        <x:v>45950</x:v>
      </x:c>
      <x:c r="F29" t="str">
        <x:v>AM</x:v>
      </x:c>
      <x:c r="G29" t="str">
        <x:v>C</x:v>
      </x:c>
      <x:c r="H29" t="n">
        <x:v>21</x:v>
      </x:c>
      <x:c r="I29" t="str">
        <x:v>ORD-2025-00019</x:v>
      </x:c>
      <x:c r="J29" t="n">
        <x:v>9</x:v>
      </x:c>
      <x:c r="K29" t="n">
        <x:v>1</x:v>
      </x:c>
      <x:c r="L29" t="str">
        <x:v>L21-S09-C1</x:v>
      </x:c>
      <x:c r="M29" t="n">
        <x:v>1</x:v>
      </x:c>
      <x:c r="N29" t="str">
        <x:v>DerivedFromCount</x:v>
      </x:c>
      <x:c r="O29" t="str">
        <x:v>PLC-PRD-JAR-330-L21</x:v>
      </x:c>
      <x:c r="P29" t="str">
        <x:v>OK</x:v>
      </x:c>
      <x:c r="Q29" t="str">
        <x:v>OK</x:v>
      </x:c>
      <x:c r="R29" t="str">
        <x:v>OK</x:v>
      </x:c>
      <x:c r="S29" t="str">
        <x:v>OK</x:v>
      </x:c>
      <x:c r="T29" t="n">
        <x:v>30</x:v>
      </x:c>
      <x:c r="U29" t="str">
        <x:v>OK</x:v>
      </x:c>
      <x:c r="V29" t="str">
        <x:v>OK</x:v>
      </x:c>
      <x:c r="W29" t="str">
        <x:v>LOAD</x:v>
      </x:c>
      <x:c r="X29" t="str">
        <x:v>02_Supervisor_Log(4).xlsx</x:v>
      </x:c>
      <x:c r="Y29" t="str">
        <x:v>ENH-20260830-01</x:v>
      </x:c>
      <x:c r="Z29" t="str">
        <x:v>Active</x:v>
      </x:c>
      <x:c r="AA29"/>
      <x:c r="AB29"/>
      <x:c r="AC29"/>
      <x:c r="AD29"/>
    </x:row>
    <x:row r="30">
      <x:c r="A30" t="str">
        <x:v>PCC-PE-KG01-L21-20251020-AM-ORD-2025-00019-S09-C2</x:v>
      </x:c>
      <x:c r="B30" t="str">
        <x:v>PC-PE-KG01-L21-20251020-AM-ORD-2025-00019-S09</x:v>
      </x:c>
      <x:c r="C30" t="str">
        <x:v>PE-KG01-L21-20251020-AM-ORD-2025-00019</x:v>
      </x:c>
      <x:c r="D30" t="str">
        <x:v>KG01</x:v>
      </x:c>
      <x:c r="E30" s="62" t="n">
        <x:v>45950</x:v>
      </x:c>
      <x:c r="F30" t="str">
        <x:v>AM</x:v>
      </x:c>
      <x:c r="G30" t="str">
        <x:v>C</x:v>
      </x:c>
      <x:c r="H30" t="n">
        <x:v>21</x:v>
      </x:c>
      <x:c r="I30" t="str">
        <x:v>ORD-2025-00019</x:v>
      </x:c>
      <x:c r="J30" t="n">
        <x:v>9</x:v>
      </x:c>
      <x:c r="K30" t="n">
        <x:v>2</x:v>
      </x:c>
      <x:c r="L30" t="str">
        <x:v>L21-S09-C2</x:v>
      </x:c>
      <x:c r="M30" t="n">
        <x:v>1</x:v>
      </x:c>
      <x:c r="N30" t="str">
        <x:v>DerivedFromCount</x:v>
      </x:c>
      <x:c r="O30" t="str">
        <x:v>PLC-PRD-JAR-330-L21</x:v>
      </x:c>
      <x:c r="P30" t="str">
        <x:v>OK</x:v>
      </x:c>
      <x:c r="Q30" t="str">
        <x:v>OK</x:v>
      </x:c>
      <x:c r="R30" t="str">
        <x:v>OK</x:v>
      </x:c>
      <x:c r="S30" t="str">
        <x:v>OK</x:v>
      </x:c>
      <x:c r="T30" t="n">
        <x:v>30</x:v>
      </x:c>
      <x:c r="U30" t="str">
        <x:v>OK</x:v>
      </x:c>
      <x:c r="V30" t="str">
        <x:v>OK</x:v>
      </x:c>
      <x:c r="W30" t="str">
        <x:v>LOAD</x:v>
      </x:c>
      <x:c r="X30" t="str">
        <x:v>02_Supervisor_Log(4).xlsx</x:v>
      </x:c>
      <x:c r="Y30" t="str">
        <x:v>ENH-20260830-01</x:v>
      </x:c>
      <x:c r="Z30" t="str">
        <x:v>Active</x:v>
      </x:c>
      <x:c r="AA30"/>
      <x:c r="AB30"/>
      <x:c r="AC30"/>
      <x:c r="AD30"/>
    </x:row>
    <x:row r="31">
      <x:c r="A31" t="str">
        <x:v>PCC-PE-KG01-L21-20251020-AM-ORD-2025-00019-S09-C3</x:v>
      </x:c>
      <x:c r="B31" t="str">
        <x:v>PC-PE-KG01-L21-20251020-AM-ORD-2025-00019-S09</x:v>
      </x:c>
      <x:c r="C31" t="str">
        <x:v>PE-KG01-L21-20251020-AM-ORD-2025-00019</x:v>
      </x:c>
      <x:c r="D31" t="str">
        <x:v>KG01</x:v>
      </x:c>
      <x:c r="E31" s="62" t="n">
        <x:v>45950</x:v>
      </x:c>
      <x:c r="F31" t="str">
        <x:v>AM</x:v>
      </x:c>
      <x:c r="G31" t="str">
        <x:v>C</x:v>
      </x:c>
      <x:c r="H31" t="n">
        <x:v>21</x:v>
      </x:c>
      <x:c r="I31" t="str">
        <x:v>ORD-2025-00019</x:v>
      </x:c>
      <x:c r="J31" t="n">
        <x:v>9</x:v>
      </x:c>
      <x:c r="K31" t="n">
        <x:v>3</x:v>
      </x:c>
      <x:c r="L31" t="str">
        <x:v>L21-S09-C3</x:v>
      </x:c>
      <x:c r="M31" t="n">
        <x:v>1</x:v>
      </x:c>
      <x:c r="N31" t="str">
        <x:v>DerivedFromCount</x:v>
      </x:c>
      <x:c r="O31" t="str">
        <x:v>PLC-PRD-JAR-330-L21</x:v>
      </x:c>
      <x:c r="P31" t="str">
        <x:v>OK</x:v>
      </x:c>
      <x:c r="Q31" t="str">
        <x:v>OK</x:v>
      </x:c>
      <x:c r="R31" t="str">
        <x:v>OK</x:v>
      </x:c>
      <x:c r="S31" t="str">
        <x:v>OK</x:v>
      </x:c>
      <x:c r="T31" t="n">
        <x:v>30</x:v>
      </x:c>
      <x:c r="U31" t="str">
        <x:v>OK</x:v>
      </x:c>
      <x:c r="V31" t="str">
        <x:v>OK</x:v>
      </x:c>
      <x:c r="W31" t="str">
        <x:v>LOAD</x:v>
      </x:c>
      <x:c r="X31" t="str">
        <x:v>02_Supervisor_Log(4).xlsx</x:v>
      </x:c>
      <x:c r="Y31" t="str">
        <x:v>ENH-20260830-01</x:v>
      </x:c>
      <x:c r="Z31" t="str">
        <x:v>Active</x:v>
      </x:c>
      <x:c r="AA31"/>
      <x:c r="AB31"/>
      <x:c r="AC31"/>
      <x:c r="AD31"/>
    </x:row>
    <x:row r="32">
      <x:c r="A32" t="str">
        <x:v>PCC-PE-KG01-L21-20251020-AM-ORD-2025-00019-S10-C1</x:v>
      </x:c>
      <x:c r="B32" t="str">
        <x:v>PC-PE-KG01-L21-20251020-AM-ORD-2025-00019-S10</x:v>
      </x:c>
      <x:c r="C32" t="str">
        <x:v>PE-KG01-L21-20251020-AM-ORD-2025-00019</x:v>
      </x:c>
      <x:c r="D32" t="str">
        <x:v>KG01</x:v>
      </x:c>
      <x:c r="E32" s="62" t="n">
        <x:v>45950</x:v>
      </x:c>
      <x:c r="F32" t="str">
        <x:v>AM</x:v>
      </x:c>
      <x:c r="G32" t="str">
        <x:v>C</x:v>
      </x:c>
      <x:c r="H32" t="n">
        <x:v>21</x:v>
      </x:c>
      <x:c r="I32" t="str">
        <x:v>ORD-2025-00019</x:v>
      </x:c>
      <x:c r="J32" t="n">
        <x:v>10</x:v>
      </x:c>
      <x:c r="K32" t="n">
        <x:v>1</x:v>
      </x:c>
      <x:c r="L32" t="str">
        <x:v>L21-S10-C1</x:v>
      </x:c>
      <x:c r="M32" t="n">
        <x:v>1</x:v>
      </x:c>
      <x:c r="N32" t="str">
        <x:v>DerivedFromCount</x:v>
      </x:c>
      <x:c r="O32" t="str">
        <x:v>PLC-PRD-JAR-330-L21</x:v>
      </x:c>
      <x:c r="P32" t="str">
        <x:v>OK</x:v>
      </x:c>
      <x:c r="Q32" t="str">
        <x:v>OK</x:v>
      </x:c>
      <x:c r="R32" t="str">
        <x:v>OK</x:v>
      </x:c>
      <x:c r="S32" t="str">
        <x:v>OK</x:v>
      </x:c>
      <x:c r="T32" t="n">
        <x:v>30</x:v>
      </x:c>
      <x:c r="U32" t="str">
        <x:v>OK</x:v>
      </x:c>
      <x:c r="V32" t="str">
        <x:v>OK</x:v>
      </x:c>
      <x:c r="W32" t="str">
        <x:v>LOAD</x:v>
      </x:c>
      <x:c r="X32" t="str">
        <x:v>02_Supervisor_Log(4).xlsx</x:v>
      </x:c>
      <x:c r="Y32" t="str">
        <x:v>ENH-20260830-01</x:v>
      </x:c>
      <x:c r="Z32" t="str">
        <x:v>Active</x:v>
      </x:c>
      <x:c r="AA32"/>
      <x:c r="AB32"/>
      <x:c r="AC32"/>
      <x:c r="AD32"/>
    </x:row>
    <x:row r="33">
      <x:c r="A33" t="str">
        <x:v>PCC-PE-KG01-L21-20251020-AM-ORD-2025-00019-S10-C2</x:v>
      </x:c>
      <x:c r="B33" t="str">
        <x:v>PC-PE-KG01-L21-20251020-AM-ORD-2025-00019-S10</x:v>
      </x:c>
      <x:c r="C33" t="str">
        <x:v>PE-KG01-L21-20251020-AM-ORD-2025-00019</x:v>
      </x:c>
      <x:c r="D33" t="str">
        <x:v>KG01</x:v>
      </x:c>
      <x:c r="E33" s="62" t="n">
        <x:v>45950</x:v>
      </x:c>
      <x:c r="F33" t="str">
        <x:v>AM</x:v>
      </x:c>
      <x:c r="G33" t="str">
        <x:v>C</x:v>
      </x:c>
      <x:c r="H33" t="n">
        <x:v>21</x:v>
      </x:c>
      <x:c r="I33" t="str">
        <x:v>ORD-2025-00019</x:v>
      </x:c>
      <x:c r="J33" t="n">
        <x:v>10</x:v>
      </x:c>
      <x:c r="K33" t="n">
        <x:v>2</x:v>
      </x:c>
      <x:c r="L33" t="str">
        <x:v>L21-S10-C2</x:v>
      </x:c>
      <x:c r="M33" t="n">
        <x:v>1</x:v>
      </x:c>
      <x:c r="N33" t="str">
        <x:v>DerivedFromCount</x:v>
      </x:c>
      <x:c r="O33" t="str">
        <x:v>PLC-PRD-JAR-330-L21</x:v>
      </x:c>
      <x:c r="P33" t="str">
        <x:v>OK</x:v>
      </x:c>
      <x:c r="Q33" t="str">
        <x:v>OK</x:v>
      </x:c>
      <x:c r="R33" t="str">
        <x:v>OK</x:v>
      </x:c>
      <x:c r="S33" t="str">
        <x:v>OK</x:v>
      </x:c>
      <x:c r="T33" t="n">
        <x:v>30</x:v>
      </x:c>
      <x:c r="U33" t="str">
        <x:v>OK</x:v>
      </x:c>
      <x:c r="V33" t="str">
        <x:v>OK</x:v>
      </x:c>
      <x:c r="W33" t="str">
        <x:v>LOAD</x:v>
      </x:c>
      <x:c r="X33" t="str">
        <x:v>02_Supervisor_Log(4).xlsx</x:v>
      </x:c>
      <x:c r="Y33" t="str">
        <x:v>ENH-20260830-01</x:v>
      </x:c>
      <x:c r="Z33" t="str">
        <x:v>Active</x:v>
      </x:c>
      <x:c r="AA33"/>
      <x:c r="AB33"/>
      <x:c r="AC33"/>
      <x:c r="AD33"/>
    </x:row>
    <x:row r="34">
      <x:c r="A34" t="str">
        <x:v>PCC-PE-KG01-L21-20251020-AM-ORD-2025-00019-S10-C3</x:v>
      </x:c>
      <x:c r="B34" t="str">
        <x:v>PC-PE-KG01-L21-20251020-AM-ORD-2025-00019-S10</x:v>
      </x:c>
      <x:c r="C34" t="str">
        <x:v>PE-KG01-L21-20251020-AM-ORD-2025-00019</x:v>
      </x:c>
      <x:c r="D34" t="str">
        <x:v>KG01</x:v>
      </x:c>
      <x:c r="E34" s="62" t="n">
        <x:v>45950</x:v>
      </x:c>
      <x:c r="F34" t="str">
        <x:v>AM</x:v>
      </x:c>
      <x:c r="G34" t="str">
        <x:v>C</x:v>
      </x:c>
      <x:c r="H34" t="n">
        <x:v>21</x:v>
      </x:c>
      <x:c r="I34" t="str">
        <x:v>ORD-2025-00019</x:v>
      </x:c>
      <x:c r="J34" t="n">
        <x:v>10</x:v>
      </x:c>
      <x:c r="K34" t="n">
        <x:v>3</x:v>
      </x:c>
      <x:c r="L34" t="str">
        <x:v>L21-S10-C3</x:v>
      </x:c>
      <x:c r="M34" t="n">
        <x:v>1</x:v>
      </x:c>
      <x:c r="N34" t="str">
        <x:v>DerivedFromCount</x:v>
      </x:c>
      <x:c r="O34" t="str">
        <x:v>PLC-PRD-JAR-330-L21</x:v>
      </x:c>
      <x:c r="P34" t="str">
        <x:v>OK</x:v>
      </x:c>
      <x:c r="Q34" t="str">
        <x:v>OK</x:v>
      </x:c>
      <x:c r="R34" t="str">
        <x:v>OK</x:v>
      </x:c>
      <x:c r="S34" t="str">
        <x:v>OK</x:v>
      </x:c>
      <x:c r="T34" t="n">
        <x:v>30</x:v>
      </x:c>
      <x:c r="U34" t="str">
        <x:v>OK</x:v>
      </x:c>
      <x:c r="V34" t="str">
        <x:v>OK</x:v>
      </x:c>
      <x:c r="W34" t="str">
        <x:v>LOAD</x:v>
      </x:c>
      <x:c r="X34" t="str">
        <x:v>02_Supervisor_Log(4).xlsx</x:v>
      </x:c>
      <x:c r="Y34" t="str">
        <x:v>ENH-20260830-01</x:v>
      </x:c>
      <x:c r="Z34" t="str">
        <x:v>Active</x:v>
      </x:c>
      <x:c r="AA34"/>
      <x:c r="AB34"/>
      <x:c r="AC34"/>
      <x:c r="AD34"/>
    </x:row>
    <x:row r="35">
      <x:c r="A35" t="str">
        <x:v>PCC-PE-KG01-L21-20251020-AM-ORD-2025-00019-S11-C1</x:v>
      </x:c>
      <x:c r="B35" t="str">
        <x:v>PC-PE-KG01-L21-20251020-AM-ORD-2025-00019-S11</x:v>
      </x:c>
      <x:c r="C35" t="str">
        <x:v>PE-KG01-L21-20251020-AM-ORD-2025-00019</x:v>
      </x:c>
      <x:c r="D35" t="str">
        <x:v>KG01</x:v>
      </x:c>
      <x:c r="E35" s="62" t="n">
        <x:v>45950</x:v>
      </x:c>
      <x:c r="F35" t="str">
        <x:v>AM</x:v>
      </x:c>
      <x:c r="G35" t="str">
        <x:v>C</x:v>
      </x:c>
      <x:c r="H35" t="n">
        <x:v>21</x:v>
      </x:c>
      <x:c r="I35" t="str">
        <x:v>ORD-2025-00019</x:v>
      </x:c>
      <x:c r="J35" t="n">
        <x:v>11</x:v>
      </x:c>
      <x:c r="K35" t="n">
        <x:v>1</x:v>
      </x:c>
      <x:c r="L35" t="str">
        <x:v>L21-S11-C1</x:v>
      </x:c>
      <x:c r="M35" t="n">
        <x:v>0</x:v>
      </x:c>
      <x:c r="N35" t="str">
        <x:v>DerivedFromCount</x:v>
      </x:c>
      <x:c r="O35" t="str">
        <x:v>PLC-PRD-JAR-330-L21</x:v>
      </x:c>
      <x:c r="P35" t="str">
        <x:v>OK</x:v>
      </x:c>
      <x:c r="Q35" t="str">
        <x:v>OK</x:v>
      </x:c>
      <x:c r="R35" t="str">
        <x:v>OK</x:v>
      </x:c>
      <x:c r="S35" t="str">
        <x:v>OK</x:v>
      </x:c>
      <x:c r="T35" t="n">
        <x:v>30</x:v>
      </x:c>
      <x:c r="U35" t="str">
        <x:v>OK</x:v>
      </x:c>
      <x:c r="V35" t="str">
        <x:v>OK</x:v>
      </x:c>
      <x:c r="W35" t="str">
        <x:v>LOAD</x:v>
      </x:c>
      <x:c r="X35" t="str">
        <x:v>02_Supervisor_Log(4).xlsx</x:v>
      </x:c>
      <x:c r="Y35" t="str">
        <x:v>ENH-20260830-01</x:v>
      </x:c>
      <x:c r="Z35" t="str">
        <x:v>Active</x:v>
      </x:c>
      <x:c r="AA35"/>
      <x:c r="AB35"/>
      <x:c r="AC35"/>
      <x:c r="AD35"/>
    </x:row>
    <x:row r="36">
      <x:c r="A36" t="str">
        <x:v>PCC-PE-KG01-L21-20251020-AM-ORD-2025-00019-S11-C2</x:v>
      </x:c>
      <x:c r="B36" t="str">
        <x:v>PC-PE-KG01-L21-20251020-AM-ORD-2025-00019-S11</x:v>
      </x:c>
      <x:c r="C36" t="str">
        <x:v>PE-KG01-L21-20251020-AM-ORD-2025-00019</x:v>
      </x:c>
      <x:c r="D36" t="str">
        <x:v>KG01</x:v>
      </x:c>
      <x:c r="E36" s="62" t="n">
        <x:v>45950</x:v>
      </x:c>
      <x:c r="F36" t="str">
        <x:v>AM</x:v>
      </x:c>
      <x:c r="G36" t="str">
        <x:v>C</x:v>
      </x:c>
      <x:c r="H36" t="n">
        <x:v>21</x:v>
      </x:c>
      <x:c r="I36" t="str">
        <x:v>ORD-2025-00019</x:v>
      </x:c>
      <x:c r="J36" t="n">
        <x:v>11</x:v>
      </x:c>
      <x:c r="K36" t="n">
        <x:v>2</x:v>
      </x:c>
      <x:c r="L36" t="str">
        <x:v>L21-S11-C2</x:v>
      </x:c>
      <x:c r="M36" t="n">
        <x:v>0</x:v>
      </x:c>
      <x:c r="N36" t="str">
        <x:v>DerivedFromCount</x:v>
      </x:c>
      <x:c r="O36" t="str">
        <x:v>PLC-PRD-JAR-330-L21</x:v>
      </x:c>
      <x:c r="P36" t="str">
        <x:v>OK</x:v>
      </x:c>
      <x:c r="Q36" t="str">
        <x:v>OK</x:v>
      </x:c>
      <x:c r="R36" t="str">
        <x:v>OK</x:v>
      </x:c>
      <x:c r="S36" t="str">
        <x:v>OK</x:v>
      </x:c>
      <x:c r="T36" t="n">
        <x:v>30</x:v>
      </x:c>
      <x:c r="U36" t="str">
        <x:v>OK</x:v>
      </x:c>
      <x:c r="V36" t="str">
        <x:v>OK</x:v>
      </x:c>
      <x:c r="W36" t="str">
        <x:v>LOAD</x:v>
      </x:c>
      <x:c r="X36" t="str">
        <x:v>02_Supervisor_Log(4).xlsx</x:v>
      </x:c>
      <x:c r="Y36" t="str">
        <x:v>ENH-20260830-01</x:v>
      </x:c>
      <x:c r="Z36" t="str">
        <x:v>Active</x:v>
      </x:c>
      <x:c r="AA36"/>
      <x:c r="AB36"/>
      <x:c r="AC36"/>
      <x:c r="AD36"/>
    </x:row>
    <x:row r="37">
      <x:c r="A37" t="str">
        <x:v>PCC-PE-KG01-L21-20251020-AM-ORD-2025-00019-S11-C3</x:v>
      </x:c>
      <x:c r="B37" t="str">
        <x:v>PC-PE-KG01-L21-20251020-AM-ORD-2025-00019-S11</x:v>
      </x:c>
      <x:c r="C37" t="str">
        <x:v>PE-KG01-L21-20251020-AM-ORD-2025-00019</x:v>
      </x:c>
      <x:c r="D37" t="str">
        <x:v>KG01</x:v>
      </x:c>
      <x:c r="E37" s="62" t="n">
        <x:v>45950</x:v>
      </x:c>
      <x:c r="F37" t="str">
        <x:v>AM</x:v>
      </x:c>
      <x:c r="G37" t="str">
        <x:v>C</x:v>
      </x:c>
      <x:c r="H37" t="n">
        <x:v>21</x:v>
      </x:c>
      <x:c r="I37" t="str">
        <x:v>ORD-2025-00019</x:v>
      </x:c>
      <x:c r="J37" t="n">
        <x:v>11</x:v>
      </x:c>
      <x:c r="K37" t="n">
        <x:v>3</x:v>
      </x:c>
      <x:c r="L37" t="str">
        <x:v>L21-S11-C3</x:v>
      </x:c>
      <x:c r="M37" t="n">
        <x:v>0</x:v>
      </x:c>
      <x:c r="N37" t="str">
        <x:v>DerivedFromCount</x:v>
      </x:c>
      <x:c r="O37" t="str">
        <x:v>PLC-PRD-JAR-330-L21</x:v>
      </x:c>
      <x:c r="P37" t="str">
        <x:v>OK</x:v>
      </x:c>
      <x:c r="Q37" t="str">
        <x:v>OK</x:v>
      </x:c>
      <x:c r="R37" t="str">
        <x:v>OK</x:v>
      </x:c>
      <x:c r="S37" t="str">
        <x:v>OK</x:v>
      </x:c>
      <x:c r="T37" t="n">
        <x:v>30</x:v>
      </x:c>
      <x:c r="U37" t="str">
        <x:v>OK</x:v>
      </x:c>
      <x:c r="V37" t="str">
        <x:v>OK</x:v>
      </x:c>
      <x:c r="W37" t="str">
        <x:v>LOAD</x:v>
      </x:c>
      <x:c r="X37" t="str">
        <x:v>02_Supervisor_Log(4).xlsx</x:v>
      </x:c>
      <x:c r="Y37" t="str">
        <x:v>ENH-20260830-01</x:v>
      </x:c>
      <x:c r="Z37" t="str">
        <x:v>Active</x:v>
      </x:c>
      <x:c r="AA37"/>
      <x:c r="AB37"/>
      <x:c r="AC37"/>
      <x:c r="AD37"/>
    </x:row>
    <x:row r="38">
      <x:c r="A38" t="str">
        <x:v>PCC-PE-KG01-L21-20251020-AM-ORD-2025-00019-S12-C1</x:v>
      </x:c>
      <x:c r="B38" t="str">
        <x:v>PC-PE-KG01-L21-20251020-AM-ORD-2025-00019-S12</x:v>
      </x:c>
      <x:c r="C38" t="str">
        <x:v>PE-KG01-L21-20251020-AM-ORD-2025-00019</x:v>
      </x:c>
      <x:c r="D38" t="str">
        <x:v>KG01</x:v>
      </x:c>
      <x:c r="E38" s="62" t="n">
        <x:v>45950</x:v>
      </x:c>
      <x:c r="F38" t="str">
        <x:v>AM</x:v>
      </x:c>
      <x:c r="G38" t="str">
        <x:v>C</x:v>
      </x:c>
      <x:c r="H38" t="n">
        <x:v>21</x:v>
      </x:c>
      <x:c r="I38" t="str">
        <x:v>ORD-2025-00019</x:v>
      </x:c>
      <x:c r="J38" t="n">
        <x:v>12</x:v>
      </x:c>
      <x:c r="K38" t="n">
        <x:v>1</x:v>
      </x:c>
      <x:c r="L38" t="str">
        <x:v>L21-S12-C1</x:v>
      </x:c>
      <x:c r="M38" t="n">
        <x:v>0</x:v>
      </x:c>
      <x:c r="N38" t="str">
        <x:v>DerivedFromCount</x:v>
      </x:c>
      <x:c r="O38" t="str">
        <x:v>PLC-PRD-JAR-330-L21</x:v>
      </x:c>
      <x:c r="P38" t="str">
        <x:v>OK</x:v>
      </x:c>
      <x:c r="Q38" t="str">
        <x:v>OK</x:v>
      </x:c>
      <x:c r="R38" t="str">
        <x:v>OK</x:v>
      </x:c>
      <x:c r="S38" t="str">
        <x:v>OK</x:v>
      </x:c>
      <x:c r="T38" t="n">
        <x:v>30</x:v>
      </x:c>
      <x:c r="U38" t="str">
        <x:v>OK</x:v>
      </x:c>
      <x:c r="V38" t="str">
        <x:v>OK</x:v>
      </x:c>
      <x:c r="W38" t="str">
        <x:v>LOAD</x:v>
      </x:c>
      <x:c r="X38" t="str">
        <x:v>02_Supervisor_Log(4).xlsx</x:v>
      </x:c>
      <x:c r="Y38" t="str">
        <x:v>ENH-20260830-01</x:v>
      </x:c>
      <x:c r="Z38" t="str">
        <x:v>Active</x:v>
      </x:c>
      <x:c r="AA38"/>
      <x:c r="AB38"/>
      <x:c r="AC38"/>
      <x:c r="AD38"/>
    </x:row>
    <x:row r="39">
      <x:c r="A39" t="str">
        <x:v>PCC-PE-KG01-L21-20251020-AM-ORD-2025-00019-S12-C2</x:v>
      </x:c>
      <x:c r="B39" t="str">
        <x:v>PC-PE-KG01-L21-20251020-AM-ORD-2025-00019-S12</x:v>
      </x:c>
      <x:c r="C39" t="str">
        <x:v>PE-KG01-L21-20251020-AM-ORD-2025-00019</x:v>
      </x:c>
      <x:c r="D39" t="str">
        <x:v>KG01</x:v>
      </x:c>
      <x:c r="E39" s="62" t="n">
        <x:v>45950</x:v>
      </x:c>
      <x:c r="F39" t="str">
        <x:v>AM</x:v>
      </x:c>
      <x:c r="G39" t="str">
        <x:v>C</x:v>
      </x:c>
      <x:c r="H39" t="n">
        <x:v>21</x:v>
      </x:c>
      <x:c r="I39" t="str">
        <x:v>ORD-2025-00019</x:v>
      </x:c>
      <x:c r="J39" t="n">
        <x:v>12</x:v>
      </x:c>
      <x:c r="K39" t="n">
        <x:v>2</x:v>
      </x:c>
      <x:c r="L39" t="str">
        <x:v>L21-S12-C2</x:v>
      </x:c>
      <x:c r="M39" t="n">
        <x:v>0</x:v>
      </x:c>
      <x:c r="N39" t="str">
        <x:v>DerivedFromCount</x:v>
      </x:c>
      <x:c r="O39" t="str">
        <x:v>PLC-PRD-JAR-330-L21</x:v>
      </x:c>
      <x:c r="P39" t="str">
        <x:v>OK</x:v>
      </x:c>
      <x:c r="Q39" t="str">
        <x:v>OK</x:v>
      </x:c>
      <x:c r="R39" t="str">
        <x:v>OK</x:v>
      </x:c>
      <x:c r="S39" t="str">
        <x:v>OK</x:v>
      </x:c>
      <x:c r="T39" t="n">
        <x:v>30</x:v>
      </x:c>
      <x:c r="U39" t="str">
        <x:v>OK</x:v>
      </x:c>
      <x:c r="V39" t="str">
        <x:v>OK</x:v>
      </x:c>
      <x:c r="W39" t="str">
        <x:v>LOAD</x:v>
      </x:c>
      <x:c r="X39" t="str">
        <x:v>02_Supervisor_Log(4).xlsx</x:v>
      </x:c>
      <x:c r="Y39" t="str">
        <x:v>ENH-20260830-01</x:v>
      </x:c>
      <x:c r="Z39" t="str">
        <x:v>Active</x:v>
      </x:c>
      <x:c r="AA39"/>
      <x:c r="AB39"/>
      <x:c r="AC39"/>
      <x:c r="AD39"/>
    </x:row>
    <x:row r="40">
      <x:c r="A40" t="str">
        <x:v>PCC-PE-KG01-L21-20251020-AM-ORD-2025-00019-S12-C3</x:v>
      </x:c>
      <x:c r="B40" t="str">
        <x:v>PC-PE-KG01-L21-20251020-AM-ORD-2025-00019-S12</x:v>
      </x:c>
      <x:c r="C40" t="str">
        <x:v>PE-KG01-L21-20251020-AM-ORD-2025-00019</x:v>
      </x:c>
      <x:c r="D40" t="str">
        <x:v>KG01</x:v>
      </x:c>
      <x:c r="E40" s="62" t="n">
        <x:v>45950</x:v>
      </x:c>
      <x:c r="F40" t="str">
        <x:v>AM</x:v>
      </x:c>
      <x:c r="G40" t="str">
        <x:v>C</x:v>
      </x:c>
      <x:c r="H40" t="n">
        <x:v>21</x:v>
      </x:c>
      <x:c r="I40" t="str">
        <x:v>ORD-2025-00019</x:v>
      </x:c>
      <x:c r="J40" t="n">
        <x:v>12</x:v>
      </x:c>
      <x:c r="K40" t="n">
        <x:v>3</x:v>
      </x:c>
      <x:c r="L40" t="str">
        <x:v>L21-S12-C3</x:v>
      </x:c>
      <x:c r="M40" t="n">
        <x:v>0</x:v>
      </x:c>
      <x:c r="N40" t="str">
        <x:v>DerivedFromCount</x:v>
      </x:c>
      <x:c r="O40" t="str">
        <x:v>PLC-PRD-JAR-330-L21</x:v>
      </x:c>
      <x:c r="P40" t="str">
        <x:v>OK</x:v>
      </x:c>
      <x:c r="Q40" t="str">
        <x:v>OK</x:v>
      </x:c>
      <x:c r="R40" t="str">
        <x:v>OK</x:v>
      </x:c>
      <x:c r="S40" t="str">
        <x:v>OK</x:v>
      </x:c>
      <x:c r="T40" t="n">
        <x:v>30</x:v>
      </x:c>
      <x:c r="U40" t="str">
        <x:v>OK</x:v>
      </x:c>
      <x:c r="V40" t="str">
        <x:v>OK</x:v>
      </x:c>
      <x:c r="W40" t="str">
        <x:v>LOAD</x:v>
      </x:c>
      <x:c r="X40" t="str">
        <x:v>02_Supervisor_Log(4).xlsx</x:v>
      </x:c>
      <x:c r="Y40" t="str">
        <x:v>ENH-20260830-01</x:v>
      </x:c>
      <x:c r="Z40" t="str">
        <x:v>Active</x:v>
      </x:c>
      <x:c r="AA40"/>
      <x:c r="AB40"/>
      <x:c r="AC40"/>
      <x:c r="AD40"/>
    </x:row>
    <x:row r="41">
      <x:c r="A41" t="str">
        <x:v>PCC-PE-KG01-L21-20251020-AM-ORD-2025-00019-S13-C1</x:v>
      </x:c>
      <x:c r="B41" t="str">
        <x:v>PC-PE-KG01-L21-20251020-AM-ORD-2025-00019-S13</x:v>
      </x:c>
      <x:c r="C41" t="str">
        <x:v>PE-KG01-L21-20251020-AM-ORD-2025-00019</x:v>
      </x:c>
      <x:c r="D41" t="str">
        <x:v>KG01</x:v>
      </x:c>
      <x:c r="E41" s="62" t="n">
        <x:v>45950</x:v>
      </x:c>
      <x:c r="F41" t="str">
        <x:v>AM</x:v>
      </x:c>
      <x:c r="G41" t="str">
        <x:v>C</x:v>
      </x:c>
      <x:c r="H41" t="n">
        <x:v>21</x:v>
      </x:c>
      <x:c r="I41" t="str">
        <x:v>ORD-2025-00019</x:v>
      </x:c>
      <x:c r="J41" t="n">
        <x:v>13</x:v>
      </x:c>
      <x:c r="K41" t="n">
        <x:v>1</x:v>
      </x:c>
      <x:c r="L41" t="str">
        <x:v>L21-S13-C1</x:v>
      </x:c>
      <x:c r="M41" t="n">
        <x:v>0</x:v>
      </x:c>
      <x:c r="N41" t="str">
        <x:v>DerivedFromCount</x:v>
      </x:c>
      <x:c r="O41" t="str">
        <x:v>PLC-PRD-JAR-330-L21</x:v>
      </x:c>
      <x:c r="P41" t="str">
        <x:v>OK</x:v>
      </x:c>
      <x:c r="Q41" t="str">
        <x:v>OK</x:v>
      </x:c>
      <x:c r="R41" t="str">
        <x:v>OK</x:v>
      </x:c>
      <x:c r="S41" t="str">
        <x:v>OK</x:v>
      </x:c>
      <x:c r="T41" t="n">
        <x:v>30</x:v>
      </x:c>
      <x:c r="U41" t="str">
        <x:v>OK</x:v>
      </x:c>
      <x:c r="V41" t="str">
        <x:v>OK</x:v>
      </x:c>
      <x:c r="W41" t="str">
        <x:v>LOAD</x:v>
      </x:c>
      <x:c r="X41" t="str">
        <x:v>02_Supervisor_Log(4).xlsx</x:v>
      </x:c>
      <x:c r="Y41" t="str">
        <x:v>ENH-20260830-01</x:v>
      </x:c>
      <x:c r="Z41" t="str">
        <x:v>Active</x:v>
      </x:c>
      <x:c r="AA41"/>
      <x:c r="AB41"/>
      <x:c r="AC41"/>
      <x:c r="AD41"/>
    </x:row>
    <x:row r="42">
      <x:c r="A42" t="str">
        <x:v>PCC-PE-KG01-L21-20251020-AM-ORD-2025-00019-S13-C2</x:v>
      </x:c>
      <x:c r="B42" t="str">
        <x:v>PC-PE-KG01-L21-20251020-AM-ORD-2025-00019-S13</x:v>
      </x:c>
      <x:c r="C42" t="str">
        <x:v>PE-KG01-L21-20251020-AM-ORD-2025-00019</x:v>
      </x:c>
      <x:c r="D42" t="str">
        <x:v>KG01</x:v>
      </x:c>
      <x:c r="E42" s="62" t="n">
        <x:v>45950</x:v>
      </x:c>
      <x:c r="F42" t="str">
        <x:v>AM</x:v>
      </x:c>
      <x:c r="G42" t="str">
        <x:v>C</x:v>
      </x:c>
      <x:c r="H42" t="n">
        <x:v>21</x:v>
      </x:c>
      <x:c r="I42" t="str">
        <x:v>ORD-2025-00019</x:v>
      </x:c>
      <x:c r="J42" t="n">
        <x:v>13</x:v>
      </x:c>
      <x:c r="K42" t="n">
        <x:v>2</x:v>
      </x:c>
      <x:c r="L42" t="str">
        <x:v>L21-S13-C2</x:v>
      </x:c>
      <x:c r="M42" t="n">
        <x:v>0</x:v>
      </x:c>
      <x:c r="N42" t="str">
        <x:v>DerivedFromCount</x:v>
      </x:c>
      <x:c r="O42" t="str">
        <x:v>PLC-PRD-JAR-330-L21</x:v>
      </x:c>
      <x:c r="P42" t="str">
        <x:v>OK</x:v>
      </x:c>
      <x:c r="Q42" t="str">
        <x:v>OK</x:v>
      </x:c>
      <x:c r="R42" t="str">
        <x:v>OK</x:v>
      </x:c>
      <x:c r="S42" t="str">
        <x:v>OK</x:v>
      </x:c>
      <x:c r="T42" t="n">
        <x:v>30</x:v>
      </x:c>
      <x:c r="U42" t="str">
        <x:v>OK</x:v>
      </x:c>
      <x:c r="V42" t="str">
        <x:v>OK</x:v>
      </x:c>
      <x:c r="W42" t="str">
        <x:v>LOAD</x:v>
      </x:c>
      <x:c r="X42" t="str">
        <x:v>02_Supervisor_Log(4).xlsx</x:v>
      </x:c>
      <x:c r="Y42" t="str">
        <x:v>ENH-20260830-01</x:v>
      </x:c>
      <x:c r="Z42" t="str">
        <x:v>Active</x:v>
      </x:c>
      <x:c r="AA42"/>
      <x:c r="AB42"/>
      <x:c r="AC42"/>
      <x:c r="AD42"/>
    </x:row>
    <x:row r="43">
      <x:c r="A43" t="str">
        <x:v>PCC-PE-KG01-L21-20251020-AM-ORD-2025-00019-S13-C3</x:v>
      </x:c>
      <x:c r="B43" t="str">
        <x:v>PC-PE-KG01-L21-20251020-AM-ORD-2025-00019-S13</x:v>
      </x:c>
      <x:c r="C43" t="str">
        <x:v>PE-KG01-L21-20251020-AM-ORD-2025-00019</x:v>
      </x:c>
      <x:c r="D43" t="str">
        <x:v>KG01</x:v>
      </x:c>
      <x:c r="E43" s="62" t="n">
        <x:v>45950</x:v>
      </x:c>
      <x:c r="F43" t="str">
        <x:v>AM</x:v>
      </x:c>
      <x:c r="G43" t="str">
        <x:v>C</x:v>
      </x:c>
      <x:c r="H43" t="n">
        <x:v>21</x:v>
      </x:c>
      <x:c r="I43" t="str">
        <x:v>ORD-2025-00019</x:v>
      </x:c>
      <x:c r="J43" t="n">
        <x:v>13</x:v>
      </x:c>
      <x:c r="K43" t="n">
        <x:v>3</x:v>
      </x:c>
      <x:c r="L43" t="str">
        <x:v>L21-S13-C3</x:v>
      </x:c>
      <x:c r="M43" t="n">
        <x:v>0</x:v>
      </x:c>
      <x:c r="N43" t="str">
        <x:v>DerivedFromCount</x:v>
      </x:c>
      <x:c r="O43" t="str">
        <x:v>PLC-PRD-JAR-330-L21</x:v>
      </x:c>
      <x:c r="P43" t="str">
        <x:v>OK</x:v>
      </x:c>
      <x:c r="Q43" t="str">
        <x:v>OK</x:v>
      </x:c>
      <x:c r="R43" t="str">
        <x:v>OK</x:v>
      </x:c>
      <x:c r="S43" t="str">
        <x:v>OK</x:v>
      </x:c>
      <x:c r="T43" t="n">
        <x:v>30</x:v>
      </x:c>
      <x:c r="U43" t="str">
        <x:v>OK</x:v>
      </x:c>
      <x:c r="V43" t="str">
        <x:v>OK</x:v>
      </x:c>
      <x:c r="W43" t="str">
        <x:v>LOAD</x:v>
      </x:c>
      <x:c r="X43" t="str">
        <x:v>02_Supervisor_Log(4).xlsx</x:v>
      </x:c>
      <x:c r="Y43" t="str">
        <x:v>ENH-20260830-01</x:v>
      </x:c>
      <x:c r="Z43" t="str">
        <x:v>Active</x:v>
      </x:c>
      <x:c r="AA43"/>
      <x:c r="AB43"/>
      <x:c r="AC43"/>
      <x:c r="AD43"/>
    </x:row>
    <x:row r="44">
      <x:c r="A44" t="str">
        <x:v>PCC-PE-KG01-L21-20251020-PM-ORD-2025-00019-S01-C1</x:v>
      </x:c>
      <x:c r="B44" t="str">
        <x:v>PC-PE-KG01-L21-20251020-PM-ORD-2025-00019-S01</x:v>
      </x:c>
      <x:c r="C44" t="str">
        <x:v>PE-KG01-L21-20251020-PM-ORD-2025-00019</x:v>
      </x:c>
      <x:c r="D44" t="str">
        <x:v>KG01</x:v>
      </x:c>
      <x:c r="E44" s="62" t="n">
        <x:v>45950</x:v>
      </x:c>
      <x:c r="F44" t="str">
        <x:v>PM</x:v>
      </x:c>
      <x:c r="G44" t="str">
        <x:v>A</x:v>
      </x:c>
      <x:c r="H44" t="n">
        <x:v>21</x:v>
      </x:c>
      <x:c r="I44" t="str">
        <x:v>ORD-2025-00019</x:v>
      </x:c>
      <x:c r="J44" t="n">
        <x:v>1</x:v>
      </x:c>
      <x:c r="K44" t="n">
        <x:v>1</x:v>
      </x:c>
      <x:c r="L44" t="str">
        <x:v>L21-S01-C1</x:v>
      </x:c>
      <x:c r="M44" t="n">
        <x:v>1</x:v>
      </x:c>
      <x:c r="N44" t="str">
        <x:v>DerivedFromCount</x:v>
      </x:c>
      <x:c r="O44" t="str">
        <x:v>PLC-PRD-JAR-330-L21</x:v>
      </x:c>
      <x:c r="P44" t="str">
        <x:v>OK</x:v>
      </x:c>
      <x:c r="Q44" t="str">
        <x:v>OK</x:v>
      </x:c>
      <x:c r="R44" t="str">
        <x:v>OK</x:v>
      </x:c>
      <x:c r="S44" t="str">
        <x:v>OK</x:v>
      </x:c>
      <x:c r="T44" t="n">
        <x:v>30</x:v>
      </x:c>
      <x:c r="U44" t="str">
        <x:v>OK</x:v>
      </x:c>
      <x:c r="V44" t="str">
        <x:v>OK</x:v>
      </x:c>
      <x:c r="W44" t="str">
        <x:v>LOAD</x:v>
      </x:c>
      <x:c r="X44" t="str">
        <x:v>02_Supervisor_Log(4).xlsx</x:v>
      </x:c>
      <x:c r="Y44" t="str">
        <x:v>ENH-20260830-01</x:v>
      </x:c>
      <x:c r="Z44" t="str">
        <x:v>Active</x:v>
      </x:c>
      <x:c r="AA44"/>
      <x:c r="AB44"/>
      <x:c r="AC44"/>
      <x:c r="AD44"/>
    </x:row>
    <x:row r="45">
      <x:c r="A45" t="str">
        <x:v>PCC-PE-KG01-L21-20251020-PM-ORD-2025-00019-S01-C2</x:v>
      </x:c>
      <x:c r="B45" t="str">
        <x:v>PC-PE-KG01-L21-20251020-PM-ORD-2025-00019-S01</x:v>
      </x:c>
      <x:c r="C45" t="str">
        <x:v>PE-KG01-L21-20251020-PM-ORD-2025-00019</x:v>
      </x:c>
      <x:c r="D45" t="str">
        <x:v>KG01</x:v>
      </x:c>
      <x:c r="E45" s="62" t="n">
        <x:v>45950</x:v>
      </x:c>
      <x:c r="F45" t="str">
        <x:v>PM</x:v>
      </x:c>
      <x:c r="G45" t="str">
        <x:v>A</x:v>
      </x:c>
      <x:c r="H45" t="n">
        <x:v>21</x:v>
      </x:c>
      <x:c r="I45" t="str">
        <x:v>ORD-2025-00019</x:v>
      </x:c>
      <x:c r="J45" t="n">
        <x:v>1</x:v>
      </x:c>
      <x:c r="K45" t="n">
        <x:v>2</x:v>
      </x:c>
      <x:c r="L45" t="str">
        <x:v>L21-S01-C2</x:v>
      </x:c>
      <x:c r="M45" t="n">
        <x:v>1</x:v>
      </x:c>
      <x:c r="N45" t="str">
        <x:v>DerivedFromCount</x:v>
      </x:c>
      <x:c r="O45" t="str">
        <x:v>PLC-PRD-JAR-330-L21</x:v>
      </x:c>
      <x:c r="P45" t="str">
        <x:v>OK</x:v>
      </x:c>
      <x:c r="Q45" t="str">
        <x:v>OK</x:v>
      </x:c>
      <x:c r="R45" t="str">
        <x:v>OK</x:v>
      </x:c>
      <x:c r="S45" t="str">
        <x:v>OK</x:v>
      </x:c>
      <x:c r="T45" t="n">
        <x:v>30</x:v>
      </x:c>
      <x:c r="U45" t="str">
        <x:v>OK</x:v>
      </x:c>
      <x:c r="V45" t="str">
        <x:v>OK</x:v>
      </x:c>
      <x:c r="W45" t="str">
        <x:v>LOAD</x:v>
      </x:c>
      <x:c r="X45" t="str">
        <x:v>02_Supervisor_Log(4).xlsx</x:v>
      </x:c>
      <x:c r="Y45" t="str">
        <x:v>ENH-20260830-01</x:v>
      </x:c>
      <x:c r="Z45" t="str">
        <x:v>Active</x:v>
      </x:c>
      <x:c r="AA45"/>
      <x:c r="AB45"/>
      <x:c r="AC45"/>
      <x:c r="AD45"/>
    </x:row>
    <x:row r="46">
      <x:c r="A46" t="str">
        <x:v>PCC-PE-KG01-L21-20251020-PM-ORD-2025-00019-S01-C3</x:v>
      </x:c>
      <x:c r="B46" t="str">
        <x:v>PC-PE-KG01-L21-20251020-PM-ORD-2025-00019-S01</x:v>
      </x:c>
      <x:c r="C46" t="str">
        <x:v>PE-KG01-L21-20251020-PM-ORD-2025-00019</x:v>
      </x:c>
      <x:c r="D46" t="str">
        <x:v>KG01</x:v>
      </x:c>
      <x:c r="E46" s="62" t="n">
        <x:v>45950</x:v>
      </x:c>
      <x:c r="F46" t="str">
        <x:v>PM</x:v>
      </x:c>
      <x:c r="G46" t="str">
        <x:v>A</x:v>
      </x:c>
      <x:c r="H46" t="n">
        <x:v>21</x:v>
      </x:c>
      <x:c r="I46" t="str">
        <x:v>ORD-2025-00019</x:v>
      </x:c>
      <x:c r="J46" t="n">
        <x:v>1</x:v>
      </x:c>
      <x:c r="K46" t="n">
        <x:v>3</x:v>
      </x:c>
      <x:c r="L46" t="str">
        <x:v>L21-S01-C3</x:v>
      </x:c>
      <x:c r="M46" t="n">
        <x:v>1</x:v>
      </x:c>
      <x:c r="N46" t="str">
        <x:v>DerivedFromCount</x:v>
      </x:c>
      <x:c r="O46" t="str">
        <x:v>PLC-PRD-JAR-330-L21</x:v>
      </x:c>
      <x:c r="P46" t="str">
        <x:v>OK</x:v>
      </x:c>
      <x:c r="Q46" t="str">
        <x:v>OK</x:v>
      </x:c>
      <x:c r="R46" t="str">
        <x:v>OK</x:v>
      </x:c>
      <x:c r="S46" t="str">
        <x:v>OK</x:v>
      </x:c>
      <x:c r="T46" t="n">
        <x:v>30</x:v>
      </x:c>
      <x:c r="U46" t="str">
        <x:v>OK</x:v>
      </x:c>
      <x:c r="V46" t="str">
        <x:v>OK</x:v>
      </x:c>
      <x:c r="W46" t="str">
        <x:v>LOAD</x:v>
      </x:c>
      <x:c r="X46" t="str">
        <x:v>02_Supervisor_Log(4).xlsx</x:v>
      </x:c>
      <x:c r="Y46" t="str">
        <x:v>ENH-20260830-01</x:v>
      </x:c>
      <x:c r="Z46" t="str">
        <x:v>Active</x:v>
      </x:c>
      <x:c r="AA46"/>
      <x:c r="AB46"/>
      <x:c r="AC46"/>
      <x:c r="AD46"/>
    </x:row>
    <x:row r="47">
      <x:c r="A47" t="str">
        <x:v>PCC-PE-KG01-L21-20251020-PM-ORD-2025-00019-S02-C1</x:v>
      </x:c>
      <x:c r="B47" t="str">
        <x:v>PC-PE-KG01-L21-20251020-PM-ORD-2025-00019-S02</x:v>
      </x:c>
      <x:c r="C47" t="str">
        <x:v>PE-KG01-L21-20251020-PM-ORD-2025-00019</x:v>
      </x:c>
      <x:c r="D47" t="str">
        <x:v>KG01</x:v>
      </x:c>
      <x:c r="E47" s="62" t="n">
        <x:v>45950</x:v>
      </x:c>
      <x:c r="F47" t="str">
        <x:v>PM</x:v>
      </x:c>
      <x:c r="G47" t="str">
        <x:v>A</x:v>
      </x:c>
      <x:c r="H47" t="n">
        <x:v>21</x:v>
      </x:c>
      <x:c r="I47" t="str">
        <x:v>ORD-2025-00019</x:v>
      </x:c>
      <x:c r="J47" t="n">
        <x:v>2</x:v>
      </x:c>
      <x:c r="K47" t="n">
        <x:v>1</x:v>
      </x:c>
      <x:c r="L47" t="str">
        <x:v>L21-S02-C1</x:v>
      </x:c>
      <x:c r="M47" t="n">
        <x:v>1</x:v>
      </x:c>
      <x:c r="N47" t="str">
        <x:v>DerivedFromCount</x:v>
      </x:c>
      <x:c r="O47" t="str">
        <x:v>PLC-PRD-JAR-330-L21</x:v>
      </x:c>
      <x:c r="P47" t="str">
        <x:v>OK</x:v>
      </x:c>
      <x:c r="Q47" t="str">
        <x:v>OK</x:v>
      </x:c>
      <x:c r="R47" t="str">
        <x:v>OK</x:v>
      </x:c>
      <x:c r="S47" t="str">
        <x:v>OK</x:v>
      </x:c>
      <x:c r="T47" t="n">
        <x:v>30</x:v>
      </x:c>
      <x:c r="U47" t="str">
        <x:v>OK</x:v>
      </x:c>
      <x:c r="V47" t="str">
        <x:v>OK</x:v>
      </x:c>
      <x:c r="W47" t="str">
        <x:v>LOAD</x:v>
      </x:c>
      <x:c r="X47" t="str">
        <x:v>02_Supervisor_Log(4).xlsx</x:v>
      </x:c>
      <x:c r="Y47" t="str">
        <x:v>ENH-20260830-01</x:v>
      </x:c>
      <x:c r="Z47" t="str">
        <x:v>Active</x:v>
      </x:c>
      <x:c r="AA47"/>
      <x:c r="AB47"/>
      <x:c r="AC47"/>
      <x:c r="AD47"/>
    </x:row>
    <x:row r="48">
      <x:c r="A48" t="str">
        <x:v>PCC-PE-KG01-L21-20251020-PM-ORD-2025-00019-S02-C2</x:v>
      </x:c>
      <x:c r="B48" t="str">
        <x:v>PC-PE-KG01-L21-20251020-PM-ORD-2025-00019-S02</x:v>
      </x:c>
      <x:c r="C48" t="str">
        <x:v>PE-KG01-L21-20251020-PM-ORD-2025-00019</x:v>
      </x:c>
      <x:c r="D48" t="str">
        <x:v>KG01</x:v>
      </x:c>
      <x:c r="E48" s="62" t="n">
        <x:v>45950</x:v>
      </x:c>
      <x:c r="F48" t="str">
        <x:v>PM</x:v>
      </x:c>
      <x:c r="G48" t="str">
        <x:v>A</x:v>
      </x:c>
      <x:c r="H48" t="n">
        <x:v>21</x:v>
      </x:c>
      <x:c r="I48" t="str">
        <x:v>ORD-2025-00019</x:v>
      </x:c>
      <x:c r="J48" t="n">
        <x:v>2</x:v>
      </x:c>
      <x:c r="K48" t="n">
        <x:v>2</x:v>
      </x:c>
      <x:c r="L48" t="str">
        <x:v>L21-S02-C2</x:v>
      </x:c>
      <x:c r="M48" t="n">
        <x:v>1</x:v>
      </x:c>
      <x:c r="N48" t="str">
        <x:v>DerivedFromCount</x:v>
      </x:c>
      <x:c r="O48" t="str">
        <x:v>PLC-PRD-JAR-330-L21</x:v>
      </x:c>
      <x:c r="P48" t="str">
        <x:v>OK</x:v>
      </x:c>
      <x:c r="Q48" t="str">
        <x:v>OK</x:v>
      </x:c>
      <x:c r="R48" t="str">
        <x:v>OK</x:v>
      </x:c>
      <x:c r="S48" t="str">
        <x:v>OK</x:v>
      </x:c>
      <x:c r="T48" t="n">
        <x:v>30</x:v>
      </x:c>
      <x:c r="U48" t="str">
        <x:v>OK</x:v>
      </x:c>
      <x:c r="V48" t="str">
        <x:v>OK</x:v>
      </x:c>
      <x:c r="W48" t="str">
        <x:v>LOAD</x:v>
      </x:c>
      <x:c r="X48" t="str">
        <x:v>02_Supervisor_Log(4).xlsx</x:v>
      </x:c>
      <x:c r="Y48" t="str">
        <x:v>ENH-20260830-01</x:v>
      </x:c>
      <x:c r="Z48" t="str">
        <x:v>Active</x:v>
      </x:c>
      <x:c r="AA48"/>
      <x:c r="AB48"/>
      <x:c r="AC48"/>
      <x:c r="AD48"/>
    </x:row>
    <x:row r="49">
      <x:c r="A49" t="str">
        <x:v>PCC-PE-KG01-L21-20251020-PM-ORD-2025-00019-S02-C3</x:v>
      </x:c>
      <x:c r="B49" t="str">
        <x:v>PC-PE-KG01-L21-20251020-PM-ORD-2025-00019-S02</x:v>
      </x:c>
      <x:c r="C49" t="str">
        <x:v>PE-KG01-L21-20251020-PM-ORD-2025-00019</x:v>
      </x:c>
      <x:c r="D49" t="str">
        <x:v>KG01</x:v>
      </x:c>
      <x:c r="E49" s="62" t="n">
        <x:v>45950</x:v>
      </x:c>
      <x:c r="F49" t="str">
        <x:v>PM</x:v>
      </x:c>
      <x:c r="G49" t="str">
        <x:v>A</x:v>
      </x:c>
      <x:c r="H49" t="n">
        <x:v>21</x:v>
      </x:c>
      <x:c r="I49" t="str">
        <x:v>ORD-2025-00019</x:v>
      </x:c>
      <x:c r="J49" t="n">
        <x:v>2</x:v>
      </x:c>
      <x:c r="K49" t="n">
        <x:v>3</x:v>
      </x:c>
      <x:c r="L49" t="str">
        <x:v>L21-S02-C3</x:v>
      </x:c>
      <x:c r="M49" t="n">
        <x:v>1</x:v>
      </x:c>
      <x:c r="N49" t="str">
        <x:v>DerivedFromCount</x:v>
      </x:c>
      <x:c r="O49" t="str">
        <x:v>PLC-PRD-JAR-330-L21</x:v>
      </x:c>
      <x:c r="P49" t="str">
        <x:v>OK</x:v>
      </x:c>
      <x:c r="Q49" t="str">
        <x:v>OK</x:v>
      </x:c>
      <x:c r="R49" t="str">
        <x:v>OK</x:v>
      </x:c>
      <x:c r="S49" t="str">
        <x:v>OK</x:v>
      </x:c>
      <x:c r="T49" t="n">
        <x:v>30</x:v>
      </x:c>
      <x:c r="U49" t="str">
        <x:v>OK</x:v>
      </x:c>
      <x:c r="V49" t="str">
        <x:v>OK</x:v>
      </x:c>
      <x:c r="W49" t="str">
        <x:v>LOAD</x:v>
      </x:c>
      <x:c r="X49" t="str">
        <x:v>02_Supervisor_Log(4).xlsx</x:v>
      </x:c>
      <x:c r="Y49" t="str">
        <x:v>ENH-20260830-01</x:v>
      </x:c>
      <x:c r="Z49" t="str">
        <x:v>Active</x:v>
      </x:c>
      <x:c r="AA49"/>
      <x:c r="AB49"/>
      <x:c r="AC49"/>
      <x:c r="AD49"/>
    </x:row>
    <x:row r="50">
      <x:c r="A50" t="str">
        <x:v>PCC-PE-KG01-L21-20251020-PM-ORD-2025-00019-S03-C1</x:v>
      </x:c>
      <x:c r="B50" t="str">
        <x:v>PC-PE-KG01-L21-20251020-PM-ORD-2025-00019-S03</x:v>
      </x:c>
      <x:c r="C50" t="str">
        <x:v>PE-KG01-L21-20251020-PM-ORD-2025-00019</x:v>
      </x:c>
      <x:c r="D50" t="str">
        <x:v>KG01</x:v>
      </x:c>
      <x:c r="E50" s="62" t="n">
        <x:v>45950</x:v>
      </x:c>
      <x:c r="F50" t="str">
        <x:v>PM</x:v>
      </x:c>
      <x:c r="G50" t="str">
        <x:v>A</x:v>
      </x:c>
      <x:c r="H50" t="n">
        <x:v>21</x:v>
      </x:c>
      <x:c r="I50" t="str">
        <x:v>ORD-2025-00019</x:v>
      </x:c>
      <x:c r="J50" t="n">
        <x:v>3</x:v>
      </x:c>
      <x:c r="K50" t="n">
        <x:v>1</x:v>
      </x:c>
      <x:c r="L50" t="str">
        <x:v>L21-S03-C1</x:v>
      </x:c>
      <x:c r="M50" t="n">
        <x:v>1</x:v>
      </x:c>
      <x:c r="N50" t="str">
        <x:v>DerivedFromCount</x:v>
      </x:c>
      <x:c r="O50" t="str">
        <x:v>PLC-PRD-JAR-330-L21</x:v>
      </x:c>
      <x:c r="P50" t="str">
        <x:v>OK</x:v>
      </x:c>
      <x:c r="Q50" t="str">
        <x:v>OK</x:v>
      </x:c>
      <x:c r="R50" t="str">
        <x:v>OK</x:v>
      </x:c>
      <x:c r="S50" t="str">
        <x:v>OK</x:v>
      </x:c>
      <x:c r="T50" t="n">
        <x:v>30</x:v>
      </x:c>
      <x:c r="U50" t="str">
        <x:v>OK</x:v>
      </x:c>
      <x:c r="V50" t="str">
        <x:v>OK</x:v>
      </x:c>
      <x:c r="W50" t="str">
        <x:v>LOAD</x:v>
      </x:c>
      <x:c r="X50" t="str">
        <x:v>02_Supervisor_Log(4).xlsx</x:v>
      </x:c>
      <x:c r="Y50" t="str">
        <x:v>ENH-20260830-01</x:v>
      </x:c>
      <x:c r="Z50" t="str">
        <x:v>Active</x:v>
      </x:c>
      <x:c r="AA50"/>
      <x:c r="AB50"/>
      <x:c r="AC50"/>
      <x:c r="AD50"/>
    </x:row>
    <x:row r="51">
      <x:c r="A51" t="str">
        <x:v>PCC-PE-KG01-L21-20251020-PM-ORD-2025-00019-S03-C2</x:v>
      </x:c>
      <x:c r="B51" t="str">
        <x:v>PC-PE-KG01-L21-20251020-PM-ORD-2025-00019-S03</x:v>
      </x:c>
      <x:c r="C51" t="str">
        <x:v>PE-KG01-L21-20251020-PM-ORD-2025-00019</x:v>
      </x:c>
      <x:c r="D51" t="str">
        <x:v>KG01</x:v>
      </x:c>
      <x:c r="E51" s="62" t="n">
        <x:v>45950</x:v>
      </x:c>
      <x:c r="F51" t="str">
        <x:v>PM</x:v>
      </x:c>
      <x:c r="G51" t="str">
        <x:v>A</x:v>
      </x:c>
      <x:c r="H51" t="n">
        <x:v>21</x:v>
      </x:c>
      <x:c r="I51" t="str">
        <x:v>ORD-2025-00019</x:v>
      </x:c>
      <x:c r="J51" t="n">
        <x:v>3</x:v>
      </x:c>
      <x:c r="K51" t="n">
        <x:v>2</x:v>
      </x:c>
      <x:c r="L51" t="str">
        <x:v>L21-S03-C2</x:v>
      </x:c>
      <x:c r="M51" t="n">
        <x:v>1</x:v>
      </x:c>
      <x:c r="N51" t="str">
        <x:v>DerivedFromCount</x:v>
      </x:c>
      <x:c r="O51" t="str">
        <x:v>PLC-PRD-JAR-330-L21</x:v>
      </x:c>
      <x:c r="P51" t="str">
        <x:v>OK</x:v>
      </x:c>
      <x:c r="Q51" t="str">
        <x:v>OK</x:v>
      </x:c>
      <x:c r="R51" t="str">
        <x:v>OK</x:v>
      </x:c>
      <x:c r="S51" t="str">
        <x:v>OK</x:v>
      </x:c>
      <x:c r="T51" t="n">
        <x:v>30</x:v>
      </x:c>
      <x:c r="U51" t="str">
        <x:v>OK</x:v>
      </x:c>
      <x:c r="V51" t="str">
        <x:v>OK</x:v>
      </x:c>
      <x:c r="W51" t="str">
        <x:v>LOAD</x:v>
      </x:c>
      <x:c r="X51" t="str">
        <x:v>02_Supervisor_Log(4).xlsx</x:v>
      </x:c>
      <x:c r="Y51" t="str">
        <x:v>ENH-20260830-01</x:v>
      </x:c>
      <x:c r="Z51" t="str">
        <x:v>Active</x:v>
      </x:c>
      <x:c r="AA51"/>
      <x:c r="AB51"/>
      <x:c r="AC51"/>
      <x:c r="AD51"/>
    </x:row>
    <x:row r="52">
      <x:c r="A52" t="str">
        <x:v>PCC-PE-KG01-L21-20251020-PM-ORD-2025-00019-S03-C3</x:v>
      </x:c>
      <x:c r="B52" t="str">
        <x:v>PC-PE-KG01-L21-20251020-PM-ORD-2025-00019-S03</x:v>
      </x:c>
      <x:c r="C52" t="str">
        <x:v>PE-KG01-L21-20251020-PM-ORD-2025-00019</x:v>
      </x:c>
      <x:c r="D52" t="str">
        <x:v>KG01</x:v>
      </x:c>
      <x:c r="E52" s="62" t="n">
        <x:v>45950</x:v>
      </x:c>
      <x:c r="F52" t="str">
        <x:v>PM</x:v>
      </x:c>
      <x:c r="G52" t="str">
        <x:v>A</x:v>
      </x:c>
      <x:c r="H52" t="n">
        <x:v>21</x:v>
      </x:c>
      <x:c r="I52" t="str">
        <x:v>ORD-2025-00019</x:v>
      </x:c>
      <x:c r="J52" t="n">
        <x:v>3</x:v>
      </x:c>
      <x:c r="K52" t="n">
        <x:v>3</x:v>
      </x:c>
      <x:c r="L52" t="str">
        <x:v>L21-S03-C3</x:v>
      </x:c>
      <x:c r="M52" t="n">
        <x:v>1</x:v>
      </x:c>
      <x:c r="N52" t="str">
        <x:v>DerivedFromCount</x:v>
      </x:c>
      <x:c r="O52" t="str">
        <x:v>PLC-PRD-JAR-330-L21</x:v>
      </x:c>
      <x:c r="P52" t="str">
        <x:v>OK</x:v>
      </x:c>
      <x:c r="Q52" t="str">
        <x:v>OK</x:v>
      </x:c>
      <x:c r="R52" t="str">
        <x:v>OK</x:v>
      </x:c>
      <x:c r="S52" t="str">
        <x:v>OK</x:v>
      </x:c>
      <x:c r="T52" t="n">
        <x:v>30</x:v>
      </x:c>
      <x:c r="U52" t="str">
        <x:v>OK</x:v>
      </x:c>
      <x:c r="V52" t="str">
        <x:v>OK</x:v>
      </x:c>
      <x:c r="W52" t="str">
        <x:v>LOAD</x:v>
      </x:c>
      <x:c r="X52" t="str">
        <x:v>02_Supervisor_Log(4).xlsx</x:v>
      </x:c>
      <x:c r="Y52" t="str">
        <x:v>ENH-20260830-01</x:v>
      </x:c>
      <x:c r="Z52" t="str">
        <x:v>Active</x:v>
      </x:c>
      <x:c r="AA52"/>
      <x:c r="AB52"/>
      <x:c r="AC52"/>
      <x:c r="AD52"/>
    </x:row>
    <x:row r="53">
      <x:c r="A53" t="str">
        <x:v>PCC-PE-KG01-L21-20251020-PM-ORD-2025-00019-S04-C1</x:v>
      </x:c>
      <x:c r="B53" t="str">
        <x:v>PC-PE-KG01-L21-20251020-PM-ORD-2025-00019-S04</x:v>
      </x:c>
      <x:c r="C53" t="str">
        <x:v>PE-KG01-L21-20251020-PM-ORD-2025-00019</x:v>
      </x:c>
      <x:c r="D53" t="str">
        <x:v>KG01</x:v>
      </x:c>
      <x:c r="E53" s="62" t="n">
        <x:v>45950</x:v>
      </x:c>
      <x:c r="F53" t="str">
        <x:v>PM</x:v>
      </x:c>
      <x:c r="G53" t="str">
        <x:v>A</x:v>
      </x:c>
      <x:c r="H53" t="n">
        <x:v>21</x:v>
      </x:c>
      <x:c r="I53" t="str">
        <x:v>ORD-2025-00019</x:v>
      </x:c>
      <x:c r="J53" t="n">
        <x:v>4</x:v>
      </x:c>
      <x:c r="K53" t="n">
        <x:v>1</x:v>
      </x:c>
      <x:c r="L53" t="str">
        <x:v>L21-S04-C1</x:v>
      </x:c>
      <x:c r="M53" t="n">
        <x:v>1</x:v>
      </x:c>
      <x:c r="N53" t="str">
        <x:v>DerivedFromCount</x:v>
      </x:c>
      <x:c r="O53" t="str">
        <x:v>PLC-PRD-JAR-330-L21</x:v>
      </x:c>
      <x:c r="P53" t="str">
        <x:v>OK</x:v>
      </x:c>
      <x:c r="Q53" t="str">
        <x:v>OK</x:v>
      </x:c>
      <x:c r="R53" t="str">
        <x:v>OK</x:v>
      </x:c>
      <x:c r="S53" t="str">
        <x:v>OK</x:v>
      </x:c>
      <x:c r="T53" t="n">
        <x:v>30</x:v>
      </x:c>
      <x:c r="U53" t="str">
        <x:v>OK</x:v>
      </x:c>
      <x:c r="V53" t="str">
        <x:v>OK</x:v>
      </x:c>
      <x:c r="W53" t="str">
        <x:v>LOAD</x:v>
      </x:c>
      <x:c r="X53" t="str">
        <x:v>02_Supervisor_Log(4).xlsx</x:v>
      </x:c>
      <x:c r="Y53" t="str">
        <x:v>ENH-20260830-01</x:v>
      </x:c>
      <x:c r="Z53" t="str">
        <x:v>Active</x:v>
      </x:c>
      <x:c r="AA53"/>
      <x:c r="AB53"/>
      <x:c r="AC53"/>
      <x:c r="AD53"/>
    </x:row>
    <x:row r="54">
      <x:c r="A54" t="str">
        <x:v>PCC-PE-KG01-L21-20251020-PM-ORD-2025-00019-S04-C2</x:v>
      </x:c>
      <x:c r="B54" t="str">
        <x:v>PC-PE-KG01-L21-20251020-PM-ORD-2025-00019-S04</x:v>
      </x:c>
      <x:c r="C54" t="str">
        <x:v>PE-KG01-L21-20251020-PM-ORD-2025-00019</x:v>
      </x:c>
      <x:c r="D54" t="str">
        <x:v>KG01</x:v>
      </x:c>
      <x:c r="E54" s="62" t="n">
        <x:v>45950</x:v>
      </x:c>
      <x:c r="F54" t="str">
        <x:v>PM</x:v>
      </x:c>
      <x:c r="G54" t="str">
        <x:v>A</x:v>
      </x:c>
      <x:c r="H54" t="n">
        <x:v>21</x:v>
      </x:c>
      <x:c r="I54" t="str">
        <x:v>ORD-2025-00019</x:v>
      </x:c>
      <x:c r="J54" t="n">
        <x:v>4</x:v>
      </x:c>
      <x:c r="K54" t="n">
        <x:v>2</x:v>
      </x:c>
      <x:c r="L54" t="str">
        <x:v>L21-S04-C2</x:v>
      </x:c>
      <x:c r="M54" t="n">
        <x:v>1</x:v>
      </x:c>
      <x:c r="N54" t="str">
        <x:v>DerivedFromCount</x:v>
      </x:c>
      <x:c r="O54" t="str">
        <x:v>PLC-PRD-JAR-330-L21</x:v>
      </x:c>
      <x:c r="P54" t="str">
        <x:v>OK</x:v>
      </x:c>
      <x:c r="Q54" t="str">
        <x:v>OK</x:v>
      </x:c>
      <x:c r="R54" t="str">
        <x:v>OK</x:v>
      </x:c>
      <x:c r="S54" t="str">
        <x:v>OK</x:v>
      </x:c>
      <x:c r="T54" t="n">
        <x:v>30</x:v>
      </x:c>
      <x:c r="U54" t="str">
        <x:v>OK</x:v>
      </x:c>
      <x:c r="V54" t="str">
        <x:v>OK</x:v>
      </x:c>
      <x:c r="W54" t="str">
        <x:v>LOAD</x:v>
      </x:c>
      <x:c r="X54" t="str">
        <x:v>02_Supervisor_Log(4).xlsx</x:v>
      </x:c>
      <x:c r="Y54" t="str">
        <x:v>ENH-20260830-01</x:v>
      </x:c>
      <x:c r="Z54" t="str">
        <x:v>Active</x:v>
      </x:c>
      <x:c r="AA54"/>
      <x:c r="AB54"/>
      <x:c r="AC54"/>
      <x:c r="AD54"/>
    </x:row>
    <x:row r="55">
      <x:c r="A55" t="str">
        <x:v>PCC-PE-KG01-L21-20251020-PM-ORD-2025-00019-S04-C3</x:v>
      </x:c>
      <x:c r="B55" t="str">
        <x:v>PC-PE-KG01-L21-20251020-PM-ORD-2025-00019-S04</x:v>
      </x:c>
      <x:c r="C55" t="str">
        <x:v>PE-KG01-L21-20251020-PM-ORD-2025-00019</x:v>
      </x:c>
      <x:c r="D55" t="str">
        <x:v>KG01</x:v>
      </x:c>
      <x:c r="E55" s="62" t="n">
        <x:v>45950</x:v>
      </x:c>
      <x:c r="F55" t="str">
        <x:v>PM</x:v>
      </x:c>
      <x:c r="G55" t="str">
        <x:v>A</x:v>
      </x:c>
      <x:c r="H55" t="n">
        <x:v>21</x:v>
      </x:c>
      <x:c r="I55" t="str">
        <x:v>ORD-2025-00019</x:v>
      </x:c>
      <x:c r="J55" t="n">
        <x:v>4</x:v>
      </x:c>
      <x:c r="K55" t="n">
        <x:v>3</x:v>
      </x:c>
      <x:c r="L55" t="str">
        <x:v>L21-S04-C3</x:v>
      </x:c>
      <x:c r="M55" t="n">
        <x:v>1</x:v>
      </x:c>
      <x:c r="N55" t="str">
        <x:v>DerivedFromCount</x:v>
      </x:c>
      <x:c r="O55" t="str">
        <x:v>PLC-PRD-JAR-330-L21</x:v>
      </x:c>
      <x:c r="P55" t="str">
        <x:v>OK</x:v>
      </x:c>
      <x:c r="Q55" t="str">
        <x:v>OK</x:v>
      </x:c>
      <x:c r="R55" t="str">
        <x:v>OK</x:v>
      </x:c>
      <x:c r="S55" t="str">
        <x:v>OK</x:v>
      </x:c>
      <x:c r="T55" t="n">
        <x:v>30</x:v>
      </x:c>
      <x:c r="U55" t="str">
        <x:v>OK</x:v>
      </x:c>
      <x:c r="V55" t="str">
        <x:v>OK</x:v>
      </x:c>
      <x:c r="W55" t="str">
        <x:v>LOAD</x:v>
      </x:c>
      <x:c r="X55" t="str">
        <x:v>02_Supervisor_Log(4).xlsx</x:v>
      </x:c>
      <x:c r="Y55" t="str">
        <x:v>ENH-20260830-01</x:v>
      </x:c>
      <x:c r="Z55" t="str">
        <x:v>Active</x:v>
      </x:c>
      <x:c r="AA55"/>
      <x:c r="AB55"/>
      <x:c r="AC55"/>
      <x:c r="AD55"/>
    </x:row>
    <x:row r="56">
      <x:c r="A56" t="str">
        <x:v>PCC-PE-KG01-L21-20251020-PM-ORD-2025-00019-S05-C1</x:v>
      </x:c>
      <x:c r="B56" t="str">
        <x:v>PC-PE-KG01-L21-20251020-PM-ORD-2025-00019-S05</x:v>
      </x:c>
      <x:c r="C56" t="str">
        <x:v>PE-KG01-L21-20251020-PM-ORD-2025-00019</x:v>
      </x:c>
      <x:c r="D56" t="str">
        <x:v>KG01</x:v>
      </x:c>
      <x:c r="E56" s="62" t="n">
        <x:v>45950</x:v>
      </x:c>
      <x:c r="F56" t="str">
        <x:v>PM</x:v>
      </x:c>
      <x:c r="G56" t="str">
        <x:v>A</x:v>
      </x:c>
      <x:c r="H56" t="n">
        <x:v>21</x:v>
      </x:c>
      <x:c r="I56" t="str">
        <x:v>ORD-2025-00019</x:v>
      </x:c>
      <x:c r="J56" t="n">
        <x:v>5</x:v>
      </x:c>
      <x:c r="K56" t="n">
        <x:v>1</x:v>
      </x:c>
      <x:c r="L56" t="str">
        <x:v>L21-S05-C1</x:v>
      </x:c>
      <x:c r="M56" t="n">
        <x:v>1</x:v>
      </x:c>
      <x:c r="N56" t="str">
        <x:v>DerivedFromCount</x:v>
      </x:c>
      <x:c r="O56" t="str">
        <x:v>PLC-PRD-JAR-330-L21</x:v>
      </x:c>
      <x:c r="P56" t="str">
        <x:v>OK</x:v>
      </x:c>
      <x:c r="Q56" t="str">
        <x:v>OK</x:v>
      </x:c>
      <x:c r="R56" t="str">
        <x:v>OK</x:v>
      </x:c>
      <x:c r="S56" t="str">
        <x:v>OK</x:v>
      </x:c>
      <x:c r="T56" t="n">
        <x:v>30</x:v>
      </x:c>
      <x:c r="U56" t="str">
        <x:v>OK</x:v>
      </x:c>
      <x:c r="V56" t="str">
        <x:v>OK</x:v>
      </x:c>
      <x:c r="W56" t="str">
        <x:v>LOAD</x:v>
      </x:c>
      <x:c r="X56" t="str">
        <x:v>02_Supervisor_Log(4).xlsx</x:v>
      </x:c>
      <x:c r="Y56" t="str">
        <x:v>ENH-20260830-01</x:v>
      </x:c>
      <x:c r="Z56" t="str">
        <x:v>Active</x:v>
      </x:c>
      <x:c r="AA56"/>
      <x:c r="AB56"/>
      <x:c r="AC56"/>
      <x:c r="AD56"/>
    </x:row>
    <x:row r="57">
      <x:c r="A57" t="str">
        <x:v>PCC-PE-KG01-L21-20251020-PM-ORD-2025-00019-S05-C2</x:v>
      </x:c>
      <x:c r="B57" t="str">
        <x:v>PC-PE-KG01-L21-20251020-PM-ORD-2025-00019-S05</x:v>
      </x:c>
      <x:c r="C57" t="str">
        <x:v>PE-KG01-L21-20251020-PM-ORD-2025-00019</x:v>
      </x:c>
      <x:c r="D57" t="str">
        <x:v>KG01</x:v>
      </x:c>
      <x:c r="E57" s="62" t="n">
        <x:v>45950</x:v>
      </x:c>
      <x:c r="F57" t="str">
        <x:v>PM</x:v>
      </x:c>
      <x:c r="G57" t="str">
        <x:v>A</x:v>
      </x:c>
      <x:c r="H57" t="n">
        <x:v>21</x:v>
      </x:c>
      <x:c r="I57" t="str">
        <x:v>ORD-2025-00019</x:v>
      </x:c>
      <x:c r="J57" t="n">
        <x:v>5</x:v>
      </x:c>
      <x:c r="K57" t="n">
        <x:v>2</x:v>
      </x:c>
      <x:c r="L57" t="str">
        <x:v>L21-S05-C2</x:v>
      </x:c>
      <x:c r="M57" t="n">
        <x:v>1</x:v>
      </x:c>
      <x:c r="N57" t="str">
        <x:v>DerivedFromCount</x:v>
      </x:c>
      <x:c r="O57" t="str">
        <x:v>PLC-PRD-JAR-330-L21</x:v>
      </x:c>
      <x:c r="P57" t="str">
        <x:v>OK</x:v>
      </x:c>
      <x:c r="Q57" t="str">
        <x:v>OK</x:v>
      </x:c>
      <x:c r="R57" t="str">
        <x:v>OK</x:v>
      </x:c>
      <x:c r="S57" t="str">
        <x:v>OK</x:v>
      </x:c>
      <x:c r="T57" t="n">
        <x:v>30</x:v>
      </x:c>
      <x:c r="U57" t="str">
        <x:v>OK</x:v>
      </x:c>
      <x:c r="V57" t="str">
        <x:v>OK</x:v>
      </x:c>
      <x:c r="W57" t="str">
        <x:v>LOAD</x:v>
      </x:c>
      <x:c r="X57" t="str">
        <x:v>02_Supervisor_Log(4).xlsx</x:v>
      </x:c>
      <x:c r="Y57" t="str">
        <x:v>ENH-20260830-01</x:v>
      </x:c>
      <x:c r="Z57" t="str">
        <x:v>Active</x:v>
      </x:c>
      <x:c r="AA57"/>
      <x:c r="AB57"/>
      <x:c r="AC57"/>
      <x:c r="AD57"/>
    </x:row>
    <x:row r="58">
      <x:c r="A58" t="str">
        <x:v>PCC-PE-KG01-L21-20251020-PM-ORD-2025-00019-S05-C3</x:v>
      </x:c>
      <x:c r="B58" t="str">
        <x:v>PC-PE-KG01-L21-20251020-PM-ORD-2025-00019-S05</x:v>
      </x:c>
      <x:c r="C58" t="str">
        <x:v>PE-KG01-L21-20251020-PM-ORD-2025-00019</x:v>
      </x:c>
      <x:c r="D58" t="str">
        <x:v>KG01</x:v>
      </x:c>
      <x:c r="E58" s="62" t="n">
        <x:v>45950</x:v>
      </x:c>
      <x:c r="F58" t="str">
        <x:v>PM</x:v>
      </x:c>
      <x:c r="G58" t="str">
        <x:v>A</x:v>
      </x:c>
      <x:c r="H58" t="n">
        <x:v>21</x:v>
      </x:c>
      <x:c r="I58" t="str">
        <x:v>ORD-2025-00019</x:v>
      </x:c>
      <x:c r="J58" t="n">
        <x:v>5</x:v>
      </x:c>
      <x:c r="K58" t="n">
        <x:v>3</x:v>
      </x:c>
      <x:c r="L58" t="str">
        <x:v>L21-S05-C3</x:v>
      </x:c>
      <x:c r="M58" t="n">
        <x:v>1</x:v>
      </x:c>
      <x:c r="N58" t="str">
        <x:v>DerivedFromCount</x:v>
      </x:c>
      <x:c r="O58" t="str">
        <x:v>PLC-PRD-JAR-330-L21</x:v>
      </x:c>
      <x:c r="P58" t="str">
        <x:v>OK</x:v>
      </x:c>
      <x:c r="Q58" t="str">
        <x:v>OK</x:v>
      </x:c>
      <x:c r="R58" t="str">
        <x:v>OK</x:v>
      </x:c>
      <x:c r="S58" t="str">
        <x:v>OK</x:v>
      </x:c>
      <x:c r="T58" t="n">
        <x:v>30</x:v>
      </x:c>
      <x:c r="U58" t="str">
        <x:v>OK</x:v>
      </x:c>
      <x:c r="V58" t="str">
        <x:v>OK</x:v>
      </x:c>
      <x:c r="W58" t="str">
        <x:v>LOAD</x:v>
      </x:c>
      <x:c r="X58" t="str">
        <x:v>02_Supervisor_Log(4).xlsx</x:v>
      </x:c>
      <x:c r="Y58" t="str">
        <x:v>ENH-20260830-01</x:v>
      </x:c>
      <x:c r="Z58" t="str">
        <x:v>Active</x:v>
      </x:c>
      <x:c r="AA58"/>
      <x:c r="AB58"/>
      <x:c r="AC58"/>
      <x:c r="AD58"/>
    </x:row>
    <x:row r="59">
      <x:c r="A59" t="str">
        <x:v>PCC-PE-KG01-L21-20251020-PM-ORD-2025-00019-S06-C1</x:v>
      </x:c>
      <x:c r="B59" t="str">
        <x:v>PC-PE-KG01-L21-20251020-PM-ORD-2025-00019-S06</x:v>
      </x:c>
      <x:c r="C59" t="str">
        <x:v>PE-KG01-L21-20251020-PM-ORD-2025-00019</x:v>
      </x:c>
      <x:c r="D59" t="str">
        <x:v>KG01</x:v>
      </x:c>
      <x:c r="E59" s="62" t="n">
        <x:v>45950</x:v>
      </x:c>
      <x:c r="F59" t="str">
        <x:v>PM</x:v>
      </x:c>
      <x:c r="G59" t="str">
        <x:v>A</x:v>
      </x:c>
      <x:c r="H59" t="n">
        <x:v>21</x:v>
      </x:c>
      <x:c r="I59" t="str">
        <x:v>ORD-2025-00019</x:v>
      </x:c>
      <x:c r="J59" t="n">
        <x:v>6</x:v>
      </x:c>
      <x:c r="K59" t="n">
        <x:v>1</x:v>
      </x:c>
      <x:c r="L59" t="str">
        <x:v>L21-S06-C1</x:v>
      </x:c>
      <x:c r="M59" t="n">
        <x:v>1</x:v>
      </x:c>
      <x:c r="N59" t="str">
        <x:v>DerivedFromCount</x:v>
      </x:c>
      <x:c r="O59" t="str">
        <x:v>PLC-PRD-JAR-330-L21</x:v>
      </x:c>
      <x:c r="P59" t="str">
        <x:v>OK</x:v>
      </x:c>
      <x:c r="Q59" t="str">
        <x:v>OK</x:v>
      </x:c>
      <x:c r="R59" t="str">
        <x:v>OK</x:v>
      </x:c>
      <x:c r="S59" t="str">
        <x:v>OK</x:v>
      </x:c>
      <x:c r="T59" t="n">
        <x:v>30</x:v>
      </x:c>
      <x:c r="U59" t="str">
        <x:v>OK</x:v>
      </x:c>
      <x:c r="V59" t="str">
        <x:v>OK</x:v>
      </x:c>
      <x:c r="W59" t="str">
        <x:v>LOAD</x:v>
      </x:c>
      <x:c r="X59" t="str">
        <x:v>02_Supervisor_Log(4).xlsx</x:v>
      </x:c>
      <x:c r="Y59" t="str">
        <x:v>ENH-20260830-01</x:v>
      </x:c>
      <x:c r="Z59" t="str">
        <x:v>Active</x:v>
      </x:c>
      <x:c r="AA59"/>
      <x:c r="AB59"/>
      <x:c r="AC59"/>
      <x:c r="AD59"/>
    </x:row>
    <x:row r="60">
      <x:c r="A60" t="str">
        <x:v>PCC-PE-KG01-L21-20251020-PM-ORD-2025-00019-S06-C2</x:v>
      </x:c>
      <x:c r="B60" t="str">
        <x:v>PC-PE-KG01-L21-20251020-PM-ORD-2025-00019-S06</x:v>
      </x:c>
      <x:c r="C60" t="str">
        <x:v>PE-KG01-L21-20251020-PM-ORD-2025-00019</x:v>
      </x:c>
      <x:c r="D60" t="str">
        <x:v>KG01</x:v>
      </x:c>
      <x:c r="E60" s="62" t="n">
        <x:v>45950</x:v>
      </x:c>
      <x:c r="F60" t="str">
        <x:v>PM</x:v>
      </x:c>
      <x:c r="G60" t="str">
        <x:v>A</x:v>
      </x:c>
      <x:c r="H60" t="n">
        <x:v>21</x:v>
      </x:c>
      <x:c r="I60" t="str">
        <x:v>ORD-2025-00019</x:v>
      </x:c>
      <x:c r="J60" t="n">
        <x:v>6</x:v>
      </x:c>
      <x:c r="K60" t="n">
        <x:v>2</x:v>
      </x:c>
      <x:c r="L60" t="str">
        <x:v>L21-S06-C2</x:v>
      </x:c>
      <x:c r="M60" t="n">
        <x:v>1</x:v>
      </x:c>
      <x:c r="N60" t="str">
        <x:v>DerivedFromCount</x:v>
      </x:c>
      <x:c r="O60" t="str">
        <x:v>PLC-PRD-JAR-330-L21</x:v>
      </x:c>
      <x:c r="P60" t="str">
        <x:v>OK</x:v>
      </x:c>
      <x:c r="Q60" t="str">
        <x:v>OK</x:v>
      </x:c>
      <x:c r="R60" t="str">
        <x:v>OK</x:v>
      </x:c>
      <x:c r="S60" t="str">
        <x:v>OK</x:v>
      </x:c>
      <x:c r="T60" t="n">
        <x:v>30</x:v>
      </x:c>
      <x:c r="U60" t="str">
        <x:v>OK</x:v>
      </x:c>
      <x:c r="V60" t="str">
        <x:v>OK</x:v>
      </x:c>
      <x:c r="W60" t="str">
        <x:v>LOAD</x:v>
      </x:c>
      <x:c r="X60" t="str">
        <x:v>02_Supervisor_Log(4).xlsx</x:v>
      </x:c>
      <x:c r="Y60" t="str">
        <x:v>ENH-20260830-01</x:v>
      </x:c>
      <x:c r="Z60" t="str">
        <x:v>Active</x:v>
      </x:c>
      <x:c r="AA60"/>
      <x:c r="AB60"/>
      <x:c r="AC60"/>
      <x:c r="AD60"/>
    </x:row>
    <x:row r="61">
      <x:c r="A61" t="str">
        <x:v>PCC-PE-KG01-L21-20251020-PM-ORD-2025-00019-S06-C3</x:v>
      </x:c>
      <x:c r="B61" t="str">
        <x:v>PC-PE-KG01-L21-20251020-PM-ORD-2025-00019-S06</x:v>
      </x:c>
      <x:c r="C61" t="str">
        <x:v>PE-KG01-L21-20251020-PM-ORD-2025-00019</x:v>
      </x:c>
      <x:c r="D61" t="str">
        <x:v>KG01</x:v>
      </x:c>
      <x:c r="E61" s="62" t="n">
        <x:v>45950</x:v>
      </x:c>
      <x:c r="F61" t="str">
        <x:v>PM</x:v>
      </x:c>
      <x:c r="G61" t="str">
        <x:v>A</x:v>
      </x:c>
      <x:c r="H61" t="n">
        <x:v>21</x:v>
      </x:c>
      <x:c r="I61" t="str">
        <x:v>ORD-2025-00019</x:v>
      </x:c>
      <x:c r="J61" t="n">
        <x:v>6</x:v>
      </x:c>
      <x:c r="K61" t="n">
        <x:v>3</x:v>
      </x:c>
      <x:c r="L61" t="str">
        <x:v>L21-S06-C3</x:v>
      </x:c>
      <x:c r="M61" t="n">
        <x:v>1</x:v>
      </x:c>
      <x:c r="N61" t="str">
        <x:v>DerivedFromCount</x:v>
      </x:c>
      <x:c r="O61" t="str">
        <x:v>PLC-PRD-JAR-330-L21</x:v>
      </x:c>
      <x:c r="P61" t="str">
        <x:v>OK</x:v>
      </x:c>
      <x:c r="Q61" t="str">
        <x:v>OK</x:v>
      </x:c>
      <x:c r="R61" t="str">
        <x:v>OK</x:v>
      </x:c>
      <x:c r="S61" t="str">
        <x:v>OK</x:v>
      </x:c>
      <x:c r="T61" t="n">
        <x:v>30</x:v>
      </x:c>
      <x:c r="U61" t="str">
        <x:v>OK</x:v>
      </x:c>
      <x:c r="V61" t="str">
        <x:v>OK</x:v>
      </x:c>
      <x:c r="W61" t="str">
        <x:v>LOAD</x:v>
      </x:c>
      <x:c r="X61" t="str">
        <x:v>02_Supervisor_Log(4).xlsx</x:v>
      </x:c>
      <x:c r="Y61" t="str">
        <x:v>ENH-20260830-01</x:v>
      </x:c>
      <x:c r="Z61" t="str">
        <x:v>Active</x:v>
      </x:c>
      <x:c r="AA61"/>
      <x:c r="AB61"/>
      <x:c r="AC61"/>
      <x:c r="AD61"/>
    </x:row>
    <x:row r="62">
      <x:c r="A62" t="str">
        <x:v>PCC-PE-KG01-L21-20251020-PM-ORD-2025-00019-S07-C1</x:v>
      </x:c>
      <x:c r="B62" t="str">
        <x:v>PC-PE-KG01-L21-20251020-PM-ORD-2025-00019-S07</x:v>
      </x:c>
      <x:c r="C62" t="str">
        <x:v>PE-KG01-L21-20251020-PM-ORD-2025-00019</x:v>
      </x:c>
      <x:c r="D62" t="str">
        <x:v>KG01</x:v>
      </x:c>
      <x:c r="E62" s="62" t="n">
        <x:v>45950</x:v>
      </x:c>
      <x:c r="F62" t="str">
        <x:v>PM</x:v>
      </x:c>
      <x:c r="G62" t="str">
        <x:v>A</x:v>
      </x:c>
      <x:c r="H62" t="n">
        <x:v>21</x:v>
      </x:c>
      <x:c r="I62" t="str">
        <x:v>ORD-2025-00019</x:v>
      </x:c>
      <x:c r="J62" t="n">
        <x:v>7</x:v>
      </x:c>
      <x:c r="K62" t="n">
        <x:v>1</x:v>
      </x:c>
      <x:c r="L62" t="str">
        <x:v>L21-S07-C1</x:v>
      </x:c>
      <x:c r="M62" t="n">
        <x:v>1</x:v>
      </x:c>
      <x:c r="N62" t="str">
        <x:v>DerivedFromCount</x:v>
      </x:c>
      <x:c r="O62" t="str">
        <x:v>PLC-PRD-JAR-330-L21</x:v>
      </x:c>
      <x:c r="P62" t="str">
        <x:v>OK</x:v>
      </x:c>
      <x:c r="Q62" t="str">
        <x:v>OK</x:v>
      </x:c>
      <x:c r="R62" t="str">
        <x:v>OK</x:v>
      </x:c>
      <x:c r="S62" t="str">
        <x:v>OK</x:v>
      </x:c>
      <x:c r="T62" t="n">
        <x:v>30</x:v>
      </x:c>
      <x:c r="U62" t="str">
        <x:v>OK</x:v>
      </x:c>
      <x:c r="V62" t="str">
        <x:v>OK</x:v>
      </x:c>
      <x:c r="W62" t="str">
        <x:v>LOAD</x:v>
      </x:c>
      <x:c r="X62" t="str">
        <x:v>02_Supervisor_Log(4).xlsx</x:v>
      </x:c>
      <x:c r="Y62" t="str">
        <x:v>ENH-20260830-01</x:v>
      </x:c>
      <x:c r="Z62" t="str">
        <x:v>Active</x:v>
      </x:c>
      <x:c r="AA62"/>
      <x:c r="AB62"/>
      <x:c r="AC62"/>
      <x:c r="AD62"/>
    </x:row>
    <x:row r="63">
      <x:c r="A63" t="str">
        <x:v>PCC-PE-KG01-L21-20251020-PM-ORD-2025-00019-S07-C2</x:v>
      </x:c>
      <x:c r="B63" t="str">
        <x:v>PC-PE-KG01-L21-20251020-PM-ORD-2025-00019-S07</x:v>
      </x:c>
      <x:c r="C63" t="str">
        <x:v>PE-KG01-L21-20251020-PM-ORD-2025-00019</x:v>
      </x:c>
      <x:c r="D63" t="str">
        <x:v>KG01</x:v>
      </x:c>
      <x:c r="E63" s="62" t="n">
        <x:v>45950</x:v>
      </x:c>
      <x:c r="F63" t="str">
        <x:v>PM</x:v>
      </x:c>
      <x:c r="G63" t="str">
        <x:v>A</x:v>
      </x:c>
      <x:c r="H63" t="n">
        <x:v>21</x:v>
      </x:c>
      <x:c r="I63" t="str">
        <x:v>ORD-2025-00019</x:v>
      </x:c>
      <x:c r="J63" t="n">
        <x:v>7</x:v>
      </x:c>
      <x:c r="K63" t="n">
        <x:v>2</x:v>
      </x:c>
      <x:c r="L63" t="str">
        <x:v>L21-S07-C2</x:v>
      </x:c>
      <x:c r="M63" t="n">
        <x:v>1</x:v>
      </x:c>
      <x:c r="N63" t="str">
        <x:v>DerivedFromCount</x:v>
      </x:c>
      <x:c r="O63" t="str">
        <x:v>PLC-PRD-JAR-330-L21</x:v>
      </x:c>
      <x:c r="P63" t="str">
        <x:v>OK</x:v>
      </x:c>
      <x:c r="Q63" t="str">
        <x:v>OK</x:v>
      </x:c>
      <x:c r="R63" t="str">
        <x:v>OK</x:v>
      </x:c>
      <x:c r="S63" t="str">
        <x:v>OK</x:v>
      </x:c>
      <x:c r="T63" t="n">
        <x:v>30</x:v>
      </x:c>
      <x:c r="U63" t="str">
        <x:v>OK</x:v>
      </x:c>
      <x:c r="V63" t="str">
        <x:v>OK</x:v>
      </x:c>
      <x:c r="W63" t="str">
        <x:v>LOAD</x:v>
      </x:c>
      <x:c r="X63" t="str">
        <x:v>02_Supervisor_Log(4).xlsx</x:v>
      </x:c>
      <x:c r="Y63" t="str">
        <x:v>ENH-20260830-01</x:v>
      </x:c>
      <x:c r="Z63" t="str">
        <x:v>Active</x:v>
      </x:c>
      <x:c r="AA63"/>
      <x:c r="AB63"/>
      <x:c r="AC63"/>
      <x:c r="AD63"/>
    </x:row>
    <x:row r="64">
      <x:c r="A64" t="str">
        <x:v>PCC-PE-KG01-L21-20251020-PM-ORD-2025-00019-S07-C3</x:v>
      </x:c>
      <x:c r="B64" t="str">
        <x:v>PC-PE-KG01-L21-20251020-PM-ORD-2025-00019-S07</x:v>
      </x:c>
      <x:c r="C64" t="str">
        <x:v>PE-KG01-L21-20251020-PM-ORD-2025-00019</x:v>
      </x:c>
      <x:c r="D64" t="str">
        <x:v>KG01</x:v>
      </x:c>
      <x:c r="E64" s="62" t="n">
        <x:v>45950</x:v>
      </x:c>
      <x:c r="F64" t="str">
        <x:v>PM</x:v>
      </x:c>
      <x:c r="G64" t="str">
        <x:v>A</x:v>
      </x:c>
      <x:c r="H64" t="n">
        <x:v>21</x:v>
      </x:c>
      <x:c r="I64" t="str">
        <x:v>ORD-2025-00019</x:v>
      </x:c>
      <x:c r="J64" t="n">
        <x:v>7</x:v>
      </x:c>
      <x:c r="K64" t="n">
        <x:v>3</x:v>
      </x:c>
      <x:c r="L64" t="str">
        <x:v>L21-S07-C3</x:v>
      </x:c>
      <x:c r="M64" t="n">
        <x:v>1</x:v>
      </x:c>
      <x:c r="N64" t="str">
        <x:v>DerivedFromCount</x:v>
      </x:c>
      <x:c r="O64" t="str">
        <x:v>PLC-PRD-JAR-330-L21</x:v>
      </x:c>
      <x:c r="P64" t="str">
        <x:v>OK</x:v>
      </x:c>
      <x:c r="Q64" t="str">
        <x:v>OK</x:v>
      </x:c>
      <x:c r="R64" t="str">
        <x:v>OK</x:v>
      </x:c>
      <x:c r="S64" t="str">
        <x:v>OK</x:v>
      </x:c>
      <x:c r="T64" t="n">
        <x:v>30</x:v>
      </x:c>
      <x:c r="U64" t="str">
        <x:v>OK</x:v>
      </x:c>
      <x:c r="V64" t="str">
        <x:v>OK</x:v>
      </x:c>
      <x:c r="W64" t="str">
        <x:v>LOAD</x:v>
      </x:c>
      <x:c r="X64" t="str">
        <x:v>02_Supervisor_Log(4).xlsx</x:v>
      </x:c>
      <x:c r="Y64" t="str">
        <x:v>ENH-20260830-01</x:v>
      </x:c>
      <x:c r="Z64" t="str">
        <x:v>Active</x:v>
      </x:c>
      <x:c r="AA64"/>
      <x:c r="AB64"/>
      <x:c r="AC64"/>
      <x:c r="AD64"/>
    </x:row>
    <x:row r="65">
      <x:c r="A65" t="str">
        <x:v>PCC-PE-KG01-L21-20251020-PM-ORD-2025-00019-S08-C1</x:v>
      </x:c>
      <x:c r="B65" t="str">
        <x:v>PC-PE-KG01-L21-20251020-PM-ORD-2025-00019-S08</x:v>
      </x:c>
      <x:c r="C65" t="str">
        <x:v>PE-KG01-L21-20251020-PM-ORD-2025-00019</x:v>
      </x:c>
      <x:c r="D65" t="str">
        <x:v>KG01</x:v>
      </x:c>
      <x:c r="E65" s="62" t="n">
        <x:v>45950</x:v>
      </x:c>
      <x:c r="F65" t="str">
        <x:v>PM</x:v>
      </x:c>
      <x:c r="G65" t="str">
        <x:v>A</x:v>
      </x:c>
      <x:c r="H65" t="n">
        <x:v>21</x:v>
      </x:c>
      <x:c r="I65" t="str">
        <x:v>ORD-2025-00019</x:v>
      </x:c>
      <x:c r="J65" t="n">
        <x:v>8</x:v>
      </x:c>
      <x:c r="K65" t="n">
        <x:v>1</x:v>
      </x:c>
      <x:c r="L65" t="str">
        <x:v>L21-S08-C1</x:v>
      </x:c>
      <x:c r="M65" t="n">
        <x:v>1</x:v>
      </x:c>
      <x:c r="N65" t="str">
        <x:v>DerivedFromCount</x:v>
      </x:c>
      <x:c r="O65" t="str">
        <x:v>PLC-PRD-JAR-330-L21</x:v>
      </x:c>
      <x:c r="P65" t="str">
        <x:v>OK</x:v>
      </x:c>
      <x:c r="Q65" t="str">
        <x:v>OK</x:v>
      </x:c>
      <x:c r="R65" t="str">
        <x:v>OK</x:v>
      </x:c>
      <x:c r="S65" t="str">
        <x:v>OK</x:v>
      </x:c>
      <x:c r="T65" t="n">
        <x:v>30</x:v>
      </x:c>
      <x:c r="U65" t="str">
        <x:v>OK</x:v>
      </x:c>
      <x:c r="V65" t="str">
        <x:v>OK</x:v>
      </x:c>
      <x:c r="W65" t="str">
        <x:v>LOAD</x:v>
      </x:c>
      <x:c r="X65" t="str">
        <x:v>02_Supervisor_Log(4).xlsx</x:v>
      </x:c>
      <x:c r="Y65" t="str">
        <x:v>ENH-20260830-01</x:v>
      </x:c>
      <x:c r="Z65" t="str">
        <x:v>Active</x:v>
      </x:c>
      <x:c r="AA65"/>
      <x:c r="AB65"/>
      <x:c r="AC65"/>
      <x:c r="AD65"/>
    </x:row>
    <x:row r="66">
      <x:c r="A66" t="str">
        <x:v>PCC-PE-KG01-L21-20251020-PM-ORD-2025-00019-S08-C2</x:v>
      </x:c>
      <x:c r="B66" t="str">
        <x:v>PC-PE-KG01-L21-20251020-PM-ORD-2025-00019-S08</x:v>
      </x:c>
      <x:c r="C66" t="str">
        <x:v>PE-KG01-L21-20251020-PM-ORD-2025-00019</x:v>
      </x:c>
      <x:c r="D66" t="str">
        <x:v>KG01</x:v>
      </x:c>
      <x:c r="E66" s="62" t="n">
        <x:v>45950</x:v>
      </x:c>
      <x:c r="F66" t="str">
        <x:v>PM</x:v>
      </x:c>
      <x:c r="G66" t="str">
        <x:v>A</x:v>
      </x:c>
      <x:c r="H66" t="n">
        <x:v>21</x:v>
      </x:c>
      <x:c r="I66" t="str">
        <x:v>ORD-2025-00019</x:v>
      </x:c>
      <x:c r="J66" t="n">
        <x:v>8</x:v>
      </x:c>
      <x:c r="K66" t="n">
        <x:v>2</x:v>
      </x:c>
      <x:c r="L66" t="str">
        <x:v>L21-S08-C2</x:v>
      </x:c>
      <x:c r="M66" t="n">
        <x:v>1</x:v>
      </x:c>
      <x:c r="N66" t="str">
        <x:v>DerivedFromCount</x:v>
      </x:c>
      <x:c r="O66" t="str">
        <x:v>PLC-PRD-JAR-330-L21</x:v>
      </x:c>
      <x:c r="P66" t="str">
        <x:v>OK</x:v>
      </x:c>
      <x:c r="Q66" t="str">
        <x:v>OK</x:v>
      </x:c>
      <x:c r="R66" t="str">
        <x:v>OK</x:v>
      </x:c>
      <x:c r="S66" t="str">
        <x:v>OK</x:v>
      </x:c>
      <x:c r="T66" t="n">
        <x:v>30</x:v>
      </x:c>
      <x:c r="U66" t="str">
        <x:v>OK</x:v>
      </x:c>
      <x:c r="V66" t="str">
        <x:v>OK</x:v>
      </x:c>
      <x:c r="W66" t="str">
        <x:v>LOAD</x:v>
      </x:c>
      <x:c r="X66" t="str">
        <x:v>02_Supervisor_Log(4).xlsx</x:v>
      </x:c>
      <x:c r="Y66" t="str">
        <x:v>ENH-20260830-01</x:v>
      </x:c>
      <x:c r="Z66" t="str">
        <x:v>Active</x:v>
      </x:c>
      <x:c r="AA66"/>
      <x:c r="AB66"/>
      <x:c r="AC66"/>
      <x:c r="AD66"/>
    </x:row>
    <x:row r="67">
      <x:c r="A67" t="str">
        <x:v>PCC-PE-KG01-L21-20251020-PM-ORD-2025-00019-S08-C3</x:v>
      </x:c>
      <x:c r="B67" t="str">
        <x:v>PC-PE-KG01-L21-20251020-PM-ORD-2025-00019-S08</x:v>
      </x:c>
      <x:c r="C67" t="str">
        <x:v>PE-KG01-L21-20251020-PM-ORD-2025-00019</x:v>
      </x:c>
      <x:c r="D67" t="str">
        <x:v>KG01</x:v>
      </x:c>
      <x:c r="E67" s="62" t="n">
        <x:v>45950</x:v>
      </x:c>
      <x:c r="F67" t="str">
        <x:v>PM</x:v>
      </x:c>
      <x:c r="G67" t="str">
        <x:v>A</x:v>
      </x:c>
      <x:c r="H67" t="n">
        <x:v>21</x:v>
      </x:c>
      <x:c r="I67" t="str">
        <x:v>ORD-2025-00019</x:v>
      </x:c>
      <x:c r="J67" t="n">
        <x:v>8</x:v>
      </x:c>
      <x:c r="K67" t="n">
        <x:v>3</x:v>
      </x:c>
      <x:c r="L67" t="str">
        <x:v>L21-S08-C3</x:v>
      </x:c>
      <x:c r="M67" t="n">
        <x:v>1</x:v>
      </x:c>
      <x:c r="N67" t="str">
        <x:v>DerivedFromCount</x:v>
      </x:c>
      <x:c r="O67" t="str">
        <x:v>PLC-PRD-JAR-330-L21</x:v>
      </x:c>
      <x:c r="P67" t="str">
        <x:v>OK</x:v>
      </x:c>
      <x:c r="Q67" t="str">
        <x:v>OK</x:v>
      </x:c>
      <x:c r="R67" t="str">
        <x:v>OK</x:v>
      </x:c>
      <x:c r="S67" t="str">
        <x:v>OK</x:v>
      </x:c>
      <x:c r="T67" t="n">
        <x:v>30</x:v>
      </x:c>
      <x:c r="U67" t="str">
        <x:v>OK</x:v>
      </x:c>
      <x:c r="V67" t="str">
        <x:v>OK</x:v>
      </x:c>
      <x:c r="W67" t="str">
        <x:v>LOAD</x:v>
      </x:c>
      <x:c r="X67" t="str">
        <x:v>02_Supervisor_Log(4).xlsx</x:v>
      </x:c>
      <x:c r="Y67" t="str">
        <x:v>ENH-20260830-01</x:v>
      </x:c>
      <x:c r="Z67" t="str">
        <x:v>Active</x:v>
      </x:c>
      <x:c r="AA67"/>
      <x:c r="AB67"/>
      <x:c r="AC67"/>
      <x:c r="AD67"/>
    </x:row>
    <x:row r="68">
      <x:c r="A68" t="str">
        <x:v>PCC-PE-KG01-L21-20251020-PM-ORD-2025-00019-S09-C1</x:v>
      </x:c>
      <x:c r="B68" t="str">
        <x:v>PC-PE-KG01-L21-20251020-PM-ORD-2025-00019-S09</x:v>
      </x:c>
      <x:c r="C68" t="str">
        <x:v>PE-KG01-L21-20251020-PM-ORD-2025-00019</x:v>
      </x:c>
      <x:c r="D68" t="str">
        <x:v>KG01</x:v>
      </x:c>
      <x:c r="E68" s="62" t="n">
        <x:v>45950</x:v>
      </x:c>
      <x:c r="F68" t="str">
        <x:v>PM</x:v>
      </x:c>
      <x:c r="G68" t="str">
        <x:v>A</x:v>
      </x:c>
      <x:c r="H68" t="n">
        <x:v>21</x:v>
      </x:c>
      <x:c r="I68" t="str">
        <x:v>ORD-2025-00019</x:v>
      </x:c>
      <x:c r="J68" t="n">
        <x:v>9</x:v>
      </x:c>
      <x:c r="K68" t="n">
        <x:v>1</x:v>
      </x:c>
      <x:c r="L68" t="str">
        <x:v>L21-S09-C1</x:v>
      </x:c>
      <x:c r="M68" t="n">
        <x:v>1</x:v>
      </x:c>
      <x:c r="N68" t="str">
        <x:v>DerivedFromCount</x:v>
      </x:c>
      <x:c r="O68" t="str">
        <x:v>PLC-PRD-JAR-330-L21</x:v>
      </x:c>
      <x:c r="P68" t="str">
        <x:v>OK</x:v>
      </x:c>
      <x:c r="Q68" t="str">
        <x:v>OK</x:v>
      </x:c>
      <x:c r="R68" t="str">
        <x:v>OK</x:v>
      </x:c>
      <x:c r="S68" t="str">
        <x:v>OK</x:v>
      </x:c>
      <x:c r="T68" t="n">
        <x:v>30</x:v>
      </x:c>
      <x:c r="U68" t="str">
        <x:v>OK</x:v>
      </x:c>
      <x:c r="V68" t="str">
        <x:v>OK</x:v>
      </x:c>
      <x:c r="W68" t="str">
        <x:v>LOAD</x:v>
      </x:c>
      <x:c r="X68" t="str">
        <x:v>02_Supervisor_Log(4).xlsx</x:v>
      </x:c>
      <x:c r="Y68" t="str">
        <x:v>ENH-20260830-01</x:v>
      </x:c>
      <x:c r="Z68" t="str">
        <x:v>Active</x:v>
      </x:c>
      <x:c r="AA68"/>
      <x:c r="AB68"/>
      <x:c r="AC68"/>
      <x:c r="AD68"/>
    </x:row>
    <x:row r="69">
      <x:c r="A69" t="str">
        <x:v>PCC-PE-KG01-L21-20251020-PM-ORD-2025-00019-S09-C2</x:v>
      </x:c>
      <x:c r="B69" t="str">
        <x:v>PC-PE-KG01-L21-20251020-PM-ORD-2025-00019-S09</x:v>
      </x:c>
      <x:c r="C69" t="str">
        <x:v>PE-KG01-L21-20251020-PM-ORD-2025-00019</x:v>
      </x:c>
      <x:c r="D69" t="str">
        <x:v>KG01</x:v>
      </x:c>
      <x:c r="E69" s="62" t="n">
        <x:v>45950</x:v>
      </x:c>
      <x:c r="F69" t="str">
        <x:v>PM</x:v>
      </x:c>
      <x:c r="G69" t="str">
        <x:v>A</x:v>
      </x:c>
      <x:c r="H69" t="n">
        <x:v>21</x:v>
      </x:c>
      <x:c r="I69" t="str">
        <x:v>ORD-2025-00019</x:v>
      </x:c>
      <x:c r="J69" t="n">
        <x:v>9</x:v>
      </x:c>
      <x:c r="K69" t="n">
        <x:v>2</x:v>
      </x:c>
      <x:c r="L69" t="str">
        <x:v>L21-S09-C2</x:v>
      </x:c>
      <x:c r="M69" t="n">
        <x:v>1</x:v>
      </x:c>
      <x:c r="N69" t="str">
        <x:v>DerivedFromCount</x:v>
      </x:c>
      <x:c r="O69" t="str">
        <x:v>PLC-PRD-JAR-330-L21</x:v>
      </x:c>
      <x:c r="P69" t="str">
        <x:v>OK</x:v>
      </x:c>
      <x:c r="Q69" t="str">
        <x:v>OK</x:v>
      </x:c>
      <x:c r="R69" t="str">
        <x:v>OK</x:v>
      </x:c>
      <x:c r="S69" t="str">
        <x:v>OK</x:v>
      </x:c>
      <x:c r="T69" t="n">
        <x:v>30</x:v>
      </x:c>
      <x:c r="U69" t="str">
        <x:v>OK</x:v>
      </x:c>
      <x:c r="V69" t="str">
        <x:v>OK</x:v>
      </x:c>
      <x:c r="W69" t="str">
        <x:v>LOAD</x:v>
      </x:c>
      <x:c r="X69" t="str">
        <x:v>02_Supervisor_Log(4).xlsx</x:v>
      </x:c>
      <x:c r="Y69" t="str">
        <x:v>ENH-20260830-01</x:v>
      </x:c>
      <x:c r="Z69" t="str">
        <x:v>Active</x:v>
      </x:c>
      <x:c r="AA69"/>
      <x:c r="AB69"/>
      <x:c r="AC69"/>
      <x:c r="AD69"/>
    </x:row>
    <x:row r="70">
      <x:c r="A70" t="str">
        <x:v>PCC-PE-KG01-L21-20251020-PM-ORD-2025-00019-S09-C3</x:v>
      </x:c>
      <x:c r="B70" t="str">
        <x:v>PC-PE-KG01-L21-20251020-PM-ORD-2025-00019-S09</x:v>
      </x:c>
      <x:c r="C70" t="str">
        <x:v>PE-KG01-L21-20251020-PM-ORD-2025-00019</x:v>
      </x:c>
      <x:c r="D70" t="str">
        <x:v>KG01</x:v>
      </x:c>
      <x:c r="E70" s="62" t="n">
        <x:v>45950</x:v>
      </x:c>
      <x:c r="F70" t="str">
        <x:v>PM</x:v>
      </x:c>
      <x:c r="G70" t="str">
        <x:v>A</x:v>
      </x:c>
      <x:c r="H70" t="n">
        <x:v>21</x:v>
      </x:c>
      <x:c r="I70" t="str">
        <x:v>ORD-2025-00019</x:v>
      </x:c>
      <x:c r="J70" t="n">
        <x:v>9</x:v>
      </x:c>
      <x:c r="K70" t="n">
        <x:v>3</x:v>
      </x:c>
      <x:c r="L70" t="str">
        <x:v>L21-S09-C3</x:v>
      </x:c>
      <x:c r="M70" t="n">
        <x:v>1</x:v>
      </x:c>
      <x:c r="N70" t="str">
        <x:v>DerivedFromCount</x:v>
      </x:c>
      <x:c r="O70" t="str">
        <x:v>PLC-PRD-JAR-330-L21</x:v>
      </x:c>
      <x:c r="P70" t="str">
        <x:v>OK</x:v>
      </x:c>
      <x:c r="Q70" t="str">
        <x:v>OK</x:v>
      </x:c>
      <x:c r="R70" t="str">
        <x:v>OK</x:v>
      </x:c>
      <x:c r="S70" t="str">
        <x:v>OK</x:v>
      </x:c>
      <x:c r="T70" t="n">
        <x:v>30</x:v>
      </x:c>
      <x:c r="U70" t="str">
        <x:v>OK</x:v>
      </x:c>
      <x:c r="V70" t="str">
        <x:v>OK</x:v>
      </x:c>
      <x:c r="W70" t="str">
        <x:v>LOAD</x:v>
      </x:c>
      <x:c r="X70" t="str">
        <x:v>02_Supervisor_Log(4).xlsx</x:v>
      </x:c>
      <x:c r="Y70" t="str">
        <x:v>ENH-20260830-01</x:v>
      </x:c>
      <x:c r="Z70" t="str">
        <x:v>Active</x:v>
      </x:c>
      <x:c r="AA70"/>
      <x:c r="AB70"/>
      <x:c r="AC70"/>
      <x:c r="AD70"/>
    </x:row>
    <x:row r="71">
      <x:c r="A71" t="str">
        <x:v>PCC-PE-KG01-L21-20251020-PM-ORD-2025-00019-S10-C1</x:v>
      </x:c>
      <x:c r="B71" t="str">
        <x:v>PC-PE-KG01-L21-20251020-PM-ORD-2025-00019-S10</x:v>
      </x:c>
      <x:c r="C71" t="str">
        <x:v>PE-KG01-L21-20251020-PM-ORD-2025-00019</x:v>
      </x:c>
      <x:c r="D71" t="str">
        <x:v>KG01</x:v>
      </x:c>
      <x:c r="E71" s="62" t="n">
        <x:v>45950</x:v>
      </x:c>
      <x:c r="F71" t="str">
        <x:v>PM</x:v>
      </x:c>
      <x:c r="G71" t="str">
        <x:v>A</x:v>
      </x:c>
      <x:c r="H71" t="n">
        <x:v>21</x:v>
      </x:c>
      <x:c r="I71" t="str">
        <x:v>ORD-2025-00019</x:v>
      </x:c>
      <x:c r="J71" t="n">
        <x:v>10</x:v>
      </x:c>
      <x:c r="K71" t="n">
        <x:v>1</x:v>
      </x:c>
      <x:c r="L71" t="str">
        <x:v>L21-S10-C1</x:v>
      </x:c>
      <x:c r="M71" t="n">
        <x:v>1</x:v>
      </x:c>
      <x:c r="N71" t="str">
        <x:v>DerivedFromCount</x:v>
      </x:c>
      <x:c r="O71" t="str">
        <x:v>PLC-PRD-JAR-330-L21</x:v>
      </x:c>
      <x:c r="P71" t="str">
        <x:v>OK</x:v>
      </x:c>
      <x:c r="Q71" t="str">
        <x:v>OK</x:v>
      </x:c>
      <x:c r="R71" t="str">
        <x:v>OK</x:v>
      </x:c>
      <x:c r="S71" t="str">
        <x:v>OK</x:v>
      </x:c>
      <x:c r="T71" t="n">
        <x:v>30</x:v>
      </x:c>
      <x:c r="U71" t="str">
        <x:v>OK</x:v>
      </x:c>
      <x:c r="V71" t="str">
        <x:v>OK</x:v>
      </x:c>
      <x:c r="W71" t="str">
        <x:v>LOAD</x:v>
      </x:c>
      <x:c r="X71" t="str">
        <x:v>02_Supervisor_Log(4).xlsx</x:v>
      </x:c>
      <x:c r="Y71" t="str">
        <x:v>ENH-20260830-01</x:v>
      </x:c>
      <x:c r="Z71" t="str">
        <x:v>Active</x:v>
      </x:c>
      <x:c r="AA71"/>
      <x:c r="AB71"/>
      <x:c r="AC71"/>
      <x:c r="AD71"/>
    </x:row>
    <x:row r="72">
      <x:c r="A72" t="str">
        <x:v>PCC-PE-KG01-L21-20251020-PM-ORD-2025-00019-S10-C2</x:v>
      </x:c>
      <x:c r="B72" t="str">
        <x:v>PC-PE-KG01-L21-20251020-PM-ORD-2025-00019-S10</x:v>
      </x:c>
      <x:c r="C72" t="str">
        <x:v>PE-KG01-L21-20251020-PM-ORD-2025-00019</x:v>
      </x:c>
      <x:c r="D72" t="str">
        <x:v>KG01</x:v>
      </x:c>
      <x:c r="E72" s="62" t="n">
        <x:v>45950</x:v>
      </x:c>
      <x:c r="F72" t="str">
        <x:v>PM</x:v>
      </x:c>
      <x:c r="G72" t="str">
        <x:v>A</x:v>
      </x:c>
      <x:c r="H72" t="n">
        <x:v>21</x:v>
      </x:c>
      <x:c r="I72" t="str">
        <x:v>ORD-2025-00019</x:v>
      </x:c>
      <x:c r="J72" t="n">
        <x:v>10</x:v>
      </x:c>
      <x:c r="K72" t="n">
        <x:v>2</x:v>
      </x:c>
      <x:c r="L72" t="str">
        <x:v>L21-S10-C2</x:v>
      </x:c>
      <x:c r="M72" t="n">
        <x:v>1</x:v>
      </x:c>
      <x:c r="N72" t="str">
        <x:v>DerivedFromCount</x:v>
      </x:c>
      <x:c r="O72" t="str">
        <x:v>PLC-PRD-JAR-330-L21</x:v>
      </x:c>
      <x:c r="P72" t="str">
        <x:v>OK</x:v>
      </x:c>
      <x:c r="Q72" t="str">
        <x:v>OK</x:v>
      </x:c>
      <x:c r="R72" t="str">
        <x:v>OK</x:v>
      </x:c>
      <x:c r="S72" t="str">
        <x:v>OK</x:v>
      </x:c>
      <x:c r="T72" t="n">
        <x:v>30</x:v>
      </x:c>
      <x:c r="U72" t="str">
        <x:v>OK</x:v>
      </x:c>
      <x:c r="V72" t="str">
        <x:v>OK</x:v>
      </x:c>
      <x:c r="W72" t="str">
        <x:v>LOAD</x:v>
      </x:c>
      <x:c r="X72" t="str">
        <x:v>02_Supervisor_Log(4).xlsx</x:v>
      </x:c>
      <x:c r="Y72" t="str">
        <x:v>ENH-20260830-01</x:v>
      </x:c>
      <x:c r="Z72" t="str">
        <x:v>Active</x:v>
      </x:c>
      <x:c r="AA72"/>
      <x:c r="AB72"/>
      <x:c r="AC72"/>
      <x:c r="AD72"/>
    </x:row>
    <x:row r="73">
      <x:c r="A73" t="str">
        <x:v>PCC-PE-KG01-L21-20251020-PM-ORD-2025-00019-S10-C3</x:v>
      </x:c>
      <x:c r="B73" t="str">
        <x:v>PC-PE-KG01-L21-20251020-PM-ORD-2025-00019-S10</x:v>
      </x:c>
      <x:c r="C73" t="str">
        <x:v>PE-KG01-L21-20251020-PM-ORD-2025-00019</x:v>
      </x:c>
      <x:c r="D73" t="str">
        <x:v>KG01</x:v>
      </x:c>
      <x:c r="E73" s="62" t="n">
        <x:v>45950</x:v>
      </x:c>
      <x:c r="F73" t="str">
        <x:v>PM</x:v>
      </x:c>
      <x:c r="G73" t="str">
        <x:v>A</x:v>
      </x:c>
      <x:c r="H73" t="n">
        <x:v>21</x:v>
      </x:c>
      <x:c r="I73" t="str">
        <x:v>ORD-2025-00019</x:v>
      </x:c>
      <x:c r="J73" t="n">
        <x:v>10</x:v>
      </x:c>
      <x:c r="K73" t="n">
        <x:v>3</x:v>
      </x:c>
      <x:c r="L73" t="str">
        <x:v>L21-S10-C3</x:v>
      </x:c>
      <x:c r="M73" t="n">
        <x:v>1</x:v>
      </x:c>
      <x:c r="N73" t="str">
        <x:v>DerivedFromCount</x:v>
      </x:c>
      <x:c r="O73" t="str">
        <x:v>PLC-PRD-JAR-330-L21</x:v>
      </x:c>
      <x:c r="P73" t="str">
        <x:v>OK</x:v>
      </x:c>
      <x:c r="Q73" t="str">
        <x:v>OK</x:v>
      </x:c>
      <x:c r="R73" t="str">
        <x:v>OK</x:v>
      </x:c>
      <x:c r="S73" t="str">
        <x:v>OK</x:v>
      </x:c>
      <x:c r="T73" t="n">
        <x:v>30</x:v>
      </x:c>
      <x:c r="U73" t="str">
        <x:v>OK</x:v>
      </x:c>
      <x:c r="V73" t="str">
        <x:v>OK</x:v>
      </x:c>
      <x:c r="W73" t="str">
        <x:v>LOAD</x:v>
      </x:c>
      <x:c r="X73" t="str">
        <x:v>02_Supervisor_Log(4).xlsx</x:v>
      </x:c>
      <x:c r="Y73" t="str">
        <x:v>ENH-20260830-01</x:v>
      </x:c>
      <x:c r="Z73" t="str">
        <x:v>Active</x:v>
      </x:c>
      <x:c r="AA73"/>
      <x:c r="AB73"/>
      <x:c r="AC73"/>
      <x:c r="AD73"/>
    </x:row>
    <x:row r="74">
      <x:c r="A74" t="str">
        <x:v>PCC-PE-KG01-L21-20251020-PM-ORD-2025-00019-S11-C1</x:v>
      </x:c>
      <x:c r="B74" t="str">
        <x:v>PC-PE-KG01-L21-20251020-PM-ORD-2025-00019-S11</x:v>
      </x:c>
      <x:c r="C74" t="str">
        <x:v>PE-KG01-L21-20251020-PM-ORD-2025-00019</x:v>
      </x:c>
      <x:c r="D74" t="str">
        <x:v>KG01</x:v>
      </x:c>
      <x:c r="E74" s="62" t="n">
        <x:v>45950</x:v>
      </x:c>
      <x:c r="F74" t="str">
        <x:v>PM</x:v>
      </x:c>
      <x:c r="G74" t="str">
        <x:v>A</x:v>
      </x:c>
      <x:c r="H74" t="n">
        <x:v>21</x:v>
      </x:c>
      <x:c r="I74" t="str">
        <x:v>ORD-2025-00019</x:v>
      </x:c>
      <x:c r="J74" t="n">
        <x:v>11</x:v>
      </x:c>
      <x:c r="K74" t="n">
        <x:v>1</x:v>
      </x:c>
      <x:c r="L74" t="str">
        <x:v>L21-S11-C1</x:v>
      </x:c>
      <x:c r="M74" t="n">
        <x:v>0</x:v>
      </x:c>
      <x:c r="N74" t="str">
        <x:v>DerivedFromCount</x:v>
      </x:c>
      <x:c r="O74" t="str">
        <x:v>PLC-PRD-JAR-330-L21</x:v>
      </x:c>
      <x:c r="P74" t="str">
        <x:v>OK</x:v>
      </x:c>
      <x:c r="Q74" t="str">
        <x:v>OK</x:v>
      </x:c>
      <x:c r="R74" t="str">
        <x:v>OK</x:v>
      </x:c>
      <x:c r="S74" t="str">
        <x:v>OK</x:v>
      </x:c>
      <x:c r="T74" t="n">
        <x:v>30</x:v>
      </x:c>
      <x:c r="U74" t="str">
        <x:v>OK</x:v>
      </x:c>
      <x:c r="V74" t="str">
        <x:v>OK</x:v>
      </x:c>
      <x:c r="W74" t="str">
        <x:v>LOAD</x:v>
      </x:c>
      <x:c r="X74" t="str">
        <x:v>02_Supervisor_Log(4).xlsx</x:v>
      </x:c>
      <x:c r="Y74" t="str">
        <x:v>ENH-20260830-01</x:v>
      </x:c>
      <x:c r="Z74" t="str">
        <x:v>Active</x:v>
      </x:c>
      <x:c r="AA74"/>
      <x:c r="AB74"/>
      <x:c r="AC74"/>
      <x:c r="AD74"/>
    </x:row>
    <x:row r="75">
      <x:c r="A75" t="str">
        <x:v>PCC-PE-KG01-L21-20251020-PM-ORD-2025-00019-S11-C2</x:v>
      </x:c>
      <x:c r="B75" t="str">
        <x:v>PC-PE-KG01-L21-20251020-PM-ORD-2025-00019-S11</x:v>
      </x:c>
      <x:c r="C75" t="str">
        <x:v>PE-KG01-L21-20251020-PM-ORD-2025-00019</x:v>
      </x:c>
      <x:c r="D75" t="str">
        <x:v>KG01</x:v>
      </x:c>
      <x:c r="E75" s="62" t="n">
        <x:v>45950</x:v>
      </x:c>
      <x:c r="F75" t="str">
        <x:v>PM</x:v>
      </x:c>
      <x:c r="G75" t="str">
        <x:v>A</x:v>
      </x:c>
      <x:c r="H75" t="n">
        <x:v>21</x:v>
      </x:c>
      <x:c r="I75" t="str">
        <x:v>ORD-2025-00019</x:v>
      </x:c>
      <x:c r="J75" t="n">
        <x:v>11</x:v>
      </x:c>
      <x:c r="K75" t="n">
        <x:v>2</x:v>
      </x:c>
      <x:c r="L75" t="str">
        <x:v>L21-S11-C2</x:v>
      </x:c>
      <x:c r="M75" t="n">
        <x:v>0</x:v>
      </x:c>
      <x:c r="N75" t="str">
        <x:v>DerivedFromCount</x:v>
      </x:c>
      <x:c r="O75" t="str">
        <x:v>PLC-PRD-JAR-330-L21</x:v>
      </x:c>
      <x:c r="P75" t="str">
        <x:v>OK</x:v>
      </x:c>
      <x:c r="Q75" t="str">
        <x:v>OK</x:v>
      </x:c>
      <x:c r="R75" t="str">
        <x:v>OK</x:v>
      </x:c>
      <x:c r="S75" t="str">
        <x:v>OK</x:v>
      </x:c>
      <x:c r="T75" t="n">
        <x:v>30</x:v>
      </x:c>
      <x:c r="U75" t="str">
        <x:v>OK</x:v>
      </x:c>
      <x:c r="V75" t="str">
        <x:v>OK</x:v>
      </x:c>
      <x:c r="W75" t="str">
        <x:v>LOAD</x:v>
      </x:c>
      <x:c r="X75" t="str">
        <x:v>02_Supervisor_Log(4).xlsx</x:v>
      </x:c>
      <x:c r="Y75" t="str">
        <x:v>ENH-20260830-01</x:v>
      </x:c>
      <x:c r="Z75" t="str">
        <x:v>Active</x:v>
      </x:c>
      <x:c r="AA75"/>
      <x:c r="AB75"/>
      <x:c r="AC75"/>
      <x:c r="AD75"/>
    </x:row>
    <x:row r="76">
      <x:c r="A76" t="str">
        <x:v>PCC-PE-KG01-L21-20251020-PM-ORD-2025-00019-S11-C3</x:v>
      </x:c>
      <x:c r="B76" t="str">
        <x:v>PC-PE-KG01-L21-20251020-PM-ORD-2025-00019-S11</x:v>
      </x:c>
      <x:c r="C76" t="str">
        <x:v>PE-KG01-L21-20251020-PM-ORD-2025-00019</x:v>
      </x:c>
      <x:c r="D76" t="str">
        <x:v>KG01</x:v>
      </x:c>
      <x:c r="E76" s="62" t="n">
        <x:v>45950</x:v>
      </x:c>
      <x:c r="F76" t="str">
        <x:v>PM</x:v>
      </x:c>
      <x:c r="G76" t="str">
        <x:v>A</x:v>
      </x:c>
      <x:c r="H76" t="n">
        <x:v>21</x:v>
      </x:c>
      <x:c r="I76" t="str">
        <x:v>ORD-2025-00019</x:v>
      </x:c>
      <x:c r="J76" t="n">
        <x:v>11</x:v>
      </x:c>
      <x:c r="K76" t="n">
        <x:v>3</x:v>
      </x:c>
      <x:c r="L76" t="str">
        <x:v>L21-S11-C3</x:v>
      </x:c>
      <x:c r="M76" t="n">
        <x:v>0</x:v>
      </x:c>
      <x:c r="N76" t="str">
        <x:v>DerivedFromCount</x:v>
      </x:c>
      <x:c r="O76" t="str">
        <x:v>PLC-PRD-JAR-330-L21</x:v>
      </x:c>
      <x:c r="P76" t="str">
        <x:v>OK</x:v>
      </x:c>
      <x:c r="Q76" t="str">
        <x:v>OK</x:v>
      </x:c>
      <x:c r="R76" t="str">
        <x:v>OK</x:v>
      </x:c>
      <x:c r="S76" t="str">
        <x:v>OK</x:v>
      </x:c>
      <x:c r="T76" t="n">
        <x:v>30</x:v>
      </x:c>
      <x:c r="U76" t="str">
        <x:v>OK</x:v>
      </x:c>
      <x:c r="V76" t="str">
        <x:v>OK</x:v>
      </x:c>
      <x:c r="W76" t="str">
        <x:v>LOAD</x:v>
      </x:c>
      <x:c r="X76" t="str">
        <x:v>02_Supervisor_Log(4).xlsx</x:v>
      </x:c>
      <x:c r="Y76" t="str">
        <x:v>ENH-20260830-01</x:v>
      </x:c>
      <x:c r="Z76" t="str">
        <x:v>Active</x:v>
      </x:c>
      <x:c r="AA76"/>
      <x:c r="AB76"/>
      <x:c r="AC76"/>
      <x:c r="AD76"/>
    </x:row>
    <x:row r="77">
      <x:c r="A77" t="str">
        <x:v>PCC-PE-KG01-L21-20251020-PM-ORD-2025-00019-S12-C1</x:v>
      </x:c>
      <x:c r="B77" t="str">
        <x:v>PC-PE-KG01-L21-20251020-PM-ORD-2025-00019-S12</x:v>
      </x:c>
      <x:c r="C77" t="str">
        <x:v>PE-KG01-L21-20251020-PM-ORD-2025-00019</x:v>
      </x:c>
      <x:c r="D77" t="str">
        <x:v>KG01</x:v>
      </x:c>
      <x:c r="E77" s="62" t="n">
        <x:v>45950</x:v>
      </x:c>
      <x:c r="F77" t="str">
        <x:v>PM</x:v>
      </x:c>
      <x:c r="G77" t="str">
        <x:v>A</x:v>
      </x:c>
      <x:c r="H77" t="n">
        <x:v>21</x:v>
      </x:c>
      <x:c r="I77" t="str">
        <x:v>ORD-2025-00019</x:v>
      </x:c>
      <x:c r="J77" t="n">
        <x:v>12</x:v>
      </x:c>
      <x:c r="K77" t="n">
        <x:v>1</x:v>
      </x:c>
      <x:c r="L77" t="str">
        <x:v>L21-S12-C1</x:v>
      </x:c>
      <x:c r="M77" t="n">
        <x:v>0</x:v>
      </x:c>
      <x:c r="N77" t="str">
        <x:v>DerivedFromCount</x:v>
      </x:c>
      <x:c r="O77" t="str">
        <x:v>PLC-PRD-JAR-330-L21</x:v>
      </x:c>
      <x:c r="P77" t="str">
        <x:v>OK</x:v>
      </x:c>
      <x:c r="Q77" t="str">
        <x:v>OK</x:v>
      </x:c>
      <x:c r="R77" t="str">
        <x:v>OK</x:v>
      </x:c>
      <x:c r="S77" t="str">
        <x:v>OK</x:v>
      </x:c>
      <x:c r="T77" t="n">
        <x:v>30</x:v>
      </x:c>
      <x:c r="U77" t="str">
        <x:v>OK</x:v>
      </x:c>
      <x:c r="V77" t="str">
        <x:v>OK</x:v>
      </x:c>
      <x:c r="W77" t="str">
        <x:v>LOAD</x:v>
      </x:c>
      <x:c r="X77" t="str">
        <x:v>02_Supervisor_Log(4).xlsx</x:v>
      </x:c>
      <x:c r="Y77" t="str">
        <x:v>ENH-20260830-01</x:v>
      </x:c>
      <x:c r="Z77" t="str">
        <x:v>Active</x:v>
      </x:c>
      <x:c r="AA77"/>
      <x:c r="AB77"/>
      <x:c r="AC77"/>
      <x:c r="AD77"/>
    </x:row>
    <x:row r="78">
      <x:c r="A78" t="str">
        <x:v>PCC-PE-KG01-L21-20251020-PM-ORD-2025-00019-S12-C2</x:v>
      </x:c>
      <x:c r="B78" t="str">
        <x:v>PC-PE-KG01-L21-20251020-PM-ORD-2025-00019-S12</x:v>
      </x:c>
      <x:c r="C78" t="str">
        <x:v>PE-KG01-L21-20251020-PM-ORD-2025-00019</x:v>
      </x:c>
      <x:c r="D78" t="str">
        <x:v>KG01</x:v>
      </x:c>
      <x:c r="E78" s="62" t="n">
        <x:v>45950</x:v>
      </x:c>
      <x:c r="F78" t="str">
        <x:v>PM</x:v>
      </x:c>
      <x:c r="G78" t="str">
        <x:v>A</x:v>
      </x:c>
      <x:c r="H78" t="n">
        <x:v>21</x:v>
      </x:c>
      <x:c r="I78" t="str">
        <x:v>ORD-2025-00019</x:v>
      </x:c>
      <x:c r="J78" t="n">
        <x:v>12</x:v>
      </x:c>
      <x:c r="K78" t="n">
        <x:v>2</x:v>
      </x:c>
      <x:c r="L78" t="str">
        <x:v>L21-S12-C2</x:v>
      </x:c>
      <x:c r="M78" t="n">
        <x:v>0</x:v>
      </x:c>
      <x:c r="N78" t="str">
        <x:v>DerivedFromCount</x:v>
      </x:c>
      <x:c r="O78" t="str">
        <x:v>PLC-PRD-JAR-330-L21</x:v>
      </x:c>
      <x:c r="P78" t="str">
        <x:v>OK</x:v>
      </x:c>
      <x:c r="Q78" t="str">
        <x:v>OK</x:v>
      </x:c>
      <x:c r="R78" t="str">
        <x:v>OK</x:v>
      </x:c>
      <x:c r="S78" t="str">
        <x:v>OK</x:v>
      </x:c>
      <x:c r="T78" t="n">
        <x:v>30</x:v>
      </x:c>
      <x:c r="U78" t="str">
        <x:v>OK</x:v>
      </x:c>
      <x:c r="V78" t="str">
        <x:v>OK</x:v>
      </x:c>
      <x:c r="W78" t="str">
        <x:v>LOAD</x:v>
      </x:c>
      <x:c r="X78" t="str">
        <x:v>02_Supervisor_Log(4).xlsx</x:v>
      </x:c>
      <x:c r="Y78" t="str">
        <x:v>ENH-20260830-01</x:v>
      </x:c>
      <x:c r="Z78" t="str">
        <x:v>Active</x:v>
      </x:c>
      <x:c r="AA78"/>
      <x:c r="AB78"/>
      <x:c r="AC78"/>
      <x:c r="AD78"/>
    </x:row>
    <x:row r="79">
      <x:c r="A79" t="str">
        <x:v>PCC-PE-KG01-L21-20251020-PM-ORD-2025-00019-S12-C3</x:v>
      </x:c>
      <x:c r="B79" t="str">
        <x:v>PC-PE-KG01-L21-20251020-PM-ORD-2025-00019-S12</x:v>
      </x:c>
      <x:c r="C79" t="str">
        <x:v>PE-KG01-L21-20251020-PM-ORD-2025-00019</x:v>
      </x:c>
      <x:c r="D79" t="str">
        <x:v>KG01</x:v>
      </x:c>
      <x:c r="E79" s="62" t="n">
        <x:v>45950</x:v>
      </x:c>
      <x:c r="F79" t="str">
        <x:v>PM</x:v>
      </x:c>
      <x:c r="G79" t="str">
        <x:v>A</x:v>
      </x:c>
      <x:c r="H79" t="n">
        <x:v>21</x:v>
      </x:c>
      <x:c r="I79" t="str">
        <x:v>ORD-2025-00019</x:v>
      </x:c>
      <x:c r="J79" t="n">
        <x:v>12</x:v>
      </x:c>
      <x:c r="K79" t="n">
        <x:v>3</x:v>
      </x:c>
      <x:c r="L79" t="str">
        <x:v>L21-S12-C3</x:v>
      </x:c>
      <x:c r="M79" t="n">
        <x:v>0</x:v>
      </x:c>
      <x:c r="N79" t="str">
        <x:v>DerivedFromCount</x:v>
      </x:c>
      <x:c r="O79" t="str">
        <x:v>PLC-PRD-JAR-330-L21</x:v>
      </x:c>
      <x:c r="P79" t="str">
        <x:v>OK</x:v>
      </x:c>
      <x:c r="Q79" t="str">
        <x:v>OK</x:v>
      </x:c>
      <x:c r="R79" t="str">
        <x:v>OK</x:v>
      </x:c>
      <x:c r="S79" t="str">
        <x:v>OK</x:v>
      </x:c>
      <x:c r="T79" t="n">
        <x:v>30</x:v>
      </x:c>
      <x:c r="U79" t="str">
        <x:v>OK</x:v>
      </x:c>
      <x:c r="V79" t="str">
        <x:v>OK</x:v>
      </x:c>
      <x:c r="W79" t="str">
        <x:v>LOAD</x:v>
      </x:c>
      <x:c r="X79" t="str">
        <x:v>02_Supervisor_Log(4).xlsx</x:v>
      </x:c>
      <x:c r="Y79" t="str">
        <x:v>ENH-20260830-01</x:v>
      </x:c>
      <x:c r="Z79" t="str">
        <x:v>Active</x:v>
      </x:c>
      <x:c r="AA79"/>
      <x:c r="AB79"/>
      <x:c r="AC79"/>
      <x:c r="AD79"/>
    </x:row>
    <x:row r="80">
      <x:c r="A80" t="str">
        <x:v>PCC-PE-KG01-L21-20251020-PM-ORD-2025-00019-S13-C1</x:v>
      </x:c>
      <x:c r="B80" t="str">
        <x:v>PC-PE-KG01-L21-20251020-PM-ORD-2025-00019-S13</x:v>
      </x:c>
      <x:c r="C80" t="str">
        <x:v>PE-KG01-L21-20251020-PM-ORD-2025-00019</x:v>
      </x:c>
      <x:c r="D80" t="str">
        <x:v>KG01</x:v>
      </x:c>
      <x:c r="E80" s="62" t="n">
        <x:v>45950</x:v>
      </x:c>
      <x:c r="F80" t="str">
        <x:v>PM</x:v>
      </x:c>
      <x:c r="G80" t="str">
        <x:v>A</x:v>
      </x:c>
      <x:c r="H80" t="n">
        <x:v>21</x:v>
      </x:c>
      <x:c r="I80" t="str">
        <x:v>ORD-2025-00019</x:v>
      </x:c>
      <x:c r="J80" t="n">
        <x:v>13</x:v>
      </x:c>
      <x:c r="K80" t="n">
        <x:v>1</x:v>
      </x:c>
      <x:c r="L80" t="str">
        <x:v>L21-S13-C1</x:v>
      </x:c>
      <x:c r="M80" t="n">
        <x:v>0</x:v>
      </x:c>
      <x:c r="N80" t="str">
        <x:v>DerivedFromCount</x:v>
      </x:c>
      <x:c r="O80" t="str">
        <x:v>PLC-PRD-JAR-330-L21</x:v>
      </x:c>
      <x:c r="P80" t="str">
        <x:v>OK</x:v>
      </x:c>
      <x:c r="Q80" t="str">
        <x:v>OK</x:v>
      </x:c>
      <x:c r="R80" t="str">
        <x:v>OK</x:v>
      </x:c>
      <x:c r="S80" t="str">
        <x:v>OK</x:v>
      </x:c>
      <x:c r="T80" t="n">
        <x:v>30</x:v>
      </x:c>
      <x:c r="U80" t="str">
        <x:v>OK</x:v>
      </x:c>
      <x:c r="V80" t="str">
        <x:v>OK</x:v>
      </x:c>
      <x:c r="W80" t="str">
        <x:v>LOAD</x:v>
      </x:c>
      <x:c r="X80" t="str">
        <x:v>02_Supervisor_Log(4).xlsx</x:v>
      </x:c>
      <x:c r="Y80" t="str">
        <x:v>ENH-20260830-01</x:v>
      </x:c>
      <x:c r="Z80" t="str">
        <x:v>Active</x:v>
      </x:c>
      <x:c r="AA80"/>
      <x:c r="AB80"/>
      <x:c r="AC80"/>
      <x:c r="AD80"/>
    </x:row>
    <x:row r="81">
      <x:c r="A81" t="str">
        <x:v>PCC-PE-KG01-L21-20251020-PM-ORD-2025-00019-S13-C2</x:v>
      </x:c>
      <x:c r="B81" t="str">
        <x:v>PC-PE-KG01-L21-20251020-PM-ORD-2025-00019-S13</x:v>
      </x:c>
      <x:c r="C81" t="str">
        <x:v>PE-KG01-L21-20251020-PM-ORD-2025-00019</x:v>
      </x:c>
      <x:c r="D81" t="str">
        <x:v>KG01</x:v>
      </x:c>
      <x:c r="E81" s="62" t="n">
        <x:v>45950</x:v>
      </x:c>
      <x:c r="F81" t="str">
        <x:v>PM</x:v>
      </x:c>
      <x:c r="G81" t="str">
        <x:v>A</x:v>
      </x:c>
      <x:c r="H81" t="n">
        <x:v>21</x:v>
      </x:c>
      <x:c r="I81" t="str">
        <x:v>ORD-2025-00019</x:v>
      </x:c>
      <x:c r="J81" t="n">
        <x:v>13</x:v>
      </x:c>
      <x:c r="K81" t="n">
        <x:v>2</x:v>
      </x:c>
      <x:c r="L81" t="str">
        <x:v>L21-S13-C2</x:v>
      </x:c>
      <x:c r="M81" t="n">
        <x:v>0</x:v>
      </x:c>
      <x:c r="N81" t="str">
        <x:v>DerivedFromCount</x:v>
      </x:c>
      <x:c r="O81" t="str">
        <x:v>PLC-PRD-JAR-330-L21</x:v>
      </x:c>
      <x:c r="P81" t="str">
        <x:v>OK</x:v>
      </x:c>
      <x:c r="Q81" t="str">
        <x:v>OK</x:v>
      </x:c>
      <x:c r="R81" t="str">
        <x:v>OK</x:v>
      </x:c>
      <x:c r="S81" t="str">
        <x:v>OK</x:v>
      </x:c>
      <x:c r="T81" t="n">
        <x:v>30</x:v>
      </x:c>
      <x:c r="U81" t="str">
        <x:v>OK</x:v>
      </x:c>
      <x:c r="V81" t="str">
        <x:v>OK</x:v>
      </x:c>
      <x:c r="W81" t="str">
        <x:v>LOAD</x:v>
      </x:c>
      <x:c r="X81" t="str">
        <x:v>02_Supervisor_Log(4).xlsx</x:v>
      </x:c>
      <x:c r="Y81" t="str">
        <x:v>ENH-20260830-01</x:v>
      </x:c>
      <x:c r="Z81" t="str">
        <x:v>Active</x:v>
      </x:c>
      <x:c r="AA81"/>
      <x:c r="AB81"/>
      <x:c r="AC81"/>
      <x:c r="AD81"/>
    </x:row>
    <x:row r="82">
      <x:c r="A82" t="str">
        <x:v>PCC-PE-KG01-L21-20251020-PM-ORD-2025-00019-S13-C3</x:v>
      </x:c>
      <x:c r="B82" t="str">
        <x:v>PC-PE-KG01-L21-20251020-PM-ORD-2025-00019-S13</x:v>
      </x:c>
      <x:c r="C82" t="str">
        <x:v>PE-KG01-L21-20251020-PM-ORD-2025-00019</x:v>
      </x:c>
      <x:c r="D82" t="str">
        <x:v>KG01</x:v>
      </x:c>
      <x:c r="E82" s="62" t="n">
        <x:v>45950</x:v>
      </x:c>
      <x:c r="F82" t="str">
        <x:v>PM</x:v>
      </x:c>
      <x:c r="G82" t="str">
        <x:v>A</x:v>
      </x:c>
      <x:c r="H82" t="n">
        <x:v>21</x:v>
      </x:c>
      <x:c r="I82" t="str">
        <x:v>ORD-2025-00019</x:v>
      </x:c>
      <x:c r="J82" t="n">
        <x:v>13</x:v>
      </x:c>
      <x:c r="K82" t="n">
        <x:v>3</x:v>
      </x:c>
      <x:c r="L82" t="str">
        <x:v>L21-S13-C3</x:v>
      </x:c>
      <x:c r="M82" t="n">
        <x:v>0</x:v>
      </x:c>
      <x:c r="N82" t="str">
        <x:v>DerivedFromCount</x:v>
      </x:c>
      <x:c r="O82" t="str">
        <x:v>PLC-PRD-JAR-330-L21</x:v>
      </x:c>
      <x:c r="P82" t="str">
        <x:v>OK</x:v>
      </x:c>
      <x:c r="Q82" t="str">
        <x:v>OK</x:v>
      </x:c>
      <x:c r="R82" t="str">
        <x:v>OK</x:v>
      </x:c>
      <x:c r="S82" t="str">
        <x:v>OK</x:v>
      </x:c>
      <x:c r="T82" t="n">
        <x:v>30</x:v>
      </x:c>
      <x:c r="U82" t="str">
        <x:v>OK</x:v>
      </x:c>
      <x:c r="V82" t="str">
        <x:v>OK</x:v>
      </x:c>
      <x:c r="W82" t="str">
        <x:v>LOAD</x:v>
      </x:c>
      <x:c r="X82" t="str">
        <x:v>02_Supervisor_Log(4).xlsx</x:v>
      </x:c>
      <x:c r="Y82" t="str">
        <x:v>ENH-20260830-01</x:v>
      </x:c>
      <x:c r="Z82" t="str">
        <x:v>Active</x:v>
      </x:c>
      <x:c r="AA82"/>
      <x:c r="AB82"/>
      <x:c r="AC82"/>
      <x:c r="AD82"/>
    </x:row>
    <x:row r="83">
      <x:c r="A83" t="str">
        <x:v>PCC-PE-KG01-L21-20251021-AM-ORD-2025-00020-S01-C1</x:v>
      </x:c>
      <x:c r="B83" t="str">
        <x:v>PC-PE-KG01-L21-20251021-AM-ORD-2025-00020-S01</x:v>
      </x:c>
      <x:c r="C83" t="str">
        <x:v>PE-KG01-L21-20251021-AM-ORD-2025-00020</x:v>
      </x:c>
      <x:c r="D83" t="str">
        <x:v>KG01</x:v>
      </x:c>
      <x:c r="E83" s="62" t="n">
        <x:v>45951</x:v>
      </x:c>
      <x:c r="F83" t="str">
        <x:v>AM</x:v>
      </x:c>
      <x:c r="G83" t="str">
        <x:v>A</x:v>
      </x:c>
      <x:c r="H83" t="n">
        <x:v>21</x:v>
      </x:c>
      <x:c r="I83" t="str">
        <x:v>ORD-2025-00020</x:v>
      </x:c>
      <x:c r="J83" t="n">
        <x:v>1</x:v>
      </x:c>
      <x:c r="K83" t="n">
        <x:v>1</x:v>
      </x:c>
      <x:c r="L83" t="str">
        <x:v>L21-S01-C1</x:v>
      </x:c>
      <x:c r="M83" t="n">
        <x:v>1</x:v>
      </x:c>
      <x:c r="N83" t="str">
        <x:v>DerivedFromCount</x:v>
      </x:c>
      <x:c r="O83" t="str">
        <x:v>PLC-PRD-JAR-720-L21</x:v>
      </x:c>
      <x:c r="P83" t="str">
        <x:v>OK</x:v>
      </x:c>
      <x:c r="Q83" t="str">
        <x:v>OK</x:v>
      </x:c>
      <x:c r="R83" t="str">
        <x:v>OK</x:v>
      </x:c>
      <x:c r="S83" t="str">
        <x:v>OK</x:v>
      </x:c>
      <x:c r="T83" t="n">
        <x:v>20</x:v>
      </x:c>
      <x:c r="U83" t="str">
        <x:v>OK</x:v>
      </x:c>
      <x:c r="V83" t="str">
        <x:v>OK</x:v>
      </x:c>
      <x:c r="W83" t="str">
        <x:v>LOAD</x:v>
      </x:c>
      <x:c r="X83" t="str">
        <x:v>02_Supervisor_Log(4).xlsx</x:v>
      </x:c>
      <x:c r="Y83" t="str">
        <x:v>ENH-20260830-01</x:v>
      </x:c>
      <x:c r="Z83" t="str">
        <x:v>Active</x:v>
      </x:c>
      <x:c r="AA83"/>
      <x:c r="AB83"/>
      <x:c r="AC83"/>
      <x:c r="AD83"/>
    </x:row>
    <x:row r="84">
      <x:c r="A84" t="str">
        <x:v>PCC-PE-KG01-L21-20251021-AM-ORD-2025-00020-S01-C2</x:v>
      </x:c>
      <x:c r="B84" t="str">
        <x:v>PC-PE-KG01-L21-20251021-AM-ORD-2025-00020-S01</x:v>
      </x:c>
      <x:c r="C84" t="str">
        <x:v>PE-KG01-L21-20251021-AM-ORD-2025-00020</x:v>
      </x:c>
      <x:c r="D84" t="str">
        <x:v>KG01</x:v>
      </x:c>
      <x:c r="E84" s="62" t="n">
        <x:v>45951</x:v>
      </x:c>
      <x:c r="F84" t="str">
        <x:v>AM</x:v>
      </x:c>
      <x:c r="G84" t="str">
        <x:v>A</x:v>
      </x:c>
      <x:c r="H84" t="n">
        <x:v>21</x:v>
      </x:c>
      <x:c r="I84" t="str">
        <x:v>ORD-2025-00020</x:v>
      </x:c>
      <x:c r="J84" t="n">
        <x:v>1</x:v>
      </x:c>
      <x:c r="K84" t="n">
        <x:v>2</x:v>
      </x:c>
      <x:c r="L84" t="str">
        <x:v>L21-S01-C2</x:v>
      </x:c>
      <x:c r="M84" t="n">
        <x:v>1</x:v>
      </x:c>
      <x:c r="N84" t="str">
        <x:v>DerivedFromCount</x:v>
      </x:c>
      <x:c r="O84" t="str">
        <x:v>PLC-PRD-JAR-720-L21</x:v>
      </x:c>
      <x:c r="P84" t="str">
        <x:v>OK</x:v>
      </x:c>
      <x:c r="Q84" t="str">
        <x:v>OK</x:v>
      </x:c>
      <x:c r="R84" t="str">
        <x:v>OK</x:v>
      </x:c>
      <x:c r="S84" t="str">
        <x:v>OK</x:v>
      </x:c>
      <x:c r="T84" t="n">
        <x:v>20</x:v>
      </x:c>
      <x:c r="U84" t="str">
        <x:v>OK</x:v>
      </x:c>
      <x:c r="V84" t="str">
        <x:v>OK</x:v>
      </x:c>
      <x:c r="W84" t="str">
        <x:v>LOAD</x:v>
      </x:c>
      <x:c r="X84" t="str">
        <x:v>02_Supervisor_Log(4).xlsx</x:v>
      </x:c>
      <x:c r="Y84" t="str">
        <x:v>ENH-20260830-01</x:v>
      </x:c>
      <x:c r="Z84" t="str">
        <x:v>Active</x:v>
      </x:c>
      <x:c r="AA84"/>
      <x:c r="AB84"/>
      <x:c r="AC84"/>
      <x:c r="AD84"/>
    </x:row>
    <x:row r="85">
      <x:c r="A85" t="str">
        <x:v>PCC-PE-KG01-L21-20251021-AM-ORD-2025-00020-S01-C3</x:v>
      </x:c>
      <x:c r="B85" t="str">
        <x:v>PC-PE-KG01-L21-20251021-AM-ORD-2025-00020-S01</x:v>
      </x:c>
      <x:c r="C85" t="str">
        <x:v>PE-KG01-L21-20251021-AM-ORD-2025-00020</x:v>
      </x:c>
      <x:c r="D85" t="str">
        <x:v>KG01</x:v>
      </x:c>
      <x:c r="E85" s="62" t="n">
        <x:v>45951</x:v>
      </x:c>
      <x:c r="F85" t="str">
        <x:v>AM</x:v>
      </x:c>
      <x:c r="G85" t="str">
        <x:v>A</x:v>
      </x:c>
      <x:c r="H85" t="n">
        <x:v>21</x:v>
      </x:c>
      <x:c r="I85" t="str">
        <x:v>ORD-2025-00020</x:v>
      </x:c>
      <x:c r="J85" t="n">
        <x:v>1</x:v>
      </x:c>
      <x:c r="K85" t="n">
        <x:v>3</x:v>
      </x:c>
      <x:c r="L85" t="str">
        <x:v>L21-S01-C3</x:v>
      </x:c>
      <x:c r="M85" t="n">
        <x:v>0</x:v>
      </x:c>
      <x:c r="N85" t="str">
        <x:v>DerivedFromCount</x:v>
      </x:c>
      <x:c r="O85" t="str">
        <x:v>PLC-PRD-JAR-720-L21</x:v>
      </x:c>
      <x:c r="P85" t="str">
        <x:v>OK</x:v>
      </x:c>
      <x:c r="Q85" t="str">
        <x:v>OK</x:v>
      </x:c>
      <x:c r="R85" t="str">
        <x:v>OK</x:v>
      </x:c>
      <x:c r="S85" t="str">
        <x:v>OK</x:v>
      </x:c>
      <x:c r="T85" t="n">
        <x:v>20</x:v>
      </x:c>
      <x:c r="U85" t="str">
        <x:v>OK</x:v>
      </x:c>
      <x:c r="V85" t="str">
        <x:v>OK</x:v>
      </x:c>
      <x:c r="W85" t="str">
        <x:v>LOAD</x:v>
      </x:c>
      <x:c r="X85" t="str">
        <x:v>02_Supervisor_Log(4).xlsx</x:v>
      </x:c>
      <x:c r="Y85" t="str">
        <x:v>ENH-20260830-01</x:v>
      </x:c>
      <x:c r="Z85" t="str">
        <x:v>Active</x:v>
      </x:c>
      <x:c r="AA85"/>
      <x:c r="AB85"/>
      <x:c r="AC85"/>
      <x:c r="AD85"/>
    </x:row>
    <x:row r="86">
      <x:c r="A86" t="str">
        <x:v>PCC-PE-KG01-L21-20251021-AM-ORD-2025-00020-S02-C1</x:v>
      </x:c>
      <x:c r="B86" t="str">
        <x:v>PC-PE-KG01-L21-20251021-AM-ORD-2025-00020-S02</x:v>
      </x:c>
      <x:c r="C86" t="str">
        <x:v>PE-KG01-L21-20251021-AM-ORD-2025-00020</x:v>
      </x:c>
      <x:c r="D86" t="str">
        <x:v>KG01</x:v>
      </x:c>
      <x:c r="E86" s="62" t="n">
        <x:v>45951</x:v>
      </x:c>
      <x:c r="F86" t="str">
        <x:v>AM</x:v>
      </x:c>
      <x:c r="G86" t="str">
        <x:v>A</x:v>
      </x:c>
      <x:c r="H86" t="n">
        <x:v>21</x:v>
      </x:c>
      <x:c r="I86" t="str">
        <x:v>ORD-2025-00020</x:v>
      </x:c>
      <x:c r="J86" t="n">
        <x:v>2</x:v>
      </x:c>
      <x:c r="K86" t="n">
        <x:v>1</x:v>
      </x:c>
      <x:c r="L86" t="str">
        <x:v>L21-S02-C1</x:v>
      </x:c>
      <x:c r="M86" t="n">
        <x:v>1</x:v>
      </x:c>
      <x:c r="N86" t="str">
        <x:v>DerivedFromCount</x:v>
      </x:c>
      <x:c r="O86" t="str">
        <x:v>PLC-PRD-JAR-720-L21</x:v>
      </x:c>
      <x:c r="P86" t="str">
        <x:v>OK</x:v>
      </x:c>
      <x:c r="Q86" t="str">
        <x:v>OK</x:v>
      </x:c>
      <x:c r="R86" t="str">
        <x:v>OK</x:v>
      </x:c>
      <x:c r="S86" t="str">
        <x:v>OK</x:v>
      </x:c>
      <x:c r="T86" t="n">
        <x:v>20</x:v>
      </x:c>
      <x:c r="U86" t="str">
        <x:v>OK</x:v>
      </x:c>
      <x:c r="V86" t="str">
        <x:v>OK</x:v>
      </x:c>
      <x:c r="W86" t="str">
        <x:v>LOAD</x:v>
      </x:c>
      <x:c r="X86" t="str">
        <x:v>02_Supervisor_Log(4).xlsx</x:v>
      </x:c>
      <x:c r="Y86" t="str">
        <x:v>ENH-20260830-01</x:v>
      </x:c>
      <x:c r="Z86" t="str">
        <x:v>Active</x:v>
      </x:c>
      <x:c r="AA86"/>
      <x:c r="AB86"/>
      <x:c r="AC86"/>
      <x:c r="AD86"/>
    </x:row>
    <x:row r="87">
      <x:c r="A87" t="str">
        <x:v>PCC-PE-KG01-L21-20251021-AM-ORD-2025-00020-S02-C2</x:v>
      </x:c>
      <x:c r="B87" t="str">
        <x:v>PC-PE-KG01-L21-20251021-AM-ORD-2025-00020-S02</x:v>
      </x:c>
      <x:c r="C87" t="str">
        <x:v>PE-KG01-L21-20251021-AM-ORD-2025-00020</x:v>
      </x:c>
      <x:c r="D87" t="str">
        <x:v>KG01</x:v>
      </x:c>
      <x:c r="E87" s="62" t="n">
        <x:v>45951</x:v>
      </x:c>
      <x:c r="F87" t="str">
        <x:v>AM</x:v>
      </x:c>
      <x:c r="G87" t="str">
        <x:v>A</x:v>
      </x:c>
      <x:c r="H87" t="n">
        <x:v>21</x:v>
      </x:c>
      <x:c r="I87" t="str">
        <x:v>ORD-2025-00020</x:v>
      </x:c>
      <x:c r="J87" t="n">
        <x:v>2</x:v>
      </x:c>
      <x:c r="K87" t="n">
        <x:v>2</x:v>
      </x:c>
      <x:c r="L87" t="str">
        <x:v>L21-S02-C2</x:v>
      </x:c>
      <x:c r="M87" t="n">
        <x:v>1</x:v>
      </x:c>
      <x:c r="N87" t="str">
        <x:v>DerivedFromCount</x:v>
      </x:c>
      <x:c r="O87" t="str">
        <x:v>PLC-PRD-JAR-720-L21</x:v>
      </x:c>
      <x:c r="P87" t="str">
        <x:v>OK</x:v>
      </x:c>
      <x:c r="Q87" t="str">
        <x:v>OK</x:v>
      </x:c>
      <x:c r="R87" t="str">
        <x:v>OK</x:v>
      </x:c>
      <x:c r="S87" t="str">
        <x:v>OK</x:v>
      </x:c>
      <x:c r="T87" t="n">
        <x:v>20</x:v>
      </x:c>
      <x:c r="U87" t="str">
        <x:v>OK</x:v>
      </x:c>
      <x:c r="V87" t="str">
        <x:v>OK</x:v>
      </x:c>
      <x:c r="W87" t="str">
        <x:v>LOAD</x:v>
      </x:c>
      <x:c r="X87" t="str">
        <x:v>02_Supervisor_Log(4).xlsx</x:v>
      </x:c>
      <x:c r="Y87" t="str">
        <x:v>ENH-20260830-01</x:v>
      </x:c>
      <x:c r="Z87" t="str">
        <x:v>Active</x:v>
      </x:c>
      <x:c r="AA87"/>
      <x:c r="AB87"/>
      <x:c r="AC87"/>
      <x:c r="AD87"/>
    </x:row>
    <x:row r="88">
      <x:c r="A88" t="str">
        <x:v>PCC-PE-KG01-L21-20251021-AM-ORD-2025-00020-S02-C3</x:v>
      </x:c>
      <x:c r="B88" t="str">
        <x:v>PC-PE-KG01-L21-20251021-AM-ORD-2025-00020-S02</x:v>
      </x:c>
      <x:c r="C88" t="str">
        <x:v>PE-KG01-L21-20251021-AM-ORD-2025-00020</x:v>
      </x:c>
      <x:c r="D88" t="str">
        <x:v>KG01</x:v>
      </x:c>
      <x:c r="E88" s="62" t="n">
        <x:v>45951</x:v>
      </x:c>
      <x:c r="F88" t="str">
        <x:v>AM</x:v>
      </x:c>
      <x:c r="G88" t="str">
        <x:v>A</x:v>
      </x:c>
      <x:c r="H88" t="n">
        <x:v>21</x:v>
      </x:c>
      <x:c r="I88" t="str">
        <x:v>ORD-2025-00020</x:v>
      </x:c>
      <x:c r="J88" t="n">
        <x:v>2</x:v>
      </x:c>
      <x:c r="K88" t="n">
        <x:v>3</x:v>
      </x:c>
      <x:c r="L88" t="str">
        <x:v>L21-S02-C3</x:v>
      </x:c>
      <x:c r="M88" t="n">
        <x:v>0</x:v>
      </x:c>
      <x:c r="N88" t="str">
        <x:v>DerivedFromCount</x:v>
      </x:c>
      <x:c r="O88" t="str">
        <x:v>PLC-PRD-JAR-720-L21</x:v>
      </x:c>
      <x:c r="P88" t="str">
        <x:v>OK</x:v>
      </x:c>
      <x:c r="Q88" t="str">
        <x:v>OK</x:v>
      </x:c>
      <x:c r="R88" t="str">
        <x:v>OK</x:v>
      </x:c>
      <x:c r="S88" t="str">
        <x:v>OK</x:v>
      </x:c>
      <x:c r="T88" t="n">
        <x:v>20</x:v>
      </x:c>
      <x:c r="U88" t="str">
        <x:v>OK</x:v>
      </x:c>
      <x:c r="V88" t="str">
        <x:v>OK</x:v>
      </x:c>
      <x:c r="W88" t="str">
        <x:v>LOAD</x:v>
      </x:c>
      <x:c r="X88" t="str">
        <x:v>02_Supervisor_Log(4).xlsx</x:v>
      </x:c>
      <x:c r="Y88" t="str">
        <x:v>ENH-20260830-01</x:v>
      </x:c>
      <x:c r="Z88" t="str">
        <x:v>Active</x:v>
      </x:c>
      <x:c r="AA88"/>
      <x:c r="AB88"/>
      <x:c r="AC88"/>
      <x:c r="AD88"/>
    </x:row>
    <x:row r="89">
      <x:c r="A89" t="str">
        <x:v>PCC-PE-KG01-L21-20251021-AM-ORD-2025-00020-S03-C1</x:v>
      </x:c>
      <x:c r="B89" t="str">
        <x:v>PC-PE-KG01-L21-20251021-AM-ORD-2025-00020-S03</x:v>
      </x:c>
      <x:c r="C89" t="str">
        <x:v>PE-KG01-L21-20251021-AM-ORD-2025-00020</x:v>
      </x:c>
      <x:c r="D89" t="str">
        <x:v>KG01</x:v>
      </x:c>
      <x:c r="E89" s="62" t="n">
        <x:v>45951</x:v>
      </x:c>
      <x:c r="F89" t="str">
        <x:v>AM</x:v>
      </x:c>
      <x:c r="G89" t="str">
        <x:v>A</x:v>
      </x:c>
      <x:c r="H89" t="n">
        <x:v>21</x:v>
      </x:c>
      <x:c r="I89" t="str">
        <x:v>ORD-2025-00020</x:v>
      </x:c>
      <x:c r="J89" t="n">
        <x:v>3</x:v>
      </x:c>
      <x:c r="K89" t="n">
        <x:v>1</x:v>
      </x:c>
      <x:c r="L89" t="str">
        <x:v>L21-S03-C1</x:v>
      </x:c>
      <x:c r="M89" t="n">
        <x:v>1</x:v>
      </x:c>
      <x:c r="N89" t="str">
        <x:v>DerivedFromCount</x:v>
      </x:c>
      <x:c r="O89" t="str">
        <x:v>PLC-PRD-JAR-720-L21</x:v>
      </x:c>
      <x:c r="P89" t="str">
        <x:v>OK</x:v>
      </x:c>
      <x:c r="Q89" t="str">
        <x:v>OK</x:v>
      </x:c>
      <x:c r="R89" t="str">
        <x:v>OK</x:v>
      </x:c>
      <x:c r="S89" t="str">
        <x:v>OK</x:v>
      </x:c>
      <x:c r="T89" t="n">
        <x:v>20</x:v>
      </x:c>
      <x:c r="U89" t="str">
        <x:v>OK</x:v>
      </x:c>
      <x:c r="V89" t="str">
        <x:v>OK</x:v>
      </x:c>
      <x:c r="W89" t="str">
        <x:v>LOAD</x:v>
      </x:c>
      <x:c r="X89" t="str">
        <x:v>02_Supervisor_Log(4).xlsx</x:v>
      </x:c>
      <x:c r="Y89" t="str">
        <x:v>ENH-20260830-01</x:v>
      </x:c>
      <x:c r="Z89" t="str">
        <x:v>Active</x:v>
      </x:c>
      <x:c r="AA89"/>
      <x:c r="AB89"/>
      <x:c r="AC89"/>
      <x:c r="AD89"/>
    </x:row>
    <x:row r="90">
      <x:c r="A90" t="str">
        <x:v>PCC-PE-KG01-L21-20251021-AM-ORD-2025-00020-S03-C2</x:v>
      </x:c>
      <x:c r="B90" t="str">
        <x:v>PC-PE-KG01-L21-20251021-AM-ORD-2025-00020-S03</x:v>
      </x:c>
      <x:c r="C90" t="str">
        <x:v>PE-KG01-L21-20251021-AM-ORD-2025-00020</x:v>
      </x:c>
      <x:c r="D90" t="str">
        <x:v>KG01</x:v>
      </x:c>
      <x:c r="E90" s="62" t="n">
        <x:v>45951</x:v>
      </x:c>
      <x:c r="F90" t="str">
        <x:v>AM</x:v>
      </x:c>
      <x:c r="G90" t="str">
        <x:v>A</x:v>
      </x:c>
      <x:c r="H90" t="n">
        <x:v>21</x:v>
      </x:c>
      <x:c r="I90" t="str">
        <x:v>ORD-2025-00020</x:v>
      </x:c>
      <x:c r="J90" t="n">
        <x:v>3</x:v>
      </x:c>
      <x:c r="K90" t="n">
        <x:v>2</x:v>
      </x:c>
      <x:c r="L90" t="str">
        <x:v>L21-S03-C2</x:v>
      </x:c>
      <x:c r="M90" t="n">
        <x:v>1</x:v>
      </x:c>
      <x:c r="N90" t="str">
        <x:v>DerivedFromCount</x:v>
      </x:c>
      <x:c r="O90" t="str">
        <x:v>PLC-PRD-JAR-720-L21</x:v>
      </x:c>
      <x:c r="P90" t="str">
        <x:v>OK</x:v>
      </x:c>
      <x:c r="Q90" t="str">
        <x:v>OK</x:v>
      </x:c>
      <x:c r="R90" t="str">
        <x:v>OK</x:v>
      </x:c>
      <x:c r="S90" t="str">
        <x:v>OK</x:v>
      </x:c>
      <x:c r="T90" t="n">
        <x:v>20</x:v>
      </x:c>
      <x:c r="U90" t="str">
        <x:v>OK</x:v>
      </x:c>
      <x:c r="V90" t="str">
        <x:v>OK</x:v>
      </x:c>
      <x:c r="W90" t="str">
        <x:v>LOAD</x:v>
      </x:c>
      <x:c r="X90" t="str">
        <x:v>02_Supervisor_Log(4).xlsx</x:v>
      </x:c>
      <x:c r="Y90" t="str">
        <x:v>ENH-20260830-01</x:v>
      </x:c>
      <x:c r="Z90" t="str">
        <x:v>Active</x:v>
      </x:c>
      <x:c r="AA90"/>
      <x:c r="AB90"/>
      <x:c r="AC90"/>
      <x:c r="AD90"/>
    </x:row>
    <x:row r="91">
      <x:c r="A91" t="str">
        <x:v>PCC-PE-KG01-L21-20251021-AM-ORD-2025-00020-S03-C3</x:v>
      </x:c>
      <x:c r="B91" t="str">
        <x:v>PC-PE-KG01-L21-20251021-AM-ORD-2025-00020-S03</x:v>
      </x:c>
      <x:c r="C91" t="str">
        <x:v>PE-KG01-L21-20251021-AM-ORD-2025-00020</x:v>
      </x:c>
      <x:c r="D91" t="str">
        <x:v>KG01</x:v>
      </x:c>
      <x:c r="E91" s="62" t="n">
        <x:v>45951</x:v>
      </x:c>
      <x:c r="F91" t="str">
        <x:v>AM</x:v>
      </x:c>
      <x:c r="G91" t="str">
        <x:v>A</x:v>
      </x:c>
      <x:c r="H91" t="n">
        <x:v>21</x:v>
      </x:c>
      <x:c r="I91" t="str">
        <x:v>ORD-2025-00020</x:v>
      </x:c>
      <x:c r="J91" t="n">
        <x:v>3</x:v>
      </x:c>
      <x:c r="K91" t="n">
        <x:v>3</x:v>
      </x:c>
      <x:c r="L91" t="str">
        <x:v>L21-S03-C3</x:v>
      </x:c>
      <x:c r="M91" t="n">
        <x:v>0</x:v>
      </x:c>
      <x:c r="N91" t="str">
        <x:v>DerivedFromCount</x:v>
      </x:c>
      <x:c r="O91" t="str">
        <x:v>PLC-PRD-JAR-720-L21</x:v>
      </x:c>
      <x:c r="P91" t="str">
        <x:v>OK</x:v>
      </x:c>
      <x:c r="Q91" t="str">
        <x:v>OK</x:v>
      </x:c>
      <x:c r="R91" t="str">
        <x:v>OK</x:v>
      </x:c>
      <x:c r="S91" t="str">
        <x:v>OK</x:v>
      </x:c>
      <x:c r="T91" t="n">
        <x:v>20</x:v>
      </x:c>
      <x:c r="U91" t="str">
        <x:v>OK</x:v>
      </x:c>
      <x:c r="V91" t="str">
        <x:v>OK</x:v>
      </x:c>
      <x:c r="W91" t="str">
        <x:v>LOAD</x:v>
      </x:c>
      <x:c r="X91" t="str">
        <x:v>02_Supervisor_Log(4).xlsx</x:v>
      </x:c>
      <x:c r="Y91" t="str">
        <x:v>ENH-20260830-01</x:v>
      </x:c>
      <x:c r="Z91" t="str">
        <x:v>Active</x:v>
      </x:c>
      <x:c r="AA91"/>
      <x:c r="AB91"/>
      <x:c r="AC91"/>
      <x:c r="AD91"/>
    </x:row>
    <x:row r="92">
      <x:c r="A92" t="str">
        <x:v>PCC-PE-KG01-L21-20251021-AM-ORD-2025-00020-S04-C1</x:v>
      </x:c>
      <x:c r="B92" t="str">
        <x:v>PC-PE-KG01-L21-20251021-AM-ORD-2025-00020-S04</x:v>
      </x:c>
      <x:c r="C92" t="str">
        <x:v>PE-KG01-L21-20251021-AM-ORD-2025-00020</x:v>
      </x:c>
      <x:c r="D92" t="str">
        <x:v>KG01</x:v>
      </x:c>
      <x:c r="E92" s="62" t="n">
        <x:v>45951</x:v>
      </x:c>
      <x:c r="F92" t="str">
        <x:v>AM</x:v>
      </x:c>
      <x:c r="G92" t="str">
        <x:v>A</x:v>
      </x:c>
      <x:c r="H92" t="n">
        <x:v>21</x:v>
      </x:c>
      <x:c r="I92" t="str">
        <x:v>ORD-2025-00020</x:v>
      </x:c>
      <x:c r="J92" t="n">
        <x:v>4</x:v>
      </x:c>
      <x:c r="K92" t="n">
        <x:v>1</x:v>
      </x:c>
      <x:c r="L92" t="str">
        <x:v>L21-S04-C1</x:v>
      </x:c>
      <x:c r="M92" t="n">
        <x:v>1</x:v>
      </x:c>
      <x:c r="N92" t="str">
        <x:v>DerivedFromCount</x:v>
      </x:c>
      <x:c r="O92" t="str">
        <x:v>PLC-PRD-JAR-720-L21</x:v>
      </x:c>
      <x:c r="P92" t="str">
        <x:v>OK</x:v>
      </x:c>
      <x:c r="Q92" t="str">
        <x:v>OK</x:v>
      </x:c>
      <x:c r="R92" t="str">
        <x:v>OK</x:v>
      </x:c>
      <x:c r="S92" t="str">
        <x:v>OK</x:v>
      </x:c>
      <x:c r="T92" t="n">
        <x:v>20</x:v>
      </x:c>
      <x:c r="U92" t="str">
        <x:v>OK</x:v>
      </x:c>
      <x:c r="V92" t="str">
        <x:v>OK</x:v>
      </x:c>
      <x:c r="W92" t="str">
        <x:v>LOAD</x:v>
      </x:c>
      <x:c r="X92" t="str">
        <x:v>02_Supervisor_Log(4).xlsx</x:v>
      </x:c>
      <x:c r="Y92" t="str">
        <x:v>ENH-20260830-01</x:v>
      </x:c>
      <x:c r="Z92" t="str">
        <x:v>Active</x:v>
      </x:c>
      <x:c r="AA92"/>
      <x:c r="AB92"/>
      <x:c r="AC92"/>
      <x:c r="AD92"/>
    </x:row>
    <x:row r="93">
      <x:c r="A93" t="str">
        <x:v>PCC-PE-KG01-L21-20251021-AM-ORD-2025-00020-S04-C2</x:v>
      </x:c>
      <x:c r="B93" t="str">
        <x:v>PC-PE-KG01-L21-20251021-AM-ORD-2025-00020-S04</x:v>
      </x:c>
      <x:c r="C93" t="str">
        <x:v>PE-KG01-L21-20251021-AM-ORD-2025-00020</x:v>
      </x:c>
      <x:c r="D93" t="str">
        <x:v>KG01</x:v>
      </x:c>
      <x:c r="E93" s="62" t="n">
        <x:v>45951</x:v>
      </x:c>
      <x:c r="F93" t="str">
        <x:v>AM</x:v>
      </x:c>
      <x:c r="G93" t="str">
        <x:v>A</x:v>
      </x:c>
      <x:c r="H93" t="n">
        <x:v>21</x:v>
      </x:c>
      <x:c r="I93" t="str">
        <x:v>ORD-2025-00020</x:v>
      </x:c>
      <x:c r="J93" t="n">
        <x:v>4</x:v>
      </x:c>
      <x:c r="K93" t="n">
        <x:v>2</x:v>
      </x:c>
      <x:c r="L93" t="str">
        <x:v>L21-S04-C2</x:v>
      </x:c>
      <x:c r="M93" t="n">
        <x:v>1</x:v>
      </x:c>
      <x:c r="N93" t="str">
        <x:v>DerivedFromCount</x:v>
      </x:c>
      <x:c r="O93" t="str">
        <x:v>PLC-PRD-JAR-720-L21</x:v>
      </x:c>
      <x:c r="P93" t="str">
        <x:v>OK</x:v>
      </x:c>
      <x:c r="Q93" t="str">
        <x:v>OK</x:v>
      </x:c>
      <x:c r="R93" t="str">
        <x:v>OK</x:v>
      </x:c>
      <x:c r="S93" t="str">
        <x:v>OK</x:v>
      </x:c>
      <x:c r="T93" t="n">
        <x:v>20</x:v>
      </x:c>
      <x:c r="U93" t="str">
        <x:v>OK</x:v>
      </x:c>
      <x:c r="V93" t="str">
        <x:v>OK</x:v>
      </x:c>
      <x:c r="W93" t="str">
        <x:v>LOAD</x:v>
      </x:c>
      <x:c r="X93" t="str">
        <x:v>02_Supervisor_Log(4).xlsx</x:v>
      </x:c>
      <x:c r="Y93" t="str">
        <x:v>ENH-20260830-01</x:v>
      </x:c>
      <x:c r="Z93" t="str">
        <x:v>Active</x:v>
      </x:c>
      <x:c r="AA93"/>
      <x:c r="AB93"/>
      <x:c r="AC93"/>
      <x:c r="AD93"/>
    </x:row>
    <x:row r="94">
      <x:c r="A94" t="str">
        <x:v>PCC-PE-KG01-L21-20251021-AM-ORD-2025-00020-S04-C3</x:v>
      </x:c>
      <x:c r="B94" t="str">
        <x:v>PC-PE-KG01-L21-20251021-AM-ORD-2025-00020-S04</x:v>
      </x:c>
      <x:c r="C94" t="str">
        <x:v>PE-KG01-L21-20251021-AM-ORD-2025-00020</x:v>
      </x:c>
      <x:c r="D94" t="str">
        <x:v>KG01</x:v>
      </x:c>
      <x:c r="E94" s="62" t="n">
        <x:v>45951</x:v>
      </x:c>
      <x:c r="F94" t="str">
        <x:v>AM</x:v>
      </x:c>
      <x:c r="G94" t="str">
        <x:v>A</x:v>
      </x:c>
      <x:c r="H94" t="n">
        <x:v>21</x:v>
      </x:c>
      <x:c r="I94" t="str">
        <x:v>ORD-2025-00020</x:v>
      </x:c>
      <x:c r="J94" t="n">
        <x:v>4</x:v>
      </x:c>
      <x:c r="K94" t="n">
        <x:v>3</x:v>
      </x:c>
      <x:c r="L94" t="str">
        <x:v>L21-S04-C3</x:v>
      </x:c>
      <x:c r="M94" t="n">
        <x:v>0</x:v>
      </x:c>
      <x:c r="N94" t="str">
        <x:v>DerivedFromCount</x:v>
      </x:c>
      <x:c r="O94" t="str">
        <x:v>PLC-PRD-JAR-720-L21</x:v>
      </x:c>
      <x:c r="P94" t="str">
        <x:v>OK</x:v>
      </x:c>
      <x:c r="Q94" t="str">
        <x:v>OK</x:v>
      </x:c>
      <x:c r="R94" t="str">
        <x:v>OK</x:v>
      </x:c>
      <x:c r="S94" t="str">
        <x:v>OK</x:v>
      </x:c>
      <x:c r="T94" t="n">
        <x:v>20</x:v>
      </x:c>
      <x:c r="U94" t="str">
        <x:v>OK</x:v>
      </x:c>
      <x:c r="V94" t="str">
        <x:v>OK</x:v>
      </x:c>
      <x:c r="W94" t="str">
        <x:v>LOAD</x:v>
      </x:c>
      <x:c r="X94" t="str">
        <x:v>02_Supervisor_Log(4).xlsx</x:v>
      </x:c>
      <x:c r="Y94" t="str">
        <x:v>ENH-20260830-01</x:v>
      </x:c>
      <x:c r="Z94" t="str">
        <x:v>Active</x:v>
      </x:c>
      <x:c r="AA94"/>
      <x:c r="AB94"/>
      <x:c r="AC94"/>
      <x:c r="AD94"/>
    </x:row>
    <x:row r="95">
      <x:c r="A95" t="str">
        <x:v>PCC-PE-KG01-L21-20251021-AM-ORD-2025-00020-S05-C1</x:v>
      </x:c>
      <x:c r="B95" t="str">
        <x:v>PC-PE-KG01-L21-20251021-AM-ORD-2025-00020-S05</x:v>
      </x:c>
      <x:c r="C95" t="str">
        <x:v>PE-KG01-L21-20251021-AM-ORD-2025-00020</x:v>
      </x:c>
      <x:c r="D95" t="str">
        <x:v>KG01</x:v>
      </x:c>
      <x:c r="E95" s="62" t="n">
        <x:v>45951</x:v>
      </x:c>
      <x:c r="F95" t="str">
        <x:v>AM</x:v>
      </x:c>
      <x:c r="G95" t="str">
        <x:v>A</x:v>
      </x:c>
      <x:c r="H95" t="n">
        <x:v>21</x:v>
      </x:c>
      <x:c r="I95" t="str">
        <x:v>ORD-2025-00020</x:v>
      </x:c>
      <x:c r="J95" t="n">
        <x:v>5</x:v>
      </x:c>
      <x:c r="K95" t="n">
        <x:v>1</x:v>
      </x:c>
      <x:c r="L95" t="str">
        <x:v>L21-S05-C1</x:v>
      </x:c>
      <x:c r="M95" t="n">
        <x:v>1</x:v>
      </x:c>
      <x:c r="N95" t="str">
        <x:v>DerivedFromCount</x:v>
      </x:c>
      <x:c r="O95" t="str">
        <x:v>PLC-PRD-JAR-720-L21</x:v>
      </x:c>
      <x:c r="P95" t="str">
        <x:v>OK</x:v>
      </x:c>
      <x:c r="Q95" t="str">
        <x:v>OK</x:v>
      </x:c>
      <x:c r="R95" t="str">
        <x:v>OK</x:v>
      </x:c>
      <x:c r="S95" t="str">
        <x:v>OK</x:v>
      </x:c>
      <x:c r="T95" t="n">
        <x:v>20</x:v>
      </x:c>
      <x:c r="U95" t="str">
        <x:v>OK</x:v>
      </x:c>
      <x:c r="V95" t="str">
        <x:v>OK</x:v>
      </x:c>
      <x:c r="W95" t="str">
        <x:v>LOAD</x:v>
      </x:c>
      <x:c r="X95" t="str">
        <x:v>02_Supervisor_Log(4).xlsx</x:v>
      </x:c>
      <x:c r="Y95" t="str">
        <x:v>ENH-20260830-01</x:v>
      </x:c>
      <x:c r="Z95" t="str">
        <x:v>Active</x:v>
      </x:c>
      <x:c r="AA95"/>
      <x:c r="AB95"/>
      <x:c r="AC95"/>
      <x:c r="AD95"/>
    </x:row>
    <x:row r="96">
      <x:c r="A96" t="str">
        <x:v>PCC-PE-KG01-L21-20251021-AM-ORD-2025-00020-S05-C2</x:v>
      </x:c>
      <x:c r="B96" t="str">
        <x:v>PC-PE-KG01-L21-20251021-AM-ORD-2025-00020-S05</x:v>
      </x:c>
      <x:c r="C96" t="str">
        <x:v>PE-KG01-L21-20251021-AM-ORD-2025-00020</x:v>
      </x:c>
      <x:c r="D96" t="str">
        <x:v>KG01</x:v>
      </x:c>
      <x:c r="E96" s="62" t="n">
        <x:v>45951</x:v>
      </x:c>
      <x:c r="F96" t="str">
        <x:v>AM</x:v>
      </x:c>
      <x:c r="G96" t="str">
        <x:v>A</x:v>
      </x:c>
      <x:c r="H96" t="n">
        <x:v>21</x:v>
      </x:c>
      <x:c r="I96" t="str">
        <x:v>ORD-2025-00020</x:v>
      </x:c>
      <x:c r="J96" t="n">
        <x:v>5</x:v>
      </x:c>
      <x:c r="K96" t="n">
        <x:v>2</x:v>
      </x:c>
      <x:c r="L96" t="str">
        <x:v>L21-S05-C2</x:v>
      </x:c>
      <x:c r="M96" t="n">
        <x:v>1</x:v>
      </x:c>
      <x:c r="N96" t="str">
        <x:v>DerivedFromCount</x:v>
      </x:c>
      <x:c r="O96" t="str">
        <x:v>PLC-PRD-JAR-720-L21</x:v>
      </x:c>
      <x:c r="P96" t="str">
        <x:v>OK</x:v>
      </x:c>
      <x:c r="Q96" t="str">
        <x:v>OK</x:v>
      </x:c>
      <x:c r="R96" t="str">
        <x:v>OK</x:v>
      </x:c>
      <x:c r="S96" t="str">
        <x:v>OK</x:v>
      </x:c>
      <x:c r="T96" t="n">
        <x:v>20</x:v>
      </x:c>
      <x:c r="U96" t="str">
        <x:v>OK</x:v>
      </x:c>
      <x:c r="V96" t="str">
        <x:v>OK</x:v>
      </x:c>
      <x:c r="W96" t="str">
        <x:v>LOAD</x:v>
      </x:c>
      <x:c r="X96" t="str">
        <x:v>02_Supervisor_Log(4).xlsx</x:v>
      </x:c>
      <x:c r="Y96" t="str">
        <x:v>ENH-20260830-01</x:v>
      </x:c>
      <x:c r="Z96" t="str">
        <x:v>Active</x:v>
      </x:c>
      <x:c r="AA96"/>
      <x:c r="AB96"/>
      <x:c r="AC96"/>
      <x:c r="AD96"/>
    </x:row>
    <x:row r="97">
      <x:c r="A97" t="str">
        <x:v>PCC-PE-KG01-L21-20251021-AM-ORD-2025-00020-S05-C3</x:v>
      </x:c>
      <x:c r="B97" t="str">
        <x:v>PC-PE-KG01-L21-20251021-AM-ORD-2025-00020-S05</x:v>
      </x:c>
      <x:c r="C97" t="str">
        <x:v>PE-KG01-L21-20251021-AM-ORD-2025-00020</x:v>
      </x:c>
      <x:c r="D97" t="str">
        <x:v>KG01</x:v>
      </x:c>
      <x:c r="E97" s="62" t="n">
        <x:v>45951</x:v>
      </x:c>
      <x:c r="F97" t="str">
        <x:v>AM</x:v>
      </x:c>
      <x:c r="G97" t="str">
        <x:v>A</x:v>
      </x:c>
      <x:c r="H97" t="n">
        <x:v>21</x:v>
      </x:c>
      <x:c r="I97" t="str">
        <x:v>ORD-2025-00020</x:v>
      </x:c>
      <x:c r="J97" t="n">
        <x:v>5</x:v>
      </x:c>
      <x:c r="K97" t="n">
        <x:v>3</x:v>
      </x:c>
      <x:c r="L97" t="str">
        <x:v>L21-S05-C3</x:v>
      </x:c>
      <x:c r="M97" t="n">
        <x:v>0</x:v>
      </x:c>
      <x:c r="N97" t="str">
        <x:v>DerivedFromCount</x:v>
      </x:c>
      <x:c r="O97" t="str">
        <x:v>PLC-PRD-JAR-720-L21</x:v>
      </x:c>
      <x:c r="P97" t="str">
        <x:v>OK</x:v>
      </x:c>
      <x:c r="Q97" t="str">
        <x:v>OK</x:v>
      </x:c>
      <x:c r="R97" t="str">
        <x:v>OK</x:v>
      </x:c>
      <x:c r="S97" t="str">
        <x:v>OK</x:v>
      </x:c>
      <x:c r="T97" t="n">
        <x:v>20</x:v>
      </x:c>
      <x:c r="U97" t="str">
        <x:v>OK</x:v>
      </x:c>
      <x:c r="V97" t="str">
        <x:v>OK</x:v>
      </x:c>
      <x:c r="W97" t="str">
        <x:v>LOAD</x:v>
      </x:c>
      <x:c r="X97" t="str">
        <x:v>02_Supervisor_Log(4).xlsx</x:v>
      </x:c>
      <x:c r="Y97" t="str">
        <x:v>ENH-20260830-01</x:v>
      </x:c>
      <x:c r="Z97" t="str">
        <x:v>Active</x:v>
      </x:c>
      <x:c r="AA97"/>
      <x:c r="AB97"/>
      <x:c r="AC97"/>
      <x:c r="AD97"/>
    </x:row>
    <x:row r="98">
      <x:c r="A98" t="str">
        <x:v>PCC-PE-KG01-L21-20251021-AM-ORD-2025-00020-S06-C1</x:v>
      </x:c>
      <x:c r="B98" t="str">
        <x:v>PC-PE-KG01-L21-20251021-AM-ORD-2025-00020-S06</x:v>
      </x:c>
      <x:c r="C98" t="str">
        <x:v>PE-KG01-L21-20251021-AM-ORD-2025-00020</x:v>
      </x:c>
      <x:c r="D98" t="str">
        <x:v>KG01</x:v>
      </x:c>
      <x:c r="E98" s="62" t="n">
        <x:v>45951</x:v>
      </x:c>
      <x:c r="F98" t="str">
        <x:v>AM</x:v>
      </x:c>
      <x:c r="G98" t="str">
        <x:v>A</x:v>
      </x:c>
      <x:c r="H98" t="n">
        <x:v>21</x:v>
      </x:c>
      <x:c r="I98" t="str">
        <x:v>ORD-2025-00020</x:v>
      </x:c>
      <x:c r="J98" t="n">
        <x:v>6</x:v>
      </x:c>
      <x:c r="K98" t="n">
        <x:v>1</x:v>
      </x:c>
      <x:c r="L98" t="str">
        <x:v>L21-S06-C1</x:v>
      </x:c>
      <x:c r="M98" t="n">
        <x:v>1</x:v>
      </x:c>
      <x:c r="N98" t="str">
        <x:v>DerivedFromCount</x:v>
      </x:c>
      <x:c r="O98" t="str">
        <x:v>PLC-PRD-JAR-720-L21</x:v>
      </x:c>
      <x:c r="P98" t="str">
        <x:v>OK</x:v>
      </x:c>
      <x:c r="Q98" t="str">
        <x:v>OK</x:v>
      </x:c>
      <x:c r="R98" t="str">
        <x:v>OK</x:v>
      </x:c>
      <x:c r="S98" t="str">
        <x:v>OK</x:v>
      </x:c>
      <x:c r="T98" t="n">
        <x:v>20</x:v>
      </x:c>
      <x:c r="U98" t="str">
        <x:v>OK</x:v>
      </x:c>
      <x:c r="V98" t="str">
        <x:v>OK</x:v>
      </x:c>
      <x:c r="W98" t="str">
        <x:v>LOAD</x:v>
      </x:c>
      <x:c r="X98" t="str">
        <x:v>02_Supervisor_Log(4).xlsx</x:v>
      </x:c>
      <x:c r="Y98" t="str">
        <x:v>ENH-20260830-01</x:v>
      </x:c>
      <x:c r="Z98" t="str">
        <x:v>Active</x:v>
      </x:c>
      <x:c r="AA98"/>
      <x:c r="AB98"/>
      <x:c r="AC98"/>
      <x:c r="AD98"/>
    </x:row>
    <x:row r="99">
      <x:c r="A99" t="str">
        <x:v>PCC-PE-KG01-L21-20251021-AM-ORD-2025-00020-S06-C2</x:v>
      </x:c>
      <x:c r="B99" t="str">
        <x:v>PC-PE-KG01-L21-20251021-AM-ORD-2025-00020-S06</x:v>
      </x:c>
      <x:c r="C99" t="str">
        <x:v>PE-KG01-L21-20251021-AM-ORD-2025-00020</x:v>
      </x:c>
      <x:c r="D99" t="str">
        <x:v>KG01</x:v>
      </x:c>
      <x:c r="E99" s="62" t="n">
        <x:v>45951</x:v>
      </x:c>
      <x:c r="F99" t="str">
        <x:v>AM</x:v>
      </x:c>
      <x:c r="G99" t="str">
        <x:v>A</x:v>
      </x:c>
      <x:c r="H99" t="n">
        <x:v>21</x:v>
      </x:c>
      <x:c r="I99" t="str">
        <x:v>ORD-2025-00020</x:v>
      </x:c>
      <x:c r="J99" t="n">
        <x:v>6</x:v>
      </x:c>
      <x:c r="K99" t="n">
        <x:v>2</x:v>
      </x:c>
      <x:c r="L99" t="str">
        <x:v>L21-S06-C2</x:v>
      </x:c>
      <x:c r="M99" t="n">
        <x:v>1</x:v>
      </x:c>
      <x:c r="N99" t="str">
        <x:v>DerivedFromCount</x:v>
      </x:c>
      <x:c r="O99" t="str">
        <x:v>PLC-PRD-JAR-720-L21</x:v>
      </x:c>
      <x:c r="P99" t="str">
        <x:v>OK</x:v>
      </x:c>
      <x:c r="Q99" t="str">
        <x:v>OK</x:v>
      </x:c>
      <x:c r="R99" t="str">
        <x:v>OK</x:v>
      </x:c>
      <x:c r="S99" t="str">
        <x:v>OK</x:v>
      </x:c>
      <x:c r="T99" t="n">
        <x:v>20</x:v>
      </x:c>
      <x:c r="U99" t="str">
        <x:v>OK</x:v>
      </x:c>
      <x:c r="V99" t="str">
        <x:v>OK</x:v>
      </x:c>
      <x:c r="W99" t="str">
        <x:v>LOAD</x:v>
      </x:c>
      <x:c r="X99" t="str">
        <x:v>02_Supervisor_Log(4).xlsx</x:v>
      </x:c>
      <x:c r="Y99" t="str">
        <x:v>ENH-20260830-01</x:v>
      </x:c>
      <x:c r="Z99" t="str">
        <x:v>Active</x:v>
      </x:c>
      <x:c r="AA99"/>
      <x:c r="AB99"/>
      <x:c r="AC99"/>
      <x:c r="AD99"/>
    </x:row>
    <x:row r="100">
      <x:c r="A100" t="str">
        <x:v>PCC-PE-KG01-L21-20251021-AM-ORD-2025-00020-S06-C3</x:v>
      </x:c>
      <x:c r="B100" t="str">
        <x:v>PC-PE-KG01-L21-20251021-AM-ORD-2025-00020-S06</x:v>
      </x:c>
      <x:c r="C100" t="str">
        <x:v>PE-KG01-L21-20251021-AM-ORD-2025-00020</x:v>
      </x:c>
      <x:c r="D100" t="str">
        <x:v>KG01</x:v>
      </x:c>
      <x:c r="E100" s="62" t="n">
        <x:v>45951</x:v>
      </x:c>
      <x:c r="F100" t="str">
        <x:v>AM</x:v>
      </x:c>
      <x:c r="G100" t="str">
        <x:v>A</x:v>
      </x:c>
      <x:c r="H100" t="n">
        <x:v>21</x:v>
      </x:c>
      <x:c r="I100" t="str">
        <x:v>ORD-2025-00020</x:v>
      </x:c>
      <x:c r="J100" t="n">
        <x:v>6</x:v>
      </x:c>
      <x:c r="K100" t="n">
        <x:v>3</x:v>
      </x:c>
      <x:c r="L100" t="str">
        <x:v>L21-S06-C3</x:v>
      </x:c>
      <x:c r="M100" t="n">
        <x:v>0</x:v>
      </x:c>
      <x:c r="N100" t="str">
        <x:v>DerivedFromCount</x:v>
      </x:c>
      <x:c r="O100" t="str">
        <x:v>PLC-PRD-JAR-720-L21</x:v>
      </x:c>
      <x:c r="P100" t="str">
        <x:v>OK</x:v>
      </x:c>
      <x:c r="Q100" t="str">
        <x:v>OK</x:v>
      </x:c>
      <x:c r="R100" t="str">
        <x:v>OK</x:v>
      </x:c>
      <x:c r="S100" t="str">
        <x:v>OK</x:v>
      </x:c>
      <x:c r="T100" t="n">
        <x:v>20</x:v>
      </x:c>
      <x:c r="U100" t="str">
        <x:v>OK</x:v>
      </x:c>
      <x:c r="V100" t="str">
        <x:v>OK</x:v>
      </x:c>
      <x:c r="W100" t="str">
        <x:v>LOAD</x:v>
      </x:c>
      <x:c r="X100" t="str">
        <x:v>02_Supervisor_Log(4).xlsx</x:v>
      </x:c>
      <x:c r="Y100" t="str">
        <x:v>ENH-20260830-01</x:v>
      </x:c>
      <x:c r="Z100" t="str">
        <x:v>Active</x:v>
      </x:c>
      <x:c r="AA100"/>
      <x:c r="AB100"/>
      <x:c r="AC100"/>
      <x:c r="AD100"/>
    </x:row>
    <x:row r="101">
      <x:c r="A101" t="str">
        <x:v>PCC-PE-KG01-L21-20251021-AM-ORD-2025-00020-S07-C1</x:v>
      </x:c>
      <x:c r="B101" t="str">
        <x:v>PC-PE-KG01-L21-20251021-AM-ORD-2025-00020-S07</x:v>
      </x:c>
      <x:c r="C101" t="str">
        <x:v>PE-KG01-L21-20251021-AM-ORD-2025-00020</x:v>
      </x:c>
      <x:c r="D101" t="str">
        <x:v>KG01</x:v>
      </x:c>
      <x:c r="E101" s="62" t="n">
        <x:v>45951</x:v>
      </x:c>
      <x:c r="F101" t="str">
        <x:v>AM</x:v>
      </x:c>
      <x:c r="G101" t="str">
        <x:v>A</x:v>
      </x:c>
      <x:c r="H101" t="n">
        <x:v>21</x:v>
      </x:c>
      <x:c r="I101" t="str">
        <x:v>ORD-2025-00020</x:v>
      </x:c>
      <x:c r="J101" t="n">
        <x:v>7</x:v>
      </x:c>
      <x:c r="K101" t="n">
        <x:v>1</x:v>
      </x:c>
      <x:c r="L101" t="str">
        <x:v>L21-S07-C1</x:v>
      </x:c>
      <x:c r="M101" t="n">
        <x:v>1</x:v>
      </x:c>
      <x:c r="N101" t="str">
        <x:v>DerivedFromCount</x:v>
      </x:c>
      <x:c r="O101" t="str">
        <x:v>PLC-PRD-JAR-720-L21</x:v>
      </x:c>
      <x:c r="P101" t="str">
        <x:v>OK</x:v>
      </x:c>
      <x:c r="Q101" t="str">
        <x:v>OK</x:v>
      </x:c>
      <x:c r="R101" t="str">
        <x:v>OK</x:v>
      </x:c>
      <x:c r="S101" t="str">
        <x:v>OK</x:v>
      </x:c>
      <x:c r="T101" t="n">
        <x:v>20</x:v>
      </x:c>
      <x:c r="U101" t="str">
        <x:v>OK</x:v>
      </x:c>
      <x:c r="V101" t="str">
        <x:v>OK</x:v>
      </x:c>
      <x:c r="W101" t="str">
        <x:v>LOAD</x:v>
      </x:c>
      <x:c r="X101" t="str">
        <x:v>02_Supervisor_Log(4).xlsx</x:v>
      </x:c>
      <x:c r="Y101" t="str">
        <x:v>ENH-20260830-01</x:v>
      </x:c>
      <x:c r="Z101" t="str">
        <x:v>Active</x:v>
      </x:c>
      <x:c r="AA101"/>
      <x:c r="AB101"/>
      <x:c r="AC101"/>
      <x:c r="AD101"/>
    </x:row>
    <x:row r="102">
      <x:c r="A102" t="str">
        <x:v>PCC-PE-KG01-L21-20251021-AM-ORD-2025-00020-S07-C2</x:v>
      </x:c>
      <x:c r="B102" t="str">
        <x:v>PC-PE-KG01-L21-20251021-AM-ORD-2025-00020-S07</x:v>
      </x:c>
      <x:c r="C102" t="str">
        <x:v>PE-KG01-L21-20251021-AM-ORD-2025-00020</x:v>
      </x:c>
      <x:c r="D102" t="str">
        <x:v>KG01</x:v>
      </x:c>
      <x:c r="E102" s="62" t="n">
        <x:v>45951</x:v>
      </x:c>
      <x:c r="F102" t="str">
        <x:v>AM</x:v>
      </x:c>
      <x:c r="G102" t="str">
        <x:v>A</x:v>
      </x:c>
      <x:c r="H102" t="n">
        <x:v>21</x:v>
      </x:c>
      <x:c r="I102" t="str">
        <x:v>ORD-2025-00020</x:v>
      </x:c>
      <x:c r="J102" t="n">
        <x:v>7</x:v>
      </x:c>
      <x:c r="K102" t="n">
        <x:v>2</x:v>
      </x:c>
      <x:c r="L102" t="str">
        <x:v>L21-S07-C2</x:v>
      </x:c>
      <x:c r="M102" t="n">
        <x:v>1</x:v>
      </x:c>
      <x:c r="N102" t="str">
        <x:v>DerivedFromCount</x:v>
      </x:c>
      <x:c r="O102" t="str">
        <x:v>PLC-PRD-JAR-720-L21</x:v>
      </x:c>
      <x:c r="P102" t="str">
        <x:v>OK</x:v>
      </x:c>
      <x:c r="Q102" t="str">
        <x:v>OK</x:v>
      </x:c>
      <x:c r="R102" t="str">
        <x:v>OK</x:v>
      </x:c>
      <x:c r="S102" t="str">
        <x:v>OK</x:v>
      </x:c>
      <x:c r="T102" t="n">
        <x:v>20</x:v>
      </x:c>
      <x:c r="U102" t="str">
        <x:v>OK</x:v>
      </x:c>
      <x:c r="V102" t="str">
        <x:v>OK</x:v>
      </x:c>
      <x:c r="W102" t="str">
        <x:v>LOAD</x:v>
      </x:c>
      <x:c r="X102" t="str">
        <x:v>02_Supervisor_Log(4).xlsx</x:v>
      </x:c>
      <x:c r="Y102" t="str">
        <x:v>ENH-20260830-01</x:v>
      </x:c>
      <x:c r="Z102" t="str">
        <x:v>Active</x:v>
      </x:c>
      <x:c r="AA102"/>
      <x:c r="AB102"/>
      <x:c r="AC102"/>
      <x:c r="AD102"/>
    </x:row>
    <x:row r="103">
      <x:c r="A103" t="str">
        <x:v>PCC-PE-KG01-L21-20251021-AM-ORD-2025-00020-S07-C3</x:v>
      </x:c>
      <x:c r="B103" t="str">
        <x:v>PC-PE-KG01-L21-20251021-AM-ORD-2025-00020-S07</x:v>
      </x:c>
      <x:c r="C103" t="str">
        <x:v>PE-KG01-L21-20251021-AM-ORD-2025-00020</x:v>
      </x:c>
      <x:c r="D103" t="str">
        <x:v>KG01</x:v>
      </x:c>
      <x:c r="E103" s="62" t="n">
        <x:v>45951</x:v>
      </x:c>
      <x:c r="F103" t="str">
        <x:v>AM</x:v>
      </x:c>
      <x:c r="G103" t="str">
        <x:v>A</x:v>
      </x:c>
      <x:c r="H103" t="n">
        <x:v>21</x:v>
      </x:c>
      <x:c r="I103" t="str">
        <x:v>ORD-2025-00020</x:v>
      </x:c>
      <x:c r="J103" t="n">
        <x:v>7</x:v>
      </x:c>
      <x:c r="K103" t="n">
        <x:v>3</x:v>
      </x:c>
      <x:c r="L103" t="str">
        <x:v>L21-S07-C3</x:v>
      </x:c>
      <x:c r="M103" t="n">
        <x:v>0</x:v>
      </x:c>
      <x:c r="N103" t="str">
        <x:v>DerivedFromCount</x:v>
      </x:c>
      <x:c r="O103" t="str">
        <x:v>PLC-PRD-JAR-720-L21</x:v>
      </x:c>
      <x:c r="P103" t="str">
        <x:v>OK</x:v>
      </x:c>
      <x:c r="Q103" t="str">
        <x:v>OK</x:v>
      </x:c>
      <x:c r="R103" t="str">
        <x:v>OK</x:v>
      </x:c>
      <x:c r="S103" t="str">
        <x:v>OK</x:v>
      </x:c>
      <x:c r="T103" t="n">
        <x:v>20</x:v>
      </x:c>
      <x:c r="U103" t="str">
        <x:v>OK</x:v>
      </x:c>
      <x:c r="V103" t="str">
        <x:v>OK</x:v>
      </x:c>
      <x:c r="W103" t="str">
        <x:v>LOAD</x:v>
      </x:c>
      <x:c r="X103" t="str">
        <x:v>02_Supervisor_Log(4).xlsx</x:v>
      </x:c>
      <x:c r="Y103" t="str">
        <x:v>ENH-20260830-01</x:v>
      </x:c>
      <x:c r="Z103" t="str">
        <x:v>Active</x:v>
      </x:c>
      <x:c r="AA103"/>
      <x:c r="AB103"/>
      <x:c r="AC103"/>
      <x:c r="AD103"/>
    </x:row>
    <x:row r="104">
      <x:c r="A104" t="str">
        <x:v>PCC-PE-KG01-L21-20251021-AM-ORD-2025-00020-S08-C1</x:v>
      </x:c>
      <x:c r="B104" t="str">
        <x:v>PC-PE-KG01-L21-20251021-AM-ORD-2025-00020-S08</x:v>
      </x:c>
      <x:c r="C104" t="str">
        <x:v>PE-KG01-L21-20251021-AM-ORD-2025-00020</x:v>
      </x:c>
      <x:c r="D104" t="str">
        <x:v>KG01</x:v>
      </x:c>
      <x:c r="E104" s="62" t="n">
        <x:v>45951</x:v>
      </x:c>
      <x:c r="F104" t="str">
        <x:v>AM</x:v>
      </x:c>
      <x:c r="G104" t="str">
        <x:v>A</x:v>
      </x:c>
      <x:c r="H104" t="n">
        <x:v>21</x:v>
      </x:c>
      <x:c r="I104" t="str">
        <x:v>ORD-2025-00020</x:v>
      </x:c>
      <x:c r="J104" t="n">
        <x:v>8</x:v>
      </x:c>
      <x:c r="K104" t="n">
        <x:v>1</x:v>
      </x:c>
      <x:c r="L104" t="str">
        <x:v>L21-S08-C1</x:v>
      </x:c>
      <x:c r="M104" t="n">
        <x:v>1</x:v>
      </x:c>
      <x:c r="N104" t="str">
        <x:v>DerivedFromCount</x:v>
      </x:c>
      <x:c r="O104" t="str">
        <x:v>PLC-PRD-JAR-720-L21</x:v>
      </x:c>
      <x:c r="P104" t="str">
        <x:v>OK</x:v>
      </x:c>
      <x:c r="Q104" t="str">
        <x:v>OK</x:v>
      </x:c>
      <x:c r="R104" t="str">
        <x:v>OK</x:v>
      </x:c>
      <x:c r="S104" t="str">
        <x:v>OK</x:v>
      </x:c>
      <x:c r="T104" t="n">
        <x:v>20</x:v>
      </x:c>
      <x:c r="U104" t="str">
        <x:v>OK</x:v>
      </x:c>
      <x:c r="V104" t="str">
        <x:v>OK</x:v>
      </x:c>
      <x:c r="W104" t="str">
        <x:v>LOAD</x:v>
      </x:c>
      <x:c r="X104" t="str">
        <x:v>02_Supervisor_Log(4).xlsx</x:v>
      </x:c>
      <x:c r="Y104" t="str">
        <x:v>ENH-20260830-01</x:v>
      </x:c>
      <x:c r="Z104" t="str">
        <x:v>Active</x:v>
      </x:c>
      <x:c r="AA104"/>
      <x:c r="AB104"/>
      <x:c r="AC104"/>
      <x:c r="AD104"/>
    </x:row>
    <x:row r="105">
      <x:c r="A105" t="str">
        <x:v>PCC-PE-KG01-L21-20251021-AM-ORD-2025-00020-S08-C2</x:v>
      </x:c>
      <x:c r="B105" t="str">
        <x:v>PC-PE-KG01-L21-20251021-AM-ORD-2025-00020-S08</x:v>
      </x:c>
      <x:c r="C105" t="str">
        <x:v>PE-KG01-L21-20251021-AM-ORD-2025-00020</x:v>
      </x:c>
      <x:c r="D105" t="str">
        <x:v>KG01</x:v>
      </x:c>
      <x:c r="E105" s="62" t="n">
        <x:v>45951</x:v>
      </x:c>
      <x:c r="F105" t="str">
        <x:v>AM</x:v>
      </x:c>
      <x:c r="G105" t="str">
        <x:v>A</x:v>
      </x:c>
      <x:c r="H105" t="n">
        <x:v>21</x:v>
      </x:c>
      <x:c r="I105" t="str">
        <x:v>ORD-2025-00020</x:v>
      </x:c>
      <x:c r="J105" t="n">
        <x:v>8</x:v>
      </x:c>
      <x:c r="K105" t="n">
        <x:v>2</x:v>
      </x:c>
      <x:c r="L105" t="str">
        <x:v>L21-S08-C2</x:v>
      </x:c>
      <x:c r="M105" t="n">
        <x:v>1</x:v>
      </x:c>
      <x:c r="N105" t="str">
        <x:v>DerivedFromCount</x:v>
      </x:c>
      <x:c r="O105" t="str">
        <x:v>PLC-PRD-JAR-720-L21</x:v>
      </x:c>
      <x:c r="P105" t="str">
        <x:v>OK</x:v>
      </x:c>
      <x:c r="Q105" t="str">
        <x:v>OK</x:v>
      </x:c>
      <x:c r="R105" t="str">
        <x:v>OK</x:v>
      </x:c>
      <x:c r="S105" t="str">
        <x:v>OK</x:v>
      </x:c>
      <x:c r="T105" t="n">
        <x:v>20</x:v>
      </x:c>
      <x:c r="U105" t="str">
        <x:v>OK</x:v>
      </x:c>
      <x:c r="V105" t="str">
        <x:v>OK</x:v>
      </x:c>
      <x:c r="W105" t="str">
        <x:v>LOAD</x:v>
      </x:c>
      <x:c r="X105" t="str">
        <x:v>02_Supervisor_Log(4).xlsx</x:v>
      </x:c>
      <x:c r="Y105" t="str">
        <x:v>ENH-20260830-01</x:v>
      </x:c>
      <x:c r="Z105" t="str">
        <x:v>Active</x:v>
      </x:c>
      <x:c r="AA105"/>
      <x:c r="AB105"/>
      <x:c r="AC105"/>
      <x:c r="AD105"/>
    </x:row>
    <x:row r="106">
      <x:c r="A106" t="str">
        <x:v>PCC-PE-KG01-L21-20251021-AM-ORD-2025-00020-S08-C3</x:v>
      </x:c>
      <x:c r="B106" t="str">
        <x:v>PC-PE-KG01-L21-20251021-AM-ORD-2025-00020-S08</x:v>
      </x:c>
      <x:c r="C106" t="str">
        <x:v>PE-KG01-L21-20251021-AM-ORD-2025-00020</x:v>
      </x:c>
      <x:c r="D106" t="str">
        <x:v>KG01</x:v>
      </x:c>
      <x:c r="E106" s="62" t="n">
        <x:v>45951</x:v>
      </x:c>
      <x:c r="F106" t="str">
        <x:v>AM</x:v>
      </x:c>
      <x:c r="G106" t="str">
        <x:v>A</x:v>
      </x:c>
      <x:c r="H106" t="n">
        <x:v>21</x:v>
      </x:c>
      <x:c r="I106" t="str">
        <x:v>ORD-2025-00020</x:v>
      </x:c>
      <x:c r="J106" t="n">
        <x:v>8</x:v>
      </x:c>
      <x:c r="K106" t="n">
        <x:v>3</x:v>
      </x:c>
      <x:c r="L106" t="str">
        <x:v>L21-S08-C3</x:v>
      </x:c>
      <x:c r="M106" t="n">
        <x:v>0</x:v>
      </x:c>
      <x:c r="N106" t="str">
        <x:v>DerivedFromCount</x:v>
      </x:c>
      <x:c r="O106" t="str">
        <x:v>PLC-PRD-JAR-720-L21</x:v>
      </x:c>
      <x:c r="P106" t="str">
        <x:v>OK</x:v>
      </x:c>
      <x:c r="Q106" t="str">
        <x:v>OK</x:v>
      </x:c>
      <x:c r="R106" t="str">
        <x:v>OK</x:v>
      </x:c>
      <x:c r="S106" t="str">
        <x:v>OK</x:v>
      </x:c>
      <x:c r="T106" t="n">
        <x:v>20</x:v>
      </x:c>
      <x:c r="U106" t="str">
        <x:v>OK</x:v>
      </x:c>
      <x:c r="V106" t="str">
        <x:v>OK</x:v>
      </x:c>
      <x:c r="W106" t="str">
        <x:v>LOAD</x:v>
      </x:c>
      <x:c r="X106" t="str">
        <x:v>02_Supervisor_Log(4).xlsx</x:v>
      </x:c>
      <x:c r="Y106" t="str">
        <x:v>ENH-20260830-01</x:v>
      </x:c>
      <x:c r="Z106" t="str">
        <x:v>Active</x:v>
      </x:c>
      <x:c r="AA106"/>
      <x:c r="AB106"/>
      <x:c r="AC106"/>
      <x:c r="AD106"/>
    </x:row>
    <x:row r="107">
      <x:c r="A107" t="str">
        <x:v>PCC-PE-KG01-L21-20251021-AM-ORD-2025-00020-S09-C1</x:v>
      </x:c>
      <x:c r="B107" t="str">
        <x:v>PC-PE-KG01-L21-20251021-AM-ORD-2025-00020-S09</x:v>
      </x:c>
      <x:c r="C107" t="str">
        <x:v>PE-KG01-L21-20251021-AM-ORD-2025-00020</x:v>
      </x:c>
      <x:c r="D107" t="str">
        <x:v>KG01</x:v>
      </x:c>
      <x:c r="E107" s="62" t="n">
        <x:v>45951</x:v>
      </x:c>
      <x:c r="F107" t="str">
        <x:v>AM</x:v>
      </x:c>
      <x:c r="G107" t="str">
        <x:v>A</x:v>
      </x:c>
      <x:c r="H107" t="n">
        <x:v>21</x:v>
      </x:c>
      <x:c r="I107" t="str">
        <x:v>ORD-2025-00020</x:v>
      </x:c>
      <x:c r="J107" t="n">
        <x:v>9</x:v>
      </x:c>
      <x:c r="K107" t="n">
        <x:v>1</x:v>
      </x:c>
      <x:c r="L107" t="str">
        <x:v>L21-S09-C1</x:v>
      </x:c>
      <x:c r="M107" t="n">
        <x:v>1</x:v>
      </x:c>
      <x:c r="N107" t="str">
        <x:v>DerivedFromCount</x:v>
      </x:c>
      <x:c r="O107" t="str">
        <x:v>PLC-PRD-JAR-720-L21</x:v>
      </x:c>
      <x:c r="P107" t="str">
        <x:v>OK</x:v>
      </x:c>
      <x:c r="Q107" t="str">
        <x:v>OK</x:v>
      </x:c>
      <x:c r="R107" t="str">
        <x:v>OK</x:v>
      </x:c>
      <x:c r="S107" t="str">
        <x:v>OK</x:v>
      </x:c>
      <x:c r="T107" t="n">
        <x:v>20</x:v>
      </x:c>
      <x:c r="U107" t="str">
        <x:v>OK</x:v>
      </x:c>
      <x:c r="V107" t="str">
        <x:v>OK</x:v>
      </x:c>
      <x:c r="W107" t="str">
        <x:v>LOAD</x:v>
      </x:c>
      <x:c r="X107" t="str">
        <x:v>02_Supervisor_Log(4).xlsx</x:v>
      </x:c>
      <x:c r="Y107" t="str">
        <x:v>ENH-20260830-01</x:v>
      </x:c>
      <x:c r="Z107" t="str">
        <x:v>Active</x:v>
      </x:c>
      <x:c r="AA107"/>
      <x:c r="AB107"/>
      <x:c r="AC107"/>
      <x:c r="AD107"/>
    </x:row>
    <x:row r="108">
      <x:c r="A108" t="str">
        <x:v>PCC-PE-KG01-L21-20251021-AM-ORD-2025-00020-S09-C2</x:v>
      </x:c>
      <x:c r="B108" t="str">
        <x:v>PC-PE-KG01-L21-20251021-AM-ORD-2025-00020-S09</x:v>
      </x:c>
      <x:c r="C108" t="str">
        <x:v>PE-KG01-L21-20251021-AM-ORD-2025-00020</x:v>
      </x:c>
      <x:c r="D108" t="str">
        <x:v>KG01</x:v>
      </x:c>
      <x:c r="E108" s="62" t="n">
        <x:v>45951</x:v>
      </x:c>
      <x:c r="F108" t="str">
        <x:v>AM</x:v>
      </x:c>
      <x:c r="G108" t="str">
        <x:v>A</x:v>
      </x:c>
      <x:c r="H108" t="n">
        <x:v>21</x:v>
      </x:c>
      <x:c r="I108" t="str">
        <x:v>ORD-2025-00020</x:v>
      </x:c>
      <x:c r="J108" t="n">
        <x:v>9</x:v>
      </x:c>
      <x:c r="K108" t="n">
        <x:v>2</x:v>
      </x:c>
      <x:c r="L108" t="str">
        <x:v>L21-S09-C2</x:v>
      </x:c>
      <x:c r="M108" t="n">
        <x:v>1</x:v>
      </x:c>
      <x:c r="N108" t="str">
        <x:v>DerivedFromCount</x:v>
      </x:c>
      <x:c r="O108" t="str">
        <x:v>PLC-PRD-JAR-720-L21</x:v>
      </x:c>
      <x:c r="P108" t="str">
        <x:v>OK</x:v>
      </x:c>
      <x:c r="Q108" t="str">
        <x:v>OK</x:v>
      </x:c>
      <x:c r="R108" t="str">
        <x:v>OK</x:v>
      </x:c>
      <x:c r="S108" t="str">
        <x:v>OK</x:v>
      </x:c>
      <x:c r="T108" t="n">
        <x:v>20</x:v>
      </x:c>
      <x:c r="U108" t="str">
        <x:v>OK</x:v>
      </x:c>
      <x:c r="V108" t="str">
        <x:v>OK</x:v>
      </x:c>
      <x:c r="W108" t="str">
        <x:v>LOAD</x:v>
      </x:c>
      <x:c r="X108" t="str">
        <x:v>02_Supervisor_Log(4).xlsx</x:v>
      </x:c>
      <x:c r="Y108" t="str">
        <x:v>ENH-20260830-01</x:v>
      </x:c>
      <x:c r="Z108" t="str">
        <x:v>Active</x:v>
      </x:c>
      <x:c r="AA108"/>
      <x:c r="AB108"/>
      <x:c r="AC108"/>
      <x:c r="AD108"/>
    </x:row>
    <x:row r="109">
      <x:c r="A109" t="str">
        <x:v>PCC-PE-KG01-L21-20251021-AM-ORD-2025-00020-S09-C3</x:v>
      </x:c>
      <x:c r="B109" t="str">
        <x:v>PC-PE-KG01-L21-20251021-AM-ORD-2025-00020-S09</x:v>
      </x:c>
      <x:c r="C109" t="str">
        <x:v>PE-KG01-L21-20251021-AM-ORD-2025-00020</x:v>
      </x:c>
      <x:c r="D109" t="str">
        <x:v>KG01</x:v>
      </x:c>
      <x:c r="E109" s="62" t="n">
        <x:v>45951</x:v>
      </x:c>
      <x:c r="F109" t="str">
        <x:v>AM</x:v>
      </x:c>
      <x:c r="G109" t="str">
        <x:v>A</x:v>
      </x:c>
      <x:c r="H109" t="n">
        <x:v>21</x:v>
      </x:c>
      <x:c r="I109" t="str">
        <x:v>ORD-2025-00020</x:v>
      </x:c>
      <x:c r="J109" t="n">
        <x:v>9</x:v>
      </x:c>
      <x:c r="K109" t="n">
        <x:v>3</x:v>
      </x:c>
      <x:c r="L109" t="str">
        <x:v>L21-S09-C3</x:v>
      </x:c>
      <x:c r="M109" t="n">
        <x:v>0</x:v>
      </x:c>
      <x:c r="N109" t="str">
        <x:v>DerivedFromCount</x:v>
      </x:c>
      <x:c r="O109" t="str">
        <x:v>PLC-PRD-JAR-720-L21</x:v>
      </x:c>
      <x:c r="P109" t="str">
        <x:v>OK</x:v>
      </x:c>
      <x:c r="Q109" t="str">
        <x:v>OK</x:v>
      </x:c>
      <x:c r="R109" t="str">
        <x:v>OK</x:v>
      </x:c>
      <x:c r="S109" t="str">
        <x:v>OK</x:v>
      </x:c>
      <x:c r="T109" t="n">
        <x:v>20</x:v>
      </x:c>
      <x:c r="U109" t="str">
        <x:v>OK</x:v>
      </x:c>
      <x:c r="V109" t="str">
        <x:v>OK</x:v>
      </x:c>
      <x:c r="W109" t="str">
        <x:v>LOAD</x:v>
      </x:c>
      <x:c r="X109" t="str">
        <x:v>02_Supervisor_Log(4).xlsx</x:v>
      </x:c>
      <x:c r="Y109" t="str">
        <x:v>ENH-20260830-01</x:v>
      </x:c>
      <x:c r="Z109" t="str">
        <x:v>Active</x:v>
      </x:c>
      <x:c r="AA109"/>
      <x:c r="AB109"/>
      <x:c r="AC109"/>
      <x:c r="AD109"/>
    </x:row>
    <x:row r="110">
      <x:c r="A110" t="str">
        <x:v>PCC-PE-KG01-L21-20251021-AM-ORD-2025-00020-S10-C1</x:v>
      </x:c>
      <x:c r="B110" t="str">
        <x:v>PC-PE-KG01-L21-20251021-AM-ORD-2025-00020-S10</x:v>
      </x:c>
      <x:c r="C110" t="str">
        <x:v>PE-KG01-L21-20251021-AM-ORD-2025-00020</x:v>
      </x:c>
      <x:c r="D110" t="str">
        <x:v>KG01</x:v>
      </x:c>
      <x:c r="E110" s="62" t="n">
        <x:v>45951</x:v>
      </x:c>
      <x:c r="F110" t="str">
        <x:v>AM</x:v>
      </x:c>
      <x:c r="G110" t="str">
        <x:v>A</x:v>
      </x:c>
      <x:c r="H110" t="n">
        <x:v>21</x:v>
      </x:c>
      <x:c r="I110" t="str">
        <x:v>ORD-2025-00020</x:v>
      </x:c>
      <x:c r="J110" t="n">
        <x:v>10</x:v>
      </x:c>
      <x:c r="K110" t="n">
        <x:v>1</x:v>
      </x:c>
      <x:c r="L110" t="str">
        <x:v>L21-S10-C1</x:v>
      </x:c>
      <x:c r="M110" t="n">
        <x:v>1</x:v>
      </x:c>
      <x:c r="N110" t="str">
        <x:v>DerivedFromCount</x:v>
      </x:c>
      <x:c r="O110" t="str">
        <x:v>PLC-PRD-JAR-720-L21</x:v>
      </x:c>
      <x:c r="P110" t="str">
        <x:v>OK</x:v>
      </x:c>
      <x:c r="Q110" t="str">
        <x:v>OK</x:v>
      </x:c>
      <x:c r="R110" t="str">
        <x:v>OK</x:v>
      </x:c>
      <x:c r="S110" t="str">
        <x:v>OK</x:v>
      </x:c>
      <x:c r="T110" t="n">
        <x:v>20</x:v>
      </x:c>
      <x:c r="U110" t="str">
        <x:v>OK</x:v>
      </x:c>
      <x:c r="V110" t="str">
        <x:v>OK</x:v>
      </x:c>
      <x:c r="W110" t="str">
        <x:v>LOAD</x:v>
      </x:c>
      <x:c r="X110" t="str">
        <x:v>02_Supervisor_Log(4).xlsx</x:v>
      </x:c>
      <x:c r="Y110" t="str">
        <x:v>ENH-20260830-01</x:v>
      </x:c>
      <x:c r="Z110" t="str">
        <x:v>Active</x:v>
      </x:c>
      <x:c r="AA110"/>
      <x:c r="AB110"/>
      <x:c r="AC110"/>
      <x:c r="AD110"/>
    </x:row>
    <x:row r="111">
      <x:c r="A111" t="str">
        <x:v>PCC-PE-KG01-L21-20251021-AM-ORD-2025-00020-S10-C2</x:v>
      </x:c>
      <x:c r="B111" t="str">
        <x:v>PC-PE-KG01-L21-20251021-AM-ORD-2025-00020-S10</x:v>
      </x:c>
      <x:c r="C111" t="str">
        <x:v>PE-KG01-L21-20251021-AM-ORD-2025-00020</x:v>
      </x:c>
      <x:c r="D111" t="str">
        <x:v>KG01</x:v>
      </x:c>
      <x:c r="E111" s="62" t="n">
        <x:v>45951</x:v>
      </x:c>
      <x:c r="F111" t="str">
        <x:v>AM</x:v>
      </x:c>
      <x:c r="G111" t="str">
        <x:v>A</x:v>
      </x:c>
      <x:c r="H111" t="n">
        <x:v>21</x:v>
      </x:c>
      <x:c r="I111" t="str">
        <x:v>ORD-2025-00020</x:v>
      </x:c>
      <x:c r="J111" t="n">
        <x:v>10</x:v>
      </x:c>
      <x:c r="K111" t="n">
        <x:v>2</x:v>
      </x:c>
      <x:c r="L111" t="str">
        <x:v>L21-S10-C2</x:v>
      </x:c>
      <x:c r="M111" t="n">
        <x:v>1</x:v>
      </x:c>
      <x:c r="N111" t="str">
        <x:v>DerivedFromCount</x:v>
      </x:c>
      <x:c r="O111" t="str">
        <x:v>PLC-PRD-JAR-720-L21</x:v>
      </x:c>
      <x:c r="P111" t="str">
        <x:v>OK</x:v>
      </x:c>
      <x:c r="Q111" t="str">
        <x:v>OK</x:v>
      </x:c>
      <x:c r="R111" t="str">
        <x:v>OK</x:v>
      </x:c>
      <x:c r="S111" t="str">
        <x:v>OK</x:v>
      </x:c>
      <x:c r="T111" t="n">
        <x:v>20</x:v>
      </x:c>
      <x:c r="U111" t="str">
        <x:v>OK</x:v>
      </x:c>
      <x:c r="V111" t="str">
        <x:v>OK</x:v>
      </x:c>
      <x:c r="W111" t="str">
        <x:v>LOAD</x:v>
      </x:c>
      <x:c r="X111" t="str">
        <x:v>02_Supervisor_Log(4).xlsx</x:v>
      </x:c>
      <x:c r="Y111" t="str">
        <x:v>ENH-20260830-01</x:v>
      </x:c>
      <x:c r="Z111" t="str">
        <x:v>Active</x:v>
      </x:c>
      <x:c r="AA111"/>
      <x:c r="AB111"/>
      <x:c r="AC111"/>
      <x:c r="AD111"/>
    </x:row>
    <x:row r="112">
      <x:c r="A112" t="str">
        <x:v>PCC-PE-KG01-L21-20251021-AM-ORD-2025-00020-S10-C3</x:v>
      </x:c>
      <x:c r="B112" t="str">
        <x:v>PC-PE-KG01-L21-20251021-AM-ORD-2025-00020-S10</x:v>
      </x:c>
      <x:c r="C112" t="str">
        <x:v>PE-KG01-L21-20251021-AM-ORD-2025-00020</x:v>
      </x:c>
      <x:c r="D112" t="str">
        <x:v>KG01</x:v>
      </x:c>
      <x:c r="E112" s="62" t="n">
        <x:v>45951</x:v>
      </x:c>
      <x:c r="F112" t="str">
        <x:v>AM</x:v>
      </x:c>
      <x:c r="G112" t="str">
        <x:v>A</x:v>
      </x:c>
      <x:c r="H112" t="n">
        <x:v>21</x:v>
      </x:c>
      <x:c r="I112" t="str">
        <x:v>ORD-2025-00020</x:v>
      </x:c>
      <x:c r="J112" t="n">
        <x:v>10</x:v>
      </x:c>
      <x:c r="K112" t="n">
        <x:v>3</x:v>
      </x:c>
      <x:c r="L112" t="str">
        <x:v>L21-S10-C3</x:v>
      </x:c>
      <x:c r="M112" t="n">
        <x:v>0</x:v>
      </x:c>
      <x:c r="N112" t="str">
        <x:v>DerivedFromCount</x:v>
      </x:c>
      <x:c r="O112" t="str">
        <x:v>PLC-PRD-JAR-720-L21</x:v>
      </x:c>
      <x:c r="P112" t="str">
        <x:v>OK</x:v>
      </x:c>
      <x:c r="Q112" t="str">
        <x:v>OK</x:v>
      </x:c>
      <x:c r="R112" t="str">
        <x:v>OK</x:v>
      </x:c>
      <x:c r="S112" t="str">
        <x:v>OK</x:v>
      </x:c>
      <x:c r="T112" t="n">
        <x:v>20</x:v>
      </x:c>
      <x:c r="U112" t="str">
        <x:v>OK</x:v>
      </x:c>
      <x:c r="V112" t="str">
        <x:v>OK</x:v>
      </x:c>
      <x:c r="W112" t="str">
        <x:v>LOAD</x:v>
      </x:c>
      <x:c r="X112" t="str">
        <x:v>02_Supervisor_Log(4).xlsx</x:v>
      </x:c>
      <x:c r="Y112" t="str">
        <x:v>ENH-20260830-01</x:v>
      </x:c>
      <x:c r="Z112" t="str">
        <x:v>Active</x:v>
      </x:c>
      <x:c r="AA112"/>
      <x:c r="AB112"/>
      <x:c r="AC112"/>
      <x:c r="AD112"/>
    </x:row>
    <x:row r="113">
      <x:c r="A113" t="str">
        <x:v>PCC-PE-KG01-L21-20251021-AM-ORD-2025-00020-S11-C1</x:v>
      </x:c>
      <x:c r="B113" t="str">
        <x:v>PC-PE-KG01-L21-20251021-AM-ORD-2025-00020-S11</x:v>
      </x:c>
      <x:c r="C113" t="str">
        <x:v>PE-KG01-L21-20251021-AM-ORD-2025-00020</x:v>
      </x:c>
      <x:c r="D113" t="str">
        <x:v>KG01</x:v>
      </x:c>
      <x:c r="E113" s="62" t="n">
        <x:v>45951</x:v>
      </x:c>
      <x:c r="F113" t="str">
        <x:v>AM</x:v>
      </x:c>
      <x:c r="G113" t="str">
        <x:v>A</x:v>
      </x:c>
      <x:c r="H113" t="n">
        <x:v>21</x:v>
      </x:c>
      <x:c r="I113" t="str">
        <x:v>ORD-2025-00020</x:v>
      </x:c>
      <x:c r="J113" t="n">
        <x:v>11</x:v>
      </x:c>
      <x:c r="K113" t="n">
        <x:v>1</x:v>
      </x:c>
      <x:c r="L113" t="str">
        <x:v>L21-S11-C1</x:v>
      </x:c>
      <x:c r="M113" t="n">
        <x:v>0</x:v>
      </x:c>
      <x:c r="N113" t="str">
        <x:v>DerivedFromCount</x:v>
      </x:c>
      <x:c r="O113" t="str">
        <x:v>PLC-PRD-JAR-720-L21</x:v>
      </x:c>
      <x:c r="P113" t="str">
        <x:v>OK</x:v>
      </x:c>
      <x:c r="Q113" t="str">
        <x:v>OK</x:v>
      </x:c>
      <x:c r="R113" t="str">
        <x:v>OK</x:v>
      </x:c>
      <x:c r="S113" t="str">
        <x:v>OK</x:v>
      </x:c>
      <x:c r="T113" t="n">
        <x:v>20</x:v>
      </x:c>
      <x:c r="U113" t="str">
        <x:v>OK</x:v>
      </x:c>
      <x:c r="V113" t="str">
        <x:v>OK</x:v>
      </x:c>
      <x:c r="W113" t="str">
        <x:v>LOAD</x:v>
      </x:c>
      <x:c r="X113" t="str">
        <x:v>02_Supervisor_Log(4).xlsx</x:v>
      </x:c>
      <x:c r="Y113" t="str">
        <x:v>ENH-20260830-01</x:v>
      </x:c>
      <x:c r="Z113" t="str">
        <x:v>Active</x:v>
      </x:c>
      <x:c r="AA113"/>
      <x:c r="AB113"/>
      <x:c r="AC113"/>
      <x:c r="AD113"/>
    </x:row>
    <x:row r="114">
      <x:c r="A114" t="str">
        <x:v>PCC-PE-KG01-L21-20251021-AM-ORD-2025-00020-S11-C2</x:v>
      </x:c>
      <x:c r="B114" t="str">
        <x:v>PC-PE-KG01-L21-20251021-AM-ORD-2025-00020-S11</x:v>
      </x:c>
      <x:c r="C114" t="str">
        <x:v>PE-KG01-L21-20251021-AM-ORD-2025-00020</x:v>
      </x:c>
      <x:c r="D114" t="str">
        <x:v>KG01</x:v>
      </x:c>
      <x:c r="E114" s="62" t="n">
        <x:v>45951</x:v>
      </x:c>
      <x:c r="F114" t="str">
        <x:v>AM</x:v>
      </x:c>
      <x:c r="G114" t="str">
        <x:v>A</x:v>
      </x:c>
      <x:c r="H114" t="n">
        <x:v>21</x:v>
      </x:c>
      <x:c r="I114" t="str">
        <x:v>ORD-2025-00020</x:v>
      </x:c>
      <x:c r="J114" t="n">
        <x:v>11</x:v>
      </x:c>
      <x:c r="K114" t="n">
        <x:v>2</x:v>
      </x:c>
      <x:c r="L114" t="str">
        <x:v>L21-S11-C2</x:v>
      </x:c>
      <x:c r="M114" t="n">
        <x:v>0</x:v>
      </x:c>
      <x:c r="N114" t="str">
        <x:v>DerivedFromCount</x:v>
      </x:c>
      <x:c r="O114" t="str">
        <x:v>PLC-PRD-JAR-720-L21</x:v>
      </x:c>
      <x:c r="P114" t="str">
        <x:v>OK</x:v>
      </x:c>
      <x:c r="Q114" t="str">
        <x:v>OK</x:v>
      </x:c>
      <x:c r="R114" t="str">
        <x:v>OK</x:v>
      </x:c>
      <x:c r="S114" t="str">
        <x:v>OK</x:v>
      </x:c>
      <x:c r="T114" t="n">
        <x:v>20</x:v>
      </x:c>
      <x:c r="U114" t="str">
        <x:v>OK</x:v>
      </x:c>
      <x:c r="V114" t="str">
        <x:v>OK</x:v>
      </x:c>
      <x:c r="W114" t="str">
        <x:v>LOAD</x:v>
      </x:c>
      <x:c r="X114" t="str">
        <x:v>02_Supervisor_Log(4).xlsx</x:v>
      </x:c>
      <x:c r="Y114" t="str">
        <x:v>ENH-20260830-01</x:v>
      </x:c>
      <x:c r="Z114" t="str">
        <x:v>Active</x:v>
      </x:c>
      <x:c r="AA114"/>
      <x:c r="AB114"/>
      <x:c r="AC114"/>
      <x:c r="AD114"/>
    </x:row>
    <x:row r="115">
      <x:c r="A115" t="str">
        <x:v>PCC-PE-KG01-L21-20251021-AM-ORD-2025-00020-S11-C3</x:v>
      </x:c>
      <x:c r="B115" t="str">
        <x:v>PC-PE-KG01-L21-20251021-AM-ORD-2025-00020-S11</x:v>
      </x:c>
      <x:c r="C115" t="str">
        <x:v>PE-KG01-L21-20251021-AM-ORD-2025-00020</x:v>
      </x:c>
      <x:c r="D115" t="str">
        <x:v>KG01</x:v>
      </x:c>
      <x:c r="E115" s="62" t="n">
        <x:v>45951</x:v>
      </x:c>
      <x:c r="F115" t="str">
        <x:v>AM</x:v>
      </x:c>
      <x:c r="G115" t="str">
        <x:v>A</x:v>
      </x:c>
      <x:c r="H115" t="n">
        <x:v>21</x:v>
      </x:c>
      <x:c r="I115" t="str">
        <x:v>ORD-2025-00020</x:v>
      </x:c>
      <x:c r="J115" t="n">
        <x:v>11</x:v>
      </x:c>
      <x:c r="K115" t="n">
        <x:v>3</x:v>
      </x:c>
      <x:c r="L115" t="str">
        <x:v>L21-S11-C3</x:v>
      </x:c>
      <x:c r="M115" t="n">
        <x:v>0</x:v>
      </x:c>
      <x:c r="N115" t="str">
        <x:v>DerivedFromCount</x:v>
      </x:c>
      <x:c r="O115" t="str">
        <x:v>PLC-PRD-JAR-720-L21</x:v>
      </x:c>
      <x:c r="P115" t="str">
        <x:v>OK</x:v>
      </x:c>
      <x:c r="Q115" t="str">
        <x:v>OK</x:v>
      </x:c>
      <x:c r="R115" t="str">
        <x:v>OK</x:v>
      </x:c>
      <x:c r="S115" t="str">
        <x:v>OK</x:v>
      </x:c>
      <x:c r="T115" t="n">
        <x:v>20</x:v>
      </x:c>
      <x:c r="U115" t="str">
        <x:v>OK</x:v>
      </x:c>
      <x:c r="V115" t="str">
        <x:v>OK</x:v>
      </x:c>
      <x:c r="W115" t="str">
        <x:v>LOAD</x:v>
      </x:c>
      <x:c r="X115" t="str">
        <x:v>02_Supervisor_Log(4).xlsx</x:v>
      </x:c>
      <x:c r="Y115" t="str">
        <x:v>ENH-20260830-01</x:v>
      </x:c>
      <x:c r="Z115" t="str">
        <x:v>Active</x:v>
      </x:c>
      <x:c r="AA115"/>
      <x:c r="AB115"/>
      <x:c r="AC115"/>
      <x:c r="AD115"/>
    </x:row>
    <x:row r="116">
      <x:c r="A116" t="str">
        <x:v>PCC-PE-KG01-L21-20251021-AM-ORD-2025-00020-S12-C1</x:v>
      </x:c>
      <x:c r="B116" t="str">
        <x:v>PC-PE-KG01-L21-20251021-AM-ORD-2025-00020-S12</x:v>
      </x:c>
      <x:c r="C116" t="str">
        <x:v>PE-KG01-L21-20251021-AM-ORD-2025-00020</x:v>
      </x:c>
      <x:c r="D116" t="str">
        <x:v>KG01</x:v>
      </x:c>
      <x:c r="E116" s="62" t="n">
        <x:v>45951</x:v>
      </x:c>
      <x:c r="F116" t="str">
        <x:v>AM</x:v>
      </x:c>
      <x:c r="G116" t="str">
        <x:v>A</x:v>
      </x:c>
      <x:c r="H116" t="n">
        <x:v>21</x:v>
      </x:c>
      <x:c r="I116" t="str">
        <x:v>ORD-2025-00020</x:v>
      </x:c>
      <x:c r="J116" t="n">
        <x:v>12</x:v>
      </x:c>
      <x:c r="K116" t="n">
        <x:v>1</x:v>
      </x:c>
      <x:c r="L116" t="str">
        <x:v>L21-S12-C1</x:v>
      </x:c>
      <x:c r="M116" t="n">
        <x:v>0</x:v>
      </x:c>
      <x:c r="N116" t="str">
        <x:v>DerivedFromCount</x:v>
      </x:c>
      <x:c r="O116" t="str">
        <x:v>PLC-PRD-JAR-720-L21</x:v>
      </x:c>
      <x:c r="P116" t="str">
        <x:v>OK</x:v>
      </x:c>
      <x:c r="Q116" t="str">
        <x:v>OK</x:v>
      </x:c>
      <x:c r="R116" t="str">
        <x:v>OK</x:v>
      </x:c>
      <x:c r="S116" t="str">
        <x:v>OK</x:v>
      </x:c>
      <x:c r="T116" t="n">
        <x:v>20</x:v>
      </x:c>
      <x:c r="U116" t="str">
        <x:v>OK</x:v>
      </x:c>
      <x:c r="V116" t="str">
        <x:v>OK</x:v>
      </x:c>
      <x:c r="W116" t="str">
        <x:v>LOAD</x:v>
      </x:c>
      <x:c r="X116" t="str">
        <x:v>02_Supervisor_Log(4).xlsx</x:v>
      </x:c>
      <x:c r="Y116" t="str">
        <x:v>ENH-20260830-01</x:v>
      </x:c>
      <x:c r="Z116" t="str">
        <x:v>Active</x:v>
      </x:c>
      <x:c r="AA116"/>
      <x:c r="AB116"/>
      <x:c r="AC116"/>
      <x:c r="AD116"/>
    </x:row>
    <x:row r="117">
      <x:c r="A117" t="str">
        <x:v>PCC-PE-KG01-L21-20251021-AM-ORD-2025-00020-S12-C2</x:v>
      </x:c>
      <x:c r="B117" t="str">
        <x:v>PC-PE-KG01-L21-20251021-AM-ORD-2025-00020-S12</x:v>
      </x:c>
      <x:c r="C117" t="str">
        <x:v>PE-KG01-L21-20251021-AM-ORD-2025-00020</x:v>
      </x:c>
      <x:c r="D117" t="str">
        <x:v>KG01</x:v>
      </x:c>
      <x:c r="E117" s="62" t="n">
        <x:v>45951</x:v>
      </x:c>
      <x:c r="F117" t="str">
        <x:v>AM</x:v>
      </x:c>
      <x:c r="G117" t="str">
        <x:v>A</x:v>
      </x:c>
      <x:c r="H117" t="n">
        <x:v>21</x:v>
      </x:c>
      <x:c r="I117" t="str">
        <x:v>ORD-2025-00020</x:v>
      </x:c>
      <x:c r="J117" t="n">
        <x:v>12</x:v>
      </x:c>
      <x:c r="K117" t="n">
        <x:v>2</x:v>
      </x:c>
      <x:c r="L117" t="str">
        <x:v>L21-S12-C2</x:v>
      </x:c>
      <x:c r="M117" t="n">
        <x:v>0</x:v>
      </x:c>
      <x:c r="N117" t="str">
        <x:v>DerivedFromCount</x:v>
      </x:c>
      <x:c r="O117" t="str">
        <x:v>PLC-PRD-JAR-720-L21</x:v>
      </x:c>
      <x:c r="P117" t="str">
        <x:v>OK</x:v>
      </x:c>
      <x:c r="Q117" t="str">
        <x:v>OK</x:v>
      </x:c>
      <x:c r="R117" t="str">
        <x:v>OK</x:v>
      </x:c>
      <x:c r="S117" t="str">
        <x:v>OK</x:v>
      </x:c>
      <x:c r="T117" t="n">
        <x:v>20</x:v>
      </x:c>
      <x:c r="U117" t="str">
        <x:v>OK</x:v>
      </x:c>
      <x:c r="V117" t="str">
        <x:v>OK</x:v>
      </x:c>
      <x:c r="W117" t="str">
        <x:v>LOAD</x:v>
      </x:c>
      <x:c r="X117" t="str">
        <x:v>02_Supervisor_Log(4).xlsx</x:v>
      </x:c>
      <x:c r="Y117" t="str">
        <x:v>ENH-20260830-01</x:v>
      </x:c>
      <x:c r="Z117" t="str">
        <x:v>Active</x:v>
      </x:c>
      <x:c r="AA117"/>
      <x:c r="AB117"/>
      <x:c r="AC117"/>
      <x:c r="AD117"/>
    </x:row>
    <x:row r="118">
      <x:c r="A118" t="str">
        <x:v>PCC-PE-KG01-L21-20251021-AM-ORD-2025-00020-S12-C3</x:v>
      </x:c>
      <x:c r="B118" t="str">
        <x:v>PC-PE-KG01-L21-20251021-AM-ORD-2025-00020-S12</x:v>
      </x:c>
      <x:c r="C118" t="str">
        <x:v>PE-KG01-L21-20251021-AM-ORD-2025-00020</x:v>
      </x:c>
      <x:c r="D118" t="str">
        <x:v>KG01</x:v>
      </x:c>
      <x:c r="E118" s="62" t="n">
        <x:v>45951</x:v>
      </x:c>
      <x:c r="F118" t="str">
        <x:v>AM</x:v>
      </x:c>
      <x:c r="G118" t="str">
        <x:v>A</x:v>
      </x:c>
      <x:c r="H118" t="n">
        <x:v>21</x:v>
      </x:c>
      <x:c r="I118" t="str">
        <x:v>ORD-2025-00020</x:v>
      </x:c>
      <x:c r="J118" t="n">
        <x:v>12</x:v>
      </x:c>
      <x:c r="K118" t="n">
        <x:v>3</x:v>
      </x:c>
      <x:c r="L118" t="str">
        <x:v>L21-S12-C3</x:v>
      </x:c>
      <x:c r="M118" t="n">
        <x:v>0</x:v>
      </x:c>
      <x:c r="N118" t="str">
        <x:v>DerivedFromCount</x:v>
      </x:c>
      <x:c r="O118" t="str">
        <x:v>PLC-PRD-JAR-720-L21</x:v>
      </x:c>
      <x:c r="P118" t="str">
        <x:v>OK</x:v>
      </x:c>
      <x:c r="Q118" t="str">
        <x:v>OK</x:v>
      </x:c>
      <x:c r="R118" t="str">
        <x:v>OK</x:v>
      </x:c>
      <x:c r="S118" t="str">
        <x:v>OK</x:v>
      </x:c>
      <x:c r="T118" t="n">
        <x:v>20</x:v>
      </x:c>
      <x:c r="U118" t="str">
        <x:v>OK</x:v>
      </x:c>
      <x:c r="V118" t="str">
        <x:v>OK</x:v>
      </x:c>
      <x:c r="W118" t="str">
        <x:v>LOAD</x:v>
      </x:c>
      <x:c r="X118" t="str">
        <x:v>02_Supervisor_Log(4).xlsx</x:v>
      </x:c>
      <x:c r="Y118" t="str">
        <x:v>ENH-20260830-01</x:v>
      </x:c>
      <x:c r="Z118" t="str">
        <x:v>Active</x:v>
      </x:c>
      <x:c r="AA118"/>
      <x:c r="AB118"/>
      <x:c r="AC118"/>
      <x:c r="AD118"/>
    </x:row>
    <x:row r="119">
      <x:c r="A119" t="str">
        <x:v>PCC-PE-KG01-L21-20251021-AM-ORD-2025-00020-S13-C1</x:v>
      </x:c>
      <x:c r="B119" t="str">
        <x:v>PC-PE-KG01-L21-20251021-AM-ORD-2025-00020-S13</x:v>
      </x:c>
      <x:c r="C119" t="str">
        <x:v>PE-KG01-L21-20251021-AM-ORD-2025-00020</x:v>
      </x:c>
      <x:c r="D119" t="str">
        <x:v>KG01</x:v>
      </x:c>
      <x:c r="E119" s="62" t="n">
        <x:v>45951</x:v>
      </x:c>
      <x:c r="F119" t="str">
        <x:v>AM</x:v>
      </x:c>
      <x:c r="G119" t="str">
        <x:v>A</x:v>
      </x:c>
      <x:c r="H119" t="n">
        <x:v>21</x:v>
      </x:c>
      <x:c r="I119" t="str">
        <x:v>ORD-2025-00020</x:v>
      </x:c>
      <x:c r="J119" t="n">
        <x:v>13</x:v>
      </x:c>
      <x:c r="K119" t="n">
        <x:v>1</x:v>
      </x:c>
      <x:c r="L119" t="str">
        <x:v>L21-S13-C1</x:v>
      </x:c>
      <x:c r="M119" t="n">
        <x:v>0</x:v>
      </x:c>
      <x:c r="N119" t="str">
        <x:v>DerivedFromCount</x:v>
      </x:c>
      <x:c r="O119" t="str">
        <x:v>PLC-PRD-JAR-720-L21</x:v>
      </x:c>
      <x:c r="P119" t="str">
        <x:v>OK</x:v>
      </x:c>
      <x:c r="Q119" t="str">
        <x:v>OK</x:v>
      </x:c>
      <x:c r="R119" t="str">
        <x:v>OK</x:v>
      </x:c>
      <x:c r="S119" t="str">
        <x:v>OK</x:v>
      </x:c>
      <x:c r="T119" t="n">
        <x:v>20</x:v>
      </x:c>
      <x:c r="U119" t="str">
        <x:v>OK</x:v>
      </x:c>
      <x:c r="V119" t="str">
        <x:v>OK</x:v>
      </x:c>
      <x:c r="W119" t="str">
        <x:v>LOAD</x:v>
      </x:c>
      <x:c r="X119" t="str">
        <x:v>02_Supervisor_Log(4).xlsx</x:v>
      </x:c>
      <x:c r="Y119" t="str">
        <x:v>ENH-20260830-01</x:v>
      </x:c>
      <x:c r="Z119" t="str">
        <x:v>Active</x:v>
      </x:c>
      <x:c r="AA119"/>
      <x:c r="AB119"/>
      <x:c r="AC119"/>
      <x:c r="AD119"/>
    </x:row>
    <x:row r="120">
      <x:c r="A120" t="str">
        <x:v>PCC-PE-KG01-L21-20251021-AM-ORD-2025-00020-S13-C2</x:v>
      </x:c>
      <x:c r="B120" t="str">
        <x:v>PC-PE-KG01-L21-20251021-AM-ORD-2025-00020-S13</x:v>
      </x:c>
      <x:c r="C120" t="str">
        <x:v>PE-KG01-L21-20251021-AM-ORD-2025-00020</x:v>
      </x:c>
      <x:c r="D120" t="str">
        <x:v>KG01</x:v>
      </x:c>
      <x:c r="E120" s="62" t="n">
        <x:v>45951</x:v>
      </x:c>
      <x:c r="F120" t="str">
        <x:v>AM</x:v>
      </x:c>
      <x:c r="G120" t="str">
        <x:v>A</x:v>
      </x:c>
      <x:c r="H120" t="n">
        <x:v>21</x:v>
      </x:c>
      <x:c r="I120" t="str">
        <x:v>ORD-2025-00020</x:v>
      </x:c>
      <x:c r="J120" t="n">
        <x:v>13</x:v>
      </x:c>
      <x:c r="K120" t="n">
        <x:v>2</x:v>
      </x:c>
      <x:c r="L120" t="str">
        <x:v>L21-S13-C2</x:v>
      </x:c>
      <x:c r="M120" t="n">
        <x:v>0</x:v>
      </x:c>
      <x:c r="N120" t="str">
        <x:v>DerivedFromCount</x:v>
      </x:c>
      <x:c r="O120" t="str">
        <x:v>PLC-PRD-JAR-720-L21</x:v>
      </x:c>
      <x:c r="P120" t="str">
        <x:v>OK</x:v>
      </x:c>
      <x:c r="Q120" t="str">
        <x:v>OK</x:v>
      </x:c>
      <x:c r="R120" t="str">
        <x:v>OK</x:v>
      </x:c>
      <x:c r="S120" t="str">
        <x:v>OK</x:v>
      </x:c>
      <x:c r="T120" t="n">
        <x:v>20</x:v>
      </x:c>
      <x:c r="U120" t="str">
        <x:v>OK</x:v>
      </x:c>
      <x:c r="V120" t="str">
        <x:v>OK</x:v>
      </x:c>
      <x:c r="W120" t="str">
        <x:v>LOAD</x:v>
      </x:c>
      <x:c r="X120" t="str">
        <x:v>02_Supervisor_Log(4).xlsx</x:v>
      </x:c>
      <x:c r="Y120" t="str">
        <x:v>ENH-20260830-01</x:v>
      </x:c>
      <x:c r="Z120" t="str">
        <x:v>Active</x:v>
      </x:c>
      <x:c r="AA120"/>
      <x:c r="AB120"/>
      <x:c r="AC120"/>
      <x:c r="AD120"/>
    </x:row>
    <x:row r="121">
      <x:c r="A121" t="str">
        <x:v>PCC-PE-KG01-L21-20251021-AM-ORD-2025-00020-S13-C3</x:v>
      </x:c>
      <x:c r="B121" t="str">
        <x:v>PC-PE-KG01-L21-20251021-AM-ORD-2025-00020-S13</x:v>
      </x:c>
      <x:c r="C121" t="str">
        <x:v>PE-KG01-L21-20251021-AM-ORD-2025-00020</x:v>
      </x:c>
      <x:c r="D121" t="str">
        <x:v>KG01</x:v>
      </x:c>
      <x:c r="E121" s="62" t="n">
        <x:v>45951</x:v>
      </x:c>
      <x:c r="F121" t="str">
        <x:v>AM</x:v>
      </x:c>
      <x:c r="G121" t="str">
        <x:v>A</x:v>
      </x:c>
      <x:c r="H121" t="n">
        <x:v>21</x:v>
      </x:c>
      <x:c r="I121" t="str">
        <x:v>ORD-2025-00020</x:v>
      </x:c>
      <x:c r="J121" t="n">
        <x:v>13</x:v>
      </x:c>
      <x:c r="K121" t="n">
        <x:v>3</x:v>
      </x:c>
      <x:c r="L121" t="str">
        <x:v>L21-S13-C3</x:v>
      </x:c>
      <x:c r="M121" t="n">
        <x:v>0</x:v>
      </x:c>
      <x:c r="N121" t="str">
        <x:v>DerivedFromCount</x:v>
      </x:c>
      <x:c r="O121" t="str">
        <x:v>PLC-PRD-JAR-720-L21</x:v>
      </x:c>
      <x:c r="P121" t="str">
        <x:v>OK</x:v>
      </x:c>
      <x:c r="Q121" t="str">
        <x:v>OK</x:v>
      </x:c>
      <x:c r="R121" t="str">
        <x:v>OK</x:v>
      </x:c>
      <x:c r="S121" t="str">
        <x:v>OK</x:v>
      </x:c>
      <x:c r="T121" t="n">
        <x:v>20</x:v>
      </x:c>
      <x:c r="U121" t="str">
        <x:v>OK</x:v>
      </x:c>
      <x:c r="V121" t="str">
        <x:v>OK</x:v>
      </x:c>
      <x:c r="W121" t="str">
        <x:v>LOAD</x:v>
      </x:c>
      <x:c r="X121" t="str">
        <x:v>02_Supervisor_Log(4).xlsx</x:v>
      </x:c>
      <x:c r="Y121" t="str">
        <x:v>ENH-20260830-01</x:v>
      </x:c>
      <x:c r="Z121" t="str">
        <x:v>Active</x:v>
      </x:c>
      <x:c r="AA121"/>
      <x:c r="AB121"/>
      <x:c r="AC121"/>
      <x:c r="AD121"/>
    </x:row>
    <x:row r="122">
      <x:c r="A122" t="str">
        <x:v>PCC-PE-KG01-L21-20251021-PM-ORD-2025-00020-S01-C1</x:v>
      </x:c>
      <x:c r="B122" t="str">
        <x:v>PC-PE-KG01-L21-20251021-PM-ORD-2025-00020-S01</x:v>
      </x:c>
      <x:c r="C122" t="str">
        <x:v>PE-KG01-L21-20251021-PM-ORD-2025-00020</x:v>
      </x:c>
      <x:c r="D122" t="str">
        <x:v>KG01</x:v>
      </x:c>
      <x:c r="E122" s="62" t="n">
        <x:v>45951</x:v>
      </x:c>
      <x:c r="F122" t="str">
        <x:v>PM</x:v>
      </x:c>
      <x:c r="G122" t="str">
        <x:v>B</x:v>
      </x:c>
      <x:c r="H122" t="n">
        <x:v>21</x:v>
      </x:c>
      <x:c r="I122" t="str">
        <x:v>ORD-2025-00020</x:v>
      </x:c>
      <x:c r="J122" t="n">
        <x:v>1</x:v>
      </x:c>
      <x:c r="K122" t="n">
        <x:v>1</x:v>
      </x:c>
      <x:c r="L122" t="str">
        <x:v>L21-S01-C1</x:v>
      </x:c>
      <x:c r="M122" t="n">
        <x:v>1</x:v>
      </x:c>
      <x:c r="N122" t="str">
        <x:v>DerivedFromCount</x:v>
      </x:c>
      <x:c r="O122" t="str">
        <x:v>PLC-PRD-JAR-720-L21</x:v>
      </x:c>
      <x:c r="P122" t="str">
        <x:v>OK</x:v>
      </x:c>
      <x:c r="Q122" t="str">
        <x:v>OK</x:v>
      </x:c>
      <x:c r="R122" t="str">
        <x:v>OK</x:v>
      </x:c>
      <x:c r="S122" t="str">
        <x:v>OK</x:v>
      </x:c>
      <x:c r="T122" t="n">
        <x:v>20</x:v>
      </x:c>
      <x:c r="U122" t="str">
        <x:v>OK</x:v>
      </x:c>
      <x:c r="V122" t="str">
        <x:v>OK</x:v>
      </x:c>
      <x:c r="W122" t="str">
        <x:v>LOAD</x:v>
      </x:c>
      <x:c r="X122" t="str">
        <x:v>02_Supervisor_Log(4).xlsx</x:v>
      </x:c>
      <x:c r="Y122" t="str">
        <x:v>ENH-20260830-01</x:v>
      </x:c>
      <x:c r="Z122" t="str">
        <x:v>Active</x:v>
      </x:c>
      <x:c r="AA122"/>
      <x:c r="AB122"/>
      <x:c r="AC122"/>
      <x:c r="AD122"/>
    </x:row>
    <x:row r="123">
      <x:c r="A123" t="str">
        <x:v>PCC-PE-KG01-L21-20251021-PM-ORD-2025-00020-S01-C2</x:v>
      </x:c>
      <x:c r="B123" t="str">
        <x:v>PC-PE-KG01-L21-20251021-PM-ORD-2025-00020-S01</x:v>
      </x:c>
      <x:c r="C123" t="str">
        <x:v>PE-KG01-L21-20251021-PM-ORD-2025-00020</x:v>
      </x:c>
      <x:c r="D123" t="str">
        <x:v>KG01</x:v>
      </x:c>
      <x:c r="E123" s="62" t="n">
        <x:v>45951</x:v>
      </x:c>
      <x:c r="F123" t="str">
        <x:v>PM</x:v>
      </x:c>
      <x:c r="G123" t="str">
        <x:v>B</x:v>
      </x:c>
      <x:c r="H123" t="n">
        <x:v>21</x:v>
      </x:c>
      <x:c r="I123" t="str">
        <x:v>ORD-2025-00020</x:v>
      </x:c>
      <x:c r="J123" t="n">
        <x:v>1</x:v>
      </x:c>
      <x:c r="K123" t="n">
        <x:v>2</x:v>
      </x:c>
      <x:c r="L123" t="str">
        <x:v>L21-S01-C2</x:v>
      </x:c>
      <x:c r="M123" t="n">
        <x:v>1</x:v>
      </x:c>
      <x:c r="N123" t="str">
        <x:v>DerivedFromCount</x:v>
      </x:c>
      <x:c r="O123" t="str">
        <x:v>PLC-PRD-JAR-720-L21</x:v>
      </x:c>
      <x:c r="P123" t="str">
        <x:v>OK</x:v>
      </x:c>
      <x:c r="Q123" t="str">
        <x:v>OK</x:v>
      </x:c>
      <x:c r="R123" t="str">
        <x:v>OK</x:v>
      </x:c>
      <x:c r="S123" t="str">
        <x:v>OK</x:v>
      </x:c>
      <x:c r="T123" t="n">
        <x:v>20</x:v>
      </x:c>
      <x:c r="U123" t="str">
        <x:v>OK</x:v>
      </x:c>
      <x:c r="V123" t="str">
        <x:v>OK</x:v>
      </x:c>
      <x:c r="W123" t="str">
        <x:v>LOAD</x:v>
      </x:c>
      <x:c r="X123" t="str">
        <x:v>02_Supervisor_Log(4).xlsx</x:v>
      </x:c>
      <x:c r="Y123" t="str">
        <x:v>ENH-20260830-01</x:v>
      </x:c>
      <x:c r="Z123" t="str">
        <x:v>Active</x:v>
      </x:c>
      <x:c r="AA123"/>
      <x:c r="AB123"/>
      <x:c r="AC123"/>
      <x:c r="AD123"/>
    </x:row>
    <x:row r="124">
      <x:c r="A124" t="str">
        <x:v>PCC-PE-KG01-L21-20251021-PM-ORD-2025-00020-S01-C3</x:v>
      </x:c>
      <x:c r="B124" t="str">
        <x:v>PC-PE-KG01-L21-20251021-PM-ORD-2025-00020-S01</x:v>
      </x:c>
      <x:c r="C124" t="str">
        <x:v>PE-KG01-L21-20251021-PM-ORD-2025-00020</x:v>
      </x:c>
      <x:c r="D124" t="str">
        <x:v>KG01</x:v>
      </x:c>
      <x:c r="E124" s="62" t="n">
        <x:v>45951</x:v>
      </x:c>
      <x:c r="F124" t="str">
        <x:v>PM</x:v>
      </x:c>
      <x:c r="G124" t="str">
        <x:v>B</x:v>
      </x:c>
      <x:c r="H124" t="n">
        <x:v>21</x:v>
      </x:c>
      <x:c r="I124" t="str">
        <x:v>ORD-2025-00020</x:v>
      </x:c>
      <x:c r="J124" t="n">
        <x:v>1</x:v>
      </x:c>
      <x:c r="K124" t="n">
        <x:v>3</x:v>
      </x:c>
      <x:c r="L124" t="str">
        <x:v>L21-S01-C3</x:v>
      </x:c>
      <x:c r="M124" t="n">
        <x:v>0</x:v>
      </x:c>
      <x:c r="N124" t="str">
        <x:v>DerivedFromCount</x:v>
      </x:c>
      <x:c r="O124" t="str">
        <x:v>PLC-PRD-JAR-720-L21</x:v>
      </x:c>
      <x:c r="P124" t="str">
        <x:v>OK</x:v>
      </x:c>
      <x:c r="Q124" t="str">
        <x:v>OK</x:v>
      </x:c>
      <x:c r="R124" t="str">
        <x:v>OK</x:v>
      </x:c>
      <x:c r="S124" t="str">
        <x:v>OK</x:v>
      </x:c>
      <x:c r="T124" t="n">
        <x:v>20</x:v>
      </x:c>
      <x:c r="U124" t="str">
        <x:v>OK</x:v>
      </x:c>
      <x:c r="V124" t="str">
        <x:v>OK</x:v>
      </x:c>
      <x:c r="W124" t="str">
        <x:v>LOAD</x:v>
      </x:c>
      <x:c r="X124" t="str">
        <x:v>02_Supervisor_Log(4).xlsx</x:v>
      </x:c>
      <x:c r="Y124" t="str">
        <x:v>ENH-20260830-01</x:v>
      </x:c>
      <x:c r="Z124" t="str">
        <x:v>Active</x:v>
      </x:c>
      <x:c r="AA124"/>
      <x:c r="AB124"/>
      <x:c r="AC124"/>
      <x:c r="AD124"/>
    </x:row>
    <x:row r="125">
      <x:c r="A125" t="str">
        <x:v>PCC-PE-KG01-L21-20251021-PM-ORD-2025-00020-S02-C1</x:v>
      </x:c>
      <x:c r="B125" t="str">
        <x:v>PC-PE-KG01-L21-20251021-PM-ORD-2025-00020-S02</x:v>
      </x:c>
      <x:c r="C125" t="str">
        <x:v>PE-KG01-L21-20251021-PM-ORD-2025-00020</x:v>
      </x:c>
      <x:c r="D125" t="str">
        <x:v>KG01</x:v>
      </x:c>
      <x:c r="E125" s="62" t="n">
        <x:v>45951</x:v>
      </x:c>
      <x:c r="F125" t="str">
        <x:v>PM</x:v>
      </x:c>
      <x:c r="G125" t="str">
        <x:v>B</x:v>
      </x:c>
      <x:c r="H125" t="n">
        <x:v>21</x:v>
      </x:c>
      <x:c r="I125" t="str">
        <x:v>ORD-2025-00020</x:v>
      </x:c>
      <x:c r="J125" t="n">
        <x:v>2</x:v>
      </x:c>
      <x:c r="K125" t="n">
        <x:v>1</x:v>
      </x:c>
      <x:c r="L125" t="str">
        <x:v>L21-S02-C1</x:v>
      </x:c>
      <x:c r="M125" t="n">
        <x:v>1</x:v>
      </x:c>
      <x:c r="N125" t="str">
        <x:v>DerivedFromCount</x:v>
      </x:c>
      <x:c r="O125" t="str">
        <x:v>PLC-PRD-JAR-720-L21</x:v>
      </x:c>
      <x:c r="P125" t="str">
        <x:v>OK</x:v>
      </x:c>
      <x:c r="Q125" t="str">
        <x:v>OK</x:v>
      </x:c>
      <x:c r="R125" t="str">
        <x:v>OK</x:v>
      </x:c>
      <x:c r="S125" t="str">
        <x:v>OK</x:v>
      </x:c>
      <x:c r="T125" t="n">
        <x:v>20</x:v>
      </x:c>
      <x:c r="U125" t="str">
        <x:v>OK</x:v>
      </x:c>
      <x:c r="V125" t="str">
        <x:v>OK</x:v>
      </x:c>
      <x:c r="W125" t="str">
        <x:v>LOAD</x:v>
      </x:c>
      <x:c r="X125" t="str">
        <x:v>02_Supervisor_Log(4).xlsx</x:v>
      </x:c>
      <x:c r="Y125" t="str">
        <x:v>ENH-20260830-01</x:v>
      </x:c>
      <x:c r="Z125" t="str">
        <x:v>Active</x:v>
      </x:c>
      <x:c r="AA125"/>
      <x:c r="AB125"/>
      <x:c r="AC125"/>
      <x:c r="AD125"/>
    </x:row>
    <x:row r="126">
      <x:c r="A126" t="str">
        <x:v>PCC-PE-KG01-L21-20251021-PM-ORD-2025-00020-S02-C2</x:v>
      </x:c>
      <x:c r="B126" t="str">
        <x:v>PC-PE-KG01-L21-20251021-PM-ORD-2025-00020-S02</x:v>
      </x:c>
      <x:c r="C126" t="str">
        <x:v>PE-KG01-L21-20251021-PM-ORD-2025-00020</x:v>
      </x:c>
      <x:c r="D126" t="str">
        <x:v>KG01</x:v>
      </x:c>
      <x:c r="E126" s="62" t="n">
        <x:v>45951</x:v>
      </x:c>
      <x:c r="F126" t="str">
        <x:v>PM</x:v>
      </x:c>
      <x:c r="G126" t="str">
        <x:v>B</x:v>
      </x:c>
      <x:c r="H126" t="n">
        <x:v>21</x:v>
      </x:c>
      <x:c r="I126" t="str">
        <x:v>ORD-2025-00020</x:v>
      </x:c>
      <x:c r="J126" t="n">
        <x:v>2</x:v>
      </x:c>
      <x:c r="K126" t="n">
        <x:v>2</x:v>
      </x:c>
      <x:c r="L126" t="str">
        <x:v>L21-S02-C2</x:v>
      </x:c>
      <x:c r="M126" t="n">
        <x:v>1</x:v>
      </x:c>
      <x:c r="N126" t="str">
        <x:v>DerivedFromCount</x:v>
      </x:c>
      <x:c r="O126" t="str">
        <x:v>PLC-PRD-JAR-720-L21</x:v>
      </x:c>
      <x:c r="P126" t="str">
        <x:v>OK</x:v>
      </x:c>
      <x:c r="Q126" t="str">
        <x:v>OK</x:v>
      </x:c>
      <x:c r="R126" t="str">
        <x:v>OK</x:v>
      </x:c>
      <x:c r="S126" t="str">
        <x:v>OK</x:v>
      </x:c>
      <x:c r="T126" t="n">
        <x:v>20</x:v>
      </x:c>
      <x:c r="U126" t="str">
        <x:v>OK</x:v>
      </x:c>
      <x:c r="V126" t="str">
        <x:v>OK</x:v>
      </x:c>
      <x:c r="W126" t="str">
        <x:v>LOAD</x:v>
      </x:c>
      <x:c r="X126" t="str">
        <x:v>02_Supervisor_Log(4).xlsx</x:v>
      </x:c>
      <x:c r="Y126" t="str">
        <x:v>ENH-20260830-01</x:v>
      </x:c>
      <x:c r="Z126" t="str">
        <x:v>Active</x:v>
      </x:c>
      <x:c r="AA126"/>
      <x:c r="AB126"/>
      <x:c r="AC126"/>
      <x:c r="AD126"/>
    </x:row>
    <x:row r="127">
      <x:c r="A127" t="str">
        <x:v>PCC-PE-KG01-L21-20251021-PM-ORD-2025-00020-S02-C3</x:v>
      </x:c>
      <x:c r="B127" t="str">
        <x:v>PC-PE-KG01-L21-20251021-PM-ORD-2025-00020-S02</x:v>
      </x:c>
      <x:c r="C127" t="str">
        <x:v>PE-KG01-L21-20251021-PM-ORD-2025-00020</x:v>
      </x:c>
      <x:c r="D127" t="str">
        <x:v>KG01</x:v>
      </x:c>
      <x:c r="E127" s="62" t="n">
        <x:v>45951</x:v>
      </x:c>
      <x:c r="F127" t="str">
        <x:v>PM</x:v>
      </x:c>
      <x:c r="G127" t="str">
        <x:v>B</x:v>
      </x:c>
      <x:c r="H127" t="n">
        <x:v>21</x:v>
      </x:c>
      <x:c r="I127" t="str">
        <x:v>ORD-2025-00020</x:v>
      </x:c>
      <x:c r="J127" t="n">
        <x:v>2</x:v>
      </x:c>
      <x:c r="K127" t="n">
        <x:v>3</x:v>
      </x:c>
      <x:c r="L127" t="str">
        <x:v>L21-S02-C3</x:v>
      </x:c>
      <x:c r="M127" t="n">
        <x:v>0</x:v>
      </x:c>
      <x:c r="N127" t="str">
        <x:v>DerivedFromCount</x:v>
      </x:c>
      <x:c r="O127" t="str">
        <x:v>PLC-PRD-JAR-720-L21</x:v>
      </x:c>
      <x:c r="P127" t="str">
        <x:v>OK</x:v>
      </x:c>
      <x:c r="Q127" t="str">
        <x:v>OK</x:v>
      </x:c>
      <x:c r="R127" t="str">
        <x:v>OK</x:v>
      </x:c>
      <x:c r="S127" t="str">
        <x:v>OK</x:v>
      </x:c>
      <x:c r="T127" t="n">
        <x:v>20</x:v>
      </x:c>
      <x:c r="U127" t="str">
        <x:v>OK</x:v>
      </x:c>
      <x:c r="V127" t="str">
        <x:v>OK</x:v>
      </x:c>
      <x:c r="W127" t="str">
        <x:v>LOAD</x:v>
      </x:c>
      <x:c r="X127" t="str">
        <x:v>02_Supervisor_Log(4).xlsx</x:v>
      </x:c>
      <x:c r="Y127" t="str">
        <x:v>ENH-20260830-01</x:v>
      </x:c>
      <x:c r="Z127" t="str">
        <x:v>Active</x:v>
      </x:c>
      <x:c r="AA127"/>
      <x:c r="AB127"/>
      <x:c r="AC127"/>
      <x:c r="AD127"/>
    </x:row>
    <x:row r="128">
      <x:c r="A128" t="str">
        <x:v>PCC-PE-KG01-L21-20251021-PM-ORD-2025-00020-S03-C1</x:v>
      </x:c>
      <x:c r="B128" t="str">
        <x:v>PC-PE-KG01-L21-20251021-PM-ORD-2025-00020-S03</x:v>
      </x:c>
      <x:c r="C128" t="str">
        <x:v>PE-KG01-L21-20251021-PM-ORD-2025-00020</x:v>
      </x:c>
      <x:c r="D128" t="str">
        <x:v>KG01</x:v>
      </x:c>
      <x:c r="E128" s="62" t="n">
        <x:v>45951</x:v>
      </x:c>
      <x:c r="F128" t="str">
        <x:v>PM</x:v>
      </x:c>
      <x:c r="G128" t="str">
        <x:v>B</x:v>
      </x:c>
      <x:c r="H128" t="n">
        <x:v>21</x:v>
      </x:c>
      <x:c r="I128" t="str">
        <x:v>ORD-2025-00020</x:v>
      </x:c>
      <x:c r="J128" t="n">
        <x:v>3</x:v>
      </x:c>
      <x:c r="K128" t="n">
        <x:v>1</x:v>
      </x:c>
      <x:c r="L128" t="str">
        <x:v>L21-S03-C1</x:v>
      </x:c>
      <x:c r="M128" t="n">
        <x:v>1</x:v>
      </x:c>
      <x:c r="N128" t="str">
        <x:v>DerivedFromCount</x:v>
      </x:c>
      <x:c r="O128" t="str">
        <x:v>PLC-PRD-JAR-720-L21</x:v>
      </x:c>
      <x:c r="P128" t="str">
        <x:v>OK</x:v>
      </x:c>
      <x:c r="Q128" t="str">
        <x:v>OK</x:v>
      </x:c>
      <x:c r="R128" t="str">
        <x:v>OK</x:v>
      </x:c>
      <x:c r="S128" t="str">
        <x:v>OK</x:v>
      </x:c>
      <x:c r="T128" t="n">
        <x:v>20</x:v>
      </x:c>
      <x:c r="U128" t="str">
        <x:v>OK</x:v>
      </x:c>
      <x:c r="V128" t="str">
        <x:v>OK</x:v>
      </x:c>
      <x:c r="W128" t="str">
        <x:v>LOAD</x:v>
      </x:c>
      <x:c r="X128" t="str">
        <x:v>02_Supervisor_Log(4).xlsx</x:v>
      </x:c>
      <x:c r="Y128" t="str">
        <x:v>ENH-20260830-01</x:v>
      </x:c>
      <x:c r="Z128" t="str">
        <x:v>Active</x:v>
      </x:c>
      <x:c r="AA128"/>
      <x:c r="AB128"/>
      <x:c r="AC128"/>
      <x:c r="AD128"/>
    </x:row>
    <x:row r="129">
      <x:c r="A129" t="str">
        <x:v>PCC-PE-KG01-L21-20251021-PM-ORD-2025-00020-S03-C2</x:v>
      </x:c>
      <x:c r="B129" t="str">
        <x:v>PC-PE-KG01-L21-20251021-PM-ORD-2025-00020-S03</x:v>
      </x:c>
      <x:c r="C129" t="str">
        <x:v>PE-KG01-L21-20251021-PM-ORD-2025-00020</x:v>
      </x:c>
      <x:c r="D129" t="str">
        <x:v>KG01</x:v>
      </x:c>
      <x:c r="E129" s="62" t="n">
        <x:v>45951</x:v>
      </x:c>
      <x:c r="F129" t="str">
        <x:v>PM</x:v>
      </x:c>
      <x:c r="G129" t="str">
        <x:v>B</x:v>
      </x:c>
      <x:c r="H129" t="n">
        <x:v>21</x:v>
      </x:c>
      <x:c r="I129" t="str">
        <x:v>ORD-2025-00020</x:v>
      </x:c>
      <x:c r="J129" t="n">
        <x:v>3</x:v>
      </x:c>
      <x:c r="K129" t="n">
        <x:v>2</x:v>
      </x:c>
      <x:c r="L129" t="str">
        <x:v>L21-S03-C2</x:v>
      </x:c>
      <x:c r="M129" t="n">
        <x:v>1</x:v>
      </x:c>
      <x:c r="N129" t="str">
        <x:v>DerivedFromCount</x:v>
      </x:c>
      <x:c r="O129" t="str">
        <x:v>PLC-PRD-JAR-720-L21</x:v>
      </x:c>
      <x:c r="P129" t="str">
        <x:v>OK</x:v>
      </x:c>
      <x:c r="Q129" t="str">
        <x:v>OK</x:v>
      </x:c>
      <x:c r="R129" t="str">
        <x:v>OK</x:v>
      </x:c>
      <x:c r="S129" t="str">
        <x:v>OK</x:v>
      </x:c>
      <x:c r="T129" t="n">
        <x:v>20</x:v>
      </x:c>
      <x:c r="U129" t="str">
        <x:v>OK</x:v>
      </x:c>
      <x:c r="V129" t="str">
        <x:v>OK</x:v>
      </x:c>
      <x:c r="W129" t="str">
        <x:v>LOAD</x:v>
      </x:c>
      <x:c r="X129" t="str">
        <x:v>02_Supervisor_Log(4).xlsx</x:v>
      </x:c>
      <x:c r="Y129" t="str">
        <x:v>ENH-20260830-01</x:v>
      </x:c>
      <x:c r="Z129" t="str">
        <x:v>Active</x:v>
      </x:c>
      <x:c r="AA129"/>
      <x:c r="AB129"/>
      <x:c r="AC129"/>
      <x:c r="AD129"/>
    </x:row>
    <x:row r="130">
      <x:c r="A130" t="str">
        <x:v>PCC-PE-KG01-L21-20251021-PM-ORD-2025-00020-S03-C3</x:v>
      </x:c>
      <x:c r="B130" t="str">
        <x:v>PC-PE-KG01-L21-20251021-PM-ORD-2025-00020-S03</x:v>
      </x:c>
      <x:c r="C130" t="str">
        <x:v>PE-KG01-L21-20251021-PM-ORD-2025-00020</x:v>
      </x:c>
      <x:c r="D130" t="str">
        <x:v>KG01</x:v>
      </x:c>
      <x:c r="E130" s="62" t="n">
        <x:v>45951</x:v>
      </x:c>
      <x:c r="F130" t="str">
        <x:v>PM</x:v>
      </x:c>
      <x:c r="G130" t="str">
        <x:v>B</x:v>
      </x:c>
      <x:c r="H130" t="n">
        <x:v>21</x:v>
      </x:c>
      <x:c r="I130" t="str">
        <x:v>ORD-2025-00020</x:v>
      </x:c>
      <x:c r="J130" t="n">
        <x:v>3</x:v>
      </x:c>
      <x:c r="K130" t="n">
        <x:v>3</x:v>
      </x:c>
      <x:c r="L130" t="str">
        <x:v>L21-S03-C3</x:v>
      </x:c>
      <x:c r="M130" t="n">
        <x:v>0</x:v>
      </x:c>
      <x:c r="N130" t="str">
        <x:v>DerivedFromCount</x:v>
      </x:c>
      <x:c r="O130" t="str">
        <x:v>PLC-PRD-JAR-720-L21</x:v>
      </x:c>
      <x:c r="P130" t="str">
        <x:v>OK</x:v>
      </x:c>
      <x:c r="Q130" t="str">
        <x:v>OK</x:v>
      </x:c>
      <x:c r="R130" t="str">
        <x:v>OK</x:v>
      </x:c>
      <x:c r="S130" t="str">
        <x:v>OK</x:v>
      </x:c>
      <x:c r="T130" t="n">
        <x:v>20</x:v>
      </x:c>
      <x:c r="U130" t="str">
        <x:v>OK</x:v>
      </x:c>
      <x:c r="V130" t="str">
        <x:v>OK</x:v>
      </x:c>
      <x:c r="W130" t="str">
        <x:v>LOAD</x:v>
      </x:c>
      <x:c r="X130" t="str">
        <x:v>02_Supervisor_Log(4).xlsx</x:v>
      </x:c>
      <x:c r="Y130" t="str">
        <x:v>ENH-20260830-01</x:v>
      </x:c>
      <x:c r="Z130" t="str">
        <x:v>Active</x:v>
      </x:c>
      <x:c r="AA130"/>
      <x:c r="AB130"/>
      <x:c r="AC130"/>
      <x:c r="AD130"/>
    </x:row>
    <x:row r="131">
      <x:c r="A131" t="str">
        <x:v>PCC-PE-KG01-L21-20251021-PM-ORD-2025-00020-S04-C1</x:v>
      </x:c>
      <x:c r="B131" t="str">
        <x:v>PC-PE-KG01-L21-20251021-PM-ORD-2025-00020-S04</x:v>
      </x:c>
      <x:c r="C131" t="str">
        <x:v>PE-KG01-L21-20251021-PM-ORD-2025-00020</x:v>
      </x:c>
      <x:c r="D131" t="str">
        <x:v>KG01</x:v>
      </x:c>
      <x:c r="E131" s="62" t="n">
        <x:v>45951</x:v>
      </x:c>
      <x:c r="F131" t="str">
        <x:v>PM</x:v>
      </x:c>
      <x:c r="G131" t="str">
        <x:v>B</x:v>
      </x:c>
      <x:c r="H131" t="n">
        <x:v>21</x:v>
      </x:c>
      <x:c r="I131" t="str">
        <x:v>ORD-2025-00020</x:v>
      </x:c>
      <x:c r="J131" t="n">
        <x:v>4</x:v>
      </x:c>
      <x:c r="K131" t="n">
        <x:v>1</x:v>
      </x:c>
      <x:c r="L131" t="str">
        <x:v>L21-S04-C1</x:v>
      </x:c>
      <x:c r="M131" t="n">
        <x:v>1</x:v>
      </x:c>
      <x:c r="N131" t="str">
        <x:v>DerivedFromCount</x:v>
      </x:c>
      <x:c r="O131" t="str">
        <x:v>PLC-PRD-JAR-720-L21</x:v>
      </x:c>
      <x:c r="P131" t="str">
        <x:v>OK</x:v>
      </x:c>
      <x:c r="Q131" t="str">
        <x:v>OK</x:v>
      </x:c>
      <x:c r="R131" t="str">
        <x:v>OK</x:v>
      </x:c>
      <x:c r="S131" t="str">
        <x:v>OK</x:v>
      </x:c>
      <x:c r="T131" t="n">
        <x:v>20</x:v>
      </x:c>
      <x:c r="U131" t="str">
        <x:v>OK</x:v>
      </x:c>
      <x:c r="V131" t="str">
        <x:v>OK</x:v>
      </x:c>
      <x:c r="W131" t="str">
        <x:v>LOAD</x:v>
      </x:c>
      <x:c r="X131" t="str">
        <x:v>02_Supervisor_Log(4).xlsx</x:v>
      </x:c>
      <x:c r="Y131" t="str">
        <x:v>ENH-20260830-01</x:v>
      </x:c>
      <x:c r="Z131" t="str">
        <x:v>Active</x:v>
      </x:c>
      <x:c r="AA131"/>
      <x:c r="AB131"/>
      <x:c r="AC131"/>
      <x:c r="AD131"/>
    </x:row>
    <x:row r="132">
      <x:c r="A132" t="str">
        <x:v>PCC-PE-KG01-L21-20251021-PM-ORD-2025-00020-S04-C2</x:v>
      </x:c>
      <x:c r="B132" t="str">
        <x:v>PC-PE-KG01-L21-20251021-PM-ORD-2025-00020-S04</x:v>
      </x:c>
      <x:c r="C132" t="str">
        <x:v>PE-KG01-L21-20251021-PM-ORD-2025-00020</x:v>
      </x:c>
      <x:c r="D132" t="str">
        <x:v>KG01</x:v>
      </x:c>
      <x:c r="E132" s="62" t="n">
        <x:v>45951</x:v>
      </x:c>
      <x:c r="F132" t="str">
        <x:v>PM</x:v>
      </x:c>
      <x:c r="G132" t="str">
        <x:v>B</x:v>
      </x:c>
      <x:c r="H132" t="n">
        <x:v>21</x:v>
      </x:c>
      <x:c r="I132" t="str">
        <x:v>ORD-2025-00020</x:v>
      </x:c>
      <x:c r="J132" t="n">
        <x:v>4</x:v>
      </x:c>
      <x:c r="K132" t="n">
        <x:v>2</x:v>
      </x:c>
      <x:c r="L132" t="str">
        <x:v>L21-S04-C2</x:v>
      </x:c>
      <x:c r="M132" t="n">
        <x:v>1</x:v>
      </x:c>
      <x:c r="N132" t="str">
        <x:v>DerivedFromCount</x:v>
      </x:c>
      <x:c r="O132" t="str">
        <x:v>PLC-PRD-JAR-720-L21</x:v>
      </x:c>
      <x:c r="P132" t="str">
        <x:v>OK</x:v>
      </x:c>
      <x:c r="Q132" t="str">
        <x:v>OK</x:v>
      </x:c>
      <x:c r="R132" t="str">
        <x:v>OK</x:v>
      </x:c>
      <x:c r="S132" t="str">
        <x:v>OK</x:v>
      </x:c>
      <x:c r="T132" t="n">
        <x:v>20</x:v>
      </x:c>
      <x:c r="U132" t="str">
        <x:v>OK</x:v>
      </x:c>
      <x:c r="V132" t="str">
        <x:v>OK</x:v>
      </x:c>
      <x:c r="W132" t="str">
        <x:v>LOAD</x:v>
      </x:c>
      <x:c r="X132" t="str">
        <x:v>02_Supervisor_Log(4).xlsx</x:v>
      </x:c>
      <x:c r="Y132" t="str">
        <x:v>ENH-20260830-01</x:v>
      </x:c>
      <x:c r="Z132" t="str">
        <x:v>Active</x:v>
      </x:c>
      <x:c r="AA132"/>
      <x:c r="AB132"/>
      <x:c r="AC132"/>
      <x:c r="AD132"/>
    </x:row>
    <x:row r="133">
      <x:c r="A133" t="str">
        <x:v>PCC-PE-KG01-L21-20251021-PM-ORD-2025-00020-S04-C3</x:v>
      </x:c>
      <x:c r="B133" t="str">
        <x:v>PC-PE-KG01-L21-20251021-PM-ORD-2025-00020-S04</x:v>
      </x:c>
      <x:c r="C133" t="str">
        <x:v>PE-KG01-L21-20251021-PM-ORD-2025-00020</x:v>
      </x:c>
      <x:c r="D133" t="str">
        <x:v>KG01</x:v>
      </x:c>
      <x:c r="E133" s="62" t="n">
        <x:v>45951</x:v>
      </x:c>
      <x:c r="F133" t="str">
        <x:v>PM</x:v>
      </x:c>
      <x:c r="G133" t="str">
        <x:v>B</x:v>
      </x:c>
      <x:c r="H133" t="n">
        <x:v>21</x:v>
      </x:c>
      <x:c r="I133" t="str">
        <x:v>ORD-2025-00020</x:v>
      </x:c>
      <x:c r="J133" t="n">
        <x:v>4</x:v>
      </x:c>
      <x:c r="K133" t="n">
        <x:v>3</x:v>
      </x:c>
      <x:c r="L133" t="str">
        <x:v>L21-S04-C3</x:v>
      </x:c>
      <x:c r="M133" t="n">
        <x:v>0</x:v>
      </x:c>
      <x:c r="N133" t="str">
        <x:v>DerivedFromCount</x:v>
      </x:c>
      <x:c r="O133" t="str">
        <x:v>PLC-PRD-JAR-720-L21</x:v>
      </x:c>
      <x:c r="P133" t="str">
        <x:v>OK</x:v>
      </x:c>
      <x:c r="Q133" t="str">
        <x:v>OK</x:v>
      </x:c>
      <x:c r="R133" t="str">
        <x:v>OK</x:v>
      </x:c>
      <x:c r="S133" t="str">
        <x:v>OK</x:v>
      </x:c>
      <x:c r="T133" t="n">
        <x:v>20</x:v>
      </x:c>
      <x:c r="U133" t="str">
        <x:v>OK</x:v>
      </x:c>
      <x:c r="V133" t="str">
        <x:v>OK</x:v>
      </x:c>
      <x:c r="W133" t="str">
        <x:v>LOAD</x:v>
      </x:c>
      <x:c r="X133" t="str">
        <x:v>02_Supervisor_Log(4).xlsx</x:v>
      </x:c>
      <x:c r="Y133" t="str">
        <x:v>ENH-20260830-01</x:v>
      </x:c>
      <x:c r="Z133" t="str">
        <x:v>Active</x:v>
      </x:c>
      <x:c r="AA133"/>
      <x:c r="AB133"/>
      <x:c r="AC133"/>
      <x:c r="AD133"/>
    </x:row>
    <x:row r="134">
      <x:c r="A134" t="str">
        <x:v>PCC-PE-KG01-L21-20251021-PM-ORD-2025-00020-S05-C1</x:v>
      </x:c>
      <x:c r="B134" t="str">
        <x:v>PC-PE-KG01-L21-20251021-PM-ORD-2025-00020-S05</x:v>
      </x:c>
      <x:c r="C134" t="str">
        <x:v>PE-KG01-L21-20251021-PM-ORD-2025-00020</x:v>
      </x:c>
      <x:c r="D134" t="str">
        <x:v>KG01</x:v>
      </x:c>
      <x:c r="E134" s="62" t="n">
        <x:v>45951</x:v>
      </x:c>
      <x:c r="F134" t="str">
        <x:v>PM</x:v>
      </x:c>
      <x:c r="G134" t="str">
        <x:v>B</x:v>
      </x:c>
      <x:c r="H134" t="n">
        <x:v>21</x:v>
      </x:c>
      <x:c r="I134" t="str">
        <x:v>ORD-2025-00020</x:v>
      </x:c>
      <x:c r="J134" t="n">
        <x:v>5</x:v>
      </x:c>
      <x:c r="K134" t="n">
        <x:v>1</x:v>
      </x:c>
      <x:c r="L134" t="str">
        <x:v>L21-S05-C1</x:v>
      </x:c>
      <x:c r="M134" t="n">
        <x:v>1</x:v>
      </x:c>
      <x:c r="N134" t="str">
        <x:v>DerivedFromCount</x:v>
      </x:c>
      <x:c r="O134" t="str">
        <x:v>PLC-PRD-JAR-720-L21</x:v>
      </x:c>
      <x:c r="P134" t="str">
        <x:v>OK</x:v>
      </x:c>
      <x:c r="Q134" t="str">
        <x:v>OK</x:v>
      </x:c>
      <x:c r="R134" t="str">
        <x:v>OK</x:v>
      </x:c>
      <x:c r="S134" t="str">
        <x:v>OK</x:v>
      </x:c>
      <x:c r="T134" t="n">
        <x:v>20</x:v>
      </x:c>
      <x:c r="U134" t="str">
        <x:v>OK</x:v>
      </x:c>
      <x:c r="V134" t="str">
        <x:v>OK</x:v>
      </x:c>
      <x:c r="W134" t="str">
        <x:v>LOAD</x:v>
      </x:c>
      <x:c r="X134" t="str">
        <x:v>02_Supervisor_Log(4).xlsx</x:v>
      </x:c>
      <x:c r="Y134" t="str">
        <x:v>ENH-20260830-01</x:v>
      </x:c>
      <x:c r="Z134" t="str">
        <x:v>Active</x:v>
      </x:c>
      <x:c r="AA134"/>
      <x:c r="AB134"/>
      <x:c r="AC134"/>
      <x:c r="AD134"/>
    </x:row>
    <x:row r="135">
      <x:c r="A135" t="str">
        <x:v>PCC-PE-KG01-L21-20251021-PM-ORD-2025-00020-S05-C2</x:v>
      </x:c>
      <x:c r="B135" t="str">
        <x:v>PC-PE-KG01-L21-20251021-PM-ORD-2025-00020-S05</x:v>
      </x:c>
      <x:c r="C135" t="str">
        <x:v>PE-KG01-L21-20251021-PM-ORD-2025-00020</x:v>
      </x:c>
      <x:c r="D135" t="str">
        <x:v>KG01</x:v>
      </x:c>
      <x:c r="E135" s="62" t="n">
        <x:v>45951</x:v>
      </x:c>
      <x:c r="F135" t="str">
        <x:v>PM</x:v>
      </x:c>
      <x:c r="G135" t="str">
        <x:v>B</x:v>
      </x:c>
      <x:c r="H135" t="n">
        <x:v>21</x:v>
      </x:c>
      <x:c r="I135" t="str">
        <x:v>ORD-2025-00020</x:v>
      </x:c>
      <x:c r="J135" t="n">
        <x:v>5</x:v>
      </x:c>
      <x:c r="K135" t="n">
        <x:v>2</x:v>
      </x:c>
      <x:c r="L135" t="str">
        <x:v>L21-S05-C2</x:v>
      </x:c>
      <x:c r="M135" t="n">
        <x:v>1</x:v>
      </x:c>
      <x:c r="N135" t="str">
        <x:v>DerivedFromCount</x:v>
      </x:c>
      <x:c r="O135" t="str">
        <x:v>PLC-PRD-JAR-720-L21</x:v>
      </x:c>
      <x:c r="P135" t="str">
        <x:v>OK</x:v>
      </x:c>
      <x:c r="Q135" t="str">
        <x:v>OK</x:v>
      </x:c>
      <x:c r="R135" t="str">
        <x:v>OK</x:v>
      </x:c>
      <x:c r="S135" t="str">
        <x:v>OK</x:v>
      </x:c>
      <x:c r="T135" t="n">
        <x:v>20</x:v>
      </x:c>
      <x:c r="U135" t="str">
        <x:v>OK</x:v>
      </x:c>
      <x:c r="V135" t="str">
        <x:v>OK</x:v>
      </x:c>
      <x:c r="W135" t="str">
        <x:v>LOAD</x:v>
      </x:c>
      <x:c r="X135" t="str">
        <x:v>02_Supervisor_Log(4).xlsx</x:v>
      </x:c>
      <x:c r="Y135" t="str">
        <x:v>ENH-20260830-01</x:v>
      </x:c>
      <x:c r="Z135" t="str">
        <x:v>Active</x:v>
      </x:c>
      <x:c r="AA135"/>
      <x:c r="AB135"/>
      <x:c r="AC135"/>
      <x:c r="AD135"/>
    </x:row>
    <x:row r="136">
      <x:c r="A136" t="str">
        <x:v>PCC-PE-KG01-L21-20251021-PM-ORD-2025-00020-S05-C3</x:v>
      </x:c>
      <x:c r="B136" t="str">
        <x:v>PC-PE-KG01-L21-20251021-PM-ORD-2025-00020-S05</x:v>
      </x:c>
      <x:c r="C136" t="str">
        <x:v>PE-KG01-L21-20251021-PM-ORD-2025-00020</x:v>
      </x:c>
      <x:c r="D136" t="str">
        <x:v>KG01</x:v>
      </x:c>
      <x:c r="E136" s="62" t="n">
        <x:v>45951</x:v>
      </x:c>
      <x:c r="F136" t="str">
        <x:v>PM</x:v>
      </x:c>
      <x:c r="G136" t="str">
        <x:v>B</x:v>
      </x:c>
      <x:c r="H136" t="n">
        <x:v>21</x:v>
      </x:c>
      <x:c r="I136" t="str">
        <x:v>ORD-2025-00020</x:v>
      </x:c>
      <x:c r="J136" t="n">
        <x:v>5</x:v>
      </x:c>
      <x:c r="K136" t="n">
        <x:v>3</x:v>
      </x:c>
      <x:c r="L136" t="str">
        <x:v>L21-S05-C3</x:v>
      </x:c>
      <x:c r="M136" t="n">
        <x:v>0</x:v>
      </x:c>
      <x:c r="N136" t="str">
        <x:v>DerivedFromCount</x:v>
      </x:c>
      <x:c r="O136" t="str">
        <x:v>PLC-PRD-JAR-720-L21</x:v>
      </x:c>
      <x:c r="P136" t="str">
        <x:v>OK</x:v>
      </x:c>
      <x:c r="Q136" t="str">
        <x:v>OK</x:v>
      </x:c>
      <x:c r="R136" t="str">
        <x:v>OK</x:v>
      </x:c>
      <x:c r="S136" t="str">
        <x:v>OK</x:v>
      </x:c>
      <x:c r="T136" t="n">
        <x:v>20</x:v>
      </x:c>
      <x:c r="U136" t="str">
        <x:v>OK</x:v>
      </x:c>
      <x:c r="V136" t="str">
        <x:v>OK</x:v>
      </x:c>
      <x:c r="W136" t="str">
        <x:v>LOAD</x:v>
      </x:c>
      <x:c r="X136" t="str">
        <x:v>02_Supervisor_Log(4).xlsx</x:v>
      </x:c>
      <x:c r="Y136" t="str">
        <x:v>ENH-20260830-01</x:v>
      </x:c>
      <x:c r="Z136" t="str">
        <x:v>Active</x:v>
      </x:c>
      <x:c r="AA136"/>
      <x:c r="AB136"/>
      <x:c r="AC136"/>
      <x:c r="AD136"/>
    </x:row>
    <x:row r="137">
      <x:c r="A137" t="str">
        <x:v>PCC-PE-KG01-L21-20251021-PM-ORD-2025-00020-S06-C1</x:v>
      </x:c>
      <x:c r="B137" t="str">
        <x:v>PC-PE-KG01-L21-20251021-PM-ORD-2025-00020-S06</x:v>
      </x:c>
      <x:c r="C137" t="str">
        <x:v>PE-KG01-L21-20251021-PM-ORD-2025-00020</x:v>
      </x:c>
      <x:c r="D137" t="str">
        <x:v>KG01</x:v>
      </x:c>
      <x:c r="E137" s="62" t="n">
        <x:v>45951</x:v>
      </x:c>
      <x:c r="F137" t="str">
        <x:v>PM</x:v>
      </x:c>
      <x:c r="G137" t="str">
        <x:v>B</x:v>
      </x:c>
      <x:c r="H137" t="n">
        <x:v>21</x:v>
      </x:c>
      <x:c r="I137" t="str">
        <x:v>ORD-2025-00020</x:v>
      </x:c>
      <x:c r="J137" t="n">
        <x:v>6</x:v>
      </x:c>
      <x:c r="K137" t="n">
        <x:v>1</x:v>
      </x:c>
      <x:c r="L137" t="str">
        <x:v>L21-S06-C1</x:v>
      </x:c>
      <x:c r="M137" t="n">
        <x:v>1</x:v>
      </x:c>
      <x:c r="N137" t="str">
        <x:v>DerivedFromCount</x:v>
      </x:c>
      <x:c r="O137" t="str">
        <x:v>PLC-PRD-JAR-720-L21</x:v>
      </x:c>
      <x:c r="P137" t="str">
        <x:v>OK</x:v>
      </x:c>
      <x:c r="Q137" t="str">
        <x:v>OK</x:v>
      </x:c>
      <x:c r="R137" t="str">
        <x:v>OK</x:v>
      </x:c>
      <x:c r="S137" t="str">
        <x:v>OK</x:v>
      </x:c>
      <x:c r="T137" t="n">
        <x:v>20</x:v>
      </x:c>
      <x:c r="U137" t="str">
        <x:v>OK</x:v>
      </x:c>
      <x:c r="V137" t="str">
        <x:v>OK</x:v>
      </x:c>
      <x:c r="W137" t="str">
        <x:v>LOAD</x:v>
      </x:c>
      <x:c r="X137" t="str">
        <x:v>02_Supervisor_Log(4).xlsx</x:v>
      </x:c>
      <x:c r="Y137" t="str">
        <x:v>ENH-20260830-01</x:v>
      </x:c>
      <x:c r="Z137" t="str">
        <x:v>Active</x:v>
      </x:c>
      <x:c r="AA137"/>
      <x:c r="AB137"/>
      <x:c r="AC137"/>
      <x:c r="AD137"/>
    </x:row>
    <x:row r="138">
      <x:c r="A138" t="str">
        <x:v>PCC-PE-KG01-L21-20251021-PM-ORD-2025-00020-S06-C2</x:v>
      </x:c>
      <x:c r="B138" t="str">
        <x:v>PC-PE-KG01-L21-20251021-PM-ORD-2025-00020-S06</x:v>
      </x:c>
      <x:c r="C138" t="str">
        <x:v>PE-KG01-L21-20251021-PM-ORD-2025-00020</x:v>
      </x:c>
      <x:c r="D138" t="str">
        <x:v>KG01</x:v>
      </x:c>
      <x:c r="E138" s="62" t="n">
        <x:v>45951</x:v>
      </x:c>
      <x:c r="F138" t="str">
        <x:v>PM</x:v>
      </x:c>
      <x:c r="G138" t="str">
        <x:v>B</x:v>
      </x:c>
      <x:c r="H138" t="n">
        <x:v>21</x:v>
      </x:c>
      <x:c r="I138" t="str">
        <x:v>ORD-2025-00020</x:v>
      </x:c>
      <x:c r="J138" t="n">
        <x:v>6</x:v>
      </x:c>
      <x:c r="K138" t="n">
        <x:v>2</x:v>
      </x:c>
      <x:c r="L138" t="str">
        <x:v>L21-S06-C2</x:v>
      </x:c>
      <x:c r="M138" t="n">
        <x:v>1</x:v>
      </x:c>
      <x:c r="N138" t="str">
        <x:v>DerivedFromCount</x:v>
      </x:c>
      <x:c r="O138" t="str">
        <x:v>PLC-PRD-JAR-720-L21</x:v>
      </x:c>
      <x:c r="P138" t="str">
        <x:v>OK</x:v>
      </x:c>
      <x:c r="Q138" t="str">
        <x:v>OK</x:v>
      </x:c>
      <x:c r="R138" t="str">
        <x:v>OK</x:v>
      </x:c>
      <x:c r="S138" t="str">
        <x:v>OK</x:v>
      </x:c>
      <x:c r="T138" t="n">
        <x:v>20</x:v>
      </x:c>
      <x:c r="U138" t="str">
        <x:v>OK</x:v>
      </x:c>
      <x:c r="V138" t="str">
        <x:v>OK</x:v>
      </x:c>
      <x:c r="W138" t="str">
        <x:v>LOAD</x:v>
      </x:c>
      <x:c r="X138" t="str">
        <x:v>02_Supervisor_Log(4).xlsx</x:v>
      </x:c>
      <x:c r="Y138" t="str">
        <x:v>ENH-20260830-01</x:v>
      </x:c>
      <x:c r="Z138" t="str">
        <x:v>Active</x:v>
      </x:c>
      <x:c r="AA138"/>
      <x:c r="AB138"/>
      <x:c r="AC138"/>
      <x:c r="AD138"/>
    </x:row>
    <x:row r="139">
      <x:c r="A139" t="str">
        <x:v>PCC-PE-KG01-L21-20251021-PM-ORD-2025-00020-S06-C3</x:v>
      </x:c>
      <x:c r="B139" t="str">
        <x:v>PC-PE-KG01-L21-20251021-PM-ORD-2025-00020-S06</x:v>
      </x:c>
      <x:c r="C139" t="str">
        <x:v>PE-KG01-L21-20251021-PM-ORD-2025-00020</x:v>
      </x:c>
      <x:c r="D139" t="str">
        <x:v>KG01</x:v>
      </x:c>
      <x:c r="E139" s="62" t="n">
        <x:v>45951</x:v>
      </x:c>
      <x:c r="F139" t="str">
        <x:v>PM</x:v>
      </x:c>
      <x:c r="G139" t="str">
        <x:v>B</x:v>
      </x:c>
      <x:c r="H139" t="n">
        <x:v>21</x:v>
      </x:c>
      <x:c r="I139" t="str">
        <x:v>ORD-2025-00020</x:v>
      </x:c>
      <x:c r="J139" t="n">
        <x:v>6</x:v>
      </x:c>
      <x:c r="K139" t="n">
        <x:v>3</x:v>
      </x:c>
      <x:c r="L139" t="str">
        <x:v>L21-S06-C3</x:v>
      </x:c>
      <x:c r="M139" t="n">
        <x:v>0</x:v>
      </x:c>
      <x:c r="N139" t="str">
        <x:v>DerivedFromCount</x:v>
      </x:c>
      <x:c r="O139" t="str">
        <x:v>PLC-PRD-JAR-720-L21</x:v>
      </x:c>
      <x:c r="P139" t="str">
        <x:v>OK</x:v>
      </x:c>
      <x:c r="Q139" t="str">
        <x:v>OK</x:v>
      </x:c>
      <x:c r="R139" t="str">
        <x:v>OK</x:v>
      </x:c>
      <x:c r="S139" t="str">
        <x:v>OK</x:v>
      </x:c>
      <x:c r="T139" t="n">
        <x:v>20</x:v>
      </x:c>
      <x:c r="U139" t="str">
        <x:v>OK</x:v>
      </x:c>
      <x:c r="V139" t="str">
        <x:v>OK</x:v>
      </x:c>
      <x:c r="W139" t="str">
        <x:v>LOAD</x:v>
      </x:c>
      <x:c r="X139" t="str">
        <x:v>02_Supervisor_Log(4).xlsx</x:v>
      </x:c>
      <x:c r="Y139" t="str">
        <x:v>ENH-20260830-01</x:v>
      </x:c>
      <x:c r="Z139" t="str">
        <x:v>Active</x:v>
      </x:c>
      <x:c r="AA139"/>
      <x:c r="AB139"/>
      <x:c r="AC139"/>
      <x:c r="AD139"/>
    </x:row>
    <x:row r="140">
      <x:c r="A140" t="str">
        <x:v>PCC-PE-KG01-L21-20251021-PM-ORD-2025-00020-S07-C1</x:v>
      </x:c>
      <x:c r="B140" t="str">
        <x:v>PC-PE-KG01-L21-20251021-PM-ORD-2025-00020-S07</x:v>
      </x:c>
      <x:c r="C140" t="str">
        <x:v>PE-KG01-L21-20251021-PM-ORD-2025-00020</x:v>
      </x:c>
      <x:c r="D140" t="str">
        <x:v>KG01</x:v>
      </x:c>
      <x:c r="E140" s="62" t="n">
        <x:v>45951</x:v>
      </x:c>
      <x:c r="F140" t="str">
        <x:v>PM</x:v>
      </x:c>
      <x:c r="G140" t="str">
        <x:v>B</x:v>
      </x:c>
      <x:c r="H140" t="n">
        <x:v>21</x:v>
      </x:c>
      <x:c r="I140" t="str">
        <x:v>ORD-2025-00020</x:v>
      </x:c>
      <x:c r="J140" t="n">
        <x:v>7</x:v>
      </x:c>
      <x:c r="K140" t="n">
        <x:v>1</x:v>
      </x:c>
      <x:c r="L140" t="str">
        <x:v>L21-S07-C1</x:v>
      </x:c>
      <x:c r="M140" t="n">
        <x:v>1</x:v>
      </x:c>
      <x:c r="N140" t="str">
        <x:v>DerivedFromCount</x:v>
      </x:c>
      <x:c r="O140" t="str">
        <x:v>PLC-PRD-JAR-720-L21</x:v>
      </x:c>
      <x:c r="P140" t="str">
        <x:v>OK</x:v>
      </x:c>
      <x:c r="Q140" t="str">
        <x:v>OK</x:v>
      </x:c>
      <x:c r="R140" t="str">
        <x:v>OK</x:v>
      </x:c>
      <x:c r="S140" t="str">
        <x:v>OK</x:v>
      </x:c>
      <x:c r="T140" t="n">
        <x:v>20</x:v>
      </x:c>
      <x:c r="U140" t="str">
        <x:v>OK</x:v>
      </x:c>
      <x:c r="V140" t="str">
        <x:v>OK</x:v>
      </x:c>
      <x:c r="W140" t="str">
        <x:v>LOAD</x:v>
      </x:c>
      <x:c r="X140" t="str">
        <x:v>02_Supervisor_Log(4).xlsx</x:v>
      </x:c>
      <x:c r="Y140" t="str">
        <x:v>ENH-20260830-01</x:v>
      </x:c>
      <x:c r="Z140" t="str">
        <x:v>Active</x:v>
      </x:c>
      <x:c r="AA140"/>
      <x:c r="AB140"/>
      <x:c r="AC140"/>
      <x:c r="AD140"/>
    </x:row>
    <x:row r="141">
      <x:c r="A141" t="str">
        <x:v>PCC-PE-KG01-L21-20251021-PM-ORD-2025-00020-S07-C2</x:v>
      </x:c>
      <x:c r="B141" t="str">
        <x:v>PC-PE-KG01-L21-20251021-PM-ORD-2025-00020-S07</x:v>
      </x:c>
      <x:c r="C141" t="str">
        <x:v>PE-KG01-L21-20251021-PM-ORD-2025-00020</x:v>
      </x:c>
      <x:c r="D141" t="str">
        <x:v>KG01</x:v>
      </x:c>
      <x:c r="E141" s="62" t="n">
        <x:v>45951</x:v>
      </x:c>
      <x:c r="F141" t="str">
        <x:v>PM</x:v>
      </x:c>
      <x:c r="G141" t="str">
        <x:v>B</x:v>
      </x:c>
      <x:c r="H141" t="n">
        <x:v>21</x:v>
      </x:c>
      <x:c r="I141" t="str">
        <x:v>ORD-2025-00020</x:v>
      </x:c>
      <x:c r="J141" t="n">
        <x:v>7</x:v>
      </x:c>
      <x:c r="K141" t="n">
        <x:v>2</x:v>
      </x:c>
      <x:c r="L141" t="str">
        <x:v>L21-S07-C2</x:v>
      </x:c>
      <x:c r="M141" t="n">
        <x:v>1</x:v>
      </x:c>
      <x:c r="N141" t="str">
        <x:v>DerivedFromCount</x:v>
      </x:c>
      <x:c r="O141" t="str">
        <x:v>PLC-PRD-JAR-720-L21</x:v>
      </x:c>
      <x:c r="P141" t="str">
        <x:v>OK</x:v>
      </x:c>
      <x:c r="Q141" t="str">
        <x:v>OK</x:v>
      </x:c>
      <x:c r="R141" t="str">
        <x:v>OK</x:v>
      </x:c>
      <x:c r="S141" t="str">
        <x:v>OK</x:v>
      </x:c>
      <x:c r="T141" t="n">
        <x:v>20</x:v>
      </x:c>
      <x:c r="U141" t="str">
        <x:v>OK</x:v>
      </x:c>
      <x:c r="V141" t="str">
        <x:v>OK</x:v>
      </x:c>
      <x:c r="W141" t="str">
        <x:v>LOAD</x:v>
      </x:c>
      <x:c r="X141" t="str">
        <x:v>02_Supervisor_Log(4).xlsx</x:v>
      </x:c>
      <x:c r="Y141" t="str">
        <x:v>ENH-20260830-01</x:v>
      </x:c>
      <x:c r="Z141" t="str">
        <x:v>Active</x:v>
      </x:c>
      <x:c r="AA141"/>
      <x:c r="AB141"/>
      <x:c r="AC141"/>
      <x:c r="AD141"/>
    </x:row>
    <x:row r="142">
      <x:c r="A142" t="str">
        <x:v>PCC-PE-KG01-L21-20251021-PM-ORD-2025-00020-S07-C3</x:v>
      </x:c>
      <x:c r="B142" t="str">
        <x:v>PC-PE-KG01-L21-20251021-PM-ORD-2025-00020-S07</x:v>
      </x:c>
      <x:c r="C142" t="str">
        <x:v>PE-KG01-L21-20251021-PM-ORD-2025-00020</x:v>
      </x:c>
      <x:c r="D142" t="str">
        <x:v>KG01</x:v>
      </x:c>
      <x:c r="E142" s="62" t="n">
        <x:v>45951</x:v>
      </x:c>
      <x:c r="F142" t="str">
        <x:v>PM</x:v>
      </x:c>
      <x:c r="G142" t="str">
        <x:v>B</x:v>
      </x:c>
      <x:c r="H142" t="n">
        <x:v>21</x:v>
      </x:c>
      <x:c r="I142" t="str">
        <x:v>ORD-2025-00020</x:v>
      </x:c>
      <x:c r="J142" t="n">
        <x:v>7</x:v>
      </x:c>
      <x:c r="K142" t="n">
        <x:v>3</x:v>
      </x:c>
      <x:c r="L142" t="str">
        <x:v>L21-S07-C3</x:v>
      </x:c>
      <x:c r="M142" t="n">
        <x:v>0</x:v>
      </x:c>
      <x:c r="N142" t="str">
        <x:v>DerivedFromCount</x:v>
      </x:c>
      <x:c r="O142" t="str">
        <x:v>PLC-PRD-JAR-720-L21</x:v>
      </x:c>
      <x:c r="P142" t="str">
        <x:v>OK</x:v>
      </x:c>
      <x:c r="Q142" t="str">
        <x:v>OK</x:v>
      </x:c>
      <x:c r="R142" t="str">
        <x:v>OK</x:v>
      </x:c>
      <x:c r="S142" t="str">
        <x:v>OK</x:v>
      </x:c>
      <x:c r="T142" t="n">
        <x:v>20</x:v>
      </x:c>
      <x:c r="U142" t="str">
        <x:v>OK</x:v>
      </x:c>
      <x:c r="V142" t="str">
        <x:v>OK</x:v>
      </x:c>
      <x:c r="W142" t="str">
        <x:v>LOAD</x:v>
      </x:c>
      <x:c r="X142" t="str">
        <x:v>02_Supervisor_Log(4).xlsx</x:v>
      </x:c>
      <x:c r="Y142" t="str">
        <x:v>ENH-20260830-01</x:v>
      </x:c>
      <x:c r="Z142" t="str">
        <x:v>Active</x:v>
      </x:c>
      <x:c r="AA142"/>
      <x:c r="AB142"/>
      <x:c r="AC142"/>
      <x:c r="AD142"/>
    </x:row>
    <x:row r="143">
      <x:c r="A143" t="str">
        <x:v>PCC-PE-KG01-L21-20251021-PM-ORD-2025-00020-S08-C1</x:v>
      </x:c>
      <x:c r="B143" t="str">
        <x:v>PC-PE-KG01-L21-20251021-PM-ORD-2025-00020-S08</x:v>
      </x:c>
      <x:c r="C143" t="str">
        <x:v>PE-KG01-L21-20251021-PM-ORD-2025-00020</x:v>
      </x:c>
      <x:c r="D143" t="str">
        <x:v>KG01</x:v>
      </x:c>
      <x:c r="E143" s="62" t="n">
        <x:v>45951</x:v>
      </x:c>
      <x:c r="F143" t="str">
        <x:v>PM</x:v>
      </x:c>
      <x:c r="G143" t="str">
        <x:v>B</x:v>
      </x:c>
      <x:c r="H143" t="n">
        <x:v>21</x:v>
      </x:c>
      <x:c r="I143" t="str">
        <x:v>ORD-2025-00020</x:v>
      </x:c>
      <x:c r="J143" t="n">
        <x:v>8</x:v>
      </x:c>
      <x:c r="K143" t="n">
        <x:v>1</x:v>
      </x:c>
      <x:c r="L143" t="str">
        <x:v>L21-S08-C1</x:v>
      </x:c>
      <x:c r="M143" t="n">
        <x:v>1</x:v>
      </x:c>
      <x:c r="N143" t="str">
        <x:v>DerivedFromCount</x:v>
      </x:c>
      <x:c r="O143" t="str">
        <x:v>PLC-PRD-JAR-720-L21</x:v>
      </x:c>
      <x:c r="P143" t="str">
        <x:v>OK</x:v>
      </x:c>
      <x:c r="Q143" t="str">
        <x:v>OK</x:v>
      </x:c>
      <x:c r="R143" t="str">
        <x:v>OK</x:v>
      </x:c>
      <x:c r="S143" t="str">
        <x:v>OK</x:v>
      </x:c>
      <x:c r="T143" t="n">
        <x:v>20</x:v>
      </x:c>
      <x:c r="U143" t="str">
        <x:v>OK</x:v>
      </x:c>
      <x:c r="V143" t="str">
        <x:v>OK</x:v>
      </x:c>
      <x:c r="W143" t="str">
        <x:v>LOAD</x:v>
      </x:c>
      <x:c r="X143" t="str">
        <x:v>02_Supervisor_Log(4).xlsx</x:v>
      </x:c>
      <x:c r="Y143" t="str">
        <x:v>ENH-20260830-01</x:v>
      </x:c>
      <x:c r="Z143" t="str">
        <x:v>Active</x:v>
      </x:c>
      <x:c r="AA143"/>
      <x:c r="AB143"/>
      <x:c r="AC143"/>
      <x:c r="AD143"/>
    </x:row>
    <x:row r="144">
      <x:c r="A144" t="str">
        <x:v>PCC-PE-KG01-L21-20251021-PM-ORD-2025-00020-S08-C2</x:v>
      </x:c>
      <x:c r="B144" t="str">
        <x:v>PC-PE-KG01-L21-20251021-PM-ORD-2025-00020-S08</x:v>
      </x:c>
      <x:c r="C144" t="str">
        <x:v>PE-KG01-L21-20251021-PM-ORD-2025-00020</x:v>
      </x:c>
      <x:c r="D144" t="str">
        <x:v>KG01</x:v>
      </x:c>
      <x:c r="E144" s="62" t="n">
        <x:v>45951</x:v>
      </x:c>
      <x:c r="F144" t="str">
        <x:v>PM</x:v>
      </x:c>
      <x:c r="G144" t="str">
        <x:v>B</x:v>
      </x:c>
      <x:c r="H144" t="n">
        <x:v>21</x:v>
      </x:c>
      <x:c r="I144" t="str">
        <x:v>ORD-2025-00020</x:v>
      </x:c>
      <x:c r="J144" t="n">
        <x:v>8</x:v>
      </x:c>
      <x:c r="K144" t="n">
        <x:v>2</x:v>
      </x:c>
      <x:c r="L144" t="str">
        <x:v>L21-S08-C2</x:v>
      </x:c>
      <x:c r="M144" t="n">
        <x:v>1</x:v>
      </x:c>
      <x:c r="N144" t="str">
        <x:v>DerivedFromCount</x:v>
      </x:c>
      <x:c r="O144" t="str">
        <x:v>PLC-PRD-JAR-720-L21</x:v>
      </x:c>
      <x:c r="P144" t="str">
        <x:v>OK</x:v>
      </x:c>
      <x:c r="Q144" t="str">
        <x:v>OK</x:v>
      </x:c>
      <x:c r="R144" t="str">
        <x:v>OK</x:v>
      </x:c>
      <x:c r="S144" t="str">
        <x:v>OK</x:v>
      </x:c>
      <x:c r="T144" t="n">
        <x:v>20</x:v>
      </x:c>
      <x:c r="U144" t="str">
        <x:v>OK</x:v>
      </x:c>
      <x:c r="V144" t="str">
        <x:v>OK</x:v>
      </x:c>
      <x:c r="W144" t="str">
        <x:v>LOAD</x:v>
      </x:c>
      <x:c r="X144" t="str">
        <x:v>02_Supervisor_Log(4).xlsx</x:v>
      </x:c>
      <x:c r="Y144" t="str">
        <x:v>ENH-20260830-01</x:v>
      </x:c>
      <x:c r="Z144" t="str">
        <x:v>Active</x:v>
      </x:c>
      <x:c r="AA144"/>
      <x:c r="AB144"/>
      <x:c r="AC144"/>
      <x:c r="AD144"/>
    </x:row>
    <x:row r="145">
      <x:c r="A145" t="str">
        <x:v>PCC-PE-KG01-L21-20251021-PM-ORD-2025-00020-S08-C3</x:v>
      </x:c>
      <x:c r="B145" t="str">
        <x:v>PC-PE-KG01-L21-20251021-PM-ORD-2025-00020-S08</x:v>
      </x:c>
      <x:c r="C145" t="str">
        <x:v>PE-KG01-L21-20251021-PM-ORD-2025-00020</x:v>
      </x:c>
      <x:c r="D145" t="str">
        <x:v>KG01</x:v>
      </x:c>
      <x:c r="E145" s="62" t="n">
        <x:v>45951</x:v>
      </x:c>
      <x:c r="F145" t="str">
        <x:v>PM</x:v>
      </x:c>
      <x:c r="G145" t="str">
        <x:v>B</x:v>
      </x:c>
      <x:c r="H145" t="n">
        <x:v>21</x:v>
      </x:c>
      <x:c r="I145" t="str">
        <x:v>ORD-2025-00020</x:v>
      </x:c>
      <x:c r="J145" t="n">
        <x:v>8</x:v>
      </x:c>
      <x:c r="K145" t="n">
        <x:v>3</x:v>
      </x:c>
      <x:c r="L145" t="str">
        <x:v>L21-S08-C3</x:v>
      </x:c>
      <x:c r="M145" t="n">
        <x:v>0</x:v>
      </x:c>
      <x:c r="N145" t="str">
        <x:v>DerivedFromCount</x:v>
      </x:c>
      <x:c r="O145" t="str">
        <x:v>PLC-PRD-JAR-720-L21</x:v>
      </x:c>
      <x:c r="P145" t="str">
        <x:v>OK</x:v>
      </x:c>
      <x:c r="Q145" t="str">
        <x:v>OK</x:v>
      </x:c>
      <x:c r="R145" t="str">
        <x:v>OK</x:v>
      </x:c>
      <x:c r="S145" t="str">
        <x:v>OK</x:v>
      </x:c>
      <x:c r="T145" t="n">
        <x:v>20</x:v>
      </x:c>
      <x:c r="U145" t="str">
        <x:v>OK</x:v>
      </x:c>
      <x:c r="V145" t="str">
        <x:v>OK</x:v>
      </x:c>
      <x:c r="W145" t="str">
        <x:v>LOAD</x:v>
      </x:c>
      <x:c r="X145" t="str">
        <x:v>02_Supervisor_Log(4).xlsx</x:v>
      </x:c>
      <x:c r="Y145" t="str">
        <x:v>ENH-20260830-01</x:v>
      </x:c>
      <x:c r="Z145" t="str">
        <x:v>Active</x:v>
      </x:c>
      <x:c r="AA145"/>
      <x:c r="AB145"/>
      <x:c r="AC145"/>
      <x:c r="AD145"/>
    </x:row>
    <x:row r="146">
      <x:c r="A146" t="str">
        <x:v>PCC-PE-KG01-L21-20251021-PM-ORD-2025-00020-S09-C1</x:v>
      </x:c>
      <x:c r="B146" t="str">
        <x:v>PC-PE-KG01-L21-20251021-PM-ORD-2025-00020-S09</x:v>
      </x:c>
      <x:c r="C146" t="str">
        <x:v>PE-KG01-L21-20251021-PM-ORD-2025-00020</x:v>
      </x:c>
      <x:c r="D146" t="str">
        <x:v>KG01</x:v>
      </x:c>
      <x:c r="E146" s="62" t="n">
        <x:v>45951</x:v>
      </x:c>
      <x:c r="F146" t="str">
        <x:v>PM</x:v>
      </x:c>
      <x:c r="G146" t="str">
        <x:v>B</x:v>
      </x:c>
      <x:c r="H146" t="n">
        <x:v>21</x:v>
      </x:c>
      <x:c r="I146" t="str">
        <x:v>ORD-2025-00020</x:v>
      </x:c>
      <x:c r="J146" t="n">
        <x:v>9</x:v>
      </x:c>
      <x:c r="K146" t="n">
        <x:v>1</x:v>
      </x:c>
      <x:c r="L146" t="str">
        <x:v>L21-S09-C1</x:v>
      </x:c>
      <x:c r="M146" t="n">
        <x:v>1</x:v>
      </x:c>
      <x:c r="N146" t="str">
        <x:v>DerivedFromCount</x:v>
      </x:c>
      <x:c r="O146" t="str">
        <x:v>PLC-PRD-JAR-720-L21</x:v>
      </x:c>
      <x:c r="P146" t="str">
        <x:v>OK</x:v>
      </x:c>
      <x:c r="Q146" t="str">
        <x:v>OK</x:v>
      </x:c>
      <x:c r="R146" t="str">
        <x:v>OK</x:v>
      </x:c>
      <x:c r="S146" t="str">
        <x:v>OK</x:v>
      </x:c>
      <x:c r="T146" t="n">
        <x:v>20</x:v>
      </x:c>
      <x:c r="U146" t="str">
        <x:v>OK</x:v>
      </x:c>
      <x:c r="V146" t="str">
        <x:v>OK</x:v>
      </x:c>
      <x:c r="W146" t="str">
        <x:v>LOAD</x:v>
      </x:c>
      <x:c r="X146" t="str">
        <x:v>02_Supervisor_Log(4).xlsx</x:v>
      </x:c>
      <x:c r="Y146" t="str">
        <x:v>ENH-20260830-01</x:v>
      </x:c>
      <x:c r="Z146" t="str">
        <x:v>Active</x:v>
      </x:c>
      <x:c r="AA146"/>
      <x:c r="AB146"/>
      <x:c r="AC146"/>
      <x:c r="AD146"/>
    </x:row>
    <x:row r="147">
      <x:c r="A147" t="str">
        <x:v>PCC-PE-KG01-L21-20251021-PM-ORD-2025-00020-S09-C2</x:v>
      </x:c>
      <x:c r="B147" t="str">
        <x:v>PC-PE-KG01-L21-20251021-PM-ORD-2025-00020-S09</x:v>
      </x:c>
      <x:c r="C147" t="str">
        <x:v>PE-KG01-L21-20251021-PM-ORD-2025-00020</x:v>
      </x:c>
      <x:c r="D147" t="str">
        <x:v>KG01</x:v>
      </x:c>
      <x:c r="E147" s="62" t="n">
        <x:v>45951</x:v>
      </x:c>
      <x:c r="F147" t="str">
        <x:v>PM</x:v>
      </x:c>
      <x:c r="G147" t="str">
        <x:v>B</x:v>
      </x:c>
      <x:c r="H147" t="n">
        <x:v>21</x:v>
      </x:c>
      <x:c r="I147" t="str">
        <x:v>ORD-2025-00020</x:v>
      </x:c>
      <x:c r="J147" t="n">
        <x:v>9</x:v>
      </x:c>
      <x:c r="K147" t="n">
        <x:v>2</x:v>
      </x:c>
      <x:c r="L147" t="str">
        <x:v>L21-S09-C2</x:v>
      </x:c>
      <x:c r="M147" t="n">
        <x:v>1</x:v>
      </x:c>
      <x:c r="N147" t="str">
        <x:v>DerivedFromCount</x:v>
      </x:c>
      <x:c r="O147" t="str">
        <x:v>PLC-PRD-JAR-720-L21</x:v>
      </x:c>
      <x:c r="P147" t="str">
        <x:v>OK</x:v>
      </x:c>
      <x:c r="Q147" t="str">
        <x:v>OK</x:v>
      </x:c>
      <x:c r="R147" t="str">
        <x:v>OK</x:v>
      </x:c>
      <x:c r="S147" t="str">
        <x:v>OK</x:v>
      </x:c>
      <x:c r="T147" t="n">
        <x:v>20</x:v>
      </x:c>
      <x:c r="U147" t="str">
        <x:v>OK</x:v>
      </x:c>
      <x:c r="V147" t="str">
        <x:v>OK</x:v>
      </x:c>
      <x:c r="W147" t="str">
        <x:v>LOAD</x:v>
      </x:c>
      <x:c r="X147" t="str">
        <x:v>02_Supervisor_Log(4).xlsx</x:v>
      </x:c>
      <x:c r="Y147" t="str">
        <x:v>ENH-20260830-01</x:v>
      </x:c>
      <x:c r="Z147" t="str">
        <x:v>Active</x:v>
      </x:c>
      <x:c r="AA147"/>
      <x:c r="AB147"/>
      <x:c r="AC147"/>
      <x:c r="AD147"/>
    </x:row>
    <x:row r="148">
      <x:c r="A148" t="str">
        <x:v>PCC-PE-KG01-L21-20251021-PM-ORD-2025-00020-S09-C3</x:v>
      </x:c>
      <x:c r="B148" t="str">
        <x:v>PC-PE-KG01-L21-20251021-PM-ORD-2025-00020-S09</x:v>
      </x:c>
      <x:c r="C148" t="str">
        <x:v>PE-KG01-L21-20251021-PM-ORD-2025-00020</x:v>
      </x:c>
      <x:c r="D148" t="str">
        <x:v>KG01</x:v>
      </x:c>
      <x:c r="E148" s="62" t="n">
        <x:v>45951</x:v>
      </x:c>
      <x:c r="F148" t="str">
        <x:v>PM</x:v>
      </x:c>
      <x:c r="G148" t="str">
        <x:v>B</x:v>
      </x:c>
      <x:c r="H148" t="n">
        <x:v>21</x:v>
      </x:c>
      <x:c r="I148" t="str">
        <x:v>ORD-2025-00020</x:v>
      </x:c>
      <x:c r="J148" t="n">
        <x:v>9</x:v>
      </x:c>
      <x:c r="K148" t="n">
        <x:v>3</x:v>
      </x:c>
      <x:c r="L148" t="str">
        <x:v>L21-S09-C3</x:v>
      </x:c>
      <x:c r="M148" t="n">
        <x:v>0</x:v>
      </x:c>
      <x:c r="N148" t="str">
        <x:v>DerivedFromCount</x:v>
      </x:c>
      <x:c r="O148" t="str">
        <x:v>PLC-PRD-JAR-720-L21</x:v>
      </x:c>
      <x:c r="P148" t="str">
        <x:v>OK</x:v>
      </x:c>
      <x:c r="Q148" t="str">
        <x:v>OK</x:v>
      </x:c>
      <x:c r="R148" t="str">
        <x:v>OK</x:v>
      </x:c>
      <x:c r="S148" t="str">
        <x:v>OK</x:v>
      </x:c>
      <x:c r="T148" t="n">
        <x:v>20</x:v>
      </x:c>
      <x:c r="U148" t="str">
        <x:v>OK</x:v>
      </x:c>
      <x:c r="V148" t="str">
        <x:v>OK</x:v>
      </x:c>
      <x:c r="W148" t="str">
        <x:v>LOAD</x:v>
      </x:c>
      <x:c r="X148" t="str">
        <x:v>02_Supervisor_Log(4).xlsx</x:v>
      </x:c>
      <x:c r="Y148" t="str">
        <x:v>ENH-20260830-01</x:v>
      </x:c>
      <x:c r="Z148" t="str">
        <x:v>Active</x:v>
      </x:c>
      <x:c r="AA148"/>
      <x:c r="AB148"/>
      <x:c r="AC148"/>
      <x:c r="AD148"/>
    </x:row>
    <x:row r="149">
      <x:c r="A149" t="str">
        <x:v>PCC-PE-KG01-L21-20251021-PM-ORD-2025-00020-S10-C1</x:v>
      </x:c>
      <x:c r="B149" t="str">
        <x:v>PC-PE-KG01-L21-20251021-PM-ORD-2025-00020-S10</x:v>
      </x:c>
      <x:c r="C149" t="str">
        <x:v>PE-KG01-L21-20251021-PM-ORD-2025-00020</x:v>
      </x:c>
      <x:c r="D149" t="str">
        <x:v>KG01</x:v>
      </x:c>
      <x:c r="E149" s="62" t="n">
        <x:v>45951</x:v>
      </x:c>
      <x:c r="F149" t="str">
        <x:v>PM</x:v>
      </x:c>
      <x:c r="G149" t="str">
        <x:v>B</x:v>
      </x:c>
      <x:c r="H149" t="n">
        <x:v>21</x:v>
      </x:c>
      <x:c r="I149" t="str">
        <x:v>ORD-2025-00020</x:v>
      </x:c>
      <x:c r="J149" t="n">
        <x:v>10</x:v>
      </x:c>
      <x:c r="K149" t="n">
        <x:v>1</x:v>
      </x:c>
      <x:c r="L149" t="str">
        <x:v>L21-S10-C1</x:v>
      </x:c>
      <x:c r="M149" t="n">
        <x:v>1</x:v>
      </x:c>
      <x:c r="N149" t="str">
        <x:v>DerivedFromCount</x:v>
      </x:c>
      <x:c r="O149" t="str">
        <x:v>PLC-PRD-JAR-720-L21</x:v>
      </x:c>
      <x:c r="P149" t="str">
        <x:v>OK</x:v>
      </x:c>
      <x:c r="Q149" t="str">
        <x:v>OK</x:v>
      </x:c>
      <x:c r="R149" t="str">
        <x:v>OK</x:v>
      </x:c>
      <x:c r="S149" t="str">
        <x:v>OK</x:v>
      </x:c>
      <x:c r="T149" t="n">
        <x:v>20</x:v>
      </x:c>
      <x:c r="U149" t="str">
        <x:v>OK</x:v>
      </x:c>
      <x:c r="V149" t="str">
        <x:v>OK</x:v>
      </x:c>
      <x:c r="W149" t="str">
        <x:v>LOAD</x:v>
      </x:c>
      <x:c r="X149" t="str">
        <x:v>02_Supervisor_Log(4).xlsx</x:v>
      </x:c>
      <x:c r="Y149" t="str">
        <x:v>ENH-20260830-01</x:v>
      </x:c>
      <x:c r="Z149" t="str">
        <x:v>Active</x:v>
      </x:c>
      <x:c r="AA149"/>
      <x:c r="AB149"/>
      <x:c r="AC149"/>
      <x:c r="AD149"/>
    </x:row>
    <x:row r="150">
      <x:c r="A150" t="str">
        <x:v>PCC-PE-KG01-L21-20251021-PM-ORD-2025-00020-S10-C2</x:v>
      </x:c>
      <x:c r="B150" t="str">
        <x:v>PC-PE-KG01-L21-20251021-PM-ORD-2025-00020-S10</x:v>
      </x:c>
      <x:c r="C150" t="str">
        <x:v>PE-KG01-L21-20251021-PM-ORD-2025-00020</x:v>
      </x:c>
      <x:c r="D150" t="str">
        <x:v>KG01</x:v>
      </x:c>
      <x:c r="E150" s="62" t="n">
        <x:v>45951</x:v>
      </x:c>
      <x:c r="F150" t="str">
        <x:v>PM</x:v>
      </x:c>
      <x:c r="G150" t="str">
        <x:v>B</x:v>
      </x:c>
      <x:c r="H150" t="n">
        <x:v>21</x:v>
      </x:c>
      <x:c r="I150" t="str">
        <x:v>ORD-2025-00020</x:v>
      </x:c>
      <x:c r="J150" t="n">
        <x:v>10</x:v>
      </x:c>
      <x:c r="K150" t="n">
        <x:v>2</x:v>
      </x:c>
      <x:c r="L150" t="str">
        <x:v>L21-S10-C2</x:v>
      </x:c>
      <x:c r="M150" t="n">
        <x:v>1</x:v>
      </x:c>
      <x:c r="N150" t="str">
        <x:v>DerivedFromCount</x:v>
      </x:c>
      <x:c r="O150" t="str">
        <x:v>PLC-PRD-JAR-720-L21</x:v>
      </x:c>
      <x:c r="P150" t="str">
        <x:v>OK</x:v>
      </x:c>
      <x:c r="Q150" t="str">
        <x:v>OK</x:v>
      </x:c>
      <x:c r="R150" t="str">
        <x:v>OK</x:v>
      </x:c>
      <x:c r="S150" t="str">
        <x:v>OK</x:v>
      </x:c>
      <x:c r="T150" t="n">
        <x:v>20</x:v>
      </x:c>
      <x:c r="U150" t="str">
        <x:v>OK</x:v>
      </x:c>
      <x:c r="V150" t="str">
        <x:v>OK</x:v>
      </x:c>
      <x:c r="W150" t="str">
        <x:v>LOAD</x:v>
      </x:c>
      <x:c r="X150" t="str">
        <x:v>02_Supervisor_Log(4).xlsx</x:v>
      </x:c>
      <x:c r="Y150" t="str">
        <x:v>ENH-20260830-01</x:v>
      </x:c>
      <x:c r="Z150" t="str">
        <x:v>Active</x:v>
      </x:c>
      <x:c r="AA150"/>
      <x:c r="AB150"/>
      <x:c r="AC150"/>
      <x:c r="AD150"/>
    </x:row>
    <x:row r="151">
      <x:c r="A151" t="str">
        <x:v>PCC-PE-KG01-L21-20251021-PM-ORD-2025-00020-S10-C3</x:v>
      </x:c>
      <x:c r="B151" t="str">
        <x:v>PC-PE-KG01-L21-20251021-PM-ORD-2025-00020-S10</x:v>
      </x:c>
      <x:c r="C151" t="str">
        <x:v>PE-KG01-L21-20251021-PM-ORD-2025-00020</x:v>
      </x:c>
      <x:c r="D151" t="str">
        <x:v>KG01</x:v>
      </x:c>
      <x:c r="E151" s="62" t="n">
        <x:v>45951</x:v>
      </x:c>
      <x:c r="F151" t="str">
        <x:v>PM</x:v>
      </x:c>
      <x:c r="G151" t="str">
        <x:v>B</x:v>
      </x:c>
      <x:c r="H151" t="n">
        <x:v>21</x:v>
      </x:c>
      <x:c r="I151" t="str">
        <x:v>ORD-2025-00020</x:v>
      </x:c>
      <x:c r="J151" t="n">
        <x:v>10</x:v>
      </x:c>
      <x:c r="K151" t="n">
        <x:v>3</x:v>
      </x:c>
      <x:c r="L151" t="str">
        <x:v>L21-S10-C3</x:v>
      </x:c>
      <x:c r="M151" t="n">
        <x:v>0</x:v>
      </x:c>
      <x:c r="N151" t="str">
        <x:v>DerivedFromCount</x:v>
      </x:c>
      <x:c r="O151" t="str">
        <x:v>PLC-PRD-JAR-720-L21</x:v>
      </x:c>
      <x:c r="P151" t="str">
        <x:v>OK</x:v>
      </x:c>
      <x:c r="Q151" t="str">
        <x:v>OK</x:v>
      </x:c>
      <x:c r="R151" t="str">
        <x:v>OK</x:v>
      </x:c>
      <x:c r="S151" t="str">
        <x:v>OK</x:v>
      </x:c>
      <x:c r="T151" t="n">
        <x:v>20</x:v>
      </x:c>
      <x:c r="U151" t="str">
        <x:v>OK</x:v>
      </x:c>
      <x:c r="V151" t="str">
        <x:v>OK</x:v>
      </x:c>
      <x:c r="W151" t="str">
        <x:v>LOAD</x:v>
      </x:c>
      <x:c r="X151" t="str">
        <x:v>02_Supervisor_Log(4).xlsx</x:v>
      </x:c>
      <x:c r="Y151" t="str">
        <x:v>ENH-20260830-01</x:v>
      </x:c>
      <x:c r="Z151" t="str">
        <x:v>Active</x:v>
      </x:c>
      <x:c r="AA151"/>
      <x:c r="AB151"/>
      <x:c r="AC151"/>
      <x:c r="AD151"/>
    </x:row>
    <x:row r="152">
      <x:c r="A152" t="str">
        <x:v>PCC-PE-KG01-L21-20251021-PM-ORD-2025-00020-S11-C1</x:v>
      </x:c>
      <x:c r="B152" t="str">
        <x:v>PC-PE-KG01-L21-20251021-PM-ORD-2025-00020-S11</x:v>
      </x:c>
      <x:c r="C152" t="str">
        <x:v>PE-KG01-L21-20251021-PM-ORD-2025-00020</x:v>
      </x:c>
      <x:c r="D152" t="str">
        <x:v>KG01</x:v>
      </x:c>
      <x:c r="E152" s="62" t="n">
        <x:v>45951</x:v>
      </x:c>
      <x:c r="F152" t="str">
        <x:v>PM</x:v>
      </x:c>
      <x:c r="G152" t="str">
        <x:v>B</x:v>
      </x:c>
      <x:c r="H152" t="n">
        <x:v>21</x:v>
      </x:c>
      <x:c r="I152" t="str">
        <x:v>ORD-2025-00020</x:v>
      </x:c>
      <x:c r="J152" t="n">
        <x:v>11</x:v>
      </x:c>
      <x:c r="K152" t="n">
        <x:v>1</x:v>
      </x:c>
      <x:c r="L152" t="str">
        <x:v>L21-S11-C1</x:v>
      </x:c>
      <x:c r="M152" t="n">
        <x:v>0</x:v>
      </x:c>
      <x:c r="N152" t="str">
        <x:v>DerivedFromCount</x:v>
      </x:c>
      <x:c r="O152" t="str">
        <x:v>PLC-PRD-JAR-720-L21</x:v>
      </x:c>
      <x:c r="P152" t="str">
        <x:v>OK</x:v>
      </x:c>
      <x:c r="Q152" t="str">
        <x:v>OK</x:v>
      </x:c>
      <x:c r="R152" t="str">
        <x:v>OK</x:v>
      </x:c>
      <x:c r="S152" t="str">
        <x:v>OK</x:v>
      </x:c>
      <x:c r="T152" t="n">
        <x:v>20</x:v>
      </x:c>
      <x:c r="U152" t="str">
        <x:v>OK</x:v>
      </x:c>
      <x:c r="V152" t="str">
        <x:v>OK</x:v>
      </x:c>
      <x:c r="W152" t="str">
        <x:v>LOAD</x:v>
      </x:c>
      <x:c r="X152" t="str">
        <x:v>02_Supervisor_Log(4).xlsx</x:v>
      </x:c>
      <x:c r="Y152" t="str">
        <x:v>ENH-20260830-01</x:v>
      </x:c>
      <x:c r="Z152" t="str">
        <x:v>Active</x:v>
      </x:c>
      <x:c r="AA152"/>
      <x:c r="AB152"/>
      <x:c r="AC152"/>
      <x:c r="AD152"/>
    </x:row>
    <x:row r="153">
      <x:c r="A153" t="str">
        <x:v>PCC-PE-KG01-L21-20251021-PM-ORD-2025-00020-S11-C2</x:v>
      </x:c>
      <x:c r="B153" t="str">
        <x:v>PC-PE-KG01-L21-20251021-PM-ORD-2025-00020-S11</x:v>
      </x:c>
      <x:c r="C153" t="str">
        <x:v>PE-KG01-L21-20251021-PM-ORD-2025-00020</x:v>
      </x:c>
      <x:c r="D153" t="str">
        <x:v>KG01</x:v>
      </x:c>
      <x:c r="E153" s="62" t="n">
        <x:v>45951</x:v>
      </x:c>
      <x:c r="F153" t="str">
        <x:v>PM</x:v>
      </x:c>
      <x:c r="G153" t="str">
        <x:v>B</x:v>
      </x:c>
      <x:c r="H153" t="n">
        <x:v>21</x:v>
      </x:c>
      <x:c r="I153" t="str">
        <x:v>ORD-2025-00020</x:v>
      </x:c>
      <x:c r="J153" t="n">
        <x:v>11</x:v>
      </x:c>
      <x:c r="K153" t="n">
        <x:v>2</x:v>
      </x:c>
      <x:c r="L153" t="str">
        <x:v>L21-S11-C2</x:v>
      </x:c>
      <x:c r="M153" t="n">
        <x:v>0</x:v>
      </x:c>
      <x:c r="N153" t="str">
        <x:v>DerivedFromCount</x:v>
      </x:c>
      <x:c r="O153" t="str">
        <x:v>PLC-PRD-JAR-720-L21</x:v>
      </x:c>
      <x:c r="P153" t="str">
        <x:v>OK</x:v>
      </x:c>
      <x:c r="Q153" t="str">
        <x:v>OK</x:v>
      </x:c>
      <x:c r="R153" t="str">
        <x:v>OK</x:v>
      </x:c>
      <x:c r="S153" t="str">
        <x:v>OK</x:v>
      </x:c>
      <x:c r="T153" t="n">
        <x:v>20</x:v>
      </x:c>
      <x:c r="U153" t="str">
        <x:v>OK</x:v>
      </x:c>
      <x:c r="V153" t="str">
        <x:v>OK</x:v>
      </x:c>
      <x:c r="W153" t="str">
        <x:v>LOAD</x:v>
      </x:c>
      <x:c r="X153" t="str">
        <x:v>02_Supervisor_Log(4).xlsx</x:v>
      </x:c>
      <x:c r="Y153" t="str">
        <x:v>ENH-20260830-01</x:v>
      </x:c>
      <x:c r="Z153" t="str">
        <x:v>Active</x:v>
      </x:c>
      <x:c r="AA153"/>
      <x:c r="AB153"/>
      <x:c r="AC153"/>
      <x:c r="AD153"/>
    </x:row>
    <x:row r="154">
      <x:c r="A154" t="str">
        <x:v>PCC-PE-KG01-L21-20251021-PM-ORD-2025-00020-S11-C3</x:v>
      </x:c>
      <x:c r="B154" t="str">
        <x:v>PC-PE-KG01-L21-20251021-PM-ORD-2025-00020-S11</x:v>
      </x:c>
      <x:c r="C154" t="str">
        <x:v>PE-KG01-L21-20251021-PM-ORD-2025-00020</x:v>
      </x:c>
      <x:c r="D154" t="str">
        <x:v>KG01</x:v>
      </x:c>
      <x:c r="E154" s="62" t="n">
        <x:v>45951</x:v>
      </x:c>
      <x:c r="F154" t="str">
        <x:v>PM</x:v>
      </x:c>
      <x:c r="G154" t="str">
        <x:v>B</x:v>
      </x:c>
      <x:c r="H154" t="n">
        <x:v>21</x:v>
      </x:c>
      <x:c r="I154" t="str">
        <x:v>ORD-2025-00020</x:v>
      </x:c>
      <x:c r="J154" t="n">
        <x:v>11</x:v>
      </x:c>
      <x:c r="K154" t="n">
        <x:v>3</x:v>
      </x:c>
      <x:c r="L154" t="str">
        <x:v>L21-S11-C3</x:v>
      </x:c>
      <x:c r="M154" t="n">
        <x:v>0</x:v>
      </x:c>
      <x:c r="N154" t="str">
        <x:v>DerivedFromCount</x:v>
      </x:c>
      <x:c r="O154" t="str">
        <x:v>PLC-PRD-JAR-720-L21</x:v>
      </x:c>
      <x:c r="P154" t="str">
        <x:v>OK</x:v>
      </x:c>
      <x:c r="Q154" t="str">
        <x:v>OK</x:v>
      </x:c>
      <x:c r="R154" t="str">
        <x:v>OK</x:v>
      </x:c>
      <x:c r="S154" t="str">
        <x:v>OK</x:v>
      </x:c>
      <x:c r="T154" t="n">
        <x:v>20</x:v>
      </x:c>
      <x:c r="U154" t="str">
        <x:v>OK</x:v>
      </x:c>
      <x:c r="V154" t="str">
        <x:v>OK</x:v>
      </x:c>
      <x:c r="W154" t="str">
        <x:v>LOAD</x:v>
      </x:c>
      <x:c r="X154" t="str">
        <x:v>02_Supervisor_Log(4).xlsx</x:v>
      </x:c>
      <x:c r="Y154" t="str">
        <x:v>ENH-20260830-01</x:v>
      </x:c>
      <x:c r="Z154" t="str">
        <x:v>Active</x:v>
      </x:c>
      <x:c r="AA154"/>
      <x:c r="AB154"/>
      <x:c r="AC154"/>
      <x:c r="AD154"/>
    </x:row>
    <x:row r="155">
      <x:c r="A155" t="str">
        <x:v>PCC-PE-KG01-L21-20251021-PM-ORD-2025-00020-S12-C1</x:v>
      </x:c>
      <x:c r="B155" t="str">
        <x:v>PC-PE-KG01-L21-20251021-PM-ORD-2025-00020-S12</x:v>
      </x:c>
      <x:c r="C155" t="str">
        <x:v>PE-KG01-L21-20251021-PM-ORD-2025-00020</x:v>
      </x:c>
      <x:c r="D155" t="str">
        <x:v>KG01</x:v>
      </x:c>
      <x:c r="E155" s="62" t="n">
        <x:v>45951</x:v>
      </x:c>
      <x:c r="F155" t="str">
        <x:v>PM</x:v>
      </x:c>
      <x:c r="G155" t="str">
        <x:v>B</x:v>
      </x:c>
      <x:c r="H155" t="n">
        <x:v>21</x:v>
      </x:c>
      <x:c r="I155" t="str">
        <x:v>ORD-2025-00020</x:v>
      </x:c>
      <x:c r="J155" t="n">
        <x:v>12</x:v>
      </x:c>
      <x:c r="K155" t="n">
        <x:v>1</x:v>
      </x:c>
      <x:c r="L155" t="str">
        <x:v>L21-S12-C1</x:v>
      </x:c>
      <x:c r="M155" t="n">
        <x:v>0</x:v>
      </x:c>
      <x:c r="N155" t="str">
        <x:v>DerivedFromCount</x:v>
      </x:c>
      <x:c r="O155" t="str">
        <x:v>PLC-PRD-JAR-720-L21</x:v>
      </x:c>
      <x:c r="P155" t="str">
        <x:v>OK</x:v>
      </x:c>
      <x:c r="Q155" t="str">
        <x:v>OK</x:v>
      </x:c>
      <x:c r="R155" t="str">
        <x:v>OK</x:v>
      </x:c>
      <x:c r="S155" t="str">
        <x:v>OK</x:v>
      </x:c>
      <x:c r="T155" t="n">
        <x:v>20</x:v>
      </x:c>
      <x:c r="U155" t="str">
        <x:v>OK</x:v>
      </x:c>
      <x:c r="V155" t="str">
        <x:v>OK</x:v>
      </x:c>
      <x:c r="W155" t="str">
        <x:v>LOAD</x:v>
      </x:c>
      <x:c r="X155" t="str">
        <x:v>02_Supervisor_Log(4).xlsx</x:v>
      </x:c>
      <x:c r="Y155" t="str">
        <x:v>ENH-20260830-01</x:v>
      </x:c>
      <x:c r="Z155" t="str">
        <x:v>Active</x:v>
      </x:c>
      <x:c r="AA155"/>
      <x:c r="AB155"/>
      <x:c r="AC155"/>
      <x:c r="AD155"/>
    </x:row>
    <x:row r="156">
      <x:c r="A156" t="str">
        <x:v>PCC-PE-KG01-L21-20251021-PM-ORD-2025-00020-S12-C2</x:v>
      </x:c>
      <x:c r="B156" t="str">
        <x:v>PC-PE-KG01-L21-20251021-PM-ORD-2025-00020-S12</x:v>
      </x:c>
      <x:c r="C156" t="str">
        <x:v>PE-KG01-L21-20251021-PM-ORD-2025-00020</x:v>
      </x:c>
      <x:c r="D156" t="str">
        <x:v>KG01</x:v>
      </x:c>
      <x:c r="E156" s="62" t="n">
        <x:v>45951</x:v>
      </x:c>
      <x:c r="F156" t="str">
        <x:v>PM</x:v>
      </x:c>
      <x:c r="G156" t="str">
        <x:v>B</x:v>
      </x:c>
      <x:c r="H156" t="n">
        <x:v>21</x:v>
      </x:c>
      <x:c r="I156" t="str">
        <x:v>ORD-2025-00020</x:v>
      </x:c>
      <x:c r="J156" t="n">
        <x:v>12</x:v>
      </x:c>
      <x:c r="K156" t="n">
        <x:v>2</x:v>
      </x:c>
      <x:c r="L156" t="str">
        <x:v>L21-S12-C2</x:v>
      </x:c>
      <x:c r="M156" t="n">
        <x:v>0</x:v>
      </x:c>
      <x:c r="N156" t="str">
        <x:v>DerivedFromCount</x:v>
      </x:c>
      <x:c r="O156" t="str">
        <x:v>PLC-PRD-JAR-720-L21</x:v>
      </x:c>
      <x:c r="P156" t="str">
        <x:v>OK</x:v>
      </x:c>
      <x:c r="Q156" t="str">
        <x:v>OK</x:v>
      </x:c>
      <x:c r="R156" t="str">
        <x:v>OK</x:v>
      </x:c>
      <x:c r="S156" t="str">
        <x:v>OK</x:v>
      </x:c>
      <x:c r="T156" t="n">
        <x:v>20</x:v>
      </x:c>
      <x:c r="U156" t="str">
        <x:v>OK</x:v>
      </x:c>
      <x:c r="V156" t="str">
        <x:v>OK</x:v>
      </x:c>
      <x:c r="W156" t="str">
        <x:v>LOAD</x:v>
      </x:c>
      <x:c r="X156" t="str">
        <x:v>02_Supervisor_Log(4).xlsx</x:v>
      </x:c>
      <x:c r="Y156" t="str">
        <x:v>ENH-20260830-01</x:v>
      </x:c>
      <x:c r="Z156" t="str">
        <x:v>Active</x:v>
      </x:c>
      <x:c r="AA156"/>
      <x:c r="AB156"/>
      <x:c r="AC156"/>
      <x:c r="AD156"/>
    </x:row>
    <x:row r="157">
      <x:c r="A157" t="str">
        <x:v>PCC-PE-KG01-L21-20251021-PM-ORD-2025-00020-S12-C3</x:v>
      </x:c>
      <x:c r="B157" t="str">
        <x:v>PC-PE-KG01-L21-20251021-PM-ORD-2025-00020-S12</x:v>
      </x:c>
      <x:c r="C157" t="str">
        <x:v>PE-KG01-L21-20251021-PM-ORD-2025-00020</x:v>
      </x:c>
      <x:c r="D157" t="str">
        <x:v>KG01</x:v>
      </x:c>
      <x:c r="E157" s="62" t="n">
        <x:v>45951</x:v>
      </x:c>
      <x:c r="F157" t="str">
        <x:v>PM</x:v>
      </x:c>
      <x:c r="G157" t="str">
        <x:v>B</x:v>
      </x:c>
      <x:c r="H157" t="n">
        <x:v>21</x:v>
      </x:c>
      <x:c r="I157" t="str">
        <x:v>ORD-2025-00020</x:v>
      </x:c>
      <x:c r="J157" t="n">
        <x:v>12</x:v>
      </x:c>
      <x:c r="K157" t="n">
        <x:v>3</x:v>
      </x:c>
      <x:c r="L157" t="str">
        <x:v>L21-S12-C3</x:v>
      </x:c>
      <x:c r="M157" t="n">
        <x:v>0</x:v>
      </x:c>
      <x:c r="N157" t="str">
        <x:v>DerivedFromCount</x:v>
      </x:c>
      <x:c r="O157" t="str">
        <x:v>PLC-PRD-JAR-720-L21</x:v>
      </x:c>
      <x:c r="P157" t="str">
        <x:v>OK</x:v>
      </x:c>
      <x:c r="Q157" t="str">
        <x:v>OK</x:v>
      </x:c>
      <x:c r="R157" t="str">
        <x:v>OK</x:v>
      </x:c>
      <x:c r="S157" t="str">
        <x:v>OK</x:v>
      </x:c>
      <x:c r="T157" t="n">
        <x:v>20</x:v>
      </x:c>
      <x:c r="U157" t="str">
        <x:v>OK</x:v>
      </x:c>
      <x:c r="V157" t="str">
        <x:v>OK</x:v>
      </x:c>
      <x:c r="W157" t="str">
        <x:v>LOAD</x:v>
      </x:c>
      <x:c r="X157" t="str">
        <x:v>02_Supervisor_Log(4).xlsx</x:v>
      </x:c>
      <x:c r="Y157" t="str">
        <x:v>ENH-20260830-01</x:v>
      </x:c>
      <x:c r="Z157" t="str">
        <x:v>Active</x:v>
      </x:c>
      <x:c r="AA157"/>
      <x:c r="AB157"/>
      <x:c r="AC157"/>
      <x:c r="AD157"/>
    </x:row>
    <x:row r="158">
      <x:c r="A158" t="str">
        <x:v>PCC-PE-KG01-L21-20251021-PM-ORD-2025-00020-S13-C1</x:v>
      </x:c>
      <x:c r="B158" t="str">
        <x:v>PC-PE-KG01-L21-20251021-PM-ORD-2025-00020-S13</x:v>
      </x:c>
      <x:c r="C158" t="str">
        <x:v>PE-KG01-L21-20251021-PM-ORD-2025-00020</x:v>
      </x:c>
      <x:c r="D158" t="str">
        <x:v>KG01</x:v>
      </x:c>
      <x:c r="E158" s="62" t="n">
        <x:v>45951</x:v>
      </x:c>
      <x:c r="F158" t="str">
        <x:v>PM</x:v>
      </x:c>
      <x:c r="G158" t="str">
        <x:v>B</x:v>
      </x:c>
      <x:c r="H158" t="n">
        <x:v>21</x:v>
      </x:c>
      <x:c r="I158" t="str">
        <x:v>ORD-2025-00020</x:v>
      </x:c>
      <x:c r="J158" t="n">
        <x:v>13</x:v>
      </x:c>
      <x:c r="K158" t="n">
        <x:v>1</x:v>
      </x:c>
      <x:c r="L158" t="str">
        <x:v>L21-S13-C1</x:v>
      </x:c>
      <x:c r="M158" t="n">
        <x:v>0</x:v>
      </x:c>
      <x:c r="N158" t="str">
        <x:v>DerivedFromCount</x:v>
      </x:c>
      <x:c r="O158" t="str">
        <x:v>PLC-PRD-JAR-720-L21</x:v>
      </x:c>
      <x:c r="P158" t="str">
        <x:v>OK</x:v>
      </x:c>
      <x:c r="Q158" t="str">
        <x:v>OK</x:v>
      </x:c>
      <x:c r="R158" t="str">
        <x:v>OK</x:v>
      </x:c>
      <x:c r="S158" t="str">
        <x:v>OK</x:v>
      </x:c>
      <x:c r="T158" t="n">
        <x:v>20</x:v>
      </x:c>
      <x:c r="U158" t="str">
        <x:v>OK</x:v>
      </x:c>
      <x:c r="V158" t="str">
        <x:v>OK</x:v>
      </x:c>
      <x:c r="W158" t="str">
        <x:v>LOAD</x:v>
      </x:c>
      <x:c r="X158" t="str">
        <x:v>02_Supervisor_Log(4).xlsx</x:v>
      </x:c>
      <x:c r="Y158" t="str">
        <x:v>ENH-20260830-01</x:v>
      </x:c>
      <x:c r="Z158" t="str">
        <x:v>Active</x:v>
      </x:c>
      <x:c r="AA158"/>
      <x:c r="AB158"/>
      <x:c r="AC158"/>
      <x:c r="AD158"/>
    </x:row>
    <x:row r="159">
      <x:c r="A159" t="str">
        <x:v>PCC-PE-KG01-L21-20251021-PM-ORD-2025-00020-S13-C2</x:v>
      </x:c>
      <x:c r="B159" t="str">
        <x:v>PC-PE-KG01-L21-20251021-PM-ORD-2025-00020-S13</x:v>
      </x:c>
      <x:c r="C159" t="str">
        <x:v>PE-KG01-L21-20251021-PM-ORD-2025-00020</x:v>
      </x:c>
      <x:c r="D159" t="str">
        <x:v>KG01</x:v>
      </x:c>
      <x:c r="E159" s="62" t="n">
        <x:v>45951</x:v>
      </x:c>
      <x:c r="F159" t="str">
        <x:v>PM</x:v>
      </x:c>
      <x:c r="G159" t="str">
        <x:v>B</x:v>
      </x:c>
      <x:c r="H159" t="n">
        <x:v>21</x:v>
      </x:c>
      <x:c r="I159" t="str">
        <x:v>ORD-2025-00020</x:v>
      </x:c>
      <x:c r="J159" t="n">
        <x:v>13</x:v>
      </x:c>
      <x:c r="K159" t="n">
        <x:v>2</x:v>
      </x:c>
      <x:c r="L159" t="str">
        <x:v>L21-S13-C2</x:v>
      </x:c>
      <x:c r="M159" t="n">
        <x:v>0</x:v>
      </x:c>
      <x:c r="N159" t="str">
        <x:v>DerivedFromCount</x:v>
      </x:c>
      <x:c r="O159" t="str">
        <x:v>PLC-PRD-JAR-720-L21</x:v>
      </x:c>
      <x:c r="P159" t="str">
        <x:v>OK</x:v>
      </x:c>
      <x:c r="Q159" t="str">
        <x:v>OK</x:v>
      </x:c>
      <x:c r="R159" t="str">
        <x:v>OK</x:v>
      </x:c>
      <x:c r="S159" t="str">
        <x:v>OK</x:v>
      </x:c>
      <x:c r="T159" t="n">
        <x:v>20</x:v>
      </x:c>
      <x:c r="U159" t="str">
        <x:v>OK</x:v>
      </x:c>
      <x:c r="V159" t="str">
        <x:v>OK</x:v>
      </x:c>
      <x:c r="W159" t="str">
        <x:v>LOAD</x:v>
      </x:c>
      <x:c r="X159" t="str">
        <x:v>02_Supervisor_Log(4).xlsx</x:v>
      </x:c>
      <x:c r="Y159" t="str">
        <x:v>ENH-20260830-01</x:v>
      </x:c>
      <x:c r="Z159" t="str">
        <x:v>Active</x:v>
      </x:c>
      <x:c r="AA159"/>
      <x:c r="AB159"/>
      <x:c r="AC159"/>
      <x:c r="AD159"/>
    </x:row>
    <x:row r="160">
      <x:c r="A160" t="str">
        <x:v>PCC-PE-KG01-L21-20251021-PM-ORD-2025-00020-S13-C3</x:v>
      </x:c>
      <x:c r="B160" t="str">
        <x:v>PC-PE-KG01-L21-20251021-PM-ORD-2025-00020-S13</x:v>
      </x:c>
      <x:c r="C160" t="str">
        <x:v>PE-KG01-L21-20251021-PM-ORD-2025-00020</x:v>
      </x:c>
      <x:c r="D160" t="str">
        <x:v>KG01</x:v>
      </x:c>
      <x:c r="E160" s="62" t="n">
        <x:v>45951</x:v>
      </x:c>
      <x:c r="F160" t="str">
        <x:v>PM</x:v>
      </x:c>
      <x:c r="G160" t="str">
        <x:v>B</x:v>
      </x:c>
      <x:c r="H160" t="n">
        <x:v>21</x:v>
      </x:c>
      <x:c r="I160" t="str">
        <x:v>ORD-2025-00020</x:v>
      </x:c>
      <x:c r="J160" t="n">
        <x:v>13</x:v>
      </x:c>
      <x:c r="K160" t="n">
        <x:v>3</x:v>
      </x:c>
      <x:c r="L160" t="str">
        <x:v>L21-S13-C3</x:v>
      </x:c>
      <x:c r="M160" t="n">
        <x:v>0</x:v>
      </x:c>
      <x:c r="N160" t="str">
        <x:v>DerivedFromCount</x:v>
      </x:c>
      <x:c r="O160" t="str">
        <x:v>PLC-PRD-JAR-720-L21</x:v>
      </x:c>
      <x:c r="P160" t="str">
        <x:v>OK</x:v>
      </x:c>
      <x:c r="Q160" t="str">
        <x:v>OK</x:v>
      </x:c>
      <x:c r="R160" t="str">
        <x:v>OK</x:v>
      </x:c>
      <x:c r="S160" t="str">
        <x:v>OK</x:v>
      </x:c>
      <x:c r="T160" t="n">
        <x:v>20</x:v>
      </x:c>
      <x:c r="U160" t="str">
        <x:v>OK</x:v>
      </x:c>
      <x:c r="V160" t="str">
        <x:v>OK</x:v>
      </x:c>
      <x:c r="W160" t="str">
        <x:v>LOAD</x:v>
      </x:c>
      <x:c r="X160" t="str">
        <x:v>02_Supervisor_Log(4).xlsx</x:v>
      </x:c>
      <x:c r="Y160" t="str">
        <x:v>ENH-20260830-01</x:v>
      </x:c>
      <x:c r="Z160" t="str">
        <x:v>Active</x:v>
      </x:c>
      <x:c r="AA160"/>
      <x:c r="AB160"/>
      <x:c r="AC160"/>
      <x:c r="AD160"/>
    </x:row>
    <x:row r="161">
      <x:c r="A161" t="str">
        <x:v>PCC-PE-KG01-L21-20251022-AM-ORD-2025-00020-S01-C1</x:v>
      </x:c>
      <x:c r="B161" t="str">
        <x:v>PC-PE-KG01-L21-20251022-AM-ORD-2025-00020-S01</x:v>
      </x:c>
      <x:c r="C161" t="str">
        <x:v>PE-KG01-L21-20251022-AM-ORD-2025-00020</x:v>
      </x:c>
      <x:c r="D161" t="str">
        <x:v>KG01</x:v>
      </x:c>
      <x:c r="E161" s="62" t="n">
        <x:v>45952</x:v>
      </x:c>
      <x:c r="F161" t="str">
        <x:v>AM</x:v>
      </x:c>
      <x:c r="G161" t="str">
        <x:v>B</x:v>
      </x:c>
      <x:c r="H161" t="n">
        <x:v>21</x:v>
      </x:c>
      <x:c r="I161" t="str">
        <x:v>ORD-2025-00020</x:v>
      </x:c>
      <x:c r="J161" t="n">
        <x:v>1</x:v>
      </x:c>
      <x:c r="K161" t="n">
        <x:v>1</x:v>
      </x:c>
      <x:c r="L161" t="str">
        <x:v>L21-S01-C1</x:v>
      </x:c>
      <x:c r="M161" t="n">
        <x:v>1</x:v>
      </x:c>
      <x:c r="N161" t="str">
        <x:v>DerivedFromCount</x:v>
      </x:c>
      <x:c r="O161" t="str">
        <x:v>PLC-PRD-JAR-720-L21</x:v>
      </x:c>
      <x:c r="P161" t="str">
        <x:v>OK</x:v>
      </x:c>
      <x:c r="Q161" t="str">
        <x:v>OK</x:v>
      </x:c>
      <x:c r="R161" t="str">
        <x:v>OK</x:v>
      </x:c>
      <x:c r="S161" t="str">
        <x:v>OK</x:v>
      </x:c>
      <x:c r="T161" t="n">
        <x:v>20</x:v>
      </x:c>
      <x:c r="U161" t="str">
        <x:v>OK</x:v>
      </x:c>
      <x:c r="V161" t="str">
        <x:v>OK</x:v>
      </x:c>
      <x:c r="W161" t="str">
        <x:v>LOAD</x:v>
      </x:c>
      <x:c r="X161" t="str">
        <x:v>02_Supervisor_Log(4).xlsx</x:v>
      </x:c>
      <x:c r="Y161" t="str">
        <x:v>ENH-20260830-01</x:v>
      </x:c>
      <x:c r="Z161" t="str">
        <x:v>Active</x:v>
      </x:c>
      <x:c r="AA161"/>
      <x:c r="AB161"/>
      <x:c r="AC161"/>
      <x:c r="AD161"/>
    </x:row>
    <x:row r="162">
      <x:c r="A162" t="str">
        <x:v>PCC-PE-KG01-L21-20251022-AM-ORD-2025-00020-S01-C2</x:v>
      </x:c>
      <x:c r="B162" t="str">
        <x:v>PC-PE-KG01-L21-20251022-AM-ORD-2025-00020-S01</x:v>
      </x:c>
      <x:c r="C162" t="str">
        <x:v>PE-KG01-L21-20251022-AM-ORD-2025-00020</x:v>
      </x:c>
      <x:c r="D162" t="str">
        <x:v>KG01</x:v>
      </x:c>
      <x:c r="E162" s="62" t="n">
        <x:v>45952</x:v>
      </x:c>
      <x:c r="F162" t="str">
        <x:v>AM</x:v>
      </x:c>
      <x:c r="G162" t="str">
        <x:v>B</x:v>
      </x:c>
      <x:c r="H162" t="n">
        <x:v>21</x:v>
      </x:c>
      <x:c r="I162" t="str">
        <x:v>ORD-2025-00020</x:v>
      </x:c>
      <x:c r="J162" t="n">
        <x:v>1</x:v>
      </x:c>
      <x:c r="K162" t="n">
        <x:v>2</x:v>
      </x:c>
      <x:c r="L162" t="str">
        <x:v>L21-S01-C2</x:v>
      </x:c>
      <x:c r="M162" t="n">
        <x:v>1</x:v>
      </x:c>
      <x:c r="N162" t="str">
        <x:v>DerivedFromCount</x:v>
      </x:c>
      <x:c r="O162" t="str">
        <x:v>PLC-PRD-JAR-720-L21</x:v>
      </x:c>
      <x:c r="P162" t="str">
        <x:v>OK</x:v>
      </x:c>
      <x:c r="Q162" t="str">
        <x:v>OK</x:v>
      </x:c>
      <x:c r="R162" t="str">
        <x:v>OK</x:v>
      </x:c>
      <x:c r="S162" t="str">
        <x:v>OK</x:v>
      </x:c>
      <x:c r="T162" t="n">
        <x:v>20</x:v>
      </x:c>
      <x:c r="U162" t="str">
        <x:v>OK</x:v>
      </x:c>
      <x:c r="V162" t="str">
        <x:v>OK</x:v>
      </x:c>
      <x:c r="W162" t="str">
        <x:v>LOAD</x:v>
      </x:c>
      <x:c r="X162" t="str">
        <x:v>02_Supervisor_Log(4).xlsx</x:v>
      </x:c>
      <x:c r="Y162" t="str">
        <x:v>ENH-20260830-01</x:v>
      </x:c>
      <x:c r="Z162" t="str">
        <x:v>Active</x:v>
      </x:c>
      <x:c r="AA162"/>
      <x:c r="AB162"/>
      <x:c r="AC162"/>
      <x:c r="AD162"/>
    </x:row>
    <x:row r="163">
      <x:c r="A163" t="str">
        <x:v>PCC-PE-KG01-L21-20251022-AM-ORD-2025-00020-S01-C3</x:v>
      </x:c>
      <x:c r="B163" t="str">
        <x:v>PC-PE-KG01-L21-20251022-AM-ORD-2025-00020-S01</x:v>
      </x:c>
      <x:c r="C163" t="str">
        <x:v>PE-KG01-L21-20251022-AM-ORD-2025-00020</x:v>
      </x:c>
      <x:c r="D163" t="str">
        <x:v>KG01</x:v>
      </x:c>
      <x:c r="E163" s="62" t="n">
        <x:v>45952</x:v>
      </x:c>
      <x:c r="F163" t="str">
        <x:v>AM</x:v>
      </x:c>
      <x:c r="G163" t="str">
        <x:v>B</x:v>
      </x:c>
      <x:c r="H163" t="n">
        <x:v>21</x:v>
      </x:c>
      <x:c r="I163" t="str">
        <x:v>ORD-2025-00020</x:v>
      </x:c>
      <x:c r="J163" t="n">
        <x:v>1</x:v>
      </x:c>
      <x:c r="K163" t="n">
        <x:v>3</x:v>
      </x:c>
      <x:c r="L163" t="str">
        <x:v>L21-S01-C3</x:v>
      </x:c>
      <x:c r="M163" t="n">
        <x:v>0</x:v>
      </x:c>
      <x:c r="N163" t="str">
        <x:v>DerivedFromCount</x:v>
      </x:c>
      <x:c r="O163" t="str">
        <x:v>PLC-PRD-JAR-720-L21</x:v>
      </x:c>
      <x:c r="P163" t="str">
        <x:v>OK</x:v>
      </x:c>
      <x:c r="Q163" t="str">
        <x:v>OK</x:v>
      </x:c>
      <x:c r="R163" t="str">
        <x:v>OK</x:v>
      </x:c>
      <x:c r="S163" t="str">
        <x:v>OK</x:v>
      </x:c>
      <x:c r="T163" t="n">
        <x:v>20</x:v>
      </x:c>
      <x:c r="U163" t="str">
        <x:v>OK</x:v>
      </x:c>
      <x:c r="V163" t="str">
        <x:v>OK</x:v>
      </x:c>
      <x:c r="W163" t="str">
        <x:v>LOAD</x:v>
      </x:c>
      <x:c r="X163" t="str">
        <x:v>02_Supervisor_Log(4).xlsx</x:v>
      </x:c>
      <x:c r="Y163" t="str">
        <x:v>ENH-20260830-01</x:v>
      </x:c>
      <x:c r="Z163" t="str">
        <x:v>Active</x:v>
      </x:c>
      <x:c r="AA163"/>
      <x:c r="AB163"/>
      <x:c r="AC163"/>
      <x:c r="AD163"/>
    </x:row>
    <x:row r="164">
      <x:c r="A164" t="str">
        <x:v>PCC-PE-KG01-L21-20251022-AM-ORD-2025-00020-S02-C1</x:v>
      </x:c>
      <x:c r="B164" t="str">
        <x:v>PC-PE-KG01-L21-20251022-AM-ORD-2025-00020-S02</x:v>
      </x:c>
      <x:c r="C164" t="str">
        <x:v>PE-KG01-L21-20251022-AM-ORD-2025-00020</x:v>
      </x:c>
      <x:c r="D164" t="str">
        <x:v>KG01</x:v>
      </x:c>
      <x:c r="E164" s="62" t="n">
        <x:v>45952</x:v>
      </x:c>
      <x:c r="F164" t="str">
        <x:v>AM</x:v>
      </x:c>
      <x:c r="G164" t="str">
        <x:v>B</x:v>
      </x:c>
      <x:c r="H164" t="n">
        <x:v>21</x:v>
      </x:c>
      <x:c r="I164" t="str">
        <x:v>ORD-2025-00020</x:v>
      </x:c>
      <x:c r="J164" t="n">
        <x:v>2</x:v>
      </x:c>
      <x:c r="K164" t="n">
        <x:v>1</x:v>
      </x:c>
      <x:c r="L164" t="str">
        <x:v>L21-S02-C1</x:v>
      </x:c>
      <x:c r="M164" t="n">
        <x:v>1</x:v>
      </x:c>
      <x:c r="N164" t="str">
        <x:v>DerivedFromCount</x:v>
      </x:c>
      <x:c r="O164" t="str">
        <x:v>PLC-PRD-JAR-720-L21</x:v>
      </x:c>
      <x:c r="P164" t="str">
        <x:v>OK</x:v>
      </x:c>
      <x:c r="Q164" t="str">
        <x:v>OK</x:v>
      </x:c>
      <x:c r="R164" t="str">
        <x:v>OK</x:v>
      </x:c>
      <x:c r="S164" t="str">
        <x:v>OK</x:v>
      </x:c>
      <x:c r="T164" t="n">
        <x:v>20</x:v>
      </x:c>
      <x:c r="U164" t="str">
        <x:v>OK</x:v>
      </x:c>
      <x:c r="V164" t="str">
        <x:v>OK</x:v>
      </x:c>
      <x:c r="W164" t="str">
        <x:v>LOAD</x:v>
      </x:c>
      <x:c r="X164" t="str">
        <x:v>02_Supervisor_Log(4).xlsx</x:v>
      </x:c>
      <x:c r="Y164" t="str">
        <x:v>ENH-20260830-01</x:v>
      </x:c>
      <x:c r="Z164" t="str">
        <x:v>Active</x:v>
      </x:c>
      <x:c r="AA164"/>
      <x:c r="AB164"/>
      <x:c r="AC164"/>
      <x:c r="AD164"/>
    </x:row>
    <x:row r="165">
      <x:c r="A165" t="str">
        <x:v>PCC-PE-KG01-L21-20251022-AM-ORD-2025-00020-S02-C2</x:v>
      </x:c>
      <x:c r="B165" t="str">
        <x:v>PC-PE-KG01-L21-20251022-AM-ORD-2025-00020-S02</x:v>
      </x:c>
      <x:c r="C165" t="str">
        <x:v>PE-KG01-L21-20251022-AM-ORD-2025-00020</x:v>
      </x:c>
      <x:c r="D165" t="str">
        <x:v>KG01</x:v>
      </x:c>
      <x:c r="E165" s="62" t="n">
        <x:v>45952</x:v>
      </x:c>
      <x:c r="F165" t="str">
        <x:v>AM</x:v>
      </x:c>
      <x:c r="G165" t="str">
        <x:v>B</x:v>
      </x:c>
      <x:c r="H165" t="n">
        <x:v>21</x:v>
      </x:c>
      <x:c r="I165" t="str">
        <x:v>ORD-2025-00020</x:v>
      </x:c>
      <x:c r="J165" t="n">
        <x:v>2</x:v>
      </x:c>
      <x:c r="K165" t="n">
        <x:v>2</x:v>
      </x:c>
      <x:c r="L165" t="str">
        <x:v>L21-S02-C2</x:v>
      </x:c>
      <x:c r="M165" t="n">
        <x:v>1</x:v>
      </x:c>
      <x:c r="N165" t="str">
        <x:v>DerivedFromCount</x:v>
      </x:c>
      <x:c r="O165" t="str">
        <x:v>PLC-PRD-JAR-720-L21</x:v>
      </x:c>
      <x:c r="P165" t="str">
        <x:v>OK</x:v>
      </x:c>
      <x:c r="Q165" t="str">
        <x:v>OK</x:v>
      </x:c>
      <x:c r="R165" t="str">
        <x:v>OK</x:v>
      </x:c>
      <x:c r="S165" t="str">
        <x:v>OK</x:v>
      </x:c>
      <x:c r="T165" t="n">
        <x:v>20</x:v>
      </x:c>
      <x:c r="U165" t="str">
        <x:v>OK</x:v>
      </x:c>
      <x:c r="V165" t="str">
        <x:v>OK</x:v>
      </x:c>
      <x:c r="W165" t="str">
        <x:v>LOAD</x:v>
      </x:c>
      <x:c r="X165" t="str">
        <x:v>02_Supervisor_Log(4).xlsx</x:v>
      </x:c>
      <x:c r="Y165" t="str">
        <x:v>ENH-20260830-01</x:v>
      </x:c>
      <x:c r="Z165" t="str">
        <x:v>Active</x:v>
      </x:c>
      <x:c r="AA165"/>
      <x:c r="AB165"/>
      <x:c r="AC165"/>
      <x:c r="AD165"/>
    </x:row>
    <x:row r="166">
      <x:c r="A166" t="str">
        <x:v>PCC-PE-KG01-L21-20251022-AM-ORD-2025-00020-S02-C3</x:v>
      </x:c>
      <x:c r="B166" t="str">
        <x:v>PC-PE-KG01-L21-20251022-AM-ORD-2025-00020-S02</x:v>
      </x:c>
      <x:c r="C166" t="str">
        <x:v>PE-KG01-L21-20251022-AM-ORD-2025-00020</x:v>
      </x:c>
      <x:c r="D166" t="str">
        <x:v>KG01</x:v>
      </x:c>
      <x:c r="E166" s="62" t="n">
        <x:v>45952</x:v>
      </x:c>
      <x:c r="F166" t="str">
        <x:v>AM</x:v>
      </x:c>
      <x:c r="G166" t="str">
        <x:v>B</x:v>
      </x:c>
      <x:c r="H166" t="n">
        <x:v>21</x:v>
      </x:c>
      <x:c r="I166" t="str">
        <x:v>ORD-2025-00020</x:v>
      </x:c>
      <x:c r="J166" t="n">
        <x:v>2</x:v>
      </x:c>
      <x:c r="K166" t="n">
        <x:v>3</x:v>
      </x:c>
      <x:c r="L166" t="str">
        <x:v>L21-S02-C3</x:v>
      </x:c>
      <x:c r="M166" t="n">
        <x:v>0</x:v>
      </x:c>
      <x:c r="N166" t="str">
        <x:v>DerivedFromCount</x:v>
      </x:c>
      <x:c r="O166" t="str">
        <x:v>PLC-PRD-JAR-720-L21</x:v>
      </x:c>
      <x:c r="P166" t="str">
        <x:v>OK</x:v>
      </x:c>
      <x:c r="Q166" t="str">
        <x:v>OK</x:v>
      </x:c>
      <x:c r="R166" t="str">
        <x:v>OK</x:v>
      </x:c>
      <x:c r="S166" t="str">
        <x:v>OK</x:v>
      </x:c>
      <x:c r="T166" t="n">
        <x:v>20</x:v>
      </x:c>
      <x:c r="U166" t="str">
        <x:v>OK</x:v>
      </x:c>
      <x:c r="V166" t="str">
        <x:v>OK</x:v>
      </x:c>
      <x:c r="W166" t="str">
        <x:v>LOAD</x:v>
      </x:c>
      <x:c r="X166" t="str">
        <x:v>02_Supervisor_Log(4).xlsx</x:v>
      </x:c>
      <x:c r="Y166" t="str">
        <x:v>ENH-20260830-01</x:v>
      </x:c>
      <x:c r="Z166" t="str">
        <x:v>Active</x:v>
      </x:c>
      <x:c r="AA166"/>
      <x:c r="AB166"/>
      <x:c r="AC166"/>
      <x:c r="AD166"/>
    </x:row>
    <x:row r="167">
      <x:c r="A167" t="str">
        <x:v>PCC-PE-KG01-L21-20251022-AM-ORD-2025-00020-S03-C1</x:v>
      </x:c>
      <x:c r="B167" t="str">
        <x:v>PC-PE-KG01-L21-20251022-AM-ORD-2025-00020-S03</x:v>
      </x:c>
      <x:c r="C167" t="str">
        <x:v>PE-KG01-L21-20251022-AM-ORD-2025-00020</x:v>
      </x:c>
      <x:c r="D167" t="str">
        <x:v>KG01</x:v>
      </x:c>
      <x:c r="E167" s="62" t="n">
        <x:v>45952</x:v>
      </x:c>
      <x:c r="F167" t="str">
        <x:v>AM</x:v>
      </x:c>
      <x:c r="G167" t="str">
        <x:v>B</x:v>
      </x:c>
      <x:c r="H167" t="n">
        <x:v>21</x:v>
      </x:c>
      <x:c r="I167" t="str">
        <x:v>ORD-2025-00020</x:v>
      </x:c>
      <x:c r="J167" t="n">
        <x:v>3</x:v>
      </x:c>
      <x:c r="K167" t="n">
        <x:v>1</x:v>
      </x:c>
      <x:c r="L167" t="str">
        <x:v>L21-S03-C1</x:v>
      </x:c>
      <x:c r="M167" t="n">
        <x:v>1</x:v>
      </x:c>
      <x:c r="N167" t="str">
        <x:v>DerivedFromCount</x:v>
      </x:c>
      <x:c r="O167" t="str">
        <x:v>PLC-PRD-JAR-720-L21</x:v>
      </x:c>
      <x:c r="P167" t="str">
        <x:v>OK</x:v>
      </x:c>
      <x:c r="Q167" t="str">
        <x:v>OK</x:v>
      </x:c>
      <x:c r="R167" t="str">
        <x:v>OK</x:v>
      </x:c>
      <x:c r="S167" t="str">
        <x:v>OK</x:v>
      </x:c>
      <x:c r="T167" t="n">
        <x:v>20</x:v>
      </x:c>
      <x:c r="U167" t="str">
        <x:v>OK</x:v>
      </x:c>
      <x:c r="V167" t="str">
        <x:v>OK</x:v>
      </x:c>
      <x:c r="W167" t="str">
        <x:v>LOAD</x:v>
      </x:c>
      <x:c r="X167" t="str">
        <x:v>02_Supervisor_Log(4).xlsx</x:v>
      </x:c>
      <x:c r="Y167" t="str">
        <x:v>ENH-20260830-01</x:v>
      </x:c>
      <x:c r="Z167" t="str">
        <x:v>Active</x:v>
      </x:c>
      <x:c r="AA167"/>
      <x:c r="AB167"/>
      <x:c r="AC167"/>
      <x:c r="AD167"/>
    </x:row>
    <x:row r="168">
      <x:c r="A168" t="str">
        <x:v>PCC-PE-KG01-L21-20251022-AM-ORD-2025-00020-S03-C2</x:v>
      </x:c>
      <x:c r="B168" t="str">
        <x:v>PC-PE-KG01-L21-20251022-AM-ORD-2025-00020-S03</x:v>
      </x:c>
      <x:c r="C168" t="str">
        <x:v>PE-KG01-L21-20251022-AM-ORD-2025-00020</x:v>
      </x:c>
      <x:c r="D168" t="str">
        <x:v>KG01</x:v>
      </x:c>
      <x:c r="E168" s="62" t="n">
        <x:v>45952</x:v>
      </x:c>
      <x:c r="F168" t="str">
        <x:v>AM</x:v>
      </x:c>
      <x:c r="G168" t="str">
        <x:v>B</x:v>
      </x:c>
      <x:c r="H168" t="n">
        <x:v>21</x:v>
      </x:c>
      <x:c r="I168" t="str">
        <x:v>ORD-2025-00020</x:v>
      </x:c>
      <x:c r="J168" t="n">
        <x:v>3</x:v>
      </x:c>
      <x:c r="K168" t="n">
        <x:v>2</x:v>
      </x:c>
      <x:c r="L168" t="str">
        <x:v>L21-S03-C2</x:v>
      </x:c>
      <x:c r="M168" t="n">
        <x:v>1</x:v>
      </x:c>
      <x:c r="N168" t="str">
        <x:v>DerivedFromCount</x:v>
      </x:c>
      <x:c r="O168" t="str">
        <x:v>PLC-PRD-JAR-720-L21</x:v>
      </x:c>
      <x:c r="P168" t="str">
        <x:v>OK</x:v>
      </x:c>
      <x:c r="Q168" t="str">
        <x:v>OK</x:v>
      </x:c>
      <x:c r="R168" t="str">
        <x:v>OK</x:v>
      </x:c>
      <x:c r="S168" t="str">
        <x:v>OK</x:v>
      </x:c>
      <x:c r="T168" t="n">
        <x:v>20</x:v>
      </x:c>
      <x:c r="U168" t="str">
        <x:v>OK</x:v>
      </x:c>
      <x:c r="V168" t="str">
        <x:v>OK</x:v>
      </x:c>
      <x:c r="W168" t="str">
        <x:v>LOAD</x:v>
      </x:c>
      <x:c r="X168" t="str">
        <x:v>02_Supervisor_Log(4).xlsx</x:v>
      </x:c>
      <x:c r="Y168" t="str">
        <x:v>ENH-20260830-01</x:v>
      </x:c>
      <x:c r="Z168" t="str">
        <x:v>Active</x:v>
      </x:c>
      <x:c r="AA168"/>
      <x:c r="AB168"/>
      <x:c r="AC168"/>
      <x:c r="AD168"/>
    </x:row>
    <x:row r="169">
      <x:c r="A169" t="str">
        <x:v>PCC-PE-KG01-L21-20251022-AM-ORD-2025-00020-S03-C3</x:v>
      </x:c>
      <x:c r="B169" t="str">
        <x:v>PC-PE-KG01-L21-20251022-AM-ORD-2025-00020-S03</x:v>
      </x:c>
      <x:c r="C169" t="str">
        <x:v>PE-KG01-L21-20251022-AM-ORD-2025-00020</x:v>
      </x:c>
      <x:c r="D169" t="str">
        <x:v>KG01</x:v>
      </x:c>
      <x:c r="E169" s="62" t="n">
        <x:v>45952</x:v>
      </x:c>
      <x:c r="F169" t="str">
        <x:v>AM</x:v>
      </x:c>
      <x:c r="G169" t="str">
        <x:v>B</x:v>
      </x:c>
      <x:c r="H169" t="n">
        <x:v>21</x:v>
      </x:c>
      <x:c r="I169" t="str">
        <x:v>ORD-2025-00020</x:v>
      </x:c>
      <x:c r="J169" t="n">
        <x:v>3</x:v>
      </x:c>
      <x:c r="K169" t="n">
        <x:v>3</x:v>
      </x:c>
      <x:c r="L169" t="str">
        <x:v>L21-S03-C3</x:v>
      </x:c>
      <x:c r="M169" t="n">
        <x:v>0</x:v>
      </x:c>
      <x:c r="N169" t="str">
        <x:v>DerivedFromCount</x:v>
      </x:c>
      <x:c r="O169" t="str">
        <x:v>PLC-PRD-JAR-720-L21</x:v>
      </x:c>
      <x:c r="P169" t="str">
        <x:v>OK</x:v>
      </x:c>
      <x:c r="Q169" t="str">
        <x:v>OK</x:v>
      </x:c>
      <x:c r="R169" t="str">
        <x:v>OK</x:v>
      </x:c>
      <x:c r="S169" t="str">
        <x:v>OK</x:v>
      </x:c>
      <x:c r="T169" t="n">
        <x:v>20</x:v>
      </x:c>
      <x:c r="U169" t="str">
        <x:v>OK</x:v>
      </x:c>
      <x:c r="V169" t="str">
        <x:v>OK</x:v>
      </x:c>
      <x:c r="W169" t="str">
        <x:v>LOAD</x:v>
      </x:c>
      <x:c r="X169" t="str">
        <x:v>02_Supervisor_Log(4).xlsx</x:v>
      </x:c>
      <x:c r="Y169" t="str">
        <x:v>ENH-20260830-01</x:v>
      </x:c>
      <x:c r="Z169" t="str">
        <x:v>Active</x:v>
      </x:c>
      <x:c r="AA169"/>
      <x:c r="AB169"/>
      <x:c r="AC169"/>
      <x:c r="AD169"/>
    </x:row>
    <x:row r="170">
      <x:c r="A170" t="str">
        <x:v>PCC-PE-KG01-L21-20251022-AM-ORD-2025-00020-S04-C1</x:v>
      </x:c>
      <x:c r="B170" t="str">
        <x:v>PC-PE-KG01-L21-20251022-AM-ORD-2025-00020-S04</x:v>
      </x:c>
      <x:c r="C170" t="str">
        <x:v>PE-KG01-L21-20251022-AM-ORD-2025-00020</x:v>
      </x:c>
      <x:c r="D170" t="str">
        <x:v>KG01</x:v>
      </x:c>
      <x:c r="E170" s="62" t="n">
        <x:v>45952</x:v>
      </x:c>
      <x:c r="F170" t="str">
        <x:v>AM</x:v>
      </x:c>
      <x:c r="G170" t="str">
        <x:v>B</x:v>
      </x:c>
      <x:c r="H170" t="n">
        <x:v>21</x:v>
      </x:c>
      <x:c r="I170" t="str">
        <x:v>ORD-2025-00020</x:v>
      </x:c>
      <x:c r="J170" t="n">
        <x:v>4</x:v>
      </x:c>
      <x:c r="K170" t="n">
        <x:v>1</x:v>
      </x:c>
      <x:c r="L170" t="str">
        <x:v>L21-S04-C1</x:v>
      </x:c>
      <x:c r="M170" t="n">
        <x:v>1</x:v>
      </x:c>
      <x:c r="N170" t="str">
        <x:v>DerivedFromCount</x:v>
      </x:c>
      <x:c r="O170" t="str">
        <x:v>PLC-PRD-JAR-720-L21</x:v>
      </x:c>
      <x:c r="P170" t="str">
        <x:v>OK</x:v>
      </x:c>
      <x:c r="Q170" t="str">
        <x:v>OK</x:v>
      </x:c>
      <x:c r="R170" t="str">
        <x:v>OK</x:v>
      </x:c>
      <x:c r="S170" t="str">
        <x:v>OK</x:v>
      </x:c>
      <x:c r="T170" t="n">
        <x:v>20</x:v>
      </x:c>
      <x:c r="U170" t="str">
        <x:v>OK</x:v>
      </x:c>
      <x:c r="V170" t="str">
        <x:v>OK</x:v>
      </x:c>
      <x:c r="W170" t="str">
        <x:v>LOAD</x:v>
      </x:c>
      <x:c r="X170" t="str">
        <x:v>02_Supervisor_Log(4).xlsx</x:v>
      </x:c>
      <x:c r="Y170" t="str">
        <x:v>ENH-20260830-01</x:v>
      </x:c>
      <x:c r="Z170" t="str">
        <x:v>Active</x:v>
      </x:c>
      <x:c r="AA170"/>
      <x:c r="AB170"/>
      <x:c r="AC170"/>
      <x:c r="AD170"/>
    </x:row>
    <x:row r="171">
      <x:c r="A171" t="str">
        <x:v>PCC-PE-KG01-L21-20251022-AM-ORD-2025-00020-S04-C2</x:v>
      </x:c>
      <x:c r="B171" t="str">
        <x:v>PC-PE-KG01-L21-20251022-AM-ORD-2025-00020-S04</x:v>
      </x:c>
      <x:c r="C171" t="str">
        <x:v>PE-KG01-L21-20251022-AM-ORD-2025-00020</x:v>
      </x:c>
      <x:c r="D171" t="str">
        <x:v>KG01</x:v>
      </x:c>
      <x:c r="E171" s="62" t="n">
        <x:v>45952</x:v>
      </x:c>
      <x:c r="F171" t="str">
        <x:v>AM</x:v>
      </x:c>
      <x:c r="G171" t="str">
        <x:v>B</x:v>
      </x:c>
      <x:c r="H171" t="n">
        <x:v>21</x:v>
      </x:c>
      <x:c r="I171" t="str">
        <x:v>ORD-2025-00020</x:v>
      </x:c>
      <x:c r="J171" t="n">
        <x:v>4</x:v>
      </x:c>
      <x:c r="K171" t="n">
        <x:v>2</x:v>
      </x:c>
      <x:c r="L171" t="str">
        <x:v>L21-S04-C2</x:v>
      </x:c>
      <x:c r="M171" t="n">
        <x:v>1</x:v>
      </x:c>
      <x:c r="N171" t="str">
        <x:v>DerivedFromCount</x:v>
      </x:c>
      <x:c r="O171" t="str">
        <x:v>PLC-PRD-JAR-720-L21</x:v>
      </x:c>
      <x:c r="P171" t="str">
        <x:v>OK</x:v>
      </x:c>
      <x:c r="Q171" t="str">
        <x:v>OK</x:v>
      </x:c>
      <x:c r="R171" t="str">
        <x:v>OK</x:v>
      </x:c>
      <x:c r="S171" t="str">
        <x:v>OK</x:v>
      </x:c>
      <x:c r="T171" t="n">
        <x:v>20</x:v>
      </x:c>
      <x:c r="U171" t="str">
        <x:v>OK</x:v>
      </x:c>
      <x:c r="V171" t="str">
        <x:v>OK</x:v>
      </x:c>
      <x:c r="W171" t="str">
        <x:v>LOAD</x:v>
      </x:c>
      <x:c r="X171" t="str">
        <x:v>02_Supervisor_Log(4).xlsx</x:v>
      </x:c>
      <x:c r="Y171" t="str">
        <x:v>ENH-20260830-01</x:v>
      </x:c>
      <x:c r="Z171" t="str">
        <x:v>Active</x:v>
      </x:c>
      <x:c r="AA171"/>
      <x:c r="AB171"/>
      <x:c r="AC171"/>
      <x:c r="AD171"/>
    </x:row>
    <x:row r="172">
      <x:c r="A172" t="str">
        <x:v>PCC-PE-KG01-L21-20251022-AM-ORD-2025-00020-S04-C3</x:v>
      </x:c>
      <x:c r="B172" t="str">
        <x:v>PC-PE-KG01-L21-20251022-AM-ORD-2025-00020-S04</x:v>
      </x:c>
      <x:c r="C172" t="str">
        <x:v>PE-KG01-L21-20251022-AM-ORD-2025-00020</x:v>
      </x:c>
      <x:c r="D172" t="str">
        <x:v>KG01</x:v>
      </x:c>
      <x:c r="E172" s="62" t="n">
        <x:v>45952</x:v>
      </x:c>
      <x:c r="F172" t="str">
        <x:v>AM</x:v>
      </x:c>
      <x:c r="G172" t="str">
        <x:v>B</x:v>
      </x:c>
      <x:c r="H172" t="n">
        <x:v>21</x:v>
      </x:c>
      <x:c r="I172" t="str">
        <x:v>ORD-2025-00020</x:v>
      </x:c>
      <x:c r="J172" t="n">
        <x:v>4</x:v>
      </x:c>
      <x:c r="K172" t="n">
        <x:v>3</x:v>
      </x:c>
      <x:c r="L172" t="str">
        <x:v>L21-S04-C3</x:v>
      </x:c>
      <x:c r="M172" t="n">
        <x:v>0</x:v>
      </x:c>
      <x:c r="N172" t="str">
        <x:v>DerivedFromCount</x:v>
      </x:c>
      <x:c r="O172" t="str">
        <x:v>PLC-PRD-JAR-720-L21</x:v>
      </x:c>
      <x:c r="P172" t="str">
        <x:v>OK</x:v>
      </x:c>
      <x:c r="Q172" t="str">
        <x:v>OK</x:v>
      </x:c>
      <x:c r="R172" t="str">
        <x:v>OK</x:v>
      </x:c>
      <x:c r="S172" t="str">
        <x:v>OK</x:v>
      </x:c>
      <x:c r="T172" t="n">
        <x:v>20</x:v>
      </x:c>
      <x:c r="U172" t="str">
        <x:v>OK</x:v>
      </x:c>
      <x:c r="V172" t="str">
        <x:v>OK</x:v>
      </x:c>
      <x:c r="W172" t="str">
        <x:v>LOAD</x:v>
      </x:c>
      <x:c r="X172" t="str">
        <x:v>02_Supervisor_Log(4).xlsx</x:v>
      </x:c>
      <x:c r="Y172" t="str">
        <x:v>ENH-20260830-01</x:v>
      </x:c>
      <x:c r="Z172" t="str">
        <x:v>Active</x:v>
      </x:c>
      <x:c r="AA172"/>
      <x:c r="AB172"/>
      <x:c r="AC172"/>
      <x:c r="AD172"/>
    </x:row>
    <x:row r="173">
      <x:c r="A173" t="str">
        <x:v>PCC-PE-KG01-L21-20251022-AM-ORD-2025-00020-S05-C1</x:v>
      </x:c>
      <x:c r="B173" t="str">
        <x:v>PC-PE-KG01-L21-20251022-AM-ORD-2025-00020-S05</x:v>
      </x:c>
      <x:c r="C173" t="str">
        <x:v>PE-KG01-L21-20251022-AM-ORD-2025-00020</x:v>
      </x:c>
      <x:c r="D173" t="str">
        <x:v>KG01</x:v>
      </x:c>
      <x:c r="E173" s="62" t="n">
        <x:v>45952</x:v>
      </x:c>
      <x:c r="F173" t="str">
        <x:v>AM</x:v>
      </x:c>
      <x:c r="G173" t="str">
        <x:v>B</x:v>
      </x:c>
      <x:c r="H173" t="n">
        <x:v>21</x:v>
      </x:c>
      <x:c r="I173" t="str">
        <x:v>ORD-2025-00020</x:v>
      </x:c>
      <x:c r="J173" t="n">
        <x:v>5</x:v>
      </x:c>
      <x:c r="K173" t="n">
        <x:v>1</x:v>
      </x:c>
      <x:c r="L173" t="str">
        <x:v>L21-S05-C1</x:v>
      </x:c>
      <x:c r="M173" t="n">
        <x:v>1</x:v>
      </x:c>
      <x:c r="N173" t="str">
        <x:v>DerivedFromCount</x:v>
      </x:c>
      <x:c r="O173" t="str">
        <x:v>PLC-PRD-JAR-720-L21</x:v>
      </x:c>
      <x:c r="P173" t="str">
        <x:v>OK</x:v>
      </x:c>
      <x:c r="Q173" t="str">
        <x:v>OK</x:v>
      </x:c>
      <x:c r="R173" t="str">
        <x:v>OK</x:v>
      </x:c>
      <x:c r="S173" t="str">
        <x:v>OK</x:v>
      </x:c>
      <x:c r="T173" t="n">
        <x:v>20</x:v>
      </x:c>
      <x:c r="U173" t="str">
        <x:v>OK</x:v>
      </x:c>
      <x:c r="V173" t="str">
        <x:v>OK</x:v>
      </x:c>
      <x:c r="W173" t="str">
        <x:v>LOAD</x:v>
      </x:c>
      <x:c r="X173" t="str">
        <x:v>02_Supervisor_Log(4).xlsx</x:v>
      </x:c>
      <x:c r="Y173" t="str">
        <x:v>ENH-20260830-01</x:v>
      </x:c>
      <x:c r="Z173" t="str">
        <x:v>Active</x:v>
      </x:c>
      <x:c r="AA173"/>
      <x:c r="AB173"/>
      <x:c r="AC173"/>
      <x:c r="AD173"/>
    </x:row>
    <x:row r="174">
      <x:c r="A174" t="str">
        <x:v>PCC-PE-KG01-L21-20251022-AM-ORD-2025-00020-S05-C2</x:v>
      </x:c>
      <x:c r="B174" t="str">
        <x:v>PC-PE-KG01-L21-20251022-AM-ORD-2025-00020-S05</x:v>
      </x:c>
      <x:c r="C174" t="str">
        <x:v>PE-KG01-L21-20251022-AM-ORD-2025-00020</x:v>
      </x:c>
      <x:c r="D174" t="str">
        <x:v>KG01</x:v>
      </x:c>
      <x:c r="E174" s="62" t="n">
        <x:v>45952</x:v>
      </x:c>
      <x:c r="F174" t="str">
        <x:v>AM</x:v>
      </x:c>
      <x:c r="G174" t="str">
        <x:v>B</x:v>
      </x:c>
      <x:c r="H174" t="n">
        <x:v>21</x:v>
      </x:c>
      <x:c r="I174" t="str">
        <x:v>ORD-2025-00020</x:v>
      </x:c>
      <x:c r="J174" t="n">
        <x:v>5</x:v>
      </x:c>
      <x:c r="K174" t="n">
        <x:v>2</x:v>
      </x:c>
      <x:c r="L174" t="str">
        <x:v>L21-S05-C2</x:v>
      </x:c>
      <x:c r="M174" t="n">
        <x:v>1</x:v>
      </x:c>
      <x:c r="N174" t="str">
        <x:v>DerivedFromCount</x:v>
      </x:c>
      <x:c r="O174" t="str">
        <x:v>PLC-PRD-JAR-720-L21</x:v>
      </x:c>
      <x:c r="P174" t="str">
        <x:v>OK</x:v>
      </x:c>
      <x:c r="Q174" t="str">
        <x:v>OK</x:v>
      </x:c>
      <x:c r="R174" t="str">
        <x:v>OK</x:v>
      </x:c>
      <x:c r="S174" t="str">
        <x:v>OK</x:v>
      </x:c>
      <x:c r="T174" t="n">
        <x:v>20</x:v>
      </x:c>
      <x:c r="U174" t="str">
        <x:v>OK</x:v>
      </x:c>
      <x:c r="V174" t="str">
        <x:v>OK</x:v>
      </x:c>
      <x:c r="W174" t="str">
        <x:v>LOAD</x:v>
      </x:c>
      <x:c r="X174" t="str">
        <x:v>02_Supervisor_Log(4).xlsx</x:v>
      </x:c>
      <x:c r="Y174" t="str">
        <x:v>ENH-20260830-01</x:v>
      </x:c>
      <x:c r="Z174" t="str">
        <x:v>Active</x:v>
      </x:c>
      <x:c r="AA174"/>
      <x:c r="AB174"/>
      <x:c r="AC174"/>
      <x:c r="AD174"/>
    </x:row>
    <x:row r="175">
      <x:c r="A175" t="str">
        <x:v>PCC-PE-KG01-L21-20251022-AM-ORD-2025-00020-S05-C3</x:v>
      </x:c>
      <x:c r="B175" t="str">
        <x:v>PC-PE-KG01-L21-20251022-AM-ORD-2025-00020-S05</x:v>
      </x:c>
      <x:c r="C175" t="str">
        <x:v>PE-KG01-L21-20251022-AM-ORD-2025-00020</x:v>
      </x:c>
      <x:c r="D175" t="str">
        <x:v>KG01</x:v>
      </x:c>
      <x:c r="E175" s="62" t="n">
        <x:v>45952</x:v>
      </x:c>
      <x:c r="F175" t="str">
        <x:v>AM</x:v>
      </x:c>
      <x:c r="G175" t="str">
        <x:v>B</x:v>
      </x:c>
      <x:c r="H175" t="n">
        <x:v>21</x:v>
      </x:c>
      <x:c r="I175" t="str">
        <x:v>ORD-2025-00020</x:v>
      </x:c>
      <x:c r="J175" t="n">
        <x:v>5</x:v>
      </x:c>
      <x:c r="K175" t="n">
        <x:v>3</x:v>
      </x:c>
      <x:c r="L175" t="str">
        <x:v>L21-S05-C3</x:v>
      </x:c>
      <x:c r="M175" t="n">
        <x:v>0</x:v>
      </x:c>
      <x:c r="N175" t="str">
        <x:v>DerivedFromCount</x:v>
      </x:c>
      <x:c r="O175" t="str">
        <x:v>PLC-PRD-JAR-720-L21</x:v>
      </x:c>
      <x:c r="P175" t="str">
        <x:v>OK</x:v>
      </x:c>
      <x:c r="Q175" t="str">
        <x:v>OK</x:v>
      </x:c>
      <x:c r="R175" t="str">
        <x:v>OK</x:v>
      </x:c>
      <x:c r="S175" t="str">
        <x:v>OK</x:v>
      </x:c>
      <x:c r="T175" t="n">
        <x:v>20</x:v>
      </x:c>
      <x:c r="U175" t="str">
        <x:v>OK</x:v>
      </x:c>
      <x:c r="V175" t="str">
        <x:v>OK</x:v>
      </x:c>
      <x:c r="W175" t="str">
        <x:v>LOAD</x:v>
      </x:c>
      <x:c r="X175" t="str">
        <x:v>02_Supervisor_Log(4).xlsx</x:v>
      </x:c>
      <x:c r="Y175" t="str">
        <x:v>ENH-20260830-01</x:v>
      </x:c>
      <x:c r="Z175" t="str">
        <x:v>Active</x:v>
      </x:c>
      <x:c r="AA175"/>
      <x:c r="AB175"/>
      <x:c r="AC175"/>
      <x:c r="AD175"/>
    </x:row>
    <x:row r="176">
      <x:c r="A176" t="str">
        <x:v>PCC-PE-KG01-L21-20251022-AM-ORD-2025-00020-S06-C1</x:v>
      </x:c>
      <x:c r="B176" t="str">
        <x:v>PC-PE-KG01-L21-20251022-AM-ORD-2025-00020-S06</x:v>
      </x:c>
      <x:c r="C176" t="str">
        <x:v>PE-KG01-L21-20251022-AM-ORD-2025-00020</x:v>
      </x:c>
      <x:c r="D176" t="str">
        <x:v>KG01</x:v>
      </x:c>
      <x:c r="E176" s="62" t="n">
        <x:v>45952</x:v>
      </x:c>
      <x:c r="F176" t="str">
        <x:v>AM</x:v>
      </x:c>
      <x:c r="G176" t="str">
        <x:v>B</x:v>
      </x:c>
      <x:c r="H176" t="n">
        <x:v>21</x:v>
      </x:c>
      <x:c r="I176" t="str">
        <x:v>ORD-2025-00020</x:v>
      </x:c>
      <x:c r="J176" t="n">
        <x:v>6</x:v>
      </x:c>
      <x:c r="K176" t="n">
        <x:v>1</x:v>
      </x:c>
      <x:c r="L176" t="str">
        <x:v>L21-S06-C1</x:v>
      </x:c>
      <x:c r="M176" t="n">
        <x:v>1</x:v>
      </x:c>
      <x:c r="N176" t="str">
        <x:v>DerivedFromCount</x:v>
      </x:c>
      <x:c r="O176" t="str">
        <x:v>PLC-PRD-JAR-720-L21</x:v>
      </x:c>
      <x:c r="P176" t="str">
        <x:v>OK</x:v>
      </x:c>
      <x:c r="Q176" t="str">
        <x:v>OK</x:v>
      </x:c>
      <x:c r="R176" t="str">
        <x:v>OK</x:v>
      </x:c>
      <x:c r="S176" t="str">
        <x:v>OK</x:v>
      </x:c>
      <x:c r="T176" t="n">
        <x:v>20</x:v>
      </x:c>
      <x:c r="U176" t="str">
        <x:v>OK</x:v>
      </x:c>
      <x:c r="V176" t="str">
        <x:v>OK</x:v>
      </x:c>
      <x:c r="W176" t="str">
        <x:v>LOAD</x:v>
      </x:c>
      <x:c r="X176" t="str">
        <x:v>02_Supervisor_Log(4).xlsx</x:v>
      </x:c>
      <x:c r="Y176" t="str">
        <x:v>ENH-20260830-01</x:v>
      </x:c>
      <x:c r="Z176" t="str">
        <x:v>Active</x:v>
      </x:c>
      <x:c r="AA176"/>
      <x:c r="AB176"/>
      <x:c r="AC176"/>
      <x:c r="AD176"/>
    </x:row>
    <x:row r="177">
      <x:c r="A177" t="str">
        <x:v>PCC-PE-KG01-L21-20251022-AM-ORD-2025-00020-S06-C2</x:v>
      </x:c>
      <x:c r="B177" t="str">
        <x:v>PC-PE-KG01-L21-20251022-AM-ORD-2025-00020-S06</x:v>
      </x:c>
      <x:c r="C177" t="str">
        <x:v>PE-KG01-L21-20251022-AM-ORD-2025-00020</x:v>
      </x:c>
      <x:c r="D177" t="str">
        <x:v>KG01</x:v>
      </x:c>
      <x:c r="E177" s="62" t="n">
        <x:v>45952</x:v>
      </x:c>
      <x:c r="F177" t="str">
        <x:v>AM</x:v>
      </x:c>
      <x:c r="G177" t="str">
        <x:v>B</x:v>
      </x:c>
      <x:c r="H177" t="n">
        <x:v>21</x:v>
      </x:c>
      <x:c r="I177" t="str">
        <x:v>ORD-2025-00020</x:v>
      </x:c>
      <x:c r="J177" t="n">
        <x:v>6</x:v>
      </x:c>
      <x:c r="K177" t="n">
        <x:v>2</x:v>
      </x:c>
      <x:c r="L177" t="str">
        <x:v>L21-S06-C2</x:v>
      </x:c>
      <x:c r="M177" t="n">
        <x:v>1</x:v>
      </x:c>
      <x:c r="N177" t="str">
        <x:v>DerivedFromCount</x:v>
      </x:c>
      <x:c r="O177" t="str">
        <x:v>PLC-PRD-JAR-720-L21</x:v>
      </x:c>
      <x:c r="P177" t="str">
        <x:v>OK</x:v>
      </x:c>
      <x:c r="Q177" t="str">
        <x:v>OK</x:v>
      </x:c>
      <x:c r="R177" t="str">
        <x:v>OK</x:v>
      </x:c>
      <x:c r="S177" t="str">
        <x:v>OK</x:v>
      </x:c>
      <x:c r="T177" t="n">
        <x:v>20</x:v>
      </x:c>
      <x:c r="U177" t="str">
        <x:v>OK</x:v>
      </x:c>
      <x:c r="V177" t="str">
        <x:v>OK</x:v>
      </x:c>
      <x:c r="W177" t="str">
        <x:v>LOAD</x:v>
      </x:c>
      <x:c r="X177" t="str">
        <x:v>02_Supervisor_Log(4).xlsx</x:v>
      </x:c>
      <x:c r="Y177" t="str">
        <x:v>ENH-20260830-01</x:v>
      </x:c>
      <x:c r="Z177" t="str">
        <x:v>Active</x:v>
      </x:c>
      <x:c r="AA177"/>
      <x:c r="AB177"/>
      <x:c r="AC177"/>
      <x:c r="AD177"/>
    </x:row>
    <x:row r="178">
      <x:c r="A178" t="str">
        <x:v>PCC-PE-KG01-L21-20251022-AM-ORD-2025-00020-S06-C3</x:v>
      </x:c>
      <x:c r="B178" t="str">
        <x:v>PC-PE-KG01-L21-20251022-AM-ORD-2025-00020-S06</x:v>
      </x:c>
      <x:c r="C178" t="str">
        <x:v>PE-KG01-L21-20251022-AM-ORD-2025-00020</x:v>
      </x:c>
      <x:c r="D178" t="str">
        <x:v>KG01</x:v>
      </x:c>
      <x:c r="E178" s="62" t="n">
        <x:v>45952</x:v>
      </x:c>
      <x:c r="F178" t="str">
        <x:v>AM</x:v>
      </x:c>
      <x:c r="G178" t="str">
        <x:v>B</x:v>
      </x:c>
      <x:c r="H178" t="n">
        <x:v>21</x:v>
      </x:c>
      <x:c r="I178" t="str">
        <x:v>ORD-2025-00020</x:v>
      </x:c>
      <x:c r="J178" t="n">
        <x:v>6</x:v>
      </x:c>
      <x:c r="K178" t="n">
        <x:v>3</x:v>
      </x:c>
      <x:c r="L178" t="str">
        <x:v>L21-S06-C3</x:v>
      </x:c>
      <x:c r="M178" t="n">
        <x:v>0</x:v>
      </x:c>
      <x:c r="N178" t="str">
        <x:v>DerivedFromCount</x:v>
      </x:c>
      <x:c r="O178" t="str">
        <x:v>PLC-PRD-JAR-720-L21</x:v>
      </x:c>
      <x:c r="P178" t="str">
        <x:v>OK</x:v>
      </x:c>
      <x:c r="Q178" t="str">
        <x:v>OK</x:v>
      </x:c>
      <x:c r="R178" t="str">
        <x:v>OK</x:v>
      </x:c>
      <x:c r="S178" t="str">
        <x:v>OK</x:v>
      </x:c>
      <x:c r="T178" t="n">
        <x:v>20</x:v>
      </x:c>
      <x:c r="U178" t="str">
        <x:v>OK</x:v>
      </x:c>
      <x:c r="V178" t="str">
        <x:v>OK</x:v>
      </x:c>
      <x:c r="W178" t="str">
        <x:v>LOAD</x:v>
      </x:c>
      <x:c r="X178" t="str">
        <x:v>02_Supervisor_Log(4).xlsx</x:v>
      </x:c>
      <x:c r="Y178" t="str">
        <x:v>ENH-20260830-01</x:v>
      </x:c>
      <x:c r="Z178" t="str">
        <x:v>Active</x:v>
      </x:c>
      <x:c r="AA178"/>
      <x:c r="AB178"/>
      <x:c r="AC178"/>
      <x:c r="AD178"/>
    </x:row>
    <x:row r="179">
      <x:c r="A179" t="str">
        <x:v>PCC-PE-KG01-L21-20251022-AM-ORD-2025-00020-S07-C1</x:v>
      </x:c>
      <x:c r="B179" t="str">
        <x:v>PC-PE-KG01-L21-20251022-AM-ORD-2025-00020-S07</x:v>
      </x:c>
      <x:c r="C179" t="str">
        <x:v>PE-KG01-L21-20251022-AM-ORD-2025-00020</x:v>
      </x:c>
      <x:c r="D179" t="str">
        <x:v>KG01</x:v>
      </x:c>
      <x:c r="E179" s="62" t="n">
        <x:v>45952</x:v>
      </x:c>
      <x:c r="F179" t="str">
        <x:v>AM</x:v>
      </x:c>
      <x:c r="G179" t="str">
        <x:v>B</x:v>
      </x:c>
      <x:c r="H179" t="n">
        <x:v>21</x:v>
      </x:c>
      <x:c r="I179" t="str">
        <x:v>ORD-2025-00020</x:v>
      </x:c>
      <x:c r="J179" t="n">
        <x:v>7</x:v>
      </x:c>
      <x:c r="K179" t="n">
        <x:v>1</x:v>
      </x:c>
      <x:c r="L179" t="str">
        <x:v>L21-S07-C1</x:v>
      </x:c>
      <x:c r="M179" t="n">
        <x:v>1</x:v>
      </x:c>
      <x:c r="N179" t="str">
        <x:v>DerivedFromCount</x:v>
      </x:c>
      <x:c r="O179" t="str">
        <x:v>PLC-PRD-JAR-720-L21</x:v>
      </x:c>
      <x:c r="P179" t="str">
        <x:v>OK</x:v>
      </x:c>
      <x:c r="Q179" t="str">
        <x:v>OK</x:v>
      </x:c>
      <x:c r="R179" t="str">
        <x:v>OK</x:v>
      </x:c>
      <x:c r="S179" t="str">
        <x:v>OK</x:v>
      </x:c>
      <x:c r="T179" t="n">
        <x:v>20</x:v>
      </x:c>
      <x:c r="U179" t="str">
        <x:v>OK</x:v>
      </x:c>
      <x:c r="V179" t="str">
        <x:v>OK</x:v>
      </x:c>
      <x:c r="W179" t="str">
        <x:v>LOAD</x:v>
      </x:c>
      <x:c r="X179" t="str">
        <x:v>02_Supervisor_Log(4).xlsx</x:v>
      </x:c>
      <x:c r="Y179" t="str">
        <x:v>ENH-20260830-01</x:v>
      </x:c>
      <x:c r="Z179" t="str">
        <x:v>Active</x:v>
      </x:c>
      <x:c r="AA179"/>
      <x:c r="AB179"/>
      <x:c r="AC179"/>
      <x:c r="AD179"/>
    </x:row>
    <x:row r="180">
      <x:c r="A180" t="str">
        <x:v>PCC-PE-KG01-L21-20251022-AM-ORD-2025-00020-S07-C2</x:v>
      </x:c>
      <x:c r="B180" t="str">
        <x:v>PC-PE-KG01-L21-20251022-AM-ORD-2025-00020-S07</x:v>
      </x:c>
      <x:c r="C180" t="str">
        <x:v>PE-KG01-L21-20251022-AM-ORD-2025-00020</x:v>
      </x:c>
      <x:c r="D180" t="str">
        <x:v>KG01</x:v>
      </x:c>
      <x:c r="E180" s="62" t="n">
        <x:v>45952</x:v>
      </x:c>
      <x:c r="F180" t="str">
        <x:v>AM</x:v>
      </x:c>
      <x:c r="G180" t="str">
        <x:v>B</x:v>
      </x:c>
      <x:c r="H180" t="n">
        <x:v>21</x:v>
      </x:c>
      <x:c r="I180" t="str">
        <x:v>ORD-2025-00020</x:v>
      </x:c>
      <x:c r="J180" t="n">
        <x:v>7</x:v>
      </x:c>
      <x:c r="K180" t="n">
        <x:v>2</x:v>
      </x:c>
      <x:c r="L180" t="str">
        <x:v>L21-S07-C2</x:v>
      </x:c>
      <x:c r="M180" t="n">
        <x:v>1</x:v>
      </x:c>
      <x:c r="N180" t="str">
        <x:v>DerivedFromCount</x:v>
      </x:c>
      <x:c r="O180" t="str">
        <x:v>PLC-PRD-JAR-720-L21</x:v>
      </x:c>
      <x:c r="P180" t="str">
        <x:v>OK</x:v>
      </x:c>
      <x:c r="Q180" t="str">
        <x:v>OK</x:v>
      </x:c>
      <x:c r="R180" t="str">
        <x:v>OK</x:v>
      </x:c>
      <x:c r="S180" t="str">
        <x:v>OK</x:v>
      </x:c>
      <x:c r="T180" t="n">
        <x:v>20</x:v>
      </x:c>
      <x:c r="U180" t="str">
        <x:v>OK</x:v>
      </x:c>
      <x:c r="V180" t="str">
        <x:v>OK</x:v>
      </x:c>
      <x:c r="W180" t="str">
        <x:v>LOAD</x:v>
      </x:c>
      <x:c r="X180" t="str">
        <x:v>02_Supervisor_Log(4).xlsx</x:v>
      </x:c>
      <x:c r="Y180" t="str">
        <x:v>ENH-20260830-01</x:v>
      </x:c>
      <x:c r="Z180" t="str">
        <x:v>Active</x:v>
      </x:c>
      <x:c r="AA180"/>
      <x:c r="AB180"/>
      <x:c r="AC180"/>
      <x:c r="AD180"/>
    </x:row>
    <x:row r="181">
      <x:c r="A181" t="str">
        <x:v>PCC-PE-KG01-L21-20251022-AM-ORD-2025-00020-S07-C3</x:v>
      </x:c>
      <x:c r="B181" t="str">
        <x:v>PC-PE-KG01-L21-20251022-AM-ORD-2025-00020-S07</x:v>
      </x:c>
      <x:c r="C181" t="str">
        <x:v>PE-KG01-L21-20251022-AM-ORD-2025-00020</x:v>
      </x:c>
      <x:c r="D181" t="str">
        <x:v>KG01</x:v>
      </x:c>
      <x:c r="E181" s="62" t="n">
        <x:v>45952</x:v>
      </x:c>
      <x:c r="F181" t="str">
        <x:v>AM</x:v>
      </x:c>
      <x:c r="G181" t="str">
        <x:v>B</x:v>
      </x:c>
      <x:c r="H181" t="n">
        <x:v>21</x:v>
      </x:c>
      <x:c r="I181" t="str">
        <x:v>ORD-2025-00020</x:v>
      </x:c>
      <x:c r="J181" t="n">
        <x:v>7</x:v>
      </x:c>
      <x:c r="K181" t="n">
        <x:v>3</x:v>
      </x:c>
      <x:c r="L181" t="str">
        <x:v>L21-S07-C3</x:v>
      </x:c>
      <x:c r="M181" t="n">
        <x:v>0</x:v>
      </x:c>
      <x:c r="N181" t="str">
        <x:v>DerivedFromCount</x:v>
      </x:c>
      <x:c r="O181" t="str">
        <x:v>PLC-PRD-JAR-720-L21</x:v>
      </x:c>
      <x:c r="P181" t="str">
        <x:v>OK</x:v>
      </x:c>
      <x:c r="Q181" t="str">
        <x:v>OK</x:v>
      </x:c>
      <x:c r="R181" t="str">
        <x:v>OK</x:v>
      </x:c>
      <x:c r="S181" t="str">
        <x:v>OK</x:v>
      </x:c>
      <x:c r="T181" t="n">
        <x:v>20</x:v>
      </x:c>
      <x:c r="U181" t="str">
        <x:v>OK</x:v>
      </x:c>
      <x:c r="V181" t="str">
        <x:v>OK</x:v>
      </x:c>
      <x:c r="W181" t="str">
        <x:v>LOAD</x:v>
      </x:c>
      <x:c r="X181" t="str">
        <x:v>02_Supervisor_Log(4).xlsx</x:v>
      </x:c>
      <x:c r="Y181" t="str">
        <x:v>ENH-20260830-01</x:v>
      </x:c>
      <x:c r="Z181" t="str">
        <x:v>Active</x:v>
      </x:c>
      <x:c r="AA181"/>
      <x:c r="AB181"/>
      <x:c r="AC181"/>
      <x:c r="AD181"/>
    </x:row>
    <x:row r="182">
      <x:c r="A182" t="str">
        <x:v>PCC-PE-KG01-L21-20251022-AM-ORD-2025-00020-S08-C1</x:v>
      </x:c>
      <x:c r="B182" t="str">
        <x:v>PC-PE-KG01-L21-20251022-AM-ORD-2025-00020-S08</x:v>
      </x:c>
      <x:c r="C182" t="str">
        <x:v>PE-KG01-L21-20251022-AM-ORD-2025-00020</x:v>
      </x:c>
      <x:c r="D182" t="str">
        <x:v>KG01</x:v>
      </x:c>
      <x:c r="E182" s="62" t="n">
        <x:v>45952</x:v>
      </x:c>
      <x:c r="F182" t="str">
        <x:v>AM</x:v>
      </x:c>
      <x:c r="G182" t="str">
        <x:v>B</x:v>
      </x:c>
      <x:c r="H182" t="n">
        <x:v>21</x:v>
      </x:c>
      <x:c r="I182" t="str">
        <x:v>ORD-2025-00020</x:v>
      </x:c>
      <x:c r="J182" t="n">
        <x:v>8</x:v>
      </x:c>
      <x:c r="K182" t="n">
        <x:v>1</x:v>
      </x:c>
      <x:c r="L182" t="str">
        <x:v>L21-S08-C1</x:v>
      </x:c>
      <x:c r="M182" t="n">
        <x:v>1</x:v>
      </x:c>
      <x:c r="N182" t="str">
        <x:v>DerivedFromCount</x:v>
      </x:c>
      <x:c r="O182" t="str">
        <x:v>PLC-PRD-JAR-720-L21</x:v>
      </x:c>
      <x:c r="P182" t="str">
        <x:v>OK</x:v>
      </x:c>
      <x:c r="Q182" t="str">
        <x:v>OK</x:v>
      </x:c>
      <x:c r="R182" t="str">
        <x:v>OK</x:v>
      </x:c>
      <x:c r="S182" t="str">
        <x:v>OK</x:v>
      </x:c>
      <x:c r="T182" t="n">
        <x:v>20</x:v>
      </x:c>
      <x:c r="U182" t="str">
        <x:v>OK</x:v>
      </x:c>
      <x:c r="V182" t="str">
        <x:v>OK</x:v>
      </x:c>
      <x:c r="W182" t="str">
        <x:v>LOAD</x:v>
      </x:c>
      <x:c r="X182" t="str">
        <x:v>02_Supervisor_Log(4).xlsx</x:v>
      </x:c>
      <x:c r="Y182" t="str">
        <x:v>ENH-20260830-01</x:v>
      </x:c>
      <x:c r="Z182" t="str">
        <x:v>Active</x:v>
      </x:c>
      <x:c r="AA182"/>
      <x:c r="AB182"/>
      <x:c r="AC182"/>
      <x:c r="AD182"/>
    </x:row>
    <x:row r="183">
      <x:c r="A183" t="str">
        <x:v>PCC-PE-KG01-L21-20251022-AM-ORD-2025-00020-S08-C2</x:v>
      </x:c>
      <x:c r="B183" t="str">
        <x:v>PC-PE-KG01-L21-20251022-AM-ORD-2025-00020-S08</x:v>
      </x:c>
      <x:c r="C183" t="str">
        <x:v>PE-KG01-L21-20251022-AM-ORD-2025-00020</x:v>
      </x:c>
      <x:c r="D183" t="str">
        <x:v>KG01</x:v>
      </x:c>
      <x:c r="E183" s="62" t="n">
        <x:v>45952</x:v>
      </x:c>
      <x:c r="F183" t="str">
        <x:v>AM</x:v>
      </x:c>
      <x:c r="G183" t="str">
        <x:v>B</x:v>
      </x:c>
      <x:c r="H183" t="n">
        <x:v>21</x:v>
      </x:c>
      <x:c r="I183" t="str">
        <x:v>ORD-2025-00020</x:v>
      </x:c>
      <x:c r="J183" t="n">
        <x:v>8</x:v>
      </x:c>
      <x:c r="K183" t="n">
        <x:v>2</x:v>
      </x:c>
      <x:c r="L183" t="str">
        <x:v>L21-S08-C2</x:v>
      </x:c>
      <x:c r="M183" t="n">
        <x:v>1</x:v>
      </x:c>
      <x:c r="N183" t="str">
        <x:v>DerivedFromCount</x:v>
      </x:c>
      <x:c r="O183" t="str">
        <x:v>PLC-PRD-JAR-720-L21</x:v>
      </x:c>
      <x:c r="P183" t="str">
        <x:v>OK</x:v>
      </x:c>
      <x:c r="Q183" t="str">
        <x:v>OK</x:v>
      </x:c>
      <x:c r="R183" t="str">
        <x:v>OK</x:v>
      </x:c>
      <x:c r="S183" t="str">
        <x:v>OK</x:v>
      </x:c>
      <x:c r="T183" t="n">
        <x:v>20</x:v>
      </x:c>
      <x:c r="U183" t="str">
        <x:v>OK</x:v>
      </x:c>
      <x:c r="V183" t="str">
        <x:v>OK</x:v>
      </x:c>
      <x:c r="W183" t="str">
        <x:v>LOAD</x:v>
      </x:c>
      <x:c r="X183" t="str">
        <x:v>02_Supervisor_Log(4).xlsx</x:v>
      </x:c>
      <x:c r="Y183" t="str">
        <x:v>ENH-20260830-01</x:v>
      </x:c>
      <x:c r="Z183" t="str">
        <x:v>Active</x:v>
      </x:c>
      <x:c r="AA183"/>
      <x:c r="AB183"/>
      <x:c r="AC183"/>
      <x:c r="AD183"/>
    </x:row>
    <x:row r="184">
      <x:c r="A184" t="str">
        <x:v>PCC-PE-KG01-L21-20251022-AM-ORD-2025-00020-S08-C3</x:v>
      </x:c>
      <x:c r="B184" t="str">
        <x:v>PC-PE-KG01-L21-20251022-AM-ORD-2025-00020-S08</x:v>
      </x:c>
      <x:c r="C184" t="str">
        <x:v>PE-KG01-L21-20251022-AM-ORD-2025-00020</x:v>
      </x:c>
      <x:c r="D184" t="str">
        <x:v>KG01</x:v>
      </x:c>
      <x:c r="E184" s="62" t="n">
        <x:v>45952</x:v>
      </x:c>
      <x:c r="F184" t="str">
        <x:v>AM</x:v>
      </x:c>
      <x:c r="G184" t="str">
        <x:v>B</x:v>
      </x:c>
      <x:c r="H184" t="n">
        <x:v>21</x:v>
      </x:c>
      <x:c r="I184" t="str">
        <x:v>ORD-2025-00020</x:v>
      </x:c>
      <x:c r="J184" t="n">
        <x:v>8</x:v>
      </x:c>
      <x:c r="K184" t="n">
        <x:v>3</x:v>
      </x:c>
      <x:c r="L184" t="str">
        <x:v>L21-S08-C3</x:v>
      </x:c>
      <x:c r="M184" t="n">
        <x:v>0</x:v>
      </x:c>
      <x:c r="N184" t="str">
        <x:v>DerivedFromCount</x:v>
      </x:c>
      <x:c r="O184" t="str">
        <x:v>PLC-PRD-JAR-720-L21</x:v>
      </x:c>
      <x:c r="P184" t="str">
        <x:v>OK</x:v>
      </x:c>
      <x:c r="Q184" t="str">
        <x:v>OK</x:v>
      </x:c>
      <x:c r="R184" t="str">
        <x:v>OK</x:v>
      </x:c>
      <x:c r="S184" t="str">
        <x:v>OK</x:v>
      </x:c>
      <x:c r="T184" t="n">
        <x:v>20</x:v>
      </x:c>
      <x:c r="U184" t="str">
        <x:v>OK</x:v>
      </x:c>
      <x:c r="V184" t="str">
        <x:v>OK</x:v>
      </x:c>
      <x:c r="W184" t="str">
        <x:v>LOAD</x:v>
      </x:c>
      <x:c r="X184" t="str">
        <x:v>02_Supervisor_Log(4).xlsx</x:v>
      </x:c>
      <x:c r="Y184" t="str">
        <x:v>ENH-20260830-01</x:v>
      </x:c>
      <x:c r="Z184" t="str">
        <x:v>Active</x:v>
      </x:c>
      <x:c r="AA184"/>
      <x:c r="AB184"/>
      <x:c r="AC184"/>
      <x:c r="AD184"/>
    </x:row>
    <x:row r="185">
      <x:c r="A185" t="str">
        <x:v>PCC-PE-KG01-L21-20251022-AM-ORD-2025-00020-S09-C1</x:v>
      </x:c>
      <x:c r="B185" t="str">
        <x:v>PC-PE-KG01-L21-20251022-AM-ORD-2025-00020-S09</x:v>
      </x:c>
      <x:c r="C185" t="str">
        <x:v>PE-KG01-L21-20251022-AM-ORD-2025-00020</x:v>
      </x:c>
      <x:c r="D185" t="str">
        <x:v>KG01</x:v>
      </x:c>
      <x:c r="E185" s="62" t="n">
        <x:v>45952</x:v>
      </x:c>
      <x:c r="F185" t="str">
        <x:v>AM</x:v>
      </x:c>
      <x:c r="G185" t="str">
        <x:v>B</x:v>
      </x:c>
      <x:c r="H185" t="n">
        <x:v>21</x:v>
      </x:c>
      <x:c r="I185" t="str">
        <x:v>ORD-2025-00020</x:v>
      </x:c>
      <x:c r="J185" t="n">
        <x:v>9</x:v>
      </x:c>
      <x:c r="K185" t="n">
        <x:v>1</x:v>
      </x:c>
      <x:c r="L185" t="str">
        <x:v>L21-S09-C1</x:v>
      </x:c>
      <x:c r="M185" t="n">
        <x:v>1</x:v>
      </x:c>
      <x:c r="N185" t="str">
        <x:v>DerivedFromCount</x:v>
      </x:c>
      <x:c r="O185" t="str">
        <x:v>PLC-PRD-JAR-720-L21</x:v>
      </x:c>
      <x:c r="P185" t="str">
        <x:v>OK</x:v>
      </x:c>
      <x:c r="Q185" t="str">
        <x:v>OK</x:v>
      </x:c>
      <x:c r="R185" t="str">
        <x:v>OK</x:v>
      </x:c>
      <x:c r="S185" t="str">
        <x:v>OK</x:v>
      </x:c>
      <x:c r="T185" t="n">
        <x:v>20</x:v>
      </x:c>
      <x:c r="U185" t="str">
        <x:v>OK</x:v>
      </x:c>
      <x:c r="V185" t="str">
        <x:v>OK</x:v>
      </x:c>
      <x:c r="W185" t="str">
        <x:v>LOAD</x:v>
      </x:c>
      <x:c r="X185" t="str">
        <x:v>02_Supervisor_Log(4).xlsx</x:v>
      </x:c>
      <x:c r="Y185" t="str">
        <x:v>ENH-20260830-01</x:v>
      </x:c>
      <x:c r="Z185" t="str">
        <x:v>Active</x:v>
      </x:c>
      <x:c r="AA185"/>
      <x:c r="AB185"/>
      <x:c r="AC185"/>
      <x:c r="AD185"/>
    </x:row>
    <x:row r="186">
      <x:c r="A186" t="str">
        <x:v>PCC-PE-KG01-L21-20251022-AM-ORD-2025-00020-S09-C2</x:v>
      </x:c>
      <x:c r="B186" t="str">
        <x:v>PC-PE-KG01-L21-20251022-AM-ORD-2025-00020-S09</x:v>
      </x:c>
      <x:c r="C186" t="str">
        <x:v>PE-KG01-L21-20251022-AM-ORD-2025-00020</x:v>
      </x:c>
      <x:c r="D186" t="str">
        <x:v>KG01</x:v>
      </x:c>
      <x:c r="E186" s="62" t="n">
        <x:v>45952</x:v>
      </x:c>
      <x:c r="F186" t="str">
        <x:v>AM</x:v>
      </x:c>
      <x:c r="G186" t="str">
        <x:v>B</x:v>
      </x:c>
      <x:c r="H186" t="n">
        <x:v>21</x:v>
      </x:c>
      <x:c r="I186" t="str">
        <x:v>ORD-2025-00020</x:v>
      </x:c>
      <x:c r="J186" t="n">
        <x:v>9</x:v>
      </x:c>
      <x:c r="K186" t="n">
        <x:v>2</x:v>
      </x:c>
      <x:c r="L186" t="str">
        <x:v>L21-S09-C2</x:v>
      </x:c>
      <x:c r="M186" t="n">
        <x:v>1</x:v>
      </x:c>
      <x:c r="N186" t="str">
        <x:v>DerivedFromCount</x:v>
      </x:c>
      <x:c r="O186" t="str">
        <x:v>PLC-PRD-JAR-720-L21</x:v>
      </x:c>
      <x:c r="P186" t="str">
        <x:v>OK</x:v>
      </x:c>
      <x:c r="Q186" t="str">
        <x:v>OK</x:v>
      </x:c>
      <x:c r="R186" t="str">
        <x:v>OK</x:v>
      </x:c>
      <x:c r="S186" t="str">
        <x:v>OK</x:v>
      </x:c>
      <x:c r="T186" t="n">
        <x:v>20</x:v>
      </x:c>
      <x:c r="U186" t="str">
        <x:v>OK</x:v>
      </x:c>
      <x:c r="V186" t="str">
        <x:v>OK</x:v>
      </x:c>
      <x:c r="W186" t="str">
        <x:v>LOAD</x:v>
      </x:c>
      <x:c r="X186" t="str">
        <x:v>02_Supervisor_Log(4).xlsx</x:v>
      </x:c>
      <x:c r="Y186" t="str">
        <x:v>ENH-20260830-01</x:v>
      </x:c>
      <x:c r="Z186" t="str">
        <x:v>Active</x:v>
      </x:c>
      <x:c r="AA186"/>
      <x:c r="AB186"/>
      <x:c r="AC186"/>
      <x:c r="AD186"/>
    </x:row>
    <x:row r="187">
      <x:c r="A187" t="str">
        <x:v>PCC-PE-KG01-L21-20251022-AM-ORD-2025-00020-S09-C3</x:v>
      </x:c>
      <x:c r="B187" t="str">
        <x:v>PC-PE-KG01-L21-20251022-AM-ORD-2025-00020-S09</x:v>
      </x:c>
      <x:c r="C187" t="str">
        <x:v>PE-KG01-L21-20251022-AM-ORD-2025-00020</x:v>
      </x:c>
      <x:c r="D187" t="str">
        <x:v>KG01</x:v>
      </x:c>
      <x:c r="E187" s="62" t="n">
        <x:v>45952</x:v>
      </x:c>
      <x:c r="F187" t="str">
        <x:v>AM</x:v>
      </x:c>
      <x:c r="G187" t="str">
        <x:v>B</x:v>
      </x:c>
      <x:c r="H187" t="n">
        <x:v>21</x:v>
      </x:c>
      <x:c r="I187" t="str">
        <x:v>ORD-2025-00020</x:v>
      </x:c>
      <x:c r="J187" t="n">
        <x:v>9</x:v>
      </x:c>
      <x:c r="K187" t="n">
        <x:v>3</x:v>
      </x:c>
      <x:c r="L187" t="str">
        <x:v>L21-S09-C3</x:v>
      </x:c>
      <x:c r="M187" t="n">
        <x:v>0</x:v>
      </x:c>
      <x:c r="N187" t="str">
        <x:v>DerivedFromCount</x:v>
      </x:c>
      <x:c r="O187" t="str">
        <x:v>PLC-PRD-JAR-720-L21</x:v>
      </x:c>
      <x:c r="P187" t="str">
        <x:v>OK</x:v>
      </x:c>
      <x:c r="Q187" t="str">
        <x:v>OK</x:v>
      </x:c>
      <x:c r="R187" t="str">
        <x:v>OK</x:v>
      </x:c>
      <x:c r="S187" t="str">
        <x:v>OK</x:v>
      </x:c>
      <x:c r="T187" t="n">
        <x:v>20</x:v>
      </x:c>
      <x:c r="U187" t="str">
        <x:v>OK</x:v>
      </x:c>
      <x:c r="V187" t="str">
        <x:v>OK</x:v>
      </x:c>
      <x:c r="W187" t="str">
        <x:v>LOAD</x:v>
      </x:c>
      <x:c r="X187" t="str">
        <x:v>02_Supervisor_Log(4).xlsx</x:v>
      </x:c>
      <x:c r="Y187" t="str">
        <x:v>ENH-20260830-01</x:v>
      </x:c>
      <x:c r="Z187" t="str">
        <x:v>Active</x:v>
      </x:c>
      <x:c r="AA187"/>
      <x:c r="AB187"/>
      <x:c r="AC187"/>
      <x:c r="AD187"/>
    </x:row>
    <x:row r="188">
      <x:c r="A188" t="str">
        <x:v>PCC-PE-KG01-L21-20251022-AM-ORD-2025-00020-S10-C1</x:v>
      </x:c>
      <x:c r="B188" t="str">
        <x:v>PC-PE-KG01-L21-20251022-AM-ORD-2025-00020-S10</x:v>
      </x:c>
      <x:c r="C188" t="str">
        <x:v>PE-KG01-L21-20251022-AM-ORD-2025-00020</x:v>
      </x:c>
      <x:c r="D188" t="str">
        <x:v>KG01</x:v>
      </x:c>
      <x:c r="E188" s="62" t="n">
        <x:v>45952</x:v>
      </x:c>
      <x:c r="F188" t="str">
        <x:v>AM</x:v>
      </x:c>
      <x:c r="G188" t="str">
        <x:v>B</x:v>
      </x:c>
      <x:c r="H188" t="n">
        <x:v>21</x:v>
      </x:c>
      <x:c r="I188" t="str">
        <x:v>ORD-2025-00020</x:v>
      </x:c>
      <x:c r="J188" t="n">
        <x:v>10</x:v>
      </x:c>
      <x:c r="K188" t="n">
        <x:v>1</x:v>
      </x:c>
      <x:c r="L188" t="str">
        <x:v>L21-S10-C1</x:v>
      </x:c>
      <x:c r="M188" t="n">
        <x:v>1</x:v>
      </x:c>
      <x:c r="N188" t="str">
        <x:v>DerivedFromCount</x:v>
      </x:c>
      <x:c r="O188" t="str">
        <x:v>PLC-PRD-JAR-720-L21</x:v>
      </x:c>
      <x:c r="P188" t="str">
        <x:v>OK</x:v>
      </x:c>
      <x:c r="Q188" t="str">
        <x:v>OK</x:v>
      </x:c>
      <x:c r="R188" t="str">
        <x:v>OK</x:v>
      </x:c>
      <x:c r="S188" t="str">
        <x:v>OK</x:v>
      </x:c>
      <x:c r="T188" t="n">
        <x:v>20</x:v>
      </x:c>
      <x:c r="U188" t="str">
        <x:v>OK</x:v>
      </x:c>
      <x:c r="V188" t="str">
        <x:v>OK</x:v>
      </x:c>
      <x:c r="W188" t="str">
        <x:v>LOAD</x:v>
      </x:c>
      <x:c r="X188" t="str">
        <x:v>02_Supervisor_Log(4).xlsx</x:v>
      </x:c>
      <x:c r="Y188" t="str">
        <x:v>ENH-20260830-01</x:v>
      </x:c>
      <x:c r="Z188" t="str">
        <x:v>Active</x:v>
      </x:c>
      <x:c r="AA188"/>
      <x:c r="AB188"/>
      <x:c r="AC188"/>
      <x:c r="AD188"/>
    </x:row>
    <x:row r="189">
      <x:c r="A189" t="str">
        <x:v>PCC-PE-KG01-L21-20251022-AM-ORD-2025-00020-S10-C2</x:v>
      </x:c>
      <x:c r="B189" t="str">
        <x:v>PC-PE-KG01-L21-20251022-AM-ORD-2025-00020-S10</x:v>
      </x:c>
      <x:c r="C189" t="str">
        <x:v>PE-KG01-L21-20251022-AM-ORD-2025-00020</x:v>
      </x:c>
      <x:c r="D189" t="str">
        <x:v>KG01</x:v>
      </x:c>
      <x:c r="E189" s="62" t="n">
        <x:v>45952</x:v>
      </x:c>
      <x:c r="F189" t="str">
        <x:v>AM</x:v>
      </x:c>
      <x:c r="G189" t="str">
        <x:v>B</x:v>
      </x:c>
      <x:c r="H189" t="n">
        <x:v>21</x:v>
      </x:c>
      <x:c r="I189" t="str">
        <x:v>ORD-2025-00020</x:v>
      </x:c>
      <x:c r="J189" t="n">
        <x:v>10</x:v>
      </x:c>
      <x:c r="K189" t="n">
        <x:v>2</x:v>
      </x:c>
      <x:c r="L189" t="str">
        <x:v>L21-S10-C2</x:v>
      </x:c>
      <x:c r="M189" t="n">
        <x:v>1</x:v>
      </x:c>
      <x:c r="N189" t="str">
        <x:v>DerivedFromCount</x:v>
      </x:c>
      <x:c r="O189" t="str">
        <x:v>PLC-PRD-JAR-720-L21</x:v>
      </x:c>
      <x:c r="P189" t="str">
        <x:v>OK</x:v>
      </x:c>
      <x:c r="Q189" t="str">
        <x:v>OK</x:v>
      </x:c>
      <x:c r="R189" t="str">
        <x:v>OK</x:v>
      </x:c>
      <x:c r="S189" t="str">
        <x:v>OK</x:v>
      </x:c>
      <x:c r="T189" t="n">
        <x:v>20</x:v>
      </x:c>
      <x:c r="U189" t="str">
        <x:v>OK</x:v>
      </x:c>
      <x:c r="V189" t="str">
        <x:v>OK</x:v>
      </x:c>
      <x:c r="W189" t="str">
        <x:v>LOAD</x:v>
      </x:c>
      <x:c r="X189" t="str">
        <x:v>02_Supervisor_Log(4).xlsx</x:v>
      </x:c>
      <x:c r="Y189" t="str">
        <x:v>ENH-20260830-01</x:v>
      </x:c>
      <x:c r="Z189" t="str">
        <x:v>Active</x:v>
      </x:c>
      <x:c r="AA189"/>
      <x:c r="AB189"/>
      <x:c r="AC189"/>
      <x:c r="AD189"/>
    </x:row>
    <x:row r="190">
      <x:c r="A190" t="str">
        <x:v>PCC-PE-KG01-L21-20251022-AM-ORD-2025-00020-S10-C3</x:v>
      </x:c>
      <x:c r="B190" t="str">
        <x:v>PC-PE-KG01-L21-20251022-AM-ORD-2025-00020-S10</x:v>
      </x:c>
      <x:c r="C190" t="str">
        <x:v>PE-KG01-L21-20251022-AM-ORD-2025-00020</x:v>
      </x:c>
      <x:c r="D190" t="str">
        <x:v>KG01</x:v>
      </x:c>
      <x:c r="E190" s="62" t="n">
        <x:v>45952</x:v>
      </x:c>
      <x:c r="F190" t="str">
        <x:v>AM</x:v>
      </x:c>
      <x:c r="G190" t="str">
        <x:v>B</x:v>
      </x:c>
      <x:c r="H190" t="n">
        <x:v>21</x:v>
      </x:c>
      <x:c r="I190" t="str">
        <x:v>ORD-2025-00020</x:v>
      </x:c>
      <x:c r="J190" t="n">
        <x:v>10</x:v>
      </x:c>
      <x:c r="K190" t="n">
        <x:v>3</x:v>
      </x:c>
      <x:c r="L190" t="str">
        <x:v>L21-S10-C3</x:v>
      </x:c>
      <x:c r="M190" t="n">
        <x:v>0</x:v>
      </x:c>
      <x:c r="N190" t="str">
        <x:v>DerivedFromCount</x:v>
      </x:c>
      <x:c r="O190" t="str">
        <x:v>PLC-PRD-JAR-720-L21</x:v>
      </x:c>
      <x:c r="P190" t="str">
        <x:v>OK</x:v>
      </x:c>
      <x:c r="Q190" t="str">
        <x:v>OK</x:v>
      </x:c>
      <x:c r="R190" t="str">
        <x:v>OK</x:v>
      </x:c>
      <x:c r="S190" t="str">
        <x:v>OK</x:v>
      </x:c>
      <x:c r="T190" t="n">
        <x:v>20</x:v>
      </x:c>
      <x:c r="U190" t="str">
        <x:v>OK</x:v>
      </x:c>
      <x:c r="V190" t="str">
        <x:v>OK</x:v>
      </x:c>
      <x:c r="W190" t="str">
        <x:v>LOAD</x:v>
      </x:c>
      <x:c r="X190" t="str">
        <x:v>02_Supervisor_Log(4).xlsx</x:v>
      </x:c>
      <x:c r="Y190" t="str">
        <x:v>ENH-20260830-01</x:v>
      </x:c>
      <x:c r="Z190" t="str">
        <x:v>Active</x:v>
      </x:c>
      <x:c r="AA190"/>
      <x:c r="AB190"/>
      <x:c r="AC190"/>
      <x:c r="AD190"/>
    </x:row>
    <x:row r="191">
      <x:c r="A191" t="str">
        <x:v>PCC-PE-KG01-L21-20251022-AM-ORD-2025-00020-S11-C1</x:v>
      </x:c>
      <x:c r="B191" t="str">
        <x:v>PC-PE-KG01-L21-20251022-AM-ORD-2025-00020-S11</x:v>
      </x:c>
      <x:c r="C191" t="str">
        <x:v>PE-KG01-L21-20251022-AM-ORD-2025-00020</x:v>
      </x:c>
      <x:c r="D191" t="str">
        <x:v>KG01</x:v>
      </x:c>
      <x:c r="E191" s="62" t="n">
        <x:v>45952</x:v>
      </x:c>
      <x:c r="F191" t="str">
        <x:v>AM</x:v>
      </x:c>
      <x:c r="G191" t="str">
        <x:v>B</x:v>
      </x:c>
      <x:c r="H191" t="n">
        <x:v>21</x:v>
      </x:c>
      <x:c r="I191" t="str">
        <x:v>ORD-2025-00020</x:v>
      </x:c>
      <x:c r="J191" t="n">
        <x:v>11</x:v>
      </x:c>
      <x:c r="K191" t="n">
        <x:v>1</x:v>
      </x:c>
      <x:c r="L191" t="str">
        <x:v>L21-S11-C1</x:v>
      </x:c>
      <x:c r="M191" t="n">
        <x:v>0</x:v>
      </x:c>
      <x:c r="N191" t="str">
        <x:v>DerivedFromCount</x:v>
      </x:c>
      <x:c r="O191" t="str">
        <x:v>PLC-PRD-JAR-720-L21</x:v>
      </x:c>
      <x:c r="P191" t="str">
        <x:v>OK</x:v>
      </x:c>
      <x:c r="Q191" t="str">
        <x:v>OK</x:v>
      </x:c>
      <x:c r="R191" t="str">
        <x:v>OK</x:v>
      </x:c>
      <x:c r="S191" t="str">
        <x:v>OK</x:v>
      </x:c>
      <x:c r="T191" t="n">
        <x:v>20</x:v>
      </x:c>
      <x:c r="U191" t="str">
        <x:v>OK</x:v>
      </x:c>
      <x:c r="V191" t="str">
        <x:v>OK</x:v>
      </x:c>
      <x:c r="W191" t="str">
        <x:v>LOAD</x:v>
      </x:c>
      <x:c r="X191" t="str">
        <x:v>02_Supervisor_Log(4).xlsx</x:v>
      </x:c>
      <x:c r="Y191" t="str">
        <x:v>ENH-20260830-01</x:v>
      </x:c>
      <x:c r="Z191" t="str">
        <x:v>Active</x:v>
      </x:c>
      <x:c r="AA191"/>
      <x:c r="AB191"/>
      <x:c r="AC191"/>
      <x:c r="AD191"/>
    </x:row>
    <x:row r="192">
      <x:c r="A192" t="str">
        <x:v>PCC-PE-KG01-L21-20251022-AM-ORD-2025-00020-S11-C2</x:v>
      </x:c>
      <x:c r="B192" t="str">
        <x:v>PC-PE-KG01-L21-20251022-AM-ORD-2025-00020-S11</x:v>
      </x:c>
      <x:c r="C192" t="str">
        <x:v>PE-KG01-L21-20251022-AM-ORD-2025-00020</x:v>
      </x:c>
      <x:c r="D192" t="str">
        <x:v>KG01</x:v>
      </x:c>
      <x:c r="E192" s="62" t="n">
        <x:v>45952</x:v>
      </x:c>
      <x:c r="F192" t="str">
        <x:v>AM</x:v>
      </x:c>
      <x:c r="G192" t="str">
        <x:v>B</x:v>
      </x:c>
      <x:c r="H192" t="n">
        <x:v>21</x:v>
      </x:c>
      <x:c r="I192" t="str">
        <x:v>ORD-2025-00020</x:v>
      </x:c>
      <x:c r="J192" t="n">
        <x:v>11</x:v>
      </x:c>
      <x:c r="K192" t="n">
        <x:v>2</x:v>
      </x:c>
      <x:c r="L192" t="str">
        <x:v>L21-S11-C2</x:v>
      </x:c>
      <x:c r="M192" t="n">
        <x:v>0</x:v>
      </x:c>
      <x:c r="N192" t="str">
        <x:v>DerivedFromCount</x:v>
      </x:c>
      <x:c r="O192" t="str">
        <x:v>PLC-PRD-JAR-720-L21</x:v>
      </x:c>
      <x:c r="P192" t="str">
        <x:v>OK</x:v>
      </x:c>
      <x:c r="Q192" t="str">
        <x:v>OK</x:v>
      </x:c>
      <x:c r="R192" t="str">
        <x:v>OK</x:v>
      </x:c>
      <x:c r="S192" t="str">
        <x:v>OK</x:v>
      </x:c>
      <x:c r="T192" t="n">
        <x:v>20</x:v>
      </x:c>
      <x:c r="U192" t="str">
        <x:v>OK</x:v>
      </x:c>
      <x:c r="V192" t="str">
        <x:v>OK</x:v>
      </x:c>
      <x:c r="W192" t="str">
        <x:v>LOAD</x:v>
      </x:c>
      <x:c r="X192" t="str">
        <x:v>02_Supervisor_Log(4).xlsx</x:v>
      </x:c>
      <x:c r="Y192" t="str">
        <x:v>ENH-20260830-01</x:v>
      </x:c>
      <x:c r="Z192" t="str">
        <x:v>Active</x:v>
      </x:c>
      <x:c r="AA192"/>
      <x:c r="AB192"/>
      <x:c r="AC192"/>
      <x:c r="AD192"/>
    </x:row>
    <x:row r="193">
      <x:c r="A193" t="str">
        <x:v>PCC-PE-KG01-L21-20251022-AM-ORD-2025-00020-S11-C3</x:v>
      </x:c>
      <x:c r="B193" t="str">
        <x:v>PC-PE-KG01-L21-20251022-AM-ORD-2025-00020-S11</x:v>
      </x:c>
      <x:c r="C193" t="str">
        <x:v>PE-KG01-L21-20251022-AM-ORD-2025-00020</x:v>
      </x:c>
      <x:c r="D193" t="str">
        <x:v>KG01</x:v>
      </x:c>
      <x:c r="E193" s="62" t="n">
        <x:v>45952</x:v>
      </x:c>
      <x:c r="F193" t="str">
        <x:v>AM</x:v>
      </x:c>
      <x:c r="G193" t="str">
        <x:v>B</x:v>
      </x:c>
      <x:c r="H193" t="n">
        <x:v>21</x:v>
      </x:c>
      <x:c r="I193" t="str">
        <x:v>ORD-2025-00020</x:v>
      </x:c>
      <x:c r="J193" t="n">
        <x:v>11</x:v>
      </x:c>
      <x:c r="K193" t="n">
        <x:v>3</x:v>
      </x:c>
      <x:c r="L193" t="str">
        <x:v>L21-S11-C3</x:v>
      </x:c>
      <x:c r="M193" t="n">
        <x:v>0</x:v>
      </x:c>
      <x:c r="N193" t="str">
        <x:v>DerivedFromCount</x:v>
      </x:c>
      <x:c r="O193" t="str">
        <x:v>PLC-PRD-JAR-720-L21</x:v>
      </x:c>
      <x:c r="P193" t="str">
        <x:v>OK</x:v>
      </x:c>
      <x:c r="Q193" t="str">
        <x:v>OK</x:v>
      </x:c>
      <x:c r="R193" t="str">
        <x:v>OK</x:v>
      </x:c>
      <x:c r="S193" t="str">
        <x:v>OK</x:v>
      </x:c>
      <x:c r="T193" t="n">
        <x:v>20</x:v>
      </x:c>
      <x:c r="U193" t="str">
        <x:v>OK</x:v>
      </x:c>
      <x:c r="V193" t="str">
        <x:v>OK</x:v>
      </x:c>
      <x:c r="W193" t="str">
        <x:v>LOAD</x:v>
      </x:c>
      <x:c r="X193" t="str">
        <x:v>02_Supervisor_Log(4).xlsx</x:v>
      </x:c>
      <x:c r="Y193" t="str">
        <x:v>ENH-20260830-01</x:v>
      </x:c>
      <x:c r="Z193" t="str">
        <x:v>Active</x:v>
      </x:c>
      <x:c r="AA193"/>
      <x:c r="AB193"/>
      <x:c r="AC193"/>
      <x:c r="AD193"/>
    </x:row>
    <x:row r="194">
      <x:c r="A194" t="str">
        <x:v>PCC-PE-KG01-L21-20251022-AM-ORD-2025-00020-S12-C1</x:v>
      </x:c>
      <x:c r="B194" t="str">
        <x:v>PC-PE-KG01-L21-20251022-AM-ORD-2025-00020-S12</x:v>
      </x:c>
      <x:c r="C194" t="str">
        <x:v>PE-KG01-L21-20251022-AM-ORD-2025-00020</x:v>
      </x:c>
      <x:c r="D194" t="str">
        <x:v>KG01</x:v>
      </x:c>
      <x:c r="E194" s="62" t="n">
        <x:v>45952</x:v>
      </x:c>
      <x:c r="F194" t="str">
        <x:v>AM</x:v>
      </x:c>
      <x:c r="G194" t="str">
        <x:v>B</x:v>
      </x:c>
      <x:c r="H194" t="n">
        <x:v>21</x:v>
      </x:c>
      <x:c r="I194" t="str">
        <x:v>ORD-2025-00020</x:v>
      </x:c>
      <x:c r="J194" t="n">
        <x:v>12</x:v>
      </x:c>
      <x:c r="K194" t="n">
        <x:v>1</x:v>
      </x:c>
      <x:c r="L194" t="str">
        <x:v>L21-S12-C1</x:v>
      </x:c>
      <x:c r="M194" t="n">
        <x:v>0</x:v>
      </x:c>
      <x:c r="N194" t="str">
        <x:v>DerivedFromCount</x:v>
      </x:c>
      <x:c r="O194" t="str">
        <x:v>PLC-PRD-JAR-720-L21</x:v>
      </x:c>
      <x:c r="P194" t="str">
        <x:v>OK</x:v>
      </x:c>
      <x:c r="Q194" t="str">
        <x:v>OK</x:v>
      </x:c>
      <x:c r="R194" t="str">
        <x:v>OK</x:v>
      </x:c>
      <x:c r="S194" t="str">
        <x:v>OK</x:v>
      </x:c>
      <x:c r="T194" t="n">
        <x:v>20</x:v>
      </x:c>
      <x:c r="U194" t="str">
        <x:v>OK</x:v>
      </x:c>
      <x:c r="V194" t="str">
        <x:v>OK</x:v>
      </x:c>
      <x:c r="W194" t="str">
        <x:v>LOAD</x:v>
      </x:c>
      <x:c r="X194" t="str">
        <x:v>02_Supervisor_Log(4).xlsx</x:v>
      </x:c>
      <x:c r="Y194" t="str">
        <x:v>ENH-20260830-01</x:v>
      </x:c>
      <x:c r="Z194" t="str">
        <x:v>Active</x:v>
      </x:c>
      <x:c r="AA194"/>
      <x:c r="AB194"/>
      <x:c r="AC194"/>
      <x:c r="AD194"/>
    </x:row>
    <x:row r="195">
      <x:c r="A195" t="str">
        <x:v>PCC-PE-KG01-L21-20251022-AM-ORD-2025-00020-S12-C2</x:v>
      </x:c>
      <x:c r="B195" t="str">
        <x:v>PC-PE-KG01-L21-20251022-AM-ORD-2025-00020-S12</x:v>
      </x:c>
      <x:c r="C195" t="str">
        <x:v>PE-KG01-L21-20251022-AM-ORD-2025-00020</x:v>
      </x:c>
      <x:c r="D195" t="str">
        <x:v>KG01</x:v>
      </x:c>
      <x:c r="E195" s="62" t="n">
        <x:v>45952</x:v>
      </x:c>
      <x:c r="F195" t="str">
        <x:v>AM</x:v>
      </x:c>
      <x:c r="G195" t="str">
        <x:v>B</x:v>
      </x:c>
      <x:c r="H195" t="n">
        <x:v>21</x:v>
      </x:c>
      <x:c r="I195" t="str">
        <x:v>ORD-2025-00020</x:v>
      </x:c>
      <x:c r="J195" t="n">
        <x:v>12</x:v>
      </x:c>
      <x:c r="K195" t="n">
        <x:v>2</x:v>
      </x:c>
      <x:c r="L195" t="str">
        <x:v>L21-S12-C2</x:v>
      </x:c>
      <x:c r="M195" t="n">
        <x:v>0</x:v>
      </x:c>
      <x:c r="N195" t="str">
        <x:v>DerivedFromCount</x:v>
      </x:c>
      <x:c r="O195" t="str">
        <x:v>PLC-PRD-JAR-720-L21</x:v>
      </x:c>
      <x:c r="P195" t="str">
        <x:v>OK</x:v>
      </x:c>
      <x:c r="Q195" t="str">
        <x:v>OK</x:v>
      </x:c>
      <x:c r="R195" t="str">
        <x:v>OK</x:v>
      </x:c>
      <x:c r="S195" t="str">
        <x:v>OK</x:v>
      </x:c>
      <x:c r="T195" t="n">
        <x:v>20</x:v>
      </x:c>
      <x:c r="U195" t="str">
        <x:v>OK</x:v>
      </x:c>
      <x:c r="V195" t="str">
        <x:v>OK</x:v>
      </x:c>
      <x:c r="W195" t="str">
        <x:v>LOAD</x:v>
      </x:c>
      <x:c r="X195" t="str">
        <x:v>02_Supervisor_Log(4).xlsx</x:v>
      </x:c>
      <x:c r="Y195" t="str">
        <x:v>ENH-20260830-01</x:v>
      </x:c>
      <x:c r="Z195" t="str">
        <x:v>Active</x:v>
      </x:c>
      <x:c r="AA195"/>
      <x:c r="AB195"/>
      <x:c r="AC195"/>
      <x:c r="AD195"/>
    </x:row>
    <x:row r="196">
      <x:c r="A196" t="str">
        <x:v>PCC-PE-KG01-L21-20251022-AM-ORD-2025-00020-S12-C3</x:v>
      </x:c>
      <x:c r="B196" t="str">
        <x:v>PC-PE-KG01-L21-20251022-AM-ORD-2025-00020-S12</x:v>
      </x:c>
      <x:c r="C196" t="str">
        <x:v>PE-KG01-L21-20251022-AM-ORD-2025-00020</x:v>
      </x:c>
      <x:c r="D196" t="str">
        <x:v>KG01</x:v>
      </x:c>
      <x:c r="E196" s="62" t="n">
        <x:v>45952</x:v>
      </x:c>
      <x:c r="F196" t="str">
        <x:v>AM</x:v>
      </x:c>
      <x:c r="G196" t="str">
        <x:v>B</x:v>
      </x:c>
      <x:c r="H196" t="n">
        <x:v>21</x:v>
      </x:c>
      <x:c r="I196" t="str">
        <x:v>ORD-2025-00020</x:v>
      </x:c>
      <x:c r="J196" t="n">
        <x:v>12</x:v>
      </x:c>
      <x:c r="K196" t="n">
        <x:v>3</x:v>
      </x:c>
      <x:c r="L196" t="str">
        <x:v>L21-S12-C3</x:v>
      </x:c>
      <x:c r="M196" t="n">
        <x:v>0</x:v>
      </x:c>
      <x:c r="N196" t="str">
        <x:v>DerivedFromCount</x:v>
      </x:c>
      <x:c r="O196" t="str">
        <x:v>PLC-PRD-JAR-720-L21</x:v>
      </x:c>
      <x:c r="P196" t="str">
        <x:v>OK</x:v>
      </x:c>
      <x:c r="Q196" t="str">
        <x:v>OK</x:v>
      </x:c>
      <x:c r="R196" t="str">
        <x:v>OK</x:v>
      </x:c>
      <x:c r="S196" t="str">
        <x:v>OK</x:v>
      </x:c>
      <x:c r="T196" t="n">
        <x:v>20</x:v>
      </x:c>
      <x:c r="U196" t="str">
        <x:v>OK</x:v>
      </x:c>
      <x:c r="V196" t="str">
        <x:v>OK</x:v>
      </x:c>
      <x:c r="W196" t="str">
        <x:v>LOAD</x:v>
      </x:c>
      <x:c r="X196" t="str">
        <x:v>02_Supervisor_Log(4).xlsx</x:v>
      </x:c>
      <x:c r="Y196" t="str">
        <x:v>ENH-20260830-01</x:v>
      </x:c>
      <x:c r="Z196" t="str">
        <x:v>Active</x:v>
      </x:c>
      <x:c r="AA196"/>
      <x:c r="AB196"/>
      <x:c r="AC196"/>
      <x:c r="AD196"/>
    </x:row>
    <x:row r="197">
      <x:c r="A197" t="str">
        <x:v>PCC-PE-KG01-L21-20251022-AM-ORD-2025-00020-S13-C1</x:v>
      </x:c>
      <x:c r="B197" t="str">
        <x:v>PC-PE-KG01-L21-20251022-AM-ORD-2025-00020-S13</x:v>
      </x:c>
      <x:c r="C197" t="str">
        <x:v>PE-KG01-L21-20251022-AM-ORD-2025-00020</x:v>
      </x:c>
      <x:c r="D197" t="str">
        <x:v>KG01</x:v>
      </x:c>
      <x:c r="E197" s="62" t="n">
        <x:v>45952</x:v>
      </x:c>
      <x:c r="F197" t="str">
        <x:v>AM</x:v>
      </x:c>
      <x:c r="G197" t="str">
        <x:v>B</x:v>
      </x:c>
      <x:c r="H197" t="n">
        <x:v>21</x:v>
      </x:c>
      <x:c r="I197" t="str">
        <x:v>ORD-2025-00020</x:v>
      </x:c>
      <x:c r="J197" t="n">
        <x:v>13</x:v>
      </x:c>
      <x:c r="K197" t="n">
        <x:v>1</x:v>
      </x:c>
      <x:c r="L197" t="str">
        <x:v>L21-S13-C1</x:v>
      </x:c>
      <x:c r="M197" t="n">
        <x:v>0</x:v>
      </x:c>
      <x:c r="N197" t="str">
        <x:v>DerivedFromCount</x:v>
      </x:c>
      <x:c r="O197" t="str">
        <x:v>PLC-PRD-JAR-720-L21</x:v>
      </x:c>
      <x:c r="P197" t="str">
        <x:v>OK</x:v>
      </x:c>
      <x:c r="Q197" t="str">
        <x:v>OK</x:v>
      </x:c>
      <x:c r="R197" t="str">
        <x:v>OK</x:v>
      </x:c>
      <x:c r="S197" t="str">
        <x:v>OK</x:v>
      </x:c>
      <x:c r="T197" t="n">
        <x:v>20</x:v>
      </x:c>
      <x:c r="U197" t="str">
        <x:v>OK</x:v>
      </x:c>
      <x:c r="V197" t="str">
        <x:v>OK</x:v>
      </x:c>
      <x:c r="W197" t="str">
        <x:v>LOAD</x:v>
      </x:c>
      <x:c r="X197" t="str">
        <x:v>02_Supervisor_Log(4).xlsx</x:v>
      </x:c>
      <x:c r="Y197" t="str">
        <x:v>ENH-20260830-01</x:v>
      </x:c>
      <x:c r="Z197" t="str">
        <x:v>Active</x:v>
      </x:c>
      <x:c r="AA197"/>
      <x:c r="AB197"/>
      <x:c r="AC197"/>
      <x:c r="AD197"/>
    </x:row>
    <x:row r="198">
      <x:c r="A198" t="str">
        <x:v>PCC-PE-KG01-L21-20251022-AM-ORD-2025-00020-S13-C2</x:v>
      </x:c>
      <x:c r="B198" t="str">
        <x:v>PC-PE-KG01-L21-20251022-AM-ORD-2025-00020-S13</x:v>
      </x:c>
      <x:c r="C198" t="str">
        <x:v>PE-KG01-L21-20251022-AM-ORD-2025-00020</x:v>
      </x:c>
      <x:c r="D198" t="str">
        <x:v>KG01</x:v>
      </x:c>
      <x:c r="E198" s="62" t="n">
        <x:v>45952</x:v>
      </x:c>
      <x:c r="F198" t="str">
        <x:v>AM</x:v>
      </x:c>
      <x:c r="G198" t="str">
        <x:v>B</x:v>
      </x:c>
      <x:c r="H198" t="n">
        <x:v>21</x:v>
      </x:c>
      <x:c r="I198" t="str">
        <x:v>ORD-2025-00020</x:v>
      </x:c>
      <x:c r="J198" t="n">
        <x:v>13</x:v>
      </x:c>
      <x:c r="K198" t="n">
        <x:v>2</x:v>
      </x:c>
      <x:c r="L198" t="str">
        <x:v>L21-S13-C2</x:v>
      </x:c>
      <x:c r="M198" t="n">
        <x:v>0</x:v>
      </x:c>
      <x:c r="N198" t="str">
        <x:v>DerivedFromCount</x:v>
      </x:c>
      <x:c r="O198" t="str">
        <x:v>PLC-PRD-JAR-720-L21</x:v>
      </x:c>
      <x:c r="P198" t="str">
        <x:v>OK</x:v>
      </x:c>
      <x:c r="Q198" t="str">
        <x:v>OK</x:v>
      </x:c>
      <x:c r="R198" t="str">
        <x:v>OK</x:v>
      </x:c>
      <x:c r="S198" t="str">
        <x:v>OK</x:v>
      </x:c>
      <x:c r="T198" t="n">
        <x:v>20</x:v>
      </x:c>
      <x:c r="U198" t="str">
        <x:v>OK</x:v>
      </x:c>
      <x:c r="V198" t="str">
        <x:v>OK</x:v>
      </x:c>
      <x:c r="W198" t="str">
        <x:v>LOAD</x:v>
      </x:c>
      <x:c r="X198" t="str">
        <x:v>02_Supervisor_Log(4).xlsx</x:v>
      </x:c>
      <x:c r="Y198" t="str">
        <x:v>ENH-20260830-01</x:v>
      </x:c>
      <x:c r="Z198" t="str">
        <x:v>Active</x:v>
      </x:c>
      <x:c r="AA198"/>
      <x:c r="AB198"/>
      <x:c r="AC198"/>
      <x:c r="AD198"/>
    </x:row>
    <x:row r="199">
      <x:c r="A199" t="str">
        <x:v>PCC-PE-KG01-L21-20251022-AM-ORD-2025-00020-S13-C3</x:v>
      </x:c>
      <x:c r="B199" t="str">
        <x:v>PC-PE-KG01-L21-20251022-AM-ORD-2025-00020-S13</x:v>
      </x:c>
      <x:c r="C199" t="str">
        <x:v>PE-KG01-L21-20251022-AM-ORD-2025-00020</x:v>
      </x:c>
      <x:c r="D199" t="str">
        <x:v>KG01</x:v>
      </x:c>
      <x:c r="E199" s="62" t="n">
        <x:v>45952</x:v>
      </x:c>
      <x:c r="F199" t="str">
        <x:v>AM</x:v>
      </x:c>
      <x:c r="G199" t="str">
        <x:v>B</x:v>
      </x:c>
      <x:c r="H199" t="n">
        <x:v>21</x:v>
      </x:c>
      <x:c r="I199" t="str">
        <x:v>ORD-2025-00020</x:v>
      </x:c>
      <x:c r="J199" t="n">
        <x:v>13</x:v>
      </x:c>
      <x:c r="K199" t="n">
        <x:v>3</x:v>
      </x:c>
      <x:c r="L199" t="str">
        <x:v>L21-S13-C3</x:v>
      </x:c>
      <x:c r="M199" t="n">
        <x:v>0</x:v>
      </x:c>
      <x:c r="N199" t="str">
        <x:v>DerivedFromCount</x:v>
      </x:c>
      <x:c r="O199" t="str">
        <x:v>PLC-PRD-JAR-720-L21</x:v>
      </x:c>
      <x:c r="P199" t="str">
        <x:v>OK</x:v>
      </x:c>
      <x:c r="Q199" t="str">
        <x:v>OK</x:v>
      </x:c>
      <x:c r="R199" t="str">
        <x:v>OK</x:v>
      </x:c>
      <x:c r="S199" t="str">
        <x:v>OK</x:v>
      </x:c>
      <x:c r="T199" t="n">
        <x:v>20</x:v>
      </x:c>
      <x:c r="U199" t="str">
        <x:v>OK</x:v>
      </x:c>
      <x:c r="V199" t="str">
        <x:v>OK</x:v>
      </x:c>
      <x:c r="W199" t="str">
        <x:v>LOAD</x:v>
      </x:c>
      <x:c r="X199" t="str">
        <x:v>02_Supervisor_Log(4).xlsx</x:v>
      </x:c>
      <x:c r="Y199" t="str">
        <x:v>ENH-20260830-01</x:v>
      </x:c>
      <x:c r="Z199" t="str">
        <x:v>Active</x:v>
      </x:c>
      <x:c r="AA199"/>
      <x:c r="AB199"/>
      <x:c r="AC199"/>
      <x:c r="AD199"/>
    </x:row>
    <x:row r="200">
      <x:c r="A200" t="str">
        <x:v>PCC-PE-KG01-L21-20251022-PM-ORD-2025-00020-S01-C1</x:v>
      </x:c>
      <x:c r="B200" t="str">
        <x:v>PC-PE-KG01-L21-20251022-PM-ORD-2025-00020-S01</x:v>
      </x:c>
      <x:c r="C200" t="str">
        <x:v>PE-KG01-L21-20251022-PM-ORD-2025-00020</x:v>
      </x:c>
      <x:c r="D200" t="str">
        <x:v>KG01</x:v>
      </x:c>
      <x:c r="E200" s="62" t="n">
        <x:v>45952</x:v>
      </x:c>
      <x:c r="F200" t="str">
        <x:v>PM</x:v>
      </x:c>
      <x:c r="G200" t="str">
        <x:v>C</x:v>
      </x:c>
      <x:c r="H200" t="n">
        <x:v>21</x:v>
      </x:c>
      <x:c r="I200" t="str">
        <x:v>ORD-2025-00020</x:v>
      </x:c>
      <x:c r="J200" t="n">
        <x:v>1</x:v>
      </x:c>
      <x:c r="K200" t="n">
        <x:v>1</x:v>
      </x:c>
      <x:c r="L200" t="str">
        <x:v>L21-S01-C1</x:v>
      </x:c>
      <x:c r="M200" t="n">
        <x:v>1</x:v>
      </x:c>
      <x:c r="N200" t="str">
        <x:v>DerivedFromCount</x:v>
      </x:c>
      <x:c r="O200" t="str">
        <x:v>PLC-PRD-JAR-720-L21</x:v>
      </x:c>
      <x:c r="P200" t="str">
        <x:v>OK</x:v>
      </x:c>
      <x:c r="Q200" t="str">
        <x:v>OK</x:v>
      </x:c>
      <x:c r="R200" t="str">
        <x:v>OK</x:v>
      </x:c>
      <x:c r="S200" t="str">
        <x:v>OK</x:v>
      </x:c>
      <x:c r="T200" t="n">
        <x:v>20</x:v>
      </x:c>
      <x:c r="U200" t="str">
        <x:v>OK</x:v>
      </x:c>
      <x:c r="V200" t="str">
        <x:v>OK</x:v>
      </x:c>
      <x:c r="W200" t="str">
        <x:v>LOAD</x:v>
      </x:c>
      <x:c r="X200" t="str">
        <x:v>02_Supervisor_Log(4).xlsx</x:v>
      </x:c>
      <x:c r="Y200" t="str">
        <x:v>ENH-20260830-01</x:v>
      </x:c>
      <x:c r="Z200" t="str">
        <x:v>Active</x:v>
      </x:c>
      <x:c r="AA200"/>
      <x:c r="AB200"/>
      <x:c r="AC200"/>
      <x:c r="AD200"/>
    </x:row>
    <x:row r="201">
      <x:c r="A201" t="str">
        <x:v>PCC-PE-KG01-L21-20251022-PM-ORD-2025-00020-S01-C2</x:v>
      </x:c>
      <x:c r="B201" t="str">
        <x:v>PC-PE-KG01-L21-20251022-PM-ORD-2025-00020-S01</x:v>
      </x:c>
      <x:c r="C201" t="str">
        <x:v>PE-KG01-L21-20251022-PM-ORD-2025-00020</x:v>
      </x:c>
      <x:c r="D201" t="str">
        <x:v>KG01</x:v>
      </x:c>
      <x:c r="E201" s="62" t="n">
        <x:v>45952</x:v>
      </x:c>
      <x:c r="F201" t="str">
        <x:v>PM</x:v>
      </x:c>
      <x:c r="G201" t="str">
        <x:v>C</x:v>
      </x:c>
      <x:c r="H201" t="n">
        <x:v>21</x:v>
      </x:c>
      <x:c r="I201" t="str">
        <x:v>ORD-2025-00020</x:v>
      </x:c>
      <x:c r="J201" t="n">
        <x:v>1</x:v>
      </x:c>
      <x:c r="K201" t="n">
        <x:v>2</x:v>
      </x:c>
      <x:c r="L201" t="str">
        <x:v>L21-S01-C2</x:v>
      </x:c>
      <x:c r="M201" t="n">
        <x:v>1</x:v>
      </x:c>
      <x:c r="N201" t="str">
        <x:v>DerivedFromCount</x:v>
      </x:c>
      <x:c r="O201" t="str">
        <x:v>PLC-PRD-JAR-720-L21</x:v>
      </x:c>
      <x:c r="P201" t="str">
        <x:v>OK</x:v>
      </x:c>
      <x:c r="Q201" t="str">
        <x:v>OK</x:v>
      </x:c>
      <x:c r="R201" t="str">
        <x:v>OK</x:v>
      </x:c>
      <x:c r="S201" t="str">
        <x:v>OK</x:v>
      </x:c>
      <x:c r="T201" t="n">
        <x:v>20</x:v>
      </x:c>
      <x:c r="U201" t="str">
        <x:v>OK</x:v>
      </x:c>
      <x:c r="V201" t="str">
        <x:v>OK</x:v>
      </x:c>
      <x:c r="W201" t="str">
        <x:v>LOAD</x:v>
      </x:c>
      <x:c r="X201" t="str">
        <x:v>02_Supervisor_Log(4).xlsx</x:v>
      </x:c>
      <x:c r="Y201" t="str">
        <x:v>ENH-20260830-01</x:v>
      </x:c>
      <x:c r="Z201" t="str">
        <x:v>Active</x:v>
      </x:c>
      <x:c r="AA201"/>
      <x:c r="AB201"/>
      <x:c r="AC201"/>
      <x:c r="AD201"/>
    </x:row>
    <x:row r="202">
      <x:c r="A202" t="str">
        <x:v>PCC-PE-KG01-L21-20251022-PM-ORD-2025-00020-S01-C3</x:v>
      </x:c>
      <x:c r="B202" t="str">
        <x:v>PC-PE-KG01-L21-20251022-PM-ORD-2025-00020-S01</x:v>
      </x:c>
      <x:c r="C202" t="str">
        <x:v>PE-KG01-L21-20251022-PM-ORD-2025-00020</x:v>
      </x:c>
      <x:c r="D202" t="str">
        <x:v>KG01</x:v>
      </x:c>
      <x:c r="E202" s="62" t="n">
        <x:v>45952</x:v>
      </x:c>
      <x:c r="F202" t="str">
        <x:v>PM</x:v>
      </x:c>
      <x:c r="G202" t="str">
        <x:v>C</x:v>
      </x:c>
      <x:c r="H202" t="n">
        <x:v>21</x:v>
      </x:c>
      <x:c r="I202" t="str">
        <x:v>ORD-2025-00020</x:v>
      </x:c>
      <x:c r="J202" t="n">
        <x:v>1</x:v>
      </x:c>
      <x:c r="K202" t="n">
        <x:v>3</x:v>
      </x:c>
      <x:c r="L202" t="str">
        <x:v>L21-S01-C3</x:v>
      </x:c>
      <x:c r="M202" t="n">
        <x:v>0</x:v>
      </x:c>
      <x:c r="N202" t="str">
        <x:v>DerivedFromCount</x:v>
      </x:c>
      <x:c r="O202" t="str">
        <x:v>PLC-PRD-JAR-720-L21</x:v>
      </x:c>
      <x:c r="P202" t="str">
        <x:v>OK</x:v>
      </x:c>
      <x:c r="Q202" t="str">
        <x:v>OK</x:v>
      </x:c>
      <x:c r="R202" t="str">
        <x:v>OK</x:v>
      </x:c>
      <x:c r="S202" t="str">
        <x:v>OK</x:v>
      </x:c>
      <x:c r="T202" t="n">
        <x:v>20</x:v>
      </x:c>
      <x:c r="U202" t="str">
        <x:v>OK</x:v>
      </x:c>
      <x:c r="V202" t="str">
        <x:v>OK</x:v>
      </x:c>
      <x:c r="W202" t="str">
        <x:v>LOAD</x:v>
      </x:c>
      <x:c r="X202" t="str">
        <x:v>02_Supervisor_Log(4).xlsx</x:v>
      </x:c>
      <x:c r="Y202" t="str">
        <x:v>ENH-20260830-01</x:v>
      </x:c>
      <x:c r="Z202" t="str">
        <x:v>Active</x:v>
      </x:c>
      <x:c r="AA202"/>
      <x:c r="AB202"/>
      <x:c r="AC202"/>
      <x:c r="AD202"/>
    </x:row>
    <x:row r="203">
      <x:c r="A203" t="str">
        <x:v>PCC-PE-KG01-L21-20251022-PM-ORD-2025-00020-S02-C1</x:v>
      </x:c>
      <x:c r="B203" t="str">
        <x:v>PC-PE-KG01-L21-20251022-PM-ORD-2025-00020-S02</x:v>
      </x:c>
      <x:c r="C203" t="str">
        <x:v>PE-KG01-L21-20251022-PM-ORD-2025-00020</x:v>
      </x:c>
      <x:c r="D203" t="str">
        <x:v>KG01</x:v>
      </x:c>
      <x:c r="E203" s="62" t="n">
        <x:v>45952</x:v>
      </x:c>
      <x:c r="F203" t="str">
        <x:v>PM</x:v>
      </x:c>
      <x:c r="G203" t="str">
        <x:v>C</x:v>
      </x:c>
      <x:c r="H203" t="n">
        <x:v>21</x:v>
      </x:c>
      <x:c r="I203" t="str">
        <x:v>ORD-2025-00020</x:v>
      </x:c>
      <x:c r="J203" t="n">
        <x:v>2</x:v>
      </x:c>
      <x:c r="K203" t="n">
        <x:v>1</x:v>
      </x:c>
      <x:c r="L203" t="str">
        <x:v>L21-S02-C1</x:v>
      </x:c>
      <x:c r="M203" t="n">
        <x:v>1</x:v>
      </x:c>
      <x:c r="N203" t="str">
        <x:v>DerivedFromCount</x:v>
      </x:c>
      <x:c r="O203" t="str">
        <x:v>PLC-PRD-JAR-720-L21</x:v>
      </x:c>
      <x:c r="P203" t="str">
        <x:v>OK</x:v>
      </x:c>
      <x:c r="Q203" t="str">
        <x:v>OK</x:v>
      </x:c>
      <x:c r="R203" t="str">
        <x:v>OK</x:v>
      </x:c>
      <x:c r="S203" t="str">
        <x:v>OK</x:v>
      </x:c>
      <x:c r="T203" t="n">
        <x:v>20</x:v>
      </x:c>
      <x:c r="U203" t="str">
        <x:v>OK</x:v>
      </x:c>
      <x:c r="V203" t="str">
        <x:v>OK</x:v>
      </x:c>
      <x:c r="W203" t="str">
        <x:v>LOAD</x:v>
      </x:c>
      <x:c r="X203" t="str">
        <x:v>02_Supervisor_Log(4).xlsx</x:v>
      </x:c>
      <x:c r="Y203" t="str">
        <x:v>ENH-20260830-01</x:v>
      </x:c>
      <x:c r="Z203" t="str">
        <x:v>Active</x:v>
      </x:c>
      <x:c r="AA203"/>
      <x:c r="AB203"/>
      <x:c r="AC203"/>
      <x:c r="AD203"/>
    </x:row>
    <x:row r="204">
      <x:c r="A204" t="str">
        <x:v>PCC-PE-KG01-L21-20251022-PM-ORD-2025-00020-S02-C2</x:v>
      </x:c>
      <x:c r="B204" t="str">
        <x:v>PC-PE-KG01-L21-20251022-PM-ORD-2025-00020-S02</x:v>
      </x:c>
      <x:c r="C204" t="str">
        <x:v>PE-KG01-L21-20251022-PM-ORD-2025-00020</x:v>
      </x:c>
      <x:c r="D204" t="str">
        <x:v>KG01</x:v>
      </x:c>
      <x:c r="E204" s="62" t="n">
        <x:v>45952</x:v>
      </x:c>
      <x:c r="F204" t="str">
        <x:v>PM</x:v>
      </x:c>
      <x:c r="G204" t="str">
        <x:v>C</x:v>
      </x:c>
      <x:c r="H204" t="n">
        <x:v>21</x:v>
      </x:c>
      <x:c r="I204" t="str">
        <x:v>ORD-2025-00020</x:v>
      </x:c>
      <x:c r="J204" t="n">
        <x:v>2</x:v>
      </x:c>
      <x:c r="K204" t="n">
        <x:v>2</x:v>
      </x:c>
      <x:c r="L204" t="str">
        <x:v>L21-S02-C2</x:v>
      </x:c>
      <x:c r="M204" t="n">
        <x:v>1</x:v>
      </x:c>
      <x:c r="N204" t="str">
        <x:v>DerivedFromCount</x:v>
      </x:c>
      <x:c r="O204" t="str">
        <x:v>PLC-PRD-JAR-720-L21</x:v>
      </x:c>
      <x:c r="P204" t="str">
        <x:v>OK</x:v>
      </x:c>
      <x:c r="Q204" t="str">
        <x:v>OK</x:v>
      </x:c>
      <x:c r="R204" t="str">
        <x:v>OK</x:v>
      </x:c>
      <x:c r="S204" t="str">
        <x:v>OK</x:v>
      </x:c>
      <x:c r="T204" t="n">
        <x:v>20</x:v>
      </x:c>
      <x:c r="U204" t="str">
        <x:v>OK</x:v>
      </x:c>
      <x:c r="V204" t="str">
        <x:v>OK</x:v>
      </x:c>
      <x:c r="W204" t="str">
        <x:v>LOAD</x:v>
      </x:c>
      <x:c r="X204" t="str">
        <x:v>02_Supervisor_Log(4).xlsx</x:v>
      </x:c>
      <x:c r="Y204" t="str">
        <x:v>ENH-20260830-01</x:v>
      </x:c>
      <x:c r="Z204" t="str">
        <x:v>Active</x:v>
      </x:c>
      <x:c r="AA204"/>
      <x:c r="AB204"/>
      <x:c r="AC204"/>
      <x:c r="AD204"/>
    </x:row>
    <x:row r="205">
      <x:c r="A205" t="str">
        <x:v>PCC-PE-KG01-L21-20251022-PM-ORD-2025-00020-S02-C3</x:v>
      </x:c>
      <x:c r="B205" t="str">
        <x:v>PC-PE-KG01-L21-20251022-PM-ORD-2025-00020-S02</x:v>
      </x:c>
      <x:c r="C205" t="str">
        <x:v>PE-KG01-L21-20251022-PM-ORD-2025-00020</x:v>
      </x:c>
      <x:c r="D205" t="str">
        <x:v>KG01</x:v>
      </x:c>
      <x:c r="E205" s="62" t="n">
        <x:v>45952</x:v>
      </x:c>
      <x:c r="F205" t="str">
        <x:v>PM</x:v>
      </x:c>
      <x:c r="G205" t="str">
        <x:v>C</x:v>
      </x:c>
      <x:c r="H205" t="n">
        <x:v>21</x:v>
      </x:c>
      <x:c r="I205" t="str">
        <x:v>ORD-2025-00020</x:v>
      </x:c>
      <x:c r="J205" t="n">
        <x:v>2</x:v>
      </x:c>
      <x:c r="K205" t="n">
        <x:v>3</x:v>
      </x:c>
      <x:c r="L205" t="str">
        <x:v>L21-S02-C3</x:v>
      </x:c>
      <x:c r="M205" t="n">
        <x:v>0</x:v>
      </x:c>
      <x:c r="N205" t="str">
        <x:v>DerivedFromCount</x:v>
      </x:c>
      <x:c r="O205" t="str">
        <x:v>PLC-PRD-JAR-720-L21</x:v>
      </x:c>
      <x:c r="P205" t="str">
        <x:v>OK</x:v>
      </x:c>
      <x:c r="Q205" t="str">
        <x:v>OK</x:v>
      </x:c>
      <x:c r="R205" t="str">
        <x:v>OK</x:v>
      </x:c>
      <x:c r="S205" t="str">
        <x:v>OK</x:v>
      </x:c>
      <x:c r="T205" t="n">
        <x:v>20</x:v>
      </x:c>
      <x:c r="U205" t="str">
        <x:v>OK</x:v>
      </x:c>
      <x:c r="V205" t="str">
        <x:v>OK</x:v>
      </x:c>
      <x:c r="W205" t="str">
        <x:v>LOAD</x:v>
      </x:c>
      <x:c r="X205" t="str">
        <x:v>02_Supervisor_Log(4).xlsx</x:v>
      </x:c>
      <x:c r="Y205" t="str">
        <x:v>ENH-20260830-01</x:v>
      </x:c>
      <x:c r="Z205" t="str">
        <x:v>Active</x:v>
      </x:c>
      <x:c r="AA205"/>
      <x:c r="AB205"/>
      <x:c r="AC205"/>
      <x:c r="AD205"/>
    </x:row>
    <x:row r="206">
      <x:c r="A206" t="str">
        <x:v>PCC-PE-KG01-L21-20251022-PM-ORD-2025-00020-S03-C1</x:v>
      </x:c>
      <x:c r="B206" t="str">
        <x:v>PC-PE-KG01-L21-20251022-PM-ORD-2025-00020-S03</x:v>
      </x:c>
      <x:c r="C206" t="str">
        <x:v>PE-KG01-L21-20251022-PM-ORD-2025-00020</x:v>
      </x:c>
      <x:c r="D206" t="str">
        <x:v>KG01</x:v>
      </x:c>
      <x:c r="E206" s="62" t="n">
        <x:v>45952</x:v>
      </x:c>
      <x:c r="F206" t="str">
        <x:v>PM</x:v>
      </x:c>
      <x:c r="G206" t="str">
        <x:v>C</x:v>
      </x:c>
      <x:c r="H206" t="n">
        <x:v>21</x:v>
      </x:c>
      <x:c r="I206" t="str">
        <x:v>ORD-2025-00020</x:v>
      </x:c>
      <x:c r="J206" t="n">
        <x:v>3</x:v>
      </x:c>
      <x:c r="K206" t="n">
        <x:v>1</x:v>
      </x:c>
      <x:c r="L206" t="str">
        <x:v>L21-S03-C1</x:v>
      </x:c>
      <x:c r="M206" t="n">
        <x:v>1</x:v>
      </x:c>
      <x:c r="N206" t="str">
        <x:v>DerivedFromCount</x:v>
      </x:c>
      <x:c r="O206" t="str">
        <x:v>PLC-PRD-JAR-720-L21</x:v>
      </x:c>
      <x:c r="P206" t="str">
        <x:v>OK</x:v>
      </x:c>
      <x:c r="Q206" t="str">
        <x:v>OK</x:v>
      </x:c>
      <x:c r="R206" t="str">
        <x:v>OK</x:v>
      </x:c>
      <x:c r="S206" t="str">
        <x:v>OK</x:v>
      </x:c>
      <x:c r="T206" t="n">
        <x:v>20</x:v>
      </x:c>
      <x:c r="U206" t="str">
        <x:v>OK</x:v>
      </x:c>
      <x:c r="V206" t="str">
        <x:v>OK</x:v>
      </x:c>
      <x:c r="W206" t="str">
        <x:v>LOAD</x:v>
      </x:c>
      <x:c r="X206" t="str">
        <x:v>02_Supervisor_Log(4).xlsx</x:v>
      </x:c>
      <x:c r="Y206" t="str">
        <x:v>ENH-20260830-01</x:v>
      </x:c>
      <x:c r="Z206" t="str">
        <x:v>Active</x:v>
      </x:c>
      <x:c r="AA206"/>
      <x:c r="AB206"/>
      <x:c r="AC206"/>
      <x:c r="AD206"/>
    </x:row>
    <x:row r="207">
      <x:c r="A207" t="str">
        <x:v>PCC-PE-KG01-L21-20251022-PM-ORD-2025-00020-S03-C2</x:v>
      </x:c>
      <x:c r="B207" t="str">
        <x:v>PC-PE-KG01-L21-20251022-PM-ORD-2025-00020-S03</x:v>
      </x:c>
      <x:c r="C207" t="str">
        <x:v>PE-KG01-L21-20251022-PM-ORD-2025-00020</x:v>
      </x:c>
      <x:c r="D207" t="str">
        <x:v>KG01</x:v>
      </x:c>
      <x:c r="E207" s="62" t="n">
        <x:v>45952</x:v>
      </x:c>
      <x:c r="F207" t="str">
        <x:v>PM</x:v>
      </x:c>
      <x:c r="G207" t="str">
        <x:v>C</x:v>
      </x:c>
      <x:c r="H207" t="n">
        <x:v>21</x:v>
      </x:c>
      <x:c r="I207" t="str">
        <x:v>ORD-2025-00020</x:v>
      </x:c>
      <x:c r="J207" t="n">
        <x:v>3</x:v>
      </x:c>
      <x:c r="K207" t="n">
        <x:v>2</x:v>
      </x:c>
      <x:c r="L207" t="str">
        <x:v>L21-S03-C2</x:v>
      </x:c>
      <x:c r="M207" t="n">
        <x:v>1</x:v>
      </x:c>
      <x:c r="N207" t="str">
        <x:v>DerivedFromCount</x:v>
      </x:c>
      <x:c r="O207" t="str">
        <x:v>PLC-PRD-JAR-720-L21</x:v>
      </x:c>
      <x:c r="P207" t="str">
        <x:v>OK</x:v>
      </x:c>
      <x:c r="Q207" t="str">
        <x:v>OK</x:v>
      </x:c>
      <x:c r="R207" t="str">
        <x:v>OK</x:v>
      </x:c>
      <x:c r="S207" t="str">
        <x:v>OK</x:v>
      </x:c>
      <x:c r="T207" t="n">
        <x:v>20</x:v>
      </x:c>
      <x:c r="U207" t="str">
        <x:v>OK</x:v>
      </x:c>
      <x:c r="V207" t="str">
        <x:v>OK</x:v>
      </x:c>
      <x:c r="W207" t="str">
        <x:v>LOAD</x:v>
      </x:c>
      <x:c r="X207" t="str">
        <x:v>02_Supervisor_Log(4).xlsx</x:v>
      </x:c>
      <x:c r="Y207" t="str">
        <x:v>ENH-20260830-01</x:v>
      </x:c>
      <x:c r="Z207" t="str">
        <x:v>Active</x:v>
      </x:c>
      <x:c r="AA207"/>
      <x:c r="AB207"/>
      <x:c r="AC207"/>
      <x:c r="AD207"/>
    </x:row>
    <x:row r="208">
      <x:c r="A208" t="str">
        <x:v>PCC-PE-KG01-L21-20251022-PM-ORD-2025-00020-S03-C3</x:v>
      </x:c>
      <x:c r="B208" t="str">
        <x:v>PC-PE-KG01-L21-20251022-PM-ORD-2025-00020-S03</x:v>
      </x:c>
      <x:c r="C208" t="str">
        <x:v>PE-KG01-L21-20251022-PM-ORD-2025-00020</x:v>
      </x:c>
      <x:c r="D208" t="str">
        <x:v>KG01</x:v>
      </x:c>
      <x:c r="E208" s="62" t="n">
        <x:v>45952</x:v>
      </x:c>
      <x:c r="F208" t="str">
        <x:v>PM</x:v>
      </x:c>
      <x:c r="G208" t="str">
        <x:v>C</x:v>
      </x:c>
      <x:c r="H208" t="n">
        <x:v>21</x:v>
      </x:c>
      <x:c r="I208" t="str">
        <x:v>ORD-2025-00020</x:v>
      </x:c>
      <x:c r="J208" t="n">
        <x:v>3</x:v>
      </x:c>
      <x:c r="K208" t="n">
        <x:v>3</x:v>
      </x:c>
      <x:c r="L208" t="str">
        <x:v>L21-S03-C3</x:v>
      </x:c>
      <x:c r="M208" t="n">
        <x:v>0</x:v>
      </x:c>
      <x:c r="N208" t="str">
        <x:v>DerivedFromCount</x:v>
      </x:c>
      <x:c r="O208" t="str">
        <x:v>PLC-PRD-JAR-720-L21</x:v>
      </x:c>
      <x:c r="P208" t="str">
        <x:v>OK</x:v>
      </x:c>
      <x:c r="Q208" t="str">
        <x:v>OK</x:v>
      </x:c>
      <x:c r="R208" t="str">
        <x:v>OK</x:v>
      </x:c>
      <x:c r="S208" t="str">
        <x:v>OK</x:v>
      </x:c>
      <x:c r="T208" t="n">
        <x:v>20</x:v>
      </x:c>
      <x:c r="U208" t="str">
        <x:v>OK</x:v>
      </x:c>
      <x:c r="V208" t="str">
        <x:v>OK</x:v>
      </x:c>
      <x:c r="W208" t="str">
        <x:v>LOAD</x:v>
      </x:c>
      <x:c r="X208" t="str">
        <x:v>02_Supervisor_Log(4).xlsx</x:v>
      </x:c>
      <x:c r="Y208" t="str">
        <x:v>ENH-20260830-01</x:v>
      </x:c>
      <x:c r="Z208" t="str">
        <x:v>Active</x:v>
      </x:c>
      <x:c r="AA208"/>
      <x:c r="AB208"/>
      <x:c r="AC208"/>
      <x:c r="AD208"/>
    </x:row>
    <x:row r="209">
      <x:c r="A209" t="str">
        <x:v>PCC-PE-KG01-L21-20251022-PM-ORD-2025-00020-S04-C1</x:v>
      </x:c>
      <x:c r="B209" t="str">
        <x:v>PC-PE-KG01-L21-20251022-PM-ORD-2025-00020-S04</x:v>
      </x:c>
      <x:c r="C209" t="str">
        <x:v>PE-KG01-L21-20251022-PM-ORD-2025-00020</x:v>
      </x:c>
      <x:c r="D209" t="str">
        <x:v>KG01</x:v>
      </x:c>
      <x:c r="E209" s="62" t="n">
        <x:v>45952</x:v>
      </x:c>
      <x:c r="F209" t="str">
        <x:v>PM</x:v>
      </x:c>
      <x:c r="G209" t="str">
        <x:v>C</x:v>
      </x:c>
      <x:c r="H209" t="n">
        <x:v>21</x:v>
      </x:c>
      <x:c r="I209" t="str">
        <x:v>ORD-2025-00020</x:v>
      </x:c>
      <x:c r="J209" t="n">
        <x:v>4</x:v>
      </x:c>
      <x:c r="K209" t="n">
        <x:v>1</x:v>
      </x:c>
      <x:c r="L209" t="str">
        <x:v>L21-S04-C1</x:v>
      </x:c>
      <x:c r="M209" t="n">
        <x:v>1</x:v>
      </x:c>
      <x:c r="N209" t="str">
        <x:v>DerivedFromCount</x:v>
      </x:c>
      <x:c r="O209" t="str">
        <x:v>PLC-PRD-JAR-720-L21</x:v>
      </x:c>
      <x:c r="P209" t="str">
        <x:v>OK</x:v>
      </x:c>
      <x:c r="Q209" t="str">
        <x:v>OK</x:v>
      </x:c>
      <x:c r="R209" t="str">
        <x:v>OK</x:v>
      </x:c>
      <x:c r="S209" t="str">
        <x:v>OK</x:v>
      </x:c>
      <x:c r="T209" t="n">
        <x:v>20</x:v>
      </x:c>
      <x:c r="U209" t="str">
        <x:v>OK</x:v>
      </x:c>
      <x:c r="V209" t="str">
        <x:v>OK</x:v>
      </x:c>
      <x:c r="W209" t="str">
        <x:v>LOAD</x:v>
      </x:c>
      <x:c r="X209" t="str">
        <x:v>02_Supervisor_Log(4).xlsx</x:v>
      </x:c>
      <x:c r="Y209" t="str">
        <x:v>ENH-20260830-01</x:v>
      </x:c>
      <x:c r="Z209" t="str">
        <x:v>Active</x:v>
      </x:c>
      <x:c r="AA209"/>
      <x:c r="AB209"/>
      <x:c r="AC209"/>
      <x:c r="AD209"/>
    </x:row>
    <x:row r="210">
      <x:c r="A210" t="str">
        <x:v>PCC-PE-KG01-L21-20251022-PM-ORD-2025-00020-S04-C2</x:v>
      </x:c>
      <x:c r="B210" t="str">
        <x:v>PC-PE-KG01-L21-20251022-PM-ORD-2025-00020-S04</x:v>
      </x:c>
      <x:c r="C210" t="str">
        <x:v>PE-KG01-L21-20251022-PM-ORD-2025-00020</x:v>
      </x:c>
      <x:c r="D210" t="str">
        <x:v>KG01</x:v>
      </x:c>
      <x:c r="E210" s="62" t="n">
        <x:v>45952</x:v>
      </x:c>
      <x:c r="F210" t="str">
        <x:v>PM</x:v>
      </x:c>
      <x:c r="G210" t="str">
        <x:v>C</x:v>
      </x:c>
      <x:c r="H210" t="n">
        <x:v>21</x:v>
      </x:c>
      <x:c r="I210" t="str">
        <x:v>ORD-2025-00020</x:v>
      </x:c>
      <x:c r="J210" t="n">
        <x:v>4</x:v>
      </x:c>
      <x:c r="K210" t="n">
        <x:v>2</x:v>
      </x:c>
      <x:c r="L210" t="str">
        <x:v>L21-S04-C2</x:v>
      </x:c>
      <x:c r="M210" t="n">
        <x:v>1</x:v>
      </x:c>
      <x:c r="N210" t="str">
        <x:v>DerivedFromCount</x:v>
      </x:c>
      <x:c r="O210" t="str">
        <x:v>PLC-PRD-JAR-720-L21</x:v>
      </x:c>
      <x:c r="P210" t="str">
        <x:v>OK</x:v>
      </x:c>
      <x:c r="Q210" t="str">
        <x:v>OK</x:v>
      </x:c>
      <x:c r="R210" t="str">
        <x:v>OK</x:v>
      </x:c>
      <x:c r="S210" t="str">
        <x:v>OK</x:v>
      </x:c>
      <x:c r="T210" t="n">
        <x:v>20</x:v>
      </x:c>
      <x:c r="U210" t="str">
        <x:v>OK</x:v>
      </x:c>
      <x:c r="V210" t="str">
        <x:v>OK</x:v>
      </x:c>
      <x:c r="W210" t="str">
        <x:v>LOAD</x:v>
      </x:c>
      <x:c r="X210" t="str">
        <x:v>02_Supervisor_Log(4).xlsx</x:v>
      </x:c>
      <x:c r="Y210" t="str">
        <x:v>ENH-20260830-01</x:v>
      </x:c>
      <x:c r="Z210" t="str">
        <x:v>Active</x:v>
      </x:c>
      <x:c r="AA210"/>
      <x:c r="AB210"/>
      <x:c r="AC210"/>
      <x:c r="AD210"/>
    </x:row>
    <x:row r="211">
      <x:c r="A211" t="str">
        <x:v>PCC-PE-KG01-L21-20251022-PM-ORD-2025-00020-S04-C3</x:v>
      </x:c>
      <x:c r="B211" t="str">
        <x:v>PC-PE-KG01-L21-20251022-PM-ORD-2025-00020-S04</x:v>
      </x:c>
      <x:c r="C211" t="str">
        <x:v>PE-KG01-L21-20251022-PM-ORD-2025-00020</x:v>
      </x:c>
      <x:c r="D211" t="str">
        <x:v>KG01</x:v>
      </x:c>
      <x:c r="E211" s="62" t="n">
        <x:v>45952</x:v>
      </x:c>
      <x:c r="F211" t="str">
        <x:v>PM</x:v>
      </x:c>
      <x:c r="G211" t="str">
        <x:v>C</x:v>
      </x:c>
      <x:c r="H211" t="n">
        <x:v>21</x:v>
      </x:c>
      <x:c r="I211" t="str">
        <x:v>ORD-2025-00020</x:v>
      </x:c>
      <x:c r="J211" t="n">
        <x:v>4</x:v>
      </x:c>
      <x:c r="K211" t="n">
        <x:v>3</x:v>
      </x:c>
      <x:c r="L211" t="str">
        <x:v>L21-S04-C3</x:v>
      </x:c>
      <x:c r="M211" t="n">
        <x:v>0</x:v>
      </x:c>
      <x:c r="N211" t="str">
        <x:v>DerivedFromCount</x:v>
      </x:c>
      <x:c r="O211" t="str">
        <x:v>PLC-PRD-JAR-720-L21</x:v>
      </x:c>
      <x:c r="P211" t="str">
        <x:v>OK</x:v>
      </x:c>
      <x:c r="Q211" t="str">
        <x:v>OK</x:v>
      </x:c>
      <x:c r="R211" t="str">
        <x:v>OK</x:v>
      </x:c>
      <x:c r="S211" t="str">
        <x:v>OK</x:v>
      </x:c>
      <x:c r="T211" t="n">
        <x:v>20</x:v>
      </x:c>
      <x:c r="U211" t="str">
        <x:v>OK</x:v>
      </x:c>
      <x:c r="V211" t="str">
        <x:v>OK</x:v>
      </x:c>
      <x:c r="W211" t="str">
        <x:v>LOAD</x:v>
      </x:c>
      <x:c r="X211" t="str">
        <x:v>02_Supervisor_Log(4).xlsx</x:v>
      </x:c>
      <x:c r="Y211" t="str">
        <x:v>ENH-20260830-01</x:v>
      </x:c>
      <x:c r="Z211" t="str">
        <x:v>Active</x:v>
      </x:c>
      <x:c r="AA211"/>
      <x:c r="AB211"/>
      <x:c r="AC211"/>
      <x:c r="AD211"/>
    </x:row>
    <x:row r="212">
      <x:c r="A212" t="str">
        <x:v>PCC-PE-KG01-L21-20251022-PM-ORD-2025-00020-S05-C1</x:v>
      </x:c>
      <x:c r="B212" t="str">
        <x:v>PC-PE-KG01-L21-20251022-PM-ORD-2025-00020-S05</x:v>
      </x:c>
      <x:c r="C212" t="str">
        <x:v>PE-KG01-L21-20251022-PM-ORD-2025-00020</x:v>
      </x:c>
      <x:c r="D212" t="str">
        <x:v>KG01</x:v>
      </x:c>
      <x:c r="E212" s="62" t="n">
        <x:v>45952</x:v>
      </x:c>
      <x:c r="F212" t="str">
        <x:v>PM</x:v>
      </x:c>
      <x:c r="G212" t="str">
        <x:v>C</x:v>
      </x:c>
      <x:c r="H212" t="n">
        <x:v>21</x:v>
      </x:c>
      <x:c r="I212" t="str">
        <x:v>ORD-2025-00020</x:v>
      </x:c>
      <x:c r="J212" t="n">
        <x:v>5</x:v>
      </x:c>
      <x:c r="K212" t="n">
        <x:v>1</x:v>
      </x:c>
      <x:c r="L212" t="str">
        <x:v>L21-S05-C1</x:v>
      </x:c>
      <x:c r="M212" t="n">
        <x:v>1</x:v>
      </x:c>
      <x:c r="N212" t="str">
        <x:v>DerivedFromCount</x:v>
      </x:c>
      <x:c r="O212" t="str">
        <x:v>PLC-PRD-JAR-720-L21</x:v>
      </x:c>
      <x:c r="P212" t="str">
        <x:v>OK</x:v>
      </x:c>
      <x:c r="Q212" t="str">
        <x:v>OK</x:v>
      </x:c>
      <x:c r="R212" t="str">
        <x:v>OK</x:v>
      </x:c>
      <x:c r="S212" t="str">
        <x:v>OK</x:v>
      </x:c>
      <x:c r="T212" t="n">
        <x:v>20</x:v>
      </x:c>
      <x:c r="U212" t="str">
        <x:v>OK</x:v>
      </x:c>
      <x:c r="V212" t="str">
        <x:v>OK</x:v>
      </x:c>
      <x:c r="W212" t="str">
        <x:v>LOAD</x:v>
      </x:c>
      <x:c r="X212" t="str">
        <x:v>02_Supervisor_Log(4).xlsx</x:v>
      </x:c>
      <x:c r="Y212" t="str">
        <x:v>ENH-20260830-01</x:v>
      </x:c>
      <x:c r="Z212" t="str">
        <x:v>Active</x:v>
      </x:c>
      <x:c r="AA212"/>
      <x:c r="AB212"/>
      <x:c r="AC212"/>
      <x:c r="AD212"/>
    </x:row>
    <x:row r="213">
      <x:c r="A213" t="str">
        <x:v>PCC-PE-KG01-L21-20251022-PM-ORD-2025-00020-S05-C2</x:v>
      </x:c>
      <x:c r="B213" t="str">
        <x:v>PC-PE-KG01-L21-20251022-PM-ORD-2025-00020-S05</x:v>
      </x:c>
      <x:c r="C213" t="str">
        <x:v>PE-KG01-L21-20251022-PM-ORD-2025-00020</x:v>
      </x:c>
      <x:c r="D213" t="str">
        <x:v>KG01</x:v>
      </x:c>
      <x:c r="E213" s="62" t="n">
        <x:v>45952</x:v>
      </x:c>
      <x:c r="F213" t="str">
        <x:v>PM</x:v>
      </x:c>
      <x:c r="G213" t="str">
        <x:v>C</x:v>
      </x:c>
      <x:c r="H213" t="n">
        <x:v>21</x:v>
      </x:c>
      <x:c r="I213" t="str">
        <x:v>ORD-2025-00020</x:v>
      </x:c>
      <x:c r="J213" t="n">
        <x:v>5</x:v>
      </x:c>
      <x:c r="K213" t="n">
        <x:v>2</x:v>
      </x:c>
      <x:c r="L213" t="str">
        <x:v>L21-S05-C2</x:v>
      </x:c>
      <x:c r="M213" t="n">
        <x:v>1</x:v>
      </x:c>
      <x:c r="N213" t="str">
        <x:v>DerivedFromCount</x:v>
      </x:c>
      <x:c r="O213" t="str">
        <x:v>PLC-PRD-JAR-720-L21</x:v>
      </x:c>
      <x:c r="P213" t="str">
        <x:v>OK</x:v>
      </x:c>
      <x:c r="Q213" t="str">
        <x:v>OK</x:v>
      </x:c>
      <x:c r="R213" t="str">
        <x:v>OK</x:v>
      </x:c>
      <x:c r="S213" t="str">
        <x:v>OK</x:v>
      </x:c>
      <x:c r="T213" t="n">
        <x:v>20</x:v>
      </x:c>
      <x:c r="U213" t="str">
        <x:v>OK</x:v>
      </x:c>
      <x:c r="V213" t="str">
        <x:v>OK</x:v>
      </x:c>
      <x:c r="W213" t="str">
        <x:v>LOAD</x:v>
      </x:c>
      <x:c r="X213" t="str">
        <x:v>02_Supervisor_Log(4).xlsx</x:v>
      </x:c>
      <x:c r="Y213" t="str">
        <x:v>ENH-20260830-01</x:v>
      </x:c>
      <x:c r="Z213" t="str">
        <x:v>Active</x:v>
      </x:c>
      <x:c r="AA213"/>
      <x:c r="AB213"/>
      <x:c r="AC213"/>
      <x:c r="AD213"/>
    </x:row>
    <x:row r="214">
      <x:c r="A214" t="str">
        <x:v>PCC-PE-KG01-L21-20251022-PM-ORD-2025-00020-S05-C3</x:v>
      </x:c>
      <x:c r="B214" t="str">
        <x:v>PC-PE-KG01-L21-20251022-PM-ORD-2025-00020-S05</x:v>
      </x:c>
      <x:c r="C214" t="str">
        <x:v>PE-KG01-L21-20251022-PM-ORD-2025-00020</x:v>
      </x:c>
      <x:c r="D214" t="str">
        <x:v>KG01</x:v>
      </x:c>
      <x:c r="E214" s="62" t="n">
        <x:v>45952</x:v>
      </x:c>
      <x:c r="F214" t="str">
        <x:v>PM</x:v>
      </x:c>
      <x:c r="G214" t="str">
        <x:v>C</x:v>
      </x:c>
      <x:c r="H214" t="n">
        <x:v>21</x:v>
      </x:c>
      <x:c r="I214" t="str">
        <x:v>ORD-2025-00020</x:v>
      </x:c>
      <x:c r="J214" t="n">
        <x:v>5</x:v>
      </x:c>
      <x:c r="K214" t="n">
        <x:v>3</x:v>
      </x:c>
      <x:c r="L214" t="str">
        <x:v>L21-S05-C3</x:v>
      </x:c>
      <x:c r="M214" t="n">
        <x:v>0</x:v>
      </x:c>
      <x:c r="N214" t="str">
        <x:v>DerivedFromCount</x:v>
      </x:c>
      <x:c r="O214" t="str">
        <x:v>PLC-PRD-JAR-720-L21</x:v>
      </x:c>
      <x:c r="P214" t="str">
        <x:v>OK</x:v>
      </x:c>
      <x:c r="Q214" t="str">
        <x:v>OK</x:v>
      </x:c>
      <x:c r="R214" t="str">
        <x:v>OK</x:v>
      </x:c>
      <x:c r="S214" t="str">
        <x:v>OK</x:v>
      </x:c>
      <x:c r="T214" t="n">
        <x:v>20</x:v>
      </x:c>
      <x:c r="U214" t="str">
        <x:v>OK</x:v>
      </x:c>
      <x:c r="V214" t="str">
        <x:v>OK</x:v>
      </x:c>
      <x:c r="W214" t="str">
        <x:v>LOAD</x:v>
      </x:c>
      <x:c r="X214" t="str">
        <x:v>02_Supervisor_Log(4).xlsx</x:v>
      </x:c>
      <x:c r="Y214" t="str">
        <x:v>ENH-20260830-01</x:v>
      </x:c>
      <x:c r="Z214" t="str">
        <x:v>Active</x:v>
      </x:c>
      <x:c r="AA214"/>
      <x:c r="AB214"/>
      <x:c r="AC214"/>
      <x:c r="AD214"/>
    </x:row>
    <x:row r="215">
      <x:c r="A215" t="str">
        <x:v>PCC-PE-KG01-L21-20251022-PM-ORD-2025-00020-S06-C1</x:v>
      </x:c>
      <x:c r="B215" t="str">
        <x:v>PC-PE-KG01-L21-20251022-PM-ORD-2025-00020-S06</x:v>
      </x:c>
      <x:c r="C215" t="str">
        <x:v>PE-KG01-L21-20251022-PM-ORD-2025-00020</x:v>
      </x:c>
      <x:c r="D215" t="str">
        <x:v>KG01</x:v>
      </x:c>
      <x:c r="E215" s="62" t="n">
        <x:v>45952</x:v>
      </x:c>
      <x:c r="F215" t="str">
        <x:v>PM</x:v>
      </x:c>
      <x:c r="G215" t="str">
        <x:v>C</x:v>
      </x:c>
      <x:c r="H215" t="n">
        <x:v>21</x:v>
      </x:c>
      <x:c r="I215" t="str">
        <x:v>ORD-2025-00020</x:v>
      </x:c>
      <x:c r="J215" t="n">
        <x:v>6</x:v>
      </x:c>
      <x:c r="K215" t="n">
        <x:v>1</x:v>
      </x:c>
      <x:c r="L215" t="str">
        <x:v>L21-S06-C1</x:v>
      </x:c>
      <x:c r="M215" t="n">
        <x:v>1</x:v>
      </x:c>
      <x:c r="N215" t="str">
        <x:v>DerivedFromCount</x:v>
      </x:c>
      <x:c r="O215" t="str">
        <x:v>PLC-PRD-JAR-720-L21</x:v>
      </x:c>
      <x:c r="P215" t="str">
        <x:v>OK</x:v>
      </x:c>
      <x:c r="Q215" t="str">
        <x:v>OK</x:v>
      </x:c>
      <x:c r="R215" t="str">
        <x:v>OK</x:v>
      </x:c>
      <x:c r="S215" t="str">
        <x:v>OK</x:v>
      </x:c>
      <x:c r="T215" t="n">
        <x:v>20</x:v>
      </x:c>
      <x:c r="U215" t="str">
        <x:v>OK</x:v>
      </x:c>
      <x:c r="V215" t="str">
        <x:v>OK</x:v>
      </x:c>
      <x:c r="W215" t="str">
        <x:v>LOAD</x:v>
      </x:c>
      <x:c r="X215" t="str">
        <x:v>02_Supervisor_Log(4).xlsx</x:v>
      </x:c>
      <x:c r="Y215" t="str">
        <x:v>ENH-20260830-01</x:v>
      </x:c>
      <x:c r="Z215" t="str">
        <x:v>Active</x:v>
      </x:c>
      <x:c r="AA215"/>
      <x:c r="AB215"/>
      <x:c r="AC215"/>
      <x:c r="AD215"/>
    </x:row>
    <x:row r="216">
      <x:c r="A216" t="str">
        <x:v>PCC-PE-KG01-L21-20251022-PM-ORD-2025-00020-S06-C2</x:v>
      </x:c>
      <x:c r="B216" t="str">
        <x:v>PC-PE-KG01-L21-20251022-PM-ORD-2025-00020-S06</x:v>
      </x:c>
      <x:c r="C216" t="str">
        <x:v>PE-KG01-L21-20251022-PM-ORD-2025-00020</x:v>
      </x:c>
      <x:c r="D216" t="str">
        <x:v>KG01</x:v>
      </x:c>
      <x:c r="E216" s="62" t="n">
        <x:v>45952</x:v>
      </x:c>
      <x:c r="F216" t="str">
        <x:v>PM</x:v>
      </x:c>
      <x:c r="G216" t="str">
        <x:v>C</x:v>
      </x:c>
      <x:c r="H216" t="n">
        <x:v>21</x:v>
      </x:c>
      <x:c r="I216" t="str">
        <x:v>ORD-2025-00020</x:v>
      </x:c>
      <x:c r="J216" t="n">
        <x:v>6</x:v>
      </x:c>
      <x:c r="K216" t="n">
        <x:v>2</x:v>
      </x:c>
      <x:c r="L216" t="str">
        <x:v>L21-S06-C2</x:v>
      </x:c>
      <x:c r="M216" t="n">
        <x:v>1</x:v>
      </x:c>
      <x:c r="N216" t="str">
        <x:v>DerivedFromCount</x:v>
      </x:c>
      <x:c r="O216" t="str">
        <x:v>PLC-PRD-JAR-720-L21</x:v>
      </x:c>
      <x:c r="P216" t="str">
        <x:v>OK</x:v>
      </x:c>
      <x:c r="Q216" t="str">
        <x:v>OK</x:v>
      </x:c>
      <x:c r="R216" t="str">
        <x:v>OK</x:v>
      </x:c>
      <x:c r="S216" t="str">
        <x:v>OK</x:v>
      </x:c>
      <x:c r="T216" t="n">
        <x:v>20</x:v>
      </x:c>
      <x:c r="U216" t="str">
        <x:v>OK</x:v>
      </x:c>
      <x:c r="V216" t="str">
        <x:v>OK</x:v>
      </x:c>
      <x:c r="W216" t="str">
        <x:v>LOAD</x:v>
      </x:c>
      <x:c r="X216" t="str">
        <x:v>02_Supervisor_Log(4).xlsx</x:v>
      </x:c>
      <x:c r="Y216" t="str">
        <x:v>ENH-20260830-01</x:v>
      </x:c>
      <x:c r="Z216" t="str">
        <x:v>Active</x:v>
      </x:c>
      <x:c r="AA216"/>
      <x:c r="AB216"/>
      <x:c r="AC216"/>
      <x:c r="AD216"/>
    </x:row>
    <x:row r="217">
      <x:c r="A217" t="str">
        <x:v>PCC-PE-KG01-L21-20251022-PM-ORD-2025-00020-S06-C3</x:v>
      </x:c>
      <x:c r="B217" t="str">
        <x:v>PC-PE-KG01-L21-20251022-PM-ORD-2025-00020-S06</x:v>
      </x:c>
      <x:c r="C217" t="str">
        <x:v>PE-KG01-L21-20251022-PM-ORD-2025-00020</x:v>
      </x:c>
      <x:c r="D217" t="str">
        <x:v>KG01</x:v>
      </x:c>
      <x:c r="E217" s="62" t="n">
        <x:v>45952</x:v>
      </x:c>
      <x:c r="F217" t="str">
        <x:v>PM</x:v>
      </x:c>
      <x:c r="G217" t="str">
        <x:v>C</x:v>
      </x:c>
      <x:c r="H217" t="n">
        <x:v>21</x:v>
      </x:c>
      <x:c r="I217" t="str">
        <x:v>ORD-2025-00020</x:v>
      </x:c>
      <x:c r="J217" t="n">
        <x:v>6</x:v>
      </x:c>
      <x:c r="K217" t="n">
        <x:v>3</x:v>
      </x:c>
      <x:c r="L217" t="str">
        <x:v>L21-S06-C3</x:v>
      </x:c>
      <x:c r="M217" t="n">
        <x:v>0</x:v>
      </x:c>
      <x:c r="N217" t="str">
        <x:v>DerivedFromCount</x:v>
      </x:c>
      <x:c r="O217" t="str">
        <x:v>PLC-PRD-JAR-720-L21</x:v>
      </x:c>
      <x:c r="P217" t="str">
        <x:v>OK</x:v>
      </x:c>
      <x:c r="Q217" t="str">
        <x:v>OK</x:v>
      </x:c>
      <x:c r="R217" t="str">
        <x:v>OK</x:v>
      </x:c>
      <x:c r="S217" t="str">
        <x:v>OK</x:v>
      </x:c>
      <x:c r="T217" t="n">
        <x:v>20</x:v>
      </x:c>
      <x:c r="U217" t="str">
        <x:v>OK</x:v>
      </x:c>
      <x:c r="V217" t="str">
        <x:v>OK</x:v>
      </x:c>
      <x:c r="W217" t="str">
        <x:v>LOAD</x:v>
      </x:c>
      <x:c r="X217" t="str">
        <x:v>02_Supervisor_Log(4).xlsx</x:v>
      </x:c>
      <x:c r="Y217" t="str">
        <x:v>ENH-20260830-01</x:v>
      </x:c>
      <x:c r="Z217" t="str">
        <x:v>Active</x:v>
      </x:c>
      <x:c r="AA217"/>
      <x:c r="AB217"/>
      <x:c r="AC217"/>
      <x:c r="AD217"/>
    </x:row>
    <x:row r="218">
      <x:c r="A218" t="str">
        <x:v>PCC-PE-KG01-L21-20251022-PM-ORD-2025-00020-S07-C1</x:v>
      </x:c>
      <x:c r="B218" t="str">
        <x:v>PC-PE-KG01-L21-20251022-PM-ORD-2025-00020-S07</x:v>
      </x:c>
      <x:c r="C218" t="str">
        <x:v>PE-KG01-L21-20251022-PM-ORD-2025-00020</x:v>
      </x:c>
      <x:c r="D218" t="str">
        <x:v>KG01</x:v>
      </x:c>
      <x:c r="E218" s="62" t="n">
        <x:v>45952</x:v>
      </x:c>
      <x:c r="F218" t="str">
        <x:v>PM</x:v>
      </x:c>
      <x:c r="G218" t="str">
        <x:v>C</x:v>
      </x:c>
      <x:c r="H218" t="n">
        <x:v>21</x:v>
      </x:c>
      <x:c r="I218" t="str">
        <x:v>ORD-2025-00020</x:v>
      </x:c>
      <x:c r="J218" t="n">
        <x:v>7</x:v>
      </x:c>
      <x:c r="K218" t="n">
        <x:v>1</x:v>
      </x:c>
      <x:c r="L218" t="str">
        <x:v>L21-S07-C1</x:v>
      </x:c>
      <x:c r="M218" t="n">
        <x:v>1</x:v>
      </x:c>
      <x:c r="N218" t="str">
        <x:v>DerivedFromCount</x:v>
      </x:c>
      <x:c r="O218" t="str">
        <x:v>PLC-PRD-JAR-720-L21</x:v>
      </x:c>
      <x:c r="P218" t="str">
        <x:v>OK</x:v>
      </x:c>
      <x:c r="Q218" t="str">
        <x:v>OK</x:v>
      </x:c>
      <x:c r="R218" t="str">
        <x:v>OK</x:v>
      </x:c>
      <x:c r="S218" t="str">
        <x:v>OK</x:v>
      </x:c>
      <x:c r="T218" t="n">
        <x:v>20</x:v>
      </x:c>
      <x:c r="U218" t="str">
        <x:v>OK</x:v>
      </x:c>
      <x:c r="V218" t="str">
        <x:v>OK</x:v>
      </x:c>
      <x:c r="W218" t="str">
        <x:v>LOAD</x:v>
      </x:c>
      <x:c r="X218" t="str">
        <x:v>02_Supervisor_Log(4).xlsx</x:v>
      </x:c>
      <x:c r="Y218" t="str">
        <x:v>ENH-20260830-01</x:v>
      </x:c>
      <x:c r="Z218" t="str">
        <x:v>Active</x:v>
      </x:c>
      <x:c r="AA218"/>
      <x:c r="AB218"/>
      <x:c r="AC218"/>
      <x:c r="AD218"/>
    </x:row>
    <x:row r="219">
      <x:c r="A219" t="str">
        <x:v>PCC-PE-KG01-L21-20251022-PM-ORD-2025-00020-S07-C2</x:v>
      </x:c>
      <x:c r="B219" t="str">
        <x:v>PC-PE-KG01-L21-20251022-PM-ORD-2025-00020-S07</x:v>
      </x:c>
      <x:c r="C219" t="str">
        <x:v>PE-KG01-L21-20251022-PM-ORD-2025-00020</x:v>
      </x:c>
      <x:c r="D219" t="str">
        <x:v>KG01</x:v>
      </x:c>
      <x:c r="E219" s="62" t="n">
        <x:v>45952</x:v>
      </x:c>
      <x:c r="F219" t="str">
        <x:v>PM</x:v>
      </x:c>
      <x:c r="G219" t="str">
        <x:v>C</x:v>
      </x:c>
      <x:c r="H219" t="n">
        <x:v>21</x:v>
      </x:c>
      <x:c r="I219" t="str">
        <x:v>ORD-2025-00020</x:v>
      </x:c>
      <x:c r="J219" t="n">
        <x:v>7</x:v>
      </x:c>
      <x:c r="K219" t="n">
        <x:v>2</x:v>
      </x:c>
      <x:c r="L219" t="str">
        <x:v>L21-S07-C2</x:v>
      </x:c>
      <x:c r="M219" t="n">
        <x:v>1</x:v>
      </x:c>
      <x:c r="N219" t="str">
        <x:v>DerivedFromCount</x:v>
      </x:c>
      <x:c r="O219" t="str">
        <x:v>PLC-PRD-JAR-720-L21</x:v>
      </x:c>
      <x:c r="P219" t="str">
        <x:v>OK</x:v>
      </x:c>
      <x:c r="Q219" t="str">
        <x:v>OK</x:v>
      </x:c>
      <x:c r="R219" t="str">
        <x:v>OK</x:v>
      </x:c>
      <x:c r="S219" t="str">
        <x:v>OK</x:v>
      </x:c>
      <x:c r="T219" t="n">
        <x:v>20</x:v>
      </x:c>
      <x:c r="U219" t="str">
        <x:v>OK</x:v>
      </x:c>
      <x:c r="V219" t="str">
        <x:v>OK</x:v>
      </x:c>
      <x:c r="W219" t="str">
        <x:v>LOAD</x:v>
      </x:c>
      <x:c r="X219" t="str">
        <x:v>02_Supervisor_Log(4).xlsx</x:v>
      </x:c>
      <x:c r="Y219" t="str">
        <x:v>ENH-20260830-01</x:v>
      </x:c>
      <x:c r="Z219" t="str">
        <x:v>Active</x:v>
      </x:c>
      <x:c r="AA219"/>
      <x:c r="AB219"/>
      <x:c r="AC219"/>
      <x:c r="AD219"/>
    </x:row>
    <x:row r="220">
      <x:c r="A220" t="str">
        <x:v>PCC-PE-KG01-L21-20251022-PM-ORD-2025-00020-S07-C3</x:v>
      </x:c>
      <x:c r="B220" t="str">
        <x:v>PC-PE-KG01-L21-20251022-PM-ORD-2025-00020-S07</x:v>
      </x:c>
      <x:c r="C220" t="str">
        <x:v>PE-KG01-L21-20251022-PM-ORD-2025-00020</x:v>
      </x:c>
      <x:c r="D220" t="str">
        <x:v>KG01</x:v>
      </x:c>
      <x:c r="E220" s="62" t="n">
        <x:v>45952</x:v>
      </x:c>
      <x:c r="F220" t="str">
        <x:v>PM</x:v>
      </x:c>
      <x:c r="G220" t="str">
        <x:v>C</x:v>
      </x:c>
      <x:c r="H220" t="n">
        <x:v>21</x:v>
      </x:c>
      <x:c r="I220" t="str">
        <x:v>ORD-2025-00020</x:v>
      </x:c>
      <x:c r="J220" t="n">
        <x:v>7</x:v>
      </x:c>
      <x:c r="K220" t="n">
        <x:v>3</x:v>
      </x:c>
      <x:c r="L220" t="str">
        <x:v>L21-S07-C3</x:v>
      </x:c>
      <x:c r="M220" t="n">
        <x:v>0</x:v>
      </x:c>
      <x:c r="N220" t="str">
        <x:v>DerivedFromCount</x:v>
      </x:c>
      <x:c r="O220" t="str">
        <x:v>PLC-PRD-JAR-720-L21</x:v>
      </x:c>
      <x:c r="P220" t="str">
        <x:v>OK</x:v>
      </x:c>
      <x:c r="Q220" t="str">
        <x:v>OK</x:v>
      </x:c>
      <x:c r="R220" t="str">
        <x:v>OK</x:v>
      </x:c>
      <x:c r="S220" t="str">
        <x:v>OK</x:v>
      </x:c>
      <x:c r="T220" t="n">
        <x:v>20</x:v>
      </x:c>
      <x:c r="U220" t="str">
        <x:v>OK</x:v>
      </x:c>
      <x:c r="V220" t="str">
        <x:v>OK</x:v>
      </x:c>
      <x:c r="W220" t="str">
        <x:v>LOAD</x:v>
      </x:c>
      <x:c r="X220" t="str">
        <x:v>02_Supervisor_Log(4).xlsx</x:v>
      </x:c>
      <x:c r="Y220" t="str">
        <x:v>ENH-20260830-01</x:v>
      </x:c>
      <x:c r="Z220" t="str">
        <x:v>Active</x:v>
      </x:c>
      <x:c r="AA220"/>
      <x:c r="AB220"/>
      <x:c r="AC220"/>
      <x:c r="AD220"/>
    </x:row>
    <x:row r="221">
      <x:c r="A221" t="str">
        <x:v>PCC-PE-KG01-L21-20251022-PM-ORD-2025-00020-S08-C1</x:v>
      </x:c>
      <x:c r="B221" t="str">
        <x:v>PC-PE-KG01-L21-20251022-PM-ORD-2025-00020-S08</x:v>
      </x:c>
      <x:c r="C221" t="str">
        <x:v>PE-KG01-L21-20251022-PM-ORD-2025-00020</x:v>
      </x:c>
      <x:c r="D221" t="str">
        <x:v>KG01</x:v>
      </x:c>
      <x:c r="E221" s="62" t="n">
        <x:v>45952</x:v>
      </x:c>
      <x:c r="F221" t="str">
        <x:v>PM</x:v>
      </x:c>
      <x:c r="G221" t="str">
        <x:v>C</x:v>
      </x:c>
      <x:c r="H221" t="n">
        <x:v>21</x:v>
      </x:c>
      <x:c r="I221" t="str">
        <x:v>ORD-2025-00020</x:v>
      </x:c>
      <x:c r="J221" t="n">
        <x:v>8</x:v>
      </x:c>
      <x:c r="K221" t="n">
        <x:v>1</x:v>
      </x:c>
      <x:c r="L221" t="str">
        <x:v>L21-S08-C1</x:v>
      </x:c>
      <x:c r="M221" t="n">
        <x:v>1</x:v>
      </x:c>
      <x:c r="N221" t="str">
        <x:v>DerivedFromCount</x:v>
      </x:c>
      <x:c r="O221" t="str">
        <x:v>PLC-PRD-JAR-720-L21</x:v>
      </x:c>
      <x:c r="P221" t="str">
        <x:v>OK</x:v>
      </x:c>
      <x:c r="Q221" t="str">
        <x:v>OK</x:v>
      </x:c>
      <x:c r="R221" t="str">
        <x:v>OK</x:v>
      </x:c>
      <x:c r="S221" t="str">
        <x:v>OK</x:v>
      </x:c>
      <x:c r="T221" t="n">
        <x:v>20</x:v>
      </x:c>
      <x:c r="U221" t="str">
        <x:v>OK</x:v>
      </x:c>
      <x:c r="V221" t="str">
        <x:v>OK</x:v>
      </x:c>
      <x:c r="W221" t="str">
        <x:v>LOAD</x:v>
      </x:c>
      <x:c r="X221" t="str">
        <x:v>02_Supervisor_Log(4).xlsx</x:v>
      </x:c>
      <x:c r="Y221" t="str">
        <x:v>ENH-20260830-01</x:v>
      </x:c>
      <x:c r="Z221" t="str">
        <x:v>Active</x:v>
      </x:c>
      <x:c r="AA221"/>
      <x:c r="AB221"/>
      <x:c r="AC221"/>
      <x:c r="AD221"/>
    </x:row>
    <x:row r="222">
      <x:c r="A222" t="str">
        <x:v>PCC-PE-KG01-L21-20251022-PM-ORD-2025-00020-S08-C2</x:v>
      </x:c>
      <x:c r="B222" t="str">
        <x:v>PC-PE-KG01-L21-20251022-PM-ORD-2025-00020-S08</x:v>
      </x:c>
      <x:c r="C222" t="str">
        <x:v>PE-KG01-L21-20251022-PM-ORD-2025-00020</x:v>
      </x:c>
      <x:c r="D222" t="str">
        <x:v>KG01</x:v>
      </x:c>
      <x:c r="E222" s="62" t="n">
        <x:v>45952</x:v>
      </x:c>
      <x:c r="F222" t="str">
        <x:v>PM</x:v>
      </x:c>
      <x:c r="G222" t="str">
        <x:v>C</x:v>
      </x:c>
      <x:c r="H222" t="n">
        <x:v>21</x:v>
      </x:c>
      <x:c r="I222" t="str">
        <x:v>ORD-2025-00020</x:v>
      </x:c>
      <x:c r="J222" t="n">
        <x:v>8</x:v>
      </x:c>
      <x:c r="K222" t="n">
        <x:v>2</x:v>
      </x:c>
      <x:c r="L222" t="str">
        <x:v>L21-S08-C2</x:v>
      </x:c>
      <x:c r="M222" t="n">
        <x:v>1</x:v>
      </x:c>
      <x:c r="N222" t="str">
        <x:v>DerivedFromCount</x:v>
      </x:c>
      <x:c r="O222" t="str">
        <x:v>PLC-PRD-JAR-720-L21</x:v>
      </x:c>
      <x:c r="P222" t="str">
        <x:v>OK</x:v>
      </x:c>
      <x:c r="Q222" t="str">
        <x:v>OK</x:v>
      </x:c>
      <x:c r="R222" t="str">
        <x:v>OK</x:v>
      </x:c>
      <x:c r="S222" t="str">
        <x:v>OK</x:v>
      </x:c>
      <x:c r="T222" t="n">
        <x:v>20</x:v>
      </x:c>
      <x:c r="U222" t="str">
        <x:v>OK</x:v>
      </x:c>
      <x:c r="V222" t="str">
        <x:v>OK</x:v>
      </x:c>
      <x:c r="W222" t="str">
        <x:v>LOAD</x:v>
      </x:c>
      <x:c r="X222" t="str">
        <x:v>02_Supervisor_Log(4).xlsx</x:v>
      </x:c>
      <x:c r="Y222" t="str">
        <x:v>ENH-20260830-01</x:v>
      </x:c>
      <x:c r="Z222" t="str">
        <x:v>Active</x:v>
      </x:c>
      <x:c r="AA222"/>
      <x:c r="AB222"/>
      <x:c r="AC222"/>
      <x:c r="AD222"/>
    </x:row>
    <x:row r="223">
      <x:c r="A223" t="str">
        <x:v>PCC-PE-KG01-L21-20251022-PM-ORD-2025-00020-S08-C3</x:v>
      </x:c>
      <x:c r="B223" t="str">
        <x:v>PC-PE-KG01-L21-20251022-PM-ORD-2025-00020-S08</x:v>
      </x:c>
      <x:c r="C223" t="str">
        <x:v>PE-KG01-L21-20251022-PM-ORD-2025-00020</x:v>
      </x:c>
      <x:c r="D223" t="str">
        <x:v>KG01</x:v>
      </x:c>
      <x:c r="E223" s="62" t="n">
        <x:v>45952</x:v>
      </x:c>
      <x:c r="F223" t="str">
        <x:v>PM</x:v>
      </x:c>
      <x:c r="G223" t="str">
        <x:v>C</x:v>
      </x:c>
      <x:c r="H223" t="n">
        <x:v>21</x:v>
      </x:c>
      <x:c r="I223" t="str">
        <x:v>ORD-2025-00020</x:v>
      </x:c>
      <x:c r="J223" t="n">
        <x:v>8</x:v>
      </x:c>
      <x:c r="K223" t="n">
        <x:v>3</x:v>
      </x:c>
      <x:c r="L223" t="str">
        <x:v>L21-S08-C3</x:v>
      </x:c>
      <x:c r="M223" t="n">
        <x:v>0</x:v>
      </x:c>
      <x:c r="N223" t="str">
        <x:v>DerivedFromCount</x:v>
      </x:c>
      <x:c r="O223" t="str">
        <x:v>PLC-PRD-JAR-720-L21</x:v>
      </x:c>
      <x:c r="P223" t="str">
        <x:v>OK</x:v>
      </x:c>
      <x:c r="Q223" t="str">
        <x:v>OK</x:v>
      </x:c>
      <x:c r="R223" t="str">
        <x:v>OK</x:v>
      </x:c>
      <x:c r="S223" t="str">
        <x:v>OK</x:v>
      </x:c>
      <x:c r="T223" t="n">
        <x:v>20</x:v>
      </x:c>
      <x:c r="U223" t="str">
        <x:v>OK</x:v>
      </x:c>
      <x:c r="V223" t="str">
        <x:v>OK</x:v>
      </x:c>
      <x:c r="W223" t="str">
        <x:v>LOAD</x:v>
      </x:c>
      <x:c r="X223" t="str">
        <x:v>02_Supervisor_Log(4).xlsx</x:v>
      </x:c>
      <x:c r="Y223" t="str">
        <x:v>ENH-20260830-01</x:v>
      </x:c>
      <x:c r="Z223" t="str">
        <x:v>Active</x:v>
      </x:c>
      <x:c r="AA223"/>
      <x:c r="AB223"/>
      <x:c r="AC223"/>
      <x:c r="AD223"/>
    </x:row>
    <x:row r="224">
      <x:c r="A224" t="str">
        <x:v>PCC-PE-KG01-L21-20251022-PM-ORD-2025-00020-S09-C1</x:v>
      </x:c>
      <x:c r="B224" t="str">
        <x:v>PC-PE-KG01-L21-20251022-PM-ORD-2025-00020-S09</x:v>
      </x:c>
      <x:c r="C224" t="str">
        <x:v>PE-KG01-L21-20251022-PM-ORD-2025-00020</x:v>
      </x:c>
      <x:c r="D224" t="str">
        <x:v>KG01</x:v>
      </x:c>
      <x:c r="E224" s="62" t="n">
        <x:v>45952</x:v>
      </x:c>
      <x:c r="F224" t="str">
        <x:v>PM</x:v>
      </x:c>
      <x:c r="G224" t="str">
        <x:v>C</x:v>
      </x:c>
      <x:c r="H224" t="n">
        <x:v>21</x:v>
      </x:c>
      <x:c r="I224" t="str">
        <x:v>ORD-2025-00020</x:v>
      </x:c>
      <x:c r="J224" t="n">
        <x:v>9</x:v>
      </x:c>
      <x:c r="K224" t="n">
        <x:v>1</x:v>
      </x:c>
      <x:c r="L224" t="str">
        <x:v>L21-S09-C1</x:v>
      </x:c>
      <x:c r="M224" t="n">
        <x:v>1</x:v>
      </x:c>
      <x:c r="N224" t="str">
        <x:v>DerivedFromCount</x:v>
      </x:c>
      <x:c r="O224" t="str">
        <x:v>PLC-PRD-JAR-720-L21</x:v>
      </x:c>
      <x:c r="P224" t="str">
        <x:v>OK</x:v>
      </x:c>
      <x:c r="Q224" t="str">
        <x:v>OK</x:v>
      </x:c>
      <x:c r="R224" t="str">
        <x:v>OK</x:v>
      </x:c>
      <x:c r="S224" t="str">
        <x:v>OK</x:v>
      </x:c>
      <x:c r="T224" t="n">
        <x:v>20</x:v>
      </x:c>
      <x:c r="U224" t="str">
        <x:v>OK</x:v>
      </x:c>
      <x:c r="V224" t="str">
        <x:v>OK</x:v>
      </x:c>
      <x:c r="W224" t="str">
        <x:v>LOAD</x:v>
      </x:c>
      <x:c r="X224" t="str">
        <x:v>02_Supervisor_Log(4).xlsx</x:v>
      </x:c>
      <x:c r="Y224" t="str">
        <x:v>ENH-20260830-01</x:v>
      </x:c>
      <x:c r="Z224" t="str">
        <x:v>Active</x:v>
      </x:c>
      <x:c r="AA224"/>
      <x:c r="AB224"/>
      <x:c r="AC224"/>
      <x:c r="AD224"/>
    </x:row>
    <x:row r="225">
      <x:c r="A225" t="str">
        <x:v>PCC-PE-KG01-L21-20251022-PM-ORD-2025-00020-S09-C2</x:v>
      </x:c>
      <x:c r="B225" t="str">
        <x:v>PC-PE-KG01-L21-20251022-PM-ORD-2025-00020-S09</x:v>
      </x:c>
      <x:c r="C225" t="str">
        <x:v>PE-KG01-L21-20251022-PM-ORD-2025-00020</x:v>
      </x:c>
      <x:c r="D225" t="str">
        <x:v>KG01</x:v>
      </x:c>
      <x:c r="E225" s="62" t="n">
        <x:v>45952</x:v>
      </x:c>
      <x:c r="F225" t="str">
        <x:v>PM</x:v>
      </x:c>
      <x:c r="G225" t="str">
        <x:v>C</x:v>
      </x:c>
      <x:c r="H225" t="n">
        <x:v>21</x:v>
      </x:c>
      <x:c r="I225" t="str">
        <x:v>ORD-2025-00020</x:v>
      </x:c>
      <x:c r="J225" t="n">
        <x:v>9</x:v>
      </x:c>
      <x:c r="K225" t="n">
        <x:v>2</x:v>
      </x:c>
      <x:c r="L225" t="str">
        <x:v>L21-S09-C2</x:v>
      </x:c>
      <x:c r="M225" t="n">
        <x:v>1</x:v>
      </x:c>
      <x:c r="N225" t="str">
        <x:v>DerivedFromCount</x:v>
      </x:c>
      <x:c r="O225" t="str">
        <x:v>PLC-PRD-JAR-720-L21</x:v>
      </x:c>
      <x:c r="P225" t="str">
        <x:v>OK</x:v>
      </x:c>
      <x:c r="Q225" t="str">
        <x:v>OK</x:v>
      </x:c>
      <x:c r="R225" t="str">
        <x:v>OK</x:v>
      </x:c>
      <x:c r="S225" t="str">
        <x:v>OK</x:v>
      </x:c>
      <x:c r="T225" t="n">
        <x:v>20</x:v>
      </x:c>
      <x:c r="U225" t="str">
        <x:v>OK</x:v>
      </x:c>
      <x:c r="V225" t="str">
        <x:v>OK</x:v>
      </x:c>
      <x:c r="W225" t="str">
        <x:v>LOAD</x:v>
      </x:c>
      <x:c r="X225" t="str">
        <x:v>02_Supervisor_Log(4).xlsx</x:v>
      </x:c>
      <x:c r="Y225" t="str">
        <x:v>ENH-20260830-01</x:v>
      </x:c>
      <x:c r="Z225" t="str">
        <x:v>Active</x:v>
      </x:c>
      <x:c r="AA225"/>
      <x:c r="AB225"/>
      <x:c r="AC225"/>
      <x:c r="AD225"/>
    </x:row>
    <x:row r="226">
      <x:c r="A226" t="str">
        <x:v>PCC-PE-KG01-L21-20251022-PM-ORD-2025-00020-S09-C3</x:v>
      </x:c>
      <x:c r="B226" t="str">
        <x:v>PC-PE-KG01-L21-20251022-PM-ORD-2025-00020-S09</x:v>
      </x:c>
      <x:c r="C226" t="str">
        <x:v>PE-KG01-L21-20251022-PM-ORD-2025-00020</x:v>
      </x:c>
      <x:c r="D226" t="str">
        <x:v>KG01</x:v>
      </x:c>
      <x:c r="E226" s="62" t="n">
        <x:v>45952</x:v>
      </x:c>
      <x:c r="F226" t="str">
        <x:v>PM</x:v>
      </x:c>
      <x:c r="G226" t="str">
        <x:v>C</x:v>
      </x:c>
      <x:c r="H226" t="n">
        <x:v>21</x:v>
      </x:c>
      <x:c r="I226" t="str">
        <x:v>ORD-2025-00020</x:v>
      </x:c>
      <x:c r="J226" t="n">
        <x:v>9</x:v>
      </x:c>
      <x:c r="K226" t="n">
        <x:v>3</x:v>
      </x:c>
      <x:c r="L226" t="str">
        <x:v>L21-S09-C3</x:v>
      </x:c>
      <x:c r="M226" t="n">
        <x:v>0</x:v>
      </x:c>
      <x:c r="N226" t="str">
        <x:v>DerivedFromCount</x:v>
      </x:c>
      <x:c r="O226" t="str">
        <x:v>PLC-PRD-JAR-720-L21</x:v>
      </x:c>
      <x:c r="P226" t="str">
        <x:v>OK</x:v>
      </x:c>
      <x:c r="Q226" t="str">
        <x:v>OK</x:v>
      </x:c>
      <x:c r="R226" t="str">
        <x:v>OK</x:v>
      </x:c>
      <x:c r="S226" t="str">
        <x:v>OK</x:v>
      </x:c>
      <x:c r="T226" t="n">
        <x:v>20</x:v>
      </x:c>
      <x:c r="U226" t="str">
        <x:v>OK</x:v>
      </x:c>
      <x:c r="V226" t="str">
        <x:v>OK</x:v>
      </x:c>
      <x:c r="W226" t="str">
        <x:v>LOAD</x:v>
      </x:c>
      <x:c r="X226" t="str">
        <x:v>02_Supervisor_Log(4).xlsx</x:v>
      </x:c>
      <x:c r="Y226" t="str">
        <x:v>ENH-20260830-01</x:v>
      </x:c>
      <x:c r="Z226" t="str">
        <x:v>Active</x:v>
      </x:c>
      <x:c r="AA226"/>
      <x:c r="AB226"/>
      <x:c r="AC226"/>
      <x:c r="AD226"/>
    </x:row>
    <x:row r="227">
      <x:c r="A227" t="str">
        <x:v>PCC-PE-KG01-L21-20251022-PM-ORD-2025-00020-S10-C1</x:v>
      </x:c>
      <x:c r="B227" t="str">
        <x:v>PC-PE-KG01-L21-20251022-PM-ORD-2025-00020-S10</x:v>
      </x:c>
      <x:c r="C227" t="str">
        <x:v>PE-KG01-L21-20251022-PM-ORD-2025-00020</x:v>
      </x:c>
      <x:c r="D227" t="str">
        <x:v>KG01</x:v>
      </x:c>
      <x:c r="E227" s="62" t="n">
        <x:v>45952</x:v>
      </x:c>
      <x:c r="F227" t="str">
        <x:v>PM</x:v>
      </x:c>
      <x:c r="G227" t="str">
        <x:v>C</x:v>
      </x:c>
      <x:c r="H227" t="n">
        <x:v>21</x:v>
      </x:c>
      <x:c r="I227" t="str">
        <x:v>ORD-2025-00020</x:v>
      </x:c>
      <x:c r="J227" t="n">
        <x:v>10</x:v>
      </x:c>
      <x:c r="K227" t="n">
        <x:v>1</x:v>
      </x:c>
      <x:c r="L227" t="str">
        <x:v>L21-S10-C1</x:v>
      </x:c>
      <x:c r="M227" t="n">
        <x:v>1</x:v>
      </x:c>
      <x:c r="N227" t="str">
        <x:v>DerivedFromCount</x:v>
      </x:c>
      <x:c r="O227" t="str">
        <x:v>PLC-PRD-JAR-720-L21</x:v>
      </x:c>
      <x:c r="P227" t="str">
        <x:v>OK</x:v>
      </x:c>
      <x:c r="Q227" t="str">
        <x:v>OK</x:v>
      </x:c>
      <x:c r="R227" t="str">
        <x:v>OK</x:v>
      </x:c>
      <x:c r="S227" t="str">
        <x:v>OK</x:v>
      </x:c>
      <x:c r="T227" t="n">
        <x:v>20</x:v>
      </x:c>
      <x:c r="U227" t="str">
        <x:v>OK</x:v>
      </x:c>
      <x:c r="V227" t="str">
        <x:v>OK</x:v>
      </x:c>
      <x:c r="W227" t="str">
        <x:v>LOAD</x:v>
      </x:c>
      <x:c r="X227" t="str">
        <x:v>02_Supervisor_Log(4).xlsx</x:v>
      </x:c>
      <x:c r="Y227" t="str">
        <x:v>ENH-20260830-01</x:v>
      </x:c>
      <x:c r="Z227" t="str">
        <x:v>Active</x:v>
      </x:c>
      <x:c r="AA227"/>
      <x:c r="AB227"/>
      <x:c r="AC227"/>
      <x:c r="AD227"/>
    </x:row>
    <x:row r="228">
      <x:c r="A228" t="str">
        <x:v>PCC-PE-KG01-L21-20251022-PM-ORD-2025-00020-S10-C2</x:v>
      </x:c>
      <x:c r="B228" t="str">
        <x:v>PC-PE-KG01-L21-20251022-PM-ORD-2025-00020-S10</x:v>
      </x:c>
      <x:c r="C228" t="str">
        <x:v>PE-KG01-L21-20251022-PM-ORD-2025-00020</x:v>
      </x:c>
      <x:c r="D228" t="str">
        <x:v>KG01</x:v>
      </x:c>
      <x:c r="E228" s="62" t="n">
        <x:v>45952</x:v>
      </x:c>
      <x:c r="F228" t="str">
        <x:v>PM</x:v>
      </x:c>
      <x:c r="G228" t="str">
        <x:v>C</x:v>
      </x:c>
      <x:c r="H228" t="n">
        <x:v>21</x:v>
      </x:c>
      <x:c r="I228" t="str">
        <x:v>ORD-2025-00020</x:v>
      </x:c>
      <x:c r="J228" t="n">
        <x:v>10</x:v>
      </x:c>
      <x:c r="K228" t="n">
        <x:v>2</x:v>
      </x:c>
      <x:c r="L228" t="str">
        <x:v>L21-S10-C2</x:v>
      </x:c>
      <x:c r="M228" t="n">
        <x:v>1</x:v>
      </x:c>
      <x:c r="N228" t="str">
        <x:v>DerivedFromCount</x:v>
      </x:c>
      <x:c r="O228" t="str">
        <x:v>PLC-PRD-JAR-720-L21</x:v>
      </x:c>
      <x:c r="P228" t="str">
        <x:v>OK</x:v>
      </x:c>
      <x:c r="Q228" t="str">
        <x:v>OK</x:v>
      </x:c>
      <x:c r="R228" t="str">
        <x:v>OK</x:v>
      </x:c>
      <x:c r="S228" t="str">
        <x:v>OK</x:v>
      </x:c>
      <x:c r="T228" t="n">
        <x:v>20</x:v>
      </x:c>
      <x:c r="U228" t="str">
        <x:v>OK</x:v>
      </x:c>
      <x:c r="V228" t="str">
        <x:v>OK</x:v>
      </x:c>
      <x:c r="W228" t="str">
        <x:v>LOAD</x:v>
      </x:c>
      <x:c r="X228" t="str">
        <x:v>02_Supervisor_Log(4).xlsx</x:v>
      </x:c>
      <x:c r="Y228" t="str">
        <x:v>ENH-20260830-01</x:v>
      </x:c>
      <x:c r="Z228" t="str">
        <x:v>Active</x:v>
      </x:c>
      <x:c r="AA228"/>
      <x:c r="AB228"/>
      <x:c r="AC228"/>
      <x:c r="AD228"/>
    </x:row>
    <x:row r="229">
      <x:c r="A229" t="str">
        <x:v>PCC-PE-KG01-L21-20251022-PM-ORD-2025-00020-S10-C3</x:v>
      </x:c>
      <x:c r="B229" t="str">
        <x:v>PC-PE-KG01-L21-20251022-PM-ORD-2025-00020-S10</x:v>
      </x:c>
      <x:c r="C229" t="str">
        <x:v>PE-KG01-L21-20251022-PM-ORD-2025-00020</x:v>
      </x:c>
      <x:c r="D229" t="str">
        <x:v>KG01</x:v>
      </x:c>
      <x:c r="E229" s="62" t="n">
        <x:v>45952</x:v>
      </x:c>
      <x:c r="F229" t="str">
        <x:v>PM</x:v>
      </x:c>
      <x:c r="G229" t="str">
        <x:v>C</x:v>
      </x:c>
      <x:c r="H229" t="n">
        <x:v>21</x:v>
      </x:c>
      <x:c r="I229" t="str">
        <x:v>ORD-2025-00020</x:v>
      </x:c>
      <x:c r="J229" t="n">
        <x:v>10</x:v>
      </x:c>
      <x:c r="K229" t="n">
        <x:v>3</x:v>
      </x:c>
      <x:c r="L229" t="str">
        <x:v>L21-S10-C3</x:v>
      </x:c>
      <x:c r="M229" t="n">
        <x:v>0</x:v>
      </x:c>
      <x:c r="N229" t="str">
        <x:v>DerivedFromCount</x:v>
      </x:c>
      <x:c r="O229" t="str">
        <x:v>PLC-PRD-JAR-720-L21</x:v>
      </x:c>
      <x:c r="P229" t="str">
        <x:v>OK</x:v>
      </x:c>
      <x:c r="Q229" t="str">
        <x:v>OK</x:v>
      </x:c>
      <x:c r="R229" t="str">
        <x:v>OK</x:v>
      </x:c>
      <x:c r="S229" t="str">
        <x:v>OK</x:v>
      </x:c>
      <x:c r="T229" t="n">
        <x:v>20</x:v>
      </x:c>
      <x:c r="U229" t="str">
        <x:v>OK</x:v>
      </x:c>
      <x:c r="V229" t="str">
        <x:v>OK</x:v>
      </x:c>
      <x:c r="W229" t="str">
        <x:v>LOAD</x:v>
      </x:c>
      <x:c r="X229" t="str">
        <x:v>02_Supervisor_Log(4).xlsx</x:v>
      </x:c>
      <x:c r="Y229" t="str">
        <x:v>ENH-20260830-01</x:v>
      </x:c>
      <x:c r="Z229" t="str">
        <x:v>Active</x:v>
      </x:c>
      <x:c r="AA229"/>
      <x:c r="AB229"/>
      <x:c r="AC229"/>
      <x:c r="AD229"/>
    </x:row>
    <x:row r="230">
      <x:c r="A230" t="str">
        <x:v>PCC-PE-KG01-L21-20251022-PM-ORD-2025-00020-S11-C1</x:v>
      </x:c>
      <x:c r="B230" t="str">
        <x:v>PC-PE-KG01-L21-20251022-PM-ORD-2025-00020-S11</x:v>
      </x:c>
      <x:c r="C230" t="str">
        <x:v>PE-KG01-L21-20251022-PM-ORD-2025-00020</x:v>
      </x:c>
      <x:c r="D230" t="str">
        <x:v>KG01</x:v>
      </x:c>
      <x:c r="E230" s="62" t="n">
        <x:v>45952</x:v>
      </x:c>
      <x:c r="F230" t="str">
        <x:v>PM</x:v>
      </x:c>
      <x:c r="G230" t="str">
        <x:v>C</x:v>
      </x:c>
      <x:c r="H230" t="n">
        <x:v>21</x:v>
      </x:c>
      <x:c r="I230" t="str">
        <x:v>ORD-2025-00020</x:v>
      </x:c>
      <x:c r="J230" t="n">
        <x:v>11</x:v>
      </x:c>
      <x:c r="K230" t="n">
        <x:v>1</x:v>
      </x:c>
      <x:c r="L230" t="str">
        <x:v>L21-S11-C1</x:v>
      </x:c>
      <x:c r="M230" t="n">
        <x:v>0</x:v>
      </x:c>
      <x:c r="N230" t="str">
        <x:v>DerivedFromCount</x:v>
      </x:c>
      <x:c r="O230" t="str">
        <x:v>PLC-PRD-JAR-720-L21</x:v>
      </x:c>
      <x:c r="P230" t="str">
        <x:v>OK</x:v>
      </x:c>
      <x:c r="Q230" t="str">
        <x:v>OK</x:v>
      </x:c>
      <x:c r="R230" t="str">
        <x:v>OK</x:v>
      </x:c>
      <x:c r="S230" t="str">
        <x:v>OK</x:v>
      </x:c>
      <x:c r="T230" t="n">
        <x:v>20</x:v>
      </x:c>
      <x:c r="U230" t="str">
        <x:v>OK</x:v>
      </x:c>
      <x:c r="V230" t="str">
        <x:v>OK</x:v>
      </x:c>
      <x:c r="W230" t="str">
        <x:v>LOAD</x:v>
      </x:c>
      <x:c r="X230" t="str">
        <x:v>02_Supervisor_Log(4).xlsx</x:v>
      </x:c>
      <x:c r="Y230" t="str">
        <x:v>ENH-20260830-01</x:v>
      </x:c>
      <x:c r="Z230" t="str">
        <x:v>Active</x:v>
      </x:c>
      <x:c r="AA230"/>
      <x:c r="AB230"/>
      <x:c r="AC230"/>
      <x:c r="AD230"/>
    </x:row>
    <x:row r="231">
      <x:c r="A231" t="str">
        <x:v>PCC-PE-KG01-L21-20251022-PM-ORD-2025-00020-S11-C2</x:v>
      </x:c>
      <x:c r="B231" t="str">
        <x:v>PC-PE-KG01-L21-20251022-PM-ORD-2025-00020-S11</x:v>
      </x:c>
      <x:c r="C231" t="str">
        <x:v>PE-KG01-L21-20251022-PM-ORD-2025-00020</x:v>
      </x:c>
      <x:c r="D231" t="str">
        <x:v>KG01</x:v>
      </x:c>
      <x:c r="E231" s="62" t="n">
        <x:v>45952</x:v>
      </x:c>
      <x:c r="F231" t="str">
        <x:v>PM</x:v>
      </x:c>
      <x:c r="G231" t="str">
        <x:v>C</x:v>
      </x:c>
      <x:c r="H231" t="n">
        <x:v>21</x:v>
      </x:c>
      <x:c r="I231" t="str">
        <x:v>ORD-2025-00020</x:v>
      </x:c>
      <x:c r="J231" t="n">
        <x:v>11</x:v>
      </x:c>
      <x:c r="K231" t="n">
        <x:v>2</x:v>
      </x:c>
      <x:c r="L231" t="str">
        <x:v>L21-S11-C2</x:v>
      </x:c>
      <x:c r="M231" t="n">
        <x:v>0</x:v>
      </x:c>
      <x:c r="N231" t="str">
        <x:v>DerivedFromCount</x:v>
      </x:c>
      <x:c r="O231" t="str">
        <x:v>PLC-PRD-JAR-720-L21</x:v>
      </x:c>
      <x:c r="P231" t="str">
        <x:v>OK</x:v>
      </x:c>
      <x:c r="Q231" t="str">
        <x:v>OK</x:v>
      </x:c>
      <x:c r="R231" t="str">
        <x:v>OK</x:v>
      </x:c>
      <x:c r="S231" t="str">
        <x:v>OK</x:v>
      </x:c>
      <x:c r="T231" t="n">
        <x:v>20</x:v>
      </x:c>
      <x:c r="U231" t="str">
        <x:v>OK</x:v>
      </x:c>
      <x:c r="V231" t="str">
        <x:v>OK</x:v>
      </x:c>
      <x:c r="W231" t="str">
        <x:v>LOAD</x:v>
      </x:c>
      <x:c r="X231" t="str">
        <x:v>02_Supervisor_Log(4).xlsx</x:v>
      </x:c>
      <x:c r="Y231" t="str">
        <x:v>ENH-20260830-01</x:v>
      </x:c>
      <x:c r="Z231" t="str">
        <x:v>Active</x:v>
      </x:c>
      <x:c r="AA231"/>
      <x:c r="AB231"/>
      <x:c r="AC231"/>
      <x:c r="AD231"/>
    </x:row>
    <x:row r="232">
      <x:c r="A232" t="str">
        <x:v>PCC-PE-KG01-L21-20251022-PM-ORD-2025-00020-S11-C3</x:v>
      </x:c>
      <x:c r="B232" t="str">
        <x:v>PC-PE-KG01-L21-20251022-PM-ORD-2025-00020-S11</x:v>
      </x:c>
      <x:c r="C232" t="str">
        <x:v>PE-KG01-L21-20251022-PM-ORD-2025-00020</x:v>
      </x:c>
      <x:c r="D232" t="str">
        <x:v>KG01</x:v>
      </x:c>
      <x:c r="E232" s="62" t="n">
        <x:v>45952</x:v>
      </x:c>
      <x:c r="F232" t="str">
        <x:v>PM</x:v>
      </x:c>
      <x:c r="G232" t="str">
        <x:v>C</x:v>
      </x:c>
      <x:c r="H232" t="n">
        <x:v>21</x:v>
      </x:c>
      <x:c r="I232" t="str">
        <x:v>ORD-2025-00020</x:v>
      </x:c>
      <x:c r="J232" t="n">
        <x:v>11</x:v>
      </x:c>
      <x:c r="K232" t="n">
        <x:v>3</x:v>
      </x:c>
      <x:c r="L232" t="str">
        <x:v>L21-S11-C3</x:v>
      </x:c>
      <x:c r="M232" t="n">
        <x:v>0</x:v>
      </x:c>
      <x:c r="N232" t="str">
        <x:v>DerivedFromCount</x:v>
      </x:c>
      <x:c r="O232" t="str">
        <x:v>PLC-PRD-JAR-720-L21</x:v>
      </x:c>
      <x:c r="P232" t="str">
        <x:v>OK</x:v>
      </x:c>
      <x:c r="Q232" t="str">
        <x:v>OK</x:v>
      </x:c>
      <x:c r="R232" t="str">
        <x:v>OK</x:v>
      </x:c>
      <x:c r="S232" t="str">
        <x:v>OK</x:v>
      </x:c>
      <x:c r="T232" t="n">
        <x:v>20</x:v>
      </x:c>
      <x:c r="U232" t="str">
        <x:v>OK</x:v>
      </x:c>
      <x:c r="V232" t="str">
        <x:v>OK</x:v>
      </x:c>
      <x:c r="W232" t="str">
        <x:v>LOAD</x:v>
      </x:c>
      <x:c r="X232" t="str">
        <x:v>02_Supervisor_Log(4).xlsx</x:v>
      </x:c>
      <x:c r="Y232" t="str">
        <x:v>ENH-20260830-01</x:v>
      </x:c>
      <x:c r="Z232" t="str">
        <x:v>Active</x:v>
      </x:c>
      <x:c r="AA232"/>
      <x:c r="AB232"/>
      <x:c r="AC232"/>
      <x:c r="AD232"/>
    </x:row>
    <x:row r="233">
      <x:c r="A233" t="str">
        <x:v>PCC-PE-KG01-L21-20251022-PM-ORD-2025-00020-S12-C1</x:v>
      </x:c>
      <x:c r="B233" t="str">
        <x:v>PC-PE-KG01-L21-20251022-PM-ORD-2025-00020-S12</x:v>
      </x:c>
      <x:c r="C233" t="str">
        <x:v>PE-KG01-L21-20251022-PM-ORD-2025-00020</x:v>
      </x:c>
      <x:c r="D233" t="str">
        <x:v>KG01</x:v>
      </x:c>
      <x:c r="E233" s="62" t="n">
        <x:v>45952</x:v>
      </x:c>
      <x:c r="F233" t="str">
        <x:v>PM</x:v>
      </x:c>
      <x:c r="G233" t="str">
        <x:v>C</x:v>
      </x:c>
      <x:c r="H233" t="n">
        <x:v>21</x:v>
      </x:c>
      <x:c r="I233" t="str">
        <x:v>ORD-2025-00020</x:v>
      </x:c>
      <x:c r="J233" t="n">
        <x:v>12</x:v>
      </x:c>
      <x:c r="K233" t="n">
        <x:v>1</x:v>
      </x:c>
      <x:c r="L233" t="str">
        <x:v>L21-S12-C1</x:v>
      </x:c>
      <x:c r="M233" t="n">
        <x:v>0</x:v>
      </x:c>
      <x:c r="N233" t="str">
        <x:v>DerivedFromCount</x:v>
      </x:c>
      <x:c r="O233" t="str">
        <x:v>PLC-PRD-JAR-720-L21</x:v>
      </x:c>
      <x:c r="P233" t="str">
        <x:v>OK</x:v>
      </x:c>
      <x:c r="Q233" t="str">
        <x:v>OK</x:v>
      </x:c>
      <x:c r="R233" t="str">
        <x:v>OK</x:v>
      </x:c>
      <x:c r="S233" t="str">
        <x:v>OK</x:v>
      </x:c>
      <x:c r="T233" t="n">
        <x:v>20</x:v>
      </x:c>
      <x:c r="U233" t="str">
        <x:v>OK</x:v>
      </x:c>
      <x:c r="V233" t="str">
        <x:v>OK</x:v>
      </x:c>
      <x:c r="W233" t="str">
        <x:v>LOAD</x:v>
      </x:c>
      <x:c r="X233" t="str">
        <x:v>02_Supervisor_Log(4).xlsx</x:v>
      </x:c>
      <x:c r="Y233" t="str">
        <x:v>ENH-20260830-01</x:v>
      </x:c>
      <x:c r="Z233" t="str">
        <x:v>Active</x:v>
      </x:c>
      <x:c r="AA233"/>
      <x:c r="AB233"/>
      <x:c r="AC233"/>
      <x:c r="AD233"/>
    </x:row>
    <x:row r="234">
      <x:c r="A234" t="str">
        <x:v>PCC-PE-KG01-L21-20251022-PM-ORD-2025-00020-S12-C2</x:v>
      </x:c>
      <x:c r="B234" t="str">
        <x:v>PC-PE-KG01-L21-20251022-PM-ORD-2025-00020-S12</x:v>
      </x:c>
      <x:c r="C234" t="str">
        <x:v>PE-KG01-L21-20251022-PM-ORD-2025-00020</x:v>
      </x:c>
      <x:c r="D234" t="str">
        <x:v>KG01</x:v>
      </x:c>
      <x:c r="E234" s="62" t="n">
        <x:v>45952</x:v>
      </x:c>
      <x:c r="F234" t="str">
        <x:v>PM</x:v>
      </x:c>
      <x:c r="G234" t="str">
        <x:v>C</x:v>
      </x:c>
      <x:c r="H234" t="n">
        <x:v>21</x:v>
      </x:c>
      <x:c r="I234" t="str">
        <x:v>ORD-2025-00020</x:v>
      </x:c>
      <x:c r="J234" t="n">
        <x:v>12</x:v>
      </x:c>
      <x:c r="K234" t="n">
        <x:v>2</x:v>
      </x:c>
      <x:c r="L234" t="str">
        <x:v>L21-S12-C2</x:v>
      </x:c>
      <x:c r="M234" t="n">
        <x:v>0</x:v>
      </x:c>
      <x:c r="N234" t="str">
        <x:v>DerivedFromCount</x:v>
      </x:c>
      <x:c r="O234" t="str">
        <x:v>PLC-PRD-JAR-720-L21</x:v>
      </x:c>
      <x:c r="P234" t="str">
        <x:v>OK</x:v>
      </x:c>
      <x:c r="Q234" t="str">
        <x:v>OK</x:v>
      </x:c>
      <x:c r="R234" t="str">
        <x:v>OK</x:v>
      </x:c>
      <x:c r="S234" t="str">
        <x:v>OK</x:v>
      </x:c>
      <x:c r="T234" t="n">
        <x:v>20</x:v>
      </x:c>
      <x:c r="U234" t="str">
        <x:v>OK</x:v>
      </x:c>
      <x:c r="V234" t="str">
        <x:v>OK</x:v>
      </x:c>
      <x:c r="W234" t="str">
        <x:v>LOAD</x:v>
      </x:c>
      <x:c r="X234" t="str">
        <x:v>02_Supervisor_Log(4).xlsx</x:v>
      </x:c>
      <x:c r="Y234" t="str">
        <x:v>ENH-20260830-01</x:v>
      </x:c>
      <x:c r="Z234" t="str">
        <x:v>Active</x:v>
      </x:c>
      <x:c r="AA234"/>
      <x:c r="AB234"/>
      <x:c r="AC234"/>
      <x:c r="AD234"/>
    </x:row>
    <x:row r="235">
      <x:c r="A235" t="str">
        <x:v>PCC-PE-KG01-L21-20251022-PM-ORD-2025-00020-S12-C3</x:v>
      </x:c>
      <x:c r="B235" t="str">
        <x:v>PC-PE-KG01-L21-20251022-PM-ORD-2025-00020-S12</x:v>
      </x:c>
      <x:c r="C235" t="str">
        <x:v>PE-KG01-L21-20251022-PM-ORD-2025-00020</x:v>
      </x:c>
      <x:c r="D235" t="str">
        <x:v>KG01</x:v>
      </x:c>
      <x:c r="E235" s="62" t="n">
        <x:v>45952</x:v>
      </x:c>
      <x:c r="F235" t="str">
        <x:v>PM</x:v>
      </x:c>
      <x:c r="G235" t="str">
        <x:v>C</x:v>
      </x:c>
      <x:c r="H235" t="n">
        <x:v>21</x:v>
      </x:c>
      <x:c r="I235" t="str">
        <x:v>ORD-2025-00020</x:v>
      </x:c>
      <x:c r="J235" t="n">
        <x:v>12</x:v>
      </x:c>
      <x:c r="K235" t="n">
        <x:v>3</x:v>
      </x:c>
      <x:c r="L235" t="str">
        <x:v>L21-S12-C3</x:v>
      </x:c>
      <x:c r="M235" t="n">
        <x:v>0</x:v>
      </x:c>
      <x:c r="N235" t="str">
        <x:v>DerivedFromCount</x:v>
      </x:c>
      <x:c r="O235" t="str">
        <x:v>PLC-PRD-JAR-720-L21</x:v>
      </x:c>
      <x:c r="P235" t="str">
        <x:v>OK</x:v>
      </x:c>
      <x:c r="Q235" t="str">
        <x:v>OK</x:v>
      </x:c>
      <x:c r="R235" t="str">
        <x:v>OK</x:v>
      </x:c>
      <x:c r="S235" t="str">
        <x:v>OK</x:v>
      </x:c>
      <x:c r="T235" t="n">
        <x:v>20</x:v>
      </x:c>
      <x:c r="U235" t="str">
        <x:v>OK</x:v>
      </x:c>
      <x:c r="V235" t="str">
        <x:v>OK</x:v>
      </x:c>
      <x:c r="W235" t="str">
        <x:v>LOAD</x:v>
      </x:c>
      <x:c r="X235" t="str">
        <x:v>02_Supervisor_Log(4).xlsx</x:v>
      </x:c>
      <x:c r="Y235" t="str">
        <x:v>ENH-20260830-01</x:v>
      </x:c>
      <x:c r="Z235" t="str">
        <x:v>Active</x:v>
      </x:c>
      <x:c r="AA235"/>
      <x:c r="AB235"/>
      <x:c r="AC235"/>
      <x:c r="AD235"/>
    </x:row>
    <x:row r="236">
      <x:c r="A236" t="str">
        <x:v>PCC-PE-KG01-L21-20251022-PM-ORD-2025-00020-S13-C1</x:v>
      </x:c>
      <x:c r="B236" t="str">
        <x:v>PC-PE-KG01-L21-20251022-PM-ORD-2025-00020-S13</x:v>
      </x:c>
      <x:c r="C236" t="str">
        <x:v>PE-KG01-L21-20251022-PM-ORD-2025-00020</x:v>
      </x:c>
      <x:c r="D236" t="str">
        <x:v>KG01</x:v>
      </x:c>
      <x:c r="E236" s="62" t="n">
        <x:v>45952</x:v>
      </x:c>
      <x:c r="F236" t="str">
        <x:v>PM</x:v>
      </x:c>
      <x:c r="G236" t="str">
        <x:v>C</x:v>
      </x:c>
      <x:c r="H236" t="n">
        <x:v>21</x:v>
      </x:c>
      <x:c r="I236" t="str">
        <x:v>ORD-2025-00020</x:v>
      </x:c>
      <x:c r="J236" t="n">
        <x:v>13</x:v>
      </x:c>
      <x:c r="K236" t="n">
        <x:v>1</x:v>
      </x:c>
      <x:c r="L236" t="str">
        <x:v>L21-S13-C1</x:v>
      </x:c>
      <x:c r="M236" t="n">
        <x:v>0</x:v>
      </x:c>
      <x:c r="N236" t="str">
        <x:v>DerivedFromCount</x:v>
      </x:c>
      <x:c r="O236" t="str">
        <x:v>PLC-PRD-JAR-720-L21</x:v>
      </x:c>
      <x:c r="P236" t="str">
        <x:v>OK</x:v>
      </x:c>
      <x:c r="Q236" t="str">
        <x:v>OK</x:v>
      </x:c>
      <x:c r="R236" t="str">
        <x:v>OK</x:v>
      </x:c>
      <x:c r="S236" t="str">
        <x:v>OK</x:v>
      </x:c>
      <x:c r="T236" t="n">
        <x:v>20</x:v>
      </x:c>
      <x:c r="U236" t="str">
        <x:v>OK</x:v>
      </x:c>
      <x:c r="V236" t="str">
        <x:v>OK</x:v>
      </x:c>
      <x:c r="W236" t="str">
        <x:v>LOAD</x:v>
      </x:c>
      <x:c r="X236" t="str">
        <x:v>02_Supervisor_Log(4).xlsx</x:v>
      </x:c>
      <x:c r="Y236" t="str">
        <x:v>ENH-20260830-01</x:v>
      </x:c>
      <x:c r="Z236" t="str">
        <x:v>Active</x:v>
      </x:c>
      <x:c r="AA236"/>
      <x:c r="AB236"/>
      <x:c r="AC236"/>
      <x:c r="AD236"/>
    </x:row>
    <x:row r="237">
      <x:c r="A237" t="str">
        <x:v>PCC-PE-KG01-L21-20251022-PM-ORD-2025-00020-S13-C2</x:v>
      </x:c>
      <x:c r="B237" t="str">
        <x:v>PC-PE-KG01-L21-20251022-PM-ORD-2025-00020-S13</x:v>
      </x:c>
      <x:c r="C237" t="str">
        <x:v>PE-KG01-L21-20251022-PM-ORD-2025-00020</x:v>
      </x:c>
      <x:c r="D237" t="str">
        <x:v>KG01</x:v>
      </x:c>
      <x:c r="E237" s="62" t="n">
        <x:v>45952</x:v>
      </x:c>
      <x:c r="F237" t="str">
        <x:v>PM</x:v>
      </x:c>
      <x:c r="G237" t="str">
        <x:v>C</x:v>
      </x:c>
      <x:c r="H237" t="n">
        <x:v>21</x:v>
      </x:c>
      <x:c r="I237" t="str">
        <x:v>ORD-2025-00020</x:v>
      </x:c>
      <x:c r="J237" t="n">
        <x:v>13</x:v>
      </x:c>
      <x:c r="K237" t="n">
        <x:v>2</x:v>
      </x:c>
      <x:c r="L237" t="str">
        <x:v>L21-S13-C2</x:v>
      </x:c>
      <x:c r="M237" t="n">
        <x:v>0</x:v>
      </x:c>
      <x:c r="N237" t="str">
        <x:v>DerivedFromCount</x:v>
      </x:c>
      <x:c r="O237" t="str">
        <x:v>PLC-PRD-JAR-720-L21</x:v>
      </x:c>
      <x:c r="P237" t="str">
        <x:v>OK</x:v>
      </x:c>
      <x:c r="Q237" t="str">
        <x:v>OK</x:v>
      </x:c>
      <x:c r="R237" t="str">
        <x:v>OK</x:v>
      </x:c>
      <x:c r="S237" t="str">
        <x:v>OK</x:v>
      </x:c>
      <x:c r="T237" t="n">
        <x:v>20</x:v>
      </x:c>
      <x:c r="U237" t="str">
        <x:v>OK</x:v>
      </x:c>
      <x:c r="V237" t="str">
        <x:v>OK</x:v>
      </x:c>
      <x:c r="W237" t="str">
        <x:v>LOAD</x:v>
      </x:c>
      <x:c r="X237" t="str">
        <x:v>02_Supervisor_Log(4).xlsx</x:v>
      </x:c>
      <x:c r="Y237" t="str">
        <x:v>ENH-20260830-01</x:v>
      </x:c>
      <x:c r="Z237" t="str">
        <x:v>Active</x:v>
      </x:c>
      <x:c r="AA237"/>
      <x:c r="AB237"/>
      <x:c r="AC237"/>
      <x:c r="AD237"/>
    </x:row>
    <x:row r="238">
      <x:c r="A238" t="str">
        <x:v>PCC-PE-KG01-L21-20251022-PM-ORD-2025-00020-S13-C3</x:v>
      </x:c>
      <x:c r="B238" t="str">
        <x:v>PC-PE-KG01-L21-20251022-PM-ORD-2025-00020-S13</x:v>
      </x:c>
      <x:c r="C238" t="str">
        <x:v>PE-KG01-L21-20251022-PM-ORD-2025-00020</x:v>
      </x:c>
      <x:c r="D238" t="str">
        <x:v>KG01</x:v>
      </x:c>
      <x:c r="E238" s="62" t="n">
        <x:v>45952</x:v>
      </x:c>
      <x:c r="F238" t="str">
        <x:v>PM</x:v>
      </x:c>
      <x:c r="G238" t="str">
        <x:v>C</x:v>
      </x:c>
      <x:c r="H238" t="n">
        <x:v>21</x:v>
      </x:c>
      <x:c r="I238" t="str">
        <x:v>ORD-2025-00020</x:v>
      </x:c>
      <x:c r="J238" t="n">
        <x:v>13</x:v>
      </x:c>
      <x:c r="K238" t="n">
        <x:v>3</x:v>
      </x:c>
      <x:c r="L238" t="str">
        <x:v>L21-S13-C3</x:v>
      </x:c>
      <x:c r="M238" t="n">
        <x:v>0</x:v>
      </x:c>
      <x:c r="N238" t="str">
        <x:v>DerivedFromCount</x:v>
      </x:c>
      <x:c r="O238" t="str">
        <x:v>PLC-PRD-JAR-720-L21</x:v>
      </x:c>
      <x:c r="P238" t="str">
        <x:v>OK</x:v>
      </x:c>
      <x:c r="Q238" t="str">
        <x:v>OK</x:v>
      </x:c>
      <x:c r="R238" t="str">
        <x:v>OK</x:v>
      </x:c>
      <x:c r="S238" t="str">
        <x:v>OK</x:v>
      </x:c>
      <x:c r="T238" t="n">
        <x:v>20</x:v>
      </x:c>
      <x:c r="U238" t="str">
        <x:v>OK</x:v>
      </x:c>
      <x:c r="V238" t="str">
        <x:v>OK</x:v>
      </x:c>
      <x:c r="W238" t="str">
        <x:v>LOAD</x:v>
      </x:c>
      <x:c r="X238" t="str">
        <x:v>02_Supervisor_Log(4).xlsx</x:v>
      </x:c>
      <x:c r="Y238" t="str">
        <x:v>ENH-20260830-01</x:v>
      </x:c>
      <x:c r="Z238" t="str">
        <x:v>Active</x:v>
      </x:c>
      <x:c r="AA238"/>
      <x:c r="AB238"/>
      <x:c r="AC238"/>
      <x:c r="AD238"/>
    </x:row>
    <x:row r="239">
      <x:c r="A239" t="str">
        <x:v>PCC-PE-KG01-L21-20251023-AM-ORD-2025-00020-S01-C1</x:v>
      </x:c>
      <x:c r="B239" t="str">
        <x:v>PC-PE-KG01-L21-20251023-AM-ORD-2025-00020-S01</x:v>
      </x:c>
      <x:c r="C239" t="str">
        <x:v>PE-KG01-L21-20251023-AM-ORD-2025-00020</x:v>
      </x:c>
      <x:c r="D239" t="str">
        <x:v>KG01</x:v>
      </x:c>
      <x:c r="E239" s="62" t="n">
        <x:v>45953</x:v>
      </x:c>
      <x:c r="F239" t="str">
        <x:v>AM</x:v>
      </x:c>
      <x:c r="G239" t="str">
        <x:v>C</x:v>
      </x:c>
      <x:c r="H239" t="n">
        <x:v>21</x:v>
      </x:c>
      <x:c r="I239" t="str">
        <x:v>ORD-2025-00020</x:v>
      </x:c>
      <x:c r="J239" t="n">
        <x:v>1</x:v>
      </x:c>
      <x:c r="K239" t="n">
        <x:v>1</x:v>
      </x:c>
      <x:c r="L239" t="str">
        <x:v>L21-S01-C1</x:v>
      </x:c>
      <x:c r="M239" t="n">
        <x:v>1</x:v>
      </x:c>
      <x:c r="N239" t="str">
        <x:v>DerivedFromCount</x:v>
      </x:c>
      <x:c r="O239" t="str">
        <x:v>PLC-PRD-JAR-720-L21</x:v>
      </x:c>
      <x:c r="P239" t="str">
        <x:v>OK</x:v>
      </x:c>
      <x:c r="Q239" t="str">
        <x:v>OK</x:v>
      </x:c>
      <x:c r="R239" t="str">
        <x:v>OK</x:v>
      </x:c>
      <x:c r="S239" t="str">
        <x:v>OK</x:v>
      </x:c>
      <x:c r="T239" t="n">
        <x:v>20</x:v>
      </x:c>
      <x:c r="U239" t="str">
        <x:v>OK</x:v>
      </x:c>
      <x:c r="V239" t="str">
        <x:v>OK</x:v>
      </x:c>
      <x:c r="W239" t="str">
        <x:v>LOAD</x:v>
      </x:c>
      <x:c r="X239" t="str">
        <x:v>02_Supervisor_Log(4).xlsx</x:v>
      </x:c>
      <x:c r="Y239" t="str">
        <x:v>ENH-20260830-01</x:v>
      </x:c>
      <x:c r="Z239" t="str">
        <x:v>Active</x:v>
      </x:c>
      <x:c r="AA239"/>
      <x:c r="AB239"/>
      <x:c r="AC239"/>
      <x:c r="AD239"/>
    </x:row>
    <x:row r="240">
      <x:c r="A240" t="str">
        <x:v>PCC-PE-KG01-L21-20251023-AM-ORD-2025-00020-S01-C2</x:v>
      </x:c>
      <x:c r="B240" t="str">
        <x:v>PC-PE-KG01-L21-20251023-AM-ORD-2025-00020-S01</x:v>
      </x:c>
      <x:c r="C240" t="str">
        <x:v>PE-KG01-L21-20251023-AM-ORD-2025-00020</x:v>
      </x:c>
      <x:c r="D240" t="str">
        <x:v>KG01</x:v>
      </x:c>
      <x:c r="E240" s="62" t="n">
        <x:v>45953</x:v>
      </x:c>
      <x:c r="F240" t="str">
        <x:v>AM</x:v>
      </x:c>
      <x:c r="G240" t="str">
        <x:v>C</x:v>
      </x:c>
      <x:c r="H240" t="n">
        <x:v>21</x:v>
      </x:c>
      <x:c r="I240" t="str">
        <x:v>ORD-2025-00020</x:v>
      </x:c>
      <x:c r="J240" t="n">
        <x:v>1</x:v>
      </x:c>
      <x:c r="K240" t="n">
        <x:v>2</x:v>
      </x:c>
      <x:c r="L240" t="str">
        <x:v>L21-S01-C2</x:v>
      </x:c>
      <x:c r="M240" t="n">
        <x:v>1</x:v>
      </x:c>
      <x:c r="N240" t="str">
        <x:v>DerivedFromCount</x:v>
      </x:c>
      <x:c r="O240" t="str">
        <x:v>PLC-PRD-JAR-720-L21</x:v>
      </x:c>
      <x:c r="P240" t="str">
        <x:v>OK</x:v>
      </x:c>
      <x:c r="Q240" t="str">
        <x:v>OK</x:v>
      </x:c>
      <x:c r="R240" t="str">
        <x:v>OK</x:v>
      </x:c>
      <x:c r="S240" t="str">
        <x:v>OK</x:v>
      </x:c>
      <x:c r="T240" t="n">
        <x:v>20</x:v>
      </x:c>
      <x:c r="U240" t="str">
        <x:v>OK</x:v>
      </x:c>
      <x:c r="V240" t="str">
        <x:v>OK</x:v>
      </x:c>
      <x:c r="W240" t="str">
        <x:v>LOAD</x:v>
      </x:c>
      <x:c r="X240" t="str">
        <x:v>02_Supervisor_Log(4).xlsx</x:v>
      </x:c>
      <x:c r="Y240" t="str">
        <x:v>ENH-20260830-01</x:v>
      </x:c>
      <x:c r="Z240" t="str">
        <x:v>Active</x:v>
      </x:c>
      <x:c r="AA240"/>
      <x:c r="AB240"/>
      <x:c r="AC240"/>
      <x:c r="AD240"/>
    </x:row>
    <x:row r="241">
      <x:c r="A241" t="str">
        <x:v>PCC-PE-KG01-L21-20251023-AM-ORD-2025-00020-S01-C3</x:v>
      </x:c>
      <x:c r="B241" t="str">
        <x:v>PC-PE-KG01-L21-20251023-AM-ORD-2025-00020-S01</x:v>
      </x:c>
      <x:c r="C241" t="str">
        <x:v>PE-KG01-L21-20251023-AM-ORD-2025-00020</x:v>
      </x:c>
      <x:c r="D241" t="str">
        <x:v>KG01</x:v>
      </x:c>
      <x:c r="E241" s="62" t="n">
        <x:v>45953</x:v>
      </x:c>
      <x:c r="F241" t="str">
        <x:v>AM</x:v>
      </x:c>
      <x:c r="G241" t="str">
        <x:v>C</x:v>
      </x:c>
      <x:c r="H241" t="n">
        <x:v>21</x:v>
      </x:c>
      <x:c r="I241" t="str">
        <x:v>ORD-2025-00020</x:v>
      </x:c>
      <x:c r="J241" t="n">
        <x:v>1</x:v>
      </x:c>
      <x:c r="K241" t="n">
        <x:v>3</x:v>
      </x:c>
      <x:c r="L241" t="str">
        <x:v>L21-S01-C3</x:v>
      </x:c>
      <x:c r="M241" t="n">
        <x:v>0</x:v>
      </x:c>
      <x:c r="N241" t="str">
        <x:v>DerivedFromCount</x:v>
      </x:c>
      <x:c r="O241" t="str">
        <x:v>PLC-PRD-JAR-720-L21</x:v>
      </x:c>
      <x:c r="P241" t="str">
        <x:v>OK</x:v>
      </x:c>
      <x:c r="Q241" t="str">
        <x:v>OK</x:v>
      </x:c>
      <x:c r="R241" t="str">
        <x:v>OK</x:v>
      </x:c>
      <x:c r="S241" t="str">
        <x:v>OK</x:v>
      </x:c>
      <x:c r="T241" t="n">
        <x:v>20</x:v>
      </x:c>
      <x:c r="U241" t="str">
        <x:v>OK</x:v>
      </x:c>
      <x:c r="V241" t="str">
        <x:v>OK</x:v>
      </x:c>
      <x:c r="W241" t="str">
        <x:v>LOAD</x:v>
      </x:c>
      <x:c r="X241" t="str">
        <x:v>02_Supervisor_Log(4).xlsx</x:v>
      </x:c>
      <x:c r="Y241" t="str">
        <x:v>ENH-20260830-01</x:v>
      </x:c>
      <x:c r="Z241" t="str">
        <x:v>Active</x:v>
      </x:c>
      <x:c r="AA241"/>
      <x:c r="AB241"/>
      <x:c r="AC241"/>
      <x:c r="AD241"/>
    </x:row>
    <x:row r="242">
      <x:c r="A242" t="str">
        <x:v>PCC-PE-KG01-L21-20251023-AM-ORD-2025-00020-S02-C1</x:v>
      </x:c>
      <x:c r="B242" t="str">
        <x:v>PC-PE-KG01-L21-20251023-AM-ORD-2025-00020-S02</x:v>
      </x:c>
      <x:c r="C242" t="str">
        <x:v>PE-KG01-L21-20251023-AM-ORD-2025-00020</x:v>
      </x:c>
      <x:c r="D242" t="str">
        <x:v>KG01</x:v>
      </x:c>
      <x:c r="E242" s="62" t="n">
        <x:v>45953</x:v>
      </x:c>
      <x:c r="F242" t="str">
        <x:v>AM</x:v>
      </x:c>
      <x:c r="G242" t="str">
        <x:v>C</x:v>
      </x:c>
      <x:c r="H242" t="n">
        <x:v>21</x:v>
      </x:c>
      <x:c r="I242" t="str">
        <x:v>ORD-2025-00020</x:v>
      </x:c>
      <x:c r="J242" t="n">
        <x:v>2</x:v>
      </x:c>
      <x:c r="K242" t="n">
        <x:v>1</x:v>
      </x:c>
      <x:c r="L242" t="str">
        <x:v>L21-S02-C1</x:v>
      </x:c>
      <x:c r="M242" t="n">
        <x:v>1</x:v>
      </x:c>
      <x:c r="N242" t="str">
        <x:v>DerivedFromCount</x:v>
      </x:c>
      <x:c r="O242" t="str">
        <x:v>PLC-PRD-JAR-720-L21</x:v>
      </x:c>
      <x:c r="P242" t="str">
        <x:v>OK</x:v>
      </x:c>
      <x:c r="Q242" t="str">
        <x:v>OK</x:v>
      </x:c>
      <x:c r="R242" t="str">
        <x:v>OK</x:v>
      </x:c>
      <x:c r="S242" t="str">
        <x:v>OK</x:v>
      </x:c>
      <x:c r="T242" t="n">
        <x:v>20</x:v>
      </x:c>
      <x:c r="U242" t="str">
        <x:v>OK</x:v>
      </x:c>
      <x:c r="V242" t="str">
        <x:v>OK</x:v>
      </x:c>
      <x:c r="W242" t="str">
        <x:v>LOAD</x:v>
      </x:c>
      <x:c r="X242" t="str">
        <x:v>02_Supervisor_Log(4).xlsx</x:v>
      </x:c>
      <x:c r="Y242" t="str">
        <x:v>ENH-20260830-01</x:v>
      </x:c>
      <x:c r="Z242" t="str">
        <x:v>Active</x:v>
      </x:c>
      <x:c r="AA242"/>
      <x:c r="AB242"/>
      <x:c r="AC242"/>
      <x:c r="AD242"/>
    </x:row>
    <x:row r="243">
      <x:c r="A243" t="str">
        <x:v>PCC-PE-KG01-L21-20251023-AM-ORD-2025-00020-S02-C2</x:v>
      </x:c>
      <x:c r="B243" t="str">
        <x:v>PC-PE-KG01-L21-20251023-AM-ORD-2025-00020-S02</x:v>
      </x:c>
      <x:c r="C243" t="str">
        <x:v>PE-KG01-L21-20251023-AM-ORD-2025-00020</x:v>
      </x:c>
      <x:c r="D243" t="str">
        <x:v>KG01</x:v>
      </x:c>
      <x:c r="E243" s="62" t="n">
        <x:v>45953</x:v>
      </x:c>
      <x:c r="F243" t="str">
        <x:v>AM</x:v>
      </x:c>
      <x:c r="G243" t="str">
        <x:v>C</x:v>
      </x:c>
      <x:c r="H243" t="n">
        <x:v>21</x:v>
      </x:c>
      <x:c r="I243" t="str">
        <x:v>ORD-2025-00020</x:v>
      </x:c>
      <x:c r="J243" t="n">
        <x:v>2</x:v>
      </x:c>
      <x:c r="K243" t="n">
        <x:v>2</x:v>
      </x:c>
      <x:c r="L243" t="str">
        <x:v>L21-S02-C2</x:v>
      </x:c>
      <x:c r="M243" t="n">
        <x:v>1</x:v>
      </x:c>
      <x:c r="N243" t="str">
        <x:v>DerivedFromCount</x:v>
      </x:c>
      <x:c r="O243" t="str">
        <x:v>PLC-PRD-JAR-720-L21</x:v>
      </x:c>
      <x:c r="P243" t="str">
        <x:v>OK</x:v>
      </x:c>
      <x:c r="Q243" t="str">
        <x:v>OK</x:v>
      </x:c>
      <x:c r="R243" t="str">
        <x:v>OK</x:v>
      </x:c>
      <x:c r="S243" t="str">
        <x:v>OK</x:v>
      </x:c>
      <x:c r="T243" t="n">
        <x:v>20</x:v>
      </x:c>
      <x:c r="U243" t="str">
        <x:v>OK</x:v>
      </x:c>
      <x:c r="V243" t="str">
        <x:v>OK</x:v>
      </x:c>
      <x:c r="W243" t="str">
        <x:v>LOAD</x:v>
      </x:c>
      <x:c r="X243" t="str">
        <x:v>02_Supervisor_Log(4).xlsx</x:v>
      </x:c>
      <x:c r="Y243" t="str">
        <x:v>ENH-20260830-01</x:v>
      </x:c>
      <x:c r="Z243" t="str">
        <x:v>Active</x:v>
      </x:c>
      <x:c r="AA243"/>
      <x:c r="AB243"/>
      <x:c r="AC243"/>
      <x:c r="AD243"/>
    </x:row>
    <x:row r="244">
      <x:c r="A244" t="str">
        <x:v>PCC-PE-KG01-L21-20251023-AM-ORD-2025-00020-S02-C3</x:v>
      </x:c>
      <x:c r="B244" t="str">
        <x:v>PC-PE-KG01-L21-20251023-AM-ORD-2025-00020-S02</x:v>
      </x:c>
      <x:c r="C244" t="str">
        <x:v>PE-KG01-L21-20251023-AM-ORD-2025-00020</x:v>
      </x:c>
      <x:c r="D244" t="str">
        <x:v>KG01</x:v>
      </x:c>
      <x:c r="E244" s="62" t="n">
        <x:v>45953</x:v>
      </x:c>
      <x:c r="F244" t="str">
        <x:v>AM</x:v>
      </x:c>
      <x:c r="G244" t="str">
        <x:v>C</x:v>
      </x:c>
      <x:c r="H244" t="n">
        <x:v>21</x:v>
      </x:c>
      <x:c r="I244" t="str">
        <x:v>ORD-2025-00020</x:v>
      </x:c>
      <x:c r="J244" t="n">
        <x:v>2</x:v>
      </x:c>
      <x:c r="K244" t="n">
        <x:v>3</x:v>
      </x:c>
      <x:c r="L244" t="str">
        <x:v>L21-S02-C3</x:v>
      </x:c>
      <x:c r="M244" t="n">
        <x:v>0</x:v>
      </x:c>
      <x:c r="N244" t="str">
        <x:v>DerivedFromCount</x:v>
      </x:c>
      <x:c r="O244" t="str">
        <x:v>PLC-PRD-JAR-720-L21</x:v>
      </x:c>
      <x:c r="P244" t="str">
        <x:v>OK</x:v>
      </x:c>
      <x:c r="Q244" t="str">
        <x:v>OK</x:v>
      </x:c>
      <x:c r="R244" t="str">
        <x:v>OK</x:v>
      </x:c>
      <x:c r="S244" t="str">
        <x:v>OK</x:v>
      </x:c>
      <x:c r="T244" t="n">
        <x:v>20</x:v>
      </x:c>
      <x:c r="U244" t="str">
        <x:v>OK</x:v>
      </x:c>
      <x:c r="V244" t="str">
        <x:v>OK</x:v>
      </x:c>
      <x:c r="W244" t="str">
        <x:v>LOAD</x:v>
      </x:c>
      <x:c r="X244" t="str">
        <x:v>02_Supervisor_Log(4).xlsx</x:v>
      </x:c>
      <x:c r="Y244" t="str">
        <x:v>ENH-20260830-01</x:v>
      </x:c>
      <x:c r="Z244" t="str">
        <x:v>Active</x:v>
      </x:c>
      <x:c r="AA244"/>
      <x:c r="AB244"/>
      <x:c r="AC244"/>
      <x:c r="AD244"/>
    </x:row>
    <x:row r="245">
      <x:c r="A245" t="str">
        <x:v>PCC-PE-KG01-L21-20251023-AM-ORD-2025-00020-S03-C1</x:v>
      </x:c>
      <x:c r="B245" t="str">
        <x:v>PC-PE-KG01-L21-20251023-AM-ORD-2025-00020-S03</x:v>
      </x:c>
      <x:c r="C245" t="str">
        <x:v>PE-KG01-L21-20251023-AM-ORD-2025-00020</x:v>
      </x:c>
      <x:c r="D245" t="str">
        <x:v>KG01</x:v>
      </x:c>
      <x:c r="E245" s="62" t="n">
        <x:v>45953</x:v>
      </x:c>
      <x:c r="F245" t="str">
        <x:v>AM</x:v>
      </x:c>
      <x:c r="G245" t="str">
        <x:v>C</x:v>
      </x:c>
      <x:c r="H245" t="n">
        <x:v>21</x:v>
      </x:c>
      <x:c r="I245" t="str">
        <x:v>ORD-2025-00020</x:v>
      </x:c>
      <x:c r="J245" t="n">
        <x:v>3</x:v>
      </x:c>
      <x:c r="K245" t="n">
        <x:v>1</x:v>
      </x:c>
      <x:c r="L245" t="str">
        <x:v>L21-S03-C1</x:v>
      </x:c>
      <x:c r="M245" t="n">
        <x:v>1</x:v>
      </x:c>
      <x:c r="N245" t="str">
        <x:v>DerivedFromCount</x:v>
      </x:c>
      <x:c r="O245" t="str">
        <x:v>PLC-PRD-JAR-720-L21</x:v>
      </x:c>
      <x:c r="P245" t="str">
        <x:v>OK</x:v>
      </x:c>
      <x:c r="Q245" t="str">
        <x:v>OK</x:v>
      </x:c>
      <x:c r="R245" t="str">
        <x:v>OK</x:v>
      </x:c>
      <x:c r="S245" t="str">
        <x:v>OK</x:v>
      </x:c>
      <x:c r="T245" t="n">
        <x:v>20</x:v>
      </x:c>
      <x:c r="U245" t="str">
        <x:v>OK</x:v>
      </x:c>
      <x:c r="V245" t="str">
        <x:v>OK</x:v>
      </x:c>
      <x:c r="W245" t="str">
        <x:v>LOAD</x:v>
      </x:c>
      <x:c r="X245" t="str">
        <x:v>02_Supervisor_Log(4).xlsx</x:v>
      </x:c>
      <x:c r="Y245" t="str">
        <x:v>ENH-20260830-01</x:v>
      </x:c>
      <x:c r="Z245" t="str">
        <x:v>Active</x:v>
      </x:c>
      <x:c r="AA245"/>
      <x:c r="AB245"/>
      <x:c r="AC245"/>
      <x:c r="AD245"/>
    </x:row>
    <x:row r="246">
      <x:c r="A246" t="str">
        <x:v>PCC-PE-KG01-L21-20251023-AM-ORD-2025-00020-S03-C2</x:v>
      </x:c>
      <x:c r="B246" t="str">
        <x:v>PC-PE-KG01-L21-20251023-AM-ORD-2025-00020-S03</x:v>
      </x:c>
      <x:c r="C246" t="str">
        <x:v>PE-KG01-L21-20251023-AM-ORD-2025-00020</x:v>
      </x:c>
      <x:c r="D246" t="str">
        <x:v>KG01</x:v>
      </x:c>
      <x:c r="E246" s="62" t="n">
        <x:v>45953</x:v>
      </x:c>
      <x:c r="F246" t="str">
        <x:v>AM</x:v>
      </x:c>
      <x:c r="G246" t="str">
        <x:v>C</x:v>
      </x:c>
      <x:c r="H246" t="n">
        <x:v>21</x:v>
      </x:c>
      <x:c r="I246" t="str">
        <x:v>ORD-2025-00020</x:v>
      </x:c>
      <x:c r="J246" t="n">
        <x:v>3</x:v>
      </x:c>
      <x:c r="K246" t="n">
        <x:v>2</x:v>
      </x:c>
      <x:c r="L246" t="str">
        <x:v>L21-S03-C2</x:v>
      </x:c>
      <x:c r="M246" t="n">
        <x:v>1</x:v>
      </x:c>
      <x:c r="N246" t="str">
        <x:v>DerivedFromCount</x:v>
      </x:c>
      <x:c r="O246" t="str">
        <x:v>PLC-PRD-JAR-720-L21</x:v>
      </x:c>
      <x:c r="P246" t="str">
        <x:v>OK</x:v>
      </x:c>
      <x:c r="Q246" t="str">
        <x:v>OK</x:v>
      </x:c>
      <x:c r="R246" t="str">
        <x:v>OK</x:v>
      </x:c>
      <x:c r="S246" t="str">
        <x:v>OK</x:v>
      </x:c>
      <x:c r="T246" t="n">
        <x:v>20</x:v>
      </x:c>
      <x:c r="U246" t="str">
        <x:v>OK</x:v>
      </x:c>
      <x:c r="V246" t="str">
        <x:v>OK</x:v>
      </x:c>
      <x:c r="W246" t="str">
        <x:v>LOAD</x:v>
      </x:c>
      <x:c r="X246" t="str">
        <x:v>02_Supervisor_Log(4).xlsx</x:v>
      </x:c>
      <x:c r="Y246" t="str">
        <x:v>ENH-20260830-01</x:v>
      </x:c>
      <x:c r="Z246" t="str">
        <x:v>Active</x:v>
      </x:c>
      <x:c r="AA246"/>
      <x:c r="AB246"/>
      <x:c r="AC246"/>
      <x:c r="AD246"/>
    </x:row>
    <x:row r="247">
      <x:c r="A247" t="str">
        <x:v>PCC-PE-KG01-L21-20251023-AM-ORD-2025-00020-S03-C3</x:v>
      </x:c>
      <x:c r="B247" t="str">
        <x:v>PC-PE-KG01-L21-20251023-AM-ORD-2025-00020-S03</x:v>
      </x:c>
      <x:c r="C247" t="str">
        <x:v>PE-KG01-L21-20251023-AM-ORD-2025-00020</x:v>
      </x:c>
      <x:c r="D247" t="str">
        <x:v>KG01</x:v>
      </x:c>
      <x:c r="E247" s="62" t="n">
        <x:v>45953</x:v>
      </x:c>
      <x:c r="F247" t="str">
        <x:v>AM</x:v>
      </x:c>
      <x:c r="G247" t="str">
        <x:v>C</x:v>
      </x:c>
      <x:c r="H247" t="n">
        <x:v>21</x:v>
      </x:c>
      <x:c r="I247" t="str">
        <x:v>ORD-2025-00020</x:v>
      </x:c>
      <x:c r="J247" t="n">
        <x:v>3</x:v>
      </x:c>
      <x:c r="K247" t="n">
        <x:v>3</x:v>
      </x:c>
      <x:c r="L247" t="str">
        <x:v>L21-S03-C3</x:v>
      </x:c>
      <x:c r="M247" t="n">
        <x:v>0</x:v>
      </x:c>
      <x:c r="N247" t="str">
        <x:v>DerivedFromCount</x:v>
      </x:c>
      <x:c r="O247" t="str">
        <x:v>PLC-PRD-JAR-720-L21</x:v>
      </x:c>
      <x:c r="P247" t="str">
        <x:v>OK</x:v>
      </x:c>
      <x:c r="Q247" t="str">
        <x:v>OK</x:v>
      </x:c>
      <x:c r="R247" t="str">
        <x:v>OK</x:v>
      </x:c>
      <x:c r="S247" t="str">
        <x:v>OK</x:v>
      </x:c>
      <x:c r="T247" t="n">
        <x:v>20</x:v>
      </x:c>
      <x:c r="U247" t="str">
        <x:v>OK</x:v>
      </x:c>
      <x:c r="V247" t="str">
        <x:v>OK</x:v>
      </x:c>
      <x:c r="W247" t="str">
        <x:v>LOAD</x:v>
      </x:c>
      <x:c r="X247" t="str">
        <x:v>02_Supervisor_Log(4).xlsx</x:v>
      </x:c>
      <x:c r="Y247" t="str">
        <x:v>ENH-20260830-01</x:v>
      </x:c>
      <x:c r="Z247" t="str">
        <x:v>Active</x:v>
      </x:c>
      <x:c r="AA247"/>
      <x:c r="AB247"/>
      <x:c r="AC247"/>
      <x:c r="AD247"/>
    </x:row>
    <x:row r="248">
      <x:c r="A248" t="str">
        <x:v>PCC-PE-KG01-L21-20251023-AM-ORD-2025-00020-S04-C1</x:v>
      </x:c>
      <x:c r="B248" t="str">
        <x:v>PC-PE-KG01-L21-20251023-AM-ORD-2025-00020-S04</x:v>
      </x:c>
      <x:c r="C248" t="str">
        <x:v>PE-KG01-L21-20251023-AM-ORD-2025-00020</x:v>
      </x:c>
      <x:c r="D248" t="str">
        <x:v>KG01</x:v>
      </x:c>
      <x:c r="E248" s="62" t="n">
        <x:v>45953</x:v>
      </x:c>
      <x:c r="F248" t="str">
        <x:v>AM</x:v>
      </x:c>
      <x:c r="G248" t="str">
        <x:v>C</x:v>
      </x:c>
      <x:c r="H248" t="n">
        <x:v>21</x:v>
      </x:c>
      <x:c r="I248" t="str">
        <x:v>ORD-2025-00020</x:v>
      </x:c>
      <x:c r="J248" t="n">
        <x:v>4</x:v>
      </x:c>
      <x:c r="K248" t="n">
        <x:v>1</x:v>
      </x:c>
      <x:c r="L248" t="str">
        <x:v>L21-S04-C1</x:v>
      </x:c>
      <x:c r="M248" t="n">
        <x:v>1</x:v>
      </x:c>
      <x:c r="N248" t="str">
        <x:v>DerivedFromCount</x:v>
      </x:c>
      <x:c r="O248" t="str">
        <x:v>PLC-PRD-JAR-720-L21</x:v>
      </x:c>
      <x:c r="P248" t="str">
        <x:v>OK</x:v>
      </x:c>
      <x:c r="Q248" t="str">
        <x:v>OK</x:v>
      </x:c>
      <x:c r="R248" t="str">
        <x:v>OK</x:v>
      </x:c>
      <x:c r="S248" t="str">
        <x:v>OK</x:v>
      </x:c>
      <x:c r="T248" t="n">
        <x:v>20</x:v>
      </x:c>
      <x:c r="U248" t="str">
        <x:v>OK</x:v>
      </x:c>
      <x:c r="V248" t="str">
        <x:v>OK</x:v>
      </x:c>
      <x:c r="W248" t="str">
        <x:v>LOAD</x:v>
      </x:c>
      <x:c r="X248" t="str">
        <x:v>02_Supervisor_Log(4).xlsx</x:v>
      </x:c>
      <x:c r="Y248" t="str">
        <x:v>ENH-20260830-01</x:v>
      </x:c>
      <x:c r="Z248" t="str">
        <x:v>Active</x:v>
      </x:c>
      <x:c r="AA248"/>
      <x:c r="AB248"/>
      <x:c r="AC248"/>
      <x:c r="AD248"/>
    </x:row>
    <x:row r="249">
      <x:c r="A249" t="str">
        <x:v>PCC-PE-KG01-L21-20251023-AM-ORD-2025-00020-S04-C2</x:v>
      </x:c>
      <x:c r="B249" t="str">
        <x:v>PC-PE-KG01-L21-20251023-AM-ORD-2025-00020-S04</x:v>
      </x:c>
      <x:c r="C249" t="str">
        <x:v>PE-KG01-L21-20251023-AM-ORD-2025-00020</x:v>
      </x:c>
      <x:c r="D249" t="str">
        <x:v>KG01</x:v>
      </x:c>
      <x:c r="E249" s="62" t="n">
        <x:v>45953</x:v>
      </x:c>
      <x:c r="F249" t="str">
        <x:v>AM</x:v>
      </x:c>
      <x:c r="G249" t="str">
        <x:v>C</x:v>
      </x:c>
      <x:c r="H249" t="n">
        <x:v>21</x:v>
      </x:c>
      <x:c r="I249" t="str">
        <x:v>ORD-2025-00020</x:v>
      </x:c>
      <x:c r="J249" t="n">
        <x:v>4</x:v>
      </x:c>
      <x:c r="K249" t="n">
        <x:v>2</x:v>
      </x:c>
      <x:c r="L249" t="str">
        <x:v>L21-S04-C2</x:v>
      </x:c>
      <x:c r="M249" t="n">
        <x:v>1</x:v>
      </x:c>
      <x:c r="N249" t="str">
        <x:v>DerivedFromCount</x:v>
      </x:c>
      <x:c r="O249" t="str">
        <x:v>PLC-PRD-JAR-720-L21</x:v>
      </x:c>
      <x:c r="P249" t="str">
        <x:v>OK</x:v>
      </x:c>
      <x:c r="Q249" t="str">
        <x:v>OK</x:v>
      </x:c>
      <x:c r="R249" t="str">
        <x:v>OK</x:v>
      </x:c>
      <x:c r="S249" t="str">
        <x:v>OK</x:v>
      </x:c>
      <x:c r="T249" t="n">
        <x:v>20</x:v>
      </x:c>
      <x:c r="U249" t="str">
        <x:v>OK</x:v>
      </x:c>
      <x:c r="V249" t="str">
        <x:v>OK</x:v>
      </x:c>
      <x:c r="W249" t="str">
        <x:v>LOAD</x:v>
      </x:c>
      <x:c r="X249" t="str">
        <x:v>02_Supervisor_Log(4).xlsx</x:v>
      </x:c>
      <x:c r="Y249" t="str">
        <x:v>ENH-20260830-01</x:v>
      </x:c>
      <x:c r="Z249" t="str">
        <x:v>Active</x:v>
      </x:c>
      <x:c r="AA249"/>
      <x:c r="AB249"/>
      <x:c r="AC249"/>
      <x:c r="AD249"/>
    </x:row>
    <x:row r="250">
      <x:c r="A250" t="str">
        <x:v>PCC-PE-KG01-L21-20251023-AM-ORD-2025-00020-S04-C3</x:v>
      </x:c>
      <x:c r="B250" t="str">
        <x:v>PC-PE-KG01-L21-20251023-AM-ORD-2025-00020-S04</x:v>
      </x:c>
      <x:c r="C250" t="str">
        <x:v>PE-KG01-L21-20251023-AM-ORD-2025-00020</x:v>
      </x:c>
      <x:c r="D250" t="str">
        <x:v>KG01</x:v>
      </x:c>
      <x:c r="E250" s="62" t="n">
        <x:v>45953</x:v>
      </x:c>
      <x:c r="F250" t="str">
        <x:v>AM</x:v>
      </x:c>
      <x:c r="G250" t="str">
        <x:v>C</x:v>
      </x:c>
      <x:c r="H250" t="n">
        <x:v>21</x:v>
      </x:c>
      <x:c r="I250" t="str">
        <x:v>ORD-2025-00020</x:v>
      </x:c>
      <x:c r="J250" t="n">
        <x:v>4</x:v>
      </x:c>
      <x:c r="K250" t="n">
        <x:v>3</x:v>
      </x:c>
      <x:c r="L250" t="str">
        <x:v>L21-S04-C3</x:v>
      </x:c>
      <x:c r="M250" t="n">
        <x:v>0</x:v>
      </x:c>
      <x:c r="N250" t="str">
        <x:v>DerivedFromCount</x:v>
      </x:c>
      <x:c r="O250" t="str">
        <x:v>PLC-PRD-JAR-720-L21</x:v>
      </x:c>
      <x:c r="P250" t="str">
        <x:v>OK</x:v>
      </x:c>
      <x:c r="Q250" t="str">
        <x:v>OK</x:v>
      </x:c>
      <x:c r="R250" t="str">
        <x:v>OK</x:v>
      </x:c>
      <x:c r="S250" t="str">
        <x:v>OK</x:v>
      </x:c>
      <x:c r="T250" t="n">
        <x:v>20</x:v>
      </x:c>
      <x:c r="U250" t="str">
        <x:v>OK</x:v>
      </x:c>
      <x:c r="V250" t="str">
        <x:v>OK</x:v>
      </x:c>
      <x:c r="W250" t="str">
        <x:v>LOAD</x:v>
      </x:c>
      <x:c r="X250" t="str">
        <x:v>02_Supervisor_Log(4).xlsx</x:v>
      </x:c>
      <x:c r="Y250" t="str">
        <x:v>ENH-20260830-01</x:v>
      </x:c>
      <x:c r="Z250" t="str">
        <x:v>Active</x:v>
      </x:c>
      <x:c r="AA250"/>
      <x:c r="AB250"/>
      <x:c r="AC250"/>
      <x:c r="AD250"/>
    </x:row>
    <x:row r="251">
      <x:c r="A251" t="str">
        <x:v>PCC-PE-KG01-L21-20251023-AM-ORD-2025-00020-S05-C1</x:v>
      </x:c>
      <x:c r="B251" t="str">
        <x:v>PC-PE-KG01-L21-20251023-AM-ORD-2025-00020-S05</x:v>
      </x:c>
      <x:c r="C251" t="str">
        <x:v>PE-KG01-L21-20251023-AM-ORD-2025-00020</x:v>
      </x:c>
      <x:c r="D251" t="str">
        <x:v>KG01</x:v>
      </x:c>
      <x:c r="E251" s="62" t="n">
        <x:v>45953</x:v>
      </x:c>
      <x:c r="F251" t="str">
        <x:v>AM</x:v>
      </x:c>
      <x:c r="G251" t="str">
        <x:v>C</x:v>
      </x:c>
      <x:c r="H251" t="n">
        <x:v>21</x:v>
      </x:c>
      <x:c r="I251" t="str">
        <x:v>ORD-2025-00020</x:v>
      </x:c>
      <x:c r="J251" t="n">
        <x:v>5</x:v>
      </x:c>
      <x:c r="K251" t="n">
        <x:v>1</x:v>
      </x:c>
      <x:c r="L251" t="str">
        <x:v>L21-S05-C1</x:v>
      </x:c>
      <x:c r="M251" t="n">
        <x:v>1</x:v>
      </x:c>
      <x:c r="N251" t="str">
        <x:v>DerivedFromCount</x:v>
      </x:c>
      <x:c r="O251" t="str">
        <x:v>PLC-PRD-JAR-720-L21</x:v>
      </x:c>
      <x:c r="P251" t="str">
        <x:v>OK</x:v>
      </x:c>
      <x:c r="Q251" t="str">
        <x:v>OK</x:v>
      </x:c>
      <x:c r="R251" t="str">
        <x:v>OK</x:v>
      </x:c>
      <x:c r="S251" t="str">
        <x:v>OK</x:v>
      </x:c>
      <x:c r="T251" t="n">
        <x:v>20</x:v>
      </x:c>
      <x:c r="U251" t="str">
        <x:v>OK</x:v>
      </x:c>
      <x:c r="V251" t="str">
        <x:v>OK</x:v>
      </x:c>
      <x:c r="W251" t="str">
        <x:v>LOAD</x:v>
      </x:c>
      <x:c r="X251" t="str">
        <x:v>02_Supervisor_Log(4).xlsx</x:v>
      </x:c>
      <x:c r="Y251" t="str">
        <x:v>ENH-20260830-01</x:v>
      </x:c>
      <x:c r="Z251" t="str">
        <x:v>Active</x:v>
      </x:c>
      <x:c r="AA251"/>
      <x:c r="AB251"/>
      <x:c r="AC251"/>
      <x:c r="AD251"/>
    </x:row>
    <x:row r="252">
      <x:c r="A252" t="str">
        <x:v>PCC-PE-KG01-L21-20251023-AM-ORD-2025-00020-S05-C2</x:v>
      </x:c>
      <x:c r="B252" t="str">
        <x:v>PC-PE-KG01-L21-20251023-AM-ORD-2025-00020-S05</x:v>
      </x:c>
      <x:c r="C252" t="str">
        <x:v>PE-KG01-L21-20251023-AM-ORD-2025-00020</x:v>
      </x:c>
      <x:c r="D252" t="str">
        <x:v>KG01</x:v>
      </x:c>
      <x:c r="E252" s="62" t="n">
        <x:v>45953</x:v>
      </x:c>
      <x:c r="F252" t="str">
        <x:v>AM</x:v>
      </x:c>
      <x:c r="G252" t="str">
        <x:v>C</x:v>
      </x:c>
      <x:c r="H252" t="n">
        <x:v>21</x:v>
      </x:c>
      <x:c r="I252" t="str">
        <x:v>ORD-2025-00020</x:v>
      </x:c>
      <x:c r="J252" t="n">
        <x:v>5</x:v>
      </x:c>
      <x:c r="K252" t="n">
        <x:v>2</x:v>
      </x:c>
      <x:c r="L252" t="str">
        <x:v>L21-S05-C2</x:v>
      </x:c>
      <x:c r="M252" t="n">
        <x:v>1</x:v>
      </x:c>
      <x:c r="N252" t="str">
        <x:v>DerivedFromCount</x:v>
      </x:c>
      <x:c r="O252" t="str">
        <x:v>PLC-PRD-JAR-720-L21</x:v>
      </x:c>
      <x:c r="P252" t="str">
        <x:v>OK</x:v>
      </x:c>
      <x:c r="Q252" t="str">
        <x:v>OK</x:v>
      </x:c>
      <x:c r="R252" t="str">
        <x:v>OK</x:v>
      </x:c>
      <x:c r="S252" t="str">
        <x:v>OK</x:v>
      </x:c>
      <x:c r="T252" t="n">
        <x:v>20</x:v>
      </x:c>
      <x:c r="U252" t="str">
        <x:v>OK</x:v>
      </x:c>
      <x:c r="V252" t="str">
        <x:v>OK</x:v>
      </x:c>
      <x:c r="W252" t="str">
        <x:v>LOAD</x:v>
      </x:c>
      <x:c r="X252" t="str">
        <x:v>02_Supervisor_Log(4).xlsx</x:v>
      </x:c>
      <x:c r="Y252" t="str">
        <x:v>ENH-20260830-01</x:v>
      </x:c>
      <x:c r="Z252" t="str">
        <x:v>Active</x:v>
      </x:c>
      <x:c r="AA252"/>
      <x:c r="AB252"/>
      <x:c r="AC252"/>
      <x:c r="AD252"/>
    </x:row>
    <x:row r="253">
      <x:c r="A253" t="str">
        <x:v>PCC-PE-KG01-L21-20251023-AM-ORD-2025-00020-S05-C3</x:v>
      </x:c>
      <x:c r="B253" t="str">
        <x:v>PC-PE-KG01-L21-20251023-AM-ORD-2025-00020-S05</x:v>
      </x:c>
      <x:c r="C253" t="str">
        <x:v>PE-KG01-L21-20251023-AM-ORD-2025-00020</x:v>
      </x:c>
      <x:c r="D253" t="str">
        <x:v>KG01</x:v>
      </x:c>
      <x:c r="E253" s="62" t="n">
        <x:v>45953</x:v>
      </x:c>
      <x:c r="F253" t="str">
        <x:v>AM</x:v>
      </x:c>
      <x:c r="G253" t="str">
        <x:v>C</x:v>
      </x:c>
      <x:c r="H253" t="n">
        <x:v>21</x:v>
      </x:c>
      <x:c r="I253" t="str">
        <x:v>ORD-2025-00020</x:v>
      </x:c>
      <x:c r="J253" t="n">
        <x:v>5</x:v>
      </x:c>
      <x:c r="K253" t="n">
        <x:v>3</x:v>
      </x:c>
      <x:c r="L253" t="str">
        <x:v>L21-S05-C3</x:v>
      </x:c>
      <x:c r="M253" t="n">
        <x:v>0</x:v>
      </x:c>
      <x:c r="N253" t="str">
        <x:v>DerivedFromCount</x:v>
      </x:c>
      <x:c r="O253" t="str">
        <x:v>PLC-PRD-JAR-720-L21</x:v>
      </x:c>
      <x:c r="P253" t="str">
        <x:v>OK</x:v>
      </x:c>
      <x:c r="Q253" t="str">
        <x:v>OK</x:v>
      </x:c>
      <x:c r="R253" t="str">
        <x:v>OK</x:v>
      </x:c>
      <x:c r="S253" t="str">
        <x:v>OK</x:v>
      </x:c>
      <x:c r="T253" t="n">
        <x:v>20</x:v>
      </x:c>
      <x:c r="U253" t="str">
        <x:v>OK</x:v>
      </x:c>
      <x:c r="V253" t="str">
        <x:v>OK</x:v>
      </x:c>
      <x:c r="W253" t="str">
        <x:v>LOAD</x:v>
      </x:c>
      <x:c r="X253" t="str">
        <x:v>02_Supervisor_Log(4).xlsx</x:v>
      </x:c>
      <x:c r="Y253" t="str">
        <x:v>ENH-20260830-01</x:v>
      </x:c>
      <x:c r="Z253" t="str">
        <x:v>Active</x:v>
      </x:c>
      <x:c r="AA253"/>
      <x:c r="AB253"/>
      <x:c r="AC253"/>
      <x:c r="AD253"/>
    </x:row>
    <x:row r="254">
      <x:c r="A254" t="str">
        <x:v>PCC-PE-KG01-L21-20251023-AM-ORD-2025-00020-S06-C1</x:v>
      </x:c>
      <x:c r="B254" t="str">
        <x:v>PC-PE-KG01-L21-20251023-AM-ORD-2025-00020-S06</x:v>
      </x:c>
      <x:c r="C254" t="str">
        <x:v>PE-KG01-L21-20251023-AM-ORD-2025-00020</x:v>
      </x:c>
      <x:c r="D254" t="str">
        <x:v>KG01</x:v>
      </x:c>
      <x:c r="E254" s="62" t="n">
        <x:v>45953</x:v>
      </x:c>
      <x:c r="F254" t="str">
        <x:v>AM</x:v>
      </x:c>
      <x:c r="G254" t="str">
        <x:v>C</x:v>
      </x:c>
      <x:c r="H254" t="n">
        <x:v>21</x:v>
      </x:c>
      <x:c r="I254" t="str">
        <x:v>ORD-2025-00020</x:v>
      </x:c>
      <x:c r="J254" t="n">
        <x:v>6</x:v>
      </x:c>
      <x:c r="K254" t="n">
        <x:v>1</x:v>
      </x:c>
      <x:c r="L254" t="str">
        <x:v>L21-S06-C1</x:v>
      </x:c>
      <x:c r="M254" t="n">
        <x:v>1</x:v>
      </x:c>
      <x:c r="N254" t="str">
        <x:v>DerivedFromCount</x:v>
      </x:c>
      <x:c r="O254" t="str">
        <x:v>PLC-PRD-JAR-720-L21</x:v>
      </x:c>
      <x:c r="P254" t="str">
        <x:v>OK</x:v>
      </x:c>
      <x:c r="Q254" t="str">
        <x:v>OK</x:v>
      </x:c>
      <x:c r="R254" t="str">
        <x:v>OK</x:v>
      </x:c>
      <x:c r="S254" t="str">
        <x:v>OK</x:v>
      </x:c>
      <x:c r="T254" t="n">
        <x:v>20</x:v>
      </x:c>
      <x:c r="U254" t="str">
        <x:v>OK</x:v>
      </x:c>
      <x:c r="V254" t="str">
        <x:v>OK</x:v>
      </x:c>
      <x:c r="W254" t="str">
        <x:v>LOAD</x:v>
      </x:c>
      <x:c r="X254" t="str">
        <x:v>02_Supervisor_Log(4).xlsx</x:v>
      </x:c>
      <x:c r="Y254" t="str">
        <x:v>ENH-20260830-01</x:v>
      </x:c>
      <x:c r="Z254" t="str">
        <x:v>Active</x:v>
      </x:c>
      <x:c r="AA254"/>
      <x:c r="AB254"/>
      <x:c r="AC254"/>
      <x:c r="AD254"/>
    </x:row>
    <x:row r="255">
      <x:c r="A255" t="str">
        <x:v>PCC-PE-KG01-L21-20251023-AM-ORD-2025-00020-S06-C2</x:v>
      </x:c>
      <x:c r="B255" t="str">
        <x:v>PC-PE-KG01-L21-20251023-AM-ORD-2025-00020-S06</x:v>
      </x:c>
      <x:c r="C255" t="str">
        <x:v>PE-KG01-L21-20251023-AM-ORD-2025-00020</x:v>
      </x:c>
      <x:c r="D255" t="str">
        <x:v>KG01</x:v>
      </x:c>
      <x:c r="E255" s="62" t="n">
        <x:v>45953</x:v>
      </x:c>
      <x:c r="F255" t="str">
        <x:v>AM</x:v>
      </x:c>
      <x:c r="G255" t="str">
        <x:v>C</x:v>
      </x:c>
      <x:c r="H255" t="n">
        <x:v>21</x:v>
      </x:c>
      <x:c r="I255" t="str">
        <x:v>ORD-2025-00020</x:v>
      </x:c>
      <x:c r="J255" t="n">
        <x:v>6</x:v>
      </x:c>
      <x:c r="K255" t="n">
        <x:v>2</x:v>
      </x:c>
      <x:c r="L255" t="str">
        <x:v>L21-S06-C2</x:v>
      </x:c>
      <x:c r="M255" t="n">
        <x:v>1</x:v>
      </x:c>
      <x:c r="N255" t="str">
        <x:v>DerivedFromCount</x:v>
      </x:c>
      <x:c r="O255" t="str">
        <x:v>PLC-PRD-JAR-720-L21</x:v>
      </x:c>
      <x:c r="P255" t="str">
        <x:v>OK</x:v>
      </x:c>
      <x:c r="Q255" t="str">
        <x:v>OK</x:v>
      </x:c>
      <x:c r="R255" t="str">
        <x:v>OK</x:v>
      </x:c>
      <x:c r="S255" t="str">
        <x:v>OK</x:v>
      </x:c>
      <x:c r="T255" t="n">
        <x:v>20</x:v>
      </x:c>
      <x:c r="U255" t="str">
        <x:v>OK</x:v>
      </x:c>
      <x:c r="V255" t="str">
        <x:v>OK</x:v>
      </x:c>
      <x:c r="W255" t="str">
        <x:v>LOAD</x:v>
      </x:c>
      <x:c r="X255" t="str">
        <x:v>02_Supervisor_Log(4).xlsx</x:v>
      </x:c>
      <x:c r="Y255" t="str">
        <x:v>ENH-20260830-01</x:v>
      </x:c>
      <x:c r="Z255" t="str">
        <x:v>Active</x:v>
      </x:c>
      <x:c r="AA255"/>
      <x:c r="AB255"/>
      <x:c r="AC255"/>
      <x:c r="AD255"/>
    </x:row>
    <x:row r="256">
      <x:c r="A256" t="str">
        <x:v>PCC-PE-KG01-L21-20251023-AM-ORD-2025-00020-S06-C3</x:v>
      </x:c>
      <x:c r="B256" t="str">
        <x:v>PC-PE-KG01-L21-20251023-AM-ORD-2025-00020-S06</x:v>
      </x:c>
      <x:c r="C256" t="str">
        <x:v>PE-KG01-L21-20251023-AM-ORD-2025-00020</x:v>
      </x:c>
      <x:c r="D256" t="str">
        <x:v>KG01</x:v>
      </x:c>
      <x:c r="E256" s="62" t="n">
        <x:v>45953</x:v>
      </x:c>
      <x:c r="F256" t="str">
        <x:v>AM</x:v>
      </x:c>
      <x:c r="G256" t="str">
        <x:v>C</x:v>
      </x:c>
      <x:c r="H256" t="n">
        <x:v>21</x:v>
      </x:c>
      <x:c r="I256" t="str">
        <x:v>ORD-2025-00020</x:v>
      </x:c>
      <x:c r="J256" t="n">
        <x:v>6</x:v>
      </x:c>
      <x:c r="K256" t="n">
        <x:v>3</x:v>
      </x:c>
      <x:c r="L256" t="str">
        <x:v>L21-S06-C3</x:v>
      </x:c>
      <x:c r="M256" t="n">
        <x:v>0</x:v>
      </x:c>
      <x:c r="N256" t="str">
        <x:v>DerivedFromCount</x:v>
      </x:c>
      <x:c r="O256" t="str">
        <x:v>PLC-PRD-JAR-720-L21</x:v>
      </x:c>
      <x:c r="P256" t="str">
        <x:v>OK</x:v>
      </x:c>
      <x:c r="Q256" t="str">
        <x:v>OK</x:v>
      </x:c>
      <x:c r="R256" t="str">
        <x:v>OK</x:v>
      </x:c>
      <x:c r="S256" t="str">
        <x:v>OK</x:v>
      </x:c>
      <x:c r="T256" t="n">
        <x:v>20</x:v>
      </x:c>
      <x:c r="U256" t="str">
        <x:v>OK</x:v>
      </x:c>
      <x:c r="V256" t="str">
        <x:v>OK</x:v>
      </x:c>
      <x:c r="W256" t="str">
        <x:v>LOAD</x:v>
      </x:c>
      <x:c r="X256" t="str">
        <x:v>02_Supervisor_Log(4).xlsx</x:v>
      </x:c>
      <x:c r="Y256" t="str">
        <x:v>ENH-20260830-01</x:v>
      </x:c>
      <x:c r="Z256" t="str">
        <x:v>Active</x:v>
      </x:c>
      <x:c r="AA256"/>
      <x:c r="AB256"/>
      <x:c r="AC256"/>
      <x:c r="AD256"/>
    </x:row>
    <x:row r="257">
      <x:c r="A257" t="str">
        <x:v>PCC-PE-KG01-L21-20251023-AM-ORD-2025-00020-S07-C1</x:v>
      </x:c>
      <x:c r="B257" t="str">
        <x:v>PC-PE-KG01-L21-20251023-AM-ORD-2025-00020-S07</x:v>
      </x:c>
      <x:c r="C257" t="str">
        <x:v>PE-KG01-L21-20251023-AM-ORD-2025-00020</x:v>
      </x:c>
      <x:c r="D257" t="str">
        <x:v>KG01</x:v>
      </x:c>
      <x:c r="E257" s="62" t="n">
        <x:v>45953</x:v>
      </x:c>
      <x:c r="F257" t="str">
        <x:v>AM</x:v>
      </x:c>
      <x:c r="G257" t="str">
        <x:v>C</x:v>
      </x:c>
      <x:c r="H257" t="n">
        <x:v>21</x:v>
      </x:c>
      <x:c r="I257" t="str">
        <x:v>ORD-2025-00020</x:v>
      </x:c>
      <x:c r="J257" t="n">
        <x:v>7</x:v>
      </x:c>
      <x:c r="K257" t="n">
        <x:v>1</x:v>
      </x:c>
      <x:c r="L257" t="str">
        <x:v>L21-S07-C1</x:v>
      </x:c>
      <x:c r="M257" t="n">
        <x:v>1</x:v>
      </x:c>
      <x:c r="N257" t="str">
        <x:v>DerivedFromCount</x:v>
      </x:c>
      <x:c r="O257" t="str">
        <x:v>PLC-PRD-JAR-720-L21</x:v>
      </x:c>
      <x:c r="P257" t="str">
        <x:v>OK</x:v>
      </x:c>
      <x:c r="Q257" t="str">
        <x:v>OK</x:v>
      </x:c>
      <x:c r="R257" t="str">
        <x:v>OK</x:v>
      </x:c>
      <x:c r="S257" t="str">
        <x:v>OK</x:v>
      </x:c>
      <x:c r="T257" t="n">
        <x:v>20</x:v>
      </x:c>
      <x:c r="U257" t="str">
        <x:v>OK</x:v>
      </x:c>
      <x:c r="V257" t="str">
        <x:v>OK</x:v>
      </x:c>
      <x:c r="W257" t="str">
        <x:v>LOAD</x:v>
      </x:c>
      <x:c r="X257" t="str">
        <x:v>02_Supervisor_Log(4).xlsx</x:v>
      </x:c>
      <x:c r="Y257" t="str">
        <x:v>ENH-20260830-01</x:v>
      </x:c>
      <x:c r="Z257" t="str">
        <x:v>Active</x:v>
      </x:c>
      <x:c r="AA257"/>
      <x:c r="AB257"/>
      <x:c r="AC257"/>
      <x:c r="AD257"/>
    </x:row>
    <x:row r="258">
      <x:c r="A258" t="str">
        <x:v>PCC-PE-KG01-L21-20251023-AM-ORD-2025-00020-S07-C2</x:v>
      </x:c>
      <x:c r="B258" t="str">
        <x:v>PC-PE-KG01-L21-20251023-AM-ORD-2025-00020-S07</x:v>
      </x:c>
      <x:c r="C258" t="str">
        <x:v>PE-KG01-L21-20251023-AM-ORD-2025-00020</x:v>
      </x:c>
      <x:c r="D258" t="str">
        <x:v>KG01</x:v>
      </x:c>
      <x:c r="E258" s="62" t="n">
        <x:v>45953</x:v>
      </x:c>
      <x:c r="F258" t="str">
        <x:v>AM</x:v>
      </x:c>
      <x:c r="G258" t="str">
        <x:v>C</x:v>
      </x:c>
      <x:c r="H258" t="n">
        <x:v>21</x:v>
      </x:c>
      <x:c r="I258" t="str">
        <x:v>ORD-2025-00020</x:v>
      </x:c>
      <x:c r="J258" t="n">
        <x:v>7</x:v>
      </x:c>
      <x:c r="K258" t="n">
        <x:v>2</x:v>
      </x:c>
      <x:c r="L258" t="str">
        <x:v>L21-S07-C2</x:v>
      </x:c>
      <x:c r="M258" t="n">
        <x:v>1</x:v>
      </x:c>
      <x:c r="N258" t="str">
        <x:v>DerivedFromCount</x:v>
      </x:c>
      <x:c r="O258" t="str">
        <x:v>PLC-PRD-JAR-720-L21</x:v>
      </x:c>
      <x:c r="P258" t="str">
        <x:v>OK</x:v>
      </x:c>
      <x:c r="Q258" t="str">
        <x:v>OK</x:v>
      </x:c>
      <x:c r="R258" t="str">
        <x:v>OK</x:v>
      </x:c>
      <x:c r="S258" t="str">
        <x:v>OK</x:v>
      </x:c>
      <x:c r="T258" t="n">
        <x:v>20</x:v>
      </x:c>
      <x:c r="U258" t="str">
        <x:v>OK</x:v>
      </x:c>
      <x:c r="V258" t="str">
        <x:v>OK</x:v>
      </x:c>
      <x:c r="W258" t="str">
        <x:v>LOAD</x:v>
      </x:c>
      <x:c r="X258" t="str">
        <x:v>02_Supervisor_Log(4).xlsx</x:v>
      </x:c>
      <x:c r="Y258" t="str">
        <x:v>ENH-20260830-01</x:v>
      </x:c>
      <x:c r="Z258" t="str">
        <x:v>Active</x:v>
      </x:c>
      <x:c r="AA258"/>
      <x:c r="AB258"/>
      <x:c r="AC258"/>
      <x:c r="AD258"/>
    </x:row>
    <x:row r="259">
      <x:c r="A259" t="str">
        <x:v>PCC-PE-KG01-L21-20251023-AM-ORD-2025-00020-S07-C3</x:v>
      </x:c>
      <x:c r="B259" t="str">
        <x:v>PC-PE-KG01-L21-20251023-AM-ORD-2025-00020-S07</x:v>
      </x:c>
      <x:c r="C259" t="str">
        <x:v>PE-KG01-L21-20251023-AM-ORD-2025-00020</x:v>
      </x:c>
      <x:c r="D259" t="str">
        <x:v>KG01</x:v>
      </x:c>
      <x:c r="E259" s="62" t="n">
        <x:v>45953</x:v>
      </x:c>
      <x:c r="F259" t="str">
        <x:v>AM</x:v>
      </x:c>
      <x:c r="G259" t="str">
        <x:v>C</x:v>
      </x:c>
      <x:c r="H259" t="n">
        <x:v>21</x:v>
      </x:c>
      <x:c r="I259" t="str">
        <x:v>ORD-2025-00020</x:v>
      </x:c>
      <x:c r="J259" t="n">
        <x:v>7</x:v>
      </x:c>
      <x:c r="K259" t="n">
        <x:v>3</x:v>
      </x:c>
      <x:c r="L259" t="str">
        <x:v>L21-S07-C3</x:v>
      </x:c>
      <x:c r="M259" t="n">
        <x:v>0</x:v>
      </x:c>
      <x:c r="N259" t="str">
        <x:v>DerivedFromCount</x:v>
      </x:c>
      <x:c r="O259" t="str">
        <x:v>PLC-PRD-JAR-720-L21</x:v>
      </x:c>
      <x:c r="P259" t="str">
        <x:v>OK</x:v>
      </x:c>
      <x:c r="Q259" t="str">
        <x:v>OK</x:v>
      </x:c>
      <x:c r="R259" t="str">
        <x:v>OK</x:v>
      </x:c>
      <x:c r="S259" t="str">
        <x:v>OK</x:v>
      </x:c>
      <x:c r="T259" t="n">
        <x:v>20</x:v>
      </x:c>
      <x:c r="U259" t="str">
        <x:v>OK</x:v>
      </x:c>
      <x:c r="V259" t="str">
        <x:v>OK</x:v>
      </x:c>
      <x:c r="W259" t="str">
        <x:v>LOAD</x:v>
      </x:c>
      <x:c r="X259" t="str">
        <x:v>02_Supervisor_Log(4).xlsx</x:v>
      </x:c>
      <x:c r="Y259" t="str">
        <x:v>ENH-20260830-01</x:v>
      </x:c>
      <x:c r="Z259" t="str">
        <x:v>Active</x:v>
      </x:c>
      <x:c r="AA259"/>
      <x:c r="AB259"/>
      <x:c r="AC259"/>
      <x:c r="AD259"/>
    </x:row>
    <x:row r="260">
      <x:c r="A260" t="str">
        <x:v>PCC-PE-KG01-L21-20251023-AM-ORD-2025-00020-S08-C1</x:v>
      </x:c>
      <x:c r="B260" t="str">
        <x:v>PC-PE-KG01-L21-20251023-AM-ORD-2025-00020-S08</x:v>
      </x:c>
      <x:c r="C260" t="str">
        <x:v>PE-KG01-L21-20251023-AM-ORD-2025-00020</x:v>
      </x:c>
      <x:c r="D260" t="str">
        <x:v>KG01</x:v>
      </x:c>
      <x:c r="E260" s="62" t="n">
        <x:v>45953</x:v>
      </x:c>
      <x:c r="F260" t="str">
        <x:v>AM</x:v>
      </x:c>
      <x:c r="G260" t="str">
        <x:v>C</x:v>
      </x:c>
      <x:c r="H260" t="n">
        <x:v>21</x:v>
      </x:c>
      <x:c r="I260" t="str">
        <x:v>ORD-2025-00020</x:v>
      </x:c>
      <x:c r="J260" t="n">
        <x:v>8</x:v>
      </x:c>
      <x:c r="K260" t="n">
        <x:v>1</x:v>
      </x:c>
      <x:c r="L260" t="str">
        <x:v>L21-S08-C1</x:v>
      </x:c>
      <x:c r="M260" t="n">
        <x:v>1</x:v>
      </x:c>
      <x:c r="N260" t="str">
        <x:v>DerivedFromCount</x:v>
      </x:c>
      <x:c r="O260" t="str">
        <x:v>PLC-PRD-JAR-720-L21</x:v>
      </x:c>
      <x:c r="P260" t="str">
        <x:v>OK</x:v>
      </x:c>
      <x:c r="Q260" t="str">
        <x:v>OK</x:v>
      </x:c>
      <x:c r="R260" t="str">
        <x:v>OK</x:v>
      </x:c>
      <x:c r="S260" t="str">
        <x:v>OK</x:v>
      </x:c>
      <x:c r="T260" t="n">
        <x:v>20</x:v>
      </x:c>
      <x:c r="U260" t="str">
        <x:v>OK</x:v>
      </x:c>
      <x:c r="V260" t="str">
        <x:v>OK</x:v>
      </x:c>
      <x:c r="W260" t="str">
        <x:v>LOAD</x:v>
      </x:c>
      <x:c r="X260" t="str">
        <x:v>02_Supervisor_Log(4).xlsx</x:v>
      </x:c>
      <x:c r="Y260" t="str">
        <x:v>ENH-20260830-01</x:v>
      </x:c>
      <x:c r="Z260" t="str">
        <x:v>Active</x:v>
      </x:c>
      <x:c r="AA260"/>
      <x:c r="AB260"/>
      <x:c r="AC260"/>
      <x:c r="AD260"/>
    </x:row>
    <x:row r="261">
      <x:c r="A261" t="str">
        <x:v>PCC-PE-KG01-L21-20251023-AM-ORD-2025-00020-S08-C2</x:v>
      </x:c>
      <x:c r="B261" t="str">
        <x:v>PC-PE-KG01-L21-20251023-AM-ORD-2025-00020-S08</x:v>
      </x:c>
      <x:c r="C261" t="str">
        <x:v>PE-KG01-L21-20251023-AM-ORD-2025-00020</x:v>
      </x:c>
      <x:c r="D261" t="str">
        <x:v>KG01</x:v>
      </x:c>
      <x:c r="E261" s="62" t="n">
        <x:v>45953</x:v>
      </x:c>
      <x:c r="F261" t="str">
        <x:v>AM</x:v>
      </x:c>
      <x:c r="G261" t="str">
        <x:v>C</x:v>
      </x:c>
      <x:c r="H261" t="n">
        <x:v>21</x:v>
      </x:c>
      <x:c r="I261" t="str">
        <x:v>ORD-2025-00020</x:v>
      </x:c>
      <x:c r="J261" t="n">
        <x:v>8</x:v>
      </x:c>
      <x:c r="K261" t="n">
        <x:v>2</x:v>
      </x:c>
      <x:c r="L261" t="str">
        <x:v>L21-S08-C2</x:v>
      </x:c>
      <x:c r="M261" t="n">
        <x:v>1</x:v>
      </x:c>
      <x:c r="N261" t="str">
        <x:v>DerivedFromCount</x:v>
      </x:c>
      <x:c r="O261" t="str">
        <x:v>PLC-PRD-JAR-720-L21</x:v>
      </x:c>
      <x:c r="P261" t="str">
        <x:v>OK</x:v>
      </x:c>
      <x:c r="Q261" t="str">
        <x:v>OK</x:v>
      </x:c>
      <x:c r="R261" t="str">
        <x:v>OK</x:v>
      </x:c>
      <x:c r="S261" t="str">
        <x:v>OK</x:v>
      </x:c>
      <x:c r="T261" t="n">
        <x:v>20</x:v>
      </x:c>
      <x:c r="U261" t="str">
        <x:v>OK</x:v>
      </x:c>
      <x:c r="V261" t="str">
        <x:v>OK</x:v>
      </x:c>
      <x:c r="W261" t="str">
        <x:v>LOAD</x:v>
      </x:c>
      <x:c r="X261" t="str">
        <x:v>02_Supervisor_Log(4).xlsx</x:v>
      </x:c>
      <x:c r="Y261" t="str">
        <x:v>ENH-20260830-01</x:v>
      </x:c>
      <x:c r="Z261" t="str">
        <x:v>Active</x:v>
      </x:c>
      <x:c r="AA261"/>
      <x:c r="AB261"/>
      <x:c r="AC261"/>
      <x:c r="AD261"/>
    </x:row>
    <x:row r="262">
      <x:c r="A262" t="str">
        <x:v>PCC-PE-KG01-L21-20251023-AM-ORD-2025-00020-S08-C3</x:v>
      </x:c>
      <x:c r="B262" t="str">
        <x:v>PC-PE-KG01-L21-20251023-AM-ORD-2025-00020-S08</x:v>
      </x:c>
      <x:c r="C262" t="str">
        <x:v>PE-KG01-L21-20251023-AM-ORD-2025-00020</x:v>
      </x:c>
      <x:c r="D262" t="str">
        <x:v>KG01</x:v>
      </x:c>
      <x:c r="E262" s="62" t="n">
        <x:v>45953</x:v>
      </x:c>
      <x:c r="F262" t="str">
        <x:v>AM</x:v>
      </x:c>
      <x:c r="G262" t="str">
        <x:v>C</x:v>
      </x:c>
      <x:c r="H262" t="n">
        <x:v>21</x:v>
      </x:c>
      <x:c r="I262" t="str">
        <x:v>ORD-2025-00020</x:v>
      </x:c>
      <x:c r="J262" t="n">
        <x:v>8</x:v>
      </x:c>
      <x:c r="K262" t="n">
        <x:v>3</x:v>
      </x:c>
      <x:c r="L262" t="str">
        <x:v>L21-S08-C3</x:v>
      </x:c>
      <x:c r="M262" t="n">
        <x:v>0</x:v>
      </x:c>
      <x:c r="N262" t="str">
        <x:v>DerivedFromCount</x:v>
      </x:c>
      <x:c r="O262" t="str">
        <x:v>PLC-PRD-JAR-720-L21</x:v>
      </x:c>
      <x:c r="P262" t="str">
        <x:v>OK</x:v>
      </x:c>
      <x:c r="Q262" t="str">
        <x:v>OK</x:v>
      </x:c>
      <x:c r="R262" t="str">
        <x:v>OK</x:v>
      </x:c>
      <x:c r="S262" t="str">
        <x:v>OK</x:v>
      </x:c>
      <x:c r="T262" t="n">
        <x:v>20</x:v>
      </x:c>
      <x:c r="U262" t="str">
        <x:v>OK</x:v>
      </x:c>
      <x:c r="V262" t="str">
        <x:v>OK</x:v>
      </x:c>
      <x:c r="W262" t="str">
        <x:v>LOAD</x:v>
      </x:c>
      <x:c r="X262" t="str">
        <x:v>02_Supervisor_Log(4).xlsx</x:v>
      </x:c>
      <x:c r="Y262" t="str">
        <x:v>ENH-20260830-01</x:v>
      </x:c>
      <x:c r="Z262" t="str">
        <x:v>Active</x:v>
      </x:c>
      <x:c r="AA262"/>
      <x:c r="AB262"/>
      <x:c r="AC262"/>
      <x:c r="AD262"/>
    </x:row>
    <x:row r="263">
      <x:c r="A263" t="str">
        <x:v>PCC-PE-KG01-L21-20251023-AM-ORD-2025-00020-S09-C1</x:v>
      </x:c>
      <x:c r="B263" t="str">
        <x:v>PC-PE-KG01-L21-20251023-AM-ORD-2025-00020-S09</x:v>
      </x:c>
      <x:c r="C263" t="str">
        <x:v>PE-KG01-L21-20251023-AM-ORD-2025-00020</x:v>
      </x:c>
      <x:c r="D263" t="str">
        <x:v>KG01</x:v>
      </x:c>
      <x:c r="E263" s="62" t="n">
        <x:v>45953</x:v>
      </x:c>
      <x:c r="F263" t="str">
        <x:v>AM</x:v>
      </x:c>
      <x:c r="G263" t="str">
        <x:v>C</x:v>
      </x:c>
      <x:c r="H263" t="n">
        <x:v>21</x:v>
      </x:c>
      <x:c r="I263" t="str">
        <x:v>ORD-2025-00020</x:v>
      </x:c>
      <x:c r="J263" t="n">
        <x:v>9</x:v>
      </x:c>
      <x:c r="K263" t="n">
        <x:v>1</x:v>
      </x:c>
      <x:c r="L263" t="str">
        <x:v>L21-S09-C1</x:v>
      </x:c>
      <x:c r="M263" t="n">
        <x:v>1</x:v>
      </x:c>
      <x:c r="N263" t="str">
        <x:v>DerivedFromCount</x:v>
      </x:c>
      <x:c r="O263" t="str">
        <x:v>PLC-PRD-JAR-720-L21</x:v>
      </x:c>
      <x:c r="P263" t="str">
        <x:v>OK</x:v>
      </x:c>
      <x:c r="Q263" t="str">
        <x:v>OK</x:v>
      </x:c>
      <x:c r="R263" t="str">
        <x:v>OK</x:v>
      </x:c>
      <x:c r="S263" t="str">
        <x:v>OK</x:v>
      </x:c>
      <x:c r="T263" t="n">
        <x:v>20</x:v>
      </x:c>
      <x:c r="U263" t="str">
        <x:v>OK</x:v>
      </x:c>
      <x:c r="V263" t="str">
        <x:v>OK</x:v>
      </x:c>
      <x:c r="W263" t="str">
        <x:v>LOAD</x:v>
      </x:c>
      <x:c r="X263" t="str">
        <x:v>02_Supervisor_Log(4).xlsx</x:v>
      </x:c>
      <x:c r="Y263" t="str">
        <x:v>ENH-20260830-01</x:v>
      </x:c>
      <x:c r="Z263" t="str">
        <x:v>Active</x:v>
      </x:c>
      <x:c r="AA263"/>
      <x:c r="AB263"/>
      <x:c r="AC263"/>
      <x:c r="AD263"/>
    </x:row>
    <x:row r="264">
      <x:c r="A264" t="str">
        <x:v>PCC-PE-KG01-L21-20251023-AM-ORD-2025-00020-S09-C2</x:v>
      </x:c>
      <x:c r="B264" t="str">
        <x:v>PC-PE-KG01-L21-20251023-AM-ORD-2025-00020-S09</x:v>
      </x:c>
      <x:c r="C264" t="str">
        <x:v>PE-KG01-L21-20251023-AM-ORD-2025-00020</x:v>
      </x:c>
      <x:c r="D264" t="str">
        <x:v>KG01</x:v>
      </x:c>
      <x:c r="E264" s="62" t="n">
        <x:v>45953</x:v>
      </x:c>
      <x:c r="F264" t="str">
        <x:v>AM</x:v>
      </x:c>
      <x:c r="G264" t="str">
        <x:v>C</x:v>
      </x:c>
      <x:c r="H264" t="n">
        <x:v>21</x:v>
      </x:c>
      <x:c r="I264" t="str">
        <x:v>ORD-2025-00020</x:v>
      </x:c>
      <x:c r="J264" t="n">
        <x:v>9</x:v>
      </x:c>
      <x:c r="K264" t="n">
        <x:v>2</x:v>
      </x:c>
      <x:c r="L264" t="str">
        <x:v>L21-S09-C2</x:v>
      </x:c>
      <x:c r="M264" t="n">
        <x:v>1</x:v>
      </x:c>
      <x:c r="N264" t="str">
        <x:v>DerivedFromCount</x:v>
      </x:c>
      <x:c r="O264" t="str">
        <x:v>PLC-PRD-JAR-720-L21</x:v>
      </x:c>
      <x:c r="P264" t="str">
        <x:v>OK</x:v>
      </x:c>
      <x:c r="Q264" t="str">
        <x:v>OK</x:v>
      </x:c>
      <x:c r="R264" t="str">
        <x:v>OK</x:v>
      </x:c>
      <x:c r="S264" t="str">
        <x:v>OK</x:v>
      </x:c>
      <x:c r="T264" t="n">
        <x:v>20</x:v>
      </x:c>
      <x:c r="U264" t="str">
        <x:v>OK</x:v>
      </x:c>
      <x:c r="V264" t="str">
        <x:v>OK</x:v>
      </x:c>
      <x:c r="W264" t="str">
        <x:v>LOAD</x:v>
      </x:c>
      <x:c r="X264" t="str">
        <x:v>02_Supervisor_Log(4).xlsx</x:v>
      </x:c>
      <x:c r="Y264" t="str">
        <x:v>ENH-20260830-01</x:v>
      </x:c>
      <x:c r="Z264" t="str">
        <x:v>Active</x:v>
      </x:c>
      <x:c r="AA264"/>
      <x:c r="AB264"/>
      <x:c r="AC264"/>
      <x:c r="AD264"/>
    </x:row>
    <x:row r="265">
      <x:c r="A265" t="str">
        <x:v>PCC-PE-KG01-L21-20251023-AM-ORD-2025-00020-S09-C3</x:v>
      </x:c>
      <x:c r="B265" t="str">
        <x:v>PC-PE-KG01-L21-20251023-AM-ORD-2025-00020-S09</x:v>
      </x:c>
      <x:c r="C265" t="str">
        <x:v>PE-KG01-L21-20251023-AM-ORD-2025-00020</x:v>
      </x:c>
      <x:c r="D265" t="str">
        <x:v>KG01</x:v>
      </x:c>
      <x:c r="E265" s="62" t="n">
        <x:v>45953</x:v>
      </x:c>
      <x:c r="F265" t="str">
        <x:v>AM</x:v>
      </x:c>
      <x:c r="G265" t="str">
        <x:v>C</x:v>
      </x:c>
      <x:c r="H265" t="n">
        <x:v>21</x:v>
      </x:c>
      <x:c r="I265" t="str">
        <x:v>ORD-2025-00020</x:v>
      </x:c>
      <x:c r="J265" t="n">
        <x:v>9</x:v>
      </x:c>
      <x:c r="K265" t="n">
        <x:v>3</x:v>
      </x:c>
      <x:c r="L265" t="str">
        <x:v>L21-S09-C3</x:v>
      </x:c>
      <x:c r="M265" t="n">
        <x:v>0</x:v>
      </x:c>
      <x:c r="N265" t="str">
        <x:v>DerivedFromCount</x:v>
      </x:c>
      <x:c r="O265" t="str">
        <x:v>PLC-PRD-JAR-720-L21</x:v>
      </x:c>
      <x:c r="P265" t="str">
        <x:v>OK</x:v>
      </x:c>
      <x:c r="Q265" t="str">
        <x:v>OK</x:v>
      </x:c>
      <x:c r="R265" t="str">
        <x:v>OK</x:v>
      </x:c>
      <x:c r="S265" t="str">
        <x:v>OK</x:v>
      </x:c>
      <x:c r="T265" t="n">
        <x:v>20</x:v>
      </x:c>
      <x:c r="U265" t="str">
        <x:v>OK</x:v>
      </x:c>
      <x:c r="V265" t="str">
        <x:v>OK</x:v>
      </x:c>
      <x:c r="W265" t="str">
        <x:v>LOAD</x:v>
      </x:c>
      <x:c r="X265" t="str">
        <x:v>02_Supervisor_Log(4).xlsx</x:v>
      </x:c>
      <x:c r="Y265" t="str">
        <x:v>ENH-20260830-01</x:v>
      </x:c>
      <x:c r="Z265" t="str">
        <x:v>Active</x:v>
      </x:c>
      <x:c r="AA265"/>
      <x:c r="AB265"/>
      <x:c r="AC265"/>
      <x:c r="AD265"/>
    </x:row>
    <x:row r="266">
      <x:c r="A266" t="str">
        <x:v>PCC-PE-KG01-L21-20251023-AM-ORD-2025-00020-S10-C1</x:v>
      </x:c>
      <x:c r="B266" t="str">
        <x:v>PC-PE-KG01-L21-20251023-AM-ORD-2025-00020-S10</x:v>
      </x:c>
      <x:c r="C266" t="str">
        <x:v>PE-KG01-L21-20251023-AM-ORD-2025-00020</x:v>
      </x:c>
      <x:c r="D266" t="str">
        <x:v>KG01</x:v>
      </x:c>
      <x:c r="E266" s="62" t="n">
        <x:v>45953</x:v>
      </x:c>
      <x:c r="F266" t="str">
        <x:v>AM</x:v>
      </x:c>
      <x:c r="G266" t="str">
        <x:v>C</x:v>
      </x:c>
      <x:c r="H266" t="n">
        <x:v>21</x:v>
      </x:c>
      <x:c r="I266" t="str">
        <x:v>ORD-2025-00020</x:v>
      </x:c>
      <x:c r="J266" t="n">
        <x:v>10</x:v>
      </x:c>
      <x:c r="K266" t="n">
        <x:v>1</x:v>
      </x:c>
      <x:c r="L266" t="str">
        <x:v>L21-S10-C1</x:v>
      </x:c>
      <x:c r="M266" t="n">
        <x:v>1</x:v>
      </x:c>
      <x:c r="N266" t="str">
        <x:v>DerivedFromCount</x:v>
      </x:c>
      <x:c r="O266" t="str">
        <x:v>PLC-PRD-JAR-720-L21</x:v>
      </x:c>
      <x:c r="P266" t="str">
        <x:v>OK</x:v>
      </x:c>
      <x:c r="Q266" t="str">
        <x:v>OK</x:v>
      </x:c>
      <x:c r="R266" t="str">
        <x:v>OK</x:v>
      </x:c>
      <x:c r="S266" t="str">
        <x:v>OK</x:v>
      </x:c>
      <x:c r="T266" t="n">
        <x:v>20</x:v>
      </x:c>
      <x:c r="U266" t="str">
        <x:v>OK</x:v>
      </x:c>
      <x:c r="V266" t="str">
        <x:v>OK</x:v>
      </x:c>
      <x:c r="W266" t="str">
        <x:v>LOAD</x:v>
      </x:c>
      <x:c r="X266" t="str">
        <x:v>02_Supervisor_Log(4).xlsx</x:v>
      </x:c>
      <x:c r="Y266" t="str">
        <x:v>ENH-20260830-01</x:v>
      </x:c>
      <x:c r="Z266" t="str">
        <x:v>Active</x:v>
      </x:c>
      <x:c r="AA266"/>
      <x:c r="AB266"/>
      <x:c r="AC266"/>
      <x:c r="AD266"/>
    </x:row>
    <x:row r="267">
      <x:c r="A267" t="str">
        <x:v>PCC-PE-KG01-L21-20251023-AM-ORD-2025-00020-S10-C2</x:v>
      </x:c>
      <x:c r="B267" t="str">
        <x:v>PC-PE-KG01-L21-20251023-AM-ORD-2025-00020-S10</x:v>
      </x:c>
      <x:c r="C267" t="str">
        <x:v>PE-KG01-L21-20251023-AM-ORD-2025-00020</x:v>
      </x:c>
      <x:c r="D267" t="str">
        <x:v>KG01</x:v>
      </x:c>
      <x:c r="E267" s="62" t="n">
        <x:v>45953</x:v>
      </x:c>
      <x:c r="F267" t="str">
        <x:v>AM</x:v>
      </x:c>
      <x:c r="G267" t="str">
        <x:v>C</x:v>
      </x:c>
      <x:c r="H267" t="n">
        <x:v>21</x:v>
      </x:c>
      <x:c r="I267" t="str">
        <x:v>ORD-2025-00020</x:v>
      </x:c>
      <x:c r="J267" t="n">
        <x:v>10</x:v>
      </x:c>
      <x:c r="K267" t="n">
        <x:v>2</x:v>
      </x:c>
      <x:c r="L267" t="str">
        <x:v>L21-S10-C2</x:v>
      </x:c>
      <x:c r="M267" t="n">
        <x:v>1</x:v>
      </x:c>
      <x:c r="N267" t="str">
        <x:v>DerivedFromCount</x:v>
      </x:c>
      <x:c r="O267" t="str">
        <x:v>PLC-PRD-JAR-720-L21</x:v>
      </x:c>
      <x:c r="P267" t="str">
        <x:v>OK</x:v>
      </x:c>
      <x:c r="Q267" t="str">
        <x:v>OK</x:v>
      </x:c>
      <x:c r="R267" t="str">
        <x:v>OK</x:v>
      </x:c>
      <x:c r="S267" t="str">
        <x:v>OK</x:v>
      </x:c>
      <x:c r="T267" t="n">
        <x:v>20</x:v>
      </x:c>
      <x:c r="U267" t="str">
        <x:v>OK</x:v>
      </x:c>
      <x:c r="V267" t="str">
        <x:v>OK</x:v>
      </x:c>
      <x:c r="W267" t="str">
        <x:v>LOAD</x:v>
      </x:c>
      <x:c r="X267" t="str">
        <x:v>02_Supervisor_Log(4).xlsx</x:v>
      </x:c>
      <x:c r="Y267" t="str">
        <x:v>ENH-20260830-01</x:v>
      </x:c>
      <x:c r="Z267" t="str">
        <x:v>Active</x:v>
      </x:c>
      <x:c r="AA267"/>
      <x:c r="AB267"/>
      <x:c r="AC267"/>
      <x:c r="AD267"/>
    </x:row>
    <x:row r="268">
      <x:c r="A268" t="str">
        <x:v>PCC-PE-KG01-L21-20251023-AM-ORD-2025-00020-S10-C3</x:v>
      </x:c>
      <x:c r="B268" t="str">
        <x:v>PC-PE-KG01-L21-20251023-AM-ORD-2025-00020-S10</x:v>
      </x:c>
      <x:c r="C268" t="str">
        <x:v>PE-KG01-L21-20251023-AM-ORD-2025-00020</x:v>
      </x:c>
      <x:c r="D268" t="str">
        <x:v>KG01</x:v>
      </x:c>
      <x:c r="E268" s="62" t="n">
        <x:v>45953</x:v>
      </x:c>
      <x:c r="F268" t="str">
        <x:v>AM</x:v>
      </x:c>
      <x:c r="G268" t="str">
        <x:v>C</x:v>
      </x:c>
      <x:c r="H268" t="n">
        <x:v>21</x:v>
      </x:c>
      <x:c r="I268" t="str">
        <x:v>ORD-2025-00020</x:v>
      </x:c>
      <x:c r="J268" t="n">
        <x:v>10</x:v>
      </x:c>
      <x:c r="K268" t="n">
        <x:v>3</x:v>
      </x:c>
      <x:c r="L268" t="str">
        <x:v>L21-S10-C3</x:v>
      </x:c>
      <x:c r="M268" t="n">
        <x:v>0</x:v>
      </x:c>
      <x:c r="N268" t="str">
        <x:v>DerivedFromCount</x:v>
      </x:c>
      <x:c r="O268" t="str">
        <x:v>PLC-PRD-JAR-720-L21</x:v>
      </x:c>
      <x:c r="P268" t="str">
        <x:v>OK</x:v>
      </x:c>
      <x:c r="Q268" t="str">
        <x:v>OK</x:v>
      </x:c>
      <x:c r="R268" t="str">
        <x:v>OK</x:v>
      </x:c>
      <x:c r="S268" t="str">
        <x:v>OK</x:v>
      </x:c>
      <x:c r="T268" t="n">
        <x:v>20</x:v>
      </x:c>
      <x:c r="U268" t="str">
        <x:v>OK</x:v>
      </x:c>
      <x:c r="V268" t="str">
        <x:v>OK</x:v>
      </x:c>
      <x:c r="W268" t="str">
        <x:v>LOAD</x:v>
      </x:c>
      <x:c r="X268" t="str">
        <x:v>02_Supervisor_Log(4).xlsx</x:v>
      </x:c>
      <x:c r="Y268" t="str">
        <x:v>ENH-20260830-01</x:v>
      </x:c>
      <x:c r="Z268" t="str">
        <x:v>Active</x:v>
      </x:c>
      <x:c r="AA268"/>
      <x:c r="AB268"/>
      <x:c r="AC268"/>
      <x:c r="AD268"/>
    </x:row>
    <x:row r="269">
      <x:c r="A269" t="str">
        <x:v>PCC-PE-KG01-L21-20251023-AM-ORD-2025-00020-S11-C1</x:v>
      </x:c>
      <x:c r="B269" t="str">
        <x:v>PC-PE-KG01-L21-20251023-AM-ORD-2025-00020-S11</x:v>
      </x:c>
      <x:c r="C269" t="str">
        <x:v>PE-KG01-L21-20251023-AM-ORD-2025-00020</x:v>
      </x:c>
      <x:c r="D269" t="str">
        <x:v>KG01</x:v>
      </x:c>
      <x:c r="E269" s="62" t="n">
        <x:v>45953</x:v>
      </x:c>
      <x:c r="F269" t="str">
        <x:v>AM</x:v>
      </x:c>
      <x:c r="G269" t="str">
        <x:v>C</x:v>
      </x:c>
      <x:c r="H269" t="n">
        <x:v>21</x:v>
      </x:c>
      <x:c r="I269" t="str">
        <x:v>ORD-2025-00020</x:v>
      </x:c>
      <x:c r="J269" t="n">
        <x:v>11</x:v>
      </x:c>
      <x:c r="K269" t="n">
        <x:v>1</x:v>
      </x:c>
      <x:c r="L269" t="str">
        <x:v>L21-S11-C1</x:v>
      </x:c>
      <x:c r="M269" t="n">
        <x:v>0</x:v>
      </x:c>
      <x:c r="N269" t="str">
        <x:v>DerivedFromCount</x:v>
      </x:c>
      <x:c r="O269" t="str">
        <x:v>PLC-PRD-JAR-720-L21</x:v>
      </x:c>
      <x:c r="P269" t="str">
        <x:v>OK</x:v>
      </x:c>
      <x:c r="Q269" t="str">
        <x:v>OK</x:v>
      </x:c>
      <x:c r="R269" t="str">
        <x:v>OK</x:v>
      </x:c>
      <x:c r="S269" t="str">
        <x:v>OK</x:v>
      </x:c>
      <x:c r="T269" t="n">
        <x:v>20</x:v>
      </x:c>
      <x:c r="U269" t="str">
        <x:v>OK</x:v>
      </x:c>
      <x:c r="V269" t="str">
        <x:v>OK</x:v>
      </x:c>
      <x:c r="W269" t="str">
        <x:v>LOAD</x:v>
      </x:c>
      <x:c r="X269" t="str">
        <x:v>02_Supervisor_Log(4).xlsx</x:v>
      </x:c>
      <x:c r="Y269" t="str">
        <x:v>ENH-20260830-01</x:v>
      </x:c>
      <x:c r="Z269" t="str">
        <x:v>Active</x:v>
      </x:c>
      <x:c r="AA269"/>
      <x:c r="AB269"/>
      <x:c r="AC269"/>
      <x:c r="AD269"/>
    </x:row>
    <x:row r="270">
      <x:c r="A270" t="str">
        <x:v>PCC-PE-KG01-L21-20251023-AM-ORD-2025-00020-S11-C2</x:v>
      </x:c>
      <x:c r="B270" t="str">
        <x:v>PC-PE-KG01-L21-20251023-AM-ORD-2025-00020-S11</x:v>
      </x:c>
      <x:c r="C270" t="str">
        <x:v>PE-KG01-L21-20251023-AM-ORD-2025-00020</x:v>
      </x:c>
      <x:c r="D270" t="str">
        <x:v>KG01</x:v>
      </x:c>
      <x:c r="E270" s="62" t="n">
        <x:v>45953</x:v>
      </x:c>
      <x:c r="F270" t="str">
        <x:v>AM</x:v>
      </x:c>
      <x:c r="G270" t="str">
        <x:v>C</x:v>
      </x:c>
      <x:c r="H270" t="n">
        <x:v>21</x:v>
      </x:c>
      <x:c r="I270" t="str">
        <x:v>ORD-2025-00020</x:v>
      </x:c>
      <x:c r="J270" t="n">
        <x:v>11</x:v>
      </x:c>
      <x:c r="K270" t="n">
        <x:v>2</x:v>
      </x:c>
      <x:c r="L270" t="str">
        <x:v>L21-S11-C2</x:v>
      </x:c>
      <x:c r="M270" t="n">
        <x:v>0</x:v>
      </x:c>
      <x:c r="N270" t="str">
        <x:v>DerivedFromCount</x:v>
      </x:c>
      <x:c r="O270" t="str">
        <x:v>PLC-PRD-JAR-720-L21</x:v>
      </x:c>
      <x:c r="P270" t="str">
        <x:v>OK</x:v>
      </x:c>
      <x:c r="Q270" t="str">
        <x:v>OK</x:v>
      </x:c>
      <x:c r="R270" t="str">
        <x:v>OK</x:v>
      </x:c>
      <x:c r="S270" t="str">
        <x:v>OK</x:v>
      </x:c>
      <x:c r="T270" t="n">
        <x:v>20</x:v>
      </x:c>
      <x:c r="U270" t="str">
        <x:v>OK</x:v>
      </x:c>
      <x:c r="V270" t="str">
        <x:v>OK</x:v>
      </x:c>
      <x:c r="W270" t="str">
        <x:v>LOAD</x:v>
      </x:c>
      <x:c r="X270" t="str">
        <x:v>02_Supervisor_Log(4).xlsx</x:v>
      </x:c>
      <x:c r="Y270" t="str">
        <x:v>ENH-20260830-01</x:v>
      </x:c>
      <x:c r="Z270" t="str">
        <x:v>Active</x:v>
      </x:c>
      <x:c r="AA270"/>
      <x:c r="AB270"/>
      <x:c r="AC270"/>
      <x:c r="AD270"/>
    </x:row>
    <x:row r="271">
      <x:c r="A271" t="str">
        <x:v>PCC-PE-KG01-L21-20251023-AM-ORD-2025-00020-S11-C3</x:v>
      </x:c>
      <x:c r="B271" t="str">
        <x:v>PC-PE-KG01-L21-20251023-AM-ORD-2025-00020-S11</x:v>
      </x:c>
      <x:c r="C271" t="str">
        <x:v>PE-KG01-L21-20251023-AM-ORD-2025-00020</x:v>
      </x:c>
      <x:c r="D271" t="str">
        <x:v>KG01</x:v>
      </x:c>
      <x:c r="E271" s="62" t="n">
        <x:v>45953</x:v>
      </x:c>
      <x:c r="F271" t="str">
        <x:v>AM</x:v>
      </x:c>
      <x:c r="G271" t="str">
        <x:v>C</x:v>
      </x:c>
      <x:c r="H271" t="n">
        <x:v>21</x:v>
      </x:c>
      <x:c r="I271" t="str">
        <x:v>ORD-2025-00020</x:v>
      </x:c>
      <x:c r="J271" t="n">
        <x:v>11</x:v>
      </x:c>
      <x:c r="K271" t="n">
        <x:v>3</x:v>
      </x:c>
      <x:c r="L271" t="str">
        <x:v>L21-S11-C3</x:v>
      </x:c>
      <x:c r="M271" t="n">
        <x:v>0</x:v>
      </x:c>
      <x:c r="N271" t="str">
        <x:v>DerivedFromCount</x:v>
      </x:c>
      <x:c r="O271" t="str">
        <x:v>PLC-PRD-JAR-720-L21</x:v>
      </x:c>
      <x:c r="P271" t="str">
        <x:v>OK</x:v>
      </x:c>
      <x:c r="Q271" t="str">
        <x:v>OK</x:v>
      </x:c>
      <x:c r="R271" t="str">
        <x:v>OK</x:v>
      </x:c>
      <x:c r="S271" t="str">
        <x:v>OK</x:v>
      </x:c>
      <x:c r="T271" t="n">
        <x:v>20</x:v>
      </x:c>
      <x:c r="U271" t="str">
        <x:v>OK</x:v>
      </x:c>
      <x:c r="V271" t="str">
        <x:v>OK</x:v>
      </x:c>
      <x:c r="W271" t="str">
        <x:v>LOAD</x:v>
      </x:c>
      <x:c r="X271" t="str">
        <x:v>02_Supervisor_Log(4).xlsx</x:v>
      </x:c>
      <x:c r="Y271" t="str">
        <x:v>ENH-20260830-01</x:v>
      </x:c>
      <x:c r="Z271" t="str">
        <x:v>Active</x:v>
      </x:c>
      <x:c r="AA271"/>
      <x:c r="AB271"/>
      <x:c r="AC271"/>
      <x:c r="AD271"/>
    </x:row>
    <x:row r="272">
      <x:c r="A272" t="str">
        <x:v>PCC-PE-KG01-L21-20251023-AM-ORD-2025-00020-S12-C1</x:v>
      </x:c>
      <x:c r="B272" t="str">
        <x:v>PC-PE-KG01-L21-20251023-AM-ORD-2025-00020-S12</x:v>
      </x:c>
      <x:c r="C272" t="str">
        <x:v>PE-KG01-L21-20251023-AM-ORD-2025-00020</x:v>
      </x:c>
      <x:c r="D272" t="str">
        <x:v>KG01</x:v>
      </x:c>
      <x:c r="E272" s="62" t="n">
        <x:v>45953</x:v>
      </x:c>
      <x:c r="F272" t="str">
        <x:v>AM</x:v>
      </x:c>
      <x:c r="G272" t="str">
        <x:v>C</x:v>
      </x:c>
      <x:c r="H272" t="n">
        <x:v>21</x:v>
      </x:c>
      <x:c r="I272" t="str">
        <x:v>ORD-2025-00020</x:v>
      </x:c>
      <x:c r="J272" t="n">
        <x:v>12</x:v>
      </x:c>
      <x:c r="K272" t="n">
        <x:v>1</x:v>
      </x:c>
      <x:c r="L272" t="str">
        <x:v>L21-S12-C1</x:v>
      </x:c>
      <x:c r="M272" t="n">
        <x:v>0</x:v>
      </x:c>
      <x:c r="N272" t="str">
        <x:v>DerivedFromCount</x:v>
      </x:c>
      <x:c r="O272" t="str">
        <x:v>PLC-PRD-JAR-720-L21</x:v>
      </x:c>
      <x:c r="P272" t="str">
        <x:v>OK</x:v>
      </x:c>
      <x:c r="Q272" t="str">
        <x:v>OK</x:v>
      </x:c>
      <x:c r="R272" t="str">
        <x:v>OK</x:v>
      </x:c>
      <x:c r="S272" t="str">
        <x:v>OK</x:v>
      </x:c>
      <x:c r="T272" t="n">
        <x:v>20</x:v>
      </x:c>
      <x:c r="U272" t="str">
        <x:v>OK</x:v>
      </x:c>
      <x:c r="V272" t="str">
        <x:v>OK</x:v>
      </x:c>
      <x:c r="W272" t="str">
        <x:v>LOAD</x:v>
      </x:c>
      <x:c r="X272" t="str">
        <x:v>02_Supervisor_Log(4).xlsx</x:v>
      </x:c>
      <x:c r="Y272" t="str">
        <x:v>ENH-20260830-01</x:v>
      </x:c>
      <x:c r="Z272" t="str">
        <x:v>Active</x:v>
      </x:c>
      <x:c r="AA272"/>
      <x:c r="AB272"/>
      <x:c r="AC272"/>
      <x:c r="AD272"/>
    </x:row>
    <x:row r="273">
      <x:c r="A273" t="str">
        <x:v>PCC-PE-KG01-L21-20251023-AM-ORD-2025-00020-S12-C2</x:v>
      </x:c>
      <x:c r="B273" t="str">
        <x:v>PC-PE-KG01-L21-20251023-AM-ORD-2025-00020-S12</x:v>
      </x:c>
      <x:c r="C273" t="str">
        <x:v>PE-KG01-L21-20251023-AM-ORD-2025-00020</x:v>
      </x:c>
      <x:c r="D273" t="str">
        <x:v>KG01</x:v>
      </x:c>
      <x:c r="E273" s="62" t="n">
        <x:v>45953</x:v>
      </x:c>
      <x:c r="F273" t="str">
        <x:v>AM</x:v>
      </x:c>
      <x:c r="G273" t="str">
        <x:v>C</x:v>
      </x:c>
      <x:c r="H273" t="n">
        <x:v>21</x:v>
      </x:c>
      <x:c r="I273" t="str">
        <x:v>ORD-2025-00020</x:v>
      </x:c>
      <x:c r="J273" t="n">
        <x:v>12</x:v>
      </x:c>
      <x:c r="K273" t="n">
        <x:v>2</x:v>
      </x:c>
      <x:c r="L273" t="str">
        <x:v>L21-S12-C2</x:v>
      </x:c>
      <x:c r="M273" t="n">
        <x:v>0</x:v>
      </x:c>
      <x:c r="N273" t="str">
        <x:v>DerivedFromCount</x:v>
      </x:c>
      <x:c r="O273" t="str">
        <x:v>PLC-PRD-JAR-720-L21</x:v>
      </x:c>
      <x:c r="P273" t="str">
        <x:v>OK</x:v>
      </x:c>
      <x:c r="Q273" t="str">
        <x:v>OK</x:v>
      </x:c>
      <x:c r="R273" t="str">
        <x:v>OK</x:v>
      </x:c>
      <x:c r="S273" t="str">
        <x:v>OK</x:v>
      </x:c>
      <x:c r="T273" t="n">
        <x:v>20</x:v>
      </x:c>
      <x:c r="U273" t="str">
        <x:v>OK</x:v>
      </x:c>
      <x:c r="V273" t="str">
        <x:v>OK</x:v>
      </x:c>
      <x:c r="W273" t="str">
        <x:v>LOAD</x:v>
      </x:c>
      <x:c r="X273" t="str">
        <x:v>02_Supervisor_Log(4).xlsx</x:v>
      </x:c>
      <x:c r="Y273" t="str">
        <x:v>ENH-20260830-01</x:v>
      </x:c>
      <x:c r="Z273" t="str">
        <x:v>Active</x:v>
      </x:c>
      <x:c r="AA273"/>
      <x:c r="AB273"/>
      <x:c r="AC273"/>
      <x:c r="AD273"/>
    </x:row>
    <x:row r="274">
      <x:c r="A274" t="str">
        <x:v>PCC-PE-KG01-L21-20251023-AM-ORD-2025-00020-S12-C3</x:v>
      </x:c>
      <x:c r="B274" t="str">
        <x:v>PC-PE-KG01-L21-20251023-AM-ORD-2025-00020-S12</x:v>
      </x:c>
      <x:c r="C274" t="str">
        <x:v>PE-KG01-L21-20251023-AM-ORD-2025-00020</x:v>
      </x:c>
      <x:c r="D274" t="str">
        <x:v>KG01</x:v>
      </x:c>
      <x:c r="E274" s="62" t="n">
        <x:v>45953</x:v>
      </x:c>
      <x:c r="F274" t="str">
        <x:v>AM</x:v>
      </x:c>
      <x:c r="G274" t="str">
        <x:v>C</x:v>
      </x:c>
      <x:c r="H274" t="n">
        <x:v>21</x:v>
      </x:c>
      <x:c r="I274" t="str">
        <x:v>ORD-2025-00020</x:v>
      </x:c>
      <x:c r="J274" t="n">
        <x:v>12</x:v>
      </x:c>
      <x:c r="K274" t="n">
        <x:v>3</x:v>
      </x:c>
      <x:c r="L274" t="str">
        <x:v>L21-S12-C3</x:v>
      </x:c>
      <x:c r="M274" t="n">
        <x:v>0</x:v>
      </x:c>
      <x:c r="N274" t="str">
        <x:v>DerivedFromCount</x:v>
      </x:c>
      <x:c r="O274" t="str">
        <x:v>PLC-PRD-JAR-720-L21</x:v>
      </x:c>
      <x:c r="P274" t="str">
        <x:v>OK</x:v>
      </x:c>
      <x:c r="Q274" t="str">
        <x:v>OK</x:v>
      </x:c>
      <x:c r="R274" t="str">
        <x:v>OK</x:v>
      </x:c>
      <x:c r="S274" t="str">
        <x:v>OK</x:v>
      </x:c>
      <x:c r="T274" t="n">
        <x:v>20</x:v>
      </x:c>
      <x:c r="U274" t="str">
        <x:v>OK</x:v>
      </x:c>
      <x:c r="V274" t="str">
        <x:v>OK</x:v>
      </x:c>
      <x:c r="W274" t="str">
        <x:v>LOAD</x:v>
      </x:c>
      <x:c r="X274" t="str">
        <x:v>02_Supervisor_Log(4).xlsx</x:v>
      </x:c>
      <x:c r="Y274" t="str">
        <x:v>ENH-20260830-01</x:v>
      </x:c>
      <x:c r="Z274" t="str">
        <x:v>Active</x:v>
      </x:c>
      <x:c r="AA274"/>
      <x:c r="AB274"/>
      <x:c r="AC274"/>
      <x:c r="AD274"/>
    </x:row>
    <x:row r="275">
      <x:c r="A275" t="str">
        <x:v>PCC-PE-KG01-L21-20251023-AM-ORD-2025-00020-S13-C1</x:v>
      </x:c>
      <x:c r="B275" t="str">
        <x:v>PC-PE-KG01-L21-20251023-AM-ORD-2025-00020-S13</x:v>
      </x:c>
      <x:c r="C275" t="str">
        <x:v>PE-KG01-L21-20251023-AM-ORD-2025-00020</x:v>
      </x:c>
      <x:c r="D275" t="str">
        <x:v>KG01</x:v>
      </x:c>
      <x:c r="E275" s="62" t="n">
        <x:v>45953</x:v>
      </x:c>
      <x:c r="F275" t="str">
        <x:v>AM</x:v>
      </x:c>
      <x:c r="G275" t="str">
        <x:v>C</x:v>
      </x:c>
      <x:c r="H275" t="n">
        <x:v>21</x:v>
      </x:c>
      <x:c r="I275" t="str">
        <x:v>ORD-2025-00020</x:v>
      </x:c>
      <x:c r="J275" t="n">
        <x:v>13</x:v>
      </x:c>
      <x:c r="K275" t="n">
        <x:v>1</x:v>
      </x:c>
      <x:c r="L275" t="str">
        <x:v>L21-S13-C1</x:v>
      </x:c>
      <x:c r="M275" t="n">
        <x:v>0</x:v>
      </x:c>
      <x:c r="N275" t="str">
        <x:v>DerivedFromCount</x:v>
      </x:c>
      <x:c r="O275" t="str">
        <x:v>PLC-PRD-JAR-720-L21</x:v>
      </x:c>
      <x:c r="P275" t="str">
        <x:v>OK</x:v>
      </x:c>
      <x:c r="Q275" t="str">
        <x:v>OK</x:v>
      </x:c>
      <x:c r="R275" t="str">
        <x:v>OK</x:v>
      </x:c>
      <x:c r="S275" t="str">
        <x:v>OK</x:v>
      </x:c>
      <x:c r="T275" t="n">
        <x:v>20</x:v>
      </x:c>
      <x:c r="U275" t="str">
        <x:v>OK</x:v>
      </x:c>
      <x:c r="V275" t="str">
        <x:v>OK</x:v>
      </x:c>
      <x:c r="W275" t="str">
        <x:v>LOAD</x:v>
      </x:c>
      <x:c r="X275" t="str">
        <x:v>02_Supervisor_Log(4).xlsx</x:v>
      </x:c>
      <x:c r="Y275" t="str">
        <x:v>ENH-20260830-01</x:v>
      </x:c>
      <x:c r="Z275" t="str">
        <x:v>Active</x:v>
      </x:c>
      <x:c r="AA275"/>
      <x:c r="AB275"/>
      <x:c r="AC275"/>
      <x:c r="AD275"/>
    </x:row>
    <x:row r="276">
      <x:c r="A276" t="str">
        <x:v>PCC-PE-KG01-L21-20251023-AM-ORD-2025-00020-S13-C2</x:v>
      </x:c>
      <x:c r="B276" t="str">
        <x:v>PC-PE-KG01-L21-20251023-AM-ORD-2025-00020-S13</x:v>
      </x:c>
      <x:c r="C276" t="str">
        <x:v>PE-KG01-L21-20251023-AM-ORD-2025-00020</x:v>
      </x:c>
      <x:c r="D276" t="str">
        <x:v>KG01</x:v>
      </x:c>
      <x:c r="E276" s="62" t="n">
        <x:v>45953</x:v>
      </x:c>
      <x:c r="F276" t="str">
        <x:v>AM</x:v>
      </x:c>
      <x:c r="G276" t="str">
        <x:v>C</x:v>
      </x:c>
      <x:c r="H276" t="n">
        <x:v>21</x:v>
      </x:c>
      <x:c r="I276" t="str">
        <x:v>ORD-2025-00020</x:v>
      </x:c>
      <x:c r="J276" t="n">
        <x:v>13</x:v>
      </x:c>
      <x:c r="K276" t="n">
        <x:v>2</x:v>
      </x:c>
      <x:c r="L276" t="str">
        <x:v>L21-S13-C2</x:v>
      </x:c>
      <x:c r="M276" t="n">
        <x:v>0</x:v>
      </x:c>
      <x:c r="N276" t="str">
        <x:v>DerivedFromCount</x:v>
      </x:c>
      <x:c r="O276" t="str">
        <x:v>PLC-PRD-JAR-720-L21</x:v>
      </x:c>
      <x:c r="P276" t="str">
        <x:v>OK</x:v>
      </x:c>
      <x:c r="Q276" t="str">
        <x:v>OK</x:v>
      </x:c>
      <x:c r="R276" t="str">
        <x:v>OK</x:v>
      </x:c>
      <x:c r="S276" t="str">
        <x:v>OK</x:v>
      </x:c>
      <x:c r="T276" t="n">
        <x:v>20</x:v>
      </x:c>
      <x:c r="U276" t="str">
        <x:v>OK</x:v>
      </x:c>
      <x:c r="V276" t="str">
        <x:v>OK</x:v>
      </x:c>
      <x:c r="W276" t="str">
        <x:v>LOAD</x:v>
      </x:c>
      <x:c r="X276" t="str">
        <x:v>02_Supervisor_Log(4).xlsx</x:v>
      </x:c>
      <x:c r="Y276" t="str">
        <x:v>ENH-20260830-01</x:v>
      </x:c>
      <x:c r="Z276" t="str">
        <x:v>Active</x:v>
      </x:c>
      <x:c r="AA276"/>
      <x:c r="AB276"/>
      <x:c r="AC276"/>
      <x:c r="AD276"/>
    </x:row>
    <x:row r="277">
      <x:c r="A277" t="str">
        <x:v>PCC-PE-KG01-L21-20251023-AM-ORD-2025-00020-S13-C3</x:v>
      </x:c>
      <x:c r="B277" t="str">
        <x:v>PC-PE-KG01-L21-20251023-AM-ORD-2025-00020-S13</x:v>
      </x:c>
      <x:c r="C277" t="str">
        <x:v>PE-KG01-L21-20251023-AM-ORD-2025-00020</x:v>
      </x:c>
      <x:c r="D277" t="str">
        <x:v>KG01</x:v>
      </x:c>
      <x:c r="E277" s="62" t="n">
        <x:v>45953</x:v>
      </x:c>
      <x:c r="F277" t="str">
        <x:v>AM</x:v>
      </x:c>
      <x:c r="G277" t="str">
        <x:v>C</x:v>
      </x:c>
      <x:c r="H277" t="n">
        <x:v>21</x:v>
      </x:c>
      <x:c r="I277" t="str">
        <x:v>ORD-2025-00020</x:v>
      </x:c>
      <x:c r="J277" t="n">
        <x:v>13</x:v>
      </x:c>
      <x:c r="K277" t="n">
        <x:v>3</x:v>
      </x:c>
      <x:c r="L277" t="str">
        <x:v>L21-S13-C3</x:v>
      </x:c>
      <x:c r="M277" t="n">
        <x:v>0</x:v>
      </x:c>
      <x:c r="N277" t="str">
        <x:v>DerivedFromCount</x:v>
      </x:c>
      <x:c r="O277" t="str">
        <x:v>PLC-PRD-JAR-720-L21</x:v>
      </x:c>
      <x:c r="P277" t="str">
        <x:v>OK</x:v>
      </x:c>
      <x:c r="Q277" t="str">
        <x:v>OK</x:v>
      </x:c>
      <x:c r="R277" t="str">
        <x:v>OK</x:v>
      </x:c>
      <x:c r="S277" t="str">
        <x:v>OK</x:v>
      </x:c>
      <x:c r="T277" t="n">
        <x:v>20</x:v>
      </x:c>
      <x:c r="U277" t="str">
        <x:v>OK</x:v>
      </x:c>
      <x:c r="V277" t="str">
        <x:v>OK</x:v>
      </x:c>
      <x:c r="W277" t="str">
        <x:v>LOAD</x:v>
      </x:c>
      <x:c r="X277" t="str">
        <x:v>02_Supervisor_Log(4).xlsx</x:v>
      </x:c>
      <x:c r="Y277" t="str">
        <x:v>ENH-20260830-01</x:v>
      </x:c>
      <x:c r="Z277" t="str">
        <x:v>Active</x:v>
      </x:c>
      <x:c r="AA277"/>
      <x:c r="AB277"/>
      <x:c r="AC277"/>
      <x:c r="AD277"/>
    </x:row>
    <x:row r="278">
      <x:c r="A278" t="str">
        <x:v>PCC-PE-KG01-L21-20251023-PM-ORD-2025-00020-S01-C1</x:v>
      </x:c>
      <x:c r="B278" t="str">
        <x:v>PC-PE-KG01-L21-20251023-PM-ORD-2025-00020-S01</x:v>
      </x:c>
      <x:c r="C278" t="str">
        <x:v>PE-KG01-L21-20251023-PM-ORD-2025-00020</x:v>
      </x:c>
      <x:c r="D278" t="str">
        <x:v>KG01</x:v>
      </x:c>
      <x:c r="E278" s="62" t="n">
        <x:v>45953</x:v>
      </x:c>
      <x:c r="F278" t="str">
        <x:v>PM</x:v>
      </x:c>
      <x:c r="G278" t="str">
        <x:v>A</x:v>
      </x:c>
      <x:c r="H278" t="n">
        <x:v>21</x:v>
      </x:c>
      <x:c r="I278" t="str">
        <x:v>ORD-2025-00020</x:v>
      </x:c>
      <x:c r="J278" t="n">
        <x:v>1</x:v>
      </x:c>
      <x:c r="K278" t="n">
        <x:v>1</x:v>
      </x:c>
      <x:c r="L278" t="str">
        <x:v>L21-S01-C1</x:v>
      </x:c>
      <x:c r="M278" t="n">
        <x:v>1</x:v>
      </x:c>
      <x:c r="N278" t="str">
        <x:v>DerivedFromCount</x:v>
      </x:c>
      <x:c r="O278" t="str">
        <x:v>PLC-PRD-JAR-720-L21</x:v>
      </x:c>
      <x:c r="P278" t="str">
        <x:v>OK</x:v>
      </x:c>
      <x:c r="Q278" t="str">
        <x:v>OK</x:v>
      </x:c>
      <x:c r="R278" t="str">
        <x:v>OK</x:v>
      </x:c>
      <x:c r="S278" t="str">
        <x:v>OK</x:v>
      </x:c>
      <x:c r="T278" t="n">
        <x:v>20</x:v>
      </x:c>
      <x:c r="U278" t="str">
        <x:v>OK</x:v>
      </x:c>
      <x:c r="V278" t="str">
        <x:v>OK</x:v>
      </x:c>
      <x:c r="W278" t="str">
        <x:v>LOAD</x:v>
      </x:c>
      <x:c r="X278" t="str">
        <x:v>02_Supervisor_Log(4).xlsx</x:v>
      </x:c>
      <x:c r="Y278" t="str">
        <x:v>ENH-20260830-01</x:v>
      </x:c>
      <x:c r="Z278" t="str">
        <x:v>Active</x:v>
      </x:c>
      <x:c r="AA278"/>
      <x:c r="AB278"/>
      <x:c r="AC278"/>
      <x:c r="AD278"/>
    </x:row>
    <x:row r="279">
      <x:c r="A279" t="str">
        <x:v>PCC-PE-KG01-L21-20251023-PM-ORD-2025-00020-S01-C2</x:v>
      </x:c>
      <x:c r="B279" t="str">
        <x:v>PC-PE-KG01-L21-20251023-PM-ORD-2025-00020-S01</x:v>
      </x:c>
      <x:c r="C279" t="str">
        <x:v>PE-KG01-L21-20251023-PM-ORD-2025-00020</x:v>
      </x:c>
      <x:c r="D279" t="str">
        <x:v>KG01</x:v>
      </x:c>
      <x:c r="E279" s="62" t="n">
        <x:v>45953</x:v>
      </x:c>
      <x:c r="F279" t="str">
        <x:v>PM</x:v>
      </x:c>
      <x:c r="G279" t="str">
        <x:v>A</x:v>
      </x:c>
      <x:c r="H279" t="n">
        <x:v>21</x:v>
      </x:c>
      <x:c r="I279" t="str">
        <x:v>ORD-2025-00020</x:v>
      </x:c>
      <x:c r="J279" t="n">
        <x:v>1</x:v>
      </x:c>
      <x:c r="K279" t="n">
        <x:v>2</x:v>
      </x:c>
      <x:c r="L279" t="str">
        <x:v>L21-S01-C2</x:v>
      </x:c>
      <x:c r="M279" t="n">
        <x:v>1</x:v>
      </x:c>
      <x:c r="N279" t="str">
        <x:v>DerivedFromCount</x:v>
      </x:c>
      <x:c r="O279" t="str">
        <x:v>PLC-PRD-JAR-720-L21</x:v>
      </x:c>
      <x:c r="P279" t="str">
        <x:v>OK</x:v>
      </x:c>
      <x:c r="Q279" t="str">
        <x:v>OK</x:v>
      </x:c>
      <x:c r="R279" t="str">
        <x:v>OK</x:v>
      </x:c>
      <x:c r="S279" t="str">
        <x:v>OK</x:v>
      </x:c>
      <x:c r="T279" t="n">
        <x:v>20</x:v>
      </x:c>
      <x:c r="U279" t="str">
        <x:v>OK</x:v>
      </x:c>
      <x:c r="V279" t="str">
        <x:v>OK</x:v>
      </x:c>
      <x:c r="W279" t="str">
        <x:v>LOAD</x:v>
      </x:c>
      <x:c r="X279" t="str">
        <x:v>02_Supervisor_Log(4).xlsx</x:v>
      </x:c>
      <x:c r="Y279" t="str">
        <x:v>ENH-20260830-01</x:v>
      </x:c>
      <x:c r="Z279" t="str">
        <x:v>Active</x:v>
      </x:c>
      <x:c r="AA279"/>
      <x:c r="AB279"/>
      <x:c r="AC279"/>
      <x:c r="AD279"/>
    </x:row>
    <x:row r="280">
      <x:c r="A280" t="str">
        <x:v>PCC-PE-KG01-L21-20251023-PM-ORD-2025-00020-S01-C3</x:v>
      </x:c>
      <x:c r="B280" t="str">
        <x:v>PC-PE-KG01-L21-20251023-PM-ORD-2025-00020-S01</x:v>
      </x:c>
      <x:c r="C280" t="str">
        <x:v>PE-KG01-L21-20251023-PM-ORD-2025-00020</x:v>
      </x:c>
      <x:c r="D280" t="str">
        <x:v>KG01</x:v>
      </x:c>
      <x:c r="E280" s="62" t="n">
        <x:v>45953</x:v>
      </x:c>
      <x:c r="F280" t="str">
        <x:v>PM</x:v>
      </x:c>
      <x:c r="G280" t="str">
        <x:v>A</x:v>
      </x:c>
      <x:c r="H280" t="n">
        <x:v>21</x:v>
      </x:c>
      <x:c r="I280" t="str">
        <x:v>ORD-2025-00020</x:v>
      </x:c>
      <x:c r="J280" t="n">
        <x:v>1</x:v>
      </x:c>
      <x:c r="K280" t="n">
        <x:v>3</x:v>
      </x:c>
      <x:c r="L280" t="str">
        <x:v>L21-S01-C3</x:v>
      </x:c>
      <x:c r="M280" t="n">
        <x:v>0</x:v>
      </x:c>
      <x:c r="N280" t="str">
        <x:v>DerivedFromCount</x:v>
      </x:c>
      <x:c r="O280" t="str">
        <x:v>PLC-PRD-JAR-720-L21</x:v>
      </x:c>
      <x:c r="P280" t="str">
        <x:v>OK</x:v>
      </x:c>
      <x:c r="Q280" t="str">
        <x:v>OK</x:v>
      </x:c>
      <x:c r="R280" t="str">
        <x:v>OK</x:v>
      </x:c>
      <x:c r="S280" t="str">
        <x:v>OK</x:v>
      </x:c>
      <x:c r="T280" t="n">
        <x:v>20</x:v>
      </x:c>
      <x:c r="U280" t="str">
        <x:v>OK</x:v>
      </x:c>
      <x:c r="V280" t="str">
        <x:v>OK</x:v>
      </x:c>
      <x:c r="W280" t="str">
        <x:v>LOAD</x:v>
      </x:c>
      <x:c r="X280" t="str">
        <x:v>02_Supervisor_Log(4).xlsx</x:v>
      </x:c>
      <x:c r="Y280" t="str">
        <x:v>ENH-20260830-01</x:v>
      </x:c>
      <x:c r="Z280" t="str">
        <x:v>Active</x:v>
      </x:c>
      <x:c r="AA280"/>
      <x:c r="AB280"/>
      <x:c r="AC280"/>
      <x:c r="AD280"/>
    </x:row>
    <x:row r="281">
      <x:c r="A281" t="str">
        <x:v>PCC-PE-KG01-L21-20251023-PM-ORD-2025-00020-S02-C1</x:v>
      </x:c>
      <x:c r="B281" t="str">
        <x:v>PC-PE-KG01-L21-20251023-PM-ORD-2025-00020-S02</x:v>
      </x:c>
      <x:c r="C281" t="str">
        <x:v>PE-KG01-L21-20251023-PM-ORD-2025-00020</x:v>
      </x:c>
      <x:c r="D281" t="str">
        <x:v>KG01</x:v>
      </x:c>
      <x:c r="E281" s="62" t="n">
        <x:v>45953</x:v>
      </x:c>
      <x:c r="F281" t="str">
        <x:v>PM</x:v>
      </x:c>
      <x:c r="G281" t="str">
        <x:v>A</x:v>
      </x:c>
      <x:c r="H281" t="n">
        <x:v>21</x:v>
      </x:c>
      <x:c r="I281" t="str">
        <x:v>ORD-2025-00020</x:v>
      </x:c>
      <x:c r="J281" t="n">
        <x:v>2</x:v>
      </x:c>
      <x:c r="K281" t="n">
        <x:v>1</x:v>
      </x:c>
      <x:c r="L281" t="str">
        <x:v>L21-S02-C1</x:v>
      </x:c>
      <x:c r="M281" t="n">
        <x:v>1</x:v>
      </x:c>
      <x:c r="N281" t="str">
        <x:v>DerivedFromCount</x:v>
      </x:c>
      <x:c r="O281" t="str">
        <x:v>PLC-PRD-JAR-720-L21</x:v>
      </x:c>
      <x:c r="P281" t="str">
        <x:v>OK</x:v>
      </x:c>
      <x:c r="Q281" t="str">
        <x:v>OK</x:v>
      </x:c>
      <x:c r="R281" t="str">
        <x:v>OK</x:v>
      </x:c>
      <x:c r="S281" t="str">
        <x:v>OK</x:v>
      </x:c>
      <x:c r="T281" t="n">
        <x:v>20</x:v>
      </x:c>
      <x:c r="U281" t="str">
        <x:v>OK</x:v>
      </x:c>
      <x:c r="V281" t="str">
        <x:v>OK</x:v>
      </x:c>
      <x:c r="W281" t="str">
        <x:v>LOAD</x:v>
      </x:c>
      <x:c r="X281" t="str">
        <x:v>02_Supervisor_Log(4).xlsx</x:v>
      </x:c>
      <x:c r="Y281" t="str">
        <x:v>ENH-20260830-01</x:v>
      </x:c>
      <x:c r="Z281" t="str">
        <x:v>Active</x:v>
      </x:c>
      <x:c r="AA281"/>
      <x:c r="AB281"/>
      <x:c r="AC281"/>
      <x:c r="AD281"/>
    </x:row>
    <x:row r="282">
      <x:c r="A282" t="str">
        <x:v>PCC-PE-KG01-L21-20251023-PM-ORD-2025-00020-S02-C2</x:v>
      </x:c>
      <x:c r="B282" t="str">
        <x:v>PC-PE-KG01-L21-20251023-PM-ORD-2025-00020-S02</x:v>
      </x:c>
      <x:c r="C282" t="str">
        <x:v>PE-KG01-L21-20251023-PM-ORD-2025-00020</x:v>
      </x:c>
      <x:c r="D282" t="str">
        <x:v>KG01</x:v>
      </x:c>
      <x:c r="E282" s="62" t="n">
        <x:v>45953</x:v>
      </x:c>
      <x:c r="F282" t="str">
        <x:v>PM</x:v>
      </x:c>
      <x:c r="G282" t="str">
        <x:v>A</x:v>
      </x:c>
      <x:c r="H282" t="n">
        <x:v>21</x:v>
      </x:c>
      <x:c r="I282" t="str">
        <x:v>ORD-2025-00020</x:v>
      </x:c>
      <x:c r="J282" t="n">
        <x:v>2</x:v>
      </x:c>
      <x:c r="K282" t="n">
        <x:v>2</x:v>
      </x:c>
      <x:c r="L282" t="str">
        <x:v>L21-S02-C2</x:v>
      </x:c>
      <x:c r="M282" t="n">
        <x:v>1</x:v>
      </x:c>
      <x:c r="N282" t="str">
        <x:v>DerivedFromCount</x:v>
      </x:c>
      <x:c r="O282" t="str">
        <x:v>PLC-PRD-JAR-720-L21</x:v>
      </x:c>
      <x:c r="P282" t="str">
        <x:v>OK</x:v>
      </x:c>
      <x:c r="Q282" t="str">
        <x:v>OK</x:v>
      </x:c>
      <x:c r="R282" t="str">
        <x:v>OK</x:v>
      </x:c>
      <x:c r="S282" t="str">
        <x:v>OK</x:v>
      </x:c>
      <x:c r="T282" t="n">
        <x:v>20</x:v>
      </x:c>
      <x:c r="U282" t="str">
        <x:v>OK</x:v>
      </x:c>
      <x:c r="V282" t="str">
        <x:v>OK</x:v>
      </x:c>
      <x:c r="W282" t="str">
        <x:v>LOAD</x:v>
      </x:c>
      <x:c r="X282" t="str">
        <x:v>02_Supervisor_Log(4).xlsx</x:v>
      </x:c>
      <x:c r="Y282" t="str">
        <x:v>ENH-20260830-01</x:v>
      </x:c>
      <x:c r="Z282" t="str">
        <x:v>Active</x:v>
      </x:c>
      <x:c r="AA282"/>
      <x:c r="AB282"/>
      <x:c r="AC282"/>
      <x:c r="AD282"/>
    </x:row>
    <x:row r="283">
      <x:c r="A283" t="str">
        <x:v>PCC-PE-KG01-L21-20251023-PM-ORD-2025-00020-S02-C3</x:v>
      </x:c>
      <x:c r="B283" t="str">
        <x:v>PC-PE-KG01-L21-20251023-PM-ORD-2025-00020-S02</x:v>
      </x:c>
      <x:c r="C283" t="str">
        <x:v>PE-KG01-L21-20251023-PM-ORD-2025-00020</x:v>
      </x:c>
      <x:c r="D283" t="str">
        <x:v>KG01</x:v>
      </x:c>
      <x:c r="E283" s="62" t="n">
        <x:v>45953</x:v>
      </x:c>
      <x:c r="F283" t="str">
        <x:v>PM</x:v>
      </x:c>
      <x:c r="G283" t="str">
        <x:v>A</x:v>
      </x:c>
      <x:c r="H283" t="n">
        <x:v>21</x:v>
      </x:c>
      <x:c r="I283" t="str">
        <x:v>ORD-2025-00020</x:v>
      </x:c>
      <x:c r="J283" t="n">
        <x:v>2</x:v>
      </x:c>
      <x:c r="K283" t="n">
        <x:v>3</x:v>
      </x:c>
      <x:c r="L283" t="str">
        <x:v>L21-S02-C3</x:v>
      </x:c>
      <x:c r="M283" t="n">
        <x:v>0</x:v>
      </x:c>
      <x:c r="N283" t="str">
        <x:v>DerivedFromCount</x:v>
      </x:c>
      <x:c r="O283" t="str">
        <x:v>PLC-PRD-JAR-720-L21</x:v>
      </x:c>
      <x:c r="P283" t="str">
        <x:v>OK</x:v>
      </x:c>
      <x:c r="Q283" t="str">
        <x:v>OK</x:v>
      </x:c>
      <x:c r="R283" t="str">
        <x:v>OK</x:v>
      </x:c>
      <x:c r="S283" t="str">
        <x:v>OK</x:v>
      </x:c>
      <x:c r="T283" t="n">
        <x:v>20</x:v>
      </x:c>
      <x:c r="U283" t="str">
        <x:v>OK</x:v>
      </x:c>
      <x:c r="V283" t="str">
        <x:v>OK</x:v>
      </x:c>
      <x:c r="W283" t="str">
        <x:v>LOAD</x:v>
      </x:c>
      <x:c r="X283" t="str">
        <x:v>02_Supervisor_Log(4).xlsx</x:v>
      </x:c>
      <x:c r="Y283" t="str">
        <x:v>ENH-20260830-01</x:v>
      </x:c>
      <x:c r="Z283" t="str">
        <x:v>Active</x:v>
      </x:c>
      <x:c r="AA283"/>
      <x:c r="AB283"/>
      <x:c r="AC283"/>
      <x:c r="AD283"/>
    </x:row>
    <x:row r="284">
      <x:c r="A284" t="str">
        <x:v>PCC-PE-KG01-L21-20251023-PM-ORD-2025-00020-S03-C1</x:v>
      </x:c>
      <x:c r="B284" t="str">
        <x:v>PC-PE-KG01-L21-20251023-PM-ORD-2025-00020-S03</x:v>
      </x:c>
      <x:c r="C284" t="str">
        <x:v>PE-KG01-L21-20251023-PM-ORD-2025-00020</x:v>
      </x:c>
      <x:c r="D284" t="str">
        <x:v>KG01</x:v>
      </x:c>
      <x:c r="E284" s="62" t="n">
        <x:v>45953</x:v>
      </x:c>
      <x:c r="F284" t="str">
        <x:v>PM</x:v>
      </x:c>
      <x:c r="G284" t="str">
        <x:v>A</x:v>
      </x:c>
      <x:c r="H284" t="n">
        <x:v>21</x:v>
      </x:c>
      <x:c r="I284" t="str">
        <x:v>ORD-2025-00020</x:v>
      </x:c>
      <x:c r="J284" t="n">
        <x:v>3</x:v>
      </x:c>
      <x:c r="K284" t="n">
        <x:v>1</x:v>
      </x:c>
      <x:c r="L284" t="str">
        <x:v>L21-S03-C1</x:v>
      </x:c>
      <x:c r="M284" t="n">
        <x:v>1</x:v>
      </x:c>
      <x:c r="N284" t="str">
        <x:v>DerivedFromCount</x:v>
      </x:c>
      <x:c r="O284" t="str">
        <x:v>PLC-PRD-JAR-720-L21</x:v>
      </x:c>
      <x:c r="P284" t="str">
        <x:v>OK</x:v>
      </x:c>
      <x:c r="Q284" t="str">
        <x:v>OK</x:v>
      </x:c>
      <x:c r="R284" t="str">
        <x:v>OK</x:v>
      </x:c>
      <x:c r="S284" t="str">
        <x:v>OK</x:v>
      </x:c>
      <x:c r="T284" t="n">
        <x:v>20</x:v>
      </x:c>
      <x:c r="U284" t="str">
        <x:v>OK</x:v>
      </x:c>
      <x:c r="V284" t="str">
        <x:v>OK</x:v>
      </x:c>
      <x:c r="W284" t="str">
        <x:v>LOAD</x:v>
      </x:c>
      <x:c r="X284" t="str">
        <x:v>02_Supervisor_Log(4).xlsx</x:v>
      </x:c>
      <x:c r="Y284" t="str">
        <x:v>ENH-20260830-01</x:v>
      </x:c>
      <x:c r="Z284" t="str">
        <x:v>Active</x:v>
      </x:c>
      <x:c r="AA284"/>
      <x:c r="AB284"/>
      <x:c r="AC284"/>
      <x:c r="AD284"/>
    </x:row>
    <x:row r="285">
      <x:c r="A285" t="str">
        <x:v>PCC-PE-KG01-L21-20251023-PM-ORD-2025-00020-S03-C2</x:v>
      </x:c>
      <x:c r="B285" t="str">
        <x:v>PC-PE-KG01-L21-20251023-PM-ORD-2025-00020-S03</x:v>
      </x:c>
      <x:c r="C285" t="str">
        <x:v>PE-KG01-L21-20251023-PM-ORD-2025-00020</x:v>
      </x:c>
      <x:c r="D285" t="str">
        <x:v>KG01</x:v>
      </x:c>
      <x:c r="E285" s="62" t="n">
        <x:v>45953</x:v>
      </x:c>
      <x:c r="F285" t="str">
        <x:v>PM</x:v>
      </x:c>
      <x:c r="G285" t="str">
        <x:v>A</x:v>
      </x:c>
      <x:c r="H285" t="n">
        <x:v>21</x:v>
      </x:c>
      <x:c r="I285" t="str">
        <x:v>ORD-2025-00020</x:v>
      </x:c>
      <x:c r="J285" t="n">
        <x:v>3</x:v>
      </x:c>
      <x:c r="K285" t="n">
        <x:v>2</x:v>
      </x:c>
      <x:c r="L285" t="str">
        <x:v>L21-S03-C2</x:v>
      </x:c>
      <x:c r="M285" t="n">
        <x:v>1</x:v>
      </x:c>
      <x:c r="N285" t="str">
        <x:v>DerivedFromCount</x:v>
      </x:c>
      <x:c r="O285" t="str">
        <x:v>PLC-PRD-JAR-720-L21</x:v>
      </x:c>
      <x:c r="P285" t="str">
        <x:v>OK</x:v>
      </x:c>
      <x:c r="Q285" t="str">
        <x:v>OK</x:v>
      </x:c>
      <x:c r="R285" t="str">
        <x:v>OK</x:v>
      </x:c>
      <x:c r="S285" t="str">
        <x:v>OK</x:v>
      </x:c>
      <x:c r="T285" t="n">
        <x:v>20</x:v>
      </x:c>
      <x:c r="U285" t="str">
        <x:v>OK</x:v>
      </x:c>
      <x:c r="V285" t="str">
        <x:v>OK</x:v>
      </x:c>
      <x:c r="W285" t="str">
        <x:v>LOAD</x:v>
      </x:c>
      <x:c r="X285" t="str">
        <x:v>02_Supervisor_Log(4).xlsx</x:v>
      </x:c>
      <x:c r="Y285" t="str">
        <x:v>ENH-20260830-01</x:v>
      </x:c>
      <x:c r="Z285" t="str">
        <x:v>Active</x:v>
      </x:c>
      <x:c r="AA285"/>
      <x:c r="AB285"/>
      <x:c r="AC285"/>
      <x:c r="AD285"/>
    </x:row>
    <x:row r="286">
      <x:c r="A286" t="str">
        <x:v>PCC-PE-KG01-L21-20251023-PM-ORD-2025-00020-S03-C3</x:v>
      </x:c>
      <x:c r="B286" t="str">
        <x:v>PC-PE-KG01-L21-20251023-PM-ORD-2025-00020-S03</x:v>
      </x:c>
      <x:c r="C286" t="str">
        <x:v>PE-KG01-L21-20251023-PM-ORD-2025-00020</x:v>
      </x:c>
      <x:c r="D286" t="str">
        <x:v>KG01</x:v>
      </x:c>
      <x:c r="E286" s="62" t="n">
        <x:v>45953</x:v>
      </x:c>
      <x:c r="F286" t="str">
        <x:v>PM</x:v>
      </x:c>
      <x:c r="G286" t="str">
        <x:v>A</x:v>
      </x:c>
      <x:c r="H286" t="n">
        <x:v>21</x:v>
      </x:c>
      <x:c r="I286" t="str">
        <x:v>ORD-2025-00020</x:v>
      </x:c>
      <x:c r="J286" t="n">
        <x:v>3</x:v>
      </x:c>
      <x:c r="K286" t="n">
        <x:v>3</x:v>
      </x:c>
      <x:c r="L286" t="str">
        <x:v>L21-S03-C3</x:v>
      </x:c>
      <x:c r="M286" t="n">
        <x:v>0</x:v>
      </x:c>
      <x:c r="N286" t="str">
        <x:v>DerivedFromCount</x:v>
      </x:c>
      <x:c r="O286" t="str">
        <x:v>PLC-PRD-JAR-720-L21</x:v>
      </x:c>
      <x:c r="P286" t="str">
        <x:v>OK</x:v>
      </x:c>
      <x:c r="Q286" t="str">
        <x:v>OK</x:v>
      </x:c>
      <x:c r="R286" t="str">
        <x:v>OK</x:v>
      </x:c>
      <x:c r="S286" t="str">
        <x:v>OK</x:v>
      </x:c>
      <x:c r="T286" t="n">
        <x:v>20</x:v>
      </x:c>
      <x:c r="U286" t="str">
        <x:v>OK</x:v>
      </x:c>
      <x:c r="V286" t="str">
        <x:v>OK</x:v>
      </x:c>
      <x:c r="W286" t="str">
        <x:v>LOAD</x:v>
      </x:c>
      <x:c r="X286" t="str">
        <x:v>02_Supervisor_Log(4).xlsx</x:v>
      </x:c>
      <x:c r="Y286" t="str">
        <x:v>ENH-20260830-01</x:v>
      </x:c>
      <x:c r="Z286" t="str">
        <x:v>Active</x:v>
      </x:c>
      <x:c r="AA286"/>
      <x:c r="AB286"/>
      <x:c r="AC286"/>
      <x:c r="AD286"/>
    </x:row>
    <x:row r="287">
      <x:c r="A287" t="str">
        <x:v>PCC-PE-KG01-L21-20251023-PM-ORD-2025-00020-S04-C1</x:v>
      </x:c>
      <x:c r="B287" t="str">
        <x:v>PC-PE-KG01-L21-20251023-PM-ORD-2025-00020-S04</x:v>
      </x:c>
      <x:c r="C287" t="str">
        <x:v>PE-KG01-L21-20251023-PM-ORD-2025-00020</x:v>
      </x:c>
      <x:c r="D287" t="str">
        <x:v>KG01</x:v>
      </x:c>
      <x:c r="E287" s="62" t="n">
        <x:v>45953</x:v>
      </x:c>
      <x:c r="F287" t="str">
        <x:v>PM</x:v>
      </x:c>
      <x:c r="G287" t="str">
        <x:v>A</x:v>
      </x:c>
      <x:c r="H287" t="n">
        <x:v>21</x:v>
      </x:c>
      <x:c r="I287" t="str">
        <x:v>ORD-2025-00020</x:v>
      </x:c>
      <x:c r="J287" t="n">
        <x:v>4</x:v>
      </x:c>
      <x:c r="K287" t="n">
        <x:v>1</x:v>
      </x:c>
      <x:c r="L287" t="str">
        <x:v>L21-S04-C1</x:v>
      </x:c>
      <x:c r="M287" t="n">
        <x:v>1</x:v>
      </x:c>
      <x:c r="N287" t="str">
        <x:v>DerivedFromCount</x:v>
      </x:c>
      <x:c r="O287" t="str">
        <x:v>PLC-PRD-JAR-720-L21</x:v>
      </x:c>
      <x:c r="P287" t="str">
        <x:v>OK</x:v>
      </x:c>
      <x:c r="Q287" t="str">
        <x:v>OK</x:v>
      </x:c>
      <x:c r="R287" t="str">
        <x:v>OK</x:v>
      </x:c>
      <x:c r="S287" t="str">
        <x:v>OK</x:v>
      </x:c>
      <x:c r="T287" t="n">
        <x:v>20</x:v>
      </x:c>
      <x:c r="U287" t="str">
        <x:v>OK</x:v>
      </x:c>
      <x:c r="V287" t="str">
        <x:v>OK</x:v>
      </x:c>
      <x:c r="W287" t="str">
        <x:v>LOAD</x:v>
      </x:c>
      <x:c r="X287" t="str">
        <x:v>02_Supervisor_Log(4).xlsx</x:v>
      </x:c>
      <x:c r="Y287" t="str">
        <x:v>ENH-20260830-01</x:v>
      </x:c>
      <x:c r="Z287" t="str">
        <x:v>Active</x:v>
      </x:c>
      <x:c r="AA287"/>
      <x:c r="AB287"/>
      <x:c r="AC287"/>
      <x:c r="AD287"/>
    </x:row>
    <x:row r="288">
      <x:c r="A288" t="str">
        <x:v>PCC-PE-KG01-L21-20251023-PM-ORD-2025-00020-S04-C2</x:v>
      </x:c>
      <x:c r="B288" t="str">
        <x:v>PC-PE-KG01-L21-20251023-PM-ORD-2025-00020-S04</x:v>
      </x:c>
      <x:c r="C288" t="str">
        <x:v>PE-KG01-L21-20251023-PM-ORD-2025-00020</x:v>
      </x:c>
      <x:c r="D288" t="str">
        <x:v>KG01</x:v>
      </x:c>
      <x:c r="E288" s="62" t="n">
        <x:v>45953</x:v>
      </x:c>
      <x:c r="F288" t="str">
        <x:v>PM</x:v>
      </x:c>
      <x:c r="G288" t="str">
        <x:v>A</x:v>
      </x:c>
      <x:c r="H288" t="n">
        <x:v>21</x:v>
      </x:c>
      <x:c r="I288" t="str">
        <x:v>ORD-2025-00020</x:v>
      </x:c>
      <x:c r="J288" t="n">
        <x:v>4</x:v>
      </x:c>
      <x:c r="K288" t="n">
        <x:v>2</x:v>
      </x:c>
      <x:c r="L288" t="str">
        <x:v>L21-S04-C2</x:v>
      </x:c>
      <x:c r="M288" t="n">
        <x:v>1</x:v>
      </x:c>
      <x:c r="N288" t="str">
        <x:v>DerivedFromCount</x:v>
      </x:c>
      <x:c r="O288" t="str">
        <x:v>PLC-PRD-JAR-720-L21</x:v>
      </x:c>
      <x:c r="P288" t="str">
        <x:v>OK</x:v>
      </x:c>
      <x:c r="Q288" t="str">
        <x:v>OK</x:v>
      </x:c>
      <x:c r="R288" t="str">
        <x:v>OK</x:v>
      </x:c>
      <x:c r="S288" t="str">
        <x:v>OK</x:v>
      </x:c>
      <x:c r="T288" t="n">
        <x:v>20</x:v>
      </x:c>
      <x:c r="U288" t="str">
        <x:v>OK</x:v>
      </x:c>
      <x:c r="V288" t="str">
        <x:v>OK</x:v>
      </x:c>
      <x:c r="W288" t="str">
        <x:v>LOAD</x:v>
      </x:c>
      <x:c r="X288" t="str">
        <x:v>02_Supervisor_Log(4).xlsx</x:v>
      </x:c>
      <x:c r="Y288" t="str">
        <x:v>ENH-20260830-01</x:v>
      </x:c>
      <x:c r="Z288" t="str">
        <x:v>Active</x:v>
      </x:c>
      <x:c r="AA288"/>
      <x:c r="AB288"/>
      <x:c r="AC288"/>
      <x:c r="AD288"/>
    </x:row>
    <x:row r="289">
      <x:c r="A289" t="str">
        <x:v>PCC-PE-KG01-L21-20251023-PM-ORD-2025-00020-S04-C3</x:v>
      </x:c>
      <x:c r="B289" t="str">
        <x:v>PC-PE-KG01-L21-20251023-PM-ORD-2025-00020-S04</x:v>
      </x:c>
      <x:c r="C289" t="str">
        <x:v>PE-KG01-L21-20251023-PM-ORD-2025-00020</x:v>
      </x:c>
      <x:c r="D289" t="str">
        <x:v>KG01</x:v>
      </x:c>
      <x:c r="E289" s="62" t="n">
        <x:v>45953</x:v>
      </x:c>
      <x:c r="F289" t="str">
        <x:v>PM</x:v>
      </x:c>
      <x:c r="G289" t="str">
        <x:v>A</x:v>
      </x:c>
      <x:c r="H289" t="n">
        <x:v>21</x:v>
      </x:c>
      <x:c r="I289" t="str">
        <x:v>ORD-2025-00020</x:v>
      </x:c>
      <x:c r="J289" t="n">
        <x:v>4</x:v>
      </x:c>
      <x:c r="K289" t="n">
        <x:v>3</x:v>
      </x:c>
      <x:c r="L289" t="str">
        <x:v>L21-S04-C3</x:v>
      </x:c>
      <x:c r="M289" t="n">
        <x:v>0</x:v>
      </x:c>
      <x:c r="N289" t="str">
        <x:v>DerivedFromCount</x:v>
      </x:c>
      <x:c r="O289" t="str">
        <x:v>PLC-PRD-JAR-720-L21</x:v>
      </x:c>
      <x:c r="P289" t="str">
        <x:v>OK</x:v>
      </x:c>
      <x:c r="Q289" t="str">
        <x:v>OK</x:v>
      </x:c>
      <x:c r="R289" t="str">
        <x:v>OK</x:v>
      </x:c>
      <x:c r="S289" t="str">
        <x:v>OK</x:v>
      </x:c>
      <x:c r="T289" t="n">
        <x:v>20</x:v>
      </x:c>
      <x:c r="U289" t="str">
        <x:v>OK</x:v>
      </x:c>
      <x:c r="V289" t="str">
        <x:v>OK</x:v>
      </x:c>
      <x:c r="W289" t="str">
        <x:v>LOAD</x:v>
      </x:c>
      <x:c r="X289" t="str">
        <x:v>02_Supervisor_Log(4).xlsx</x:v>
      </x:c>
      <x:c r="Y289" t="str">
        <x:v>ENH-20260830-01</x:v>
      </x:c>
      <x:c r="Z289" t="str">
        <x:v>Active</x:v>
      </x:c>
      <x:c r="AA289"/>
      <x:c r="AB289"/>
      <x:c r="AC289"/>
      <x:c r="AD289"/>
    </x:row>
    <x:row r="290">
      <x:c r="A290" t="str">
        <x:v>PCC-PE-KG01-L21-20251023-PM-ORD-2025-00020-S05-C1</x:v>
      </x:c>
      <x:c r="B290" t="str">
        <x:v>PC-PE-KG01-L21-20251023-PM-ORD-2025-00020-S05</x:v>
      </x:c>
      <x:c r="C290" t="str">
        <x:v>PE-KG01-L21-20251023-PM-ORD-2025-00020</x:v>
      </x:c>
      <x:c r="D290" t="str">
        <x:v>KG01</x:v>
      </x:c>
      <x:c r="E290" s="62" t="n">
        <x:v>45953</x:v>
      </x:c>
      <x:c r="F290" t="str">
        <x:v>PM</x:v>
      </x:c>
      <x:c r="G290" t="str">
        <x:v>A</x:v>
      </x:c>
      <x:c r="H290" t="n">
        <x:v>21</x:v>
      </x:c>
      <x:c r="I290" t="str">
        <x:v>ORD-2025-00020</x:v>
      </x:c>
      <x:c r="J290" t="n">
        <x:v>5</x:v>
      </x:c>
      <x:c r="K290" t="n">
        <x:v>1</x:v>
      </x:c>
      <x:c r="L290" t="str">
        <x:v>L21-S05-C1</x:v>
      </x:c>
      <x:c r="M290" t="n">
        <x:v>1</x:v>
      </x:c>
      <x:c r="N290" t="str">
        <x:v>DerivedFromCount</x:v>
      </x:c>
      <x:c r="O290" t="str">
        <x:v>PLC-PRD-JAR-720-L21</x:v>
      </x:c>
      <x:c r="P290" t="str">
        <x:v>OK</x:v>
      </x:c>
      <x:c r="Q290" t="str">
        <x:v>OK</x:v>
      </x:c>
      <x:c r="R290" t="str">
        <x:v>OK</x:v>
      </x:c>
      <x:c r="S290" t="str">
        <x:v>OK</x:v>
      </x:c>
      <x:c r="T290" t="n">
        <x:v>20</x:v>
      </x:c>
      <x:c r="U290" t="str">
        <x:v>OK</x:v>
      </x:c>
      <x:c r="V290" t="str">
        <x:v>OK</x:v>
      </x:c>
      <x:c r="W290" t="str">
        <x:v>LOAD</x:v>
      </x:c>
      <x:c r="X290" t="str">
        <x:v>02_Supervisor_Log(4).xlsx</x:v>
      </x:c>
      <x:c r="Y290" t="str">
        <x:v>ENH-20260830-01</x:v>
      </x:c>
      <x:c r="Z290" t="str">
        <x:v>Active</x:v>
      </x:c>
      <x:c r="AA290"/>
      <x:c r="AB290"/>
      <x:c r="AC290"/>
      <x:c r="AD290"/>
    </x:row>
    <x:row r="291">
      <x:c r="A291" t="str">
        <x:v>PCC-PE-KG01-L21-20251023-PM-ORD-2025-00020-S05-C2</x:v>
      </x:c>
      <x:c r="B291" t="str">
        <x:v>PC-PE-KG01-L21-20251023-PM-ORD-2025-00020-S05</x:v>
      </x:c>
      <x:c r="C291" t="str">
        <x:v>PE-KG01-L21-20251023-PM-ORD-2025-00020</x:v>
      </x:c>
      <x:c r="D291" t="str">
        <x:v>KG01</x:v>
      </x:c>
      <x:c r="E291" s="62" t="n">
        <x:v>45953</x:v>
      </x:c>
      <x:c r="F291" t="str">
        <x:v>PM</x:v>
      </x:c>
      <x:c r="G291" t="str">
        <x:v>A</x:v>
      </x:c>
      <x:c r="H291" t="n">
        <x:v>21</x:v>
      </x:c>
      <x:c r="I291" t="str">
        <x:v>ORD-2025-00020</x:v>
      </x:c>
      <x:c r="J291" t="n">
        <x:v>5</x:v>
      </x:c>
      <x:c r="K291" t="n">
        <x:v>2</x:v>
      </x:c>
      <x:c r="L291" t="str">
        <x:v>L21-S05-C2</x:v>
      </x:c>
      <x:c r="M291" t="n">
        <x:v>1</x:v>
      </x:c>
      <x:c r="N291" t="str">
        <x:v>DerivedFromCount</x:v>
      </x:c>
      <x:c r="O291" t="str">
        <x:v>PLC-PRD-JAR-720-L21</x:v>
      </x:c>
      <x:c r="P291" t="str">
        <x:v>OK</x:v>
      </x:c>
      <x:c r="Q291" t="str">
        <x:v>OK</x:v>
      </x:c>
      <x:c r="R291" t="str">
        <x:v>OK</x:v>
      </x:c>
      <x:c r="S291" t="str">
        <x:v>OK</x:v>
      </x:c>
      <x:c r="T291" t="n">
        <x:v>20</x:v>
      </x:c>
      <x:c r="U291" t="str">
        <x:v>OK</x:v>
      </x:c>
      <x:c r="V291" t="str">
        <x:v>OK</x:v>
      </x:c>
      <x:c r="W291" t="str">
        <x:v>LOAD</x:v>
      </x:c>
      <x:c r="X291" t="str">
        <x:v>02_Supervisor_Log(4).xlsx</x:v>
      </x:c>
      <x:c r="Y291" t="str">
        <x:v>ENH-20260830-01</x:v>
      </x:c>
      <x:c r="Z291" t="str">
        <x:v>Active</x:v>
      </x:c>
      <x:c r="AA291"/>
      <x:c r="AB291"/>
      <x:c r="AC291"/>
      <x:c r="AD291"/>
    </x:row>
    <x:row r="292">
      <x:c r="A292" t="str">
        <x:v>PCC-PE-KG01-L21-20251023-PM-ORD-2025-00020-S05-C3</x:v>
      </x:c>
      <x:c r="B292" t="str">
        <x:v>PC-PE-KG01-L21-20251023-PM-ORD-2025-00020-S05</x:v>
      </x:c>
      <x:c r="C292" t="str">
        <x:v>PE-KG01-L21-20251023-PM-ORD-2025-00020</x:v>
      </x:c>
      <x:c r="D292" t="str">
        <x:v>KG01</x:v>
      </x:c>
      <x:c r="E292" s="62" t="n">
        <x:v>45953</x:v>
      </x:c>
      <x:c r="F292" t="str">
        <x:v>PM</x:v>
      </x:c>
      <x:c r="G292" t="str">
        <x:v>A</x:v>
      </x:c>
      <x:c r="H292" t="n">
        <x:v>21</x:v>
      </x:c>
      <x:c r="I292" t="str">
        <x:v>ORD-2025-00020</x:v>
      </x:c>
      <x:c r="J292" t="n">
        <x:v>5</x:v>
      </x:c>
      <x:c r="K292" t="n">
        <x:v>3</x:v>
      </x:c>
      <x:c r="L292" t="str">
        <x:v>L21-S05-C3</x:v>
      </x:c>
      <x:c r="M292" t="n">
        <x:v>0</x:v>
      </x:c>
      <x:c r="N292" t="str">
        <x:v>DerivedFromCount</x:v>
      </x:c>
      <x:c r="O292" t="str">
        <x:v>PLC-PRD-JAR-720-L21</x:v>
      </x:c>
      <x:c r="P292" t="str">
        <x:v>OK</x:v>
      </x:c>
      <x:c r="Q292" t="str">
        <x:v>OK</x:v>
      </x:c>
      <x:c r="R292" t="str">
        <x:v>OK</x:v>
      </x:c>
      <x:c r="S292" t="str">
        <x:v>OK</x:v>
      </x:c>
      <x:c r="T292" t="n">
        <x:v>20</x:v>
      </x:c>
      <x:c r="U292" t="str">
        <x:v>OK</x:v>
      </x:c>
      <x:c r="V292" t="str">
        <x:v>OK</x:v>
      </x:c>
      <x:c r="W292" t="str">
        <x:v>LOAD</x:v>
      </x:c>
      <x:c r="X292" t="str">
        <x:v>02_Supervisor_Log(4).xlsx</x:v>
      </x:c>
      <x:c r="Y292" t="str">
        <x:v>ENH-20260830-01</x:v>
      </x:c>
      <x:c r="Z292" t="str">
        <x:v>Active</x:v>
      </x:c>
      <x:c r="AA292"/>
      <x:c r="AB292"/>
      <x:c r="AC292"/>
      <x:c r="AD292"/>
    </x:row>
    <x:row r="293">
      <x:c r="A293" t="str">
        <x:v>PCC-PE-KG01-L21-20251023-PM-ORD-2025-00020-S06-C1</x:v>
      </x:c>
      <x:c r="B293" t="str">
        <x:v>PC-PE-KG01-L21-20251023-PM-ORD-2025-00020-S06</x:v>
      </x:c>
      <x:c r="C293" t="str">
        <x:v>PE-KG01-L21-20251023-PM-ORD-2025-00020</x:v>
      </x:c>
      <x:c r="D293" t="str">
        <x:v>KG01</x:v>
      </x:c>
      <x:c r="E293" s="62" t="n">
        <x:v>45953</x:v>
      </x:c>
      <x:c r="F293" t="str">
        <x:v>PM</x:v>
      </x:c>
      <x:c r="G293" t="str">
        <x:v>A</x:v>
      </x:c>
      <x:c r="H293" t="n">
        <x:v>21</x:v>
      </x:c>
      <x:c r="I293" t="str">
        <x:v>ORD-2025-00020</x:v>
      </x:c>
      <x:c r="J293" t="n">
        <x:v>6</x:v>
      </x:c>
      <x:c r="K293" t="n">
        <x:v>1</x:v>
      </x:c>
      <x:c r="L293" t="str">
        <x:v>L21-S06-C1</x:v>
      </x:c>
      <x:c r="M293" t="n">
        <x:v>1</x:v>
      </x:c>
      <x:c r="N293" t="str">
        <x:v>DerivedFromCount</x:v>
      </x:c>
      <x:c r="O293" t="str">
        <x:v>PLC-PRD-JAR-720-L21</x:v>
      </x:c>
      <x:c r="P293" t="str">
        <x:v>OK</x:v>
      </x:c>
      <x:c r="Q293" t="str">
        <x:v>OK</x:v>
      </x:c>
      <x:c r="R293" t="str">
        <x:v>OK</x:v>
      </x:c>
      <x:c r="S293" t="str">
        <x:v>OK</x:v>
      </x:c>
      <x:c r="T293" t="n">
        <x:v>20</x:v>
      </x:c>
      <x:c r="U293" t="str">
        <x:v>OK</x:v>
      </x:c>
      <x:c r="V293" t="str">
        <x:v>OK</x:v>
      </x:c>
      <x:c r="W293" t="str">
        <x:v>LOAD</x:v>
      </x:c>
      <x:c r="X293" t="str">
        <x:v>02_Supervisor_Log(4).xlsx</x:v>
      </x:c>
      <x:c r="Y293" t="str">
        <x:v>ENH-20260830-01</x:v>
      </x:c>
      <x:c r="Z293" t="str">
        <x:v>Active</x:v>
      </x:c>
      <x:c r="AA293"/>
      <x:c r="AB293"/>
      <x:c r="AC293"/>
      <x:c r="AD293"/>
    </x:row>
    <x:row r="294">
      <x:c r="A294" t="str">
        <x:v>PCC-PE-KG01-L21-20251023-PM-ORD-2025-00020-S06-C2</x:v>
      </x:c>
      <x:c r="B294" t="str">
        <x:v>PC-PE-KG01-L21-20251023-PM-ORD-2025-00020-S06</x:v>
      </x:c>
      <x:c r="C294" t="str">
        <x:v>PE-KG01-L21-20251023-PM-ORD-2025-00020</x:v>
      </x:c>
      <x:c r="D294" t="str">
        <x:v>KG01</x:v>
      </x:c>
      <x:c r="E294" s="62" t="n">
        <x:v>45953</x:v>
      </x:c>
      <x:c r="F294" t="str">
        <x:v>PM</x:v>
      </x:c>
      <x:c r="G294" t="str">
        <x:v>A</x:v>
      </x:c>
      <x:c r="H294" t="n">
        <x:v>21</x:v>
      </x:c>
      <x:c r="I294" t="str">
        <x:v>ORD-2025-00020</x:v>
      </x:c>
      <x:c r="J294" t="n">
        <x:v>6</x:v>
      </x:c>
      <x:c r="K294" t="n">
        <x:v>2</x:v>
      </x:c>
      <x:c r="L294" t="str">
        <x:v>L21-S06-C2</x:v>
      </x:c>
      <x:c r="M294" t="n">
        <x:v>1</x:v>
      </x:c>
      <x:c r="N294" t="str">
        <x:v>DerivedFromCount</x:v>
      </x:c>
      <x:c r="O294" t="str">
        <x:v>PLC-PRD-JAR-720-L21</x:v>
      </x:c>
      <x:c r="P294" t="str">
        <x:v>OK</x:v>
      </x:c>
      <x:c r="Q294" t="str">
        <x:v>OK</x:v>
      </x:c>
      <x:c r="R294" t="str">
        <x:v>OK</x:v>
      </x:c>
      <x:c r="S294" t="str">
        <x:v>OK</x:v>
      </x:c>
      <x:c r="T294" t="n">
        <x:v>20</x:v>
      </x:c>
      <x:c r="U294" t="str">
        <x:v>OK</x:v>
      </x:c>
      <x:c r="V294" t="str">
        <x:v>OK</x:v>
      </x:c>
      <x:c r="W294" t="str">
        <x:v>LOAD</x:v>
      </x:c>
      <x:c r="X294" t="str">
        <x:v>02_Supervisor_Log(4).xlsx</x:v>
      </x:c>
      <x:c r="Y294" t="str">
        <x:v>ENH-20260830-01</x:v>
      </x:c>
      <x:c r="Z294" t="str">
        <x:v>Active</x:v>
      </x:c>
      <x:c r="AA294"/>
      <x:c r="AB294"/>
      <x:c r="AC294"/>
      <x:c r="AD294"/>
    </x:row>
    <x:row r="295">
      <x:c r="A295" t="str">
        <x:v>PCC-PE-KG01-L21-20251023-PM-ORD-2025-00020-S06-C3</x:v>
      </x:c>
      <x:c r="B295" t="str">
        <x:v>PC-PE-KG01-L21-20251023-PM-ORD-2025-00020-S06</x:v>
      </x:c>
      <x:c r="C295" t="str">
        <x:v>PE-KG01-L21-20251023-PM-ORD-2025-00020</x:v>
      </x:c>
      <x:c r="D295" t="str">
        <x:v>KG01</x:v>
      </x:c>
      <x:c r="E295" s="62" t="n">
        <x:v>45953</x:v>
      </x:c>
      <x:c r="F295" t="str">
        <x:v>PM</x:v>
      </x:c>
      <x:c r="G295" t="str">
        <x:v>A</x:v>
      </x:c>
      <x:c r="H295" t="n">
        <x:v>21</x:v>
      </x:c>
      <x:c r="I295" t="str">
        <x:v>ORD-2025-00020</x:v>
      </x:c>
      <x:c r="J295" t="n">
        <x:v>6</x:v>
      </x:c>
      <x:c r="K295" t="n">
        <x:v>3</x:v>
      </x:c>
      <x:c r="L295" t="str">
        <x:v>L21-S06-C3</x:v>
      </x:c>
      <x:c r="M295" t="n">
        <x:v>0</x:v>
      </x:c>
      <x:c r="N295" t="str">
        <x:v>DerivedFromCount</x:v>
      </x:c>
      <x:c r="O295" t="str">
        <x:v>PLC-PRD-JAR-720-L21</x:v>
      </x:c>
      <x:c r="P295" t="str">
        <x:v>OK</x:v>
      </x:c>
      <x:c r="Q295" t="str">
        <x:v>OK</x:v>
      </x:c>
      <x:c r="R295" t="str">
        <x:v>OK</x:v>
      </x:c>
      <x:c r="S295" t="str">
        <x:v>OK</x:v>
      </x:c>
      <x:c r="T295" t="n">
        <x:v>20</x:v>
      </x:c>
      <x:c r="U295" t="str">
        <x:v>OK</x:v>
      </x:c>
      <x:c r="V295" t="str">
        <x:v>OK</x:v>
      </x:c>
      <x:c r="W295" t="str">
        <x:v>LOAD</x:v>
      </x:c>
      <x:c r="X295" t="str">
        <x:v>02_Supervisor_Log(4).xlsx</x:v>
      </x:c>
      <x:c r="Y295" t="str">
        <x:v>ENH-20260830-01</x:v>
      </x:c>
      <x:c r="Z295" t="str">
        <x:v>Active</x:v>
      </x:c>
      <x:c r="AA295"/>
      <x:c r="AB295"/>
      <x:c r="AC295"/>
      <x:c r="AD295"/>
    </x:row>
    <x:row r="296">
      <x:c r="A296" t="str">
        <x:v>PCC-PE-KG01-L21-20251023-PM-ORD-2025-00020-S07-C1</x:v>
      </x:c>
      <x:c r="B296" t="str">
        <x:v>PC-PE-KG01-L21-20251023-PM-ORD-2025-00020-S07</x:v>
      </x:c>
      <x:c r="C296" t="str">
        <x:v>PE-KG01-L21-20251023-PM-ORD-2025-00020</x:v>
      </x:c>
      <x:c r="D296" t="str">
        <x:v>KG01</x:v>
      </x:c>
      <x:c r="E296" s="62" t="n">
        <x:v>45953</x:v>
      </x:c>
      <x:c r="F296" t="str">
        <x:v>PM</x:v>
      </x:c>
      <x:c r="G296" t="str">
        <x:v>A</x:v>
      </x:c>
      <x:c r="H296" t="n">
        <x:v>21</x:v>
      </x:c>
      <x:c r="I296" t="str">
        <x:v>ORD-2025-00020</x:v>
      </x:c>
      <x:c r="J296" t="n">
        <x:v>7</x:v>
      </x:c>
      <x:c r="K296" t="n">
        <x:v>1</x:v>
      </x:c>
      <x:c r="L296" t="str">
        <x:v>L21-S07-C1</x:v>
      </x:c>
      <x:c r="M296" t="n">
        <x:v>1</x:v>
      </x:c>
      <x:c r="N296" t="str">
        <x:v>DerivedFromCount</x:v>
      </x:c>
      <x:c r="O296" t="str">
        <x:v>PLC-PRD-JAR-720-L21</x:v>
      </x:c>
      <x:c r="P296" t="str">
        <x:v>OK</x:v>
      </x:c>
      <x:c r="Q296" t="str">
        <x:v>OK</x:v>
      </x:c>
      <x:c r="R296" t="str">
        <x:v>OK</x:v>
      </x:c>
      <x:c r="S296" t="str">
        <x:v>OK</x:v>
      </x:c>
      <x:c r="T296" t="n">
        <x:v>20</x:v>
      </x:c>
      <x:c r="U296" t="str">
        <x:v>OK</x:v>
      </x:c>
      <x:c r="V296" t="str">
        <x:v>OK</x:v>
      </x:c>
      <x:c r="W296" t="str">
        <x:v>LOAD</x:v>
      </x:c>
      <x:c r="X296" t="str">
        <x:v>02_Supervisor_Log(4).xlsx</x:v>
      </x:c>
      <x:c r="Y296" t="str">
        <x:v>ENH-20260830-01</x:v>
      </x:c>
      <x:c r="Z296" t="str">
        <x:v>Active</x:v>
      </x:c>
      <x:c r="AA296"/>
      <x:c r="AB296"/>
      <x:c r="AC296"/>
      <x:c r="AD296"/>
    </x:row>
    <x:row r="297">
      <x:c r="A297" t="str">
        <x:v>PCC-PE-KG01-L21-20251023-PM-ORD-2025-00020-S07-C2</x:v>
      </x:c>
      <x:c r="B297" t="str">
        <x:v>PC-PE-KG01-L21-20251023-PM-ORD-2025-00020-S07</x:v>
      </x:c>
      <x:c r="C297" t="str">
        <x:v>PE-KG01-L21-20251023-PM-ORD-2025-00020</x:v>
      </x:c>
      <x:c r="D297" t="str">
        <x:v>KG01</x:v>
      </x:c>
      <x:c r="E297" s="62" t="n">
        <x:v>45953</x:v>
      </x:c>
      <x:c r="F297" t="str">
        <x:v>PM</x:v>
      </x:c>
      <x:c r="G297" t="str">
        <x:v>A</x:v>
      </x:c>
      <x:c r="H297" t="n">
        <x:v>21</x:v>
      </x:c>
      <x:c r="I297" t="str">
        <x:v>ORD-2025-00020</x:v>
      </x:c>
      <x:c r="J297" t="n">
        <x:v>7</x:v>
      </x:c>
      <x:c r="K297" t="n">
        <x:v>2</x:v>
      </x:c>
      <x:c r="L297" t="str">
        <x:v>L21-S07-C2</x:v>
      </x:c>
      <x:c r="M297" t="n">
        <x:v>1</x:v>
      </x:c>
      <x:c r="N297" t="str">
        <x:v>DerivedFromCount</x:v>
      </x:c>
      <x:c r="O297" t="str">
        <x:v>PLC-PRD-JAR-720-L21</x:v>
      </x:c>
      <x:c r="P297" t="str">
        <x:v>OK</x:v>
      </x:c>
      <x:c r="Q297" t="str">
        <x:v>OK</x:v>
      </x:c>
      <x:c r="R297" t="str">
        <x:v>OK</x:v>
      </x:c>
      <x:c r="S297" t="str">
        <x:v>OK</x:v>
      </x:c>
      <x:c r="T297" t="n">
        <x:v>20</x:v>
      </x:c>
      <x:c r="U297" t="str">
        <x:v>OK</x:v>
      </x:c>
      <x:c r="V297" t="str">
        <x:v>OK</x:v>
      </x:c>
      <x:c r="W297" t="str">
        <x:v>LOAD</x:v>
      </x:c>
      <x:c r="X297" t="str">
        <x:v>02_Supervisor_Log(4).xlsx</x:v>
      </x:c>
      <x:c r="Y297" t="str">
        <x:v>ENH-20260830-01</x:v>
      </x:c>
      <x:c r="Z297" t="str">
        <x:v>Active</x:v>
      </x:c>
      <x:c r="AA297"/>
      <x:c r="AB297"/>
      <x:c r="AC297"/>
      <x:c r="AD297"/>
    </x:row>
    <x:row r="298">
      <x:c r="A298" t="str">
        <x:v>PCC-PE-KG01-L21-20251023-PM-ORD-2025-00020-S07-C3</x:v>
      </x:c>
      <x:c r="B298" t="str">
        <x:v>PC-PE-KG01-L21-20251023-PM-ORD-2025-00020-S07</x:v>
      </x:c>
      <x:c r="C298" t="str">
        <x:v>PE-KG01-L21-20251023-PM-ORD-2025-00020</x:v>
      </x:c>
      <x:c r="D298" t="str">
        <x:v>KG01</x:v>
      </x:c>
      <x:c r="E298" s="62" t="n">
        <x:v>45953</x:v>
      </x:c>
      <x:c r="F298" t="str">
        <x:v>PM</x:v>
      </x:c>
      <x:c r="G298" t="str">
        <x:v>A</x:v>
      </x:c>
      <x:c r="H298" t="n">
        <x:v>21</x:v>
      </x:c>
      <x:c r="I298" t="str">
        <x:v>ORD-2025-00020</x:v>
      </x:c>
      <x:c r="J298" t="n">
        <x:v>7</x:v>
      </x:c>
      <x:c r="K298" t="n">
        <x:v>3</x:v>
      </x:c>
      <x:c r="L298" t="str">
        <x:v>L21-S07-C3</x:v>
      </x:c>
      <x:c r="M298" t="n">
        <x:v>0</x:v>
      </x:c>
      <x:c r="N298" t="str">
        <x:v>DerivedFromCount</x:v>
      </x:c>
      <x:c r="O298" t="str">
        <x:v>PLC-PRD-JAR-720-L21</x:v>
      </x:c>
      <x:c r="P298" t="str">
        <x:v>OK</x:v>
      </x:c>
      <x:c r="Q298" t="str">
        <x:v>OK</x:v>
      </x:c>
      <x:c r="R298" t="str">
        <x:v>OK</x:v>
      </x:c>
      <x:c r="S298" t="str">
        <x:v>OK</x:v>
      </x:c>
      <x:c r="T298" t="n">
        <x:v>20</x:v>
      </x:c>
      <x:c r="U298" t="str">
        <x:v>OK</x:v>
      </x:c>
      <x:c r="V298" t="str">
        <x:v>OK</x:v>
      </x:c>
      <x:c r="W298" t="str">
        <x:v>LOAD</x:v>
      </x:c>
      <x:c r="X298" t="str">
        <x:v>02_Supervisor_Log(4).xlsx</x:v>
      </x:c>
      <x:c r="Y298" t="str">
        <x:v>ENH-20260830-01</x:v>
      </x:c>
      <x:c r="Z298" t="str">
        <x:v>Active</x:v>
      </x:c>
      <x:c r="AA298"/>
      <x:c r="AB298"/>
      <x:c r="AC298"/>
      <x:c r="AD298"/>
    </x:row>
    <x:row r="299">
      <x:c r="A299" t="str">
        <x:v>PCC-PE-KG01-L21-20251023-PM-ORD-2025-00020-S08-C1</x:v>
      </x:c>
      <x:c r="B299" t="str">
        <x:v>PC-PE-KG01-L21-20251023-PM-ORD-2025-00020-S08</x:v>
      </x:c>
      <x:c r="C299" t="str">
        <x:v>PE-KG01-L21-20251023-PM-ORD-2025-00020</x:v>
      </x:c>
      <x:c r="D299" t="str">
        <x:v>KG01</x:v>
      </x:c>
      <x:c r="E299" s="62" t="n">
        <x:v>45953</x:v>
      </x:c>
      <x:c r="F299" t="str">
        <x:v>PM</x:v>
      </x:c>
      <x:c r="G299" t="str">
        <x:v>A</x:v>
      </x:c>
      <x:c r="H299" t="n">
        <x:v>21</x:v>
      </x:c>
      <x:c r="I299" t="str">
        <x:v>ORD-2025-00020</x:v>
      </x:c>
      <x:c r="J299" t="n">
        <x:v>8</x:v>
      </x:c>
      <x:c r="K299" t="n">
        <x:v>1</x:v>
      </x:c>
      <x:c r="L299" t="str">
        <x:v>L21-S08-C1</x:v>
      </x:c>
      <x:c r="M299" t="n">
        <x:v>1</x:v>
      </x:c>
      <x:c r="N299" t="str">
        <x:v>DerivedFromCount</x:v>
      </x:c>
      <x:c r="O299" t="str">
        <x:v>PLC-PRD-JAR-720-L21</x:v>
      </x:c>
      <x:c r="P299" t="str">
        <x:v>OK</x:v>
      </x:c>
      <x:c r="Q299" t="str">
        <x:v>OK</x:v>
      </x:c>
      <x:c r="R299" t="str">
        <x:v>OK</x:v>
      </x:c>
      <x:c r="S299" t="str">
        <x:v>OK</x:v>
      </x:c>
      <x:c r="T299" t="n">
        <x:v>20</x:v>
      </x:c>
      <x:c r="U299" t="str">
        <x:v>OK</x:v>
      </x:c>
      <x:c r="V299" t="str">
        <x:v>OK</x:v>
      </x:c>
      <x:c r="W299" t="str">
        <x:v>LOAD</x:v>
      </x:c>
      <x:c r="X299" t="str">
        <x:v>02_Supervisor_Log(4).xlsx</x:v>
      </x:c>
      <x:c r="Y299" t="str">
        <x:v>ENH-20260830-01</x:v>
      </x:c>
      <x:c r="Z299" t="str">
        <x:v>Active</x:v>
      </x:c>
      <x:c r="AA299"/>
      <x:c r="AB299"/>
      <x:c r="AC299"/>
      <x:c r="AD299"/>
    </x:row>
    <x:row r="300">
      <x:c r="A300" t="str">
        <x:v>PCC-PE-KG01-L21-20251023-PM-ORD-2025-00020-S08-C2</x:v>
      </x:c>
      <x:c r="B300" t="str">
        <x:v>PC-PE-KG01-L21-20251023-PM-ORD-2025-00020-S08</x:v>
      </x:c>
      <x:c r="C300" t="str">
        <x:v>PE-KG01-L21-20251023-PM-ORD-2025-00020</x:v>
      </x:c>
      <x:c r="D300" t="str">
        <x:v>KG01</x:v>
      </x:c>
      <x:c r="E300" s="62" t="n">
        <x:v>45953</x:v>
      </x:c>
      <x:c r="F300" t="str">
        <x:v>PM</x:v>
      </x:c>
      <x:c r="G300" t="str">
        <x:v>A</x:v>
      </x:c>
      <x:c r="H300" t="n">
        <x:v>21</x:v>
      </x:c>
      <x:c r="I300" t="str">
        <x:v>ORD-2025-00020</x:v>
      </x:c>
      <x:c r="J300" t="n">
        <x:v>8</x:v>
      </x:c>
      <x:c r="K300" t="n">
        <x:v>2</x:v>
      </x:c>
      <x:c r="L300" t="str">
        <x:v>L21-S08-C2</x:v>
      </x:c>
      <x:c r="M300" t="n">
        <x:v>1</x:v>
      </x:c>
      <x:c r="N300" t="str">
        <x:v>DerivedFromCount</x:v>
      </x:c>
      <x:c r="O300" t="str">
        <x:v>PLC-PRD-JAR-720-L21</x:v>
      </x:c>
      <x:c r="P300" t="str">
        <x:v>OK</x:v>
      </x:c>
      <x:c r="Q300" t="str">
        <x:v>OK</x:v>
      </x:c>
      <x:c r="R300" t="str">
        <x:v>OK</x:v>
      </x:c>
      <x:c r="S300" t="str">
        <x:v>OK</x:v>
      </x:c>
      <x:c r="T300" t="n">
        <x:v>20</x:v>
      </x:c>
      <x:c r="U300" t="str">
        <x:v>OK</x:v>
      </x:c>
      <x:c r="V300" t="str">
        <x:v>OK</x:v>
      </x:c>
      <x:c r="W300" t="str">
        <x:v>LOAD</x:v>
      </x:c>
      <x:c r="X300" t="str">
        <x:v>02_Supervisor_Log(4).xlsx</x:v>
      </x:c>
      <x:c r="Y300" t="str">
        <x:v>ENH-20260830-01</x:v>
      </x:c>
      <x:c r="Z300" t="str">
        <x:v>Active</x:v>
      </x:c>
      <x:c r="AA300"/>
      <x:c r="AB300"/>
      <x:c r="AC300"/>
      <x:c r="AD300"/>
    </x:row>
    <x:row r="301">
      <x:c r="A301" t="str">
        <x:v>PCC-PE-KG01-L21-20251023-PM-ORD-2025-00020-S08-C3</x:v>
      </x:c>
      <x:c r="B301" t="str">
        <x:v>PC-PE-KG01-L21-20251023-PM-ORD-2025-00020-S08</x:v>
      </x:c>
      <x:c r="C301" t="str">
        <x:v>PE-KG01-L21-20251023-PM-ORD-2025-00020</x:v>
      </x:c>
      <x:c r="D301" t="str">
        <x:v>KG01</x:v>
      </x:c>
      <x:c r="E301" s="62" t="n">
        <x:v>45953</x:v>
      </x:c>
      <x:c r="F301" t="str">
        <x:v>PM</x:v>
      </x:c>
      <x:c r="G301" t="str">
        <x:v>A</x:v>
      </x:c>
      <x:c r="H301" t="n">
        <x:v>21</x:v>
      </x:c>
      <x:c r="I301" t="str">
        <x:v>ORD-2025-00020</x:v>
      </x:c>
      <x:c r="J301" t="n">
        <x:v>8</x:v>
      </x:c>
      <x:c r="K301" t="n">
        <x:v>3</x:v>
      </x:c>
      <x:c r="L301" t="str">
        <x:v>L21-S08-C3</x:v>
      </x:c>
      <x:c r="M301" t="n">
        <x:v>0</x:v>
      </x:c>
      <x:c r="N301" t="str">
        <x:v>DerivedFromCount</x:v>
      </x:c>
      <x:c r="O301" t="str">
        <x:v>PLC-PRD-JAR-720-L21</x:v>
      </x:c>
      <x:c r="P301" t="str">
        <x:v>OK</x:v>
      </x:c>
      <x:c r="Q301" t="str">
        <x:v>OK</x:v>
      </x:c>
      <x:c r="R301" t="str">
        <x:v>OK</x:v>
      </x:c>
      <x:c r="S301" t="str">
        <x:v>OK</x:v>
      </x:c>
      <x:c r="T301" t="n">
        <x:v>20</x:v>
      </x:c>
      <x:c r="U301" t="str">
        <x:v>OK</x:v>
      </x:c>
      <x:c r="V301" t="str">
        <x:v>OK</x:v>
      </x:c>
      <x:c r="W301" t="str">
        <x:v>LOAD</x:v>
      </x:c>
      <x:c r="X301" t="str">
        <x:v>02_Supervisor_Log(4).xlsx</x:v>
      </x:c>
      <x:c r="Y301" t="str">
        <x:v>ENH-20260830-01</x:v>
      </x:c>
      <x:c r="Z301" t="str">
        <x:v>Active</x:v>
      </x:c>
      <x:c r="AA301"/>
      <x:c r="AB301"/>
      <x:c r="AC301"/>
      <x:c r="AD301"/>
    </x:row>
    <x:row r="302">
      <x:c r="A302" t="str">
        <x:v>PCC-PE-KG01-L21-20251023-PM-ORD-2025-00020-S09-C1</x:v>
      </x:c>
      <x:c r="B302" t="str">
        <x:v>PC-PE-KG01-L21-20251023-PM-ORD-2025-00020-S09</x:v>
      </x:c>
      <x:c r="C302" t="str">
        <x:v>PE-KG01-L21-20251023-PM-ORD-2025-00020</x:v>
      </x:c>
      <x:c r="D302" t="str">
        <x:v>KG01</x:v>
      </x:c>
      <x:c r="E302" s="62" t="n">
        <x:v>45953</x:v>
      </x:c>
      <x:c r="F302" t="str">
        <x:v>PM</x:v>
      </x:c>
      <x:c r="G302" t="str">
        <x:v>A</x:v>
      </x:c>
      <x:c r="H302" t="n">
        <x:v>21</x:v>
      </x:c>
      <x:c r="I302" t="str">
        <x:v>ORD-2025-00020</x:v>
      </x:c>
      <x:c r="J302" t="n">
        <x:v>9</x:v>
      </x:c>
      <x:c r="K302" t="n">
        <x:v>1</x:v>
      </x:c>
      <x:c r="L302" t="str">
        <x:v>L21-S09-C1</x:v>
      </x:c>
      <x:c r="M302" t="n">
        <x:v>1</x:v>
      </x:c>
      <x:c r="N302" t="str">
        <x:v>DerivedFromCount</x:v>
      </x:c>
      <x:c r="O302" t="str">
        <x:v>PLC-PRD-JAR-720-L21</x:v>
      </x:c>
      <x:c r="P302" t="str">
        <x:v>OK</x:v>
      </x:c>
      <x:c r="Q302" t="str">
        <x:v>OK</x:v>
      </x:c>
      <x:c r="R302" t="str">
        <x:v>OK</x:v>
      </x:c>
      <x:c r="S302" t="str">
        <x:v>OK</x:v>
      </x:c>
      <x:c r="T302" t="n">
        <x:v>20</x:v>
      </x:c>
      <x:c r="U302" t="str">
        <x:v>OK</x:v>
      </x:c>
      <x:c r="V302" t="str">
        <x:v>OK</x:v>
      </x:c>
      <x:c r="W302" t="str">
        <x:v>LOAD</x:v>
      </x:c>
      <x:c r="X302" t="str">
        <x:v>02_Supervisor_Log(4).xlsx</x:v>
      </x:c>
      <x:c r="Y302" t="str">
        <x:v>ENH-20260830-01</x:v>
      </x:c>
      <x:c r="Z302" t="str">
        <x:v>Active</x:v>
      </x:c>
      <x:c r="AA302"/>
      <x:c r="AB302"/>
      <x:c r="AC302"/>
      <x:c r="AD302"/>
    </x:row>
    <x:row r="303">
      <x:c r="A303" t="str">
        <x:v>PCC-PE-KG01-L21-20251023-PM-ORD-2025-00020-S09-C2</x:v>
      </x:c>
      <x:c r="B303" t="str">
        <x:v>PC-PE-KG01-L21-20251023-PM-ORD-2025-00020-S09</x:v>
      </x:c>
      <x:c r="C303" t="str">
        <x:v>PE-KG01-L21-20251023-PM-ORD-2025-00020</x:v>
      </x:c>
      <x:c r="D303" t="str">
        <x:v>KG01</x:v>
      </x:c>
      <x:c r="E303" s="62" t="n">
        <x:v>45953</x:v>
      </x:c>
      <x:c r="F303" t="str">
        <x:v>PM</x:v>
      </x:c>
      <x:c r="G303" t="str">
        <x:v>A</x:v>
      </x:c>
      <x:c r="H303" t="n">
        <x:v>21</x:v>
      </x:c>
      <x:c r="I303" t="str">
        <x:v>ORD-2025-00020</x:v>
      </x:c>
      <x:c r="J303" t="n">
        <x:v>9</x:v>
      </x:c>
      <x:c r="K303" t="n">
        <x:v>2</x:v>
      </x:c>
      <x:c r="L303" t="str">
        <x:v>L21-S09-C2</x:v>
      </x:c>
      <x:c r="M303" t="n">
        <x:v>1</x:v>
      </x:c>
      <x:c r="N303" t="str">
        <x:v>DerivedFromCount</x:v>
      </x:c>
      <x:c r="O303" t="str">
        <x:v>PLC-PRD-JAR-720-L21</x:v>
      </x:c>
      <x:c r="P303" t="str">
        <x:v>OK</x:v>
      </x:c>
      <x:c r="Q303" t="str">
        <x:v>OK</x:v>
      </x:c>
      <x:c r="R303" t="str">
        <x:v>OK</x:v>
      </x:c>
      <x:c r="S303" t="str">
        <x:v>OK</x:v>
      </x:c>
      <x:c r="T303" t="n">
        <x:v>20</x:v>
      </x:c>
      <x:c r="U303" t="str">
        <x:v>OK</x:v>
      </x:c>
      <x:c r="V303" t="str">
        <x:v>OK</x:v>
      </x:c>
      <x:c r="W303" t="str">
        <x:v>LOAD</x:v>
      </x:c>
      <x:c r="X303" t="str">
        <x:v>02_Supervisor_Log(4).xlsx</x:v>
      </x:c>
      <x:c r="Y303" t="str">
        <x:v>ENH-20260830-01</x:v>
      </x:c>
      <x:c r="Z303" t="str">
        <x:v>Active</x:v>
      </x:c>
      <x:c r="AA303"/>
      <x:c r="AB303"/>
      <x:c r="AC303"/>
      <x:c r="AD303"/>
    </x:row>
    <x:row r="304">
      <x:c r="A304" t="str">
        <x:v>PCC-PE-KG01-L21-20251023-PM-ORD-2025-00020-S09-C3</x:v>
      </x:c>
      <x:c r="B304" t="str">
        <x:v>PC-PE-KG01-L21-20251023-PM-ORD-2025-00020-S09</x:v>
      </x:c>
      <x:c r="C304" t="str">
        <x:v>PE-KG01-L21-20251023-PM-ORD-2025-00020</x:v>
      </x:c>
      <x:c r="D304" t="str">
        <x:v>KG01</x:v>
      </x:c>
      <x:c r="E304" s="62" t="n">
        <x:v>45953</x:v>
      </x:c>
      <x:c r="F304" t="str">
        <x:v>PM</x:v>
      </x:c>
      <x:c r="G304" t="str">
        <x:v>A</x:v>
      </x:c>
      <x:c r="H304" t="n">
        <x:v>21</x:v>
      </x:c>
      <x:c r="I304" t="str">
        <x:v>ORD-2025-00020</x:v>
      </x:c>
      <x:c r="J304" t="n">
        <x:v>9</x:v>
      </x:c>
      <x:c r="K304" t="n">
        <x:v>3</x:v>
      </x:c>
      <x:c r="L304" t="str">
        <x:v>L21-S09-C3</x:v>
      </x:c>
      <x:c r="M304" t="n">
        <x:v>0</x:v>
      </x:c>
      <x:c r="N304" t="str">
        <x:v>DerivedFromCount</x:v>
      </x:c>
      <x:c r="O304" t="str">
        <x:v>PLC-PRD-JAR-720-L21</x:v>
      </x:c>
      <x:c r="P304" t="str">
        <x:v>OK</x:v>
      </x:c>
      <x:c r="Q304" t="str">
        <x:v>OK</x:v>
      </x:c>
      <x:c r="R304" t="str">
        <x:v>OK</x:v>
      </x:c>
      <x:c r="S304" t="str">
        <x:v>OK</x:v>
      </x:c>
      <x:c r="T304" t="n">
        <x:v>20</x:v>
      </x:c>
      <x:c r="U304" t="str">
        <x:v>OK</x:v>
      </x:c>
      <x:c r="V304" t="str">
        <x:v>OK</x:v>
      </x:c>
      <x:c r="W304" t="str">
        <x:v>LOAD</x:v>
      </x:c>
      <x:c r="X304" t="str">
        <x:v>02_Supervisor_Log(4).xlsx</x:v>
      </x:c>
      <x:c r="Y304" t="str">
        <x:v>ENH-20260830-01</x:v>
      </x:c>
      <x:c r="Z304" t="str">
        <x:v>Active</x:v>
      </x:c>
      <x:c r="AA304"/>
      <x:c r="AB304"/>
      <x:c r="AC304"/>
      <x:c r="AD304"/>
    </x:row>
    <x:row r="305">
      <x:c r="A305" t="str">
        <x:v>PCC-PE-KG01-L21-20251023-PM-ORD-2025-00020-S10-C1</x:v>
      </x:c>
      <x:c r="B305" t="str">
        <x:v>PC-PE-KG01-L21-20251023-PM-ORD-2025-00020-S10</x:v>
      </x:c>
      <x:c r="C305" t="str">
        <x:v>PE-KG01-L21-20251023-PM-ORD-2025-00020</x:v>
      </x:c>
      <x:c r="D305" t="str">
        <x:v>KG01</x:v>
      </x:c>
      <x:c r="E305" s="62" t="n">
        <x:v>45953</x:v>
      </x:c>
      <x:c r="F305" t="str">
        <x:v>PM</x:v>
      </x:c>
      <x:c r="G305" t="str">
        <x:v>A</x:v>
      </x:c>
      <x:c r="H305" t="n">
        <x:v>21</x:v>
      </x:c>
      <x:c r="I305" t="str">
        <x:v>ORD-2025-00020</x:v>
      </x:c>
      <x:c r="J305" t="n">
        <x:v>10</x:v>
      </x:c>
      <x:c r="K305" t="n">
        <x:v>1</x:v>
      </x:c>
      <x:c r="L305" t="str">
        <x:v>L21-S10-C1</x:v>
      </x:c>
      <x:c r="M305" t="n">
        <x:v>1</x:v>
      </x:c>
      <x:c r="N305" t="str">
        <x:v>DerivedFromCount</x:v>
      </x:c>
      <x:c r="O305" t="str">
        <x:v>PLC-PRD-JAR-720-L21</x:v>
      </x:c>
      <x:c r="P305" t="str">
        <x:v>OK</x:v>
      </x:c>
      <x:c r="Q305" t="str">
        <x:v>OK</x:v>
      </x:c>
      <x:c r="R305" t="str">
        <x:v>OK</x:v>
      </x:c>
      <x:c r="S305" t="str">
        <x:v>OK</x:v>
      </x:c>
      <x:c r="T305" t="n">
        <x:v>20</x:v>
      </x:c>
      <x:c r="U305" t="str">
        <x:v>OK</x:v>
      </x:c>
      <x:c r="V305" t="str">
        <x:v>OK</x:v>
      </x:c>
      <x:c r="W305" t="str">
        <x:v>LOAD</x:v>
      </x:c>
      <x:c r="X305" t="str">
        <x:v>02_Supervisor_Log(4).xlsx</x:v>
      </x:c>
      <x:c r="Y305" t="str">
        <x:v>ENH-20260830-01</x:v>
      </x:c>
      <x:c r="Z305" t="str">
        <x:v>Active</x:v>
      </x:c>
      <x:c r="AA305"/>
      <x:c r="AB305"/>
      <x:c r="AC305"/>
      <x:c r="AD305"/>
    </x:row>
    <x:row r="306">
      <x:c r="A306" t="str">
        <x:v>PCC-PE-KG01-L21-20251023-PM-ORD-2025-00020-S10-C2</x:v>
      </x:c>
      <x:c r="B306" t="str">
        <x:v>PC-PE-KG01-L21-20251023-PM-ORD-2025-00020-S10</x:v>
      </x:c>
      <x:c r="C306" t="str">
        <x:v>PE-KG01-L21-20251023-PM-ORD-2025-00020</x:v>
      </x:c>
      <x:c r="D306" t="str">
        <x:v>KG01</x:v>
      </x:c>
      <x:c r="E306" s="62" t="n">
        <x:v>45953</x:v>
      </x:c>
      <x:c r="F306" t="str">
        <x:v>PM</x:v>
      </x:c>
      <x:c r="G306" t="str">
        <x:v>A</x:v>
      </x:c>
      <x:c r="H306" t="n">
        <x:v>21</x:v>
      </x:c>
      <x:c r="I306" t="str">
        <x:v>ORD-2025-00020</x:v>
      </x:c>
      <x:c r="J306" t="n">
        <x:v>10</x:v>
      </x:c>
      <x:c r="K306" t="n">
        <x:v>2</x:v>
      </x:c>
      <x:c r="L306" t="str">
        <x:v>L21-S10-C2</x:v>
      </x:c>
      <x:c r="M306" t="n">
        <x:v>1</x:v>
      </x:c>
      <x:c r="N306" t="str">
        <x:v>DerivedFromCount</x:v>
      </x:c>
      <x:c r="O306" t="str">
        <x:v>PLC-PRD-JAR-720-L21</x:v>
      </x:c>
      <x:c r="P306" t="str">
        <x:v>OK</x:v>
      </x:c>
      <x:c r="Q306" t="str">
        <x:v>OK</x:v>
      </x:c>
      <x:c r="R306" t="str">
        <x:v>OK</x:v>
      </x:c>
      <x:c r="S306" t="str">
        <x:v>OK</x:v>
      </x:c>
      <x:c r="T306" t="n">
        <x:v>20</x:v>
      </x:c>
      <x:c r="U306" t="str">
        <x:v>OK</x:v>
      </x:c>
      <x:c r="V306" t="str">
        <x:v>OK</x:v>
      </x:c>
      <x:c r="W306" t="str">
        <x:v>LOAD</x:v>
      </x:c>
      <x:c r="X306" t="str">
        <x:v>02_Supervisor_Log(4).xlsx</x:v>
      </x:c>
      <x:c r="Y306" t="str">
        <x:v>ENH-20260830-01</x:v>
      </x:c>
      <x:c r="Z306" t="str">
        <x:v>Active</x:v>
      </x:c>
      <x:c r="AA306"/>
      <x:c r="AB306"/>
      <x:c r="AC306"/>
      <x:c r="AD306"/>
    </x:row>
    <x:row r="307">
      <x:c r="A307" t="str">
        <x:v>PCC-PE-KG01-L21-20251023-PM-ORD-2025-00020-S10-C3</x:v>
      </x:c>
      <x:c r="B307" t="str">
        <x:v>PC-PE-KG01-L21-20251023-PM-ORD-2025-00020-S10</x:v>
      </x:c>
      <x:c r="C307" t="str">
        <x:v>PE-KG01-L21-20251023-PM-ORD-2025-00020</x:v>
      </x:c>
      <x:c r="D307" t="str">
        <x:v>KG01</x:v>
      </x:c>
      <x:c r="E307" s="62" t="n">
        <x:v>45953</x:v>
      </x:c>
      <x:c r="F307" t="str">
        <x:v>PM</x:v>
      </x:c>
      <x:c r="G307" t="str">
        <x:v>A</x:v>
      </x:c>
      <x:c r="H307" t="n">
        <x:v>21</x:v>
      </x:c>
      <x:c r="I307" t="str">
        <x:v>ORD-2025-00020</x:v>
      </x:c>
      <x:c r="J307" t="n">
        <x:v>10</x:v>
      </x:c>
      <x:c r="K307" t="n">
        <x:v>3</x:v>
      </x:c>
      <x:c r="L307" t="str">
        <x:v>L21-S10-C3</x:v>
      </x:c>
      <x:c r="M307" t="n">
        <x:v>0</x:v>
      </x:c>
      <x:c r="N307" t="str">
        <x:v>DerivedFromCount</x:v>
      </x:c>
      <x:c r="O307" t="str">
        <x:v>PLC-PRD-JAR-720-L21</x:v>
      </x:c>
      <x:c r="P307" t="str">
        <x:v>OK</x:v>
      </x:c>
      <x:c r="Q307" t="str">
        <x:v>OK</x:v>
      </x:c>
      <x:c r="R307" t="str">
        <x:v>OK</x:v>
      </x:c>
      <x:c r="S307" t="str">
        <x:v>OK</x:v>
      </x:c>
      <x:c r="T307" t="n">
        <x:v>20</x:v>
      </x:c>
      <x:c r="U307" t="str">
        <x:v>OK</x:v>
      </x:c>
      <x:c r="V307" t="str">
        <x:v>OK</x:v>
      </x:c>
      <x:c r="W307" t="str">
        <x:v>LOAD</x:v>
      </x:c>
      <x:c r="X307" t="str">
        <x:v>02_Supervisor_Log(4).xlsx</x:v>
      </x:c>
      <x:c r="Y307" t="str">
        <x:v>ENH-20260830-01</x:v>
      </x:c>
      <x:c r="Z307" t="str">
        <x:v>Active</x:v>
      </x:c>
      <x:c r="AA307"/>
      <x:c r="AB307"/>
      <x:c r="AC307"/>
      <x:c r="AD307"/>
    </x:row>
    <x:row r="308">
      <x:c r="A308" t="str">
        <x:v>PCC-PE-KG01-L21-20251023-PM-ORD-2025-00020-S11-C1</x:v>
      </x:c>
      <x:c r="B308" t="str">
        <x:v>PC-PE-KG01-L21-20251023-PM-ORD-2025-00020-S11</x:v>
      </x:c>
      <x:c r="C308" t="str">
        <x:v>PE-KG01-L21-20251023-PM-ORD-2025-00020</x:v>
      </x:c>
      <x:c r="D308" t="str">
        <x:v>KG01</x:v>
      </x:c>
      <x:c r="E308" s="62" t="n">
        <x:v>45953</x:v>
      </x:c>
      <x:c r="F308" t="str">
        <x:v>PM</x:v>
      </x:c>
      <x:c r="G308" t="str">
        <x:v>A</x:v>
      </x:c>
      <x:c r="H308" t="n">
        <x:v>21</x:v>
      </x:c>
      <x:c r="I308" t="str">
        <x:v>ORD-2025-00020</x:v>
      </x:c>
      <x:c r="J308" t="n">
        <x:v>11</x:v>
      </x:c>
      <x:c r="K308" t="n">
        <x:v>1</x:v>
      </x:c>
      <x:c r="L308" t="str">
        <x:v>L21-S11-C1</x:v>
      </x:c>
      <x:c r="M308" t="n">
        <x:v>0</x:v>
      </x:c>
      <x:c r="N308" t="str">
        <x:v>DerivedFromCount</x:v>
      </x:c>
      <x:c r="O308" t="str">
        <x:v>PLC-PRD-JAR-720-L21</x:v>
      </x:c>
      <x:c r="P308" t="str">
        <x:v>OK</x:v>
      </x:c>
      <x:c r="Q308" t="str">
        <x:v>OK</x:v>
      </x:c>
      <x:c r="R308" t="str">
        <x:v>OK</x:v>
      </x:c>
      <x:c r="S308" t="str">
        <x:v>OK</x:v>
      </x:c>
      <x:c r="T308" t="n">
        <x:v>20</x:v>
      </x:c>
      <x:c r="U308" t="str">
        <x:v>OK</x:v>
      </x:c>
      <x:c r="V308" t="str">
        <x:v>OK</x:v>
      </x:c>
      <x:c r="W308" t="str">
        <x:v>LOAD</x:v>
      </x:c>
      <x:c r="X308" t="str">
        <x:v>02_Supervisor_Log(4).xlsx</x:v>
      </x:c>
      <x:c r="Y308" t="str">
        <x:v>ENH-20260830-01</x:v>
      </x:c>
      <x:c r="Z308" t="str">
        <x:v>Active</x:v>
      </x:c>
      <x:c r="AA308"/>
      <x:c r="AB308"/>
      <x:c r="AC308"/>
      <x:c r="AD308"/>
    </x:row>
    <x:row r="309">
      <x:c r="A309" t="str">
        <x:v>PCC-PE-KG01-L21-20251023-PM-ORD-2025-00020-S11-C2</x:v>
      </x:c>
      <x:c r="B309" t="str">
        <x:v>PC-PE-KG01-L21-20251023-PM-ORD-2025-00020-S11</x:v>
      </x:c>
      <x:c r="C309" t="str">
        <x:v>PE-KG01-L21-20251023-PM-ORD-2025-00020</x:v>
      </x:c>
      <x:c r="D309" t="str">
        <x:v>KG01</x:v>
      </x:c>
      <x:c r="E309" s="62" t="n">
        <x:v>45953</x:v>
      </x:c>
      <x:c r="F309" t="str">
        <x:v>PM</x:v>
      </x:c>
      <x:c r="G309" t="str">
        <x:v>A</x:v>
      </x:c>
      <x:c r="H309" t="n">
        <x:v>21</x:v>
      </x:c>
      <x:c r="I309" t="str">
        <x:v>ORD-2025-00020</x:v>
      </x:c>
      <x:c r="J309" t="n">
        <x:v>11</x:v>
      </x:c>
      <x:c r="K309" t="n">
        <x:v>2</x:v>
      </x:c>
      <x:c r="L309" t="str">
        <x:v>L21-S11-C2</x:v>
      </x:c>
      <x:c r="M309" t="n">
        <x:v>0</x:v>
      </x:c>
      <x:c r="N309" t="str">
        <x:v>DerivedFromCount</x:v>
      </x:c>
      <x:c r="O309" t="str">
        <x:v>PLC-PRD-JAR-720-L21</x:v>
      </x:c>
      <x:c r="P309" t="str">
        <x:v>OK</x:v>
      </x:c>
      <x:c r="Q309" t="str">
        <x:v>OK</x:v>
      </x:c>
      <x:c r="R309" t="str">
        <x:v>OK</x:v>
      </x:c>
      <x:c r="S309" t="str">
        <x:v>OK</x:v>
      </x:c>
      <x:c r="T309" t="n">
        <x:v>20</x:v>
      </x:c>
      <x:c r="U309" t="str">
        <x:v>OK</x:v>
      </x:c>
      <x:c r="V309" t="str">
        <x:v>OK</x:v>
      </x:c>
      <x:c r="W309" t="str">
        <x:v>LOAD</x:v>
      </x:c>
      <x:c r="X309" t="str">
        <x:v>02_Supervisor_Log(4).xlsx</x:v>
      </x:c>
      <x:c r="Y309" t="str">
        <x:v>ENH-20260830-01</x:v>
      </x:c>
      <x:c r="Z309" t="str">
        <x:v>Active</x:v>
      </x:c>
      <x:c r="AA309"/>
      <x:c r="AB309"/>
      <x:c r="AC309"/>
      <x:c r="AD309"/>
    </x:row>
    <x:row r="310">
      <x:c r="A310" t="str">
        <x:v>PCC-PE-KG01-L21-20251023-PM-ORD-2025-00020-S11-C3</x:v>
      </x:c>
      <x:c r="B310" t="str">
        <x:v>PC-PE-KG01-L21-20251023-PM-ORD-2025-00020-S11</x:v>
      </x:c>
      <x:c r="C310" t="str">
        <x:v>PE-KG01-L21-20251023-PM-ORD-2025-00020</x:v>
      </x:c>
      <x:c r="D310" t="str">
        <x:v>KG01</x:v>
      </x:c>
      <x:c r="E310" s="62" t="n">
        <x:v>45953</x:v>
      </x:c>
      <x:c r="F310" t="str">
        <x:v>PM</x:v>
      </x:c>
      <x:c r="G310" t="str">
        <x:v>A</x:v>
      </x:c>
      <x:c r="H310" t="n">
        <x:v>21</x:v>
      </x:c>
      <x:c r="I310" t="str">
        <x:v>ORD-2025-00020</x:v>
      </x:c>
      <x:c r="J310" t="n">
        <x:v>11</x:v>
      </x:c>
      <x:c r="K310" t="n">
        <x:v>3</x:v>
      </x:c>
      <x:c r="L310" t="str">
        <x:v>L21-S11-C3</x:v>
      </x:c>
      <x:c r="M310" t="n">
        <x:v>0</x:v>
      </x:c>
      <x:c r="N310" t="str">
        <x:v>DerivedFromCount</x:v>
      </x:c>
      <x:c r="O310" t="str">
        <x:v>PLC-PRD-JAR-720-L21</x:v>
      </x:c>
      <x:c r="P310" t="str">
        <x:v>OK</x:v>
      </x:c>
      <x:c r="Q310" t="str">
        <x:v>OK</x:v>
      </x:c>
      <x:c r="R310" t="str">
        <x:v>OK</x:v>
      </x:c>
      <x:c r="S310" t="str">
        <x:v>OK</x:v>
      </x:c>
      <x:c r="T310" t="n">
        <x:v>20</x:v>
      </x:c>
      <x:c r="U310" t="str">
        <x:v>OK</x:v>
      </x:c>
      <x:c r="V310" t="str">
        <x:v>OK</x:v>
      </x:c>
      <x:c r="W310" t="str">
        <x:v>LOAD</x:v>
      </x:c>
      <x:c r="X310" t="str">
        <x:v>02_Supervisor_Log(4).xlsx</x:v>
      </x:c>
      <x:c r="Y310" t="str">
        <x:v>ENH-20260830-01</x:v>
      </x:c>
      <x:c r="Z310" t="str">
        <x:v>Active</x:v>
      </x:c>
      <x:c r="AA310"/>
      <x:c r="AB310"/>
      <x:c r="AC310"/>
      <x:c r="AD310"/>
    </x:row>
    <x:row r="311">
      <x:c r="A311" t="str">
        <x:v>PCC-PE-KG01-L21-20251023-PM-ORD-2025-00020-S12-C1</x:v>
      </x:c>
      <x:c r="B311" t="str">
        <x:v>PC-PE-KG01-L21-20251023-PM-ORD-2025-00020-S12</x:v>
      </x:c>
      <x:c r="C311" t="str">
        <x:v>PE-KG01-L21-20251023-PM-ORD-2025-00020</x:v>
      </x:c>
      <x:c r="D311" t="str">
        <x:v>KG01</x:v>
      </x:c>
      <x:c r="E311" s="62" t="n">
        <x:v>45953</x:v>
      </x:c>
      <x:c r="F311" t="str">
        <x:v>PM</x:v>
      </x:c>
      <x:c r="G311" t="str">
        <x:v>A</x:v>
      </x:c>
      <x:c r="H311" t="n">
        <x:v>21</x:v>
      </x:c>
      <x:c r="I311" t="str">
        <x:v>ORD-2025-00020</x:v>
      </x:c>
      <x:c r="J311" t="n">
        <x:v>12</x:v>
      </x:c>
      <x:c r="K311" t="n">
        <x:v>1</x:v>
      </x:c>
      <x:c r="L311" t="str">
        <x:v>L21-S12-C1</x:v>
      </x:c>
      <x:c r="M311" t="n">
        <x:v>0</x:v>
      </x:c>
      <x:c r="N311" t="str">
        <x:v>DerivedFromCount</x:v>
      </x:c>
      <x:c r="O311" t="str">
        <x:v>PLC-PRD-JAR-720-L21</x:v>
      </x:c>
      <x:c r="P311" t="str">
        <x:v>OK</x:v>
      </x:c>
      <x:c r="Q311" t="str">
        <x:v>OK</x:v>
      </x:c>
      <x:c r="R311" t="str">
        <x:v>OK</x:v>
      </x:c>
      <x:c r="S311" t="str">
        <x:v>OK</x:v>
      </x:c>
      <x:c r="T311" t="n">
        <x:v>20</x:v>
      </x:c>
      <x:c r="U311" t="str">
        <x:v>OK</x:v>
      </x:c>
      <x:c r="V311" t="str">
        <x:v>OK</x:v>
      </x:c>
      <x:c r="W311" t="str">
        <x:v>LOAD</x:v>
      </x:c>
      <x:c r="X311" t="str">
        <x:v>02_Supervisor_Log(4).xlsx</x:v>
      </x:c>
      <x:c r="Y311" t="str">
        <x:v>ENH-20260830-01</x:v>
      </x:c>
      <x:c r="Z311" t="str">
        <x:v>Active</x:v>
      </x:c>
      <x:c r="AA311"/>
      <x:c r="AB311"/>
      <x:c r="AC311"/>
      <x:c r="AD311"/>
    </x:row>
    <x:row r="312">
      <x:c r="A312" t="str">
        <x:v>PCC-PE-KG01-L21-20251023-PM-ORD-2025-00020-S12-C2</x:v>
      </x:c>
      <x:c r="B312" t="str">
        <x:v>PC-PE-KG01-L21-20251023-PM-ORD-2025-00020-S12</x:v>
      </x:c>
      <x:c r="C312" t="str">
        <x:v>PE-KG01-L21-20251023-PM-ORD-2025-00020</x:v>
      </x:c>
      <x:c r="D312" t="str">
        <x:v>KG01</x:v>
      </x:c>
      <x:c r="E312" s="62" t="n">
        <x:v>45953</x:v>
      </x:c>
      <x:c r="F312" t="str">
        <x:v>PM</x:v>
      </x:c>
      <x:c r="G312" t="str">
        <x:v>A</x:v>
      </x:c>
      <x:c r="H312" t="n">
        <x:v>21</x:v>
      </x:c>
      <x:c r="I312" t="str">
        <x:v>ORD-2025-00020</x:v>
      </x:c>
      <x:c r="J312" t="n">
        <x:v>12</x:v>
      </x:c>
      <x:c r="K312" t="n">
        <x:v>2</x:v>
      </x:c>
      <x:c r="L312" t="str">
        <x:v>L21-S12-C2</x:v>
      </x:c>
      <x:c r="M312" t="n">
        <x:v>0</x:v>
      </x:c>
      <x:c r="N312" t="str">
        <x:v>DerivedFromCount</x:v>
      </x:c>
      <x:c r="O312" t="str">
        <x:v>PLC-PRD-JAR-720-L21</x:v>
      </x:c>
      <x:c r="P312" t="str">
        <x:v>OK</x:v>
      </x:c>
      <x:c r="Q312" t="str">
        <x:v>OK</x:v>
      </x:c>
      <x:c r="R312" t="str">
        <x:v>OK</x:v>
      </x:c>
      <x:c r="S312" t="str">
        <x:v>OK</x:v>
      </x:c>
      <x:c r="T312" t="n">
        <x:v>20</x:v>
      </x:c>
      <x:c r="U312" t="str">
        <x:v>OK</x:v>
      </x:c>
      <x:c r="V312" t="str">
        <x:v>OK</x:v>
      </x:c>
      <x:c r="W312" t="str">
        <x:v>LOAD</x:v>
      </x:c>
      <x:c r="X312" t="str">
        <x:v>02_Supervisor_Log(4).xlsx</x:v>
      </x:c>
      <x:c r="Y312" t="str">
        <x:v>ENH-20260830-01</x:v>
      </x:c>
      <x:c r="Z312" t="str">
        <x:v>Active</x:v>
      </x:c>
      <x:c r="AA312"/>
      <x:c r="AB312"/>
      <x:c r="AC312"/>
      <x:c r="AD312"/>
    </x:row>
    <x:row r="313">
      <x:c r="A313" t="str">
        <x:v>PCC-PE-KG01-L21-20251023-PM-ORD-2025-00020-S12-C3</x:v>
      </x:c>
      <x:c r="B313" t="str">
        <x:v>PC-PE-KG01-L21-20251023-PM-ORD-2025-00020-S12</x:v>
      </x:c>
      <x:c r="C313" t="str">
        <x:v>PE-KG01-L21-20251023-PM-ORD-2025-00020</x:v>
      </x:c>
      <x:c r="D313" t="str">
        <x:v>KG01</x:v>
      </x:c>
      <x:c r="E313" s="62" t="n">
        <x:v>45953</x:v>
      </x:c>
      <x:c r="F313" t="str">
        <x:v>PM</x:v>
      </x:c>
      <x:c r="G313" t="str">
        <x:v>A</x:v>
      </x:c>
      <x:c r="H313" t="n">
        <x:v>21</x:v>
      </x:c>
      <x:c r="I313" t="str">
        <x:v>ORD-2025-00020</x:v>
      </x:c>
      <x:c r="J313" t="n">
        <x:v>12</x:v>
      </x:c>
      <x:c r="K313" t="n">
        <x:v>3</x:v>
      </x:c>
      <x:c r="L313" t="str">
        <x:v>L21-S12-C3</x:v>
      </x:c>
      <x:c r="M313" t="n">
        <x:v>0</x:v>
      </x:c>
      <x:c r="N313" t="str">
        <x:v>DerivedFromCount</x:v>
      </x:c>
      <x:c r="O313" t="str">
        <x:v>PLC-PRD-JAR-720-L21</x:v>
      </x:c>
      <x:c r="P313" t="str">
        <x:v>OK</x:v>
      </x:c>
      <x:c r="Q313" t="str">
        <x:v>OK</x:v>
      </x:c>
      <x:c r="R313" t="str">
        <x:v>OK</x:v>
      </x:c>
      <x:c r="S313" t="str">
        <x:v>OK</x:v>
      </x:c>
      <x:c r="T313" t="n">
        <x:v>20</x:v>
      </x:c>
      <x:c r="U313" t="str">
        <x:v>OK</x:v>
      </x:c>
      <x:c r="V313" t="str">
        <x:v>OK</x:v>
      </x:c>
      <x:c r="W313" t="str">
        <x:v>LOAD</x:v>
      </x:c>
      <x:c r="X313" t="str">
        <x:v>02_Supervisor_Log(4).xlsx</x:v>
      </x:c>
      <x:c r="Y313" t="str">
        <x:v>ENH-20260830-01</x:v>
      </x:c>
      <x:c r="Z313" t="str">
        <x:v>Active</x:v>
      </x:c>
      <x:c r="AA313"/>
      <x:c r="AB313"/>
      <x:c r="AC313"/>
      <x:c r="AD313"/>
    </x:row>
    <x:row r="314">
      <x:c r="A314" t="str">
        <x:v>PCC-PE-KG01-L21-20251023-PM-ORD-2025-00020-S13-C1</x:v>
      </x:c>
      <x:c r="B314" t="str">
        <x:v>PC-PE-KG01-L21-20251023-PM-ORD-2025-00020-S13</x:v>
      </x:c>
      <x:c r="C314" t="str">
        <x:v>PE-KG01-L21-20251023-PM-ORD-2025-00020</x:v>
      </x:c>
      <x:c r="D314" t="str">
        <x:v>KG01</x:v>
      </x:c>
      <x:c r="E314" s="62" t="n">
        <x:v>45953</x:v>
      </x:c>
      <x:c r="F314" t="str">
        <x:v>PM</x:v>
      </x:c>
      <x:c r="G314" t="str">
        <x:v>A</x:v>
      </x:c>
      <x:c r="H314" t="n">
        <x:v>21</x:v>
      </x:c>
      <x:c r="I314" t="str">
        <x:v>ORD-2025-00020</x:v>
      </x:c>
      <x:c r="J314" t="n">
        <x:v>13</x:v>
      </x:c>
      <x:c r="K314" t="n">
        <x:v>1</x:v>
      </x:c>
      <x:c r="L314" t="str">
        <x:v>L21-S13-C1</x:v>
      </x:c>
      <x:c r="M314" t="n">
        <x:v>0</x:v>
      </x:c>
      <x:c r="N314" t="str">
        <x:v>DerivedFromCount</x:v>
      </x:c>
      <x:c r="O314" t="str">
        <x:v>PLC-PRD-JAR-720-L21</x:v>
      </x:c>
      <x:c r="P314" t="str">
        <x:v>OK</x:v>
      </x:c>
      <x:c r="Q314" t="str">
        <x:v>OK</x:v>
      </x:c>
      <x:c r="R314" t="str">
        <x:v>OK</x:v>
      </x:c>
      <x:c r="S314" t="str">
        <x:v>OK</x:v>
      </x:c>
      <x:c r="T314" t="n">
        <x:v>20</x:v>
      </x:c>
      <x:c r="U314" t="str">
        <x:v>OK</x:v>
      </x:c>
      <x:c r="V314" t="str">
        <x:v>OK</x:v>
      </x:c>
      <x:c r="W314" t="str">
        <x:v>LOAD</x:v>
      </x:c>
      <x:c r="X314" t="str">
        <x:v>02_Supervisor_Log(4).xlsx</x:v>
      </x:c>
      <x:c r="Y314" t="str">
        <x:v>ENH-20260830-01</x:v>
      </x:c>
      <x:c r="Z314" t="str">
        <x:v>Active</x:v>
      </x:c>
      <x:c r="AA314"/>
      <x:c r="AB314"/>
      <x:c r="AC314"/>
      <x:c r="AD314"/>
    </x:row>
    <x:row r="315">
      <x:c r="A315" t="str">
        <x:v>PCC-PE-KG01-L21-20251023-PM-ORD-2025-00020-S13-C2</x:v>
      </x:c>
      <x:c r="B315" t="str">
        <x:v>PC-PE-KG01-L21-20251023-PM-ORD-2025-00020-S13</x:v>
      </x:c>
      <x:c r="C315" t="str">
        <x:v>PE-KG01-L21-20251023-PM-ORD-2025-00020</x:v>
      </x:c>
      <x:c r="D315" t="str">
        <x:v>KG01</x:v>
      </x:c>
      <x:c r="E315" s="62" t="n">
        <x:v>45953</x:v>
      </x:c>
      <x:c r="F315" t="str">
        <x:v>PM</x:v>
      </x:c>
      <x:c r="G315" t="str">
        <x:v>A</x:v>
      </x:c>
      <x:c r="H315" t="n">
        <x:v>21</x:v>
      </x:c>
      <x:c r="I315" t="str">
        <x:v>ORD-2025-00020</x:v>
      </x:c>
      <x:c r="J315" t="n">
        <x:v>13</x:v>
      </x:c>
      <x:c r="K315" t="n">
        <x:v>2</x:v>
      </x:c>
      <x:c r="L315" t="str">
        <x:v>L21-S13-C2</x:v>
      </x:c>
      <x:c r="M315" t="n">
        <x:v>0</x:v>
      </x:c>
      <x:c r="N315" t="str">
        <x:v>DerivedFromCount</x:v>
      </x:c>
      <x:c r="O315" t="str">
        <x:v>PLC-PRD-JAR-720-L21</x:v>
      </x:c>
      <x:c r="P315" t="str">
        <x:v>OK</x:v>
      </x:c>
      <x:c r="Q315" t="str">
        <x:v>OK</x:v>
      </x:c>
      <x:c r="R315" t="str">
        <x:v>OK</x:v>
      </x:c>
      <x:c r="S315" t="str">
        <x:v>OK</x:v>
      </x:c>
      <x:c r="T315" t="n">
        <x:v>20</x:v>
      </x:c>
      <x:c r="U315" t="str">
        <x:v>OK</x:v>
      </x:c>
      <x:c r="V315" t="str">
        <x:v>OK</x:v>
      </x:c>
      <x:c r="W315" t="str">
        <x:v>LOAD</x:v>
      </x:c>
      <x:c r="X315" t="str">
        <x:v>02_Supervisor_Log(4).xlsx</x:v>
      </x:c>
      <x:c r="Y315" t="str">
        <x:v>ENH-20260830-01</x:v>
      </x:c>
      <x:c r="Z315" t="str">
        <x:v>Active</x:v>
      </x:c>
      <x:c r="AA315"/>
      <x:c r="AB315"/>
      <x:c r="AC315"/>
      <x:c r="AD315"/>
    </x:row>
    <x:row r="316">
      <x:c r="A316" t="str">
        <x:v>PCC-PE-KG01-L21-20251023-PM-ORD-2025-00020-S13-C3</x:v>
      </x:c>
      <x:c r="B316" t="str">
        <x:v>PC-PE-KG01-L21-20251023-PM-ORD-2025-00020-S13</x:v>
      </x:c>
      <x:c r="C316" t="str">
        <x:v>PE-KG01-L21-20251023-PM-ORD-2025-00020</x:v>
      </x:c>
      <x:c r="D316" t="str">
        <x:v>KG01</x:v>
      </x:c>
      <x:c r="E316" s="62" t="n">
        <x:v>45953</x:v>
      </x:c>
      <x:c r="F316" t="str">
        <x:v>PM</x:v>
      </x:c>
      <x:c r="G316" t="str">
        <x:v>A</x:v>
      </x:c>
      <x:c r="H316" t="n">
        <x:v>21</x:v>
      </x:c>
      <x:c r="I316" t="str">
        <x:v>ORD-2025-00020</x:v>
      </x:c>
      <x:c r="J316" t="n">
        <x:v>13</x:v>
      </x:c>
      <x:c r="K316" t="n">
        <x:v>3</x:v>
      </x:c>
      <x:c r="L316" t="str">
        <x:v>L21-S13-C3</x:v>
      </x:c>
      <x:c r="M316" t="n">
        <x:v>0</x:v>
      </x:c>
      <x:c r="N316" t="str">
        <x:v>DerivedFromCount</x:v>
      </x:c>
      <x:c r="O316" t="str">
        <x:v>PLC-PRD-JAR-720-L21</x:v>
      </x:c>
      <x:c r="P316" t="str">
        <x:v>OK</x:v>
      </x:c>
      <x:c r="Q316" t="str">
        <x:v>OK</x:v>
      </x:c>
      <x:c r="R316" t="str">
        <x:v>OK</x:v>
      </x:c>
      <x:c r="S316" t="str">
        <x:v>OK</x:v>
      </x:c>
      <x:c r="T316" t="n">
        <x:v>20</x:v>
      </x:c>
      <x:c r="U316" t="str">
        <x:v>OK</x:v>
      </x:c>
      <x:c r="V316" t="str">
        <x:v>OK</x:v>
      </x:c>
      <x:c r="W316" t="str">
        <x:v>LOAD</x:v>
      </x:c>
      <x:c r="X316" t="str">
        <x:v>02_Supervisor_Log(4).xlsx</x:v>
      </x:c>
      <x:c r="Y316" t="str">
        <x:v>ENH-20260830-01</x:v>
      </x:c>
      <x:c r="Z316" t="str">
        <x:v>Active</x:v>
      </x:c>
      <x:c r="AA316"/>
      <x:c r="AB316"/>
      <x:c r="AC316"/>
      <x:c r="AD316"/>
    </x:row>
    <x:row r="317">
      <x:c r="A317" t="str">
        <x:v>PCC-PE-KG01-L21-20251024-AM-ORD-2025-00020-S01-C1</x:v>
      </x:c>
      <x:c r="B317" t="str">
        <x:v>PC-PE-KG01-L21-20251024-AM-ORD-2025-00020-S01</x:v>
      </x:c>
      <x:c r="C317" t="str">
        <x:v>PE-KG01-L21-20251024-AM-ORD-2025-00020</x:v>
      </x:c>
      <x:c r="D317" t="str">
        <x:v>KG01</x:v>
      </x:c>
      <x:c r="E317" s="62" t="n">
        <x:v>45954</x:v>
      </x:c>
      <x:c r="F317" t="str">
        <x:v>AM</x:v>
      </x:c>
      <x:c r="G317" t="str">
        <x:v>A</x:v>
      </x:c>
      <x:c r="H317" t="n">
        <x:v>21</x:v>
      </x:c>
      <x:c r="I317" t="str">
        <x:v>ORD-2025-00020</x:v>
      </x:c>
      <x:c r="J317" t="n">
        <x:v>1</x:v>
      </x:c>
      <x:c r="K317" t="n">
        <x:v>1</x:v>
      </x:c>
      <x:c r="L317" t="str">
        <x:v>L21-S01-C1</x:v>
      </x:c>
      <x:c r="M317" t="n">
        <x:v>1</x:v>
      </x:c>
      <x:c r="N317" t="str">
        <x:v>DerivedFromCount</x:v>
      </x:c>
      <x:c r="O317" t="str">
        <x:v>PLC-PRD-JAR-720-L21</x:v>
      </x:c>
      <x:c r="P317" t="str">
        <x:v>OK</x:v>
      </x:c>
      <x:c r="Q317" t="str">
        <x:v>OK</x:v>
      </x:c>
      <x:c r="R317" t="str">
        <x:v>OK</x:v>
      </x:c>
      <x:c r="S317" t="str">
        <x:v>OK</x:v>
      </x:c>
      <x:c r="T317" t="n">
        <x:v>20</x:v>
      </x:c>
      <x:c r="U317" t="str">
        <x:v>OK</x:v>
      </x:c>
      <x:c r="V317" t="str">
        <x:v>OK</x:v>
      </x:c>
      <x:c r="W317" t="str">
        <x:v>LOAD</x:v>
      </x:c>
      <x:c r="X317" t="str">
        <x:v>02_Supervisor_Log(4).xlsx</x:v>
      </x:c>
      <x:c r="Y317" t="str">
        <x:v>ENH-20260830-01</x:v>
      </x:c>
      <x:c r="Z317" t="str">
        <x:v>Active</x:v>
      </x:c>
      <x:c r="AA317"/>
      <x:c r="AB317"/>
      <x:c r="AC317"/>
      <x:c r="AD317"/>
    </x:row>
    <x:row r="318">
      <x:c r="A318" t="str">
        <x:v>PCC-PE-KG01-L21-20251024-AM-ORD-2025-00020-S01-C2</x:v>
      </x:c>
      <x:c r="B318" t="str">
        <x:v>PC-PE-KG01-L21-20251024-AM-ORD-2025-00020-S01</x:v>
      </x:c>
      <x:c r="C318" t="str">
        <x:v>PE-KG01-L21-20251024-AM-ORD-2025-00020</x:v>
      </x:c>
      <x:c r="D318" t="str">
        <x:v>KG01</x:v>
      </x:c>
      <x:c r="E318" s="62" t="n">
        <x:v>45954</x:v>
      </x:c>
      <x:c r="F318" t="str">
        <x:v>AM</x:v>
      </x:c>
      <x:c r="G318" t="str">
        <x:v>A</x:v>
      </x:c>
      <x:c r="H318" t="n">
        <x:v>21</x:v>
      </x:c>
      <x:c r="I318" t="str">
        <x:v>ORD-2025-00020</x:v>
      </x:c>
      <x:c r="J318" t="n">
        <x:v>1</x:v>
      </x:c>
      <x:c r="K318" t="n">
        <x:v>2</x:v>
      </x:c>
      <x:c r="L318" t="str">
        <x:v>L21-S01-C2</x:v>
      </x:c>
      <x:c r="M318" t="n">
        <x:v>1</x:v>
      </x:c>
      <x:c r="N318" t="str">
        <x:v>DerivedFromCount</x:v>
      </x:c>
      <x:c r="O318" t="str">
        <x:v>PLC-PRD-JAR-720-L21</x:v>
      </x:c>
      <x:c r="P318" t="str">
        <x:v>OK</x:v>
      </x:c>
      <x:c r="Q318" t="str">
        <x:v>OK</x:v>
      </x:c>
      <x:c r="R318" t="str">
        <x:v>OK</x:v>
      </x:c>
      <x:c r="S318" t="str">
        <x:v>OK</x:v>
      </x:c>
      <x:c r="T318" t="n">
        <x:v>20</x:v>
      </x:c>
      <x:c r="U318" t="str">
        <x:v>OK</x:v>
      </x:c>
      <x:c r="V318" t="str">
        <x:v>OK</x:v>
      </x:c>
      <x:c r="W318" t="str">
        <x:v>LOAD</x:v>
      </x:c>
      <x:c r="X318" t="str">
        <x:v>02_Supervisor_Log(4).xlsx</x:v>
      </x:c>
      <x:c r="Y318" t="str">
        <x:v>ENH-20260830-01</x:v>
      </x:c>
      <x:c r="Z318" t="str">
        <x:v>Active</x:v>
      </x:c>
      <x:c r="AA318"/>
      <x:c r="AB318"/>
      <x:c r="AC318"/>
      <x:c r="AD318"/>
    </x:row>
    <x:row r="319">
      <x:c r="A319" t="str">
        <x:v>PCC-PE-KG01-L21-20251024-AM-ORD-2025-00020-S01-C3</x:v>
      </x:c>
      <x:c r="B319" t="str">
        <x:v>PC-PE-KG01-L21-20251024-AM-ORD-2025-00020-S01</x:v>
      </x:c>
      <x:c r="C319" t="str">
        <x:v>PE-KG01-L21-20251024-AM-ORD-2025-00020</x:v>
      </x:c>
      <x:c r="D319" t="str">
        <x:v>KG01</x:v>
      </x:c>
      <x:c r="E319" s="62" t="n">
        <x:v>45954</x:v>
      </x:c>
      <x:c r="F319" t="str">
        <x:v>AM</x:v>
      </x:c>
      <x:c r="G319" t="str">
        <x:v>A</x:v>
      </x:c>
      <x:c r="H319" t="n">
        <x:v>21</x:v>
      </x:c>
      <x:c r="I319" t="str">
        <x:v>ORD-2025-00020</x:v>
      </x:c>
      <x:c r="J319" t="n">
        <x:v>1</x:v>
      </x:c>
      <x:c r="K319" t="n">
        <x:v>3</x:v>
      </x:c>
      <x:c r="L319" t="str">
        <x:v>L21-S01-C3</x:v>
      </x:c>
      <x:c r="M319" t="n">
        <x:v>0</x:v>
      </x:c>
      <x:c r="N319" t="str">
        <x:v>DerivedFromCount</x:v>
      </x:c>
      <x:c r="O319" t="str">
        <x:v>PLC-PRD-JAR-720-L21</x:v>
      </x:c>
      <x:c r="P319" t="str">
        <x:v>OK</x:v>
      </x:c>
      <x:c r="Q319" t="str">
        <x:v>OK</x:v>
      </x:c>
      <x:c r="R319" t="str">
        <x:v>OK</x:v>
      </x:c>
      <x:c r="S319" t="str">
        <x:v>OK</x:v>
      </x:c>
      <x:c r="T319" t="n">
        <x:v>20</x:v>
      </x:c>
      <x:c r="U319" t="str">
        <x:v>OK</x:v>
      </x:c>
      <x:c r="V319" t="str">
        <x:v>OK</x:v>
      </x:c>
      <x:c r="W319" t="str">
        <x:v>LOAD</x:v>
      </x:c>
      <x:c r="X319" t="str">
        <x:v>02_Supervisor_Log(4).xlsx</x:v>
      </x:c>
      <x:c r="Y319" t="str">
        <x:v>ENH-20260830-01</x:v>
      </x:c>
      <x:c r="Z319" t="str">
        <x:v>Active</x:v>
      </x:c>
      <x:c r="AA319"/>
      <x:c r="AB319"/>
      <x:c r="AC319"/>
      <x:c r="AD319"/>
    </x:row>
    <x:row r="320">
      <x:c r="A320" t="str">
        <x:v>PCC-PE-KG01-L21-20251024-AM-ORD-2025-00020-S02-C1</x:v>
      </x:c>
      <x:c r="B320" t="str">
        <x:v>PC-PE-KG01-L21-20251024-AM-ORD-2025-00020-S02</x:v>
      </x:c>
      <x:c r="C320" t="str">
        <x:v>PE-KG01-L21-20251024-AM-ORD-2025-00020</x:v>
      </x:c>
      <x:c r="D320" t="str">
        <x:v>KG01</x:v>
      </x:c>
      <x:c r="E320" s="62" t="n">
        <x:v>45954</x:v>
      </x:c>
      <x:c r="F320" t="str">
        <x:v>AM</x:v>
      </x:c>
      <x:c r="G320" t="str">
        <x:v>A</x:v>
      </x:c>
      <x:c r="H320" t="n">
        <x:v>21</x:v>
      </x:c>
      <x:c r="I320" t="str">
        <x:v>ORD-2025-00020</x:v>
      </x:c>
      <x:c r="J320" t="n">
        <x:v>2</x:v>
      </x:c>
      <x:c r="K320" t="n">
        <x:v>1</x:v>
      </x:c>
      <x:c r="L320" t="str">
        <x:v>L21-S02-C1</x:v>
      </x:c>
      <x:c r="M320" t="n">
        <x:v>1</x:v>
      </x:c>
      <x:c r="N320" t="str">
        <x:v>DerivedFromCount</x:v>
      </x:c>
      <x:c r="O320" t="str">
        <x:v>PLC-PRD-JAR-720-L21</x:v>
      </x:c>
      <x:c r="P320" t="str">
        <x:v>OK</x:v>
      </x:c>
      <x:c r="Q320" t="str">
        <x:v>OK</x:v>
      </x:c>
      <x:c r="R320" t="str">
        <x:v>OK</x:v>
      </x:c>
      <x:c r="S320" t="str">
        <x:v>OK</x:v>
      </x:c>
      <x:c r="T320" t="n">
        <x:v>20</x:v>
      </x:c>
      <x:c r="U320" t="str">
        <x:v>OK</x:v>
      </x:c>
      <x:c r="V320" t="str">
        <x:v>OK</x:v>
      </x:c>
      <x:c r="W320" t="str">
        <x:v>LOAD</x:v>
      </x:c>
      <x:c r="X320" t="str">
        <x:v>02_Supervisor_Log(4).xlsx</x:v>
      </x:c>
      <x:c r="Y320" t="str">
        <x:v>ENH-20260830-01</x:v>
      </x:c>
      <x:c r="Z320" t="str">
        <x:v>Active</x:v>
      </x:c>
      <x:c r="AA320"/>
      <x:c r="AB320"/>
      <x:c r="AC320"/>
      <x:c r="AD320"/>
    </x:row>
    <x:row r="321">
      <x:c r="A321" t="str">
        <x:v>PCC-PE-KG01-L21-20251024-AM-ORD-2025-00020-S02-C2</x:v>
      </x:c>
      <x:c r="B321" t="str">
        <x:v>PC-PE-KG01-L21-20251024-AM-ORD-2025-00020-S02</x:v>
      </x:c>
      <x:c r="C321" t="str">
        <x:v>PE-KG01-L21-20251024-AM-ORD-2025-00020</x:v>
      </x:c>
      <x:c r="D321" t="str">
        <x:v>KG01</x:v>
      </x:c>
      <x:c r="E321" s="62" t="n">
        <x:v>45954</x:v>
      </x:c>
      <x:c r="F321" t="str">
        <x:v>AM</x:v>
      </x:c>
      <x:c r="G321" t="str">
        <x:v>A</x:v>
      </x:c>
      <x:c r="H321" t="n">
        <x:v>21</x:v>
      </x:c>
      <x:c r="I321" t="str">
        <x:v>ORD-2025-00020</x:v>
      </x:c>
      <x:c r="J321" t="n">
        <x:v>2</x:v>
      </x:c>
      <x:c r="K321" t="n">
        <x:v>2</x:v>
      </x:c>
      <x:c r="L321" t="str">
        <x:v>L21-S02-C2</x:v>
      </x:c>
      <x:c r="M321" t="n">
        <x:v>1</x:v>
      </x:c>
      <x:c r="N321" t="str">
        <x:v>DerivedFromCount</x:v>
      </x:c>
      <x:c r="O321" t="str">
        <x:v>PLC-PRD-JAR-720-L21</x:v>
      </x:c>
      <x:c r="P321" t="str">
        <x:v>OK</x:v>
      </x:c>
      <x:c r="Q321" t="str">
        <x:v>OK</x:v>
      </x:c>
      <x:c r="R321" t="str">
        <x:v>OK</x:v>
      </x:c>
      <x:c r="S321" t="str">
        <x:v>OK</x:v>
      </x:c>
      <x:c r="T321" t="n">
        <x:v>20</x:v>
      </x:c>
      <x:c r="U321" t="str">
        <x:v>OK</x:v>
      </x:c>
      <x:c r="V321" t="str">
        <x:v>OK</x:v>
      </x:c>
      <x:c r="W321" t="str">
        <x:v>LOAD</x:v>
      </x:c>
      <x:c r="X321" t="str">
        <x:v>02_Supervisor_Log(4).xlsx</x:v>
      </x:c>
      <x:c r="Y321" t="str">
        <x:v>ENH-20260830-01</x:v>
      </x:c>
      <x:c r="Z321" t="str">
        <x:v>Active</x:v>
      </x:c>
      <x:c r="AA321"/>
      <x:c r="AB321"/>
      <x:c r="AC321"/>
      <x:c r="AD321"/>
    </x:row>
    <x:row r="322">
      <x:c r="A322" t="str">
        <x:v>PCC-PE-KG01-L21-20251024-AM-ORD-2025-00020-S02-C3</x:v>
      </x:c>
      <x:c r="B322" t="str">
        <x:v>PC-PE-KG01-L21-20251024-AM-ORD-2025-00020-S02</x:v>
      </x:c>
      <x:c r="C322" t="str">
        <x:v>PE-KG01-L21-20251024-AM-ORD-2025-00020</x:v>
      </x:c>
      <x:c r="D322" t="str">
        <x:v>KG01</x:v>
      </x:c>
      <x:c r="E322" s="62" t="n">
        <x:v>45954</x:v>
      </x:c>
      <x:c r="F322" t="str">
        <x:v>AM</x:v>
      </x:c>
      <x:c r="G322" t="str">
        <x:v>A</x:v>
      </x:c>
      <x:c r="H322" t="n">
        <x:v>21</x:v>
      </x:c>
      <x:c r="I322" t="str">
        <x:v>ORD-2025-00020</x:v>
      </x:c>
      <x:c r="J322" t="n">
        <x:v>2</x:v>
      </x:c>
      <x:c r="K322" t="n">
        <x:v>3</x:v>
      </x:c>
      <x:c r="L322" t="str">
        <x:v>L21-S02-C3</x:v>
      </x:c>
      <x:c r="M322" t="n">
        <x:v>0</x:v>
      </x:c>
      <x:c r="N322" t="str">
        <x:v>DerivedFromCount</x:v>
      </x:c>
      <x:c r="O322" t="str">
        <x:v>PLC-PRD-JAR-720-L21</x:v>
      </x:c>
      <x:c r="P322" t="str">
        <x:v>OK</x:v>
      </x:c>
      <x:c r="Q322" t="str">
        <x:v>OK</x:v>
      </x:c>
      <x:c r="R322" t="str">
        <x:v>OK</x:v>
      </x:c>
      <x:c r="S322" t="str">
        <x:v>OK</x:v>
      </x:c>
      <x:c r="T322" t="n">
        <x:v>20</x:v>
      </x:c>
      <x:c r="U322" t="str">
        <x:v>OK</x:v>
      </x:c>
      <x:c r="V322" t="str">
        <x:v>OK</x:v>
      </x:c>
      <x:c r="W322" t="str">
        <x:v>LOAD</x:v>
      </x:c>
      <x:c r="X322" t="str">
        <x:v>02_Supervisor_Log(4).xlsx</x:v>
      </x:c>
      <x:c r="Y322" t="str">
        <x:v>ENH-20260830-01</x:v>
      </x:c>
      <x:c r="Z322" t="str">
        <x:v>Active</x:v>
      </x:c>
      <x:c r="AA322"/>
      <x:c r="AB322"/>
      <x:c r="AC322"/>
      <x:c r="AD322"/>
    </x:row>
    <x:row r="323">
      <x:c r="A323" t="str">
        <x:v>PCC-PE-KG01-L21-20251024-AM-ORD-2025-00020-S03-C1</x:v>
      </x:c>
      <x:c r="B323" t="str">
        <x:v>PC-PE-KG01-L21-20251024-AM-ORD-2025-00020-S03</x:v>
      </x:c>
      <x:c r="C323" t="str">
        <x:v>PE-KG01-L21-20251024-AM-ORD-2025-00020</x:v>
      </x:c>
      <x:c r="D323" t="str">
        <x:v>KG01</x:v>
      </x:c>
      <x:c r="E323" s="62" t="n">
        <x:v>45954</x:v>
      </x:c>
      <x:c r="F323" t="str">
        <x:v>AM</x:v>
      </x:c>
      <x:c r="G323" t="str">
        <x:v>A</x:v>
      </x:c>
      <x:c r="H323" t="n">
        <x:v>21</x:v>
      </x:c>
      <x:c r="I323" t="str">
        <x:v>ORD-2025-00020</x:v>
      </x:c>
      <x:c r="J323" t="n">
        <x:v>3</x:v>
      </x:c>
      <x:c r="K323" t="n">
        <x:v>1</x:v>
      </x:c>
      <x:c r="L323" t="str">
        <x:v>L21-S03-C1</x:v>
      </x:c>
      <x:c r="M323" t="n">
        <x:v>1</x:v>
      </x:c>
      <x:c r="N323" t="str">
        <x:v>DerivedFromCount</x:v>
      </x:c>
      <x:c r="O323" t="str">
        <x:v>PLC-PRD-JAR-720-L21</x:v>
      </x:c>
      <x:c r="P323" t="str">
        <x:v>OK</x:v>
      </x:c>
      <x:c r="Q323" t="str">
        <x:v>OK</x:v>
      </x:c>
      <x:c r="R323" t="str">
        <x:v>OK</x:v>
      </x:c>
      <x:c r="S323" t="str">
        <x:v>OK</x:v>
      </x:c>
      <x:c r="T323" t="n">
        <x:v>20</x:v>
      </x:c>
      <x:c r="U323" t="str">
        <x:v>OK</x:v>
      </x:c>
      <x:c r="V323" t="str">
        <x:v>OK</x:v>
      </x:c>
      <x:c r="W323" t="str">
        <x:v>LOAD</x:v>
      </x:c>
      <x:c r="X323" t="str">
        <x:v>02_Supervisor_Log(4).xlsx</x:v>
      </x:c>
      <x:c r="Y323" t="str">
        <x:v>ENH-20260830-01</x:v>
      </x:c>
      <x:c r="Z323" t="str">
        <x:v>Active</x:v>
      </x:c>
      <x:c r="AA323"/>
      <x:c r="AB323"/>
      <x:c r="AC323"/>
      <x:c r="AD323"/>
    </x:row>
    <x:row r="324">
      <x:c r="A324" t="str">
        <x:v>PCC-PE-KG01-L21-20251024-AM-ORD-2025-00020-S03-C2</x:v>
      </x:c>
      <x:c r="B324" t="str">
        <x:v>PC-PE-KG01-L21-20251024-AM-ORD-2025-00020-S03</x:v>
      </x:c>
      <x:c r="C324" t="str">
        <x:v>PE-KG01-L21-20251024-AM-ORD-2025-00020</x:v>
      </x:c>
      <x:c r="D324" t="str">
        <x:v>KG01</x:v>
      </x:c>
      <x:c r="E324" s="62" t="n">
        <x:v>45954</x:v>
      </x:c>
      <x:c r="F324" t="str">
        <x:v>AM</x:v>
      </x:c>
      <x:c r="G324" t="str">
        <x:v>A</x:v>
      </x:c>
      <x:c r="H324" t="n">
        <x:v>21</x:v>
      </x:c>
      <x:c r="I324" t="str">
        <x:v>ORD-2025-00020</x:v>
      </x:c>
      <x:c r="J324" t="n">
        <x:v>3</x:v>
      </x:c>
      <x:c r="K324" t="n">
        <x:v>2</x:v>
      </x:c>
      <x:c r="L324" t="str">
        <x:v>L21-S03-C2</x:v>
      </x:c>
      <x:c r="M324" t="n">
        <x:v>1</x:v>
      </x:c>
      <x:c r="N324" t="str">
        <x:v>DerivedFromCount</x:v>
      </x:c>
      <x:c r="O324" t="str">
        <x:v>PLC-PRD-JAR-720-L21</x:v>
      </x:c>
      <x:c r="P324" t="str">
        <x:v>OK</x:v>
      </x:c>
      <x:c r="Q324" t="str">
        <x:v>OK</x:v>
      </x:c>
      <x:c r="R324" t="str">
        <x:v>OK</x:v>
      </x:c>
      <x:c r="S324" t="str">
        <x:v>OK</x:v>
      </x:c>
      <x:c r="T324" t="n">
        <x:v>20</x:v>
      </x:c>
      <x:c r="U324" t="str">
        <x:v>OK</x:v>
      </x:c>
      <x:c r="V324" t="str">
        <x:v>OK</x:v>
      </x:c>
      <x:c r="W324" t="str">
        <x:v>LOAD</x:v>
      </x:c>
      <x:c r="X324" t="str">
        <x:v>02_Supervisor_Log(4).xlsx</x:v>
      </x:c>
      <x:c r="Y324" t="str">
        <x:v>ENH-20260830-01</x:v>
      </x:c>
      <x:c r="Z324" t="str">
        <x:v>Active</x:v>
      </x:c>
      <x:c r="AA324"/>
      <x:c r="AB324"/>
      <x:c r="AC324"/>
      <x:c r="AD324"/>
    </x:row>
    <x:row r="325">
      <x:c r="A325" t="str">
        <x:v>PCC-PE-KG01-L21-20251024-AM-ORD-2025-00020-S03-C3</x:v>
      </x:c>
      <x:c r="B325" t="str">
        <x:v>PC-PE-KG01-L21-20251024-AM-ORD-2025-00020-S03</x:v>
      </x:c>
      <x:c r="C325" t="str">
        <x:v>PE-KG01-L21-20251024-AM-ORD-2025-00020</x:v>
      </x:c>
      <x:c r="D325" t="str">
        <x:v>KG01</x:v>
      </x:c>
      <x:c r="E325" s="62" t="n">
        <x:v>45954</x:v>
      </x:c>
      <x:c r="F325" t="str">
        <x:v>AM</x:v>
      </x:c>
      <x:c r="G325" t="str">
        <x:v>A</x:v>
      </x:c>
      <x:c r="H325" t="n">
        <x:v>21</x:v>
      </x:c>
      <x:c r="I325" t="str">
        <x:v>ORD-2025-00020</x:v>
      </x:c>
      <x:c r="J325" t="n">
        <x:v>3</x:v>
      </x:c>
      <x:c r="K325" t="n">
        <x:v>3</x:v>
      </x:c>
      <x:c r="L325" t="str">
        <x:v>L21-S03-C3</x:v>
      </x:c>
      <x:c r="M325" t="n">
        <x:v>0</x:v>
      </x:c>
      <x:c r="N325" t="str">
        <x:v>DerivedFromCount</x:v>
      </x:c>
      <x:c r="O325" t="str">
        <x:v>PLC-PRD-JAR-720-L21</x:v>
      </x:c>
      <x:c r="P325" t="str">
        <x:v>OK</x:v>
      </x:c>
      <x:c r="Q325" t="str">
        <x:v>OK</x:v>
      </x:c>
      <x:c r="R325" t="str">
        <x:v>OK</x:v>
      </x:c>
      <x:c r="S325" t="str">
        <x:v>OK</x:v>
      </x:c>
      <x:c r="T325" t="n">
        <x:v>20</x:v>
      </x:c>
      <x:c r="U325" t="str">
        <x:v>OK</x:v>
      </x:c>
      <x:c r="V325" t="str">
        <x:v>OK</x:v>
      </x:c>
      <x:c r="W325" t="str">
        <x:v>LOAD</x:v>
      </x:c>
      <x:c r="X325" t="str">
        <x:v>02_Supervisor_Log(4).xlsx</x:v>
      </x:c>
      <x:c r="Y325" t="str">
        <x:v>ENH-20260830-01</x:v>
      </x:c>
      <x:c r="Z325" t="str">
        <x:v>Active</x:v>
      </x:c>
      <x:c r="AA325"/>
      <x:c r="AB325"/>
      <x:c r="AC325"/>
      <x:c r="AD325"/>
    </x:row>
    <x:row r="326">
      <x:c r="A326" t="str">
        <x:v>PCC-PE-KG01-L21-20251024-AM-ORD-2025-00020-S04-C1</x:v>
      </x:c>
      <x:c r="B326" t="str">
        <x:v>PC-PE-KG01-L21-20251024-AM-ORD-2025-00020-S04</x:v>
      </x:c>
      <x:c r="C326" t="str">
        <x:v>PE-KG01-L21-20251024-AM-ORD-2025-00020</x:v>
      </x:c>
      <x:c r="D326" t="str">
        <x:v>KG01</x:v>
      </x:c>
      <x:c r="E326" s="62" t="n">
        <x:v>45954</x:v>
      </x:c>
      <x:c r="F326" t="str">
        <x:v>AM</x:v>
      </x:c>
      <x:c r="G326" t="str">
        <x:v>A</x:v>
      </x:c>
      <x:c r="H326" t="n">
        <x:v>21</x:v>
      </x:c>
      <x:c r="I326" t="str">
        <x:v>ORD-2025-00020</x:v>
      </x:c>
      <x:c r="J326" t="n">
        <x:v>4</x:v>
      </x:c>
      <x:c r="K326" t="n">
        <x:v>1</x:v>
      </x:c>
      <x:c r="L326" t="str">
        <x:v>L21-S04-C1</x:v>
      </x:c>
      <x:c r="M326" t="n">
        <x:v>1</x:v>
      </x:c>
      <x:c r="N326" t="str">
        <x:v>DerivedFromCount</x:v>
      </x:c>
      <x:c r="O326" t="str">
        <x:v>PLC-PRD-JAR-720-L21</x:v>
      </x:c>
      <x:c r="P326" t="str">
        <x:v>OK</x:v>
      </x:c>
      <x:c r="Q326" t="str">
        <x:v>OK</x:v>
      </x:c>
      <x:c r="R326" t="str">
        <x:v>OK</x:v>
      </x:c>
      <x:c r="S326" t="str">
        <x:v>OK</x:v>
      </x:c>
      <x:c r="T326" t="n">
        <x:v>20</x:v>
      </x:c>
      <x:c r="U326" t="str">
        <x:v>OK</x:v>
      </x:c>
      <x:c r="V326" t="str">
        <x:v>OK</x:v>
      </x:c>
      <x:c r="W326" t="str">
        <x:v>LOAD</x:v>
      </x:c>
      <x:c r="X326" t="str">
        <x:v>02_Supervisor_Log(4).xlsx</x:v>
      </x:c>
      <x:c r="Y326" t="str">
        <x:v>ENH-20260830-01</x:v>
      </x:c>
      <x:c r="Z326" t="str">
        <x:v>Active</x:v>
      </x:c>
      <x:c r="AA326"/>
      <x:c r="AB326"/>
      <x:c r="AC326"/>
      <x:c r="AD326"/>
    </x:row>
    <x:row r="327">
      <x:c r="A327" t="str">
        <x:v>PCC-PE-KG01-L21-20251024-AM-ORD-2025-00020-S04-C2</x:v>
      </x:c>
      <x:c r="B327" t="str">
        <x:v>PC-PE-KG01-L21-20251024-AM-ORD-2025-00020-S04</x:v>
      </x:c>
      <x:c r="C327" t="str">
        <x:v>PE-KG01-L21-20251024-AM-ORD-2025-00020</x:v>
      </x:c>
      <x:c r="D327" t="str">
        <x:v>KG01</x:v>
      </x:c>
      <x:c r="E327" s="62" t="n">
        <x:v>45954</x:v>
      </x:c>
      <x:c r="F327" t="str">
        <x:v>AM</x:v>
      </x:c>
      <x:c r="G327" t="str">
        <x:v>A</x:v>
      </x:c>
      <x:c r="H327" t="n">
        <x:v>21</x:v>
      </x:c>
      <x:c r="I327" t="str">
        <x:v>ORD-2025-00020</x:v>
      </x:c>
      <x:c r="J327" t="n">
        <x:v>4</x:v>
      </x:c>
      <x:c r="K327" t="n">
        <x:v>2</x:v>
      </x:c>
      <x:c r="L327" t="str">
        <x:v>L21-S04-C2</x:v>
      </x:c>
      <x:c r="M327" t="n">
        <x:v>1</x:v>
      </x:c>
      <x:c r="N327" t="str">
        <x:v>DerivedFromCount</x:v>
      </x:c>
      <x:c r="O327" t="str">
        <x:v>PLC-PRD-JAR-720-L21</x:v>
      </x:c>
      <x:c r="P327" t="str">
        <x:v>OK</x:v>
      </x:c>
      <x:c r="Q327" t="str">
        <x:v>OK</x:v>
      </x:c>
      <x:c r="R327" t="str">
        <x:v>OK</x:v>
      </x:c>
      <x:c r="S327" t="str">
        <x:v>OK</x:v>
      </x:c>
      <x:c r="T327" t="n">
        <x:v>20</x:v>
      </x:c>
      <x:c r="U327" t="str">
        <x:v>OK</x:v>
      </x:c>
      <x:c r="V327" t="str">
        <x:v>OK</x:v>
      </x:c>
      <x:c r="W327" t="str">
        <x:v>LOAD</x:v>
      </x:c>
      <x:c r="X327" t="str">
        <x:v>02_Supervisor_Log(4).xlsx</x:v>
      </x:c>
      <x:c r="Y327" t="str">
        <x:v>ENH-20260830-01</x:v>
      </x:c>
      <x:c r="Z327" t="str">
        <x:v>Active</x:v>
      </x:c>
      <x:c r="AA327"/>
      <x:c r="AB327"/>
      <x:c r="AC327"/>
      <x:c r="AD327"/>
    </x:row>
    <x:row r="328">
      <x:c r="A328" t="str">
        <x:v>PCC-PE-KG01-L21-20251024-AM-ORD-2025-00020-S04-C3</x:v>
      </x:c>
      <x:c r="B328" t="str">
        <x:v>PC-PE-KG01-L21-20251024-AM-ORD-2025-00020-S04</x:v>
      </x:c>
      <x:c r="C328" t="str">
        <x:v>PE-KG01-L21-20251024-AM-ORD-2025-00020</x:v>
      </x:c>
      <x:c r="D328" t="str">
        <x:v>KG01</x:v>
      </x:c>
      <x:c r="E328" s="62" t="n">
        <x:v>45954</x:v>
      </x:c>
      <x:c r="F328" t="str">
        <x:v>AM</x:v>
      </x:c>
      <x:c r="G328" t="str">
        <x:v>A</x:v>
      </x:c>
      <x:c r="H328" t="n">
        <x:v>21</x:v>
      </x:c>
      <x:c r="I328" t="str">
        <x:v>ORD-2025-00020</x:v>
      </x:c>
      <x:c r="J328" t="n">
        <x:v>4</x:v>
      </x:c>
      <x:c r="K328" t="n">
        <x:v>3</x:v>
      </x:c>
      <x:c r="L328" t="str">
        <x:v>L21-S04-C3</x:v>
      </x:c>
      <x:c r="M328" t="n">
        <x:v>0</x:v>
      </x:c>
      <x:c r="N328" t="str">
        <x:v>DerivedFromCount</x:v>
      </x:c>
      <x:c r="O328" t="str">
        <x:v>PLC-PRD-JAR-720-L21</x:v>
      </x:c>
      <x:c r="P328" t="str">
        <x:v>OK</x:v>
      </x:c>
      <x:c r="Q328" t="str">
        <x:v>OK</x:v>
      </x:c>
      <x:c r="R328" t="str">
        <x:v>OK</x:v>
      </x:c>
      <x:c r="S328" t="str">
        <x:v>OK</x:v>
      </x:c>
      <x:c r="T328" t="n">
        <x:v>20</x:v>
      </x:c>
      <x:c r="U328" t="str">
        <x:v>OK</x:v>
      </x:c>
      <x:c r="V328" t="str">
        <x:v>OK</x:v>
      </x:c>
      <x:c r="W328" t="str">
        <x:v>LOAD</x:v>
      </x:c>
      <x:c r="X328" t="str">
        <x:v>02_Supervisor_Log(4).xlsx</x:v>
      </x:c>
      <x:c r="Y328" t="str">
        <x:v>ENH-20260830-01</x:v>
      </x:c>
      <x:c r="Z328" t="str">
        <x:v>Active</x:v>
      </x:c>
      <x:c r="AA328"/>
      <x:c r="AB328"/>
      <x:c r="AC328"/>
      <x:c r="AD328"/>
    </x:row>
    <x:row r="329">
      <x:c r="A329" t="str">
        <x:v>PCC-PE-KG01-L21-20251024-AM-ORD-2025-00020-S05-C1</x:v>
      </x:c>
      <x:c r="B329" t="str">
        <x:v>PC-PE-KG01-L21-20251024-AM-ORD-2025-00020-S05</x:v>
      </x:c>
      <x:c r="C329" t="str">
        <x:v>PE-KG01-L21-20251024-AM-ORD-2025-00020</x:v>
      </x:c>
      <x:c r="D329" t="str">
        <x:v>KG01</x:v>
      </x:c>
      <x:c r="E329" s="62" t="n">
        <x:v>45954</x:v>
      </x:c>
      <x:c r="F329" t="str">
        <x:v>AM</x:v>
      </x:c>
      <x:c r="G329" t="str">
        <x:v>A</x:v>
      </x:c>
      <x:c r="H329" t="n">
        <x:v>21</x:v>
      </x:c>
      <x:c r="I329" t="str">
        <x:v>ORD-2025-00020</x:v>
      </x:c>
      <x:c r="J329" t="n">
        <x:v>5</x:v>
      </x:c>
      <x:c r="K329" t="n">
        <x:v>1</x:v>
      </x:c>
      <x:c r="L329" t="str">
        <x:v>L21-S05-C1</x:v>
      </x:c>
      <x:c r="M329" t="n">
        <x:v>1</x:v>
      </x:c>
      <x:c r="N329" t="str">
        <x:v>DerivedFromCount</x:v>
      </x:c>
      <x:c r="O329" t="str">
        <x:v>PLC-PRD-JAR-720-L21</x:v>
      </x:c>
      <x:c r="P329" t="str">
        <x:v>OK</x:v>
      </x:c>
      <x:c r="Q329" t="str">
        <x:v>OK</x:v>
      </x:c>
      <x:c r="R329" t="str">
        <x:v>OK</x:v>
      </x:c>
      <x:c r="S329" t="str">
        <x:v>OK</x:v>
      </x:c>
      <x:c r="T329" t="n">
        <x:v>20</x:v>
      </x:c>
      <x:c r="U329" t="str">
        <x:v>OK</x:v>
      </x:c>
      <x:c r="V329" t="str">
        <x:v>OK</x:v>
      </x:c>
      <x:c r="W329" t="str">
        <x:v>LOAD</x:v>
      </x:c>
      <x:c r="X329" t="str">
        <x:v>02_Supervisor_Log(4).xlsx</x:v>
      </x:c>
      <x:c r="Y329" t="str">
        <x:v>ENH-20260830-01</x:v>
      </x:c>
      <x:c r="Z329" t="str">
        <x:v>Active</x:v>
      </x:c>
      <x:c r="AA329"/>
      <x:c r="AB329"/>
      <x:c r="AC329"/>
      <x:c r="AD329"/>
    </x:row>
    <x:row r="330">
      <x:c r="A330" t="str">
        <x:v>PCC-PE-KG01-L21-20251024-AM-ORD-2025-00020-S05-C2</x:v>
      </x:c>
      <x:c r="B330" t="str">
        <x:v>PC-PE-KG01-L21-20251024-AM-ORD-2025-00020-S05</x:v>
      </x:c>
      <x:c r="C330" t="str">
        <x:v>PE-KG01-L21-20251024-AM-ORD-2025-00020</x:v>
      </x:c>
      <x:c r="D330" t="str">
        <x:v>KG01</x:v>
      </x:c>
      <x:c r="E330" s="62" t="n">
        <x:v>45954</x:v>
      </x:c>
      <x:c r="F330" t="str">
        <x:v>AM</x:v>
      </x:c>
      <x:c r="G330" t="str">
        <x:v>A</x:v>
      </x:c>
      <x:c r="H330" t="n">
        <x:v>21</x:v>
      </x:c>
      <x:c r="I330" t="str">
        <x:v>ORD-2025-00020</x:v>
      </x:c>
      <x:c r="J330" t="n">
        <x:v>5</x:v>
      </x:c>
      <x:c r="K330" t="n">
        <x:v>2</x:v>
      </x:c>
      <x:c r="L330" t="str">
        <x:v>L21-S05-C2</x:v>
      </x:c>
      <x:c r="M330" t="n">
        <x:v>1</x:v>
      </x:c>
      <x:c r="N330" t="str">
        <x:v>DerivedFromCount</x:v>
      </x:c>
      <x:c r="O330" t="str">
        <x:v>PLC-PRD-JAR-720-L21</x:v>
      </x:c>
      <x:c r="P330" t="str">
        <x:v>OK</x:v>
      </x:c>
      <x:c r="Q330" t="str">
        <x:v>OK</x:v>
      </x:c>
      <x:c r="R330" t="str">
        <x:v>OK</x:v>
      </x:c>
      <x:c r="S330" t="str">
        <x:v>OK</x:v>
      </x:c>
      <x:c r="T330" t="n">
        <x:v>20</x:v>
      </x:c>
      <x:c r="U330" t="str">
        <x:v>OK</x:v>
      </x:c>
      <x:c r="V330" t="str">
        <x:v>OK</x:v>
      </x:c>
      <x:c r="W330" t="str">
        <x:v>LOAD</x:v>
      </x:c>
      <x:c r="X330" t="str">
        <x:v>02_Supervisor_Log(4).xlsx</x:v>
      </x:c>
      <x:c r="Y330" t="str">
        <x:v>ENH-20260830-01</x:v>
      </x:c>
      <x:c r="Z330" t="str">
        <x:v>Active</x:v>
      </x:c>
      <x:c r="AA330"/>
      <x:c r="AB330"/>
      <x:c r="AC330"/>
      <x:c r="AD330"/>
    </x:row>
    <x:row r="331">
      <x:c r="A331" t="str">
        <x:v>PCC-PE-KG01-L21-20251024-AM-ORD-2025-00020-S05-C3</x:v>
      </x:c>
      <x:c r="B331" t="str">
        <x:v>PC-PE-KG01-L21-20251024-AM-ORD-2025-00020-S05</x:v>
      </x:c>
      <x:c r="C331" t="str">
        <x:v>PE-KG01-L21-20251024-AM-ORD-2025-00020</x:v>
      </x:c>
      <x:c r="D331" t="str">
        <x:v>KG01</x:v>
      </x:c>
      <x:c r="E331" s="62" t="n">
        <x:v>45954</x:v>
      </x:c>
      <x:c r="F331" t="str">
        <x:v>AM</x:v>
      </x:c>
      <x:c r="G331" t="str">
        <x:v>A</x:v>
      </x:c>
      <x:c r="H331" t="n">
        <x:v>21</x:v>
      </x:c>
      <x:c r="I331" t="str">
        <x:v>ORD-2025-00020</x:v>
      </x:c>
      <x:c r="J331" t="n">
        <x:v>5</x:v>
      </x:c>
      <x:c r="K331" t="n">
        <x:v>3</x:v>
      </x:c>
      <x:c r="L331" t="str">
        <x:v>L21-S05-C3</x:v>
      </x:c>
      <x:c r="M331" t="n">
        <x:v>0</x:v>
      </x:c>
      <x:c r="N331" t="str">
        <x:v>DerivedFromCount</x:v>
      </x:c>
      <x:c r="O331" t="str">
        <x:v>PLC-PRD-JAR-720-L21</x:v>
      </x:c>
      <x:c r="P331" t="str">
        <x:v>OK</x:v>
      </x:c>
      <x:c r="Q331" t="str">
        <x:v>OK</x:v>
      </x:c>
      <x:c r="R331" t="str">
        <x:v>OK</x:v>
      </x:c>
      <x:c r="S331" t="str">
        <x:v>OK</x:v>
      </x:c>
      <x:c r="T331" t="n">
        <x:v>20</x:v>
      </x:c>
      <x:c r="U331" t="str">
        <x:v>OK</x:v>
      </x:c>
      <x:c r="V331" t="str">
        <x:v>OK</x:v>
      </x:c>
      <x:c r="W331" t="str">
        <x:v>LOAD</x:v>
      </x:c>
      <x:c r="X331" t="str">
        <x:v>02_Supervisor_Log(4).xlsx</x:v>
      </x:c>
      <x:c r="Y331" t="str">
        <x:v>ENH-20260830-01</x:v>
      </x:c>
      <x:c r="Z331" t="str">
        <x:v>Active</x:v>
      </x:c>
      <x:c r="AA331"/>
      <x:c r="AB331"/>
      <x:c r="AC331"/>
      <x:c r="AD331"/>
    </x:row>
    <x:row r="332">
      <x:c r="A332" t="str">
        <x:v>PCC-PE-KG01-L21-20251024-AM-ORD-2025-00020-S06-C1</x:v>
      </x:c>
      <x:c r="B332" t="str">
        <x:v>PC-PE-KG01-L21-20251024-AM-ORD-2025-00020-S06</x:v>
      </x:c>
      <x:c r="C332" t="str">
        <x:v>PE-KG01-L21-20251024-AM-ORD-2025-00020</x:v>
      </x:c>
      <x:c r="D332" t="str">
        <x:v>KG01</x:v>
      </x:c>
      <x:c r="E332" s="62" t="n">
        <x:v>45954</x:v>
      </x:c>
      <x:c r="F332" t="str">
        <x:v>AM</x:v>
      </x:c>
      <x:c r="G332" t="str">
        <x:v>A</x:v>
      </x:c>
      <x:c r="H332" t="n">
        <x:v>21</x:v>
      </x:c>
      <x:c r="I332" t="str">
        <x:v>ORD-2025-00020</x:v>
      </x:c>
      <x:c r="J332" t="n">
        <x:v>6</x:v>
      </x:c>
      <x:c r="K332" t="n">
        <x:v>1</x:v>
      </x:c>
      <x:c r="L332" t="str">
        <x:v>L21-S06-C1</x:v>
      </x:c>
      <x:c r="M332" t="n">
        <x:v>1</x:v>
      </x:c>
      <x:c r="N332" t="str">
        <x:v>DerivedFromCount</x:v>
      </x:c>
      <x:c r="O332" t="str">
        <x:v>PLC-PRD-JAR-720-L21</x:v>
      </x:c>
      <x:c r="P332" t="str">
        <x:v>OK</x:v>
      </x:c>
      <x:c r="Q332" t="str">
        <x:v>OK</x:v>
      </x:c>
      <x:c r="R332" t="str">
        <x:v>OK</x:v>
      </x:c>
      <x:c r="S332" t="str">
        <x:v>OK</x:v>
      </x:c>
      <x:c r="T332" t="n">
        <x:v>20</x:v>
      </x:c>
      <x:c r="U332" t="str">
        <x:v>OK</x:v>
      </x:c>
      <x:c r="V332" t="str">
        <x:v>OK</x:v>
      </x:c>
      <x:c r="W332" t="str">
        <x:v>LOAD</x:v>
      </x:c>
      <x:c r="X332" t="str">
        <x:v>02_Supervisor_Log(4).xlsx</x:v>
      </x:c>
      <x:c r="Y332" t="str">
        <x:v>ENH-20260830-01</x:v>
      </x:c>
      <x:c r="Z332" t="str">
        <x:v>Active</x:v>
      </x:c>
      <x:c r="AA332"/>
      <x:c r="AB332"/>
      <x:c r="AC332"/>
      <x:c r="AD332"/>
    </x:row>
    <x:row r="333">
      <x:c r="A333" t="str">
        <x:v>PCC-PE-KG01-L21-20251024-AM-ORD-2025-00020-S06-C2</x:v>
      </x:c>
      <x:c r="B333" t="str">
        <x:v>PC-PE-KG01-L21-20251024-AM-ORD-2025-00020-S06</x:v>
      </x:c>
      <x:c r="C333" t="str">
        <x:v>PE-KG01-L21-20251024-AM-ORD-2025-00020</x:v>
      </x:c>
      <x:c r="D333" t="str">
        <x:v>KG01</x:v>
      </x:c>
      <x:c r="E333" s="62" t="n">
        <x:v>45954</x:v>
      </x:c>
      <x:c r="F333" t="str">
        <x:v>AM</x:v>
      </x:c>
      <x:c r="G333" t="str">
        <x:v>A</x:v>
      </x:c>
      <x:c r="H333" t="n">
        <x:v>21</x:v>
      </x:c>
      <x:c r="I333" t="str">
        <x:v>ORD-2025-00020</x:v>
      </x:c>
      <x:c r="J333" t="n">
        <x:v>6</x:v>
      </x:c>
      <x:c r="K333" t="n">
        <x:v>2</x:v>
      </x:c>
      <x:c r="L333" t="str">
        <x:v>L21-S06-C2</x:v>
      </x:c>
      <x:c r="M333" t="n">
        <x:v>1</x:v>
      </x:c>
      <x:c r="N333" t="str">
        <x:v>DerivedFromCount</x:v>
      </x:c>
      <x:c r="O333" t="str">
        <x:v>PLC-PRD-JAR-720-L21</x:v>
      </x:c>
      <x:c r="P333" t="str">
        <x:v>OK</x:v>
      </x:c>
      <x:c r="Q333" t="str">
        <x:v>OK</x:v>
      </x:c>
      <x:c r="R333" t="str">
        <x:v>OK</x:v>
      </x:c>
      <x:c r="S333" t="str">
        <x:v>OK</x:v>
      </x:c>
      <x:c r="T333" t="n">
        <x:v>20</x:v>
      </x:c>
      <x:c r="U333" t="str">
        <x:v>OK</x:v>
      </x:c>
      <x:c r="V333" t="str">
        <x:v>OK</x:v>
      </x:c>
      <x:c r="W333" t="str">
        <x:v>LOAD</x:v>
      </x:c>
      <x:c r="X333" t="str">
        <x:v>02_Supervisor_Log(4).xlsx</x:v>
      </x:c>
      <x:c r="Y333" t="str">
        <x:v>ENH-20260830-01</x:v>
      </x:c>
      <x:c r="Z333" t="str">
        <x:v>Active</x:v>
      </x:c>
      <x:c r="AA333"/>
      <x:c r="AB333"/>
      <x:c r="AC333"/>
      <x:c r="AD333"/>
    </x:row>
    <x:row r="334">
      <x:c r="A334" t="str">
        <x:v>PCC-PE-KG01-L21-20251024-AM-ORD-2025-00020-S06-C3</x:v>
      </x:c>
      <x:c r="B334" t="str">
        <x:v>PC-PE-KG01-L21-20251024-AM-ORD-2025-00020-S06</x:v>
      </x:c>
      <x:c r="C334" t="str">
        <x:v>PE-KG01-L21-20251024-AM-ORD-2025-00020</x:v>
      </x:c>
      <x:c r="D334" t="str">
        <x:v>KG01</x:v>
      </x:c>
      <x:c r="E334" s="62" t="n">
        <x:v>45954</x:v>
      </x:c>
      <x:c r="F334" t="str">
        <x:v>AM</x:v>
      </x:c>
      <x:c r="G334" t="str">
        <x:v>A</x:v>
      </x:c>
      <x:c r="H334" t="n">
        <x:v>21</x:v>
      </x:c>
      <x:c r="I334" t="str">
        <x:v>ORD-2025-00020</x:v>
      </x:c>
      <x:c r="J334" t="n">
        <x:v>6</x:v>
      </x:c>
      <x:c r="K334" t="n">
        <x:v>3</x:v>
      </x:c>
      <x:c r="L334" t="str">
        <x:v>L21-S06-C3</x:v>
      </x:c>
      <x:c r="M334" t="n">
        <x:v>0</x:v>
      </x:c>
      <x:c r="N334" t="str">
        <x:v>DerivedFromCount</x:v>
      </x:c>
      <x:c r="O334" t="str">
        <x:v>PLC-PRD-JAR-720-L21</x:v>
      </x:c>
      <x:c r="P334" t="str">
        <x:v>OK</x:v>
      </x:c>
      <x:c r="Q334" t="str">
        <x:v>OK</x:v>
      </x:c>
      <x:c r="R334" t="str">
        <x:v>OK</x:v>
      </x:c>
      <x:c r="S334" t="str">
        <x:v>OK</x:v>
      </x:c>
      <x:c r="T334" t="n">
        <x:v>20</x:v>
      </x:c>
      <x:c r="U334" t="str">
        <x:v>OK</x:v>
      </x:c>
      <x:c r="V334" t="str">
        <x:v>OK</x:v>
      </x:c>
      <x:c r="W334" t="str">
        <x:v>LOAD</x:v>
      </x:c>
      <x:c r="X334" t="str">
        <x:v>02_Supervisor_Log(4).xlsx</x:v>
      </x:c>
      <x:c r="Y334" t="str">
        <x:v>ENH-20260830-01</x:v>
      </x:c>
      <x:c r="Z334" t="str">
        <x:v>Active</x:v>
      </x:c>
      <x:c r="AA334"/>
      <x:c r="AB334"/>
      <x:c r="AC334"/>
      <x:c r="AD334"/>
    </x:row>
    <x:row r="335">
      <x:c r="A335" t="str">
        <x:v>PCC-PE-KG01-L21-20251024-AM-ORD-2025-00020-S07-C1</x:v>
      </x:c>
      <x:c r="B335" t="str">
        <x:v>PC-PE-KG01-L21-20251024-AM-ORD-2025-00020-S07</x:v>
      </x:c>
      <x:c r="C335" t="str">
        <x:v>PE-KG01-L21-20251024-AM-ORD-2025-00020</x:v>
      </x:c>
      <x:c r="D335" t="str">
        <x:v>KG01</x:v>
      </x:c>
      <x:c r="E335" s="62" t="n">
        <x:v>45954</x:v>
      </x:c>
      <x:c r="F335" t="str">
        <x:v>AM</x:v>
      </x:c>
      <x:c r="G335" t="str">
        <x:v>A</x:v>
      </x:c>
      <x:c r="H335" t="n">
        <x:v>21</x:v>
      </x:c>
      <x:c r="I335" t="str">
        <x:v>ORD-2025-00020</x:v>
      </x:c>
      <x:c r="J335" t="n">
        <x:v>7</x:v>
      </x:c>
      <x:c r="K335" t="n">
        <x:v>1</x:v>
      </x:c>
      <x:c r="L335" t="str">
        <x:v>L21-S07-C1</x:v>
      </x:c>
      <x:c r="M335" t="n">
        <x:v>1</x:v>
      </x:c>
      <x:c r="N335" t="str">
        <x:v>DerivedFromCount</x:v>
      </x:c>
      <x:c r="O335" t="str">
        <x:v>PLC-PRD-JAR-720-L21</x:v>
      </x:c>
      <x:c r="P335" t="str">
        <x:v>OK</x:v>
      </x:c>
      <x:c r="Q335" t="str">
        <x:v>OK</x:v>
      </x:c>
      <x:c r="R335" t="str">
        <x:v>OK</x:v>
      </x:c>
      <x:c r="S335" t="str">
        <x:v>OK</x:v>
      </x:c>
      <x:c r="T335" t="n">
        <x:v>20</x:v>
      </x:c>
      <x:c r="U335" t="str">
        <x:v>OK</x:v>
      </x:c>
      <x:c r="V335" t="str">
        <x:v>OK</x:v>
      </x:c>
      <x:c r="W335" t="str">
        <x:v>LOAD</x:v>
      </x:c>
      <x:c r="X335" t="str">
        <x:v>02_Supervisor_Log(4).xlsx</x:v>
      </x:c>
      <x:c r="Y335" t="str">
        <x:v>ENH-20260830-01</x:v>
      </x:c>
      <x:c r="Z335" t="str">
        <x:v>Active</x:v>
      </x:c>
      <x:c r="AA335"/>
      <x:c r="AB335"/>
      <x:c r="AC335"/>
      <x:c r="AD335"/>
    </x:row>
    <x:row r="336">
      <x:c r="A336" t="str">
        <x:v>PCC-PE-KG01-L21-20251024-AM-ORD-2025-00020-S07-C2</x:v>
      </x:c>
      <x:c r="B336" t="str">
        <x:v>PC-PE-KG01-L21-20251024-AM-ORD-2025-00020-S07</x:v>
      </x:c>
      <x:c r="C336" t="str">
        <x:v>PE-KG01-L21-20251024-AM-ORD-2025-00020</x:v>
      </x:c>
      <x:c r="D336" t="str">
        <x:v>KG01</x:v>
      </x:c>
      <x:c r="E336" s="62" t="n">
        <x:v>45954</x:v>
      </x:c>
      <x:c r="F336" t="str">
        <x:v>AM</x:v>
      </x:c>
      <x:c r="G336" t="str">
        <x:v>A</x:v>
      </x:c>
      <x:c r="H336" t="n">
        <x:v>21</x:v>
      </x:c>
      <x:c r="I336" t="str">
        <x:v>ORD-2025-00020</x:v>
      </x:c>
      <x:c r="J336" t="n">
        <x:v>7</x:v>
      </x:c>
      <x:c r="K336" t="n">
        <x:v>2</x:v>
      </x:c>
      <x:c r="L336" t="str">
        <x:v>L21-S07-C2</x:v>
      </x:c>
      <x:c r="M336" t="n">
        <x:v>1</x:v>
      </x:c>
      <x:c r="N336" t="str">
        <x:v>DerivedFromCount</x:v>
      </x:c>
      <x:c r="O336" t="str">
        <x:v>PLC-PRD-JAR-720-L21</x:v>
      </x:c>
      <x:c r="P336" t="str">
        <x:v>OK</x:v>
      </x:c>
      <x:c r="Q336" t="str">
        <x:v>OK</x:v>
      </x:c>
      <x:c r="R336" t="str">
        <x:v>OK</x:v>
      </x:c>
      <x:c r="S336" t="str">
        <x:v>OK</x:v>
      </x:c>
      <x:c r="T336" t="n">
        <x:v>20</x:v>
      </x:c>
      <x:c r="U336" t="str">
        <x:v>OK</x:v>
      </x:c>
      <x:c r="V336" t="str">
        <x:v>OK</x:v>
      </x:c>
      <x:c r="W336" t="str">
        <x:v>LOAD</x:v>
      </x:c>
      <x:c r="X336" t="str">
        <x:v>02_Supervisor_Log(4).xlsx</x:v>
      </x:c>
      <x:c r="Y336" t="str">
        <x:v>ENH-20260830-01</x:v>
      </x:c>
      <x:c r="Z336" t="str">
        <x:v>Active</x:v>
      </x:c>
      <x:c r="AA336"/>
      <x:c r="AB336"/>
      <x:c r="AC336"/>
      <x:c r="AD336"/>
    </x:row>
    <x:row r="337">
      <x:c r="A337" t="str">
        <x:v>PCC-PE-KG01-L21-20251024-AM-ORD-2025-00020-S07-C3</x:v>
      </x:c>
      <x:c r="B337" t="str">
        <x:v>PC-PE-KG01-L21-20251024-AM-ORD-2025-00020-S07</x:v>
      </x:c>
      <x:c r="C337" t="str">
        <x:v>PE-KG01-L21-20251024-AM-ORD-2025-00020</x:v>
      </x:c>
      <x:c r="D337" t="str">
        <x:v>KG01</x:v>
      </x:c>
      <x:c r="E337" s="62" t="n">
        <x:v>45954</x:v>
      </x:c>
      <x:c r="F337" t="str">
        <x:v>AM</x:v>
      </x:c>
      <x:c r="G337" t="str">
        <x:v>A</x:v>
      </x:c>
      <x:c r="H337" t="n">
        <x:v>21</x:v>
      </x:c>
      <x:c r="I337" t="str">
        <x:v>ORD-2025-00020</x:v>
      </x:c>
      <x:c r="J337" t="n">
        <x:v>7</x:v>
      </x:c>
      <x:c r="K337" t="n">
        <x:v>3</x:v>
      </x:c>
      <x:c r="L337" t="str">
        <x:v>L21-S07-C3</x:v>
      </x:c>
      <x:c r="M337" t="n">
        <x:v>0</x:v>
      </x:c>
      <x:c r="N337" t="str">
        <x:v>DerivedFromCount</x:v>
      </x:c>
      <x:c r="O337" t="str">
        <x:v>PLC-PRD-JAR-720-L21</x:v>
      </x:c>
      <x:c r="P337" t="str">
        <x:v>OK</x:v>
      </x:c>
      <x:c r="Q337" t="str">
        <x:v>OK</x:v>
      </x:c>
      <x:c r="R337" t="str">
        <x:v>OK</x:v>
      </x:c>
      <x:c r="S337" t="str">
        <x:v>OK</x:v>
      </x:c>
      <x:c r="T337" t="n">
        <x:v>20</x:v>
      </x:c>
      <x:c r="U337" t="str">
        <x:v>OK</x:v>
      </x:c>
      <x:c r="V337" t="str">
        <x:v>OK</x:v>
      </x:c>
      <x:c r="W337" t="str">
        <x:v>LOAD</x:v>
      </x:c>
      <x:c r="X337" t="str">
        <x:v>02_Supervisor_Log(4).xlsx</x:v>
      </x:c>
      <x:c r="Y337" t="str">
        <x:v>ENH-20260830-01</x:v>
      </x:c>
      <x:c r="Z337" t="str">
        <x:v>Active</x:v>
      </x:c>
      <x:c r="AA337"/>
      <x:c r="AB337"/>
      <x:c r="AC337"/>
      <x:c r="AD337"/>
    </x:row>
    <x:row r="338">
      <x:c r="A338" t="str">
        <x:v>PCC-PE-KG01-L21-20251024-AM-ORD-2025-00020-S08-C1</x:v>
      </x:c>
      <x:c r="B338" t="str">
        <x:v>PC-PE-KG01-L21-20251024-AM-ORD-2025-00020-S08</x:v>
      </x:c>
      <x:c r="C338" t="str">
        <x:v>PE-KG01-L21-20251024-AM-ORD-2025-00020</x:v>
      </x:c>
      <x:c r="D338" t="str">
        <x:v>KG01</x:v>
      </x:c>
      <x:c r="E338" s="62" t="n">
        <x:v>45954</x:v>
      </x:c>
      <x:c r="F338" t="str">
        <x:v>AM</x:v>
      </x:c>
      <x:c r="G338" t="str">
        <x:v>A</x:v>
      </x:c>
      <x:c r="H338" t="n">
        <x:v>21</x:v>
      </x:c>
      <x:c r="I338" t="str">
        <x:v>ORD-2025-00020</x:v>
      </x:c>
      <x:c r="J338" t="n">
        <x:v>8</x:v>
      </x:c>
      <x:c r="K338" t="n">
        <x:v>1</x:v>
      </x:c>
      <x:c r="L338" t="str">
        <x:v>L21-S08-C1</x:v>
      </x:c>
      <x:c r="M338" t="n">
        <x:v>1</x:v>
      </x:c>
      <x:c r="N338" t="str">
        <x:v>DerivedFromCount</x:v>
      </x:c>
      <x:c r="O338" t="str">
        <x:v>PLC-PRD-JAR-720-L21</x:v>
      </x:c>
      <x:c r="P338" t="str">
        <x:v>OK</x:v>
      </x:c>
      <x:c r="Q338" t="str">
        <x:v>OK</x:v>
      </x:c>
      <x:c r="R338" t="str">
        <x:v>OK</x:v>
      </x:c>
      <x:c r="S338" t="str">
        <x:v>OK</x:v>
      </x:c>
      <x:c r="T338" t="n">
        <x:v>20</x:v>
      </x:c>
      <x:c r="U338" t="str">
        <x:v>OK</x:v>
      </x:c>
      <x:c r="V338" t="str">
        <x:v>OK</x:v>
      </x:c>
      <x:c r="W338" t="str">
        <x:v>LOAD</x:v>
      </x:c>
      <x:c r="X338" t="str">
        <x:v>02_Supervisor_Log(4).xlsx</x:v>
      </x:c>
      <x:c r="Y338" t="str">
        <x:v>ENH-20260830-01</x:v>
      </x:c>
      <x:c r="Z338" t="str">
        <x:v>Active</x:v>
      </x:c>
      <x:c r="AA338"/>
      <x:c r="AB338"/>
      <x:c r="AC338"/>
      <x:c r="AD338"/>
    </x:row>
    <x:row r="339">
      <x:c r="A339" t="str">
        <x:v>PCC-PE-KG01-L21-20251024-AM-ORD-2025-00020-S08-C2</x:v>
      </x:c>
      <x:c r="B339" t="str">
        <x:v>PC-PE-KG01-L21-20251024-AM-ORD-2025-00020-S08</x:v>
      </x:c>
      <x:c r="C339" t="str">
        <x:v>PE-KG01-L21-20251024-AM-ORD-2025-00020</x:v>
      </x:c>
      <x:c r="D339" t="str">
        <x:v>KG01</x:v>
      </x:c>
      <x:c r="E339" s="62" t="n">
        <x:v>45954</x:v>
      </x:c>
      <x:c r="F339" t="str">
        <x:v>AM</x:v>
      </x:c>
      <x:c r="G339" t="str">
        <x:v>A</x:v>
      </x:c>
      <x:c r="H339" t="n">
        <x:v>21</x:v>
      </x:c>
      <x:c r="I339" t="str">
        <x:v>ORD-2025-00020</x:v>
      </x:c>
      <x:c r="J339" t="n">
        <x:v>8</x:v>
      </x:c>
      <x:c r="K339" t="n">
        <x:v>2</x:v>
      </x:c>
      <x:c r="L339" t="str">
        <x:v>L21-S08-C2</x:v>
      </x:c>
      <x:c r="M339" t="n">
        <x:v>1</x:v>
      </x:c>
      <x:c r="N339" t="str">
        <x:v>DerivedFromCount</x:v>
      </x:c>
      <x:c r="O339" t="str">
        <x:v>PLC-PRD-JAR-720-L21</x:v>
      </x:c>
      <x:c r="P339" t="str">
        <x:v>OK</x:v>
      </x:c>
      <x:c r="Q339" t="str">
        <x:v>OK</x:v>
      </x:c>
      <x:c r="R339" t="str">
        <x:v>OK</x:v>
      </x:c>
      <x:c r="S339" t="str">
        <x:v>OK</x:v>
      </x:c>
      <x:c r="T339" t="n">
        <x:v>20</x:v>
      </x:c>
      <x:c r="U339" t="str">
        <x:v>OK</x:v>
      </x:c>
      <x:c r="V339" t="str">
        <x:v>OK</x:v>
      </x:c>
      <x:c r="W339" t="str">
        <x:v>LOAD</x:v>
      </x:c>
      <x:c r="X339" t="str">
        <x:v>02_Supervisor_Log(4).xlsx</x:v>
      </x:c>
      <x:c r="Y339" t="str">
        <x:v>ENH-20260830-01</x:v>
      </x:c>
      <x:c r="Z339" t="str">
        <x:v>Active</x:v>
      </x:c>
      <x:c r="AA339"/>
      <x:c r="AB339"/>
      <x:c r="AC339"/>
      <x:c r="AD339"/>
    </x:row>
    <x:row r="340">
      <x:c r="A340" t="str">
        <x:v>PCC-PE-KG01-L21-20251024-AM-ORD-2025-00020-S08-C3</x:v>
      </x:c>
      <x:c r="B340" t="str">
        <x:v>PC-PE-KG01-L21-20251024-AM-ORD-2025-00020-S08</x:v>
      </x:c>
      <x:c r="C340" t="str">
        <x:v>PE-KG01-L21-20251024-AM-ORD-2025-00020</x:v>
      </x:c>
      <x:c r="D340" t="str">
        <x:v>KG01</x:v>
      </x:c>
      <x:c r="E340" s="62" t="n">
        <x:v>45954</x:v>
      </x:c>
      <x:c r="F340" t="str">
        <x:v>AM</x:v>
      </x:c>
      <x:c r="G340" t="str">
        <x:v>A</x:v>
      </x:c>
      <x:c r="H340" t="n">
        <x:v>21</x:v>
      </x:c>
      <x:c r="I340" t="str">
        <x:v>ORD-2025-00020</x:v>
      </x:c>
      <x:c r="J340" t="n">
        <x:v>8</x:v>
      </x:c>
      <x:c r="K340" t="n">
        <x:v>3</x:v>
      </x:c>
      <x:c r="L340" t="str">
        <x:v>L21-S08-C3</x:v>
      </x:c>
      <x:c r="M340" t="n">
        <x:v>0</x:v>
      </x:c>
      <x:c r="N340" t="str">
        <x:v>DerivedFromCount</x:v>
      </x:c>
      <x:c r="O340" t="str">
        <x:v>PLC-PRD-JAR-720-L21</x:v>
      </x:c>
      <x:c r="P340" t="str">
        <x:v>OK</x:v>
      </x:c>
      <x:c r="Q340" t="str">
        <x:v>OK</x:v>
      </x:c>
      <x:c r="R340" t="str">
        <x:v>OK</x:v>
      </x:c>
      <x:c r="S340" t="str">
        <x:v>OK</x:v>
      </x:c>
      <x:c r="T340" t="n">
        <x:v>20</x:v>
      </x:c>
      <x:c r="U340" t="str">
        <x:v>OK</x:v>
      </x:c>
      <x:c r="V340" t="str">
        <x:v>OK</x:v>
      </x:c>
      <x:c r="W340" t="str">
        <x:v>LOAD</x:v>
      </x:c>
      <x:c r="X340" t="str">
        <x:v>02_Supervisor_Log(4).xlsx</x:v>
      </x:c>
      <x:c r="Y340" t="str">
        <x:v>ENH-20260830-01</x:v>
      </x:c>
      <x:c r="Z340" t="str">
        <x:v>Active</x:v>
      </x:c>
      <x:c r="AA340"/>
      <x:c r="AB340"/>
      <x:c r="AC340"/>
      <x:c r="AD340"/>
    </x:row>
    <x:row r="341">
      <x:c r="A341" t="str">
        <x:v>PCC-PE-KG01-L21-20251024-AM-ORD-2025-00020-S09-C1</x:v>
      </x:c>
      <x:c r="B341" t="str">
        <x:v>PC-PE-KG01-L21-20251024-AM-ORD-2025-00020-S09</x:v>
      </x:c>
      <x:c r="C341" t="str">
        <x:v>PE-KG01-L21-20251024-AM-ORD-2025-00020</x:v>
      </x:c>
      <x:c r="D341" t="str">
        <x:v>KG01</x:v>
      </x:c>
      <x:c r="E341" s="62" t="n">
        <x:v>45954</x:v>
      </x:c>
      <x:c r="F341" t="str">
        <x:v>AM</x:v>
      </x:c>
      <x:c r="G341" t="str">
        <x:v>A</x:v>
      </x:c>
      <x:c r="H341" t="n">
        <x:v>21</x:v>
      </x:c>
      <x:c r="I341" t="str">
        <x:v>ORD-2025-00020</x:v>
      </x:c>
      <x:c r="J341" t="n">
        <x:v>9</x:v>
      </x:c>
      <x:c r="K341" t="n">
        <x:v>1</x:v>
      </x:c>
      <x:c r="L341" t="str">
        <x:v>L21-S09-C1</x:v>
      </x:c>
      <x:c r="M341" t="n">
        <x:v>1</x:v>
      </x:c>
      <x:c r="N341" t="str">
        <x:v>DerivedFromCount</x:v>
      </x:c>
      <x:c r="O341" t="str">
        <x:v>PLC-PRD-JAR-720-L21</x:v>
      </x:c>
      <x:c r="P341" t="str">
        <x:v>OK</x:v>
      </x:c>
      <x:c r="Q341" t="str">
        <x:v>OK</x:v>
      </x:c>
      <x:c r="R341" t="str">
        <x:v>OK</x:v>
      </x:c>
      <x:c r="S341" t="str">
        <x:v>OK</x:v>
      </x:c>
      <x:c r="T341" t="n">
        <x:v>20</x:v>
      </x:c>
      <x:c r="U341" t="str">
        <x:v>OK</x:v>
      </x:c>
      <x:c r="V341" t="str">
        <x:v>OK</x:v>
      </x:c>
      <x:c r="W341" t="str">
        <x:v>LOAD</x:v>
      </x:c>
      <x:c r="X341" t="str">
        <x:v>02_Supervisor_Log(4).xlsx</x:v>
      </x:c>
      <x:c r="Y341" t="str">
        <x:v>ENH-20260830-01</x:v>
      </x:c>
      <x:c r="Z341" t="str">
        <x:v>Active</x:v>
      </x:c>
      <x:c r="AA341"/>
      <x:c r="AB341"/>
      <x:c r="AC341"/>
      <x:c r="AD341"/>
    </x:row>
    <x:row r="342">
      <x:c r="A342" t="str">
        <x:v>PCC-PE-KG01-L21-20251024-AM-ORD-2025-00020-S09-C2</x:v>
      </x:c>
      <x:c r="B342" t="str">
        <x:v>PC-PE-KG01-L21-20251024-AM-ORD-2025-00020-S09</x:v>
      </x:c>
      <x:c r="C342" t="str">
        <x:v>PE-KG01-L21-20251024-AM-ORD-2025-00020</x:v>
      </x:c>
      <x:c r="D342" t="str">
        <x:v>KG01</x:v>
      </x:c>
      <x:c r="E342" s="62" t="n">
        <x:v>45954</x:v>
      </x:c>
      <x:c r="F342" t="str">
        <x:v>AM</x:v>
      </x:c>
      <x:c r="G342" t="str">
        <x:v>A</x:v>
      </x:c>
      <x:c r="H342" t="n">
        <x:v>21</x:v>
      </x:c>
      <x:c r="I342" t="str">
        <x:v>ORD-2025-00020</x:v>
      </x:c>
      <x:c r="J342" t="n">
        <x:v>9</x:v>
      </x:c>
      <x:c r="K342" t="n">
        <x:v>2</x:v>
      </x:c>
      <x:c r="L342" t="str">
        <x:v>L21-S09-C2</x:v>
      </x:c>
      <x:c r="M342" t="n">
        <x:v>1</x:v>
      </x:c>
      <x:c r="N342" t="str">
        <x:v>DerivedFromCount</x:v>
      </x:c>
      <x:c r="O342" t="str">
        <x:v>PLC-PRD-JAR-720-L21</x:v>
      </x:c>
      <x:c r="P342" t="str">
        <x:v>OK</x:v>
      </x:c>
      <x:c r="Q342" t="str">
        <x:v>OK</x:v>
      </x:c>
      <x:c r="R342" t="str">
        <x:v>OK</x:v>
      </x:c>
      <x:c r="S342" t="str">
        <x:v>OK</x:v>
      </x:c>
      <x:c r="T342" t="n">
        <x:v>20</x:v>
      </x:c>
      <x:c r="U342" t="str">
        <x:v>OK</x:v>
      </x:c>
      <x:c r="V342" t="str">
        <x:v>OK</x:v>
      </x:c>
      <x:c r="W342" t="str">
        <x:v>LOAD</x:v>
      </x:c>
      <x:c r="X342" t="str">
        <x:v>02_Supervisor_Log(4).xlsx</x:v>
      </x:c>
      <x:c r="Y342" t="str">
        <x:v>ENH-20260830-01</x:v>
      </x:c>
      <x:c r="Z342" t="str">
        <x:v>Active</x:v>
      </x:c>
      <x:c r="AA342"/>
      <x:c r="AB342"/>
      <x:c r="AC342"/>
      <x:c r="AD342"/>
    </x:row>
    <x:row r="343">
      <x:c r="A343" t="str">
        <x:v>PCC-PE-KG01-L21-20251024-AM-ORD-2025-00020-S09-C3</x:v>
      </x:c>
      <x:c r="B343" t="str">
        <x:v>PC-PE-KG01-L21-20251024-AM-ORD-2025-00020-S09</x:v>
      </x:c>
      <x:c r="C343" t="str">
        <x:v>PE-KG01-L21-20251024-AM-ORD-2025-00020</x:v>
      </x:c>
      <x:c r="D343" t="str">
        <x:v>KG01</x:v>
      </x:c>
      <x:c r="E343" s="62" t="n">
        <x:v>45954</x:v>
      </x:c>
      <x:c r="F343" t="str">
        <x:v>AM</x:v>
      </x:c>
      <x:c r="G343" t="str">
        <x:v>A</x:v>
      </x:c>
      <x:c r="H343" t="n">
        <x:v>21</x:v>
      </x:c>
      <x:c r="I343" t="str">
        <x:v>ORD-2025-00020</x:v>
      </x:c>
      <x:c r="J343" t="n">
        <x:v>9</x:v>
      </x:c>
      <x:c r="K343" t="n">
        <x:v>3</x:v>
      </x:c>
      <x:c r="L343" t="str">
        <x:v>L21-S09-C3</x:v>
      </x:c>
      <x:c r="M343" t="n">
        <x:v>0</x:v>
      </x:c>
      <x:c r="N343" t="str">
        <x:v>DerivedFromCount</x:v>
      </x:c>
      <x:c r="O343" t="str">
        <x:v>PLC-PRD-JAR-720-L21</x:v>
      </x:c>
      <x:c r="P343" t="str">
        <x:v>OK</x:v>
      </x:c>
      <x:c r="Q343" t="str">
        <x:v>OK</x:v>
      </x:c>
      <x:c r="R343" t="str">
        <x:v>OK</x:v>
      </x:c>
      <x:c r="S343" t="str">
        <x:v>OK</x:v>
      </x:c>
      <x:c r="T343" t="n">
        <x:v>20</x:v>
      </x:c>
      <x:c r="U343" t="str">
        <x:v>OK</x:v>
      </x:c>
      <x:c r="V343" t="str">
        <x:v>OK</x:v>
      </x:c>
      <x:c r="W343" t="str">
        <x:v>LOAD</x:v>
      </x:c>
      <x:c r="X343" t="str">
        <x:v>02_Supervisor_Log(4).xlsx</x:v>
      </x:c>
      <x:c r="Y343" t="str">
        <x:v>ENH-20260830-01</x:v>
      </x:c>
      <x:c r="Z343" t="str">
        <x:v>Active</x:v>
      </x:c>
      <x:c r="AA343"/>
      <x:c r="AB343"/>
      <x:c r="AC343"/>
      <x:c r="AD343"/>
    </x:row>
    <x:row r="344">
      <x:c r="A344" t="str">
        <x:v>PCC-PE-KG01-L21-20251024-AM-ORD-2025-00020-S10-C1</x:v>
      </x:c>
      <x:c r="B344" t="str">
        <x:v>PC-PE-KG01-L21-20251024-AM-ORD-2025-00020-S10</x:v>
      </x:c>
      <x:c r="C344" t="str">
        <x:v>PE-KG01-L21-20251024-AM-ORD-2025-00020</x:v>
      </x:c>
      <x:c r="D344" t="str">
        <x:v>KG01</x:v>
      </x:c>
      <x:c r="E344" s="62" t="n">
        <x:v>45954</x:v>
      </x:c>
      <x:c r="F344" t="str">
        <x:v>AM</x:v>
      </x:c>
      <x:c r="G344" t="str">
        <x:v>A</x:v>
      </x:c>
      <x:c r="H344" t="n">
        <x:v>21</x:v>
      </x:c>
      <x:c r="I344" t="str">
        <x:v>ORD-2025-00020</x:v>
      </x:c>
      <x:c r="J344" t="n">
        <x:v>10</x:v>
      </x:c>
      <x:c r="K344" t="n">
        <x:v>1</x:v>
      </x:c>
      <x:c r="L344" t="str">
        <x:v>L21-S10-C1</x:v>
      </x:c>
      <x:c r="M344" t="n">
        <x:v>1</x:v>
      </x:c>
      <x:c r="N344" t="str">
        <x:v>DerivedFromCount</x:v>
      </x:c>
      <x:c r="O344" t="str">
        <x:v>PLC-PRD-JAR-720-L21</x:v>
      </x:c>
      <x:c r="P344" t="str">
        <x:v>OK</x:v>
      </x:c>
      <x:c r="Q344" t="str">
        <x:v>OK</x:v>
      </x:c>
      <x:c r="R344" t="str">
        <x:v>OK</x:v>
      </x:c>
      <x:c r="S344" t="str">
        <x:v>OK</x:v>
      </x:c>
      <x:c r="T344" t="n">
        <x:v>20</x:v>
      </x:c>
      <x:c r="U344" t="str">
        <x:v>OK</x:v>
      </x:c>
      <x:c r="V344" t="str">
        <x:v>OK</x:v>
      </x:c>
      <x:c r="W344" t="str">
        <x:v>LOAD</x:v>
      </x:c>
      <x:c r="X344" t="str">
        <x:v>02_Supervisor_Log(4).xlsx</x:v>
      </x:c>
      <x:c r="Y344" t="str">
        <x:v>ENH-20260830-01</x:v>
      </x:c>
      <x:c r="Z344" t="str">
        <x:v>Active</x:v>
      </x:c>
      <x:c r="AA344"/>
      <x:c r="AB344"/>
      <x:c r="AC344"/>
      <x:c r="AD344"/>
    </x:row>
    <x:row r="345">
      <x:c r="A345" t="str">
        <x:v>PCC-PE-KG01-L21-20251024-AM-ORD-2025-00020-S10-C2</x:v>
      </x:c>
      <x:c r="B345" t="str">
        <x:v>PC-PE-KG01-L21-20251024-AM-ORD-2025-00020-S10</x:v>
      </x:c>
      <x:c r="C345" t="str">
        <x:v>PE-KG01-L21-20251024-AM-ORD-2025-00020</x:v>
      </x:c>
      <x:c r="D345" t="str">
        <x:v>KG01</x:v>
      </x:c>
      <x:c r="E345" s="62" t="n">
        <x:v>45954</x:v>
      </x:c>
      <x:c r="F345" t="str">
        <x:v>AM</x:v>
      </x:c>
      <x:c r="G345" t="str">
        <x:v>A</x:v>
      </x:c>
      <x:c r="H345" t="n">
        <x:v>21</x:v>
      </x:c>
      <x:c r="I345" t="str">
        <x:v>ORD-2025-00020</x:v>
      </x:c>
      <x:c r="J345" t="n">
        <x:v>10</x:v>
      </x:c>
      <x:c r="K345" t="n">
        <x:v>2</x:v>
      </x:c>
      <x:c r="L345" t="str">
        <x:v>L21-S10-C2</x:v>
      </x:c>
      <x:c r="M345" t="n">
        <x:v>1</x:v>
      </x:c>
      <x:c r="N345" t="str">
        <x:v>DerivedFromCount</x:v>
      </x:c>
      <x:c r="O345" t="str">
        <x:v>PLC-PRD-JAR-720-L21</x:v>
      </x:c>
      <x:c r="P345" t="str">
        <x:v>OK</x:v>
      </x:c>
      <x:c r="Q345" t="str">
        <x:v>OK</x:v>
      </x:c>
      <x:c r="R345" t="str">
        <x:v>OK</x:v>
      </x:c>
      <x:c r="S345" t="str">
        <x:v>OK</x:v>
      </x:c>
      <x:c r="T345" t="n">
        <x:v>20</x:v>
      </x:c>
      <x:c r="U345" t="str">
        <x:v>OK</x:v>
      </x:c>
      <x:c r="V345" t="str">
        <x:v>OK</x:v>
      </x:c>
      <x:c r="W345" t="str">
        <x:v>LOAD</x:v>
      </x:c>
      <x:c r="X345" t="str">
        <x:v>02_Supervisor_Log(4).xlsx</x:v>
      </x:c>
      <x:c r="Y345" t="str">
        <x:v>ENH-20260830-01</x:v>
      </x:c>
      <x:c r="Z345" t="str">
        <x:v>Active</x:v>
      </x:c>
      <x:c r="AA345"/>
      <x:c r="AB345"/>
      <x:c r="AC345"/>
      <x:c r="AD345"/>
    </x:row>
    <x:row r="346">
      <x:c r="A346" t="str">
        <x:v>PCC-PE-KG01-L21-20251024-AM-ORD-2025-00020-S10-C3</x:v>
      </x:c>
      <x:c r="B346" t="str">
        <x:v>PC-PE-KG01-L21-20251024-AM-ORD-2025-00020-S10</x:v>
      </x:c>
      <x:c r="C346" t="str">
        <x:v>PE-KG01-L21-20251024-AM-ORD-2025-00020</x:v>
      </x:c>
      <x:c r="D346" t="str">
        <x:v>KG01</x:v>
      </x:c>
      <x:c r="E346" s="62" t="n">
        <x:v>45954</x:v>
      </x:c>
      <x:c r="F346" t="str">
        <x:v>AM</x:v>
      </x:c>
      <x:c r="G346" t="str">
        <x:v>A</x:v>
      </x:c>
      <x:c r="H346" t="n">
        <x:v>21</x:v>
      </x:c>
      <x:c r="I346" t="str">
        <x:v>ORD-2025-00020</x:v>
      </x:c>
      <x:c r="J346" t="n">
        <x:v>10</x:v>
      </x:c>
      <x:c r="K346" t="n">
        <x:v>3</x:v>
      </x:c>
      <x:c r="L346" t="str">
        <x:v>L21-S10-C3</x:v>
      </x:c>
      <x:c r="M346" t="n">
        <x:v>0</x:v>
      </x:c>
      <x:c r="N346" t="str">
        <x:v>DerivedFromCount</x:v>
      </x:c>
      <x:c r="O346" t="str">
        <x:v>PLC-PRD-JAR-720-L21</x:v>
      </x:c>
      <x:c r="P346" t="str">
        <x:v>OK</x:v>
      </x:c>
      <x:c r="Q346" t="str">
        <x:v>OK</x:v>
      </x:c>
      <x:c r="R346" t="str">
        <x:v>OK</x:v>
      </x:c>
      <x:c r="S346" t="str">
        <x:v>OK</x:v>
      </x:c>
      <x:c r="T346" t="n">
        <x:v>20</x:v>
      </x:c>
      <x:c r="U346" t="str">
        <x:v>OK</x:v>
      </x:c>
      <x:c r="V346" t="str">
        <x:v>OK</x:v>
      </x:c>
      <x:c r="W346" t="str">
        <x:v>LOAD</x:v>
      </x:c>
      <x:c r="X346" t="str">
        <x:v>02_Supervisor_Log(4).xlsx</x:v>
      </x:c>
      <x:c r="Y346" t="str">
        <x:v>ENH-20260830-01</x:v>
      </x:c>
      <x:c r="Z346" t="str">
        <x:v>Active</x:v>
      </x:c>
      <x:c r="AA346"/>
      <x:c r="AB346"/>
      <x:c r="AC346"/>
      <x:c r="AD346"/>
    </x:row>
    <x:row r="347">
      <x:c r="A347" t="str">
        <x:v>PCC-PE-KG01-L21-20251024-AM-ORD-2025-00020-S11-C1</x:v>
      </x:c>
      <x:c r="B347" t="str">
        <x:v>PC-PE-KG01-L21-20251024-AM-ORD-2025-00020-S11</x:v>
      </x:c>
      <x:c r="C347" t="str">
        <x:v>PE-KG01-L21-20251024-AM-ORD-2025-00020</x:v>
      </x:c>
      <x:c r="D347" t="str">
        <x:v>KG01</x:v>
      </x:c>
      <x:c r="E347" s="62" t="n">
        <x:v>45954</x:v>
      </x:c>
      <x:c r="F347" t="str">
        <x:v>AM</x:v>
      </x:c>
      <x:c r="G347" t="str">
        <x:v>A</x:v>
      </x:c>
      <x:c r="H347" t="n">
        <x:v>21</x:v>
      </x:c>
      <x:c r="I347" t="str">
        <x:v>ORD-2025-00020</x:v>
      </x:c>
      <x:c r="J347" t="n">
        <x:v>11</x:v>
      </x:c>
      <x:c r="K347" t="n">
        <x:v>1</x:v>
      </x:c>
      <x:c r="L347" t="str">
        <x:v>L21-S11-C1</x:v>
      </x:c>
      <x:c r="M347" t="n">
        <x:v>0</x:v>
      </x:c>
      <x:c r="N347" t="str">
        <x:v>DerivedFromCount</x:v>
      </x:c>
      <x:c r="O347" t="str">
        <x:v>PLC-PRD-JAR-720-L21</x:v>
      </x:c>
      <x:c r="P347" t="str">
        <x:v>OK</x:v>
      </x:c>
      <x:c r="Q347" t="str">
        <x:v>OK</x:v>
      </x:c>
      <x:c r="R347" t="str">
        <x:v>OK</x:v>
      </x:c>
      <x:c r="S347" t="str">
        <x:v>OK</x:v>
      </x:c>
      <x:c r="T347" t="n">
        <x:v>20</x:v>
      </x:c>
      <x:c r="U347" t="str">
        <x:v>OK</x:v>
      </x:c>
      <x:c r="V347" t="str">
        <x:v>OK</x:v>
      </x:c>
      <x:c r="W347" t="str">
        <x:v>LOAD</x:v>
      </x:c>
      <x:c r="X347" t="str">
        <x:v>02_Supervisor_Log(4).xlsx</x:v>
      </x:c>
      <x:c r="Y347" t="str">
        <x:v>ENH-20260830-01</x:v>
      </x:c>
      <x:c r="Z347" t="str">
        <x:v>Active</x:v>
      </x:c>
      <x:c r="AA347"/>
      <x:c r="AB347"/>
      <x:c r="AC347"/>
      <x:c r="AD347"/>
    </x:row>
    <x:row r="348">
      <x:c r="A348" t="str">
        <x:v>PCC-PE-KG01-L21-20251024-AM-ORD-2025-00020-S11-C2</x:v>
      </x:c>
      <x:c r="B348" t="str">
        <x:v>PC-PE-KG01-L21-20251024-AM-ORD-2025-00020-S11</x:v>
      </x:c>
      <x:c r="C348" t="str">
        <x:v>PE-KG01-L21-20251024-AM-ORD-2025-00020</x:v>
      </x:c>
      <x:c r="D348" t="str">
        <x:v>KG01</x:v>
      </x:c>
      <x:c r="E348" s="62" t="n">
        <x:v>45954</x:v>
      </x:c>
      <x:c r="F348" t="str">
        <x:v>AM</x:v>
      </x:c>
      <x:c r="G348" t="str">
        <x:v>A</x:v>
      </x:c>
      <x:c r="H348" t="n">
        <x:v>21</x:v>
      </x:c>
      <x:c r="I348" t="str">
        <x:v>ORD-2025-00020</x:v>
      </x:c>
      <x:c r="J348" t="n">
        <x:v>11</x:v>
      </x:c>
      <x:c r="K348" t="n">
        <x:v>2</x:v>
      </x:c>
      <x:c r="L348" t="str">
        <x:v>L21-S11-C2</x:v>
      </x:c>
      <x:c r="M348" t="n">
        <x:v>0</x:v>
      </x:c>
      <x:c r="N348" t="str">
        <x:v>DerivedFromCount</x:v>
      </x:c>
      <x:c r="O348" t="str">
        <x:v>PLC-PRD-JAR-720-L21</x:v>
      </x:c>
      <x:c r="P348" t="str">
        <x:v>OK</x:v>
      </x:c>
      <x:c r="Q348" t="str">
        <x:v>OK</x:v>
      </x:c>
      <x:c r="R348" t="str">
        <x:v>OK</x:v>
      </x:c>
      <x:c r="S348" t="str">
        <x:v>OK</x:v>
      </x:c>
      <x:c r="T348" t="n">
        <x:v>20</x:v>
      </x:c>
      <x:c r="U348" t="str">
        <x:v>OK</x:v>
      </x:c>
      <x:c r="V348" t="str">
        <x:v>OK</x:v>
      </x:c>
      <x:c r="W348" t="str">
        <x:v>LOAD</x:v>
      </x:c>
      <x:c r="X348" t="str">
        <x:v>02_Supervisor_Log(4).xlsx</x:v>
      </x:c>
      <x:c r="Y348" t="str">
        <x:v>ENH-20260830-01</x:v>
      </x:c>
      <x:c r="Z348" t="str">
        <x:v>Active</x:v>
      </x:c>
      <x:c r="AA348"/>
      <x:c r="AB348"/>
      <x:c r="AC348"/>
      <x:c r="AD348"/>
    </x:row>
    <x:row r="349">
      <x:c r="A349" t="str">
        <x:v>PCC-PE-KG01-L21-20251024-AM-ORD-2025-00020-S11-C3</x:v>
      </x:c>
      <x:c r="B349" t="str">
        <x:v>PC-PE-KG01-L21-20251024-AM-ORD-2025-00020-S11</x:v>
      </x:c>
      <x:c r="C349" t="str">
        <x:v>PE-KG01-L21-20251024-AM-ORD-2025-00020</x:v>
      </x:c>
      <x:c r="D349" t="str">
        <x:v>KG01</x:v>
      </x:c>
      <x:c r="E349" s="62" t="n">
        <x:v>45954</x:v>
      </x:c>
      <x:c r="F349" t="str">
        <x:v>AM</x:v>
      </x:c>
      <x:c r="G349" t="str">
        <x:v>A</x:v>
      </x:c>
      <x:c r="H349" t="n">
        <x:v>21</x:v>
      </x:c>
      <x:c r="I349" t="str">
        <x:v>ORD-2025-00020</x:v>
      </x:c>
      <x:c r="J349" t="n">
        <x:v>11</x:v>
      </x:c>
      <x:c r="K349" t="n">
        <x:v>3</x:v>
      </x:c>
      <x:c r="L349" t="str">
        <x:v>L21-S11-C3</x:v>
      </x:c>
      <x:c r="M349" t="n">
        <x:v>0</x:v>
      </x:c>
      <x:c r="N349" t="str">
        <x:v>DerivedFromCount</x:v>
      </x:c>
      <x:c r="O349" t="str">
        <x:v>PLC-PRD-JAR-720-L21</x:v>
      </x:c>
      <x:c r="P349" t="str">
        <x:v>OK</x:v>
      </x:c>
      <x:c r="Q349" t="str">
        <x:v>OK</x:v>
      </x:c>
      <x:c r="R349" t="str">
        <x:v>OK</x:v>
      </x:c>
      <x:c r="S349" t="str">
        <x:v>OK</x:v>
      </x:c>
      <x:c r="T349" t="n">
        <x:v>20</x:v>
      </x:c>
      <x:c r="U349" t="str">
        <x:v>OK</x:v>
      </x:c>
      <x:c r="V349" t="str">
        <x:v>OK</x:v>
      </x:c>
      <x:c r="W349" t="str">
        <x:v>LOAD</x:v>
      </x:c>
      <x:c r="X349" t="str">
        <x:v>02_Supervisor_Log(4).xlsx</x:v>
      </x:c>
      <x:c r="Y349" t="str">
        <x:v>ENH-20260830-01</x:v>
      </x:c>
      <x:c r="Z349" t="str">
        <x:v>Active</x:v>
      </x:c>
      <x:c r="AA349"/>
      <x:c r="AB349"/>
      <x:c r="AC349"/>
      <x:c r="AD349"/>
    </x:row>
    <x:row r="350">
      <x:c r="A350" t="str">
        <x:v>PCC-PE-KG01-L21-20251024-AM-ORD-2025-00020-S12-C1</x:v>
      </x:c>
      <x:c r="B350" t="str">
        <x:v>PC-PE-KG01-L21-20251024-AM-ORD-2025-00020-S12</x:v>
      </x:c>
      <x:c r="C350" t="str">
        <x:v>PE-KG01-L21-20251024-AM-ORD-2025-00020</x:v>
      </x:c>
      <x:c r="D350" t="str">
        <x:v>KG01</x:v>
      </x:c>
      <x:c r="E350" s="62" t="n">
        <x:v>45954</x:v>
      </x:c>
      <x:c r="F350" t="str">
        <x:v>AM</x:v>
      </x:c>
      <x:c r="G350" t="str">
        <x:v>A</x:v>
      </x:c>
      <x:c r="H350" t="n">
        <x:v>21</x:v>
      </x:c>
      <x:c r="I350" t="str">
        <x:v>ORD-2025-00020</x:v>
      </x:c>
      <x:c r="J350" t="n">
        <x:v>12</x:v>
      </x:c>
      <x:c r="K350" t="n">
        <x:v>1</x:v>
      </x:c>
      <x:c r="L350" t="str">
        <x:v>L21-S12-C1</x:v>
      </x:c>
      <x:c r="M350" t="n">
        <x:v>0</x:v>
      </x:c>
      <x:c r="N350" t="str">
        <x:v>DerivedFromCount</x:v>
      </x:c>
      <x:c r="O350" t="str">
        <x:v>PLC-PRD-JAR-720-L21</x:v>
      </x:c>
      <x:c r="P350" t="str">
        <x:v>OK</x:v>
      </x:c>
      <x:c r="Q350" t="str">
        <x:v>OK</x:v>
      </x:c>
      <x:c r="R350" t="str">
        <x:v>OK</x:v>
      </x:c>
      <x:c r="S350" t="str">
        <x:v>OK</x:v>
      </x:c>
      <x:c r="T350" t="n">
        <x:v>20</x:v>
      </x:c>
      <x:c r="U350" t="str">
        <x:v>OK</x:v>
      </x:c>
      <x:c r="V350" t="str">
        <x:v>OK</x:v>
      </x:c>
      <x:c r="W350" t="str">
        <x:v>LOAD</x:v>
      </x:c>
      <x:c r="X350" t="str">
        <x:v>02_Supervisor_Log(4).xlsx</x:v>
      </x:c>
      <x:c r="Y350" t="str">
        <x:v>ENH-20260830-01</x:v>
      </x:c>
      <x:c r="Z350" t="str">
        <x:v>Active</x:v>
      </x:c>
      <x:c r="AA350"/>
      <x:c r="AB350"/>
      <x:c r="AC350"/>
      <x:c r="AD350"/>
    </x:row>
    <x:row r="351">
      <x:c r="A351" t="str">
        <x:v>PCC-PE-KG01-L21-20251024-AM-ORD-2025-00020-S12-C2</x:v>
      </x:c>
      <x:c r="B351" t="str">
        <x:v>PC-PE-KG01-L21-20251024-AM-ORD-2025-00020-S12</x:v>
      </x:c>
      <x:c r="C351" t="str">
        <x:v>PE-KG01-L21-20251024-AM-ORD-2025-00020</x:v>
      </x:c>
      <x:c r="D351" t="str">
        <x:v>KG01</x:v>
      </x:c>
      <x:c r="E351" s="62" t="n">
        <x:v>45954</x:v>
      </x:c>
      <x:c r="F351" t="str">
        <x:v>AM</x:v>
      </x:c>
      <x:c r="G351" t="str">
        <x:v>A</x:v>
      </x:c>
      <x:c r="H351" t="n">
        <x:v>21</x:v>
      </x:c>
      <x:c r="I351" t="str">
        <x:v>ORD-2025-00020</x:v>
      </x:c>
      <x:c r="J351" t="n">
        <x:v>12</x:v>
      </x:c>
      <x:c r="K351" t="n">
        <x:v>2</x:v>
      </x:c>
      <x:c r="L351" t="str">
        <x:v>L21-S12-C2</x:v>
      </x:c>
      <x:c r="M351" t="n">
        <x:v>0</x:v>
      </x:c>
      <x:c r="N351" t="str">
        <x:v>DerivedFromCount</x:v>
      </x:c>
      <x:c r="O351" t="str">
        <x:v>PLC-PRD-JAR-720-L21</x:v>
      </x:c>
      <x:c r="P351" t="str">
        <x:v>OK</x:v>
      </x:c>
      <x:c r="Q351" t="str">
        <x:v>OK</x:v>
      </x:c>
      <x:c r="R351" t="str">
        <x:v>OK</x:v>
      </x:c>
      <x:c r="S351" t="str">
        <x:v>OK</x:v>
      </x:c>
      <x:c r="T351" t="n">
        <x:v>20</x:v>
      </x:c>
      <x:c r="U351" t="str">
        <x:v>OK</x:v>
      </x:c>
      <x:c r="V351" t="str">
        <x:v>OK</x:v>
      </x:c>
      <x:c r="W351" t="str">
        <x:v>LOAD</x:v>
      </x:c>
      <x:c r="X351" t="str">
        <x:v>02_Supervisor_Log(4).xlsx</x:v>
      </x:c>
      <x:c r="Y351" t="str">
        <x:v>ENH-20260830-01</x:v>
      </x:c>
      <x:c r="Z351" t="str">
        <x:v>Active</x:v>
      </x:c>
      <x:c r="AA351"/>
      <x:c r="AB351"/>
      <x:c r="AC351"/>
      <x:c r="AD351"/>
    </x:row>
    <x:row r="352">
      <x:c r="A352" t="str">
        <x:v>PCC-PE-KG01-L21-20251024-AM-ORD-2025-00020-S12-C3</x:v>
      </x:c>
      <x:c r="B352" t="str">
        <x:v>PC-PE-KG01-L21-20251024-AM-ORD-2025-00020-S12</x:v>
      </x:c>
      <x:c r="C352" t="str">
        <x:v>PE-KG01-L21-20251024-AM-ORD-2025-00020</x:v>
      </x:c>
      <x:c r="D352" t="str">
        <x:v>KG01</x:v>
      </x:c>
      <x:c r="E352" s="62" t="n">
        <x:v>45954</x:v>
      </x:c>
      <x:c r="F352" t="str">
        <x:v>AM</x:v>
      </x:c>
      <x:c r="G352" t="str">
        <x:v>A</x:v>
      </x:c>
      <x:c r="H352" t="n">
        <x:v>21</x:v>
      </x:c>
      <x:c r="I352" t="str">
        <x:v>ORD-2025-00020</x:v>
      </x:c>
      <x:c r="J352" t="n">
        <x:v>12</x:v>
      </x:c>
      <x:c r="K352" t="n">
        <x:v>3</x:v>
      </x:c>
      <x:c r="L352" t="str">
        <x:v>L21-S12-C3</x:v>
      </x:c>
      <x:c r="M352" t="n">
        <x:v>0</x:v>
      </x:c>
      <x:c r="N352" t="str">
        <x:v>DerivedFromCount</x:v>
      </x:c>
      <x:c r="O352" t="str">
        <x:v>PLC-PRD-JAR-720-L21</x:v>
      </x:c>
      <x:c r="P352" t="str">
        <x:v>OK</x:v>
      </x:c>
      <x:c r="Q352" t="str">
        <x:v>OK</x:v>
      </x:c>
      <x:c r="R352" t="str">
        <x:v>OK</x:v>
      </x:c>
      <x:c r="S352" t="str">
        <x:v>OK</x:v>
      </x:c>
      <x:c r="T352" t="n">
        <x:v>20</x:v>
      </x:c>
      <x:c r="U352" t="str">
        <x:v>OK</x:v>
      </x:c>
      <x:c r="V352" t="str">
        <x:v>OK</x:v>
      </x:c>
      <x:c r="W352" t="str">
        <x:v>LOAD</x:v>
      </x:c>
      <x:c r="X352" t="str">
        <x:v>02_Supervisor_Log(4).xlsx</x:v>
      </x:c>
      <x:c r="Y352" t="str">
        <x:v>ENH-20260830-01</x:v>
      </x:c>
      <x:c r="Z352" t="str">
        <x:v>Active</x:v>
      </x:c>
      <x:c r="AA352"/>
      <x:c r="AB352"/>
      <x:c r="AC352"/>
      <x:c r="AD352"/>
    </x:row>
    <x:row r="353">
      <x:c r="A353" t="str">
        <x:v>PCC-PE-KG01-L21-20251024-AM-ORD-2025-00020-S13-C1</x:v>
      </x:c>
      <x:c r="B353" t="str">
        <x:v>PC-PE-KG01-L21-20251024-AM-ORD-2025-00020-S13</x:v>
      </x:c>
      <x:c r="C353" t="str">
        <x:v>PE-KG01-L21-20251024-AM-ORD-2025-00020</x:v>
      </x:c>
      <x:c r="D353" t="str">
        <x:v>KG01</x:v>
      </x:c>
      <x:c r="E353" s="62" t="n">
        <x:v>45954</x:v>
      </x:c>
      <x:c r="F353" t="str">
        <x:v>AM</x:v>
      </x:c>
      <x:c r="G353" t="str">
        <x:v>A</x:v>
      </x:c>
      <x:c r="H353" t="n">
        <x:v>21</x:v>
      </x:c>
      <x:c r="I353" t="str">
        <x:v>ORD-2025-00020</x:v>
      </x:c>
      <x:c r="J353" t="n">
        <x:v>13</x:v>
      </x:c>
      <x:c r="K353" t="n">
        <x:v>1</x:v>
      </x:c>
      <x:c r="L353" t="str">
        <x:v>L21-S13-C1</x:v>
      </x:c>
      <x:c r="M353" t="n">
        <x:v>0</x:v>
      </x:c>
      <x:c r="N353" t="str">
        <x:v>DerivedFromCount</x:v>
      </x:c>
      <x:c r="O353" t="str">
        <x:v>PLC-PRD-JAR-720-L21</x:v>
      </x:c>
      <x:c r="P353" t="str">
        <x:v>OK</x:v>
      </x:c>
      <x:c r="Q353" t="str">
        <x:v>OK</x:v>
      </x:c>
      <x:c r="R353" t="str">
        <x:v>OK</x:v>
      </x:c>
      <x:c r="S353" t="str">
        <x:v>OK</x:v>
      </x:c>
      <x:c r="T353" t="n">
        <x:v>20</x:v>
      </x:c>
      <x:c r="U353" t="str">
        <x:v>OK</x:v>
      </x:c>
      <x:c r="V353" t="str">
        <x:v>OK</x:v>
      </x:c>
      <x:c r="W353" t="str">
        <x:v>LOAD</x:v>
      </x:c>
      <x:c r="X353" t="str">
        <x:v>02_Supervisor_Log(4).xlsx</x:v>
      </x:c>
      <x:c r="Y353" t="str">
        <x:v>ENH-20260830-01</x:v>
      </x:c>
      <x:c r="Z353" t="str">
        <x:v>Active</x:v>
      </x:c>
      <x:c r="AA353"/>
      <x:c r="AB353"/>
      <x:c r="AC353"/>
      <x:c r="AD353"/>
    </x:row>
    <x:row r="354">
      <x:c r="A354" t="str">
        <x:v>PCC-PE-KG01-L21-20251024-AM-ORD-2025-00020-S13-C2</x:v>
      </x:c>
      <x:c r="B354" t="str">
        <x:v>PC-PE-KG01-L21-20251024-AM-ORD-2025-00020-S13</x:v>
      </x:c>
      <x:c r="C354" t="str">
        <x:v>PE-KG01-L21-20251024-AM-ORD-2025-00020</x:v>
      </x:c>
      <x:c r="D354" t="str">
        <x:v>KG01</x:v>
      </x:c>
      <x:c r="E354" s="62" t="n">
        <x:v>45954</x:v>
      </x:c>
      <x:c r="F354" t="str">
        <x:v>AM</x:v>
      </x:c>
      <x:c r="G354" t="str">
        <x:v>A</x:v>
      </x:c>
      <x:c r="H354" t="n">
        <x:v>21</x:v>
      </x:c>
      <x:c r="I354" t="str">
        <x:v>ORD-2025-00020</x:v>
      </x:c>
      <x:c r="J354" t="n">
        <x:v>13</x:v>
      </x:c>
      <x:c r="K354" t="n">
        <x:v>2</x:v>
      </x:c>
      <x:c r="L354" t="str">
        <x:v>L21-S13-C2</x:v>
      </x:c>
      <x:c r="M354" t="n">
        <x:v>0</x:v>
      </x:c>
      <x:c r="N354" t="str">
        <x:v>DerivedFromCount</x:v>
      </x:c>
      <x:c r="O354" t="str">
        <x:v>PLC-PRD-JAR-720-L21</x:v>
      </x:c>
      <x:c r="P354" t="str">
        <x:v>OK</x:v>
      </x:c>
      <x:c r="Q354" t="str">
        <x:v>OK</x:v>
      </x:c>
      <x:c r="R354" t="str">
        <x:v>OK</x:v>
      </x:c>
      <x:c r="S354" t="str">
        <x:v>OK</x:v>
      </x:c>
      <x:c r="T354" t="n">
        <x:v>20</x:v>
      </x:c>
      <x:c r="U354" t="str">
        <x:v>OK</x:v>
      </x:c>
      <x:c r="V354" t="str">
        <x:v>OK</x:v>
      </x:c>
      <x:c r="W354" t="str">
        <x:v>LOAD</x:v>
      </x:c>
      <x:c r="X354" t="str">
        <x:v>02_Supervisor_Log(4).xlsx</x:v>
      </x:c>
      <x:c r="Y354" t="str">
        <x:v>ENH-20260830-01</x:v>
      </x:c>
      <x:c r="Z354" t="str">
        <x:v>Active</x:v>
      </x:c>
      <x:c r="AA354"/>
      <x:c r="AB354"/>
      <x:c r="AC354"/>
      <x:c r="AD354"/>
    </x:row>
    <x:row r="355">
      <x:c r="A355" t="str">
        <x:v>PCC-PE-KG01-L21-20251024-AM-ORD-2025-00020-S13-C3</x:v>
      </x:c>
      <x:c r="B355" t="str">
        <x:v>PC-PE-KG01-L21-20251024-AM-ORD-2025-00020-S13</x:v>
      </x:c>
      <x:c r="C355" t="str">
        <x:v>PE-KG01-L21-20251024-AM-ORD-2025-00020</x:v>
      </x:c>
      <x:c r="D355" t="str">
        <x:v>KG01</x:v>
      </x:c>
      <x:c r="E355" s="62" t="n">
        <x:v>45954</x:v>
      </x:c>
      <x:c r="F355" t="str">
        <x:v>AM</x:v>
      </x:c>
      <x:c r="G355" t="str">
        <x:v>A</x:v>
      </x:c>
      <x:c r="H355" t="n">
        <x:v>21</x:v>
      </x:c>
      <x:c r="I355" t="str">
        <x:v>ORD-2025-00020</x:v>
      </x:c>
      <x:c r="J355" t="n">
        <x:v>13</x:v>
      </x:c>
      <x:c r="K355" t="n">
        <x:v>3</x:v>
      </x:c>
      <x:c r="L355" t="str">
        <x:v>L21-S13-C3</x:v>
      </x:c>
      <x:c r="M355" t="n">
        <x:v>0</x:v>
      </x:c>
      <x:c r="N355" t="str">
        <x:v>DerivedFromCount</x:v>
      </x:c>
      <x:c r="O355" t="str">
        <x:v>PLC-PRD-JAR-720-L21</x:v>
      </x:c>
      <x:c r="P355" t="str">
        <x:v>OK</x:v>
      </x:c>
      <x:c r="Q355" t="str">
        <x:v>OK</x:v>
      </x:c>
      <x:c r="R355" t="str">
        <x:v>OK</x:v>
      </x:c>
      <x:c r="S355" t="str">
        <x:v>OK</x:v>
      </x:c>
      <x:c r="T355" t="n">
        <x:v>20</x:v>
      </x:c>
      <x:c r="U355" t="str">
        <x:v>OK</x:v>
      </x:c>
      <x:c r="V355" t="str">
        <x:v>OK</x:v>
      </x:c>
      <x:c r="W355" t="str">
        <x:v>LOAD</x:v>
      </x:c>
      <x:c r="X355" t="str">
        <x:v>02_Supervisor_Log(4).xlsx</x:v>
      </x:c>
      <x:c r="Y355" t="str">
        <x:v>ENH-20260830-01</x:v>
      </x:c>
      <x:c r="Z355" t="str">
        <x:v>Active</x:v>
      </x:c>
      <x:c r="AA355"/>
      <x:c r="AB355"/>
      <x:c r="AC355"/>
      <x:c r="AD355"/>
    </x:row>
    <x:row r="356">
      <x:c r="A356" t="str">
        <x:v>PCC-PE-KG01-L21-20251024-PM-ORD-2025-00020-S01-C1</x:v>
      </x:c>
      <x:c r="B356" t="str">
        <x:v>PC-PE-KG01-L21-20251024-PM-ORD-2025-00020-S01</x:v>
      </x:c>
      <x:c r="C356" t="str">
        <x:v>PE-KG01-L21-20251024-PM-ORD-2025-00020</x:v>
      </x:c>
      <x:c r="D356" t="str">
        <x:v>KG01</x:v>
      </x:c>
      <x:c r="E356" s="62" t="n">
        <x:v>45954</x:v>
      </x:c>
      <x:c r="F356" t="str">
        <x:v>PM</x:v>
      </x:c>
      <x:c r="G356" t="str">
        <x:v>B</x:v>
      </x:c>
      <x:c r="H356" t="n">
        <x:v>21</x:v>
      </x:c>
      <x:c r="I356" t="str">
        <x:v>ORD-2025-00020</x:v>
      </x:c>
      <x:c r="J356" t="n">
        <x:v>1</x:v>
      </x:c>
      <x:c r="K356" t="n">
        <x:v>1</x:v>
      </x:c>
      <x:c r="L356" t="str">
        <x:v>L21-S01-C1</x:v>
      </x:c>
      <x:c r="M356" t="n">
        <x:v>1</x:v>
      </x:c>
      <x:c r="N356" t="str">
        <x:v>DerivedFromCount</x:v>
      </x:c>
      <x:c r="O356" t="str">
        <x:v>PLC-PRD-JAR-720-L21</x:v>
      </x:c>
      <x:c r="P356" t="str">
        <x:v>OK</x:v>
      </x:c>
      <x:c r="Q356" t="str">
        <x:v>OK</x:v>
      </x:c>
      <x:c r="R356" t="str">
        <x:v>OK</x:v>
      </x:c>
      <x:c r="S356" t="str">
        <x:v>OK</x:v>
      </x:c>
      <x:c r="T356" t="n">
        <x:v>20</x:v>
      </x:c>
      <x:c r="U356" t="str">
        <x:v>OK</x:v>
      </x:c>
      <x:c r="V356" t="str">
        <x:v>OK</x:v>
      </x:c>
      <x:c r="W356" t="str">
        <x:v>LOAD</x:v>
      </x:c>
      <x:c r="X356" t="str">
        <x:v>02_Supervisor_Log(4).xlsx</x:v>
      </x:c>
      <x:c r="Y356" t="str">
        <x:v>ENH-20260830-01</x:v>
      </x:c>
      <x:c r="Z356" t="str">
        <x:v>Active</x:v>
      </x:c>
      <x:c r="AA356"/>
      <x:c r="AB356"/>
      <x:c r="AC356"/>
      <x:c r="AD356"/>
    </x:row>
    <x:row r="357">
      <x:c r="A357" t="str">
        <x:v>PCC-PE-KG01-L21-20251024-PM-ORD-2025-00020-S01-C2</x:v>
      </x:c>
      <x:c r="B357" t="str">
        <x:v>PC-PE-KG01-L21-20251024-PM-ORD-2025-00020-S01</x:v>
      </x:c>
      <x:c r="C357" t="str">
        <x:v>PE-KG01-L21-20251024-PM-ORD-2025-00020</x:v>
      </x:c>
      <x:c r="D357" t="str">
        <x:v>KG01</x:v>
      </x:c>
      <x:c r="E357" s="62" t="n">
        <x:v>45954</x:v>
      </x:c>
      <x:c r="F357" t="str">
        <x:v>PM</x:v>
      </x:c>
      <x:c r="G357" t="str">
        <x:v>B</x:v>
      </x:c>
      <x:c r="H357" t="n">
        <x:v>21</x:v>
      </x:c>
      <x:c r="I357" t="str">
        <x:v>ORD-2025-00020</x:v>
      </x:c>
      <x:c r="J357" t="n">
        <x:v>1</x:v>
      </x:c>
      <x:c r="K357" t="n">
        <x:v>2</x:v>
      </x:c>
      <x:c r="L357" t="str">
        <x:v>L21-S01-C2</x:v>
      </x:c>
      <x:c r="M357" t="n">
        <x:v>1</x:v>
      </x:c>
      <x:c r="N357" t="str">
        <x:v>DerivedFromCount</x:v>
      </x:c>
      <x:c r="O357" t="str">
        <x:v>PLC-PRD-JAR-720-L21</x:v>
      </x:c>
      <x:c r="P357" t="str">
        <x:v>OK</x:v>
      </x:c>
      <x:c r="Q357" t="str">
        <x:v>OK</x:v>
      </x:c>
      <x:c r="R357" t="str">
        <x:v>OK</x:v>
      </x:c>
      <x:c r="S357" t="str">
        <x:v>OK</x:v>
      </x:c>
      <x:c r="T357" t="n">
        <x:v>20</x:v>
      </x:c>
      <x:c r="U357" t="str">
        <x:v>OK</x:v>
      </x:c>
      <x:c r="V357" t="str">
        <x:v>OK</x:v>
      </x:c>
      <x:c r="W357" t="str">
        <x:v>LOAD</x:v>
      </x:c>
      <x:c r="X357" t="str">
        <x:v>02_Supervisor_Log(4).xlsx</x:v>
      </x:c>
      <x:c r="Y357" t="str">
        <x:v>ENH-20260830-01</x:v>
      </x:c>
      <x:c r="Z357" t="str">
        <x:v>Active</x:v>
      </x:c>
      <x:c r="AA357"/>
      <x:c r="AB357"/>
      <x:c r="AC357"/>
      <x:c r="AD357"/>
    </x:row>
    <x:row r="358">
      <x:c r="A358" t="str">
        <x:v>PCC-PE-KG01-L21-20251024-PM-ORD-2025-00020-S01-C3</x:v>
      </x:c>
      <x:c r="B358" t="str">
        <x:v>PC-PE-KG01-L21-20251024-PM-ORD-2025-00020-S01</x:v>
      </x:c>
      <x:c r="C358" t="str">
        <x:v>PE-KG01-L21-20251024-PM-ORD-2025-00020</x:v>
      </x:c>
      <x:c r="D358" t="str">
        <x:v>KG01</x:v>
      </x:c>
      <x:c r="E358" s="62" t="n">
        <x:v>45954</x:v>
      </x:c>
      <x:c r="F358" t="str">
        <x:v>PM</x:v>
      </x:c>
      <x:c r="G358" t="str">
        <x:v>B</x:v>
      </x:c>
      <x:c r="H358" t="n">
        <x:v>21</x:v>
      </x:c>
      <x:c r="I358" t="str">
        <x:v>ORD-2025-00020</x:v>
      </x:c>
      <x:c r="J358" t="n">
        <x:v>1</x:v>
      </x:c>
      <x:c r="K358" t="n">
        <x:v>3</x:v>
      </x:c>
      <x:c r="L358" t="str">
        <x:v>L21-S01-C3</x:v>
      </x:c>
      <x:c r="M358" t="n">
        <x:v>0</x:v>
      </x:c>
      <x:c r="N358" t="str">
        <x:v>DerivedFromCount</x:v>
      </x:c>
      <x:c r="O358" t="str">
        <x:v>PLC-PRD-JAR-720-L21</x:v>
      </x:c>
      <x:c r="P358" t="str">
        <x:v>OK</x:v>
      </x:c>
      <x:c r="Q358" t="str">
        <x:v>OK</x:v>
      </x:c>
      <x:c r="R358" t="str">
        <x:v>OK</x:v>
      </x:c>
      <x:c r="S358" t="str">
        <x:v>OK</x:v>
      </x:c>
      <x:c r="T358" t="n">
        <x:v>20</x:v>
      </x:c>
      <x:c r="U358" t="str">
        <x:v>OK</x:v>
      </x:c>
      <x:c r="V358" t="str">
        <x:v>OK</x:v>
      </x:c>
      <x:c r="W358" t="str">
        <x:v>LOAD</x:v>
      </x:c>
      <x:c r="X358" t="str">
        <x:v>02_Supervisor_Log(4).xlsx</x:v>
      </x:c>
      <x:c r="Y358" t="str">
        <x:v>ENH-20260830-01</x:v>
      </x:c>
      <x:c r="Z358" t="str">
        <x:v>Active</x:v>
      </x:c>
      <x:c r="AA358"/>
      <x:c r="AB358"/>
      <x:c r="AC358"/>
      <x:c r="AD358"/>
    </x:row>
    <x:row r="359">
      <x:c r="A359" t="str">
        <x:v>PCC-PE-KG01-L21-20251024-PM-ORD-2025-00020-S02-C1</x:v>
      </x:c>
      <x:c r="B359" t="str">
        <x:v>PC-PE-KG01-L21-20251024-PM-ORD-2025-00020-S02</x:v>
      </x:c>
      <x:c r="C359" t="str">
        <x:v>PE-KG01-L21-20251024-PM-ORD-2025-00020</x:v>
      </x:c>
      <x:c r="D359" t="str">
        <x:v>KG01</x:v>
      </x:c>
      <x:c r="E359" s="62" t="n">
        <x:v>45954</x:v>
      </x:c>
      <x:c r="F359" t="str">
        <x:v>PM</x:v>
      </x:c>
      <x:c r="G359" t="str">
        <x:v>B</x:v>
      </x:c>
      <x:c r="H359" t="n">
        <x:v>21</x:v>
      </x:c>
      <x:c r="I359" t="str">
        <x:v>ORD-2025-00020</x:v>
      </x:c>
      <x:c r="J359" t="n">
        <x:v>2</x:v>
      </x:c>
      <x:c r="K359" t="n">
        <x:v>1</x:v>
      </x:c>
      <x:c r="L359" t="str">
        <x:v>L21-S02-C1</x:v>
      </x:c>
      <x:c r="M359" t="n">
        <x:v>1</x:v>
      </x:c>
      <x:c r="N359" t="str">
        <x:v>DerivedFromCount</x:v>
      </x:c>
      <x:c r="O359" t="str">
        <x:v>PLC-PRD-JAR-720-L21</x:v>
      </x:c>
      <x:c r="P359" t="str">
        <x:v>OK</x:v>
      </x:c>
      <x:c r="Q359" t="str">
        <x:v>OK</x:v>
      </x:c>
      <x:c r="R359" t="str">
        <x:v>OK</x:v>
      </x:c>
      <x:c r="S359" t="str">
        <x:v>OK</x:v>
      </x:c>
      <x:c r="T359" t="n">
        <x:v>20</x:v>
      </x:c>
      <x:c r="U359" t="str">
        <x:v>OK</x:v>
      </x:c>
      <x:c r="V359" t="str">
        <x:v>OK</x:v>
      </x:c>
      <x:c r="W359" t="str">
        <x:v>LOAD</x:v>
      </x:c>
      <x:c r="X359" t="str">
        <x:v>02_Supervisor_Log(4).xlsx</x:v>
      </x:c>
      <x:c r="Y359" t="str">
        <x:v>ENH-20260830-01</x:v>
      </x:c>
      <x:c r="Z359" t="str">
        <x:v>Active</x:v>
      </x:c>
      <x:c r="AA359"/>
      <x:c r="AB359"/>
      <x:c r="AC359"/>
      <x:c r="AD359"/>
    </x:row>
    <x:row r="360">
      <x:c r="A360" t="str">
        <x:v>PCC-PE-KG01-L21-20251024-PM-ORD-2025-00020-S02-C2</x:v>
      </x:c>
      <x:c r="B360" t="str">
        <x:v>PC-PE-KG01-L21-20251024-PM-ORD-2025-00020-S02</x:v>
      </x:c>
      <x:c r="C360" t="str">
        <x:v>PE-KG01-L21-20251024-PM-ORD-2025-00020</x:v>
      </x:c>
      <x:c r="D360" t="str">
        <x:v>KG01</x:v>
      </x:c>
      <x:c r="E360" s="62" t="n">
        <x:v>45954</x:v>
      </x:c>
      <x:c r="F360" t="str">
        <x:v>PM</x:v>
      </x:c>
      <x:c r="G360" t="str">
        <x:v>B</x:v>
      </x:c>
      <x:c r="H360" t="n">
        <x:v>21</x:v>
      </x:c>
      <x:c r="I360" t="str">
        <x:v>ORD-2025-00020</x:v>
      </x:c>
      <x:c r="J360" t="n">
        <x:v>2</x:v>
      </x:c>
      <x:c r="K360" t="n">
        <x:v>2</x:v>
      </x:c>
      <x:c r="L360" t="str">
        <x:v>L21-S02-C2</x:v>
      </x:c>
      <x:c r="M360" t="n">
        <x:v>1</x:v>
      </x:c>
      <x:c r="N360" t="str">
        <x:v>DerivedFromCount</x:v>
      </x:c>
      <x:c r="O360" t="str">
        <x:v>PLC-PRD-JAR-720-L21</x:v>
      </x:c>
      <x:c r="P360" t="str">
        <x:v>OK</x:v>
      </x:c>
      <x:c r="Q360" t="str">
        <x:v>OK</x:v>
      </x:c>
      <x:c r="R360" t="str">
        <x:v>OK</x:v>
      </x:c>
      <x:c r="S360" t="str">
        <x:v>OK</x:v>
      </x:c>
      <x:c r="T360" t="n">
        <x:v>20</x:v>
      </x:c>
      <x:c r="U360" t="str">
        <x:v>OK</x:v>
      </x:c>
      <x:c r="V360" t="str">
        <x:v>OK</x:v>
      </x:c>
      <x:c r="W360" t="str">
        <x:v>LOAD</x:v>
      </x:c>
      <x:c r="X360" t="str">
        <x:v>02_Supervisor_Log(4).xlsx</x:v>
      </x:c>
      <x:c r="Y360" t="str">
        <x:v>ENH-20260830-01</x:v>
      </x:c>
      <x:c r="Z360" t="str">
        <x:v>Active</x:v>
      </x:c>
      <x:c r="AA360"/>
      <x:c r="AB360"/>
      <x:c r="AC360"/>
      <x:c r="AD360"/>
    </x:row>
    <x:row r="361">
      <x:c r="A361" t="str">
        <x:v>PCC-PE-KG01-L21-20251024-PM-ORD-2025-00020-S02-C3</x:v>
      </x:c>
      <x:c r="B361" t="str">
        <x:v>PC-PE-KG01-L21-20251024-PM-ORD-2025-00020-S02</x:v>
      </x:c>
      <x:c r="C361" t="str">
        <x:v>PE-KG01-L21-20251024-PM-ORD-2025-00020</x:v>
      </x:c>
      <x:c r="D361" t="str">
        <x:v>KG01</x:v>
      </x:c>
      <x:c r="E361" s="62" t="n">
        <x:v>45954</x:v>
      </x:c>
      <x:c r="F361" t="str">
        <x:v>PM</x:v>
      </x:c>
      <x:c r="G361" t="str">
        <x:v>B</x:v>
      </x:c>
      <x:c r="H361" t="n">
        <x:v>21</x:v>
      </x:c>
      <x:c r="I361" t="str">
        <x:v>ORD-2025-00020</x:v>
      </x:c>
      <x:c r="J361" t="n">
        <x:v>2</x:v>
      </x:c>
      <x:c r="K361" t="n">
        <x:v>3</x:v>
      </x:c>
      <x:c r="L361" t="str">
        <x:v>L21-S02-C3</x:v>
      </x:c>
      <x:c r="M361" t="n">
        <x:v>0</x:v>
      </x:c>
      <x:c r="N361" t="str">
        <x:v>DerivedFromCount</x:v>
      </x:c>
      <x:c r="O361" t="str">
        <x:v>PLC-PRD-JAR-720-L21</x:v>
      </x:c>
      <x:c r="P361" t="str">
        <x:v>OK</x:v>
      </x:c>
      <x:c r="Q361" t="str">
        <x:v>OK</x:v>
      </x:c>
      <x:c r="R361" t="str">
        <x:v>OK</x:v>
      </x:c>
      <x:c r="S361" t="str">
        <x:v>OK</x:v>
      </x:c>
      <x:c r="T361" t="n">
        <x:v>20</x:v>
      </x:c>
      <x:c r="U361" t="str">
        <x:v>OK</x:v>
      </x:c>
      <x:c r="V361" t="str">
        <x:v>OK</x:v>
      </x:c>
      <x:c r="W361" t="str">
        <x:v>LOAD</x:v>
      </x:c>
      <x:c r="X361" t="str">
        <x:v>02_Supervisor_Log(4).xlsx</x:v>
      </x:c>
      <x:c r="Y361" t="str">
        <x:v>ENH-20260830-01</x:v>
      </x:c>
      <x:c r="Z361" t="str">
        <x:v>Active</x:v>
      </x:c>
      <x:c r="AA361"/>
      <x:c r="AB361"/>
      <x:c r="AC361"/>
      <x:c r="AD361"/>
    </x:row>
    <x:row r="362">
      <x:c r="A362" t="str">
        <x:v>PCC-PE-KG01-L21-20251024-PM-ORD-2025-00020-S03-C1</x:v>
      </x:c>
      <x:c r="B362" t="str">
        <x:v>PC-PE-KG01-L21-20251024-PM-ORD-2025-00020-S03</x:v>
      </x:c>
      <x:c r="C362" t="str">
        <x:v>PE-KG01-L21-20251024-PM-ORD-2025-00020</x:v>
      </x:c>
      <x:c r="D362" t="str">
        <x:v>KG01</x:v>
      </x:c>
      <x:c r="E362" s="62" t="n">
        <x:v>45954</x:v>
      </x:c>
      <x:c r="F362" t="str">
        <x:v>PM</x:v>
      </x:c>
      <x:c r="G362" t="str">
        <x:v>B</x:v>
      </x:c>
      <x:c r="H362" t="n">
        <x:v>21</x:v>
      </x:c>
      <x:c r="I362" t="str">
        <x:v>ORD-2025-00020</x:v>
      </x:c>
      <x:c r="J362" t="n">
        <x:v>3</x:v>
      </x:c>
      <x:c r="K362" t="n">
        <x:v>1</x:v>
      </x:c>
      <x:c r="L362" t="str">
        <x:v>L21-S03-C1</x:v>
      </x:c>
      <x:c r="M362" t="n">
        <x:v>1</x:v>
      </x:c>
      <x:c r="N362" t="str">
        <x:v>DerivedFromCount</x:v>
      </x:c>
      <x:c r="O362" t="str">
        <x:v>PLC-PRD-JAR-720-L21</x:v>
      </x:c>
      <x:c r="P362" t="str">
        <x:v>OK</x:v>
      </x:c>
      <x:c r="Q362" t="str">
        <x:v>OK</x:v>
      </x:c>
      <x:c r="R362" t="str">
        <x:v>OK</x:v>
      </x:c>
      <x:c r="S362" t="str">
        <x:v>OK</x:v>
      </x:c>
      <x:c r="T362" t="n">
        <x:v>20</x:v>
      </x:c>
      <x:c r="U362" t="str">
        <x:v>OK</x:v>
      </x:c>
      <x:c r="V362" t="str">
        <x:v>OK</x:v>
      </x:c>
      <x:c r="W362" t="str">
        <x:v>LOAD</x:v>
      </x:c>
      <x:c r="X362" t="str">
        <x:v>02_Supervisor_Log(4).xlsx</x:v>
      </x:c>
      <x:c r="Y362" t="str">
        <x:v>ENH-20260830-01</x:v>
      </x:c>
      <x:c r="Z362" t="str">
        <x:v>Active</x:v>
      </x:c>
      <x:c r="AA362"/>
      <x:c r="AB362"/>
      <x:c r="AC362"/>
      <x:c r="AD362"/>
    </x:row>
    <x:row r="363">
      <x:c r="A363" t="str">
        <x:v>PCC-PE-KG01-L21-20251024-PM-ORD-2025-00020-S03-C2</x:v>
      </x:c>
      <x:c r="B363" t="str">
        <x:v>PC-PE-KG01-L21-20251024-PM-ORD-2025-00020-S03</x:v>
      </x:c>
      <x:c r="C363" t="str">
        <x:v>PE-KG01-L21-20251024-PM-ORD-2025-00020</x:v>
      </x:c>
      <x:c r="D363" t="str">
        <x:v>KG01</x:v>
      </x:c>
      <x:c r="E363" s="62" t="n">
        <x:v>45954</x:v>
      </x:c>
      <x:c r="F363" t="str">
        <x:v>PM</x:v>
      </x:c>
      <x:c r="G363" t="str">
        <x:v>B</x:v>
      </x:c>
      <x:c r="H363" t="n">
        <x:v>21</x:v>
      </x:c>
      <x:c r="I363" t="str">
        <x:v>ORD-2025-00020</x:v>
      </x:c>
      <x:c r="J363" t="n">
        <x:v>3</x:v>
      </x:c>
      <x:c r="K363" t="n">
        <x:v>2</x:v>
      </x:c>
      <x:c r="L363" t="str">
        <x:v>L21-S03-C2</x:v>
      </x:c>
      <x:c r="M363" t="n">
        <x:v>1</x:v>
      </x:c>
      <x:c r="N363" t="str">
        <x:v>DerivedFromCount</x:v>
      </x:c>
      <x:c r="O363" t="str">
        <x:v>PLC-PRD-JAR-720-L21</x:v>
      </x:c>
      <x:c r="P363" t="str">
        <x:v>OK</x:v>
      </x:c>
      <x:c r="Q363" t="str">
        <x:v>OK</x:v>
      </x:c>
      <x:c r="R363" t="str">
        <x:v>OK</x:v>
      </x:c>
      <x:c r="S363" t="str">
        <x:v>OK</x:v>
      </x:c>
      <x:c r="T363" t="n">
        <x:v>20</x:v>
      </x:c>
      <x:c r="U363" t="str">
        <x:v>OK</x:v>
      </x:c>
      <x:c r="V363" t="str">
        <x:v>OK</x:v>
      </x:c>
      <x:c r="W363" t="str">
        <x:v>LOAD</x:v>
      </x:c>
      <x:c r="X363" t="str">
        <x:v>02_Supervisor_Log(4).xlsx</x:v>
      </x:c>
      <x:c r="Y363" t="str">
        <x:v>ENH-20260830-01</x:v>
      </x:c>
      <x:c r="Z363" t="str">
        <x:v>Active</x:v>
      </x:c>
      <x:c r="AA363"/>
      <x:c r="AB363"/>
      <x:c r="AC363"/>
      <x:c r="AD363"/>
    </x:row>
    <x:row r="364">
      <x:c r="A364" t="str">
        <x:v>PCC-PE-KG01-L21-20251024-PM-ORD-2025-00020-S03-C3</x:v>
      </x:c>
      <x:c r="B364" t="str">
        <x:v>PC-PE-KG01-L21-20251024-PM-ORD-2025-00020-S03</x:v>
      </x:c>
      <x:c r="C364" t="str">
        <x:v>PE-KG01-L21-20251024-PM-ORD-2025-00020</x:v>
      </x:c>
      <x:c r="D364" t="str">
        <x:v>KG01</x:v>
      </x:c>
      <x:c r="E364" s="62" t="n">
        <x:v>45954</x:v>
      </x:c>
      <x:c r="F364" t="str">
        <x:v>PM</x:v>
      </x:c>
      <x:c r="G364" t="str">
        <x:v>B</x:v>
      </x:c>
      <x:c r="H364" t="n">
        <x:v>21</x:v>
      </x:c>
      <x:c r="I364" t="str">
        <x:v>ORD-2025-00020</x:v>
      </x:c>
      <x:c r="J364" t="n">
        <x:v>3</x:v>
      </x:c>
      <x:c r="K364" t="n">
        <x:v>3</x:v>
      </x:c>
      <x:c r="L364" t="str">
        <x:v>L21-S03-C3</x:v>
      </x:c>
      <x:c r="M364" t="n">
        <x:v>0</x:v>
      </x:c>
      <x:c r="N364" t="str">
        <x:v>DerivedFromCount</x:v>
      </x:c>
      <x:c r="O364" t="str">
        <x:v>PLC-PRD-JAR-720-L21</x:v>
      </x:c>
      <x:c r="P364" t="str">
        <x:v>OK</x:v>
      </x:c>
      <x:c r="Q364" t="str">
        <x:v>OK</x:v>
      </x:c>
      <x:c r="R364" t="str">
        <x:v>OK</x:v>
      </x:c>
      <x:c r="S364" t="str">
        <x:v>OK</x:v>
      </x:c>
      <x:c r="T364" t="n">
        <x:v>20</x:v>
      </x:c>
      <x:c r="U364" t="str">
        <x:v>OK</x:v>
      </x:c>
      <x:c r="V364" t="str">
        <x:v>OK</x:v>
      </x:c>
      <x:c r="W364" t="str">
        <x:v>LOAD</x:v>
      </x:c>
      <x:c r="X364" t="str">
        <x:v>02_Supervisor_Log(4).xlsx</x:v>
      </x:c>
      <x:c r="Y364" t="str">
        <x:v>ENH-20260830-01</x:v>
      </x:c>
      <x:c r="Z364" t="str">
        <x:v>Active</x:v>
      </x:c>
      <x:c r="AA364"/>
      <x:c r="AB364"/>
      <x:c r="AC364"/>
      <x:c r="AD364"/>
    </x:row>
    <x:row r="365">
      <x:c r="A365" t="str">
        <x:v>PCC-PE-KG01-L21-20251024-PM-ORD-2025-00020-S04-C1</x:v>
      </x:c>
      <x:c r="B365" t="str">
        <x:v>PC-PE-KG01-L21-20251024-PM-ORD-2025-00020-S04</x:v>
      </x:c>
      <x:c r="C365" t="str">
        <x:v>PE-KG01-L21-20251024-PM-ORD-2025-00020</x:v>
      </x:c>
      <x:c r="D365" t="str">
        <x:v>KG01</x:v>
      </x:c>
      <x:c r="E365" s="62" t="n">
        <x:v>45954</x:v>
      </x:c>
      <x:c r="F365" t="str">
        <x:v>PM</x:v>
      </x:c>
      <x:c r="G365" t="str">
        <x:v>B</x:v>
      </x:c>
      <x:c r="H365" t="n">
        <x:v>21</x:v>
      </x:c>
      <x:c r="I365" t="str">
        <x:v>ORD-2025-00020</x:v>
      </x:c>
      <x:c r="J365" t="n">
        <x:v>4</x:v>
      </x:c>
      <x:c r="K365" t="n">
        <x:v>1</x:v>
      </x:c>
      <x:c r="L365" t="str">
        <x:v>L21-S04-C1</x:v>
      </x:c>
      <x:c r="M365" t="n">
        <x:v>1</x:v>
      </x:c>
      <x:c r="N365" t="str">
        <x:v>DerivedFromCount</x:v>
      </x:c>
      <x:c r="O365" t="str">
        <x:v>PLC-PRD-JAR-720-L21</x:v>
      </x:c>
      <x:c r="P365" t="str">
        <x:v>OK</x:v>
      </x:c>
      <x:c r="Q365" t="str">
        <x:v>OK</x:v>
      </x:c>
      <x:c r="R365" t="str">
        <x:v>OK</x:v>
      </x:c>
      <x:c r="S365" t="str">
        <x:v>OK</x:v>
      </x:c>
      <x:c r="T365" t="n">
        <x:v>20</x:v>
      </x:c>
      <x:c r="U365" t="str">
        <x:v>OK</x:v>
      </x:c>
      <x:c r="V365" t="str">
        <x:v>OK</x:v>
      </x:c>
      <x:c r="W365" t="str">
        <x:v>LOAD</x:v>
      </x:c>
      <x:c r="X365" t="str">
        <x:v>02_Supervisor_Log(4).xlsx</x:v>
      </x:c>
      <x:c r="Y365" t="str">
        <x:v>ENH-20260830-01</x:v>
      </x:c>
      <x:c r="Z365" t="str">
        <x:v>Active</x:v>
      </x:c>
      <x:c r="AA365"/>
      <x:c r="AB365"/>
      <x:c r="AC365"/>
      <x:c r="AD365"/>
    </x:row>
    <x:row r="366">
      <x:c r="A366" t="str">
        <x:v>PCC-PE-KG01-L21-20251024-PM-ORD-2025-00020-S04-C2</x:v>
      </x:c>
      <x:c r="B366" t="str">
        <x:v>PC-PE-KG01-L21-20251024-PM-ORD-2025-00020-S04</x:v>
      </x:c>
      <x:c r="C366" t="str">
        <x:v>PE-KG01-L21-20251024-PM-ORD-2025-00020</x:v>
      </x:c>
      <x:c r="D366" t="str">
        <x:v>KG01</x:v>
      </x:c>
      <x:c r="E366" s="62" t="n">
        <x:v>45954</x:v>
      </x:c>
      <x:c r="F366" t="str">
        <x:v>PM</x:v>
      </x:c>
      <x:c r="G366" t="str">
        <x:v>B</x:v>
      </x:c>
      <x:c r="H366" t="n">
        <x:v>21</x:v>
      </x:c>
      <x:c r="I366" t="str">
        <x:v>ORD-2025-00020</x:v>
      </x:c>
      <x:c r="J366" t="n">
        <x:v>4</x:v>
      </x:c>
      <x:c r="K366" t="n">
        <x:v>2</x:v>
      </x:c>
      <x:c r="L366" t="str">
        <x:v>L21-S04-C2</x:v>
      </x:c>
      <x:c r="M366" t="n">
        <x:v>1</x:v>
      </x:c>
      <x:c r="N366" t="str">
        <x:v>DerivedFromCount</x:v>
      </x:c>
      <x:c r="O366" t="str">
        <x:v>PLC-PRD-JAR-720-L21</x:v>
      </x:c>
      <x:c r="P366" t="str">
        <x:v>OK</x:v>
      </x:c>
      <x:c r="Q366" t="str">
        <x:v>OK</x:v>
      </x:c>
      <x:c r="R366" t="str">
        <x:v>OK</x:v>
      </x:c>
      <x:c r="S366" t="str">
        <x:v>OK</x:v>
      </x:c>
      <x:c r="T366" t="n">
        <x:v>20</x:v>
      </x:c>
      <x:c r="U366" t="str">
        <x:v>OK</x:v>
      </x:c>
      <x:c r="V366" t="str">
        <x:v>OK</x:v>
      </x:c>
      <x:c r="W366" t="str">
        <x:v>LOAD</x:v>
      </x:c>
      <x:c r="X366" t="str">
        <x:v>02_Supervisor_Log(4).xlsx</x:v>
      </x:c>
      <x:c r="Y366" t="str">
        <x:v>ENH-20260830-01</x:v>
      </x:c>
      <x:c r="Z366" t="str">
        <x:v>Active</x:v>
      </x:c>
      <x:c r="AA366"/>
      <x:c r="AB366"/>
      <x:c r="AC366"/>
      <x:c r="AD366"/>
    </x:row>
    <x:row r="367">
      <x:c r="A367" t="str">
        <x:v>PCC-PE-KG01-L21-20251024-PM-ORD-2025-00020-S04-C3</x:v>
      </x:c>
      <x:c r="B367" t="str">
        <x:v>PC-PE-KG01-L21-20251024-PM-ORD-2025-00020-S04</x:v>
      </x:c>
      <x:c r="C367" t="str">
        <x:v>PE-KG01-L21-20251024-PM-ORD-2025-00020</x:v>
      </x:c>
      <x:c r="D367" t="str">
        <x:v>KG01</x:v>
      </x:c>
      <x:c r="E367" s="62" t="n">
        <x:v>45954</x:v>
      </x:c>
      <x:c r="F367" t="str">
        <x:v>PM</x:v>
      </x:c>
      <x:c r="G367" t="str">
        <x:v>B</x:v>
      </x:c>
      <x:c r="H367" t="n">
        <x:v>21</x:v>
      </x:c>
      <x:c r="I367" t="str">
        <x:v>ORD-2025-00020</x:v>
      </x:c>
      <x:c r="J367" t="n">
        <x:v>4</x:v>
      </x:c>
      <x:c r="K367" t="n">
        <x:v>3</x:v>
      </x:c>
      <x:c r="L367" t="str">
        <x:v>L21-S04-C3</x:v>
      </x:c>
      <x:c r="M367" t="n">
        <x:v>0</x:v>
      </x:c>
      <x:c r="N367" t="str">
        <x:v>DerivedFromCount</x:v>
      </x:c>
      <x:c r="O367" t="str">
        <x:v>PLC-PRD-JAR-720-L21</x:v>
      </x:c>
      <x:c r="P367" t="str">
        <x:v>OK</x:v>
      </x:c>
      <x:c r="Q367" t="str">
        <x:v>OK</x:v>
      </x:c>
      <x:c r="R367" t="str">
        <x:v>OK</x:v>
      </x:c>
      <x:c r="S367" t="str">
        <x:v>OK</x:v>
      </x:c>
      <x:c r="T367" t="n">
        <x:v>20</x:v>
      </x:c>
      <x:c r="U367" t="str">
        <x:v>OK</x:v>
      </x:c>
      <x:c r="V367" t="str">
        <x:v>OK</x:v>
      </x:c>
      <x:c r="W367" t="str">
        <x:v>LOAD</x:v>
      </x:c>
      <x:c r="X367" t="str">
        <x:v>02_Supervisor_Log(4).xlsx</x:v>
      </x:c>
      <x:c r="Y367" t="str">
        <x:v>ENH-20260830-01</x:v>
      </x:c>
      <x:c r="Z367" t="str">
        <x:v>Active</x:v>
      </x:c>
      <x:c r="AA367"/>
      <x:c r="AB367"/>
      <x:c r="AC367"/>
      <x:c r="AD367"/>
    </x:row>
    <x:row r="368">
      <x:c r="A368" t="str">
        <x:v>PCC-PE-KG01-L21-20251024-PM-ORD-2025-00020-S05-C1</x:v>
      </x:c>
      <x:c r="B368" t="str">
        <x:v>PC-PE-KG01-L21-20251024-PM-ORD-2025-00020-S05</x:v>
      </x:c>
      <x:c r="C368" t="str">
        <x:v>PE-KG01-L21-20251024-PM-ORD-2025-00020</x:v>
      </x:c>
      <x:c r="D368" t="str">
        <x:v>KG01</x:v>
      </x:c>
      <x:c r="E368" s="62" t="n">
        <x:v>45954</x:v>
      </x:c>
      <x:c r="F368" t="str">
        <x:v>PM</x:v>
      </x:c>
      <x:c r="G368" t="str">
        <x:v>B</x:v>
      </x:c>
      <x:c r="H368" t="n">
        <x:v>21</x:v>
      </x:c>
      <x:c r="I368" t="str">
        <x:v>ORD-2025-00020</x:v>
      </x:c>
      <x:c r="J368" t="n">
        <x:v>5</x:v>
      </x:c>
      <x:c r="K368" t="n">
        <x:v>1</x:v>
      </x:c>
      <x:c r="L368" t="str">
        <x:v>L21-S05-C1</x:v>
      </x:c>
      <x:c r="M368" t="n">
        <x:v>1</x:v>
      </x:c>
      <x:c r="N368" t="str">
        <x:v>DerivedFromCount</x:v>
      </x:c>
      <x:c r="O368" t="str">
        <x:v>PLC-PRD-JAR-720-L21</x:v>
      </x:c>
      <x:c r="P368" t="str">
        <x:v>OK</x:v>
      </x:c>
      <x:c r="Q368" t="str">
        <x:v>OK</x:v>
      </x:c>
      <x:c r="R368" t="str">
        <x:v>OK</x:v>
      </x:c>
      <x:c r="S368" t="str">
        <x:v>OK</x:v>
      </x:c>
      <x:c r="T368" t="n">
        <x:v>20</x:v>
      </x:c>
      <x:c r="U368" t="str">
        <x:v>OK</x:v>
      </x:c>
      <x:c r="V368" t="str">
        <x:v>OK</x:v>
      </x:c>
      <x:c r="W368" t="str">
        <x:v>LOAD</x:v>
      </x:c>
      <x:c r="X368" t="str">
        <x:v>02_Supervisor_Log(4).xlsx</x:v>
      </x:c>
      <x:c r="Y368" t="str">
        <x:v>ENH-20260830-01</x:v>
      </x:c>
      <x:c r="Z368" t="str">
        <x:v>Active</x:v>
      </x:c>
      <x:c r="AA368"/>
      <x:c r="AB368"/>
      <x:c r="AC368"/>
      <x:c r="AD368"/>
    </x:row>
    <x:row r="369">
      <x:c r="A369" t="str">
        <x:v>PCC-PE-KG01-L21-20251024-PM-ORD-2025-00020-S05-C2</x:v>
      </x:c>
      <x:c r="B369" t="str">
        <x:v>PC-PE-KG01-L21-20251024-PM-ORD-2025-00020-S05</x:v>
      </x:c>
      <x:c r="C369" t="str">
        <x:v>PE-KG01-L21-20251024-PM-ORD-2025-00020</x:v>
      </x:c>
      <x:c r="D369" t="str">
        <x:v>KG01</x:v>
      </x:c>
      <x:c r="E369" s="62" t="n">
        <x:v>45954</x:v>
      </x:c>
      <x:c r="F369" t="str">
        <x:v>PM</x:v>
      </x:c>
      <x:c r="G369" t="str">
        <x:v>B</x:v>
      </x:c>
      <x:c r="H369" t="n">
        <x:v>21</x:v>
      </x:c>
      <x:c r="I369" t="str">
        <x:v>ORD-2025-00020</x:v>
      </x:c>
      <x:c r="J369" t="n">
        <x:v>5</x:v>
      </x:c>
      <x:c r="K369" t="n">
        <x:v>2</x:v>
      </x:c>
      <x:c r="L369" t="str">
        <x:v>L21-S05-C2</x:v>
      </x:c>
      <x:c r="M369" t="n">
        <x:v>1</x:v>
      </x:c>
      <x:c r="N369" t="str">
        <x:v>DerivedFromCount</x:v>
      </x:c>
      <x:c r="O369" t="str">
        <x:v>PLC-PRD-JAR-720-L21</x:v>
      </x:c>
      <x:c r="P369" t="str">
        <x:v>OK</x:v>
      </x:c>
      <x:c r="Q369" t="str">
        <x:v>OK</x:v>
      </x:c>
      <x:c r="R369" t="str">
        <x:v>OK</x:v>
      </x:c>
      <x:c r="S369" t="str">
        <x:v>OK</x:v>
      </x:c>
      <x:c r="T369" t="n">
        <x:v>20</x:v>
      </x:c>
      <x:c r="U369" t="str">
        <x:v>OK</x:v>
      </x:c>
      <x:c r="V369" t="str">
        <x:v>OK</x:v>
      </x:c>
      <x:c r="W369" t="str">
        <x:v>LOAD</x:v>
      </x:c>
      <x:c r="X369" t="str">
        <x:v>02_Supervisor_Log(4).xlsx</x:v>
      </x:c>
      <x:c r="Y369" t="str">
        <x:v>ENH-20260830-01</x:v>
      </x:c>
      <x:c r="Z369" t="str">
        <x:v>Active</x:v>
      </x:c>
      <x:c r="AA369"/>
      <x:c r="AB369"/>
      <x:c r="AC369"/>
      <x:c r="AD369"/>
    </x:row>
    <x:row r="370">
      <x:c r="A370" t="str">
        <x:v>PCC-PE-KG01-L21-20251024-PM-ORD-2025-00020-S05-C3</x:v>
      </x:c>
      <x:c r="B370" t="str">
        <x:v>PC-PE-KG01-L21-20251024-PM-ORD-2025-00020-S05</x:v>
      </x:c>
      <x:c r="C370" t="str">
        <x:v>PE-KG01-L21-20251024-PM-ORD-2025-00020</x:v>
      </x:c>
      <x:c r="D370" t="str">
        <x:v>KG01</x:v>
      </x:c>
      <x:c r="E370" s="62" t="n">
        <x:v>45954</x:v>
      </x:c>
      <x:c r="F370" t="str">
        <x:v>PM</x:v>
      </x:c>
      <x:c r="G370" t="str">
        <x:v>B</x:v>
      </x:c>
      <x:c r="H370" t="n">
        <x:v>21</x:v>
      </x:c>
      <x:c r="I370" t="str">
        <x:v>ORD-2025-00020</x:v>
      </x:c>
      <x:c r="J370" t="n">
        <x:v>5</x:v>
      </x:c>
      <x:c r="K370" t="n">
        <x:v>3</x:v>
      </x:c>
      <x:c r="L370" t="str">
        <x:v>L21-S05-C3</x:v>
      </x:c>
      <x:c r="M370" t="n">
        <x:v>0</x:v>
      </x:c>
      <x:c r="N370" t="str">
        <x:v>DerivedFromCount</x:v>
      </x:c>
      <x:c r="O370" t="str">
        <x:v>PLC-PRD-JAR-720-L21</x:v>
      </x:c>
      <x:c r="P370" t="str">
        <x:v>OK</x:v>
      </x:c>
      <x:c r="Q370" t="str">
        <x:v>OK</x:v>
      </x:c>
      <x:c r="R370" t="str">
        <x:v>OK</x:v>
      </x:c>
      <x:c r="S370" t="str">
        <x:v>OK</x:v>
      </x:c>
      <x:c r="T370" t="n">
        <x:v>20</x:v>
      </x:c>
      <x:c r="U370" t="str">
        <x:v>OK</x:v>
      </x:c>
      <x:c r="V370" t="str">
        <x:v>OK</x:v>
      </x:c>
      <x:c r="W370" t="str">
        <x:v>LOAD</x:v>
      </x:c>
      <x:c r="X370" t="str">
        <x:v>02_Supervisor_Log(4).xlsx</x:v>
      </x:c>
      <x:c r="Y370" t="str">
        <x:v>ENH-20260830-01</x:v>
      </x:c>
      <x:c r="Z370" t="str">
        <x:v>Active</x:v>
      </x:c>
      <x:c r="AA370"/>
      <x:c r="AB370"/>
      <x:c r="AC370"/>
      <x:c r="AD370"/>
    </x:row>
    <x:row r="371">
      <x:c r="A371" t="str">
        <x:v>PCC-PE-KG01-L21-20251024-PM-ORD-2025-00020-S06-C1</x:v>
      </x:c>
      <x:c r="B371" t="str">
        <x:v>PC-PE-KG01-L21-20251024-PM-ORD-2025-00020-S06</x:v>
      </x:c>
      <x:c r="C371" t="str">
        <x:v>PE-KG01-L21-20251024-PM-ORD-2025-00020</x:v>
      </x:c>
      <x:c r="D371" t="str">
        <x:v>KG01</x:v>
      </x:c>
      <x:c r="E371" s="62" t="n">
        <x:v>45954</x:v>
      </x:c>
      <x:c r="F371" t="str">
        <x:v>PM</x:v>
      </x:c>
      <x:c r="G371" t="str">
        <x:v>B</x:v>
      </x:c>
      <x:c r="H371" t="n">
        <x:v>21</x:v>
      </x:c>
      <x:c r="I371" t="str">
        <x:v>ORD-2025-00020</x:v>
      </x:c>
      <x:c r="J371" t="n">
        <x:v>6</x:v>
      </x:c>
      <x:c r="K371" t="n">
        <x:v>1</x:v>
      </x:c>
      <x:c r="L371" t="str">
        <x:v>L21-S06-C1</x:v>
      </x:c>
      <x:c r="M371" t="n">
        <x:v>1</x:v>
      </x:c>
      <x:c r="N371" t="str">
        <x:v>DerivedFromCount</x:v>
      </x:c>
      <x:c r="O371" t="str">
        <x:v>PLC-PRD-JAR-720-L21</x:v>
      </x:c>
      <x:c r="P371" t="str">
        <x:v>OK</x:v>
      </x:c>
      <x:c r="Q371" t="str">
        <x:v>OK</x:v>
      </x:c>
      <x:c r="R371" t="str">
        <x:v>OK</x:v>
      </x:c>
      <x:c r="S371" t="str">
        <x:v>OK</x:v>
      </x:c>
      <x:c r="T371" t="n">
        <x:v>20</x:v>
      </x:c>
      <x:c r="U371" t="str">
        <x:v>OK</x:v>
      </x:c>
      <x:c r="V371" t="str">
        <x:v>OK</x:v>
      </x:c>
      <x:c r="W371" t="str">
        <x:v>LOAD</x:v>
      </x:c>
      <x:c r="X371" t="str">
        <x:v>02_Supervisor_Log(4).xlsx</x:v>
      </x:c>
      <x:c r="Y371" t="str">
        <x:v>ENH-20260830-01</x:v>
      </x:c>
      <x:c r="Z371" t="str">
        <x:v>Active</x:v>
      </x:c>
      <x:c r="AA371"/>
      <x:c r="AB371"/>
      <x:c r="AC371"/>
      <x:c r="AD371"/>
    </x:row>
    <x:row r="372">
      <x:c r="A372" t="str">
        <x:v>PCC-PE-KG01-L21-20251024-PM-ORD-2025-00020-S06-C2</x:v>
      </x:c>
      <x:c r="B372" t="str">
        <x:v>PC-PE-KG01-L21-20251024-PM-ORD-2025-00020-S06</x:v>
      </x:c>
      <x:c r="C372" t="str">
        <x:v>PE-KG01-L21-20251024-PM-ORD-2025-00020</x:v>
      </x:c>
      <x:c r="D372" t="str">
        <x:v>KG01</x:v>
      </x:c>
      <x:c r="E372" s="62" t="n">
        <x:v>45954</x:v>
      </x:c>
      <x:c r="F372" t="str">
        <x:v>PM</x:v>
      </x:c>
      <x:c r="G372" t="str">
        <x:v>B</x:v>
      </x:c>
      <x:c r="H372" t="n">
        <x:v>21</x:v>
      </x:c>
      <x:c r="I372" t="str">
        <x:v>ORD-2025-00020</x:v>
      </x:c>
      <x:c r="J372" t="n">
        <x:v>6</x:v>
      </x:c>
      <x:c r="K372" t="n">
        <x:v>2</x:v>
      </x:c>
      <x:c r="L372" t="str">
        <x:v>L21-S06-C2</x:v>
      </x:c>
      <x:c r="M372" t="n">
        <x:v>1</x:v>
      </x:c>
      <x:c r="N372" t="str">
        <x:v>DerivedFromCount</x:v>
      </x:c>
      <x:c r="O372" t="str">
        <x:v>PLC-PRD-JAR-720-L21</x:v>
      </x:c>
      <x:c r="P372" t="str">
        <x:v>OK</x:v>
      </x:c>
      <x:c r="Q372" t="str">
        <x:v>OK</x:v>
      </x:c>
      <x:c r="R372" t="str">
        <x:v>OK</x:v>
      </x:c>
      <x:c r="S372" t="str">
        <x:v>OK</x:v>
      </x:c>
      <x:c r="T372" t="n">
        <x:v>20</x:v>
      </x:c>
      <x:c r="U372" t="str">
        <x:v>OK</x:v>
      </x:c>
      <x:c r="V372" t="str">
        <x:v>OK</x:v>
      </x:c>
      <x:c r="W372" t="str">
        <x:v>LOAD</x:v>
      </x:c>
      <x:c r="X372" t="str">
        <x:v>02_Supervisor_Log(4).xlsx</x:v>
      </x:c>
      <x:c r="Y372" t="str">
        <x:v>ENH-20260830-01</x:v>
      </x:c>
      <x:c r="Z372" t="str">
        <x:v>Active</x:v>
      </x:c>
      <x:c r="AA372"/>
      <x:c r="AB372"/>
      <x:c r="AC372"/>
      <x:c r="AD372"/>
    </x:row>
    <x:row r="373">
      <x:c r="A373" t="str">
        <x:v>PCC-PE-KG01-L21-20251024-PM-ORD-2025-00020-S06-C3</x:v>
      </x:c>
      <x:c r="B373" t="str">
        <x:v>PC-PE-KG01-L21-20251024-PM-ORD-2025-00020-S06</x:v>
      </x:c>
      <x:c r="C373" t="str">
        <x:v>PE-KG01-L21-20251024-PM-ORD-2025-00020</x:v>
      </x:c>
      <x:c r="D373" t="str">
        <x:v>KG01</x:v>
      </x:c>
      <x:c r="E373" s="62" t="n">
        <x:v>45954</x:v>
      </x:c>
      <x:c r="F373" t="str">
        <x:v>PM</x:v>
      </x:c>
      <x:c r="G373" t="str">
        <x:v>B</x:v>
      </x:c>
      <x:c r="H373" t="n">
        <x:v>21</x:v>
      </x:c>
      <x:c r="I373" t="str">
        <x:v>ORD-2025-00020</x:v>
      </x:c>
      <x:c r="J373" t="n">
        <x:v>6</x:v>
      </x:c>
      <x:c r="K373" t="n">
        <x:v>3</x:v>
      </x:c>
      <x:c r="L373" t="str">
        <x:v>L21-S06-C3</x:v>
      </x:c>
      <x:c r="M373" t="n">
        <x:v>0</x:v>
      </x:c>
      <x:c r="N373" t="str">
        <x:v>DerivedFromCount</x:v>
      </x:c>
      <x:c r="O373" t="str">
        <x:v>PLC-PRD-JAR-720-L21</x:v>
      </x:c>
      <x:c r="P373" t="str">
        <x:v>OK</x:v>
      </x:c>
      <x:c r="Q373" t="str">
        <x:v>OK</x:v>
      </x:c>
      <x:c r="R373" t="str">
        <x:v>OK</x:v>
      </x:c>
      <x:c r="S373" t="str">
        <x:v>OK</x:v>
      </x:c>
      <x:c r="T373" t="n">
        <x:v>20</x:v>
      </x:c>
      <x:c r="U373" t="str">
        <x:v>OK</x:v>
      </x:c>
      <x:c r="V373" t="str">
        <x:v>OK</x:v>
      </x:c>
      <x:c r="W373" t="str">
        <x:v>LOAD</x:v>
      </x:c>
      <x:c r="X373" t="str">
        <x:v>02_Supervisor_Log(4).xlsx</x:v>
      </x:c>
      <x:c r="Y373" t="str">
        <x:v>ENH-20260830-01</x:v>
      </x:c>
      <x:c r="Z373" t="str">
        <x:v>Active</x:v>
      </x:c>
      <x:c r="AA373"/>
      <x:c r="AB373"/>
      <x:c r="AC373"/>
      <x:c r="AD373"/>
    </x:row>
    <x:row r="374">
      <x:c r="A374" t="str">
        <x:v>PCC-PE-KG01-L21-20251024-PM-ORD-2025-00020-S07-C1</x:v>
      </x:c>
      <x:c r="B374" t="str">
        <x:v>PC-PE-KG01-L21-20251024-PM-ORD-2025-00020-S07</x:v>
      </x:c>
      <x:c r="C374" t="str">
        <x:v>PE-KG01-L21-20251024-PM-ORD-2025-00020</x:v>
      </x:c>
      <x:c r="D374" t="str">
        <x:v>KG01</x:v>
      </x:c>
      <x:c r="E374" s="62" t="n">
        <x:v>45954</x:v>
      </x:c>
      <x:c r="F374" t="str">
        <x:v>PM</x:v>
      </x:c>
      <x:c r="G374" t="str">
        <x:v>B</x:v>
      </x:c>
      <x:c r="H374" t="n">
        <x:v>21</x:v>
      </x:c>
      <x:c r="I374" t="str">
        <x:v>ORD-2025-00020</x:v>
      </x:c>
      <x:c r="J374" t="n">
        <x:v>7</x:v>
      </x:c>
      <x:c r="K374" t="n">
        <x:v>1</x:v>
      </x:c>
      <x:c r="L374" t="str">
        <x:v>L21-S07-C1</x:v>
      </x:c>
      <x:c r="M374" t="n">
        <x:v>1</x:v>
      </x:c>
      <x:c r="N374" t="str">
        <x:v>DerivedFromCount</x:v>
      </x:c>
      <x:c r="O374" t="str">
        <x:v>PLC-PRD-JAR-720-L21</x:v>
      </x:c>
      <x:c r="P374" t="str">
        <x:v>OK</x:v>
      </x:c>
      <x:c r="Q374" t="str">
        <x:v>OK</x:v>
      </x:c>
      <x:c r="R374" t="str">
        <x:v>OK</x:v>
      </x:c>
      <x:c r="S374" t="str">
        <x:v>OK</x:v>
      </x:c>
      <x:c r="T374" t="n">
        <x:v>20</x:v>
      </x:c>
      <x:c r="U374" t="str">
        <x:v>OK</x:v>
      </x:c>
      <x:c r="V374" t="str">
        <x:v>OK</x:v>
      </x:c>
      <x:c r="W374" t="str">
        <x:v>LOAD</x:v>
      </x:c>
      <x:c r="X374" t="str">
        <x:v>02_Supervisor_Log(4).xlsx</x:v>
      </x:c>
      <x:c r="Y374" t="str">
        <x:v>ENH-20260830-01</x:v>
      </x:c>
      <x:c r="Z374" t="str">
        <x:v>Active</x:v>
      </x:c>
      <x:c r="AA374"/>
      <x:c r="AB374"/>
      <x:c r="AC374"/>
      <x:c r="AD374"/>
    </x:row>
    <x:row r="375">
      <x:c r="A375" t="str">
        <x:v>PCC-PE-KG01-L21-20251024-PM-ORD-2025-00020-S07-C2</x:v>
      </x:c>
      <x:c r="B375" t="str">
        <x:v>PC-PE-KG01-L21-20251024-PM-ORD-2025-00020-S07</x:v>
      </x:c>
      <x:c r="C375" t="str">
        <x:v>PE-KG01-L21-20251024-PM-ORD-2025-00020</x:v>
      </x:c>
      <x:c r="D375" t="str">
        <x:v>KG01</x:v>
      </x:c>
      <x:c r="E375" s="62" t="n">
        <x:v>45954</x:v>
      </x:c>
      <x:c r="F375" t="str">
        <x:v>PM</x:v>
      </x:c>
      <x:c r="G375" t="str">
        <x:v>B</x:v>
      </x:c>
      <x:c r="H375" t="n">
        <x:v>21</x:v>
      </x:c>
      <x:c r="I375" t="str">
        <x:v>ORD-2025-00020</x:v>
      </x:c>
      <x:c r="J375" t="n">
        <x:v>7</x:v>
      </x:c>
      <x:c r="K375" t="n">
        <x:v>2</x:v>
      </x:c>
      <x:c r="L375" t="str">
        <x:v>L21-S07-C2</x:v>
      </x:c>
      <x:c r="M375" t="n">
        <x:v>1</x:v>
      </x:c>
      <x:c r="N375" t="str">
        <x:v>DerivedFromCount</x:v>
      </x:c>
      <x:c r="O375" t="str">
        <x:v>PLC-PRD-JAR-720-L21</x:v>
      </x:c>
      <x:c r="P375" t="str">
        <x:v>OK</x:v>
      </x:c>
      <x:c r="Q375" t="str">
        <x:v>OK</x:v>
      </x:c>
      <x:c r="R375" t="str">
        <x:v>OK</x:v>
      </x:c>
      <x:c r="S375" t="str">
        <x:v>OK</x:v>
      </x:c>
      <x:c r="T375" t="n">
        <x:v>20</x:v>
      </x:c>
      <x:c r="U375" t="str">
        <x:v>OK</x:v>
      </x:c>
      <x:c r="V375" t="str">
        <x:v>OK</x:v>
      </x:c>
      <x:c r="W375" t="str">
        <x:v>LOAD</x:v>
      </x:c>
      <x:c r="X375" t="str">
        <x:v>02_Supervisor_Log(4).xlsx</x:v>
      </x:c>
      <x:c r="Y375" t="str">
        <x:v>ENH-20260830-01</x:v>
      </x:c>
      <x:c r="Z375" t="str">
        <x:v>Active</x:v>
      </x:c>
      <x:c r="AA375"/>
      <x:c r="AB375"/>
      <x:c r="AC375"/>
      <x:c r="AD375"/>
    </x:row>
    <x:row r="376">
      <x:c r="A376" t="str">
        <x:v>PCC-PE-KG01-L21-20251024-PM-ORD-2025-00020-S07-C3</x:v>
      </x:c>
      <x:c r="B376" t="str">
        <x:v>PC-PE-KG01-L21-20251024-PM-ORD-2025-00020-S07</x:v>
      </x:c>
      <x:c r="C376" t="str">
        <x:v>PE-KG01-L21-20251024-PM-ORD-2025-00020</x:v>
      </x:c>
      <x:c r="D376" t="str">
        <x:v>KG01</x:v>
      </x:c>
      <x:c r="E376" s="62" t="n">
        <x:v>45954</x:v>
      </x:c>
      <x:c r="F376" t="str">
        <x:v>PM</x:v>
      </x:c>
      <x:c r="G376" t="str">
        <x:v>B</x:v>
      </x:c>
      <x:c r="H376" t="n">
        <x:v>21</x:v>
      </x:c>
      <x:c r="I376" t="str">
        <x:v>ORD-2025-00020</x:v>
      </x:c>
      <x:c r="J376" t="n">
        <x:v>7</x:v>
      </x:c>
      <x:c r="K376" t="n">
        <x:v>3</x:v>
      </x:c>
      <x:c r="L376" t="str">
        <x:v>L21-S07-C3</x:v>
      </x:c>
      <x:c r="M376" t="n">
        <x:v>0</x:v>
      </x:c>
      <x:c r="N376" t="str">
        <x:v>DerivedFromCount</x:v>
      </x:c>
      <x:c r="O376" t="str">
        <x:v>PLC-PRD-JAR-720-L21</x:v>
      </x:c>
      <x:c r="P376" t="str">
        <x:v>OK</x:v>
      </x:c>
      <x:c r="Q376" t="str">
        <x:v>OK</x:v>
      </x:c>
      <x:c r="R376" t="str">
        <x:v>OK</x:v>
      </x:c>
      <x:c r="S376" t="str">
        <x:v>OK</x:v>
      </x:c>
      <x:c r="T376" t="n">
        <x:v>20</x:v>
      </x:c>
      <x:c r="U376" t="str">
        <x:v>OK</x:v>
      </x:c>
      <x:c r="V376" t="str">
        <x:v>OK</x:v>
      </x:c>
      <x:c r="W376" t="str">
        <x:v>LOAD</x:v>
      </x:c>
      <x:c r="X376" t="str">
        <x:v>02_Supervisor_Log(4).xlsx</x:v>
      </x:c>
      <x:c r="Y376" t="str">
        <x:v>ENH-20260830-01</x:v>
      </x:c>
      <x:c r="Z376" t="str">
        <x:v>Active</x:v>
      </x:c>
      <x:c r="AA376"/>
      <x:c r="AB376"/>
      <x:c r="AC376"/>
      <x:c r="AD376"/>
    </x:row>
    <x:row r="377">
      <x:c r="A377" t="str">
        <x:v>PCC-PE-KG01-L21-20251024-PM-ORD-2025-00020-S08-C1</x:v>
      </x:c>
      <x:c r="B377" t="str">
        <x:v>PC-PE-KG01-L21-20251024-PM-ORD-2025-00020-S08</x:v>
      </x:c>
      <x:c r="C377" t="str">
        <x:v>PE-KG01-L21-20251024-PM-ORD-2025-00020</x:v>
      </x:c>
      <x:c r="D377" t="str">
        <x:v>KG01</x:v>
      </x:c>
      <x:c r="E377" s="62" t="n">
        <x:v>45954</x:v>
      </x:c>
      <x:c r="F377" t="str">
        <x:v>PM</x:v>
      </x:c>
      <x:c r="G377" t="str">
        <x:v>B</x:v>
      </x:c>
      <x:c r="H377" t="n">
        <x:v>21</x:v>
      </x:c>
      <x:c r="I377" t="str">
        <x:v>ORD-2025-00020</x:v>
      </x:c>
      <x:c r="J377" t="n">
        <x:v>8</x:v>
      </x:c>
      <x:c r="K377" t="n">
        <x:v>1</x:v>
      </x:c>
      <x:c r="L377" t="str">
        <x:v>L21-S08-C1</x:v>
      </x:c>
      <x:c r="M377" t="n">
        <x:v>1</x:v>
      </x:c>
      <x:c r="N377" t="str">
        <x:v>DerivedFromCount</x:v>
      </x:c>
      <x:c r="O377" t="str">
        <x:v>PLC-PRD-JAR-720-L21</x:v>
      </x:c>
      <x:c r="P377" t="str">
        <x:v>OK</x:v>
      </x:c>
      <x:c r="Q377" t="str">
        <x:v>OK</x:v>
      </x:c>
      <x:c r="R377" t="str">
        <x:v>OK</x:v>
      </x:c>
      <x:c r="S377" t="str">
        <x:v>OK</x:v>
      </x:c>
      <x:c r="T377" t="n">
        <x:v>20</x:v>
      </x:c>
      <x:c r="U377" t="str">
        <x:v>OK</x:v>
      </x:c>
      <x:c r="V377" t="str">
        <x:v>OK</x:v>
      </x:c>
      <x:c r="W377" t="str">
        <x:v>LOAD</x:v>
      </x:c>
      <x:c r="X377" t="str">
        <x:v>02_Supervisor_Log(4).xlsx</x:v>
      </x:c>
      <x:c r="Y377" t="str">
        <x:v>ENH-20260830-01</x:v>
      </x:c>
      <x:c r="Z377" t="str">
        <x:v>Active</x:v>
      </x:c>
      <x:c r="AA377"/>
      <x:c r="AB377"/>
      <x:c r="AC377"/>
      <x:c r="AD377"/>
    </x:row>
    <x:row r="378">
      <x:c r="A378" t="str">
        <x:v>PCC-PE-KG01-L21-20251024-PM-ORD-2025-00020-S08-C2</x:v>
      </x:c>
      <x:c r="B378" t="str">
        <x:v>PC-PE-KG01-L21-20251024-PM-ORD-2025-00020-S08</x:v>
      </x:c>
      <x:c r="C378" t="str">
        <x:v>PE-KG01-L21-20251024-PM-ORD-2025-00020</x:v>
      </x:c>
      <x:c r="D378" t="str">
        <x:v>KG01</x:v>
      </x:c>
      <x:c r="E378" s="62" t="n">
        <x:v>45954</x:v>
      </x:c>
      <x:c r="F378" t="str">
        <x:v>PM</x:v>
      </x:c>
      <x:c r="G378" t="str">
        <x:v>B</x:v>
      </x:c>
      <x:c r="H378" t="n">
        <x:v>21</x:v>
      </x:c>
      <x:c r="I378" t="str">
        <x:v>ORD-2025-00020</x:v>
      </x:c>
      <x:c r="J378" t="n">
        <x:v>8</x:v>
      </x:c>
      <x:c r="K378" t="n">
        <x:v>2</x:v>
      </x:c>
      <x:c r="L378" t="str">
        <x:v>L21-S08-C2</x:v>
      </x:c>
      <x:c r="M378" t="n">
        <x:v>1</x:v>
      </x:c>
      <x:c r="N378" t="str">
        <x:v>DerivedFromCount</x:v>
      </x:c>
      <x:c r="O378" t="str">
        <x:v>PLC-PRD-JAR-720-L21</x:v>
      </x:c>
      <x:c r="P378" t="str">
        <x:v>OK</x:v>
      </x:c>
      <x:c r="Q378" t="str">
        <x:v>OK</x:v>
      </x:c>
      <x:c r="R378" t="str">
        <x:v>OK</x:v>
      </x:c>
      <x:c r="S378" t="str">
        <x:v>OK</x:v>
      </x:c>
      <x:c r="T378" t="n">
        <x:v>20</x:v>
      </x:c>
      <x:c r="U378" t="str">
        <x:v>OK</x:v>
      </x:c>
      <x:c r="V378" t="str">
        <x:v>OK</x:v>
      </x:c>
      <x:c r="W378" t="str">
        <x:v>LOAD</x:v>
      </x:c>
      <x:c r="X378" t="str">
        <x:v>02_Supervisor_Log(4).xlsx</x:v>
      </x:c>
      <x:c r="Y378" t="str">
        <x:v>ENH-20260830-01</x:v>
      </x:c>
      <x:c r="Z378" t="str">
        <x:v>Active</x:v>
      </x:c>
      <x:c r="AA378"/>
      <x:c r="AB378"/>
      <x:c r="AC378"/>
      <x:c r="AD378"/>
    </x:row>
    <x:row r="379">
      <x:c r="A379" t="str">
        <x:v>PCC-PE-KG01-L21-20251024-PM-ORD-2025-00020-S08-C3</x:v>
      </x:c>
      <x:c r="B379" t="str">
        <x:v>PC-PE-KG01-L21-20251024-PM-ORD-2025-00020-S08</x:v>
      </x:c>
      <x:c r="C379" t="str">
        <x:v>PE-KG01-L21-20251024-PM-ORD-2025-00020</x:v>
      </x:c>
      <x:c r="D379" t="str">
        <x:v>KG01</x:v>
      </x:c>
      <x:c r="E379" s="62" t="n">
        <x:v>45954</x:v>
      </x:c>
      <x:c r="F379" t="str">
        <x:v>PM</x:v>
      </x:c>
      <x:c r="G379" t="str">
        <x:v>B</x:v>
      </x:c>
      <x:c r="H379" t="n">
        <x:v>21</x:v>
      </x:c>
      <x:c r="I379" t="str">
        <x:v>ORD-2025-00020</x:v>
      </x:c>
      <x:c r="J379" t="n">
        <x:v>8</x:v>
      </x:c>
      <x:c r="K379" t="n">
        <x:v>3</x:v>
      </x:c>
      <x:c r="L379" t="str">
        <x:v>L21-S08-C3</x:v>
      </x:c>
      <x:c r="M379" t="n">
        <x:v>0</x:v>
      </x:c>
      <x:c r="N379" t="str">
        <x:v>DerivedFromCount</x:v>
      </x:c>
      <x:c r="O379" t="str">
        <x:v>PLC-PRD-JAR-720-L21</x:v>
      </x:c>
      <x:c r="P379" t="str">
        <x:v>OK</x:v>
      </x:c>
      <x:c r="Q379" t="str">
        <x:v>OK</x:v>
      </x:c>
      <x:c r="R379" t="str">
        <x:v>OK</x:v>
      </x:c>
      <x:c r="S379" t="str">
        <x:v>OK</x:v>
      </x:c>
      <x:c r="T379" t="n">
        <x:v>20</x:v>
      </x:c>
      <x:c r="U379" t="str">
        <x:v>OK</x:v>
      </x:c>
      <x:c r="V379" t="str">
        <x:v>OK</x:v>
      </x:c>
      <x:c r="W379" t="str">
        <x:v>LOAD</x:v>
      </x:c>
      <x:c r="X379" t="str">
        <x:v>02_Supervisor_Log(4).xlsx</x:v>
      </x:c>
      <x:c r="Y379" t="str">
        <x:v>ENH-20260830-01</x:v>
      </x:c>
      <x:c r="Z379" t="str">
        <x:v>Active</x:v>
      </x:c>
      <x:c r="AA379"/>
      <x:c r="AB379"/>
      <x:c r="AC379"/>
      <x:c r="AD379"/>
    </x:row>
    <x:row r="380">
      <x:c r="A380" t="str">
        <x:v>PCC-PE-KG01-L21-20251024-PM-ORD-2025-00020-S09-C1</x:v>
      </x:c>
      <x:c r="B380" t="str">
        <x:v>PC-PE-KG01-L21-20251024-PM-ORD-2025-00020-S09</x:v>
      </x:c>
      <x:c r="C380" t="str">
        <x:v>PE-KG01-L21-20251024-PM-ORD-2025-00020</x:v>
      </x:c>
      <x:c r="D380" t="str">
        <x:v>KG01</x:v>
      </x:c>
      <x:c r="E380" s="62" t="n">
        <x:v>45954</x:v>
      </x:c>
      <x:c r="F380" t="str">
        <x:v>PM</x:v>
      </x:c>
      <x:c r="G380" t="str">
        <x:v>B</x:v>
      </x:c>
      <x:c r="H380" t="n">
        <x:v>21</x:v>
      </x:c>
      <x:c r="I380" t="str">
        <x:v>ORD-2025-00020</x:v>
      </x:c>
      <x:c r="J380" t="n">
        <x:v>9</x:v>
      </x:c>
      <x:c r="K380" t="n">
        <x:v>1</x:v>
      </x:c>
      <x:c r="L380" t="str">
        <x:v>L21-S09-C1</x:v>
      </x:c>
      <x:c r="M380" t="n">
        <x:v>1</x:v>
      </x:c>
      <x:c r="N380" t="str">
        <x:v>DerivedFromCount</x:v>
      </x:c>
      <x:c r="O380" t="str">
        <x:v>PLC-PRD-JAR-720-L21</x:v>
      </x:c>
      <x:c r="P380" t="str">
        <x:v>OK</x:v>
      </x:c>
      <x:c r="Q380" t="str">
        <x:v>OK</x:v>
      </x:c>
      <x:c r="R380" t="str">
        <x:v>OK</x:v>
      </x:c>
      <x:c r="S380" t="str">
        <x:v>OK</x:v>
      </x:c>
      <x:c r="T380" t="n">
        <x:v>20</x:v>
      </x:c>
      <x:c r="U380" t="str">
        <x:v>OK</x:v>
      </x:c>
      <x:c r="V380" t="str">
        <x:v>OK</x:v>
      </x:c>
      <x:c r="W380" t="str">
        <x:v>LOAD</x:v>
      </x:c>
      <x:c r="X380" t="str">
        <x:v>02_Supervisor_Log(4).xlsx</x:v>
      </x:c>
      <x:c r="Y380" t="str">
        <x:v>ENH-20260830-01</x:v>
      </x:c>
      <x:c r="Z380" t="str">
        <x:v>Active</x:v>
      </x:c>
      <x:c r="AA380"/>
      <x:c r="AB380"/>
      <x:c r="AC380"/>
      <x:c r="AD380"/>
    </x:row>
    <x:row r="381">
      <x:c r="A381" t="str">
        <x:v>PCC-PE-KG01-L21-20251024-PM-ORD-2025-00020-S09-C2</x:v>
      </x:c>
      <x:c r="B381" t="str">
        <x:v>PC-PE-KG01-L21-20251024-PM-ORD-2025-00020-S09</x:v>
      </x:c>
      <x:c r="C381" t="str">
        <x:v>PE-KG01-L21-20251024-PM-ORD-2025-00020</x:v>
      </x:c>
      <x:c r="D381" t="str">
        <x:v>KG01</x:v>
      </x:c>
      <x:c r="E381" s="62" t="n">
        <x:v>45954</x:v>
      </x:c>
      <x:c r="F381" t="str">
        <x:v>PM</x:v>
      </x:c>
      <x:c r="G381" t="str">
        <x:v>B</x:v>
      </x:c>
      <x:c r="H381" t="n">
        <x:v>21</x:v>
      </x:c>
      <x:c r="I381" t="str">
        <x:v>ORD-2025-00020</x:v>
      </x:c>
      <x:c r="J381" t="n">
        <x:v>9</x:v>
      </x:c>
      <x:c r="K381" t="n">
        <x:v>2</x:v>
      </x:c>
      <x:c r="L381" t="str">
        <x:v>L21-S09-C2</x:v>
      </x:c>
      <x:c r="M381" t="n">
        <x:v>1</x:v>
      </x:c>
      <x:c r="N381" t="str">
        <x:v>DerivedFromCount</x:v>
      </x:c>
      <x:c r="O381" t="str">
        <x:v>PLC-PRD-JAR-720-L21</x:v>
      </x:c>
      <x:c r="P381" t="str">
        <x:v>OK</x:v>
      </x:c>
      <x:c r="Q381" t="str">
        <x:v>OK</x:v>
      </x:c>
      <x:c r="R381" t="str">
        <x:v>OK</x:v>
      </x:c>
      <x:c r="S381" t="str">
        <x:v>OK</x:v>
      </x:c>
      <x:c r="T381" t="n">
        <x:v>20</x:v>
      </x:c>
      <x:c r="U381" t="str">
        <x:v>OK</x:v>
      </x:c>
      <x:c r="V381" t="str">
        <x:v>OK</x:v>
      </x:c>
      <x:c r="W381" t="str">
        <x:v>LOAD</x:v>
      </x:c>
      <x:c r="X381" t="str">
        <x:v>02_Supervisor_Log(4).xlsx</x:v>
      </x:c>
      <x:c r="Y381" t="str">
        <x:v>ENH-20260830-01</x:v>
      </x:c>
      <x:c r="Z381" t="str">
        <x:v>Active</x:v>
      </x:c>
      <x:c r="AA381"/>
      <x:c r="AB381"/>
      <x:c r="AC381"/>
      <x:c r="AD381"/>
    </x:row>
    <x:row r="382">
      <x:c r="A382" t="str">
        <x:v>PCC-PE-KG01-L21-20251024-PM-ORD-2025-00020-S09-C3</x:v>
      </x:c>
      <x:c r="B382" t="str">
        <x:v>PC-PE-KG01-L21-20251024-PM-ORD-2025-00020-S09</x:v>
      </x:c>
      <x:c r="C382" t="str">
        <x:v>PE-KG01-L21-20251024-PM-ORD-2025-00020</x:v>
      </x:c>
      <x:c r="D382" t="str">
        <x:v>KG01</x:v>
      </x:c>
      <x:c r="E382" s="62" t="n">
        <x:v>45954</x:v>
      </x:c>
      <x:c r="F382" t="str">
        <x:v>PM</x:v>
      </x:c>
      <x:c r="G382" t="str">
        <x:v>B</x:v>
      </x:c>
      <x:c r="H382" t="n">
        <x:v>21</x:v>
      </x:c>
      <x:c r="I382" t="str">
        <x:v>ORD-2025-00020</x:v>
      </x:c>
      <x:c r="J382" t="n">
        <x:v>9</x:v>
      </x:c>
      <x:c r="K382" t="n">
        <x:v>3</x:v>
      </x:c>
      <x:c r="L382" t="str">
        <x:v>L21-S09-C3</x:v>
      </x:c>
      <x:c r="M382" t="n">
        <x:v>0</x:v>
      </x:c>
      <x:c r="N382" t="str">
        <x:v>DerivedFromCount</x:v>
      </x:c>
      <x:c r="O382" t="str">
        <x:v>PLC-PRD-JAR-720-L21</x:v>
      </x:c>
      <x:c r="P382" t="str">
        <x:v>OK</x:v>
      </x:c>
      <x:c r="Q382" t="str">
        <x:v>OK</x:v>
      </x:c>
      <x:c r="R382" t="str">
        <x:v>OK</x:v>
      </x:c>
      <x:c r="S382" t="str">
        <x:v>OK</x:v>
      </x:c>
      <x:c r="T382" t="n">
        <x:v>20</x:v>
      </x:c>
      <x:c r="U382" t="str">
        <x:v>OK</x:v>
      </x:c>
      <x:c r="V382" t="str">
        <x:v>OK</x:v>
      </x:c>
      <x:c r="W382" t="str">
        <x:v>LOAD</x:v>
      </x:c>
      <x:c r="X382" t="str">
        <x:v>02_Supervisor_Log(4).xlsx</x:v>
      </x:c>
      <x:c r="Y382" t="str">
        <x:v>ENH-20260830-01</x:v>
      </x:c>
      <x:c r="Z382" t="str">
        <x:v>Active</x:v>
      </x:c>
      <x:c r="AA382"/>
      <x:c r="AB382"/>
      <x:c r="AC382"/>
      <x:c r="AD382"/>
    </x:row>
    <x:row r="383">
      <x:c r="A383" t="str">
        <x:v>PCC-PE-KG01-L21-20251024-PM-ORD-2025-00020-S10-C1</x:v>
      </x:c>
      <x:c r="B383" t="str">
        <x:v>PC-PE-KG01-L21-20251024-PM-ORD-2025-00020-S10</x:v>
      </x:c>
      <x:c r="C383" t="str">
        <x:v>PE-KG01-L21-20251024-PM-ORD-2025-00020</x:v>
      </x:c>
      <x:c r="D383" t="str">
        <x:v>KG01</x:v>
      </x:c>
      <x:c r="E383" s="62" t="n">
        <x:v>45954</x:v>
      </x:c>
      <x:c r="F383" t="str">
        <x:v>PM</x:v>
      </x:c>
      <x:c r="G383" t="str">
        <x:v>B</x:v>
      </x:c>
      <x:c r="H383" t="n">
        <x:v>21</x:v>
      </x:c>
      <x:c r="I383" t="str">
        <x:v>ORD-2025-00020</x:v>
      </x:c>
      <x:c r="J383" t="n">
        <x:v>10</x:v>
      </x:c>
      <x:c r="K383" t="n">
        <x:v>1</x:v>
      </x:c>
      <x:c r="L383" t="str">
        <x:v>L21-S10-C1</x:v>
      </x:c>
      <x:c r="M383" t="n">
        <x:v>1</x:v>
      </x:c>
      <x:c r="N383" t="str">
        <x:v>DerivedFromCount</x:v>
      </x:c>
      <x:c r="O383" t="str">
        <x:v>PLC-PRD-JAR-720-L21</x:v>
      </x:c>
      <x:c r="P383" t="str">
        <x:v>OK</x:v>
      </x:c>
      <x:c r="Q383" t="str">
        <x:v>OK</x:v>
      </x:c>
      <x:c r="R383" t="str">
        <x:v>OK</x:v>
      </x:c>
      <x:c r="S383" t="str">
        <x:v>OK</x:v>
      </x:c>
      <x:c r="T383" t="n">
        <x:v>20</x:v>
      </x:c>
      <x:c r="U383" t="str">
        <x:v>OK</x:v>
      </x:c>
      <x:c r="V383" t="str">
        <x:v>OK</x:v>
      </x:c>
      <x:c r="W383" t="str">
        <x:v>LOAD</x:v>
      </x:c>
      <x:c r="X383" t="str">
        <x:v>02_Supervisor_Log(4).xlsx</x:v>
      </x:c>
      <x:c r="Y383" t="str">
        <x:v>ENH-20260830-01</x:v>
      </x:c>
      <x:c r="Z383" t="str">
        <x:v>Active</x:v>
      </x:c>
      <x:c r="AA383"/>
      <x:c r="AB383"/>
      <x:c r="AC383"/>
      <x:c r="AD383"/>
    </x:row>
    <x:row r="384">
      <x:c r="A384" t="str">
        <x:v>PCC-PE-KG01-L21-20251024-PM-ORD-2025-00020-S10-C2</x:v>
      </x:c>
      <x:c r="B384" t="str">
        <x:v>PC-PE-KG01-L21-20251024-PM-ORD-2025-00020-S10</x:v>
      </x:c>
      <x:c r="C384" t="str">
        <x:v>PE-KG01-L21-20251024-PM-ORD-2025-00020</x:v>
      </x:c>
      <x:c r="D384" t="str">
        <x:v>KG01</x:v>
      </x:c>
      <x:c r="E384" s="62" t="n">
        <x:v>45954</x:v>
      </x:c>
      <x:c r="F384" t="str">
        <x:v>PM</x:v>
      </x:c>
      <x:c r="G384" t="str">
        <x:v>B</x:v>
      </x:c>
      <x:c r="H384" t="n">
        <x:v>21</x:v>
      </x:c>
      <x:c r="I384" t="str">
        <x:v>ORD-2025-00020</x:v>
      </x:c>
      <x:c r="J384" t="n">
        <x:v>10</x:v>
      </x:c>
      <x:c r="K384" t="n">
        <x:v>2</x:v>
      </x:c>
      <x:c r="L384" t="str">
        <x:v>L21-S10-C2</x:v>
      </x:c>
      <x:c r="M384" t="n">
        <x:v>1</x:v>
      </x:c>
      <x:c r="N384" t="str">
        <x:v>DerivedFromCount</x:v>
      </x:c>
      <x:c r="O384" t="str">
        <x:v>PLC-PRD-JAR-720-L21</x:v>
      </x:c>
      <x:c r="P384" t="str">
        <x:v>OK</x:v>
      </x:c>
      <x:c r="Q384" t="str">
        <x:v>OK</x:v>
      </x:c>
      <x:c r="R384" t="str">
        <x:v>OK</x:v>
      </x:c>
      <x:c r="S384" t="str">
        <x:v>OK</x:v>
      </x:c>
      <x:c r="T384" t="n">
        <x:v>20</x:v>
      </x:c>
      <x:c r="U384" t="str">
        <x:v>OK</x:v>
      </x:c>
      <x:c r="V384" t="str">
        <x:v>OK</x:v>
      </x:c>
      <x:c r="W384" t="str">
        <x:v>LOAD</x:v>
      </x:c>
      <x:c r="X384" t="str">
        <x:v>02_Supervisor_Log(4).xlsx</x:v>
      </x:c>
      <x:c r="Y384" t="str">
        <x:v>ENH-20260830-01</x:v>
      </x:c>
      <x:c r="Z384" t="str">
        <x:v>Active</x:v>
      </x:c>
      <x:c r="AA384"/>
      <x:c r="AB384"/>
      <x:c r="AC384"/>
      <x:c r="AD384"/>
    </x:row>
    <x:row r="385">
      <x:c r="A385" t="str">
        <x:v>PCC-PE-KG01-L21-20251024-PM-ORD-2025-00020-S10-C3</x:v>
      </x:c>
      <x:c r="B385" t="str">
        <x:v>PC-PE-KG01-L21-20251024-PM-ORD-2025-00020-S10</x:v>
      </x:c>
      <x:c r="C385" t="str">
        <x:v>PE-KG01-L21-20251024-PM-ORD-2025-00020</x:v>
      </x:c>
      <x:c r="D385" t="str">
        <x:v>KG01</x:v>
      </x:c>
      <x:c r="E385" s="62" t="n">
        <x:v>45954</x:v>
      </x:c>
      <x:c r="F385" t="str">
        <x:v>PM</x:v>
      </x:c>
      <x:c r="G385" t="str">
        <x:v>B</x:v>
      </x:c>
      <x:c r="H385" t="n">
        <x:v>21</x:v>
      </x:c>
      <x:c r="I385" t="str">
        <x:v>ORD-2025-00020</x:v>
      </x:c>
      <x:c r="J385" t="n">
        <x:v>10</x:v>
      </x:c>
      <x:c r="K385" t="n">
        <x:v>3</x:v>
      </x:c>
      <x:c r="L385" t="str">
        <x:v>L21-S10-C3</x:v>
      </x:c>
      <x:c r="M385" t="n">
        <x:v>0</x:v>
      </x:c>
      <x:c r="N385" t="str">
        <x:v>DerivedFromCount</x:v>
      </x:c>
      <x:c r="O385" t="str">
        <x:v>PLC-PRD-JAR-720-L21</x:v>
      </x:c>
      <x:c r="P385" t="str">
        <x:v>OK</x:v>
      </x:c>
      <x:c r="Q385" t="str">
        <x:v>OK</x:v>
      </x:c>
      <x:c r="R385" t="str">
        <x:v>OK</x:v>
      </x:c>
      <x:c r="S385" t="str">
        <x:v>OK</x:v>
      </x:c>
      <x:c r="T385" t="n">
        <x:v>20</x:v>
      </x:c>
      <x:c r="U385" t="str">
        <x:v>OK</x:v>
      </x:c>
      <x:c r="V385" t="str">
        <x:v>OK</x:v>
      </x:c>
      <x:c r="W385" t="str">
        <x:v>LOAD</x:v>
      </x:c>
      <x:c r="X385" t="str">
        <x:v>02_Supervisor_Log(4).xlsx</x:v>
      </x:c>
      <x:c r="Y385" t="str">
        <x:v>ENH-20260830-01</x:v>
      </x:c>
      <x:c r="Z385" t="str">
        <x:v>Active</x:v>
      </x:c>
      <x:c r="AA385"/>
      <x:c r="AB385"/>
      <x:c r="AC385"/>
      <x:c r="AD385"/>
    </x:row>
    <x:row r="386">
      <x:c r="A386" t="str">
        <x:v>PCC-PE-KG01-L21-20251024-PM-ORD-2025-00020-S11-C1</x:v>
      </x:c>
      <x:c r="B386" t="str">
        <x:v>PC-PE-KG01-L21-20251024-PM-ORD-2025-00020-S11</x:v>
      </x:c>
      <x:c r="C386" t="str">
        <x:v>PE-KG01-L21-20251024-PM-ORD-2025-00020</x:v>
      </x:c>
      <x:c r="D386" t="str">
        <x:v>KG01</x:v>
      </x:c>
      <x:c r="E386" s="62" t="n">
        <x:v>45954</x:v>
      </x:c>
      <x:c r="F386" t="str">
        <x:v>PM</x:v>
      </x:c>
      <x:c r="G386" t="str">
        <x:v>B</x:v>
      </x:c>
      <x:c r="H386" t="n">
        <x:v>21</x:v>
      </x:c>
      <x:c r="I386" t="str">
        <x:v>ORD-2025-00020</x:v>
      </x:c>
      <x:c r="J386" t="n">
        <x:v>11</x:v>
      </x:c>
      <x:c r="K386" t="n">
        <x:v>1</x:v>
      </x:c>
      <x:c r="L386" t="str">
        <x:v>L21-S11-C1</x:v>
      </x:c>
      <x:c r="M386" t="n">
        <x:v>0</x:v>
      </x:c>
      <x:c r="N386" t="str">
        <x:v>DerivedFromCount</x:v>
      </x:c>
      <x:c r="O386" t="str">
        <x:v>PLC-PRD-JAR-720-L21</x:v>
      </x:c>
      <x:c r="P386" t="str">
        <x:v>OK</x:v>
      </x:c>
      <x:c r="Q386" t="str">
        <x:v>OK</x:v>
      </x:c>
      <x:c r="R386" t="str">
        <x:v>OK</x:v>
      </x:c>
      <x:c r="S386" t="str">
        <x:v>OK</x:v>
      </x:c>
      <x:c r="T386" t="n">
        <x:v>20</x:v>
      </x:c>
      <x:c r="U386" t="str">
        <x:v>OK</x:v>
      </x:c>
      <x:c r="V386" t="str">
        <x:v>OK</x:v>
      </x:c>
      <x:c r="W386" t="str">
        <x:v>LOAD</x:v>
      </x:c>
      <x:c r="X386" t="str">
        <x:v>02_Supervisor_Log(4).xlsx</x:v>
      </x:c>
      <x:c r="Y386" t="str">
        <x:v>ENH-20260830-01</x:v>
      </x:c>
      <x:c r="Z386" t="str">
        <x:v>Active</x:v>
      </x:c>
      <x:c r="AA386"/>
      <x:c r="AB386"/>
      <x:c r="AC386"/>
      <x:c r="AD386"/>
    </x:row>
    <x:row r="387">
      <x:c r="A387" t="str">
        <x:v>PCC-PE-KG01-L21-20251024-PM-ORD-2025-00020-S11-C2</x:v>
      </x:c>
      <x:c r="B387" t="str">
        <x:v>PC-PE-KG01-L21-20251024-PM-ORD-2025-00020-S11</x:v>
      </x:c>
      <x:c r="C387" t="str">
        <x:v>PE-KG01-L21-20251024-PM-ORD-2025-00020</x:v>
      </x:c>
      <x:c r="D387" t="str">
        <x:v>KG01</x:v>
      </x:c>
      <x:c r="E387" s="62" t="n">
        <x:v>45954</x:v>
      </x:c>
      <x:c r="F387" t="str">
        <x:v>PM</x:v>
      </x:c>
      <x:c r="G387" t="str">
        <x:v>B</x:v>
      </x:c>
      <x:c r="H387" t="n">
        <x:v>21</x:v>
      </x:c>
      <x:c r="I387" t="str">
        <x:v>ORD-2025-00020</x:v>
      </x:c>
      <x:c r="J387" t="n">
        <x:v>11</x:v>
      </x:c>
      <x:c r="K387" t="n">
        <x:v>2</x:v>
      </x:c>
      <x:c r="L387" t="str">
        <x:v>L21-S11-C2</x:v>
      </x:c>
      <x:c r="M387" t="n">
        <x:v>0</x:v>
      </x:c>
      <x:c r="N387" t="str">
        <x:v>DerivedFromCount</x:v>
      </x:c>
      <x:c r="O387" t="str">
        <x:v>PLC-PRD-JAR-720-L21</x:v>
      </x:c>
      <x:c r="P387" t="str">
        <x:v>OK</x:v>
      </x:c>
      <x:c r="Q387" t="str">
        <x:v>OK</x:v>
      </x:c>
      <x:c r="R387" t="str">
        <x:v>OK</x:v>
      </x:c>
      <x:c r="S387" t="str">
        <x:v>OK</x:v>
      </x:c>
      <x:c r="T387" t="n">
        <x:v>20</x:v>
      </x:c>
      <x:c r="U387" t="str">
        <x:v>OK</x:v>
      </x:c>
      <x:c r="V387" t="str">
        <x:v>OK</x:v>
      </x:c>
      <x:c r="W387" t="str">
        <x:v>LOAD</x:v>
      </x:c>
      <x:c r="X387" t="str">
        <x:v>02_Supervisor_Log(4).xlsx</x:v>
      </x:c>
      <x:c r="Y387" t="str">
        <x:v>ENH-20260830-01</x:v>
      </x:c>
      <x:c r="Z387" t="str">
        <x:v>Active</x:v>
      </x:c>
      <x:c r="AA387"/>
      <x:c r="AB387"/>
      <x:c r="AC387"/>
      <x:c r="AD387"/>
    </x:row>
    <x:row r="388">
      <x:c r="A388" t="str">
        <x:v>PCC-PE-KG01-L21-20251024-PM-ORD-2025-00020-S11-C3</x:v>
      </x:c>
      <x:c r="B388" t="str">
        <x:v>PC-PE-KG01-L21-20251024-PM-ORD-2025-00020-S11</x:v>
      </x:c>
      <x:c r="C388" t="str">
        <x:v>PE-KG01-L21-20251024-PM-ORD-2025-00020</x:v>
      </x:c>
      <x:c r="D388" t="str">
        <x:v>KG01</x:v>
      </x:c>
      <x:c r="E388" s="62" t="n">
        <x:v>45954</x:v>
      </x:c>
      <x:c r="F388" t="str">
        <x:v>PM</x:v>
      </x:c>
      <x:c r="G388" t="str">
        <x:v>B</x:v>
      </x:c>
      <x:c r="H388" t="n">
        <x:v>21</x:v>
      </x:c>
      <x:c r="I388" t="str">
        <x:v>ORD-2025-00020</x:v>
      </x:c>
      <x:c r="J388" t="n">
        <x:v>11</x:v>
      </x:c>
      <x:c r="K388" t="n">
        <x:v>3</x:v>
      </x:c>
      <x:c r="L388" t="str">
        <x:v>L21-S11-C3</x:v>
      </x:c>
      <x:c r="M388" t="n">
        <x:v>0</x:v>
      </x:c>
      <x:c r="N388" t="str">
        <x:v>DerivedFromCount</x:v>
      </x:c>
      <x:c r="O388" t="str">
        <x:v>PLC-PRD-JAR-720-L21</x:v>
      </x:c>
      <x:c r="P388" t="str">
        <x:v>OK</x:v>
      </x:c>
      <x:c r="Q388" t="str">
        <x:v>OK</x:v>
      </x:c>
      <x:c r="R388" t="str">
        <x:v>OK</x:v>
      </x:c>
      <x:c r="S388" t="str">
        <x:v>OK</x:v>
      </x:c>
      <x:c r="T388" t="n">
        <x:v>20</x:v>
      </x:c>
      <x:c r="U388" t="str">
        <x:v>OK</x:v>
      </x:c>
      <x:c r="V388" t="str">
        <x:v>OK</x:v>
      </x:c>
      <x:c r="W388" t="str">
        <x:v>LOAD</x:v>
      </x:c>
      <x:c r="X388" t="str">
        <x:v>02_Supervisor_Log(4).xlsx</x:v>
      </x:c>
      <x:c r="Y388" t="str">
        <x:v>ENH-20260830-01</x:v>
      </x:c>
      <x:c r="Z388" t="str">
        <x:v>Active</x:v>
      </x:c>
      <x:c r="AA388"/>
      <x:c r="AB388"/>
      <x:c r="AC388"/>
      <x:c r="AD388"/>
    </x:row>
    <x:row r="389">
      <x:c r="A389" t="str">
        <x:v>PCC-PE-KG01-L21-20251024-PM-ORD-2025-00020-S12-C1</x:v>
      </x:c>
      <x:c r="B389" t="str">
        <x:v>PC-PE-KG01-L21-20251024-PM-ORD-2025-00020-S12</x:v>
      </x:c>
      <x:c r="C389" t="str">
        <x:v>PE-KG01-L21-20251024-PM-ORD-2025-00020</x:v>
      </x:c>
      <x:c r="D389" t="str">
        <x:v>KG01</x:v>
      </x:c>
      <x:c r="E389" s="62" t="n">
        <x:v>45954</x:v>
      </x:c>
      <x:c r="F389" t="str">
        <x:v>PM</x:v>
      </x:c>
      <x:c r="G389" t="str">
        <x:v>B</x:v>
      </x:c>
      <x:c r="H389" t="n">
        <x:v>21</x:v>
      </x:c>
      <x:c r="I389" t="str">
        <x:v>ORD-2025-00020</x:v>
      </x:c>
      <x:c r="J389" t="n">
        <x:v>12</x:v>
      </x:c>
      <x:c r="K389" t="n">
        <x:v>1</x:v>
      </x:c>
      <x:c r="L389" t="str">
        <x:v>L21-S12-C1</x:v>
      </x:c>
      <x:c r="M389" t="n">
        <x:v>0</x:v>
      </x:c>
      <x:c r="N389" t="str">
        <x:v>DerivedFromCount</x:v>
      </x:c>
      <x:c r="O389" t="str">
        <x:v>PLC-PRD-JAR-720-L21</x:v>
      </x:c>
      <x:c r="P389" t="str">
        <x:v>OK</x:v>
      </x:c>
      <x:c r="Q389" t="str">
        <x:v>OK</x:v>
      </x:c>
      <x:c r="R389" t="str">
        <x:v>OK</x:v>
      </x:c>
      <x:c r="S389" t="str">
        <x:v>OK</x:v>
      </x:c>
      <x:c r="T389" t="n">
        <x:v>20</x:v>
      </x:c>
      <x:c r="U389" t="str">
        <x:v>OK</x:v>
      </x:c>
      <x:c r="V389" t="str">
        <x:v>OK</x:v>
      </x:c>
      <x:c r="W389" t="str">
        <x:v>LOAD</x:v>
      </x:c>
      <x:c r="X389" t="str">
        <x:v>02_Supervisor_Log(4).xlsx</x:v>
      </x:c>
      <x:c r="Y389" t="str">
        <x:v>ENH-20260830-01</x:v>
      </x:c>
      <x:c r="Z389" t="str">
        <x:v>Active</x:v>
      </x:c>
      <x:c r="AA389"/>
      <x:c r="AB389"/>
      <x:c r="AC389"/>
      <x:c r="AD389"/>
    </x:row>
    <x:row r="390">
      <x:c r="A390" t="str">
        <x:v>PCC-PE-KG01-L21-20251024-PM-ORD-2025-00020-S12-C2</x:v>
      </x:c>
      <x:c r="B390" t="str">
        <x:v>PC-PE-KG01-L21-20251024-PM-ORD-2025-00020-S12</x:v>
      </x:c>
      <x:c r="C390" t="str">
        <x:v>PE-KG01-L21-20251024-PM-ORD-2025-00020</x:v>
      </x:c>
      <x:c r="D390" t="str">
        <x:v>KG01</x:v>
      </x:c>
      <x:c r="E390" s="62" t="n">
        <x:v>45954</x:v>
      </x:c>
      <x:c r="F390" t="str">
        <x:v>PM</x:v>
      </x:c>
      <x:c r="G390" t="str">
        <x:v>B</x:v>
      </x:c>
      <x:c r="H390" t="n">
        <x:v>21</x:v>
      </x:c>
      <x:c r="I390" t="str">
        <x:v>ORD-2025-00020</x:v>
      </x:c>
      <x:c r="J390" t="n">
        <x:v>12</x:v>
      </x:c>
      <x:c r="K390" t="n">
        <x:v>2</x:v>
      </x:c>
      <x:c r="L390" t="str">
        <x:v>L21-S12-C2</x:v>
      </x:c>
      <x:c r="M390" t="n">
        <x:v>0</x:v>
      </x:c>
      <x:c r="N390" t="str">
        <x:v>DerivedFromCount</x:v>
      </x:c>
      <x:c r="O390" t="str">
        <x:v>PLC-PRD-JAR-720-L21</x:v>
      </x:c>
      <x:c r="P390" t="str">
        <x:v>OK</x:v>
      </x:c>
      <x:c r="Q390" t="str">
        <x:v>OK</x:v>
      </x:c>
      <x:c r="R390" t="str">
        <x:v>OK</x:v>
      </x:c>
      <x:c r="S390" t="str">
        <x:v>OK</x:v>
      </x:c>
      <x:c r="T390" t="n">
        <x:v>20</x:v>
      </x:c>
      <x:c r="U390" t="str">
        <x:v>OK</x:v>
      </x:c>
      <x:c r="V390" t="str">
        <x:v>OK</x:v>
      </x:c>
      <x:c r="W390" t="str">
        <x:v>LOAD</x:v>
      </x:c>
      <x:c r="X390" t="str">
        <x:v>02_Supervisor_Log(4).xlsx</x:v>
      </x:c>
      <x:c r="Y390" t="str">
        <x:v>ENH-20260830-01</x:v>
      </x:c>
      <x:c r="Z390" t="str">
        <x:v>Active</x:v>
      </x:c>
      <x:c r="AA390"/>
      <x:c r="AB390"/>
      <x:c r="AC390"/>
      <x:c r="AD390"/>
    </x:row>
    <x:row r="391">
      <x:c r="A391" t="str">
        <x:v>PCC-PE-KG01-L21-20251024-PM-ORD-2025-00020-S12-C3</x:v>
      </x:c>
      <x:c r="B391" t="str">
        <x:v>PC-PE-KG01-L21-20251024-PM-ORD-2025-00020-S12</x:v>
      </x:c>
      <x:c r="C391" t="str">
        <x:v>PE-KG01-L21-20251024-PM-ORD-2025-00020</x:v>
      </x:c>
      <x:c r="D391" t="str">
        <x:v>KG01</x:v>
      </x:c>
      <x:c r="E391" s="62" t="n">
        <x:v>45954</x:v>
      </x:c>
      <x:c r="F391" t="str">
        <x:v>PM</x:v>
      </x:c>
      <x:c r="G391" t="str">
        <x:v>B</x:v>
      </x:c>
      <x:c r="H391" t="n">
        <x:v>21</x:v>
      </x:c>
      <x:c r="I391" t="str">
        <x:v>ORD-2025-00020</x:v>
      </x:c>
      <x:c r="J391" t="n">
        <x:v>12</x:v>
      </x:c>
      <x:c r="K391" t="n">
        <x:v>3</x:v>
      </x:c>
      <x:c r="L391" t="str">
        <x:v>L21-S12-C3</x:v>
      </x:c>
      <x:c r="M391" t="n">
        <x:v>0</x:v>
      </x:c>
      <x:c r="N391" t="str">
        <x:v>DerivedFromCount</x:v>
      </x:c>
      <x:c r="O391" t="str">
        <x:v>PLC-PRD-JAR-720-L21</x:v>
      </x:c>
      <x:c r="P391" t="str">
        <x:v>OK</x:v>
      </x:c>
      <x:c r="Q391" t="str">
        <x:v>OK</x:v>
      </x:c>
      <x:c r="R391" t="str">
        <x:v>OK</x:v>
      </x:c>
      <x:c r="S391" t="str">
        <x:v>OK</x:v>
      </x:c>
      <x:c r="T391" t="n">
        <x:v>20</x:v>
      </x:c>
      <x:c r="U391" t="str">
        <x:v>OK</x:v>
      </x:c>
      <x:c r="V391" t="str">
        <x:v>OK</x:v>
      </x:c>
      <x:c r="W391" t="str">
        <x:v>LOAD</x:v>
      </x:c>
      <x:c r="X391" t="str">
        <x:v>02_Supervisor_Log(4).xlsx</x:v>
      </x:c>
      <x:c r="Y391" t="str">
        <x:v>ENH-20260830-01</x:v>
      </x:c>
      <x:c r="Z391" t="str">
        <x:v>Active</x:v>
      </x:c>
      <x:c r="AA391"/>
      <x:c r="AB391"/>
      <x:c r="AC391"/>
      <x:c r="AD391"/>
    </x:row>
    <x:row r="392">
      <x:c r="A392" t="str">
        <x:v>PCC-PE-KG01-L21-20251024-PM-ORD-2025-00020-S13-C1</x:v>
      </x:c>
      <x:c r="B392" t="str">
        <x:v>PC-PE-KG01-L21-20251024-PM-ORD-2025-00020-S13</x:v>
      </x:c>
      <x:c r="C392" t="str">
        <x:v>PE-KG01-L21-20251024-PM-ORD-2025-00020</x:v>
      </x:c>
      <x:c r="D392" t="str">
        <x:v>KG01</x:v>
      </x:c>
      <x:c r="E392" s="62" t="n">
        <x:v>45954</x:v>
      </x:c>
      <x:c r="F392" t="str">
        <x:v>PM</x:v>
      </x:c>
      <x:c r="G392" t="str">
        <x:v>B</x:v>
      </x:c>
      <x:c r="H392" t="n">
        <x:v>21</x:v>
      </x:c>
      <x:c r="I392" t="str">
        <x:v>ORD-2025-00020</x:v>
      </x:c>
      <x:c r="J392" t="n">
        <x:v>13</x:v>
      </x:c>
      <x:c r="K392" t="n">
        <x:v>1</x:v>
      </x:c>
      <x:c r="L392" t="str">
        <x:v>L21-S13-C1</x:v>
      </x:c>
      <x:c r="M392" t="n">
        <x:v>0</x:v>
      </x:c>
      <x:c r="N392" t="str">
        <x:v>DerivedFromCount</x:v>
      </x:c>
      <x:c r="O392" t="str">
        <x:v>PLC-PRD-JAR-720-L21</x:v>
      </x:c>
      <x:c r="P392" t="str">
        <x:v>OK</x:v>
      </x:c>
      <x:c r="Q392" t="str">
        <x:v>OK</x:v>
      </x:c>
      <x:c r="R392" t="str">
        <x:v>OK</x:v>
      </x:c>
      <x:c r="S392" t="str">
        <x:v>OK</x:v>
      </x:c>
      <x:c r="T392" t="n">
        <x:v>20</x:v>
      </x:c>
      <x:c r="U392" t="str">
        <x:v>OK</x:v>
      </x:c>
      <x:c r="V392" t="str">
        <x:v>OK</x:v>
      </x:c>
      <x:c r="W392" t="str">
        <x:v>LOAD</x:v>
      </x:c>
      <x:c r="X392" t="str">
        <x:v>02_Supervisor_Log(4).xlsx</x:v>
      </x:c>
      <x:c r="Y392" t="str">
        <x:v>ENH-20260830-01</x:v>
      </x:c>
      <x:c r="Z392" t="str">
        <x:v>Active</x:v>
      </x:c>
      <x:c r="AA392"/>
      <x:c r="AB392"/>
      <x:c r="AC392"/>
      <x:c r="AD392"/>
    </x:row>
    <x:row r="393">
      <x:c r="A393" t="str">
        <x:v>PCC-PE-KG01-L21-20251024-PM-ORD-2025-00020-S13-C2</x:v>
      </x:c>
      <x:c r="B393" t="str">
        <x:v>PC-PE-KG01-L21-20251024-PM-ORD-2025-00020-S13</x:v>
      </x:c>
      <x:c r="C393" t="str">
        <x:v>PE-KG01-L21-20251024-PM-ORD-2025-00020</x:v>
      </x:c>
      <x:c r="D393" t="str">
        <x:v>KG01</x:v>
      </x:c>
      <x:c r="E393" s="62" t="n">
        <x:v>45954</x:v>
      </x:c>
      <x:c r="F393" t="str">
        <x:v>PM</x:v>
      </x:c>
      <x:c r="G393" t="str">
        <x:v>B</x:v>
      </x:c>
      <x:c r="H393" t="n">
        <x:v>21</x:v>
      </x:c>
      <x:c r="I393" t="str">
        <x:v>ORD-2025-00020</x:v>
      </x:c>
      <x:c r="J393" t="n">
        <x:v>13</x:v>
      </x:c>
      <x:c r="K393" t="n">
        <x:v>2</x:v>
      </x:c>
      <x:c r="L393" t="str">
        <x:v>L21-S13-C2</x:v>
      </x:c>
      <x:c r="M393" t="n">
        <x:v>0</x:v>
      </x:c>
      <x:c r="N393" t="str">
        <x:v>DerivedFromCount</x:v>
      </x:c>
      <x:c r="O393" t="str">
        <x:v>PLC-PRD-JAR-720-L21</x:v>
      </x:c>
      <x:c r="P393" t="str">
        <x:v>OK</x:v>
      </x:c>
      <x:c r="Q393" t="str">
        <x:v>OK</x:v>
      </x:c>
      <x:c r="R393" t="str">
        <x:v>OK</x:v>
      </x:c>
      <x:c r="S393" t="str">
        <x:v>OK</x:v>
      </x:c>
      <x:c r="T393" t="n">
        <x:v>20</x:v>
      </x:c>
      <x:c r="U393" t="str">
        <x:v>OK</x:v>
      </x:c>
      <x:c r="V393" t="str">
        <x:v>OK</x:v>
      </x:c>
      <x:c r="W393" t="str">
        <x:v>LOAD</x:v>
      </x:c>
      <x:c r="X393" t="str">
        <x:v>02_Supervisor_Log(4).xlsx</x:v>
      </x:c>
      <x:c r="Y393" t="str">
        <x:v>ENH-20260830-01</x:v>
      </x:c>
      <x:c r="Z393" t="str">
        <x:v>Active</x:v>
      </x:c>
      <x:c r="AA393"/>
      <x:c r="AB393"/>
      <x:c r="AC393"/>
      <x:c r="AD393"/>
    </x:row>
    <x:row r="394">
      <x:c r="A394" t="str">
        <x:v>PCC-PE-KG01-L21-20251024-PM-ORD-2025-00020-S13-C3</x:v>
      </x:c>
      <x:c r="B394" t="str">
        <x:v>PC-PE-KG01-L21-20251024-PM-ORD-2025-00020-S13</x:v>
      </x:c>
      <x:c r="C394" t="str">
        <x:v>PE-KG01-L21-20251024-PM-ORD-2025-00020</x:v>
      </x:c>
      <x:c r="D394" t="str">
        <x:v>KG01</x:v>
      </x:c>
      <x:c r="E394" s="62" t="n">
        <x:v>45954</x:v>
      </x:c>
      <x:c r="F394" t="str">
        <x:v>PM</x:v>
      </x:c>
      <x:c r="G394" t="str">
        <x:v>B</x:v>
      </x:c>
      <x:c r="H394" t="n">
        <x:v>21</x:v>
      </x:c>
      <x:c r="I394" t="str">
        <x:v>ORD-2025-00020</x:v>
      </x:c>
      <x:c r="J394" t="n">
        <x:v>13</x:v>
      </x:c>
      <x:c r="K394" t="n">
        <x:v>3</x:v>
      </x:c>
      <x:c r="L394" t="str">
        <x:v>L21-S13-C3</x:v>
      </x:c>
      <x:c r="M394" t="n">
        <x:v>0</x:v>
      </x:c>
      <x:c r="N394" t="str">
        <x:v>DerivedFromCount</x:v>
      </x:c>
      <x:c r="O394" t="str">
        <x:v>PLC-PRD-JAR-720-L21</x:v>
      </x:c>
      <x:c r="P394" t="str">
        <x:v>OK</x:v>
      </x:c>
      <x:c r="Q394" t="str">
        <x:v>OK</x:v>
      </x:c>
      <x:c r="R394" t="str">
        <x:v>OK</x:v>
      </x:c>
      <x:c r="S394" t="str">
        <x:v>OK</x:v>
      </x:c>
      <x:c r="T394" t="n">
        <x:v>20</x:v>
      </x:c>
      <x:c r="U394" t="str">
        <x:v>OK</x:v>
      </x:c>
      <x:c r="V394" t="str">
        <x:v>OK</x:v>
      </x:c>
      <x:c r="W394" t="str">
        <x:v>LOAD</x:v>
      </x:c>
      <x:c r="X394" t="str">
        <x:v>02_Supervisor_Log(4).xlsx</x:v>
      </x:c>
      <x:c r="Y394" t="str">
        <x:v>ENH-20260830-01</x:v>
      </x:c>
      <x:c r="Z394" t="str">
        <x:v>Active</x:v>
      </x:c>
      <x:c r="AA394"/>
      <x:c r="AB394"/>
      <x:c r="AC394"/>
      <x:c r="AD394"/>
    </x:row>
    <x:row r="395">
      <x:c r="A395" t="str">
        <x:v>PCC-PE-KG01-L21-20251025-AM-ORD-2025-00021-S01-C1</x:v>
      </x:c>
      <x:c r="B395" t="str">
        <x:v>PC-PE-KG01-L21-20251025-AM-ORD-2025-00021-S01</x:v>
      </x:c>
      <x:c r="C395" t="str">
        <x:v>PE-KG01-L21-20251025-AM-ORD-2025-00021</x:v>
      </x:c>
      <x:c r="D395" t="str">
        <x:v>KG01</x:v>
      </x:c>
      <x:c r="E395" s="62" t="n">
        <x:v>45955</x:v>
      </x:c>
      <x:c r="F395" t="str">
        <x:v>AM</x:v>
      </x:c>
      <x:c r="G395" t="str">
        <x:v>B</x:v>
      </x:c>
      <x:c r="H395" t="n">
        <x:v>21</x:v>
      </x:c>
      <x:c r="I395" t="str">
        <x:v>ORD-2025-00021</x:v>
      </x:c>
      <x:c r="J395" t="n">
        <x:v>1</x:v>
      </x:c>
      <x:c r="K395" t="n">
        <x:v>1</x:v>
      </x:c>
      <x:c r="L395" t="str">
        <x:v>L21-S01-C1</x:v>
      </x:c>
      <x:c r="M395" t="n">
        <x:v>1</x:v>
      </x:c>
      <x:c r="N395" t="str">
        <x:v>DerivedFromCount</x:v>
      </x:c>
      <x:c r="O395" t="str">
        <x:v>PLC-PRD-JAR-330-L21</x:v>
      </x:c>
      <x:c r="P395" t="str">
        <x:v>OK</x:v>
      </x:c>
      <x:c r="Q395" t="str">
        <x:v>OK</x:v>
      </x:c>
      <x:c r="R395" t="str">
        <x:v>OK</x:v>
      </x:c>
      <x:c r="S395" t="str">
        <x:v>OK</x:v>
      </x:c>
      <x:c r="T395" t="n">
        <x:v>30</x:v>
      </x:c>
      <x:c r="U395" t="str">
        <x:v>OK</x:v>
      </x:c>
      <x:c r="V395" t="str">
        <x:v>OK</x:v>
      </x:c>
      <x:c r="W395" t="str">
        <x:v>LOAD</x:v>
      </x:c>
      <x:c r="X395" t="str">
        <x:v>02_Supervisor_Log(4).xlsx</x:v>
      </x:c>
      <x:c r="Y395" t="str">
        <x:v>ENH-20260830-01</x:v>
      </x:c>
      <x:c r="Z395" t="str">
        <x:v>Active</x:v>
      </x:c>
      <x:c r="AA395"/>
      <x:c r="AB395"/>
      <x:c r="AC395"/>
      <x:c r="AD395"/>
    </x:row>
    <x:row r="396">
      <x:c r="A396" t="str">
        <x:v>PCC-PE-KG01-L21-20251025-AM-ORD-2025-00021-S01-C2</x:v>
      </x:c>
      <x:c r="B396" t="str">
        <x:v>PC-PE-KG01-L21-20251025-AM-ORD-2025-00021-S01</x:v>
      </x:c>
      <x:c r="C396" t="str">
        <x:v>PE-KG01-L21-20251025-AM-ORD-2025-00021</x:v>
      </x:c>
      <x:c r="D396" t="str">
        <x:v>KG01</x:v>
      </x:c>
      <x:c r="E396" s="62" t="n">
        <x:v>45955</x:v>
      </x:c>
      <x:c r="F396" t="str">
        <x:v>AM</x:v>
      </x:c>
      <x:c r="G396" t="str">
        <x:v>B</x:v>
      </x:c>
      <x:c r="H396" t="n">
        <x:v>21</x:v>
      </x:c>
      <x:c r="I396" t="str">
        <x:v>ORD-2025-00021</x:v>
      </x:c>
      <x:c r="J396" t="n">
        <x:v>1</x:v>
      </x:c>
      <x:c r="K396" t="n">
        <x:v>2</x:v>
      </x:c>
      <x:c r="L396" t="str">
        <x:v>L21-S01-C2</x:v>
      </x:c>
      <x:c r="M396" t="n">
        <x:v>1</x:v>
      </x:c>
      <x:c r="N396" t="str">
        <x:v>DerivedFromCount</x:v>
      </x:c>
      <x:c r="O396" t="str">
        <x:v>PLC-PRD-JAR-330-L21</x:v>
      </x:c>
      <x:c r="P396" t="str">
        <x:v>OK</x:v>
      </x:c>
      <x:c r="Q396" t="str">
        <x:v>OK</x:v>
      </x:c>
      <x:c r="R396" t="str">
        <x:v>OK</x:v>
      </x:c>
      <x:c r="S396" t="str">
        <x:v>OK</x:v>
      </x:c>
      <x:c r="T396" t="n">
        <x:v>30</x:v>
      </x:c>
      <x:c r="U396" t="str">
        <x:v>OK</x:v>
      </x:c>
      <x:c r="V396" t="str">
        <x:v>OK</x:v>
      </x:c>
      <x:c r="W396" t="str">
        <x:v>LOAD</x:v>
      </x:c>
      <x:c r="X396" t="str">
        <x:v>02_Supervisor_Log(4).xlsx</x:v>
      </x:c>
      <x:c r="Y396" t="str">
        <x:v>ENH-20260830-01</x:v>
      </x:c>
      <x:c r="Z396" t="str">
        <x:v>Active</x:v>
      </x:c>
      <x:c r="AA396"/>
      <x:c r="AB396"/>
      <x:c r="AC396"/>
      <x:c r="AD396"/>
    </x:row>
    <x:row r="397">
      <x:c r="A397" t="str">
        <x:v>PCC-PE-KG01-L21-20251025-AM-ORD-2025-00021-S01-C3</x:v>
      </x:c>
      <x:c r="B397" t="str">
        <x:v>PC-PE-KG01-L21-20251025-AM-ORD-2025-00021-S01</x:v>
      </x:c>
      <x:c r="C397" t="str">
        <x:v>PE-KG01-L21-20251025-AM-ORD-2025-00021</x:v>
      </x:c>
      <x:c r="D397" t="str">
        <x:v>KG01</x:v>
      </x:c>
      <x:c r="E397" s="62" t="n">
        <x:v>45955</x:v>
      </x:c>
      <x:c r="F397" t="str">
        <x:v>AM</x:v>
      </x:c>
      <x:c r="G397" t="str">
        <x:v>B</x:v>
      </x:c>
      <x:c r="H397" t="n">
        <x:v>21</x:v>
      </x:c>
      <x:c r="I397" t="str">
        <x:v>ORD-2025-00021</x:v>
      </x:c>
      <x:c r="J397" t="n">
        <x:v>1</x:v>
      </x:c>
      <x:c r="K397" t="n">
        <x:v>3</x:v>
      </x:c>
      <x:c r="L397" t="str">
        <x:v>L21-S01-C3</x:v>
      </x:c>
      <x:c r="M397" t="n">
        <x:v>1</x:v>
      </x:c>
      <x:c r="N397" t="str">
        <x:v>DerivedFromCount</x:v>
      </x:c>
      <x:c r="O397" t="str">
        <x:v>PLC-PRD-JAR-330-L21</x:v>
      </x:c>
      <x:c r="P397" t="str">
        <x:v>OK</x:v>
      </x:c>
      <x:c r="Q397" t="str">
        <x:v>OK</x:v>
      </x:c>
      <x:c r="R397" t="str">
        <x:v>OK</x:v>
      </x:c>
      <x:c r="S397" t="str">
        <x:v>OK</x:v>
      </x:c>
      <x:c r="T397" t="n">
        <x:v>30</x:v>
      </x:c>
      <x:c r="U397" t="str">
        <x:v>OK</x:v>
      </x:c>
      <x:c r="V397" t="str">
        <x:v>OK</x:v>
      </x:c>
      <x:c r="W397" t="str">
        <x:v>LOAD</x:v>
      </x:c>
      <x:c r="X397" t="str">
        <x:v>02_Supervisor_Log(4).xlsx</x:v>
      </x:c>
      <x:c r="Y397" t="str">
        <x:v>ENH-20260830-01</x:v>
      </x:c>
      <x:c r="Z397" t="str">
        <x:v>Active</x:v>
      </x:c>
      <x:c r="AA397"/>
      <x:c r="AB397"/>
      <x:c r="AC397"/>
      <x:c r="AD397"/>
    </x:row>
    <x:row r="398">
      <x:c r="A398" t="str">
        <x:v>PCC-PE-KG01-L21-20251025-AM-ORD-2025-00021-S02-C1</x:v>
      </x:c>
      <x:c r="B398" t="str">
        <x:v>PC-PE-KG01-L21-20251025-AM-ORD-2025-00021-S02</x:v>
      </x:c>
      <x:c r="C398" t="str">
        <x:v>PE-KG01-L21-20251025-AM-ORD-2025-00021</x:v>
      </x:c>
      <x:c r="D398" t="str">
        <x:v>KG01</x:v>
      </x:c>
      <x:c r="E398" s="62" t="n">
        <x:v>45955</x:v>
      </x:c>
      <x:c r="F398" t="str">
        <x:v>AM</x:v>
      </x:c>
      <x:c r="G398" t="str">
        <x:v>B</x:v>
      </x:c>
      <x:c r="H398" t="n">
        <x:v>21</x:v>
      </x:c>
      <x:c r="I398" t="str">
        <x:v>ORD-2025-00021</x:v>
      </x:c>
      <x:c r="J398" t="n">
        <x:v>2</x:v>
      </x:c>
      <x:c r="K398" t="n">
        <x:v>1</x:v>
      </x:c>
      <x:c r="L398" t="str">
        <x:v>L21-S02-C1</x:v>
      </x:c>
      <x:c r="M398" t="n">
        <x:v>1</x:v>
      </x:c>
      <x:c r="N398" t="str">
        <x:v>DerivedFromCount</x:v>
      </x:c>
      <x:c r="O398" t="str">
        <x:v>PLC-PRD-JAR-330-L21</x:v>
      </x:c>
      <x:c r="P398" t="str">
        <x:v>OK</x:v>
      </x:c>
      <x:c r="Q398" t="str">
        <x:v>OK</x:v>
      </x:c>
      <x:c r="R398" t="str">
        <x:v>OK</x:v>
      </x:c>
      <x:c r="S398" t="str">
        <x:v>OK</x:v>
      </x:c>
      <x:c r="T398" t="n">
        <x:v>30</x:v>
      </x:c>
      <x:c r="U398" t="str">
        <x:v>OK</x:v>
      </x:c>
      <x:c r="V398" t="str">
        <x:v>OK</x:v>
      </x:c>
      <x:c r="W398" t="str">
        <x:v>LOAD</x:v>
      </x:c>
      <x:c r="X398" t="str">
        <x:v>02_Supervisor_Log(4).xlsx</x:v>
      </x:c>
      <x:c r="Y398" t="str">
        <x:v>ENH-20260830-01</x:v>
      </x:c>
      <x:c r="Z398" t="str">
        <x:v>Active</x:v>
      </x:c>
      <x:c r="AA398"/>
      <x:c r="AB398"/>
      <x:c r="AC398"/>
      <x:c r="AD398"/>
    </x:row>
    <x:row r="399">
      <x:c r="A399" t="str">
        <x:v>PCC-PE-KG01-L21-20251025-AM-ORD-2025-00021-S02-C2</x:v>
      </x:c>
      <x:c r="B399" t="str">
        <x:v>PC-PE-KG01-L21-20251025-AM-ORD-2025-00021-S02</x:v>
      </x:c>
      <x:c r="C399" t="str">
        <x:v>PE-KG01-L21-20251025-AM-ORD-2025-00021</x:v>
      </x:c>
      <x:c r="D399" t="str">
        <x:v>KG01</x:v>
      </x:c>
      <x:c r="E399" s="62" t="n">
        <x:v>45955</x:v>
      </x:c>
      <x:c r="F399" t="str">
        <x:v>AM</x:v>
      </x:c>
      <x:c r="G399" t="str">
        <x:v>B</x:v>
      </x:c>
      <x:c r="H399" t="n">
        <x:v>21</x:v>
      </x:c>
      <x:c r="I399" t="str">
        <x:v>ORD-2025-00021</x:v>
      </x:c>
      <x:c r="J399" t="n">
        <x:v>2</x:v>
      </x:c>
      <x:c r="K399" t="n">
        <x:v>2</x:v>
      </x:c>
      <x:c r="L399" t="str">
        <x:v>L21-S02-C2</x:v>
      </x:c>
      <x:c r="M399" t="n">
        <x:v>1</x:v>
      </x:c>
      <x:c r="N399" t="str">
        <x:v>DerivedFromCount</x:v>
      </x:c>
      <x:c r="O399" t="str">
        <x:v>PLC-PRD-JAR-330-L21</x:v>
      </x:c>
      <x:c r="P399" t="str">
        <x:v>OK</x:v>
      </x:c>
      <x:c r="Q399" t="str">
        <x:v>OK</x:v>
      </x:c>
      <x:c r="R399" t="str">
        <x:v>OK</x:v>
      </x:c>
      <x:c r="S399" t="str">
        <x:v>OK</x:v>
      </x:c>
      <x:c r="T399" t="n">
        <x:v>30</x:v>
      </x:c>
      <x:c r="U399" t="str">
        <x:v>OK</x:v>
      </x:c>
      <x:c r="V399" t="str">
        <x:v>OK</x:v>
      </x:c>
      <x:c r="W399" t="str">
        <x:v>LOAD</x:v>
      </x:c>
      <x:c r="X399" t="str">
        <x:v>02_Supervisor_Log(4).xlsx</x:v>
      </x:c>
      <x:c r="Y399" t="str">
        <x:v>ENH-20260830-01</x:v>
      </x:c>
      <x:c r="Z399" t="str">
        <x:v>Active</x:v>
      </x:c>
      <x:c r="AA399"/>
      <x:c r="AB399"/>
      <x:c r="AC399"/>
      <x:c r="AD399"/>
    </x:row>
    <x:row r="400">
      <x:c r="A400" t="str">
        <x:v>PCC-PE-KG01-L21-20251025-AM-ORD-2025-00021-S02-C3</x:v>
      </x:c>
      <x:c r="B400" t="str">
        <x:v>PC-PE-KG01-L21-20251025-AM-ORD-2025-00021-S02</x:v>
      </x:c>
      <x:c r="C400" t="str">
        <x:v>PE-KG01-L21-20251025-AM-ORD-2025-00021</x:v>
      </x:c>
      <x:c r="D400" t="str">
        <x:v>KG01</x:v>
      </x:c>
      <x:c r="E400" s="62" t="n">
        <x:v>45955</x:v>
      </x:c>
      <x:c r="F400" t="str">
        <x:v>AM</x:v>
      </x:c>
      <x:c r="G400" t="str">
        <x:v>B</x:v>
      </x:c>
      <x:c r="H400" t="n">
        <x:v>21</x:v>
      </x:c>
      <x:c r="I400" t="str">
        <x:v>ORD-2025-00021</x:v>
      </x:c>
      <x:c r="J400" t="n">
        <x:v>2</x:v>
      </x:c>
      <x:c r="K400" t="n">
        <x:v>3</x:v>
      </x:c>
      <x:c r="L400" t="str">
        <x:v>L21-S02-C3</x:v>
      </x:c>
      <x:c r="M400" t="n">
        <x:v>1</x:v>
      </x:c>
      <x:c r="N400" t="str">
        <x:v>DerivedFromCount</x:v>
      </x:c>
      <x:c r="O400" t="str">
        <x:v>PLC-PRD-JAR-330-L21</x:v>
      </x:c>
      <x:c r="P400" t="str">
        <x:v>OK</x:v>
      </x:c>
      <x:c r="Q400" t="str">
        <x:v>OK</x:v>
      </x:c>
      <x:c r="R400" t="str">
        <x:v>OK</x:v>
      </x:c>
      <x:c r="S400" t="str">
        <x:v>OK</x:v>
      </x:c>
      <x:c r="T400" t="n">
        <x:v>30</x:v>
      </x:c>
      <x:c r="U400" t="str">
        <x:v>OK</x:v>
      </x:c>
      <x:c r="V400" t="str">
        <x:v>OK</x:v>
      </x:c>
      <x:c r="W400" t="str">
        <x:v>LOAD</x:v>
      </x:c>
      <x:c r="X400" t="str">
        <x:v>02_Supervisor_Log(4).xlsx</x:v>
      </x:c>
      <x:c r="Y400" t="str">
        <x:v>ENH-20260830-01</x:v>
      </x:c>
      <x:c r="Z400" t="str">
        <x:v>Active</x:v>
      </x:c>
      <x:c r="AA400"/>
      <x:c r="AB400"/>
      <x:c r="AC400"/>
      <x:c r="AD400"/>
    </x:row>
    <x:row r="401">
      <x:c r="A401" t="str">
        <x:v>PCC-PE-KG01-L21-20251025-AM-ORD-2025-00021-S03-C1</x:v>
      </x:c>
      <x:c r="B401" t="str">
        <x:v>PC-PE-KG01-L21-20251025-AM-ORD-2025-00021-S03</x:v>
      </x:c>
      <x:c r="C401" t="str">
        <x:v>PE-KG01-L21-20251025-AM-ORD-2025-00021</x:v>
      </x:c>
      <x:c r="D401" t="str">
        <x:v>KG01</x:v>
      </x:c>
      <x:c r="E401" s="62" t="n">
        <x:v>45955</x:v>
      </x:c>
      <x:c r="F401" t="str">
        <x:v>AM</x:v>
      </x:c>
      <x:c r="G401" t="str">
        <x:v>B</x:v>
      </x:c>
      <x:c r="H401" t="n">
        <x:v>21</x:v>
      </x:c>
      <x:c r="I401" t="str">
        <x:v>ORD-2025-00021</x:v>
      </x:c>
      <x:c r="J401" t="n">
        <x:v>3</x:v>
      </x:c>
      <x:c r="K401" t="n">
        <x:v>1</x:v>
      </x:c>
      <x:c r="L401" t="str">
        <x:v>L21-S03-C1</x:v>
      </x:c>
      <x:c r="M401" t="n">
        <x:v>1</x:v>
      </x:c>
      <x:c r="N401" t="str">
        <x:v>DerivedFromCount</x:v>
      </x:c>
      <x:c r="O401" t="str">
        <x:v>PLC-PRD-JAR-330-L21</x:v>
      </x:c>
      <x:c r="P401" t="str">
        <x:v>OK</x:v>
      </x:c>
      <x:c r="Q401" t="str">
        <x:v>OK</x:v>
      </x:c>
      <x:c r="R401" t="str">
        <x:v>OK</x:v>
      </x:c>
      <x:c r="S401" t="str">
        <x:v>OK</x:v>
      </x:c>
      <x:c r="T401" t="n">
        <x:v>30</x:v>
      </x:c>
      <x:c r="U401" t="str">
        <x:v>OK</x:v>
      </x:c>
      <x:c r="V401" t="str">
        <x:v>OK</x:v>
      </x:c>
      <x:c r="W401" t="str">
        <x:v>LOAD</x:v>
      </x:c>
      <x:c r="X401" t="str">
        <x:v>02_Supervisor_Log(4).xlsx</x:v>
      </x:c>
      <x:c r="Y401" t="str">
        <x:v>ENH-20260830-01</x:v>
      </x:c>
      <x:c r="Z401" t="str">
        <x:v>Active</x:v>
      </x:c>
      <x:c r="AA401"/>
      <x:c r="AB401"/>
      <x:c r="AC401"/>
      <x:c r="AD401"/>
    </x:row>
    <x:row r="402">
      <x:c r="A402" t="str">
        <x:v>PCC-PE-KG01-L21-20251025-AM-ORD-2025-00021-S03-C2</x:v>
      </x:c>
      <x:c r="B402" t="str">
        <x:v>PC-PE-KG01-L21-20251025-AM-ORD-2025-00021-S03</x:v>
      </x:c>
      <x:c r="C402" t="str">
        <x:v>PE-KG01-L21-20251025-AM-ORD-2025-00021</x:v>
      </x:c>
      <x:c r="D402" t="str">
        <x:v>KG01</x:v>
      </x:c>
      <x:c r="E402" s="62" t="n">
        <x:v>45955</x:v>
      </x:c>
      <x:c r="F402" t="str">
        <x:v>AM</x:v>
      </x:c>
      <x:c r="G402" t="str">
        <x:v>B</x:v>
      </x:c>
      <x:c r="H402" t="n">
        <x:v>21</x:v>
      </x:c>
      <x:c r="I402" t="str">
        <x:v>ORD-2025-00021</x:v>
      </x:c>
      <x:c r="J402" t="n">
        <x:v>3</x:v>
      </x:c>
      <x:c r="K402" t="n">
        <x:v>2</x:v>
      </x:c>
      <x:c r="L402" t="str">
        <x:v>L21-S03-C2</x:v>
      </x:c>
      <x:c r="M402" t="n">
        <x:v>1</x:v>
      </x:c>
      <x:c r="N402" t="str">
        <x:v>DerivedFromCount</x:v>
      </x:c>
      <x:c r="O402" t="str">
        <x:v>PLC-PRD-JAR-330-L21</x:v>
      </x:c>
      <x:c r="P402" t="str">
        <x:v>OK</x:v>
      </x:c>
      <x:c r="Q402" t="str">
        <x:v>OK</x:v>
      </x:c>
      <x:c r="R402" t="str">
        <x:v>OK</x:v>
      </x:c>
      <x:c r="S402" t="str">
        <x:v>OK</x:v>
      </x:c>
      <x:c r="T402" t="n">
        <x:v>30</x:v>
      </x:c>
      <x:c r="U402" t="str">
        <x:v>OK</x:v>
      </x:c>
      <x:c r="V402" t="str">
        <x:v>OK</x:v>
      </x:c>
      <x:c r="W402" t="str">
        <x:v>LOAD</x:v>
      </x:c>
      <x:c r="X402" t="str">
        <x:v>02_Supervisor_Log(4).xlsx</x:v>
      </x:c>
      <x:c r="Y402" t="str">
        <x:v>ENH-20260830-01</x:v>
      </x:c>
      <x:c r="Z402" t="str">
        <x:v>Active</x:v>
      </x:c>
      <x:c r="AA402"/>
      <x:c r="AB402"/>
      <x:c r="AC402"/>
      <x:c r="AD402"/>
    </x:row>
    <x:row r="403">
      <x:c r="A403" t="str">
        <x:v>PCC-PE-KG01-L21-20251025-AM-ORD-2025-00021-S03-C3</x:v>
      </x:c>
      <x:c r="B403" t="str">
        <x:v>PC-PE-KG01-L21-20251025-AM-ORD-2025-00021-S03</x:v>
      </x:c>
      <x:c r="C403" t="str">
        <x:v>PE-KG01-L21-20251025-AM-ORD-2025-00021</x:v>
      </x:c>
      <x:c r="D403" t="str">
        <x:v>KG01</x:v>
      </x:c>
      <x:c r="E403" s="62" t="n">
        <x:v>45955</x:v>
      </x:c>
      <x:c r="F403" t="str">
        <x:v>AM</x:v>
      </x:c>
      <x:c r="G403" t="str">
        <x:v>B</x:v>
      </x:c>
      <x:c r="H403" t="n">
        <x:v>21</x:v>
      </x:c>
      <x:c r="I403" t="str">
        <x:v>ORD-2025-00021</x:v>
      </x:c>
      <x:c r="J403" t="n">
        <x:v>3</x:v>
      </x:c>
      <x:c r="K403" t="n">
        <x:v>3</x:v>
      </x:c>
      <x:c r="L403" t="str">
        <x:v>L21-S03-C3</x:v>
      </x:c>
      <x:c r="M403" t="n">
        <x:v>1</x:v>
      </x:c>
      <x:c r="N403" t="str">
        <x:v>DerivedFromCount</x:v>
      </x:c>
      <x:c r="O403" t="str">
        <x:v>PLC-PRD-JAR-330-L21</x:v>
      </x:c>
      <x:c r="P403" t="str">
        <x:v>OK</x:v>
      </x:c>
      <x:c r="Q403" t="str">
        <x:v>OK</x:v>
      </x:c>
      <x:c r="R403" t="str">
        <x:v>OK</x:v>
      </x:c>
      <x:c r="S403" t="str">
        <x:v>OK</x:v>
      </x:c>
      <x:c r="T403" t="n">
        <x:v>30</x:v>
      </x:c>
      <x:c r="U403" t="str">
        <x:v>OK</x:v>
      </x:c>
      <x:c r="V403" t="str">
        <x:v>OK</x:v>
      </x:c>
      <x:c r="W403" t="str">
        <x:v>LOAD</x:v>
      </x:c>
      <x:c r="X403" t="str">
        <x:v>02_Supervisor_Log(4).xlsx</x:v>
      </x:c>
      <x:c r="Y403" t="str">
        <x:v>ENH-20260830-01</x:v>
      </x:c>
      <x:c r="Z403" t="str">
        <x:v>Active</x:v>
      </x:c>
      <x:c r="AA403"/>
      <x:c r="AB403"/>
      <x:c r="AC403"/>
      <x:c r="AD403"/>
    </x:row>
    <x:row r="404">
      <x:c r="A404" t="str">
        <x:v>PCC-PE-KG01-L21-20251025-AM-ORD-2025-00021-S04-C1</x:v>
      </x:c>
      <x:c r="B404" t="str">
        <x:v>PC-PE-KG01-L21-20251025-AM-ORD-2025-00021-S04</x:v>
      </x:c>
      <x:c r="C404" t="str">
        <x:v>PE-KG01-L21-20251025-AM-ORD-2025-00021</x:v>
      </x:c>
      <x:c r="D404" t="str">
        <x:v>KG01</x:v>
      </x:c>
      <x:c r="E404" s="62" t="n">
        <x:v>45955</x:v>
      </x:c>
      <x:c r="F404" t="str">
        <x:v>AM</x:v>
      </x:c>
      <x:c r="G404" t="str">
        <x:v>B</x:v>
      </x:c>
      <x:c r="H404" t="n">
        <x:v>21</x:v>
      </x:c>
      <x:c r="I404" t="str">
        <x:v>ORD-2025-00021</x:v>
      </x:c>
      <x:c r="J404" t="n">
        <x:v>4</x:v>
      </x:c>
      <x:c r="K404" t="n">
        <x:v>1</x:v>
      </x:c>
      <x:c r="L404" t="str">
        <x:v>L21-S04-C1</x:v>
      </x:c>
      <x:c r="M404" t="n">
        <x:v>1</x:v>
      </x:c>
      <x:c r="N404" t="str">
        <x:v>DerivedFromCount</x:v>
      </x:c>
      <x:c r="O404" t="str">
        <x:v>PLC-PRD-JAR-330-L21</x:v>
      </x:c>
      <x:c r="P404" t="str">
        <x:v>OK</x:v>
      </x:c>
      <x:c r="Q404" t="str">
        <x:v>OK</x:v>
      </x:c>
      <x:c r="R404" t="str">
        <x:v>OK</x:v>
      </x:c>
      <x:c r="S404" t="str">
        <x:v>OK</x:v>
      </x:c>
      <x:c r="T404" t="n">
        <x:v>30</x:v>
      </x:c>
      <x:c r="U404" t="str">
        <x:v>OK</x:v>
      </x:c>
      <x:c r="V404" t="str">
        <x:v>OK</x:v>
      </x:c>
      <x:c r="W404" t="str">
        <x:v>LOAD</x:v>
      </x:c>
      <x:c r="X404" t="str">
        <x:v>02_Supervisor_Log(4).xlsx</x:v>
      </x:c>
      <x:c r="Y404" t="str">
        <x:v>ENH-20260830-01</x:v>
      </x:c>
      <x:c r="Z404" t="str">
        <x:v>Active</x:v>
      </x:c>
      <x:c r="AA404"/>
      <x:c r="AB404"/>
      <x:c r="AC404"/>
      <x:c r="AD404"/>
    </x:row>
    <x:row r="405">
      <x:c r="A405" t="str">
        <x:v>PCC-PE-KG01-L21-20251025-AM-ORD-2025-00021-S04-C2</x:v>
      </x:c>
      <x:c r="B405" t="str">
        <x:v>PC-PE-KG01-L21-20251025-AM-ORD-2025-00021-S04</x:v>
      </x:c>
      <x:c r="C405" t="str">
        <x:v>PE-KG01-L21-20251025-AM-ORD-2025-00021</x:v>
      </x:c>
      <x:c r="D405" t="str">
        <x:v>KG01</x:v>
      </x:c>
      <x:c r="E405" s="62" t="n">
        <x:v>45955</x:v>
      </x:c>
      <x:c r="F405" t="str">
        <x:v>AM</x:v>
      </x:c>
      <x:c r="G405" t="str">
        <x:v>B</x:v>
      </x:c>
      <x:c r="H405" t="n">
        <x:v>21</x:v>
      </x:c>
      <x:c r="I405" t="str">
        <x:v>ORD-2025-00021</x:v>
      </x:c>
      <x:c r="J405" t="n">
        <x:v>4</x:v>
      </x:c>
      <x:c r="K405" t="n">
        <x:v>2</x:v>
      </x:c>
      <x:c r="L405" t="str">
        <x:v>L21-S04-C2</x:v>
      </x:c>
      <x:c r="M405" t="n">
        <x:v>1</x:v>
      </x:c>
      <x:c r="N405" t="str">
        <x:v>DerivedFromCount</x:v>
      </x:c>
      <x:c r="O405" t="str">
        <x:v>PLC-PRD-JAR-330-L21</x:v>
      </x:c>
      <x:c r="P405" t="str">
        <x:v>OK</x:v>
      </x:c>
      <x:c r="Q405" t="str">
        <x:v>OK</x:v>
      </x:c>
      <x:c r="R405" t="str">
        <x:v>OK</x:v>
      </x:c>
      <x:c r="S405" t="str">
        <x:v>OK</x:v>
      </x:c>
      <x:c r="T405" t="n">
        <x:v>30</x:v>
      </x:c>
      <x:c r="U405" t="str">
        <x:v>OK</x:v>
      </x:c>
      <x:c r="V405" t="str">
        <x:v>OK</x:v>
      </x:c>
      <x:c r="W405" t="str">
        <x:v>LOAD</x:v>
      </x:c>
      <x:c r="X405" t="str">
        <x:v>02_Supervisor_Log(4).xlsx</x:v>
      </x:c>
      <x:c r="Y405" t="str">
        <x:v>ENH-20260830-01</x:v>
      </x:c>
      <x:c r="Z405" t="str">
        <x:v>Active</x:v>
      </x:c>
      <x:c r="AA405"/>
      <x:c r="AB405"/>
      <x:c r="AC405"/>
      <x:c r="AD405"/>
    </x:row>
    <x:row r="406">
      <x:c r="A406" t="str">
        <x:v>PCC-PE-KG01-L21-20251025-AM-ORD-2025-00021-S04-C3</x:v>
      </x:c>
      <x:c r="B406" t="str">
        <x:v>PC-PE-KG01-L21-20251025-AM-ORD-2025-00021-S04</x:v>
      </x:c>
      <x:c r="C406" t="str">
        <x:v>PE-KG01-L21-20251025-AM-ORD-2025-00021</x:v>
      </x:c>
      <x:c r="D406" t="str">
        <x:v>KG01</x:v>
      </x:c>
      <x:c r="E406" s="62" t="n">
        <x:v>45955</x:v>
      </x:c>
      <x:c r="F406" t="str">
        <x:v>AM</x:v>
      </x:c>
      <x:c r="G406" t="str">
        <x:v>B</x:v>
      </x:c>
      <x:c r="H406" t="n">
        <x:v>21</x:v>
      </x:c>
      <x:c r="I406" t="str">
        <x:v>ORD-2025-00021</x:v>
      </x:c>
      <x:c r="J406" t="n">
        <x:v>4</x:v>
      </x:c>
      <x:c r="K406" t="n">
        <x:v>3</x:v>
      </x:c>
      <x:c r="L406" t="str">
        <x:v>L21-S04-C3</x:v>
      </x:c>
      <x:c r="M406" t="n">
        <x:v>1</x:v>
      </x:c>
      <x:c r="N406" t="str">
        <x:v>DerivedFromCount</x:v>
      </x:c>
      <x:c r="O406" t="str">
        <x:v>PLC-PRD-JAR-330-L21</x:v>
      </x:c>
      <x:c r="P406" t="str">
        <x:v>OK</x:v>
      </x:c>
      <x:c r="Q406" t="str">
        <x:v>OK</x:v>
      </x:c>
      <x:c r="R406" t="str">
        <x:v>OK</x:v>
      </x:c>
      <x:c r="S406" t="str">
        <x:v>OK</x:v>
      </x:c>
      <x:c r="T406" t="n">
        <x:v>30</x:v>
      </x:c>
      <x:c r="U406" t="str">
        <x:v>OK</x:v>
      </x:c>
      <x:c r="V406" t="str">
        <x:v>OK</x:v>
      </x:c>
      <x:c r="W406" t="str">
        <x:v>LOAD</x:v>
      </x:c>
      <x:c r="X406" t="str">
        <x:v>02_Supervisor_Log(4).xlsx</x:v>
      </x:c>
      <x:c r="Y406" t="str">
        <x:v>ENH-20260830-01</x:v>
      </x:c>
      <x:c r="Z406" t="str">
        <x:v>Active</x:v>
      </x:c>
      <x:c r="AA406"/>
      <x:c r="AB406"/>
      <x:c r="AC406"/>
      <x:c r="AD406"/>
    </x:row>
    <x:row r="407">
      <x:c r="A407" t="str">
        <x:v>PCC-PE-KG01-L21-20251025-AM-ORD-2025-00021-S05-C1</x:v>
      </x:c>
      <x:c r="B407" t="str">
        <x:v>PC-PE-KG01-L21-20251025-AM-ORD-2025-00021-S05</x:v>
      </x:c>
      <x:c r="C407" t="str">
        <x:v>PE-KG01-L21-20251025-AM-ORD-2025-00021</x:v>
      </x:c>
      <x:c r="D407" t="str">
        <x:v>KG01</x:v>
      </x:c>
      <x:c r="E407" s="62" t="n">
        <x:v>45955</x:v>
      </x:c>
      <x:c r="F407" t="str">
        <x:v>AM</x:v>
      </x:c>
      <x:c r="G407" t="str">
        <x:v>B</x:v>
      </x:c>
      <x:c r="H407" t="n">
        <x:v>21</x:v>
      </x:c>
      <x:c r="I407" t="str">
        <x:v>ORD-2025-00021</x:v>
      </x:c>
      <x:c r="J407" t="n">
        <x:v>5</x:v>
      </x:c>
      <x:c r="K407" t="n">
        <x:v>1</x:v>
      </x:c>
      <x:c r="L407" t="str">
        <x:v>L21-S05-C1</x:v>
      </x:c>
      <x:c r="M407" t="n">
        <x:v>1</x:v>
      </x:c>
      <x:c r="N407" t="str">
        <x:v>DerivedFromCount</x:v>
      </x:c>
      <x:c r="O407" t="str">
        <x:v>PLC-PRD-JAR-330-L21</x:v>
      </x:c>
      <x:c r="P407" t="str">
        <x:v>OK</x:v>
      </x:c>
      <x:c r="Q407" t="str">
        <x:v>OK</x:v>
      </x:c>
      <x:c r="R407" t="str">
        <x:v>OK</x:v>
      </x:c>
      <x:c r="S407" t="str">
        <x:v>OK</x:v>
      </x:c>
      <x:c r="T407" t="n">
        <x:v>30</x:v>
      </x:c>
      <x:c r="U407" t="str">
        <x:v>OK</x:v>
      </x:c>
      <x:c r="V407" t="str">
        <x:v>OK</x:v>
      </x:c>
      <x:c r="W407" t="str">
        <x:v>LOAD</x:v>
      </x:c>
      <x:c r="X407" t="str">
        <x:v>02_Supervisor_Log(4).xlsx</x:v>
      </x:c>
      <x:c r="Y407" t="str">
        <x:v>ENH-20260830-01</x:v>
      </x:c>
      <x:c r="Z407" t="str">
        <x:v>Active</x:v>
      </x:c>
      <x:c r="AA407"/>
      <x:c r="AB407"/>
      <x:c r="AC407"/>
      <x:c r="AD407"/>
    </x:row>
    <x:row r="408">
      <x:c r="A408" t="str">
        <x:v>PCC-PE-KG01-L21-20251025-AM-ORD-2025-00021-S05-C2</x:v>
      </x:c>
      <x:c r="B408" t="str">
        <x:v>PC-PE-KG01-L21-20251025-AM-ORD-2025-00021-S05</x:v>
      </x:c>
      <x:c r="C408" t="str">
        <x:v>PE-KG01-L21-20251025-AM-ORD-2025-00021</x:v>
      </x:c>
      <x:c r="D408" t="str">
        <x:v>KG01</x:v>
      </x:c>
      <x:c r="E408" s="62" t="n">
        <x:v>45955</x:v>
      </x:c>
      <x:c r="F408" t="str">
        <x:v>AM</x:v>
      </x:c>
      <x:c r="G408" t="str">
        <x:v>B</x:v>
      </x:c>
      <x:c r="H408" t="n">
        <x:v>21</x:v>
      </x:c>
      <x:c r="I408" t="str">
        <x:v>ORD-2025-00021</x:v>
      </x:c>
      <x:c r="J408" t="n">
        <x:v>5</x:v>
      </x:c>
      <x:c r="K408" t="n">
        <x:v>2</x:v>
      </x:c>
      <x:c r="L408" t="str">
        <x:v>L21-S05-C2</x:v>
      </x:c>
      <x:c r="M408" t="n">
        <x:v>1</x:v>
      </x:c>
      <x:c r="N408" t="str">
        <x:v>DerivedFromCount</x:v>
      </x:c>
      <x:c r="O408" t="str">
        <x:v>PLC-PRD-JAR-330-L21</x:v>
      </x:c>
      <x:c r="P408" t="str">
        <x:v>OK</x:v>
      </x:c>
      <x:c r="Q408" t="str">
        <x:v>OK</x:v>
      </x:c>
      <x:c r="R408" t="str">
        <x:v>OK</x:v>
      </x:c>
      <x:c r="S408" t="str">
        <x:v>OK</x:v>
      </x:c>
      <x:c r="T408" t="n">
        <x:v>30</x:v>
      </x:c>
      <x:c r="U408" t="str">
        <x:v>OK</x:v>
      </x:c>
      <x:c r="V408" t="str">
        <x:v>OK</x:v>
      </x:c>
      <x:c r="W408" t="str">
        <x:v>LOAD</x:v>
      </x:c>
      <x:c r="X408" t="str">
        <x:v>02_Supervisor_Log(4).xlsx</x:v>
      </x:c>
      <x:c r="Y408" t="str">
        <x:v>ENH-20260830-01</x:v>
      </x:c>
      <x:c r="Z408" t="str">
        <x:v>Active</x:v>
      </x:c>
      <x:c r="AA408"/>
      <x:c r="AB408"/>
      <x:c r="AC408"/>
      <x:c r="AD408"/>
    </x:row>
    <x:row r="409">
      <x:c r="A409" t="str">
        <x:v>PCC-PE-KG01-L21-20251025-AM-ORD-2025-00021-S05-C3</x:v>
      </x:c>
      <x:c r="B409" t="str">
        <x:v>PC-PE-KG01-L21-20251025-AM-ORD-2025-00021-S05</x:v>
      </x:c>
      <x:c r="C409" t="str">
        <x:v>PE-KG01-L21-20251025-AM-ORD-2025-00021</x:v>
      </x:c>
      <x:c r="D409" t="str">
        <x:v>KG01</x:v>
      </x:c>
      <x:c r="E409" s="62" t="n">
        <x:v>45955</x:v>
      </x:c>
      <x:c r="F409" t="str">
        <x:v>AM</x:v>
      </x:c>
      <x:c r="G409" t="str">
        <x:v>B</x:v>
      </x:c>
      <x:c r="H409" t="n">
        <x:v>21</x:v>
      </x:c>
      <x:c r="I409" t="str">
        <x:v>ORD-2025-00021</x:v>
      </x:c>
      <x:c r="J409" t="n">
        <x:v>5</x:v>
      </x:c>
      <x:c r="K409" t="n">
        <x:v>3</x:v>
      </x:c>
      <x:c r="L409" t="str">
        <x:v>L21-S05-C3</x:v>
      </x:c>
      <x:c r="M409" t="n">
        <x:v>1</x:v>
      </x:c>
      <x:c r="N409" t="str">
        <x:v>DerivedFromCount</x:v>
      </x:c>
      <x:c r="O409" t="str">
        <x:v>PLC-PRD-JAR-330-L21</x:v>
      </x:c>
      <x:c r="P409" t="str">
        <x:v>OK</x:v>
      </x:c>
      <x:c r="Q409" t="str">
        <x:v>OK</x:v>
      </x:c>
      <x:c r="R409" t="str">
        <x:v>OK</x:v>
      </x:c>
      <x:c r="S409" t="str">
        <x:v>OK</x:v>
      </x:c>
      <x:c r="T409" t="n">
        <x:v>30</x:v>
      </x:c>
      <x:c r="U409" t="str">
        <x:v>OK</x:v>
      </x:c>
      <x:c r="V409" t="str">
        <x:v>OK</x:v>
      </x:c>
      <x:c r="W409" t="str">
        <x:v>LOAD</x:v>
      </x:c>
      <x:c r="X409" t="str">
        <x:v>02_Supervisor_Log(4).xlsx</x:v>
      </x:c>
      <x:c r="Y409" t="str">
        <x:v>ENH-20260830-01</x:v>
      </x:c>
      <x:c r="Z409" t="str">
        <x:v>Active</x:v>
      </x:c>
      <x:c r="AA409"/>
      <x:c r="AB409"/>
      <x:c r="AC409"/>
      <x:c r="AD409"/>
    </x:row>
    <x:row r="410">
      <x:c r="A410" t="str">
        <x:v>PCC-PE-KG01-L21-20251025-AM-ORD-2025-00021-S06-C1</x:v>
      </x:c>
      <x:c r="B410" t="str">
        <x:v>PC-PE-KG01-L21-20251025-AM-ORD-2025-00021-S06</x:v>
      </x:c>
      <x:c r="C410" t="str">
        <x:v>PE-KG01-L21-20251025-AM-ORD-2025-00021</x:v>
      </x:c>
      <x:c r="D410" t="str">
        <x:v>KG01</x:v>
      </x:c>
      <x:c r="E410" s="62" t="n">
        <x:v>45955</x:v>
      </x:c>
      <x:c r="F410" t="str">
        <x:v>AM</x:v>
      </x:c>
      <x:c r="G410" t="str">
        <x:v>B</x:v>
      </x:c>
      <x:c r="H410" t="n">
        <x:v>21</x:v>
      </x:c>
      <x:c r="I410" t="str">
        <x:v>ORD-2025-00021</x:v>
      </x:c>
      <x:c r="J410" t="n">
        <x:v>6</x:v>
      </x:c>
      <x:c r="K410" t="n">
        <x:v>1</x:v>
      </x:c>
      <x:c r="L410" t="str">
        <x:v>L21-S06-C1</x:v>
      </x:c>
      <x:c r="M410" t="n">
        <x:v>1</x:v>
      </x:c>
      <x:c r="N410" t="str">
        <x:v>DerivedFromCount</x:v>
      </x:c>
      <x:c r="O410" t="str">
        <x:v>PLC-PRD-JAR-330-L21</x:v>
      </x:c>
      <x:c r="P410" t="str">
        <x:v>OK</x:v>
      </x:c>
      <x:c r="Q410" t="str">
        <x:v>OK</x:v>
      </x:c>
      <x:c r="R410" t="str">
        <x:v>OK</x:v>
      </x:c>
      <x:c r="S410" t="str">
        <x:v>OK</x:v>
      </x:c>
      <x:c r="T410" t="n">
        <x:v>30</x:v>
      </x:c>
      <x:c r="U410" t="str">
        <x:v>OK</x:v>
      </x:c>
      <x:c r="V410" t="str">
        <x:v>OK</x:v>
      </x:c>
      <x:c r="W410" t="str">
        <x:v>LOAD</x:v>
      </x:c>
      <x:c r="X410" t="str">
        <x:v>02_Supervisor_Log(4).xlsx</x:v>
      </x:c>
      <x:c r="Y410" t="str">
        <x:v>ENH-20260830-01</x:v>
      </x:c>
      <x:c r="Z410" t="str">
        <x:v>Active</x:v>
      </x:c>
      <x:c r="AA410"/>
      <x:c r="AB410"/>
      <x:c r="AC410"/>
      <x:c r="AD410"/>
    </x:row>
    <x:row r="411">
      <x:c r="A411" t="str">
        <x:v>PCC-PE-KG01-L21-20251025-AM-ORD-2025-00021-S06-C2</x:v>
      </x:c>
      <x:c r="B411" t="str">
        <x:v>PC-PE-KG01-L21-20251025-AM-ORD-2025-00021-S06</x:v>
      </x:c>
      <x:c r="C411" t="str">
        <x:v>PE-KG01-L21-20251025-AM-ORD-2025-00021</x:v>
      </x:c>
      <x:c r="D411" t="str">
        <x:v>KG01</x:v>
      </x:c>
      <x:c r="E411" s="62" t="n">
        <x:v>45955</x:v>
      </x:c>
      <x:c r="F411" t="str">
        <x:v>AM</x:v>
      </x:c>
      <x:c r="G411" t="str">
        <x:v>B</x:v>
      </x:c>
      <x:c r="H411" t="n">
        <x:v>21</x:v>
      </x:c>
      <x:c r="I411" t="str">
        <x:v>ORD-2025-00021</x:v>
      </x:c>
      <x:c r="J411" t="n">
        <x:v>6</x:v>
      </x:c>
      <x:c r="K411" t="n">
        <x:v>2</x:v>
      </x:c>
      <x:c r="L411" t="str">
        <x:v>L21-S06-C2</x:v>
      </x:c>
      <x:c r="M411" t="n">
        <x:v>1</x:v>
      </x:c>
      <x:c r="N411" t="str">
        <x:v>DerivedFromCount</x:v>
      </x:c>
      <x:c r="O411" t="str">
        <x:v>PLC-PRD-JAR-330-L21</x:v>
      </x:c>
      <x:c r="P411" t="str">
        <x:v>OK</x:v>
      </x:c>
      <x:c r="Q411" t="str">
        <x:v>OK</x:v>
      </x:c>
      <x:c r="R411" t="str">
        <x:v>OK</x:v>
      </x:c>
      <x:c r="S411" t="str">
        <x:v>OK</x:v>
      </x:c>
      <x:c r="T411" t="n">
        <x:v>30</x:v>
      </x:c>
      <x:c r="U411" t="str">
        <x:v>OK</x:v>
      </x:c>
      <x:c r="V411" t="str">
        <x:v>OK</x:v>
      </x:c>
      <x:c r="W411" t="str">
        <x:v>LOAD</x:v>
      </x:c>
      <x:c r="X411" t="str">
        <x:v>02_Supervisor_Log(4).xlsx</x:v>
      </x:c>
      <x:c r="Y411" t="str">
        <x:v>ENH-20260830-01</x:v>
      </x:c>
      <x:c r="Z411" t="str">
        <x:v>Active</x:v>
      </x:c>
      <x:c r="AA411"/>
      <x:c r="AB411"/>
      <x:c r="AC411"/>
      <x:c r="AD411"/>
    </x:row>
    <x:row r="412">
      <x:c r="A412" t="str">
        <x:v>PCC-PE-KG01-L21-20251025-AM-ORD-2025-00021-S06-C3</x:v>
      </x:c>
      <x:c r="B412" t="str">
        <x:v>PC-PE-KG01-L21-20251025-AM-ORD-2025-00021-S06</x:v>
      </x:c>
      <x:c r="C412" t="str">
        <x:v>PE-KG01-L21-20251025-AM-ORD-2025-00021</x:v>
      </x:c>
      <x:c r="D412" t="str">
        <x:v>KG01</x:v>
      </x:c>
      <x:c r="E412" s="62" t="n">
        <x:v>45955</x:v>
      </x:c>
      <x:c r="F412" t="str">
        <x:v>AM</x:v>
      </x:c>
      <x:c r="G412" t="str">
        <x:v>B</x:v>
      </x:c>
      <x:c r="H412" t="n">
        <x:v>21</x:v>
      </x:c>
      <x:c r="I412" t="str">
        <x:v>ORD-2025-00021</x:v>
      </x:c>
      <x:c r="J412" t="n">
        <x:v>6</x:v>
      </x:c>
      <x:c r="K412" t="n">
        <x:v>3</x:v>
      </x:c>
      <x:c r="L412" t="str">
        <x:v>L21-S06-C3</x:v>
      </x:c>
      <x:c r="M412" t="n">
        <x:v>1</x:v>
      </x:c>
      <x:c r="N412" t="str">
        <x:v>DerivedFromCount</x:v>
      </x:c>
      <x:c r="O412" t="str">
        <x:v>PLC-PRD-JAR-330-L21</x:v>
      </x:c>
      <x:c r="P412" t="str">
        <x:v>OK</x:v>
      </x:c>
      <x:c r="Q412" t="str">
        <x:v>OK</x:v>
      </x:c>
      <x:c r="R412" t="str">
        <x:v>OK</x:v>
      </x:c>
      <x:c r="S412" t="str">
        <x:v>OK</x:v>
      </x:c>
      <x:c r="T412" t="n">
        <x:v>30</x:v>
      </x:c>
      <x:c r="U412" t="str">
        <x:v>OK</x:v>
      </x:c>
      <x:c r="V412" t="str">
        <x:v>OK</x:v>
      </x:c>
      <x:c r="W412" t="str">
        <x:v>LOAD</x:v>
      </x:c>
      <x:c r="X412" t="str">
        <x:v>02_Supervisor_Log(4).xlsx</x:v>
      </x:c>
      <x:c r="Y412" t="str">
        <x:v>ENH-20260830-01</x:v>
      </x:c>
      <x:c r="Z412" t="str">
        <x:v>Active</x:v>
      </x:c>
      <x:c r="AA412"/>
      <x:c r="AB412"/>
      <x:c r="AC412"/>
      <x:c r="AD412"/>
    </x:row>
    <x:row r="413">
      <x:c r="A413" t="str">
        <x:v>PCC-PE-KG01-L21-20251025-AM-ORD-2025-00021-S07-C1</x:v>
      </x:c>
      <x:c r="B413" t="str">
        <x:v>PC-PE-KG01-L21-20251025-AM-ORD-2025-00021-S07</x:v>
      </x:c>
      <x:c r="C413" t="str">
        <x:v>PE-KG01-L21-20251025-AM-ORD-2025-00021</x:v>
      </x:c>
      <x:c r="D413" t="str">
        <x:v>KG01</x:v>
      </x:c>
      <x:c r="E413" s="62" t="n">
        <x:v>45955</x:v>
      </x:c>
      <x:c r="F413" t="str">
        <x:v>AM</x:v>
      </x:c>
      <x:c r="G413" t="str">
        <x:v>B</x:v>
      </x:c>
      <x:c r="H413" t="n">
        <x:v>21</x:v>
      </x:c>
      <x:c r="I413" t="str">
        <x:v>ORD-2025-00021</x:v>
      </x:c>
      <x:c r="J413" t="n">
        <x:v>7</x:v>
      </x:c>
      <x:c r="K413" t="n">
        <x:v>1</x:v>
      </x:c>
      <x:c r="L413" t="str">
        <x:v>L21-S07-C1</x:v>
      </x:c>
      <x:c r="M413" t="n">
        <x:v>1</x:v>
      </x:c>
      <x:c r="N413" t="str">
        <x:v>DerivedFromCount</x:v>
      </x:c>
      <x:c r="O413" t="str">
        <x:v>PLC-PRD-JAR-330-L21</x:v>
      </x:c>
      <x:c r="P413" t="str">
        <x:v>OK</x:v>
      </x:c>
      <x:c r="Q413" t="str">
        <x:v>OK</x:v>
      </x:c>
      <x:c r="R413" t="str">
        <x:v>OK</x:v>
      </x:c>
      <x:c r="S413" t="str">
        <x:v>OK</x:v>
      </x:c>
      <x:c r="T413" t="n">
        <x:v>30</x:v>
      </x:c>
      <x:c r="U413" t="str">
        <x:v>OK</x:v>
      </x:c>
      <x:c r="V413" t="str">
        <x:v>OK</x:v>
      </x:c>
      <x:c r="W413" t="str">
        <x:v>LOAD</x:v>
      </x:c>
      <x:c r="X413" t="str">
        <x:v>02_Supervisor_Log(4).xlsx</x:v>
      </x:c>
      <x:c r="Y413" t="str">
        <x:v>ENH-20260830-01</x:v>
      </x:c>
      <x:c r="Z413" t="str">
        <x:v>Active</x:v>
      </x:c>
      <x:c r="AA413"/>
      <x:c r="AB413"/>
      <x:c r="AC413"/>
      <x:c r="AD413"/>
    </x:row>
    <x:row r="414">
      <x:c r="A414" t="str">
        <x:v>PCC-PE-KG01-L21-20251025-AM-ORD-2025-00021-S07-C2</x:v>
      </x:c>
      <x:c r="B414" t="str">
        <x:v>PC-PE-KG01-L21-20251025-AM-ORD-2025-00021-S07</x:v>
      </x:c>
      <x:c r="C414" t="str">
        <x:v>PE-KG01-L21-20251025-AM-ORD-2025-00021</x:v>
      </x:c>
      <x:c r="D414" t="str">
        <x:v>KG01</x:v>
      </x:c>
      <x:c r="E414" s="62" t="n">
        <x:v>45955</x:v>
      </x:c>
      <x:c r="F414" t="str">
        <x:v>AM</x:v>
      </x:c>
      <x:c r="G414" t="str">
        <x:v>B</x:v>
      </x:c>
      <x:c r="H414" t="n">
        <x:v>21</x:v>
      </x:c>
      <x:c r="I414" t="str">
        <x:v>ORD-2025-00021</x:v>
      </x:c>
      <x:c r="J414" t="n">
        <x:v>7</x:v>
      </x:c>
      <x:c r="K414" t="n">
        <x:v>2</x:v>
      </x:c>
      <x:c r="L414" t="str">
        <x:v>L21-S07-C2</x:v>
      </x:c>
      <x:c r="M414" t="n">
        <x:v>1</x:v>
      </x:c>
      <x:c r="N414" t="str">
        <x:v>DerivedFromCount</x:v>
      </x:c>
      <x:c r="O414" t="str">
        <x:v>PLC-PRD-JAR-330-L21</x:v>
      </x:c>
      <x:c r="P414" t="str">
        <x:v>OK</x:v>
      </x:c>
      <x:c r="Q414" t="str">
        <x:v>OK</x:v>
      </x:c>
      <x:c r="R414" t="str">
        <x:v>OK</x:v>
      </x:c>
      <x:c r="S414" t="str">
        <x:v>OK</x:v>
      </x:c>
      <x:c r="T414" t="n">
        <x:v>30</x:v>
      </x:c>
      <x:c r="U414" t="str">
        <x:v>OK</x:v>
      </x:c>
      <x:c r="V414" t="str">
        <x:v>OK</x:v>
      </x:c>
      <x:c r="W414" t="str">
        <x:v>LOAD</x:v>
      </x:c>
      <x:c r="X414" t="str">
        <x:v>02_Supervisor_Log(4).xlsx</x:v>
      </x:c>
      <x:c r="Y414" t="str">
        <x:v>ENH-20260830-01</x:v>
      </x:c>
      <x:c r="Z414" t="str">
        <x:v>Active</x:v>
      </x:c>
      <x:c r="AA414"/>
      <x:c r="AB414"/>
      <x:c r="AC414"/>
      <x:c r="AD414"/>
    </x:row>
    <x:row r="415">
      <x:c r="A415" t="str">
        <x:v>PCC-PE-KG01-L21-20251025-AM-ORD-2025-00021-S07-C3</x:v>
      </x:c>
      <x:c r="B415" t="str">
        <x:v>PC-PE-KG01-L21-20251025-AM-ORD-2025-00021-S07</x:v>
      </x:c>
      <x:c r="C415" t="str">
        <x:v>PE-KG01-L21-20251025-AM-ORD-2025-00021</x:v>
      </x:c>
      <x:c r="D415" t="str">
        <x:v>KG01</x:v>
      </x:c>
      <x:c r="E415" s="62" t="n">
        <x:v>45955</x:v>
      </x:c>
      <x:c r="F415" t="str">
        <x:v>AM</x:v>
      </x:c>
      <x:c r="G415" t="str">
        <x:v>B</x:v>
      </x:c>
      <x:c r="H415" t="n">
        <x:v>21</x:v>
      </x:c>
      <x:c r="I415" t="str">
        <x:v>ORD-2025-00021</x:v>
      </x:c>
      <x:c r="J415" t="n">
        <x:v>7</x:v>
      </x:c>
      <x:c r="K415" t="n">
        <x:v>3</x:v>
      </x:c>
      <x:c r="L415" t="str">
        <x:v>L21-S07-C3</x:v>
      </x:c>
      <x:c r="M415" t="n">
        <x:v>1</x:v>
      </x:c>
      <x:c r="N415" t="str">
        <x:v>DerivedFromCount</x:v>
      </x:c>
      <x:c r="O415" t="str">
        <x:v>PLC-PRD-JAR-330-L21</x:v>
      </x:c>
      <x:c r="P415" t="str">
        <x:v>OK</x:v>
      </x:c>
      <x:c r="Q415" t="str">
        <x:v>OK</x:v>
      </x:c>
      <x:c r="R415" t="str">
        <x:v>OK</x:v>
      </x:c>
      <x:c r="S415" t="str">
        <x:v>OK</x:v>
      </x:c>
      <x:c r="T415" t="n">
        <x:v>30</x:v>
      </x:c>
      <x:c r="U415" t="str">
        <x:v>OK</x:v>
      </x:c>
      <x:c r="V415" t="str">
        <x:v>OK</x:v>
      </x:c>
      <x:c r="W415" t="str">
        <x:v>LOAD</x:v>
      </x:c>
      <x:c r="X415" t="str">
        <x:v>02_Supervisor_Log(4).xlsx</x:v>
      </x:c>
      <x:c r="Y415" t="str">
        <x:v>ENH-20260830-01</x:v>
      </x:c>
      <x:c r="Z415" t="str">
        <x:v>Active</x:v>
      </x:c>
      <x:c r="AA415"/>
      <x:c r="AB415"/>
      <x:c r="AC415"/>
      <x:c r="AD415"/>
    </x:row>
    <x:row r="416">
      <x:c r="A416" t="str">
        <x:v>PCC-PE-KG01-L21-20251025-AM-ORD-2025-00021-S08-C1</x:v>
      </x:c>
      <x:c r="B416" t="str">
        <x:v>PC-PE-KG01-L21-20251025-AM-ORD-2025-00021-S08</x:v>
      </x:c>
      <x:c r="C416" t="str">
        <x:v>PE-KG01-L21-20251025-AM-ORD-2025-00021</x:v>
      </x:c>
      <x:c r="D416" t="str">
        <x:v>KG01</x:v>
      </x:c>
      <x:c r="E416" s="62" t="n">
        <x:v>45955</x:v>
      </x:c>
      <x:c r="F416" t="str">
        <x:v>AM</x:v>
      </x:c>
      <x:c r="G416" t="str">
        <x:v>B</x:v>
      </x:c>
      <x:c r="H416" t="n">
        <x:v>21</x:v>
      </x:c>
      <x:c r="I416" t="str">
        <x:v>ORD-2025-00021</x:v>
      </x:c>
      <x:c r="J416" t="n">
        <x:v>8</x:v>
      </x:c>
      <x:c r="K416" t="n">
        <x:v>1</x:v>
      </x:c>
      <x:c r="L416" t="str">
        <x:v>L21-S08-C1</x:v>
      </x:c>
      <x:c r="M416" t="n">
        <x:v>1</x:v>
      </x:c>
      <x:c r="N416" t="str">
        <x:v>DerivedFromCount</x:v>
      </x:c>
      <x:c r="O416" t="str">
        <x:v>PLC-PRD-JAR-330-L21</x:v>
      </x:c>
      <x:c r="P416" t="str">
        <x:v>OK</x:v>
      </x:c>
      <x:c r="Q416" t="str">
        <x:v>OK</x:v>
      </x:c>
      <x:c r="R416" t="str">
        <x:v>OK</x:v>
      </x:c>
      <x:c r="S416" t="str">
        <x:v>OK</x:v>
      </x:c>
      <x:c r="T416" t="n">
        <x:v>30</x:v>
      </x:c>
      <x:c r="U416" t="str">
        <x:v>OK</x:v>
      </x:c>
      <x:c r="V416" t="str">
        <x:v>OK</x:v>
      </x:c>
      <x:c r="W416" t="str">
        <x:v>LOAD</x:v>
      </x:c>
      <x:c r="X416" t="str">
        <x:v>02_Supervisor_Log(4).xlsx</x:v>
      </x:c>
      <x:c r="Y416" t="str">
        <x:v>ENH-20260830-01</x:v>
      </x:c>
      <x:c r="Z416" t="str">
        <x:v>Active</x:v>
      </x:c>
      <x:c r="AA416"/>
      <x:c r="AB416"/>
      <x:c r="AC416"/>
      <x:c r="AD416"/>
    </x:row>
    <x:row r="417">
      <x:c r="A417" t="str">
        <x:v>PCC-PE-KG01-L21-20251025-AM-ORD-2025-00021-S08-C2</x:v>
      </x:c>
      <x:c r="B417" t="str">
        <x:v>PC-PE-KG01-L21-20251025-AM-ORD-2025-00021-S08</x:v>
      </x:c>
      <x:c r="C417" t="str">
        <x:v>PE-KG01-L21-20251025-AM-ORD-2025-00021</x:v>
      </x:c>
      <x:c r="D417" t="str">
        <x:v>KG01</x:v>
      </x:c>
      <x:c r="E417" s="62" t="n">
        <x:v>45955</x:v>
      </x:c>
      <x:c r="F417" t="str">
        <x:v>AM</x:v>
      </x:c>
      <x:c r="G417" t="str">
        <x:v>B</x:v>
      </x:c>
      <x:c r="H417" t="n">
        <x:v>21</x:v>
      </x:c>
      <x:c r="I417" t="str">
        <x:v>ORD-2025-00021</x:v>
      </x:c>
      <x:c r="J417" t="n">
        <x:v>8</x:v>
      </x:c>
      <x:c r="K417" t="n">
        <x:v>2</x:v>
      </x:c>
      <x:c r="L417" t="str">
        <x:v>L21-S08-C2</x:v>
      </x:c>
      <x:c r="M417" t="n">
        <x:v>1</x:v>
      </x:c>
      <x:c r="N417" t="str">
        <x:v>DerivedFromCount</x:v>
      </x:c>
      <x:c r="O417" t="str">
        <x:v>PLC-PRD-JAR-330-L21</x:v>
      </x:c>
      <x:c r="P417" t="str">
        <x:v>OK</x:v>
      </x:c>
      <x:c r="Q417" t="str">
        <x:v>OK</x:v>
      </x:c>
      <x:c r="R417" t="str">
        <x:v>OK</x:v>
      </x:c>
      <x:c r="S417" t="str">
        <x:v>OK</x:v>
      </x:c>
      <x:c r="T417" t="n">
        <x:v>30</x:v>
      </x:c>
      <x:c r="U417" t="str">
        <x:v>OK</x:v>
      </x:c>
      <x:c r="V417" t="str">
        <x:v>OK</x:v>
      </x:c>
      <x:c r="W417" t="str">
        <x:v>LOAD</x:v>
      </x:c>
      <x:c r="X417" t="str">
        <x:v>02_Supervisor_Log(4).xlsx</x:v>
      </x:c>
      <x:c r="Y417" t="str">
        <x:v>ENH-20260830-01</x:v>
      </x:c>
      <x:c r="Z417" t="str">
        <x:v>Active</x:v>
      </x:c>
      <x:c r="AA417"/>
      <x:c r="AB417"/>
      <x:c r="AC417"/>
      <x:c r="AD417"/>
    </x:row>
    <x:row r="418">
      <x:c r="A418" t="str">
        <x:v>PCC-PE-KG01-L21-20251025-AM-ORD-2025-00021-S08-C3</x:v>
      </x:c>
      <x:c r="B418" t="str">
        <x:v>PC-PE-KG01-L21-20251025-AM-ORD-2025-00021-S08</x:v>
      </x:c>
      <x:c r="C418" t="str">
        <x:v>PE-KG01-L21-20251025-AM-ORD-2025-00021</x:v>
      </x:c>
      <x:c r="D418" t="str">
        <x:v>KG01</x:v>
      </x:c>
      <x:c r="E418" s="62" t="n">
        <x:v>45955</x:v>
      </x:c>
      <x:c r="F418" t="str">
        <x:v>AM</x:v>
      </x:c>
      <x:c r="G418" t="str">
        <x:v>B</x:v>
      </x:c>
      <x:c r="H418" t="n">
        <x:v>21</x:v>
      </x:c>
      <x:c r="I418" t="str">
        <x:v>ORD-2025-00021</x:v>
      </x:c>
      <x:c r="J418" t="n">
        <x:v>8</x:v>
      </x:c>
      <x:c r="K418" t="n">
        <x:v>3</x:v>
      </x:c>
      <x:c r="L418" t="str">
        <x:v>L21-S08-C3</x:v>
      </x:c>
      <x:c r="M418" t="n">
        <x:v>1</x:v>
      </x:c>
      <x:c r="N418" t="str">
        <x:v>DerivedFromCount</x:v>
      </x:c>
      <x:c r="O418" t="str">
        <x:v>PLC-PRD-JAR-330-L21</x:v>
      </x:c>
      <x:c r="P418" t="str">
        <x:v>OK</x:v>
      </x:c>
      <x:c r="Q418" t="str">
        <x:v>OK</x:v>
      </x:c>
      <x:c r="R418" t="str">
        <x:v>OK</x:v>
      </x:c>
      <x:c r="S418" t="str">
        <x:v>OK</x:v>
      </x:c>
      <x:c r="T418" t="n">
        <x:v>30</x:v>
      </x:c>
      <x:c r="U418" t="str">
        <x:v>OK</x:v>
      </x:c>
      <x:c r="V418" t="str">
        <x:v>OK</x:v>
      </x:c>
      <x:c r="W418" t="str">
        <x:v>LOAD</x:v>
      </x:c>
      <x:c r="X418" t="str">
        <x:v>02_Supervisor_Log(4).xlsx</x:v>
      </x:c>
      <x:c r="Y418" t="str">
        <x:v>ENH-20260830-01</x:v>
      </x:c>
      <x:c r="Z418" t="str">
        <x:v>Active</x:v>
      </x:c>
      <x:c r="AA418"/>
      <x:c r="AB418"/>
      <x:c r="AC418"/>
      <x:c r="AD418"/>
    </x:row>
    <x:row r="419">
      <x:c r="A419" t="str">
        <x:v>PCC-PE-KG01-L21-20251025-AM-ORD-2025-00021-S09-C1</x:v>
      </x:c>
      <x:c r="B419" t="str">
        <x:v>PC-PE-KG01-L21-20251025-AM-ORD-2025-00021-S09</x:v>
      </x:c>
      <x:c r="C419" t="str">
        <x:v>PE-KG01-L21-20251025-AM-ORD-2025-00021</x:v>
      </x:c>
      <x:c r="D419" t="str">
        <x:v>KG01</x:v>
      </x:c>
      <x:c r="E419" s="62" t="n">
        <x:v>45955</x:v>
      </x:c>
      <x:c r="F419" t="str">
        <x:v>AM</x:v>
      </x:c>
      <x:c r="G419" t="str">
        <x:v>B</x:v>
      </x:c>
      <x:c r="H419" t="n">
        <x:v>21</x:v>
      </x:c>
      <x:c r="I419" t="str">
        <x:v>ORD-2025-00021</x:v>
      </x:c>
      <x:c r="J419" t="n">
        <x:v>9</x:v>
      </x:c>
      <x:c r="K419" t="n">
        <x:v>1</x:v>
      </x:c>
      <x:c r="L419" t="str">
        <x:v>L21-S09-C1</x:v>
      </x:c>
      <x:c r="M419" t="n">
        <x:v>1</x:v>
      </x:c>
      <x:c r="N419" t="str">
        <x:v>DerivedFromCount</x:v>
      </x:c>
      <x:c r="O419" t="str">
        <x:v>PLC-PRD-JAR-330-L21</x:v>
      </x:c>
      <x:c r="P419" t="str">
        <x:v>OK</x:v>
      </x:c>
      <x:c r="Q419" t="str">
        <x:v>OK</x:v>
      </x:c>
      <x:c r="R419" t="str">
        <x:v>OK</x:v>
      </x:c>
      <x:c r="S419" t="str">
        <x:v>OK</x:v>
      </x:c>
      <x:c r="T419" t="n">
        <x:v>30</x:v>
      </x:c>
      <x:c r="U419" t="str">
        <x:v>OK</x:v>
      </x:c>
      <x:c r="V419" t="str">
        <x:v>OK</x:v>
      </x:c>
      <x:c r="W419" t="str">
        <x:v>LOAD</x:v>
      </x:c>
      <x:c r="X419" t="str">
        <x:v>02_Supervisor_Log(4).xlsx</x:v>
      </x:c>
      <x:c r="Y419" t="str">
        <x:v>ENH-20260830-01</x:v>
      </x:c>
      <x:c r="Z419" t="str">
        <x:v>Active</x:v>
      </x:c>
      <x:c r="AA419"/>
      <x:c r="AB419"/>
      <x:c r="AC419"/>
      <x:c r="AD419"/>
    </x:row>
    <x:row r="420">
      <x:c r="A420" t="str">
        <x:v>PCC-PE-KG01-L21-20251025-AM-ORD-2025-00021-S09-C2</x:v>
      </x:c>
      <x:c r="B420" t="str">
        <x:v>PC-PE-KG01-L21-20251025-AM-ORD-2025-00021-S09</x:v>
      </x:c>
      <x:c r="C420" t="str">
        <x:v>PE-KG01-L21-20251025-AM-ORD-2025-00021</x:v>
      </x:c>
      <x:c r="D420" t="str">
        <x:v>KG01</x:v>
      </x:c>
      <x:c r="E420" s="62" t="n">
        <x:v>45955</x:v>
      </x:c>
      <x:c r="F420" t="str">
        <x:v>AM</x:v>
      </x:c>
      <x:c r="G420" t="str">
        <x:v>B</x:v>
      </x:c>
      <x:c r="H420" t="n">
        <x:v>21</x:v>
      </x:c>
      <x:c r="I420" t="str">
        <x:v>ORD-2025-00021</x:v>
      </x:c>
      <x:c r="J420" t="n">
        <x:v>9</x:v>
      </x:c>
      <x:c r="K420" t="n">
        <x:v>2</x:v>
      </x:c>
      <x:c r="L420" t="str">
        <x:v>L21-S09-C2</x:v>
      </x:c>
      <x:c r="M420" t="n">
        <x:v>1</x:v>
      </x:c>
      <x:c r="N420" t="str">
        <x:v>DerivedFromCount</x:v>
      </x:c>
      <x:c r="O420" t="str">
        <x:v>PLC-PRD-JAR-330-L21</x:v>
      </x:c>
      <x:c r="P420" t="str">
        <x:v>OK</x:v>
      </x:c>
      <x:c r="Q420" t="str">
        <x:v>OK</x:v>
      </x:c>
      <x:c r="R420" t="str">
        <x:v>OK</x:v>
      </x:c>
      <x:c r="S420" t="str">
        <x:v>OK</x:v>
      </x:c>
      <x:c r="T420" t="n">
        <x:v>30</x:v>
      </x:c>
      <x:c r="U420" t="str">
        <x:v>OK</x:v>
      </x:c>
      <x:c r="V420" t="str">
        <x:v>OK</x:v>
      </x:c>
      <x:c r="W420" t="str">
        <x:v>LOAD</x:v>
      </x:c>
      <x:c r="X420" t="str">
        <x:v>02_Supervisor_Log(4).xlsx</x:v>
      </x:c>
      <x:c r="Y420" t="str">
        <x:v>ENH-20260830-01</x:v>
      </x:c>
      <x:c r="Z420" t="str">
        <x:v>Active</x:v>
      </x:c>
      <x:c r="AA420"/>
      <x:c r="AB420"/>
      <x:c r="AC420"/>
      <x:c r="AD420"/>
    </x:row>
    <x:row r="421">
      <x:c r="A421" t="str">
        <x:v>PCC-PE-KG01-L21-20251025-AM-ORD-2025-00021-S09-C3</x:v>
      </x:c>
      <x:c r="B421" t="str">
        <x:v>PC-PE-KG01-L21-20251025-AM-ORD-2025-00021-S09</x:v>
      </x:c>
      <x:c r="C421" t="str">
        <x:v>PE-KG01-L21-20251025-AM-ORD-2025-00021</x:v>
      </x:c>
      <x:c r="D421" t="str">
        <x:v>KG01</x:v>
      </x:c>
      <x:c r="E421" s="62" t="n">
        <x:v>45955</x:v>
      </x:c>
      <x:c r="F421" t="str">
        <x:v>AM</x:v>
      </x:c>
      <x:c r="G421" t="str">
        <x:v>B</x:v>
      </x:c>
      <x:c r="H421" t="n">
        <x:v>21</x:v>
      </x:c>
      <x:c r="I421" t="str">
        <x:v>ORD-2025-00021</x:v>
      </x:c>
      <x:c r="J421" t="n">
        <x:v>9</x:v>
      </x:c>
      <x:c r="K421" t="n">
        <x:v>3</x:v>
      </x:c>
      <x:c r="L421" t="str">
        <x:v>L21-S09-C3</x:v>
      </x:c>
      <x:c r="M421" t="n">
        <x:v>1</x:v>
      </x:c>
      <x:c r="N421" t="str">
        <x:v>DerivedFromCount</x:v>
      </x:c>
      <x:c r="O421" t="str">
        <x:v>PLC-PRD-JAR-330-L21</x:v>
      </x:c>
      <x:c r="P421" t="str">
        <x:v>OK</x:v>
      </x:c>
      <x:c r="Q421" t="str">
        <x:v>OK</x:v>
      </x:c>
      <x:c r="R421" t="str">
        <x:v>OK</x:v>
      </x:c>
      <x:c r="S421" t="str">
        <x:v>OK</x:v>
      </x:c>
      <x:c r="T421" t="n">
        <x:v>30</x:v>
      </x:c>
      <x:c r="U421" t="str">
        <x:v>OK</x:v>
      </x:c>
      <x:c r="V421" t="str">
        <x:v>OK</x:v>
      </x:c>
      <x:c r="W421" t="str">
        <x:v>LOAD</x:v>
      </x:c>
      <x:c r="X421" t="str">
        <x:v>02_Supervisor_Log(4).xlsx</x:v>
      </x:c>
      <x:c r="Y421" t="str">
        <x:v>ENH-20260830-01</x:v>
      </x:c>
      <x:c r="Z421" t="str">
        <x:v>Active</x:v>
      </x:c>
      <x:c r="AA421"/>
      <x:c r="AB421"/>
      <x:c r="AC421"/>
      <x:c r="AD421"/>
    </x:row>
    <x:row r="422">
      <x:c r="A422" t="str">
        <x:v>PCC-PE-KG01-L21-20251025-AM-ORD-2025-00021-S10-C1</x:v>
      </x:c>
      <x:c r="B422" t="str">
        <x:v>PC-PE-KG01-L21-20251025-AM-ORD-2025-00021-S10</x:v>
      </x:c>
      <x:c r="C422" t="str">
        <x:v>PE-KG01-L21-20251025-AM-ORD-2025-00021</x:v>
      </x:c>
      <x:c r="D422" t="str">
        <x:v>KG01</x:v>
      </x:c>
      <x:c r="E422" s="62" t="n">
        <x:v>45955</x:v>
      </x:c>
      <x:c r="F422" t="str">
        <x:v>AM</x:v>
      </x:c>
      <x:c r="G422" t="str">
        <x:v>B</x:v>
      </x:c>
      <x:c r="H422" t="n">
        <x:v>21</x:v>
      </x:c>
      <x:c r="I422" t="str">
        <x:v>ORD-2025-00021</x:v>
      </x:c>
      <x:c r="J422" t="n">
        <x:v>10</x:v>
      </x:c>
      <x:c r="K422" t="n">
        <x:v>1</x:v>
      </x:c>
      <x:c r="L422" t="str">
        <x:v>L21-S10-C1</x:v>
      </x:c>
      <x:c r="M422" t="n">
        <x:v>1</x:v>
      </x:c>
      <x:c r="N422" t="str">
        <x:v>DerivedFromCount</x:v>
      </x:c>
      <x:c r="O422" t="str">
        <x:v>PLC-PRD-JAR-330-L21</x:v>
      </x:c>
      <x:c r="P422" t="str">
        <x:v>OK</x:v>
      </x:c>
      <x:c r="Q422" t="str">
        <x:v>OK</x:v>
      </x:c>
      <x:c r="R422" t="str">
        <x:v>OK</x:v>
      </x:c>
      <x:c r="S422" t="str">
        <x:v>OK</x:v>
      </x:c>
      <x:c r="T422" t="n">
        <x:v>30</x:v>
      </x:c>
      <x:c r="U422" t="str">
        <x:v>OK</x:v>
      </x:c>
      <x:c r="V422" t="str">
        <x:v>OK</x:v>
      </x:c>
      <x:c r="W422" t="str">
        <x:v>LOAD</x:v>
      </x:c>
      <x:c r="X422" t="str">
        <x:v>02_Supervisor_Log(4).xlsx</x:v>
      </x:c>
      <x:c r="Y422" t="str">
        <x:v>ENH-20260830-01</x:v>
      </x:c>
      <x:c r="Z422" t="str">
        <x:v>Active</x:v>
      </x:c>
      <x:c r="AA422"/>
      <x:c r="AB422"/>
      <x:c r="AC422"/>
      <x:c r="AD422"/>
    </x:row>
    <x:row r="423">
      <x:c r="A423" t="str">
        <x:v>PCC-PE-KG01-L21-20251025-AM-ORD-2025-00021-S10-C2</x:v>
      </x:c>
      <x:c r="B423" t="str">
        <x:v>PC-PE-KG01-L21-20251025-AM-ORD-2025-00021-S10</x:v>
      </x:c>
      <x:c r="C423" t="str">
        <x:v>PE-KG01-L21-20251025-AM-ORD-2025-00021</x:v>
      </x:c>
      <x:c r="D423" t="str">
        <x:v>KG01</x:v>
      </x:c>
      <x:c r="E423" s="62" t="n">
        <x:v>45955</x:v>
      </x:c>
      <x:c r="F423" t="str">
        <x:v>AM</x:v>
      </x:c>
      <x:c r="G423" t="str">
        <x:v>B</x:v>
      </x:c>
      <x:c r="H423" t="n">
        <x:v>21</x:v>
      </x:c>
      <x:c r="I423" t="str">
        <x:v>ORD-2025-00021</x:v>
      </x:c>
      <x:c r="J423" t="n">
        <x:v>10</x:v>
      </x:c>
      <x:c r="K423" t="n">
        <x:v>2</x:v>
      </x:c>
      <x:c r="L423" t="str">
        <x:v>L21-S10-C2</x:v>
      </x:c>
      <x:c r="M423" t="n">
        <x:v>1</x:v>
      </x:c>
      <x:c r="N423" t="str">
        <x:v>DerivedFromCount</x:v>
      </x:c>
      <x:c r="O423" t="str">
        <x:v>PLC-PRD-JAR-330-L21</x:v>
      </x:c>
      <x:c r="P423" t="str">
        <x:v>OK</x:v>
      </x:c>
      <x:c r="Q423" t="str">
        <x:v>OK</x:v>
      </x:c>
      <x:c r="R423" t="str">
        <x:v>OK</x:v>
      </x:c>
      <x:c r="S423" t="str">
        <x:v>OK</x:v>
      </x:c>
      <x:c r="T423" t="n">
        <x:v>30</x:v>
      </x:c>
      <x:c r="U423" t="str">
        <x:v>OK</x:v>
      </x:c>
      <x:c r="V423" t="str">
        <x:v>OK</x:v>
      </x:c>
      <x:c r="W423" t="str">
        <x:v>LOAD</x:v>
      </x:c>
      <x:c r="X423" t="str">
        <x:v>02_Supervisor_Log(4).xlsx</x:v>
      </x:c>
      <x:c r="Y423" t="str">
        <x:v>ENH-20260830-01</x:v>
      </x:c>
      <x:c r="Z423" t="str">
        <x:v>Active</x:v>
      </x:c>
      <x:c r="AA423"/>
      <x:c r="AB423"/>
      <x:c r="AC423"/>
      <x:c r="AD423"/>
    </x:row>
    <x:row r="424">
      <x:c r="A424" t="str">
        <x:v>PCC-PE-KG01-L21-20251025-AM-ORD-2025-00021-S10-C3</x:v>
      </x:c>
      <x:c r="B424" t="str">
        <x:v>PC-PE-KG01-L21-20251025-AM-ORD-2025-00021-S10</x:v>
      </x:c>
      <x:c r="C424" t="str">
        <x:v>PE-KG01-L21-20251025-AM-ORD-2025-00021</x:v>
      </x:c>
      <x:c r="D424" t="str">
        <x:v>KG01</x:v>
      </x:c>
      <x:c r="E424" s="62" t="n">
        <x:v>45955</x:v>
      </x:c>
      <x:c r="F424" t="str">
        <x:v>AM</x:v>
      </x:c>
      <x:c r="G424" t="str">
        <x:v>B</x:v>
      </x:c>
      <x:c r="H424" t="n">
        <x:v>21</x:v>
      </x:c>
      <x:c r="I424" t="str">
        <x:v>ORD-2025-00021</x:v>
      </x:c>
      <x:c r="J424" t="n">
        <x:v>10</x:v>
      </x:c>
      <x:c r="K424" t="n">
        <x:v>3</x:v>
      </x:c>
      <x:c r="L424" t="str">
        <x:v>L21-S10-C3</x:v>
      </x:c>
      <x:c r="M424" t="n">
        <x:v>1</x:v>
      </x:c>
      <x:c r="N424" t="str">
        <x:v>DerivedFromCount</x:v>
      </x:c>
      <x:c r="O424" t="str">
        <x:v>PLC-PRD-JAR-330-L21</x:v>
      </x:c>
      <x:c r="P424" t="str">
        <x:v>OK</x:v>
      </x:c>
      <x:c r="Q424" t="str">
        <x:v>OK</x:v>
      </x:c>
      <x:c r="R424" t="str">
        <x:v>OK</x:v>
      </x:c>
      <x:c r="S424" t="str">
        <x:v>OK</x:v>
      </x:c>
      <x:c r="T424" t="n">
        <x:v>30</x:v>
      </x:c>
      <x:c r="U424" t="str">
        <x:v>OK</x:v>
      </x:c>
      <x:c r="V424" t="str">
        <x:v>OK</x:v>
      </x:c>
      <x:c r="W424" t="str">
        <x:v>LOAD</x:v>
      </x:c>
      <x:c r="X424" t="str">
        <x:v>02_Supervisor_Log(4).xlsx</x:v>
      </x:c>
      <x:c r="Y424" t="str">
        <x:v>ENH-20260830-01</x:v>
      </x:c>
      <x:c r="Z424" t="str">
        <x:v>Active</x:v>
      </x:c>
      <x:c r="AA424"/>
      <x:c r="AB424"/>
      <x:c r="AC424"/>
      <x:c r="AD424"/>
    </x:row>
    <x:row r="425">
      <x:c r="A425" t="str">
        <x:v>PCC-PE-KG01-L21-20251025-AM-ORD-2025-00021-S11-C1</x:v>
      </x:c>
      <x:c r="B425" t="str">
        <x:v>PC-PE-KG01-L21-20251025-AM-ORD-2025-00021-S11</x:v>
      </x:c>
      <x:c r="C425" t="str">
        <x:v>PE-KG01-L21-20251025-AM-ORD-2025-00021</x:v>
      </x:c>
      <x:c r="D425" t="str">
        <x:v>KG01</x:v>
      </x:c>
      <x:c r="E425" s="62" t="n">
        <x:v>45955</x:v>
      </x:c>
      <x:c r="F425" t="str">
        <x:v>AM</x:v>
      </x:c>
      <x:c r="G425" t="str">
        <x:v>B</x:v>
      </x:c>
      <x:c r="H425" t="n">
        <x:v>21</x:v>
      </x:c>
      <x:c r="I425" t="str">
        <x:v>ORD-2025-00021</x:v>
      </x:c>
      <x:c r="J425" t="n">
        <x:v>11</x:v>
      </x:c>
      <x:c r="K425" t="n">
        <x:v>1</x:v>
      </x:c>
      <x:c r="L425" t="str">
        <x:v>L21-S11-C1</x:v>
      </x:c>
      <x:c r="M425" t="n">
        <x:v>0</x:v>
      </x:c>
      <x:c r="N425" t="str">
        <x:v>DerivedFromCount</x:v>
      </x:c>
      <x:c r="O425" t="str">
        <x:v>PLC-PRD-JAR-330-L21</x:v>
      </x:c>
      <x:c r="P425" t="str">
        <x:v>OK</x:v>
      </x:c>
      <x:c r="Q425" t="str">
        <x:v>OK</x:v>
      </x:c>
      <x:c r="R425" t="str">
        <x:v>OK</x:v>
      </x:c>
      <x:c r="S425" t="str">
        <x:v>OK</x:v>
      </x:c>
      <x:c r="T425" t="n">
        <x:v>30</x:v>
      </x:c>
      <x:c r="U425" t="str">
        <x:v>OK</x:v>
      </x:c>
      <x:c r="V425" t="str">
        <x:v>OK</x:v>
      </x:c>
      <x:c r="W425" t="str">
        <x:v>LOAD</x:v>
      </x:c>
      <x:c r="X425" t="str">
        <x:v>02_Supervisor_Log(4).xlsx</x:v>
      </x:c>
      <x:c r="Y425" t="str">
        <x:v>ENH-20260830-01</x:v>
      </x:c>
      <x:c r="Z425" t="str">
        <x:v>Active</x:v>
      </x:c>
      <x:c r="AA425"/>
      <x:c r="AB425"/>
      <x:c r="AC425"/>
      <x:c r="AD425"/>
    </x:row>
    <x:row r="426">
      <x:c r="A426" t="str">
        <x:v>PCC-PE-KG01-L21-20251025-AM-ORD-2025-00021-S11-C2</x:v>
      </x:c>
      <x:c r="B426" t="str">
        <x:v>PC-PE-KG01-L21-20251025-AM-ORD-2025-00021-S11</x:v>
      </x:c>
      <x:c r="C426" t="str">
        <x:v>PE-KG01-L21-20251025-AM-ORD-2025-00021</x:v>
      </x:c>
      <x:c r="D426" t="str">
        <x:v>KG01</x:v>
      </x:c>
      <x:c r="E426" s="62" t="n">
        <x:v>45955</x:v>
      </x:c>
      <x:c r="F426" t="str">
        <x:v>AM</x:v>
      </x:c>
      <x:c r="G426" t="str">
        <x:v>B</x:v>
      </x:c>
      <x:c r="H426" t="n">
        <x:v>21</x:v>
      </x:c>
      <x:c r="I426" t="str">
        <x:v>ORD-2025-00021</x:v>
      </x:c>
      <x:c r="J426" t="n">
        <x:v>11</x:v>
      </x:c>
      <x:c r="K426" t="n">
        <x:v>2</x:v>
      </x:c>
      <x:c r="L426" t="str">
        <x:v>L21-S11-C2</x:v>
      </x:c>
      <x:c r="M426" t="n">
        <x:v>0</x:v>
      </x:c>
      <x:c r="N426" t="str">
        <x:v>DerivedFromCount</x:v>
      </x:c>
      <x:c r="O426" t="str">
        <x:v>PLC-PRD-JAR-330-L21</x:v>
      </x:c>
      <x:c r="P426" t="str">
        <x:v>OK</x:v>
      </x:c>
      <x:c r="Q426" t="str">
        <x:v>OK</x:v>
      </x:c>
      <x:c r="R426" t="str">
        <x:v>OK</x:v>
      </x:c>
      <x:c r="S426" t="str">
        <x:v>OK</x:v>
      </x:c>
      <x:c r="T426" t="n">
        <x:v>30</x:v>
      </x:c>
      <x:c r="U426" t="str">
        <x:v>OK</x:v>
      </x:c>
      <x:c r="V426" t="str">
        <x:v>OK</x:v>
      </x:c>
      <x:c r="W426" t="str">
        <x:v>LOAD</x:v>
      </x:c>
      <x:c r="X426" t="str">
        <x:v>02_Supervisor_Log(4).xlsx</x:v>
      </x:c>
      <x:c r="Y426" t="str">
        <x:v>ENH-20260830-01</x:v>
      </x:c>
      <x:c r="Z426" t="str">
        <x:v>Active</x:v>
      </x:c>
      <x:c r="AA426"/>
      <x:c r="AB426"/>
      <x:c r="AC426"/>
      <x:c r="AD426"/>
    </x:row>
    <x:row r="427">
      <x:c r="A427" t="str">
        <x:v>PCC-PE-KG01-L21-20251025-AM-ORD-2025-00021-S11-C3</x:v>
      </x:c>
      <x:c r="B427" t="str">
        <x:v>PC-PE-KG01-L21-20251025-AM-ORD-2025-00021-S11</x:v>
      </x:c>
      <x:c r="C427" t="str">
        <x:v>PE-KG01-L21-20251025-AM-ORD-2025-00021</x:v>
      </x:c>
      <x:c r="D427" t="str">
        <x:v>KG01</x:v>
      </x:c>
      <x:c r="E427" s="62" t="n">
        <x:v>45955</x:v>
      </x:c>
      <x:c r="F427" t="str">
        <x:v>AM</x:v>
      </x:c>
      <x:c r="G427" t="str">
        <x:v>B</x:v>
      </x:c>
      <x:c r="H427" t="n">
        <x:v>21</x:v>
      </x:c>
      <x:c r="I427" t="str">
        <x:v>ORD-2025-00021</x:v>
      </x:c>
      <x:c r="J427" t="n">
        <x:v>11</x:v>
      </x:c>
      <x:c r="K427" t="n">
        <x:v>3</x:v>
      </x:c>
      <x:c r="L427" t="str">
        <x:v>L21-S11-C3</x:v>
      </x:c>
      <x:c r="M427" t="n">
        <x:v>0</x:v>
      </x:c>
      <x:c r="N427" t="str">
        <x:v>DerivedFromCount</x:v>
      </x:c>
      <x:c r="O427" t="str">
        <x:v>PLC-PRD-JAR-330-L21</x:v>
      </x:c>
      <x:c r="P427" t="str">
        <x:v>OK</x:v>
      </x:c>
      <x:c r="Q427" t="str">
        <x:v>OK</x:v>
      </x:c>
      <x:c r="R427" t="str">
        <x:v>OK</x:v>
      </x:c>
      <x:c r="S427" t="str">
        <x:v>OK</x:v>
      </x:c>
      <x:c r="T427" t="n">
        <x:v>30</x:v>
      </x:c>
      <x:c r="U427" t="str">
        <x:v>OK</x:v>
      </x:c>
      <x:c r="V427" t="str">
        <x:v>OK</x:v>
      </x:c>
      <x:c r="W427" t="str">
        <x:v>LOAD</x:v>
      </x:c>
      <x:c r="X427" t="str">
        <x:v>02_Supervisor_Log(4).xlsx</x:v>
      </x:c>
      <x:c r="Y427" t="str">
        <x:v>ENH-20260830-01</x:v>
      </x:c>
      <x:c r="Z427" t="str">
        <x:v>Active</x:v>
      </x:c>
      <x:c r="AA427"/>
      <x:c r="AB427"/>
      <x:c r="AC427"/>
      <x:c r="AD427"/>
    </x:row>
    <x:row r="428">
      <x:c r="A428" t="str">
        <x:v>PCC-PE-KG01-L21-20251025-AM-ORD-2025-00021-S12-C1</x:v>
      </x:c>
      <x:c r="B428" t="str">
        <x:v>PC-PE-KG01-L21-20251025-AM-ORD-2025-00021-S12</x:v>
      </x:c>
      <x:c r="C428" t="str">
        <x:v>PE-KG01-L21-20251025-AM-ORD-2025-00021</x:v>
      </x:c>
      <x:c r="D428" t="str">
        <x:v>KG01</x:v>
      </x:c>
      <x:c r="E428" s="62" t="n">
        <x:v>45955</x:v>
      </x:c>
      <x:c r="F428" t="str">
        <x:v>AM</x:v>
      </x:c>
      <x:c r="G428" t="str">
        <x:v>B</x:v>
      </x:c>
      <x:c r="H428" t="n">
        <x:v>21</x:v>
      </x:c>
      <x:c r="I428" t="str">
        <x:v>ORD-2025-00021</x:v>
      </x:c>
      <x:c r="J428" t="n">
        <x:v>12</x:v>
      </x:c>
      <x:c r="K428" t="n">
        <x:v>1</x:v>
      </x:c>
      <x:c r="L428" t="str">
        <x:v>L21-S12-C1</x:v>
      </x:c>
      <x:c r="M428" t="n">
        <x:v>0</x:v>
      </x:c>
      <x:c r="N428" t="str">
        <x:v>DerivedFromCount</x:v>
      </x:c>
      <x:c r="O428" t="str">
        <x:v>PLC-PRD-JAR-330-L21</x:v>
      </x:c>
      <x:c r="P428" t="str">
        <x:v>OK</x:v>
      </x:c>
      <x:c r="Q428" t="str">
        <x:v>OK</x:v>
      </x:c>
      <x:c r="R428" t="str">
        <x:v>OK</x:v>
      </x:c>
      <x:c r="S428" t="str">
        <x:v>OK</x:v>
      </x:c>
      <x:c r="T428" t="n">
        <x:v>30</x:v>
      </x:c>
      <x:c r="U428" t="str">
        <x:v>OK</x:v>
      </x:c>
      <x:c r="V428" t="str">
        <x:v>OK</x:v>
      </x:c>
      <x:c r="W428" t="str">
        <x:v>LOAD</x:v>
      </x:c>
      <x:c r="X428" t="str">
        <x:v>02_Supervisor_Log(4).xlsx</x:v>
      </x:c>
      <x:c r="Y428" t="str">
        <x:v>ENH-20260830-01</x:v>
      </x:c>
      <x:c r="Z428" t="str">
        <x:v>Active</x:v>
      </x:c>
      <x:c r="AA428"/>
      <x:c r="AB428"/>
      <x:c r="AC428"/>
      <x:c r="AD428"/>
    </x:row>
    <x:row r="429">
      <x:c r="A429" t="str">
        <x:v>PCC-PE-KG01-L21-20251025-AM-ORD-2025-00021-S12-C2</x:v>
      </x:c>
      <x:c r="B429" t="str">
        <x:v>PC-PE-KG01-L21-20251025-AM-ORD-2025-00021-S12</x:v>
      </x:c>
      <x:c r="C429" t="str">
        <x:v>PE-KG01-L21-20251025-AM-ORD-2025-00021</x:v>
      </x:c>
      <x:c r="D429" t="str">
        <x:v>KG01</x:v>
      </x:c>
      <x:c r="E429" s="62" t="n">
        <x:v>45955</x:v>
      </x:c>
      <x:c r="F429" t="str">
        <x:v>AM</x:v>
      </x:c>
      <x:c r="G429" t="str">
        <x:v>B</x:v>
      </x:c>
      <x:c r="H429" t="n">
        <x:v>21</x:v>
      </x:c>
      <x:c r="I429" t="str">
        <x:v>ORD-2025-00021</x:v>
      </x:c>
      <x:c r="J429" t="n">
        <x:v>12</x:v>
      </x:c>
      <x:c r="K429" t="n">
        <x:v>2</x:v>
      </x:c>
      <x:c r="L429" t="str">
        <x:v>L21-S12-C2</x:v>
      </x:c>
      <x:c r="M429" t="n">
        <x:v>0</x:v>
      </x:c>
      <x:c r="N429" t="str">
        <x:v>DerivedFromCount</x:v>
      </x:c>
      <x:c r="O429" t="str">
        <x:v>PLC-PRD-JAR-330-L21</x:v>
      </x:c>
      <x:c r="P429" t="str">
        <x:v>OK</x:v>
      </x:c>
      <x:c r="Q429" t="str">
        <x:v>OK</x:v>
      </x:c>
      <x:c r="R429" t="str">
        <x:v>OK</x:v>
      </x:c>
      <x:c r="S429" t="str">
        <x:v>OK</x:v>
      </x:c>
      <x:c r="T429" t="n">
        <x:v>30</x:v>
      </x:c>
      <x:c r="U429" t="str">
        <x:v>OK</x:v>
      </x:c>
      <x:c r="V429" t="str">
        <x:v>OK</x:v>
      </x:c>
      <x:c r="W429" t="str">
        <x:v>LOAD</x:v>
      </x:c>
      <x:c r="X429" t="str">
        <x:v>02_Supervisor_Log(4).xlsx</x:v>
      </x:c>
      <x:c r="Y429" t="str">
        <x:v>ENH-20260830-01</x:v>
      </x:c>
      <x:c r="Z429" t="str">
        <x:v>Active</x:v>
      </x:c>
      <x:c r="AA429"/>
      <x:c r="AB429"/>
      <x:c r="AC429"/>
      <x:c r="AD429"/>
    </x:row>
    <x:row r="430">
      <x:c r="A430" t="str">
        <x:v>PCC-PE-KG01-L21-20251025-AM-ORD-2025-00021-S12-C3</x:v>
      </x:c>
      <x:c r="B430" t="str">
        <x:v>PC-PE-KG01-L21-20251025-AM-ORD-2025-00021-S12</x:v>
      </x:c>
      <x:c r="C430" t="str">
        <x:v>PE-KG01-L21-20251025-AM-ORD-2025-00021</x:v>
      </x:c>
      <x:c r="D430" t="str">
        <x:v>KG01</x:v>
      </x:c>
      <x:c r="E430" s="62" t="n">
        <x:v>45955</x:v>
      </x:c>
      <x:c r="F430" t="str">
        <x:v>AM</x:v>
      </x:c>
      <x:c r="G430" t="str">
        <x:v>B</x:v>
      </x:c>
      <x:c r="H430" t="n">
        <x:v>21</x:v>
      </x:c>
      <x:c r="I430" t="str">
        <x:v>ORD-2025-00021</x:v>
      </x:c>
      <x:c r="J430" t="n">
        <x:v>12</x:v>
      </x:c>
      <x:c r="K430" t="n">
        <x:v>3</x:v>
      </x:c>
      <x:c r="L430" t="str">
        <x:v>L21-S12-C3</x:v>
      </x:c>
      <x:c r="M430" t="n">
        <x:v>0</x:v>
      </x:c>
      <x:c r="N430" t="str">
        <x:v>DerivedFromCount</x:v>
      </x:c>
      <x:c r="O430" t="str">
        <x:v>PLC-PRD-JAR-330-L21</x:v>
      </x:c>
      <x:c r="P430" t="str">
        <x:v>OK</x:v>
      </x:c>
      <x:c r="Q430" t="str">
        <x:v>OK</x:v>
      </x:c>
      <x:c r="R430" t="str">
        <x:v>OK</x:v>
      </x:c>
      <x:c r="S430" t="str">
        <x:v>OK</x:v>
      </x:c>
      <x:c r="T430" t="n">
        <x:v>30</x:v>
      </x:c>
      <x:c r="U430" t="str">
        <x:v>OK</x:v>
      </x:c>
      <x:c r="V430" t="str">
        <x:v>OK</x:v>
      </x:c>
      <x:c r="W430" t="str">
        <x:v>LOAD</x:v>
      </x:c>
      <x:c r="X430" t="str">
        <x:v>02_Supervisor_Log(4).xlsx</x:v>
      </x:c>
      <x:c r="Y430" t="str">
        <x:v>ENH-20260830-01</x:v>
      </x:c>
      <x:c r="Z430" t="str">
        <x:v>Active</x:v>
      </x:c>
      <x:c r="AA430"/>
      <x:c r="AB430"/>
      <x:c r="AC430"/>
      <x:c r="AD430"/>
    </x:row>
    <x:row r="431">
      <x:c r="A431" t="str">
        <x:v>PCC-PE-KG01-L21-20251025-AM-ORD-2025-00021-S13-C1</x:v>
      </x:c>
      <x:c r="B431" t="str">
        <x:v>PC-PE-KG01-L21-20251025-AM-ORD-2025-00021-S13</x:v>
      </x:c>
      <x:c r="C431" t="str">
        <x:v>PE-KG01-L21-20251025-AM-ORD-2025-00021</x:v>
      </x:c>
      <x:c r="D431" t="str">
        <x:v>KG01</x:v>
      </x:c>
      <x:c r="E431" s="62" t="n">
        <x:v>45955</x:v>
      </x:c>
      <x:c r="F431" t="str">
        <x:v>AM</x:v>
      </x:c>
      <x:c r="G431" t="str">
        <x:v>B</x:v>
      </x:c>
      <x:c r="H431" t="n">
        <x:v>21</x:v>
      </x:c>
      <x:c r="I431" t="str">
        <x:v>ORD-2025-00021</x:v>
      </x:c>
      <x:c r="J431" t="n">
        <x:v>13</x:v>
      </x:c>
      <x:c r="K431" t="n">
        <x:v>1</x:v>
      </x:c>
      <x:c r="L431" t="str">
        <x:v>L21-S13-C1</x:v>
      </x:c>
      <x:c r="M431" t="n">
        <x:v>0</x:v>
      </x:c>
      <x:c r="N431" t="str">
        <x:v>DerivedFromCount</x:v>
      </x:c>
      <x:c r="O431" t="str">
        <x:v>PLC-PRD-JAR-330-L21</x:v>
      </x:c>
      <x:c r="P431" t="str">
        <x:v>OK</x:v>
      </x:c>
      <x:c r="Q431" t="str">
        <x:v>OK</x:v>
      </x:c>
      <x:c r="R431" t="str">
        <x:v>OK</x:v>
      </x:c>
      <x:c r="S431" t="str">
        <x:v>OK</x:v>
      </x:c>
      <x:c r="T431" t="n">
        <x:v>30</x:v>
      </x:c>
      <x:c r="U431" t="str">
        <x:v>OK</x:v>
      </x:c>
      <x:c r="V431" t="str">
        <x:v>OK</x:v>
      </x:c>
      <x:c r="W431" t="str">
        <x:v>LOAD</x:v>
      </x:c>
      <x:c r="X431" t="str">
        <x:v>02_Supervisor_Log(4).xlsx</x:v>
      </x:c>
      <x:c r="Y431" t="str">
        <x:v>ENH-20260830-01</x:v>
      </x:c>
      <x:c r="Z431" t="str">
        <x:v>Active</x:v>
      </x:c>
      <x:c r="AA431"/>
      <x:c r="AB431"/>
      <x:c r="AC431"/>
      <x:c r="AD431"/>
    </x:row>
    <x:row r="432">
      <x:c r="A432" t="str">
        <x:v>PCC-PE-KG01-L21-20251025-AM-ORD-2025-00021-S13-C2</x:v>
      </x:c>
      <x:c r="B432" t="str">
        <x:v>PC-PE-KG01-L21-20251025-AM-ORD-2025-00021-S13</x:v>
      </x:c>
      <x:c r="C432" t="str">
        <x:v>PE-KG01-L21-20251025-AM-ORD-2025-00021</x:v>
      </x:c>
      <x:c r="D432" t="str">
        <x:v>KG01</x:v>
      </x:c>
      <x:c r="E432" s="62" t="n">
        <x:v>45955</x:v>
      </x:c>
      <x:c r="F432" t="str">
        <x:v>AM</x:v>
      </x:c>
      <x:c r="G432" t="str">
        <x:v>B</x:v>
      </x:c>
      <x:c r="H432" t="n">
        <x:v>21</x:v>
      </x:c>
      <x:c r="I432" t="str">
        <x:v>ORD-2025-00021</x:v>
      </x:c>
      <x:c r="J432" t="n">
        <x:v>13</x:v>
      </x:c>
      <x:c r="K432" t="n">
        <x:v>2</x:v>
      </x:c>
      <x:c r="L432" t="str">
        <x:v>L21-S13-C2</x:v>
      </x:c>
      <x:c r="M432" t="n">
        <x:v>0</x:v>
      </x:c>
      <x:c r="N432" t="str">
        <x:v>DerivedFromCount</x:v>
      </x:c>
      <x:c r="O432" t="str">
        <x:v>PLC-PRD-JAR-330-L21</x:v>
      </x:c>
      <x:c r="P432" t="str">
        <x:v>OK</x:v>
      </x:c>
      <x:c r="Q432" t="str">
        <x:v>OK</x:v>
      </x:c>
      <x:c r="R432" t="str">
        <x:v>OK</x:v>
      </x:c>
      <x:c r="S432" t="str">
        <x:v>OK</x:v>
      </x:c>
      <x:c r="T432" t="n">
        <x:v>30</x:v>
      </x:c>
      <x:c r="U432" t="str">
        <x:v>OK</x:v>
      </x:c>
      <x:c r="V432" t="str">
        <x:v>OK</x:v>
      </x:c>
      <x:c r="W432" t="str">
        <x:v>LOAD</x:v>
      </x:c>
      <x:c r="X432" t="str">
        <x:v>02_Supervisor_Log(4).xlsx</x:v>
      </x:c>
      <x:c r="Y432" t="str">
        <x:v>ENH-20260830-01</x:v>
      </x:c>
      <x:c r="Z432" t="str">
        <x:v>Active</x:v>
      </x:c>
      <x:c r="AA432"/>
      <x:c r="AB432"/>
      <x:c r="AC432"/>
      <x:c r="AD432"/>
    </x:row>
    <x:row r="433">
      <x:c r="A433" t="str">
        <x:v>PCC-PE-KG01-L21-20251025-AM-ORD-2025-00021-S13-C3</x:v>
      </x:c>
      <x:c r="B433" t="str">
        <x:v>PC-PE-KG01-L21-20251025-AM-ORD-2025-00021-S13</x:v>
      </x:c>
      <x:c r="C433" t="str">
        <x:v>PE-KG01-L21-20251025-AM-ORD-2025-00021</x:v>
      </x:c>
      <x:c r="D433" t="str">
        <x:v>KG01</x:v>
      </x:c>
      <x:c r="E433" s="62" t="n">
        <x:v>45955</x:v>
      </x:c>
      <x:c r="F433" t="str">
        <x:v>AM</x:v>
      </x:c>
      <x:c r="G433" t="str">
        <x:v>B</x:v>
      </x:c>
      <x:c r="H433" t="n">
        <x:v>21</x:v>
      </x:c>
      <x:c r="I433" t="str">
        <x:v>ORD-2025-00021</x:v>
      </x:c>
      <x:c r="J433" t="n">
        <x:v>13</x:v>
      </x:c>
      <x:c r="K433" t="n">
        <x:v>3</x:v>
      </x:c>
      <x:c r="L433" t="str">
        <x:v>L21-S13-C3</x:v>
      </x:c>
      <x:c r="M433" t="n">
        <x:v>0</x:v>
      </x:c>
      <x:c r="N433" t="str">
        <x:v>DerivedFromCount</x:v>
      </x:c>
      <x:c r="O433" t="str">
        <x:v>PLC-PRD-JAR-330-L21</x:v>
      </x:c>
      <x:c r="P433" t="str">
        <x:v>OK</x:v>
      </x:c>
      <x:c r="Q433" t="str">
        <x:v>OK</x:v>
      </x:c>
      <x:c r="R433" t="str">
        <x:v>OK</x:v>
      </x:c>
      <x:c r="S433" t="str">
        <x:v>OK</x:v>
      </x:c>
      <x:c r="T433" t="n">
        <x:v>30</x:v>
      </x:c>
      <x:c r="U433" t="str">
        <x:v>OK</x:v>
      </x:c>
      <x:c r="V433" t="str">
        <x:v>OK</x:v>
      </x:c>
      <x:c r="W433" t="str">
        <x:v>LOAD</x:v>
      </x:c>
      <x:c r="X433" t="str">
        <x:v>02_Supervisor_Log(4).xlsx</x:v>
      </x:c>
      <x:c r="Y433" t="str">
        <x:v>ENH-20260830-01</x:v>
      </x:c>
      <x:c r="Z433" t="str">
        <x:v>Active</x:v>
      </x:c>
      <x:c r="AA433"/>
      <x:c r="AB433"/>
      <x:c r="AC433"/>
      <x:c r="AD433"/>
    </x:row>
    <x:row r="434">
      <x:c r="A434" t="str">
        <x:v>PCC-PE-KG01-L21-20251025-PM-ORD-2025-00021-S01-C1</x:v>
      </x:c>
      <x:c r="B434" t="str">
        <x:v>PC-PE-KG01-L21-20251025-PM-ORD-2025-00021-S01</x:v>
      </x:c>
      <x:c r="C434" t="str">
        <x:v>PE-KG01-L21-20251025-PM-ORD-2025-00021</x:v>
      </x:c>
      <x:c r="D434" t="str">
        <x:v>KG01</x:v>
      </x:c>
      <x:c r="E434" s="62" t="n">
        <x:v>45955</x:v>
      </x:c>
      <x:c r="F434" t="str">
        <x:v>PM</x:v>
      </x:c>
      <x:c r="G434" t="str">
        <x:v>C</x:v>
      </x:c>
      <x:c r="H434" t="n">
        <x:v>21</x:v>
      </x:c>
      <x:c r="I434" t="str">
        <x:v>ORD-2025-00021</x:v>
      </x:c>
      <x:c r="J434" t="n">
        <x:v>1</x:v>
      </x:c>
      <x:c r="K434" t="n">
        <x:v>1</x:v>
      </x:c>
      <x:c r="L434" t="str">
        <x:v>L21-S01-C1</x:v>
      </x:c>
      <x:c r="M434" t="n">
        <x:v>1</x:v>
      </x:c>
      <x:c r="N434" t="str">
        <x:v>DerivedFromCount</x:v>
      </x:c>
      <x:c r="O434" t="str">
        <x:v>PLC-PRD-JAR-330-L21</x:v>
      </x:c>
      <x:c r="P434" t="str">
        <x:v>OK</x:v>
      </x:c>
      <x:c r="Q434" t="str">
        <x:v>OK</x:v>
      </x:c>
      <x:c r="R434" t="str">
        <x:v>OK</x:v>
      </x:c>
      <x:c r="S434" t="str">
        <x:v>OK</x:v>
      </x:c>
      <x:c r="T434" t="n">
        <x:v>30</x:v>
      </x:c>
      <x:c r="U434" t="str">
        <x:v>OK</x:v>
      </x:c>
      <x:c r="V434" t="str">
        <x:v>OK</x:v>
      </x:c>
      <x:c r="W434" t="str">
        <x:v>LOAD</x:v>
      </x:c>
      <x:c r="X434" t="str">
        <x:v>02_Supervisor_Log(4).xlsx</x:v>
      </x:c>
      <x:c r="Y434" t="str">
        <x:v>ENH-20260830-01</x:v>
      </x:c>
      <x:c r="Z434" t="str">
        <x:v>Active</x:v>
      </x:c>
      <x:c r="AA434"/>
      <x:c r="AB434"/>
      <x:c r="AC434"/>
      <x:c r="AD434"/>
    </x:row>
    <x:row r="435">
      <x:c r="A435" t="str">
        <x:v>PCC-PE-KG01-L21-20251025-PM-ORD-2025-00021-S01-C2</x:v>
      </x:c>
      <x:c r="B435" t="str">
        <x:v>PC-PE-KG01-L21-20251025-PM-ORD-2025-00021-S01</x:v>
      </x:c>
      <x:c r="C435" t="str">
        <x:v>PE-KG01-L21-20251025-PM-ORD-2025-00021</x:v>
      </x:c>
      <x:c r="D435" t="str">
        <x:v>KG01</x:v>
      </x:c>
      <x:c r="E435" s="62" t="n">
        <x:v>45955</x:v>
      </x:c>
      <x:c r="F435" t="str">
        <x:v>PM</x:v>
      </x:c>
      <x:c r="G435" t="str">
        <x:v>C</x:v>
      </x:c>
      <x:c r="H435" t="n">
        <x:v>21</x:v>
      </x:c>
      <x:c r="I435" t="str">
        <x:v>ORD-2025-00021</x:v>
      </x:c>
      <x:c r="J435" t="n">
        <x:v>1</x:v>
      </x:c>
      <x:c r="K435" t="n">
        <x:v>2</x:v>
      </x:c>
      <x:c r="L435" t="str">
        <x:v>L21-S01-C2</x:v>
      </x:c>
      <x:c r="M435" t="n">
        <x:v>1</x:v>
      </x:c>
      <x:c r="N435" t="str">
        <x:v>DerivedFromCount</x:v>
      </x:c>
      <x:c r="O435" t="str">
        <x:v>PLC-PRD-JAR-330-L21</x:v>
      </x:c>
      <x:c r="P435" t="str">
        <x:v>OK</x:v>
      </x:c>
      <x:c r="Q435" t="str">
        <x:v>OK</x:v>
      </x:c>
      <x:c r="R435" t="str">
        <x:v>OK</x:v>
      </x:c>
      <x:c r="S435" t="str">
        <x:v>OK</x:v>
      </x:c>
      <x:c r="T435" t="n">
        <x:v>30</x:v>
      </x:c>
      <x:c r="U435" t="str">
        <x:v>OK</x:v>
      </x:c>
      <x:c r="V435" t="str">
        <x:v>OK</x:v>
      </x:c>
      <x:c r="W435" t="str">
        <x:v>LOAD</x:v>
      </x:c>
      <x:c r="X435" t="str">
        <x:v>02_Supervisor_Log(4).xlsx</x:v>
      </x:c>
      <x:c r="Y435" t="str">
        <x:v>ENH-20260830-01</x:v>
      </x:c>
      <x:c r="Z435" t="str">
        <x:v>Active</x:v>
      </x:c>
      <x:c r="AA435"/>
      <x:c r="AB435"/>
      <x:c r="AC435"/>
      <x:c r="AD435"/>
    </x:row>
    <x:row r="436">
      <x:c r="A436" t="str">
        <x:v>PCC-PE-KG01-L21-20251025-PM-ORD-2025-00021-S01-C3</x:v>
      </x:c>
      <x:c r="B436" t="str">
        <x:v>PC-PE-KG01-L21-20251025-PM-ORD-2025-00021-S01</x:v>
      </x:c>
      <x:c r="C436" t="str">
        <x:v>PE-KG01-L21-20251025-PM-ORD-2025-00021</x:v>
      </x:c>
      <x:c r="D436" t="str">
        <x:v>KG01</x:v>
      </x:c>
      <x:c r="E436" s="62" t="n">
        <x:v>45955</x:v>
      </x:c>
      <x:c r="F436" t="str">
        <x:v>PM</x:v>
      </x:c>
      <x:c r="G436" t="str">
        <x:v>C</x:v>
      </x:c>
      <x:c r="H436" t="n">
        <x:v>21</x:v>
      </x:c>
      <x:c r="I436" t="str">
        <x:v>ORD-2025-00021</x:v>
      </x:c>
      <x:c r="J436" t="n">
        <x:v>1</x:v>
      </x:c>
      <x:c r="K436" t="n">
        <x:v>3</x:v>
      </x:c>
      <x:c r="L436" t="str">
        <x:v>L21-S01-C3</x:v>
      </x:c>
      <x:c r="M436" t="n">
        <x:v>1</x:v>
      </x:c>
      <x:c r="N436" t="str">
        <x:v>DerivedFromCount</x:v>
      </x:c>
      <x:c r="O436" t="str">
        <x:v>PLC-PRD-JAR-330-L21</x:v>
      </x:c>
      <x:c r="P436" t="str">
        <x:v>OK</x:v>
      </x:c>
      <x:c r="Q436" t="str">
        <x:v>OK</x:v>
      </x:c>
      <x:c r="R436" t="str">
        <x:v>OK</x:v>
      </x:c>
      <x:c r="S436" t="str">
        <x:v>OK</x:v>
      </x:c>
      <x:c r="T436" t="n">
        <x:v>30</x:v>
      </x:c>
      <x:c r="U436" t="str">
        <x:v>OK</x:v>
      </x:c>
      <x:c r="V436" t="str">
        <x:v>OK</x:v>
      </x:c>
      <x:c r="W436" t="str">
        <x:v>LOAD</x:v>
      </x:c>
      <x:c r="X436" t="str">
        <x:v>02_Supervisor_Log(4).xlsx</x:v>
      </x:c>
      <x:c r="Y436" t="str">
        <x:v>ENH-20260830-01</x:v>
      </x:c>
      <x:c r="Z436" t="str">
        <x:v>Active</x:v>
      </x:c>
      <x:c r="AA436"/>
      <x:c r="AB436"/>
      <x:c r="AC436"/>
      <x:c r="AD436"/>
    </x:row>
    <x:row r="437">
      <x:c r="A437" t="str">
        <x:v>PCC-PE-KG01-L21-20251025-PM-ORD-2025-00021-S02-C1</x:v>
      </x:c>
      <x:c r="B437" t="str">
        <x:v>PC-PE-KG01-L21-20251025-PM-ORD-2025-00021-S02</x:v>
      </x:c>
      <x:c r="C437" t="str">
        <x:v>PE-KG01-L21-20251025-PM-ORD-2025-00021</x:v>
      </x:c>
      <x:c r="D437" t="str">
        <x:v>KG01</x:v>
      </x:c>
      <x:c r="E437" s="62" t="n">
        <x:v>45955</x:v>
      </x:c>
      <x:c r="F437" t="str">
        <x:v>PM</x:v>
      </x:c>
      <x:c r="G437" t="str">
        <x:v>C</x:v>
      </x:c>
      <x:c r="H437" t="n">
        <x:v>21</x:v>
      </x:c>
      <x:c r="I437" t="str">
        <x:v>ORD-2025-00021</x:v>
      </x:c>
      <x:c r="J437" t="n">
        <x:v>2</x:v>
      </x:c>
      <x:c r="K437" t="n">
        <x:v>1</x:v>
      </x:c>
      <x:c r="L437" t="str">
        <x:v>L21-S02-C1</x:v>
      </x:c>
      <x:c r="M437" t="n">
        <x:v>1</x:v>
      </x:c>
      <x:c r="N437" t="str">
        <x:v>DerivedFromCount</x:v>
      </x:c>
      <x:c r="O437" t="str">
        <x:v>PLC-PRD-JAR-330-L21</x:v>
      </x:c>
      <x:c r="P437" t="str">
        <x:v>OK</x:v>
      </x:c>
      <x:c r="Q437" t="str">
        <x:v>OK</x:v>
      </x:c>
      <x:c r="R437" t="str">
        <x:v>OK</x:v>
      </x:c>
      <x:c r="S437" t="str">
        <x:v>OK</x:v>
      </x:c>
      <x:c r="T437" t="n">
        <x:v>30</x:v>
      </x:c>
      <x:c r="U437" t="str">
        <x:v>OK</x:v>
      </x:c>
      <x:c r="V437" t="str">
        <x:v>OK</x:v>
      </x:c>
      <x:c r="W437" t="str">
        <x:v>LOAD</x:v>
      </x:c>
      <x:c r="X437" t="str">
        <x:v>02_Supervisor_Log(4).xlsx</x:v>
      </x:c>
      <x:c r="Y437" t="str">
        <x:v>ENH-20260830-01</x:v>
      </x:c>
      <x:c r="Z437" t="str">
        <x:v>Active</x:v>
      </x:c>
      <x:c r="AA437"/>
      <x:c r="AB437"/>
      <x:c r="AC437"/>
      <x:c r="AD437"/>
    </x:row>
    <x:row r="438">
      <x:c r="A438" t="str">
        <x:v>PCC-PE-KG01-L21-20251025-PM-ORD-2025-00021-S02-C2</x:v>
      </x:c>
      <x:c r="B438" t="str">
        <x:v>PC-PE-KG01-L21-20251025-PM-ORD-2025-00021-S02</x:v>
      </x:c>
      <x:c r="C438" t="str">
        <x:v>PE-KG01-L21-20251025-PM-ORD-2025-00021</x:v>
      </x:c>
      <x:c r="D438" t="str">
        <x:v>KG01</x:v>
      </x:c>
      <x:c r="E438" s="62" t="n">
        <x:v>45955</x:v>
      </x:c>
      <x:c r="F438" t="str">
        <x:v>PM</x:v>
      </x:c>
      <x:c r="G438" t="str">
        <x:v>C</x:v>
      </x:c>
      <x:c r="H438" t="n">
        <x:v>21</x:v>
      </x:c>
      <x:c r="I438" t="str">
        <x:v>ORD-2025-00021</x:v>
      </x:c>
      <x:c r="J438" t="n">
        <x:v>2</x:v>
      </x:c>
      <x:c r="K438" t="n">
        <x:v>2</x:v>
      </x:c>
      <x:c r="L438" t="str">
        <x:v>L21-S02-C2</x:v>
      </x:c>
      <x:c r="M438" t="n">
        <x:v>1</x:v>
      </x:c>
      <x:c r="N438" t="str">
        <x:v>DerivedFromCount</x:v>
      </x:c>
      <x:c r="O438" t="str">
        <x:v>PLC-PRD-JAR-330-L21</x:v>
      </x:c>
      <x:c r="P438" t="str">
        <x:v>OK</x:v>
      </x:c>
      <x:c r="Q438" t="str">
        <x:v>OK</x:v>
      </x:c>
      <x:c r="R438" t="str">
        <x:v>OK</x:v>
      </x:c>
      <x:c r="S438" t="str">
        <x:v>OK</x:v>
      </x:c>
      <x:c r="T438" t="n">
        <x:v>30</x:v>
      </x:c>
      <x:c r="U438" t="str">
        <x:v>OK</x:v>
      </x:c>
      <x:c r="V438" t="str">
        <x:v>OK</x:v>
      </x:c>
      <x:c r="W438" t="str">
        <x:v>LOAD</x:v>
      </x:c>
      <x:c r="X438" t="str">
        <x:v>02_Supervisor_Log(4).xlsx</x:v>
      </x:c>
      <x:c r="Y438" t="str">
        <x:v>ENH-20260830-01</x:v>
      </x:c>
      <x:c r="Z438" t="str">
        <x:v>Active</x:v>
      </x:c>
      <x:c r="AA438"/>
      <x:c r="AB438"/>
      <x:c r="AC438"/>
      <x:c r="AD438"/>
    </x:row>
    <x:row r="439">
      <x:c r="A439" t="str">
        <x:v>PCC-PE-KG01-L21-20251025-PM-ORD-2025-00021-S02-C3</x:v>
      </x:c>
      <x:c r="B439" t="str">
        <x:v>PC-PE-KG01-L21-20251025-PM-ORD-2025-00021-S02</x:v>
      </x:c>
      <x:c r="C439" t="str">
        <x:v>PE-KG01-L21-20251025-PM-ORD-2025-00021</x:v>
      </x:c>
      <x:c r="D439" t="str">
        <x:v>KG01</x:v>
      </x:c>
      <x:c r="E439" s="62" t="n">
        <x:v>45955</x:v>
      </x:c>
      <x:c r="F439" t="str">
        <x:v>PM</x:v>
      </x:c>
      <x:c r="G439" t="str">
        <x:v>C</x:v>
      </x:c>
      <x:c r="H439" t="n">
        <x:v>21</x:v>
      </x:c>
      <x:c r="I439" t="str">
        <x:v>ORD-2025-00021</x:v>
      </x:c>
      <x:c r="J439" t="n">
        <x:v>2</x:v>
      </x:c>
      <x:c r="K439" t="n">
        <x:v>3</x:v>
      </x:c>
      <x:c r="L439" t="str">
        <x:v>L21-S02-C3</x:v>
      </x:c>
      <x:c r="M439" t="n">
        <x:v>1</x:v>
      </x:c>
      <x:c r="N439" t="str">
        <x:v>DerivedFromCount</x:v>
      </x:c>
      <x:c r="O439" t="str">
        <x:v>PLC-PRD-JAR-330-L21</x:v>
      </x:c>
      <x:c r="P439" t="str">
        <x:v>OK</x:v>
      </x:c>
      <x:c r="Q439" t="str">
        <x:v>OK</x:v>
      </x:c>
      <x:c r="R439" t="str">
        <x:v>OK</x:v>
      </x:c>
      <x:c r="S439" t="str">
        <x:v>OK</x:v>
      </x:c>
      <x:c r="T439" t="n">
        <x:v>30</x:v>
      </x:c>
      <x:c r="U439" t="str">
        <x:v>OK</x:v>
      </x:c>
      <x:c r="V439" t="str">
        <x:v>OK</x:v>
      </x:c>
      <x:c r="W439" t="str">
        <x:v>LOAD</x:v>
      </x:c>
      <x:c r="X439" t="str">
        <x:v>02_Supervisor_Log(4).xlsx</x:v>
      </x:c>
      <x:c r="Y439" t="str">
        <x:v>ENH-20260830-01</x:v>
      </x:c>
      <x:c r="Z439" t="str">
        <x:v>Active</x:v>
      </x:c>
      <x:c r="AA439"/>
      <x:c r="AB439"/>
      <x:c r="AC439"/>
      <x:c r="AD439"/>
    </x:row>
    <x:row r="440">
      <x:c r="A440" t="str">
        <x:v>PCC-PE-KG01-L21-20251025-PM-ORD-2025-00021-S03-C1</x:v>
      </x:c>
      <x:c r="B440" t="str">
        <x:v>PC-PE-KG01-L21-20251025-PM-ORD-2025-00021-S03</x:v>
      </x:c>
      <x:c r="C440" t="str">
        <x:v>PE-KG01-L21-20251025-PM-ORD-2025-00021</x:v>
      </x:c>
      <x:c r="D440" t="str">
        <x:v>KG01</x:v>
      </x:c>
      <x:c r="E440" s="62" t="n">
        <x:v>45955</x:v>
      </x:c>
      <x:c r="F440" t="str">
        <x:v>PM</x:v>
      </x:c>
      <x:c r="G440" t="str">
        <x:v>C</x:v>
      </x:c>
      <x:c r="H440" t="n">
        <x:v>21</x:v>
      </x:c>
      <x:c r="I440" t="str">
        <x:v>ORD-2025-00021</x:v>
      </x:c>
      <x:c r="J440" t="n">
        <x:v>3</x:v>
      </x:c>
      <x:c r="K440" t="n">
        <x:v>1</x:v>
      </x:c>
      <x:c r="L440" t="str">
        <x:v>L21-S03-C1</x:v>
      </x:c>
      <x:c r="M440" t="n">
        <x:v>1</x:v>
      </x:c>
      <x:c r="N440" t="str">
        <x:v>DerivedFromCount</x:v>
      </x:c>
      <x:c r="O440" t="str">
        <x:v>PLC-PRD-JAR-330-L21</x:v>
      </x:c>
      <x:c r="P440" t="str">
        <x:v>OK</x:v>
      </x:c>
      <x:c r="Q440" t="str">
        <x:v>OK</x:v>
      </x:c>
      <x:c r="R440" t="str">
        <x:v>OK</x:v>
      </x:c>
      <x:c r="S440" t="str">
        <x:v>OK</x:v>
      </x:c>
      <x:c r="T440" t="n">
        <x:v>30</x:v>
      </x:c>
      <x:c r="U440" t="str">
        <x:v>OK</x:v>
      </x:c>
      <x:c r="V440" t="str">
        <x:v>OK</x:v>
      </x:c>
      <x:c r="W440" t="str">
        <x:v>LOAD</x:v>
      </x:c>
      <x:c r="X440" t="str">
        <x:v>02_Supervisor_Log(4).xlsx</x:v>
      </x:c>
      <x:c r="Y440" t="str">
        <x:v>ENH-20260830-01</x:v>
      </x:c>
      <x:c r="Z440" t="str">
        <x:v>Active</x:v>
      </x:c>
      <x:c r="AA440"/>
      <x:c r="AB440"/>
      <x:c r="AC440"/>
      <x:c r="AD440"/>
    </x:row>
    <x:row r="441">
      <x:c r="A441" t="str">
        <x:v>PCC-PE-KG01-L21-20251025-PM-ORD-2025-00021-S03-C2</x:v>
      </x:c>
      <x:c r="B441" t="str">
        <x:v>PC-PE-KG01-L21-20251025-PM-ORD-2025-00021-S03</x:v>
      </x:c>
      <x:c r="C441" t="str">
        <x:v>PE-KG01-L21-20251025-PM-ORD-2025-00021</x:v>
      </x:c>
      <x:c r="D441" t="str">
        <x:v>KG01</x:v>
      </x:c>
      <x:c r="E441" s="62" t="n">
        <x:v>45955</x:v>
      </x:c>
      <x:c r="F441" t="str">
        <x:v>PM</x:v>
      </x:c>
      <x:c r="G441" t="str">
        <x:v>C</x:v>
      </x:c>
      <x:c r="H441" t="n">
        <x:v>21</x:v>
      </x:c>
      <x:c r="I441" t="str">
        <x:v>ORD-2025-00021</x:v>
      </x:c>
      <x:c r="J441" t="n">
        <x:v>3</x:v>
      </x:c>
      <x:c r="K441" t="n">
        <x:v>2</x:v>
      </x:c>
      <x:c r="L441" t="str">
        <x:v>L21-S03-C2</x:v>
      </x:c>
      <x:c r="M441" t="n">
        <x:v>1</x:v>
      </x:c>
      <x:c r="N441" t="str">
        <x:v>DerivedFromCount</x:v>
      </x:c>
      <x:c r="O441" t="str">
        <x:v>PLC-PRD-JAR-330-L21</x:v>
      </x:c>
      <x:c r="P441" t="str">
        <x:v>OK</x:v>
      </x:c>
      <x:c r="Q441" t="str">
        <x:v>OK</x:v>
      </x:c>
      <x:c r="R441" t="str">
        <x:v>OK</x:v>
      </x:c>
      <x:c r="S441" t="str">
        <x:v>OK</x:v>
      </x:c>
      <x:c r="T441" t="n">
        <x:v>30</x:v>
      </x:c>
      <x:c r="U441" t="str">
        <x:v>OK</x:v>
      </x:c>
      <x:c r="V441" t="str">
        <x:v>OK</x:v>
      </x:c>
      <x:c r="W441" t="str">
        <x:v>LOAD</x:v>
      </x:c>
      <x:c r="X441" t="str">
        <x:v>02_Supervisor_Log(4).xlsx</x:v>
      </x:c>
      <x:c r="Y441" t="str">
        <x:v>ENH-20260830-01</x:v>
      </x:c>
      <x:c r="Z441" t="str">
        <x:v>Active</x:v>
      </x:c>
      <x:c r="AA441"/>
      <x:c r="AB441"/>
      <x:c r="AC441"/>
      <x:c r="AD441"/>
    </x:row>
    <x:row r="442">
      <x:c r="A442" t="str">
        <x:v>PCC-PE-KG01-L21-20251025-PM-ORD-2025-00021-S03-C3</x:v>
      </x:c>
      <x:c r="B442" t="str">
        <x:v>PC-PE-KG01-L21-20251025-PM-ORD-2025-00021-S03</x:v>
      </x:c>
      <x:c r="C442" t="str">
        <x:v>PE-KG01-L21-20251025-PM-ORD-2025-00021</x:v>
      </x:c>
      <x:c r="D442" t="str">
        <x:v>KG01</x:v>
      </x:c>
      <x:c r="E442" s="62" t="n">
        <x:v>45955</x:v>
      </x:c>
      <x:c r="F442" t="str">
        <x:v>PM</x:v>
      </x:c>
      <x:c r="G442" t="str">
        <x:v>C</x:v>
      </x:c>
      <x:c r="H442" t="n">
        <x:v>21</x:v>
      </x:c>
      <x:c r="I442" t="str">
        <x:v>ORD-2025-00021</x:v>
      </x:c>
      <x:c r="J442" t="n">
        <x:v>3</x:v>
      </x:c>
      <x:c r="K442" t="n">
        <x:v>3</x:v>
      </x:c>
      <x:c r="L442" t="str">
        <x:v>L21-S03-C3</x:v>
      </x:c>
      <x:c r="M442" t="n">
        <x:v>1</x:v>
      </x:c>
      <x:c r="N442" t="str">
        <x:v>DerivedFromCount</x:v>
      </x:c>
      <x:c r="O442" t="str">
        <x:v>PLC-PRD-JAR-330-L21</x:v>
      </x:c>
      <x:c r="P442" t="str">
        <x:v>OK</x:v>
      </x:c>
      <x:c r="Q442" t="str">
        <x:v>OK</x:v>
      </x:c>
      <x:c r="R442" t="str">
        <x:v>OK</x:v>
      </x:c>
      <x:c r="S442" t="str">
        <x:v>OK</x:v>
      </x:c>
      <x:c r="T442" t="n">
        <x:v>30</x:v>
      </x:c>
      <x:c r="U442" t="str">
        <x:v>OK</x:v>
      </x:c>
      <x:c r="V442" t="str">
        <x:v>OK</x:v>
      </x:c>
      <x:c r="W442" t="str">
        <x:v>LOAD</x:v>
      </x:c>
      <x:c r="X442" t="str">
        <x:v>02_Supervisor_Log(4).xlsx</x:v>
      </x:c>
      <x:c r="Y442" t="str">
        <x:v>ENH-20260830-01</x:v>
      </x:c>
      <x:c r="Z442" t="str">
        <x:v>Active</x:v>
      </x:c>
      <x:c r="AA442"/>
      <x:c r="AB442"/>
      <x:c r="AC442"/>
      <x:c r="AD442"/>
    </x:row>
    <x:row r="443">
      <x:c r="A443" t="str">
        <x:v>PCC-PE-KG01-L21-20251025-PM-ORD-2025-00021-S04-C1</x:v>
      </x:c>
      <x:c r="B443" t="str">
        <x:v>PC-PE-KG01-L21-20251025-PM-ORD-2025-00021-S04</x:v>
      </x:c>
      <x:c r="C443" t="str">
        <x:v>PE-KG01-L21-20251025-PM-ORD-2025-00021</x:v>
      </x:c>
      <x:c r="D443" t="str">
        <x:v>KG01</x:v>
      </x:c>
      <x:c r="E443" s="62" t="n">
        <x:v>45955</x:v>
      </x:c>
      <x:c r="F443" t="str">
        <x:v>PM</x:v>
      </x:c>
      <x:c r="G443" t="str">
        <x:v>C</x:v>
      </x:c>
      <x:c r="H443" t="n">
        <x:v>21</x:v>
      </x:c>
      <x:c r="I443" t="str">
        <x:v>ORD-2025-00021</x:v>
      </x:c>
      <x:c r="J443" t="n">
        <x:v>4</x:v>
      </x:c>
      <x:c r="K443" t="n">
        <x:v>1</x:v>
      </x:c>
      <x:c r="L443" t="str">
        <x:v>L21-S04-C1</x:v>
      </x:c>
      <x:c r="M443" t="n">
        <x:v>1</x:v>
      </x:c>
      <x:c r="N443" t="str">
        <x:v>DerivedFromCount</x:v>
      </x:c>
      <x:c r="O443" t="str">
        <x:v>PLC-PRD-JAR-330-L21</x:v>
      </x:c>
      <x:c r="P443" t="str">
        <x:v>OK</x:v>
      </x:c>
      <x:c r="Q443" t="str">
        <x:v>OK</x:v>
      </x:c>
      <x:c r="R443" t="str">
        <x:v>OK</x:v>
      </x:c>
      <x:c r="S443" t="str">
        <x:v>OK</x:v>
      </x:c>
      <x:c r="T443" t="n">
        <x:v>30</x:v>
      </x:c>
      <x:c r="U443" t="str">
        <x:v>OK</x:v>
      </x:c>
      <x:c r="V443" t="str">
        <x:v>OK</x:v>
      </x:c>
      <x:c r="W443" t="str">
        <x:v>LOAD</x:v>
      </x:c>
      <x:c r="X443" t="str">
        <x:v>02_Supervisor_Log(4).xlsx</x:v>
      </x:c>
      <x:c r="Y443" t="str">
        <x:v>ENH-20260830-01</x:v>
      </x:c>
      <x:c r="Z443" t="str">
        <x:v>Active</x:v>
      </x:c>
      <x:c r="AA443"/>
      <x:c r="AB443"/>
      <x:c r="AC443"/>
      <x:c r="AD443"/>
    </x:row>
    <x:row r="444">
      <x:c r="A444" t="str">
        <x:v>PCC-PE-KG01-L21-20251025-PM-ORD-2025-00021-S04-C2</x:v>
      </x:c>
      <x:c r="B444" t="str">
        <x:v>PC-PE-KG01-L21-20251025-PM-ORD-2025-00021-S04</x:v>
      </x:c>
      <x:c r="C444" t="str">
        <x:v>PE-KG01-L21-20251025-PM-ORD-2025-00021</x:v>
      </x:c>
      <x:c r="D444" t="str">
        <x:v>KG01</x:v>
      </x:c>
      <x:c r="E444" s="62" t="n">
        <x:v>45955</x:v>
      </x:c>
      <x:c r="F444" t="str">
        <x:v>PM</x:v>
      </x:c>
      <x:c r="G444" t="str">
        <x:v>C</x:v>
      </x:c>
      <x:c r="H444" t="n">
        <x:v>21</x:v>
      </x:c>
      <x:c r="I444" t="str">
        <x:v>ORD-2025-00021</x:v>
      </x:c>
      <x:c r="J444" t="n">
        <x:v>4</x:v>
      </x:c>
      <x:c r="K444" t="n">
        <x:v>2</x:v>
      </x:c>
      <x:c r="L444" t="str">
        <x:v>L21-S04-C2</x:v>
      </x:c>
      <x:c r="M444" t="n">
        <x:v>1</x:v>
      </x:c>
      <x:c r="N444" t="str">
        <x:v>DerivedFromCount</x:v>
      </x:c>
      <x:c r="O444" t="str">
        <x:v>PLC-PRD-JAR-330-L21</x:v>
      </x:c>
      <x:c r="P444" t="str">
        <x:v>OK</x:v>
      </x:c>
      <x:c r="Q444" t="str">
        <x:v>OK</x:v>
      </x:c>
      <x:c r="R444" t="str">
        <x:v>OK</x:v>
      </x:c>
      <x:c r="S444" t="str">
        <x:v>OK</x:v>
      </x:c>
      <x:c r="T444" t="n">
        <x:v>30</x:v>
      </x:c>
      <x:c r="U444" t="str">
        <x:v>OK</x:v>
      </x:c>
      <x:c r="V444" t="str">
        <x:v>OK</x:v>
      </x:c>
      <x:c r="W444" t="str">
        <x:v>LOAD</x:v>
      </x:c>
      <x:c r="X444" t="str">
        <x:v>02_Supervisor_Log(4).xlsx</x:v>
      </x:c>
      <x:c r="Y444" t="str">
        <x:v>ENH-20260830-01</x:v>
      </x:c>
      <x:c r="Z444" t="str">
        <x:v>Active</x:v>
      </x:c>
      <x:c r="AA444"/>
      <x:c r="AB444"/>
      <x:c r="AC444"/>
      <x:c r="AD444"/>
    </x:row>
    <x:row r="445">
      <x:c r="A445" t="str">
        <x:v>PCC-PE-KG01-L21-20251025-PM-ORD-2025-00021-S04-C3</x:v>
      </x:c>
      <x:c r="B445" t="str">
        <x:v>PC-PE-KG01-L21-20251025-PM-ORD-2025-00021-S04</x:v>
      </x:c>
      <x:c r="C445" t="str">
        <x:v>PE-KG01-L21-20251025-PM-ORD-2025-00021</x:v>
      </x:c>
      <x:c r="D445" t="str">
        <x:v>KG01</x:v>
      </x:c>
      <x:c r="E445" s="62" t="n">
        <x:v>45955</x:v>
      </x:c>
      <x:c r="F445" t="str">
        <x:v>PM</x:v>
      </x:c>
      <x:c r="G445" t="str">
        <x:v>C</x:v>
      </x:c>
      <x:c r="H445" t="n">
        <x:v>21</x:v>
      </x:c>
      <x:c r="I445" t="str">
        <x:v>ORD-2025-00021</x:v>
      </x:c>
      <x:c r="J445" t="n">
        <x:v>4</x:v>
      </x:c>
      <x:c r="K445" t="n">
        <x:v>3</x:v>
      </x:c>
      <x:c r="L445" t="str">
        <x:v>L21-S04-C3</x:v>
      </x:c>
      <x:c r="M445" t="n">
        <x:v>1</x:v>
      </x:c>
      <x:c r="N445" t="str">
        <x:v>DerivedFromCount</x:v>
      </x:c>
      <x:c r="O445" t="str">
        <x:v>PLC-PRD-JAR-330-L21</x:v>
      </x:c>
      <x:c r="P445" t="str">
        <x:v>OK</x:v>
      </x:c>
      <x:c r="Q445" t="str">
        <x:v>OK</x:v>
      </x:c>
      <x:c r="R445" t="str">
        <x:v>OK</x:v>
      </x:c>
      <x:c r="S445" t="str">
        <x:v>OK</x:v>
      </x:c>
      <x:c r="T445" t="n">
        <x:v>30</x:v>
      </x:c>
      <x:c r="U445" t="str">
        <x:v>OK</x:v>
      </x:c>
      <x:c r="V445" t="str">
        <x:v>OK</x:v>
      </x:c>
      <x:c r="W445" t="str">
        <x:v>LOAD</x:v>
      </x:c>
      <x:c r="X445" t="str">
        <x:v>02_Supervisor_Log(4).xlsx</x:v>
      </x:c>
      <x:c r="Y445" t="str">
        <x:v>ENH-20260830-01</x:v>
      </x:c>
      <x:c r="Z445" t="str">
        <x:v>Active</x:v>
      </x:c>
      <x:c r="AA445"/>
      <x:c r="AB445"/>
      <x:c r="AC445"/>
      <x:c r="AD445"/>
    </x:row>
    <x:row r="446">
      <x:c r="A446" t="str">
        <x:v>PCC-PE-KG01-L21-20251025-PM-ORD-2025-00021-S05-C1</x:v>
      </x:c>
      <x:c r="B446" t="str">
        <x:v>PC-PE-KG01-L21-20251025-PM-ORD-2025-00021-S05</x:v>
      </x:c>
      <x:c r="C446" t="str">
        <x:v>PE-KG01-L21-20251025-PM-ORD-2025-00021</x:v>
      </x:c>
      <x:c r="D446" t="str">
        <x:v>KG01</x:v>
      </x:c>
      <x:c r="E446" s="62" t="n">
        <x:v>45955</x:v>
      </x:c>
      <x:c r="F446" t="str">
        <x:v>PM</x:v>
      </x:c>
      <x:c r="G446" t="str">
        <x:v>C</x:v>
      </x:c>
      <x:c r="H446" t="n">
        <x:v>21</x:v>
      </x:c>
      <x:c r="I446" t="str">
        <x:v>ORD-2025-00021</x:v>
      </x:c>
      <x:c r="J446" t="n">
        <x:v>5</x:v>
      </x:c>
      <x:c r="K446" t="n">
        <x:v>1</x:v>
      </x:c>
      <x:c r="L446" t="str">
        <x:v>L21-S05-C1</x:v>
      </x:c>
      <x:c r="M446" t="n">
        <x:v>1</x:v>
      </x:c>
      <x:c r="N446" t="str">
        <x:v>DerivedFromCount</x:v>
      </x:c>
      <x:c r="O446" t="str">
        <x:v>PLC-PRD-JAR-330-L21</x:v>
      </x:c>
      <x:c r="P446" t="str">
        <x:v>OK</x:v>
      </x:c>
      <x:c r="Q446" t="str">
        <x:v>OK</x:v>
      </x:c>
      <x:c r="R446" t="str">
        <x:v>OK</x:v>
      </x:c>
      <x:c r="S446" t="str">
        <x:v>OK</x:v>
      </x:c>
      <x:c r="T446" t="n">
        <x:v>30</x:v>
      </x:c>
      <x:c r="U446" t="str">
        <x:v>OK</x:v>
      </x:c>
      <x:c r="V446" t="str">
        <x:v>OK</x:v>
      </x:c>
      <x:c r="W446" t="str">
        <x:v>LOAD</x:v>
      </x:c>
      <x:c r="X446" t="str">
        <x:v>02_Supervisor_Log(4).xlsx</x:v>
      </x:c>
      <x:c r="Y446" t="str">
        <x:v>ENH-20260830-01</x:v>
      </x:c>
      <x:c r="Z446" t="str">
        <x:v>Active</x:v>
      </x:c>
      <x:c r="AA446"/>
      <x:c r="AB446"/>
      <x:c r="AC446"/>
      <x:c r="AD446"/>
    </x:row>
    <x:row r="447">
      <x:c r="A447" t="str">
        <x:v>PCC-PE-KG01-L21-20251025-PM-ORD-2025-00021-S05-C2</x:v>
      </x:c>
      <x:c r="B447" t="str">
        <x:v>PC-PE-KG01-L21-20251025-PM-ORD-2025-00021-S05</x:v>
      </x:c>
      <x:c r="C447" t="str">
        <x:v>PE-KG01-L21-20251025-PM-ORD-2025-00021</x:v>
      </x:c>
      <x:c r="D447" t="str">
        <x:v>KG01</x:v>
      </x:c>
      <x:c r="E447" s="62" t="n">
        <x:v>45955</x:v>
      </x:c>
      <x:c r="F447" t="str">
        <x:v>PM</x:v>
      </x:c>
      <x:c r="G447" t="str">
        <x:v>C</x:v>
      </x:c>
      <x:c r="H447" t="n">
        <x:v>21</x:v>
      </x:c>
      <x:c r="I447" t="str">
        <x:v>ORD-2025-00021</x:v>
      </x:c>
      <x:c r="J447" t="n">
        <x:v>5</x:v>
      </x:c>
      <x:c r="K447" t="n">
        <x:v>2</x:v>
      </x:c>
      <x:c r="L447" t="str">
        <x:v>L21-S05-C2</x:v>
      </x:c>
      <x:c r="M447" t="n">
        <x:v>1</x:v>
      </x:c>
      <x:c r="N447" t="str">
        <x:v>DerivedFromCount</x:v>
      </x:c>
      <x:c r="O447" t="str">
        <x:v>PLC-PRD-JAR-330-L21</x:v>
      </x:c>
      <x:c r="P447" t="str">
        <x:v>OK</x:v>
      </x:c>
      <x:c r="Q447" t="str">
        <x:v>OK</x:v>
      </x:c>
      <x:c r="R447" t="str">
        <x:v>OK</x:v>
      </x:c>
      <x:c r="S447" t="str">
        <x:v>OK</x:v>
      </x:c>
      <x:c r="T447" t="n">
        <x:v>30</x:v>
      </x:c>
      <x:c r="U447" t="str">
        <x:v>OK</x:v>
      </x:c>
      <x:c r="V447" t="str">
        <x:v>OK</x:v>
      </x:c>
      <x:c r="W447" t="str">
        <x:v>LOAD</x:v>
      </x:c>
      <x:c r="X447" t="str">
        <x:v>02_Supervisor_Log(4).xlsx</x:v>
      </x:c>
      <x:c r="Y447" t="str">
        <x:v>ENH-20260830-01</x:v>
      </x:c>
      <x:c r="Z447" t="str">
        <x:v>Active</x:v>
      </x:c>
      <x:c r="AA447"/>
      <x:c r="AB447"/>
      <x:c r="AC447"/>
      <x:c r="AD447"/>
    </x:row>
    <x:row r="448">
      <x:c r="A448" t="str">
        <x:v>PCC-PE-KG01-L21-20251025-PM-ORD-2025-00021-S05-C3</x:v>
      </x:c>
      <x:c r="B448" t="str">
        <x:v>PC-PE-KG01-L21-20251025-PM-ORD-2025-00021-S05</x:v>
      </x:c>
      <x:c r="C448" t="str">
        <x:v>PE-KG01-L21-20251025-PM-ORD-2025-00021</x:v>
      </x:c>
      <x:c r="D448" t="str">
        <x:v>KG01</x:v>
      </x:c>
      <x:c r="E448" s="62" t="n">
        <x:v>45955</x:v>
      </x:c>
      <x:c r="F448" t="str">
        <x:v>PM</x:v>
      </x:c>
      <x:c r="G448" t="str">
        <x:v>C</x:v>
      </x:c>
      <x:c r="H448" t="n">
        <x:v>21</x:v>
      </x:c>
      <x:c r="I448" t="str">
        <x:v>ORD-2025-00021</x:v>
      </x:c>
      <x:c r="J448" t="n">
        <x:v>5</x:v>
      </x:c>
      <x:c r="K448" t="n">
        <x:v>3</x:v>
      </x:c>
      <x:c r="L448" t="str">
        <x:v>L21-S05-C3</x:v>
      </x:c>
      <x:c r="M448" t="n">
        <x:v>1</x:v>
      </x:c>
      <x:c r="N448" t="str">
        <x:v>DerivedFromCount</x:v>
      </x:c>
      <x:c r="O448" t="str">
        <x:v>PLC-PRD-JAR-330-L21</x:v>
      </x:c>
      <x:c r="P448" t="str">
        <x:v>OK</x:v>
      </x:c>
      <x:c r="Q448" t="str">
        <x:v>OK</x:v>
      </x:c>
      <x:c r="R448" t="str">
        <x:v>OK</x:v>
      </x:c>
      <x:c r="S448" t="str">
        <x:v>OK</x:v>
      </x:c>
      <x:c r="T448" t="n">
        <x:v>30</x:v>
      </x:c>
      <x:c r="U448" t="str">
        <x:v>OK</x:v>
      </x:c>
      <x:c r="V448" t="str">
        <x:v>OK</x:v>
      </x:c>
      <x:c r="W448" t="str">
        <x:v>LOAD</x:v>
      </x:c>
      <x:c r="X448" t="str">
        <x:v>02_Supervisor_Log(4).xlsx</x:v>
      </x:c>
      <x:c r="Y448" t="str">
        <x:v>ENH-20260830-01</x:v>
      </x:c>
      <x:c r="Z448" t="str">
        <x:v>Active</x:v>
      </x:c>
      <x:c r="AA448"/>
      <x:c r="AB448"/>
      <x:c r="AC448"/>
      <x:c r="AD448"/>
    </x:row>
    <x:row r="449">
      <x:c r="A449" t="str">
        <x:v>PCC-PE-KG01-L21-20251025-PM-ORD-2025-00021-S06-C1</x:v>
      </x:c>
      <x:c r="B449" t="str">
        <x:v>PC-PE-KG01-L21-20251025-PM-ORD-2025-00021-S06</x:v>
      </x:c>
      <x:c r="C449" t="str">
        <x:v>PE-KG01-L21-20251025-PM-ORD-2025-00021</x:v>
      </x:c>
      <x:c r="D449" t="str">
        <x:v>KG01</x:v>
      </x:c>
      <x:c r="E449" s="62" t="n">
        <x:v>45955</x:v>
      </x:c>
      <x:c r="F449" t="str">
        <x:v>PM</x:v>
      </x:c>
      <x:c r="G449" t="str">
        <x:v>C</x:v>
      </x:c>
      <x:c r="H449" t="n">
        <x:v>21</x:v>
      </x:c>
      <x:c r="I449" t="str">
        <x:v>ORD-2025-00021</x:v>
      </x:c>
      <x:c r="J449" t="n">
        <x:v>6</x:v>
      </x:c>
      <x:c r="K449" t="n">
        <x:v>1</x:v>
      </x:c>
      <x:c r="L449" t="str">
        <x:v>L21-S06-C1</x:v>
      </x:c>
      <x:c r="M449" t="n">
        <x:v>1</x:v>
      </x:c>
      <x:c r="N449" t="str">
        <x:v>DerivedFromCount</x:v>
      </x:c>
      <x:c r="O449" t="str">
        <x:v>PLC-PRD-JAR-330-L21</x:v>
      </x:c>
      <x:c r="P449" t="str">
        <x:v>OK</x:v>
      </x:c>
      <x:c r="Q449" t="str">
        <x:v>OK</x:v>
      </x:c>
      <x:c r="R449" t="str">
        <x:v>OK</x:v>
      </x:c>
      <x:c r="S449" t="str">
        <x:v>OK</x:v>
      </x:c>
      <x:c r="T449" t="n">
        <x:v>30</x:v>
      </x:c>
      <x:c r="U449" t="str">
        <x:v>OK</x:v>
      </x:c>
      <x:c r="V449" t="str">
        <x:v>OK</x:v>
      </x:c>
      <x:c r="W449" t="str">
        <x:v>LOAD</x:v>
      </x:c>
      <x:c r="X449" t="str">
        <x:v>02_Supervisor_Log(4).xlsx</x:v>
      </x:c>
      <x:c r="Y449" t="str">
        <x:v>ENH-20260830-01</x:v>
      </x:c>
      <x:c r="Z449" t="str">
        <x:v>Active</x:v>
      </x:c>
      <x:c r="AA449"/>
      <x:c r="AB449"/>
      <x:c r="AC449"/>
      <x:c r="AD449"/>
    </x:row>
    <x:row r="450">
      <x:c r="A450" t="str">
        <x:v>PCC-PE-KG01-L21-20251025-PM-ORD-2025-00021-S06-C2</x:v>
      </x:c>
      <x:c r="B450" t="str">
        <x:v>PC-PE-KG01-L21-20251025-PM-ORD-2025-00021-S06</x:v>
      </x:c>
      <x:c r="C450" t="str">
        <x:v>PE-KG01-L21-20251025-PM-ORD-2025-00021</x:v>
      </x:c>
      <x:c r="D450" t="str">
        <x:v>KG01</x:v>
      </x:c>
      <x:c r="E450" s="62" t="n">
        <x:v>45955</x:v>
      </x:c>
      <x:c r="F450" t="str">
        <x:v>PM</x:v>
      </x:c>
      <x:c r="G450" t="str">
        <x:v>C</x:v>
      </x:c>
      <x:c r="H450" t="n">
        <x:v>21</x:v>
      </x:c>
      <x:c r="I450" t="str">
        <x:v>ORD-2025-00021</x:v>
      </x:c>
      <x:c r="J450" t="n">
        <x:v>6</x:v>
      </x:c>
      <x:c r="K450" t="n">
        <x:v>2</x:v>
      </x:c>
      <x:c r="L450" t="str">
        <x:v>L21-S06-C2</x:v>
      </x:c>
      <x:c r="M450" t="n">
        <x:v>1</x:v>
      </x:c>
      <x:c r="N450" t="str">
        <x:v>DerivedFromCount</x:v>
      </x:c>
      <x:c r="O450" t="str">
        <x:v>PLC-PRD-JAR-330-L21</x:v>
      </x:c>
      <x:c r="P450" t="str">
        <x:v>OK</x:v>
      </x:c>
      <x:c r="Q450" t="str">
        <x:v>OK</x:v>
      </x:c>
      <x:c r="R450" t="str">
        <x:v>OK</x:v>
      </x:c>
      <x:c r="S450" t="str">
        <x:v>OK</x:v>
      </x:c>
      <x:c r="T450" t="n">
        <x:v>30</x:v>
      </x:c>
      <x:c r="U450" t="str">
        <x:v>OK</x:v>
      </x:c>
      <x:c r="V450" t="str">
        <x:v>OK</x:v>
      </x:c>
      <x:c r="W450" t="str">
        <x:v>LOAD</x:v>
      </x:c>
      <x:c r="X450" t="str">
        <x:v>02_Supervisor_Log(4).xlsx</x:v>
      </x:c>
      <x:c r="Y450" t="str">
        <x:v>ENH-20260830-01</x:v>
      </x:c>
      <x:c r="Z450" t="str">
        <x:v>Active</x:v>
      </x:c>
      <x:c r="AA450"/>
      <x:c r="AB450"/>
      <x:c r="AC450"/>
      <x:c r="AD450"/>
    </x:row>
    <x:row r="451">
      <x:c r="A451" t="str">
        <x:v>PCC-PE-KG01-L21-20251025-PM-ORD-2025-00021-S06-C3</x:v>
      </x:c>
      <x:c r="B451" t="str">
        <x:v>PC-PE-KG01-L21-20251025-PM-ORD-2025-00021-S06</x:v>
      </x:c>
      <x:c r="C451" t="str">
        <x:v>PE-KG01-L21-20251025-PM-ORD-2025-00021</x:v>
      </x:c>
      <x:c r="D451" t="str">
        <x:v>KG01</x:v>
      </x:c>
      <x:c r="E451" s="62" t="n">
        <x:v>45955</x:v>
      </x:c>
      <x:c r="F451" t="str">
        <x:v>PM</x:v>
      </x:c>
      <x:c r="G451" t="str">
        <x:v>C</x:v>
      </x:c>
      <x:c r="H451" t="n">
        <x:v>21</x:v>
      </x:c>
      <x:c r="I451" t="str">
        <x:v>ORD-2025-00021</x:v>
      </x:c>
      <x:c r="J451" t="n">
        <x:v>6</x:v>
      </x:c>
      <x:c r="K451" t="n">
        <x:v>3</x:v>
      </x:c>
      <x:c r="L451" t="str">
        <x:v>L21-S06-C3</x:v>
      </x:c>
      <x:c r="M451" t="n">
        <x:v>1</x:v>
      </x:c>
      <x:c r="N451" t="str">
        <x:v>DerivedFromCount</x:v>
      </x:c>
      <x:c r="O451" t="str">
        <x:v>PLC-PRD-JAR-330-L21</x:v>
      </x:c>
      <x:c r="P451" t="str">
        <x:v>OK</x:v>
      </x:c>
      <x:c r="Q451" t="str">
        <x:v>OK</x:v>
      </x:c>
      <x:c r="R451" t="str">
        <x:v>OK</x:v>
      </x:c>
      <x:c r="S451" t="str">
        <x:v>OK</x:v>
      </x:c>
      <x:c r="T451" t="n">
        <x:v>30</x:v>
      </x:c>
      <x:c r="U451" t="str">
        <x:v>OK</x:v>
      </x:c>
      <x:c r="V451" t="str">
        <x:v>OK</x:v>
      </x:c>
      <x:c r="W451" t="str">
        <x:v>LOAD</x:v>
      </x:c>
      <x:c r="X451" t="str">
        <x:v>02_Supervisor_Log(4).xlsx</x:v>
      </x:c>
      <x:c r="Y451" t="str">
        <x:v>ENH-20260830-01</x:v>
      </x:c>
      <x:c r="Z451" t="str">
        <x:v>Active</x:v>
      </x:c>
      <x:c r="AA451"/>
      <x:c r="AB451"/>
      <x:c r="AC451"/>
      <x:c r="AD451"/>
    </x:row>
    <x:row r="452">
      <x:c r="A452" t="str">
        <x:v>PCC-PE-KG01-L21-20251025-PM-ORD-2025-00021-S07-C1</x:v>
      </x:c>
      <x:c r="B452" t="str">
        <x:v>PC-PE-KG01-L21-20251025-PM-ORD-2025-00021-S07</x:v>
      </x:c>
      <x:c r="C452" t="str">
        <x:v>PE-KG01-L21-20251025-PM-ORD-2025-00021</x:v>
      </x:c>
      <x:c r="D452" t="str">
        <x:v>KG01</x:v>
      </x:c>
      <x:c r="E452" s="62" t="n">
        <x:v>45955</x:v>
      </x:c>
      <x:c r="F452" t="str">
        <x:v>PM</x:v>
      </x:c>
      <x:c r="G452" t="str">
        <x:v>C</x:v>
      </x:c>
      <x:c r="H452" t="n">
        <x:v>21</x:v>
      </x:c>
      <x:c r="I452" t="str">
        <x:v>ORD-2025-00021</x:v>
      </x:c>
      <x:c r="J452" t="n">
        <x:v>7</x:v>
      </x:c>
      <x:c r="K452" t="n">
        <x:v>1</x:v>
      </x:c>
      <x:c r="L452" t="str">
        <x:v>L21-S07-C1</x:v>
      </x:c>
      <x:c r="M452" t="n">
        <x:v>1</x:v>
      </x:c>
      <x:c r="N452" t="str">
        <x:v>DerivedFromCount</x:v>
      </x:c>
      <x:c r="O452" t="str">
        <x:v>PLC-PRD-JAR-330-L21</x:v>
      </x:c>
      <x:c r="P452" t="str">
        <x:v>OK</x:v>
      </x:c>
      <x:c r="Q452" t="str">
        <x:v>OK</x:v>
      </x:c>
      <x:c r="R452" t="str">
        <x:v>OK</x:v>
      </x:c>
      <x:c r="S452" t="str">
        <x:v>OK</x:v>
      </x:c>
      <x:c r="T452" t="n">
        <x:v>30</x:v>
      </x:c>
      <x:c r="U452" t="str">
        <x:v>OK</x:v>
      </x:c>
      <x:c r="V452" t="str">
        <x:v>OK</x:v>
      </x:c>
      <x:c r="W452" t="str">
        <x:v>LOAD</x:v>
      </x:c>
      <x:c r="X452" t="str">
        <x:v>02_Supervisor_Log(4).xlsx</x:v>
      </x:c>
      <x:c r="Y452" t="str">
        <x:v>ENH-20260830-01</x:v>
      </x:c>
      <x:c r="Z452" t="str">
        <x:v>Active</x:v>
      </x:c>
      <x:c r="AA452"/>
      <x:c r="AB452"/>
      <x:c r="AC452"/>
      <x:c r="AD452"/>
    </x:row>
    <x:row r="453">
      <x:c r="A453" t="str">
        <x:v>PCC-PE-KG01-L21-20251025-PM-ORD-2025-00021-S07-C2</x:v>
      </x:c>
      <x:c r="B453" t="str">
        <x:v>PC-PE-KG01-L21-20251025-PM-ORD-2025-00021-S07</x:v>
      </x:c>
      <x:c r="C453" t="str">
        <x:v>PE-KG01-L21-20251025-PM-ORD-2025-00021</x:v>
      </x:c>
      <x:c r="D453" t="str">
        <x:v>KG01</x:v>
      </x:c>
      <x:c r="E453" s="62" t="n">
        <x:v>45955</x:v>
      </x:c>
      <x:c r="F453" t="str">
        <x:v>PM</x:v>
      </x:c>
      <x:c r="G453" t="str">
        <x:v>C</x:v>
      </x:c>
      <x:c r="H453" t="n">
        <x:v>21</x:v>
      </x:c>
      <x:c r="I453" t="str">
        <x:v>ORD-2025-00021</x:v>
      </x:c>
      <x:c r="J453" t="n">
        <x:v>7</x:v>
      </x:c>
      <x:c r="K453" t="n">
        <x:v>2</x:v>
      </x:c>
      <x:c r="L453" t="str">
        <x:v>L21-S07-C2</x:v>
      </x:c>
      <x:c r="M453" t="n">
        <x:v>1</x:v>
      </x:c>
      <x:c r="N453" t="str">
        <x:v>DerivedFromCount</x:v>
      </x:c>
      <x:c r="O453" t="str">
        <x:v>PLC-PRD-JAR-330-L21</x:v>
      </x:c>
      <x:c r="P453" t="str">
        <x:v>OK</x:v>
      </x:c>
      <x:c r="Q453" t="str">
        <x:v>OK</x:v>
      </x:c>
      <x:c r="R453" t="str">
        <x:v>OK</x:v>
      </x:c>
      <x:c r="S453" t="str">
        <x:v>OK</x:v>
      </x:c>
      <x:c r="T453" t="n">
        <x:v>30</x:v>
      </x:c>
      <x:c r="U453" t="str">
        <x:v>OK</x:v>
      </x:c>
      <x:c r="V453" t="str">
        <x:v>OK</x:v>
      </x:c>
      <x:c r="W453" t="str">
        <x:v>LOAD</x:v>
      </x:c>
      <x:c r="X453" t="str">
        <x:v>02_Supervisor_Log(4).xlsx</x:v>
      </x:c>
      <x:c r="Y453" t="str">
        <x:v>ENH-20260830-01</x:v>
      </x:c>
      <x:c r="Z453" t="str">
        <x:v>Active</x:v>
      </x:c>
      <x:c r="AA453"/>
      <x:c r="AB453"/>
      <x:c r="AC453"/>
      <x:c r="AD453"/>
    </x:row>
    <x:row r="454">
      <x:c r="A454" t="str">
        <x:v>PCC-PE-KG01-L21-20251025-PM-ORD-2025-00021-S07-C3</x:v>
      </x:c>
      <x:c r="B454" t="str">
        <x:v>PC-PE-KG01-L21-20251025-PM-ORD-2025-00021-S07</x:v>
      </x:c>
      <x:c r="C454" t="str">
        <x:v>PE-KG01-L21-20251025-PM-ORD-2025-00021</x:v>
      </x:c>
      <x:c r="D454" t="str">
        <x:v>KG01</x:v>
      </x:c>
      <x:c r="E454" s="62" t="n">
        <x:v>45955</x:v>
      </x:c>
      <x:c r="F454" t="str">
        <x:v>PM</x:v>
      </x:c>
      <x:c r="G454" t="str">
        <x:v>C</x:v>
      </x:c>
      <x:c r="H454" t="n">
        <x:v>21</x:v>
      </x:c>
      <x:c r="I454" t="str">
        <x:v>ORD-2025-00021</x:v>
      </x:c>
      <x:c r="J454" t="n">
        <x:v>7</x:v>
      </x:c>
      <x:c r="K454" t="n">
        <x:v>3</x:v>
      </x:c>
      <x:c r="L454" t="str">
        <x:v>L21-S07-C3</x:v>
      </x:c>
      <x:c r="M454" t="n">
        <x:v>1</x:v>
      </x:c>
      <x:c r="N454" t="str">
        <x:v>DerivedFromCount</x:v>
      </x:c>
      <x:c r="O454" t="str">
        <x:v>PLC-PRD-JAR-330-L21</x:v>
      </x:c>
      <x:c r="P454" t="str">
        <x:v>OK</x:v>
      </x:c>
      <x:c r="Q454" t="str">
        <x:v>OK</x:v>
      </x:c>
      <x:c r="R454" t="str">
        <x:v>OK</x:v>
      </x:c>
      <x:c r="S454" t="str">
        <x:v>OK</x:v>
      </x:c>
      <x:c r="T454" t="n">
        <x:v>30</x:v>
      </x:c>
      <x:c r="U454" t="str">
        <x:v>OK</x:v>
      </x:c>
      <x:c r="V454" t="str">
        <x:v>OK</x:v>
      </x:c>
      <x:c r="W454" t="str">
        <x:v>LOAD</x:v>
      </x:c>
      <x:c r="X454" t="str">
        <x:v>02_Supervisor_Log(4).xlsx</x:v>
      </x:c>
      <x:c r="Y454" t="str">
        <x:v>ENH-20260830-01</x:v>
      </x:c>
      <x:c r="Z454" t="str">
        <x:v>Active</x:v>
      </x:c>
      <x:c r="AA454"/>
      <x:c r="AB454"/>
      <x:c r="AC454"/>
      <x:c r="AD454"/>
    </x:row>
    <x:row r="455">
      <x:c r="A455" t="str">
        <x:v>PCC-PE-KG01-L21-20251025-PM-ORD-2025-00021-S08-C1</x:v>
      </x:c>
      <x:c r="B455" t="str">
        <x:v>PC-PE-KG01-L21-20251025-PM-ORD-2025-00021-S08</x:v>
      </x:c>
      <x:c r="C455" t="str">
        <x:v>PE-KG01-L21-20251025-PM-ORD-2025-00021</x:v>
      </x:c>
      <x:c r="D455" t="str">
        <x:v>KG01</x:v>
      </x:c>
      <x:c r="E455" s="62" t="n">
        <x:v>45955</x:v>
      </x:c>
      <x:c r="F455" t="str">
        <x:v>PM</x:v>
      </x:c>
      <x:c r="G455" t="str">
        <x:v>C</x:v>
      </x:c>
      <x:c r="H455" t="n">
        <x:v>21</x:v>
      </x:c>
      <x:c r="I455" t="str">
        <x:v>ORD-2025-00021</x:v>
      </x:c>
      <x:c r="J455" t="n">
        <x:v>8</x:v>
      </x:c>
      <x:c r="K455" t="n">
        <x:v>1</x:v>
      </x:c>
      <x:c r="L455" t="str">
        <x:v>L21-S08-C1</x:v>
      </x:c>
      <x:c r="M455" t="n">
        <x:v>1</x:v>
      </x:c>
      <x:c r="N455" t="str">
        <x:v>DerivedFromCount</x:v>
      </x:c>
      <x:c r="O455" t="str">
        <x:v>PLC-PRD-JAR-330-L21</x:v>
      </x:c>
      <x:c r="P455" t="str">
        <x:v>OK</x:v>
      </x:c>
      <x:c r="Q455" t="str">
        <x:v>OK</x:v>
      </x:c>
      <x:c r="R455" t="str">
        <x:v>OK</x:v>
      </x:c>
      <x:c r="S455" t="str">
        <x:v>OK</x:v>
      </x:c>
      <x:c r="T455" t="n">
        <x:v>30</x:v>
      </x:c>
      <x:c r="U455" t="str">
        <x:v>OK</x:v>
      </x:c>
      <x:c r="V455" t="str">
        <x:v>OK</x:v>
      </x:c>
      <x:c r="W455" t="str">
        <x:v>LOAD</x:v>
      </x:c>
      <x:c r="X455" t="str">
        <x:v>02_Supervisor_Log(4).xlsx</x:v>
      </x:c>
      <x:c r="Y455" t="str">
        <x:v>ENH-20260830-01</x:v>
      </x:c>
      <x:c r="Z455" t="str">
        <x:v>Active</x:v>
      </x:c>
      <x:c r="AA455"/>
      <x:c r="AB455"/>
      <x:c r="AC455"/>
      <x:c r="AD455"/>
    </x:row>
    <x:row r="456">
      <x:c r="A456" t="str">
        <x:v>PCC-PE-KG01-L21-20251025-PM-ORD-2025-00021-S08-C2</x:v>
      </x:c>
      <x:c r="B456" t="str">
        <x:v>PC-PE-KG01-L21-20251025-PM-ORD-2025-00021-S08</x:v>
      </x:c>
      <x:c r="C456" t="str">
        <x:v>PE-KG01-L21-20251025-PM-ORD-2025-00021</x:v>
      </x:c>
      <x:c r="D456" t="str">
        <x:v>KG01</x:v>
      </x:c>
      <x:c r="E456" s="62" t="n">
        <x:v>45955</x:v>
      </x:c>
      <x:c r="F456" t="str">
        <x:v>PM</x:v>
      </x:c>
      <x:c r="G456" t="str">
        <x:v>C</x:v>
      </x:c>
      <x:c r="H456" t="n">
        <x:v>21</x:v>
      </x:c>
      <x:c r="I456" t="str">
        <x:v>ORD-2025-00021</x:v>
      </x:c>
      <x:c r="J456" t="n">
        <x:v>8</x:v>
      </x:c>
      <x:c r="K456" t="n">
        <x:v>2</x:v>
      </x:c>
      <x:c r="L456" t="str">
        <x:v>L21-S08-C2</x:v>
      </x:c>
      <x:c r="M456" t="n">
        <x:v>1</x:v>
      </x:c>
      <x:c r="N456" t="str">
        <x:v>DerivedFromCount</x:v>
      </x:c>
      <x:c r="O456" t="str">
        <x:v>PLC-PRD-JAR-330-L21</x:v>
      </x:c>
      <x:c r="P456" t="str">
        <x:v>OK</x:v>
      </x:c>
      <x:c r="Q456" t="str">
        <x:v>OK</x:v>
      </x:c>
      <x:c r="R456" t="str">
        <x:v>OK</x:v>
      </x:c>
      <x:c r="S456" t="str">
        <x:v>OK</x:v>
      </x:c>
      <x:c r="T456" t="n">
        <x:v>30</x:v>
      </x:c>
      <x:c r="U456" t="str">
        <x:v>OK</x:v>
      </x:c>
      <x:c r="V456" t="str">
        <x:v>OK</x:v>
      </x:c>
      <x:c r="W456" t="str">
        <x:v>LOAD</x:v>
      </x:c>
      <x:c r="X456" t="str">
        <x:v>02_Supervisor_Log(4).xlsx</x:v>
      </x:c>
      <x:c r="Y456" t="str">
        <x:v>ENH-20260830-01</x:v>
      </x:c>
      <x:c r="Z456" t="str">
        <x:v>Active</x:v>
      </x:c>
      <x:c r="AA456"/>
      <x:c r="AB456"/>
      <x:c r="AC456"/>
      <x:c r="AD456"/>
    </x:row>
    <x:row r="457">
      <x:c r="A457" t="str">
        <x:v>PCC-PE-KG01-L21-20251025-PM-ORD-2025-00021-S08-C3</x:v>
      </x:c>
      <x:c r="B457" t="str">
        <x:v>PC-PE-KG01-L21-20251025-PM-ORD-2025-00021-S08</x:v>
      </x:c>
      <x:c r="C457" t="str">
        <x:v>PE-KG01-L21-20251025-PM-ORD-2025-00021</x:v>
      </x:c>
      <x:c r="D457" t="str">
        <x:v>KG01</x:v>
      </x:c>
      <x:c r="E457" s="62" t="n">
        <x:v>45955</x:v>
      </x:c>
      <x:c r="F457" t="str">
        <x:v>PM</x:v>
      </x:c>
      <x:c r="G457" t="str">
        <x:v>C</x:v>
      </x:c>
      <x:c r="H457" t="n">
        <x:v>21</x:v>
      </x:c>
      <x:c r="I457" t="str">
        <x:v>ORD-2025-00021</x:v>
      </x:c>
      <x:c r="J457" t="n">
        <x:v>8</x:v>
      </x:c>
      <x:c r="K457" t="n">
        <x:v>3</x:v>
      </x:c>
      <x:c r="L457" t="str">
        <x:v>L21-S08-C3</x:v>
      </x:c>
      <x:c r="M457" t="n">
        <x:v>1</x:v>
      </x:c>
      <x:c r="N457" t="str">
        <x:v>DerivedFromCount</x:v>
      </x:c>
      <x:c r="O457" t="str">
        <x:v>PLC-PRD-JAR-330-L21</x:v>
      </x:c>
      <x:c r="P457" t="str">
        <x:v>OK</x:v>
      </x:c>
      <x:c r="Q457" t="str">
        <x:v>OK</x:v>
      </x:c>
      <x:c r="R457" t="str">
        <x:v>OK</x:v>
      </x:c>
      <x:c r="S457" t="str">
        <x:v>OK</x:v>
      </x:c>
      <x:c r="T457" t="n">
        <x:v>30</x:v>
      </x:c>
      <x:c r="U457" t="str">
        <x:v>OK</x:v>
      </x:c>
      <x:c r="V457" t="str">
        <x:v>OK</x:v>
      </x:c>
      <x:c r="W457" t="str">
        <x:v>LOAD</x:v>
      </x:c>
      <x:c r="X457" t="str">
        <x:v>02_Supervisor_Log(4).xlsx</x:v>
      </x:c>
      <x:c r="Y457" t="str">
        <x:v>ENH-20260830-01</x:v>
      </x:c>
      <x:c r="Z457" t="str">
        <x:v>Active</x:v>
      </x:c>
      <x:c r="AA457"/>
      <x:c r="AB457"/>
      <x:c r="AC457"/>
      <x:c r="AD457"/>
    </x:row>
    <x:row r="458">
      <x:c r="A458" t="str">
        <x:v>PCC-PE-KG01-L21-20251025-PM-ORD-2025-00021-S09-C1</x:v>
      </x:c>
      <x:c r="B458" t="str">
        <x:v>PC-PE-KG01-L21-20251025-PM-ORD-2025-00021-S09</x:v>
      </x:c>
      <x:c r="C458" t="str">
        <x:v>PE-KG01-L21-20251025-PM-ORD-2025-00021</x:v>
      </x:c>
      <x:c r="D458" t="str">
        <x:v>KG01</x:v>
      </x:c>
      <x:c r="E458" s="62" t="n">
        <x:v>45955</x:v>
      </x:c>
      <x:c r="F458" t="str">
        <x:v>PM</x:v>
      </x:c>
      <x:c r="G458" t="str">
        <x:v>C</x:v>
      </x:c>
      <x:c r="H458" t="n">
        <x:v>21</x:v>
      </x:c>
      <x:c r="I458" t="str">
        <x:v>ORD-2025-00021</x:v>
      </x:c>
      <x:c r="J458" t="n">
        <x:v>9</x:v>
      </x:c>
      <x:c r="K458" t="n">
        <x:v>1</x:v>
      </x:c>
      <x:c r="L458" t="str">
        <x:v>L21-S09-C1</x:v>
      </x:c>
      <x:c r="M458" t="n">
        <x:v>1</x:v>
      </x:c>
      <x:c r="N458" t="str">
        <x:v>DerivedFromCount</x:v>
      </x:c>
      <x:c r="O458" t="str">
        <x:v>PLC-PRD-JAR-330-L21</x:v>
      </x:c>
      <x:c r="P458" t="str">
        <x:v>OK</x:v>
      </x:c>
      <x:c r="Q458" t="str">
        <x:v>OK</x:v>
      </x:c>
      <x:c r="R458" t="str">
        <x:v>OK</x:v>
      </x:c>
      <x:c r="S458" t="str">
        <x:v>OK</x:v>
      </x:c>
      <x:c r="T458" t="n">
        <x:v>30</x:v>
      </x:c>
      <x:c r="U458" t="str">
        <x:v>OK</x:v>
      </x:c>
      <x:c r="V458" t="str">
        <x:v>OK</x:v>
      </x:c>
      <x:c r="W458" t="str">
        <x:v>LOAD</x:v>
      </x:c>
      <x:c r="X458" t="str">
        <x:v>02_Supervisor_Log(4).xlsx</x:v>
      </x:c>
      <x:c r="Y458" t="str">
        <x:v>ENH-20260830-01</x:v>
      </x:c>
      <x:c r="Z458" t="str">
        <x:v>Active</x:v>
      </x:c>
      <x:c r="AA458"/>
      <x:c r="AB458"/>
      <x:c r="AC458"/>
      <x:c r="AD458"/>
    </x:row>
    <x:row r="459">
      <x:c r="A459" t="str">
        <x:v>PCC-PE-KG01-L21-20251025-PM-ORD-2025-00021-S09-C2</x:v>
      </x:c>
      <x:c r="B459" t="str">
        <x:v>PC-PE-KG01-L21-20251025-PM-ORD-2025-00021-S09</x:v>
      </x:c>
      <x:c r="C459" t="str">
        <x:v>PE-KG01-L21-20251025-PM-ORD-2025-00021</x:v>
      </x:c>
      <x:c r="D459" t="str">
        <x:v>KG01</x:v>
      </x:c>
      <x:c r="E459" s="62" t="n">
        <x:v>45955</x:v>
      </x:c>
      <x:c r="F459" t="str">
        <x:v>PM</x:v>
      </x:c>
      <x:c r="G459" t="str">
        <x:v>C</x:v>
      </x:c>
      <x:c r="H459" t="n">
        <x:v>21</x:v>
      </x:c>
      <x:c r="I459" t="str">
        <x:v>ORD-2025-00021</x:v>
      </x:c>
      <x:c r="J459" t="n">
        <x:v>9</x:v>
      </x:c>
      <x:c r="K459" t="n">
        <x:v>2</x:v>
      </x:c>
      <x:c r="L459" t="str">
        <x:v>L21-S09-C2</x:v>
      </x:c>
      <x:c r="M459" t="n">
        <x:v>1</x:v>
      </x:c>
      <x:c r="N459" t="str">
        <x:v>DerivedFromCount</x:v>
      </x:c>
      <x:c r="O459" t="str">
        <x:v>PLC-PRD-JAR-330-L21</x:v>
      </x:c>
      <x:c r="P459" t="str">
        <x:v>OK</x:v>
      </x:c>
      <x:c r="Q459" t="str">
        <x:v>OK</x:v>
      </x:c>
      <x:c r="R459" t="str">
        <x:v>OK</x:v>
      </x:c>
      <x:c r="S459" t="str">
        <x:v>OK</x:v>
      </x:c>
      <x:c r="T459" t="n">
        <x:v>30</x:v>
      </x:c>
      <x:c r="U459" t="str">
        <x:v>OK</x:v>
      </x:c>
      <x:c r="V459" t="str">
        <x:v>OK</x:v>
      </x:c>
      <x:c r="W459" t="str">
        <x:v>LOAD</x:v>
      </x:c>
      <x:c r="X459" t="str">
        <x:v>02_Supervisor_Log(4).xlsx</x:v>
      </x:c>
      <x:c r="Y459" t="str">
        <x:v>ENH-20260830-01</x:v>
      </x:c>
      <x:c r="Z459" t="str">
        <x:v>Active</x:v>
      </x:c>
      <x:c r="AA459"/>
      <x:c r="AB459"/>
      <x:c r="AC459"/>
      <x:c r="AD459"/>
    </x:row>
    <x:row r="460">
      <x:c r="A460" t="str">
        <x:v>PCC-PE-KG01-L21-20251025-PM-ORD-2025-00021-S09-C3</x:v>
      </x:c>
      <x:c r="B460" t="str">
        <x:v>PC-PE-KG01-L21-20251025-PM-ORD-2025-00021-S09</x:v>
      </x:c>
      <x:c r="C460" t="str">
        <x:v>PE-KG01-L21-20251025-PM-ORD-2025-00021</x:v>
      </x:c>
      <x:c r="D460" t="str">
        <x:v>KG01</x:v>
      </x:c>
      <x:c r="E460" s="62" t="n">
        <x:v>45955</x:v>
      </x:c>
      <x:c r="F460" t="str">
        <x:v>PM</x:v>
      </x:c>
      <x:c r="G460" t="str">
        <x:v>C</x:v>
      </x:c>
      <x:c r="H460" t="n">
        <x:v>21</x:v>
      </x:c>
      <x:c r="I460" t="str">
        <x:v>ORD-2025-00021</x:v>
      </x:c>
      <x:c r="J460" t="n">
        <x:v>9</x:v>
      </x:c>
      <x:c r="K460" t="n">
        <x:v>3</x:v>
      </x:c>
      <x:c r="L460" t="str">
        <x:v>L21-S09-C3</x:v>
      </x:c>
      <x:c r="M460" t="n">
        <x:v>1</x:v>
      </x:c>
      <x:c r="N460" t="str">
        <x:v>DerivedFromCount</x:v>
      </x:c>
      <x:c r="O460" t="str">
        <x:v>PLC-PRD-JAR-330-L21</x:v>
      </x:c>
      <x:c r="P460" t="str">
        <x:v>OK</x:v>
      </x:c>
      <x:c r="Q460" t="str">
        <x:v>OK</x:v>
      </x:c>
      <x:c r="R460" t="str">
        <x:v>OK</x:v>
      </x:c>
      <x:c r="S460" t="str">
        <x:v>OK</x:v>
      </x:c>
      <x:c r="T460" t="n">
        <x:v>30</x:v>
      </x:c>
      <x:c r="U460" t="str">
        <x:v>OK</x:v>
      </x:c>
      <x:c r="V460" t="str">
        <x:v>OK</x:v>
      </x:c>
      <x:c r="W460" t="str">
        <x:v>LOAD</x:v>
      </x:c>
      <x:c r="X460" t="str">
        <x:v>02_Supervisor_Log(4).xlsx</x:v>
      </x:c>
      <x:c r="Y460" t="str">
        <x:v>ENH-20260830-01</x:v>
      </x:c>
      <x:c r="Z460" t="str">
        <x:v>Active</x:v>
      </x:c>
      <x:c r="AA460"/>
      <x:c r="AB460"/>
      <x:c r="AC460"/>
      <x:c r="AD460"/>
    </x:row>
    <x:row r="461">
      <x:c r="A461" t="str">
        <x:v>PCC-PE-KG01-L21-20251025-PM-ORD-2025-00021-S10-C1</x:v>
      </x:c>
      <x:c r="B461" t="str">
        <x:v>PC-PE-KG01-L21-20251025-PM-ORD-2025-00021-S10</x:v>
      </x:c>
      <x:c r="C461" t="str">
        <x:v>PE-KG01-L21-20251025-PM-ORD-2025-00021</x:v>
      </x:c>
      <x:c r="D461" t="str">
        <x:v>KG01</x:v>
      </x:c>
      <x:c r="E461" s="62" t="n">
        <x:v>45955</x:v>
      </x:c>
      <x:c r="F461" t="str">
        <x:v>PM</x:v>
      </x:c>
      <x:c r="G461" t="str">
        <x:v>C</x:v>
      </x:c>
      <x:c r="H461" t="n">
        <x:v>21</x:v>
      </x:c>
      <x:c r="I461" t="str">
        <x:v>ORD-2025-00021</x:v>
      </x:c>
      <x:c r="J461" t="n">
        <x:v>10</x:v>
      </x:c>
      <x:c r="K461" t="n">
        <x:v>1</x:v>
      </x:c>
      <x:c r="L461" t="str">
        <x:v>L21-S10-C1</x:v>
      </x:c>
      <x:c r="M461" t="n">
        <x:v>1</x:v>
      </x:c>
      <x:c r="N461" t="str">
        <x:v>DerivedFromCount</x:v>
      </x:c>
      <x:c r="O461" t="str">
        <x:v>PLC-PRD-JAR-330-L21</x:v>
      </x:c>
      <x:c r="P461" t="str">
        <x:v>OK</x:v>
      </x:c>
      <x:c r="Q461" t="str">
        <x:v>OK</x:v>
      </x:c>
      <x:c r="R461" t="str">
        <x:v>OK</x:v>
      </x:c>
      <x:c r="S461" t="str">
        <x:v>OK</x:v>
      </x:c>
      <x:c r="T461" t="n">
        <x:v>30</x:v>
      </x:c>
      <x:c r="U461" t="str">
        <x:v>OK</x:v>
      </x:c>
      <x:c r="V461" t="str">
        <x:v>OK</x:v>
      </x:c>
      <x:c r="W461" t="str">
        <x:v>LOAD</x:v>
      </x:c>
      <x:c r="X461" t="str">
        <x:v>02_Supervisor_Log(4).xlsx</x:v>
      </x:c>
      <x:c r="Y461" t="str">
        <x:v>ENH-20260830-01</x:v>
      </x:c>
      <x:c r="Z461" t="str">
        <x:v>Active</x:v>
      </x:c>
      <x:c r="AA461"/>
      <x:c r="AB461"/>
      <x:c r="AC461"/>
      <x:c r="AD461"/>
    </x:row>
    <x:row r="462">
      <x:c r="A462" t="str">
        <x:v>PCC-PE-KG01-L21-20251025-PM-ORD-2025-00021-S10-C2</x:v>
      </x:c>
      <x:c r="B462" t="str">
        <x:v>PC-PE-KG01-L21-20251025-PM-ORD-2025-00021-S10</x:v>
      </x:c>
      <x:c r="C462" t="str">
        <x:v>PE-KG01-L21-20251025-PM-ORD-2025-00021</x:v>
      </x:c>
      <x:c r="D462" t="str">
        <x:v>KG01</x:v>
      </x:c>
      <x:c r="E462" s="62" t="n">
        <x:v>45955</x:v>
      </x:c>
      <x:c r="F462" t="str">
        <x:v>PM</x:v>
      </x:c>
      <x:c r="G462" t="str">
        <x:v>C</x:v>
      </x:c>
      <x:c r="H462" t="n">
        <x:v>21</x:v>
      </x:c>
      <x:c r="I462" t="str">
        <x:v>ORD-2025-00021</x:v>
      </x:c>
      <x:c r="J462" t="n">
        <x:v>10</x:v>
      </x:c>
      <x:c r="K462" t="n">
        <x:v>2</x:v>
      </x:c>
      <x:c r="L462" t="str">
        <x:v>L21-S10-C2</x:v>
      </x:c>
      <x:c r="M462" t="n">
        <x:v>1</x:v>
      </x:c>
      <x:c r="N462" t="str">
        <x:v>DerivedFromCount</x:v>
      </x:c>
      <x:c r="O462" t="str">
        <x:v>PLC-PRD-JAR-330-L21</x:v>
      </x:c>
      <x:c r="P462" t="str">
        <x:v>OK</x:v>
      </x:c>
      <x:c r="Q462" t="str">
        <x:v>OK</x:v>
      </x:c>
      <x:c r="R462" t="str">
        <x:v>OK</x:v>
      </x:c>
      <x:c r="S462" t="str">
        <x:v>OK</x:v>
      </x:c>
      <x:c r="T462" t="n">
        <x:v>30</x:v>
      </x:c>
      <x:c r="U462" t="str">
        <x:v>OK</x:v>
      </x:c>
      <x:c r="V462" t="str">
        <x:v>OK</x:v>
      </x:c>
      <x:c r="W462" t="str">
        <x:v>LOAD</x:v>
      </x:c>
      <x:c r="X462" t="str">
        <x:v>02_Supervisor_Log(4).xlsx</x:v>
      </x:c>
      <x:c r="Y462" t="str">
        <x:v>ENH-20260830-01</x:v>
      </x:c>
      <x:c r="Z462" t="str">
        <x:v>Active</x:v>
      </x:c>
      <x:c r="AA462"/>
      <x:c r="AB462"/>
      <x:c r="AC462"/>
      <x:c r="AD462"/>
    </x:row>
    <x:row r="463">
      <x:c r="A463" t="str">
        <x:v>PCC-PE-KG01-L21-20251025-PM-ORD-2025-00021-S10-C3</x:v>
      </x:c>
      <x:c r="B463" t="str">
        <x:v>PC-PE-KG01-L21-20251025-PM-ORD-2025-00021-S10</x:v>
      </x:c>
      <x:c r="C463" t="str">
        <x:v>PE-KG01-L21-20251025-PM-ORD-2025-00021</x:v>
      </x:c>
      <x:c r="D463" t="str">
        <x:v>KG01</x:v>
      </x:c>
      <x:c r="E463" s="62" t="n">
        <x:v>45955</x:v>
      </x:c>
      <x:c r="F463" t="str">
        <x:v>PM</x:v>
      </x:c>
      <x:c r="G463" t="str">
        <x:v>C</x:v>
      </x:c>
      <x:c r="H463" t="n">
        <x:v>21</x:v>
      </x:c>
      <x:c r="I463" t="str">
        <x:v>ORD-2025-00021</x:v>
      </x:c>
      <x:c r="J463" t="n">
        <x:v>10</x:v>
      </x:c>
      <x:c r="K463" t="n">
        <x:v>3</x:v>
      </x:c>
      <x:c r="L463" t="str">
        <x:v>L21-S10-C3</x:v>
      </x:c>
      <x:c r="M463" t="n">
        <x:v>1</x:v>
      </x:c>
      <x:c r="N463" t="str">
        <x:v>DerivedFromCount</x:v>
      </x:c>
      <x:c r="O463" t="str">
        <x:v>PLC-PRD-JAR-330-L21</x:v>
      </x:c>
      <x:c r="P463" t="str">
        <x:v>OK</x:v>
      </x:c>
      <x:c r="Q463" t="str">
        <x:v>OK</x:v>
      </x:c>
      <x:c r="R463" t="str">
        <x:v>OK</x:v>
      </x:c>
      <x:c r="S463" t="str">
        <x:v>OK</x:v>
      </x:c>
      <x:c r="T463" t="n">
        <x:v>30</x:v>
      </x:c>
      <x:c r="U463" t="str">
        <x:v>OK</x:v>
      </x:c>
      <x:c r="V463" t="str">
        <x:v>OK</x:v>
      </x:c>
      <x:c r="W463" t="str">
        <x:v>LOAD</x:v>
      </x:c>
      <x:c r="X463" t="str">
        <x:v>02_Supervisor_Log(4).xlsx</x:v>
      </x:c>
      <x:c r="Y463" t="str">
        <x:v>ENH-20260830-01</x:v>
      </x:c>
      <x:c r="Z463" t="str">
        <x:v>Active</x:v>
      </x:c>
      <x:c r="AA463"/>
      <x:c r="AB463"/>
      <x:c r="AC463"/>
      <x:c r="AD463"/>
    </x:row>
    <x:row r="464">
      <x:c r="A464" t="str">
        <x:v>PCC-PE-KG01-L21-20251025-PM-ORD-2025-00021-S11-C1</x:v>
      </x:c>
      <x:c r="B464" t="str">
        <x:v>PC-PE-KG01-L21-20251025-PM-ORD-2025-00021-S11</x:v>
      </x:c>
      <x:c r="C464" t="str">
        <x:v>PE-KG01-L21-20251025-PM-ORD-2025-00021</x:v>
      </x:c>
      <x:c r="D464" t="str">
        <x:v>KG01</x:v>
      </x:c>
      <x:c r="E464" s="62" t="n">
        <x:v>45955</x:v>
      </x:c>
      <x:c r="F464" t="str">
        <x:v>PM</x:v>
      </x:c>
      <x:c r="G464" t="str">
        <x:v>C</x:v>
      </x:c>
      <x:c r="H464" t="n">
        <x:v>21</x:v>
      </x:c>
      <x:c r="I464" t="str">
        <x:v>ORD-2025-00021</x:v>
      </x:c>
      <x:c r="J464" t="n">
        <x:v>11</x:v>
      </x:c>
      <x:c r="K464" t="n">
        <x:v>1</x:v>
      </x:c>
      <x:c r="L464" t="str">
        <x:v>L21-S11-C1</x:v>
      </x:c>
      <x:c r="M464" t="n">
        <x:v>0</x:v>
      </x:c>
      <x:c r="N464" t="str">
        <x:v>DerivedFromCount</x:v>
      </x:c>
      <x:c r="O464" t="str">
        <x:v>PLC-PRD-JAR-330-L21</x:v>
      </x:c>
      <x:c r="P464" t="str">
        <x:v>OK</x:v>
      </x:c>
      <x:c r="Q464" t="str">
        <x:v>OK</x:v>
      </x:c>
      <x:c r="R464" t="str">
        <x:v>OK</x:v>
      </x:c>
      <x:c r="S464" t="str">
        <x:v>OK</x:v>
      </x:c>
      <x:c r="T464" t="n">
        <x:v>30</x:v>
      </x:c>
      <x:c r="U464" t="str">
        <x:v>OK</x:v>
      </x:c>
      <x:c r="V464" t="str">
        <x:v>OK</x:v>
      </x:c>
      <x:c r="W464" t="str">
        <x:v>LOAD</x:v>
      </x:c>
      <x:c r="X464" t="str">
        <x:v>02_Supervisor_Log(4).xlsx</x:v>
      </x:c>
      <x:c r="Y464" t="str">
        <x:v>ENH-20260830-01</x:v>
      </x:c>
      <x:c r="Z464" t="str">
        <x:v>Active</x:v>
      </x:c>
      <x:c r="AA464"/>
      <x:c r="AB464"/>
      <x:c r="AC464"/>
      <x:c r="AD464"/>
    </x:row>
    <x:row r="465">
      <x:c r="A465" t="str">
        <x:v>PCC-PE-KG01-L21-20251025-PM-ORD-2025-00021-S11-C2</x:v>
      </x:c>
      <x:c r="B465" t="str">
        <x:v>PC-PE-KG01-L21-20251025-PM-ORD-2025-00021-S11</x:v>
      </x:c>
      <x:c r="C465" t="str">
        <x:v>PE-KG01-L21-20251025-PM-ORD-2025-00021</x:v>
      </x:c>
      <x:c r="D465" t="str">
        <x:v>KG01</x:v>
      </x:c>
      <x:c r="E465" s="62" t="n">
        <x:v>45955</x:v>
      </x:c>
      <x:c r="F465" t="str">
        <x:v>PM</x:v>
      </x:c>
      <x:c r="G465" t="str">
        <x:v>C</x:v>
      </x:c>
      <x:c r="H465" t="n">
        <x:v>21</x:v>
      </x:c>
      <x:c r="I465" t="str">
        <x:v>ORD-2025-00021</x:v>
      </x:c>
      <x:c r="J465" t="n">
        <x:v>11</x:v>
      </x:c>
      <x:c r="K465" t="n">
        <x:v>2</x:v>
      </x:c>
      <x:c r="L465" t="str">
        <x:v>L21-S11-C2</x:v>
      </x:c>
      <x:c r="M465" t="n">
        <x:v>0</x:v>
      </x:c>
      <x:c r="N465" t="str">
        <x:v>DerivedFromCount</x:v>
      </x:c>
      <x:c r="O465" t="str">
        <x:v>PLC-PRD-JAR-330-L21</x:v>
      </x:c>
      <x:c r="P465" t="str">
        <x:v>OK</x:v>
      </x:c>
      <x:c r="Q465" t="str">
        <x:v>OK</x:v>
      </x:c>
      <x:c r="R465" t="str">
        <x:v>OK</x:v>
      </x:c>
      <x:c r="S465" t="str">
        <x:v>OK</x:v>
      </x:c>
      <x:c r="T465" t="n">
        <x:v>30</x:v>
      </x:c>
      <x:c r="U465" t="str">
        <x:v>OK</x:v>
      </x:c>
      <x:c r="V465" t="str">
        <x:v>OK</x:v>
      </x:c>
      <x:c r="W465" t="str">
        <x:v>LOAD</x:v>
      </x:c>
      <x:c r="X465" t="str">
        <x:v>02_Supervisor_Log(4).xlsx</x:v>
      </x:c>
      <x:c r="Y465" t="str">
        <x:v>ENH-20260830-01</x:v>
      </x:c>
      <x:c r="Z465" t="str">
        <x:v>Active</x:v>
      </x:c>
      <x:c r="AA465"/>
      <x:c r="AB465"/>
      <x:c r="AC465"/>
      <x:c r="AD465"/>
    </x:row>
    <x:row r="466">
      <x:c r="A466" t="str">
        <x:v>PCC-PE-KG01-L21-20251025-PM-ORD-2025-00021-S11-C3</x:v>
      </x:c>
      <x:c r="B466" t="str">
        <x:v>PC-PE-KG01-L21-20251025-PM-ORD-2025-00021-S11</x:v>
      </x:c>
      <x:c r="C466" t="str">
        <x:v>PE-KG01-L21-20251025-PM-ORD-2025-00021</x:v>
      </x:c>
      <x:c r="D466" t="str">
        <x:v>KG01</x:v>
      </x:c>
      <x:c r="E466" s="62" t="n">
        <x:v>45955</x:v>
      </x:c>
      <x:c r="F466" t="str">
        <x:v>PM</x:v>
      </x:c>
      <x:c r="G466" t="str">
        <x:v>C</x:v>
      </x:c>
      <x:c r="H466" t="n">
        <x:v>21</x:v>
      </x:c>
      <x:c r="I466" t="str">
        <x:v>ORD-2025-00021</x:v>
      </x:c>
      <x:c r="J466" t="n">
        <x:v>11</x:v>
      </x:c>
      <x:c r="K466" t="n">
        <x:v>3</x:v>
      </x:c>
      <x:c r="L466" t="str">
        <x:v>L21-S11-C3</x:v>
      </x:c>
      <x:c r="M466" t="n">
        <x:v>0</x:v>
      </x:c>
      <x:c r="N466" t="str">
        <x:v>DerivedFromCount</x:v>
      </x:c>
      <x:c r="O466" t="str">
        <x:v>PLC-PRD-JAR-330-L21</x:v>
      </x:c>
      <x:c r="P466" t="str">
        <x:v>OK</x:v>
      </x:c>
      <x:c r="Q466" t="str">
        <x:v>OK</x:v>
      </x:c>
      <x:c r="R466" t="str">
        <x:v>OK</x:v>
      </x:c>
      <x:c r="S466" t="str">
        <x:v>OK</x:v>
      </x:c>
      <x:c r="T466" t="n">
        <x:v>30</x:v>
      </x:c>
      <x:c r="U466" t="str">
        <x:v>OK</x:v>
      </x:c>
      <x:c r="V466" t="str">
        <x:v>OK</x:v>
      </x:c>
      <x:c r="W466" t="str">
        <x:v>LOAD</x:v>
      </x:c>
      <x:c r="X466" t="str">
        <x:v>02_Supervisor_Log(4).xlsx</x:v>
      </x:c>
      <x:c r="Y466" t="str">
        <x:v>ENH-20260830-01</x:v>
      </x:c>
      <x:c r="Z466" t="str">
        <x:v>Active</x:v>
      </x:c>
      <x:c r="AA466"/>
      <x:c r="AB466"/>
      <x:c r="AC466"/>
      <x:c r="AD466"/>
    </x:row>
    <x:row r="467">
      <x:c r="A467" t="str">
        <x:v>PCC-PE-KG01-L21-20251025-PM-ORD-2025-00021-S12-C1</x:v>
      </x:c>
      <x:c r="B467" t="str">
        <x:v>PC-PE-KG01-L21-20251025-PM-ORD-2025-00021-S12</x:v>
      </x:c>
      <x:c r="C467" t="str">
        <x:v>PE-KG01-L21-20251025-PM-ORD-2025-00021</x:v>
      </x:c>
      <x:c r="D467" t="str">
        <x:v>KG01</x:v>
      </x:c>
      <x:c r="E467" s="62" t="n">
        <x:v>45955</x:v>
      </x:c>
      <x:c r="F467" t="str">
        <x:v>PM</x:v>
      </x:c>
      <x:c r="G467" t="str">
        <x:v>C</x:v>
      </x:c>
      <x:c r="H467" t="n">
        <x:v>21</x:v>
      </x:c>
      <x:c r="I467" t="str">
        <x:v>ORD-2025-00021</x:v>
      </x:c>
      <x:c r="J467" t="n">
        <x:v>12</x:v>
      </x:c>
      <x:c r="K467" t="n">
        <x:v>1</x:v>
      </x:c>
      <x:c r="L467" t="str">
        <x:v>L21-S12-C1</x:v>
      </x:c>
      <x:c r="M467" t="n">
        <x:v>0</x:v>
      </x:c>
      <x:c r="N467" t="str">
        <x:v>DerivedFromCount</x:v>
      </x:c>
      <x:c r="O467" t="str">
        <x:v>PLC-PRD-JAR-330-L21</x:v>
      </x:c>
      <x:c r="P467" t="str">
        <x:v>OK</x:v>
      </x:c>
      <x:c r="Q467" t="str">
        <x:v>OK</x:v>
      </x:c>
      <x:c r="R467" t="str">
        <x:v>OK</x:v>
      </x:c>
      <x:c r="S467" t="str">
        <x:v>OK</x:v>
      </x:c>
      <x:c r="T467" t="n">
        <x:v>30</x:v>
      </x:c>
      <x:c r="U467" t="str">
        <x:v>OK</x:v>
      </x:c>
      <x:c r="V467" t="str">
        <x:v>OK</x:v>
      </x:c>
      <x:c r="W467" t="str">
        <x:v>LOAD</x:v>
      </x:c>
      <x:c r="X467" t="str">
        <x:v>02_Supervisor_Log(4).xlsx</x:v>
      </x:c>
      <x:c r="Y467" t="str">
        <x:v>ENH-20260830-01</x:v>
      </x:c>
      <x:c r="Z467" t="str">
        <x:v>Active</x:v>
      </x:c>
      <x:c r="AA467"/>
      <x:c r="AB467"/>
      <x:c r="AC467"/>
      <x:c r="AD467"/>
    </x:row>
    <x:row r="468">
      <x:c r="A468" t="str">
        <x:v>PCC-PE-KG01-L21-20251025-PM-ORD-2025-00021-S12-C2</x:v>
      </x:c>
      <x:c r="B468" t="str">
        <x:v>PC-PE-KG01-L21-20251025-PM-ORD-2025-00021-S12</x:v>
      </x:c>
      <x:c r="C468" t="str">
        <x:v>PE-KG01-L21-20251025-PM-ORD-2025-00021</x:v>
      </x:c>
      <x:c r="D468" t="str">
        <x:v>KG01</x:v>
      </x:c>
      <x:c r="E468" s="62" t="n">
        <x:v>45955</x:v>
      </x:c>
      <x:c r="F468" t="str">
        <x:v>PM</x:v>
      </x:c>
      <x:c r="G468" t="str">
        <x:v>C</x:v>
      </x:c>
      <x:c r="H468" t="n">
        <x:v>21</x:v>
      </x:c>
      <x:c r="I468" t="str">
        <x:v>ORD-2025-00021</x:v>
      </x:c>
      <x:c r="J468" t="n">
        <x:v>12</x:v>
      </x:c>
      <x:c r="K468" t="n">
        <x:v>2</x:v>
      </x:c>
      <x:c r="L468" t="str">
        <x:v>L21-S12-C2</x:v>
      </x:c>
      <x:c r="M468" t="n">
        <x:v>0</x:v>
      </x:c>
      <x:c r="N468" t="str">
        <x:v>DerivedFromCount</x:v>
      </x:c>
      <x:c r="O468" t="str">
        <x:v>PLC-PRD-JAR-330-L21</x:v>
      </x:c>
      <x:c r="P468" t="str">
        <x:v>OK</x:v>
      </x:c>
      <x:c r="Q468" t="str">
        <x:v>OK</x:v>
      </x:c>
      <x:c r="R468" t="str">
        <x:v>OK</x:v>
      </x:c>
      <x:c r="S468" t="str">
        <x:v>OK</x:v>
      </x:c>
      <x:c r="T468" t="n">
        <x:v>30</x:v>
      </x:c>
      <x:c r="U468" t="str">
        <x:v>OK</x:v>
      </x:c>
      <x:c r="V468" t="str">
        <x:v>OK</x:v>
      </x:c>
      <x:c r="W468" t="str">
        <x:v>LOAD</x:v>
      </x:c>
      <x:c r="X468" t="str">
        <x:v>02_Supervisor_Log(4).xlsx</x:v>
      </x:c>
      <x:c r="Y468" t="str">
        <x:v>ENH-20260830-01</x:v>
      </x:c>
      <x:c r="Z468" t="str">
        <x:v>Active</x:v>
      </x:c>
      <x:c r="AA468"/>
      <x:c r="AB468"/>
      <x:c r="AC468"/>
      <x:c r="AD468"/>
    </x:row>
    <x:row r="469">
      <x:c r="A469" t="str">
        <x:v>PCC-PE-KG01-L21-20251025-PM-ORD-2025-00021-S12-C3</x:v>
      </x:c>
      <x:c r="B469" t="str">
        <x:v>PC-PE-KG01-L21-20251025-PM-ORD-2025-00021-S12</x:v>
      </x:c>
      <x:c r="C469" t="str">
        <x:v>PE-KG01-L21-20251025-PM-ORD-2025-00021</x:v>
      </x:c>
      <x:c r="D469" t="str">
        <x:v>KG01</x:v>
      </x:c>
      <x:c r="E469" s="62" t="n">
        <x:v>45955</x:v>
      </x:c>
      <x:c r="F469" t="str">
        <x:v>PM</x:v>
      </x:c>
      <x:c r="G469" t="str">
        <x:v>C</x:v>
      </x:c>
      <x:c r="H469" t="n">
        <x:v>21</x:v>
      </x:c>
      <x:c r="I469" t="str">
        <x:v>ORD-2025-00021</x:v>
      </x:c>
      <x:c r="J469" t="n">
        <x:v>12</x:v>
      </x:c>
      <x:c r="K469" t="n">
        <x:v>3</x:v>
      </x:c>
      <x:c r="L469" t="str">
        <x:v>L21-S12-C3</x:v>
      </x:c>
      <x:c r="M469" t="n">
        <x:v>0</x:v>
      </x:c>
      <x:c r="N469" t="str">
        <x:v>DerivedFromCount</x:v>
      </x:c>
      <x:c r="O469" t="str">
        <x:v>PLC-PRD-JAR-330-L21</x:v>
      </x:c>
      <x:c r="P469" t="str">
        <x:v>OK</x:v>
      </x:c>
      <x:c r="Q469" t="str">
        <x:v>OK</x:v>
      </x:c>
      <x:c r="R469" t="str">
        <x:v>OK</x:v>
      </x:c>
      <x:c r="S469" t="str">
        <x:v>OK</x:v>
      </x:c>
      <x:c r="T469" t="n">
        <x:v>30</x:v>
      </x:c>
      <x:c r="U469" t="str">
        <x:v>OK</x:v>
      </x:c>
      <x:c r="V469" t="str">
        <x:v>OK</x:v>
      </x:c>
      <x:c r="W469" t="str">
        <x:v>LOAD</x:v>
      </x:c>
      <x:c r="X469" t="str">
        <x:v>02_Supervisor_Log(4).xlsx</x:v>
      </x:c>
      <x:c r="Y469" t="str">
        <x:v>ENH-20260830-01</x:v>
      </x:c>
      <x:c r="Z469" t="str">
        <x:v>Active</x:v>
      </x:c>
      <x:c r="AA469"/>
      <x:c r="AB469"/>
      <x:c r="AC469"/>
      <x:c r="AD469"/>
    </x:row>
    <x:row r="470">
      <x:c r="A470" t="str">
        <x:v>PCC-PE-KG01-L21-20251025-PM-ORD-2025-00021-S13-C1</x:v>
      </x:c>
      <x:c r="B470" t="str">
        <x:v>PC-PE-KG01-L21-20251025-PM-ORD-2025-00021-S13</x:v>
      </x:c>
      <x:c r="C470" t="str">
        <x:v>PE-KG01-L21-20251025-PM-ORD-2025-00021</x:v>
      </x:c>
      <x:c r="D470" t="str">
        <x:v>KG01</x:v>
      </x:c>
      <x:c r="E470" s="62" t="n">
        <x:v>45955</x:v>
      </x:c>
      <x:c r="F470" t="str">
        <x:v>PM</x:v>
      </x:c>
      <x:c r="G470" t="str">
        <x:v>C</x:v>
      </x:c>
      <x:c r="H470" t="n">
        <x:v>21</x:v>
      </x:c>
      <x:c r="I470" t="str">
        <x:v>ORD-2025-00021</x:v>
      </x:c>
      <x:c r="J470" t="n">
        <x:v>13</x:v>
      </x:c>
      <x:c r="K470" t="n">
        <x:v>1</x:v>
      </x:c>
      <x:c r="L470" t="str">
        <x:v>L21-S13-C1</x:v>
      </x:c>
      <x:c r="M470" t="n">
        <x:v>0</x:v>
      </x:c>
      <x:c r="N470" t="str">
        <x:v>DerivedFromCount</x:v>
      </x:c>
      <x:c r="O470" t="str">
        <x:v>PLC-PRD-JAR-330-L21</x:v>
      </x:c>
      <x:c r="P470" t="str">
        <x:v>OK</x:v>
      </x:c>
      <x:c r="Q470" t="str">
        <x:v>OK</x:v>
      </x:c>
      <x:c r="R470" t="str">
        <x:v>OK</x:v>
      </x:c>
      <x:c r="S470" t="str">
        <x:v>OK</x:v>
      </x:c>
      <x:c r="T470" t="n">
        <x:v>30</x:v>
      </x:c>
      <x:c r="U470" t="str">
        <x:v>OK</x:v>
      </x:c>
      <x:c r="V470" t="str">
        <x:v>OK</x:v>
      </x:c>
      <x:c r="W470" t="str">
        <x:v>LOAD</x:v>
      </x:c>
      <x:c r="X470" t="str">
        <x:v>02_Supervisor_Log(4).xlsx</x:v>
      </x:c>
      <x:c r="Y470" t="str">
        <x:v>ENH-20260830-01</x:v>
      </x:c>
      <x:c r="Z470" t="str">
        <x:v>Active</x:v>
      </x:c>
      <x:c r="AA470"/>
      <x:c r="AB470"/>
      <x:c r="AC470"/>
      <x:c r="AD470"/>
    </x:row>
    <x:row r="471">
      <x:c r="A471" t="str">
        <x:v>PCC-PE-KG01-L21-20251025-PM-ORD-2025-00021-S13-C2</x:v>
      </x:c>
      <x:c r="B471" t="str">
        <x:v>PC-PE-KG01-L21-20251025-PM-ORD-2025-00021-S13</x:v>
      </x:c>
      <x:c r="C471" t="str">
        <x:v>PE-KG01-L21-20251025-PM-ORD-2025-00021</x:v>
      </x:c>
      <x:c r="D471" t="str">
        <x:v>KG01</x:v>
      </x:c>
      <x:c r="E471" s="62" t="n">
        <x:v>45955</x:v>
      </x:c>
      <x:c r="F471" t="str">
        <x:v>PM</x:v>
      </x:c>
      <x:c r="G471" t="str">
        <x:v>C</x:v>
      </x:c>
      <x:c r="H471" t="n">
        <x:v>21</x:v>
      </x:c>
      <x:c r="I471" t="str">
        <x:v>ORD-2025-00021</x:v>
      </x:c>
      <x:c r="J471" t="n">
        <x:v>13</x:v>
      </x:c>
      <x:c r="K471" t="n">
        <x:v>2</x:v>
      </x:c>
      <x:c r="L471" t="str">
        <x:v>L21-S13-C2</x:v>
      </x:c>
      <x:c r="M471" t="n">
        <x:v>0</x:v>
      </x:c>
      <x:c r="N471" t="str">
        <x:v>DerivedFromCount</x:v>
      </x:c>
      <x:c r="O471" t="str">
        <x:v>PLC-PRD-JAR-330-L21</x:v>
      </x:c>
      <x:c r="P471" t="str">
        <x:v>OK</x:v>
      </x:c>
      <x:c r="Q471" t="str">
        <x:v>OK</x:v>
      </x:c>
      <x:c r="R471" t="str">
        <x:v>OK</x:v>
      </x:c>
      <x:c r="S471" t="str">
        <x:v>OK</x:v>
      </x:c>
      <x:c r="T471" t="n">
        <x:v>30</x:v>
      </x:c>
      <x:c r="U471" t="str">
        <x:v>OK</x:v>
      </x:c>
      <x:c r="V471" t="str">
        <x:v>OK</x:v>
      </x:c>
      <x:c r="W471" t="str">
        <x:v>LOAD</x:v>
      </x:c>
      <x:c r="X471" t="str">
        <x:v>02_Supervisor_Log(4).xlsx</x:v>
      </x:c>
      <x:c r="Y471" t="str">
        <x:v>ENH-20260830-01</x:v>
      </x:c>
      <x:c r="Z471" t="str">
        <x:v>Active</x:v>
      </x:c>
      <x:c r="AA471"/>
      <x:c r="AB471"/>
      <x:c r="AC471"/>
      <x:c r="AD471"/>
    </x:row>
    <x:row r="472">
      <x:c r="A472" t="str">
        <x:v>PCC-PE-KG01-L21-20251025-PM-ORD-2025-00021-S13-C3</x:v>
      </x:c>
      <x:c r="B472" t="str">
        <x:v>PC-PE-KG01-L21-20251025-PM-ORD-2025-00021-S13</x:v>
      </x:c>
      <x:c r="C472" t="str">
        <x:v>PE-KG01-L21-20251025-PM-ORD-2025-00021</x:v>
      </x:c>
      <x:c r="D472" t="str">
        <x:v>KG01</x:v>
      </x:c>
      <x:c r="E472" s="62" t="n">
        <x:v>45955</x:v>
      </x:c>
      <x:c r="F472" t="str">
        <x:v>PM</x:v>
      </x:c>
      <x:c r="G472" t="str">
        <x:v>C</x:v>
      </x:c>
      <x:c r="H472" t="n">
        <x:v>21</x:v>
      </x:c>
      <x:c r="I472" t="str">
        <x:v>ORD-2025-00021</x:v>
      </x:c>
      <x:c r="J472" t="n">
        <x:v>13</x:v>
      </x:c>
      <x:c r="K472" t="n">
        <x:v>3</x:v>
      </x:c>
      <x:c r="L472" t="str">
        <x:v>L21-S13-C3</x:v>
      </x:c>
      <x:c r="M472" t="n">
        <x:v>0</x:v>
      </x:c>
      <x:c r="N472" t="str">
        <x:v>DerivedFromCount</x:v>
      </x:c>
      <x:c r="O472" t="str">
        <x:v>PLC-PRD-JAR-330-L21</x:v>
      </x:c>
      <x:c r="P472" t="str">
        <x:v>OK</x:v>
      </x:c>
      <x:c r="Q472" t="str">
        <x:v>OK</x:v>
      </x:c>
      <x:c r="R472" t="str">
        <x:v>OK</x:v>
      </x:c>
      <x:c r="S472" t="str">
        <x:v>OK</x:v>
      </x:c>
      <x:c r="T472" t="n">
        <x:v>30</x:v>
      </x:c>
      <x:c r="U472" t="str">
        <x:v>OK</x:v>
      </x:c>
      <x:c r="V472" t="str">
        <x:v>OK</x:v>
      </x:c>
      <x:c r="W472" t="str">
        <x:v>LOAD</x:v>
      </x:c>
      <x:c r="X472" t="str">
        <x:v>02_Supervisor_Log(4).xlsx</x:v>
      </x:c>
      <x:c r="Y472" t="str">
        <x:v>ENH-20260830-01</x:v>
      </x:c>
      <x:c r="Z472" t="str">
        <x:v>Active</x:v>
      </x:c>
      <x:c r="AA472"/>
      <x:c r="AB472"/>
      <x:c r="AC472"/>
      <x:c r="AD472"/>
    </x:row>
    <x:row r="473">
      <x:c r="A473" t="str">
        <x:v>PCC-PE-KG01-L21-20251026-AM-ORD-2025-00021-S01-C1</x:v>
      </x:c>
      <x:c r="B473" t="str">
        <x:v>PC-PE-KG01-L21-20251026-AM-ORD-2025-00021-S01</x:v>
      </x:c>
      <x:c r="C473" t="str">
        <x:v>PE-KG01-L21-20251026-AM-ORD-2025-00021</x:v>
      </x:c>
      <x:c r="D473" t="str">
        <x:v>KG01</x:v>
      </x:c>
      <x:c r="E473" s="62" t="n">
        <x:v>45956</x:v>
      </x:c>
      <x:c r="F473" t="str">
        <x:v>AM</x:v>
      </x:c>
      <x:c r="G473" t="str">
        <x:v>C</x:v>
      </x:c>
      <x:c r="H473" t="n">
        <x:v>21</x:v>
      </x:c>
      <x:c r="I473" t="str">
        <x:v>ORD-2025-00021</x:v>
      </x:c>
      <x:c r="J473" t="n">
        <x:v>1</x:v>
      </x:c>
      <x:c r="K473" t="n">
        <x:v>1</x:v>
      </x:c>
      <x:c r="L473" t="str">
        <x:v>L21-S01-C1</x:v>
      </x:c>
      <x:c r="M473" t="n">
        <x:v>1</x:v>
      </x:c>
      <x:c r="N473" t="str">
        <x:v>DerivedFromCount</x:v>
      </x:c>
      <x:c r="O473" t="str">
        <x:v>PLC-PRD-JAR-330-L21</x:v>
      </x:c>
      <x:c r="P473" t="str">
        <x:v>OK</x:v>
      </x:c>
      <x:c r="Q473" t="str">
        <x:v>OK</x:v>
      </x:c>
      <x:c r="R473" t="str">
        <x:v>OK</x:v>
      </x:c>
      <x:c r="S473" t="str">
        <x:v>OK</x:v>
      </x:c>
      <x:c r="T473" t="n">
        <x:v>30</x:v>
      </x:c>
      <x:c r="U473" t="str">
        <x:v>OK</x:v>
      </x:c>
      <x:c r="V473" t="str">
        <x:v>OK</x:v>
      </x:c>
      <x:c r="W473" t="str">
        <x:v>LOAD</x:v>
      </x:c>
      <x:c r="X473" t="str">
        <x:v>02_Supervisor_Log(4).xlsx</x:v>
      </x:c>
      <x:c r="Y473" t="str">
        <x:v>ENH-20260830-01</x:v>
      </x:c>
      <x:c r="Z473" t="str">
        <x:v>Active</x:v>
      </x:c>
      <x:c r="AA473"/>
      <x:c r="AB473"/>
      <x:c r="AC473"/>
      <x:c r="AD473"/>
    </x:row>
    <x:row r="474">
      <x:c r="A474" t="str">
        <x:v>PCC-PE-KG01-L21-20251026-AM-ORD-2025-00021-S01-C2</x:v>
      </x:c>
      <x:c r="B474" t="str">
        <x:v>PC-PE-KG01-L21-20251026-AM-ORD-2025-00021-S01</x:v>
      </x:c>
      <x:c r="C474" t="str">
        <x:v>PE-KG01-L21-20251026-AM-ORD-2025-00021</x:v>
      </x:c>
      <x:c r="D474" t="str">
        <x:v>KG01</x:v>
      </x:c>
      <x:c r="E474" s="62" t="n">
        <x:v>45956</x:v>
      </x:c>
      <x:c r="F474" t="str">
        <x:v>AM</x:v>
      </x:c>
      <x:c r="G474" t="str">
        <x:v>C</x:v>
      </x:c>
      <x:c r="H474" t="n">
        <x:v>21</x:v>
      </x:c>
      <x:c r="I474" t="str">
        <x:v>ORD-2025-00021</x:v>
      </x:c>
      <x:c r="J474" t="n">
        <x:v>1</x:v>
      </x:c>
      <x:c r="K474" t="n">
        <x:v>2</x:v>
      </x:c>
      <x:c r="L474" t="str">
        <x:v>L21-S01-C2</x:v>
      </x:c>
      <x:c r="M474" t="n">
        <x:v>1</x:v>
      </x:c>
      <x:c r="N474" t="str">
        <x:v>DerivedFromCount</x:v>
      </x:c>
      <x:c r="O474" t="str">
        <x:v>PLC-PRD-JAR-330-L21</x:v>
      </x:c>
      <x:c r="P474" t="str">
        <x:v>OK</x:v>
      </x:c>
      <x:c r="Q474" t="str">
        <x:v>OK</x:v>
      </x:c>
      <x:c r="R474" t="str">
        <x:v>OK</x:v>
      </x:c>
      <x:c r="S474" t="str">
        <x:v>OK</x:v>
      </x:c>
      <x:c r="T474" t="n">
        <x:v>30</x:v>
      </x:c>
      <x:c r="U474" t="str">
        <x:v>OK</x:v>
      </x:c>
      <x:c r="V474" t="str">
        <x:v>OK</x:v>
      </x:c>
      <x:c r="W474" t="str">
        <x:v>LOAD</x:v>
      </x:c>
      <x:c r="X474" t="str">
        <x:v>02_Supervisor_Log(4).xlsx</x:v>
      </x:c>
      <x:c r="Y474" t="str">
        <x:v>ENH-20260830-01</x:v>
      </x:c>
      <x:c r="Z474" t="str">
        <x:v>Active</x:v>
      </x:c>
      <x:c r="AA474"/>
      <x:c r="AB474"/>
      <x:c r="AC474"/>
      <x:c r="AD474"/>
    </x:row>
    <x:row r="475">
      <x:c r="A475" t="str">
        <x:v>PCC-PE-KG01-L21-20251026-AM-ORD-2025-00021-S01-C3</x:v>
      </x:c>
      <x:c r="B475" t="str">
        <x:v>PC-PE-KG01-L21-20251026-AM-ORD-2025-00021-S01</x:v>
      </x:c>
      <x:c r="C475" t="str">
        <x:v>PE-KG01-L21-20251026-AM-ORD-2025-00021</x:v>
      </x:c>
      <x:c r="D475" t="str">
        <x:v>KG01</x:v>
      </x:c>
      <x:c r="E475" s="62" t="n">
        <x:v>45956</x:v>
      </x:c>
      <x:c r="F475" t="str">
        <x:v>AM</x:v>
      </x:c>
      <x:c r="G475" t="str">
        <x:v>C</x:v>
      </x:c>
      <x:c r="H475" t="n">
        <x:v>21</x:v>
      </x:c>
      <x:c r="I475" t="str">
        <x:v>ORD-2025-00021</x:v>
      </x:c>
      <x:c r="J475" t="n">
        <x:v>1</x:v>
      </x:c>
      <x:c r="K475" t="n">
        <x:v>3</x:v>
      </x:c>
      <x:c r="L475" t="str">
        <x:v>L21-S01-C3</x:v>
      </x:c>
      <x:c r="M475" t="n">
        <x:v>1</x:v>
      </x:c>
      <x:c r="N475" t="str">
        <x:v>DerivedFromCount</x:v>
      </x:c>
      <x:c r="O475" t="str">
        <x:v>PLC-PRD-JAR-330-L21</x:v>
      </x:c>
      <x:c r="P475" t="str">
        <x:v>OK</x:v>
      </x:c>
      <x:c r="Q475" t="str">
        <x:v>OK</x:v>
      </x:c>
      <x:c r="R475" t="str">
        <x:v>OK</x:v>
      </x:c>
      <x:c r="S475" t="str">
        <x:v>OK</x:v>
      </x:c>
      <x:c r="T475" t="n">
        <x:v>30</x:v>
      </x:c>
      <x:c r="U475" t="str">
        <x:v>OK</x:v>
      </x:c>
      <x:c r="V475" t="str">
        <x:v>OK</x:v>
      </x:c>
      <x:c r="W475" t="str">
        <x:v>LOAD</x:v>
      </x:c>
      <x:c r="X475" t="str">
        <x:v>02_Supervisor_Log(4).xlsx</x:v>
      </x:c>
      <x:c r="Y475" t="str">
        <x:v>ENH-20260830-01</x:v>
      </x:c>
      <x:c r="Z475" t="str">
        <x:v>Active</x:v>
      </x:c>
      <x:c r="AA475"/>
      <x:c r="AB475"/>
      <x:c r="AC475"/>
      <x:c r="AD475"/>
    </x:row>
    <x:row r="476">
      <x:c r="A476" t="str">
        <x:v>PCC-PE-KG01-L21-20251026-AM-ORD-2025-00021-S02-C1</x:v>
      </x:c>
      <x:c r="B476" t="str">
        <x:v>PC-PE-KG01-L21-20251026-AM-ORD-2025-00021-S02</x:v>
      </x:c>
      <x:c r="C476" t="str">
        <x:v>PE-KG01-L21-20251026-AM-ORD-2025-00021</x:v>
      </x:c>
      <x:c r="D476" t="str">
        <x:v>KG01</x:v>
      </x:c>
      <x:c r="E476" s="62" t="n">
        <x:v>45956</x:v>
      </x:c>
      <x:c r="F476" t="str">
        <x:v>AM</x:v>
      </x:c>
      <x:c r="G476" t="str">
        <x:v>C</x:v>
      </x:c>
      <x:c r="H476" t="n">
        <x:v>21</x:v>
      </x:c>
      <x:c r="I476" t="str">
        <x:v>ORD-2025-00021</x:v>
      </x:c>
      <x:c r="J476" t="n">
        <x:v>2</x:v>
      </x:c>
      <x:c r="K476" t="n">
        <x:v>1</x:v>
      </x:c>
      <x:c r="L476" t="str">
        <x:v>L21-S02-C1</x:v>
      </x:c>
      <x:c r="M476" t="n">
        <x:v>1</x:v>
      </x:c>
      <x:c r="N476" t="str">
        <x:v>DerivedFromCount</x:v>
      </x:c>
      <x:c r="O476" t="str">
        <x:v>PLC-PRD-JAR-330-L21</x:v>
      </x:c>
      <x:c r="P476" t="str">
        <x:v>OK</x:v>
      </x:c>
      <x:c r="Q476" t="str">
        <x:v>OK</x:v>
      </x:c>
      <x:c r="R476" t="str">
        <x:v>OK</x:v>
      </x:c>
      <x:c r="S476" t="str">
        <x:v>OK</x:v>
      </x:c>
      <x:c r="T476" t="n">
        <x:v>30</x:v>
      </x:c>
      <x:c r="U476" t="str">
        <x:v>OK</x:v>
      </x:c>
      <x:c r="V476" t="str">
        <x:v>OK</x:v>
      </x:c>
      <x:c r="W476" t="str">
        <x:v>LOAD</x:v>
      </x:c>
      <x:c r="X476" t="str">
        <x:v>02_Supervisor_Log(4).xlsx</x:v>
      </x:c>
      <x:c r="Y476" t="str">
        <x:v>ENH-20260830-01</x:v>
      </x:c>
      <x:c r="Z476" t="str">
        <x:v>Active</x:v>
      </x:c>
      <x:c r="AA476"/>
      <x:c r="AB476"/>
      <x:c r="AC476"/>
      <x:c r="AD476"/>
    </x:row>
    <x:row r="477">
      <x:c r="A477" t="str">
        <x:v>PCC-PE-KG01-L21-20251026-AM-ORD-2025-00021-S02-C2</x:v>
      </x:c>
      <x:c r="B477" t="str">
        <x:v>PC-PE-KG01-L21-20251026-AM-ORD-2025-00021-S02</x:v>
      </x:c>
      <x:c r="C477" t="str">
        <x:v>PE-KG01-L21-20251026-AM-ORD-2025-00021</x:v>
      </x:c>
      <x:c r="D477" t="str">
        <x:v>KG01</x:v>
      </x:c>
      <x:c r="E477" s="62" t="n">
        <x:v>45956</x:v>
      </x:c>
      <x:c r="F477" t="str">
        <x:v>AM</x:v>
      </x:c>
      <x:c r="G477" t="str">
        <x:v>C</x:v>
      </x:c>
      <x:c r="H477" t="n">
        <x:v>21</x:v>
      </x:c>
      <x:c r="I477" t="str">
        <x:v>ORD-2025-00021</x:v>
      </x:c>
      <x:c r="J477" t="n">
        <x:v>2</x:v>
      </x:c>
      <x:c r="K477" t="n">
        <x:v>2</x:v>
      </x:c>
      <x:c r="L477" t="str">
        <x:v>L21-S02-C2</x:v>
      </x:c>
      <x:c r="M477" t="n">
        <x:v>1</x:v>
      </x:c>
      <x:c r="N477" t="str">
        <x:v>DerivedFromCount</x:v>
      </x:c>
      <x:c r="O477" t="str">
        <x:v>PLC-PRD-JAR-330-L21</x:v>
      </x:c>
      <x:c r="P477" t="str">
        <x:v>OK</x:v>
      </x:c>
      <x:c r="Q477" t="str">
        <x:v>OK</x:v>
      </x:c>
      <x:c r="R477" t="str">
        <x:v>OK</x:v>
      </x:c>
      <x:c r="S477" t="str">
        <x:v>OK</x:v>
      </x:c>
      <x:c r="T477" t="n">
        <x:v>30</x:v>
      </x:c>
      <x:c r="U477" t="str">
        <x:v>OK</x:v>
      </x:c>
      <x:c r="V477" t="str">
        <x:v>OK</x:v>
      </x:c>
      <x:c r="W477" t="str">
        <x:v>LOAD</x:v>
      </x:c>
      <x:c r="X477" t="str">
        <x:v>02_Supervisor_Log(4).xlsx</x:v>
      </x:c>
      <x:c r="Y477" t="str">
        <x:v>ENH-20260830-01</x:v>
      </x:c>
      <x:c r="Z477" t="str">
        <x:v>Active</x:v>
      </x:c>
      <x:c r="AA477"/>
      <x:c r="AB477"/>
      <x:c r="AC477"/>
      <x:c r="AD477"/>
    </x:row>
    <x:row r="478">
      <x:c r="A478" t="str">
        <x:v>PCC-PE-KG01-L21-20251026-AM-ORD-2025-00021-S02-C3</x:v>
      </x:c>
      <x:c r="B478" t="str">
        <x:v>PC-PE-KG01-L21-20251026-AM-ORD-2025-00021-S02</x:v>
      </x:c>
      <x:c r="C478" t="str">
        <x:v>PE-KG01-L21-20251026-AM-ORD-2025-00021</x:v>
      </x:c>
      <x:c r="D478" t="str">
        <x:v>KG01</x:v>
      </x:c>
      <x:c r="E478" s="62" t="n">
        <x:v>45956</x:v>
      </x:c>
      <x:c r="F478" t="str">
        <x:v>AM</x:v>
      </x:c>
      <x:c r="G478" t="str">
        <x:v>C</x:v>
      </x:c>
      <x:c r="H478" t="n">
        <x:v>21</x:v>
      </x:c>
      <x:c r="I478" t="str">
        <x:v>ORD-2025-00021</x:v>
      </x:c>
      <x:c r="J478" t="n">
        <x:v>2</x:v>
      </x:c>
      <x:c r="K478" t="n">
        <x:v>3</x:v>
      </x:c>
      <x:c r="L478" t="str">
        <x:v>L21-S02-C3</x:v>
      </x:c>
      <x:c r="M478" t="n">
        <x:v>1</x:v>
      </x:c>
      <x:c r="N478" t="str">
        <x:v>DerivedFromCount</x:v>
      </x:c>
      <x:c r="O478" t="str">
        <x:v>PLC-PRD-JAR-330-L21</x:v>
      </x:c>
      <x:c r="P478" t="str">
        <x:v>OK</x:v>
      </x:c>
      <x:c r="Q478" t="str">
        <x:v>OK</x:v>
      </x:c>
      <x:c r="R478" t="str">
        <x:v>OK</x:v>
      </x:c>
      <x:c r="S478" t="str">
        <x:v>OK</x:v>
      </x:c>
      <x:c r="T478" t="n">
        <x:v>30</x:v>
      </x:c>
      <x:c r="U478" t="str">
        <x:v>OK</x:v>
      </x:c>
      <x:c r="V478" t="str">
        <x:v>OK</x:v>
      </x:c>
      <x:c r="W478" t="str">
        <x:v>LOAD</x:v>
      </x:c>
      <x:c r="X478" t="str">
        <x:v>02_Supervisor_Log(4).xlsx</x:v>
      </x:c>
      <x:c r="Y478" t="str">
        <x:v>ENH-20260830-01</x:v>
      </x:c>
      <x:c r="Z478" t="str">
        <x:v>Active</x:v>
      </x:c>
      <x:c r="AA478"/>
      <x:c r="AB478"/>
      <x:c r="AC478"/>
      <x:c r="AD478"/>
    </x:row>
    <x:row r="479">
      <x:c r="A479" t="str">
        <x:v>PCC-PE-KG01-L21-20251026-AM-ORD-2025-00021-S03-C1</x:v>
      </x:c>
      <x:c r="B479" t="str">
        <x:v>PC-PE-KG01-L21-20251026-AM-ORD-2025-00021-S03</x:v>
      </x:c>
      <x:c r="C479" t="str">
        <x:v>PE-KG01-L21-20251026-AM-ORD-2025-00021</x:v>
      </x:c>
      <x:c r="D479" t="str">
        <x:v>KG01</x:v>
      </x:c>
      <x:c r="E479" s="62" t="n">
        <x:v>45956</x:v>
      </x:c>
      <x:c r="F479" t="str">
        <x:v>AM</x:v>
      </x:c>
      <x:c r="G479" t="str">
        <x:v>C</x:v>
      </x:c>
      <x:c r="H479" t="n">
        <x:v>21</x:v>
      </x:c>
      <x:c r="I479" t="str">
        <x:v>ORD-2025-00021</x:v>
      </x:c>
      <x:c r="J479" t="n">
        <x:v>3</x:v>
      </x:c>
      <x:c r="K479" t="n">
        <x:v>1</x:v>
      </x:c>
      <x:c r="L479" t="str">
        <x:v>L21-S03-C1</x:v>
      </x:c>
      <x:c r="M479" t="n">
        <x:v>1</x:v>
      </x:c>
      <x:c r="N479" t="str">
        <x:v>DerivedFromCount</x:v>
      </x:c>
      <x:c r="O479" t="str">
        <x:v>PLC-PRD-JAR-330-L21</x:v>
      </x:c>
      <x:c r="P479" t="str">
        <x:v>OK</x:v>
      </x:c>
      <x:c r="Q479" t="str">
        <x:v>OK</x:v>
      </x:c>
      <x:c r="R479" t="str">
        <x:v>OK</x:v>
      </x:c>
      <x:c r="S479" t="str">
        <x:v>OK</x:v>
      </x:c>
      <x:c r="T479" t="n">
        <x:v>30</x:v>
      </x:c>
      <x:c r="U479" t="str">
        <x:v>OK</x:v>
      </x:c>
      <x:c r="V479" t="str">
        <x:v>OK</x:v>
      </x:c>
      <x:c r="W479" t="str">
        <x:v>LOAD</x:v>
      </x:c>
      <x:c r="X479" t="str">
        <x:v>02_Supervisor_Log(4).xlsx</x:v>
      </x:c>
      <x:c r="Y479" t="str">
        <x:v>ENH-20260830-01</x:v>
      </x:c>
      <x:c r="Z479" t="str">
        <x:v>Active</x:v>
      </x:c>
      <x:c r="AA479"/>
      <x:c r="AB479"/>
      <x:c r="AC479"/>
      <x:c r="AD479"/>
    </x:row>
    <x:row r="480">
      <x:c r="A480" t="str">
        <x:v>PCC-PE-KG01-L21-20251026-AM-ORD-2025-00021-S03-C2</x:v>
      </x:c>
      <x:c r="B480" t="str">
        <x:v>PC-PE-KG01-L21-20251026-AM-ORD-2025-00021-S03</x:v>
      </x:c>
      <x:c r="C480" t="str">
        <x:v>PE-KG01-L21-20251026-AM-ORD-2025-00021</x:v>
      </x:c>
      <x:c r="D480" t="str">
        <x:v>KG01</x:v>
      </x:c>
      <x:c r="E480" s="62" t="n">
        <x:v>45956</x:v>
      </x:c>
      <x:c r="F480" t="str">
        <x:v>AM</x:v>
      </x:c>
      <x:c r="G480" t="str">
        <x:v>C</x:v>
      </x:c>
      <x:c r="H480" t="n">
        <x:v>21</x:v>
      </x:c>
      <x:c r="I480" t="str">
        <x:v>ORD-2025-00021</x:v>
      </x:c>
      <x:c r="J480" t="n">
        <x:v>3</x:v>
      </x:c>
      <x:c r="K480" t="n">
        <x:v>2</x:v>
      </x:c>
      <x:c r="L480" t="str">
        <x:v>L21-S03-C2</x:v>
      </x:c>
      <x:c r="M480" t="n">
        <x:v>1</x:v>
      </x:c>
      <x:c r="N480" t="str">
        <x:v>DerivedFromCount</x:v>
      </x:c>
      <x:c r="O480" t="str">
        <x:v>PLC-PRD-JAR-330-L21</x:v>
      </x:c>
      <x:c r="P480" t="str">
        <x:v>OK</x:v>
      </x:c>
      <x:c r="Q480" t="str">
        <x:v>OK</x:v>
      </x:c>
      <x:c r="R480" t="str">
        <x:v>OK</x:v>
      </x:c>
      <x:c r="S480" t="str">
        <x:v>OK</x:v>
      </x:c>
      <x:c r="T480" t="n">
        <x:v>30</x:v>
      </x:c>
      <x:c r="U480" t="str">
        <x:v>OK</x:v>
      </x:c>
      <x:c r="V480" t="str">
        <x:v>OK</x:v>
      </x:c>
      <x:c r="W480" t="str">
        <x:v>LOAD</x:v>
      </x:c>
      <x:c r="X480" t="str">
        <x:v>02_Supervisor_Log(4).xlsx</x:v>
      </x:c>
      <x:c r="Y480" t="str">
        <x:v>ENH-20260830-01</x:v>
      </x:c>
      <x:c r="Z480" t="str">
        <x:v>Active</x:v>
      </x:c>
      <x:c r="AA480"/>
      <x:c r="AB480"/>
      <x:c r="AC480"/>
      <x:c r="AD480"/>
    </x:row>
    <x:row r="481">
      <x:c r="A481" t="str">
        <x:v>PCC-PE-KG01-L21-20251026-AM-ORD-2025-00021-S03-C3</x:v>
      </x:c>
      <x:c r="B481" t="str">
        <x:v>PC-PE-KG01-L21-20251026-AM-ORD-2025-00021-S03</x:v>
      </x:c>
      <x:c r="C481" t="str">
        <x:v>PE-KG01-L21-20251026-AM-ORD-2025-00021</x:v>
      </x:c>
      <x:c r="D481" t="str">
        <x:v>KG01</x:v>
      </x:c>
      <x:c r="E481" s="62" t="n">
        <x:v>45956</x:v>
      </x:c>
      <x:c r="F481" t="str">
        <x:v>AM</x:v>
      </x:c>
      <x:c r="G481" t="str">
        <x:v>C</x:v>
      </x:c>
      <x:c r="H481" t="n">
        <x:v>21</x:v>
      </x:c>
      <x:c r="I481" t="str">
        <x:v>ORD-2025-00021</x:v>
      </x:c>
      <x:c r="J481" t="n">
        <x:v>3</x:v>
      </x:c>
      <x:c r="K481" t="n">
        <x:v>3</x:v>
      </x:c>
      <x:c r="L481" t="str">
        <x:v>L21-S03-C3</x:v>
      </x:c>
      <x:c r="M481" t="n">
        <x:v>1</x:v>
      </x:c>
      <x:c r="N481" t="str">
        <x:v>DerivedFromCount</x:v>
      </x:c>
      <x:c r="O481" t="str">
        <x:v>PLC-PRD-JAR-330-L21</x:v>
      </x:c>
      <x:c r="P481" t="str">
        <x:v>OK</x:v>
      </x:c>
      <x:c r="Q481" t="str">
        <x:v>OK</x:v>
      </x:c>
      <x:c r="R481" t="str">
        <x:v>OK</x:v>
      </x:c>
      <x:c r="S481" t="str">
        <x:v>OK</x:v>
      </x:c>
      <x:c r="T481" t="n">
        <x:v>30</x:v>
      </x:c>
      <x:c r="U481" t="str">
        <x:v>OK</x:v>
      </x:c>
      <x:c r="V481" t="str">
        <x:v>OK</x:v>
      </x:c>
      <x:c r="W481" t="str">
        <x:v>LOAD</x:v>
      </x:c>
      <x:c r="X481" t="str">
        <x:v>02_Supervisor_Log(4).xlsx</x:v>
      </x:c>
      <x:c r="Y481" t="str">
        <x:v>ENH-20260830-01</x:v>
      </x:c>
      <x:c r="Z481" t="str">
        <x:v>Active</x:v>
      </x:c>
      <x:c r="AA481"/>
      <x:c r="AB481"/>
      <x:c r="AC481"/>
      <x:c r="AD481"/>
    </x:row>
    <x:row r="482">
      <x:c r="A482" t="str">
        <x:v>PCC-PE-KG01-L21-20251026-AM-ORD-2025-00021-S04-C1</x:v>
      </x:c>
      <x:c r="B482" t="str">
        <x:v>PC-PE-KG01-L21-20251026-AM-ORD-2025-00021-S04</x:v>
      </x:c>
      <x:c r="C482" t="str">
        <x:v>PE-KG01-L21-20251026-AM-ORD-2025-00021</x:v>
      </x:c>
      <x:c r="D482" t="str">
        <x:v>KG01</x:v>
      </x:c>
      <x:c r="E482" s="62" t="n">
        <x:v>45956</x:v>
      </x:c>
      <x:c r="F482" t="str">
        <x:v>AM</x:v>
      </x:c>
      <x:c r="G482" t="str">
        <x:v>C</x:v>
      </x:c>
      <x:c r="H482" t="n">
        <x:v>21</x:v>
      </x:c>
      <x:c r="I482" t="str">
        <x:v>ORD-2025-00021</x:v>
      </x:c>
      <x:c r="J482" t="n">
        <x:v>4</x:v>
      </x:c>
      <x:c r="K482" t="n">
        <x:v>1</x:v>
      </x:c>
      <x:c r="L482" t="str">
        <x:v>L21-S04-C1</x:v>
      </x:c>
      <x:c r="M482" t="n">
        <x:v>1</x:v>
      </x:c>
      <x:c r="N482" t="str">
        <x:v>DerivedFromCount</x:v>
      </x:c>
      <x:c r="O482" t="str">
        <x:v>PLC-PRD-JAR-330-L21</x:v>
      </x:c>
      <x:c r="P482" t="str">
        <x:v>OK</x:v>
      </x:c>
      <x:c r="Q482" t="str">
        <x:v>OK</x:v>
      </x:c>
      <x:c r="R482" t="str">
        <x:v>OK</x:v>
      </x:c>
      <x:c r="S482" t="str">
        <x:v>OK</x:v>
      </x:c>
      <x:c r="T482" t="n">
        <x:v>30</x:v>
      </x:c>
      <x:c r="U482" t="str">
        <x:v>OK</x:v>
      </x:c>
      <x:c r="V482" t="str">
        <x:v>OK</x:v>
      </x:c>
      <x:c r="W482" t="str">
        <x:v>LOAD</x:v>
      </x:c>
      <x:c r="X482" t="str">
        <x:v>02_Supervisor_Log(4).xlsx</x:v>
      </x:c>
      <x:c r="Y482" t="str">
        <x:v>ENH-20260830-01</x:v>
      </x:c>
      <x:c r="Z482" t="str">
        <x:v>Active</x:v>
      </x:c>
      <x:c r="AA482"/>
      <x:c r="AB482"/>
      <x:c r="AC482"/>
      <x:c r="AD482"/>
    </x:row>
    <x:row r="483">
      <x:c r="A483" t="str">
        <x:v>PCC-PE-KG01-L21-20251026-AM-ORD-2025-00021-S04-C2</x:v>
      </x:c>
      <x:c r="B483" t="str">
        <x:v>PC-PE-KG01-L21-20251026-AM-ORD-2025-00021-S04</x:v>
      </x:c>
      <x:c r="C483" t="str">
        <x:v>PE-KG01-L21-20251026-AM-ORD-2025-00021</x:v>
      </x:c>
      <x:c r="D483" t="str">
        <x:v>KG01</x:v>
      </x:c>
      <x:c r="E483" s="62" t="n">
        <x:v>45956</x:v>
      </x:c>
      <x:c r="F483" t="str">
        <x:v>AM</x:v>
      </x:c>
      <x:c r="G483" t="str">
        <x:v>C</x:v>
      </x:c>
      <x:c r="H483" t="n">
        <x:v>21</x:v>
      </x:c>
      <x:c r="I483" t="str">
        <x:v>ORD-2025-00021</x:v>
      </x:c>
      <x:c r="J483" t="n">
        <x:v>4</x:v>
      </x:c>
      <x:c r="K483" t="n">
        <x:v>2</x:v>
      </x:c>
      <x:c r="L483" t="str">
        <x:v>L21-S04-C2</x:v>
      </x:c>
      <x:c r="M483" t="n">
        <x:v>1</x:v>
      </x:c>
      <x:c r="N483" t="str">
        <x:v>DerivedFromCount</x:v>
      </x:c>
      <x:c r="O483" t="str">
        <x:v>PLC-PRD-JAR-330-L21</x:v>
      </x:c>
      <x:c r="P483" t="str">
        <x:v>OK</x:v>
      </x:c>
      <x:c r="Q483" t="str">
        <x:v>OK</x:v>
      </x:c>
      <x:c r="R483" t="str">
        <x:v>OK</x:v>
      </x:c>
      <x:c r="S483" t="str">
        <x:v>OK</x:v>
      </x:c>
      <x:c r="T483" t="n">
        <x:v>30</x:v>
      </x:c>
      <x:c r="U483" t="str">
        <x:v>OK</x:v>
      </x:c>
      <x:c r="V483" t="str">
        <x:v>OK</x:v>
      </x:c>
      <x:c r="W483" t="str">
        <x:v>LOAD</x:v>
      </x:c>
      <x:c r="X483" t="str">
        <x:v>02_Supervisor_Log(4).xlsx</x:v>
      </x:c>
      <x:c r="Y483" t="str">
        <x:v>ENH-20260830-01</x:v>
      </x:c>
      <x:c r="Z483" t="str">
        <x:v>Active</x:v>
      </x:c>
      <x:c r="AA483"/>
      <x:c r="AB483"/>
      <x:c r="AC483"/>
      <x:c r="AD483"/>
    </x:row>
    <x:row r="484">
      <x:c r="A484" t="str">
        <x:v>PCC-PE-KG01-L21-20251026-AM-ORD-2025-00021-S04-C3</x:v>
      </x:c>
      <x:c r="B484" t="str">
        <x:v>PC-PE-KG01-L21-20251026-AM-ORD-2025-00021-S04</x:v>
      </x:c>
      <x:c r="C484" t="str">
        <x:v>PE-KG01-L21-20251026-AM-ORD-2025-00021</x:v>
      </x:c>
      <x:c r="D484" t="str">
        <x:v>KG01</x:v>
      </x:c>
      <x:c r="E484" s="62" t="n">
        <x:v>45956</x:v>
      </x:c>
      <x:c r="F484" t="str">
        <x:v>AM</x:v>
      </x:c>
      <x:c r="G484" t="str">
        <x:v>C</x:v>
      </x:c>
      <x:c r="H484" t="n">
        <x:v>21</x:v>
      </x:c>
      <x:c r="I484" t="str">
        <x:v>ORD-2025-00021</x:v>
      </x:c>
      <x:c r="J484" t="n">
        <x:v>4</x:v>
      </x:c>
      <x:c r="K484" t="n">
        <x:v>3</x:v>
      </x:c>
      <x:c r="L484" t="str">
        <x:v>L21-S04-C3</x:v>
      </x:c>
      <x:c r="M484" t="n">
        <x:v>1</x:v>
      </x:c>
      <x:c r="N484" t="str">
        <x:v>DerivedFromCount</x:v>
      </x:c>
      <x:c r="O484" t="str">
        <x:v>PLC-PRD-JAR-330-L21</x:v>
      </x:c>
      <x:c r="P484" t="str">
        <x:v>OK</x:v>
      </x:c>
      <x:c r="Q484" t="str">
        <x:v>OK</x:v>
      </x:c>
      <x:c r="R484" t="str">
        <x:v>OK</x:v>
      </x:c>
      <x:c r="S484" t="str">
        <x:v>OK</x:v>
      </x:c>
      <x:c r="T484" t="n">
        <x:v>30</x:v>
      </x:c>
      <x:c r="U484" t="str">
        <x:v>OK</x:v>
      </x:c>
      <x:c r="V484" t="str">
        <x:v>OK</x:v>
      </x:c>
      <x:c r="W484" t="str">
        <x:v>LOAD</x:v>
      </x:c>
      <x:c r="X484" t="str">
        <x:v>02_Supervisor_Log(4).xlsx</x:v>
      </x:c>
      <x:c r="Y484" t="str">
        <x:v>ENH-20260830-01</x:v>
      </x:c>
      <x:c r="Z484" t="str">
        <x:v>Active</x:v>
      </x:c>
      <x:c r="AA484"/>
      <x:c r="AB484"/>
      <x:c r="AC484"/>
      <x:c r="AD484"/>
    </x:row>
    <x:row r="485">
      <x:c r="A485" t="str">
        <x:v>PCC-PE-KG01-L21-20251026-AM-ORD-2025-00021-S05-C1</x:v>
      </x:c>
      <x:c r="B485" t="str">
        <x:v>PC-PE-KG01-L21-20251026-AM-ORD-2025-00021-S05</x:v>
      </x:c>
      <x:c r="C485" t="str">
        <x:v>PE-KG01-L21-20251026-AM-ORD-2025-00021</x:v>
      </x:c>
      <x:c r="D485" t="str">
        <x:v>KG01</x:v>
      </x:c>
      <x:c r="E485" s="62" t="n">
        <x:v>45956</x:v>
      </x:c>
      <x:c r="F485" t="str">
        <x:v>AM</x:v>
      </x:c>
      <x:c r="G485" t="str">
        <x:v>C</x:v>
      </x:c>
      <x:c r="H485" t="n">
        <x:v>21</x:v>
      </x:c>
      <x:c r="I485" t="str">
        <x:v>ORD-2025-00021</x:v>
      </x:c>
      <x:c r="J485" t="n">
        <x:v>5</x:v>
      </x:c>
      <x:c r="K485" t="n">
        <x:v>1</x:v>
      </x:c>
      <x:c r="L485" t="str">
        <x:v>L21-S05-C1</x:v>
      </x:c>
      <x:c r="M485" t="n">
        <x:v>1</x:v>
      </x:c>
      <x:c r="N485" t="str">
        <x:v>DerivedFromCount</x:v>
      </x:c>
      <x:c r="O485" t="str">
        <x:v>PLC-PRD-JAR-330-L21</x:v>
      </x:c>
      <x:c r="P485" t="str">
        <x:v>OK</x:v>
      </x:c>
      <x:c r="Q485" t="str">
        <x:v>OK</x:v>
      </x:c>
      <x:c r="R485" t="str">
        <x:v>OK</x:v>
      </x:c>
      <x:c r="S485" t="str">
        <x:v>OK</x:v>
      </x:c>
      <x:c r="T485" t="n">
        <x:v>30</x:v>
      </x:c>
      <x:c r="U485" t="str">
        <x:v>OK</x:v>
      </x:c>
      <x:c r="V485" t="str">
        <x:v>OK</x:v>
      </x:c>
      <x:c r="W485" t="str">
        <x:v>LOAD</x:v>
      </x:c>
      <x:c r="X485" t="str">
        <x:v>02_Supervisor_Log(4).xlsx</x:v>
      </x:c>
      <x:c r="Y485" t="str">
        <x:v>ENH-20260830-01</x:v>
      </x:c>
      <x:c r="Z485" t="str">
        <x:v>Active</x:v>
      </x:c>
      <x:c r="AA485"/>
      <x:c r="AB485"/>
      <x:c r="AC485"/>
      <x:c r="AD485"/>
    </x:row>
    <x:row r="486">
      <x:c r="A486" t="str">
        <x:v>PCC-PE-KG01-L21-20251026-AM-ORD-2025-00021-S05-C2</x:v>
      </x:c>
      <x:c r="B486" t="str">
        <x:v>PC-PE-KG01-L21-20251026-AM-ORD-2025-00021-S05</x:v>
      </x:c>
      <x:c r="C486" t="str">
        <x:v>PE-KG01-L21-20251026-AM-ORD-2025-00021</x:v>
      </x:c>
      <x:c r="D486" t="str">
        <x:v>KG01</x:v>
      </x:c>
      <x:c r="E486" s="62" t="n">
        <x:v>45956</x:v>
      </x:c>
      <x:c r="F486" t="str">
        <x:v>AM</x:v>
      </x:c>
      <x:c r="G486" t="str">
        <x:v>C</x:v>
      </x:c>
      <x:c r="H486" t="n">
        <x:v>21</x:v>
      </x:c>
      <x:c r="I486" t="str">
        <x:v>ORD-2025-00021</x:v>
      </x:c>
      <x:c r="J486" t="n">
        <x:v>5</x:v>
      </x:c>
      <x:c r="K486" t="n">
        <x:v>2</x:v>
      </x:c>
      <x:c r="L486" t="str">
        <x:v>L21-S05-C2</x:v>
      </x:c>
      <x:c r="M486" t="n">
        <x:v>1</x:v>
      </x:c>
      <x:c r="N486" t="str">
        <x:v>DerivedFromCount</x:v>
      </x:c>
      <x:c r="O486" t="str">
        <x:v>PLC-PRD-JAR-330-L21</x:v>
      </x:c>
      <x:c r="P486" t="str">
        <x:v>OK</x:v>
      </x:c>
      <x:c r="Q486" t="str">
        <x:v>OK</x:v>
      </x:c>
      <x:c r="R486" t="str">
        <x:v>OK</x:v>
      </x:c>
      <x:c r="S486" t="str">
        <x:v>OK</x:v>
      </x:c>
      <x:c r="T486" t="n">
        <x:v>30</x:v>
      </x:c>
      <x:c r="U486" t="str">
        <x:v>OK</x:v>
      </x:c>
      <x:c r="V486" t="str">
        <x:v>OK</x:v>
      </x:c>
      <x:c r="W486" t="str">
        <x:v>LOAD</x:v>
      </x:c>
      <x:c r="X486" t="str">
        <x:v>02_Supervisor_Log(4).xlsx</x:v>
      </x:c>
      <x:c r="Y486" t="str">
        <x:v>ENH-20260830-01</x:v>
      </x:c>
      <x:c r="Z486" t="str">
        <x:v>Active</x:v>
      </x:c>
      <x:c r="AA486"/>
      <x:c r="AB486"/>
      <x:c r="AC486"/>
      <x:c r="AD486"/>
    </x:row>
    <x:row r="487">
      <x:c r="A487" t="str">
        <x:v>PCC-PE-KG01-L21-20251026-AM-ORD-2025-00021-S05-C3</x:v>
      </x:c>
      <x:c r="B487" t="str">
        <x:v>PC-PE-KG01-L21-20251026-AM-ORD-2025-00021-S05</x:v>
      </x:c>
      <x:c r="C487" t="str">
        <x:v>PE-KG01-L21-20251026-AM-ORD-2025-00021</x:v>
      </x:c>
      <x:c r="D487" t="str">
        <x:v>KG01</x:v>
      </x:c>
      <x:c r="E487" s="62" t="n">
        <x:v>45956</x:v>
      </x:c>
      <x:c r="F487" t="str">
        <x:v>AM</x:v>
      </x:c>
      <x:c r="G487" t="str">
        <x:v>C</x:v>
      </x:c>
      <x:c r="H487" t="n">
        <x:v>21</x:v>
      </x:c>
      <x:c r="I487" t="str">
        <x:v>ORD-2025-00021</x:v>
      </x:c>
      <x:c r="J487" t="n">
        <x:v>5</x:v>
      </x:c>
      <x:c r="K487" t="n">
        <x:v>3</x:v>
      </x:c>
      <x:c r="L487" t="str">
        <x:v>L21-S05-C3</x:v>
      </x:c>
      <x:c r="M487" t="n">
        <x:v>1</x:v>
      </x:c>
      <x:c r="N487" t="str">
        <x:v>DerivedFromCount</x:v>
      </x:c>
      <x:c r="O487" t="str">
        <x:v>PLC-PRD-JAR-330-L21</x:v>
      </x:c>
      <x:c r="P487" t="str">
        <x:v>OK</x:v>
      </x:c>
      <x:c r="Q487" t="str">
        <x:v>OK</x:v>
      </x:c>
      <x:c r="R487" t="str">
        <x:v>OK</x:v>
      </x:c>
      <x:c r="S487" t="str">
        <x:v>OK</x:v>
      </x:c>
      <x:c r="T487" t="n">
        <x:v>30</x:v>
      </x:c>
      <x:c r="U487" t="str">
        <x:v>OK</x:v>
      </x:c>
      <x:c r="V487" t="str">
        <x:v>OK</x:v>
      </x:c>
      <x:c r="W487" t="str">
        <x:v>LOAD</x:v>
      </x:c>
      <x:c r="X487" t="str">
        <x:v>02_Supervisor_Log(4).xlsx</x:v>
      </x:c>
      <x:c r="Y487" t="str">
        <x:v>ENH-20260830-01</x:v>
      </x:c>
      <x:c r="Z487" t="str">
        <x:v>Active</x:v>
      </x:c>
      <x:c r="AA487"/>
      <x:c r="AB487"/>
      <x:c r="AC487"/>
      <x:c r="AD487"/>
    </x:row>
    <x:row r="488">
      <x:c r="A488" t="str">
        <x:v>PCC-PE-KG01-L21-20251026-AM-ORD-2025-00021-S06-C1</x:v>
      </x:c>
      <x:c r="B488" t="str">
        <x:v>PC-PE-KG01-L21-20251026-AM-ORD-2025-00021-S06</x:v>
      </x:c>
      <x:c r="C488" t="str">
        <x:v>PE-KG01-L21-20251026-AM-ORD-2025-00021</x:v>
      </x:c>
      <x:c r="D488" t="str">
        <x:v>KG01</x:v>
      </x:c>
      <x:c r="E488" s="62" t="n">
        <x:v>45956</x:v>
      </x:c>
      <x:c r="F488" t="str">
        <x:v>AM</x:v>
      </x:c>
      <x:c r="G488" t="str">
        <x:v>C</x:v>
      </x:c>
      <x:c r="H488" t="n">
        <x:v>21</x:v>
      </x:c>
      <x:c r="I488" t="str">
        <x:v>ORD-2025-00021</x:v>
      </x:c>
      <x:c r="J488" t="n">
        <x:v>6</x:v>
      </x:c>
      <x:c r="K488" t="n">
        <x:v>1</x:v>
      </x:c>
      <x:c r="L488" t="str">
        <x:v>L21-S06-C1</x:v>
      </x:c>
      <x:c r="M488" t="n">
        <x:v>1</x:v>
      </x:c>
      <x:c r="N488" t="str">
        <x:v>DerivedFromCount</x:v>
      </x:c>
      <x:c r="O488" t="str">
        <x:v>PLC-PRD-JAR-330-L21</x:v>
      </x:c>
      <x:c r="P488" t="str">
        <x:v>OK</x:v>
      </x:c>
      <x:c r="Q488" t="str">
        <x:v>OK</x:v>
      </x:c>
      <x:c r="R488" t="str">
        <x:v>OK</x:v>
      </x:c>
      <x:c r="S488" t="str">
        <x:v>OK</x:v>
      </x:c>
      <x:c r="T488" t="n">
        <x:v>30</x:v>
      </x:c>
      <x:c r="U488" t="str">
        <x:v>OK</x:v>
      </x:c>
      <x:c r="V488" t="str">
        <x:v>OK</x:v>
      </x:c>
      <x:c r="W488" t="str">
        <x:v>LOAD</x:v>
      </x:c>
      <x:c r="X488" t="str">
        <x:v>02_Supervisor_Log(4).xlsx</x:v>
      </x:c>
      <x:c r="Y488" t="str">
        <x:v>ENH-20260830-01</x:v>
      </x:c>
      <x:c r="Z488" t="str">
        <x:v>Active</x:v>
      </x:c>
      <x:c r="AA488"/>
      <x:c r="AB488"/>
      <x:c r="AC488"/>
      <x:c r="AD488"/>
    </x:row>
    <x:row r="489">
      <x:c r="A489" t="str">
        <x:v>PCC-PE-KG01-L21-20251026-AM-ORD-2025-00021-S06-C2</x:v>
      </x:c>
      <x:c r="B489" t="str">
        <x:v>PC-PE-KG01-L21-20251026-AM-ORD-2025-00021-S06</x:v>
      </x:c>
      <x:c r="C489" t="str">
        <x:v>PE-KG01-L21-20251026-AM-ORD-2025-00021</x:v>
      </x:c>
      <x:c r="D489" t="str">
        <x:v>KG01</x:v>
      </x:c>
      <x:c r="E489" s="62" t="n">
        <x:v>45956</x:v>
      </x:c>
      <x:c r="F489" t="str">
        <x:v>AM</x:v>
      </x:c>
      <x:c r="G489" t="str">
        <x:v>C</x:v>
      </x:c>
      <x:c r="H489" t="n">
        <x:v>21</x:v>
      </x:c>
      <x:c r="I489" t="str">
        <x:v>ORD-2025-00021</x:v>
      </x:c>
      <x:c r="J489" t="n">
        <x:v>6</x:v>
      </x:c>
      <x:c r="K489" t="n">
        <x:v>2</x:v>
      </x:c>
      <x:c r="L489" t="str">
        <x:v>L21-S06-C2</x:v>
      </x:c>
      <x:c r="M489" t="n">
        <x:v>1</x:v>
      </x:c>
      <x:c r="N489" t="str">
        <x:v>DerivedFromCount</x:v>
      </x:c>
      <x:c r="O489" t="str">
        <x:v>PLC-PRD-JAR-330-L21</x:v>
      </x:c>
      <x:c r="P489" t="str">
        <x:v>OK</x:v>
      </x:c>
      <x:c r="Q489" t="str">
        <x:v>OK</x:v>
      </x:c>
      <x:c r="R489" t="str">
        <x:v>OK</x:v>
      </x:c>
      <x:c r="S489" t="str">
        <x:v>OK</x:v>
      </x:c>
      <x:c r="T489" t="n">
        <x:v>30</x:v>
      </x:c>
      <x:c r="U489" t="str">
        <x:v>OK</x:v>
      </x:c>
      <x:c r="V489" t="str">
        <x:v>OK</x:v>
      </x:c>
      <x:c r="W489" t="str">
        <x:v>LOAD</x:v>
      </x:c>
      <x:c r="X489" t="str">
        <x:v>02_Supervisor_Log(4).xlsx</x:v>
      </x:c>
      <x:c r="Y489" t="str">
        <x:v>ENH-20260830-01</x:v>
      </x:c>
      <x:c r="Z489" t="str">
        <x:v>Active</x:v>
      </x:c>
      <x:c r="AA489"/>
      <x:c r="AB489"/>
      <x:c r="AC489"/>
      <x:c r="AD489"/>
    </x:row>
    <x:row r="490">
      <x:c r="A490" t="str">
        <x:v>PCC-PE-KG01-L21-20251026-AM-ORD-2025-00021-S06-C3</x:v>
      </x:c>
      <x:c r="B490" t="str">
        <x:v>PC-PE-KG01-L21-20251026-AM-ORD-2025-00021-S06</x:v>
      </x:c>
      <x:c r="C490" t="str">
        <x:v>PE-KG01-L21-20251026-AM-ORD-2025-00021</x:v>
      </x:c>
      <x:c r="D490" t="str">
        <x:v>KG01</x:v>
      </x:c>
      <x:c r="E490" s="62" t="n">
        <x:v>45956</x:v>
      </x:c>
      <x:c r="F490" t="str">
        <x:v>AM</x:v>
      </x:c>
      <x:c r="G490" t="str">
        <x:v>C</x:v>
      </x:c>
      <x:c r="H490" t="n">
        <x:v>21</x:v>
      </x:c>
      <x:c r="I490" t="str">
        <x:v>ORD-2025-00021</x:v>
      </x:c>
      <x:c r="J490" t="n">
        <x:v>6</x:v>
      </x:c>
      <x:c r="K490" t="n">
        <x:v>3</x:v>
      </x:c>
      <x:c r="L490" t="str">
        <x:v>L21-S06-C3</x:v>
      </x:c>
      <x:c r="M490" t="n">
        <x:v>1</x:v>
      </x:c>
      <x:c r="N490" t="str">
        <x:v>DerivedFromCount</x:v>
      </x:c>
      <x:c r="O490" t="str">
        <x:v>PLC-PRD-JAR-330-L21</x:v>
      </x:c>
      <x:c r="P490" t="str">
        <x:v>OK</x:v>
      </x:c>
      <x:c r="Q490" t="str">
        <x:v>OK</x:v>
      </x:c>
      <x:c r="R490" t="str">
        <x:v>OK</x:v>
      </x:c>
      <x:c r="S490" t="str">
        <x:v>OK</x:v>
      </x:c>
      <x:c r="T490" t="n">
        <x:v>30</x:v>
      </x:c>
      <x:c r="U490" t="str">
        <x:v>OK</x:v>
      </x:c>
      <x:c r="V490" t="str">
        <x:v>OK</x:v>
      </x:c>
      <x:c r="W490" t="str">
        <x:v>LOAD</x:v>
      </x:c>
      <x:c r="X490" t="str">
        <x:v>02_Supervisor_Log(4).xlsx</x:v>
      </x:c>
      <x:c r="Y490" t="str">
        <x:v>ENH-20260830-01</x:v>
      </x:c>
      <x:c r="Z490" t="str">
        <x:v>Active</x:v>
      </x:c>
      <x:c r="AA490"/>
      <x:c r="AB490"/>
      <x:c r="AC490"/>
      <x:c r="AD490"/>
    </x:row>
    <x:row r="491">
      <x:c r="A491" t="str">
        <x:v>PCC-PE-KG01-L21-20251026-AM-ORD-2025-00021-S07-C1</x:v>
      </x:c>
      <x:c r="B491" t="str">
        <x:v>PC-PE-KG01-L21-20251026-AM-ORD-2025-00021-S07</x:v>
      </x:c>
      <x:c r="C491" t="str">
        <x:v>PE-KG01-L21-20251026-AM-ORD-2025-00021</x:v>
      </x:c>
      <x:c r="D491" t="str">
        <x:v>KG01</x:v>
      </x:c>
      <x:c r="E491" s="62" t="n">
        <x:v>45956</x:v>
      </x:c>
      <x:c r="F491" t="str">
        <x:v>AM</x:v>
      </x:c>
      <x:c r="G491" t="str">
        <x:v>C</x:v>
      </x:c>
      <x:c r="H491" t="n">
        <x:v>21</x:v>
      </x:c>
      <x:c r="I491" t="str">
        <x:v>ORD-2025-00021</x:v>
      </x:c>
      <x:c r="J491" t="n">
        <x:v>7</x:v>
      </x:c>
      <x:c r="K491" t="n">
        <x:v>1</x:v>
      </x:c>
      <x:c r="L491" t="str">
        <x:v>L21-S07-C1</x:v>
      </x:c>
      <x:c r="M491" t="n">
        <x:v>1</x:v>
      </x:c>
      <x:c r="N491" t="str">
        <x:v>DerivedFromCount</x:v>
      </x:c>
      <x:c r="O491" t="str">
        <x:v>PLC-PRD-JAR-330-L21</x:v>
      </x:c>
      <x:c r="P491" t="str">
        <x:v>OK</x:v>
      </x:c>
      <x:c r="Q491" t="str">
        <x:v>OK</x:v>
      </x:c>
      <x:c r="R491" t="str">
        <x:v>OK</x:v>
      </x:c>
      <x:c r="S491" t="str">
        <x:v>OK</x:v>
      </x:c>
      <x:c r="T491" t="n">
        <x:v>30</x:v>
      </x:c>
      <x:c r="U491" t="str">
        <x:v>OK</x:v>
      </x:c>
      <x:c r="V491" t="str">
        <x:v>OK</x:v>
      </x:c>
      <x:c r="W491" t="str">
        <x:v>LOAD</x:v>
      </x:c>
      <x:c r="X491" t="str">
        <x:v>02_Supervisor_Log(4).xlsx</x:v>
      </x:c>
      <x:c r="Y491" t="str">
        <x:v>ENH-20260830-01</x:v>
      </x:c>
      <x:c r="Z491" t="str">
        <x:v>Active</x:v>
      </x:c>
      <x:c r="AA491"/>
      <x:c r="AB491"/>
      <x:c r="AC491"/>
      <x:c r="AD491"/>
    </x:row>
    <x:row r="492">
      <x:c r="A492" t="str">
        <x:v>PCC-PE-KG01-L21-20251026-AM-ORD-2025-00021-S07-C2</x:v>
      </x:c>
      <x:c r="B492" t="str">
        <x:v>PC-PE-KG01-L21-20251026-AM-ORD-2025-00021-S07</x:v>
      </x:c>
      <x:c r="C492" t="str">
        <x:v>PE-KG01-L21-20251026-AM-ORD-2025-00021</x:v>
      </x:c>
      <x:c r="D492" t="str">
        <x:v>KG01</x:v>
      </x:c>
      <x:c r="E492" s="62" t="n">
        <x:v>45956</x:v>
      </x:c>
      <x:c r="F492" t="str">
        <x:v>AM</x:v>
      </x:c>
      <x:c r="G492" t="str">
        <x:v>C</x:v>
      </x:c>
      <x:c r="H492" t="n">
        <x:v>21</x:v>
      </x:c>
      <x:c r="I492" t="str">
        <x:v>ORD-2025-00021</x:v>
      </x:c>
      <x:c r="J492" t="n">
        <x:v>7</x:v>
      </x:c>
      <x:c r="K492" t="n">
        <x:v>2</x:v>
      </x:c>
      <x:c r="L492" t="str">
        <x:v>L21-S07-C2</x:v>
      </x:c>
      <x:c r="M492" t="n">
        <x:v>1</x:v>
      </x:c>
      <x:c r="N492" t="str">
        <x:v>DerivedFromCount</x:v>
      </x:c>
      <x:c r="O492" t="str">
        <x:v>PLC-PRD-JAR-330-L21</x:v>
      </x:c>
      <x:c r="P492" t="str">
        <x:v>OK</x:v>
      </x:c>
      <x:c r="Q492" t="str">
        <x:v>OK</x:v>
      </x:c>
      <x:c r="R492" t="str">
        <x:v>OK</x:v>
      </x:c>
      <x:c r="S492" t="str">
        <x:v>OK</x:v>
      </x:c>
      <x:c r="T492" t="n">
        <x:v>30</x:v>
      </x:c>
      <x:c r="U492" t="str">
        <x:v>OK</x:v>
      </x:c>
      <x:c r="V492" t="str">
        <x:v>OK</x:v>
      </x:c>
      <x:c r="W492" t="str">
        <x:v>LOAD</x:v>
      </x:c>
      <x:c r="X492" t="str">
        <x:v>02_Supervisor_Log(4).xlsx</x:v>
      </x:c>
      <x:c r="Y492" t="str">
        <x:v>ENH-20260830-01</x:v>
      </x:c>
      <x:c r="Z492" t="str">
        <x:v>Active</x:v>
      </x:c>
      <x:c r="AA492"/>
      <x:c r="AB492"/>
      <x:c r="AC492"/>
      <x:c r="AD492"/>
    </x:row>
    <x:row r="493">
      <x:c r="A493" t="str">
        <x:v>PCC-PE-KG01-L21-20251026-AM-ORD-2025-00021-S07-C3</x:v>
      </x:c>
      <x:c r="B493" t="str">
        <x:v>PC-PE-KG01-L21-20251026-AM-ORD-2025-00021-S07</x:v>
      </x:c>
      <x:c r="C493" t="str">
        <x:v>PE-KG01-L21-20251026-AM-ORD-2025-00021</x:v>
      </x:c>
      <x:c r="D493" t="str">
        <x:v>KG01</x:v>
      </x:c>
      <x:c r="E493" s="62" t="n">
        <x:v>45956</x:v>
      </x:c>
      <x:c r="F493" t="str">
        <x:v>AM</x:v>
      </x:c>
      <x:c r="G493" t="str">
        <x:v>C</x:v>
      </x:c>
      <x:c r="H493" t="n">
        <x:v>21</x:v>
      </x:c>
      <x:c r="I493" t="str">
        <x:v>ORD-2025-00021</x:v>
      </x:c>
      <x:c r="J493" t="n">
        <x:v>7</x:v>
      </x:c>
      <x:c r="K493" t="n">
        <x:v>3</x:v>
      </x:c>
      <x:c r="L493" t="str">
        <x:v>L21-S07-C3</x:v>
      </x:c>
      <x:c r="M493" t="n">
        <x:v>1</x:v>
      </x:c>
      <x:c r="N493" t="str">
        <x:v>DerivedFromCount</x:v>
      </x:c>
      <x:c r="O493" t="str">
        <x:v>PLC-PRD-JAR-330-L21</x:v>
      </x:c>
      <x:c r="P493" t="str">
        <x:v>OK</x:v>
      </x:c>
      <x:c r="Q493" t="str">
        <x:v>OK</x:v>
      </x:c>
      <x:c r="R493" t="str">
        <x:v>OK</x:v>
      </x:c>
      <x:c r="S493" t="str">
        <x:v>OK</x:v>
      </x:c>
      <x:c r="T493" t="n">
        <x:v>30</x:v>
      </x:c>
      <x:c r="U493" t="str">
        <x:v>OK</x:v>
      </x:c>
      <x:c r="V493" t="str">
        <x:v>OK</x:v>
      </x:c>
      <x:c r="W493" t="str">
        <x:v>LOAD</x:v>
      </x:c>
      <x:c r="X493" t="str">
        <x:v>02_Supervisor_Log(4).xlsx</x:v>
      </x:c>
      <x:c r="Y493" t="str">
        <x:v>ENH-20260830-01</x:v>
      </x:c>
      <x:c r="Z493" t="str">
        <x:v>Active</x:v>
      </x:c>
      <x:c r="AA493"/>
      <x:c r="AB493"/>
      <x:c r="AC493"/>
      <x:c r="AD493"/>
    </x:row>
    <x:row r="494">
      <x:c r="A494" t="str">
        <x:v>PCC-PE-KG01-L21-20251026-AM-ORD-2025-00021-S08-C1</x:v>
      </x:c>
      <x:c r="B494" t="str">
        <x:v>PC-PE-KG01-L21-20251026-AM-ORD-2025-00021-S08</x:v>
      </x:c>
      <x:c r="C494" t="str">
        <x:v>PE-KG01-L21-20251026-AM-ORD-2025-00021</x:v>
      </x:c>
      <x:c r="D494" t="str">
        <x:v>KG01</x:v>
      </x:c>
      <x:c r="E494" s="62" t="n">
        <x:v>45956</x:v>
      </x:c>
      <x:c r="F494" t="str">
        <x:v>AM</x:v>
      </x:c>
      <x:c r="G494" t="str">
        <x:v>C</x:v>
      </x:c>
      <x:c r="H494" t="n">
        <x:v>21</x:v>
      </x:c>
      <x:c r="I494" t="str">
        <x:v>ORD-2025-00021</x:v>
      </x:c>
      <x:c r="J494" t="n">
        <x:v>8</x:v>
      </x:c>
      <x:c r="K494" t="n">
        <x:v>1</x:v>
      </x:c>
      <x:c r="L494" t="str">
        <x:v>L21-S08-C1</x:v>
      </x:c>
      <x:c r="M494" t="n">
        <x:v>1</x:v>
      </x:c>
      <x:c r="N494" t="str">
        <x:v>DerivedFromCount</x:v>
      </x:c>
      <x:c r="O494" t="str">
        <x:v>PLC-PRD-JAR-330-L21</x:v>
      </x:c>
      <x:c r="P494" t="str">
        <x:v>OK</x:v>
      </x:c>
      <x:c r="Q494" t="str">
        <x:v>OK</x:v>
      </x:c>
      <x:c r="R494" t="str">
        <x:v>OK</x:v>
      </x:c>
      <x:c r="S494" t="str">
        <x:v>OK</x:v>
      </x:c>
      <x:c r="T494" t="n">
        <x:v>30</x:v>
      </x:c>
      <x:c r="U494" t="str">
        <x:v>OK</x:v>
      </x:c>
      <x:c r="V494" t="str">
        <x:v>OK</x:v>
      </x:c>
      <x:c r="W494" t="str">
        <x:v>LOAD</x:v>
      </x:c>
      <x:c r="X494" t="str">
        <x:v>02_Supervisor_Log(4).xlsx</x:v>
      </x:c>
      <x:c r="Y494" t="str">
        <x:v>ENH-20260830-01</x:v>
      </x:c>
      <x:c r="Z494" t="str">
        <x:v>Active</x:v>
      </x:c>
      <x:c r="AA494"/>
      <x:c r="AB494"/>
      <x:c r="AC494"/>
      <x:c r="AD494"/>
    </x:row>
    <x:row r="495">
      <x:c r="A495" t="str">
        <x:v>PCC-PE-KG01-L21-20251026-AM-ORD-2025-00021-S08-C2</x:v>
      </x:c>
      <x:c r="B495" t="str">
        <x:v>PC-PE-KG01-L21-20251026-AM-ORD-2025-00021-S08</x:v>
      </x:c>
      <x:c r="C495" t="str">
        <x:v>PE-KG01-L21-20251026-AM-ORD-2025-00021</x:v>
      </x:c>
      <x:c r="D495" t="str">
        <x:v>KG01</x:v>
      </x:c>
      <x:c r="E495" s="62" t="n">
        <x:v>45956</x:v>
      </x:c>
      <x:c r="F495" t="str">
        <x:v>AM</x:v>
      </x:c>
      <x:c r="G495" t="str">
        <x:v>C</x:v>
      </x:c>
      <x:c r="H495" t="n">
        <x:v>21</x:v>
      </x:c>
      <x:c r="I495" t="str">
        <x:v>ORD-2025-00021</x:v>
      </x:c>
      <x:c r="J495" t="n">
        <x:v>8</x:v>
      </x:c>
      <x:c r="K495" t="n">
        <x:v>2</x:v>
      </x:c>
      <x:c r="L495" t="str">
        <x:v>L21-S08-C2</x:v>
      </x:c>
      <x:c r="M495" t="n">
        <x:v>1</x:v>
      </x:c>
      <x:c r="N495" t="str">
        <x:v>DerivedFromCount</x:v>
      </x:c>
      <x:c r="O495" t="str">
        <x:v>PLC-PRD-JAR-330-L21</x:v>
      </x:c>
      <x:c r="P495" t="str">
        <x:v>OK</x:v>
      </x:c>
      <x:c r="Q495" t="str">
        <x:v>OK</x:v>
      </x:c>
      <x:c r="R495" t="str">
        <x:v>OK</x:v>
      </x:c>
      <x:c r="S495" t="str">
        <x:v>OK</x:v>
      </x:c>
      <x:c r="T495" t="n">
        <x:v>30</x:v>
      </x:c>
      <x:c r="U495" t="str">
        <x:v>OK</x:v>
      </x:c>
      <x:c r="V495" t="str">
        <x:v>OK</x:v>
      </x:c>
      <x:c r="W495" t="str">
        <x:v>LOAD</x:v>
      </x:c>
      <x:c r="X495" t="str">
        <x:v>02_Supervisor_Log(4).xlsx</x:v>
      </x:c>
      <x:c r="Y495" t="str">
        <x:v>ENH-20260830-01</x:v>
      </x:c>
      <x:c r="Z495" t="str">
        <x:v>Active</x:v>
      </x:c>
      <x:c r="AA495"/>
      <x:c r="AB495"/>
      <x:c r="AC495"/>
      <x:c r="AD495"/>
    </x:row>
    <x:row r="496">
      <x:c r="A496" t="str">
        <x:v>PCC-PE-KG01-L21-20251026-AM-ORD-2025-00021-S08-C3</x:v>
      </x:c>
      <x:c r="B496" t="str">
        <x:v>PC-PE-KG01-L21-20251026-AM-ORD-2025-00021-S08</x:v>
      </x:c>
      <x:c r="C496" t="str">
        <x:v>PE-KG01-L21-20251026-AM-ORD-2025-00021</x:v>
      </x:c>
      <x:c r="D496" t="str">
        <x:v>KG01</x:v>
      </x:c>
      <x:c r="E496" s="62" t="n">
        <x:v>45956</x:v>
      </x:c>
      <x:c r="F496" t="str">
        <x:v>AM</x:v>
      </x:c>
      <x:c r="G496" t="str">
        <x:v>C</x:v>
      </x:c>
      <x:c r="H496" t="n">
        <x:v>21</x:v>
      </x:c>
      <x:c r="I496" t="str">
        <x:v>ORD-2025-00021</x:v>
      </x:c>
      <x:c r="J496" t="n">
        <x:v>8</x:v>
      </x:c>
      <x:c r="K496" t="n">
        <x:v>3</x:v>
      </x:c>
      <x:c r="L496" t="str">
        <x:v>L21-S08-C3</x:v>
      </x:c>
      <x:c r="M496" t="n">
        <x:v>1</x:v>
      </x:c>
      <x:c r="N496" t="str">
        <x:v>DerivedFromCount</x:v>
      </x:c>
      <x:c r="O496" t="str">
        <x:v>PLC-PRD-JAR-330-L21</x:v>
      </x:c>
      <x:c r="P496" t="str">
        <x:v>OK</x:v>
      </x:c>
      <x:c r="Q496" t="str">
        <x:v>OK</x:v>
      </x:c>
      <x:c r="R496" t="str">
        <x:v>OK</x:v>
      </x:c>
      <x:c r="S496" t="str">
        <x:v>OK</x:v>
      </x:c>
      <x:c r="T496" t="n">
        <x:v>30</x:v>
      </x:c>
      <x:c r="U496" t="str">
        <x:v>OK</x:v>
      </x:c>
      <x:c r="V496" t="str">
        <x:v>OK</x:v>
      </x:c>
      <x:c r="W496" t="str">
        <x:v>LOAD</x:v>
      </x:c>
      <x:c r="X496" t="str">
        <x:v>02_Supervisor_Log(4).xlsx</x:v>
      </x:c>
      <x:c r="Y496" t="str">
        <x:v>ENH-20260830-01</x:v>
      </x:c>
      <x:c r="Z496" t="str">
        <x:v>Active</x:v>
      </x:c>
      <x:c r="AA496"/>
      <x:c r="AB496"/>
      <x:c r="AC496"/>
      <x:c r="AD496"/>
    </x:row>
    <x:row r="497">
      <x:c r="A497" t="str">
        <x:v>PCC-PE-KG01-L21-20251026-AM-ORD-2025-00021-S09-C1</x:v>
      </x:c>
      <x:c r="B497" t="str">
        <x:v>PC-PE-KG01-L21-20251026-AM-ORD-2025-00021-S09</x:v>
      </x:c>
      <x:c r="C497" t="str">
        <x:v>PE-KG01-L21-20251026-AM-ORD-2025-00021</x:v>
      </x:c>
      <x:c r="D497" t="str">
        <x:v>KG01</x:v>
      </x:c>
      <x:c r="E497" s="62" t="n">
        <x:v>45956</x:v>
      </x:c>
      <x:c r="F497" t="str">
        <x:v>AM</x:v>
      </x:c>
      <x:c r="G497" t="str">
        <x:v>C</x:v>
      </x:c>
      <x:c r="H497" t="n">
        <x:v>21</x:v>
      </x:c>
      <x:c r="I497" t="str">
        <x:v>ORD-2025-00021</x:v>
      </x:c>
      <x:c r="J497" t="n">
        <x:v>9</x:v>
      </x:c>
      <x:c r="K497" t="n">
        <x:v>1</x:v>
      </x:c>
      <x:c r="L497" t="str">
        <x:v>L21-S09-C1</x:v>
      </x:c>
      <x:c r="M497" t="n">
        <x:v>1</x:v>
      </x:c>
      <x:c r="N497" t="str">
        <x:v>DerivedFromCount</x:v>
      </x:c>
      <x:c r="O497" t="str">
        <x:v>PLC-PRD-JAR-330-L21</x:v>
      </x:c>
      <x:c r="P497" t="str">
        <x:v>OK</x:v>
      </x:c>
      <x:c r="Q497" t="str">
        <x:v>OK</x:v>
      </x:c>
      <x:c r="R497" t="str">
        <x:v>OK</x:v>
      </x:c>
      <x:c r="S497" t="str">
        <x:v>OK</x:v>
      </x:c>
      <x:c r="T497" t="n">
        <x:v>30</x:v>
      </x:c>
      <x:c r="U497" t="str">
        <x:v>OK</x:v>
      </x:c>
      <x:c r="V497" t="str">
        <x:v>OK</x:v>
      </x:c>
      <x:c r="W497" t="str">
        <x:v>LOAD</x:v>
      </x:c>
      <x:c r="X497" t="str">
        <x:v>02_Supervisor_Log(4).xlsx</x:v>
      </x:c>
      <x:c r="Y497" t="str">
        <x:v>ENH-20260830-01</x:v>
      </x:c>
      <x:c r="Z497" t="str">
        <x:v>Active</x:v>
      </x:c>
      <x:c r="AA497"/>
      <x:c r="AB497"/>
      <x:c r="AC497"/>
      <x:c r="AD497"/>
    </x:row>
    <x:row r="498">
      <x:c r="A498" t="str">
        <x:v>PCC-PE-KG01-L21-20251026-AM-ORD-2025-00021-S09-C2</x:v>
      </x:c>
      <x:c r="B498" t="str">
        <x:v>PC-PE-KG01-L21-20251026-AM-ORD-2025-00021-S09</x:v>
      </x:c>
      <x:c r="C498" t="str">
        <x:v>PE-KG01-L21-20251026-AM-ORD-2025-00021</x:v>
      </x:c>
      <x:c r="D498" t="str">
        <x:v>KG01</x:v>
      </x:c>
      <x:c r="E498" s="62" t="n">
        <x:v>45956</x:v>
      </x:c>
      <x:c r="F498" t="str">
        <x:v>AM</x:v>
      </x:c>
      <x:c r="G498" t="str">
        <x:v>C</x:v>
      </x:c>
      <x:c r="H498" t="n">
        <x:v>21</x:v>
      </x:c>
      <x:c r="I498" t="str">
        <x:v>ORD-2025-00021</x:v>
      </x:c>
      <x:c r="J498" t="n">
        <x:v>9</x:v>
      </x:c>
      <x:c r="K498" t="n">
        <x:v>2</x:v>
      </x:c>
      <x:c r="L498" t="str">
        <x:v>L21-S09-C2</x:v>
      </x:c>
      <x:c r="M498" t="n">
        <x:v>1</x:v>
      </x:c>
      <x:c r="N498" t="str">
        <x:v>DerivedFromCount</x:v>
      </x:c>
      <x:c r="O498" t="str">
        <x:v>PLC-PRD-JAR-330-L21</x:v>
      </x:c>
      <x:c r="P498" t="str">
        <x:v>OK</x:v>
      </x:c>
      <x:c r="Q498" t="str">
        <x:v>OK</x:v>
      </x:c>
      <x:c r="R498" t="str">
        <x:v>OK</x:v>
      </x:c>
      <x:c r="S498" t="str">
        <x:v>OK</x:v>
      </x:c>
      <x:c r="T498" t="n">
        <x:v>30</x:v>
      </x:c>
      <x:c r="U498" t="str">
        <x:v>OK</x:v>
      </x:c>
      <x:c r="V498" t="str">
        <x:v>OK</x:v>
      </x:c>
      <x:c r="W498" t="str">
        <x:v>LOAD</x:v>
      </x:c>
      <x:c r="X498" t="str">
        <x:v>02_Supervisor_Log(4).xlsx</x:v>
      </x:c>
      <x:c r="Y498" t="str">
        <x:v>ENH-20260830-01</x:v>
      </x:c>
      <x:c r="Z498" t="str">
        <x:v>Active</x:v>
      </x:c>
      <x:c r="AA498"/>
      <x:c r="AB498"/>
      <x:c r="AC498"/>
      <x:c r="AD498"/>
    </x:row>
    <x:row r="499">
      <x:c r="A499" t="str">
        <x:v>PCC-PE-KG01-L21-20251026-AM-ORD-2025-00021-S09-C3</x:v>
      </x:c>
      <x:c r="B499" t="str">
        <x:v>PC-PE-KG01-L21-20251026-AM-ORD-2025-00021-S09</x:v>
      </x:c>
      <x:c r="C499" t="str">
        <x:v>PE-KG01-L21-20251026-AM-ORD-2025-00021</x:v>
      </x:c>
      <x:c r="D499" t="str">
        <x:v>KG01</x:v>
      </x:c>
      <x:c r="E499" s="62" t="n">
        <x:v>45956</x:v>
      </x:c>
      <x:c r="F499" t="str">
        <x:v>AM</x:v>
      </x:c>
      <x:c r="G499" t="str">
        <x:v>C</x:v>
      </x:c>
      <x:c r="H499" t="n">
        <x:v>21</x:v>
      </x:c>
      <x:c r="I499" t="str">
        <x:v>ORD-2025-00021</x:v>
      </x:c>
      <x:c r="J499" t="n">
        <x:v>9</x:v>
      </x:c>
      <x:c r="K499" t="n">
        <x:v>3</x:v>
      </x:c>
      <x:c r="L499" t="str">
        <x:v>L21-S09-C3</x:v>
      </x:c>
      <x:c r="M499" t="n">
        <x:v>1</x:v>
      </x:c>
      <x:c r="N499" t="str">
        <x:v>DerivedFromCount</x:v>
      </x:c>
      <x:c r="O499" t="str">
        <x:v>PLC-PRD-JAR-330-L21</x:v>
      </x:c>
      <x:c r="P499" t="str">
        <x:v>OK</x:v>
      </x:c>
      <x:c r="Q499" t="str">
        <x:v>OK</x:v>
      </x:c>
      <x:c r="R499" t="str">
        <x:v>OK</x:v>
      </x:c>
      <x:c r="S499" t="str">
        <x:v>OK</x:v>
      </x:c>
      <x:c r="T499" t="n">
        <x:v>30</x:v>
      </x:c>
      <x:c r="U499" t="str">
        <x:v>OK</x:v>
      </x:c>
      <x:c r="V499" t="str">
        <x:v>OK</x:v>
      </x:c>
      <x:c r="W499" t="str">
        <x:v>LOAD</x:v>
      </x:c>
      <x:c r="X499" t="str">
        <x:v>02_Supervisor_Log(4).xlsx</x:v>
      </x:c>
      <x:c r="Y499" t="str">
        <x:v>ENH-20260830-01</x:v>
      </x:c>
      <x:c r="Z499" t="str">
        <x:v>Active</x:v>
      </x:c>
      <x:c r="AA499"/>
      <x:c r="AB499"/>
      <x:c r="AC499"/>
      <x:c r="AD499"/>
    </x:row>
    <x:row r="500">
      <x:c r="A500" t="str">
        <x:v>PCC-PE-KG01-L21-20251026-AM-ORD-2025-00021-S10-C1</x:v>
      </x:c>
      <x:c r="B500" t="str">
        <x:v>PC-PE-KG01-L21-20251026-AM-ORD-2025-00021-S10</x:v>
      </x:c>
      <x:c r="C500" t="str">
        <x:v>PE-KG01-L21-20251026-AM-ORD-2025-00021</x:v>
      </x:c>
      <x:c r="D500" t="str">
        <x:v>KG01</x:v>
      </x:c>
      <x:c r="E500" s="62" t="n">
        <x:v>45956</x:v>
      </x:c>
      <x:c r="F500" t="str">
        <x:v>AM</x:v>
      </x:c>
      <x:c r="G500" t="str">
        <x:v>C</x:v>
      </x:c>
      <x:c r="H500" t="n">
        <x:v>21</x:v>
      </x:c>
      <x:c r="I500" t="str">
        <x:v>ORD-2025-00021</x:v>
      </x:c>
      <x:c r="J500" t="n">
        <x:v>10</x:v>
      </x:c>
      <x:c r="K500" t="n">
        <x:v>1</x:v>
      </x:c>
      <x:c r="L500" t="str">
        <x:v>L21-S10-C1</x:v>
      </x:c>
      <x:c r="M500" t="n">
        <x:v>1</x:v>
      </x:c>
      <x:c r="N500" t="str">
        <x:v>DerivedFromCount</x:v>
      </x:c>
      <x:c r="O500" t="str">
        <x:v>PLC-PRD-JAR-330-L21</x:v>
      </x:c>
      <x:c r="P500" t="str">
        <x:v>OK</x:v>
      </x:c>
      <x:c r="Q500" t="str">
        <x:v>OK</x:v>
      </x:c>
      <x:c r="R500" t="str">
        <x:v>OK</x:v>
      </x:c>
      <x:c r="S500" t="str">
        <x:v>OK</x:v>
      </x:c>
      <x:c r="T500" t="n">
        <x:v>30</x:v>
      </x:c>
      <x:c r="U500" t="str">
        <x:v>OK</x:v>
      </x:c>
      <x:c r="V500" t="str">
        <x:v>OK</x:v>
      </x:c>
      <x:c r="W500" t="str">
        <x:v>LOAD</x:v>
      </x:c>
      <x:c r="X500" t="str">
        <x:v>02_Supervisor_Log(4).xlsx</x:v>
      </x:c>
      <x:c r="Y500" t="str">
        <x:v>ENH-20260830-01</x:v>
      </x:c>
      <x:c r="Z500" t="str">
        <x:v>Active</x:v>
      </x:c>
      <x:c r="AA500"/>
      <x:c r="AB500"/>
      <x:c r="AC500"/>
      <x:c r="AD500"/>
    </x:row>
    <x:row r="501">
      <x:c r="A501" t="str">
        <x:v>PCC-PE-KG01-L21-20251026-AM-ORD-2025-00021-S10-C2</x:v>
      </x:c>
      <x:c r="B501" t="str">
        <x:v>PC-PE-KG01-L21-20251026-AM-ORD-2025-00021-S10</x:v>
      </x:c>
      <x:c r="C501" t="str">
        <x:v>PE-KG01-L21-20251026-AM-ORD-2025-00021</x:v>
      </x:c>
      <x:c r="D501" t="str">
        <x:v>KG01</x:v>
      </x:c>
      <x:c r="E501" s="62" t="n">
        <x:v>45956</x:v>
      </x:c>
      <x:c r="F501" t="str">
        <x:v>AM</x:v>
      </x:c>
      <x:c r="G501" t="str">
        <x:v>C</x:v>
      </x:c>
      <x:c r="H501" t="n">
        <x:v>21</x:v>
      </x:c>
      <x:c r="I501" t="str">
        <x:v>ORD-2025-00021</x:v>
      </x:c>
      <x:c r="J501" t="n">
        <x:v>10</x:v>
      </x:c>
      <x:c r="K501" t="n">
        <x:v>2</x:v>
      </x:c>
      <x:c r="L501" t="str">
        <x:v>L21-S10-C2</x:v>
      </x:c>
      <x:c r="M501" t="n">
        <x:v>1</x:v>
      </x:c>
      <x:c r="N501" t="str">
        <x:v>DerivedFromCount</x:v>
      </x:c>
      <x:c r="O501" t="str">
        <x:v>PLC-PRD-JAR-330-L21</x:v>
      </x:c>
      <x:c r="P501" t="str">
        <x:v>OK</x:v>
      </x:c>
      <x:c r="Q501" t="str">
        <x:v>OK</x:v>
      </x:c>
      <x:c r="R501" t="str">
        <x:v>OK</x:v>
      </x:c>
      <x:c r="S501" t="str">
        <x:v>OK</x:v>
      </x:c>
      <x:c r="T501" t="n">
        <x:v>30</x:v>
      </x:c>
      <x:c r="U501" t="str">
        <x:v>OK</x:v>
      </x:c>
      <x:c r="V501" t="str">
        <x:v>OK</x:v>
      </x:c>
      <x:c r="W501" t="str">
        <x:v>LOAD</x:v>
      </x:c>
      <x:c r="X501" t="str">
        <x:v>02_Supervisor_Log(4).xlsx</x:v>
      </x:c>
      <x:c r="Y501" t="str">
        <x:v>ENH-20260830-01</x:v>
      </x:c>
      <x:c r="Z501" t="str">
        <x:v>Active</x:v>
      </x:c>
      <x:c r="AA501"/>
      <x:c r="AB501"/>
      <x:c r="AC501"/>
      <x:c r="AD501"/>
    </x:row>
    <x:row r="502">
      <x:c r="A502" t="str">
        <x:v>PCC-PE-KG01-L21-20251026-AM-ORD-2025-00021-S10-C3</x:v>
      </x:c>
      <x:c r="B502" t="str">
        <x:v>PC-PE-KG01-L21-20251026-AM-ORD-2025-00021-S10</x:v>
      </x:c>
      <x:c r="C502" t="str">
        <x:v>PE-KG01-L21-20251026-AM-ORD-2025-00021</x:v>
      </x:c>
      <x:c r="D502" t="str">
        <x:v>KG01</x:v>
      </x:c>
      <x:c r="E502" s="62" t="n">
        <x:v>45956</x:v>
      </x:c>
      <x:c r="F502" t="str">
        <x:v>AM</x:v>
      </x:c>
      <x:c r="G502" t="str">
        <x:v>C</x:v>
      </x:c>
      <x:c r="H502" t="n">
        <x:v>21</x:v>
      </x:c>
      <x:c r="I502" t="str">
        <x:v>ORD-2025-00021</x:v>
      </x:c>
      <x:c r="J502" t="n">
        <x:v>10</x:v>
      </x:c>
      <x:c r="K502" t="n">
        <x:v>3</x:v>
      </x:c>
      <x:c r="L502" t="str">
        <x:v>L21-S10-C3</x:v>
      </x:c>
      <x:c r="M502" t="n">
        <x:v>1</x:v>
      </x:c>
      <x:c r="N502" t="str">
        <x:v>DerivedFromCount</x:v>
      </x:c>
      <x:c r="O502" t="str">
        <x:v>PLC-PRD-JAR-330-L21</x:v>
      </x:c>
      <x:c r="P502" t="str">
        <x:v>OK</x:v>
      </x:c>
      <x:c r="Q502" t="str">
        <x:v>OK</x:v>
      </x:c>
      <x:c r="R502" t="str">
        <x:v>OK</x:v>
      </x:c>
      <x:c r="S502" t="str">
        <x:v>OK</x:v>
      </x:c>
      <x:c r="T502" t="n">
        <x:v>30</x:v>
      </x:c>
      <x:c r="U502" t="str">
        <x:v>OK</x:v>
      </x:c>
      <x:c r="V502" t="str">
        <x:v>OK</x:v>
      </x:c>
      <x:c r="W502" t="str">
        <x:v>LOAD</x:v>
      </x:c>
      <x:c r="X502" t="str">
        <x:v>02_Supervisor_Log(4).xlsx</x:v>
      </x:c>
      <x:c r="Y502" t="str">
        <x:v>ENH-20260830-01</x:v>
      </x:c>
      <x:c r="Z502" t="str">
        <x:v>Active</x:v>
      </x:c>
      <x:c r="AA502"/>
      <x:c r="AB502"/>
      <x:c r="AC502"/>
      <x:c r="AD502"/>
    </x:row>
    <x:row r="503">
      <x:c r="A503" t="str">
        <x:v>PCC-PE-KG01-L21-20251026-AM-ORD-2025-00021-S11-C1</x:v>
      </x:c>
      <x:c r="B503" t="str">
        <x:v>PC-PE-KG01-L21-20251026-AM-ORD-2025-00021-S11</x:v>
      </x:c>
      <x:c r="C503" t="str">
        <x:v>PE-KG01-L21-20251026-AM-ORD-2025-00021</x:v>
      </x:c>
      <x:c r="D503" t="str">
        <x:v>KG01</x:v>
      </x:c>
      <x:c r="E503" s="62" t="n">
        <x:v>45956</x:v>
      </x:c>
      <x:c r="F503" t="str">
        <x:v>AM</x:v>
      </x:c>
      <x:c r="G503" t="str">
        <x:v>C</x:v>
      </x:c>
      <x:c r="H503" t="n">
        <x:v>21</x:v>
      </x:c>
      <x:c r="I503" t="str">
        <x:v>ORD-2025-00021</x:v>
      </x:c>
      <x:c r="J503" t="n">
        <x:v>11</x:v>
      </x:c>
      <x:c r="K503" t="n">
        <x:v>1</x:v>
      </x:c>
      <x:c r="L503" t="str">
        <x:v>L21-S11-C1</x:v>
      </x:c>
      <x:c r="M503" t="n">
        <x:v>0</x:v>
      </x:c>
      <x:c r="N503" t="str">
        <x:v>DerivedFromCount</x:v>
      </x:c>
      <x:c r="O503" t="str">
        <x:v>PLC-PRD-JAR-330-L21</x:v>
      </x:c>
      <x:c r="P503" t="str">
        <x:v>OK</x:v>
      </x:c>
      <x:c r="Q503" t="str">
        <x:v>OK</x:v>
      </x:c>
      <x:c r="R503" t="str">
        <x:v>OK</x:v>
      </x:c>
      <x:c r="S503" t="str">
        <x:v>OK</x:v>
      </x:c>
      <x:c r="T503" t="n">
        <x:v>30</x:v>
      </x:c>
      <x:c r="U503" t="str">
        <x:v>OK</x:v>
      </x:c>
      <x:c r="V503" t="str">
        <x:v>OK</x:v>
      </x:c>
      <x:c r="W503" t="str">
        <x:v>LOAD</x:v>
      </x:c>
      <x:c r="X503" t="str">
        <x:v>02_Supervisor_Log(4).xlsx</x:v>
      </x:c>
      <x:c r="Y503" t="str">
        <x:v>ENH-20260830-01</x:v>
      </x:c>
      <x:c r="Z503" t="str">
        <x:v>Active</x:v>
      </x:c>
      <x:c r="AA503"/>
      <x:c r="AB503"/>
      <x:c r="AC503"/>
      <x:c r="AD503"/>
    </x:row>
    <x:row r="504">
      <x:c r="A504" t="str">
        <x:v>PCC-PE-KG01-L21-20251026-AM-ORD-2025-00021-S11-C2</x:v>
      </x:c>
      <x:c r="B504" t="str">
        <x:v>PC-PE-KG01-L21-20251026-AM-ORD-2025-00021-S11</x:v>
      </x:c>
      <x:c r="C504" t="str">
        <x:v>PE-KG01-L21-20251026-AM-ORD-2025-00021</x:v>
      </x:c>
      <x:c r="D504" t="str">
        <x:v>KG01</x:v>
      </x:c>
      <x:c r="E504" s="62" t="n">
        <x:v>45956</x:v>
      </x:c>
      <x:c r="F504" t="str">
        <x:v>AM</x:v>
      </x:c>
      <x:c r="G504" t="str">
        <x:v>C</x:v>
      </x:c>
      <x:c r="H504" t="n">
        <x:v>21</x:v>
      </x:c>
      <x:c r="I504" t="str">
        <x:v>ORD-2025-00021</x:v>
      </x:c>
      <x:c r="J504" t="n">
        <x:v>11</x:v>
      </x:c>
      <x:c r="K504" t="n">
        <x:v>2</x:v>
      </x:c>
      <x:c r="L504" t="str">
        <x:v>L21-S11-C2</x:v>
      </x:c>
      <x:c r="M504" t="n">
        <x:v>0</x:v>
      </x:c>
      <x:c r="N504" t="str">
        <x:v>DerivedFromCount</x:v>
      </x:c>
      <x:c r="O504" t="str">
        <x:v>PLC-PRD-JAR-330-L21</x:v>
      </x:c>
      <x:c r="P504" t="str">
        <x:v>OK</x:v>
      </x:c>
      <x:c r="Q504" t="str">
        <x:v>OK</x:v>
      </x:c>
      <x:c r="R504" t="str">
        <x:v>OK</x:v>
      </x:c>
      <x:c r="S504" t="str">
        <x:v>OK</x:v>
      </x:c>
      <x:c r="T504" t="n">
        <x:v>30</x:v>
      </x:c>
      <x:c r="U504" t="str">
        <x:v>OK</x:v>
      </x:c>
      <x:c r="V504" t="str">
        <x:v>OK</x:v>
      </x:c>
      <x:c r="W504" t="str">
        <x:v>LOAD</x:v>
      </x:c>
      <x:c r="X504" t="str">
        <x:v>02_Supervisor_Log(4).xlsx</x:v>
      </x:c>
      <x:c r="Y504" t="str">
        <x:v>ENH-20260830-01</x:v>
      </x:c>
      <x:c r="Z504" t="str">
        <x:v>Active</x:v>
      </x:c>
      <x:c r="AA504"/>
      <x:c r="AB504"/>
      <x:c r="AC504"/>
      <x:c r="AD504"/>
    </x:row>
    <x:row r="505">
      <x:c r="A505" t="str">
        <x:v>PCC-PE-KG01-L21-20251026-AM-ORD-2025-00021-S11-C3</x:v>
      </x:c>
      <x:c r="B505" t="str">
        <x:v>PC-PE-KG01-L21-20251026-AM-ORD-2025-00021-S11</x:v>
      </x:c>
      <x:c r="C505" t="str">
        <x:v>PE-KG01-L21-20251026-AM-ORD-2025-00021</x:v>
      </x:c>
      <x:c r="D505" t="str">
        <x:v>KG01</x:v>
      </x:c>
      <x:c r="E505" s="62" t="n">
        <x:v>45956</x:v>
      </x:c>
      <x:c r="F505" t="str">
        <x:v>AM</x:v>
      </x:c>
      <x:c r="G505" t="str">
        <x:v>C</x:v>
      </x:c>
      <x:c r="H505" t="n">
        <x:v>21</x:v>
      </x:c>
      <x:c r="I505" t="str">
        <x:v>ORD-2025-00021</x:v>
      </x:c>
      <x:c r="J505" t="n">
        <x:v>11</x:v>
      </x:c>
      <x:c r="K505" t="n">
        <x:v>3</x:v>
      </x:c>
      <x:c r="L505" t="str">
        <x:v>L21-S11-C3</x:v>
      </x:c>
      <x:c r="M505" t="n">
        <x:v>0</x:v>
      </x:c>
      <x:c r="N505" t="str">
        <x:v>DerivedFromCount</x:v>
      </x:c>
      <x:c r="O505" t="str">
        <x:v>PLC-PRD-JAR-330-L21</x:v>
      </x:c>
      <x:c r="P505" t="str">
        <x:v>OK</x:v>
      </x:c>
      <x:c r="Q505" t="str">
        <x:v>OK</x:v>
      </x:c>
      <x:c r="R505" t="str">
        <x:v>OK</x:v>
      </x:c>
      <x:c r="S505" t="str">
        <x:v>OK</x:v>
      </x:c>
      <x:c r="T505" t="n">
        <x:v>30</x:v>
      </x:c>
      <x:c r="U505" t="str">
        <x:v>OK</x:v>
      </x:c>
      <x:c r="V505" t="str">
        <x:v>OK</x:v>
      </x:c>
      <x:c r="W505" t="str">
        <x:v>LOAD</x:v>
      </x:c>
      <x:c r="X505" t="str">
        <x:v>02_Supervisor_Log(4).xlsx</x:v>
      </x:c>
      <x:c r="Y505" t="str">
        <x:v>ENH-20260830-01</x:v>
      </x:c>
      <x:c r="Z505" t="str">
        <x:v>Active</x:v>
      </x:c>
      <x:c r="AA505"/>
      <x:c r="AB505"/>
      <x:c r="AC505"/>
      <x:c r="AD505"/>
    </x:row>
    <x:row r="506">
      <x:c r="A506" t="str">
        <x:v>PCC-PE-KG01-L21-20251026-AM-ORD-2025-00021-S12-C1</x:v>
      </x:c>
      <x:c r="B506" t="str">
        <x:v>PC-PE-KG01-L21-20251026-AM-ORD-2025-00021-S12</x:v>
      </x:c>
      <x:c r="C506" t="str">
        <x:v>PE-KG01-L21-20251026-AM-ORD-2025-00021</x:v>
      </x:c>
      <x:c r="D506" t="str">
        <x:v>KG01</x:v>
      </x:c>
      <x:c r="E506" s="62" t="n">
        <x:v>45956</x:v>
      </x:c>
      <x:c r="F506" t="str">
        <x:v>AM</x:v>
      </x:c>
      <x:c r="G506" t="str">
        <x:v>C</x:v>
      </x:c>
      <x:c r="H506" t="n">
        <x:v>21</x:v>
      </x:c>
      <x:c r="I506" t="str">
        <x:v>ORD-2025-00021</x:v>
      </x:c>
      <x:c r="J506" t="n">
        <x:v>12</x:v>
      </x:c>
      <x:c r="K506" t="n">
        <x:v>1</x:v>
      </x:c>
      <x:c r="L506" t="str">
        <x:v>L21-S12-C1</x:v>
      </x:c>
      <x:c r="M506" t="n">
        <x:v>0</x:v>
      </x:c>
      <x:c r="N506" t="str">
        <x:v>DerivedFromCount</x:v>
      </x:c>
      <x:c r="O506" t="str">
        <x:v>PLC-PRD-JAR-330-L21</x:v>
      </x:c>
      <x:c r="P506" t="str">
        <x:v>OK</x:v>
      </x:c>
      <x:c r="Q506" t="str">
        <x:v>OK</x:v>
      </x:c>
      <x:c r="R506" t="str">
        <x:v>OK</x:v>
      </x:c>
      <x:c r="S506" t="str">
        <x:v>OK</x:v>
      </x:c>
      <x:c r="T506" t="n">
        <x:v>30</x:v>
      </x:c>
      <x:c r="U506" t="str">
        <x:v>OK</x:v>
      </x:c>
      <x:c r="V506" t="str">
        <x:v>OK</x:v>
      </x:c>
      <x:c r="W506" t="str">
        <x:v>LOAD</x:v>
      </x:c>
      <x:c r="X506" t="str">
        <x:v>02_Supervisor_Log(4).xlsx</x:v>
      </x:c>
      <x:c r="Y506" t="str">
        <x:v>ENH-20260830-01</x:v>
      </x:c>
      <x:c r="Z506" t="str">
        <x:v>Active</x:v>
      </x:c>
      <x:c r="AA506"/>
      <x:c r="AB506"/>
      <x:c r="AC506"/>
      <x:c r="AD506"/>
    </x:row>
    <x:row r="507">
      <x:c r="A507" t="str">
        <x:v>PCC-PE-KG01-L21-20251026-AM-ORD-2025-00021-S12-C2</x:v>
      </x:c>
      <x:c r="B507" t="str">
        <x:v>PC-PE-KG01-L21-20251026-AM-ORD-2025-00021-S12</x:v>
      </x:c>
      <x:c r="C507" t="str">
        <x:v>PE-KG01-L21-20251026-AM-ORD-2025-00021</x:v>
      </x:c>
      <x:c r="D507" t="str">
        <x:v>KG01</x:v>
      </x:c>
      <x:c r="E507" s="62" t="n">
        <x:v>45956</x:v>
      </x:c>
      <x:c r="F507" t="str">
        <x:v>AM</x:v>
      </x:c>
      <x:c r="G507" t="str">
        <x:v>C</x:v>
      </x:c>
      <x:c r="H507" t="n">
        <x:v>21</x:v>
      </x:c>
      <x:c r="I507" t="str">
        <x:v>ORD-2025-00021</x:v>
      </x:c>
      <x:c r="J507" t="n">
        <x:v>12</x:v>
      </x:c>
      <x:c r="K507" t="n">
        <x:v>2</x:v>
      </x:c>
      <x:c r="L507" t="str">
        <x:v>L21-S12-C2</x:v>
      </x:c>
      <x:c r="M507" t="n">
        <x:v>0</x:v>
      </x:c>
      <x:c r="N507" t="str">
        <x:v>DerivedFromCount</x:v>
      </x:c>
      <x:c r="O507" t="str">
        <x:v>PLC-PRD-JAR-330-L21</x:v>
      </x:c>
      <x:c r="P507" t="str">
        <x:v>OK</x:v>
      </x:c>
      <x:c r="Q507" t="str">
        <x:v>OK</x:v>
      </x:c>
      <x:c r="R507" t="str">
        <x:v>OK</x:v>
      </x:c>
      <x:c r="S507" t="str">
        <x:v>OK</x:v>
      </x:c>
      <x:c r="T507" t="n">
        <x:v>30</x:v>
      </x:c>
      <x:c r="U507" t="str">
        <x:v>OK</x:v>
      </x:c>
      <x:c r="V507" t="str">
        <x:v>OK</x:v>
      </x:c>
      <x:c r="W507" t="str">
        <x:v>LOAD</x:v>
      </x:c>
      <x:c r="X507" t="str">
        <x:v>02_Supervisor_Log(4).xlsx</x:v>
      </x:c>
      <x:c r="Y507" t="str">
        <x:v>ENH-20260830-01</x:v>
      </x:c>
      <x:c r="Z507" t="str">
        <x:v>Active</x:v>
      </x:c>
      <x:c r="AA507"/>
      <x:c r="AB507"/>
      <x:c r="AC507"/>
      <x:c r="AD507"/>
    </x:row>
    <x:row r="508">
      <x:c r="A508" t="str">
        <x:v>PCC-PE-KG01-L21-20251026-AM-ORD-2025-00021-S12-C3</x:v>
      </x:c>
      <x:c r="B508" t="str">
        <x:v>PC-PE-KG01-L21-20251026-AM-ORD-2025-00021-S12</x:v>
      </x:c>
      <x:c r="C508" t="str">
        <x:v>PE-KG01-L21-20251026-AM-ORD-2025-00021</x:v>
      </x:c>
      <x:c r="D508" t="str">
        <x:v>KG01</x:v>
      </x:c>
      <x:c r="E508" s="62" t="n">
        <x:v>45956</x:v>
      </x:c>
      <x:c r="F508" t="str">
        <x:v>AM</x:v>
      </x:c>
      <x:c r="G508" t="str">
        <x:v>C</x:v>
      </x:c>
      <x:c r="H508" t="n">
        <x:v>21</x:v>
      </x:c>
      <x:c r="I508" t="str">
        <x:v>ORD-2025-00021</x:v>
      </x:c>
      <x:c r="J508" t="n">
        <x:v>12</x:v>
      </x:c>
      <x:c r="K508" t="n">
        <x:v>3</x:v>
      </x:c>
      <x:c r="L508" t="str">
        <x:v>L21-S12-C3</x:v>
      </x:c>
      <x:c r="M508" t="n">
        <x:v>0</x:v>
      </x:c>
      <x:c r="N508" t="str">
        <x:v>DerivedFromCount</x:v>
      </x:c>
      <x:c r="O508" t="str">
        <x:v>PLC-PRD-JAR-330-L21</x:v>
      </x:c>
      <x:c r="P508" t="str">
        <x:v>OK</x:v>
      </x:c>
      <x:c r="Q508" t="str">
        <x:v>OK</x:v>
      </x:c>
      <x:c r="R508" t="str">
        <x:v>OK</x:v>
      </x:c>
      <x:c r="S508" t="str">
        <x:v>OK</x:v>
      </x:c>
      <x:c r="T508" t="n">
        <x:v>30</x:v>
      </x:c>
      <x:c r="U508" t="str">
        <x:v>OK</x:v>
      </x:c>
      <x:c r="V508" t="str">
        <x:v>OK</x:v>
      </x:c>
      <x:c r="W508" t="str">
        <x:v>LOAD</x:v>
      </x:c>
      <x:c r="X508" t="str">
        <x:v>02_Supervisor_Log(4).xlsx</x:v>
      </x:c>
      <x:c r="Y508" t="str">
        <x:v>ENH-20260830-01</x:v>
      </x:c>
      <x:c r="Z508" t="str">
        <x:v>Active</x:v>
      </x:c>
      <x:c r="AA508"/>
      <x:c r="AB508"/>
      <x:c r="AC508"/>
      <x:c r="AD508"/>
    </x:row>
    <x:row r="509">
      <x:c r="A509" t="str">
        <x:v>PCC-PE-KG01-L21-20251026-AM-ORD-2025-00021-S13-C1</x:v>
      </x:c>
      <x:c r="B509" t="str">
        <x:v>PC-PE-KG01-L21-20251026-AM-ORD-2025-00021-S13</x:v>
      </x:c>
      <x:c r="C509" t="str">
        <x:v>PE-KG01-L21-20251026-AM-ORD-2025-00021</x:v>
      </x:c>
      <x:c r="D509" t="str">
        <x:v>KG01</x:v>
      </x:c>
      <x:c r="E509" s="62" t="n">
        <x:v>45956</x:v>
      </x:c>
      <x:c r="F509" t="str">
        <x:v>AM</x:v>
      </x:c>
      <x:c r="G509" t="str">
        <x:v>C</x:v>
      </x:c>
      <x:c r="H509" t="n">
        <x:v>21</x:v>
      </x:c>
      <x:c r="I509" t="str">
        <x:v>ORD-2025-00021</x:v>
      </x:c>
      <x:c r="J509" t="n">
        <x:v>13</x:v>
      </x:c>
      <x:c r="K509" t="n">
        <x:v>1</x:v>
      </x:c>
      <x:c r="L509" t="str">
        <x:v>L21-S13-C1</x:v>
      </x:c>
      <x:c r="M509" t="n">
        <x:v>0</x:v>
      </x:c>
      <x:c r="N509" t="str">
        <x:v>DerivedFromCount</x:v>
      </x:c>
      <x:c r="O509" t="str">
        <x:v>PLC-PRD-JAR-330-L21</x:v>
      </x:c>
      <x:c r="P509" t="str">
        <x:v>OK</x:v>
      </x:c>
      <x:c r="Q509" t="str">
        <x:v>OK</x:v>
      </x:c>
      <x:c r="R509" t="str">
        <x:v>OK</x:v>
      </x:c>
      <x:c r="S509" t="str">
        <x:v>OK</x:v>
      </x:c>
      <x:c r="T509" t="n">
        <x:v>30</x:v>
      </x:c>
      <x:c r="U509" t="str">
        <x:v>OK</x:v>
      </x:c>
      <x:c r="V509" t="str">
        <x:v>OK</x:v>
      </x:c>
      <x:c r="W509" t="str">
        <x:v>LOAD</x:v>
      </x:c>
      <x:c r="X509" t="str">
        <x:v>02_Supervisor_Log(4).xlsx</x:v>
      </x:c>
      <x:c r="Y509" t="str">
        <x:v>ENH-20260830-01</x:v>
      </x:c>
      <x:c r="Z509" t="str">
        <x:v>Active</x:v>
      </x:c>
      <x:c r="AA509"/>
      <x:c r="AB509"/>
      <x:c r="AC509"/>
      <x:c r="AD509"/>
    </x:row>
    <x:row r="510">
      <x:c r="A510" t="str">
        <x:v>PCC-PE-KG01-L21-20251026-AM-ORD-2025-00021-S13-C2</x:v>
      </x:c>
      <x:c r="B510" t="str">
        <x:v>PC-PE-KG01-L21-20251026-AM-ORD-2025-00021-S13</x:v>
      </x:c>
      <x:c r="C510" t="str">
        <x:v>PE-KG01-L21-20251026-AM-ORD-2025-00021</x:v>
      </x:c>
      <x:c r="D510" t="str">
        <x:v>KG01</x:v>
      </x:c>
      <x:c r="E510" s="62" t="n">
        <x:v>45956</x:v>
      </x:c>
      <x:c r="F510" t="str">
        <x:v>AM</x:v>
      </x:c>
      <x:c r="G510" t="str">
        <x:v>C</x:v>
      </x:c>
      <x:c r="H510" t="n">
        <x:v>21</x:v>
      </x:c>
      <x:c r="I510" t="str">
        <x:v>ORD-2025-00021</x:v>
      </x:c>
      <x:c r="J510" t="n">
        <x:v>13</x:v>
      </x:c>
      <x:c r="K510" t="n">
        <x:v>2</x:v>
      </x:c>
      <x:c r="L510" t="str">
        <x:v>L21-S13-C2</x:v>
      </x:c>
      <x:c r="M510" t="n">
        <x:v>0</x:v>
      </x:c>
      <x:c r="N510" t="str">
        <x:v>DerivedFromCount</x:v>
      </x:c>
      <x:c r="O510" t="str">
        <x:v>PLC-PRD-JAR-330-L21</x:v>
      </x:c>
      <x:c r="P510" t="str">
        <x:v>OK</x:v>
      </x:c>
      <x:c r="Q510" t="str">
        <x:v>OK</x:v>
      </x:c>
      <x:c r="R510" t="str">
        <x:v>OK</x:v>
      </x:c>
      <x:c r="S510" t="str">
        <x:v>OK</x:v>
      </x:c>
      <x:c r="T510" t="n">
        <x:v>30</x:v>
      </x:c>
      <x:c r="U510" t="str">
        <x:v>OK</x:v>
      </x:c>
      <x:c r="V510" t="str">
        <x:v>OK</x:v>
      </x:c>
      <x:c r="W510" t="str">
        <x:v>LOAD</x:v>
      </x:c>
      <x:c r="X510" t="str">
        <x:v>02_Supervisor_Log(4).xlsx</x:v>
      </x:c>
      <x:c r="Y510" t="str">
        <x:v>ENH-20260830-01</x:v>
      </x:c>
      <x:c r="Z510" t="str">
        <x:v>Active</x:v>
      </x:c>
      <x:c r="AA510"/>
      <x:c r="AB510"/>
      <x:c r="AC510"/>
      <x:c r="AD510"/>
    </x:row>
    <x:row r="511">
      <x:c r="A511" t="str">
        <x:v>PCC-PE-KG01-L21-20251026-AM-ORD-2025-00021-S13-C3</x:v>
      </x:c>
      <x:c r="B511" t="str">
        <x:v>PC-PE-KG01-L21-20251026-AM-ORD-2025-00021-S13</x:v>
      </x:c>
      <x:c r="C511" t="str">
        <x:v>PE-KG01-L21-20251026-AM-ORD-2025-00021</x:v>
      </x:c>
      <x:c r="D511" t="str">
        <x:v>KG01</x:v>
      </x:c>
      <x:c r="E511" s="62" t="n">
        <x:v>45956</x:v>
      </x:c>
      <x:c r="F511" t="str">
        <x:v>AM</x:v>
      </x:c>
      <x:c r="G511" t="str">
        <x:v>C</x:v>
      </x:c>
      <x:c r="H511" t="n">
        <x:v>21</x:v>
      </x:c>
      <x:c r="I511" t="str">
        <x:v>ORD-2025-00021</x:v>
      </x:c>
      <x:c r="J511" t="n">
        <x:v>13</x:v>
      </x:c>
      <x:c r="K511" t="n">
        <x:v>3</x:v>
      </x:c>
      <x:c r="L511" t="str">
        <x:v>L21-S13-C3</x:v>
      </x:c>
      <x:c r="M511" t="n">
        <x:v>0</x:v>
      </x:c>
      <x:c r="N511" t="str">
        <x:v>DerivedFromCount</x:v>
      </x:c>
      <x:c r="O511" t="str">
        <x:v>PLC-PRD-JAR-330-L21</x:v>
      </x:c>
      <x:c r="P511" t="str">
        <x:v>OK</x:v>
      </x:c>
      <x:c r="Q511" t="str">
        <x:v>OK</x:v>
      </x:c>
      <x:c r="R511" t="str">
        <x:v>OK</x:v>
      </x:c>
      <x:c r="S511" t="str">
        <x:v>OK</x:v>
      </x:c>
      <x:c r="T511" t="n">
        <x:v>30</x:v>
      </x:c>
      <x:c r="U511" t="str">
        <x:v>OK</x:v>
      </x:c>
      <x:c r="V511" t="str">
        <x:v>OK</x:v>
      </x:c>
      <x:c r="W511" t="str">
        <x:v>LOAD</x:v>
      </x:c>
      <x:c r="X511" t="str">
        <x:v>02_Supervisor_Log(4).xlsx</x:v>
      </x:c>
      <x:c r="Y511" t="str">
        <x:v>ENH-20260830-01</x:v>
      </x:c>
      <x:c r="Z511" t="str">
        <x:v>Active</x:v>
      </x:c>
      <x:c r="AA511"/>
      <x:c r="AB511"/>
      <x:c r="AC511"/>
      <x:c r="AD511"/>
    </x:row>
    <x:row r="512">
      <x:c r="A512" t="str">
        <x:v>PCC-PE-KG01-L21-20251026-PM-ORD-2025-00021-S01-C1</x:v>
      </x:c>
      <x:c r="B512" t="str">
        <x:v>PC-PE-KG01-L21-20251026-PM-ORD-2025-00021-S01</x:v>
      </x:c>
      <x:c r="C512" t="str">
        <x:v>PE-KG01-L21-20251026-PM-ORD-2025-00021</x:v>
      </x:c>
      <x:c r="D512" t="str">
        <x:v>KG01</x:v>
      </x:c>
      <x:c r="E512" s="62" t="n">
        <x:v>45956</x:v>
      </x:c>
      <x:c r="F512" t="str">
        <x:v>PM</x:v>
      </x:c>
      <x:c r="G512" t="str">
        <x:v>A</x:v>
      </x:c>
      <x:c r="H512" t="n">
        <x:v>21</x:v>
      </x:c>
      <x:c r="I512" t="str">
        <x:v>ORD-2025-00021</x:v>
      </x:c>
      <x:c r="J512" t="n">
        <x:v>1</x:v>
      </x:c>
      <x:c r="K512" t="n">
        <x:v>1</x:v>
      </x:c>
      <x:c r="L512" t="str">
        <x:v>L21-S01-C1</x:v>
      </x:c>
      <x:c r="M512" t="n">
        <x:v>1</x:v>
      </x:c>
      <x:c r="N512" t="str">
        <x:v>DerivedFromCount</x:v>
      </x:c>
      <x:c r="O512" t="str">
        <x:v>PLC-PRD-JAR-330-L21</x:v>
      </x:c>
      <x:c r="P512" t="str">
        <x:v>OK</x:v>
      </x:c>
      <x:c r="Q512" t="str">
        <x:v>OK</x:v>
      </x:c>
      <x:c r="R512" t="str">
        <x:v>OK</x:v>
      </x:c>
      <x:c r="S512" t="str">
        <x:v>OK</x:v>
      </x:c>
      <x:c r="T512" t="n">
        <x:v>30</x:v>
      </x:c>
      <x:c r="U512" t="str">
        <x:v>OK</x:v>
      </x:c>
      <x:c r="V512" t="str">
        <x:v>OK</x:v>
      </x:c>
      <x:c r="W512" t="str">
        <x:v>LOAD</x:v>
      </x:c>
      <x:c r="X512" t="str">
        <x:v>02_Supervisor_Log(4).xlsx</x:v>
      </x:c>
      <x:c r="Y512" t="str">
        <x:v>ENH-20260830-01</x:v>
      </x:c>
      <x:c r="Z512" t="str">
        <x:v>Active</x:v>
      </x:c>
      <x:c r="AA512"/>
      <x:c r="AB512"/>
      <x:c r="AC512"/>
      <x:c r="AD512"/>
    </x:row>
    <x:row r="513">
      <x:c r="A513" t="str">
        <x:v>PCC-PE-KG01-L21-20251026-PM-ORD-2025-00021-S01-C2</x:v>
      </x:c>
      <x:c r="B513" t="str">
        <x:v>PC-PE-KG01-L21-20251026-PM-ORD-2025-00021-S01</x:v>
      </x:c>
      <x:c r="C513" t="str">
        <x:v>PE-KG01-L21-20251026-PM-ORD-2025-00021</x:v>
      </x:c>
      <x:c r="D513" t="str">
        <x:v>KG01</x:v>
      </x:c>
      <x:c r="E513" s="62" t="n">
        <x:v>45956</x:v>
      </x:c>
      <x:c r="F513" t="str">
        <x:v>PM</x:v>
      </x:c>
      <x:c r="G513" t="str">
        <x:v>A</x:v>
      </x:c>
      <x:c r="H513" t="n">
        <x:v>21</x:v>
      </x:c>
      <x:c r="I513" t="str">
        <x:v>ORD-2025-00021</x:v>
      </x:c>
      <x:c r="J513" t="n">
        <x:v>1</x:v>
      </x:c>
      <x:c r="K513" t="n">
        <x:v>2</x:v>
      </x:c>
      <x:c r="L513" t="str">
        <x:v>L21-S01-C2</x:v>
      </x:c>
      <x:c r="M513" t="n">
        <x:v>1</x:v>
      </x:c>
      <x:c r="N513" t="str">
        <x:v>DerivedFromCount</x:v>
      </x:c>
      <x:c r="O513" t="str">
        <x:v>PLC-PRD-JAR-330-L21</x:v>
      </x:c>
      <x:c r="P513" t="str">
        <x:v>OK</x:v>
      </x:c>
      <x:c r="Q513" t="str">
        <x:v>OK</x:v>
      </x:c>
      <x:c r="R513" t="str">
        <x:v>OK</x:v>
      </x:c>
      <x:c r="S513" t="str">
        <x:v>OK</x:v>
      </x:c>
      <x:c r="T513" t="n">
        <x:v>30</x:v>
      </x:c>
      <x:c r="U513" t="str">
        <x:v>OK</x:v>
      </x:c>
      <x:c r="V513" t="str">
        <x:v>OK</x:v>
      </x:c>
      <x:c r="W513" t="str">
        <x:v>LOAD</x:v>
      </x:c>
      <x:c r="X513" t="str">
        <x:v>02_Supervisor_Log(4).xlsx</x:v>
      </x:c>
      <x:c r="Y513" t="str">
        <x:v>ENH-20260830-01</x:v>
      </x:c>
      <x:c r="Z513" t="str">
        <x:v>Active</x:v>
      </x:c>
      <x:c r="AA513"/>
      <x:c r="AB513"/>
      <x:c r="AC513"/>
      <x:c r="AD513"/>
    </x:row>
    <x:row r="514">
      <x:c r="A514" t="str">
        <x:v>PCC-PE-KG01-L21-20251026-PM-ORD-2025-00021-S01-C3</x:v>
      </x:c>
      <x:c r="B514" t="str">
        <x:v>PC-PE-KG01-L21-20251026-PM-ORD-2025-00021-S01</x:v>
      </x:c>
      <x:c r="C514" t="str">
        <x:v>PE-KG01-L21-20251026-PM-ORD-2025-00021</x:v>
      </x:c>
      <x:c r="D514" t="str">
        <x:v>KG01</x:v>
      </x:c>
      <x:c r="E514" s="62" t="n">
        <x:v>45956</x:v>
      </x:c>
      <x:c r="F514" t="str">
        <x:v>PM</x:v>
      </x:c>
      <x:c r="G514" t="str">
        <x:v>A</x:v>
      </x:c>
      <x:c r="H514" t="n">
        <x:v>21</x:v>
      </x:c>
      <x:c r="I514" t="str">
        <x:v>ORD-2025-00021</x:v>
      </x:c>
      <x:c r="J514" t="n">
        <x:v>1</x:v>
      </x:c>
      <x:c r="K514" t="n">
        <x:v>3</x:v>
      </x:c>
      <x:c r="L514" t="str">
        <x:v>L21-S01-C3</x:v>
      </x:c>
      <x:c r="M514" t="n">
        <x:v>1</x:v>
      </x:c>
      <x:c r="N514" t="str">
        <x:v>DerivedFromCount</x:v>
      </x:c>
      <x:c r="O514" t="str">
        <x:v>PLC-PRD-JAR-330-L21</x:v>
      </x:c>
      <x:c r="P514" t="str">
        <x:v>OK</x:v>
      </x:c>
      <x:c r="Q514" t="str">
        <x:v>OK</x:v>
      </x:c>
      <x:c r="R514" t="str">
        <x:v>OK</x:v>
      </x:c>
      <x:c r="S514" t="str">
        <x:v>OK</x:v>
      </x:c>
      <x:c r="T514" t="n">
        <x:v>30</x:v>
      </x:c>
      <x:c r="U514" t="str">
        <x:v>OK</x:v>
      </x:c>
      <x:c r="V514" t="str">
        <x:v>OK</x:v>
      </x:c>
      <x:c r="W514" t="str">
        <x:v>LOAD</x:v>
      </x:c>
      <x:c r="X514" t="str">
        <x:v>02_Supervisor_Log(4).xlsx</x:v>
      </x:c>
      <x:c r="Y514" t="str">
        <x:v>ENH-20260830-01</x:v>
      </x:c>
      <x:c r="Z514" t="str">
        <x:v>Active</x:v>
      </x:c>
      <x:c r="AA514"/>
      <x:c r="AB514"/>
      <x:c r="AC514"/>
      <x:c r="AD514"/>
    </x:row>
    <x:row r="515">
      <x:c r="A515" t="str">
        <x:v>PCC-PE-KG01-L21-20251026-PM-ORD-2025-00021-S02-C1</x:v>
      </x:c>
      <x:c r="B515" t="str">
        <x:v>PC-PE-KG01-L21-20251026-PM-ORD-2025-00021-S02</x:v>
      </x:c>
      <x:c r="C515" t="str">
        <x:v>PE-KG01-L21-20251026-PM-ORD-2025-00021</x:v>
      </x:c>
      <x:c r="D515" t="str">
        <x:v>KG01</x:v>
      </x:c>
      <x:c r="E515" s="62" t="n">
        <x:v>45956</x:v>
      </x:c>
      <x:c r="F515" t="str">
        <x:v>PM</x:v>
      </x:c>
      <x:c r="G515" t="str">
        <x:v>A</x:v>
      </x:c>
      <x:c r="H515" t="n">
        <x:v>21</x:v>
      </x:c>
      <x:c r="I515" t="str">
        <x:v>ORD-2025-00021</x:v>
      </x:c>
      <x:c r="J515" t="n">
        <x:v>2</x:v>
      </x:c>
      <x:c r="K515" t="n">
        <x:v>1</x:v>
      </x:c>
      <x:c r="L515" t="str">
        <x:v>L21-S02-C1</x:v>
      </x:c>
      <x:c r="M515" t="n">
        <x:v>1</x:v>
      </x:c>
      <x:c r="N515" t="str">
        <x:v>DerivedFromCount</x:v>
      </x:c>
      <x:c r="O515" t="str">
        <x:v>PLC-PRD-JAR-330-L21</x:v>
      </x:c>
      <x:c r="P515" t="str">
        <x:v>OK</x:v>
      </x:c>
      <x:c r="Q515" t="str">
        <x:v>OK</x:v>
      </x:c>
      <x:c r="R515" t="str">
        <x:v>OK</x:v>
      </x:c>
      <x:c r="S515" t="str">
        <x:v>OK</x:v>
      </x:c>
      <x:c r="T515" t="n">
        <x:v>30</x:v>
      </x:c>
      <x:c r="U515" t="str">
        <x:v>OK</x:v>
      </x:c>
      <x:c r="V515" t="str">
        <x:v>OK</x:v>
      </x:c>
      <x:c r="W515" t="str">
        <x:v>LOAD</x:v>
      </x:c>
      <x:c r="X515" t="str">
        <x:v>02_Supervisor_Log(4).xlsx</x:v>
      </x:c>
      <x:c r="Y515" t="str">
        <x:v>ENH-20260830-01</x:v>
      </x:c>
      <x:c r="Z515" t="str">
        <x:v>Active</x:v>
      </x:c>
      <x:c r="AA515"/>
      <x:c r="AB515"/>
      <x:c r="AC515"/>
      <x:c r="AD515"/>
    </x:row>
    <x:row r="516">
      <x:c r="A516" t="str">
        <x:v>PCC-PE-KG01-L21-20251026-PM-ORD-2025-00021-S02-C2</x:v>
      </x:c>
      <x:c r="B516" t="str">
        <x:v>PC-PE-KG01-L21-20251026-PM-ORD-2025-00021-S02</x:v>
      </x:c>
      <x:c r="C516" t="str">
        <x:v>PE-KG01-L21-20251026-PM-ORD-2025-00021</x:v>
      </x:c>
      <x:c r="D516" t="str">
        <x:v>KG01</x:v>
      </x:c>
      <x:c r="E516" s="62" t="n">
        <x:v>45956</x:v>
      </x:c>
      <x:c r="F516" t="str">
        <x:v>PM</x:v>
      </x:c>
      <x:c r="G516" t="str">
        <x:v>A</x:v>
      </x:c>
      <x:c r="H516" t="n">
        <x:v>21</x:v>
      </x:c>
      <x:c r="I516" t="str">
        <x:v>ORD-2025-00021</x:v>
      </x:c>
      <x:c r="J516" t="n">
        <x:v>2</x:v>
      </x:c>
      <x:c r="K516" t="n">
        <x:v>2</x:v>
      </x:c>
      <x:c r="L516" t="str">
        <x:v>L21-S02-C2</x:v>
      </x:c>
      <x:c r="M516" t="n">
        <x:v>1</x:v>
      </x:c>
      <x:c r="N516" t="str">
        <x:v>DerivedFromCount</x:v>
      </x:c>
      <x:c r="O516" t="str">
        <x:v>PLC-PRD-JAR-330-L21</x:v>
      </x:c>
      <x:c r="P516" t="str">
        <x:v>OK</x:v>
      </x:c>
      <x:c r="Q516" t="str">
        <x:v>OK</x:v>
      </x:c>
      <x:c r="R516" t="str">
        <x:v>OK</x:v>
      </x:c>
      <x:c r="S516" t="str">
        <x:v>OK</x:v>
      </x:c>
      <x:c r="T516" t="n">
        <x:v>30</x:v>
      </x:c>
      <x:c r="U516" t="str">
        <x:v>OK</x:v>
      </x:c>
      <x:c r="V516" t="str">
        <x:v>OK</x:v>
      </x:c>
      <x:c r="W516" t="str">
        <x:v>LOAD</x:v>
      </x:c>
      <x:c r="X516" t="str">
        <x:v>02_Supervisor_Log(4).xlsx</x:v>
      </x:c>
      <x:c r="Y516" t="str">
        <x:v>ENH-20260830-01</x:v>
      </x:c>
      <x:c r="Z516" t="str">
        <x:v>Active</x:v>
      </x:c>
      <x:c r="AA516"/>
      <x:c r="AB516"/>
      <x:c r="AC516"/>
      <x:c r="AD516"/>
    </x:row>
    <x:row r="517">
      <x:c r="A517" t="str">
        <x:v>PCC-PE-KG01-L21-20251026-PM-ORD-2025-00021-S02-C3</x:v>
      </x:c>
      <x:c r="B517" t="str">
        <x:v>PC-PE-KG01-L21-20251026-PM-ORD-2025-00021-S02</x:v>
      </x:c>
      <x:c r="C517" t="str">
        <x:v>PE-KG01-L21-20251026-PM-ORD-2025-00021</x:v>
      </x:c>
      <x:c r="D517" t="str">
        <x:v>KG01</x:v>
      </x:c>
      <x:c r="E517" s="62" t="n">
        <x:v>45956</x:v>
      </x:c>
      <x:c r="F517" t="str">
        <x:v>PM</x:v>
      </x:c>
      <x:c r="G517" t="str">
        <x:v>A</x:v>
      </x:c>
      <x:c r="H517" t="n">
        <x:v>21</x:v>
      </x:c>
      <x:c r="I517" t="str">
        <x:v>ORD-2025-00021</x:v>
      </x:c>
      <x:c r="J517" t="n">
        <x:v>2</x:v>
      </x:c>
      <x:c r="K517" t="n">
        <x:v>3</x:v>
      </x:c>
      <x:c r="L517" t="str">
        <x:v>L21-S02-C3</x:v>
      </x:c>
      <x:c r="M517" t="n">
        <x:v>1</x:v>
      </x:c>
      <x:c r="N517" t="str">
        <x:v>DerivedFromCount</x:v>
      </x:c>
      <x:c r="O517" t="str">
        <x:v>PLC-PRD-JAR-330-L21</x:v>
      </x:c>
      <x:c r="P517" t="str">
        <x:v>OK</x:v>
      </x:c>
      <x:c r="Q517" t="str">
        <x:v>OK</x:v>
      </x:c>
      <x:c r="R517" t="str">
        <x:v>OK</x:v>
      </x:c>
      <x:c r="S517" t="str">
        <x:v>OK</x:v>
      </x:c>
      <x:c r="T517" t="n">
        <x:v>30</x:v>
      </x:c>
      <x:c r="U517" t="str">
        <x:v>OK</x:v>
      </x:c>
      <x:c r="V517" t="str">
        <x:v>OK</x:v>
      </x:c>
      <x:c r="W517" t="str">
        <x:v>LOAD</x:v>
      </x:c>
      <x:c r="X517" t="str">
        <x:v>02_Supervisor_Log(4).xlsx</x:v>
      </x:c>
      <x:c r="Y517" t="str">
        <x:v>ENH-20260830-01</x:v>
      </x:c>
      <x:c r="Z517" t="str">
        <x:v>Active</x:v>
      </x:c>
      <x:c r="AA517"/>
      <x:c r="AB517"/>
      <x:c r="AC517"/>
      <x:c r="AD517"/>
    </x:row>
    <x:row r="518">
      <x:c r="A518" t="str">
        <x:v>PCC-PE-KG01-L21-20251026-PM-ORD-2025-00021-S03-C1</x:v>
      </x:c>
      <x:c r="B518" t="str">
        <x:v>PC-PE-KG01-L21-20251026-PM-ORD-2025-00021-S03</x:v>
      </x:c>
      <x:c r="C518" t="str">
        <x:v>PE-KG01-L21-20251026-PM-ORD-2025-00021</x:v>
      </x:c>
      <x:c r="D518" t="str">
        <x:v>KG01</x:v>
      </x:c>
      <x:c r="E518" s="62" t="n">
        <x:v>45956</x:v>
      </x:c>
      <x:c r="F518" t="str">
        <x:v>PM</x:v>
      </x:c>
      <x:c r="G518" t="str">
        <x:v>A</x:v>
      </x:c>
      <x:c r="H518" t="n">
        <x:v>21</x:v>
      </x:c>
      <x:c r="I518" t="str">
        <x:v>ORD-2025-00021</x:v>
      </x:c>
      <x:c r="J518" t="n">
        <x:v>3</x:v>
      </x:c>
      <x:c r="K518" t="n">
        <x:v>1</x:v>
      </x:c>
      <x:c r="L518" t="str">
        <x:v>L21-S03-C1</x:v>
      </x:c>
      <x:c r="M518" t="n">
        <x:v>1</x:v>
      </x:c>
      <x:c r="N518" t="str">
        <x:v>DerivedFromCount</x:v>
      </x:c>
      <x:c r="O518" t="str">
        <x:v>PLC-PRD-JAR-330-L21</x:v>
      </x:c>
      <x:c r="P518" t="str">
        <x:v>OK</x:v>
      </x:c>
      <x:c r="Q518" t="str">
        <x:v>OK</x:v>
      </x:c>
      <x:c r="R518" t="str">
        <x:v>OK</x:v>
      </x:c>
      <x:c r="S518" t="str">
        <x:v>OK</x:v>
      </x:c>
      <x:c r="T518" t="n">
        <x:v>30</x:v>
      </x:c>
      <x:c r="U518" t="str">
        <x:v>OK</x:v>
      </x:c>
      <x:c r="V518" t="str">
        <x:v>OK</x:v>
      </x:c>
      <x:c r="W518" t="str">
        <x:v>LOAD</x:v>
      </x:c>
      <x:c r="X518" t="str">
        <x:v>02_Supervisor_Log(4).xlsx</x:v>
      </x:c>
      <x:c r="Y518" t="str">
        <x:v>ENH-20260830-01</x:v>
      </x:c>
      <x:c r="Z518" t="str">
        <x:v>Active</x:v>
      </x:c>
      <x:c r="AA518"/>
      <x:c r="AB518"/>
      <x:c r="AC518"/>
      <x:c r="AD518"/>
    </x:row>
    <x:row r="519">
      <x:c r="A519" t="str">
        <x:v>PCC-PE-KG01-L21-20251026-PM-ORD-2025-00021-S03-C2</x:v>
      </x:c>
      <x:c r="B519" t="str">
        <x:v>PC-PE-KG01-L21-20251026-PM-ORD-2025-00021-S03</x:v>
      </x:c>
      <x:c r="C519" t="str">
        <x:v>PE-KG01-L21-20251026-PM-ORD-2025-00021</x:v>
      </x:c>
      <x:c r="D519" t="str">
        <x:v>KG01</x:v>
      </x:c>
      <x:c r="E519" s="62" t="n">
        <x:v>45956</x:v>
      </x:c>
      <x:c r="F519" t="str">
        <x:v>PM</x:v>
      </x:c>
      <x:c r="G519" t="str">
        <x:v>A</x:v>
      </x:c>
      <x:c r="H519" t="n">
        <x:v>21</x:v>
      </x:c>
      <x:c r="I519" t="str">
        <x:v>ORD-2025-00021</x:v>
      </x:c>
      <x:c r="J519" t="n">
        <x:v>3</x:v>
      </x:c>
      <x:c r="K519" t="n">
        <x:v>2</x:v>
      </x:c>
      <x:c r="L519" t="str">
        <x:v>L21-S03-C2</x:v>
      </x:c>
      <x:c r="M519" t="n">
        <x:v>1</x:v>
      </x:c>
      <x:c r="N519" t="str">
        <x:v>DerivedFromCount</x:v>
      </x:c>
      <x:c r="O519" t="str">
        <x:v>PLC-PRD-JAR-330-L21</x:v>
      </x:c>
      <x:c r="P519" t="str">
        <x:v>OK</x:v>
      </x:c>
      <x:c r="Q519" t="str">
        <x:v>OK</x:v>
      </x:c>
      <x:c r="R519" t="str">
        <x:v>OK</x:v>
      </x:c>
      <x:c r="S519" t="str">
        <x:v>OK</x:v>
      </x:c>
      <x:c r="T519" t="n">
        <x:v>30</x:v>
      </x:c>
      <x:c r="U519" t="str">
        <x:v>OK</x:v>
      </x:c>
      <x:c r="V519" t="str">
        <x:v>OK</x:v>
      </x:c>
      <x:c r="W519" t="str">
        <x:v>LOAD</x:v>
      </x:c>
      <x:c r="X519" t="str">
        <x:v>02_Supervisor_Log(4).xlsx</x:v>
      </x:c>
      <x:c r="Y519" t="str">
        <x:v>ENH-20260830-01</x:v>
      </x:c>
      <x:c r="Z519" t="str">
        <x:v>Active</x:v>
      </x:c>
      <x:c r="AA519"/>
      <x:c r="AB519"/>
      <x:c r="AC519"/>
      <x:c r="AD519"/>
    </x:row>
    <x:row r="520">
      <x:c r="A520" t="str">
        <x:v>PCC-PE-KG01-L21-20251026-PM-ORD-2025-00021-S03-C3</x:v>
      </x:c>
      <x:c r="B520" t="str">
        <x:v>PC-PE-KG01-L21-20251026-PM-ORD-2025-00021-S03</x:v>
      </x:c>
      <x:c r="C520" t="str">
        <x:v>PE-KG01-L21-20251026-PM-ORD-2025-00021</x:v>
      </x:c>
      <x:c r="D520" t="str">
        <x:v>KG01</x:v>
      </x:c>
      <x:c r="E520" s="62" t="n">
        <x:v>45956</x:v>
      </x:c>
      <x:c r="F520" t="str">
        <x:v>PM</x:v>
      </x:c>
      <x:c r="G520" t="str">
        <x:v>A</x:v>
      </x:c>
      <x:c r="H520" t="n">
        <x:v>21</x:v>
      </x:c>
      <x:c r="I520" t="str">
        <x:v>ORD-2025-00021</x:v>
      </x:c>
      <x:c r="J520" t="n">
        <x:v>3</x:v>
      </x:c>
      <x:c r="K520" t="n">
        <x:v>3</x:v>
      </x:c>
      <x:c r="L520" t="str">
        <x:v>L21-S03-C3</x:v>
      </x:c>
      <x:c r="M520" t="n">
        <x:v>1</x:v>
      </x:c>
      <x:c r="N520" t="str">
        <x:v>DerivedFromCount</x:v>
      </x:c>
      <x:c r="O520" t="str">
        <x:v>PLC-PRD-JAR-330-L21</x:v>
      </x:c>
      <x:c r="P520" t="str">
        <x:v>OK</x:v>
      </x:c>
      <x:c r="Q520" t="str">
        <x:v>OK</x:v>
      </x:c>
      <x:c r="R520" t="str">
        <x:v>OK</x:v>
      </x:c>
      <x:c r="S520" t="str">
        <x:v>OK</x:v>
      </x:c>
      <x:c r="T520" t="n">
        <x:v>30</x:v>
      </x:c>
      <x:c r="U520" t="str">
        <x:v>OK</x:v>
      </x:c>
      <x:c r="V520" t="str">
        <x:v>OK</x:v>
      </x:c>
      <x:c r="W520" t="str">
        <x:v>LOAD</x:v>
      </x:c>
      <x:c r="X520" t="str">
        <x:v>02_Supervisor_Log(4).xlsx</x:v>
      </x:c>
      <x:c r="Y520" t="str">
        <x:v>ENH-20260830-01</x:v>
      </x:c>
      <x:c r="Z520" t="str">
        <x:v>Active</x:v>
      </x:c>
      <x:c r="AA520"/>
      <x:c r="AB520"/>
      <x:c r="AC520"/>
      <x:c r="AD520"/>
    </x:row>
    <x:row r="521">
      <x:c r="A521" t="str">
        <x:v>PCC-PE-KG01-L21-20251026-PM-ORD-2025-00021-S04-C1</x:v>
      </x:c>
      <x:c r="B521" t="str">
        <x:v>PC-PE-KG01-L21-20251026-PM-ORD-2025-00021-S04</x:v>
      </x:c>
      <x:c r="C521" t="str">
        <x:v>PE-KG01-L21-20251026-PM-ORD-2025-00021</x:v>
      </x:c>
      <x:c r="D521" t="str">
        <x:v>KG01</x:v>
      </x:c>
      <x:c r="E521" s="62" t="n">
        <x:v>45956</x:v>
      </x:c>
      <x:c r="F521" t="str">
        <x:v>PM</x:v>
      </x:c>
      <x:c r="G521" t="str">
        <x:v>A</x:v>
      </x:c>
      <x:c r="H521" t="n">
        <x:v>21</x:v>
      </x:c>
      <x:c r="I521" t="str">
        <x:v>ORD-2025-00021</x:v>
      </x:c>
      <x:c r="J521" t="n">
        <x:v>4</x:v>
      </x:c>
      <x:c r="K521" t="n">
        <x:v>1</x:v>
      </x:c>
      <x:c r="L521" t="str">
        <x:v>L21-S04-C1</x:v>
      </x:c>
      <x:c r="M521" t="n">
        <x:v>1</x:v>
      </x:c>
      <x:c r="N521" t="str">
        <x:v>DerivedFromCount</x:v>
      </x:c>
      <x:c r="O521" t="str">
        <x:v>PLC-PRD-JAR-330-L21</x:v>
      </x:c>
      <x:c r="P521" t="str">
        <x:v>OK</x:v>
      </x:c>
      <x:c r="Q521" t="str">
        <x:v>OK</x:v>
      </x:c>
      <x:c r="R521" t="str">
        <x:v>OK</x:v>
      </x:c>
      <x:c r="S521" t="str">
        <x:v>OK</x:v>
      </x:c>
      <x:c r="T521" t="n">
        <x:v>30</x:v>
      </x:c>
      <x:c r="U521" t="str">
        <x:v>OK</x:v>
      </x:c>
      <x:c r="V521" t="str">
        <x:v>OK</x:v>
      </x:c>
      <x:c r="W521" t="str">
        <x:v>LOAD</x:v>
      </x:c>
      <x:c r="X521" t="str">
        <x:v>02_Supervisor_Log(4).xlsx</x:v>
      </x:c>
      <x:c r="Y521" t="str">
        <x:v>ENH-20260830-01</x:v>
      </x:c>
      <x:c r="Z521" t="str">
        <x:v>Active</x:v>
      </x:c>
      <x:c r="AA521"/>
      <x:c r="AB521"/>
      <x:c r="AC521"/>
      <x:c r="AD521"/>
    </x:row>
    <x:row r="522">
      <x:c r="A522" t="str">
        <x:v>PCC-PE-KG01-L21-20251026-PM-ORD-2025-00021-S04-C2</x:v>
      </x:c>
      <x:c r="B522" t="str">
        <x:v>PC-PE-KG01-L21-20251026-PM-ORD-2025-00021-S04</x:v>
      </x:c>
      <x:c r="C522" t="str">
        <x:v>PE-KG01-L21-20251026-PM-ORD-2025-00021</x:v>
      </x:c>
      <x:c r="D522" t="str">
        <x:v>KG01</x:v>
      </x:c>
      <x:c r="E522" s="62" t="n">
        <x:v>45956</x:v>
      </x:c>
      <x:c r="F522" t="str">
        <x:v>PM</x:v>
      </x:c>
      <x:c r="G522" t="str">
        <x:v>A</x:v>
      </x:c>
      <x:c r="H522" t="n">
        <x:v>21</x:v>
      </x:c>
      <x:c r="I522" t="str">
        <x:v>ORD-2025-00021</x:v>
      </x:c>
      <x:c r="J522" t="n">
        <x:v>4</x:v>
      </x:c>
      <x:c r="K522" t="n">
        <x:v>2</x:v>
      </x:c>
      <x:c r="L522" t="str">
        <x:v>L21-S04-C2</x:v>
      </x:c>
      <x:c r="M522" t="n">
        <x:v>1</x:v>
      </x:c>
      <x:c r="N522" t="str">
        <x:v>DerivedFromCount</x:v>
      </x:c>
      <x:c r="O522" t="str">
        <x:v>PLC-PRD-JAR-330-L21</x:v>
      </x:c>
      <x:c r="P522" t="str">
        <x:v>OK</x:v>
      </x:c>
      <x:c r="Q522" t="str">
        <x:v>OK</x:v>
      </x:c>
      <x:c r="R522" t="str">
        <x:v>OK</x:v>
      </x:c>
      <x:c r="S522" t="str">
        <x:v>OK</x:v>
      </x:c>
      <x:c r="T522" t="n">
        <x:v>30</x:v>
      </x:c>
      <x:c r="U522" t="str">
        <x:v>OK</x:v>
      </x:c>
      <x:c r="V522" t="str">
        <x:v>OK</x:v>
      </x:c>
      <x:c r="W522" t="str">
        <x:v>LOAD</x:v>
      </x:c>
      <x:c r="X522" t="str">
        <x:v>02_Supervisor_Log(4).xlsx</x:v>
      </x:c>
      <x:c r="Y522" t="str">
        <x:v>ENH-20260830-01</x:v>
      </x:c>
      <x:c r="Z522" t="str">
        <x:v>Active</x:v>
      </x:c>
      <x:c r="AA522"/>
      <x:c r="AB522"/>
      <x:c r="AC522"/>
      <x:c r="AD522"/>
    </x:row>
    <x:row r="523">
      <x:c r="A523" t="str">
        <x:v>PCC-PE-KG01-L21-20251026-PM-ORD-2025-00021-S04-C3</x:v>
      </x:c>
      <x:c r="B523" t="str">
        <x:v>PC-PE-KG01-L21-20251026-PM-ORD-2025-00021-S04</x:v>
      </x:c>
      <x:c r="C523" t="str">
        <x:v>PE-KG01-L21-20251026-PM-ORD-2025-00021</x:v>
      </x:c>
      <x:c r="D523" t="str">
        <x:v>KG01</x:v>
      </x:c>
      <x:c r="E523" s="62" t="n">
        <x:v>45956</x:v>
      </x:c>
      <x:c r="F523" t="str">
        <x:v>PM</x:v>
      </x:c>
      <x:c r="G523" t="str">
        <x:v>A</x:v>
      </x:c>
      <x:c r="H523" t="n">
        <x:v>21</x:v>
      </x:c>
      <x:c r="I523" t="str">
        <x:v>ORD-2025-00021</x:v>
      </x:c>
      <x:c r="J523" t="n">
        <x:v>4</x:v>
      </x:c>
      <x:c r="K523" t="n">
        <x:v>3</x:v>
      </x:c>
      <x:c r="L523" t="str">
        <x:v>L21-S04-C3</x:v>
      </x:c>
      <x:c r="M523" t="n">
        <x:v>1</x:v>
      </x:c>
      <x:c r="N523" t="str">
        <x:v>DerivedFromCount</x:v>
      </x:c>
      <x:c r="O523" t="str">
        <x:v>PLC-PRD-JAR-330-L21</x:v>
      </x:c>
      <x:c r="P523" t="str">
        <x:v>OK</x:v>
      </x:c>
      <x:c r="Q523" t="str">
        <x:v>OK</x:v>
      </x:c>
      <x:c r="R523" t="str">
        <x:v>OK</x:v>
      </x:c>
      <x:c r="S523" t="str">
        <x:v>OK</x:v>
      </x:c>
      <x:c r="T523" t="n">
        <x:v>30</x:v>
      </x:c>
      <x:c r="U523" t="str">
        <x:v>OK</x:v>
      </x:c>
      <x:c r="V523" t="str">
        <x:v>OK</x:v>
      </x:c>
      <x:c r="W523" t="str">
        <x:v>LOAD</x:v>
      </x:c>
      <x:c r="X523" t="str">
        <x:v>02_Supervisor_Log(4).xlsx</x:v>
      </x:c>
      <x:c r="Y523" t="str">
        <x:v>ENH-20260830-01</x:v>
      </x:c>
      <x:c r="Z523" t="str">
        <x:v>Active</x:v>
      </x:c>
      <x:c r="AA523"/>
      <x:c r="AB523"/>
      <x:c r="AC523"/>
      <x:c r="AD523"/>
    </x:row>
    <x:row r="524">
      <x:c r="A524" t="str">
        <x:v>PCC-PE-KG01-L21-20251026-PM-ORD-2025-00021-S05-C1</x:v>
      </x:c>
      <x:c r="B524" t="str">
        <x:v>PC-PE-KG01-L21-20251026-PM-ORD-2025-00021-S05</x:v>
      </x:c>
      <x:c r="C524" t="str">
        <x:v>PE-KG01-L21-20251026-PM-ORD-2025-00021</x:v>
      </x:c>
      <x:c r="D524" t="str">
        <x:v>KG01</x:v>
      </x:c>
      <x:c r="E524" s="62" t="n">
        <x:v>45956</x:v>
      </x:c>
      <x:c r="F524" t="str">
        <x:v>PM</x:v>
      </x:c>
      <x:c r="G524" t="str">
        <x:v>A</x:v>
      </x:c>
      <x:c r="H524" t="n">
        <x:v>21</x:v>
      </x:c>
      <x:c r="I524" t="str">
        <x:v>ORD-2025-00021</x:v>
      </x:c>
      <x:c r="J524" t="n">
        <x:v>5</x:v>
      </x:c>
      <x:c r="K524" t="n">
        <x:v>1</x:v>
      </x:c>
      <x:c r="L524" t="str">
        <x:v>L21-S05-C1</x:v>
      </x:c>
      <x:c r="M524" t="n">
        <x:v>1</x:v>
      </x:c>
      <x:c r="N524" t="str">
        <x:v>DerivedFromCount</x:v>
      </x:c>
      <x:c r="O524" t="str">
        <x:v>PLC-PRD-JAR-330-L21</x:v>
      </x:c>
      <x:c r="P524" t="str">
        <x:v>OK</x:v>
      </x:c>
      <x:c r="Q524" t="str">
        <x:v>OK</x:v>
      </x:c>
      <x:c r="R524" t="str">
        <x:v>OK</x:v>
      </x:c>
      <x:c r="S524" t="str">
        <x:v>OK</x:v>
      </x:c>
      <x:c r="T524" t="n">
        <x:v>30</x:v>
      </x:c>
      <x:c r="U524" t="str">
        <x:v>OK</x:v>
      </x:c>
      <x:c r="V524" t="str">
        <x:v>OK</x:v>
      </x:c>
      <x:c r="W524" t="str">
        <x:v>LOAD</x:v>
      </x:c>
      <x:c r="X524" t="str">
        <x:v>02_Supervisor_Log(4).xlsx</x:v>
      </x:c>
      <x:c r="Y524" t="str">
        <x:v>ENH-20260830-01</x:v>
      </x:c>
      <x:c r="Z524" t="str">
        <x:v>Active</x:v>
      </x:c>
      <x:c r="AA524"/>
      <x:c r="AB524"/>
      <x:c r="AC524"/>
      <x:c r="AD524"/>
    </x:row>
    <x:row r="525">
      <x:c r="A525" t="str">
        <x:v>PCC-PE-KG01-L21-20251026-PM-ORD-2025-00021-S05-C2</x:v>
      </x:c>
      <x:c r="B525" t="str">
        <x:v>PC-PE-KG01-L21-20251026-PM-ORD-2025-00021-S05</x:v>
      </x:c>
      <x:c r="C525" t="str">
        <x:v>PE-KG01-L21-20251026-PM-ORD-2025-00021</x:v>
      </x:c>
      <x:c r="D525" t="str">
        <x:v>KG01</x:v>
      </x:c>
      <x:c r="E525" s="62" t="n">
        <x:v>45956</x:v>
      </x:c>
      <x:c r="F525" t="str">
        <x:v>PM</x:v>
      </x:c>
      <x:c r="G525" t="str">
        <x:v>A</x:v>
      </x:c>
      <x:c r="H525" t="n">
        <x:v>21</x:v>
      </x:c>
      <x:c r="I525" t="str">
        <x:v>ORD-2025-00021</x:v>
      </x:c>
      <x:c r="J525" t="n">
        <x:v>5</x:v>
      </x:c>
      <x:c r="K525" t="n">
        <x:v>2</x:v>
      </x:c>
      <x:c r="L525" t="str">
        <x:v>L21-S05-C2</x:v>
      </x:c>
      <x:c r="M525" t="n">
        <x:v>1</x:v>
      </x:c>
      <x:c r="N525" t="str">
        <x:v>DerivedFromCount</x:v>
      </x:c>
      <x:c r="O525" t="str">
        <x:v>PLC-PRD-JAR-330-L21</x:v>
      </x:c>
      <x:c r="P525" t="str">
        <x:v>OK</x:v>
      </x:c>
      <x:c r="Q525" t="str">
        <x:v>OK</x:v>
      </x:c>
      <x:c r="R525" t="str">
        <x:v>OK</x:v>
      </x:c>
      <x:c r="S525" t="str">
        <x:v>OK</x:v>
      </x:c>
      <x:c r="T525" t="n">
        <x:v>30</x:v>
      </x:c>
      <x:c r="U525" t="str">
        <x:v>OK</x:v>
      </x:c>
      <x:c r="V525" t="str">
        <x:v>OK</x:v>
      </x:c>
      <x:c r="W525" t="str">
        <x:v>LOAD</x:v>
      </x:c>
      <x:c r="X525" t="str">
        <x:v>02_Supervisor_Log(4).xlsx</x:v>
      </x:c>
      <x:c r="Y525" t="str">
        <x:v>ENH-20260830-01</x:v>
      </x:c>
      <x:c r="Z525" t="str">
        <x:v>Active</x:v>
      </x:c>
      <x:c r="AA525"/>
      <x:c r="AB525"/>
      <x:c r="AC525"/>
      <x:c r="AD525"/>
    </x:row>
    <x:row r="526">
      <x:c r="A526" t="str">
        <x:v>PCC-PE-KG01-L21-20251026-PM-ORD-2025-00021-S05-C3</x:v>
      </x:c>
      <x:c r="B526" t="str">
        <x:v>PC-PE-KG01-L21-20251026-PM-ORD-2025-00021-S05</x:v>
      </x:c>
      <x:c r="C526" t="str">
        <x:v>PE-KG01-L21-20251026-PM-ORD-2025-00021</x:v>
      </x:c>
      <x:c r="D526" t="str">
        <x:v>KG01</x:v>
      </x:c>
      <x:c r="E526" s="62" t="n">
        <x:v>45956</x:v>
      </x:c>
      <x:c r="F526" t="str">
        <x:v>PM</x:v>
      </x:c>
      <x:c r="G526" t="str">
        <x:v>A</x:v>
      </x:c>
      <x:c r="H526" t="n">
        <x:v>21</x:v>
      </x:c>
      <x:c r="I526" t="str">
        <x:v>ORD-2025-00021</x:v>
      </x:c>
      <x:c r="J526" t="n">
        <x:v>5</x:v>
      </x:c>
      <x:c r="K526" t="n">
        <x:v>3</x:v>
      </x:c>
      <x:c r="L526" t="str">
        <x:v>L21-S05-C3</x:v>
      </x:c>
      <x:c r="M526" t="n">
        <x:v>1</x:v>
      </x:c>
      <x:c r="N526" t="str">
        <x:v>DerivedFromCount</x:v>
      </x:c>
      <x:c r="O526" t="str">
        <x:v>PLC-PRD-JAR-330-L21</x:v>
      </x:c>
      <x:c r="P526" t="str">
        <x:v>OK</x:v>
      </x:c>
      <x:c r="Q526" t="str">
        <x:v>OK</x:v>
      </x:c>
      <x:c r="R526" t="str">
        <x:v>OK</x:v>
      </x:c>
      <x:c r="S526" t="str">
        <x:v>OK</x:v>
      </x:c>
      <x:c r="T526" t="n">
        <x:v>30</x:v>
      </x:c>
      <x:c r="U526" t="str">
        <x:v>OK</x:v>
      </x:c>
      <x:c r="V526" t="str">
        <x:v>OK</x:v>
      </x:c>
      <x:c r="W526" t="str">
        <x:v>LOAD</x:v>
      </x:c>
      <x:c r="X526" t="str">
        <x:v>02_Supervisor_Log(4).xlsx</x:v>
      </x:c>
      <x:c r="Y526" t="str">
        <x:v>ENH-20260830-01</x:v>
      </x:c>
      <x:c r="Z526" t="str">
        <x:v>Active</x:v>
      </x:c>
      <x:c r="AA526"/>
      <x:c r="AB526"/>
      <x:c r="AC526"/>
      <x:c r="AD526"/>
    </x:row>
    <x:row r="527">
      <x:c r="A527" t="str">
        <x:v>PCC-PE-KG01-L21-20251026-PM-ORD-2025-00021-S06-C1</x:v>
      </x:c>
      <x:c r="B527" t="str">
        <x:v>PC-PE-KG01-L21-20251026-PM-ORD-2025-00021-S06</x:v>
      </x:c>
      <x:c r="C527" t="str">
        <x:v>PE-KG01-L21-20251026-PM-ORD-2025-00021</x:v>
      </x:c>
      <x:c r="D527" t="str">
        <x:v>KG01</x:v>
      </x:c>
      <x:c r="E527" s="62" t="n">
        <x:v>45956</x:v>
      </x:c>
      <x:c r="F527" t="str">
        <x:v>PM</x:v>
      </x:c>
      <x:c r="G527" t="str">
        <x:v>A</x:v>
      </x:c>
      <x:c r="H527" t="n">
        <x:v>21</x:v>
      </x:c>
      <x:c r="I527" t="str">
        <x:v>ORD-2025-00021</x:v>
      </x:c>
      <x:c r="J527" t="n">
        <x:v>6</x:v>
      </x:c>
      <x:c r="K527" t="n">
        <x:v>1</x:v>
      </x:c>
      <x:c r="L527" t="str">
        <x:v>L21-S06-C1</x:v>
      </x:c>
      <x:c r="M527" t="n">
        <x:v>1</x:v>
      </x:c>
      <x:c r="N527" t="str">
        <x:v>DerivedFromCount</x:v>
      </x:c>
      <x:c r="O527" t="str">
        <x:v>PLC-PRD-JAR-330-L21</x:v>
      </x:c>
      <x:c r="P527" t="str">
        <x:v>OK</x:v>
      </x:c>
      <x:c r="Q527" t="str">
        <x:v>OK</x:v>
      </x:c>
      <x:c r="R527" t="str">
        <x:v>OK</x:v>
      </x:c>
      <x:c r="S527" t="str">
        <x:v>OK</x:v>
      </x:c>
      <x:c r="T527" t="n">
        <x:v>30</x:v>
      </x:c>
      <x:c r="U527" t="str">
        <x:v>OK</x:v>
      </x:c>
      <x:c r="V527" t="str">
        <x:v>OK</x:v>
      </x:c>
      <x:c r="W527" t="str">
        <x:v>LOAD</x:v>
      </x:c>
      <x:c r="X527" t="str">
        <x:v>02_Supervisor_Log(4).xlsx</x:v>
      </x:c>
      <x:c r="Y527" t="str">
        <x:v>ENH-20260830-01</x:v>
      </x:c>
      <x:c r="Z527" t="str">
        <x:v>Active</x:v>
      </x:c>
      <x:c r="AA527"/>
      <x:c r="AB527"/>
      <x:c r="AC527"/>
      <x:c r="AD527"/>
    </x:row>
    <x:row r="528">
      <x:c r="A528" t="str">
        <x:v>PCC-PE-KG01-L21-20251026-PM-ORD-2025-00021-S06-C2</x:v>
      </x:c>
      <x:c r="B528" t="str">
        <x:v>PC-PE-KG01-L21-20251026-PM-ORD-2025-00021-S06</x:v>
      </x:c>
      <x:c r="C528" t="str">
        <x:v>PE-KG01-L21-20251026-PM-ORD-2025-00021</x:v>
      </x:c>
      <x:c r="D528" t="str">
        <x:v>KG01</x:v>
      </x:c>
      <x:c r="E528" s="62" t="n">
        <x:v>45956</x:v>
      </x:c>
      <x:c r="F528" t="str">
        <x:v>PM</x:v>
      </x:c>
      <x:c r="G528" t="str">
        <x:v>A</x:v>
      </x:c>
      <x:c r="H528" t="n">
        <x:v>21</x:v>
      </x:c>
      <x:c r="I528" t="str">
        <x:v>ORD-2025-00021</x:v>
      </x:c>
      <x:c r="J528" t="n">
        <x:v>6</x:v>
      </x:c>
      <x:c r="K528" t="n">
        <x:v>2</x:v>
      </x:c>
      <x:c r="L528" t="str">
        <x:v>L21-S06-C2</x:v>
      </x:c>
      <x:c r="M528" t="n">
        <x:v>1</x:v>
      </x:c>
      <x:c r="N528" t="str">
        <x:v>DerivedFromCount</x:v>
      </x:c>
      <x:c r="O528" t="str">
        <x:v>PLC-PRD-JAR-330-L21</x:v>
      </x:c>
      <x:c r="P528" t="str">
        <x:v>OK</x:v>
      </x:c>
      <x:c r="Q528" t="str">
        <x:v>OK</x:v>
      </x:c>
      <x:c r="R528" t="str">
        <x:v>OK</x:v>
      </x:c>
      <x:c r="S528" t="str">
        <x:v>OK</x:v>
      </x:c>
      <x:c r="T528" t="n">
        <x:v>30</x:v>
      </x:c>
      <x:c r="U528" t="str">
        <x:v>OK</x:v>
      </x:c>
      <x:c r="V528" t="str">
        <x:v>OK</x:v>
      </x:c>
      <x:c r="W528" t="str">
        <x:v>LOAD</x:v>
      </x:c>
      <x:c r="X528" t="str">
        <x:v>02_Supervisor_Log(4).xlsx</x:v>
      </x:c>
      <x:c r="Y528" t="str">
        <x:v>ENH-20260830-01</x:v>
      </x:c>
      <x:c r="Z528" t="str">
        <x:v>Active</x:v>
      </x:c>
      <x:c r="AA528"/>
      <x:c r="AB528"/>
      <x:c r="AC528"/>
      <x:c r="AD528"/>
    </x:row>
    <x:row r="529">
      <x:c r="A529" t="str">
        <x:v>PCC-PE-KG01-L21-20251026-PM-ORD-2025-00021-S06-C3</x:v>
      </x:c>
      <x:c r="B529" t="str">
        <x:v>PC-PE-KG01-L21-20251026-PM-ORD-2025-00021-S06</x:v>
      </x:c>
      <x:c r="C529" t="str">
        <x:v>PE-KG01-L21-20251026-PM-ORD-2025-00021</x:v>
      </x:c>
      <x:c r="D529" t="str">
        <x:v>KG01</x:v>
      </x:c>
      <x:c r="E529" s="62" t="n">
        <x:v>45956</x:v>
      </x:c>
      <x:c r="F529" t="str">
        <x:v>PM</x:v>
      </x:c>
      <x:c r="G529" t="str">
        <x:v>A</x:v>
      </x:c>
      <x:c r="H529" t="n">
        <x:v>21</x:v>
      </x:c>
      <x:c r="I529" t="str">
        <x:v>ORD-2025-00021</x:v>
      </x:c>
      <x:c r="J529" t="n">
        <x:v>6</x:v>
      </x:c>
      <x:c r="K529" t="n">
        <x:v>3</x:v>
      </x:c>
      <x:c r="L529" t="str">
        <x:v>L21-S06-C3</x:v>
      </x:c>
      <x:c r="M529" t="n">
        <x:v>1</x:v>
      </x:c>
      <x:c r="N529" t="str">
        <x:v>DerivedFromCount</x:v>
      </x:c>
      <x:c r="O529" t="str">
        <x:v>PLC-PRD-JAR-330-L21</x:v>
      </x:c>
      <x:c r="P529" t="str">
        <x:v>OK</x:v>
      </x:c>
      <x:c r="Q529" t="str">
        <x:v>OK</x:v>
      </x:c>
      <x:c r="R529" t="str">
        <x:v>OK</x:v>
      </x:c>
      <x:c r="S529" t="str">
        <x:v>OK</x:v>
      </x:c>
      <x:c r="T529" t="n">
        <x:v>30</x:v>
      </x:c>
      <x:c r="U529" t="str">
        <x:v>OK</x:v>
      </x:c>
      <x:c r="V529" t="str">
        <x:v>OK</x:v>
      </x:c>
      <x:c r="W529" t="str">
        <x:v>LOAD</x:v>
      </x:c>
      <x:c r="X529" t="str">
        <x:v>02_Supervisor_Log(4).xlsx</x:v>
      </x:c>
      <x:c r="Y529" t="str">
        <x:v>ENH-20260830-01</x:v>
      </x:c>
      <x:c r="Z529" t="str">
        <x:v>Active</x:v>
      </x:c>
      <x:c r="AA529"/>
      <x:c r="AB529"/>
      <x:c r="AC529"/>
      <x:c r="AD529"/>
    </x:row>
    <x:row r="530">
      <x:c r="A530" t="str">
        <x:v>PCC-PE-KG01-L21-20251026-PM-ORD-2025-00021-S07-C1</x:v>
      </x:c>
      <x:c r="B530" t="str">
        <x:v>PC-PE-KG01-L21-20251026-PM-ORD-2025-00021-S07</x:v>
      </x:c>
      <x:c r="C530" t="str">
        <x:v>PE-KG01-L21-20251026-PM-ORD-2025-00021</x:v>
      </x:c>
      <x:c r="D530" t="str">
        <x:v>KG01</x:v>
      </x:c>
      <x:c r="E530" s="62" t="n">
        <x:v>45956</x:v>
      </x:c>
      <x:c r="F530" t="str">
        <x:v>PM</x:v>
      </x:c>
      <x:c r="G530" t="str">
        <x:v>A</x:v>
      </x:c>
      <x:c r="H530" t="n">
        <x:v>21</x:v>
      </x:c>
      <x:c r="I530" t="str">
        <x:v>ORD-2025-00021</x:v>
      </x:c>
      <x:c r="J530" t="n">
        <x:v>7</x:v>
      </x:c>
      <x:c r="K530" t="n">
        <x:v>1</x:v>
      </x:c>
      <x:c r="L530" t="str">
        <x:v>L21-S07-C1</x:v>
      </x:c>
      <x:c r="M530" t="n">
        <x:v>1</x:v>
      </x:c>
      <x:c r="N530" t="str">
        <x:v>DerivedFromCount</x:v>
      </x:c>
      <x:c r="O530" t="str">
        <x:v>PLC-PRD-JAR-330-L21</x:v>
      </x:c>
      <x:c r="P530" t="str">
        <x:v>OK</x:v>
      </x:c>
      <x:c r="Q530" t="str">
        <x:v>OK</x:v>
      </x:c>
      <x:c r="R530" t="str">
        <x:v>OK</x:v>
      </x:c>
      <x:c r="S530" t="str">
        <x:v>OK</x:v>
      </x:c>
      <x:c r="T530" t="n">
        <x:v>30</x:v>
      </x:c>
      <x:c r="U530" t="str">
        <x:v>OK</x:v>
      </x:c>
      <x:c r="V530" t="str">
        <x:v>OK</x:v>
      </x:c>
      <x:c r="W530" t="str">
        <x:v>LOAD</x:v>
      </x:c>
      <x:c r="X530" t="str">
        <x:v>02_Supervisor_Log(4).xlsx</x:v>
      </x:c>
      <x:c r="Y530" t="str">
        <x:v>ENH-20260830-01</x:v>
      </x:c>
      <x:c r="Z530" t="str">
        <x:v>Active</x:v>
      </x:c>
      <x:c r="AA530"/>
      <x:c r="AB530"/>
      <x:c r="AC530"/>
      <x:c r="AD530"/>
    </x:row>
    <x:row r="531">
      <x:c r="A531" t="str">
        <x:v>PCC-PE-KG01-L21-20251026-PM-ORD-2025-00021-S07-C2</x:v>
      </x:c>
      <x:c r="B531" t="str">
        <x:v>PC-PE-KG01-L21-20251026-PM-ORD-2025-00021-S07</x:v>
      </x:c>
      <x:c r="C531" t="str">
        <x:v>PE-KG01-L21-20251026-PM-ORD-2025-00021</x:v>
      </x:c>
      <x:c r="D531" t="str">
        <x:v>KG01</x:v>
      </x:c>
      <x:c r="E531" s="62" t="n">
        <x:v>45956</x:v>
      </x:c>
      <x:c r="F531" t="str">
        <x:v>PM</x:v>
      </x:c>
      <x:c r="G531" t="str">
        <x:v>A</x:v>
      </x:c>
      <x:c r="H531" t="n">
        <x:v>21</x:v>
      </x:c>
      <x:c r="I531" t="str">
        <x:v>ORD-2025-00021</x:v>
      </x:c>
      <x:c r="J531" t="n">
        <x:v>7</x:v>
      </x:c>
      <x:c r="K531" t="n">
        <x:v>2</x:v>
      </x:c>
      <x:c r="L531" t="str">
        <x:v>L21-S07-C2</x:v>
      </x:c>
      <x:c r="M531" t="n">
        <x:v>1</x:v>
      </x:c>
      <x:c r="N531" t="str">
        <x:v>DerivedFromCount</x:v>
      </x:c>
      <x:c r="O531" t="str">
        <x:v>PLC-PRD-JAR-330-L21</x:v>
      </x:c>
      <x:c r="P531" t="str">
        <x:v>OK</x:v>
      </x:c>
      <x:c r="Q531" t="str">
        <x:v>OK</x:v>
      </x:c>
      <x:c r="R531" t="str">
        <x:v>OK</x:v>
      </x:c>
      <x:c r="S531" t="str">
        <x:v>OK</x:v>
      </x:c>
      <x:c r="T531" t="n">
        <x:v>30</x:v>
      </x:c>
      <x:c r="U531" t="str">
        <x:v>OK</x:v>
      </x:c>
      <x:c r="V531" t="str">
        <x:v>OK</x:v>
      </x:c>
      <x:c r="W531" t="str">
        <x:v>LOAD</x:v>
      </x:c>
      <x:c r="X531" t="str">
        <x:v>02_Supervisor_Log(4).xlsx</x:v>
      </x:c>
      <x:c r="Y531" t="str">
        <x:v>ENH-20260830-01</x:v>
      </x:c>
      <x:c r="Z531" t="str">
        <x:v>Active</x:v>
      </x:c>
      <x:c r="AA531"/>
      <x:c r="AB531"/>
      <x:c r="AC531"/>
      <x:c r="AD531"/>
    </x:row>
    <x:row r="532">
      <x:c r="A532" t="str">
        <x:v>PCC-PE-KG01-L21-20251026-PM-ORD-2025-00021-S07-C3</x:v>
      </x:c>
      <x:c r="B532" t="str">
        <x:v>PC-PE-KG01-L21-20251026-PM-ORD-2025-00021-S07</x:v>
      </x:c>
      <x:c r="C532" t="str">
        <x:v>PE-KG01-L21-20251026-PM-ORD-2025-00021</x:v>
      </x:c>
      <x:c r="D532" t="str">
        <x:v>KG01</x:v>
      </x:c>
      <x:c r="E532" s="62" t="n">
        <x:v>45956</x:v>
      </x:c>
      <x:c r="F532" t="str">
        <x:v>PM</x:v>
      </x:c>
      <x:c r="G532" t="str">
        <x:v>A</x:v>
      </x:c>
      <x:c r="H532" t="n">
        <x:v>21</x:v>
      </x:c>
      <x:c r="I532" t="str">
        <x:v>ORD-2025-00021</x:v>
      </x:c>
      <x:c r="J532" t="n">
        <x:v>7</x:v>
      </x:c>
      <x:c r="K532" t="n">
        <x:v>3</x:v>
      </x:c>
      <x:c r="L532" t="str">
        <x:v>L21-S07-C3</x:v>
      </x:c>
      <x:c r="M532" t="n">
        <x:v>1</x:v>
      </x:c>
      <x:c r="N532" t="str">
        <x:v>DerivedFromCount</x:v>
      </x:c>
      <x:c r="O532" t="str">
        <x:v>PLC-PRD-JAR-330-L21</x:v>
      </x:c>
      <x:c r="P532" t="str">
        <x:v>OK</x:v>
      </x:c>
      <x:c r="Q532" t="str">
        <x:v>OK</x:v>
      </x:c>
      <x:c r="R532" t="str">
        <x:v>OK</x:v>
      </x:c>
      <x:c r="S532" t="str">
        <x:v>OK</x:v>
      </x:c>
      <x:c r="T532" t="n">
        <x:v>30</x:v>
      </x:c>
      <x:c r="U532" t="str">
        <x:v>OK</x:v>
      </x:c>
      <x:c r="V532" t="str">
        <x:v>OK</x:v>
      </x:c>
      <x:c r="W532" t="str">
        <x:v>LOAD</x:v>
      </x:c>
      <x:c r="X532" t="str">
        <x:v>02_Supervisor_Log(4).xlsx</x:v>
      </x:c>
      <x:c r="Y532" t="str">
        <x:v>ENH-20260830-01</x:v>
      </x:c>
      <x:c r="Z532" t="str">
        <x:v>Active</x:v>
      </x:c>
      <x:c r="AA532"/>
      <x:c r="AB532"/>
      <x:c r="AC532"/>
      <x:c r="AD532"/>
    </x:row>
    <x:row r="533">
      <x:c r="A533" t="str">
        <x:v>PCC-PE-KG01-L21-20251026-PM-ORD-2025-00021-S08-C1</x:v>
      </x:c>
      <x:c r="B533" t="str">
        <x:v>PC-PE-KG01-L21-20251026-PM-ORD-2025-00021-S08</x:v>
      </x:c>
      <x:c r="C533" t="str">
        <x:v>PE-KG01-L21-20251026-PM-ORD-2025-00021</x:v>
      </x:c>
      <x:c r="D533" t="str">
        <x:v>KG01</x:v>
      </x:c>
      <x:c r="E533" s="62" t="n">
        <x:v>45956</x:v>
      </x:c>
      <x:c r="F533" t="str">
        <x:v>PM</x:v>
      </x:c>
      <x:c r="G533" t="str">
        <x:v>A</x:v>
      </x:c>
      <x:c r="H533" t="n">
        <x:v>21</x:v>
      </x:c>
      <x:c r="I533" t="str">
        <x:v>ORD-2025-00021</x:v>
      </x:c>
      <x:c r="J533" t="n">
        <x:v>8</x:v>
      </x:c>
      <x:c r="K533" t="n">
        <x:v>1</x:v>
      </x:c>
      <x:c r="L533" t="str">
        <x:v>L21-S08-C1</x:v>
      </x:c>
      <x:c r="M533" t="n">
        <x:v>1</x:v>
      </x:c>
      <x:c r="N533" t="str">
        <x:v>DerivedFromCount</x:v>
      </x:c>
      <x:c r="O533" t="str">
        <x:v>PLC-PRD-JAR-330-L21</x:v>
      </x:c>
      <x:c r="P533" t="str">
        <x:v>OK</x:v>
      </x:c>
      <x:c r="Q533" t="str">
        <x:v>OK</x:v>
      </x:c>
      <x:c r="R533" t="str">
        <x:v>OK</x:v>
      </x:c>
      <x:c r="S533" t="str">
        <x:v>OK</x:v>
      </x:c>
      <x:c r="T533" t="n">
        <x:v>30</x:v>
      </x:c>
      <x:c r="U533" t="str">
        <x:v>OK</x:v>
      </x:c>
      <x:c r="V533" t="str">
        <x:v>OK</x:v>
      </x:c>
      <x:c r="W533" t="str">
        <x:v>LOAD</x:v>
      </x:c>
      <x:c r="X533" t="str">
        <x:v>02_Supervisor_Log(4).xlsx</x:v>
      </x:c>
      <x:c r="Y533" t="str">
        <x:v>ENH-20260830-01</x:v>
      </x:c>
      <x:c r="Z533" t="str">
        <x:v>Active</x:v>
      </x:c>
      <x:c r="AA533"/>
      <x:c r="AB533"/>
      <x:c r="AC533"/>
      <x:c r="AD533"/>
    </x:row>
    <x:row r="534">
      <x:c r="A534" t="str">
        <x:v>PCC-PE-KG01-L21-20251026-PM-ORD-2025-00021-S08-C2</x:v>
      </x:c>
      <x:c r="B534" t="str">
        <x:v>PC-PE-KG01-L21-20251026-PM-ORD-2025-00021-S08</x:v>
      </x:c>
      <x:c r="C534" t="str">
        <x:v>PE-KG01-L21-20251026-PM-ORD-2025-00021</x:v>
      </x:c>
      <x:c r="D534" t="str">
        <x:v>KG01</x:v>
      </x:c>
      <x:c r="E534" s="62" t="n">
        <x:v>45956</x:v>
      </x:c>
      <x:c r="F534" t="str">
        <x:v>PM</x:v>
      </x:c>
      <x:c r="G534" t="str">
        <x:v>A</x:v>
      </x:c>
      <x:c r="H534" t="n">
        <x:v>21</x:v>
      </x:c>
      <x:c r="I534" t="str">
        <x:v>ORD-2025-00021</x:v>
      </x:c>
      <x:c r="J534" t="n">
        <x:v>8</x:v>
      </x:c>
      <x:c r="K534" t="n">
        <x:v>2</x:v>
      </x:c>
      <x:c r="L534" t="str">
        <x:v>L21-S08-C2</x:v>
      </x:c>
      <x:c r="M534" t="n">
        <x:v>1</x:v>
      </x:c>
      <x:c r="N534" t="str">
        <x:v>DerivedFromCount</x:v>
      </x:c>
      <x:c r="O534" t="str">
        <x:v>PLC-PRD-JAR-330-L21</x:v>
      </x:c>
      <x:c r="P534" t="str">
        <x:v>OK</x:v>
      </x:c>
      <x:c r="Q534" t="str">
        <x:v>OK</x:v>
      </x:c>
      <x:c r="R534" t="str">
        <x:v>OK</x:v>
      </x:c>
      <x:c r="S534" t="str">
        <x:v>OK</x:v>
      </x:c>
      <x:c r="T534" t="n">
        <x:v>30</x:v>
      </x:c>
      <x:c r="U534" t="str">
        <x:v>OK</x:v>
      </x:c>
      <x:c r="V534" t="str">
        <x:v>OK</x:v>
      </x:c>
      <x:c r="W534" t="str">
        <x:v>LOAD</x:v>
      </x:c>
      <x:c r="X534" t="str">
        <x:v>02_Supervisor_Log(4).xlsx</x:v>
      </x:c>
      <x:c r="Y534" t="str">
        <x:v>ENH-20260830-01</x:v>
      </x:c>
      <x:c r="Z534" t="str">
        <x:v>Active</x:v>
      </x:c>
      <x:c r="AA534"/>
      <x:c r="AB534"/>
      <x:c r="AC534"/>
      <x:c r="AD534"/>
    </x:row>
    <x:row r="535">
      <x:c r="A535" t="str">
        <x:v>PCC-PE-KG01-L21-20251026-PM-ORD-2025-00021-S08-C3</x:v>
      </x:c>
      <x:c r="B535" t="str">
        <x:v>PC-PE-KG01-L21-20251026-PM-ORD-2025-00021-S08</x:v>
      </x:c>
      <x:c r="C535" t="str">
        <x:v>PE-KG01-L21-20251026-PM-ORD-2025-00021</x:v>
      </x:c>
      <x:c r="D535" t="str">
        <x:v>KG01</x:v>
      </x:c>
      <x:c r="E535" s="62" t="n">
        <x:v>45956</x:v>
      </x:c>
      <x:c r="F535" t="str">
        <x:v>PM</x:v>
      </x:c>
      <x:c r="G535" t="str">
        <x:v>A</x:v>
      </x:c>
      <x:c r="H535" t="n">
        <x:v>21</x:v>
      </x:c>
      <x:c r="I535" t="str">
        <x:v>ORD-2025-00021</x:v>
      </x:c>
      <x:c r="J535" t="n">
        <x:v>8</x:v>
      </x:c>
      <x:c r="K535" t="n">
        <x:v>3</x:v>
      </x:c>
      <x:c r="L535" t="str">
        <x:v>L21-S08-C3</x:v>
      </x:c>
      <x:c r="M535" t="n">
        <x:v>1</x:v>
      </x:c>
      <x:c r="N535" t="str">
        <x:v>DerivedFromCount</x:v>
      </x:c>
      <x:c r="O535" t="str">
        <x:v>PLC-PRD-JAR-330-L21</x:v>
      </x:c>
      <x:c r="P535" t="str">
        <x:v>OK</x:v>
      </x:c>
      <x:c r="Q535" t="str">
        <x:v>OK</x:v>
      </x:c>
      <x:c r="R535" t="str">
        <x:v>OK</x:v>
      </x:c>
      <x:c r="S535" t="str">
        <x:v>OK</x:v>
      </x:c>
      <x:c r="T535" t="n">
        <x:v>30</x:v>
      </x:c>
      <x:c r="U535" t="str">
        <x:v>OK</x:v>
      </x:c>
      <x:c r="V535" t="str">
        <x:v>OK</x:v>
      </x:c>
      <x:c r="W535" t="str">
        <x:v>LOAD</x:v>
      </x:c>
      <x:c r="X535" t="str">
        <x:v>02_Supervisor_Log(4).xlsx</x:v>
      </x:c>
      <x:c r="Y535" t="str">
        <x:v>ENH-20260830-01</x:v>
      </x:c>
      <x:c r="Z535" t="str">
        <x:v>Active</x:v>
      </x:c>
      <x:c r="AA535"/>
      <x:c r="AB535"/>
      <x:c r="AC535"/>
      <x:c r="AD535"/>
    </x:row>
    <x:row r="536">
      <x:c r="A536" t="str">
        <x:v>PCC-PE-KG01-L21-20251026-PM-ORD-2025-00021-S09-C1</x:v>
      </x:c>
      <x:c r="B536" t="str">
        <x:v>PC-PE-KG01-L21-20251026-PM-ORD-2025-00021-S09</x:v>
      </x:c>
      <x:c r="C536" t="str">
        <x:v>PE-KG01-L21-20251026-PM-ORD-2025-00021</x:v>
      </x:c>
      <x:c r="D536" t="str">
        <x:v>KG01</x:v>
      </x:c>
      <x:c r="E536" s="62" t="n">
        <x:v>45956</x:v>
      </x:c>
      <x:c r="F536" t="str">
        <x:v>PM</x:v>
      </x:c>
      <x:c r="G536" t="str">
        <x:v>A</x:v>
      </x:c>
      <x:c r="H536" t="n">
        <x:v>21</x:v>
      </x:c>
      <x:c r="I536" t="str">
        <x:v>ORD-2025-00021</x:v>
      </x:c>
      <x:c r="J536" t="n">
        <x:v>9</x:v>
      </x:c>
      <x:c r="K536" t="n">
        <x:v>1</x:v>
      </x:c>
      <x:c r="L536" t="str">
        <x:v>L21-S09-C1</x:v>
      </x:c>
      <x:c r="M536" t="n">
        <x:v>1</x:v>
      </x:c>
      <x:c r="N536" t="str">
        <x:v>DerivedFromCount</x:v>
      </x:c>
      <x:c r="O536" t="str">
        <x:v>PLC-PRD-JAR-330-L21</x:v>
      </x:c>
      <x:c r="P536" t="str">
        <x:v>OK</x:v>
      </x:c>
      <x:c r="Q536" t="str">
        <x:v>OK</x:v>
      </x:c>
      <x:c r="R536" t="str">
        <x:v>OK</x:v>
      </x:c>
      <x:c r="S536" t="str">
        <x:v>OK</x:v>
      </x:c>
      <x:c r="T536" t="n">
        <x:v>30</x:v>
      </x:c>
      <x:c r="U536" t="str">
        <x:v>OK</x:v>
      </x:c>
      <x:c r="V536" t="str">
        <x:v>OK</x:v>
      </x:c>
      <x:c r="W536" t="str">
        <x:v>LOAD</x:v>
      </x:c>
      <x:c r="X536" t="str">
        <x:v>02_Supervisor_Log(4).xlsx</x:v>
      </x:c>
      <x:c r="Y536" t="str">
        <x:v>ENH-20260830-01</x:v>
      </x:c>
      <x:c r="Z536" t="str">
        <x:v>Active</x:v>
      </x:c>
      <x:c r="AA536"/>
      <x:c r="AB536"/>
      <x:c r="AC536"/>
      <x:c r="AD536"/>
    </x:row>
    <x:row r="537">
      <x:c r="A537" t="str">
        <x:v>PCC-PE-KG01-L21-20251026-PM-ORD-2025-00021-S09-C2</x:v>
      </x:c>
      <x:c r="B537" t="str">
        <x:v>PC-PE-KG01-L21-20251026-PM-ORD-2025-00021-S09</x:v>
      </x:c>
      <x:c r="C537" t="str">
        <x:v>PE-KG01-L21-20251026-PM-ORD-2025-00021</x:v>
      </x:c>
      <x:c r="D537" t="str">
        <x:v>KG01</x:v>
      </x:c>
      <x:c r="E537" s="62" t="n">
        <x:v>45956</x:v>
      </x:c>
      <x:c r="F537" t="str">
        <x:v>PM</x:v>
      </x:c>
      <x:c r="G537" t="str">
        <x:v>A</x:v>
      </x:c>
      <x:c r="H537" t="n">
        <x:v>21</x:v>
      </x:c>
      <x:c r="I537" t="str">
        <x:v>ORD-2025-00021</x:v>
      </x:c>
      <x:c r="J537" t="n">
        <x:v>9</x:v>
      </x:c>
      <x:c r="K537" t="n">
        <x:v>2</x:v>
      </x:c>
      <x:c r="L537" t="str">
        <x:v>L21-S09-C2</x:v>
      </x:c>
      <x:c r="M537" t="n">
        <x:v>1</x:v>
      </x:c>
      <x:c r="N537" t="str">
        <x:v>DerivedFromCount</x:v>
      </x:c>
      <x:c r="O537" t="str">
        <x:v>PLC-PRD-JAR-330-L21</x:v>
      </x:c>
      <x:c r="P537" t="str">
        <x:v>OK</x:v>
      </x:c>
      <x:c r="Q537" t="str">
        <x:v>OK</x:v>
      </x:c>
      <x:c r="R537" t="str">
        <x:v>OK</x:v>
      </x:c>
      <x:c r="S537" t="str">
        <x:v>OK</x:v>
      </x:c>
      <x:c r="T537" t="n">
        <x:v>30</x:v>
      </x:c>
      <x:c r="U537" t="str">
        <x:v>OK</x:v>
      </x:c>
      <x:c r="V537" t="str">
        <x:v>OK</x:v>
      </x:c>
      <x:c r="W537" t="str">
        <x:v>LOAD</x:v>
      </x:c>
      <x:c r="X537" t="str">
        <x:v>02_Supervisor_Log(4).xlsx</x:v>
      </x:c>
      <x:c r="Y537" t="str">
        <x:v>ENH-20260830-01</x:v>
      </x:c>
      <x:c r="Z537" t="str">
        <x:v>Active</x:v>
      </x:c>
      <x:c r="AA537"/>
      <x:c r="AB537"/>
      <x:c r="AC537"/>
      <x:c r="AD537"/>
    </x:row>
    <x:row r="538">
      <x:c r="A538" t="str">
        <x:v>PCC-PE-KG01-L21-20251026-PM-ORD-2025-00021-S09-C3</x:v>
      </x:c>
      <x:c r="B538" t="str">
        <x:v>PC-PE-KG01-L21-20251026-PM-ORD-2025-00021-S09</x:v>
      </x:c>
      <x:c r="C538" t="str">
        <x:v>PE-KG01-L21-20251026-PM-ORD-2025-00021</x:v>
      </x:c>
      <x:c r="D538" t="str">
        <x:v>KG01</x:v>
      </x:c>
      <x:c r="E538" s="62" t="n">
        <x:v>45956</x:v>
      </x:c>
      <x:c r="F538" t="str">
        <x:v>PM</x:v>
      </x:c>
      <x:c r="G538" t="str">
        <x:v>A</x:v>
      </x:c>
      <x:c r="H538" t="n">
        <x:v>21</x:v>
      </x:c>
      <x:c r="I538" t="str">
        <x:v>ORD-2025-00021</x:v>
      </x:c>
      <x:c r="J538" t="n">
        <x:v>9</x:v>
      </x:c>
      <x:c r="K538" t="n">
        <x:v>3</x:v>
      </x:c>
      <x:c r="L538" t="str">
        <x:v>L21-S09-C3</x:v>
      </x:c>
      <x:c r="M538" t="n">
        <x:v>1</x:v>
      </x:c>
      <x:c r="N538" t="str">
        <x:v>DerivedFromCount</x:v>
      </x:c>
      <x:c r="O538" t="str">
        <x:v>PLC-PRD-JAR-330-L21</x:v>
      </x:c>
      <x:c r="P538" t="str">
        <x:v>OK</x:v>
      </x:c>
      <x:c r="Q538" t="str">
        <x:v>OK</x:v>
      </x:c>
      <x:c r="R538" t="str">
        <x:v>OK</x:v>
      </x:c>
      <x:c r="S538" t="str">
        <x:v>OK</x:v>
      </x:c>
      <x:c r="T538" t="n">
        <x:v>30</x:v>
      </x:c>
      <x:c r="U538" t="str">
        <x:v>OK</x:v>
      </x:c>
      <x:c r="V538" t="str">
        <x:v>OK</x:v>
      </x:c>
      <x:c r="W538" t="str">
        <x:v>LOAD</x:v>
      </x:c>
      <x:c r="X538" t="str">
        <x:v>02_Supervisor_Log(4).xlsx</x:v>
      </x:c>
      <x:c r="Y538" t="str">
        <x:v>ENH-20260830-01</x:v>
      </x:c>
      <x:c r="Z538" t="str">
        <x:v>Active</x:v>
      </x:c>
      <x:c r="AA538"/>
      <x:c r="AB538"/>
      <x:c r="AC538"/>
      <x:c r="AD538"/>
    </x:row>
    <x:row r="539">
      <x:c r="A539" t="str">
        <x:v>PCC-PE-KG01-L21-20251026-PM-ORD-2025-00021-S10-C1</x:v>
      </x:c>
      <x:c r="B539" t="str">
        <x:v>PC-PE-KG01-L21-20251026-PM-ORD-2025-00021-S10</x:v>
      </x:c>
      <x:c r="C539" t="str">
        <x:v>PE-KG01-L21-20251026-PM-ORD-2025-00021</x:v>
      </x:c>
      <x:c r="D539" t="str">
        <x:v>KG01</x:v>
      </x:c>
      <x:c r="E539" s="62" t="n">
        <x:v>45956</x:v>
      </x:c>
      <x:c r="F539" t="str">
        <x:v>PM</x:v>
      </x:c>
      <x:c r="G539" t="str">
        <x:v>A</x:v>
      </x:c>
      <x:c r="H539" t="n">
        <x:v>21</x:v>
      </x:c>
      <x:c r="I539" t="str">
        <x:v>ORD-2025-00021</x:v>
      </x:c>
      <x:c r="J539" t="n">
        <x:v>10</x:v>
      </x:c>
      <x:c r="K539" t="n">
        <x:v>1</x:v>
      </x:c>
      <x:c r="L539" t="str">
        <x:v>L21-S10-C1</x:v>
      </x:c>
      <x:c r="M539" t="n">
        <x:v>1</x:v>
      </x:c>
      <x:c r="N539" t="str">
        <x:v>DerivedFromCount</x:v>
      </x:c>
      <x:c r="O539" t="str">
        <x:v>PLC-PRD-JAR-330-L21</x:v>
      </x:c>
      <x:c r="P539" t="str">
        <x:v>OK</x:v>
      </x:c>
      <x:c r="Q539" t="str">
        <x:v>OK</x:v>
      </x:c>
      <x:c r="R539" t="str">
        <x:v>OK</x:v>
      </x:c>
      <x:c r="S539" t="str">
        <x:v>OK</x:v>
      </x:c>
      <x:c r="T539" t="n">
        <x:v>30</x:v>
      </x:c>
      <x:c r="U539" t="str">
        <x:v>OK</x:v>
      </x:c>
      <x:c r="V539" t="str">
        <x:v>OK</x:v>
      </x:c>
      <x:c r="W539" t="str">
        <x:v>LOAD</x:v>
      </x:c>
      <x:c r="X539" t="str">
        <x:v>02_Supervisor_Log(4).xlsx</x:v>
      </x:c>
      <x:c r="Y539" t="str">
        <x:v>ENH-20260830-01</x:v>
      </x:c>
      <x:c r="Z539" t="str">
        <x:v>Active</x:v>
      </x:c>
      <x:c r="AA539"/>
      <x:c r="AB539"/>
      <x:c r="AC539"/>
      <x:c r="AD539"/>
    </x:row>
    <x:row r="540">
      <x:c r="A540" t="str">
        <x:v>PCC-PE-KG01-L21-20251026-PM-ORD-2025-00021-S10-C2</x:v>
      </x:c>
      <x:c r="B540" t="str">
        <x:v>PC-PE-KG01-L21-20251026-PM-ORD-2025-00021-S10</x:v>
      </x:c>
      <x:c r="C540" t="str">
        <x:v>PE-KG01-L21-20251026-PM-ORD-2025-00021</x:v>
      </x:c>
      <x:c r="D540" t="str">
        <x:v>KG01</x:v>
      </x:c>
      <x:c r="E540" s="62" t="n">
        <x:v>45956</x:v>
      </x:c>
      <x:c r="F540" t="str">
        <x:v>PM</x:v>
      </x:c>
      <x:c r="G540" t="str">
        <x:v>A</x:v>
      </x:c>
      <x:c r="H540" t="n">
        <x:v>21</x:v>
      </x:c>
      <x:c r="I540" t="str">
        <x:v>ORD-2025-00021</x:v>
      </x:c>
      <x:c r="J540" t="n">
        <x:v>10</x:v>
      </x:c>
      <x:c r="K540" t="n">
        <x:v>2</x:v>
      </x:c>
      <x:c r="L540" t="str">
        <x:v>L21-S10-C2</x:v>
      </x:c>
      <x:c r="M540" t="n">
        <x:v>1</x:v>
      </x:c>
      <x:c r="N540" t="str">
        <x:v>DerivedFromCount</x:v>
      </x:c>
      <x:c r="O540" t="str">
        <x:v>PLC-PRD-JAR-330-L21</x:v>
      </x:c>
      <x:c r="P540" t="str">
        <x:v>OK</x:v>
      </x:c>
      <x:c r="Q540" t="str">
        <x:v>OK</x:v>
      </x:c>
      <x:c r="R540" t="str">
        <x:v>OK</x:v>
      </x:c>
      <x:c r="S540" t="str">
        <x:v>OK</x:v>
      </x:c>
      <x:c r="T540" t="n">
        <x:v>30</x:v>
      </x:c>
      <x:c r="U540" t="str">
        <x:v>OK</x:v>
      </x:c>
      <x:c r="V540" t="str">
        <x:v>OK</x:v>
      </x:c>
      <x:c r="W540" t="str">
        <x:v>LOAD</x:v>
      </x:c>
      <x:c r="X540" t="str">
        <x:v>02_Supervisor_Log(4).xlsx</x:v>
      </x:c>
      <x:c r="Y540" t="str">
        <x:v>ENH-20260830-01</x:v>
      </x:c>
      <x:c r="Z540" t="str">
        <x:v>Active</x:v>
      </x:c>
      <x:c r="AA540"/>
      <x:c r="AB540"/>
      <x:c r="AC540"/>
      <x:c r="AD540"/>
    </x:row>
    <x:row r="541">
      <x:c r="A541" t="str">
        <x:v>PCC-PE-KG01-L21-20251026-PM-ORD-2025-00021-S10-C3</x:v>
      </x:c>
      <x:c r="B541" t="str">
        <x:v>PC-PE-KG01-L21-20251026-PM-ORD-2025-00021-S10</x:v>
      </x:c>
      <x:c r="C541" t="str">
        <x:v>PE-KG01-L21-20251026-PM-ORD-2025-00021</x:v>
      </x:c>
      <x:c r="D541" t="str">
        <x:v>KG01</x:v>
      </x:c>
      <x:c r="E541" s="62" t="n">
        <x:v>45956</x:v>
      </x:c>
      <x:c r="F541" t="str">
        <x:v>PM</x:v>
      </x:c>
      <x:c r="G541" t="str">
        <x:v>A</x:v>
      </x:c>
      <x:c r="H541" t="n">
        <x:v>21</x:v>
      </x:c>
      <x:c r="I541" t="str">
        <x:v>ORD-2025-00021</x:v>
      </x:c>
      <x:c r="J541" t="n">
        <x:v>10</x:v>
      </x:c>
      <x:c r="K541" t="n">
        <x:v>3</x:v>
      </x:c>
      <x:c r="L541" t="str">
        <x:v>L21-S10-C3</x:v>
      </x:c>
      <x:c r="M541" t="n">
        <x:v>1</x:v>
      </x:c>
      <x:c r="N541" t="str">
        <x:v>DerivedFromCount</x:v>
      </x:c>
      <x:c r="O541" t="str">
        <x:v>PLC-PRD-JAR-330-L21</x:v>
      </x:c>
      <x:c r="P541" t="str">
        <x:v>OK</x:v>
      </x:c>
      <x:c r="Q541" t="str">
        <x:v>OK</x:v>
      </x:c>
      <x:c r="R541" t="str">
        <x:v>OK</x:v>
      </x:c>
      <x:c r="S541" t="str">
        <x:v>OK</x:v>
      </x:c>
      <x:c r="T541" t="n">
        <x:v>30</x:v>
      </x:c>
      <x:c r="U541" t="str">
        <x:v>OK</x:v>
      </x:c>
      <x:c r="V541" t="str">
        <x:v>OK</x:v>
      </x:c>
      <x:c r="W541" t="str">
        <x:v>LOAD</x:v>
      </x:c>
      <x:c r="X541" t="str">
        <x:v>02_Supervisor_Log(4).xlsx</x:v>
      </x:c>
      <x:c r="Y541" t="str">
        <x:v>ENH-20260830-01</x:v>
      </x:c>
      <x:c r="Z541" t="str">
        <x:v>Active</x:v>
      </x:c>
      <x:c r="AA541"/>
      <x:c r="AB541"/>
      <x:c r="AC541"/>
      <x:c r="AD541"/>
    </x:row>
    <x:row r="542">
      <x:c r="A542" t="str">
        <x:v>PCC-PE-KG01-L21-20251026-PM-ORD-2025-00021-S11-C1</x:v>
      </x:c>
      <x:c r="B542" t="str">
        <x:v>PC-PE-KG01-L21-20251026-PM-ORD-2025-00021-S11</x:v>
      </x:c>
      <x:c r="C542" t="str">
        <x:v>PE-KG01-L21-20251026-PM-ORD-2025-00021</x:v>
      </x:c>
      <x:c r="D542" t="str">
        <x:v>KG01</x:v>
      </x:c>
      <x:c r="E542" s="62" t="n">
        <x:v>45956</x:v>
      </x:c>
      <x:c r="F542" t="str">
        <x:v>PM</x:v>
      </x:c>
      <x:c r="G542" t="str">
        <x:v>A</x:v>
      </x:c>
      <x:c r="H542" t="n">
        <x:v>21</x:v>
      </x:c>
      <x:c r="I542" t="str">
        <x:v>ORD-2025-00021</x:v>
      </x:c>
      <x:c r="J542" t="n">
        <x:v>11</x:v>
      </x:c>
      <x:c r="K542" t="n">
        <x:v>1</x:v>
      </x:c>
      <x:c r="L542" t="str">
        <x:v>L21-S11-C1</x:v>
      </x:c>
      <x:c r="M542" t="n">
        <x:v>0</x:v>
      </x:c>
      <x:c r="N542" t="str">
        <x:v>DerivedFromCount</x:v>
      </x:c>
      <x:c r="O542" t="str">
        <x:v>PLC-PRD-JAR-330-L21</x:v>
      </x:c>
      <x:c r="P542" t="str">
        <x:v>OK</x:v>
      </x:c>
      <x:c r="Q542" t="str">
        <x:v>OK</x:v>
      </x:c>
      <x:c r="R542" t="str">
        <x:v>OK</x:v>
      </x:c>
      <x:c r="S542" t="str">
        <x:v>OK</x:v>
      </x:c>
      <x:c r="T542" t="n">
        <x:v>30</x:v>
      </x:c>
      <x:c r="U542" t="str">
        <x:v>OK</x:v>
      </x:c>
      <x:c r="V542" t="str">
        <x:v>OK</x:v>
      </x:c>
      <x:c r="W542" t="str">
        <x:v>LOAD</x:v>
      </x:c>
      <x:c r="X542" t="str">
        <x:v>02_Supervisor_Log(4).xlsx</x:v>
      </x:c>
      <x:c r="Y542" t="str">
        <x:v>ENH-20260830-01</x:v>
      </x:c>
      <x:c r="Z542" t="str">
        <x:v>Active</x:v>
      </x:c>
      <x:c r="AA542"/>
      <x:c r="AB542"/>
      <x:c r="AC542"/>
      <x:c r="AD542"/>
    </x:row>
    <x:row r="543">
      <x:c r="A543" t="str">
        <x:v>PCC-PE-KG01-L21-20251026-PM-ORD-2025-00021-S11-C2</x:v>
      </x:c>
      <x:c r="B543" t="str">
        <x:v>PC-PE-KG01-L21-20251026-PM-ORD-2025-00021-S11</x:v>
      </x:c>
      <x:c r="C543" t="str">
        <x:v>PE-KG01-L21-20251026-PM-ORD-2025-00021</x:v>
      </x:c>
      <x:c r="D543" t="str">
        <x:v>KG01</x:v>
      </x:c>
      <x:c r="E543" s="62" t="n">
        <x:v>45956</x:v>
      </x:c>
      <x:c r="F543" t="str">
        <x:v>PM</x:v>
      </x:c>
      <x:c r="G543" t="str">
        <x:v>A</x:v>
      </x:c>
      <x:c r="H543" t="n">
        <x:v>21</x:v>
      </x:c>
      <x:c r="I543" t="str">
        <x:v>ORD-2025-00021</x:v>
      </x:c>
      <x:c r="J543" t="n">
        <x:v>11</x:v>
      </x:c>
      <x:c r="K543" t="n">
        <x:v>2</x:v>
      </x:c>
      <x:c r="L543" t="str">
        <x:v>L21-S11-C2</x:v>
      </x:c>
      <x:c r="M543" t="n">
        <x:v>0</x:v>
      </x:c>
      <x:c r="N543" t="str">
        <x:v>DerivedFromCount</x:v>
      </x:c>
      <x:c r="O543" t="str">
        <x:v>PLC-PRD-JAR-330-L21</x:v>
      </x:c>
      <x:c r="P543" t="str">
        <x:v>OK</x:v>
      </x:c>
      <x:c r="Q543" t="str">
        <x:v>OK</x:v>
      </x:c>
      <x:c r="R543" t="str">
        <x:v>OK</x:v>
      </x:c>
      <x:c r="S543" t="str">
        <x:v>OK</x:v>
      </x:c>
      <x:c r="T543" t="n">
        <x:v>30</x:v>
      </x:c>
      <x:c r="U543" t="str">
        <x:v>OK</x:v>
      </x:c>
      <x:c r="V543" t="str">
        <x:v>OK</x:v>
      </x:c>
      <x:c r="W543" t="str">
        <x:v>LOAD</x:v>
      </x:c>
      <x:c r="X543" t="str">
        <x:v>02_Supervisor_Log(4).xlsx</x:v>
      </x:c>
      <x:c r="Y543" t="str">
        <x:v>ENH-20260830-01</x:v>
      </x:c>
      <x:c r="Z543" t="str">
        <x:v>Active</x:v>
      </x:c>
      <x:c r="AA543"/>
      <x:c r="AB543"/>
      <x:c r="AC543"/>
      <x:c r="AD543"/>
    </x:row>
    <x:row r="544">
      <x:c r="A544" t="str">
        <x:v>PCC-PE-KG01-L21-20251026-PM-ORD-2025-00021-S11-C3</x:v>
      </x:c>
      <x:c r="B544" t="str">
        <x:v>PC-PE-KG01-L21-20251026-PM-ORD-2025-00021-S11</x:v>
      </x:c>
      <x:c r="C544" t="str">
        <x:v>PE-KG01-L21-20251026-PM-ORD-2025-00021</x:v>
      </x:c>
      <x:c r="D544" t="str">
        <x:v>KG01</x:v>
      </x:c>
      <x:c r="E544" s="62" t="n">
        <x:v>45956</x:v>
      </x:c>
      <x:c r="F544" t="str">
        <x:v>PM</x:v>
      </x:c>
      <x:c r="G544" t="str">
        <x:v>A</x:v>
      </x:c>
      <x:c r="H544" t="n">
        <x:v>21</x:v>
      </x:c>
      <x:c r="I544" t="str">
        <x:v>ORD-2025-00021</x:v>
      </x:c>
      <x:c r="J544" t="n">
        <x:v>11</x:v>
      </x:c>
      <x:c r="K544" t="n">
        <x:v>3</x:v>
      </x:c>
      <x:c r="L544" t="str">
        <x:v>L21-S11-C3</x:v>
      </x:c>
      <x:c r="M544" t="n">
        <x:v>0</x:v>
      </x:c>
      <x:c r="N544" t="str">
        <x:v>DerivedFromCount</x:v>
      </x:c>
      <x:c r="O544" t="str">
        <x:v>PLC-PRD-JAR-330-L21</x:v>
      </x:c>
      <x:c r="P544" t="str">
        <x:v>OK</x:v>
      </x:c>
      <x:c r="Q544" t="str">
        <x:v>OK</x:v>
      </x:c>
      <x:c r="R544" t="str">
        <x:v>OK</x:v>
      </x:c>
      <x:c r="S544" t="str">
        <x:v>OK</x:v>
      </x:c>
      <x:c r="T544" t="n">
        <x:v>30</x:v>
      </x:c>
      <x:c r="U544" t="str">
        <x:v>OK</x:v>
      </x:c>
      <x:c r="V544" t="str">
        <x:v>OK</x:v>
      </x:c>
      <x:c r="W544" t="str">
        <x:v>LOAD</x:v>
      </x:c>
      <x:c r="X544" t="str">
        <x:v>02_Supervisor_Log(4).xlsx</x:v>
      </x:c>
      <x:c r="Y544" t="str">
        <x:v>ENH-20260830-01</x:v>
      </x:c>
      <x:c r="Z544" t="str">
        <x:v>Active</x:v>
      </x:c>
      <x:c r="AA544"/>
      <x:c r="AB544"/>
      <x:c r="AC544"/>
      <x:c r="AD544"/>
    </x:row>
    <x:row r="545">
      <x:c r="A545" t="str">
        <x:v>PCC-PE-KG01-L21-20251026-PM-ORD-2025-00021-S12-C1</x:v>
      </x:c>
      <x:c r="B545" t="str">
        <x:v>PC-PE-KG01-L21-20251026-PM-ORD-2025-00021-S12</x:v>
      </x:c>
      <x:c r="C545" t="str">
        <x:v>PE-KG01-L21-20251026-PM-ORD-2025-00021</x:v>
      </x:c>
      <x:c r="D545" t="str">
        <x:v>KG01</x:v>
      </x:c>
      <x:c r="E545" s="62" t="n">
        <x:v>45956</x:v>
      </x:c>
      <x:c r="F545" t="str">
        <x:v>PM</x:v>
      </x:c>
      <x:c r="G545" t="str">
        <x:v>A</x:v>
      </x:c>
      <x:c r="H545" t="n">
        <x:v>21</x:v>
      </x:c>
      <x:c r="I545" t="str">
        <x:v>ORD-2025-00021</x:v>
      </x:c>
      <x:c r="J545" t="n">
        <x:v>12</x:v>
      </x:c>
      <x:c r="K545" t="n">
        <x:v>1</x:v>
      </x:c>
      <x:c r="L545" t="str">
        <x:v>L21-S12-C1</x:v>
      </x:c>
      <x:c r="M545" t="n">
        <x:v>0</x:v>
      </x:c>
      <x:c r="N545" t="str">
        <x:v>DerivedFromCount</x:v>
      </x:c>
      <x:c r="O545" t="str">
        <x:v>PLC-PRD-JAR-330-L21</x:v>
      </x:c>
      <x:c r="P545" t="str">
        <x:v>OK</x:v>
      </x:c>
      <x:c r="Q545" t="str">
        <x:v>OK</x:v>
      </x:c>
      <x:c r="R545" t="str">
        <x:v>OK</x:v>
      </x:c>
      <x:c r="S545" t="str">
        <x:v>OK</x:v>
      </x:c>
      <x:c r="T545" t="n">
        <x:v>30</x:v>
      </x:c>
      <x:c r="U545" t="str">
        <x:v>OK</x:v>
      </x:c>
      <x:c r="V545" t="str">
        <x:v>OK</x:v>
      </x:c>
      <x:c r="W545" t="str">
        <x:v>LOAD</x:v>
      </x:c>
      <x:c r="X545" t="str">
        <x:v>02_Supervisor_Log(4).xlsx</x:v>
      </x:c>
      <x:c r="Y545" t="str">
        <x:v>ENH-20260830-01</x:v>
      </x:c>
      <x:c r="Z545" t="str">
        <x:v>Active</x:v>
      </x:c>
      <x:c r="AA545"/>
      <x:c r="AB545"/>
      <x:c r="AC545"/>
      <x:c r="AD545"/>
    </x:row>
    <x:row r="546">
      <x:c r="A546" t="str">
        <x:v>PCC-PE-KG01-L21-20251026-PM-ORD-2025-00021-S12-C2</x:v>
      </x:c>
      <x:c r="B546" t="str">
        <x:v>PC-PE-KG01-L21-20251026-PM-ORD-2025-00021-S12</x:v>
      </x:c>
      <x:c r="C546" t="str">
        <x:v>PE-KG01-L21-20251026-PM-ORD-2025-00021</x:v>
      </x:c>
      <x:c r="D546" t="str">
        <x:v>KG01</x:v>
      </x:c>
      <x:c r="E546" s="62" t="n">
        <x:v>45956</x:v>
      </x:c>
      <x:c r="F546" t="str">
        <x:v>PM</x:v>
      </x:c>
      <x:c r="G546" t="str">
        <x:v>A</x:v>
      </x:c>
      <x:c r="H546" t="n">
        <x:v>21</x:v>
      </x:c>
      <x:c r="I546" t="str">
        <x:v>ORD-2025-00021</x:v>
      </x:c>
      <x:c r="J546" t="n">
        <x:v>12</x:v>
      </x:c>
      <x:c r="K546" t="n">
        <x:v>2</x:v>
      </x:c>
      <x:c r="L546" t="str">
        <x:v>L21-S12-C2</x:v>
      </x:c>
      <x:c r="M546" t="n">
        <x:v>0</x:v>
      </x:c>
      <x:c r="N546" t="str">
        <x:v>DerivedFromCount</x:v>
      </x:c>
      <x:c r="O546" t="str">
        <x:v>PLC-PRD-JAR-330-L21</x:v>
      </x:c>
      <x:c r="P546" t="str">
        <x:v>OK</x:v>
      </x:c>
      <x:c r="Q546" t="str">
        <x:v>OK</x:v>
      </x:c>
      <x:c r="R546" t="str">
        <x:v>OK</x:v>
      </x:c>
      <x:c r="S546" t="str">
        <x:v>OK</x:v>
      </x:c>
      <x:c r="T546" t="n">
        <x:v>30</x:v>
      </x:c>
      <x:c r="U546" t="str">
        <x:v>OK</x:v>
      </x:c>
      <x:c r="V546" t="str">
        <x:v>OK</x:v>
      </x:c>
      <x:c r="W546" t="str">
        <x:v>LOAD</x:v>
      </x:c>
      <x:c r="X546" t="str">
        <x:v>02_Supervisor_Log(4).xlsx</x:v>
      </x:c>
      <x:c r="Y546" t="str">
        <x:v>ENH-20260830-01</x:v>
      </x:c>
      <x:c r="Z546" t="str">
        <x:v>Active</x:v>
      </x:c>
      <x:c r="AA546"/>
      <x:c r="AB546"/>
      <x:c r="AC546"/>
      <x:c r="AD546"/>
    </x:row>
    <x:row r="547">
      <x:c r="A547" t="str">
        <x:v>PCC-PE-KG01-L21-20251026-PM-ORD-2025-00021-S12-C3</x:v>
      </x:c>
      <x:c r="B547" t="str">
        <x:v>PC-PE-KG01-L21-20251026-PM-ORD-2025-00021-S12</x:v>
      </x:c>
      <x:c r="C547" t="str">
        <x:v>PE-KG01-L21-20251026-PM-ORD-2025-00021</x:v>
      </x:c>
      <x:c r="D547" t="str">
        <x:v>KG01</x:v>
      </x:c>
      <x:c r="E547" s="62" t="n">
        <x:v>45956</x:v>
      </x:c>
      <x:c r="F547" t="str">
        <x:v>PM</x:v>
      </x:c>
      <x:c r="G547" t="str">
        <x:v>A</x:v>
      </x:c>
      <x:c r="H547" t="n">
        <x:v>21</x:v>
      </x:c>
      <x:c r="I547" t="str">
        <x:v>ORD-2025-00021</x:v>
      </x:c>
      <x:c r="J547" t="n">
        <x:v>12</x:v>
      </x:c>
      <x:c r="K547" t="n">
        <x:v>3</x:v>
      </x:c>
      <x:c r="L547" t="str">
        <x:v>L21-S12-C3</x:v>
      </x:c>
      <x:c r="M547" t="n">
        <x:v>0</x:v>
      </x:c>
      <x:c r="N547" t="str">
        <x:v>DerivedFromCount</x:v>
      </x:c>
      <x:c r="O547" t="str">
        <x:v>PLC-PRD-JAR-330-L21</x:v>
      </x:c>
      <x:c r="P547" t="str">
        <x:v>OK</x:v>
      </x:c>
      <x:c r="Q547" t="str">
        <x:v>OK</x:v>
      </x:c>
      <x:c r="R547" t="str">
        <x:v>OK</x:v>
      </x:c>
      <x:c r="S547" t="str">
        <x:v>OK</x:v>
      </x:c>
      <x:c r="T547" t="n">
        <x:v>30</x:v>
      </x:c>
      <x:c r="U547" t="str">
        <x:v>OK</x:v>
      </x:c>
      <x:c r="V547" t="str">
        <x:v>OK</x:v>
      </x:c>
      <x:c r="W547" t="str">
        <x:v>LOAD</x:v>
      </x:c>
      <x:c r="X547" t="str">
        <x:v>02_Supervisor_Log(4).xlsx</x:v>
      </x:c>
      <x:c r="Y547" t="str">
        <x:v>ENH-20260830-01</x:v>
      </x:c>
      <x:c r="Z547" t="str">
        <x:v>Active</x:v>
      </x:c>
      <x:c r="AA547"/>
      <x:c r="AB547"/>
      <x:c r="AC547"/>
      <x:c r="AD547"/>
    </x:row>
    <x:row r="548">
      <x:c r="A548" t="str">
        <x:v>PCC-PE-KG01-L21-20251026-PM-ORD-2025-00021-S13-C1</x:v>
      </x:c>
      <x:c r="B548" t="str">
        <x:v>PC-PE-KG01-L21-20251026-PM-ORD-2025-00021-S13</x:v>
      </x:c>
      <x:c r="C548" t="str">
        <x:v>PE-KG01-L21-20251026-PM-ORD-2025-00021</x:v>
      </x:c>
      <x:c r="D548" t="str">
        <x:v>KG01</x:v>
      </x:c>
      <x:c r="E548" s="62" t="n">
        <x:v>45956</x:v>
      </x:c>
      <x:c r="F548" t="str">
        <x:v>PM</x:v>
      </x:c>
      <x:c r="G548" t="str">
        <x:v>A</x:v>
      </x:c>
      <x:c r="H548" t="n">
        <x:v>21</x:v>
      </x:c>
      <x:c r="I548" t="str">
        <x:v>ORD-2025-00021</x:v>
      </x:c>
      <x:c r="J548" t="n">
        <x:v>13</x:v>
      </x:c>
      <x:c r="K548" t="n">
        <x:v>1</x:v>
      </x:c>
      <x:c r="L548" t="str">
        <x:v>L21-S13-C1</x:v>
      </x:c>
      <x:c r="M548" t="n">
        <x:v>0</x:v>
      </x:c>
      <x:c r="N548" t="str">
        <x:v>DerivedFromCount</x:v>
      </x:c>
      <x:c r="O548" t="str">
        <x:v>PLC-PRD-JAR-330-L21</x:v>
      </x:c>
      <x:c r="P548" t="str">
        <x:v>OK</x:v>
      </x:c>
      <x:c r="Q548" t="str">
        <x:v>OK</x:v>
      </x:c>
      <x:c r="R548" t="str">
        <x:v>OK</x:v>
      </x:c>
      <x:c r="S548" t="str">
        <x:v>OK</x:v>
      </x:c>
      <x:c r="T548" t="n">
        <x:v>30</x:v>
      </x:c>
      <x:c r="U548" t="str">
        <x:v>OK</x:v>
      </x:c>
      <x:c r="V548" t="str">
        <x:v>OK</x:v>
      </x:c>
      <x:c r="W548" t="str">
        <x:v>LOAD</x:v>
      </x:c>
      <x:c r="X548" t="str">
        <x:v>02_Supervisor_Log(4).xlsx</x:v>
      </x:c>
      <x:c r="Y548" t="str">
        <x:v>ENH-20260830-01</x:v>
      </x:c>
      <x:c r="Z548" t="str">
        <x:v>Active</x:v>
      </x:c>
      <x:c r="AA548"/>
      <x:c r="AB548"/>
      <x:c r="AC548"/>
      <x:c r="AD548"/>
    </x:row>
    <x:row r="549">
      <x:c r="A549" t="str">
        <x:v>PCC-PE-KG01-L21-20251026-PM-ORD-2025-00021-S13-C2</x:v>
      </x:c>
      <x:c r="B549" t="str">
        <x:v>PC-PE-KG01-L21-20251026-PM-ORD-2025-00021-S13</x:v>
      </x:c>
      <x:c r="C549" t="str">
        <x:v>PE-KG01-L21-20251026-PM-ORD-2025-00021</x:v>
      </x:c>
      <x:c r="D549" t="str">
        <x:v>KG01</x:v>
      </x:c>
      <x:c r="E549" s="62" t="n">
        <x:v>45956</x:v>
      </x:c>
      <x:c r="F549" t="str">
        <x:v>PM</x:v>
      </x:c>
      <x:c r="G549" t="str">
        <x:v>A</x:v>
      </x:c>
      <x:c r="H549" t="n">
        <x:v>21</x:v>
      </x:c>
      <x:c r="I549" t="str">
        <x:v>ORD-2025-00021</x:v>
      </x:c>
      <x:c r="J549" t="n">
        <x:v>13</x:v>
      </x:c>
      <x:c r="K549" t="n">
        <x:v>2</x:v>
      </x:c>
      <x:c r="L549" t="str">
        <x:v>L21-S13-C2</x:v>
      </x:c>
      <x:c r="M549" t="n">
        <x:v>0</x:v>
      </x:c>
      <x:c r="N549" t="str">
        <x:v>DerivedFromCount</x:v>
      </x:c>
      <x:c r="O549" t="str">
        <x:v>PLC-PRD-JAR-330-L21</x:v>
      </x:c>
      <x:c r="P549" t="str">
        <x:v>OK</x:v>
      </x:c>
      <x:c r="Q549" t="str">
        <x:v>OK</x:v>
      </x:c>
      <x:c r="R549" t="str">
        <x:v>OK</x:v>
      </x:c>
      <x:c r="S549" t="str">
        <x:v>OK</x:v>
      </x:c>
      <x:c r="T549" t="n">
        <x:v>30</x:v>
      </x:c>
      <x:c r="U549" t="str">
        <x:v>OK</x:v>
      </x:c>
      <x:c r="V549" t="str">
        <x:v>OK</x:v>
      </x:c>
      <x:c r="W549" t="str">
        <x:v>LOAD</x:v>
      </x:c>
      <x:c r="X549" t="str">
        <x:v>02_Supervisor_Log(4).xlsx</x:v>
      </x:c>
      <x:c r="Y549" t="str">
        <x:v>ENH-20260830-01</x:v>
      </x:c>
      <x:c r="Z549" t="str">
        <x:v>Active</x:v>
      </x:c>
      <x:c r="AA549"/>
      <x:c r="AB549"/>
      <x:c r="AC549"/>
      <x:c r="AD549"/>
    </x:row>
    <x:row r="550">
      <x:c r="A550" t="str">
        <x:v>PCC-PE-KG01-L21-20251026-PM-ORD-2025-00021-S13-C3</x:v>
      </x:c>
      <x:c r="B550" t="str">
        <x:v>PC-PE-KG01-L21-20251026-PM-ORD-2025-00021-S13</x:v>
      </x:c>
      <x:c r="C550" t="str">
        <x:v>PE-KG01-L21-20251026-PM-ORD-2025-00021</x:v>
      </x:c>
      <x:c r="D550" t="str">
        <x:v>KG01</x:v>
      </x:c>
      <x:c r="E550" s="62" t="n">
        <x:v>45956</x:v>
      </x:c>
      <x:c r="F550" t="str">
        <x:v>PM</x:v>
      </x:c>
      <x:c r="G550" t="str">
        <x:v>A</x:v>
      </x:c>
      <x:c r="H550" t="n">
        <x:v>21</x:v>
      </x:c>
      <x:c r="I550" t="str">
        <x:v>ORD-2025-00021</x:v>
      </x:c>
      <x:c r="J550" t="n">
        <x:v>13</x:v>
      </x:c>
      <x:c r="K550" t="n">
        <x:v>3</x:v>
      </x:c>
      <x:c r="L550" t="str">
        <x:v>L21-S13-C3</x:v>
      </x:c>
      <x:c r="M550" t="n">
        <x:v>0</x:v>
      </x:c>
      <x:c r="N550" t="str">
        <x:v>DerivedFromCount</x:v>
      </x:c>
      <x:c r="O550" t="str">
        <x:v>PLC-PRD-JAR-330-L21</x:v>
      </x:c>
      <x:c r="P550" t="str">
        <x:v>OK</x:v>
      </x:c>
      <x:c r="Q550" t="str">
        <x:v>OK</x:v>
      </x:c>
      <x:c r="R550" t="str">
        <x:v>OK</x:v>
      </x:c>
      <x:c r="S550" t="str">
        <x:v>OK</x:v>
      </x:c>
      <x:c r="T550" t="n">
        <x:v>30</x:v>
      </x:c>
      <x:c r="U550" t="str">
        <x:v>OK</x:v>
      </x:c>
      <x:c r="V550" t="str">
        <x:v>OK</x:v>
      </x:c>
      <x:c r="W550" t="str">
        <x:v>LOAD</x:v>
      </x:c>
      <x:c r="X550" t="str">
        <x:v>02_Supervisor_Log(4).xlsx</x:v>
      </x:c>
      <x:c r="Y550" t="str">
        <x:v>ENH-20260830-01</x:v>
      </x:c>
      <x:c r="Z550" t="str">
        <x:v>Active</x:v>
      </x:c>
      <x:c r="AA550"/>
      <x:c r="AB550"/>
      <x:c r="AC550"/>
      <x:c r="AD550"/>
    </x:row>
    <x:row r="551">
      <x:c r="A551" t="str">
        <x:v>PCC-PE-KG01-L22-20251020-AM-ORD-2025-00056-S01-C1</x:v>
      </x:c>
      <x:c r="B551" t="str">
        <x:v>PC-PE-KG01-L22-20251020-AM-ORD-2025-00056-S01</x:v>
      </x:c>
      <x:c r="C551" t="str">
        <x:v>PE-KG01-L22-20251020-AM-ORD-2025-00056</x:v>
      </x:c>
      <x:c r="D551" t="str">
        <x:v>KG01</x:v>
      </x:c>
      <x:c r="E551" s="62" t="n">
        <x:v>45950</x:v>
      </x:c>
      <x:c r="F551" t="str">
        <x:v>AM</x:v>
      </x:c>
      <x:c r="G551" t="str">
        <x:v>C</x:v>
      </x:c>
      <x:c r="H551" t="n">
        <x:v>22</x:v>
      </x:c>
      <x:c r="I551" t="str">
        <x:v>ORD-2025-00056</x:v>
      </x:c>
      <x:c r="J551" t="n">
        <x:v>1</x:v>
      </x:c>
      <x:c r="K551" t="n">
        <x:v>1</x:v>
      </x:c>
      <x:c r="L551" t="str">
        <x:v>L22-S01-C1</x:v>
      </x:c>
      <x:c r="M551" t="n">
        <x:v>1</x:v>
      </x:c>
      <x:c r="N551" t="str">
        <x:v>DerivedFromCount</x:v>
      </x:c>
      <x:c r="O551" t="str">
        <x:v>PLC-PRD-JAR-720-L22</x:v>
      </x:c>
      <x:c r="P551" t="str">
        <x:v>OK</x:v>
      </x:c>
      <x:c r="Q551" t="str">
        <x:v>OK</x:v>
      </x:c>
      <x:c r="R551" t="str">
        <x:v>OK</x:v>
      </x:c>
      <x:c r="S551" t="str">
        <x:v>OK</x:v>
      </x:c>
      <x:c r="T551" t="n">
        <x:v>20</x:v>
      </x:c>
      <x:c r="U551" t="str">
        <x:v>OK</x:v>
      </x:c>
      <x:c r="V551" t="str">
        <x:v>OK</x:v>
      </x:c>
      <x:c r="W551" t="str">
        <x:v>LOAD</x:v>
      </x:c>
      <x:c r="X551" t="str">
        <x:v>02_Supervisor_Log(4).xlsx</x:v>
      </x:c>
      <x:c r="Y551" t="str">
        <x:v>ENH-20260830-01</x:v>
      </x:c>
      <x:c r="Z551" t="str">
        <x:v>Active</x:v>
      </x:c>
      <x:c r="AA551"/>
      <x:c r="AB551"/>
      <x:c r="AC551"/>
      <x:c r="AD551"/>
    </x:row>
    <x:row r="552">
      <x:c r="A552" t="str">
        <x:v>PCC-PE-KG01-L22-20251020-AM-ORD-2025-00056-S01-C2</x:v>
      </x:c>
      <x:c r="B552" t="str">
        <x:v>PC-PE-KG01-L22-20251020-AM-ORD-2025-00056-S01</x:v>
      </x:c>
      <x:c r="C552" t="str">
        <x:v>PE-KG01-L22-20251020-AM-ORD-2025-00056</x:v>
      </x:c>
      <x:c r="D552" t="str">
        <x:v>KG01</x:v>
      </x:c>
      <x:c r="E552" s="62" t="n">
        <x:v>45950</x:v>
      </x:c>
      <x:c r="F552" t="str">
        <x:v>AM</x:v>
      </x:c>
      <x:c r="G552" t="str">
        <x:v>C</x:v>
      </x:c>
      <x:c r="H552" t="n">
        <x:v>22</x:v>
      </x:c>
      <x:c r="I552" t="str">
        <x:v>ORD-2025-00056</x:v>
      </x:c>
      <x:c r="J552" t="n">
        <x:v>1</x:v>
      </x:c>
      <x:c r="K552" t="n">
        <x:v>2</x:v>
      </x:c>
      <x:c r="L552" t="str">
        <x:v>L22-S01-C2</x:v>
      </x:c>
      <x:c r="M552" t="n">
        <x:v>1</x:v>
      </x:c>
      <x:c r="N552" t="str">
        <x:v>DerivedFromCount</x:v>
      </x:c>
      <x:c r="O552" t="str">
        <x:v>PLC-PRD-JAR-720-L22</x:v>
      </x:c>
      <x:c r="P552" t="str">
        <x:v>OK</x:v>
      </x:c>
      <x:c r="Q552" t="str">
        <x:v>OK</x:v>
      </x:c>
      <x:c r="R552" t="str">
        <x:v>OK</x:v>
      </x:c>
      <x:c r="S552" t="str">
        <x:v>OK</x:v>
      </x:c>
      <x:c r="T552" t="n">
        <x:v>20</x:v>
      </x:c>
      <x:c r="U552" t="str">
        <x:v>OK</x:v>
      </x:c>
      <x:c r="V552" t="str">
        <x:v>OK</x:v>
      </x:c>
      <x:c r="W552" t="str">
        <x:v>LOAD</x:v>
      </x:c>
      <x:c r="X552" t="str">
        <x:v>02_Supervisor_Log(4).xlsx</x:v>
      </x:c>
      <x:c r="Y552" t="str">
        <x:v>ENH-20260830-01</x:v>
      </x:c>
      <x:c r="Z552" t="str">
        <x:v>Active</x:v>
      </x:c>
      <x:c r="AA552"/>
      <x:c r="AB552"/>
      <x:c r="AC552"/>
      <x:c r="AD552"/>
    </x:row>
    <x:row r="553">
      <x:c r="A553" t="str">
        <x:v>PCC-PE-KG01-L22-20251020-AM-ORD-2025-00056-S01-C3</x:v>
      </x:c>
      <x:c r="B553" t="str">
        <x:v>PC-PE-KG01-L22-20251020-AM-ORD-2025-00056-S01</x:v>
      </x:c>
      <x:c r="C553" t="str">
        <x:v>PE-KG01-L22-20251020-AM-ORD-2025-00056</x:v>
      </x:c>
      <x:c r="D553" t="str">
        <x:v>KG01</x:v>
      </x:c>
      <x:c r="E553" s="62" t="n">
        <x:v>45950</x:v>
      </x:c>
      <x:c r="F553" t="str">
        <x:v>AM</x:v>
      </x:c>
      <x:c r="G553" t="str">
        <x:v>C</x:v>
      </x:c>
      <x:c r="H553" t="n">
        <x:v>22</x:v>
      </x:c>
      <x:c r="I553" t="str">
        <x:v>ORD-2025-00056</x:v>
      </x:c>
      <x:c r="J553" t="n">
        <x:v>1</x:v>
      </x:c>
      <x:c r="K553" t="n">
        <x:v>3</x:v>
      </x:c>
      <x:c r="L553" t="str">
        <x:v>L22-S01-C3</x:v>
      </x:c>
      <x:c r="M553" t="n">
        <x:v>0</x:v>
      </x:c>
      <x:c r="N553" t="str">
        <x:v>DerivedFromCount</x:v>
      </x:c>
      <x:c r="O553" t="str">
        <x:v>PLC-PRD-JAR-720-L22</x:v>
      </x:c>
      <x:c r="P553" t="str">
        <x:v>OK</x:v>
      </x:c>
      <x:c r="Q553" t="str">
        <x:v>OK</x:v>
      </x:c>
      <x:c r="R553" t="str">
        <x:v>OK</x:v>
      </x:c>
      <x:c r="S553" t="str">
        <x:v>OK</x:v>
      </x:c>
      <x:c r="T553" t="n">
        <x:v>20</x:v>
      </x:c>
      <x:c r="U553" t="str">
        <x:v>OK</x:v>
      </x:c>
      <x:c r="V553" t="str">
        <x:v>OK</x:v>
      </x:c>
      <x:c r="W553" t="str">
        <x:v>LOAD</x:v>
      </x:c>
      <x:c r="X553" t="str">
        <x:v>02_Supervisor_Log(4).xlsx</x:v>
      </x:c>
      <x:c r="Y553" t="str">
        <x:v>ENH-20260830-01</x:v>
      </x:c>
      <x:c r="Z553" t="str">
        <x:v>Active</x:v>
      </x:c>
      <x:c r="AA553"/>
      <x:c r="AB553"/>
      <x:c r="AC553"/>
      <x:c r="AD553"/>
    </x:row>
    <x:row r="554">
      <x:c r="A554" t="str">
        <x:v>PCC-PE-KG01-L22-20251020-AM-ORD-2025-00056-S02-C1</x:v>
      </x:c>
      <x:c r="B554" t="str">
        <x:v>PC-PE-KG01-L22-20251020-AM-ORD-2025-00056-S02</x:v>
      </x:c>
      <x:c r="C554" t="str">
        <x:v>PE-KG01-L22-20251020-AM-ORD-2025-00056</x:v>
      </x:c>
      <x:c r="D554" t="str">
        <x:v>KG01</x:v>
      </x:c>
      <x:c r="E554" s="62" t="n">
        <x:v>45950</x:v>
      </x:c>
      <x:c r="F554" t="str">
        <x:v>AM</x:v>
      </x:c>
      <x:c r="G554" t="str">
        <x:v>C</x:v>
      </x:c>
      <x:c r="H554" t="n">
        <x:v>22</x:v>
      </x:c>
      <x:c r="I554" t="str">
        <x:v>ORD-2025-00056</x:v>
      </x:c>
      <x:c r="J554" t="n">
        <x:v>2</x:v>
      </x:c>
      <x:c r="K554" t="n">
        <x:v>1</x:v>
      </x:c>
      <x:c r="L554" t="str">
        <x:v>L22-S02-C1</x:v>
      </x:c>
      <x:c r="M554" t="n">
        <x:v>1</x:v>
      </x:c>
      <x:c r="N554" t="str">
        <x:v>DerivedFromCount</x:v>
      </x:c>
      <x:c r="O554" t="str">
        <x:v>PLC-PRD-JAR-720-L22</x:v>
      </x:c>
      <x:c r="P554" t="str">
        <x:v>OK</x:v>
      </x:c>
      <x:c r="Q554" t="str">
        <x:v>OK</x:v>
      </x:c>
      <x:c r="R554" t="str">
        <x:v>OK</x:v>
      </x:c>
      <x:c r="S554" t="str">
        <x:v>OK</x:v>
      </x:c>
      <x:c r="T554" t="n">
        <x:v>20</x:v>
      </x:c>
      <x:c r="U554" t="str">
        <x:v>OK</x:v>
      </x:c>
      <x:c r="V554" t="str">
        <x:v>OK</x:v>
      </x:c>
      <x:c r="W554" t="str">
        <x:v>LOAD</x:v>
      </x:c>
      <x:c r="X554" t="str">
        <x:v>02_Supervisor_Log(4).xlsx</x:v>
      </x:c>
      <x:c r="Y554" t="str">
        <x:v>ENH-20260830-01</x:v>
      </x:c>
      <x:c r="Z554" t="str">
        <x:v>Active</x:v>
      </x:c>
      <x:c r="AA554"/>
      <x:c r="AB554"/>
      <x:c r="AC554"/>
      <x:c r="AD554"/>
    </x:row>
    <x:row r="555">
      <x:c r="A555" t="str">
        <x:v>PCC-PE-KG01-L22-20251020-AM-ORD-2025-00056-S02-C2</x:v>
      </x:c>
      <x:c r="B555" t="str">
        <x:v>PC-PE-KG01-L22-20251020-AM-ORD-2025-00056-S02</x:v>
      </x:c>
      <x:c r="C555" t="str">
        <x:v>PE-KG01-L22-20251020-AM-ORD-2025-00056</x:v>
      </x:c>
      <x:c r="D555" t="str">
        <x:v>KG01</x:v>
      </x:c>
      <x:c r="E555" s="62" t="n">
        <x:v>45950</x:v>
      </x:c>
      <x:c r="F555" t="str">
        <x:v>AM</x:v>
      </x:c>
      <x:c r="G555" t="str">
        <x:v>C</x:v>
      </x:c>
      <x:c r="H555" t="n">
        <x:v>22</x:v>
      </x:c>
      <x:c r="I555" t="str">
        <x:v>ORD-2025-00056</x:v>
      </x:c>
      <x:c r="J555" t="n">
        <x:v>2</x:v>
      </x:c>
      <x:c r="K555" t="n">
        <x:v>2</x:v>
      </x:c>
      <x:c r="L555" t="str">
        <x:v>L22-S02-C2</x:v>
      </x:c>
      <x:c r="M555" t="n">
        <x:v>1</x:v>
      </x:c>
      <x:c r="N555" t="str">
        <x:v>DerivedFromCount</x:v>
      </x:c>
      <x:c r="O555" t="str">
        <x:v>PLC-PRD-JAR-720-L22</x:v>
      </x:c>
      <x:c r="P555" t="str">
        <x:v>OK</x:v>
      </x:c>
      <x:c r="Q555" t="str">
        <x:v>OK</x:v>
      </x:c>
      <x:c r="R555" t="str">
        <x:v>OK</x:v>
      </x:c>
      <x:c r="S555" t="str">
        <x:v>OK</x:v>
      </x:c>
      <x:c r="T555" t="n">
        <x:v>20</x:v>
      </x:c>
      <x:c r="U555" t="str">
        <x:v>OK</x:v>
      </x:c>
      <x:c r="V555" t="str">
        <x:v>OK</x:v>
      </x:c>
      <x:c r="W555" t="str">
        <x:v>LOAD</x:v>
      </x:c>
      <x:c r="X555" t="str">
        <x:v>02_Supervisor_Log(4).xlsx</x:v>
      </x:c>
      <x:c r="Y555" t="str">
        <x:v>ENH-20260830-01</x:v>
      </x:c>
      <x:c r="Z555" t="str">
        <x:v>Active</x:v>
      </x:c>
      <x:c r="AA555"/>
      <x:c r="AB555"/>
      <x:c r="AC555"/>
      <x:c r="AD555"/>
    </x:row>
    <x:row r="556">
      <x:c r="A556" t="str">
        <x:v>PCC-PE-KG01-L22-20251020-AM-ORD-2025-00056-S02-C3</x:v>
      </x:c>
      <x:c r="B556" t="str">
        <x:v>PC-PE-KG01-L22-20251020-AM-ORD-2025-00056-S02</x:v>
      </x:c>
      <x:c r="C556" t="str">
        <x:v>PE-KG01-L22-20251020-AM-ORD-2025-00056</x:v>
      </x:c>
      <x:c r="D556" t="str">
        <x:v>KG01</x:v>
      </x:c>
      <x:c r="E556" s="62" t="n">
        <x:v>45950</x:v>
      </x:c>
      <x:c r="F556" t="str">
        <x:v>AM</x:v>
      </x:c>
      <x:c r="G556" t="str">
        <x:v>C</x:v>
      </x:c>
      <x:c r="H556" t="n">
        <x:v>22</x:v>
      </x:c>
      <x:c r="I556" t="str">
        <x:v>ORD-2025-00056</x:v>
      </x:c>
      <x:c r="J556" t="n">
        <x:v>2</x:v>
      </x:c>
      <x:c r="K556" t="n">
        <x:v>3</x:v>
      </x:c>
      <x:c r="L556" t="str">
        <x:v>L22-S02-C3</x:v>
      </x:c>
      <x:c r="M556" t="n">
        <x:v>0</x:v>
      </x:c>
      <x:c r="N556" t="str">
        <x:v>DerivedFromCount</x:v>
      </x:c>
      <x:c r="O556" t="str">
        <x:v>PLC-PRD-JAR-720-L22</x:v>
      </x:c>
      <x:c r="P556" t="str">
        <x:v>OK</x:v>
      </x:c>
      <x:c r="Q556" t="str">
        <x:v>OK</x:v>
      </x:c>
      <x:c r="R556" t="str">
        <x:v>OK</x:v>
      </x:c>
      <x:c r="S556" t="str">
        <x:v>OK</x:v>
      </x:c>
      <x:c r="T556" t="n">
        <x:v>20</x:v>
      </x:c>
      <x:c r="U556" t="str">
        <x:v>OK</x:v>
      </x:c>
      <x:c r="V556" t="str">
        <x:v>OK</x:v>
      </x:c>
      <x:c r="W556" t="str">
        <x:v>LOAD</x:v>
      </x:c>
      <x:c r="X556" t="str">
        <x:v>02_Supervisor_Log(4).xlsx</x:v>
      </x:c>
      <x:c r="Y556" t="str">
        <x:v>ENH-20260830-01</x:v>
      </x:c>
      <x:c r="Z556" t="str">
        <x:v>Active</x:v>
      </x:c>
      <x:c r="AA556"/>
      <x:c r="AB556"/>
      <x:c r="AC556"/>
      <x:c r="AD556"/>
    </x:row>
    <x:row r="557">
      <x:c r="A557" t="str">
        <x:v>PCC-PE-KG01-L22-20251020-AM-ORD-2025-00056-S03-C1</x:v>
      </x:c>
      <x:c r="B557" t="str">
        <x:v>PC-PE-KG01-L22-20251020-AM-ORD-2025-00056-S03</x:v>
      </x:c>
      <x:c r="C557" t="str">
        <x:v>PE-KG01-L22-20251020-AM-ORD-2025-00056</x:v>
      </x:c>
      <x:c r="D557" t="str">
        <x:v>KG01</x:v>
      </x:c>
      <x:c r="E557" s="62" t="n">
        <x:v>45950</x:v>
      </x:c>
      <x:c r="F557" t="str">
        <x:v>AM</x:v>
      </x:c>
      <x:c r="G557" t="str">
        <x:v>C</x:v>
      </x:c>
      <x:c r="H557" t="n">
        <x:v>22</x:v>
      </x:c>
      <x:c r="I557" t="str">
        <x:v>ORD-2025-00056</x:v>
      </x:c>
      <x:c r="J557" t="n">
        <x:v>3</x:v>
      </x:c>
      <x:c r="K557" t="n">
        <x:v>1</x:v>
      </x:c>
      <x:c r="L557" t="str">
        <x:v>L22-S03-C1</x:v>
      </x:c>
      <x:c r="M557" t="n">
        <x:v>1</x:v>
      </x:c>
      <x:c r="N557" t="str">
        <x:v>DerivedFromCount</x:v>
      </x:c>
      <x:c r="O557" t="str">
        <x:v>PLC-PRD-JAR-720-L22</x:v>
      </x:c>
      <x:c r="P557" t="str">
        <x:v>OK</x:v>
      </x:c>
      <x:c r="Q557" t="str">
        <x:v>OK</x:v>
      </x:c>
      <x:c r="R557" t="str">
        <x:v>OK</x:v>
      </x:c>
      <x:c r="S557" t="str">
        <x:v>OK</x:v>
      </x:c>
      <x:c r="T557" t="n">
        <x:v>20</x:v>
      </x:c>
      <x:c r="U557" t="str">
        <x:v>OK</x:v>
      </x:c>
      <x:c r="V557" t="str">
        <x:v>OK</x:v>
      </x:c>
      <x:c r="W557" t="str">
        <x:v>LOAD</x:v>
      </x:c>
      <x:c r="X557" t="str">
        <x:v>02_Supervisor_Log(4).xlsx</x:v>
      </x:c>
      <x:c r="Y557" t="str">
        <x:v>ENH-20260830-01</x:v>
      </x:c>
      <x:c r="Z557" t="str">
        <x:v>Active</x:v>
      </x:c>
      <x:c r="AA557"/>
      <x:c r="AB557"/>
      <x:c r="AC557"/>
      <x:c r="AD557"/>
    </x:row>
    <x:row r="558">
      <x:c r="A558" t="str">
        <x:v>PCC-PE-KG01-L22-20251020-AM-ORD-2025-00056-S03-C2</x:v>
      </x:c>
      <x:c r="B558" t="str">
        <x:v>PC-PE-KG01-L22-20251020-AM-ORD-2025-00056-S03</x:v>
      </x:c>
      <x:c r="C558" t="str">
        <x:v>PE-KG01-L22-20251020-AM-ORD-2025-00056</x:v>
      </x:c>
      <x:c r="D558" t="str">
        <x:v>KG01</x:v>
      </x:c>
      <x:c r="E558" s="62" t="n">
        <x:v>45950</x:v>
      </x:c>
      <x:c r="F558" t="str">
        <x:v>AM</x:v>
      </x:c>
      <x:c r="G558" t="str">
        <x:v>C</x:v>
      </x:c>
      <x:c r="H558" t="n">
        <x:v>22</x:v>
      </x:c>
      <x:c r="I558" t="str">
        <x:v>ORD-2025-00056</x:v>
      </x:c>
      <x:c r="J558" t="n">
        <x:v>3</x:v>
      </x:c>
      <x:c r="K558" t="n">
        <x:v>2</x:v>
      </x:c>
      <x:c r="L558" t="str">
        <x:v>L22-S03-C2</x:v>
      </x:c>
      <x:c r="M558" t="n">
        <x:v>1</x:v>
      </x:c>
      <x:c r="N558" t="str">
        <x:v>DerivedFromCount</x:v>
      </x:c>
      <x:c r="O558" t="str">
        <x:v>PLC-PRD-JAR-720-L22</x:v>
      </x:c>
      <x:c r="P558" t="str">
        <x:v>OK</x:v>
      </x:c>
      <x:c r="Q558" t="str">
        <x:v>OK</x:v>
      </x:c>
      <x:c r="R558" t="str">
        <x:v>OK</x:v>
      </x:c>
      <x:c r="S558" t="str">
        <x:v>OK</x:v>
      </x:c>
      <x:c r="T558" t="n">
        <x:v>20</x:v>
      </x:c>
      <x:c r="U558" t="str">
        <x:v>OK</x:v>
      </x:c>
      <x:c r="V558" t="str">
        <x:v>OK</x:v>
      </x:c>
      <x:c r="W558" t="str">
        <x:v>LOAD</x:v>
      </x:c>
      <x:c r="X558" t="str">
        <x:v>02_Supervisor_Log(4).xlsx</x:v>
      </x:c>
      <x:c r="Y558" t="str">
        <x:v>ENH-20260830-01</x:v>
      </x:c>
      <x:c r="Z558" t="str">
        <x:v>Active</x:v>
      </x:c>
      <x:c r="AA558"/>
      <x:c r="AB558"/>
      <x:c r="AC558"/>
      <x:c r="AD558"/>
    </x:row>
    <x:row r="559">
      <x:c r="A559" t="str">
        <x:v>PCC-PE-KG01-L22-20251020-AM-ORD-2025-00056-S03-C3</x:v>
      </x:c>
      <x:c r="B559" t="str">
        <x:v>PC-PE-KG01-L22-20251020-AM-ORD-2025-00056-S03</x:v>
      </x:c>
      <x:c r="C559" t="str">
        <x:v>PE-KG01-L22-20251020-AM-ORD-2025-00056</x:v>
      </x:c>
      <x:c r="D559" t="str">
        <x:v>KG01</x:v>
      </x:c>
      <x:c r="E559" s="62" t="n">
        <x:v>45950</x:v>
      </x:c>
      <x:c r="F559" t="str">
        <x:v>AM</x:v>
      </x:c>
      <x:c r="G559" t="str">
        <x:v>C</x:v>
      </x:c>
      <x:c r="H559" t="n">
        <x:v>22</x:v>
      </x:c>
      <x:c r="I559" t="str">
        <x:v>ORD-2025-00056</x:v>
      </x:c>
      <x:c r="J559" t="n">
        <x:v>3</x:v>
      </x:c>
      <x:c r="K559" t="n">
        <x:v>3</x:v>
      </x:c>
      <x:c r="L559" t="str">
        <x:v>L22-S03-C3</x:v>
      </x:c>
      <x:c r="M559" t="n">
        <x:v>0</x:v>
      </x:c>
      <x:c r="N559" t="str">
        <x:v>DerivedFromCount</x:v>
      </x:c>
      <x:c r="O559" t="str">
        <x:v>PLC-PRD-JAR-720-L22</x:v>
      </x:c>
      <x:c r="P559" t="str">
        <x:v>OK</x:v>
      </x:c>
      <x:c r="Q559" t="str">
        <x:v>OK</x:v>
      </x:c>
      <x:c r="R559" t="str">
        <x:v>OK</x:v>
      </x:c>
      <x:c r="S559" t="str">
        <x:v>OK</x:v>
      </x:c>
      <x:c r="T559" t="n">
        <x:v>20</x:v>
      </x:c>
      <x:c r="U559" t="str">
        <x:v>OK</x:v>
      </x:c>
      <x:c r="V559" t="str">
        <x:v>OK</x:v>
      </x:c>
      <x:c r="W559" t="str">
        <x:v>LOAD</x:v>
      </x:c>
      <x:c r="X559" t="str">
        <x:v>02_Supervisor_Log(4).xlsx</x:v>
      </x:c>
      <x:c r="Y559" t="str">
        <x:v>ENH-20260830-01</x:v>
      </x:c>
      <x:c r="Z559" t="str">
        <x:v>Active</x:v>
      </x:c>
      <x:c r="AA559"/>
      <x:c r="AB559"/>
      <x:c r="AC559"/>
      <x:c r="AD559"/>
    </x:row>
    <x:row r="560">
      <x:c r="A560" t="str">
        <x:v>PCC-PE-KG01-L22-20251020-AM-ORD-2025-00056-S04-C1</x:v>
      </x:c>
      <x:c r="B560" t="str">
        <x:v>PC-PE-KG01-L22-20251020-AM-ORD-2025-00056-S04</x:v>
      </x:c>
      <x:c r="C560" t="str">
        <x:v>PE-KG01-L22-20251020-AM-ORD-2025-00056</x:v>
      </x:c>
      <x:c r="D560" t="str">
        <x:v>KG01</x:v>
      </x:c>
      <x:c r="E560" s="62" t="n">
        <x:v>45950</x:v>
      </x:c>
      <x:c r="F560" t="str">
        <x:v>AM</x:v>
      </x:c>
      <x:c r="G560" t="str">
        <x:v>C</x:v>
      </x:c>
      <x:c r="H560" t="n">
        <x:v>22</x:v>
      </x:c>
      <x:c r="I560" t="str">
        <x:v>ORD-2025-00056</x:v>
      </x:c>
      <x:c r="J560" t="n">
        <x:v>4</x:v>
      </x:c>
      <x:c r="K560" t="n">
        <x:v>1</x:v>
      </x:c>
      <x:c r="L560" t="str">
        <x:v>L22-S04-C1</x:v>
      </x:c>
      <x:c r="M560" t="n">
        <x:v>1</x:v>
      </x:c>
      <x:c r="N560" t="str">
        <x:v>DerivedFromCount</x:v>
      </x:c>
      <x:c r="O560" t="str">
        <x:v>PLC-PRD-JAR-720-L22</x:v>
      </x:c>
      <x:c r="P560" t="str">
        <x:v>OK</x:v>
      </x:c>
      <x:c r="Q560" t="str">
        <x:v>OK</x:v>
      </x:c>
      <x:c r="R560" t="str">
        <x:v>OK</x:v>
      </x:c>
      <x:c r="S560" t="str">
        <x:v>OK</x:v>
      </x:c>
      <x:c r="T560" t="n">
        <x:v>20</x:v>
      </x:c>
      <x:c r="U560" t="str">
        <x:v>OK</x:v>
      </x:c>
      <x:c r="V560" t="str">
        <x:v>OK</x:v>
      </x:c>
      <x:c r="W560" t="str">
        <x:v>LOAD</x:v>
      </x:c>
      <x:c r="X560" t="str">
        <x:v>02_Supervisor_Log(4).xlsx</x:v>
      </x:c>
      <x:c r="Y560" t="str">
        <x:v>ENH-20260830-01</x:v>
      </x:c>
      <x:c r="Z560" t="str">
        <x:v>Active</x:v>
      </x:c>
      <x:c r="AA560"/>
      <x:c r="AB560"/>
      <x:c r="AC560"/>
      <x:c r="AD560"/>
    </x:row>
    <x:row r="561">
      <x:c r="A561" t="str">
        <x:v>PCC-PE-KG01-L22-20251020-AM-ORD-2025-00056-S04-C2</x:v>
      </x:c>
      <x:c r="B561" t="str">
        <x:v>PC-PE-KG01-L22-20251020-AM-ORD-2025-00056-S04</x:v>
      </x:c>
      <x:c r="C561" t="str">
        <x:v>PE-KG01-L22-20251020-AM-ORD-2025-00056</x:v>
      </x:c>
      <x:c r="D561" t="str">
        <x:v>KG01</x:v>
      </x:c>
      <x:c r="E561" s="62" t="n">
        <x:v>45950</x:v>
      </x:c>
      <x:c r="F561" t="str">
        <x:v>AM</x:v>
      </x:c>
      <x:c r="G561" t="str">
        <x:v>C</x:v>
      </x:c>
      <x:c r="H561" t="n">
        <x:v>22</x:v>
      </x:c>
      <x:c r="I561" t="str">
        <x:v>ORD-2025-00056</x:v>
      </x:c>
      <x:c r="J561" t="n">
        <x:v>4</x:v>
      </x:c>
      <x:c r="K561" t="n">
        <x:v>2</x:v>
      </x:c>
      <x:c r="L561" t="str">
        <x:v>L22-S04-C2</x:v>
      </x:c>
      <x:c r="M561" t="n">
        <x:v>1</x:v>
      </x:c>
      <x:c r="N561" t="str">
        <x:v>DerivedFromCount</x:v>
      </x:c>
      <x:c r="O561" t="str">
        <x:v>PLC-PRD-JAR-720-L22</x:v>
      </x:c>
      <x:c r="P561" t="str">
        <x:v>OK</x:v>
      </x:c>
      <x:c r="Q561" t="str">
        <x:v>OK</x:v>
      </x:c>
      <x:c r="R561" t="str">
        <x:v>OK</x:v>
      </x:c>
      <x:c r="S561" t="str">
        <x:v>OK</x:v>
      </x:c>
      <x:c r="T561" t="n">
        <x:v>20</x:v>
      </x:c>
      <x:c r="U561" t="str">
        <x:v>OK</x:v>
      </x:c>
      <x:c r="V561" t="str">
        <x:v>OK</x:v>
      </x:c>
      <x:c r="W561" t="str">
        <x:v>LOAD</x:v>
      </x:c>
      <x:c r="X561" t="str">
        <x:v>02_Supervisor_Log(4).xlsx</x:v>
      </x:c>
      <x:c r="Y561" t="str">
        <x:v>ENH-20260830-01</x:v>
      </x:c>
      <x:c r="Z561" t="str">
        <x:v>Active</x:v>
      </x:c>
      <x:c r="AA561"/>
      <x:c r="AB561"/>
      <x:c r="AC561"/>
      <x:c r="AD561"/>
    </x:row>
    <x:row r="562">
      <x:c r="A562" t="str">
        <x:v>PCC-PE-KG01-L22-20251020-AM-ORD-2025-00056-S04-C3</x:v>
      </x:c>
      <x:c r="B562" t="str">
        <x:v>PC-PE-KG01-L22-20251020-AM-ORD-2025-00056-S04</x:v>
      </x:c>
      <x:c r="C562" t="str">
        <x:v>PE-KG01-L22-20251020-AM-ORD-2025-00056</x:v>
      </x:c>
      <x:c r="D562" t="str">
        <x:v>KG01</x:v>
      </x:c>
      <x:c r="E562" s="62" t="n">
        <x:v>45950</x:v>
      </x:c>
      <x:c r="F562" t="str">
        <x:v>AM</x:v>
      </x:c>
      <x:c r="G562" t="str">
        <x:v>C</x:v>
      </x:c>
      <x:c r="H562" t="n">
        <x:v>22</x:v>
      </x:c>
      <x:c r="I562" t="str">
        <x:v>ORD-2025-00056</x:v>
      </x:c>
      <x:c r="J562" t="n">
        <x:v>4</x:v>
      </x:c>
      <x:c r="K562" t="n">
        <x:v>3</x:v>
      </x:c>
      <x:c r="L562" t="str">
        <x:v>L22-S04-C3</x:v>
      </x:c>
      <x:c r="M562" t="n">
        <x:v>0</x:v>
      </x:c>
      <x:c r="N562" t="str">
        <x:v>DerivedFromCount</x:v>
      </x:c>
      <x:c r="O562" t="str">
        <x:v>PLC-PRD-JAR-720-L22</x:v>
      </x:c>
      <x:c r="P562" t="str">
        <x:v>OK</x:v>
      </x:c>
      <x:c r="Q562" t="str">
        <x:v>OK</x:v>
      </x:c>
      <x:c r="R562" t="str">
        <x:v>OK</x:v>
      </x:c>
      <x:c r="S562" t="str">
        <x:v>OK</x:v>
      </x:c>
      <x:c r="T562" t="n">
        <x:v>20</x:v>
      </x:c>
      <x:c r="U562" t="str">
        <x:v>OK</x:v>
      </x:c>
      <x:c r="V562" t="str">
        <x:v>OK</x:v>
      </x:c>
      <x:c r="W562" t="str">
        <x:v>LOAD</x:v>
      </x:c>
      <x:c r="X562" t="str">
        <x:v>02_Supervisor_Log(4).xlsx</x:v>
      </x:c>
      <x:c r="Y562" t="str">
        <x:v>ENH-20260830-01</x:v>
      </x:c>
      <x:c r="Z562" t="str">
        <x:v>Active</x:v>
      </x:c>
      <x:c r="AA562"/>
      <x:c r="AB562"/>
      <x:c r="AC562"/>
      <x:c r="AD562"/>
    </x:row>
    <x:row r="563">
      <x:c r="A563" t="str">
        <x:v>PCC-PE-KG01-L22-20251020-AM-ORD-2025-00056-S05-C1</x:v>
      </x:c>
      <x:c r="B563" t="str">
        <x:v>PC-PE-KG01-L22-20251020-AM-ORD-2025-00056-S05</x:v>
      </x:c>
      <x:c r="C563" t="str">
        <x:v>PE-KG01-L22-20251020-AM-ORD-2025-00056</x:v>
      </x:c>
      <x:c r="D563" t="str">
        <x:v>KG01</x:v>
      </x:c>
      <x:c r="E563" s="62" t="n">
        <x:v>45950</x:v>
      </x:c>
      <x:c r="F563" t="str">
        <x:v>AM</x:v>
      </x:c>
      <x:c r="G563" t="str">
        <x:v>C</x:v>
      </x:c>
      <x:c r="H563" t="n">
        <x:v>22</x:v>
      </x:c>
      <x:c r="I563" t="str">
        <x:v>ORD-2025-00056</x:v>
      </x:c>
      <x:c r="J563" t="n">
        <x:v>5</x:v>
      </x:c>
      <x:c r="K563" t="n">
        <x:v>1</x:v>
      </x:c>
      <x:c r="L563" t="str">
        <x:v>L22-S05-C1</x:v>
      </x:c>
      <x:c r="M563" t="n">
        <x:v>1</x:v>
      </x:c>
      <x:c r="N563" t="str">
        <x:v>DerivedFromCount</x:v>
      </x:c>
      <x:c r="O563" t="str">
        <x:v>PLC-PRD-JAR-720-L22</x:v>
      </x:c>
      <x:c r="P563" t="str">
        <x:v>OK</x:v>
      </x:c>
      <x:c r="Q563" t="str">
        <x:v>OK</x:v>
      </x:c>
      <x:c r="R563" t="str">
        <x:v>OK</x:v>
      </x:c>
      <x:c r="S563" t="str">
        <x:v>OK</x:v>
      </x:c>
      <x:c r="T563" t="n">
        <x:v>20</x:v>
      </x:c>
      <x:c r="U563" t="str">
        <x:v>OK</x:v>
      </x:c>
      <x:c r="V563" t="str">
        <x:v>OK</x:v>
      </x:c>
      <x:c r="W563" t="str">
        <x:v>LOAD</x:v>
      </x:c>
      <x:c r="X563" t="str">
        <x:v>02_Supervisor_Log(4).xlsx</x:v>
      </x:c>
      <x:c r="Y563" t="str">
        <x:v>ENH-20260830-01</x:v>
      </x:c>
      <x:c r="Z563" t="str">
        <x:v>Active</x:v>
      </x:c>
      <x:c r="AA563"/>
      <x:c r="AB563"/>
      <x:c r="AC563"/>
      <x:c r="AD563"/>
    </x:row>
    <x:row r="564">
      <x:c r="A564" t="str">
        <x:v>PCC-PE-KG01-L22-20251020-AM-ORD-2025-00056-S05-C2</x:v>
      </x:c>
      <x:c r="B564" t="str">
        <x:v>PC-PE-KG01-L22-20251020-AM-ORD-2025-00056-S05</x:v>
      </x:c>
      <x:c r="C564" t="str">
        <x:v>PE-KG01-L22-20251020-AM-ORD-2025-00056</x:v>
      </x:c>
      <x:c r="D564" t="str">
        <x:v>KG01</x:v>
      </x:c>
      <x:c r="E564" s="62" t="n">
        <x:v>45950</x:v>
      </x:c>
      <x:c r="F564" t="str">
        <x:v>AM</x:v>
      </x:c>
      <x:c r="G564" t="str">
        <x:v>C</x:v>
      </x:c>
      <x:c r="H564" t="n">
        <x:v>22</x:v>
      </x:c>
      <x:c r="I564" t="str">
        <x:v>ORD-2025-00056</x:v>
      </x:c>
      <x:c r="J564" t="n">
        <x:v>5</x:v>
      </x:c>
      <x:c r="K564" t="n">
        <x:v>2</x:v>
      </x:c>
      <x:c r="L564" t="str">
        <x:v>L22-S05-C2</x:v>
      </x:c>
      <x:c r="M564" t="n">
        <x:v>1</x:v>
      </x:c>
      <x:c r="N564" t="str">
        <x:v>DerivedFromCount</x:v>
      </x:c>
      <x:c r="O564" t="str">
        <x:v>PLC-PRD-JAR-720-L22</x:v>
      </x:c>
      <x:c r="P564" t="str">
        <x:v>OK</x:v>
      </x:c>
      <x:c r="Q564" t="str">
        <x:v>OK</x:v>
      </x:c>
      <x:c r="R564" t="str">
        <x:v>OK</x:v>
      </x:c>
      <x:c r="S564" t="str">
        <x:v>OK</x:v>
      </x:c>
      <x:c r="T564" t="n">
        <x:v>20</x:v>
      </x:c>
      <x:c r="U564" t="str">
        <x:v>OK</x:v>
      </x:c>
      <x:c r="V564" t="str">
        <x:v>OK</x:v>
      </x:c>
      <x:c r="W564" t="str">
        <x:v>LOAD</x:v>
      </x:c>
      <x:c r="X564" t="str">
        <x:v>02_Supervisor_Log(4).xlsx</x:v>
      </x:c>
      <x:c r="Y564" t="str">
        <x:v>ENH-20260830-01</x:v>
      </x:c>
      <x:c r="Z564" t="str">
        <x:v>Active</x:v>
      </x:c>
      <x:c r="AA564"/>
      <x:c r="AB564"/>
      <x:c r="AC564"/>
      <x:c r="AD564"/>
    </x:row>
    <x:row r="565">
      <x:c r="A565" t="str">
        <x:v>PCC-PE-KG01-L22-20251020-AM-ORD-2025-00056-S05-C3</x:v>
      </x:c>
      <x:c r="B565" t="str">
        <x:v>PC-PE-KG01-L22-20251020-AM-ORD-2025-00056-S05</x:v>
      </x:c>
      <x:c r="C565" t="str">
        <x:v>PE-KG01-L22-20251020-AM-ORD-2025-00056</x:v>
      </x:c>
      <x:c r="D565" t="str">
        <x:v>KG01</x:v>
      </x:c>
      <x:c r="E565" s="62" t="n">
        <x:v>45950</x:v>
      </x:c>
      <x:c r="F565" t="str">
        <x:v>AM</x:v>
      </x:c>
      <x:c r="G565" t="str">
        <x:v>C</x:v>
      </x:c>
      <x:c r="H565" t="n">
        <x:v>22</x:v>
      </x:c>
      <x:c r="I565" t="str">
        <x:v>ORD-2025-00056</x:v>
      </x:c>
      <x:c r="J565" t="n">
        <x:v>5</x:v>
      </x:c>
      <x:c r="K565" t="n">
        <x:v>3</x:v>
      </x:c>
      <x:c r="L565" t="str">
        <x:v>L22-S05-C3</x:v>
      </x:c>
      <x:c r="M565" t="n">
        <x:v>0</x:v>
      </x:c>
      <x:c r="N565" t="str">
        <x:v>DerivedFromCount</x:v>
      </x:c>
      <x:c r="O565" t="str">
        <x:v>PLC-PRD-JAR-720-L22</x:v>
      </x:c>
      <x:c r="P565" t="str">
        <x:v>OK</x:v>
      </x:c>
      <x:c r="Q565" t="str">
        <x:v>OK</x:v>
      </x:c>
      <x:c r="R565" t="str">
        <x:v>OK</x:v>
      </x:c>
      <x:c r="S565" t="str">
        <x:v>OK</x:v>
      </x:c>
      <x:c r="T565" t="n">
        <x:v>20</x:v>
      </x:c>
      <x:c r="U565" t="str">
        <x:v>OK</x:v>
      </x:c>
      <x:c r="V565" t="str">
        <x:v>OK</x:v>
      </x:c>
      <x:c r="W565" t="str">
        <x:v>LOAD</x:v>
      </x:c>
      <x:c r="X565" t="str">
        <x:v>02_Supervisor_Log(4).xlsx</x:v>
      </x:c>
      <x:c r="Y565" t="str">
        <x:v>ENH-20260830-01</x:v>
      </x:c>
      <x:c r="Z565" t="str">
        <x:v>Active</x:v>
      </x:c>
      <x:c r="AA565"/>
      <x:c r="AB565"/>
      <x:c r="AC565"/>
      <x:c r="AD565"/>
    </x:row>
    <x:row r="566">
      <x:c r="A566" t="str">
        <x:v>PCC-PE-KG01-L22-20251020-AM-ORD-2025-00056-S06-C1</x:v>
      </x:c>
      <x:c r="B566" t="str">
        <x:v>PC-PE-KG01-L22-20251020-AM-ORD-2025-00056-S06</x:v>
      </x:c>
      <x:c r="C566" t="str">
        <x:v>PE-KG01-L22-20251020-AM-ORD-2025-00056</x:v>
      </x:c>
      <x:c r="D566" t="str">
        <x:v>KG01</x:v>
      </x:c>
      <x:c r="E566" s="62" t="n">
        <x:v>45950</x:v>
      </x:c>
      <x:c r="F566" t="str">
        <x:v>AM</x:v>
      </x:c>
      <x:c r="G566" t="str">
        <x:v>C</x:v>
      </x:c>
      <x:c r="H566" t="n">
        <x:v>22</x:v>
      </x:c>
      <x:c r="I566" t="str">
        <x:v>ORD-2025-00056</x:v>
      </x:c>
      <x:c r="J566" t="n">
        <x:v>6</x:v>
      </x:c>
      <x:c r="K566" t="n">
        <x:v>1</x:v>
      </x:c>
      <x:c r="L566" t="str">
        <x:v>L22-S06-C1</x:v>
      </x:c>
      <x:c r="M566" t="n">
        <x:v>1</x:v>
      </x:c>
      <x:c r="N566" t="str">
        <x:v>DerivedFromCount</x:v>
      </x:c>
      <x:c r="O566" t="str">
        <x:v>PLC-PRD-JAR-720-L22</x:v>
      </x:c>
      <x:c r="P566" t="str">
        <x:v>OK</x:v>
      </x:c>
      <x:c r="Q566" t="str">
        <x:v>OK</x:v>
      </x:c>
      <x:c r="R566" t="str">
        <x:v>OK</x:v>
      </x:c>
      <x:c r="S566" t="str">
        <x:v>OK</x:v>
      </x:c>
      <x:c r="T566" t="n">
        <x:v>20</x:v>
      </x:c>
      <x:c r="U566" t="str">
        <x:v>OK</x:v>
      </x:c>
      <x:c r="V566" t="str">
        <x:v>OK</x:v>
      </x:c>
      <x:c r="W566" t="str">
        <x:v>LOAD</x:v>
      </x:c>
      <x:c r="X566" t="str">
        <x:v>02_Supervisor_Log(4).xlsx</x:v>
      </x:c>
      <x:c r="Y566" t="str">
        <x:v>ENH-20260830-01</x:v>
      </x:c>
      <x:c r="Z566" t="str">
        <x:v>Active</x:v>
      </x:c>
      <x:c r="AA566"/>
      <x:c r="AB566"/>
      <x:c r="AC566"/>
      <x:c r="AD566"/>
    </x:row>
    <x:row r="567">
      <x:c r="A567" t="str">
        <x:v>PCC-PE-KG01-L22-20251020-AM-ORD-2025-00056-S06-C2</x:v>
      </x:c>
      <x:c r="B567" t="str">
        <x:v>PC-PE-KG01-L22-20251020-AM-ORD-2025-00056-S06</x:v>
      </x:c>
      <x:c r="C567" t="str">
        <x:v>PE-KG01-L22-20251020-AM-ORD-2025-00056</x:v>
      </x:c>
      <x:c r="D567" t="str">
        <x:v>KG01</x:v>
      </x:c>
      <x:c r="E567" s="62" t="n">
        <x:v>45950</x:v>
      </x:c>
      <x:c r="F567" t="str">
        <x:v>AM</x:v>
      </x:c>
      <x:c r="G567" t="str">
        <x:v>C</x:v>
      </x:c>
      <x:c r="H567" t="n">
        <x:v>22</x:v>
      </x:c>
      <x:c r="I567" t="str">
        <x:v>ORD-2025-00056</x:v>
      </x:c>
      <x:c r="J567" t="n">
        <x:v>6</x:v>
      </x:c>
      <x:c r="K567" t="n">
        <x:v>2</x:v>
      </x:c>
      <x:c r="L567" t="str">
        <x:v>L22-S06-C2</x:v>
      </x:c>
      <x:c r="M567" t="n">
        <x:v>1</x:v>
      </x:c>
      <x:c r="N567" t="str">
        <x:v>DerivedFromCount</x:v>
      </x:c>
      <x:c r="O567" t="str">
        <x:v>PLC-PRD-JAR-720-L22</x:v>
      </x:c>
      <x:c r="P567" t="str">
        <x:v>OK</x:v>
      </x:c>
      <x:c r="Q567" t="str">
        <x:v>OK</x:v>
      </x:c>
      <x:c r="R567" t="str">
        <x:v>OK</x:v>
      </x:c>
      <x:c r="S567" t="str">
        <x:v>OK</x:v>
      </x:c>
      <x:c r="T567" t="n">
        <x:v>20</x:v>
      </x:c>
      <x:c r="U567" t="str">
        <x:v>OK</x:v>
      </x:c>
      <x:c r="V567" t="str">
        <x:v>OK</x:v>
      </x:c>
      <x:c r="W567" t="str">
        <x:v>LOAD</x:v>
      </x:c>
      <x:c r="X567" t="str">
        <x:v>02_Supervisor_Log(4).xlsx</x:v>
      </x:c>
      <x:c r="Y567" t="str">
        <x:v>ENH-20260830-01</x:v>
      </x:c>
      <x:c r="Z567" t="str">
        <x:v>Active</x:v>
      </x:c>
      <x:c r="AA567"/>
      <x:c r="AB567"/>
      <x:c r="AC567"/>
      <x:c r="AD567"/>
    </x:row>
    <x:row r="568">
      <x:c r="A568" t="str">
        <x:v>PCC-PE-KG01-L22-20251020-AM-ORD-2025-00056-S06-C3</x:v>
      </x:c>
      <x:c r="B568" t="str">
        <x:v>PC-PE-KG01-L22-20251020-AM-ORD-2025-00056-S06</x:v>
      </x:c>
      <x:c r="C568" t="str">
        <x:v>PE-KG01-L22-20251020-AM-ORD-2025-00056</x:v>
      </x:c>
      <x:c r="D568" t="str">
        <x:v>KG01</x:v>
      </x:c>
      <x:c r="E568" s="62" t="n">
        <x:v>45950</x:v>
      </x:c>
      <x:c r="F568" t="str">
        <x:v>AM</x:v>
      </x:c>
      <x:c r="G568" t="str">
        <x:v>C</x:v>
      </x:c>
      <x:c r="H568" t="n">
        <x:v>22</x:v>
      </x:c>
      <x:c r="I568" t="str">
        <x:v>ORD-2025-00056</x:v>
      </x:c>
      <x:c r="J568" t="n">
        <x:v>6</x:v>
      </x:c>
      <x:c r="K568" t="n">
        <x:v>3</x:v>
      </x:c>
      <x:c r="L568" t="str">
        <x:v>L22-S06-C3</x:v>
      </x:c>
      <x:c r="M568" t="n">
        <x:v>0</x:v>
      </x:c>
      <x:c r="N568" t="str">
        <x:v>DerivedFromCount</x:v>
      </x:c>
      <x:c r="O568" t="str">
        <x:v>PLC-PRD-JAR-720-L22</x:v>
      </x:c>
      <x:c r="P568" t="str">
        <x:v>OK</x:v>
      </x:c>
      <x:c r="Q568" t="str">
        <x:v>OK</x:v>
      </x:c>
      <x:c r="R568" t="str">
        <x:v>OK</x:v>
      </x:c>
      <x:c r="S568" t="str">
        <x:v>OK</x:v>
      </x:c>
      <x:c r="T568" t="n">
        <x:v>20</x:v>
      </x:c>
      <x:c r="U568" t="str">
        <x:v>OK</x:v>
      </x:c>
      <x:c r="V568" t="str">
        <x:v>OK</x:v>
      </x:c>
      <x:c r="W568" t="str">
        <x:v>LOAD</x:v>
      </x:c>
      <x:c r="X568" t="str">
        <x:v>02_Supervisor_Log(4).xlsx</x:v>
      </x:c>
      <x:c r="Y568" t="str">
        <x:v>ENH-20260830-01</x:v>
      </x:c>
      <x:c r="Z568" t="str">
        <x:v>Active</x:v>
      </x:c>
      <x:c r="AA568"/>
      <x:c r="AB568"/>
      <x:c r="AC568"/>
      <x:c r="AD568"/>
    </x:row>
    <x:row r="569">
      <x:c r="A569" t="str">
        <x:v>PCC-PE-KG01-L22-20251020-AM-ORD-2025-00056-S07-C1</x:v>
      </x:c>
      <x:c r="B569" t="str">
        <x:v>PC-PE-KG01-L22-20251020-AM-ORD-2025-00056-S07</x:v>
      </x:c>
      <x:c r="C569" t="str">
        <x:v>PE-KG01-L22-20251020-AM-ORD-2025-00056</x:v>
      </x:c>
      <x:c r="D569" t="str">
        <x:v>KG01</x:v>
      </x:c>
      <x:c r="E569" s="62" t="n">
        <x:v>45950</x:v>
      </x:c>
      <x:c r="F569" t="str">
        <x:v>AM</x:v>
      </x:c>
      <x:c r="G569" t="str">
        <x:v>C</x:v>
      </x:c>
      <x:c r="H569" t="n">
        <x:v>22</x:v>
      </x:c>
      <x:c r="I569" t="str">
        <x:v>ORD-2025-00056</x:v>
      </x:c>
      <x:c r="J569" t="n">
        <x:v>7</x:v>
      </x:c>
      <x:c r="K569" t="n">
        <x:v>1</x:v>
      </x:c>
      <x:c r="L569" t="str">
        <x:v>L22-S07-C1</x:v>
      </x:c>
      <x:c r="M569" t="n">
        <x:v>1</x:v>
      </x:c>
      <x:c r="N569" t="str">
        <x:v>DerivedFromCount</x:v>
      </x:c>
      <x:c r="O569" t="str">
        <x:v>PLC-PRD-JAR-720-L22</x:v>
      </x:c>
      <x:c r="P569" t="str">
        <x:v>OK</x:v>
      </x:c>
      <x:c r="Q569" t="str">
        <x:v>OK</x:v>
      </x:c>
      <x:c r="R569" t="str">
        <x:v>OK</x:v>
      </x:c>
      <x:c r="S569" t="str">
        <x:v>OK</x:v>
      </x:c>
      <x:c r="T569" t="n">
        <x:v>20</x:v>
      </x:c>
      <x:c r="U569" t="str">
        <x:v>OK</x:v>
      </x:c>
      <x:c r="V569" t="str">
        <x:v>OK</x:v>
      </x:c>
      <x:c r="W569" t="str">
        <x:v>LOAD</x:v>
      </x:c>
      <x:c r="X569" t="str">
        <x:v>02_Supervisor_Log(4).xlsx</x:v>
      </x:c>
      <x:c r="Y569" t="str">
        <x:v>ENH-20260830-01</x:v>
      </x:c>
      <x:c r="Z569" t="str">
        <x:v>Active</x:v>
      </x:c>
      <x:c r="AA569"/>
      <x:c r="AB569"/>
      <x:c r="AC569"/>
      <x:c r="AD569"/>
    </x:row>
    <x:row r="570">
      <x:c r="A570" t="str">
        <x:v>PCC-PE-KG01-L22-20251020-AM-ORD-2025-00056-S07-C2</x:v>
      </x:c>
      <x:c r="B570" t="str">
        <x:v>PC-PE-KG01-L22-20251020-AM-ORD-2025-00056-S07</x:v>
      </x:c>
      <x:c r="C570" t="str">
        <x:v>PE-KG01-L22-20251020-AM-ORD-2025-00056</x:v>
      </x:c>
      <x:c r="D570" t="str">
        <x:v>KG01</x:v>
      </x:c>
      <x:c r="E570" s="62" t="n">
        <x:v>45950</x:v>
      </x:c>
      <x:c r="F570" t="str">
        <x:v>AM</x:v>
      </x:c>
      <x:c r="G570" t="str">
        <x:v>C</x:v>
      </x:c>
      <x:c r="H570" t="n">
        <x:v>22</x:v>
      </x:c>
      <x:c r="I570" t="str">
        <x:v>ORD-2025-00056</x:v>
      </x:c>
      <x:c r="J570" t="n">
        <x:v>7</x:v>
      </x:c>
      <x:c r="K570" t="n">
        <x:v>2</x:v>
      </x:c>
      <x:c r="L570" t="str">
        <x:v>L22-S07-C2</x:v>
      </x:c>
      <x:c r="M570" t="n">
        <x:v>1</x:v>
      </x:c>
      <x:c r="N570" t="str">
        <x:v>DerivedFromCount</x:v>
      </x:c>
      <x:c r="O570" t="str">
        <x:v>PLC-PRD-JAR-720-L22</x:v>
      </x:c>
      <x:c r="P570" t="str">
        <x:v>OK</x:v>
      </x:c>
      <x:c r="Q570" t="str">
        <x:v>OK</x:v>
      </x:c>
      <x:c r="R570" t="str">
        <x:v>OK</x:v>
      </x:c>
      <x:c r="S570" t="str">
        <x:v>OK</x:v>
      </x:c>
      <x:c r="T570" t="n">
        <x:v>20</x:v>
      </x:c>
      <x:c r="U570" t="str">
        <x:v>OK</x:v>
      </x:c>
      <x:c r="V570" t="str">
        <x:v>OK</x:v>
      </x:c>
      <x:c r="W570" t="str">
        <x:v>LOAD</x:v>
      </x:c>
      <x:c r="X570" t="str">
        <x:v>02_Supervisor_Log(4).xlsx</x:v>
      </x:c>
      <x:c r="Y570" t="str">
        <x:v>ENH-20260830-01</x:v>
      </x:c>
      <x:c r="Z570" t="str">
        <x:v>Active</x:v>
      </x:c>
      <x:c r="AA570"/>
      <x:c r="AB570"/>
      <x:c r="AC570"/>
      <x:c r="AD570"/>
    </x:row>
    <x:row r="571">
      <x:c r="A571" t="str">
        <x:v>PCC-PE-KG01-L22-20251020-AM-ORD-2025-00056-S07-C3</x:v>
      </x:c>
      <x:c r="B571" t="str">
        <x:v>PC-PE-KG01-L22-20251020-AM-ORD-2025-00056-S07</x:v>
      </x:c>
      <x:c r="C571" t="str">
        <x:v>PE-KG01-L22-20251020-AM-ORD-2025-00056</x:v>
      </x:c>
      <x:c r="D571" t="str">
        <x:v>KG01</x:v>
      </x:c>
      <x:c r="E571" s="62" t="n">
        <x:v>45950</x:v>
      </x:c>
      <x:c r="F571" t="str">
        <x:v>AM</x:v>
      </x:c>
      <x:c r="G571" t="str">
        <x:v>C</x:v>
      </x:c>
      <x:c r="H571" t="n">
        <x:v>22</x:v>
      </x:c>
      <x:c r="I571" t="str">
        <x:v>ORD-2025-00056</x:v>
      </x:c>
      <x:c r="J571" t="n">
        <x:v>7</x:v>
      </x:c>
      <x:c r="K571" t="n">
        <x:v>3</x:v>
      </x:c>
      <x:c r="L571" t="str">
        <x:v>L22-S07-C3</x:v>
      </x:c>
      <x:c r="M571" t="n">
        <x:v>0</x:v>
      </x:c>
      <x:c r="N571" t="str">
        <x:v>DerivedFromCount</x:v>
      </x:c>
      <x:c r="O571" t="str">
        <x:v>PLC-PRD-JAR-720-L22</x:v>
      </x:c>
      <x:c r="P571" t="str">
        <x:v>OK</x:v>
      </x:c>
      <x:c r="Q571" t="str">
        <x:v>OK</x:v>
      </x:c>
      <x:c r="R571" t="str">
        <x:v>OK</x:v>
      </x:c>
      <x:c r="S571" t="str">
        <x:v>OK</x:v>
      </x:c>
      <x:c r="T571" t="n">
        <x:v>20</x:v>
      </x:c>
      <x:c r="U571" t="str">
        <x:v>OK</x:v>
      </x:c>
      <x:c r="V571" t="str">
        <x:v>OK</x:v>
      </x:c>
      <x:c r="W571" t="str">
        <x:v>LOAD</x:v>
      </x:c>
      <x:c r="X571" t="str">
        <x:v>02_Supervisor_Log(4).xlsx</x:v>
      </x:c>
      <x:c r="Y571" t="str">
        <x:v>ENH-20260830-01</x:v>
      </x:c>
      <x:c r="Z571" t="str">
        <x:v>Active</x:v>
      </x:c>
      <x:c r="AA571"/>
      <x:c r="AB571"/>
      <x:c r="AC571"/>
      <x:c r="AD571"/>
    </x:row>
    <x:row r="572">
      <x:c r="A572" t="str">
        <x:v>PCC-PE-KG01-L22-20251020-AM-ORD-2025-00056-S08-C1</x:v>
      </x:c>
      <x:c r="B572" t="str">
        <x:v>PC-PE-KG01-L22-20251020-AM-ORD-2025-00056-S08</x:v>
      </x:c>
      <x:c r="C572" t="str">
        <x:v>PE-KG01-L22-20251020-AM-ORD-2025-00056</x:v>
      </x:c>
      <x:c r="D572" t="str">
        <x:v>KG01</x:v>
      </x:c>
      <x:c r="E572" s="62" t="n">
        <x:v>45950</x:v>
      </x:c>
      <x:c r="F572" t="str">
        <x:v>AM</x:v>
      </x:c>
      <x:c r="G572" t="str">
        <x:v>C</x:v>
      </x:c>
      <x:c r="H572" t="n">
        <x:v>22</x:v>
      </x:c>
      <x:c r="I572" t="str">
        <x:v>ORD-2025-00056</x:v>
      </x:c>
      <x:c r="J572" t="n">
        <x:v>8</x:v>
      </x:c>
      <x:c r="K572" t="n">
        <x:v>1</x:v>
      </x:c>
      <x:c r="L572" t="str">
        <x:v>L22-S08-C1</x:v>
      </x:c>
      <x:c r="M572" t="n">
        <x:v>1</x:v>
      </x:c>
      <x:c r="N572" t="str">
        <x:v>DerivedFromCount</x:v>
      </x:c>
      <x:c r="O572" t="str">
        <x:v>PLC-PRD-JAR-720-L22</x:v>
      </x:c>
      <x:c r="P572" t="str">
        <x:v>OK</x:v>
      </x:c>
      <x:c r="Q572" t="str">
        <x:v>OK</x:v>
      </x:c>
      <x:c r="R572" t="str">
        <x:v>OK</x:v>
      </x:c>
      <x:c r="S572" t="str">
        <x:v>OK</x:v>
      </x:c>
      <x:c r="T572" t="n">
        <x:v>20</x:v>
      </x:c>
      <x:c r="U572" t="str">
        <x:v>OK</x:v>
      </x:c>
      <x:c r="V572" t="str">
        <x:v>OK</x:v>
      </x:c>
      <x:c r="W572" t="str">
        <x:v>LOAD</x:v>
      </x:c>
      <x:c r="X572" t="str">
        <x:v>02_Supervisor_Log(4).xlsx</x:v>
      </x:c>
      <x:c r="Y572" t="str">
        <x:v>ENH-20260830-01</x:v>
      </x:c>
      <x:c r="Z572" t="str">
        <x:v>Active</x:v>
      </x:c>
      <x:c r="AA572"/>
      <x:c r="AB572"/>
      <x:c r="AC572"/>
      <x:c r="AD572"/>
    </x:row>
    <x:row r="573">
      <x:c r="A573" t="str">
        <x:v>PCC-PE-KG01-L22-20251020-AM-ORD-2025-00056-S08-C2</x:v>
      </x:c>
      <x:c r="B573" t="str">
        <x:v>PC-PE-KG01-L22-20251020-AM-ORD-2025-00056-S08</x:v>
      </x:c>
      <x:c r="C573" t="str">
        <x:v>PE-KG01-L22-20251020-AM-ORD-2025-00056</x:v>
      </x:c>
      <x:c r="D573" t="str">
        <x:v>KG01</x:v>
      </x:c>
      <x:c r="E573" s="62" t="n">
        <x:v>45950</x:v>
      </x:c>
      <x:c r="F573" t="str">
        <x:v>AM</x:v>
      </x:c>
      <x:c r="G573" t="str">
        <x:v>C</x:v>
      </x:c>
      <x:c r="H573" t="n">
        <x:v>22</x:v>
      </x:c>
      <x:c r="I573" t="str">
        <x:v>ORD-2025-00056</x:v>
      </x:c>
      <x:c r="J573" t="n">
        <x:v>8</x:v>
      </x:c>
      <x:c r="K573" t="n">
        <x:v>2</x:v>
      </x:c>
      <x:c r="L573" t="str">
        <x:v>L22-S08-C2</x:v>
      </x:c>
      <x:c r="M573" t="n">
        <x:v>1</x:v>
      </x:c>
      <x:c r="N573" t="str">
        <x:v>DerivedFromCount</x:v>
      </x:c>
      <x:c r="O573" t="str">
        <x:v>PLC-PRD-JAR-720-L22</x:v>
      </x:c>
      <x:c r="P573" t="str">
        <x:v>OK</x:v>
      </x:c>
      <x:c r="Q573" t="str">
        <x:v>OK</x:v>
      </x:c>
      <x:c r="R573" t="str">
        <x:v>OK</x:v>
      </x:c>
      <x:c r="S573" t="str">
        <x:v>OK</x:v>
      </x:c>
      <x:c r="T573" t="n">
        <x:v>20</x:v>
      </x:c>
      <x:c r="U573" t="str">
        <x:v>OK</x:v>
      </x:c>
      <x:c r="V573" t="str">
        <x:v>OK</x:v>
      </x:c>
      <x:c r="W573" t="str">
        <x:v>LOAD</x:v>
      </x:c>
      <x:c r="X573" t="str">
        <x:v>02_Supervisor_Log(4).xlsx</x:v>
      </x:c>
      <x:c r="Y573" t="str">
        <x:v>ENH-20260830-01</x:v>
      </x:c>
      <x:c r="Z573" t="str">
        <x:v>Active</x:v>
      </x:c>
      <x:c r="AA573"/>
      <x:c r="AB573"/>
      <x:c r="AC573"/>
      <x:c r="AD573"/>
    </x:row>
    <x:row r="574">
      <x:c r="A574" t="str">
        <x:v>PCC-PE-KG01-L22-20251020-AM-ORD-2025-00056-S08-C3</x:v>
      </x:c>
      <x:c r="B574" t="str">
        <x:v>PC-PE-KG01-L22-20251020-AM-ORD-2025-00056-S08</x:v>
      </x:c>
      <x:c r="C574" t="str">
        <x:v>PE-KG01-L22-20251020-AM-ORD-2025-00056</x:v>
      </x:c>
      <x:c r="D574" t="str">
        <x:v>KG01</x:v>
      </x:c>
      <x:c r="E574" s="62" t="n">
        <x:v>45950</x:v>
      </x:c>
      <x:c r="F574" t="str">
        <x:v>AM</x:v>
      </x:c>
      <x:c r="G574" t="str">
        <x:v>C</x:v>
      </x:c>
      <x:c r="H574" t="n">
        <x:v>22</x:v>
      </x:c>
      <x:c r="I574" t="str">
        <x:v>ORD-2025-00056</x:v>
      </x:c>
      <x:c r="J574" t="n">
        <x:v>8</x:v>
      </x:c>
      <x:c r="K574" t="n">
        <x:v>3</x:v>
      </x:c>
      <x:c r="L574" t="str">
        <x:v>L22-S08-C3</x:v>
      </x:c>
      <x:c r="M574" t="n">
        <x:v>0</x:v>
      </x:c>
      <x:c r="N574" t="str">
        <x:v>DerivedFromCount</x:v>
      </x:c>
      <x:c r="O574" t="str">
        <x:v>PLC-PRD-JAR-720-L22</x:v>
      </x:c>
      <x:c r="P574" t="str">
        <x:v>OK</x:v>
      </x:c>
      <x:c r="Q574" t="str">
        <x:v>OK</x:v>
      </x:c>
      <x:c r="R574" t="str">
        <x:v>OK</x:v>
      </x:c>
      <x:c r="S574" t="str">
        <x:v>OK</x:v>
      </x:c>
      <x:c r="T574" t="n">
        <x:v>20</x:v>
      </x:c>
      <x:c r="U574" t="str">
        <x:v>OK</x:v>
      </x:c>
      <x:c r="V574" t="str">
        <x:v>OK</x:v>
      </x:c>
      <x:c r="W574" t="str">
        <x:v>LOAD</x:v>
      </x:c>
      <x:c r="X574" t="str">
        <x:v>02_Supervisor_Log(4).xlsx</x:v>
      </x:c>
      <x:c r="Y574" t="str">
        <x:v>ENH-20260830-01</x:v>
      </x:c>
      <x:c r="Z574" t="str">
        <x:v>Active</x:v>
      </x:c>
      <x:c r="AA574"/>
      <x:c r="AB574"/>
      <x:c r="AC574"/>
      <x:c r="AD574"/>
    </x:row>
    <x:row r="575">
      <x:c r="A575" t="str">
        <x:v>PCC-PE-KG01-L22-20251020-AM-ORD-2025-00056-S09-C1</x:v>
      </x:c>
      <x:c r="B575" t="str">
        <x:v>PC-PE-KG01-L22-20251020-AM-ORD-2025-00056-S09</x:v>
      </x:c>
      <x:c r="C575" t="str">
        <x:v>PE-KG01-L22-20251020-AM-ORD-2025-00056</x:v>
      </x:c>
      <x:c r="D575" t="str">
        <x:v>KG01</x:v>
      </x:c>
      <x:c r="E575" s="62" t="n">
        <x:v>45950</x:v>
      </x:c>
      <x:c r="F575" t="str">
        <x:v>AM</x:v>
      </x:c>
      <x:c r="G575" t="str">
        <x:v>C</x:v>
      </x:c>
      <x:c r="H575" t="n">
        <x:v>22</x:v>
      </x:c>
      <x:c r="I575" t="str">
        <x:v>ORD-2025-00056</x:v>
      </x:c>
      <x:c r="J575" t="n">
        <x:v>9</x:v>
      </x:c>
      <x:c r="K575" t="n">
        <x:v>1</x:v>
      </x:c>
      <x:c r="L575" t="str">
        <x:v>L22-S09-C1</x:v>
      </x:c>
      <x:c r="M575" t="n">
        <x:v>1</x:v>
      </x:c>
      <x:c r="N575" t="str">
        <x:v>DerivedFromCount</x:v>
      </x:c>
      <x:c r="O575" t="str">
        <x:v>PLC-PRD-JAR-720-L22</x:v>
      </x:c>
      <x:c r="P575" t="str">
        <x:v>OK</x:v>
      </x:c>
      <x:c r="Q575" t="str">
        <x:v>OK</x:v>
      </x:c>
      <x:c r="R575" t="str">
        <x:v>OK</x:v>
      </x:c>
      <x:c r="S575" t="str">
        <x:v>OK</x:v>
      </x:c>
      <x:c r="T575" t="n">
        <x:v>20</x:v>
      </x:c>
      <x:c r="U575" t="str">
        <x:v>OK</x:v>
      </x:c>
      <x:c r="V575" t="str">
        <x:v>OK</x:v>
      </x:c>
      <x:c r="W575" t="str">
        <x:v>LOAD</x:v>
      </x:c>
      <x:c r="X575" t="str">
        <x:v>02_Supervisor_Log(4).xlsx</x:v>
      </x:c>
      <x:c r="Y575" t="str">
        <x:v>ENH-20260830-01</x:v>
      </x:c>
      <x:c r="Z575" t="str">
        <x:v>Active</x:v>
      </x:c>
      <x:c r="AA575"/>
      <x:c r="AB575"/>
      <x:c r="AC575"/>
      <x:c r="AD575"/>
    </x:row>
    <x:row r="576">
      <x:c r="A576" t="str">
        <x:v>PCC-PE-KG01-L22-20251020-AM-ORD-2025-00056-S09-C2</x:v>
      </x:c>
      <x:c r="B576" t="str">
        <x:v>PC-PE-KG01-L22-20251020-AM-ORD-2025-00056-S09</x:v>
      </x:c>
      <x:c r="C576" t="str">
        <x:v>PE-KG01-L22-20251020-AM-ORD-2025-00056</x:v>
      </x:c>
      <x:c r="D576" t="str">
        <x:v>KG01</x:v>
      </x:c>
      <x:c r="E576" s="62" t="n">
        <x:v>45950</x:v>
      </x:c>
      <x:c r="F576" t="str">
        <x:v>AM</x:v>
      </x:c>
      <x:c r="G576" t="str">
        <x:v>C</x:v>
      </x:c>
      <x:c r="H576" t="n">
        <x:v>22</x:v>
      </x:c>
      <x:c r="I576" t="str">
        <x:v>ORD-2025-00056</x:v>
      </x:c>
      <x:c r="J576" t="n">
        <x:v>9</x:v>
      </x:c>
      <x:c r="K576" t="n">
        <x:v>2</x:v>
      </x:c>
      <x:c r="L576" t="str">
        <x:v>L22-S09-C2</x:v>
      </x:c>
      <x:c r="M576" t="n">
        <x:v>1</x:v>
      </x:c>
      <x:c r="N576" t="str">
        <x:v>DerivedFromCount</x:v>
      </x:c>
      <x:c r="O576" t="str">
        <x:v>PLC-PRD-JAR-720-L22</x:v>
      </x:c>
      <x:c r="P576" t="str">
        <x:v>OK</x:v>
      </x:c>
      <x:c r="Q576" t="str">
        <x:v>OK</x:v>
      </x:c>
      <x:c r="R576" t="str">
        <x:v>OK</x:v>
      </x:c>
      <x:c r="S576" t="str">
        <x:v>OK</x:v>
      </x:c>
      <x:c r="T576" t="n">
        <x:v>20</x:v>
      </x:c>
      <x:c r="U576" t="str">
        <x:v>OK</x:v>
      </x:c>
      <x:c r="V576" t="str">
        <x:v>OK</x:v>
      </x:c>
      <x:c r="W576" t="str">
        <x:v>LOAD</x:v>
      </x:c>
      <x:c r="X576" t="str">
        <x:v>02_Supervisor_Log(4).xlsx</x:v>
      </x:c>
      <x:c r="Y576" t="str">
        <x:v>ENH-20260830-01</x:v>
      </x:c>
      <x:c r="Z576" t="str">
        <x:v>Active</x:v>
      </x:c>
      <x:c r="AA576"/>
      <x:c r="AB576"/>
      <x:c r="AC576"/>
      <x:c r="AD576"/>
    </x:row>
    <x:row r="577">
      <x:c r="A577" t="str">
        <x:v>PCC-PE-KG01-L22-20251020-AM-ORD-2025-00056-S09-C3</x:v>
      </x:c>
      <x:c r="B577" t="str">
        <x:v>PC-PE-KG01-L22-20251020-AM-ORD-2025-00056-S09</x:v>
      </x:c>
      <x:c r="C577" t="str">
        <x:v>PE-KG01-L22-20251020-AM-ORD-2025-00056</x:v>
      </x:c>
      <x:c r="D577" t="str">
        <x:v>KG01</x:v>
      </x:c>
      <x:c r="E577" s="62" t="n">
        <x:v>45950</x:v>
      </x:c>
      <x:c r="F577" t="str">
        <x:v>AM</x:v>
      </x:c>
      <x:c r="G577" t="str">
        <x:v>C</x:v>
      </x:c>
      <x:c r="H577" t="n">
        <x:v>22</x:v>
      </x:c>
      <x:c r="I577" t="str">
        <x:v>ORD-2025-00056</x:v>
      </x:c>
      <x:c r="J577" t="n">
        <x:v>9</x:v>
      </x:c>
      <x:c r="K577" t="n">
        <x:v>3</x:v>
      </x:c>
      <x:c r="L577" t="str">
        <x:v>L22-S09-C3</x:v>
      </x:c>
      <x:c r="M577" t="n">
        <x:v>0</x:v>
      </x:c>
      <x:c r="N577" t="str">
        <x:v>DerivedFromCount</x:v>
      </x:c>
      <x:c r="O577" t="str">
        <x:v>PLC-PRD-JAR-720-L22</x:v>
      </x:c>
      <x:c r="P577" t="str">
        <x:v>OK</x:v>
      </x:c>
      <x:c r="Q577" t="str">
        <x:v>OK</x:v>
      </x:c>
      <x:c r="R577" t="str">
        <x:v>OK</x:v>
      </x:c>
      <x:c r="S577" t="str">
        <x:v>OK</x:v>
      </x:c>
      <x:c r="T577" t="n">
        <x:v>20</x:v>
      </x:c>
      <x:c r="U577" t="str">
        <x:v>OK</x:v>
      </x:c>
      <x:c r="V577" t="str">
        <x:v>OK</x:v>
      </x:c>
      <x:c r="W577" t="str">
        <x:v>LOAD</x:v>
      </x:c>
      <x:c r="X577" t="str">
        <x:v>02_Supervisor_Log(4).xlsx</x:v>
      </x:c>
      <x:c r="Y577" t="str">
        <x:v>ENH-20260830-01</x:v>
      </x:c>
      <x:c r="Z577" t="str">
        <x:v>Active</x:v>
      </x:c>
      <x:c r="AA577"/>
      <x:c r="AB577"/>
      <x:c r="AC577"/>
      <x:c r="AD577"/>
    </x:row>
    <x:row r="578">
      <x:c r="A578" t="str">
        <x:v>PCC-PE-KG01-L22-20251020-AM-ORD-2025-00056-S10-C1</x:v>
      </x:c>
      <x:c r="B578" t="str">
        <x:v>PC-PE-KG01-L22-20251020-AM-ORD-2025-00056-S10</x:v>
      </x:c>
      <x:c r="C578" t="str">
        <x:v>PE-KG01-L22-20251020-AM-ORD-2025-00056</x:v>
      </x:c>
      <x:c r="D578" t="str">
        <x:v>KG01</x:v>
      </x:c>
      <x:c r="E578" s="62" t="n">
        <x:v>45950</x:v>
      </x:c>
      <x:c r="F578" t="str">
        <x:v>AM</x:v>
      </x:c>
      <x:c r="G578" t="str">
        <x:v>C</x:v>
      </x:c>
      <x:c r="H578" t="n">
        <x:v>22</x:v>
      </x:c>
      <x:c r="I578" t="str">
        <x:v>ORD-2025-00056</x:v>
      </x:c>
      <x:c r="J578" t="n">
        <x:v>10</x:v>
      </x:c>
      <x:c r="K578" t="n">
        <x:v>1</x:v>
      </x:c>
      <x:c r="L578" t="str">
        <x:v>L22-S10-C1</x:v>
      </x:c>
      <x:c r="M578" t="n">
        <x:v>1</x:v>
      </x:c>
      <x:c r="N578" t="str">
        <x:v>DerivedFromCount</x:v>
      </x:c>
      <x:c r="O578" t="str">
        <x:v>PLC-PRD-JAR-720-L22</x:v>
      </x:c>
      <x:c r="P578" t="str">
        <x:v>OK</x:v>
      </x:c>
      <x:c r="Q578" t="str">
        <x:v>OK</x:v>
      </x:c>
      <x:c r="R578" t="str">
        <x:v>OK</x:v>
      </x:c>
      <x:c r="S578" t="str">
        <x:v>OK</x:v>
      </x:c>
      <x:c r="T578" t="n">
        <x:v>20</x:v>
      </x:c>
      <x:c r="U578" t="str">
        <x:v>OK</x:v>
      </x:c>
      <x:c r="V578" t="str">
        <x:v>OK</x:v>
      </x:c>
      <x:c r="W578" t="str">
        <x:v>LOAD</x:v>
      </x:c>
      <x:c r="X578" t="str">
        <x:v>02_Supervisor_Log(4).xlsx</x:v>
      </x:c>
      <x:c r="Y578" t="str">
        <x:v>ENH-20260830-01</x:v>
      </x:c>
      <x:c r="Z578" t="str">
        <x:v>Active</x:v>
      </x:c>
      <x:c r="AA578"/>
      <x:c r="AB578"/>
      <x:c r="AC578"/>
      <x:c r="AD578"/>
    </x:row>
    <x:row r="579">
      <x:c r="A579" t="str">
        <x:v>PCC-PE-KG01-L22-20251020-AM-ORD-2025-00056-S10-C2</x:v>
      </x:c>
      <x:c r="B579" t="str">
        <x:v>PC-PE-KG01-L22-20251020-AM-ORD-2025-00056-S10</x:v>
      </x:c>
      <x:c r="C579" t="str">
        <x:v>PE-KG01-L22-20251020-AM-ORD-2025-00056</x:v>
      </x:c>
      <x:c r="D579" t="str">
        <x:v>KG01</x:v>
      </x:c>
      <x:c r="E579" s="62" t="n">
        <x:v>45950</x:v>
      </x:c>
      <x:c r="F579" t="str">
        <x:v>AM</x:v>
      </x:c>
      <x:c r="G579" t="str">
        <x:v>C</x:v>
      </x:c>
      <x:c r="H579" t="n">
        <x:v>22</x:v>
      </x:c>
      <x:c r="I579" t="str">
        <x:v>ORD-2025-00056</x:v>
      </x:c>
      <x:c r="J579" t="n">
        <x:v>10</x:v>
      </x:c>
      <x:c r="K579" t="n">
        <x:v>2</x:v>
      </x:c>
      <x:c r="L579" t="str">
        <x:v>L22-S10-C2</x:v>
      </x:c>
      <x:c r="M579" t="n">
        <x:v>1</x:v>
      </x:c>
      <x:c r="N579" t="str">
        <x:v>DerivedFromCount</x:v>
      </x:c>
      <x:c r="O579" t="str">
        <x:v>PLC-PRD-JAR-720-L22</x:v>
      </x:c>
      <x:c r="P579" t="str">
        <x:v>OK</x:v>
      </x:c>
      <x:c r="Q579" t="str">
        <x:v>OK</x:v>
      </x:c>
      <x:c r="R579" t="str">
        <x:v>OK</x:v>
      </x:c>
      <x:c r="S579" t="str">
        <x:v>OK</x:v>
      </x:c>
      <x:c r="T579" t="n">
        <x:v>20</x:v>
      </x:c>
      <x:c r="U579" t="str">
        <x:v>OK</x:v>
      </x:c>
      <x:c r="V579" t="str">
        <x:v>OK</x:v>
      </x:c>
      <x:c r="W579" t="str">
        <x:v>LOAD</x:v>
      </x:c>
      <x:c r="X579" t="str">
        <x:v>02_Supervisor_Log(4).xlsx</x:v>
      </x:c>
      <x:c r="Y579" t="str">
        <x:v>ENH-20260830-01</x:v>
      </x:c>
      <x:c r="Z579" t="str">
        <x:v>Active</x:v>
      </x:c>
      <x:c r="AA579"/>
      <x:c r="AB579"/>
      <x:c r="AC579"/>
      <x:c r="AD579"/>
    </x:row>
    <x:row r="580">
      <x:c r="A580" t="str">
        <x:v>PCC-PE-KG01-L22-20251020-AM-ORD-2025-00056-S10-C3</x:v>
      </x:c>
      <x:c r="B580" t="str">
        <x:v>PC-PE-KG01-L22-20251020-AM-ORD-2025-00056-S10</x:v>
      </x:c>
      <x:c r="C580" t="str">
        <x:v>PE-KG01-L22-20251020-AM-ORD-2025-00056</x:v>
      </x:c>
      <x:c r="D580" t="str">
        <x:v>KG01</x:v>
      </x:c>
      <x:c r="E580" s="62" t="n">
        <x:v>45950</x:v>
      </x:c>
      <x:c r="F580" t="str">
        <x:v>AM</x:v>
      </x:c>
      <x:c r="G580" t="str">
        <x:v>C</x:v>
      </x:c>
      <x:c r="H580" t="n">
        <x:v>22</x:v>
      </x:c>
      <x:c r="I580" t="str">
        <x:v>ORD-2025-00056</x:v>
      </x:c>
      <x:c r="J580" t="n">
        <x:v>10</x:v>
      </x:c>
      <x:c r="K580" t="n">
        <x:v>3</x:v>
      </x:c>
      <x:c r="L580" t="str">
        <x:v>L22-S10-C3</x:v>
      </x:c>
      <x:c r="M580" t="n">
        <x:v>0</x:v>
      </x:c>
      <x:c r="N580" t="str">
        <x:v>DerivedFromCount</x:v>
      </x:c>
      <x:c r="O580" t="str">
        <x:v>PLC-PRD-JAR-720-L22</x:v>
      </x:c>
      <x:c r="P580" t="str">
        <x:v>OK</x:v>
      </x:c>
      <x:c r="Q580" t="str">
        <x:v>OK</x:v>
      </x:c>
      <x:c r="R580" t="str">
        <x:v>OK</x:v>
      </x:c>
      <x:c r="S580" t="str">
        <x:v>OK</x:v>
      </x:c>
      <x:c r="T580" t="n">
        <x:v>20</x:v>
      </x:c>
      <x:c r="U580" t="str">
        <x:v>OK</x:v>
      </x:c>
      <x:c r="V580" t="str">
        <x:v>OK</x:v>
      </x:c>
      <x:c r="W580" t="str">
        <x:v>LOAD</x:v>
      </x:c>
      <x:c r="X580" t="str">
        <x:v>02_Supervisor_Log(4).xlsx</x:v>
      </x:c>
      <x:c r="Y580" t="str">
        <x:v>ENH-20260830-01</x:v>
      </x:c>
      <x:c r="Z580" t="str">
        <x:v>Active</x:v>
      </x:c>
      <x:c r="AA580"/>
      <x:c r="AB580"/>
      <x:c r="AC580"/>
      <x:c r="AD580"/>
    </x:row>
    <x:row r="581">
      <x:c r="A581" t="str">
        <x:v>PCC-PE-KG01-L22-20251020-AM-ORD-2025-00056-S11-C1</x:v>
      </x:c>
      <x:c r="B581" t="str">
        <x:v>PC-PE-KG01-L22-20251020-AM-ORD-2025-00056-S11</x:v>
      </x:c>
      <x:c r="C581" t="str">
        <x:v>PE-KG01-L22-20251020-AM-ORD-2025-00056</x:v>
      </x:c>
      <x:c r="D581" t="str">
        <x:v>KG01</x:v>
      </x:c>
      <x:c r="E581" s="62" t="n">
        <x:v>45950</x:v>
      </x:c>
      <x:c r="F581" t="str">
        <x:v>AM</x:v>
      </x:c>
      <x:c r="G581" t="str">
        <x:v>C</x:v>
      </x:c>
      <x:c r="H581" t="n">
        <x:v>22</x:v>
      </x:c>
      <x:c r="I581" t="str">
        <x:v>ORD-2025-00056</x:v>
      </x:c>
      <x:c r="J581" t="n">
        <x:v>11</x:v>
      </x:c>
      <x:c r="K581" t="n">
        <x:v>1</x:v>
      </x:c>
      <x:c r="L581" t="str">
        <x:v>L22-S11-C1</x:v>
      </x:c>
      <x:c r="M581" t="n">
        <x:v>0</x:v>
      </x:c>
      <x:c r="N581" t="str">
        <x:v>DerivedFromCount</x:v>
      </x:c>
      <x:c r="O581" t="str">
        <x:v>PLC-PRD-JAR-720-L22</x:v>
      </x:c>
      <x:c r="P581" t="str">
        <x:v>OK</x:v>
      </x:c>
      <x:c r="Q581" t="str">
        <x:v>OK</x:v>
      </x:c>
      <x:c r="R581" t="str">
        <x:v>OK</x:v>
      </x:c>
      <x:c r="S581" t="str">
        <x:v>OK</x:v>
      </x:c>
      <x:c r="T581" t="n">
        <x:v>20</x:v>
      </x:c>
      <x:c r="U581" t="str">
        <x:v>OK</x:v>
      </x:c>
      <x:c r="V581" t="str">
        <x:v>OK</x:v>
      </x:c>
      <x:c r="W581" t="str">
        <x:v>LOAD</x:v>
      </x:c>
      <x:c r="X581" t="str">
        <x:v>02_Supervisor_Log(4).xlsx</x:v>
      </x:c>
      <x:c r="Y581" t="str">
        <x:v>ENH-20260830-01</x:v>
      </x:c>
      <x:c r="Z581" t="str">
        <x:v>Active</x:v>
      </x:c>
      <x:c r="AA581"/>
      <x:c r="AB581"/>
      <x:c r="AC581"/>
      <x:c r="AD581"/>
    </x:row>
    <x:row r="582">
      <x:c r="A582" t="str">
        <x:v>PCC-PE-KG01-L22-20251020-AM-ORD-2025-00056-S11-C2</x:v>
      </x:c>
      <x:c r="B582" t="str">
        <x:v>PC-PE-KG01-L22-20251020-AM-ORD-2025-00056-S11</x:v>
      </x:c>
      <x:c r="C582" t="str">
        <x:v>PE-KG01-L22-20251020-AM-ORD-2025-00056</x:v>
      </x:c>
      <x:c r="D582" t="str">
        <x:v>KG01</x:v>
      </x:c>
      <x:c r="E582" s="62" t="n">
        <x:v>45950</x:v>
      </x:c>
      <x:c r="F582" t="str">
        <x:v>AM</x:v>
      </x:c>
      <x:c r="G582" t="str">
        <x:v>C</x:v>
      </x:c>
      <x:c r="H582" t="n">
        <x:v>22</x:v>
      </x:c>
      <x:c r="I582" t="str">
        <x:v>ORD-2025-00056</x:v>
      </x:c>
      <x:c r="J582" t="n">
        <x:v>11</x:v>
      </x:c>
      <x:c r="K582" t="n">
        <x:v>2</x:v>
      </x:c>
      <x:c r="L582" t="str">
        <x:v>L22-S11-C2</x:v>
      </x:c>
      <x:c r="M582" t="n">
        <x:v>0</x:v>
      </x:c>
      <x:c r="N582" t="str">
        <x:v>DerivedFromCount</x:v>
      </x:c>
      <x:c r="O582" t="str">
        <x:v>PLC-PRD-JAR-720-L22</x:v>
      </x:c>
      <x:c r="P582" t="str">
        <x:v>OK</x:v>
      </x:c>
      <x:c r="Q582" t="str">
        <x:v>OK</x:v>
      </x:c>
      <x:c r="R582" t="str">
        <x:v>OK</x:v>
      </x:c>
      <x:c r="S582" t="str">
        <x:v>OK</x:v>
      </x:c>
      <x:c r="T582" t="n">
        <x:v>20</x:v>
      </x:c>
      <x:c r="U582" t="str">
        <x:v>OK</x:v>
      </x:c>
      <x:c r="V582" t="str">
        <x:v>OK</x:v>
      </x:c>
      <x:c r="W582" t="str">
        <x:v>LOAD</x:v>
      </x:c>
      <x:c r="X582" t="str">
        <x:v>02_Supervisor_Log(4).xlsx</x:v>
      </x:c>
      <x:c r="Y582" t="str">
        <x:v>ENH-20260830-01</x:v>
      </x:c>
      <x:c r="Z582" t="str">
        <x:v>Active</x:v>
      </x:c>
      <x:c r="AA582"/>
      <x:c r="AB582"/>
      <x:c r="AC582"/>
      <x:c r="AD582"/>
    </x:row>
    <x:row r="583">
      <x:c r="A583" t="str">
        <x:v>PCC-PE-KG01-L22-20251020-AM-ORD-2025-00056-S11-C3</x:v>
      </x:c>
      <x:c r="B583" t="str">
        <x:v>PC-PE-KG01-L22-20251020-AM-ORD-2025-00056-S11</x:v>
      </x:c>
      <x:c r="C583" t="str">
        <x:v>PE-KG01-L22-20251020-AM-ORD-2025-00056</x:v>
      </x:c>
      <x:c r="D583" t="str">
        <x:v>KG01</x:v>
      </x:c>
      <x:c r="E583" s="62" t="n">
        <x:v>45950</x:v>
      </x:c>
      <x:c r="F583" t="str">
        <x:v>AM</x:v>
      </x:c>
      <x:c r="G583" t="str">
        <x:v>C</x:v>
      </x:c>
      <x:c r="H583" t="n">
        <x:v>22</x:v>
      </x:c>
      <x:c r="I583" t="str">
        <x:v>ORD-2025-00056</x:v>
      </x:c>
      <x:c r="J583" t="n">
        <x:v>11</x:v>
      </x:c>
      <x:c r="K583" t="n">
        <x:v>3</x:v>
      </x:c>
      <x:c r="L583" t="str">
        <x:v>L22-S11-C3</x:v>
      </x:c>
      <x:c r="M583" t="n">
        <x:v>0</x:v>
      </x:c>
      <x:c r="N583" t="str">
        <x:v>DerivedFromCount</x:v>
      </x:c>
      <x:c r="O583" t="str">
        <x:v>PLC-PRD-JAR-720-L22</x:v>
      </x:c>
      <x:c r="P583" t="str">
        <x:v>OK</x:v>
      </x:c>
      <x:c r="Q583" t="str">
        <x:v>OK</x:v>
      </x:c>
      <x:c r="R583" t="str">
        <x:v>OK</x:v>
      </x:c>
      <x:c r="S583" t="str">
        <x:v>OK</x:v>
      </x:c>
      <x:c r="T583" t="n">
        <x:v>20</x:v>
      </x:c>
      <x:c r="U583" t="str">
        <x:v>OK</x:v>
      </x:c>
      <x:c r="V583" t="str">
        <x:v>OK</x:v>
      </x:c>
      <x:c r="W583" t="str">
        <x:v>LOAD</x:v>
      </x:c>
      <x:c r="X583" t="str">
        <x:v>02_Supervisor_Log(4).xlsx</x:v>
      </x:c>
      <x:c r="Y583" t="str">
        <x:v>ENH-20260830-01</x:v>
      </x:c>
      <x:c r="Z583" t="str">
        <x:v>Active</x:v>
      </x:c>
      <x:c r="AA583"/>
      <x:c r="AB583"/>
      <x:c r="AC583"/>
      <x:c r="AD583"/>
    </x:row>
    <x:row r="584">
      <x:c r="A584" t="str">
        <x:v>PCC-PE-KG01-L22-20251020-AM-ORD-2025-00056-S12-C1</x:v>
      </x:c>
      <x:c r="B584" t="str">
        <x:v>PC-PE-KG01-L22-20251020-AM-ORD-2025-00056-S12</x:v>
      </x:c>
      <x:c r="C584" t="str">
        <x:v>PE-KG01-L22-20251020-AM-ORD-2025-00056</x:v>
      </x:c>
      <x:c r="D584" t="str">
        <x:v>KG01</x:v>
      </x:c>
      <x:c r="E584" s="62" t="n">
        <x:v>45950</x:v>
      </x:c>
      <x:c r="F584" t="str">
        <x:v>AM</x:v>
      </x:c>
      <x:c r="G584" t="str">
        <x:v>C</x:v>
      </x:c>
      <x:c r="H584" t="n">
        <x:v>22</x:v>
      </x:c>
      <x:c r="I584" t="str">
        <x:v>ORD-2025-00056</x:v>
      </x:c>
      <x:c r="J584" t="n">
        <x:v>12</x:v>
      </x:c>
      <x:c r="K584" t="n">
        <x:v>1</x:v>
      </x:c>
      <x:c r="L584" t="str">
        <x:v>L22-S12-C1</x:v>
      </x:c>
      <x:c r="M584" t="n">
        <x:v>0</x:v>
      </x:c>
      <x:c r="N584" t="str">
        <x:v>DerivedFromCount</x:v>
      </x:c>
      <x:c r="O584" t="str">
        <x:v>PLC-PRD-JAR-720-L22</x:v>
      </x:c>
      <x:c r="P584" t="str">
        <x:v>OK</x:v>
      </x:c>
      <x:c r="Q584" t="str">
        <x:v>OK</x:v>
      </x:c>
      <x:c r="R584" t="str">
        <x:v>OK</x:v>
      </x:c>
      <x:c r="S584" t="str">
        <x:v>OK</x:v>
      </x:c>
      <x:c r="T584" t="n">
        <x:v>20</x:v>
      </x:c>
      <x:c r="U584" t="str">
        <x:v>OK</x:v>
      </x:c>
      <x:c r="V584" t="str">
        <x:v>OK</x:v>
      </x:c>
      <x:c r="W584" t="str">
        <x:v>LOAD</x:v>
      </x:c>
      <x:c r="X584" t="str">
        <x:v>02_Supervisor_Log(4).xlsx</x:v>
      </x:c>
      <x:c r="Y584" t="str">
        <x:v>ENH-20260830-01</x:v>
      </x:c>
      <x:c r="Z584" t="str">
        <x:v>Active</x:v>
      </x:c>
      <x:c r="AA584"/>
      <x:c r="AB584"/>
      <x:c r="AC584"/>
      <x:c r="AD584"/>
    </x:row>
    <x:row r="585">
      <x:c r="A585" t="str">
        <x:v>PCC-PE-KG01-L22-20251020-AM-ORD-2025-00056-S12-C2</x:v>
      </x:c>
      <x:c r="B585" t="str">
        <x:v>PC-PE-KG01-L22-20251020-AM-ORD-2025-00056-S12</x:v>
      </x:c>
      <x:c r="C585" t="str">
        <x:v>PE-KG01-L22-20251020-AM-ORD-2025-00056</x:v>
      </x:c>
      <x:c r="D585" t="str">
        <x:v>KG01</x:v>
      </x:c>
      <x:c r="E585" s="62" t="n">
        <x:v>45950</x:v>
      </x:c>
      <x:c r="F585" t="str">
        <x:v>AM</x:v>
      </x:c>
      <x:c r="G585" t="str">
        <x:v>C</x:v>
      </x:c>
      <x:c r="H585" t="n">
        <x:v>22</x:v>
      </x:c>
      <x:c r="I585" t="str">
        <x:v>ORD-2025-00056</x:v>
      </x:c>
      <x:c r="J585" t="n">
        <x:v>12</x:v>
      </x:c>
      <x:c r="K585" t="n">
        <x:v>2</x:v>
      </x:c>
      <x:c r="L585" t="str">
        <x:v>L22-S12-C2</x:v>
      </x:c>
      <x:c r="M585" t="n">
        <x:v>0</x:v>
      </x:c>
      <x:c r="N585" t="str">
        <x:v>DerivedFromCount</x:v>
      </x:c>
      <x:c r="O585" t="str">
        <x:v>PLC-PRD-JAR-720-L22</x:v>
      </x:c>
      <x:c r="P585" t="str">
        <x:v>OK</x:v>
      </x:c>
      <x:c r="Q585" t="str">
        <x:v>OK</x:v>
      </x:c>
      <x:c r="R585" t="str">
        <x:v>OK</x:v>
      </x:c>
      <x:c r="S585" t="str">
        <x:v>OK</x:v>
      </x:c>
      <x:c r="T585" t="n">
        <x:v>20</x:v>
      </x:c>
      <x:c r="U585" t="str">
        <x:v>OK</x:v>
      </x:c>
      <x:c r="V585" t="str">
        <x:v>OK</x:v>
      </x:c>
      <x:c r="W585" t="str">
        <x:v>LOAD</x:v>
      </x:c>
      <x:c r="X585" t="str">
        <x:v>02_Supervisor_Log(4).xlsx</x:v>
      </x:c>
      <x:c r="Y585" t="str">
        <x:v>ENH-20260830-01</x:v>
      </x:c>
      <x:c r="Z585" t="str">
        <x:v>Active</x:v>
      </x:c>
      <x:c r="AA585"/>
      <x:c r="AB585"/>
      <x:c r="AC585"/>
      <x:c r="AD585"/>
    </x:row>
    <x:row r="586">
      <x:c r="A586" t="str">
        <x:v>PCC-PE-KG01-L22-20251020-AM-ORD-2025-00056-S12-C3</x:v>
      </x:c>
      <x:c r="B586" t="str">
        <x:v>PC-PE-KG01-L22-20251020-AM-ORD-2025-00056-S12</x:v>
      </x:c>
      <x:c r="C586" t="str">
        <x:v>PE-KG01-L22-20251020-AM-ORD-2025-00056</x:v>
      </x:c>
      <x:c r="D586" t="str">
        <x:v>KG01</x:v>
      </x:c>
      <x:c r="E586" s="62" t="n">
        <x:v>45950</x:v>
      </x:c>
      <x:c r="F586" t="str">
        <x:v>AM</x:v>
      </x:c>
      <x:c r="G586" t="str">
        <x:v>C</x:v>
      </x:c>
      <x:c r="H586" t="n">
        <x:v>22</x:v>
      </x:c>
      <x:c r="I586" t="str">
        <x:v>ORD-2025-00056</x:v>
      </x:c>
      <x:c r="J586" t="n">
        <x:v>12</x:v>
      </x:c>
      <x:c r="K586" t="n">
        <x:v>3</x:v>
      </x:c>
      <x:c r="L586" t="str">
        <x:v>L22-S12-C3</x:v>
      </x:c>
      <x:c r="M586" t="n">
        <x:v>0</x:v>
      </x:c>
      <x:c r="N586" t="str">
        <x:v>DerivedFromCount</x:v>
      </x:c>
      <x:c r="O586" t="str">
        <x:v>PLC-PRD-JAR-720-L22</x:v>
      </x:c>
      <x:c r="P586" t="str">
        <x:v>OK</x:v>
      </x:c>
      <x:c r="Q586" t="str">
        <x:v>OK</x:v>
      </x:c>
      <x:c r="R586" t="str">
        <x:v>OK</x:v>
      </x:c>
      <x:c r="S586" t="str">
        <x:v>OK</x:v>
      </x:c>
      <x:c r="T586" t="n">
        <x:v>20</x:v>
      </x:c>
      <x:c r="U586" t="str">
        <x:v>OK</x:v>
      </x:c>
      <x:c r="V586" t="str">
        <x:v>OK</x:v>
      </x:c>
      <x:c r="W586" t="str">
        <x:v>LOAD</x:v>
      </x:c>
      <x:c r="X586" t="str">
        <x:v>02_Supervisor_Log(4).xlsx</x:v>
      </x:c>
      <x:c r="Y586" t="str">
        <x:v>ENH-20260830-01</x:v>
      </x:c>
      <x:c r="Z586" t="str">
        <x:v>Active</x:v>
      </x:c>
      <x:c r="AA586"/>
      <x:c r="AB586"/>
      <x:c r="AC586"/>
      <x:c r="AD586"/>
    </x:row>
    <x:row r="587">
      <x:c r="A587" t="str">
        <x:v>PCC-PE-KG01-L22-20251020-AM-ORD-2025-00056-S13-C1</x:v>
      </x:c>
      <x:c r="B587" t="str">
        <x:v>PC-PE-KG01-L22-20251020-AM-ORD-2025-00056-S13</x:v>
      </x:c>
      <x:c r="C587" t="str">
        <x:v>PE-KG01-L22-20251020-AM-ORD-2025-00056</x:v>
      </x:c>
      <x:c r="D587" t="str">
        <x:v>KG01</x:v>
      </x:c>
      <x:c r="E587" s="62" t="n">
        <x:v>45950</x:v>
      </x:c>
      <x:c r="F587" t="str">
        <x:v>AM</x:v>
      </x:c>
      <x:c r="G587" t="str">
        <x:v>C</x:v>
      </x:c>
      <x:c r="H587" t="n">
        <x:v>22</x:v>
      </x:c>
      <x:c r="I587" t="str">
        <x:v>ORD-2025-00056</x:v>
      </x:c>
      <x:c r="J587" t="n">
        <x:v>13</x:v>
      </x:c>
      <x:c r="K587" t="n">
        <x:v>1</x:v>
      </x:c>
      <x:c r="L587" t="str">
        <x:v>L22-S13-C1</x:v>
      </x:c>
      <x:c r="M587" t="n">
        <x:v>0</x:v>
      </x:c>
      <x:c r="N587" t="str">
        <x:v>DerivedFromCount</x:v>
      </x:c>
      <x:c r="O587" t="str">
        <x:v>PLC-PRD-JAR-720-L22</x:v>
      </x:c>
      <x:c r="P587" t="str">
        <x:v>OK</x:v>
      </x:c>
      <x:c r="Q587" t="str">
        <x:v>OK</x:v>
      </x:c>
      <x:c r="R587" t="str">
        <x:v>OK</x:v>
      </x:c>
      <x:c r="S587" t="str">
        <x:v>OK</x:v>
      </x:c>
      <x:c r="T587" t="n">
        <x:v>20</x:v>
      </x:c>
      <x:c r="U587" t="str">
        <x:v>OK</x:v>
      </x:c>
      <x:c r="V587" t="str">
        <x:v>OK</x:v>
      </x:c>
      <x:c r="W587" t="str">
        <x:v>LOAD</x:v>
      </x:c>
      <x:c r="X587" t="str">
        <x:v>02_Supervisor_Log(4).xlsx</x:v>
      </x:c>
      <x:c r="Y587" t="str">
        <x:v>ENH-20260830-01</x:v>
      </x:c>
      <x:c r="Z587" t="str">
        <x:v>Active</x:v>
      </x:c>
      <x:c r="AA587"/>
      <x:c r="AB587"/>
      <x:c r="AC587"/>
      <x:c r="AD587"/>
    </x:row>
    <x:row r="588">
      <x:c r="A588" t="str">
        <x:v>PCC-PE-KG01-L22-20251020-AM-ORD-2025-00056-S13-C2</x:v>
      </x:c>
      <x:c r="B588" t="str">
        <x:v>PC-PE-KG01-L22-20251020-AM-ORD-2025-00056-S13</x:v>
      </x:c>
      <x:c r="C588" t="str">
        <x:v>PE-KG01-L22-20251020-AM-ORD-2025-00056</x:v>
      </x:c>
      <x:c r="D588" t="str">
        <x:v>KG01</x:v>
      </x:c>
      <x:c r="E588" s="62" t="n">
        <x:v>45950</x:v>
      </x:c>
      <x:c r="F588" t="str">
        <x:v>AM</x:v>
      </x:c>
      <x:c r="G588" t="str">
        <x:v>C</x:v>
      </x:c>
      <x:c r="H588" t="n">
        <x:v>22</x:v>
      </x:c>
      <x:c r="I588" t="str">
        <x:v>ORD-2025-00056</x:v>
      </x:c>
      <x:c r="J588" t="n">
        <x:v>13</x:v>
      </x:c>
      <x:c r="K588" t="n">
        <x:v>2</x:v>
      </x:c>
      <x:c r="L588" t="str">
        <x:v>L22-S13-C2</x:v>
      </x:c>
      <x:c r="M588" t="n">
        <x:v>0</x:v>
      </x:c>
      <x:c r="N588" t="str">
        <x:v>DerivedFromCount</x:v>
      </x:c>
      <x:c r="O588" t="str">
        <x:v>PLC-PRD-JAR-720-L22</x:v>
      </x:c>
      <x:c r="P588" t="str">
        <x:v>OK</x:v>
      </x:c>
      <x:c r="Q588" t="str">
        <x:v>OK</x:v>
      </x:c>
      <x:c r="R588" t="str">
        <x:v>OK</x:v>
      </x:c>
      <x:c r="S588" t="str">
        <x:v>OK</x:v>
      </x:c>
      <x:c r="T588" t="n">
        <x:v>20</x:v>
      </x:c>
      <x:c r="U588" t="str">
        <x:v>OK</x:v>
      </x:c>
      <x:c r="V588" t="str">
        <x:v>OK</x:v>
      </x:c>
      <x:c r="W588" t="str">
        <x:v>LOAD</x:v>
      </x:c>
      <x:c r="X588" t="str">
        <x:v>02_Supervisor_Log(4).xlsx</x:v>
      </x:c>
      <x:c r="Y588" t="str">
        <x:v>ENH-20260830-01</x:v>
      </x:c>
      <x:c r="Z588" t="str">
        <x:v>Active</x:v>
      </x:c>
      <x:c r="AA588"/>
      <x:c r="AB588"/>
      <x:c r="AC588"/>
      <x:c r="AD588"/>
    </x:row>
    <x:row r="589">
      <x:c r="A589" t="str">
        <x:v>PCC-PE-KG01-L22-20251020-AM-ORD-2025-00056-S13-C3</x:v>
      </x:c>
      <x:c r="B589" t="str">
        <x:v>PC-PE-KG01-L22-20251020-AM-ORD-2025-00056-S13</x:v>
      </x:c>
      <x:c r="C589" t="str">
        <x:v>PE-KG01-L22-20251020-AM-ORD-2025-00056</x:v>
      </x:c>
      <x:c r="D589" t="str">
        <x:v>KG01</x:v>
      </x:c>
      <x:c r="E589" s="62" t="n">
        <x:v>45950</x:v>
      </x:c>
      <x:c r="F589" t="str">
        <x:v>AM</x:v>
      </x:c>
      <x:c r="G589" t="str">
        <x:v>C</x:v>
      </x:c>
      <x:c r="H589" t="n">
        <x:v>22</x:v>
      </x:c>
      <x:c r="I589" t="str">
        <x:v>ORD-2025-00056</x:v>
      </x:c>
      <x:c r="J589" t="n">
        <x:v>13</x:v>
      </x:c>
      <x:c r="K589" t="n">
        <x:v>3</x:v>
      </x:c>
      <x:c r="L589" t="str">
        <x:v>L22-S13-C3</x:v>
      </x:c>
      <x:c r="M589" t="n">
        <x:v>0</x:v>
      </x:c>
      <x:c r="N589" t="str">
        <x:v>DerivedFromCount</x:v>
      </x:c>
      <x:c r="O589" t="str">
        <x:v>PLC-PRD-JAR-720-L22</x:v>
      </x:c>
      <x:c r="P589" t="str">
        <x:v>OK</x:v>
      </x:c>
      <x:c r="Q589" t="str">
        <x:v>OK</x:v>
      </x:c>
      <x:c r="R589" t="str">
        <x:v>OK</x:v>
      </x:c>
      <x:c r="S589" t="str">
        <x:v>OK</x:v>
      </x:c>
      <x:c r="T589" t="n">
        <x:v>20</x:v>
      </x:c>
      <x:c r="U589" t="str">
        <x:v>OK</x:v>
      </x:c>
      <x:c r="V589" t="str">
        <x:v>OK</x:v>
      </x:c>
      <x:c r="W589" t="str">
        <x:v>LOAD</x:v>
      </x:c>
      <x:c r="X589" t="str">
        <x:v>02_Supervisor_Log(4).xlsx</x:v>
      </x:c>
      <x:c r="Y589" t="str">
        <x:v>ENH-20260830-01</x:v>
      </x:c>
      <x:c r="Z589" t="str">
        <x:v>Active</x:v>
      </x:c>
      <x:c r="AA589"/>
      <x:c r="AB589"/>
      <x:c r="AC589"/>
      <x:c r="AD589"/>
    </x:row>
    <x:row r="590">
      <x:c r="A590" t="str">
        <x:v>PCC-PE-KG01-L22-20251020-PM-ORD-2025-00056-S01-C1</x:v>
      </x:c>
      <x:c r="B590" t="str">
        <x:v>PC-PE-KG01-L22-20251020-PM-ORD-2025-00056-S01</x:v>
      </x:c>
      <x:c r="C590" t="str">
        <x:v>PE-KG01-L22-20251020-PM-ORD-2025-00056</x:v>
      </x:c>
      <x:c r="D590" t="str">
        <x:v>KG01</x:v>
      </x:c>
      <x:c r="E590" s="62" t="n">
        <x:v>45950</x:v>
      </x:c>
      <x:c r="F590" t="str">
        <x:v>PM</x:v>
      </x:c>
      <x:c r="G590" t="str">
        <x:v>A</x:v>
      </x:c>
      <x:c r="H590" t="n">
        <x:v>22</x:v>
      </x:c>
      <x:c r="I590" t="str">
        <x:v>ORD-2025-00056</x:v>
      </x:c>
      <x:c r="J590" t="n">
        <x:v>1</x:v>
      </x:c>
      <x:c r="K590" t="n">
        <x:v>1</x:v>
      </x:c>
      <x:c r="L590" t="str">
        <x:v>L22-S01-C1</x:v>
      </x:c>
      <x:c r="M590" t="n">
        <x:v>1</x:v>
      </x:c>
      <x:c r="N590" t="str">
        <x:v>DerivedFromCount</x:v>
      </x:c>
      <x:c r="O590" t="str">
        <x:v>PLC-PRD-JAR-720-L22</x:v>
      </x:c>
      <x:c r="P590" t="str">
        <x:v>OK</x:v>
      </x:c>
      <x:c r="Q590" t="str">
        <x:v>OK</x:v>
      </x:c>
      <x:c r="R590" t="str">
        <x:v>OK</x:v>
      </x:c>
      <x:c r="S590" t="str">
        <x:v>OK</x:v>
      </x:c>
      <x:c r="T590" t="n">
        <x:v>20</x:v>
      </x:c>
      <x:c r="U590" t="str">
        <x:v>OK</x:v>
      </x:c>
      <x:c r="V590" t="str">
        <x:v>OK</x:v>
      </x:c>
      <x:c r="W590" t="str">
        <x:v>LOAD</x:v>
      </x:c>
      <x:c r="X590" t="str">
        <x:v>02_Supervisor_Log(4).xlsx</x:v>
      </x:c>
      <x:c r="Y590" t="str">
        <x:v>ENH-20260830-01</x:v>
      </x:c>
      <x:c r="Z590" t="str">
        <x:v>Active</x:v>
      </x:c>
      <x:c r="AA590"/>
      <x:c r="AB590"/>
      <x:c r="AC590"/>
      <x:c r="AD590"/>
    </x:row>
    <x:row r="591">
      <x:c r="A591" t="str">
        <x:v>PCC-PE-KG01-L22-20251020-PM-ORD-2025-00056-S01-C2</x:v>
      </x:c>
      <x:c r="B591" t="str">
        <x:v>PC-PE-KG01-L22-20251020-PM-ORD-2025-00056-S01</x:v>
      </x:c>
      <x:c r="C591" t="str">
        <x:v>PE-KG01-L22-20251020-PM-ORD-2025-00056</x:v>
      </x:c>
      <x:c r="D591" t="str">
        <x:v>KG01</x:v>
      </x:c>
      <x:c r="E591" s="62" t="n">
        <x:v>45950</x:v>
      </x:c>
      <x:c r="F591" t="str">
        <x:v>PM</x:v>
      </x:c>
      <x:c r="G591" t="str">
        <x:v>A</x:v>
      </x:c>
      <x:c r="H591" t="n">
        <x:v>22</x:v>
      </x:c>
      <x:c r="I591" t="str">
        <x:v>ORD-2025-00056</x:v>
      </x:c>
      <x:c r="J591" t="n">
        <x:v>1</x:v>
      </x:c>
      <x:c r="K591" t="n">
        <x:v>2</x:v>
      </x:c>
      <x:c r="L591" t="str">
        <x:v>L22-S01-C2</x:v>
      </x:c>
      <x:c r="M591" t="n">
        <x:v>1</x:v>
      </x:c>
      <x:c r="N591" t="str">
        <x:v>DerivedFromCount</x:v>
      </x:c>
      <x:c r="O591" t="str">
        <x:v>PLC-PRD-JAR-720-L22</x:v>
      </x:c>
      <x:c r="P591" t="str">
        <x:v>OK</x:v>
      </x:c>
      <x:c r="Q591" t="str">
        <x:v>OK</x:v>
      </x:c>
      <x:c r="R591" t="str">
        <x:v>OK</x:v>
      </x:c>
      <x:c r="S591" t="str">
        <x:v>OK</x:v>
      </x:c>
      <x:c r="T591" t="n">
        <x:v>20</x:v>
      </x:c>
      <x:c r="U591" t="str">
        <x:v>OK</x:v>
      </x:c>
      <x:c r="V591" t="str">
        <x:v>OK</x:v>
      </x:c>
      <x:c r="W591" t="str">
        <x:v>LOAD</x:v>
      </x:c>
      <x:c r="X591" t="str">
        <x:v>02_Supervisor_Log(4).xlsx</x:v>
      </x:c>
      <x:c r="Y591" t="str">
        <x:v>ENH-20260830-01</x:v>
      </x:c>
      <x:c r="Z591" t="str">
        <x:v>Active</x:v>
      </x:c>
      <x:c r="AA591"/>
      <x:c r="AB591"/>
      <x:c r="AC591"/>
      <x:c r="AD591"/>
    </x:row>
    <x:row r="592">
      <x:c r="A592" t="str">
        <x:v>PCC-PE-KG01-L22-20251020-PM-ORD-2025-00056-S01-C3</x:v>
      </x:c>
      <x:c r="B592" t="str">
        <x:v>PC-PE-KG01-L22-20251020-PM-ORD-2025-00056-S01</x:v>
      </x:c>
      <x:c r="C592" t="str">
        <x:v>PE-KG01-L22-20251020-PM-ORD-2025-00056</x:v>
      </x:c>
      <x:c r="D592" t="str">
        <x:v>KG01</x:v>
      </x:c>
      <x:c r="E592" s="62" t="n">
        <x:v>45950</x:v>
      </x:c>
      <x:c r="F592" t="str">
        <x:v>PM</x:v>
      </x:c>
      <x:c r="G592" t="str">
        <x:v>A</x:v>
      </x:c>
      <x:c r="H592" t="n">
        <x:v>22</x:v>
      </x:c>
      <x:c r="I592" t="str">
        <x:v>ORD-2025-00056</x:v>
      </x:c>
      <x:c r="J592" t="n">
        <x:v>1</x:v>
      </x:c>
      <x:c r="K592" t="n">
        <x:v>3</x:v>
      </x:c>
      <x:c r="L592" t="str">
        <x:v>L22-S01-C3</x:v>
      </x:c>
      <x:c r="M592" t="n">
        <x:v>0</x:v>
      </x:c>
      <x:c r="N592" t="str">
        <x:v>DerivedFromCount</x:v>
      </x:c>
      <x:c r="O592" t="str">
        <x:v>PLC-PRD-JAR-720-L22</x:v>
      </x:c>
      <x:c r="P592" t="str">
        <x:v>OK</x:v>
      </x:c>
      <x:c r="Q592" t="str">
        <x:v>OK</x:v>
      </x:c>
      <x:c r="R592" t="str">
        <x:v>OK</x:v>
      </x:c>
      <x:c r="S592" t="str">
        <x:v>OK</x:v>
      </x:c>
      <x:c r="T592" t="n">
        <x:v>20</x:v>
      </x:c>
      <x:c r="U592" t="str">
        <x:v>OK</x:v>
      </x:c>
      <x:c r="V592" t="str">
        <x:v>OK</x:v>
      </x:c>
      <x:c r="W592" t="str">
        <x:v>LOAD</x:v>
      </x:c>
      <x:c r="X592" t="str">
        <x:v>02_Supervisor_Log(4).xlsx</x:v>
      </x:c>
      <x:c r="Y592" t="str">
        <x:v>ENH-20260830-01</x:v>
      </x:c>
      <x:c r="Z592" t="str">
        <x:v>Active</x:v>
      </x:c>
      <x:c r="AA592"/>
      <x:c r="AB592"/>
      <x:c r="AC592"/>
      <x:c r="AD592"/>
    </x:row>
    <x:row r="593">
      <x:c r="A593" t="str">
        <x:v>PCC-PE-KG01-L22-20251020-PM-ORD-2025-00056-S02-C1</x:v>
      </x:c>
      <x:c r="B593" t="str">
        <x:v>PC-PE-KG01-L22-20251020-PM-ORD-2025-00056-S02</x:v>
      </x:c>
      <x:c r="C593" t="str">
        <x:v>PE-KG01-L22-20251020-PM-ORD-2025-00056</x:v>
      </x:c>
      <x:c r="D593" t="str">
        <x:v>KG01</x:v>
      </x:c>
      <x:c r="E593" s="62" t="n">
        <x:v>45950</x:v>
      </x:c>
      <x:c r="F593" t="str">
        <x:v>PM</x:v>
      </x:c>
      <x:c r="G593" t="str">
        <x:v>A</x:v>
      </x:c>
      <x:c r="H593" t="n">
        <x:v>22</x:v>
      </x:c>
      <x:c r="I593" t="str">
        <x:v>ORD-2025-00056</x:v>
      </x:c>
      <x:c r="J593" t="n">
        <x:v>2</x:v>
      </x:c>
      <x:c r="K593" t="n">
        <x:v>1</x:v>
      </x:c>
      <x:c r="L593" t="str">
        <x:v>L22-S02-C1</x:v>
      </x:c>
      <x:c r="M593" t="n">
        <x:v>1</x:v>
      </x:c>
      <x:c r="N593" t="str">
        <x:v>DerivedFromCount</x:v>
      </x:c>
      <x:c r="O593" t="str">
        <x:v>PLC-PRD-JAR-720-L22</x:v>
      </x:c>
      <x:c r="P593" t="str">
        <x:v>OK</x:v>
      </x:c>
      <x:c r="Q593" t="str">
        <x:v>OK</x:v>
      </x:c>
      <x:c r="R593" t="str">
        <x:v>OK</x:v>
      </x:c>
      <x:c r="S593" t="str">
        <x:v>OK</x:v>
      </x:c>
      <x:c r="T593" t="n">
        <x:v>20</x:v>
      </x:c>
      <x:c r="U593" t="str">
        <x:v>OK</x:v>
      </x:c>
      <x:c r="V593" t="str">
        <x:v>OK</x:v>
      </x:c>
      <x:c r="W593" t="str">
        <x:v>LOAD</x:v>
      </x:c>
      <x:c r="X593" t="str">
        <x:v>02_Supervisor_Log(4).xlsx</x:v>
      </x:c>
      <x:c r="Y593" t="str">
        <x:v>ENH-20260830-01</x:v>
      </x:c>
      <x:c r="Z593" t="str">
        <x:v>Active</x:v>
      </x:c>
      <x:c r="AA593"/>
      <x:c r="AB593"/>
      <x:c r="AC593"/>
      <x:c r="AD593"/>
    </x:row>
    <x:row r="594">
      <x:c r="A594" t="str">
        <x:v>PCC-PE-KG01-L22-20251020-PM-ORD-2025-00056-S02-C2</x:v>
      </x:c>
      <x:c r="B594" t="str">
        <x:v>PC-PE-KG01-L22-20251020-PM-ORD-2025-00056-S02</x:v>
      </x:c>
      <x:c r="C594" t="str">
        <x:v>PE-KG01-L22-20251020-PM-ORD-2025-00056</x:v>
      </x:c>
      <x:c r="D594" t="str">
        <x:v>KG01</x:v>
      </x:c>
      <x:c r="E594" s="62" t="n">
        <x:v>45950</x:v>
      </x:c>
      <x:c r="F594" t="str">
        <x:v>PM</x:v>
      </x:c>
      <x:c r="G594" t="str">
        <x:v>A</x:v>
      </x:c>
      <x:c r="H594" t="n">
        <x:v>22</x:v>
      </x:c>
      <x:c r="I594" t="str">
        <x:v>ORD-2025-00056</x:v>
      </x:c>
      <x:c r="J594" t="n">
        <x:v>2</x:v>
      </x:c>
      <x:c r="K594" t="n">
        <x:v>2</x:v>
      </x:c>
      <x:c r="L594" t="str">
        <x:v>L22-S02-C2</x:v>
      </x:c>
      <x:c r="M594" t="n">
        <x:v>1</x:v>
      </x:c>
      <x:c r="N594" t="str">
        <x:v>DerivedFromCount</x:v>
      </x:c>
      <x:c r="O594" t="str">
        <x:v>PLC-PRD-JAR-720-L22</x:v>
      </x:c>
      <x:c r="P594" t="str">
        <x:v>OK</x:v>
      </x:c>
      <x:c r="Q594" t="str">
        <x:v>OK</x:v>
      </x:c>
      <x:c r="R594" t="str">
        <x:v>OK</x:v>
      </x:c>
      <x:c r="S594" t="str">
        <x:v>OK</x:v>
      </x:c>
      <x:c r="T594" t="n">
        <x:v>20</x:v>
      </x:c>
      <x:c r="U594" t="str">
        <x:v>OK</x:v>
      </x:c>
      <x:c r="V594" t="str">
        <x:v>OK</x:v>
      </x:c>
      <x:c r="W594" t="str">
        <x:v>LOAD</x:v>
      </x:c>
      <x:c r="X594" t="str">
        <x:v>02_Supervisor_Log(4).xlsx</x:v>
      </x:c>
      <x:c r="Y594" t="str">
        <x:v>ENH-20260830-01</x:v>
      </x:c>
      <x:c r="Z594" t="str">
        <x:v>Active</x:v>
      </x:c>
      <x:c r="AA594"/>
      <x:c r="AB594"/>
      <x:c r="AC594"/>
      <x:c r="AD594"/>
    </x:row>
    <x:row r="595">
      <x:c r="A595" t="str">
        <x:v>PCC-PE-KG01-L22-20251020-PM-ORD-2025-00056-S02-C3</x:v>
      </x:c>
      <x:c r="B595" t="str">
        <x:v>PC-PE-KG01-L22-20251020-PM-ORD-2025-00056-S02</x:v>
      </x:c>
      <x:c r="C595" t="str">
        <x:v>PE-KG01-L22-20251020-PM-ORD-2025-00056</x:v>
      </x:c>
      <x:c r="D595" t="str">
        <x:v>KG01</x:v>
      </x:c>
      <x:c r="E595" s="62" t="n">
        <x:v>45950</x:v>
      </x:c>
      <x:c r="F595" t="str">
        <x:v>PM</x:v>
      </x:c>
      <x:c r="G595" t="str">
        <x:v>A</x:v>
      </x:c>
      <x:c r="H595" t="n">
        <x:v>22</x:v>
      </x:c>
      <x:c r="I595" t="str">
        <x:v>ORD-2025-00056</x:v>
      </x:c>
      <x:c r="J595" t="n">
        <x:v>2</x:v>
      </x:c>
      <x:c r="K595" t="n">
        <x:v>3</x:v>
      </x:c>
      <x:c r="L595" t="str">
        <x:v>L22-S02-C3</x:v>
      </x:c>
      <x:c r="M595" t="n">
        <x:v>0</x:v>
      </x:c>
      <x:c r="N595" t="str">
        <x:v>DerivedFromCount</x:v>
      </x:c>
      <x:c r="O595" t="str">
        <x:v>PLC-PRD-JAR-720-L22</x:v>
      </x:c>
      <x:c r="P595" t="str">
        <x:v>OK</x:v>
      </x:c>
      <x:c r="Q595" t="str">
        <x:v>OK</x:v>
      </x:c>
      <x:c r="R595" t="str">
        <x:v>OK</x:v>
      </x:c>
      <x:c r="S595" t="str">
        <x:v>OK</x:v>
      </x:c>
      <x:c r="T595" t="n">
        <x:v>20</x:v>
      </x:c>
      <x:c r="U595" t="str">
        <x:v>OK</x:v>
      </x:c>
      <x:c r="V595" t="str">
        <x:v>OK</x:v>
      </x:c>
      <x:c r="W595" t="str">
        <x:v>LOAD</x:v>
      </x:c>
      <x:c r="X595" t="str">
        <x:v>02_Supervisor_Log(4).xlsx</x:v>
      </x:c>
      <x:c r="Y595" t="str">
        <x:v>ENH-20260830-01</x:v>
      </x:c>
      <x:c r="Z595" t="str">
        <x:v>Active</x:v>
      </x:c>
      <x:c r="AA595"/>
      <x:c r="AB595"/>
      <x:c r="AC595"/>
      <x:c r="AD595"/>
    </x:row>
    <x:row r="596">
      <x:c r="A596" t="str">
        <x:v>PCC-PE-KG01-L22-20251020-PM-ORD-2025-00056-S03-C1</x:v>
      </x:c>
      <x:c r="B596" t="str">
        <x:v>PC-PE-KG01-L22-20251020-PM-ORD-2025-00056-S03</x:v>
      </x:c>
      <x:c r="C596" t="str">
        <x:v>PE-KG01-L22-20251020-PM-ORD-2025-00056</x:v>
      </x:c>
      <x:c r="D596" t="str">
        <x:v>KG01</x:v>
      </x:c>
      <x:c r="E596" s="62" t="n">
        <x:v>45950</x:v>
      </x:c>
      <x:c r="F596" t="str">
        <x:v>PM</x:v>
      </x:c>
      <x:c r="G596" t="str">
        <x:v>A</x:v>
      </x:c>
      <x:c r="H596" t="n">
        <x:v>22</x:v>
      </x:c>
      <x:c r="I596" t="str">
        <x:v>ORD-2025-00056</x:v>
      </x:c>
      <x:c r="J596" t="n">
        <x:v>3</x:v>
      </x:c>
      <x:c r="K596" t="n">
        <x:v>1</x:v>
      </x:c>
      <x:c r="L596" t="str">
        <x:v>L22-S03-C1</x:v>
      </x:c>
      <x:c r="M596" t="n">
        <x:v>1</x:v>
      </x:c>
      <x:c r="N596" t="str">
        <x:v>DerivedFromCount</x:v>
      </x:c>
      <x:c r="O596" t="str">
        <x:v>PLC-PRD-JAR-720-L22</x:v>
      </x:c>
      <x:c r="P596" t="str">
        <x:v>OK</x:v>
      </x:c>
      <x:c r="Q596" t="str">
        <x:v>OK</x:v>
      </x:c>
      <x:c r="R596" t="str">
        <x:v>OK</x:v>
      </x:c>
      <x:c r="S596" t="str">
        <x:v>OK</x:v>
      </x:c>
      <x:c r="T596" t="n">
        <x:v>20</x:v>
      </x:c>
      <x:c r="U596" t="str">
        <x:v>OK</x:v>
      </x:c>
      <x:c r="V596" t="str">
        <x:v>OK</x:v>
      </x:c>
      <x:c r="W596" t="str">
        <x:v>LOAD</x:v>
      </x:c>
      <x:c r="X596" t="str">
        <x:v>02_Supervisor_Log(4).xlsx</x:v>
      </x:c>
      <x:c r="Y596" t="str">
        <x:v>ENH-20260830-01</x:v>
      </x:c>
      <x:c r="Z596" t="str">
        <x:v>Active</x:v>
      </x:c>
      <x:c r="AA596"/>
      <x:c r="AB596"/>
      <x:c r="AC596"/>
      <x:c r="AD596"/>
    </x:row>
    <x:row r="597">
      <x:c r="A597" t="str">
        <x:v>PCC-PE-KG01-L22-20251020-PM-ORD-2025-00056-S03-C2</x:v>
      </x:c>
      <x:c r="B597" t="str">
        <x:v>PC-PE-KG01-L22-20251020-PM-ORD-2025-00056-S03</x:v>
      </x:c>
      <x:c r="C597" t="str">
        <x:v>PE-KG01-L22-20251020-PM-ORD-2025-00056</x:v>
      </x:c>
      <x:c r="D597" t="str">
        <x:v>KG01</x:v>
      </x:c>
      <x:c r="E597" s="62" t="n">
        <x:v>45950</x:v>
      </x:c>
      <x:c r="F597" t="str">
        <x:v>PM</x:v>
      </x:c>
      <x:c r="G597" t="str">
        <x:v>A</x:v>
      </x:c>
      <x:c r="H597" t="n">
        <x:v>22</x:v>
      </x:c>
      <x:c r="I597" t="str">
        <x:v>ORD-2025-00056</x:v>
      </x:c>
      <x:c r="J597" t="n">
        <x:v>3</x:v>
      </x:c>
      <x:c r="K597" t="n">
        <x:v>2</x:v>
      </x:c>
      <x:c r="L597" t="str">
        <x:v>L22-S03-C2</x:v>
      </x:c>
      <x:c r="M597" t="n">
        <x:v>1</x:v>
      </x:c>
      <x:c r="N597" t="str">
        <x:v>DerivedFromCount</x:v>
      </x:c>
      <x:c r="O597" t="str">
        <x:v>PLC-PRD-JAR-720-L22</x:v>
      </x:c>
      <x:c r="P597" t="str">
        <x:v>OK</x:v>
      </x:c>
      <x:c r="Q597" t="str">
        <x:v>OK</x:v>
      </x:c>
      <x:c r="R597" t="str">
        <x:v>OK</x:v>
      </x:c>
      <x:c r="S597" t="str">
        <x:v>OK</x:v>
      </x:c>
      <x:c r="T597" t="n">
        <x:v>20</x:v>
      </x:c>
      <x:c r="U597" t="str">
        <x:v>OK</x:v>
      </x:c>
      <x:c r="V597" t="str">
        <x:v>OK</x:v>
      </x:c>
      <x:c r="W597" t="str">
        <x:v>LOAD</x:v>
      </x:c>
      <x:c r="X597" t="str">
        <x:v>02_Supervisor_Log(4).xlsx</x:v>
      </x:c>
      <x:c r="Y597" t="str">
        <x:v>ENH-20260830-01</x:v>
      </x:c>
      <x:c r="Z597" t="str">
        <x:v>Active</x:v>
      </x:c>
      <x:c r="AA597"/>
      <x:c r="AB597"/>
      <x:c r="AC597"/>
      <x:c r="AD597"/>
    </x:row>
    <x:row r="598">
      <x:c r="A598" t="str">
        <x:v>PCC-PE-KG01-L22-20251020-PM-ORD-2025-00056-S03-C3</x:v>
      </x:c>
      <x:c r="B598" t="str">
        <x:v>PC-PE-KG01-L22-20251020-PM-ORD-2025-00056-S03</x:v>
      </x:c>
      <x:c r="C598" t="str">
        <x:v>PE-KG01-L22-20251020-PM-ORD-2025-00056</x:v>
      </x:c>
      <x:c r="D598" t="str">
        <x:v>KG01</x:v>
      </x:c>
      <x:c r="E598" s="62" t="n">
        <x:v>45950</x:v>
      </x:c>
      <x:c r="F598" t="str">
        <x:v>PM</x:v>
      </x:c>
      <x:c r="G598" t="str">
        <x:v>A</x:v>
      </x:c>
      <x:c r="H598" t="n">
        <x:v>22</x:v>
      </x:c>
      <x:c r="I598" t="str">
        <x:v>ORD-2025-00056</x:v>
      </x:c>
      <x:c r="J598" t="n">
        <x:v>3</x:v>
      </x:c>
      <x:c r="K598" t="n">
        <x:v>3</x:v>
      </x:c>
      <x:c r="L598" t="str">
        <x:v>L22-S03-C3</x:v>
      </x:c>
      <x:c r="M598" t="n">
        <x:v>0</x:v>
      </x:c>
      <x:c r="N598" t="str">
        <x:v>DerivedFromCount</x:v>
      </x:c>
      <x:c r="O598" t="str">
        <x:v>PLC-PRD-JAR-720-L22</x:v>
      </x:c>
      <x:c r="P598" t="str">
        <x:v>OK</x:v>
      </x:c>
      <x:c r="Q598" t="str">
        <x:v>OK</x:v>
      </x:c>
      <x:c r="R598" t="str">
        <x:v>OK</x:v>
      </x:c>
      <x:c r="S598" t="str">
        <x:v>OK</x:v>
      </x:c>
      <x:c r="T598" t="n">
        <x:v>20</x:v>
      </x:c>
      <x:c r="U598" t="str">
        <x:v>OK</x:v>
      </x:c>
      <x:c r="V598" t="str">
        <x:v>OK</x:v>
      </x:c>
      <x:c r="W598" t="str">
        <x:v>LOAD</x:v>
      </x:c>
      <x:c r="X598" t="str">
        <x:v>02_Supervisor_Log(4).xlsx</x:v>
      </x:c>
      <x:c r="Y598" t="str">
        <x:v>ENH-20260830-01</x:v>
      </x:c>
      <x:c r="Z598" t="str">
        <x:v>Active</x:v>
      </x:c>
      <x:c r="AA598"/>
      <x:c r="AB598"/>
      <x:c r="AC598"/>
      <x:c r="AD598"/>
    </x:row>
    <x:row r="599">
      <x:c r="A599" t="str">
        <x:v>PCC-PE-KG01-L22-20251020-PM-ORD-2025-00056-S04-C1</x:v>
      </x:c>
      <x:c r="B599" t="str">
        <x:v>PC-PE-KG01-L22-20251020-PM-ORD-2025-00056-S04</x:v>
      </x:c>
      <x:c r="C599" t="str">
        <x:v>PE-KG01-L22-20251020-PM-ORD-2025-00056</x:v>
      </x:c>
      <x:c r="D599" t="str">
        <x:v>KG01</x:v>
      </x:c>
      <x:c r="E599" s="62" t="n">
        <x:v>45950</x:v>
      </x:c>
      <x:c r="F599" t="str">
        <x:v>PM</x:v>
      </x:c>
      <x:c r="G599" t="str">
        <x:v>A</x:v>
      </x:c>
      <x:c r="H599" t="n">
        <x:v>22</x:v>
      </x:c>
      <x:c r="I599" t="str">
        <x:v>ORD-2025-00056</x:v>
      </x:c>
      <x:c r="J599" t="n">
        <x:v>4</x:v>
      </x:c>
      <x:c r="K599" t="n">
        <x:v>1</x:v>
      </x:c>
      <x:c r="L599" t="str">
        <x:v>L22-S04-C1</x:v>
      </x:c>
      <x:c r="M599" t="n">
        <x:v>1</x:v>
      </x:c>
      <x:c r="N599" t="str">
        <x:v>DerivedFromCount</x:v>
      </x:c>
      <x:c r="O599" t="str">
        <x:v>PLC-PRD-JAR-720-L22</x:v>
      </x:c>
      <x:c r="P599" t="str">
        <x:v>OK</x:v>
      </x:c>
      <x:c r="Q599" t="str">
        <x:v>OK</x:v>
      </x:c>
      <x:c r="R599" t="str">
        <x:v>OK</x:v>
      </x:c>
      <x:c r="S599" t="str">
        <x:v>OK</x:v>
      </x:c>
      <x:c r="T599" t="n">
        <x:v>20</x:v>
      </x:c>
      <x:c r="U599" t="str">
        <x:v>OK</x:v>
      </x:c>
      <x:c r="V599" t="str">
        <x:v>OK</x:v>
      </x:c>
      <x:c r="W599" t="str">
        <x:v>LOAD</x:v>
      </x:c>
      <x:c r="X599" t="str">
        <x:v>02_Supervisor_Log(4).xlsx</x:v>
      </x:c>
      <x:c r="Y599" t="str">
        <x:v>ENH-20260830-01</x:v>
      </x:c>
      <x:c r="Z599" t="str">
        <x:v>Active</x:v>
      </x:c>
      <x:c r="AA599"/>
      <x:c r="AB599"/>
      <x:c r="AC599"/>
      <x:c r="AD599"/>
    </x:row>
    <x:row r="600">
      <x:c r="A600" t="str">
        <x:v>PCC-PE-KG01-L22-20251020-PM-ORD-2025-00056-S04-C2</x:v>
      </x:c>
      <x:c r="B600" t="str">
        <x:v>PC-PE-KG01-L22-20251020-PM-ORD-2025-00056-S04</x:v>
      </x:c>
      <x:c r="C600" t="str">
        <x:v>PE-KG01-L22-20251020-PM-ORD-2025-00056</x:v>
      </x:c>
      <x:c r="D600" t="str">
        <x:v>KG01</x:v>
      </x:c>
      <x:c r="E600" s="62" t="n">
        <x:v>45950</x:v>
      </x:c>
      <x:c r="F600" t="str">
        <x:v>PM</x:v>
      </x:c>
      <x:c r="G600" t="str">
        <x:v>A</x:v>
      </x:c>
      <x:c r="H600" t="n">
        <x:v>22</x:v>
      </x:c>
      <x:c r="I600" t="str">
        <x:v>ORD-2025-00056</x:v>
      </x:c>
      <x:c r="J600" t="n">
        <x:v>4</x:v>
      </x:c>
      <x:c r="K600" t="n">
        <x:v>2</x:v>
      </x:c>
      <x:c r="L600" t="str">
        <x:v>L22-S04-C2</x:v>
      </x:c>
      <x:c r="M600" t="n">
        <x:v>1</x:v>
      </x:c>
      <x:c r="N600" t="str">
        <x:v>DerivedFromCount</x:v>
      </x:c>
      <x:c r="O600" t="str">
        <x:v>PLC-PRD-JAR-720-L22</x:v>
      </x:c>
      <x:c r="P600" t="str">
        <x:v>OK</x:v>
      </x:c>
      <x:c r="Q600" t="str">
        <x:v>OK</x:v>
      </x:c>
      <x:c r="R600" t="str">
        <x:v>OK</x:v>
      </x:c>
      <x:c r="S600" t="str">
        <x:v>OK</x:v>
      </x:c>
      <x:c r="T600" t="n">
        <x:v>20</x:v>
      </x:c>
      <x:c r="U600" t="str">
        <x:v>OK</x:v>
      </x:c>
      <x:c r="V600" t="str">
        <x:v>OK</x:v>
      </x:c>
      <x:c r="W600" t="str">
        <x:v>LOAD</x:v>
      </x:c>
      <x:c r="X600" t="str">
        <x:v>02_Supervisor_Log(4).xlsx</x:v>
      </x:c>
      <x:c r="Y600" t="str">
        <x:v>ENH-20260830-01</x:v>
      </x:c>
      <x:c r="Z600" t="str">
        <x:v>Active</x:v>
      </x:c>
      <x:c r="AA600"/>
      <x:c r="AB600"/>
      <x:c r="AC600"/>
      <x:c r="AD600"/>
    </x:row>
    <x:row r="601">
      <x:c r="A601" t="str">
        <x:v>PCC-PE-KG01-L22-20251020-PM-ORD-2025-00056-S04-C3</x:v>
      </x:c>
      <x:c r="B601" t="str">
        <x:v>PC-PE-KG01-L22-20251020-PM-ORD-2025-00056-S04</x:v>
      </x:c>
      <x:c r="C601" t="str">
        <x:v>PE-KG01-L22-20251020-PM-ORD-2025-00056</x:v>
      </x:c>
      <x:c r="D601" t="str">
        <x:v>KG01</x:v>
      </x:c>
      <x:c r="E601" s="62" t="n">
        <x:v>45950</x:v>
      </x:c>
      <x:c r="F601" t="str">
        <x:v>PM</x:v>
      </x:c>
      <x:c r="G601" t="str">
        <x:v>A</x:v>
      </x:c>
      <x:c r="H601" t="n">
        <x:v>22</x:v>
      </x:c>
      <x:c r="I601" t="str">
        <x:v>ORD-2025-00056</x:v>
      </x:c>
      <x:c r="J601" t="n">
        <x:v>4</x:v>
      </x:c>
      <x:c r="K601" t="n">
        <x:v>3</x:v>
      </x:c>
      <x:c r="L601" t="str">
        <x:v>L22-S04-C3</x:v>
      </x:c>
      <x:c r="M601" t="n">
        <x:v>0</x:v>
      </x:c>
      <x:c r="N601" t="str">
        <x:v>DerivedFromCount</x:v>
      </x:c>
      <x:c r="O601" t="str">
        <x:v>PLC-PRD-JAR-720-L22</x:v>
      </x:c>
      <x:c r="P601" t="str">
        <x:v>OK</x:v>
      </x:c>
      <x:c r="Q601" t="str">
        <x:v>OK</x:v>
      </x:c>
      <x:c r="R601" t="str">
        <x:v>OK</x:v>
      </x:c>
      <x:c r="S601" t="str">
        <x:v>OK</x:v>
      </x:c>
      <x:c r="T601" t="n">
        <x:v>20</x:v>
      </x:c>
      <x:c r="U601" t="str">
        <x:v>OK</x:v>
      </x:c>
      <x:c r="V601" t="str">
        <x:v>OK</x:v>
      </x:c>
      <x:c r="W601" t="str">
        <x:v>LOAD</x:v>
      </x:c>
      <x:c r="X601" t="str">
        <x:v>02_Supervisor_Log(4).xlsx</x:v>
      </x:c>
      <x:c r="Y601" t="str">
        <x:v>ENH-20260830-01</x:v>
      </x:c>
      <x:c r="Z601" t="str">
        <x:v>Active</x:v>
      </x:c>
      <x:c r="AA601"/>
      <x:c r="AB601"/>
      <x:c r="AC601"/>
      <x:c r="AD601"/>
    </x:row>
    <x:row r="602">
      <x:c r="A602" t="str">
        <x:v>PCC-PE-KG01-L22-20251020-PM-ORD-2025-00056-S05-C1</x:v>
      </x:c>
      <x:c r="B602" t="str">
        <x:v>PC-PE-KG01-L22-20251020-PM-ORD-2025-00056-S05</x:v>
      </x:c>
      <x:c r="C602" t="str">
        <x:v>PE-KG01-L22-20251020-PM-ORD-2025-00056</x:v>
      </x:c>
      <x:c r="D602" t="str">
        <x:v>KG01</x:v>
      </x:c>
      <x:c r="E602" s="62" t="n">
        <x:v>45950</x:v>
      </x:c>
      <x:c r="F602" t="str">
        <x:v>PM</x:v>
      </x:c>
      <x:c r="G602" t="str">
        <x:v>A</x:v>
      </x:c>
      <x:c r="H602" t="n">
        <x:v>22</x:v>
      </x:c>
      <x:c r="I602" t="str">
        <x:v>ORD-2025-00056</x:v>
      </x:c>
      <x:c r="J602" t="n">
        <x:v>5</x:v>
      </x:c>
      <x:c r="K602" t="n">
        <x:v>1</x:v>
      </x:c>
      <x:c r="L602" t="str">
        <x:v>L22-S05-C1</x:v>
      </x:c>
      <x:c r="M602" t="n">
        <x:v>1</x:v>
      </x:c>
      <x:c r="N602" t="str">
        <x:v>DerivedFromCount</x:v>
      </x:c>
      <x:c r="O602" t="str">
        <x:v>PLC-PRD-JAR-720-L22</x:v>
      </x:c>
      <x:c r="P602" t="str">
        <x:v>OK</x:v>
      </x:c>
      <x:c r="Q602" t="str">
        <x:v>OK</x:v>
      </x:c>
      <x:c r="R602" t="str">
        <x:v>OK</x:v>
      </x:c>
      <x:c r="S602" t="str">
        <x:v>OK</x:v>
      </x:c>
      <x:c r="T602" t="n">
        <x:v>20</x:v>
      </x:c>
      <x:c r="U602" t="str">
        <x:v>OK</x:v>
      </x:c>
      <x:c r="V602" t="str">
        <x:v>OK</x:v>
      </x:c>
      <x:c r="W602" t="str">
        <x:v>LOAD</x:v>
      </x:c>
      <x:c r="X602" t="str">
        <x:v>02_Supervisor_Log(4).xlsx</x:v>
      </x:c>
      <x:c r="Y602" t="str">
        <x:v>ENH-20260830-01</x:v>
      </x:c>
      <x:c r="Z602" t="str">
        <x:v>Active</x:v>
      </x:c>
      <x:c r="AA602"/>
      <x:c r="AB602"/>
      <x:c r="AC602"/>
      <x:c r="AD602"/>
    </x:row>
    <x:row r="603">
      <x:c r="A603" t="str">
        <x:v>PCC-PE-KG01-L22-20251020-PM-ORD-2025-00056-S05-C2</x:v>
      </x:c>
      <x:c r="B603" t="str">
        <x:v>PC-PE-KG01-L22-20251020-PM-ORD-2025-00056-S05</x:v>
      </x:c>
      <x:c r="C603" t="str">
        <x:v>PE-KG01-L22-20251020-PM-ORD-2025-00056</x:v>
      </x:c>
      <x:c r="D603" t="str">
        <x:v>KG01</x:v>
      </x:c>
      <x:c r="E603" s="62" t="n">
        <x:v>45950</x:v>
      </x:c>
      <x:c r="F603" t="str">
        <x:v>PM</x:v>
      </x:c>
      <x:c r="G603" t="str">
        <x:v>A</x:v>
      </x:c>
      <x:c r="H603" t="n">
        <x:v>22</x:v>
      </x:c>
      <x:c r="I603" t="str">
        <x:v>ORD-2025-00056</x:v>
      </x:c>
      <x:c r="J603" t="n">
        <x:v>5</x:v>
      </x:c>
      <x:c r="K603" t="n">
        <x:v>2</x:v>
      </x:c>
      <x:c r="L603" t="str">
        <x:v>L22-S05-C2</x:v>
      </x:c>
      <x:c r="M603" t="n">
        <x:v>1</x:v>
      </x:c>
      <x:c r="N603" t="str">
        <x:v>DerivedFromCount</x:v>
      </x:c>
      <x:c r="O603" t="str">
        <x:v>PLC-PRD-JAR-720-L22</x:v>
      </x:c>
      <x:c r="P603" t="str">
        <x:v>OK</x:v>
      </x:c>
      <x:c r="Q603" t="str">
        <x:v>OK</x:v>
      </x:c>
      <x:c r="R603" t="str">
        <x:v>OK</x:v>
      </x:c>
      <x:c r="S603" t="str">
        <x:v>OK</x:v>
      </x:c>
      <x:c r="T603" t="n">
        <x:v>20</x:v>
      </x:c>
      <x:c r="U603" t="str">
        <x:v>OK</x:v>
      </x:c>
      <x:c r="V603" t="str">
        <x:v>OK</x:v>
      </x:c>
      <x:c r="W603" t="str">
        <x:v>LOAD</x:v>
      </x:c>
      <x:c r="X603" t="str">
        <x:v>02_Supervisor_Log(4).xlsx</x:v>
      </x:c>
      <x:c r="Y603" t="str">
        <x:v>ENH-20260830-01</x:v>
      </x:c>
      <x:c r="Z603" t="str">
        <x:v>Active</x:v>
      </x:c>
      <x:c r="AA603"/>
      <x:c r="AB603"/>
      <x:c r="AC603"/>
      <x:c r="AD603"/>
    </x:row>
    <x:row r="604">
      <x:c r="A604" t="str">
        <x:v>PCC-PE-KG01-L22-20251020-PM-ORD-2025-00056-S05-C3</x:v>
      </x:c>
      <x:c r="B604" t="str">
        <x:v>PC-PE-KG01-L22-20251020-PM-ORD-2025-00056-S05</x:v>
      </x:c>
      <x:c r="C604" t="str">
        <x:v>PE-KG01-L22-20251020-PM-ORD-2025-00056</x:v>
      </x:c>
      <x:c r="D604" t="str">
        <x:v>KG01</x:v>
      </x:c>
      <x:c r="E604" s="62" t="n">
        <x:v>45950</x:v>
      </x:c>
      <x:c r="F604" t="str">
        <x:v>PM</x:v>
      </x:c>
      <x:c r="G604" t="str">
        <x:v>A</x:v>
      </x:c>
      <x:c r="H604" t="n">
        <x:v>22</x:v>
      </x:c>
      <x:c r="I604" t="str">
        <x:v>ORD-2025-00056</x:v>
      </x:c>
      <x:c r="J604" t="n">
        <x:v>5</x:v>
      </x:c>
      <x:c r="K604" t="n">
        <x:v>3</x:v>
      </x:c>
      <x:c r="L604" t="str">
        <x:v>L22-S05-C3</x:v>
      </x:c>
      <x:c r="M604" t="n">
        <x:v>0</x:v>
      </x:c>
      <x:c r="N604" t="str">
        <x:v>DerivedFromCount</x:v>
      </x:c>
      <x:c r="O604" t="str">
        <x:v>PLC-PRD-JAR-720-L22</x:v>
      </x:c>
      <x:c r="P604" t="str">
        <x:v>OK</x:v>
      </x:c>
      <x:c r="Q604" t="str">
        <x:v>OK</x:v>
      </x:c>
      <x:c r="R604" t="str">
        <x:v>OK</x:v>
      </x:c>
      <x:c r="S604" t="str">
        <x:v>OK</x:v>
      </x:c>
      <x:c r="T604" t="n">
        <x:v>20</x:v>
      </x:c>
      <x:c r="U604" t="str">
        <x:v>OK</x:v>
      </x:c>
      <x:c r="V604" t="str">
        <x:v>OK</x:v>
      </x:c>
      <x:c r="W604" t="str">
        <x:v>LOAD</x:v>
      </x:c>
      <x:c r="X604" t="str">
        <x:v>02_Supervisor_Log(4).xlsx</x:v>
      </x:c>
      <x:c r="Y604" t="str">
        <x:v>ENH-20260830-01</x:v>
      </x:c>
      <x:c r="Z604" t="str">
        <x:v>Active</x:v>
      </x:c>
      <x:c r="AA604"/>
      <x:c r="AB604"/>
      <x:c r="AC604"/>
      <x:c r="AD604"/>
    </x:row>
    <x:row r="605">
      <x:c r="A605" t="str">
        <x:v>PCC-PE-KG01-L22-20251020-PM-ORD-2025-00056-S06-C1</x:v>
      </x:c>
      <x:c r="B605" t="str">
        <x:v>PC-PE-KG01-L22-20251020-PM-ORD-2025-00056-S06</x:v>
      </x:c>
      <x:c r="C605" t="str">
        <x:v>PE-KG01-L22-20251020-PM-ORD-2025-00056</x:v>
      </x:c>
      <x:c r="D605" t="str">
        <x:v>KG01</x:v>
      </x:c>
      <x:c r="E605" s="62" t="n">
        <x:v>45950</x:v>
      </x:c>
      <x:c r="F605" t="str">
        <x:v>PM</x:v>
      </x:c>
      <x:c r="G605" t="str">
        <x:v>A</x:v>
      </x:c>
      <x:c r="H605" t="n">
        <x:v>22</x:v>
      </x:c>
      <x:c r="I605" t="str">
        <x:v>ORD-2025-00056</x:v>
      </x:c>
      <x:c r="J605" t="n">
        <x:v>6</x:v>
      </x:c>
      <x:c r="K605" t="n">
        <x:v>1</x:v>
      </x:c>
      <x:c r="L605" t="str">
        <x:v>L22-S06-C1</x:v>
      </x:c>
      <x:c r="M605" t="n">
        <x:v>1</x:v>
      </x:c>
      <x:c r="N605" t="str">
        <x:v>DerivedFromCount</x:v>
      </x:c>
      <x:c r="O605" t="str">
        <x:v>PLC-PRD-JAR-720-L22</x:v>
      </x:c>
      <x:c r="P605" t="str">
        <x:v>OK</x:v>
      </x:c>
      <x:c r="Q605" t="str">
        <x:v>OK</x:v>
      </x:c>
      <x:c r="R605" t="str">
        <x:v>OK</x:v>
      </x:c>
      <x:c r="S605" t="str">
        <x:v>OK</x:v>
      </x:c>
      <x:c r="T605" t="n">
        <x:v>20</x:v>
      </x:c>
      <x:c r="U605" t="str">
        <x:v>OK</x:v>
      </x:c>
      <x:c r="V605" t="str">
        <x:v>OK</x:v>
      </x:c>
      <x:c r="W605" t="str">
        <x:v>LOAD</x:v>
      </x:c>
      <x:c r="X605" t="str">
        <x:v>02_Supervisor_Log(4).xlsx</x:v>
      </x:c>
      <x:c r="Y605" t="str">
        <x:v>ENH-20260830-01</x:v>
      </x:c>
      <x:c r="Z605" t="str">
        <x:v>Active</x:v>
      </x:c>
      <x:c r="AA605"/>
      <x:c r="AB605"/>
      <x:c r="AC605"/>
      <x:c r="AD605"/>
    </x:row>
    <x:row r="606">
      <x:c r="A606" t="str">
        <x:v>PCC-PE-KG01-L22-20251020-PM-ORD-2025-00056-S06-C2</x:v>
      </x:c>
      <x:c r="B606" t="str">
        <x:v>PC-PE-KG01-L22-20251020-PM-ORD-2025-00056-S06</x:v>
      </x:c>
      <x:c r="C606" t="str">
        <x:v>PE-KG01-L22-20251020-PM-ORD-2025-00056</x:v>
      </x:c>
      <x:c r="D606" t="str">
        <x:v>KG01</x:v>
      </x:c>
      <x:c r="E606" s="62" t="n">
        <x:v>45950</x:v>
      </x:c>
      <x:c r="F606" t="str">
        <x:v>PM</x:v>
      </x:c>
      <x:c r="G606" t="str">
        <x:v>A</x:v>
      </x:c>
      <x:c r="H606" t="n">
        <x:v>22</x:v>
      </x:c>
      <x:c r="I606" t="str">
        <x:v>ORD-2025-00056</x:v>
      </x:c>
      <x:c r="J606" t="n">
        <x:v>6</x:v>
      </x:c>
      <x:c r="K606" t="n">
        <x:v>2</x:v>
      </x:c>
      <x:c r="L606" t="str">
        <x:v>L22-S06-C2</x:v>
      </x:c>
      <x:c r="M606" t="n">
        <x:v>1</x:v>
      </x:c>
      <x:c r="N606" t="str">
        <x:v>DerivedFromCount</x:v>
      </x:c>
      <x:c r="O606" t="str">
        <x:v>PLC-PRD-JAR-720-L22</x:v>
      </x:c>
      <x:c r="P606" t="str">
        <x:v>OK</x:v>
      </x:c>
      <x:c r="Q606" t="str">
        <x:v>OK</x:v>
      </x:c>
      <x:c r="R606" t="str">
        <x:v>OK</x:v>
      </x:c>
      <x:c r="S606" t="str">
        <x:v>OK</x:v>
      </x:c>
      <x:c r="T606" t="n">
        <x:v>20</x:v>
      </x:c>
      <x:c r="U606" t="str">
        <x:v>OK</x:v>
      </x:c>
      <x:c r="V606" t="str">
        <x:v>OK</x:v>
      </x:c>
      <x:c r="W606" t="str">
        <x:v>LOAD</x:v>
      </x:c>
      <x:c r="X606" t="str">
        <x:v>02_Supervisor_Log(4).xlsx</x:v>
      </x:c>
      <x:c r="Y606" t="str">
        <x:v>ENH-20260830-01</x:v>
      </x:c>
      <x:c r="Z606" t="str">
        <x:v>Active</x:v>
      </x:c>
      <x:c r="AA606"/>
      <x:c r="AB606"/>
      <x:c r="AC606"/>
      <x:c r="AD606"/>
    </x:row>
    <x:row r="607">
      <x:c r="A607" t="str">
        <x:v>PCC-PE-KG01-L22-20251020-PM-ORD-2025-00056-S06-C3</x:v>
      </x:c>
      <x:c r="B607" t="str">
        <x:v>PC-PE-KG01-L22-20251020-PM-ORD-2025-00056-S06</x:v>
      </x:c>
      <x:c r="C607" t="str">
        <x:v>PE-KG01-L22-20251020-PM-ORD-2025-00056</x:v>
      </x:c>
      <x:c r="D607" t="str">
        <x:v>KG01</x:v>
      </x:c>
      <x:c r="E607" s="62" t="n">
        <x:v>45950</x:v>
      </x:c>
      <x:c r="F607" t="str">
        <x:v>PM</x:v>
      </x:c>
      <x:c r="G607" t="str">
        <x:v>A</x:v>
      </x:c>
      <x:c r="H607" t="n">
        <x:v>22</x:v>
      </x:c>
      <x:c r="I607" t="str">
        <x:v>ORD-2025-00056</x:v>
      </x:c>
      <x:c r="J607" t="n">
        <x:v>6</x:v>
      </x:c>
      <x:c r="K607" t="n">
        <x:v>3</x:v>
      </x:c>
      <x:c r="L607" t="str">
        <x:v>L22-S06-C3</x:v>
      </x:c>
      <x:c r="M607" t="n">
        <x:v>0</x:v>
      </x:c>
      <x:c r="N607" t="str">
        <x:v>DerivedFromCount</x:v>
      </x:c>
      <x:c r="O607" t="str">
        <x:v>PLC-PRD-JAR-720-L22</x:v>
      </x:c>
      <x:c r="P607" t="str">
        <x:v>OK</x:v>
      </x:c>
      <x:c r="Q607" t="str">
        <x:v>OK</x:v>
      </x:c>
      <x:c r="R607" t="str">
        <x:v>OK</x:v>
      </x:c>
      <x:c r="S607" t="str">
        <x:v>OK</x:v>
      </x:c>
      <x:c r="T607" t="n">
        <x:v>20</x:v>
      </x:c>
      <x:c r="U607" t="str">
        <x:v>OK</x:v>
      </x:c>
      <x:c r="V607" t="str">
        <x:v>OK</x:v>
      </x:c>
      <x:c r="W607" t="str">
        <x:v>LOAD</x:v>
      </x:c>
      <x:c r="X607" t="str">
        <x:v>02_Supervisor_Log(4).xlsx</x:v>
      </x:c>
      <x:c r="Y607" t="str">
        <x:v>ENH-20260830-01</x:v>
      </x:c>
      <x:c r="Z607" t="str">
        <x:v>Active</x:v>
      </x:c>
      <x:c r="AA607"/>
      <x:c r="AB607"/>
      <x:c r="AC607"/>
      <x:c r="AD607"/>
    </x:row>
    <x:row r="608">
      <x:c r="A608" t="str">
        <x:v>PCC-PE-KG01-L22-20251020-PM-ORD-2025-00056-S07-C1</x:v>
      </x:c>
      <x:c r="B608" t="str">
        <x:v>PC-PE-KG01-L22-20251020-PM-ORD-2025-00056-S07</x:v>
      </x:c>
      <x:c r="C608" t="str">
        <x:v>PE-KG01-L22-20251020-PM-ORD-2025-00056</x:v>
      </x:c>
      <x:c r="D608" t="str">
        <x:v>KG01</x:v>
      </x:c>
      <x:c r="E608" s="62" t="n">
        <x:v>45950</x:v>
      </x:c>
      <x:c r="F608" t="str">
        <x:v>PM</x:v>
      </x:c>
      <x:c r="G608" t="str">
        <x:v>A</x:v>
      </x:c>
      <x:c r="H608" t="n">
        <x:v>22</x:v>
      </x:c>
      <x:c r="I608" t="str">
        <x:v>ORD-2025-00056</x:v>
      </x:c>
      <x:c r="J608" t="n">
        <x:v>7</x:v>
      </x:c>
      <x:c r="K608" t="n">
        <x:v>1</x:v>
      </x:c>
      <x:c r="L608" t="str">
        <x:v>L22-S07-C1</x:v>
      </x:c>
      <x:c r="M608" t="n">
        <x:v>1</x:v>
      </x:c>
      <x:c r="N608" t="str">
        <x:v>DerivedFromCount</x:v>
      </x:c>
      <x:c r="O608" t="str">
        <x:v>PLC-PRD-JAR-720-L22</x:v>
      </x:c>
      <x:c r="P608" t="str">
        <x:v>OK</x:v>
      </x:c>
      <x:c r="Q608" t="str">
        <x:v>OK</x:v>
      </x:c>
      <x:c r="R608" t="str">
        <x:v>OK</x:v>
      </x:c>
      <x:c r="S608" t="str">
        <x:v>OK</x:v>
      </x:c>
      <x:c r="T608" t="n">
        <x:v>20</x:v>
      </x:c>
      <x:c r="U608" t="str">
        <x:v>OK</x:v>
      </x:c>
      <x:c r="V608" t="str">
        <x:v>OK</x:v>
      </x:c>
      <x:c r="W608" t="str">
        <x:v>LOAD</x:v>
      </x:c>
      <x:c r="X608" t="str">
        <x:v>02_Supervisor_Log(4).xlsx</x:v>
      </x:c>
      <x:c r="Y608" t="str">
        <x:v>ENH-20260830-01</x:v>
      </x:c>
      <x:c r="Z608" t="str">
        <x:v>Active</x:v>
      </x:c>
      <x:c r="AA608"/>
      <x:c r="AB608"/>
      <x:c r="AC608"/>
      <x:c r="AD608"/>
    </x:row>
    <x:row r="609">
      <x:c r="A609" t="str">
        <x:v>PCC-PE-KG01-L22-20251020-PM-ORD-2025-00056-S07-C2</x:v>
      </x:c>
      <x:c r="B609" t="str">
        <x:v>PC-PE-KG01-L22-20251020-PM-ORD-2025-00056-S07</x:v>
      </x:c>
      <x:c r="C609" t="str">
        <x:v>PE-KG01-L22-20251020-PM-ORD-2025-00056</x:v>
      </x:c>
      <x:c r="D609" t="str">
        <x:v>KG01</x:v>
      </x:c>
      <x:c r="E609" s="62" t="n">
        <x:v>45950</x:v>
      </x:c>
      <x:c r="F609" t="str">
        <x:v>PM</x:v>
      </x:c>
      <x:c r="G609" t="str">
        <x:v>A</x:v>
      </x:c>
      <x:c r="H609" t="n">
        <x:v>22</x:v>
      </x:c>
      <x:c r="I609" t="str">
        <x:v>ORD-2025-00056</x:v>
      </x:c>
      <x:c r="J609" t="n">
        <x:v>7</x:v>
      </x:c>
      <x:c r="K609" t="n">
        <x:v>2</x:v>
      </x:c>
      <x:c r="L609" t="str">
        <x:v>L22-S07-C2</x:v>
      </x:c>
      <x:c r="M609" t="n">
        <x:v>1</x:v>
      </x:c>
      <x:c r="N609" t="str">
        <x:v>DerivedFromCount</x:v>
      </x:c>
      <x:c r="O609" t="str">
        <x:v>PLC-PRD-JAR-720-L22</x:v>
      </x:c>
      <x:c r="P609" t="str">
        <x:v>OK</x:v>
      </x:c>
      <x:c r="Q609" t="str">
        <x:v>OK</x:v>
      </x:c>
      <x:c r="R609" t="str">
        <x:v>OK</x:v>
      </x:c>
      <x:c r="S609" t="str">
        <x:v>OK</x:v>
      </x:c>
      <x:c r="T609" t="n">
        <x:v>20</x:v>
      </x:c>
      <x:c r="U609" t="str">
        <x:v>OK</x:v>
      </x:c>
      <x:c r="V609" t="str">
        <x:v>OK</x:v>
      </x:c>
      <x:c r="W609" t="str">
        <x:v>LOAD</x:v>
      </x:c>
      <x:c r="X609" t="str">
        <x:v>02_Supervisor_Log(4).xlsx</x:v>
      </x:c>
      <x:c r="Y609" t="str">
        <x:v>ENH-20260830-01</x:v>
      </x:c>
      <x:c r="Z609" t="str">
        <x:v>Active</x:v>
      </x:c>
      <x:c r="AA609"/>
      <x:c r="AB609"/>
      <x:c r="AC609"/>
      <x:c r="AD609"/>
    </x:row>
    <x:row r="610">
      <x:c r="A610" t="str">
        <x:v>PCC-PE-KG01-L22-20251020-PM-ORD-2025-00056-S07-C3</x:v>
      </x:c>
      <x:c r="B610" t="str">
        <x:v>PC-PE-KG01-L22-20251020-PM-ORD-2025-00056-S07</x:v>
      </x:c>
      <x:c r="C610" t="str">
        <x:v>PE-KG01-L22-20251020-PM-ORD-2025-00056</x:v>
      </x:c>
      <x:c r="D610" t="str">
        <x:v>KG01</x:v>
      </x:c>
      <x:c r="E610" s="62" t="n">
        <x:v>45950</x:v>
      </x:c>
      <x:c r="F610" t="str">
        <x:v>PM</x:v>
      </x:c>
      <x:c r="G610" t="str">
        <x:v>A</x:v>
      </x:c>
      <x:c r="H610" t="n">
        <x:v>22</x:v>
      </x:c>
      <x:c r="I610" t="str">
        <x:v>ORD-2025-00056</x:v>
      </x:c>
      <x:c r="J610" t="n">
        <x:v>7</x:v>
      </x:c>
      <x:c r="K610" t="n">
        <x:v>3</x:v>
      </x:c>
      <x:c r="L610" t="str">
        <x:v>L22-S07-C3</x:v>
      </x:c>
      <x:c r="M610" t="n">
        <x:v>0</x:v>
      </x:c>
      <x:c r="N610" t="str">
        <x:v>DerivedFromCount</x:v>
      </x:c>
      <x:c r="O610" t="str">
        <x:v>PLC-PRD-JAR-720-L22</x:v>
      </x:c>
      <x:c r="P610" t="str">
        <x:v>OK</x:v>
      </x:c>
      <x:c r="Q610" t="str">
        <x:v>OK</x:v>
      </x:c>
      <x:c r="R610" t="str">
        <x:v>OK</x:v>
      </x:c>
      <x:c r="S610" t="str">
        <x:v>OK</x:v>
      </x:c>
      <x:c r="T610" t="n">
        <x:v>20</x:v>
      </x:c>
      <x:c r="U610" t="str">
        <x:v>OK</x:v>
      </x:c>
      <x:c r="V610" t="str">
        <x:v>OK</x:v>
      </x:c>
      <x:c r="W610" t="str">
        <x:v>LOAD</x:v>
      </x:c>
      <x:c r="X610" t="str">
        <x:v>02_Supervisor_Log(4).xlsx</x:v>
      </x:c>
      <x:c r="Y610" t="str">
        <x:v>ENH-20260830-01</x:v>
      </x:c>
      <x:c r="Z610" t="str">
        <x:v>Active</x:v>
      </x:c>
      <x:c r="AA610"/>
      <x:c r="AB610"/>
      <x:c r="AC610"/>
      <x:c r="AD610"/>
    </x:row>
    <x:row r="611">
      <x:c r="A611" t="str">
        <x:v>PCC-PE-KG01-L22-20251020-PM-ORD-2025-00056-S08-C1</x:v>
      </x:c>
      <x:c r="B611" t="str">
        <x:v>PC-PE-KG01-L22-20251020-PM-ORD-2025-00056-S08</x:v>
      </x:c>
      <x:c r="C611" t="str">
        <x:v>PE-KG01-L22-20251020-PM-ORD-2025-00056</x:v>
      </x:c>
      <x:c r="D611" t="str">
        <x:v>KG01</x:v>
      </x:c>
      <x:c r="E611" s="62" t="n">
        <x:v>45950</x:v>
      </x:c>
      <x:c r="F611" t="str">
        <x:v>PM</x:v>
      </x:c>
      <x:c r="G611" t="str">
        <x:v>A</x:v>
      </x:c>
      <x:c r="H611" t="n">
        <x:v>22</x:v>
      </x:c>
      <x:c r="I611" t="str">
        <x:v>ORD-2025-00056</x:v>
      </x:c>
      <x:c r="J611" t="n">
        <x:v>8</x:v>
      </x:c>
      <x:c r="K611" t="n">
        <x:v>1</x:v>
      </x:c>
      <x:c r="L611" t="str">
        <x:v>L22-S08-C1</x:v>
      </x:c>
      <x:c r="M611" t="n">
        <x:v>1</x:v>
      </x:c>
      <x:c r="N611" t="str">
        <x:v>DerivedFromCount</x:v>
      </x:c>
      <x:c r="O611" t="str">
        <x:v>PLC-PRD-JAR-720-L22</x:v>
      </x:c>
      <x:c r="P611" t="str">
        <x:v>OK</x:v>
      </x:c>
      <x:c r="Q611" t="str">
        <x:v>OK</x:v>
      </x:c>
      <x:c r="R611" t="str">
        <x:v>OK</x:v>
      </x:c>
      <x:c r="S611" t="str">
        <x:v>OK</x:v>
      </x:c>
      <x:c r="T611" t="n">
        <x:v>20</x:v>
      </x:c>
      <x:c r="U611" t="str">
        <x:v>OK</x:v>
      </x:c>
      <x:c r="V611" t="str">
        <x:v>OK</x:v>
      </x:c>
      <x:c r="W611" t="str">
        <x:v>LOAD</x:v>
      </x:c>
      <x:c r="X611" t="str">
        <x:v>02_Supervisor_Log(4).xlsx</x:v>
      </x:c>
      <x:c r="Y611" t="str">
        <x:v>ENH-20260830-01</x:v>
      </x:c>
      <x:c r="Z611" t="str">
        <x:v>Active</x:v>
      </x:c>
      <x:c r="AA611"/>
      <x:c r="AB611"/>
      <x:c r="AC611"/>
      <x:c r="AD611"/>
    </x:row>
    <x:row r="612">
      <x:c r="A612" t="str">
        <x:v>PCC-PE-KG01-L22-20251020-PM-ORD-2025-00056-S08-C2</x:v>
      </x:c>
      <x:c r="B612" t="str">
        <x:v>PC-PE-KG01-L22-20251020-PM-ORD-2025-00056-S08</x:v>
      </x:c>
      <x:c r="C612" t="str">
        <x:v>PE-KG01-L22-20251020-PM-ORD-2025-00056</x:v>
      </x:c>
      <x:c r="D612" t="str">
        <x:v>KG01</x:v>
      </x:c>
      <x:c r="E612" s="62" t="n">
        <x:v>45950</x:v>
      </x:c>
      <x:c r="F612" t="str">
        <x:v>PM</x:v>
      </x:c>
      <x:c r="G612" t="str">
        <x:v>A</x:v>
      </x:c>
      <x:c r="H612" t="n">
        <x:v>22</x:v>
      </x:c>
      <x:c r="I612" t="str">
        <x:v>ORD-2025-00056</x:v>
      </x:c>
      <x:c r="J612" t="n">
        <x:v>8</x:v>
      </x:c>
      <x:c r="K612" t="n">
        <x:v>2</x:v>
      </x:c>
      <x:c r="L612" t="str">
        <x:v>L22-S08-C2</x:v>
      </x:c>
      <x:c r="M612" t="n">
        <x:v>1</x:v>
      </x:c>
      <x:c r="N612" t="str">
        <x:v>DerivedFromCount</x:v>
      </x:c>
      <x:c r="O612" t="str">
        <x:v>PLC-PRD-JAR-720-L22</x:v>
      </x:c>
      <x:c r="P612" t="str">
        <x:v>OK</x:v>
      </x:c>
      <x:c r="Q612" t="str">
        <x:v>OK</x:v>
      </x:c>
      <x:c r="R612" t="str">
        <x:v>OK</x:v>
      </x:c>
      <x:c r="S612" t="str">
        <x:v>OK</x:v>
      </x:c>
      <x:c r="T612" t="n">
        <x:v>20</x:v>
      </x:c>
      <x:c r="U612" t="str">
        <x:v>OK</x:v>
      </x:c>
      <x:c r="V612" t="str">
        <x:v>OK</x:v>
      </x:c>
      <x:c r="W612" t="str">
        <x:v>LOAD</x:v>
      </x:c>
      <x:c r="X612" t="str">
        <x:v>02_Supervisor_Log(4).xlsx</x:v>
      </x:c>
      <x:c r="Y612" t="str">
        <x:v>ENH-20260830-01</x:v>
      </x:c>
      <x:c r="Z612" t="str">
        <x:v>Active</x:v>
      </x:c>
      <x:c r="AA612"/>
      <x:c r="AB612"/>
      <x:c r="AC612"/>
      <x:c r="AD612"/>
    </x:row>
    <x:row r="613">
      <x:c r="A613" t="str">
        <x:v>PCC-PE-KG01-L22-20251020-PM-ORD-2025-00056-S08-C3</x:v>
      </x:c>
      <x:c r="B613" t="str">
        <x:v>PC-PE-KG01-L22-20251020-PM-ORD-2025-00056-S08</x:v>
      </x:c>
      <x:c r="C613" t="str">
        <x:v>PE-KG01-L22-20251020-PM-ORD-2025-00056</x:v>
      </x:c>
      <x:c r="D613" t="str">
        <x:v>KG01</x:v>
      </x:c>
      <x:c r="E613" s="62" t="n">
        <x:v>45950</x:v>
      </x:c>
      <x:c r="F613" t="str">
        <x:v>PM</x:v>
      </x:c>
      <x:c r="G613" t="str">
        <x:v>A</x:v>
      </x:c>
      <x:c r="H613" t="n">
        <x:v>22</x:v>
      </x:c>
      <x:c r="I613" t="str">
        <x:v>ORD-2025-00056</x:v>
      </x:c>
      <x:c r="J613" t="n">
        <x:v>8</x:v>
      </x:c>
      <x:c r="K613" t="n">
        <x:v>3</x:v>
      </x:c>
      <x:c r="L613" t="str">
        <x:v>L22-S08-C3</x:v>
      </x:c>
      <x:c r="M613" t="n">
        <x:v>0</x:v>
      </x:c>
      <x:c r="N613" t="str">
        <x:v>DerivedFromCount</x:v>
      </x:c>
      <x:c r="O613" t="str">
        <x:v>PLC-PRD-JAR-720-L22</x:v>
      </x:c>
      <x:c r="P613" t="str">
        <x:v>OK</x:v>
      </x:c>
      <x:c r="Q613" t="str">
        <x:v>OK</x:v>
      </x:c>
      <x:c r="R613" t="str">
        <x:v>OK</x:v>
      </x:c>
      <x:c r="S613" t="str">
        <x:v>OK</x:v>
      </x:c>
      <x:c r="T613" t="n">
        <x:v>20</x:v>
      </x:c>
      <x:c r="U613" t="str">
        <x:v>OK</x:v>
      </x:c>
      <x:c r="V613" t="str">
        <x:v>OK</x:v>
      </x:c>
      <x:c r="W613" t="str">
        <x:v>LOAD</x:v>
      </x:c>
      <x:c r="X613" t="str">
        <x:v>02_Supervisor_Log(4).xlsx</x:v>
      </x:c>
      <x:c r="Y613" t="str">
        <x:v>ENH-20260830-01</x:v>
      </x:c>
      <x:c r="Z613" t="str">
        <x:v>Active</x:v>
      </x:c>
      <x:c r="AA613"/>
      <x:c r="AB613"/>
      <x:c r="AC613"/>
      <x:c r="AD613"/>
    </x:row>
    <x:row r="614">
      <x:c r="A614" t="str">
        <x:v>PCC-PE-KG01-L22-20251020-PM-ORD-2025-00056-S09-C1</x:v>
      </x:c>
      <x:c r="B614" t="str">
        <x:v>PC-PE-KG01-L22-20251020-PM-ORD-2025-00056-S09</x:v>
      </x:c>
      <x:c r="C614" t="str">
        <x:v>PE-KG01-L22-20251020-PM-ORD-2025-00056</x:v>
      </x:c>
      <x:c r="D614" t="str">
        <x:v>KG01</x:v>
      </x:c>
      <x:c r="E614" s="62" t="n">
        <x:v>45950</x:v>
      </x:c>
      <x:c r="F614" t="str">
        <x:v>PM</x:v>
      </x:c>
      <x:c r="G614" t="str">
        <x:v>A</x:v>
      </x:c>
      <x:c r="H614" t="n">
        <x:v>22</x:v>
      </x:c>
      <x:c r="I614" t="str">
        <x:v>ORD-2025-00056</x:v>
      </x:c>
      <x:c r="J614" t="n">
        <x:v>9</x:v>
      </x:c>
      <x:c r="K614" t="n">
        <x:v>1</x:v>
      </x:c>
      <x:c r="L614" t="str">
        <x:v>L22-S09-C1</x:v>
      </x:c>
      <x:c r="M614" t="n">
        <x:v>1</x:v>
      </x:c>
      <x:c r="N614" t="str">
        <x:v>DerivedFromCount</x:v>
      </x:c>
      <x:c r="O614" t="str">
        <x:v>PLC-PRD-JAR-720-L22</x:v>
      </x:c>
      <x:c r="P614" t="str">
        <x:v>OK</x:v>
      </x:c>
      <x:c r="Q614" t="str">
        <x:v>OK</x:v>
      </x:c>
      <x:c r="R614" t="str">
        <x:v>OK</x:v>
      </x:c>
      <x:c r="S614" t="str">
        <x:v>OK</x:v>
      </x:c>
      <x:c r="T614" t="n">
        <x:v>20</x:v>
      </x:c>
      <x:c r="U614" t="str">
        <x:v>OK</x:v>
      </x:c>
      <x:c r="V614" t="str">
        <x:v>OK</x:v>
      </x:c>
      <x:c r="W614" t="str">
        <x:v>LOAD</x:v>
      </x:c>
      <x:c r="X614" t="str">
        <x:v>02_Supervisor_Log(4).xlsx</x:v>
      </x:c>
      <x:c r="Y614" t="str">
        <x:v>ENH-20260830-01</x:v>
      </x:c>
      <x:c r="Z614" t="str">
        <x:v>Active</x:v>
      </x:c>
      <x:c r="AA614"/>
      <x:c r="AB614"/>
      <x:c r="AC614"/>
      <x:c r="AD614"/>
    </x:row>
    <x:row r="615">
      <x:c r="A615" t="str">
        <x:v>PCC-PE-KG01-L22-20251020-PM-ORD-2025-00056-S09-C2</x:v>
      </x:c>
      <x:c r="B615" t="str">
        <x:v>PC-PE-KG01-L22-20251020-PM-ORD-2025-00056-S09</x:v>
      </x:c>
      <x:c r="C615" t="str">
        <x:v>PE-KG01-L22-20251020-PM-ORD-2025-00056</x:v>
      </x:c>
      <x:c r="D615" t="str">
        <x:v>KG01</x:v>
      </x:c>
      <x:c r="E615" s="62" t="n">
        <x:v>45950</x:v>
      </x:c>
      <x:c r="F615" t="str">
        <x:v>PM</x:v>
      </x:c>
      <x:c r="G615" t="str">
        <x:v>A</x:v>
      </x:c>
      <x:c r="H615" t="n">
        <x:v>22</x:v>
      </x:c>
      <x:c r="I615" t="str">
        <x:v>ORD-2025-00056</x:v>
      </x:c>
      <x:c r="J615" t="n">
        <x:v>9</x:v>
      </x:c>
      <x:c r="K615" t="n">
        <x:v>2</x:v>
      </x:c>
      <x:c r="L615" t="str">
        <x:v>L22-S09-C2</x:v>
      </x:c>
      <x:c r="M615" t="n">
        <x:v>1</x:v>
      </x:c>
      <x:c r="N615" t="str">
        <x:v>DerivedFromCount</x:v>
      </x:c>
      <x:c r="O615" t="str">
        <x:v>PLC-PRD-JAR-720-L22</x:v>
      </x:c>
      <x:c r="P615" t="str">
        <x:v>OK</x:v>
      </x:c>
      <x:c r="Q615" t="str">
        <x:v>OK</x:v>
      </x:c>
      <x:c r="R615" t="str">
        <x:v>OK</x:v>
      </x:c>
      <x:c r="S615" t="str">
        <x:v>OK</x:v>
      </x:c>
      <x:c r="T615" t="n">
        <x:v>20</x:v>
      </x:c>
      <x:c r="U615" t="str">
        <x:v>OK</x:v>
      </x:c>
      <x:c r="V615" t="str">
        <x:v>OK</x:v>
      </x:c>
      <x:c r="W615" t="str">
        <x:v>LOAD</x:v>
      </x:c>
      <x:c r="X615" t="str">
        <x:v>02_Supervisor_Log(4).xlsx</x:v>
      </x:c>
      <x:c r="Y615" t="str">
        <x:v>ENH-20260830-01</x:v>
      </x:c>
      <x:c r="Z615" t="str">
        <x:v>Active</x:v>
      </x:c>
      <x:c r="AA615"/>
      <x:c r="AB615"/>
      <x:c r="AC615"/>
      <x:c r="AD615"/>
    </x:row>
    <x:row r="616">
      <x:c r="A616" t="str">
        <x:v>PCC-PE-KG01-L22-20251020-PM-ORD-2025-00056-S09-C3</x:v>
      </x:c>
      <x:c r="B616" t="str">
        <x:v>PC-PE-KG01-L22-20251020-PM-ORD-2025-00056-S09</x:v>
      </x:c>
      <x:c r="C616" t="str">
        <x:v>PE-KG01-L22-20251020-PM-ORD-2025-00056</x:v>
      </x:c>
      <x:c r="D616" t="str">
        <x:v>KG01</x:v>
      </x:c>
      <x:c r="E616" s="62" t="n">
        <x:v>45950</x:v>
      </x:c>
      <x:c r="F616" t="str">
        <x:v>PM</x:v>
      </x:c>
      <x:c r="G616" t="str">
        <x:v>A</x:v>
      </x:c>
      <x:c r="H616" t="n">
        <x:v>22</x:v>
      </x:c>
      <x:c r="I616" t="str">
        <x:v>ORD-2025-00056</x:v>
      </x:c>
      <x:c r="J616" t="n">
        <x:v>9</x:v>
      </x:c>
      <x:c r="K616" t="n">
        <x:v>3</x:v>
      </x:c>
      <x:c r="L616" t="str">
        <x:v>L22-S09-C3</x:v>
      </x:c>
      <x:c r="M616" t="n">
        <x:v>0</x:v>
      </x:c>
      <x:c r="N616" t="str">
        <x:v>DerivedFromCount</x:v>
      </x:c>
      <x:c r="O616" t="str">
        <x:v>PLC-PRD-JAR-720-L22</x:v>
      </x:c>
      <x:c r="P616" t="str">
        <x:v>OK</x:v>
      </x:c>
      <x:c r="Q616" t="str">
        <x:v>OK</x:v>
      </x:c>
      <x:c r="R616" t="str">
        <x:v>OK</x:v>
      </x:c>
      <x:c r="S616" t="str">
        <x:v>OK</x:v>
      </x:c>
      <x:c r="T616" t="n">
        <x:v>20</x:v>
      </x:c>
      <x:c r="U616" t="str">
        <x:v>OK</x:v>
      </x:c>
      <x:c r="V616" t="str">
        <x:v>OK</x:v>
      </x:c>
      <x:c r="W616" t="str">
        <x:v>LOAD</x:v>
      </x:c>
      <x:c r="X616" t="str">
        <x:v>02_Supervisor_Log(4).xlsx</x:v>
      </x:c>
      <x:c r="Y616" t="str">
        <x:v>ENH-20260830-01</x:v>
      </x:c>
      <x:c r="Z616" t="str">
        <x:v>Active</x:v>
      </x:c>
      <x:c r="AA616"/>
      <x:c r="AB616"/>
      <x:c r="AC616"/>
      <x:c r="AD616"/>
    </x:row>
    <x:row r="617">
      <x:c r="A617" t="str">
        <x:v>PCC-PE-KG01-L22-20251020-PM-ORD-2025-00056-S10-C1</x:v>
      </x:c>
      <x:c r="B617" t="str">
        <x:v>PC-PE-KG01-L22-20251020-PM-ORD-2025-00056-S10</x:v>
      </x:c>
      <x:c r="C617" t="str">
        <x:v>PE-KG01-L22-20251020-PM-ORD-2025-00056</x:v>
      </x:c>
      <x:c r="D617" t="str">
        <x:v>KG01</x:v>
      </x:c>
      <x:c r="E617" s="62" t="n">
        <x:v>45950</x:v>
      </x:c>
      <x:c r="F617" t="str">
        <x:v>PM</x:v>
      </x:c>
      <x:c r="G617" t="str">
        <x:v>A</x:v>
      </x:c>
      <x:c r="H617" t="n">
        <x:v>22</x:v>
      </x:c>
      <x:c r="I617" t="str">
        <x:v>ORD-2025-00056</x:v>
      </x:c>
      <x:c r="J617" t="n">
        <x:v>10</x:v>
      </x:c>
      <x:c r="K617" t="n">
        <x:v>1</x:v>
      </x:c>
      <x:c r="L617" t="str">
        <x:v>L22-S10-C1</x:v>
      </x:c>
      <x:c r="M617" t="n">
        <x:v>1</x:v>
      </x:c>
      <x:c r="N617" t="str">
        <x:v>DerivedFromCount</x:v>
      </x:c>
      <x:c r="O617" t="str">
        <x:v>PLC-PRD-JAR-720-L22</x:v>
      </x:c>
      <x:c r="P617" t="str">
        <x:v>OK</x:v>
      </x:c>
      <x:c r="Q617" t="str">
        <x:v>OK</x:v>
      </x:c>
      <x:c r="R617" t="str">
        <x:v>OK</x:v>
      </x:c>
      <x:c r="S617" t="str">
        <x:v>OK</x:v>
      </x:c>
      <x:c r="T617" t="n">
        <x:v>20</x:v>
      </x:c>
      <x:c r="U617" t="str">
        <x:v>OK</x:v>
      </x:c>
      <x:c r="V617" t="str">
        <x:v>OK</x:v>
      </x:c>
      <x:c r="W617" t="str">
        <x:v>LOAD</x:v>
      </x:c>
      <x:c r="X617" t="str">
        <x:v>02_Supervisor_Log(4).xlsx</x:v>
      </x:c>
      <x:c r="Y617" t="str">
        <x:v>ENH-20260830-01</x:v>
      </x:c>
      <x:c r="Z617" t="str">
        <x:v>Active</x:v>
      </x:c>
      <x:c r="AA617"/>
      <x:c r="AB617"/>
      <x:c r="AC617"/>
      <x:c r="AD617"/>
    </x:row>
    <x:row r="618">
      <x:c r="A618" t="str">
        <x:v>PCC-PE-KG01-L22-20251020-PM-ORD-2025-00056-S10-C2</x:v>
      </x:c>
      <x:c r="B618" t="str">
        <x:v>PC-PE-KG01-L22-20251020-PM-ORD-2025-00056-S10</x:v>
      </x:c>
      <x:c r="C618" t="str">
        <x:v>PE-KG01-L22-20251020-PM-ORD-2025-00056</x:v>
      </x:c>
      <x:c r="D618" t="str">
        <x:v>KG01</x:v>
      </x:c>
      <x:c r="E618" s="62" t="n">
        <x:v>45950</x:v>
      </x:c>
      <x:c r="F618" t="str">
        <x:v>PM</x:v>
      </x:c>
      <x:c r="G618" t="str">
        <x:v>A</x:v>
      </x:c>
      <x:c r="H618" t="n">
        <x:v>22</x:v>
      </x:c>
      <x:c r="I618" t="str">
        <x:v>ORD-2025-00056</x:v>
      </x:c>
      <x:c r="J618" t="n">
        <x:v>10</x:v>
      </x:c>
      <x:c r="K618" t="n">
        <x:v>2</x:v>
      </x:c>
      <x:c r="L618" t="str">
        <x:v>L22-S10-C2</x:v>
      </x:c>
      <x:c r="M618" t="n">
        <x:v>1</x:v>
      </x:c>
      <x:c r="N618" t="str">
        <x:v>DerivedFromCount</x:v>
      </x:c>
      <x:c r="O618" t="str">
        <x:v>PLC-PRD-JAR-720-L22</x:v>
      </x:c>
      <x:c r="P618" t="str">
        <x:v>OK</x:v>
      </x:c>
      <x:c r="Q618" t="str">
        <x:v>OK</x:v>
      </x:c>
      <x:c r="R618" t="str">
        <x:v>OK</x:v>
      </x:c>
      <x:c r="S618" t="str">
        <x:v>OK</x:v>
      </x:c>
      <x:c r="T618" t="n">
        <x:v>20</x:v>
      </x:c>
      <x:c r="U618" t="str">
        <x:v>OK</x:v>
      </x:c>
      <x:c r="V618" t="str">
        <x:v>OK</x:v>
      </x:c>
      <x:c r="W618" t="str">
        <x:v>LOAD</x:v>
      </x:c>
      <x:c r="X618" t="str">
        <x:v>02_Supervisor_Log(4).xlsx</x:v>
      </x:c>
      <x:c r="Y618" t="str">
        <x:v>ENH-20260830-01</x:v>
      </x:c>
      <x:c r="Z618" t="str">
        <x:v>Active</x:v>
      </x:c>
      <x:c r="AA618"/>
      <x:c r="AB618"/>
      <x:c r="AC618"/>
      <x:c r="AD618"/>
    </x:row>
    <x:row r="619">
      <x:c r="A619" t="str">
        <x:v>PCC-PE-KG01-L22-20251020-PM-ORD-2025-00056-S10-C3</x:v>
      </x:c>
      <x:c r="B619" t="str">
        <x:v>PC-PE-KG01-L22-20251020-PM-ORD-2025-00056-S10</x:v>
      </x:c>
      <x:c r="C619" t="str">
        <x:v>PE-KG01-L22-20251020-PM-ORD-2025-00056</x:v>
      </x:c>
      <x:c r="D619" t="str">
        <x:v>KG01</x:v>
      </x:c>
      <x:c r="E619" s="62" t="n">
        <x:v>45950</x:v>
      </x:c>
      <x:c r="F619" t="str">
        <x:v>PM</x:v>
      </x:c>
      <x:c r="G619" t="str">
        <x:v>A</x:v>
      </x:c>
      <x:c r="H619" t="n">
        <x:v>22</x:v>
      </x:c>
      <x:c r="I619" t="str">
        <x:v>ORD-2025-00056</x:v>
      </x:c>
      <x:c r="J619" t="n">
        <x:v>10</x:v>
      </x:c>
      <x:c r="K619" t="n">
        <x:v>3</x:v>
      </x:c>
      <x:c r="L619" t="str">
        <x:v>L22-S10-C3</x:v>
      </x:c>
      <x:c r="M619" t="n">
        <x:v>0</x:v>
      </x:c>
      <x:c r="N619" t="str">
        <x:v>DerivedFromCount</x:v>
      </x:c>
      <x:c r="O619" t="str">
        <x:v>PLC-PRD-JAR-720-L22</x:v>
      </x:c>
      <x:c r="P619" t="str">
        <x:v>OK</x:v>
      </x:c>
      <x:c r="Q619" t="str">
        <x:v>OK</x:v>
      </x:c>
      <x:c r="R619" t="str">
        <x:v>OK</x:v>
      </x:c>
      <x:c r="S619" t="str">
        <x:v>OK</x:v>
      </x:c>
      <x:c r="T619" t="n">
        <x:v>20</x:v>
      </x:c>
      <x:c r="U619" t="str">
        <x:v>OK</x:v>
      </x:c>
      <x:c r="V619" t="str">
        <x:v>OK</x:v>
      </x:c>
      <x:c r="W619" t="str">
        <x:v>LOAD</x:v>
      </x:c>
      <x:c r="X619" t="str">
        <x:v>02_Supervisor_Log(4).xlsx</x:v>
      </x:c>
      <x:c r="Y619" t="str">
        <x:v>ENH-20260830-01</x:v>
      </x:c>
      <x:c r="Z619" t="str">
        <x:v>Active</x:v>
      </x:c>
      <x:c r="AA619"/>
      <x:c r="AB619"/>
      <x:c r="AC619"/>
      <x:c r="AD619"/>
    </x:row>
    <x:row r="620">
      <x:c r="A620" t="str">
        <x:v>PCC-PE-KG01-L22-20251020-PM-ORD-2025-00056-S11-C1</x:v>
      </x:c>
      <x:c r="B620" t="str">
        <x:v>PC-PE-KG01-L22-20251020-PM-ORD-2025-00056-S11</x:v>
      </x:c>
      <x:c r="C620" t="str">
        <x:v>PE-KG01-L22-20251020-PM-ORD-2025-00056</x:v>
      </x:c>
      <x:c r="D620" t="str">
        <x:v>KG01</x:v>
      </x:c>
      <x:c r="E620" s="62" t="n">
        <x:v>45950</x:v>
      </x:c>
      <x:c r="F620" t="str">
        <x:v>PM</x:v>
      </x:c>
      <x:c r="G620" t="str">
        <x:v>A</x:v>
      </x:c>
      <x:c r="H620" t="n">
        <x:v>22</x:v>
      </x:c>
      <x:c r="I620" t="str">
        <x:v>ORD-2025-00056</x:v>
      </x:c>
      <x:c r="J620" t="n">
        <x:v>11</x:v>
      </x:c>
      <x:c r="K620" t="n">
        <x:v>1</x:v>
      </x:c>
      <x:c r="L620" t="str">
        <x:v>L22-S11-C1</x:v>
      </x:c>
      <x:c r="M620" t="n">
        <x:v>0</x:v>
      </x:c>
      <x:c r="N620" t="str">
        <x:v>DerivedFromCount</x:v>
      </x:c>
      <x:c r="O620" t="str">
        <x:v>PLC-PRD-JAR-720-L22</x:v>
      </x:c>
      <x:c r="P620" t="str">
        <x:v>OK</x:v>
      </x:c>
      <x:c r="Q620" t="str">
        <x:v>OK</x:v>
      </x:c>
      <x:c r="R620" t="str">
        <x:v>OK</x:v>
      </x:c>
      <x:c r="S620" t="str">
        <x:v>OK</x:v>
      </x:c>
      <x:c r="T620" t="n">
        <x:v>20</x:v>
      </x:c>
      <x:c r="U620" t="str">
        <x:v>OK</x:v>
      </x:c>
      <x:c r="V620" t="str">
        <x:v>OK</x:v>
      </x:c>
      <x:c r="W620" t="str">
        <x:v>LOAD</x:v>
      </x:c>
      <x:c r="X620" t="str">
        <x:v>02_Supervisor_Log(4).xlsx</x:v>
      </x:c>
      <x:c r="Y620" t="str">
        <x:v>ENH-20260830-01</x:v>
      </x:c>
      <x:c r="Z620" t="str">
        <x:v>Active</x:v>
      </x:c>
      <x:c r="AA620"/>
      <x:c r="AB620"/>
      <x:c r="AC620"/>
      <x:c r="AD620"/>
    </x:row>
    <x:row r="621">
      <x:c r="A621" t="str">
        <x:v>PCC-PE-KG01-L22-20251020-PM-ORD-2025-00056-S11-C2</x:v>
      </x:c>
      <x:c r="B621" t="str">
        <x:v>PC-PE-KG01-L22-20251020-PM-ORD-2025-00056-S11</x:v>
      </x:c>
      <x:c r="C621" t="str">
        <x:v>PE-KG01-L22-20251020-PM-ORD-2025-00056</x:v>
      </x:c>
      <x:c r="D621" t="str">
        <x:v>KG01</x:v>
      </x:c>
      <x:c r="E621" s="62" t="n">
        <x:v>45950</x:v>
      </x:c>
      <x:c r="F621" t="str">
        <x:v>PM</x:v>
      </x:c>
      <x:c r="G621" t="str">
        <x:v>A</x:v>
      </x:c>
      <x:c r="H621" t="n">
        <x:v>22</x:v>
      </x:c>
      <x:c r="I621" t="str">
        <x:v>ORD-2025-00056</x:v>
      </x:c>
      <x:c r="J621" t="n">
        <x:v>11</x:v>
      </x:c>
      <x:c r="K621" t="n">
        <x:v>2</x:v>
      </x:c>
      <x:c r="L621" t="str">
        <x:v>L22-S11-C2</x:v>
      </x:c>
      <x:c r="M621" t="n">
        <x:v>0</x:v>
      </x:c>
      <x:c r="N621" t="str">
        <x:v>DerivedFromCount</x:v>
      </x:c>
      <x:c r="O621" t="str">
        <x:v>PLC-PRD-JAR-720-L22</x:v>
      </x:c>
      <x:c r="P621" t="str">
        <x:v>OK</x:v>
      </x:c>
      <x:c r="Q621" t="str">
        <x:v>OK</x:v>
      </x:c>
      <x:c r="R621" t="str">
        <x:v>OK</x:v>
      </x:c>
      <x:c r="S621" t="str">
        <x:v>OK</x:v>
      </x:c>
      <x:c r="T621" t="n">
        <x:v>20</x:v>
      </x:c>
      <x:c r="U621" t="str">
        <x:v>OK</x:v>
      </x:c>
      <x:c r="V621" t="str">
        <x:v>OK</x:v>
      </x:c>
      <x:c r="W621" t="str">
        <x:v>LOAD</x:v>
      </x:c>
      <x:c r="X621" t="str">
        <x:v>02_Supervisor_Log(4).xlsx</x:v>
      </x:c>
      <x:c r="Y621" t="str">
        <x:v>ENH-20260830-01</x:v>
      </x:c>
      <x:c r="Z621" t="str">
        <x:v>Active</x:v>
      </x:c>
      <x:c r="AA621"/>
      <x:c r="AB621"/>
      <x:c r="AC621"/>
      <x:c r="AD621"/>
    </x:row>
    <x:row r="622">
      <x:c r="A622" t="str">
        <x:v>PCC-PE-KG01-L22-20251020-PM-ORD-2025-00056-S11-C3</x:v>
      </x:c>
      <x:c r="B622" t="str">
        <x:v>PC-PE-KG01-L22-20251020-PM-ORD-2025-00056-S11</x:v>
      </x:c>
      <x:c r="C622" t="str">
        <x:v>PE-KG01-L22-20251020-PM-ORD-2025-00056</x:v>
      </x:c>
      <x:c r="D622" t="str">
        <x:v>KG01</x:v>
      </x:c>
      <x:c r="E622" s="62" t="n">
        <x:v>45950</x:v>
      </x:c>
      <x:c r="F622" t="str">
        <x:v>PM</x:v>
      </x:c>
      <x:c r="G622" t="str">
        <x:v>A</x:v>
      </x:c>
      <x:c r="H622" t="n">
        <x:v>22</x:v>
      </x:c>
      <x:c r="I622" t="str">
        <x:v>ORD-2025-00056</x:v>
      </x:c>
      <x:c r="J622" t="n">
        <x:v>11</x:v>
      </x:c>
      <x:c r="K622" t="n">
        <x:v>3</x:v>
      </x:c>
      <x:c r="L622" t="str">
        <x:v>L22-S11-C3</x:v>
      </x:c>
      <x:c r="M622" t="n">
        <x:v>0</x:v>
      </x:c>
      <x:c r="N622" t="str">
        <x:v>DerivedFromCount</x:v>
      </x:c>
      <x:c r="O622" t="str">
        <x:v>PLC-PRD-JAR-720-L22</x:v>
      </x:c>
      <x:c r="P622" t="str">
        <x:v>OK</x:v>
      </x:c>
      <x:c r="Q622" t="str">
        <x:v>OK</x:v>
      </x:c>
      <x:c r="R622" t="str">
        <x:v>OK</x:v>
      </x:c>
      <x:c r="S622" t="str">
        <x:v>OK</x:v>
      </x:c>
      <x:c r="T622" t="n">
        <x:v>20</x:v>
      </x:c>
      <x:c r="U622" t="str">
        <x:v>OK</x:v>
      </x:c>
      <x:c r="V622" t="str">
        <x:v>OK</x:v>
      </x:c>
      <x:c r="W622" t="str">
        <x:v>LOAD</x:v>
      </x:c>
      <x:c r="X622" t="str">
        <x:v>02_Supervisor_Log(4).xlsx</x:v>
      </x:c>
      <x:c r="Y622" t="str">
        <x:v>ENH-20260830-01</x:v>
      </x:c>
      <x:c r="Z622" t="str">
        <x:v>Active</x:v>
      </x:c>
      <x:c r="AA622"/>
      <x:c r="AB622"/>
      <x:c r="AC622"/>
      <x:c r="AD622"/>
    </x:row>
    <x:row r="623">
      <x:c r="A623" t="str">
        <x:v>PCC-PE-KG01-L22-20251020-PM-ORD-2025-00056-S12-C1</x:v>
      </x:c>
      <x:c r="B623" t="str">
        <x:v>PC-PE-KG01-L22-20251020-PM-ORD-2025-00056-S12</x:v>
      </x:c>
      <x:c r="C623" t="str">
        <x:v>PE-KG01-L22-20251020-PM-ORD-2025-00056</x:v>
      </x:c>
      <x:c r="D623" t="str">
        <x:v>KG01</x:v>
      </x:c>
      <x:c r="E623" s="62" t="n">
        <x:v>45950</x:v>
      </x:c>
      <x:c r="F623" t="str">
        <x:v>PM</x:v>
      </x:c>
      <x:c r="G623" t="str">
        <x:v>A</x:v>
      </x:c>
      <x:c r="H623" t="n">
        <x:v>22</x:v>
      </x:c>
      <x:c r="I623" t="str">
        <x:v>ORD-2025-00056</x:v>
      </x:c>
      <x:c r="J623" t="n">
        <x:v>12</x:v>
      </x:c>
      <x:c r="K623" t="n">
        <x:v>1</x:v>
      </x:c>
      <x:c r="L623" t="str">
        <x:v>L22-S12-C1</x:v>
      </x:c>
      <x:c r="M623" t="n">
        <x:v>0</x:v>
      </x:c>
      <x:c r="N623" t="str">
        <x:v>DerivedFromCount</x:v>
      </x:c>
      <x:c r="O623" t="str">
        <x:v>PLC-PRD-JAR-720-L22</x:v>
      </x:c>
      <x:c r="P623" t="str">
        <x:v>OK</x:v>
      </x:c>
      <x:c r="Q623" t="str">
        <x:v>OK</x:v>
      </x:c>
      <x:c r="R623" t="str">
        <x:v>OK</x:v>
      </x:c>
      <x:c r="S623" t="str">
        <x:v>OK</x:v>
      </x:c>
      <x:c r="T623" t="n">
        <x:v>20</x:v>
      </x:c>
      <x:c r="U623" t="str">
        <x:v>OK</x:v>
      </x:c>
      <x:c r="V623" t="str">
        <x:v>OK</x:v>
      </x:c>
      <x:c r="W623" t="str">
        <x:v>LOAD</x:v>
      </x:c>
      <x:c r="X623" t="str">
        <x:v>02_Supervisor_Log(4).xlsx</x:v>
      </x:c>
      <x:c r="Y623" t="str">
        <x:v>ENH-20260830-01</x:v>
      </x:c>
      <x:c r="Z623" t="str">
        <x:v>Active</x:v>
      </x:c>
      <x:c r="AA623"/>
      <x:c r="AB623"/>
      <x:c r="AC623"/>
      <x:c r="AD623"/>
    </x:row>
    <x:row r="624">
      <x:c r="A624" t="str">
        <x:v>PCC-PE-KG01-L22-20251020-PM-ORD-2025-00056-S12-C2</x:v>
      </x:c>
      <x:c r="B624" t="str">
        <x:v>PC-PE-KG01-L22-20251020-PM-ORD-2025-00056-S12</x:v>
      </x:c>
      <x:c r="C624" t="str">
        <x:v>PE-KG01-L22-20251020-PM-ORD-2025-00056</x:v>
      </x:c>
      <x:c r="D624" t="str">
        <x:v>KG01</x:v>
      </x:c>
      <x:c r="E624" s="62" t="n">
        <x:v>45950</x:v>
      </x:c>
      <x:c r="F624" t="str">
        <x:v>PM</x:v>
      </x:c>
      <x:c r="G624" t="str">
        <x:v>A</x:v>
      </x:c>
      <x:c r="H624" t="n">
        <x:v>22</x:v>
      </x:c>
      <x:c r="I624" t="str">
        <x:v>ORD-2025-00056</x:v>
      </x:c>
      <x:c r="J624" t="n">
        <x:v>12</x:v>
      </x:c>
      <x:c r="K624" t="n">
        <x:v>2</x:v>
      </x:c>
      <x:c r="L624" t="str">
        <x:v>L22-S12-C2</x:v>
      </x:c>
      <x:c r="M624" t="n">
        <x:v>0</x:v>
      </x:c>
      <x:c r="N624" t="str">
        <x:v>DerivedFromCount</x:v>
      </x:c>
      <x:c r="O624" t="str">
        <x:v>PLC-PRD-JAR-720-L22</x:v>
      </x:c>
      <x:c r="P624" t="str">
        <x:v>OK</x:v>
      </x:c>
      <x:c r="Q624" t="str">
        <x:v>OK</x:v>
      </x:c>
      <x:c r="R624" t="str">
        <x:v>OK</x:v>
      </x:c>
      <x:c r="S624" t="str">
        <x:v>OK</x:v>
      </x:c>
      <x:c r="T624" t="n">
        <x:v>20</x:v>
      </x:c>
      <x:c r="U624" t="str">
        <x:v>OK</x:v>
      </x:c>
      <x:c r="V624" t="str">
        <x:v>OK</x:v>
      </x:c>
      <x:c r="W624" t="str">
        <x:v>LOAD</x:v>
      </x:c>
      <x:c r="X624" t="str">
        <x:v>02_Supervisor_Log(4).xlsx</x:v>
      </x:c>
      <x:c r="Y624" t="str">
        <x:v>ENH-20260830-01</x:v>
      </x:c>
      <x:c r="Z624" t="str">
        <x:v>Active</x:v>
      </x:c>
      <x:c r="AA624"/>
      <x:c r="AB624"/>
      <x:c r="AC624"/>
      <x:c r="AD624"/>
    </x:row>
    <x:row r="625">
      <x:c r="A625" t="str">
        <x:v>PCC-PE-KG01-L22-20251020-PM-ORD-2025-00056-S12-C3</x:v>
      </x:c>
      <x:c r="B625" t="str">
        <x:v>PC-PE-KG01-L22-20251020-PM-ORD-2025-00056-S12</x:v>
      </x:c>
      <x:c r="C625" t="str">
        <x:v>PE-KG01-L22-20251020-PM-ORD-2025-00056</x:v>
      </x:c>
      <x:c r="D625" t="str">
        <x:v>KG01</x:v>
      </x:c>
      <x:c r="E625" s="62" t="n">
        <x:v>45950</x:v>
      </x:c>
      <x:c r="F625" t="str">
        <x:v>PM</x:v>
      </x:c>
      <x:c r="G625" t="str">
        <x:v>A</x:v>
      </x:c>
      <x:c r="H625" t="n">
        <x:v>22</x:v>
      </x:c>
      <x:c r="I625" t="str">
        <x:v>ORD-2025-00056</x:v>
      </x:c>
      <x:c r="J625" t="n">
        <x:v>12</x:v>
      </x:c>
      <x:c r="K625" t="n">
        <x:v>3</x:v>
      </x:c>
      <x:c r="L625" t="str">
        <x:v>L22-S12-C3</x:v>
      </x:c>
      <x:c r="M625" t="n">
        <x:v>0</x:v>
      </x:c>
      <x:c r="N625" t="str">
        <x:v>DerivedFromCount</x:v>
      </x:c>
      <x:c r="O625" t="str">
        <x:v>PLC-PRD-JAR-720-L22</x:v>
      </x:c>
      <x:c r="P625" t="str">
        <x:v>OK</x:v>
      </x:c>
      <x:c r="Q625" t="str">
        <x:v>OK</x:v>
      </x:c>
      <x:c r="R625" t="str">
        <x:v>OK</x:v>
      </x:c>
      <x:c r="S625" t="str">
        <x:v>OK</x:v>
      </x:c>
      <x:c r="T625" t="n">
        <x:v>20</x:v>
      </x:c>
      <x:c r="U625" t="str">
        <x:v>OK</x:v>
      </x:c>
      <x:c r="V625" t="str">
        <x:v>OK</x:v>
      </x:c>
      <x:c r="W625" t="str">
        <x:v>LOAD</x:v>
      </x:c>
      <x:c r="X625" t="str">
        <x:v>02_Supervisor_Log(4).xlsx</x:v>
      </x:c>
      <x:c r="Y625" t="str">
        <x:v>ENH-20260830-01</x:v>
      </x:c>
      <x:c r="Z625" t="str">
        <x:v>Active</x:v>
      </x:c>
      <x:c r="AA625"/>
      <x:c r="AB625"/>
      <x:c r="AC625"/>
      <x:c r="AD625"/>
    </x:row>
    <x:row r="626">
      <x:c r="A626" t="str">
        <x:v>PCC-PE-KG01-L22-20251020-PM-ORD-2025-00056-S13-C1</x:v>
      </x:c>
      <x:c r="B626" t="str">
        <x:v>PC-PE-KG01-L22-20251020-PM-ORD-2025-00056-S13</x:v>
      </x:c>
      <x:c r="C626" t="str">
        <x:v>PE-KG01-L22-20251020-PM-ORD-2025-00056</x:v>
      </x:c>
      <x:c r="D626" t="str">
        <x:v>KG01</x:v>
      </x:c>
      <x:c r="E626" s="62" t="n">
        <x:v>45950</x:v>
      </x:c>
      <x:c r="F626" t="str">
        <x:v>PM</x:v>
      </x:c>
      <x:c r="G626" t="str">
        <x:v>A</x:v>
      </x:c>
      <x:c r="H626" t="n">
        <x:v>22</x:v>
      </x:c>
      <x:c r="I626" t="str">
        <x:v>ORD-2025-00056</x:v>
      </x:c>
      <x:c r="J626" t="n">
        <x:v>13</x:v>
      </x:c>
      <x:c r="K626" t="n">
        <x:v>1</x:v>
      </x:c>
      <x:c r="L626" t="str">
        <x:v>L22-S13-C1</x:v>
      </x:c>
      <x:c r="M626" t="n">
        <x:v>0</x:v>
      </x:c>
      <x:c r="N626" t="str">
        <x:v>DerivedFromCount</x:v>
      </x:c>
      <x:c r="O626" t="str">
        <x:v>PLC-PRD-JAR-720-L22</x:v>
      </x:c>
      <x:c r="P626" t="str">
        <x:v>OK</x:v>
      </x:c>
      <x:c r="Q626" t="str">
        <x:v>OK</x:v>
      </x:c>
      <x:c r="R626" t="str">
        <x:v>OK</x:v>
      </x:c>
      <x:c r="S626" t="str">
        <x:v>OK</x:v>
      </x:c>
      <x:c r="T626" t="n">
        <x:v>20</x:v>
      </x:c>
      <x:c r="U626" t="str">
        <x:v>OK</x:v>
      </x:c>
      <x:c r="V626" t="str">
        <x:v>OK</x:v>
      </x:c>
      <x:c r="W626" t="str">
        <x:v>LOAD</x:v>
      </x:c>
      <x:c r="X626" t="str">
        <x:v>02_Supervisor_Log(4).xlsx</x:v>
      </x:c>
      <x:c r="Y626" t="str">
        <x:v>ENH-20260830-01</x:v>
      </x:c>
      <x:c r="Z626" t="str">
        <x:v>Active</x:v>
      </x:c>
      <x:c r="AA626"/>
      <x:c r="AB626"/>
      <x:c r="AC626"/>
      <x:c r="AD626"/>
    </x:row>
    <x:row r="627">
      <x:c r="A627" t="str">
        <x:v>PCC-PE-KG01-L22-20251020-PM-ORD-2025-00056-S13-C2</x:v>
      </x:c>
      <x:c r="B627" t="str">
        <x:v>PC-PE-KG01-L22-20251020-PM-ORD-2025-00056-S13</x:v>
      </x:c>
      <x:c r="C627" t="str">
        <x:v>PE-KG01-L22-20251020-PM-ORD-2025-00056</x:v>
      </x:c>
      <x:c r="D627" t="str">
        <x:v>KG01</x:v>
      </x:c>
      <x:c r="E627" s="62" t="n">
        <x:v>45950</x:v>
      </x:c>
      <x:c r="F627" t="str">
        <x:v>PM</x:v>
      </x:c>
      <x:c r="G627" t="str">
        <x:v>A</x:v>
      </x:c>
      <x:c r="H627" t="n">
        <x:v>22</x:v>
      </x:c>
      <x:c r="I627" t="str">
        <x:v>ORD-2025-00056</x:v>
      </x:c>
      <x:c r="J627" t="n">
        <x:v>13</x:v>
      </x:c>
      <x:c r="K627" t="n">
        <x:v>2</x:v>
      </x:c>
      <x:c r="L627" t="str">
        <x:v>L22-S13-C2</x:v>
      </x:c>
      <x:c r="M627" t="n">
        <x:v>0</x:v>
      </x:c>
      <x:c r="N627" t="str">
        <x:v>DerivedFromCount</x:v>
      </x:c>
      <x:c r="O627" t="str">
        <x:v>PLC-PRD-JAR-720-L22</x:v>
      </x:c>
      <x:c r="P627" t="str">
        <x:v>OK</x:v>
      </x:c>
      <x:c r="Q627" t="str">
        <x:v>OK</x:v>
      </x:c>
      <x:c r="R627" t="str">
        <x:v>OK</x:v>
      </x:c>
      <x:c r="S627" t="str">
        <x:v>OK</x:v>
      </x:c>
      <x:c r="T627" t="n">
        <x:v>20</x:v>
      </x:c>
      <x:c r="U627" t="str">
        <x:v>OK</x:v>
      </x:c>
      <x:c r="V627" t="str">
        <x:v>OK</x:v>
      </x:c>
      <x:c r="W627" t="str">
        <x:v>LOAD</x:v>
      </x:c>
      <x:c r="X627" t="str">
        <x:v>02_Supervisor_Log(4).xlsx</x:v>
      </x:c>
      <x:c r="Y627" t="str">
        <x:v>ENH-20260830-01</x:v>
      </x:c>
      <x:c r="Z627" t="str">
        <x:v>Active</x:v>
      </x:c>
      <x:c r="AA627"/>
      <x:c r="AB627"/>
      <x:c r="AC627"/>
      <x:c r="AD627"/>
    </x:row>
    <x:row r="628">
      <x:c r="A628" t="str">
        <x:v>PCC-PE-KG01-L22-20251020-PM-ORD-2025-00056-S13-C3</x:v>
      </x:c>
      <x:c r="B628" t="str">
        <x:v>PC-PE-KG01-L22-20251020-PM-ORD-2025-00056-S13</x:v>
      </x:c>
      <x:c r="C628" t="str">
        <x:v>PE-KG01-L22-20251020-PM-ORD-2025-00056</x:v>
      </x:c>
      <x:c r="D628" t="str">
        <x:v>KG01</x:v>
      </x:c>
      <x:c r="E628" s="62" t="n">
        <x:v>45950</x:v>
      </x:c>
      <x:c r="F628" t="str">
        <x:v>PM</x:v>
      </x:c>
      <x:c r="G628" t="str">
        <x:v>A</x:v>
      </x:c>
      <x:c r="H628" t="n">
        <x:v>22</x:v>
      </x:c>
      <x:c r="I628" t="str">
        <x:v>ORD-2025-00056</x:v>
      </x:c>
      <x:c r="J628" t="n">
        <x:v>13</x:v>
      </x:c>
      <x:c r="K628" t="n">
        <x:v>3</x:v>
      </x:c>
      <x:c r="L628" t="str">
        <x:v>L22-S13-C3</x:v>
      </x:c>
      <x:c r="M628" t="n">
        <x:v>0</x:v>
      </x:c>
      <x:c r="N628" t="str">
        <x:v>DerivedFromCount</x:v>
      </x:c>
      <x:c r="O628" t="str">
        <x:v>PLC-PRD-JAR-720-L22</x:v>
      </x:c>
      <x:c r="P628" t="str">
        <x:v>OK</x:v>
      </x:c>
      <x:c r="Q628" t="str">
        <x:v>OK</x:v>
      </x:c>
      <x:c r="R628" t="str">
        <x:v>OK</x:v>
      </x:c>
      <x:c r="S628" t="str">
        <x:v>OK</x:v>
      </x:c>
      <x:c r="T628" t="n">
        <x:v>20</x:v>
      </x:c>
      <x:c r="U628" t="str">
        <x:v>OK</x:v>
      </x:c>
      <x:c r="V628" t="str">
        <x:v>OK</x:v>
      </x:c>
      <x:c r="W628" t="str">
        <x:v>LOAD</x:v>
      </x:c>
      <x:c r="X628" t="str">
        <x:v>02_Supervisor_Log(4).xlsx</x:v>
      </x:c>
      <x:c r="Y628" t="str">
        <x:v>ENH-20260830-01</x:v>
      </x:c>
      <x:c r="Z628" t="str">
        <x:v>Active</x:v>
      </x:c>
      <x:c r="AA628"/>
      <x:c r="AB628"/>
      <x:c r="AC628"/>
      <x:c r="AD628"/>
    </x:row>
    <x:row r="629">
      <x:c r="A629" t="str">
        <x:v>PCC-PE-KG01-L22-20251021-AM-ORD-2025-00056-S01-C1</x:v>
      </x:c>
      <x:c r="B629" t="str">
        <x:v>PC-PE-KG01-L22-20251021-AM-ORD-2025-00056-S01</x:v>
      </x:c>
      <x:c r="C629" t="str">
        <x:v>PE-KG01-L22-20251021-AM-ORD-2025-00056</x:v>
      </x:c>
      <x:c r="D629" t="str">
        <x:v>KG01</x:v>
      </x:c>
      <x:c r="E629" s="62" t="n">
        <x:v>45951</x:v>
      </x:c>
      <x:c r="F629" t="str">
        <x:v>AM</x:v>
      </x:c>
      <x:c r="G629" t="str">
        <x:v>A</x:v>
      </x:c>
      <x:c r="H629" t="n">
        <x:v>22</x:v>
      </x:c>
      <x:c r="I629" t="str">
        <x:v>ORD-2025-00056</x:v>
      </x:c>
      <x:c r="J629" t="n">
        <x:v>1</x:v>
      </x:c>
      <x:c r="K629" t="n">
        <x:v>1</x:v>
      </x:c>
      <x:c r="L629" t="str">
        <x:v>L22-S01-C1</x:v>
      </x:c>
      <x:c r="M629" t="n">
        <x:v>1</x:v>
      </x:c>
      <x:c r="N629" t="str">
        <x:v>DerivedFromCount</x:v>
      </x:c>
      <x:c r="O629" t="str">
        <x:v>PLC-PRD-JAR-720-L22</x:v>
      </x:c>
      <x:c r="P629" t="str">
        <x:v>OK</x:v>
      </x:c>
      <x:c r="Q629" t="str">
        <x:v>OK</x:v>
      </x:c>
      <x:c r="R629" t="str">
        <x:v>OK</x:v>
      </x:c>
      <x:c r="S629" t="str">
        <x:v>OK</x:v>
      </x:c>
      <x:c r="T629" t="n">
        <x:v>20</x:v>
      </x:c>
      <x:c r="U629" t="str">
        <x:v>OK</x:v>
      </x:c>
      <x:c r="V629" t="str">
        <x:v>OK</x:v>
      </x:c>
      <x:c r="W629" t="str">
        <x:v>LOAD</x:v>
      </x:c>
      <x:c r="X629" t="str">
        <x:v>02_Supervisor_Log(4).xlsx</x:v>
      </x:c>
      <x:c r="Y629" t="str">
        <x:v>ENH-20260830-01</x:v>
      </x:c>
      <x:c r="Z629" t="str">
        <x:v>Active</x:v>
      </x:c>
      <x:c r="AA629"/>
      <x:c r="AB629"/>
      <x:c r="AC629"/>
      <x:c r="AD629"/>
    </x:row>
    <x:row r="630">
      <x:c r="A630" t="str">
        <x:v>PCC-PE-KG01-L22-20251021-AM-ORD-2025-00056-S01-C2</x:v>
      </x:c>
      <x:c r="B630" t="str">
        <x:v>PC-PE-KG01-L22-20251021-AM-ORD-2025-00056-S01</x:v>
      </x:c>
      <x:c r="C630" t="str">
        <x:v>PE-KG01-L22-20251021-AM-ORD-2025-00056</x:v>
      </x:c>
      <x:c r="D630" t="str">
        <x:v>KG01</x:v>
      </x:c>
      <x:c r="E630" s="62" t="n">
        <x:v>45951</x:v>
      </x:c>
      <x:c r="F630" t="str">
        <x:v>AM</x:v>
      </x:c>
      <x:c r="G630" t="str">
        <x:v>A</x:v>
      </x:c>
      <x:c r="H630" t="n">
        <x:v>22</x:v>
      </x:c>
      <x:c r="I630" t="str">
        <x:v>ORD-2025-00056</x:v>
      </x:c>
      <x:c r="J630" t="n">
        <x:v>1</x:v>
      </x:c>
      <x:c r="K630" t="n">
        <x:v>2</x:v>
      </x:c>
      <x:c r="L630" t="str">
        <x:v>L22-S01-C2</x:v>
      </x:c>
      <x:c r="M630" t="n">
        <x:v>1</x:v>
      </x:c>
      <x:c r="N630" t="str">
        <x:v>DerivedFromCount</x:v>
      </x:c>
      <x:c r="O630" t="str">
        <x:v>PLC-PRD-JAR-720-L22</x:v>
      </x:c>
      <x:c r="P630" t="str">
        <x:v>OK</x:v>
      </x:c>
      <x:c r="Q630" t="str">
        <x:v>OK</x:v>
      </x:c>
      <x:c r="R630" t="str">
        <x:v>OK</x:v>
      </x:c>
      <x:c r="S630" t="str">
        <x:v>OK</x:v>
      </x:c>
      <x:c r="T630" t="n">
        <x:v>20</x:v>
      </x:c>
      <x:c r="U630" t="str">
        <x:v>OK</x:v>
      </x:c>
      <x:c r="V630" t="str">
        <x:v>OK</x:v>
      </x:c>
      <x:c r="W630" t="str">
        <x:v>LOAD</x:v>
      </x:c>
      <x:c r="X630" t="str">
        <x:v>02_Supervisor_Log(4).xlsx</x:v>
      </x:c>
      <x:c r="Y630" t="str">
        <x:v>ENH-20260830-01</x:v>
      </x:c>
      <x:c r="Z630" t="str">
        <x:v>Active</x:v>
      </x:c>
      <x:c r="AA630"/>
      <x:c r="AB630"/>
      <x:c r="AC630"/>
      <x:c r="AD630"/>
    </x:row>
    <x:row r="631">
      <x:c r="A631" t="str">
        <x:v>PCC-PE-KG01-L22-20251021-AM-ORD-2025-00056-S01-C3</x:v>
      </x:c>
      <x:c r="B631" t="str">
        <x:v>PC-PE-KG01-L22-20251021-AM-ORD-2025-00056-S01</x:v>
      </x:c>
      <x:c r="C631" t="str">
        <x:v>PE-KG01-L22-20251021-AM-ORD-2025-00056</x:v>
      </x:c>
      <x:c r="D631" t="str">
        <x:v>KG01</x:v>
      </x:c>
      <x:c r="E631" s="62" t="n">
        <x:v>45951</x:v>
      </x:c>
      <x:c r="F631" t="str">
        <x:v>AM</x:v>
      </x:c>
      <x:c r="G631" t="str">
        <x:v>A</x:v>
      </x:c>
      <x:c r="H631" t="n">
        <x:v>22</x:v>
      </x:c>
      <x:c r="I631" t="str">
        <x:v>ORD-2025-00056</x:v>
      </x:c>
      <x:c r="J631" t="n">
        <x:v>1</x:v>
      </x:c>
      <x:c r="K631" t="n">
        <x:v>3</x:v>
      </x:c>
      <x:c r="L631" t="str">
        <x:v>L22-S01-C3</x:v>
      </x:c>
      <x:c r="M631" t="n">
        <x:v>0</x:v>
      </x:c>
      <x:c r="N631" t="str">
        <x:v>DerivedFromCount</x:v>
      </x:c>
      <x:c r="O631" t="str">
        <x:v>PLC-PRD-JAR-720-L22</x:v>
      </x:c>
      <x:c r="P631" t="str">
        <x:v>OK</x:v>
      </x:c>
      <x:c r="Q631" t="str">
        <x:v>OK</x:v>
      </x:c>
      <x:c r="R631" t="str">
        <x:v>OK</x:v>
      </x:c>
      <x:c r="S631" t="str">
        <x:v>OK</x:v>
      </x:c>
      <x:c r="T631" t="n">
        <x:v>20</x:v>
      </x:c>
      <x:c r="U631" t="str">
        <x:v>OK</x:v>
      </x:c>
      <x:c r="V631" t="str">
        <x:v>OK</x:v>
      </x:c>
      <x:c r="W631" t="str">
        <x:v>LOAD</x:v>
      </x:c>
      <x:c r="X631" t="str">
        <x:v>02_Supervisor_Log(4).xlsx</x:v>
      </x:c>
      <x:c r="Y631" t="str">
        <x:v>ENH-20260830-01</x:v>
      </x:c>
      <x:c r="Z631" t="str">
        <x:v>Active</x:v>
      </x:c>
      <x:c r="AA631"/>
      <x:c r="AB631"/>
      <x:c r="AC631"/>
      <x:c r="AD631"/>
    </x:row>
    <x:row r="632">
      <x:c r="A632" t="str">
        <x:v>PCC-PE-KG01-L22-20251021-AM-ORD-2025-00056-S02-C1</x:v>
      </x:c>
      <x:c r="B632" t="str">
        <x:v>PC-PE-KG01-L22-20251021-AM-ORD-2025-00056-S02</x:v>
      </x:c>
      <x:c r="C632" t="str">
        <x:v>PE-KG01-L22-20251021-AM-ORD-2025-00056</x:v>
      </x:c>
      <x:c r="D632" t="str">
        <x:v>KG01</x:v>
      </x:c>
      <x:c r="E632" s="62" t="n">
        <x:v>45951</x:v>
      </x:c>
      <x:c r="F632" t="str">
        <x:v>AM</x:v>
      </x:c>
      <x:c r="G632" t="str">
        <x:v>A</x:v>
      </x:c>
      <x:c r="H632" t="n">
        <x:v>22</x:v>
      </x:c>
      <x:c r="I632" t="str">
        <x:v>ORD-2025-00056</x:v>
      </x:c>
      <x:c r="J632" t="n">
        <x:v>2</x:v>
      </x:c>
      <x:c r="K632" t="n">
        <x:v>1</x:v>
      </x:c>
      <x:c r="L632" t="str">
        <x:v>L22-S02-C1</x:v>
      </x:c>
      <x:c r="M632" t="n">
        <x:v>1</x:v>
      </x:c>
      <x:c r="N632" t="str">
        <x:v>DerivedFromCount</x:v>
      </x:c>
      <x:c r="O632" t="str">
        <x:v>PLC-PRD-JAR-720-L22</x:v>
      </x:c>
      <x:c r="P632" t="str">
        <x:v>OK</x:v>
      </x:c>
      <x:c r="Q632" t="str">
        <x:v>OK</x:v>
      </x:c>
      <x:c r="R632" t="str">
        <x:v>OK</x:v>
      </x:c>
      <x:c r="S632" t="str">
        <x:v>OK</x:v>
      </x:c>
      <x:c r="T632" t="n">
        <x:v>20</x:v>
      </x:c>
      <x:c r="U632" t="str">
        <x:v>OK</x:v>
      </x:c>
      <x:c r="V632" t="str">
        <x:v>OK</x:v>
      </x:c>
      <x:c r="W632" t="str">
        <x:v>LOAD</x:v>
      </x:c>
      <x:c r="X632" t="str">
        <x:v>02_Supervisor_Log(4).xlsx</x:v>
      </x:c>
      <x:c r="Y632" t="str">
        <x:v>ENH-20260830-01</x:v>
      </x:c>
      <x:c r="Z632" t="str">
        <x:v>Active</x:v>
      </x:c>
      <x:c r="AA632"/>
      <x:c r="AB632"/>
      <x:c r="AC632"/>
      <x:c r="AD632"/>
    </x:row>
    <x:row r="633">
      <x:c r="A633" t="str">
        <x:v>PCC-PE-KG01-L22-20251021-AM-ORD-2025-00056-S02-C2</x:v>
      </x:c>
      <x:c r="B633" t="str">
        <x:v>PC-PE-KG01-L22-20251021-AM-ORD-2025-00056-S02</x:v>
      </x:c>
      <x:c r="C633" t="str">
        <x:v>PE-KG01-L22-20251021-AM-ORD-2025-00056</x:v>
      </x:c>
      <x:c r="D633" t="str">
        <x:v>KG01</x:v>
      </x:c>
      <x:c r="E633" s="62" t="n">
        <x:v>45951</x:v>
      </x:c>
      <x:c r="F633" t="str">
        <x:v>AM</x:v>
      </x:c>
      <x:c r="G633" t="str">
        <x:v>A</x:v>
      </x:c>
      <x:c r="H633" t="n">
        <x:v>22</x:v>
      </x:c>
      <x:c r="I633" t="str">
        <x:v>ORD-2025-00056</x:v>
      </x:c>
      <x:c r="J633" t="n">
        <x:v>2</x:v>
      </x:c>
      <x:c r="K633" t="n">
        <x:v>2</x:v>
      </x:c>
      <x:c r="L633" t="str">
        <x:v>L22-S02-C2</x:v>
      </x:c>
      <x:c r="M633" t="n">
        <x:v>1</x:v>
      </x:c>
      <x:c r="N633" t="str">
        <x:v>DerivedFromCount</x:v>
      </x:c>
      <x:c r="O633" t="str">
        <x:v>PLC-PRD-JAR-720-L22</x:v>
      </x:c>
      <x:c r="P633" t="str">
        <x:v>OK</x:v>
      </x:c>
      <x:c r="Q633" t="str">
        <x:v>OK</x:v>
      </x:c>
      <x:c r="R633" t="str">
        <x:v>OK</x:v>
      </x:c>
      <x:c r="S633" t="str">
        <x:v>OK</x:v>
      </x:c>
      <x:c r="T633" t="n">
        <x:v>20</x:v>
      </x:c>
      <x:c r="U633" t="str">
        <x:v>OK</x:v>
      </x:c>
      <x:c r="V633" t="str">
        <x:v>OK</x:v>
      </x:c>
      <x:c r="W633" t="str">
        <x:v>LOAD</x:v>
      </x:c>
      <x:c r="X633" t="str">
        <x:v>02_Supervisor_Log(4).xlsx</x:v>
      </x:c>
      <x:c r="Y633" t="str">
        <x:v>ENH-20260830-01</x:v>
      </x:c>
      <x:c r="Z633" t="str">
        <x:v>Active</x:v>
      </x:c>
      <x:c r="AA633"/>
      <x:c r="AB633"/>
      <x:c r="AC633"/>
      <x:c r="AD633"/>
    </x:row>
    <x:row r="634">
      <x:c r="A634" t="str">
        <x:v>PCC-PE-KG01-L22-20251021-AM-ORD-2025-00056-S02-C3</x:v>
      </x:c>
      <x:c r="B634" t="str">
        <x:v>PC-PE-KG01-L22-20251021-AM-ORD-2025-00056-S02</x:v>
      </x:c>
      <x:c r="C634" t="str">
        <x:v>PE-KG01-L22-20251021-AM-ORD-2025-00056</x:v>
      </x:c>
      <x:c r="D634" t="str">
        <x:v>KG01</x:v>
      </x:c>
      <x:c r="E634" s="62" t="n">
        <x:v>45951</x:v>
      </x:c>
      <x:c r="F634" t="str">
        <x:v>AM</x:v>
      </x:c>
      <x:c r="G634" t="str">
        <x:v>A</x:v>
      </x:c>
      <x:c r="H634" t="n">
        <x:v>22</x:v>
      </x:c>
      <x:c r="I634" t="str">
        <x:v>ORD-2025-00056</x:v>
      </x:c>
      <x:c r="J634" t="n">
        <x:v>2</x:v>
      </x:c>
      <x:c r="K634" t="n">
        <x:v>3</x:v>
      </x:c>
      <x:c r="L634" t="str">
        <x:v>L22-S02-C3</x:v>
      </x:c>
      <x:c r="M634" t="n">
        <x:v>0</x:v>
      </x:c>
      <x:c r="N634" t="str">
        <x:v>DerivedFromCount</x:v>
      </x:c>
      <x:c r="O634" t="str">
        <x:v>PLC-PRD-JAR-720-L22</x:v>
      </x:c>
      <x:c r="P634" t="str">
        <x:v>OK</x:v>
      </x:c>
      <x:c r="Q634" t="str">
        <x:v>OK</x:v>
      </x:c>
      <x:c r="R634" t="str">
        <x:v>OK</x:v>
      </x:c>
      <x:c r="S634" t="str">
        <x:v>OK</x:v>
      </x:c>
      <x:c r="T634" t="n">
        <x:v>20</x:v>
      </x:c>
      <x:c r="U634" t="str">
        <x:v>OK</x:v>
      </x:c>
      <x:c r="V634" t="str">
        <x:v>OK</x:v>
      </x:c>
      <x:c r="W634" t="str">
        <x:v>LOAD</x:v>
      </x:c>
      <x:c r="X634" t="str">
        <x:v>02_Supervisor_Log(4).xlsx</x:v>
      </x:c>
      <x:c r="Y634" t="str">
        <x:v>ENH-20260830-01</x:v>
      </x:c>
      <x:c r="Z634" t="str">
        <x:v>Active</x:v>
      </x:c>
      <x:c r="AA634"/>
      <x:c r="AB634"/>
      <x:c r="AC634"/>
      <x:c r="AD634"/>
    </x:row>
    <x:row r="635">
      <x:c r="A635" t="str">
        <x:v>PCC-PE-KG01-L22-20251021-AM-ORD-2025-00056-S03-C1</x:v>
      </x:c>
      <x:c r="B635" t="str">
        <x:v>PC-PE-KG01-L22-20251021-AM-ORD-2025-00056-S03</x:v>
      </x:c>
      <x:c r="C635" t="str">
        <x:v>PE-KG01-L22-20251021-AM-ORD-2025-00056</x:v>
      </x:c>
      <x:c r="D635" t="str">
        <x:v>KG01</x:v>
      </x:c>
      <x:c r="E635" s="62" t="n">
        <x:v>45951</x:v>
      </x:c>
      <x:c r="F635" t="str">
        <x:v>AM</x:v>
      </x:c>
      <x:c r="G635" t="str">
        <x:v>A</x:v>
      </x:c>
      <x:c r="H635" t="n">
        <x:v>22</x:v>
      </x:c>
      <x:c r="I635" t="str">
        <x:v>ORD-2025-00056</x:v>
      </x:c>
      <x:c r="J635" t="n">
        <x:v>3</x:v>
      </x:c>
      <x:c r="K635" t="n">
        <x:v>1</x:v>
      </x:c>
      <x:c r="L635" t="str">
        <x:v>L22-S03-C1</x:v>
      </x:c>
      <x:c r="M635" t="n">
        <x:v>1</x:v>
      </x:c>
      <x:c r="N635" t="str">
        <x:v>DerivedFromCount</x:v>
      </x:c>
      <x:c r="O635" t="str">
        <x:v>PLC-PRD-JAR-720-L22</x:v>
      </x:c>
      <x:c r="P635" t="str">
        <x:v>OK</x:v>
      </x:c>
      <x:c r="Q635" t="str">
        <x:v>OK</x:v>
      </x:c>
      <x:c r="R635" t="str">
        <x:v>OK</x:v>
      </x:c>
      <x:c r="S635" t="str">
        <x:v>OK</x:v>
      </x:c>
      <x:c r="T635" t="n">
        <x:v>20</x:v>
      </x:c>
      <x:c r="U635" t="str">
        <x:v>OK</x:v>
      </x:c>
      <x:c r="V635" t="str">
        <x:v>OK</x:v>
      </x:c>
      <x:c r="W635" t="str">
        <x:v>LOAD</x:v>
      </x:c>
      <x:c r="X635" t="str">
        <x:v>02_Supervisor_Log(4).xlsx</x:v>
      </x:c>
      <x:c r="Y635" t="str">
        <x:v>ENH-20260830-01</x:v>
      </x:c>
      <x:c r="Z635" t="str">
        <x:v>Active</x:v>
      </x:c>
      <x:c r="AA635"/>
      <x:c r="AB635"/>
      <x:c r="AC635"/>
      <x:c r="AD635"/>
    </x:row>
    <x:row r="636">
      <x:c r="A636" t="str">
        <x:v>PCC-PE-KG01-L22-20251021-AM-ORD-2025-00056-S03-C2</x:v>
      </x:c>
      <x:c r="B636" t="str">
        <x:v>PC-PE-KG01-L22-20251021-AM-ORD-2025-00056-S03</x:v>
      </x:c>
      <x:c r="C636" t="str">
        <x:v>PE-KG01-L22-20251021-AM-ORD-2025-00056</x:v>
      </x:c>
      <x:c r="D636" t="str">
        <x:v>KG01</x:v>
      </x:c>
      <x:c r="E636" s="62" t="n">
        <x:v>45951</x:v>
      </x:c>
      <x:c r="F636" t="str">
        <x:v>AM</x:v>
      </x:c>
      <x:c r="G636" t="str">
        <x:v>A</x:v>
      </x:c>
      <x:c r="H636" t="n">
        <x:v>22</x:v>
      </x:c>
      <x:c r="I636" t="str">
        <x:v>ORD-2025-00056</x:v>
      </x:c>
      <x:c r="J636" t="n">
        <x:v>3</x:v>
      </x:c>
      <x:c r="K636" t="n">
        <x:v>2</x:v>
      </x:c>
      <x:c r="L636" t="str">
        <x:v>L22-S03-C2</x:v>
      </x:c>
      <x:c r="M636" t="n">
        <x:v>1</x:v>
      </x:c>
      <x:c r="N636" t="str">
        <x:v>DerivedFromCount</x:v>
      </x:c>
      <x:c r="O636" t="str">
        <x:v>PLC-PRD-JAR-720-L22</x:v>
      </x:c>
      <x:c r="P636" t="str">
        <x:v>OK</x:v>
      </x:c>
      <x:c r="Q636" t="str">
        <x:v>OK</x:v>
      </x:c>
      <x:c r="R636" t="str">
        <x:v>OK</x:v>
      </x:c>
      <x:c r="S636" t="str">
        <x:v>OK</x:v>
      </x:c>
      <x:c r="T636" t="n">
        <x:v>20</x:v>
      </x:c>
      <x:c r="U636" t="str">
        <x:v>OK</x:v>
      </x:c>
      <x:c r="V636" t="str">
        <x:v>OK</x:v>
      </x:c>
      <x:c r="W636" t="str">
        <x:v>LOAD</x:v>
      </x:c>
      <x:c r="X636" t="str">
        <x:v>02_Supervisor_Log(4).xlsx</x:v>
      </x:c>
      <x:c r="Y636" t="str">
        <x:v>ENH-20260830-01</x:v>
      </x:c>
      <x:c r="Z636" t="str">
        <x:v>Active</x:v>
      </x:c>
      <x:c r="AA636"/>
      <x:c r="AB636"/>
      <x:c r="AC636"/>
      <x:c r="AD636"/>
    </x:row>
    <x:row r="637">
      <x:c r="A637" t="str">
        <x:v>PCC-PE-KG01-L22-20251021-AM-ORD-2025-00056-S03-C3</x:v>
      </x:c>
      <x:c r="B637" t="str">
        <x:v>PC-PE-KG01-L22-20251021-AM-ORD-2025-00056-S03</x:v>
      </x:c>
      <x:c r="C637" t="str">
        <x:v>PE-KG01-L22-20251021-AM-ORD-2025-00056</x:v>
      </x:c>
      <x:c r="D637" t="str">
        <x:v>KG01</x:v>
      </x:c>
      <x:c r="E637" s="62" t="n">
        <x:v>45951</x:v>
      </x:c>
      <x:c r="F637" t="str">
        <x:v>AM</x:v>
      </x:c>
      <x:c r="G637" t="str">
        <x:v>A</x:v>
      </x:c>
      <x:c r="H637" t="n">
        <x:v>22</x:v>
      </x:c>
      <x:c r="I637" t="str">
        <x:v>ORD-2025-00056</x:v>
      </x:c>
      <x:c r="J637" t="n">
        <x:v>3</x:v>
      </x:c>
      <x:c r="K637" t="n">
        <x:v>3</x:v>
      </x:c>
      <x:c r="L637" t="str">
        <x:v>L22-S03-C3</x:v>
      </x:c>
      <x:c r="M637" t="n">
        <x:v>0</x:v>
      </x:c>
      <x:c r="N637" t="str">
        <x:v>DerivedFromCount</x:v>
      </x:c>
      <x:c r="O637" t="str">
        <x:v>PLC-PRD-JAR-720-L22</x:v>
      </x:c>
      <x:c r="P637" t="str">
        <x:v>OK</x:v>
      </x:c>
      <x:c r="Q637" t="str">
        <x:v>OK</x:v>
      </x:c>
      <x:c r="R637" t="str">
        <x:v>OK</x:v>
      </x:c>
      <x:c r="S637" t="str">
        <x:v>OK</x:v>
      </x:c>
      <x:c r="T637" t="n">
        <x:v>20</x:v>
      </x:c>
      <x:c r="U637" t="str">
        <x:v>OK</x:v>
      </x:c>
      <x:c r="V637" t="str">
        <x:v>OK</x:v>
      </x:c>
      <x:c r="W637" t="str">
        <x:v>LOAD</x:v>
      </x:c>
      <x:c r="X637" t="str">
        <x:v>02_Supervisor_Log(4).xlsx</x:v>
      </x:c>
      <x:c r="Y637" t="str">
        <x:v>ENH-20260830-01</x:v>
      </x:c>
      <x:c r="Z637" t="str">
        <x:v>Active</x:v>
      </x:c>
      <x:c r="AA637"/>
      <x:c r="AB637"/>
      <x:c r="AC637"/>
      <x:c r="AD637"/>
    </x:row>
    <x:row r="638">
      <x:c r="A638" t="str">
        <x:v>PCC-PE-KG01-L22-20251021-AM-ORD-2025-00056-S04-C1</x:v>
      </x:c>
      <x:c r="B638" t="str">
        <x:v>PC-PE-KG01-L22-20251021-AM-ORD-2025-00056-S04</x:v>
      </x:c>
      <x:c r="C638" t="str">
        <x:v>PE-KG01-L22-20251021-AM-ORD-2025-00056</x:v>
      </x:c>
      <x:c r="D638" t="str">
        <x:v>KG01</x:v>
      </x:c>
      <x:c r="E638" s="62" t="n">
        <x:v>45951</x:v>
      </x:c>
      <x:c r="F638" t="str">
        <x:v>AM</x:v>
      </x:c>
      <x:c r="G638" t="str">
        <x:v>A</x:v>
      </x:c>
      <x:c r="H638" t="n">
        <x:v>22</x:v>
      </x:c>
      <x:c r="I638" t="str">
        <x:v>ORD-2025-00056</x:v>
      </x:c>
      <x:c r="J638" t="n">
        <x:v>4</x:v>
      </x:c>
      <x:c r="K638" t="n">
        <x:v>1</x:v>
      </x:c>
      <x:c r="L638" t="str">
        <x:v>L22-S04-C1</x:v>
      </x:c>
      <x:c r="M638" t="n">
        <x:v>1</x:v>
      </x:c>
      <x:c r="N638" t="str">
        <x:v>DerivedFromCount</x:v>
      </x:c>
      <x:c r="O638" t="str">
        <x:v>PLC-PRD-JAR-720-L22</x:v>
      </x:c>
      <x:c r="P638" t="str">
        <x:v>OK</x:v>
      </x:c>
      <x:c r="Q638" t="str">
        <x:v>OK</x:v>
      </x:c>
      <x:c r="R638" t="str">
        <x:v>OK</x:v>
      </x:c>
      <x:c r="S638" t="str">
        <x:v>OK</x:v>
      </x:c>
      <x:c r="T638" t="n">
        <x:v>20</x:v>
      </x:c>
      <x:c r="U638" t="str">
        <x:v>OK</x:v>
      </x:c>
      <x:c r="V638" t="str">
        <x:v>OK</x:v>
      </x:c>
      <x:c r="W638" t="str">
        <x:v>LOAD</x:v>
      </x:c>
      <x:c r="X638" t="str">
        <x:v>02_Supervisor_Log(4).xlsx</x:v>
      </x:c>
      <x:c r="Y638" t="str">
        <x:v>ENH-20260830-01</x:v>
      </x:c>
      <x:c r="Z638" t="str">
        <x:v>Active</x:v>
      </x:c>
      <x:c r="AA638"/>
      <x:c r="AB638"/>
      <x:c r="AC638"/>
      <x:c r="AD638"/>
    </x:row>
    <x:row r="639">
      <x:c r="A639" t="str">
        <x:v>PCC-PE-KG01-L22-20251021-AM-ORD-2025-00056-S04-C2</x:v>
      </x:c>
      <x:c r="B639" t="str">
        <x:v>PC-PE-KG01-L22-20251021-AM-ORD-2025-00056-S04</x:v>
      </x:c>
      <x:c r="C639" t="str">
        <x:v>PE-KG01-L22-20251021-AM-ORD-2025-00056</x:v>
      </x:c>
      <x:c r="D639" t="str">
        <x:v>KG01</x:v>
      </x:c>
      <x:c r="E639" s="62" t="n">
        <x:v>45951</x:v>
      </x:c>
      <x:c r="F639" t="str">
        <x:v>AM</x:v>
      </x:c>
      <x:c r="G639" t="str">
        <x:v>A</x:v>
      </x:c>
      <x:c r="H639" t="n">
        <x:v>22</x:v>
      </x:c>
      <x:c r="I639" t="str">
        <x:v>ORD-2025-00056</x:v>
      </x:c>
      <x:c r="J639" t="n">
        <x:v>4</x:v>
      </x:c>
      <x:c r="K639" t="n">
        <x:v>2</x:v>
      </x:c>
      <x:c r="L639" t="str">
        <x:v>L22-S04-C2</x:v>
      </x:c>
      <x:c r="M639" t="n">
        <x:v>1</x:v>
      </x:c>
      <x:c r="N639" t="str">
        <x:v>DerivedFromCount</x:v>
      </x:c>
      <x:c r="O639" t="str">
        <x:v>PLC-PRD-JAR-720-L22</x:v>
      </x:c>
      <x:c r="P639" t="str">
        <x:v>OK</x:v>
      </x:c>
      <x:c r="Q639" t="str">
        <x:v>OK</x:v>
      </x:c>
      <x:c r="R639" t="str">
        <x:v>OK</x:v>
      </x:c>
      <x:c r="S639" t="str">
        <x:v>OK</x:v>
      </x:c>
      <x:c r="T639" t="n">
        <x:v>20</x:v>
      </x:c>
      <x:c r="U639" t="str">
        <x:v>OK</x:v>
      </x:c>
      <x:c r="V639" t="str">
        <x:v>OK</x:v>
      </x:c>
      <x:c r="W639" t="str">
        <x:v>LOAD</x:v>
      </x:c>
      <x:c r="X639" t="str">
        <x:v>02_Supervisor_Log(4).xlsx</x:v>
      </x:c>
      <x:c r="Y639" t="str">
        <x:v>ENH-20260830-01</x:v>
      </x:c>
      <x:c r="Z639" t="str">
        <x:v>Active</x:v>
      </x:c>
      <x:c r="AA639"/>
      <x:c r="AB639"/>
      <x:c r="AC639"/>
      <x:c r="AD639"/>
    </x:row>
    <x:row r="640">
      <x:c r="A640" t="str">
        <x:v>PCC-PE-KG01-L22-20251021-AM-ORD-2025-00056-S04-C3</x:v>
      </x:c>
      <x:c r="B640" t="str">
        <x:v>PC-PE-KG01-L22-20251021-AM-ORD-2025-00056-S04</x:v>
      </x:c>
      <x:c r="C640" t="str">
        <x:v>PE-KG01-L22-20251021-AM-ORD-2025-00056</x:v>
      </x:c>
      <x:c r="D640" t="str">
        <x:v>KG01</x:v>
      </x:c>
      <x:c r="E640" s="62" t="n">
        <x:v>45951</x:v>
      </x:c>
      <x:c r="F640" t="str">
        <x:v>AM</x:v>
      </x:c>
      <x:c r="G640" t="str">
        <x:v>A</x:v>
      </x:c>
      <x:c r="H640" t="n">
        <x:v>22</x:v>
      </x:c>
      <x:c r="I640" t="str">
        <x:v>ORD-2025-00056</x:v>
      </x:c>
      <x:c r="J640" t="n">
        <x:v>4</x:v>
      </x:c>
      <x:c r="K640" t="n">
        <x:v>3</x:v>
      </x:c>
      <x:c r="L640" t="str">
        <x:v>L22-S04-C3</x:v>
      </x:c>
      <x:c r="M640" t="n">
        <x:v>0</x:v>
      </x:c>
      <x:c r="N640" t="str">
        <x:v>DerivedFromCount</x:v>
      </x:c>
      <x:c r="O640" t="str">
        <x:v>PLC-PRD-JAR-720-L22</x:v>
      </x:c>
      <x:c r="P640" t="str">
        <x:v>OK</x:v>
      </x:c>
      <x:c r="Q640" t="str">
        <x:v>OK</x:v>
      </x:c>
      <x:c r="R640" t="str">
        <x:v>OK</x:v>
      </x:c>
      <x:c r="S640" t="str">
        <x:v>OK</x:v>
      </x:c>
      <x:c r="T640" t="n">
        <x:v>20</x:v>
      </x:c>
      <x:c r="U640" t="str">
        <x:v>OK</x:v>
      </x:c>
      <x:c r="V640" t="str">
        <x:v>OK</x:v>
      </x:c>
      <x:c r="W640" t="str">
        <x:v>LOAD</x:v>
      </x:c>
      <x:c r="X640" t="str">
        <x:v>02_Supervisor_Log(4).xlsx</x:v>
      </x:c>
      <x:c r="Y640" t="str">
        <x:v>ENH-20260830-01</x:v>
      </x:c>
      <x:c r="Z640" t="str">
        <x:v>Active</x:v>
      </x:c>
      <x:c r="AA640"/>
      <x:c r="AB640"/>
      <x:c r="AC640"/>
      <x:c r="AD640"/>
    </x:row>
    <x:row r="641">
      <x:c r="A641" t="str">
        <x:v>PCC-PE-KG01-L22-20251021-AM-ORD-2025-00056-S05-C1</x:v>
      </x:c>
      <x:c r="B641" t="str">
        <x:v>PC-PE-KG01-L22-20251021-AM-ORD-2025-00056-S05</x:v>
      </x:c>
      <x:c r="C641" t="str">
        <x:v>PE-KG01-L22-20251021-AM-ORD-2025-00056</x:v>
      </x:c>
      <x:c r="D641" t="str">
        <x:v>KG01</x:v>
      </x:c>
      <x:c r="E641" s="62" t="n">
        <x:v>45951</x:v>
      </x:c>
      <x:c r="F641" t="str">
        <x:v>AM</x:v>
      </x:c>
      <x:c r="G641" t="str">
        <x:v>A</x:v>
      </x:c>
      <x:c r="H641" t="n">
        <x:v>22</x:v>
      </x:c>
      <x:c r="I641" t="str">
        <x:v>ORD-2025-00056</x:v>
      </x:c>
      <x:c r="J641" t="n">
        <x:v>5</x:v>
      </x:c>
      <x:c r="K641" t="n">
        <x:v>1</x:v>
      </x:c>
      <x:c r="L641" t="str">
        <x:v>L22-S05-C1</x:v>
      </x:c>
      <x:c r="M641" t="n">
        <x:v>1</x:v>
      </x:c>
      <x:c r="N641" t="str">
        <x:v>DerivedFromCount</x:v>
      </x:c>
      <x:c r="O641" t="str">
        <x:v>PLC-PRD-JAR-720-L22</x:v>
      </x:c>
      <x:c r="P641" t="str">
        <x:v>OK</x:v>
      </x:c>
      <x:c r="Q641" t="str">
        <x:v>OK</x:v>
      </x:c>
      <x:c r="R641" t="str">
        <x:v>OK</x:v>
      </x:c>
      <x:c r="S641" t="str">
        <x:v>OK</x:v>
      </x:c>
      <x:c r="T641" t="n">
        <x:v>20</x:v>
      </x:c>
      <x:c r="U641" t="str">
        <x:v>OK</x:v>
      </x:c>
      <x:c r="V641" t="str">
        <x:v>OK</x:v>
      </x:c>
      <x:c r="W641" t="str">
        <x:v>LOAD</x:v>
      </x:c>
      <x:c r="X641" t="str">
        <x:v>02_Supervisor_Log(4).xlsx</x:v>
      </x:c>
      <x:c r="Y641" t="str">
        <x:v>ENH-20260830-01</x:v>
      </x:c>
      <x:c r="Z641" t="str">
        <x:v>Active</x:v>
      </x:c>
      <x:c r="AA641"/>
      <x:c r="AB641"/>
      <x:c r="AC641"/>
      <x:c r="AD641"/>
    </x:row>
    <x:row r="642">
      <x:c r="A642" t="str">
        <x:v>PCC-PE-KG01-L22-20251021-AM-ORD-2025-00056-S05-C2</x:v>
      </x:c>
      <x:c r="B642" t="str">
        <x:v>PC-PE-KG01-L22-20251021-AM-ORD-2025-00056-S05</x:v>
      </x:c>
      <x:c r="C642" t="str">
        <x:v>PE-KG01-L22-20251021-AM-ORD-2025-00056</x:v>
      </x:c>
      <x:c r="D642" t="str">
        <x:v>KG01</x:v>
      </x:c>
      <x:c r="E642" s="62" t="n">
        <x:v>45951</x:v>
      </x:c>
      <x:c r="F642" t="str">
        <x:v>AM</x:v>
      </x:c>
      <x:c r="G642" t="str">
        <x:v>A</x:v>
      </x:c>
      <x:c r="H642" t="n">
        <x:v>22</x:v>
      </x:c>
      <x:c r="I642" t="str">
        <x:v>ORD-2025-00056</x:v>
      </x:c>
      <x:c r="J642" t="n">
        <x:v>5</x:v>
      </x:c>
      <x:c r="K642" t="n">
        <x:v>2</x:v>
      </x:c>
      <x:c r="L642" t="str">
        <x:v>L22-S05-C2</x:v>
      </x:c>
      <x:c r="M642" t="n">
        <x:v>1</x:v>
      </x:c>
      <x:c r="N642" t="str">
        <x:v>DerivedFromCount</x:v>
      </x:c>
      <x:c r="O642" t="str">
        <x:v>PLC-PRD-JAR-720-L22</x:v>
      </x:c>
      <x:c r="P642" t="str">
        <x:v>OK</x:v>
      </x:c>
      <x:c r="Q642" t="str">
        <x:v>OK</x:v>
      </x:c>
      <x:c r="R642" t="str">
        <x:v>OK</x:v>
      </x:c>
      <x:c r="S642" t="str">
        <x:v>OK</x:v>
      </x:c>
      <x:c r="T642" t="n">
        <x:v>20</x:v>
      </x:c>
      <x:c r="U642" t="str">
        <x:v>OK</x:v>
      </x:c>
      <x:c r="V642" t="str">
        <x:v>OK</x:v>
      </x:c>
      <x:c r="W642" t="str">
        <x:v>LOAD</x:v>
      </x:c>
      <x:c r="X642" t="str">
        <x:v>02_Supervisor_Log(4).xlsx</x:v>
      </x:c>
      <x:c r="Y642" t="str">
        <x:v>ENH-20260830-01</x:v>
      </x:c>
      <x:c r="Z642" t="str">
        <x:v>Active</x:v>
      </x:c>
      <x:c r="AA642"/>
      <x:c r="AB642"/>
      <x:c r="AC642"/>
      <x:c r="AD642"/>
    </x:row>
    <x:row r="643">
      <x:c r="A643" t="str">
        <x:v>PCC-PE-KG01-L22-20251021-AM-ORD-2025-00056-S05-C3</x:v>
      </x:c>
      <x:c r="B643" t="str">
        <x:v>PC-PE-KG01-L22-20251021-AM-ORD-2025-00056-S05</x:v>
      </x:c>
      <x:c r="C643" t="str">
        <x:v>PE-KG01-L22-20251021-AM-ORD-2025-00056</x:v>
      </x:c>
      <x:c r="D643" t="str">
        <x:v>KG01</x:v>
      </x:c>
      <x:c r="E643" s="62" t="n">
        <x:v>45951</x:v>
      </x:c>
      <x:c r="F643" t="str">
        <x:v>AM</x:v>
      </x:c>
      <x:c r="G643" t="str">
        <x:v>A</x:v>
      </x:c>
      <x:c r="H643" t="n">
        <x:v>22</x:v>
      </x:c>
      <x:c r="I643" t="str">
        <x:v>ORD-2025-00056</x:v>
      </x:c>
      <x:c r="J643" t="n">
        <x:v>5</x:v>
      </x:c>
      <x:c r="K643" t="n">
        <x:v>3</x:v>
      </x:c>
      <x:c r="L643" t="str">
        <x:v>L22-S05-C3</x:v>
      </x:c>
      <x:c r="M643" t="n">
        <x:v>0</x:v>
      </x:c>
      <x:c r="N643" t="str">
        <x:v>DerivedFromCount</x:v>
      </x:c>
      <x:c r="O643" t="str">
        <x:v>PLC-PRD-JAR-720-L22</x:v>
      </x:c>
      <x:c r="P643" t="str">
        <x:v>OK</x:v>
      </x:c>
      <x:c r="Q643" t="str">
        <x:v>OK</x:v>
      </x:c>
      <x:c r="R643" t="str">
        <x:v>OK</x:v>
      </x:c>
      <x:c r="S643" t="str">
        <x:v>OK</x:v>
      </x:c>
      <x:c r="T643" t="n">
        <x:v>20</x:v>
      </x:c>
      <x:c r="U643" t="str">
        <x:v>OK</x:v>
      </x:c>
      <x:c r="V643" t="str">
        <x:v>OK</x:v>
      </x:c>
      <x:c r="W643" t="str">
        <x:v>LOAD</x:v>
      </x:c>
      <x:c r="X643" t="str">
        <x:v>02_Supervisor_Log(4).xlsx</x:v>
      </x:c>
      <x:c r="Y643" t="str">
        <x:v>ENH-20260830-01</x:v>
      </x:c>
      <x:c r="Z643" t="str">
        <x:v>Active</x:v>
      </x:c>
      <x:c r="AA643"/>
      <x:c r="AB643"/>
      <x:c r="AC643"/>
      <x:c r="AD643"/>
    </x:row>
    <x:row r="644">
      <x:c r="A644" t="str">
        <x:v>PCC-PE-KG01-L22-20251021-AM-ORD-2025-00056-S06-C1</x:v>
      </x:c>
      <x:c r="B644" t="str">
        <x:v>PC-PE-KG01-L22-20251021-AM-ORD-2025-00056-S06</x:v>
      </x:c>
      <x:c r="C644" t="str">
        <x:v>PE-KG01-L22-20251021-AM-ORD-2025-00056</x:v>
      </x:c>
      <x:c r="D644" t="str">
        <x:v>KG01</x:v>
      </x:c>
      <x:c r="E644" s="62" t="n">
        <x:v>45951</x:v>
      </x:c>
      <x:c r="F644" t="str">
        <x:v>AM</x:v>
      </x:c>
      <x:c r="G644" t="str">
        <x:v>A</x:v>
      </x:c>
      <x:c r="H644" t="n">
        <x:v>22</x:v>
      </x:c>
      <x:c r="I644" t="str">
        <x:v>ORD-2025-00056</x:v>
      </x:c>
      <x:c r="J644" t="n">
        <x:v>6</x:v>
      </x:c>
      <x:c r="K644" t="n">
        <x:v>1</x:v>
      </x:c>
      <x:c r="L644" t="str">
        <x:v>L22-S06-C1</x:v>
      </x:c>
      <x:c r="M644" t="n">
        <x:v>1</x:v>
      </x:c>
      <x:c r="N644" t="str">
        <x:v>DerivedFromCount</x:v>
      </x:c>
      <x:c r="O644" t="str">
        <x:v>PLC-PRD-JAR-720-L22</x:v>
      </x:c>
      <x:c r="P644" t="str">
        <x:v>OK</x:v>
      </x:c>
      <x:c r="Q644" t="str">
        <x:v>OK</x:v>
      </x:c>
      <x:c r="R644" t="str">
        <x:v>OK</x:v>
      </x:c>
      <x:c r="S644" t="str">
        <x:v>OK</x:v>
      </x:c>
      <x:c r="T644" t="n">
        <x:v>20</x:v>
      </x:c>
      <x:c r="U644" t="str">
        <x:v>OK</x:v>
      </x:c>
      <x:c r="V644" t="str">
        <x:v>OK</x:v>
      </x:c>
      <x:c r="W644" t="str">
        <x:v>LOAD</x:v>
      </x:c>
      <x:c r="X644" t="str">
        <x:v>02_Supervisor_Log(4).xlsx</x:v>
      </x:c>
      <x:c r="Y644" t="str">
        <x:v>ENH-20260830-01</x:v>
      </x:c>
      <x:c r="Z644" t="str">
        <x:v>Active</x:v>
      </x:c>
      <x:c r="AA644"/>
      <x:c r="AB644"/>
      <x:c r="AC644"/>
      <x:c r="AD644"/>
    </x:row>
    <x:row r="645">
      <x:c r="A645" t="str">
        <x:v>PCC-PE-KG01-L22-20251021-AM-ORD-2025-00056-S06-C2</x:v>
      </x:c>
      <x:c r="B645" t="str">
        <x:v>PC-PE-KG01-L22-20251021-AM-ORD-2025-00056-S06</x:v>
      </x:c>
      <x:c r="C645" t="str">
        <x:v>PE-KG01-L22-20251021-AM-ORD-2025-00056</x:v>
      </x:c>
      <x:c r="D645" t="str">
        <x:v>KG01</x:v>
      </x:c>
      <x:c r="E645" s="62" t="n">
        <x:v>45951</x:v>
      </x:c>
      <x:c r="F645" t="str">
        <x:v>AM</x:v>
      </x:c>
      <x:c r="G645" t="str">
        <x:v>A</x:v>
      </x:c>
      <x:c r="H645" t="n">
        <x:v>22</x:v>
      </x:c>
      <x:c r="I645" t="str">
        <x:v>ORD-2025-00056</x:v>
      </x:c>
      <x:c r="J645" t="n">
        <x:v>6</x:v>
      </x:c>
      <x:c r="K645" t="n">
        <x:v>2</x:v>
      </x:c>
      <x:c r="L645" t="str">
        <x:v>L22-S06-C2</x:v>
      </x:c>
      <x:c r="M645" t="n">
        <x:v>1</x:v>
      </x:c>
      <x:c r="N645" t="str">
        <x:v>DerivedFromCount</x:v>
      </x:c>
      <x:c r="O645" t="str">
        <x:v>PLC-PRD-JAR-720-L22</x:v>
      </x:c>
      <x:c r="P645" t="str">
        <x:v>OK</x:v>
      </x:c>
      <x:c r="Q645" t="str">
        <x:v>OK</x:v>
      </x:c>
      <x:c r="R645" t="str">
        <x:v>OK</x:v>
      </x:c>
      <x:c r="S645" t="str">
        <x:v>OK</x:v>
      </x:c>
      <x:c r="T645" t="n">
        <x:v>20</x:v>
      </x:c>
      <x:c r="U645" t="str">
        <x:v>OK</x:v>
      </x:c>
      <x:c r="V645" t="str">
        <x:v>OK</x:v>
      </x:c>
      <x:c r="W645" t="str">
        <x:v>LOAD</x:v>
      </x:c>
      <x:c r="X645" t="str">
        <x:v>02_Supervisor_Log(4).xlsx</x:v>
      </x:c>
      <x:c r="Y645" t="str">
        <x:v>ENH-20260830-01</x:v>
      </x:c>
      <x:c r="Z645" t="str">
        <x:v>Active</x:v>
      </x:c>
      <x:c r="AA645"/>
      <x:c r="AB645"/>
      <x:c r="AC645"/>
      <x:c r="AD645"/>
    </x:row>
    <x:row r="646">
      <x:c r="A646" t="str">
        <x:v>PCC-PE-KG01-L22-20251021-AM-ORD-2025-00056-S06-C3</x:v>
      </x:c>
      <x:c r="B646" t="str">
        <x:v>PC-PE-KG01-L22-20251021-AM-ORD-2025-00056-S06</x:v>
      </x:c>
      <x:c r="C646" t="str">
        <x:v>PE-KG01-L22-20251021-AM-ORD-2025-00056</x:v>
      </x:c>
      <x:c r="D646" t="str">
        <x:v>KG01</x:v>
      </x:c>
      <x:c r="E646" s="62" t="n">
        <x:v>45951</x:v>
      </x:c>
      <x:c r="F646" t="str">
        <x:v>AM</x:v>
      </x:c>
      <x:c r="G646" t="str">
        <x:v>A</x:v>
      </x:c>
      <x:c r="H646" t="n">
        <x:v>22</x:v>
      </x:c>
      <x:c r="I646" t="str">
        <x:v>ORD-2025-00056</x:v>
      </x:c>
      <x:c r="J646" t="n">
        <x:v>6</x:v>
      </x:c>
      <x:c r="K646" t="n">
        <x:v>3</x:v>
      </x:c>
      <x:c r="L646" t="str">
        <x:v>L22-S06-C3</x:v>
      </x:c>
      <x:c r="M646" t="n">
        <x:v>0</x:v>
      </x:c>
      <x:c r="N646" t="str">
        <x:v>DerivedFromCount</x:v>
      </x:c>
      <x:c r="O646" t="str">
        <x:v>PLC-PRD-JAR-720-L22</x:v>
      </x:c>
      <x:c r="P646" t="str">
        <x:v>OK</x:v>
      </x:c>
      <x:c r="Q646" t="str">
        <x:v>OK</x:v>
      </x:c>
      <x:c r="R646" t="str">
        <x:v>OK</x:v>
      </x:c>
      <x:c r="S646" t="str">
        <x:v>OK</x:v>
      </x:c>
      <x:c r="T646" t="n">
        <x:v>20</x:v>
      </x:c>
      <x:c r="U646" t="str">
        <x:v>OK</x:v>
      </x:c>
      <x:c r="V646" t="str">
        <x:v>OK</x:v>
      </x:c>
      <x:c r="W646" t="str">
        <x:v>LOAD</x:v>
      </x:c>
      <x:c r="X646" t="str">
        <x:v>02_Supervisor_Log(4).xlsx</x:v>
      </x:c>
      <x:c r="Y646" t="str">
        <x:v>ENH-20260830-01</x:v>
      </x:c>
      <x:c r="Z646" t="str">
        <x:v>Active</x:v>
      </x:c>
      <x:c r="AA646"/>
      <x:c r="AB646"/>
      <x:c r="AC646"/>
      <x:c r="AD646"/>
    </x:row>
    <x:row r="647">
      <x:c r="A647" t="str">
        <x:v>PCC-PE-KG01-L22-20251021-AM-ORD-2025-00056-S07-C1</x:v>
      </x:c>
      <x:c r="B647" t="str">
        <x:v>PC-PE-KG01-L22-20251021-AM-ORD-2025-00056-S07</x:v>
      </x:c>
      <x:c r="C647" t="str">
        <x:v>PE-KG01-L22-20251021-AM-ORD-2025-00056</x:v>
      </x:c>
      <x:c r="D647" t="str">
        <x:v>KG01</x:v>
      </x:c>
      <x:c r="E647" s="62" t="n">
        <x:v>45951</x:v>
      </x:c>
      <x:c r="F647" t="str">
        <x:v>AM</x:v>
      </x:c>
      <x:c r="G647" t="str">
        <x:v>A</x:v>
      </x:c>
      <x:c r="H647" t="n">
        <x:v>22</x:v>
      </x:c>
      <x:c r="I647" t="str">
        <x:v>ORD-2025-00056</x:v>
      </x:c>
      <x:c r="J647" t="n">
        <x:v>7</x:v>
      </x:c>
      <x:c r="K647" t="n">
        <x:v>1</x:v>
      </x:c>
      <x:c r="L647" t="str">
        <x:v>L22-S07-C1</x:v>
      </x:c>
      <x:c r="M647" t="n">
        <x:v>1</x:v>
      </x:c>
      <x:c r="N647" t="str">
        <x:v>DerivedFromCount</x:v>
      </x:c>
      <x:c r="O647" t="str">
        <x:v>PLC-PRD-JAR-720-L22</x:v>
      </x:c>
      <x:c r="P647" t="str">
        <x:v>OK</x:v>
      </x:c>
      <x:c r="Q647" t="str">
        <x:v>OK</x:v>
      </x:c>
      <x:c r="R647" t="str">
        <x:v>OK</x:v>
      </x:c>
      <x:c r="S647" t="str">
        <x:v>OK</x:v>
      </x:c>
      <x:c r="T647" t="n">
        <x:v>20</x:v>
      </x:c>
      <x:c r="U647" t="str">
        <x:v>OK</x:v>
      </x:c>
      <x:c r="V647" t="str">
        <x:v>OK</x:v>
      </x:c>
      <x:c r="W647" t="str">
        <x:v>LOAD</x:v>
      </x:c>
      <x:c r="X647" t="str">
        <x:v>02_Supervisor_Log(4).xlsx</x:v>
      </x:c>
      <x:c r="Y647" t="str">
        <x:v>ENH-20260830-01</x:v>
      </x:c>
      <x:c r="Z647" t="str">
        <x:v>Active</x:v>
      </x:c>
      <x:c r="AA647"/>
      <x:c r="AB647"/>
      <x:c r="AC647"/>
      <x:c r="AD647"/>
    </x:row>
    <x:row r="648">
      <x:c r="A648" t="str">
        <x:v>PCC-PE-KG01-L22-20251021-AM-ORD-2025-00056-S07-C2</x:v>
      </x:c>
      <x:c r="B648" t="str">
        <x:v>PC-PE-KG01-L22-20251021-AM-ORD-2025-00056-S07</x:v>
      </x:c>
      <x:c r="C648" t="str">
        <x:v>PE-KG01-L22-20251021-AM-ORD-2025-00056</x:v>
      </x:c>
      <x:c r="D648" t="str">
        <x:v>KG01</x:v>
      </x:c>
      <x:c r="E648" s="62" t="n">
        <x:v>45951</x:v>
      </x:c>
      <x:c r="F648" t="str">
        <x:v>AM</x:v>
      </x:c>
      <x:c r="G648" t="str">
        <x:v>A</x:v>
      </x:c>
      <x:c r="H648" t="n">
        <x:v>22</x:v>
      </x:c>
      <x:c r="I648" t="str">
        <x:v>ORD-2025-00056</x:v>
      </x:c>
      <x:c r="J648" t="n">
        <x:v>7</x:v>
      </x:c>
      <x:c r="K648" t="n">
        <x:v>2</x:v>
      </x:c>
      <x:c r="L648" t="str">
        <x:v>L22-S07-C2</x:v>
      </x:c>
      <x:c r="M648" t="n">
        <x:v>1</x:v>
      </x:c>
      <x:c r="N648" t="str">
        <x:v>DerivedFromCount</x:v>
      </x:c>
      <x:c r="O648" t="str">
        <x:v>PLC-PRD-JAR-720-L22</x:v>
      </x:c>
      <x:c r="P648" t="str">
        <x:v>OK</x:v>
      </x:c>
      <x:c r="Q648" t="str">
        <x:v>OK</x:v>
      </x:c>
      <x:c r="R648" t="str">
        <x:v>OK</x:v>
      </x:c>
      <x:c r="S648" t="str">
        <x:v>OK</x:v>
      </x:c>
      <x:c r="T648" t="n">
        <x:v>20</x:v>
      </x:c>
      <x:c r="U648" t="str">
        <x:v>OK</x:v>
      </x:c>
      <x:c r="V648" t="str">
        <x:v>OK</x:v>
      </x:c>
      <x:c r="W648" t="str">
        <x:v>LOAD</x:v>
      </x:c>
      <x:c r="X648" t="str">
        <x:v>02_Supervisor_Log(4).xlsx</x:v>
      </x:c>
      <x:c r="Y648" t="str">
        <x:v>ENH-20260830-01</x:v>
      </x:c>
      <x:c r="Z648" t="str">
        <x:v>Active</x:v>
      </x:c>
      <x:c r="AA648"/>
      <x:c r="AB648"/>
      <x:c r="AC648"/>
      <x:c r="AD648"/>
    </x:row>
    <x:row r="649">
      <x:c r="A649" t="str">
        <x:v>PCC-PE-KG01-L22-20251021-AM-ORD-2025-00056-S07-C3</x:v>
      </x:c>
      <x:c r="B649" t="str">
        <x:v>PC-PE-KG01-L22-20251021-AM-ORD-2025-00056-S07</x:v>
      </x:c>
      <x:c r="C649" t="str">
        <x:v>PE-KG01-L22-20251021-AM-ORD-2025-00056</x:v>
      </x:c>
      <x:c r="D649" t="str">
        <x:v>KG01</x:v>
      </x:c>
      <x:c r="E649" s="62" t="n">
        <x:v>45951</x:v>
      </x:c>
      <x:c r="F649" t="str">
        <x:v>AM</x:v>
      </x:c>
      <x:c r="G649" t="str">
        <x:v>A</x:v>
      </x:c>
      <x:c r="H649" t="n">
        <x:v>22</x:v>
      </x:c>
      <x:c r="I649" t="str">
        <x:v>ORD-2025-00056</x:v>
      </x:c>
      <x:c r="J649" t="n">
        <x:v>7</x:v>
      </x:c>
      <x:c r="K649" t="n">
        <x:v>3</x:v>
      </x:c>
      <x:c r="L649" t="str">
        <x:v>L22-S07-C3</x:v>
      </x:c>
      <x:c r="M649" t="n">
        <x:v>0</x:v>
      </x:c>
      <x:c r="N649" t="str">
        <x:v>DerivedFromCount</x:v>
      </x:c>
      <x:c r="O649" t="str">
        <x:v>PLC-PRD-JAR-720-L22</x:v>
      </x:c>
      <x:c r="P649" t="str">
        <x:v>OK</x:v>
      </x:c>
      <x:c r="Q649" t="str">
        <x:v>OK</x:v>
      </x:c>
      <x:c r="R649" t="str">
        <x:v>OK</x:v>
      </x:c>
      <x:c r="S649" t="str">
        <x:v>OK</x:v>
      </x:c>
      <x:c r="T649" t="n">
        <x:v>20</x:v>
      </x:c>
      <x:c r="U649" t="str">
        <x:v>OK</x:v>
      </x:c>
      <x:c r="V649" t="str">
        <x:v>OK</x:v>
      </x:c>
      <x:c r="W649" t="str">
        <x:v>LOAD</x:v>
      </x:c>
      <x:c r="X649" t="str">
        <x:v>02_Supervisor_Log(4).xlsx</x:v>
      </x:c>
      <x:c r="Y649" t="str">
        <x:v>ENH-20260830-01</x:v>
      </x:c>
      <x:c r="Z649" t="str">
        <x:v>Active</x:v>
      </x:c>
      <x:c r="AA649"/>
      <x:c r="AB649"/>
      <x:c r="AC649"/>
      <x:c r="AD649"/>
    </x:row>
    <x:row r="650">
      <x:c r="A650" t="str">
        <x:v>PCC-PE-KG01-L22-20251021-AM-ORD-2025-00056-S08-C1</x:v>
      </x:c>
      <x:c r="B650" t="str">
        <x:v>PC-PE-KG01-L22-20251021-AM-ORD-2025-00056-S08</x:v>
      </x:c>
      <x:c r="C650" t="str">
        <x:v>PE-KG01-L22-20251021-AM-ORD-2025-00056</x:v>
      </x:c>
      <x:c r="D650" t="str">
        <x:v>KG01</x:v>
      </x:c>
      <x:c r="E650" s="62" t="n">
        <x:v>45951</x:v>
      </x:c>
      <x:c r="F650" t="str">
        <x:v>AM</x:v>
      </x:c>
      <x:c r="G650" t="str">
        <x:v>A</x:v>
      </x:c>
      <x:c r="H650" t="n">
        <x:v>22</x:v>
      </x:c>
      <x:c r="I650" t="str">
        <x:v>ORD-2025-00056</x:v>
      </x:c>
      <x:c r="J650" t="n">
        <x:v>8</x:v>
      </x:c>
      <x:c r="K650" t="n">
        <x:v>1</x:v>
      </x:c>
      <x:c r="L650" t="str">
        <x:v>L22-S08-C1</x:v>
      </x:c>
      <x:c r="M650" t="n">
        <x:v>1</x:v>
      </x:c>
      <x:c r="N650" t="str">
        <x:v>DerivedFromCount</x:v>
      </x:c>
      <x:c r="O650" t="str">
        <x:v>PLC-PRD-JAR-720-L22</x:v>
      </x:c>
      <x:c r="P650" t="str">
        <x:v>OK</x:v>
      </x:c>
      <x:c r="Q650" t="str">
        <x:v>OK</x:v>
      </x:c>
      <x:c r="R650" t="str">
        <x:v>OK</x:v>
      </x:c>
      <x:c r="S650" t="str">
        <x:v>OK</x:v>
      </x:c>
      <x:c r="T650" t="n">
        <x:v>20</x:v>
      </x:c>
      <x:c r="U650" t="str">
        <x:v>OK</x:v>
      </x:c>
      <x:c r="V650" t="str">
        <x:v>OK</x:v>
      </x:c>
      <x:c r="W650" t="str">
        <x:v>LOAD</x:v>
      </x:c>
      <x:c r="X650" t="str">
        <x:v>02_Supervisor_Log(4).xlsx</x:v>
      </x:c>
      <x:c r="Y650" t="str">
        <x:v>ENH-20260830-01</x:v>
      </x:c>
      <x:c r="Z650" t="str">
        <x:v>Active</x:v>
      </x:c>
      <x:c r="AA650"/>
      <x:c r="AB650"/>
      <x:c r="AC650"/>
      <x:c r="AD650"/>
    </x:row>
    <x:row r="651">
      <x:c r="A651" t="str">
        <x:v>PCC-PE-KG01-L22-20251021-AM-ORD-2025-00056-S08-C2</x:v>
      </x:c>
      <x:c r="B651" t="str">
        <x:v>PC-PE-KG01-L22-20251021-AM-ORD-2025-00056-S08</x:v>
      </x:c>
      <x:c r="C651" t="str">
        <x:v>PE-KG01-L22-20251021-AM-ORD-2025-00056</x:v>
      </x:c>
      <x:c r="D651" t="str">
        <x:v>KG01</x:v>
      </x:c>
      <x:c r="E651" s="62" t="n">
        <x:v>45951</x:v>
      </x:c>
      <x:c r="F651" t="str">
        <x:v>AM</x:v>
      </x:c>
      <x:c r="G651" t="str">
        <x:v>A</x:v>
      </x:c>
      <x:c r="H651" t="n">
        <x:v>22</x:v>
      </x:c>
      <x:c r="I651" t="str">
        <x:v>ORD-2025-00056</x:v>
      </x:c>
      <x:c r="J651" t="n">
        <x:v>8</x:v>
      </x:c>
      <x:c r="K651" t="n">
        <x:v>2</x:v>
      </x:c>
      <x:c r="L651" t="str">
        <x:v>L22-S08-C2</x:v>
      </x:c>
      <x:c r="M651" t="n">
        <x:v>1</x:v>
      </x:c>
      <x:c r="N651" t="str">
        <x:v>DerivedFromCount</x:v>
      </x:c>
      <x:c r="O651" t="str">
        <x:v>PLC-PRD-JAR-720-L22</x:v>
      </x:c>
      <x:c r="P651" t="str">
        <x:v>OK</x:v>
      </x:c>
      <x:c r="Q651" t="str">
        <x:v>OK</x:v>
      </x:c>
      <x:c r="R651" t="str">
        <x:v>OK</x:v>
      </x:c>
      <x:c r="S651" t="str">
        <x:v>OK</x:v>
      </x:c>
      <x:c r="T651" t="n">
        <x:v>20</x:v>
      </x:c>
      <x:c r="U651" t="str">
        <x:v>OK</x:v>
      </x:c>
      <x:c r="V651" t="str">
        <x:v>OK</x:v>
      </x:c>
      <x:c r="W651" t="str">
        <x:v>LOAD</x:v>
      </x:c>
      <x:c r="X651" t="str">
        <x:v>02_Supervisor_Log(4).xlsx</x:v>
      </x:c>
      <x:c r="Y651" t="str">
        <x:v>ENH-20260830-01</x:v>
      </x:c>
      <x:c r="Z651" t="str">
        <x:v>Active</x:v>
      </x:c>
      <x:c r="AA651"/>
      <x:c r="AB651"/>
      <x:c r="AC651"/>
      <x:c r="AD651"/>
    </x:row>
    <x:row r="652">
      <x:c r="A652" t="str">
        <x:v>PCC-PE-KG01-L22-20251021-AM-ORD-2025-00056-S08-C3</x:v>
      </x:c>
      <x:c r="B652" t="str">
        <x:v>PC-PE-KG01-L22-20251021-AM-ORD-2025-00056-S08</x:v>
      </x:c>
      <x:c r="C652" t="str">
        <x:v>PE-KG01-L22-20251021-AM-ORD-2025-00056</x:v>
      </x:c>
      <x:c r="D652" t="str">
        <x:v>KG01</x:v>
      </x:c>
      <x:c r="E652" s="62" t="n">
        <x:v>45951</x:v>
      </x:c>
      <x:c r="F652" t="str">
        <x:v>AM</x:v>
      </x:c>
      <x:c r="G652" t="str">
        <x:v>A</x:v>
      </x:c>
      <x:c r="H652" t="n">
        <x:v>22</x:v>
      </x:c>
      <x:c r="I652" t="str">
        <x:v>ORD-2025-00056</x:v>
      </x:c>
      <x:c r="J652" t="n">
        <x:v>8</x:v>
      </x:c>
      <x:c r="K652" t="n">
        <x:v>3</x:v>
      </x:c>
      <x:c r="L652" t="str">
        <x:v>L22-S08-C3</x:v>
      </x:c>
      <x:c r="M652" t="n">
        <x:v>0</x:v>
      </x:c>
      <x:c r="N652" t="str">
        <x:v>DerivedFromCount</x:v>
      </x:c>
      <x:c r="O652" t="str">
        <x:v>PLC-PRD-JAR-720-L22</x:v>
      </x:c>
      <x:c r="P652" t="str">
        <x:v>OK</x:v>
      </x:c>
      <x:c r="Q652" t="str">
        <x:v>OK</x:v>
      </x:c>
      <x:c r="R652" t="str">
        <x:v>OK</x:v>
      </x:c>
      <x:c r="S652" t="str">
        <x:v>OK</x:v>
      </x:c>
      <x:c r="T652" t="n">
        <x:v>20</x:v>
      </x:c>
      <x:c r="U652" t="str">
        <x:v>OK</x:v>
      </x:c>
      <x:c r="V652" t="str">
        <x:v>OK</x:v>
      </x:c>
      <x:c r="W652" t="str">
        <x:v>LOAD</x:v>
      </x:c>
      <x:c r="X652" t="str">
        <x:v>02_Supervisor_Log(4).xlsx</x:v>
      </x:c>
      <x:c r="Y652" t="str">
        <x:v>ENH-20260830-01</x:v>
      </x:c>
      <x:c r="Z652" t="str">
        <x:v>Active</x:v>
      </x:c>
      <x:c r="AA652"/>
      <x:c r="AB652"/>
      <x:c r="AC652"/>
      <x:c r="AD652"/>
    </x:row>
    <x:row r="653">
      <x:c r="A653" t="str">
        <x:v>PCC-PE-KG01-L22-20251021-AM-ORD-2025-00056-S09-C1</x:v>
      </x:c>
      <x:c r="B653" t="str">
        <x:v>PC-PE-KG01-L22-20251021-AM-ORD-2025-00056-S09</x:v>
      </x:c>
      <x:c r="C653" t="str">
        <x:v>PE-KG01-L22-20251021-AM-ORD-2025-00056</x:v>
      </x:c>
      <x:c r="D653" t="str">
        <x:v>KG01</x:v>
      </x:c>
      <x:c r="E653" s="62" t="n">
        <x:v>45951</x:v>
      </x:c>
      <x:c r="F653" t="str">
        <x:v>AM</x:v>
      </x:c>
      <x:c r="G653" t="str">
        <x:v>A</x:v>
      </x:c>
      <x:c r="H653" t="n">
        <x:v>22</x:v>
      </x:c>
      <x:c r="I653" t="str">
        <x:v>ORD-2025-00056</x:v>
      </x:c>
      <x:c r="J653" t="n">
        <x:v>9</x:v>
      </x:c>
      <x:c r="K653" t="n">
        <x:v>1</x:v>
      </x:c>
      <x:c r="L653" t="str">
        <x:v>L22-S09-C1</x:v>
      </x:c>
      <x:c r="M653" t="n">
        <x:v>1</x:v>
      </x:c>
      <x:c r="N653" t="str">
        <x:v>DerivedFromCount</x:v>
      </x:c>
      <x:c r="O653" t="str">
        <x:v>PLC-PRD-JAR-720-L22</x:v>
      </x:c>
      <x:c r="P653" t="str">
        <x:v>OK</x:v>
      </x:c>
      <x:c r="Q653" t="str">
        <x:v>OK</x:v>
      </x:c>
      <x:c r="R653" t="str">
        <x:v>OK</x:v>
      </x:c>
      <x:c r="S653" t="str">
        <x:v>OK</x:v>
      </x:c>
      <x:c r="T653" t="n">
        <x:v>20</x:v>
      </x:c>
      <x:c r="U653" t="str">
        <x:v>OK</x:v>
      </x:c>
      <x:c r="V653" t="str">
        <x:v>OK</x:v>
      </x:c>
      <x:c r="W653" t="str">
        <x:v>LOAD</x:v>
      </x:c>
      <x:c r="X653" t="str">
        <x:v>02_Supervisor_Log(4).xlsx</x:v>
      </x:c>
      <x:c r="Y653" t="str">
        <x:v>ENH-20260830-01</x:v>
      </x:c>
      <x:c r="Z653" t="str">
        <x:v>Active</x:v>
      </x:c>
      <x:c r="AA653"/>
      <x:c r="AB653"/>
      <x:c r="AC653"/>
      <x:c r="AD653"/>
    </x:row>
    <x:row r="654">
      <x:c r="A654" t="str">
        <x:v>PCC-PE-KG01-L22-20251021-AM-ORD-2025-00056-S09-C2</x:v>
      </x:c>
      <x:c r="B654" t="str">
        <x:v>PC-PE-KG01-L22-20251021-AM-ORD-2025-00056-S09</x:v>
      </x:c>
      <x:c r="C654" t="str">
        <x:v>PE-KG01-L22-20251021-AM-ORD-2025-00056</x:v>
      </x:c>
      <x:c r="D654" t="str">
        <x:v>KG01</x:v>
      </x:c>
      <x:c r="E654" s="62" t="n">
        <x:v>45951</x:v>
      </x:c>
      <x:c r="F654" t="str">
        <x:v>AM</x:v>
      </x:c>
      <x:c r="G654" t="str">
        <x:v>A</x:v>
      </x:c>
      <x:c r="H654" t="n">
        <x:v>22</x:v>
      </x:c>
      <x:c r="I654" t="str">
        <x:v>ORD-2025-00056</x:v>
      </x:c>
      <x:c r="J654" t="n">
        <x:v>9</x:v>
      </x:c>
      <x:c r="K654" t="n">
        <x:v>2</x:v>
      </x:c>
      <x:c r="L654" t="str">
        <x:v>L22-S09-C2</x:v>
      </x:c>
      <x:c r="M654" t="n">
        <x:v>1</x:v>
      </x:c>
      <x:c r="N654" t="str">
        <x:v>DerivedFromCount</x:v>
      </x:c>
      <x:c r="O654" t="str">
        <x:v>PLC-PRD-JAR-720-L22</x:v>
      </x:c>
      <x:c r="P654" t="str">
        <x:v>OK</x:v>
      </x:c>
      <x:c r="Q654" t="str">
        <x:v>OK</x:v>
      </x:c>
      <x:c r="R654" t="str">
        <x:v>OK</x:v>
      </x:c>
      <x:c r="S654" t="str">
        <x:v>OK</x:v>
      </x:c>
      <x:c r="T654" t="n">
        <x:v>20</x:v>
      </x:c>
      <x:c r="U654" t="str">
        <x:v>OK</x:v>
      </x:c>
      <x:c r="V654" t="str">
        <x:v>OK</x:v>
      </x:c>
      <x:c r="W654" t="str">
        <x:v>LOAD</x:v>
      </x:c>
      <x:c r="X654" t="str">
        <x:v>02_Supervisor_Log(4).xlsx</x:v>
      </x:c>
      <x:c r="Y654" t="str">
        <x:v>ENH-20260830-01</x:v>
      </x:c>
      <x:c r="Z654" t="str">
        <x:v>Active</x:v>
      </x:c>
      <x:c r="AA654"/>
      <x:c r="AB654"/>
      <x:c r="AC654"/>
      <x:c r="AD654"/>
    </x:row>
    <x:row r="655">
      <x:c r="A655" t="str">
        <x:v>PCC-PE-KG01-L22-20251021-AM-ORD-2025-00056-S09-C3</x:v>
      </x:c>
      <x:c r="B655" t="str">
        <x:v>PC-PE-KG01-L22-20251021-AM-ORD-2025-00056-S09</x:v>
      </x:c>
      <x:c r="C655" t="str">
        <x:v>PE-KG01-L22-20251021-AM-ORD-2025-00056</x:v>
      </x:c>
      <x:c r="D655" t="str">
        <x:v>KG01</x:v>
      </x:c>
      <x:c r="E655" s="62" t="n">
        <x:v>45951</x:v>
      </x:c>
      <x:c r="F655" t="str">
        <x:v>AM</x:v>
      </x:c>
      <x:c r="G655" t="str">
        <x:v>A</x:v>
      </x:c>
      <x:c r="H655" t="n">
        <x:v>22</x:v>
      </x:c>
      <x:c r="I655" t="str">
        <x:v>ORD-2025-00056</x:v>
      </x:c>
      <x:c r="J655" t="n">
        <x:v>9</x:v>
      </x:c>
      <x:c r="K655" t="n">
        <x:v>3</x:v>
      </x:c>
      <x:c r="L655" t="str">
        <x:v>L22-S09-C3</x:v>
      </x:c>
      <x:c r="M655" t="n">
        <x:v>0</x:v>
      </x:c>
      <x:c r="N655" t="str">
        <x:v>DerivedFromCount</x:v>
      </x:c>
      <x:c r="O655" t="str">
        <x:v>PLC-PRD-JAR-720-L22</x:v>
      </x:c>
      <x:c r="P655" t="str">
        <x:v>OK</x:v>
      </x:c>
      <x:c r="Q655" t="str">
        <x:v>OK</x:v>
      </x:c>
      <x:c r="R655" t="str">
        <x:v>OK</x:v>
      </x:c>
      <x:c r="S655" t="str">
        <x:v>OK</x:v>
      </x:c>
      <x:c r="T655" t="n">
        <x:v>20</x:v>
      </x:c>
      <x:c r="U655" t="str">
        <x:v>OK</x:v>
      </x:c>
      <x:c r="V655" t="str">
        <x:v>OK</x:v>
      </x:c>
      <x:c r="W655" t="str">
        <x:v>LOAD</x:v>
      </x:c>
      <x:c r="X655" t="str">
        <x:v>02_Supervisor_Log(4).xlsx</x:v>
      </x:c>
      <x:c r="Y655" t="str">
        <x:v>ENH-20260830-01</x:v>
      </x:c>
      <x:c r="Z655" t="str">
        <x:v>Active</x:v>
      </x:c>
      <x:c r="AA655"/>
      <x:c r="AB655"/>
      <x:c r="AC655"/>
      <x:c r="AD655"/>
    </x:row>
    <x:row r="656">
      <x:c r="A656" t="str">
        <x:v>PCC-PE-KG01-L22-20251021-AM-ORD-2025-00056-S10-C1</x:v>
      </x:c>
      <x:c r="B656" t="str">
        <x:v>PC-PE-KG01-L22-20251021-AM-ORD-2025-00056-S10</x:v>
      </x:c>
      <x:c r="C656" t="str">
        <x:v>PE-KG01-L22-20251021-AM-ORD-2025-00056</x:v>
      </x:c>
      <x:c r="D656" t="str">
        <x:v>KG01</x:v>
      </x:c>
      <x:c r="E656" s="62" t="n">
        <x:v>45951</x:v>
      </x:c>
      <x:c r="F656" t="str">
        <x:v>AM</x:v>
      </x:c>
      <x:c r="G656" t="str">
        <x:v>A</x:v>
      </x:c>
      <x:c r="H656" t="n">
        <x:v>22</x:v>
      </x:c>
      <x:c r="I656" t="str">
        <x:v>ORD-2025-00056</x:v>
      </x:c>
      <x:c r="J656" t="n">
        <x:v>10</x:v>
      </x:c>
      <x:c r="K656" t="n">
        <x:v>1</x:v>
      </x:c>
      <x:c r="L656" t="str">
        <x:v>L22-S10-C1</x:v>
      </x:c>
      <x:c r="M656" t="n">
        <x:v>1</x:v>
      </x:c>
      <x:c r="N656" t="str">
        <x:v>DerivedFromCount</x:v>
      </x:c>
      <x:c r="O656" t="str">
        <x:v>PLC-PRD-JAR-720-L22</x:v>
      </x:c>
      <x:c r="P656" t="str">
        <x:v>OK</x:v>
      </x:c>
      <x:c r="Q656" t="str">
        <x:v>OK</x:v>
      </x:c>
      <x:c r="R656" t="str">
        <x:v>OK</x:v>
      </x:c>
      <x:c r="S656" t="str">
        <x:v>OK</x:v>
      </x:c>
      <x:c r="T656" t="n">
        <x:v>20</x:v>
      </x:c>
      <x:c r="U656" t="str">
        <x:v>OK</x:v>
      </x:c>
      <x:c r="V656" t="str">
        <x:v>OK</x:v>
      </x:c>
      <x:c r="W656" t="str">
        <x:v>LOAD</x:v>
      </x:c>
      <x:c r="X656" t="str">
        <x:v>02_Supervisor_Log(4).xlsx</x:v>
      </x:c>
      <x:c r="Y656" t="str">
        <x:v>ENH-20260830-01</x:v>
      </x:c>
      <x:c r="Z656" t="str">
        <x:v>Active</x:v>
      </x:c>
      <x:c r="AA656"/>
      <x:c r="AB656"/>
      <x:c r="AC656"/>
      <x:c r="AD656"/>
    </x:row>
    <x:row r="657">
      <x:c r="A657" t="str">
        <x:v>PCC-PE-KG01-L22-20251021-AM-ORD-2025-00056-S10-C2</x:v>
      </x:c>
      <x:c r="B657" t="str">
        <x:v>PC-PE-KG01-L22-20251021-AM-ORD-2025-00056-S10</x:v>
      </x:c>
      <x:c r="C657" t="str">
        <x:v>PE-KG01-L22-20251021-AM-ORD-2025-00056</x:v>
      </x:c>
      <x:c r="D657" t="str">
        <x:v>KG01</x:v>
      </x:c>
      <x:c r="E657" s="62" t="n">
        <x:v>45951</x:v>
      </x:c>
      <x:c r="F657" t="str">
        <x:v>AM</x:v>
      </x:c>
      <x:c r="G657" t="str">
        <x:v>A</x:v>
      </x:c>
      <x:c r="H657" t="n">
        <x:v>22</x:v>
      </x:c>
      <x:c r="I657" t="str">
        <x:v>ORD-2025-00056</x:v>
      </x:c>
      <x:c r="J657" t="n">
        <x:v>10</x:v>
      </x:c>
      <x:c r="K657" t="n">
        <x:v>2</x:v>
      </x:c>
      <x:c r="L657" t="str">
        <x:v>L22-S10-C2</x:v>
      </x:c>
      <x:c r="M657" t="n">
        <x:v>1</x:v>
      </x:c>
      <x:c r="N657" t="str">
        <x:v>DerivedFromCount</x:v>
      </x:c>
      <x:c r="O657" t="str">
        <x:v>PLC-PRD-JAR-720-L22</x:v>
      </x:c>
      <x:c r="P657" t="str">
        <x:v>OK</x:v>
      </x:c>
      <x:c r="Q657" t="str">
        <x:v>OK</x:v>
      </x:c>
      <x:c r="R657" t="str">
        <x:v>OK</x:v>
      </x:c>
      <x:c r="S657" t="str">
        <x:v>OK</x:v>
      </x:c>
      <x:c r="T657" t="n">
        <x:v>20</x:v>
      </x:c>
      <x:c r="U657" t="str">
        <x:v>OK</x:v>
      </x:c>
      <x:c r="V657" t="str">
        <x:v>OK</x:v>
      </x:c>
      <x:c r="W657" t="str">
        <x:v>LOAD</x:v>
      </x:c>
      <x:c r="X657" t="str">
        <x:v>02_Supervisor_Log(4).xlsx</x:v>
      </x:c>
      <x:c r="Y657" t="str">
        <x:v>ENH-20260830-01</x:v>
      </x:c>
      <x:c r="Z657" t="str">
        <x:v>Active</x:v>
      </x:c>
      <x:c r="AA657"/>
      <x:c r="AB657"/>
      <x:c r="AC657"/>
      <x:c r="AD657"/>
    </x:row>
    <x:row r="658">
      <x:c r="A658" t="str">
        <x:v>PCC-PE-KG01-L22-20251021-AM-ORD-2025-00056-S10-C3</x:v>
      </x:c>
      <x:c r="B658" t="str">
        <x:v>PC-PE-KG01-L22-20251021-AM-ORD-2025-00056-S10</x:v>
      </x:c>
      <x:c r="C658" t="str">
        <x:v>PE-KG01-L22-20251021-AM-ORD-2025-00056</x:v>
      </x:c>
      <x:c r="D658" t="str">
        <x:v>KG01</x:v>
      </x:c>
      <x:c r="E658" s="62" t="n">
        <x:v>45951</x:v>
      </x:c>
      <x:c r="F658" t="str">
        <x:v>AM</x:v>
      </x:c>
      <x:c r="G658" t="str">
        <x:v>A</x:v>
      </x:c>
      <x:c r="H658" t="n">
        <x:v>22</x:v>
      </x:c>
      <x:c r="I658" t="str">
        <x:v>ORD-2025-00056</x:v>
      </x:c>
      <x:c r="J658" t="n">
        <x:v>10</x:v>
      </x:c>
      <x:c r="K658" t="n">
        <x:v>3</x:v>
      </x:c>
      <x:c r="L658" t="str">
        <x:v>L22-S10-C3</x:v>
      </x:c>
      <x:c r="M658" t="n">
        <x:v>0</x:v>
      </x:c>
      <x:c r="N658" t="str">
        <x:v>DerivedFromCount</x:v>
      </x:c>
      <x:c r="O658" t="str">
        <x:v>PLC-PRD-JAR-720-L22</x:v>
      </x:c>
      <x:c r="P658" t="str">
        <x:v>OK</x:v>
      </x:c>
      <x:c r="Q658" t="str">
        <x:v>OK</x:v>
      </x:c>
      <x:c r="R658" t="str">
        <x:v>OK</x:v>
      </x:c>
      <x:c r="S658" t="str">
        <x:v>OK</x:v>
      </x:c>
      <x:c r="T658" t="n">
        <x:v>20</x:v>
      </x:c>
      <x:c r="U658" t="str">
        <x:v>OK</x:v>
      </x:c>
      <x:c r="V658" t="str">
        <x:v>OK</x:v>
      </x:c>
      <x:c r="W658" t="str">
        <x:v>LOAD</x:v>
      </x:c>
      <x:c r="X658" t="str">
        <x:v>02_Supervisor_Log(4).xlsx</x:v>
      </x:c>
      <x:c r="Y658" t="str">
        <x:v>ENH-20260830-01</x:v>
      </x:c>
      <x:c r="Z658" t="str">
        <x:v>Active</x:v>
      </x:c>
      <x:c r="AA658"/>
      <x:c r="AB658"/>
      <x:c r="AC658"/>
      <x:c r="AD658"/>
    </x:row>
    <x:row r="659">
      <x:c r="A659" t="str">
        <x:v>PCC-PE-KG01-L22-20251021-AM-ORD-2025-00056-S11-C1</x:v>
      </x:c>
      <x:c r="B659" t="str">
        <x:v>PC-PE-KG01-L22-20251021-AM-ORD-2025-00056-S11</x:v>
      </x:c>
      <x:c r="C659" t="str">
        <x:v>PE-KG01-L22-20251021-AM-ORD-2025-00056</x:v>
      </x:c>
      <x:c r="D659" t="str">
        <x:v>KG01</x:v>
      </x:c>
      <x:c r="E659" s="62" t="n">
        <x:v>45951</x:v>
      </x:c>
      <x:c r="F659" t="str">
        <x:v>AM</x:v>
      </x:c>
      <x:c r="G659" t="str">
        <x:v>A</x:v>
      </x:c>
      <x:c r="H659" t="n">
        <x:v>22</x:v>
      </x:c>
      <x:c r="I659" t="str">
        <x:v>ORD-2025-00056</x:v>
      </x:c>
      <x:c r="J659" t="n">
        <x:v>11</x:v>
      </x:c>
      <x:c r="K659" t="n">
        <x:v>1</x:v>
      </x:c>
      <x:c r="L659" t="str">
        <x:v>L22-S11-C1</x:v>
      </x:c>
      <x:c r="M659" t="n">
        <x:v>0</x:v>
      </x:c>
      <x:c r="N659" t="str">
        <x:v>DerivedFromCount</x:v>
      </x:c>
      <x:c r="O659" t="str">
        <x:v>PLC-PRD-JAR-720-L22</x:v>
      </x:c>
      <x:c r="P659" t="str">
        <x:v>OK</x:v>
      </x:c>
      <x:c r="Q659" t="str">
        <x:v>OK</x:v>
      </x:c>
      <x:c r="R659" t="str">
        <x:v>OK</x:v>
      </x:c>
      <x:c r="S659" t="str">
        <x:v>OK</x:v>
      </x:c>
      <x:c r="T659" t="n">
        <x:v>20</x:v>
      </x:c>
      <x:c r="U659" t="str">
        <x:v>OK</x:v>
      </x:c>
      <x:c r="V659" t="str">
        <x:v>OK</x:v>
      </x:c>
      <x:c r="W659" t="str">
        <x:v>LOAD</x:v>
      </x:c>
      <x:c r="X659" t="str">
        <x:v>02_Supervisor_Log(4).xlsx</x:v>
      </x:c>
      <x:c r="Y659" t="str">
        <x:v>ENH-20260830-01</x:v>
      </x:c>
      <x:c r="Z659" t="str">
        <x:v>Active</x:v>
      </x:c>
      <x:c r="AA659"/>
      <x:c r="AB659"/>
      <x:c r="AC659"/>
      <x:c r="AD659"/>
    </x:row>
    <x:row r="660">
      <x:c r="A660" t="str">
        <x:v>PCC-PE-KG01-L22-20251021-AM-ORD-2025-00056-S11-C2</x:v>
      </x:c>
      <x:c r="B660" t="str">
        <x:v>PC-PE-KG01-L22-20251021-AM-ORD-2025-00056-S11</x:v>
      </x:c>
      <x:c r="C660" t="str">
        <x:v>PE-KG01-L22-20251021-AM-ORD-2025-00056</x:v>
      </x:c>
      <x:c r="D660" t="str">
        <x:v>KG01</x:v>
      </x:c>
      <x:c r="E660" s="62" t="n">
        <x:v>45951</x:v>
      </x:c>
      <x:c r="F660" t="str">
        <x:v>AM</x:v>
      </x:c>
      <x:c r="G660" t="str">
        <x:v>A</x:v>
      </x:c>
      <x:c r="H660" t="n">
        <x:v>22</x:v>
      </x:c>
      <x:c r="I660" t="str">
        <x:v>ORD-2025-00056</x:v>
      </x:c>
      <x:c r="J660" t="n">
        <x:v>11</x:v>
      </x:c>
      <x:c r="K660" t="n">
        <x:v>2</x:v>
      </x:c>
      <x:c r="L660" t="str">
        <x:v>L22-S11-C2</x:v>
      </x:c>
      <x:c r="M660" t="n">
        <x:v>0</x:v>
      </x:c>
      <x:c r="N660" t="str">
        <x:v>DerivedFromCount</x:v>
      </x:c>
      <x:c r="O660" t="str">
        <x:v>PLC-PRD-JAR-720-L22</x:v>
      </x:c>
      <x:c r="P660" t="str">
        <x:v>OK</x:v>
      </x:c>
      <x:c r="Q660" t="str">
        <x:v>OK</x:v>
      </x:c>
      <x:c r="R660" t="str">
        <x:v>OK</x:v>
      </x:c>
      <x:c r="S660" t="str">
        <x:v>OK</x:v>
      </x:c>
      <x:c r="T660" t="n">
        <x:v>20</x:v>
      </x:c>
      <x:c r="U660" t="str">
        <x:v>OK</x:v>
      </x:c>
      <x:c r="V660" t="str">
        <x:v>OK</x:v>
      </x:c>
      <x:c r="W660" t="str">
        <x:v>LOAD</x:v>
      </x:c>
      <x:c r="X660" t="str">
        <x:v>02_Supervisor_Log(4).xlsx</x:v>
      </x:c>
      <x:c r="Y660" t="str">
        <x:v>ENH-20260830-01</x:v>
      </x:c>
      <x:c r="Z660" t="str">
        <x:v>Active</x:v>
      </x:c>
      <x:c r="AA660"/>
      <x:c r="AB660"/>
      <x:c r="AC660"/>
      <x:c r="AD660"/>
    </x:row>
    <x:row r="661">
      <x:c r="A661" t="str">
        <x:v>PCC-PE-KG01-L22-20251021-AM-ORD-2025-00056-S11-C3</x:v>
      </x:c>
      <x:c r="B661" t="str">
        <x:v>PC-PE-KG01-L22-20251021-AM-ORD-2025-00056-S11</x:v>
      </x:c>
      <x:c r="C661" t="str">
        <x:v>PE-KG01-L22-20251021-AM-ORD-2025-00056</x:v>
      </x:c>
      <x:c r="D661" t="str">
        <x:v>KG01</x:v>
      </x:c>
      <x:c r="E661" s="62" t="n">
        <x:v>45951</x:v>
      </x:c>
      <x:c r="F661" t="str">
        <x:v>AM</x:v>
      </x:c>
      <x:c r="G661" t="str">
        <x:v>A</x:v>
      </x:c>
      <x:c r="H661" t="n">
        <x:v>22</x:v>
      </x:c>
      <x:c r="I661" t="str">
        <x:v>ORD-2025-00056</x:v>
      </x:c>
      <x:c r="J661" t="n">
        <x:v>11</x:v>
      </x:c>
      <x:c r="K661" t="n">
        <x:v>3</x:v>
      </x:c>
      <x:c r="L661" t="str">
        <x:v>L22-S11-C3</x:v>
      </x:c>
      <x:c r="M661" t="n">
        <x:v>0</x:v>
      </x:c>
      <x:c r="N661" t="str">
        <x:v>DerivedFromCount</x:v>
      </x:c>
      <x:c r="O661" t="str">
        <x:v>PLC-PRD-JAR-720-L22</x:v>
      </x:c>
      <x:c r="P661" t="str">
        <x:v>OK</x:v>
      </x:c>
      <x:c r="Q661" t="str">
        <x:v>OK</x:v>
      </x:c>
      <x:c r="R661" t="str">
        <x:v>OK</x:v>
      </x:c>
      <x:c r="S661" t="str">
        <x:v>OK</x:v>
      </x:c>
      <x:c r="T661" t="n">
        <x:v>20</x:v>
      </x:c>
      <x:c r="U661" t="str">
        <x:v>OK</x:v>
      </x:c>
      <x:c r="V661" t="str">
        <x:v>OK</x:v>
      </x:c>
      <x:c r="W661" t="str">
        <x:v>LOAD</x:v>
      </x:c>
      <x:c r="X661" t="str">
        <x:v>02_Supervisor_Log(4).xlsx</x:v>
      </x:c>
      <x:c r="Y661" t="str">
        <x:v>ENH-20260830-01</x:v>
      </x:c>
      <x:c r="Z661" t="str">
        <x:v>Active</x:v>
      </x:c>
      <x:c r="AA661"/>
      <x:c r="AB661"/>
      <x:c r="AC661"/>
      <x:c r="AD661"/>
    </x:row>
    <x:row r="662">
      <x:c r="A662" t="str">
        <x:v>PCC-PE-KG01-L22-20251021-AM-ORD-2025-00056-S12-C1</x:v>
      </x:c>
      <x:c r="B662" t="str">
        <x:v>PC-PE-KG01-L22-20251021-AM-ORD-2025-00056-S12</x:v>
      </x:c>
      <x:c r="C662" t="str">
        <x:v>PE-KG01-L22-20251021-AM-ORD-2025-00056</x:v>
      </x:c>
      <x:c r="D662" t="str">
        <x:v>KG01</x:v>
      </x:c>
      <x:c r="E662" s="62" t="n">
        <x:v>45951</x:v>
      </x:c>
      <x:c r="F662" t="str">
        <x:v>AM</x:v>
      </x:c>
      <x:c r="G662" t="str">
        <x:v>A</x:v>
      </x:c>
      <x:c r="H662" t="n">
        <x:v>22</x:v>
      </x:c>
      <x:c r="I662" t="str">
        <x:v>ORD-2025-00056</x:v>
      </x:c>
      <x:c r="J662" t="n">
        <x:v>12</x:v>
      </x:c>
      <x:c r="K662" t="n">
        <x:v>1</x:v>
      </x:c>
      <x:c r="L662" t="str">
        <x:v>L22-S12-C1</x:v>
      </x:c>
      <x:c r="M662" t="n">
        <x:v>0</x:v>
      </x:c>
      <x:c r="N662" t="str">
        <x:v>DerivedFromCount</x:v>
      </x:c>
      <x:c r="O662" t="str">
        <x:v>PLC-PRD-JAR-720-L22</x:v>
      </x:c>
      <x:c r="P662" t="str">
        <x:v>OK</x:v>
      </x:c>
      <x:c r="Q662" t="str">
        <x:v>OK</x:v>
      </x:c>
      <x:c r="R662" t="str">
        <x:v>OK</x:v>
      </x:c>
      <x:c r="S662" t="str">
        <x:v>OK</x:v>
      </x:c>
      <x:c r="T662" t="n">
        <x:v>20</x:v>
      </x:c>
      <x:c r="U662" t="str">
        <x:v>OK</x:v>
      </x:c>
      <x:c r="V662" t="str">
        <x:v>OK</x:v>
      </x:c>
      <x:c r="W662" t="str">
        <x:v>LOAD</x:v>
      </x:c>
      <x:c r="X662" t="str">
        <x:v>02_Supervisor_Log(4).xlsx</x:v>
      </x:c>
      <x:c r="Y662" t="str">
        <x:v>ENH-20260830-01</x:v>
      </x:c>
      <x:c r="Z662" t="str">
        <x:v>Active</x:v>
      </x:c>
      <x:c r="AA662"/>
      <x:c r="AB662"/>
      <x:c r="AC662"/>
      <x:c r="AD662"/>
    </x:row>
    <x:row r="663">
      <x:c r="A663" t="str">
        <x:v>PCC-PE-KG01-L22-20251021-AM-ORD-2025-00056-S12-C2</x:v>
      </x:c>
      <x:c r="B663" t="str">
        <x:v>PC-PE-KG01-L22-20251021-AM-ORD-2025-00056-S12</x:v>
      </x:c>
      <x:c r="C663" t="str">
        <x:v>PE-KG01-L22-20251021-AM-ORD-2025-00056</x:v>
      </x:c>
      <x:c r="D663" t="str">
        <x:v>KG01</x:v>
      </x:c>
      <x:c r="E663" s="62" t="n">
        <x:v>45951</x:v>
      </x:c>
      <x:c r="F663" t="str">
        <x:v>AM</x:v>
      </x:c>
      <x:c r="G663" t="str">
        <x:v>A</x:v>
      </x:c>
      <x:c r="H663" t="n">
        <x:v>22</x:v>
      </x:c>
      <x:c r="I663" t="str">
        <x:v>ORD-2025-00056</x:v>
      </x:c>
      <x:c r="J663" t="n">
        <x:v>12</x:v>
      </x:c>
      <x:c r="K663" t="n">
        <x:v>2</x:v>
      </x:c>
      <x:c r="L663" t="str">
        <x:v>L22-S12-C2</x:v>
      </x:c>
      <x:c r="M663" t="n">
        <x:v>0</x:v>
      </x:c>
      <x:c r="N663" t="str">
        <x:v>DerivedFromCount</x:v>
      </x:c>
      <x:c r="O663" t="str">
        <x:v>PLC-PRD-JAR-720-L22</x:v>
      </x:c>
      <x:c r="P663" t="str">
        <x:v>OK</x:v>
      </x:c>
      <x:c r="Q663" t="str">
        <x:v>OK</x:v>
      </x:c>
      <x:c r="R663" t="str">
        <x:v>OK</x:v>
      </x:c>
      <x:c r="S663" t="str">
        <x:v>OK</x:v>
      </x:c>
      <x:c r="T663" t="n">
        <x:v>20</x:v>
      </x:c>
      <x:c r="U663" t="str">
        <x:v>OK</x:v>
      </x:c>
      <x:c r="V663" t="str">
        <x:v>OK</x:v>
      </x:c>
      <x:c r="W663" t="str">
        <x:v>LOAD</x:v>
      </x:c>
      <x:c r="X663" t="str">
        <x:v>02_Supervisor_Log(4).xlsx</x:v>
      </x:c>
      <x:c r="Y663" t="str">
        <x:v>ENH-20260830-01</x:v>
      </x:c>
      <x:c r="Z663" t="str">
        <x:v>Active</x:v>
      </x:c>
      <x:c r="AA663"/>
      <x:c r="AB663"/>
      <x:c r="AC663"/>
      <x:c r="AD663"/>
    </x:row>
    <x:row r="664">
      <x:c r="A664" t="str">
        <x:v>PCC-PE-KG01-L22-20251021-AM-ORD-2025-00056-S12-C3</x:v>
      </x:c>
      <x:c r="B664" t="str">
        <x:v>PC-PE-KG01-L22-20251021-AM-ORD-2025-00056-S12</x:v>
      </x:c>
      <x:c r="C664" t="str">
        <x:v>PE-KG01-L22-20251021-AM-ORD-2025-00056</x:v>
      </x:c>
      <x:c r="D664" t="str">
        <x:v>KG01</x:v>
      </x:c>
      <x:c r="E664" s="62" t="n">
        <x:v>45951</x:v>
      </x:c>
      <x:c r="F664" t="str">
        <x:v>AM</x:v>
      </x:c>
      <x:c r="G664" t="str">
        <x:v>A</x:v>
      </x:c>
      <x:c r="H664" t="n">
        <x:v>22</x:v>
      </x:c>
      <x:c r="I664" t="str">
        <x:v>ORD-2025-00056</x:v>
      </x:c>
      <x:c r="J664" t="n">
        <x:v>12</x:v>
      </x:c>
      <x:c r="K664" t="n">
        <x:v>3</x:v>
      </x:c>
      <x:c r="L664" t="str">
        <x:v>L22-S12-C3</x:v>
      </x:c>
      <x:c r="M664" t="n">
        <x:v>0</x:v>
      </x:c>
      <x:c r="N664" t="str">
        <x:v>DerivedFromCount</x:v>
      </x:c>
      <x:c r="O664" t="str">
        <x:v>PLC-PRD-JAR-720-L22</x:v>
      </x:c>
      <x:c r="P664" t="str">
        <x:v>OK</x:v>
      </x:c>
      <x:c r="Q664" t="str">
        <x:v>OK</x:v>
      </x:c>
      <x:c r="R664" t="str">
        <x:v>OK</x:v>
      </x:c>
      <x:c r="S664" t="str">
        <x:v>OK</x:v>
      </x:c>
      <x:c r="T664" t="n">
        <x:v>20</x:v>
      </x:c>
      <x:c r="U664" t="str">
        <x:v>OK</x:v>
      </x:c>
      <x:c r="V664" t="str">
        <x:v>OK</x:v>
      </x:c>
      <x:c r="W664" t="str">
        <x:v>LOAD</x:v>
      </x:c>
      <x:c r="X664" t="str">
        <x:v>02_Supervisor_Log(4).xlsx</x:v>
      </x:c>
      <x:c r="Y664" t="str">
        <x:v>ENH-20260830-01</x:v>
      </x:c>
      <x:c r="Z664" t="str">
        <x:v>Active</x:v>
      </x:c>
      <x:c r="AA664"/>
      <x:c r="AB664"/>
      <x:c r="AC664"/>
      <x:c r="AD664"/>
    </x:row>
    <x:row r="665">
      <x:c r="A665" t="str">
        <x:v>PCC-PE-KG01-L22-20251021-AM-ORD-2025-00056-S13-C1</x:v>
      </x:c>
      <x:c r="B665" t="str">
        <x:v>PC-PE-KG01-L22-20251021-AM-ORD-2025-00056-S13</x:v>
      </x:c>
      <x:c r="C665" t="str">
        <x:v>PE-KG01-L22-20251021-AM-ORD-2025-00056</x:v>
      </x:c>
      <x:c r="D665" t="str">
        <x:v>KG01</x:v>
      </x:c>
      <x:c r="E665" s="62" t="n">
        <x:v>45951</x:v>
      </x:c>
      <x:c r="F665" t="str">
        <x:v>AM</x:v>
      </x:c>
      <x:c r="G665" t="str">
        <x:v>A</x:v>
      </x:c>
      <x:c r="H665" t="n">
        <x:v>22</x:v>
      </x:c>
      <x:c r="I665" t="str">
        <x:v>ORD-2025-00056</x:v>
      </x:c>
      <x:c r="J665" t="n">
        <x:v>13</x:v>
      </x:c>
      <x:c r="K665" t="n">
        <x:v>1</x:v>
      </x:c>
      <x:c r="L665" t="str">
        <x:v>L22-S13-C1</x:v>
      </x:c>
      <x:c r="M665" t="n">
        <x:v>0</x:v>
      </x:c>
      <x:c r="N665" t="str">
        <x:v>DerivedFromCount</x:v>
      </x:c>
      <x:c r="O665" t="str">
        <x:v>PLC-PRD-JAR-720-L22</x:v>
      </x:c>
      <x:c r="P665" t="str">
        <x:v>OK</x:v>
      </x:c>
      <x:c r="Q665" t="str">
        <x:v>OK</x:v>
      </x:c>
      <x:c r="R665" t="str">
        <x:v>OK</x:v>
      </x:c>
      <x:c r="S665" t="str">
        <x:v>OK</x:v>
      </x:c>
      <x:c r="T665" t="n">
        <x:v>20</x:v>
      </x:c>
      <x:c r="U665" t="str">
        <x:v>OK</x:v>
      </x:c>
      <x:c r="V665" t="str">
        <x:v>OK</x:v>
      </x:c>
      <x:c r="W665" t="str">
        <x:v>LOAD</x:v>
      </x:c>
      <x:c r="X665" t="str">
        <x:v>02_Supervisor_Log(4).xlsx</x:v>
      </x:c>
      <x:c r="Y665" t="str">
        <x:v>ENH-20260830-01</x:v>
      </x:c>
      <x:c r="Z665" t="str">
        <x:v>Active</x:v>
      </x:c>
      <x:c r="AA665"/>
      <x:c r="AB665"/>
      <x:c r="AC665"/>
      <x:c r="AD665"/>
    </x:row>
    <x:row r="666">
      <x:c r="A666" t="str">
        <x:v>PCC-PE-KG01-L22-20251021-AM-ORD-2025-00056-S13-C2</x:v>
      </x:c>
      <x:c r="B666" t="str">
        <x:v>PC-PE-KG01-L22-20251021-AM-ORD-2025-00056-S13</x:v>
      </x:c>
      <x:c r="C666" t="str">
        <x:v>PE-KG01-L22-20251021-AM-ORD-2025-00056</x:v>
      </x:c>
      <x:c r="D666" t="str">
        <x:v>KG01</x:v>
      </x:c>
      <x:c r="E666" s="62" t="n">
        <x:v>45951</x:v>
      </x:c>
      <x:c r="F666" t="str">
        <x:v>AM</x:v>
      </x:c>
      <x:c r="G666" t="str">
        <x:v>A</x:v>
      </x:c>
      <x:c r="H666" t="n">
        <x:v>22</x:v>
      </x:c>
      <x:c r="I666" t="str">
        <x:v>ORD-2025-00056</x:v>
      </x:c>
      <x:c r="J666" t="n">
        <x:v>13</x:v>
      </x:c>
      <x:c r="K666" t="n">
        <x:v>2</x:v>
      </x:c>
      <x:c r="L666" t="str">
        <x:v>L22-S13-C2</x:v>
      </x:c>
      <x:c r="M666" t="n">
        <x:v>0</x:v>
      </x:c>
      <x:c r="N666" t="str">
        <x:v>DerivedFromCount</x:v>
      </x:c>
      <x:c r="O666" t="str">
        <x:v>PLC-PRD-JAR-720-L22</x:v>
      </x:c>
      <x:c r="P666" t="str">
        <x:v>OK</x:v>
      </x:c>
      <x:c r="Q666" t="str">
        <x:v>OK</x:v>
      </x:c>
      <x:c r="R666" t="str">
        <x:v>OK</x:v>
      </x:c>
      <x:c r="S666" t="str">
        <x:v>OK</x:v>
      </x:c>
      <x:c r="T666" t="n">
        <x:v>20</x:v>
      </x:c>
      <x:c r="U666" t="str">
        <x:v>OK</x:v>
      </x:c>
      <x:c r="V666" t="str">
        <x:v>OK</x:v>
      </x:c>
      <x:c r="W666" t="str">
        <x:v>LOAD</x:v>
      </x:c>
      <x:c r="X666" t="str">
        <x:v>02_Supervisor_Log(4).xlsx</x:v>
      </x:c>
      <x:c r="Y666" t="str">
        <x:v>ENH-20260830-01</x:v>
      </x:c>
      <x:c r="Z666" t="str">
        <x:v>Active</x:v>
      </x:c>
      <x:c r="AA666"/>
      <x:c r="AB666"/>
      <x:c r="AC666"/>
      <x:c r="AD666"/>
    </x:row>
    <x:row r="667">
      <x:c r="A667" t="str">
        <x:v>PCC-PE-KG01-L22-20251021-AM-ORD-2025-00056-S13-C3</x:v>
      </x:c>
      <x:c r="B667" t="str">
        <x:v>PC-PE-KG01-L22-20251021-AM-ORD-2025-00056-S13</x:v>
      </x:c>
      <x:c r="C667" t="str">
        <x:v>PE-KG01-L22-20251021-AM-ORD-2025-00056</x:v>
      </x:c>
      <x:c r="D667" t="str">
        <x:v>KG01</x:v>
      </x:c>
      <x:c r="E667" s="62" t="n">
        <x:v>45951</x:v>
      </x:c>
      <x:c r="F667" t="str">
        <x:v>AM</x:v>
      </x:c>
      <x:c r="G667" t="str">
        <x:v>A</x:v>
      </x:c>
      <x:c r="H667" t="n">
        <x:v>22</x:v>
      </x:c>
      <x:c r="I667" t="str">
        <x:v>ORD-2025-00056</x:v>
      </x:c>
      <x:c r="J667" t="n">
        <x:v>13</x:v>
      </x:c>
      <x:c r="K667" t="n">
        <x:v>3</x:v>
      </x:c>
      <x:c r="L667" t="str">
        <x:v>L22-S13-C3</x:v>
      </x:c>
      <x:c r="M667" t="n">
        <x:v>0</x:v>
      </x:c>
      <x:c r="N667" t="str">
        <x:v>DerivedFromCount</x:v>
      </x:c>
      <x:c r="O667" t="str">
        <x:v>PLC-PRD-JAR-720-L22</x:v>
      </x:c>
      <x:c r="P667" t="str">
        <x:v>OK</x:v>
      </x:c>
      <x:c r="Q667" t="str">
        <x:v>OK</x:v>
      </x:c>
      <x:c r="R667" t="str">
        <x:v>OK</x:v>
      </x:c>
      <x:c r="S667" t="str">
        <x:v>OK</x:v>
      </x:c>
      <x:c r="T667" t="n">
        <x:v>20</x:v>
      </x:c>
      <x:c r="U667" t="str">
        <x:v>OK</x:v>
      </x:c>
      <x:c r="V667" t="str">
        <x:v>OK</x:v>
      </x:c>
      <x:c r="W667" t="str">
        <x:v>LOAD</x:v>
      </x:c>
      <x:c r="X667" t="str">
        <x:v>02_Supervisor_Log(4).xlsx</x:v>
      </x:c>
      <x:c r="Y667" t="str">
        <x:v>ENH-20260830-01</x:v>
      </x:c>
      <x:c r="Z667" t="str">
        <x:v>Active</x:v>
      </x:c>
      <x:c r="AA667"/>
      <x:c r="AB667"/>
      <x:c r="AC667"/>
      <x:c r="AD667"/>
    </x:row>
    <x:row r="668">
      <x:c r="A668" t="str">
        <x:v>PCC-PE-KG01-L22-20251021-PM-ORD-2025-00056-S01-C1</x:v>
      </x:c>
      <x:c r="B668" t="str">
        <x:v>PC-PE-KG01-L22-20251021-PM-ORD-2025-00056-S01</x:v>
      </x:c>
      <x:c r="C668" t="str">
        <x:v>PE-KG01-L22-20251021-PM-ORD-2025-00056</x:v>
      </x:c>
      <x:c r="D668" t="str">
        <x:v>KG01</x:v>
      </x:c>
      <x:c r="E668" s="62" t="n">
        <x:v>45951</x:v>
      </x:c>
      <x:c r="F668" t="str">
        <x:v>PM</x:v>
      </x:c>
      <x:c r="G668" t="str">
        <x:v>B</x:v>
      </x:c>
      <x:c r="H668" t="n">
        <x:v>22</x:v>
      </x:c>
      <x:c r="I668" t="str">
        <x:v>ORD-2025-00056</x:v>
      </x:c>
      <x:c r="J668" t="n">
        <x:v>1</x:v>
      </x:c>
      <x:c r="K668" t="n">
        <x:v>1</x:v>
      </x:c>
      <x:c r="L668" t="str">
        <x:v>L22-S01-C1</x:v>
      </x:c>
      <x:c r="M668" t="n">
        <x:v>1</x:v>
      </x:c>
      <x:c r="N668" t="str">
        <x:v>DerivedFromCount</x:v>
      </x:c>
      <x:c r="O668" t="str">
        <x:v>PLC-PRD-JAR-720-L22</x:v>
      </x:c>
      <x:c r="P668" t="str">
        <x:v>OK</x:v>
      </x:c>
      <x:c r="Q668" t="str">
        <x:v>OK</x:v>
      </x:c>
      <x:c r="R668" t="str">
        <x:v>OK</x:v>
      </x:c>
      <x:c r="S668" t="str">
        <x:v>OK</x:v>
      </x:c>
      <x:c r="T668" t="n">
        <x:v>20</x:v>
      </x:c>
      <x:c r="U668" t="str">
        <x:v>OK</x:v>
      </x:c>
      <x:c r="V668" t="str">
        <x:v>OK</x:v>
      </x:c>
      <x:c r="W668" t="str">
        <x:v>LOAD</x:v>
      </x:c>
      <x:c r="X668" t="str">
        <x:v>02_Supervisor_Log(4).xlsx</x:v>
      </x:c>
      <x:c r="Y668" t="str">
        <x:v>ENH-20260830-01</x:v>
      </x:c>
      <x:c r="Z668" t="str">
        <x:v>Active</x:v>
      </x:c>
      <x:c r="AA668"/>
      <x:c r="AB668"/>
      <x:c r="AC668"/>
      <x:c r="AD668"/>
    </x:row>
    <x:row r="669">
      <x:c r="A669" t="str">
        <x:v>PCC-PE-KG01-L22-20251021-PM-ORD-2025-00056-S01-C2</x:v>
      </x:c>
      <x:c r="B669" t="str">
        <x:v>PC-PE-KG01-L22-20251021-PM-ORD-2025-00056-S01</x:v>
      </x:c>
      <x:c r="C669" t="str">
        <x:v>PE-KG01-L22-20251021-PM-ORD-2025-00056</x:v>
      </x:c>
      <x:c r="D669" t="str">
        <x:v>KG01</x:v>
      </x:c>
      <x:c r="E669" s="62" t="n">
        <x:v>45951</x:v>
      </x:c>
      <x:c r="F669" t="str">
        <x:v>PM</x:v>
      </x:c>
      <x:c r="G669" t="str">
        <x:v>B</x:v>
      </x:c>
      <x:c r="H669" t="n">
        <x:v>22</x:v>
      </x:c>
      <x:c r="I669" t="str">
        <x:v>ORD-2025-00056</x:v>
      </x:c>
      <x:c r="J669" t="n">
        <x:v>1</x:v>
      </x:c>
      <x:c r="K669" t="n">
        <x:v>2</x:v>
      </x:c>
      <x:c r="L669" t="str">
        <x:v>L22-S01-C2</x:v>
      </x:c>
      <x:c r="M669" t="n">
        <x:v>1</x:v>
      </x:c>
      <x:c r="N669" t="str">
        <x:v>DerivedFromCount</x:v>
      </x:c>
      <x:c r="O669" t="str">
        <x:v>PLC-PRD-JAR-720-L22</x:v>
      </x:c>
      <x:c r="P669" t="str">
        <x:v>OK</x:v>
      </x:c>
      <x:c r="Q669" t="str">
        <x:v>OK</x:v>
      </x:c>
      <x:c r="R669" t="str">
        <x:v>OK</x:v>
      </x:c>
      <x:c r="S669" t="str">
        <x:v>OK</x:v>
      </x:c>
      <x:c r="T669" t="n">
        <x:v>20</x:v>
      </x:c>
      <x:c r="U669" t="str">
        <x:v>OK</x:v>
      </x:c>
      <x:c r="V669" t="str">
        <x:v>OK</x:v>
      </x:c>
      <x:c r="W669" t="str">
        <x:v>LOAD</x:v>
      </x:c>
      <x:c r="X669" t="str">
        <x:v>02_Supervisor_Log(4).xlsx</x:v>
      </x:c>
      <x:c r="Y669" t="str">
        <x:v>ENH-20260830-01</x:v>
      </x:c>
      <x:c r="Z669" t="str">
        <x:v>Active</x:v>
      </x:c>
      <x:c r="AA669"/>
      <x:c r="AB669"/>
      <x:c r="AC669"/>
      <x:c r="AD669"/>
    </x:row>
    <x:row r="670">
      <x:c r="A670" t="str">
        <x:v>PCC-PE-KG01-L22-20251021-PM-ORD-2025-00056-S01-C3</x:v>
      </x:c>
      <x:c r="B670" t="str">
        <x:v>PC-PE-KG01-L22-20251021-PM-ORD-2025-00056-S01</x:v>
      </x:c>
      <x:c r="C670" t="str">
        <x:v>PE-KG01-L22-20251021-PM-ORD-2025-00056</x:v>
      </x:c>
      <x:c r="D670" t="str">
        <x:v>KG01</x:v>
      </x:c>
      <x:c r="E670" s="62" t="n">
        <x:v>45951</x:v>
      </x:c>
      <x:c r="F670" t="str">
        <x:v>PM</x:v>
      </x:c>
      <x:c r="G670" t="str">
        <x:v>B</x:v>
      </x:c>
      <x:c r="H670" t="n">
        <x:v>22</x:v>
      </x:c>
      <x:c r="I670" t="str">
        <x:v>ORD-2025-00056</x:v>
      </x:c>
      <x:c r="J670" t="n">
        <x:v>1</x:v>
      </x:c>
      <x:c r="K670" t="n">
        <x:v>3</x:v>
      </x:c>
      <x:c r="L670" t="str">
        <x:v>L22-S01-C3</x:v>
      </x:c>
      <x:c r="M670" t="n">
        <x:v>0</x:v>
      </x:c>
      <x:c r="N670" t="str">
        <x:v>DerivedFromCount</x:v>
      </x:c>
      <x:c r="O670" t="str">
        <x:v>PLC-PRD-JAR-720-L22</x:v>
      </x:c>
      <x:c r="P670" t="str">
        <x:v>OK</x:v>
      </x:c>
      <x:c r="Q670" t="str">
        <x:v>OK</x:v>
      </x:c>
      <x:c r="R670" t="str">
        <x:v>OK</x:v>
      </x:c>
      <x:c r="S670" t="str">
        <x:v>OK</x:v>
      </x:c>
      <x:c r="T670" t="n">
        <x:v>20</x:v>
      </x:c>
      <x:c r="U670" t="str">
        <x:v>OK</x:v>
      </x:c>
      <x:c r="V670" t="str">
        <x:v>OK</x:v>
      </x:c>
      <x:c r="W670" t="str">
        <x:v>LOAD</x:v>
      </x:c>
      <x:c r="X670" t="str">
        <x:v>02_Supervisor_Log(4).xlsx</x:v>
      </x:c>
      <x:c r="Y670" t="str">
        <x:v>ENH-20260830-01</x:v>
      </x:c>
      <x:c r="Z670" t="str">
        <x:v>Active</x:v>
      </x:c>
      <x:c r="AA670"/>
      <x:c r="AB670"/>
      <x:c r="AC670"/>
      <x:c r="AD670"/>
    </x:row>
    <x:row r="671">
      <x:c r="A671" t="str">
        <x:v>PCC-PE-KG01-L22-20251021-PM-ORD-2025-00056-S02-C1</x:v>
      </x:c>
      <x:c r="B671" t="str">
        <x:v>PC-PE-KG01-L22-20251021-PM-ORD-2025-00056-S02</x:v>
      </x:c>
      <x:c r="C671" t="str">
        <x:v>PE-KG01-L22-20251021-PM-ORD-2025-00056</x:v>
      </x:c>
      <x:c r="D671" t="str">
        <x:v>KG01</x:v>
      </x:c>
      <x:c r="E671" s="62" t="n">
        <x:v>45951</x:v>
      </x:c>
      <x:c r="F671" t="str">
        <x:v>PM</x:v>
      </x:c>
      <x:c r="G671" t="str">
        <x:v>B</x:v>
      </x:c>
      <x:c r="H671" t="n">
        <x:v>22</x:v>
      </x:c>
      <x:c r="I671" t="str">
        <x:v>ORD-2025-00056</x:v>
      </x:c>
      <x:c r="J671" t="n">
        <x:v>2</x:v>
      </x:c>
      <x:c r="K671" t="n">
        <x:v>1</x:v>
      </x:c>
      <x:c r="L671" t="str">
        <x:v>L22-S02-C1</x:v>
      </x:c>
      <x:c r="M671" t="n">
        <x:v>1</x:v>
      </x:c>
      <x:c r="N671" t="str">
        <x:v>DerivedFromCount</x:v>
      </x:c>
      <x:c r="O671" t="str">
        <x:v>PLC-PRD-JAR-720-L22</x:v>
      </x:c>
      <x:c r="P671" t="str">
        <x:v>OK</x:v>
      </x:c>
      <x:c r="Q671" t="str">
        <x:v>OK</x:v>
      </x:c>
      <x:c r="R671" t="str">
        <x:v>OK</x:v>
      </x:c>
      <x:c r="S671" t="str">
        <x:v>OK</x:v>
      </x:c>
      <x:c r="T671" t="n">
        <x:v>20</x:v>
      </x:c>
      <x:c r="U671" t="str">
        <x:v>OK</x:v>
      </x:c>
      <x:c r="V671" t="str">
        <x:v>OK</x:v>
      </x:c>
      <x:c r="W671" t="str">
        <x:v>LOAD</x:v>
      </x:c>
      <x:c r="X671" t="str">
        <x:v>02_Supervisor_Log(4).xlsx</x:v>
      </x:c>
      <x:c r="Y671" t="str">
        <x:v>ENH-20260830-01</x:v>
      </x:c>
      <x:c r="Z671" t="str">
        <x:v>Active</x:v>
      </x:c>
      <x:c r="AA671"/>
      <x:c r="AB671"/>
      <x:c r="AC671"/>
      <x:c r="AD671"/>
    </x:row>
    <x:row r="672">
      <x:c r="A672" t="str">
        <x:v>PCC-PE-KG01-L22-20251021-PM-ORD-2025-00056-S02-C2</x:v>
      </x:c>
      <x:c r="B672" t="str">
        <x:v>PC-PE-KG01-L22-20251021-PM-ORD-2025-00056-S02</x:v>
      </x:c>
      <x:c r="C672" t="str">
        <x:v>PE-KG01-L22-20251021-PM-ORD-2025-00056</x:v>
      </x:c>
      <x:c r="D672" t="str">
        <x:v>KG01</x:v>
      </x:c>
      <x:c r="E672" s="62" t="n">
        <x:v>45951</x:v>
      </x:c>
      <x:c r="F672" t="str">
        <x:v>PM</x:v>
      </x:c>
      <x:c r="G672" t="str">
        <x:v>B</x:v>
      </x:c>
      <x:c r="H672" t="n">
        <x:v>22</x:v>
      </x:c>
      <x:c r="I672" t="str">
        <x:v>ORD-2025-00056</x:v>
      </x:c>
      <x:c r="J672" t="n">
        <x:v>2</x:v>
      </x:c>
      <x:c r="K672" t="n">
        <x:v>2</x:v>
      </x:c>
      <x:c r="L672" t="str">
        <x:v>L22-S02-C2</x:v>
      </x:c>
      <x:c r="M672" t="n">
        <x:v>1</x:v>
      </x:c>
      <x:c r="N672" t="str">
        <x:v>DerivedFromCount</x:v>
      </x:c>
      <x:c r="O672" t="str">
        <x:v>PLC-PRD-JAR-720-L22</x:v>
      </x:c>
      <x:c r="P672" t="str">
        <x:v>OK</x:v>
      </x:c>
      <x:c r="Q672" t="str">
        <x:v>OK</x:v>
      </x:c>
      <x:c r="R672" t="str">
        <x:v>OK</x:v>
      </x:c>
      <x:c r="S672" t="str">
        <x:v>OK</x:v>
      </x:c>
      <x:c r="T672" t="n">
        <x:v>20</x:v>
      </x:c>
      <x:c r="U672" t="str">
        <x:v>OK</x:v>
      </x:c>
      <x:c r="V672" t="str">
        <x:v>OK</x:v>
      </x:c>
      <x:c r="W672" t="str">
        <x:v>LOAD</x:v>
      </x:c>
      <x:c r="X672" t="str">
        <x:v>02_Supervisor_Log(4).xlsx</x:v>
      </x:c>
      <x:c r="Y672" t="str">
        <x:v>ENH-20260830-01</x:v>
      </x:c>
      <x:c r="Z672" t="str">
        <x:v>Active</x:v>
      </x:c>
      <x:c r="AA672"/>
      <x:c r="AB672"/>
      <x:c r="AC672"/>
      <x:c r="AD672"/>
    </x:row>
    <x:row r="673">
      <x:c r="A673" t="str">
        <x:v>PCC-PE-KG01-L22-20251021-PM-ORD-2025-00056-S02-C3</x:v>
      </x:c>
      <x:c r="B673" t="str">
        <x:v>PC-PE-KG01-L22-20251021-PM-ORD-2025-00056-S02</x:v>
      </x:c>
      <x:c r="C673" t="str">
        <x:v>PE-KG01-L22-20251021-PM-ORD-2025-00056</x:v>
      </x:c>
      <x:c r="D673" t="str">
        <x:v>KG01</x:v>
      </x:c>
      <x:c r="E673" s="62" t="n">
        <x:v>45951</x:v>
      </x:c>
      <x:c r="F673" t="str">
        <x:v>PM</x:v>
      </x:c>
      <x:c r="G673" t="str">
        <x:v>B</x:v>
      </x:c>
      <x:c r="H673" t="n">
        <x:v>22</x:v>
      </x:c>
      <x:c r="I673" t="str">
        <x:v>ORD-2025-00056</x:v>
      </x:c>
      <x:c r="J673" t="n">
        <x:v>2</x:v>
      </x:c>
      <x:c r="K673" t="n">
        <x:v>3</x:v>
      </x:c>
      <x:c r="L673" t="str">
        <x:v>L22-S02-C3</x:v>
      </x:c>
      <x:c r="M673" t="n">
        <x:v>0</x:v>
      </x:c>
      <x:c r="N673" t="str">
        <x:v>DerivedFromCount</x:v>
      </x:c>
      <x:c r="O673" t="str">
        <x:v>PLC-PRD-JAR-720-L22</x:v>
      </x:c>
      <x:c r="P673" t="str">
        <x:v>OK</x:v>
      </x:c>
      <x:c r="Q673" t="str">
        <x:v>OK</x:v>
      </x:c>
      <x:c r="R673" t="str">
        <x:v>OK</x:v>
      </x:c>
      <x:c r="S673" t="str">
        <x:v>OK</x:v>
      </x:c>
      <x:c r="T673" t="n">
        <x:v>20</x:v>
      </x:c>
      <x:c r="U673" t="str">
        <x:v>OK</x:v>
      </x:c>
      <x:c r="V673" t="str">
        <x:v>OK</x:v>
      </x:c>
      <x:c r="W673" t="str">
        <x:v>LOAD</x:v>
      </x:c>
      <x:c r="X673" t="str">
        <x:v>02_Supervisor_Log(4).xlsx</x:v>
      </x:c>
      <x:c r="Y673" t="str">
        <x:v>ENH-20260830-01</x:v>
      </x:c>
      <x:c r="Z673" t="str">
        <x:v>Active</x:v>
      </x:c>
      <x:c r="AA673"/>
      <x:c r="AB673"/>
      <x:c r="AC673"/>
      <x:c r="AD673"/>
    </x:row>
    <x:row r="674">
      <x:c r="A674" t="str">
        <x:v>PCC-PE-KG01-L22-20251021-PM-ORD-2025-00056-S03-C1</x:v>
      </x:c>
      <x:c r="B674" t="str">
        <x:v>PC-PE-KG01-L22-20251021-PM-ORD-2025-00056-S03</x:v>
      </x:c>
      <x:c r="C674" t="str">
        <x:v>PE-KG01-L22-20251021-PM-ORD-2025-00056</x:v>
      </x:c>
      <x:c r="D674" t="str">
        <x:v>KG01</x:v>
      </x:c>
      <x:c r="E674" s="62" t="n">
        <x:v>45951</x:v>
      </x:c>
      <x:c r="F674" t="str">
        <x:v>PM</x:v>
      </x:c>
      <x:c r="G674" t="str">
        <x:v>B</x:v>
      </x:c>
      <x:c r="H674" t="n">
        <x:v>22</x:v>
      </x:c>
      <x:c r="I674" t="str">
        <x:v>ORD-2025-00056</x:v>
      </x:c>
      <x:c r="J674" t="n">
        <x:v>3</x:v>
      </x:c>
      <x:c r="K674" t="n">
        <x:v>1</x:v>
      </x:c>
      <x:c r="L674" t="str">
        <x:v>L22-S03-C1</x:v>
      </x:c>
      <x:c r="M674" t="n">
        <x:v>1</x:v>
      </x:c>
      <x:c r="N674" t="str">
        <x:v>DerivedFromCount</x:v>
      </x:c>
      <x:c r="O674" t="str">
        <x:v>PLC-PRD-JAR-720-L22</x:v>
      </x:c>
      <x:c r="P674" t="str">
        <x:v>OK</x:v>
      </x:c>
      <x:c r="Q674" t="str">
        <x:v>OK</x:v>
      </x:c>
      <x:c r="R674" t="str">
        <x:v>OK</x:v>
      </x:c>
      <x:c r="S674" t="str">
        <x:v>OK</x:v>
      </x:c>
      <x:c r="T674" t="n">
        <x:v>20</x:v>
      </x:c>
      <x:c r="U674" t="str">
        <x:v>OK</x:v>
      </x:c>
      <x:c r="V674" t="str">
        <x:v>OK</x:v>
      </x:c>
      <x:c r="W674" t="str">
        <x:v>LOAD</x:v>
      </x:c>
      <x:c r="X674" t="str">
        <x:v>02_Supervisor_Log(4).xlsx</x:v>
      </x:c>
      <x:c r="Y674" t="str">
        <x:v>ENH-20260830-01</x:v>
      </x:c>
      <x:c r="Z674" t="str">
        <x:v>Active</x:v>
      </x:c>
      <x:c r="AA674"/>
      <x:c r="AB674"/>
      <x:c r="AC674"/>
      <x:c r="AD674"/>
    </x:row>
    <x:row r="675">
      <x:c r="A675" t="str">
        <x:v>PCC-PE-KG01-L22-20251021-PM-ORD-2025-00056-S03-C2</x:v>
      </x:c>
      <x:c r="B675" t="str">
        <x:v>PC-PE-KG01-L22-20251021-PM-ORD-2025-00056-S03</x:v>
      </x:c>
      <x:c r="C675" t="str">
        <x:v>PE-KG01-L22-20251021-PM-ORD-2025-00056</x:v>
      </x:c>
      <x:c r="D675" t="str">
        <x:v>KG01</x:v>
      </x:c>
      <x:c r="E675" s="62" t="n">
        <x:v>45951</x:v>
      </x:c>
      <x:c r="F675" t="str">
        <x:v>PM</x:v>
      </x:c>
      <x:c r="G675" t="str">
        <x:v>B</x:v>
      </x:c>
      <x:c r="H675" t="n">
        <x:v>22</x:v>
      </x:c>
      <x:c r="I675" t="str">
        <x:v>ORD-2025-00056</x:v>
      </x:c>
      <x:c r="J675" t="n">
        <x:v>3</x:v>
      </x:c>
      <x:c r="K675" t="n">
        <x:v>2</x:v>
      </x:c>
      <x:c r="L675" t="str">
        <x:v>L22-S03-C2</x:v>
      </x:c>
      <x:c r="M675" t="n">
        <x:v>1</x:v>
      </x:c>
      <x:c r="N675" t="str">
        <x:v>DerivedFromCount</x:v>
      </x:c>
      <x:c r="O675" t="str">
        <x:v>PLC-PRD-JAR-720-L22</x:v>
      </x:c>
      <x:c r="P675" t="str">
        <x:v>OK</x:v>
      </x:c>
      <x:c r="Q675" t="str">
        <x:v>OK</x:v>
      </x:c>
      <x:c r="R675" t="str">
        <x:v>OK</x:v>
      </x:c>
      <x:c r="S675" t="str">
        <x:v>OK</x:v>
      </x:c>
      <x:c r="T675" t="n">
        <x:v>20</x:v>
      </x:c>
      <x:c r="U675" t="str">
        <x:v>OK</x:v>
      </x:c>
      <x:c r="V675" t="str">
        <x:v>OK</x:v>
      </x:c>
      <x:c r="W675" t="str">
        <x:v>LOAD</x:v>
      </x:c>
      <x:c r="X675" t="str">
        <x:v>02_Supervisor_Log(4).xlsx</x:v>
      </x:c>
      <x:c r="Y675" t="str">
        <x:v>ENH-20260830-01</x:v>
      </x:c>
      <x:c r="Z675" t="str">
        <x:v>Active</x:v>
      </x:c>
      <x:c r="AA675"/>
      <x:c r="AB675"/>
      <x:c r="AC675"/>
      <x:c r="AD675"/>
    </x:row>
    <x:row r="676">
      <x:c r="A676" t="str">
        <x:v>PCC-PE-KG01-L22-20251021-PM-ORD-2025-00056-S03-C3</x:v>
      </x:c>
      <x:c r="B676" t="str">
        <x:v>PC-PE-KG01-L22-20251021-PM-ORD-2025-00056-S03</x:v>
      </x:c>
      <x:c r="C676" t="str">
        <x:v>PE-KG01-L22-20251021-PM-ORD-2025-00056</x:v>
      </x:c>
      <x:c r="D676" t="str">
        <x:v>KG01</x:v>
      </x:c>
      <x:c r="E676" s="62" t="n">
        <x:v>45951</x:v>
      </x:c>
      <x:c r="F676" t="str">
        <x:v>PM</x:v>
      </x:c>
      <x:c r="G676" t="str">
        <x:v>B</x:v>
      </x:c>
      <x:c r="H676" t="n">
        <x:v>22</x:v>
      </x:c>
      <x:c r="I676" t="str">
        <x:v>ORD-2025-00056</x:v>
      </x:c>
      <x:c r="J676" t="n">
        <x:v>3</x:v>
      </x:c>
      <x:c r="K676" t="n">
        <x:v>3</x:v>
      </x:c>
      <x:c r="L676" t="str">
        <x:v>L22-S03-C3</x:v>
      </x:c>
      <x:c r="M676" t="n">
        <x:v>0</x:v>
      </x:c>
      <x:c r="N676" t="str">
        <x:v>DerivedFromCount</x:v>
      </x:c>
      <x:c r="O676" t="str">
        <x:v>PLC-PRD-JAR-720-L22</x:v>
      </x:c>
      <x:c r="P676" t="str">
        <x:v>OK</x:v>
      </x:c>
      <x:c r="Q676" t="str">
        <x:v>OK</x:v>
      </x:c>
      <x:c r="R676" t="str">
        <x:v>OK</x:v>
      </x:c>
      <x:c r="S676" t="str">
        <x:v>OK</x:v>
      </x:c>
      <x:c r="T676" t="n">
        <x:v>20</x:v>
      </x:c>
      <x:c r="U676" t="str">
        <x:v>OK</x:v>
      </x:c>
      <x:c r="V676" t="str">
        <x:v>OK</x:v>
      </x:c>
      <x:c r="W676" t="str">
        <x:v>LOAD</x:v>
      </x:c>
      <x:c r="X676" t="str">
        <x:v>02_Supervisor_Log(4).xlsx</x:v>
      </x:c>
      <x:c r="Y676" t="str">
        <x:v>ENH-20260830-01</x:v>
      </x:c>
      <x:c r="Z676" t="str">
        <x:v>Active</x:v>
      </x:c>
      <x:c r="AA676"/>
      <x:c r="AB676"/>
      <x:c r="AC676"/>
      <x:c r="AD676"/>
    </x:row>
    <x:row r="677">
      <x:c r="A677" t="str">
        <x:v>PCC-PE-KG01-L22-20251021-PM-ORD-2025-00056-S04-C1</x:v>
      </x:c>
      <x:c r="B677" t="str">
        <x:v>PC-PE-KG01-L22-20251021-PM-ORD-2025-00056-S04</x:v>
      </x:c>
      <x:c r="C677" t="str">
        <x:v>PE-KG01-L22-20251021-PM-ORD-2025-00056</x:v>
      </x:c>
      <x:c r="D677" t="str">
        <x:v>KG01</x:v>
      </x:c>
      <x:c r="E677" s="62" t="n">
        <x:v>45951</x:v>
      </x:c>
      <x:c r="F677" t="str">
        <x:v>PM</x:v>
      </x:c>
      <x:c r="G677" t="str">
        <x:v>B</x:v>
      </x:c>
      <x:c r="H677" t="n">
        <x:v>22</x:v>
      </x:c>
      <x:c r="I677" t="str">
        <x:v>ORD-2025-00056</x:v>
      </x:c>
      <x:c r="J677" t="n">
        <x:v>4</x:v>
      </x:c>
      <x:c r="K677" t="n">
        <x:v>1</x:v>
      </x:c>
      <x:c r="L677" t="str">
        <x:v>L22-S04-C1</x:v>
      </x:c>
      <x:c r="M677" t="n">
        <x:v>1</x:v>
      </x:c>
      <x:c r="N677" t="str">
        <x:v>DerivedFromCount</x:v>
      </x:c>
      <x:c r="O677" t="str">
        <x:v>PLC-PRD-JAR-720-L22</x:v>
      </x:c>
      <x:c r="P677" t="str">
        <x:v>OK</x:v>
      </x:c>
      <x:c r="Q677" t="str">
        <x:v>OK</x:v>
      </x:c>
      <x:c r="R677" t="str">
        <x:v>OK</x:v>
      </x:c>
      <x:c r="S677" t="str">
        <x:v>OK</x:v>
      </x:c>
      <x:c r="T677" t="n">
        <x:v>20</x:v>
      </x:c>
      <x:c r="U677" t="str">
        <x:v>OK</x:v>
      </x:c>
      <x:c r="V677" t="str">
        <x:v>OK</x:v>
      </x:c>
      <x:c r="W677" t="str">
        <x:v>LOAD</x:v>
      </x:c>
      <x:c r="X677" t="str">
        <x:v>02_Supervisor_Log(4).xlsx</x:v>
      </x:c>
      <x:c r="Y677" t="str">
        <x:v>ENH-20260830-01</x:v>
      </x:c>
      <x:c r="Z677" t="str">
        <x:v>Active</x:v>
      </x:c>
      <x:c r="AA677"/>
      <x:c r="AB677"/>
      <x:c r="AC677"/>
      <x:c r="AD677"/>
    </x:row>
    <x:row r="678">
      <x:c r="A678" t="str">
        <x:v>PCC-PE-KG01-L22-20251021-PM-ORD-2025-00056-S04-C2</x:v>
      </x:c>
      <x:c r="B678" t="str">
        <x:v>PC-PE-KG01-L22-20251021-PM-ORD-2025-00056-S04</x:v>
      </x:c>
      <x:c r="C678" t="str">
        <x:v>PE-KG01-L22-20251021-PM-ORD-2025-00056</x:v>
      </x:c>
      <x:c r="D678" t="str">
        <x:v>KG01</x:v>
      </x:c>
      <x:c r="E678" s="62" t="n">
        <x:v>45951</x:v>
      </x:c>
      <x:c r="F678" t="str">
        <x:v>PM</x:v>
      </x:c>
      <x:c r="G678" t="str">
        <x:v>B</x:v>
      </x:c>
      <x:c r="H678" t="n">
        <x:v>22</x:v>
      </x:c>
      <x:c r="I678" t="str">
        <x:v>ORD-2025-00056</x:v>
      </x:c>
      <x:c r="J678" t="n">
        <x:v>4</x:v>
      </x:c>
      <x:c r="K678" t="n">
        <x:v>2</x:v>
      </x:c>
      <x:c r="L678" t="str">
        <x:v>L22-S04-C2</x:v>
      </x:c>
      <x:c r="M678" t="n">
        <x:v>1</x:v>
      </x:c>
      <x:c r="N678" t="str">
        <x:v>DerivedFromCount</x:v>
      </x:c>
      <x:c r="O678" t="str">
        <x:v>PLC-PRD-JAR-720-L22</x:v>
      </x:c>
      <x:c r="P678" t="str">
        <x:v>OK</x:v>
      </x:c>
      <x:c r="Q678" t="str">
        <x:v>OK</x:v>
      </x:c>
      <x:c r="R678" t="str">
        <x:v>OK</x:v>
      </x:c>
      <x:c r="S678" t="str">
        <x:v>OK</x:v>
      </x:c>
      <x:c r="T678" t="n">
        <x:v>20</x:v>
      </x:c>
      <x:c r="U678" t="str">
        <x:v>OK</x:v>
      </x:c>
      <x:c r="V678" t="str">
        <x:v>OK</x:v>
      </x:c>
      <x:c r="W678" t="str">
        <x:v>LOAD</x:v>
      </x:c>
      <x:c r="X678" t="str">
        <x:v>02_Supervisor_Log(4).xlsx</x:v>
      </x:c>
      <x:c r="Y678" t="str">
        <x:v>ENH-20260830-01</x:v>
      </x:c>
      <x:c r="Z678" t="str">
        <x:v>Active</x:v>
      </x:c>
      <x:c r="AA678"/>
      <x:c r="AB678"/>
      <x:c r="AC678"/>
      <x:c r="AD678"/>
    </x:row>
    <x:row r="679">
      <x:c r="A679" t="str">
        <x:v>PCC-PE-KG01-L22-20251021-PM-ORD-2025-00056-S04-C3</x:v>
      </x:c>
      <x:c r="B679" t="str">
        <x:v>PC-PE-KG01-L22-20251021-PM-ORD-2025-00056-S04</x:v>
      </x:c>
      <x:c r="C679" t="str">
        <x:v>PE-KG01-L22-20251021-PM-ORD-2025-00056</x:v>
      </x:c>
      <x:c r="D679" t="str">
        <x:v>KG01</x:v>
      </x:c>
      <x:c r="E679" s="62" t="n">
        <x:v>45951</x:v>
      </x:c>
      <x:c r="F679" t="str">
        <x:v>PM</x:v>
      </x:c>
      <x:c r="G679" t="str">
        <x:v>B</x:v>
      </x:c>
      <x:c r="H679" t="n">
        <x:v>22</x:v>
      </x:c>
      <x:c r="I679" t="str">
        <x:v>ORD-2025-00056</x:v>
      </x:c>
      <x:c r="J679" t="n">
        <x:v>4</x:v>
      </x:c>
      <x:c r="K679" t="n">
        <x:v>3</x:v>
      </x:c>
      <x:c r="L679" t="str">
        <x:v>L22-S04-C3</x:v>
      </x:c>
      <x:c r="M679" t="n">
        <x:v>0</x:v>
      </x:c>
      <x:c r="N679" t="str">
        <x:v>DerivedFromCount</x:v>
      </x:c>
      <x:c r="O679" t="str">
        <x:v>PLC-PRD-JAR-720-L22</x:v>
      </x:c>
      <x:c r="P679" t="str">
        <x:v>OK</x:v>
      </x:c>
      <x:c r="Q679" t="str">
        <x:v>OK</x:v>
      </x:c>
      <x:c r="R679" t="str">
        <x:v>OK</x:v>
      </x:c>
      <x:c r="S679" t="str">
        <x:v>OK</x:v>
      </x:c>
      <x:c r="T679" t="n">
        <x:v>20</x:v>
      </x:c>
      <x:c r="U679" t="str">
        <x:v>OK</x:v>
      </x:c>
      <x:c r="V679" t="str">
        <x:v>OK</x:v>
      </x:c>
      <x:c r="W679" t="str">
        <x:v>LOAD</x:v>
      </x:c>
      <x:c r="X679" t="str">
        <x:v>02_Supervisor_Log(4).xlsx</x:v>
      </x:c>
      <x:c r="Y679" t="str">
        <x:v>ENH-20260830-01</x:v>
      </x:c>
      <x:c r="Z679" t="str">
        <x:v>Active</x:v>
      </x:c>
      <x:c r="AA679"/>
      <x:c r="AB679"/>
      <x:c r="AC679"/>
      <x:c r="AD679"/>
    </x:row>
    <x:row r="680">
      <x:c r="A680" t="str">
        <x:v>PCC-PE-KG01-L22-20251021-PM-ORD-2025-00056-S05-C1</x:v>
      </x:c>
      <x:c r="B680" t="str">
        <x:v>PC-PE-KG01-L22-20251021-PM-ORD-2025-00056-S05</x:v>
      </x:c>
      <x:c r="C680" t="str">
        <x:v>PE-KG01-L22-20251021-PM-ORD-2025-00056</x:v>
      </x:c>
      <x:c r="D680" t="str">
        <x:v>KG01</x:v>
      </x:c>
      <x:c r="E680" s="62" t="n">
        <x:v>45951</x:v>
      </x:c>
      <x:c r="F680" t="str">
        <x:v>PM</x:v>
      </x:c>
      <x:c r="G680" t="str">
        <x:v>B</x:v>
      </x:c>
      <x:c r="H680" t="n">
        <x:v>22</x:v>
      </x:c>
      <x:c r="I680" t="str">
        <x:v>ORD-2025-00056</x:v>
      </x:c>
      <x:c r="J680" t="n">
        <x:v>5</x:v>
      </x:c>
      <x:c r="K680" t="n">
        <x:v>1</x:v>
      </x:c>
      <x:c r="L680" t="str">
        <x:v>L22-S05-C1</x:v>
      </x:c>
      <x:c r="M680" t="n">
        <x:v>1</x:v>
      </x:c>
      <x:c r="N680" t="str">
        <x:v>DerivedFromCount</x:v>
      </x:c>
      <x:c r="O680" t="str">
        <x:v>PLC-PRD-JAR-720-L22</x:v>
      </x:c>
      <x:c r="P680" t="str">
        <x:v>OK</x:v>
      </x:c>
      <x:c r="Q680" t="str">
        <x:v>OK</x:v>
      </x:c>
      <x:c r="R680" t="str">
        <x:v>OK</x:v>
      </x:c>
      <x:c r="S680" t="str">
        <x:v>OK</x:v>
      </x:c>
      <x:c r="T680" t="n">
        <x:v>20</x:v>
      </x:c>
      <x:c r="U680" t="str">
        <x:v>OK</x:v>
      </x:c>
      <x:c r="V680" t="str">
        <x:v>OK</x:v>
      </x:c>
      <x:c r="W680" t="str">
        <x:v>LOAD</x:v>
      </x:c>
      <x:c r="X680" t="str">
        <x:v>02_Supervisor_Log(4).xlsx</x:v>
      </x:c>
      <x:c r="Y680" t="str">
        <x:v>ENH-20260830-01</x:v>
      </x:c>
      <x:c r="Z680" t="str">
        <x:v>Active</x:v>
      </x:c>
      <x:c r="AA680"/>
      <x:c r="AB680"/>
      <x:c r="AC680"/>
      <x:c r="AD680"/>
    </x:row>
    <x:row r="681">
      <x:c r="A681" t="str">
        <x:v>PCC-PE-KG01-L22-20251021-PM-ORD-2025-00056-S05-C2</x:v>
      </x:c>
      <x:c r="B681" t="str">
        <x:v>PC-PE-KG01-L22-20251021-PM-ORD-2025-00056-S05</x:v>
      </x:c>
      <x:c r="C681" t="str">
        <x:v>PE-KG01-L22-20251021-PM-ORD-2025-00056</x:v>
      </x:c>
      <x:c r="D681" t="str">
        <x:v>KG01</x:v>
      </x:c>
      <x:c r="E681" s="62" t="n">
        <x:v>45951</x:v>
      </x:c>
      <x:c r="F681" t="str">
        <x:v>PM</x:v>
      </x:c>
      <x:c r="G681" t="str">
        <x:v>B</x:v>
      </x:c>
      <x:c r="H681" t="n">
        <x:v>22</x:v>
      </x:c>
      <x:c r="I681" t="str">
        <x:v>ORD-2025-00056</x:v>
      </x:c>
      <x:c r="J681" t="n">
        <x:v>5</x:v>
      </x:c>
      <x:c r="K681" t="n">
        <x:v>2</x:v>
      </x:c>
      <x:c r="L681" t="str">
        <x:v>L22-S05-C2</x:v>
      </x:c>
      <x:c r="M681" t="n">
        <x:v>1</x:v>
      </x:c>
      <x:c r="N681" t="str">
        <x:v>DerivedFromCount</x:v>
      </x:c>
      <x:c r="O681" t="str">
        <x:v>PLC-PRD-JAR-720-L22</x:v>
      </x:c>
      <x:c r="P681" t="str">
        <x:v>OK</x:v>
      </x:c>
      <x:c r="Q681" t="str">
        <x:v>OK</x:v>
      </x:c>
      <x:c r="R681" t="str">
        <x:v>OK</x:v>
      </x:c>
      <x:c r="S681" t="str">
        <x:v>OK</x:v>
      </x:c>
      <x:c r="T681" t="n">
        <x:v>20</x:v>
      </x:c>
      <x:c r="U681" t="str">
        <x:v>OK</x:v>
      </x:c>
      <x:c r="V681" t="str">
        <x:v>OK</x:v>
      </x:c>
      <x:c r="W681" t="str">
        <x:v>LOAD</x:v>
      </x:c>
      <x:c r="X681" t="str">
        <x:v>02_Supervisor_Log(4).xlsx</x:v>
      </x:c>
      <x:c r="Y681" t="str">
        <x:v>ENH-20260830-01</x:v>
      </x:c>
      <x:c r="Z681" t="str">
        <x:v>Active</x:v>
      </x:c>
      <x:c r="AA681"/>
      <x:c r="AB681"/>
      <x:c r="AC681"/>
      <x:c r="AD681"/>
    </x:row>
    <x:row r="682">
      <x:c r="A682" t="str">
        <x:v>PCC-PE-KG01-L22-20251021-PM-ORD-2025-00056-S05-C3</x:v>
      </x:c>
      <x:c r="B682" t="str">
        <x:v>PC-PE-KG01-L22-20251021-PM-ORD-2025-00056-S05</x:v>
      </x:c>
      <x:c r="C682" t="str">
        <x:v>PE-KG01-L22-20251021-PM-ORD-2025-00056</x:v>
      </x:c>
      <x:c r="D682" t="str">
        <x:v>KG01</x:v>
      </x:c>
      <x:c r="E682" s="62" t="n">
        <x:v>45951</x:v>
      </x:c>
      <x:c r="F682" t="str">
        <x:v>PM</x:v>
      </x:c>
      <x:c r="G682" t="str">
        <x:v>B</x:v>
      </x:c>
      <x:c r="H682" t="n">
        <x:v>22</x:v>
      </x:c>
      <x:c r="I682" t="str">
        <x:v>ORD-2025-00056</x:v>
      </x:c>
      <x:c r="J682" t="n">
        <x:v>5</x:v>
      </x:c>
      <x:c r="K682" t="n">
        <x:v>3</x:v>
      </x:c>
      <x:c r="L682" t="str">
        <x:v>L22-S05-C3</x:v>
      </x:c>
      <x:c r="M682" t="n">
        <x:v>0</x:v>
      </x:c>
      <x:c r="N682" t="str">
        <x:v>DerivedFromCount</x:v>
      </x:c>
      <x:c r="O682" t="str">
        <x:v>PLC-PRD-JAR-720-L22</x:v>
      </x:c>
      <x:c r="P682" t="str">
        <x:v>OK</x:v>
      </x:c>
      <x:c r="Q682" t="str">
        <x:v>OK</x:v>
      </x:c>
      <x:c r="R682" t="str">
        <x:v>OK</x:v>
      </x:c>
      <x:c r="S682" t="str">
        <x:v>OK</x:v>
      </x:c>
      <x:c r="T682" t="n">
        <x:v>20</x:v>
      </x:c>
      <x:c r="U682" t="str">
        <x:v>OK</x:v>
      </x:c>
      <x:c r="V682" t="str">
        <x:v>OK</x:v>
      </x:c>
      <x:c r="W682" t="str">
        <x:v>LOAD</x:v>
      </x:c>
      <x:c r="X682" t="str">
        <x:v>02_Supervisor_Log(4).xlsx</x:v>
      </x:c>
      <x:c r="Y682" t="str">
        <x:v>ENH-20260830-01</x:v>
      </x:c>
      <x:c r="Z682" t="str">
        <x:v>Active</x:v>
      </x:c>
      <x:c r="AA682"/>
      <x:c r="AB682"/>
      <x:c r="AC682"/>
      <x:c r="AD682"/>
    </x:row>
    <x:row r="683">
      <x:c r="A683" t="str">
        <x:v>PCC-PE-KG01-L22-20251021-PM-ORD-2025-00056-S06-C1</x:v>
      </x:c>
      <x:c r="B683" t="str">
        <x:v>PC-PE-KG01-L22-20251021-PM-ORD-2025-00056-S06</x:v>
      </x:c>
      <x:c r="C683" t="str">
        <x:v>PE-KG01-L22-20251021-PM-ORD-2025-00056</x:v>
      </x:c>
      <x:c r="D683" t="str">
        <x:v>KG01</x:v>
      </x:c>
      <x:c r="E683" s="62" t="n">
        <x:v>45951</x:v>
      </x:c>
      <x:c r="F683" t="str">
        <x:v>PM</x:v>
      </x:c>
      <x:c r="G683" t="str">
        <x:v>B</x:v>
      </x:c>
      <x:c r="H683" t="n">
        <x:v>22</x:v>
      </x:c>
      <x:c r="I683" t="str">
        <x:v>ORD-2025-00056</x:v>
      </x:c>
      <x:c r="J683" t="n">
        <x:v>6</x:v>
      </x:c>
      <x:c r="K683" t="n">
        <x:v>1</x:v>
      </x:c>
      <x:c r="L683" t="str">
        <x:v>L22-S06-C1</x:v>
      </x:c>
      <x:c r="M683" t="n">
        <x:v>1</x:v>
      </x:c>
      <x:c r="N683" t="str">
        <x:v>DerivedFromCount</x:v>
      </x:c>
      <x:c r="O683" t="str">
        <x:v>PLC-PRD-JAR-720-L22</x:v>
      </x:c>
      <x:c r="P683" t="str">
        <x:v>OK</x:v>
      </x:c>
      <x:c r="Q683" t="str">
        <x:v>OK</x:v>
      </x:c>
      <x:c r="R683" t="str">
        <x:v>OK</x:v>
      </x:c>
      <x:c r="S683" t="str">
        <x:v>OK</x:v>
      </x:c>
      <x:c r="T683" t="n">
        <x:v>20</x:v>
      </x:c>
      <x:c r="U683" t="str">
        <x:v>OK</x:v>
      </x:c>
      <x:c r="V683" t="str">
        <x:v>OK</x:v>
      </x:c>
      <x:c r="W683" t="str">
        <x:v>LOAD</x:v>
      </x:c>
      <x:c r="X683" t="str">
        <x:v>02_Supervisor_Log(4).xlsx</x:v>
      </x:c>
      <x:c r="Y683" t="str">
        <x:v>ENH-20260830-01</x:v>
      </x:c>
      <x:c r="Z683" t="str">
        <x:v>Active</x:v>
      </x:c>
      <x:c r="AA683"/>
      <x:c r="AB683"/>
      <x:c r="AC683"/>
      <x:c r="AD683"/>
    </x:row>
    <x:row r="684">
      <x:c r="A684" t="str">
        <x:v>PCC-PE-KG01-L22-20251021-PM-ORD-2025-00056-S06-C2</x:v>
      </x:c>
      <x:c r="B684" t="str">
        <x:v>PC-PE-KG01-L22-20251021-PM-ORD-2025-00056-S06</x:v>
      </x:c>
      <x:c r="C684" t="str">
        <x:v>PE-KG01-L22-20251021-PM-ORD-2025-00056</x:v>
      </x:c>
      <x:c r="D684" t="str">
        <x:v>KG01</x:v>
      </x:c>
      <x:c r="E684" s="62" t="n">
        <x:v>45951</x:v>
      </x:c>
      <x:c r="F684" t="str">
        <x:v>PM</x:v>
      </x:c>
      <x:c r="G684" t="str">
        <x:v>B</x:v>
      </x:c>
      <x:c r="H684" t="n">
        <x:v>22</x:v>
      </x:c>
      <x:c r="I684" t="str">
        <x:v>ORD-2025-00056</x:v>
      </x:c>
      <x:c r="J684" t="n">
        <x:v>6</x:v>
      </x:c>
      <x:c r="K684" t="n">
        <x:v>2</x:v>
      </x:c>
      <x:c r="L684" t="str">
        <x:v>L22-S06-C2</x:v>
      </x:c>
      <x:c r="M684" t="n">
        <x:v>1</x:v>
      </x:c>
      <x:c r="N684" t="str">
        <x:v>DerivedFromCount</x:v>
      </x:c>
      <x:c r="O684" t="str">
        <x:v>PLC-PRD-JAR-720-L22</x:v>
      </x:c>
      <x:c r="P684" t="str">
        <x:v>OK</x:v>
      </x:c>
      <x:c r="Q684" t="str">
        <x:v>OK</x:v>
      </x:c>
      <x:c r="R684" t="str">
        <x:v>OK</x:v>
      </x:c>
      <x:c r="S684" t="str">
        <x:v>OK</x:v>
      </x:c>
      <x:c r="T684" t="n">
        <x:v>20</x:v>
      </x:c>
      <x:c r="U684" t="str">
        <x:v>OK</x:v>
      </x:c>
      <x:c r="V684" t="str">
        <x:v>OK</x:v>
      </x:c>
      <x:c r="W684" t="str">
        <x:v>LOAD</x:v>
      </x:c>
      <x:c r="X684" t="str">
        <x:v>02_Supervisor_Log(4).xlsx</x:v>
      </x:c>
      <x:c r="Y684" t="str">
        <x:v>ENH-20260830-01</x:v>
      </x:c>
      <x:c r="Z684" t="str">
        <x:v>Active</x:v>
      </x:c>
      <x:c r="AA684"/>
      <x:c r="AB684"/>
      <x:c r="AC684"/>
      <x:c r="AD684"/>
    </x:row>
    <x:row r="685">
      <x:c r="A685" t="str">
        <x:v>PCC-PE-KG01-L22-20251021-PM-ORD-2025-00056-S06-C3</x:v>
      </x:c>
      <x:c r="B685" t="str">
        <x:v>PC-PE-KG01-L22-20251021-PM-ORD-2025-00056-S06</x:v>
      </x:c>
      <x:c r="C685" t="str">
        <x:v>PE-KG01-L22-20251021-PM-ORD-2025-00056</x:v>
      </x:c>
      <x:c r="D685" t="str">
        <x:v>KG01</x:v>
      </x:c>
      <x:c r="E685" s="62" t="n">
        <x:v>45951</x:v>
      </x:c>
      <x:c r="F685" t="str">
        <x:v>PM</x:v>
      </x:c>
      <x:c r="G685" t="str">
        <x:v>B</x:v>
      </x:c>
      <x:c r="H685" t="n">
        <x:v>22</x:v>
      </x:c>
      <x:c r="I685" t="str">
        <x:v>ORD-2025-00056</x:v>
      </x:c>
      <x:c r="J685" t="n">
        <x:v>6</x:v>
      </x:c>
      <x:c r="K685" t="n">
        <x:v>3</x:v>
      </x:c>
      <x:c r="L685" t="str">
        <x:v>L22-S06-C3</x:v>
      </x:c>
      <x:c r="M685" t="n">
        <x:v>0</x:v>
      </x:c>
      <x:c r="N685" t="str">
        <x:v>DerivedFromCount</x:v>
      </x:c>
      <x:c r="O685" t="str">
        <x:v>PLC-PRD-JAR-720-L22</x:v>
      </x:c>
      <x:c r="P685" t="str">
        <x:v>OK</x:v>
      </x:c>
      <x:c r="Q685" t="str">
        <x:v>OK</x:v>
      </x:c>
      <x:c r="R685" t="str">
        <x:v>OK</x:v>
      </x:c>
      <x:c r="S685" t="str">
        <x:v>OK</x:v>
      </x:c>
      <x:c r="T685" t="n">
        <x:v>20</x:v>
      </x:c>
      <x:c r="U685" t="str">
        <x:v>OK</x:v>
      </x:c>
      <x:c r="V685" t="str">
        <x:v>OK</x:v>
      </x:c>
      <x:c r="W685" t="str">
        <x:v>LOAD</x:v>
      </x:c>
      <x:c r="X685" t="str">
        <x:v>02_Supervisor_Log(4).xlsx</x:v>
      </x:c>
      <x:c r="Y685" t="str">
        <x:v>ENH-20260830-01</x:v>
      </x:c>
      <x:c r="Z685" t="str">
        <x:v>Active</x:v>
      </x:c>
      <x:c r="AA685"/>
      <x:c r="AB685"/>
      <x:c r="AC685"/>
      <x:c r="AD685"/>
    </x:row>
    <x:row r="686">
      <x:c r="A686" t="str">
        <x:v>PCC-PE-KG01-L22-20251021-PM-ORD-2025-00056-S07-C1</x:v>
      </x:c>
      <x:c r="B686" t="str">
        <x:v>PC-PE-KG01-L22-20251021-PM-ORD-2025-00056-S07</x:v>
      </x:c>
      <x:c r="C686" t="str">
        <x:v>PE-KG01-L22-20251021-PM-ORD-2025-00056</x:v>
      </x:c>
      <x:c r="D686" t="str">
        <x:v>KG01</x:v>
      </x:c>
      <x:c r="E686" s="62" t="n">
        <x:v>45951</x:v>
      </x:c>
      <x:c r="F686" t="str">
        <x:v>PM</x:v>
      </x:c>
      <x:c r="G686" t="str">
        <x:v>B</x:v>
      </x:c>
      <x:c r="H686" t="n">
        <x:v>22</x:v>
      </x:c>
      <x:c r="I686" t="str">
        <x:v>ORD-2025-00056</x:v>
      </x:c>
      <x:c r="J686" t="n">
        <x:v>7</x:v>
      </x:c>
      <x:c r="K686" t="n">
        <x:v>1</x:v>
      </x:c>
      <x:c r="L686" t="str">
        <x:v>L22-S07-C1</x:v>
      </x:c>
      <x:c r="M686" t="n">
        <x:v>1</x:v>
      </x:c>
      <x:c r="N686" t="str">
        <x:v>DerivedFromCount</x:v>
      </x:c>
      <x:c r="O686" t="str">
        <x:v>PLC-PRD-JAR-720-L22</x:v>
      </x:c>
      <x:c r="P686" t="str">
        <x:v>OK</x:v>
      </x:c>
      <x:c r="Q686" t="str">
        <x:v>OK</x:v>
      </x:c>
      <x:c r="R686" t="str">
        <x:v>OK</x:v>
      </x:c>
      <x:c r="S686" t="str">
        <x:v>OK</x:v>
      </x:c>
      <x:c r="T686" t="n">
        <x:v>20</x:v>
      </x:c>
      <x:c r="U686" t="str">
        <x:v>OK</x:v>
      </x:c>
      <x:c r="V686" t="str">
        <x:v>OK</x:v>
      </x:c>
      <x:c r="W686" t="str">
        <x:v>LOAD</x:v>
      </x:c>
      <x:c r="X686" t="str">
        <x:v>02_Supervisor_Log(4).xlsx</x:v>
      </x:c>
      <x:c r="Y686" t="str">
        <x:v>ENH-20260830-01</x:v>
      </x:c>
      <x:c r="Z686" t="str">
        <x:v>Active</x:v>
      </x:c>
      <x:c r="AA686"/>
      <x:c r="AB686"/>
      <x:c r="AC686"/>
      <x:c r="AD686"/>
    </x:row>
    <x:row r="687">
      <x:c r="A687" t="str">
        <x:v>PCC-PE-KG01-L22-20251021-PM-ORD-2025-00056-S07-C2</x:v>
      </x:c>
      <x:c r="B687" t="str">
        <x:v>PC-PE-KG01-L22-20251021-PM-ORD-2025-00056-S07</x:v>
      </x:c>
      <x:c r="C687" t="str">
        <x:v>PE-KG01-L22-20251021-PM-ORD-2025-00056</x:v>
      </x:c>
      <x:c r="D687" t="str">
        <x:v>KG01</x:v>
      </x:c>
      <x:c r="E687" s="62" t="n">
        <x:v>45951</x:v>
      </x:c>
      <x:c r="F687" t="str">
        <x:v>PM</x:v>
      </x:c>
      <x:c r="G687" t="str">
        <x:v>B</x:v>
      </x:c>
      <x:c r="H687" t="n">
        <x:v>22</x:v>
      </x:c>
      <x:c r="I687" t="str">
        <x:v>ORD-2025-00056</x:v>
      </x:c>
      <x:c r="J687" t="n">
        <x:v>7</x:v>
      </x:c>
      <x:c r="K687" t="n">
        <x:v>2</x:v>
      </x:c>
      <x:c r="L687" t="str">
        <x:v>L22-S07-C2</x:v>
      </x:c>
      <x:c r="M687" t="n">
        <x:v>1</x:v>
      </x:c>
      <x:c r="N687" t="str">
        <x:v>DerivedFromCount</x:v>
      </x:c>
      <x:c r="O687" t="str">
        <x:v>PLC-PRD-JAR-720-L22</x:v>
      </x:c>
      <x:c r="P687" t="str">
        <x:v>OK</x:v>
      </x:c>
      <x:c r="Q687" t="str">
        <x:v>OK</x:v>
      </x:c>
      <x:c r="R687" t="str">
        <x:v>OK</x:v>
      </x:c>
      <x:c r="S687" t="str">
        <x:v>OK</x:v>
      </x:c>
      <x:c r="T687" t="n">
        <x:v>20</x:v>
      </x:c>
      <x:c r="U687" t="str">
        <x:v>OK</x:v>
      </x:c>
      <x:c r="V687" t="str">
        <x:v>OK</x:v>
      </x:c>
      <x:c r="W687" t="str">
        <x:v>LOAD</x:v>
      </x:c>
      <x:c r="X687" t="str">
        <x:v>02_Supervisor_Log(4).xlsx</x:v>
      </x:c>
      <x:c r="Y687" t="str">
        <x:v>ENH-20260830-01</x:v>
      </x:c>
      <x:c r="Z687" t="str">
        <x:v>Active</x:v>
      </x:c>
      <x:c r="AA687"/>
      <x:c r="AB687"/>
      <x:c r="AC687"/>
      <x:c r="AD687"/>
    </x:row>
    <x:row r="688">
      <x:c r="A688" t="str">
        <x:v>PCC-PE-KG01-L22-20251021-PM-ORD-2025-00056-S07-C3</x:v>
      </x:c>
      <x:c r="B688" t="str">
        <x:v>PC-PE-KG01-L22-20251021-PM-ORD-2025-00056-S07</x:v>
      </x:c>
      <x:c r="C688" t="str">
        <x:v>PE-KG01-L22-20251021-PM-ORD-2025-00056</x:v>
      </x:c>
      <x:c r="D688" t="str">
        <x:v>KG01</x:v>
      </x:c>
      <x:c r="E688" s="62" t="n">
        <x:v>45951</x:v>
      </x:c>
      <x:c r="F688" t="str">
        <x:v>PM</x:v>
      </x:c>
      <x:c r="G688" t="str">
        <x:v>B</x:v>
      </x:c>
      <x:c r="H688" t="n">
        <x:v>22</x:v>
      </x:c>
      <x:c r="I688" t="str">
        <x:v>ORD-2025-00056</x:v>
      </x:c>
      <x:c r="J688" t="n">
        <x:v>7</x:v>
      </x:c>
      <x:c r="K688" t="n">
        <x:v>3</x:v>
      </x:c>
      <x:c r="L688" t="str">
        <x:v>L22-S07-C3</x:v>
      </x:c>
      <x:c r="M688" t="n">
        <x:v>0</x:v>
      </x:c>
      <x:c r="N688" t="str">
        <x:v>DerivedFromCount</x:v>
      </x:c>
      <x:c r="O688" t="str">
        <x:v>PLC-PRD-JAR-720-L22</x:v>
      </x:c>
      <x:c r="P688" t="str">
        <x:v>OK</x:v>
      </x:c>
      <x:c r="Q688" t="str">
        <x:v>OK</x:v>
      </x:c>
      <x:c r="R688" t="str">
        <x:v>OK</x:v>
      </x:c>
      <x:c r="S688" t="str">
        <x:v>OK</x:v>
      </x:c>
      <x:c r="T688" t="n">
        <x:v>20</x:v>
      </x:c>
      <x:c r="U688" t="str">
        <x:v>OK</x:v>
      </x:c>
      <x:c r="V688" t="str">
        <x:v>OK</x:v>
      </x:c>
      <x:c r="W688" t="str">
        <x:v>LOAD</x:v>
      </x:c>
      <x:c r="X688" t="str">
        <x:v>02_Supervisor_Log(4).xlsx</x:v>
      </x:c>
      <x:c r="Y688" t="str">
        <x:v>ENH-20260830-01</x:v>
      </x:c>
      <x:c r="Z688" t="str">
        <x:v>Active</x:v>
      </x:c>
      <x:c r="AA688"/>
      <x:c r="AB688"/>
      <x:c r="AC688"/>
      <x:c r="AD688"/>
    </x:row>
    <x:row r="689">
      <x:c r="A689" t="str">
        <x:v>PCC-PE-KG01-L22-20251021-PM-ORD-2025-00056-S08-C1</x:v>
      </x:c>
      <x:c r="B689" t="str">
        <x:v>PC-PE-KG01-L22-20251021-PM-ORD-2025-00056-S08</x:v>
      </x:c>
      <x:c r="C689" t="str">
        <x:v>PE-KG01-L22-20251021-PM-ORD-2025-00056</x:v>
      </x:c>
      <x:c r="D689" t="str">
        <x:v>KG01</x:v>
      </x:c>
      <x:c r="E689" s="62" t="n">
        <x:v>45951</x:v>
      </x:c>
      <x:c r="F689" t="str">
        <x:v>PM</x:v>
      </x:c>
      <x:c r="G689" t="str">
        <x:v>B</x:v>
      </x:c>
      <x:c r="H689" t="n">
        <x:v>22</x:v>
      </x:c>
      <x:c r="I689" t="str">
        <x:v>ORD-2025-00056</x:v>
      </x:c>
      <x:c r="J689" t="n">
        <x:v>8</x:v>
      </x:c>
      <x:c r="K689" t="n">
        <x:v>1</x:v>
      </x:c>
      <x:c r="L689" t="str">
        <x:v>L22-S08-C1</x:v>
      </x:c>
      <x:c r="M689" t="n">
        <x:v>1</x:v>
      </x:c>
      <x:c r="N689" t="str">
        <x:v>DerivedFromCount</x:v>
      </x:c>
      <x:c r="O689" t="str">
        <x:v>PLC-PRD-JAR-720-L22</x:v>
      </x:c>
      <x:c r="P689" t="str">
        <x:v>OK</x:v>
      </x:c>
      <x:c r="Q689" t="str">
        <x:v>OK</x:v>
      </x:c>
      <x:c r="R689" t="str">
        <x:v>OK</x:v>
      </x:c>
      <x:c r="S689" t="str">
        <x:v>OK</x:v>
      </x:c>
      <x:c r="T689" t="n">
        <x:v>20</x:v>
      </x:c>
      <x:c r="U689" t="str">
        <x:v>OK</x:v>
      </x:c>
      <x:c r="V689" t="str">
        <x:v>OK</x:v>
      </x:c>
      <x:c r="W689" t="str">
        <x:v>LOAD</x:v>
      </x:c>
      <x:c r="X689" t="str">
        <x:v>02_Supervisor_Log(4).xlsx</x:v>
      </x:c>
      <x:c r="Y689" t="str">
        <x:v>ENH-20260830-01</x:v>
      </x:c>
      <x:c r="Z689" t="str">
        <x:v>Active</x:v>
      </x:c>
      <x:c r="AA689"/>
      <x:c r="AB689"/>
      <x:c r="AC689"/>
      <x:c r="AD689"/>
    </x:row>
    <x:row r="690">
      <x:c r="A690" t="str">
        <x:v>PCC-PE-KG01-L22-20251021-PM-ORD-2025-00056-S08-C2</x:v>
      </x:c>
      <x:c r="B690" t="str">
        <x:v>PC-PE-KG01-L22-20251021-PM-ORD-2025-00056-S08</x:v>
      </x:c>
      <x:c r="C690" t="str">
        <x:v>PE-KG01-L22-20251021-PM-ORD-2025-00056</x:v>
      </x:c>
      <x:c r="D690" t="str">
        <x:v>KG01</x:v>
      </x:c>
      <x:c r="E690" s="62" t="n">
        <x:v>45951</x:v>
      </x:c>
      <x:c r="F690" t="str">
        <x:v>PM</x:v>
      </x:c>
      <x:c r="G690" t="str">
        <x:v>B</x:v>
      </x:c>
      <x:c r="H690" t="n">
        <x:v>22</x:v>
      </x:c>
      <x:c r="I690" t="str">
        <x:v>ORD-2025-00056</x:v>
      </x:c>
      <x:c r="J690" t="n">
        <x:v>8</x:v>
      </x:c>
      <x:c r="K690" t="n">
        <x:v>2</x:v>
      </x:c>
      <x:c r="L690" t="str">
        <x:v>L22-S08-C2</x:v>
      </x:c>
      <x:c r="M690" t="n">
        <x:v>1</x:v>
      </x:c>
      <x:c r="N690" t="str">
        <x:v>DerivedFromCount</x:v>
      </x:c>
      <x:c r="O690" t="str">
        <x:v>PLC-PRD-JAR-720-L22</x:v>
      </x:c>
      <x:c r="P690" t="str">
        <x:v>OK</x:v>
      </x:c>
      <x:c r="Q690" t="str">
        <x:v>OK</x:v>
      </x:c>
      <x:c r="R690" t="str">
        <x:v>OK</x:v>
      </x:c>
      <x:c r="S690" t="str">
        <x:v>OK</x:v>
      </x:c>
      <x:c r="T690" t="n">
        <x:v>20</x:v>
      </x:c>
      <x:c r="U690" t="str">
        <x:v>OK</x:v>
      </x:c>
      <x:c r="V690" t="str">
        <x:v>OK</x:v>
      </x:c>
      <x:c r="W690" t="str">
        <x:v>LOAD</x:v>
      </x:c>
      <x:c r="X690" t="str">
        <x:v>02_Supervisor_Log(4).xlsx</x:v>
      </x:c>
      <x:c r="Y690" t="str">
        <x:v>ENH-20260830-01</x:v>
      </x:c>
      <x:c r="Z690" t="str">
        <x:v>Active</x:v>
      </x:c>
      <x:c r="AA690"/>
      <x:c r="AB690"/>
      <x:c r="AC690"/>
      <x:c r="AD690"/>
    </x:row>
    <x:row r="691">
      <x:c r="A691" t="str">
        <x:v>PCC-PE-KG01-L22-20251021-PM-ORD-2025-00056-S08-C3</x:v>
      </x:c>
      <x:c r="B691" t="str">
        <x:v>PC-PE-KG01-L22-20251021-PM-ORD-2025-00056-S08</x:v>
      </x:c>
      <x:c r="C691" t="str">
        <x:v>PE-KG01-L22-20251021-PM-ORD-2025-00056</x:v>
      </x:c>
      <x:c r="D691" t="str">
        <x:v>KG01</x:v>
      </x:c>
      <x:c r="E691" s="62" t="n">
        <x:v>45951</x:v>
      </x:c>
      <x:c r="F691" t="str">
        <x:v>PM</x:v>
      </x:c>
      <x:c r="G691" t="str">
        <x:v>B</x:v>
      </x:c>
      <x:c r="H691" t="n">
        <x:v>22</x:v>
      </x:c>
      <x:c r="I691" t="str">
        <x:v>ORD-2025-00056</x:v>
      </x:c>
      <x:c r="J691" t="n">
        <x:v>8</x:v>
      </x:c>
      <x:c r="K691" t="n">
        <x:v>3</x:v>
      </x:c>
      <x:c r="L691" t="str">
        <x:v>L22-S08-C3</x:v>
      </x:c>
      <x:c r="M691" t="n">
        <x:v>0</x:v>
      </x:c>
      <x:c r="N691" t="str">
        <x:v>DerivedFromCount</x:v>
      </x:c>
      <x:c r="O691" t="str">
        <x:v>PLC-PRD-JAR-720-L22</x:v>
      </x:c>
      <x:c r="P691" t="str">
        <x:v>OK</x:v>
      </x:c>
      <x:c r="Q691" t="str">
        <x:v>OK</x:v>
      </x:c>
      <x:c r="R691" t="str">
        <x:v>OK</x:v>
      </x:c>
      <x:c r="S691" t="str">
        <x:v>OK</x:v>
      </x:c>
      <x:c r="T691" t="n">
        <x:v>20</x:v>
      </x:c>
      <x:c r="U691" t="str">
        <x:v>OK</x:v>
      </x:c>
      <x:c r="V691" t="str">
        <x:v>OK</x:v>
      </x:c>
      <x:c r="W691" t="str">
        <x:v>LOAD</x:v>
      </x:c>
      <x:c r="X691" t="str">
        <x:v>02_Supervisor_Log(4).xlsx</x:v>
      </x:c>
      <x:c r="Y691" t="str">
        <x:v>ENH-20260830-01</x:v>
      </x:c>
      <x:c r="Z691" t="str">
        <x:v>Active</x:v>
      </x:c>
      <x:c r="AA691"/>
      <x:c r="AB691"/>
      <x:c r="AC691"/>
      <x:c r="AD691"/>
    </x:row>
    <x:row r="692">
      <x:c r="A692" t="str">
        <x:v>PCC-PE-KG01-L22-20251021-PM-ORD-2025-00056-S09-C1</x:v>
      </x:c>
      <x:c r="B692" t="str">
        <x:v>PC-PE-KG01-L22-20251021-PM-ORD-2025-00056-S09</x:v>
      </x:c>
      <x:c r="C692" t="str">
        <x:v>PE-KG01-L22-20251021-PM-ORD-2025-00056</x:v>
      </x:c>
      <x:c r="D692" t="str">
        <x:v>KG01</x:v>
      </x:c>
      <x:c r="E692" s="62" t="n">
        <x:v>45951</x:v>
      </x:c>
      <x:c r="F692" t="str">
        <x:v>PM</x:v>
      </x:c>
      <x:c r="G692" t="str">
        <x:v>B</x:v>
      </x:c>
      <x:c r="H692" t="n">
        <x:v>22</x:v>
      </x:c>
      <x:c r="I692" t="str">
        <x:v>ORD-2025-00056</x:v>
      </x:c>
      <x:c r="J692" t="n">
        <x:v>9</x:v>
      </x:c>
      <x:c r="K692" t="n">
        <x:v>1</x:v>
      </x:c>
      <x:c r="L692" t="str">
        <x:v>L22-S09-C1</x:v>
      </x:c>
      <x:c r="M692" t="n">
        <x:v>1</x:v>
      </x:c>
      <x:c r="N692" t="str">
        <x:v>DerivedFromCount</x:v>
      </x:c>
      <x:c r="O692" t="str">
        <x:v>PLC-PRD-JAR-720-L22</x:v>
      </x:c>
      <x:c r="P692" t="str">
        <x:v>OK</x:v>
      </x:c>
      <x:c r="Q692" t="str">
        <x:v>OK</x:v>
      </x:c>
      <x:c r="R692" t="str">
        <x:v>OK</x:v>
      </x:c>
      <x:c r="S692" t="str">
        <x:v>OK</x:v>
      </x:c>
      <x:c r="T692" t="n">
        <x:v>20</x:v>
      </x:c>
      <x:c r="U692" t="str">
        <x:v>OK</x:v>
      </x:c>
      <x:c r="V692" t="str">
        <x:v>OK</x:v>
      </x:c>
      <x:c r="W692" t="str">
        <x:v>LOAD</x:v>
      </x:c>
      <x:c r="X692" t="str">
        <x:v>02_Supervisor_Log(4).xlsx</x:v>
      </x:c>
      <x:c r="Y692" t="str">
        <x:v>ENH-20260830-01</x:v>
      </x:c>
      <x:c r="Z692" t="str">
        <x:v>Active</x:v>
      </x:c>
      <x:c r="AA692"/>
      <x:c r="AB692"/>
      <x:c r="AC692"/>
      <x:c r="AD692"/>
    </x:row>
    <x:row r="693">
      <x:c r="A693" t="str">
        <x:v>PCC-PE-KG01-L22-20251021-PM-ORD-2025-00056-S09-C2</x:v>
      </x:c>
      <x:c r="B693" t="str">
        <x:v>PC-PE-KG01-L22-20251021-PM-ORD-2025-00056-S09</x:v>
      </x:c>
      <x:c r="C693" t="str">
        <x:v>PE-KG01-L22-20251021-PM-ORD-2025-00056</x:v>
      </x:c>
      <x:c r="D693" t="str">
        <x:v>KG01</x:v>
      </x:c>
      <x:c r="E693" s="62" t="n">
        <x:v>45951</x:v>
      </x:c>
      <x:c r="F693" t="str">
        <x:v>PM</x:v>
      </x:c>
      <x:c r="G693" t="str">
        <x:v>B</x:v>
      </x:c>
      <x:c r="H693" t="n">
        <x:v>22</x:v>
      </x:c>
      <x:c r="I693" t="str">
        <x:v>ORD-2025-00056</x:v>
      </x:c>
      <x:c r="J693" t="n">
        <x:v>9</x:v>
      </x:c>
      <x:c r="K693" t="n">
        <x:v>2</x:v>
      </x:c>
      <x:c r="L693" t="str">
        <x:v>L22-S09-C2</x:v>
      </x:c>
      <x:c r="M693" t="n">
        <x:v>1</x:v>
      </x:c>
      <x:c r="N693" t="str">
        <x:v>DerivedFromCount</x:v>
      </x:c>
      <x:c r="O693" t="str">
        <x:v>PLC-PRD-JAR-720-L22</x:v>
      </x:c>
      <x:c r="P693" t="str">
        <x:v>OK</x:v>
      </x:c>
      <x:c r="Q693" t="str">
        <x:v>OK</x:v>
      </x:c>
      <x:c r="R693" t="str">
        <x:v>OK</x:v>
      </x:c>
      <x:c r="S693" t="str">
        <x:v>OK</x:v>
      </x:c>
      <x:c r="T693" t="n">
        <x:v>20</x:v>
      </x:c>
      <x:c r="U693" t="str">
        <x:v>OK</x:v>
      </x:c>
      <x:c r="V693" t="str">
        <x:v>OK</x:v>
      </x:c>
      <x:c r="W693" t="str">
        <x:v>LOAD</x:v>
      </x:c>
      <x:c r="X693" t="str">
        <x:v>02_Supervisor_Log(4).xlsx</x:v>
      </x:c>
      <x:c r="Y693" t="str">
        <x:v>ENH-20260830-01</x:v>
      </x:c>
      <x:c r="Z693" t="str">
        <x:v>Active</x:v>
      </x:c>
      <x:c r="AA693"/>
      <x:c r="AB693"/>
      <x:c r="AC693"/>
      <x:c r="AD693"/>
    </x:row>
    <x:row r="694">
      <x:c r="A694" t="str">
        <x:v>PCC-PE-KG01-L22-20251021-PM-ORD-2025-00056-S09-C3</x:v>
      </x:c>
      <x:c r="B694" t="str">
        <x:v>PC-PE-KG01-L22-20251021-PM-ORD-2025-00056-S09</x:v>
      </x:c>
      <x:c r="C694" t="str">
        <x:v>PE-KG01-L22-20251021-PM-ORD-2025-00056</x:v>
      </x:c>
      <x:c r="D694" t="str">
        <x:v>KG01</x:v>
      </x:c>
      <x:c r="E694" s="62" t="n">
        <x:v>45951</x:v>
      </x:c>
      <x:c r="F694" t="str">
        <x:v>PM</x:v>
      </x:c>
      <x:c r="G694" t="str">
        <x:v>B</x:v>
      </x:c>
      <x:c r="H694" t="n">
        <x:v>22</x:v>
      </x:c>
      <x:c r="I694" t="str">
        <x:v>ORD-2025-00056</x:v>
      </x:c>
      <x:c r="J694" t="n">
        <x:v>9</x:v>
      </x:c>
      <x:c r="K694" t="n">
        <x:v>3</x:v>
      </x:c>
      <x:c r="L694" t="str">
        <x:v>L22-S09-C3</x:v>
      </x:c>
      <x:c r="M694" t="n">
        <x:v>0</x:v>
      </x:c>
      <x:c r="N694" t="str">
        <x:v>DerivedFromCount</x:v>
      </x:c>
      <x:c r="O694" t="str">
        <x:v>PLC-PRD-JAR-720-L22</x:v>
      </x:c>
      <x:c r="P694" t="str">
        <x:v>OK</x:v>
      </x:c>
      <x:c r="Q694" t="str">
        <x:v>OK</x:v>
      </x:c>
      <x:c r="R694" t="str">
        <x:v>OK</x:v>
      </x:c>
      <x:c r="S694" t="str">
        <x:v>OK</x:v>
      </x:c>
      <x:c r="T694" t="n">
        <x:v>20</x:v>
      </x:c>
      <x:c r="U694" t="str">
        <x:v>OK</x:v>
      </x:c>
      <x:c r="V694" t="str">
        <x:v>OK</x:v>
      </x:c>
      <x:c r="W694" t="str">
        <x:v>LOAD</x:v>
      </x:c>
      <x:c r="X694" t="str">
        <x:v>02_Supervisor_Log(4).xlsx</x:v>
      </x:c>
      <x:c r="Y694" t="str">
        <x:v>ENH-20260830-01</x:v>
      </x:c>
      <x:c r="Z694" t="str">
        <x:v>Active</x:v>
      </x:c>
      <x:c r="AA694"/>
      <x:c r="AB694"/>
      <x:c r="AC694"/>
      <x:c r="AD694"/>
    </x:row>
    <x:row r="695">
      <x:c r="A695" t="str">
        <x:v>PCC-PE-KG01-L22-20251021-PM-ORD-2025-00056-S10-C1</x:v>
      </x:c>
      <x:c r="B695" t="str">
        <x:v>PC-PE-KG01-L22-20251021-PM-ORD-2025-00056-S10</x:v>
      </x:c>
      <x:c r="C695" t="str">
        <x:v>PE-KG01-L22-20251021-PM-ORD-2025-00056</x:v>
      </x:c>
      <x:c r="D695" t="str">
        <x:v>KG01</x:v>
      </x:c>
      <x:c r="E695" s="62" t="n">
        <x:v>45951</x:v>
      </x:c>
      <x:c r="F695" t="str">
        <x:v>PM</x:v>
      </x:c>
      <x:c r="G695" t="str">
        <x:v>B</x:v>
      </x:c>
      <x:c r="H695" t="n">
        <x:v>22</x:v>
      </x:c>
      <x:c r="I695" t="str">
        <x:v>ORD-2025-00056</x:v>
      </x:c>
      <x:c r="J695" t="n">
        <x:v>10</x:v>
      </x:c>
      <x:c r="K695" t="n">
        <x:v>1</x:v>
      </x:c>
      <x:c r="L695" t="str">
        <x:v>L22-S10-C1</x:v>
      </x:c>
      <x:c r="M695" t="n">
        <x:v>1</x:v>
      </x:c>
      <x:c r="N695" t="str">
        <x:v>DerivedFromCount</x:v>
      </x:c>
      <x:c r="O695" t="str">
        <x:v>PLC-PRD-JAR-720-L22</x:v>
      </x:c>
      <x:c r="P695" t="str">
        <x:v>OK</x:v>
      </x:c>
      <x:c r="Q695" t="str">
        <x:v>OK</x:v>
      </x:c>
      <x:c r="R695" t="str">
        <x:v>OK</x:v>
      </x:c>
      <x:c r="S695" t="str">
        <x:v>OK</x:v>
      </x:c>
      <x:c r="T695" t="n">
        <x:v>20</x:v>
      </x:c>
      <x:c r="U695" t="str">
        <x:v>OK</x:v>
      </x:c>
      <x:c r="V695" t="str">
        <x:v>OK</x:v>
      </x:c>
      <x:c r="W695" t="str">
        <x:v>LOAD</x:v>
      </x:c>
      <x:c r="X695" t="str">
        <x:v>02_Supervisor_Log(4).xlsx</x:v>
      </x:c>
      <x:c r="Y695" t="str">
        <x:v>ENH-20260830-01</x:v>
      </x:c>
      <x:c r="Z695" t="str">
        <x:v>Active</x:v>
      </x:c>
      <x:c r="AA695"/>
      <x:c r="AB695"/>
      <x:c r="AC695"/>
      <x:c r="AD695"/>
    </x:row>
    <x:row r="696">
      <x:c r="A696" t="str">
        <x:v>PCC-PE-KG01-L22-20251021-PM-ORD-2025-00056-S10-C2</x:v>
      </x:c>
      <x:c r="B696" t="str">
        <x:v>PC-PE-KG01-L22-20251021-PM-ORD-2025-00056-S10</x:v>
      </x:c>
      <x:c r="C696" t="str">
        <x:v>PE-KG01-L22-20251021-PM-ORD-2025-00056</x:v>
      </x:c>
      <x:c r="D696" t="str">
        <x:v>KG01</x:v>
      </x:c>
      <x:c r="E696" s="62" t="n">
        <x:v>45951</x:v>
      </x:c>
      <x:c r="F696" t="str">
        <x:v>PM</x:v>
      </x:c>
      <x:c r="G696" t="str">
        <x:v>B</x:v>
      </x:c>
      <x:c r="H696" t="n">
        <x:v>22</x:v>
      </x:c>
      <x:c r="I696" t="str">
        <x:v>ORD-2025-00056</x:v>
      </x:c>
      <x:c r="J696" t="n">
        <x:v>10</x:v>
      </x:c>
      <x:c r="K696" t="n">
        <x:v>2</x:v>
      </x:c>
      <x:c r="L696" t="str">
        <x:v>L22-S10-C2</x:v>
      </x:c>
      <x:c r="M696" t="n">
        <x:v>1</x:v>
      </x:c>
      <x:c r="N696" t="str">
        <x:v>DerivedFromCount</x:v>
      </x:c>
      <x:c r="O696" t="str">
        <x:v>PLC-PRD-JAR-720-L22</x:v>
      </x:c>
      <x:c r="P696" t="str">
        <x:v>OK</x:v>
      </x:c>
      <x:c r="Q696" t="str">
        <x:v>OK</x:v>
      </x:c>
      <x:c r="R696" t="str">
        <x:v>OK</x:v>
      </x:c>
      <x:c r="S696" t="str">
        <x:v>OK</x:v>
      </x:c>
      <x:c r="T696" t="n">
        <x:v>20</x:v>
      </x:c>
      <x:c r="U696" t="str">
        <x:v>OK</x:v>
      </x:c>
      <x:c r="V696" t="str">
        <x:v>OK</x:v>
      </x:c>
      <x:c r="W696" t="str">
        <x:v>LOAD</x:v>
      </x:c>
      <x:c r="X696" t="str">
        <x:v>02_Supervisor_Log(4).xlsx</x:v>
      </x:c>
      <x:c r="Y696" t="str">
        <x:v>ENH-20260830-01</x:v>
      </x:c>
      <x:c r="Z696" t="str">
        <x:v>Active</x:v>
      </x:c>
      <x:c r="AA696"/>
      <x:c r="AB696"/>
      <x:c r="AC696"/>
      <x:c r="AD696"/>
    </x:row>
    <x:row r="697">
      <x:c r="A697" t="str">
        <x:v>PCC-PE-KG01-L22-20251021-PM-ORD-2025-00056-S10-C3</x:v>
      </x:c>
      <x:c r="B697" t="str">
        <x:v>PC-PE-KG01-L22-20251021-PM-ORD-2025-00056-S10</x:v>
      </x:c>
      <x:c r="C697" t="str">
        <x:v>PE-KG01-L22-20251021-PM-ORD-2025-00056</x:v>
      </x:c>
      <x:c r="D697" t="str">
        <x:v>KG01</x:v>
      </x:c>
      <x:c r="E697" s="62" t="n">
        <x:v>45951</x:v>
      </x:c>
      <x:c r="F697" t="str">
        <x:v>PM</x:v>
      </x:c>
      <x:c r="G697" t="str">
        <x:v>B</x:v>
      </x:c>
      <x:c r="H697" t="n">
        <x:v>22</x:v>
      </x:c>
      <x:c r="I697" t="str">
        <x:v>ORD-2025-00056</x:v>
      </x:c>
      <x:c r="J697" t="n">
        <x:v>10</x:v>
      </x:c>
      <x:c r="K697" t="n">
        <x:v>3</x:v>
      </x:c>
      <x:c r="L697" t="str">
        <x:v>L22-S10-C3</x:v>
      </x:c>
      <x:c r="M697" t="n">
        <x:v>0</x:v>
      </x:c>
      <x:c r="N697" t="str">
        <x:v>DerivedFromCount</x:v>
      </x:c>
      <x:c r="O697" t="str">
        <x:v>PLC-PRD-JAR-720-L22</x:v>
      </x:c>
      <x:c r="P697" t="str">
        <x:v>OK</x:v>
      </x:c>
      <x:c r="Q697" t="str">
        <x:v>OK</x:v>
      </x:c>
      <x:c r="R697" t="str">
        <x:v>OK</x:v>
      </x:c>
      <x:c r="S697" t="str">
        <x:v>OK</x:v>
      </x:c>
      <x:c r="T697" t="n">
        <x:v>20</x:v>
      </x:c>
      <x:c r="U697" t="str">
        <x:v>OK</x:v>
      </x:c>
      <x:c r="V697" t="str">
        <x:v>OK</x:v>
      </x:c>
      <x:c r="W697" t="str">
        <x:v>LOAD</x:v>
      </x:c>
      <x:c r="X697" t="str">
        <x:v>02_Supervisor_Log(4).xlsx</x:v>
      </x:c>
      <x:c r="Y697" t="str">
        <x:v>ENH-20260830-01</x:v>
      </x:c>
      <x:c r="Z697" t="str">
        <x:v>Active</x:v>
      </x:c>
      <x:c r="AA697"/>
      <x:c r="AB697"/>
      <x:c r="AC697"/>
      <x:c r="AD697"/>
    </x:row>
    <x:row r="698">
      <x:c r="A698" t="str">
        <x:v>PCC-PE-KG01-L22-20251021-PM-ORD-2025-00056-S11-C1</x:v>
      </x:c>
      <x:c r="B698" t="str">
        <x:v>PC-PE-KG01-L22-20251021-PM-ORD-2025-00056-S11</x:v>
      </x:c>
      <x:c r="C698" t="str">
        <x:v>PE-KG01-L22-20251021-PM-ORD-2025-00056</x:v>
      </x:c>
      <x:c r="D698" t="str">
        <x:v>KG01</x:v>
      </x:c>
      <x:c r="E698" s="62" t="n">
        <x:v>45951</x:v>
      </x:c>
      <x:c r="F698" t="str">
        <x:v>PM</x:v>
      </x:c>
      <x:c r="G698" t="str">
        <x:v>B</x:v>
      </x:c>
      <x:c r="H698" t="n">
        <x:v>22</x:v>
      </x:c>
      <x:c r="I698" t="str">
        <x:v>ORD-2025-00056</x:v>
      </x:c>
      <x:c r="J698" t="n">
        <x:v>11</x:v>
      </x:c>
      <x:c r="K698" t="n">
        <x:v>1</x:v>
      </x:c>
      <x:c r="L698" t="str">
        <x:v>L22-S11-C1</x:v>
      </x:c>
      <x:c r="M698" t="n">
        <x:v>0</x:v>
      </x:c>
      <x:c r="N698" t="str">
        <x:v>DerivedFromCount</x:v>
      </x:c>
      <x:c r="O698" t="str">
        <x:v>PLC-PRD-JAR-720-L22</x:v>
      </x:c>
      <x:c r="P698" t="str">
        <x:v>OK</x:v>
      </x:c>
      <x:c r="Q698" t="str">
        <x:v>OK</x:v>
      </x:c>
      <x:c r="R698" t="str">
        <x:v>OK</x:v>
      </x:c>
      <x:c r="S698" t="str">
        <x:v>OK</x:v>
      </x:c>
      <x:c r="T698" t="n">
        <x:v>20</x:v>
      </x:c>
      <x:c r="U698" t="str">
        <x:v>OK</x:v>
      </x:c>
      <x:c r="V698" t="str">
        <x:v>OK</x:v>
      </x:c>
      <x:c r="W698" t="str">
        <x:v>LOAD</x:v>
      </x:c>
      <x:c r="X698" t="str">
        <x:v>02_Supervisor_Log(4).xlsx</x:v>
      </x:c>
      <x:c r="Y698" t="str">
        <x:v>ENH-20260830-01</x:v>
      </x:c>
      <x:c r="Z698" t="str">
        <x:v>Active</x:v>
      </x:c>
      <x:c r="AA698"/>
      <x:c r="AB698"/>
      <x:c r="AC698"/>
      <x:c r="AD698"/>
    </x:row>
    <x:row r="699">
      <x:c r="A699" t="str">
        <x:v>PCC-PE-KG01-L22-20251021-PM-ORD-2025-00056-S11-C2</x:v>
      </x:c>
      <x:c r="B699" t="str">
        <x:v>PC-PE-KG01-L22-20251021-PM-ORD-2025-00056-S11</x:v>
      </x:c>
      <x:c r="C699" t="str">
        <x:v>PE-KG01-L22-20251021-PM-ORD-2025-00056</x:v>
      </x:c>
      <x:c r="D699" t="str">
        <x:v>KG01</x:v>
      </x:c>
      <x:c r="E699" s="62" t="n">
        <x:v>45951</x:v>
      </x:c>
      <x:c r="F699" t="str">
        <x:v>PM</x:v>
      </x:c>
      <x:c r="G699" t="str">
        <x:v>B</x:v>
      </x:c>
      <x:c r="H699" t="n">
        <x:v>22</x:v>
      </x:c>
      <x:c r="I699" t="str">
        <x:v>ORD-2025-00056</x:v>
      </x:c>
      <x:c r="J699" t="n">
        <x:v>11</x:v>
      </x:c>
      <x:c r="K699" t="n">
        <x:v>2</x:v>
      </x:c>
      <x:c r="L699" t="str">
        <x:v>L22-S11-C2</x:v>
      </x:c>
      <x:c r="M699" t="n">
        <x:v>0</x:v>
      </x:c>
      <x:c r="N699" t="str">
        <x:v>DerivedFromCount</x:v>
      </x:c>
      <x:c r="O699" t="str">
        <x:v>PLC-PRD-JAR-720-L22</x:v>
      </x:c>
      <x:c r="P699" t="str">
        <x:v>OK</x:v>
      </x:c>
      <x:c r="Q699" t="str">
        <x:v>OK</x:v>
      </x:c>
      <x:c r="R699" t="str">
        <x:v>OK</x:v>
      </x:c>
      <x:c r="S699" t="str">
        <x:v>OK</x:v>
      </x:c>
      <x:c r="T699" t="n">
        <x:v>20</x:v>
      </x:c>
      <x:c r="U699" t="str">
        <x:v>OK</x:v>
      </x:c>
      <x:c r="V699" t="str">
        <x:v>OK</x:v>
      </x:c>
      <x:c r="W699" t="str">
        <x:v>LOAD</x:v>
      </x:c>
      <x:c r="X699" t="str">
        <x:v>02_Supervisor_Log(4).xlsx</x:v>
      </x:c>
      <x:c r="Y699" t="str">
        <x:v>ENH-20260830-01</x:v>
      </x:c>
      <x:c r="Z699" t="str">
        <x:v>Active</x:v>
      </x:c>
      <x:c r="AA699"/>
      <x:c r="AB699"/>
      <x:c r="AC699"/>
      <x:c r="AD699"/>
    </x:row>
    <x:row r="700">
      <x:c r="A700" t="str">
        <x:v>PCC-PE-KG01-L22-20251021-PM-ORD-2025-00056-S11-C3</x:v>
      </x:c>
      <x:c r="B700" t="str">
        <x:v>PC-PE-KG01-L22-20251021-PM-ORD-2025-00056-S11</x:v>
      </x:c>
      <x:c r="C700" t="str">
        <x:v>PE-KG01-L22-20251021-PM-ORD-2025-00056</x:v>
      </x:c>
      <x:c r="D700" t="str">
        <x:v>KG01</x:v>
      </x:c>
      <x:c r="E700" s="62" t="n">
        <x:v>45951</x:v>
      </x:c>
      <x:c r="F700" t="str">
        <x:v>PM</x:v>
      </x:c>
      <x:c r="G700" t="str">
        <x:v>B</x:v>
      </x:c>
      <x:c r="H700" t="n">
        <x:v>22</x:v>
      </x:c>
      <x:c r="I700" t="str">
        <x:v>ORD-2025-00056</x:v>
      </x:c>
      <x:c r="J700" t="n">
        <x:v>11</x:v>
      </x:c>
      <x:c r="K700" t="n">
        <x:v>3</x:v>
      </x:c>
      <x:c r="L700" t="str">
        <x:v>L22-S11-C3</x:v>
      </x:c>
      <x:c r="M700" t="n">
        <x:v>0</x:v>
      </x:c>
      <x:c r="N700" t="str">
        <x:v>DerivedFromCount</x:v>
      </x:c>
      <x:c r="O700" t="str">
        <x:v>PLC-PRD-JAR-720-L22</x:v>
      </x:c>
      <x:c r="P700" t="str">
        <x:v>OK</x:v>
      </x:c>
      <x:c r="Q700" t="str">
        <x:v>OK</x:v>
      </x:c>
      <x:c r="R700" t="str">
        <x:v>OK</x:v>
      </x:c>
      <x:c r="S700" t="str">
        <x:v>OK</x:v>
      </x:c>
      <x:c r="T700" t="n">
        <x:v>20</x:v>
      </x:c>
      <x:c r="U700" t="str">
        <x:v>OK</x:v>
      </x:c>
      <x:c r="V700" t="str">
        <x:v>OK</x:v>
      </x:c>
      <x:c r="W700" t="str">
        <x:v>LOAD</x:v>
      </x:c>
      <x:c r="X700" t="str">
        <x:v>02_Supervisor_Log(4).xlsx</x:v>
      </x:c>
      <x:c r="Y700" t="str">
        <x:v>ENH-20260830-01</x:v>
      </x:c>
      <x:c r="Z700" t="str">
        <x:v>Active</x:v>
      </x:c>
      <x:c r="AA700"/>
      <x:c r="AB700"/>
      <x:c r="AC700"/>
      <x:c r="AD700"/>
    </x:row>
    <x:row r="701">
      <x:c r="A701" t="str">
        <x:v>PCC-PE-KG01-L22-20251021-PM-ORD-2025-00056-S12-C1</x:v>
      </x:c>
      <x:c r="B701" t="str">
        <x:v>PC-PE-KG01-L22-20251021-PM-ORD-2025-00056-S12</x:v>
      </x:c>
      <x:c r="C701" t="str">
        <x:v>PE-KG01-L22-20251021-PM-ORD-2025-00056</x:v>
      </x:c>
      <x:c r="D701" t="str">
        <x:v>KG01</x:v>
      </x:c>
      <x:c r="E701" s="62" t="n">
        <x:v>45951</x:v>
      </x:c>
      <x:c r="F701" t="str">
        <x:v>PM</x:v>
      </x:c>
      <x:c r="G701" t="str">
        <x:v>B</x:v>
      </x:c>
      <x:c r="H701" t="n">
        <x:v>22</x:v>
      </x:c>
      <x:c r="I701" t="str">
        <x:v>ORD-2025-00056</x:v>
      </x:c>
      <x:c r="J701" t="n">
        <x:v>12</x:v>
      </x:c>
      <x:c r="K701" t="n">
        <x:v>1</x:v>
      </x:c>
      <x:c r="L701" t="str">
        <x:v>L22-S12-C1</x:v>
      </x:c>
      <x:c r="M701" t="n">
        <x:v>0</x:v>
      </x:c>
      <x:c r="N701" t="str">
        <x:v>DerivedFromCount</x:v>
      </x:c>
      <x:c r="O701" t="str">
        <x:v>PLC-PRD-JAR-720-L22</x:v>
      </x:c>
      <x:c r="P701" t="str">
        <x:v>OK</x:v>
      </x:c>
      <x:c r="Q701" t="str">
        <x:v>OK</x:v>
      </x:c>
      <x:c r="R701" t="str">
        <x:v>OK</x:v>
      </x:c>
      <x:c r="S701" t="str">
        <x:v>OK</x:v>
      </x:c>
      <x:c r="T701" t="n">
        <x:v>20</x:v>
      </x:c>
      <x:c r="U701" t="str">
        <x:v>OK</x:v>
      </x:c>
      <x:c r="V701" t="str">
        <x:v>OK</x:v>
      </x:c>
      <x:c r="W701" t="str">
        <x:v>LOAD</x:v>
      </x:c>
      <x:c r="X701" t="str">
        <x:v>02_Supervisor_Log(4).xlsx</x:v>
      </x:c>
      <x:c r="Y701" t="str">
        <x:v>ENH-20260830-01</x:v>
      </x:c>
      <x:c r="Z701" t="str">
        <x:v>Active</x:v>
      </x:c>
      <x:c r="AA701"/>
      <x:c r="AB701"/>
      <x:c r="AC701"/>
      <x:c r="AD701"/>
    </x:row>
    <x:row r="702">
      <x:c r="A702" t="str">
        <x:v>PCC-PE-KG01-L22-20251021-PM-ORD-2025-00056-S12-C2</x:v>
      </x:c>
      <x:c r="B702" t="str">
        <x:v>PC-PE-KG01-L22-20251021-PM-ORD-2025-00056-S12</x:v>
      </x:c>
      <x:c r="C702" t="str">
        <x:v>PE-KG01-L22-20251021-PM-ORD-2025-00056</x:v>
      </x:c>
      <x:c r="D702" t="str">
        <x:v>KG01</x:v>
      </x:c>
      <x:c r="E702" s="62" t="n">
        <x:v>45951</x:v>
      </x:c>
      <x:c r="F702" t="str">
        <x:v>PM</x:v>
      </x:c>
      <x:c r="G702" t="str">
        <x:v>B</x:v>
      </x:c>
      <x:c r="H702" t="n">
        <x:v>22</x:v>
      </x:c>
      <x:c r="I702" t="str">
        <x:v>ORD-2025-00056</x:v>
      </x:c>
      <x:c r="J702" t="n">
        <x:v>12</x:v>
      </x:c>
      <x:c r="K702" t="n">
        <x:v>2</x:v>
      </x:c>
      <x:c r="L702" t="str">
        <x:v>L22-S12-C2</x:v>
      </x:c>
      <x:c r="M702" t="n">
        <x:v>0</x:v>
      </x:c>
      <x:c r="N702" t="str">
        <x:v>DerivedFromCount</x:v>
      </x:c>
      <x:c r="O702" t="str">
        <x:v>PLC-PRD-JAR-720-L22</x:v>
      </x:c>
      <x:c r="P702" t="str">
        <x:v>OK</x:v>
      </x:c>
      <x:c r="Q702" t="str">
        <x:v>OK</x:v>
      </x:c>
      <x:c r="R702" t="str">
        <x:v>OK</x:v>
      </x:c>
      <x:c r="S702" t="str">
        <x:v>OK</x:v>
      </x:c>
      <x:c r="T702" t="n">
        <x:v>20</x:v>
      </x:c>
      <x:c r="U702" t="str">
        <x:v>OK</x:v>
      </x:c>
      <x:c r="V702" t="str">
        <x:v>OK</x:v>
      </x:c>
      <x:c r="W702" t="str">
        <x:v>LOAD</x:v>
      </x:c>
      <x:c r="X702" t="str">
        <x:v>02_Supervisor_Log(4).xlsx</x:v>
      </x:c>
      <x:c r="Y702" t="str">
        <x:v>ENH-20260830-01</x:v>
      </x:c>
      <x:c r="Z702" t="str">
        <x:v>Active</x:v>
      </x:c>
      <x:c r="AA702"/>
      <x:c r="AB702"/>
      <x:c r="AC702"/>
      <x:c r="AD702"/>
    </x:row>
    <x:row r="703">
      <x:c r="A703" t="str">
        <x:v>PCC-PE-KG01-L22-20251021-PM-ORD-2025-00056-S12-C3</x:v>
      </x:c>
      <x:c r="B703" t="str">
        <x:v>PC-PE-KG01-L22-20251021-PM-ORD-2025-00056-S12</x:v>
      </x:c>
      <x:c r="C703" t="str">
        <x:v>PE-KG01-L22-20251021-PM-ORD-2025-00056</x:v>
      </x:c>
      <x:c r="D703" t="str">
        <x:v>KG01</x:v>
      </x:c>
      <x:c r="E703" s="62" t="n">
        <x:v>45951</x:v>
      </x:c>
      <x:c r="F703" t="str">
        <x:v>PM</x:v>
      </x:c>
      <x:c r="G703" t="str">
        <x:v>B</x:v>
      </x:c>
      <x:c r="H703" t="n">
        <x:v>22</x:v>
      </x:c>
      <x:c r="I703" t="str">
        <x:v>ORD-2025-00056</x:v>
      </x:c>
      <x:c r="J703" t="n">
        <x:v>12</x:v>
      </x:c>
      <x:c r="K703" t="n">
        <x:v>3</x:v>
      </x:c>
      <x:c r="L703" t="str">
        <x:v>L22-S12-C3</x:v>
      </x:c>
      <x:c r="M703" t="n">
        <x:v>0</x:v>
      </x:c>
      <x:c r="N703" t="str">
        <x:v>DerivedFromCount</x:v>
      </x:c>
      <x:c r="O703" t="str">
        <x:v>PLC-PRD-JAR-720-L22</x:v>
      </x:c>
      <x:c r="P703" t="str">
        <x:v>OK</x:v>
      </x:c>
      <x:c r="Q703" t="str">
        <x:v>OK</x:v>
      </x:c>
      <x:c r="R703" t="str">
        <x:v>OK</x:v>
      </x:c>
      <x:c r="S703" t="str">
        <x:v>OK</x:v>
      </x:c>
      <x:c r="T703" t="n">
        <x:v>20</x:v>
      </x:c>
      <x:c r="U703" t="str">
        <x:v>OK</x:v>
      </x:c>
      <x:c r="V703" t="str">
        <x:v>OK</x:v>
      </x:c>
      <x:c r="W703" t="str">
        <x:v>LOAD</x:v>
      </x:c>
      <x:c r="X703" t="str">
        <x:v>02_Supervisor_Log(4).xlsx</x:v>
      </x:c>
      <x:c r="Y703" t="str">
        <x:v>ENH-20260830-01</x:v>
      </x:c>
      <x:c r="Z703" t="str">
        <x:v>Active</x:v>
      </x:c>
      <x:c r="AA703"/>
      <x:c r="AB703"/>
      <x:c r="AC703"/>
      <x:c r="AD703"/>
    </x:row>
    <x:row r="704">
      <x:c r="A704" t="str">
        <x:v>PCC-PE-KG01-L22-20251021-PM-ORD-2025-00056-S13-C1</x:v>
      </x:c>
      <x:c r="B704" t="str">
        <x:v>PC-PE-KG01-L22-20251021-PM-ORD-2025-00056-S13</x:v>
      </x:c>
      <x:c r="C704" t="str">
        <x:v>PE-KG01-L22-20251021-PM-ORD-2025-00056</x:v>
      </x:c>
      <x:c r="D704" t="str">
        <x:v>KG01</x:v>
      </x:c>
      <x:c r="E704" s="62" t="n">
        <x:v>45951</x:v>
      </x:c>
      <x:c r="F704" t="str">
        <x:v>PM</x:v>
      </x:c>
      <x:c r="G704" t="str">
        <x:v>B</x:v>
      </x:c>
      <x:c r="H704" t="n">
        <x:v>22</x:v>
      </x:c>
      <x:c r="I704" t="str">
        <x:v>ORD-2025-00056</x:v>
      </x:c>
      <x:c r="J704" t="n">
        <x:v>13</x:v>
      </x:c>
      <x:c r="K704" t="n">
        <x:v>1</x:v>
      </x:c>
      <x:c r="L704" t="str">
        <x:v>L22-S13-C1</x:v>
      </x:c>
      <x:c r="M704" t="n">
        <x:v>0</x:v>
      </x:c>
      <x:c r="N704" t="str">
        <x:v>DerivedFromCount</x:v>
      </x:c>
      <x:c r="O704" t="str">
        <x:v>PLC-PRD-JAR-720-L22</x:v>
      </x:c>
      <x:c r="P704" t="str">
        <x:v>OK</x:v>
      </x:c>
      <x:c r="Q704" t="str">
        <x:v>OK</x:v>
      </x:c>
      <x:c r="R704" t="str">
        <x:v>OK</x:v>
      </x:c>
      <x:c r="S704" t="str">
        <x:v>OK</x:v>
      </x:c>
      <x:c r="T704" t="n">
        <x:v>20</x:v>
      </x:c>
      <x:c r="U704" t="str">
        <x:v>OK</x:v>
      </x:c>
      <x:c r="V704" t="str">
        <x:v>OK</x:v>
      </x:c>
      <x:c r="W704" t="str">
        <x:v>LOAD</x:v>
      </x:c>
      <x:c r="X704" t="str">
        <x:v>02_Supervisor_Log(4).xlsx</x:v>
      </x:c>
      <x:c r="Y704" t="str">
        <x:v>ENH-20260830-01</x:v>
      </x:c>
      <x:c r="Z704" t="str">
        <x:v>Active</x:v>
      </x:c>
      <x:c r="AA704"/>
      <x:c r="AB704"/>
      <x:c r="AC704"/>
      <x:c r="AD704"/>
    </x:row>
    <x:row r="705">
      <x:c r="A705" t="str">
        <x:v>PCC-PE-KG01-L22-20251021-PM-ORD-2025-00056-S13-C2</x:v>
      </x:c>
      <x:c r="B705" t="str">
        <x:v>PC-PE-KG01-L22-20251021-PM-ORD-2025-00056-S13</x:v>
      </x:c>
      <x:c r="C705" t="str">
        <x:v>PE-KG01-L22-20251021-PM-ORD-2025-00056</x:v>
      </x:c>
      <x:c r="D705" t="str">
        <x:v>KG01</x:v>
      </x:c>
      <x:c r="E705" s="62" t="n">
        <x:v>45951</x:v>
      </x:c>
      <x:c r="F705" t="str">
        <x:v>PM</x:v>
      </x:c>
      <x:c r="G705" t="str">
        <x:v>B</x:v>
      </x:c>
      <x:c r="H705" t="n">
        <x:v>22</x:v>
      </x:c>
      <x:c r="I705" t="str">
        <x:v>ORD-2025-00056</x:v>
      </x:c>
      <x:c r="J705" t="n">
        <x:v>13</x:v>
      </x:c>
      <x:c r="K705" t="n">
        <x:v>2</x:v>
      </x:c>
      <x:c r="L705" t="str">
        <x:v>L22-S13-C2</x:v>
      </x:c>
      <x:c r="M705" t="n">
        <x:v>0</x:v>
      </x:c>
      <x:c r="N705" t="str">
        <x:v>DerivedFromCount</x:v>
      </x:c>
      <x:c r="O705" t="str">
        <x:v>PLC-PRD-JAR-720-L22</x:v>
      </x:c>
      <x:c r="P705" t="str">
        <x:v>OK</x:v>
      </x:c>
      <x:c r="Q705" t="str">
        <x:v>OK</x:v>
      </x:c>
      <x:c r="R705" t="str">
        <x:v>OK</x:v>
      </x:c>
      <x:c r="S705" t="str">
        <x:v>OK</x:v>
      </x:c>
      <x:c r="T705" t="n">
        <x:v>20</x:v>
      </x:c>
      <x:c r="U705" t="str">
        <x:v>OK</x:v>
      </x:c>
      <x:c r="V705" t="str">
        <x:v>OK</x:v>
      </x:c>
      <x:c r="W705" t="str">
        <x:v>LOAD</x:v>
      </x:c>
      <x:c r="X705" t="str">
        <x:v>02_Supervisor_Log(4).xlsx</x:v>
      </x:c>
      <x:c r="Y705" t="str">
        <x:v>ENH-20260830-01</x:v>
      </x:c>
      <x:c r="Z705" t="str">
        <x:v>Active</x:v>
      </x:c>
      <x:c r="AA705"/>
      <x:c r="AB705"/>
      <x:c r="AC705"/>
      <x:c r="AD705"/>
    </x:row>
    <x:row r="706">
      <x:c r="A706" t="str">
        <x:v>PCC-PE-KG01-L22-20251021-PM-ORD-2025-00056-S13-C3</x:v>
      </x:c>
      <x:c r="B706" t="str">
        <x:v>PC-PE-KG01-L22-20251021-PM-ORD-2025-00056-S13</x:v>
      </x:c>
      <x:c r="C706" t="str">
        <x:v>PE-KG01-L22-20251021-PM-ORD-2025-00056</x:v>
      </x:c>
      <x:c r="D706" t="str">
        <x:v>KG01</x:v>
      </x:c>
      <x:c r="E706" s="62" t="n">
        <x:v>45951</x:v>
      </x:c>
      <x:c r="F706" t="str">
        <x:v>PM</x:v>
      </x:c>
      <x:c r="G706" t="str">
        <x:v>B</x:v>
      </x:c>
      <x:c r="H706" t="n">
        <x:v>22</x:v>
      </x:c>
      <x:c r="I706" t="str">
        <x:v>ORD-2025-00056</x:v>
      </x:c>
      <x:c r="J706" t="n">
        <x:v>13</x:v>
      </x:c>
      <x:c r="K706" t="n">
        <x:v>3</x:v>
      </x:c>
      <x:c r="L706" t="str">
        <x:v>L22-S13-C3</x:v>
      </x:c>
      <x:c r="M706" t="n">
        <x:v>0</x:v>
      </x:c>
      <x:c r="N706" t="str">
        <x:v>DerivedFromCount</x:v>
      </x:c>
      <x:c r="O706" t="str">
        <x:v>PLC-PRD-JAR-720-L22</x:v>
      </x:c>
      <x:c r="P706" t="str">
        <x:v>OK</x:v>
      </x:c>
      <x:c r="Q706" t="str">
        <x:v>OK</x:v>
      </x:c>
      <x:c r="R706" t="str">
        <x:v>OK</x:v>
      </x:c>
      <x:c r="S706" t="str">
        <x:v>OK</x:v>
      </x:c>
      <x:c r="T706" t="n">
        <x:v>20</x:v>
      </x:c>
      <x:c r="U706" t="str">
        <x:v>OK</x:v>
      </x:c>
      <x:c r="V706" t="str">
        <x:v>OK</x:v>
      </x:c>
      <x:c r="W706" t="str">
        <x:v>LOAD</x:v>
      </x:c>
      <x:c r="X706" t="str">
        <x:v>02_Supervisor_Log(4).xlsx</x:v>
      </x:c>
      <x:c r="Y706" t="str">
        <x:v>ENH-20260830-01</x:v>
      </x:c>
      <x:c r="Z706" t="str">
        <x:v>Active</x:v>
      </x:c>
      <x:c r="AA706"/>
      <x:c r="AB706"/>
      <x:c r="AC706"/>
      <x:c r="AD706"/>
    </x:row>
    <x:row r="707">
      <x:c r="A707" t="str">
        <x:v>PCC-PE-KG01-L22-20251022-AM-ORD-2025-00057-S01-C1</x:v>
      </x:c>
      <x:c r="B707" t="str">
        <x:v>PC-PE-KG01-L22-20251022-AM-ORD-2025-00057-S01</x:v>
      </x:c>
      <x:c r="C707" t="str">
        <x:v>PE-KG01-L22-20251022-AM-ORD-2025-00057</x:v>
      </x:c>
      <x:c r="D707" t="str">
        <x:v>KG01</x:v>
      </x:c>
      <x:c r="E707" s="62" t="n">
        <x:v>45952</x:v>
      </x:c>
      <x:c r="F707" t="str">
        <x:v>AM</x:v>
      </x:c>
      <x:c r="G707" t="str">
        <x:v>B</x:v>
      </x:c>
      <x:c r="H707" t="n">
        <x:v>22</x:v>
      </x:c>
      <x:c r="I707" t="str">
        <x:v>ORD-2025-00057</x:v>
      </x:c>
      <x:c r="J707" t="n">
        <x:v>1</x:v>
      </x:c>
      <x:c r="K707" t="n">
        <x:v>1</x:v>
      </x:c>
      <x:c r="L707" t="str">
        <x:v>L22-S01-C1</x:v>
      </x:c>
      <x:c r="M707" t="n">
        <x:v>1</x:v>
      </x:c>
      <x:c r="N707" t="str">
        <x:v>DerivedFromCount</x:v>
      </x:c>
      <x:c r="O707" t="str">
        <x:v>PLC-PRD-JAR-720-L22</x:v>
      </x:c>
      <x:c r="P707" t="str">
        <x:v>OK</x:v>
      </x:c>
      <x:c r="Q707" t="str">
        <x:v>OK</x:v>
      </x:c>
      <x:c r="R707" t="str">
        <x:v>OK</x:v>
      </x:c>
      <x:c r="S707" t="str">
        <x:v>OK</x:v>
      </x:c>
      <x:c r="T707" t="n">
        <x:v>20</x:v>
      </x:c>
      <x:c r="U707" t="str">
        <x:v>OK</x:v>
      </x:c>
      <x:c r="V707" t="str">
        <x:v>OK</x:v>
      </x:c>
      <x:c r="W707" t="str">
        <x:v>LOAD</x:v>
      </x:c>
      <x:c r="X707" t="str">
        <x:v>02_Supervisor_Log(4).xlsx</x:v>
      </x:c>
      <x:c r="Y707" t="str">
        <x:v>ENH-20260830-01</x:v>
      </x:c>
      <x:c r="Z707" t="str">
        <x:v>Active</x:v>
      </x:c>
      <x:c r="AA707"/>
      <x:c r="AB707"/>
      <x:c r="AC707"/>
      <x:c r="AD707"/>
    </x:row>
    <x:row r="708">
      <x:c r="A708" t="str">
        <x:v>PCC-PE-KG01-L22-20251022-AM-ORD-2025-00057-S01-C2</x:v>
      </x:c>
      <x:c r="B708" t="str">
        <x:v>PC-PE-KG01-L22-20251022-AM-ORD-2025-00057-S01</x:v>
      </x:c>
      <x:c r="C708" t="str">
        <x:v>PE-KG01-L22-20251022-AM-ORD-2025-00057</x:v>
      </x:c>
      <x:c r="D708" t="str">
        <x:v>KG01</x:v>
      </x:c>
      <x:c r="E708" s="62" t="n">
        <x:v>45952</x:v>
      </x:c>
      <x:c r="F708" t="str">
        <x:v>AM</x:v>
      </x:c>
      <x:c r="G708" t="str">
        <x:v>B</x:v>
      </x:c>
      <x:c r="H708" t="n">
        <x:v>22</x:v>
      </x:c>
      <x:c r="I708" t="str">
        <x:v>ORD-2025-00057</x:v>
      </x:c>
      <x:c r="J708" t="n">
        <x:v>1</x:v>
      </x:c>
      <x:c r="K708" t="n">
        <x:v>2</x:v>
      </x:c>
      <x:c r="L708" t="str">
        <x:v>L22-S01-C2</x:v>
      </x:c>
      <x:c r="M708" t="n">
        <x:v>1</x:v>
      </x:c>
      <x:c r="N708" t="str">
        <x:v>DerivedFromCount</x:v>
      </x:c>
      <x:c r="O708" t="str">
        <x:v>PLC-PRD-JAR-720-L22</x:v>
      </x:c>
      <x:c r="P708" t="str">
        <x:v>OK</x:v>
      </x:c>
      <x:c r="Q708" t="str">
        <x:v>OK</x:v>
      </x:c>
      <x:c r="R708" t="str">
        <x:v>OK</x:v>
      </x:c>
      <x:c r="S708" t="str">
        <x:v>OK</x:v>
      </x:c>
      <x:c r="T708" t="n">
        <x:v>20</x:v>
      </x:c>
      <x:c r="U708" t="str">
        <x:v>OK</x:v>
      </x:c>
      <x:c r="V708" t="str">
        <x:v>OK</x:v>
      </x:c>
      <x:c r="W708" t="str">
        <x:v>LOAD</x:v>
      </x:c>
      <x:c r="X708" t="str">
        <x:v>02_Supervisor_Log(4).xlsx</x:v>
      </x:c>
      <x:c r="Y708" t="str">
        <x:v>ENH-20260830-01</x:v>
      </x:c>
      <x:c r="Z708" t="str">
        <x:v>Active</x:v>
      </x:c>
      <x:c r="AA708"/>
      <x:c r="AB708"/>
      <x:c r="AC708"/>
      <x:c r="AD708"/>
    </x:row>
    <x:row r="709">
      <x:c r="A709" t="str">
        <x:v>PCC-PE-KG01-L22-20251022-AM-ORD-2025-00057-S01-C3</x:v>
      </x:c>
      <x:c r="B709" t="str">
        <x:v>PC-PE-KG01-L22-20251022-AM-ORD-2025-00057-S01</x:v>
      </x:c>
      <x:c r="C709" t="str">
        <x:v>PE-KG01-L22-20251022-AM-ORD-2025-00057</x:v>
      </x:c>
      <x:c r="D709" t="str">
        <x:v>KG01</x:v>
      </x:c>
      <x:c r="E709" s="62" t="n">
        <x:v>45952</x:v>
      </x:c>
      <x:c r="F709" t="str">
        <x:v>AM</x:v>
      </x:c>
      <x:c r="G709" t="str">
        <x:v>B</x:v>
      </x:c>
      <x:c r="H709" t="n">
        <x:v>22</x:v>
      </x:c>
      <x:c r="I709" t="str">
        <x:v>ORD-2025-00057</x:v>
      </x:c>
      <x:c r="J709" t="n">
        <x:v>1</x:v>
      </x:c>
      <x:c r="K709" t="n">
        <x:v>3</x:v>
      </x:c>
      <x:c r="L709" t="str">
        <x:v>L22-S01-C3</x:v>
      </x:c>
      <x:c r="M709" t="n">
        <x:v>0</x:v>
      </x:c>
      <x:c r="N709" t="str">
        <x:v>DerivedFromCount</x:v>
      </x:c>
      <x:c r="O709" t="str">
        <x:v>PLC-PRD-JAR-720-L22</x:v>
      </x:c>
      <x:c r="P709" t="str">
        <x:v>OK</x:v>
      </x:c>
      <x:c r="Q709" t="str">
        <x:v>OK</x:v>
      </x:c>
      <x:c r="R709" t="str">
        <x:v>OK</x:v>
      </x:c>
      <x:c r="S709" t="str">
        <x:v>OK</x:v>
      </x:c>
      <x:c r="T709" t="n">
        <x:v>20</x:v>
      </x:c>
      <x:c r="U709" t="str">
        <x:v>OK</x:v>
      </x:c>
      <x:c r="V709" t="str">
        <x:v>OK</x:v>
      </x:c>
      <x:c r="W709" t="str">
        <x:v>LOAD</x:v>
      </x:c>
      <x:c r="X709" t="str">
        <x:v>02_Supervisor_Log(4).xlsx</x:v>
      </x:c>
      <x:c r="Y709" t="str">
        <x:v>ENH-20260830-01</x:v>
      </x:c>
      <x:c r="Z709" t="str">
        <x:v>Active</x:v>
      </x:c>
      <x:c r="AA709"/>
      <x:c r="AB709"/>
      <x:c r="AC709"/>
      <x:c r="AD709"/>
    </x:row>
    <x:row r="710">
      <x:c r="A710" t="str">
        <x:v>PCC-PE-KG01-L22-20251022-AM-ORD-2025-00057-S02-C1</x:v>
      </x:c>
      <x:c r="B710" t="str">
        <x:v>PC-PE-KG01-L22-20251022-AM-ORD-2025-00057-S02</x:v>
      </x:c>
      <x:c r="C710" t="str">
        <x:v>PE-KG01-L22-20251022-AM-ORD-2025-00057</x:v>
      </x:c>
      <x:c r="D710" t="str">
        <x:v>KG01</x:v>
      </x:c>
      <x:c r="E710" s="62" t="n">
        <x:v>45952</x:v>
      </x:c>
      <x:c r="F710" t="str">
        <x:v>AM</x:v>
      </x:c>
      <x:c r="G710" t="str">
        <x:v>B</x:v>
      </x:c>
      <x:c r="H710" t="n">
        <x:v>22</x:v>
      </x:c>
      <x:c r="I710" t="str">
        <x:v>ORD-2025-00057</x:v>
      </x:c>
      <x:c r="J710" t="n">
        <x:v>2</x:v>
      </x:c>
      <x:c r="K710" t="n">
        <x:v>1</x:v>
      </x:c>
      <x:c r="L710" t="str">
        <x:v>L22-S02-C1</x:v>
      </x:c>
      <x:c r="M710" t="n">
        <x:v>1</x:v>
      </x:c>
      <x:c r="N710" t="str">
        <x:v>DerivedFromCount</x:v>
      </x:c>
      <x:c r="O710" t="str">
        <x:v>PLC-PRD-JAR-720-L22</x:v>
      </x:c>
      <x:c r="P710" t="str">
        <x:v>OK</x:v>
      </x:c>
      <x:c r="Q710" t="str">
        <x:v>OK</x:v>
      </x:c>
      <x:c r="R710" t="str">
        <x:v>OK</x:v>
      </x:c>
      <x:c r="S710" t="str">
        <x:v>OK</x:v>
      </x:c>
      <x:c r="T710" t="n">
        <x:v>20</x:v>
      </x:c>
      <x:c r="U710" t="str">
        <x:v>OK</x:v>
      </x:c>
      <x:c r="V710" t="str">
        <x:v>OK</x:v>
      </x:c>
      <x:c r="W710" t="str">
        <x:v>LOAD</x:v>
      </x:c>
      <x:c r="X710" t="str">
        <x:v>02_Supervisor_Log(4).xlsx</x:v>
      </x:c>
      <x:c r="Y710" t="str">
        <x:v>ENH-20260830-01</x:v>
      </x:c>
      <x:c r="Z710" t="str">
        <x:v>Active</x:v>
      </x:c>
      <x:c r="AA710"/>
      <x:c r="AB710"/>
      <x:c r="AC710"/>
      <x:c r="AD710"/>
    </x:row>
    <x:row r="711">
      <x:c r="A711" t="str">
        <x:v>PCC-PE-KG01-L22-20251022-AM-ORD-2025-00057-S02-C2</x:v>
      </x:c>
      <x:c r="B711" t="str">
        <x:v>PC-PE-KG01-L22-20251022-AM-ORD-2025-00057-S02</x:v>
      </x:c>
      <x:c r="C711" t="str">
        <x:v>PE-KG01-L22-20251022-AM-ORD-2025-00057</x:v>
      </x:c>
      <x:c r="D711" t="str">
        <x:v>KG01</x:v>
      </x:c>
      <x:c r="E711" s="62" t="n">
        <x:v>45952</x:v>
      </x:c>
      <x:c r="F711" t="str">
        <x:v>AM</x:v>
      </x:c>
      <x:c r="G711" t="str">
        <x:v>B</x:v>
      </x:c>
      <x:c r="H711" t="n">
        <x:v>22</x:v>
      </x:c>
      <x:c r="I711" t="str">
        <x:v>ORD-2025-00057</x:v>
      </x:c>
      <x:c r="J711" t="n">
        <x:v>2</x:v>
      </x:c>
      <x:c r="K711" t="n">
        <x:v>2</x:v>
      </x:c>
      <x:c r="L711" t="str">
        <x:v>L22-S02-C2</x:v>
      </x:c>
      <x:c r="M711" t="n">
        <x:v>1</x:v>
      </x:c>
      <x:c r="N711" t="str">
        <x:v>DerivedFromCount</x:v>
      </x:c>
      <x:c r="O711" t="str">
        <x:v>PLC-PRD-JAR-720-L22</x:v>
      </x:c>
      <x:c r="P711" t="str">
        <x:v>OK</x:v>
      </x:c>
      <x:c r="Q711" t="str">
        <x:v>OK</x:v>
      </x:c>
      <x:c r="R711" t="str">
        <x:v>OK</x:v>
      </x:c>
      <x:c r="S711" t="str">
        <x:v>OK</x:v>
      </x:c>
      <x:c r="T711" t="n">
        <x:v>20</x:v>
      </x:c>
      <x:c r="U711" t="str">
        <x:v>OK</x:v>
      </x:c>
      <x:c r="V711" t="str">
        <x:v>OK</x:v>
      </x:c>
      <x:c r="W711" t="str">
        <x:v>LOAD</x:v>
      </x:c>
      <x:c r="X711" t="str">
        <x:v>02_Supervisor_Log(4).xlsx</x:v>
      </x:c>
      <x:c r="Y711" t="str">
        <x:v>ENH-20260830-01</x:v>
      </x:c>
      <x:c r="Z711" t="str">
        <x:v>Active</x:v>
      </x:c>
      <x:c r="AA711"/>
      <x:c r="AB711"/>
      <x:c r="AC711"/>
      <x:c r="AD711"/>
    </x:row>
    <x:row r="712">
      <x:c r="A712" t="str">
        <x:v>PCC-PE-KG01-L22-20251022-AM-ORD-2025-00057-S02-C3</x:v>
      </x:c>
      <x:c r="B712" t="str">
        <x:v>PC-PE-KG01-L22-20251022-AM-ORD-2025-00057-S02</x:v>
      </x:c>
      <x:c r="C712" t="str">
        <x:v>PE-KG01-L22-20251022-AM-ORD-2025-00057</x:v>
      </x:c>
      <x:c r="D712" t="str">
        <x:v>KG01</x:v>
      </x:c>
      <x:c r="E712" s="62" t="n">
        <x:v>45952</x:v>
      </x:c>
      <x:c r="F712" t="str">
        <x:v>AM</x:v>
      </x:c>
      <x:c r="G712" t="str">
        <x:v>B</x:v>
      </x:c>
      <x:c r="H712" t="n">
        <x:v>22</x:v>
      </x:c>
      <x:c r="I712" t="str">
        <x:v>ORD-2025-00057</x:v>
      </x:c>
      <x:c r="J712" t="n">
        <x:v>2</x:v>
      </x:c>
      <x:c r="K712" t="n">
        <x:v>3</x:v>
      </x:c>
      <x:c r="L712" t="str">
        <x:v>L22-S02-C3</x:v>
      </x:c>
      <x:c r="M712" t="n">
        <x:v>0</x:v>
      </x:c>
      <x:c r="N712" t="str">
        <x:v>DerivedFromCount</x:v>
      </x:c>
      <x:c r="O712" t="str">
        <x:v>PLC-PRD-JAR-720-L22</x:v>
      </x:c>
      <x:c r="P712" t="str">
        <x:v>OK</x:v>
      </x:c>
      <x:c r="Q712" t="str">
        <x:v>OK</x:v>
      </x:c>
      <x:c r="R712" t="str">
        <x:v>OK</x:v>
      </x:c>
      <x:c r="S712" t="str">
        <x:v>OK</x:v>
      </x:c>
      <x:c r="T712" t="n">
        <x:v>20</x:v>
      </x:c>
      <x:c r="U712" t="str">
        <x:v>OK</x:v>
      </x:c>
      <x:c r="V712" t="str">
        <x:v>OK</x:v>
      </x:c>
      <x:c r="W712" t="str">
        <x:v>LOAD</x:v>
      </x:c>
      <x:c r="X712" t="str">
        <x:v>02_Supervisor_Log(4).xlsx</x:v>
      </x:c>
      <x:c r="Y712" t="str">
        <x:v>ENH-20260830-01</x:v>
      </x:c>
      <x:c r="Z712" t="str">
        <x:v>Active</x:v>
      </x:c>
      <x:c r="AA712"/>
      <x:c r="AB712"/>
      <x:c r="AC712"/>
      <x:c r="AD712"/>
    </x:row>
    <x:row r="713">
      <x:c r="A713" t="str">
        <x:v>PCC-PE-KG01-L22-20251022-AM-ORD-2025-00057-S03-C1</x:v>
      </x:c>
      <x:c r="B713" t="str">
        <x:v>PC-PE-KG01-L22-20251022-AM-ORD-2025-00057-S03</x:v>
      </x:c>
      <x:c r="C713" t="str">
        <x:v>PE-KG01-L22-20251022-AM-ORD-2025-00057</x:v>
      </x:c>
      <x:c r="D713" t="str">
        <x:v>KG01</x:v>
      </x:c>
      <x:c r="E713" s="62" t="n">
        <x:v>45952</x:v>
      </x:c>
      <x:c r="F713" t="str">
        <x:v>AM</x:v>
      </x:c>
      <x:c r="G713" t="str">
        <x:v>B</x:v>
      </x:c>
      <x:c r="H713" t="n">
        <x:v>22</x:v>
      </x:c>
      <x:c r="I713" t="str">
        <x:v>ORD-2025-00057</x:v>
      </x:c>
      <x:c r="J713" t="n">
        <x:v>3</x:v>
      </x:c>
      <x:c r="K713" t="n">
        <x:v>1</x:v>
      </x:c>
      <x:c r="L713" t="str">
        <x:v>L22-S03-C1</x:v>
      </x:c>
      <x:c r="M713" t="n">
        <x:v>1</x:v>
      </x:c>
      <x:c r="N713" t="str">
        <x:v>DerivedFromCount</x:v>
      </x:c>
      <x:c r="O713" t="str">
        <x:v>PLC-PRD-JAR-720-L22</x:v>
      </x:c>
      <x:c r="P713" t="str">
        <x:v>OK</x:v>
      </x:c>
      <x:c r="Q713" t="str">
        <x:v>OK</x:v>
      </x:c>
      <x:c r="R713" t="str">
        <x:v>OK</x:v>
      </x:c>
      <x:c r="S713" t="str">
        <x:v>OK</x:v>
      </x:c>
      <x:c r="T713" t="n">
        <x:v>20</x:v>
      </x:c>
      <x:c r="U713" t="str">
        <x:v>OK</x:v>
      </x:c>
      <x:c r="V713" t="str">
        <x:v>OK</x:v>
      </x:c>
      <x:c r="W713" t="str">
        <x:v>LOAD</x:v>
      </x:c>
      <x:c r="X713" t="str">
        <x:v>02_Supervisor_Log(4).xlsx</x:v>
      </x:c>
      <x:c r="Y713" t="str">
        <x:v>ENH-20260830-01</x:v>
      </x:c>
      <x:c r="Z713" t="str">
        <x:v>Active</x:v>
      </x:c>
      <x:c r="AA713"/>
      <x:c r="AB713"/>
      <x:c r="AC713"/>
      <x:c r="AD713"/>
    </x:row>
    <x:row r="714">
      <x:c r="A714" t="str">
        <x:v>PCC-PE-KG01-L22-20251022-AM-ORD-2025-00057-S03-C2</x:v>
      </x:c>
      <x:c r="B714" t="str">
        <x:v>PC-PE-KG01-L22-20251022-AM-ORD-2025-00057-S03</x:v>
      </x:c>
      <x:c r="C714" t="str">
        <x:v>PE-KG01-L22-20251022-AM-ORD-2025-00057</x:v>
      </x:c>
      <x:c r="D714" t="str">
        <x:v>KG01</x:v>
      </x:c>
      <x:c r="E714" s="62" t="n">
        <x:v>45952</x:v>
      </x:c>
      <x:c r="F714" t="str">
        <x:v>AM</x:v>
      </x:c>
      <x:c r="G714" t="str">
        <x:v>B</x:v>
      </x:c>
      <x:c r="H714" t="n">
        <x:v>22</x:v>
      </x:c>
      <x:c r="I714" t="str">
        <x:v>ORD-2025-00057</x:v>
      </x:c>
      <x:c r="J714" t="n">
        <x:v>3</x:v>
      </x:c>
      <x:c r="K714" t="n">
        <x:v>2</x:v>
      </x:c>
      <x:c r="L714" t="str">
        <x:v>L22-S03-C2</x:v>
      </x:c>
      <x:c r="M714" t="n">
        <x:v>1</x:v>
      </x:c>
      <x:c r="N714" t="str">
        <x:v>DerivedFromCount</x:v>
      </x:c>
      <x:c r="O714" t="str">
        <x:v>PLC-PRD-JAR-720-L22</x:v>
      </x:c>
      <x:c r="P714" t="str">
        <x:v>OK</x:v>
      </x:c>
      <x:c r="Q714" t="str">
        <x:v>OK</x:v>
      </x:c>
      <x:c r="R714" t="str">
        <x:v>OK</x:v>
      </x:c>
      <x:c r="S714" t="str">
        <x:v>OK</x:v>
      </x:c>
      <x:c r="T714" t="n">
        <x:v>20</x:v>
      </x:c>
      <x:c r="U714" t="str">
        <x:v>OK</x:v>
      </x:c>
      <x:c r="V714" t="str">
        <x:v>OK</x:v>
      </x:c>
      <x:c r="W714" t="str">
        <x:v>LOAD</x:v>
      </x:c>
      <x:c r="X714" t="str">
        <x:v>02_Supervisor_Log(4).xlsx</x:v>
      </x:c>
      <x:c r="Y714" t="str">
        <x:v>ENH-20260830-01</x:v>
      </x:c>
      <x:c r="Z714" t="str">
        <x:v>Active</x:v>
      </x:c>
      <x:c r="AA714"/>
      <x:c r="AB714"/>
      <x:c r="AC714"/>
      <x:c r="AD714"/>
    </x:row>
    <x:row r="715">
      <x:c r="A715" t="str">
        <x:v>PCC-PE-KG01-L22-20251022-AM-ORD-2025-00057-S03-C3</x:v>
      </x:c>
      <x:c r="B715" t="str">
        <x:v>PC-PE-KG01-L22-20251022-AM-ORD-2025-00057-S03</x:v>
      </x:c>
      <x:c r="C715" t="str">
        <x:v>PE-KG01-L22-20251022-AM-ORD-2025-00057</x:v>
      </x:c>
      <x:c r="D715" t="str">
        <x:v>KG01</x:v>
      </x:c>
      <x:c r="E715" s="62" t="n">
        <x:v>45952</x:v>
      </x:c>
      <x:c r="F715" t="str">
        <x:v>AM</x:v>
      </x:c>
      <x:c r="G715" t="str">
        <x:v>B</x:v>
      </x:c>
      <x:c r="H715" t="n">
        <x:v>22</x:v>
      </x:c>
      <x:c r="I715" t="str">
        <x:v>ORD-2025-00057</x:v>
      </x:c>
      <x:c r="J715" t="n">
        <x:v>3</x:v>
      </x:c>
      <x:c r="K715" t="n">
        <x:v>3</x:v>
      </x:c>
      <x:c r="L715" t="str">
        <x:v>L22-S03-C3</x:v>
      </x:c>
      <x:c r="M715" t="n">
        <x:v>0</x:v>
      </x:c>
      <x:c r="N715" t="str">
        <x:v>DerivedFromCount</x:v>
      </x:c>
      <x:c r="O715" t="str">
        <x:v>PLC-PRD-JAR-720-L22</x:v>
      </x:c>
      <x:c r="P715" t="str">
        <x:v>OK</x:v>
      </x:c>
      <x:c r="Q715" t="str">
        <x:v>OK</x:v>
      </x:c>
      <x:c r="R715" t="str">
        <x:v>OK</x:v>
      </x:c>
      <x:c r="S715" t="str">
        <x:v>OK</x:v>
      </x:c>
      <x:c r="T715" t="n">
        <x:v>20</x:v>
      </x:c>
      <x:c r="U715" t="str">
        <x:v>OK</x:v>
      </x:c>
      <x:c r="V715" t="str">
        <x:v>OK</x:v>
      </x:c>
      <x:c r="W715" t="str">
        <x:v>LOAD</x:v>
      </x:c>
      <x:c r="X715" t="str">
        <x:v>02_Supervisor_Log(4).xlsx</x:v>
      </x:c>
      <x:c r="Y715" t="str">
        <x:v>ENH-20260830-01</x:v>
      </x:c>
      <x:c r="Z715" t="str">
        <x:v>Active</x:v>
      </x:c>
      <x:c r="AA715"/>
      <x:c r="AB715"/>
      <x:c r="AC715"/>
      <x:c r="AD715"/>
    </x:row>
    <x:row r="716">
      <x:c r="A716" t="str">
        <x:v>PCC-PE-KG01-L22-20251022-AM-ORD-2025-00057-S04-C1</x:v>
      </x:c>
      <x:c r="B716" t="str">
        <x:v>PC-PE-KG01-L22-20251022-AM-ORD-2025-00057-S04</x:v>
      </x:c>
      <x:c r="C716" t="str">
        <x:v>PE-KG01-L22-20251022-AM-ORD-2025-00057</x:v>
      </x:c>
      <x:c r="D716" t="str">
        <x:v>KG01</x:v>
      </x:c>
      <x:c r="E716" s="62" t="n">
        <x:v>45952</x:v>
      </x:c>
      <x:c r="F716" t="str">
        <x:v>AM</x:v>
      </x:c>
      <x:c r="G716" t="str">
        <x:v>B</x:v>
      </x:c>
      <x:c r="H716" t="n">
        <x:v>22</x:v>
      </x:c>
      <x:c r="I716" t="str">
        <x:v>ORD-2025-00057</x:v>
      </x:c>
      <x:c r="J716" t="n">
        <x:v>4</x:v>
      </x:c>
      <x:c r="K716" t="n">
        <x:v>1</x:v>
      </x:c>
      <x:c r="L716" t="str">
        <x:v>L22-S04-C1</x:v>
      </x:c>
      <x:c r="M716" t="n">
        <x:v>1</x:v>
      </x:c>
      <x:c r="N716" t="str">
        <x:v>DerivedFromCount</x:v>
      </x:c>
      <x:c r="O716" t="str">
        <x:v>PLC-PRD-JAR-720-L22</x:v>
      </x:c>
      <x:c r="P716" t="str">
        <x:v>OK</x:v>
      </x:c>
      <x:c r="Q716" t="str">
        <x:v>OK</x:v>
      </x:c>
      <x:c r="R716" t="str">
        <x:v>OK</x:v>
      </x:c>
      <x:c r="S716" t="str">
        <x:v>OK</x:v>
      </x:c>
      <x:c r="T716" t="n">
        <x:v>20</x:v>
      </x:c>
      <x:c r="U716" t="str">
        <x:v>OK</x:v>
      </x:c>
      <x:c r="V716" t="str">
        <x:v>OK</x:v>
      </x:c>
      <x:c r="W716" t="str">
        <x:v>LOAD</x:v>
      </x:c>
      <x:c r="X716" t="str">
        <x:v>02_Supervisor_Log(4).xlsx</x:v>
      </x:c>
      <x:c r="Y716" t="str">
        <x:v>ENH-20260830-01</x:v>
      </x:c>
      <x:c r="Z716" t="str">
        <x:v>Active</x:v>
      </x:c>
      <x:c r="AA716"/>
      <x:c r="AB716"/>
      <x:c r="AC716"/>
      <x:c r="AD716"/>
    </x:row>
    <x:row r="717">
      <x:c r="A717" t="str">
        <x:v>PCC-PE-KG01-L22-20251022-AM-ORD-2025-00057-S04-C2</x:v>
      </x:c>
      <x:c r="B717" t="str">
        <x:v>PC-PE-KG01-L22-20251022-AM-ORD-2025-00057-S04</x:v>
      </x:c>
      <x:c r="C717" t="str">
        <x:v>PE-KG01-L22-20251022-AM-ORD-2025-00057</x:v>
      </x:c>
      <x:c r="D717" t="str">
        <x:v>KG01</x:v>
      </x:c>
      <x:c r="E717" s="62" t="n">
        <x:v>45952</x:v>
      </x:c>
      <x:c r="F717" t="str">
        <x:v>AM</x:v>
      </x:c>
      <x:c r="G717" t="str">
        <x:v>B</x:v>
      </x:c>
      <x:c r="H717" t="n">
        <x:v>22</x:v>
      </x:c>
      <x:c r="I717" t="str">
        <x:v>ORD-2025-00057</x:v>
      </x:c>
      <x:c r="J717" t="n">
        <x:v>4</x:v>
      </x:c>
      <x:c r="K717" t="n">
        <x:v>2</x:v>
      </x:c>
      <x:c r="L717" t="str">
        <x:v>L22-S04-C2</x:v>
      </x:c>
      <x:c r="M717" t="n">
        <x:v>1</x:v>
      </x:c>
      <x:c r="N717" t="str">
        <x:v>DerivedFromCount</x:v>
      </x:c>
      <x:c r="O717" t="str">
        <x:v>PLC-PRD-JAR-720-L22</x:v>
      </x:c>
      <x:c r="P717" t="str">
        <x:v>OK</x:v>
      </x:c>
      <x:c r="Q717" t="str">
        <x:v>OK</x:v>
      </x:c>
      <x:c r="R717" t="str">
        <x:v>OK</x:v>
      </x:c>
      <x:c r="S717" t="str">
        <x:v>OK</x:v>
      </x:c>
      <x:c r="T717" t="n">
        <x:v>20</x:v>
      </x:c>
      <x:c r="U717" t="str">
        <x:v>OK</x:v>
      </x:c>
      <x:c r="V717" t="str">
        <x:v>OK</x:v>
      </x:c>
      <x:c r="W717" t="str">
        <x:v>LOAD</x:v>
      </x:c>
      <x:c r="X717" t="str">
        <x:v>02_Supervisor_Log(4).xlsx</x:v>
      </x:c>
      <x:c r="Y717" t="str">
        <x:v>ENH-20260830-01</x:v>
      </x:c>
      <x:c r="Z717" t="str">
        <x:v>Active</x:v>
      </x:c>
      <x:c r="AA717"/>
      <x:c r="AB717"/>
      <x:c r="AC717"/>
      <x:c r="AD717"/>
    </x:row>
    <x:row r="718">
      <x:c r="A718" t="str">
        <x:v>PCC-PE-KG01-L22-20251022-AM-ORD-2025-00057-S04-C3</x:v>
      </x:c>
      <x:c r="B718" t="str">
        <x:v>PC-PE-KG01-L22-20251022-AM-ORD-2025-00057-S04</x:v>
      </x:c>
      <x:c r="C718" t="str">
        <x:v>PE-KG01-L22-20251022-AM-ORD-2025-00057</x:v>
      </x:c>
      <x:c r="D718" t="str">
        <x:v>KG01</x:v>
      </x:c>
      <x:c r="E718" s="62" t="n">
        <x:v>45952</x:v>
      </x:c>
      <x:c r="F718" t="str">
        <x:v>AM</x:v>
      </x:c>
      <x:c r="G718" t="str">
        <x:v>B</x:v>
      </x:c>
      <x:c r="H718" t="n">
        <x:v>22</x:v>
      </x:c>
      <x:c r="I718" t="str">
        <x:v>ORD-2025-00057</x:v>
      </x:c>
      <x:c r="J718" t="n">
        <x:v>4</x:v>
      </x:c>
      <x:c r="K718" t="n">
        <x:v>3</x:v>
      </x:c>
      <x:c r="L718" t="str">
        <x:v>L22-S04-C3</x:v>
      </x:c>
      <x:c r="M718" t="n">
        <x:v>0</x:v>
      </x:c>
      <x:c r="N718" t="str">
        <x:v>DerivedFromCount</x:v>
      </x:c>
      <x:c r="O718" t="str">
        <x:v>PLC-PRD-JAR-720-L22</x:v>
      </x:c>
      <x:c r="P718" t="str">
        <x:v>OK</x:v>
      </x:c>
      <x:c r="Q718" t="str">
        <x:v>OK</x:v>
      </x:c>
      <x:c r="R718" t="str">
        <x:v>OK</x:v>
      </x:c>
      <x:c r="S718" t="str">
        <x:v>OK</x:v>
      </x:c>
      <x:c r="T718" t="n">
        <x:v>20</x:v>
      </x:c>
      <x:c r="U718" t="str">
        <x:v>OK</x:v>
      </x:c>
      <x:c r="V718" t="str">
        <x:v>OK</x:v>
      </x:c>
      <x:c r="W718" t="str">
        <x:v>LOAD</x:v>
      </x:c>
      <x:c r="X718" t="str">
        <x:v>02_Supervisor_Log(4).xlsx</x:v>
      </x:c>
      <x:c r="Y718" t="str">
        <x:v>ENH-20260830-01</x:v>
      </x:c>
      <x:c r="Z718" t="str">
        <x:v>Active</x:v>
      </x:c>
      <x:c r="AA718"/>
      <x:c r="AB718"/>
      <x:c r="AC718"/>
      <x:c r="AD718"/>
    </x:row>
    <x:row r="719">
      <x:c r="A719" t="str">
        <x:v>PCC-PE-KG01-L22-20251022-AM-ORD-2025-00057-S05-C1</x:v>
      </x:c>
      <x:c r="B719" t="str">
        <x:v>PC-PE-KG01-L22-20251022-AM-ORD-2025-00057-S05</x:v>
      </x:c>
      <x:c r="C719" t="str">
        <x:v>PE-KG01-L22-20251022-AM-ORD-2025-00057</x:v>
      </x:c>
      <x:c r="D719" t="str">
        <x:v>KG01</x:v>
      </x:c>
      <x:c r="E719" s="62" t="n">
        <x:v>45952</x:v>
      </x:c>
      <x:c r="F719" t="str">
        <x:v>AM</x:v>
      </x:c>
      <x:c r="G719" t="str">
        <x:v>B</x:v>
      </x:c>
      <x:c r="H719" t="n">
        <x:v>22</x:v>
      </x:c>
      <x:c r="I719" t="str">
        <x:v>ORD-2025-00057</x:v>
      </x:c>
      <x:c r="J719" t="n">
        <x:v>5</x:v>
      </x:c>
      <x:c r="K719" t="n">
        <x:v>1</x:v>
      </x:c>
      <x:c r="L719" t="str">
        <x:v>L22-S05-C1</x:v>
      </x:c>
      <x:c r="M719" t="n">
        <x:v>1</x:v>
      </x:c>
      <x:c r="N719" t="str">
        <x:v>DerivedFromCount</x:v>
      </x:c>
      <x:c r="O719" t="str">
        <x:v>PLC-PRD-JAR-720-L22</x:v>
      </x:c>
      <x:c r="P719" t="str">
        <x:v>OK</x:v>
      </x:c>
      <x:c r="Q719" t="str">
        <x:v>OK</x:v>
      </x:c>
      <x:c r="R719" t="str">
        <x:v>OK</x:v>
      </x:c>
      <x:c r="S719" t="str">
        <x:v>OK</x:v>
      </x:c>
      <x:c r="T719" t="n">
        <x:v>20</x:v>
      </x:c>
      <x:c r="U719" t="str">
        <x:v>OK</x:v>
      </x:c>
      <x:c r="V719" t="str">
        <x:v>OK</x:v>
      </x:c>
      <x:c r="W719" t="str">
        <x:v>LOAD</x:v>
      </x:c>
      <x:c r="X719" t="str">
        <x:v>02_Supervisor_Log(4).xlsx</x:v>
      </x:c>
      <x:c r="Y719" t="str">
        <x:v>ENH-20260830-01</x:v>
      </x:c>
      <x:c r="Z719" t="str">
        <x:v>Active</x:v>
      </x:c>
      <x:c r="AA719"/>
      <x:c r="AB719"/>
      <x:c r="AC719"/>
      <x:c r="AD719"/>
    </x:row>
    <x:row r="720">
      <x:c r="A720" t="str">
        <x:v>PCC-PE-KG01-L22-20251022-AM-ORD-2025-00057-S05-C2</x:v>
      </x:c>
      <x:c r="B720" t="str">
        <x:v>PC-PE-KG01-L22-20251022-AM-ORD-2025-00057-S05</x:v>
      </x:c>
      <x:c r="C720" t="str">
        <x:v>PE-KG01-L22-20251022-AM-ORD-2025-00057</x:v>
      </x:c>
      <x:c r="D720" t="str">
        <x:v>KG01</x:v>
      </x:c>
      <x:c r="E720" s="62" t="n">
        <x:v>45952</x:v>
      </x:c>
      <x:c r="F720" t="str">
        <x:v>AM</x:v>
      </x:c>
      <x:c r="G720" t="str">
        <x:v>B</x:v>
      </x:c>
      <x:c r="H720" t="n">
        <x:v>22</x:v>
      </x:c>
      <x:c r="I720" t="str">
        <x:v>ORD-2025-00057</x:v>
      </x:c>
      <x:c r="J720" t="n">
        <x:v>5</x:v>
      </x:c>
      <x:c r="K720" t="n">
        <x:v>2</x:v>
      </x:c>
      <x:c r="L720" t="str">
        <x:v>L22-S05-C2</x:v>
      </x:c>
      <x:c r="M720" t="n">
        <x:v>1</x:v>
      </x:c>
      <x:c r="N720" t="str">
        <x:v>DerivedFromCount</x:v>
      </x:c>
      <x:c r="O720" t="str">
        <x:v>PLC-PRD-JAR-720-L22</x:v>
      </x:c>
      <x:c r="P720" t="str">
        <x:v>OK</x:v>
      </x:c>
      <x:c r="Q720" t="str">
        <x:v>OK</x:v>
      </x:c>
      <x:c r="R720" t="str">
        <x:v>OK</x:v>
      </x:c>
      <x:c r="S720" t="str">
        <x:v>OK</x:v>
      </x:c>
      <x:c r="T720" t="n">
        <x:v>20</x:v>
      </x:c>
      <x:c r="U720" t="str">
        <x:v>OK</x:v>
      </x:c>
      <x:c r="V720" t="str">
        <x:v>OK</x:v>
      </x:c>
      <x:c r="W720" t="str">
        <x:v>LOAD</x:v>
      </x:c>
      <x:c r="X720" t="str">
        <x:v>02_Supervisor_Log(4).xlsx</x:v>
      </x:c>
      <x:c r="Y720" t="str">
        <x:v>ENH-20260830-01</x:v>
      </x:c>
      <x:c r="Z720" t="str">
        <x:v>Active</x:v>
      </x:c>
      <x:c r="AA720"/>
      <x:c r="AB720"/>
      <x:c r="AC720"/>
      <x:c r="AD720"/>
    </x:row>
    <x:row r="721">
      <x:c r="A721" t="str">
        <x:v>PCC-PE-KG01-L22-20251022-AM-ORD-2025-00057-S05-C3</x:v>
      </x:c>
      <x:c r="B721" t="str">
        <x:v>PC-PE-KG01-L22-20251022-AM-ORD-2025-00057-S05</x:v>
      </x:c>
      <x:c r="C721" t="str">
        <x:v>PE-KG01-L22-20251022-AM-ORD-2025-00057</x:v>
      </x:c>
      <x:c r="D721" t="str">
        <x:v>KG01</x:v>
      </x:c>
      <x:c r="E721" s="62" t="n">
        <x:v>45952</x:v>
      </x:c>
      <x:c r="F721" t="str">
        <x:v>AM</x:v>
      </x:c>
      <x:c r="G721" t="str">
        <x:v>B</x:v>
      </x:c>
      <x:c r="H721" t="n">
        <x:v>22</x:v>
      </x:c>
      <x:c r="I721" t="str">
        <x:v>ORD-2025-00057</x:v>
      </x:c>
      <x:c r="J721" t="n">
        <x:v>5</x:v>
      </x:c>
      <x:c r="K721" t="n">
        <x:v>3</x:v>
      </x:c>
      <x:c r="L721" t="str">
        <x:v>L22-S05-C3</x:v>
      </x:c>
      <x:c r="M721" t="n">
        <x:v>0</x:v>
      </x:c>
      <x:c r="N721" t="str">
        <x:v>DerivedFromCount</x:v>
      </x:c>
      <x:c r="O721" t="str">
        <x:v>PLC-PRD-JAR-720-L22</x:v>
      </x:c>
      <x:c r="P721" t="str">
        <x:v>OK</x:v>
      </x:c>
      <x:c r="Q721" t="str">
        <x:v>OK</x:v>
      </x:c>
      <x:c r="R721" t="str">
        <x:v>OK</x:v>
      </x:c>
      <x:c r="S721" t="str">
        <x:v>OK</x:v>
      </x:c>
      <x:c r="T721" t="n">
        <x:v>20</x:v>
      </x:c>
      <x:c r="U721" t="str">
        <x:v>OK</x:v>
      </x:c>
      <x:c r="V721" t="str">
        <x:v>OK</x:v>
      </x:c>
      <x:c r="W721" t="str">
        <x:v>LOAD</x:v>
      </x:c>
      <x:c r="X721" t="str">
        <x:v>02_Supervisor_Log(4).xlsx</x:v>
      </x:c>
      <x:c r="Y721" t="str">
        <x:v>ENH-20260830-01</x:v>
      </x:c>
      <x:c r="Z721" t="str">
        <x:v>Active</x:v>
      </x:c>
      <x:c r="AA721"/>
      <x:c r="AB721"/>
      <x:c r="AC721"/>
      <x:c r="AD721"/>
    </x:row>
    <x:row r="722">
      <x:c r="A722" t="str">
        <x:v>PCC-PE-KG01-L22-20251022-AM-ORD-2025-00057-S06-C1</x:v>
      </x:c>
      <x:c r="B722" t="str">
        <x:v>PC-PE-KG01-L22-20251022-AM-ORD-2025-00057-S06</x:v>
      </x:c>
      <x:c r="C722" t="str">
        <x:v>PE-KG01-L22-20251022-AM-ORD-2025-00057</x:v>
      </x:c>
      <x:c r="D722" t="str">
        <x:v>KG01</x:v>
      </x:c>
      <x:c r="E722" s="62" t="n">
        <x:v>45952</x:v>
      </x:c>
      <x:c r="F722" t="str">
        <x:v>AM</x:v>
      </x:c>
      <x:c r="G722" t="str">
        <x:v>B</x:v>
      </x:c>
      <x:c r="H722" t="n">
        <x:v>22</x:v>
      </x:c>
      <x:c r="I722" t="str">
        <x:v>ORD-2025-00057</x:v>
      </x:c>
      <x:c r="J722" t="n">
        <x:v>6</x:v>
      </x:c>
      <x:c r="K722" t="n">
        <x:v>1</x:v>
      </x:c>
      <x:c r="L722" t="str">
        <x:v>L22-S06-C1</x:v>
      </x:c>
      <x:c r="M722" t="n">
        <x:v>1</x:v>
      </x:c>
      <x:c r="N722" t="str">
        <x:v>DerivedFromCount</x:v>
      </x:c>
      <x:c r="O722" t="str">
        <x:v>PLC-PRD-JAR-720-L22</x:v>
      </x:c>
      <x:c r="P722" t="str">
        <x:v>OK</x:v>
      </x:c>
      <x:c r="Q722" t="str">
        <x:v>OK</x:v>
      </x:c>
      <x:c r="R722" t="str">
        <x:v>OK</x:v>
      </x:c>
      <x:c r="S722" t="str">
        <x:v>OK</x:v>
      </x:c>
      <x:c r="T722" t="n">
        <x:v>20</x:v>
      </x:c>
      <x:c r="U722" t="str">
        <x:v>OK</x:v>
      </x:c>
      <x:c r="V722" t="str">
        <x:v>OK</x:v>
      </x:c>
      <x:c r="W722" t="str">
        <x:v>LOAD</x:v>
      </x:c>
      <x:c r="X722" t="str">
        <x:v>02_Supervisor_Log(4).xlsx</x:v>
      </x:c>
      <x:c r="Y722" t="str">
        <x:v>ENH-20260830-01</x:v>
      </x:c>
      <x:c r="Z722" t="str">
        <x:v>Active</x:v>
      </x:c>
      <x:c r="AA722"/>
      <x:c r="AB722"/>
      <x:c r="AC722"/>
      <x:c r="AD722"/>
    </x:row>
    <x:row r="723">
      <x:c r="A723" t="str">
        <x:v>PCC-PE-KG01-L22-20251022-AM-ORD-2025-00057-S06-C2</x:v>
      </x:c>
      <x:c r="B723" t="str">
        <x:v>PC-PE-KG01-L22-20251022-AM-ORD-2025-00057-S06</x:v>
      </x:c>
      <x:c r="C723" t="str">
        <x:v>PE-KG01-L22-20251022-AM-ORD-2025-00057</x:v>
      </x:c>
      <x:c r="D723" t="str">
        <x:v>KG01</x:v>
      </x:c>
      <x:c r="E723" s="62" t="n">
        <x:v>45952</x:v>
      </x:c>
      <x:c r="F723" t="str">
        <x:v>AM</x:v>
      </x:c>
      <x:c r="G723" t="str">
        <x:v>B</x:v>
      </x:c>
      <x:c r="H723" t="n">
        <x:v>22</x:v>
      </x:c>
      <x:c r="I723" t="str">
        <x:v>ORD-2025-00057</x:v>
      </x:c>
      <x:c r="J723" t="n">
        <x:v>6</x:v>
      </x:c>
      <x:c r="K723" t="n">
        <x:v>2</x:v>
      </x:c>
      <x:c r="L723" t="str">
        <x:v>L22-S06-C2</x:v>
      </x:c>
      <x:c r="M723" t="n">
        <x:v>1</x:v>
      </x:c>
      <x:c r="N723" t="str">
        <x:v>DerivedFromCount</x:v>
      </x:c>
      <x:c r="O723" t="str">
        <x:v>PLC-PRD-JAR-720-L22</x:v>
      </x:c>
      <x:c r="P723" t="str">
        <x:v>OK</x:v>
      </x:c>
      <x:c r="Q723" t="str">
        <x:v>OK</x:v>
      </x:c>
      <x:c r="R723" t="str">
        <x:v>OK</x:v>
      </x:c>
      <x:c r="S723" t="str">
        <x:v>OK</x:v>
      </x:c>
      <x:c r="T723" t="n">
        <x:v>20</x:v>
      </x:c>
      <x:c r="U723" t="str">
        <x:v>OK</x:v>
      </x:c>
      <x:c r="V723" t="str">
        <x:v>OK</x:v>
      </x:c>
      <x:c r="W723" t="str">
        <x:v>LOAD</x:v>
      </x:c>
      <x:c r="X723" t="str">
        <x:v>02_Supervisor_Log(4).xlsx</x:v>
      </x:c>
      <x:c r="Y723" t="str">
        <x:v>ENH-20260830-01</x:v>
      </x:c>
      <x:c r="Z723" t="str">
        <x:v>Active</x:v>
      </x:c>
      <x:c r="AA723"/>
      <x:c r="AB723"/>
      <x:c r="AC723"/>
      <x:c r="AD723"/>
    </x:row>
    <x:row r="724">
      <x:c r="A724" t="str">
        <x:v>PCC-PE-KG01-L22-20251022-AM-ORD-2025-00057-S06-C3</x:v>
      </x:c>
      <x:c r="B724" t="str">
        <x:v>PC-PE-KG01-L22-20251022-AM-ORD-2025-00057-S06</x:v>
      </x:c>
      <x:c r="C724" t="str">
        <x:v>PE-KG01-L22-20251022-AM-ORD-2025-00057</x:v>
      </x:c>
      <x:c r="D724" t="str">
        <x:v>KG01</x:v>
      </x:c>
      <x:c r="E724" s="62" t="n">
        <x:v>45952</x:v>
      </x:c>
      <x:c r="F724" t="str">
        <x:v>AM</x:v>
      </x:c>
      <x:c r="G724" t="str">
        <x:v>B</x:v>
      </x:c>
      <x:c r="H724" t="n">
        <x:v>22</x:v>
      </x:c>
      <x:c r="I724" t="str">
        <x:v>ORD-2025-00057</x:v>
      </x:c>
      <x:c r="J724" t="n">
        <x:v>6</x:v>
      </x:c>
      <x:c r="K724" t="n">
        <x:v>3</x:v>
      </x:c>
      <x:c r="L724" t="str">
        <x:v>L22-S06-C3</x:v>
      </x:c>
      <x:c r="M724" t="n">
        <x:v>0</x:v>
      </x:c>
      <x:c r="N724" t="str">
        <x:v>DerivedFromCount</x:v>
      </x:c>
      <x:c r="O724" t="str">
        <x:v>PLC-PRD-JAR-720-L22</x:v>
      </x:c>
      <x:c r="P724" t="str">
        <x:v>OK</x:v>
      </x:c>
      <x:c r="Q724" t="str">
        <x:v>OK</x:v>
      </x:c>
      <x:c r="R724" t="str">
        <x:v>OK</x:v>
      </x:c>
      <x:c r="S724" t="str">
        <x:v>OK</x:v>
      </x:c>
      <x:c r="T724" t="n">
        <x:v>20</x:v>
      </x:c>
      <x:c r="U724" t="str">
        <x:v>OK</x:v>
      </x:c>
      <x:c r="V724" t="str">
        <x:v>OK</x:v>
      </x:c>
      <x:c r="W724" t="str">
        <x:v>LOAD</x:v>
      </x:c>
      <x:c r="X724" t="str">
        <x:v>02_Supervisor_Log(4).xlsx</x:v>
      </x:c>
      <x:c r="Y724" t="str">
        <x:v>ENH-20260830-01</x:v>
      </x:c>
      <x:c r="Z724" t="str">
        <x:v>Active</x:v>
      </x:c>
      <x:c r="AA724"/>
      <x:c r="AB724"/>
      <x:c r="AC724"/>
      <x:c r="AD724"/>
    </x:row>
    <x:row r="725">
      <x:c r="A725" t="str">
        <x:v>PCC-PE-KG01-L22-20251022-AM-ORD-2025-00057-S07-C1</x:v>
      </x:c>
      <x:c r="B725" t="str">
        <x:v>PC-PE-KG01-L22-20251022-AM-ORD-2025-00057-S07</x:v>
      </x:c>
      <x:c r="C725" t="str">
        <x:v>PE-KG01-L22-20251022-AM-ORD-2025-00057</x:v>
      </x:c>
      <x:c r="D725" t="str">
        <x:v>KG01</x:v>
      </x:c>
      <x:c r="E725" s="62" t="n">
        <x:v>45952</x:v>
      </x:c>
      <x:c r="F725" t="str">
        <x:v>AM</x:v>
      </x:c>
      <x:c r="G725" t="str">
        <x:v>B</x:v>
      </x:c>
      <x:c r="H725" t="n">
        <x:v>22</x:v>
      </x:c>
      <x:c r="I725" t="str">
        <x:v>ORD-2025-00057</x:v>
      </x:c>
      <x:c r="J725" t="n">
        <x:v>7</x:v>
      </x:c>
      <x:c r="K725" t="n">
        <x:v>1</x:v>
      </x:c>
      <x:c r="L725" t="str">
        <x:v>L22-S07-C1</x:v>
      </x:c>
      <x:c r="M725" t="n">
        <x:v>1</x:v>
      </x:c>
      <x:c r="N725" t="str">
        <x:v>DerivedFromCount</x:v>
      </x:c>
      <x:c r="O725" t="str">
        <x:v>PLC-PRD-JAR-720-L22</x:v>
      </x:c>
      <x:c r="P725" t="str">
        <x:v>OK</x:v>
      </x:c>
      <x:c r="Q725" t="str">
        <x:v>OK</x:v>
      </x:c>
      <x:c r="R725" t="str">
        <x:v>OK</x:v>
      </x:c>
      <x:c r="S725" t="str">
        <x:v>OK</x:v>
      </x:c>
      <x:c r="T725" t="n">
        <x:v>20</x:v>
      </x:c>
      <x:c r="U725" t="str">
        <x:v>OK</x:v>
      </x:c>
      <x:c r="V725" t="str">
        <x:v>OK</x:v>
      </x:c>
      <x:c r="W725" t="str">
        <x:v>LOAD</x:v>
      </x:c>
      <x:c r="X725" t="str">
        <x:v>02_Supervisor_Log(4).xlsx</x:v>
      </x:c>
      <x:c r="Y725" t="str">
        <x:v>ENH-20260830-01</x:v>
      </x:c>
      <x:c r="Z725" t="str">
        <x:v>Active</x:v>
      </x:c>
      <x:c r="AA725"/>
      <x:c r="AB725"/>
      <x:c r="AC725"/>
      <x:c r="AD725"/>
    </x:row>
    <x:row r="726">
      <x:c r="A726" t="str">
        <x:v>PCC-PE-KG01-L22-20251022-AM-ORD-2025-00057-S07-C2</x:v>
      </x:c>
      <x:c r="B726" t="str">
        <x:v>PC-PE-KG01-L22-20251022-AM-ORD-2025-00057-S07</x:v>
      </x:c>
      <x:c r="C726" t="str">
        <x:v>PE-KG01-L22-20251022-AM-ORD-2025-00057</x:v>
      </x:c>
      <x:c r="D726" t="str">
        <x:v>KG01</x:v>
      </x:c>
      <x:c r="E726" s="62" t="n">
        <x:v>45952</x:v>
      </x:c>
      <x:c r="F726" t="str">
        <x:v>AM</x:v>
      </x:c>
      <x:c r="G726" t="str">
        <x:v>B</x:v>
      </x:c>
      <x:c r="H726" t="n">
        <x:v>22</x:v>
      </x:c>
      <x:c r="I726" t="str">
        <x:v>ORD-2025-00057</x:v>
      </x:c>
      <x:c r="J726" t="n">
        <x:v>7</x:v>
      </x:c>
      <x:c r="K726" t="n">
        <x:v>2</x:v>
      </x:c>
      <x:c r="L726" t="str">
        <x:v>L22-S07-C2</x:v>
      </x:c>
      <x:c r="M726" t="n">
        <x:v>1</x:v>
      </x:c>
      <x:c r="N726" t="str">
        <x:v>DerivedFromCount</x:v>
      </x:c>
      <x:c r="O726" t="str">
        <x:v>PLC-PRD-JAR-720-L22</x:v>
      </x:c>
      <x:c r="P726" t="str">
        <x:v>OK</x:v>
      </x:c>
      <x:c r="Q726" t="str">
        <x:v>OK</x:v>
      </x:c>
      <x:c r="R726" t="str">
        <x:v>OK</x:v>
      </x:c>
      <x:c r="S726" t="str">
        <x:v>OK</x:v>
      </x:c>
      <x:c r="T726" t="n">
        <x:v>20</x:v>
      </x:c>
      <x:c r="U726" t="str">
        <x:v>OK</x:v>
      </x:c>
      <x:c r="V726" t="str">
        <x:v>OK</x:v>
      </x:c>
      <x:c r="W726" t="str">
        <x:v>LOAD</x:v>
      </x:c>
      <x:c r="X726" t="str">
        <x:v>02_Supervisor_Log(4).xlsx</x:v>
      </x:c>
      <x:c r="Y726" t="str">
        <x:v>ENH-20260830-01</x:v>
      </x:c>
      <x:c r="Z726" t="str">
        <x:v>Active</x:v>
      </x:c>
      <x:c r="AA726"/>
      <x:c r="AB726"/>
      <x:c r="AC726"/>
      <x:c r="AD726"/>
    </x:row>
    <x:row r="727">
      <x:c r="A727" t="str">
        <x:v>PCC-PE-KG01-L22-20251022-AM-ORD-2025-00057-S07-C3</x:v>
      </x:c>
      <x:c r="B727" t="str">
        <x:v>PC-PE-KG01-L22-20251022-AM-ORD-2025-00057-S07</x:v>
      </x:c>
      <x:c r="C727" t="str">
        <x:v>PE-KG01-L22-20251022-AM-ORD-2025-00057</x:v>
      </x:c>
      <x:c r="D727" t="str">
        <x:v>KG01</x:v>
      </x:c>
      <x:c r="E727" s="62" t="n">
        <x:v>45952</x:v>
      </x:c>
      <x:c r="F727" t="str">
        <x:v>AM</x:v>
      </x:c>
      <x:c r="G727" t="str">
        <x:v>B</x:v>
      </x:c>
      <x:c r="H727" t="n">
        <x:v>22</x:v>
      </x:c>
      <x:c r="I727" t="str">
        <x:v>ORD-2025-00057</x:v>
      </x:c>
      <x:c r="J727" t="n">
        <x:v>7</x:v>
      </x:c>
      <x:c r="K727" t="n">
        <x:v>3</x:v>
      </x:c>
      <x:c r="L727" t="str">
        <x:v>L22-S07-C3</x:v>
      </x:c>
      <x:c r="M727" t="n">
        <x:v>0</x:v>
      </x:c>
      <x:c r="N727" t="str">
        <x:v>DerivedFromCount</x:v>
      </x:c>
      <x:c r="O727" t="str">
        <x:v>PLC-PRD-JAR-720-L22</x:v>
      </x:c>
      <x:c r="P727" t="str">
        <x:v>OK</x:v>
      </x:c>
      <x:c r="Q727" t="str">
        <x:v>OK</x:v>
      </x:c>
      <x:c r="R727" t="str">
        <x:v>OK</x:v>
      </x:c>
      <x:c r="S727" t="str">
        <x:v>OK</x:v>
      </x:c>
      <x:c r="T727" t="n">
        <x:v>20</x:v>
      </x:c>
      <x:c r="U727" t="str">
        <x:v>OK</x:v>
      </x:c>
      <x:c r="V727" t="str">
        <x:v>OK</x:v>
      </x:c>
      <x:c r="W727" t="str">
        <x:v>LOAD</x:v>
      </x:c>
      <x:c r="X727" t="str">
        <x:v>02_Supervisor_Log(4).xlsx</x:v>
      </x:c>
      <x:c r="Y727" t="str">
        <x:v>ENH-20260830-01</x:v>
      </x:c>
      <x:c r="Z727" t="str">
        <x:v>Active</x:v>
      </x:c>
      <x:c r="AA727"/>
      <x:c r="AB727"/>
      <x:c r="AC727"/>
      <x:c r="AD727"/>
    </x:row>
    <x:row r="728">
      <x:c r="A728" t="str">
        <x:v>PCC-PE-KG01-L22-20251022-AM-ORD-2025-00057-S08-C1</x:v>
      </x:c>
      <x:c r="B728" t="str">
        <x:v>PC-PE-KG01-L22-20251022-AM-ORD-2025-00057-S08</x:v>
      </x:c>
      <x:c r="C728" t="str">
        <x:v>PE-KG01-L22-20251022-AM-ORD-2025-00057</x:v>
      </x:c>
      <x:c r="D728" t="str">
        <x:v>KG01</x:v>
      </x:c>
      <x:c r="E728" s="62" t="n">
        <x:v>45952</x:v>
      </x:c>
      <x:c r="F728" t="str">
        <x:v>AM</x:v>
      </x:c>
      <x:c r="G728" t="str">
        <x:v>B</x:v>
      </x:c>
      <x:c r="H728" t="n">
        <x:v>22</x:v>
      </x:c>
      <x:c r="I728" t="str">
        <x:v>ORD-2025-00057</x:v>
      </x:c>
      <x:c r="J728" t="n">
        <x:v>8</x:v>
      </x:c>
      <x:c r="K728" t="n">
        <x:v>1</x:v>
      </x:c>
      <x:c r="L728" t="str">
        <x:v>L22-S08-C1</x:v>
      </x:c>
      <x:c r="M728" t="n">
        <x:v>1</x:v>
      </x:c>
      <x:c r="N728" t="str">
        <x:v>DerivedFromCount</x:v>
      </x:c>
      <x:c r="O728" t="str">
        <x:v>PLC-PRD-JAR-720-L22</x:v>
      </x:c>
      <x:c r="P728" t="str">
        <x:v>OK</x:v>
      </x:c>
      <x:c r="Q728" t="str">
        <x:v>OK</x:v>
      </x:c>
      <x:c r="R728" t="str">
        <x:v>OK</x:v>
      </x:c>
      <x:c r="S728" t="str">
        <x:v>OK</x:v>
      </x:c>
      <x:c r="T728" t="n">
        <x:v>20</x:v>
      </x:c>
      <x:c r="U728" t="str">
        <x:v>OK</x:v>
      </x:c>
      <x:c r="V728" t="str">
        <x:v>OK</x:v>
      </x:c>
      <x:c r="W728" t="str">
        <x:v>LOAD</x:v>
      </x:c>
      <x:c r="X728" t="str">
        <x:v>02_Supervisor_Log(4).xlsx</x:v>
      </x:c>
      <x:c r="Y728" t="str">
        <x:v>ENH-20260830-01</x:v>
      </x:c>
      <x:c r="Z728" t="str">
        <x:v>Active</x:v>
      </x:c>
      <x:c r="AA728"/>
      <x:c r="AB728"/>
      <x:c r="AC728"/>
      <x:c r="AD728"/>
    </x:row>
    <x:row r="729">
      <x:c r="A729" t="str">
        <x:v>PCC-PE-KG01-L22-20251022-AM-ORD-2025-00057-S08-C2</x:v>
      </x:c>
      <x:c r="B729" t="str">
        <x:v>PC-PE-KG01-L22-20251022-AM-ORD-2025-00057-S08</x:v>
      </x:c>
      <x:c r="C729" t="str">
        <x:v>PE-KG01-L22-20251022-AM-ORD-2025-00057</x:v>
      </x:c>
      <x:c r="D729" t="str">
        <x:v>KG01</x:v>
      </x:c>
      <x:c r="E729" s="62" t="n">
        <x:v>45952</x:v>
      </x:c>
      <x:c r="F729" t="str">
        <x:v>AM</x:v>
      </x:c>
      <x:c r="G729" t="str">
        <x:v>B</x:v>
      </x:c>
      <x:c r="H729" t="n">
        <x:v>22</x:v>
      </x:c>
      <x:c r="I729" t="str">
        <x:v>ORD-2025-00057</x:v>
      </x:c>
      <x:c r="J729" t="n">
        <x:v>8</x:v>
      </x:c>
      <x:c r="K729" t="n">
        <x:v>2</x:v>
      </x:c>
      <x:c r="L729" t="str">
        <x:v>L22-S08-C2</x:v>
      </x:c>
      <x:c r="M729" t="n">
        <x:v>1</x:v>
      </x:c>
      <x:c r="N729" t="str">
        <x:v>DerivedFromCount</x:v>
      </x:c>
      <x:c r="O729" t="str">
        <x:v>PLC-PRD-JAR-720-L22</x:v>
      </x:c>
      <x:c r="P729" t="str">
        <x:v>OK</x:v>
      </x:c>
      <x:c r="Q729" t="str">
        <x:v>OK</x:v>
      </x:c>
      <x:c r="R729" t="str">
        <x:v>OK</x:v>
      </x:c>
      <x:c r="S729" t="str">
        <x:v>OK</x:v>
      </x:c>
      <x:c r="T729" t="n">
        <x:v>20</x:v>
      </x:c>
      <x:c r="U729" t="str">
        <x:v>OK</x:v>
      </x:c>
      <x:c r="V729" t="str">
        <x:v>OK</x:v>
      </x:c>
      <x:c r="W729" t="str">
        <x:v>LOAD</x:v>
      </x:c>
      <x:c r="X729" t="str">
        <x:v>02_Supervisor_Log(4).xlsx</x:v>
      </x:c>
      <x:c r="Y729" t="str">
        <x:v>ENH-20260830-01</x:v>
      </x:c>
      <x:c r="Z729" t="str">
        <x:v>Active</x:v>
      </x:c>
      <x:c r="AA729"/>
      <x:c r="AB729"/>
      <x:c r="AC729"/>
      <x:c r="AD729"/>
    </x:row>
    <x:row r="730">
      <x:c r="A730" t="str">
        <x:v>PCC-PE-KG01-L22-20251022-AM-ORD-2025-00057-S08-C3</x:v>
      </x:c>
      <x:c r="B730" t="str">
        <x:v>PC-PE-KG01-L22-20251022-AM-ORD-2025-00057-S08</x:v>
      </x:c>
      <x:c r="C730" t="str">
        <x:v>PE-KG01-L22-20251022-AM-ORD-2025-00057</x:v>
      </x:c>
      <x:c r="D730" t="str">
        <x:v>KG01</x:v>
      </x:c>
      <x:c r="E730" s="62" t="n">
        <x:v>45952</x:v>
      </x:c>
      <x:c r="F730" t="str">
        <x:v>AM</x:v>
      </x:c>
      <x:c r="G730" t="str">
        <x:v>B</x:v>
      </x:c>
      <x:c r="H730" t="n">
        <x:v>22</x:v>
      </x:c>
      <x:c r="I730" t="str">
        <x:v>ORD-2025-00057</x:v>
      </x:c>
      <x:c r="J730" t="n">
        <x:v>8</x:v>
      </x:c>
      <x:c r="K730" t="n">
        <x:v>3</x:v>
      </x:c>
      <x:c r="L730" t="str">
        <x:v>L22-S08-C3</x:v>
      </x:c>
      <x:c r="M730" t="n">
        <x:v>0</x:v>
      </x:c>
      <x:c r="N730" t="str">
        <x:v>DerivedFromCount</x:v>
      </x:c>
      <x:c r="O730" t="str">
        <x:v>PLC-PRD-JAR-720-L22</x:v>
      </x:c>
      <x:c r="P730" t="str">
        <x:v>OK</x:v>
      </x:c>
      <x:c r="Q730" t="str">
        <x:v>OK</x:v>
      </x:c>
      <x:c r="R730" t="str">
        <x:v>OK</x:v>
      </x:c>
      <x:c r="S730" t="str">
        <x:v>OK</x:v>
      </x:c>
      <x:c r="T730" t="n">
        <x:v>20</x:v>
      </x:c>
      <x:c r="U730" t="str">
        <x:v>OK</x:v>
      </x:c>
      <x:c r="V730" t="str">
        <x:v>OK</x:v>
      </x:c>
      <x:c r="W730" t="str">
        <x:v>LOAD</x:v>
      </x:c>
      <x:c r="X730" t="str">
        <x:v>02_Supervisor_Log(4).xlsx</x:v>
      </x:c>
      <x:c r="Y730" t="str">
        <x:v>ENH-20260830-01</x:v>
      </x:c>
      <x:c r="Z730" t="str">
        <x:v>Active</x:v>
      </x:c>
      <x:c r="AA730"/>
      <x:c r="AB730"/>
      <x:c r="AC730"/>
      <x:c r="AD730"/>
    </x:row>
    <x:row r="731">
      <x:c r="A731" t="str">
        <x:v>PCC-PE-KG01-L22-20251022-AM-ORD-2025-00057-S09-C1</x:v>
      </x:c>
      <x:c r="B731" t="str">
        <x:v>PC-PE-KG01-L22-20251022-AM-ORD-2025-00057-S09</x:v>
      </x:c>
      <x:c r="C731" t="str">
        <x:v>PE-KG01-L22-20251022-AM-ORD-2025-00057</x:v>
      </x:c>
      <x:c r="D731" t="str">
        <x:v>KG01</x:v>
      </x:c>
      <x:c r="E731" s="62" t="n">
        <x:v>45952</x:v>
      </x:c>
      <x:c r="F731" t="str">
        <x:v>AM</x:v>
      </x:c>
      <x:c r="G731" t="str">
        <x:v>B</x:v>
      </x:c>
      <x:c r="H731" t="n">
        <x:v>22</x:v>
      </x:c>
      <x:c r="I731" t="str">
        <x:v>ORD-2025-00057</x:v>
      </x:c>
      <x:c r="J731" t="n">
        <x:v>9</x:v>
      </x:c>
      <x:c r="K731" t="n">
        <x:v>1</x:v>
      </x:c>
      <x:c r="L731" t="str">
        <x:v>L22-S09-C1</x:v>
      </x:c>
      <x:c r="M731" t="n">
        <x:v>1</x:v>
      </x:c>
      <x:c r="N731" t="str">
        <x:v>DerivedFromCount</x:v>
      </x:c>
      <x:c r="O731" t="str">
        <x:v>PLC-PRD-JAR-720-L22</x:v>
      </x:c>
      <x:c r="P731" t="str">
        <x:v>OK</x:v>
      </x:c>
      <x:c r="Q731" t="str">
        <x:v>OK</x:v>
      </x:c>
      <x:c r="R731" t="str">
        <x:v>OK</x:v>
      </x:c>
      <x:c r="S731" t="str">
        <x:v>OK</x:v>
      </x:c>
      <x:c r="T731" t="n">
        <x:v>20</x:v>
      </x:c>
      <x:c r="U731" t="str">
        <x:v>OK</x:v>
      </x:c>
      <x:c r="V731" t="str">
        <x:v>OK</x:v>
      </x:c>
      <x:c r="W731" t="str">
        <x:v>LOAD</x:v>
      </x:c>
      <x:c r="X731" t="str">
        <x:v>02_Supervisor_Log(4).xlsx</x:v>
      </x:c>
      <x:c r="Y731" t="str">
        <x:v>ENH-20260830-01</x:v>
      </x:c>
      <x:c r="Z731" t="str">
        <x:v>Active</x:v>
      </x:c>
      <x:c r="AA731"/>
      <x:c r="AB731"/>
      <x:c r="AC731"/>
      <x:c r="AD731"/>
    </x:row>
    <x:row r="732">
      <x:c r="A732" t="str">
        <x:v>PCC-PE-KG01-L22-20251022-AM-ORD-2025-00057-S09-C2</x:v>
      </x:c>
      <x:c r="B732" t="str">
        <x:v>PC-PE-KG01-L22-20251022-AM-ORD-2025-00057-S09</x:v>
      </x:c>
      <x:c r="C732" t="str">
        <x:v>PE-KG01-L22-20251022-AM-ORD-2025-00057</x:v>
      </x:c>
      <x:c r="D732" t="str">
        <x:v>KG01</x:v>
      </x:c>
      <x:c r="E732" s="62" t="n">
        <x:v>45952</x:v>
      </x:c>
      <x:c r="F732" t="str">
        <x:v>AM</x:v>
      </x:c>
      <x:c r="G732" t="str">
        <x:v>B</x:v>
      </x:c>
      <x:c r="H732" t="n">
        <x:v>22</x:v>
      </x:c>
      <x:c r="I732" t="str">
        <x:v>ORD-2025-00057</x:v>
      </x:c>
      <x:c r="J732" t="n">
        <x:v>9</x:v>
      </x:c>
      <x:c r="K732" t="n">
        <x:v>2</x:v>
      </x:c>
      <x:c r="L732" t="str">
        <x:v>L22-S09-C2</x:v>
      </x:c>
      <x:c r="M732" t="n">
        <x:v>1</x:v>
      </x:c>
      <x:c r="N732" t="str">
        <x:v>DerivedFromCount</x:v>
      </x:c>
      <x:c r="O732" t="str">
        <x:v>PLC-PRD-JAR-720-L22</x:v>
      </x:c>
      <x:c r="P732" t="str">
        <x:v>OK</x:v>
      </x:c>
      <x:c r="Q732" t="str">
        <x:v>OK</x:v>
      </x:c>
      <x:c r="R732" t="str">
        <x:v>OK</x:v>
      </x:c>
      <x:c r="S732" t="str">
        <x:v>OK</x:v>
      </x:c>
      <x:c r="T732" t="n">
        <x:v>20</x:v>
      </x:c>
      <x:c r="U732" t="str">
        <x:v>OK</x:v>
      </x:c>
      <x:c r="V732" t="str">
        <x:v>OK</x:v>
      </x:c>
      <x:c r="W732" t="str">
        <x:v>LOAD</x:v>
      </x:c>
      <x:c r="X732" t="str">
        <x:v>02_Supervisor_Log(4).xlsx</x:v>
      </x:c>
      <x:c r="Y732" t="str">
        <x:v>ENH-20260830-01</x:v>
      </x:c>
      <x:c r="Z732" t="str">
        <x:v>Active</x:v>
      </x:c>
      <x:c r="AA732"/>
      <x:c r="AB732"/>
      <x:c r="AC732"/>
      <x:c r="AD732"/>
    </x:row>
    <x:row r="733">
      <x:c r="A733" t="str">
        <x:v>PCC-PE-KG01-L22-20251022-AM-ORD-2025-00057-S09-C3</x:v>
      </x:c>
      <x:c r="B733" t="str">
        <x:v>PC-PE-KG01-L22-20251022-AM-ORD-2025-00057-S09</x:v>
      </x:c>
      <x:c r="C733" t="str">
        <x:v>PE-KG01-L22-20251022-AM-ORD-2025-00057</x:v>
      </x:c>
      <x:c r="D733" t="str">
        <x:v>KG01</x:v>
      </x:c>
      <x:c r="E733" s="62" t="n">
        <x:v>45952</x:v>
      </x:c>
      <x:c r="F733" t="str">
        <x:v>AM</x:v>
      </x:c>
      <x:c r="G733" t="str">
        <x:v>B</x:v>
      </x:c>
      <x:c r="H733" t="n">
        <x:v>22</x:v>
      </x:c>
      <x:c r="I733" t="str">
        <x:v>ORD-2025-00057</x:v>
      </x:c>
      <x:c r="J733" t="n">
        <x:v>9</x:v>
      </x:c>
      <x:c r="K733" t="n">
        <x:v>3</x:v>
      </x:c>
      <x:c r="L733" t="str">
        <x:v>L22-S09-C3</x:v>
      </x:c>
      <x:c r="M733" t="n">
        <x:v>0</x:v>
      </x:c>
      <x:c r="N733" t="str">
        <x:v>DerivedFromCount</x:v>
      </x:c>
      <x:c r="O733" t="str">
        <x:v>PLC-PRD-JAR-720-L22</x:v>
      </x:c>
      <x:c r="P733" t="str">
        <x:v>OK</x:v>
      </x:c>
      <x:c r="Q733" t="str">
        <x:v>OK</x:v>
      </x:c>
      <x:c r="R733" t="str">
        <x:v>OK</x:v>
      </x:c>
      <x:c r="S733" t="str">
        <x:v>OK</x:v>
      </x:c>
      <x:c r="T733" t="n">
        <x:v>20</x:v>
      </x:c>
      <x:c r="U733" t="str">
        <x:v>OK</x:v>
      </x:c>
      <x:c r="V733" t="str">
        <x:v>OK</x:v>
      </x:c>
      <x:c r="W733" t="str">
        <x:v>LOAD</x:v>
      </x:c>
      <x:c r="X733" t="str">
        <x:v>02_Supervisor_Log(4).xlsx</x:v>
      </x:c>
      <x:c r="Y733" t="str">
        <x:v>ENH-20260830-01</x:v>
      </x:c>
      <x:c r="Z733" t="str">
        <x:v>Active</x:v>
      </x:c>
      <x:c r="AA733"/>
      <x:c r="AB733"/>
      <x:c r="AC733"/>
      <x:c r="AD733"/>
    </x:row>
    <x:row r="734">
      <x:c r="A734" t="str">
        <x:v>PCC-PE-KG01-L22-20251022-AM-ORD-2025-00057-S10-C1</x:v>
      </x:c>
      <x:c r="B734" t="str">
        <x:v>PC-PE-KG01-L22-20251022-AM-ORD-2025-00057-S10</x:v>
      </x:c>
      <x:c r="C734" t="str">
        <x:v>PE-KG01-L22-20251022-AM-ORD-2025-00057</x:v>
      </x:c>
      <x:c r="D734" t="str">
        <x:v>KG01</x:v>
      </x:c>
      <x:c r="E734" s="62" t="n">
        <x:v>45952</x:v>
      </x:c>
      <x:c r="F734" t="str">
        <x:v>AM</x:v>
      </x:c>
      <x:c r="G734" t="str">
        <x:v>B</x:v>
      </x:c>
      <x:c r="H734" t="n">
        <x:v>22</x:v>
      </x:c>
      <x:c r="I734" t="str">
        <x:v>ORD-2025-00057</x:v>
      </x:c>
      <x:c r="J734" t="n">
        <x:v>10</x:v>
      </x:c>
      <x:c r="K734" t="n">
        <x:v>1</x:v>
      </x:c>
      <x:c r="L734" t="str">
        <x:v>L22-S10-C1</x:v>
      </x:c>
      <x:c r="M734" t="n">
        <x:v>1</x:v>
      </x:c>
      <x:c r="N734" t="str">
        <x:v>DerivedFromCount</x:v>
      </x:c>
      <x:c r="O734" t="str">
        <x:v>PLC-PRD-JAR-720-L22</x:v>
      </x:c>
      <x:c r="P734" t="str">
        <x:v>OK</x:v>
      </x:c>
      <x:c r="Q734" t="str">
        <x:v>OK</x:v>
      </x:c>
      <x:c r="R734" t="str">
        <x:v>OK</x:v>
      </x:c>
      <x:c r="S734" t="str">
        <x:v>OK</x:v>
      </x:c>
      <x:c r="T734" t="n">
        <x:v>20</x:v>
      </x:c>
      <x:c r="U734" t="str">
        <x:v>OK</x:v>
      </x:c>
      <x:c r="V734" t="str">
        <x:v>OK</x:v>
      </x:c>
      <x:c r="W734" t="str">
        <x:v>LOAD</x:v>
      </x:c>
      <x:c r="X734" t="str">
        <x:v>02_Supervisor_Log(4).xlsx</x:v>
      </x:c>
      <x:c r="Y734" t="str">
        <x:v>ENH-20260830-01</x:v>
      </x:c>
      <x:c r="Z734" t="str">
        <x:v>Active</x:v>
      </x:c>
      <x:c r="AA734"/>
      <x:c r="AB734"/>
      <x:c r="AC734"/>
      <x:c r="AD734"/>
    </x:row>
    <x:row r="735">
      <x:c r="A735" t="str">
        <x:v>PCC-PE-KG01-L22-20251022-AM-ORD-2025-00057-S10-C2</x:v>
      </x:c>
      <x:c r="B735" t="str">
        <x:v>PC-PE-KG01-L22-20251022-AM-ORD-2025-00057-S10</x:v>
      </x:c>
      <x:c r="C735" t="str">
        <x:v>PE-KG01-L22-20251022-AM-ORD-2025-00057</x:v>
      </x:c>
      <x:c r="D735" t="str">
        <x:v>KG01</x:v>
      </x:c>
      <x:c r="E735" s="62" t="n">
        <x:v>45952</x:v>
      </x:c>
      <x:c r="F735" t="str">
        <x:v>AM</x:v>
      </x:c>
      <x:c r="G735" t="str">
        <x:v>B</x:v>
      </x:c>
      <x:c r="H735" t="n">
        <x:v>22</x:v>
      </x:c>
      <x:c r="I735" t="str">
        <x:v>ORD-2025-00057</x:v>
      </x:c>
      <x:c r="J735" t="n">
        <x:v>10</x:v>
      </x:c>
      <x:c r="K735" t="n">
        <x:v>2</x:v>
      </x:c>
      <x:c r="L735" t="str">
        <x:v>L22-S10-C2</x:v>
      </x:c>
      <x:c r="M735" t="n">
        <x:v>1</x:v>
      </x:c>
      <x:c r="N735" t="str">
        <x:v>DerivedFromCount</x:v>
      </x:c>
      <x:c r="O735" t="str">
        <x:v>PLC-PRD-JAR-720-L22</x:v>
      </x:c>
      <x:c r="P735" t="str">
        <x:v>OK</x:v>
      </x:c>
      <x:c r="Q735" t="str">
        <x:v>OK</x:v>
      </x:c>
      <x:c r="R735" t="str">
        <x:v>OK</x:v>
      </x:c>
      <x:c r="S735" t="str">
        <x:v>OK</x:v>
      </x:c>
      <x:c r="T735" t="n">
        <x:v>20</x:v>
      </x:c>
      <x:c r="U735" t="str">
        <x:v>OK</x:v>
      </x:c>
      <x:c r="V735" t="str">
        <x:v>OK</x:v>
      </x:c>
      <x:c r="W735" t="str">
        <x:v>LOAD</x:v>
      </x:c>
      <x:c r="X735" t="str">
        <x:v>02_Supervisor_Log(4).xlsx</x:v>
      </x:c>
      <x:c r="Y735" t="str">
        <x:v>ENH-20260830-01</x:v>
      </x:c>
      <x:c r="Z735" t="str">
        <x:v>Active</x:v>
      </x:c>
      <x:c r="AA735"/>
      <x:c r="AB735"/>
      <x:c r="AC735"/>
      <x:c r="AD735"/>
    </x:row>
    <x:row r="736">
      <x:c r="A736" t="str">
        <x:v>PCC-PE-KG01-L22-20251022-AM-ORD-2025-00057-S10-C3</x:v>
      </x:c>
      <x:c r="B736" t="str">
        <x:v>PC-PE-KG01-L22-20251022-AM-ORD-2025-00057-S10</x:v>
      </x:c>
      <x:c r="C736" t="str">
        <x:v>PE-KG01-L22-20251022-AM-ORD-2025-00057</x:v>
      </x:c>
      <x:c r="D736" t="str">
        <x:v>KG01</x:v>
      </x:c>
      <x:c r="E736" s="62" t="n">
        <x:v>45952</x:v>
      </x:c>
      <x:c r="F736" t="str">
        <x:v>AM</x:v>
      </x:c>
      <x:c r="G736" t="str">
        <x:v>B</x:v>
      </x:c>
      <x:c r="H736" t="n">
        <x:v>22</x:v>
      </x:c>
      <x:c r="I736" t="str">
        <x:v>ORD-2025-00057</x:v>
      </x:c>
      <x:c r="J736" t="n">
        <x:v>10</x:v>
      </x:c>
      <x:c r="K736" t="n">
        <x:v>3</x:v>
      </x:c>
      <x:c r="L736" t="str">
        <x:v>L22-S10-C3</x:v>
      </x:c>
      <x:c r="M736" t="n">
        <x:v>0</x:v>
      </x:c>
      <x:c r="N736" t="str">
        <x:v>DerivedFromCount</x:v>
      </x:c>
      <x:c r="O736" t="str">
        <x:v>PLC-PRD-JAR-720-L22</x:v>
      </x:c>
      <x:c r="P736" t="str">
        <x:v>OK</x:v>
      </x:c>
      <x:c r="Q736" t="str">
        <x:v>OK</x:v>
      </x:c>
      <x:c r="R736" t="str">
        <x:v>OK</x:v>
      </x:c>
      <x:c r="S736" t="str">
        <x:v>OK</x:v>
      </x:c>
      <x:c r="T736" t="n">
        <x:v>20</x:v>
      </x:c>
      <x:c r="U736" t="str">
        <x:v>OK</x:v>
      </x:c>
      <x:c r="V736" t="str">
        <x:v>OK</x:v>
      </x:c>
      <x:c r="W736" t="str">
        <x:v>LOAD</x:v>
      </x:c>
      <x:c r="X736" t="str">
        <x:v>02_Supervisor_Log(4).xlsx</x:v>
      </x:c>
      <x:c r="Y736" t="str">
        <x:v>ENH-20260830-01</x:v>
      </x:c>
      <x:c r="Z736" t="str">
        <x:v>Active</x:v>
      </x:c>
      <x:c r="AA736"/>
      <x:c r="AB736"/>
      <x:c r="AC736"/>
      <x:c r="AD736"/>
    </x:row>
    <x:row r="737">
      <x:c r="A737" t="str">
        <x:v>PCC-PE-KG01-L22-20251022-AM-ORD-2025-00057-S11-C1</x:v>
      </x:c>
      <x:c r="B737" t="str">
        <x:v>PC-PE-KG01-L22-20251022-AM-ORD-2025-00057-S11</x:v>
      </x:c>
      <x:c r="C737" t="str">
        <x:v>PE-KG01-L22-20251022-AM-ORD-2025-00057</x:v>
      </x:c>
      <x:c r="D737" t="str">
        <x:v>KG01</x:v>
      </x:c>
      <x:c r="E737" s="62" t="n">
        <x:v>45952</x:v>
      </x:c>
      <x:c r="F737" t="str">
        <x:v>AM</x:v>
      </x:c>
      <x:c r="G737" t="str">
        <x:v>B</x:v>
      </x:c>
      <x:c r="H737" t="n">
        <x:v>22</x:v>
      </x:c>
      <x:c r="I737" t="str">
        <x:v>ORD-2025-00057</x:v>
      </x:c>
      <x:c r="J737" t="n">
        <x:v>11</x:v>
      </x:c>
      <x:c r="K737" t="n">
        <x:v>1</x:v>
      </x:c>
      <x:c r="L737" t="str">
        <x:v>L22-S11-C1</x:v>
      </x:c>
      <x:c r="M737" t="n">
        <x:v>0</x:v>
      </x:c>
      <x:c r="N737" t="str">
        <x:v>DerivedFromCount</x:v>
      </x:c>
      <x:c r="O737" t="str">
        <x:v>PLC-PRD-JAR-720-L22</x:v>
      </x:c>
      <x:c r="P737" t="str">
        <x:v>OK</x:v>
      </x:c>
      <x:c r="Q737" t="str">
        <x:v>OK</x:v>
      </x:c>
      <x:c r="R737" t="str">
        <x:v>OK</x:v>
      </x:c>
      <x:c r="S737" t="str">
        <x:v>OK</x:v>
      </x:c>
      <x:c r="T737" t="n">
        <x:v>20</x:v>
      </x:c>
      <x:c r="U737" t="str">
        <x:v>OK</x:v>
      </x:c>
      <x:c r="V737" t="str">
        <x:v>OK</x:v>
      </x:c>
      <x:c r="W737" t="str">
        <x:v>LOAD</x:v>
      </x:c>
      <x:c r="X737" t="str">
        <x:v>02_Supervisor_Log(4).xlsx</x:v>
      </x:c>
      <x:c r="Y737" t="str">
        <x:v>ENH-20260830-01</x:v>
      </x:c>
      <x:c r="Z737" t="str">
        <x:v>Active</x:v>
      </x:c>
      <x:c r="AA737"/>
      <x:c r="AB737"/>
      <x:c r="AC737"/>
      <x:c r="AD737"/>
    </x:row>
    <x:row r="738">
      <x:c r="A738" t="str">
        <x:v>PCC-PE-KG01-L22-20251022-AM-ORD-2025-00057-S11-C2</x:v>
      </x:c>
      <x:c r="B738" t="str">
        <x:v>PC-PE-KG01-L22-20251022-AM-ORD-2025-00057-S11</x:v>
      </x:c>
      <x:c r="C738" t="str">
        <x:v>PE-KG01-L22-20251022-AM-ORD-2025-00057</x:v>
      </x:c>
      <x:c r="D738" t="str">
        <x:v>KG01</x:v>
      </x:c>
      <x:c r="E738" s="62" t="n">
        <x:v>45952</x:v>
      </x:c>
      <x:c r="F738" t="str">
        <x:v>AM</x:v>
      </x:c>
      <x:c r="G738" t="str">
        <x:v>B</x:v>
      </x:c>
      <x:c r="H738" t="n">
        <x:v>22</x:v>
      </x:c>
      <x:c r="I738" t="str">
        <x:v>ORD-2025-00057</x:v>
      </x:c>
      <x:c r="J738" t="n">
        <x:v>11</x:v>
      </x:c>
      <x:c r="K738" t="n">
        <x:v>2</x:v>
      </x:c>
      <x:c r="L738" t="str">
        <x:v>L22-S11-C2</x:v>
      </x:c>
      <x:c r="M738" t="n">
        <x:v>0</x:v>
      </x:c>
      <x:c r="N738" t="str">
        <x:v>DerivedFromCount</x:v>
      </x:c>
      <x:c r="O738" t="str">
        <x:v>PLC-PRD-JAR-720-L22</x:v>
      </x:c>
      <x:c r="P738" t="str">
        <x:v>OK</x:v>
      </x:c>
      <x:c r="Q738" t="str">
        <x:v>OK</x:v>
      </x:c>
      <x:c r="R738" t="str">
        <x:v>OK</x:v>
      </x:c>
      <x:c r="S738" t="str">
        <x:v>OK</x:v>
      </x:c>
      <x:c r="T738" t="n">
        <x:v>20</x:v>
      </x:c>
      <x:c r="U738" t="str">
        <x:v>OK</x:v>
      </x:c>
      <x:c r="V738" t="str">
        <x:v>OK</x:v>
      </x:c>
      <x:c r="W738" t="str">
        <x:v>LOAD</x:v>
      </x:c>
      <x:c r="X738" t="str">
        <x:v>02_Supervisor_Log(4).xlsx</x:v>
      </x:c>
      <x:c r="Y738" t="str">
        <x:v>ENH-20260830-01</x:v>
      </x:c>
      <x:c r="Z738" t="str">
        <x:v>Active</x:v>
      </x:c>
      <x:c r="AA738"/>
      <x:c r="AB738"/>
      <x:c r="AC738"/>
      <x:c r="AD738"/>
    </x:row>
    <x:row r="739">
      <x:c r="A739" t="str">
        <x:v>PCC-PE-KG01-L22-20251022-AM-ORD-2025-00057-S11-C3</x:v>
      </x:c>
      <x:c r="B739" t="str">
        <x:v>PC-PE-KG01-L22-20251022-AM-ORD-2025-00057-S11</x:v>
      </x:c>
      <x:c r="C739" t="str">
        <x:v>PE-KG01-L22-20251022-AM-ORD-2025-00057</x:v>
      </x:c>
      <x:c r="D739" t="str">
        <x:v>KG01</x:v>
      </x:c>
      <x:c r="E739" s="62" t="n">
        <x:v>45952</x:v>
      </x:c>
      <x:c r="F739" t="str">
        <x:v>AM</x:v>
      </x:c>
      <x:c r="G739" t="str">
        <x:v>B</x:v>
      </x:c>
      <x:c r="H739" t="n">
        <x:v>22</x:v>
      </x:c>
      <x:c r="I739" t="str">
        <x:v>ORD-2025-00057</x:v>
      </x:c>
      <x:c r="J739" t="n">
        <x:v>11</x:v>
      </x:c>
      <x:c r="K739" t="n">
        <x:v>3</x:v>
      </x:c>
      <x:c r="L739" t="str">
        <x:v>L22-S11-C3</x:v>
      </x:c>
      <x:c r="M739" t="n">
        <x:v>0</x:v>
      </x:c>
      <x:c r="N739" t="str">
        <x:v>DerivedFromCount</x:v>
      </x:c>
      <x:c r="O739" t="str">
        <x:v>PLC-PRD-JAR-720-L22</x:v>
      </x:c>
      <x:c r="P739" t="str">
        <x:v>OK</x:v>
      </x:c>
      <x:c r="Q739" t="str">
        <x:v>OK</x:v>
      </x:c>
      <x:c r="R739" t="str">
        <x:v>OK</x:v>
      </x:c>
      <x:c r="S739" t="str">
        <x:v>OK</x:v>
      </x:c>
      <x:c r="T739" t="n">
        <x:v>20</x:v>
      </x:c>
      <x:c r="U739" t="str">
        <x:v>OK</x:v>
      </x:c>
      <x:c r="V739" t="str">
        <x:v>OK</x:v>
      </x:c>
      <x:c r="W739" t="str">
        <x:v>LOAD</x:v>
      </x:c>
      <x:c r="X739" t="str">
        <x:v>02_Supervisor_Log(4).xlsx</x:v>
      </x:c>
      <x:c r="Y739" t="str">
        <x:v>ENH-20260830-01</x:v>
      </x:c>
      <x:c r="Z739" t="str">
        <x:v>Active</x:v>
      </x:c>
      <x:c r="AA739"/>
      <x:c r="AB739"/>
      <x:c r="AC739"/>
      <x:c r="AD739"/>
    </x:row>
    <x:row r="740">
      <x:c r="A740" t="str">
        <x:v>PCC-PE-KG01-L22-20251022-AM-ORD-2025-00057-S12-C1</x:v>
      </x:c>
      <x:c r="B740" t="str">
        <x:v>PC-PE-KG01-L22-20251022-AM-ORD-2025-00057-S12</x:v>
      </x:c>
      <x:c r="C740" t="str">
        <x:v>PE-KG01-L22-20251022-AM-ORD-2025-00057</x:v>
      </x:c>
      <x:c r="D740" t="str">
        <x:v>KG01</x:v>
      </x:c>
      <x:c r="E740" s="62" t="n">
        <x:v>45952</x:v>
      </x:c>
      <x:c r="F740" t="str">
        <x:v>AM</x:v>
      </x:c>
      <x:c r="G740" t="str">
        <x:v>B</x:v>
      </x:c>
      <x:c r="H740" t="n">
        <x:v>22</x:v>
      </x:c>
      <x:c r="I740" t="str">
        <x:v>ORD-2025-00057</x:v>
      </x:c>
      <x:c r="J740" t="n">
        <x:v>12</x:v>
      </x:c>
      <x:c r="K740" t="n">
        <x:v>1</x:v>
      </x:c>
      <x:c r="L740" t="str">
        <x:v>L22-S12-C1</x:v>
      </x:c>
      <x:c r="M740" t="n">
        <x:v>0</x:v>
      </x:c>
      <x:c r="N740" t="str">
        <x:v>DerivedFromCount</x:v>
      </x:c>
      <x:c r="O740" t="str">
        <x:v>PLC-PRD-JAR-720-L22</x:v>
      </x:c>
      <x:c r="P740" t="str">
        <x:v>OK</x:v>
      </x:c>
      <x:c r="Q740" t="str">
        <x:v>OK</x:v>
      </x:c>
      <x:c r="R740" t="str">
        <x:v>OK</x:v>
      </x:c>
      <x:c r="S740" t="str">
        <x:v>OK</x:v>
      </x:c>
      <x:c r="T740" t="n">
        <x:v>20</x:v>
      </x:c>
      <x:c r="U740" t="str">
        <x:v>OK</x:v>
      </x:c>
      <x:c r="V740" t="str">
        <x:v>OK</x:v>
      </x:c>
      <x:c r="W740" t="str">
        <x:v>LOAD</x:v>
      </x:c>
      <x:c r="X740" t="str">
        <x:v>02_Supervisor_Log(4).xlsx</x:v>
      </x:c>
      <x:c r="Y740" t="str">
        <x:v>ENH-20260830-01</x:v>
      </x:c>
      <x:c r="Z740" t="str">
        <x:v>Active</x:v>
      </x:c>
      <x:c r="AA740"/>
      <x:c r="AB740"/>
      <x:c r="AC740"/>
      <x:c r="AD740"/>
    </x:row>
    <x:row r="741">
      <x:c r="A741" t="str">
        <x:v>PCC-PE-KG01-L22-20251022-AM-ORD-2025-00057-S12-C2</x:v>
      </x:c>
      <x:c r="B741" t="str">
        <x:v>PC-PE-KG01-L22-20251022-AM-ORD-2025-00057-S12</x:v>
      </x:c>
      <x:c r="C741" t="str">
        <x:v>PE-KG01-L22-20251022-AM-ORD-2025-00057</x:v>
      </x:c>
      <x:c r="D741" t="str">
        <x:v>KG01</x:v>
      </x:c>
      <x:c r="E741" s="62" t="n">
        <x:v>45952</x:v>
      </x:c>
      <x:c r="F741" t="str">
        <x:v>AM</x:v>
      </x:c>
      <x:c r="G741" t="str">
        <x:v>B</x:v>
      </x:c>
      <x:c r="H741" t="n">
        <x:v>22</x:v>
      </x:c>
      <x:c r="I741" t="str">
        <x:v>ORD-2025-00057</x:v>
      </x:c>
      <x:c r="J741" t="n">
        <x:v>12</x:v>
      </x:c>
      <x:c r="K741" t="n">
        <x:v>2</x:v>
      </x:c>
      <x:c r="L741" t="str">
        <x:v>L22-S12-C2</x:v>
      </x:c>
      <x:c r="M741" t="n">
        <x:v>0</x:v>
      </x:c>
      <x:c r="N741" t="str">
        <x:v>DerivedFromCount</x:v>
      </x:c>
      <x:c r="O741" t="str">
        <x:v>PLC-PRD-JAR-720-L22</x:v>
      </x:c>
      <x:c r="P741" t="str">
        <x:v>OK</x:v>
      </x:c>
      <x:c r="Q741" t="str">
        <x:v>OK</x:v>
      </x:c>
      <x:c r="R741" t="str">
        <x:v>OK</x:v>
      </x:c>
      <x:c r="S741" t="str">
        <x:v>OK</x:v>
      </x:c>
      <x:c r="T741" t="n">
        <x:v>20</x:v>
      </x:c>
      <x:c r="U741" t="str">
        <x:v>OK</x:v>
      </x:c>
      <x:c r="V741" t="str">
        <x:v>OK</x:v>
      </x:c>
      <x:c r="W741" t="str">
        <x:v>LOAD</x:v>
      </x:c>
      <x:c r="X741" t="str">
        <x:v>02_Supervisor_Log(4).xlsx</x:v>
      </x:c>
      <x:c r="Y741" t="str">
        <x:v>ENH-20260830-01</x:v>
      </x:c>
      <x:c r="Z741" t="str">
        <x:v>Active</x:v>
      </x:c>
      <x:c r="AA741"/>
      <x:c r="AB741"/>
      <x:c r="AC741"/>
      <x:c r="AD741"/>
    </x:row>
    <x:row r="742">
      <x:c r="A742" t="str">
        <x:v>PCC-PE-KG01-L22-20251022-AM-ORD-2025-00057-S12-C3</x:v>
      </x:c>
      <x:c r="B742" t="str">
        <x:v>PC-PE-KG01-L22-20251022-AM-ORD-2025-00057-S12</x:v>
      </x:c>
      <x:c r="C742" t="str">
        <x:v>PE-KG01-L22-20251022-AM-ORD-2025-00057</x:v>
      </x:c>
      <x:c r="D742" t="str">
        <x:v>KG01</x:v>
      </x:c>
      <x:c r="E742" s="62" t="n">
        <x:v>45952</x:v>
      </x:c>
      <x:c r="F742" t="str">
        <x:v>AM</x:v>
      </x:c>
      <x:c r="G742" t="str">
        <x:v>B</x:v>
      </x:c>
      <x:c r="H742" t="n">
        <x:v>22</x:v>
      </x:c>
      <x:c r="I742" t="str">
        <x:v>ORD-2025-00057</x:v>
      </x:c>
      <x:c r="J742" t="n">
        <x:v>12</x:v>
      </x:c>
      <x:c r="K742" t="n">
        <x:v>3</x:v>
      </x:c>
      <x:c r="L742" t="str">
        <x:v>L22-S12-C3</x:v>
      </x:c>
      <x:c r="M742" t="n">
        <x:v>0</x:v>
      </x:c>
      <x:c r="N742" t="str">
        <x:v>DerivedFromCount</x:v>
      </x:c>
      <x:c r="O742" t="str">
        <x:v>PLC-PRD-JAR-720-L22</x:v>
      </x:c>
      <x:c r="P742" t="str">
        <x:v>OK</x:v>
      </x:c>
      <x:c r="Q742" t="str">
        <x:v>OK</x:v>
      </x:c>
      <x:c r="R742" t="str">
        <x:v>OK</x:v>
      </x:c>
      <x:c r="S742" t="str">
        <x:v>OK</x:v>
      </x:c>
      <x:c r="T742" t="n">
        <x:v>20</x:v>
      </x:c>
      <x:c r="U742" t="str">
        <x:v>OK</x:v>
      </x:c>
      <x:c r="V742" t="str">
        <x:v>OK</x:v>
      </x:c>
      <x:c r="W742" t="str">
        <x:v>LOAD</x:v>
      </x:c>
      <x:c r="X742" t="str">
        <x:v>02_Supervisor_Log(4).xlsx</x:v>
      </x:c>
      <x:c r="Y742" t="str">
        <x:v>ENH-20260830-01</x:v>
      </x:c>
      <x:c r="Z742" t="str">
        <x:v>Active</x:v>
      </x:c>
      <x:c r="AA742"/>
      <x:c r="AB742"/>
      <x:c r="AC742"/>
      <x:c r="AD742"/>
    </x:row>
    <x:row r="743">
      <x:c r="A743" t="str">
        <x:v>PCC-PE-KG01-L22-20251022-AM-ORD-2025-00057-S13-C1</x:v>
      </x:c>
      <x:c r="B743" t="str">
        <x:v>PC-PE-KG01-L22-20251022-AM-ORD-2025-00057-S13</x:v>
      </x:c>
      <x:c r="C743" t="str">
        <x:v>PE-KG01-L22-20251022-AM-ORD-2025-00057</x:v>
      </x:c>
      <x:c r="D743" t="str">
        <x:v>KG01</x:v>
      </x:c>
      <x:c r="E743" s="62" t="n">
        <x:v>45952</x:v>
      </x:c>
      <x:c r="F743" t="str">
        <x:v>AM</x:v>
      </x:c>
      <x:c r="G743" t="str">
        <x:v>B</x:v>
      </x:c>
      <x:c r="H743" t="n">
        <x:v>22</x:v>
      </x:c>
      <x:c r="I743" t="str">
        <x:v>ORD-2025-00057</x:v>
      </x:c>
      <x:c r="J743" t="n">
        <x:v>13</x:v>
      </x:c>
      <x:c r="K743" t="n">
        <x:v>1</x:v>
      </x:c>
      <x:c r="L743" t="str">
        <x:v>L22-S13-C1</x:v>
      </x:c>
      <x:c r="M743" t="n">
        <x:v>0</x:v>
      </x:c>
      <x:c r="N743" t="str">
        <x:v>DerivedFromCount</x:v>
      </x:c>
      <x:c r="O743" t="str">
        <x:v>PLC-PRD-JAR-720-L22</x:v>
      </x:c>
      <x:c r="P743" t="str">
        <x:v>OK</x:v>
      </x:c>
      <x:c r="Q743" t="str">
        <x:v>OK</x:v>
      </x:c>
      <x:c r="R743" t="str">
        <x:v>OK</x:v>
      </x:c>
      <x:c r="S743" t="str">
        <x:v>OK</x:v>
      </x:c>
      <x:c r="T743" t="n">
        <x:v>20</x:v>
      </x:c>
      <x:c r="U743" t="str">
        <x:v>OK</x:v>
      </x:c>
      <x:c r="V743" t="str">
        <x:v>OK</x:v>
      </x:c>
      <x:c r="W743" t="str">
        <x:v>LOAD</x:v>
      </x:c>
      <x:c r="X743" t="str">
        <x:v>02_Supervisor_Log(4).xlsx</x:v>
      </x:c>
      <x:c r="Y743" t="str">
        <x:v>ENH-20260830-01</x:v>
      </x:c>
      <x:c r="Z743" t="str">
        <x:v>Active</x:v>
      </x:c>
      <x:c r="AA743"/>
      <x:c r="AB743"/>
      <x:c r="AC743"/>
      <x:c r="AD743"/>
    </x:row>
    <x:row r="744">
      <x:c r="A744" t="str">
        <x:v>PCC-PE-KG01-L22-20251022-AM-ORD-2025-00057-S13-C2</x:v>
      </x:c>
      <x:c r="B744" t="str">
        <x:v>PC-PE-KG01-L22-20251022-AM-ORD-2025-00057-S13</x:v>
      </x:c>
      <x:c r="C744" t="str">
        <x:v>PE-KG01-L22-20251022-AM-ORD-2025-00057</x:v>
      </x:c>
      <x:c r="D744" t="str">
        <x:v>KG01</x:v>
      </x:c>
      <x:c r="E744" s="62" t="n">
        <x:v>45952</x:v>
      </x:c>
      <x:c r="F744" t="str">
        <x:v>AM</x:v>
      </x:c>
      <x:c r="G744" t="str">
        <x:v>B</x:v>
      </x:c>
      <x:c r="H744" t="n">
        <x:v>22</x:v>
      </x:c>
      <x:c r="I744" t="str">
        <x:v>ORD-2025-00057</x:v>
      </x:c>
      <x:c r="J744" t="n">
        <x:v>13</x:v>
      </x:c>
      <x:c r="K744" t="n">
        <x:v>2</x:v>
      </x:c>
      <x:c r="L744" t="str">
        <x:v>L22-S13-C2</x:v>
      </x:c>
      <x:c r="M744" t="n">
        <x:v>0</x:v>
      </x:c>
      <x:c r="N744" t="str">
        <x:v>DerivedFromCount</x:v>
      </x:c>
      <x:c r="O744" t="str">
        <x:v>PLC-PRD-JAR-720-L22</x:v>
      </x:c>
      <x:c r="P744" t="str">
        <x:v>OK</x:v>
      </x:c>
      <x:c r="Q744" t="str">
        <x:v>OK</x:v>
      </x:c>
      <x:c r="R744" t="str">
        <x:v>OK</x:v>
      </x:c>
      <x:c r="S744" t="str">
        <x:v>OK</x:v>
      </x:c>
      <x:c r="T744" t="n">
        <x:v>20</x:v>
      </x:c>
      <x:c r="U744" t="str">
        <x:v>OK</x:v>
      </x:c>
      <x:c r="V744" t="str">
        <x:v>OK</x:v>
      </x:c>
      <x:c r="W744" t="str">
        <x:v>LOAD</x:v>
      </x:c>
      <x:c r="X744" t="str">
        <x:v>02_Supervisor_Log(4).xlsx</x:v>
      </x:c>
      <x:c r="Y744" t="str">
        <x:v>ENH-20260830-01</x:v>
      </x:c>
      <x:c r="Z744" t="str">
        <x:v>Active</x:v>
      </x:c>
      <x:c r="AA744"/>
      <x:c r="AB744"/>
      <x:c r="AC744"/>
      <x:c r="AD744"/>
    </x:row>
    <x:row r="745">
      <x:c r="A745" t="str">
        <x:v>PCC-PE-KG01-L22-20251022-AM-ORD-2025-00057-S13-C3</x:v>
      </x:c>
      <x:c r="B745" t="str">
        <x:v>PC-PE-KG01-L22-20251022-AM-ORD-2025-00057-S13</x:v>
      </x:c>
      <x:c r="C745" t="str">
        <x:v>PE-KG01-L22-20251022-AM-ORD-2025-00057</x:v>
      </x:c>
      <x:c r="D745" t="str">
        <x:v>KG01</x:v>
      </x:c>
      <x:c r="E745" s="62" t="n">
        <x:v>45952</x:v>
      </x:c>
      <x:c r="F745" t="str">
        <x:v>AM</x:v>
      </x:c>
      <x:c r="G745" t="str">
        <x:v>B</x:v>
      </x:c>
      <x:c r="H745" t="n">
        <x:v>22</x:v>
      </x:c>
      <x:c r="I745" t="str">
        <x:v>ORD-2025-00057</x:v>
      </x:c>
      <x:c r="J745" t="n">
        <x:v>13</x:v>
      </x:c>
      <x:c r="K745" t="n">
        <x:v>3</x:v>
      </x:c>
      <x:c r="L745" t="str">
        <x:v>L22-S13-C3</x:v>
      </x:c>
      <x:c r="M745" t="n">
        <x:v>0</x:v>
      </x:c>
      <x:c r="N745" t="str">
        <x:v>DerivedFromCount</x:v>
      </x:c>
      <x:c r="O745" t="str">
        <x:v>PLC-PRD-JAR-720-L22</x:v>
      </x:c>
      <x:c r="P745" t="str">
        <x:v>OK</x:v>
      </x:c>
      <x:c r="Q745" t="str">
        <x:v>OK</x:v>
      </x:c>
      <x:c r="R745" t="str">
        <x:v>OK</x:v>
      </x:c>
      <x:c r="S745" t="str">
        <x:v>OK</x:v>
      </x:c>
      <x:c r="T745" t="n">
        <x:v>20</x:v>
      </x:c>
      <x:c r="U745" t="str">
        <x:v>OK</x:v>
      </x:c>
      <x:c r="V745" t="str">
        <x:v>OK</x:v>
      </x:c>
      <x:c r="W745" t="str">
        <x:v>LOAD</x:v>
      </x:c>
      <x:c r="X745" t="str">
        <x:v>02_Supervisor_Log(4).xlsx</x:v>
      </x:c>
      <x:c r="Y745" t="str">
        <x:v>ENH-20260830-01</x:v>
      </x:c>
      <x:c r="Z745" t="str">
        <x:v>Active</x:v>
      </x:c>
      <x:c r="AA745"/>
      <x:c r="AB745"/>
      <x:c r="AC745"/>
      <x:c r="AD745"/>
    </x:row>
    <x:row r="746">
      <x:c r="A746" t="str">
        <x:v>PCC-PE-KG01-L22-20251022-PM-ORD-2025-00057-S01-C1</x:v>
      </x:c>
      <x:c r="B746" t="str">
        <x:v>PC-PE-KG01-L22-20251022-PM-ORD-2025-00057-S01</x:v>
      </x:c>
      <x:c r="C746" t="str">
        <x:v>PE-KG01-L22-20251022-PM-ORD-2025-00057</x:v>
      </x:c>
      <x:c r="D746" t="str">
        <x:v>KG01</x:v>
      </x:c>
      <x:c r="E746" s="62" t="n">
        <x:v>45952</x:v>
      </x:c>
      <x:c r="F746" t="str">
        <x:v>PM</x:v>
      </x:c>
      <x:c r="G746" t="str">
        <x:v>C</x:v>
      </x:c>
      <x:c r="H746" t="n">
        <x:v>22</x:v>
      </x:c>
      <x:c r="I746" t="str">
        <x:v>ORD-2025-00057</x:v>
      </x:c>
      <x:c r="J746" t="n">
        <x:v>1</x:v>
      </x:c>
      <x:c r="K746" t="n">
        <x:v>1</x:v>
      </x:c>
      <x:c r="L746" t="str">
        <x:v>L22-S01-C1</x:v>
      </x:c>
      <x:c r="M746" t="n">
        <x:v>1</x:v>
      </x:c>
      <x:c r="N746" t="str">
        <x:v>DerivedFromCount</x:v>
      </x:c>
      <x:c r="O746" t="str">
        <x:v>PLC-PRD-JAR-720-L22</x:v>
      </x:c>
      <x:c r="P746" t="str">
        <x:v>OK</x:v>
      </x:c>
      <x:c r="Q746" t="str">
        <x:v>OK</x:v>
      </x:c>
      <x:c r="R746" t="str">
        <x:v>OK</x:v>
      </x:c>
      <x:c r="S746" t="str">
        <x:v>OK</x:v>
      </x:c>
      <x:c r="T746" t="n">
        <x:v>20</x:v>
      </x:c>
      <x:c r="U746" t="str">
        <x:v>OK</x:v>
      </x:c>
      <x:c r="V746" t="str">
        <x:v>OK</x:v>
      </x:c>
      <x:c r="W746" t="str">
        <x:v>LOAD</x:v>
      </x:c>
      <x:c r="X746" t="str">
        <x:v>02_Supervisor_Log(4).xlsx</x:v>
      </x:c>
      <x:c r="Y746" t="str">
        <x:v>ENH-20260830-01</x:v>
      </x:c>
      <x:c r="Z746" t="str">
        <x:v>Active</x:v>
      </x:c>
      <x:c r="AA746"/>
      <x:c r="AB746"/>
      <x:c r="AC746"/>
      <x:c r="AD746"/>
    </x:row>
    <x:row r="747">
      <x:c r="A747" t="str">
        <x:v>PCC-PE-KG01-L22-20251022-PM-ORD-2025-00057-S01-C2</x:v>
      </x:c>
      <x:c r="B747" t="str">
        <x:v>PC-PE-KG01-L22-20251022-PM-ORD-2025-00057-S01</x:v>
      </x:c>
      <x:c r="C747" t="str">
        <x:v>PE-KG01-L22-20251022-PM-ORD-2025-00057</x:v>
      </x:c>
      <x:c r="D747" t="str">
        <x:v>KG01</x:v>
      </x:c>
      <x:c r="E747" s="62" t="n">
        <x:v>45952</x:v>
      </x:c>
      <x:c r="F747" t="str">
        <x:v>PM</x:v>
      </x:c>
      <x:c r="G747" t="str">
        <x:v>C</x:v>
      </x:c>
      <x:c r="H747" t="n">
        <x:v>22</x:v>
      </x:c>
      <x:c r="I747" t="str">
        <x:v>ORD-2025-00057</x:v>
      </x:c>
      <x:c r="J747" t="n">
        <x:v>1</x:v>
      </x:c>
      <x:c r="K747" t="n">
        <x:v>2</x:v>
      </x:c>
      <x:c r="L747" t="str">
        <x:v>L22-S01-C2</x:v>
      </x:c>
      <x:c r="M747" t="n">
        <x:v>1</x:v>
      </x:c>
      <x:c r="N747" t="str">
        <x:v>DerivedFromCount</x:v>
      </x:c>
      <x:c r="O747" t="str">
        <x:v>PLC-PRD-JAR-720-L22</x:v>
      </x:c>
      <x:c r="P747" t="str">
        <x:v>OK</x:v>
      </x:c>
      <x:c r="Q747" t="str">
        <x:v>OK</x:v>
      </x:c>
      <x:c r="R747" t="str">
        <x:v>OK</x:v>
      </x:c>
      <x:c r="S747" t="str">
        <x:v>OK</x:v>
      </x:c>
      <x:c r="T747" t="n">
        <x:v>20</x:v>
      </x:c>
      <x:c r="U747" t="str">
        <x:v>OK</x:v>
      </x:c>
      <x:c r="V747" t="str">
        <x:v>OK</x:v>
      </x:c>
      <x:c r="W747" t="str">
        <x:v>LOAD</x:v>
      </x:c>
      <x:c r="X747" t="str">
        <x:v>02_Supervisor_Log(4).xlsx</x:v>
      </x:c>
      <x:c r="Y747" t="str">
        <x:v>ENH-20260830-01</x:v>
      </x:c>
      <x:c r="Z747" t="str">
        <x:v>Active</x:v>
      </x:c>
      <x:c r="AA747"/>
      <x:c r="AB747"/>
      <x:c r="AC747"/>
      <x:c r="AD747"/>
    </x:row>
    <x:row r="748">
      <x:c r="A748" t="str">
        <x:v>PCC-PE-KG01-L22-20251022-PM-ORD-2025-00057-S01-C3</x:v>
      </x:c>
      <x:c r="B748" t="str">
        <x:v>PC-PE-KG01-L22-20251022-PM-ORD-2025-00057-S01</x:v>
      </x:c>
      <x:c r="C748" t="str">
        <x:v>PE-KG01-L22-20251022-PM-ORD-2025-00057</x:v>
      </x:c>
      <x:c r="D748" t="str">
        <x:v>KG01</x:v>
      </x:c>
      <x:c r="E748" s="62" t="n">
        <x:v>45952</x:v>
      </x:c>
      <x:c r="F748" t="str">
        <x:v>PM</x:v>
      </x:c>
      <x:c r="G748" t="str">
        <x:v>C</x:v>
      </x:c>
      <x:c r="H748" t="n">
        <x:v>22</x:v>
      </x:c>
      <x:c r="I748" t="str">
        <x:v>ORD-2025-00057</x:v>
      </x:c>
      <x:c r="J748" t="n">
        <x:v>1</x:v>
      </x:c>
      <x:c r="K748" t="n">
        <x:v>3</x:v>
      </x:c>
      <x:c r="L748" t="str">
        <x:v>L22-S01-C3</x:v>
      </x:c>
      <x:c r="M748" t="n">
        <x:v>0</x:v>
      </x:c>
      <x:c r="N748" t="str">
        <x:v>DerivedFromCount</x:v>
      </x:c>
      <x:c r="O748" t="str">
        <x:v>PLC-PRD-JAR-720-L22</x:v>
      </x:c>
      <x:c r="P748" t="str">
        <x:v>OK</x:v>
      </x:c>
      <x:c r="Q748" t="str">
        <x:v>OK</x:v>
      </x:c>
      <x:c r="R748" t="str">
        <x:v>OK</x:v>
      </x:c>
      <x:c r="S748" t="str">
        <x:v>OK</x:v>
      </x:c>
      <x:c r="T748" t="n">
        <x:v>20</x:v>
      </x:c>
      <x:c r="U748" t="str">
        <x:v>OK</x:v>
      </x:c>
      <x:c r="V748" t="str">
        <x:v>OK</x:v>
      </x:c>
      <x:c r="W748" t="str">
        <x:v>LOAD</x:v>
      </x:c>
      <x:c r="X748" t="str">
        <x:v>02_Supervisor_Log(4).xlsx</x:v>
      </x:c>
      <x:c r="Y748" t="str">
        <x:v>ENH-20260830-01</x:v>
      </x:c>
      <x:c r="Z748" t="str">
        <x:v>Active</x:v>
      </x:c>
      <x:c r="AA748"/>
      <x:c r="AB748"/>
      <x:c r="AC748"/>
      <x:c r="AD748"/>
    </x:row>
    <x:row r="749">
      <x:c r="A749" t="str">
        <x:v>PCC-PE-KG01-L22-20251022-PM-ORD-2025-00057-S02-C1</x:v>
      </x:c>
      <x:c r="B749" t="str">
        <x:v>PC-PE-KG01-L22-20251022-PM-ORD-2025-00057-S02</x:v>
      </x:c>
      <x:c r="C749" t="str">
        <x:v>PE-KG01-L22-20251022-PM-ORD-2025-00057</x:v>
      </x:c>
      <x:c r="D749" t="str">
        <x:v>KG01</x:v>
      </x:c>
      <x:c r="E749" s="62" t="n">
        <x:v>45952</x:v>
      </x:c>
      <x:c r="F749" t="str">
        <x:v>PM</x:v>
      </x:c>
      <x:c r="G749" t="str">
        <x:v>C</x:v>
      </x:c>
      <x:c r="H749" t="n">
        <x:v>22</x:v>
      </x:c>
      <x:c r="I749" t="str">
        <x:v>ORD-2025-00057</x:v>
      </x:c>
      <x:c r="J749" t="n">
        <x:v>2</x:v>
      </x:c>
      <x:c r="K749" t="n">
        <x:v>1</x:v>
      </x:c>
      <x:c r="L749" t="str">
        <x:v>L22-S02-C1</x:v>
      </x:c>
      <x:c r="M749" t="n">
        <x:v>1</x:v>
      </x:c>
      <x:c r="N749" t="str">
        <x:v>DerivedFromCount</x:v>
      </x:c>
      <x:c r="O749" t="str">
        <x:v>PLC-PRD-JAR-720-L22</x:v>
      </x:c>
      <x:c r="P749" t="str">
        <x:v>OK</x:v>
      </x:c>
      <x:c r="Q749" t="str">
        <x:v>OK</x:v>
      </x:c>
      <x:c r="R749" t="str">
        <x:v>OK</x:v>
      </x:c>
      <x:c r="S749" t="str">
        <x:v>OK</x:v>
      </x:c>
      <x:c r="T749" t="n">
        <x:v>20</x:v>
      </x:c>
      <x:c r="U749" t="str">
        <x:v>OK</x:v>
      </x:c>
      <x:c r="V749" t="str">
        <x:v>OK</x:v>
      </x:c>
      <x:c r="W749" t="str">
        <x:v>LOAD</x:v>
      </x:c>
      <x:c r="X749" t="str">
        <x:v>02_Supervisor_Log(4).xlsx</x:v>
      </x:c>
      <x:c r="Y749" t="str">
        <x:v>ENH-20260830-01</x:v>
      </x:c>
      <x:c r="Z749" t="str">
        <x:v>Active</x:v>
      </x:c>
      <x:c r="AA749"/>
      <x:c r="AB749"/>
      <x:c r="AC749"/>
      <x:c r="AD749"/>
    </x:row>
    <x:row r="750">
      <x:c r="A750" t="str">
        <x:v>PCC-PE-KG01-L22-20251022-PM-ORD-2025-00057-S02-C2</x:v>
      </x:c>
      <x:c r="B750" t="str">
        <x:v>PC-PE-KG01-L22-20251022-PM-ORD-2025-00057-S02</x:v>
      </x:c>
      <x:c r="C750" t="str">
        <x:v>PE-KG01-L22-20251022-PM-ORD-2025-00057</x:v>
      </x:c>
      <x:c r="D750" t="str">
        <x:v>KG01</x:v>
      </x:c>
      <x:c r="E750" s="62" t="n">
        <x:v>45952</x:v>
      </x:c>
      <x:c r="F750" t="str">
        <x:v>PM</x:v>
      </x:c>
      <x:c r="G750" t="str">
        <x:v>C</x:v>
      </x:c>
      <x:c r="H750" t="n">
        <x:v>22</x:v>
      </x:c>
      <x:c r="I750" t="str">
        <x:v>ORD-2025-00057</x:v>
      </x:c>
      <x:c r="J750" t="n">
        <x:v>2</x:v>
      </x:c>
      <x:c r="K750" t="n">
        <x:v>2</x:v>
      </x:c>
      <x:c r="L750" t="str">
        <x:v>L22-S02-C2</x:v>
      </x:c>
      <x:c r="M750" t="n">
        <x:v>1</x:v>
      </x:c>
      <x:c r="N750" t="str">
        <x:v>DerivedFromCount</x:v>
      </x:c>
      <x:c r="O750" t="str">
        <x:v>PLC-PRD-JAR-720-L22</x:v>
      </x:c>
      <x:c r="P750" t="str">
        <x:v>OK</x:v>
      </x:c>
      <x:c r="Q750" t="str">
        <x:v>OK</x:v>
      </x:c>
      <x:c r="R750" t="str">
        <x:v>OK</x:v>
      </x:c>
      <x:c r="S750" t="str">
        <x:v>OK</x:v>
      </x:c>
      <x:c r="T750" t="n">
        <x:v>20</x:v>
      </x:c>
      <x:c r="U750" t="str">
        <x:v>OK</x:v>
      </x:c>
      <x:c r="V750" t="str">
        <x:v>OK</x:v>
      </x:c>
      <x:c r="W750" t="str">
        <x:v>LOAD</x:v>
      </x:c>
      <x:c r="X750" t="str">
        <x:v>02_Supervisor_Log(4).xlsx</x:v>
      </x:c>
      <x:c r="Y750" t="str">
        <x:v>ENH-20260830-01</x:v>
      </x:c>
      <x:c r="Z750" t="str">
        <x:v>Active</x:v>
      </x:c>
      <x:c r="AA750"/>
      <x:c r="AB750"/>
      <x:c r="AC750"/>
      <x:c r="AD750"/>
    </x:row>
    <x:row r="751">
      <x:c r="A751" t="str">
        <x:v>PCC-PE-KG01-L22-20251022-PM-ORD-2025-00057-S02-C3</x:v>
      </x:c>
      <x:c r="B751" t="str">
        <x:v>PC-PE-KG01-L22-20251022-PM-ORD-2025-00057-S02</x:v>
      </x:c>
      <x:c r="C751" t="str">
        <x:v>PE-KG01-L22-20251022-PM-ORD-2025-00057</x:v>
      </x:c>
      <x:c r="D751" t="str">
        <x:v>KG01</x:v>
      </x:c>
      <x:c r="E751" s="62" t="n">
        <x:v>45952</x:v>
      </x:c>
      <x:c r="F751" t="str">
        <x:v>PM</x:v>
      </x:c>
      <x:c r="G751" t="str">
        <x:v>C</x:v>
      </x:c>
      <x:c r="H751" t="n">
        <x:v>22</x:v>
      </x:c>
      <x:c r="I751" t="str">
        <x:v>ORD-2025-00057</x:v>
      </x:c>
      <x:c r="J751" t="n">
        <x:v>2</x:v>
      </x:c>
      <x:c r="K751" t="n">
        <x:v>3</x:v>
      </x:c>
      <x:c r="L751" t="str">
        <x:v>L22-S02-C3</x:v>
      </x:c>
      <x:c r="M751" t="n">
        <x:v>0</x:v>
      </x:c>
      <x:c r="N751" t="str">
        <x:v>DerivedFromCount</x:v>
      </x:c>
      <x:c r="O751" t="str">
        <x:v>PLC-PRD-JAR-720-L22</x:v>
      </x:c>
      <x:c r="P751" t="str">
        <x:v>OK</x:v>
      </x:c>
      <x:c r="Q751" t="str">
        <x:v>OK</x:v>
      </x:c>
      <x:c r="R751" t="str">
        <x:v>OK</x:v>
      </x:c>
      <x:c r="S751" t="str">
        <x:v>OK</x:v>
      </x:c>
      <x:c r="T751" t="n">
        <x:v>20</x:v>
      </x:c>
      <x:c r="U751" t="str">
        <x:v>OK</x:v>
      </x:c>
      <x:c r="V751" t="str">
        <x:v>OK</x:v>
      </x:c>
      <x:c r="W751" t="str">
        <x:v>LOAD</x:v>
      </x:c>
      <x:c r="X751" t="str">
        <x:v>02_Supervisor_Log(4).xlsx</x:v>
      </x:c>
      <x:c r="Y751" t="str">
        <x:v>ENH-20260830-01</x:v>
      </x:c>
      <x:c r="Z751" t="str">
        <x:v>Active</x:v>
      </x:c>
      <x:c r="AA751"/>
      <x:c r="AB751"/>
      <x:c r="AC751"/>
      <x:c r="AD751"/>
    </x:row>
    <x:row r="752">
      <x:c r="A752" t="str">
        <x:v>PCC-PE-KG01-L22-20251022-PM-ORD-2025-00057-S03-C1</x:v>
      </x:c>
      <x:c r="B752" t="str">
        <x:v>PC-PE-KG01-L22-20251022-PM-ORD-2025-00057-S03</x:v>
      </x:c>
      <x:c r="C752" t="str">
        <x:v>PE-KG01-L22-20251022-PM-ORD-2025-00057</x:v>
      </x:c>
      <x:c r="D752" t="str">
        <x:v>KG01</x:v>
      </x:c>
      <x:c r="E752" s="62" t="n">
        <x:v>45952</x:v>
      </x:c>
      <x:c r="F752" t="str">
        <x:v>PM</x:v>
      </x:c>
      <x:c r="G752" t="str">
        <x:v>C</x:v>
      </x:c>
      <x:c r="H752" t="n">
        <x:v>22</x:v>
      </x:c>
      <x:c r="I752" t="str">
        <x:v>ORD-2025-00057</x:v>
      </x:c>
      <x:c r="J752" t="n">
        <x:v>3</x:v>
      </x:c>
      <x:c r="K752" t="n">
        <x:v>1</x:v>
      </x:c>
      <x:c r="L752" t="str">
        <x:v>L22-S03-C1</x:v>
      </x:c>
      <x:c r="M752" t="n">
        <x:v>1</x:v>
      </x:c>
      <x:c r="N752" t="str">
        <x:v>DerivedFromCount</x:v>
      </x:c>
      <x:c r="O752" t="str">
        <x:v>PLC-PRD-JAR-720-L22</x:v>
      </x:c>
      <x:c r="P752" t="str">
        <x:v>OK</x:v>
      </x:c>
      <x:c r="Q752" t="str">
        <x:v>OK</x:v>
      </x:c>
      <x:c r="R752" t="str">
        <x:v>OK</x:v>
      </x:c>
      <x:c r="S752" t="str">
        <x:v>OK</x:v>
      </x:c>
      <x:c r="T752" t="n">
        <x:v>20</x:v>
      </x:c>
      <x:c r="U752" t="str">
        <x:v>OK</x:v>
      </x:c>
      <x:c r="V752" t="str">
        <x:v>OK</x:v>
      </x:c>
      <x:c r="W752" t="str">
        <x:v>LOAD</x:v>
      </x:c>
      <x:c r="X752" t="str">
        <x:v>02_Supervisor_Log(4).xlsx</x:v>
      </x:c>
      <x:c r="Y752" t="str">
        <x:v>ENH-20260830-01</x:v>
      </x:c>
      <x:c r="Z752" t="str">
        <x:v>Active</x:v>
      </x:c>
      <x:c r="AA752"/>
      <x:c r="AB752"/>
      <x:c r="AC752"/>
      <x:c r="AD752"/>
    </x:row>
    <x:row r="753">
      <x:c r="A753" t="str">
        <x:v>PCC-PE-KG01-L22-20251022-PM-ORD-2025-00057-S03-C2</x:v>
      </x:c>
      <x:c r="B753" t="str">
        <x:v>PC-PE-KG01-L22-20251022-PM-ORD-2025-00057-S03</x:v>
      </x:c>
      <x:c r="C753" t="str">
        <x:v>PE-KG01-L22-20251022-PM-ORD-2025-00057</x:v>
      </x:c>
      <x:c r="D753" t="str">
        <x:v>KG01</x:v>
      </x:c>
      <x:c r="E753" s="62" t="n">
        <x:v>45952</x:v>
      </x:c>
      <x:c r="F753" t="str">
        <x:v>PM</x:v>
      </x:c>
      <x:c r="G753" t="str">
        <x:v>C</x:v>
      </x:c>
      <x:c r="H753" t="n">
        <x:v>22</x:v>
      </x:c>
      <x:c r="I753" t="str">
        <x:v>ORD-2025-00057</x:v>
      </x:c>
      <x:c r="J753" t="n">
        <x:v>3</x:v>
      </x:c>
      <x:c r="K753" t="n">
        <x:v>2</x:v>
      </x:c>
      <x:c r="L753" t="str">
        <x:v>L22-S03-C2</x:v>
      </x:c>
      <x:c r="M753" t="n">
        <x:v>1</x:v>
      </x:c>
      <x:c r="N753" t="str">
        <x:v>DerivedFromCount</x:v>
      </x:c>
      <x:c r="O753" t="str">
        <x:v>PLC-PRD-JAR-720-L22</x:v>
      </x:c>
      <x:c r="P753" t="str">
        <x:v>OK</x:v>
      </x:c>
      <x:c r="Q753" t="str">
        <x:v>OK</x:v>
      </x:c>
      <x:c r="R753" t="str">
        <x:v>OK</x:v>
      </x:c>
      <x:c r="S753" t="str">
        <x:v>OK</x:v>
      </x:c>
      <x:c r="T753" t="n">
        <x:v>20</x:v>
      </x:c>
      <x:c r="U753" t="str">
        <x:v>OK</x:v>
      </x:c>
      <x:c r="V753" t="str">
        <x:v>OK</x:v>
      </x:c>
      <x:c r="W753" t="str">
        <x:v>LOAD</x:v>
      </x:c>
      <x:c r="X753" t="str">
        <x:v>02_Supervisor_Log(4).xlsx</x:v>
      </x:c>
      <x:c r="Y753" t="str">
        <x:v>ENH-20260830-01</x:v>
      </x:c>
      <x:c r="Z753" t="str">
        <x:v>Active</x:v>
      </x:c>
      <x:c r="AA753"/>
      <x:c r="AB753"/>
      <x:c r="AC753"/>
      <x:c r="AD753"/>
    </x:row>
    <x:row r="754">
      <x:c r="A754" t="str">
        <x:v>PCC-PE-KG01-L22-20251022-PM-ORD-2025-00057-S03-C3</x:v>
      </x:c>
      <x:c r="B754" t="str">
        <x:v>PC-PE-KG01-L22-20251022-PM-ORD-2025-00057-S03</x:v>
      </x:c>
      <x:c r="C754" t="str">
        <x:v>PE-KG01-L22-20251022-PM-ORD-2025-00057</x:v>
      </x:c>
      <x:c r="D754" t="str">
        <x:v>KG01</x:v>
      </x:c>
      <x:c r="E754" s="62" t="n">
        <x:v>45952</x:v>
      </x:c>
      <x:c r="F754" t="str">
        <x:v>PM</x:v>
      </x:c>
      <x:c r="G754" t="str">
        <x:v>C</x:v>
      </x:c>
      <x:c r="H754" t="n">
        <x:v>22</x:v>
      </x:c>
      <x:c r="I754" t="str">
        <x:v>ORD-2025-00057</x:v>
      </x:c>
      <x:c r="J754" t="n">
        <x:v>3</x:v>
      </x:c>
      <x:c r="K754" t="n">
        <x:v>3</x:v>
      </x:c>
      <x:c r="L754" t="str">
        <x:v>L22-S03-C3</x:v>
      </x:c>
      <x:c r="M754" t="n">
        <x:v>0</x:v>
      </x:c>
      <x:c r="N754" t="str">
        <x:v>DerivedFromCount</x:v>
      </x:c>
      <x:c r="O754" t="str">
        <x:v>PLC-PRD-JAR-720-L22</x:v>
      </x:c>
      <x:c r="P754" t="str">
        <x:v>OK</x:v>
      </x:c>
      <x:c r="Q754" t="str">
        <x:v>OK</x:v>
      </x:c>
      <x:c r="R754" t="str">
        <x:v>OK</x:v>
      </x:c>
      <x:c r="S754" t="str">
        <x:v>OK</x:v>
      </x:c>
      <x:c r="T754" t="n">
        <x:v>20</x:v>
      </x:c>
      <x:c r="U754" t="str">
        <x:v>OK</x:v>
      </x:c>
      <x:c r="V754" t="str">
        <x:v>OK</x:v>
      </x:c>
      <x:c r="W754" t="str">
        <x:v>LOAD</x:v>
      </x:c>
      <x:c r="X754" t="str">
        <x:v>02_Supervisor_Log(4).xlsx</x:v>
      </x:c>
      <x:c r="Y754" t="str">
        <x:v>ENH-20260830-01</x:v>
      </x:c>
      <x:c r="Z754" t="str">
        <x:v>Active</x:v>
      </x:c>
      <x:c r="AA754"/>
      <x:c r="AB754"/>
      <x:c r="AC754"/>
      <x:c r="AD754"/>
    </x:row>
    <x:row r="755">
      <x:c r="A755" t="str">
        <x:v>PCC-PE-KG01-L22-20251022-PM-ORD-2025-00057-S04-C1</x:v>
      </x:c>
      <x:c r="B755" t="str">
        <x:v>PC-PE-KG01-L22-20251022-PM-ORD-2025-00057-S04</x:v>
      </x:c>
      <x:c r="C755" t="str">
        <x:v>PE-KG01-L22-20251022-PM-ORD-2025-00057</x:v>
      </x:c>
      <x:c r="D755" t="str">
        <x:v>KG01</x:v>
      </x:c>
      <x:c r="E755" s="62" t="n">
        <x:v>45952</x:v>
      </x:c>
      <x:c r="F755" t="str">
        <x:v>PM</x:v>
      </x:c>
      <x:c r="G755" t="str">
        <x:v>C</x:v>
      </x:c>
      <x:c r="H755" t="n">
        <x:v>22</x:v>
      </x:c>
      <x:c r="I755" t="str">
        <x:v>ORD-2025-00057</x:v>
      </x:c>
      <x:c r="J755" t="n">
        <x:v>4</x:v>
      </x:c>
      <x:c r="K755" t="n">
        <x:v>1</x:v>
      </x:c>
      <x:c r="L755" t="str">
        <x:v>L22-S04-C1</x:v>
      </x:c>
      <x:c r="M755" t="n">
        <x:v>1</x:v>
      </x:c>
      <x:c r="N755" t="str">
        <x:v>DerivedFromCount</x:v>
      </x:c>
      <x:c r="O755" t="str">
        <x:v>PLC-PRD-JAR-720-L22</x:v>
      </x:c>
      <x:c r="P755" t="str">
        <x:v>OK</x:v>
      </x:c>
      <x:c r="Q755" t="str">
        <x:v>OK</x:v>
      </x:c>
      <x:c r="R755" t="str">
        <x:v>OK</x:v>
      </x:c>
      <x:c r="S755" t="str">
        <x:v>OK</x:v>
      </x:c>
      <x:c r="T755" t="n">
        <x:v>20</x:v>
      </x:c>
      <x:c r="U755" t="str">
        <x:v>OK</x:v>
      </x:c>
      <x:c r="V755" t="str">
        <x:v>OK</x:v>
      </x:c>
      <x:c r="W755" t="str">
        <x:v>LOAD</x:v>
      </x:c>
      <x:c r="X755" t="str">
        <x:v>02_Supervisor_Log(4).xlsx</x:v>
      </x:c>
      <x:c r="Y755" t="str">
        <x:v>ENH-20260830-01</x:v>
      </x:c>
      <x:c r="Z755" t="str">
        <x:v>Active</x:v>
      </x:c>
      <x:c r="AA755"/>
      <x:c r="AB755"/>
      <x:c r="AC755"/>
      <x:c r="AD755"/>
    </x:row>
    <x:row r="756">
      <x:c r="A756" t="str">
        <x:v>PCC-PE-KG01-L22-20251022-PM-ORD-2025-00057-S04-C2</x:v>
      </x:c>
      <x:c r="B756" t="str">
        <x:v>PC-PE-KG01-L22-20251022-PM-ORD-2025-00057-S04</x:v>
      </x:c>
      <x:c r="C756" t="str">
        <x:v>PE-KG01-L22-20251022-PM-ORD-2025-00057</x:v>
      </x:c>
      <x:c r="D756" t="str">
        <x:v>KG01</x:v>
      </x:c>
      <x:c r="E756" s="62" t="n">
        <x:v>45952</x:v>
      </x:c>
      <x:c r="F756" t="str">
        <x:v>PM</x:v>
      </x:c>
      <x:c r="G756" t="str">
        <x:v>C</x:v>
      </x:c>
      <x:c r="H756" t="n">
        <x:v>22</x:v>
      </x:c>
      <x:c r="I756" t="str">
        <x:v>ORD-2025-00057</x:v>
      </x:c>
      <x:c r="J756" t="n">
        <x:v>4</x:v>
      </x:c>
      <x:c r="K756" t="n">
        <x:v>2</x:v>
      </x:c>
      <x:c r="L756" t="str">
        <x:v>L22-S04-C2</x:v>
      </x:c>
      <x:c r="M756" t="n">
        <x:v>1</x:v>
      </x:c>
      <x:c r="N756" t="str">
        <x:v>DerivedFromCount</x:v>
      </x:c>
      <x:c r="O756" t="str">
        <x:v>PLC-PRD-JAR-720-L22</x:v>
      </x:c>
      <x:c r="P756" t="str">
        <x:v>OK</x:v>
      </x:c>
      <x:c r="Q756" t="str">
        <x:v>OK</x:v>
      </x:c>
      <x:c r="R756" t="str">
        <x:v>OK</x:v>
      </x:c>
      <x:c r="S756" t="str">
        <x:v>OK</x:v>
      </x:c>
      <x:c r="T756" t="n">
        <x:v>20</x:v>
      </x:c>
      <x:c r="U756" t="str">
        <x:v>OK</x:v>
      </x:c>
      <x:c r="V756" t="str">
        <x:v>OK</x:v>
      </x:c>
      <x:c r="W756" t="str">
        <x:v>LOAD</x:v>
      </x:c>
      <x:c r="X756" t="str">
        <x:v>02_Supervisor_Log(4).xlsx</x:v>
      </x:c>
      <x:c r="Y756" t="str">
        <x:v>ENH-20260830-01</x:v>
      </x:c>
      <x:c r="Z756" t="str">
        <x:v>Active</x:v>
      </x:c>
      <x:c r="AA756"/>
      <x:c r="AB756"/>
      <x:c r="AC756"/>
      <x:c r="AD756"/>
    </x:row>
    <x:row r="757">
      <x:c r="A757" t="str">
        <x:v>PCC-PE-KG01-L22-20251022-PM-ORD-2025-00057-S04-C3</x:v>
      </x:c>
      <x:c r="B757" t="str">
        <x:v>PC-PE-KG01-L22-20251022-PM-ORD-2025-00057-S04</x:v>
      </x:c>
      <x:c r="C757" t="str">
        <x:v>PE-KG01-L22-20251022-PM-ORD-2025-00057</x:v>
      </x:c>
      <x:c r="D757" t="str">
        <x:v>KG01</x:v>
      </x:c>
      <x:c r="E757" s="62" t="n">
        <x:v>45952</x:v>
      </x:c>
      <x:c r="F757" t="str">
        <x:v>PM</x:v>
      </x:c>
      <x:c r="G757" t="str">
        <x:v>C</x:v>
      </x:c>
      <x:c r="H757" t="n">
        <x:v>22</x:v>
      </x:c>
      <x:c r="I757" t="str">
        <x:v>ORD-2025-00057</x:v>
      </x:c>
      <x:c r="J757" t="n">
        <x:v>4</x:v>
      </x:c>
      <x:c r="K757" t="n">
        <x:v>3</x:v>
      </x:c>
      <x:c r="L757" t="str">
        <x:v>L22-S04-C3</x:v>
      </x:c>
      <x:c r="M757" t="n">
        <x:v>0</x:v>
      </x:c>
      <x:c r="N757" t="str">
        <x:v>DerivedFromCount</x:v>
      </x:c>
      <x:c r="O757" t="str">
        <x:v>PLC-PRD-JAR-720-L22</x:v>
      </x:c>
      <x:c r="P757" t="str">
        <x:v>OK</x:v>
      </x:c>
      <x:c r="Q757" t="str">
        <x:v>OK</x:v>
      </x:c>
      <x:c r="R757" t="str">
        <x:v>OK</x:v>
      </x:c>
      <x:c r="S757" t="str">
        <x:v>OK</x:v>
      </x:c>
      <x:c r="T757" t="n">
        <x:v>20</x:v>
      </x:c>
      <x:c r="U757" t="str">
        <x:v>OK</x:v>
      </x:c>
      <x:c r="V757" t="str">
        <x:v>OK</x:v>
      </x:c>
      <x:c r="W757" t="str">
        <x:v>LOAD</x:v>
      </x:c>
      <x:c r="X757" t="str">
        <x:v>02_Supervisor_Log(4).xlsx</x:v>
      </x:c>
      <x:c r="Y757" t="str">
        <x:v>ENH-20260830-01</x:v>
      </x:c>
      <x:c r="Z757" t="str">
        <x:v>Active</x:v>
      </x:c>
      <x:c r="AA757"/>
      <x:c r="AB757"/>
      <x:c r="AC757"/>
      <x:c r="AD757"/>
    </x:row>
    <x:row r="758">
      <x:c r="A758" t="str">
        <x:v>PCC-PE-KG01-L22-20251022-PM-ORD-2025-00057-S05-C1</x:v>
      </x:c>
      <x:c r="B758" t="str">
        <x:v>PC-PE-KG01-L22-20251022-PM-ORD-2025-00057-S05</x:v>
      </x:c>
      <x:c r="C758" t="str">
        <x:v>PE-KG01-L22-20251022-PM-ORD-2025-00057</x:v>
      </x:c>
      <x:c r="D758" t="str">
        <x:v>KG01</x:v>
      </x:c>
      <x:c r="E758" s="62" t="n">
        <x:v>45952</x:v>
      </x:c>
      <x:c r="F758" t="str">
        <x:v>PM</x:v>
      </x:c>
      <x:c r="G758" t="str">
        <x:v>C</x:v>
      </x:c>
      <x:c r="H758" t="n">
        <x:v>22</x:v>
      </x:c>
      <x:c r="I758" t="str">
        <x:v>ORD-2025-00057</x:v>
      </x:c>
      <x:c r="J758" t="n">
        <x:v>5</x:v>
      </x:c>
      <x:c r="K758" t="n">
        <x:v>1</x:v>
      </x:c>
      <x:c r="L758" t="str">
        <x:v>L22-S05-C1</x:v>
      </x:c>
      <x:c r="M758" t="n">
        <x:v>1</x:v>
      </x:c>
      <x:c r="N758" t="str">
        <x:v>DerivedFromCount</x:v>
      </x:c>
      <x:c r="O758" t="str">
        <x:v>PLC-PRD-JAR-720-L22</x:v>
      </x:c>
      <x:c r="P758" t="str">
        <x:v>OK</x:v>
      </x:c>
      <x:c r="Q758" t="str">
        <x:v>OK</x:v>
      </x:c>
      <x:c r="R758" t="str">
        <x:v>OK</x:v>
      </x:c>
      <x:c r="S758" t="str">
        <x:v>OK</x:v>
      </x:c>
      <x:c r="T758" t="n">
        <x:v>20</x:v>
      </x:c>
      <x:c r="U758" t="str">
        <x:v>OK</x:v>
      </x:c>
      <x:c r="V758" t="str">
        <x:v>OK</x:v>
      </x:c>
      <x:c r="W758" t="str">
        <x:v>LOAD</x:v>
      </x:c>
      <x:c r="X758" t="str">
        <x:v>02_Supervisor_Log(4).xlsx</x:v>
      </x:c>
      <x:c r="Y758" t="str">
        <x:v>ENH-20260830-01</x:v>
      </x:c>
      <x:c r="Z758" t="str">
        <x:v>Active</x:v>
      </x:c>
      <x:c r="AA758"/>
      <x:c r="AB758"/>
      <x:c r="AC758"/>
      <x:c r="AD758"/>
    </x:row>
    <x:row r="759">
      <x:c r="A759" t="str">
        <x:v>PCC-PE-KG01-L22-20251022-PM-ORD-2025-00057-S05-C2</x:v>
      </x:c>
      <x:c r="B759" t="str">
        <x:v>PC-PE-KG01-L22-20251022-PM-ORD-2025-00057-S05</x:v>
      </x:c>
      <x:c r="C759" t="str">
        <x:v>PE-KG01-L22-20251022-PM-ORD-2025-00057</x:v>
      </x:c>
      <x:c r="D759" t="str">
        <x:v>KG01</x:v>
      </x:c>
      <x:c r="E759" s="62" t="n">
        <x:v>45952</x:v>
      </x:c>
      <x:c r="F759" t="str">
        <x:v>PM</x:v>
      </x:c>
      <x:c r="G759" t="str">
        <x:v>C</x:v>
      </x:c>
      <x:c r="H759" t="n">
        <x:v>22</x:v>
      </x:c>
      <x:c r="I759" t="str">
        <x:v>ORD-2025-00057</x:v>
      </x:c>
      <x:c r="J759" t="n">
        <x:v>5</x:v>
      </x:c>
      <x:c r="K759" t="n">
        <x:v>2</x:v>
      </x:c>
      <x:c r="L759" t="str">
        <x:v>L22-S05-C2</x:v>
      </x:c>
      <x:c r="M759" t="n">
        <x:v>1</x:v>
      </x:c>
      <x:c r="N759" t="str">
        <x:v>DerivedFromCount</x:v>
      </x:c>
      <x:c r="O759" t="str">
        <x:v>PLC-PRD-JAR-720-L22</x:v>
      </x:c>
      <x:c r="P759" t="str">
        <x:v>OK</x:v>
      </x:c>
      <x:c r="Q759" t="str">
        <x:v>OK</x:v>
      </x:c>
      <x:c r="R759" t="str">
        <x:v>OK</x:v>
      </x:c>
      <x:c r="S759" t="str">
        <x:v>OK</x:v>
      </x:c>
      <x:c r="T759" t="n">
        <x:v>20</x:v>
      </x:c>
      <x:c r="U759" t="str">
        <x:v>OK</x:v>
      </x:c>
      <x:c r="V759" t="str">
        <x:v>OK</x:v>
      </x:c>
      <x:c r="W759" t="str">
        <x:v>LOAD</x:v>
      </x:c>
      <x:c r="X759" t="str">
        <x:v>02_Supervisor_Log(4).xlsx</x:v>
      </x:c>
      <x:c r="Y759" t="str">
        <x:v>ENH-20260830-01</x:v>
      </x:c>
      <x:c r="Z759" t="str">
        <x:v>Active</x:v>
      </x:c>
      <x:c r="AA759"/>
      <x:c r="AB759"/>
      <x:c r="AC759"/>
      <x:c r="AD759"/>
    </x:row>
    <x:row r="760">
      <x:c r="A760" t="str">
        <x:v>PCC-PE-KG01-L22-20251022-PM-ORD-2025-00057-S05-C3</x:v>
      </x:c>
      <x:c r="B760" t="str">
        <x:v>PC-PE-KG01-L22-20251022-PM-ORD-2025-00057-S05</x:v>
      </x:c>
      <x:c r="C760" t="str">
        <x:v>PE-KG01-L22-20251022-PM-ORD-2025-00057</x:v>
      </x:c>
      <x:c r="D760" t="str">
        <x:v>KG01</x:v>
      </x:c>
      <x:c r="E760" s="62" t="n">
        <x:v>45952</x:v>
      </x:c>
      <x:c r="F760" t="str">
        <x:v>PM</x:v>
      </x:c>
      <x:c r="G760" t="str">
        <x:v>C</x:v>
      </x:c>
      <x:c r="H760" t="n">
        <x:v>22</x:v>
      </x:c>
      <x:c r="I760" t="str">
        <x:v>ORD-2025-00057</x:v>
      </x:c>
      <x:c r="J760" t="n">
        <x:v>5</x:v>
      </x:c>
      <x:c r="K760" t="n">
        <x:v>3</x:v>
      </x:c>
      <x:c r="L760" t="str">
        <x:v>L22-S05-C3</x:v>
      </x:c>
      <x:c r="M760" t="n">
        <x:v>0</x:v>
      </x:c>
      <x:c r="N760" t="str">
        <x:v>DerivedFromCount</x:v>
      </x:c>
      <x:c r="O760" t="str">
        <x:v>PLC-PRD-JAR-720-L22</x:v>
      </x:c>
      <x:c r="P760" t="str">
        <x:v>OK</x:v>
      </x:c>
      <x:c r="Q760" t="str">
        <x:v>OK</x:v>
      </x:c>
      <x:c r="R760" t="str">
        <x:v>OK</x:v>
      </x:c>
      <x:c r="S760" t="str">
        <x:v>OK</x:v>
      </x:c>
      <x:c r="T760" t="n">
        <x:v>20</x:v>
      </x:c>
      <x:c r="U760" t="str">
        <x:v>OK</x:v>
      </x:c>
      <x:c r="V760" t="str">
        <x:v>OK</x:v>
      </x:c>
      <x:c r="W760" t="str">
        <x:v>LOAD</x:v>
      </x:c>
      <x:c r="X760" t="str">
        <x:v>02_Supervisor_Log(4).xlsx</x:v>
      </x:c>
      <x:c r="Y760" t="str">
        <x:v>ENH-20260830-01</x:v>
      </x:c>
      <x:c r="Z760" t="str">
        <x:v>Active</x:v>
      </x:c>
      <x:c r="AA760"/>
      <x:c r="AB760"/>
      <x:c r="AC760"/>
      <x:c r="AD760"/>
    </x:row>
    <x:row r="761">
      <x:c r="A761" t="str">
        <x:v>PCC-PE-KG01-L22-20251022-PM-ORD-2025-00057-S06-C1</x:v>
      </x:c>
      <x:c r="B761" t="str">
        <x:v>PC-PE-KG01-L22-20251022-PM-ORD-2025-00057-S06</x:v>
      </x:c>
      <x:c r="C761" t="str">
        <x:v>PE-KG01-L22-20251022-PM-ORD-2025-00057</x:v>
      </x:c>
      <x:c r="D761" t="str">
        <x:v>KG01</x:v>
      </x:c>
      <x:c r="E761" s="62" t="n">
        <x:v>45952</x:v>
      </x:c>
      <x:c r="F761" t="str">
        <x:v>PM</x:v>
      </x:c>
      <x:c r="G761" t="str">
        <x:v>C</x:v>
      </x:c>
      <x:c r="H761" t="n">
        <x:v>22</x:v>
      </x:c>
      <x:c r="I761" t="str">
        <x:v>ORD-2025-00057</x:v>
      </x:c>
      <x:c r="J761" t="n">
        <x:v>6</x:v>
      </x:c>
      <x:c r="K761" t="n">
        <x:v>1</x:v>
      </x:c>
      <x:c r="L761" t="str">
        <x:v>L22-S06-C1</x:v>
      </x:c>
      <x:c r="M761" t="n">
        <x:v>1</x:v>
      </x:c>
      <x:c r="N761" t="str">
        <x:v>DerivedFromCount</x:v>
      </x:c>
      <x:c r="O761" t="str">
        <x:v>PLC-PRD-JAR-720-L22</x:v>
      </x:c>
      <x:c r="P761" t="str">
        <x:v>OK</x:v>
      </x:c>
      <x:c r="Q761" t="str">
        <x:v>OK</x:v>
      </x:c>
      <x:c r="R761" t="str">
        <x:v>OK</x:v>
      </x:c>
      <x:c r="S761" t="str">
        <x:v>OK</x:v>
      </x:c>
      <x:c r="T761" t="n">
        <x:v>20</x:v>
      </x:c>
      <x:c r="U761" t="str">
        <x:v>OK</x:v>
      </x:c>
      <x:c r="V761" t="str">
        <x:v>OK</x:v>
      </x:c>
      <x:c r="W761" t="str">
        <x:v>LOAD</x:v>
      </x:c>
      <x:c r="X761" t="str">
        <x:v>02_Supervisor_Log(4).xlsx</x:v>
      </x:c>
      <x:c r="Y761" t="str">
        <x:v>ENH-20260830-01</x:v>
      </x:c>
      <x:c r="Z761" t="str">
        <x:v>Active</x:v>
      </x:c>
      <x:c r="AA761"/>
      <x:c r="AB761"/>
      <x:c r="AC761"/>
      <x:c r="AD761"/>
    </x:row>
    <x:row r="762">
      <x:c r="A762" t="str">
        <x:v>PCC-PE-KG01-L22-20251022-PM-ORD-2025-00057-S06-C2</x:v>
      </x:c>
      <x:c r="B762" t="str">
        <x:v>PC-PE-KG01-L22-20251022-PM-ORD-2025-00057-S06</x:v>
      </x:c>
      <x:c r="C762" t="str">
        <x:v>PE-KG01-L22-20251022-PM-ORD-2025-00057</x:v>
      </x:c>
      <x:c r="D762" t="str">
        <x:v>KG01</x:v>
      </x:c>
      <x:c r="E762" s="62" t="n">
        <x:v>45952</x:v>
      </x:c>
      <x:c r="F762" t="str">
        <x:v>PM</x:v>
      </x:c>
      <x:c r="G762" t="str">
        <x:v>C</x:v>
      </x:c>
      <x:c r="H762" t="n">
        <x:v>22</x:v>
      </x:c>
      <x:c r="I762" t="str">
        <x:v>ORD-2025-00057</x:v>
      </x:c>
      <x:c r="J762" t="n">
        <x:v>6</x:v>
      </x:c>
      <x:c r="K762" t="n">
        <x:v>2</x:v>
      </x:c>
      <x:c r="L762" t="str">
        <x:v>L22-S06-C2</x:v>
      </x:c>
      <x:c r="M762" t="n">
        <x:v>1</x:v>
      </x:c>
      <x:c r="N762" t="str">
        <x:v>DerivedFromCount</x:v>
      </x:c>
      <x:c r="O762" t="str">
        <x:v>PLC-PRD-JAR-720-L22</x:v>
      </x:c>
      <x:c r="P762" t="str">
        <x:v>OK</x:v>
      </x:c>
      <x:c r="Q762" t="str">
        <x:v>OK</x:v>
      </x:c>
      <x:c r="R762" t="str">
        <x:v>OK</x:v>
      </x:c>
      <x:c r="S762" t="str">
        <x:v>OK</x:v>
      </x:c>
      <x:c r="T762" t="n">
        <x:v>20</x:v>
      </x:c>
      <x:c r="U762" t="str">
        <x:v>OK</x:v>
      </x:c>
      <x:c r="V762" t="str">
        <x:v>OK</x:v>
      </x:c>
      <x:c r="W762" t="str">
        <x:v>LOAD</x:v>
      </x:c>
      <x:c r="X762" t="str">
        <x:v>02_Supervisor_Log(4).xlsx</x:v>
      </x:c>
      <x:c r="Y762" t="str">
        <x:v>ENH-20260830-01</x:v>
      </x:c>
      <x:c r="Z762" t="str">
        <x:v>Active</x:v>
      </x:c>
      <x:c r="AA762"/>
      <x:c r="AB762"/>
      <x:c r="AC762"/>
      <x:c r="AD762"/>
    </x:row>
    <x:row r="763">
      <x:c r="A763" t="str">
        <x:v>PCC-PE-KG01-L22-20251022-PM-ORD-2025-00057-S06-C3</x:v>
      </x:c>
      <x:c r="B763" t="str">
        <x:v>PC-PE-KG01-L22-20251022-PM-ORD-2025-00057-S06</x:v>
      </x:c>
      <x:c r="C763" t="str">
        <x:v>PE-KG01-L22-20251022-PM-ORD-2025-00057</x:v>
      </x:c>
      <x:c r="D763" t="str">
        <x:v>KG01</x:v>
      </x:c>
      <x:c r="E763" s="62" t="n">
        <x:v>45952</x:v>
      </x:c>
      <x:c r="F763" t="str">
        <x:v>PM</x:v>
      </x:c>
      <x:c r="G763" t="str">
        <x:v>C</x:v>
      </x:c>
      <x:c r="H763" t="n">
        <x:v>22</x:v>
      </x:c>
      <x:c r="I763" t="str">
        <x:v>ORD-2025-00057</x:v>
      </x:c>
      <x:c r="J763" t="n">
        <x:v>6</x:v>
      </x:c>
      <x:c r="K763" t="n">
        <x:v>3</x:v>
      </x:c>
      <x:c r="L763" t="str">
        <x:v>L22-S06-C3</x:v>
      </x:c>
      <x:c r="M763" t="n">
        <x:v>0</x:v>
      </x:c>
      <x:c r="N763" t="str">
        <x:v>DerivedFromCount</x:v>
      </x:c>
      <x:c r="O763" t="str">
        <x:v>PLC-PRD-JAR-720-L22</x:v>
      </x:c>
      <x:c r="P763" t="str">
        <x:v>OK</x:v>
      </x:c>
      <x:c r="Q763" t="str">
        <x:v>OK</x:v>
      </x:c>
      <x:c r="R763" t="str">
        <x:v>OK</x:v>
      </x:c>
      <x:c r="S763" t="str">
        <x:v>OK</x:v>
      </x:c>
      <x:c r="T763" t="n">
        <x:v>20</x:v>
      </x:c>
      <x:c r="U763" t="str">
        <x:v>OK</x:v>
      </x:c>
      <x:c r="V763" t="str">
        <x:v>OK</x:v>
      </x:c>
      <x:c r="W763" t="str">
        <x:v>LOAD</x:v>
      </x:c>
      <x:c r="X763" t="str">
        <x:v>02_Supervisor_Log(4).xlsx</x:v>
      </x:c>
      <x:c r="Y763" t="str">
        <x:v>ENH-20260830-01</x:v>
      </x:c>
      <x:c r="Z763" t="str">
        <x:v>Active</x:v>
      </x:c>
      <x:c r="AA763"/>
      <x:c r="AB763"/>
      <x:c r="AC763"/>
      <x:c r="AD763"/>
    </x:row>
    <x:row r="764">
      <x:c r="A764" t="str">
        <x:v>PCC-PE-KG01-L22-20251022-PM-ORD-2025-00057-S07-C1</x:v>
      </x:c>
      <x:c r="B764" t="str">
        <x:v>PC-PE-KG01-L22-20251022-PM-ORD-2025-00057-S07</x:v>
      </x:c>
      <x:c r="C764" t="str">
        <x:v>PE-KG01-L22-20251022-PM-ORD-2025-00057</x:v>
      </x:c>
      <x:c r="D764" t="str">
        <x:v>KG01</x:v>
      </x:c>
      <x:c r="E764" s="62" t="n">
        <x:v>45952</x:v>
      </x:c>
      <x:c r="F764" t="str">
        <x:v>PM</x:v>
      </x:c>
      <x:c r="G764" t="str">
        <x:v>C</x:v>
      </x:c>
      <x:c r="H764" t="n">
        <x:v>22</x:v>
      </x:c>
      <x:c r="I764" t="str">
        <x:v>ORD-2025-00057</x:v>
      </x:c>
      <x:c r="J764" t="n">
        <x:v>7</x:v>
      </x:c>
      <x:c r="K764" t="n">
        <x:v>1</x:v>
      </x:c>
      <x:c r="L764" t="str">
        <x:v>L22-S07-C1</x:v>
      </x:c>
      <x:c r="M764" t="n">
        <x:v>1</x:v>
      </x:c>
      <x:c r="N764" t="str">
        <x:v>DerivedFromCount</x:v>
      </x:c>
      <x:c r="O764" t="str">
        <x:v>PLC-PRD-JAR-720-L22</x:v>
      </x:c>
      <x:c r="P764" t="str">
        <x:v>OK</x:v>
      </x:c>
      <x:c r="Q764" t="str">
        <x:v>OK</x:v>
      </x:c>
      <x:c r="R764" t="str">
        <x:v>OK</x:v>
      </x:c>
      <x:c r="S764" t="str">
        <x:v>OK</x:v>
      </x:c>
      <x:c r="T764" t="n">
        <x:v>20</x:v>
      </x:c>
      <x:c r="U764" t="str">
        <x:v>OK</x:v>
      </x:c>
      <x:c r="V764" t="str">
        <x:v>OK</x:v>
      </x:c>
      <x:c r="W764" t="str">
        <x:v>LOAD</x:v>
      </x:c>
      <x:c r="X764" t="str">
        <x:v>02_Supervisor_Log(4).xlsx</x:v>
      </x:c>
      <x:c r="Y764" t="str">
        <x:v>ENH-20260830-01</x:v>
      </x:c>
      <x:c r="Z764" t="str">
        <x:v>Active</x:v>
      </x:c>
      <x:c r="AA764"/>
      <x:c r="AB764"/>
      <x:c r="AC764"/>
      <x:c r="AD764"/>
    </x:row>
    <x:row r="765">
      <x:c r="A765" t="str">
        <x:v>PCC-PE-KG01-L22-20251022-PM-ORD-2025-00057-S07-C2</x:v>
      </x:c>
      <x:c r="B765" t="str">
        <x:v>PC-PE-KG01-L22-20251022-PM-ORD-2025-00057-S07</x:v>
      </x:c>
      <x:c r="C765" t="str">
        <x:v>PE-KG01-L22-20251022-PM-ORD-2025-00057</x:v>
      </x:c>
      <x:c r="D765" t="str">
        <x:v>KG01</x:v>
      </x:c>
      <x:c r="E765" s="62" t="n">
        <x:v>45952</x:v>
      </x:c>
      <x:c r="F765" t="str">
        <x:v>PM</x:v>
      </x:c>
      <x:c r="G765" t="str">
        <x:v>C</x:v>
      </x:c>
      <x:c r="H765" t="n">
        <x:v>22</x:v>
      </x:c>
      <x:c r="I765" t="str">
        <x:v>ORD-2025-00057</x:v>
      </x:c>
      <x:c r="J765" t="n">
        <x:v>7</x:v>
      </x:c>
      <x:c r="K765" t="n">
        <x:v>2</x:v>
      </x:c>
      <x:c r="L765" t="str">
        <x:v>L22-S07-C2</x:v>
      </x:c>
      <x:c r="M765" t="n">
        <x:v>1</x:v>
      </x:c>
      <x:c r="N765" t="str">
        <x:v>DerivedFromCount</x:v>
      </x:c>
      <x:c r="O765" t="str">
        <x:v>PLC-PRD-JAR-720-L22</x:v>
      </x:c>
      <x:c r="P765" t="str">
        <x:v>OK</x:v>
      </x:c>
      <x:c r="Q765" t="str">
        <x:v>OK</x:v>
      </x:c>
      <x:c r="R765" t="str">
        <x:v>OK</x:v>
      </x:c>
      <x:c r="S765" t="str">
        <x:v>OK</x:v>
      </x:c>
      <x:c r="T765" t="n">
        <x:v>20</x:v>
      </x:c>
      <x:c r="U765" t="str">
        <x:v>OK</x:v>
      </x:c>
      <x:c r="V765" t="str">
        <x:v>OK</x:v>
      </x:c>
      <x:c r="W765" t="str">
        <x:v>LOAD</x:v>
      </x:c>
      <x:c r="X765" t="str">
        <x:v>02_Supervisor_Log(4).xlsx</x:v>
      </x:c>
      <x:c r="Y765" t="str">
        <x:v>ENH-20260830-01</x:v>
      </x:c>
      <x:c r="Z765" t="str">
        <x:v>Active</x:v>
      </x:c>
      <x:c r="AA765"/>
      <x:c r="AB765"/>
      <x:c r="AC765"/>
      <x:c r="AD765"/>
    </x:row>
    <x:row r="766">
      <x:c r="A766" t="str">
        <x:v>PCC-PE-KG01-L22-20251022-PM-ORD-2025-00057-S07-C3</x:v>
      </x:c>
      <x:c r="B766" t="str">
        <x:v>PC-PE-KG01-L22-20251022-PM-ORD-2025-00057-S07</x:v>
      </x:c>
      <x:c r="C766" t="str">
        <x:v>PE-KG01-L22-20251022-PM-ORD-2025-00057</x:v>
      </x:c>
      <x:c r="D766" t="str">
        <x:v>KG01</x:v>
      </x:c>
      <x:c r="E766" s="62" t="n">
        <x:v>45952</x:v>
      </x:c>
      <x:c r="F766" t="str">
        <x:v>PM</x:v>
      </x:c>
      <x:c r="G766" t="str">
        <x:v>C</x:v>
      </x:c>
      <x:c r="H766" t="n">
        <x:v>22</x:v>
      </x:c>
      <x:c r="I766" t="str">
        <x:v>ORD-2025-00057</x:v>
      </x:c>
      <x:c r="J766" t="n">
        <x:v>7</x:v>
      </x:c>
      <x:c r="K766" t="n">
        <x:v>3</x:v>
      </x:c>
      <x:c r="L766" t="str">
        <x:v>L22-S07-C3</x:v>
      </x:c>
      <x:c r="M766" t="n">
        <x:v>0</x:v>
      </x:c>
      <x:c r="N766" t="str">
        <x:v>DerivedFromCount</x:v>
      </x:c>
      <x:c r="O766" t="str">
        <x:v>PLC-PRD-JAR-720-L22</x:v>
      </x:c>
      <x:c r="P766" t="str">
        <x:v>OK</x:v>
      </x:c>
      <x:c r="Q766" t="str">
        <x:v>OK</x:v>
      </x:c>
      <x:c r="R766" t="str">
        <x:v>OK</x:v>
      </x:c>
      <x:c r="S766" t="str">
        <x:v>OK</x:v>
      </x:c>
      <x:c r="T766" t="n">
        <x:v>20</x:v>
      </x:c>
      <x:c r="U766" t="str">
        <x:v>OK</x:v>
      </x:c>
      <x:c r="V766" t="str">
        <x:v>OK</x:v>
      </x:c>
      <x:c r="W766" t="str">
        <x:v>LOAD</x:v>
      </x:c>
      <x:c r="X766" t="str">
        <x:v>02_Supervisor_Log(4).xlsx</x:v>
      </x:c>
      <x:c r="Y766" t="str">
        <x:v>ENH-20260830-01</x:v>
      </x:c>
      <x:c r="Z766" t="str">
        <x:v>Active</x:v>
      </x:c>
      <x:c r="AA766"/>
      <x:c r="AB766"/>
      <x:c r="AC766"/>
      <x:c r="AD766"/>
    </x:row>
    <x:row r="767">
      <x:c r="A767" t="str">
        <x:v>PCC-PE-KG01-L22-20251022-PM-ORD-2025-00057-S08-C1</x:v>
      </x:c>
      <x:c r="B767" t="str">
        <x:v>PC-PE-KG01-L22-20251022-PM-ORD-2025-00057-S08</x:v>
      </x:c>
      <x:c r="C767" t="str">
        <x:v>PE-KG01-L22-20251022-PM-ORD-2025-00057</x:v>
      </x:c>
      <x:c r="D767" t="str">
        <x:v>KG01</x:v>
      </x:c>
      <x:c r="E767" s="62" t="n">
        <x:v>45952</x:v>
      </x:c>
      <x:c r="F767" t="str">
        <x:v>PM</x:v>
      </x:c>
      <x:c r="G767" t="str">
        <x:v>C</x:v>
      </x:c>
      <x:c r="H767" t="n">
        <x:v>22</x:v>
      </x:c>
      <x:c r="I767" t="str">
        <x:v>ORD-2025-00057</x:v>
      </x:c>
      <x:c r="J767" t="n">
        <x:v>8</x:v>
      </x:c>
      <x:c r="K767" t="n">
        <x:v>1</x:v>
      </x:c>
      <x:c r="L767" t="str">
        <x:v>L22-S08-C1</x:v>
      </x:c>
      <x:c r="M767" t="n">
        <x:v>1</x:v>
      </x:c>
      <x:c r="N767" t="str">
        <x:v>DerivedFromCount</x:v>
      </x:c>
      <x:c r="O767" t="str">
        <x:v>PLC-PRD-JAR-720-L22</x:v>
      </x:c>
      <x:c r="P767" t="str">
        <x:v>OK</x:v>
      </x:c>
      <x:c r="Q767" t="str">
        <x:v>OK</x:v>
      </x:c>
      <x:c r="R767" t="str">
        <x:v>OK</x:v>
      </x:c>
      <x:c r="S767" t="str">
        <x:v>OK</x:v>
      </x:c>
      <x:c r="T767" t="n">
        <x:v>20</x:v>
      </x:c>
      <x:c r="U767" t="str">
        <x:v>OK</x:v>
      </x:c>
      <x:c r="V767" t="str">
        <x:v>OK</x:v>
      </x:c>
      <x:c r="W767" t="str">
        <x:v>LOAD</x:v>
      </x:c>
      <x:c r="X767" t="str">
        <x:v>02_Supervisor_Log(4).xlsx</x:v>
      </x:c>
      <x:c r="Y767" t="str">
        <x:v>ENH-20260830-01</x:v>
      </x:c>
      <x:c r="Z767" t="str">
        <x:v>Active</x:v>
      </x:c>
      <x:c r="AA767"/>
      <x:c r="AB767"/>
      <x:c r="AC767"/>
      <x:c r="AD767"/>
    </x:row>
    <x:row r="768">
      <x:c r="A768" t="str">
        <x:v>PCC-PE-KG01-L22-20251022-PM-ORD-2025-00057-S08-C2</x:v>
      </x:c>
      <x:c r="B768" t="str">
        <x:v>PC-PE-KG01-L22-20251022-PM-ORD-2025-00057-S08</x:v>
      </x:c>
      <x:c r="C768" t="str">
        <x:v>PE-KG01-L22-20251022-PM-ORD-2025-00057</x:v>
      </x:c>
      <x:c r="D768" t="str">
        <x:v>KG01</x:v>
      </x:c>
      <x:c r="E768" s="62" t="n">
        <x:v>45952</x:v>
      </x:c>
      <x:c r="F768" t="str">
        <x:v>PM</x:v>
      </x:c>
      <x:c r="G768" t="str">
        <x:v>C</x:v>
      </x:c>
      <x:c r="H768" t="n">
        <x:v>22</x:v>
      </x:c>
      <x:c r="I768" t="str">
        <x:v>ORD-2025-00057</x:v>
      </x:c>
      <x:c r="J768" t="n">
        <x:v>8</x:v>
      </x:c>
      <x:c r="K768" t="n">
        <x:v>2</x:v>
      </x:c>
      <x:c r="L768" t="str">
        <x:v>L22-S08-C2</x:v>
      </x:c>
      <x:c r="M768" t="n">
        <x:v>1</x:v>
      </x:c>
      <x:c r="N768" t="str">
        <x:v>DerivedFromCount</x:v>
      </x:c>
      <x:c r="O768" t="str">
        <x:v>PLC-PRD-JAR-720-L22</x:v>
      </x:c>
      <x:c r="P768" t="str">
        <x:v>OK</x:v>
      </x:c>
      <x:c r="Q768" t="str">
        <x:v>OK</x:v>
      </x:c>
      <x:c r="R768" t="str">
        <x:v>OK</x:v>
      </x:c>
      <x:c r="S768" t="str">
        <x:v>OK</x:v>
      </x:c>
      <x:c r="T768" t="n">
        <x:v>20</x:v>
      </x:c>
      <x:c r="U768" t="str">
        <x:v>OK</x:v>
      </x:c>
      <x:c r="V768" t="str">
        <x:v>OK</x:v>
      </x:c>
      <x:c r="W768" t="str">
        <x:v>LOAD</x:v>
      </x:c>
      <x:c r="X768" t="str">
        <x:v>02_Supervisor_Log(4).xlsx</x:v>
      </x:c>
      <x:c r="Y768" t="str">
        <x:v>ENH-20260830-01</x:v>
      </x:c>
      <x:c r="Z768" t="str">
        <x:v>Active</x:v>
      </x:c>
      <x:c r="AA768"/>
      <x:c r="AB768"/>
      <x:c r="AC768"/>
      <x:c r="AD768"/>
    </x:row>
    <x:row r="769">
      <x:c r="A769" t="str">
        <x:v>PCC-PE-KG01-L22-20251022-PM-ORD-2025-00057-S08-C3</x:v>
      </x:c>
      <x:c r="B769" t="str">
        <x:v>PC-PE-KG01-L22-20251022-PM-ORD-2025-00057-S08</x:v>
      </x:c>
      <x:c r="C769" t="str">
        <x:v>PE-KG01-L22-20251022-PM-ORD-2025-00057</x:v>
      </x:c>
      <x:c r="D769" t="str">
        <x:v>KG01</x:v>
      </x:c>
      <x:c r="E769" s="62" t="n">
        <x:v>45952</x:v>
      </x:c>
      <x:c r="F769" t="str">
        <x:v>PM</x:v>
      </x:c>
      <x:c r="G769" t="str">
        <x:v>C</x:v>
      </x:c>
      <x:c r="H769" t="n">
        <x:v>22</x:v>
      </x:c>
      <x:c r="I769" t="str">
        <x:v>ORD-2025-00057</x:v>
      </x:c>
      <x:c r="J769" t="n">
        <x:v>8</x:v>
      </x:c>
      <x:c r="K769" t="n">
        <x:v>3</x:v>
      </x:c>
      <x:c r="L769" t="str">
        <x:v>L22-S08-C3</x:v>
      </x:c>
      <x:c r="M769" t="n">
        <x:v>0</x:v>
      </x:c>
      <x:c r="N769" t="str">
        <x:v>DerivedFromCount</x:v>
      </x:c>
      <x:c r="O769" t="str">
        <x:v>PLC-PRD-JAR-720-L22</x:v>
      </x:c>
      <x:c r="P769" t="str">
        <x:v>OK</x:v>
      </x:c>
      <x:c r="Q769" t="str">
        <x:v>OK</x:v>
      </x:c>
      <x:c r="R769" t="str">
        <x:v>OK</x:v>
      </x:c>
      <x:c r="S769" t="str">
        <x:v>OK</x:v>
      </x:c>
      <x:c r="T769" t="n">
        <x:v>20</x:v>
      </x:c>
      <x:c r="U769" t="str">
        <x:v>OK</x:v>
      </x:c>
      <x:c r="V769" t="str">
        <x:v>OK</x:v>
      </x:c>
      <x:c r="W769" t="str">
        <x:v>LOAD</x:v>
      </x:c>
      <x:c r="X769" t="str">
        <x:v>02_Supervisor_Log(4).xlsx</x:v>
      </x:c>
      <x:c r="Y769" t="str">
        <x:v>ENH-20260830-01</x:v>
      </x:c>
      <x:c r="Z769" t="str">
        <x:v>Active</x:v>
      </x:c>
      <x:c r="AA769"/>
      <x:c r="AB769"/>
      <x:c r="AC769"/>
      <x:c r="AD769"/>
    </x:row>
    <x:row r="770">
      <x:c r="A770" t="str">
        <x:v>PCC-PE-KG01-L22-20251022-PM-ORD-2025-00057-S09-C1</x:v>
      </x:c>
      <x:c r="B770" t="str">
        <x:v>PC-PE-KG01-L22-20251022-PM-ORD-2025-00057-S09</x:v>
      </x:c>
      <x:c r="C770" t="str">
        <x:v>PE-KG01-L22-20251022-PM-ORD-2025-00057</x:v>
      </x:c>
      <x:c r="D770" t="str">
        <x:v>KG01</x:v>
      </x:c>
      <x:c r="E770" s="62" t="n">
        <x:v>45952</x:v>
      </x:c>
      <x:c r="F770" t="str">
        <x:v>PM</x:v>
      </x:c>
      <x:c r="G770" t="str">
        <x:v>C</x:v>
      </x:c>
      <x:c r="H770" t="n">
        <x:v>22</x:v>
      </x:c>
      <x:c r="I770" t="str">
        <x:v>ORD-2025-00057</x:v>
      </x:c>
      <x:c r="J770" t="n">
        <x:v>9</x:v>
      </x:c>
      <x:c r="K770" t="n">
        <x:v>1</x:v>
      </x:c>
      <x:c r="L770" t="str">
        <x:v>L22-S09-C1</x:v>
      </x:c>
      <x:c r="M770" t="n">
        <x:v>1</x:v>
      </x:c>
      <x:c r="N770" t="str">
        <x:v>DerivedFromCount</x:v>
      </x:c>
      <x:c r="O770" t="str">
        <x:v>PLC-PRD-JAR-720-L22</x:v>
      </x:c>
      <x:c r="P770" t="str">
        <x:v>OK</x:v>
      </x:c>
      <x:c r="Q770" t="str">
        <x:v>OK</x:v>
      </x:c>
      <x:c r="R770" t="str">
        <x:v>OK</x:v>
      </x:c>
      <x:c r="S770" t="str">
        <x:v>OK</x:v>
      </x:c>
      <x:c r="T770" t="n">
        <x:v>20</x:v>
      </x:c>
      <x:c r="U770" t="str">
        <x:v>OK</x:v>
      </x:c>
      <x:c r="V770" t="str">
        <x:v>OK</x:v>
      </x:c>
      <x:c r="W770" t="str">
        <x:v>LOAD</x:v>
      </x:c>
      <x:c r="X770" t="str">
        <x:v>02_Supervisor_Log(4).xlsx</x:v>
      </x:c>
      <x:c r="Y770" t="str">
        <x:v>ENH-20260830-01</x:v>
      </x:c>
      <x:c r="Z770" t="str">
        <x:v>Active</x:v>
      </x:c>
      <x:c r="AA770"/>
      <x:c r="AB770"/>
      <x:c r="AC770"/>
      <x:c r="AD770"/>
    </x:row>
    <x:row r="771">
      <x:c r="A771" t="str">
        <x:v>PCC-PE-KG01-L22-20251022-PM-ORD-2025-00057-S09-C2</x:v>
      </x:c>
      <x:c r="B771" t="str">
        <x:v>PC-PE-KG01-L22-20251022-PM-ORD-2025-00057-S09</x:v>
      </x:c>
      <x:c r="C771" t="str">
        <x:v>PE-KG01-L22-20251022-PM-ORD-2025-00057</x:v>
      </x:c>
      <x:c r="D771" t="str">
        <x:v>KG01</x:v>
      </x:c>
      <x:c r="E771" s="62" t="n">
        <x:v>45952</x:v>
      </x:c>
      <x:c r="F771" t="str">
        <x:v>PM</x:v>
      </x:c>
      <x:c r="G771" t="str">
        <x:v>C</x:v>
      </x:c>
      <x:c r="H771" t="n">
        <x:v>22</x:v>
      </x:c>
      <x:c r="I771" t="str">
        <x:v>ORD-2025-00057</x:v>
      </x:c>
      <x:c r="J771" t="n">
        <x:v>9</x:v>
      </x:c>
      <x:c r="K771" t="n">
        <x:v>2</x:v>
      </x:c>
      <x:c r="L771" t="str">
        <x:v>L22-S09-C2</x:v>
      </x:c>
      <x:c r="M771" t="n">
        <x:v>1</x:v>
      </x:c>
      <x:c r="N771" t="str">
        <x:v>DerivedFromCount</x:v>
      </x:c>
      <x:c r="O771" t="str">
        <x:v>PLC-PRD-JAR-720-L22</x:v>
      </x:c>
      <x:c r="P771" t="str">
        <x:v>OK</x:v>
      </x:c>
      <x:c r="Q771" t="str">
        <x:v>OK</x:v>
      </x:c>
      <x:c r="R771" t="str">
        <x:v>OK</x:v>
      </x:c>
      <x:c r="S771" t="str">
        <x:v>OK</x:v>
      </x:c>
      <x:c r="T771" t="n">
        <x:v>20</x:v>
      </x:c>
      <x:c r="U771" t="str">
        <x:v>OK</x:v>
      </x:c>
      <x:c r="V771" t="str">
        <x:v>OK</x:v>
      </x:c>
      <x:c r="W771" t="str">
        <x:v>LOAD</x:v>
      </x:c>
      <x:c r="X771" t="str">
        <x:v>02_Supervisor_Log(4).xlsx</x:v>
      </x:c>
      <x:c r="Y771" t="str">
        <x:v>ENH-20260830-01</x:v>
      </x:c>
      <x:c r="Z771" t="str">
        <x:v>Active</x:v>
      </x:c>
      <x:c r="AA771"/>
      <x:c r="AB771"/>
      <x:c r="AC771"/>
      <x:c r="AD771"/>
    </x:row>
    <x:row r="772">
      <x:c r="A772" t="str">
        <x:v>PCC-PE-KG01-L22-20251022-PM-ORD-2025-00057-S09-C3</x:v>
      </x:c>
      <x:c r="B772" t="str">
        <x:v>PC-PE-KG01-L22-20251022-PM-ORD-2025-00057-S09</x:v>
      </x:c>
      <x:c r="C772" t="str">
        <x:v>PE-KG01-L22-20251022-PM-ORD-2025-00057</x:v>
      </x:c>
      <x:c r="D772" t="str">
        <x:v>KG01</x:v>
      </x:c>
      <x:c r="E772" s="62" t="n">
        <x:v>45952</x:v>
      </x:c>
      <x:c r="F772" t="str">
        <x:v>PM</x:v>
      </x:c>
      <x:c r="G772" t="str">
        <x:v>C</x:v>
      </x:c>
      <x:c r="H772" t="n">
        <x:v>22</x:v>
      </x:c>
      <x:c r="I772" t="str">
        <x:v>ORD-2025-00057</x:v>
      </x:c>
      <x:c r="J772" t="n">
        <x:v>9</x:v>
      </x:c>
      <x:c r="K772" t="n">
        <x:v>3</x:v>
      </x:c>
      <x:c r="L772" t="str">
        <x:v>L22-S09-C3</x:v>
      </x:c>
      <x:c r="M772" t="n">
        <x:v>0</x:v>
      </x:c>
      <x:c r="N772" t="str">
        <x:v>DerivedFromCount</x:v>
      </x:c>
      <x:c r="O772" t="str">
        <x:v>PLC-PRD-JAR-720-L22</x:v>
      </x:c>
      <x:c r="P772" t="str">
        <x:v>OK</x:v>
      </x:c>
      <x:c r="Q772" t="str">
        <x:v>OK</x:v>
      </x:c>
      <x:c r="R772" t="str">
        <x:v>OK</x:v>
      </x:c>
      <x:c r="S772" t="str">
        <x:v>OK</x:v>
      </x:c>
      <x:c r="T772" t="n">
        <x:v>20</x:v>
      </x:c>
      <x:c r="U772" t="str">
        <x:v>OK</x:v>
      </x:c>
      <x:c r="V772" t="str">
        <x:v>OK</x:v>
      </x:c>
      <x:c r="W772" t="str">
        <x:v>LOAD</x:v>
      </x:c>
      <x:c r="X772" t="str">
        <x:v>02_Supervisor_Log(4).xlsx</x:v>
      </x:c>
      <x:c r="Y772" t="str">
        <x:v>ENH-20260830-01</x:v>
      </x:c>
      <x:c r="Z772" t="str">
        <x:v>Active</x:v>
      </x:c>
      <x:c r="AA772"/>
      <x:c r="AB772"/>
      <x:c r="AC772"/>
      <x:c r="AD772"/>
    </x:row>
    <x:row r="773">
      <x:c r="A773" t="str">
        <x:v>PCC-PE-KG01-L22-20251022-PM-ORD-2025-00057-S10-C1</x:v>
      </x:c>
      <x:c r="B773" t="str">
        <x:v>PC-PE-KG01-L22-20251022-PM-ORD-2025-00057-S10</x:v>
      </x:c>
      <x:c r="C773" t="str">
        <x:v>PE-KG01-L22-20251022-PM-ORD-2025-00057</x:v>
      </x:c>
      <x:c r="D773" t="str">
        <x:v>KG01</x:v>
      </x:c>
      <x:c r="E773" s="62" t="n">
        <x:v>45952</x:v>
      </x:c>
      <x:c r="F773" t="str">
        <x:v>PM</x:v>
      </x:c>
      <x:c r="G773" t="str">
        <x:v>C</x:v>
      </x:c>
      <x:c r="H773" t="n">
        <x:v>22</x:v>
      </x:c>
      <x:c r="I773" t="str">
        <x:v>ORD-2025-00057</x:v>
      </x:c>
      <x:c r="J773" t="n">
        <x:v>10</x:v>
      </x:c>
      <x:c r="K773" t="n">
        <x:v>1</x:v>
      </x:c>
      <x:c r="L773" t="str">
        <x:v>L22-S10-C1</x:v>
      </x:c>
      <x:c r="M773" t="n">
        <x:v>1</x:v>
      </x:c>
      <x:c r="N773" t="str">
        <x:v>DerivedFromCount</x:v>
      </x:c>
      <x:c r="O773" t="str">
        <x:v>PLC-PRD-JAR-720-L22</x:v>
      </x:c>
      <x:c r="P773" t="str">
        <x:v>OK</x:v>
      </x:c>
      <x:c r="Q773" t="str">
        <x:v>OK</x:v>
      </x:c>
      <x:c r="R773" t="str">
        <x:v>OK</x:v>
      </x:c>
      <x:c r="S773" t="str">
        <x:v>OK</x:v>
      </x:c>
      <x:c r="T773" t="n">
        <x:v>20</x:v>
      </x:c>
      <x:c r="U773" t="str">
        <x:v>OK</x:v>
      </x:c>
      <x:c r="V773" t="str">
        <x:v>OK</x:v>
      </x:c>
      <x:c r="W773" t="str">
        <x:v>LOAD</x:v>
      </x:c>
      <x:c r="X773" t="str">
        <x:v>02_Supervisor_Log(4).xlsx</x:v>
      </x:c>
      <x:c r="Y773" t="str">
        <x:v>ENH-20260830-01</x:v>
      </x:c>
      <x:c r="Z773" t="str">
        <x:v>Active</x:v>
      </x:c>
      <x:c r="AA773"/>
      <x:c r="AB773"/>
      <x:c r="AC773"/>
      <x:c r="AD773"/>
    </x:row>
    <x:row r="774">
      <x:c r="A774" t="str">
        <x:v>PCC-PE-KG01-L22-20251022-PM-ORD-2025-00057-S10-C2</x:v>
      </x:c>
      <x:c r="B774" t="str">
        <x:v>PC-PE-KG01-L22-20251022-PM-ORD-2025-00057-S10</x:v>
      </x:c>
      <x:c r="C774" t="str">
        <x:v>PE-KG01-L22-20251022-PM-ORD-2025-00057</x:v>
      </x:c>
      <x:c r="D774" t="str">
        <x:v>KG01</x:v>
      </x:c>
      <x:c r="E774" s="62" t="n">
        <x:v>45952</x:v>
      </x:c>
      <x:c r="F774" t="str">
        <x:v>PM</x:v>
      </x:c>
      <x:c r="G774" t="str">
        <x:v>C</x:v>
      </x:c>
      <x:c r="H774" t="n">
        <x:v>22</x:v>
      </x:c>
      <x:c r="I774" t="str">
        <x:v>ORD-2025-00057</x:v>
      </x:c>
      <x:c r="J774" t="n">
        <x:v>10</x:v>
      </x:c>
      <x:c r="K774" t="n">
        <x:v>2</x:v>
      </x:c>
      <x:c r="L774" t="str">
        <x:v>L22-S10-C2</x:v>
      </x:c>
      <x:c r="M774" t="n">
        <x:v>1</x:v>
      </x:c>
      <x:c r="N774" t="str">
        <x:v>DerivedFromCount</x:v>
      </x:c>
      <x:c r="O774" t="str">
        <x:v>PLC-PRD-JAR-720-L22</x:v>
      </x:c>
      <x:c r="P774" t="str">
        <x:v>OK</x:v>
      </x:c>
      <x:c r="Q774" t="str">
        <x:v>OK</x:v>
      </x:c>
      <x:c r="R774" t="str">
        <x:v>OK</x:v>
      </x:c>
      <x:c r="S774" t="str">
        <x:v>OK</x:v>
      </x:c>
      <x:c r="T774" t="n">
        <x:v>20</x:v>
      </x:c>
      <x:c r="U774" t="str">
        <x:v>OK</x:v>
      </x:c>
      <x:c r="V774" t="str">
        <x:v>OK</x:v>
      </x:c>
      <x:c r="W774" t="str">
        <x:v>LOAD</x:v>
      </x:c>
      <x:c r="X774" t="str">
        <x:v>02_Supervisor_Log(4).xlsx</x:v>
      </x:c>
      <x:c r="Y774" t="str">
        <x:v>ENH-20260830-01</x:v>
      </x:c>
      <x:c r="Z774" t="str">
        <x:v>Active</x:v>
      </x:c>
      <x:c r="AA774"/>
      <x:c r="AB774"/>
      <x:c r="AC774"/>
      <x:c r="AD774"/>
    </x:row>
    <x:row r="775">
      <x:c r="A775" t="str">
        <x:v>PCC-PE-KG01-L22-20251022-PM-ORD-2025-00057-S10-C3</x:v>
      </x:c>
      <x:c r="B775" t="str">
        <x:v>PC-PE-KG01-L22-20251022-PM-ORD-2025-00057-S10</x:v>
      </x:c>
      <x:c r="C775" t="str">
        <x:v>PE-KG01-L22-20251022-PM-ORD-2025-00057</x:v>
      </x:c>
      <x:c r="D775" t="str">
        <x:v>KG01</x:v>
      </x:c>
      <x:c r="E775" s="62" t="n">
        <x:v>45952</x:v>
      </x:c>
      <x:c r="F775" t="str">
        <x:v>PM</x:v>
      </x:c>
      <x:c r="G775" t="str">
        <x:v>C</x:v>
      </x:c>
      <x:c r="H775" t="n">
        <x:v>22</x:v>
      </x:c>
      <x:c r="I775" t="str">
        <x:v>ORD-2025-00057</x:v>
      </x:c>
      <x:c r="J775" t="n">
        <x:v>10</x:v>
      </x:c>
      <x:c r="K775" t="n">
        <x:v>3</x:v>
      </x:c>
      <x:c r="L775" t="str">
        <x:v>L22-S10-C3</x:v>
      </x:c>
      <x:c r="M775" t="n">
        <x:v>0</x:v>
      </x:c>
      <x:c r="N775" t="str">
        <x:v>DerivedFromCount</x:v>
      </x:c>
      <x:c r="O775" t="str">
        <x:v>PLC-PRD-JAR-720-L22</x:v>
      </x:c>
      <x:c r="P775" t="str">
        <x:v>OK</x:v>
      </x:c>
      <x:c r="Q775" t="str">
        <x:v>OK</x:v>
      </x:c>
      <x:c r="R775" t="str">
        <x:v>OK</x:v>
      </x:c>
      <x:c r="S775" t="str">
        <x:v>OK</x:v>
      </x:c>
      <x:c r="T775" t="n">
        <x:v>20</x:v>
      </x:c>
      <x:c r="U775" t="str">
        <x:v>OK</x:v>
      </x:c>
      <x:c r="V775" t="str">
        <x:v>OK</x:v>
      </x:c>
      <x:c r="W775" t="str">
        <x:v>LOAD</x:v>
      </x:c>
      <x:c r="X775" t="str">
        <x:v>02_Supervisor_Log(4).xlsx</x:v>
      </x:c>
      <x:c r="Y775" t="str">
        <x:v>ENH-20260830-01</x:v>
      </x:c>
      <x:c r="Z775" t="str">
        <x:v>Active</x:v>
      </x:c>
      <x:c r="AA775"/>
      <x:c r="AB775"/>
      <x:c r="AC775"/>
      <x:c r="AD775"/>
    </x:row>
    <x:row r="776">
      <x:c r="A776" t="str">
        <x:v>PCC-PE-KG01-L22-20251022-PM-ORD-2025-00057-S11-C1</x:v>
      </x:c>
      <x:c r="B776" t="str">
        <x:v>PC-PE-KG01-L22-20251022-PM-ORD-2025-00057-S11</x:v>
      </x:c>
      <x:c r="C776" t="str">
        <x:v>PE-KG01-L22-20251022-PM-ORD-2025-00057</x:v>
      </x:c>
      <x:c r="D776" t="str">
        <x:v>KG01</x:v>
      </x:c>
      <x:c r="E776" s="62" t="n">
        <x:v>45952</x:v>
      </x:c>
      <x:c r="F776" t="str">
        <x:v>PM</x:v>
      </x:c>
      <x:c r="G776" t="str">
        <x:v>C</x:v>
      </x:c>
      <x:c r="H776" t="n">
        <x:v>22</x:v>
      </x:c>
      <x:c r="I776" t="str">
        <x:v>ORD-2025-00057</x:v>
      </x:c>
      <x:c r="J776" t="n">
        <x:v>11</x:v>
      </x:c>
      <x:c r="K776" t="n">
        <x:v>1</x:v>
      </x:c>
      <x:c r="L776" t="str">
        <x:v>L22-S11-C1</x:v>
      </x:c>
      <x:c r="M776" t="n">
        <x:v>0</x:v>
      </x:c>
      <x:c r="N776" t="str">
        <x:v>DerivedFromCount</x:v>
      </x:c>
      <x:c r="O776" t="str">
        <x:v>PLC-PRD-JAR-720-L22</x:v>
      </x:c>
      <x:c r="P776" t="str">
        <x:v>OK</x:v>
      </x:c>
      <x:c r="Q776" t="str">
        <x:v>OK</x:v>
      </x:c>
      <x:c r="R776" t="str">
        <x:v>OK</x:v>
      </x:c>
      <x:c r="S776" t="str">
        <x:v>OK</x:v>
      </x:c>
      <x:c r="T776" t="n">
        <x:v>20</x:v>
      </x:c>
      <x:c r="U776" t="str">
        <x:v>OK</x:v>
      </x:c>
      <x:c r="V776" t="str">
        <x:v>OK</x:v>
      </x:c>
      <x:c r="W776" t="str">
        <x:v>LOAD</x:v>
      </x:c>
      <x:c r="X776" t="str">
        <x:v>02_Supervisor_Log(4).xlsx</x:v>
      </x:c>
      <x:c r="Y776" t="str">
        <x:v>ENH-20260830-01</x:v>
      </x:c>
      <x:c r="Z776" t="str">
        <x:v>Active</x:v>
      </x:c>
      <x:c r="AA776"/>
      <x:c r="AB776"/>
      <x:c r="AC776"/>
      <x:c r="AD776"/>
    </x:row>
    <x:row r="777">
      <x:c r="A777" t="str">
        <x:v>PCC-PE-KG01-L22-20251022-PM-ORD-2025-00057-S11-C2</x:v>
      </x:c>
      <x:c r="B777" t="str">
        <x:v>PC-PE-KG01-L22-20251022-PM-ORD-2025-00057-S11</x:v>
      </x:c>
      <x:c r="C777" t="str">
        <x:v>PE-KG01-L22-20251022-PM-ORD-2025-00057</x:v>
      </x:c>
      <x:c r="D777" t="str">
        <x:v>KG01</x:v>
      </x:c>
      <x:c r="E777" s="62" t="n">
        <x:v>45952</x:v>
      </x:c>
      <x:c r="F777" t="str">
        <x:v>PM</x:v>
      </x:c>
      <x:c r="G777" t="str">
        <x:v>C</x:v>
      </x:c>
      <x:c r="H777" t="n">
        <x:v>22</x:v>
      </x:c>
      <x:c r="I777" t="str">
        <x:v>ORD-2025-00057</x:v>
      </x:c>
      <x:c r="J777" t="n">
        <x:v>11</x:v>
      </x:c>
      <x:c r="K777" t="n">
        <x:v>2</x:v>
      </x:c>
      <x:c r="L777" t="str">
        <x:v>L22-S11-C2</x:v>
      </x:c>
      <x:c r="M777" t="n">
        <x:v>0</x:v>
      </x:c>
      <x:c r="N777" t="str">
        <x:v>DerivedFromCount</x:v>
      </x:c>
      <x:c r="O777" t="str">
        <x:v>PLC-PRD-JAR-720-L22</x:v>
      </x:c>
      <x:c r="P777" t="str">
        <x:v>OK</x:v>
      </x:c>
      <x:c r="Q777" t="str">
        <x:v>OK</x:v>
      </x:c>
      <x:c r="R777" t="str">
        <x:v>OK</x:v>
      </x:c>
      <x:c r="S777" t="str">
        <x:v>OK</x:v>
      </x:c>
      <x:c r="T777" t="n">
        <x:v>20</x:v>
      </x:c>
      <x:c r="U777" t="str">
        <x:v>OK</x:v>
      </x:c>
      <x:c r="V777" t="str">
        <x:v>OK</x:v>
      </x:c>
      <x:c r="W777" t="str">
        <x:v>LOAD</x:v>
      </x:c>
      <x:c r="X777" t="str">
        <x:v>02_Supervisor_Log(4).xlsx</x:v>
      </x:c>
      <x:c r="Y777" t="str">
        <x:v>ENH-20260830-01</x:v>
      </x:c>
      <x:c r="Z777" t="str">
        <x:v>Active</x:v>
      </x:c>
      <x:c r="AA777"/>
      <x:c r="AB777"/>
      <x:c r="AC777"/>
      <x:c r="AD777"/>
    </x:row>
    <x:row r="778">
      <x:c r="A778" t="str">
        <x:v>PCC-PE-KG01-L22-20251022-PM-ORD-2025-00057-S11-C3</x:v>
      </x:c>
      <x:c r="B778" t="str">
        <x:v>PC-PE-KG01-L22-20251022-PM-ORD-2025-00057-S11</x:v>
      </x:c>
      <x:c r="C778" t="str">
        <x:v>PE-KG01-L22-20251022-PM-ORD-2025-00057</x:v>
      </x:c>
      <x:c r="D778" t="str">
        <x:v>KG01</x:v>
      </x:c>
      <x:c r="E778" s="62" t="n">
        <x:v>45952</x:v>
      </x:c>
      <x:c r="F778" t="str">
        <x:v>PM</x:v>
      </x:c>
      <x:c r="G778" t="str">
        <x:v>C</x:v>
      </x:c>
      <x:c r="H778" t="n">
        <x:v>22</x:v>
      </x:c>
      <x:c r="I778" t="str">
        <x:v>ORD-2025-00057</x:v>
      </x:c>
      <x:c r="J778" t="n">
        <x:v>11</x:v>
      </x:c>
      <x:c r="K778" t="n">
        <x:v>3</x:v>
      </x:c>
      <x:c r="L778" t="str">
        <x:v>L22-S11-C3</x:v>
      </x:c>
      <x:c r="M778" t="n">
        <x:v>0</x:v>
      </x:c>
      <x:c r="N778" t="str">
        <x:v>DerivedFromCount</x:v>
      </x:c>
      <x:c r="O778" t="str">
        <x:v>PLC-PRD-JAR-720-L22</x:v>
      </x:c>
      <x:c r="P778" t="str">
        <x:v>OK</x:v>
      </x:c>
      <x:c r="Q778" t="str">
        <x:v>OK</x:v>
      </x:c>
      <x:c r="R778" t="str">
        <x:v>OK</x:v>
      </x:c>
      <x:c r="S778" t="str">
        <x:v>OK</x:v>
      </x:c>
      <x:c r="T778" t="n">
        <x:v>20</x:v>
      </x:c>
      <x:c r="U778" t="str">
        <x:v>OK</x:v>
      </x:c>
      <x:c r="V778" t="str">
        <x:v>OK</x:v>
      </x:c>
      <x:c r="W778" t="str">
        <x:v>LOAD</x:v>
      </x:c>
      <x:c r="X778" t="str">
        <x:v>02_Supervisor_Log(4).xlsx</x:v>
      </x:c>
      <x:c r="Y778" t="str">
        <x:v>ENH-20260830-01</x:v>
      </x:c>
      <x:c r="Z778" t="str">
        <x:v>Active</x:v>
      </x:c>
      <x:c r="AA778"/>
      <x:c r="AB778"/>
      <x:c r="AC778"/>
      <x:c r="AD778"/>
    </x:row>
    <x:row r="779">
      <x:c r="A779" t="str">
        <x:v>PCC-PE-KG01-L22-20251022-PM-ORD-2025-00057-S12-C1</x:v>
      </x:c>
      <x:c r="B779" t="str">
        <x:v>PC-PE-KG01-L22-20251022-PM-ORD-2025-00057-S12</x:v>
      </x:c>
      <x:c r="C779" t="str">
        <x:v>PE-KG01-L22-20251022-PM-ORD-2025-00057</x:v>
      </x:c>
      <x:c r="D779" t="str">
        <x:v>KG01</x:v>
      </x:c>
      <x:c r="E779" s="62" t="n">
        <x:v>45952</x:v>
      </x:c>
      <x:c r="F779" t="str">
        <x:v>PM</x:v>
      </x:c>
      <x:c r="G779" t="str">
        <x:v>C</x:v>
      </x:c>
      <x:c r="H779" t="n">
        <x:v>22</x:v>
      </x:c>
      <x:c r="I779" t="str">
        <x:v>ORD-2025-00057</x:v>
      </x:c>
      <x:c r="J779" t="n">
        <x:v>12</x:v>
      </x:c>
      <x:c r="K779" t="n">
        <x:v>1</x:v>
      </x:c>
      <x:c r="L779" t="str">
        <x:v>L22-S12-C1</x:v>
      </x:c>
      <x:c r="M779" t="n">
        <x:v>0</x:v>
      </x:c>
      <x:c r="N779" t="str">
        <x:v>DerivedFromCount</x:v>
      </x:c>
      <x:c r="O779" t="str">
        <x:v>PLC-PRD-JAR-720-L22</x:v>
      </x:c>
      <x:c r="P779" t="str">
        <x:v>OK</x:v>
      </x:c>
      <x:c r="Q779" t="str">
        <x:v>OK</x:v>
      </x:c>
      <x:c r="R779" t="str">
        <x:v>OK</x:v>
      </x:c>
      <x:c r="S779" t="str">
        <x:v>OK</x:v>
      </x:c>
      <x:c r="T779" t="n">
        <x:v>20</x:v>
      </x:c>
      <x:c r="U779" t="str">
        <x:v>OK</x:v>
      </x:c>
      <x:c r="V779" t="str">
        <x:v>OK</x:v>
      </x:c>
      <x:c r="W779" t="str">
        <x:v>LOAD</x:v>
      </x:c>
      <x:c r="X779" t="str">
        <x:v>02_Supervisor_Log(4).xlsx</x:v>
      </x:c>
      <x:c r="Y779" t="str">
        <x:v>ENH-20260830-01</x:v>
      </x:c>
      <x:c r="Z779" t="str">
        <x:v>Active</x:v>
      </x:c>
      <x:c r="AA779"/>
      <x:c r="AB779"/>
      <x:c r="AC779"/>
      <x:c r="AD779"/>
    </x:row>
    <x:row r="780">
      <x:c r="A780" t="str">
        <x:v>PCC-PE-KG01-L22-20251022-PM-ORD-2025-00057-S12-C2</x:v>
      </x:c>
      <x:c r="B780" t="str">
        <x:v>PC-PE-KG01-L22-20251022-PM-ORD-2025-00057-S12</x:v>
      </x:c>
      <x:c r="C780" t="str">
        <x:v>PE-KG01-L22-20251022-PM-ORD-2025-00057</x:v>
      </x:c>
      <x:c r="D780" t="str">
        <x:v>KG01</x:v>
      </x:c>
      <x:c r="E780" s="62" t="n">
        <x:v>45952</x:v>
      </x:c>
      <x:c r="F780" t="str">
        <x:v>PM</x:v>
      </x:c>
      <x:c r="G780" t="str">
        <x:v>C</x:v>
      </x:c>
      <x:c r="H780" t="n">
        <x:v>22</x:v>
      </x:c>
      <x:c r="I780" t="str">
        <x:v>ORD-2025-00057</x:v>
      </x:c>
      <x:c r="J780" t="n">
        <x:v>12</x:v>
      </x:c>
      <x:c r="K780" t="n">
        <x:v>2</x:v>
      </x:c>
      <x:c r="L780" t="str">
        <x:v>L22-S12-C2</x:v>
      </x:c>
      <x:c r="M780" t="n">
        <x:v>0</x:v>
      </x:c>
      <x:c r="N780" t="str">
        <x:v>DerivedFromCount</x:v>
      </x:c>
      <x:c r="O780" t="str">
        <x:v>PLC-PRD-JAR-720-L22</x:v>
      </x:c>
      <x:c r="P780" t="str">
        <x:v>OK</x:v>
      </x:c>
      <x:c r="Q780" t="str">
        <x:v>OK</x:v>
      </x:c>
      <x:c r="R780" t="str">
        <x:v>OK</x:v>
      </x:c>
      <x:c r="S780" t="str">
        <x:v>OK</x:v>
      </x:c>
      <x:c r="T780" t="n">
        <x:v>20</x:v>
      </x:c>
      <x:c r="U780" t="str">
        <x:v>OK</x:v>
      </x:c>
      <x:c r="V780" t="str">
        <x:v>OK</x:v>
      </x:c>
      <x:c r="W780" t="str">
        <x:v>LOAD</x:v>
      </x:c>
      <x:c r="X780" t="str">
        <x:v>02_Supervisor_Log(4).xlsx</x:v>
      </x:c>
      <x:c r="Y780" t="str">
        <x:v>ENH-20260830-01</x:v>
      </x:c>
      <x:c r="Z780" t="str">
        <x:v>Active</x:v>
      </x:c>
      <x:c r="AA780"/>
      <x:c r="AB780"/>
      <x:c r="AC780"/>
      <x:c r="AD780"/>
    </x:row>
    <x:row r="781">
      <x:c r="A781" t="str">
        <x:v>PCC-PE-KG01-L22-20251022-PM-ORD-2025-00057-S12-C3</x:v>
      </x:c>
      <x:c r="B781" t="str">
        <x:v>PC-PE-KG01-L22-20251022-PM-ORD-2025-00057-S12</x:v>
      </x:c>
      <x:c r="C781" t="str">
        <x:v>PE-KG01-L22-20251022-PM-ORD-2025-00057</x:v>
      </x:c>
      <x:c r="D781" t="str">
        <x:v>KG01</x:v>
      </x:c>
      <x:c r="E781" s="62" t="n">
        <x:v>45952</x:v>
      </x:c>
      <x:c r="F781" t="str">
        <x:v>PM</x:v>
      </x:c>
      <x:c r="G781" t="str">
        <x:v>C</x:v>
      </x:c>
      <x:c r="H781" t="n">
        <x:v>22</x:v>
      </x:c>
      <x:c r="I781" t="str">
        <x:v>ORD-2025-00057</x:v>
      </x:c>
      <x:c r="J781" t="n">
        <x:v>12</x:v>
      </x:c>
      <x:c r="K781" t="n">
        <x:v>3</x:v>
      </x:c>
      <x:c r="L781" t="str">
        <x:v>L22-S12-C3</x:v>
      </x:c>
      <x:c r="M781" t="n">
        <x:v>0</x:v>
      </x:c>
      <x:c r="N781" t="str">
        <x:v>DerivedFromCount</x:v>
      </x:c>
      <x:c r="O781" t="str">
        <x:v>PLC-PRD-JAR-720-L22</x:v>
      </x:c>
      <x:c r="P781" t="str">
        <x:v>OK</x:v>
      </x:c>
      <x:c r="Q781" t="str">
        <x:v>OK</x:v>
      </x:c>
      <x:c r="R781" t="str">
        <x:v>OK</x:v>
      </x:c>
      <x:c r="S781" t="str">
        <x:v>OK</x:v>
      </x:c>
      <x:c r="T781" t="n">
        <x:v>20</x:v>
      </x:c>
      <x:c r="U781" t="str">
        <x:v>OK</x:v>
      </x:c>
      <x:c r="V781" t="str">
        <x:v>OK</x:v>
      </x:c>
      <x:c r="W781" t="str">
        <x:v>LOAD</x:v>
      </x:c>
      <x:c r="X781" t="str">
        <x:v>02_Supervisor_Log(4).xlsx</x:v>
      </x:c>
      <x:c r="Y781" t="str">
        <x:v>ENH-20260830-01</x:v>
      </x:c>
      <x:c r="Z781" t="str">
        <x:v>Active</x:v>
      </x:c>
      <x:c r="AA781"/>
      <x:c r="AB781"/>
      <x:c r="AC781"/>
      <x:c r="AD781"/>
    </x:row>
    <x:row r="782">
      <x:c r="A782" t="str">
        <x:v>PCC-PE-KG01-L22-20251022-PM-ORD-2025-00057-S13-C1</x:v>
      </x:c>
      <x:c r="B782" t="str">
        <x:v>PC-PE-KG01-L22-20251022-PM-ORD-2025-00057-S13</x:v>
      </x:c>
      <x:c r="C782" t="str">
        <x:v>PE-KG01-L22-20251022-PM-ORD-2025-00057</x:v>
      </x:c>
      <x:c r="D782" t="str">
        <x:v>KG01</x:v>
      </x:c>
      <x:c r="E782" s="62" t="n">
        <x:v>45952</x:v>
      </x:c>
      <x:c r="F782" t="str">
        <x:v>PM</x:v>
      </x:c>
      <x:c r="G782" t="str">
        <x:v>C</x:v>
      </x:c>
      <x:c r="H782" t="n">
        <x:v>22</x:v>
      </x:c>
      <x:c r="I782" t="str">
        <x:v>ORD-2025-00057</x:v>
      </x:c>
      <x:c r="J782" t="n">
        <x:v>13</x:v>
      </x:c>
      <x:c r="K782" t="n">
        <x:v>1</x:v>
      </x:c>
      <x:c r="L782" t="str">
        <x:v>L22-S13-C1</x:v>
      </x:c>
      <x:c r="M782" t="n">
        <x:v>0</x:v>
      </x:c>
      <x:c r="N782" t="str">
        <x:v>DerivedFromCount</x:v>
      </x:c>
      <x:c r="O782" t="str">
        <x:v>PLC-PRD-JAR-720-L22</x:v>
      </x:c>
      <x:c r="P782" t="str">
        <x:v>OK</x:v>
      </x:c>
      <x:c r="Q782" t="str">
        <x:v>OK</x:v>
      </x:c>
      <x:c r="R782" t="str">
        <x:v>OK</x:v>
      </x:c>
      <x:c r="S782" t="str">
        <x:v>OK</x:v>
      </x:c>
      <x:c r="T782" t="n">
        <x:v>20</x:v>
      </x:c>
      <x:c r="U782" t="str">
        <x:v>OK</x:v>
      </x:c>
      <x:c r="V782" t="str">
        <x:v>OK</x:v>
      </x:c>
      <x:c r="W782" t="str">
        <x:v>LOAD</x:v>
      </x:c>
      <x:c r="X782" t="str">
        <x:v>02_Supervisor_Log(4).xlsx</x:v>
      </x:c>
      <x:c r="Y782" t="str">
        <x:v>ENH-20260830-01</x:v>
      </x:c>
      <x:c r="Z782" t="str">
        <x:v>Active</x:v>
      </x:c>
      <x:c r="AA782"/>
      <x:c r="AB782"/>
      <x:c r="AC782"/>
      <x:c r="AD782"/>
    </x:row>
    <x:row r="783">
      <x:c r="A783" t="str">
        <x:v>PCC-PE-KG01-L22-20251022-PM-ORD-2025-00057-S13-C2</x:v>
      </x:c>
      <x:c r="B783" t="str">
        <x:v>PC-PE-KG01-L22-20251022-PM-ORD-2025-00057-S13</x:v>
      </x:c>
      <x:c r="C783" t="str">
        <x:v>PE-KG01-L22-20251022-PM-ORD-2025-00057</x:v>
      </x:c>
      <x:c r="D783" t="str">
        <x:v>KG01</x:v>
      </x:c>
      <x:c r="E783" s="62" t="n">
        <x:v>45952</x:v>
      </x:c>
      <x:c r="F783" t="str">
        <x:v>PM</x:v>
      </x:c>
      <x:c r="G783" t="str">
        <x:v>C</x:v>
      </x:c>
      <x:c r="H783" t="n">
        <x:v>22</x:v>
      </x:c>
      <x:c r="I783" t="str">
        <x:v>ORD-2025-00057</x:v>
      </x:c>
      <x:c r="J783" t="n">
        <x:v>13</x:v>
      </x:c>
      <x:c r="K783" t="n">
        <x:v>2</x:v>
      </x:c>
      <x:c r="L783" t="str">
        <x:v>L22-S13-C2</x:v>
      </x:c>
      <x:c r="M783" t="n">
        <x:v>0</x:v>
      </x:c>
      <x:c r="N783" t="str">
        <x:v>DerivedFromCount</x:v>
      </x:c>
      <x:c r="O783" t="str">
        <x:v>PLC-PRD-JAR-720-L22</x:v>
      </x:c>
      <x:c r="P783" t="str">
        <x:v>OK</x:v>
      </x:c>
      <x:c r="Q783" t="str">
        <x:v>OK</x:v>
      </x:c>
      <x:c r="R783" t="str">
        <x:v>OK</x:v>
      </x:c>
      <x:c r="S783" t="str">
        <x:v>OK</x:v>
      </x:c>
      <x:c r="T783" t="n">
        <x:v>20</x:v>
      </x:c>
      <x:c r="U783" t="str">
        <x:v>OK</x:v>
      </x:c>
      <x:c r="V783" t="str">
        <x:v>OK</x:v>
      </x:c>
      <x:c r="W783" t="str">
        <x:v>LOAD</x:v>
      </x:c>
      <x:c r="X783" t="str">
        <x:v>02_Supervisor_Log(4).xlsx</x:v>
      </x:c>
      <x:c r="Y783" t="str">
        <x:v>ENH-20260830-01</x:v>
      </x:c>
      <x:c r="Z783" t="str">
        <x:v>Active</x:v>
      </x:c>
      <x:c r="AA783"/>
      <x:c r="AB783"/>
      <x:c r="AC783"/>
      <x:c r="AD783"/>
    </x:row>
    <x:row r="784">
      <x:c r="A784" t="str">
        <x:v>PCC-PE-KG01-L22-20251022-PM-ORD-2025-00057-S13-C3</x:v>
      </x:c>
      <x:c r="B784" t="str">
        <x:v>PC-PE-KG01-L22-20251022-PM-ORD-2025-00057-S13</x:v>
      </x:c>
      <x:c r="C784" t="str">
        <x:v>PE-KG01-L22-20251022-PM-ORD-2025-00057</x:v>
      </x:c>
      <x:c r="D784" t="str">
        <x:v>KG01</x:v>
      </x:c>
      <x:c r="E784" s="62" t="n">
        <x:v>45952</x:v>
      </x:c>
      <x:c r="F784" t="str">
        <x:v>PM</x:v>
      </x:c>
      <x:c r="G784" t="str">
        <x:v>C</x:v>
      </x:c>
      <x:c r="H784" t="n">
        <x:v>22</x:v>
      </x:c>
      <x:c r="I784" t="str">
        <x:v>ORD-2025-00057</x:v>
      </x:c>
      <x:c r="J784" t="n">
        <x:v>13</x:v>
      </x:c>
      <x:c r="K784" t="n">
        <x:v>3</x:v>
      </x:c>
      <x:c r="L784" t="str">
        <x:v>L22-S13-C3</x:v>
      </x:c>
      <x:c r="M784" t="n">
        <x:v>0</x:v>
      </x:c>
      <x:c r="N784" t="str">
        <x:v>DerivedFromCount</x:v>
      </x:c>
      <x:c r="O784" t="str">
        <x:v>PLC-PRD-JAR-720-L22</x:v>
      </x:c>
      <x:c r="P784" t="str">
        <x:v>OK</x:v>
      </x:c>
      <x:c r="Q784" t="str">
        <x:v>OK</x:v>
      </x:c>
      <x:c r="R784" t="str">
        <x:v>OK</x:v>
      </x:c>
      <x:c r="S784" t="str">
        <x:v>OK</x:v>
      </x:c>
      <x:c r="T784" t="n">
        <x:v>20</x:v>
      </x:c>
      <x:c r="U784" t="str">
        <x:v>OK</x:v>
      </x:c>
      <x:c r="V784" t="str">
        <x:v>OK</x:v>
      </x:c>
      <x:c r="W784" t="str">
        <x:v>LOAD</x:v>
      </x:c>
      <x:c r="X784" t="str">
        <x:v>02_Supervisor_Log(4).xlsx</x:v>
      </x:c>
      <x:c r="Y784" t="str">
        <x:v>ENH-20260830-01</x:v>
      </x:c>
      <x:c r="Z784" t="str">
        <x:v>Active</x:v>
      </x:c>
      <x:c r="AA784"/>
      <x:c r="AB784"/>
      <x:c r="AC784"/>
      <x:c r="AD784"/>
    </x:row>
    <x:row r="785">
      <x:c r="A785" t="str">
        <x:v>PCC-PE-KG01-L22-20251023-AM-ORD-2025-00057-S01-C1</x:v>
      </x:c>
      <x:c r="B785" t="str">
        <x:v>PC-PE-KG01-L22-20251023-AM-ORD-2025-00057-S01</x:v>
      </x:c>
      <x:c r="C785" t="str">
        <x:v>PE-KG01-L22-20251023-AM-ORD-2025-00057</x:v>
      </x:c>
      <x:c r="D785" t="str">
        <x:v>KG01</x:v>
      </x:c>
      <x:c r="E785" s="62" t="n">
        <x:v>45953</x:v>
      </x:c>
      <x:c r="F785" t="str">
        <x:v>AM</x:v>
      </x:c>
      <x:c r="G785" t="str">
        <x:v>C</x:v>
      </x:c>
      <x:c r="H785" t="n">
        <x:v>22</x:v>
      </x:c>
      <x:c r="I785" t="str">
        <x:v>ORD-2025-00057</x:v>
      </x:c>
      <x:c r="J785" t="n">
        <x:v>1</x:v>
      </x:c>
      <x:c r="K785" t="n">
        <x:v>1</x:v>
      </x:c>
      <x:c r="L785" t="str">
        <x:v>L22-S01-C1</x:v>
      </x:c>
      <x:c r="M785" t="n">
        <x:v>1</x:v>
      </x:c>
      <x:c r="N785" t="str">
        <x:v>DerivedFromCount</x:v>
      </x:c>
      <x:c r="O785" t="str">
        <x:v>PLC-PRD-JAR-720-L22</x:v>
      </x:c>
      <x:c r="P785" t="str">
        <x:v>OK</x:v>
      </x:c>
      <x:c r="Q785" t="str">
        <x:v>OK</x:v>
      </x:c>
      <x:c r="R785" t="str">
        <x:v>OK</x:v>
      </x:c>
      <x:c r="S785" t="str">
        <x:v>OK</x:v>
      </x:c>
      <x:c r="T785" t="n">
        <x:v>20</x:v>
      </x:c>
      <x:c r="U785" t="str">
        <x:v>OK</x:v>
      </x:c>
      <x:c r="V785" t="str">
        <x:v>OK</x:v>
      </x:c>
      <x:c r="W785" t="str">
        <x:v>LOAD</x:v>
      </x:c>
      <x:c r="X785" t="str">
        <x:v>02_Supervisor_Log(4).xlsx</x:v>
      </x:c>
      <x:c r="Y785" t="str">
        <x:v>ENH-20260830-01</x:v>
      </x:c>
      <x:c r="Z785" t="str">
        <x:v>Active</x:v>
      </x:c>
      <x:c r="AA785"/>
      <x:c r="AB785"/>
      <x:c r="AC785"/>
      <x:c r="AD785"/>
    </x:row>
    <x:row r="786">
      <x:c r="A786" t="str">
        <x:v>PCC-PE-KG01-L22-20251023-AM-ORD-2025-00057-S01-C2</x:v>
      </x:c>
      <x:c r="B786" t="str">
        <x:v>PC-PE-KG01-L22-20251023-AM-ORD-2025-00057-S01</x:v>
      </x:c>
      <x:c r="C786" t="str">
        <x:v>PE-KG01-L22-20251023-AM-ORD-2025-00057</x:v>
      </x:c>
      <x:c r="D786" t="str">
        <x:v>KG01</x:v>
      </x:c>
      <x:c r="E786" s="62" t="n">
        <x:v>45953</x:v>
      </x:c>
      <x:c r="F786" t="str">
        <x:v>AM</x:v>
      </x:c>
      <x:c r="G786" t="str">
        <x:v>C</x:v>
      </x:c>
      <x:c r="H786" t="n">
        <x:v>22</x:v>
      </x:c>
      <x:c r="I786" t="str">
        <x:v>ORD-2025-00057</x:v>
      </x:c>
      <x:c r="J786" t="n">
        <x:v>1</x:v>
      </x:c>
      <x:c r="K786" t="n">
        <x:v>2</x:v>
      </x:c>
      <x:c r="L786" t="str">
        <x:v>L22-S01-C2</x:v>
      </x:c>
      <x:c r="M786" t="n">
        <x:v>1</x:v>
      </x:c>
      <x:c r="N786" t="str">
        <x:v>DerivedFromCount</x:v>
      </x:c>
      <x:c r="O786" t="str">
        <x:v>PLC-PRD-JAR-720-L22</x:v>
      </x:c>
      <x:c r="P786" t="str">
        <x:v>OK</x:v>
      </x:c>
      <x:c r="Q786" t="str">
        <x:v>OK</x:v>
      </x:c>
      <x:c r="R786" t="str">
        <x:v>OK</x:v>
      </x:c>
      <x:c r="S786" t="str">
        <x:v>OK</x:v>
      </x:c>
      <x:c r="T786" t="n">
        <x:v>20</x:v>
      </x:c>
      <x:c r="U786" t="str">
        <x:v>OK</x:v>
      </x:c>
      <x:c r="V786" t="str">
        <x:v>OK</x:v>
      </x:c>
      <x:c r="W786" t="str">
        <x:v>LOAD</x:v>
      </x:c>
      <x:c r="X786" t="str">
        <x:v>02_Supervisor_Log(4).xlsx</x:v>
      </x:c>
      <x:c r="Y786" t="str">
        <x:v>ENH-20260830-01</x:v>
      </x:c>
      <x:c r="Z786" t="str">
        <x:v>Active</x:v>
      </x:c>
      <x:c r="AA786"/>
      <x:c r="AB786"/>
      <x:c r="AC786"/>
      <x:c r="AD786"/>
    </x:row>
    <x:row r="787">
      <x:c r="A787" t="str">
        <x:v>PCC-PE-KG01-L22-20251023-AM-ORD-2025-00057-S01-C3</x:v>
      </x:c>
      <x:c r="B787" t="str">
        <x:v>PC-PE-KG01-L22-20251023-AM-ORD-2025-00057-S01</x:v>
      </x:c>
      <x:c r="C787" t="str">
        <x:v>PE-KG01-L22-20251023-AM-ORD-2025-00057</x:v>
      </x:c>
      <x:c r="D787" t="str">
        <x:v>KG01</x:v>
      </x:c>
      <x:c r="E787" s="62" t="n">
        <x:v>45953</x:v>
      </x:c>
      <x:c r="F787" t="str">
        <x:v>AM</x:v>
      </x:c>
      <x:c r="G787" t="str">
        <x:v>C</x:v>
      </x:c>
      <x:c r="H787" t="n">
        <x:v>22</x:v>
      </x:c>
      <x:c r="I787" t="str">
        <x:v>ORD-2025-00057</x:v>
      </x:c>
      <x:c r="J787" t="n">
        <x:v>1</x:v>
      </x:c>
      <x:c r="K787" t="n">
        <x:v>3</x:v>
      </x:c>
      <x:c r="L787" t="str">
        <x:v>L22-S01-C3</x:v>
      </x:c>
      <x:c r="M787" t="n">
        <x:v>0</x:v>
      </x:c>
      <x:c r="N787" t="str">
        <x:v>DerivedFromCount</x:v>
      </x:c>
      <x:c r="O787" t="str">
        <x:v>PLC-PRD-JAR-720-L22</x:v>
      </x:c>
      <x:c r="P787" t="str">
        <x:v>OK</x:v>
      </x:c>
      <x:c r="Q787" t="str">
        <x:v>OK</x:v>
      </x:c>
      <x:c r="R787" t="str">
        <x:v>OK</x:v>
      </x:c>
      <x:c r="S787" t="str">
        <x:v>OK</x:v>
      </x:c>
      <x:c r="T787" t="n">
        <x:v>20</x:v>
      </x:c>
      <x:c r="U787" t="str">
        <x:v>OK</x:v>
      </x:c>
      <x:c r="V787" t="str">
        <x:v>OK</x:v>
      </x:c>
      <x:c r="W787" t="str">
        <x:v>LOAD</x:v>
      </x:c>
      <x:c r="X787" t="str">
        <x:v>02_Supervisor_Log(4).xlsx</x:v>
      </x:c>
      <x:c r="Y787" t="str">
        <x:v>ENH-20260830-01</x:v>
      </x:c>
      <x:c r="Z787" t="str">
        <x:v>Active</x:v>
      </x:c>
      <x:c r="AA787"/>
      <x:c r="AB787"/>
      <x:c r="AC787"/>
      <x:c r="AD787"/>
    </x:row>
    <x:row r="788">
      <x:c r="A788" t="str">
        <x:v>PCC-PE-KG01-L22-20251023-AM-ORD-2025-00057-S02-C1</x:v>
      </x:c>
      <x:c r="B788" t="str">
        <x:v>PC-PE-KG01-L22-20251023-AM-ORD-2025-00057-S02</x:v>
      </x:c>
      <x:c r="C788" t="str">
        <x:v>PE-KG01-L22-20251023-AM-ORD-2025-00057</x:v>
      </x:c>
      <x:c r="D788" t="str">
        <x:v>KG01</x:v>
      </x:c>
      <x:c r="E788" s="62" t="n">
        <x:v>45953</x:v>
      </x:c>
      <x:c r="F788" t="str">
        <x:v>AM</x:v>
      </x:c>
      <x:c r="G788" t="str">
        <x:v>C</x:v>
      </x:c>
      <x:c r="H788" t="n">
        <x:v>22</x:v>
      </x:c>
      <x:c r="I788" t="str">
        <x:v>ORD-2025-00057</x:v>
      </x:c>
      <x:c r="J788" t="n">
        <x:v>2</x:v>
      </x:c>
      <x:c r="K788" t="n">
        <x:v>1</x:v>
      </x:c>
      <x:c r="L788" t="str">
        <x:v>L22-S02-C1</x:v>
      </x:c>
      <x:c r="M788" t="n">
        <x:v>1</x:v>
      </x:c>
      <x:c r="N788" t="str">
        <x:v>DerivedFromCount</x:v>
      </x:c>
      <x:c r="O788" t="str">
        <x:v>PLC-PRD-JAR-720-L22</x:v>
      </x:c>
      <x:c r="P788" t="str">
        <x:v>OK</x:v>
      </x:c>
      <x:c r="Q788" t="str">
        <x:v>OK</x:v>
      </x:c>
      <x:c r="R788" t="str">
        <x:v>OK</x:v>
      </x:c>
      <x:c r="S788" t="str">
        <x:v>OK</x:v>
      </x:c>
      <x:c r="T788" t="n">
        <x:v>20</x:v>
      </x:c>
      <x:c r="U788" t="str">
        <x:v>OK</x:v>
      </x:c>
      <x:c r="V788" t="str">
        <x:v>OK</x:v>
      </x:c>
      <x:c r="W788" t="str">
        <x:v>LOAD</x:v>
      </x:c>
      <x:c r="X788" t="str">
        <x:v>02_Supervisor_Log(4).xlsx</x:v>
      </x:c>
      <x:c r="Y788" t="str">
        <x:v>ENH-20260830-01</x:v>
      </x:c>
      <x:c r="Z788" t="str">
        <x:v>Active</x:v>
      </x:c>
      <x:c r="AA788"/>
      <x:c r="AB788"/>
      <x:c r="AC788"/>
      <x:c r="AD788"/>
    </x:row>
    <x:row r="789">
      <x:c r="A789" t="str">
        <x:v>PCC-PE-KG01-L22-20251023-AM-ORD-2025-00057-S02-C2</x:v>
      </x:c>
      <x:c r="B789" t="str">
        <x:v>PC-PE-KG01-L22-20251023-AM-ORD-2025-00057-S02</x:v>
      </x:c>
      <x:c r="C789" t="str">
        <x:v>PE-KG01-L22-20251023-AM-ORD-2025-00057</x:v>
      </x:c>
      <x:c r="D789" t="str">
        <x:v>KG01</x:v>
      </x:c>
      <x:c r="E789" s="62" t="n">
        <x:v>45953</x:v>
      </x:c>
      <x:c r="F789" t="str">
        <x:v>AM</x:v>
      </x:c>
      <x:c r="G789" t="str">
        <x:v>C</x:v>
      </x:c>
      <x:c r="H789" t="n">
        <x:v>22</x:v>
      </x:c>
      <x:c r="I789" t="str">
        <x:v>ORD-2025-00057</x:v>
      </x:c>
      <x:c r="J789" t="n">
        <x:v>2</x:v>
      </x:c>
      <x:c r="K789" t="n">
        <x:v>2</x:v>
      </x:c>
      <x:c r="L789" t="str">
        <x:v>L22-S02-C2</x:v>
      </x:c>
      <x:c r="M789" t="n">
        <x:v>1</x:v>
      </x:c>
      <x:c r="N789" t="str">
        <x:v>DerivedFromCount</x:v>
      </x:c>
      <x:c r="O789" t="str">
        <x:v>PLC-PRD-JAR-720-L22</x:v>
      </x:c>
      <x:c r="P789" t="str">
        <x:v>OK</x:v>
      </x:c>
      <x:c r="Q789" t="str">
        <x:v>OK</x:v>
      </x:c>
      <x:c r="R789" t="str">
        <x:v>OK</x:v>
      </x:c>
      <x:c r="S789" t="str">
        <x:v>OK</x:v>
      </x:c>
      <x:c r="T789" t="n">
        <x:v>20</x:v>
      </x:c>
      <x:c r="U789" t="str">
        <x:v>OK</x:v>
      </x:c>
      <x:c r="V789" t="str">
        <x:v>OK</x:v>
      </x:c>
      <x:c r="W789" t="str">
        <x:v>LOAD</x:v>
      </x:c>
      <x:c r="X789" t="str">
        <x:v>02_Supervisor_Log(4).xlsx</x:v>
      </x:c>
      <x:c r="Y789" t="str">
        <x:v>ENH-20260830-01</x:v>
      </x:c>
      <x:c r="Z789" t="str">
        <x:v>Active</x:v>
      </x:c>
      <x:c r="AA789"/>
      <x:c r="AB789"/>
      <x:c r="AC789"/>
      <x:c r="AD789"/>
    </x:row>
    <x:row r="790">
      <x:c r="A790" t="str">
        <x:v>PCC-PE-KG01-L22-20251023-AM-ORD-2025-00057-S02-C3</x:v>
      </x:c>
      <x:c r="B790" t="str">
        <x:v>PC-PE-KG01-L22-20251023-AM-ORD-2025-00057-S02</x:v>
      </x:c>
      <x:c r="C790" t="str">
        <x:v>PE-KG01-L22-20251023-AM-ORD-2025-00057</x:v>
      </x:c>
      <x:c r="D790" t="str">
        <x:v>KG01</x:v>
      </x:c>
      <x:c r="E790" s="62" t="n">
        <x:v>45953</x:v>
      </x:c>
      <x:c r="F790" t="str">
        <x:v>AM</x:v>
      </x:c>
      <x:c r="G790" t="str">
        <x:v>C</x:v>
      </x:c>
      <x:c r="H790" t="n">
        <x:v>22</x:v>
      </x:c>
      <x:c r="I790" t="str">
        <x:v>ORD-2025-00057</x:v>
      </x:c>
      <x:c r="J790" t="n">
        <x:v>2</x:v>
      </x:c>
      <x:c r="K790" t="n">
        <x:v>3</x:v>
      </x:c>
      <x:c r="L790" t="str">
        <x:v>L22-S02-C3</x:v>
      </x:c>
      <x:c r="M790" t="n">
        <x:v>0</x:v>
      </x:c>
      <x:c r="N790" t="str">
        <x:v>DerivedFromCount</x:v>
      </x:c>
      <x:c r="O790" t="str">
        <x:v>PLC-PRD-JAR-720-L22</x:v>
      </x:c>
      <x:c r="P790" t="str">
        <x:v>OK</x:v>
      </x:c>
      <x:c r="Q790" t="str">
        <x:v>OK</x:v>
      </x:c>
      <x:c r="R790" t="str">
        <x:v>OK</x:v>
      </x:c>
      <x:c r="S790" t="str">
        <x:v>OK</x:v>
      </x:c>
      <x:c r="T790" t="n">
        <x:v>20</x:v>
      </x:c>
      <x:c r="U790" t="str">
        <x:v>OK</x:v>
      </x:c>
      <x:c r="V790" t="str">
        <x:v>OK</x:v>
      </x:c>
      <x:c r="W790" t="str">
        <x:v>LOAD</x:v>
      </x:c>
      <x:c r="X790" t="str">
        <x:v>02_Supervisor_Log(4).xlsx</x:v>
      </x:c>
      <x:c r="Y790" t="str">
        <x:v>ENH-20260830-01</x:v>
      </x:c>
      <x:c r="Z790" t="str">
        <x:v>Active</x:v>
      </x:c>
      <x:c r="AA790"/>
      <x:c r="AB790"/>
      <x:c r="AC790"/>
      <x:c r="AD790"/>
    </x:row>
    <x:row r="791">
      <x:c r="A791" t="str">
        <x:v>PCC-PE-KG01-L22-20251023-AM-ORD-2025-00057-S03-C1</x:v>
      </x:c>
      <x:c r="B791" t="str">
        <x:v>PC-PE-KG01-L22-20251023-AM-ORD-2025-00057-S03</x:v>
      </x:c>
      <x:c r="C791" t="str">
        <x:v>PE-KG01-L22-20251023-AM-ORD-2025-00057</x:v>
      </x:c>
      <x:c r="D791" t="str">
        <x:v>KG01</x:v>
      </x:c>
      <x:c r="E791" s="62" t="n">
        <x:v>45953</x:v>
      </x:c>
      <x:c r="F791" t="str">
        <x:v>AM</x:v>
      </x:c>
      <x:c r="G791" t="str">
        <x:v>C</x:v>
      </x:c>
      <x:c r="H791" t="n">
        <x:v>22</x:v>
      </x:c>
      <x:c r="I791" t="str">
        <x:v>ORD-2025-00057</x:v>
      </x:c>
      <x:c r="J791" t="n">
        <x:v>3</x:v>
      </x:c>
      <x:c r="K791" t="n">
        <x:v>1</x:v>
      </x:c>
      <x:c r="L791" t="str">
        <x:v>L22-S03-C1</x:v>
      </x:c>
      <x:c r="M791" t="n">
        <x:v>1</x:v>
      </x:c>
      <x:c r="N791" t="str">
        <x:v>DerivedFromCount</x:v>
      </x:c>
      <x:c r="O791" t="str">
        <x:v>PLC-PRD-JAR-720-L22</x:v>
      </x:c>
      <x:c r="P791" t="str">
        <x:v>OK</x:v>
      </x:c>
      <x:c r="Q791" t="str">
        <x:v>OK</x:v>
      </x:c>
      <x:c r="R791" t="str">
        <x:v>OK</x:v>
      </x:c>
      <x:c r="S791" t="str">
        <x:v>OK</x:v>
      </x:c>
      <x:c r="T791" t="n">
        <x:v>20</x:v>
      </x:c>
      <x:c r="U791" t="str">
        <x:v>OK</x:v>
      </x:c>
      <x:c r="V791" t="str">
        <x:v>OK</x:v>
      </x:c>
      <x:c r="W791" t="str">
        <x:v>LOAD</x:v>
      </x:c>
      <x:c r="X791" t="str">
        <x:v>02_Supervisor_Log(4).xlsx</x:v>
      </x:c>
      <x:c r="Y791" t="str">
        <x:v>ENH-20260830-01</x:v>
      </x:c>
      <x:c r="Z791" t="str">
        <x:v>Active</x:v>
      </x:c>
      <x:c r="AA791"/>
      <x:c r="AB791"/>
      <x:c r="AC791"/>
      <x:c r="AD791"/>
    </x:row>
    <x:row r="792">
      <x:c r="A792" t="str">
        <x:v>PCC-PE-KG01-L22-20251023-AM-ORD-2025-00057-S03-C2</x:v>
      </x:c>
      <x:c r="B792" t="str">
        <x:v>PC-PE-KG01-L22-20251023-AM-ORD-2025-00057-S03</x:v>
      </x:c>
      <x:c r="C792" t="str">
        <x:v>PE-KG01-L22-20251023-AM-ORD-2025-00057</x:v>
      </x:c>
      <x:c r="D792" t="str">
        <x:v>KG01</x:v>
      </x:c>
      <x:c r="E792" s="62" t="n">
        <x:v>45953</x:v>
      </x:c>
      <x:c r="F792" t="str">
        <x:v>AM</x:v>
      </x:c>
      <x:c r="G792" t="str">
        <x:v>C</x:v>
      </x:c>
      <x:c r="H792" t="n">
        <x:v>22</x:v>
      </x:c>
      <x:c r="I792" t="str">
        <x:v>ORD-2025-00057</x:v>
      </x:c>
      <x:c r="J792" t="n">
        <x:v>3</x:v>
      </x:c>
      <x:c r="K792" t="n">
        <x:v>2</x:v>
      </x:c>
      <x:c r="L792" t="str">
        <x:v>L22-S03-C2</x:v>
      </x:c>
      <x:c r="M792" t="n">
        <x:v>1</x:v>
      </x:c>
      <x:c r="N792" t="str">
        <x:v>DerivedFromCount</x:v>
      </x:c>
      <x:c r="O792" t="str">
        <x:v>PLC-PRD-JAR-720-L22</x:v>
      </x:c>
      <x:c r="P792" t="str">
        <x:v>OK</x:v>
      </x:c>
      <x:c r="Q792" t="str">
        <x:v>OK</x:v>
      </x:c>
      <x:c r="R792" t="str">
        <x:v>OK</x:v>
      </x:c>
      <x:c r="S792" t="str">
        <x:v>OK</x:v>
      </x:c>
      <x:c r="T792" t="n">
        <x:v>20</x:v>
      </x:c>
      <x:c r="U792" t="str">
        <x:v>OK</x:v>
      </x:c>
      <x:c r="V792" t="str">
        <x:v>OK</x:v>
      </x:c>
      <x:c r="W792" t="str">
        <x:v>LOAD</x:v>
      </x:c>
      <x:c r="X792" t="str">
        <x:v>02_Supervisor_Log(4).xlsx</x:v>
      </x:c>
      <x:c r="Y792" t="str">
        <x:v>ENH-20260830-01</x:v>
      </x:c>
      <x:c r="Z792" t="str">
        <x:v>Active</x:v>
      </x:c>
      <x:c r="AA792"/>
      <x:c r="AB792"/>
      <x:c r="AC792"/>
      <x:c r="AD792"/>
    </x:row>
    <x:row r="793">
      <x:c r="A793" t="str">
        <x:v>PCC-PE-KG01-L22-20251023-AM-ORD-2025-00057-S03-C3</x:v>
      </x:c>
      <x:c r="B793" t="str">
        <x:v>PC-PE-KG01-L22-20251023-AM-ORD-2025-00057-S03</x:v>
      </x:c>
      <x:c r="C793" t="str">
        <x:v>PE-KG01-L22-20251023-AM-ORD-2025-00057</x:v>
      </x:c>
      <x:c r="D793" t="str">
        <x:v>KG01</x:v>
      </x:c>
      <x:c r="E793" s="62" t="n">
        <x:v>45953</x:v>
      </x:c>
      <x:c r="F793" t="str">
        <x:v>AM</x:v>
      </x:c>
      <x:c r="G793" t="str">
        <x:v>C</x:v>
      </x:c>
      <x:c r="H793" t="n">
        <x:v>22</x:v>
      </x:c>
      <x:c r="I793" t="str">
        <x:v>ORD-2025-00057</x:v>
      </x:c>
      <x:c r="J793" t="n">
        <x:v>3</x:v>
      </x:c>
      <x:c r="K793" t="n">
        <x:v>3</x:v>
      </x:c>
      <x:c r="L793" t="str">
        <x:v>L22-S03-C3</x:v>
      </x:c>
      <x:c r="M793" t="n">
        <x:v>0</x:v>
      </x:c>
      <x:c r="N793" t="str">
        <x:v>DerivedFromCount</x:v>
      </x:c>
      <x:c r="O793" t="str">
        <x:v>PLC-PRD-JAR-720-L22</x:v>
      </x:c>
      <x:c r="P793" t="str">
        <x:v>OK</x:v>
      </x:c>
      <x:c r="Q793" t="str">
        <x:v>OK</x:v>
      </x:c>
      <x:c r="R793" t="str">
        <x:v>OK</x:v>
      </x:c>
      <x:c r="S793" t="str">
        <x:v>OK</x:v>
      </x:c>
      <x:c r="T793" t="n">
        <x:v>20</x:v>
      </x:c>
      <x:c r="U793" t="str">
        <x:v>OK</x:v>
      </x:c>
      <x:c r="V793" t="str">
        <x:v>OK</x:v>
      </x:c>
      <x:c r="W793" t="str">
        <x:v>LOAD</x:v>
      </x:c>
      <x:c r="X793" t="str">
        <x:v>02_Supervisor_Log(4).xlsx</x:v>
      </x:c>
      <x:c r="Y793" t="str">
        <x:v>ENH-20260830-01</x:v>
      </x:c>
      <x:c r="Z793" t="str">
        <x:v>Active</x:v>
      </x:c>
      <x:c r="AA793"/>
      <x:c r="AB793"/>
      <x:c r="AC793"/>
      <x:c r="AD793"/>
    </x:row>
    <x:row r="794">
      <x:c r="A794" t="str">
        <x:v>PCC-PE-KG01-L22-20251023-AM-ORD-2025-00057-S04-C1</x:v>
      </x:c>
      <x:c r="B794" t="str">
        <x:v>PC-PE-KG01-L22-20251023-AM-ORD-2025-00057-S04</x:v>
      </x:c>
      <x:c r="C794" t="str">
        <x:v>PE-KG01-L22-20251023-AM-ORD-2025-00057</x:v>
      </x:c>
      <x:c r="D794" t="str">
        <x:v>KG01</x:v>
      </x:c>
      <x:c r="E794" s="62" t="n">
        <x:v>45953</x:v>
      </x:c>
      <x:c r="F794" t="str">
        <x:v>AM</x:v>
      </x:c>
      <x:c r="G794" t="str">
        <x:v>C</x:v>
      </x:c>
      <x:c r="H794" t="n">
        <x:v>22</x:v>
      </x:c>
      <x:c r="I794" t="str">
        <x:v>ORD-2025-00057</x:v>
      </x:c>
      <x:c r="J794" t="n">
        <x:v>4</x:v>
      </x:c>
      <x:c r="K794" t="n">
        <x:v>1</x:v>
      </x:c>
      <x:c r="L794" t="str">
        <x:v>L22-S04-C1</x:v>
      </x:c>
      <x:c r="M794" t="n">
        <x:v>1</x:v>
      </x:c>
      <x:c r="N794" t="str">
        <x:v>DerivedFromCount</x:v>
      </x:c>
      <x:c r="O794" t="str">
        <x:v>PLC-PRD-JAR-720-L22</x:v>
      </x:c>
      <x:c r="P794" t="str">
        <x:v>OK</x:v>
      </x:c>
      <x:c r="Q794" t="str">
        <x:v>OK</x:v>
      </x:c>
      <x:c r="R794" t="str">
        <x:v>OK</x:v>
      </x:c>
      <x:c r="S794" t="str">
        <x:v>OK</x:v>
      </x:c>
      <x:c r="T794" t="n">
        <x:v>20</x:v>
      </x:c>
      <x:c r="U794" t="str">
        <x:v>OK</x:v>
      </x:c>
      <x:c r="V794" t="str">
        <x:v>OK</x:v>
      </x:c>
      <x:c r="W794" t="str">
        <x:v>LOAD</x:v>
      </x:c>
      <x:c r="X794" t="str">
        <x:v>02_Supervisor_Log(4).xlsx</x:v>
      </x:c>
      <x:c r="Y794" t="str">
        <x:v>ENH-20260830-01</x:v>
      </x:c>
      <x:c r="Z794" t="str">
        <x:v>Active</x:v>
      </x:c>
      <x:c r="AA794"/>
      <x:c r="AB794"/>
      <x:c r="AC794"/>
      <x:c r="AD794"/>
    </x:row>
    <x:row r="795">
      <x:c r="A795" t="str">
        <x:v>PCC-PE-KG01-L22-20251023-AM-ORD-2025-00057-S04-C2</x:v>
      </x:c>
      <x:c r="B795" t="str">
        <x:v>PC-PE-KG01-L22-20251023-AM-ORD-2025-00057-S04</x:v>
      </x:c>
      <x:c r="C795" t="str">
        <x:v>PE-KG01-L22-20251023-AM-ORD-2025-00057</x:v>
      </x:c>
      <x:c r="D795" t="str">
        <x:v>KG01</x:v>
      </x:c>
      <x:c r="E795" s="62" t="n">
        <x:v>45953</x:v>
      </x:c>
      <x:c r="F795" t="str">
        <x:v>AM</x:v>
      </x:c>
      <x:c r="G795" t="str">
        <x:v>C</x:v>
      </x:c>
      <x:c r="H795" t="n">
        <x:v>22</x:v>
      </x:c>
      <x:c r="I795" t="str">
        <x:v>ORD-2025-00057</x:v>
      </x:c>
      <x:c r="J795" t="n">
        <x:v>4</x:v>
      </x:c>
      <x:c r="K795" t="n">
        <x:v>2</x:v>
      </x:c>
      <x:c r="L795" t="str">
        <x:v>L22-S04-C2</x:v>
      </x:c>
      <x:c r="M795" t="n">
        <x:v>1</x:v>
      </x:c>
      <x:c r="N795" t="str">
        <x:v>DerivedFromCount</x:v>
      </x:c>
      <x:c r="O795" t="str">
        <x:v>PLC-PRD-JAR-720-L22</x:v>
      </x:c>
      <x:c r="P795" t="str">
        <x:v>OK</x:v>
      </x:c>
      <x:c r="Q795" t="str">
        <x:v>OK</x:v>
      </x:c>
      <x:c r="R795" t="str">
        <x:v>OK</x:v>
      </x:c>
      <x:c r="S795" t="str">
        <x:v>OK</x:v>
      </x:c>
      <x:c r="T795" t="n">
        <x:v>20</x:v>
      </x:c>
      <x:c r="U795" t="str">
        <x:v>OK</x:v>
      </x:c>
      <x:c r="V795" t="str">
        <x:v>OK</x:v>
      </x:c>
      <x:c r="W795" t="str">
        <x:v>LOAD</x:v>
      </x:c>
      <x:c r="X795" t="str">
        <x:v>02_Supervisor_Log(4).xlsx</x:v>
      </x:c>
      <x:c r="Y795" t="str">
        <x:v>ENH-20260830-01</x:v>
      </x:c>
      <x:c r="Z795" t="str">
        <x:v>Active</x:v>
      </x:c>
      <x:c r="AA795"/>
      <x:c r="AB795"/>
      <x:c r="AC795"/>
      <x:c r="AD795"/>
    </x:row>
    <x:row r="796">
      <x:c r="A796" t="str">
        <x:v>PCC-PE-KG01-L22-20251023-AM-ORD-2025-00057-S04-C3</x:v>
      </x:c>
      <x:c r="B796" t="str">
        <x:v>PC-PE-KG01-L22-20251023-AM-ORD-2025-00057-S04</x:v>
      </x:c>
      <x:c r="C796" t="str">
        <x:v>PE-KG01-L22-20251023-AM-ORD-2025-00057</x:v>
      </x:c>
      <x:c r="D796" t="str">
        <x:v>KG01</x:v>
      </x:c>
      <x:c r="E796" s="62" t="n">
        <x:v>45953</x:v>
      </x:c>
      <x:c r="F796" t="str">
        <x:v>AM</x:v>
      </x:c>
      <x:c r="G796" t="str">
        <x:v>C</x:v>
      </x:c>
      <x:c r="H796" t="n">
        <x:v>22</x:v>
      </x:c>
      <x:c r="I796" t="str">
        <x:v>ORD-2025-00057</x:v>
      </x:c>
      <x:c r="J796" t="n">
        <x:v>4</x:v>
      </x:c>
      <x:c r="K796" t="n">
        <x:v>3</x:v>
      </x:c>
      <x:c r="L796" t="str">
        <x:v>L22-S04-C3</x:v>
      </x:c>
      <x:c r="M796" t="n">
        <x:v>0</x:v>
      </x:c>
      <x:c r="N796" t="str">
        <x:v>DerivedFromCount</x:v>
      </x:c>
      <x:c r="O796" t="str">
        <x:v>PLC-PRD-JAR-720-L22</x:v>
      </x:c>
      <x:c r="P796" t="str">
        <x:v>OK</x:v>
      </x:c>
      <x:c r="Q796" t="str">
        <x:v>OK</x:v>
      </x:c>
      <x:c r="R796" t="str">
        <x:v>OK</x:v>
      </x:c>
      <x:c r="S796" t="str">
        <x:v>OK</x:v>
      </x:c>
      <x:c r="T796" t="n">
        <x:v>20</x:v>
      </x:c>
      <x:c r="U796" t="str">
        <x:v>OK</x:v>
      </x:c>
      <x:c r="V796" t="str">
        <x:v>OK</x:v>
      </x:c>
      <x:c r="W796" t="str">
        <x:v>LOAD</x:v>
      </x:c>
      <x:c r="X796" t="str">
        <x:v>02_Supervisor_Log(4).xlsx</x:v>
      </x:c>
      <x:c r="Y796" t="str">
        <x:v>ENH-20260830-01</x:v>
      </x:c>
      <x:c r="Z796" t="str">
        <x:v>Active</x:v>
      </x:c>
      <x:c r="AA796"/>
      <x:c r="AB796"/>
      <x:c r="AC796"/>
      <x:c r="AD796"/>
    </x:row>
    <x:row r="797">
      <x:c r="A797" t="str">
        <x:v>PCC-PE-KG01-L22-20251023-AM-ORD-2025-00057-S05-C1</x:v>
      </x:c>
      <x:c r="B797" t="str">
        <x:v>PC-PE-KG01-L22-20251023-AM-ORD-2025-00057-S05</x:v>
      </x:c>
      <x:c r="C797" t="str">
        <x:v>PE-KG01-L22-20251023-AM-ORD-2025-00057</x:v>
      </x:c>
      <x:c r="D797" t="str">
        <x:v>KG01</x:v>
      </x:c>
      <x:c r="E797" s="62" t="n">
        <x:v>45953</x:v>
      </x:c>
      <x:c r="F797" t="str">
        <x:v>AM</x:v>
      </x:c>
      <x:c r="G797" t="str">
        <x:v>C</x:v>
      </x:c>
      <x:c r="H797" t="n">
        <x:v>22</x:v>
      </x:c>
      <x:c r="I797" t="str">
        <x:v>ORD-2025-00057</x:v>
      </x:c>
      <x:c r="J797" t="n">
        <x:v>5</x:v>
      </x:c>
      <x:c r="K797" t="n">
        <x:v>1</x:v>
      </x:c>
      <x:c r="L797" t="str">
        <x:v>L22-S05-C1</x:v>
      </x:c>
      <x:c r="M797" t="n">
        <x:v>1</x:v>
      </x:c>
      <x:c r="N797" t="str">
        <x:v>DerivedFromCount</x:v>
      </x:c>
      <x:c r="O797" t="str">
        <x:v>PLC-PRD-JAR-720-L22</x:v>
      </x:c>
      <x:c r="P797" t="str">
        <x:v>OK</x:v>
      </x:c>
      <x:c r="Q797" t="str">
        <x:v>OK</x:v>
      </x:c>
      <x:c r="R797" t="str">
        <x:v>OK</x:v>
      </x:c>
      <x:c r="S797" t="str">
        <x:v>OK</x:v>
      </x:c>
      <x:c r="T797" t="n">
        <x:v>20</x:v>
      </x:c>
      <x:c r="U797" t="str">
        <x:v>OK</x:v>
      </x:c>
      <x:c r="V797" t="str">
        <x:v>OK</x:v>
      </x:c>
      <x:c r="W797" t="str">
        <x:v>LOAD</x:v>
      </x:c>
      <x:c r="X797" t="str">
        <x:v>02_Supervisor_Log(4).xlsx</x:v>
      </x:c>
      <x:c r="Y797" t="str">
        <x:v>ENH-20260830-01</x:v>
      </x:c>
      <x:c r="Z797" t="str">
        <x:v>Active</x:v>
      </x:c>
      <x:c r="AA797"/>
      <x:c r="AB797"/>
      <x:c r="AC797"/>
      <x:c r="AD797"/>
    </x:row>
    <x:row r="798">
      <x:c r="A798" t="str">
        <x:v>PCC-PE-KG01-L22-20251023-AM-ORD-2025-00057-S05-C2</x:v>
      </x:c>
      <x:c r="B798" t="str">
        <x:v>PC-PE-KG01-L22-20251023-AM-ORD-2025-00057-S05</x:v>
      </x:c>
      <x:c r="C798" t="str">
        <x:v>PE-KG01-L22-20251023-AM-ORD-2025-00057</x:v>
      </x:c>
      <x:c r="D798" t="str">
        <x:v>KG01</x:v>
      </x:c>
      <x:c r="E798" s="62" t="n">
        <x:v>45953</x:v>
      </x:c>
      <x:c r="F798" t="str">
        <x:v>AM</x:v>
      </x:c>
      <x:c r="G798" t="str">
        <x:v>C</x:v>
      </x:c>
      <x:c r="H798" t="n">
        <x:v>22</x:v>
      </x:c>
      <x:c r="I798" t="str">
        <x:v>ORD-2025-00057</x:v>
      </x:c>
      <x:c r="J798" t="n">
        <x:v>5</x:v>
      </x:c>
      <x:c r="K798" t="n">
        <x:v>2</x:v>
      </x:c>
      <x:c r="L798" t="str">
        <x:v>L22-S05-C2</x:v>
      </x:c>
      <x:c r="M798" t="n">
        <x:v>1</x:v>
      </x:c>
      <x:c r="N798" t="str">
        <x:v>DerivedFromCount</x:v>
      </x:c>
      <x:c r="O798" t="str">
        <x:v>PLC-PRD-JAR-720-L22</x:v>
      </x:c>
      <x:c r="P798" t="str">
        <x:v>OK</x:v>
      </x:c>
      <x:c r="Q798" t="str">
        <x:v>OK</x:v>
      </x:c>
      <x:c r="R798" t="str">
        <x:v>OK</x:v>
      </x:c>
      <x:c r="S798" t="str">
        <x:v>OK</x:v>
      </x:c>
      <x:c r="T798" t="n">
        <x:v>20</x:v>
      </x:c>
      <x:c r="U798" t="str">
        <x:v>OK</x:v>
      </x:c>
      <x:c r="V798" t="str">
        <x:v>OK</x:v>
      </x:c>
      <x:c r="W798" t="str">
        <x:v>LOAD</x:v>
      </x:c>
      <x:c r="X798" t="str">
        <x:v>02_Supervisor_Log(4).xlsx</x:v>
      </x:c>
      <x:c r="Y798" t="str">
        <x:v>ENH-20260830-01</x:v>
      </x:c>
      <x:c r="Z798" t="str">
        <x:v>Active</x:v>
      </x:c>
      <x:c r="AA798"/>
      <x:c r="AB798"/>
      <x:c r="AC798"/>
      <x:c r="AD798"/>
    </x:row>
    <x:row r="799">
      <x:c r="A799" t="str">
        <x:v>PCC-PE-KG01-L22-20251023-AM-ORD-2025-00057-S05-C3</x:v>
      </x:c>
      <x:c r="B799" t="str">
        <x:v>PC-PE-KG01-L22-20251023-AM-ORD-2025-00057-S05</x:v>
      </x:c>
      <x:c r="C799" t="str">
        <x:v>PE-KG01-L22-20251023-AM-ORD-2025-00057</x:v>
      </x:c>
      <x:c r="D799" t="str">
        <x:v>KG01</x:v>
      </x:c>
      <x:c r="E799" s="62" t="n">
        <x:v>45953</x:v>
      </x:c>
      <x:c r="F799" t="str">
        <x:v>AM</x:v>
      </x:c>
      <x:c r="G799" t="str">
        <x:v>C</x:v>
      </x:c>
      <x:c r="H799" t="n">
        <x:v>22</x:v>
      </x:c>
      <x:c r="I799" t="str">
        <x:v>ORD-2025-00057</x:v>
      </x:c>
      <x:c r="J799" t="n">
        <x:v>5</x:v>
      </x:c>
      <x:c r="K799" t="n">
        <x:v>3</x:v>
      </x:c>
      <x:c r="L799" t="str">
        <x:v>L22-S05-C3</x:v>
      </x:c>
      <x:c r="M799" t="n">
        <x:v>0</x:v>
      </x:c>
      <x:c r="N799" t="str">
        <x:v>DerivedFromCount</x:v>
      </x:c>
      <x:c r="O799" t="str">
        <x:v>PLC-PRD-JAR-720-L22</x:v>
      </x:c>
      <x:c r="P799" t="str">
        <x:v>OK</x:v>
      </x:c>
      <x:c r="Q799" t="str">
        <x:v>OK</x:v>
      </x:c>
      <x:c r="R799" t="str">
        <x:v>OK</x:v>
      </x:c>
      <x:c r="S799" t="str">
        <x:v>OK</x:v>
      </x:c>
      <x:c r="T799" t="n">
        <x:v>20</x:v>
      </x:c>
      <x:c r="U799" t="str">
        <x:v>OK</x:v>
      </x:c>
      <x:c r="V799" t="str">
        <x:v>OK</x:v>
      </x:c>
      <x:c r="W799" t="str">
        <x:v>LOAD</x:v>
      </x:c>
      <x:c r="X799" t="str">
        <x:v>02_Supervisor_Log(4).xlsx</x:v>
      </x:c>
      <x:c r="Y799" t="str">
        <x:v>ENH-20260830-01</x:v>
      </x:c>
      <x:c r="Z799" t="str">
        <x:v>Active</x:v>
      </x:c>
      <x:c r="AA799"/>
      <x:c r="AB799"/>
      <x:c r="AC799"/>
      <x:c r="AD799"/>
    </x:row>
    <x:row r="800">
      <x:c r="A800" t="str">
        <x:v>PCC-PE-KG01-L22-20251023-AM-ORD-2025-00057-S06-C1</x:v>
      </x:c>
      <x:c r="B800" t="str">
        <x:v>PC-PE-KG01-L22-20251023-AM-ORD-2025-00057-S06</x:v>
      </x:c>
      <x:c r="C800" t="str">
        <x:v>PE-KG01-L22-20251023-AM-ORD-2025-00057</x:v>
      </x:c>
      <x:c r="D800" t="str">
        <x:v>KG01</x:v>
      </x:c>
      <x:c r="E800" s="62" t="n">
        <x:v>45953</x:v>
      </x:c>
      <x:c r="F800" t="str">
        <x:v>AM</x:v>
      </x:c>
      <x:c r="G800" t="str">
        <x:v>C</x:v>
      </x:c>
      <x:c r="H800" t="n">
        <x:v>22</x:v>
      </x:c>
      <x:c r="I800" t="str">
        <x:v>ORD-2025-00057</x:v>
      </x:c>
      <x:c r="J800" t="n">
        <x:v>6</x:v>
      </x:c>
      <x:c r="K800" t="n">
        <x:v>1</x:v>
      </x:c>
      <x:c r="L800" t="str">
        <x:v>L22-S06-C1</x:v>
      </x:c>
      <x:c r="M800" t="n">
        <x:v>1</x:v>
      </x:c>
      <x:c r="N800" t="str">
        <x:v>DerivedFromCount</x:v>
      </x:c>
      <x:c r="O800" t="str">
        <x:v>PLC-PRD-JAR-720-L22</x:v>
      </x:c>
      <x:c r="P800" t="str">
        <x:v>OK</x:v>
      </x:c>
      <x:c r="Q800" t="str">
        <x:v>OK</x:v>
      </x:c>
      <x:c r="R800" t="str">
        <x:v>OK</x:v>
      </x:c>
      <x:c r="S800" t="str">
        <x:v>OK</x:v>
      </x:c>
      <x:c r="T800" t="n">
        <x:v>20</x:v>
      </x:c>
      <x:c r="U800" t="str">
        <x:v>OK</x:v>
      </x:c>
      <x:c r="V800" t="str">
        <x:v>OK</x:v>
      </x:c>
      <x:c r="W800" t="str">
        <x:v>LOAD</x:v>
      </x:c>
      <x:c r="X800" t="str">
        <x:v>02_Supervisor_Log(4).xlsx</x:v>
      </x:c>
      <x:c r="Y800" t="str">
        <x:v>ENH-20260830-01</x:v>
      </x:c>
      <x:c r="Z800" t="str">
        <x:v>Active</x:v>
      </x:c>
      <x:c r="AA800"/>
      <x:c r="AB800"/>
      <x:c r="AC800"/>
      <x:c r="AD800"/>
    </x:row>
    <x:row r="801">
      <x:c r="A801" t="str">
        <x:v>PCC-PE-KG01-L22-20251023-AM-ORD-2025-00057-S06-C2</x:v>
      </x:c>
      <x:c r="B801" t="str">
        <x:v>PC-PE-KG01-L22-20251023-AM-ORD-2025-00057-S06</x:v>
      </x:c>
      <x:c r="C801" t="str">
        <x:v>PE-KG01-L22-20251023-AM-ORD-2025-00057</x:v>
      </x:c>
      <x:c r="D801" t="str">
        <x:v>KG01</x:v>
      </x:c>
      <x:c r="E801" s="62" t="n">
        <x:v>45953</x:v>
      </x:c>
      <x:c r="F801" t="str">
        <x:v>AM</x:v>
      </x:c>
      <x:c r="G801" t="str">
        <x:v>C</x:v>
      </x:c>
      <x:c r="H801" t="n">
        <x:v>22</x:v>
      </x:c>
      <x:c r="I801" t="str">
        <x:v>ORD-2025-00057</x:v>
      </x:c>
      <x:c r="J801" t="n">
        <x:v>6</x:v>
      </x:c>
      <x:c r="K801" t="n">
        <x:v>2</x:v>
      </x:c>
      <x:c r="L801" t="str">
        <x:v>L22-S06-C2</x:v>
      </x:c>
      <x:c r="M801" t="n">
        <x:v>1</x:v>
      </x:c>
      <x:c r="N801" t="str">
        <x:v>DerivedFromCount</x:v>
      </x:c>
      <x:c r="O801" t="str">
        <x:v>PLC-PRD-JAR-720-L22</x:v>
      </x:c>
      <x:c r="P801" t="str">
        <x:v>OK</x:v>
      </x:c>
      <x:c r="Q801" t="str">
        <x:v>OK</x:v>
      </x:c>
      <x:c r="R801" t="str">
        <x:v>OK</x:v>
      </x:c>
      <x:c r="S801" t="str">
        <x:v>OK</x:v>
      </x:c>
      <x:c r="T801" t="n">
        <x:v>20</x:v>
      </x:c>
      <x:c r="U801" t="str">
        <x:v>OK</x:v>
      </x:c>
      <x:c r="V801" t="str">
        <x:v>OK</x:v>
      </x:c>
      <x:c r="W801" t="str">
        <x:v>LOAD</x:v>
      </x:c>
      <x:c r="X801" t="str">
        <x:v>02_Supervisor_Log(4).xlsx</x:v>
      </x:c>
      <x:c r="Y801" t="str">
        <x:v>ENH-20260830-01</x:v>
      </x:c>
      <x:c r="Z801" t="str">
        <x:v>Active</x:v>
      </x:c>
      <x:c r="AA801"/>
      <x:c r="AB801"/>
      <x:c r="AC801"/>
      <x:c r="AD801"/>
    </x:row>
    <x:row r="802">
      <x:c r="A802" t="str">
        <x:v>PCC-PE-KG01-L22-20251023-AM-ORD-2025-00057-S06-C3</x:v>
      </x:c>
      <x:c r="B802" t="str">
        <x:v>PC-PE-KG01-L22-20251023-AM-ORD-2025-00057-S06</x:v>
      </x:c>
      <x:c r="C802" t="str">
        <x:v>PE-KG01-L22-20251023-AM-ORD-2025-00057</x:v>
      </x:c>
      <x:c r="D802" t="str">
        <x:v>KG01</x:v>
      </x:c>
      <x:c r="E802" s="62" t="n">
        <x:v>45953</x:v>
      </x:c>
      <x:c r="F802" t="str">
        <x:v>AM</x:v>
      </x:c>
      <x:c r="G802" t="str">
        <x:v>C</x:v>
      </x:c>
      <x:c r="H802" t="n">
        <x:v>22</x:v>
      </x:c>
      <x:c r="I802" t="str">
        <x:v>ORD-2025-00057</x:v>
      </x:c>
      <x:c r="J802" t="n">
        <x:v>6</x:v>
      </x:c>
      <x:c r="K802" t="n">
        <x:v>3</x:v>
      </x:c>
      <x:c r="L802" t="str">
        <x:v>L22-S06-C3</x:v>
      </x:c>
      <x:c r="M802" t="n">
        <x:v>0</x:v>
      </x:c>
      <x:c r="N802" t="str">
        <x:v>DerivedFromCount</x:v>
      </x:c>
      <x:c r="O802" t="str">
        <x:v>PLC-PRD-JAR-720-L22</x:v>
      </x:c>
      <x:c r="P802" t="str">
        <x:v>OK</x:v>
      </x:c>
      <x:c r="Q802" t="str">
        <x:v>OK</x:v>
      </x:c>
      <x:c r="R802" t="str">
        <x:v>OK</x:v>
      </x:c>
      <x:c r="S802" t="str">
        <x:v>OK</x:v>
      </x:c>
      <x:c r="T802" t="n">
        <x:v>20</x:v>
      </x:c>
      <x:c r="U802" t="str">
        <x:v>OK</x:v>
      </x:c>
      <x:c r="V802" t="str">
        <x:v>OK</x:v>
      </x:c>
      <x:c r="W802" t="str">
        <x:v>LOAD</x:v>
      </x:c>
      <x:c r="X802" t="str">
        <x:v>02_Supervisor_Log(4).xlsx</x:v>
      </x:c>
      <x:c r="Y802" t="str">
        <x:v>ENH-20260830-01</x:v>
      </x:c>
      <x:c r="Z802" t="str">
        <x:v>Active</x:v>
      </x:c>
      <x:c r="AA802"/>
      <x:c r="AB802"/>
      <x:c r="AC802"/>
      <x:c r="AD802"/>
    </x:row>
    <x:row r="803">
      <x:c r="A803" t="str">
        <x:v>PCC-PE-KG01-L22-20251023-AM-ORD-2025-00057-S07-C1</x:v>
      </x:c>
      <x:c r="B803" t="str">
        <x:v>PC-PE-KG01-L22-20251023-AM-ORD-2025-00057-S07</x:v>
      </x:c>
      <x:c r="C803" t="str">
        <x:v>PE-KG01-L22-20251023-AM-ORD-2025-00057</x:v>
      </x:c>
      <x:c r="D803" t="str">
        <x:v>KG01</x:v>
      </x:c>
      <x:c r="E803" s="62" t="n">
        <x:v>45953</x:v>
      </x:c>
      <x:c r="F803" t="str">
        <x:v>AM</x:v>
      </x:c>
      <x:c r="G803" t="str">
        <x:v>C</x:v>
      </x:c>
      <x:c r="H803" t="n">
        <x:v>22</x:v>
      </x:c>
      <x:c r="I803" t="str">
        <x:v>ORD-2025-00057</x:v>
      </x:c>
      <x:c r="J803" t="n">
        <x:v>7</x:v>
      </x:c>
      <x:c r="K803" t="n">
        <x:v>1</x:v>
      </x:c>
      <x:c r="L803" t="str">
        <x:v>L22-S07-C1</x:v>
      </x:c>
      <x:c r="M803" t="n">
        <x:v>1</x:v>
      </x:c>
      <x:c r="N803" t="str">
        <x:v>DerivedFromCount</x:v>
      </x:c>
      <x:c r="O803" t="str">
        <x:v>PLC-PRD-JAR-720-L22</x:v>
      </x:c>
      <x:c r="P803" t="str">
        <x:v>OK</x:v>
      </x:c>
      <x:c r="Q803" t="str">
        <x:v>OK</x:v>
      </x:c>
      <x:c r="R803" t="str">
        <x:v>OK</x:v>
      </x:c>
      <x:c r="S803" t="str">
        <x:v>OK</x:v>
      </x:c>
      <x:c r="T803" t="n">
        <x:v>20</x:v>
      </x:c>
      <x:c r="U803" t="str">
        <x:v>OK</x:v>
      </x:c>
      <x:c r="V803" t="str">
        <x:v>OK</x:v>
      </x:c>
      <x:c r="W803" t="str">
        <x:v>LOAD</x:v>
      </x:c>
      <x:c r="X803" t="str">
        <x:v>02_Supervisor_Log(4).xlsx</x:v>
      </x:c>
      <x:c r="Y803" t="str">
        <x:v>ENH-20260830-01</x:v>
      </x:c>
      <x:c r="Z803" t="str">
        <x:v>Active</x:v>
      </x:c>
      <x:c r="AA803"/>
      <x:c r="AB803"/>
      <x:c r="AC803"/>
      <x:c r="AD803"/>
    </x:row>
    <x:row r="804">
      <x:c r="A804" t="str">
        <x:v>PCC-PE-KG01-L22-20251023-AM-ORD-2025-00057-S07-C2</x:v>
      </x:c>
      <x:c r="B804" t="str">
        <x:v>PC-PE-KG01-L22-20251023-AM-ORD-2025-00057-S07</x:v>
      </x:c>
      <x:c r="C804" t="str">
        <x:v>PE-KG01-L22-20251023-AM-ORD-2025-00057</x:v>
      </x:c>
      <x:c r="D804" t="str">
        <x:v>KG01</x:v>
      </x:c>
      <x:c r="E804" s="62" t="n">
        <x:v>45953</x:v>
      </x:c>
      <x:c r="F804" t="str">
        <x:v>AM</x:v>
      </x:c>
      <x:c r="G804" t="str">
        <x:v>C</x:v>
      </x:c>
      <x:c r="H804" t="n">
        <x:v>22</x:v>
      </x:c>
      <x:c r="I804" t="str">
        <x:v>ORD-2025-00057</x:v>
      </x:c>
      <x:c r="J804" t="n">
        <x:v>7</x:v>
      </x:c>
      <x:c r="K804" t="n">
        <x:v>2</x:v>
      </x:c>
      <x:c r="L804" t="str">
        <x:v>L22-S07-C2</x:v>
      </x:c>
      <x:c r="M804" t="n">
        <x:v>1</x:v>
      </x:c>
      <x:c r="N804" t="str">
        <x:v>DerivedFromCount</x:v>
      </x:c>
      <x:c r="O804" t="str">
        <x:v>PLC-PRD-JAR-720-L22</x:v>
      </x:c>
      <x:c r="P804" t="str">
        <x:v>OK</x:v>
      </x:c>
      <x:c r="Q804" t="str">
        <x:v>OK</x:v>
      </x:c>
      <x:c r="R804" t="str">
        <x:v>OK</x:v>
      </x:c>
      <x:c r="S804" t="str">
        <x:v>OK</x:v>
      </x:c>
      <x:c r="T804" t="n">
        <x:v>20</x:v>
      </x:c>
      <x:c r="U804" t="str">
        <x:v>OK</x:v>
      </x:c>
      <x:c r="V804" t="str">
        <x:v>OK</x:v>
      </x:c>
      <x:c r="W804" t="str">
        <x:v>LOAD</x:v>
      </x:c>
      <x:c r="X804" t="str">
        <x:v>02_Supervisor_Log(4).xlsx</x:v>
      </x:c>
      <x:c r="Y804" t="str">
        <x:v>ENH-20260830-01</x:v>
      </x:c>
      <x:c r="Z804" t="str">
        <x:v>Active</x:v>
      </x:c>
      <x:c r="AA804"/>
      <x:c r="AB804"/>
      <x:c r="AC804"/>
      <x:c r="AD804"/>
    </x:row>
    <x:row r="805">
      <x:c r="A805" t="str">
        <x:v>PCC-PE-KG01-L22-20251023-AM-ORD-2025-00057-S07-C3</x:v>
      </x:c>
      <x:c r="B805" t="str">
        <x:v>PC-PE-KG01-L22-20251023-AM-ORD-2025-00057-S07</x:v>
      </x:c>
      <x:c r="C805" t="str">
        <x:v>PE-KG01-L22-20251023-AM-ORD-2025-00057</x:v>
      </x:c>
      <x:c r="D805" t="str">
        <x:v>KG01</x:v>
      </x:c>
      <x:c r="E805" s="62" t="n">
        <x:v>45953</x:v>
      </x:c>
      <x:c r="F805" t="str">
        <x:v>AM</x:v>
      </x:c>
      <x:c r="G805" t="str">
        <x:v>C</x:v>
      </x:c>
      <x:c r="H805" t="n">
        <x:v>22</x:v>
      </x:c>
      <x:c r="I805" t="str">
        <x:v>ORD-2025-00057</x:v>
      </x:c>
      <x:c r="J805" t="n">
        <x:v>7</x:v>
      </x:c>
      <x:c r="K805" t="n">
        <x:v>3</x:v>
      </x:c>
      <x:c r="L805" t="str">
        <x:v>L22-S07-C3</x:v>
      </x:c>
      <x:c r="M805" t="n">
        <x:v>0</x:v>
      </x:c>
      <x:c r="N805" t="str">
        <x:v>DerivedFromCount</x:v>
      </x:c>
      <x:c r="O805" t="str">
        <x:v>PLC-PRD-JAR-720-L22</x:v>
      </x:c>
      <x:c r="P805" t="str">
        <x:v>OK</x:v>
      </x:c>
      <x:c r="Q805" t="str">
        <x:v>OK</x:v>
      </x:c>
      <x:c r="R805" t="str">
        <x:v>OK</x:v>
      </x:c>
      <x:c r="S805" t="str">
        <x:v>OK</x:v>
      </x:c>
      <x:c r="T805" t="n">
        <x:v>20</x:v>
      </x:c>
      <x:c r="U805" t="str">
        <x:v>OK</x:v>
      </x:c>
      <x:c r="V805" t="str">
        <x:v>OK</x:v>
      </x:c>
      <x:c r="W805" t="str">
        <x:v>LOAD</x:v>
      </x:c>
      <x:c r="X805" t="str">
        <x:v>02_Supervisor_Log(4).xlsx</x:v>
      </x:c>
      <x:c r="Y805" t="str">
        <x:v>ENH-20260830-01</x:v>
      </x:c>
      <x:c r="Z805" t="str">
        <x:v>Active</x:v>
      </x:c>
      <x:c r="AA805"/>
      <x:c r="AB805"/>
      <x:c r="AC805"/>
      <x:c r="AD805"/>
    </x:row>
    <x:row r="806">
      <x:c r="A806" t="str">
        <x:v>PCC-PE-KG01-L22-20251023-AM-ORD-2025-00057-S08-C1</x:v>
      </x:c>
      <x:c r="B806" t="str">
        <x:v>PC-PE-KG01-L22-20251023-AM-ORD-2025-00057-S08</x:v>
      </x:c>
      <x:c r="C806" t="str">
        <x:v>PE-KG01-L22-20251023-AM-ORD-2025-00057</x:v>
      </x:c>
      <x:c r="D806" t="str">
        <x:v>KG01</x:v>
      </x:c>
      <x:c r="E806" s="62" t="n">
        <x:v>45953</x:v>
      </x:c>
      <x:c r="F806" t="str">
        <x:v>AM</x:v>
      </x:c>
      <x:c r="G806" t="str">
        <x:v>C</x:v>
      </x:c>
      <x:c r="H806" t="n">
        <x:v>22</x:v>
      </x:c>
      <x:c r="I806" t="str">
        <x:v>ORD-2025-00057</x:v>
      </x:c>
      <x:c r="J806" t="n">
        <x:v>8</x:v>
      </x:c>
      <x:c r="K806" t="n">
        <x:v>1</x:v>
      </x:c>
      <x:c r="L806" t="str">
        <x:v>L22-S08-C1</x:v>
      </x:c>
      <x:c r="M806" t="n">
        <x:v>1</x:v>
      </x:c>
      <x:c r="N806" t="str">
        <x:v>DerivedFromCount</x:v>
      </x:c>
      <x:c r="O806" t="str">
        <x:v>PLC-PRD-JAR-720-L22</x:v>
      </x:c>
      <x:c r="P806" t="str">
        <x:v>OK</x:v>
      </x:c>
      <x:c r="Q806" t="str">
        <x:v>OK</x:v>
      </x:c>
      <x:c r="R806" t="str">
        <x:v>OK</x:v>
      </x:c>
      <x:c r="S806" t="str">
        <x:v>OK</x:v>
      </x:c>
      <x:c r="T806" t="n">
        <x:v>20</x:v>
      </x:c>
      <x:c r="U806" t="str">
        <x:v>OK</x:v>
      </x:c>
      <x:c r="V806" t="str">
        <x:v>OK</x:v>
      </x:c>
      <x:c r="W806" t="str">
        <x:v>LOAD</x:v>
      </x:c>
      <x:c r="X806" t="str">
        <x:v>02_Supervisor_Log(4).xlsx</x:v>
      </x:c>
      <x:c r="Y806" t="str">
        <x:v>ENH-20260830-01</x:v>
      </x:c>
      <x:c r="Z806" t="str">
        <x:v>Active</x:v>
      </x:c>
      <x:c r="AA806"/>
      <x:c r="AB806"/>
      <x:c r="AC806"/>
      <x:c r="AD806"/>
    </x:row>
    <x:row r="807">
      <x:c r="A807" t="str">
        <x:v>PCC-PE-KG01-L22-20251023-AM-ORD-2025-00057-S08-C2</x:v>
      </x:c>
      <x:c r="B807" t="str">
        <x:v>PC-PE-KG01-L22-20251023-AM-ORD-2025-00057-S08</x:v>
      </x:c>
      <x:c r="C807" t="str">
        <x:v>PE-KG01-L22-20251023-AM-ORD-2025-00057</x:v>
      </x:c>
      <x:c r="D807" t="str">
        <x:v>KG01</x:v>
      </x:c>
      <x:c r="E807" s="62" t="n">
        <x:v>45953</x:v>
      </x:c>
      <x:c r="F807" t="str">
        <x:v>AM</x:v>
      </x:c>
      <x:c r="G807" t="str">
        <x:v>C</x:v>
      </x:c>
      <x:c r="H807" t="n">
        <x:v>22</x:v>
      </x:c>
      <x:c r="I807" t="str">
        <x:v>ORD-2025-00057</x:v>
      </x:c>
      <x:c r="J807" t="n">
        <x:v>8</x:v>
      </x:c>
      <x:c r="K807" t="n">
        <x:v>2</x:v>
      </x:c>
      <x:c r="L807" t="str">
        <x:v>L22-S08-C2</x:v>
      </x:c>
      <x:c r="M807" t="n">
        <x:v>1</x:v>
      </x:c>
      <x:c r="N807" t="str">
        <x:v>DerivedFromCount</x:v>
      </x:c>
      <x:c r="O807" t="str">
        <x:v>PLC-PRD-JAR-720-L22</x:v>
      </x:c>
      <x:c r="P807" t="str">
        <x:v>OK</x:v>
      </x:c>
      <x:c r="Q807" t="str">
        <x:v>OK</x:v>
      </x:c>
      <x:c r="R807" t="str">
        <x:v>OK</x:v>
      </x:c>
      <x:c r="S807" t="str">
        <x:v>OK</x:v>
      </x:c>
      <x:c r="T807" t="n">
        <x:v>20</x:v>
      </x:c>
      <x:c r="U807" t="str">
        <x:v>OK</x:v>
      </x:c>
      <x:c r="V807" t="str">
        <x:v>OK</x:v>
      </x:c>
      <x:c r="W807" t="str">
        <x:v>LOAD</x:v>
      </x:c>
      <x:c r="X807" t="str">
        <x:v>02_Supervisor_Log(4).xlsx</x:v>
      </x:c>
      <x:c r="Y807" t="str">
        <x:v>ENH-20260830-01</x:v>
      </x:c>
      <x:c r="Z807" t="str">
        <x:v>Active</x:v>
      </x:c>
      <x:c r="AA807"/>
      <x:c r="AB807"/>
      <x:c r="AC807"/>
      <x:c r="AD807"/>
    </x:row>
    <x:row r="808">
      <x:c r="A808" t="str">
        <x:v>PCC-PE-KG01-L22-20251023-AM-ORD-2025-00057-S08-C3</x:v>
      </x:c>
      <x:c r="B808" t="str">
        <x:v>PC-PE-KG01-L22-20251023-AM-ORD-2025-00057-S08</x:v>
      </x:c>
      <x:c r="C808" t="str">
        <x:v>PE-KG01-L22-20251023-AM-ORD-2025-00057</x:v>
      </x:c>
      <x:c r="D808" t="str">
        <x:v>KG01</x:v>
      </x:c>
      <x:c r="E808" s="62" t="n">
        <x:v>45953</x:v>
      </x:c>
      <x:c r="F808" t="str">
        <x:v>AM</x:v>
      </x:c>
      <x:c r="G808" t="str">
        <x:v>C</x:v>
      </x:c>
      <x:c r="H808" t="n">
        <x:v>22</x:v>
      </x:c>
      <x:c r="I808" t="str">
        <x:v>ORD-2025-00057</x:v>
      </x:c>
      <x:c r="J808" t="n">
        <x:v>8</x:v>
      </x:c>
      <x:c r="K808" t="n">
        <x:v>3</x:v>
      </x:c>
      <x:c r="L808" t="str">
        <x:v>L22-S08-C3</x:v>
      </x:c>
      <x:c r="M808" t="n">
        <x:v>0</x:v>
      </x:c>
      <x:c r="N808" t="str">
        <x:v>DerivedFromCount</x:v>
      </x:c>
      <x:c r="O808" t="str">
        <x:v>PLC-PRD-JAR-720-L22</x:v>
      </x:c>
      <x:c r="P808" t="str">
        <x:v>OK</x:v>
      </x:c>
      <x:c r="Q808" t="str">
        <x:v>OK</x:v>
      </x:c>
      <x:c r="R808" t="str">
        <x:v>OK</x:v>
      </x:c>
      <x:c r="S808" t="str">
        <x:v>OK</x:v>
      </x:c>
      <x:c r="T808" t="n">
        <x:v>20</x:v>
      </x:c>
      <x:c r="U808" t="str">
        <x:v>OK</x:v>
      </x:c>
      <x:c r="V808" t="str">
        <x:v>OK</x:v>
      </x:c>
      <x:c r="W808" t="str">
        <x:v>LOAD</x:v>
      </x:c>
      <x:c r="X808" t="str">
        <x:v>02_Supervisor_Log(4).xlsx</x:v>
      </x:c>
      <x:c r="Y808" t="str">
        <x:v>ENH-20260830-01</x:v>
      </x:c>
      <x:c r="Z808" t="str">
        <x:v>Active</x:v>
      </x:c>
      <x:c r="AA808"/>
      <x:c r="AB808"/>
      <x:c r="AC808"/>
      <x:c r="AD808"/>
    </x:row>
    <x:row r="809">
      <x:c r="A809" t="str">
        <x:v>PCC-PE-KG01-L22-20251023-AM-ORD-2025-00057-S09-C1</x:v>
      </x:c>
      <x:c r="B809" t="str">
        <x:v>PC-PE-KG01-L22-20251023-AM-ORD-2025-00057-S09</x:v>
      </x:c>
      <x:c r="C809" t="str">
        <x:v>PE-KG01-L22-20251023-AM-ORD-2025-00057</x:v>
      </x:c>
      <x:c r="D809" t="str">
        <x:v>KG01</x:v>
      </x:c>
      <x:c r="E809" s="62" t="n">
        <x:v>45953</x:v>
      </x:c>
      <x:c r="F809" t="str">
        <x:v>AM</x:v>
      </x:c>
      <x:c r="G809" t="str">
        <x:v>C</x:v>
      </x:c>
      <x:c r="H809" t="n">
        <x:v>22</x:v>
      </x:c>
      <x:c r="I809" t="str">
        <x:v>ORD-2025-00057</x:v>
      </x:c>
      <x:c r="J809" t="n">
        <x:v>9</x:v>
      </x:c>
      <x:c r="K809" t="n">
        <x:v>1</x:v>
      </x:c>
      <x:c r="L809" t="str">
        <x:v>L22-S09-C1</x:v>
      </x:c>
      <x:c r="M809" t="n">
        <x:v>1</x:v>
      </x:c>
      <x:c r="N809" t="str">
        <x:v>DerivedFromCount</x:v>
      </x:c>
      <x:c r="O809" t="str">
        <x:v>PLC-PRD-JAR-720-L22</x:v>
      </x:c>
      <x:c r="P809" t="str">
        <x:v>OK</x:v>
      </x:c>
      <x:c r="Q809" t="str">
        <x:v>OK</x:v>
      </x:c>
      <x:c r="R809" t="str">
        <x:v>OK</x:v>
      </x:c>
      <x:c r="S809" t="str">
        <x:v>OK</x:v>
      </x:c>
      <x:c r="T809" t="n">
        <x:v>20</x:v>
      </x:c>
      <x:c r="U809" t="str">
        <x:v>OK</x:v>
      </x:c>
      <x:c r="V809" t="str">
        <x:v>OK</x:v>
      </x:c>
      <x:c r="W809" t="str">
        <x:v>LOAD</x:v>
      </x:c>
      <x:c r="X809" t="str">
        <x:v>02_Supervisor_Log(4).xlsx</x:v>
      </x:c>
      <x:c r="Y809" t="str">
        <x:v>ENH-20260830-01</x:v>
      </x:c>
      <x:c r="Z809" t="str">
        <x:v>Active</x:v>
      </x:c>
      <x:c r="AA809"/>
      <x:c r="AB809"/>
      <x:c r="AC809"/>
      <x:c r="AD809"/>
    </x:row>
    <x:row r="810">
      <x:c r="A810" t="str">
        <x:v>PCC-PE-KG01-L22-20251023-AM-ORD-2025-00057-S09-C2</x:v>
      </x:c>
      <x:c r="B810" t="str">
        <x:v>PC-PE-KG01-L22-20251023-AM-ORD-2025-00057-S09</x:v>
      </x:c>
      <x:c r="C810" t="str">
        <x:v>PE-KG01-L22-20251023-AM-ORD-2025-00057</x:v>
      </x:c>
      <x:c r="D810" t="str">
        <x:v>KG01</x:v>
      </x:c>
      <x:c r="E810" s="62" t="n">
        <x:v>45953</x:v>
      </x:c>
      <x:c r="F810" t="str">
        <x:v>AM</x:v>
      </x:c>
      <x:c r="G810" t="str">
        <x:v>C</x:v>
      </x:c>
      <x:c r="H810" t="n">
        <x:v>22</x:v>
      </x:c>
      <x:c r="I810" t="str">
        <x:v>ORD-2025-00057</x:v>
      </x:c>
      <x:c r="J810" t="n">
        <x:v>9</x:v>
      </x:c>
      <x:c r="K810" t="n">
        <x:v>2</x:v>
      </x:c>
      <x:c r="L810" t="str">
        <x:v>L22-S09-C2</x:v>
      </x:c>
      <x:c r="M810" t="n">
        <x:v>1</x:v>
      </x:c>
      <x:c r="N810" t="str">
        <x:v>DerivedFromCount</x:v>
      </x:c>
      <x:c r="O810" t="str">
        <x:v>PLC-PRD-JAR-720-L22</x:v>
      </x:c>
      <x:c r="P810" t="str">
        <x:v>OK</x:v>
      </x:c>
      <x:c r="Q810" t="str">
        <x:v>OK</x:v>
      </x:c>
      <x:c r="R810" t="str">
        <x:v>OK</x:v>
      </x:c>
      <x:c r="S810" t="str">
        <x:v>OK</x:v>
      </x:c>
      <x:c r="T810" t="n">
        <x:v>20</x:v>
      </x:c>
      <x:c r="U810" t="str">
        <x:v>OK</x:v>
      </x:c>
      <x:c r="V810" t="str">
        <x:v>OK</x:v>
      </x:c>
      <x:c r="W810" t="str">
        <x:v>LOAD</x:v>
      </x:c>
      <x:c r="X810" t="str">
        <x:v>02_Supervisor_Log(4).xlsx</x:v>
      </x:c>
      <x:c r="Y810" t="str">
        <x:v>ENH-20260830-01</x:v>
      </x:c>
      <x:c r="Z810" t="str">
        <x:v>Active</x:v>
      </x:c>
      <x:c r="AA810"/>
      <x:c r="AB810"/>
      <x:c r="AC810"/>
      <x:c r="AD810"/>
    </x:row>
    <x:row r="811">
      <x:c r="A811" t="str">
        <x:v>PCC-PE-KG01-L22-20251023-AM-ORD-2025-00057-S09-C3</x:v>
      </x:c>
      <x:c r="B811" t="str">
        <x:v>PC-PE-KG01-L22-20251023-AM-ORD-2025-00057-S09</x:v>
      </x:c>
      <x:c r="C811" t="str">
        <x:v>PE-KG01-L22-20251023-AM-ORD-2025-00057</x:v>
      </x:c>
      <x:c r="D811" t="str">
        <x:v>KG01</x:v>
      </x:c>
      <x:c r="E811" s="62" t="n">
        <x:v>45953</x:v>
      </x:c>
      <x:c r="F811" t="str">
        <x:v>AM</x:v>
      </x:c>
      <x:c r="G811" t="str">
        <x:v>C</x:v>
      </x:c>
      <x:c r="H811" t="n">
        <x:v>22</x:v>
      </x:c>
      <x:c r="I811" t="str">
        <x:v>ORD-2025-00057</x:v>
      </x:c>
      <x:c r="J811" t="n">
        <x:v>9</x:v>
      </x:c>
      <x:c r="K811" t="n">
        <x:v>3</x:v>
      </x:c>
      <x:c r="L811" t="str">
        <x:v>L22-S09-C3</x:v>
      </x:c>
      <x:c r="M811" t="n">
        <x:v>0</x:v>
      </x:c>
      <x:c r="N811" t="str">
        <x:v>DerivedFromCount</x:v>
      </x:c>
      <x:c r="O811" t="str">
        <x:v>PLC-PRD-JAR-720-L22</x:v>
      </x:c>
      <x:c r="P811" t="str">
        <x:v>OK</x:v>
      </x:c>
      <x:c r="Q811" t="str">
        <x:v>OK</x:v>
      </x:c>
      <x:c r="R811" t="str">
        <x:v>OK</x:v>
      </x:c>
      <x:c r="S811" t="str">
        <x:v>OK</x:v>
      </x:c>
      <x:c r="T811" t="n">
        <x:v>20</x:v>
      </x:c>
      <x:c r="U811" t="str">
        <x:v>OK</x:v>
      </x:c>
      <x:c r="V811" t="str">
        <x:v>OK</x:v>
      </x:c>
      <x:c r="W811" t="str">
        <x:v>LOAD</x:v>
      </x:c>
      <x:c r="X811" t="str">
        <x:v>02_Supervisor_Log(4).xlsx</x:v>
      </x:c>
      <x:c r="Y811" t="str">
        <x:v>ENH-20260830-01</x:v>
      </x:c>
      <x:c r="Z811" t="str">
        <x:v>Active</x:v>
      </x:c>
      <x:c r="AA811"/>
      <x:c r="AB811"/>
      <x:c r="AC811"/>
      <x:c r="AD811"/>
    </x:row>
    <x:row r="812">
      <x:c r="A812" t="str">
        <x:v>PCC-PE-KG01-L22-20251023-AM-ORD-2025-00057-S10-C1</x:v>
      </x:c>
      <x:c r="B812" t="str">
        <x:v>PC-PE-KG01-L22-20251023-AM-ORD-2025-00057-S10</x:v>
      </x:c>
      <x:c r="C812" t="str">
        <x:v>PE-KG01-L22-20251023-AM-ORD-2025-00057</x:v>
      </x:c>
      <x:c r="D812" t="str">
        <x:v>KG01</x:v>
      </x:c>
      <x:c r="E812" s="62" t="n">
        <x:v>45953</x:v>
      </x:c>
      <x:c r="F812" t="str">
        <x:v>AM</x:v>
      </x:c>
      <x:c r="G812" t="str">
        <x:v>C</x:v>
      </x:c>
      <x:c r="H812" t="n">
        <x:v>22</x:v>
      </x:c>
      <x:c r="I812" t="str">
        <x:v>ORD-2025-00057</x:v>
      </x:c>
      <x:c r="J812" t="n">
        <x:v>10</x:v>
      </x:c>
      <x:c r="K812" t="n">
        <x:v>1</x:v>
      </x:c>
      <x:c r="L812" t="str">
        <x:v>L22-S10-C1</x:v>
      </x:c>
      <x:c r="M812" t="n">
        <x:v>1</x:v>
      </x:c>
      <x:c r="N812" t="str">
        <x:v>DerivedFromCount</x:v>
      </x:c>
      <x:c r="O812" t="str">
        <x:v>PLC-PRD-JAR-720-L22</x:v>
      </x:c>
      <x:c r="P812" t="str">
        <x:v>OK</x:v>
      </x:c>
      <x:c r="Q812" t="str">
        <x:v>OK</x:v>
      </x:c>
      <x:c r="R812" t="str">
        <x:v>OK</x:v>
      </x:c>
      <x:c r="S812" t="str">
        <x:v>OK</x:v>
      </x:c>
      <x:c r="T812" t="n">
        <x:v>20</x:v>
      </x:c>
      <x:c r="U812" t="str">
        <x:v>OK</x:v>
      </x:c>
      <x:c r="V812" t="str">
        <x:v>OK</x:v>
      </x:c>
      <x:c r="W812" t="str">
        <x:v>LOAD</x:v>
      </x:c>
      <x:c r="X812" t="str">
        <x:v>02_Supervisor_Log(4).xlsx</x:v>
      </x:c>
      <x:c r="Y812" t="str">
        <x:v>ENH-20260830-01</x:v>
      </x:c>
      <x:c r="Z812" t="str">
        <x:v>Active</x:v>
      </x:c>
      <x:c r="AA812"/>
      <x:c r="AB812"/>
      <x:c r="AC812"/>
      <x:c r="AD812"/>
    </x:row>
    <x:row r="813">
      <x:c r="A813" t="str">
        <x:v>PCC-PE-KG01-L22-20251023-AM-ORD-2025-00057-S10-C2</x:v>
      </x:c>
      <x:c r="B813" t="str">
        <x:v>PC-PE-KG01-L22-20251023-AM-ORD-2025-00057-S10</x:v>
      </x:c>
      <x:c r="C813" t="str">
        <x:v>PE-KG01-L22-20251023-AM-ORD-2025-00057</x:v>
      </x:c>
      <x:c r="D813" t="str">
        <x:v>KG01</x:v>
      </x:c>
      <x:c r="E813" s="62" t="n">
        <x:v>45953</x:v>
      </x:c>
      <x:c r="F813" t="str">
        <x:v>AM</x:v>
      </x:c>
      <x:c r="G813" t="str">
        <x:v>C</x:v>
      </x:c>
      <x:c r="H813" t="n">
        <x:v>22</x:v>
      </x:c>
      <x:c r="I813" t="str">
        <x:v>ORD-2025-00057</x:v>
      </x:c>
      <x:c r="J813" t="n">
        <x:v>10</x:v>
      </x:c>
      <x:c r="K813" t="n">
        <x:v>2</x:v>
      </x:c>
      <x:c r="L813" t="str">
        <x:v>L22-S10-C2</x:v>
      </x:c>
      <x:c r="M813" t="n">
        <x:v>1</x:v>
      </x:c>
      <x:c r="N813" t="str">
        <x:v>DerivedFromCount</x:v>
      </x:c>
      <x:c r="O813" t="str">
        <x:v>PLC-PRD-JAR-720-L22</x:v>
      </x:c>
      <x:c r="P813" t="str">
        <x:v>OK</x:v>
      </x:c>
      <x:c r="Q813" t="str">
        <x:v>OK</x:v>
      </x:c>
      <x:c r="R813" t="str">
        <x:v>OK</x:v>
      </x:c>
      <x:c r="S813" t="str">
        <x:v>OK</x:v>
      </x:c>
      <x:c r="T813" t="n">
        <x:v>20</x:v>
      </x:c>
      <x:c r="U813" t="str">
        <x:v>OK</x:v>
      </x:c>
      <x:c r="V813" t="str">
        <x:v>OK</x:v>
      </x:c>
      <x:c r="W813" t="str">
        <x:v>LOAD</x:v>
      </x:c>
      <x:c r="X813" t="str">
        <x:v>02_Supervisor_Log(4).xlsx</x:v>
      </x:c>
      <x:c r="Y813" t="str">
        <x:v>ENH-20260830-01</x:v>
      </x:c>
      <x:c r="Z813" t="str">
        <x:v>Active</x:v>
      </x:c>
      <x:c r="AA813"/>
      <x:c r="AB813"/>
      <x:c r="AC813"/>
      <x:c r="AD813"/>
    </x:row>
    <x:row r="814">
      <x:c r="A814" t="str">
        <x:v>PCC-PE-KG01-L22-20251023-AM-ORD-2025-00057-S10-C3</x:v>
      </x:c>
      <x:c r="B814" t="str">
        <x:v>PC-PE-KG01-L22-20251023-AM-ORD-2025-00057-S10</x:v>
      </x:c>
      <x:c r="C814" t="str">
        <x:v>PE-KG01-L22-20251023-AM-ORD-2025-00057</x:v>
      </x:c>
      <x:c r="D814" t="str">
        <x:v>KG01</x:v>
      </x:c>
      <x:c r="E814" s="62" t="n">
        <x:v>45953</x:v>
      </x:c>
      <x:c r="F814" t="str">
        <x:v>AM</x:v>
      </x:c>
      <x:c r="G814" t="str">
        <x:v>C</x:v>
      </x:c>
      <x:c r="H814" t="n">
        <x:v>22</x:v>
      </x:c>
      <x:c r="I814" t="str">
        <x:v>ORD-2025-00057</x:v>
      </x:c>
      <x:c r="J814" t="n">
        <x:v>10</x:v>
      </x:c>
      <x:c r="K814" t="n">
        <x:v>3</x:v>
      </x:c>
      <x:c r="L814" t="str">
        <x:v>L22-S10-C3</x:v>
      </x:c>
      <x:c r="M814" t="n">
        <x:v>0</x:v>
      </x:c>
      <x:c r="N814" t="str">
        <x:v>DerivedFromCount</x:v>
      </x:c>
      <x:c r="O814" t="str">
        <x:v>PLC-PRD-JAR-720-L22</x:v>
      </x:c>
      <x:c r="P814" t="str">
        <x:v>OK</x:v>
      </x:c>
      <x:c r="Q814" t="str">
        <x:v>OK</x:v>
      </x:c>
      <x:c r="R814" t="str">
        <x:v>OK</x:v>
      </x:c>
      <x:c r="S814" t="str">
        <x:v>OK</x:v>
      </x:c>
      <x:c r="T814" t="n">
        <x:v>20</x:v>
      </x:c>
      <x:c r="U814" t="str">
        <x:v>OK</x:v>
      </x:c>
      <x:c r="V814" t="str">
        <x:v>OK</x:v>
      </x:c>
      <x:c r="W814" t="str">
        <x:v>LOAD</x:v>
      </x:c>
      <x:c r="X814" t="str">
        <x:v>02_Supervisor_Log(4).xlsx</x:v>
      </x:c>
      <x:c r="Y814" t="str">
        <x:v>ENH-20260830-01</x:v>
      </x:c>
      <x:c r="Z814" t="str">
        <x:v>Active</x:v>
      </x:c>
      <x:c r="AA814"/>
      <x:c r="AB814"/>
      <x:c r="AC814"/>
      <x:c r="AD814"/>
    </x:row>
    <x:row r="815">
      <x:c r="A815" t="str">
        <x:v>PCC-PE-KG01-L22-20251023-AM-ORD-2025-00057-S11-C1</x:v>
      </x:c>
      <x:c r="B815" t="str">
        <x:v>PC-PE-KG01-L22-20251023-AM-ORD-2025-00057-S11</x:v>
      </x:c>
      <x:c r="C815" t="str">
        <x:v>PE-KG01-L22-20251023-AM-ORD-2025-00057</x:v>
      </x:c>
      <x:c r="D815" t="str">
        <x:v>KG01</x:v>
      </x:c>
      <x:c r="E815" s="62" t="n">
        <x:v>45953</x:v>
      </x:c>
      <x:c r="F815" t="str">
        <x:v>AM</x:v>
      </x:c>
      <x:c r="G815" t="str">
        <x:v>C</x:v>
      </x:c>
      <x:c r="H815" t="n">
        <x:v>22</x:v>
      </x:c>
      <x:c r="I815" t="str">
        <x:v>ORD-2025-00057</x:v>
      </x:c>
      <x:c r="J815" t="n">
        <x:v>11</x:v>
      </x:c>
      <x:c r="K815" t="n">
        <x:v>1</x:v>
      </x:c>
      <x:c r="L815" t="str">
        <x:v>L22-S11-C1</x:v>
      </x:c>
      <x:c r="M815" t="n">
        <x:v>0</x:v>
      </x:c>
      <x:c r="N815" t="str">
        <x:v>DerivedFromCount</x:v>
      </x:c>
      <x:c r="O815" t="str">
        <x:v>PLC-PRD-JAR-720-L22</x:v>
      </x:c>
      <x:c r="P815" t="str">
        <x:v>OK</x:v>
      </x:c>
      <x:c r="Q815" t="str">
        <x:v>OK</x:v>
      </x:c>
      <x:c r="R815" t="str">
        <x:v>OK</x:v>
      </x:c>
      <x:c r="S815" t="str">
        <x:v>OK</x:v>
      </x:c>
      <x:c r="T815" t="n">
        <x:v>20</x:v>
      </x:c>
      <x:c r="U815" t="str">
        <x:v>OK</x:v>
      </x:c>
      <x:c r="V815" t="str">
        <x:v>OK</x:v>
      </x:c>
      <x:c r="W815" t="str">
        <x:v>LOAD</x:v>
      </x:c>
      <x:c r="X815" t="str">
        <x:v>02_Supervisor_Log(4).xlsx</x:v>
      </x:c>
      <x:c r="Y815" t="str">
        <x:v>ENH-20260830-01</x:v>
      </x:c>
      <x:c r="Z815" t="str">
        <x:v>Active</x:v>
      </x:c>
      <x:c r="AA815"/>
      <x:c r="AB815"/>
      <x:c r="AC815"/>
      <x:c r="AD815"/>
    </x:row>
    <x:row r="816">
      <x:c r="A816" t="str">
        <x:v>PCC-PE-KG01-L22-20251023-AM-ORD-2025-00057-S11-C2</x:v>
      </x:c>
      <x:c r="B816" t="str">
        <x:v>PC-PE-KG01-L22-20251023-AM-ORD-2025-00057-S11</x:v>
      </x:c>
      <x:c r="C816" t="str">
        <x:v>PE-KG01-L22-20251023-AM-ORD-2025-00057</x:v>
      </x:c>
      <x:c r="D816" t="str">
        <x:v>KG01</x:v>
      </x:c>
      <x:c r="E816" s="62" t="n">
        <x:v>45953</x:v>
      </x:c>
      <x:c r="F816" t="str">
        <x:v>AM</x:v>
      </x:c>
      <x:c r="G816" t="str">
        <x:v>C</x:v>
      </x:c>
      <x:c r="H816" t="n">
        <x:v>22</x:v>
      </x:c>
      <x:c r="I816" t="str">
        <x:v>ORD-2025-00057</x:v>
      </x:c>
      <x:c r="J816" t="n">
        <x:v>11</x:v>
      </x:c>
      <x:c r="K816" t="n">
        <x:v>2</x:v>
      </x:c>
      <x:c r="L816" t="str">
        <x:v>L22-S11-C2</x:v>
      </x:c>
      <x:c r="M816" t="n">
        <x:v>0</x:v>
      </x:c>
      <x:c r="N816" t="str">
        <x:v>DerivedFromCount</x:v>
      </x:c>
      <x:c r="O816" t="str">
        <x:v>PLC-PRD-JAR-720-L22</x:v>
      </x:c>
      <x:c r="P816" t="str">
        <x:v>OK</x:v>
      </x:c>
      <x:c r="Q816" t="str">
        <x:v>OK</x:v>
      </x:c>
      <x:c r="R816" t="str">
        <x:v>OK</x:v>
      </x:c>
      <x:c r="S816" t="str">
        <x:v>OK</x:v>
      </x:c>
      <x:c r="T816" t="n">
        <x:v>20</x:v>
      </x:c>
      <x:c r="U816" t="str">
        <x:v>OK</x:v>
      </x:c>
      <x:c r="V816" t="str">
        <x:v>OK</x:v>
      </x:c>
      <x:c r="W816" t="str">
        <x:v>LOAD</x:v>
      </x:c>
      <x:c r="X816" t="str">
        <x:v>02_Supervisor_Log(4).xlsx</x:v>
      </x:c>
      <x:c r="Y816" t="str">
        <x:v>ENH-20260830-01</x:v>
      </x:c>
      <x:c r="Z816" t="str">
        <x:v>Active</x:v>
      </x:c>
      <x:c r="AA816"/>
      <x:c r="AB816"/>
      <x:c r="AC816"/>
      <x:c r="AD816"/>
    </x:row>
    <x:row r="817">
      <x:c r="A817" t="str">
        <x:v>PCC-PE-KG01-L22-20251023-AM-ORD-2025-00057-S11-C3</x:v>
      </x:c>
      <x:c r="B817" t="str">
        <x:v>PC-PE-KG01-L22-20251023-AM-ORD-2025-00057-S11</x:v>
      </x:c>
      <x:c r="C817" t="str">
        <x:v>PE-KG01-L22-20251023-AM-ORD-2025-00057</x:v>
      </x:c>
      <x:c r="D817" t="str">
        <x:v>KG01</x:v>
      </x:c>
      <x:c r="E817" s="62" t="n">
        <x:v>45953</x:v>
      </x:c>
      <x:c r="F817" t="str">
        <x:v>AM</x:v>
      </x:c>
      <x:c r="G817" t="str">
        <x:v>C</x:v>
      </x:c>
      <x:c r="H817" t="n">
        <x:v>22</x:v>
      </x:c>
      <x:c r="I817" t="str">
        <x:v>ORD-2025-00057</x:v>
      </x:c>
      <x:c r="J817" t="n">
        <x:v>11</x:v>
      </x:c>
      <x:c r="K817" t="n">
        <x:v>3</x:v>
      </x:c>
      <x:c r="L817" t="str">
        <x:v>L22-S11-C3</x:v>
      </x:c>
      <x:c r="M817" t="n">
        <x:v>0</x:v>
      </x:c>
      <x:c r="N817" t="str">
        <x:v>DerivedFromCount</x:v>
      </x:c>
      <x:c r="O817" t="str">
        <x:v>PLC-PRD-JAR-720-L22</x:v>
      </x:c>
      <x:c r="P817" t="str">
        <x:v>OK</x:v>
      </x:c>
      <x:c r="Q817" t="str">
        <x:v>OK</x:v>
      </x:c>
      <x:c r="R817" t="str">
        <x:v>OK</x:v>
      </x:c>
      <x:c r="S817" t="str">
        <x:v>OK</x:v>
      </x:c>
      <x:c r="T817" t="n">
        <x:v>20</x:v>
      </x:c>
      <x:c r="U817" t="str">
        <x:v>OK</x:v>
      </x:c>
      <x:c r="V817" t="str">
        <x:v>OK</x:v>
      </x:c>
      <x:c r="W817" t="str">
        <x:v>LOAD</x:v>
      </x:c>
      <x:c r="X817" t="str">
        <x:v>02_Supervisor_Log(4).xlsx</x:v>
      </x:c>
      <x:c r="Y817" t="str">
        <x:v>ENH-20260830-01</x:v>
      </x:c>
      <x:c r="Z817" t="str">
        <x:v>Active</x:v>
      </x:c>
      <x:c r="AA817"/>
      <x:c r="AB817"/>
      <x:c r="AC817"/>
      <x:c r="AD817"/>
    </x:row>
    <x:row r="818">
      <x:c r="A818" t="str">
        <x:v>PCC-PE-KG01-L22-20251023-AM-ORD-2025-00057-S12-C1</x:v>
      </x:c>
      <x:c r="B818" t="str">
        <x:v>PC-PE-KG01-L22-20251023-AM-ORD-2025-00057-S12</x:v>
      </x:c>
      <x:c r="C818" t="str">
        <x:v>PE-KG01-L22-20251023-AM-ORD-2025-00057</x:v>
      </x:c>
      <x:c r="D818" t="str">
        <x:v>KG01</x:v>
      </x:c>
      <x:c r="E818" s="62" t="n">
        <x:v>45953</x:v>
      </x:c>
      <x:c r="F818" t="str">
        <x:v>AM</x:v>
      </x:c>
      <x:c r="G818" t="str">
        <x:v>C</x:v>
      </x:c>
      <x:c r="H818" t="n">
        <x:v>22</x:v>
      </x:c>
      <x:c r="I818" t="str">
        <x:v>ORD-2025-00057</x:v>
      </x:c>
      <x:c r="J818" t="n">
        <x:v>12</x:v>
      </x:c>
      <x:c r="K818" t="n">
        <x:v>1</x:v>
      </x:c>
      <x:c r="L818" t="str">
        <x:v>L22-S12-C1</x:v>
      </x:c>
      <x:c r="M818" t="n">
        <x:v>0</x:v>
      </x:c>
      <x:c r="N818" t="str">
        <x:v>DerivedFromCount</x:v>
      </x:c>
      <x:c r="O818" t="str">
        <x:v>PLC-PRD-JAR-720-L22</x:v>
      </x:c>
      <x:c r="P818" t="str">
        <x:v>OK</x:v>
      </x:c>
      <x:c r="Q818" t="str">
        <x:v>OK</x:v>
      </x:c>
      <x:c r="R818" t="str">
        <x:v>OK</x:v>
      </x:c>
      <x:c r="S818" t="str">
        <x:v>OK</x:v>
      </x:c>
      <x:c r="T818" t="n">
        <x:v>20</x:v>
      </x:c>
      <x:c r="U818" t="str">
        <x:v>OK</x:v>
      </x:c>
      <x:c r="V818" t="str">
        <x:v>OK</x:v>
      </x:c>
      <x:c r="W818" t="str">
        <x:v>LOAD</x:v>
      </x:c>
      <x:c r="X818" t="str">
        <x:v>02_Supervisor_Log(4).xlsx</x:v>
      </x:c>
      <x:c r="Y818" t="str">
        <x:v>ENH-20260830-01</x:v>
      </x:c>
      <x:c r="Z818" t="str">
        <x:v>Active</x:v>
      </x:c>
      <x:c r="AA818"/>
      <x:c r="AB818"/>
      <x:c r="AC818"/>
      <x:c r="AD818"/>
    </x:row>
    <x:row r="819">
      <x:c r="A819" t="str">
        <x:v>PCC-PE-KG01-L22-20251023-AM-ORD-2025-00057-S12-C2</x:v>
      </x:c>
      <x:c r="B819" t="str">
        <x:v>PC-PE-KG01-L22-20251023-AM-ORD-2025-00057-S12</x:v>
      </x:c>
      <x:c r="C819" t="str">
        <x:v>PE-KG01-L22-20251023-AM-ORD-2025-00057</x:v>
      </x:c>
      <x:c r="D819" t="str">
        <x:v>KG01</x:v>
      </x:c>
      <x:c r="E819" s="62" t="n">
        <x:v>45953</x:v>
      </x:c>
      <x:c r="F819" t="str">
        <x:v>AM</x:v>
      </x:c>
      <x:c r="G819" t="str">
        <x:v>C</x:v>
      </x:c>
      <x:c r="H819" t="n">
        <x:v>22</x:v>
      </x:c>
      <x:c r="I819" t="str">
        <x:v>ORD-2025-00057</x:v>
      </x:c>
      <x:c r="J819" t="n">
        <x:v>12</x:v>
      </x:c>
      <x:c r="K819" t="n">
        <x:v>2</x:v>
      </x:c>
      <x:c r="L819" t="str">
        <x:v>L22-S12-C2</x:v>
      </x:c>
      <x:c r="M819" t="n">
        <x:v>0</x:v>
      </x:c>
      <x:c r="N819" t="str">
        <x:v>DerivedFromCount</x:v>
      </x:c>
      <x:c r="O819" t="str">
        <x:v>PLC-PRD-JAR-720-L22</x:v>
      </x:c>
      <x:c r="P819" t="str">
        <x:v>OK</x:v>
      </x:c>
      <x:c r="Q819" t="str">
        <x:v>OK</x:v>
      </x:c>
      <x:c r="R819" t="str">
        <x:v>OK</x:v>
      </x:c>
      <x:c r="S819" t="str">
        <x:v>OK</x:v>
      </x:c>
      <x:c r="T819" t="n">
        <x:v>20</x:v>
      </x:c>
      <x:c r="U819" t="str">
        <x:v>OK</x:v>
      </x:c>
      <x:c r="V819" t="str">
        <x:v>OK</x:v>
      </x:c>
      <x:c r="W819" t="str">
        <x:v>LOAD</x:v>
      </x:c>
      <x:c r="X819" t="str">
        <x:v>02_Supervisor_Log(4).xlsx</x:v>
      </x:c>
      <x:c r="Y819" t="str">
        <x:v>ENH-20260830-01</x:v>
      </x:c>
      <x:c r="Z819" t="str">
        <x:v>Active</x:v>
      </x:c>
      <x:c r="AA819"/>
      <x:c r="AB819"/>
      <x:c r="AC819"/>
      <x:c r="AD819"/>
    </x:row>
    <x:row r="820">
      <x:c r="A820" t="str">
        <x:v>PCC-PE-KG01-L22-20251023-AM-ORD-2025-00057-S12-C3</x:v>
      </x:c>
      <x:c r="B820" t="str">
        <x:v>PC-PE-KG01-L22-20251023-AM-ORD-2025-00057-S12</x:v>
      </x:c>
      <x:c r="C820" t="str">
        <x:v>PE-KG01-L22-20251023-AM-ORD-2025-00057</x:v>
      </x:c>
      <x:c r="D820" t="str">
        <x:v>KG01</x:v>
      </x:c>
      <x:c r="E820" s="62" t="n">
        <x:v>45953</x:v>
      </x:c>
      <x:c r="F820" t="str">
        <x:v>AM</x:v>
      </x:c>
      <x:c r="G820" t="str">
        <x:v>C</x:v>
      </x:c>
      <x:c r="H820" t="n">
        <x:v>22</x:v>
      </x:c>
      <x:c r="I820" t="str">
        <x:v>ORD-2025-00057</x:v>
      </x:c>
      <x:c r="J820" t="n">
        <x:v>12</x:v>
      </x:c>
      <x:c r="K820" t="n">
        <x:v>3</x:v>
      </x:c>
      <x:c r="L820" t="str">
        <x:v>L22-S12-C3</x:v>
      </x:c>
      <x:c r="M820" t="n">
        <x:v>0</x:v>
      </x:c>
      <x:c r="N820" t="str">
        <x:v>DerivedFromCount</x:v>
      </x:c>
      <x:c r="O820" t="str">
        <x:v>PLC-PRD-JAR-720-L22</x:v>
      </x:c>
      <x:c r="P820" t="str">
        <x:v>OK</x:v>
      </x:c>
      <x:c r="Q820" t="str">
        <x:v>OK</x:v>
      </x:c>
      <x:c r="R820" t="str">
        <x:v>OK</x:v>
      </x:c>
      <x:c r="S820" t="str">
        <x:v>OK</x:v>
      </x:c>
      <x:c r="T820" t="n">
        <x:v>20</x:v>
      </x:c>
      <x:c r="U820" t="str">
        <x:v>OK</x:v>
      </x:c>
      <x:c r="V820" t="str">
        <x:v>OK</x:v>
      </x:c>
      <x:c r="W820" t="str">
        <x:v>LOAD</x:v>
      </x:c>
      <x:c r="X820" t="str">
        <x:v>02_Supervisor_Log(4).xlsx</x:v>
      </x:c>
      <x:c r="Y820" t="str">
        <x:v>ENH-20260830-01</x:v>
      </x:c>
      <x:c r="Z820" t="str">
        <x:v>Active</x:v>
      </x:c>
      <x:c r="AA820"/>
      <x:c r="AB820"/>
      <x:c r="AC820"/>
      <x:c r="AD820"/>
    </x:row>
    <x:row r="821">
      <x:c r="A821" t="str">
        <x:v>PCC-PE-KG01-L22-20251023-AM-ORD-2025-00057-S13-C1</x:v>
      </x:c>
      <x:c r="B821" t="str">
        <x:v>PC-PE-KG01-L22-20251023-AM-ORD-2025-00057-S13</x:v>
      </x:c>
      <x:c r="C821" t="str">
        <x:v>PE-KG01-L22-20251023-AM-ORD-2025-00057</x:v>
      </x:c>
      <x:c r="D821" t="str">
        <x:v>KG01</x:v>
      </x:c>
      <x:c r="E821" s="62" t="n">
        <x:v>45953</x:v>
      </x:c>
      <x:c r="F821" t="str">
        <x:v>AM</x:v>
      </x:c>
      <x:c r="G821" t="str">
        <x:v>C</x:v>
      </x:c>
      <x:c r="H821" t="n">
        <x:v>22</x:v>
      </x:c>
      <x:c r="I821" t="str">
        <x:v>ORD-2025-00057</x:v>
      </x:c>
      <x:c r="J821" t="n">
        <x:v>13</x:v>
      </x:c>
      <x:c r="K821" t="n">
        <x:v>1</x:v>
      </x:c>
      <x:c r="L821" t="str">
        <x:v>L22-S13-C1</x:v>
      </x:c>
      <x:c r="M821" t="n">
        <x:v>0</x:v>
      </x:c>
      <x:c r="N821" t="str">
        <x:v>DerivedFromCount</x:v>
      </x:c>
      <x:c r="O821" t="str">
        <x:v>PLC-PRD-JAR-720-L22</x:v>
      </x:c>
      <x:c r="P821" t="str">
        <x:v>OK</x:v>
      </x:c>
      <x:c r="Q821" t="str">
        <x:v>OK</x:v>
      </x:c>
      <x:c r="R821" t="str">
        <x:v>OK</x:v>
      </x:c>
      <x:c r="S821" t="str">
        <x:v>OK</x:v>
      </x:c>
      <x:c r="T821" t="n">
        <x:v>20</x:v>
      </x:c>
      <x:c r="U821" t="str">
        <x:v>OK</x:v>
      </x:c>
      <x:c r="V821" t="str">
        <x:v>OK</x:v>
      </x:c>
      <x:c r="W821" t="str">
        <x:v>LOAD</x:v>
      </x:c>
      <x:c r="X821" t="str">
        <x:v>02_Supervisor_Log(4).xlsx</x:v>
      </x:c>
      <x:c r="Y821" t="str">
        <x:v>ENH-20260830-01</x:v>
      </x:c>
      <x:c r="Z821" t="str">
        <x:v>Active</x:v>
      </x:c>
      <x:c r="AA821"/>
      <x:c r="AB821"/>
      <x:c r="AC821"/>
      <x:c r="AD821"/>
    </x:row>
    <x:row r="822">
      <x:c r="A822" t="str">
        <x:v>PCC-PE-KG01-L22-20251023-AM-ORD-2025-00057-S13-C2</x:v>
      </x:c>
      <x:c r="B822" t="str">
        <x:v>PC-PE-KG01-L22-20251023-AM-ORD-2025-00057-S13</x:v>
      </x:c>
      <x:c r="C822" t="str">
        <x:v>PE-KG01-L22-20251023-AM-ORD-2025-00057</x:v>
      </x:c>
      <x:c r="D822" t="str">
        <x:v>KG01</x:v>
      </x:c>
      <x:c r="E822" s="62" t="n">
        <x:v>45953</x:v>
      </x:c>
      <x:c r="F822" t="str">
        <x:v>AM</x:v>
      </x:c>
      <x:c r="G822" t="str">
        <x:v>C</x:v>
      </x:c>
      <x:c r="H822" t="n">
        <x:v>22</x:v>
      </x:c>
      <x:c r="I822" t="str">
        <x:v>ORD-2025-00057</x:v>
      </x:c>
      <x:c r="J822" t="n">
        <x:v>13</x:v>
      </x:c>
      <x:c r="K822" t="n">
        <x:v>2</x:v>
      </x:c>
      <x:c r="L822" t="str">
        <x:v>L22-S13-C2</x:v>
      </x:c>
      <x:c r="M822" t="n">
        <x:v>0</x:v>
      </x:c>
      <x:c r="N822" t="str">
        <x:v>DerivedFromCount</x:v>
      </x:c>
      <x:c r="O822" t="str">
        <x:v>PLC-PRD-JAR-720-L22</x:v>
      </x:c>
      <x:c r="P822" t="str">
        <x:v>OK</x:v>
      </x:c>
      <x:c r="Q822" t="str">
        <x:v>OK</x:v>
      </x:c>
      <x:c r="R822" t="str">
        <x:v>OK</x:v>
      </x:c>
      <x:c r="S822" t="str">
        <x:v>OK</x:v>
      </x:c>
      <x:c r="T822" t="n">
        <x:v>20</x:v>
      </x:c>
      <x:c r="U822" t="str">
        <x:v>OK</x:v>
      </x:c>
      <x:c r="V822" t="str">
        <x:v>OK</x:v>
      </x:c>
      <x:c r="W822" t="str">
        <x:v>LOAD</x:v>
      </x:c>
      <x:c r="X822" t="str">
        <x:v>02_Supervisor_Log(4).xlsx</x:v>
      </x:c>
      <x:c r="Y822" t="str">
        <x:v>ENH-20260830-01</x:v>
      </x:c>
      <x:c r="Z822" t="str">
        <x:v>Active</x:v>
      </x:c>
      <x:c r="AA822"/>
      <x:c r="AB822"/>
      <x:c r="AC822"/>
      <x:c r="AD822"/>
    </x:row>
    <x:row r="823">
      <x:c r="A823" t="str">
        <x:v>PCC-PE-KG01-L22-20251023-AM-ORD-2025-00057-S13-C3</x:v>
      </x:c>
      <x:c r="B823" t="str">
        <x:v>PC-PE-KG01-L22-20251023-AM-ORD-2025-00057-S13</x:v>
      </x:c>
      <x:c r="C823" t="str">
        <x:v>PE-KG01-L22-20251023-AM-ORD-2025-00057</x:v>
      </x:c>
      <x:c r="D823" t="str">
        <x:v>KG01</x:v>
      </x:c>
      <x:c r="E823" s="62" t="n">
        <x:v>45953</x:v>
      </x:c>
      <x:c r="F823" t="str">
        <x:v>AM</x:v>
      </x:c>
      <x:c r="G823" t="str">
        <x:v>C</x:v>
      </x:c>
      <x:c r="H823" t="n">
        <x:v>22</x:v>
      </x:c>
      <x:c r="I823" t="str">
        <x:v>ORD-2025-00057</x:v>
      </x:c>
      <x:c r="J823" t="n">
        <x:v>13</x:v>
      </x:c>
      <x:c r="K823" t="n">
        <x:v>3</x:v>
      </x:c>
      <x:c r="L823" t="str">
        <x:v>L22-S13-C3</x:v>
      </x:c>
      <x:c r="M823" t="n">
        <x:v>0</x:v>
      </x:c>
      <x:c r="N823" t="str">
        <x:v>DerivedFromCount</x:v>
      </x:c>
      <x:c r="O823" t="str">
        <x:v>PLC-PRD-JAR-720-L22</x:v>
      </x:c>
      <x:c r="P823" t="str">
        <x:v>OK</x:v>
      </x:c>
      <x:c r="Q823" t="str">
        <x:v>OK</x:v>
      </x:c>
      <x:c r="R823" t="str">
        <x:v>OK</x:v>
      </x:c>
      <x:c r="S823" t="str">
        <x:v>OK</x:v>
      </x:c>
      <x:c r="T823" t="n">
        <x:v>20</x:v>
      </x:c>
      <x:c r="U823" t="str">
        <x:v>OK</x:v>
      </x:c>
      <x:c r="V823" t="str">
        <x:v>OK</x:v>
      </x:c>
      <x:c r="W823" t="str">
        <x:v>LOAD</x:v>
      </x:c>
      <x:c r="X823" t="str">
        <x:v>02_Supervisor_Log(4).xlsx</x:v>
      </x:c>
      <x:c r="Y823" t="str">
        <x:v>ENH-20260830-01</x:v>
      </x:c>
      <x:c r="Z823" t="str">
        <x:v>Active</x:v>
      </x:c>
      <x:c r="AA823"/>
      <x:c r="AB823"/>
      <x:c r="AC823"/>
      <x:c r="AD823"/>
    </x:row>
    <x:row r="824">
      <x:c r="A824" t="str">
        <x:v>PCC-PE-KG01-L22-20251023-PM-ORD-2025-00057-S01-C1</x:v>
      </x:c>
      <x:c r="B824" t="str">
        <x:v>PC-PE-KG01-L22-20251023-PM-ORD-2025-00057-S01</x:v>
      </x:c>
      <x:c r="C824" t="str">
        <x:v>PE-KG01-L22-20251023-PM-ORD-2025-00057</x:v>
      </x:c>
      <x:c r="D824" t="str">
        <x:v>KG01</x:v>
      </x:c>
      <x:c r="E824" s="62" t="n">
        <x:v>45953</x:v>
      </x:c>
      <x:c r="F824" t="str">
        <x:v>PM</x:v>
      </x:c>
      <x:c r="G824" t="str">
        <x:v>A</x:v>
      </x:c>
      <x:c r="H824" t="n">
        <x:v>22</x:v>
      </x:c>
      <x:c r="I824" t="str">
        <x:v>ORD-2025-00057</x:v>
      </x:c>
      <x:c r="J824" t="n">
        <x:v>1</x:v>
      </x:c>
      <x:c r="K824" t="n">
        <x:v>1</x:v>
      </x:c>
      <x:c r="L824" t="str">
        <x:v>L22-S01-C1</x:v>
      </x:c>
      <x:c r="M824" t="n">
        <x:v>1</x:v>
      </x:c>
      <x:c r="N824" t="str">
        <x:v>DerivedFromCount</x:v>
      </x:c>
      <x:c r="O824" t="str">
        <x:v>PLC-PRD-JAR-720-L22</x:v>
      </x:c>
      <x:c r="P824" t="str">
        <x:v>OK</x:v>
      </x:c>
      <x:c r="Q824" t="str">
        <x:v>OK</x:v>
      </x:c>
      <x:c r="R824" t="str">
        <x:v>OK</x:v>
      </x:c>
      <x:c r="S824" t="str">
        <x:v>OK</x:v>
      </x:c>
      <x:c r="T824" t="n">
        <x:v>20</x:v>
      </x:c>
      <x:c r="U824" t="str">
        <x:v>OK</x:v>
      </x:c>
      <x:c r="V824" t="str">
        <x:v>OK</x:v>
      </x:c>
      <x:c r="W824" t="str">
        <x:v>LOAD</x:v>
      </x:c>
      <x:c r="X824" t="str">
        <x:v>02_Supervisor_Log(4).xlsx</x:v>
      </x:c>
      <x:c r="Y824" t="str">
        <x:v>ENH-20260830-01</x:v>
      </x:c>
      <x:c r="Z824" t="str">
        <x:v>Active</x:v>
      </x:c>
      <x:c r="AA824"/>
      <x:c r="AB824"/>
      <x:c r="AC824"/>
      <x:c r="AD824"/>
    </x:row>
    <x:row r="825">
      <x:c r="A825" t="str">
        <x:v>PCC-PE-KG01-L22-20251023-PM-ORD-2025-00057-S01-C2</x:v>
      </x:c>
      <x:c r="B825" t="str">
        <x:v>PC-PE-KG01-L22-20251023-PM-ORD-2025-00057-S01</x:v>
      </x:c>
      <x:c r="C825" t="str">
        <x:v>PE-KG01-L22-20251023-PM-ORD-2025-00057</x:v>
      </x:c>
      <x:c r="D825" t="str">
        <x:v>KG01</x:v>
      </x:c>
      <x:c r="E825" s="62" t="n">
        <x:v>45953</x:v>
      </x:c>
      <x:c r="F825" t="str">
        <x:v>PM</x:v>
      </x:c>
      <x:c r="G825" t="str">
        <x:v>A</x:v>
      </x:c>
      <x:c r="H825" t="n">
        <x:v>22</x:v>
      </x:c>
      <x:c r="I825" t="str">
        <x:v>ORD-2025-00057</x:v>
      </x:c>
      <x:c r="J825" t="n">
        <x:v>1</x:v>
      </x:c>
      <x:c r="K825" t="n">
        <x:v>2</x:v>
      </x:c>
      <x:c r="L825" t="str">
        <x:v>L22-S01-C2</x:v>
      </x:c>
      <x:c r="M825" t="n">
        <x:v>1</x:v>
      </x:c>
      <x:c r="N825" t="str">
        <x:v>DerivedFromCount</x:v>
      </x:c>
      <x:c r="O825" t="str">
        <x:v>PLC-PRD-JAR-720-L22</x:v>
      </x:c>
      <x:c r="P825" t="str">
        <x:v>OK</x:v>
      </x:c>
      <x:c r="Q825" t="str">
        <x:v>OK</x:v>
      </x:c>
      <x:c r="R825" t="str">
        <x:v>OK</x:v>
      </x:c>
      <x:c r="S825" t="str">
        <x:v>OK</x:v>
      </x:c>
      <x:c r="T825" t="n">
        <x:v>20</x:v>
      </x:c>
      <x:c r="U825" t="str">
        <x:v>OK</x:v>
      </x:c>
      <x:c r="V825" t="str">
        <x:v>OK</x:v>
      </x:c>
      <x:c r="W825" t="str">
        <x:v>LOAD</x:v>
      </x:c>
      <x:c r="X825" t="str">
        <x:v>02_Supervisor_Log(4).xlsx</x:v>
      </x:c>
      <x:c r="Y825" t="str">
        <x:v>ENH-20260830-01</x:v>
      </x:c>
      <x:c r="Z825" t="str">
        <x:v>Active</x:v>
      </x:c>
      <x:c r="AA825"/>
      <x:c r="AB825"/>
      <x:c r="AC825"/>
      <x:c r="AD825"/>
    </x:row>
    <x:row r="826">
      <x:c r="A826" t="str">
        <x:v>PCC-PE-KG01-L22-20251023-PM-ORD-2025-00057-S01-C3</x:v>
      </x:c>
      <x:c r="B826" t="str">
        <x:v>PC-PE-KG01-L22-20251023-PM-ORD-2025-00057-S01</x:v>
      </x:c>
      <x:c r="C826" t="str">
        <x:v>PE-KG01-L22-20251023-PM-ORD-2025-00057</x:v>
      </x:c>
      <x:c r="D826" t="str">
        <x:v>KG01</x:v>
      </x:c>
      <x:c r="E826" s="62" t="n">
        <x:v>45953</x:v>
      </x:c>
      <x:c r="F826" t="str">
        <x:v>PM</x:v>
      </x:c>
      <x:c r="G826" t="str">
        <x:v>A</x:v>
      </x:c>
      <x:c r="H826" t="n">
        <x:v>22</x:v>
      </x:c>
      <x:c r="I826" t="str">
        <x:v>ORD-2025-00057</x:v>
      </x:c>
      <x:c r="J826" t="n">
        <x:v>1</x:v>
      </x:c>
      <x:c r="K826" t="n">
        <x:v>3</x:v>
      </x:c>
      <x:c r="L826" t="str">
        <x:v>L22-S01-C3</x:v>
      </x:c>
      <x:c r="M826" t="n">
        <x:v>0</x:v>
      </x:c>
      <x:c r="N826" t="str">
        <x:v>DerivedFromCount</x:v>
      </x:c>
      <x:c r="O826" t="str">
        <x:v>PLC-PRD-JAR-720-L22</x:v>
      </x:c>
      <x:c r="P826" t="str">
        <x:v>OK</x:v>
      </x:c>
      <x:c r="Q826" t="str">
        <x:v>OK</x:v>
      </x:c>
      <x:c r="R826" t="str">
        <x:v>OK</x:v>
      </x:c>
      <x:c r="S826" t="str">
        <x:v>OK</x:v>
      </x:c>
      <x:c r="T826" t="n">
        <x:v>20</x:v>
      </x:c>
      <x:c r="U826" t="str">
        <x:v>OK</x:v>
      </x:c>
      <x:c r="V826" t="str">
        <x:v>OK</x:v>
      </x:c>
      <x:c r="W826" t="str">
        <x:v>LOAD</x:v>
      </x:c>
      <x:c r="X826" t="str">
        <x:v>02_Supervisor_Log(4).xlsx</x:v>
      </x:c>
      <x:c r="Y826" t="str">
        <x:v>ENH-20260830-01</x:v>
      </x:c>
      <x:c r="Z826" t="str">
        <x:v>Active</x:v>
      </x:c>
      <x:c r="AA826"/>
      <x:c r="AB826"/>
      <x:c r="AC826"/>
      <x:c r="AD826"/>
    </x:row>
    <x:row r="827">
      <x:c r="A827" t="str">
        <x:v>PCC-PE-KG01-L22-20251023-PM-ORD-2025-00057-S02-C1</x:v>
      </x:c>
      <x:c r="B827" t="str">
        <x:v>PC-PE-KG01-L22-20251023-PM-ORD-2025-00057-S02</x:v>
      </x:c>
      <x:c r="C827" t="str">
        <x:v>PE-KG01-L22-20251023-PM-ORD-2025-00057</x:v>
      </x:c>
      <x:c r="D827" t="str">
        <x:v>KG01</x:v>
      </x:c>
      <x:c r="E827" s="62" t="n">
        <x:v>45953</x:v>
      </x:c>
      <x:c r="F827" t="str">
        <x:v>PM</x:v>
      </x:c>
      <x:c r="G827" t="str">
        <x:v>A</x:v>
      </x:c>
      <x:c r="H827" t="n">
        <x:v>22</x:v>
      </x:c>
      <x:c r="I827" t="str">
        <x:v>ORD-2025-00057</x:v>
      </x:c>
      <x:c r="J827" t="n">
        <x:v>2</x:v>
      </x:c>
      <x:c r="K827" t="n">
        <x:v>1</x:v>
      </x:c>
      <x:c r="L827" t="str">
        <x:v>L22-S02-C1</x:v>
      </x:c>
      <x:c r="M827" t="n">
        <x:v>1</x:v>
      </x:c>
      <x:c r="N827" t="str">
        <x:v>DerivedFromCount</x:v>
      </x:c>
      <x:c r="O827" t="str">
        <x:v>PLC-PRD-JAR-720-L22</x:v>
      </x:c>
      <x:c r="P827" t="str">
        <x:v>OK</x:v>
      </x:c>
      <x:c r="Q827" t="str">
        <x:v>OK</x:v>
      </x:c>
      <x:c r="R827" t="str">
        <x:v>OK</x:v>
      </x:c>
      <x:c r="S827" t="str">
        <x:v>OK</x:v>
      </x:c>
      <x:c r="T827" t="n">
        <x:v>20</x:v>
      </x:c>
      <x:c r="U827" t="str">
        <x:v>OK</x:v>
      </x:c>
      <x:c r="V827" t="str">
        <x:v>OK</x:v>
      </x:c>
      <x:c r="W827" t="str">
        <x:v>LOAD</x:v>
      </x:c>
      <x:c r="X827" t="str">
        <x:v>02_Supervisor_Log(4).xlsx</x:v>
      </x:c>
      <x:c r="Y827" t="str">
        <x:v>ENH-20260830-01</x:v>
      </x:c>
      <x:c r="Z827" t="str">
        <x:v>Active</x:v>
      </x:c>
      <x:c r="AA827"/>
      <x:c r="AB827"/>
      <x:c r="AC827"/>
      <x:c r="AD827"/>
    </x:row>
    <x:row r="828">
      <x:c r="A828" t="str">
        <x:v>PCC-PE-KG01-L22-20251023-PM-ORD-2025-00057-S02-C2</x:v>
      </x:c>
      <x:c r="B828" t="str">
        <x:v>PC-PE-KG01-L22-20251023-PM-ORD-2025-00057-S02</x:v>
      </x:c>
      <x:c r="C828" t="str">
        <x:v>PE-KG01-L22-20251023-PM-ORD-2025-00057</x:v>
      </x:c>
      <x:c r="D828" t="str">
        <x:v>KG01</x:v>
      </x:c>
      <x:c r="E828" s="62" t="n">
        <x:v>45953</x:v>
      </x:c>
      <x:c r="F828" t="str">
        <x:v>PM</x:v>
      </x:c>
      <x:c r="G828" t="str">
        <x:v>A</x:v>
      </x:c>
      <x:c r="H828" t="n">
        <x:v>22</x:v>
      </x:c>
      <x:c r="I828" t="str">
        <x:v>ORD-2025-00057</x:v>
      </x:c>
      <x:c r="J828" t="n">
        <x:v>2</x:v>
      </x:c>
      <x:c r="K828" t="n">
        <x:v>2</x:v>
      </x:c>
      <x:c r="L828" t="str">
        <x:v>L22-S02-C2</x:v>
      </x:c>
      <x:c r="M828" t="n">
        <x:v>1</x:v>
      </x:c>
      <x:c r="N828" t="str">
        <x:v>DerivedFromCount</x:v>
      </x:c>
      <x:c r="O828" t="str">
        <x:v>PLC-PRD-JAR-720-L22</x:v>
      </x:c>
      <x:c r="P828" t="str">
        <x:v>OK</x:v>
      </x:c>
      <x:c r="Q828" t="str">
        <x:v>OK</x:v>
      </x:c>
      <x:c r="R828" t="str">
        <x:v>OK</x:v>
      </x:c>
      <x:c r="S828" t="str">
        <x:v>OK</x:v>
      </x:c>
      <x:c r="T828" t="n">
        <x:v>20</x:v>
      </x:c>
      <x:c r="U828" t="str">
        <x:v>OK</x:v>
      </x:c>
      <x:c r="V828" t="str">
        <x:v>OK</x:v>
      </x:c>
      <x:c r="W828" t="str">
        <x:v>LOAD</x:v>
      </x:c>
      <x:c r="X828" t="str">
        <x:v>02_Supervisor_Log(4).xlsx</x:v>
      </x:c>
      <x:c r="Y828" t="str">
        <x:v>ENH-20260830-01</x:v>
      </x:c>
      <x:c r="Z828" t="str">
        <x:v>Active</x:v>
      </x:c>
      <x:c r="AA828"/>
      <x:c r="AB828"/>
      <x:c r="AC828"/>
      <x:c r="AD828"/>
    </x:row>
    <x:row r="829">
      <x:c r="A829" t="str">
        <x:v>PCC-PE-KG01-L22-20251023-PM-ORD-2025-00057-S02-C3</x:v>
      </x:c>
      <x:c r="B829" t="str">
        <x:v>PC-PE-KG01-L22-20251023-PM-ORD-2025-00057-S02</x:v>
      </x:c>
      <x:c r="C829" t="str">
        <x:v>PE-KG01-L22-20251023-PM-ORD-2025-00057</x:v>
      </x:c>
      <x:c r="D829" t="str">
        <x:v>KG01</x:v>
      </x:c>
      <x:c r="E829" s="62" t="n">
        <x:v>45953</x:v>
      </x:c>
      <x:c r="F829" t="str">
        <x:v>PM</x:v>
      </x:c>
      <x:c r="G829" t="str">
        <x:v>A</x:v>
      </x:c>
      <x:c r="H829" t="n">
        <x:v>22</x:v>
      </x:c>
      <x:c r="I829" t="str">
        <x:v>ORD-2025-00057</x:v>
      </x:c>
      <x:c r="J829" t="n">
        <x:v>2</x:v>
      </x:c>
      <x:c r="K829" t="n">
        <x:v>3</x:v>
      </x:c>
      <x:c r="L829" t="str">
        <x:v>L22-S02-C3</x:v>
      </x:c>
      <x:c r="M829" t="n">
        <x:v>0</x:v>
      </x:c>
      <x:c r="N829" t="str">
        <x:v>DerivedFromCount</x:v>
      </x:c>
      <x:c r="O829" t="str">
        <x:v>PLC-PRD-JAR-720-L22</x:v>
      </x:c>
      <x:c r="P829" t="str">
        <x:v>OK</x:v>
      </x:c>
      <x:c r="Q829" t="str">
        <x:v>OK</x:v>
      </x:c>
      <x:c r="R829" t="str">
        <x:v>OK</x:v>
      </x:c>
      <x:c r="S829" t="str">
        <x:v>OK</x:v>
      </x:c>
      <x:c r="T829" t="n">
        <x:v>20</x:v>
      </x:c>
      <x:c r="U829" t="str">
        <x:v>OK</x:v>
      </x:c>
      <x:c r="V829" t="str">
        <x:v>OK</x:v>
      </x:c>
      <x:c r="W829" t="str">
        <x:v>LOAD</x:v>
      </x:c>
      <x:c r="X829" t="str">
        <x:v>02_Supervisor_Log(4).xlsx</x:v>
      </x:c>
      <x:c r="Y829" t="str">
        <x:v>ENH-20260830-01</x:v>
      </x:c>
      <x:c r="Z829" t="str">
        <x:v>Active</x:v>
      </x:c>
      <x:c r="AA829"/>
      <x:c r="AB829"/>
      <x:c r="AC829"/>
      <x:c r="AD829"/>
    </x:row>
    <x:row r="830">
      <x:c r="A830" t="str">
        <x:v>PCC-PE-KG01-L22-20251023-PM-ORD-2025-00057-S03-C1</x:v>
      </x:c>
      <x:c r="B830" t="str">
        <x:v>PC-PE-KG01-L22-20251023-PM-ORD-2025-00057-S03</x:v>
      </x:c>
      <x:c r="C830" t="str">
        <x:v>PE-KG01-L22-20251023-PM-ORD-2025-00057</x:v>
      </x:c>
      <x:c r="D830" t="str">
        <x:v>KG01</x:v>
      </x:c>
      <x:c r="E830" s="62" t="n">
        <x:v>45953</x:v>
      </x:c>
      <x:c r="F830" t="str">
        <x:v>PM</x:v>
      </x:c>
      <x:c r="G830" t="str">
        <x:v>A</x:v>
      </x:c>
      <x:c r="H830" t="n">
        <x:v>22</x:v>
      </x:c>
      <x:c r="I830" t="str">
        <x:v>ORD-2025-00057</x:v>
      </x:c>
      <x:c r="J830" t="n">
        <x:v>3</x:v>
      </x:c>
      <x:c r="K830" t="n">
        <x:v>1</x:v>
      </x:c>
      <x:c r="L830" t="str">
        <x:v>L22-S03-C1</x:v>
      </x:c>
      <x:c r="M830" t="n">
        <x:v>1</x:v>
      </x:c>
      <x:c r="N830" t="str">
        <x:v>DerivedFromCount</x:v>
      </x:c>
      <x:c r="O830" t="str">
        <x:v>PLC-PRD-JAR-720-L22</x:v>
      </x:c>
      <x:c r="P830" t="str">
        <x:v>OK</x:v>
      </x:c>
      <x:c r="Q830" t="str">
        <x:v>OK</x:v>
      </x:c>
      <x:c r="R830" t="str">
        <x:v>OK</x:v>
      </x:c>
      <x:c r="S830" t="str">
        <x:v>OK</x:v>
      </x:c>
      <x:c r="T830" t="n">
        <x:v>20</x:v>
      </x:c>
      <x:c r="U830" t="str">
        <x:v>OK</x:v>
      </x:c>
      <x:c r="V830" t="str">
        <x:v>OK</x:v>
      </x:c>
      <x:c r="W830" t="str">
        <x:v>LOAD</x:v>
      </x:c>
      <x:c r="X830" t="str">
        <x:v>02_Supervisor_Log(4).xlsx</x:v>
      </x:c>
      <x:c r="Y830" t="str">
        <x:v>ENH-20260830-01</x:v>
      </x:c>
      <x:c r="Z830" t="str">
        <x:v>Active</x:v>
      </x:c>
      <x:c r="AA830"/>
      <x:c r="AB830"/>
      <x:c r="AC830"/>
      <x:c r="AD830"/>
    </x:row>
    <x:row r="831">
      <x:c r="A831" t="str">
        <x:v>PCC-PE-KG01-L22-20251023-PM-ORD-2025-00057-S03-C2</x:v>
      </x:c>
      <x:c r="B831" t="str">
        <x:v>PC-PE-KG01-L22-20251023-PM-ORD-2025-00057-S03</x:v>
      </x:c>
      <x:c r="C831" t="str">
        <x:v>PE-KG01-L22-20251023-PM-ORD-2025-00057</x:v>
      </x:c>
      <x:c r="D831" t="str">
        <x:v>KG01</x:v>
      </x:c>
      <x:c r="E831" s="62" t="n">
        <x:v>45953</x:v>
      </x:c>
      <x:c r="F831" t="str">
        <x:v>PM</x:v>
      </x:c>
      <x:c r="G831" t="str">
        <x:v>A</x:v>
      </x:c>
      <x:c r="H831" t="n">
        <x:v>22</x:v>
      </x:c>
      <x:c r="I831" t="str">
        <x:v>ORD-2025-00057</x:v>
      </x:c>
      <x:c r="J831" t="n">
        <x:v>3</x:v>
      </x:c>
      <x:c r="K831" t="n">
        <x:v>2</x:v>
      </x:c>
      <x:c r="L831" t="str">
        <x:v>L22-S03-C2</x:v>
      </x:c>
      <x:c r="M831" t="n">
        <x:v>1</x:v>
      </x:c>
      <x:c r="N831" t="str">
        <x:v>DerivedFromCount</x:v>
      </x:c>
      <x:c r="O831" t="str">
        <x:v>PLC-PRD-JAR-720-L22</x:v>
      </x:c>
      <x:c r="P831" t="str">
        <x:v>OK</x:v>
      </x:c>
      <x:c r="Q831" t="str">
        <x:v>OK</x:v>
      </x:c>
      <x:c r="R831" t="str">
        <x:v>OK</x:v>
      </x:c>
      <x:c r="S831" t="str">
        <x:v>OK</x:v>
      </x:c>
      <x:c r="T831" t="n">
        <x:v>20</x:v>
      </x:c>
      <x:c r="U831" t="str">
        <x:v>OK</x:v>
      </x:c>
      <x:c r="V831" t="str">
        <x:v>OK</x:v>
      </x:c>
      <x:c r="W831" t="str">
        <x:v>LOAD</x:v>
      </x:c>
      <x:c r="X831" t="str">
        <x:v>02_Supervisor_Log(4).xlsx</x:v>
      </x:c>
      <x:c r="Y831" t="str">
        <x:v>ENH-20260830-01</x:v>
      </x:c>
      <x:c r="Z831" t="str">
        <x:v>Active</x:v>
      </x:c>
      <x:c r="AA831"/>
      <x:c r="AB831"/>
      <x:c r="AC831"/>
      <x:c r="AD831"/>
    </x:row>
    <x:row r="832">
      <x:c r="A832" t="str">
        <x:v>PCC-PE-KG01-L22-20251023-PM-ORD-2025-00057-S03-C3</x:v>
      </x:c>
      <x:c r="B832" t="str">
        <x:v>PC-PE-KG01-L22-20251023-PM-ORD-2025-00057-S03</x:v>
      </x:c>
      <x:c r="C832" t="str">
        <x:v>PE-KG01-L22-20251023-PM-ORD-2025-00057</x:v>
      </x:c>
      <x:c r="D832" t="str">
        <x:v>KG01</x:v>
      </x:c>
      <x:c r="E832" s="62" t="n">
        <x:v>45953</x:v>
      </x:c>
      <x:c r="F832" t="str">
        <x:v>PM</x:v>
      </x:c>
      <x:c r="G832" t="str">
        <x:v>A</x:v>
      </x:c>
      <x:c r="H832" t="n">
        <x:v>22</x:v>
      </x:c>
      <x:c r="I832" t="str">
        <x:v>ORD-2025-00057</x:v>
      </x:c>
      <x:c r="J832" t="n">
        <x:v>3</x:v>
      </x:c>
      <x:c r="K832" t="n">
        <x:v>3</x:v>
      </x:c>
      <x:c r="L832" t="str">
        <x:v>L22-S03-C3</x:v>
      </x:c>
      <x:c r="M832" t="n">
        <x:v>0</x:v>
      </x:c>
      <x:c r="N832" t="str">
        <x:v>DerivedFromCount</x:v>
      </x:c>
      <x:c r="O832" t="str">
        <x:v>PLC-PRD-JAR-720-L22</x:v>
      </x:c>
      <x:c r="P832" t="str">
        <x:v>OK</x:v>
      </x:c>
      <x:c r="Q832" t="str">
        <x:v>OK</x:v>
      </x:c>
      <x:c r="R832" t="str">
        <x:v>OK</x:v>
      </x:c>
      <x:c r="S832" t="str">
        <x:v>OK</x:v>
      </x:c>
      <x:c r="T832" t="n">
        <x:v>20</x:v>
      </x:c>
      <x:c r="U832" t="str">
        <x:v>OK</x:v>
      </x:c>
      <x:c r="V832" t="str">
        <x:v>OK</x:v>
      </x:c>
      <x:c r="W832" t="str">
        <x:v>LOAD</x:v>
      </x:c>
      <x:c r="X832" t="str">
        <x:v>02_Supervisor_Log(4).xlsx</x:v>
      </x:c>
      <x:c r="Y832" t="str">
        <x:v>ENH-20260830-01</x:v>
      </x:c>
      <x:c r="Z832" t="str">
        <x:v>Active</x:v>
      </x:c>
      <x:c r="AA832"/>
      <x:c r="AB832"/>
      <x:c r="AC832"/>
      <x:c r="AD832"/>
    </x:row>
    <x:row r="833">
      <x:c r="A833" t="str">
        <x:v>PCC-PE-KG01-L22-20251023-PM-ORD-2025-00057-S04-C1</x:v>
      </x:c>
      <x:c r="B833" t="str">
        <x:v>PC-PE-KG01-L22-20251023-PM-ORD-2025-00057-S04</x:v>
      </x:c>
      <x:c r="C833" t="str">
        <x:v>PE-KG01-L22-20251023-PM-ORD-2025-00057</x:v>
      </x:c>
      <x:c r="D833" t="str">
        <x:v>KG01</x:v>
      </x:c>
      <x:c r="E833" s="62" t="n">
        <x:v>45953</x:v>
      </x:c>
      <x:c r="F833" t="str">
        <x:v>PM</x:v>
      </x:c>
      <x:c r="G833" t="str">
        <x:v>A</x:v>
      </x:c>
      <x:c r="H833" t="n">
        <x:v>22</x:v>
      </x:c>
      <x:c r="I833" t="str">
        <x:v>ORD-2025-00057</x:v>
      </x:c>
      <x:c r="J833" t="n">
        <x:v>4</x:v>
      </x:c>
      <x:c r="K833" t="n">
        <x:v>1</x:v>
      </x:c>
      <x:c r="L833" t="str">
        <x:v>L22-S04-C1</x:v>
      </x:c>
      <x:c r="M833" t="n">
        <x:v>1</x:v>
      </x:c>
      <x:c r="N833" t="str">
        <x:v>DerivedFromCount</x:v>
      </x:c>
      <x:c r="O833" t="str">
        <x:v>PLC-PRD-JAR-720-L22</x:v>
      </x:c>
      <x:c r="P833" t="str">
        <x:v>OK</x:v>
      </x:c>
      <x:c r="Q833" t="str">
        <x:v>OK</x:v>
      </x:c>
      <x:c r="R833" t="str">
        <x:v>OK</x:v>
      </x:c>
      <x:c r="S833" t="str">
        <x:v>OK</x:v>
      </x:c>
      <x:c r="T833" t="n">
        <x:v>20</x:v>
      </x:c>
      <x:c r="U833" t="str">
        <x:v>OK</x:v>
      </x:c>
      <x:c r="V833" t="str">
        <x:v>OK</x:v>
      </x:c>
      <x:c r="W833" t="str">
        <x:v>LOAD</x:v>
      </x:c>
      <x:c r="X833" t="str">
        <x:v>02_Supervisor_Log(4).xlsx</x:v>
      </x:c>
      <x:c r="Y833" t="str">
        <x:v>ENH-20260830-01</x:v>
      </x:c>
      <x:c r="Z833" t="str">
        <x:v>Active</x:v>
      </x:c>
      <x:c r="AA833"/>
      <x:c r="AB833"/>
      <x:c r="AC833"/>
      <x:c r="AD833"/>
    </x:row>
    <x:row r="834">
      <x:c r="A834" t="str">
        <x:v>PCC-PE-KG01-L22-20251023-PM-ORD-2025-00057-S04-C2</x:v>
      </x:c>
      <x:c r="B834" t="str">
        <x:v>PC-PE-KG01-L22-20251023-PM-ORD-2025-00057-S04</x:v>
      </x:c>
      <x:c r="C834" t="str">
        <x:v>PE-KG01-L22-20251023-PM-ORD-2025-00057</x:v>
      </x:c>
      <x:c r="D834" t="str">
        <x:v>KG01</x:v>
      </x:c>
      <x:c r="E834" s="62" t="n">
        <x:v>45953</x:v>
      </x:c>
      <x:c r="F834" t="str">
        <x:v>PM</x:v>
      </x:c>
      <x:c r="G834" t="str">
        <x:v>A</x:v>
      </x:c>
      <x:c r="H834" t="n">
        <x:v>22</x:v>
      </x:c>
      <x:c r="I834" t="str">
        <x:v>ORD-2025-00057</x:v>
      </x:c>
      <x:c r="J834" t="n">
        <x:v>4</x:v>
      </x:c>
      <x:c r="K834" t="n">
        <x:v>2</x:v>
      </x:c>
      <x:c r="L834" t="str">
        <x:v>L22-S04-C2</x:v>
      </x:c>
      <x:c r="M834" t="n">
        <x:v>1</x:v>
      </x:c>
      <x:c r="N834" t="str">
        <x:v>DerivedFromCount</x:v>
      </x:c>
      <x:c r="O834" t="str">
        <x:v>PLC-PRD-JAR-720-L22</x:v>
      </x:c>
      <x:c r="P834" t="str">
        <x:v>OK</x:v>
      </x:c>
      <x:c r="Q834" t="str">
        <x:v>OK</x:v>
      </x:c>
      <x:c r="R834" t="str">
        <x:v>OK</x:v>
      </x:c>
      <x:c r="S834" t="str">
        <x:v>OK</x:v>
      </x:c>
      <x:c r="T834" t="n">
        <x:v>20</x:v>
      </x:c>
      <x:c r="U834" t="str">
        <x:v>OK</x:v>
      </x:c>
      <x:c r="V834" t="str">
        <x:v>OK</x:v>
      </x:c>
      <x:c r="W834" t="str">
        <x:v>LOAD</x:v>
      </x:c>
      <x:c r="X834" t="str">
        <x:v>02_Supervisor_Log(4).xlsx</x:v>
      </x:c>
      <x:c r="Y834" t="str">
        <x:v>ENH-20260830-01</x:v>
      </x:c>
      <x:c r="Z834" t="str">
        <x:v>Active</x:v>
      </x:c>
      <x:c r="AA834"/>
      <x:c r="AB834"/>
      <x:c r="AC834"/>
      <x:c r="AD834"/>
    </x:row>
    <x:row r="835">
      <x:c r="A835" t="str">
        <x:v>PCC-PE-KG01-L22-20251023-PM-ORD-2025-00057-S04-C3</x:v>
      </x:c>
      <x:c r="B835" t="str">
        <x:v>PC-PE-KG01-L22-20251023-PM-ORD-2025-00057-S04</x:v>
      </x:c>
      <x:c r="C835" t="str">
        <x:v>PE-KG01-L22-20251023-PM-ORD-2025-00057</x:v>
      </x:c>
      <x:c r="D835" t="str">
        <x:v>KG01</x:v>
      </x:c>
      <x:c r="E835" s="62" t="n">
        <x:v>45953</x:v>
      </x:c>
      <x:c r="F835" t="str">
        <x:v>PM</x:v>
      </x:c>
      <x:c r="G835" t="str">
        <x:v>A</x:v>
      </x:c>
      <x:c r="H835" t="n">
        <x:v>22</x:v>
      </x:c>
      <x:c r="I835" t="str">
        <x:v>ORD-2025-00057</x:v>
      </x:c>
      <x:c r="J835" t="n">
        <x:v>4</x:v>
      </x:c>
      <x:c r="K835" t="n">
        <x:v>3</x:v>
      </x:c>
      <x:c r="L835" t="str">
        <x:v>L22-S04-C3</x:v>
      </x:c>
      <x:c r="M835" t="n">
        <x:v>0</x:v>
      </x:c>
      <x:c r="N835" t="str">
        <x:v>DerivedFromCount</x:v>
      </x:c>
      <x:c r="O835" t="str">
        <x:v>PLC-PRD-JAR-720-L22</x:v>
      </x:c>
      <x:c r="P835" t="str">
        <x:v>OK</x:v>
      </x:c>
      <x:c r="Q835" t="str">
        <x:v>OK</x:v>
      </x:c>
      <x:c r="R835" t="str">
        <x:v>OK</x:v>
      </x:c>
      <x:c r="S835" t="str">
        <x:v>OK</x:v>
      </x:c>
      <x:c r="T835" t="n">
        <x:v>20</x:v>
      </x:c>
      <x:c r="U835" t="str">
        <x:v>OK</x:v>
      </x:c>
      <x:c r="V835" t="str">
        <x:v>OK</x:v>
      </x:c>
      <x:c r="W835" t="str">
        <x:v>LOAD</x:v>
      </x:c>
      <x:c r="X835" t="str">
        <x:v>02_Supervisor_Log(4).xlsx</x:v>
      </x:c>
      <x:c r="Y835" t="str">
        <x:v>ENH-20260830-01</x:v>
      </x:c>
      <x:c r="Z835" t="str">
        <x:v>Active</x:v>
      </x:c>
      <x:c r="AA835"/>
      <x:c r="AB835"/>
      <x:c r="AC835"/>
      <x:c r="AD835"/>
    </x:row>
    <x:row r="836">
      <x:c r="A836" t="str">
        <x:v>PCC-PE-KG01-L22-20251023-PM-ORD-2025-00057-S05-C1</x:v>
      </x:c>
      <x:c r="B836" t="str">
        <x:v>PC-PE-KG01-L22-20251023-PM-ORD-2025-00057-S05</x:v>
      </x:c>
      <x:c r="C836" t="str">
        <x:v>PE-KG01-L22-20251023-PM-ORD-2025-00057</x:v>
      </x:c>
      <x:c r="D836" t="str">
        <x:v>KG01</x:v>
      </x:c>
      <x:c r="E836" s="62" t="n">
        <x:v>45953</x:v>
      </x:c>
      <x:c r="F836" t="str">
        <x:v>PM</x:v>
      </x:c>
      <x:c r="G836" t="str">
        <x:v>A</x:v>
      </x:c>
      <x:c r="H836" t="n">
        <x:v>22</x:v>
      </x:c>
      <x:c r="I836" t="str">
        <x:v>ORD-2025-00057</x:v>
      </x:c>
      <x:c r="J836" t="n">
        <x:v>5</x:v>
      </x:c>
      <x:c r="K836" t="n">
        <x:v>1</x:v>
      </x:c>
      <x:c r="L836" t="str">
        <x:v>L22-S05-C1</x:v>
      </x:c>
      <x:c r="M836" t="n">
        <x:v>1</x:v>
      </x:c>
      <x:c r="N836" t="str">
        <x:v>DerivedFromCount</x:v>
      </x:c>
      <x:c r="O836" t="str">
        <x:v>PLC-PRD-JAR-720-L22</x:v>
      </x:c>
      <x:c r="P836" t="str">
        <x:v>OK</x:v>
      </x:c>
      <x:c r="Q836" t="str">
        <x:v>OK</x:v>
      </x:c>
      <x:c r="R836" t="str">
        <x:v>OK</x:v>
      </x:c>
      <x:c r="S836" t="str">
        <x:v>OK</x:v>
      </x:c>
      <x:c r="T836" t="n">
        <x:v>20</x:v>
      </x:c>
      <x:c r="U836" t="str">
        <x:v>OK</x:v>
      </x:c>
      <x:c r="V836" t="str">
        <x:v>OK</x:v>
      </x:c>
      <x:c r="W836" t="str">
        <x:v>LOAD</x:v>
      </x:c>
      <x:c r="X836" t="str">
        <x:v>02_Supervisor_Log(4).xlsx</x:v>
      </x:c>
      <x:c r="Y836" t="str">
        <x:v>ENH-20260830-01</x:v>
      </x:c>
      <x:c r="Z836" t="str">
        <x:v>Active</x:v>
      </x:c>
      <x:c r="AA836"/>
      <x:c r="AB836"/>
      <x:c r="AC836"/>
      <x:c r="AD836"/>
    </x:row>
    <x:row r="837">
      <x:c r="A837" t="str">
        <x:v>PCC-PE-KG01-L22-20251023-PM-ORD-2025-00057-S05-C2</x:v>
      </x:c>
      <x:c r="B837" t="str">
        <x:v>PC-PE-KG01-L22-20251023-PM-ORD-2025-00057-S05</x:v>
      </x:c>
      <x:c r="C837" t="str">
        <x:v>PE-KG01-L22-20251023-PM-ORD-2025-00057</x:v>
      </x:c>
      <x:c r="D837" t="str">
        <x:v>KG01</x:v>
      </x:c>
      <x:c r="E837" s="62" t="n">
        <x:v>45953</x:v>
      </x:c>
      <x:c r="F837" t="str">
        <x:v>PM</x:v>
      </x:c>
      <x:c r="G837" t="str">
        <x:v>A</x:v>
      </x:c>
      <x:c r="H837" t="n">
        <x:v>22</x:v>
      </x:c>
      <x:c r="I837" t="str">
        <x:v>ORD-2025-00057</x:v>
      </x:c>
      <x:c r="J837" t="n">
        <x:v>5</x:v>
      </x:c>
      <x:c r="K837" t="n">
        <x:v>2</x:v>
      </x:c>
      <x:c r="L837" t="str">
        <x:v>L22-S05-C2</x:v>
      </x:c>
      <x:c r="M837" t="n">
        <x:v>1</x:v>
      </x:c>
      <x:c r="N837" t="str">
        <x:v>DerivedFromCount</x:v>
      </x:c>
      <x:c r="O837" t="str">
        <x:v>PLC-PRD-JAR-720-L22</x:v>
      </x:c>
      <x:c r="P837" t="str">
        <x:v>OK</x:v>
      </x:c>
      <x:c r="Q837" t="str">
        <x:v>OK</x:v>
      </x:c>
      <x:c r="R837" t="str">
        <x:v>OK</x:v>
      </x:c>
      <x:c r="S837" t="str">
        <x:v>OK</x:v>
      </x:c>
      <x:c r="T837" t="n">
        <x:v>20</x:v>
      </x:c>
      <x:c r="U837" t="str">
        <x:v>OK</x:v>
      </x:c>
      <x:c r="V837" t="str">
        <x:v>OK</x:v>
      </x:c>
      <x:c r="W837" t="str">
        <x:v>LOAD</x:v>
      </x:c>
      <x:c r="X837" t="str">
        <x:v>02_Supervisor_Log(4).xlsx</x:v>
      </x:c>
      <x:c r="Y837" t="str">
        <x:v>ENH-20260830-01</x:v>
      </x:c>
      <x:c r="Z837" t="str">
        <x:v>Active</x:v>
      </x:c>
      <x:c r="AA837"/>
      <x:c r="AB837"/>
      <x:c r="AC837"/>
      <x:c r="AD837"/>
    </x:row>
    <x:row r="838">
      <x:c r="A838" t="str">
        <x:v>PCC-PE-KG01-L22-20251023-PM-ORD-2025-00057-S05-C3</x:v>
      </x:c>
      <x:c r="B838" t="str">
        <x:v>PC-PE-KG01-L22-20251023-PM-ORD-2025-00057-S05</x:v>
      </x:c>
      <x:c r="C838" t="str">
        <x:v>PE-KG01-L22-20251023-PM-ORD-2025-00057</x:v>
      </x:c>
      <x:c r="D838" t="str">
        <x:v>KG01</x:v>
      </x:c>
      <x:c r="E838" s="62" t="n">
        <x:v>45953</x:v>
      </x:c>
      <x:c r="F838" t="str">
        <x:v>PM</x:v>
      </x:c>
      <x:c r="G838" t="str">
        <x:v>A</x:v>
      </x:c>
      <x:c r="H838" t="n">
        <x:v>22</x:v>
      </x:c>
      <x:c r="I838" t="str">
        <x:v>ORD-2025-00057</x:v>
      </x:c>
      <x:c r="J838" t="n">
        <x:v>5</x:v>
      </x:c>
      <x:c r="K838" t="n">
        <x:v>3</x:v>
      </x:c>
      <x:c r="L838" t="str">
        <x:v>L22-S05-C3</x:v>
      </x:c>
      <x:c r="M838" t="n">
        <x:v>0</x:v>
      </x:c>
      <x:c r="N838" t="str">
        <x:v>DerivedFromCount</x:v>
      </x:c>
      <x:c r="O838" t="str">
        <x:v>PLC-PRD-JAR-720-L22</x:v>
      </x:c>
      <x:c r="P838" t="str">
        <x:v>OK</x:v>
      </x:c>
      <x:c r="Q838" t="str">
        <x:v>OK</x:v>
      </x:c>
      <x:c r="R838" t="str">
        <x:v>OK</x:v>
      </x:c>
      <x:c r="S838" t="str">
        <x:v>OK</x:v>
      </x:c>
      <x:c r="T838" t="n">
        <x:v>20</x:v>
      </x:c>
      <x:c r="U838" t="str">
        <x:v>OK</x:v>
      </x:c>
      <x:c r="V838" t="str">
        <x:v>OK</x:v>
      </x:c>
      <x:c r="W838" t="str">
        <x:v>LOAD</x:v>
      </x:c>
      <x:c r="X838" t="str">
        <x:v>02_Supervisor_Log(4).xlsx</x:v>
      </x:c>
      <x:c r="Y838" t="str">
        <x:v>ENH-20260830-01</x:v>
      </x:c>
      <x:c r="Z838" t="str">
        <x:v>Active</x:v>
      </x:c>
      <x:c r="AA838"/>
      <x:c r="AB838"/>
      <x:c r="AC838"/>
      <x:c r="AD838"/>
    </x:row>
    <x:row r="839">
      <x:c r="A839" t="str">
        <x:v>PCC-PE-KG01-L22-20251023-PM-ORD-2025-00057-S06-C1</x:v>
      </x:c>
      <x:c r="B839" t="str">
        <x:v>PC-PE-KG01-L22-20251023-PM-ORD-2025-00057-S06</x:v>
      </x:c>
      <x:c r="C839" t="str">
        <x:v>PE-KG01-L22-20251023-PM-ORD-2025-00057</x:v>
      </x:c>
      <x:c r="D839" t="str">
        <x:v>KG01</x:v>
      </x:c>
      <x:c r="E839" s="62" t="n">
        <x:v>45953</x:v>
      </x:c>
      <x:c r="F839" t="str">
        <x:v>PM</x:v>
      </x:c>
      <x:c r="G839" t="str">
        <x:v>A</x:v>
      </x:c>
      <x:c r="H839" t="n">
        <x:v>22</x:v>
      </x:c>
      <x:c r="I839" t="str">
        <x:v>ORD-2025-00057</x:v>
      </x:c>
      <x:c r="J839" t="n">
        <x:v>6</x:v>
      </x:c>
      <x:c r="K839" t="n">
        <x:v>1</x:v>
      </x:c>
      <x:c r="L839" t="str">
        <x:v>L22-S06-C1</x:v>
      </x:c>
      <x:c r="M839" t="n">
        <x:v>1</x:v>
      </x:c>
      <x:c r="N839" t="str">
        <x:v>DerivedFromCount</x:v>
      </x:c>
      <x:c r="O839" t="str">
        <x:v>PLC-PRD-JAR-720-L22</x:v>
      </x:c>
      <x:c r="P839" t="str">
        <x:v>OK</x:v>
      </x:c>
      <x:c r="Q839" t="str">
        <x:v>OK</x:v>
      </x:c>
      <x:c r="R839" t="str">
        <x:v>OK</x:v>
      </x:c>
      <x:c r="S839" t="str">
        <x:v>OK</x:v>
      </x:c>
      <x:c r="T839" t="n">
        <x:v>20</x:v>
      </x:c>
      <x:c r="U839" t="str">
        <x:v>OK</x:v>
      </x:c>
      <x:c r="V839" t="str">
        <x:v>OK</x:v>
      </x:c>
      <x:c r="W839" t="str">
        <x:v>LOAD</x:v>
      </x:c>
      <x:c r="X839" t="str">
        <x:v>02_Supervisor_Log(4).xlsx</x:v>
      </x:c>
      <x:c r="Y839" t="str">
        <x:v>ENH-20260830-01</x:v>
      </x:c>
      <x:c r="Z839" t="str">
        <x:v>Active</x:v>
      </x:c>
      <x:c r="AA839"/>
      <x:c r="AB839"/>
      <x:c r="AC839"/>
      <x:c r="AD839"/>
    </x:row>
    <x:row r="840">
      <x:c r="A840" t="str">
        <x:v>PCC-PE-KG01-L22-20251023-PM-ORD-2025-00057-S06-C2</x:v>
      </x:c>
      <x:c r="B840" t="str">
        <x:v>PC-PE-KG01-L22-20251023-PM-ORD-2025-00057-S06</x:v>
      </x:c>
      <x:c r="C840" t="str">
        <x:v>PE-KG01-L22-20251023-PM-ORD-2025-00057</x:v>
      </x:c>
      <x:c r="D840" t="str">
        <x:v>KG01</x:v>
      </x:c>
      <x:c r="E840" s="62" t="n">
        <x:v>45953</x:v>
      </x:c>
      <x:c r="F840" t="str">
        <x:v>PM</x:v>
      </x:c>
      <x:c r="G840" t="str">
        <x:v>A</x:v>
      </x:c>
      <x:c r="H840" t="n">
        <x:v>22</x:v>
      </x:c>
      <x:c r="I840" t="str">
        <x:v>ORD-2025-00057</x:v>
      </x:c>
      <x:c r="J840" t="n">
        <x:v>6</x:v>
      </x:c>
      <x:c r="K840" t="n">
        <x:v>2</x:v>
      </x:c>
      <x:c r="L840" t="str">
        <x:v>L22-S06-C2</x:v>
      </x:c>
      <x:c r="M840" t="n">
        <x:v>1</x:v>
      </x:c>
      <x:c r="N840" t="str">
        <x:v>DerivedFromCount</x:v>
      </x:c>
      <x:c r="O840" t="str">
        <x:v>PLC-PRD-JAR-720-L22</x:v>
      </x:c>
      <x:c r="P840" t="str">
        <x:v>OK</x:v>
      </x:c>
      <x:c r="Q840" t="str">
        <x:v>OK</x:v>
      </x:c>
      <x:c r="R840" t="str">
        <x:v>OK</x:v>
      </x:c>
      <x:c r="S840" t="str">
        <x:v>OK</x:v>
      </x:c>
      <x:c r="T840" t="n">
        <x:v>20</x:v>
      </x:c>
      <x:c r="U840" t="str">
        <x:v>OK</x:v>
      </x:c>
      <x:c r="V840" t="str">
        <x:v>OK</x:v>
      </x:c>
      <x:c r="W840" t="str">
        <x:v>LOAD</x:v>
      </x:c>
      <x:c r="X840" t="str">
        <x:v>02_Supervisor_Log(4).xlsx</x:v>
      </x:c>
      <x:c r="Y840" t="str">
        <x:v>ENH-20260830-01</x:v>
      </x:c>
      <x:c r="Z840" t="str">
        <x:v>Active</x:v>
      </x:c>
      <x:c r="AA840"/>
      <x:c r="AB840"/>
      <x:c r="AC840"/>
      <x:c r="AD840"/>
    </x:row>
    <x:row r="841">
      <x:c r="A841" t="str">
        <x:v>PCC-PE-KG01-L22-20251023-PM-ORD-2025-00057-S06-C3</x:v>
      </x:c>
      <x:c r="B841" t="str">
        <x:v>PC-PE-KG01-L22-20251023-PM-ORD-2025-00057-S06</x:v>
      </x:c>
      <x:c r="C841" t="str">
        <x:v>PE-KG01-L22-20251023-PM-ORD-2025-00057</x:v>
      </x:c>
      <x:c r="D841" t="str">
        <x:v>KG01</x:v>
      </x:c>
      <x:c r="E841" s="62" t="n">
        <x:v>45953</x:v>
      </x:c>
      <x:c r="F841" t="str">
        <x:v>PM</x:v>
      </x:c>
      <x:c r="G841" t="str">
        <x:v>A</x:v>
      </x:c>
      <x:c r="H841" t="n">
        <x:v>22</x:v>
      </x:c>
      <x:c r="I841" t="str">
        <x:v>ORD-2025-00057</x:v>
      </x:c>
      <x:c r="J841" t="n">
        <x:v>6</x:v>
      </x:c>
      <x:c r="K841" t="n">
        <x:v>3</x:v>
      </x:c>
      <x:c r="L841" t="str">
        <x:v>L22-S06-C3</x:v>
      </x:c>
      <x:c r="M841" t="n">
        <x:v>0</x:v>
      </x:c>
      <x:c r="N841" t="str">
        <x:v>DerivedFromCount</x:v>
      </x:c>
      <x:c r="O841" t="str">
        <x:v>PLC-PRD-JAR-720-L22</x:v>
      </x:c>
      <x:c r="P841" t="str">
        <x:v>OK</x:v>
      </x:c>
      <x:c r="Q841" t="str">
        <x:v>OK</x:v>
      </x:c>
      <x:c r="R841" t="str">
        <x:v>OK</x:v>
      </x:c>
      <x:c r="S841" t="str">
        <x:v>OK</x:v>
      </x:c>
      <x:c r="T841" t="n">
        <x:v>20</x:v>
      </x:c>
      <x:c r="U841" t="str">
        <x:v>OK</x:v>
      </x:c>
      <x:c r="V841" t="str">
        <x:v>OK</x:v>
      </x:c>
      <x:c r="W841" t="str">
        <x:v>LOAD</x:v>
      </x:c>
      <x:c r="X841" t="str">
        <x:v>02_Supervisor_Log(4).xlsx</x:v>
      </x:c>
      <x:c r="Y841" t="str">
        <x:v>ENH-20260830-01</x:v>
      </x:c>
      <x:c r="Z841" t="str">
        <x:v>Active</x:v>
      </x:c>
      <x:c r="AA841"/>
      <x:c r="AB841"/>
      <x:c r="AC841"/>
      <x:c r="AD841"/>
    </x:row>
    <x:row r="842">
      <x:c r="A842" t="str">
        <x:v>PCC-PE-KG01-L22-20251023-PM-ORD-2025-00057-S07-C1</x:v>
      </x:c>
      <x:c r="B842" t="str">
        <x:v>PC-PE-KG01-L22-20251023-PM-ORD-2025-00057-S07</x:v>
      </x:c>
      <x:c r="C842" t="str">
        <x:v>PE-KG01-L22-20251023-PM-ORD-2025-00057</x:v>
      </x:c>
      <x:c r="D842" t="str">
        <x:v>KG01</x:v>
      </x:c>
      <x:c r="E842" s="62" t="n">
        <x:v>45953</x:v>
      </x:c>
      <x:c r="F842" t="str">
        <x:v>PM</x:v>
      </x:c>
      <x:c r="G842" t="str">
        <x:v>A</x:v>
      </x:c>
      <x:c r="H842" t="n">
        <x:v>22</x:v>
      </x:c>
      <x:c r="I842" t="str">
        <x:v>ORD-2025-00057</x:v>
      </x:c>
      <x:c r="J842" t="n">
        <x:v>7</x:v>
      </x:c>
      <x:c r="K842" t="n">
        <x:v>1</x:v>
      </x:c>
      <x:c r="L842" t="str">
        <x:v>L22-S07-C1</x:v>
      </x:c>
      <x:c r="M842" t="n">
        <x:v>1</x:v>
      </x:c>
      <x:c r="N842" t="str">
        <x:v>DerivedFromCount</x:v>
      </x:c>
      <x:c r="O842" t="str">
        <x:v>PLC-PRD-JAR-720-L22</x:v>
      </x:c>
      <x:c r="P842" t="str">
        <x:v>OK</x:v>
      </x:c>
      <x:c r="Q842" t="str">
        <x:v>OK</x:v>
      </x:c>
      <x:c r="R842" t="str">
        <x:v>OK</x:v>
      </x:c>
      <x:c r="S842" t="str">
        <x:v>OK</x:v>
      </x:c>
      <x:c r="T842" t="n">
        <x:v>20</x:v>
      </x:c>
      <x:c r="U842" t="str">
        <x:v>OK</x:v>
      </x:c>
      <x:c r="V842" t="str">
        <x:v>OK</x:v>
      </x:c>
      <x:c r="W842" t="str">
        <x:v>LOAD</x:v>
      </x:c>
      <x:c r="X842" t="str">
        <x:v>02_Supervisor_Log(4).xlsx</x:v>
      </x:c>
      <x:c r="Y842" t="str">
        <x:v>ENH-20260830-01</x:v>
      </x:c>
      <x:c r="Z842" t="str">
        <x:v>Active</x:v>
      </x:c>
      <x:c r="AA842"/>
      <x:c r="AB842"/>
      <x:c r="AC842"/>
      <x:c r="AD842"/>
    </x:row>
    <x:row r="843">
      <x:c r="A843" t="str">
        <x:v>PCC-PE-KG01-L22-20251023-PM-ORD-2025-00057-S07-C2</x:v>
      </x:c>
      <x:c r="B843" t="str">
        <x:v>PC-PE-KG01-L22-20251023-PM-ORD-2025-00057-S07</x:v>
      </x:c>
      <x:c r="C843" t="str">
        <x:v>PE-KG01-L22-20251023-PM-ORD-2025-00057</x:v>
      </x:c>
      <x:c r="D843" t="str">
        <x:v>KG01</x:v>
      </x:c>
      <x:c r="E843" s="62" t="n">
        <x:v>45953</x:v>
      </x:c>
      <x:c r="F843" t="str">
        <x:v>PM</x:v>
      </x:c>
      <x:c r="G843" t="str">
        <x:v>A</x:v>
      </x:c>
      <x:c r="H843" t="n">
        <x:v>22</x:v>
      </x:c>
      <x:c r="I843" t="str">
        <x:v>ORD-2025-00057</x:v>
      </x:c>
      <x:c r="J843" t="n">
        <x:v>7</x:v>
      </x:c>
      <x:c r="K843" t="n">
        <x:v>2</x:v>
      </x:c>
      <x:c r="L843" t="str">
        <x:v>L22-S07-C2</x:v>
      </x:c>
      <x:c r="M843" t="n">
        <x:v>1</x:v>
      </x:c>
      <x:c r="N843" t="str">
        <x:v>DerivedFromCount</x:v>
      </x:c>
      <x:c r="O843" t="str">
        <x:v>PLC-PRD-JAR-720-L22</x:v>
      </x:c>
      <x:c r="P843" t="str">
        <x:v>OK</x:v>
      </x:c>
      <x:c r="Q843" t="str">
        <x:v>OK</x:v>
      </x:c>
      <x:c r="R843" t="str">
        <x:v>OK</x:v>
      </x:c>
      <x:c r="S843" t="str">
        <x:v>OK</x:v>
      </x:c>
      <x:c r="T843" t="n">
        <x:v>20</x:v>
      </x:c>
      <x:c r="U843" t="str">
        <x:v>OK</x:v>
      </x:c>
      <x:c r="V843" t="str">
        <x:v>OK</x:v>
      </x:c>
      <x:c r="W843" t="str">
        <x:v>LOAD</x:v>
      </x:c>
      <x:c r="X843" t="str">
        <x:v>02_Supervisor_Log(4).xlsx</x:v>
      </x:c>
      <x:c r="Y843" t="str">
        <x:v>ENH-20260830-01</x:v>
      </x:c>
      <x:c r="Z843" t="str">
        <x:v>Active</x:v>
      </x:c>
      <x:c r="AA843"/>
      <x:c r="AB843"/>
      <x:c r="AC843"/>
      <x:c r="AD843"/>
    </x:row>
    <x:row r="844">
      <x:c r="A844" t="str">
        <x:v>PCC-PE-KG01-L22-20251023-PM-ORD-2025-00057-S07-C3</x:v>
      </x:c>
      <x:c r="B844" t="str">
        <x:v>PC-PE-KG01-L22-20251023-PM-ORD-2025-00057-S07</x:v>
      </x:c>
      <x:c r="C844" t="str">
        <x:v>PE-KG01-L22-20251023-PM-ORD-2025-00057</x:v>
      </x:c>
      <x:c r="D844" t="str">
        <x:v>KG01</x:v>
      </x:c>
      <x:c r="E844" s="62" t="n">
        <x:v>45953</x:v>
      </x:c>
      <x:c r="F844" t="str">
        <x:v>PM</x:v>
      </x:c>
      <x:c r="G844" t="str">
        <x:v>A</x:v>
      </x:c>
      <x:c r="H844" t="n">
        <x:v>22</x:v>
      </x:c>
      <x:c r="I844" t="str">
        <x:v>ORD-2025-00057</x:v>
      </x:c>
      <x:c r="J844" t="n">
        <x:v>7</x:v>
      </x:c>
      <x:c r="K844" t="n">
        <x:v>3</x:v>
      </x:c>
      <x:c r="L844" t="str">
        <x:v>L22-S07-C3</x:v>
      </x:c>
      <x:c r="M844" t="n">
        <x:v>0</x:v>
      </x:c>
      <x:c r="N844" t="str">
        <x:v>DerivedFromCount</x:v>
      </x:c>
      <x:c r="O844" t="str">
        <x:v>PLC-PRD-JAR-720-L22</x:v>
      </x:c>
      <x:c r="P844" t="str">
        <x:v>OK</x:v>
      </x:c>
      <x:c r="Q844" t="str">
        <x:v>OK</x:v>
      </x:c>
      <x:c r="R844" t="str">
        <x:v>OK</x:v>
      </x:c>
      <x:c r="S844" t="str">
        <x:v>OK</x:v>
      </x:c>
      <x:c r="T844" t="n">
        <x:v>20</x:v>
      </x:c>
      <x:c r="U844" t="str">
        <x:v>OK</x:v>
      </x:c>
      <x:c r="V844" t="str">
        <x:v>OK</x:v>
      </x:c>
      <x:c r="W844" t="str">
        <x:v>LOAD</x:v>
      </x:c>
      <x:c r="X844" t="str">
        <x:v>02_Supervisor_Log(4).xlsx</x:v>
      </x:c>
      <x:c r="Y844" t="str">
        <x:v>ENH-20260830-01</x:v>
      </x:c>
      <x:c r="Z844" t="str">
        <x:v>Active</x:v>
      </x:c>
      <x:c r="AA844"/>
      <x:c r="AB844"/>
      <x:c r="AC844"/>
      <x:c r="AD844"/>
    </x:row>
    <x:row r="845">
      <x:c r="A845" t="str">
        <x:v>PCC-PE-KG01-L22-20251023-PM-ORD-2025-00057-S08-C1</x:v>
      </x:c>
      <x:c r="B845" t="str">
        <x:v>PC-PE-KG01-L22-20251023-PM-ORD-2025-00057-S08</x:v>
      </x:c>
      <x:c r="C845" t="str">
        <x:v>PE-KG01-L22-20251023-PM-ORD-2025-00057</x:v>
      </x:c>
      <x:c r="D845" t="str">
        <x:v>KG01</x:v>
      </x:c>
      <x:c r="E845" s="62" t="n">
        <x:v>45953</x:v>
      </x:c>
      <x:c r="F845" t="str">
        <x:v>PM</x:v>
      </x:c>
      <x:c r="G845" t="str">
        <x:v>A</x:v>
      </x:c>
      <x:c r="H845" t="n">
        <x:v>22</x:v>
      </x:c>
      <x:c r="I845" t="str">
        <x:v>ORD-2025-00057</x:v>
      </x:c>
      <x:c r="J845" t="n">
        <x:v>8</x:v>
      </x:c>
      <x:c r="K845" t="n">
        <x:v>1</x:v>
      </x:c>
      <x:c r="L845" t="str">
        <x:v>L22-S08-C1</x:v>
      </x:c>
      <x:c r="M845" t="n">
        <x:v>1</x:v>
      </x:c>
      <x:c r="N845" t="str">
        <x:v>DerivedFromCount</x:v>
      </x:c>
      <x:c r="O845" t="str">
        <x:v>PLC-PRD-JAR-720-L22</x:v>
      </x:c>
      <x:c r="P845" t="str">
        <x:v>OK</x:v>
      </x:c>
      <x:c r="Q845" t="str">
        <x:v>OK</x:v>
      </x:c>
      <x:c r="R845" t="str">
        <x:v>OK</x:v>
      </x:c>
      <x:c r="S845" t="str">
        <x:v>OK</x:v>
      </x:c>
      <x:c r="T845" t="n">
        <x:v>20</x:v>
      </x:c>
      <x:c r="U845" t="str">
        <x:v>OK</x:v>
      </x:c>
      <x:c r="V845" t="str">
        <x:v>OK</x:v>
      </x:c>
      <x:c r="W845" t="str">
        <x:v>LOAD</x:v>
      </x:c>
      <x:c r="X845" t="str">
        <x:v>02_Supervisor_Log(4).xlsx</x:v>
      </x:c>
      <x:c r="Y845" t="str">
        <x:v>ENH-20260830-01</x:v>
      </x:c>
      <x:c r="Z845" t="str">
        <x:v>Active</x:v>
      </x:c>
      <x:c r="AA845"/>
      <x:c r="AB845"/>
      <x:c r="AC845"/>
      <x:c r="AD845"/>
    </x:row>
    <x:row r="846">
      <x:c r="A846" t="str">
        <x:v>PCC-PE-KG01-L22-20251023-PM-ORD-2025-00057-S08-C2</x:v>
      </x:c>
      <x:c r="B846" t="str">
        <x:v>PC-PE-KG01-L22-20251023-PM-ORD-2025-00057-S08</x:v>
      </x:c>
      <x:c r="C846" t="str">
        <x:v>PE-KG01-L22-20251023-PM-ORD-2025-00057</x:v>
      </x:c>
      <x:c r="D846" t="str">
        <x:v>KG01</x:v>
      </x:c>
      <x:c r="E846" s="62" t="n">
        <x:v>45953</x:v>
      </x:c>
      <x:c r="F846" t="str">
        <x:v>PM</x:v>
      </x:c>
      <x:c r="G846" t="str">
        <x:v>A</x:v>
      </x:c>
      <x:c r="H846" t="n">
        <x:v>22</x:v>
      </x:c>
      <x:c r="I846" t="str">
        <x:v>ORD-2025-00057</x:v>
      </x:c>
      <x:c r="J846" t="n">
        <x:v>8</x:v>
      </x:c>
      <x:c r="K846" t="n">
        <x:v>2</x:v>
      </x:c>
      <x:c r="L846" t="str">
        <x:v>L22-S08-C2</x:v>
      </x:c>
      <x:c r="M846" t="n">
        <x:v>1</x:v>
      </x:c>
      <x:c r="N846" t="str">
        <x:v>DerivedFromCount</x:v>
      </x:c>
      <x:c r="O846" t="str">
        <x:v>PLC-PRD-JAR-720-L22</x:v>
      </x:c>
      <x:c r="P846" t="str">
        <x:v>OK</x:v>
      </x:c>
      <x:c r="Q846" t="str">
        <x:v>OK</x:v>
      </x:c>
      <x:c r="R846" t="str">
        <x:v>OK</x:v>
      </x:c>
      <x:c r="S846" t="str">
        <x:v>OK</x:v>
      </x:c>
      <x:c r="T846" t="n">
        <x:v>20</x:v>
      </x:c>
      <x:c r="U846" t="str">
        <x:v>OK</x:v>
      </x:c>
      <x:c r="V846" t="str">
        <x:v>OK</x:v>
      </x:c>
      <x:c r="W846" t="str">
        <x:v>LOAD</x:v>
      </x:c>
      <x:c r="X846" t="str">
        <x:v>02_Supervisor_Log(4).xlsx</x:v>
      </x:c>
      <x:c r="Y846" t="str">
        <x:v>ENH-20260830-01</x:v>
      </x:c>
      <x:c r="Z846" t="str">
        <x:v>Active</x:v>
      </x:c>
      <x:c r="AA846"/>
      <x:c r="AB846"/>
      <x:c r="AC846"/>
      <x:c r="AD846"/>
    </x:row>
    <x:row r="847">
      <x:c r="A847" t="str">
        <x:v>PCC-PE-KG01-L22-20251023-PM-ORD-2025-00057-S08-C3</x:v>
      </x:c>
      <x:c r="B847" t="str">
        <x:v>PC-PE-KG01-L22-20251023-PM-ORD-2025-00057-S08</x:v>
      </x:c>
      <x:c r="C847" t="str">
        <x:v>PE-KG01-L22-20251023-PM-ORD-2025-00057</x:v>
      </x:c>
      <x:c r="D847" t="str">
        <x:v>KG01</x:v>
      </x:c>
      <x:c r="E847" s="62" t="n">
        <x:v>45953</x:v>
      </x:c>
      <x:c r="F847" t="str">
        <x:v>PM</x:v>
      </x:c>
      <x:c r="G847" t="str">
        <x:v>A</x:v>
      </x:c>
      <x:c r="H847" t="n">
        <x:v>22</x:v>
      </x:c>
      <x:c r="I847" t="str">
        <x:v>ORD-2025-00057</x:v>
      </x:c>
      <x:c r="J847" t="n">
        <x:v>8</x:v>
      </x:c>
      <x:c r="K847" t="n">
        <x:v>3</x:v>
      </x:c>
      <x:c r="L847" t="str">
        <x:v>L22-S08-C3</x:v>
      </x:c>
      <x:c r="M847" t="n">
        <x:v>0</x:v>
      </x:c>
      <x:c r="N847" t="str">
        <x:v>DerivedFromCount</x:v>
      </x:c>
      <x:c r="O847" t="str">
        <x:v>PLC-PRD-JAR-720-L22</x:v>
      </x:c>
      <x:c r="P847" t="str">
        <x:v>OK</x:v>
      </x:c>
      <x:c r="Q847" t="str">
        <x:v>OK</x:v>
      </x:c>
      <x:c r="R847" t="str">
        <x:v>OK</x:v>
      </x:c>
      <x:c r="S847" t="str">
        <x:v>OK</x:v>
      </x:c>
      <x:c r="T847" t="n">
        <x:v>20</x:v>
      </x:c>
      <x:c r="U847" t="str">
        <x:v>OK</x:v>
      </x:c>
      <x:c r="V847" t="str">
        <x:v>OK</x:v>
      </x:c>
      <x:c r="W847" t="str">
        <x:v>LOAD</x:v>
      </x:c>
      <x:c r="X847" t="str">
        <x:v>02_Supervisor_Log(4).xlsx</x:v>
      </x:c>
      <x:c r="Y847" t="str">
        <x:v>ENH-20260830-01</x:v>
      </x:c>
      <x:c r="Z847" t="str">
        <x:v>Active</x:v>
      </x:c>
      <x:c r="AA847"/>
      <x:c r="AB847"/>
      <x:c r="AC847"/>
      <x:c r="AD847"/>
    </x:row>
    <x:row r="848">
      <x:c r="A848" t="str">
        <x:v>PCC-PE-KG01-L22-20251023-PM-ORD-2025-00057-S09-C1</x:v>
      </x:c>
      <x:c r="B848" t="str">
        <x:v>PC-PE-KG01-L22-20251023-PM-ORD-2025-00057-S09</x:v>
      </x:c>
      <x:c r="C848" t="str">
        <x:v>PE-KG01-L22-20251023-PM-ORD-2025-00057</x:v>
      </x:c>
      <x:c r="D848" t="str">
        <x:v>KG01</x:v>
      </x:c>
      <x:c r="E848" s="62" t="n">
        <x:v>45953</x:v>
      </x:c>
      <x:c r="F848" t="str">
        <x:v>PM</x:v>
      </x:c>
      <x:c r="G848" t="str">
        <x:v>A</x:v>
      </x:c>
      <x:c r="H848" t="n">
        <x:v>22</x:v>
      </x:c>
      <x:c r="I848" t="str">
        <x:v>ORD-2025-00057</x:v>
      </x:c>
      <x:c r="J848" t="n">
        <x:v>9</x:v>
      </x:c>
      <x:c r="K848" t="n">
        <x:v>1</x:v>
      </x:c>
      <x:c r="L848" t="str">
        <x:v>L22-S09-C1</x:v>
      </x:c>
      <x:c r="M848" t="n">
        <x:v>1</x:v>
      </x:c>
      <x:c r="N848" t="str">
        <x:v>DerivedFromCount</x:v>
      </x:c>
      <x:c r="O848" t="str">
        <x:v>PLC-PRD-JAR-720-L22</x:v>
      </x:c>
      <x:c r="P848" t="str">
        <x:v>OK</x:v>
      </x:c>
      <x:c r="Q848" t="str">
        <x:v>OK</x:v>
      </x:c>
      <x:c r="R848" t="str">
        <x:v>OK</x:v>
      </x:c>
      <x:c r="S848" t="str">
        <x:v>OK</x:v>
      </x:c>
      <x:c r="T848" t="n">
        <x:v>20</x:v>
      </x:c>
      <x:c r="U848" t="str">
        <x:v>OK</x:v>
      </x:c>
      <x:c r="V848" t="str">
        <x:v>OK</x:v>
      </x:c>
      <x:c r="W848" t="str">
        <x:v>LOAD</x:v>
      </x:c>
      <x:c r="X848" t="str">
        <x:v>02_Supervisor_Log(4).xlsx</x:v>
      </x:c>
      <x:c r="Y848" t="str">
        <x:v>ENH-20260830-01</x:v>
      </x:c>
      <x:c r="Z848" t="str">
        <x:v>Active</x:v>
      </x:c>
      <x:c r="AA848"/>
      <x:c r="AB848"/>
      <x:c r="AC848"/>
      <x:c r="AD848"/>
    </x:row>
    <x:row r="849">
      <x:c r="A849" t="str">
        <x:v>PCC-PE-KG01-L22-20251023-PM-ORD-2025-00057-S09-C2</x:v>
      </x:c>
      <x:c r="B849" t="str">
        <x:v>PC-PE-KG01-L22-20251023-PM-ORD-2025-00057-S09</x:v>
      </x:c>
      <x:c r="C849" t="str">
        <x:v>PE-KG01-L22-20251023-PM-ORD-2025-00057</x:v>
      </x:c>
      <x:c r="D849" t="str">
        <x:v>KG01</x:v>
      </x:c>
      <x:c r="E849" s="62" t="n">
        <x:v>45953</x:v>
      </x:c>
      <x:c r="F849" t="str">
        <x:v>PM</x:v>
      </x:c>
      <x:c r="G849" t="str">
        <x:v>A</x:v>
      </x:c>
      <x:c r="H849" t="n">
        <x:v>22</x:v>
      </x:c>
      <x:c r="I849" t="str">
        <x:v>ORD-2025-00057</x:v>
      </x:c>
      <x:c r="J849" t="n">
        <x:v>9</x:v>
      </x:c>
      <x:c r="K849" t="n">
        <x:v>2</x:v>
      </x:c>
      <x:c r="L849" t="str">
        <x:v>L22-S09-C2</x:v>
      </x:c>
      <x:c r="M849" t="n">
        <x:v>1</x:v>
      </x:c>
      <x:c r="N849" t="str">
        <x:v>DerivedFromCount</x:v>
      </x:c>
      <x:c r="O849" t="str">
        <x:v>PLC-PRD-JAR-720-L22</x:v>
      </x:c>
      <x:c r="P849" t="str">
        <x:v>OK</x:v>
      </x:c>
      <x:c r="Q849" t="str">
        <x:v>OK</x:v>
      </x:c>
      <x:c r="R849" t="str">
        <x:v>OK</x:v>
      </x:c>
      <x:c r="S849" t="str">
        <x:v>OK</x:v>
      </x:c>
      <x:c r="T849" t="n">
        <x:v>20</x:v>
      </x:c>
      <x:c r="U849" t="str">
        <x:v>OK</x:v>
      </x:c>
      <x:c r="V849" t="str">
        <x:v>OK</x:v>
      </x:c>
      <x:c r="W849" t="str">
        <x:v>LOAD</x:v>
      </x:c>
      <x:c r="X849" t="str">
        <x:v>02_Supervisor_Log(4).xlsx</x:v>
      </x:c>
      <x:c r="Y849" t="str">
        <x:v>ENH-20260830-01</x:v>
      </x:c>
      <x:c r="Z849" t="str">
        <x:v>Active</x:v>
      </x:c>
      <x:c r="AA849"/>
      <x:c r="AB849"/>
      <x:c r="AC849"/>
      <x:c r="AD849"/>
    </x:row>
    <x:row r="850">
      <x:c r="A850" t="str">
        <x:v>PCC-PE-KG01-L22-20251023-PM-ORD-2025-00057-S09-C3</x:v>
      </x:c>
      <x:c r="B850" t="str">
        <x:v>PC-PE-KG01-L22-20251023-PM-ORD-2025-00057-S09</x:v>
      </x:c>
      <x:c r="C850" t="str">
        <x:v>PE-KG01-L22-20251023-PM-ORD-2025-00057</x:v>
      </x:c>
      <x:c r="D850" t="str">
        <x:v>KG01</x:v>
      </x:c>
      <x:c r="E850" s="62" t="n">
        <x:v>45953</x:v>
      </x:c>
      <x:c r="F850" t="str">
        <x:v>PM</x:v>
      </x:c>
      <x:c r="G850" t="str">
        <x:v>A</x:v>
      </x:c>
      <x:c r="H850" t="n">
        <x:v>22</x:v>
      </x:c>
      <x:c r="I850" t="str">
        <x:v>ORD-2025-00057</x:v>
      </x:c>
      <x:c r="J850" t="n">
        <x:v>9</x:v>
      </x:c>
      <x:c r="K850" t="n">
        <x:v>3</x:v>
      </x:c>
      <x:c r="L850" t="str">
        <x:v>L22-S09-C3</x:v>
      </x:c>
      <x:c r="M850" t="n">
        <x:v>0</x:v>
      </x:c>
      <x:c r="N850" t="str">
        <x:v>DerivedFromCount</x:v>
      </x:c>
      <x:c r="O850" t="str">
        <x:v>PLC-PRD-JAR-720-L22</x:v>
      </x:c>
      <x:c r="P850" t="str">
        <x:v>OK</x:v>
      </x:c>
      <x:c r="Q850" t="str">
        <x:v>OK</x:v>
      </x:c>
      <x:c r="R850" t="str">
        <x:v>OK</x:v>
      </x:c>
      <x:c r="S850" t="str">
        <x:v>OK</x:v>
      </x:c>
      <x:c r="T850" t="n">
        <x:v>20</x:v>
      </x:c>
      <x:c r="U850" t="str">
        <x:v>OK</x:v>
      </x:c>
      <x:c r="V850" t="str">
        <x:v>OK</x:v>
      </x:c>
      <x:c r="W850" t="str">
        <x:v>LOAD</x:v>
      </x:c>
      <x:c r="X850" t="str">
        <x:v>02_Supervisor_Log(4).xlsx</x:v>
      </x:c>
      <x:c r="Y850" t="str">
        <x:v>ENH-20260830-01</x:v>
      </x:c>
      <x:c r="Z850" t="str">
        <x:v>Active</x:v>
      </x:c>
      <x:c r="AA850"/>
      <x:c r="AB850"/>
      <x:c r="AC850"/>
      <x:c r="AD850"/>
    </x:row>
    <x:row r="851">
      <x:c r="A851" t="str">
        <x:v>PCC-PE-KG01-L22-20251023-PM-ORD-2025-00057-S10-C1</x:v>
      </x:c>
      <x:c r="B851" t="str">
        <x:v>PC-PE-KG01-L22-20251023-PM-ORD-2025-00057-S10</x:v>
      </x:c>
      <x:c r="C851" t="str">
        <x:v>PE-KG01-L22-20251023-PM-ORD-2025-00057</x:v>
      </x:c>
      <x:c r="D851" t="str">
        <x:v>KG01</x:v>
      </x:c>
      <x:c r="E851" s="62" t="n">
        <x:v>45953</x:v>
      </x:c>
      <x:c r="F851" t="str">
        <x:v>PM</x:v>
      </x:c>
      <x:c r="G851" t="str">
        <x:v>A</x:v>
      </x:c>
      <x:c r="H851" t="n">
        <x:v>22</x:v>
      </x:c>
      <x:c r="I851" t="str">
        <x:v>ORD-2025-00057</x:v>
      </x:c>
      <x:c r="J851" t="n">
        <x:v>10</x:v>
      </x:c>
      <x:c r="K851" t="n">
        <x:v>1</x:v>
      </x:c>
      <x:c r="L851" t="str">
        <x:v>L22-S10-C1</x:v>
      </x:c>
      <x:c r="M851" t="n">
        <x:v>1</x:v>
      </x:c>
      <x:c r="N851" t="str">
        <x:v>DerivedFromCount</x:v>
      </x:c>
      <x:c r="O851" t="str">
        <x:v>PLC-PRD-JAR-720-L22</x:v>
      </x:c>
      <x:c r="P851" t="str">
        <x:v>OK</x:v>
      </x:c>
      <x:c r="Q851" t="str">
        <x:v>OK</x:v>
      </x:c>
      <x:c r="R851" t="str">
        <x:v>OK</x:v>
      </x:c>
      <x:c r="S851" t="str">
        <x:v>OK</x:v>
      </x:c>
      <x:c r="T851" t="n">
        <x:v>20</x:v>
      </x:c>
      <x:c r="U851" t="str">
        <x:v>OK</x:v>
      </x:c>
      <x:c r="V851" t="str">
        <x:v>OK</x:v>
      </x:c>
      <x:c r="W851" t="str">
        <x:v>LOAD</x:v>
      </x:c>
      <x:c r="X851" t="str">
        <x:v>02_Supervisor_Log(4).xlsx</x:v>
      </x:c>
      <x:c r="Y851" t="str">
        <x:v>ENH-20260830-01</x:v>
      </x:c>
      <x:c r="Z851" t="str">
        <x:v>Active</x:v>
      </x:c>
      <x:c r="AA851"/>
      <x:c r="AB851"/>
      <x:c r="AC851"/>
      <x:c r="AD851"/>
    </x:row>
    <x:row r="852">
      <x:c r="A852" t="str">
        <x:v>PCC-PE-KG01-L22-20251023-PM-ORD-2025-00057-S10-C2</x:v>
      </x:c>
      <x:c r="B852" t="str">
        <x:v>PC-PE-KG01-L22-20251023-PM-ORD-2025-00057-S10</x:v>
      </x:c>
      <x:c r="C852" t="str">
        <x:v>PE-KG01-L22-20251023-PM-ORD-2025-00057</x:v>
      </x:c>
      <x:c r="D852" t="str">
        <x:v>KG01</x:v>
      </x:c>
      <x:c r="E852" s="62" t="n">
        <x:v>45953</x:v>
      </x:c>
      <x:c r="F852" t="str">
        <x:v>PM</x:v>
      </x:c>
      <x:c r="G852" t="str">
        <x:v>A</x:v>
      </x:c>
      <x:c r="H852" t="n">
        <x:v>22</x:v>
      </x:c>
      <x:c r="I852" t="str">
        <x:v>ORD-2025-00057</x:v>
      </x:c>
      <x:c r="J852" t="n">
        <x:v>10</x:v>
      </x:c>
      <x:c r="K852" t="n">
        <x:v>2</x:v>
      </x:c>
      <x:c r="L852" t="str">
        <x:v>L22-S10-C2</x:v>
      </x:c>
      <x:c r="M852" t="n">
        <x:v>1</x:v>
      </x:c>
      <x:c r="N852" t="str">
        <x:v>DerivedFromCount</x:v>
      </x:c>
      <x:c r="O852" t="str">
        <x:v>PLC-PRD-JAR-720-L22</x:v>
      </x:c>
      <x:c r="P852" t="str">
        <x:v>OK</x:v>
      </x:c>
      <x:c r="Q852" t="str">
        <x:v>OK</x:v>
      </x:c>
      <x:c r="R852" t="str">
        <x:v>OK</x:v>
      </x:c>
      <x:c r="S852" t="str">
        <x:v>OK</x:v>
      </x:c>
      <x:c r="T852" t="n">
        <x:v>20</x:v>
      </x:c>
      <x:c r="U852" t="str">
        <x:v>OK</x:v>
      </x:c>
      <x:c r="V852" t="str">
        <x:v>OK</x:v>
      </x:c>
      <x:c r="W852" t="str">
        <x:v>LOAD</x:v>
      </x:c>
      <x:c r="X852" t="str">
        <x:v>02_Supervisor_Log(4).xlsx</x:v>
      </x:c>
      <x:c r="Y852" t="str">
        <x:v>ENH-20260830-01</x:v>
      </x:c>
      <x:c r="Z852" t="str">
        <x:v>Active</x:v>
      </x:c>
      <x:c r="AA852"/>
      <x:c r="AB852"/>
      <x:c r="AC852"/>
      <x:c r="AD852"/>
    </x:row>
    <x:row r="853">
      <x:c r="A853" t="str">
        <x:v>PCC-PE-KG01-L22-20251023-PM-ORD-2025-00057-S10-C3</x:v>
      </x:c>
      <x:c r="B853" t="str">
        <x:v>PC-PE-KG01-L22-20251023-PM-ORD-2025-00057-S10</x:v>
      </x:c>
      <x:c r="C853" t="str">
        <x:v>PE-KG01-L22-20251023-PM-ORD-2025-00057</x:v>
      </x:c>
      <x:c r="D853" t="str">
        <x:v>KG01</x:v>
      </x:c>
      <x:c r="E853" s="62" t="n">
        <x:v>45953</x:v>
      </x:c>
      <x:c r="F853" t="str">
        <x:v>PM</x:v>
      </x:c>
      <x:c r="G853" t="str">
        <x:v>A</x:v>
      </x:c>
      <x:c r="H853" t="n">
        <x:v>22</x:v>
      </x:c>
      <x:c r="I853" t="str">
        <x:v>ORD-2025-00057</x:v>
      </x:c>
      <x:c r="J853" t="n">
        <x:v>10</x:v>
      </x:c>
      <x:c r="K853" t="n">
        <x:v>3</x:v>
      </x:c>
      <x:c r="L853" t="str">
        <x:v>L22-S10-C3</x:v>
      </x:c>
      <x:c r="M853" t="n">
        <x:v>0</x:v>
      </x:c>
      <x:c r="N853" t="str">
        <x:v>DerivedFromCount</x:v>
      </x:c>
      <x:c r="O853" t="str">
        <x:v>PLC-PRD-JAR-720-L22</x:v>
      </x:c>
      <x:c r="P853" t="str">
        <x:v>OK</x:v>
      </x:c>
      <x:c r="Q853" t="str">
        <x:v>OK</x:v>
      </x:c>
      <x:c r="R853" t="str">
        <x:v>OK</x:v>
      </x:c>
      <x:c r="S853" t="str">
        <x:v>OK</x:v>
      </x:c>
      <x:c r="T853" t="n">
        <x:v>20</x:v>
      </x:c>
      <x:c r="U853" t="str">
        <x:v>OK</x:v>
      </x:c>
      <x:c r="V853" t="str">
        <x:v>OK</x:v>
      </x:c>
      <x:c r="W853" t="str">
        <x:v>LOAD</x:v>
      </x:c>
      <x:c r="X853" t="str">
        <x:v>02_Supervisor_Log(4).xlsx</x:v>
      </x:c>
      <x:c r="Y853" t="str">
        <x:v>ENH-20260830-01</x:v>
      </x:c>
      <x:c r="Z853" t="str">
        <x:v>Active</x:v>
      </x:c>
      <x:c r="AA853"/>
      <x:c r="AB853"/>
      <x:c r="AC853"/>
      <x:c r="AD853"/>
    </x:row>
    <x:row r="854">
      <x:c r="A854" t="str">
        <x:v>PCC-PE-KG01-L22-20251023-PM-ORD-2025-00057-S11-C1</x:v>
      </x:c>
      <x:c r="B854" t="str">
        <x:v>PC-PE-KG01-L22-20251023-PM-ORD-2025-00057-S11</x:v>
      </x:c>
      <x:c r="C854" t="str">
        <x:v>PE-KG01-L22-20251023-PM-ORD-2025-00057</x:v>
      </x:c>
      <x:c r="D854" t="str">
        <x:v>KG01</x:v>
      </x:c>
      <x:c r="E854" s="62" t="n">
        <x:v>45953</x:v>
      </x:c>
      <x:c r="F854" t="str">
        <x:v>PM</x:v>
      </x:c>
      <x:c r="G854" t="str">
        <x:v>A</x:v>
      </x:c>
      <x:c r="H854" t="n">
        <x:v>22</x:v>
      </x:c>
      <x:c r="I854" t="str">
        <x:v>ORD-2025-00057</x:v>
      </x:c>
      <x:c r="J854" t="n">
        <x:v>11</x:v>
      </x:c>
      <x:c r="K854" t="n">
        <x:v>1</x:v>
      </x:c>
      <x:c r="L854" t="str">
        <x:v>L22-S11-C1</x:v>
      </x:c>
      <x:c r="M854" t="n">
        <x:v>0</x:v>
      </x:c>
      <x:c r="N854" t="str">
        <x:v>DerivedFromCount</x:v>
      </x:c>
      <x:c r="O854" t="str">
        <x:v>PLC-PRD-JAR-720-L22</x:v>
      </x:c>
      <x:c r="P854" t="str">
        <x:v>OK</x:v>
      </x:c>
      <x:c r="Q854" t="str">
        <x:v>OK</x:v>
      </x:c>
      <x:c r="R854" t="str">
        <x:v>OK</x:v>
      </x:c>
      <x:c r="S854" t="str">
        <x:v>OK</x:v>
      </x:c>
      <x:c r="T854" t="n">
        <x:v>20</x:v>
      </x:c>
      <x:c r="U854" t="str">
        <x:v>OK</x:v>
      </x:c>
      <x:c r="V854" t="str">
        <x:v>OK</x:v>
      </x:c>
      <x:c r="W854" t="str">
        <x:v>LOAD</x:v>
      </x:c>
      <x:c r="X854" t="str">
        <x:v>02_Supervisor_Log(4).xlsx</x:v>
      </x:c>
      <x:c r="Y854" t="str">
        <x:v>ENH-20260830-01</x:v>
      </x:c>
      <x:c r="Z854" t="str">
        <x:v>Active</x:v>
      </x:c>
      <x:c r="AA854"/>
      <x:c r="AB854"/>
      <x:c r="AC854"/>
      <x:c r="AD854"/>
    </x:row>
    <x:row r="855">
      <x:c r="A855" t="str">
        <x:v>PCC-PE-KG01-L22-20251023-PM-ORD-2025-00057-S11-C2</x:v>
      </x:c>
      <x:c r="B855" t="str">
        <x:v>PC-PE-KG01-L22-20251023-PM-ORD-2025-00057-S11</x:v>
      </x:c>
      <x:c r="C855" t="str">
        <x:v>PE-KG01-L22-20251023-PM-ORD-2025-00057</x:v>
      </x:c>
      <x:c r="D855" t="str">
        <x:v>KG01</x:v>
      </x:c>
      <x:c r="E855" s="62" t="n">
        <x:v>45953</x:v>
      </x:c>
      <x:c r="F855" t="str">
        <x:v>PM</x:v>
      </x:c>
      <x:c r="G855" t="str">
        <x:v>A</x:v>
      </x:c>
      <x:c r="H855" t="n">
        <x:v>22</x:v>
      </x:c>
      <x:c r="I855" t="str">
        <x:v>ORD-2025-00057</x:v>
      </x:c>
      <x:c r="J855" t="n">
        <x:v>11</x:v>
      </x:c>
      <x:c r="K855" t="n">
        <x:v>2</x:v>
      </x:c>
      <x:c r="L855" t="str">
        <x:v>L22-S11-C2</x:v>
      </x:c>
      <x:c r="M855" t="n">
        <x:v>0</x:v>
      </x:c>
      <x:c r="N855" t="str">
        <x:v>DerivedFromCount</x:v>
      </x:c>
      <x:c r="O855" t="str">
        <x:v>PLC-PRD-JAR-720-L22</x:v>
      </x:c>
      <x:c r="P855" t="str">
        <x:v>OK</x:v>
      </x:c>
      <x:c r="Q855" t="str">
        <x:v>OK</x:v>
      </x:c>
      <x:c r="R855" t="str">
        <x:v>OK</x:v>
      </x:c>
      <x:c r="S855" t="str">
        <x:v>OK</x:v>
      </x:c>
      <x:c r="T855" t="n">
        <x:v>20</x:v>
      </x:c>
      <x:c r="U855" t="str">
        <x:v>OK</x:v>
      </x:c>
      <x:c r="V855" t="str">
        <x:v>OK</x:v>
      </x:c>
      <x:c r="W855" t="str">
        <x:v>LOAD</x:v>
      </x:c>
      <x:c r="X855" t="str">
        <x:v>02_Supervisor_Log(4).xlsx</x:v>
      </x:c>
      <x:c r="Y855" t="str">
        <x:v>ENH-20260830-01</x:v>
      </x:c>
      <x:c r="Z855" t="str">
        <x:v>Active</x:v>
      </x:c>
      <x:c r="AA855"/>
      <x:c r="AB855"/>
      <x:c r="AC855"/>
      <x:c r="AD855"/>
    </x:row>
    <x:row r="856">
      <x:c r="A856" t="str">
        <x:v>PCC-PE-KG01-L22-20251023-PM-ORD-2025-00057-S11-C3</x:v>
      </x:c>
      <x:c r="B856" t="str">
        <x:v>PC-PE-KG01-L22-20251023-PM-ORD-2025-00057-S11</x:v>
      </x:c>
      <x:c r="C856" t="str">
        <x:v>PE-KG01-L22-20251023-PM-ORD-2025-00057</x:v>
      </x:c>
      <x:c r="D856" t="str">
        <x:v>KG01</x:v>
      </x:c>
      <x:c r="E856" s="62" t="n">
        <x:v>45953</x:v>
      </x:c>
      <x:c r="F856" t="str">
        <x:v>PM</x:v>
      </x:c>
      <x:c r="G856" t="str">
        <x:v>A</x:v>
      </x:c>
      <x:c r="H856" t="n">
        <x:v>22</x:v>
      </x:c>
      <x:c r="I856" t="str">
        <x:v>ORD-2025-00057</x:v>
      </x:c>
      <x:c r="J856" t="n">
        <x:v>11</x:v>
      </x:c>
      <x:c r="K856" t="n">
        <x:v>3</x:v>
      </x:c>
      <x:c r="L856" t="str">
        <x:v>L22-S11-C3</x:v>
      </x:c>
      <x:c r="M856" t="n">
        <x:v>0</x:v>
      </x:c>
      <x:c r="N856" t="str">
        <x:v>DerivedFromCount</x:v>
      </x:c>
      <x:c r="O856" t="str">
        <x:v>PLC-PRD-JAR-720-L22</x:v>
      </x:c>
      <x:c r="P856" t="str">
        <x:v>OK</x:v>
      </x:c>
      <x:c r="Q856" t="str">
        <x:v>OK</x:v>
      </x:c>
      <x:c r="R856" t="str">
        <x:v>OK</x:v>
      </x:c>
      <x:c r="S856" t="str">
        <x:v>OK</x:v>
      </x:c>
      <x:c r="T856" t="n">
        <x:v>20</x:v>
      </x:c>
      <x:c r="U856" t="str">
        <x:v>OK</x:v>
      </x:c>
      <x:c r="V856" t="str">
        <x:v>OK</x:v>
      </x:c>
      <x:c r="W856" t="str">
        <x:v>LOAD</x:v>
      </x:c>
      <x:c r="X856" t="str">
        <x:v>02_Supervisor_Log(4).xlsx</x:v>
      </x:c>
      <x:c r="Y856" t="str">
        <x:v>ENH-20260830-01</x:v>
      </x:c>
      <x:c r="Z856" t="str">
        <x:v>Active</x:v>
      </x:c>
      <x:c r="AA856"/>
      <x:c r="AB856"/>
      <x:c r="AC856"/>
      <x:c r="AD856"/>
    </x:row>
    <x:row r="857">
      <x:c r="A857" t="str">
        <x:v>PCC-PE-KG01-L22-20251023-PM-ORD-2025-00057-S12-C1</x:v>
      </x:c>
      <x:c r="B857" t="str">
        <x:v>PC-PE-KG01-L22-20251023-PM-ORD-2025-00057-S12</x:v>
      </x:c>
      <x:c r="C857" t="str">
        <x:v>PE-KG01-L22-20251023-PM-ORD-2025-00057</x:v>
      </x:c>
      <x:c r="D857" t="str">
        <x:v>KG01</x:v>
      </x:c>
      <x:c r="E857" s="62" t="n">
        <x:v>45953</x:v>
      </x:c>
      <x:c r="F857" t="str">
        <x:v>PM</x:v>
      </x:c>
      <x:c r="G857" t="str">
        <x:v>A</x:v>
      </x:c>
      <x:c r="H857" t="n">
        <x:v>22</x:v>
      </x:c>
      <x:c r="I857" t="str">
        <x:v>ORD-2025-00057</x:v>
      </x:c>
      <x:c r="J857" t="n">
        <x:v>12</x:v>
      </x:c>
      <x:c r="K857" t="n">
        <x:v>1</x:v>
      </x:c>
      <x:c r="L857" t="str">
        <x:v>L22-S12-C1</x:v>
      </x:c>
      <x:c r="M857" t="n">
        <x:v>0</x:v>
      </x:c>
      <x:c r="N857" t="str">
        <x:v>DerivedFromCount</x:v>
      </x:c>
      <x:c r="O857" t="str">
        <x:v>PLC-PRD-JAR-720-L22</x:v>
      </x:c>
      <x:c r="P857" t="str">
        <x:v>OK</x:v>
      </x:c>
      <x:c r="Q857" t="str">
        <x:v>OK</x:v>
      </x:c>
      <x:c r="R857" t="str">
        <x:v>OK</x:v>
      </x:c>
      <x:c r="S857" t="str">
        <x:v>OK</x:v>
      </x:c>
      <x:c r="T857" t="n">
        <x:v>20</x:v>
      </x:c>
      <x:c r="U857" t="str">
        <x:v>OK</x:v>
      </x:c>
      <x:c r="V857" t="str">
        <x:v>OK</x:v>
      </x:c>
      <x:c r="W857" t="str">
        <x:v>LOAD</x:v>
      </x:c>
      <x:c r="X857" t="str">
        <x:v>02_Supervisor_Log(4).xlsx</x:v>
      </x:c>
      <x:c r="Y857" t="str">
        <x:v>ENH-20260830-01</x:v>
      </x:c>
      <x:c r="Z857" t="str">
        <x:v>Active</x:v>
      </x:c>
      <x:c r="AA857"/>
      <x:c r="AB857"/>
      <x:c r="AC857"/>
      <x:c r="AD857"/>
    </x:row>
    <x:row r="858">
      <x:c r="A858" t="str">
        <x:v>PCC-PE-KG01-L22-20251023-PM-ORD-2025-00057-S12-C2</x:v>
      </x:c>
      <x:c r="B858" t="str">
        <x:v>PC-PE-KG01-L22-20251023-PM-ORD-2025-00057-S12</x:v>
      </x:c>
      <x:c r="C858" t="str">
        <x:v>PE-KG01-L22-20251023-PM-ORD-2025-00057</x:v>
      </x:c>
      <x:c r="D858" t="str">
        <x:v>KG01</x:v>
      </x:c>
      <x:c r="E858" s="62" t="n">
        <x:v>45953</x:v>
      </x:c>
      <x:c r="F858" t="str">
        <x:v>PM</x:v>
      </x:c>
      <x:c r="G858" t="str">
        <x:v>A</x:v>
      </x:c>
      <x:c r="H858" t="n">
        <x:v>22</x:v>
      </x:c>
      <x:c r="I858" t="str">
        <x:v>ORD-2025-00057</x:v>
      </x:c>
      <x:c r="J858" t="n">
        <x:v>12</x:v>
      </x:c>
      <x:c r="K858" t="n">
        <x:v>2</x:v>
      </x:c>
      <x:c r="L858" t="str">
        <x:v>L22-S12-C2</x:v>
      </x:c>
      <x:c r="M858" t="n">
        <x:v>0</x:v>
      </x:c>
      <x:c r="N858" t="str">
        <x:v>DerivedFromCount</x:v>
      </x:c>
      <x:c r="O858" t="str">
        <x:v>PLC-PRD-JAR-720-L22</x:v>
      </x:c>
      <x:c r="P858" t="str">
        <x:v>OK</x:v>
      </x:c>
      <x:c r="Q858" t="str">
        <x:v>OK</x:v>
      </x:c>
      <x:c r="R858" t="str">
        <x:v>OK</x:v>
      </x:c>
      <x:c r="S858" t="str">
        <x:v>OK</x:v>
      </x:c>
      <x:c r="T858" t="n">
        <x:v>20</x:v>
      </x:c>
      <x:c r="U858" t="str">
        <x:v>OK</x:v>
      </x:c>
      <x:c r="V858" t="str">
        <x:v>OK</x:v>
      </x:c>
      <x:c r="W858" t="str">
        <x:v>LOAD</x:v>
      </x:c>
      <x:c r="X858" t="str">
        <x:v>02_Supervisor_Log(4).xlsx</x:v>
      </x:c>
      <x:c r="Y858" t="str">
        <x:v>ENH-20260830-01</x:v>
      </x:c>
      <x:c r="Z858" t="str">
        <x:v>Active</x:v>
      </x:c>
      <x:c r="AA858"/>
      <x:c r="AB858"/>
      <x:c r="AC858"/>
      <x:c r="AD858"/>
    </x:row>
    <x:row r="859">
      <x:c r="A859" t="str">
        <x:v>PCC-PE-KG01-L22-20251023-PM-ORD-2025-00057-S12-C3</x:v>
      </x:c>
      <x:c r="B859" t="str">
        <x:v>PC-PE-KG01-L22-20251023-PM-ORD-2025-00057-S12</x:v>
      </x:c>
      <x:c r="C859" t="str">
        <x:v>PE-KG01-L22-20251023-PM-ORD-2025-00057</x:v>
      </x:c>
      <x:c r="D859" t="str">
        <x:v>KG01</x:v>
      </x:c>
      <x:c r="E859" s="62" t="n">
        <x:v>45953</x:v>
      </x:c>
      <x:c r="F859" t="str">
        <x:v>PM</x:v>
      </x:c>
      <x:c r="G859" t="str">
        <x:v>A</x:v>
      </x:c>
      <x:c r="H859" t="n">
        <x:v>22</x:v>
      </x:c>
      <x:c r="I859" t="str">
        <x:v>ORD-2025-00057</x:v>
      </x:c>
      <x:c r="J859" t="n">
        <x:v>12</x:v>
      </x:c>
      <x:c r="K859" t="n">
        <x:v>3</x:v>
      </x:c>
      <x:c r="L859" t="str">
        <x:v>L22-S12-C3</x:v>
      </x:c>
      <x:c r="M859" t="n">
        <x:v>0</x:v>
      </x:c>
      <x:c r="N859" t="str">
        <x:v>DerivedFromCount</x:v>
      </x:c>
      <x:c r="O859" t="str">
        <x:v>PLC-PRD-JAR-720-L22</x:v>
      </x:c>
      <x:c r="P859" t="str">
        <x:v>OK</x:v>
      </x:c>
      <x:c r="Q859" t="str">
        <x:v>OK</x:v>
      </x:c>
      <x:c r="R859" t="str">
        <x:v>OK</x:v>
      </x:c>
      <x:c r="S859" t="str">
        <x:v>OK</x:v>
      </x:c>
      <x:c r="T859" t="n">
        <x:v>20</x:v>
      </x:c>
      <x:c r="U859" t="str">
        <x:v>OK</x:v>
      </x:c>
      <x:c r="V859" t="str">
        <x:v>OK</x:v>
      </x:c>
      <x:c r="W859" t="str">
        <x:v>LOAD</x:v>
      </x:c>
      <x:c r="X859" t="str">
        <x:v>02_Supervisor_Log(4).xlsx</x:v>
      </x:c>
      <x:c r="Y859" t="str">
        <x:v>ENH-20260830-01</x:v>
      </x:c>
      <x:c r="Z859" t="str">
        <x:v>Active</x:v>
      </x:c>
      <x:c r="AA859"/>
      <x:c r="AB859"/>
      <x:c r="AC859"/>
      <x:c r="AD859"/>
    </x:row>
    <x:row r="860">
      <x:c r="A860" t="str">
        <x:v>PCC-PE-KG01-L22-20251023-PM-ORD-2025-00057-S13-C1</x:v>
      </x:c>
      <x:c r="B860" t="str">
        <x:v>PC-PE-KG01-L22-20251023-PM-ORD-2025-00057-S13</x:v>
      </x:c>
      <x:c r="C860" t="str">
        <x:v>PE-KG01-L22-20251023-PM-ORD-2025-00057</x:v>
      </x:c>
      <x:c r="D860" t="str">
        <x:v>KG01</x:v>
      </x:c>
      <x:c r="E860" s="62" t="n">
        <x:v>45953</x:v>
      </x:c>
      <x:c r="F860" t="str">
        <x:v>PM</x:v>
      </x:c>
      <x:c r="G860" t="str">
        <x:v>A</x:v>
      </x:c>
      <x:c r="H860" t="n">
        <x:v>22</x:v>
      </x:c>
      <x:c r="I860" t="str">
        <x:v>ORD-2025-00057</x:v>
      </x:c>
      <x:c r="J860" t="n">
        <x:v>13</x:v>
      </x:c>
      <x:c r="K860" t="n">
        <x:v>1</x:v>
      </x:c>
      <x:c r="L860" t="str">
        <x:v>L22-S13-C1</x:v>
      </x:c>
      <x:c r="M860" t="n">
        <x:v>0</x:v>
      </x:c>
      <x:c r="N860" t="str">
        <x:v>DerivedFromCount</x:v>
      </x:c>
      <x:c r="O860" t="str">
        <x:v>PLC-PRD-JAR-720-L22</x:v>
      </x:c>
      <x:c r="P860" t="str">
        <x:v>OK</x:v>
      </x:c>
      <x:c r="Q860" t="str">
        <x:v>OK</x:v>
      </x:c>
      <x:c r="R860" t="str">
        <x:v>OK</x:v>
      </x:c>
      <x:c r="S860" t="str">
        <x:v>OK</x:v>
      </x:c>
      <x:c r="T860" t="n">
        <x:v>20</x:v>
      </x:c>
      <x:c r="U860" t="str">
        <x:v>OK</x:v>
      </x:c>
      <x:c r="V860" t="str">
        <x:v>OK</x:v>
      </x:c>
      <x:c r="W860" t="str">
        <x:v>LOAD</x:v>
      </x:c>
      <x:c r="X860" t="str">
        <x:v>02_Supervisor_Log(4).xlsx</x:v>
      </x:c>
      <x:c r="Y860" t="str">
        <x:v>ENH-20260830-01</x:v>
      </x:c>
      <x:c r="Z860" t="str">
        <x:v>Active</x:v>
      </x:c>
      <x:c r="AA860"/>
      <x:c r="AB860"/>
      <x:c r="AC860"/>
      <x:c r="AD860"/>
    </x:row>
    <x:row r="861">
      <x:c r="A861" t="str">
        <x:v>PCC-PE-KG01-L22-20251023-PM-ORD-2025-00057-S13-C2</x:v>
      </x:c>
      <x:c r="B861" t="str">
        <x:v>PC-PE-KG01-L22-20251023-PM-ORD-2025-00057-S13</x:v>
      </x:c>
      <x:c r="C861" t="str">
        <x:v>PE-KG01-L22-20251023-PM-ORD-2025-00057</x:v>
      </x:c>
      <x:c r="D861" t="str">
        <x:v>KG01</x:v>
      </x:c>
      <x:c r="E861" s="62" t="n">
        <x:v>45953</x:v>
      </x:c>
      <x:c r="F861" t="str">
        <x:v>PM</x:v>
      </x:c>
      <x:c r="G861" t="str">
        <x:v>A</x:v>
      </x:c>
      <x:c r="H861" t="n">
        <x:v>22</x:v>
      </x:c>
      <x:c r="I861" t="str">
        <x:v>ORD-2025-00057</x:v>
      </x:c>
      <x:c r="J861" t="n">
        <x:v>13</x:v>
      </x:c>
      <x:c r="K861" t="n">
        <x:v>2</x:v>
      </x:c>
      <x:c r="L861" t="str">
        <x:v>L22-S13-C2</x:v>
      </x:c>
      <x:c r="M861" t="n">
        <x:v>0</x:v>
      </x:c>
      <x:c r="N861" t="str">
        <x:v>DerivedFromCount</x:v>
      </x:c>
      <x:c r="O861" t="str">
        <x:v>PLC-PRD-JAR-720-L22</x:v>
      </x:c>
      <x:c r="P861" t="str">
        <x:v>OK</x:v>
      </x:c>
      <x:c r="Q861" t="str">
        <x:v>OK</x:v>
      </x:c>
      <x:c r="R861" t="str">
        <x:v>OK</x:v>
      </x:c>
      <x:c r="S861" t="str">
        <x:v>OK</x:v>
      </x:c>
      <x:c r="T861" t="n">
        <x:v>20</x:v>
      </x:c>
      <x:c r="U861" t="str">
        <x:v>OK</x:v>
      </x:c>
      <x:c r="V861" t="str">
        <x:v>OK</x:v>
      </x:c>
      <x:c r="W861" t="str">
        <x:v>LOAD</x:v>
      </x:c>
      <x:c r="X861" t="str">
        <x:v>02_Supervisor_Log(4).xlsx</x:v>
      </x:c>
      <x:c r="Y861" t="str">
        <x:v>ENH-20260830-01</x:v>
      </x:c>
      <x:c r="Z861" t="str">
        <x:v>Active</x:v>
      </x:c>
      <x:c r="AA861"/>
      <x:c r="AB861"/>
      <x:c r="AC861"/>
      <x:c r="AD861"/>
    </x:row>
    <x:row r="862">
      <x:c r="A862" t="str">
        <x:v>PCC-PE-KG01-L22-20251023-PM-ORD-2025-00057-S13-C3</x:v>
      </x:c>
      <x:c r="B862" t="str">
        <x:v>PC-PE-KG01-L22-20251023-PM-ORD-2025-00057-S13</x:v>
      </x:c>
      <x:c r="C862" t="str">
        <x:v>PE-KG01-L22-20251023-PM-ORD-2025-00057</x:v>
      </x:c>
      <x:c r="D862" t="str">
        <x:v>KG01</x:v>
      </x:c>
      <x:c r="E862" s="62" t="n">
        <x:v>45953</x:v>
      </x:c>
      <x:c r="F862" t="str">
        <x:v>PM</x:v>
      </x:c>
      <x:c r="G862" t="str">
        <x:v>A</x:v>
      </x:c>
      <x:c r="H862" t="n">
        <x:v>22</x:v>
      </x:c>
      <x:c r="I862" t="str">
        <x:v>ORD-2025-00057</x:v>
      </x:c>
      <x:c r="J862" t="n">
        <x:v>13</x:v>
      </x:c>
      <x:c r="K862" t="n">
        <x:v>3</x:v>
      </x:c>
      <x:c r="L862" t="str">
        <x:v>L22-S13-C3</x:v>
      </x:c>
      <x:c r="M862" t="n">
        <x:v>0</x:v>
      </x:c>
      <x:c r="N862" t="str">
        <x:v>DerivedFromCount</x:v>
      </x:c>
      <x:c r="O862" t="str">
        <x:v>PLC-PRD-JAR-720-L22</x:v>
      </x:c>
      <x:c r="P862" t="str">
        <x:v>OK</x:v>
      </x:c>
      <x:c r="Q862" t="str">
        <x:v>OK</x:v>
      </x:c>
      <x:c r="R862" t="str">
        <x:v>OK</x:v>
      </x:c>
      <x:c r="S862" t="str">
        <x:v>OK</x:v>
      </x:c>
      <x:c r="T862" t="n">
        <x:v>20</x:v>
      </x:c>
      <x:c r="U862" t="str">
        <x:v>OK</x:v>
      </x:c>
      <x:c r="V862" t="str">
        <x:v>OK</x:v>
      </x:c>
      <x:c r="W862" t="str">
        <x:v>LOAD</x:v>
      </x:c>
      <x:c r="X862" t="str">
        <x:v>02_Supervisor_Log(4).xlsx</x:v>
      </x:c>
      <x:c r="Y862" t="str">
        <x:v>ENH-20260830-01</x:v>
      </x:c>
      <x:c r="Z862" t="str">
        <x:v>Active</x:v>
      </x:c>
      <x:c r="AA862"/>
      <x:c r="AB862"/>
      <x:c r="AC862"/>
      <x:c r="AD862"/>
    </x:row>
    <x:row r="863">
      <x:c r="A863" t="str">
        <x:v>PCC-PE-KG01-L22-20251024-AM-ORD-2025-00057-S01-C1</x:v>
      </x:c>
      <x:c r="B863" t="str">
        <x:v>PC-PE-KG01-L22-20251024-AM-ORD-2025-00057-S01</x:v>
      </x:c>
      <x:c r="C863" t="str">
        <x:v>PE-KG01-L22-20251024-AM-ORD-2025-00057</x:v>
      </x:c>
      <x:c r="D863" t="str">
        <x:v>KG01</x:v>
      </x:c>
      <x:c r="E863" s="62" t="n">
        <x:v>45954</x:v>
      </x:c>
      <x:c r="F863" t="str">
        <x:v>AM</x:v>
      </x:c>
      <x:c r="G863" t="str">
        <x:v>A</x:v>
      </x:c>
      <x:c r="H863" t="n">
        <x:v>22</x:v>
      </x:c>
      <x:c r="I863" t="str">
        <x:v>ORD-2025-00057</x:v>
      </x:c>
      <x:c r="J863" t="n">
        <x:v>1</x:v>
      </x:c>
      <x:c r="K863" t="n">
        <x:v>1</x:v>
      </x:c>
      <x:c r="L863" t="str">
        <x:v>L22-S01-C1</x:v>
      </x:c>
      <x:c r="M863" t="n">
        <x:v>1</x:v>
      </x:c>
      <x:c r="N863" t="str">
        <x:v>DerivedFromCount</x:v>
      </x:c>
      <x:c r="O863" t="str">
        <x:v>PLC-PRD-JAR-720-L22</x:v>
      </x:c>
      <x:c r="P863" t="str">
        <x:v>OK</x:v>
      </x:c>
      <x:c r="Q863" t="str">
        <x:v>OK</x:v>
      </x:c>
      <x:c r="R863" t="str">
        <x:v>OK</x:v>
      </x:c>
      <x:c r="S863" t="str">
        <x:v>OK</x:v>
      </x:c>
      <x:c r="T863" t="n">
        <x:v>20</x:v>
      </x:c>
      <x:c r="U863" t="str">
        <x:v>OK</x:v>
      </x:c>
      <x:c r="V863" t="str">
        <x:v>OK</x:v>
      </x:c>
      <x:c r="W863" t="str">
        <x:v>LOAD</x:v>
      </x:c>
      <x:c r="X863" t="str">
        <x:v>02_Supervisor_Log(4).xlsx</x:v>
      </x:c>
      <x:c r="Y863" t="str">
        <x:v>ENH-20260830-01</x:v>
      </x:c>
      <x:c r="Z863" t="str">
        <x:v>Active</x:v>
      </x:c>
      <x:c r="AA863"/>
      <x:c r="AB863"/>
      <x:c r="AC863"/>
      <x:c r="AD863"/>
    </x:row>
    <x:row r="864">
      <x:c r="A864" t="str">
        <x:v>PCC-PE-KG01-L22-20251024-AM-ORD-2025-00057-S01-C2</x:v>
      </x:c>
      <x:c r="B864" t="str">
        <x:v>PC-PE-KG01-L22-20251024-AM-ORD-2025-00057-S01</x:v>
      </x:c>
      <x:c r="C864" t="str">
        <x:v>PE-KG01-L22-20251024-AM-ORD-2025-00057</x:v>
      </x:c>
      <x:c r="D864" t="str">
        <x:v>KG01</x:v>
      </x:c>
      <x:c r="E864" s="62" t="n">
        <x:v>45954</x:v>
      </x:c>
      <x:c r="F864" t="str">
        <x:v>AM</x:v>
      </x:c>
      <x:c r="G864" t="str">
        <x:v>A</x:v>
      </x:c>
      <x:c r="H864" t="n">
        <x:v>22</x:v>
      </x:c>
      <x:c r="I864" t="str">
        <x:v>ORD-2025-00057</x:v>
      </x:c>
      <x:c r="J864" t="n">
        <x:v>1</x:v>
      </x:c>
      <x:c r="K864" t="n">
        <x:v>2</x:v>
      </x:c>
      <x:c r="L864" t="str">
        <x:v>L22-S01-C2</x:v>
      </x:c>
      <x:c r="M864" t="n">
        <x:v>1</x:v>
      </x:c>
      <x:c r="N864" t="str">
        <x:v>DerivedFromCount</x:v>
      </x:c>
      <x:c r="O864" t="str">
        <x:v>PLC-PRD-JAR-720-L22</x:v>
      </x:c>
      <x:c r="P864" t="str">
        <x:v>OK</x:v>
      </x:c>
      <x:c r="Q864" t="str">
        <x:v>OK</x:v>
      </x:c>
      <x:c r="R864" t="str">
        <x:v>OK</x:v>
      </x:c>
      <x:c r="S864" t="str">
        <x:v>OK</x:v>
      </x:c>
      <x:c r="T864" t="n">
        <x:v>20</x:v>
      </x:c>
      <x:c r="U864" t="str">
        <x:v>OK</x:v>
      </x:c>
      <x:c r="V864" t="str">
        <x:v>OK</x:v>
      </x:c>
      <x:c r="W864" t="str">
        <x:v>LOAD</x:v>
      </x:c>
      <x:c r="X864" t="str">
        <x:v>02_Supervisor_Log(4).xlsx</x:v>
      </x:c>
      <x:c r="Y864" t="str">
        <x:v>ENH-20260830-01</x:v>
      </x:c>
      <x:c r="Z864" t="str">
        <x:v>Active</x:v>
      </x:c>
      <x:c r="AA864"/>
      <x:c r="AB864"/>
      <x:c r="AC864"/>
      <x:c r="AD864"/>
    </x:row>
    <x:row r="865">
      <x:c r="A865" t="str">
        <x:v>PCC-PE-KG01-L22-20251024-AM-ORD-2025-00057-S01-C3</x:v>
      </x:c>
      <x:c r="B865" t="str">
        <x:v>PC-PE-KG01-L22-20251024-AM-ORD-2025-00057-S01</x:v>
      </x:c>
      <x:c r="C865" t="str">
        <x:v>PE-KG01-L22-20251024-AM-ORD-2025-00057</x:v>
      </x:c>
      <x:c r="D865" t="str">
        <x:v>KG01</x:v>
      </x:c>
      <x:c r="E865" s="62" t="n">
        <x:v>45954</x:v>
      </x:c>
      <x:c r="F865" t="str">
        <x:v>AM</x:v>
      </x:c>
      <x:c r="G865" t="str">
        <x:v>A</x:v>
      </x:c>
      <x:c r="H865" t="n">
        <x:v>22</x:v>
      </x:c>
      <x:c r="I865" t="str">
        <x:v>ORD-2025-00057</x:v>
      </x:c>
      <x:c r="J865" t="n">
        <x:v>1</x:v>
      </x:c>
      <x:c r="K865" t="n">
        <x:v>3</x:v>
      </x:c>
      <x:c r="L865" t="str">
        <x:v>L22-S01-C3</x:v>
      </x:c>
      <x:c r="M865" t="n">
        <x:v>0</x:v>
      </x:c>
      <x:c r="N865" t="str">
        <x:v>DerivedFromCount</x:v>
      </x:c>
      <x:c r="O865" t="str">
        <x:v>PLC-PRD-JAR-720-L22</x:v>
      </x:c>
      <x:c r="P865" t="str">
        <x:v>OK</x:v>
      </x:c>
      <x:c r="Q865" t="str">
        <x:v>OK</x:v>
      </x:c>
      <x:c r="R865" t="str">
        <x:v>OK</x:v>
      </x:c>
      <x:c r="S865" t="str">
        <x:v>OK</x:v>
      </x:c>
      <x:c r="T865" t="n">
        <x:v>20</x:v>
      </x:c>
      <x:c r="U865" t="str">
        <x:v>OK</x:v>
      </x:c>
      <x:c r="V865" t="str">
        <x:v>OK</x:v>
      </x:c>
      <x:c r="W865" t="str">
        <x:v>LOAD</x:v>
      </x:c>
      <x:c r="X865" t="str">
        <x:v>02_Supervisor_Log(4).xlsx</x:v>
      </x:c>
      <x:c r="Y865" t="str">
        <x:v>ENH-20260830-01</x:v>
      </x:c>
      <x:c r="Z865" t="str">
        <x:v>Active</x:v>
      </x:c>
      <x:c r="AA865"/>
      <x:c r="AB865"/>
      <x:c r="AC865"/>
      <x:c r="AD865"/>
    </x:row>
    <x:row r="866">
      <x:c r="A866" t="str">
        <x:v>PCC-PE-KG01-L22-20251024-AM-ORD-2025-00057-S02-C1</x:v>
      </x:c>
      <x:c r="B866" t="str">
        <x:v>PC-PE-KG01-L22-20251024-AM-ORD-2025-00057-S02</x:v>
      </x:c>
      <x:c r="C866" t="str">
        <x:v>PE-KG01-L22-20251024-AM-ORD-2025-00057</x:v>
      </x:c>
      <x:c r="D866" t="str">
        <x:v>KG01</x:v>
      </x:c>
      <x:c r="E866" s="62" t="n">
        <x:v>45954</x:v>
      </x:c>
      <x:c r="F866" t="str">
        <x:v>AM</x:v>
      </x:c>
      <x:c r="G866" t="str">
        <x:v>A</x:v>
      </x:c>
      <x:c r="H866" t="n">
        <x:v>22</x:v>
      </x:c>
      <x:c r="I866" t="str">
        <x:v>ORD-2025-00057</x:v>
      </x:c>
      <x:c r="J866" t="n">
        <x:v>2</x:v>
      </x:c>
      <x:c r="K866" t="n">
        <x:v>1</x:v>
      </x:c>
      <x:c r="L866" t="str">
        <x:v>L22-S02-C1</x:v>
      </x:c>
      <x:c r="M866" t="n">
        <x:v>1</x:v>
      </x:c>
      <x:c r="N866" t="str">
        <x:v>DerivedFromCount</x:v>
      </x:c>
      <x:c r="O866" t="str">
        <x:v>PLC-PRD-JAR-720-L22</x:v>
      </x:c>
      <x:c r="P866" t="str">
        <x:v>OK</x:v>
      </x:c>
      <x:c r="Q866" t="str">
        <x:v>OK</x:v>
      </x:c>
      <x:c r="R866" t="str">
        <x:v>OK</x:v>
      </x:c>
      <x:c r="S866" t="str">
        <x:v>OK</x:v>
      </x:c>
      <x:c r="T866" t="n">
        <x:v>20</x:v>
      </x:c>
      <x:c r="U866" t="str">
        <x:v>OK</x:v>
      </x:c>
      <x:c r="V866" t="str">
        <x:v>OK</x:v>
      </x:c>
      <x:c r="W866" t="str">
        <x:v>LOAD</x:v>
      </x:c>
      <x:c r="X866" t="str">
        <x:v>02_Supervisor_Log(4).xlsx</x:v>
      </x:c>
      <x:c r="Y866" t="str">
        <x:v>ENH-20260830-01</x:v>
      </x:c>
      <x:c r="Z866" t="str">
        <x:v>Active</x:v>
      </x:c>
      <x:c r="AA866"/>
      <x:c r="AB866"/>
      <x:c r="AC866"/>
      <x:c r="AD866"/>
    </x:row>
    <x:row r="867">
      <x:c r="A867" t="str">
        <x:v>PCC-PE-KG01-L22-20251024-AM-ORD-2025-00057-S02-C2</x:v>
      </x:c>
      <x:c r="B867" t="str">
        <x:v>PC-PE-KG01-L22-20251024-AM-ORD-2025-00057-S02</x:v>
      </x:c>
      <x:c r="C867" t="str">
        <x:v>PE-KG01-L22-20251024-AM-ORD-2025-00057</x:v>
      </x:c>
      <x:c r="D867" t="str">
        <x:v>KG01</x:v>
      </x:c>
      <x:c r="E867" s="62" t="n">
        <x:v>45954</x:v>
      </x:c>
      <x:c r="F867" t="str">
        <x:v>AM</x:v>
      </x:c>
      <x:c r="G867" t="str">
        <x:v>A</x:v>
      </x:c>
      <x:c r="H867" t="n">
        <x:v>22</x:v>
      </x:c>
      <x:c r="I867" t="str">
        <x:v>ORD-2025-00057</x:v>
      </x:c>
      <x:c r="J867" t="n">
        <x:v>2</x:v>
      </x:c>
      <x:c r="K867" t="n">
        <x:v>2</x:v>
      </x:c>
      <x:c r="L867" t="str">
        <x:v>L22-S02-C2</x:v>
      </x:c>
      <x:c r="M867" t="n">
        <x:v>1</x:v>
      </x:c>
      <x:c r="N867" t="str">
        <x:v>DerivedFromCount</x:v>
      </x:c>
      <x:c r="O867" t="str">
        <x:v>PLC-PRD-JAR-720-L22</x:v>
      </x:c>
      <x:c r="P867" t="str">
        <x:v>OK</x:v>
      </x:c>
      <x:c r="Q867" t="str">
        <x:v>OK</x:v>
      </x:c>
      <x:c r="R867" t="str">
        <x:v>OK</x:v>
      </x:c>
      <x:c r="S867" t="str">
        <x:v>OK</x:v>
      </x:c>
      <x:c r="T867" t="n">
        <x:v>20</x:v>
      </x:c>
      <x:c r="U867" t="str">
        <x:v>OK</x:v>
      </x:c>
      <x:c r="V867" t="str">
        <x:v>OK</x:v>
      </x:c>
      <x:c r="W867" t="str">
        <x:v>LOAD</x:v>
      </x:c>
      <x:c r="X867" t="str">
        <x:v>02_Supervisor_Log(4).xlsx</x:v>
      </x:c>
      <x:c r="Y867" t="str">
        <x:v>ENH-20260830-01</x:v>
      </x:c>
      <x:c r="Z867" t="str">
        <x:v>Active</x:v>
      </x:c>
      <x:c r="AA867"/>
      <x:c r="AB867"/>
      <x:c r="AC867"/>
      <x:c r="AD867"/>
    </x:row>
    <x:row r="868">
      <x:c r="A868" t="str">
        <x:v>PCC-PE-KG01-L22-20251024-AM-ORD-2025-00057-S02-C3</x:v>
      </x:c>
      <x:c r="B868" t="str">
        <x:v>PC-PE-KG01-L22-20251024-AM-ORD-2025-00057-S02</x:v>
      </x:c>
      <x:c r="C868" t="str">
        <x:v>PE-KG01-L22-20251024-AM-ORD-2025-00057</x:v>
      </x:c>
      <x:c r="D868" t="str">
        <x:v>KG01</x:v>
      </x:c>
      <x:c r="E868" s="62" t="n">
        <x:v>45954</x:v>
      </x:c>
      <x:c r="F868" t="str">
        <x:v>AM</x:v>
      </x:c>
      <x:c r="G868" t="str">
        <x:v>A</x:v>
      </x:c>
      <x:c r="H868" t="n">
        <x:v>22</x:v>
      </x:c>
      <x:c r="I868" t="str">
        <x:v>ORD-2025-00057</x:v>
      </x:c>
      <x:c r="J868" t="n">
        <x:v>2</x:v>
      </x:c>
      <x:c r="K868" t="n">
        <x:v>3</x:v>
      </x:c>
      <x:c r="L868" t="str">
        <x:v>L22-S02-C3</x:v>
      </x:c>
      <x:c r="M868" t="n">
        <x:v>0</x:v>
      </x:c>
      <x:c r="N868" t="str">
        <x:v>DerivedFromCount</x:v>
      </x:c>
      <x:c r="O868" t="str">
        <x:v>PLC-PRD-JAR-720-L22</x:v>
      </x:c>
      <x:c r="P868" t="str">
        <x:v>OK</x:v>
      </x:c>
      <x:c r="Q868" t="str">
        <x:v>OK</x:v>
      </x:c>
      <x:c r="R868" t="str">
        <x:v>OK</x:v>
      </x:c>
      <x:c r="S868" t="str">
        <x:v>OK</x:v>
      </x:c>
      <x:c r="T868" t="n">
        <x:v>20</x:v>
      </x:c>
      <x:c r="U868" t="str">
        <x:v>OK</x:v>
      </x:c>
      <x:c r="V868" t="str">
        <x:v>OK</x:v>
      </x:c>
      <x:c r="W868" t="str">
        <x:v>LOAD</x:v>
      </x:c>
      <x:c r="X868" t="str">
        <x:v>02_Supervisor_Log(4).xlsx</x:v>
      </x:c>
      <x:c r="Y868" t="str">
        <x:v>ENH-20260830-01</x:v>
      </x:c>
      <x:c r="Z868" t="str">
        <x:v>Active</x:v>
      </x:c>
      <x:c r="AA868"/>
      <x:c r="AB868"/>
      <x:c r="AC868"/>
      <x:c r="AD868"/>
    </x:row>
    <x:row r="869">
      <x:c r="A869" t="str">
        <x:v>PCC-PE-KG01-L22-20251024-AM-ORD-2025-00057-S03-C1</x:v>
      </x:c>
      <x:c r="B869" t="str">
        <x:v>PC-PE-KG01-L22-20251024-AM-ORD-2025-00057-S03</x:v>
      </x:c>
      <x:c r="C869" t="str">
        <x:v>PE-KG01-L22-20251024-AM-ORD-2025-00057</x:v>
      </x:c>
      <x:c r="D869" t="str">
        <x:v>KG01</x:v>
      </x:c>
      <x:c r="E869" s="62" t="n">
        <x:v>45954</x:v>
      </x:c>
      <x:c r="F869" t="str">
        <x:v>AM</x:v>
      </x:c>
      <x:c r="G869" t="str">
        <x:v>A</x:v>
      </x:c>
      <x:c r="H869" t="n">
        <x:v>22</x:v>
      </x:c>
      <x:c r="I869" t="str">
        <x:v>ORD-2025-00057</x:v>
      </x:c>
      <x:c r="J869" t="n">
        <x:v>3</x:v>
      </x:c>
      <x:c r="K869" t="n">
        <x:v>1</x:v>
      </x:c>
      <x:c r="L869" t="str">
        <x:v>L22-S03-C1</x:v>
      </x:c>
      <x:c r="M869" t="n">
        <x:v>1</x:v>
      </x:c>
      <x:c r="N869" t="str">
        <x:v>DerivedFromCount</x:v>
      </x:c>
      <x:c r="O869" t="str">
        <x:v>PLC-PRD-JAR-720-L22</x:v>
      </x:c>
      <x:c r="P869" t="str">
        <x:v>OK</x:v>
      </x:c>
      <x:c r="Q869" t="str">
        <x:v>OK</x:v>
      </x:c>
      <x:c r="R869" t="str">
        <x:v>OK</x:v>
      </x:c>
      <x:c r="S869" t="str">
        <x:v>OK</x:v>
      </x:c>
      <x:c r="T869" t="n">
        <x:v>20</x:v>
      </x:c>
      <x:c r="U869" t="str">
        <x:v>OK</x:v>
      </x:c>
      <x:c r="V869" t="str">
        <x:v>OK</x:v>
      </x:c>
      <x:c r="W869" t="str">
        <x:v>LOAD</x:v>
      </x:c>
      <x:c r="X869" t="str">
        <x:v>02_Supervisor_Log(4).xlsx</x:v>
      </x:c>
      <x:c r="Y869" t="str">
        <x:v>ENH-20260830-01</x:v>
      </x:c>
      <x:c r="Z869" t="str">
        <x:v>Active</x:v>
      </x:c>
      <x:c r="AA869"/>
      <x:c r="AB869"/>
      <x:c r="AC869"/>
      <x:c r="AD869"/>
    </x:row>
    <x:row r="870">
      <x:c r="A870" t="str">
        <x:v>PCC-PE-KG01-L22-20251024-AM-ORD-2025-00057-S03-C2</x:v>
      </x:c>
      <x:c r="B870" t="str">
        <x:v>PC-PE-KG01-L22-20251024-AM-ORD-2025-00057-S03</x:v>
      </x:c>
      <x:c r="C870" t="str">
        <x:v>PE-KG01-L22-20251024-AM-ORD-2025-00057</x:v>
      </x:c>
      <x:c r="D870" t="str">
        <x:v>KG01</x:v>
      </x:c>
      <x:c r="E870" s="62" t="n">
        <x:v>45954</x:v>
      </x:c>
      <x:c r="F870" t="str">
        <x:v>AM</x:v>
      </x:c>
      <x:c r="G870" t="str">
        <x:v>A</x:v>
      </x:c>
      <x:c r="H870" t="n">
        <x:v>22</x:v>
      </x:c>
      <x:c r="I870" t="str">
        <x:v>ORD-2025-00057</x:v>
      </x:c>
      <x:c r="J870" t="n">
        <x:v>3</x:v>
      </x:c>
      <x:c r="K870" t="n">
        <x:v>2</x:v>
      </x:c>
      <x:c r="L870" t="str">
        <x:v>L22-S03-C2</x:v>
      </x:c>
      <x:c r="M870" t="n">
        <x:v>1</x:v>
      </x:c>
      <x:c r="N870" t="str">
        <x:v>DerivedFromCount</x:v>
      </x:c>
      <x:c r="O870" t="str">
        <x:v>PLC-PRD-JAR-720-L22</x:v>
      </x:c>
      <x:c r="P870" t="str">
        <x:v>OK</x:v>
      </x:c>
      <x:c r="Q870" t="str">
        <x:v>OK</x:v>
      </x:c>
      <x:c r="R870" t="str">
        <x:v>OK</x:v>
      </x:c>
      <x:c r="S870" t="str">
        <x:v>OK</x:v>
      </x:c>
      <x:c r="T870" t="n">
        <x:v>20</x:v>
      </x:c>
      <x:c r="U870" t="str">
        <x:v>OK</x:v>
      </x:c>
      <x:c r="V870" t="str">
        <x:v>OK</x:v>
      </x:c>
      <x:c r="W870" t="str">
        <x:v>LOAD</x:v>
      </x:c>
      <x:c r="X870" t="str">
        <x:v>02_Supervisor_Log(4).xlsx</x:v>
      </x:c>
      <x:c r="Y870" t="str">
        <x:v>ENH-20260830-01</x:v>
      </x:c>
      <x:c r="Z870" t="str">
        <x:v>Active</x:v>
      </x:c>
      <x:c r="AA870"/>
      <x:c r="AB870"/>
      <x:c r="AC870"/>
      <x:c r="AD870"/>
    </x:row>
    <x:row r="871">
      <x:c r="A871" t="str">
        <x:v>PCC-PE-KG01-L22-20251024-AM-ORD-2025-00057-S03-C3</x:v>
      </x:c>
      <x:c r="B871" t="str">
        <x:v>PC-PE-KG01-L22-20251024-AM-ORD-2025-00057-S03</x:v>
      </x:c>
      <x:c r="C871" t="str">
        <x:v>PE-KG01-L22-20251024-AM-ORD-2025-00057</x:v>
      </x:c>
      <x:c r="D871" t="str">
        <x:v>KG01</x:v>
      </x:c>
      <x:c r="E871" s="62" t="n">
        <x:v>45954</x:v>
      </x:c>
      <x:c r="F871" t="str">
        <x:v>AM</x:v>
      </x:c>
      <x:c r="G871" t="str">
        <x:v>A</x:v>
      </x:c>
      <x:c r="H871" t="n">
        <x:v>22</x:v>
      </x:c>
      <x:c r="I871" t="str">
        <x:v>ORD-2025-00057</x:v>
      </x:c>
      <x:c r="J871" t="n">
        <x:v>3</x:v>
      </x:c>
      <x:c r="K871" t="n">
        <x:v>3</x:v>
      </x:c>
      <x:c r="L871" t="str">
        <x:v>L22-S03-C3</x:v>
      </x:c>
      <x:c r="M871" t="n">
        <x:v>0</x:v>
      </x:c>
      <x:c r="N871" t="str">
        <x:v>DerivedFromCount</x:v>
      </x:c>
      <x:c r="O871" t="str">
        <x:v>PLC-PRD-JAR-720-L22</x:v>
      </x:c>
      <x:c r="P871" t="str">
        <x:v>OK</x:v>
      </x:c>
      <x:c r="Q871" t="str">
        <x:v>OK</x:v>
      </x:c>
      <x:c r="R871" t="str">
        <x:v>OK</x:v>
      </x:c>
      <x:c r="S871" t="str">
        <x:v>OK</x:v>
      </x:c>
      <x:c r="T871" t="n">
        <x:v>20</x:v>
      </x:c>
      <x:c r="U871" t="str">
        <x:v>OK</x:v>
      </x:c>
      <x:c r="V871" t="str">
        <x:v>OK</x:v>
      </x:c>
      <x:c r="W871" t="str">
        <x:v>LOAD</x:v>
      </x:c>
      <x:c r="X871" t="str">
        <x:v>02_Supervisor_Log(4).xlsx</x:v>
      </x:c>
      <x:c r="Y871" t="str">
        <x:v>ENH-20260830-01</x:v>
      </x:c>
      <x:c r="Z871" t="str">
        <x:v>Active</x:v>
      </x:c>
      <x:c r="AA871"/>
      <x:c r="AB871"/>
      <x:c r="AC871"/>
      <x:c r="AD871"/>
    </x:row>
    <x:row r="872">
      <x:c r="A872" t="str">
        <x:v>PCC-PE-KG01-L22-20251024-AM-ORD-2025-00057-S04-C1</x:v>
      </x:c>
      <x:c r="B872" t="str">
        <x:v>PC-PE-KG01-L22-20251024-AM-ORD-2025-00057-S04</x:v>
      </x:c>
      <x:c r="C872" t="str">
        <x:v>PE-KG01-L22-20251024-AM-ORD-2025-00057</x:v>
      </x:c>
      <x:c r="D872" t="str">
        <x:v>KG01</x:v>
      </x:c>
      <x:c r="E872" s="62" t="n">
        <x:v>45954</x:v>
      </x:c>
      <x:c r="F872" t="str">
        <x:v>AM</x:v>
      </x:c>
      <x:c r="G872" t="str">
        <x:v>A</x:v>
      </x:c>
      <x:c r="H872" t="n">
        <x:v>22</x:v>
      </x:c>
      <x:c r="I872" t="str">
        <x:v>ORD-2025-00057</x:v>
      </x:c>
      <x:c r="J872" t="n">
        <x:v>4</x:v>
      </x:c>
      <x:c r="K872" t="n">
        <x:v>1</x:v>
      </x:c>
      <x:c r="L872" t="str">
        <x:v>L22-S04-C1</x:v>
      </x:c>
      <x:c r="M872" t="n">
        <x:v>1</x:v>
      </x:c>
      <x:c r="N872" t="str">
        <x:v>DerivedFromCount</x:v>
      </x:c>
      <x:c r="O872" t="str">
        <x:v>PLC-PRD-JAR-720-L22</x:v>
      </x:c>
      <x:c r="P872" t="str">
        <x:v>OK</x:v>
      </x:c>
      <x:c r="Q872" t="str">
        <x:v>OK</x:v>
      </x:c>
      <x:c r="R872" t="str">
        <x:v>OK</x:v>
      </x:c>
      <x:c r="S872" t="str">
        <x:v>OK</x:v>
      </x:c>
      <x:c r="T872" t="n">
        <x:v>20</x:v>
      </x:c>
      <x:c r="U872" t="str">
        <x:v>OK</x:v>
      </x:c>
      <x:c r="V872" t="str">
        <x:v>OK</x:v>
      </x:c>
      <x:c r="W872" t="str">
        <x:v>LOAD</x:v>
      </x:c>
      <x:c r="X872" t="str">
        <x:v>02_Supervisor_Log(4).xlsx</x:v>
      </x:c>
      <x:c r="Y872" t="str">
        <x:v>ENH-20260830-01</x:v>
      </x:c>
      <x:c r="Z872" t="str">
        <x:v>Active</x:v>
      </x:c>
      <x:c r="AA872"/>
      <x:c r="AB872"/>
      <x:c r="AC872"/>
      <x:c r="AD872"/>
    </x:row>
    <x:row r="873">
      <x:c r="A873" t="str">
        <x:v>PCC-PE-KG01-L22-20251024-AM-ORD-2025-00057-S04-C2</x:v>
      </x:c>
      <x:c r="B873" t="str">
        <x:v>PC-PE-KG01-L22-20251024-AM-ORD-2025-00057-S04</x:v>
      </x:c>
      <x:c r="C873" t="str">
        <x:v>PE-KG01-L22-20251024-AM-ORD-2025-00057</x:v>
      </x:c>
      <x:c r="D873" t="str">
        <x:v>KG01</x:v>
      </x:c>
      <x:c r="E873" s="62" t="n">
        <x:v>45954</x:v>
      </x:c>
      <x:c r="F873" t="str">
        <x:v>AM</x:v>
      </x:c>
      <x:c r="G873" t="str">
        <x:v>A</x:v>
      </x:c>
      <x:c r="H873" t="n">
        <x:v>22</x:v>
      </x:c>
      <x:c r="I873" t="str">
        <x:v>ORD-2025-00057</x:v>
      </x:c>
      <x:c r="J873" t="n">
        <x:v>4</x:v>
      </x:c>
      <x:c r="K873" t="n">
        <x:v>2</x:v>
      </x:c>
      <x:c r="L873" t="str">
        <x:v>L22-S04-C2</x:v>
      </x:c>
      <x:c r="M873" t="n">
        <x:v>1</x:v>
      </x:c>
      <x:c r="N873" t="str">
        <x:v>DerivedFromCount</x:v>
      </x:c>
      <x:c r="O873" t="str">
        <x:v>PLC-PRD-JAR-720-L22</x:v>
      </x:c>
      <x:c r="P873" t="str">
        <x:v>OK</x:v>
      </x:c>
      <x:c r="Q873" t="str">
        <x:v>OK</x:v>
      </x:c>
      <x:c r="R873" t="str">
        <x:v>OK</x:v>
      </x:c>
      <x:c r="S873" t="str">
        <x:v>OK</x:v>
      </x:c>
      <x:c r="T873" t="n">
        <x:v>20</x:v>
      </x:c>
      <x:c r="U873" t="str">
        <x:v>OK</x:v>
      </x:c>
      <x:c r="V873" t="str">
        <x:v>OK</x:v>
      </x:c>
      <x:c r="W873" t="str">
        <x:v>LOAD</x:v>
      </x:c>
      <x:c r="X873" t="str">
        <x:v>02_Supervisor_Log(4).xlsx</x:v>
      </x:c>
      <x:c r="Y873" t="str">
        <x:v>ENH-20260830-01</x:v>
      </x:c>
      <x:c r="Z873" t="str">
        <x:v>Active</x:v>
      </x:c>
      <x:c r="AA873"/>
      <x:c r="AB873"/>
      <x:c r="AC873"/>
      <x:c r="AD873"/>
    </x:row>
    <x:row r="874">
      <x:c r="A874" t="str">
        <x:v>PCC-PE-KG01-L22-20251024-AM-ORD-2025-00057-S04-C3</x:v>
      </x:c>
      <x:c r="B874" t="str">
        <x:v>PC-PE-KG01-L22-20251024-AM-ORD-2025-00057-S04</x:v>
      </x:c>
      <x:c r="C874" t="str">
        <x:v>PE-KG01-L22-20251024-AM-ORD-2025-00057</x:v>
      </x:c>
      <x:c r="D874" t="str">
        <x:v>KG01</x:v>
      </x:c>
      <x:c r="E874" s="62" t="n">
        <x:v>45954</x:v>
      </x:c>
      <x:c r="F874" t="str">
        <x:v>AM</x:v>
      </x:c>
      <x:c r="G874" t="str">
        <x:v>A</x:v>
      </x:c>
      <x:c r="H874" t="n">
        <x:v>22</x:v>
      </x:c>
      <x:c r="I874" t="str">
        <x:v>ORD-2025-00057</x:v>
      </x:c>
      <x:c r="J874" t="n">
        <x:v>4</x:v>
      </x:c>
      <x:c r="K874" t="n">
        <x:v>3</x:v>
      </x:c>
      <x:c r="L874" t="str">
        <x:v>L22-S04-C3</x:v>
      </x:c>
      <x:c r="M874" t="n">
        <x:v>0</x:v>
      </x:c>
      <x:c r="N874" t="str">
        <x:v>DerivedFromCount</x:v>
      </x:c>
      <x:c r="O874" t="str">
        <x:v>PLC-PRD-JAR-720-L22</x:v>
      </x:c>
      <x:c r="P874" t="str">
        <x:v>OK</x:v>
      </x:c>
      <x:c r="Q874" t="str">
        <x:v>OK</x:v>
      </x:c>
      <x:c r="R874" t="str">
        <x:v>OK</x:v>
      </x:c>
      <x:c r="S874" t="str">
        <x:v>OK</x:v>
      </x:c>
      <x:c r="T874" t="n">
        <x:v>20</x:v>
      </x:c>
      <x:c r="U874" t="str">
        <x:v>OK</x:v>
      </x:c>
      <x:c r="V874" t="str">
        <x:v>OK</x:v>
      </x:c>
      <x:c r="W874" t="str">
        <x:v>LOAD</x:v>
      </x:c>
      <x:c r="X874" t="str">
        <x:v>02_Supervisor_Log(4).xlsx</x:v>
      </x:c>
      <x:c r="Y874" t="str">
        <x:v>ENH-20260830-01</x:v>
      </x:c>
      <x:c r="Z874" t="str">
        <x:v>Active</x:v>
      </x:c>
      <x:c r="AA874"/>
      <x:c r="AB874"/>
      <x:c r="AC874"/>
      <x:c r="AD874"/>
    </x:row>
    <x:row r="875">
      <x:c r="A875" t="str">
        <x:v>PCC-PE-KG01-L22-20251024-AM-ORD-2025-00057-S05-C1</x:v>
      </x:c>
      <x:c r="B875" t="str">
        <x:v>PC-PE-KG01-L22-20251024-AM-ORD-2025-00057-S05</x:v>
      </x:c>
      <x:c r="C875" t="str">
        <x:v>PE-KG01-L22-20251024-AM-ORD-2025-00057</x:v>
      </x:c>
      <x:c r="D875" t="str">
        <x:v>KG01</x:v>
      </x:c>
      <x:c r="E875" s="62" t="n">
        <x:v>45954</x:v>
      </x:c>
      <x:c r="F875" t="str">
        <x:v>AM</x:v>
      </x:c>
      <x:c r="G875" t="str">
        <x:v>A</x:v>
      </x:c>
      <x:c r="H875" t="n">
        <x:v>22</x:v>
      </x:c>
      <x:c r="I875" t="str">
        <x:v>ORD-2025-00057</x:v>
      </x:c>
      <x:c r="J875" t="n">
        <x:v>5</x:v>
      </x:c>
      <x:c r="K875" t="n">
        <x:v>1</x:v>
      </x:c>
      <x:c r="L875" t="str">
        <x:v>L22-S05-C1</x:v>
      </x:c>
      <x:c r="M875" t="n">
        <x:v>1</x:v>
      </x:c>
      <x:c r="N875" t="str">
        <x:v>DerivedFromCount</x:v>
      </x:c>
      <x:c r="O875" t="str">
        <x:v>PLC-PRD-JAR-720-L22</x:v>
      </x:c>
      <x:c r="P875" t="str">
        <x:v>OK</x:v>
      </x:c>
      <x:c r="Q875" t="str">
        <x:v>OK</x:v>
      </x:c>
      <x:c r="R875" t="str">
        <x:v>OK</x:v>
      </x:c>
      <x:c r="S875" t="str">
        <x:v>OK</x:v>
      </x:c>
      <x:c r="T875" t="n">
        <x:v>20</x:v>
      </x:c>
      <x:c r="U875" t="str">
        <x:v>OK</x:v>
      </x:c>
      <x:c r="V875" t="str">
        <x:v>OK</x:v>
      </x:c>
      <x:c r="W875" t="str">
        <x:v>LOAD</x:v>
      </x:c>
      <x:c r="X875" t="str">
        <x:v>02_Supervisor_Log(4).xlsx</x:v>
      </x:c>
      <x:c r="Y875" t="str">
        <x:v>ENH-20260830-01</x:v>
      </x:c>
      <x:c r="Z875" t="str">
        <x:v>Active</x:v>
      </x:c>
      <x:c r="AA875"/>
      <x:c r="AB875"/>
      <x:c r="AC875"/>
      <x:c r="AD875"/>
    </x:row>
    <x:row r="876">
      <x:c r="A876" t="str">
        <x:v>PCC-PE-KG01-L22-20251024-AM-ORD-2025-00057-S05-C2</x:v>
      </x:c>
      <x:c r="B876" t="str">
        <x:v>PC-PE-KG01-L22-20251024-AM-ORD-2025-00057-S05</x:v>
      </x:c>
      <x:c r="C876" t="str">
        <x:v>PE-KG01-L22-20251024-AM-ORD-2025-00057</x:v>
      </x:c>
      <x:c r="D876" t="str">
        <x:v>KG01</x:v>
      </x:c>
      <x:c r="E876" s="62" t="n">
        <x:v>45954</x:v>
      </x:c>
      <x:c r="F876" t="str">
        <x:v>AM</x:v>
      </x:c>
      <x:c r="G876" t="str">
        <x:v>A</x:v>
      </x:c>
      <x:c r="H876" t="n">
        <x:v>22</x:v>
      </x:c>
      <x:c r="I876" t="str">
        <x:v>ORD-2025-00057</x:v>
      </x:c>
      <x:c r="J876" t="n">
        <x:v>5</x:v>
      </x:c>
      <x:c r="K876" t="n">
        <x:v>2</x:v>
      </x:c>
      <x:c r="L876" t="str">
        <x:v>L22-S05-C2</x:v>
      </x:c>
      <x:c r="M876" t="n">
        <x:v>1</x:v>
      </x:c>
      <x:c r="N876" t="str">
        <x:v>DerivedFromCount</x:v>
      </x:c>
      <x:c r="O876" t="str">
        <x:v>PLC-PRD-JAR-720-L22</x:v>
      </x:c>
      <x:c r="P876" t="str">
        <x:v>OK</x:v>
      </x:c>
      <x:c r="Q876" t="str">
        <x:v>OK</x:v>
      </x:c>
      <x:c r="R876" t="str">
        <x:v>OK</x:v>
      </x:c>
      <x:c r="S876" t="str">
        <x:v>OK</x:v>
      </x:c>
      <x:c r="T876" t="n">
        <x:v>20</x:v>
      </x:c>
      <x:c r="U876" t="str">
        <x:v>OK</x:v>
      </x:c>
      <x:c r="V876" t="str">
        <x:v>OK</x:v>
      </x:c>
      <x:c r="W876" t="str">
        <x:v>LOAD</x:v>
      </x:c>
      <x:c r="X876" t="str">
        <x:v>02_Supervisor_Log(4).xlsx</x:v>
      </x:c>
      <x:c r="Y876" t="str">
        <x:v>ENH-20260830-01</x:v>
      </x:c>
      <x:c r="Z876" t="str">
        <x:v>Active</x:v>
      </x:c>
      <x:c r="AA876"/>
      <x:c r="AB876"/>
      <x:c r="AC876"/>
      <x:c r="AD876"/>
    </x:row>
    <x:row r="877">
      <x:c r="A877" t="str">
        <x:v>PCC-PE-KG01-L22-20251024-AM-ORD-2025-00057-S05-C3</x:v>
      </x:c>
      <x:c r="B877" t="str">
        <x:v>PC-PE-KG01-L22-20251024-AM-ORD-2025-00057-S05</x:v>
      </x:c>
      <x:c r="C877" t="str">
        <x:v>PE-KG01-L22-20251024-AM-ORD-2025-00057</x:v>
      </x:c>
      <x:c r="D877" t="str">
        <x:v>KG01</x:v>
      </x:c>
      <x:c r="E877" s="62" t="n">
        <x:v>45954</x:v>
      </x:c>
      <x:c r="F877" t="str">
        <x:v>AM</x:v>
      </x:c>
      <x:c r="G877" t="str">
        <x:v>A</x:v>
      </x:c>
      <x:c r="H877" t="n">
        <x:v>22</x:v>
      </x:c>
      <x:c r="I877" t="str">
        <x:v>ORD-2025-00057</x:v>
      </x:c>
      <x:c r="J877" t="n">
        <x:v>5</x:v>
      </x:c>
      <x:c r="K877" t="n">
        <x:v>3</x:v>
      </x:c>
      <x:c r="L877" t="str">
        <x:v>L22-S05-C3</x:v>
      </x:c>
      <x:c r="M877" t="n">
        <x:v>0</x:v>
      </x:c>
      <x:c r="N877" t="str">
        <x:v>DerivedFromCount</x:v>
      </x:c>
      <x:c r="O877" t="str">
        <x:v>PLC-PRD-JAR-720-L22</x:v>
      </x:c>
      <x:c r="P877" t="str">
        <x:v>OK</x:v>
      </x:c>
      <x:c r="Q877" t="str">
        <x:v>OK</x:v>
      </x:c>
      <x:c r="R877" t="str">
        <x:v>OK</x:v>
      </x:c>
      <x:c r="S877" t="str">
        <x:v>OK</x:v>
      </x:c>
      <x:c r="T877" t="n">
        <x:v>20</x:v>
      </x:c>
      <x:c r="U877" t="str">
        <x:v>OK</x:v>
      </x:c>
      <x:c r="V877" t="str">
        <x:v>OK</x:v>
      </x:c>
      <x:c r="W877" t="str">
        <x:v>LOAD</x:v>
      </x:c>
      <x:c r="X877" t="str">
        <x:v>02_Supervisor_Log(4).xlsx</x:v>
      </x:c>
      <x:c r="Y877" t="str">
        <x:v>ENH-20260830-01</x:v>
      </x:c>
      <x:c r="Z877" t="str">
        <x:v>Active</x:v>
      </x:c>
      <x:c r="AA877"/>
      <x:c r="AB877"/>
      <x:c r="AC877"/>
      <x:c r="AD877"/>
    </x:row>
    <x:row r="878">
      <x:c r="A878" t="str">
        <x:v>PCC-PE-KG01-L22-20251024-AM-ORD-2025-00057-S06-C1</x:v>
      </x:c>
      <x:c r="B878" t="str">
        <x:v>PC-PE-KG01-L22-20251024-AM-ORD-2025-00057-S06</x:v>
      </x:c>
      <x:c r="C878" t="str">
        <x:v>PE-KG01-L22-20251024-AM-ORD-2025-00057</x:v>
      </x:c>
      <x:c r="D878" t="str">
        <x:v>KG01</x:v>
      </x:c>
      <x:c r="E878" s="62" t="n">
        <x:v>45954</x:v>
      </x:c>
      <x:c r="F878" t="str">
        <x:v>AM</x:v>
      </x:c>
      <x:c r="G878" t="str">
        <x:v>A</x:v>
      </x:c>
      <x:c r="H878" t="n">
        <x:v>22</x:v>
      </x:c>
      <x:c r="I878" t="str">
        <x:v>ORD-2025-00057</x:v>
      </x:c>
      <x:c r="J878" t="n">
        <x:v>6</x:v>
      </x:c>
      <x:c r="K878" t="n">
        <x:v>1</x:v>
      </x:c>
      <x:c r="L878" t="str">
        <x:v>L22-S06-C1</x:v>
      </x:c>
      <x:c r="M878" t="n">
        <x:v>1</x:v>
      </x:c>
      <x:c r="N878" t="str">
        <x:v>DerivedFromCount</x:v>
      </x:c>
      <x:c r="O878" t="str">
        <x:v>PLC-PRD-JAR-720-L22</x:v>
      </x:c>
      <x:c r="P878" t="str">
        <x:v>OK</x:v>
      </x:c>
      <x:c r="Q878" t="str">
        <x:v>OK</x:v>
      </x:c>
      <x:c r="R878" t="str">
        <x:v>OK</x:v>
      </x:c>
      <x:c r="S878" t="str">
        <x:v>OK</x:v>
      </x:c>
      <x:c r="T878" t="n">
        <x:v>20</x:v>
      </x:c>
      <x:c r="U878" t="str">
        <x:v>OK</x:v>
      </x:c>
      <x:c r="V878" t="str">
        <x:v>OK</x:v>
      </x:c>
      <x:c r="W878" t="str">
        <x:v>LOAD</x:v>
      </x:c>
      <x:c r="X878" t="str">
        <x:v>02_Supervisor_Log(4).xlsx</x:v>
      </x:c>
      <x:c r="Y878" t="str">
        <x:v>ENH-20260830-01</x:v>
      </x:c>
      <x:c r="Z878" t="str">
        <x:v>Active</x:v>
      </x:c>
      <x:c r="AA878"/>
      <x:c r="AB878"/>
      <x:c r="AC878"/>
      <x:c r="AD878"/>
    </x:row>
    <x:row r="879">
      <x:c r="A879" t="str">
        <x:v>PCC-PE-KG01-L22-20251024-AM-ORD-2025-00057-S06-C2</x:v>
      </x:c>
      <x:c r="B879" t="str">
        <x:v>PC-PE-KG01-L22-20251024-AM-ORD-2025-00057-S06</x:v>
      </x:c>
      <x:c r="C879" t="str">
        <x:v>PE-KG01-L22-20251024-AM-ORD-2025-00057</x:v>
      </x:c>
      <x:c r="D879" t="str">
        <x:v>KG01</x:v>
      </x:c>
      <x:c r="E879" s="62" t="n">
        <x:v>45954</x:v>
      </x:c>
      <x:c r="F879" t="str">
        <x:v>AM</x:v>
      </x:c>
      <x:c r="G879" t="str">
        <x:v>A</x:v>
      </x:c>
      <x:c r="H879" t="n">
        <x:v>22</x:v>
      </x:c>
      <x:c r="I879" t="str">
        <x:v>ORD-2025-00057</x:v>
      </x:c>
      <x:c r="J879" t="n">
        <x:v>6</x:v>
      </x:c>
      <x:c r="K879" t="n">
        <x:v>2</x:v>
      </x:c>
      <x:c r="L879" t="str">
        <x:v>L22-S06-C2</x:v>
      </x:c>
      <x:c r="M879" t="n">
        <x:v>1</x:v>
      </x:c>
      <x:c r="N879" t="str">
        <x:v>DerivedFromCount</x:v>
      </x:c>
      <x:c r="O879" t="str">
        <x:v>PLC-PRD-JAR-720-L22</x:v>
      </x:c>
      <x:c r="P879" t="str">
        <x:v>OK</x:v>
      </x:c>
      <x:c r="Q879" t="str">
        <x:v>OK</x:v>
      </x:c>
      <x:c r="R879" t="str">
        <x:v>OK</x:v>
      </x:c>
      <x:c r="S879" t="str">
        <x:v>OK</x:v>
      </x:c>
      <x:c r="T879" t="n">
        <x:v>20</x:v>
      </x:c>
      <x:c r="U879" t="str">
        <x:v>OK</x:v>
      </x:c>
      <x:c r="V879" t="str">
        <x:v>OK</x:v>
      </x:c>
      <x:c r="W879" t="str">
        <x:v>LOAD</x:v>
      </x:c>
      <x:c r="X879" t="str">
        <x:v>02_Supervisor_Log(4).xlsx</x:v>
      </x:c>
      <x:c r="Y879" t="str">
        <x:v>ENH-20260830-01</x:v>
      </x:c>
      <x:c r="Z879" t="str">
        <x:v>Active</x:v>
      </x:c>
      <x:c r="AA879"/>
      <x:c r="AB879"/>
      <x:c r="AC879"/>
      <x:c r="AD879"/>
    </x:row>
    <x:row r="880">
      <x:c r="A880" t="str">
        <x:v>PCC-PE-KG01-L22-20251024-AM-ORD-2025-00057-S06-C3</x:v>
      </x:c>
      <x:c r="B880" t="str">
        <x:v>PC-PE-KG01-L22-20251024-AM-ORD-2025-00057-S06</x:v>
      </x:c>
      <x:c r="C880" t="str">
        <x:v>PE-KG01-L22-20251024-AM-ORD-2025-00057</x:v>
      </x:c>
      <x:c r="D880" t="str">
        <x:v>KG01</x:v>
      </x:c>
      <x:c r="E880" s="62" t="n">
        <x:v>45954</x:v>
      </x:c>
      <x:c r="F880" t="str">
        <x:v>AM</x:v>
      </x:c>
      <x:c r="G880" t="str">
        <x:v>A</x:v>
      </x:c>
      <x:c r="H880" t="n">
        <x:v>22</x:v>
      </x:c>
      <x:c r="I880" t="str">
        <x:v>ORD-2025-00057</x:v>
      </x:c>
      <x:c r="J880" t="n">
        <x:v>6</x:v>
      </x:c>
      <x:c r="K880" t="n">
        <x:v>3</x:v>
      </x:c>
      <x:c r="L880" t="str">
        <x:v>L22-S06-C3</x:v>
      </x:c>
      <x:c r="M880" t="n">
        <x:v>0</x:v>
      </x:c>
      <x:c r="N880" t="str">
        <x:v>DerivedFromCount</x:v>
      </x:c>
      <x:c r="O880" t="str">
        <x:v>PLC-PRD-JAR-720-L22</x:v>
      </x:c>
      <x:c r="P880" t="str">
        <x:v>OK</x:v>
      </x:c>
      <x:c r="Q880" t="str">
        <x:v>OK</x:v>
      </x:c>
      <x:c r="R880" t="str">
        <x:v>OK</x:v>
      </x:c>
      <x:c r="S880" t="str">
        <x:v>OK</x:v>
      </x:c>
      <x:c r="T880" t="n">
        <x:v>20</x:v>
      </x:c>
      <x:c r="U880" t="str">
        <x:v>OK</x:v>
      </x:c>
      <x:c r="V880" t="str">
        <x:v>OK</x:v>
      </x:c>
      <x:c r="W880" t="str">
        <x:v>LOAD</x:v>
      </x:c>
      <x:c r="X880" t="str">
        <x:v>02_Supervisor_Log(4).xlsx</x:v>
      </x:c>
      <x:c r="Y880" t="str">
        <x:v>ENH-20260830-01</x:v>
      </x:c>
      <x:c r="Z880" t="str">
        <x:v>Active</x:v>
      </x:c>
      <x:c r="AA880"/>
      <x:c r="AB880"/>
      <x:c r="AC880"/>
      <x:c r="AD880"/>
    </x:row>
    <x:row r="881">
      <x:c r="A881" t="str">
        <x:v>PCC-PE-KG01-L22-20251024-AM-ORD-2025-00057-S07-C1</x:v>
      </x:c>
      <x:c r="B881" t="str">
        <x:v>PC-PE-KG01-L22-20251024-AM-ORD-2025-00057-S07</x:v>
      </x:c>
      <x:c r="C881" t="str">
        <x:v>PE-KG01-L22-20251024-AM-ORD-2025-00057</x:v>
      </x:c>
      <x:c r="D881" t="str">
        <x:v>KG01</x:v>
      </x:c>
      <x:c r="E881" s="62" t="n">
        <x:v>45954</x:v>
      </x:c>
      <x:c r="F881" t="str">
        <x:v>AM</x:v>
      </x:c>
      <x:c r="G881" t="str">
        <x:v>A</x:v>
      </x:c>
      <x:c r="H881" t="n">
        <x:v>22</x:v>
      </x:c>
      <x:c r="I881" t="str">
        <x:v>ORD-2025-00057</x:v>
      </x:c>
      <x:c r="J881" t="n">
        <x:v>7</x:v>
      </x:c>
      <x:c r="K881" t="n">
        <x:v>1</x:v>
      </x:c>
      <x:c r="L881" t="str">
        <x:v>L22-S07-C1</x:v>
      </x:c>
      <x:c r="M881" t="n">
        <x:v>1</x:v>
      </x:c>
      <x:c r="N881" t="str">
        <x:v>DerivedFromCount</x:v>
      </x:c>
      <x:c r="O881" t="str">
        <x:v>PLC-PRD-JAR-720-L22</x:v>
      </x:c>
      <x:c r="P881" t="str">
        <x:v>OK</x:v>
      </x:c>
      <x:c r="Q881" t="str">
        <x:v>OK</x:v>
      </x:c>
      <x:c r="R881" t="str">
        <x:v>OK</x:v>
      </x:c>
      <x:c r="S881" t="str">
        <x:v>OK</x:v>
      </x:c>
      <x:c r="T881" t="n">
        <x:v>20</x:v>
      </x:c>
      <x:c r="U881" t="str">
        <x:v>OK</x:v>
      </x:c>
      <x:c r="V881" t="str">
        <x:v>OK</x:v>
      </x:c>
      <x:c r="W881" t="str">
        <x:v>LOAD</x:v>
      </x:c>
      <x:c r="X881" t="str">
        <x:v>02_Supervisor_Log(4).xlsx</x:v>
      </x:c>
      <x:c r="Y881" t="str">
        <x:v>ENH-20260830-01</x:v>
      </x:c>
      <x:c r="Z881" t="str">
        <x:v>Active</x:v>
      </x:c>
      <x:c r="AA881"/>
      <x:c r="AB881"/>
      <x:c r="AC881"/>
      <x:c r="AD881"/>
    </x:row>
    <x:row r="882">
      <x:c r="A882" t="str">
        <x:v>PCC-PE-KG01-L22-20251024-AM-ORD-2025-00057-S07-C2</x:v>
      </x:c>
      <x:c r="B882" t="str">
        <x:v>PC-PE-KG01-L22-20251024-AM-ORD-2025-00057-S07</x:v>
      </x:c>
      <x:c r="C882" t="str">
        <x:v>PE-KG01-L22-20251024-AM-ORD-2025-00057</x:v>
      </x:c>
      <x:c r="D882" t="str">
        <x:v>KG01</x:v>
      </x:c>
      <x:c r="E882" s="62" t="n">
        <x:v>45954</x:v>
      </x:c>
      <x:c r="F882" t="str">
        <x:v>AM</x:v>
      </x:c>
      <x:c r="G882" t="str">
        <x:v>A</x:v>
      </x:c>
      <x:c r="H882" t="n">
        <x:v>22</x:v>
      </x:c>
      <x:c r="I882" t="str">
        <x:v>ORD-2025-00057</x:v>
      </x:c>
      <x:c r="J882" t="n">
        <x:v>7</x:v>
      </x:c>
      <x:c r="K882" t="n">
        <x:v>2</x:v>
      </x:c>
      <x:c r="L882" t="str">
        <x:v>L22-S07-C2</x:v>
      </x:c>
      <x:c r="M882" t="n">
        <x:v>1</x:v>
      </x:c>
      <x:c r="N882" t="str">
        <x:v>DerivedFromCount</x:v>
      </x:c>
      <x:c r="O882" t="str">
        <x:v>PLC-PRD-JAR-720-L22</x:v>
      </x:c>
      <x:c r="P882" t="str">
        <x:v>OK</x:v>
      </x:c>
      <x:c r="Q882" t="str">
        <x:v>OK</x:v>
      </x:c>
      <x:c r="R882" t="str">
        <x:v>OK</x:v>
      </x:c>
      <x:c r="S882" t="str">
        <x:v>OK</x:v>
      </x:c>
      <x:c r="T882" t="n">
        <x:v>20</x:v>
      </x:c>
      <x:c r="U882" t="str">
        <x:v>OK</x:v>
      </x:c>
      <x:c r="V882" t="str">
        <x:v>OK</x:v>
      </x:c>
      <x:c r="W882" t="str">
        <x:v>LOAD</x:v>
      </x:c>
      <x:c r="X882" t="str">
        <x:v>02_Supervisor_Log(4).xlsx</x:v>
      </x:c>
      <x:c r="Y882" t="str">
        <x:v>ENH-20260830-01</x:v>
      </x:c>
      <x:c r="Z882" t="str">
        <x:v>Active</x:v>
      </x:c>
      <x:c r="AA882"/>
      <x:c r="AB882"/>
      <x:c r="AC882"/>
      <x:c r="AD882"/>
    </x:row>
    <x:row r="883">
      <x:c r="A883" t="str">
        <x:v>PCC-PE-KG01-L22-20251024-AM-ORD-2025-00057-S07-C3</x:v>
      </x:c>
      <x:c r="B883" t="str">
        <x:v>PC-PE-KG01-L22-20251024-AM-ORD-2025-00057-S07</x:v>
      </x:c>
      <x:c r="C883" t="str">
        <x:v>PE-KG01-L22-20251024-AM-ORD-2025-00057</x:v>
      </x:c>
      <x:c r="D883" t="str">
        <x:v>KG01</x:v>
      </x:c>
      <x:c r="E883" s="62" t="n">
        <x:v>45954</x:v>
      </x:c>
      <x:c r="F883" t="str">
        <x:v>AM</x:v>
      </x:c>
      <x:c r="G883" t="str">
        <x:v>A</x:v>
      </x:c>
      <x:c r="H883" t="n">
        <x:v>22</x:v>
      </x:c>
      <x:c r="I883" t="str">
        <x:v>ORD-2025-00057</x:v>
      </x:c>
      <x:c r="J883" t="n">
        <x:v>7</x:v>
      </x:c>
      <x:c r="K883" t="n">
        <x:v>3</x:v>
      </x:c>
      <x:c r="L883" t="str">
        <x:v>L22-S07-C3</x:v>
      </x:c>
      <x:c r="M883" t="n">
        <x:v>0</x:v>
      </x:c>
      <x:c r="N883" t="str">
        <x:v>DerivedFromCount</x:v>
      </x:c>
      <x:c r="O883" t="str">
        <x:v>PLC-PRD-JAR-720-L22</x:v>
      </x:c>
      <x:c r="P883" t="str">
        <x:v>OK</x:v>
      </x:c>
      <x:c r="Q883" t="str">
        <x:v>OK</x:v>
      </x:c>
      <x:c r="R883" t="str">
        <x:v>OK</x:v>
      </x:c>
      <x:c r="S883" t="str">
        <x:v>OK</x:v>
      </x:c>
      <x:c r="T883" t="n">
        <x:v>20</x:v>
      </x:c>
      <x:c r="U883" t="str">
        <x:v>OK</x:v>
      </x:c>
      <x:c r="V883" t="str">
        <x:v>OK</x:v>
      </x:c>
      <x:c r="W883" t="str">
        <x:v>LOAD</x:v>
      </x:c>
      <x:c r="X883" t="str">
        <x:v>02_Supervisor_Log(4).xlsx</x:v>
      </x:c>
      <x:c r="Y883" t="str">
        <x:v>ENH-20260830-01</x:v>
      </x:c>
      <x:c r="Z883" t="str">
        <x:v>Active</x:v>
      </x:c>
      <x:c r="AA883"/>
      <x:c r="AB883"/>
      <x:c r="AC883"/>
      <x:c r="AD883"/>
    </x:row>
    <x:row r="884">
      <x:c r="A884" t="str">
        <x:v>PCC-PE-KG01-L22-20251024-AM-ORD-2025-00057-S08-C1</x:v>
      </x:c>
      <x:c r="B884" t="str">
        <x:v>PC-PE-KG01-L22-20251024-AM-ORD-2025-00057-S08</x:v>
      </x:c>
      <x:c r="C884" t="str">
        <x:v>PE-KG01-L22-20251024-AM-ORD-2025-00057</x:v>
      </x:c>
      <x:c r="D884" t="str">
        <x:v>KG01</x:v>
      </x:c>
      <x:c r="E884" s="62" t="n">
        <x:v>45954</x:v>
      </x:c>
      <x:c r="F884" t="str">
        <x:v>AM</x:v>
      </x:c>
      <x:c r="G884" t="str">
        <x:v>A</x:v>
      </x:c>
      <x:c r="H884" t="n">
        <x:v>22</x:v>
      </x:c>
      <x:c r="I884" t="str">
        <x:v>ORD-2025-00057</x:v>
      </x:c>
      <x:c r="J884" t="n">
        <x:v>8</x:v>
      </x:c>
      <x:c r="K884" t="n">
        <x:v>1</x:v>
      </x:c>
      <x:c r="L884" t="str">
        <x:v>L22-S08-C1</x:v>
      </x:c>
      <x:c r="M884" t="n">
        <x:v>1</x:v>
      </x:c>
      <x:c r="N884" t="str">
        <x:v>DerivedFromCount</x:v>
      </x:c>
      <x:c r="O884" t="str">
        <x:v>PLC-PRD-JAR-720-L22</x:v>
      </x:c>
      <x:c r="P884" t="str">
        <x:v>OK</x:v>
      </x:c>
      <x:c r="Q884" t="str">
        <x:v>OK</x:v>
      </x:c>
      <x:c r="R884" t="str">
        <x:v>OK</x:v>
      </x:c>
      <x:c r="S884" t="str">
        <x:v>OK</x:v>
      </x:c>
      <x:c r="T884" t="n">
        <x:v>20</x:v>
      </x:c>
      <x:c r="U884" t="str">
        <x:v>OK</x:v>
      </x:c>
      <x:c r="V884" t="str">
        <x:v>OK</x:v>
      </x:c>
      <x:c r="W884" t="str">
        <x:v>LOAD</x:v>
      </x:c>
      <x:c r="X884" t="str">
        <x:v>02_Supervisor_Log(4).xlsx</x:v>
      </x:c>
      <x:c r="Y884" t="str">
        <x:v>ENH-20260830-01</x:v>
      </x:c>
      <x:c r="Z884" t="str">
        <x:v>Active</x:v>
      </x:c>
      <x:c r="AA884"/>
      <x:c r="AB884"/>
      <x:c r="AC884"/>
      <x:c r="AD884"/>
    </x:row>
    <x:row r="885">
      <x:c r="A885" t="str">
        <x:v>PCC-PE-KG01-L22-20251024-AM-ORD-2025-00057-S08-C2</x:v>
      </x:c>
      <x:c r="B885" t="str">
        <x:v>PC-PE-KG01-L22-20251024-AM-ORD-2025-00057-S08</x:v>
      </x:c>
      <x:c r="C885" t="str">
        <x:v>PE-KG01-L22-20251024-AM-ORD-2025-00057</x:v>
      </x:c>
      <x:c r="D885" t="str">
        <x:v>KG01</x:v>
      </x:c>
      <x:c r="E885" s="62" t="n">
        <x:v>45954</x:v>
      </x:c>
      <x:c r="F885" t="str">
        <x:v>AM</x:v>
      </x:c>
      <x:c r="G885" t="str">
        <x:v>A</x:v>
      </x:c>
      <x:c r="H885" t="n">
        <x:v>22</x:v>
      </x:c>
      <x:c r="I885" t="str">
        <x:v>ORD-2025-00057</x:v>
      </x:c>
      <x:c r="J885" t="n">
        <x:v>8</x:v>
      </x:c>
      <x:c r="K885" t="n">
        <x:v>2</x:v>
      </x:c>
      <x:c r="L885" t="str">
        <x:v>L22-S08-C2</x:v>
      </x:c>
      <x:c r="M885" t="n">
        <x:v>1</x:v>
      </x:c>
      <x:c r="N885" t="str">
        <x:v>DerivedFromCount</x:v>
      </x:c>
      <x:c r="O885" t="str">
        <x:v>PLC-PRD-JAR-720-L22</x:v>
      </x:c>
      <x:c r="P885" t="str">
        <x:v>OK</x:v>
      </x:c>
      <x:c r="Q885" t="str">
        <x:v>OK</x:v>
      </x:c>
      <x:c r="R885" t="str">
        <x:v>OK</x:v>
      </x:c>
      <x:c r="S885" t="str">
        <x:v>OK</x:v>
      </x:c>
      <x:c r="T885" t="n">
        <x:v>20</x:v>
      </x:c>
      <x:c r="U885" t="str">
        <x:v>OK</x:v>
      </x:c>
      <x:c r="V885" t="str">
        <x:v>OK</x:v>
      </x:c>
      <x:c r="W885" t="str">
        <x:v>LOAD</x:v>
      </x:c>
      <x:c r="X885" t="str">
        <x:v>02_Supervisor_Log(4).xlsx</x:v>
      </x:c>
      <x:c r="Y885" t="str">
        <x:v>ENH-20260830-01</x:v>
      </x:c>
      <x:c r="Z885" t="str">
        <x:v>Active</x:v>
      </x:c>
      <x:c r="AA885"/>
      <x:c r="AB885"/>
      <x:c r="AC885"/>
      <x:c r="AD885"/>
    </x:row>
    <x:row r="886">
      <x:c r="A886" t="str">
        <x:v>PCC-PE-KG01-L22-20251024-AM-ORD-2025-00057-S08-C3</x:v>
      </x:c>
      <x:c r="B886" t="str">
        <x:v>PC-PE-KG01-L22-20251024-AM-ORD-2025-00057-S08</x:v>
      </x:c>
      <x:c r="C886" t="str">
        <x:v>PE-KG01-L22-20251024-AM-ORD-2025-00057</x:v>
      </x:c>
      <x:c r="D886" t="str">
        <x:v>KG01</x:v>
      </x:c>
      <x:c r="E886" s="62" t="n">
        <x:v>45954</x:v>
      </x:c>
      <x:c r="F886" t="str">
        <x:v>AM</x:v>
      </x:c>
      <x:c r="G886" t="str">
        <x:v>A</x:v>
      </x:c>
      <x:c r="H886" t="n">
        <x:v>22</x:v>
      </x:c>
      <x:c r="I886" t="str">
        <x:v>ORD-2025-00057</x:v>
      </x:c>
      <x:c r="J886" t="n">
        <x:v>8</x:v>
      </x:c>
      <x:c r="K886" t="n">
        <x:v>3</x:v>
      </x:c>
      <x:c r="L886" t="str">
        <x:v>L22-S08-C3</x:v>
      </x:c>
      <x:c r="M886" t="n">
        <x:v>0</x:v>
      </x:c>
      <x:c r="N886" t="str">
        <x:v>DerivedFromCount</x:v>
      </x:c>
      <x:c r="O886" t="str">
        <x:v>PLC-PRD-JAR-720-L22</x:v>
      </x:c>
      <x:c r="P886" t="str">
        <x:v>OK</x:v>
      </x:c>
      <x:c r="Q886" t="str">
        <x:v>OK</x:v>
      </x:c>
      <x:c r="R886" t="str">
        <x:v>OK</x:v>
      </x:c>
      <x:c r="S886" t="str">
        <x:v>OK</x:v>
      </x:c>
      <x:c r="T886" t="n">
        <x:v>20</x:v>
      </x:c>
      <x:c r="U886" t="str">
        <x:v>OK</x:v>
      </x:c>
      <x:c r="V886" t="str">
        <x:v>OK</x:v>
      </x:c>
      <x:c r="W886" t="str">
        <x:v>LOAD</x:v>
      </x:c>
      <x:c r="X886" t="str">
        <x:v>02_Supervisor_Log(4).xlsx</x:v>
      </x:c>
      <x:c r="Y886" t="str">
        <x:v>ENH-20260830-01</x:v>
      </x:c>
      <x:c r="Z886" t="str">
        <x:v>Active</x:v>
      </x:c>
      <x:c r="AA886"/>
      <x:c r="AB886"/>
      <x:c r="AC886"/>
      <x:c r="AD886"/>
    </x:row>
    <x:row r="887">
      <x:c r="A887" t="str">
        <x:v>PCC-PE-KG01-L22-20251024-AM-ORD-2025-00057-S09-C1</x:v>
      </x:c>
      <x:c r="B887" t="str">
        <x:v>PC-PE-KG01-L22-20251024-AM-ORD-2025-00057-S09</x:v>
      </x:c>
      <x:c r="C887" t="str">
        <x:v>PE-KG01-L22-20251024-AM-ORD-2025-00057</x:v>
      </x:c>
      <x:c r="D887" t="str">
        <x:v>KG01</x:v>
      </x:c>
      <x:c r="E887" s="62" t="n">
        <x:v>45954</x:v>
      </x:c>
      <x:c r="F887" t="str">
        <x:v>AM</x:v>
      </x:c>
      <x:c r="G887" t="str">
        <x:v>A</x:v>
      </x:c>
      <x:c r="H887" t="n">
        <x:v>22</x:v>
      </x:c>
      <x:c r="I887" t="str">
        <x:v>ORD-2025-00057</x:v>
      </x:c>
      <x:c r="J887" t="n">
        <x:v>9</x:v>
      </x:c>
      <x:c r="K887" t="n">
        <x:v>1</x:v>
      </x:c>
      <x:c r="L887" t="str">
        <x:v>L22-S09-C1</x:v>
      </x:c>
      <x:c r="M887" t="n">
        <x:v>1</x:v>
      </x:c>
      <x:c r="N887" t="str">
        <x:v>DerivedFromCount</x:v>
      </x:c>
      <x:c r="O887" t="str">
        <x:v>PLC-PRD-JAR-720-L22</x:v>
      </x:c>
      <x:c r="P887" t="str">
        <x:v>OK</x:v>
      </x:c>
      <x:c r="Q887" t="str">
        <x:v>OK</x:v>
      </x:c>
      <x:c r="R887" t="str">
        <x:v>OK</x:v>
      </x:c>
      <x:c r="S887" t="str">
        <x:v>OK</x:v>
      </x:c>
      <x:c r="T887" t="n">
        <x:v>20</x:v>
      </x:c>
      <x:c r="U887" t="str">
        <x:v>OK</x:v>
      </x:c>
      <x:c r="V887" t="str">
        <x:v>OK</x:v>
      </x:c>
      <x:c r="W887" t="str">
        <x:v>LOAD</x:v>
      </x:c>
      <x:c r="X887" t="str">
        <x:v>02_Supervisor_Log(4).xlsx</x:v>
      </x:c>
      <x:c r="Y887" t="str">
        <x:v>ENH-20260830-01</x:v>
      </x:c>
      <x:c r="Z887" t="str">
        <x:v>Active</x:v>
      </x:c>
      <x:c r="AA887"/>
      <x:c r="AB887"/>
      <x:c r="AC887"/>
      <x:c r="AD887"/>
    </x:row>
    <x:row r="888">
      <x:c r="A888" t="str">
        <x:v>PCC-PE-KG01-L22-20251024-AM-ORD-2025-00057-S09-C2</x:v>
      </x:c>
      <x:c r="B888" t="str">
        <x:v>PC-PE-KG01-L22-20251024-AM-ORD-2025-00057-S09</x:v>
      </x:c>
      <x:c r="C888" t="str">
        <x:v>PE-KG01-L22-20251024-AM-ORD-2025-00057</x:v>
      </x:c>
      <x:c r="D888" t="str">
        <x:v>KG01</x:v>
      </x:c>
      <x:c r="E888" s="62" t="n">
        <x:v>45954</x:v>
      </x:c>
      <x:c r="F888" t="str">
        <x:v>AM</x:v>
      </x:c>
      <x:c r="G888" t="str">
        <x:v>A</x:v>
      </x:c>
      <x:c r="H888" t="n">
        <x:v>22</x:v>
      </x:c>
      <x:c r="I888" t="str">
        <x:v>ORD-2025-00057</x:v>
      </x:c>
      <x:c r="J888" t="n">
        <x:v>9</x:v>
      </x:c>
      <x:c r="K888" t="n">
        <x:v>2</x:v>
      </x:c>
      <x:c r="L888" t="str">
        <x:v>L22-S09-C2</x:v>
      </x:c>
      <x:c r="M888" t="n">
        <x:v>1</x:v>
      </x:c>
      <x:c r="N888" t="str">
        <x:v>DerivedFromCount</x:v>
      </x:c>
      <x:c r="O888" t="str">
        <x:v>PLC-PRD-JAR-720-L22</x:v>
      </x:c>
      <x:c r="P888" t="str">
        <x:v>OK</x:v>
      </x:c>
      <x:c r="Q888" t="str">
        <x:v>OK</x:v>
      </x:c>
      <x:c r="R888" t="str">
        <x:v>OK</x:v>
      </x:c>
      <x:c r="S888" t="str">
        <x:v>OK</x:v>
      </x:c>
      <x:c r="T888" t="n">
        <x:v>20</x:v>
      </x:c>
      <x:c r="U888" t="str">
        <x:v>OK</x:v>
      </x:c>
      <x:c r="V888" t="str">
        <x:v>OK</x:v>
      </x:c>
      <x:c r="W888" t="str">
        <x:v>LOAD</x:v>
      </x:c>
      <x:c r="X888" t="str">
        <x:v>02_Supervisor_Log(4).xlsx</x:v>
      </x:c>
      <x:c r="Y888" t="str">
        <x:v>ENH-20260830-01</x:v>
      </x:c>
      <x:c r="Z888" t="str">
        <x:v>Active</x:v>
      </x:c>
      <x:c r="AA888"/>
      <x:c r="AB888"/>
      <x:c r="AC888"/>
      <x:c r="AD888"/>
    </x:row>
    <x:row r="889">
      <x:c r="A889" t="str">
        <x:v>PCC-PE-KG01-L22-20251024-AM-ORD-2025-00057-S09-C3</x:v>
      </x:c>
      <x:c r="B889" t="str">
        <x:v>PC-PE-KG01-L22-20251024-AM-ORD-2025-00057-S09</x:v>
      </x:c>
      <x:c r="C889" t="str">
        <x:v>PE-KG01-L22-20251024-AM-ORD-2025-00057</x:v>
      </x:c>
      <x:c r="D889" t="str">
        <x:v>KG01</x:v>
      </x:c>
      <x:c r="E889" s="62" t="n">
        <x:v>45954</x:v>
      </x:c>
      <x:c r="F889" t="str">
        <x:v>AM</x:v>
      </x:c>
      <x:c r="G889" t="str">
        <x:v>A</x:v>
      </x:c>
      <x:c r="H889" t="n">
        <x:v>22</x:v>
      </x:c>
      <x:c r="I889" t="str">
        <x:v>ORD-2025-00057</x:v>
      </x:c>
      <x:c r="J889" t="n">
        <x:v>9</x:v>
      </x:c>
      <x:c r="K889" t="n">
        <x:v>3</x:v>
      </x:c>
      <x:c r="L889" t="str">
        <x:v>L22-S09-C3</x:v>
      </x:c>
      <x:c r="M889" t="n">
        <x:v>0</x:v>
      </x:c>
      <x:c r="N889" t="str">
        <x:v>DerivedFromCount</x:v>
      </x:c>
      <x:c r="O889" t="str">
        <x:v>PLC-PRD-JAR-720-L22</x:v>
      </x:c>
      <x:c r="P889" t="str">
        <x:v>OK</x:v>
      </x:c>
      <x:c r="Q889" t="str">
        <x:v>OK</x:v>
      </x:c>
      <x:c r="R889" t="str">
        <x:v>OK</x:v>
      </x:c>
      <x:c r="S889" t="str">
        <x:v>OK</x:v>
      </x:c>
      <x:c r="T889" t="n">
        <x:v>20</x:v>
      </x:c>
      <x:c r="U889" t="str">
        <x:v>OK</x:v>
      </x:c>
      <x:c r="V889" t="str">
        <x:v>OK</x:v>
      </x:c>
      <x:c r="W889" t="str">
        <x:v>LOAD</x:v>
      </x:c>
      <x:c r="X889" t="str">
        <x:v>02_Supervisor_Log(4).xlsx</x:v>
      </x:c>
      <x:c r="Y889" t="str">
        <x:v>ENH-20260830-01</x:v>
      </x:c>
      <x:c r="Z889" t="str">
        <x:v>Active</x:v>
      </x:c>
      <x:c r="AA889"/>
      <x:c r="AB889"/>
      <x:c r="AC889"/>
      <x:c r="AD889"/>
    </x:row>
    <x:row r="890">
      <x:c r="A890" t="str">
        <x:v>PCC-PE-KG01-L22-20251024-AM-ORD-2025-00057-S10-C1</x:v>
      </x:c>
      <x:c r="B890" t="str">
        <x:v>PC-PE-KG01-L22-20251024-AM-ORD-2025-00057-S10</x:v>
      </x:c>
      <x:c r="C890" t="str">
        <x:v>PE-KG01-L22-20251024-AM-ORD-2025-00057</x:v>
      </x:c>
      <x:c r="D890" t="str">
        <x:v>KG01</x:v>
      </x:c>
      <x:c r="E890" s="62" t="n">
        <x:v>45954</x:v>
      </x:c>
      <x:c r="F890" t="str">
        <x:v>AM</x:v>
      </x:c>
      <x:c r="G890" t="str">
        <x:v>A</x:v>
      </x:c>
      <x:c r="H890" t="n">
        <x:v>22</x:v>
      </x:c>
      <x:c r="I890" t="str">
        <x:v>ORD-2025-00057</x:v>
      </x:c>
      <x:c r="J890" t="n">
        <x:v>10</x:v>
      </x:c>
      <x:c r="K890" t="n">
        <x:v>1</x:v>
      </x:c>
      <x:c r="L890" t="str">
        <x:v>L22-S10-C1</x:v>
      </x:c>
      <x:c r="M890" t="n">
        <x:v>1</x:v>
      </x:c>
      <x:c r="N890" t="str">
        <x:v>DerivedFromCount</x:v>
      </x:c>
      <x:c r="O890" t="str">
        <x:v>PLC-PRD-JAR-720-L22</x:v>
      </x:c>
      <x:c r="P890" t="str">
        <x:v>OK</x:v>
      </x:c>
      <x:c r="Q890" t="str">
        <x:v>OK</x:v>
      </x:c>
      <x:c r="R890" t="str">
        <x:v>OK</x:v>
      </x:c>
      <x:c r="S890" t="str">
        <x:v>OK</x:v>
      </x:c>
      <x:c r="T890" t="n">
        <x:v>20</x:v>
      </x:c>
      <x:c r="U890" t="str">
        <x:v>OK</x:v>
      </x:c>
      <x:c r="V890" t="str">
        <x:v>OK</x:v>
      </x:c>
      <x:c r="W890" t="str">
        <x:v>LOAD</x:v>
      </x:c>
      <x:c r="X890" t="str">
        <x:v>02_Supervisor_Log(4).xlsx</x:v>
      </x:c>
      <x:c r="Y890" t="str">
        <x:v>ENH-20260830-01</x:v>
      </x:c>
      <x:c r="Z890" t="str">
        <x:v>Active</x:v>
      </x:c>
      <x:c r="AA890"/>
      <x:c r="AB890"/>
      <x:c r="AC890"/>
      <x:c r="AD890"/>
    </x:row>
    <x:row r="891">
      <x:c r="A891" t="str">
        <x:v>PCC-PE-KG01-L22-20251024-AM-ORD-2025-00057-S10-C2</x:v>
      </x:c>
      <x:c r="B891" t="str">
        <x:v>PC-PE-KG01-L22-20251024-AM-ORD-2025-00057-S10</x:v>
      </x:c>
      <x:c r="C891" t="str">
        <x:v>PE-KG01-L22-20251024-AM-ORD-2025-00057</x:v>
      </x:c>
      <x:c r="D891" t="str">
        <x:v>KG01</x:v>
      </x:c>
      <x:c r="E891" s="62" t="n">
        <x:v>45954</x:v>
      </x:c>
      <x:c r="F891" t="str">
        <x:v>AM</x:v>
      </x:c>
      <x:c r="G891" t="str">
        <x:v>A</x:v>
      </x:c>
      <x:c r="H891" t="n">
        <x:v>22</x:v>
      </x:c>
      <x:c r="I891" t="str">
        <x:v>ORD-2025-00057</x:v>
      </x:c>
      <x:c r="J891" t="n">
        <x:v>10</x:v>
      </x:c>
      <x:c r="K891" t="n">
        <x:v>2</x:v>
      </x:c>
      <x:c r="L891" t="str">
        <x:v>L22-S10-C2</x:v>
      </x:c>
      <x:c r="M891" t="n">
        <x:v>1</x:v>
      </x:c>
      <x:c r="N891" t="str">
        <x:v>DerivedFromCount</x:v>
      </x:c>
      <x:c r="O891" t="str">
        <x:v>PLC-PRD-JAR-720-L22</x:v>
      </x:c>
      <x:c r="P891" t="str">
        <x:v>OK</x:v>
      </x:c>
      <x:c r="Q891" t="str">
        <x:v>OK</x:v>
      </x:c>
      <x:c r="R891" t="str">
        <x:v>OK</x:v>
      </x:c>
      <x:c r="S891" t="str">
        <x:v>OK</x:v>
      </x:c>
      <x:c r="T891" t="n">
        <x:v>20</x:v>
      </x:c>
      <x:c r="U891" t="str">
        <x:v>OK</x:v>
      </x:c>
      <x:c r="V891" t="str">
        <x:v>OK</x:v>
      </x:c>
      <x:c r="W891" t="str">
        <x:v>LOAD</x:v>
      </x:c>
      <x:c r="X891" t="str">
        <x:v>02_Supervisor_Log(4).xlsx</x:v>
      </x:c>
      <x:c r="Y891" t="str">
        <x:v>ENH-20260830-01</x:v>
      </x:c>
      <x:c r="Z891" t="str">
        <x:v>Active</x:v>
      </x:c>
      <x:c r="AA891"/>
      <x:c r="AB891"/>
      <x:c r="AC891"/>
      <x:c r="AD891"/>
    </x:row>
    <x:row r="892">
      <x:c r="A892" t="str">
        <x:v>PCC-PE-KG01-L22-20251024-AM-ORD-2025-00057-S10-C3</x:v>
      </x:c>
      <x:c r="B892" t="str">
        <x:v>PC-PE-KG01-L22-20251024-AM-ORD-2025-00057-S10</x:v>
      </x:c>
      <x:c r="C892" t="str">
        <x:v>PE-KG01-L22-20251024-AM-ORD-2025-00057</x:v>
      </x:c>
      <x:c r="D892" t="str">
        <x:v>KG01</x:v>
      </x:c>
      <x:c r="E892" s="62" t="n">
        <x:v>45954</x:v>
      </x:c>
      <x:c r="F892" t="str">
        <x:v>AM</x:v>
      </x:c>
      <x:c r="G892" t="str">
        <x:v>A</x:v>
      </x:c>
      <x:c r="H892" t="n">
        <x:v>22</x:v>
      </x:c>
      <x:c r="I892" t="str">
        <x:v>ORD-2025-00057</x:v>
      </x:c>
      <x:c r="J892" t="n">
        <x:v>10</x:v>
      </x:c>
      <x:c r="K892" t="n">
        <x:v>3</x:v>
      </x:c>
      <x:c r="L892" t="str">
        <x:v>L22-S10-C3</x:v>
      </x:c>
      <x:c r="M892" t="n">
        <x:v>0</x:v>
      </x:c>
      <x:c r="N892" t="str">
        <x:v>DerivedFromCount</x:v>
      </x:c>
      <x:c r="O892" t="str">
        <x:v>PLC-PRD-JAR-720-L22</x:v>
      </x:c>
      <x:c r="P892" t="str">
        <x:v>OK</x:v>
      </x:c>
      <x:c r="Q892" t="str">
        <x:v>OK</x:v>
      </x:c>
      <x:c r="R892" t="str">
        <x:v>OK</x:v>
      </x:c>
      <x:c r="S892" t="str">
        <x:v>OK</x:v>
      </x:c>
      <x:c r="T892" t="n">
        <x:v>20</x:v>
      </x:c>
      <x:c r="U892" t="str">
        <x:v>OK</x:v>
      </x:c>
      <x:c r="V892" t="str">
        <x:v>OK</x:v>
      </x:c>
      <x:c r="W892" t="str">
        <x:v>LOAD</x:v>
      </x:c>
      <x:c r="X892" t="str">
        <x:v>02_Supervisor_Log(4).xlsx</x:v>
      </x:c>
      <x:c r="Y892" t="str">
        <x:v>ENH-20260830-01</x:v>
      </x:c>
      <x:c r="Z892" t="str">
        <x:v>Active</x:v>
      </x:c>
      <x:c r="AA892"/>
      <x:c r="AB892"/>
      <x:c r="AC892"/>
      <x:c r="AD892"/>
    </x:row>
    <x:row r="893">
      <x:c r="A893" t="str">
        <x:v>PCC-PE-KG01-L22-20251024-AM-ORD-2025-00057-S11-C1</x:v>
      </x:c>
      <x:c r="B893" t="str">
        <x:v>PC-PE-KG01-L22-20251024-AM-ORD-2025-00057-S11</x:v>
      </x:c>
      <x:c r="C893" t="str">
        <x:v>PE-KG01-L22-20251024-AM-ORD-2025-00057</x:v>
      </x:c>
      <x:c r="D893" t="str">
        <x:v>KG01</x:v>
      </x:c>
      <x:c r="E893" s="62" t="n">
        <x:v>45954</x:v>
      </x:c>
      <x:c r="F893" t="str">
        <x:v>AM</x:v>
      </x:c>
      <x:c r="G893" t="str">
        <x:v>A</x:v>
      </x:c>
      <x:c r="H893" t="n">
        <x:v>22</x:v>
      </x:c>
      <x:c r="I893" t="str">
        <x:v>ORD-2025-00057</x:v>
      </x:c>
      <x:c r="J893" t="n">
        <x:v>11</x:v>
      </x:c>
      <x:c r="K893" t="n">
        <x:v>1</x:v>
      </x:c>
      <x:c r="L893" t="str">
        <x:v>L22-S11-C1</x:v>
      </x:c>
      <x:c r="M893" t="n">
        <x:v>0</x:v>
      </x:c>
      <x:c r="N893" t="str">
        <x:v>DerivedFromCount</x:v>
      </x:c>
      <x:c r="O893" t="str">
        <x:v>PLC-PRD-JAR-720-L22</x:v>
      </x:c>
      <x:c r="P893" t="str">
        <x:v>OK</x:v>
      </x:c>
      <x:c r="Q893" t="str">
        <x:v>OK</x:v>
      </x:c>
      <x:c r="R893" t="str">
        <x:v>OK</x:v>
      </x:c>
      <x:c r="S893" t="str">
        <x:v>OK</x:v>
      </x:c>
      <x:c r="T893" t="n">
        <x:v>20</x:v>
      </x:c>
      <x:c r="U893" t="str">
        <x:v>OK</x:v>
      </x:c>
      <x:c r="V893" t="str">
        <x:v>OK</x:v>
      </x:c>
      <x:c r="W893" t="str">
        <x:v>LOAD</x:v>
      </x:c>
      <x:c r="X893" t="str">
        <x:v>02_Supervisor_Log(4).xlsx</x:v>
      </x:c>
      <x:c r="Y893" t="str">
        <x:v>ENH-20260830-01</x:v>
      </x:c>
      <x:c r="Z893" t="str">
        <x:v>Active</x:v>
      </x:c>
      <x:c r="AA893"/>
      <x:c r="AB893"/>
      <x:c r="AC893"/>
      <x:c r="AD893"/>
    </x:row>
    <x:row r="894">
      <x:c r="A894" t="str">
        <x:v>PCC-PE-KG01-L22-20251024-AM-ORD-2025-00057-S11-C2</x:v>
      </x:c>
      <x:c r="B894" t="str">
        <x:v>PC-PE-KG01-L22-20251024-AM-ORD-2025-00057-S11</x:v>
      </x:c>
      <x:c r="C894" t="str">
        <x:v>PE-KG01-L22-20251024-AM-ORD-2025-00057</x:v>
      </x:c>
      <x:c r="D894" t="str">
        <x:v>KG01</x:v>
      </x:c>
      <x:c r="E894" s="62" t="n">
        <x:v>45954</x:v>
      </x:c>
      <x:c r="F894" t="str">
        <x:v>AM</x:v>
      </x:c>
      <x:c r="G894" t="str">
        <x:v>A</x:v>
      </x:c>
      <x:c r="H894" t="n">
        <x:v>22</x:v>
      </x:c>
      <x:c r="I894" t="str">
        <x:v>ORD-2025-00057</x:v>
      </x:c>
      <x:c r="J894" t="n">
        <x:v>11</x:v>
      </x:c>
      <x:c r="K894" t="n">
        <x:v>2</x:v>
      </x:c>
      <x:c r="L894" t="str">
        <x:v>L22-S11-C2</x:v>
      </x:c>
      <x:c r="M894" t="n">
        <x:v>0</x:v>
      </x:c>
      <x:c r="N894" t="str">
        <x:v>DerivedFromCount</x:v>
      </x:c>
      <x:c r="O894" t="str">
        <x:v>PLC-PRD-JAR-720-L22</x:v>
      </x:c>
      <x:c r="P894" t="str">
        <x:v>OK</x:v>
      </x:c>
      <x:c r="Q894" t="str">
        <x:v>OK</x:v>
      </x:c>
      <x:c r="R894" t="str">
        <x:v>OK</x:v>
      </x:c>
      <x:c r="S894" t="str">
        <x:v>OK</x:v>
      </x:c>
      <x:c r="T894" t="n">
        <x:v>20</x:v>
      </x:c>
      <x:c r="U894" t="str">
        <x:v>OK</x:v>
      </x:c>
      <x:c r="V894" t="str">
        <x:v>OK</x:v>
      </x:c>
      <x:c r="W894" t="str">
        <x:v>LOAD</x:v>
      </x:c>
      <x:c r="X894" t="str">
        <x:v>02_Supervisor_Log(4).xlsx</x:v>
      </x:c>
      <x:c r="Y894" t="str">
        <x:v>ENH-20260830-01</x:v>
      </x:c>
      <x:c r="Z894" t="str">
        <x:v>Active</x:v>
      </x:c>
      <x:c r="AA894"/>
      <x:c r="AB894"/>
      <x:c r="AC894"/>
      <x:c r="AD894"/>
    </x:row>
    <x:row r="895">
      <x:c r="A895" t="str">
        <x:v>PCC-PE-KG01-L22-20251024-AM-ORD-2025-00057-S11-C3</x:v>
      </x:c>
      <x:c r="B895" t="str">
        <x:v>PC-PE-KG01-L22-20251024-AM-ORD-2025-00057-S11</x:v>
      </x:c>
      <x:c r="C895" t="str">
        <x:v>PE-KG01-L22-20251024-AM-ORD-2025-00057</x:v>
      </x:c>
      <x:c r="D895" t="str">
        <x:v>KG01</x:v>
      </x:c>
      <x:c r="E895" s="62" t="n">
        <x:v>45954</x:v>
      </x:c>
      <x:c r="F895" t="str">
        <x:v>AM</x:v>
      </x:c>
      <x:c r="G895" t="str">
        <x:v>A</x:v>
      </x:c>
      <x:c r="H895" t="n">
        <x:v>22</x:v>
      </x:c>
      <x:c r="I895" t="str">
        <x:v>ORD-2025-00057</x:v>
      </x:c>
      <x:c r="J895" t="n">
        <x:v>11</x:v>
      </x:c>
      <x:c r="K895" t="n">
        <x:v>3</x:v>
      </x:c>
      <x:c r="L895" t="str">
        <x:v>L22-S11-C3</x:v>
      </x:c>
      <x:c r="M895" t="n">
        <x:v>0</x:v>
      </x:c>
      <x:c r="N895" t="str">
        <x:v>DerivedFromCount</x:v>
      </x:c>
      <x:c r="O895" t="str">
        <x:v>PLC-PRD-JAR-720-L22</x:v>
      </x:c>
      <x:c r="P895" t="str">
        <x:v>OK</x:v>
      </x:c>
      <x:c r="Q895" t="str">
        <x:v>OK</x:v>
      </x:c>
      <x:c r="R895" t="str">
        <x:v>OK</x:v>
      </x:c>
      <x:c r="S895" t="str">
        <x:v>OK</x:v>
      </x:c>
      <x:c r="T895" t="n">
        <x:v>20</x:v>
      </x:c>
      <x:c r="U895" t="str">
        <x:v>OK</x:v>
      </x:c>
      <x:c r="V895" t="str">
        <x:v>OK</x:v>
      </x:c>
      <x:c r="W895" t="str">
        <x:v>LOAD</x:v>
      </x:c>
      <x:c r="X895" t="str">
        <x:v>02_Supervisor_Log(4).xlsx</x:v>
      </x:c>
      <x:c r="Y895" t="str">
        <x:v>ENH-20260830-01</x:v>
      </x:c>
      <x:c r="Z895" t="str">
        <x:v>Active</x:v>
      </x:c>
      <x:c r="AA895"/>
      <x:c r="AB895"/>
      <x:c r="AC895"/>
      <x:c r="AD895"/>
    </x:row>
    <x:row r="896">
      <x:c r="A896" t="str">
        <x:v>PCC-PE-KG01-L22-20251024-AM-ORD-2025-00057-S12-C1</x:v>
      </x:c>
      <x:c r="B896" t="str">
        <x:v>PC-PE-KG01-L22-20251024-AM-ORD-2025-00057-S12</x:v>
      </x:c>
      <x:c r="C896" t="str">
        <x:v>PE-KG01-L22-20251024-AM-ORD-2025-00057</x:v>
      </x:c>
      <x:c r="D896" t="str">
        <x:v>KG01</x:v>
      </x:c>
      <x:c r="E896" s="62" t="n">
        <x:v>45954</x:v>
      </x:c>
      <x:c r="F896" t="str">
        <x:v>AM</x:v>
      </x:c>
      <x:c r="G896" t="str">
        <x:v>A</x:v>
      </x:c>
      <x:c r="H896" t="n">
        <x:v>22</x:v>
      </x:c>
      <x:c r="I896" t="str">
        <x:v>ORD-2025-00057</x:v>
      </x:c>
      <x:c r="J896" t="n">
        <x:v>12</x:v>
      </x:c>
      <x:c r="K896" t="n">
        <x:v>1</x:v>
      </x:c>
      <x:c r="L896" t="str">
        <x:v>L22-S12-C1</x:v>
      </x:c>
      <x:c r="M896" t="n">
        <x:v>0</x:v>
      </x:c>
      <x:c r="N896" t="str">
        <x:v>DerivedFromCount</x:v>
      </x:c>
      <x:c r="O896" t="str">
        <x:v>PLC-PRD-JAR-720-L22</x:v>
      </x:c>
      <x:c r="P896" t="str">
        <x:v>OK</x:v>
      </x:c>
      <x:c r="Q896" t="str">
        <x:v>OK</x:v>
      </x:c>
      <x:c r="R896" t="str">
        <x:v>OK</x:v>
      </x:c>
      <x:c r="S896" t="str">
        <x:v>OK</x:v>
      </x:c>
      <x:c r="T896" t="n">
        <x:v>20</x:v>
      </x:c>
      <x:c r="U896" t="str">
        <x:v>OK</x:v>
      </x:c>
      <x:c r="V896" t="str">
        <x:v>OK</x:v>
      </x:c>
      <x:c r="W896" t="str">
        <x:v>LOAD</x:v>
      </x:c>
      <x:c r="X896" t="str">
        <x:v>02_Supervisor_Log(4).xlsx</x:v>
      </x:c>
      <x:c r="Y896" t="str">
        <x:v>ENH-20260830-01</x:v>
      </x:c>
      <x:c r="Z896" t="str">
        <x:v>Active</x:v>
      </x:c>
      <x:c r="AA896"/>
      <x:c r="AB896"/>
      <x:c r="AC896"/>
      <x:c r="AD896"/>
    </x:row>
    <x:row r="897">
      <x:c r="A897" t="str">
        <x:v>PCC-PE-KG01-L22-20251024-AM-ORD-2025-00057-S12-C2</x:v>
      </x:c>
      <x:c r="B897" t="str">
        <x:v>PC-PE-KG01-L22-20251024-AM-ORD-2025-00057-S12</x:v>
      </x:c>
      <x:c r="C897" t="str">
        <x:v>PE-KG01-L22-20251024-AM-ORD-2025-00057</x:v>
      </x:c>
      <x:c r="D897" t="str">
        <x:v>KG01</x:v>
      </x:c>
      <x:c r="E897" s="62" t="n">
        <x:v>45954</x:v>
      </x:c>
      <x:c r="F897" t="str">
        <x:v>AM</x:v>
      </x:c>
      <x:c r="G897" t="str">
        <x:v>A</x:v>
      </x:c>
      <x:c r="H897" t="n">
        <x:v>22</x:v>
      </x:c>
      <x:c r="I897" t="str">
        <x:v>ORD-2025-00057</x:v>
      </x:c>
      <x:c r="J897" t="n">
        <x:v>12</x:v>
      </x:c>
      <x:c r="K897" t="n">
        <x:v>2</x:v>
      </x:c>
      <x:c r="L897" t="str">
        <x:v>L22-S12-C2</x:v>
      </x:c>
      <x:c r="M897" t="n">
        <x:v>0</x:v>
      </x:c>
      <x:c r="N897" t="str">
        <x:v>DerivedFromCount</x:v>
      </x:c>
      <x:c r="O897" t="str">
        <x:v>PLC-PRD-JAR-720-L22</x:v>
      </x:c>
      <x:c r="P897" t="str">
        <x:v>OK</x:v>
      </x:c>
      <x:c r="Q897" t="str">
        <x:v>OK</x:v>
      </x:c>
      <x:c r="R897" t="str">
        <x:v>OK</x:v>
      </x:c>
      <x:c r="S897" t="str">
        <x:v>OK</x:v>
      </x:c>
      <x:c r="T897" t="n">
        <x:v>20</x:v>
      </x:c>
      <x:c r="U897" t="str">
        <x:v>OK</x:v>
      </x:c>
      <x:c r="V897" t="str">
        <x:v>OK</x:v>
      </x:c>
      <x:c r="W897" t="str">
        <x:v>LOAD</x:v>
      </x:c>
      <x:c r="X897" t="str">
        <x:v>02_Supervisor_Log(4).xlsx</x:v>
      </x:c>
      <x:c r="Y897" t="str">
        <x:v>ENH-20260830-01</x:v>
      </x:c>
      <x:c r="Z897" t="str">
        <x:v>Active</x:v>
      </x:c>
      <x:c r="AA897"/>
      <x:c r="AB897"/>
      <x:c r="AC897"/>
      <x:c r="AD897"/>
    </x:row>
    <x:row r="898">
      <x:c r="A898" t="str">
        <x:v>PCC-PE-KG01-L22-20251024-AM-ORD-2025-00057-S12-C3</x:v>
      </x:c>
      <x:c r="B898" t="str">
        <x:v>PC-PE-KG01-L22-20251024-AM-ORD-2025-00057-S12</x:v>
      </x:c>
      <x:c r="C898" t="str">
        <x:v>PE-KG01-L22-20251024-AM-ORD-2025-00057</x:v>
      </x:c>
      <x:c r="D898" t="str">
        <x:v>KG01</x:v>
      </x:c>
      <x:c r="E898" s="62" t="n">
        <x:v>45954</x:v>
      </x:c>
      <x:c r="F898" t="str">
        <x:v>AM</x:v>
      </x:c>
      <x:c r="G898" t="str">
        <x:v>A</x:v>
      </x:c>
      <x:c r="H898" t="n">
        <x:v>22</x:v>
      </x:c>
      <x:c r="I898" t="str">
        <x:v>ORD-2025-00057</x:v>
      </x:c>
      <x:c r="J898" t="n">
        <x:v>12</x:v>
      </x:c>
      <x:c r="K898" t="n">
        <x:v>3</x:v>
      </x:c>
      <x:c r="L898" t="str">
        <x:v>L22-S12-C3</x:v>
      </x:c>
      <x:c r="M898" t="n">
        <x:v>0</x:v>
      </x:c>
      <x:c r="N898" t="str">
        <x:v>DerivedFromCount</x:v>
      </x:c>
      <x:c r="O898" t="str">
        <x:v>PLC-PRD-JAR-720-L22</x:v>
      </x:c>
      <x:c r="P898" t="str">
        <x:v>OK</x:v>
      </x:c>
      <x:c r="Q898" t="str">
        <x:v>OK</x:v>
      </x:c>
      <x:c r="R898" t="str">
        <x:v>OK</x:v>
      </x:c>
      <x:c r="S898" t="str">
        <x:v>OK</x:v>
      </x:c>
      <x:c r="T898" t="n">
        <x:v>20</x:v>
      </x:c>
      <x:c r="U898" t="str">
        <x:v>OK</x:v>
      </x:c>
      <x:c r="V898" t="str">
        <x:v>OK</x:v>
      </x:c>
      <x:c r="W898" t="str">
        <x:v>LOAD</x:v>
      </x:c>
      <x:c r="X898" t="str">
        <x:v>02_Supervisor_Log(4).xlsx</x:v>
      </x:c>
      <x:c r="Y898" t="str">
        <x:v>ENH-20260830-01</x:v>
      </x:c>
      <x:c r="Z898" t="str">
        <x:v>Active</x:v>
      </x:c>
      <x:c r="AA898"/>
      <x:c r="AB898"/>
      <x:c r="AC898"/>
      <x:c r="AD898"/>
    </x:row>
    <x:row r="899">
      <x:c r="A899" t="str">
        <x:v>PCC-PE-KG01-L22-20251024-AM-ORD-2025-00057-S13-C1</x:v>
      </x:c>
      <x:c r="B899" t="str">
        <x:v>PC-PE-KG01-L22-20251024-AM-ORD-2025-00057-S13</x:v>
      </x:c>
      <x:c r="C899" t="str">
        <x:v>PE-KG01-L22-20251024-AM-ORD-2025-00057</x:v>
      </x:c>
      <x:c r="D899" t="str">
        <x:v>KG01</x:v>
      </x:c>
      <x:c r="E899" s="62" t="n">
        <x:v>45954</x:v>
      </x:c>
      <x:c r="F899" t="str">
        <x:v>AM</x:v>
      </x:c>
      <x:c r="G899" t="str">
        <x:v>A</x:v>
      </x:c>
      <x:c r="H899" t="n">
        <x:v>22</x:v>
      </x:c>
      <x:c r="I899" t="str">
        <x:v>ORD-2025-00057</x:v>
      </x:c>
      <x:c r="J899" t="n">
        <x:v>13</x:v>
      </x:c>
      <x:c r="K899" t="n">
        <x:v>1</x:v>
      </x:c>
      <x:c r="L899" t="str">
        <x:v>L22-S13-C1</x:v>
      </x:c>
      <x:c r="M899" t="n">
        <x:v>0</x:v>
      </x:c>
      <x:c r="N899" t="str">
        <x:v>DerivedFromCount</x:v>
      </x:c>
      <x:c r="O899" t="str">
        <x:v>PLC-PRD-JAR-720-L22</x:v>
      </x:c>
      <x:c r="P899" t="str">
        <x:v>OK</x:v>
      </x:c>
      <x:c r="Q899" t="str">
        <x:v>OK</x:v>
      </x:c>
      <x:c r="R899" t="str">
        <x:v>OK</x:v>
      </x:c>
      <x:c r="S899" t="str">
        <x:v>OK</x:v>
      </x:c>
      <x:c r="T899" t="n">
        <x:v>20</x:v>
      </x:c>
      <x:c r="U899" t="str">
        <x:v>OK</x:v>
      </x:c>
      <x:c r="V899" t="str">
        <x:v>OK</x:v>
      </x:c>
      <x:c r="W899" t="str">
        <x:v>LOAD</x:v>
      </x:c>
      <x:c r="X899" t="str">
        <x:v>02_Supervisor_Log(4).xlsx</x:v>
      </x:c>
      <x:c r="Y899" t="str">
        <x:v>ENH-20260830-01</x:v>
      </x:c>
      <x:c r="Z899" t="str">
        <x:v>Active</x:v>
      </x:c>
      <x:c r="AA899"/>
      <x:c r="AB899"/>
      <x:c r="AC899"/>
      <x:c r="AD899"/>
    </x:row>
    <x:row r="900">
      <x:c r="A900" t="str">
        <x:v>PCC-PE-KG01-L22-20251024-AM-ORD-2025-00057-S13-C2</x:v>
      </x:c>
      <x:c r="B900" t="str">
        <x:v>PC-PE-KG01-L22-20251024-AM-ORD-2025-00057-S13</x:v>
      </x:c>
      <x:c r="C900" t="str">
        <x:v>PE-KG01-L22-20251024-AM-ORD-2025-00057</x:v>
      </x:c>
      <x:c r="D900" t="str">
        <x:v>KG01</x:v>
      </x:c>
      <x:c r="E900" s="62" t="n">
        <x:v>45954</x:v>
      </x:c>
      <x:c r="F900" t="str">
        <x:v>AM</x:v>
      </x:c>
      <x:c r="G900" t="str">
        <x:v>A</x:v>
      </x:c>
      <x:c r="H900" t="n">
        <x:v>22</x:v>
      </x:c>
      <x:c r="I900" t="str">
        <x:v>ORD-2025-00057</x:v>
      </x:c>
      <x:c r="J900" t="n">
        <x:v>13</x:v>
      </x:c>
      <x:c r="K900" t="n">
        <x:v>2</x:v>
      </x:c>
      <x:c r="L900" t="str">
        <x:v>L22-S13-C2</x:v>
      </x:c>
      <x:c r="M900" t="n">
        <x:v>0</x:v>
      </x:c>
      <x:c r="N900" t="str">
        <x:v>DerivedFromCount</x:v>
      </x:c>
      <x:c r="O900" t="str">
        <x:v>PLC-PRD-JAR-720-L22</x:v>
      </x:c>
      <x:c r="P900" t="str">
        <x:v>OK</x:v>
      </x:c>
      <x:c r="Q900" t="str">
        <x:v>OK</x:v>
      </x:c>
      <x:c r="R900" t="str">
        <x:v>OK</x:v>
      </x:c>
      <x:c r="S900" t="str">
        <x:v>OK</x:v>
      </x:c>
      <x:c r="T900" t="n">
        <x:v>20</x:v>
      </x:c>
      <x:c r="U900" t="str">
        <x:v>OK</x:v>
      </x:c>
      <x:c r="V900" t="str">
        <x:v>OK</x:v>
      </x:c>
      <x:c r="W900" t="str">
        <x:v>LOAD</x:v>
      </x:c>
      <x:c r="X900" t="str">
        <x:v>02_Supervisor_Log(4).xlsx</x:v>
      </x:c>
      <x:c r="Y900" t="str">
        <x:v>ENH-20260830-01</x:v>
      </x:c>
      <x:c r="Z900" t="str">
        <x:v>Active</x:v>
      </x:c>
      <x:c r="AA900"/>
      <x:c r="AB900"/>
      <x:c r="AC900"/>
      <x:c r="AD900"/>
    </x:row>
    <x:row r="901">
      <x:c r="A901" t="str">
        <x:v>PCC-PE-KG01-L22-20251024-AM-ORD-2025-00057-S13-C3</x:v>
      </x:c>
      <x:c r="B901" t="str">
        <x:v>PC-PE-KG01-L22-20251024-AM-ORD-2025-00057-S13</x:v>
      </x:c>
      <x:c r="C901" t="str">
        <x:v>PE-KG01-L22-20251024-AM-ORD-2025-00057</x:v>
      </x:c>
      <x:c r="D901" t="str">
        <x:v>KG01</x:v>
      </x:c>
      <x:c r="E901" s="62" t="n">
        <x:v>45954</x:v>
      </x:c>
      <x:c r="F901" t="str">
        <x:v>AM</x:v>
      </x:c>
      <x:c r="G901" t="str">
        <x:v>A</x:v>
      </x:c>
      <x:c r="H901" t="n">
        <x:v>22</x:v>
      </x:c>
      <x:c r="I901" t="str">
        <x:v>ORD-2025-00057</x:v>
      </x:c>
      <x:c r="J901" t="n">
        <x:v>13</x:v>
      </x:c>
      <x:c r="K901" t="n">
        <x:v>3</x:v>
      </x:c>
      <x:c r="L901" t="str">
        <x:v>L22-S13-C3</x:v>
      </x:c>
      <x:c r="M901" t="n">
        <x:v>0</x:v>
      </x:c>
      <x:c r="N901" t="str">
        <x:v>DerivedFromCount</x:v>
      </x:c>
      <x:c r="O901" t="str">
        <x:v>PLC-PRD-JAR-720-L22</x:v>
      </x:c>
      <x:c r="P901" t="str">
        <x:v>OK</x:v>
      </x:c>
      <x:c r="Q901" t="str">
        <x:v>OK</x:v>
      </x:c>
      <x:c r="R901" t="str">
        <x:v>OK</x:v>
      </x:c>
      <x:c r="S901" t="str">
        <x:v>OK</x:v>
      </x:c>
      <x:c r="T901" t="n">
        <x:v>20</x:v>
      </x:c>
      <x:c r="U901" t="str">
        <x:v>OK</x:v>
      </x:c>
      <x:c r="V901" t="str">
        <x:v>OK</x:v>
      </x:c>
      <x:c r="W901" t="str">
        <x:v>LOAD</x:v>
      </x:c>
      <x:c r="X901" t="str">
        <x:v>02_Supervisor_Log(4).xlsx</x:v>
      </x:c>
      <x:c r="Y901" t="str">
        <x:v>ENH-20260830-01</x:v>
      </x:c>
      <x:c r="Z901" t="str">
        <x:v>Active</x:v>
      </x:c>
      <x:c r="AA901"/>
      <x:c r="AB901"/>
      <x:c r="AC901"/>
      <x:c r="AD901"/>
    </x:row>
    <x:row r="902">
      <x:c r="A902" t="str">
        <x:v>PCC-PE-KG01-L22-20251024-PM-ORD-2025-00057-S01-C1</x:v>
      </x:c>
      <x:c r="B902" t="str">
        <x:v>PC-PE-KG01-L22-20251024-PM-ORD-2025-00057-S01</x:v>
      </x:c>
      <x:c r="C902" t="str">
        <x:v>PE-KG01-L22-20251024-PM-ORD-2025-00057</x:v>
      </x:c>
      <x:c r="D902" t="str">
        <x:v>KG01</x:v>
      </x:c>
      <x:c r="E902" s="62" t="n">
        <x:v>45954</x:v>
      </x:c>
      <x:c r="F902" t="str">
        <x:v>PM</x:v>
      </x:c>
      <x:c r="G902" t="str">
        <x:v>B</x:v>
      </x:c>
      <x:c r="H902" t="n">
        <x:v>22</x:v>
      </x:c>
      <x:c r="I902" t="str">
        <x:v>ORD-2025-00057</x:v>
      </x:c>
      <x:c r="J902" t="n">
        <x:v>1</x:v>
      </x:c>
      <x:c r="K902" t="n">
        <x:v>1</x:v>
      </x:c>
      <x:c r="L902" t="str">
        <x:v>L22-S01-C1</x:v>
      </x:c>
      <x:c r="M902" t="n">
        <x:v>1</x:v>
      </x:c>
      <x:c r="N902" t="str">
        <x:v>DerivedFromCount</x:v>
      </x:c>
      <x:c r="O902" t="str">
        <x:v>PLC-PRD-JAR-720-L22</x:v>
      </x:c>
      <x:c r="P902" t="str">
        <x:v>OK</x:v>
      </x:c>
      <x:c r="Q902" t="str">
        <x:v>OK</x:v>
      </x:c>
      <x:c r="R902" t="str">
        <x:v>OK</x:v>
      </x:c>
      <x:c r="S902" t="str">
        <x:v>OK</x:v>
      </x:c>
      <x:c r="T902" t="n">
        <x:v>20</x:v>
      </x:c>
      <x:c r="U902" t="str">
        <x:v>OK</x:v>
      </x:c>
      <x:c r="V902" t="str">
        <x:v>OK</x:v>
      </x:c>
      <x:c r="W902" t="str">
        <x:v>LOAD</x:v>
      </x:c>
      <x:c r="X902" t="str">
        <x:v>02_Supervisor_Log(4).xlsx</x:v>
      </x:c>
      <x:c r="Y902" t="str">
        <x:v>ENH-20260830-01</x:v>
      </x:c>
      <x:c r="Z902" t="str">
        <x:v>Active</x:v>
      </x:c>
      <x:c r="AA902"/>
      <x:c r="AB902"/>
      <x:c r="AC902"/>
      <x:c r="AD902"/>
    </x:row>
    <x:row r="903">
      <x:c r="A903" t="str">
        <x:v>PCC-PE-KG01-L22-20251024-PM-ORD-2025-00057-S01-C2</x:v>
      </x:c>
      <x:c r="B903" t="str">
        <x:v>PC-PE-KG01-L22-20251024-PM-ORD-2025-00057-S01</x:v>
      </x:c>
      <x:c r="C903" t="str">
        <x:v>PE-KG01-L22-20251024-PM-ORD-2025-00057</x:v>
      </x:c>
      <x:c r="D903" t="str">
        <x:v>KG01</x:v>
      </x:c>
      <x:c r="E903" s="62" t="n">
        <x:v>45954</x:v>
      </x:c>
      <x:c r="F903" t="str">
        <x:v>PM</x:v>
      </x:c>
      <x:c r="G903" t="str">
        <x:v>B</x:v>
      </x:c>
      <x:c r="H903" t="n">
        <x:v>22</x:v>
      </x:c>
      <x:c r="I903" t="str">
        <x:v>ORD-2025-00057</x:v>
      </x:c>
      <x:c r="J903" t="n">
        <x:v>1</x:v>
      </x:c>
      <x:c r="K903" t="n">
        <x:v>2</x:v>
      </x:c>
      <x:c r="L903" t="str">
        <x:v>L22-S01-C2</x:v>
      </x:c>
      <x:c r="M903" t="n">
        <x:v>1</x:v>
      </x:c>
      <x:c r="N903" t="str">
        <x:v>DerivedFromCount</x:v>
      </x:c>
      <x:c r="O903" t="str">
        <x:v>PLC-PRD-JAR-720-L22</x:v>
      </x:c>
      <x:c r="P903" t="str">
        <x:v>OK</x:v>
      </x:c>
      <x:c r="Q903" t="str">
        <x:v>OK</x:v>
      </x:c>
      <x:c r="R903" t="str">
        <x:v>OK</x:v>
      </x:c>
      <x:c r="S903" t="str">
        <x:v>OK</x:v>
      </x:c>
      <x:c r="T903" t="n">
        <x:v>20</x:v>
      </x:c>
      <x:c r="U903" t="str">
        <x:v>OK</x:v>
      </x:c>
      <x:c r="V903" t="str">
        <x:v>OK</x:v>
      </x:c>
      <x:c r="W903" t="str">
        <x:v>LOAD</x:v>
      </x:c>
      <x:c r="X903" t="str">
        <x:v>02_Supervisor_Log(4).xlsx</x:v>
      </x:c>
      <x:c r="Y903" t="str">
        <x:v>ENH-20260830-01</x:v>
      </x:c>
      <x:c r="Z903" t="str">
        <x:v>Active</x:v>
      </x:c>
      <x:c r="AA903"/>
      <x:c r="AB903"/>
      <x:c r="AC903"/>
      <x:c r="AD903"/>
    </x:row>
    <x:row r="904">
      <x:c r="A904" t="str">
        <x:v>PCC-PE-KG01-L22-20251024-PM-ORD-2025-00057-S01-C3</x:v>
      </x:c>
      <x:c r="B904" t="str">
        <x:v>PC-PE-KG01-L22-20251024-PM-ORD-2025-00057-S01</x:v>
      </x:c>
      <x:c r="C904" t="str">
        <x:v>PE-KG01-L22-20251024-PM-ORD-2025-00057</x:v>
      </x:c>
      <x:c r="D904" t="str">
        <x:v>KG01</x:v>
      </x:c>
      <x:c r="E904" s="62" t="n">
        <x:v>45954</x:v>
      </x:c>
      <x:c r="F904" t="str">
        <x:v>PM</x:v>
      </x:c>
      <x:c r="G904" t="str">
        <x:v>B</x:v>
      </x:c>
      <x:c r="H904" t="n">
        <x:v>22</x:v>
      </x:c>
      <x:c r="I904" t="str">
        <x:v>ORD-2025-00057</x:v>
      </x:c>
      <x:c r="J904" t="n">
        <x:v>1</x:v>
      </x:c>
      <x:c r="K904" t="n">
        <x:v>3</x:v>
      </x:c>
      <x:c r="L904" t="str">
        <x:v>L22-S01-C3</x:v>
      </x:c>
      <x:c r="M904" t="n">
        <x:v>0</x:v>
      </x:c>
      <x:c r="N904" t="str">
        <x:v>DerivedFromCount</x:v>
      </x:c>
      <x:c r="O904" t="str">
        <x:v>PLC-PRD-JAR-720-L22</x:v>
      </x:c>
      <x:c r="P904" t="str">
        <x:v>OK</x:v>
      </x:c>
      <x:c r="Q904" t="str">
        <x:v>OK</x:v>
      </x:c>
      <x:c r="R904" t="str">
        <x:v>OK</x:v>
      </x:c>
      <x:c r="S904" t="str">
        <x:v>OK</x:v>
      </x:c>
      <x:c r="T904" t="n">
        <x:v>20</x:v>
      </x:c>
      <x:c r="U904" t="str">
        <x:v>OK</x:v>
      </x:c>
      <x:c r="V904" t="str">
        <x:v>OK</x:v>
      </x:c>
      <x:c r="W904" t="str">
        <x:v>LOAD</x:v>
      </x:c>
      <x:c r="X904" t="str">
        <x:v>02_Supervisor_Log(4).xlsx</x:v>
      </x:c>
      <x:c r="Y904" t="str">
        <x:v>ENH-20260830-01</x:v>
      </x:c>
      <x:c r="Z904" t="str">
        <x:v>Active</x:v>
      </x:c>
      <x:c r="AA904"/>
      <x:c r="AB904"/>
      <x:c r="AC904"/>
      <x:c r="AD904"/>
    </x:row>
    <x:row r="905">
      <x:c r="A905" t="str">
        <x:v>PCC-PE-KG01-L22-20251024-PM-ORD-2025-00057-S02-C1</x:v>
      </x:c>
      <x:c r="B905" t="str">
        <x:v>PC-PE-KG01-L22-20251024-PM-ORD-2025-00057-S02</x:v>
      </x:c>
      <x:c r="C905" t="str">
        <x:v>PE-KG01-L22-20251024-PM-ORD-2025-00057</x:v>
      </x:c>
      <x:c r="D905" t="str">
        <x:v>KG01</x:v>
      </x:c>
      <x:c r="E905" s="62" t="n">
        <x:v>45954</x:v>
      </x:c>
      <x:c r="F905" t="str">
        <x:v>PM</x:v>
      </x:c>
      <x:c r="G905" t="str">
        <x:v>B</x:v>
      </x:c>
      <x:c r="H905" t="n">
        <x:v>22</x:v>
      </x:c>
      <x:c r="I905" t="str">
        <x:v>ORD-2025-00057</x:v>
      </x:c>
      <x:c r="J905" t="n">
        <x:v>2</x:v>
      </x:c>
      <x:c r="K905" t="n">
        <x:v>1</x:v>
      </x:c>
      <x:c r="L905" t="str">
        <x:v>L22-S02-C1</x:v>
      </x:c>
      <x:c r="M905" t="n">
        <x:v>1</x:v>
      </x:c>
      <x:c r="N905" t="str">
        <x:v>DerivedFromCount</x:v>
      </x:c>
      <x:c r="O905" t="str">
        <x:v>PLC-PRD-JAR-720-L22</x:v>
      </x:c>
      <x:c r="P905" t="str">
        <x:v>OK</x:v>
      </x:c>
      <x:c r="Q905" t="str">
        <x:v>OK</x:v>
      </x:c>
      <x:c r="R905" t="str">
        <x:v>OK</x:v>
      </x:c>
      <x:c r="S905" t="str">
        <x:v>OK</x:v>
      </x:c>
      <x:c r="T905" t="n">
        <x:v>20</x:v>
      </x:c>
      <x:c r="U905" t="str">
        <x:v>OK</x:v>
      </x:c>
      <x:c r="V905" t="str">
        <x:v>OK</x:v>
      </x:c>
      <x:c r="W905" t="str">
        <x:v>LOAD</x:v>
      </x:c>
      <x:c r="X905" t="str">
        <x:v>02_Supervisor_Log(4).xlsx</x:v>
      </x:c>
      <x:c r="Y905" t="str">
        <x:v>ENH-20260830-01</x:v>
      </x:c>
      <x:c r="Z905" t="str">
        <x:v>Active</x:v>
      </x:c>
      <x:c r="AA905"/>
      <x:c r="AB905"/>
      <x:c r="AC905"/>
      <x:c r="AD905"/>
    </x:row>
    <x:row r="906">
      <x:c r="A906" t="str">
        <x:v>PCC-PE-KG01-L22-20251024-PM-ORD-2025-00057-S02-C2</x:v>
      </x:c>
      <x:c r="B906" t="str">
        <x:v>PC-PE-KG01-L22-20251024-PM-ORD-2025-00057-S02</x:v>
      </x:c>
      <x:c r="C906" t="str">
        <x:v>PE-KG01-L22-20251024-PM-ORD-2025-00057</x:v>
      </x:c>
      <x:c r="D906" t="str">
        <x:v>KG01</x:v>
      </x:c>
      <x:c r="E906" s="62" t="n">
        <x:v>45954</x:v>
      </x:c>
      <x:c r="F906" t="str">
        <x:v>PM</x:v>
      </x:c>
      <x:c r="G906" t="str">
        <x:v>B</x:v>
      </x:c>
      <x:c r="H906" t="n">
        <x:v>22</x:v>
      </x:c>
      <x:c r="I906" t="str">
        <x:v>ORD-2025-00057</x:v>
      </x:c>
      <x:c r="J906" t="n">
        <x:v>2</x:v>
      </x:c>
      <x:c r="K906" t="n">
        <x:v>2</x:v>
      </x:c>
      <x:c r="L906" t="str">
        <x:v>L22-S02-C2</x:v>
      </x:c>
      <x:c r="M906" t="n">
        <x:v>1</x:v>
      </x:c>
      <x:c r="N906" t="str">
        <x:v>DerivedFromCount</x:v>
      </x:c>
      <x:c r="O906" t="str">
        <x:v>PLC-PRD-JAR-720-L22</x:v>
      </x:c>
      <x:c r="P906" t="str">
        <x:v>OK</x:v>
      </x:c>
      <x:c r="Q906" t="str">
        <x:v>OK</x:v>
      </x:c>
      <x:c r="R906" t="str">
        <x:v>OK</x:v>
      </x:c>
      <x:c r="S906" t="str">
        <x:v>OK</x:v>
      </x:c>
      <x:c r="T906" t="n">
        <x:v>20</x:v>
      </x:c>
      <x:c r="U906" t="str">
        <x:v>OK</x:v>
      </x:c>
      <x:c r="V906" t="str">
        <x:v>OK</x:v>
      </x:c>
      <x:c r="W906" t="str">
        <x:v>LOAD</x:v>
      </x:c>
      <x:c r="X906" t="str">
        <x:v>02_Supervisor_Log(4).xlsx</x:v>
      </x:c>
      <x:c r="Y906" t="str">
        <x:v>ENH-20260830-01</x:v>
      </x:c>
      <x:c r="Z906" t="str">
        <x:v>Active</x:v>
      </x:c>
      <x:c r="AA906"/>
      <x:c r="AB906"/>
      <x:c r="AC906"/>
      <x:c r="AD906"/>
    </x:row>
    <x:row r="907">
      <x:c r="A907" t="str">
        <x:v>PCC-PE-KG01-L22-20251024-PM-ORD-2025-00057-S02-C3</x:v>
      </x:c>
      <x:c r="B907" t="str">
        <x:v>PC-PE-KG01-L22-20251024-PM-ORD-2025-00057-S02</x:v>
      </x:c>
      <x:c r="C907" t="str">
        <x:v>PE-KG01-L22-20251024-PM-ORD-2025-00057</x:v>
      </x:c>
      <x:c r="D907" t="str">
        <x:v>KG01</x:v>
      </x:c>
      <x:c r="E907" s="62" t="n">
        <x:v>45954</x:v>
      </x:c>
      <x:c r="F907" t="str">
        <x:v>PM</x:v>
      </x:c>
      <x:c r="G907" t="str">
        <x:v>B</x:v>
      </x:c>
      <x:c r="H907" t="n">
        <x:v>22</x:v>
      </x:c>
      <x:c r="I907" t="str">
        <x:v>ORD-2025-00057</x:v>
      </x:c>
      <x:c r="J907" t="n">
        <x:v>2</x:v>
      </x:c>
      <x:c r="K907" t="n">
        <x:v>3</x:v>
      </x:c>
      <x:c r="L907" t="str">
        <x:v>L22-S02-C3</x:v>
      </x:c>
      <x:c r="M907" t="n">
        <x:v>0</x:v>
      </x:c>
      <x:c r="N907" t="str">
        <x:v>DerivedFromCount</x:v>
      </x:c>
      <x:c r="O907" t="str">
        <x:v>PLC-PRD-JAR-720-L22</x:v>
      </x:c>
      <x:c r="P907" t="str">
        <x:v>OK</x:v>
      </x:c>
      <x:c r="Q907" t="str">
        <x:v>OK</x:v>
      </x:c>
      <x:c r="R907" t="str">
        <x:v>OK</x:v>
      </x:c>
      <x:c r="S907" t="str">
        <x:v>OK</x:v>
      </x:c>
      <x:c r="T907" t="n">
        <x:v>20</x:v>
      </x:c>
      <x:c r="U907" t="str">
        <x:v>OK</x:v>
      </x:c>
      <x:c r="V907" t="str">
        <x:v>OK</x:v>
      </x:c>
      <x:c r="W907" t="str">
        <x:v>LOAD</x:v>
      </x:c>
      <x:c r="X907" t="str">
        <x:v>02_Supervisor_Log(4).xlsx</x:v>
      </x:c>
      <x:c r="Y907" t="str">
        <x:v>ENH-20260830-01</x:v>
      </x:c>
      <x:c r="Z907" t="str">
        <x:v>Active</x:v>
      </x:c>
      <x:c r="AA907"/>
      <x:c r="AB907"/>
      <x:c r="AC907"/>
      <x:c r="AD907"/>
    </x:row>
    <x:row r="908">
      <x:c r="A908" t="str">
        <x:v>PCC-PE-KG01-L22-20251024-PM-ORD-2025-00057-S03-C1</x:v>
      </x:c>
      <x:c r="B908" t="str">
        <x:v>PC-PE-KG01-L22-20251024-PM-ORD-2025-00057-S03</x:v>
      </x:c>
      <x:c r="C908" t="str">
        <x:v>PE-KG01-L22-20251024-PM-ORD-2025-00057</x:v>
      </x:c>
      <x:c r="D908" t="str">
        <x:v>KG01</x:v>
      </x:c>
      <x:c r="E908" s="62" t="n">
        <x:v>45954</x:v>
      </x:c>
      <x:c r="F908" t="str">
        <x:v>PM</x:v>
      </x:c>
      <x:c r="G908" t="str">
        <x:v>B</x:v>
      </x:c>
      <x:c r="H908" t="n">
        <x:v>22</x:v>
      </x:c>
      <x:c r="I908" t="str">
        <x:v>ORD-2025-00057</x:v>
      </x:c>
      <x:c r="J908" t="n">
        <x:v>3</x:v>
      </x:c>
      <x:c r="K908" t="n">
        <x:v>1</x:v>
      </x:c>
      <x:c r="L908" t="str">
        <x:v>L22-S03-C1</x:v>
      </x:c>
      <x:c r="M908" t="n">
        <x:v>1</x:v>
      </x:c>
      <x:c r="N908" t="str">
        <x:v>DerivedFromCount</x:v>
      </x:c>
      <x:c r="O908" t="str">
        <x:v>PLC-PRD-JAR-720-L22</x:v>
      </x:c>
      <x:c r="P908" t="str">
        <x:v>OK</x:v>
      </x:c>
      <x:c r="Q908" t="str">
        <x:v>OK</x:v>
      </x:c>
      <x:c r="R908" t="str">
        <x:v>OK</x:v>
      </x:c>
      <x:c r="S908" t="str">
        <x:v>OK</x:v>
      </x:c>
      <x:c r="T908" t="n">
        <x:v>20</x:v>
      </x:c>
      <x:c r="U908" t="str">
        <x:v>OK</x:v>
      </x:c>
      <x:c r="V908" t="str">
        <x:v>OK</x:v>
      </x:c>
      <x:c r="W908" t="str">
        <x:v>LOAD</x:v>
      </x:c>
      <x:c r="X908" t="str">
        <x:v>02_Supervisor_Log(4).xlsx</x:v>
      </x:c>
      <x:c r="Y908" t="str">
        <x:v>ENH-20260830-01</x:v>
      </x:c>
      <x:c r="Z908" t="str">
        <x:v>Active</x:v>
      </x:c>
      <x:c r="AA908"/>
      <x:c r="AB908"/>
      <x:c r="AC908"/>
      <x:c r="AD908"/>
    </x:row>
    <x:row r="909">
      <x:c r="A909" t="str">
        <x:v>PCC-PE-KG01-L22-20251024-PM-ORD-2025-00057-S03-C2</x:v>
      </x:c>
      <x:c r="B909" t="str">
        <x:v>PC-PE-KG01-L22-20251024-PM-ORD-2025-00057-S03</x:v>
      </x:c>
      <x:c r="C909" t="str">
        <x:v>PE-KG01-L22-20251024-PM-ORD-2025-00057</x:v>
      </x:c>
      <x:c r="D909" t="str">
        <x:v>KG01</x:v>
      </x:c>
      <x:c r="E909" s="62" t="n">
        <x:v>45954</x:v>
      </x:c>
      <x:c r="F909" t="str">
        <x:v>PM</x:v>
      </x:c>
      <x:c r="G909" t="str">
        <x:v>B</x:v>
      </x:c>
      <x:c r="H909" t="n">
        <x:v>22</x:v>
      </x:c>
      <x:c r="I909" t="str">
        <x:v>ORD-2025-00057</x:v>
      </x:c>
      <x:c r="J909" t="n">
        <x:v>3</x:v>
      </x:c>
      <x:c r="K909" t="n">
        <x:v>2</x:v>
      </x:c>
      <x:c r="L909" t="str">
        <x:v>L22-S03-C2</x:v>
      </x:c>
      <x:c r="M909" t="n">
        <x:v>1</x:v>
      </x:c>
      <x:c r="N909" t="str">
        <x:v>DerivedFromCount</x:v>
      </x:c>
      <x:c r="O909" t="str">
        <x:v>PLC-PRD-JAR-720-L22</x:v>
      </x:c>
      <x:c r="P909" t="str">
        <x:v>OK</x:v>
      </x:c>
      <x:c r="Q909" t="str">
        <x:v>OK</x:v>
      </x:c>
      <x:c r="R909" t="str">
        <x:v>OK</x:v>
      </x:c>
      <x:c r="S909" t="str">
        <x:v>OK</x:v>
      </x:c>
      <x:c r="T909" t="n">
        <x:v>20</x:v>
      </x:c>
      <x:c r="U909" t="str">
        <x:v>OK</x:v>
      </x:c>
      <x:c r="V909" t="str">
        <x:v>OK</x:v>
      </x:c>
      <x:c r="W909" t="str">
        <x:v>LOAD</x:v>
      </x:c>
      <x:c r="X909" t="str">
        <x:v>02_Supervisor_Log(4).xlsx</x:v>
      </x:c>
      <x:c r="Y909" t="str">
        <x:v>ENH-20260830-01</x:v>
      </x:c>
      <x:c r="Z909" t="str">
        <x:v>Active</x:v>
      </x:c>
      <x:c r="AA909"/>
      <x:c r="AB909"/>
      <x:c r="AC909"/>
      <x:c r="AD909"/>
    </x:row>
    <x:row r="910">
      <x:c r="A910" t="str">
        <x:v>PCC-PE-KG01-L22-20251024-PM-ORD-2025-00057-S03-C3</x:v>
      </x:c>
      <x:c r="B910" t="str">
        <x:v>PC-PE-KG01-L22-20251024-PM-ORD-2025-00057-S03</x:v>
      </x:c>
      <x:c r="C910" t="str">
        <x:v>PE-KG01-L22-20251024-PM-ORD-2025-00057</x:v>
      </x:c>
      <x:c r="D910" t="str">
        <x:v>KG01</x:v>
      </x:c>
      <x:c r="E910" s="62" t="n">
        <x:v>45954</x:v>
      </x:c>
      <x:c r="F910" t="str">
        <x:v>PM</x:v>
      </x:c>
      <x:c r="G910" t="str">
        <x:v>B</x:v>
      </x:c>
      <x:c r="H910" t="n">
        <x:v>22</x:v>
      </x:c>
      <x:c r="I910" t="str">
        <x:v>ORD-2025-00057</x:v>
      </x:c>
      <x:c r="J910" t="n">
        <x:v>3</x:v>
      </x:c>
      <x:c r="K910" t="n">
        <x:v>3</x:v>
      </x:c>
      <x:c r="L910" t="str">
        <x:v>L22-S03-C3</x:v>
      </x:c>
      <x:c r="M910" t="n">
        <x:v>0</x:v>
      </x:c>
      <x:c r="N910" t="str">
        <x:v>DerivedFromCount</x:v>
      </x:c>
      <x:c r="O910" t="str">
        <x:v>PLC-PRD-JAR-720-L22</x:v>
      </x:c>
      <x:c r="P910" t="str">
        <x:v>OK</x:v>
      </x:c>
      <x:c r="Q910" t="str">
        <x:v>OK</x:v>
      </x:c>
      <x:c r="R910" t="str">
        <x:v>OK</x:v>
      </x:c>
      <x:c r="S910" t="str">
        <x:v>OK</x:v>
      </x:c>
      <x:c r="T910" t="n">
        <x:v>20</x:v>
      </x:c>
      <x:c r="U910" t="str">
        <x:v>OK</x:v>
      </x:c>
      <x:c r="V910" t="str">
        <x:v>OK</x:v>
      </x:c>
      <x:c r="W910" t="str">
        <x:v>LOAD</x:v>
      </x:c>
      <x:c r="X910" t="str">
        <x:v>02_Supervisor_Log(4).xlsx</x:v>
      </x:c>
      <x:c r="Y910" t="str">
        <x:v>ENH-20260830-01</x:v>
      </x:c>
      <x:c r="Z910" t="str">
        <x:v>Active</x:v>
      </x:c>
      <x:c r="AA910"/>
      <x:c r="AB910"/>
      <x:c r="AC910"/>
      <x:c r="AD910"/>
    </x:row>
    <x:row r="911">
      <x:c r="A911" t="str">
        <x:v>PCC-PE-KG01-L22-20251024-PM-ORD-2025-00057-S04-C1</x:v>
      </x:c>
      <x:c r="B911" t="str">
        <x:v>PC-PE-KG01-L22-20251024-PM-ORD-2025-00057-S04</x:v>
      </x:c>
      <x:c r="C911" t="str">
        <x:v>PE-KG01-L22-20251024-PM-ORD-2025-00057</x:v>
      </x:c>
      <x:c r="D911" t="str">
        <x:v>KG01</x:v>
      </x:c>
      <x:c r="E911" s="62" t="n">
        <x:v>45954</x:v>
      </x:c>
      <x:c r="F911" t="str">
        <x:v>PM</x:v>
      </x:c>
      <x:c r="G911" t="str">
        <x:v>B</x:v>
      </x:c>
      <x:c r="H911" t="n">
        <x:v>22</x:v>
      </x:c>
      <x:c r="I911" t="str">
        <x:v>ORD-2025-00057</x:v>
      </x:c>
      <x:c r="J911" t="n">
        <x:v>4</x:v>
      </x:c>
      <x:c r="K911" t="n">
        <x:v>1</x:v>
      </x:c>
      <x:c r="L911" t="str">
        <x:v>L22-S04-C1</x:v>
      </x:c>
      <x:c r="M911" t="n">
        <x:v>1</x:v>
      </x:c>
      <x:c r="N911" t="str">
        <x:v>DerivedFromCount</x:v>
      </x:c>
      <x:c r="O911" t="str">
        <x:v>PLC-PRD-JAR-720-L22</x:v>
      </x:c>
      <x:c r="P911" t="str">
        <x:v>OK</x:v>
      </x:c>
      <x:c r="Q911" t="str">
        <x:v>OK</x:v>
      </x:c>
      <x:c r="R911" t="str">
        <x:v>OK</x:v>
      </x:c>
      <x:c r="S911" t="str">
        <x:v>OK</x:v>
      </x:c>
      <x:c r="T911" t="n">
        <x:v>20</x:v>
      </x:c>
      <x:c r="U911" t="str">
        <x:v>OK</x:v>
      </x:c>
      <x:c r="V911" t="str">
        <x:v>OK</x:v>
      </x:c>
      <x:c r="W911" t="str">
        <x:v>LOAD</x:v>
      </x:c>
      <x:c r="X911" t="str">
        <x:v>02_Supervisor_Log(4).xlsx</x:v>
      </x:c>
      <x:c r="Y911" t="str">
        <x:v>ENH-20260830-01</x:v>
      </x:c>
      <x:c r="Z911" t="str">
        <x:v>Active</x:v>
      </x:c>
      <x:c r="AA911"/>
      <x:c r="AB911"/>
      <x:c r="AC911"/>
      <x:c r="AD911"/>
    </x:row>
    <x:row r="912">
      <x:c r="A912" t="str">
        <x:v>PCC-PE-KG01-L22-20251024-PM-ORD-2025-00057-S04-C2</x:v>
      </x:c>
      <x:c r="B912" t="str">
        <x:v>PC-PE-KG01-L22-20251024-PM-ORD-2025-00057-S04</x:v>
      </x:c>
      <x:c r="C912" t="str">
        <x:v>PE-KG01-L22-20251024-PM-ORD-2025-00057</x:v>
      </x:c>
      <x:c r="D912" t="str">
        <x:v>KG01</x:v>
      </x:c>
      <x:c r="E912" s="62" t="n">
        <x:v>45954</x:v>
      </x:c>
      <x:c r="F912" t="str">
        <x:v>PM</x:v>
      </x:c>
      <x:c r="G912" t="str">
        <x:v>B</x:v>
      </x:c>
      <x:c r="H912" t="n">
        <x:v>22</x:v>
      </x:c>
      <x:c r="I912" t="str">
        <x:v>ORD-2025-00057</x:v>
      </x:c>
      <x:c r="J912" t="n">
        <x:v>4</x:v>
      </x:c>
      <x:c r="K912" t="n">
        <x:v>2</x:v>
      </x:c>
      <x:c r="L912" t="str">
        <x:v>L22-S04-C2</x:v>
      </x:c>
      <x:c r="M912" t="n">
        <x:v>1</x:v>
      </x:c>
      <x:c r="N912" t="str">
        <x:v>DerivedFromCount</x:v>
      </x:c>
      <x:c r="O912" t="str">
        <x:v>PLC-PRD-JAR-720-L22</x:v>
      </x:c>
      <x:c r="P912" t="str">
        <x:v>OK</x:v>
      </x:c>
      <x:c r="Q912" t="str">
        <x:v>OK</x:v>
      </x:c>
      <x:c r="R912" t="str">
        <x:v>OK</x:v>
      </x:c>
      <x:c r="S912" t="str">
        <x:v>OK</x:v>
      </x:c>
      <x:c r="T912" t="n">
        <x:v>20</x:v>
      </x:c>
      <x:c r="U912" t="str">
        <x:v>OK</x:v>
      </x:c>
      <x:c r="V912" t="str">
        <x:v>OK</x:v>
      </x:c>
      <x:c r="W912" t="str">
        <x:v>LOAD</x:v>
      </x:c>
      <x:c r="X912" t="str">
        <x:v>02_Supervisor_Log(4).xlsx</x:v>
      </x:c>
      <x:c r="Y912" t="str">
        <x:v>ENH-20260830-01</x:v>
      </x:c>
      <x:c r="Z912" t="str">
        <x:v>Active</x:v>
      </x:c>
      <x:c r="AA912"/>
      <x:c r="AB912"/>
      <x:c r="AC912"/>
      <x:c r="AD912"/>
    </x:row>
    <x:row r="913">
      <x:c r="A913" t="str">
        <x:v>PCC-PE-KG01-L22-20251024-PM-ORD-2025-00057-S04-C3</x:v>
      </x:c>
      <x:c r="B913" t="str">
        <x:v>PC-PE-KG01-L22-20251024-PM-ORD-2025-00057-S04</x:v>
      </x:c>
      <x:c r="C913" t="str">
        <x:v>PE-KG01-L22-20251024-PM-ORD-2025-00057</x:v>
      </x:c>
      <x:c r="D913" t="str">
        <x:v>KG01</x:v>
      </x:c>
      <x:c r="E913" s="62" t="n">
        <x:v>45954</x:v>
      </x:c>
      <x:c r="F913" t="str">
        <x:v>PM</x:v>
      </x:c>
      <x:c r="G913" t="str">
        <x:v>B</x:v>
      </x:c>
      <x:c r="H913" t="n">
        <x:v>22</x:v>
      </x:c>
      <x:c r="I913" t="str">
        <x:v>ORD-2025-00057</x:v>
      </x:c>
      <x:c r="J913" t="n">
        <x:v>4</x:v>
      </x:c>
      <x:c r="K913" t="n">
        <x:v>3</x:v>
      </x:c>
      <x:c r="L913" t="str">
        <x:v>L22-S04-C3</x:v>
      </x:c>
      <x:c r="M913" t="n">
        <x:v>0</x:v>
      </x:c>
      <x:c r="N913" t="str">
        <x:v>DerivedFromCount</x:v>
      </x:c>
      <x:c r="O913" t="str">
        <x:v>PLC-PRD-JAR-720-L22</x:v>
      </x:c>
      <x:c r="P913" t="str">
        <x:v>OK</x:v>
      </x:c>
      <x:c r="Q913" t="str">
        <x:v>OK</x:v>
      </x:c>
      <x:c r="R913" t="str">
        <x:v>OK</x:v>
      </x:c>
      <x:c r="S913" t="str">
        <x:v>OK</x:v>
      </x:c>
      <x:c r="T913" t="n">
        <x:v>20</x:v>
      </x:c>
      <x:c r="U913" t="str">
        <x:v>OK</x:v>
      </x:c>
      <x:c r="V913" t="str">
        <x:v>OK</x:v>
      </x:c>
      <x:c r="W913" t="str">
        <x:v>LOAD</x:v>
      </x:c>
      <x:c r="X913" t="str">
        <x:v>02_Supervisor_Log(4).xlsx</x:v>
      </x:c>
      <x:c r="Y913" t="str">
        <x:v>ENH-20260830-01</x:v>
      </x:c>
      <x:c r="Z913" t="str">
        <x:v>Active</x:v>
      </x:c>
      <x:c r="AA913"/>
      <x:c r="AB913"/>
      <x:c r="AC913"/>
      <x:c r="AD913"/>
    </x:row>
    <x:row r="914">
      <x:c r="A914" t="str">
        <x:v>PCC-PE-KG01-L22-20251024-PM-ORD-2025-00057-S05-C1</x:v>
      </x:c>
      <x:c r="B914" t="str">
        <x:v>PC-PE-KG01-L22-20251024-PM-ORD-2025-00057-S05</x:v>
      </x:c>
      <x:c r="C914" t="str">
        <x:v>PE-KG01-L22-20251024-PM-ORD-2025-00057</x:v>
      </x:c>
      <x:c r="D914" t="str">
        <x:v>KG01</x:v>
      </x:c>
      <x:c r="E914" s="62" t="n">
        <x:v>45954</x:v>
      </x:c>
      <x:c r="F914" t="str">
        <x:v>PM</x:v>
      </x:c>
      <x:c r="G914" t="str">
        <x:v>B</x:v>
      </x:c>
      <x:c r="H914" t="n">
        <x:v>22</x:v>
      </x:c>
      <x:c r="I914" t="str">
        <x:v>ORD-2025-00057</x:v>
      </x:c>
      <x:c r="J914" t="n">
        <x:v>5</x:v>
      </x:c>
      <x:c r="K914" t="n">
        <x:v>1</x:v>
      </x:c>
      <x:c r="L914" t="str">
        <x:v>L22-S05-C1</x:v>
      </x:c>
      <x:c r="M914" t="n">
        <x:v>1</x:v>
      </x:c>
      <x:c r="N914" t="str">
        <x:v>DerivedFromCount</x:v>
      </x:c>
      <x:c r="O914" t="str">
        <x:v>PLC-PRD-JAR-720-L22</x:v>
      </x:c>
      <x:c r="P914" t="str">
        <x:v>OK</x:v>
      </x:c>
      <x:c r="Q914" t="str">
        <x:v>OK</x:v>
      </x:c>
      <x:c r="R914" t="str">
        <x:v>OK</x:v>
      </x:c>
      <x:c r="S914" t="str">
        <x:v>OK</x:v>
      </x:c>
      <x:c r="T914" t="n">
        <x:v>20</x:v>
      </x:c>
      <x:c r="U914" t="str">
        <x:v>OK</x:v>
      </x:c>
      <x:c r="V914" t="str">
        <x:v>OK</x:v>
      </x:c>
      <x:c r="W914" t="str">
        <x:v>LOAD</x:v>
      </x:c>
      <x:c r="X914" t="str">
        <x:v>02_Supervisor_Log(4).xlsx</x:v>
      </x:c>
      <x:c r="Y914" t="str">
        <x:v>ENH-20260830-01</x:v>
      </x:c>
      <x:c r="Z914" t="str">
        <x:v>Active</x:v>
      </x:c>
      <x:c r="AA914"/>
      <x:c r="AB914"/>
      <x:c r="AC914"/>
      <x:c r="AD914"/>
    </x:row>
    <x:row r="915">
      <x:c r="A915" t="str">
        <x:v>PCC-PE-KG01-L22-20251024-PM-ORD-2025-00057-S05-C2</x:v>
      </x:c>
      <x:c r="B915" t="str">
        <x:v>PC-PE-KG01-L22-20251024-PM-ORD-2025-00057-S05</x:v>
      </x:c>
      <x:c r="C915" t="str">
        <x:v>PE-KG01-L22-20251024-PM-ORD-2025-00057</x:v>
      </x:c>
      <x:c r="D915" t="str">
        <x:v>KG01</x:v>
      </x:c>
      <x:c r="E915" s="62" t="n">
        <x:v>45954</x:v>
      </x:c>
      <x:c r="F915" t="str">
        <x:v>PM</x:v>
      </x:c>
      <x:c r="G915" t="str">
        <x:v>B</x:v>
      </x:c>
      <x:c r="H915" t="n">
        <x:v>22</x:v>
      </x:c>
      <x:c r="I915" t="str">
        <x:v>ORD-2025-00057</x:v>
      </x:c>
      <x:c r="J915" t="n">
        <x:v>5</x:v>
      </x:c>
      <x:c r="K915" t="n">
        <x:v>2</x:v>
      </x:c>
      <x:c r="L915" t="str">
        <x:v>L22-S05-C2</x:v>
      </x:c>
      <x:c r="M915" t="n">
        <x:v>1</x:v>
      </x:c>
      <x:c r="N915" t="str">
        <x:v>DerivedFromCount</x:v>
      </x:c>
      <x:c r="O915" t="str">
        <x:v>PLC-PRD-JAR-720-L22</x:v>
      </x:c>
      <x:c r="P915" t="str">
        <x:v>OK</x:v>
      </x:c>
      <x:c r="Q915" t="str">
        <x:v>OK</x:v>
      </x:c>
      <x:c r="R915" t="str">
        <x:v>OK</x:v>
      </x:c>
      <x:c r="S915" t="str">
        <x:v>OK</x:v>
      </x:c>
      <x:c r="T915" t="n">
        <x:v>20</x:v>
      </x:c>
      <x:c r="U915" t="str">
        <x:v>OK</x:v>
      </x:c>
      <x:c r="V915" t="str">
        <x:v>OK</x:v>
      </x:c>
      <x:c r="W915" t="str">
        <x:v>LOAD</x:v>
      </x:c>
      <x:c r="X915" t="str">
        <x:v>02_Supervisor_Log(4).xlsx</x:v>
      </x:c>
      <x:c r="Y915" t="str">
        <x:v>ENH-20260830-01</x:v>
      </x:c>
      <x:c r="Z915" t="str">
        <x:v>Active</x:v>
      </x:c>
      <x:c r="AA915"/>
      <x:c r="AB915"/>
      <x:c r="AC915"/>
      <x:c r="AD915"/>
    </x:row>
    <x:row r="916">
      <x:c r="A916" t="str">
        <x:v>PCC-PE-KG01-L22-20251024-PM-ORD-2025-00057-S05-C3</x:v>
      </x:c>
      <x:c r="B916" t="str">
        <x:v>PC-PE-KG01-L22-20251024-PM-ORD-2025-00057-S05</x:v>
      </x:c>
      <x:c r="C916" t="str">
        <x:v>PE-KG01-L22-20251024-PM-ORD-2025-00057</x:v>
      </x:c>
      <x:c r="D916" t="str">
        <x:v>KG01</x:v>
      </x:c>
      <x:c r="E916" s="62" t="n">
        <x:v>45954</x:v>
      </x:c>
      <x:c r="F916" t="str">
        <x:v>PM</x:v>
      </x:c>
      <x:c r="G916" t="str">
        <x:v>B</x:v>
      </x:c>
      <x:c r="H916" t="n">
        <x:v>22</x:v>
      </x:c>
      <x:c r="I916" t="str">
        <x:v>ORD-2025-00057</x:v>
      </x:c>
      <x:c r="J916" t="n">
        <x:v>5</x:v>
      </x:c>
      <x:c r="K916" t="n">
        <x:v>3</x:v>
      </x:c>
      <x:c r="L916" t="str">
        <x:v>L22-S05-C3</x:v>
      </x:c>
      <x:c r="M916" t="n">
        <x:v>0</x:v>
      </x:c>
      <x:c r="N916" t="str">
        <x:v>DerivedFromCount</x:v>
      </x:c>
      <x:c r="O916" t="str">
        <x:v>PLC-PRD-JAR-720-L22</x:v>
      </x:c>
      <x:c r="P916" t="str">
        <x:v>OK</x:v>
      </x:c>
      <x:c r="Q916" t="str">
        <x:v>OK</x:v>
      </x:c>
      <x:c r="R916" t="str">
        <x:v>OK</x:v>
      </x:c>
      <x:c r="S916" t="str">
        <x:v>OK</x:v>
      </x:c>
      <x:c r="T916" t="n">
        <x:v>20</x:v>
      </x:c>
      <x:c r="U916" t="str">
        <x:v>OK</x:v>
      </x:c>
      <x:c r="V916" t="str">
        <x:v>OK</x:v>
      </x:c>
      <x:c r="W916" t="str">
        <x:v>LOAD</x:v>
      </x:c>
      <x:c r="X916" t="str">
        <x:v>02_Supervisor_Log(4).xlsx</x:v>
      </x:c>
      <x:c r="Y916" t="str">
        <x:v>ENH-20260830-01</x:v>
      </x:c>
      <x:c r="Z916" t="str">
        <x:v>Active</x:v>
      </x:c>
      <x:c r="AA916"/>
      <x:c r="AB916"/>
      <x:c r="AC916"/>
      <x:c r="AD916"/>
    </x:row>
    <x:row r="917">
      <x:c r="A917" t="str">
        <x:v>PCC-PE-KG01-L22-20251024-PM-ORD-2025-00057-S06-C1</x:v>
      </x:c>
      <x:c r="B917" t="str">
        <x:v>PC-PE-KG01-L22-20251024-PM-ORD-2025-00057-S06</x:v>
      </x:c>
      <x:c r="C917" t="str">
        <x:v>PE-KG01-L22-20251024-PM-ORD-2025-00057</x:v>
      </x:c>
      <x:c r="D917" t="str">
        <x:v>KG01</x:v>
      </x:c>
      <x:c r="E917" s="62" t="n">
        <x:v>45954</x:v>
      </x:c>
      <x:c r="F917" t="str">
        <x:v>PM</x:v>
      </x:c>
      <x:c r="G917" t="str">
        <x:v>B</x:v>
      </x:c>
      <x:c r="H917" t="n">
        <x:v>22</x:v>
      </x:c>
      <x:c r="I917" t="str">
        <x:v>ORD-2025-00057</x:v>
      </x:c>
      <x:c r="J917" t="n">
        <x:v>6</x:v>
      </x:c>
      <x:c r="K917" t="n">
        <x:v>1</x:v>
      </x:c>
      <x:c r="L917" t="str">
        <x:v>L22-S06-C1</x:v>
      </x:c>
      <x:c r="M917" t="n">
        <x:v>1</x:v>
      </x:c>
      <x:c r="N917" t="str">
        <x:v>DerivedFromCount</x:v>
      </x:c>
      <x:c r="O917" t="str">
        <x:v>PLC-PRD-JAR-720-L22</x:v>
      </x:c>
      <x:c r="P917" t="str">
        <x:v>OK</x:v>
      </x:c>
      <x:c r="Q917" t="str">
        <x:v>OK</x:v>
      </x:c>
      <x:c r="R917" t="str">
        <x:v>OK</x:v>
      </x:c>
      <x:c r="S917" t="str">
        <x:v>OK</x:v>
      </x:c>
      <x:c r="T917" t="n">
        <x:v>20</x:v>
      </x:c>
      <x:c r="U917" t="str">
        <x:v>OK</x:v>
      </x:c>
      <x:c r="V917" t="str">
        <x:v>OK</x:v>
      </x:c>
      <x:c r="W917" t="str">
        <x:v>LOAD</x:v>
      </x:c>
      <x:c r="X917" t="str">
        <x:v>02_Supervisor_Log(4).xlsx</x:v>
      </x:c>
      <x:c r="Y917" t="str">
        <x:v>ENH-20260830-01</x:v>
      </x:c>
      <x:c r="Z917" t="str">
        <x:v>Active</x:v>
      </x:c>
      <x:c r="AA917"/>
      <x:c r="AB917"/>
      <x:c r="AC917"/>
      <x:c r="AD917"/>
    </x:row>
    <x:row r="918">
      <x:c r="A918" t="str">
        <x:v>PCC-PE-KG01-L22-20251024-PM-ORD-2025-00057-S06-C2</x:v>
      </x:c>
      <x:c r="B918" t="str">
        <x:v>PC-PE-KG01-L22-20251024-PM-ORD-2025-00057-S06</x:v>
      </x:c>
      <x:c r="C918" t="str">
        <x:v>PE-KG01-L22-20251024-PM-ORD-2025-00057</x:v>
      </x:c>
      <x:c r="D918" t="str">
        <x:v>KG01</x:v>
      </x:c>
      <x:c r="E918" s="62" t="n">
        <x:v>45954</x:v>
      </x:c>
      <x:c r="F918" t="str">
        <x:v>PM</x:v>
      </x:c>
      <x:c r="G918" t="str">
        <x:v>B</x:v>
      </x:c>
      <x:c r="H918" t="n">
        <x:v>22</x:v>
      </x:c>
      <x:c r="I918" t="str">
        <x:v>ORD-2025-00057</x:v>
      </x:c>
      <x:c r="J918" t="n">
        <x:v>6</x:v>
      </x:c>
      <x:c r="K918" t="n">
        <x:v>2</x:v>
      </x:c>
      <x:c r="L918" t="str">
        <x:v>L22-S06-C2</x:v>
      </x:c>
      <x:c r="M918" t="n">
        <x:v>1</x:v>
      </x:c>
      <x:c r="N918" t="str">
        <x:v>DerivedFromCount</x:v>
      </x:c>
      <x:c r="O918" t="str">
        <x:v>PLC-PRD-JAR-720-L22</x:v>
      </x:c>
      <x:c r="P918" t="str">
        <x:v>OK</x:v>
      </x:c>
      <x:c r="Q918" t="str">
        <x:v>OK</x:v>
      </x:c>
      <x:c r="R918" t="str">
        <x:v>OK</x:v>
      </x:c>
      <x:c r="S918" t="str">
        <x:v>OK</x:v>
      </x:c>
      <x:c r="T918" t="n">
        <x:v>20</x:v>
      </x:c>
      <x:c r="U918" t="str">
        <x:v>OK</x:v>
      </x:c>
      <x:c r="V918" t="str">
        <x:v>OK</x:v>
      </x:c>
      <x:c r="W918" t="str">
        <x:v>LOAD</x:v>
      </x:c>
      <x:c r="X918" t="str">
        <x:v>02_Supervisor_Log(4).xlsx</x:v>
      </x:c>
      <x:c r="Y918" t="str">
        <x:v>ENH-20260830-01</x:v>
      </x:c>
      <x:c r="Z918" t="str">
        <x:v>Active</x:v>
      </x:c>
      <x:c r="AA918"/>
      <x:c r="AB918"/>
      <x:c r="AC918"/>
      <x:c r="AD918"/>
    </x:row>
    <x:row r="919">
      <x:c r="A919" t="str">
        <x:v>PCC-PE-KG01-L22-20251024-PM-ORD-2025-00057-S06-C3</x:v>
      </x:c>
      <x:c r="B919" t="str">
        <x:v>PC-PE-KG01-L22-20251024-PM-ORD-2025-00057-S06</x:v>
      </x:c>
      <x:c r="C919" t="str">
        <x:v>PE-KG01-L22-20251024-PM-ORD-2025-00057</x:v>
      </x:c>
      <x:c r="D919" t="str">
        <x:v>KG01</x:v>
      </x:c>
      <x:c r="E919" s="62" t="n">
        <x:v>45954</x:v>
      </x:c>
      <x:c r="F919" t="str">
        <x:v>PM</x:v>
      </x:c>
      <x:c r="G919" t="str">
        <x:v>B</x:v>
      </x:c>
      <x:c r="H919" t="n">
        <x:v>22</x:v>
      </x:c>
      <x:c r="I919" t="str">
        <x:v>ORD-2025-00057</x:v>
      </x:c>
      <x:c r="J919" t="n">
        <x:v>6</x:v>
      </x:c>
      <x:c r="K919" t="n">
        <x:v>3</x:v>
      </x:c>
      <x:c r="L919" t="str">
        <x:v>L22-S06-C3</x:v>
      </x:c>
      <x:c r="M919" t="n">
        <x:v>0</x:v>
      </x:c>
      <x:c r="N919" t="str">
        <x:v>DerivedFromCount</x:v>
      </x:c>
      <x:c r="O919" t="str">
        <x:v>PLC-PRD-JAR-720-L22</x:v>
      </x:c>
      <x:c r="P919" t="str">
        <x:v>OK</x:v>
      </x:c>
      <x:c r="Q919" t="str">
        <x:v>OK</x:v>
      </x:c>
      <x:c r="R919" t="str">
        <x:v>OK</x:v>
      </x:c>
      <x:c r="S919" t="str">
        <x:v>OK</x:v>
      </x:c>
      <x:c r="T919" t="n">
        <x:v>20</x:v>
      </x:c>
      <x:c r="U919" t="str">
        <x:v>OK</x:v>
      </x:c>
      <x:c r="V919" t="str">
        <x:v>OK</x:v>
      </x:c>
      <x:c r="W919" t="str">
        <x:v>LOAD</x:v>
      </x:c>
      <x:c r="X919" t="str">
        <x:v>02_Supervisor_Log(4).xlsx</x:v>
      </x:c>
      <x:c r="Y919" t="str">
        <x:v>ENH-20260830-01</x:v>
      </x:c>
      <x:c r="Z919" t="str">
        <x:v>Active</x:v>
      </x:c>
      <x:c r="AA919"/>
      <x:c r="AB919"/>
      <x:c r="AC919"/>
      <x:c r="AD919"/>
    </x:row>
    <x:row r="920">
      <x:c r="A920" t="str">
        <x:v>PCC-PE-KG01-L22-20251024-PM-ORD-2025-00057-S07-C1</x:v>
      </x:c>
      <x:c r="B920" t="str">
        <x:v>PC-PE-KG01-L22-20251024-PM-ORD-2025-00057-S07</x:v>
      </x:c>
      <x:c r="C920" t="str">
        <x:v>PE-KG01-L22-20251024-PM-ORD-2025-00057</x:v>
      </x:c>
      <x:c r="D920" t="str">
        <x:v>KG01</x:v>
      </x:c>
      <x:c r="E920" s="62" t="n">
        <x:v>45954</x:v>
      </x:c>
      <x:c r="F920" t="str">
        <x:v>PM</x:v>
      </x:c>
      <x:c r="G920" t="str">
        <x:v>B</x:v>
      </x:c>
      <x:c r="H920" t="n">
        <x:v>22</x:v>
      </x:c>
      <x:c r="I920" t="str">
        <x:v>ORD-2025-00057</x:v>
      </x:c>
      <x:c r="J920" t="n">
        <x:v>7</x:v>
      </x:c>
      <x:c r="K920" t="n">
        <x:v>1</x:v>
      </x:c>
      <x:c r="L920" t="str">
        <x:v>L22-S07-C1</x:v>
      </x:c>
      <x:c r="M920" t="n">
        <x:v>1</x:v>
      </x:c>
      <x:c r="N920" t="str">
        <x:v>DerivedFromCount</x:v>
      </x:c>
      <x:c r="O920" t="str">
        <x:v>PLC-PRD-JAR-720-L22</x:v>
      </x:c>
      <x:c r="P920" t="str">
        <x:v>OK</x:v>
      </x:c>
      <x:c r="Q920" t="str">
        <x:v>OK</x:v>
      </x:c>
      <x:c r="R920" t="str">
        <x:v>OK</x:v>
      </x:c>
      <x:c r="S920" t="str">
        <x:v>OK</x:v>
      </x:c>
      <x:c r="T920" t="n">
        <x:v>20</x:v>
      </x:c>
      <x:c r="U920" t="str">
        <x:v>OK</x:v>
      </x:c>
      <x:c r="V920" t="str">
        <x:v>OK</x:v>
      </x:c>
      <x:c r="W920" t="str">
        <x:v>LOAD</x:v>
      </x:c>
      <x:c r="X920" t="str">
        <x:v>02_Supervisor_Log(4).xlsx</x:v>
      </x:c>
      <x:c r="Y920" t="str">
        <x:v>ENH-20260830-01</x:v>
      </x:c>
      <x:c r="Z920" t="str">
        <x:v>Active</x:v>
      </x:c>
      <x:c r="AA920"/>
      <x:c r="AB920"/>
      <x:c r="AC920"/>
      <x:c r="AD920"/>
    </x:row>
    <x:row r="921">
      <x:c r="A921" t="str">
        <x:v>PCC-PE-KG01-L22-20251024-PM-ORD-2025-00057-S07-C2</x:v>
      </x:c>
      <x:c r="B921" t="str">
        <x:v>PC-PE-KG01-L22-20251024-PM-ORD-2025-00057-S07</x:v>
      </x:c>
      <x:c r="C921" t="str">
        <x:v>PE-KG01-L22-20251024-PM-ORD-2025-00057</x:v>
      </x:c>
      <x:c r="D921" t="str">
        <x:v>KG01</x:v>
      </x:c>
      <x:c r="E921" s="62" t="n">
        <x:v>45954</x:v>
      </x:c>
      <x:c r="F921" t="str">
        <x:v>PM</x:v>
      </x:c>
      <x:c r="G921" t="str">
        <x:v>B</x:v>
      </x:c>
      <x:c r="H921" t="n">
        <x:v>22</x:v>
      </x:c>
      <x:c r="I921" t="str">
        <x:v>ORD-2025-00057</x:v>
      </x:c>
      <x:c r="J921" t="n">
        <x:v>7</x:v>
      </x:c>
      <x:c r="K921" t="n">
        <x:v>2</x:v>
      </x:c>
      <x:c r="L921" t="str">
        <x:v>L22-S07-C2</x:v>
      </x:c>
      <x:c r="M921" t="n">
        <x:v>1</x:v>
      </x:c>
      <x:c r="N921" t="str">
        <x:v>DerivedFromCount</x:v>
      </x:c>
      <x:c r="O921" t="str">
        <x:v>PLC-PRD-JAR-720-L22</x:v>
      </x:c>
      <x:c r="P921" t="str">
        <x:v>OK</x:v>
      </x:c>
      <x:c r="Q921" t="str">
        <x:v>OK</x:v>
      </x:c>
      <x:c r="R921" t="str">
        <x:v>OK</x:v>
      </x:c>
      <x:c r="S921" t="str">
        <x:v>OK</x:v>
      </x:c>
      <x:c r="T921" t="n">
        <x:v>20</x:v>
      </x:c>
      <x:c r="U921" t="str">
        <x:v>OK</x:v>
      </x:c>
      <x:c r="V921" t="str">
        <x:v>OK</x:v>
      </x:c>
      <x:c r="W921" t="str">
        <x:v>LOAD</x:v>
      </x:c>
      <x:c r="X921" t="str">
        <x:v>02_Supervisor_Log(4).xlsx</x:v>
      </x:c>
      <x:c r="Y921" t="str">
        <x:v>ENH-20260830-01</x:v>
      </x:c>
      <x:c r="Z921" t="str">
        <x:v>Active</x:v>
      </x:c>
      <x:c r="AA921"/>
      <x:c r="AB921"/>
      <x:c r="AC921"/>
      <x:c r="AD921"/>
    </x:row>
    <x:row r="922">
      <x:c r="A922" t="str">
        <x:v>PCC-PE-KG01-L22-20251024-PM-ORD-2025-00057-S07-C3</x:v>
      </x:c>
      <x:c r="B922" t="str">
        <x:v>PC-PE-KG01-L22-20251024-PM-ORD-2025-00057-S07</x:v>
      </x:c>
      <x:c r="C922" t="str">
        <x:v>PE-KG01-L22-20251024-PM-ORD-2025-00057</x:v>
      </x:c>
      <x:c r="D922" t="str">
        <x:v>KG01</x:v>
      </x:c>
      <x:c r="E922" s="62" t="n">
        <x:v>45954</x:v>
      </x:c>
      <x:c r="F922" t="str">
        <x:v>PM</x:v>
      </x:c>
      <x:c r="G922" t="str">
        <x:v>B</x:v>
      </x:c>
      <x:c r="H922" t="n">
        <x:v>22</x:v>
      </x:c>
      <x:c r="I922" t="str">
        <x:v>ORD-2025-00057</x:v>
      </x:c>
      <x:c r="J922" t="n">
        <x:v>7</x:v>
      </x:c>
      <x:c r="K922" t="n">
        <x:v>3</x:v>
      </x:c>
      <x:c r="L922" t="str">
        <x:v>L22-S07-C3</x:v>
      </x:c>
      <x:c r="M922" t="n">
        <x:v>0</x:v>
      </x:c>
      <x:c r="N922" t="str">
        <x:v>DerivedFromCount</x:v>
      </x:c>
      <x:c r="O922" t="str">
        <x:v>PLC-PRD-JAR-720-L22</x:v>
      </x:c>
      <x:c r="P922" t="str">
        <x:v>OK</x:v>
      </x:c>
      <x:c r="Q922" t="str">
        <x:v>OK</x:v>
      </x:c>
      <x:c r="R922" t="str">
        <x:v>OK</x:v>
      </x:c>
      <x:c r="S922" t="str">
        <x:v>OK</x:v>
      </x:c>
      <x:c r="T922" t="n">
        <x:v>20</x:v>
      </x:c>
      <x:c r="U922" t="str">
        <x:v>OK</x:v>
      </x:c>
      <x:c r="V922" t="str">
        <x:v>OK</x:v>
      </x:c>
      <x:c r="W922" t="str">
        <x:v>LOAD</x:v>
      </x:c>
      <x:c r="X922" t="str">
        <x:v>02_Supervisor_Log(4).xlsx</x:v>
      </x:c>
      <x:c r="Y922" t="str">
        <x:v>ENH-20260830-01</x:v>
      </x:c>
      <x:c r="Z922" t="str">
        <x:v>Active</x:v>
      </x:c>
      <x:c r="AA922"/>
      <x:c r="AB922"/>
      <x:c r="AC922"/>
      <x:c r="AD922"/>
    </x:row>
    <x:row r="923">
      <x:c r="A923" t="str">
        <x:v>PCC-PE-KG01-L22-20251024-PM-ORD-2025-00057-S08-C1</x:v>
      </x:c>
      <x:c r="B923" t="str">
        <x:v>PC-PE-KG01-L22-20251024-PM-ORD-2025-00057-S08</x:v>
      </x:c>
      <x:c r="C923" t="str">
        <x:v>PE-KG01-L22-20251024-PM-ORD-2025-00057</x:v>
      </x:c>
      <x:c r="D923" t="str">
        <x:v>KG01</x:v>
      </x:c>
      <x:c r="E923" s="62" t="n">
        <x:v>45954</x:v>
      </x:c>
      <x:c r="F923" t="str">
        <x:v>PM</x:v>
      </x:c>
      <x:c r="G923" t="str">
        <x:v>B</x:v>
      </x:c>
      <x:c r="H923" t="n">
        <x:v>22</x:v>
      </x:c>
      <x:c r="I923" t="str">
        <x:v>ORD-2025-00057</x:v>
      </x:c>
      <x:c r="J923" t="n">
        <x:v>8</x:v>
      </x:c>
      <x:c r="K923" t="n">
        <x:v>1</x:v>
      </x:c>
      <x:c r="L923" t="str">
        <x:v>L22-S08-C1</x:v>
      </x:c>
      <x:c r="M923" t="n">
        <x:v>1</x:v>
      </x:c>
      <x:c r="N923" t="str">
        <x:v>DerivedFromCount</x:v>
      </x:c>
      <x:c r="O923" t="str">
        <x:v>PLC-PRD-JAR-720-L22</x:v>
      </x:c>
      <x:c r="P923" t="str">
        <x:v>OK</x:v>
      </x:c>
      <x:c r="Q923" t="str">
        <x:v>OK</x:v>
      </x:c>
      <x:c r="R923" t="str">
        <x:v>OK</x:v>
      </x:c>
      <x:c r="S923" t="str">
        <x:v>OK</x:v>
      </x:c>
      <x:c r="T923" t="n">
        <x:v>20</x:v>
      </x:c>
      <x:c r="U923" t="str">
        <x:v>OK</x:v>
      </x:c>
      <x:c r="V923" t="str">
        <x:v>OK</x:v>
      </x:c>
      <x:c r="W923" t="str">
        <x:v>LOAD</x:v>
      </x:c>
      <x:c r="X923" t="str">
        <x:v>02_Supervisor_Log(4).xlsx</x:v>
      </x:c>
      <x:c r="Y923" t="str">
        <x:v>ENH-20260830-01</x:v>
      </x:c>
      <x:c r="Z923" t="str">
        <x:v>Active</x:v>
      </x:c>
      <x:c r="AA923"/>
      <x:c r="AB923"/>
      <x:c r="AC923"/>
      <x:c r="AD923"/>
    </x:row>
    <x:row r="924">
      <x:c r="A924" t="str">
        <x:v>PCC-PE-KG01-L22-20251024-PM-ORD-2025-00057-S08-C2</x:v>
      </x:c>
      <x:c r="B924" t="str">
        <x:v>PC-PE-KG01-L22-20251024-PM-ORD-2025-00057-S08</x:v>
      </x:c>
      <x:c r="C924" t="str">
        <x:v>PE-KG01-L22-20251024-PM-ORD-2025-00057</x:v>
      </x:c>
      <x:c r="D924" t="str">
        <x:v>KG01</x:v>
      </x:c>
      <x:c r="E924" s="62" t="n">
        <x:v>45954</x:v>
      </x:c>
      <x:c r="F924" t="str">
        <x:v>PM</x:v>
      </x:c>
      <x:c r="G924" t="str">
        <x:v>B</x:v>
      </x:c>
      <x:c r="H924" t="n">
        <x:v>22</x:v>
      </x:c>
      <x:c r="I924" t="str">
        <x:v>ORD-2025-00057</x:v>
      </x:c>
      <x:c r="J924" t="n">
        <x:v>8</x:v>
      </x:c>
      <x:c r="K924" t="n">
        <x:v>2</x:v>
      </x:c>
      <x:c r="L924" t="str">
        <x:v>L22-S08-C2</x:v>
      </x:c>
      <x:c r="M924" t="n">
        <x:v>1</x:v>
      </x:c>
      <x:c r="N924" t="str">
        <x:v>DerivedFromCount</x:v>
      </x:c>
      <x:c r="O924" t="str">
        <x:v>PLC-PRD-JAR-720-L22</x:v>
      </x:c>
      <x:c r="P924" t="str">
        <x:v>OK</x:v>
      </x:c>
      <x:c r="Q924" t="str">
        <x:v>OK</x:v>
      </x:c>
      <x:c r="R924" t="str">
        <x:v>OK</x:v>
      </x:c>
      <x:c r="S924" t="str">
        <x:v>OK</x:v>
      </x:c>
      <x:c r="T924" t="n">
        <x:v>20</x:v>
      </x:c>
      <x:c r="U924" t="str">
        <x:v>OK</x:v>
      </x:c>
      <x:c r="V924" t="str">
        <x:v>OK</x:v>
      </x:c>
      <x:c r="W924" t="str">
        <x:v>LOAD</x:v>
      </x:c>
      <x:c r="X924" t="str">
        <x:v>02_Supervisor_Log(4).xlsx</x:v>
      </x:c>
      <x:c r="Y924" t="str">
        <x:v>ENH-20260830-01</x:v>
      </x:c>
      <x:c r="Z924" t="str">
        <x:v>Active</x:v>
      </x:c>
      <x:c r="AA924"/>
      <x:c r="AB924"/>
      <x:c r="AC924"/>
      <x:c r="AD924"/>
    </x:row>
    <x:row r="925">
      <x:c r="A925" t="str">
        <x:v>PCC-PE-KG01-L22-20251024-PM-ORD-2025-00057-S08-C3</x:v>
      </x:c>
      <x:c r="B925" t="str">
        <x:v>PC-PE-KG01-L22-20251024-PM-ORD-2025-00057-S08</x:v>
      </x:c>
      <x:c r="C925" t="str">
        <x:v>PE-KG01-L22-20251024-PM-ORD-2025-00057</x:v>
      </x:c>
      <x:c r="D925" t="str">
        <x:v>KG01</x:v>
      </x:c>
      <x:c r="E925" s="62" t="n">
        <x:v>45954</x:v>
      </x:c>
      <x:c r="F925" t="str">
        <x:v>PM</x:v>
      </x:c>
      <x:c r="G925" t="str">
        <x:v>B</x:v>
      </x:c>
      <x:c r="H925" t="n">
        <x:v>22</x:v>
      </x:c>
      <x:c r="I925" t="str">
        <x:v>ORD-2025-00057</x:v>
      </x:c>
      <x:c r="J925" t="n">
        <x:v>8</x:v>
      </x:c>
      <x:c r="K925" t="n">
        <x:v>3</x:v>
      </x:c>
      <x:c r="L925" t="str">
        <x:v>L22-S08-C3</x:v>
      </x:c>
      <x:c r="M925" t="n">
        <x:v>0</x:v>
      </x:c>
      <x:c r="N925" t="str">
        <x:v>DerivedFromCount</x:v>
      </x:c>
      <x:c r="O925" t="str">
        <x:v>PLC-PRD-JAR-720-L22</x:v>
      </x:c>
      <x:c r="P925" t="str">
        <x:v>OK</x:v>
      </x:c>
      <x:c r="Q925" t="str">
        <x:v>OK</x:v>
      </x:c>
      <x:c r="R925" t="str">
        <x:v>OK</x:v>
      </x:c>
      <x:c r="S925" t="str">
        <x:v>OK</x:v>
      </x:c>
      <x:c r="T925" t="n">
        <x:v>20</x:v>
      </x:c>
      <x:c r="U925" t="str">
        <x:v>OK</x:v>
      </x:c>
      <x:c r="V925" t="str">
        <x:v>OK</x:v>
      </x:c>
      <x:c r="W925" t="str">
        <x:v>LOAD</x:v>
      </x:c>
      <x:c r="X925" t="str">
        <x:v>02_Supervisor_Log(4).xlsx</x:v>
      </x:c>
      <x:c r="Y925" t="str">
        <x:v>ENH-20260830-01</x:v>
      </x:c>
      <x:c r="Z925" t="str">
        <x:v>Active</x:v>
      </x:c>
      <x:c r="AA925"/>
      <x:c r="AB925"/>
      <x:c r="AC925"/>
      <x:c r="AD925"/>
    </x:row>
    <x:row r="926">
      <x:c r="A926" t="str">
        <x:v>PCC-PE-KG01-L22-20251024-PM-ORD-2025-00057-S09-C1</x:v>
      </x:c>
      <x:c r="B926" t="str">
        <x:v>PC-PE-KG01-L22-20251024-PM-ORD-2025-00057-S09</x:v>
      </x:c>
      <x:c r="C926" t="str">
        <x:v>PE-KG01-L22-20251024-PM-ORD-2025-00057</x:v>
      </x:c>
      <x:c r="D926" t="str">
        <x:v>KG01</x:v>
      </x:c>
      <x:c r="E926" s="62" t="n">
        <x:v>45954</x:v>
      </x:c>
      <x:c r="F926" t="str">
        <x:v>PM</x:v>
      </x:c>
      <x:c r="G926" t="str">
        <x:v>B</x:v>
      </x:c>
      <x:c r="H926" t="n">
        <x:v>22</x:v>
      </x:c>
      <x:c r="I926" t="str">
        <x:v>ORD-2025-00057</x:v>
      </x:c>
      <x:c r="J926" t="n">
        <x:v>9</x:v>
      </x:c>
      <x:c r="K926" t="n">
        <x:v>1</x:v>
      </x:c>
      <x:c r="L926" t="str">
        <x:v>L22-S09-C1</x:v>
      </x:c>
      <x:c r="M926" t="n">
        <x:v>1</x:v>
      </x:c>
      <x:c r="N926" t="str">
        <x:v>DerivedFromCount</x:v>
      </x:c>
      <x:c r="O926" t="str">
        <x:v>PLC-PRD-JAR-720-L22</x:v>
      </x:c>
      <x:c r="P926" t="str">
        <x:v>OK</x:v>
      </x:c>
      <x:c r="Q926" t="str">
        <x:v>OK</x:v>
      </x:c>
      <x:c r="R926" t="str">
        <x:v>OK</x:v>
      </x:c>
      <x:c r="S926" t="str">
        <x:v>OK</x:v>
      </x:c>
      <x:c r="T926" t="n">
        <x:v>20</x:v>
      </x:c>
      <x:c r="U926" t="str">
        <x:v>OK</x:v>
      </x:c>
      <x:c r="V926" t="str">
        <x:v>OK</x:v>
      </x:c>
      <x:c r="W926" t="str">
        <x:v>LOAD</x:v>
      </x:c>
      <x:c r="X926" t="str">
        <x:v>02_Supervisor_Log(4).xlsx</x:v>
      </x:c>
      <x:c r="Y926" t="str">
        <x:v>ENH-20260830-01</x:v>
      </x:c>
      <x:c r="Z926" t="str">
        <x:v>Active</x:v>
      </x:c>
      <x:c r="AA926"/>
      <x:c r="AB926"/>
      <x:c r="AC926"/>
      <x:c r="AD926"/>
    </x:row>
    <x:row r="927">
      <x:c r="A927" t="str">
        <x:v>PCC-PE-KG01-L22-20251024-PM-ORD-2025-00057-S09-C2</x:v>
      </x:c>
      <x:c r="B927" t="str">
        <x:v>PC-PE-KG01-L22-20251024-PM-ORD-2025-00057-S09</x:v>
      </x:c>
      <x:c r="C927" t="str">
        <x:v>PE-KG01-L22-20251024-PM-ORD-2025-00057</x:v>
      </x:c>
      <x:c r="D927" t="str">
        <x:v>KG01</x:v>
      </x:c>
      <x:c r="E927" s="62" t="n">
        <x:v>45954</x:v>
      </x:c>
      <x:c r="F927" t="str">
        <x:v>PM</x:v>
      </x:c>
      <x:c r="G927" t="str">
        <x:v>B</x:v>
      </x:c>
      <x:c r="H927" t="n">
        <x:v>22</x:v>
      </x:c>
      <x:c r="I927" t="str">
        <x:v>ORD-2025-00057</x:v>
      </x:c>
      <x:c r="J927" t="n">
        <x:v>9</x:v>
      </x:c>
      <x:c r="K927" t="n">
        <x:v>2</x:v>
      </x:c>
      <x:c r="L927" t="str">
        <x:v>L22-S09-C2</x:v>
      </x:c>
      <x:c r="M927" t="n">
        <x:v>1</x:v>
      </x:c>
      <x:c r="N927" t="str">
        <x:v>DerivedFromCount</x:v>
      </x:c>
      <x:c r="O927" t="str">
        <x:v>PLC-PRD-JAR-720-L22</x:v>
      </x:c>
      <x:c r="P927" t="str">
        <x:v>OK</x:v>
      </x:c>
      <x:c r="Q927" t="str">
        <x:v>OK</x:v>
      </x:c>
      <x:c r="R927" t="str">
        <x:v>OK</x:v>
      </x:c>
      <x:c r="S927" t="str">
        <x:v>OK</x:v>
      </x:c>
      <x:c r="T927" t="n">
        <x:v>20</x:v>
      </x:c>
      <x:c r="U927" t="str">
        <x:v>OK</x:v>
      </x:c>
      <x:c r="V927" t="str">
        <x:v>OK</x:v>
      </x:c>
      <x:c r="W927" t="str">
        <x:v>LOAD</x:v>
      </x:c>
      <x:c r="X927" t="str">
        <x:v>02_Supervisor_Log(4).xlsx</x:v>
      </x:c>
      <x:c r="Y927" t="str">
        <x:v>ENH-20260830-01</x:v>
      </x:c>
      <x:c r="Z927" t="str">
        <x:v>Active</x:v>
      </x:c>
      <x:c r="AA927"/>
      <x:c r="AB927"/>
      <x:c r="AC927"/>
      <x:c r="AD927"/>
    </x:row>
    <x:row r="928">
      <x:c r="A928" t="str">
        <x:v>PCC-PE-KG01-L22-20251024-PM-ORD-2025-00057-S09-C3</x:v>
      </x:c>
      <x:c r="B928" t="str">
        <x:v>PC-PE-KG01-L22-20251024-PM-ORD-2025-00057-S09</x:v>
      </x:c>
      <x:c r="C928" t="str">
        <x:v>PE-KG01-L22-20251024-PM-ORD-2025-00057</x:v>
      </x:c>
      <x:c r="D928" t="str">
        <x:v>KG01</x:v>
      </x:c>
      <x:c r="E928" s="62" t="n">
        <x:v>45954</x:v>
      </x:c>
      <x:c r="F928" t="str">
        <x:v>PM</x:v>
      </x:c>
      <x:c r="G928" t="str">
        <x:v>B</x:v>
      </x:c>
      <x:c r="H928" t="n">
        <x:v>22</x:v>
      </x:c>
      <x:c r="I928" t="str">
        <x:v>ORD-2025-00057</x:v>
      </x:c>
      <x:c r="J928" t="n">
        <x:v>9</x:v>
      </x:c>
      <x:c r="K928" t="n">
        <x:v>3</x:v>
      </x:c>
      <x:c r="L928" t="str">
        <x:v>L22-S09-C3</x:v>
      </x:c>
      <x:c r="M928" t="n">
        <x:v>0</x:v>
      </x:c>
      <x:c r="N928" t="str">
        <x:v>DerivedFromCount</x:v>
      </x:c>
      <x:c r="O928" t="str">
        <x:v>PLC-PRD-JAR-720-L22</x:v>
      </x:c>
      <x:c r="P928" t="str">
        <x:v>OK</x:v>
      </x:c>
      <x:c r="Q928" t="str">
        <x:v>OK</x:v>
      </x:c>
      <x:c r="R928" t="str">
        <x:v>OK</x:v>
      </x:c>
      <x:c r="S928" t="str">
        <x:v>OK</x:v>
      </x:c>
      <x:c r="T928" t="n">
        <x:v>20</x:v>
      </x:c>
      <x:c r="U928" t="str">
        <x:v>OK</x:v>
      </x:c>
      <x:c r="V928" t="str">
        <x:v>OK</x:v>
      </x:c>
      <x:c r="W928" t="str">
        <x:v>LOAD</x:v>
      </x:c>
      <x:c r="X928" t="str">
        <x:v>02_Supervisor_Log(4).xlsx</x:v>
      </x:c>
      <x:c r="Y928" t="str">
        <x:v>ENH-20260830-01</x:v>
      </x:c>
      <x:c r="Z928" t="str">
        <x:v>Active</x:v>
      </x:c>
      <x:c r="AA928"/>
      <x:c r="AB928"/>
      <x:c r="AC928"/>
      <x:c r="AD928"/>
    </x:row>
    <x:row r="929">
      <x:c r="A929" t="str">
        <x:v>PCC-PE-KG01-L22-20251024-PM-ORD-2025-00057-S10-C1</x:v>
      </x:c>
      <x:c r="B929" t="str">
        <x:v>PC-PE-KG01-L22-20251024-PM-ORD-2025-00057-S10</x:v>
      </x:c>
      <x:c r="C929" t="str">
        <x:v>PE-KG01-L22-20251024-PM-ORD-2025-00057</x:v>
      </x:c>
      <x:c r="D929" t="str">
        <x:v>KG01</x:v>
      </x:c>
      <x:c r="E929" s="62" t="n">
        <x:v>45954</x:v>
      </x:c>
      <x:c r="F929" t="str">
        <x:v>PM</x:v>
      </x:c>
      <x:c r="G929" t="str">
        <x:v>B</x:v>
      </x:c>
      <x:c r="H929" t="n">
        <x:v>22</x:v>
      </x:c>
      <x:c r="I929" t="str">
        <x:v>ORD-2025-00057</x:v>
      </x:c>
      <x:c r="J929" t="n">
        <x:v>10</x:v>
      </x:c>
      <x:c r="K929" t="n">
        <x:v>1</x:v>
      </x:c>
      <x:c r="L929" t="str">
        <x:v>L22-S10-C1</x:v>
      </x:c>
      <x:c r="M929" t="n">
        <x:v>1</x:v>
      </x:c>
      <x:c r="N929" t="str">
        <x:v>DerivedFromCount</x:v>
      </x:c>
      <x:c r="O929" t="str">
        <x:v>PLC-PRD-JAR-720-L22</x:v>
      </x:c>
      <x:c r="P929" t="str">
        <x:v>OK</x:v>
      </x:c>
      <x:c r="Q929" t="str">
        <x:v>OK</x:v>
      </x:c>
      <x:c r="R929" t="str">
        <x:v>OK</x:v>
      </x:c>
      <x:c r="S929" t="str">
        <x:v>OK</x:v>
      </x:c>
      <x:c r="T929" t="n">
        <x:v>20</x:v>
      </x:c>
      <x:c r="U929" t="str">
        <x:v>OK</x:v>
      </x:c>
      <x:c r="V929" t="str">
        <x:v>OK</x:v>
      </x:c>
      <x:c r="W929" t="str">
        <x:v>LOAD</x:v>
      </x:c>
      <x:c r="X929" t="str">
        <x:v>02_Supervisor_Log(4).xlsx</x:v>
      </x:c>
      <x:c r="Y929" t="str">
        <x:v>ENH-20260830-01</x:v>
      </x:c>
      <x:c r="Z929" t="str">
        <x:v>Active</x:v>
      </x:c>
      <x:c r="AA929"/>
      <x:c r="AB929"/>
      <x:c r="AC929"/>
      <x:c r="AD929"/>
    </x:row>
    <x:row r="930">
      <x:c r="A930" t="str">
        <x:v>PCC-PE-KG01-L22-20251024-PM-ORD-2025-00057-S10-C2</x:v>
      </x:c>
      <x:c r="B930" t="str">
        <x:v>PC-PE-KG01-L22-20251024-PM-ORD-2025-00057-S10</x:v>
      </x:c>
      <x:c r="C930" t="str">
        <x:v>PE-KG01-L22-20251024-PM-ORD-2025-00057</x:v>
      </x:c>
      <x:c r="D930" t="str">
        <x:v>KG01</x:v>
      </x:c>
      <x:c r="E930" s="62" t="n">
        <x:v>45954</x:v>
      </x:c>
      <x:c r="F930" t="str">
        <x:v>PM</x:v>
      </x:c>
      <x:c r="G930" t="str">
        <x:v>B</x:v>
      </x:c>
      <x:c r="H930" t="n">
        <x:v>22</x:v>
      </x:c>
      <x:c r="I930" t="str">
        <x:v>ORD-2025-00057</x:v>
      </x:c>
      <x:c r="J930" t="n">
        <x:v>10</x:v>
      </x:c>
      <x:c r="K930" t="n">
        <x:v>2</x:v>
      </x:c>
      <x:c r="L930" t="str">
        <x:v>L22-S10-C2</x:v>
      </x:c>
      <x:c r="M930" t="n">
        <x:v>1</x:v>
      </x:c>
      <x:c r="N930" t="str">
        <x:v>DerivedFromCount</x:v>
      </x:c>
      <x:c r="O930" t="str">
        <x:v>PLC-PRD-JAR-720-L22</x:v>
      </x:c>
      <x:c r="P930" t="str">
        <x:v>OK</x:v>
      </x:c>
      <x:c r="Q930" t="str">
        <x:v>OK</x:v>
      </x:c>
      <x:c r="R930" t="str">
        <x:v>OK</x:v>
      </x:c>
      <x:c r="S930" t="str">
        <x:v>OK</x:v>
      </x:c>
      <x:c r="T930" t="n">
        <x:v>20</x:v>
      </x:c>
      <x:c r="U930" t="str">
        <x:v>OK</x:v>
      </x:c>
      <x:c r="V930" t="str">
        <x:v>OK</x:v>
      </x:c>
      <x:c r="W930" t="str">
        <x:v>LOAD</x:v>
      </x:c>
      <x:c r="X930" t="str">
        <x:v>02_Supervisor_Log(4).xlsx</x:v>
      </x:c>
      <x:c r="Y930" t="str">
        <x:v>ENH-20260830-01</x:v>
      </x:c>
      <x:c r="Z930" t="str">
        <x:v>Active</x:v>
      </x:c>
      <x:c r="AA930"/>
      <x:c r="AB930"/>
      <x:c r="AC930"/>
      <x:c r="AD930"/>
    </x:row>
    <x:row r="931">
      <x:c r="A931" t="str">
        <x:v>PCC-PE-KG01-L22-20251024-PM-ORD-2025-00057-S10-C3</x:v>
      </x:c>
      <x:c r="B931" t="str">
        <x:v>PC-PE-KG01-L22-20251024-PM-ORD-2025-00057-S10</x:v>
      </x:c>
      <x:c r="C931" t="str">
        <x:v>PE-KG01-L22-20251024-PM-ORD-2025-00057</x:v>
      </x:c>
      <x:c r="D931" t="str">
        <x:v>KG01</x:v>
      </x:c>
      <x:c r="E931" s="62" t="n">
        <x:v>45954</x:v>
      </x:c>
      <x:c r="F931" t="str">
        <x:v>PM</x:v>
      </x:c>
      <x:c r="G931" t="str">
        <x:v>B</x:v>
      </x:c>
      <x:c r="H931" t="n">
        <x:v>22</x:v>
      </x:c>
      <x:c r="I931" t="str">
        <x:v>ORD-2025-00057</x:v>
      </x:c>
      <x:c r="J931" t="n">
        <x:v>10</x:v>
      </x:c>
      <x:c r="K931" t="n">
        <x:v>3</x:v>
      </x:c>
      <x:c r="L931" t="str">
        <x:v>L22-S10-C3</x:v>
      </x:c>
      <x:c r="M931" t="n">
        <x:v>0</x:v>
      </x:c>
      <x:c r="N931" t="str">
        <x:v>DerivedFromCount</x:v>
      </x:c>
      <x:c r="O931" t="str">
        <x:v>PLC-PRD-JAR-720-L22</x:v>
      </x:c>
      <x:c r="P931" t="str">
        <x:v>OK</x:v>
      </x:c>
      <x:c r="Q931" t="str">
        <x:v>OK</x:v>
      </x:c>
      <x:c r="R931" t="str">
        <x:v>OK</x:v>
      </x:c>
      <x:c r="S931" t="str">
        <x:v>OK</x:v>
      </x:c>
      <x:c r="T931" t="n">
        <x:v>20</x:v>
      </x:c>
      <x:c r="U931" t="str">
        <x:v>OK</x:v>
      </x:c>
      <x:c r="V931" t="str">
        <x:v>OK</x:v>
      </x:c>
      <x:c r="W931" t="str">
        <x:v>LOAD</x:v>
      </x:c>
      <x:c r="X931" t="str">
        <x:v>02_Supervisor_Log(4).xlsx</x:v>
      </x:c>
      <x:c r="Y931" t="str">
        <x:v>ENH-20260830-01</x:v>
      </x:c>
      <x:c r="Z931" t="str">
        <x:v>Active</x:v>
      </x:c>
      <x:c r="AA931"/>
      <x:c r="AB931"/>
      <x:c r="AC931"/>
      <x:c r="AD931"/>
    </x:row>
    <x:row r="932">
      <x:c r="A932" t="str">
        <x:v>PCC-PE-KG01-L22-20251024-PM-ORD-2025-00057-S11-C1</x:v>
      </x:c>
      <x:c r="B932" t="str">
        <x:v>PC-PE-KG01-L22-20251024-PM-ORD-2025-00057-S11</x:v>
      </x:c>
      <x:c r="C932" t="str">
        <x:v>PE-KG01-L22-20251024-PM-ORD-2025-00057</x:v>
      </x:c>
      <x:c r="D932" t="str">
        <x:v>KG01</x:v>
      </x:c>
      <x:c r="E932" s="62" t="n">
        <x:v>45954</x:v>
      </x:c>
      <x:c r="F932" t="str">
        <x:v>PM</x:v>
      </x:c>
      <x:c r="G932" t="str">
        <x:v>B</x:v>
      </x:c>
      <x:c r="H932" t="n">
        <x:v>22</x:v>
      </x:c>
      <x:c r="I932" t="str">
        <x:v>ORD-2025-00057</x:v>
      </x:c>
      <x:c r="J932" t="n">
        <x:v>11</x:v>
      </x:c>
      <x:c r="K932" t="n">
        <x:v>1</x:v>
      </x:c>
      <x:c r="L932" t="str">
        <x:v>L22-S11-C1</x:v>
      </x:c>
      <x:c r="M932" t="n">
        <x:v>0</x:v>
      </x:c>
      <x:c r="N932" t="str">
        <x:v>DerivedFromCount</x:v>
      </x:c>
      <x:c r="O932" t="str">
        <x:v>PLC-PRD-JAR-720-L22</x:v>
      </x:c>
      <x:c r="P932" t="str">
        <x:v>OK</x:v>
      </x:c>
      <x:c r="Q932" t="str">
        <x:v>OK</x:v>
      </x:c>
      <x:c r="R932" t="str">
        <x:v>OK</x:v>
      </x:c>
      <x:c r="S932" t="str">
        <x:v>OK</x:v>
      </x:c>
      <x:c r="T932" t="n">
        <x:v>20</x:v>
      </x:c>
      <x:c r="U932" t="str">
        <x:v>OK</x:v>
      </x:c>
      <x:c r="V932" t="str">
        <x:v>OK</x:v>
      </x:c>
      <x:c r="W932" t="str">
        <x:v>LOAD</x:v>
      </x:c>
      <x:c r="X932" t="str">
        <x:v>02_Supervisor_Log(4).xlsx</x:v>
      </x:c>
      <x:c r="Y932" t="str">
        <x:v>ENH-20260830-01</x:v>
      </x:c>
      <x:c r="Z932" t="str">
        <x:v>Active</x:v>
      </x:c>
      <x:c r="AA932"/>
      <x:c r="AB932"/>
      <x:c r="AC932"/>
      <x:c r="AD932"/>
    </x:row>
    <x:row r="933">
      <x:c r="A933" t="str">
        <x:v>PCC-PE-KG01-L22-20251024-PM-ORD-2025-00057-S11-C2</x:v>
      </x:c>
      <x:c r="B933" t="str">
        <x:v>PC-PE-KG01-L22-20251024-PM-ORD-2025-00057-S11</x:v>
      </x:c>
      <x:c r="C933" t="str">
        <x:v>PE-KG01-L22-20251024-PM-ORD-2025-00057</x:v>
      </x:c>
      <x:c r="D933" t="str">
        <x:v>KG01</x:v>
      </x:c>
      <x:c r="E933" s="62" t="n">
        <x:v>45954</x:v>
      </x:c>
      <x:c r="F933" t="str">
        <x:v>PM</x:v>
      </x:c>
      <x:c r="G933" t="str">
        <x:v>B</x:v>
      </x:c>
      <x:c r="H933" t="n">
        <x:v>22</x:v>
      </x:c>
      <x:c r="I933" t="str">
        <x:v>ORD-2025-00057</x:v>
      </x:c>
      <x:c r="J933" t="n">
        <x:v>11</x:v>
      </x:c>
      <x:c r="K933" t="n">
        <x:v>2</x:v>
      </x:c>
      <x:c r="L933" t="str">
        <x:v>L22-S11-C2</x:v>
      </x:c>
      <x:c r="M933" t="n">
        <x:v>0</x:v>
      </x:c>
      <x:c r="N933" t="str">
        <x:v>DerivedFromCount</x:v>
      </x:c>
      <x:c r="O933" t="str">
        <x:v>PLC-PRD-JAR-720-L22</x:v>
      </x:c>
      <x:c r="P933" t="str">
        <x:v>OK</x:v>
      </x:c>
      <x:c r="Q933" t="str">
        <x:v>OK</x:v>
      </x:c>
      <x:c r="R933" t="str">
        <x:v>OK</x:v>
      </x:c>
      <x:c r="S933" t="str">
        <x:v>OK</x:v>
      </x:c>
      <x:c r="T933" t="n">
        <x:v>20</x:v>
      </x:c>
      <x:c r="U933" t="str">
        <x:v>OK</x:v>
      </x:c>
      <x:c r="V933" t="str">
        <x:v>OK</x:v>
      </x:c>
      <x:c r="W933" t="str">
        <x:v>LOAD</x:v>
      </x:c>
      <x:c r="X933" t="str">
        <x:v>02_Supervisor_Log(4).xlsx</x:v>
      </x:c>
      <x:c r="Y933" t="str">
        <x:v>ENH-20260830-01</x:v>
      </x:c>
      <x:c r="Z933" t="str">
        <x:v>Active</x:v>
      </x:c>
      <x:c r="AA933"/>
      <x:c r="AB933"/>
      <x:c r="AC933"/>
      <x:c r="AD933"/>
    </x:row>
    <x:row r="934">
      <x:c r="A934" t="str">
        <x:v>PCC-PE-KG01-L22-20251024-PM-ORD-2025-00057-S11-C3</x:v>
      </x:c>
      <x:c r="B934" t="str">
        <x:v>PC-PE-KG01-L22-20251024-PM-ORD-2025-00057-S11</x:v>
      </x:c>
      <x:c r="C934" t="str">
        <x:v>PE-KG01-L22-20251024-PM-ORD-2025-00057</x:v>
      </x:c>
      <x:c r="D934" t="str">
        <x:v>KG01</x:v>
      </x:c>
      <x:c r="E934" s="62" t="n">
        <x:v>45954</x:v>
      </x:c>
      <x:c r="F934" t="str">
        <x:v>PM</x:v>
      </x:c>
      <x:c r="G934" t="str">
        <x:v>B</x:v>
      </x:c>
      <x:c r="H934" t="n">
        <x:v>22</x:v>
      </x:c>
      <x:c r="I934" t="str">
        <x:v>ORD-2025-00057</x:v>
      </x:c>
      <x:c r="J934" t="n">
        <x:v>11</x:v>
      </x:c>
      <x:c r="K934" t="n">
        <x:v>3</x:v>
      </x:c>
      <x:c r="L934" t="str">
        <x:v>L22-S11-C3</x:v>
      </x:c>
      <x:c r="M934" t="n">
        <x:v>0</x:v>
      </x:c>
      <x:c r="N934" t="str">
        <x:v>DerivedFromCount</x:v>
      </x:c>
      <x:c r="O934" t="str">
        <x:v>PLC-PRD-JAR-720-L22</x:v>
      </x:c>
      <x:c r="P934" t="str">
        <x:v>OK</x:v>
      </x:c>
      <x:c r="Q934" t="str">
        <x:v>OK</x:v>
      </x:c>
      <x:c r="R934" t="str">
        <x:v>OK</x:v>
      </x:c>
      <x:c r="S934" t="str">
        <x:v>OK</x:v>
      </x:c>
      <x:c r="T934" t="n">
        <x:v>20</x:v>
      </x:c>
      <x:c r="U934" t="str">
        <x:v>OK</x:v>
      </x:c>
      <x:c r="V934" t="str">
        <x:v>OK</x:v>
      </x:c>
      <x:c r="W934" t="str">
        <x:v>LOAD</x:v>
      </x:c>
      <x:c r="X934" t="str">
        <x:v>02_Supervisor_Log(4).xlsx</x:v>
      </x:c>
      <x:c r="Y934" t="str">
        <x:v>ENH-20260830-01</x:v>
      </x:c>
      <x:c r="Z934" t="str">
        <x:v>Active</x:v>
      </x:c>
      <x:c r="AA934"/>
      <x:c r="AB934"/>
      <x:c r="AC934"/>
      <x:c r="AD934"/>
    </x:row>
    <x:row r="935">
      <x:c r="A935" t="str">
        <x:v>PCC-PE-KG01-L22-20251024-PM-ORD-2025-00057-S12-C1</x:v>
      </x:c>
      <x:c r="B935" t="str">
        <x:v>PC-PE-KG01-L22-20251024-PM-ORD-2025-00057-S12</x:v>
      </x:c>
      <x:c r="C935" t="str">
        <x:v>PE-KG01-L22-20251024-PM-ORD-2025-00057</x:v>
      </x:c>
      <x:c r="D935" t="str">
        <x:v>KG01</x:v>
      </x:c>
      <x:c r="E935" s="62" t="n">
        <x:v>45954</x:v>
      </x:c>
      <x:c r="F935" t="str">
        <x:v>PM</x:v>
      </x:c>
      <x:c r="G935" t="str">
        <x:v>B</x:v>
      </x:c>
      <x:c r="H935" t="n">
        <x:v>22</x:v>
      </x:c>
      <x:c r="I935" t="str">
        <x:v>ORD-2025-00057</x:v>
      </x:c>
      <x:c r="J935" t="n">
        <x:v>12</x:v>
      </x:c>
      <x:c r="K935" t="n">
        <x:v>1</x:v>
      </x:c>
      <x:c r="L935" t="str">
        <x:v>L22-S12-C1</x:v>
      </x:c>
      <x:c r="M935" t="n">
        <x:v>0</x:v>
      </x:c>
      <x:c r="N935" t="str">
        <x:v>DerivedFromCount</x:v>
      </x:c>
      <x:c r="O935" t="str">
        <x:v>PLC-PRD-JAR-720-L22</x:v>
      </x:c>
      <x:c r="P935" t="str">
        <x:v>OK</x:v>
      </x:c>
      <x:c r="Q935" t="str">
        <x:v>OK</x:v>
      </x:c>
      <x:c r="R935" t="str">
        <x:v>OK</x:v>
      </x:c>
      <x:c r="S935" t="str">
        <x:v>OK</x:v>
      </x:c>
      <x:c r="T935" t="n">
        <x:v>20</x:v>
      </x:c>
      <x:c r="U935" t="str">
        <x:v>OK</x:v>
      </x:c>
      <x:c r="V935" t="str">
        <x:v>OK</x:v>
      </x:c>
      <x:c r="W935" t="str">
        <x:v>LOAD</x:v>
      </x:c>
      <x:c r="X935" t="str">
        <x:v>02_Supervisor_Log(4).xlsx</x:v>
      </x:c>
      <x:c r="Y935" t="str">
        <x:v>ENH-20260830-01</x:v>
      </x:c>
      <x:c r="Z935" t="str">
        <x:v>Active</x:v>
      </x:c>
      <x:c r="AA935"/>
      <x:c r="AB935"/>
      <x:c r="AC935"/>
      <x:c r="AD935"/>
    </x:row>
    <x:row r="936">
      <x:c r="A936" t="str">
        <x:v>PCC-PE-KG01-L22-20251024-PM-ORD-2025-00057-S12-C2</x:v>
      </x:c>
      <x:c r="B936" t="str">
        <x:v>PC-PE-KG01-L22-20251024-PM-ORD-2025-00057-S12</x:v>
      </x:c>
      <x:c r="C936" t="str">
        <x:v>PE-KG01-L22-20251024-PM-ORD-2025-00057</x:v>
      </x:c>
      <x:c r="D936" t="str">
        <x:v>KG01</x:v>
      </x:c>
      <x:c r="E936" s="62" t="n">
        <x:v>45954</x:v>
      </x:c>
      <x:c r="F936" t="str">
        <x:v>PM</x:v>
      </x:c>
      <x:c r="G936" t="str">
        <x:v>B</x:v>
      </x:c>
      <x:c r="H936" t="n">
        <x:v>22</x:v>
      </x:c>
      <x:c r="I936" t="str">
        <x:v>ORD-2025-00057</x:v>
      </x:c>
      <x:c r="J936" t="n">
        <x:v>12</x:v>
      </x:c>
      <x:c r="K936" t="n">
        <x:v>2</x:v>
      </x:c>
      <x:c r="L936" t="str">
        <x:v>L22-S12-C2</x:v>
      </x:c>
      <x:c r="M936" t="n">
        <x:v>0</x:v>
      </x:c>
      <x:c r="N936" t="str">
        <x:v>DerivedFromCount</x:v>
      </x:c>
      <x:c r="O936" t="str">
        <x:v>PLC-PRD-JAR-720-L22</x:v>
      </x:c>
      <x:c r="P936" t="str">
        <x:v>OK</x:v>
      </x:c>
      <x:c r="Q936" t="str">
        <x:v>OK</x:v>
      </x:c>
      <x:c r="R936" t="str">
        <x:v>OK</x:v>
      </x:c>
      <x:c r="S936" t="str">
        <x:v>OK</x:v>
      </x:c>
      <x:c r="T936" t="n">
        <x:v>20</x:v>
      </x:c>
      <x:c r="U936" t="str">
        <x:v>OK</x:v>
      </x:c>
      <x:c r="V936" t="str">
        <x:v>OK</x:v>
      </x:c>
      <x:c r="W936" t="str">
        <x:v>LOAD</x:v>
      </x:c>
      <x:c r="X936" t="str">
        <x:v>02_Supervisor_Log(4).xlsx</x:v>
      </x:c>
      <x:c r="Y936" t="str">
        <x:v>ENH-20260830-01</x:v>
      </x:c>
      <x:c r="Z936" t="str">
        <x:v>Active</x:v>
      </x:c>
      <x:c r="AA936"/>
      <x:c r="AB936"/>
      <x:c r="AC936"/>
      <x:c r="AD936"/>
    </x:row>
    <x:row r="937">
      <x:c r="A937" t="str">
        <x:v>PCC-PE-KG01-L22-20251024-PM-ORD-2025-00057-S12-C3</x:v>
      </x:c>
      <x:c r="B937" t="str">
        <x:v>PC-PE-KG01-L22-20251024-PM-ORD-2025-00057-S12</x:v>
      </x:c>
      <x:c r="C937" t="str">
        <x:v>PE-KG01-L22-20251024-PM-ORD-2025-00057</x:v>
      </x:c>
      <x:c r="D937" t="str">
        <x:v>KG01</x:v>
      </x:c>
      <x:c r="E937" s="62" t="n">
        <x:v>45954</x:v>
      </x:c>
      <x:c r="F937" t="str">
        <x:v>PM</x:v>
      </x:c>
      <x:c r="G937" t="str">
        <x:v>B</x:v>
      </x:c>
      <x:c r="H937" t="n">
        <x:v>22</x:v>
      </x:c>
      <x:c r="I937" t="str">
        <x:v>ORD-2025-00057</x:v>
      </x:c>
      <x:c r="J937" t="n">
        <x:v>12</x:v>
      </x:c>
      <x:c r="K937" t="n">
        <x:v>3</x:v>
      </x:c>
      <x:c r="L937" t="str">
        <x:v>L22-S12-C3</x:v>
      </x:c>
      <x:c r="M937" t="n">
        <x:v>0</x:v>
      </x:c>
      <x:c r="N937" t="str">
        <x:v>DerivedFromCount</x:v>
      </x:c>
      <x:c r="O937" t="str">
        <x:v>PLC-PRD-JAR-720-L22</x:v>
      </x:c>
      <x:c r="P937" t="str">
        <x:v>OK</x:v>
      </x:c>
      <x:c r="Q937" t="str">
        <x:v>OK</x:v>
      </x:c>
      <x:c r="R937" t="str">
        <x:v>OK</x:v>
      </x:c>
      <x:c r="S937" t="str">
        <x:v>OK</x:v>
      </x:c>
      <x:c r="T937" t="n">
        <x:v>20</x:v>
      </x:c>
      <x:c r="U937" t="str">
        <x:v>OK</x:v>
      </x:c>
      <x:c r="V937" t="str">
        <x:v>OK</x:v>
      </x:c>
      <x:c r="W937" t="str">
        <x:v>LOAD</x:v>
      </x:c>
      <x:c r="X937" t="str">
        <x:v>02_Supervisor_Log(4).xlsx</x:v>
      </x:c>
      <x:c r="Y937" t="str">
        <x:v>ENH-20260830-01</x:v>
      </x:c>
      <x:c r="Z937" t="str">
        <x:v>Active</x:v>
      </x:c>
      <x:c r="AA937"/>
      <x:c r="AB937"/>
      <x:c r="AC937"/>
      <x:c r="AD937"/>
    </x:row>
    <x:row r="938">
      <x:c r="A938" t="str">
        <x:v>PCC-PE-KG01-L22-20251024-PM-ORD-2025-00057-S13-C1</x:v>
      </x:c>
      <x:c r="B938" t="str">
        <x:v>PC-PE-KG01-L22-20251024-PM-ORD-2025-00057-S13</x:v>
      </x:c>
      <x:c r="C938" t="str">
        <x:v>PE-KG01-L22-20251024-PM-ORD-2025-00057</x:v>
      </x:c>
      <x:c r="D938" t="str">
        <x:v>KG01</x:v>
      </x:c>
      <x:c r="E938" s="62" t="n">
        <x:v>45954</x:v>
      </x:c>
      <x:c r="F938" t="str">
        <x:v>PM</x:v>
      </x:c>
      <x:c r="G938" t="str">
        <x:v>B</x:v>
      </x:c>
      <x:c r="H938" t="n">
        <x:v>22</x:v>
      </x:c>
      <x:c r="I938" t="str">
        <x:v>ORD-2025-00057</x:v>
      </x:c>
      <x:c r="J938" t="n">
        <x:v>13</x:v>
      </x:c>
      <x:c r="K938" t="n">
        <x:v>1</x:v>
      </x:c>
      <x:c r="L938" t="str">
        <x:v>L22-S13-C1</x:v>
      </x:c>
      <x:c r="M938" t="n">
        <x:v>0</x:v>
      </x:c>
      <x:c r="N938" t="str">
        <x:v>DerivedFromCount</x:v>
      </x:c>
      <x:c r="O938" t="str">
        <x:v>PLC-PRD-JAR-720-L22</x:v>
      </x:c>
      <x:c r="P938" t="str">
        <x:v>OK</x:v>
      </x:c>
      <x:c r="Q938" t="str">
        <x:v>OK</x:v>
      </x:c>
      <x:c r="R938" t="str">
        <x:v>OK</x:v>
      </x:c>
      <x:c r="S938" t="str">
        <x:v>OK</x:v>
      </x:c>
      <x:c r="T938" t="n">
        <x:v>20</x:v>
      </x:c>
      <x:c r="U938" t="str">
        <x:v>OK</x:v>
      </x:c>
      <x:c r="V938" t="str">
        <x:v>OK</x:v>
      </x:c>
      <x:c r="W938" t="str">
        <x:v>LOAD</x:v>
      </x:c>
      <x:c r="X938" t="str">
        <x:v>02_Supervisor_Log(4).xlsx</x:v>
      </x:c>
      <x:c r="Y938" t="str">
        <x:v>ENH-20260830-01</x:v>
      </x:c>
      <x:c r="Z938" t="str">
        <x:v>Active</x:v>
      </x:c>
      <x:c r="AA938"/>
      <x:c r="AB938"/>
      <x:c r="AC938"/>
      <x:c r="AD938"/>
    </x:row>
    <x:row r="939">
      <x:c r="A939" t="str">
        <x:v>PCC-PE-KG01-L22-20251024-PM-ORD-2025-00057-S13-C2</x:v>
      </x:c>
      <x:c r="B939" t="str">
        <x:v>PC-PE-KG01-L22-20251024-PM-ORD-2025-00057-S13</x:v>
      </x:c>
      <x:c r="C939" t="str">
        <x:v>PE-KG01-L22-20251024-PM-ORD-2025-00057</x:v>
      </x:c>
      <x:c r="D939" t="str">
        <x:v>KG01</x:v>
      </x:c>
      <x:c r="E939" s="62" t="n">
        <x:v>45954</x:v>
      </x:c>
      <x:c r="F939" t="str">
        <x:v>PM</x:v>
      </x:c>
      <x:c r="G939" t="str">
        <x:v>B</x:v>
      </x:c>
      <x:c r="H939" t="n">
        <x:v>22</x:v>
      </x:c>
      <x:c r="I939" t="str">
        <x:v>ORD-2025-00057</x:v>
      </x:c>
      <x:c r="J939" t="n">
        <x:v>13</x:v>
      </x:c>
      <x:c r="K939" t="n">
        <x:v>2</x:v>
      </x:c>
      <x:c r="L939" t="str">
        <x:v>L22-S13-C2</x:v>
      </x:c>
      <x:c r="M939" t="n">
        <x:v>0</x:v>
      </x:c>
      <x:c r="N939" t="str">
        <x:v>DerivedFromCount</x:v>
      </x:c>
      <x:c r="O939" t="str">
        <x:v>PLC-PRD-JAR-720-L22</x:v>
      </x:c>
      <x:c r="P939" t="str">
        <x:v>OK</x:v>
      </x:c>
      <x:c r="Q939" t="str">
        <x:v>OK</x:v>
      </x:c>
      <x:c r="R939" t="str">
        <x:v>OK</x:v>
      </x:c>
      <x:c r="S939" t="str">
        <x:v>OK</x:v>
      </x:c>
      <x:c r="T939" t="n">
        <x:v>20</x:v>
      </x:c>
      <x:c r="U939" t="str">
        <x:v>OK</x:v>
      </x:c>
      <x:c r="V939" t="str">
        <x:v>OK</x:v>
      </x:c>
      <x:c r="W939" t="str">
        <x:v>LOAD</x:v>
      </x:c>
      <x:c r="X939" t="str">
        <x:v>02_Supervisor_Log(4).xlsx</x:v>
      </x:c>
      <x:c r="Y939" t="str">
        <x:v>ENH-20260830-01</x:v>
      </x:c>
      <x:c r="Z939" t="str">
        <x:v>Active</x:v>
      </x:c>
      <x:c r="AA939"/>
      <x:c r="AB939"/>
      <x:c r="AC939"/>
      <x:c r="AD939"/>
    </x:row>
    <x:row r="940">
      <x:c r="A940" t="str">
        <x:v>PCC-PE-KG01-L22-20251024-PM-ORD-2025-00057-S13-C3</x:v>
      </x:c>
      <x:c r="B940" t="str">
        <x:v>PC-PE-KG01-L22-20251024-PM-ORD-2025-00057-S13</x:v>
      </x:c>
      <x:c r="C940" t="str">
        <x:v>PE-KG01-L22-20251024-PM-ORD-2025-00057</x:v>
      </x:c>
      <x:c r="D940" t="str">
        <x:v>KG01</x:v>
      </x:c>
      <x:c r="E940" s="62" t="n">
        <x:v>45954</x:v>
      </x:c>
      <x:c r="F940" t="str">
        <x:v>PM</x:v>
      </x:c>
      <x:c r="G940" t="str">
        <x:v>B</x:v>
      </x:c>
      <x:c r="H940" t="n">
        <x:v>22</x:v>
      </x:c>
      <x:c r="I940" t="str">
        <x:v>ORD-2025-00057</x:v>
      </x:c>
      <x:c r="J940" t="n">
        <x:v>13</x:v>
      </x:c>
      <x:c r="K940" t="n">
        <x:v>3</x:v>
      </x:c>
      <x:c r="L940" t="str">
        <x:v>L22-S13-C3</x:v>
      </x:c>
      <x:c r="M940" t="n">
        <x:v>0</x:v>
      </x:c>
      <x:c r="N940" t="str">
        <x:v>DerivedFromCount</x:v>
      </x:c>
      <x:c r="O940" t="str">
        <x:v>PLC-PRD-JAR-720-L22</x:v>
      </x:c>
      <x:c r="P940" t="str">
        <x:v>OK</x:v>
      </x:c>
      <x:c r="Q940" t="str">
        <x:v>OK</x:v>
      </x:c>
      <x:c r="R940" t="str">
        <x:v>OK</x:v>
      </x:c>
      <x:c r="S940" t="str">
        <x:v>OK</x:v>
      </x:c>
      <x:c r="T940" t="n">
        <x:v>20</x:v>
      </x:c>
      <x:c r="U940" t="str">
        <x:v>OK</x:v>
      </x:c>
      <x:c r="V940" t="str">
        <x:v>OK</x:v>
      </x:c>
      <x:c r="W940" t="str">
        <x:v>LOAD</x:v>
      </x:c>
      <x:c r="X940" t="str">
        <x:v>02_Supervisor_Log(4).xlsx</x:v>
      </x:c>
      <x:c r="Y940" t="str">
        <x:v>ENH-20260830-01</x:v>
      </x:c>
      <x:c r="Z940" t="str">
        <x:v>Active</x:v>
      </x:c>
      <x:c r="AA940"/>
      <x:c r="AB940"/>
      <x:c r="AC940"/>
      <x:c r="AD940"/>
    </x:row>
    <x:row r="941">
      <x:c r="A941" t="str">
        <x:v>PCC-PE-KG01-L22-20251025-AM-ORD-2025-00057-S01-C1</x:v>
      </x:c>
      <x:c r="B941" t="str">
        <x:v>PC-PE-KG01-L22-20251025-AM-ORD-2025-00057-S01</x:v>
      </x:c>
      <x:c r="C941" t="str">
        <x:v>PE-KG01-L22-20251025-AM-ORD-2025-00057</x:v>
      </x:c>
      <x:c r="D941" t="str">
        <x:v>KG01</x:v>
      </x:c>
      <x:c r="E941" s="62" t="n">
        <x:v>45955</x:v>
      </x:c>
      <x:c r="F941" t="str">
        <x:v>AM</x:v>
      </x:c>
      <x:c r="G941" t="str">
        <x:v>B</x:v>
      </x:c>
      <x:c r="H941" t="n">
        <x:v>22</x:v>
      </x:c>
      <x:c r="I941" t="str">
        <x:v>ORD-2025-00057</x:v>
      </x:c>
      <x:c r="J941" t="n">
        <x:v>1</x:v>
      </x:c>
      <x:c r="K941" t="n">
        <x:v>1</x:v>
      </x:c>
      <x:c r="L941" t="str">
        <x:v>L22-S01-C1</x:v>
      </x:c>
      <x:c r="M941" t="n">
        <x:v>1</x:v>
      </x:c>
      <x:c r="N941" t="str">
        <x:v>DerivedFromCount</x:v>
      </x:c>
      <x:c r="O941" t="str">
        <x:v>PLC-PRD-JAR-720-L22</x:v>
      </x:c>
      <x:c r="P941" t="str">
        <x:v>OK</x:v>
      </x:c>
      <x:c r="Q941" t="str">
        <x:v>OK</x:v>
      </x:c>
      <x:c r="R941" t="str">
        <x:v>OK</x:v>
      </x:c>
      <x:c r="S941" t="str">
        <x:v>OK</x:v>
      </x:c>
      <x:c r="T941" t="n">
        <x:v>20</x:v>
      </x:c>
      <x:c r="U941" t="str">
        <x:v>OK</x:v>
      </x:c>
      <x:c r="V941" t="str">
        <x:v>OK</x:v>
      </x:c>
      <x:c r="W941" t="str">
        <x:v>LOAD</x:v>
      </x:c>
      <x:c r="X941" t="str">
        <x:v>02_Supervisor_Log(4).xlsx</x:v>
      </x:c>
      <x:c r="Y941" t="str">
        <x:v>ENH-20260830-01</x:v>
      </x:c>
      <x:c r="Z941" t="str">
        <x:v>Active</x:v>
      </x:c>
      <x:c r="AA941"/>
      <x:c r="AB941"/>
      <x:c r="AC941"/>
      <x:c r="AD941"/>
    </x:row>
    <x:row r="942">
      <x:c r="A942" t="str">
        <x:v>PCC-PE-KG01-L22-20251025-AM-ORD-2025-00057-S01-C2</x:v>
      </x:c>
      <x:c r="B942" t="str">
        <x:v>PC-PE-KG01-L22-20251025-AM-ORD-2025-00057-S01</x:v>
      </x:c>
      <x:c r="C942" t="str">
        <x:v>PE-KG01-L22-20251025-AM-ORD-2025-00057</x:v>
      </x:c>
      <x:c r="D942" t="str">
        <x:v>KG01</x:v>
      </x:c>
      <x:c r="E942" s="62" t="n">
        <x:v>45955</x:v>
      </x:c>
      <x:c r="F942" t="str">
        <x:v>AM</x:v>
      </x:c>
      <x:c r="G942" t="str">
        <x:v>B</x:v>
      </x:c>
      <x:c r="H942" t="n">
        <x:v>22</x:v>
      </x:c>
      <x:c r="I942" t="str">
        <x:v>ORD-2025-00057</x:v>
      </x:c>
      <x:c r="J942" t="n">
        <x:v>1</x:v>
      </x:c>
      <x:c r="K942" t="n">
        <x:v>2</x:v>
      </x:c>
      <x:c r="L942" t="str">
        <x:v>L22-S01-C2</x:v>
      </x:c>
      <x:c r="M942" t="n">
        <x:v>1</x:v>
      </x:c>
      <x:c r="N942" t="str">
        <x:v>DerivedFromCount</x:v>
      </x:c>
      <x:c r="O942" t="str">
        <x:v>PLC-PRD-JAR-720-L22</x:v>
      </x:c>
      <x:c r="P942" t="str">
        <x:v>OK</x:v>
      </x:c>
      <x:c r="Q942" t="str">
        <x:v>OK</x:v>
      </x:c>
      <x:c r="R942" t="str">
        <x:v>OK</x:v>
      </x:c>
      <x:c r="S942" t="str">
        <x:v>OK</x:v>
      </x:c>
      <x:c r="T942" t="n">
        <x:v>20</x:v>
      </x:c>
      <x:c r="U942" t="str">
        <x:v>OK</x:v>
      </x:c>
      <x:c r="V942" t="str">
        <x:v>OK</x:v>
      </x:c>
      <x:c r="W942" t="str">
        <x:v>LOAD</x:v>
      </x:c>
      <x:c r="X942" t="str">
        <x:v>02_Supervisor_Log(4).xlsx</x:v>
      </x:c>
      <x:c r="Y942" t="str">
        <x:v>ENH-20260830-01</x:v>
      </x:c>
      <x:c r="Z942" t="str">
        <x:v>Active</x:v>
      </x:c>
      <x:c r="AA942"/>
      <x:c r="AB942"/>
      <x:c r="AC942"/>
      <x:c r="AD942"/>
    </x:row>
    <x:row r="943">
      <x:c r="A943" t="str">
        <x:v>PCC-PE-KG01-L22-20251025-AM-ORD-2025-00057-S01-C3</x:v>
      </x:c>
      <x:c r="B943" t="str">
        <x:v>PC-PE-KG01-L22-20251025-AM-ORD-2025-00057-S01</x:v>
      </x:c>
      <x:c r="C943" t="str">
        <x:v>PE-KG01-L22-20251025-AM-ORD-2025-00057</x:v>
      </x:c>
      <x:c r="D943" t="str">
        <x:v>KG01</x:v>
      </x:c>
      <x:c r="E943" s="62" t="n">
        <x:v>45955</x:v>
      </x:c>
      <x:c r="F943" t="str">
        <x:v>AM</x:v>
      </x:c>
      <x:c r="G943" t="str">
        <x:v>B</x:v>
      </x:c>
      <x:c r="H943" t="n">
        <x:v>22</x:v>
      </x:c>
      <x:c r="I943" t="str">
        <x:v>ORD-2025-00057</x:v>
      </x:c>
      <x:c r="J943" t="n">
        <x:v>1</x:v>
      </x:c>
      <x:c r="K943" t="n">
        <x:v>3</x:v>
      </x:c>
      <x:c r="L943" t="str">
        <x:v>L22-S01-C3</x:v>
      </x:c>
      <x:c r="M943" t="n">
        <x:v>0</x:v>
      </x:c>
      <x:c r="N943" t="str">
        <x:v>DerivedFromCount</x:v>
      </x:c>
      <x:c r="O943" t="str">
        <x:v>PLC-PRD-JAR-720-L22</x:v>
      </x:c>
      <x:c r="P943" t="str">
        <x:v>OK</x:v>
      </x:c>
      <x:c r="Q943" t="str">
        <x:v>OK</x:v>
      </x:c>
      <x:c r="R943" t="str">
        <x:v>OK</x:v>
      </x:c>
      <x:c r="S943" t="str">
        <x:v>OK</x:v>
      </x:c>
      <x:c r="T943" t="n">
        <x:v>20</x:v>
      </x:c>
      <x:c r="U943" t="str">
        <x:v>OK</x:v>
      </x:c>
      <x:c r="V943" t="str">
        <x:v>OK</x:v>
      </x:c>
      <x:c r="W943" t="str">
        <x:v>LOAD</x:v>
      </x:c>
      <x:c r="X943" t="str">
        <x:v>02_Supervisor_Log(4).xlsx</x:v>
      </x:c>
      <x:c r="Y943" t="str">
        <x:v>ENH-20260830-01</x:v>
      </x:c>
      <x:c r="Z943" t="str">
        <x:v>Active</x:v>
      </x:c>
      <x:c r="AA943"/>
      <x:c r="AB943"/>
      <x:c r="AC943"/>
      <x:c r="AD943"/>
    </x:row>
    <x:row r="944">
      <x:c r="A944" t="str">
        <x:v>PCC-PE-KG01-L22-20251025-AM-ORD-2025-00057-S02-C1</x:v>
      </x:c>
      <x:c r="B944" t="str">
        <x:v>PC-PE-KG01-L22-20251025-AM-ORD-2025-00057-S02</x:v>
      </x:c>
      <x:c r="C944" t="str">
        <x:v>PE-KG01-L22-20251025-AM-ORD-2025-00057</x:v>
      </x:c>
      <x:c r="D944" t="str">
        <x:v>KG01</x:v>
      </x:c>
      <x:c r="E944" s="62" t="n">
        <x:v>45955</x:v>
      </x:c>
      <x:c r="F944" t="str">
        <x:v>AM</x:v>
      </x:c>
      <x:c r="G944" t="str">
        <x:v>B</x:v>
      </x:c>
      <x:c r="H944" t="n">
        <x:v>22</x:v>
      </x:c>
      <x:c r="I944" t="str">
        <x:v>ORD-2025-00057</x:v>
      </x:c>
      <x:c r="J944" t="n">
        <x:v>2</x:v>
      </x:c>
      <x:c r="K944" t="n">
        <x:v>1</x:v>
      </x:c>
      <x:c r="L944" t="str">
        <x:v>L22-S02-C1</x:v>
      </x:c>
      <x:c r="M944" t="n">
        <x:v>1</x:v>
      </x:c>
      <x:c r="N944" t="str">
        <x:v>DerivedFromCount</x:v>
      </x:c>
      <x:c r="O944" t="str">
        <x:v>PLC-PRD-JAR-720-L22</x:v>
      </x:c>
      <x:c r="P944" t="str">
        <x:v>OK</x:v>
      </x:c>
      <x:c r="Q944" t="str">
        <x:v>OK</x:v>
      </x:c>
      <x:c r="R944" t="str">
        <x:v>OK</x:v>
      </x:c>
      <x:c r="S944" t="str">
        <x:v>OK</x:v>
      </x:c>
      <x:c r="T944" t="n">
        <x:v>20</x:v>
      </x:c>
      <x:c r="U944" t="str">
        <x:v>OK</x:v>
      </x:c>
      <x:c r="V944" t="str">
        <x:v>OK</x:v>
      </x:c>
      <x:c r="W944" t="str">
        <x:v>LOAD</x:v>
      </x:c>
      <x:c r="X944" t="str">
        <x:v>02_Supervisor_Log(4).xlsx</x:v>
      </x:c>
      <x:c r="Y944" t="str">
        <x:v>ENH-20260830-01</x:v>
      </x:c>
      <x:c r="Z944" t="str">
        <x:v>Active</x:v>
      </x:c>
      <x:c r="AA944"/>
      <x:c r="AB944"/>
      <x:c r="AC944"/>
      <x:c r="AD944"/>
    </x:row>
    <x:row r="945">
      <x:c r="A945" t="str">
        <x:v>PCC-PE-KG01-L22-20251025-AM-ORD-2025-00057-S02-C2</x:v>
      </x:c>
      <x:c r="B945" t="str">
        <x:v>PC-PE-KG01-L22-20251025-AM-ORD-2025-00057-S02</x:v>
      </x:c>
      <x:c r="C945" t="str">
        <x:v>PE-KG01-L22-20251025-AM-ORD-2025-00057</x:v>
      </x:c>
      <x:c r="D945" t="str">
        <x:v>KG01</x:v>
      </x:c>
      <x:c r="E945" s="62" t="n">
        <x:v>45955</x:v>
      </x:c>
      <x:c r="F945" t="str">
        <x:v>AM</x:v>
      </x:c>
      <x:c r="G945" t="str">
        <x:v>B</x:v>
      </x:c>
      <x:c r="H945" t="n">
        <x:v>22</x:v>
      </x:c>
      <x:c r="I945" t="str">
        <x:v>ORD-2025-00057</x:v>
      </x:c>
      <x:c r="J945" t="n">
        <x:v>2</x:v>
      </x:c>
      <x:c r="K945" t="n">
        <x:v>2</x:v>
      </x:c>
      <x:c r="L945" t="str">
        <x:v>L22-S02-C2</x:v>
      </x:c>
      <x:c r="M945" t="n">
        <x:v>1</x:v>
      </x:c>
      <x:c r="N945" t="str">
        <x:v>DerivedFromCount</x:v>
      </x:c>
      <x:c r="O945" t="str">
        <x:v>PLC-PRD-JAR-720-L22</x:v>
      </x:c>
      <x:c r="P945" t="str">
        <x:v>OK</x:v>
      </x:c>
      <x:c r="Q945" t="str">
        <x:v>OK</x:v>
      </x:c>
      <x:c r="R945" t="str">
        <x:v>OK</x:v>
      </x:c>
      <x:c r="S945" t="str">
        <x:v>OK</x:v>
      </x:c>
      <x:c r="T945" t="n">
        <x:v>20</x:v>
      </x:c>
      <x:c r="U945" t="str">
        <x:v>OK</x:v>
      </x:c>
      <x:c r="V945" t="str">
        <x:v>OK</x:v>
      </x:c>
      <x:c r="W945" t="str">
        <x:v>LOAD</x:v>
      </x:c>
      <x:c r="X945" t="str">
        <x:v>02_Supervisor_Log(4).xlsx</x:v>
      </x:c>
      <x:c r="Y945" t="str">
        <x:v>ENH-20260830-01</x:v>
      </x:c>
      <x:c r="Z945" t="str">
        <x:v>Active</x:v>
      </x:c>
      <x:c r="AA945"/>
      <x:c r="AB945"/>
      <x:c r="AC945"/>
      <x:c r="AD945"/>
    </x:row>
    <x:row r="946">
      <x:c r="A946" t="str">
        <x:v>PCC-PE-KG01-L22-20251025-AM-ORD-2025-00057-S02-C3</x:v>
      </x:c>
      <x:c r="B946" t="str">
        <x:v>PC-PE-KG01-L22-20251025-AM-ORD-2025-00057-S02</x:v>
      </x:c>
      <x:c r="C946" t="str">
        <x:v>PE-KG01-L22-20251025-AM-ORD-2025-00057</x:v>
      </x:c>
      <x:c r="D946" t="str">
        <x:v>KG01</x:v>
      </x:c>
      <x:c r="E946" s="62" t="n">
        <x:v>45955</x:v>
      </x:c>
      <x:c r="F946" t="str">
        <x:v>AM</x:v>
      </x:c>
      <x:c r="G946" t="str">
        <x:v>B</x:v>
      </x:c>
      <x:c r="H946" t="n">
        <x:v>22</x:v>
      </x:c>
      <x:c r="I946" t="str">
        <x:v>ORD-2025-00057</x:v>
      </x:c>
      <x:c r="J946" t="n">
        <x:v>2</x:v>
      </x:c>
      <x:c r="K946" t="n">
        <x:v>3</x:v>
      </x:c>
      <x:c r="L946" t="str">
        <x:v>L22-S02-C3</x:v>
      </x:c>
      <x:c r="M946" t="n">
        <x:v>0</x:v>
      </x:c>
      <x:c r="N946" t="str">
        <x:v>DerivedFromCount</x:v>
      </x:c>
      <x:c r="O946" t="str">
        <x:v>PLC-PRD-JAR-720-L22</x:v>
      </x:c>
      <x:c r="P946" t="str">
        <x:v>OK</x:v>
      </x:c>
      <x:c r="Q946" t="str">
        <x:v>OK</x:v>
      </x:c>
      <x:c r="R946" t="str">
        <x:v>OK</x:v>
      </x:c>
      <x:c r="S946" t="str">
        <x:v>OK</x:v>
      </x:c>
      <x:c r="T946" t="n">
        <x:v>20</x:v>
      </x:c>
      <x:c r="U946" t="str">
        <x:v>OK</x:v>
      </x:c>
      <x:c r="V946" t="str">
        <x:v>OK</x:v>
      </x:c>
      <x:c r="W946" t="str">
        <x:v>LOAD</x:v>
      </x:c>
      <x:c r="X946" t="str">
        <x:v>02_Supervisor_Log(4).xlsx</x:v>
      </x:c>
      <x:c r="Y946" t="str">
        <x:v>ENH-20260830-01</x:v>
      </x:c>
      <x:c r="Z946" t="str">
        <x:v>Active</x:v>
      </x:c>
      <x:c r="AA946"/>
      <x:c r="AB946"/>
      <x:c r="AC946"/>
      <x:c r="AD946"/>
    </x:row>
    <x:row r="947">
      <x:c r="A947" t="str">
        <x:v>PCC-PE-KG01-L22-20251025-AM-ORD-2025-00057-S03-C1</x:v>
      </x:c>
      <x:c r="B947" t="str">
        <x:v>PC-PE-KG01-L22-20251025-AM-ORD-2025-00057-S03</x:v>
      </x:c>
      <x:c r="C947" t="str">
        <x:v>PE-KG01-L22-20251025-AM-ORD-2025-00057</x:v>
      </x:c>
      <x:c r="D947" t="str">
        <x:v>KG01</x:v>
      </x:c>
      <x:c r="E947" s="62" t="n">
        <x:v>45955</x:v>
      </x:c>
      <x:c r="F947" t="str">
        <x:v>AM</x:v>
      </x:c>
      <x:c r="G947" t="str">
        <x:v>B</x:v>
      </x:c>
      <x:c r="H947" t="n">
        <x:v>22</x:v>
      </x:c>
      <x:c r="I947" t="str">
        <x:v>ORD-2025-00057</x:v>
      </x:c>
      <x:c r="J947" t="n">
        <x:v>3</x:v>
      </x:c>
      <x:c r="K947" t="n">
        <x:v>1</x:v>
      </x:c>
      <x:c r="L947" t="str">
        <x:v>L22-S03-C1</x:v>
      </x:c>
      <x:c r="M947" t="n">
        <x:v>1</x:v>
      </x:c>
      <x:c r="N947" t="str">
        <x:v>DerivedFromCount</x:v>
      </x:c>
      <x:c r="O947" t="str">
        <x:v>PLC-PRD-JAR-720-L22</x:v>
      </x:c>
      <x:c r="P947" t="str">
        <x:v>OK</x:v>
      </x:c>
      <x:c r="Q947" t="str">
        <x:v>OK</x:v>
      </x:c>
      <x:c r="R947" t="str">
        <x:v>OK</x:v>
      </x:c>
      <x:c r="S947" t="str">
        <x:v>OK</x:v>
      </x:c>
      <x:c r="T947" t="n">
        <x:v>20</x:v>
      </x:c>
      <x:c r="U947" t="str">
        <x:v>OK</x:v>
      </x:c>
      <x:c r="V947" t="str">
        <x:v>OK</x:v>
      </x:c>
      <x:c r="W947" t="str">
        <x:v>LOAD</x:v>
      </x:c>
      <x:c r="X947" t="str">
        <x:v>02_Supervisor_Log(4).xlsx</x:v>
      </x:c>
      <x:c r="Y947" t="str">
        <x:v>ENH-20260830-01</x:v>
      </x:c>
      <x:c r="Z947" t="str">
        <x:v>Active</x:v>
      </x:c>
      <x:c r="AA947"/>
      <x:c r="AB947"/>
      <x:c r="AC947"/>
      <x:c r="AD947"/>
    </x:row>
    <x:row r="948">
      <x:c r="A948" t="str">
        <x:v>PCC-PE-KG01-L22-20251025-AM-ORD-2025-00057-S03-C2</x:v>
      </x:c>
      <x:c r="B948" t="str">
        <x:v>PC-PE-KG01-L22-20251025-AM-ORD-2025-00057-S03</x:v>
      </x:c>
      <x:c r="C948" t="str">
        <x:v>PE-KG01-L22-20251025-AM-ORD-2025-00057</x:v>
      </x:c>
      <x:c r="D948" t="str">
        <x:v>KG01</x:v>
      </x:c>
      <x:c r="E948" s="62" t="n">
        <x:v>45955</x:v>
      </x:c>
      <x:c r="F948" t="str">
        <x:v>AM</x:v>
      </x:c>
      <x:c r="G948" t="str">
        <x:v>B</x:v>
      </x:c>
      <x:c r="H948" t="n">
        <x:v>22</x:v>
      </x:c>
      <x:c r="I948" t="str">
        <x:v>ORD-2025-00057</x:v>
      </x:c>
      <x:c r="J948" t="n">
        <x:v>3</x:v>
      </x:c>
      <x:c r="K948" t="n">
        <x:v>2</x:v>
      </x:c>
      <x:c r="L948" t="str">
        <x:v>L22-S03-C2</x:v>
      </x:c>
      <x:c r="M948" t="n">
        <x:v>1</x:v>
      </x:c>
      <x:c r="N948" t="str">
        <x:v>DerivedFromCount</x:v>
      </x:c>
      <x:c r="O948" t="str">
        <x:v>PLC-PRD-JAR-720-L22</x:v>
      </x:c>
      <x:c r="P948" t="str">
        <x:v>OK</x:v>
      </x:c>
      <x:c r="Q948" t="str">
        <x:v>OK</x:v>
      </x:c>
      <x:c r="R948" t="str">
        <x:v>OK</x:v>
      </x:c>
      <x:c r="S948" t="str">
        <x:v>OK</x:v>
      </x:c>
      <x:c r="T948" t="n">
        <x:v>20</x:v>
      </x:c>
      <x:c r="U948" t="str">
        <x:v>OK</x:v>
      </x:c>
      <x:c r="V948" t="str">
        <x:v>OK</x:v>
      </x:c>
      <x:c r="W948" t="str">
        <x:v>LOAD</x:v>
      </x:c>
      <x:c r="X948" t="str">
        <x:v>02_Supervisor_Log(4).xlsx</x:v>
      </x:c>
      <x:c r="Y948" t="str">
        <x:v>ENH-20260830-01</x:v>
      </x:c>
      <x:c r="Z948" t="str">
        <x:v>Active</x:v>
      </x:c>
      <x:c r="AA948"/>
      <x:c r="AB948"/>
      <x:c r="AC948"/>
      <x:c r="AD948"/>
    </x:row>
    <x:row r="949">
      <x:c r="A949" t="str">
        <x:v>PCC-PE-KG01-L22-20251025-AM-ORD-2025-00057-S03-C3</x:v>
      </x:c>
      <x:c r="B949" t="str">
        <x:v>PC-PE-KG01-L22-20251025-AM-ORD-2025-00057-S03</x:v>
      </x:c>
      <x:c r="C949" t="str">
        <x:v>PE-KG01-L22-20251025-AM-ORD-2025-00057</x:v>
      </x:c>
      <x:c r="D949" t="str">
        <x:v>KG01</x:v>
      </x:c>
      <x:c r="E949" s="62" t="n">
        <x:v>45955</x:v>
      </x:c>
      <x:c r="F949" t="str">
        <x:v>AM</x:v>
      </x:c>
      <x:c r="G949" t="str">
        <x:v>B</x:v>
      </x:c>
      <x:c r="H949" t="n">
        <x:v>22</x:v>
      </x:c>
      <x:c r="I949" t="str">
        <x:v>ORD-2025-00057</x:v>
      </x:c>
      <x:c r="J949" t="n">
        <x:v>3</x:v>
      </x:c>
      <x:c r="K949" t="n">
        <x:v>3</x:v>
      </x:c>
      <x:c r="L949" t="str">
        <x:v>L22-S03-C3</x:v>
      </x:c>
      <x:c r="M949" t="n">
        <x:v>0</x:v>
      </x:c>
      <x:c r="N949" t="str">
        <x:v>DerivedFromCount</x:v>
      </x:c>
      <x:c r="O949" t="str">
        <x:v>PLC-PRD-JAR-720-L22</x:v>
      </x:c>
      <x:c r="P949" t="str">
        <x:v>OK</x:v>
      </x:c>
      <x:c r="Q949" t="str">
        <x:v>OK</x:v>
      </x:c>
      <x:c r="R949" t="str">
        <x:v>OK</x:v>
      </x:c>
      <x:c r="S949" t="str">
        <x:v>OK</x:v>
      </x:c>
      <x:c r="T949" t="n">
        <x:v>20</x:v>
      </x:c>
      <x:c r="U949" t="str">
        <x:v>OK</x:v>
      </x:c>
      <x:c r="V949" t="str">
        <x:v>OK</x:v>
      </x:c>
      <x:c r="W949" t="str">
        <x:v>LOAD</x:v>
      </x:c>
      <x:c r="X949" t="str">
        <x:v>02_Supervisor_Log(4).xlsx</x:v>
      </x:c>
      <x:c r="Y949" t="str">
        <x:v>ENH-20260830-01</x:v>
      </x:c>
      <x:c r="Z949" t="str">
        <x:v>Active</x:v>
      </x:c>
      <x:c r="AA949"/>
      <x:c r="AB949"/>
      <x:c r="AC949"/>
      <x:c r="AD949"/>
    </x:row>
    <x:row r="950">
      <x:c r="A950" t="str">
        <x:v>PCC-PE-KG01-L22-20251025-AM-ORD-2025-00057-S04-C1</x:v>
      </x:c>
      <x:c r="B950" t="str">
        <x:v>PC-PE-KG01-L22-20251025-AM-ORD-2025-00057-S04</x:v>
      </x:c>
      <x:c r="C950" t="str">
        <x:v>PE-KG01-L22-20251025-AM-ORD-2025-00057</x:v>
      </x:c>
      <x:c r="D950" t="str">
        <x:v>KG01</x:v>
      </x:c>
      <x:c r="E950" s="62" t="n">
        <x:v>45955</x:v>
      </x:c>
      <x:c r="F950" t="str">
        <x:v>AM</x:v>
      </x:c>
      <x:c r="G950" t="str">
        <x:v>B</x:v>
      </x:c>
      <x:c r="H950" t="n">
        <x:v>22</x:v>
      </x:c>
      <x:c r="I950" t="str">
        <x:v>ORD-2025-00057</x:v>
      </x:c>
      <x:c r="J950" t="n">
        <x:v>4</x:v>
      </x:c>
      <x:c r="K950" t="n">
        <x:v>1</x:v>
      </x:c>
      <x:c r="L950" t="str">
        <x:v>L22-S04-C1</x:v>
      </x:c>
      <x:c r="M950" t="n">
        <x:v>1</x:v>
      </x:c>
      <x:c r="N950" t="str">
        <x:v>DerivedFromCount</x:v>
      </x:c>
      <x:c r="O950" t="str">
        <x:v>PLC-PRD-JAR-720-L22</x:v>
      </x:c>
      <x:c r="P950" t="str">
        <x:v>OK</x:v>
      </x:c>
      <x:c r="Q950" t="str">
        <x:v>OK</x:v>
      </x:c>
      <x:c r="R950" t="str">
        <x:v>OK</x:v>
      </x:c>
      <x:c r="S950" t="str">
        <x:v>OK</x:v>
      </x:c>
      <x:c r="T950" t="n">
        <x:v>20</x:v>
      </x:c>
      <x:c r="U950" t="str">
        <x:v>OK</x:v>
      </x:c>
      <x:c r="V950" t="str">
        <x:v>OK</x:v>
      </x:c>
      <x:c r="W950" t="str">
        <x:v>LOAD</x:v>
      </x:c>
      <x:c r="X950" t="str">
        <x:v>02_Supervisor_Log(4).xlsx</x:v>
      </x:c>
      <x:c r="Y950" t="str">
        <x:v>ENH-20260830-01</x:v>
      </x:c>
      <x:c r="Z950" t="str">
        <x:v>Active</x:v>
      </x:c>
      <x:c r="AA950"/>
      <x:c r="AB950"/>
      <x:c r="AC950"/>
      <x:c r="AD950"/>
    </x:row>
    <x:row r="951">
      <x:c r="A951" t="str">
        <x:v>PCC-PE-KG01-L22-20251025-AM-ORD-2025-00057-S04-C2</x:v>
      </x:c>
      <x:c r="B951" t="str">
        <x:v>PC-PE-KG01-L22-20251025-AM-ORD-2025-00057-S04</x:v>
      </x:c>
      <x:c r="C951" t="str">
        <x:v>PE-KG01-L22-20251025-AM-ORD-2025-00057</x:v>
      </x:c>
      <x:c r="D951" t="str">
        <x:v>KG01</x:v>
      </x:c>
      <x:c r="E951" s="62" t="n">
        <x:v>45955</x:v>
      </x:c>
      <x:c r="F951" t="str">
        <x:v>AM</x:v>
      </x:c>
      <x:c r="G951" t="str">
        <x:v>B</x:v>
      </x:c>
      <x:c r="H951" t="n">
        <x:v>22</x:v>
      </x:c>
      <x:c r="I951" t="str">
        <x:v>ORD-2025-00057</x:v>
      </x:c>
      <x:c r="J951" t="n">
        <x:v>4</x:v>
      </x:c>
      <x:c r="K951" t="n">
        <x:v>2</x:v>
      </x:c>
      <x:c r="L951" t="str">
        <x:v>L22-S04-C2</x:v>
      </x:c>
      <x:c r="M951" t="n">
        <x:v>1</x:v>
      </x:c>
      <x:c r="N951" t="str">
        <x:v>DerivedFromCount</x:v>
      </x:c>
      <x:c r="O951" t="str">
        <x:v>PLC-PRD-JAR-720-L22</x:v>
      </x:c>
      <x:c r="P951" t="str">
        <x:v>OK</x:v>
      </x:c>
      <x:c r="Q951" t="str">
        <x:v>OK</x:v>
      </x:c>
      <x:c r="R951" t="str">
        <x:v>OK</x:v>
      </x:c>
      <x:c r="S951" t="str">
        <x:v>OK</x:v>
      </x:c>
      <x:c r="T951" t="n">
        <x:v>20</x:v>
      </x:c>
      <x:c r="U951" t="str">
        <x:v>OK</x:v>
      </x:c>
      <x:c r="V951" t="str">
        <x:v>OK</x:v>
      </x:c>
      <x:c r="W951" t="str">
        <x:v>LOAD</x:v>
      </x:c>
      <x:c r="X951" t="str">
        <x:v>02_Supervisor_Log(4).xlsx</x:v>
      </x:c>
      <x:c r="Y951" t="str">
        <x:v>ENH-20260830-01</x:v>
      </x:c>
      <x:c r="Z951" t="str">
        <x:v>Active</x:v>
      </x:c>
      <x:c r="AA951"/>
      <x:c r="AB951"/>
      <x:c r="AC951"/>
      <x:c r="AD951"/>
    </x:row>
    <x:row r="952">
      <x:c r="A952" t="str">
        <x:v>PCC-PE-KG01-L22-20251025-AM-ORD-2025-00057-S04-C3</x:v>
      </x:c>
      <x:c r="B952" t="str">
        <x:v>PC-PE-KG01-L22-20251025-AM-ORD-2025-00057-S04</x:v>
      </x:c>
      <x:c r="C952" t="str">
        <x:v>PE-KG01-L22-20251025-AM-ORD-2025-00057</x:v>
      </x:c>
      <x:c r="D952" t="str">
        <x:v>KG01</x:v>
      </x:c>
      <x:c r="E952" s="62" t="n">
        <x:v>45955</x:v>
      </x:c>
      <x:c r="F952" t="str">
        <x:v>AM</x:v>
      </x:c>
      <x:c r="G952" t="str">
        <x:v>B</x:v>
      </x:c>
      <x:c r="H952" t="n">
        <x:v>22</x:v>
      </x:c>
      <x:c r="I952" t="str">
        <x:v>ORD-2025-00057</x:v>
      </x:c>
      <x:c r="J952" t="n">
        <x:v>4</x:v>
      </x:c>
      <x:c r="K952" t="n">
        <x:v>3</x:v>
      </x:c>
      <x:c r="L952" t="str">
        <x:v>L22-S04-C3</x:v>
      </x:c>
      <x:c r="M952" t="n">
        <x:v>0</x:v>
      </x:c>
      <x:c r="N952" t="str">
        <x:v>DerivedFromCount</x:v>
      </x:c>
      <x:c r="O952" t="str">
        <x:v>PLC-PRD-JAR-720-L22</x:v>
      </x:c>
      <x:c r="P952" t="str">
        <x:v>OK</x:v>
      </x:c>
      <x:c r="Q952" t="str">
        <x:v>OK</x:v>
      </x:c>
      <x:c r="R952" t="str">
        <x:v>OK</x:v>
      </x:c>
      <x:c r="S952" t="str">
        <x:v>OK</x:v>
      </x:c>
      <x:c r="T952" t="n">
        <x:v>20</x:v>
      </x:c>
      <x:c r="U952" t="str">
        <x:v>OK</x:v>
      </x:c>
      <x:c r="V952" t="str">
        <x:v>OK</x:v>
      </x:c>
      <x:c r="W952" t="str">
        <x:v>LOAD</x:v>
      </x:c>
      <x:c r="X952" t="str">
        <x:v>02_Supervisor_Log(4).xlsx</x:v>
      </x:c>
      <x:c r="Y952" t="str">
        <x:v>ENH-20260830-01</x:v>
      </x:c>
      <x:c r="Z952" t="str">
        <x:v>Active</x:v>
      </x:c>
      <x:c r="AA952"/>
      <x:c r="AB952"/>
      <x:c r="AC952"/>
      <x:c r="AD952"/>
    </x:row>
    <x:row r="953">
      <x:c r="A953" t="str">
        <x:v>PCC-PE-KG01-L22-20251025-AM-ORD-2025-00057-S05-C1</x:v>
      </x:c>
      <x:c r="B953" t="str">
        <x:v>PC-PE-KG01-L22-20251025-AM-ORD-2025-00057-S05</x:v>
      </x:c>
      <x:c r="C953" t="str">
        <x:v>PE-KG01-L22-20251025-AM-ORD-2025-00057</x:v>
      </x:c>
      <x:c r="D953" t="str">
        <x:v>KG01</x:v>
      </x:c>
      <x:c r="E953" s="62" t="n">
        <x:v>45955</x:v>
      </x:c>
      <x:c r="F953" t="str">
        <x:v>AM</x:v>
      </x:c>
      <x:c r="G953" t="str">
        <x:v>B</x:v>
      </x:c>
      <x:c r="H953" t="n">
        <x:v>22</x:v>
      </x:c>
      <x:c r="I953" t="str">
        <x:v>ORD-2025-00057</x:v>
      </x:c>
      <x:c r="J953" t="n">
        <x:v>5</x:v>
      </x:c>
      <x:c r="K953" t="n">
        <x:v>1</x:v>
      </x:c>
      <x:c r="L953" t="str">
        <x:v>L22-S05-C1</x:v>
      </x:c>
      <x:c r="M953" t="n">
        <x:v>1</x:v>
      </x:c>
      <x:c r="N953" t="str">
        <x:v>DerivedFromCount</x:v>
      </x:c>
      <x:c r="O953" t="str">
        <x:v>PLC-PRD-JAR-720-L22</x:v>
      </x:c>
      <x:c r="P953" t="str">
        <x:v>OK</x:v>
      </x:c>
      <x:c r="Q953" t="str">
        <x:v>OK</x:v>
      </x:c>
      <x:c r="R953" t="str">
        <x:v>OK</x:v>
      </x:c>
      <x:c r="S953" t="str">
        <x:v>OK</x:v>
      </x:c>
      <x:c r="T953" t="n">
        <x:v>20</x:v>
      </x:c>
      <x:c r="U953" t="str">
        <x:v>OK</x:v>
      </x:c>
      <x:c r="V953" t="str">
        <x:v>OK</x:v>
      </x:c>
      <x:c r="W953" t="str">
        <x:v>LOAD</x:v>
      </x:c>
      <x:c r="X953" t="str">
        <x:v>02_Supervisor_Log(4).xlsx</x:v>
      </x:c>
      <x:c r="Y953" t="str">
        <x:v>ENH-20260830-01</x:v>
      </x:c>
      <x:c r="Z953" t="str">
        <x:v>Active</x:v>
      </x:c>
      <x:c r="AA953"/>
      <x:c r="AB953"/>
      <x:c r="AC953"/>
      <x:c r="AD953"/>
    </x:row>
    <x:row r="954">
      <x:c r="A954" t="str">
        <x:v>PCC-PE-KG01-L22-20251025-AM-ORD-2025-00057-S05-C2</x:v>
      </x:c>
      <x:c r="B954" t="str">
        <x:v>PC-PE-KG01-L22-20251025-AM-ORD-2025-00057-S05</x:v>
      </x:c>
      <x:c r="C954" t="str">
        <x:v>PE-KG01-L22-20251025-AM-ORD-2025-00057</x:v>
      </x:c>
      <x:c r="D954" t="str">
        <x:v>KG01</x:v>
      </x:c>
      <x:c r="E954" s="62" t="n">
        <x:v>45955</x:v>
      </x:c>
      <x:c r="F954" t="str">
        <x:v>AM</x:v>
      </x:c>
      <x:c r="G954" t="str">
        <x:v>B</x:v>
      </x:c>
      <x:c r="H954" t="n">
        <x:v>22</x:v>
      </x:c>
      <x:c r="I954" t="str">
        <x:v>ORD-2025-00057</x:v>
      </x:c>
      <x:c r="J954" t="n">
        <x:v>5</x:v>
      </x:c>
      <x:c r="K954" t="n">
        <x:v>2</x:v>
      </x:c>
      <x:c r="L954" t="str">
        <x:v>L22-S05-C2</x:v>
      </x:c>
      <x:c r="M954" t="n">
        <x:v>1</x:v>
      </x:c>
      <x:c r="N954" t="str">
        <x:v>DerivedFromCount</x:v>
      </x:c>
      <x:c r="O954" t="str">
        <x:v>PLC-PRD-JAR-720-L22</x:v>
      </x:c>
      <x:c r="P954" t="str">
        <x:v>OK</x:v>
      </x:c>
      <x:c r="Q954" t="str">
        <x:v>OK</x:v>
      </x:c>
      <x:c r="R954" t="str">
        <x:v>OK</x:v>
      </x:c>
      <x:c r="S954" t="str">
        <x:v>OK</x:v>
      </x:c>
      <x:c r="T954" t="n">
        <x:v>20</x:v>
      </x:c>
      <x:c r="U954" t="str">
        <x:v>OK</x:v>
      </x:c>
      <x:c r="V954" t="str">
        <x:v>OK</x:v>
      </x:c>
      <x:c r="W954" t="str">
        <x:v>LOAD</x:v>
      </x:c>
      <x:c r="X954" t="str">
        <x:v>02_Supervisor_Log(4).xlsx</x:v>
      </x:c>
      <x:c r="Y954" t="str">
        <x:v>ENH-20260830-01</x:v>
      </x:c>
      <x:c r="Z954" t="str">
        <x:v>Active</x:v>
      </x:c>
      <x:c r="AA954"/>
      <x:c r="AB954"/>
      <x:c r="AC954"/>
      <x:c r="AD954"/>
    </x:row>
    <x:row r="955">
      <x:c r="A955" t="str">
        <x:v>PCC-PE-KG01-L22-20251025-AM-ORD-2025-00057-S05-C3</x:v>
      </x:c>
      <x:c r="B955" t="str">
        <x:v>PC-PE-KG01-L22-20251025-AM-ORD-2025-00057-S05</x:v>
      </x:c>
      <x:c r="C955" t="str">
        <x:v>PE-KG01-L22-20251025-AM-ORD-2025-00057</x:v>
      </x:c>
      <x:c r="D955" t="str">
        <x:v>KG01</x:v>
      </x:c>
      <x:c r="E955" s="62" t="n">
        <x:v>45955</x:v>
      </x:c>
      <x:c r="F955" t="str">
        <x:v>AM</x:v>
      </x:c>
      <x:c r="G955" t="str">
        <x:v>B</x:v>
      </x:c>
      <x:c r="H955" t="n">
        <x:v>22</x:v>
      </x:c>
      <x:c r="I955" t="str">
        <x:v>ORD-2025-00057</x:v>
      </x:c>
      <x:c r="J955" t="n">
        <x:v>5</x:v>
      </x:c>
      <x:c r="K955" t="n">
        <x:v>3</x:v>
      </x:c>
      <x:c r="L955" t="str">
        <x:v>L22-S05-C3</x:v>
      </x:c>
      <x:c r="M955" t="n">
        <x:v>0</x:v>
      </x:c>
      <x:c r="N955" t="str">
        <x:v>DerivedFromCount</x:v>
      </x:c>
      <x:c r="O955" t="str">
        <x:v>PLC-PRD-JAR-720-L22</x:v>
      </x:c>
      <x:c r="P955" t="str">
        <x:v>OK</x:v>
      </x:c>
      <x:c r="Q955" t="str">
        <x:v>OK</x:v>
      </x:c>
      <x:c r="R955" t="str">
        <x:v>OK</x:v>
      </x:c>
      <x:c r="S955" t="str">
        <x:v>OK</x:v>
      </x:c>
      <x:c r="T955" t="n">
        <x:v>20</x:v>
      </x:c>
      <x:c r="U955" t="str">
        <x:v>OK</x:v>
      </x:c>
      <x:c r="V955" t="str">
        <x:v>OK</x:v>
      </x:c>
      <x:c r="W955" t="str">
        <x:v>LOAD</x:v>
      </x:c>
      <x:c r="X955" t="str">
        <x:v>02_Supervisor_Log(4).xlsx</x:v>
      </x:c>
      <x:c r="Y955" t="str">
        <x:v>ENH-20260830-01</x:v>
      </x:c>
      <x:c r="Z955" t="str">
        <x:v>Active</x:v>
      </x:c>
      <x:c r="AA955"/>
      <x:c r="AB955"/>
      <x:c r="AC955"/>
      <x:c r="AD955"/>
    </x:row>
    <x:row r="956">
      <x:c r="A956" t="str">
        <x:v>PCC-PE-KG01-L22-20251025-AM-ORD-2025-00057-S06-C1</x:v>
      </x:c>
      <x:c r="B956" t="str">
        <x:v>PC-PE-KG01-L22-20251025-AM-ORD-2025-00057-S06</x:v>
      </x:c>
      <x:c r="C956" t="str">
        <x:v>PE-KG01-L22-20251025-AM-ORD-2025-00057</x:v>
      </x:c>
      <x:c r="D956" t="str">
        <x:v>KG01</x:v>
      </x:c>
      <x:c r="E956" s="62" t="n">
        <x:v>45955</x:v>
      </x:c>
      <x:c r="F956" t="str">
        <x:v>AM</x:v>
      </x:c>
      <x:c r="G956" t="str">
        <x:v>B</x:v>
      </x:c>
      <x:c r="H956" t="n">
        <x:v>22</x:v>
      </x:c>
      <x:c r="I956" t="str">
        <x:v>ORD-2025-00057</x:v>
      </x:c>
      <x:c r="J956" t="n">
        <x:v>6</x:v>
      </x:c>
      <x:c r="K956" t="n">
        <x:v>1</x:v>
      </x:c>
      <x:c r="L956" t="str">
        <x:v>L22-S06-C1</x:v>
      </x:c>
      <x:c r="M956" t="n">
        <x:v>1</x:v>
      </x:c>
      <x:c r="N956" t="str">
        <x:v>DerivedFromCount</x:v>
      </x:c>
      <x:c r="O956" t="str">
        <x:v>PLC-PRD-JAR-720-L22</x:v>
      </x:c>
      <x:c r="P956" t="str">
        <x:v>OK</x:v>
      </x:c>
      <x:c r="Q956" t="str">
        <x:v>OK</x:v>
      </x:c>
      <x:c r="R956" t="str">
        <x:v>OK</x:v>
      </x:c>
      <x:c r="S956" t="str">
        <x:v>OK</x:v>
      </x:c>
      <x:c r="T956" t="n">
        <x:v>20</x:v>
      </x:c>
      <x:c r="U956" t="str">
        <x:v>OK</x:v>
      </x:c>
      <x:c r="V956" t="str">
        <x:v>OK</x:v>
      </x:c>
      <x:c r="W956" t="str">
        <x:v>LOAD</x:v>
      </x:c>
      <x:c r="X956" t="str">
        <x:v>02_Supervisor_Log(4).xlsx</x:v>
      </x:c>
      <x:c r="Y956" t="str">
        <x:v>ENH-20260830-01</x:v>
      </x:c>
      <x:c r="Z956" t="str">
        <x:v>Active</x:v>
      </x:c>
      <x:c r="AA956"/>
      <x:c r="AB956"/>
      <x:c r="AC956"/>
      <x:c r="AD956"/>
    </x:row>
    <x:row r="957">
      <x:c r="A957" t="str">
        <x:v>PCC-PE-KG01-L22-20251025-AM-ORD-2025-00057-S06-C2</x:v>
      </x:c>
      <x:c r="B957" t="str">
        <x:v>PC-PE-KG01-L22-20251025-AM-ORD-2025-00057-S06</x:v>
      </x:c>
      <x:c r="C957" t="str">
        <x:v>PE-KG01-L22-20251025-AM-ORD-2025-00057</x:v>
      </x:c>
      <x:c r="D957" t="str">
        <x:v>KG01</x:v>
      </x:c>
      <x:c r="E957" s="62" t="n">
        <x:v>45955</x:v>
      </x:c>
      <x:c r="F957" t="str">
        <x:v>AM</x:v>
      </x:c>
      <x:c r="G957" t="str">
        <x:v>B</x:v>
      </x:c>
      <x:c r="H957" t="n">
        <x:v>22</x:v>
      </x:c>
      <x:c r="I957" t="str">
        <x:v>ORD-2025-00057</x:v>
      </x:c>
      <x:c r="J957" t="n">
        <x:v>6</x:v>
      </x:c>
      <x:c r="K957" t="n">
        <x:v>2</x:v>
      </x:c>
      <x:c r="L957" t="str">
        <x:v>L22-S06-C2</x:v>
      </x:c>
      <x:c r="M957" t="n">
        <x:v>1</x:v>
      </x:c>
      <x:c r="N957" t="str">
        <x:v>DerivedFromCount</x:v>
      </x:c>
      <x:c r="O957" t="str">
        <x:v>PLC-PRD-JAR-720-L22</x:v>
      </x:c>
      <x:c r="P957" t="str">
        <x:v>OK</x:v>
      </x:c>
      <x:c r="Q957" t="str">
        <x:v>OK</x:v>
      </x:c>
      <x:c r="R957" t="str">
        <x:v>OK</x:v>
      </x:c>
      <x:c r="S957" t="str">
        <x:v>OK</x:v>
      </x:c>
      <x:c r="T957" t="n">
        <x:v>20</x:v>
      </x:c>
      <x:c r="U957" t="str">
        <x:v>OK</x:v>
      </x:c>
      <x:c r="V957" t="str">
        <x:v>OK</x:v>
      </x:c>
      <x:c r="W957" t="str">
        <x:v>LOAD</x:v>
      </x:c>
      <x:c r="X957" t="str">
        <x:v>02_Supervisor_Log(4).xlsx</x:v>
      </x:c>
      <x:c r="Y957" t="str">
        <x:v>ENH-20260830-01</x:v>
      </x:c>
      <x:c r="Z957" t="str">
        <x:v>Active</x:v>
      </x:c>
      <x:c r="AA957"/>
      <x:c r="AB957"/>
      <x:c r="AC957"/>
      <x:c r="AD957"/>
    </x:row>
    <x:row r="958">
      <x:c r="A958" t="str">
        <x:v>PCC-PE-KG01-L22-20251025-AM-ORD-2025-00057-S06-C3</x:v>
      </x:c>
      <x:c r="B958" t="str">
        <x:v>PC-PE-KG01-L22-20251025-AM-ORD-2025-00057-S06</x:v>
      </x:c>
      <x:c r="C958" t="str">
        <x:v>PE-KG01-L22-20251025-AM-ORD-2025-00057</x:v>
      </x:c>
      <x:c r="D958" t="str">
        <x:v>KG01</x:v>
      </x:c>
      <x:c r="E958" s="62" t="n">
        <x:v>45955</x:v>
      </x:c>
      <x:c r="F958" t="str">
        <x:v>AM</x:v>
      </x:c>
      <x:c r="G958" t="str">
        <x:v>B</x:v>
      </x:c>
      <x:c r="H958" t="n">
        <x:v>22</x:v>
      </x:c>
      <x:c r="I958" t="str">
        <x:v>ORD-2025-00057</x:v>
      </x:c>
      <x:c r="J958" t="n">
        <x:v>6</x:v>
      </x:c>
      <x:c r="K958" t="n">
        <x:v>3</x:v>
      </x:c>
      <x:c r="L958" t="str">
        <x:v>L22-S06-C3</x:v>
      </x:c>
      <x:c r="M958" t="n">
        <x:v>0</x:v>
      </x:c>
      <x:c r="N958" t="str">
        <x:v>DerivedFromCount</x:v>
      </x:c>
      <x:c r="O958" t="str">
        <x:v>PLC-PRD-JAR-720-L22</x:v>
      </x:c>
      <x:c r="P958" t="str">
        <x:v>OK</x:v>
      </x:c>
      <x:c r="Q958" t="str">
        <x:v>OK</x:v>
      </x:c>
      <x:c r="R958" t="str">
        <x:v>OK</x:v>
      </x:c>
      <x:c r="S958" t="str">
        <x:v>OK</x:v>
      </x:c>
      <x:c r="T958" t="n">
        <x:v>20</x:v>
      </x:c>
      <x:c r="U958" t="str">
        <x:v>OK</x:v>
      </x:c>
      <x:c r="V958" t="str">
        <x:v>OK</x:v>
      </x:c>
      <x:c r="W958" t="str">
        <x:v>LOAD</x:v>
      </x:c>
      <x:c r="X958" t="str">
        <x:v>02_Supervisor_Log(4).xlsx</x:v>
      </x:c>
      <x:c r="Y958" t="str">
        <x:v>ENH-20260830-01</x:v>
      </x:c>
      <x:c r="Z958" t="str">
        <x:v>Active</x:v>
      </x:c>
      <x:c r="AA958"/>
      <x:c r="AB958"/>
      <x:c r="AC958"/>
      <x:c r="AD958"/>
    </x:row>
    <x:row r="959">
      <x:c r="A959" t="str">
        <x:v>PCC-PE-KG01-L22-20251025-AM-ORD-2025-00057-S07-C1</x:v>
      </x:c>
      <x:c r="B959" t="str">
        <x:v>PC-PE-KG01-L22-20251025-AM-ORD-2025-00057-S07</x:v>
      </x:c>
      <x:c r="C959" t="str">
        <x:v>PE-KG01-L22-20251025-AM-ORD-2025-00057</x:v>
      </x:c>
      <x:c r="D959" t="str">
        <x:v>KG01</x:v>
      </x:c>
      <x:c r="E959" s="62" t="n">
        <x:v>45955</x:v>
      </x:c>
      <x:c r="F959" t="str">
        <x:v>AM</x:v>
      </x:c>
      <x:c r="G959" t="str">
        <x:v>B</x:v>
      </x:c>
      <x:c r="H959" t="n">
        <x:v>22</x:v>
      </x:c>
      <x:c r="I959" t="str">
        <x:v>ORD-2025-00057</x:v>
      </x:c>
      <x:c r="J959" t="n">
        <x:v>7</x:v>
      </x:c>
      <x:c r="K959" t="n">
        <x:v>1</x:v>
      </x:c>
      <x:c r="L959" t="str">
        <x:v>L22-S07-C1</x:v>
      </x:c>
      <x:c r="M959" t="n">
        <x:v>1</x:v>
      </x:c>
      <x:c r="N959" t="str">
        <x:v>DerivedFromCount</x:v>
      </x:c>
      <x:c r="O959" t="str">
        <x:v>PLC-PRD-JAR-720-L22</x:v>
      </x:c>
      <x:c r="P959" t="str">
        <x:v>OK</x:v>
      </x:c>
      <x:c r="Q959" t="str">
        <x:v>OK</x:v>
      </x:c>
      <x:c r="R959" t="str">
        <x:v>OK</x:v>
      </x:c>
      <x:c r="S959" t="str">
        <x:v>OK</x:v>
      </x:c>
      <x:c r="T959" t="n">
        <x:v>20</x:v>
      </x:c>
      <x:c r="U959" t="str">
        <x:v>OK</x:v>
      </x:c>
      <x:c r="V959" t="str">
        <x:v>OK</x:v>
      </x:c>
      <x:c r="W959" t="str">
        <x:v>LOAD</x:v>
      </x:c>
      <x:c r="X959" t="str">
        <x:v>02_Supervisor_Log(4).xlsx</x:v>
      </x:c>
      <x:c r="Y959" t="str">
        <x:v>ENH-20260830-01</x:v>
      </x:c>
      <x:c r="Z959" t="str">
        <x:v>Active</x:v>
      </x:c>
      <x:c r="AA959"/>
      <x:c r="AB959"/>
      <x:c r="AC959"/>
      <x:c r="AD959"/>
    </x:row>
    <x:row r="960">
      <x:c r="A960" t="str">
        <x:v>PCC-PE-KG01-L22-20251025-AM-ORD-2025-00057-S07-C2</x:v>
      </x:c>
      <x:c r="B960" t="str">
        <x:v>PC-PE-KG01-L22-20251025-AM-ORD-2025-00057-S07</x:v>
      </x:c>
      <x:c r="C960" t="str">
        <x:v>PE-KG01-L22-20251025-AM-ORD-2025-00057</x:v>
      </x:c>
      <x:c r="D960" t="str">
        <x:v>KG01</x:v>
      </x:c>
      <x:c r="E960" s="62" t="n">
        <x:v>45955</x:v>
      </x:c>
      <x:c r="F960" t="str">
        <x:v>AM</x:v>
      </x:c>
      <x:c r="G960" t="str">
        <x:v>B</x:v>
      </x:c>
      <x:c r="H960" t="n">
        <x:v>22</x:v>
      </x:c>
      <x:c r="I960" t="str">
        <x:v>ORD-2025-00057</x:v>
      </x:c>
      <x:c r="J960" t="n">
        <x:v>7</x:v>
      </x:c>
      <x:c r="K960" t="n">
        <x:v>2</x:v>
      </x:c>
      <x:c r="L960" t="str">
        <x:v>L22-S07-C2</x:v>
      </x:c>
      <x:c r="M960" t="n">
        <x:v>1</x:v>
      </x:c>
      <x:c r="N960" t="str">
        <x:v>DerivedFromCount</x:v>
      </x:c>
      <x:c r="O960" t="str">
        <x:v>PLC-PRD-JAR-720-L22</x:v>
      </x:c>
      <x:c r="P960" t="str">
        <x:v>OK</x:v>
      </x:c>
      <x:c r="Q960" t="str">
        <x:v>OK</x:v>
      </x:c>
      <x:c r="R960" t="str">
        <x:v>OK</x:v>
      </x:c>
      <x:c r="S960" t="str">
        <x:v>OK</x:v>
      </x:c>
      <x:c r="T960" t="n">
        <x:v>20</x:v>
      </x:c>
      <x:c r="U960" t="str">
        <x:v>OK</x:v>
      </x:c>
      <x:c r="V960" t="str">
        <x:v>OK</x:v>
      </x:c>
      <x:c r="W960" t="str">
        <x:v>LOAD</x:v>
      </x:c>
      <x:c r="X960" t="str">
        <x:v>02_Supervisor_Log(4).xlsx</x:v>
      </x:c>
      <x:c r="Y960" t="str">
        <x:v>ENH-20260830-01</x:v>
      </x:c>
      <x:c r="Z960" t="str">
        <x:v>Active</x:v>
      </x:c>
      <x:c r="AA960"/>
      <x:c r="AB960"/>
      <x:c r="AC960"/>
      <x:c r="AD960"/>
    </x:row>
    <x:row r="961">
      <x:c r="A961" t="str">
        <x:v>PCC-PE-KG01-L22-20251025-AM-ORD-2025-00057-S07-C3</x:v>
      </x:c>
      <x:c r="B961" t="str">
        <x:v>PC-PE-KG01-L22-20251025-AM-ORD-2025-00057-S07</x:v>
      </x:c>
      <x:c r="C961" t="str">
        <x:v>PE-KG01-L22-20251025-AM-ORD-2025-00057</x:v>
      </x:c>
      <x:c r="D961" t="str">
        <x:v>KG01</x:v>
      </x:c>
      <x:c r="E961" s="62" t="n">
        <x:v>45955</x:v>
      </x:c>
      <x:c r="F961" t="str">
        <x:v>AM</x:v>
      </x:c>
      <x:c r="G961" t="str">
        <x:v>B</x:v>
      </x:c>
      <x:c r="H961" t="n">
        <x:v>22</x:v>
      </x:c>
      <x:c r="I961" t="str">
        <x:v>ORD-2025-00057</x:v>
      </x:c>
      <x:c r="J961" t="n">
        <x:v>7</x:v>
      </x:c>
      <x:c r="K961" t="n">
        <x:v>3</x:v>
      </x:c>
      <x:c r="L961" t="str">
        <x:v>L22-S07-C3</x:v>
      </x:c>
      <x:c r="M961" t="n">
        <x:v>0</x:v>
      </x:c>
      <x:c r="N961" t="str">
        <x:v>DerivedFromCount</x:v>
      </x:c>
      <x:c r="O961" t="str">
        <x:v>PLC-PRD-JAR-720-L22</x:v>
      </x:c>
      <x:c r="P961" t="str">
        <x:v>OK</x:v>
      </x:c>
      <x:c r="Q961" t="str">
        <x:v>OK</x:v>
      </x:c>
      <x:c r="R961" t="str">
        <x:v>OK</x:v>
      </x:c>
      <x:c r="S961" t="str">
        <x:v>OK</x:v>
      </x:c>
      <x:c r="T961" t="n">
        <x:v>20</x:v>
      </x:c>
      <x:c r="U961" t="str">
        <x:v>OK</x:v>
      </x:c>
      <x:c r="V961" t="str">
        <x:v>OK</x:v>
      </x:c>
      <x:c r="W961" t="str">
        <x:v>LOAD</x:v>
      </x:c>
      <x:c r="X961" t="str">
        <x:v>02_Supervisor_Log(4).xlsx</x:v>
      </x:c>
      <x:c r="Y961" t="str">
        <x:v>ENH-20260830-01</x:v>
      </x:c>
      <x:c r="Z961" t="str">
        <x:v>Active</x:v>
      </x:c>
      <x:c r="AA961"/>
      <x:c r="AB961"/>
      <x:c r="AC961"/>
      <x:c r="AD961"/>
    </x:row>
    <x:row r="962">
      <x:c r="A962" t="str">
        <x:v>PCC-PE-KG01-L22-20251025-AM-ORD-2025-00057-S08-C1</x:v>
      </x:c>
      <x:c r="B962" t="str">
        <x:v>PC-PE-KG01-L22-20251025-AM-ORD-2025-00057-S08</x:v>
      </x:c>
      <x:c r="C962" t="str">
        <x:v>PE-KG01-L22-20251025-AM-ORD-2025-00057</x:v>
      </x:c>
      <x:c r="D962" t="str">
        <x:v>KG01</x:v>
      </x:c>
      <x:c r="E962" s="62" t="n">
        <x:v>45955</x:v>
      </x:c>
      <x:c r="F962" t="str">
        <x:v>AM</x:v>
      </x:c>
      <x:c r="G962" t="str">
        <x:v>B</x:v>
      </x:c>
      <x:c r="H962" t="n">
        <x:v>22</x:v>
      </x:c>
      <x:c r="I962" t="str">
        <x:v>ORD-2025-00057</x:v>
      </x:c>
      <x:c r="J962" t="n">
        <x:v>8</x:v>
      </x:c>
      <x:c r="K962" t="n">
        <x:v>1</x:v>
      </x:c>
      <x:c r="L962" t="str">
        <x:v>L22-S08-C1</x:v>
      </x:c>
      <x:c r="M962" t="n">
        <x:v>1</x:v>
      </x:c>
      <x:c r="N962" t="str">
        <x:v>DerivedFromCount</x:v>
      </x:c>
      <x:c r="O962" t="str">
        <x:v>PLC-PRD-JAR-720-L22</x:v>
      </x:c>
      <x:c r="P962" t="str">
        <x:v>OK</x:v>
      </x:c>
      <x:c r="Q962" t="str">
        <x:v>OK</x:v>
      </x:c>
      <x:c r="R962" t="str">
        <x:v>OK</x:v>
      </x:c>
      <x:c r="S962" t="str">
        <x:v>OK</x:v>
      </x:c>
      <x:c r="T962" t="n">
        <x:v>20</x:v>
      </x:c>
      <x:c r="U962" t="str">
        <x:v>OK</x:v>
      </x:c>
      <x:c r="V962" t="str">
        <x:v>OK</x:v>
      </x:c>
      <x:c r="W962" t="str">
        <x:v>LOAD</x:v>
      </x:c>
      <x:c r="X962" t="str">
        <x:v>02_Supervisor_Log(4).xlsx</x:v>
      </x:c>
      <x:c r="Y962" t="str">
        <x:v>ENH-20260830-01</x:v>
      </x:c>
      <x:c r="Z962" t="str">
        <x:v>Active</x:v>
      </x:c>
      <x:c r="AA962"/>
      <x:c r="AB962"/>
      <x:c r="AC962"/>
      <x:c r="AD962"/>
    </x:row>
    <x:row r="963">
      <x:c r="A963" t="str">
        <x:v>PCC-PE-KG01-L22-20251025-AM-ORD-2025-00057-S08-C2</x:v>
      </x:c>
      <x:c r="B963" t="str">
        <x:v>PC-PE-KG01-L22-20251025-AM-ORD-2025-00057-S08</x:v>
      </x:c>
      <x:c r="C963" t="str">
        <x:v>PE-KG01-L22-20251025-AM-ORD-2025-00057</x:v>
      </x:c>
      <x:c r="D963" t="str">
        <x:v>KG01</x:v>
      </x:c>
      <x:c r="E963" s="62" t="n">
        <x:v>45955</x:v>
      </x:c>
      <x:c r="F963" t="str">
        <x:v>AM</x:v>
      </x:c>
      <x:c r="G963" t="str">
        <x:v>B</x:v>
      </x:c>
      <x:c r="H963" t="n">
        <x:v>22</x:v>
      </x:c>
      <x:c r="I963" t="str">
        <x:v>ORD-2025-00057</x:v>
      </x:c>
      <x:c r="J963" t="n">
        <x:v>8</x:v>
      </x:c>
      <x:c r="K963" t="n">
        <x:v>2</x:v>
      </x:c>
      <x:c r="L963" t="str">
        <x:v>L22-S08-C2</x:v>
      </x:c>
      <x:c r="M963" t="n">
        <x:v>1</x:v>
      </x:c>
      <x:c r="N963" t="str">
        <x:v>DerivedFromCount</x:v>
      </x:c>
      <x:c r="O963" t="str">
        <x:v>PLC-PRD-JAR-720-L22</x:v>
      </x:c>
      <x:c r="P963" t="str">
        <x:v>OK</x:v>
      </x:c>
      <x:c r="Q963" t="str">
        <x:v>OK</x:v>
      </x:c>
      <x:c r="R963" t="str">
        <x:v>OK</x:v>
      </x:c>
      <x:c r="S963" t="str">
        <x:v>OK</x:v>
      </x:c>
      <x:c r="T963" t="n">
        <x:v>20</x:v>
      </x:c>
      <x:c r="U963" t="str">
        <x:v>OK</x:v>
      </x:c>
      <x:c r="V963" t="str">
        <x:v>OK</x:v>
      </x:c>
      <x:c r="W963" t="str">
        <x:v>LOAD</x:v>
      </x:c>
      <x:c r="X963" t="str">
        <x:v>02_Supervisor_Log(4).xlsx</x:v>
      </x:c>
      <x:c r="Y963" t="str">
        <x:v>ENH-20260830-01</x:v>
      </x:c>
      <x:c r="Z963" t="str">
        <x:v>Active</x:v>
      </x:c>
      <x:c r="AA963"/>
      <x:c r="AB963"/>
      <x:c r="AC963"/>
      <x:c r="AD963"/>
    </x:row>
    <x:row r="964">
      <x:c r="A964" t="str">
        <x:v>PCC-PE-KG01-L22-20251025-AM-ORD-2025-00057-S08-C3</x:v>
      </x:c>
      <x:c r="B964" t="str">
        <x:v>PC-PE-KG01-L22-20251025-AM-ORD-2025-00057-S08</x:v>
      </x:c>
      <x:c r="C964" t="str">
        <x:v>PE-KG01-L22-20251025-AM-ORD-2025-00057</x:v>
      </x:c>
      <x:c r="D964" t="str">
        <x:v>KG01</x:v>
      </x:c>
      <x:c r="E964" s="62" t="n">
        <x:v>45955</x:v>
      </x:c>
      <x:c r="F964" t="str">
        <x:v>AM</x:v>
      </x:c>
      <x:c r="G964" t="str">
        <x:v>B</x:v>
      </x:c>
      <x:c r="H964" t="n">
        <x:v>22</x:v>
      </x:c>
      <x:c r="I964" t="str">
        <x:v>ORD-2025-00057</x:v>
      </x:c>
      <x:c r="J964" t="n">
        <x:v>8</x:v>
      </x:c>
      <x:c r="K964" t="n">
        <x:v>3</x:v>
      </x:c>
      <x:c r="L964" t="str">
        <x:v>L22-S08-C3</x:v>
      </x:c>
      <x:c r="M964" t="n">
        <x:v>0</x:v>
      </x:c>
      <x:c r="N964" t="str">
        <x:v>DerivedFromCount</x:v>
      </x:c>
      <x:c r="O964" t="str">
        <x:v>PLC-PRD-JAR-720-L22</x:v>
      </x:c>
      <x:c r="P964" t="str">
        <x:v>OK</x:v>
      </x:c>
      <x:c r="Q964" t="str">
        <x:v>OK</x:v>
      </x:c>
      <x:c r="R964" t="str">
        <x:v>OK</x:v>
      </x:c>
      <x:c r="S964" t="str">
        <x:v>OK</x:v>
      </x:c>
      <x:c r="T964" t="n">
        <x:v>20</x:v>
      </x:c>
      <x:c r="U964" t="str">
        <x:v>OK</x:v>
      </x:c>
      <x:c r="V964" t="str">
        <x:v>OK</x:v>
      </x:c>
      <x:c r="W964" t="str">
        <x:v>LOAD</x:v>
      </x:c>
      <x:c r="X964" t="str">
        <x:v>02_Supervisor_Log(4).xlsx</x:v>
      </x:c>
      <x:c r="Y964" t="str">
        <x:v>ENH-20260830-01</x:v>
      </x:c>
      <x:c r="Z964" t="str">
        <x:v>Active</x:v>
      </x:c>
      <x:c r="AA964"/>
      <x:c r="AB964"/>
      <x:c r="AC964"/>
      <x:c r="AD964"/>
    </x:row>
    <x:row r="965">
      <x:c r="A965" t="str">
        <x:v>PCC-PE-KG01-L22-20251025-AM-ORD-2025-00057-S09-C1</x:v>
      </x:c>
      <x:c r="B965" t="str">
        <x:v>PC-PE-KG01-L22-20251025-AM-ORD-2025-00057-S09</x:v>
      </x:c>
      <x:c r="C965" t="str">
        <x:v>PE-KG01-L22-20251025-AM-ORD-2025-00057</x:v>
      </x:c>
      <x:c r="D965" t="str">
        <x:v>KG01</x:v>
      </x:c>
      <x:c r="E965" s="62" t="n">
        <x:v>45955</x:v>
      </x:c>
      <x:c r="F965" t="str">
        <x:v>AM</x:v>
      </x:c>
      <x:c r="G965" t="str">
        <x:v>B</x:v>
      </x:c>
      <x:c r="H965" t="n">
        <x:v>22</x:v>
      </x:c>
      <x:c r="I965" t="str">
        <x:v>ORD-2025-00057</x:v>
      </x:c>
      <x:c r="J965" t="n">
        <x:v>9</x:v>
      </x:c>
      <x:c r="K965" t="n">
        <x:v>1</x:v>
      </x:c>
      <x:c r="L965" t="str">
        <x:v>L22-S09-C1</x:v>
      </x:c>
      <x:c r="M965" t="n">
        <x:v>1</x:v>
      </x:c>
      <x:c r="N965" t="str">
        <x:v>DerivedFromCount</x:v>
      </x:c>
      <x:c r="O965" t="str">
        <x:v>PLC-PRD-JAR-720-L22</x:v>
      </x:c>
      <x:c r="P965" t="str">
        <x:v>OK</x:v>
      </x:c>
      <x:c r="Q965" t="str">
        <x:v>OK</x:v>
      </x:c>
      <x:c r="R965" t="str">
        <x:v>OK</x:v>
      </x:c>
      <x:c r="S965" t="str">
        <x:v>OK</x:v>
      </x:c>
      <x:c r="T965" t="n">
        <x:v>20</x:v>
      </x:c>
      <x:c r="U965" t="str">
        <x:v>OK</x:v>
      </x:c>
      <x:c r="V965" t="str">
        <x:v>OK</x:v>
      </x:c>
      <x:c r="W965" t="str">
        <x:v>LOAD</x:v>
      </x:c>
      <x:c r="X965" t="str">
        <x:v>02_Supervisor_Log(4).xlsx</x:v>
      </x:c>
      <x:c r="Y965" t="str">
        <x:v>ENH-20260830-01</x:v>
      </x:c>
      <x:c r="Z965" t="str">
        <x:v>Active</x:v>
      </x:c>
      <x:c r="AA965"/>
      <x:c r="AB965"/>
      <x:c r="AC965"/>
      <x:c r="AD965"/>
    </x:row>
    <x:row r="966">
      <x:c r="A966" t="str">
        <x:v>PCC-PE-KG01-L22-20251025-AM-ORD-2025-00057-S09-C2</x:v>
      </x:c>
      <x:c r="B966" t="str">
        <x:v>PC-PE-KG01-L22-20251025-AM-ORD-2025-00057-S09</x:v>
      </x:c>
      <x:c r="C966" t="str">
        <x:v>PE-KG01-L22-20251025-AM-ORD-2025-00057</x:v>
      </x:c>
      <x:c r="D966" t="str">
        <x:v>KG01</x:v>
      </x:c>
      <x:c r="E966" s="62" t="n">
        <x:v>45955</x:v>
      </x:c>
      <x:c r="F966" t="str">
        <x:v>AM</x:v>
      </x:c>
      <x:c r="G966" t="str">
        <x:v>B</x:v>
      </x:c>
      <x:c r="H966" t="n">
        <x:v>22</x:v>
      </x:c>
      <x:c r="I966" t="str">
        <x:v>ORD-2025-00057</x:v>
      </x:c>
      <x:c r="J966" t="n">
        <x:v>9</x:v>
      </x:c>
      <x:c r="K966" t="n">
        <x:v>2</x:v>
      </x:c>
      <x:c r="L966" t="str">
        <x:v>L22-S09-C2</x:v>
      </x:c>
      <x:c r="M966" t="n">
        <x:v>1</x:v>
      </x:c>
      <x:c r="N966" t="str">
        <x:v>DerivedFromCount</x:v>
      </x:c>
      <x:c r="O966" t="str">
        <x:v>PLC-PRD-JAR-720-L22</x:v>
      </x:c>
      <x:c r="P966" t="str">
        <x:v>OK</x:v>
      </x:c>
      <x:c r="Q966" t="str">
        <x:v>OK</x:v>
      </x:c>
      <x:c r="R966" t="str">
        <x:v>OK</x:v>
      </x:c>
      <x:c r="S966" t="str">
        <x:v>OK</x:v>
      </x:c>
      <x:c r="T966" t="n">
        <x:v>20</x:v>
      </x:c>
      <x:c r="U966" t="str">
        <x:v>OK</x:v>
      </x:c>
      <x:c r="V966" t="str">
        <x:v>OK</x:v>
      </x:c>
      <x:c r="W966" t="str">
        <x:v>LOAD</x:v>
      </x:c>
      <x:c r="X966" t="str">
        <x:v>02_Supervisor_Log(4).xlsx</x:v>
      </x:c>
      <x:c r="Y966" t="str">
        <x:v>ENH-20260830-01</x:v>
      </x:c>
      <x:c r="Z966" t="str">
        <x:v>Active</x:v>
      </x:c>
      <x:c r="AA966"/>
      <x:c r="AB966"/>
      <x:c r="AC966"/>
      <x:c r="AD966"/>
    </x:row>
    <x:row r="967">
      <x:c r="A967" t="str">
        <x:v>PCC-PE-KG01-L22-20251025-AM-ORD-2025-00057-S09-C3</x:v>
      </x:c>
      <x:c r="B967" t="str">
        <x:v>PC-PE-KG01-L22-20251025-AM-ORD-2025-00057-S09</x:v>
      </x:c>
      <x:c r="C967" t="str">
        <x:v>PE-KG01-L22-20251025-AM-ORD-2025-00057</x:v>
      </x:c>
      <x:c r="D967" t="str">
        <x:v>KG01</x:v>
      </x:c>
      <x:c r="E967" s="62" t="n">
        <x:v>45955</x:v>
      </x:c>
      <x:c r="F967" t="str">
        <x:v>AM</x:v>
      </x:c>
      <x:c r="G967" t="str">
        <x:v>B</x:v>
      </x:c>
      <x:c r="H967" t="n">
        <x:v>22</x:v>
      </x:c>
      <x:c r="I967" t="str">
        <x:v>ORD-2025-00057</x:v>
      </x:c>
      <x:c r="J967" t="n">
        <x:v>9</x:v>
      </x:c>
      <x:c r="K967" t="n">
        <x:v>3</x:v>
      </x:c>
      <x:c r="L967" t="str">
        <x:v>L22-S09-C3</x:v>
      </x:c>
      <x:c r="M967" t="n">
        <x:v>0</x:v>
      </x:c>
      <x:c r="N967" t="str">
        <x:v>DerivedFromCount</x:v>
      </x:c>
      <x:c r="O967" t="str">
        <x:v>PLC-PRD-JAR-720-L22</x:v>
      </x:c>
      <x:c r="P967" t="str">
        <x:v>OK</x:v>
      </x:c>
      <x:c r="Q967" t="str">
        <x:v>OK</x:v>
      </x:c>
      <x:c r="R967" t="str">
        <x:v>OK</x:v>
      </x:c>
      <x:c r="S967" t="str">
        <x:v>OK</x:v>
      </x:c>
      <x:c r="T967" t="n">
        <x:v>20</x:v>
      </x:c>
      <x:c r="U967" t="str">
        <x:v>OK</x:v>
      </x:c>
      <x:c r="V967" t="str">
        <x:v>OK</x:v>
      </x:c>
      <x:c r="W967" t="str">
        <x:v>LOAD</x:v>
      </x:c>
      <x:c r="X967" t="str">
        <x:v>02_Supervisor_Log(4).xlsx</x:v>
      </x:c>
      <x:c r="Y967" t="str">
        <x:v>ENH-20260830-01</x:v>
      </x:c>
      <x:c r="Z967" t="str">
        <x:v>Active</x:v>
      </x:c>
      <x:c r="AA967"/>
      <x:c r="AB967"/>
      <x:c r="AC967"/>
      <x:c r="AD967"/>
    </x:row>
    <x:row r="968">
      <x:c r="A968" t="str">
        <x:v>PCC-PE-KG01-L22-20251025-AM-ORD-2025-00057-S10-C1</x:v>
      </x:c>
      <x:c r="B968" t="str">
        <x:v>PC-PE-KG01-L22-20251025-AM-ORD-2025-00057-S10</x:v>
      </x:c>
      <x:c r="C968" t="str">
        <x:v>PE-KG01-L22-20251025-AM-ORD-2025-00057</x:v>
      </x:c>
      <x:c r="D968" t="str">
        <x:v>KG01</x:v>
      </x:c>
      <x:c r="E968" s="62" t="n">
        <x:v>45955</x:v>
      </x:c>
      <x:c r="F968" t="str">
        <x:v>AM</x:v>
      </x:c>
      <x:c r="G968" t="str">
        <x:v>B</x:v>
      </x:c>
      <x:c r="H968" t="n">
        <x:v>22</x:v>
      </x:c>
      <x:c r="I968" t="str">
        <x:v>ORD-2025-00057</x:v>
      </x:c>
      <x:c r="J968" t="n">
        <x:v>10</x:v>
      </x:c>
      <x:c r="K968" t="n">
        <x:v>1</x:v>
      </x:c>
      <x:c r="L968" t="str">
        <x:v>L22-S10-C1</x:v>
      </x:c>
      <x:c r="M968" t="n">
        <x:v>1</x:v>
      </x:c>
      <x:c r="N968" t="str">
        <x:v>DerivedFromCount</x:v>
      </x:c>
      <x:c r="O968" t="str">
        <x:v>PLC-PRD-JAR-720-L22</x:v>
      </x:c>
      <x:c r="P968" t="str">
        <x:v>OK</x:v>
      </x:c>
      <x:c r="Q968" t="str">
        <x:v>OK</x:v>
      </x:c>
      <x:c r="R968" t="str">
        <x:v>OK</x:v>
      </x:c>
      <x:c r="S968" t="str">
        <x:v>OK</x:v>
      </x:c>
      <x:c r="T968" t="n">
        <x:v>20</x:v>
      </x:c>
      <x:c r="U968" t="str">
        <x:v>OK</x:v>
      </x:c>
      <x:c r="V968" t="str">
        <x:v>OK</x:v>
      </x:c>
      <x:c r="W968" t="str">
        <x:v>LOAD</x:v>
      </x:c>
      <x:c r="X968" t="str">
        <x:v>02_Supervisor_Log(4).xlsx</x:v>
      </x:c>
      <x:c r="Y968" t="str">
        <x:v>ENH-20260830-01</x:v>
      </x:c>
      <x:c r="Z968" t="str">
        <x:v>Active</x:v>
      </x:c>
      <x:c r="AA968"/>
      <x:c r="AB968"/>
      <x:c r="AC968"/>
      <x:c r="AD968"/>
    </x:row>
    <x:row r="969">
      <x:c r="A969" t="str">
        <x:v>PCC-PE-KG01-L22-20251025-AM-ORD-2025-00057-S10-C2</x:v>
      </x:c>
      <x:c r="B969" t="str">
        <x:v>PC-PE-KG01-L22-20251025-AM-ORD-2025-00057-S10</x:v>
      </x:c>
      <x:c r="C969" t="str">
        <x:v>PE-KG01-L22-20251025-AM-ORD-2025-00057</x:v>
      </x:c>
      <x:c r="D969" t="str">
        <x:v>KG01</x:v>
      </x:c>
      <x:c r="E969" s="62" t="n">
        <x:v>45955</x:v>
      </x:c>
      <x:c r="F969" t="str">
        <x:v>AM</x:v>
      </x:c>
      <x:c r="G969" t="str">
        <x:v>B</x:v>
      </x:c>
      <x:c r="H969" t="n">
        <x:v>22</x:v>
      </x:c>
      <x:c r="I969" t="str">
        <x:v>ORD-2025-00057</x:v>
      </x:c>
      <x:c r="J969" t="n">
        <x:v>10</x:v>
      </x:c>
      <x:c r="K969" t="n">
        <x:v>2</x:v>
      </x:c>
      <x:c r="L969" t="str">
        <x:v>L22-S10-C2</x:v>
      </x:c>
      <x:c r="M969" t="n">
        <x:v>1</x:v>
      </x:c>
      <x:c r="N969" t="str">
        <x:v>DerivedFromCount</x:v>
      </x:c>
      <x:c r="O969" t="str">
        <x:v>PLC-PRD-JAR-720-L22</x:v>
      </x:c>
      <x:c r="P969" t="str">
        <x:v>OK</x:v>
      </x:c>
      <x:c r="Q969" t="str">
        <x:v>OK</x:v>
      </x:c>
      <x:c r="R969" t="str">
        <x:v>OK</x:v>
      </x:c>
      <x:c r="S969" t="str">
        <x:v>OK</x:v>
      </x:c>
      <x:c r="T969" t="n">
        <x:v>20</x:v>
      </x:c>
      <x:c r="U969" t="str">
        <x:v>OK</x:v>
      </x:c>
      <x:c r="V969" t="str">
        <x:v>OK</x:v>
      </x:c>
      <x:c r="W969" t="str">
        <x:v>LOAD</x:v>
      </x:c>
      <x:c r="X969" t="str">
        <x:v>02_Supervisor_Log(4).xlsx</x:v>
      </x:c>
      <x:c r="Y969" t="str">
        <x:v>ENH-20260830-01</x:v>
      </x:c>
      <x:c r="Z969" t="str">
        <x:v>Active</x:v>
      </x:c>
      <x:c r="AA969"/>
      <x:c r="AB969"/>
      <x:c r="AC969"/>
      <x:c r="AD969"/>
    </x:row>
    <x:row r="970">
      <x:c r="A970" t="str">
        <x:v>PCC-PE-KG01-L22-20251025-AM-ORD-2025-00057-S10-C3</x:v>
      </x:c>
      <x:c r="B970" t="str">
        <x:v>PC-PE-KG01-L22-20251025-AM-ORD-2025-00057-S10</x:v>
      </x:c>
      <x:c r="C970" t="str">
        <x:v>PE-KG01-L22-20251025-AM-ORD-2025-00057</x:v>
      </x:c>
      <x:c r="D970" t="str">
        <x:v>KG01</x:v>
      </x:c>
      <x:c r="E970" s="62" t="n">
        <x:v>45955</x:v>
      </x:c>
      <x:c r="F970" t="str">
        <x:v>AM</x:v>
      </x:c>
      <x:c r="G970" t="str">
        <x:v>B</x:v>
      </x:c>
      <x:c r="H970" t="n">
        <x:v>22</x:v>
      </x:c>
      <x:c r="I970" t="str">
        <x:v>ORD-2025-00057</x:v>
      </x:c>
      <x:c r="J970" t="n">
        <x:v>10</x:v>
      </x:c>
      <x:c r="K970" t="n">
        <x:v>3</x:v>
      </x:c>
      <x:c r="L970" t="str">
        <x:v>L22-S10-C3</x:v>
      </x:c>
      <x:c r="M970" t="n">
        <x:v>0</x:v>
      </x:c>
      <x:c r="N970" t="str">
        <x:v>DerivedFromCount</x:v>
      </x:c>
      <x:c r="O970" t="str">
        <x:v>PLC-PRD-JAR-720-L22</x:v>
      </x:c>
      <x:c r="P970" t="str">
        <x:v>OK</x:v>
      </x:c>
      <x:c r="Q970" t="str">
        <x:v>OK</x:v>
      </x:c>
      <x:c r="R970" t="str">
        <x:v>OK</x:v>
      </x:c>
      <x:c r="S970" t="str">
        <x:v>OK</x:v>
      </x:c>
      <x:c r="T970" t="n">
        <x:v>20</x:v>
      </x:c>
      <x:c r="U970" t="str">
        <x:v>OK</x:v>
      </x:c>
      <x:c r="V970" t="str">
        <x:v>OK</x:v>
      </x:c>
      <x:c r="W970" t="str">
        <x:v>LOAD</x:v>
      </x:c>
      <x:c r="X970" t="str">
        <x:v>02_Supervisor_Log(4).xlsx</x:v>
      </x:c>
      <x:c r="Y970" t="str">
        <x:v>ENH-20260830-01</x:v>
      </x:c>
      <x:c r="Z970" t="str">
        <x:v>Active</x:v>
      </x:c>
      <x:c r="AA970"/>
      <x:c r="AB970"/>
      <x:c r="AC970"/>
      <x:c r="AD970"/>
    </x:row>
    <x:row r="971">
      <x:c r="A971" t="str">
        <x:v>PCC-PE-KG01-L22-20251025-AM-ORD-2025-00057-S11-C1</x:v>
      </x:c>
      <x:c r="B971" t="str">
        <x:v>PC-PE-KG01-L22-20251025-AM-ORD-2025-00057-S11</x:v>
      </x:c>
      <x:c r="C971" t="str">
        <x:v>PE-KG01-L22-20251025-AM-ORD-2025-00057</x:v>
      </x:c>
      <x:c r="D971" t="str">
        <x:v>KG01</x:v>
      </x:c>
      <x:c r="E971" s="62" t="n">
        <x:v>45955</x:v>
      </x:c>
      <x:c r="F971" t="str">
        <x:v>AM</x:v>
      </x:c>
      <x:c r="G971" t="str">
        <x:v>B</x:v>
      </x:c>
      <x:c r="H971" t="n">
        <x:v>22</x:v>
      </x:c>
      <x:c r="I971" t="str">
        <x:v>ORD-2025-00057</x:v>
      </x:c>
      <x:c r="J971" t="n">
        <x:v>11</x:v>
      </x:c>
      <x:c r="K971" t="n">
        <x:v>1</x:v>
      </x:c>
      <x:c r="L971" t="str">
        <x:v>L22-S11-C1</x:v>
      </x:c>
      <x:c r="M971" t="n">
        <x:v>0</x:v>
      </x:c>
      <x:c r="N971" t="str">
        <x:v>DerivedFromCount</x:v>
      </x:c>
      <x:c r="O971" t="str">
        <x:v>PLC-PRD-JAR-720-L22</x:v>
      </x:c>
      <x:c r="P971" t="str">
        <x:v>OK</x:v>
      </x:c>
      <x:c r="Q971" t="str">
        <x:v>OK</x:v>
      </x:c>
      <x:c r="R971" t="str">
        <x:v>OK</x:v>
      </x:c>
      <x:c r="S971" t="str">
        <x:v>OK</x:v>
      </x:c>
      <x:c r="T971" t="n">
        <x:v>20</x:v>
      </x:c>
      <x:c r="U971" t="str">
        <x:v>OK</x:v>
      </x:c>
      <x:c r="V971" t="str">
        <x:v>OK</x:v>
      </x:c>
      <x:c r="W971" t="str">
        <x:v>LOAD</x:v>
      </x:c>
      <x:c r="X971" t="str">
        <x:v>02_Supervisor_Log(4).xlsx</x:v>
      </x:c>
      <x:c r="Y971" t="str">
        <x:v>ENH-20260830-01</x:v>
      </x:c>
      <x:c r="Z971" t="str">
        <x:v>Active</x:v>
      </x:c>
      <x:c r="AA971"/>
      <x:c r="AB971"/>
      <x:c r="AC971"/>
      <x:c r="AD971"/>
    </x:row>
    <x:row r="972">
      <x:c r="A972" t="str">
        <x:v>PCC-PE-KG01-L22-20251025-AM-ORD-2025-00057-S11-C2</x:v>
      </x:c>
      <x:c r="B972" t="str">
        <x:v>PC-PE-KG01-L22-20251025-AM-ORD-2025-00057-S11</x:v>
      </x:c>
      <x:c r="C972" t="str">
        <x:v>PE-KG01-L22-20251025-AM-ORD-2025-00057</x:v>
      </x:c>
      <x:c r="D972" t="str">
        <x:v>KG01</x:v>
      </x:c>
      <x:c r="E972" s="62" t="n">
        <x:v>45955</x:v>
      </x:c>
      <x:c r="F972" t="str">
        <x:v>AM</x:v>
      </x:c>
      <x:c r="G972" t="str">
        <x:v>B</x:v>
      </x:c>
      <x:c r="H972" t="n">
        <x:v>22</x:v>
      </x:c>
      <x:c r="I972" t="str">
        <x:v>ORD-2025-00057</x:v>
      </x:c>
      <x:c r="J972" t="n">
        <x:v>11</x:v>
      </x:c>
      <x:c r="K972" t="n">
        <x:v>2</x:v>
      </x:c>
      <x:c r="L972" t="str">
        <x:v>L22-S11-C2</x:v>
      </x:c>
      <x:c r="M972" t="n">
        <x:v>0</x:v>
      </x:c>
      <x:c r="N972" t="str">
        <x:v>DerivedFromCount</x:v>
      </x:c>
      <x:c r="O972" t="str">
        <x:v>PLC-PRD-JAR-720-L22</x:v>
      </x:c>
      <x:c r="P972" t="str">
        <x:v>OK</x:v>
      </x:c>
      <x:c r="Q972" t="str">
        <x:v>OK</x:v>
      </x:c>
      <x:c r="R972" t="str">
        <x:v>OK</x:v>
      </x:c>
      <x:c r="S972" t="str">
        <x:v>OK</x:v>
      </x:c>
      <x:c r="T972" t="n">
        <x:v>20</x:v>
      </x:c>
      <x:c r="U972" t="str">
        <x:v>OK</x:v>
      </x:c>
      <x:c r="V972" t="str">
        <x:v>OK</x:v>
      </x:c>
      <x:c r="W972" t="str">
        <x:v>LOAD</x:v>
      </x:c>
      <x:c r="X972" t="str">
        <x:v>02_Supervisor_Log(4).xlsx</x:v>
      </x:c>
      <x:c r="Y972" t="str">
        <x:v>ENH-20260830-01</x:v>
      </x:c>
      <x:c r="Z972" t="str">
        <x:v>Active</x:v>
      </x:c>
      <x:c r="AA972"/>
      <x:c r="AB972"/>
      <x:c r="AC972"/>
      <x:c r="AD972"/>
    </x:row>
    <x:row r="973">
      <x:c r="A973" t="str">
        <x:v>PCC-PE-KG01-L22-20251025-AM-ORD-2025-00057-S11-C3</x:v>
      </x:c>
      <x:c r="B973" t="str">
        <x:v>PC-PE-KG01-L22-20251025-AM-ORD-2025-00057-S11</x:v>
      </x:c>
      <x:c r="C973" t="str">
        <x:v>PE-KG01-L22-20251025-AM-ORD-2025-00057</x:v>
      </x:c>
      <x:c r="D973" t="str">
        <x:v>KG01</x:v>
      </x:c>
      <x:c r="E973" s="62" t="n">
        <x:v>45955</x:v>
      </x:c>
      <x:c r="F973" t="str">
        <x:v>AM</x:v>
      </x:c>
      <x:c r="G973" t="str">
        <x:v>B</x:v>
      </x:c>
      <x:c r="H973" t="n">
        <x:v>22</x:v>
      </x:c>
      <x:c r="I973" t="str">
        <x:v>ORD-2025-00057</x:v>
      </x:c>
      <x:c r="J973" t="n">
        <x:v>11</x:v>
      </x:c>
      <x:c r="K973" t="n">
        <x:v>3</x:v>
      </x:c>
      <x:c r="L973" t="str">
        <x:v>L22-S11-C3</x:v>
      </x:c>
      <x:c r="M973" t="n">
        <x:v>0</x:v>
      </x:c>
      <x:c r="N973" t="str">
        <x:v>DerivedFromCount</x:v>
      </x:c>
      <x:c r="O973" t="str">
        <x:v>PLC-PRD-JAR-720-L22</x:v>
      </x:c>
      <x:c r="P973" t="str">
        <x:v>OK</x:v>
      </x:c>
      <x:c r="Q973" t="str">
        <x:v>OK</x:v>
      </x:c>
      <x:c r="R973" t="str">
        <x:v>OK</x:v>
      </x:c>
      <x:c r="S973" t="str">
        <x:v>OK</x:v>
      </x:c>
      <x:c r="T973" t="n">
        <x:v>20</x:v>
      </x:c>
      <x:c r="U973" t="str">
        <x:v>OK</x:v>
      </x:c>
      <x:c r="V973" t="str">
        <x:v>OK</x:v>
      </x:c>
      <x:c r="W973" t="str">
        <x:v>LOAD</x:v>
      </x:c>
      <x:c r="X973" t="str">
        <x:v>02_Supervisor_Log(4).xlsx</x:v>
      </x:c>
      <x:c r="Y973" t="str">
        <x:v>ENH-20260830-01</x:v>
      </x:c>
      <x:c r="Z973" t="str">
        <x:v>Active</x:v>
      </x:c>
      <x:c r="AA973"/>
      <x:c r="AB973"/>
      <x:c r="AC973"/>
      <x:c r="AD973"/>
    </x:row>
    <x:row r="974">
      <x:c r="A974" t="str">
        <x:v>PCC-PE-KG01-L22-20251025-AM-ORD-2025-00057-S12-C1</x:v>
      </x:c>
      <x:c r="B974" t="str">
        <x:v>PC-PE-KG01-L22-20251025-AM-ORD-2025-00057-S12</x:v>
      </x:c>
      <x:c r="C974" t="str">
        <x:v>PE-KG01-L22-20251025-AM-ORD-2025-00057</x:v>
      </x:c>
      <x:c r="D974" t="str">
        <x:v>KG01</x:v>
      </x:c>
      <x:c r="E974" s="62" t="n">
        <x:v>45955</x:v>
      </x:c>
      <x:c r="F974" t="str">
        <x:v>AM</x:v>
      </x:c>
      <x:c r="G974" t="str">
        <x:v>B</x:v>
      </x:c>
      <x:c r="H974" t="n">
        <x:v>22</x:v>
      </x:c>
      <x:c r="I974" t="str">
        <x:v>ORD-2025-00057</x:v>
      </x:c>
      <x:c r="J974" t="n">
        <x:v>12</x:v>
      </x:c>
      <x:c r="K974" t="n">
        <x:v>1</x:v>
      </x:c>
      <x:c r="L974" t="str">
        <x:v>L22-S12-C1</x:v>
      </x:c>
      <x:c r="M974" t="n">
        <x:v>0</x:v>
      </x:c>
      <x:c r="N974" t="str">
        <x:v>DerivedFromCount</x:v>
      </x:c>
      <x:c r="O974" t="str">
        <x:v>PLC-PRD-JAR-720-L22</x:v>
      </x:c>
      <x:c r="P974" t="str">
        <x:v>OK</x:v>
      </x:c>
      <x:c r="Q974" t="str">
        <x:v>OK</x:v>
      </x:c>
      <x:c r="R974" t="str">
        <x:v>OK</x:v>
      </x:c>
      <x:c r="S974" t="str">
        <x:v>OK</x:v>
      </x:c>
      <x:c r="T974" t="n">
        <x:v>20</x:v>
      </x:c>
      <x:c r="U974" t="str">
        <x:v>OK</x:v>
      </x:c>
      <x:c r="V974" t="str">
        <x:v>OK</x:v>
      </x:c>
      <x:c r="W974" t="str">
        <x:v>LOAD</x:v>
      </x:c>
      <x:c r="X974" t="str">
        <x:v>02_Supervisor_Log(4).xlsx</x:v>
      </x:c>
      <x:c r="Y974" t="str">
        <x:v>ENH-20260830-01</x:v>
      </x:c>
      <x:c r="Z974" t="str">
        <x:v>Active</x:v>
      </x:c>
      <x:c r="AA974"/>
      <x:c r="AB974"/>
      <x:c r="AC974"/>
      <x:c r="AD974"/>
    </x:row>
    <x:row r="975">
      <x:c r="A975" t="str">
        <x:v>PCC-PE-KG01-L22-20251025-AM-ORD-2025-00057-S12-C2</x:v>
      </x:c>
      <x:c r="B975" t="str">
        <x:v>PC-PE-KG01-L22-20251025-AM-ORD-2025-00057-S12</x:v>
      </x:c>
      <x:c r="C975" t="str">
        <x:v>PE-KG01-L22-20251025-AM-ORD-2025-00057</x:v>
      </x:c>
      <x:c r="D975" t="str">
        <x:v>KG01</x:v>
      </x:c>
      <x:c r="E975" s="62" t="n">
        <x:v>45955</x:v>
      </x:c>
      <x:c r="F975" t="str">
        <x:v>AM</x:v>
      </x:c>
      <x:c r="G975" t="str">
        <x:v>B</x:v>
      </x:c>
      <x:c r="H975" t="n">
        <x:v>22</x:v>
      </x:c>
      <x:c r="I975" t="str">
        <x:v>ORD-2025-00057</x:v>
      </x:c>
      <x:c r="J975" t="n">
        <x:v>12</x:v>
      </x:c>
      <x:c r="K975" t="n">
        <x:v>2</x:v>
      </x:c>
      <x:c r="L975" t="str">
        <x:v>L22-S12-C2</x:v>
      </x:c>
      <x:c r="M975" t="n">
        <x:v>0</x:v>
      </x:c>
      <x:c r="N975" t="str">
        <x:v>DerivedFromCount</x:v>
      </x:c>
      <x:c r="O975" t="str">
        <x:v>PLC-PRD-JAR-720-L22</x:v>
      </x:c>
      <x:c r="P975" t="str">
        <x:v>OK</x:v>
      </x:c>
      <x:c r="Q975" t="str">
        <x:v>OK</x:v>
      </x:c>
      <x:c r="R975" t="str">
        <x:v>OK</x:v>
      </x:c>
      <x:c r="S975" t="str">
        <x:v>OK</x:v>
      </x:c>
      <x:c r="T975" t="n">
        <x:v>20</x:v>
      </x:c>
      <x:c r="U975" t="str">
        <x:v>OK</x:v>
      </x:c>
      <x:c r="V975" t="str">
        <x:v>OK</x:v>
      </x:c>
      <x:c r="W975" t="str">
        <x:v>LOAD</x:v>
      </x:c>
      <x:c r="X975" t="str">
        <x:v>02_Supervisor_Log(4).xlsx</x:v>
      </x:c>
      <x:c r="Y975" t="str">
        <x:v>ENH-20260830-01</x:v>
      </x:c>
      <x:c r="Z975" t="str">
        <x:v>Active</x:v>
      </x:c>
      <x:c r="AA975"/>
      <x:c r="AB975"/>
      <x:c r="AC975"/>
      <x:c r="AD975"/>
    </x:row>
    <x:row r="976">
      <x:c r="A976" t="str">
        <x:v>PCC-PE-KG01-L22-20251025-AM-ORD-2025-00057-S12-C3</x:v>
      </x:c>
      <x:c r="B976" t="str">
        <x:v>PC-PE-KG01-L22-20251025-AM-ORD-2025-00057-S12</x:v>
      </x:c>
      <x:c r="C976" t="str">
        <x:v>PE-KG01-L22-20251025-AM-ORD-2025-00057</x:v>
      </x:c>
      <x:c r="D976" t="str">
        <x:v>KG01</x:v>
      </x:c>
      <x:c r="E976" s="62" t="n">
        <x:v>45955</x:v>
      </x:c>
      <x:c r="F976" t="str">
        <x:v>AM</x:v>
      </x:c>
      <x:c r="G976" t="str">
        <x:v>B</x:v>
      </x:c>
      <x:c r="H976" t="n">
        <x:v>22</x:v>
      </x:c>
      <x:c r="I976" t="str">
        <x:v>ORD-2025-00057</x:v>
      </x:c>
      <x:c r="J976" t="n">
        <x:v>12</x:v>
      </x:c>
      <x:c r="K976" t="n">
        <x:v>3</x:v>
      </x:c>
      <x:c r="L976" t="str">
        <x:v>L22-S12-C3</x:v>
      </x:c>
      <x:c r="M976" t="n">
        <x:v>0</x:v>
      </x:c>
      <x:c r="N976" t="str">
        <x:v>DerivedFromCount</x:v>
      </x:c>
      <x:c r="O976" t="str">
        <x:v>PLC-PRD-JAR-720-L22</x:v>
      </x:c>
      <x:c r="P976" t="str">
        <x:v>OK</x:v>
      </x:c>
      <x:c r="Q976" t="str">
        <x:v>OK</x:v>
      </x:c>
      <x:c r="R976" t="str">
        <x:v>OK</x:v>
      </x:c>
      <x:c r="S976" t="str">
        <x:v>OK</x:v>
      </x:c>
      <x:c r="T976" t="n">
        <x:v>20</x:v>
      </x:c>
      <x:c r="U976" t="str">
        <x:v>OK</x:v>
      </x:c>
      <x:c r="V976" t="str">
        <x:v>OK</x:v>
      </x:c>
      <x:c r="W976" t="str">
        <x:v>LOAD</x:v>
      </x:c>
      <x:c r="X976" t="str">
        <x:v>02_Supervisor_Log(4).xlsx</x:v>
      </x:c>
      <x:c r="Y976" t="str">
        <x:v>ENH-20260830-01</x:v>
      </x:c>
      <x:c r="Z976" t="str">
        <x:v>Active</x:v>
      </x:c>
      <x:c r="AA976"/>
      <x:c r="AB976"/>
      <x:c r="AC976"/>
      <x:c r="AD976"/>
    </x:row>
    <x:row r="977">
      <x:c r="A977" t="str">
        <x:v>PCC-PE-KG01-L22-20251025-AM-ORD-2025-00057-S13-C1</x:v>
      </x:c>
      <x:c r="B977" t="str">
        <x:v>PC-PE-KG01-L22-20251025-AM-ORD-2025-00057-S13</x:v>
      </x:c>
      <x:c r="C977" t="str">
        <x:v>PE-KG01-L22-20251025-AM-ORD-2025-00057</x:v>
      </x:c>
      <x:c r="D977" t="str">
        <x:v>KG01</x:v>
      </x:c>
      <x:c r="E977" s="62" t="n">
        <x:v>45955</x:v>
      </x:c>
      <x:c r="F977" t="str">
        <x:v>AM</x:v>
      </x:c>
      <x:c r="G977" t="str">
        <x:v>B</x:v>
      </x:c>
      <x:c r="H977" t="n">
        <x:v>22</x:v>
      </x:c>
      <x:c r="I977" t="str">
        <x:v>ORD-2025-00057</x:v>
      </x:c>
      <x:c r="J977" t="n">
        <x:v>13</x:v>
      </x:c>
      <x:c r="K977" t="n">
        <x:v>1</x:v>
      </x:c>
      <x:c r="L977" t="str">
        <x:v>L22-S13-C1</x:v>
      </x:c>
      <x:c r="M977" t="n">
        <x:v>0</x:v>
      </x:c>
      <x:c r="N977" t="str">
        <x:v>DerivedFromCount</x:v>
      </x:c>
      <x:c r="O977" t="str">
        <x:v>PLC-PRD-JAR-720-L22</x:v>
      </x:c>
      <x:c r="P977" t="str">
        <x:v>OK</x:v>
      </x:c>
      <x:c r="Q977" t="str">
        <x:v>OK</x:v>
      </x:c>
      <x:c r="R977" t="str">
        <x:v>OK</x:v>
      </x:c>
      <x:c r="S977" t="str">
        <x:v>OK</x:v>
      </x:c>
      <x:c r="T977" t="n">
        <x:v>20</x:v>
      </x:c>
      <x:c r="U977" t="str">
        <x:v>OK</x:v>
      </x:c>
      <x:c r="V977" t="str">
        <x:v>OK</x:v>
      </x:c>
      <x:c r="W977" t="str">
        <x:v>LOAD</x:v>
      </x:c>
      <x:c r="X977" t="str">
        <x:v>02_Supervisor_Log(4).xlsx</x:v>
      </x:c>
      <x:c r="Y977" t="str">
        <x:v>ENH-20260830-01</x:v>
      </x:c>
      <x:c r="Z977" t="str">
        <x:v>Active</x:v>
      </x:c>
      <x:c r="AA977"/>
      <x:c r="AB977"/>
      <x:c r="AC977"/>
      <x:c r="AD977"/>
    </x:row>
    <x:row r="978">
      <x:c r="A978" t="str">
        <x:v>PCC-PE-KG01-L22-20251025-AM-ORD-2025-00057-S13-C2</x:v>
      </x:c>
      <x:c r="B978" t="str">
        <x:v>PC-PE-KG01-L22-20251025-AM-ORD-2025-00057-S13</x:v>
      </x:c>
      <x:c r="C978" t="str">
        <x:v>PE-KG01-L22-20251025-AM-ORD-2025-00057</x:v>
      </x:c>
      <x:c r="D978" t="str">
        <x:v>KG01</x:v>
      </x:c>
      <x:c r="E978" s="62" t="n">
        <x:v>45955</x:v>
      </x:c>
      <x:c r="F978" t="str">
        <x:v>AM</x:v>
      </x:c>
      <x:c r="G978" t="str">
        <x:v>B</x:v>
      </x:c>
      <x:c r="H978" t="n">
        <x:v>22</x:v>
      </x:c>
      <x:c r="I978" t="str">
        <x:v>ORD-2025-00057</x:v>
      </x:c>
      <x:c r="J978" t="n">
        <x:v>13</x:v>
      </x:c>
      <x:c r="K978" t="n">
        <x:v>2</x:v>
      </x:c>
      <x:c r="L978" t="str">
        <x:v>L22-S13-C2</x:v>
      </x:c>
      <x:c r="M978" t="n">
        <x:v>0</x:v>
      </x:c>
      <x:c r="N978" t="str">
        <x:v>DerivedFromCount</x:v>
      </x:c>
      <x:c r="O978" t="str">
        <x:v>PLC-PRD-JAR-720-L22</x:v>
      </x:c>
      <x:c r="P978" t="str">
        <x:v>OK</x:v>
      </x:c>
      <x:c r="Q978" t="str">
        <x:v>OK</x:v>
      </x:c>
      <x:c r="R978" t="str">
        <x:v>OK</x:v>
      </x:c>
      <x:c r="S978" t="str">
        <x:v>OK</x:v>
      </x:c>
      <x:c r="T978" t="n">
        <x:v>20</x:v>
      </x:c>
      <x:c r="U978" t="str">
        <x:v>OK</x:v>
      </x:c>
      <x:c r="V978" t="str">
        <x:v>OK</x:v>
      </x:c>
      <x:c r="W978" t="str">
        <x:v>LOAD</x:v>
      </x:c>
      <x:c r="X978" t="str">
        <x:v>02_Supervisor_Log(4).xlsx</x:v>
      </x:c>
      <x:c r="Y978" t="str">
        <x:v>ENH-20260830-01</x:v>
      </x:c>
      <x:c r="Z978" t="str">
        <x:v>Active</x:v>
      </x:c>
      <x:c r="AA978"/>
      <x:c r="AB978"/>
      <x:c r="AC978"/>
      <x:c r="AD978"/>
    </x:row>
    <x:row r="979">
      <x:c r="A979" t="str">
        <x:v>PCC-PE-KG01-L22-20251025-AM-ORD-2025-00057-S13-C3</x:v>
      </x:c>
      <x:c r="B979" t="str">
        <x:v>PC-PE-KG01-L22-20251025-AM-ORD-2025-00057-S13</x:v>
      </x:c>
      <x:c r="C979" t="str">
        <x:v>PE-KG01-L22-20251025-AM-ORD-2025-00057</x:v>
      </x:c>
      <x:c r="D979" t="str">
        <x:v>KG01</x:v>
      </x:c>
      <x:c r="E979" s="62" t="n">
        <x:v>45955</x:v>
      </x:c>
      <x:c r="F979" t="str">
        <x:v>AM</x:v>
      </x:c>
      <x:c r="G979" t="str">
        <x:v>B</x:v>
      </x:c>
      <x:c r="H979" t="n">
        <x:v>22</x:v>
      </x:c>
      <x:c r="I979" t="str">
        <x:v>ORD-2025-00057</x:v>
      </x:c>
      <x:c r="J979" t="n">
        <x:v>13</x:v>
      </x:c>
      <x:c r="K979" t="n">
        <x:v>3</x:v>
      </x:c>
      <x:c r="L979" t="str">
        <x:v>L22-S13-C3</x:v>
      </x:c>
      <x:c r="M979" t="n">
        <x:v>0</x:v>
      </x:c>
      <x:c r="N979" t="str">
        <x:v>DerivedFromCount</x:v>
      </x:c>
      <x:c r="O979" t="str">
        <x:v>PLC-PRD-JAR-720-L22</x:v>
      </x:c>
      <x:c r="P979" t="str">
        <x:v>OK</x:v>
      </x:c>
      <x:c r="Q979" t="str">
        <x:v>OK</x:v>
      </x:c>
      <x:c r="R979" t="str">
        <x:v>OK</x:v>
      </x:c>
      <x:c r="S979" t="str">
        <x:v>OK</x:v>
      </x:c>
      <x:c r="T979" t="n">
        <x:v>20</x:v>
      </x:c>
      <x:c r="U979" t="str">
        <x:v>OK</x:v>
      </x:c>
      <x:c r="V979" t="str">
        <x:v>OK</x:v>
      </x:c>
      <x:c r="W979" t="str">
        <x:v>LOAD</x:v>
      </x:c>
      <x:c r="X979" t="str">
        <x:v>02_Supervisor_Log(4).xlsx</x:v>
      </x:c>
      <x:c r="Y979" t="str">
        <x:v>ENH-20260830-01</x:v>
      </x:c>
      <x:c r="Z979" t="str">
        <x:v>Active</x:v>
      </x:c>
      <x:c r="AA979"/>
      <x:c r="AB979"/>
      <x:c r="AC979"/>
      <x:c r="AD979"/>
    </x:row>
    <x:row r="980">
      <x:c r="A980" t="str">
        <x:v>PCC-PE-KG01-L22-20251025-PM-ORD-2025-00057-S01-C1</x:v>
      </x:c>
      <x:c r="B980" t="str">
        <x:v>PC-PE-KG01-L22-20251025-PM-ORD-2025-00057-S01</x:v>
      </x:c>
      <x:c r="C980" t="str">
        <x:v>PE-KG01-L22-20251025-PM-ORD-2025-00057</x:v>
      </x:c>
      <x:c r="D980" t="str">
        <x:v>KG01</x:v>
      </x:c>
      <x:c r="E980" s="62" t="n">
        <x:v>45955</x:v>
      </x:c>
      <x:c r="F980" t="str">
        <x:v>PM</x:v>
      </x:c>
      <x:c r="G980" t="str">
        <x:v>C</x:v>
      </x:c>
      <x:c r="H980" t="n">
        <x:v>22</x:v>
      </x:c>
      <x:c r="I980" t="str">
        <x:v>ORD-2025-00057</x:v>
      </x:c>
      <x:c r="J980" t="n">
        <x:v>1</x:v>
      </x:c>
      <x:c r="K980" t="n">
        <x:v>1</x:v>
      </x:c>
      <x:c r="L980" t="str">
        <x:v>L22-S01-C1</x:v>
      </x:c>
      <x:c r="M980" t="n">
        <x:v>1</x:v>
      </x:c>
      <x:c r="N980" t="str">
        <x:v>DerivedFromCount</x:v>
      </x:c>
      <x:c r="O980" t="str">
        <x:v>PLC-PRD-JAR-720-L22</x:v>
      </x:c>
      <x:c r="P980" t="str">
        <x:v>OK</x:v>
      </x:c>
      <x:c r="Q980" t="str">
        <x:v>OK</x:v>
      </x:c>
      <x:c r="R980" t="str">
        <x:v>OK</x:v>
      </x:c>
      <x:c r="S980" t="str">
        <x:v>OK</x:v>
      </x:c>
      <x:c r="T980" t="n">
        <x:v>20</x:v>
      </x:c>
      <x:c r="U980" t="str">
        <x:v>OK</x:v>
      </x:c>
      <x:c r="V980" t="str">
        <x:v>OK</x:v>
      </x:c>
      <x:c r="W980" t="str">
        <x:v>LOAD</x:v>
      </x:c>
      <x:c r="X980" t="str">
        <x:v>02_Supervisor_Log(4).xlsx</x:v>
      </x:c>
      <x:c r="Y980" t="str">
        <x:v>ENH-20260830-01</x:v>
      </x:c>
      <x:c r="Z980" t="str">
        <x:v>Active</x:v>
      </x:c>
      <x:c r="AA980"/>
      <x:c r="AB980"/>
      <x:c r="AC980"/>
      <x:c r="AD980"/>
    </x:row>
    <x:row r="981">
      <x:c r="A981" t="str">
        <x:v>PCC-PE-KG01-L22-20251025-PM-ORD-2025-00057-S01-C2</x:v>
      </x:c>
      <x:c r="B981" t="str">
        <x:v>PC-PE-KG01-L22-20251025-PM-ORD-2025-00057-S01</x:v>
      </x:c>
      <x:c r="C981" t="str">
        <x:v>PE-KG01-L22-20251025-PM-ORD-2025-00057</x:v>
      </x:c>
      <x:c r="D981" t="str">
        <x:v>KG01</x:v>
      </x:c>
      <x:c r="E981" s="62" t="n">
        <x:v>45955</x:v>
      </x:c>
      <x:c r="F981" t="str">
        <x:v>PM</x:v>
      </x:c>
      <x:c r="G981" t="str">
        <x:v>C</x:v>
      </x:c>
      <x:c r="H981" t="n">
        <x:v>22</x:v>
      </x:c>
      <x:c r="I981" t="str">
        <x:v>ORD-2025-00057</x:v>
      </x:c>
      <x:c r="J981" t="n">
        <x:v>1</x:v>
      </x:c>
      <x:c r="K981" t="n">
        <x:v>2</x:v>
      </x:c>
      <x:c r="L981" t="str">
        <x:v>L22-S01-C2</x:v>
      </x:c>
      <x:c r="M981" t="n">
        <x:v>1</x:v>
      </x:c>
      <x:c r="N981" t="str">
        <x:v>DerivedFromCount</x:v>
      </x:c>
      <x:c r="O981" t="str">
        <x:v>PLC-PRD-JAR-720-L22</x:v>
      </x:c>
      <x:c r="P981" t="str">
        <x:v>OK</x:v>
      </x:c>
      <x:c r="Q981" t="str">
        <x:v>OK</x:v>
      </x:c>
      <x:c r="R981" t="str">
        <x:v>OK</x:v>
      </x:c>
      <x:c r="S981" t="str">
        <x:v>OK</x:v>
      </x:c>
      <x:c r="T981" t="n">
        <x:v>20</x:v>
      </x:c>
      <x:c r="U981" t="str">
        <x:v>OK</x:v>
      </x:c>
      <x:c r="V981" t="str">
        <x:v>OK</x:v>
      </x:c>
      <x:c r="W981" t="str">
        <x:v>LOAD</x:v>
      </x:c>
      <x:c r="X981" t="str">
        <x:v>02_Supervisor_Log(4).xlsx</x:v>
      </x:c>
      <x:c r="Y981" t="str">
        <x:v>ENH-20260830-01</x:v>
      </x:c>
      <x:c r="Z981" t="str">
        <x:v>Active</x:v>
      </x:c>
      <x:c r="AA981"/>
      <x:c r="AB981"/>
      <x:c r="AC981"/>
      <x:c r="AD981"/>
    </x:row>
    <x:row r="982">
      <x:c r="A982" t="str">
        <x:v>PCC-PE-KG01-L22-20251025-PM-ORD-2025-00057-S01-C3</x:v>
      </x:c>
      <x:c r="B982" t="str">
        <x:v>PC-PE-KG01-L22-20251025-PM-ORD-2025-00057-S01</x:v>
      </x:c>
      <x:c r="C982" t="str">
        <x:v>PE-KG01-L22-20251025-PM-ORD-2025-00057</x:v>
      </x:c>
      <x:c r="D982" t="str">
        <x:v>KG01</x:v>
      </x:c>
      <x:c r="E982" s="62" t="n">
        <x:v>45955</x:v>
      </x:c>
      <x:c r="F982" t="str">
        <x:v>PM</x:v>
      </x:c>
      <x:c r="G982" t="str">
        <x:v>C</x:v>
      </x:c>
      <x:c r="H982" t="n">
        <x:v>22</x:v>
      </x:c>
      <x:c r="I982" t="str">
        <x:v>ORD-2025-00057</x:v>
      </x:c>
      <x:c r="J982" t="n">
        <x:v>1</x:v>
      </x:c>
      <x:c r="K982" t="n">
        <x:v>3</x:v>
      </x:c>
      <x:c r="L982" t="str">
        <x:v>L22-S01-C3</x:v>
      </x:c>
      <x:c r="M982" t="n">
        <x:v>0</x:v>
      </x:c>
      <x:c r="N982" t="str">
        <x:v>DerivedFromCount</x:v>
      </x:c>
      <x:c r="O982" t="str">
        <x:v>PLC-PRD-JAR-720-L22</x:v>
      </x:c>
      <x:c r="P982" t="str">
        <x:v>OK</x:v>
      </x:c>
      <x:c r="Q982" t="str">
        <x:v>OK</x:v>
      </x:c>
      <x:c r="R982" t="str">
        <x:v>OK</x:v>
      </x:c>
      <x:c r="S982" t="str">
        <x:v>OK</x:v>
      </x:c>
      <x:c r="T982" t="n">
        <x:v>20</x:v>
      </x:c>
      <x:c r="U982" t="str">
        <x:v>OK</x:v>
      </x:c>
      <x:c r="V982" t="str">
        <x:v>OK</x:v>
      </x:c>
      <x:c r="W982" t="str">
        <x:v>LOAD</x:v>
      </x:c>
      <x:c r="X982" t="str">
        <x:v>02_Supervisor_Log(4).xlsx</x:v>
      </x:c>
      <x:c r="Y982" t="str">
        <x:v>ENH-20260830-01</x:v>
      </x:c>
      <x:c r="Z982" t="str">
        <x:v>Active</x:v>
      </x:c>
      <x:c r="AA982"/>
      <x:c r="AB982"/>
      <x:c r="AC982"/>
      <x:c r="AD982"/>
    </x:row>
    <x:row r="983">
      <x:c r="A983" t="str">
        <x:v>PCC-PE-KG01-L22-20251025-PM-ORD-2025-00057-S02-C1</x:v>
      </x:c>
      <x:c r="B983" t="str">
        <x:v>PC-PE-KG01-L22-20251025-PM-ORD-2025-00057-S02</x:v>
      </x:c>
      <x:c r="C983" t="str">
        <x:v>PE-KG01-L22-20251025-PM-ORD-2025-00057</x:v>
      </x:c>
      <x:c r="D983" t="str">
        <x:v>KG01</x:v>
      </x:c>
      <x:c r="E983" s="62" t="n">
        <x:v>45955</x:v>
      </x:c>
      <x:c r="F983" t="str">
        <x:v>PM</x:v>
      </x:c>
      <x:c r="G983" t="str">
        <x:v>C</x:v>
      </x:c>
      <x:c r="H983" t="n">
        <x:v>22</x:v>
      </x:c>
      <x:c r="I983" t="str">
        <x:v>ORD-2025-00057</x:v>
      </x:c>
      <x:c r="J983" t="n">
        <x:v>2</x:v>
      </x:c>
      <x:c r="K983" t="n">
        <x:v>1</x:v>
      </x:c>
      <x:c r="L983" t="str">
        <x:v>L22-S02-C1</x:v>
      </x:c>
      <x:c r="M983" t="n">
        <x:v>1</x:v>
      </x:c>
      <x:c r="N983" t="str">
        <x:v>DerivedFromCount</x:v>
      </x:c>
      <x:c r="O983" t="str">
        <x:v>PLC-PRD-JAR-720-L22</x:v>
      </x:c>
      <x:c r="P983" t="str">
        <x:v>OK</x:v>
      </x:c>
      <x:c r="Q983" t="str">
        <x:v>OK</x:v>
      </x:c>
      <x:c r="R983" t="str">
        <x:v>OK</x:v>
      </x:c>
      <x:c r="S983" t="str">
        <x:v>OK</x:v>
      </x:c>
      <x:c r="T983" t="n">
        <x:v>20</x:v>
      </x:c>
      <x:c r="U983" t="str">
        <x:v>OK</x:v>
      </x:c>
      <x:c r="V983" t="str">
        <x:v>OK</x:v>
      </x:c>
      <x:c r="W983" t="str">
        <x:v>LOAD</x:v>
      </x:c>
      <x:c r="X983" t="str">
        <x:v>02_Supervisor_Log(4).xlsx</x:v>
      </x:c>
      <x:c r="Y983" t="str">
        <x:v>ENH-20260830-01</x:v>
      </x:c>
      <x:c r="Z983" t="str">
        <x:v>Active</x:v>
      </x:c>
      <x:c r="AA983"/>
      <x:c r="AB983"/>
      <x:c r="AC983"/>
      <x:c r="AD983"/>
    </x:row>
    <x:row r="984">
      <x:c r="A984" t="str">
        <x:v>PCC-PE-KG01-L22-20251025-PM-ORD-2025-00057-S02-C2</x:v>
      </x:c>
      <x:c r="B984" t="str">
        <x:v>PC-PE-KG01-L22-20251025-PM-ORD-2025-00057-S02</x:v>
      </x:c>
      <x:c r="C984" t="str">
        <x:v>PE-KG01-L22-20251025-PM-ORD-2025-00057</x:v>
      </x:c>
      <x:c r="D984" t="str">
        <x:v>KG01</x:v>
      </x:c>
      <x:c r="E984" s="62" t="n">
        <x:v>45955</x:v>
      </x:c>
      <x:c r="F984" t="str">
        <x:v>PM</x:v>
      </x:c>
      <x:c r="G984" t="str">
        <x:v>C</x:v>
      </x:c>
      <x:c r="H984" t="n">
        <x:v>22</x:v>
      </x:c>
      <x:c r="I984" t="str">
        <x:v>ORD-2025-00057</x:v>
      </x:c>
      <x:c r="J984" t="n">
        <x:v>2</x:v>
      </x:c>
      <x:c r="K984" t="n">
        <x:v>2</x:v>
      </x:c>
      <x:c r="L984" t="str">
        <x:v>L22-S02-C2</x:v>
      </x:c>
      <x:c r="M984" t="n">
        <x:v>1</x:v>
      </x:c>
      <x:c r="N984" t="str">
        <x:v>DerivedFromCount</x:v>
      </x:c>
      <x:c r="O984" t="str">
        <x:v>PLC-PRD-JAR-720-L22</x:v>
      </x:c>
      <x:c r="P984" t="str">
        <x:v>OK</x:v>
      </x:c>
      <x:c r="Q984" t="str">
        <x:v>OK</x:v>
      </x:c>
      <x:c r="R984" t="str">
        <x:v>OK</x:v>
      </x:c>
      <x:c r="S984" t="str">
        <x:v>OK</x:v>
      </x:c>
      <x:c r="T984" t="n">
        <x:v>20</x:v>
      </x:c>
      <x:c r="U984" t="str">
        <x:v>OK</x:v>
      </x:c>
      <x:c r="V984" t="str">
        <x:v>OK</x:v>
      </x:c>
      <x:c r="W984" t="str">
        <x:v>LOAD</x:v>
      </x:c>
      <x:c r="X984" t="str">
        <x:v>02_Supervisor_Log(4).xlsx</x:v>
      </x:c>
      <x:c r="Y984" t="str">
        <x:v>ENH-20260830-01</x:v>
      </x:c>
      <x:c r="Z984" t="str">
        <x:v>Active</x:v>
      </x:c>
      <x:c r="AA984"/>
      <x:c r="AB984"/>
      <x:c r="AC984"/>
      <x:c r="AD984"/>
    </x:row>
    <x:row r="985">
      <x:c r="A985" t="str">
        <x:v>PCC-PE-KG01-L22-20251025-PM-ORD-2025-00057-S02-C3</x:v>
      </x:c>
      <x:c r="B985" t="str">
        <x:v>PC-PE-KG01-L22-20251025-PM-ORD-2025-00057-S02</x:v>
      </x:c>
      <x:c r="C985" t="str">
        <x:v>PE-KG01-L22-20251025-PM-ORD-2025-00057</x:v>
      </x:c>
      <x:c r="D985" t="str">
        <x:v>KG01</x:v>
      </x:c>
      <x:c r="E985" s="62" t="n">
        <x:v>45955</x:v>
      </x:c>
      <x:c r="F985" t="str">
        <x:v>PM</x:v>
      </x:c>
      <x:c r="G985" t="str">
        <x:v>C</x:v>
      </x:c>
      <x:c r="H985" t="n">
        <x:v>22</x:v>
      </x:c>
      <x:c r="I985" t="str">
        <x:v>ORD-2025-00057</x:v>
      </x:c>
      <x:c r="J985" t="n">
        <x:v>2</x:v>
      </x:c>
      <x:c r="K985" t="n">
        <x:v>3</x:v>
      </x:c>
      <x:c r="L985" t="str">
        <x:v>L22-S02-C3</x:v>
      </x:c>
      <x:c r="M985" t="n">
        <x:v>0</x:v>
      </x:c>
      <x:c r="N985" t="str">
        <x:v>DerivedFromCount</x:v>
      </x:c>
      <x:c r="O985" t="str">
        <x:v>PLC-PRD-JAR-720-L22</x:v>
      </x:c>
      <x:c r="P985" t="str">
        <x:v>OK</x:v>
      </x:c>
      <x:c r="Q985" t="str">
        <x:v>OK</x:v>
      </x:c>
      <x:c r="R985" t="str">
        <x:v>OK</x:v>
      </x:c>
      <x:c r="S985" t="str">
        <x:v>OK</x:v>
      </x:c>
      <x:c r="T985" t="n">
        <x:v>20</x:v>
      </x:c>
      <x:c r="U985" t="str">
        <x:v>OK</x:v>
      </x:c>
      <x:c r="V985" t="str">
        <x:v>OK</x:v>
      </x:c>
      <x:c r="W985" t="str">
        <x:v>LOAD</x:v>
      </x:c>
      <x:c r="X985" t="str">
        <x:v>02_Supervisor_Log(4).xlsx</x:v>
      </x:c>
      <x:c r="Y985" t="str">
        <x:v>ENH-20260830-01</x:v>
      </x:c>
      <x:c r="Z985" t="str">
        <x:v>Active</x:v>
      </x:c>
      <x:c r="AA985"/>
      <x:c r="AB985"/>
      <x:c r="AC985"/>
      <x:c r="AD985"/>
    </x:row>
    <x:row r="986">
      <x:c r="A986" t="str">
        <x:v>PCC-PE-KG01-L22-20251025-PM-ORD-2025-00057-S03-C1</x:v>
      </x:c>
      <x:c r="B986" t="str">
        <x:v>PC-PE-KG01-L22-20251025-PM-ORD-2025-00057-S03</x:v>
      </x:c>
      <x:c r="C986" t="str">
        <x:v>PE-KG01-L22-20251025-PM-ORD-2025-00057</x:v>
      </x:c>
      <x:c r="D986" t="str">
        <x:v>KG01</x:v>
      </x:c>
      <x:c r="E986" s="62" t="n">
        <x:v>45955</x:v>
      </x:c>
      <x:c r="F986" t="str">
        <x:v>PM</x:v>
      </x:c>
      <x:c r="G986" t="str">
        <x:v>C</x:v>
      </x:c>
      <x:c r="H986" t="n">
        <x:v>22</x:v>
      </x:c>
      <x:c r="I986" t="str">
        <x:v>ORD-2025-00057</x:v>
      </x:c>
      <x:c r="J986" t="n">
        <x:v>3</x:v>
      </x:c>
      <x:c r="K986" t="n">
        <x:v>1</x:v>
      </x:c>
      <x:c r="L986" t="str">
        <x:v>L22-S03-C1</x:v>
      </x:c>
      <x:c r="M986" t="n">
        <x:v>1</x:v>
      </x:c>
      <x:c r="N986" t="str">
        <x:v>DerivedFromCount</x:v>
      </x:c>
      <x:c r="O986" t="str">
        <x:v>PLC-PRD-JAR-720-L22</x:v>
      </x:c>
      <x:c r="P986" t="str">
        <x:v>OK</x:v>
      </x:c>
      <x:c r="Q986" t="str">
        <x:v>OK</x:v>
      </x:c>
      <x:c r="R986" t="str">
        <x:v>OK</x:v>
      </x:c>
      <x:c r="S986" t="str">
        <x:v>OK</x:v>
      </x:c>
      <x:c r="T986" t="n">
        <x:v>20</x:v>
      </x:c>
      <x:c r="U986" t="str">
        <x:v>OK</x:v>
      </x:c>
      <x:c r="V986" t="str">
        <x:v>OK</x:v>
      </x:c>
      <x:c r="W986" t="str">
        <x:v>LOAD</x:v>
      </x:c>
      <x:c r="X986" t="str">
        <x:v>02_Supervisor_Log(4).xlsx</x:v>
      </x:c>
      <x:c r="Y986" t="str">
        <x:v>ENH-20260830-01</x:v>
      </x:c>
      <x:c r="Z986" t="str">
        <x:v>Active</x:v>
      </x:c>
      <x:c r="AA986"/>
      <x:c r="AB986"/>
      <x:c r="AC986"/>
      <x:c r="AD986"/>
    </x:row>
    <x:row r="987">
      <x:c r="A987" t="str">
        <x:v>PCC-PE-KG01-L22-20251025-PM-ORD-2025-00057-S03-C2</x:v>
      </x:c>
      <x:c r="B987" t="str">
        <x:v>PC-PE-KG01-L22-20251025-PM-ORD-2025-00057-S03</x:v>
      </x:c>
      <x:c r="C987" t="str">
        <x:v>PE-KG01-L22-20251025-PM-ORD-2025-00057</x:v>
      </x:c>
      <x:c r="D987" t="str">
        <x:v>KG01</x:v>
      </x:c>
      <x:c r="E987" s="62" t="n">
        <x:v>45955</x:v>
      </x:c>
      <x:c r="F987" t="str">
        <x:v>PM</x:v>
      </x:c>
      <x:c r="G987" t="str">
        <x:v>C</x:v>
      </x:c>
      <x:c r="H987" t="n">
        <x:v>22</x:v>
      </x:c>
      <x:c r="I987" t="str">
        <x:v>ORD-2025-00057</x:v>
      </x:c>
      <x:c r="J987" t="n">
        <x:v>3</x:v>
      </x:c>
      <x:c r="K987" t="n">
        <x:v>2</x:v>
      </x:c>
      <x:c r="L987" t="str">
        <x:v>L22-S03-C2</x:v>
      </x:c>
      <x:c r="M987" t="n">
        <x:v>1</x:v>
      </x:c>
      <x:c r="N987" t="str">
        <x:v>DerivedFromCount</x:v>
      </x:c>
      <x:c r="O987" t="str">
        <x:v>PLC-PRD-JAR-720-L22</x:v>
      </x:c>
      <x:c r="P987" t="str">
        <x:v>OK</x:v>
      </x:c>
      <x:c r="Q987" t="str">
        <x:v>OK</x:v>
      </x:c>
      <x:c r="R987" t="str">
        <x:v>OK</x:v>
      </x:c>
      <x:c r="S987" t="str">
        <x:v>OK</x:v>
      </x:c>
      <x:c r="T987" t="n">
        <x:v>20</x:v>
      </x:c>
      <x:c r="U987" t="str">
        <x:v>OK</x:v>
      </x:c>
      <x:c r="V987" t="str">
        <x:v>OK</x:v>
      </x:c>
      <x:c r="W987" t="str">
        <x:v>LOAD</x:v>
      </x:c>
      <x:c r="X987" t="str">
        <x:v>02_Supervisor_Log(4).xlsx</x:v>
      </x:c>
      <x:c r="Y987" t="str">
        <x:v>ENH-20260830-01</x:v>
      </x:c>
      <x:c r="Z987" t="str">
        <x:v>Active</x:v>
      </x:c>
      <x:c r="AA987"/>
      <x:c r="AB987"/>
      <x:c r="AC987"/>
      <x:c r="AD987"/>
    </x:row>
    <x:row r="988">
      <x:c r="A988" t="str">
        <x:v>PCC-PE-KG01-L22-20251025-PM-ORD-2025-00057-S03-C3</x:v>
      </x:c>
      <x:c r="B988" t="str">
        <x:v>PC-PE-KG01-L22-20251025-PM-ORD-2025-00057-S03</x:v>
      </x:c>
      <x:c r="C988" t="str">
        <x:v>PE-KG01-L22-20251025-PM-ORD-2025-00057</x:v>
      </x:c>
      <x:c r="D988" t="str">
        <x:v>KG01</x:v>
      </x:c>
      <x:c r="E988" s="62" t="n">
        <x:v>45955</x:v>
      </x:c>
      <x:c r="F988" t="str">
        <x:v>PM</x:v>
      </x:c>
      <x:c r="G988" t="str">
        <x:v>C</x:v>
      </x:c>
      <x:c r="H988" t="n">
        <x:v>22</x:v>
      </x:c>
      <x:c r="I988" t="str">
        <x:v>ORD-2025-00057</x:v>
      </x:c>
      <x:c r="J988" t="n">
        <x:v>3</x:v>
      </x:c>
      <x:c r="K988" t="n">
        <x:v>3</x:v>
      </x:c>
      <x:c r="L988" t="str">
        <x:v>L22-S03-C3</x:v>
      </x:c>
      <x:c r="M988" t="n">
        <x:v>0</x:v>
      </x:c>
      <x:c r="N988" t="str">
        <x:v>DerivedFromCount</x:v>
      </x:c>
      <x:c r="O988" t="str">
        <x:v>PLC-PRD-JAR-720-L22</x:v>
      </x:c>
      <x:c r="P988" t="str">
        <x:v>OK</x:v>
      </x:c>
      <x:c r="Q988" t="str">
        <x:v>OK</x:v>
      </x:c>
      <x:c r="R988" t="str">
        <x:v>OK</x:v>
      </x:c>
      <x:c r="S988" t="str">
        <x:v>OK</x:v>
      </x:c>
      <x:c r="T988" t="n">
        <x:v>20</x:v>
      </x:c>
      <x:c r="U988" t="str">
        <x:v>OK</x:v>
      </x:c>
      <x:c r="V988" t="str">
        <x:v>OK</x:v>
      </x:c>
      <x:c r="W988" t="str">
        <x:v>LOAD</x:v>
      </x:c>
      <x:c r="X988" t="str">
        <x:v>02_Supervisor_Log(4).xlsx</x:v>
      </x:c>
      <x:c r="Y988" t="str">
        <x:v>ENH-20260830-01</x:v>
      </x:c>
      <x:c r="Z988" t="str">
        <x:v>Active</x:v>
      </x:c>
      <x:c r="AA988"/>
      <x:c r="AB988"/>
      <x:c r="AC988"/>
      <x:c r="AD988"/>
    </x:row>
    <x:row r="989">
      <x:c r="A989" t="str">
        <x:v>PCC-PE-KG01-L22-20251025-PM-ORD-2025-00057-S04-C1</x:v>
      </x:c>
      <x:c r="B989" t="str">
        <x:v>PC-PE-KG01-L22-20251025-PM-ORD-2025-00057-S04</x:v>
      </x:c>
      <x:c r="C989" t="str">
        <x:v>PE-KG01-L22-20251025-PM-ORD-2025-00057</x:v>
      </x:c>
      <x:c r="D989" t="str">
        <x:v>KG01</x:v>
      </x:c>
      <x:c r="E989" s="62" t="n">
        <x:v>45955</x:v>
      </x:c>
      <x:c r="F989" t="str">
        <x:v>PM</x:v>
      </x:c>
      <x:c r="G989" t="str">
        <x:v>C</x:v>
      </x:c>
      <x:c r="H989" t="n">
        <x:v>22</x:v>
      </x:c>
      <x:c r="I989" t="str">
        <x:v>ORD-2025-00057</x:v>
      </x:c>
      <x:c r="J989" t="n">
        <x:v>4</x:v>
      </x:c>
      <x:c r="K989" t="n">
        <x:v>1</x:v>
      </x:c>
      <x:c r="L989" t="str">
        <x:v>L22-S04-C1</x:v>
      </x:c>
      <x:c r="M989" t="n">
        <x:v>1</x:v>
      </x:c>
      <x:c r="N989" t="str">
        <x:v>DerivedFromCount</x:v>
      </x:c>
      <x:c r="O989" t="str">
        <x:v>PLC-PRD-JAR-720-L22</x:v>
      </x:c>
      <x:c r="P989" t="str">
        <x:v>OK</x:v>
      </x:c>
      <x:c r="Q989" t="str">
        <x:v>OK</x:v>
      </x:c>
      <x:c r="R989" t="str">
        <x:v>OK</x:v>
      </x:c>
      <x:c r="S989" t="str">
        <x:v>OK</x:v>
      </x:c>
      <x:c r="T989" t="n">
        <x:v>20</x:v>
      </x:c>
      <x:c r="U989" t="str">
        <x:v>OK</x:v>
      </x:c>
      <x:c r="V989" t="str">
        <x:v>OK</x:v>
      </x:c>
      <x:c r="W989" t="str">
        <x:v>LOAD</x:v>
      </x:c>
      <x:c r="X989" t="str">
        <x:v>02_Supervisor_Log(4).xlsx</x:v>
      </x:c>
      <x:c r="Y989" t="str">
        <x:v>ENH-20260830-01</x:v>
      </x:c>
      <x:c r="Z989" t="str">
        <x:v>Active</x:v>
      </x:c>
      <x:c r="AA989"/>
      <x:c r="AB989"/>
      <x:c r="AC989"/>
      <x:c r="AD989"/>
    </x:row>
    <x:row r="990">
      <x:c r="A990" t="str">
        <x:v>PCC-PE-KG01-L22-20251025-PM-ORD-2025-00057-S04-C2</x:v>
      </x:c>
      <x:c r="B990" t="str">
        <x:v>PC-PE-KG01-L22-20251025-PM-ORD-2025-00057-S04</x:v>
      </x:c>
      <x:c r="C990" t="str">
        <x:v>PE-KG01-L22-20251025-PM-ORD-2025-00057</x:v>
      </x:c>
      <x:c r="D990" t="str">
        <x:v>KG01</x:v>
      </x:c>
      <x:c r="E990" s="62" t="n">
        <x:v>45955</x:v>
      </x:c>
      <x:c r="F990" t="str">
        <x:v>PM</x:v>
      </x:c>
      <x:c r="G990" t="str">
        <x:v>C</x:v>
      </x:c>
      <x:c r="H990" t="n">
        <x:v>22</x:v>
      </x:c>
      <x:c r="I990" t="str">
        <x:v>ORD-2025-00057</x:v>
      </x:c>
      <x:c r="J990" t="n">
        <x:v>4</x:v>
      </x:c>
      <x:c r="K990" t="n">
        <x:v>2</x:v>
      </x:c>
      <x:c r="L990" t="str">
        <x:v>L22-S04-C2</x:v>
      </x:c>
      <x:c r="M990" t="n">
        <x:v>1</x:v>
      </x:c>
      <x:c r="N990" t="str">
        <x:v>DerivedFromCount</x:v>
      </x:c>
      <x:c r="O990" t="str">
        <x:v>PLC-PRD-JAR-720-L22</x:v>
      </x:c>
      <x:c r="P990" t="str">
        <x:v>OK</x:v>
      </x:c>
      <x:c r="Q990" t="str">
        <x:v>OK</x:v>
      </x:c>
      <x:c r="R990" t="str">
        <x:v>OK</x:v>
      </x:c>
      <x:c r="S990" t="str">
        <x:v>OK</x:v>
      </x:c>
      <x:c r="T990" t="n">
        <x:v>20</x:v>
      </x:c>
      <x:c r="U990" t="str">
        <x:v>OK</x:v>
      </x:c>
      <x:c r="V990" t="str">
        <x:v>OK</x:v>
      </x:c>
      <x:c r="W990" t="str">
        <x:v>LOAD</x:v>
      </x:c>
      <x:c r="X990" t="str">
        <x:v>02_Supervisor_Log(4).xlsx</x:v>
      </x:c>
      <x:c r="Y990" t="str">
        <x:v>ENH-20260830-01</x:v>
      </x:c>
      <x:c r="Z990" t="str">
        <x:v>Active</x:v>
      </x:c>
      <x:c r="AA990"/>
      <x:c r="AB990"/>
      <x:c r="AC990"/>
      <x:c r="AD990"/>
    </x:row>
    <x:row r="991">
      <x:c r="A991" t="str">
        <x:v>PCC-PE-KG01-L22-20251025-PM-ORD-2025-00057-S04-C3</x:v>
      </x:c>
      <x:c r="B991" t="str">
        <x:v>PC-PE-KG01-L22-20251025-PM-ORD-2025-00057-S04</x:v>
      </x:c>
      <x:c r="C991" t="str">
        <x:v>PE-KG01-L22-20251025-PM-ORD-2025-00057</x:v>
      </x:c>
      <x:c r="D991" t="str">
        <x:v>KG01</x:v>
      </x:c>
      <x:c r="E991" s="62" t="n">
        <x:v>45955</x:v>
      </x:c>
      <x:c r="F991" t="str">
        <x:v>PM</x:v>
      </x:c>
      <x:c r="G991" t="str">
        <x:v>C</x:v>
      </x:c>
      <x:c r="H991" t="n">
        <x:v>22</x:v>
      </x:c>
      <x:c r="I991" t="str">
        <x:v>ORD-2025-00057</x:v>
      </x:c>
      <x:c r="J991" t="n">
        <x:v>4</x:v>
      </x:c>
      <x:c r="K991" t="n">
        <x:v>3</x:v>
      </x:c>
      <x:c r="L991" t="str">
        <x:v>L22-S04-C3</x:v>
      </x:c>
      <x:c r="M991" t="n">
        <x:v>0</x:v>
      </x:c>
      <x:c r="N991" t="str">
        <x:v>DerivedFromCount</x:v>
      </x:c>
      <x:c r="O991" t="str">
        <x:v>PLC-PRD-JAR-720-L22</x:v>
      </x:c>
      <x:c r="P991" t="str">
        <x:v>OK</x:v>
      </x:c>
      <x:c r="Q991" t="str">
        <x:v>OK</x:v>
      </x:c>
      <x:c r="R991" t="str">
        <x:v>OK</x:v>
      </x:c>
      <x:c r="S991" t="str">
        <x:v>OK</x:v>
      </x:c>
      <x:c r="T991" t="n">
        <x:v>20</x:v>
      </x:c>
      <x:c r="U991" t="str">
        <x:v>OK</x:v>
      </x:c>
      <x:c r="V991" t="str">
        <x:v>OK</x:v>
      </x:c>
      <x:c r="W991" t="str">
        <x:v>LOAD</x:v>
      </x:c>
      <x:c r="X991" t="str">
        <x:v>02_Supervisor_Log(4).xlsx</x:v>
      </x:c>
      <x:c r="Y991" t="str">
        <x:v>ENH-20260830-01</x:v>
      </x:c>
      <x:c r="Z991" t="str">
        <x:v>Active</x:v>
      </x:c>
      <x:c r="AA991"/>
      <x:c r="AB991"/>
      <x:c r="AC991"/>
      <x:c r="AD991"/>
    </x:row>
    <x:row r="992">
      <x:c r="A992" t="str">
        <x:v>PCC-PE-KG01-L22-20251025-PM-ORD-2025-00057-S05-C1</x:v>
      </x:c>
      <x:c r="B992" t="str">
        <x:v>PC-PE-KG01-L22-20251025-PM-ORD-2025-00057-S05</x:v>
      </x:c>
      <x:c r="C992" t="str">
        <x:v>PE-KG01-L22-20251025-PM-ORD-2025-00057</x:v>
      </x:c>
      <x:c r="D992" t="str">
        <x:v>KG01</x:v>
      </x:c>
      <x:c r="E992" s="62" t="n">
        <x:v>45955</x:v>
      </x:c>
      <x:c r="F992" t="str">
        <x:v>PM</x:v>
      </x:c>
      <x:c r="G992" t="str">
        <x:v>C</x:v>
      </x:c>
      <x:c r="H992" t="n">
        <x:v>22</x:v>
      </x:c>
      <x:c r="I992" t="str">
        <x:v>ORD-2025-00057</x:v>
      </x:c>
      <x:c r="J992" t="n">
        <x:v>5</x:v>
      </x:c>
      <x:c r="K992" t="n">
        <x:v>1</x:v>
      </x:c>
      <x:c r="L992" t="str">
        <x:v>L22-S05-C1</x:v>
      </x:c>
      <x:c r="M992" t="n">
        <x:v>1</x:v>
      </x:c>
      <x:c r="N992" t="str">
        <x:v>DerivedFromCount</x:v>
      </x:c>
      <x:c r="O992" t="str">
        <x:v>PLC-PRD-JAR-720-L22</x:v>
      </x:c>
      <x:c r="P992" t="str">
        <x:v>OK</x:v>
      </x:c>
      <x:c r="Q992" t="str">
        <x:v>OK</x:v>
      </x:c>
      <x:c r="R992" t="str">
        <x:v>OK</x:v>
      </x:c>
      <x:c r="S992" t="str">
        <x:v>OK</x:v>
      </x:c>
      <x:c r="T992" t="n">
        <x:v>20</x:v>
      </x:c>
      <x:c r="U992" t="str">
        <x:v>OK</x:v>
      </x:c>
      <x:c r="V992" t="str">
        <x:v>OK</x:v>
      </x:c>
      <x:c r="W992" t="str">
        <x:v>LOAD</x:v>
      </x:c>
      <x:c r="X992" t="str">
        <x:v>02_Supervisor_Log(4).xlsx</x:v>
      </x:c>
      <x:c r="Y992" t="str">
        <x:v>ENH-20260830-01</x:v>
      </x:c>
      <x:c r="Z992" t="str">
        <x:v>Active</x:v>
      </x:c>
      <x:c r="AA992"/>
      <x:c r="AB992"/>
      <x:c r="AC992"/>
      <x:c r="AD992"/>
    </x:row>
    <x:row r="993">
      <x:c r="A993" t="str">
        <x:v>PCC-PE-KG01-L22-20251025-PM-ORD-2025-00057-S05-C2</x:v>
      </x:c>
      <x:c r="B993" t="str">
        <x:v>PC-PE-KG01-L22-20251025-PM-ORD-2025-00057-S05</x:v>
      </x:c>
      <x:c r="C993" t="str">
        <x:v>PE-KG01-L22-20251025-PM-ORD-2025-00057</x:v>
      </x:c>
      <x:c r="D993" t="str">
        <x:v>KG01</x:v>
      </x:c>
      <x:c r="E993" s="62" t="n">
        <x:v>45955</x:v>
      </x:c>
      <x:c r="F993" t="str">
        <x:v>PM</x:v>
      </x:c>
      <x:c r="G993" t="str">
        <x:v>C</x:v>
      </x:c>
      <x:c r="H993" t="n">
        <x:v>22</x:v>
      </x:c>
      <x:c r="I993" t="str">
        <x:v>ORD-2025-00057</x:v>
      </x:c>
      <x:c r="J993" t="n">
        <x:v>5</x:v>
      </x:c>
      <x:c r="K993" t="n">
        <x:v>2</x:v>
      </x:c>
      <x:c r="L993" t="str">
        <x:v>L22-S05-C2</x:v>
      </x:c>
      <x:c r="M993" t="n">
        <x:v>1</x:v>
      </x:c>
      <x:c r="N993" t="str">
        <x:v>DerivedFromCount</x:v>
      </x:c>
      <x:c r="O993" t="str">
        <x:v>PLC-PRD-JAR-720-L22</x:v>
      </x:c>
      <x:c r="P993" t="str">
        <x:v>OK</x:v>
      </x:c>
      <x:c r="Q993" t="str">
        <x:v>OK</x:v>
      </x:c>
      <x:c r="R993" t="str">
        <x:v>OK</x:v>
      </x:c>
      <x:c r="S993" t="str">
        <x:v>OK</x:v>
      </x:c>
      <x:c r="T993" t="n">
        <x:v>20</x:v>
      </x:c>
      <x:c r="U993" t="str">
        <x:v>OK</x:v>
      </x:c>
      <x:c r="V993" t="str">
        <x:v>OK</x:v>
      </x:c>
      <x:c r="W993" t="str">
        <x:v>LOAD</x:v>
      </x:c>
      <x:c r="X993" t="str">
        <x:v>02_Supervisor_Log(4).xlsx</x:v>
      </x:c>
      <x:c r="Y993" t="str">
        <x:v>ENH-20260830-01</x:v>
      </x:c>
      <x:c r="Z993" t="str">
        <x:v>Active</x:v>
      </x:c>
      <x:c r="AA993"/>
      <x:c r="AB993"/>
      <x:c r="AC993"/>
      <x:c r="AD993"/>
    </x:row>
    <x:row r="994">
      <x:c r="A994" t="str">
        <x:v>PCC-PE-KG01-L22-20251025-PM-ORD-2025-00057-S05-C3</x:v>
      </x:c>
      <x:c r="B994" t="str">
        <x:v>PC-PE-KG01-L22-20251025-PM-ORD-2025-00057-S05</x:v>
      </x:c>
      <x:c r="C994" t="str">
        <x:v>PE-KG01-L22-20251025-PM-ORD-2025-00057</x:v>
      </x:c>
      <x:c r="D994" t="str">
        <x:v>KG01</x:v>
      </x:c>
      <x:c r="E994" s="62" t="n">
        <x:v>45955</x:v>
      </x:c>
      <x:c r="F994" t="str">
        <x:v>PM</x:v>
      </x:c>
      <x:c r="G994" t="str">
        <x:v>C</x:v>
      </x:c>
      <x:c r="H994" t="n">
        <x:v>22</x:v>
      </x:c>
      <x:c r="I994" t="str">
        <x:v>ORD-2025-00057</x:v>
      </x:c>
      <x:c r="J994" t="n">
        <x:v>5</x:v>
      </x:c>
      <x:c r="K994" t="n">
        <x:v>3</x:v>
      </x:c>
      <x:c r="L994" t="str">
        <x:v>L22-S05-C3</x:v>
      </x:c>
      <x:c r="M994" t="n">
        <x:v>0</x:v>
      </x:c>
      <x:c r="N994" t="str">
        <x:v>DerivedFromCount</x:v>
      </x:c>
      <x:c r="O994" t="str">
        <x:v>PLC-PRD-JAR-720-L22</x:v>
      </x:c>
      <x:c r="P994" t="str">
        <x:v>OK</x:v>
      </x:c>
      <x:c r="Q994" t="str">
        <x:v>OK</x:v>
      </x:c>
      <x:c r="R994" t="str">
        <x:v>OK</x:v>
      </x:c>
      <x:c r="S994" t="str">
        <x:v>OK</x:v>
      </x:c>
      <x:c r="T994" t="n">
        <x:v>20</x:v>
      </x:c>
      <x:c r="U994" t="str">
        <x:v>OK</x:v>
      </x:c>
      <x:c r="V994" t="str">
        <x:v>OK</x:v>
      </x:c>
      <x:c r="W994" t="str">
        <x:v>LOAD</x:v>
      </x:c>
      <x:c r="X994" t="str">
        <x:v>02_Supervisor_Log(4).xlsx</x:v>
      </x:c>
      <x:c r="Y994" t="str">
        <x:v>ENH-20260830-01</x:v>
      </x:c>
      <x:c r="Z994" t="str">
        <x:v>Active</x:v>
      </x:c>
      <x:c r="AA994"/>
      <x:c r="AB994"/>
      <x:c r="AC994"/>
      <x:c r="AD994"/>
    </x:row>
    <x:row r="995">
      <x:c r="A995" t="str">
        <x:v>PCC-PE-KG01-L22-20251025-PM-ORD-2025-00057-S06-C1</x:v>
      </x:c>
      <x:c r="B995" t="str">
        <x:v>PC-PE-KG01-L22-20251025-PM-ORD-2025-00057-S06</x:v>
      </x:c>
      <x:c r="C995" t="str">
        <x:v>PE-KG01-L22-20251025-PM-ORD-2025-00057</x:v>
      </x:c>
      <x:c r="D995" t="str">
        <x:v>KG01</x:v>
      </x:c>
      <x:c r="E995" s="62" t="n">
        <x:v>45955</x:v>
      </x:c>
      <x:c r="F995" t="str">
        <x:v>PM</x:v>
      </x:c>
      <x:c r="G995" t="str">
        <x:v>C</x:v>
      </x:c>
      <x:c r="H995" t="n">
        <x:v>22</x:v>
      </x:c>
      <x:c r="I995" t="str">
        <x:v>ORD-2025-00057</x:v>
      </x:c>
      <x:c r="J995" t="n">
        <x:v>6</x:v>
      </x:c>
      <x:c r="K995" t="n">
        <x:v>1</x:v>
      </x:c>
      <x:c r="L995" t="str">
        <x:v>L22-S06-C1</x:v>
      </x:c>
      <x:c r="M995" t="n">
        <x:v>1</x:v>
      </x:c>
      <x:c r="N995" t="str">
        <x:v>DerivedFromCount</x:v>
      </x:c>
      <x:c r="O995" t="str">
        <x:v>PLC-PRD-JAR-720-L22</x:v>
      </x:c>
      <x:c r="P995" t="str">
        <x:v>OK</x:v>
      </x:c>
      <x:c r="Q995" t="str">
        <x:v>OK</x:v>
      </x:c>
      <x:c r="R995" t="str">
        <x:v>OK</x:v>
      </x:c>
      <x:c r="S995" t="str">
        <x:v>OK</x:v>
      </x:c>
      <x:c r="T995" t="n">
        <x:v>20</x:v>
      </x:c>
      <x:c r="U995" t="str">
        <x:v>OK</x:v>
      </x:c>
      <x:c r="V995" t="str">
        <x:v>OK</x:v>
      </x:c>
      <x:c r="W995" t="str">
        <x:v>LOAD</x:v>
      </x:c>
      <x:c r="X995" t="str">
        <x:v>02_Supervisor_Log(4).xlsx</x:v>
      </x:c>
      <x:c r="Y995" t="str">
        <x:v>ENH-20260830-01</x:v>
      </x:c>
      <x:c r="Z995" t="str">
        <x:v>Active</x:v>
      </x:c>
      <x:c r="AA995"/>
      <x:c r="AB995"/>
      <x:c r="AC995"/>
      <x:c r="AD995"/>
    </x:row>
    <x:row r="996">
      <x:c r="A996" t="str">
        <x:v>PCC-PE-KG01-L22-20251025-PM-ORD-2025-00057-S06-C2</x:v>
      </x:c>
      <x:c r="B996" t="str">
        <x:v>PC-PE-KG01-L22-20251025-PM-ORD-2025-00057-S06</x:v>
      </x:c>
      <x:c r="C996" t="str">
        <x:v>PE-KG01-L22-20251025-PM-ORD-2025-00057</x:v>
      </x:c>
      <x:c r="D996" t="str">
        <x:v>KG01</x:v>
      </x:c>
      <x:c r="E996" s="62" t="n">
        <x:v>45955</x:v>
      </x:c>
      <x:c r="F996" t="str">
        <x:v>PM</x:v>
      </x:c>
      <x:c r="G996" t="str">
        <x:v>C</x:v>
      </x:c>
      <x:c r="H996" t="n">
        <x:v>22</x:v>
      </x:c>
      <x:c r="I996" t="str">
        <x:v>ORD-2025-00057</x:v>
      </x:c>
      <x:c r="J996" t="n">
        <x:v>6</x:v>
      </x:c>
      <x:c r="K996" t="n">
        <x:v>2</x:v>
      </x:c>
      <x:c r="L996" t="str">
        <x:v>L22-S06-C2</x:v>
      </x:c>
      <x:c r="M996" t="n">
        <x:v>1</x:v>
      </x:c>
      <x:c r="N996" t="str">
        <x:v>DerivedFromCount</x:v>
      </x:c>
      <x:c r="O996" t="str">
        <x:v>PLC-PRD-JAR-720-L22</x:v>
      </x:c>
      <x:c r="P996" t="str">
        <x:v>OK</x:v>
      </x:c>
      <x:c r="Q996" t="str">
        <x:v>OK</x:v>
      </x:c>
      <x:c r="R996" t="str">
        <x:v>OK</x:v>
      </x:c>
      <x:c r="S996" t="str">
        <x:v>OK</x:v>
      </x:c>
      <x:c r="T996" t="n">
        <x:v>20</x:v>
      </x:c>
      <x:c r="U996" t="str">
        <x:v>OK</x:v>
      </x:c>
      <x:c r="V996" t="str">
        <x:v>OK</x:v>
      </x:c>
      <x:c r="W996" t="str">
        <x:v>LOAD</x:v>
      </x:c>
      <x:c r="X996" t="str">
        <x:v>02_Supervisor_Log(4).xlsx</x:v>
      </x:c>
      <x:c r="Y996" t="str">
        <x:v>ENH-20260830-01</x:v>
      </x:c>
      <x:c r="Z996" t="str">
        <x:v>Active</x:v>
      </x:c>
      <x:c r="AA996"/>
      <x:c r="AB996"/>
      <x:c r="AC996"/>
      <x:c r="AD996"/>
    </x:row>
    <x:row r="997">
      <x:c r="A997" t="str">
        <x:v>PCC-PE-KG01-L22-20251025-PM-ORD-2025-00057-S06-C3</x:v>
      </x:c>
      <x:c r="B997" t="str">
        <x:v>PC-PE-KG01-L22-20251025-PM-ORD-2025-00057-S06</x:v>
      </x:c>
      <x:c r="C997" t="str">
        <x:v>PE-KG01-L22-20251025-PM-ORD-2025-00057</x:v>
      </x:c>
      <x:c r="D997" t="str">
        <x:v>KG01</x:v>
      </x:c>
      <x:c r="E997" s="62" t="n">
        <x:v>45955</x:v>
      </x:c>
      <x:c r="F997" t="str">
        <x:v>PM</x:v>
      </x:c>
      <x:c r="G997" t="str">
        <x:v>C</x:v>
      </x:c>
      <x:c r="H997" t="n">
        <x:v>22</x:v>
      </x:c>
      <x:c r="I997" t="str">
        <x:v>ORD-2025-00057</x:v>
      </x:c>
      <x:c r="J997" t="n">
        <x:v>6</x:v>
      </x:c>
      <x:c r="K997" t="n">
        <x:v>3</x:v>
      </x:c>
      <x:c r="L997" t="str">
        <x:v>L22-S06-C3</x:v>
      </x:c>
      <x:c r="M997" t="n">
        <x:v>0</x:v>
      </x:c>
      <x:c r="N997" t="str">
        <x:v>DerivedFromCount</x:v>
      </x:c>
      <x:c r="O997" t="str">
        <x:v>PLC-PRD-JAR-720-L22</x:v>
      </x:c>
      <x:c r="P997" t="str">
        <x:v>OK</x:v>
      </x:c>
      <x:c r="Q997" t="str">
        <x:v>OK</x:v>
      </x:c>
      <x:c r="R997" t="str">
        <x:v>OK</x:v>
      </x:c>
      <x:c r="S997" t="str">
        <x:v>OK</x:v>
      </x:c>
      <x:c r="T997" t="n">
        <x:v>20</x:v>
      </x:c>
      <x:c r="U997" t="str">
        <x:v>OK</x:v>
      </x:c>
      <x:c r="V997" t="str">
        <x:v>OK</x:v>
      </x:c>
      <x:c r="W997" t="str">
        <x:v>LOAD</x:v>
      </x:c>
      <x:c r="X997" t="str">
        <x:v>02_Supervisor_Log(4).xlsx</x:v>
      </x:c>
      <x:c r="Y997" t="str">
        <x:v>ENH-20260830-01</x:v>
      </x:c>
      <x:c r="Z997" t="str">
        <x:v>Active</x:v>
      </x:c>
      <x:c r="AA997"/>
      <x:c r="AB997"/>
      <x:c r="AC997"/>
      <x:c r="AD997"/>
    </x:row>
    <x:row r="998">
      <x:c r="A998" t="str">
        <x:v>PCC-PE-KG01-L22-20251025-PM-ORD-2025-00057-S07-C1</x:v>
      </x:c>
      <x:c r="B998" t="str">
        <x:v>PC-PE-KG01-L22-20251025-PM-ORD-2025-00057-S07</x:v>
      </x:c>
      <x:c r="C998" t="str">
        <x:v>PE-KG01-L22-20251025-PM-ORD-2025-00057</x:v>
      </x:c>
      <x:c r="D998" t="str">
        <x:v>KG01</x:v>
      </x:c>
      <x:c r="E998" s="62" t="n">
        <x:v>45955</x:v>
      </x:c>
      <x:c r="F998" t="str">
        <x:v>PM</x:v>
      </x:c>
      <x:c r="G998" t="str">
        <x:v>C</x:v>
      </x:c>
      <x:c r="H998" t="n">
        <x:v>22</x:v>
      </x:c>
      <x:c r="I998" t="str">
        <x:v>ORD-2025-00057</x:v>
      </x:c>
      <x:c r="J998" t="n">
        <x:v>7</x:v>
      </x:c>
      <x:c r="K998" t="n">
        <x:v>1</x:v>
      </x:c>
      <x:c r="L998" t="str">
        <x:v>L22-S07-C1</x:v>
      </x:c>
      <x:c r="M998" t="n">
        <x:v>1</x:v>
      </x:c>
      <x:c r="N998" t="str">
        <x:v>DerivedFromCount</x:v>
      </x:c>
      <x:c r="O998" t="str">
        <x:v>PLC-PRD-JAR-720-L22</x:v>
      </x:c>
      <x:c r="P998" t="str">
        <x:v>OK</x:v>
      </x:c>
      <x:c r="Q998" t="str">
        <x:v>OK</x:v>
      </x:c>
      <x:c r="R998" t="str">
        <x:v>OK</x:v>
      </x:c>
      <x:c r="S998" t="str">
        <x:v>OK</x:v>
      </x:c>
      <x:c r="T998" t="n">
        <x:v>20</x:v>
      </x:c>
      <x:c r="U998" t="str">
        <x:v>OK</x:v>
      </x:c>
      <x:c r="V998" t="str">
        <x:v>OK</x:v>
      </x:c>
      <x:c r="W998" t="str">
        <x:v>LOAD</x:v>
      </x:c>
      <x:c r="X998" t="str">
        <x:v>02_Supervisor_Log(4).xlsx</x:v>
      </x:c>
      <x:c r="Y998" t="str">
        <x:v>ENH-20260830-01</x:v>
      </x:c>
      <x:c r="Z998" t="str">
        <x:v>Active</x:v>
      </x:c>
      <x:c r="AA998"/>
      <x:c r="AB998"/>
      <x:c r="AC998"/>
      <x:c r="AD998"/>
    </x:row>
    <x:row r="999">
      <x:c r="A999" t="str">
        <x:v>PCC-PE-KG01-L22-20251025-PM-ORD-2025-00057-S07-C2</x:v>
      </x:c>
      <x:c r="B999" t="str">
        <x:v>PC-PE-KG01-L22-20251025-PM-ORD-2025-00057-S07</x:v>
      </x:c>
      <x:c r="C999" t="str">
        <x:v>PE-KG01-L22-20251025-PM-ORD-2025-00057</x:v>
      </x:c>
      <x:c r="D999" t="str">
        <x:v>KG01</x:v>
      </x:c>
      <x:c r="E999" s="62" t="n">
        <x:v>45955</x:v>
      </x:c>
      <x:c r="F999" t="str">
        <x:v>PM</x:v>
      </x:c>
      <x:c r="G999" t="str">
        <x:v>C</x:v>
      </x:c>
      <x:c r="H999" t="n">
        <x:v>22</x:v>
      </x:c>
      <x:c r="I999" t="str">
        <x:v>ORD-2025-00057</x:v>
      </x:c>
      <x:c r="J999" t="n">
        <x:v>7</x:v>
      </x:c>
      <x:c r="K999" t="n">
        <x:v>2</x:v>
      </x:c>
      <x:c r="L999" t="str">
        <x:v>L22-S07-C2</x:v>
      </x:c>
      <x:c r="M999" t="n">
        <x:v>1</x:v>
      </x:c>
      <x:c r="N999" t="str">
        <x:v>DerivedFromCount</x:v>
      </x:c>
      <x:c r="O999" t="str">
        <x:v>PLC-PRD-JAR-720-L22</x:v>
      </x:c>
      <x:c r="P999" t="str">
        <x:v>OK</x:v>
      </x:c>
      <x:c r="Q999" t="str">
        <x:v>OK</x:v>
      </x:c>
      <x:c r="R999" t="str">
        <x:v>OK</x:v>
      </x:c>
      <x:c r="S999" t="str">
        <x:v>OK</x:v>
      </x:c>
      <x:c r="T999" t="n">
        <x:v>20</x:v>
      </x:c>
      <x:c r="U999" t="str">
        <x:v>OK</x:v>
      </x:c>
      <x:c r="V999" t="str">
        <x:v>OK</x:v>
      </x:c>
      <x:c r="W999" t="str">
        <x:v>LOAD</x:v>
      </x:c>
      <x:c r="X999" t="str">
        <x:v>02_Supervisor_Log(4).xlsx</x:v>
      </x:c>
      <x:c r="Y999" t="str">
        <x:v>ENH-20260830-01</x:v>
      </x:c>
      <x:c r="Z999" t="str">
        <x:v>Active</x:v>
      </x:c>
      <x:c r="AA999"/>
      <x:c r="AB999"/>
      <x:c r="AC999"/>
      <x:c r="AD999"/>
    </x:row>
    <x:row r="1000">
      <x:c r="A1000" t="str">
        <x:v>PCC-PE-KG01-L22-20251025-PM-ORD-2025-00057-S07-C3</x:v>
      </x:c>
      <x:c r="B1000" t="str">
        <x:v>PC-PE-KG01-L22-20251025-PM-ORD-2025-00057-S07</x:v>
      </x:c>
      <x:c r="C1000" t="str">
        <x:v>PE-KG01-L22-20251025-PM-ORD-2025-00057</x:v>
      </x:c>
      <x:c r="D1000" t="str">
        <x:v>KG01</x:v>
      </x:c>
      <x:c r="E1000" s="62" t="n">
        <x:v>45955</x:v>
      </x:c>
      <x:c r="F1000" t="str">
        <x:v>PM</x:v>
      </x:c>
      <x:c r="G1000" t="str">
        <x:v>C</x:v>
      </x:c>
      <x:c r="H1000" t="n">
        <x:v>22</x:v>
      </x:c>
      <x:c r="I1000" t="str">
        <x:v>ORD-2025-00057</x:v>
      </x:c>
      <x:c r="J1000" t="n">
        <x:v>7</x:v>
      </x:c>
      <x:c r="K1000" t="n">
        <x:v>3</x:v>
      </x:c>
      <x:c r="L1000" t="str">
        <x:v>L22-S07-C3</x:v>
      </x:c>
      <x:c r="M1000" t="n">
        <x:v>0</x:v>
      </x:c>
      <x:c r="N1000" t="str">
        <x:v>DerivedFromCount</x:v>
      </x:c>
      <x:c r="O1000" t="str">
        <x:v>PLC-PRD-JAR-720-L22</x:v>
      </x:c>
      <x:c r="P1000" t="str">
        <x:v>OK</x:v>
      </x:c>
      <x:c r="Q1000" t="str">
        <x:v>OK</x:v>
      </x:c>
      <x:c r="R1000" t="str">
        <x:v>OK</x:v>
      </x:c>
      <x:c r="S1000" t="str">
        <x:v>OK</x:v>
      </x:c>
      <x:c r="T1000" t="n">
        <x:v>20</x:v>
      </x:c>
      <x:c r="U1000" t="str">
        <x:v>OK</x:v>
      </x:c>
      <x:c r="V1000" t="str">
        <x:v>OK</x:v>
      </x:c>
      <x:c r="W1000" t="str">
        <x:v>LOAD</x:v>
      </x:c>
      <x:c r="X1000" t="str">
        <x:v>02_Supervisor_Log(4).xlsx</x:v>
      </x:c>
      <x:c r="Y1000" t="str">
        <x:v>ENH-20260830-01</x:v>
      </x:c>
      <x:c r="Z1000" t="str">
        <x:v>Active</x:v>
      </x:c>
      <x:c r="AA1000"/>
      <x:c r="AB1000"/>
      <x:c r="AC1000"/>
      <x:c r="AD1000"/>
    </x:row>
    <x:row r="1001">
      <x:c r="A1001" t="str">
        <x:v>PCC-PE-KG01-L22-20251025-PM-ORD-2025-00057-S08-C1</x:v>
      </x:c>
      <x:c r="B1001" t="str">
        <x:v>PC-PE-KG01-L22-20251025-PM-ORD-2025-00057-S08</x:v>
      </x:c>
      <x:c r="C1001" t="str">
        <x:v>PE-KG01-L22-20251025-PM-ORD-2025-00057</x:v>
      </x:c>
      <x:c r="D1001" t="str">
        <x:v>KG01</x:v>
      </x:c>
      <x:c r="E1001" s="62" t="n">
        <x:v>45955</x:v>
      </x:c>
      <x:c r="F1001" t="str">
        <x:v>PM</x:v>
      </x:c>
      <x:c r="G1001" t="str">
        <x:v>C</x:v>
      </x:c>
      <x:c r="H1001" t="n">
        <x:v>22</x:v>
      </x:c>
      <x:c r="I1001" t="str">
        <x:v>ORD-2025-00057</x:v>
      </x:c>
      <x:c r="J1001" t="n">
        <x:v>8</x:v>
      </x:c>
      <x:c r="K1001" t="n">
        <x:v>1</x:v>
      </x:c>
      <x:c r="L1001" t="str">
        <x:v>L22-S08-C1</x:v>
      </x:c>
      <x:c r="M1001" t="n">
        <x:v>1</x:v>
      </x:c>
      <x:c r="N1001" t="str">
        <x:v>DerivedFromCount</x:v>
      </x:c>
      <x:c r="O1001" t="str">
        <x:v>PLC-PRD-JAR-720-L22</x:v>
      </x:c>
      <x:c r="P1001" t="str">
        <x:v>OK</x:v>
      </x:c>
      <x:c r="Q1001" t="str">
        <x:v>OK</x:v>
      </x:c>
      <x:c r="R1001" t="str">
        <x:v>OK</x:v>
      </x:c>
      <x:c r="S1001" t="str">
        <x:v>OK</x:v>
      </x:c>
      <x:c r="T1001" t="n">
        <x:v>20</x:v>
      </x:c>
      <x:c r="U1001" t="str">
        <x:v>OK</x:v>
      </x:c>
      <x:c r="V1001" t="str">
        <x:v>OK</x:v>
      </x:c>
      <x:c r="W1001" t="str">
        <x:v>LOAD</x:v>
      </x:c>
      <x:c r="X1001" t="str">
        <x:v>02_Supervisor_Log(4).xlsx</x:v>
      </x:c>
      <x:c r="Y1001" t="str">
        <x:v>ENH-20260830-01</x:v>
      </x:c>
      <x:c r="Z1001" t="str">
        <x:v>Active</x:v>
      </x:c>
      <x:c r="AA1001"/>
      <x:c r="AB1001"/>
      <x:c r="AC1001"/>
      <x:c r="AD1001"/>
    </x:row>
    <x:row r="1002">
      <x:c r="A1002" t="str">
        <x:v>PCC-PE-KG01-L22-20251025-PM-ORD-2025-00057-S08-C2</x:v>
      </x:c>
      <x:c r="B1002" t="str">
        <x:v>PC-PE-KG01-L22-20251025-PM-ORD-2025-00057-S08</x:v>
      </x:c>
      <x:c r="C1002" t="str">
        <x:v>PE-KG01-L22-20251025-PM-ORD-2025-00057</x:v>
      </x:c>
      <x:c r="D1002" t="str">
        <x:v>KG01</x:v>
      </x:c>
      <x:c r="E1002" s="62" t="n">
        <x:v>45955</x:v>
      </x:c>
      <x:c r="F1002" t="str">
        <x:v>PM</x:v>
      </x:c>
      <x:c r="G1002" t="str">
        <x:v>C</x:v>
      </x:c>
      <x:c r="H1002" t="n">
        <x:v>22</x:v>
      </x:c>
      <x:c r="I1002" t="str">
        <x:v>ORD-2025-00057</x:v>
      </x:c>
      <x:c r="J1002" t="n">
        <x:v>8</x:v>
      </x:c>
      <x:c r="K1002" t="n">
        <x:v>2</x:v>
      </x:c>
      <x:c r="L1002" t="str">
        <x:v>L22-S08-C2</x:v>
      </x:c>
      <x:c r="M1002" t="n">
        <x:v>1</x:v>
      </x:c>
      <x:c r="N1002" t="str">
        <x:v>DerivedFromCount</x:v>
      </x:c>
      <x:c r="O1002" t="str">
        <x:v>PLC-PRD-JAR-720-L22</x:v>
      </x:c>
      <x:c r="P1002" t="str">
        <x:v>OK</x:v>
      </x:c>
      <x:c r="Q1002" t="str">
        <x:v>OK</x:v>
      </x:c>
      <x:c r="R1002" t="str">
        <x:v>OK</x:v>
      </x:c>
      <x:c r="S1002" t="str">
        <x:v>OK</x:v>
      </x:c>
      <x:c r="T1002" t="n">
        <x:v>20</x:v>
      </x:c>
      <x:c r="U1002" t="str">
        <x:v>OK</x:v>
      </x:c>
      <x:c r="V1002" t="str">
        <x:v>OK</x:v>
      </x:c>
      <x:c r="W1002" t="str">
        <x:v>LOAD</x:v>
      </x:c>
      <x:c r="X1002" t="str">
        <x:v>02_Supervisor_Log(4).xlsx</x:v>
      </x:c>
      <x:c r="Y1002" t="str">
        <x:v>ENH-20260830-01</x:v>
      </x:c>
      <x:c r="Z1002" t="str">
        <x:v>Active</x:v>
      </x:c>
      <x:c r="AA1002"/>
      <x:c r="AB1002"/>
      <x:c r="AC1002"/>
      <x:c r="AD1002"/>
    </x:row>
    <x:row r="1003">
      <x:c r="A1003" t="str">
        <x:v>PCC-PE-KG01-L22-20251025-PM-ORD-2025-00057-S08-C3</x:v>
      </x:c>
      <x:c r="B1003" t="str">
        <x:v>PC-PE-KG01-L22-20251025-PM-ORD-2025-00057-S08</x:v>
      </x:c>
      <x:c r="C1003" t="str">
        <x:v>PE-KG01-L22-20251025-PM-ORD-2025-00057</x:v>
      </x:c>
      <x:c r="D1003" t="str">
        <x:v>KG01</x:v>
      </x:c>
      <x:c r="E1003" s="62" t="n">
        <x:v>45955</x:v>
      </x:c>
      <x:c r="F1003" t="str">
        <x:v>PM</x:v>
      </x:c>
      <x:c r="G1003" t="str">
        <x:v>C</x:v>
      </x:c>
      <x:c r="H1003" t="n">
        <x:v>22</x:v>
      </x:c>
      <x:c r="I1003" t="str">
        <x:v>ORD-2025-00057</x:v>
      </x:c>
      <x:c r="J1003" t="n">
        <x:v>8</x:v>
      </x:c>
      <x:c r="K1003" t="n">
        <x:v>3</x:v>
      </x:c>
      <x:c r="L1003" t="str">
        <x:v>L22-S08-C3</x:v>
      </x:c>
      <x:c r="M1003" t="n">
        <x:v>0</x:v>
      </x:c>
      <x:c r="N1003" t="str">
        <x:v>DerivedFromCount</x:v>
      </x:c>
      <x:c r="O1003" t="str">
        <x:v>PLC-PRD-JAR-720-L22</x:v>
      </x:c>
      <x:c r="P1003" t="str">
        <x:v>OK</x:v>
      </x:c>
      <x:c r="Q1003" t="str">
        <x:v>OK</x:v>
      </x:c>
      <x:c r="R1003" t="str">
        <x:v>OK</x:v>
      </x:c>
      <x:c r="S1003" t="str">
        <x:v>OK</x:v>
      </x:c>
      <x:c r="T1003" t="n">
        <x:v>20</x:v>
      </x:c>
      <x:c r="U1003" t="str">
        <x:v>OK</x:v>
      </x:c>
      <x:c r="V1003" t="str">
        <x:v>OK</x:v>
      </x:c>
      <x:c r="W1003" t="str">
        <x:v>LOAD</x:v>
      </x:c>
      <x:c r="X1003" t="str">
        <x:v>02_Supervisor_Log(4).xlsx</x:v>
      </x:c>
      <x:c r="Y1003" t="str">
        <x:v>ENH-20260830-01</x:v>
      </x:c>
      <x:c r="Z1003" t="str">
        <x:v>Active</x:v>
      </x:c>
      <x:c r="AA1003"/>
      <x:c r="AB1003"/>
      <x:c r="AC1003"/>
      <x:c r="AD1003"/>
    </x:row>
    <x:row r="1004">
      <x:c r="A1004" t="str">
        <x:v>PCC-PE-KG01-L22-20251025-PM-ORD-2025-00057-S09-C1</x:v>
      </x:c>
      <x:c r="B1004" t="str">
        <x:v>PC-PE-KG01-L22-20251025-PM-ORD-2025-00057-S09</x:v>
      </x:c>
      <x:c r="C1004" t="str">
        <x:v>PE-KG01-L22-20251025-PM-ORD-2025-00057</x:v>
      </x:c>
      <x:c r="D1004" t="str">
        <x:v>KG01</x:v>
      </x:c>
      <x:c r="E1004" s="62" t="n">
        <x:v>45955</x:v>
      </x:c>
      <x:c r="F1004" t="str">
        <x:v>PM</x:v>
      </x:c>
      <x:c r="G1004" t="str">
        <x:v>C</x:v>
      </x:c>
      <x:c r="H1004" t="n">
        <x:v>22</x:v>
      </x:c>
      <x:c r="I1004" t="str">
        <x:v>ORD-2025-00057</x:v>
      </x:c>
      <x:c r="J1004" t="n">
        <x:v>9</x:v>
      </x:c>
      <x:c r="K1004" t="n">
        <x:v>1</x:v>
      </x:c>
      <x:c r="L1004" t="str">
        <x:v>L22-S09-C1</x:v>
      </x:c>
      <x:c r="M1004" t="n">
        <x:v>1</x:v>
      </x:c>
      <x:c r="N1004" t="str">
        <x:v>DerivedFromCount</x:v>
      </x:c>
      <x:c r="O1004" t="str">
        <x:v>PLC-PRD-JAR-720-L22</x:v>
      </x:c>
      <x:c r="P1004" t="str">
        <x:v>OK</x:v>
      </x:c>
      <x:c r="Q1004" t="str">
        <x:v>OK</x:v>
      </x:c>
      <x:c r="R1004" t="str">
        <x:v>OK</x:v>
      </x:c>
      <x:c r="S1004" t="str">
        <x:v>OK</x:v>
      </x:c>
      <x:c r="T1004" t="n">
        <x:v>20</x:v>
      </x:c>
      <x:c r="U1004" t="str">
        <x:v>OK</x:v>
      </x:c>
      <x:c r="V1004" t="str">
        <x:v>OK</x:v>
      </x:c>
      <x:c r="W1004" t="str">
        <x:v>LOAD</x:v>
      </x:c>
      <x:c r="X1004" t="str">
        <x:v>02_Supervisor_Log(4).xlsx</x:v>
      </x:c>
      <x:c r="Y1004" t="str">
        <x:v>ENH-20260830-01</x:v>
      </x:c>
      <x:c r="Z1004" t="str">
        <x:v>Active</x:v>
      </x:c>
      <x:c r="AA1004"/>
      <x:c r="AB1004"/>
      <x:c r="AC1004"/>
      <x:c r="AD1004"/>
    </x:row>
    <x:row r="1005">
      <x:c r="A1005" t="str">
        <x:v>PCC-PE-KG01-L22-20251025-PM-ORD-2025-00057-S09-C2</x:v>
      </x:c>
      <x:c r="B1005" t="str">
        <x:v>PC-PE-KG01-L22-20251025-PM-ORD-2025-00057-S09</x:v>
      </x:c>
      <x:c r="C1005" t="str">
        <x:v>PE-KG01-L22-20251025-PM-ORD-2025-00057</x:v>
      </x:c>
      <x:c r="D1005" t="str">
        <x:v>KG01</x:v>
      </x:c>
      <x:c r="E1005" s="62" t="n">
        <x:v>45955</x:v>
      </x:c>
      <x:c r="F1005" t="str">
        <x:v>PM</x:v>
      </x:c>
      <x:c r="G1005" t="str">
        <x:v>C</x:v>
      </x:c>
      <x:c r="H1005" t="n">
        <x:v>22</x:v>
      </x:c>
      <x:c r="I1005" t="str">
        <x:v>ORD-2025-00057</x:v>
      </x:c>
      <x:c r="J1005" t="n">
        <x:v>9</x:v>
      </x:c>
      <x:c r="K1005" t="n">
        <x:v>2</x:v>
      </x:c>
      <x:c r="L1005" t="str">
        <x:v>L22-S09-C2</x:v>
      </x:c>
      <x:c r="M1005" t="n">
        <x:v>1</x:v>
      </x:c>
      <x:c r="N1005" t="str">
        <x:v>DerivedFromCount</x:v>
      </x:c>
      <x:c r="O1005" t="str">
        <x:v>PLC-PRD-JAR-720-L22</x:v>
      </x:c>
      <x:c r="P1005" t="str">
        <x:v>OK</x:v>
      </x:c>
      <x:c r="Q1005" t="str">
        <x:v>OK</x:v>
      </x:c>
      <x:c r="R1005" t="str">
        <x:v>OK</x:v>
      </x:c>
      <x:c r="S1005" t="str">
        <x:v>OK</x:v>
      </x:c>
      <x:c r="T1005" t="n">
        <x:v>20</x:v>
      </x:c>
      <x:c r="U1005" t="str">
        <x:v>OK</x:v>
      </x:c>
      <x:c r="V1005" t="str">
        <x:v>OK</x:v>
      </x:c>
      <x:c r="W1005" t="str">
        <x:v>LOAD</x:v>
      </x:c>
      <x:c r="X1005" t="str">
        <x:v>02_Supervisor_Log(4).xlsx</x:v>
      </x:c>
      <x:c r="Y1005" t="str">
        <x:v>ENH-20260830-01</x:v>
      </x:c>
      <x:c r="Z1005" t="str">
        <x:v>Active</x:v>
      </x:c>
      <x:c r="AA1005"/>
      <x:c r="AB1005"/>
      <x:c r="AC1005"/>
      <x:c r="AD1005"/>
    </x:row>
    <x:row r="1006">
      <x:c r="A1006" t="str">
        <x:v>PCC-PE-KG01-L22-20251025-PM-ORD-2025-00057-S09-C3</x:v>
      </x:c>
      <x:c r="B1006" t="str">
        <x:v>PC-PE-KG01-L22-20251025-PM-ORD-2025-00057-S09</x:v>
      </x:c>
      <x:c r="C1006" t="str">
        <x:v>PE-KG01-L22-20251025-PM-ORD-2025-00057</x:v>
      </x:c>
      <x:c r="D1006" t="str">
        <x:v>KG01</x:v>
      </x:c>
      <x:c r="E1006" s="62" t="n">
        <x:v>45955</x:v>
      </x:c>
      <x:c r="F1006" t="str">
        <x:v>PM</x:v>
      </x:c>
      <x:c r="G1006" t="str">
        <x:v>C</x:v>
      </x:c>
      <x:c r="H1006" t="n">
        <x:v>22</x:v>
      </x:c>
      <x:c r="I1006" t="str">
        <x:v>ORD-2025-00057</x:v>
      </x:c>
      <x:c r="J1006" t="n">
        <x:v>9</x:v>
      </x:c>
      <x:c r="K1006" t="n">
        <x:v>3</x:v>
      </x:c>
      <x:c r="L1006" t="str">
        <x:v>L22-S09-C3</x:v>
      </x:c>
      <x:c r="M1006" t="n">
        <x:v>0</x:v>
      </x:c>
      <x:c r="N1006" t="str">
        <x:v>DerivedFromCount</x:v>
      </x:c>
      <x:c r="O1006" t="str">
        <x:v>PLC-PRD-JAR-720-L22</x:v>
      </x:c>
      <x:c r="P1006" t="str">
        <x:v>OK</x:v>
      </x:c>
      <x:c r="Q1006" t="str">
        <x:v>OK</x:v>
      </x:c>
      <x:c r="R1006" t="str">
        <x:v>OK</x:v>
      </x:c>
      <x:c r="S1006" t="str">
        <x:v>OK</x:v>
      </x:c>
      <x:c r="T1006" t="n">
        <x:v>20</x:v>
      </x:c>
      <x:c r="U1006" t="str">
        <x:v>OK</x:v>
      </x:c>
      <x:c r="V1006" t="str">
        <x:v>OK</x:v>
      </x:c>
      <x:c r="W1006" t="str">
        <x:v>LOAD</x:v>
      </x:c>
      <x:c r="X1006" t="str">
        <x:v>02_Supervisor_Log(4).xlsx</x:v>
      </x:c>
      <x:c r="Y1006" t="str">
        <x:v>ENH-20260830-01</x:v>
      </x:c>
      <x:c r="Z1006" t="str">
        <x:v>Active</x:v>
      </x:c>
      <x:c r="AA1006"/>
      <x:c r="AB1006"/>
      <x:c r="AC1006"/>
      <x:c r="AD1006"/>
    </x:row>
    <x:row r="1007">
      <x:c r="A1007" t="str">
        <x:v>PCC-PE-KG01-L22-20251025-PM-ORD-2025-00057-S10-C1</x:v>
      </x:c>
      <x:c r="B1007" t="str">
        <x:v>PC-PE-KG01-L22-20251025-PM-ORD-2025-00057-S10</x:v>
      </x:c>
      <x:c r="C1007" t="str">
        <x:v>PE-KG01-L22-20251025-PM-ORD-2025-00057</x:v>
      </x:c>
      <x:c r="D1007" t="str">
        <x:v>KG01</x:v>
      </x:c>
      <x:c r="E1007" s="62" t="n">
        <x:v>45955</x:v>
      </x:c>
      <x:c r="F1007" t="str">
        <x:v>PM</x:v>
      </x:c>
      <x:c r="G1007" t="str">
        <x:v>C</x:v>
      </x:c>
      <x:c r="H1007" t="n">
        <x:v>22</x:v>
      </x:c>
      <x:c r="I1007" t="str">
        <x:v>ORD-2025-00057</x:v>
      </x:c>
      <x:c r="J1007" t="n">
        <x:v>10</x:v>
      </x:c>
      <x:c r="K1007" t="n">
        <x:v>1</x:v>
      </x:c>
      <x:c r="L1007" t="str">
        <x:v>L22-S10-C1</x:v>
      </x:c>
      <x:c r="M1007" t="n">
        <x:v>1</x:v>
      </x:c>
      <x:c r="N1007" t="str">
        <x:v>DerivedFromCount</x:v>
      </x:c>
      <x:c r="O1007" t="str">
        <x:v>PLC-PRD-JAR-720-L22</x:v>
      </x:c>
      <x:c r="P1007" t="str">
        <x:v>OK</x:v>
      </x:c>
      <x:c r="Q1007" t="str">
        <x:v>OK</x:v>
      </x:c>
      <x:c r="R1007" t="str">
        <x:v>OK</x:v>
      </x:c>
      <x:c r="S1007" t="str">
        <x:v>OK</x:v>
      </x:c>
      <x:c r="T1007" t="n">
        <x:v>20</x:v>
      </x:c>
      <x:c r="U1007" t="str">
        <x:v>OK</x:v>
      </x:c>
      <x:c r="V1007" t="str">
        <x:v>OK</x:v>
      </x:c>
      <x:c r="W1007" t="str">
        <x:v>LOAD</x:v>
      </x:c>
      <x:c r="X1007" t="str">
        <x:v>02_Supervisor_Log(4).xlsx</x:v>
      </x:c>
      <x:c r="Y1007" t="str">
        <x:v>ENH-20260830-01</x:v>
      </x:c>
      <x:c r="Z1007" t="str">
        <x:v>Active</x:v>
      </x:c>
      <x:c r="AA1007"/>
      <x:c r="AB1007"/>
      <x:c r="AC1007"/>
      <x:c r="AD1007"/>
    </x:row>
    <x:row r="1008">
      <x:c r="A1008" t="str">
        <x:v>PCC-PE-KG01-L22-20251025-PM-ORD-2025-00057-S10-C2</x:v>
      </x:c>
      <x:c r="B1008" t="str">
        <x:v>PC-PE-KG01-L22-20251025-PM-ORD-2025-00057-S10</x:v>
      </x:c>
      <x:c r="C1008" t="str">
        <x:v>PE-KG01-L22-20251025-PM-ORD-2025-00057</x:v>
      </x:c>
      <x:c r="D1008" t="str">
        <x:v>KG01</x:v>
      </x:c>
      <x:c r="E1008" s="62" t="n">
        <x:v>45955</x:v>
      </x:c>
      <x:c r="F1008" t="str">
        <x:v>PM</x:v>
      </x:c>
      <x:c r="G1008" t="str">
        <x:v>C</x:v>
      </x:c>
      <x:c r="H1008" t="n">
        <x:v>22</x:v>
      </x:c>
      <x:c r="I1008" t="str">
        <x:v>ORD-2025-00057</x:v>
      </x:c>
      <x:c r="J1008" t="n">
        <x:v>10</x:v>
      </x:c>
      <x:c r="K1008" t="n">
        <x:v>2</x:v>
      </x:c>
      <x:c r="L1008" t="str">
        <x:v>L22-S10-C2</x:v>
      </x:c>
      <x:c r="M1008" t="n">
        <x:v>1</x:v>
      </x:c>
      <x:c r="N1008" t="str">
        <x:v>DerivedFromCount</x:v>
      </x:c>
      <x:c r="O1008" t="str">
        <x:v>PLC-PRD-JAR-720-L22</x:v>
      </x:c>
      <x:c r="P1008" t="str">
        <x:v>OK</x:v>
      </x:c>
      <x:c r="Q1008" t="str">
        <x:v>OK</x:v>
      </x:c>
      <x:c r="R1008" t="str">
        <x:v>OK</x:v>
      </x:c>
      <x:c r="S1008" t="str">
        <x:v>OK</x:v>
      </x:c>
      <x:c r="T1008" t="n">
        <x:v>20</x:v>
      </x:c>
      <x:c r="U1008" t="str">
        <x:v>OK</x:v>
      </x:c>
      <x:c r="V1008" t="str">
        <x:v>OK</x:v>
      </x:c>
      <x:c r="W1008" t="str">
        <x:v>LOAD</x:v>
      </x:c>
      <x:c r="X1008" t="str">
        <x:v>02_Supervisor_Log(4).xlsx</x:v>
      </x:c>
      <x:c r="Y1008" t="str">
        <x:v>ENH-20260830-01</x:v>
      </x:c>
      <x:c r="Z1008" t="str">
        <x:v>Active</x:v>
      </x:c>
      <x:c r="AA1008"/>
      <x:c r="AB1008"/>
      <x:c r="AC1008"/>
      <x:c r="AD1008"/>
    </x:row>
    <x:row r="1009">
      <x:c r="A1009" t="str">
        <x:v>PCC-PE-KG01-L22-20251025-PM-ORD-2025-00057-S10-C3</x:v>
      </x:c>
      <x:c r="B1009" t="str">
        <x:v>PC-PE-KG01-L22-20251025-PM-ORD-2025-00057-S10</x:v>
      </x:c>
      <x:c r="C1009" t="str">
        <x:v>PE-KG01-L22-20251025-PM-ORD-2025-00057</x:v>
      </x:c>
      <x:c r="D1009" t="str">
        <x:v>KG01</x:v>
      </x:c>
      <x:c r="E1009" s="62" t="n">
        <x:v>45955</x:v>
      </x:c>
      <x:c r="F1009" t="str">
        <x:v>PM</x:v>
      </x:c>
      <x:c r="G1009" t="str">
        <x:v>C</x:v>
      </x:c>
      <x:c r="H1009" t="n">
        <x:v>22</x:v>
      </x:c>
      <x:c r="I1009" t="str">
        <x:v>ORD-2025-00057</x:v>
      </x:c>
      <x:c r="J1009" t="n">
        <x:v>10</x:v>
      </x:c>
      <x:c r="K1009" t="n">
        <x:v>3</x:v>
      </x:c>
      <x:c r="L1009" t="str">
        <x:v>L22-S10-C3</x:v>
      </x:c>
      <x:c r="M1009" t="n">
        <x:v>0</x:v>
      </x:c>
      <x:c r="N1009" t="str">
        <x:v>DerivedFromCount</x:v>
      </x:c>
      <x:c r="O1009" t="str">
        <x:v>PLC-PRD-JAR-720-L22</x:v>
      </x:c>
      <x:c r="P1009" t="str">
        <x:v>OK</x:v>
      </x:c>
      <x:c r="Q1009" t="str">
        <x:v>OK</x:v>
      </x:c>
      <x:c r="R1009" t="str">
        <x:v>OK</x:v>
      </x:c>
      <x:c r="S1009" t="str">
        <x:v>OK</x:v>
      </x:c>
      <x:c r="T1009" t="n">
        <x:v>20</x:v>
      </x:c>
      <x:c r="U1009" t="str">
        <x:v>OK</x:v>
      </x:c>
      <x:c r="V1009" t="str">
        <x:v>OK</x:v>
      </x:c>
      <x:c r="W1009" t="str">
        <x:v>LOAD</x:v>
      </x:c>
      <x:c r="X1009" t="str">
        <x:v>02_Supervisor_Log(4).xlsx</x:v>
      </x:c>
      <x:c r="Y1009" t="str">
        <x:v>ENH-20260830-01</x:v>
      </x:c>
      <x:c r="Z1009" t="str">
        <x:v>Active</x:v>
      </x:c>
      <x:c r="AA1009"/>
      <x:c r="AB1009"/>
      <x:c r="AC1009"/>
      <x:c r="AD1009"/>
    </x:row>
    <x:row r="1010">
      <x:c r="A1010" t="str">
        <x:v>PCC-PE-KG01-L22-20251025-PM-ORD-2025-00057-S11-C1</x:v>
      </x:c>
      <x:c r="B1010" t="str">
        <x:v>PC-PE-KG01-L22-20251025-PM-ORD-2025-00057-S11</x:v>
      </x:c>
      <x:c r="C1010" t="str">
        <x:v>PE-KG01-L22-20251025-PM-ORD-2025-00057</x:v>
      </x:c>
      <x:c r="D1010" t="str">
        <x:v>KG01</x:v>
      </x:c>
      <x:c r="E1010" s="62" t="n">
        <x:v>45955</x:v>
      </x:c>
      <x:c r="F1010" t="str">
        <x:v>PM</x:v>
      </x:c>
      <x:c r="G1010" t="str">
        <x:v>C</x:v>
      </x:c>
      <x:c r="H1010" t="n">
        <x:v>22</x:v>
      </x:c>
      <x:c r="I1010" t="str">
        <x:v>ORD-2025-00057</x:v>
      </x:c>
      <x:c r="J1010" t="n">
        <x:v>11</x:v>
      </x:c>
      <x:c r="K1010" t="n">
        <x:v>1</x:v>
      </x:c>
      <x:c r="L1010" t="str">
        <x:v>L22-S11-C1</x:v>
      </x:c>
      <x:c r="M1010" t="n">
        <x:v>0</x:v>
      </x:c>
      <x:c r="N1010" t="str">
        <x:v>DerivedFromCount</x:v>
      </x:c>
      <x:c r="O1010" t="str">
        <x:v>PLC-PRD-JAR-720-L22</x:v>
      </x:c>
      <x:c r="P1010" t="str">
        <x:v>OK</x:v>
      </x:c>
      <x:c r="Q1010" t="str">
        <x:v>OK</x:v>
      </x:c>
      <x:c r="R1010" t="str">
        <x:v>OK</x:v>
      </x:c>
      <x:c r="S1010" t="str">
        <x:v>OK</x:v>
      </x:c>
      <x:c r="T1010" t="n">
        <x:v>20</x:v>
      </x:c>
      <x:c r="U1010" t="str">
        <x:v>OK</x:v>
      </x:c>
      <x:c r="V1010" t="str">
        <x:v>OK</x:v>
      </x:c>
      <x:c r="W1010" t="str">
        <x:v>LOAD</x:v>
      </x:c>
      <x:c r="X1010" t="str">
        <x:v>02_Supervisor_Log(4).xlsx</x:v>
      </x:c>
      <x:c r="Y1010" t="str">
        <x:v>ENH-20260830-01</x:v>
      </x:c>
      <x:c r="Z1010" t="str">
        <x:v>Active</x:v>
      </x:c>
      <x:c r="AA1010"/>
      <x:c r="AB1010"/>
      <x:c r="AC1010"/>
      <x:c r="AD1010"/>
    </x:row>
    <x:row r="1011">
      <x:c r="A1011" t="str">
        <x:v>PCC-PE-KG01-L22-20251025-PM-ORD-2025-00057-S11-C2</x:v>
      </x:c>
      <x:c r="B1011" t="str">
        <x:v>PC-PE-KG01-L22-20251025-PM-ORD-2025-00057-S11</x:v>
      </x:c>
      <x:c r="C1011" t="str">
        <x:v>PE-KG01-L22-20251025-PM-ORD-2025-00057</x:v>
      </x:c>
      <x:c r="D1011" t="str">
        <x:v>KG01</x:v>
      </x:c>
      <x:c r="E1011" s="62" t="n">
        <x:v>45955</x:v>
      </x:c>
      <x:c r="F1011" t="str">
        <x:v>PM</x:v>
      </x:c>
      <x:c r="G1011" t="str">
        <x:v>C</x:v>
      </x:c>
      <x:c r="H1011" t="n">
        <x:v>22</x:v>
      </x:c>
      <x:c r="I1011" t="str">
        <x:v>ORD-2025-00057</x:v>
      </x:c>
      <x:c r="J1011" t="n">
        <x:v>11</x:v>
      </x:c>
      <x:c r="K1011" t="n">
        <x:v>2</x:v>
      </x:c>
      <x:c r="L1011" t="str">
        <x:v>L22-S11-C2</x:v>
      </x:c>
      <x:c r="M1011" t="n">
        <x:v>0</x:v>
      </x:c>
      <x:c r="N1011" t="str">
        <x:v>DerivedFromCount</x:v>
      </x:c>
      <x:c r="O1011" t="str">
        <x:v>PLC-PRD-JAR-720-L22</x:v>
      </x:c>
      <x:c r="P1011" t="str">
        <x:v>OK</x:v>
      </x:c>
      <x:c r="Q1011" t="str">
        <x:v>OK</x:v>
      </x:c>
      <x:c r="R1011" t="str">
        <x:v>OK</x:v>
      </x:c>
      <x:c r="S1011" t="str">
        <x:v>OK</x:v>
      </x:c>
      <x:c r="T1011" t="n">
        <x:v>20</x:v>
      </x:c>
      <x:c r="U1011" t="str">
        <x:v>OK</x:v>
      </x:c>
      <x:c r="V1011" t="str">
        <x:v>OK</x:v>
      </x:c>
      <x:c r="W1011" t="str">
        <x:v>LOAD</x:v>
      </x:c>
      <x:c r="X1011" t="str">
        <x:v>02_Supervisor_Log(4).xlsx</x:v>
      </x:c>
      <x:c r="Y1011" t="str">
        <x:v>ENH-20260830-01</x:v>
      </x:c>
      <x:c r="Z1011" t="str">
        <x:v>Active</x:v>
      </x:c>
      <x:c r="AA1011"/>
      <x:c r="AB1011"/>
      <x:c r="AC1011"/>
      <x:c r="AD1011"/>
    </x:row>
    <x:row r="1012">
      <x:c r="A1012" t="str">
        <x:v>PCC-PE-KG01-L22-20251025-PM-ORD-2025-00057-S11-C3</x:v>
      </x:c>
      <x:c r="B1012" t="str">
        <x:v>PC-PE-KG01-L22-20251025-PM-ORD-2025-00057-S11</x:v>
      </x:c>
      <x:c r="C1012" t="str">
        <x:v>PE-KG01-L22-20251025-PM-ORD-2025-00057</x:v>
      </x:c>
      <x:c r="D1012" t="str">
        <x:v>KG01</x:v>
      </x:c>
      <x:c r="E1012" s="62" t="n">
        <x:v>45955</x:v>
      </x:c>
      <x:c r="F1012" t="str">
        <x:v>PM</x:v>
      </x:c>
      <x:c r="G1012" t="str">
        <x:v>C</x:v>
      </x:c>
      <x:c r="H1012" t="n">
        <x:v>22</x:v>
      </x:c>
      <x:c r="I1012" t="str">
        <x:v>ORD-2025-00057</x:v>
      </x:c>
      <x:c r="J1012" t="n">
        <x:v>11</x:v>
      </x:c>
      <x:c r="K1012" t="n">
        <x:v>3</x:v>
      </x:c>
      <x:c r="L1012" t="str">
        <x:v>L22-S11-C3</x:v>
      </x:c>
      <x:c r="M1012" t="n">
        <x:v>0</x:v>
      </x:c>
      <x:c r="N1012" t="str">
        <x:v>DerivedFromCount</x:v>
      </x:c>
      <x:c r="O1012" t="str">
        <x:v>PLC-PRD-JAR-720-L22</x:v>
      </x:c>
      <x:c r="P1012" t="str">
        <x:v>OK</x:v>
      </x:c>
      <x:c r="Q1012" t="str">
        <x:v>OK</x:v>
      </x:c>
      <x:c r="R1012" t="str">
        <x:v>OK</x:v>
      </x:c>
      <x:c r="S1012" t="str">
        <x:v>OK</x:v>
      </x:c>
      <x:c r="T1012" t="n">
        <x:v>20</x:v>
      </x:c>
      <x:c r="U1012" t="str">
        <x:v>OK</x:v>
      </x:c>
      <x:c r="V1012" t="str">
        <x:v>OK</x:v>
      </x:c>
      <x:c r="W1012" t="str">
        <x:v>LOAD</x:v>
      </x:c>
      <x:c r="X1012" t="str">
        <x:v>02_Supervisor_Log(4).xlsx</x:v>
      </x:c>
      <x:c r="Y1012" t="str">
        <x:v>ENH-20260830-01</x:v>
      </x:c>
      <x:c r="Z1012" t="str">
        <x:v>Active</x:v>
      </x:c>
      <x:c r="AA1012"/>
      <x:c r="AB1012"/>
      <x:c r="AC1012"/>
      <x:c r="AD1012"/>
    </x:row>
    <x:row r="1013">
      <x:c r="A1013" t="str">
        <x:v>PCC-PE-KG01-L22-20251025-PM-ORD-2025-00057-S12-C1</x:v>
      </x:c>
      <x:c r="B1013" t="str">
        <x:v>PC-PE-KG01-L22-20251025-PM-ORD-2025-00057-S12</x:v>
      </x:c>
      <x:c r="C1013" t="str">
        <x:v>PE-KG01-L22-20251025-PM-ORD-2025-00057</x:v>
      </x:c>
      <x:c r="D1013" t="str">
        <x:v>KG01</x:v>
      </x:c>
      <x:c r="E1013" s="62" t="n">
        <x:v>45955</x:v>
      </x:c>
      <x:c r="F1013" t="str">
        <x:v>PM</x:v>
      </x:c>
      <x:c r="G1013" t="str">
        <x:v>C</x:v>
      </x:c>
      <x:c r="H1013" t="n">
        <x:v>22</x:v>
      </x:c>
      <x:c r="I1013" t="str">
        <x:v>ORD-2025-00057</x:v>
      </x:c>
      <x:c r="J1013" t="n">
        <x:v>12</x:v>
      </x:c>
      <x:c r="K1013" t="n">
        <x:v>1</x:v>
      </x:c>
      <x:c r="L1013" t="str">
        <x:v>L22-S12-C1</x:v>
      </x:c>
      <x:c r="M1013" t="n">
        <x:v>0</x:v>
      </x:c>
      <x:c r="N1013" t="str">
        <x:v>DerivedFromCount</x:v>
      </x:c>
      <x:c r="O1013" t="str">
        <x:v>PLC-PRD-JAR-720-L22</x:v>
      </x:c>
      <x:c r="P1013" t="str">
        <x:v>OK</x:v>
      </x:c>
      <x:c r="Q1013" t="str">
        <x:v>OK</x:v>
      </x:c>
      <x:c r="R1013" t="str">
        <x:v>OK</x:v>
      </x:c>
      <x:c r="S1013" t="str">
        <x:v>OK</x:v>
      </x:c>
      <x:c r="T1013" t="n">
        <x:v>20</x:v>
      </x:c>
      <x:c r="U1013" t="str">
        <x:v>OK</x:v>
      </x:c>
      <x:c r="V1013" t="str">
        <x:v>OK</x:v>
      </x:c>
      <x:c r="W1013" t="str">
        <x:v>LOAD</x:v>
      </x:c>
      <x:c r="X1013" t="str">
        <x:v>02_Supervisor_Log(4).xlsx</x:v>
      </x:c>
      <x:c r="Y1013" t="str">
        <x:v>ENH-20260830-01</x:v>
      </x:c>
      <x:c r="Z1013" t="str">
        <x:v>Active</x:v>
      </x:c>
      <x:c r="AA1013"/>
      <x:c r="AB1013"/>
      <x:c r="AC1013"/>
      <x:c r="AD1013"/>
    </x:row>
    <x:row r="1014">
      <x:c r="A1014" t="str">
        <x:v>PCC-PE-KG01-L22-20251025-PM-ORD-2025-00057-S12-C2</x:v>
      </x:c>
      <x:c r="B1014" t="str">
        <x:v>PC-PE-KG01-L22-20251025-PM-ORD-2025-00057-S12</x:v>
      </x:c>
      <x:c r="C1014" t="str">
        <x:v>PE-KG01-L22-20251025-PM-ORD-2025-00057</x:v>
      </x:c>
      <x:c r="D1014" t="str">
        <x:v>KG01</x:v>
      </x:c>
      <x:c r="E1014" s="62" t="n">
        <x:v>45955</x:v>
      </x:c>
      <x:c r="F1014" t="str">
        <x:v>PM</x:v>
      </x:c>
      <x:c r="G1014" t="str">
        <x:v>C</x:v>
      </x:c>
      <x:c r="H1014" t="n">
        <x:v>22</x:v>
      </x:c>
      <x:c r="I1014" t="str">
        <x:v>ORD-2025-00057</x:v>
      </x:c>
      <x:c r="J1014" t="n">
        <x:v>12</x:v>
      </x:c>
      <x:c r="K1014" t="n">
        <x:v>2</x:v>
      </x:c>
      <x:c r="L1014" t="str">
        <x:v>L22-S12-C2</x:v>
      </x:c>
      <x:c r="M1014" t="n">
        <x:v>0</x:v>
      </x:c>
      <x:c r="N1014" t="str">
        <x:v>DerivedFromCount</x:v>
      </x:c>
      <x:c r="O1014" t="str">
        <x:v>PLC-PRD-JAR-720-L22</x:v>
      </x:c>
      <x:c r="P1014" t="str">
        <x:v>OK</x:v>
      </x:c>
      <x:c r="Q1014" t="str">
        <x:v>OK</x:v>
      </x:c>
      <x:c r="R1014" t="str">
        <x:v>OK</x:v>
      </x:c>
      <x:c r="S1014" t="str">
        <x:v>OK</x:v>
      </x:c>
      <x:c r="T1014" t="n">
        <x:v>20</x:v>
      </x:c>
      <x:c r="U1014" t="str">
        <x:v>OK</x:v>
      </x:c>
      <x:c r="V1014" t="str">
        <x:v>OK</x:v>
      </x:c>
      <x:c r="W1014" t="str">
        <x:v>LOAD</x:v>
      </x:c>
      <x:c r="X1014" t="str">
        <x:v>02_Supervisor_Log(4).xlsx</x:v>
      </x:c>
      <x:c r="Y1014" t="str">
        <x:v>ENH-20260830-01</x:v>
      </x:c>
      <x:c r="Z1014" t="str">
        <x:v>Active</x:v>
      </x:c>
      <x:c r="AA1014"/>
      <x:c r="AB1014"/>
      <x:c r="AC1014"/>
      <x:c r="AD1014"/>
    </x:row>
    <x:row r="1015">
      <x:c r="A1015" t="str">
        <x:v>PCC-PE-KG01-L22-20251025-PM-ORD-2025-00057-S12-C3</x:v>
      </x:c>
      <x:c r="B1015" t="str">
        <x:v>PC-PE-KG01-L22-20251025-PM-ORD-2025-00057-S12</x:v>
      </x:c>
      <x:c r="C1015" t="str">
        <x:v>PE-KG01-L22-20251025-PM-ORD-2025-00057</x:v>
      </x:c>
      <x:c r="D1015" t="str">
        <x:v>KG01</x:v>
      </x:c>
      <x:c r="E1015" s="62" t="n">
        <x:v>45955</x:v>
      </x:c>
      <x:c r="F1015" t="str">
        <x:v>PM</x:v>
      </x:c>
      <x:c r="G1015" t="str">
        <x:v>C</x:v>
      </x:c>
      <x:c r="H1015" t="n">
        <x:v>22</x:v>
      </x:c>
      <x:c r="I1015" t="str">
        <x:v>ORD-2025-00057</x:v>
      </x:c>
      <x:c r="J1015" t="n">
        <x:v>12</x:v>
      </x:c>
      <x:c r="K1015" t="n">
        <x:v>3</x:v>
      </x:c>
      <x:c r="L1015" t="str">
        <x:v>L22-S12-C3</x:v>
      </x:c>
      <x:c r="M1015" t="n">
        <x:v>0</x:v>
      </x:c>
      <x:c r="N1015" t="str">
        <x:v>DerivedFromCount</x:v>
      </x:c>
      <x:c r="O1015" t="str">
        <x:v>PLC-PRD-JAR-720-L22</x:v>
      </x:c>
      <x:c r="P1015" t="str">
        <x:v>OK</x:v>
      </x:c>
      <x:c r="Q1015" t="str">
        <x:v>OK</x:v>
      </x:c>
      <x:c r="R1015" t="str">
        <x:v>OK</x:v>
      </x:c>
      <x:c r="S1015" t="str">
        <x:v>OK</x:v>
      </x:c>
      <x:c r="T1015" t="n">
        <x:v>20</x:v>
      </x:c>
      <x:c r="U1015" t="str">
        <x:v>OK</x:v>
      </x:c>
      <x:c r="V1015" t="str">
        <x:v>OK</x:v>
      </x:c>
      <x:c r="W1015" t="str">
        <x:v>LOAD</x:v>
      </x:c>
      <x:c r="X1015" t="str">
        <x:v>02_Supervisor_Log(4).xlsx</x:v>
      </x:c>
      <x:c r="Y1015" t="str">
        <x:v>ENH-20260830-01</x:v>
      </x:c>
      <x:c r="Z1015" t="str">
        <x:v>Active</x:v>
      </x:c>
      <x:c r="AA1015"/>
      <x:c r="AB1015"/>
      <x:c r="AC1015"/>
      <x:c r="AD1015"/>
    </x:row>
    <x:row r="1016">
      <x:c r="A1016" t="str">
        <x:v>PCC-PE-KG01-L22-20251025-PM-ORD-2025-00057-S13-C1</x:v>
      </x:c>
      <x:c r="B1016" t="str">
        <x:v>PC-PE-KG01-L22-20251025-PM-ORD-2025-00057-S13</x:v>
      </x:c>
      <x:c r="C1016" t="str">
        <x:v>PE-KG01-L22-20251025-PM-ORD-2025-00057</x:v>
      </x:c>
      <x:c r="D1016" t="str">
        <x:v>KG01</x:v>
      </x:c>
      <x:c r="E1016" s="62" t="n">
        <x:v>45955</x:v>
      </x:c>
      <x:c r="F1016" t="str">
        <x:v>PM</x:v>
      </x:c>
      <x:c r="G1016" t="str">
        <x:v>C</x:v>
      </x:c>
      <x:c r="H1016" t="n">
        <x:v>22</x:v>
      </x:c>
      <x:c r="I1016" t="str">
        <x:v>ORD-2025-00057</x:v>
      </x:c>
      <x:c r="J1016" t="n">
        <x:v>13</x:v>
      </x:c>
      <x:c r="K1016" t="n">
        <x:v>1</x:v>
      </x:c>
      <x:c r="L1016" t="str">
        <x:v>L22-S13-C1</x:v>
      </x:c>
      <x:c r="M1016" t="n">
        <x:v>0</x:v>
      </x:c>
      <x:c r="N1016" t="str">
        <x:v>DerivedFromCount</x:v>
      </x:c>
      <x:c r="O1016" t="str">
        <x:v>PLC-PRD-JAR-720-L22</x:v>
      </x:c>
      <x:c r="P1016" t="str">
        <x:v>OK</x:v>
      </x:c>
      <x:c r="Q1016" t="str">
        <x:v>OK</x:v>
      </x:c>
      <x:c r="R1016" t="str">
        <x:v>OK</x:v>
      </x:c>
      <x:c r="S1016" t="str">
        <x:v>OK</x:v>
      </x:c>
      <x:c r="T1016" t="n">
        <x:v>20</x:v>
      </x:c>
      <x:c r="U1016" t="str">
        <x:v>OK</x:v>
      </x:c>
      <x:c r="V1016" t="str">
        <x:v>OK</x:v>
      </x:c>
      <x:c r="W1016" t="str">
        <x:v>LOAD</x:v>
      </x:c>
      <x:c r="X1016" t="str">
        <x:v>02_Supervisor_Log(4).xlsx</x:v>
      </x:c>
      <x:c r="Y1016" t="str">
        <x:v>ENH-20260830-01</x:v>
      </x:c>
      <x:c r="Z1016" t="str">
        <x:v>Active</x:v>
      </x:c>
      <x:c r="AA1016"/>
      <x:c r="AB1016"/>
      <x:c r="AC1016"/>
      <x:c r="AD1016"/>
    </x:row>
    <x:row r="1017">
      <x:c r="A1017" t="str">
        <x:v>PCC-PE-KG01-L22-20251025-PM-ORD-2025-00057-S13-C2</x:v>
      </x:c>
      <x:c r="B1017" t="str">
        <x:v>PC-PE-KG01-L22-20251025-PM-ORD-2025-00057-S13</x:v>
      </x:c>
      <x:c r="C1017" t="str">
        <x:v>PE-KG01-L22-20251025-PM-ORD-2025-00057</x:v>
      </x:c>
      <x:c r="D1017" t="str">
        <x:v>KG01</x:v>
      </x:c>
      <x:c r="E1017" s="62" t="n">
        <x:v>45955</x:v>
      </x:c>
      <x:c r="F1017" t="str">
        <x:v>PM</x:v>
      </x:c>
      <x:c r="G1017" t="str">
        <x:v>C</x:v>
      </x:c>
      <x:c r="H1017" t="n">
        <x:v>22</x:v>
      </x:c>
      <x:c r="I1017" t="str">
        <x:v>ORD-2025-00057</x:v>
      </x:c>
      <x:c r="J1017" t="n">
        <x:v>13</x:v>
      </x:c>
      <x:c r="K1017" t="n">
        <x:v>2</x:v>
      </x:c>
      <x:c r="L1017" t="str">
        <x:v>L22-S13-C2</x:v>
      </x:c>
      <x:c r="M1017" t="n">
        <x:v>0</x:v>
      </x:c>
      <x:c r="N1017" t="str">
        <x:v>DerivedFromCount</x:v>
      </x:c>
      <x:c r="O1017" t="str">
        <x:v>PLC-PRD-JAR-720-L22</x:v>
      </x:c>
      <x:c r="P1017" t="str">
        <x:v>OK</x:v>
      </x:c>
      <x:c r="Q1017" t="str">
        <x:v>OK</x:v>
      </x:c>
      <x:c r="R1017" t="str">
        <x:v>OK</x:v>
      </x:c>
      <x:c r="S1017" t="str">
        <x:v>OK</x:v>
      </x:c>
      <x:c r="T1017" t="n">
        <x:v>20</x:v>
      </x:c>
      <x:c r="U1017" t="str">
        <x:v>OK</x:v>
      </x:c>
      <x:c r="V1017" t="str">
        <x:v>OK</x:v>
      </x:c>
      <x:c r="W1017" t="str">
        <x:v>LOAD</x:v>
      </x:c>
      <x:c r="X1017" t="str">
        <x:v>02_Supervisor_Log(4).xlsx</x:v>
      </x:c>
      <x:c r="Y1017" t="str">
        <x:v>ENH-20260830-01</x:v>
      </x:c>
      <x:c r="Z1017" t="str">
        <x:v>Active</x:v>
      </x:c>
      <x:c r="AA1017"/>
      <x:c r="AB1017"/>
      <x:c r="AC1017"/>
      <x:c r="AD1017"/>
    </x:row>
    <x:row r="1018">
      <x:c r="A1018" t="str">
        <x:v>PCC-PE-KG01-L22-20251025-PM-ORD-2025-00057-S13-C3</x:v>
      </x:c>
      <x:c r="B1018" t="str">
        <x:v>PC-PE-KG01-L22-20251025-PM-ORD-2025-00057-S13</x:v>
      </x:c>
      <x:c r="C1018" t="str">
        <x:v>PE-KG01-L22-20251025-PM-ORD-2025-00057</x:v>
      </x:c>
      <x:c r="D1018" t="str">
        <x:v>KG01</x:v>
      </x:c>
      <x:c r="E1018" s="62" t="n">
        <x:v>45955</x:v>
      </x:c>
      <x:c r="F1018" t="str">
        <x:v>PM</x:v>
      </x:c>
      <x:c r="G1018" t="str">
        <x:v>C</x:v>
      </x:c>
      <x:c r="H1018" t="n">
        <x:v>22</x:v>
      </x:c>
      <x:c r="I1018" t="str">
        <x:v>ORD-2025-00057</x:v>
      </x:c>
      <x:c r="J1018" t="n">
        <x:v>13</x:v>
      </x:c>
      <x:c r="K1018" t="n">
        <x:v>3</x:v>
      </x:c>
      <x:c r="L1018" t="str">
        <x:v>L22-S13-C3</x:v>
      </x:c>
      <x:c r="M1018" t="n">
        <x:v>0</x:v>
      </x:c>
      <x:c r="N1018" t="str">
        <x:v>DerivedFromCount</x:v>
      </x:c>
      <x:c r="O1018" t="str">
        <x:v>PLC-PRD-JAR-720-L22</x:v>
      </x:c>
      <x:c r="P1018" t="str">
        <x:v>OK</x:v>
      </x:c>
      <x:c r="Q1018" t="str">
        <x:v>OK</x:v>
      </x:c>
      <x:c r="R1018" t="str">
        <x:v>OK</x:v>
      </x:c>
      <x:c r="S1018" t="str">
        <x:v>OK</x:v>
      </x:c>
      <x:c r="T1018" t="n">
        <x:v>20</x:v>
      </x:c>
      <x:c r="U1018" t="str">
        <x:v>OK</x:v>
      </x:c>
      <x:c r="V1018" t="str">
        <x:v>OK</x:v>
      </x:c>
      <x:c r="W1018" t="str">
        <x:v>LOAD</x:v>
      </x:c>
      <x:c r="X1018" t="str">
        <x:v>02_Supervisor_Log(4).xlsx</x:v>
      </x:c>
      <x:c r="Y1018" t="str">
        <x:v>ENH-20260830-01</x:v>
      </x:c>
      <x:c r="Z1018" t="str">
        <x:v>Active</x:v>
      </x:c>
      <x:c r="AA1018"/>
      <x:c r="AB1018"/>
      <x:c r="AC1018"/>
      <x:c r="AD1018"/>
    </x:row>
    <x:row r="1019">
      <x:c r="A1019" t="str">
        <x:v>PCC-PE-KG01-L22-20251026-AM-ORD-2025-00058-S01-C1</x:v>
      </x:c>
      <x:c r="B1019" t="str">
        <x:v>PC-PE-KG01-L22-20251026-AM-ORD-2025-00058-S01</x:v>
      </x:c>
      <x:c r="C1019" t="str">
        <x:v>PE-KG01-L22-20251026-AM-ORD-2025-00058</x:v>
      </x:c>
      <x:c r="D1019" t="str">
        <x:v>KG01</x:v>
      </x:c>
      <x:c r="E1019" s="62" t="n">
        <x:v>45956</x:v>
      </x:c>
      <x:c r="F1019" t="str">
        <x:v>AM</x:v>
      </x:c>
      <x:c r="G1019" t="str">
        <x:v>C</x:v>
      </x:c>
      <x:c r="H1019" t="n">
        <x:v>22</x:v>
      </x:c>
      <x:c r="I1019" t="str">
        <x:v>ORD-2025-00058</x:v>
      </x:c>
      <x:c r="J1019" t="n">
        <x:v>1</x:v>
      </x:c>
      <x:c r="K1019" t="n">
        <x:v>1</x:v>
      </x:c>
      <x:c r="L1019" t="str">
        <x:v>L22-S01-C1</x:v>
      </x:c>
      <x:c r="M1019" t="n">
        <x:v>1</x:v>
      </x:c>
      <x:c r="N1019" t="str">
        <x:v>DerivedFromCount</x:v>
      </x:c>
      <x:c r="O1019" t="str">
        <x:v>PLC-PRD-BOT-500-L22</x:v>
      </x:c>
      <x:c r="P1019" t="str">
        <x:v>OK</x:v>
      </x:c>
      <x:c r="Q1019" t="str">
        <x:v>OK</x:v>
      </x:c>
      <x:c r="R1019" t="str">
        <x:v>CHECK</x:v>
      </x:c>
      <x:c r="S1019" t="str">
        <x:v>OK</x:v>
      </x:c>
      <x:c r="T1019" t="n">
        <x:v>30</x:v>
      </x:c>
      <x:c r="U1019" t="str">
        <x:v>CHECK</x:v>
      </x:c>
      <x:c r="V1019" t="str">
        <x:v>CHECK</x:v>
      </x:c>
      <x:c r="W1019" t="str">
        <x:v>QUARANTINE</x:v>
      </x:c>
      <x:c r="X1019" t="str">
        <x:v>02_Supervisor_Log(4).xlsx</x:v>
      </x:c>
      <x:c r="Y1019" t="str">
        <x:v>ENH-20260830-01</x:v>
      </x:c>
      <x:c r="Z1019" t="str">
        <x:v>Active</x:v>
      </x:c>
      <x:c r="AA1019"/>
      <x:c r="AB1019"/>
      <x:c r="AC1019"/>
      <x:c r="AD1019"/>
    </x:row>
    <x:row r="1020">
      <x:c r="A1020" t="str">
        <x:v>PCC-PE-KG01-L22-20251026-AM-ORD-2025-00058-S01-C2</x:v>
      </x:c>
      <x:c r="B1020" t="str">
        <x:v>PC-PE-KG01-L22-20251026-AM-ORD-2025-00058-S01</x:v>
      </x:c>
      <x:c r="C1020" t="str">
        <x:v>PE-KG01-L22-20251026-AM-ORD-2025-00058</x:v>
      </x:c>
      <x:c r="D1020" t="str">
        <x:v>KG01</x:v>
      </x:c>
      <x:c r="E1020" s="62" t="n">
        <x:v>45956</x:v>
      </x:c>
      <x:c r="F1020" t="str">
        <x:v>AM</x:v>
      </x:c>
      <x:c r="G1020" t="str">
        <x:v>C</x:v>
      </x:c>
      <x:c r="H1020" t="n">
        <x:v>22</x:v>
      </x:c>
      <x:c r="I1020" t="str">
        <x:v>ORD-2025-00058</x:v>
      </x:c>
      <x:c r="J1020" t="n">
        <x:v>1</x:v>
      </x:c>
      <x:c r="K1020" t="n">
        <x:v>2</x:v>
      </x:c>
      <x:c r="L1020" t="str">
        <x:v>L22-S01-C2</x:v>
      </x:c>
      <x:c r="M1020" t="n">
        <x:v>1</x:v>
      </x:c>
      <x:c r="N1020" t="str">
        <x:v>DerivedFromCount</x:v>
      </x:c>
      <x:c r="O1020" t="str">
        <x:v>PLC-PRD-BOT-500-L22</x:v>
      </x:c>
      <x:c r="P1020" t="str">
        <x:v>OK</x:v>
      </x:c>
      <x:c r="Q1020" t="str">
        <x:v>OK</x:v>
      </x:c>
      <x:c r="R1020" t="str">
        <x:v>CHECK</x:v>
      </x:c>
      <x:c r="S1020" t="str">
        <x:v>OK</x:v>
      </x:c>
      <x:c r="T1020" t="n">
        <x:v>30</x:v>
      </x:c>
      <x:c r="U1020" t="str">
        <x:v>CHECK</x:v>
      </x:c>
      <x:c r="V1020" t="str">
        <x:v>CHECK</x:v>
      </x:c>
      <x:c r="W1020" t="str">
        <x:v>QUARANTINE</x:v>
      </x:c>
      <x:c r="X1020" t="str">
        <x:v>02_Supervisor_Log(4).xlsx</x:v>
      </x:c>
      <x:c r="Y1020" t="str">
        <x:v>ENH-20260830-01</x:v>
      </x:c>
      <x:c r="Z1020" t="str">
        <x:v>Active</x:v>
      </x:c>
      <x:c r="AA1020"/>
      <x:c r="AB1020"/>
      <x:c r="AC1020"/>
      <x:c r="AD1020"/>
    </x:row>
    <x:row r="1021">
      <x:c r="A1021" t="str">
        <x:v>PCC-PE-KG01-L22-20251026-AM-ORD-2025-00058-S01-C3</x:v>
      </x:c>
      <x:c r="B1021" t="str">
        <x:v>PC-PE-KG01-L22-20251026-AM-ORD-2025-00058-S01</x:v>
      </x:c>
      <x:c r="C1021" t="str">
        <x:v>PE-KG01-L22-20251026-AM-ORD-2025-00058</x:v>
      </x:c>
      <x:c r="D1021" t="str">
        <x:v>KG01</x:v>
      </x:c>
      <x:c r="E1021" s="62" t="n">
        <x:v>45956</x:v>
      </x:c>
      <x:c r="F1021" t="str">
        <x:v>AM</x:v>
      </x:c>
      <x:c r="G1021" t="str">
        <x:v>C</x:v>
      </x:c>
      <x:c r="H1021" t="n">
        <x:v>22</x:v>
      </x:c>
      <x:c r="I1021" t="str">
        <x:v>ORD-2025-00058</x:v>
      </x:c>
      <x:c r="J1021" t="n">
        <x:v>1</x:v>
      </x:c>
      <x:c r="K1021" t="n">
        <x:v>3</x:v>
      </x:c>
      <x:c r="L1021" t="str">
        <x:v>L22-S01-C3</x:v>
      </x:c>
      <x:c r="M1021" t="n">
        <x:v>1</x:v>
      </x:c>
      <x:c r="N1021" t="str">
        <x:v>DerivedFromCount</x:v>
      </x:c>
      <x:c r="O1021" t="str">
        <x:v>PLC-PRD-BOT-500-L22</x:v>
      </x:c>
      <x:c r="P1021" t="str">
        <x:v>OK</x:v>
      </x:c>
      <x:c r="Q1021" t="str">
        <x:v>OK</x:v>
      </x:c>
      <x:c r="R1021" t="str">
        <x:v>CHECK</x:v>
      </x:c>
      <x:c r="S1021" t="str">
        <x:v>OK</x:v>
      </x:c>
      <x:c r="T1021" t="n">
        <x:v>30</x:v>
      </x:c>
      <x:c r="U1021" t="str">
        <x:v>CHECK</x:v>
      </x:c>
      <x:c r="V1021" t="str">
        <x:v>CHECK</x:v>
      </x:c>
      <x:c r="W1021" t="str">
        <x:v>QUARANTINE</x:v>
      </x:c>
      <x:c r="X1021" t="str">
        <x:v>02_Supervisor_Log(4).xlsx</x:v>
      </x:c>
      <x:c r="Y1021" t="str">
        <x:v>ENH-20260830-01</x:v>
      </x:c>
      <x:c r="Z1021" t="str">
        <x:v>Active</x:v>
      </x:c>
      <x:c r="AA1021"/>
      <x:c r="AB1021"/>
      <x:c r="AC1021"/>
      <x:c r="AD1021"/>
    </x:row>
    <x:row r="1022">
      <x:c r="A1022" t="str">
        <x:v>PCC-PE-KG01-L22-20251026-AM-ORD-2025-00058-S02-C1</x:v>
      </x:c>
      <x:c r="B1022" t="str">
        <x:v>PC-PE-KG01-L22-20251026-AM-ORD-2025-00058-S02</x:v>
      </x:c>
      <x:c r="C1022" t="str">
        <x:v>PE-KG01-L22-20251026-AM-ORD-2025-00058</x:v>
      </x:c>
      <x:c r="D1022" t="str">
        <x:v>KG01</x:v>
      </x:c>
      <x:c r="E1022" s="62" t="n">
        <x:v>45956</x:v>
      </x:c>
      <x:c r="F1022" t="str">
        <x:v>AM</x:v>
      </x:c>
      <x:c r="G1022" t="str">
        <x:v>C</x:v>
      </x:c>
      <x:c r="H1022" t="n">
        <x:v>22</x:v>
      </x:c>
      <x:c r="I1022" t="str">
        <x:v>ORD-2025-00058</x:v>
      </x:c>
      <x:c r="J1022" t="n">
        <x:v>2</x:v>
      </x:c>
      <x:c r="K1022" t="n">
        <x:v>1</x:v>
      </x:c>
      <x:c r="L1022" t="str">
        <x:v>L22-S02-C1</x:v>
      </x:c>
      <x:c r="M1022" t="n">
        <x:v>1</x:v>
      </x:c>
      <x:c r="N1022" t="str">
        <x:v>DerivedFromCount</x:v>
      </x:c>
      <x:c r="O1022" t="str">
        <x:v>PLC-PRD-BOT-500-L22</x:v>
      </x:c>
      <x:c r="P1022" t="str">
        <x:v>OK</x:v>
      </x:c>
      <x:c r="Q1022" t="str">
        <x:v>OK</x:v>
      </x:c>
      <x:c r="R1022" t="str">
        <x:v>CHECK</x:v>
      </x:c>
      <x:c r="S1022" t="str">
        <x:v>OK</x:v>
      </x:c>
      <x:c r="T1022" t="n">
        <x:v>30</x:v>
      </x:c>
      <x:c r="U1022" t="str">
        <x:v>CHECK</x:v>
      </x:c>
      <x:c r="V1022" t="str">
        <x:v>CHECK</x:v>
      </x:c>
      <x:c r="W1022" t="str">
        <x:v>QUARANTINE</x:v>
      </x:c>
      <x:c r="X1022" t="str">
        <x:v>02_Supervisor_Log(4).xlsx</x:v>
      </x:c>
      <x:c r="Y1022" t="str">
        <x:v>ENH-20260830-01</x:v>
      </x:c>
      <x:c r="Z1022" t="str">
        <x:v>Active</x:v>
      </x:c>
      <x:c r="AA1022"/>
      <x:c r="AB1022"/>
      <x:c r="AC1022"/>
      <x:c r="AD1022"/>
    </x:row>
    <x:row r="1023">
      <x:c r="A1023" t="str">
        <x:v>PCC-PE-KG01-L22-20251026-AM-ORD-2025-00058-S02-C2</x:v>
      </x:c>
      <x:c r="B1023" t="str">
        <x:v>PC-PE-KG01-L22-20251026-AM-ORD-2025-00058-S02</x:v>
      </x:c>
      <x:c r="C1023" t="str">
        <x:v>PE-KG01-L22-20251026-AM-ORD-2025-00058</x:v>
      </x:c>
      <x:c r="D1023" t="str">
        <x:v>KG01</x:v>
      </x:c>
      <x:c r="E1023" s="62" t="n">
        <x:v>45956</x:v>
      </x:c>
      <x:c r="F1023" t="str">
        <x:v>AM</x:v>
      </x:c>
      <x:c r="G1023" t="str">
        <x:v>C</x:v>
      </x:c>
      <x:c r="H1023" t="n">
        <x:v>22</x:v>
      </x:c>
      <x:c r="I1023" t="str">
        <x:v>ORD-2025-00058</x:v>
      </x:c>
      <x:c r="J1023" t="n">
        <x:v>2</x:v>
      </x:c>
      <x:c r="K1023" t="n">
        <x:v>2</x:v>
      </x:c>
      <x:c r="L1023" t="str">
        <x:v>L22-S02-C2</x:v>
      </x:c>
      <x:c r="M1023" t="n">
        <x:v>1</x:v>
      </x:c>
      <x:c r="N1023" t="str">
        <x:v>DerivedFromCount</x:v>
      </x:c>
      <x:c r="O1023" t="str">
        <x:v>PLC-PRD-BOT-500-L22</x:v>
      </x:c>
      <x:c r="P1023" t="str">
        <x:v>OK</x:v>
      </x:c>
      <x:c r="Q1023" t="str">
        <x:v>OK</x:v>
      </x:c>
      <x:c r="R1023" t="str">
        <x:v>CHECK</x:v>
      </x:c>
      <x:c r="S1023" t="str">
        <x:v>OK</x:v>
      </x:c>
      <x:c r="T1023" t="n">
        <x:v>30</x:v>
      </x:c>
      <x:c r="U1023" t="str">
        <x:v>CHECK</x:v>
      </x:c>
      <x:c r="V1023" t="str">
        <x:v>CHECK</x:v>
      </x:c>
      <x:c r="W1023" t="str">
        <x:v>QUARANTINE</x:v>
      </x:c>
      <x:c r="X1023" t="str">
        <x:v>02_Supervisor_Log(4).xlsx</x:v>
      </x:c>
      <x:c r="Y1023" t="str">
        <x:v>ENH-20260830-01</x:v>
      </x:c>
      <x:c r="Z1023" t="str">
        <x:v>Active</x:v>
      </x:c>
      <x:c r="AA1023"/>
      <x:c r="AB1023"/>
      <x:c r="AC1023"/>
      <x:c r="AD1023"/>
    </x:row>
    <x:row r="1024">
      <x:c r="A1024" t="str">
        <x:v>PCC-PE-KG01-L22-20251026-AM-ORD-2025-00058-S02-C3</x:v>
      </x:c>
      <x:c r="B1024" t="str">
        <x:v>PC-PE-KG01-L22-20251026-AM-ORD-2025-00058-S02</x:v>
      </x:c>
      <x:c r="C1024" t="str">
        <x:v>PE-KG01-L22-20251026-AM-ORD-2025-00058</x:v>
      </x:c>
      <x:c r="D1024" t="str">
        <x:v>KG01</x:v>
      </x:c>
      <x:c r="E1024" s="62" t="n">
        <x:v>45956</x:v>
      </x:c>
      <x:c r="F1024" t="str">
        <x:v>AM</x:v>
      </x:c>
      <x:c r="G1024" t="str">
        <x:v>C</x:v>
      </x:c>
      <x:c r="H1024" t="n">
        <x:v>22</x:v>
      </x:c>
      <x:c r="I1024" t="str">
        <x:v>ORD-2025-00058</x:v>
      </x:c>
      <x:c r="J1024" t="n">
        <x:v>2</x:v>
      </x:c>
      <x:c r="K1024" t="n">
        <x:v>3</x:v>
      </x:c>
      <x:c r="L1024" t="str">
        <x:v>L22-S02-C3</x:v>
      </x:c>
      <x:c r="M1024" t="n">
        <x:v>1</x:v>
      </x:c>
      <x:c r="N1024" t="str">
        <x:v>DerivedFromCount</x:v>
      </x:c>
      <x:c r="O1024" t="str">
        <x:v>PLC-PRD-BOT-500-L22</x:v>
      </x:c>
      <x:c r="P1024" t="str">
        <x:v>OK</x:v>
      </x:c>
      <x:c r="Q1024" t="str">
        <x:v>OK</x:v>
      </x:c>
      <x:c r="R1024" t="str">
        <x:v>CHECK</x:v>
      </x:c>
      <x:c r="S1024" t="str">
        <x:v>OK</x:v>
      </x:c>
      <x:c r="T1024" t="n">
        <x:v>30</x:v>
      </x:c>
      <x:c r="U1024" t="str">
        <x:v>CHECK</x:v>
      </x:c>
      <x:c r="V1024" t="str">
        <x:v>CHECK</x:v>
      </x:c>
      <x:c r="W1024" t="str">
        <x:v>QUARANTINE</x:v>
      </x:c>
      <x:c r="X1024" t="str">
        <x:v>02_Supervisor_Log(4).xlsx</x:v>
      </x:c>
      <x:c r="Y1024" t="str">
        <x:v>ENH-20260830-01</x:v>
      </x:c>
      <x:c r="Z1024" t="str">
        <x:v>Active</x:v>
      </x:c>
      <x:c r="AA1024"/>
      <x:c r="AB1024"/>
      <x:c r="AC1024"/>
      <x:c r="AD1024"/>
    </x:row>
    <x:row r="1025">
      <x:c r="A1025" t="str">
        <x:v>PCC-PE-KG01-L22-20251026-AM-ORD-2025-00058-S03-C1</x:v>
      </x:c>
      <x:c r="B1025" t="str">
        <x:v>PC-PE-KG01-L22-20251026-AM-ORD-2025-00058-S03</x:v>
      </x:c>
      <x:c r="C1025" t="str">
        <x:v>PE-KG01-L22-20251026-AM-ORD-2025-00058</x:v>
      </x:c>
      <x:c r="D1025" t="str">
        <x:v>KG01</x:v>
      </x:c>
      <x:c r="E1025" s="62" t="n">
        <x:v>45956</x:v>
      </x:c>
      <x:c r="F1025" t="str">
        <x:v>AM</x:v>
      </x:c>
      <x:c r="G1025" t="str">
        <x:v>C</x:v>
      </x:c>
      <x:c r="H1025" t="n">
        <x:v>22</x:v>
      </x:c>
      <x:c r="I1025" t="str">
        <x:v>ORD-2025-00058</x:v>
      </x:c>
      <x:c r="J1025" t="n">
        <x:v>3</x:v>
      </x:c>
      <x:c r="K1025" t="n">
        <x:v>1</x:v>
      </x:c>
      <x:c r="L1025" t="str">
        <x:v>L22-S03-C1</x:v>
      </x:c>
      <x:c r="M1025" t="n">
        <x:v>1</x:v>
      </x:c>
      <x:c r="N1025" t="str">
        <x:v>DerivedFromCount</x:v>
      </x:c>
      <x:c r="O1025" t="str">
        <x:v>PLC-PRD-BOT-500-L22</x:v>
      </x:c>
      <x:c r="P1025" t="str">
        <x:v>OK</x:v>
      </x:c>
      <x:c r="Q1025" t="str">
        <x:v>OK</x:v>
      </x:c>
      <x:c r="R1025" t="str">
        <x:v>CHECK</x:v>
      </x:c>
      <x:c r="S1025" t="str">
        <x:v>OK</x:v>
      </x:c>
      <x:c r="T1025" t="n">
        <x:v>30</x:v>
      </x:c>
      <x:c r="U1025" t="str">
        <x:v>CHECK</x:v>
      </x:c>
      <x:c r="V1025" t="str">
        <x:v>CHECK</x:v>
      </x:c>
      <x:c r="W1025" t="str">
        <x:v>QUARANTINE</x:v>
      </x:c>
      <x:c r="X1025" t="str">
        <x:v>02_Supervisor_Log(4).xlsx</x:v>
      </x:c>
      <x:c r="Y1025" t="str">
        <x:v>ENH-20260830-01</x:v>
      </x:c>
      <x:c r="Z1025" t="str">
        <x:v>Active</x:v>
      </x:c>
      <x:c r="AA1025"/>
      <x:c r="AB1025"/>
      <x:c r="AC1025"/>
      <x:c r="AD1025"/>
    </x:row>
    <x:row r="1026">
      <x:c r="A1026" t="str">
        <x:v>PCC-PE-KG01-L22-20251026-AM-ORD-2025-00058-S03-C2</x:v>
      </x:c>
      <x:c r="B1026" t="str">
        <x:v>PC-PE-KG01-L22-20251026-AM-ORD-2025-00058-S03</x:v>
      </x:c>
      <x:c r="C1026" t="str">
        <x:v>PE-KG01-L22-20251026-AM-ORD-2025-00058</x:v>
      </x:c>
      <x:c r="D1026" t="str">
        <x:v>KG01</x:v>
      </x:c>
      <x:c r="E1026" s="62" t="n">
        <x:v>45956</x:v>
      </x:c>
      <x:c r="F1026" t="str">
        <x:v>AM</x:v>
      </x:c>
      <x:c r="G1026" t="str">
        <x:v>C</x:v>
      </x:c>
      <x:c r="H1026" t="n">
        <x:v>22</x:v>
      </x:c>
      <x:c r="I1026" t="str">
        <x:v>ORD-2025-00058</x:v>
      </x:c>
      <x:c r="J1026" t="n">
        <x:v>3</x:v>
      </x:c>
      <x:c r="K1026" t="n">
        <x:v>2</x:v>
      </x:c>
      <x:c r="L1026" t="str">
        <x:v>L22-S03-C2</x:v>
      </x:c>
      <x:c r="M1026" t="n">
        <x:v>1</x:v>
      </x:c>
      <x:c r="N1026" t="str">
        <x:v>DerivedFromCount</x:v>
      </x:c>
      <x:c r="O1026" t="str">
        <x:v>PLC-PRD-BOT-500-L22</x:v>
      </x:c>
      <x:c r="P1026" t="str">
        <x:v>OK</x:v>
      </x:c>
      <x:c r="Q1026" t="str">
        <x:v>OK</x:v>
      </x:c>
      <x:c r="R1026" t="str">
        <x:v>CHECK</x:v>
      </x:c>
      <x:c r="S1026" t="str">
        <x:v>OK</x:v>
      </x:c>
      <x:c r="T1026" t="n">
        <x:v>30</x:v>
      </x:c>
      <x:c r="U1026" t="str">
        <x:v>CHECK</x:v>
      </x:c>
      <x:c r="V1026" t="str">
        <x:v>CHECK</x:v>
      </x:c>
      <x:c r="W1026" t="str">
        <x:v>QUARANTINE</x:v>
      </x:c>
      <x:c r="X1026" t="str">
        <x:v>02_Supervisor_Log(4).xlsx</x:v>
      </x:c>
      <x:c r="Y1026" t="str">
        <x:v>ENH-20260830-01</x:v>
      </x:c>
      <x:c r="Z1026" t="str">
        <x:v>Active</x:v>
      </x:c>
      <x:c r="AA1026"/>
      <x:c r="AB1026"/>
      <x:c r="AC1026"/>
      <x:c r="AD1026"/>
    </x:row>
    <x:row r="1027">
      <x:c r="A1027" t="str">
        <x:v>PCC-PE-KG01-L22-20251026-AM-ORD-2025-00058-S03-C3</x:v>
      </x:c>
      <x:c r="B1027" t="str">
        <x:v>PC-PE-KG01-L22-20251026-AM-ORD-2025-00058-S03</x:v>
      </x:c>
      <x:c r="C1027" t="str">
        <x:v>PE-KG01-L22-20251026-AM-ORD-2025-00058</x:v>
      </x:c>
      <x:c r="D1027" t="str">
        <x:v>KG01</x:v>
      </x:c>
      <x:c r="E1027" s="62" t="n">
        <x:v>45956</x:v>
      </x:c>
      <x:c r="F1027" t="str">
        <x:v>AM</x:v>
      </x:c>
      <x:c r="G1027" t="str">
        <x:v>C</x:v>
      </x:c>
      <x:c r="H1027" t="n">
        <x:v>22</x:v>
      </x:c>
      <x:c r="I1027" t="str">
        <x:v>ORD-2025-00058</x:v>
      </x:c>
      <x:c r="J1027" t="n">
        <x:v>3</x:v>
      </x:c>
      <x:c r="K1027" t="n">
        <x:v>3</x:v>
      </x:c>
      <x:c r="L1027" t="str">
        <x:v>L22-S03-C3</x:v>
      </x:c>
      <x:c r="M1027" t="n">
        <x:v>1</x:v>
      </x:c>
      <x:c r="N1027" t="str">
        <x:v>DerivedFromCount</x:v>
      </x:c>
      <x:c r="O1027" t="str">
        <x:v>PLC-PRD-BOT-500-L22</x:v>
      </x:c>
      <x:c r="P1027" t="str">
        <x:v>OK</x:v>
      </x:c>
      <x:c r="Q1027" t="str">
        <x:v>OK</x:v>
      </x:c>
      <x:c r="R1027" t="str">
        <x:v>CHECK</x:v>
      </x:c>
      <x:c r="S1027" t="str">
        <x:v>OK</x:v>
      </x:c>
      <x:c r="T1027" t="n">
        <x:v>30</x:v>
      </x:c>
      <x:c r="U1027" t="str">
        <x:v>CHECK</x:v>
      </x:c>
      <x:c r="V1027" t="str">
        <x:v>CHECK</x:v>
      </x:c>
      <x:c r="W1027" t="str">
        <x:v>QUARANTINE</x:v>
      </x:c>
      <x:c r="X1027" t="str">
        <x:v>02_Supervisor_Log(4).xlsx</x:v>
      </x:c>
      <x:c r="Y1027" t="str">
        <x:v>ENH-20260830-01</x:v>
      </x:c>
      <x:c r="Z1027" t="str">
        <x:v>Active</x:v>
      </x:c>
      <x:c r="AA1027"/>
      <x:c r="AB1027"/>
      <x:c r="AC1027"/>
      <x:c r="AD1027"/>
    </x:row>
    <x:row r="1028">
      <x:c r="A1028" t="str">
        <x:v>PCC-PE-KG01-L22-20251026-AM-ORD-2025-00058-S04-C1</x:v>
      </x:c>
      <x:c r="B1028" t="str">
        <x:v>PC-PE-KG01-L22-20251026-AM-ORD-2025-00058-S04</x:v>
      </x:c>
      <x:c r="C1028" t="str">
        <x:v>PE-KG01-L22-20251026-AM-ORD-2025-00058</x:v>
      </x:c>
      <x:c r="D1028" t="str">
        <x:v>KG01</x:v>
      </x:c>
      <x:c r="E1028" s="62" t="n">
        <x:v>45956</x:v>
      </x:c>
      <x:c r="F1028" t="str">
        <x:v>AM</x:v>
      </x:c>
      <x:c r="G1028" t="str">
        <x:v>C</x:v>
      </x:c>
      <x:c r="H1028" t="n">
        <x:v>22</x:v>
      </x:c>
      <x:c r="I1028" t="str">
        <x:v>ORD-2025-00058</x:v>
      </x:c>
      <x:c r="J1028" t="n">
        <x:v>4</x:v>
      </x:c>
      <x:c r="K1028" t="n">
        <x:v>1</x:v>
      </x:c>
      <x:c r="L1028" t="str">
        <x:v>L22-S04-C1</x:v>
      </x:c>
      <x:c r="M1028" t="n">
        <x:v>1</x:v>
      </x:c>
      <x:c r="N1028" t="str">
        <x:v>DerivedFromCount</x:v>
      </x:c>
      <x:c r="O1028" t="str">
        <x:v>PLC-PRD-BOT-500-L22</x:v>
      </x:c>
      <x:c r="P1028" t="str">
        <x:v>OK</x:v>
      </x:c>
      <x:c r="Q1028" t="str">
        <x:v>OK</x:v>
      </x:c>
      <x:c r="R1028" t="str">
        <x:v>CHECK</x:v>
      </x:c>
      <x:c r="S1028" t="str">
        <x:v>OK</x:v>
      </x:c>
      <x:c r="T1028" t="n">
        <x:v>30</x:v>
      </x:c>
      <x:c r="U1028" t="str">
        <x:v>CHECK</x:v>
      </x:c>
      <x:c r="V1028" t="str">
        <x:v>CHECK</x:v>
      </x:c>
      <x:c r="W1028" t="str">
        <x:v>QUARANTINE</x:v>
      </x:c>
      <x:c r="X1028" t="str">
        <x:v>02_Supervisor_Log(4).xlsx</x:v>
      </x:c>
      <x:c r="Y1028" t="str">
        <x:v>ENH-20260830-01</x:v>
      </x:c>
      <x:c r="Z1028" t="str">
        <x:v>Active</x:v>
      </x:c>
      <x:c r="AA1028"/>
      <x:c r="AB1028"/>
      <x:c r="AC1028"/>
      <x:c r="AD1028"/>
    </x:row>
    <x:row r="1029">
      <x:c r="A1029" t="str">
        <x:v>PCC-PE-KG01-L22-20251026-AM-ORD-2025-00058-S04-C2</x:v>
      </x:c>
      <x:c r="B1029" t="str">
        <x:v>PC-PE-KG01-L22-20251026-AM-ORD-2025-00058-S04</x:v>
      </x:c>
      <x:c r="C1029" t="str">
        <x:v>PE-KG01-L22-20251026-AM-ORD-2025-00058</x:v>
      </x:c>
      <x:c r="D1029" t="str">
        <x:v>KG01</x:v>
      </x:c>
      <x:c r="E1029" s="62" t="n">
        <x:v>45956</x:v>
      </x:c>
      <x:c r="F1029" t="str">
        <x:v>AM</x:v>
      </x:c>
      <x:c r="G1029" t="str">
        <x:v>C</x:v>
      </x:c>
      <x:c r="H1029" t="n">
        <x:v>22</x:v>
      </x:c>
      <x:c r="I1029" t="str">
        <x:v>ORD-2025-00058</x:v>
      </x:c>
      <x:c r="J1029" t="n">
        <x:v>4</x:v>
      </x:c>
      <x:c r="K1029" t="n">
        <x:v>2</x:v>
      </x:c>
      <x:c r="L1029" t="str">
        <x:v>L22-S04-C2</x:v>
      </x:c>
      <x:c r="M1029" t="n">
        <x:v>1</x:v>
      </x:c>
      <x:c r="N1029" t="str">
        <x:v>DerivedFromCount</x:v>
      </x:c>
      <x:c r="O1029" t="str">
        <x:v>PLC-PRD-BOT-500-L22</x:v>
      </x:c>
      <x:c r="P1029" t="str">
        <x:v>OK</x:v>
      </x:c>
      <x:c r="Q1029" t="str">
        <x:v>OK</x:v>
      </x:c>
      <x:c r="R1029" t="str">
        <x:v>CHECK</x:v>
      </x:c>
      <x:c r="S1029" t="str">
        <x:v>OK</x:v>
      </x:c>
      <x:c r="T1029" t="n">
        <x:v>30</x:v>
      </x:c>
      <x:c r="U1029" t="str">
        <x:v>CHECK</x:v>
      </x:c>
      <x:c r="V1029" t="str">
        <x:v>CHECK</x:v>
      </x:c>
      <x:c r="W1029" t="str">
        <x:v>QUARANTINE</x:v>
      </x:c>
      <x:c r="X1029" t="str">
        <x:v>02_Supervisor_Log(4).xlsx</x:v>
      </x:c>
      <x:c r="Y1029" t="str">
        <x:v>ENH-20260830-01</x:v>
      </x:c>
      <x:c r="Z1029" t="str">
        <x:v>Active</x:v>
      </x:c>
      <x:c r="AA1029"/>
      <x:c r="AB1029"/>
      <x:c r="AC1029"/>
      <x:c r="AD1029"/>
    </x:row>
    <x:row r="1030">
      <x:c r="A1030" t="str">
        <x:v>PCC-PE-KG01-L22-20251026-AM-ORD-2025-00058-S04-C3</x:v>
      </x:c>
      <x:c r="B1030" t="str">
        <x:v>PC-PE-KG01-L22-20251026-AM-ORD-2025-00058-S04</x:v>
      </x:c>
      <x:c r="C1030" t="str">
        <x:v>PE-KG01-L22-20251026-AM-ORD-2025-00058</x:v>
      </x:c>
      <x:c r="D1030" t="str">
        <x:v>KG01</x:v>
      </x:c>
      <x:c r="E1030" s="62" t="n">
        <x:v>45956</x:v>
      </x:c>
      <x:c r="F1030" t="str">
        <x:v>AM</x:v>
      </x:c>
      <x:c r="G1030" t="str">
        <x:v>C</x:v>
      </x:c>
      <x:c r="H1030" t="n">
        <x:v>22</x:v>
      </x:c>
      <x:c r="I1030" t="str">
        <x:v>ORD-2025-00058</x:v>
      </x:c>
      <x:c r="J1030" t="n">
        <x:v>4</x:v>
      </x:c>
      <x:c r="K1030" t="n">
        <x:v>3</x:v>
      </x:c>
      <x:c r="L1030" t="str">
        <x:v>L22-S04-C3</x:v>
      </x:c>
      <x:c r="M1030" t="n">
        <x:v>1</x:v>
      </x:c>
      <x:c r="N1030" t="str">
        <x:v>DerivedFromCount</x:v>
      </x:c>
      <x:c r="O1030" t="str">
        <x:v>PLC-PRD-BOT-500-L22</x:v>
      </x:c>
      <x:c r="P1030" t="str">
        <x:v>OK</x:v>
      </x:c>
      <x:c r="Q1030" t="str">
        <x:v>OK</x:v>
      </x:c>
      <x:c r="R1030" t="str">
        <x:v>CHECK</x:v>
      </x:c>
      <x:c r="S1030" t="str">
        <x:v>OK</x:v>
      </x:c>
      <x:c r="T1030" t="n">
        <x:v>30</x:v>
      </x:c>
      <x:c r="U1030" t="str">
        <x:v>CHECK</x:v>
      </x:c>
      <x:c r="V1030" t="str">
        <x:v>CHECK</x:v>
      </x:c>
      <x:c r="W1030" t="str">
        <x:v>QUARANTINE</x:v>
      </x:c>
      <x:c r="X1030" t="str">
        <x:v>02_Supervisor_Log(4).xlsx</x:v>
      </x:c>
      <x:c r="Y1030" t="str">
        <x:v>ENH-20260830-01</x:v>
      </x:c>
      <x:c r="Z1030" t="str">
        <x:v>Active</x:v>
      </x:c>
      <x:c r="AA1030"/>
      <x:c r="AB1030"/>
      <x:c r="AC1030"/>
      <x:c r="AD1030"/>
    </x:row>
    <x:row r="1031">
      <x:c r="A1031" t="str">
        <x:v>PCC-PE-KG01-L22-20251026-AM-ORD-2025-00058-S05-C1</x:v>
      </x:c>
      <x:c r="B1031" t="str">
        <x:v>PC-PE-KG01-L22-20251026-AM-ORD-2025-00058-S05</x:v>
      </x:c>
      <x:c r="C1031" t="str">
        <x:v>PE-KG01-L22-20251026-AM-ORD-2025-00058</x:v>
      </x:c>
      <x:c r="D1031" t="str">
        <x:v>KG01</x:v>
      </x:c>
      <x:c r="E1031" s="62" t="n">
        <x:v>45956</x:v>
      </x:c>
      <x:c r="F1031" t="str">
        <x:v>AM</x:v>
      </x:c>
      <x:c r="G1031" t="str">
        <x:v>C</x:v>
      </x:c>
      <x:c r="H1031" t="n">
        <x:v>22</x:v>
      </x:c>
      <x:c r="I1031" t="str">
        <x:v>ORD-2025-00058</x:v>
      </x:c>
      <x:c r="J1031" t="n">
        <x:v>5</x:v>
      </x:c>
      <x:c r="K1031" t="n">
        <x:v>1</x:v>
      </x:c>
      <x:c r="L1031" t="str">
        <x:v>L22-S05-C1</x:v>
      </x:c>
      <x:c r="M1031" t="n">
        <x:v>1</x:v>
      </x:c>
      <x:c r="N1031" t="str">
        <x:v>DerivedFromCount</x:v>
      </x:c>
      <x:c r="O1031" t="str">
        <x:v>PLC-PRD-BOT-500-L22</x:v>
      </x:c>
      <x:c r="P1031" t="str">
        <x:v>OK</x:v>
      </x:c>
      <x:c r="Q1031" t="str">
        <x:v>OK</x:v>
      </x:c>
      <x:c r="R1031" t="str">
        <x:v>CHECK</x:v>
      </x:c>
      <x:c r="S1031" t="str">
        <x:v>OK</x:v>
      </x:c>
      <x:c r="T1031" t="n">
        <x:v>30</x:v>
      </x:c>
      <x:c r="U1031" t="str">
        <x:v>CHECK</x:v>
      </x:c>
      <x:c r="V1031" t="str">
        <x:v>CHECK</x:v>
      </x:c>
      <x:c r="W1031" t="str">
        <x:v>QUARANTINE</x:v>
      </x:c>
      <x:c r="X1031" t="str">
        <x:v>02_Supervisor_Log(4).xlsx</x:v>
      </x:c>
      <x:c r="Y1031" t="str">
        <x:v>ENH-20260830-01</x:v>
      </x:c>
      <x:c r="Z1031" t="str">
        <x:v>Active</x:v>
      </x:c>
      <x:c r="AA1031"/>
      <x:c r="AB1031"/>
      <x:c r="AC1031"/>
      <x:c r="AD1031"/>
    </x:row>
    <x:row r="1032">
      <x:c r="A1032" t="str">
        <x:v>PCC-PE-KG01-L22-20251026-AM-ORD-2025-00058-S05-C2</x:v>
      </x:c>
      <x:c r="B1032" t="str">
        <x:v>PC-PE-KG01-L22-20251026-AM-ORD-2025-00058-S05</x:v>
      </x:c>
      <x:c r="C1032" t="str">
        <x:v>PE-KG01-L22-20251026-AM-ORD-2025-00058</x:v>
      </x:c>
      <x:c r="D1032" t="str">
        <x:v>KG01</x:v>
      </x:c>
      <x:c r="E1032" s="62" t="n">
        <x:v>45956</x:v>
      </x:c>
      <x:c r="F1032" t="str">
        <x:v>AM</x:v>
      </x:c>
      <x:c r="G1032" t="str">
        <x:v>C</x:v>
      </x:c>
      <x:c r="H1032" t="n">
        <x:v>22</x:v>
      </x:c>
      <x:c r="I1032" t="str">
        <x:v>ORD-2025-00058</x:v>
      </x:c>
      <x:c r="J1032" t="n">
        <x:v>5</x:v>
      </x:c>
      <x:c r="K1032" t="n">
        <x:v>2</x:v>
      </x:c>
      <x:c r="L1032" t="str">
        <x:v>L22-S05-C2</x:v>
      </x:c>
      <x:c r="M1032" t="n">
        <x:v>1</x:v>
      </x:c>
      <x:c r="N1032" t="str">
        <x:v>DerivedFromCount</x:v>
      </x:c>
      <x:c r="O1032" t="str">
        <x:v>PLC-PRD-BOT-500-L22</x:v>
      </x:c>
      <x:c r="P1032" t="str">
        <x:v>OK</x:v>
      </x:c>
      <x:c r="Q1032" t="str">
        <x:v>OK</x:v>
      </x:c>
      <x:c r="R1032" t="str">
        <x:v>CHECK</x:v>
      </x:c>
      <x:c r="S1032" t="str">
        <x:v>OK</x:v>
      </x:c>
      <x:c r="T1032" t="n">
        <x:v>30</x:v>
      </x:c>
      <x:c r="U1032" t="str">
        <x:v>CHECK</x:v>
      </x:c>
      <x:c r="V1032" t="str">
        <x:v>CHECK</x:v>
      </x:c>
      <x:c r="W1032" t="str">
        <x:v>QUARANTINE</x:v>
      </x:c>
      <x:c r="X1032" t="str">
        <x:v>02_Supervisor_Log(4).xlsx</x:v>
      </x:c>
      <x:c r="Y1032" t="str">
        <x:v>ENH-20260830-01</x:v>
      </x:c>
      <x:c r="Z1032" t="str">
        <x:v>Active</x:v>
      </x:c>
      <x:c r="AA1032"/>
      <x:c r="AB1032"/>
      <x:c r="AC1032"/>
      <x:c r="AD1032"/>
    </x:row>
    <x:row r="1033">
      <x:c r="A1033" t="str">
        <x:v>PCC-PE-KG01-L22-20251026-AM-ORD-2025-00058-S05-C3</x:v>
      </x:c>
      <x:c r="B1033" t="str">
        <x:v>PC-PE-KG01-L22-20251026-AM-ORD-2025-00058-S05</x:v>
      </x:c>
      <x:c r="C1033" t="str">
        <x:v>PE-KG01-L22-20251026-AM-ORD-2025-00058</x:v>
      </x:c>
      <x:c r="D1033" t="str">
        <x:v>KG01</x:v>
      </x:c>
      <x:c r="E1033" s="62" t="n">
        <x:v>45956</x:v>
      </x:c>
      <x:c r="F1033" t="str">
        <x:v>AM</x:v>
      </x:c>
      <x:c r="G1033" t="str">
        <x:v>C</x:v>
      </x:c>
      <x:c r="H1033" t="n">
        <x:v>22</x:v>
      </x:c>
      <x:c r="I1033" t="str">
        <x:v>ORD-2025-00058</x:v>
      </x:c>
      <x:c r="J1033" t="n">
        <x:v>5</x:v>
      </x:c>
      <x:c r="K1033" t="n">
        <x:v>3</x:v>
      </x:c>
      <x:c r="L1033" t="str">
        <x:v>L22-S05-C3</x:v>
      </x:c>
      <x:c r="M1033" t="n">
        <x:v>1</x:v>
      </x:c>
      <x:c r="N1033" t="str">
        <x:v>DerivedFromCount</x:v>
      </x:c>
      <x:c r="O1033" t="str">
        <x:v>PLC-PRD-BOT-500-L22</x:v>
      </x:c>
      <x:c r="P1033" t="str">
        <x:v>OK</x:v>
      </x:c>
      <x:c r="Q1033" t="str">
        <x:v>OK</x:v>
      </x:c>
      <x:c r="R1033" t="str">
        <x:v>CHECK</x:v>
      </x:c>
      <x:c r="S1033" t="str">
        <x:v>OK</x:v>
      </x:c>
      <x:c r="T1033" t="n">
        <x:v>30</x:v>
      </x:c>
      <x:c r="U1033" t="str">
        <x:v>CHECK</x:v>
      </x:c>
      <x:c r="V1033" t="str">
        <x:v>CHECK</x:v>
      </x:c>
      <x:c r="W1033" t="str">
        <x:v>QUARANTINE</x:v>
      </x:c>
      <x:c r="X1033" t="str">
        <x:v>02_Supervisor_Log(4).xlsx</x:v>
      </x:c>
      <x:c r="Y1033" t="str">
        <x:v>ENH-20260830-01</x:v>
      </x:c>
      <x:c r="Z1033" t="str">
        <x:v>Active</x:v>
      </x:c>
      <x:c r="AA1033"/>
      <x:c r="AB1033"/>
      <x:c r="AC1033"/>
      <x:c r="AD1033"/>
    </x:row>
    <x:row r="1034">
      <x:c r="A1034" t="str">
        <x:v>PCC-PE-KG01-L22-20251026-AM-ORD-2025-00058-S06-C1</x:v>
      </x:c>
      <x:c r="B1034" t="str">
        <x:v>PC-PE-KG01-L22-20251026-AM-ORD-2025-00058-S06</x:v>
      </x:c>
      <x:c r="C1034" t="str">
        <x:v>PE-KG01-L22-20251026-AM-ORD-2025-00058</x:v>
      </x:c>
      <x:c r="D1034" t="str">
        <x:v>KG01</x:v>
      </x:c>
      <x:c r="E1034" s="62" t="n">
        <x:v>45956</x:v>
      </x:c>
      <x:c r="F1034" t="str">
        <x:v>AM</x:v>
      </x:c>
      <x:c r="G1034" t="str">
        <x:v>C</x:v>
      </x:c>
      <x:c r="H1034" t="n">
        <x:v>22</x:v>
      </x:c>
      <x:c r="I1034" t="str">
        <x:v>ORD-2025-00058</x:v>
      </x:c>
      <x:c r="J1034" t="n">
        <x:v>6</x:v>
      </x:c>
      <x:c r="K1034" t="n">
        <x:v>1</x:v>
      </x:c>
      <x:c r="L1034" t="str">
        <x:v>L22-S06-C1</x:v>
      </x:c>
      <x:c r="M1034" t="n">
        <x:v>1</x:v>
      </x:c>
      <x:c r="N1034" t="str">
        <x:v>DerivedFromCount</x:v>
      </x:c>
      <x:c r="O1034" t="str">
        <x:v>PLC-PRD-BOT-500-L22</x:v>
      </x:c>
      <x:c r="P1034" t="str">
        <x:v>OK</x:v>
      </x:c>
      <x:c r="Q1034" t="str">
        <x:v>OK</x:v>
      </x:c>
      <x:c r="R1034" t="str">
        <x:v>CHECK</x:v>
      </x:c>
      <x:c r="S1034" t="str">
        <x:v>OK</x:v>
      </x:c>
      <x:c r="T1034" t="n">
        <x:v>30</x:v>
      </x:c>
      <x:c r="U1034" t="str">
        <x:v>CHECK</x:v>
      </x:c>
      <x:c r="V1034" t="str">
        <x:v>CHECK</x:v>
      </x:c>
      <x:c r="W1034" t="str">
        <x:v>QUARANTINE</x:v>
      </x:c>
      <x:c r="X1034" t="str">
        <x:v>02_Supervisor_Log(4).xlsx</x:v>
      </x:c>
      <x:c r="Y1034" t="str">
        <x:v>ENH-20260830-01</x:v>
      </x:c>
      <x:c r="Z1034" t="str">
        <x:v>Active</x:v>
      </x:c>
      <x:c r="AA1034"/>
      <x:c r="AB1034"/>
      <x:c r="AC1034"/>
      <x:c r="AD1034"/>
    </x:row>
    <x:row r="1035">
      <x:c r="A1035" t="str">
        <x:v>PCC-PE-KG01-L22-20251026-AM-ORD-2025-00058-S06-C2</x:v>
      </x:c>
      <x:c r="B1035" t="str">
        <x:v>PC-PE-KG01-L22-20251026-AM-ORD-2025-00058-S06</x:v>
      </x:c>
      <x:c r="C1035" t="str">
        <x:v>PE-KG01-L22-20251026-AM-ORD-2025-00058</x:v>
      </x:c>
      <x:c r="D1035" t="str">
        <x:v>KG01</x:v>
      </x:c>
      <x:c r="E1035" s="62" t="n">
        <x:v>45956</x:v>
      </x:c>
      <x:c r="F1035" t="str">
        <x:v>AM</x:v>
      </x:c>
      <x:c r="G1035" t="str">
        <x:v>C</x:v>
      </x:c>
      <x:c r="H1035" t="n">
        <x:v>22</x:v>
      </x:c>
      <x:c r="I1035" t="str">
        <x:v>ORD-2025-00058</x:v>
      </x:c>
      <x:c r="J1035" t="n">
        <x:v>6</x:v>
      </x:c>
      <x:c r="K1035" t="n">
        <x:v>2</x:v>
      </x:c>
      <x:c r="L1035" t="str">
        <x:v>L22-S06-C2</x:v>
      </x:c>
      <x:c r="M1035" t="n">
        <x:v>1</x:v>
      </x:c>
      <x:c r="N1035" t="str">
        <x:v>DerivedFromCount</x:v>
      </x:c>
      <x:c r="O1035" t="str">
        <x:v>PLC-PRD-BOT-500-L22</x:v>
      </x:c>
      <x:c r="P1035" t="str">
        <x:v>OK</x:v>
      </x:c>
      <x:c r="Q1035" t="str">
        <x:v>OK</x:v>
      </x:c>
      <x:c r="R1035" t="str">
        <x:v>CHECK</x:v>
      </x:c>
      <x:c r="S1035" t="str">
        <x:v>OK</x:v>
      </x:c>
      <x:c r="T1035" t="n">
        <x:v>30</x:v>
      </x:c>
      <x:c r="U1035" t="str">
        <x:v>CHECK</x:v>
      </x:c>
      <x:c r="V1035" t="str">
        <x:v>CHECK</x:v>
      </x:c>
      <x:c r="W1035" t="str">
        <x:v>QUARANTINE</x:v>
      </x:c>
      <x:c r="X1035" t="str">
        <x:v>02_Supervisor_Log(4).xlsx</x:v>
      </x:c>
      <x:c r="Y1035" t="str">
        <x:v>ENH-20260830-01</x:v>
      </x:c>
      <x:c r="Z1035" t="str">
        <x:v>Active</x:v>
      </x:c>
      <x:c r="AA1035"/>
      <x:c r="AB1035"/>
      <x:c r="AC1035"/>
      <x:c r="AD1035"/>
    </x:row>
    <x:row r="1036">
      <x:c r="A1036" t="str">
        <x:v>PCC-PE-KG01-L22-20251026-AM-ORD-2025-00058-S06-C3</x:v>
      </x:c>
      <x:c r="B1036" t="str">
        <x:v>PC-PE-KG01-L22-20251026-AM-ORD-2025-00058-S06</x:v>
      </x:c>
      <x:c r="C1036" t="str">
        <x:v>PE-KG01-L22-20251026-AM-ORD-2025-00058</x:v>
      </x:c>
      <x:c r="D1036" t="str">
        <x:v>KG01</x:v>
      </x:c>
      <x:c r="E1036" s="62" t="n">
        <x:v>45956</x:v>
      </x:c>
      <x:c r="F1036" t="str">
        <x:v>AM</x:v>
      </x:c>
      <x:c r="G1036" t="str">
        <x:v>C</x:v>
      </x:c>
      <x:c r="H1036" t="n">
        <x:v>22</x:v>
      </x:c>
      <x:c r="I1036" t="str">
        <x:v>ORD-2025-00058</x:v>
      </x:c>
      <x:c r="J1036" t="n">
        <x:v>6</x:v>
      </x:c>
      <x:c r="K1036" t="n">
        <x:v>3</x:v>
      </x:c>
      <x:c r="L1036" t="str">
        <x:v>L22-S06-C3</x:v>
      </x:c>
      <x:c r="M1036" t="n">
        <x:v>1</x:v>
      </x:c>
      <x:c r="N1036" t="str">
        <x:v>DerivedFromCount</x:v>
      </x:c>
      <x:c r="O1036" t="str">
        <x:v>PLC-PRD-BOT-500-L22</x:v>
      </x:c>
      <x:c r="P1036" t="str">
        <x:v>OK</x:v>
      </x:c>
      <x:c r="Q1036" t="str">
        <x:v>OK</x:v>
      </x:c>
      <x:c r="R1036" t="str">
        <x:v>CHECK</x:v>
      </x:c>
      <x:c r="S1036" t="str">
        <x:v>OK</x:v>
      </x:c>
      <x:c r="T1036" t="n">
        <x:v>30</x:v>
      </x:c>
      <x:c r="U1036" t="str">
        <x:v>CHECK</x:v>
      </x:c>
      <x:c r="V1036" t="str">
        <x:v>CHECK</x:v>
      </x:c>
      <x:c r="W1036" t="str">
        <x:v>QUARANTINE</x:v>
      </x:c>
      <x:c r="X1036" t="str">
        <x:v>02_Supervisor_Log(4).xlsx</x:v>
      </x:c>
      <x:c r="Y1036" t="str">
        <x:v>ENH-20260830-01</x:v>
      </x:c>
      <x:c r="Z1036" t="str">
        <x:v>Active</x:v>
      </x:c>
      <x:c r="AA1036"/>
      <x:c r="AB1036"/>
      <x:c r="AC1036"/>
      <x:c r="AD1036"/>
    </x:row>
    <x:row r="1037">
      <x:c r="A1037" t="str">
        <x:v>PCC-PE-KG01-L22-20251026-AM-ORD-2025-00058-S07-C1</x:v>
      </x:c>
      <x:c r="B1037" t="str">
        <x:v>PC-PE-KG01-L22-20251026-AM-ORD-2025-00058-S07</x:v>
      </x:c>
      <x:c r="C1037" t="str">
        <x:v>PE-KG01-L22-20251026-AM-ORD-2025-00058</x:v>
      </x:c>
      <x:c r="D1037" t="str">
        <x:v>KG01</x:v>
      </x:c>
      <x:c r="E1037" s="62" t="n">
        <x:v>45956</x:v>
      </x:c>
      <x:c r="F1037" t="str">
        <x:v>AM</x:v>
      </x:c>
      <x:c r="G1037" t="str">
        <x:v>C</x:v>
      </x:c>
      <x:c r="H1037" t="n">
        <x:v>22</x:v>
      </x:c>
      <x:c r="I1037" t="str">
        <x:v>ORD-2025-00058</x:v>
      </x:c>
      <x:c r="J1037" t="n">
        <x:v>7</x:v>
      </x:c>
      <x:c r="K1037" t="n">
        <x:v>1</x:v>
      </x:c>
      <x:c r="L1037" t="str">
        <x:v>L22-S07-C1</x:v>
      </x:c>
      <x:c r="M1037" t="n">
        <x:v>1</x:v>
      </x:c>
      <x:c r="N1037" t="str">
        <x:v>DerivedFromCount</x:v>
      </x:c>
      <x:c r="O1037" t="str">
        <x:v>PLC-PRD-BOT-500-L22</x:v>
      </x:c>
      <x:c r="P1037" t="str">
        <x:v>OK</x:v>
      </x:c>
      <x:c r="Q1037" t="str">
        <x:v>OK</x:v>
      </x:c>
      <x:c r="R1037" t="str">
        <x:v>CHECK</x:v>
      </x:c>
      <x:c r="S1037" t="str">
        <x:v>OK</x:v>
      </x:c>
      <x:c r="T1037" t="n">
        <x:v>30</x:v>
      </x:c>
      <x:c r="U1037" t="str">
        <x:v>CHECK</x:v>
      </x:c>
      <x:c r="V1037" t="str">
        <x:v>CHECK</x:v>
      </x:c>
      <x:c r="W1037" t="str">
        <x:v>QUARANTINE</x:v>
      </x:c>
      <x:c r="X1037" t="str">
        <x:v>02_Supervisor_Log(4).xlsx</x:v>
      </x:c>
      <x:c r="Y1037" t="str">
        <x:v>ENH-20260830-01</x:v>
      </x:c>
      <x:c r="Z1037" t="str">
        <x:v>Active</x:v>
      </x:c>
      <x:c r="AA1037"/>
      <x:c r="AB1037"/>
      <x:c r="AC1037"/>
      <x:c r="AD1037"/>
    </x:row>
    <x:row r="1038">
      <x:c r="A1038" t="str">
        <x:v>PCC-PE-KG01-L22-20251026-AM-ORD-2025-00058-S07-C2</x:v>
      </x:c>
      <x:c r="B1038" t="str">
        <x:v>PC-PE-KG01-L22-20251026-AM-ORD-2025-00058-S07</x:v>
      </x:c>
      <x:c r="C1038" t="str">
        <x:v>PE-KG01-L22-20251026-AM-ORD-2025-00058</x:v>
      </x:c>
      <x:c r="D1038" t="str">
        <x:v>KG01</x:v>
      </x:c>
      <x:c r="E1038" s="62" t="n">
        <x:v>45956</x:v>
      </x:c>
      <x:c r="F1038" t="str">
        <x:v>AM</x:v>
      </x:c>
      <x:c r="G1038" t="str">
        <x:v>C</x:v>
      </x:c>
      <x:c r="H1038" t="n">
        <x:v>22</x:v>
      </x:c>
      <x:c r="I1038" t="str">
        <x:v>ORD-2025-00058</x:v>
      </x:c>
      <x:c r="J1038" t="n">
        <x:v>7</x:v>
      </x:c>
      <x:c r="K1038" t="n">
        <x:v>2</x:v>
      </x:c>
      <x:c r="L1038" t="str">
        <x:v>L22-S07-C2</x:v>
      </x:c>
      <x:c r="M1038" t="n">
        <x:v>1</x:v>
      </x:c>
      <x:c r="N1038" t="str">
        <x:v>DerivedFromCount</x:v>
      </x:c>
      <x:c r="O1038" t="str">
        <x:v>PLC-PRD-BOT-500-L22</x:v>
      </x:c>
      <x:c r="P1038" t="str">
        <x:v>OK</x:v>
      </x:c>
      <x:c r="Q1038" t="str">
        <x:v>OK</x:v>
      </x:c>
      <x:c r="R1038" t="str">
        <x:v>CHECK</x:v>
      </x:c>
      <x:c r="S1038" t="str">
        <x:v>OK</x:v>
      </x:c>
      <x:c r="T1038" t="n">
        <x:v>30</x:v>
      </x:c>
      <x:c r="U1038" t="str">
        <x:v>CHECK</x:v>
      </x:c>
      <x:c r="V1038" t="str">
        <x:v>CHECK</x:v>
      </x:c>
      <x:c r="W1038" t="str">
        <x:v>QUARANTINE</x:v>
      </x:c>
      <x:c r="X1038" t="str">
        <x:v>02_Supervisor_Log(4).xlsx</x:v>
      </x:c>
      <x:c r="Y1038" t="str">
        <x:v>ENH-20260830-01</x:v>
      </x:c>
      <x:c r="Z1038" t="str">
        <x:v>Active</x:v>
      </x:c>
      <x:c r="AA1038"/>
      <x:c r="AB1038"/>
      <x:c r="AC1038"/>
      <x:c r="AD1038"/>
    </x:row>
    <x:row r="1039">
      <x:c r="A1039" t="str">
        <x:v>PCC-PE-KG01-L22-20251026-AM-ORD-2025-00058-S07-C3</x:v>
      </x:c>
      <x:c r="B1039" t="str">
        <x:v>PC-PE-KG01-L22-20251026-AM-ORD-2025-00058-S07</x:v>
      </x:c>
      <x:c r="C1039" t="str">
        <x:v>PE-KG01-L22-20251026-AM-ORD-2025-00058</x:v>
      </x:c>
      <x:c r="D1039" t="str">
        <x:v>KG01</x:v>
      </x:c>
      <x:c r="E1039" s="62" t="n">
        <x:v>45956</x:v>
      </x:c>
      <x:c r="F1039" t="str">
        <x:v>AM</x:v>
      </x:c>
      <x:c r="G1039" t="str">
        <x:v>C</x:v>
      </x:c>
      <x:c r="H1039" t="n">
        <x:v>22</x:v>
      </x:c>
      <x:c r="I1039" t="str">
        <x:v>ORD-2025-00058</x:v>
      </x:c>
      <x:c r="J1039" t="n">
        <x:v>7</x:v>
      </x:c>
      <x:c r="K1039" t="n">
        <x:v>3</x:v>
      </x:c>
      <x:c r="L1039" t="str">
        <x:v>L22-S07-C3</x:v>
      </x:c>
      <x:c r="M1039" t="n">
        <x:v>1</x:v>
      </x:c>
      <x:c r="N1039" t="str">
        <x:v>DerivedFromCount</x:v>
      </x:c>
      <x:c r="O1039" t="str">
        <x:v>PLC-PRD-BOT-500-L22</x:v>
      </x:c>
      <x:c r="P1039" t="str">
        <x:v>OK</x:v>
      </x:c>
      <x:c r="Q1039" t="str">
        <x:v>OK</x:v>
      </x:c>
      <x:c r="R1039" t="str">
        <x:v>CHECK</x:v>
      </x:c>
      <x:c r="S1039" t="str">
        <x:v>OK</x:v>
      </x:c>
      <x:c r="T1039" t="n">
        <x:v>30</x:v>
      </x:c>
      <x:c r="U1039" t="str">
        <x:v>CHECK</x:v>
      </x:c>
      <x:c r="V1039" t="str">
        <x:v>CHECK</x:v>
      </x:c>
      <x:c r="W1039" t="str">
        <x:v>QUARANTINE</x:v>
      </x:c>
      <x:c r="X1039" t="str">
        <x:v>02_Supervisor_Log(4).xlsx</x:v>
      </x:c>
      <x:c r="Y1039" t="str">
        <x:v>ENH-20260830-01</x:v>
      </x:c>
      <x:c r="Z1039" t="str">
        <x:v>Active</x:v>
      </x:c>
      <x:c r="AA1039"/>
      <x:c r="AB1039"/>
      <x:c r="AC1039"/>
      <x:c r="AD1039"/>
    </x:row>
    <x:row r="1040">
      <x:c r="A1040" t="str">
        <x:v>PCC-PE-KG01-L22-20251026-AM-ORD-2025-00058-S08-C1</x:v>
      </x:c>
      <x:c r="B1040" t="str">
        <x:v>PC-PE-KG01-L22-20251026-AM-ORD-2025-00058-S08</x:v>
      </x:c>
      <x:c r="C1040" t="str">
        <x:v>PE-KG01-L22-20251026-AM-ORD-2025-00058</x:v>
      </x:c>
      <x:c r="D1040" t="str">
        <x:v>KG01</x:v>
      </x:c>
      <x:c r="E1040" s="62" t="n">
        <x:v>45956</x:v>
      </x:c>
      <x:c r="F1040" t="str">
        <x:v>AM</x:v>
      </x:c>
      <x:c r="G1040" t="str">
        <x:v>C</x:v>
      </x:c>
      <x:c r="H1040" t="n">
        <x:v>22</x:v>
      </x:c>
      <x:c r="I1040" t="str">
        <x:v>ORD-2025-00058</x:v>
      </x:c>
      <x:c r="J1040" t="n">
        <x:v>8</x:v>
      </x:c>
      <x:c r="K1040" t="n">
        <x:v>1</x:v>
      </x:c>
      <x:c r="L1040" t="str">
        <x:v>L22-S08-C1</x:v>
      </x:c>
      <x:c r="M1040" t="n">
        <x:v>1</x:v>
      </x:c>
      <x:c r="N1040" t="str">
        <x:v>DerivedFromCount</x:v>
      </x:c>
      <x:c r="O1040" t="str">
        <x:v>PLC-PRD-BOT-500-L22</x:v>
      </x:c>
      <x:c r="P1040" t="str">
        <x:v>OK</x:v>
      </x:c>
      <x:c r="Q1040" t="str">
        <x:v>OK</x:v>
      </x:c>
      <x:c r="R1040" t="str">
        <x:v>CHECK</x:v>
      </x:c>
      <x:c r="S1040" t="str">
        <x:v>OK</x:v>
      </x:c>
      <x:c r="T1040" t="n">
        <x:v>30</x:v>
      </x:c>
      <x:c r="U1040" t="str">
        <x:v>CHECK</x:v>
      </x:c>
      <x:c r="V1040" t="str">
        <x:v>CHECK</x:v>
      </x:c>
      <x:c r="W1040" t="str">
        <x:v>QUARANTINE</x:v>
      </x:c>
      <x:c r="X1040" t="str">
        <x:v>02_Supervisor_Log(4).xlsx</x:v>
      </x:c>
      <x:c r="Y1040" t="str">
        <x:v>ENH-20260830-01</x:v>
      </x:c>
      <x:c r="Z1040" t="str">
        <x:v>Active</x:v>
      </x:c>
      <x:c r="AA1040"/>
      <x:c r="AB1040"/>
      <x:c r="AC1040"/>
      <x:c r="AD1040"/>
    </x:row>
    <x:row r="1041">
      <x:c r="A1041" t="str">
        <x:v>PCC-PE-KG01-L22-20251026-AM-ORD-2025-00058-S08-C2</x:v>
      </x:c>
      <x:c r="B1041" t="str">
        <x:v>PC-PE-KG01-L22-20251026-AM-ORD-2025-00058-S08</x:v>
      </x:c>
      <x:c r="C1041" t="str">
        <x:v>PE-KG01-L22-20251026-AM-ORD-2025-00058</x:v>
      </x:c>
      <x:c r="D1041" t="str">
        <x:v>KG01</x:v>
      </x:c>
      <x:c r="E1041" s="62" t="n">
        <x:v>45956</x:v>
      </x:c>
      <x:c r="F1041" t="str">
        <x:v>AM</x:v>
      </x:c>
      <x:c r="G1041" t="str">
        <x:v>C</x:v>
      </x:c>
      <x:c r="H1041" t="n">
        <x:v>22</x:v>
      </x:c>
      <x:c r="I1041" t="str">
        <x:v>ORD-2025-00058</x:v>
      </x:c>
      <x:c r="J1041" t="n">
        <x:v>8</x:v>
      </x:c>
      <x:c r="K1041" t="n">
        <x:v>2</x:v>
      </x:c>
      <x:c r="L1041" t="str">
        <x:v>L22-S08-C2</x:v>
      </x:c>
      <x:c r="M1041" t="n">
        <x:v>1</x:v>
      </x:c>
      <x:c r="N1041" t="str">
        <x:v>DerivedFromCount</x:v>
      </x:c>
      <x:c r="O1041" t="str">
        <x:v>PLC-PRD-BOT-500-L22</x:v>
      </x:c>
      <x:c r="P1041" t="str">
        <x:v>OK</x:v>
      </x:c>
      <x:c r="Q1041" t="str">
        <x:v>OK</x:v>
      </x:c>
      <x:c r="R1041" t="str">
        <x:v>CHECK</x:v>
      </x:c>
      <x:c r="S1041" t="str">
        <x:v>OK</x:v>
      </x:c>
      <x:c r="T1041" t="n">
        <x:v>30</x:v>
      </x:c>
      <x:c r="U1041" t="str">
        <x:v>CHECK</x:v>
      </x:c>
      <x:c r="V1041" t="str">
        <x:v>CHECK</x:v>
      </x:c>
      <x:c r="W1041" t="str">
        <x:v>QUARANTINE</x:v>
      </x:c>
      <x:c r="X1041" t="str">
        <x:v>02_Supervisor_Log(4).xlsx</x:v>
      </x:c>
      <x:c r="Y1041" t="str">
        <x:v>ENH-20260830-01</x:v>
      </x:c>
      <x:c r="Z1041" t="str">
        <x:v>Active</x:v>
      </x:c>
      <x:c r="AA1041"/>
      <x:c r="AB1041"/>
      <x:c r="AC1041"/>
      <x:c r="AD1041"/>
    </x:row>
    <x:row r="1042">
      <x:c r="A1042" t="str">
        <x:v>PCC-PE-KG01-L22-20251026-AM-ORD-2025-00058-S08-C3</x:v>
      </x:c>
      <x:c r="B1042" t="str">
        <x:v>PC-PE-KG01-L22-20251026-AM-ORD-2025-00058-S08</x:v>
      </x:c>
      <x:c r="C1042" t="str">
        <x:v>PE-KG01-L22-20251026-AM-ORD-2025-00058</x:v>
      </x:c>
      <x:c r="D1042" t="str">
        <x:v>KG01</x:v>
      </x:c>
      <x:c r="E1042" s="62" t="n">
        <x:v>45956</x:v>
      </x:c>
      <x:c r="F1042" t="str">
        <x:v>AM</x:v>
      </x:c>
      <x:c r="G1042" t="str">
        <x:v>C</x:v>
      </x:c>
      <x:c r="H1042" t="n">
        <x:v>22</x:v>
      </x:c>
      <x:c r="I1042" t="str">
        <x:v>ORD-2025-00058</x:v>
      </x:c>
      <x:c r="J1042" t="n">
        <x:v>8</x:v>
      </x:c>
      <x:c r="K1042" t="n">
        <x:v>3</x:v>
      </x:c>
      <x:c r="L1042" t="str">
        <x:v>L22-S08-C3</x:v>
      </x:c>
      <x:c r="M1042" t="n">
        <x:v>1</x:v>
      </x:c>
      <x:c r="N1042" t="str">
        <x:v>DerivedFromCount</x:v>
      </x:c>
      <x:c r="O1042" t="str">
        <x:v>PLC-PRD-BOT-500-L22</x:v>
      </x:c>
      <x:c r="P1042" t="str">
        <x:v>OK</x:v>
      </x:c>
      <x:c r="Q1042" t="str">
        <x:v>OK</x:v>
      </x:c>
      <x:c r="R1042" t="str">
        <x:v>CHECK</x:v>
      </x:c>
      <x:c r="S1042" t="str">
        <x:v>OK</x:v>
      </x:c>
      <x:c r="T1042" t="n">
        <x:v>30</x:v>
      </x:c>
      <x:c r="U1042" t="str">
        <x:v>CHECK</x:v>
      </x:c>
      <x:c r="V1042" t="str">
        <x:v>CHECK</x:v>
      </x:c>
      <x:c r="W1042" t="str">
        <x:v>QUARANTINE</x:v>
      </x:c>
      <x:c r="X1042" t="str">
        <x:v>02_Supervisor_Log(4).xlsx</x:v>
      </x:c>
      <x:c r="Y1042" t="str">
        <x:v>ENH-20260830-01</x:v>
      </x:c>
      <x:c r="Z1042" t="str">
        <x:v>Active</x:v>
      </x:c>
      <x:c r="AA1042"/>
      <x:c r="AB1042"/>
      <x:c r="AC1042"/>
      <x:c r="AD1042"/>
    </x:row>
    <x:row r="1043">
      <x:c r="A1043" t="str">
        <x:v>PCC-PE-KG01-L22-20251026-AM-ORD-2025-00058-S09-C1</x:v>
      </x:c>
      <x:c r="B1043" t="str">
        <x:v>PC-PE-KG01-L22-20251026-AM-ORD-2025-00058-S09</x:v>
      </x:c>
      <x:c r="C1043" t="str">
        <x:v>PE-KG01-L22-20251026-AM-ORD-2025-00058</x:v>
      </x:c>
      <x:c r="D1043" t="str">
        <x:v>KG01</x:v>
      </x:c>
      <x:c r="E1043" s="62" t="n">
        <x:v>45956</x:v>
      </x:c>
      <x:c r="F1043" t="str">
        <x:v>AM</x:v>
      </x:c>
      <x:c r="G1043" t="str">
        <x:v>C</x:v>
      </x:c>
      <x:c r="H1043" t="n">
        <x:v>22</x:v>
      </x:c>
      <x:c r="I1043" t="str">
        <x:v>ORD-2025-00058</x:v>
      </x:c>
      <x:c r="J1043" t="n">
        <x:v>9</x:v>
      </x:c>
      <x:c r="K1043" t="n">
        <x:v>1</x:v>
      </x:c>
      <x:c r="L1043" t="str">
        <x:v>L22-S09-C1</x:v>
      </x:c>
      <x:c r="M1043" t="n">
        <x:v>1</x:v>
      </x:c>
      <x:c r="N1043" t="str">
        <x:v>DerivedFromCount</x:v>
      </x:c>
      <x:c r="O1043" t="str">
        <x:v>PLC-PRD-BOT-500-L22</x:v>
      </x:c>
      <x:c r="P1043" t="str">
        <x:v>OK</x:v>
      </x:c>
      <x:c r="Q1043" t="str">
        <x:v>OK</x:v>
      </x:c>
      <x:c r="R1043" t="str">
        <x:v>CHECK</x:v>
      </x:c>
      <x:c r="S1043" t="str">
        <x:v>OK</x:v>
      </x:c>
      <x:c r="T1043" t="n">
        <x:v>30</x:v>
      </x:c>
      <x:c r="U1043" t="str">
        <x:v>CHECK</x:v>
      </x:c>
      <x:c r="V1043" t="str">
        <x:v>CHECK</x:v>
      </x:c>
      <x:c r="W1043" t="str">
        <x:v>QUARANTINE</x:v>
      </x:c>
      <x:c r="X1043" t="str">
        <x:v>02_Supervisor_Log(4).xlsx</x:v>
      </x:c>
      <x:c r="Y1043" t="str">
        <x:v>ENH-20260830-01</x:v>
      </x:c>
      <x:c r="Z1043" t="str">
        <x:v>Active</x:v>
      </x:c>
      <x:c r="AA1043"/>
      <x:c r="AB1043"/>
      <x:c r="AC1043"/>
      <x:c r="AD1043"/>
    </x:row>
    <x:row r="1044">
      <x:c r="A1044" t="str">
        <x:v>PCC-PE-KG01-L22-20251026-AM-ORD-2025-00058-S09-C2</x:v>
      </x:c>
      <x:c r="B1044" t="str">
        <x:v>PC-PE-KG01-L22-20251026-AM-ORD-2025-00058-S09</x:v>
      </x:c>
      <x:c r="C1044" t="str">
        <x:v>PE-KG01-L22-20251026-AM-ORD-2025-00058</x:v>
      </x:c>
      <x:c r="D1044" t="str">
        <x:v>KG01</x:v>
      </x:c>
      <x:c r="E1044" s="62" t="n">
        <x:v>45956</x:v>
      </x:c>
      <x:c r="F1044" t="str">
        <x:v>AM</x:v>
      </x:c>
      <x:c r="G1044" t="str">
        <x:v>C</x:v>
      </x:c>
      <x:c r="H1044" t="n">
        <x:v>22</x:v>
      </x:c>
      <x:c r="I1044" t="str">
        <x:v>ORD-2025-00058</x:v>
      </x:c>
      <x:c r="J1044" t="n">
        <x:v>9</x:v>
      </x:c>
      <x:c r="K1044" t="n">
        <x:v>2</x:v>
      </x:c>
      <x:c r="L1044" t="str">
        <x:v>L22-S09-C2</x:v>
      </x:c>
      <x:c r="M1044" t="n">
        <x:v>1</x:v>
      </x:c>
      <x:c r="N1044" t="str">
        <x:v>DerivedFromCount</x:v>
      </x:c>
      <x:c r="O1044" t="str">
        <x:v>PLC-PRD-BOT-500-L22</x:v>
      </x:c>
      <x:c r="P1044" t="str">
        <x:v>OK</x:v>
      </x:c>
      <x:c r="Q1044" t="str">
        <x:v>OK</x:v>
      </x:c>
      <x:c r="R1044" t="str">
        <x:v>CHECK</x:v>
      </x:c>
      <x:c r="S1044" t="str">
        <x:v>OK</x:v>
      </x:c>
      <x:c r="T1044" t="n">
        <x:v>30</x:v>
      </x:c>
      <x:c r="U1044" t="str">
        <x:v>CHECK</x:v>
      </x:c>
      <x:c r="V1044" t="str">
        <x:v>CHECK</x:v>
      </x:c>
      <x:c r="W1044" t="str">
        <x:v>QUARANTINE</x:v>
      </x:c>
      <x:c r="X1044" t="str">
        <x:v>02_Supervisor_Log(4).xlsx</x:v>
      </x:c>
      <x:c r="Y1044" t="str">
        <x:v>ENH-20260830-01</x:v>
      </x:c>
      <x:c r="Z1044" t="str">
        <x:v>Active</x:v>
      </x:c>
      <x:c r="AA1044"/>
      <x:c r="AB1044"/>
      <x:c r="AC1044"/>
      <x:c r="AD1044"/>
    </x:row>
    <x:row r="1045">
      <x:c r="A1045" t="str">
        <x:v>PCC-PE-KG01-L22-20251026-AM-ORD-2025-00058-S09-C3</x:v>
      </x:c>
      <x:c r="B1045" t="str">
        <x:v>PC-PE-KG01-L22-20251026-AM-ORD-2025-00058-S09</x:v>
      </x:c>
      <x:c r="C1045" t="str">
        <x:v>PE-KG01-L22-20251026-AM-ORD-2025-00058</x:v>
      </x:c>
      <x:c r="D1045" t="str">
        <x:v>KG01</x:v>
      </x:c>
      <x:c r="E1045" s="62" t="n">
        <x:v>45956</x:v>
      </x:c>
      <x:c r="F1045" t="str">
        <x:v>AM</x:v>
      </x:c>
      <x:c r="G1045" t="str">
        <x:v>C</x:v>
      </x:c>
      <x:c r="H1045" t="n">
        <x:v>22</x:v>
      </x:c>
      <x:c r="I1045" t="str">
        <x:v>ORD-2025-00058</x:v>
      </x:c>
      <x:c r="J1045" t="n">
        <x:v>9</x:v>
      </x:c>
      <x:c r="K1045" t="n">
        <x:v>3</x:v>
      </x:c>
      <x:c r="L1045" t="str">
        <x:v>L22-S09-C3</x:v>
      </x:c>
      <x:c r="M1045" t="n">
        <x:v>1</x:v>
      </x:c>
      <x:c r="N1045" t="str">
        <x:v>DerivedFromCount</x:v>
      </x:c>
      <x:c r="O1045" t="str">
        <x:v>PLC-PRD-BOT-500-L22</x:v>
      </x:c>
      <x:c r="P1045" t="str">
        <x:v>OK</x:v>
      </x:c>
      <x:c r="Q1045" t="str">
        <x:v>OK</x:v>
      </x:c>
      <x:c r="R1045" t="str">
        <x:v>CHECK</x:v>
      </x:c>
      <x:c r="S1045" t="str">
        <x:v>OK</x:v>
      </x:c>
      <x:c r="T1045" t="n">
        <x:v>30</x:v>
      </x:c>
      <x:c r="U1045" t="str">
        <x:v>CHECK</x:v>
      </x:c>
      <x:c r="V1045" t="str">
        <x:v>CHECK</x:v>
      </x:c>
      <x:c r="W1045" t="str">
        <x:v>QUARANTINE</x:v>
      </x:c>
      <x:c r="X1045" t="str">
        <x:v>02_Supervisor_Log(4).xlsx</x:v>
      </x:c>
      <x:c r="Y1045" t="str">
        <x:v>ENH-20260830-01</x:v>
      </x:c>
      <x:c r="Z1045" t="str">
        <x:v>Active</x:v>
      </x:c>
      <x:c r="AA1045"/>
      <x:c r="AB1045"/>
      <x:c r="AC1045"/>
      <x:c r="AD1045"/>
    </x:row>
    <x:row r="1046">
      <x:c r="A1046" t="str">
        <x:v>PCC-PE-KG01-L22-20251026-AM-ORD-2025-00058-S10-C1</x:v>
      </x:c>
      <x:c r="B1046" t="str">
        <x:v>PC-PE-KG01-L22-20251026-AM-ORD-2025-00058-S10</x:v>
      </x:c>
      <x:c r="C1046" t="str">
        <x:v>PE-KG01-L22-20251026-AM-ORD-2025-00058</x:v>
      </x:c>
      <x:c r="D1046" t="str">
        <x:v>KG01</x:v>
      </x:c>
      <x:c r="E1046" s="62" t="n">
        <x:v>45956</x:v>
      </x:c>
      <x:c r="F1046" t="str">
        <x:v>AM</x:v>
      </x:c>
      <x:c r="G1046" t="str">
        <x:v>C</x:v>
      </x:c>
      <x:c r="H1046" t="n">
        <x:v>22</x:v>
      </x:c>
      <x:c r="I1046" t="str">
        <x:v>ORD-2025-00058</x:v>
      </x:c>
      <x:c r="J1046" t="n">
        <x:v>10</x:v>
      </x:c>
      <x:c r="K1046" t="n">
        <x:v>1</x:v>
      </x:c>
      <x:c r="L1046" t="str">
        <x:v>L22-S10-C1</x:v>
      </x:c>
      <x:c r="M1046" t="n">
        <x:v>1</x:v>
      </x:c>
      <x:c r="N1046" t="str">
        <x:v>DerivedFromCount</x:v>
      </x:c>
      <x:c r="O1046" t="str">
        <x:v>PLC-PRD-BOT-500-L22</x:v>
      </x:c>
      <x:c r="P1046" t="str">
        <x:v>OK</x:v>
      </x:c>
      <x:c r="Q1046" t="str">
        <x:v>OK</x:v>
      </x:c>
      <x:c r="R1046" t="str">
        <x:v>CHECK</x:v>
      </x:c>
      <x:c r="S1046" t="str">
        <x:v>OK</x:v>
      </x:c>
      <x:c r="T1046" t="n">
        <x:v>30</x:v>
      </x:c>
      <x:c r="U1046" t="str">
        <x:v>CHECK</x:v>
      </x:c>
      <x:c r="V1046" t="str">
        <x:v>CHECK</x:v>
      </x:c>
      <x:c r="W1046" t="str">
        <x:v>QUARANTINE</x:v>
      </x:c>
      <x:c r="X1046" t="str">
        <x:v>02_Supervisor_Log(4).xlsx</x:v>
      </x:c>
      <x:c r="Y1046" t="str">
        <x:v>ENH-20260830-01</x:v>
      </x:c>
      <x:c r="Z1046" t="str">
        <x:v>Active</x:v>
      </x:c>
      <x:c r="AA1046"/>
      <x:c r="AB1046"/>
      <x:c r="AC1046"/>
      <x:c r="AD1046"/>
    </x:row>
    <x:row r="1047">
      <x:c r="A1047" t="str">
        <x:v>PCC-PE-KG01-L22-20251026-AM-ORD-2025-00058-S10-C2</x:v>
      </x:c>
      <x:c r="B1047" t="str">
        <x:v>PC-PE-KG01-L22-20251026-AM-ORD-2025-00058-S10</x:v>
      </x:c>
      <x:c r="C1047" t="str">
        <x:v>PE-KG01-L22-20251026-AM-ORD-2025-00058</x:v>
      </x:c>
      <x:c r="D1047" t="str">
        <x:v>KG01</x:v>
      </x:c>
      <x:c r="E1047" s="62" t="n">
        <x:v>45956</x:v>
      </x:c>
      <x:c r="F1047" t="str">
        <x:v>AM</x:v>
      </x:c>
      <x:c r="G1047" t="str">
        <x:v>C</x:v>
      </x:c>
      <x:c r="H1047" t="n">
        <x:v>22</x:v>
      </x:c>
      <x:c r="I1047" t="str">
        <x:v>ORD-2025-00058</x:v>
      </x:c>
      <x:c r="J1047" t="n">
        <x:v>10</x:v>
      </x:c>
      <x:c r="K1047" t="n">
        <x:v>2</x:v>
      </x:c>
      <x:c r="L1047" t="str">
        <x:v>L22-S10-C2</x:v>
      </x:c>
      <x:c r="M1047" t="n">
        <x:v>1</x:v>
      </x:c>
      <x:c r="N1047" t="str">
        <x:v>DerivedFromCount</x:v>
      </x:c>
      <x:c r="O1047" t="str">
        <x:v>PLC-PRD-BOT-500-L22</x:v>
      </x:c>
      <x:c r="P1047" t="str">
        <x:v>OK</x:v>
      </x:c>
      <x:c r="Q1047" t="str">
        <x:v>OK</x:v>
      </x:c>
      <x:c r="R1047" t="str">
        <x:v>CHECK</x:v>
      </x:c>
      <x:c r="S1047" t="str">
        <x:v>OK</x:v>
      </x:c>
      <x:c r="T1047" t="n">
        <x:v>30</x:v>
      </x:c>
      <x:c r="U1047" t="str">
        <x:v>CHECK</x:v>
      </x:c>
      <x:c r="V1047" t="str">
        <x:v>CHECK</x:v>
      </x:c>
      <x:c r="W1047" t="str">
        <x:v>QUARANTINE</x:v>
      </x:c>
      <x:c r="X1047" t="str">
        <x:v>02_Supervisor_Log(4).xlsx</x:v>
      </x:c>
      <x:c r="Y1047" t="str">
        <x:v>ENH-20260830-01</x:v>
      </x:c>
      <x:c r="Z1047" t="str">
        <x:v>Active</x:v>
      </x:c>
      <x:c r="AA1047"/>
      <x:c r="AB1047"/>
      <x:c r="AC1047"/>
      <x:c r="AD1047"/>
    </x:row>
    <x:row r="1048">
      <x:c r="A1048" t="str">
        <x:v>PCC-PE-KG01-L22-20251026-AM-ORD-2025-00058-S10-C3</x:v>
      </x:c>
      <x:c r="B1048" t="str">
        <x:v>PC-PE-KG01-L22-20251026-AM-ORD-2025-00058-S10</x:v>
      </x:c>
      <x:c r="C1048" t="str">
        <x:v>PE-KG01-L22-20251026-AM-ORD-2025-00058</x:v>
      </x:c>
      <x:c r="D1048" t="str">
        <x:v>KG01</x:v>
      </x:c>
      <x:c r="E1048" s="62" t="n">
        <x:v>45956</x:v>
      </x:c>
      <x:c r="F1048" t="str">
        <x:v>AM</x:v>
      </x:c>
      <x:c r="G1048" t="str">
        <x:v>C</x:v>
      </x:c>
      <x:c r="H1048" t="n">
        <x:v>22</x:v>
      </x:c>
      <x:c r="I1048" t="str">
        <x:v>ORD-2025-00058</x:v>
      </x:c>
      <x:c r="J1048" t="n">
        <x:v>10</x:v>
      </x:c>
      <x:c r="K1048" t="n">
        <x:v>3</x:v>
      </x:c>
      <x:c r="L1048" t="str">
        <x:v>L22-S10-C3</x:v>
      </x:c>
      <x:c r="M1048" t="n">
        <x:v>1</x:v>
      </x:c>
      <x:c r="N1048" t="str">
        <x:v>DerivedFromCount</x:v>
      </x:c>
      <x:c r="O1048" t="str">
        <x:v>PLC-PRD-BOT-500-L22</x:v>
      </x:c>
      <x:c r="P1048" t="str">
        <x:v>OK</x:v>
      </x:c>
      <x:c r="Q1048" t="str">
        <x:v>OK</x:v>
      </x:c>
      <x:c r="R1048" t="str">
        <x:v>CHECK</x:v>
      </x:c>
      <x:c r="S1048" t="str">
        <x:v>OK</x:v>
      </x:c>
      <x:c r="T1048" t="n">
        <x:v>30</x:v>
      </x:c>
      <x:c r="U1048" t="str">
        <x:v>CHECK</x:v>
      </x:c>
      <x:c r="V1048" t="str">
        <x:v>CHECK</x:v>
      </x:c>
      <x:c r="W1048" t="str">
        <x:v>QUARANTINE</x:v>
      </x:c>
      <x:c r="X1048" t="str">
        <x:v>02_Supervisor_Log(4).xlsx</x:v>
      </x:c>
      <x:c r="Y1048" t="str">
        <x:v>ENH-20260830-01</x:v>
      </x:c>
      <x:c r="Z1048" t="str">
        <x:v>Active</x:v>
      </x:c>
      <x:c r="AA1048"/>
      <x:c r="AB1048"/>
      <x:c r="AC1048"/>
      <x:c r="AD1048"/>
    </x:row>
    <x:row r="1049">
      <x:c r="A1049" t="str">
        <x:v>PCC-PE-KG01-L22-20251026-AM-ORD-2025-00058-S11-C1</x:v>
      </x:c>
      <x:c r="B1049" t="str">
        <x:v>PC-PE-KG01-L22-20251026-AM-ORD-2025-00058-S11</x:v>
      </x:c>
      <x:c r="C1049" t="str">
        <x:v>PE-KG01-L22-20251026-AM-ORD-2025-00058</x:v>
      </x:c>
      <x:c r="D1049" t="str">
        <x:v>KG01</x:v>
      </x:c>
      <x:c r="E1049" s="62" t="n">
        <x:v>45956</x:v>
      </x:c>
      <x:c r="F1049" t="str">
        <x:v>AM</x:v>
      </x:c>
      <x:c r="G1049" t="str">
        <x:v>C</x:v>
      </x:c>
      <x:c r="H1049" t="n">
        <x:v>22</x:v>
      </x:c>
      <x:c r="I1049" t="str">
        <x:v>ORD-2025-00058</x:v>
      </x:c>
      <x:c r="J1049" t="n">
        <x:v>11</x:v>
      </x:c>
      <x:c r="K1049" t="n">
        <x:v>1</x:v>
      </x:c>
      <x:c r="L1049" t="str">
        <x:v>L22-S11-C1</x:v>
      </x:c>
      <x:c r="M1049" t="n">
        <x:v>0</x:v>
      </x:c>
      <x:c r="N1049" t="str">
        <x:v>DerivedFromCount</x:v>
      </x:c>
      <x:c r="O1049" t="str">
        <x:v>PLC-PRD-BOT-500-L22</x:v>
      </x:c>
      <x:c r="P1049" t="str">
        <x:v>OK</x:v>
      </x:c>
      <x:c r="Q1049" t="str">
        <x:v>OK</x:v>
      </x:c>
      <x:c r="R1049" t="str">
        <x:v>OK</x:v>
      </x:c>
      <x:c r="S1049" t="str">
        <x:v>OK</x:v>
      </x:c>
      <x:c r="T1049" t="n">
        <x:v>30</x:v>
      </x:c>
      <x:c r="U1049" t="str">
        <x:v>CHECK</x:v>
      </x:c>
      <x:c r="V1049" t="str">
        <x:v>CHECK</x:v>
      </x:c>
      <x:c r="W1049" t="str">
        <x:v>QUARANTINE</x:v>
      </x:c>
      <x:c r="X1049" t="str">
        <x:v>02_Supervisor_Log(4).xlsx</x:v>
      </x:c>
      <x:c r="Y1049" t="str">
        <x:v>ENH-20260830-01</x:v>
      </x:c>
      <x:c r="Z1049" t="str">
        <x:v>Active</x:v>
      </x:c>
      <x:c r="AA1049"/>
      <x:c r="AB1049"/>
      <x:c r="AC1049"/>
      <x:c r="AD1049"/>
    </x:row>
    <x:row r="1050">
      <x:c r="A1050" t="str">
        <x:v>PCC-PE-KG01-L22-20251026-AM-ORD-2025-00058-S11-C2</x:v>
      </x:c>
      <x:c r="B1050" t="str">
        <x:v>PC-PE-KG01-L22-20251026-AM-ORD-2025-00058-S11</x:v>
      </x:c>
      <x:c r="C1050" t="str">
        <x:v>PE-KG01-L22-20251026-AM-ORD-2025-00058</x:v>
      </x:c>
      <x:c r="D1050" t="str">
        <x:v>KG01</x:v>
      </x:c>
      <x:c r="E1050" s="62" t="n">
        <x:v>45956</x:v>
      </x:c>
      <x:c r="F1050" t="str">
        <x:v>AM</x:v>
      </x:c>
      <x:c r="G1050" t="str">
        <x:v>C</x:v>
      </x:c>
      <x:c r="H1050" t="n">
        <x:v>22</x:v>
      </x:c>
      <x:c r="I1050" t="str">
        <x:v>ORD-2025-00058</x:v>
      </x:c>
      <x:c r="J1050" t="n">
        <x:v>11</x:v>
      </x:c>
      <x:c r="K1050" t="n">
        <x:v>2</x:v>
      </x:c>
      <x:c r="L1050" t="str">
        <x:v>L22-S11-C2</x:v>
      </x:c>
      <x:c r="M1050" t="n">
        <x:v>0</x:v>
      </x:c>
      <x:c r="N1050" t="str">
        <x:v>DerivedFromCount</x:v>
      </x:c>
      <x:c r="O1050" t="str">
        <x:v>PLC-PRD-BOT-500-L22</x:v>
      </x:c>
      <x:c r="P1050" t="str">
        <x:v>OK</x:v>
      </x:c>
      <x:c r="Q1050" t="str">
        <x:v>OK</x:v>
      </x:c>
      <x:c r="R1050" t="str">
        <x:v>OK</x:v>
      </x:c>
      <x:c r="S1050" t="str">
        <x:v>OK</x:v>
      </x:c>
      <x:c r="T1050" t="n">
        <x:v>30</x:v>
      </x:c>
      <x:c r="U1050" t="str">
        <x:v>CHECK</x:v>
      </x:c>
      <x:c r="V1050" t="str">
        <x:v>CHECK</x:v>
      </x:c>
      <x:c r="W1050" t="str">
        <x:v>QUARANTINE</x:v>
      </x:c>
      <x:c r="X1050" t="str">
        <x:v>02_Supervisor_Log(4).xlsx</x:v>
      </x:c>
      <x:c r="Y1050" t="str">
        <x:v>ENH-20260830-01</x:v>
      </x:c>
      <x:c r="Z1050" t="str">
        <x:v>Active</x:v>
      </x:c>
      <x:c r="AA1050"/>
      <x:c r="AB1050"/>
      <x:c r="AC1050"/>
      <x:c r="AD1050"/>
    </x:row>
    <x:row r="1051">
      <x:c r="A1051" t="str">
        <x:v>PCC-PE-KG01-L22-20251026-AM-ORD-2025-00058-S11-C3</x:v>
      </x:c>
      <x:c r="B1051" t="str">
        <x:v>PC-PE-KG01-L22-20251026-AM-ORD-2025-00058-S11</x:v>
      </x:c>
      <x:c r="C1051" t="str">
        <x:v>PE-KG01-L22-20251026-AM-ORD-2025-00058</x:v>
      </x:c>
      <x:c r="D1051" t="str">
        <x:v>KG01</x:v>
      </x:c>
      <x:c r="E1051" s="62" t="n">
        <x:v>45956</x:v>
      </x:c>
      <x:c r="F1051" t="str">
        <x:v>AM</x:v>
      </x:c>
      <x:c r="G1051" t="str">
        <x:v>C</x:v>
      </x:c>
      <x:c r="H1051" t="n">
        <x:v>22</x:v>
      </x:c>
      <x:c r="I1051" t="str">
        <x:v>ORD-2025-00058</x:v>
      </x:c>
      <x:c r="J1051" t="n">
        <x:v>11</x:v>
      </x:c>
      <x:c r="K1051" t="n">
        <x:v>3</x:v>
      </x:c>
      <x:c r="L1051" t="str">
        <x:v>L22-S11-C3</x:v>
      </x:c>
      <x:c r="M1051" t="n">
        <x:v>0</x:v>
      </x:c>
      <x:c r="N1051" t="str">
        <x:v>DerivedFromCount</x:v>
      </x:c>
      <x:c r="O1051" t="str">
        <x:v>PLC-PRD-BOT-500-L22</x:v>
      </x:c>
      <x:c r="P1051" t="str">
        <x:v>OK</x:v>
      </x:c>
      <x:c r="Q1051" t="str">
        <x:v>OK</x:v>
      </x:c>
      <x:c r="R1051" t="str">
        <x:v>OK</x:v>
      </x:c>
      <x:c r="S1051" t="str">
        <x:v>OK</x:v>
      </x:c>
      <x:c r="T1051" t="n">
        <x:v>30</x:v>
      </x:c>
      <x:c r="U1051" t="str">
        <x:v>CHECK</x:v>
      </x:c>
      <x:c r="V1051" t="str">
        <x:v>CHECK</x:v>
      </x:c>
      <x:c r="W1051" t="str">
        <x:v>QUARANTINE</x:v>
      </x:c>
      <x:c r="X1051" t="str">
        <x:v>02_Supervisor_Log(4).xlsx</x:v>
      </x:c>
      <x:c r="Y1051" t="str">
        <x:v>ENH-20260830-01</x:v>
      </x:c>
      <x:c r="Z1051" t="str">
        <x:v>Active</x:v>
      </x:c>
      <x:c r="AA1051"/>
      <x:c r="AB1051"/>
      <x:c r="AC1051"/>
      <x:c r="AD1051"/>
    </x:row>
    <x:row r="1052">
      <x:c r="A1052" t="str">
        <x:v>PCC-PE-KG01-L22-20251026-AM-ORD-2025-00058-S12-C1</x:v>
      </x:c>
      <x:c r="B1052" t="str">
        <x:v>PC-PE-KG01-L22-20251026-AM-ORD-2025-00058-S12</x:v>
      </x:c>
      <x:c r="C1052" t="str">
        <x:v>PE-KG01-L22-20251026-AM-ORD-2025-00058</x:v>
      </x:c>
      <x:c r="D1052" t="str">
        <x:v>KG01</x:v>
      </x:c>
      <x:c r="E1052" s="62" t="n">
        <x:v>45956</x:v>
      </x:c>
      <x:c r="F1052" t="str">
        <x:v>AM</x:v>
      </x:c>
      <x:c r="G1052" t="str">
        <x:v>C</x:v>
      </x:c>
      <x:c r="H1052" t="n">
        <x:v>22</x:v>
      </x:c>
      <x:c r="I1052" t="str">
        <x:v>ORD-2025-00058</x:v>
      </x:c>
      <x:c r="J1052" t="n">
        <x:v>12</x:v>
      </x:c>
      <x:c r="K1052" t="n">
        <x:v>1</x:v>
      </x:c>
      <x:c r="L1052" t="str">
        <x:v>L22-S12-C1</x:v>
      </x:c>
      <x:c r="M1052" t="n">
        <x:v>0</x:v>
      </x:c>
      <x:c r="N1052" t="str">
        <x:v>DerivedFromCount</x:v>
      </x:c>
      <x:c r="O1052" t="str">
        <x:v>PLC-PRD-BOT-500-L22</x:v>
      </x:c>
      <x:c r="P1052" t="str">
        <x:v>OK</x:v>
      </x:c>
      <x:c r="Q1052" t="str">
        <x:v>OK</x:v>
      </x:c>
      <x:c r="R1052" t="str">
        <x:v>OK</x:v>
      </x:c>
      <x:c r="S1052" t="str">
        <x:v>OK</x:v>
      </x:c>
      <x:c r="T1052" t="n">
        <x:v>30</x:v>
      </x:c>
      <x:c r="U1052" t="str">
        <x:v>CHECK</x:v>
      </x:c>
      <x:c r="V1052" t="str">
        <x:v>CHECK</x:v>
      </x:c>
      <x:c r="W1052" t="str">
        <x:v>QUARANTINE</x:v>
      </x:c>
      <x:c r="X1052" t="str">
        <x:v>02_Supervisor_Log(4).xlsx</x:v>
      </x:c>
      <x:c r="Y1052" t="str">
        <x:v>ENH-20260830-01</x:v>
      </x:c>
      <x:c r="Z1052" t="str">
        <x:v>Active</x:v>
      </x:c>
      <x:c r="AA1052"/>
      <x:c r="AB1052"/>
      <x:c r="AC1052"/>
      <x:c r="AD1052"/>
    </x:row>
    <x:row r="1053">
      <x:c r="A1053" t="str">
        <x:v>PCC-PE-KG01-L22-20251026-AM-ORD-2025-00058-S12-C2</x:v>
      </x:c>
      <x:c r="B1053" t="str">
        <x:v>PC-PE-KG01-L22-20251026-AM-ORD-2025-00058-S12</x:v>
      </x:c>
      <x:c r="C1053" t="str">
        <x:v>PE-KG01-L22-20251026-AM-ORD-2025-00058</x:v>
      </x:c>
      <x:c r="D1053" t="str">
        <x:v>KG01</x:v>
      </x:c>
      <x:c r="E1053" s="62" t="n">
        <x:v>45956</x:v>
      </x:c>
      <x:c r="F1053" t="str">
        <x:v>AM</x:v>
      </x:c>
      <x:c r="G1053" t="str">
        <x:v>C</x:v>
      </x:c>
      <x:c r="H1053" t="n">
        <x:v>22</x:v>
      </x:c>
      <x:c r="I1053" t="str">
        <x:v>ORD-2025-00058</x:v>
      </x:c>
      <x:c r="J1053" t="n">
        <x:v>12</x:v>
      </x:c>
      <x:c r="K1053" t="n">
        <x:v>2</x:v>
      </x:c>
      <x:c r="L1053" t="str">
        <x:v>L22-S12-C2</x:v>
      </x:c>
      <x:c r="M1053" t="n">
        <x:v>0</x:v>
      </x:c>
      <x:c r="N1053" t="str">
        <x:v>DerivedFromCount</x:v>
      </x:c>
      <x:c r="O1053" t="str">
        <x:v>PLC-PRD-BOT-500-L22</x:v>
      </x:c>
      <x:c r="P1053" t="str">
        <x:v>OK</x:v>
      </x:c>
      <x:c r="Q1053" t="str">
        <x:v>OK</x:v>
      </x:c>
      <x:c r="R1053" t="str">
        <x:v>OK</x:v>
      </x:c>
      <x:c r="S1053" t="str">
        <x:v>OK</x:v>
      </x:c>
      <x:c r="T1053" t="n">
        <x:v>30</x:v>
      </x:c>
      <x:c r="U1053" t="str">
        <x:v>CHECK</x:v>
      </x:c>
      <x:c r="V1053" t="str">
        <x:v>CHECK</x:v>
      </x:c>
      <x:c r="W1053" t="str">
        <x:v>QUARANTINE</x:v>
      </x:c>
      <x:c r="X1053" t="str">
        <x:v>02_Supervisor_Log(4).xlsx</x:v>
      </x:c>
      <x:c r="Y1053" t="str">
        <x:v>ENH-20260830-01</x:v>
      </x:c>
      <x:c r="Z1053" t="str">
        <x:v>Active</x:v>
      </x:c>
      <x:c r="AA1053"/>
      <x:c r="AB1053"/>
      <x:c r="AC1053"/>
      <x:c r="AD1053"/>
    </x:row>
    <x:row r="1054">
      <x:c r="A1054" t="str">
        <x:v>PCC-PE-KG01-L22-20251026-AM-ORD-2025-00058-S12-C3</x:v>
      </x:c>
      <x:c r="B1054" t="str">
        <x:v>PC-PE-KG01-L22-20251026-AM-ORD-2025-00058-S12</x:v>
      </x:c>
      <x:c r="C1054" t="str">
        <x:v>PE-KG01-L22-20251026-AM-ORD-2025-00058</x:v>
      </x:c>
      <x:c r="D1054" t="str">
        <x:v>KG01</x:v>
      </x:c>
      <x:c r="E1054" s="62" t="n">
        <x:v>45956</x:v>
      </x:c>
      <x:c r="F1054" t="str">
        <x:v>AM</x:v>
      </x:c>
      <x:c r="G1054" t="str">
        <x:v>C</x:v>
      </x:c>
      <x:c r="H1054" t="n">
        <x:v>22</x:v>
      </x:c>
      <x:c r="I1054" t="str">
        <x:v>ORD-2025-00058</x:v>
      </x:c>
      <x:c r="J1054" t="n">
        <x:v>12</x:v>
      </x:c>
      <x:c r="K1054" t="n">
        <x:v>3</x:v>
      </x:c>
      <x:c r="L1054" t="str">
        <x:v>L22-S12-C3</x:v>
      </x:c>
      <x:c r="M1054" t="n">
        <x:v>0</x:v>
      </x:c>
      <x:c r="N1054" t="str">
        <x:v>DerivedFromCount</x:v>
      </x:c>
      <x:c r="O1054" t="str">
        <x:v>PLC-PRD-BOT-500-L22</x:v>
      </x:c>
      <x:c r="P1054" t="str">
        <x:v>OK</x:v>
      </x:c>
      <x:c r="Q1054" t="str">
        <x:v>OK</x:v>
      </x:c>
      <x:c r="R1054" t="str">
        <x:v>OK</x:v>
      </x:c>
      <x:c r="S1054" t="str">
        <x:v>OK</x:v>
      </x:c>
      <x:c r="T1054" t="n">
        <x:v>30</x:v>
      </x:c>
      <x:c r="U1054" t="str">
        <x:v>CHECK</x:v>
      </x:c>
      <x:c r="V1054" t="str">
        <x:v>CHECK</x:v>
      </x:c>
      <x:c r="W1054" t="str">
        <x:v>QUARANTINE</x:v>
      </x:c>
      <x:c r="X1054" t="str">
        <x:v>02_Supervisor_Log(4).xlsx</x:v>
      </x:c>
      <x:c r="Y1054" t="str">
        <x:v>ENH-20260830-01</x:v>
      </x:c>
      <x:c r="Z1054" t="str">
        <x:v>Active</x:v>
      </x:c>
      <x:c r="AA1054"/>
      <x:c r="AB1054"/>
      <x:c r="AC1054"/>
      <x:c r="AD1054"/>
    </x:row>
    <x:row r="1055">
      <x:c r="A1055" t="str">
        <x:v>PCC-PE-KG01-L22-20251026-AM-ORD-2025-00058-S13-C1</x:v>
      </x:c>
      <x:c r="B1055" t="str">
        <x:v>PC-PE-KG01-L22-20251026-AM-ORD-2025-00058-S13</x:v>
      </x:c>
      <x:c r="C1055" t="str">
        <x:v>PE-KG01-L22-20251026-AM-ORD-2025-00058</x:v>
      </x:c>
      <x:c r="D1055" t="str">
        <x:v>KG01</x:v>
      </x:c>
      <x:c r="E1055" s="62" t="n">
        <x:v>45956</x:v>
      </x:c>
      <x:c r="F1055" t="str">
        <x:v>AM</x:v>
      </x:c>
      <x:c r="G1055" t="str">
        <x:v>C</x:v>
      </x:c>
      <x:c r="H1055" t="n">
        <x:v>22</x:v>
      </x:c>
      <x:c r="I1055" t="str">
        <x:v>ORD-2025-00058</x:v>
      </x:c>
      <x:c r="J1055" t="n">
        <x:v>13</x:v>
      </x:c>
      <x:c r="K1055" t="n">
        <x:v>1</x:v>
      </x:c>
      <x:c r="L1055" t="str">
        <x:v>L22-S13-C1</x:v>
      </x:c>
      <x:c r="M1055" t="n">
        <x:v>0</x:v>
      </x:c>
      <x:c r="N1055" t="str">
        <x:v>DerivedFromCount</x:v>
      </x:c>
      <x:c r="O1055" t="str">
        <x:v>PLC-PRD-BOT-500-L22</x:v>
      </x:c>
      <x:c r="P1055" t="str">
        <x:v>OK</x:v>
      </x:c>
      <x:c r="Q1055" t="str">
        <x:v>OK</x:v>
      </x:c>
      <x:c r="R1055" t="str">
        <x:v>OK</x:v>
      </x:c>
      <x:c r="S1055" t="str">
        <x:v>OK</x:v>
      </x:c>
      <x:c r="T1055" t="n">
        <x:v>30</x:v>
      </x:c>
      <x:c r="U1055" t="str">
        <x:v>CHECK</x:v>
      </x:c>
      <x:c r="V1055" t="str">
        <x:v>CHECK</x:v>
      </x:c>
      <x:c r="W1055" t="str">
        <x:v>QUARANTINE</x:v>
      </x:c>
      <x:c r="X1055" t="str">
        <x:v>02_Supervisor_Log(4).xlsx</x:v>
      </x:c>
      <x:c r="Y1055" t="str">
        <x:v>ENH-20260830-01</x:v>
      </x:c>
      <x:c r="Z1055" t="str">
        <x:v>Active</x:v>
      </x:c>
      <x:c r="AA1055"/>
      <x:c r="AB1055"/>
      <x:c r="AC1055"/>
      <x:c r="AD1055"/>
    </x:row>
    <x:row r="1056">
      <x:c r="A1056" t="str">
        <x:v>PCC-PE-KG01-L22-20251026-AM-ORD-2025-00058-S13-C2</x:v>
      </x:c>
      <x:c r="B1056" t="str">
        <x:v>PC-PE-KG01-L22-20251026-AM-ORD-2025-00058-S13</x:v>
      </x:c>
      <x:c r="C1056" t="str">
        <x:v>PE-KG01-L22-20251026-AM-ORD-2025-00058</x:v>
      </x:c>
      <x:c r="D1056" t="str">
        <x:v>KG01</x:v>
      </x:c>
      <x:c r="E1056" s="62" t="n">
        <x:v>45956</x:v>
      </x:c>
      <x:c r="F1056" t="str">
        <x:v>AM</x:v>
      </x:c>
      <x:c r="G1056" t="str">
        <x:v>C</x:v>
      </x:c>
      <x:c r="H1056" t="n">
        <x:v>22</x:v>
      </x:c>
      <x:c r="I1056" t="str">
        <x:v>ORD-2025-00058</x:v>
      </x:c>
      <x:c r="J1056" t="n">
        <x:v>13</x:v>
      </x:c>
      <x:c r="K1056" t="n">
        <x:v>2</x:v>
      </x:c>
      <x:c r="L1056" t="str">
        <x:v>L22-S13-C2</x:v>
      </x:c>
      <x:c r="M1056" t="n">
        <x:v>0</x:v>
      </x:c>
      <x:c r="N1056" t="str">
        <x:v>DerivedFromCount</x:v>
      </x:c>
      <x:c r="O1056" t="str">
        <x:v>PLC-PRD-BOT-500-L22</x:v>
      </x:c>
      <x:c r="P1056" t="str">
        <x:v>OK</x:v>
      </x:c>
      <x:c r="Q1056" t="str">
        <x:v>OK</x:v>
      </x:c>
      <x:c r="R1056" t="str">
        <x:v>OK</x:v>
      </x:c>
      <x:c r="S1056" t="str">
        <x:v>OK</x:v>
      </x:c>
      <x:c r="T1056" t="n">
        <x:v>30</x:v>
      </x:c>
      <x:c r="U1056" t="str">
        <x:v>CHECK</x:v>
      </x:c>
      <x:c r="V1056" t="str">
        <x:v>CHECK</x:v>
      </x:c>
      <x:c r="W1056" t="str">
        <x:v>QUARANTINE</x:v>
      </x:c>
      <x:c r="X1056" t="str">
        <x:v>02_Supervisor_Log(4).xlsx</x:v>
      </x:c>
      <x:c r="Y1056" t="str">
        <x:v>ENH-20260830-01</x:v>
      </x:c>
      <x:c r="Z1056" t="str">
        <x:v>Active</x:v>
      </x:c>
      <x:c r="AA1056"/>
      <x:c r="AB1056"/>
      <x:c r="AC1056"/>
      <x:c r="AD1056"/>
    </x:row>
    <x:row r="1057">
      <x:c r="A1057" t="str">
        <x:v>PCC-PE-KG01-L22-20251026-AM-ORD-2025-00058-S13-C3</x:v>
      </x:c>
      <x:c r="B1057" t="str">
        <x:v>PC-PE-KG01-L22-20251026-AM-ORD-2025-00058-S13</x:v>
      </x:c>
      <x:c r="C1057" t="str">
        <x:v>PE-KG01-L22-20251026-AM-ORD-2025-00058</x:v>
      </x:c>
      <x:c r="D1057" t="str">
        <x:v>KG01</x:v>
      </x:c>
      <x:c r="E1057" s="62" t="n">
        <x:v>45956</x:v>
      </x:c>
      <x:c r="F1057" t="str">
        <x:v>AM</x:v>
      </x:c>
      <x:c r="G1057" t="str">
        <x:v>C</x:v>
      </x:c>
      <x:c r="H1057" t="n">
        <x:v>22</x:v>
      </x:c>
      <x:c r="I1057" t="str">
        <x:v>ORD-2025-00058</x:v>
      </x:c>
      <x:c r="J1057" t="n">
        <x:v>13</x:v>
      </x:c>
      <x:c r="K1057" t="n">
        <x:v>3</x:v>
      </x:c>
      <x:c r="L1057" t="str">
        <x:v>L22-S13-C3</x:v>
      </x:c>
      <x:c r="M1057" t="n">
        <x:v>0</x:v>
      </x:c>
      <x:c r="N1057" t="str">
        <x:v>DerivedFromCount</x:v>
      </x:c>
      <x:c r="O1057" t="str">
        <x:v>PLC-PRD-BOT-500-L22</x:v>
      </x:c>
      <x:c r="P1057" t="str">
        <x:v>OK</x:v>
      </x:c>
      <x:c r="Q1057" t="str">
        <x:v>OK</x:v>
      </x:c>
      <x:c r="R1057" t="str">
        <x:v>OK</x:v>
      </x:c>
      <x:c r="S1057" t="str">
        <x:v>OK</x:v>
      </x:c>
      <x:c r="T1057" t="n">
        <x:v>30</x:v>
      </x:c>
      <x:c r="U1057" t="str">
        <x:v>CHECK</x:v>
      </x:c>
      <x:c r="V1057" t="str">
        <x:v>CHECK</x:v>
      </x:c>
      <x:c r="W1057" t="str">
        <x:v>QUARANTINE</x:v>
      </x:c>
      <x:c r="X1057" t="str">
        <x:v>02_Supervisor_Log(4).xlsx</x:v>
      </x:c>
      <x:c r="Y1057" t="str">
        <x:v>ENH-20260830-01</x:v>
      </x:c>
      <x:c r="Z1057" t="str">
        <x:v>Active</x:v>
      </x:c>
      <x:c r="AA1057"/>
      <x:c r="AB1057"/>
      <x:c r="AC1057"/>
      <x:c r="AD1057"/>
    </x:row>
    <x:row r="1058">
      <x:c r="A1058" t="str">
        <x:v>PCC-PE-KG01-L22-20251026-PM-ORD-2025-00058-S01-C1</x:v>
      </x:c>
      <x:c r="B1058" t="str">
        <x:v>PC-PE-KG01-L22-20251026-PM-ORD-2025-00058-S01</x:v>
      </x:c>
      <x:c r="C1058" t="str">
        <x:v>PE-KG01-L22-20251026-PM-ORD-2025-00058</x:v>
      </x:c>
      <x:c r="D1058" t="str">
        <x:v>KG01</x:v>
      </x:c>
      <x:c r="E1058" s="62" t="n">
        <x:v>45956</x:v>
      </x:c>
      <x:c r="F1058" t="str">
        <x:v>PM</x:v>
      </x:c>
      <x:c r="G1058" t="str">
        <x:v>A</x:v>
      </x:c>
      <x:c r="H1058" t="n">
        <x:v>22</x:v>
      </x:c>
      <x:c r="I1058" t="str">
        <x:v>ORD-2025-00058</x:v>
      </x:c>
      <x:c r="J1058" t="n">
        <x:v>1</x:v>
      </x:c>
      <x:c r="K1058" t="n">
        <x:v>1</x:v>
      </x:c>
      <x:c r="L1058" t="str">
        <x:v>L22-S01-C1</x:v>
      </x:c>
      <x:c r="M1058" t="n">
        <x:v>1</x:v>
      </x:c>
      <x:c r="N1058" t="str">
        <x:v>DerivedFromCount</x:v>
      </x:c>
      <x:c r="O1058" t="str">
        <x:v>PLC-PRD-BOT-500-L22</x:v>
      </x:c>
      <x:c r="P1058" t="str">
        <x:v>OK</x:v>
      </x:c>
      <x:c r="Q1058" t="str">
        <x:v>OK</x:v>
      </x:c>
      <x:c r="R1058" t="str">
        <x:v>CHECK</x:v>
      </x:c>
      <x:c r="S1058" t="str">
        <x:v>OK</x:v>
      </x:c>
      <x:c r="T1058" t="n">
        <x:v>30</x:v>
      </x:c>
      <x:c r="U1058" t="str">
        <x:v>CHECK</x:v>
      </x:c>
      <x:c r="V1058" t="str">
        <x:v>CHECK</x:v>
      </x:c>
      <x:c r="W1058" t="str">
        <x:v>QUARANTINE</x:v>
      </x:c>
      <x:c r="X1058" t="str">
        <x:v>02_Supervisor_Log(4).xlsx</x:v>
      </x:c>
      <x:c r="Y1058" t="str">
        <x:v>ENH-20260830-01</x:v>
      </x:c>
      <x:c r="Z1058" t="str">
        <x:v>Active</x:v>
      </x:c>
      <x:c r="AA1058"/>
      <x:c r="AB1058"/>
      <x:c r="AC1058"/>
      <x:c r="AD1058"/>
    </x:row>
    <x:row r="1059">
      <x:c r="A1059" t="str">
        <x:v>PCC-PE-KG01-L22-20251026-PM-ORD-2025-00058-S01-C2</x:v>
      </x:c>
      <x:c r="B1059" t="str">
        <x:v>PC-PE-KG01-L22-20251026-PM-ORD-2025-00058-S01</x:v>
      </x:c>
      <x:c r="C1059" t="str">
        <x:v>PE-KG01-L22-20251026-PM-ORD-2025-00058</x:v>
      </x:c>
      <x:c r="D1059" t="str">
        <x:v>KG01</x:v>
      </x:c>
      <x:c r="E1059" s="62" t="n">
        <x:v>45956</x:v>
      </x:c>
      <x:c r="F1059" t="str">
        <x:v>PM</x:v>
      </x:c>
      <x:c r="G1059" t="str">
        <x:v>A</x:v>
      </x:c>
      <x:c r="H1059" t="n">
        <x:v>22</x:v>
      </x:c>
      <x:c r="I1059" t="str">
        <x:v>ORD-2025-00058</x:v>
      </x:c>
      <x:c r="J1059" t="n">
        <x:v>1</x:v>
      </x:c>
      <x:c r="K1059" t="n">
        <x:v>2</x:v>
      </x:c>
      <x:c r="L1059" t="str">
        <x:v>L22-S01-C2</x:v>
      </x:c>
      <x:c r="M1059" t="n">
        <x:v>1</x:v>
      </x:c>
      <x:c r="N1059" t="str">
        <x:v>DerivedFromCount</x:v>
      </x:c>
      <x:c r="O1059" t="str">
        <x:v>PLC-PRD-BOT-500-L22</x:v>
      </x:c>
      <x:c r="P1059" t="str">
        <x:v>OK</x:v>
      </x:c>
      <x:c r="Q1059" t="str">
        <x:v>OK</x:v>
      </x:c>
      <x:c r="R1059" t="str">
        <x:v>CHECK</x:v>
      </x:c>
      <x:c r="S1059" t="str">
        <x:v>OK</x:v>
      </x:c>
      <x:c r="T1059" t="n">
        <x:v>30</x:v>
      </x:c>
      <x:c r="U1059" t="str">
        <x:v>CHECK</x:v>
      </x:c>
      <x:c r="V1059" t="str">
        <x:v>CHECK</x:v>
      </x:c>
      <x:c r="W1059" t="str">
        <x:v>QUARANTINE</x:v>
      </x:c>
      <x:c r="X1059" t="str">
        <x:v>02_Supervisor_Log(4).xlsx</x:v>
      </x:c>
      <x:c r="Y1059" t="str">
        <x:v>ENH-20260830-01</x:v>
      </x:c>
      <x:c r="Z1059" t="str">
        <x:v>Active</x:v>
      </x:c>
      <x:c r="AA1059"/>
      <x:c r="AB1059"/>
      <x:c r="AC1059"/>
      <x:c r="AD1059"/>
    </x:row>
    <x:row r="1060">
      <x:c r="A1060" t="str">
        <x:v>PCC-PE-KG01-L22-20251026-PM-ORD-2025-00058-S01-C3</x:v>
      </x:c>
      <x:c r="B1060" t="str">
        <x:v>PC-PE-KG01-L22-20251026-PM-ORD-2025-00058-S01</x:v>
      </x:c>
      <x:c r="C1060" t="str">
        <x:v>PE-KG01-L22-20251026-PM-ORD-2025-00058</x:v>
      </x:c>
      <x:c r="D1060" t="str">
        <x:v>KG01</x:v>
      </x:c>
      <x:c r="E1060" s="62" t="n">
        <x:v>45956</x:v>
      </x:c>
      <x:c r="F1060" t="str">
        <x:v>PM</x:v>
      </x:c>
      <x:c r="G1060" t="str">
        <x:v>A</x:v>
      </x:c>
      <x:c r="H1060" t="n">
        <x:v>22</x:v>
      </x:c>
      <x:c r="I1060" t="str">
        <x:v>ORD-2025-00058</x:v>
      </x:c>
      <x:c r="J1060" t="n">
        <x:v>1</x:v>
      </x:c>
      <x:c r="K1060" t="n">
        <x:v>3</x:v>
      </x:c>
      <x:c r="L1060" t="str">
        <x:v>L22-S01-C3</x:v>
      </x:c>
      <x:c r="M1060" t="n">
        <x:v>1</x:v>
      </x:c>
      <x:c r="N1060" t="str">
        <x:v>DerivedFromCount</x:v>
      </x:c>
      <x:c r="O1060" t="str">
        <x:v>PLC-PRD-BOT-500-L22</x:v>
      </x:c>
      <x:c r="P1060" t="str">
        <x:v>OK</x:v>
      </x:c>
      <x:c r="Q1060" t="str">
        <x:v>OK</x:v>
      </x:c>
      <x:c r="R1060" t="str">
        <x:v>CHECK</x:v>
      </x:c>
      <x:c r="S1060" t="str">
        <x:v>OK</x:v>
      </x:c>
      <x:c r="T1060" t="n">
        <x:v>30</x:v>
      </x:c>
      <x:c r="U1060" t="str">
        <x:v>CHECK</x:v>
      </x:c>
      <x:c r="V1060" t="str">
        <x:v>CHECK</x:v>
      </x:c>
      <x:c r="W1060" t="str">
        <x:v>QUARANTINE</x:v>
      </x:c>
      <x:c r="X1060" t="str">
        <x:v>02_Supervisor_Log(4).xlsx</x:v>
      </x:c>
      <x:c r="Y1060" t="str">
        <x:v>ENH-20260830-01</x:v>
      </x:c>
      <x:c r="Z1060" t="str">
        <x:v>Active</x:v>
      </x:c>
      <x:c r="AA1060"/>
      <x:c r="AB1060"/>
      <x:c r="AC1060"/>
      <x:c r="AD1060"/>
    </x:row>
    <x:row r="1061">
      <x:c r="A1061" t="str">
        <x:v>PCC-PE-KG01-L22-20251026-PM-ORD-2025-00058-S02-C1</x:v>
      </x:c>
      <x:c r="B1061" t="str">
        <x:v>PC-PE-KG01-L22-20251026-PM-ORD-2025-00058-S02</x:v>
      </x:c>
      <x:c r="C1061" t="str">
        <x:v>PE-KG01-L22-20251026-PM-ORD-2025-00058</x:v>
      </x:c>
      <x:c r="D1061" t="str">
        <x:v>KG01</x:v>
      </x:c>
      <x:c r="E1061" s="62" t="n">
        <x:v>45956</x:v>
      </x:c>
      <x:c r="F1061" t="str">
        <x:v>PM</x:v>
      </x:c>
      <x:c r="G1061" t="str">
        <x:v>A</x:v>
      </x:c>
      <x:c r="H1061" t="n">
        <x:v>22</x:v>
      </x:c>
      <x:c r="I1061" t="str">
        <x:v>ORD-2025-00058</x:v>
      </x:c>
      <x:c r="J1061" t="n">
        <x:v>2</x:v>
      </x:c>
      <x:c r="K1061" t="n">
        <x:v>1</x:v>
      </x:c>
      <x:c r="L1061" t="str">
        <x:v>L22-S02-C1</x:v>
      </x:c>
      <x:c r="M1061" t="n">
        <x:v>1</x:v>
      </x:c>
      <x:c r="N1061" t="str">
        <x:v>DerivedFromCount</x:v>
      </x:c>
      <x:c r="O1061" t="str">
        <x:v>PLC-PRD-BOT-500-L22</x:v>
      </x:c>
      <x:c r="P1061" t="str">
        <x:v>OK</x:v>
      </x:c>
      <x:c r="Q1061" t="str">
        <x:v>OK</x:v>
      </x:c>
      <x:c r="R1061" t="str">
        <x:v>CHECK</x:v>
      </x:c>
      <x:c r="S1061" t="str">
        <x:v>OK</x:v>
      </x:c>
      <x:c r="T1061" t="n">
        <x:v>30</x:v>
      </x:c>
      <x:c r="U1061" t="str">
        <x:v>CHECK</x:v>
      </x:c>
      <x:c r="V1061" t="str">
        <x:v>CHECK</x:v>
      </x:c>
      <x:c r="W1061" t="str">
        <x:v>QUARANTINE</x:v>
      </x:c>
      <x:c r="X1061" t="str">
        <x:v>02_Supervisor_Log(4).xlsx</x:v>
      </x:c>
      <x:c r="Y1061" t="str">
        <x:v>ENH-20260830-01</x:v>
      </x:c>
      <x:c r="Z1061" t="str">
        <x:v>Active</x:v>
      </x:c>
      <x:c r="AA1061"/>
      <x:c r="AB1061"/>
      <x:c r="AC1061"/>
      <x:c r="AD1061"/>
    </x:row>
    <x:row r="1062">
      <x:c r="A1062" t="str">
        <x:v>PCC-PE-KG01-L22-20251026-PM-ORD-2025-00058-S02-C2</x:v>
      </x:c>
      <x:c r="B1062" t="str">
        <x:v>PC-PE-KG01-L22-20251026-PM-ORD-2025-00058-S02</x:v>
      </x:c>
      <x:c r="C1062" t="str">
        <x:v>PE-KG01-L22-20251026-PM-ORD-2025-00058</x:v>
      </x:c>
      <x:c r="D1062" t="str">
        <x:v>KG01</x:v>
      </x:c>
      <x:c r="E1062" s="62" t="n">
        <x:v>45956</x:v>
      </x:c>
      <x:c r="F1062" t="str">
        <x:v>PM</x:v>
      </x:c>
      <x:c r="G1062" t="str">
        <x:v>A</x:v>
      </x:c>
      <x:c r="H1062" t="n">
        <x:v>22</x:v>
      </x:c>
      <x:c r="I1062" t="str">
        <x:v>ORD-2025-00058</x:v>
      </x:c>
      <x:c r="J1062" t="n">
        <x:v>2</x:v>
      </x:c>
      <x:c r="K1062" t="n">
        <x:v>2</x:v>
      </x:c>
      <x:c r="L1062" t="str">
        <x:v>L22-S02-C2</x:v>
      </x:c>
      <x:c r="M1062" t="n">
        <x:v>1</x:v>
      </x:c>
      <x:c r="N1062" t="str">
        <x:v>DerivedFromCount</x:v>
      </x:c>
      <x:c r="O1062" t="str">
        <x:v>PLC-PRD-BOT-500-L22</x:v>
      </x:c>
      <x:c r="P1062" t="str">
        <x:v>OK</x:v>
      </x:c>
      <x:c r="Q1062" t="str">
        <x:v>OK</x:v>
      </x:c>
      <x:c r="R1062" t="str">
        <x:v>CHECK</x:v>
      </x:c>
      <x:c r="S1062" t="str">
        <x:v>OK</x:v>
      </x:c>
      <x:c r="T1062" t="n">
        <x:v>30</x:v>
      </x:c>
      <x:c r="U1062" t="str">
        <x:v>CHECK</x:v>
      </x:c>
      <x:c r="V1062" t="str">
        <x:v>CHECK</x:v>
      </x:c>
      <x:c r="W1062" t="str">
        <x:v>QUARANTINE</x:v>
      </x:c>
      <x:c r="X1062" t="str">
        <x:v>02_Supervisor_Log(4).xlsx</x:v>
      </x:c>
      <x:c r="Y1062" t="str">
        <x:v>ENH-20260830-01</x:v>
      </x:c>
      <x:c r="Z1062" t="str">
        <x:v>Active</x:v>
      </x:c>
      <x:c r="AA1062"/>
      <x:c r="AB1062"/>
      <x:c r="AC1062"/>
      <x:c r="AD1062"/>
    </x:row>
    <x:row r="1063">
      <x:c r="A1063" t="str">
        <x:v>PCC-PE-KG01-L22-20251026-PM-ORD-2025-00058-S02-C3</x:v>
      </x:c>
      <x:c r="B1063" t="str">
        <x:v>PC-PE-KG01-L22-20251026-PM-ORD-2025-00058-S02</x:v>
      </x:c>
      <x:c r="C1063" t="str">
        <x:v>PE-KG01-L22-20251026-PM-ORD-2025-00058</x:v>
      </x:c>
      <x:c r="D1063" t="str">
        <x:v>KG01</x:v>
      </x:c>
      <x:c r="E1063" s="62" t="n">
        <x:v>45956</x:v>
      </x:c>
      <x:c r="F1063" t="str">
        <x:v>PM</x:v>
      </x:c>
      <x:c r="G1063" t="str">
        <x:v>A</x:v>
      </x:c>
      <x:c r="H1063" t="n">
        <x:v>22</x:v>
      </x:c>
      <x:c r="I1063" t="str">
        <x:v>ORD-2025-00058</x:v>
      </x:c>
      <x:c r="J1063" t="n">
        <x:v>2</x:v>
      </x:c>
      <x:c r="K1063" t="n">
        <x:v>3</x:v>
      </x:c>
      <x:c r="L1063" t="str">
        <x:v>L22-S02-C3</x:v>
      </x:c>
      <x:c r="M1063" t="n">
        <x:v>1</x:v>
      </x:c>
      <x:c r="N1063" t="str">
        <x:v>DerivedFromCount</x:v>
      </x:c>
      <x:c r="O1063" t="str">
        <x:v>PLC-PRD-BOT-500-L22</x:v>
      </x:c>
      <x:c r="P1063" t="str">
        <x:v>OK</x:v>
      </x:c>
      <x:c r="Q1063" t="str">
        <x:v>OK</x:v>
      </x:c>
      <x:c r="R1063" t="str">
        <x:v>CHECK</x:v>
      </x:c>
      <x:c r="S1063" t="str">
        <x:v>OK</x:v>
      </x:c>
      <x:c r="T1063" t="n">
        <x:v>30</x:v>
      </x:c>
      <x:c r="U1063" t="str">
        <x:v>CHECK</x:v>
      </x:c>
      <x:c r="V1063" t="str">
        <x:v>CHECK</x:v>
      </x:c>
      <x:c r="W1063" t="str">
        <x:v>QUARANTINE</x:v>
      </x:c>
      <x:c r="X1063" t="str">
        <x:v>02_Supervisor_Log(4).xlsx</x:v>
      </x:c>
      <x:c r="Y1063" t="str">
        <x:v>ENH-20260830-01</x:v>
      </x:c>
      <x:c r="Z1063" t="str">
        <x:v>Active</x:v>
      </x:c>
      <x:c r="AA1063"/>
      <x:c r="AB1063"/>
      <x:c r="AC1063"/>
      <x:c r="AD1063"/>
    </x:row>
    <x:row r="1064">
      <x:c r="A1064" t="str">
        <x:v>PCC-PE-KG01-L22-20251026-PM-ORD-2025-00058-S03-C1</x:v>
      </x:c>
      <x:c r="B1064" t="str">
        <x:v>PC-PE-KG01-L22-20251026-PM-ORD-2025-00058-S03</x:v>
      </x:c>
      <x:c r="C1064" t="str">
        <x:v>PE-KG01-L22-20251026-PM-ORD-2025-00058</x:v>
      </x:c>
      <x:c r="D1064" t="str">
        <x:v>KG01</x:v>
      </x:c>
      <x:c r="E1064" s="62" t="n">
        <x:v>45956</x:v>
      </x:c>
      <x:c r="F1064" t="str">
        <x:v>PM</x:v>
      </x:c>
      <x:c r="G1064" t="str">
        <x:v>A</x:v>
      </x:c>
      <x:c r="H1064" t="n">
        <x:v>22</x:v>
      </x:c>
      <x:c r="I1064" t="str">
        <x:v>ORD-2025-00058</x:v>
      </x:c>
      <x:c r="J1064" t="n">
        <x:v>3</x:v>
      </x:c>
      <x:c r="K1064" t="n">
        <x:v>1</x:v>
      </x:c>
      <x:c r="L1064" t="str">
        <x:v>L22-S03-C1</x:v>
      </x:c>
      <x:c r="M1064" t="n">
        <x:v>1</x:v>
      </x:c>
      <x:c r="N1064" t="str">
        <x:v>DerivedFromCount</x:v>
      </x:c>
      <x:c r="O1064" t="str">
        <x:v>PLC-PRD-BOT-500-L22</x:v>
      </x:c>
      <x:c r="P1064" t="str">
        <x:v>OK</x:v>
      </x:c>
      <x:c r="Q1064" t="str">
        <x:v>OK</x:v>
      </x:c>
      <x:c r="R1064" t="str">
        <x:v>CHECK</x:v>
      </x:c>
      <x:c r="S1064" t="str">
        <x:v>OK</x:v>
      </x:c>
      <x:c r="T1064" t="n">
        <x:v>30</x:v>
      </x:c>
      <x:c r="U1064" t="str">
        <x:v>CHECK</x:v>
      </x:c>
      <x:c r="V1064" t="str">
        <x:v>CHECK</x:v>
      </x:c>
      <x:c r="W1064" t="str">
        <x:v>QUARANTINE</x:v>
      </x:c>
      <x:c r="X1064" t="str">
        <x:v>02_Supervisor_Log(4).xlsx</x:v>
      </x:c>
      <x:c r="Y1064" t="str">
        <x:v>ENH-20260830-01</x:v>
      </x:c>
      <x:c r="Z1064" t="str">
        <x:v>Active</x:v>
      </x:c>
      <x:c r="AA1064"/>
      <x:c r="AB1064"/>
      <x:c r="AC1064"/>
      <x:c r="AD1064"/>
    </x:row>
    <x:row r="1065">
      <x:c r="A1065" t="str">
        <x:v>PCC-PE-KG01-L22-20251026-PM-ORD-2025-00058-S03-C2</x:v>
      </x:c>
      <x:c r="B1065" t="str">
        <x:v>PC-PE-KG01-L22-20251026-PM-ORD-2025-00058-S03</x:v>
      </x:c>
      <x:c r="C1065" t="str">
        <x:v>PE-KG01-L22-20251026-PM-ORD-2025-00058</x:v>
      </x:c>
      <x:c r="D1065" t="str">
        <x:v>KG01</x:v>
      </x:c>
      <x:c r="E1065" s="62" t="n">
        <x:v>45956</x:v>
      </x:c>
      <x:c r="F1065" t="str">
        <x:v>PM</x:v>
      </x:c>
      <x:c r="G1065" t="str">
        <x:v>A</x:v>
      </x:c>
      <x:c r="H1065" t="n">
        <x:v>22</x:v>
      </x:c>
      <x:c r="I1065" t="str">
        <x:v>ORD-2025-00058</x:v>
      </x:c>
      <x:c r="J1065" t="n">
        <x:v>3</x:v>
      </x:c>
      <x:c r="K1065" t="n">
        <x:v>2</x:v>
      </x:c>
      <x:c r="L1065" t="str">
        <x:v>L22-S03-C2</x:v>
      </x:c>
      <x:c r="M1065" t="n">
        <x:v>1</x:v>
      </x:c>
      <x:c r="N1065" t="str">
        <x:v>DerivedFromCount</x:v>
      </x:c>
      <x:c r="O1065" t="str">
        <x:v>PLC-PRD-BOT-500-L22</x:v>
      </x:c>
      <x:c r="P1065" t="str">
        <x:v>OK</x:v>
      </x:c>
      <x:c r="Q1065" t="str">
        <x:v>OK</x:v>
      </x:c>
      <x:c r="R1065" t="str">
        <x:v>CHECK</x:v>
      </x:c>
      <x:c r="S1065" t="str">
        <x:v>OK</x:v>
      </x:c>
      <x:c r="T1065" t="n">
        <x:v>30</x:v>
      </x:c>
      <x:c r="U1065" t="str">
        <x:v>CHECK</x:v>
      </x:c>
      <x:c r="V1065" t="str">
        <x:v>CHECK</x:v>
      </x:c>
      <x:c r="W1065" t="str">
        <x:v>QUARANTINE</x:v>
      </x:c>
      <x:c r="X1065" t="str">
        <x:v>02_Supervisor_Log(4).xlsx</x:v>
      </x:c>
      <x:c r="Y1065" t="str">
        <x:v>ENH-20260830-01</x:v>
      </x:c>
      <x:c r="Z1065" t="str">
        <x:v>Active</x:v>
      </x:c>
      <x:c r="AA1065"/>
      <x:c r="AB1065"/>
      <x:c r="AC1065"/>
      <x:c r="AD1065"/>
    </x:row>
    <x:row r="1066">
      <x:c r="A1066" t="str">
        <x:v>PCC-PE-KG01-L22-20251026-PM-ORD-2025-00058-S03-C3</x:v>
      </x:c>
      <x:c r="B1066" t="str">
        <x:v>PC-PE-KG01-L22-20251026-PM-ORD-2025-00058-S03</x:v>
      </x:c>
      <x:c r="C1066" t="str">
        <x:v>PE-KG01-L22-20251026-PM-ORD-2025-00058</x:v>
      </x:c>
      <x:c r="D1066" t="str">
        <x:v>KG01</x:v>
      </x:c>
      <x:c r="E1066" s="62" t="n">
        <x:v>45956</x:v>
      </x:c>
      <x:c r="F1066" t="str">
        <x:v>PM</x:v>
      </x:c>
      <x:c r="G1066" t="str">
        <x:v>A</x:v>
      </x:c>
      <x:c r="H1066" t="n">
        <x:v>22</x:v>
      </x:c>
      <x:c r="I1066" t="str">
        <x:v>ORD-2025-00058</x:v>
      </x:c>
      <x:c r="J1066" t="n">
        <x:v>3</x:v>
      </x:c>
      <x:c r="K1066" t="n">
        <x:v>3</x:v>
      </x:c>
      <x:c r="L1066" t="str">
        <x:v>L22-S03-C3</x:v>
      </x:c>
      <x:c r="M1066" t="n">
        <x:v>1</x:v>
      </x:c>
      <x:c r="N1066" t="str">
        <x:v>DerivedFromCount</x:v>
      </x:c>
      <x:c r="O1066" t="str">
        <x:v>PLC-PRD-BOT-500-L22</x:v>
      </x:c>
      <x:c r="P1066" t="str">
        <x:v>OK</x:v>
      </x:c>
      <x:c r="Q1066" t="str">
        <x:v>OK</x:v>
      </x:c>
      <x:c r="R1066" t="str">
        <x:v>CHECK</x:v>
      </x:c>
      <x:c r="S1066" t="str">
        <x:v>OK</x:v>
      </x:c>
      <x:c r="T1066" t="n">
        <x:v>30</x:v>
      </x:c>
      <x:c r="U1066" t="str">
        <x:v>CHECK</x:v>
      </x:c>
      <x:c r="V1066" t="str">
        <x:v>CHECK</x:v>
      </x:c>
      <x:c r="W1066" t="str">
        <x:v>QUARANTINE</x:v>
      </x:c>
      <x:c r="X1066" t="str">
        <x:v>02_Supervisor_Log(4).xlsx</x:v>
      </x:c>
      <x:c r="Y1066" t="str">
        <x:v>ENH-20260830-01</x:v>
      </x:c>
      <x:c r="Z1066" t="str">
        <x:v>Active</x:v>
      </x:c>
      <x:c r="AA1066"/>
      <x:c r="AB1066"/>
      <x:c r="AC1066"/>
      <x:c r="AD1066"/>
    </x:row>
    <x:row r="1067">
      <x:c r="A1067" t="str">
        <x:v>PCC-PE-KG01-L22-20251026-PM-ORD-2025-00058-S04-C1</x:v>
      </x:c>
      <x:c r="B1067" t="str">
        <x:v>PC-PE-KG01-L22-20251026-PM-ORD-2025-00058-S04</x:v>
      </x:c>
      <x:c r="C1067" t="str">
        <x:v>PE-KG01-L22-20251026-PM-ORD-2025-00058</x:v>
      </x:c>
      <x:c r="D1067" t="str">
        <x:v>KG01</x:v>
      </x:c>
      <x:c r="E1067" s="62" t="n">
        <x:v>45956</x:v>
      </x:c>
      <x:c r="F1067" t="str">
        <x:v>PM</x:v>
      </x:c>
      <x:c r="G1067" t="str">
        <x:v>A</x:v>
      </x:c>
      <x:c r="H1067" t="n">
        <x:v>22</x:v>
      </x:c>
      <x:c r="I1067" t="str">
        <x:v>ORD-2025-00058</x:v>
      </x:c>
      <x:c r="J1067" t="n">
        <x:v>4</x:v>
      </x:c>
      <x:c r="K1067" t="n">
        <x:v>1</x:v>
      </x:c>
      <x:c r="L1067" t="str">
        <x:v>L22-S04-C1</x:v>
      </x:c>
      <x:c r="M1067" t="n">
        <x:v>1</x:v>
      </x:c>
      <x:c r="N1067" t="str">
        <x:v>DerivedFromCount</x:v>
      </x:c>
      <x:c r="O1067" t="str">
        <x:v>PLC-PRD-BOT-500-L22</x:v>
      </x:c>
      <x:c r="P1067" t="str">
        <x:v>OK</x:v>
      </x:c>
      <x:c r="Q1067" t="str">
        <x:v>OK</x:v>
      </x:c>
      <x:c r="R1067" t="str">
        <x:v>CHECK</x:v>
      </x:c>
      <x:c r="S1067" t="str">
        <x:v>OK</x:v>
      </x:c>
      <x:c r="T1067" t="n">
        <x:v>30</x:v>
      </x:c>
      <x:c r="U1067" t="str">
        <x:v>CHECK</x:v>
      </x:c>
      <x:c r="V1067" t="str">
        <x:v>CHECK</x:v>
      </x:c>
      <x:c r="W1067" t="str">
        <x:v>QUARANTINE</x:v>
      </x:c>
      <x:c r="X1067" t="str">
        <x:v>02_Supervisor_Log(4).xlsx</x:v>
      </x:c>
      <x:c r="Y1067" t="str">
        <x:v>ENH-20260830-01</x:v>
      </x:c>
      <x:c r="Z1067" t="str">
        <x:v>Active</x:v>
      </x:c>
      <x:c r="AA1067"/>
      <x:c r="AB1067"/>
      <x:c r="AC1067"/>
      <x:c r="AD1067"/>
    </x:row>
    <x:row r="1068">
      <x:c r="A1068" t="str">
        <x:v>PCC-PE-KG01-L22-20251026-PM-ORD-2025-00058-S04-C2</x:v>
      </x:c>
      <x:c r="B1068" t="str">
        <x:v>PC-PE-KG01-L22-20251026-PM-ORD-2025-00058-S04</x:v>
      </x:c>
      <x:c r="C1068" t="str">
        <x:v>PE-KG01-L22-20251026-PM-ORD-2025-00058</x:v>
      </x:c>
      <x:c r="D1068" t="str">
        <x:v>KG01</x:v>
      </x:c>
      <x:c r="E1068" s="62" t="n">
        <x:v>45956</x:v>
      </x:c>
      <x:c r="F1068" t="str">
        <x:v>PM</x:v>
      </x:c>
      <x:c r="G1068" t="str">
        <x:v>A</x:v>
      </x:c>
      <x:c r="H1068" t="n">
        <x:v>22</x:v>
      </x:c>
      <x:c r="I1068" t="str">
        <x:v>ORD-2025-00058</x:v>
      </x:c>
      <x:c r="J1068" t="n">
        <x:v>4</x:v>
      </x:c>
      <x:c r="K1068" t="n">
        <x:v>2</x:v>
      </x:c>
      <x:c r="L1068" t="str">
        <x:v>L22-S04-C2</x:v>
      </x:c>
      <x:c r="M1068" t="n">
        <x:v>1</x:v>
      </x:c>
      <x:c r="N1068" t="str">
        <x:v>DerivedFromCount</x:v>
      </x:c>
      <x:c r="O1068" t="str">
        <x:v>PLC-PRD-BOT-500-L22</x:v>
      </x:c>
      <x:c r="P1068" t="str">
        <x:v>OK</x:v>
      </x:c>
      <x:c r="Q1068" t="str">
        <x:v>OK</x:v>
      </x:c>
      <x:c r="R1068" t="str">
        <x:v>CHECK</x:v>
      </x:c>
      <x:c r="S1068" t="str">
        <x:v>OK</x:v>
      </x:c>
      <x:c r="T1068" t="n">
        <x:v>30</x:v>
      </x:c>
      <x:c r="U1068" t="str">
        <x:v>CHECK</x:v>
      </x:c>
      <x:c r="V1068" t="str">
        <x:v>CHECK</x:v>
      </x:c>
      <x:c r="W1068" t="str">
        <x:v>QUARANTINE</x:v>
      </x:c>
      <x:c r="X1068" t="str">
        <x:v>02_Supervisor_Log(4).xlsx</x:v>
      </x:c>
      <x:c r="Y1068" t="str">
        <x:v>ENH-20260830-01</x:v>
      </x:c>
      <x:c r="Z1068" t="str">
        <x:v>Active</x:v>
      </x:c>
      <x:c r="AA1068"/>
      <x:c r="AB1068"/>
      <x:c r="AC1068"/>
      <x:c r="AD1068"/>
    </x:row>
    <x:row r="1069">
      <x:c r="A1069" t="str">
        <x:v>PCC-PE-KG01-L22-20251026-PM-ORD-2025-00058-S04-C3</x:v>
      </x:c>
      <x:c r="B1069" t="str">
        <x:v>PC-PE-KG01-L22-20251026-PM-ORD-2025-00058-S04</x:v>
      </x:c>
      <x:c r="C1069" t="str">
        <x:v>PE-KG01-L22-20251026-PM-ORD-2025-00058</x:v>
      </x:c>
      <x:c r="D1069" t="str">
        <x:v>KG01</x:v>
      </x:c>
      <x:c r="E1069" s="62" t="n">
        <x:v>45956</x:v>
      </x:c>
      <x:c r="F1069" t="str">
        <x:v>PM</x:v>
      </x:c>
      <x:c r="G1069" t="str">
        <x:v>A</x:v>
      </x:c>
      <x:c r="H1069" t="n">
        <x:v>22</x:v>
      </x:c>
      <x:c r="I1069" t="str">
        <x:v>ORD-2025-00058</x:v>
      </x:c>
      <x:c r="J1069" t="n">
        <x:v>4</x:v>
      </x:c>
      <x:c r="K1069" t="n">
        <x:v>3</x:v>
      </x:c>
      <x:c r="L1069" t="str">
        <x:v>L22-S04-C3</x:v>
      </x:c>
      <x:c r="M1069" t="n">
        <x:v>1</x:v>
      </x:c>
      <x:c r="N1069" t="str">
        <x:v>DerivedFromCount</x:v>
      </x:c>
      <x:c r="O1069" t="str">
        <x:v>PLC-PRD-BOT-500-L22</x:v>
      </x:c>
      <x:c r="P1069" t="str">
        <x:v>OK</x:v>
      </x:c>
      <x:c r="Q1069" t="str">
        <x:v>OK</x:v>
      </x:c>
      <x:c r="R1069" t="str">
        <x:v>CHECK</x:v>
      </x:c>
      <x:c r="S1069" t="str">
        <x:v>OK</x:v>
      </x:c>
      <x:c r="T1069" t="n">
        <x:v>30</x:v>
      </x:c>
      <x:c r="U1069" t="str">
        <x:v>CHECK</x:v>
      </x:c>
      <x:c r="V1069" t="str">
        <x:v>CHECK</x:v>
      </x:c>
      <x:c r="W1069" t="str">
        <x:v>QUARANTINE</x:v>
      </x:c>
      <x:c r="X1069" t="str">
        <x:v>02_Supervisor_Log(4).xlsx</x:v>
      </x:c>
      <x:c r="Y1069" t="str">
        <x:v>ENH-20260830-01</x:v>
      </x:c>
      <x:c r="Z1069" t="str">
        <x:v>Active</x:v>
      </x:c>
      <x:c r="AA1069"/>
      <x:c r="AB1069"/>
      <x:c r="AC1069"/>
      <x:c r="AD1069"/>
    </x:row>
    <x:row r="1070">
      <x:c r="A1070" t="str">
        <x:v>PCC-PE-KG01-L22-20251026-PM-ORD-2025-00058-S05-C1</x:v>
      </x:c>
      <x:c r="B1070" t="str">
        <x:v>PC-PE-KG01-L22-20251026-PM-ORD-2025-00058-S05</x:v>
      </x:c>
      <x:c r="C1070" t="str">
        <x:v>PE-KG01-L22-20251026-PM-ORD-2025-00058</x:v>
      </x:c>
      <x:c r="D1070" t="str">
        <x:v>KG01</x:v>
      </x:c>
      <x:c r="E1070" s="62" t="n">
        <x:v>45956</x:v>
      </x:c>
      <x:c r="F1070" t="str">
        <x:v>PM</x:v>
      </x:c>
      <x:c r="G1070" t="str">
        <x:v>A</x:v>
      </x:c>
      <x:c r="H1070" t="n">
        <x:v>22</x:v>
      </x:c>
      <x:c r="I1070" t="str">
        <x:v>ORD-2025-00058</x:v>
      </x:c>
      <x:c r="J1070" t="n">
        <x:v>5</x:v>
      </x:c>
      <x:c r="K1070" t="n">
        <x:v>1</x:v>
      </x:c>
      <x:c r="L1070" t="str">
        <x:v>L22-S05-C1</x:v>
      </x:c>
      <x:c r="M1070" t="n">
        <x:v>1</x:v>
      </x:c>
      <x:c r="N1070" t="str">
        <x:v>DerivedFromCount</x:v>
      </x:c>
      <x:c r="O1070" t="str">
        <x:v>PLC-PRD-BOT-500-L22</x:v>
      </x:c>
      <x:c r="P1070" t="str">
        <x:v>OK</x:v>
      </x:c>
      <x:c r="Q1070" t="str">
        <x:v>OK</x:v>
      </x:c>
      <x:c r="R1070" t="str">
        <x:v>CHECK</x:v>
      </x:c>
      <x:c r="S1070" t="str">
        <x:v>OK</x:v>
      </x:c>
      <x:c r="T1070" t="n">
        <x:v>30</x:v>
      </x:c>
      <x:c r="U1070" t="str">
        <x:v>CHECK</x:v>
      </x:c>
      <x:c r="V1070" t="str">
        <x:v>CHECK</x:v>
      </x:c>
      <x:c r="W1070" t="str">
        <x:v>QUARANTINE</x:v>
      </x:c>
      <x:c r="X1070" t="str">
        <x:v>02_Supervisor_Log(4).xlsx</x:v>
      </x:c>
      <x:c r="Y1070" t="str">
        <x:v>ENH-20260830-01</x:v>
      </x:c>
      <x:c r="Z1070" t="str">
        <x:v>Active</x:v>
      </x:c>
      <x:c r="AA1070"/>
      <x:c r="AB1070"/>
      <x:c r="AC1070"/>
      <x:c r="AD1070"/>
    </x:row>
    <x:row r="1071">
      <x:c r="A1071" t="str">
        <x:v>PCC-PE-KG01-L22-20251026-PM-ORD-2025-00058-S05-C2</x:v>
      </x:c>
      <x:c r="B1071" t="str">
        <x:v>PC-PE-KG01-L22-20251026-PM-ORD-2025-00058-S05</x:v>
      </x:c>
      <x:c r="C1071" t="str">
        <x:v>PE-KG01-L22-20251026-PM-ORD-2025-00058</x:v>
      </x:c>
      <x:c r="D1071" t="str">
        <x:v>KG01</x:v>
      </x:c>
      <x:c r="E1071" s="62" t="n">
        <x:v>45956</x:v>
      </x:c>
      <x:c r="F1071" t="str">
        <x:v>PM</x:v>
      </x:c>
      <x:c r="G1071" t="str">
        <x:v>A</x:v>
      </x:c>
      <x:c r="H1071" t="n">
        <x:v>22</x:v>
      </x:c>
      <x:c r="I1071" t="str">
        <x:v>ORD-2025-00058</x:v>
      </x:c>
      <x:c r="J1071" t="n">
        <x:v>5</x:v>
      </x:c>
      <x:c r="K1071" t="n">
        <x:v>2</x:v>
      </x:c>
      <x:c r="L1071" t="str">
        <x:v>L22-S05-C2</x:v>
      </x:c>
      <x:c r="M1071" t="n">
        <x:v>1</x:v>
      </x:c>
      <x:c r="N1071" t="str">
        <x:v>DerivedFromCount</x:v>
      </x:c>
      <x:c r="O1071" t="str">
        <x:v>PLC-PRD-BOT-500-L22</x:v>
      </x:c>
      <x:c r="P1071" t="str">
        <x:v>OK</x:v>
      </x:c>
      <x:c r="Q1071" t="str">
        <x:v>OK</x:v>
      </x:c>
      <x:c r="R1071" t="str">
        <x:v>CHECK</x:v>
      </x:c>
      <x:c r="S1071" t="str">
        <x:v>OK</x:v>
      </x:c>
      <x:c r="T1071" t="n">
        <x:v>30</x:v>
      </x:c>
      <x:c r="U1071" t="str">
        <x:v>CHECK</x:v>
      </x:c>
      <x:c r="V1071" t="str">
        <x:v>CHECK</x:v>
      </x:c>
      <x:c r="W1071" t="str">
        <x:v>QUARANTINE</x:v>
      </x:c>
      <x:c r="X1071" t="str">
        <x:v>02_Supervisor_Log(4).xlsx</x:v>
      </x:c>
      <x:c r="Y1071" t="str">
        <x:v>ENH-20260830-01</x:v>
      </x:c>
      <x:c r="Z1071" t="str">
        <x:v>Active</x:v>
      </x:c>
      <x:c r="AA1071"/>
      <x:c r="AB1071"/>
      <x:c r="AC1071"/>
      <x:c r="AD1071"/>
    </x:row>
    <x:row r="1072">
      <x:c r="A1072" t="str">
        <x:v>PCC-PE-KG01-L22-20251026-PM-ORD-2025-00058-S05-C3</x:v>
      </x:c>
      <x:c r="B1072" t="str">
        <x:v>PC-PE-KG01-L22-20251026-PM-ORD-2025-00058-S05</x:v>
      </x:c>
      <x:c r="C1072" t="str">
        <x:v>PE-KG01-L22-20251026-PM-ORD-2025-00058</x:v>
      </x:c>
      <x:c r="D1072" t="str">
        <x:v>KG01</x:v>
      </x:c>
      <x:c r="E1072" s="62" t="n">
        <x:v>45956</x:v>
      </x:c>
      <x:c r="F1072" t="str">
        <x:v>PM</x:v>
      </x:c>
      <x:c r="G1072" t="str">
        <x:v>A</x:v>
      </x:c>
      <x:c r="H1072" t="n">
        <x:v>22</x:v>
      </x:c>
      <x:c r="I1072" t="str">
        <x:v>ORD-2025-00058</x:v>
      </x:c>
      <x:c r="J1072" t="n">
        <x:v>5</x:v>
      </x:c>
      <x:c r="K1072" t="n">
        <x:v>3</x:v>
      </x:c>
      <x:c r="L1072" t="str">
        <x:v>L22-S05-C3</x:v>
      </x:c>
      <x:c r="M1072" t="n">
        <x:v>1</x:v>
      </x:c>
      <x:c r="N1072" t="str">
        <x:v>DerivedFromCount</x:v>
      </x:c>
      <x:c r="O1072" t="str">
        <x:v>PLC-PRD-BOT-500-L22</x:v>
      </x:c>
      <x:c r="P1072" t="str">
        <x:v>OK</x:v>
      </x:c>
      <x:c r="Q1072" t="str">
        <x:v>OK</x:v>
      </x:c>
      <x:c r="R1072" t="str">
        <x:v>CHECK</x:v>
      </x:c>
      <x:c r="S1072" t="str">
        <x:v>OK</x:v>
      </x:c>
      <x:c r="T1072" t="n">
        <x:v>30</x:v>
      </x:c>
      <x:c r="U1072" t="str">
        <x:v>CHECK</x:v>
      </x:c>
      <x:c r="V1072" t="str">
        <x:v>CHECK</x:v>
      </x:c>
      <x:c r="W1072" t="str">
        <x:v>QUARANTINE</x:v>
      </x:c>
      <x:c r="X1072" t="str">
        <x:v>02_Supervisor_Log(4).xlsx</x:v>
      </x:c>
      <x:c r="Y1072" t="str">
        <x:v>ENH-20260830-01</x:v>
      </x:c>
      <x:c r="Z1072" t="str">
        <x:v>Active</x:v>
      </x:c>
      <x:c r="AA1072"/>
      <x:c r="AB1072"/>
      <x:c r="AC1072"/>
      <x:c r="AD1072"/>
    </x:row>
    <x:row r="1073">
      <x:c r="A1073" t="str">
        <x:v>PCC-PE-KG01-L22-20251026-PM-ORD-2025-00058-S06-C1</x:v>
      </x:c>
      <x:c r="B1073" t="str">
        <x:v>PC-PE-KG01-L22-20251026-PM-ORD-2025-00058-S06</x:v>
      </x:c>
      <x:c r="C1073" t="str">
        <x:v>PE-KG01-L22-20251026-PM-ORD-2025-00058</x:v>
      </x:c>
      <x:c r="D1073" t="str">
        <x:v>KG01</x:v>
      </x:c>
      <x:c r="E1073" s="62" t="n">
        <x:v>45956</x:v>
      </x:c>
      <x:c r="F1073" t="str">
        <x:v>PM</x:v>
      </x:c>
      <x:c r="G1073" t="str">
        <x:v>A</x:v>
      </x:c>
      <x:c r="H1073" t="n">
        <x:v>22</x:v>
      </x:c>
      <x:c r="I1073" t="str">
        <x:v>ORD-2025-00058</x:v>
      </x:c>
      <x:c r="J1073" t="n">
        <x:v>6</x:v>
      </x:c>
      <x:c r="K1073" t="n">
        <x:v>1</x:v>
      </x:c>
      <x:c r="L1073" t="str">
        <x:v>L22-S06-C1</x:v>
      </x:c>
      <x:c r="M1073" t="n">
        <x:v>1</x:v>
      </x:c>
      <x:c r="N1073" t="str">
        <x:v>DerivedFromCount</x:v>
      </x:c>
      <x:c r="O1073" t="str">
        <x:v>PLC-PRD-BOT-500-L22</x:v>
      </x:c>
      <x:c r="P1073" t="str">
        <x:v>OK</x:v>
      </x:c>
      <x:c r="Q1073" t="str">
        <x:v>OK</x:v>
      </x:c>
      <x:c r="R1073" t="str">
        <x:v>CHECK</x:v>
      </x:c>
      <x:c r="S1073" t="str">
        <x:v>OK</x:v>
      </x:c>
      <x:c r="T1073" t="n">
        <x:v>30</x:v>
      </x:c>
      <x:c r="U1073" t="str">
        <x:v>CHECK</x:v>
      </x:c>
      <x:c r="V1073" t="str">
        <x:v>CHECK</x:v>
      </x:c>
      <x:c r="W1073" t="str">
        <x:v>QUARANTINE</x:v>
      </x:c>
      <x:c r="X1073" t="str">
        <x:v>02_Supervisor_Log(4).xlsx</x:v>
      </x:c>
      <x:c r="Y1073" t="str">
        <x:v>ENH-20260830-01</x:v>
      </x:c>
      <x:c r="Z1073" t="str">
        <x:v>Active</x:v>
      </x:c>
      <x:c r="AA1073"/>
      <x:c r="AB1073"/>
      <x:c r="AC1073"/>
      <x:c r="AD1073"/>
    </x:row>
    <x:row r="1074">
      <x:c r="A1074" t="str">
        <x:v>PCC-PE-KG01-L22-20251026-PM-ORD-2025-00058-S06-C2</x:v>
      </x:c>
      <x:c r="B1074" t="str">
        <x:v>PC-PE-KG01-L22-20251026-PM-ORD-2025-00058-S06</x:v>
      </x:c>
      <x:c r="C1074" t="str">
        <x:v>PE-KG01-L22-20251026-PM-ORD-2025-00058</x:v>
      </x:c>
      <x:c r="D1074" t="str">
        <x:v>KG01</x:v>
      </x:c>
      <x:c r="E1074" s="62" t="n">
        <x:v>45956</x:v>
      </x:c>
      <x:c r="F1074" t="str">
        <x:v>PM</x:v>
      </x:c>
      <x:c r="G1074" t="str">
        <x:v>A</x:v>
      </x:c>
      <x:c r="H1074" t="n">
        <x:v>22</x:v>
      </x:c>
      <x:c r="I1074" t="str">
        <x:v>ORD-2025-00058</x:v>
      </x:c>
      <x:c r="J1074" t="n">
        <x:v>6</x:v>
      </x:c>
      <x:c r="K1074" t="n">
        <x:v>2</x:v>
      </x:c>
      <x:c r="L1074" t="str">
        <x:v>L22-S06-C2</x:v>
      </x:c>
      <x:c r="M1074" t="n">
        <x:v>1</x:v>
      </x:c>
      <x:c r="N1074" t="str">
        <x:v>DerivedFromCount</x:v>
      </x:c>
      <x:c r="O1074" t="str">
        <x:v>PLC-PRD-BOT-500-L22</x:v>
      </x:c>
      <x:c r="P1074" t="str">
        <x:v>OK</x:v>
      </x:c>
      <x:c r="Q1074" t="str">
        <x:v>OK</x:v>
      </x:c>
      <x:c r="R1074" t="str">
        <x:v>CHECK</x:v>
      </x:c>
      <x:c r="S1074" t="str">
        <x:v>OK</x:v>
      </x:c>
      <x:c r="T1074" t="n">
        <x:v>30</x:v>
      </x:c>
      <x:c r="U1074" t="str">
        <x:v>CHECK</x:v>
      </x:c>
      <x:c r="V1074" t="str">
        <x:v>CHECK</x:v>
      </x:c>
      <x:c r="W1074" t="str">
        <x:v>QUARANTINE</x:v>
      </x:c>
      <x:c r="X1074" t="str">
        <x:v>02_Supervisor_Log(4).xlsx</x:v>
      </x:c>
      <x:c r="Y1074" t="str">
        <x:v>ENH-20260830-01</x:v>
      </x:c>
      <x:c r="Z1074" t="str">
        <x:v>Active</x:v>
      </x:c>
      <x:c r="AA1074"/>
      <x:c r="AB1074"/>
      <x:c r="AC1074"/>
      <x:c r="AD1074"/>
    </x:row>
    <x:row r="1075">
      <x:c r="A1075" t="str">
        <x:v>PCC-PE-KG01-L22-20251026-PM-ORD-2025-00058-S06-C3</x:v>
      </x:c>
      <x:c r="B1075" t="str">
        <x:v>PC-PE-KG01-L22-20251026-PM-ORD-2025-00058-S06</x:v>
      </x:c>
      <x:c r="C1075" t="str">
        <x:v>PE-KG01-L22-20251026-PM-ORD-2025-00058</x:v>
      </x:c>
      <x:c r="D1075" t="str">
        <x:v>KG01</x:v>
      </x:c>
      <x:c r="E1075" s="62" t="n">
        <x:v>45956</x:v>
      </x:c>
      <x:c r="F1075" t="str">
        <x:v>PM</x:v>
      </x:c>
      <x:c r="G1075" t="str">
        <x:v>A</x:v>
      </x:c>
      <x:c r="H1075" t="n">
        <x:v>22</x:v>
      </x:c>
      <x:c r="I1075" t="str">
        <x:v>ORD-2025-00058</x:v>
      </x:c>
      <x:c r="J1075" t="n">
        <x:v>6</x:v>
      </x:c>
      <x:c r="K1075" t="n">
        <x:v>3</x:v>
      </x:c>
      <x:c r="L1075" t="str">
        <x:v>L22-S06-C3</x:v>
      </x:c>
      <x:c r="M1075" t="n">
        <x:v>1</x:v>
      </x:c>
      <x:c r="N1075" t="str">
        <x:v>DerivedFromCount</x:v>
      </x:c>
      <x:c r="O1075" t="str">
        <x:v>PLC-PRD-BOT-500-L22</x:v>
      </x:c>
      <x:c r="P1075" t="str">
        <x:v>OK</x:v>
      </x:c>
      <x:c r="Q1075" t="str">
        <x:v>OK</x:v>
      </x:c>
      <x:c r="R1075" t="str">
        <x:v>CHECK</x:v>
      </x:c>
      <x:c r="S1075" t="str">
        <x:v>OK</x:v>
      </x:c>
      <x:c r="T1075" t="n">
        <x:v>30</x:v>
      </x:c>
      <x:c r="U1075" t="str">
        <x:v>CHECK</x:v>
      </x:c>
      <x:c r="V1075" t="str">
        <x:v>CHECK</x:v>
      </x:c>
      <x:c r="W1075" t="str">
        <x:v>QUARANTINE</x:v>
      </x:c>
      <x:c r="X1075" t="str">
        <x:v>02_Supervisor_Log(4).xlsx</x:v>
      </x:c>
      <x:c r="Y1075" t="str">
        <x:v>ENH-20260830-01</x:v>
      </x:c>
      <x:c r="Z1075" t="str">
        <x:v>Active</x:v>
      </x:c>
      <x:c r="AA1075"/>
      <x:c r="AB1075"/>
      <x:c r="AC1075"/>
      <x:c r="AD1075"/>
    </x:row>
    <x:row r="1076">
      <x:c r="A1076" t="str">
        <x:v>PCC-PE-KG01-L22-20251026-PM-ORD-2025-00058-S07-C1</x:v>
      </x:c>
      <x:c r="B1076" t="str">
        <x:v>PC-PE-KG01-L22-20251026-PM-ORD-2025-00058-S07</x:v>
      </x:c>
      <x:c r="C1076" t="str">
        <x:v>PE-KG01-L22-20251026-PM-ORD-2025-00058</x:v>
      </x:c>
      <x:c r="D1076" t="str">
        <x:v>KG01</x:v>
      </x:c>
      <x:c r="E1076" s="62" t="n">
        <x:v>45956</x:v>
      </x:c>
      <x:c r="F1076" t="str">
        <x:v>PM</x:v>
      </x:c>
      <x:c r="G1076" t="str">
        <x:v>A</x:v>
      </x:c>
      <x:c r="H1076" t="n">
        <x:v>22</x:v>
      </x:c>
      <x:c r="I1076" t="str">
        <x:v>ORD-2025-00058</x:v>
      </x:c>
      <x:c r="J1076" t="n">
        <x:v>7</x:v>
      </x:c>
      <x:c r="K1076" t="n">
        <x:v>1</x:v>
      </x:c>
      <x:c r="L1076" t="str">
        <x:v>L22-S07-C1</x:v>
      </x:c>
      <x:c r="M1076" t="n">
        <x:v>1</x:v>
      </x:c>
      <x:c r="N1076" t="str">
        <x:v>DerivedFromCount</x:v>
      </x:c>
      <x:c r="O1076" t="str">
        <x:v>PLC-PRD-BOT-500-L22</x:v>
      </x:c>
      <x:c r="P1076" t="str">
        <x:v>OK</x:v>
      </x:c>
      <x:c r="Q1076" t="str">
        <x:v>OK</x:v>
      </x:c>
      <x:c r="R1076" t="str">
        <x:v>CHECK</x:v>
      </x:c>
      <x:c r="S1076" t="str">
        <x:v>OK</x:v>
      </x:c>
      <x:c r="T1076" t="n">
        <x:v>30</x:v>
      </x:c>
      <x:c r="U1076" t="str">
        <x:v>CHECK</x:v>
      </x:c>
      <x:c r="V1076" t="str">
        <x:v>CHECK</x:v>
      </x:c>
      <x:c r="W1076" t="str">
        <x:v>QUARANTINE</x:v>
      </x:c>
      <x:c r="X1076" t="str">
        <x:v>02_Supervisor_Log(4).xlsx</x:v>
      </x:c>
      <x:c r="Y1076" t="str">
        <x:v>ENH-20260830-01</x:v>
      </x:c>
      <x:c r="Z1076" t="str">
        <x:v>Active</x:v>
      </x:c>
      <x:c r="AA1076"/>
      <x:c r="AB1076"/>
      <x:c r="AC1076"/>
      <x:c r="AD1076"/>
    </x:row>
    <x:row r="1077">
      <x:c r="A1077" t="str">
        <x:v>PCC-PE-KG01-L22-20251026-PM-ORD-2025-00058-S07-C2</x:v>
      </x:c>
      <x:c r="B1077" t="str">
        <x:v>PC-PE-KG01-L22-20251026-PM-ORD-2025-00058-S07</x:v>
      </x:c>
      <x:c r="C1077" t="str">
        <x:v>PE-KG01-L22-20251026-PM-ORD-2025-00058</x:v>
      </x:c>
      <x:c r="D1077" t="str">
        <x:v>KG01</x:v>
      </x:c>
      <x:c r="E1077" s="62" t="n">
        <x:v>45956</x:v>
      </x:c>
      <x:c r="F1077" t="str">
        <x:v>PM</x:v>
      </x:c>
      <x:c r="G1077" t="str">
        <x:v>A</x:v>
      </x:c>
      <x:c r="H1077" t="n">
        <x:v>22</x:v>
      </x:c>
      <x:c r="I1077" t="str">
        <x:v>ORD-2025-00058</x:v>
      </x:c>
      <x:c r="J1077" t="n">
        <x:v>7</x:v>
      </x:c>
      <x:c r="K1077" t="n">
        <x:v>2</x:v>
      </x:c>
      <x:c r="L1077" t="str">
        <x:v>L22-S07-C2</x:v>
      </x:c>
      <x:c r="M1077" t="n">
        <x:v>1</x:v>
      </x:c>
      <x:c r="N1077" t="str">
        <x:v>DerivedFromCount</x:v>
      </x:c>
      <x:c r="O1077" t="str">
        <x:v>PLC-PRD-BOT-500-L22</x:v>
      </x:c>
      <x:c r="P1077" t="str">
        <x:v>OK</x:v>
      </x:c>
      <x:c r="Q1077" t="str">
        <x:v>OK</x:v>
      </x:c>
      <x:c r="R1077" t="str">
        <x:v>CHECK</x:v>
      </x:c>
      <x:c r="S1077" t="str">
        <x:v>OK</x:v>
      </x:c>
      <x:c r="T1077" t="n">
        <x:v>30</x:v>
      </x:c>
      <x:c r="U1077" t="str">
        <x:v>CHECK</x:v>
      </x:c>
      <x:c r="V1077" t="str">
        <x:v>CHECK</x:v>
      </x:c>
      <x:c r="W1077" t="str">
        <x:v>QUARANTINE</x:v>
      </x:c>
      <x:c r="X1077" t="str">
        <x:v>02_Supervisor_Log(4).xlsx</x:v>
      </x:c>
      <x:c r="Y1077" t="str">
        <x:v>ENH-20260830-01</x:v>
      </x:c>
      <x:c r="Z1077" t="str">
        <x:v>Active</x:v>
      </x:c>
      <x:c r="AA1077"/>
      <x:c r="AB1077"/>
      <x:c r="AC1077"/>
      <x:c r="AD1077"/>
    </x:row>
    <x:row r="1078">
      <x:c r="A1078" t="str">
        <x:v>PCC-PE-KG01-L22-20251026-PM-ORD-2025-00058-S07-C3</x:v>
      </x:c>
      <x:c r="B1078" t="str">
        <x:v>PC-PE-KG01-L22-20251026-PM-ORD-2025-00058-S07</x:v>
      </x:c>
      <x:c r="C1078" t="str">
        <x:v>PE-KG01-L22-20251026-PM-ORD-2025-00058</x:v>
      </x:c>
      <x:c r="D1078" t="str">
        <x:v>KG01</x:v>
      </x:c>
      <x:c r="E1078" s="62" t="n">
        <x:v>45956</x:v>
      </x:c>
      <x:c r="F1078" t="str">
        <x:v>PM</x:v>
      </x:c>
      <x:c r="G1078" t="str">
        <x:v>A</x:v>
      </x:c>
      <x:c r="H1078" t="n">
        <x:v>22</x:v>
      </x:c>
      <x:c r="I1078" t="str">
        <x:v>ORD-2025-00058</x:v>
      </x:c>
      <x:c r="J1078" t="n">
        <x:v>7</x:v>
      </x:c>
      <x:c r="K1078" t="n">
        <x:v>3</x:v>
      </x:c>
      <x:c r="L1078" t="str">
        <x:v>L22-S07-C3</x:v>
      </x:c>
      <x:c r="M1078" t="n">
        <x:v>1</x:v>
      </x:c>
      <x:c r="N1078" t="str">
        <x:v>DerivedFromCount</x:v>
      </x:c>
      <x:c r="O1078" t="str">
        <x:v>PLC-PRD-BOT-500-L22</x:v>
      </x:c>
      <x:c r="P1078" t="str">
        <x:v>OK</x:v>
      </x:c>
      <x:c r="Q1078" t="str">
        <x:v>OK</x:v>
      </x:c>
      <x:c r="R1078" t="str">
        <x:v>CHECK</x:v>
      </x:c>
      <x:c r="S1078" t="str">
        <x:v>OK</x:v>
      </x:c>
      <x:c r="T1078" t="n">
        <x:v>30</x:v>
      </x:c>
      <x:c r="U1078" t="str">
        <x:v>CHECK</x:v>
      </x:c>
      <x:c r="V1078" t="str">
        <x:v>CHECK</x:v>
      </x:c>
      <x:c r="W1078" t="str">
        <x:v>QUARANTINE</x:v>
      </x:c>
      <x:c r="X1078" t="str">
        <x:v>02_Supervisor_Log(4).xlsx</x:v>
      </x:c>
      <x:c r="Y1078" t="str">
        <x:v>ENH-20260830-01</x:v>
      </x:c>
      <x:c r="Z1078" t="str">
        <x:v>Active</x:v>
      </x:c>
      <x:c r="AA1078"/>
      <x:c r="AB1078"/>
      <x:c r="AC1078"/>
      <x:c r="AD1078"/>
    </x:row>
    <x:row r="1079">
      <x:c r="A1079" t="str">
        <x:v>PCC-PE-KG01-L22-20251026-PM-ORD-2025-00058-S08-C1</x:v>
      </x:c>
      <x:c r="B1079" t="str">
        <x:v>PC-PE-KG01-L22-20251026-PM-ORD-2025-00058-S08</x:v>
      </x:c>
      <x:c r="C1079" t="str">
        <x:v>PE-KG01-L22-20251026-PM-ORD-2025-00058</x:v>
      </x:c>
      <x:c r="D1079" t="str">
        <x:v>KG01</x:v>
      </x:c>
      <x:c r="E1079" s="62" t="n">
        <x:v>45956</x:v>
      </x:c>
      <x:c r="F1079" t="str">
        <x:v>PM</x:v>
      </x:c>
      <x:c r="G1079" t="str">
        <x:v>A</x:v>
      </x:c>
      <x:c r="H1079" t="n">
        <x:v>22</x:v>
      </x:c>
      <x:c r="I1079" t="str">
        <x:v>ORD-2025-00058</x:v>
      </x:c>
      <x:c r="J1079" t="n">
        <x:v>8</x:v>
      </x:c>
      <x:c r="K1079" t="n">
        <x:v>1</x:v>
      </x:c>
      <x:c r="L1079" t="str">
        <x:v>L22-S08-C1</x:v>
      </x:c>
      <x:c r="M1079" t="n">
        <x:v>1</x:v>
      </x:c>
      <x:c r="N1079" t="str">
        <x:v>DerivedFromCount</x:v>
      </x:c>
      <x:c r="O1079" t="str">
        <x:v>PLC-PRD-BOT-500-L22</x:v>
      </x:c>
      <x:c r="P1079" t="str">
        <x:v>OK</x:v>
      </x:c>
      <x:c r="Q1079" t="str">
        <x:v>OK</x:v>
      </x:c>
      <x:c r="R1079" t="str">
        <x:v>CHECK</x:v>
      </x:c>
      <x:c r="S1079" t="str">
        <x:v>OK</x:v>
      </x:c>
      <x:c r="T1079" t="n">
        <x:v>30</x:v>
      </x:c>
      <x:c r="U1079" t="str">
        <x:v>CHECK</x:v>
      </x:c>
      <x:c r="V1079" t="str">
        <x:v>CHECK</x:v>
      </x:c>
      <x:c r="W1079" t="str">
        <x:v>QUARANTINE</x:v>
      </x:c>
      <x:c r="X1079" t="str">
        <x:v>02_Supervisor_Log(4).xlsx</x:v>
      </x:c>
      <x:c r="Y1079" t="str">
        <x:v>ENH-20260830-01</x:v>
      </x:c>
      <x:c r="Z1079" t="str">
        <x:v>Active</x:v>
      </x:c>
      <x:c r="AA1079"/>
      <x:c r="AB1079"/>
      <x:c r="AC1079"/>
      <x:c r="AD1079"/>
    </x:row>
    <x:row r="1080">
      <x:c r="A1080" t="str">
        <x:v>PCC-PE-KG01-L22-20251026-PM-ORD-2025-00058-S08-C2</x:v>
      </x:c>
      <x:c r="B1080" t="str">
        <x:v>PC-PE-KG01-L22-20251026-PM-ORD-2025-00058-S08</x:v>
      </x:c>
      <x:c r="C1080" t="str">
        <x:v>PE-KG01-L22-20251026-PM-ORD-2025-00058</x:v>
      </x:c>
      <x:c r="D1080" t="str">
        <x:v>KG01</x:v>
      </x:c>
      <x:c r="E1080" s="62" t="n">
        <x:v>45956</x:v>
      </x:c>
      <x:c r="F1080" t="str">
        <x:v>PM</x:v>
      </x:c>
      <x:c r="G1080" t="str">
        <x:v>A</x:v>
      </x:c>
      <x:c r="H1080" t="n">
        <x:v>22</x:v>
      </x:c>
      <x:c r="I1080" t="str">
        <x:v>ORD-2025-00058</x:v>
      </x:c>
      <x:c r="J1080" t="n">
        <x:v>8</x:v>
      </x:c>
      <x:c r="K1080" t="n">
        <x:v>2</x:v>
      </x:c>
      <x:c r="L1080" t="str">
        <x:v>L22-S08-C2</x:v>
      </x:c>
      <x:c r="M1080" t="n">
        <x:v>1</x:v>
      </x:c>
      <x:c r="N1080" t="str">
        <x:v>DerivedFromCount</x:v>
      </x:c>
      <x:c r="O1080" t="str">
        <x:v>PLC-PRD-BOT-500-L22</x:v>
      </x:c>
      <x:c r="P1080" t="str">
        <x:v>OK</x:v>
      </x:c>
      <x:c r="Q1080" t="str">
        <x:v>OK</x:v>
      </x:c>
      <x:c r="R1080" t="str">
        <x:v>CHECK</x:v>
      </x:c>
      <x:c r="S1080" t="str">
        <x:v>OK</x:v>
      </x:c>
      <x:c r="T1080" t="n">
        <x:v>30</x:v>
      </x:c>
      <x:c r="U1080" t="str">
        <x:v>CHECK</x:v>
      </x:c>
      <x:c r="V1080" t="str">
        <x:v>CHECK</x:v>
      </x:c>
      <x:c r="W1080" t="str">
        <x:v>QUARANTINE</x:v>
      </x:c>
      <x:c r="X1080" t="str">
        <x:v>02_Supervisor_Log(4).xlsx</x:v>
      </x:c>
      <x:c r="Y1080" t="str">
        <x:v>ENH-20260830-01</x:v>
      </x:c>
      <x:c r="Z1080" t="str">
        <x:v>Active</x:v>
      </x:c>
      <x:c r="AA1080"/>
      <x:c r="AB1080"/>
      <x:c r="AC1080"/>
      <x:c r="AD1080"/>
    </x:row>
    <x:row r="1081">
      <x:c r="A1081" t="str">
        <x:v>PCC-PE-KG01-L22-20251026-PM-ORD-2025-00058-S08-C3</x:v>
      </x:c>
      <x:c r="B1081" t="str">
        <x:v>PC-PE-KG01-L22-20251026-PM-ORD-2025-00058-S08</x:v>
      </x:c>
      <x:c r="C1081" t="str">
        <x:v>PE-KG01-L22-20251026-PM-ORD-2025-00058</x:v>
      </x:c>
      <x:c r="D1081" t="str">
        <x:v>KG01</x:v>
      </x:c>
      <x:c r="E1081" s="62" t="n">
        <x:v>45956</x:v>
      </x:c>
      <x:c r="F1081" t="str">
        <x:v>PM</x:v>
      </x:c>
      <x:c r="G1081" t="str">
        <x:v>A</x:v>
      </x:c>
      <x:c r="H1081" t="n">
        <x:v>22</x:v>
      </x:c>
      <x:c r="I1081" t="str">
        <x:v>ORD-2025-00058</x:v>
      </x:c>
      <x:c r="J1081" t="n">
        <x:v>8</x:v>
      </x:c>
      <x:c r="K1081" t="n">
        <x:v>3</x:v>
      </x:c>
      <x:c r="L1081" t="str">
        <x:v>L22-S08-C3</x:v>
      </x:c>
      <x:c r="M1081" t="n">
        <x:v>1</x:v>
      </x:c>
      <x:c r="N1081" t="str">
        <x:v>DerivedFromCount</x:v>
      </x:c>
      <x:c r="O1081" t="str">
        <x:v>PLC-PRD-BOT-500-L22</x:v>
      </x:c>
      <x:c r="P1081" t="str">
        <x:v>OK</x:v>
      </x:c>
      <x:c r="Q1081" t="str">
        <x:v>OK</x:v>
      </x:c>
      <x:c r="R1081" t="str">
        <x:v>CHECK</x:v>
      </x:c>
      <x:c r="S1081" t="str">
        <x:v>OK</x:v>
      </x:c>
      <x:c r="T1081" t="n">
        <x:v>30</x:v>
      </x:c>
      <x:c r="U1081" t="str">
        <x:v>CHECK</x:v>
      </x:c>
      <x:c r="V1081" t="str">
        <x:v>CHECK</x:v>
      </x:c>
      <x:c r="W1081" t="str">
        <x:v>QUARANTINE</x:v>
      </x:c>
      <x:c r="X1081" t="str">
        <x:v>02_Supervisor_Log(4).xlsx</x:v>
      </x:c>
      <x:c r="Y1081" t="str">
        <x:v>ENH-20260830-01</x:v>
      </x:c>
      <x:c r="Z1081" t="str">
        <x:v>Active</x:v>
      </x:c>
      <x:c r="AA1081"/>
      <x:c r="AB1081"/>
      <x:c r="AC1081"/>
      <x:c r="AD1081"/>
    </x:row>
    <x:row r="1082">
      <x:c r="A1082" t="str">
        <x:v>PCC-PE-KG01-L22-20251026-PM-ORD-2025-00058-S09-C1</x:v>
      </x:c>
      <x:c r="B1082" t="str">
        <x:v>PC-PE-KG01-L22-20251026-PM-ORD-2025-00058-S09</x:v>
      </x:c>
      <x:c r="C1082" t="str">
        <x:v>PE-KG01-L22-20251026-PM-ORD-2025-00058</x:v>
      </x:c>
      <x:c r="D1082" t="str">
        <x:v>KG01</x:v>
      </x:c>
      <x:c r="E1082" s="62" t="n">
        <x:v>45956</x:v>
      </x:c>
      <x:c r="F1082" t="str">
        <x:v>PM</x:v>
      </x:c>
      <x:c r="G1082" t="str">
        <x:v>A</x:v>
      </x:c>
      <x:c r="H1082" t="n">
        <x:v>22</x:v>
      </x:c>
      <x:c r="I1082" t="str">
        <x:v>ORD-2025-00058</x:v>
      </x:c>
      <x:c r="J1082" t="n">
        <x:v>9</x:v>
      </x:c>
      <x:c r="K1082" t="n">
        <x:v>1</x:v>
      </x:c>
      <x:c r="L1082" t="str">
        <x:v>L22-S09-C1</x:v>
      </x:c>
      <x:c r="M1082" t="n">
        <x:v>1</x:v>
      </x:c>
      <x:c r="N1082" t="str">
        <x:v>DerivedFromCount</x:v>
      </x:c>
      <x:c r="O1082" t="str">
        <x:v>PLC-PRD-BOT-500-L22</x:v>
      </x:c>
      <x:c r="P1082" t="str">
        <x:v>OK</x:v>
      </x:c>
      <x:c r="Q1082" t="str">
        <x:v>OK</x:v>
      </x:c>
      <x:c r="R1082" t="str">
        <x:v>CHECK</x:v>
      </x:c>
      <x:c r="S1082" t="str">
        <x:v>OK</x:v>
      </x:c>
      <x:c r="T1082" t="n">
        <x:v>30</x:v>
      </x:c>
      <x:c r="U1082" t="str">
        <x:v>CHECK</x:v>
      </x:c>
      <x:c r="V1082" t="str">
        <x:v>CHECK</x:v>
      </x:c>
      <x:c r="W1082" t="str">
        <x:v>QUARANTINE</x:v>
      </x:c>
      <x:c r="X1082" t="str">
        <x:v>02_Supervisor_Log(4).xlsx</x:v>
      </x:c>
      <x:c r="Y1082" t="str">
        <x:v>ENH-20260830-01</x:v>
      </x:c>
      <x:c r="Z1082" t="str">
        <x:v>Active</x:v>
      </x:c>
      <x:c r="AA1082"/>
      <x:c r="AB1082"/>
      <x:c r="AC1082"/>
      <x:c r="AD1082"/>
    </x:row>
    <x:row r="1083">
      <x:c r="A1083" t="str">
        <x:v>PCC-PE-KG01-L22-20251026-PM-ORD-2025-00058-S09-C2</x:v>
      </x:c>
      <x:c r="B1083" t="str">
        <x:v>PC-PE-KG01-L22-20251026-PM-ORD-2025-00058-S09</x:v>
      </x:c>
      <x:c r="C1083" t="str">
        <x:v>PE-KG01-L22-20251026-PM-ORD-2025-00058</x:v>
      </x:c>
      <x:c r="D1083" t="str">
        <x:v>KG01</x:v>
      </x:c>
      <x:c r="E1083" s="62" t="n">
        <x:v>45956</x:v>
      </x:c>
      <x:c r="F1083" t="str">
        <x:v>PM</x:v>
      </x:c>
      <x:c r="G1083" t="str">
        <x:v>A</x:v>
      </x:c>
      <x:c r="H1083" t="n">
        <x:v>22</x:v>
      </x:c>
      <x:c r="I1083" t="str">
        <x:v>ORD-2025-00058</x:v>
      </x:c>
      <x:c r="J1083" t="n">
        <x:v>9</x:v>
      </x:c>
      <x:c r="K1083" t="n">
        <x:v>2</x:v>
      </x:c>
      <x:c r="L1083" t="str">
        <x:v>L22-S09-C2</x:v>
      </x:c>
      <x:c r="M1083" t="n">
        <x:v>1</x:v>
      </x:c>
      <x:c r="N1083" t="str">
        <x:v>DerivedFromCount</x:v>
      </x:c>
      <x:c r="O1083" t="str">
        <x:v>PLC-PRD-BOT-500-L22</x:v>
      </x:c>
      <x:c r="P1083" t="str">
        <x:v>OK</x:v>
      </x:c>
      <x:c r="Q1083" t="str">
        <x:v>OK</x:v>
      </x:c>
      <x:c r="R1083" t="str">
        <x:v>CHECK</x:v>
      </x:c>
      <x:c r="S1083" t="str">
        <x:v>OK</x:v>
      </x:c>
      <x:c r="T1083" t="n">
        <x:v>30</x:v>
      </x:c>
      <x:c r="U1083" t="str">
        <x:v>CHECK</x:v>
      </x:c>
      <x:c r="V1083" t="str">
        <x:v>CHECK</x:v>
      </x:c>
      <x:c r="W1083" t="str">
        <x:v>QUARANTINE</x:v>
      </x:c>
      <x:c r="X1083" t="str">
        <x:v>02_Supervisor_Log(4).xlsx</x:v>
      </x:c>
      <x:c r="Y1083" t="str">
        <x:v>ENH-20260830-01</x:v>
      </x:c>
      <x:c r="Z1083" t="str">
        <x:v>Active</x:v>
      </x:c>
      <x:c r="AA1083"/>
      <x:c r="AB1083"/>
      <x:c r="AC1083"/>
      <x:c r="AD1083"/>
    </x:row>
    <x:row r="1084">
      <x:c r="A1084" t="str">
        <x:v>PCC-PE-KG01-L22-20251026-PM-ORD-2025-00058-S09-C3</x:v>
      </x:c>
      <x:c r="B1084" t="str">
        <x:v>PC-PE-KG01-L22-20251026-PM-ORD-2025-00058-S09</x:v>
      </x:c>
      <x:c r="C1084" t="str">
        <x:v>PE-KG01-L22-20251026-PM-ORD-2025-00058</x:v>
      </x:c>
      <x:c r="D1084" t="str">
        <x:v>KG01</x:v>
      </x:c>
      <x:c r="E1084" s="62" t="n">
        <x:v>45956</x:v>
      </x:c>
      <x:c r="F1084" t="str">
        <x:v>PM</x:v>
      </x:c>
      <x:c r="G1084" t="str">
        <x:v>A</x:v>
      </x:c>
      <x:c r="H1084" t="n">
        <x:v>22</x:v>
      </x:c>
      <x:c r="I1084" t="str">
        <x:v>ORD-2025-00058</x:v>
      </x:c>
      <x:c r="J1084" t="n">
        <x:v>9</x:v>
      </x:c>
      <x:c r="K1084" t="n">
        <x:v>3</x:v>
      </x:c>
      <x:c r="L1084" t="str">
        <x:v>L22-S09-C3</x:v>
      </x:c>
      <x:c r="M1084" t="n">
        <x:v>1</x:v>
      </x:c>
      <x:c r="N1084" t="str">
        <x:v>DerivedFromCount</x:v>
      </x:c>
      <x:c r="O1084" t="str">
        <x:v>PLC-PRD-BOT-500-L22</x:v>
      </x:c>
      <x:c r="P1084" t="str">
        <x:v>OK</x:v>
      </x:c>
      <x:c r="Q1084" t="str">
        <x:v>OK</x:v>
      </x:c>
      <x:c r="R1084" t="str">
        <x:v>CHECK</x:v>
      </x:c>
      <x:c r="S1084" t="str">
        <x:v>OK</x:v>
      </x:c>
      <x:c r="T1084" t="n">
        <x:v>30</x:v>
      </x:c>
      <x:c r="U1084" t="str">
        <x:v>CHECK</x:v>
      </x:c>
      <x:c r="V1084" t="str">
        <x:v>CHECK</x:v>
      </x:c>
      <x:c r="W1084" t="str">
        <x:v>QUARANTINE</x:v>
      </x:c>
      <x:c r="X1084" t="str">
        <x:v>02_Supervisor_Log(4).xlsx</x:v>
      </x:c>
      <x:c r="Y1084" t="str">
        <x:v>ENH-20260830-01</x:v>
      </x:c>
      <x:c r="Z1084" t="str">
        <x:v>Active</x:v>
      </x:c>
      <x:c r="AA1084"/>
      <x:c r="AB1084"/>
      <x:c r="AC1084"/>
      <x:c r="AD1084"/>
    </x:row>
    <x:row r="1085">
      <x:c r="A1085" t="str">
        <x:v>PCC-PE-KG01-L22-20251026-PM-ORD-2025-00058-S10-C1</x:v>
      </x:c>
      <x:c r="B1085" t="str">
        <x:v>PC-PE-KG01-L22-20251026-PM-ORD-2025-00058-S10</x:v>
      </x:c>
      <x:c r="C1085" t="str">
        <x:v>PE-KG01-L22-20251026-PM-ORD-2025-00058</x:v>
      </x:c>
      <x:c r="D1085" t="str">
        <x:v>KG01</x:v>
      </x:c>
      <x:c r="E1085" s="62" t="n">
        <x:v>45956</x:v>
      </x:c>
      <x:c r="F1085" t="str">
        <x:v>PM</x:v>
      </x:c>
      <x:c r="G1085" t="str">
        <x:v>A</x:v>
      </x:c>
      <x:c r="H1085" t="n">
        <x:v>22</x:v>
      </x:c>
      <x:c r="I1085" t="str">
        <x:v>ORD-2025-00058</x:v>
      </x:c>
      <x:c r="J1085" t="n">
        <x:v>10</x:v>
      </x:c>
      <x:c r="K1085" t="n">
        <x:v>1</x:v>
      </x:c>
      <x:c r="L1085" t="str">
        <x:v>L22-S10-C1</x:v>
      </x:c>
      <x:c r="M1085" t="n">
        <x:v>1</x:v>
      </x:c>
      <x:c r="N1085" t="str">
        <x:v>DerivedFromCount</x:v>
      </x:c>
      <x:c r="O1085" t="str">
        <x:v>PLC-PRD-BOT-500-L22</x:v>
      </x:c>
      <x:c r="P1085" t="str">
        <x:v>OK</x:v>
      </x:c>
      <x:c r="Q1085" t="str">
        <x:v>OK</x:v>
      </x:c>
      <x:c r="R1085" t="str">
        <x:v>CHECK</x:v>
      </x:c>
      <x:c r="S1085" t="str">
        <x:v>OK</x:v>
      </x:c>
      <x:c r="T1085" t="n">
        <x:v>30</x:v>
      </x:c>
      <x:c r="U1085" t="str">
        <x:v>CHECK</x:v>
      </x:c>
      <x:c r="V1085" t="str">
        <x:v>CHECK</x:v>
      </x:c>
      <x:c r="W1085" t="str">
        <x:v>QUARANTINE</x:v>
      </x:c>
      <x:c r="X1085" t="str">
        <x:v>02_Supervisor_Log(4).xlsx</x:v>
      </x:c>
      <x:c r="Y1085" t="str">
        <x:v>ENH-20260830-01</x:v>
      </x:c>
      <x:c r="Z1085" t="str">
        <x:v>Active</x:v>
      </x:c>
      <x:c r="AA1085"/>
      <x:c r="AB1085"/>
      <x:c r="AC1085"/>
      <x:c r="AD1085"/>
    </x:row>
    <x:row r="1086">
      <x:c r="A1086" t="str">
        <x:v>PCC-PE-KG01-L22-20251026-PM-ORD-2025-00058-S10-C2</x:v>
      </x:c>
      <x:c r="B1086" t="str">
        <x:v>PC-PE-KG01-L22-20251026-PM-ORD-2025-00058-S10</x:v>
      </x:c>
      <x:c r="C1086" t="str">
        <x:v>PE-KG01-L22-20251026-PM-ORD-2025-00058</x:v>
      </x:c>
      <x:c r="D1086" t="str">
        <x:v>KG01</x:v>
      </x:c>
      <x:c r="E1086" s="62" t="n">
        <x:v>45956</x:v>
      </x:c>
      <x:c r="F1086" t="str">
        <x:v>PM</x:v>
      </x:c>
      <x:c r="G1086" t="str">
        <x:v>A</x:v>
      </x:c>
      <x:c r="H1086" t="n">
        <x:v>22</x:v>
      </x:c>
      <x:c r="I1086" t="str">
        <x:v>ORD-2025-00058</x:v>
      </x:c>
      <x:c r="J1086" t="n">
        <x:v>10</x:v>
      </x:c>
      <x:c r="K1086" t="n">
        <x:v>2</x:v>
      </x:c>
      <x:c r="L1086" t="str">
        <x:v>L22-S10-C2</x:v>
      </x:c>
      <x:c r="M1086" t="n">
        <x:v>1</x:v>
      </x:c>
      <x:c r="N1086" t="str">
        <x:v>DerivedFromCount</x:v>
      </x:c>
      <x:c r="O1086" t="str">
        <x:v>PLC-PRD-BOT-500-L22</x:v>
      </x:c>
      <x:c r="P1086" t="str">
        <x:v>OK</x:v>
      </x:c>
      <x:c r="Q1086" t="str">
        <x:v>OK</x:v>
      </x:c>
      <x:c r="R1086" t="str">
        <x:v>CHECK</x:v>
      </x:c>
      <x:c r="S1086" t="str">
        <x:v>OK</x:v>
      </x:c>
      <x:c r="T1086" t="n">
        <x:v>30</x:v>
      </x:c>
      <x:c r="U1086" t="str">
        <x:v>CHECK</x:v>
      </x:c>
      <x:c r="V1086" t="str">
        <x:v>CHECK</x:v>
      </x:c>
      <x:c r="W1086" t="str">
        <x:v>QUARANTINE</x:v>
      </x:c>
      <x:c r="X1086" t="str">
        <x:v>02_Supervisor_Log(4).xlsx</x:v>
      </x:c>
      <x:c r="Y1086" t="str">
        <x:v>ENH-20260830-01</x:v>
      </x:c>
      <x:c r="Z1086" t="str">
        <x:v>Active</x:v>
      </x:c>
      <x:c r="AA1086"/>
      <x:c r="AB1086"/>
      <x:c r="AC1086"/>
      <x:c r="AD1086"/>
    </x:row>
    <x:row r="1087">
      <x:c r="A1087" t="str">
        <x:v>PCC-PE-KG01-L22-20251026-PM-ORD-2025-00058-S10-C3</x:v>
      </x:c>
      <x:c r="B1087" t="str">
        <x:v>PC-PE-KG01-L22-20251026-PM-ORD-2025-00058-S10</x:v>
      </x:c>
      <x:c r="C1087" t="str">
        <x:v>PE-KG01-L22-20251026-PM-ORD-2025-00058</x:v>
      </x:c>
      <x:c r="D1087" t="str">
        <x:v>KG01</x:v>
      </x:c>
      <x:c r="E1087" s="62" t="n">
        <x:v>45956</x:v>
      </x:c>
      <x:c r="F1087" t="str">
        <x:v>PM</x:v>
      </x:c>
      <x:c r="G1087" t="str">
        <x:v>A</x:v>
      </x:c>
      <x:c r="H1087" t="n">
        <x:v>22</x:v>
      </x:c>
      <x:c r="I1087" t="str">
        <x:v>ORD-2025-00058</x:v>
      </x:c>
      <x:c r="J1087" t="n">
        <x:v>10</x:v>
      </x:c>
      <x:c r="K1087" t="n">
        <x:v>3</x:v>
      </x:c>
      <x:c r="L1087" t="str">
        <x:v>L22-S10-C3</x:v>
      </x:c>
      <x:c r="M1087" t="n">
        <x:v>1</x:v>
      </x:c>
      <x:c r="N1087" t="str">
        <x:v>DerivedFromCount</x:v>
      </x:c>
      <x:c r="O1087" t="str">
        <x:v>PLC-PRD-BOT-500-L22</x:v>
      </x:c>
      <x:c r="P1087" t="str">
        <x:v>OK</x:v>
      </x:c>
      <x:c r="Q1087" t="str">
        <x:v>OK</x:v>
      </x:c>
      <x:c r="R1087" t="str">
        <x:v>CHECK</x:v>
      </x:c>
      <x:c r="S1087" t="str">
        <x:v>OK</x:v>
      </x:c>
      <x:c r="T1087" t="n">
        <x:v>30</x:v>
      </x:c>
      <x:c r="U1087" t="str">
        <x:v>CHECK</x:v>
      </x:c>
      <x:c r="V1087" t="str">
        <x:v>CHECK</x:v>
      </x:c>
      <x:c r="W1087" t="str">
        <x:v>QUARANTINE</x:v>
      </x:c>
      <x:c r="X1087" t="str">
        <x:v>02_Supervisor_Log(4).xlsx</x:v>
      </x:c>
      <x:c r="Y1087" t="str">
        <x:v>ENH-20260830-01</x:v>
      </x:c>
      <x:c r="Z1087" t="str">
        <x:v>Active</x:v>
      </x:c>
      <x:c r="AA1087"/>
      <x:c r="AB1087"/>
      <x:c r="AC1087"/>
      <x:c r="AD1087"/>
    </x:row>
    <x:row r="1088">
      <x:c r="A1088" t="str">
        <x:v>PCC-PE-KG01-L22-20251026-PM-ORD-2025-00058-S11-C1</x:v>
      </x:c>
      <x:c r="B1088" t="str">
        <x:v>PC-PE-KG01-L22-20251026-PM-ORD-2025-00058-S11</x:v>
      </x:c>
      <x:c r="C1088" t="str">
        <x:v>PE-KG01-L22-20251026-PM-ORD-2025-00058</x:v>
      </x:c>
      <x:c r="D1088" t="str">
        <x:v>KG01</x:v>
      </x:c>
      <x:c r="E1088" s="62" t="n">
        <x:v>45956</x:v>
      </x:c>
      <x:c r="F1088" t="str">
        <x:v>PM</x:v>
      </x:c>
      <x:c r="G1088" t="str">
        <x:v>A</x:v>
      </x:c>
      <x:c r="H1088" t="n">
        <x:v>22</x:v>
      </x:c>
      <x:c r="I1088" t="str">
        <x:v>ORD-2025-00058</x:v>
      </x:c>
      <x:c r="J1088" t="n">
        <x:v>11</x:v>
      </x:c>
      <x:c r="K1088" t="n">
        <x:v>1</x:v>
      </x:c>
      <x:c r="L1088" t="str">
        <x:v>L22-S11-C1</x:v>
      </x:c>
      <x:c r="M1088" t="n">
        <x:v>0</x:v>
      </x:c>
      <x:c r="N1088" t="str">
        <x:v>DerivedFromCount</x:v>
      </x:c>
      <x:c r="O1088" t="str">
        <x:v>PLC-PRD-BOT-500-L22</x:v>
      </x:c>
      <x:c r="P1088" t="str">
        <x:v>OK</x:v>
      </x:c>
      <x:c r="Q1088" t="str">
        <x:v>OK</x:v>
      </x:c>
      <x:c r="R1088" t="str">
        <x:v>OK</x:v>
      </x:c>
      <x:c r="S1088" t="str">
        <x:v>OK</x:v>
      </x:c>
      <x:c r="T1088" t="n">
        <x:v>30</x:v>
      </x:c>
      <x:c r="U1088" t="str">
        <x:v>CHECK</x:v>
      </x:c>
      <x:c r="V1088" t="str">
        <x:v>CHECK</x:v>
      </x:c>
      <x:c r="W1088" t="str">
        <x:v>QUARANTINE</x:v>
      </x:c>
      <x:c r="X1088" t="str">
        <x:v>02_Supervisor_Log(4).xlsx</x:v>
      </x:c>
      <x:c r="Y1088" t="str">
        <x:v>ENH-20260830-01</x:v>
      </x:c>
      <x:c r="Z1088" t="str">
        <x:v>Active</x:v>
      </x:c>
      <x:c r="AA1088"/>
      <x:c r="AB1088"/>
      <x:c r="AC1088"/>
      <x:c r="AD1088"/>
    </x:row>
    <x:row r="1089">
      <x:c r="A1089" t="str">
        <x:v>PCC-PE-KG01-L22-20251026-PM-ORD-2025-00058-S11-C2</x:v>
      </x:c>
      <x:c r="B1089" t="str">
        <x:v>PC-PE-KG01-L22-20251026-PM-ORD-2025-00058-S11</x:v>
      </x:c>
      <x:c r="C1089" t="str">
        <x:v>PE-KG01-L22-20251026-PM-ORD-2025-00058</x:v>
      </x:c>
      <x:c r="D1089" t="str">
        <x:v>KG01</x:v>
      </x:c>
      <x:c r="E1089" s="62" t="n">
        <x:v>45956</x:v>
      </x:c>
      <x:c r="F1089" t="str">
        <x:v>PM</x:v>
      </x:c>
      <x:c r="G1089" t="str">
        <x:v>A</x:v>
      </x:c>
      <x:c r="H1089" t="n">
        <x:v>22</x:v>
      </x:c>
      <x:c r="I1089" t="str">
        <x:v>ORD-2025-00058</x:v>
      </x:c>
      <x:c r="J1089" t="n">
        <x:v>11</x:v>
      </x:c>
      <x:c r="K1089" t="n">
        <x:v>2</x:v>
      </x:c>
      <x:c r="L1089" t="str">
        <x:v>L22-S11-C2</x:v>
      </x:c>
      <x:c r="M1089" t="n">
        <x:v>0</x:v>
      </x:c>
      <x:c r="N1089" t="str">
        <x:v>DerivedFromCount</x:v>
      </x:c>
      <x:c r="O1089" t="str">
        <x:v>PLC-PRD-BOT-500-L22</x:v>
      </x:c>
      <x:c r="P1089" t="str">
        <x:v>OK</x:v>
      </x:c>
      <x:c r="Q1089" t="str">
        <x:v>OK</x:v>
      </x:c>
      <x:c r="R1089" t="str">
        <x:v>OK</x:v>
      </x:c>
      <x:c r="S1089" t="str">
        <x:v>OK</x:v>
      </x:c>
      <x:c r="T1089" t="n">
        <x:v>30</x:v>
      </x:c>
      <x:c r="U1089" t="str">
        <x:v>CHECK</x:v>
      </x:c>
      <x:c r="V1089" t="str">
        <x:v>CHECK</x:v>
      </x:c>
      <x:c r="W1089" t="str">
        <x:v>QUARANTINE</x:v>
      </x:c>
      <x:c r="X1089" t="str">
        <x:v>02_Supervisor_Log(4).xlsx</x:v>
      </x:c>
      <x:c r="Y1089" t="str">
        <x:v>ENH-20260830-01</x:v>
      </x:c>
      <x:c r="Z1089" t="str">
        <x:v>Active</x:v>
      </x:c>
      <x:c r="AA1089"/>
      <x:c r="AB1089"/>
      <x:c r="AC1089"/>
      <x:c r="AD1089"/>
    </x:row>
    <x:row r="1090">
      <x:c r="A1090" t="str">
        <x:v>PCC-PE-KG01-L22-20251026-PM-ORD-2025-00058-S11-C3</x:v>
      </x:c>
      <x:c r="B1090" t="str">
        <x:v>PC-PE-KG01-L22-20251026-PM-ORD-2025-00058-S11</x:v>
      </x:c>
      <x:c r="C1090" t="str">
        <x:v>PE-KG01-L22-20251026-PM-ORD-2025-00058</x:v>
      </x:c>
      <x:c r="D1090" t="str">
        <x:v>KG01</x:v>
      </x:c>
      <x:c r="E1090" s="62" t="n">
        <x:v>45956</x:v>
      </x:c>
      <x:c r="F1090" t="str">
        <x:v>PM</x:v>
      </x:c>
      <x:c r="G1090" t="str">
        <x:v>A</x:v>
      </x:c>
      <x:c r="H1090" t="n">
        <x:v>22</x:v>
      </x:c>
      <x:c r="I1090" t="str">
        <x:v>ORD-2025-00058</x:v>
      </x:c>
      <x:c r="J1090" t="n">
        <x:v>11</x:v>
      </x:c>
      <x:c r="K1090" t="n">
        <x:v>3</x:v>
      </x:c>
      <x:c r="L1090" t="str">
        <x:v>L22-S11-C3</x:v>
      </x:c>
      <x:c r="M1090" t="n">
        <x:v>0</x:v>
      </x:c>
      <x:c r="N1090" t="str">
        <x:v>DerivedFromCount</x:v>
      </x:c>
      <x:c r="O1090" t="str">
        <x:v>PLC-PRD-BOT-500-L22</x:v>
      </x:c>
      <x:c r="P1090" t="str">
        <x:v>OK</x:v>
      </x:c>
      <x:c r="Q1090" t="str">
        <x:v>OK</x:v>
      </x:c>
      <x:c r="R1090" t="str">
        <x:v>OK</x:v>
      </x:c>
      <x:c r="S1090" t="str">
        <x:v>OK</x:v>
      </x:c>
      <x:c r="T1090" t="n">
        <x:v>30</x:v>
      </x:c>
      <x:c r="U1090" t="str">
        <x:v>CHECK</x:v>
      </x:c>
      <x:c r="V1090" t="str">
        <x:v>CHECK</x:v>
      </x:c>
      <x:c r="W1090" t="str">
        <x:v>QUARANTINE</x:v>
      </x:c>
      <x:c r="X1090" t="str">
        <x:v>02_Supervisor_Log(4).xlsx</x:v>
      </x:c>
      <x:c r="Y1090" t="str">
        <x:v>ENH-20260830-01</x:v>
      </x:c>
      <x:c r="Z1090" t="str">
        <x:v>Active</x:v>
      </x:c>
      <x:c r="AA1090"/>
      <x:c r="AB1090"/>
      <x:c r="AC1090"/>
      <x:c r="AD1090"/>
    </x:row>
    <x:row r="1091">
      <x:c r="A1091" t="str">
        <x:v>PCC-PE-KG01-L22-20251026-PM-ORD-2025-00058-S12-C1</x:v>
      </x:c>
      <x:c r="B1091" t="str">
        <x:v>PC-PE-KG01-L22-20251026-PM-ORD-2025-00058-S12</x:v>
      </x:c>
      <x:c r="C1091" t="str">
        <x:v>PE-KG01-L22-20251026-PM-ORD-2025-00058</x:v>
      </x:c>
      <x:c r="D1091" t="str">
        <x:v>KG01</x:v>
      </x:c>
      <x:c r="E1091" s="62" t="n">
        <x:v>45956</x:v>
      </x:c>
      <x:c r="F1091" t="str">
        <x:v>PM</x:v>
      </x:c>
      <x:c r="G1091" t="str">
        <x:v>A</x:v>
      </x:c>
      <x:c r="H1091" t="n">
        <x:v>22</x:v>
      </x:c>
      <x:c r="I1091" t="str">
        <x:v>ORD-2025-00058</x:v>
      </x:c>
      <x:c r="J1091" t="n">
        <x:v>12</x:v>
      </x:c>
      <x:c r="K1091" t="n">
        <x:v>1</x:v>
      </x:c>
      <x:c r="L1091" t="str">
        <x:v>L22-S12-C1</x:v>
      </x:c>
      <x:c r="M1091" t="n">
        <x:v>0</x:v>
      </x:c>
      <x:c r="N1091" t="str">
        <x:v>DerivedFromCount</x:v>
      </x:c>
      <x:c r="O1091" t="str">
        <x:v>PLC-PRD-BOT-500-L22</x:v>
      </x:c>
      <x:c r="P1091" t="str">
        <x:v>OK</x:v>
      </x:c>
      <x:c r="Q1091" t="str">
        <x:v>OK</x:v>
      </x:c>
      <x:c r="R1091" t="str">
        <x:v>OK</x:v>
      </x:c>
      <x:c r="S1091" t="str">
        <x:v>OK</x:v>
      </x:c>
      <x:c r="T1091" t="n">
        <x:v>30</x:v>
      </x:c>
      <x:c r="U1091" t="str">
        <x:v>CHECK</x:v>
      </x:c>
      <x:c r="V1091" t="str">
        <x:v>CHECK</x:v>
      </x:c>
      <x:c r="W1091" t="str">
        <x:v>QUARANTINE</x:v>
      </x:c>
      <x:c r="X1091" t="str">
        <x:v>02_Supervisor_Log(4).xlsx</x:v>
      </x:c>
      <x:c r="Y1091" t="str">
        <x:v>ENH-20260830-01</x:v>
      </x:c>
      <x:c r="Z1091" t="str">
        <x:v>Active</x:v>
      </x:c>
      <x:c r="AA1091"/>
      <x:c r="AB1091"/>
      <x:c r="AC1091"/>
      <x:c r="AD1091"/>
    </x:row>
    <x:row r="1092">
      <x:c r="A1092" t="str">
        <x:v>PCC-PE-KG01-L22-20251026-PM-ORD-2025-00058-S12-C2</x:v>
      </x:c>
      <x:c r="B1092" t="str">
        <x:v>PC-PE-KG01-L22-20251026-PM-ORD-2025-00058-S12</x:v>
      </x:c>
      <x:c r="C1092" t="str">
        <x:v>PE-KG01-L22-20251026-PM-ORD-2025-00058</x:v>
      </x:c>
      <x:c r="D1092" t="str">
        <x:v>KG01</x:v>
      </x:c>
      <x:c r="E1092" s="62" t="n">
        <x:v>45956</x:v>
      </x:c>
      <x:c r="F1092" t="str">
        <x:v>PM</x:v>
      </x:c>
      <x:c r="G1092" t="str">
        <x:v>A</x:v>
      </x:c>
      <x:c r="H1092" t="n">
        <x:v>22</x:v>
      </x:c>
      <x:c r="I1092" t="str">
        <x:v>ORD-2025-00058</x:v>
      </x:c>
      <x:c r="J1092" t="n">
        <x:v>12</x:v>
      </x:c>
      <x:c r="K1092" t="n">
        <x:v>2</x:v>
      </x:c>
      <x:c r="L1092" t="str">
        <x:v>L22-S12-C2</x:v>
      </x:c>
      <x:c r="M1092" t="n">
        <x:v>0</x:v>
      </x:c>
      <x:c r="N1092" t="str">
        <x:v>DerivedFromCount</x:v>
      </x:c>
      <x:c r="O1092" t="str">
        <x:v>PLC-PRD-BOT-500-L22</x:v>
      </x:c>
      <x:c r="P1092" t="str">
        <x:v>OK</x:v>
      </x:c>
      <x:c r="Q1092" t="str">
        <x:v>OK</x:v>
      </x:c>
      <x:c r="R1092" t="str">
        <x:v>OK</x:v>
      </x:c>
      <x:c r="S1092" t="str">
        <x:v>OK</x:v>
      </x:c>
      <x:c r="T1092" t="n">
        <x:v>30</x:v>
      </x:c>
      <x:c r="U1092" t="str">
        <x:v>CHECK</x:v>
      </x:c>
      <x:c r="V1092" t="str">
        <x:v>CHECK</x:v>
      </x:c>
      <x:c r="W1092" t="str">
        <x:v>QUARANTINE</x:v>
      </x:c>
      <x:c r="X1092" t="str">
        <x:v>02_Supervisor_Log(4).xlsx</x:v>
      </x:c>
      <x:c r="Y1092" t="str">
        <x:v>ENH-20260830-01</x:v>
      </x:c>
      <x:c r="Z1092" t="str">
        <x:v>Active</x:v>
      </x:c>
      <x:c r="AA1092"/>
      <x:c r="AB1092"/>
      <x:c r="AC1092"/>
      <x:c r="AD1092"/>
    </x:row>
    <x:row r="1093">
      <x:c r="A1093" t="str">
        <x:v>PCC-PE-KG01-L22-20251026-PM-ORD-2025-00058-S12-C3</x:v>
      </x:c>
      <x:c r="B1093" t="str">
        <x:v>PC-PE-KG01-L22-20251026-PM-ORD-2025-00058-S12</x:v>
      </x:c>
      <x:c r="C1093" t="str">
        <x:v>PE-KG01-L22-20251026-PM-ORD-2025-00058</x:v>
      </x:c>
      <x:c r="D1093" t="str">
        <x:v>KG01</x:v>
      </x:c>
      <x:c r="E1093" s="62" t="n">
        <x:v>45956</x:v>
      </x:c>
      <x:c r="F1093" t="str">
        <x:v>PM</x:v>
      </x:c>
      <x:c r="G1093" t="str">
        <x:v>A</x:v>
      </x:c>
      <x:c r="H1093" t="n">
        <x:v>22</x:v>
      </x:c>
      <x:c r="I1093" t="str">
        <x:v>ORD-2025-00058</x:v>
      </x:c>
      <x:c r="J1093" t="n">
        <x:v>12</x:v>
      </x:c>
      <x:c r="K1093" t="n">
        <x:v>3</x:v>
      </x:c>
      <x:c r="L1093" t="str">
        <x:v>L22-S12-C3</x:v>
      </x:c>
      <x:c r="M1093" t="n">
        <x:v>0</x:v>
      </x:c>
      <x:c r="N1093" t="str">
        <x:v>DerivedFromCount</x:v>
      </x:c>
      <x:c r="O1093" t="str">
        <x:v>PLC-PRD-BOT-500-L22</x:v>
      </x:c>
      <x:c r="P1093" t="str">
        <x:v>OK</x:v>
      </x:c>
      <x:c r="Q1093" t="str">
        <x:v>OK</x:v>
      </x:c>
      <x:c r="R1093" t="str">
        <x:v>OK</x:v>
      </x:c>
      <x:c r="S1093" t="str">
        <x:v>OK</x:v>
      </x:c>
      <x:c r="T1093" t="n">
        <x:v>30</x:v>
      </x:c>
      <x:c r="U1093" t="str">
        <x:v>CHECK</x:v>
      </x:c>
      <x:c r="V1093" t="str">
        <x:v>CHECK</x:v>
      </x:c>
      <x:c r="W1093" t="str">
        <x:v>QUARANTINE</x:v>
      </x:c>
      <x:c r="X1093" t="str">
        <x:v>02_Supervisor_Log(4).xlsx</x:v>
      </x:c>
      <x:c r="Y1093" t="str">
        <x:v>ENH-20260830-01</x:v>
      </x:c>
      <x:c r="Z1093" t="str">
        <x:v>Active</x:v>
      </x:c>
      <x:c r="AA1093"/>
      <x:c r="AB1093"/>
      <x:c r="AC1093"/>
      <x:c r="AD1093"/>
    </x:row>
    <x:row r="1094">
      <x:c r="A1094" t="str">
        <x:v>PCC-PE-KG01-L22-20251026-PM-ORD-2025-00058-S13-C1</x:v>
      </x:c>
      <x:c r="B1094" t="str">
        <x:v>PC-PE-KG01-L22-20251026-PM-ORD-2025-00058-S13</x:v>
      </x:c>
      <x:c r="C1094" t="str">
        <x:v>PE-KG01-L22-20251026-PM-ORD-2025-00058</x:v>
      </x:c>
      <x:c r="D1094" t="str">
        <x:v>KG01</x:v>
      </x:c>
      <x:c r="E1094" s="62" t="n">
        <x:v>45956</x:v>
      </x:c>
      <x:c r="F1094" t="str">
        <x:v>PM</x:v>
      </x:c>
      <x:c r="G1094" t="str">
        <x:v>A</x:v>
      </x:c>
      <x:c r="H1094" t="n">
        <x:v>22</x:v>
      </x:c>
      <x:c r="I1094" t="str">
        <x:v>ORD-2025-00058</x:v>
      </x:c>
      <x:c r="J1094" t="n">
        <x:v>13</x:v>
      </x:c>
      <x:c r="K1094" t="n">
        <x:v>1</x:v>
      </x:c>
      <x:c r="L1094" t="str">
        <x:v>L22-S13-C1</x:v>
      </x:c>
      <x:c r="M1094" t="n">
        <x:v>0</x:v>
      </x:c>
      <x:c r="N1094" t="str">
        <x:v>DerivedFromCount</x:v>
      </x:c>
      <x:c r="O1094" t="str">
        <x:v>PLC-PRD-BOT-500-L22</x:v>
      </x:c>
      <x:c r="P1094" t="str">
        <x:v>OK</x:v>
      </x:c>
      <x:c r="Q1094" t="str">
        <x:v>OK</x:v>
      </x:c>
      <x:c r="R1094" t="str">
        <x:v>OK</x:v>
      </x:c>
      <x:c r="S1094" t="str">
        <x:v>OK</x:v>
      </x:c>
      <x:c r="T1094" t="n">
        <x:v>30</x:v>
      </x:c>
      <x:c r="U1094" t="str">
        <x:v>CHECK</x:v>
      </x:c>
      <x:c r="V1094" t="str">
        <x:v>CHECK</x:v>
      </x:c>
      <x:c r="W1094" t="str">
        <x:v>QUARANTINE</x:v>
      </x:c>
      <x:c r="X1094" t="str">
        <x:v>02_Supervisor_Log(4).xlsx</x:v>
      </x:c>
      <x:c r="Y1094" t="str">
        <x:v>ENH-20260830-01</x:v>
      </x:c>
      <x:c r="Z1094" t="str">
        <x:v>Active</x:v>
      </x:c>
      <x:c r="AA1094"/>
      <x:c r="AB1094"/>
      <x:c r="AC1094"/>
      <x:c r="AD1094"/>
    </x:row>
    <x:row r="1095">
      <x:c r="A1095" t="str">
        <x:v>PCC-PE-KG01-L22-20251026-PM-ORD-2025-00058-S13-C2</x:v>
      </x:c>
      <x:c r="B1095" t="str">
        <x:v>PC-PE-KG01-L22-20251026-PM-ORD-2025-00058-S13</x:v>
      </x:c>
      <x:c r="C1095" t="str">
        <x:v>PE-KG01-L22-20251026-PM-ORD-2025-00058</x:v>
      </x:c>
      <x:c r="D1095" t="str">
        <x:v>KG01</x:v>
      </x:c>
      <x:c r="E1095" s="62" t="n">
        <x:v>45956</x:v>
      </x:c>
      <x:c r="F1095" t="str">
        <x:v>PM</x:v>
      </x:c>
      <x:c r="G1095" t="str">
        <x:v>A</x:v>
      </x:c>
      <x:c r="H1095" t="n">
        <x:v>22</x:v>
      </x:c>
      <x:c r="I1095" t="str">
        <x:v>ORD-2025-00058</x:v>
      </x:c>
      <x:c r="J1095" t="n">
        <x:v>13</x:v>
      </x:c>
      <x:c r="K1095" t="n">
        <x:v>2</x:v>
      </x:c>
      <x:c r="L1095" t="str">
        <x:v>L22-S13-C2</x:v>
      </x:c>
      <x:c r="M1095" t="n">
        <x:v>0</x:v>
      </x:c>
      <x:c r="N1095" t="str">
        <x:v>DerivedFromCount</x:v>
      </x:c>
      <x:c r="O1095" t="str">
        <x:v>PLC-PRD-BOT-500-L22</x:v>
      </x:c>
      <x:c r="P1095" t="str">
        <x:v>OK</x:v>
      </x:c>
      <x:c r="Q1095" t="str">
        <x:v>OK</x:v>
      </x:c>
      <x:c r="R1095" t="str">
        <x:v>OK</x:v>
      </x:c>
      <x:c r="S1095" t="str">
        <x:v>OK</x:v>
      </x:c>
      <x:c r="T1095" t="n">
        <x:v>30</x:v>
      </x:c>
      <x:c r="U1095" t="str">
        <x:v>CHECK</x:v>
      </x:c>
      <x:c r="V1095" t="str">
        <x:v>CHECK</x:v>
      </x:c>
      <x:c r="W1095" t="str">
        <x:v>QUARANTINE</x:v>
      </x:c>
      <x:c r="X1095" t="str">
        <x:v>02_Supervisor_Log(4).xlsx</x:v>
      </x:c>
      <x:c r="Y1095" t="str">
        <x:v>ENH-20260830-01</x:v>
      </x:c>
      <x:c r="Z1095" t="str">
        <x:v>Active</x:v>
      </x:c>
      <x:c r="AA1095"/>
      <x:c r="AB1095"/>
      <x:c r="AC1095"/>
      <x:c r="AD1095"/>
    </x:row>
    <x:row r="1096">
      <x:c r="A1096" t="str">
        <x:v>PCC-PE-KG01-L22-20251026-PM-ORD-2025-00058-S13-C3</x:v>
      </x:c>
      <x:c r="B1096" t="str">
        <x:v>PC-PE-KG01-L22-20251026-PM-ORD-2025-00058-S13</x:v>
      </x:c>
      <x:c r="C1096" t="str">
        <x:v>PE-KG01-L22-20251026-PM-ORD-2025-00058</x:v>
      </x:c>
      <x:c r="D1096" t="str">
        <x:v>KG01</x:v>
      </x:c>
      <x:c r="E1096" s="62" t="n">
        <x:v>45956</x:v>
      </x:c>
      <x:c r="F1096" t="str">
        <x:v>PM</x:v>
      </x:c>
      <x:c r="G1096" t="str">
        <x:v>A</x:v>
      </x:c>
      <x:c r="H1096" t="n">
        <x:v>22</x:v>
      </x:c>
      <x:c r="I1096" t="str">
        <x:v>ORD-2025-00058</x:v>
      </x:c>
      <x:c r="J1096" t="n">
        <x:v>13</x:v>
      </x:c>
      <x:c r="K1096" t="n">
        <x:v>3</x:v>
      </x:c>
      <x:c r="L1096" t="str">
        <x:v>L22-S13-C3</x:v>
      </x:c>
      <x:c r="M1096" t="n">
        <x:v>0</x:v>
      </x:c>
      <x:c r="N1096" t="str">
        <x:v>DerivedFromCount</x:v>
      </x:c>
      <x:c r="O1096" t="str">
        <x:v>PLC-PRD-BOT-500-L22</x:v>
      </x:c>
      <x:c r="P1096" t="str">
        <x:v>OK</x:v>
      </x:c>
      <x:c r="Q1096" t="str">
        <x:v>OK</x:v>
      </x:c>
      <x:c r="R1096" t="str">
        <x:v>OK</x:v>
      </x:c>
      <x:c r="S1096" t="str">
        <x:v>OK</x:v>
      </x:c>
      <x:c r="T1096" t="n">
        <x:v>30</x:v>
      </x:c>
      <x:c r="U1096" t="str">
        <x:v>CHECK</x:v>
      </x:c>
      <x:c r="V1096" t="str">
        <x:v>CHECK</x:v>
      </x:c>
      <x:c r="W1096" t="str">
        <x:v>QUARANTINE</x:v>
      </x:c>
      <x:c r="X1096" t="str">
        <x:v>02_Supervisor_Log(4).xlsx</x:v>
      </x:c>
      <x:c r="Y1096" t="str">
        <x:v>ENH-20260830-01</x:v>
      </x:c>
      <x:c r="Z1096" t="str">
        <x:v>Active</x:v>
      </x:c>
      <x:c r="AA1096"/>
      <x:c r="AB1096"/>
      <x:c r="AC1096"/>
      <x:c r="AD1096"/>
    </x:row>
    <x:row r="1097">
      <x:c r="A1097" t="str">
        <x:v>PCC-PE-KG01-L23-20251020-AM-ORD-2025-00092-S01-C1</x:v>
      </x:c>
      <x:c r="B1097" t="str">
        <x:v>PC-PE-KG01-L23-20251020-AM-ORD-2025-00092-S01</x:v>
      </x:c>
      <x:c r="C1097" t="str">
        <x:v>PE-KG01-L23-20251020-AM-ORD-2025-00092</x:v>
      </x:c>
      <x:c r="D1097" t="str">
        <x:v>KG01</x:v>
      </x:c>
      <x:c r="E1097" s="62" t="n">
        <x:v>45950</x:v>
      </x:c>
      <x:c r="F1097" t="str">
        <x:v>AM</x:v>
      </x:c>
      <x:c r="G1097" t="str">
        <x:v>C</x:v>
      </x:c>
      <x:c r="H1097" t="n">
        <x:v>23</x:v>
      </x:c>
      <x:c r="I1097" t="str">
        <x:v>ORD-2025-00092</x:v>
      </x:c>
      <x:c r="J1097" t="n">
        <x:v>1</x:v>
      </x:c>
      <x:c r="K1097" t="n">
        <x:v>1</x:v>
      </x:c>
      <x:c r="L1097" t="str">
        <x:v>L23-S01-C1</x:v>
      </x:c>
      <x:c r="M1097" t="n">
        <x:v>1</x:v>
      </x:c>
      <x:c r="N1097" t="str">
        <x:v>DerivedFromCount</x:v>
      </x:c>
      <x:c r="O1097" t="str">
        <x:v>PLC-PRD-JAR-330-L23</x:v>
      </x:c>
      <x:c r="P1097" t="str">
        <x:v>OK</x:v>
      </x:c>
      <x:c r="Q1097" t="str">
        <x:v>OK</x:v>
      </x:c>
      <x:c r="R1097" t="str">
        <x:v>OK</x:v>
      </x:c>
      <x:c r="S1097" t="str">
        <x:v>OK</x:v>
      </x:c>
      <x:c r="T1097" t="n">
        <x:v>36</x:v>
      </x:c>
      <x:c r="U1097" t="str">
        <x:v>OK</x:v>
      </x:c>
      <x:c r="V1097" t="str">
        <x:v>OK</x:v>
      </x:c>
      <x:c r="W1097" t="str">
        <x:v>LOAD</x:v>
      </x:c>
      <x:c r="X1097" t="str">
        <x:v>02_Supervisor_Log(4).xlsx</x:v>
      </x:c>
      <x:c r="Y1097" t="str">
        <x:v>ENH-20260830-01</x:v>
      </x:c>
      <x:c r="Z1097" t="str">
        <x:v>Active</x:v>
      </x:c>
      <x:c r="AA1097"/>
      <x:c r="AB1097"/>
      <x:c r="AC1097"/>
      <x:c r="AD1097"/>
    </x:row>
    <x:row r="1098">
      <x:c r="A1098" t="str">
        <x:v>PCC-PE-KG01-L23-20251020-AM-ORD-2025-00092-S01-C2</x:v>
      </x:c>
      <x:c r="B1098" t="str">
        <x:v>PC-PE-KG01-L23-20251020-AM-ORD-2025-00092-S01</x:v>
      </x:c>
      <x:c r="C1098" t="str">
        <x:v>PE-KG01-L23-20251020-AM-ORD-2025-00092</x:v>
      </x:c>
      <x:c r="D1098" t="str">
        <x:v>KG01</x:v>
      </x:c>
      <x:c r="E1098" s="62" t="n">
        <x:v>45950</x:v>
      </x:c>
      <x:c r="F1098" t="str">
        <x:v>AM</x:v>
      </x:c>
      <x:c r="G1098" t="str">
        <x:v>C</x:v>
      </x:c>
      <x:c r="H1098" t="n">
        <x:v>23</x:v>
      </x:c>
      <x:c r="I1098" t="str">
        <x:v>ORD-2025-00092</x:v>
      </x:c>
      <x:c r="J1098" t="n">
        <x:v>1</x:v>
      </x:c>
      <x:c r="K1098" t="n">
        <x:v>2</x:v>
      </x:c>
      <x:c r="L1098" t="str">
        <x:v>L23-S01-C2</x:v>
      </x:c>
      <x:c r="M1098" t="n">
        <x:v>1</x:v>
      </x:c>
      <x:c r="N1098" t="str">
        <x:v>DerivedFromCount</x:v>
      </x:c>
      <x:c r="O1098" t="str">
        <x:v>PLC-PRD-JAR-330-L23</x:v>
      </x:c>
      <x:c r="P1098" t="str">
        <x:v>OK</x:v>
      </x:c>
      <x:c r="Q1098" t="str">
        <x:v>OK</x:v>
      </x:c>
      <x:c r="R1098" t="str">
        <x:v>OK</x:v>
      </x:c>
      <x:c r="S1098" t="str">
        <x:v>OK</x:v>
      </x:c>
      <x:c r="T1098" t="n">
        <x:v>36</x:v>
      </x:c>
      <x:c r="U1098" t="str">
        <x:v>OK</x:v>
      </x:c>
      <x:c r="V1098" t="str">
        <x:v>OK</x:v>
      </x:c>
      <x:c r="W1098" t="str">
        <x:v>LOAD</x:v>
      </x:c>
      <x:c r="X1098" t="str">
        <x:v>02_Supervisor_Log(4).xlsx</x:v>
      </x:c>
      <x:c r="Y1098" t="str">
        <x:v>ENH-20260830-01</x:v>
      </x:c>
      <x:c r="Z1098" t="str">
        <x:v>Active</x:v>
      </x:c>
      <x:c r="AA1098"/>
      <x:c r="AB1098"/>
      <x:c r="AC1098"/>
      <x:c r="AD1098"/>
    </x:row>
    <x:row r="1099">
      <x:c r="A1099" t="str">
        <x:v>PCC-PE-KG01-L23-20251020-AM-ORD-2025-00092-S01-C3</x:v>
      </x:c>
      <x:c r="B1099" t="str">
        <x:v>PC-PE-KG01-L23-20251020-AM-ORD-2025-00092-S01</x:v>
      </x:c>
      <x:c r="C1099" t="str">
        <x:v>PE-KG01-L23-20251020-AM-ORD-2025-00092</x:v>
      </x:c>
      <x:c r="D1099" t="str">
        <x:v>KG01</x:v>
      </x:c>
      <x:c r="E1099" s="62" t="n">
        <x:v>45950</x:v>
      </x:c>
      <x:c r="F1099" t="str">
        <x:v>AM</x:v>
      </x:c>
      <x:c r="G1099" t="str">
        <x:v>C</x:v>
      </x:c>
      <x:c r="H1099" t="n">
        <x:v>23</x:v>
      </x:c>
      <x:c r="I1099" t="str">
        <x:v>ORD-2025-00092</x:v>
      </x:c>
      <x:c r="J1099" t="n">
        <x:v>1</x:v>
      </x:c>
      <x:c r="K1099" t="n">
        <x:v>3</x:v>
      </x:c>
      <x:c r="L1099" t="str">
        <x:v>L23-S01-C3</x:v>
      </x:c>
      <x:c r="M1099" t="n">
        <x:v>1</x:v>
      </x:c>
      <x:c r="N1099" t="str">
        <x:v>DerivedFromCount</x:v>
      </x:c>
      <x:c r="O1099" t="str">
        <x:v>PLC-PRD-JAR-330-L23</x:v>
      </x:c>
      <x:c r="P1099" t="str">
        <x:v>OK</x:v>
      </x:c>
      <x:c r="Q1099" t="str">
        <x:v>OK</x:v>
      </x:c>
      <x:c r="R1099" t="str">
        <x:v>OK</x:v>
      </x:c>
      <x:c r="S1099" t="str">
        <x:v>OK</x:v>
      </x:c>
      <x:c r="T1099" t="n">
        <x:v>36</x:v>
      </x:c>
      <x:c r="U1099" t="str">
        <x:v>OK</x:v>
      </x:c>
      <x:c r="V1099" t="str">
        <x:v>OK</x:v>
      </x:c>
      <x:c r="W1099" t="str">
        <x:v>LOAD</x:v>
      </x:c>
      <x:c r="X1099" t="str">
        <x:v>02_Supervisor_Log(4).xlsx</x:v>
      </x:c>
      <x:c r="Y1099" t="str">
        <x:v>ENH-20260830-01</x:v>
      </x:c>
      <x:c r="Z1099" t="str">
        <x:v>Active</x:v>
      </x:c>
      <x:c r="AA1099"/>
      <x:c r="AB1099"/>
      <x:c r="AC1099"/>
      <x:c r="AD1099"/>
    </x:row>
    <x:row r="1100">
      <x:c r="A1100" t="str">
        <x:v>PCC-PE-KG01-L23-20251020-AM-ORD-2025-00092-S02-C1</x:v>
      </x:c>
      <x:c r="B1100" t="str">
        <x:v>PC-PE-KG01-L23-20251020-AM-ORD-2025-00092-S02</x:v>
      </x:c>
      <x:c r="C1100" t="str">
        <x:v>PE-KG01-L23-20251020-AM-ORD-2025-00092</x:v>
      </x:c>
      <x:c r="D1100" t="str">
        <x:v>KG01</x:v>
      </x:c>
      <x:c r="E1100" s="62" t="n">
        <x:v>45950</x:v>
      </x:c>
      <x:c r="F1100" t="str">
        <x:v>AM</x:v>
      </x:c>
      <x:c r="G1100" t="str">
        <x:v>C</x:v>
      </x:c>
      <x:c r="H1100" t="n">
        <x:v>23</x:v>
      </x:c>
      <x:c r="I1100" t="str">
        <x:v>ORD-2025-00092</x:v>
      </x:c>
      <x:c r="J1100" t="n">
        <x:v>2</x:v>
      </x:c>
      <x:c r="K1100" t="n">
        <x:v>1</x:v>
      </x:c>
      <x:c r="L1100" t="str">
        <x:v>L23-S02-C1</x:v>
      </x:c>
      <x:c r="M1100" t="n">
        <x:v>1</x:v>
      </x:c>
      <x:c r="N1100" t="str">
        <x:v>DerivedFromCount</x:v>
      </x:c>
      <x:c r="O1100" t="str">
        <x:v>PLC-PRD-JAR-330-L23</x:v>
      </x:c>
      <x:c r="P1100" t="str">
        <x:v>OK</x:v>
      </x:c>
      <x:c r="Q1100" t="str">
        <x:v>OK</x:v>
      </x:c>
      <x:c r="R1100" t="str">
        <x:v>OK</x:v>
      </x:c>
      <x:c r="S1100" t="str">
        <x:v>OK</x:v>
      </x:c>
      <x:c r="T1100" t="n">
        <x:v>36</x:v>
      </x:c>
      <x:c r="U1100" t="str">
        <x:v>OK</x:v>
      </x:c>
      <x:c r="V1100" t="str">
        <x:v>OK</x:v>
      </x:c>
      <x:c r="W1100" t="str">
        <x:v>LOAD</x:v>
      </x:c>
      <x:c r="X1100" t="str">
        <x:v>02_Supervisor_Log(4).xlsx</x:v>
      </x:c>
      <x:c r="Y1100" t="str">
        <x:v>ENH-20260830-01</x:v>
      </x:c>
      <x:c r="Z1100" t="str">
        <x:v>Active</x:v>
      </x:c>
      <x:c r="AA1100"/>
      <x:c r="AB1100"/>
      <x:c r="AC1100"/>
      <x:c r="AD1100"/>
    </x:row>
    <x:row r="1101">
      <x:c r="A1101" t="str">
        <x:v>PCC-PE-KG01-L23-20251020-AM-ORD-2025-00092-S02-C2</x:v>
      </x:c>
      <x:c r="B1101" t="str">
        <x:v>PC-PE-KG01-L23-20251020-AM-ORD-2025-00092-S02</x:v>
      </x:c>
      <x:c r="C1101" t="str">
        <x:v>PE-KG01-L23-20251020-AM-ORD-2025-00092</x:v>
      </x:c>
      <x:c r="D1101" t="str">
        <x:v>KG01</x:v>
      </x:c>
      <x:c r="E1101" s="62" t="n">
        <x:v>45950</x:v>
      </x:c>
      <x:c r="F1101" t="str">
        <x:v>AM</x:v>
      </x:c>
      <x:c r="G1101" t="str">
        <x:v>C</x:v>
      </x:c>
      <x:c r="H1101" t="n">
        <x:v>23</x:v>
      </x:c>
      <x:c r="I1101" t="str">
        <x:v>ORD-2025-00092</x:v>
      </x:c>
      <x:c r="J1101" t="n">
        <x:v>2</x:v>
      </x:c>
      <x:c r="K1101" t="n">
        <x:v>2</x:v>
      </x:c>
      <x:c r="L1101" t="str">
        <x:v>L23-S02-C2</x:v>
      </x:c>
      <x:c r="M1101" t="n">
        <x:v>1</x:v>
      </x:c>
      <x:c r="N1101" t="str">
        <x:v>DerivedFromCount</x:v>
      </x:c>
      <x:c r="O1101" t="str">
        <x:v>PLC-PRD-JAR-330-L23</x:v>
      </x:c>
      <x:c r="P1101" t="str">
        <x:v>OK</x:v>
      </x:c>
      <x:c r="Q1101" t="str">
        <x:v>OK</x:v>
      </x:c>
      <x:c r="R1101" t="str">
        <x:v>OK</x:v>
      </x:c>
      <x:c r="S1101" t="str">
        <x:v>OK</x:v>
      </x:c>
      <x:c r="T1101" t="n">
        <x:v>36</x:v>
      </x:c>
      <x:c r="U1101" t="str">
        <x:v>OK</x:v>
      </x:c>
      <x:c r="V1101" t="str">
        <x:v>OK</x:v>
      </x:c>
      <x:c r="W1101" t="str">
        <x:v>LOAD</x:v>
      </x:c>
      <x:c r="X1101" t="str">
        <x:v>02_Supervisor_Log(4).xlsx</x:v>
      </x:c>
      <x:c r="Y1101" t="str">
        <x:v>ENH-20260830-01</x:v>
      </x:c>
      <x:c r="Z1101" t="str">
        <x:v>Active</x:v>
      </x:c>
      <x:c r="AA1101"/>
      <x:c r="AB1101"/>
      <x:c r="AC1101"/>
      <x:c r="AD1101"/>
    </x:row>
    <x:row r="1102">
      <x:c r="A1102" t="str">
        <x:v>PCC-PE-KG01-L23-20251020-AM-ORD-2025-00092-S02-C3</x:v>
      </x:c>
      <x:c r="B1102" t="str">
        <x:v>PC-PE-KG01-L23-20251020-AM-ORD-2025-00092-S02</x:v>
      </x:c>
      <x:c r="C1102" t="str">
        <x:v>PE-KG01-L23-20251020-AM-ORD-2025-00092</x:v>
      </x:c>
      <x:c r="D1102" t="str">
        <x:v>KG01</x:v>
      </x:c>
      <x:c r="E1102" s="62" t="n">
        <x:v>45950</x:v>
      </x:c>
      <x:c r="F1102" t="str">
        <x:v>AM</x:v>
      </x:c>
      <x:c r="G1102" t="str">
        <x:v>C</x:v>
      </x:c>
      <x:c r="H1102" t="n">
        <x:v>23</x:v>
      </x:c>
      <x:c r="I1102" t="str">
        <x:v>ORD-2025-00092</x:v>
      </x:c>
      <x:c r="J1102" t="n">
        <x:v>2</x:v>
      </x:c>
      <x:c r="K1102" t="n">
        <x:v>3</x:v>
      </x:c>
      <x:c r="L1102" t="str">
        <x:v>L23-S02-C3</x:v>
      </x:c>
      <x:c r="M1102" t="n">
        <x:v>1</x:v>
      </x:c>
      <x:c r="N1102" t="str">
        <x:v>DerivedFromCount</x:v>
      </x:c>
      <x:c r="O1102" t="str">
        <x:v>PLC-PRD-JAR-330-L23</x:v>
      </x:c>
      <x:c r="P1102" t="str">
        <x:v>OK</x:v>
      </x:c>
      <x:c r="Q1102" t="str">
        <x:v>OK</x:v>
      </x:c>
      <x:c r="R1102" t="str">
        <x:v>OK</x:v>
      </x:c>
      <x:c r="S1102" t="str">
        <x:v>OK</x:v>
      </x:c>
      <x:c r="T1102" t="n">
        <x:v>36</x:v>
      </x:c>
      <x:c r="U1102" t="str">
        <x:v>OK</x:v>
      </x:c>
      <x:c r="V1102" t="str">
        <x:v>OK</x:v>
      </x:c>
      <x:c r="W1102" t="str">
        <x:v>LOAD</x:v>
      </x:c>
      <x:c r="X1102" t="str">
        <x:v>02_Supervisor_Log(4).xlsx</x:v>
      </x:c>
      <x:c r="Y1102" t="str">
        <x:v>ENH-20260830-01</x:v>
      </x:c>
      <x:c r="Z1102" t="str">
        <x:v>Active</x:v>
      </x:c>
      <x:c r="AA1102"/>
      <x:c r="AB1102"/>
      <x:c r="AC1102"/>
      <x:c r="AD1102"/>
    </x:row>
    <x:row r="1103">
      <x:c r="A1103" t="str">
        <x:v>PCC-PE-KG01-L23-20251020-AM-ORD-2025-00092-S03-C1</x:v>
      </x:c>
      <x:c r="B1103" t="str">
        <x:v>PC-PE-KG01-L23-20251020-AM-ORD-2025-00092-S03</x:v>
      </x:c>
      <x:c r="C1103" t="str">
        <x:v>PE-KG01-L23-20251020-AM-ORD-2025-00092</x:v>
      </x:c>
      <x:c r="D1103" t="str">
        <x:v>KG01</x:v>
      </x:c>
      <x:c r="E1103" s="62" t="n">
        <x:v>45950</x:v>
      </x:c>
      <x:c r="F1103" t="str">
        <x:v>AM</x:v>
      </x:c>
      <x:c r="G1103" t="str">
        <x:v>C</x:v>
      </x:c>
      <x:c r="H1103" t="n">
        <x:v>23</x:v>
      </x:c>
      <x:c r="I1103" t="str">
        <x:v>ORD-2025-00092</x:v>
      </x:c>
      <x:c r="J1103" t="n">
        <x:v>3</x:v>
      </x:c>
      <x:c r="K1103" t="n">
        <x:v>1</x:v>
      </x:c>
      <x:c r="L1103" t="str">
        <x:v>L23-S03-C1</x:v>
      </x:c>
      <x:c r="M1103" t="n">
        <x:v>1</x:v>
      </x:c>
      <x:c r="N1103" t="str">
        <x:v>DerivedFromCount</x:v>
      </x:c>
      <x:c r="O1103" t="str">
        <x:v>PLC-PRD-JAR-330-L23</x:v>
      </x:c>
      <x:c r="P1103" t="str">
        <x:v>OK</x:v>
      </x:c>
      <x:c r="Q1103" t="str">
        <x:v>OK</x:v>
      </x:c>
      <x:c r="R1103" t="str">
        <x:v>OK</x:v>
      </x:c>
      <x:c r="S1103" t="str">
        <x:v>OK</x:v>
      </x:c>
      <x:c r="T1103" t="n">
        <x:v>36</x:v>
      </x:c>
      <x:c r="U1103" t="str">
        <x:v>OK</x:v>
      </x:c>
      <x:c r="V1103" t="str">
        <x:v>OK</x:v>
      </x:c>
      <x:c r="W1103" t="str">
        <x:v>LOAD</x:v>
      </x:c>
      <x:c r="X1103" t="str">
        <x:v>02_Supervisor_Log(4).xlsx</x:v>
      </x:c>
      <x:c r="Y1103" t="str">
        <x:v>ENH-20260830-01</x:v>
      </x:c>
      <x:c r="Z1103" t="str">
        <x:v>Active</x:v>
      </x:c>
      <x:c r="AA1103"/>
      <x:c r="AB1103"/>
      <x:c r="AC1103"/>
      <x:c r="AD1103"/>
    </x:row>
    <x:row r="1104">
      <x:c r="A1104" t="str">
        <x:v>PCC-PE-KG01-L23-20251020-AM-ORD-2025-00092-S03-C2</x:v>
      </x:c>
      <x:c r="B1104" t="str">
        <x:v>PC-PE-KG01-L23-20251020-AM-ORD-2025-00092-S03</x:v>
      </x:c>
      <x:c r="C1104" t="str">
        <x:v>PE-KG01-L23-20251020-AM-ORD-2025-00092</x:v>
      </x:c>
      <x:c r="D1104" t="str">
        <x:v>KG01</x:v>
      </x:c>
      <x:c r="E1104" s="62" t="n">
        <x:v>45950</x:v>
      </x:c>
      <x:c r="F1104" t="str">
        <x:v>AM</x:v>
      </x:c>
      <x:c r="G1104" t="str">
        <x:v>C</x:v>
      </x:c>
      <x:c r="H1104" t="n">
        <x:v>23</x:v>
      </x:c>
      <x:c r="I1104" t="str">
        <x:v>ORD-2025-00092</x:v>
      </x:c>
      <x:c r="J1104" t="n">
        <x:v>3</x:v>
      </x:c>
      <x:c r="K1104" t="n">
        <x:v>2</x:v>
      </x:c>
      <x:c r="L1104" t="str">
        <x:v>L23-S03-C2</x:v>
      </x:c>
      <x:c r="M1104" t="n">
        <x:v>1</x:v>
      </x:c>
      <x:c r="N1104" t="str">
        <x:v>DerivedFromCount</x:v>
      </x:c>
      <x:c r="O1104" t="str">
        <x:v>PLC-PRD-JAR-330-L23</x:v>
      </x:c>
      <x:c r="P1104" t="str">
        <x:v>OK</x:v>
      </x:c>
      <x:c r="Q1104" t="str">
        <x:v>OK</x:v>
      </x:c>
      <x:c r="R1104" t="str">
        <x:v>OK</x:v>
      </x:c>
      <x:c r="S1104" t="str">
        <x:v>OK</x:v>
      </x:c>
      <x:c r="T1104" t="n">
        <x:v>36</x:v>
      </x:c>
      <x:c r="U1104" t="str">
        <x:v>OK</x:v>
      </x:c>
      <x:c r="V1104" t="str">
        <x:v>OK</x:v>
      </x:c>
      <x:c r="W1104" t="str">
        <x:v>LOAD</x:v>
      </x:c>
      <x:c r="X1104" t="str">
        <x:v>02_Supervisor_Log(4).xlsx</x:v>
      </x:c>
      <x:c r="Y1104" t="str">
        <x:v>ENH-20260830-01</x:v>
      </x:c>
      <x:c r="Z1104" t="str">
        <x:v>Active</x:v>
      </x:c>
      <x:c r="AA1104"/>
      <x:c r="AB1104"/>
      <x:c r="AC1104"/>
      <x:c r="AD1104"/>
    </x:row>
    <x:row r="1105">
      <x:c r="A1105" t="str">
        <x:v>PCC-PE-KG01-L23-20251020-AM-ORD-2025-00092-S03-C3</x:v>
      </x:c>
      <x:c r="B1105" t="str">
        <x:v>PC-PE-KG01-L23-20251020-AM-ORD-2025-00092-S03</x:v>
      </x:c>
      <x:c r="C1105" t="str">
        <x:v>PE-KG01-L23-20251020-AM-ORD-2025-00092</x:v>
      </x:c>
      <x:c r="D1105" t="str">
        <x:v>KG01</x:v>
      </x:c>
      <x:c r="E1105" s="62" t="n">
        <x:v>45950</x:v>
      </x:c>
      <x:c r="F1105" t="str">
        <x:v>AM</x:v>
      </x:c>
      <x:c r="G1105" t="str">
        <x:v>C</x:v>
      </x:c>
      <x:c r="H1105" t="n">
        <x:v>23</x:v>
      </x:c>
      <x:c r="I1105" t="str">
        <x:v>ORD-2025-00092</x:v>
      </x:c>
      <x:c r="J1105" t="n">
        <x:v>3</x:v>
      </x:c>
      <x:c r="K1105" t="n">
        <x:v>3</x:v>
      </x:c>
      <x:c r="L1105" t="str">
        <x:v>L23-S03-C3</x:v>
      </x:c>
      <x:c r="M1105" t="n">
        <x:v>1</x:v>
      </x:c>
      <x:c r="N1105" t="str">
        <x:v>DerivedFromCount</x:v>
      </x:c>
      <x:c r="O1105" t="str">
        <x:v>PLC-PRD-JAR-330-L23</x:v>
      </x:c>
      <x:c r="P1105" t="str">
        <x:v>OK</x:v>
      </x:c>
      <x:c r="Q1105" t="str">
        <x:v>OK</x:v>
      </x:c>
      <x:c r="R1105" t="str">
        <x:v>OK</x:v>
      </x:c>
      <x:c r="S1105" t="str">
        <x:v>OK</x:v>
      </x:c>
      <x:c r="T1105" t="n">
        <x:v>36</x:v>
      </x:c>
      <x:c r="U1105" t="str">
        <x:v>OK</x:v>
      </x:c>
      <x:c r="V1105" t="str">
        <x:v>OK</x:v>
      </x:c>
      <x:c r="W1105" t="str">
        <x:v>LOAD</x:v>
      </x:c>
      <x:c r="X1105" t="str">
        <x:v>02_Supervisor_Log(4).xlsx</x:v>
      </x:c>
      <x:c r="Y1105" t="str">
        <x:v>ENH-20260830-01</x:v>
      </x:c>
      <x:c r="Z1105" t="str">
        <x:v>Active</x:v>
      </x:c>
      <x:c r="AA1105"/>
      <x:c r="AB1105"/>
      <x:c r="AC1105"/>
      <x:c r="AD1105"/>
    </x:row>
    <x:row r="1106">
      <x:c r="A1106" t="str">
        <x:v>PCC-PE-KG01-L23-20251020-AM-ORD-2025-00092-S04-C1</x:v>
      </x:c>
      <x:c r="B1106" t="str">
        <x:v>PC-PE-KG01-L23-20251020-AM-ORD-2025-00092-S04</x:v>
      </x:c>
      <x:c r="C1106" t="str">
        <x:v>PE-KG01-L23-20251020-AM-ORD-2025-00092</x:v>
      </x:c>
      <x:c r="D1106" t="str">
        <x:v>KG01</x:v>
      </x:c>
      <x:c r="E1106" s="62" t="n">
        <x:v>45950</x:v>
      </x:c>
      <x:c r="F1106" t="str">
        <x:v>AM</x:v>
      </x:c>
      <x:c r="G1106" t="str">
        <x:v>C</x:v>
      </x:c>
      <x:c r="H1106" t="n">
        <x:v>23</x:v>
      </x:c>
      <x:c r="I1106" t="str">
        <x:v>ORD-2025-00092</x:v>
      </x:c>
      <x:c r="J1106" t="n">
        <x:v>4</x:v>
      </x:c>
      <x:c r="K1106" t="n">
        <x:v>1</x:v>
      </x:c>
      <x:c r="L1106" t="str">
        <x:v>L23-S04-C1</x:v>
      </x:c>
      <x:c r="M1106" t="n">
        <x:v>1</x:v>
      </x:c>
      <x:c r="N1106" t="str">
        <x:v>DerivedFromCount</x:v>
      </x:c>
      <x:c r="O1106" t="str">
        <x:v>PLC-PRD-JAR-330-L23</x:v>
      </x:c>
      <x:c r="P1106" t="str">
        <x:v>OK</x:v>
      </x:c>
      <x:c r="Q1106" t="str">
        <x:v>OK</x:v>
      </x:c>
      <x:c r="R1106" t="str">
        <x:v>OK</x:v>
      </x:c>
      <x:c r="S1106" t="str">
        <x:v>OK</x:v>
      </x:c>
      <x:c r="T1106" t="n">
        <x:v>36</x:v>
      </x:c>
      <x:c r="U1106" t="str">
        <x:v>OK</x:v>
      </x:c>
      <x:c r="V1106" t="str">
        <x:v>OK</x:v>
      </x:c>
      <x:c r="W1106" t="str">
        <x:v>LOAD</x:v>
      </x:c>
      <x:c r="X1106" t="str">
        <x:v>02_Supervisor_Log(4).xlsx</x:v>
      </x:c>
      <x:c r="Y1106" t="str">
        <x:v>ENH-20260830-01</x:v>
      </x:c>
      <x:c r="Z1106" t="str">
        <x:v>Active</x:v>
      </x:c>
      <x:c r="AA1106"/>
      <x:c r="AB1106"/>
      <x:c r="AC1106"/>
      <x:c r="AD1106"/>
    </x:row>
    <x:row r="1107">
      <x:c r="A1107" t="str">
        <x:v>PCC-PE-KG01-L23-20251020-AM-ORD-2025-00092-S04-C2</x:v>
      </x:c>
      <x:c r="B1107" t="str">
        <x:v>PC-PE-KG01-L23-20251020-AM-ORD-2025-00092-S04</x:v>
      </x:c>
      <x:c r="C1107" t="str">
        <x:v>PE-KG01-L23-20251020-AM-ORD-2025-00092</x:v>
      </x:c>
      <x:c r="D1107" t="str">
        <x:v>KG01</x:v>
      </x:c>
      <x:c r="E1107" s="62" t="n">
        <x:v>45950</x:v>
      </x:c>
      <x:c r="F1107" t="str">
        <x:v>AM</x:v>
      </x:c>
      <x:c r="G1107" t="str">
        <x:v>C</x:v>
      </x:c>
      <x:c r="H1107" t="n">
        <x:v>23</x:v>
      </x:c>
      <x:c r="I1107" t="str">
        <x:v>ORD-2025-00092</x:v>
      </x:c>
      <x:c r="J1107" t="n">
        <x:v>4</x:v>
      </x:c>
      <x:c r="K1107" t="n">
        <x:v>2</x:v>
      </x:c>
      <x:c r="L1107" t="str">
        <x:v>L23-S04-C2</x:v>
      </x:c>
      <x:c r="M1107" t="n">
        <x:v>1</x:v>
      </x:c>
      <x:c r="N1107" t="str">
        <x:v>DerivedFromCount</x:v>
      </x:c>
      <x:c r="O1107" t="str">
        <x:v>PLC-PRD-JAR-330-L23</x:v>
      </x:c>
      <x:c r="P1107" t="str">
        <x:v>OK</x:v>
      </x:c>
      <x:c r="Q1107" t="str">
        <x:v>OK</x:v>
      </x:c>
      <x:c r="R1107" t="str">
        <x:v>OK</x:v>
      </x:c>
      <x:c r="S1107" t="str">
        <x:v>OK</x:v>
      </x:c>
      <x:c r="T1107" t="n">
        <x:v>36</x:v>
      </x:c>
      <x:c r="U1107" t="str">
        <x:v>OK</x:v>
      </x:c>
      <x:c r="V1107" t="str">
        <x:v>OK</x:v>
      </x:c>
      <x:c r="W1107" t="str">
        <x:v>LOAD</x:v>
      </x:c>
      <x:c r="X1107" t="str">
        <x:v>02_Supervisor_Log(4).xlsx</x:v>
      </x:c>
      <x:c r="Y1107" t="str">
        <x:v>ENH-20260830-01</x:v>
      </x:c>
      <x:c r="Z1107" t="str">
        <x:v>Active</x:v>
      </x:c>
      <x:c r="AA1107"/>
      <x:c r="AB1107"/>
      <x:c r="AC1107"/>
      <x:c r="AD1107"/>
    </x:row>
    <x:row r="1108">
      <x:c r="A1108" t="str">
        <x:v>PCC-PE-KG01-L23-20251020-AM-ORD-2025-00092-S04-C3</x:v>
      </x:c>
      <x:c r="B1108" t="str">
        <x:v>PC-PE-KG01-L23-20251020-AM-ORD-2025-00092-S04</x:v>
      </x:c>
      <x:c r="C1108" t="str">
        <x:v>PE-KG01-L23-20251020-AM-ORD-2025-00092</x:v>
      </x:c>
      <x:c r="D1108" t="str">
        <x:v>KG01</x:v>
      </x:c>
      <x:c r="E1108" s="62" t="n">
        <x:v>45950</x:v>
      </x:c>
      <x:c r="F1108" t="str">
        <x:v>AM</x:v>
      </x:c>
      <x:c r="G1108" t="str">
        <x:v>C</x:v>
      </x:c>
      <x:c r="H1108" t="n">
        <x:v>23</x:v>
      </x:c>
      <x:c r="I1108" t="str">
        <x:v>ORD-2025-00092</x:v>
      </x:c>
      <x:c r="J1108" t="n">
        <x:v>4</x:v>
      </x:c>
      <x:c r="K1108" t="n">
        <x:v>3</x:v>
      </x:c>
      <x:c r="L1108" t="str">
        <x:v>L23-S04-C3</x:v>
      </x:c>
      <x:c r="M1108" t="n">
        <x:v>1</x:v>
      </x:c>
      <x:c r="N1108" t="str">
        <x:v>DerivedFromCount</x:v>
      </x:c>
      <x:c r="O1108" t="str">
        <x:v>PLC-PRD-JAR-330-L23</x:v>
      </x:c>
      <x:c r="P1108" t="str">
        <x:v>OK</x:v>
      </x:c>
      <x:c r="Q1108" t="str">
        <x:v>OK</x:v>
      </x:c>
      <x:c r="R1108" t="str">
        <x:v>OK</x:v>
      </x:c>
      <x:c r="S1108" t="str">
        <x:v>OK</x:v>
      </x:c>
      <x:c r="T1108" t="n">
        <x:v>36</x:v>
      </x:c>
      <x:c r="U1108" t="str">
        <x:v>OK</x:v>
      </x:c>
      <x:c r="V1108" t="str">
        <x:v>OK</x:v>
      </x:c>
      <x:c r="W1108" t="str">
        <x:v>LOAD</x:v>
      </x:c>
      <x:c r="X1108" t="str">
        <x:v>02_Supervisor_Log(4).xlsx</x:v>
      </x:c>
      <x:c r="Y1108" t="str">
        <x:v>ENH-20260830-01</x:v>
      </x:c>
      <x:c r="Z1108" t="str">
        <x:v>Active</x:v>
      </x:c>
      <x:c r="AA1108"/>
      <x:c r="AB1108"/>
      <x:c r="AC1108"/>
      <x:c r="AD1108"/>
    </x:row>
    <x:row r="1109">
      <x:c r="A1109" t="str">
        <x:v>PCC-PE-KG01-L23-20251020-AM-ORD-2025-00092-S05-C1</x:v>
      </x:c>
      <x:c r="B1109" t="str">
        <x:v>PC-PE-KG01-L23-20251020-AM-ORD-2025-00092-S05</x:v>
      </x:c>
      <x:c r="C1109" t="str">
        <x:v>PE-KG01-L23-20251020-AM-ORD-2025-00092</x:v>
      </x:c>
      <x:c r="D1109" t="str">
        <x:v>KG01</x:v>
      </x:c>
      <x:c r="E1109" s="62" t="n">
        <x:v>45950</x:v>
      </x:c>
      <x:c r="F1109" t="str">
        <x:v>AM</x:v>
      </x:c>
      <x:c r="G1109" t="str">
        <x:v>C</x:v>
      </x:c>
      <x:c r="H1109" t="n">
        <x:v>23</x:v>
      </x:c>
      <x:c r="I1109" t="str">
        <x:v>ORD-2025-00092</x:v>
      </x:c>
      <x:c r="J1109" t="n">
        <x:v>5</x:v>
      </x:c>
      <x:c r="K1109" t="n">
        <x:v>1</x:v>
      </x:c>
      <x:c r="L1109" t="str">
        <x:v>L23-S05-C1</x:v>
      </x:c>
      <x:c r="M1109" t="n">
        <x:v>1</x:v>
      </x:c>
      <x:c r="N1109" t="str">
        <x:v>DerivedFromCount</x:v>
      </x:c>
      <x:c r="O1109" t="str">
        <x:v>PLC-PRD-JAR-330-L23</x:v>
      </x:c>
      <x:c r="P1109" t="str">
        <x:v>OK</x:v>
      </x:c>
      <x:c r="Q1109" t="str">
        <x:v>OK</x:v>
      </x:c>
      <x:c r="R1109" t="str">
        <x:v>OK</x:v>
      </x:c>
      <x:c r="S1109" t="str">
        <x:v>OK</x:v>
      </x:c>
      <x:c r="T1109" t="n">
        <x:v>36</x:v>
      </x:c>
      <x:c r="U1109" t="str">
        <x:v>OK</x:v>
      </x:c>
      <x:c r="V1109" t="str">
        <x:v>OK</x:v>
      </x:c>
      <x:c r="W1109" t="str">
        <x:v>LOAD</x:v>
      </x:c>
      <x:c r="X1109" t="str">
        <x:v>02_Supervisor_Log(4).xlsx</x:v>
      </x:c>
      <x:c r="Y1109" t="str">
        <x:v>ENH-20260830-01</x:v>
      </x:c>
      <x:c r="Z1109" t="str">
        <x:v>Active</x:v>
      </x:c>
      <x:c r="AA1109"/>
      <x:c r="AB1109"/>
      <x:c r="AC1109"/>
      <x:c r="AD1109"/>
    </x:row>
    <x:row r="1110">
      <x:c r="A1110" t="str">
        <x:v>PCC-PE-KG01-L23-20251020-AM-ORD-2025-00092-S05-C2</x:v>
      </x:c>
      <x:c r="B1110" t="str">
        <x:v>PC-PE-KG01-L23-20251020-AM-ORD-2025-00092-S05</x:v>
      </x:c>
      <x:c r="C1110" t="str">
        <x:v>PE-KG01-L23-20251020-AM-ORD-2025-00092</x:v>
      </x:c>
      <x:c r="D1110" t="str">
        <x:v>KG01</x:v>
      </x:c>
      <x:c r="E1110" s="62" t="n">
        <x:v>45950</x:v>
      </x:c>
      <x:c r="F1110" t="str">
        <x:v>AM</x:v>
      </x:c>
      <x:c r="G1110" t="str">
        <x:v>C</x:v>
      </x:c>
      <x:c r="H1110" t="n">
        <x:v>23</x:v>
      </x:c>
      <x:c r="I1110" t="str">
        <x:v>ORD-2025-00092</x:v>
      </x:c>
      <x:c r="J1110" t="n">
        <x:v>5</x:v>
      </x:c>
      <x:c r="K1110" t="n">
        <x:v>2</x:v>
      </x:c>
      <x:c r="L1110" t="str">
        <x:v>L23-S05-C2</x:v>
      </x:c>
      <x:c r="M1110" t="n">
        <x:v>1</x:v>
      </x:c>
      <x:c r="N1110" t="str">
        <x:v>DerivedFromCount</x:v>
      </x:c>
      <x:c r="O1110" t="str">
        <x:v>PLC-PRD-JAR-330-L23</x:v>
      </x:c>
      <x:c r="P1110" t="str">
        <x:v>OK</x:v>
      </x:c>
      <x:c r="Q1110" t="str">
        <x:v>OK</x:v>
      </x:c>
      <x:c r="R1110" t="str">
        <x:v>OK</x:v>
      </x:c>
      <x:c r="S1110" t="str">
        <x:v>OK</x:v>
      </x:c>
      <x:c r="T1110" t="n">
        <x:v>36</x:v>
      </x:c>
      <x:c r="U1110" t="str">
        <x:v>OK</x:v>
      </x:c>
      <x:c r="V1110" t="str">
        <x:v>OK</x:v>
      </x:c>
      <x:c r="W1110" t="str">
        <x:v>LOAD</x:v>
      </x:c>
      <x:c r="X1110" t="str">
        <x:v>02_Supervisor_Log(4).xlsx</x:v>
      </x:c>
      <x:c r="Y1110" t="str">
        <x:v>ENH-20260830-01</x:v>
      </x:c>
      <x:c r="Z1110" t="str">
        <x:v>Active</x:v>
      </x:c>
      <x:c r="AA1110"/>
      <x:c r="AB1110"/>
      <x:c r="AC1110"/>
      <x:c r="AD1110"/>
    </x:row>
    <x:row r="1111">
      <x:c r="A1111" t="str">
        <x:v>PCC-PE-KG01-L23-20251020-AM-ORD-2025-00092-S05-C3</x:v>
      </x:c>
      <x:c r="B1111" t="str">
        <x:v>PC-PE-KG01-L23-20251020-AM-ORD-2025-00092-S05</x:v>
      </x:c>
      <x:c r="C1111" t="str">
        <x:v>PE-KG01-L23-20251020-AM-ORD-2025-00092</x:v>
      </x:c>
      <x:c r="D1111" t="str">
        <x:v>KG01</x:v>
      </x:c>
      <x:c r="E1111" s="62" t="n">
        <x:v>45950</x:v>
      </x:c>
      <x:c r="F1111" t="str">
        <x:v>AM</x:v>
      </x:c>
      <x:c r="G1111" t="str">
        <x:v>C</x:v>
      </x:c>
      <x:c r="H1111" t="n">
        <x:v>23</x:v>
      </x:c>
      <x:c r="I1111" t="str">
        <x:v>ORD-2025-00092</x:v>
      </x:c>
      <x:c r="J1111" t="n">
        <x:v>5</x:v>
      </x:c>
      <x:c r="K1111" t="n">
        <x:v>3</x:v>
      </x:c>
      <x:c r="L1111" t="str">
        <x:v>L23-S05-C3</x:v>
      </x:c>
      <x:c r="M1111" t="n">
        <x:v>1</x:v>
      </x:c>
      <x:c r="N1111" t="str">
        <x:v>DerivedFromCount</x:v>
      </x:c>
      <x:c r="O1111" t="str">
        <x:v>PLC-PRD-JAR-330-L23</x:v>
      </x:c>
      <x:c r="P1111" t="str">
        <x:v>OK</x:v>
      </x:c>
      <x:c r="Q1111" t="str">
        <x:v>OK</x:v>
      </x:c>
      <x:c r="R1111" t="str">
        <x:v>OK</x:v>
      </x:c>
      <x:c r="S1111" t="str">
        <x:v>OK</x:v>
      </x:c>
      <x:c r="T1111" t="n">
        <x:v>36</x:v>
      </x:c>
      <x:c r="U1111" t="str">
        <x:v>OK</x:v>
      </x:c>
      <x:c r="V1111" t="str">
        <x:v>OK</x:v>
      </x:c>
      <x:c r="W1111" t="str">
        <x:v>LOAD</x:v>
      </x:c>
      <x:c r="X1111" t="str">
        <x:v>02_Supervisor_Log(4).xlsx</x:v>
      </x:c>
      <x:c r="Y1111" t="str">
        <x:v>ENH-20260830-01</x:v>
      </x:c>
      <x:c r="Z1111" t="str">
        <x:v>Active</x:v>
      </x:c>
      <x:c r="AA1111"/>
      <x:c r="AB1111"/>
      <x:c r="AC1111"/>
      <x:c r="AD1111"/>
    </x:row>
    <x:row r="1112">
      <x:c r="A1112" t="str">
        <x:v>PCC-PE-KG01-L23-20251020-AM-ORD-2025-00092-S06-C1</x:v>
      </x:c>
      <x:c r="B1112" t="str">
        <x:v>PC-PE-KG01-L23-20251020-AM-ORD-2025-00092-S06</x:v>
      </x:c>
      <x:c r="C1112" t="str">
        <x:v>PE-KG01-L23-20251020-AM-ORD-2025-00092</x:v>
      </x:c>
      <x:c r="D1112" t="str">
        <x:v>KG01</x:v>
      </x:c>
      <x:c r="E1112" s="62" t="n">
        <x:v>45950</x:v>
      </x:c>
      <x:c r="F1112" t="str">
        <x:v>AM</x:v>
      </x:c>
      <x:c r="G1112" t="str">
        <x:v>C</x:v>
      </x:c>
      <x:c r="H1112" t="n">
        <x:v>23</x:v>
      </x:c>
      <x:c r="I1112" t="str">
        <x:v>ORD-2025-00092</x:v>
      </x:c>
      <x:c r="J1112" t="n">
        <x:v>6</x:v>
      </x:c>
      <x:c r="K1112" t="n">
        <x:v>1</x:v>
      </x:c>
      <x:c r="L1112" t="str">
        <x:v>L23-S06-C1</x:v>
      </x:c>
      <x:c r="M1112" t="n">
        <x:v>1</x:v>
      </x:c>
      <x:c r="N1112" t="str">
        <x:v>DerivedFromCount</x:v>
      </x:c>
      <x:c r="O1112" t="str">
        <x:v>PLC-PRD-JAR-330-L23</x:v>
      </x:c>
      <x:c r="P1112" t="str">
        <x:v>OK</x:v>
      </x:c>
      <x:c r="Q1112" t="str">
        <x:v>OK</x:v>
      </x:c>
      <x:c r="R1112" t="str">
        <x:v>OK</x:v>
      </x:c>
      <x:c r="S1112" t="str">
        <x:v>OK</x:v>
      </x:c>
      <x:c r="T1112" t="n">
        <x:v>36</x:v>
      </x:c>
      <x:c r="U1112" t="str">
        <x:v>OK</x:v>
      </x:c>
      <x:c r="V1112" t="str">
        <x:v>OK</x:v>
      </x:c>
      <x:c r="W1112" t="str">
        <x:v>LOAD</x:v>
      </x:c>
      <x:c r="X1112" t="str">
        <x:v>02_Supervisor_Log(4).xlsx</x:v>
      </x:c>
      <x:c r="Y1112" t="str">
        <x:v>ENH-20260830-01</x:v>
      </x:c>
      <x:c r="Z1112" t="str">
        <x:v>Active</x:v>
      </x:c>
      <x:c r="AA1112"/>
      <x:c r="AB1112"/>
      <x:c r="AC1112"/>
      <x:c r="AD1112"/>
    </x:row>
    <x:row r="1113">
      <x:c r="A1113" t="str">
        <x:v>PCC-PE-KG01-L23-20251020-AM-ORD-2025-00092-S06-C2</x:v>
      </x:c>
      <x:c r="B1113" t="str">
        <x:v>PC-PE-KG01-L23-20251020-AM-ORD-2025-00092-S06</x:v>
      </x:c>
      <x:c r="C1113" t="str">
        <x:v>PE-KG01-L23-20251020-AM-ORD-2025-00092</x:v>
      </x:c>
      <x:c r="D1113" t="str">
        <x:v>KG01</x:v>
      </x:c>
      <x:c r="E1113" s="62" t="n">
        <x:v>45950</x:v>
      </x:c>
      <x:c r="F1113" t="str">
        <x:v>AM</x:v>
      </x:c>
      <x:c r="G1113" t="str">
        <x:v>C</x:v>
      </x:c>
      <x:c r="H1113" t="n">
        <x:v>23</x:v>
      </x:c>
      <x:c r="I1113" t="str">
        <x:v>ORD-2025-00092</x:v>
      </x:c>
      <x:c r="J1113" t="n">
        <x:v>6</x:v>
      </x:c>
      <x:c r="K1113" t="n">
        <x:v>2</x:v>
      </x:c>
      <x:c r="L1113" t="str">
        <x:v>L23-S06-C2</x:v>
      </x:c>
      <x:c r="M1113" t="n">
        <x:v>1</x:v>
      </x:c>
      <x:c r="N1113" t="str">
        <x:v>DerivedFromCount</x:v>
      </x:c>
      <x:c r="O1113" t="str">
        <x:v>PLC-PRD-JAR-330-L23</x:v>
      </x:c>
      <x:c r="P1113" t="str">
        <x:v>OK</x:v>
      </x:c>
      <x:c r="Q1113" t="str">
        <x:v>OK</x:v>
      </x:c>
      <x:c r="R1113" t="str">
        <x:v>OK</x:v>
      </x:c>
      <x:c r="S1113" t="str">
        <x:v>OK</x:v>
      </x:c>
      <x:c r="T1113" t="n">
        <x:v>36</x:v>
      </x:c>
      <x:c r="U1113" t="str">
        <x:v>OK</x:v>
      </x:c>
      <x:c r="V1113" t="str">
        <x:v>OK</x:v>
      </x:c>
      <x:c r="W1113" t="str">
        <x:v>LOAD</x:v>
      </x:c>
      <x:c r="X1113" t="str">
        <x:v>02_Supervisor_Log(4).xlsx</x:v>
      </x:c>
      <x:c r="Y1113" t="str">
        <x:v>ENH-20260830-01</x:v>
      </x:c>
      <x:c r="Z1113" t="str">
        <x:v>Active</x:v>
      </x:c>
      <x:c r="AA1113"/>
      <x:c r="AB1113"/>
      <x:c r="AC1113"/>
      <x:c r="AD1113"/>
    </x:row>
    <x:row r="1114">
      <x:c r="A1114" t="str">
        <x:v>PCC-PE-KG01-L23-20251020-AM-ORD-2025-00092-S06-C3</x:v>
      </x:c>
      <x:c r="B1114" t="str">
        <x:v>PC-PE-KG01-L23-20251020-AM-ORD-2025-00092-S06</x:v>
      </x:c>
      <x:c r="C1114" t="str">
        <x:v>PE-KG01-L23-20251020-AM-ORD-2025-00092</x:v>
      </x:c>
      <x:c r="D1114" t="str">
        <x:v>KG01</x:v>
      </x:c>
      <x:c r="E1114" s="62" t="n">
        <x:v>45950</x:v>
      </x:c>
      <x:c r="F1114" t="str">
        <x:v>AM</x:v>
      </x:c>
      <x:c r="G1114" t="str">
        <x:v>C</x:v>
      </x:c>
      <x:c r="H1114" t="n">
        <x:v>23</x:v>
      </x:c>
      <x:c r="I1114" t="str">
        <x:v>ORD-2025-00092</x:v>
      </x:c>
      <x:c r="J1114" t="n">
        <x:v>6</x:v>
      </x:c>
      <x:c r="K1114" t="n">
        <x:v>3</x:v>
      </x:c>
      <x:c r="L1114" t="str">
        <x:v>L23-S06-C3</x:v>
      </x:c>
      <x:c r="M1114" t="n">
        <x:v>1</x:v>
      </x:c>
      <x:c r="N1114" t="str">
        <x:v>DerivedFromCount</x:v>
      </x:c>
      <x:c r="O1114" t="str">
        <x:v>PLC-PRD-JAR-330-L23</x:v>
      </x:c>
      <x:c r="P1114" t="str">
        <x:v>OK</x:v>
      </x:c>
      <x:c r="Q1114" t="str">
        <x:v>OK</x:v>
      </x:c>
      <x:c r="R1114" t="str">
        <x:v>OK</x:v>
      </x:c>
      <x:c r="S1114" t="str">
        <x:v>OK</x:v>
      </x:c>
      <x:c r="T1114" t="n">
        <x:v>36</x:v>
      </x:c>
      <x:c r="U1114" t="str">
        <x:v>OK</x:v>
      </x:c>
      <x:c r="V1114" t="str">
        <x:v>OK</x:v>
      </x:c>
      <x:c r="W1114" t="str">
        <x:v>LOAD</x:v>
      </x:c>
      <x:c r="X1114" t="str">
        <x:v>02_Supervisor_Log(4).xlsx</x:v>
      </x:c>
      <x:c r="Y1114" t="str">
        <x:v>ENH-20260830-01</x:v>
      </x:c>
      <x:c r="Z1114" t="str">
        <x:v>Active</x:v>
      </x:c>
      <x:c r="AA1114"/>
      <x:c r="AB1114"/>
      <x:c r="AC1114"/>
      <x:c r="AD1114"/>
    </x:row>
    <x:row r="1115">
      <x:c r="A1115" t="str">
        <x:v>PCC-PE-KG01-L23-20251020-AM-ORD-2025-00092-S07-C1</x:v>
      </x:c>
      <x:c r="B1115" t="str">
        <x:v>PC-PE-KG01-L23-20251020-AM-ORD-2025-00092-S07</x:v>
      </x:c>
      <x:c r="C1115" t="str">
        <x:v>PE-KG01-L23-20251020-AM-ORD-2025-00092</x:v>
      </x:c>
      <x:c r="D1115" t="str">
        <x:v>KG01</x:v>
      </x:c>
      <x:c r="E1115" s="62" t="n">
        <x:v>45950</x:v>
      </x:c>
      <x:c r="F1115" t="str">
        <x:v>AM</x:v>
      </x:c>
      <x:c r="G1115" t="str">
        <x:v>C</x:v>
      </x:c>
      <x:c r="H1115" t="n">
        <x:v>23</x:v>
      </x:c>
      <x:c r="I1115" t="str">
        <x:v>ORD-2025-00092</x:v>
      </x:c>
      <x:c r="J1115" t="n">
        <x:v>7</x:v>
      </x:c>
      <x:c r="K1115" t="n">
        <x:v>1</x:v>
      </x:c>
      <x:c r="L1115" t="str">
        <x:v>L23-S07-C1</x:v>
      </x:c>
      <x:c r="M1115" t="n">
        <x:v>1</x:v>
      </x:c>
      <x:c r="N1115" t="str">
        <x:v>DerivedFromCount</x:v>
      </x:c>
      <x:c r="O1115" t="str">
        <x:v>PLC-PRD-JAR-330-L23</x:v>
      </x:c>
      <x:c r="P1115" t="str">
        <x:v>OK</x:v>
      </x:c>
      <x:c r="Q1115" t="str">
        <x:v>OK</x:v>
      </x:c>
      <x:c r="R1115" t="str">
        <x:v>OK</x:v>
      </x:c>
      <x:c r="S1115" t="str">
        <x:v>OK</x:v>
      </x:c>
      <x:c r="T1115" t="n">
        <x:v>36</x:v>
      </x:c>
      <x:c r="U1115" t="str">
        <x:v>OK</x:v>
      </x:c>
      <x:c r="V1115" t="str">
        <x:v>OK</x:v>
      </x:c>
      <x:c r="W1115" t="str">
        <x:v>LOAD</x:v>
      </x:c>
      <x:c r="X1115" t="str">
        <x:v>02_Supervisor_Log(4).xlsx</x:v>
      </x:c>
      <x:c r="Y1115" t="str">
        <x:v>ENH-20260830-01</x:v>
      </x:c>
      <x:c r="Z1115" t="str">
        <x:v>Active</x:v>
      </x:c>
      <x:c r="AA1115"/>
      <x:c r="AB1115"/>
      <x:c r="AC1115"/>
      <x:c r="AD1115"/>
    </x:row>
    <x:row r="1116">
      <x:c r="A1116" t="str">
        <x:v>PCC-PE-KG01-L23-20251020-AM-ORD-2025-00092-S07-C2</x:v>
      </x:c>
      <x:c r="B1116" t="str">
        <x:v>PC-PE-KG01-L23-20251020-AM-ORD-2025-00092-S07</x:v>
      </x:c>
      <x:c r="C1116" t="str">
        <x:v>PE-KG01-L23-20251020-AM-ORD-2025-00092</x:v>
      </x:c>
      <x:c r="D1116" t="str">
        <x:v>KG01</x:v>
      </x:c>
      <x:c r="E1116" s="62" t="n">
        <x:v>45950</x:v>
      </x:c>
      <x:c r="F1116" t="str">
        <x:v>AM</x:v>
      </x:c>
      <x:c r="G1116" t="str">
        <x:v>C</x:v>
      </x:c>
      <x:c r="H1116" t="n">
        <x:v>23</x:v>
      </x:c>
      <x:c r="I1116" t="str">
        <x:v>ORD-2025-00092</x:v>
      </x:c>
      <x:c r="J1116" t="n">
        <x:v>7</x:v>
      </x:c>
      <x:c r="K1116" t="n">
        <x:v>2</x:v>
      </x:c>
      <x:c r="L1116" t="str">
        <x:v>L23-S07-C2</x:v>
      </x:c>
      <x:c r="M1116" t="n">
        <x:v>1</x:v>
      </x:c>
      <x:c r="N1116" t="str">
        <x:v>DerivedFromCount</x:v>
      </x:c>
      <x:c r="O1116" t="str">
        <x:v>PLC-PRD-JAR-330-L23</x:v>
      </x:c>
      <x:c r="P1116" t="str">
        <x:v>OK</x:v>
      </x:c>
      <x:c r="Q1116" t="str">
        <x:v>OK</x:v>
      </x:c>
      <x:c r="R1116" t="str">
        <x:v>OK</x:v>
      </x:c>
      <x:c r="S1116" t="str">
        <x:v>OK</x:v>
      </x:c>
      <x:c r="T1116" t="n">
        <x:v>36</x:v>
      </x:c>
      <x:c r="U1116" t="str">
        <x:v>OK</x:v>
      </x:c>
      <x:c r="V1116" t="str">
        <x:v>OK</x:v>
      </x:c>
      <x:c r="W1116" t="str">
        <x:v>LOAD</x:v>
      </x:c>
      <x:c r="X1116" t="str">
        <x:v>02_Supervisor_Log(4).xlsx</x:v>
      </x:c>
      <x:c r="Y1116" t="str">
        <x:v>ENH-20260830-01</x:v>
      </x:c>
      <x:c r="Z1116" t="str">
        <x:v>Active</x:v>
      </x:c>
      <x:c r="AA1116"/>
      <x:c r="AB1116"/>
      <x:c r="AC1116"/>
      <x:c r="AD1116"/>
    </x:row>
    <x:row r="1117">
      <x:c r="A1117" t="str">
        <x:v>PCC-PE-KG01-L23-20251020-AM-ORD-2025-00092-S07-C3</x:v>
      </x:c>
      <x:c r="B1117" t="str">
        <x:v>PC-PE-KG01-L23-20251020-AM-ORD-2025-00092-S07</x:v>
      </x:c>
      <x:c r="C1117" t="str">
        <x:v>PE-KG01-L23-20251020-AM-ORD-2025-00092</x:v>
      </x:c>
      <x:c r="D1117" t="str">
        <x:v>KG01</x:v>
      </x:c>
      <x:c r="E1117" s="62" t="n">
        <x:v>45950</x:v>
      </x:c>
      <x:c r="F1117" t="str">
        <x:v>AM</x:v>
      </x:c>
      <x:c r="G1117" t="str">
        <x:v>C</x:v>
      </x:c>
      <x:c r="H1117" t="n">
        <x:v>23</x:v>
      </x:c>
      <x:c r="I1117" t="str">
        <x:v>ORD-2025-00092</x:v>
      </x:c>
      <x:c r="J1117" t="n">
        <x:v>7</x:v>
      </x:c>
      <x:c r="K1117" t="n">
        <x:v>3</x:v>
      </x:c>
      <x:c r="L1117" t="str">
        <x:v>L23-S07-C3</x:v>
      </x:c>
      <x:c r="M1117" t="n">
        <x:v>1</x:v>
      </x:c>
      <x:c r="N1117" t="str">
        <x:v>DerivedFromCount</x:v>
      </x:c>
      <x:c r="O1117" t="str">
        <x:v>PLC-PRD-JAR-330-L23</x:v>
      </x:c>
      <x:c r="P1117" t="str">
        <x:v>OK</x:v>
      </x:c>
      <x:c r="Q1117" t="str">
        <x:v>OK</x:v>
      </x:c>
      <x:c r="R1117" t="str">
        <x:v>OK</x:v>
      </x:c>
      <x:c r="S1117" t="str">
        <x:v>OK</x:v>
      </x:c>
      <x:c r="T1117" t="n">
        <x:v>36</x:v>
      </x:c>
      <x:c r="U1117" t="str">
        <x:v>OK</x:v>
      </x:c>
      <x:c r="V1117" t="str">
        <x:v>OK</x:v>
      </x:c>
      <x:c r="W1117" t="str">
        <x:v>LOAD</x:v>
      </x:c>
      <x:c r="X1117" t="str">
        <x:v>02_Supervisor_Log(4).xlsx</x:v>
      </x:c>
      <x:c r="Y1117" t="str">
        <x:v>ENH-20260830-01</x:v>
      </x:c>
      <x:c r="Z1117" t="str">
        <x:v>Active</x:v>
      </x:c>
      <x:c r="AA1117"/>
      <x:c r="AB1117"/>
      <x:c r="AC1117"/>
      <x:c r="AD1117"/>
    </x:row>
    <x:row r="1118">
      <x:c r="A1118" t="str">
        <x:v>PCC-PE-KG01-L23-20251020-AM-ORD-2025-00092-S08-C1</x:v>
      </x:c>
      <x:c r="B1118" t="str">
        <x:v>PC-PE-KG01-L23-20251020-AM-ORD-2025-00092-S08</x:v>
      </x:c>
      <x:c r="C1118" t="str">
        <x:v>PE-KG01-L23-20251020-AM-ORD-2025-00092</x:v>
      </x:c>
      <x:c r="D1118" t="str">
        <x:v>KG01</x:v>
      </x:c>
      <x:c r="E1118" s="62" t="n">
        <x:v>45950</x:v>
      </x:c>
      <x:c r="F1118" t="str">
        <x:v>AM</x:v>
      </x:c>
      <x:c r="G1118" t="str">
        <x:v>C</x:v>
      </x:c>
      <x:c r="H1118" t="n">
        <x:v>23</x:v>
      </x:c>
      <x:c r="I1118" t="str">
        <x:v>ORD-2025-00092</x:v>
      </x:c>
      <x:c r="J1118" t="n">
        <x:v>8</x:v>
      </x:c>
      <x:c r="K1118" t="n">
        <x:v>1</x:v>
      </x:c>
      <x:c r="L1118" t="str">
        <x:v>L23-S08-C1</x:v>
      </x:c>
      <x:c r="M1118" t="n">
        <x:v>1</x:v>
      </x:c>
      <x:c r="N1118" t="str">
        <x:v>DerivedFromCount</x:v>
      </x:c>
      <x:c r="O1118" t="str">
        <x:v>PLC-PRD-JAR-330-L23</x:v>
      </x:c>
      <x:c r="P1118" t="str">
        <x:v>OK</x:v>
      </x:c>
      <x:c r="Q1118" t="str">
        <x:v>OK</x:v>
      </x:c>
      <x:c r="R1118" t="str">
        <x:v>OK</x:v>
      </x:c>
      <x:c r="S1118" t="str">
        <x:v>OK</x:v>
      </x:c>
      <x:c r="T1118" t="n">
        <x:v>36</x:v>
      </x:c>
      <x:c r="U1118" t="str">
        <x:v>OK</x:v>
      </x:c>
      <x:c r="V1118" t="str">
        <x:v>OK</x:v>
      </x:c>
      <x:c r="W1118" t="str">
        <x:v>LOAD</x:v>
      </x:c>
      <x:c r="X1118" t="str">
        <x:v>02_Supervisor_Log(4).xlsx</x:v>
      </x:c>
      <x:c r="Y1118" t="str">
        <x:v>ENH-20260830-01</x:v>
      </x:c>
      <x:c r="Z1118" t="str">
        <x:v>Active</x:v>
      </x:c>
      <x:c r="AA1118"/>
      <x:c r="AB1118"/>
      <x:c r="AC1118"/>
      <x:c r="AD1118"/>
    </x:row>
    <x:row r="1119">
      <x:c r="A1119" t="str">
        <x:v>PCC-PE-KG01-L23-20251020-AM-ORD-2025-00092-S08-C2</x:v>
      </x:c>
      <x:c r="B1119" t="str">
        <x:v>PC-PE-KG01-L23-20251020-AM-ORD-2025-00092-S08</x:v>
      </x:c>
      <x:c r="C1119" t="str">
        <x:v>PE-KG01-L23-20251020-AM-ORD-2025-00092</x:v>
      </x:c>
      <x:c r="D1119" t="str">
        <x:v>KG01</x:v>
      </x:c>
      <x:c r="E1119" s="62" t="n">
        <x:v>45950</x:v>
      </x:c>
      <x:c r="F1119" t="str">
        <x:v>AM</x:v>
      </x:c>
      <x:c r="G1119" t="str">
        <x:v>C</x:v>
      </x:c>
      <x:c r="H1119" t="n">
        <x:v>23</x:v>
      </x:c>
      <x:c r="I1119" t="str">
        <x:v>ORD-2025-00092</x:v>
      </x:c>
      <x:c r="J1119" t="n">
        <x:v>8</x:v>
      </x:c>
      <x:c r="K1119" t="n">
        <x:v>2</x:v>
      </x:c>
      <x:c r="L1119" t="str">
        <x:v>L23-S08-C2</x:v>
      </x:c>
      <x:c r="M1119" t="n">
        <x:v>1</x:v>
      </x:c>
      <x:c r="N1119" t="str">
        <x:v>DerivedFromCount</x:v>
      </x:c>
      <x:c r="O1119" t="str">
        <x:v>PLC-PRD-JAR-330-L23</x:v>
      </x:c>
      <x:c r="P1119" t="str">
        <x:v>OK</x:v>
      </x:c>
      <x:c r="Q1119" t="str">
        <x:v>OK</x:v>
      </x:c>
      <x:c r="R1119" t="str">
        <x:v>OK</x:v>
      </x:c>
      <x:c r="S1119" t="str">
        <x:v>OK</x:v>
      </x:c>
      <x:c r="T1119" t="n">
        <x:v>36</x:v>
      </x:c>
      <x:c r="U1119" t="str">
        <x:v>OK</x:v>
      </x:c>
      <x:c r="V1119" t="str">
        <x:v>OK</x:v>
      </x:c>
      <x:c r="W1119" t="str">
        <x:v>LOAD</x:v>
      </x:c>
      <x:c r="X1119" t="str">
        <x:v>02_Supervisor_Log(4).xlsx</x:v>
      </x:c>
      <x:c r="Y1119" t="str">
        <x:v>ENH-20260830-01</x:v>
      </x:c>
      <x:c r="Z1119" t="str">
        <x:v>Active</x:v>
      </x:c>
      <x:c r="AA1119"/>
      <x:c r="AB1119"/>
      <x:c r="AC1119"/>
      <x:c r="AD1119"/>
    </x:row>
    <x:row r="1120">
      <x:c r="A1120" t="str">
        <x:v>PCC-PE-KG01-L23-20251020-AM-ORD-2025-00092-S08-C3</x:v>
      </x:c>
      <x:c r="B1120" t="str">
        <x:v>PC-PE-KG01-L23-20251020-AM-ORD-2025-00092-S08</x:v>
      </x:c>
      <x:c r="C1120" t="str">
        <x:v>PE-KG01-L23-20251020-AM-ORD-2025-00092</x:v>
      </x:c>
      <x:c r="D1120" t="str">
        <x:v>KG01</x:v>
      </x:c>
      <x:c r="E1120" s="62" t="n">
        <x:v>45950</x:v>
      </x:c>
      <x:c r="F1120" t="str">
        <x:v>AM</x:v>
      </x:c>
      <x:c r="G1120" t="str">
        <x:v>C</x:v>
      </x:c>
      <x:c r="H1120" t="n">
        <x:v>23</x:v>
      </x:c>
      <x:c r="I1120" t="str">
        <x:v>ORD-2025-00092</x:v>
      </x:c>
      <x:c r="J1120" t="n">
        <x:v>8</x:v>
      </x:c>
      <x:c r="K1120" t="n">
        <x:v>3</x:v>
      </x:c>
      <x:c r="L1120" t="str">
        <x:v>L23-S08-C3</x:v>
      </x:c>
      <x:c r="M1120" t="n">
        <x:v>1</x:v>
      </x:c>
      <x:c r="N1120" t="str">
        <x:v>DerivedFromCount</x:v>
      </x:c>
      <x:c r="O1120" t="str">
        <x:v>PLC-PRD-JAR-330-L23</x:v>
      </x:c>
      <x:c r="P1120" t="str">
        <x:v>OK</x:v>
      </x:c>
      <x:c r="Q1120" t="str">
        <x:v>OK</x:v>
      </x:c>
      <x:c r="R1120" t="str">
        <x:v>OK</x:v>
      </x:c>
      <x:c r="S1120" t="str">
        <x:v>OK</x:v>
      </x:c>
      <x:c r="T1120" t="n">
        <x:v>36</x:v>
      </x:c>
      <x:c r="U1120" t="str">
        <x:v>OK</x:v>
      </x:c>
      <x:c r="V1120" t="str">
        <x:v>OK</x:v>
      </x:c>
      <x:c r="W1120" t="str">
        <x:v>LOAD</x:v>
      </x:c>
      <x:c r="X1120" t="str">
        <x:v>02_Supervisor_Log(4).xlsx</x:v>
      </x:c>
      <x:c r="Y1120" t="str">
        <x:v>ENH-20260830-01</x:v>
      </x:c>
      <x:c r="Z1120" t="str">
        <x:v>Active</x:v>
      </x:c>
      <x:c r="AA1120"/>
      <x:c r="AB1120"/>
      <x:c r="AC1120"/>
      <x:c r="AD1120"/>
    </x:row>
    <x:row r="1121">
      <x:c r="A1121" t="str">
        <x:v>PCC-PE-KG01-L23-20251020-AM-ORD-2025-00092-S09-C1</x:v>
      </x:c>
      <x:c r="B1121" t="str">
        <x:v>PC-PE-KG01-L23-20251020-AM-ORD-2025-00092-S09</x:v>
      </x:c>
      <x:c r="C1121" t="str">
        <x:v>PE-KG01-L23-20251020-AM-ORD-2025-00092</x:v>
      </x:c>
      <x:c r="D1121" t="str">
        <x:v>KG01</x:v>
      </x:c>
      <x:c r="E1121" s="62" t="n">
        <x:v>45950</x:v>
      </x:c>
      <x:c r="F1121" t="str">
        <x:v>AM</x:v>
      </x:c>
      <x:c r="G1121" t="str">
        <x:v>C</x:v>
      </x:c>
      <x:c r="H1121" t="n">
        <x:v>23</x:v>
      </x:c>
      <x:c r="I1121" t="str">
        <x:v>ORD-2025-00092</x:v>
      </x:c>
      <x:c r="J1121" t="n">
        <x:v>9</x:v>
      </x:c>
      <x:c r="K1121" t="n">
        <x:v>1</x:v>
      </x:c>
      <x:c r="L1121" t="str">
        <x:v>L23-S09-C1</x:v>
      </x:c>
      <x:c r="M1121" t="n">
        <x:v>1</x:v>
      </x:c>
      <x:c r="N1121" t="str">
        <x:v>DerivedFromCount</x:v>
      </x:c>
      <x:c r="O1121" t="str">
        <x:v>PLC-PRD-JAR-330-L23</x:v>
      </x:c>
      <x:c r="P1121" t="str">
        <x:v>OK</x:v>
      </x:c>
      <x:c r="Q1121" t="str">
        <x:v>OK</x:v>
      </x:c>
      <x:c r="R1121" t="str">
        <x:v>OK</x:v>
      </x:c>
      <x:c r="S1121" t="str">
        <x:v>OK</x:v>
      </x:c>
      <x:c r="T1121" t="n">
        <x:v>36</x:v>
      </x:c>
      <x:c r="U1121" t="str">
        <x:v>OK</x:v>
      </x:c>
      <x:c r="V1121" t="str">
        <x:v>OK</x:v>
      </x:c>
      <x:c r="W1121" t="str">
        <x:v>LOAD</x:v>
      </x:c>
      <x:c r="X1121" t="str">
        <x:v>02_Supervisor_Log(4).xlsx</x:v>
      </x:c>
      <x:c r="Y1121" t="str">
        <x:v>ENH-20260830-01</x:v>
      </x:c>
      <x:c r="Z1121" t="str">
        <x:v>Active</x:v>
      </x:c>
      <x:c r="AA1121"/>
      <x:c r="AB1121"/>
      <x:c r="AC1121"/>
      <x:c r="AD1121"/>
    </x:row>
    <x:row r="1122">
      <x:c r="A1122" t="str">
        <x:v>PCC-PE-KG01-L23-20251020-AM-ORD-2025-00092-S09-C2</x:v>
      </x:c>
      <x:c r="B1122" t="str">
        <x:v>PC-PE-KG01-L23-20251020-AM-ORD-2025-00092-S09</x:v>
      </x:c>
      <x:c r="C1122" t="str">
        <x:v>PE-KG01-L23-20251020-AM-ORD-2025-00092</x:v>
      </x:c>
      <x:c r="D1122" t="str">
        <x:v>KG01</x:v>
      </x:c>
      <x:c r="E1122" s="62" t="n">
        <x:v>45950</x:v>
      </x:c>
      <x:c r="F1122" t="str">
        <x:v>AM</x:v>
      </x:c>
      <x:c r="G1122" t="str">
        <x:v>C</x:v>
      </x:c>
      <x:c r="H1122" t="n">
        <x:v>23</x:v>
      </x:c>
      <x:c r="I1122" t="str">
        <x:v>ORD-2025-00092</x:v>
      </x:c>
      <x:c r="J1122" t="n">
        <x:v>9</x:v>
      </x:c>
      <x:c r="K1122" t="n">
        <x:v>2</x:v>
      </x:c>
      <x:c r="L1122" t="str">
        <x:v>L23-S09-C2</x:v>
      </x:c>
      <x:c r="M1122" t="n">
        <x:v>1</x:v>
      </x:c>
      <x:c r="N1122" t="str">
        <x:v>DerivedFromCount</x:v>
      </x:c>
      <x:c r="O1122" t="str">
        <x:v>PLC-PRD-JAR-330-L23</x:v>
      </x:c>
      <x:c r="P1122" t="str">
        <x:v>OK</x:v>
      </x:c>
      <x:c r="Q1122" t="str">
        <x:v>OK</x:v>
      </x:c>
      <x:c r="R1122" t="str">
        <x:v>OK</x:v>
      </x:c>
      <x:c r="S1122" t="str">
        <x:v>OK</x:v>
      </x:c>
      <x:c r="T1122" t="n">
        <x:v>36</x:v>
      </x:c>
      <x:c r="U1122" t="str">
        <x:v>OK</x:v>
      </x:c>
      <x:c r="V1122" t="str">
        <x:v>OK</x:v>
      </x:c>
      <x:c r="W1122" t="str">
        <x:v>LOAD</x:v>
      </x:c>
      <x:c r="X1122" t="str">
        <x:v>02_Supervisor_Log(4).xlsx</x:v>
      </x:c>
      <x:c r="Y1122" t="str">
        <x:v>ENH-20260830-01</x:v>
      </x:c>
      <x:c r="Z1122" t="str">
        <x:v>Active</x:v>
      </x:c>
      <x:c r="AA1122"/>
      <x:c r="AB1122"/>
      <x:c r="AC1122"/>
      <x:c r="AD1122"/>
    </x:row>
    <x:row r="1123">
      <x:c r="A1123" t="str">
        <x:v>PCC-PE-KG01-L23-20251020-AM-ORD-2025-00092-S09-C3</x:v>
      </x:c>
      <x:c r="B1123" t="str">
        <x:v>PC-PE-KG01-L23-20251020-AM-ORD-2025-00092-S09</x:v>
      </x:c>
      <x:c r="C1123" t="str">
        <x:v>PE-KG01-L23-20251020-AM-ORD-2025-00092</x:v>
      </x:c>
      <x:c r="D1123" t="str">
        <x:v>KG01</x:v>
      </x:c>
      <x:c r="E1123" s="62" t="n">
        <x:v>45950</x:v>
      </x:c>
      <x:c r="F1123" t="str">
        <x:v>AM</x:v>
      </x:c>
      <x:c r="G1123" t="str">
        <x:v>C</x:v>
      </x:c>
      <x:c r="H1123" t="n">
        <x:v>23</x:v>
      </x:c>
      <x:c r="I1123" t="str">
        <x:v>ORD-2025-00092</x:v>
      </x:c>
      <x:c r="J1123" t="n">
        <x:v>9</x:v>
      </x:c>
      <x:c r="K1123" t="n">
        <x:v>3</x:v>
      </x:c>
      <x:c r="L1123" t="str">
        <x:v>L23-S09-C3</x:v>
      </x:c>
      <x:c r="M1123" t="n">
        <x:v>1</x:v>
      </x:c>
      <x:c r="N1123" t="str">
        <x:v>DerivedFromCount</x:v>
      </x:c>
      <x:c r="O1123" t="str">
        <x:v>PLC-PRD-JAR-330-L23</x:v>
      </x:c>
      <x:c r="P1123" t="str">
        <x:v>OK</x:v>
      </x:c>
      <x:c r="Q1123" t="str">
        <x:v>OK</x:v>
      </x:c>
      <x:c r="R1123" t="str">
        <x:v>OK</x:v>
      </x:c>
      <x:c r="S1123" t="str">
        <x:v>OK</x:v>
      </x:c>
      <x:c r="T1123" t="n">
        <x:v>36</x:v>
      </x:c>
      <x:c r="U1123" t="str">
        <x:v>OK</x:v>
      </x:c>
      <x:c r="V1123" t="str">
        <x:v>OK</x:v>
      </x:c>
      <x:c r="W1123" t="str">
        <x:v>LOAD</x:v>
      </x:c>
      <x:c r="X1123" t="str">
        <x:v>02_Supervisor_Log(4).xlsx</x:v>
      </x:c>
      <x:c r="Y1123" t="str">
        <x:v>ENH-20260830-01</x:v>
      </x:c>
      <x:c r="Z1123" t="str">
        <x:v>Active</x:v>
      </x:c>
      <x:c r="AA1123"/>
      <x:c r="AB1123"/>
      <x:c r="AC1123"/>
      <x:c r="AD1123"/>
    </x:row>
    <x:row r="1124">
      <x:c r="A1124" t="str">
        <x:v>PCC-PE-KG01-L23-20251020-AM-ORD-2025-00092-S10-C1</x:v>
      </x:c>
      <x:c r="B1124" t="str">
        <x:v>PC-PE-KG01-L23-20251020-AM-ORD-2025-00092-S10</x:v>
      </x:c>
      <x:c r="C1124" t="str">
        <x:v>PE-KG01-L23-20251020-AM-ORD-2025-00092</x:v>
      </x:c>
      <x:c r="D1124" t="str">
        <x:v>KG01</x:v>
      </x:c>
      <x:c r="E1124" s="62" t="n">
        <x:v>45950</x:v>
      </x:c>
      <x:c r="F1124" t="str">
        <x:v>AM</x:v>
      </x:c>
      <x:c r="G1124" t="str">
        <x:v>C</x:v>
      </x:c>
      <x:c r="H1124" t="n">
        <x:v>23</x:v>
      </x:c>
      <x:c r="I1124" t="str">
        <x:v>ORD-2025-00092</x:v>
      </x:c>
      <x:c r="J1124" t="n">
        <x:v>10</x:v>
      </x:c>
      <x:c r="K1124" t="n">
        <x:v>1</x:v>
      </x:c>
      <x:c r="L1124" t="str">
        <x:v>L23-S10-C1</x:v>
      </x:c>
      <x:c r="M1124" t="n">
        <x:v>1</x:v>
      </x:c>
      <x:c r="N1124" t="str">
        <x:v>DerivedFromCount</x:v>
      </x:c>
      <x:c r="O1124" t="str">
        <x:v>PLC-PRD-JAR-330-L23</x:v>
      </x:c>
      <x:c r="P1124" t="str">
        <x:v>OK</x:v>
      </x:c>
      <x:c r="Q1124" t="str">
        <x:v>OK</x:v>
      </x:c>
      <x:c r="R1124" t="str">
        <x:v>OK</x:v>
      </x:c>
      <x:c r="S1124" t="str">
        <x:v>OK</x:v>
      </x:c>
      <x:c r="T1124" t="n">
        <x:v>36</x:v>
      </x:c>
      <x:c r="U1124" t="str">
        <x:v>OK</x:v>
      </x:c>
      <x:c r="V1124" t="str">
        <x:v>OK</x:v>
      </x:c>
      <x:c r="W1124" t="str">
        <x:v>LOAD</x:v>
      </x:c>
      <x:c r="X1124" t="str">
        <x:v>02_Supervisor_Log(4).xlsx</x:v>
      </x:c>
      <x:c r="Y1124" t="str">
        <x:v>ENH-20260830-01</x:v>
      </x:c>
      <x:c r="Z1124" t="str">
        <x:v>Active</x:v>
      </x:c>
      <x:c r="AA1124"/>
      <x:c r="AB1124"/>
      <x:c r="AC1124"/>
      <x:c r="AD1124"/>
    </x:row>
    <x:row r="1125">
      <x:c r="A1125" t="str">
        <x:v>PCC-PE-KG01-L23-20251020-AM-ORD-2025-00092-S10-C2</x:v>
      </x:c>
      <x:c r="B1125" t="str">
        <x:v>PC-PE-KG01-L23-20251020-AM-ORD-2025-00092-S10</x:v>
      </x:c>
      <x:c r="C1125" t="str">
        <x:v>PE-KG01-L23-20251020-AM-ORD-2025-00092</x:v>
      </x:c>
      <x:c r="D1125" t="str">
        <x:v>KG01</x:v>
      </x:c>
      <x:c r="E1125" s="62" t="n">
        <x:v>45950</x:v>
      </x:c>
      <x:c r="F1125" t="str">
        <x:v>AM</x:v>
      </x:c>
      <x:c r="G1125" t="str">
        <x:v>C</x:v>
      </x:c>
      <x:c r="H1125" t="n">
        <x:v>23</x:v>
      </x:c>
      <x:c r="I1125" t="str">
        <x:v>ORD-2025-00092</x:v>
      </x:c>
      <x:c r="J1125" t="n">
        <x:v>10</x:v>
      </x:c>
      <x:c r="K1125" t="n">
        <x:v>2</x:v>
      </x:c>
      <x:c r="L1125" t="str">
        <x:v>L23-S10-C2</x:v>
      </x:c>
      <x:c r="M1125" t="n">
        <x:v>1</x:v>
      </x:c>
      <x:c r="N1125" t="str">
        <x:v>DerivedFromCount</x:v>
      </x:c>
      <x:c r="O1125" t="str">
        <x:v>PLC-PRD-JAR-330-L23</x:v>
      </x:c>
      <x:c r="P1125" t="str">
        <x:v>OK</x:v>
      </x:c>
      <x:c r="Q1125" t="str">
        <x:v>OK</x:v>
      </x:c>
      <x:c r="R1125" t="str">
        <x:v>OK</x:v>
      </x:c>
      <x:c r="S1125" t="str">
        <x:v>OK</x:v>
      </x:c>
      <x:c r="T1125" t="n">
        <x:v>36</x:v>
      </x:c>
      <x:c r="U1125" t="str">
        <x:v>OK</x:v>
      </x:c>
      <x:c r="V1125" t="str">
        <x:v>OK</x:v>
      </x:c>
      <x:c r="W1125" t="str">
        <x:v>LOAD</x:v>
      </x:c>
      <x:c r="X1125" t="str">
        <x:v>02_Supervisor_Log(4).xlsx</x:v>
      </x:c>
      <x:c r="Y1125" t="str">
        <x:v>ENH-20260830-01</x:v>
      </x:c>
      <x:c r="Z1125" t="str">
        <x:v>Active</x:v>
      </x:c>
      <x:c r="AA1125"/>
      <x:c r="AB1125"/>
      <x:c r="AC1125"/>
      <x:c r="AD1125"/>
    </x:row>
    <x:row r="1126">
      <x:c r="A1126" t="str">
        <x:v>PCC-PE-KG01-L23-20251020-AM-ORD-2025-00092-S10-C3</x:v>
      </x:c>
      <x:c r="B1126" t="str">
        <x:v>PC-PE-KG01-L23-20251020-AM-ORD-2025-00092-S10</x:v>
      </x:c>
      <x:c r="C1126" t="str">
        <x:v>PE-KG01-L23-20251020-AM-ORD-2025-00092</x:v>
      </x:c>
      <x:c r="D1126" t="str">
        <x:v>KG01</x:v>
      </x:c>
      <x:c r="E1126" s="62" t="n">
        <x:v>45950</x:v>
      </x:c>
      <x:c r="F1126" t="str">
        <x:v>AM</x:v>
      </x:c>
      <x:c r="G1126" t="str">
        <x:v>C</x:v>
      </x:c>
      <x:c r="H1126" t="n">
        <x:v>23</x:v>
      </x:c>
      <x:c r="I1126" t="str">
        <x:v>ORD-2025-00092</x:v>
      </x:c>
      <x:c r="J1126" t="n">
        <x:v>10</x:v>
      </x:c>
      <x:c r="K1126" t="n">
        <x:v>3</x:v>
      </x:c>
      <x:c r="L1126" t="str">
        <x:v>L23-S10-C3</x:v>
      </x:c>
      <x:c r="M1126" t="n">
        <x:v>1</x:v>
      </x:c>
      <x:c r="N1126" t="str">
        <x:v>DerivedFromCount</x:v>
      </x:c>
      <x:c r="O1126" t="str">
        <x:v>PLC-PRD-JAR-330-L23</x:v>
      </x:c>
      <x:c r="P1126" t="str">
        <x:v>OK</x:v>
      </x:c>
      <x:c r="Q1126" t="str">
        <x:v>OK</x:v>
      </x:c>
      <x:c r="R1126" t="str">
        <x:v>OK</x:v>
      </x:c>
      <x:c r="S1126" t="str">
        <x:v>OK</x:v>
      </x:c>
      <x:c r="T1126" t="n">
        <x:v>36</x:v>
      </x:c>
      <x:c r="U1126" t="str">
        <x:v>OK</x:v>
      </x:c>
      <x:c r="V1126" t="str">
        <x:v>OK</x:v>
      </x:c>
      <x:c r="W1126" t="str">
        <x:v>LOAD</x:v>
      </x:c>
      <x:c r="X1126" t="str">
        <x:v>02_Supervisor_Log(4).xlsx</x:v>
      </x:c>
      <x:c r="Y1126" t="str">
        <x:v>ENH-20260830-01</x:v>
      </x:c>
      <x:c r="Z1126" t="str">
        <x:v>Active</x:v>
      </x:c>
      <x:c r="AA1126"/>
      <x:c r="AB1126"/>
      <x:c r="AC1126"/>
      <x:c r="AD1126"/>
    </x:row>
    <x:row r="1127">
      <x:c r="A1127" t="str">
        <x:v>PCC-PE-KG01-L23-20251020-AM-ORD-2025-00092-S11-C1</x:v>
      </x:c>
      <x:c r="B1127" t="str">
        <x:v>PC-PE-KG01-L23-20251020-AM-ORD-2025-00092-S11</x:v>
      </x:c>
      <x:c r="C1127" t="str">
        <x:v>PE-KG01-L23-20251020-AM-ORD-2025-00092</x:v>
      </x:c>
      <x:c r="D1127" t="str">
        <x:v>KG01</x:v>
      </x:c>
      <x:c r="E1127" s="62" t="n">
        <x:v>45950</x:v>
      </x:c>
      <x:c r="F1127" t="str">
        <x:v>AM</x:v>
      </x:c>
      <x:c r="G1127" t="str">
        <x:v>C</x:v>
      </x:c>
      <x:c r="H1127" t="n">
        <x:v>23</x:v>
      </x:c>
      <x:c r="I1127" t="str">
        <x:v>ORD-2025-00092</x:v>
      </x:c>
      <x:c r="J1127" t="n">
        <x:v>11</x:v>
      </x:c>
      <x:c r="K1127" t="n">
        <x:v>1</x:v>
      </x:c>
      <x:c r="L1127" t="str">
        <x:v>L23-S11-C1</x:v>
      </x:c>
      <x:c r="M1127" t="n">
        <x:v>1</x:v>
      </x:c>
      <x:c r="N1127" t="str">
        <x:v>DerivedFromCount</x:v>
      </x:c>
      <x:c r="O1127" t="str">
        <x:v>PLC-PRD-JAR-330-L23</x:v>
      </x:c>
      <x:c r="P1127" t="str">
        <x:v>OK</x:v>
      </x:c>
      <x:c r="Q1127" t="str">
        <x:v>OK</x:v>
      </x:c>
      <x:c r="R1127" t="str">
        <x:v>OK</x:v>
      </x:c>
      <x:c r="S1127" t="str">
        <x:v>OK</x:v>
      </x:c>
      <x:c r="T1127" t="n">
        <x:v>36</x:v>
      </x:c>
      <x:c r="U1127" t="str">
        <x:v>OK</x:v>
      </x:c>
      <x:c r="V1127" t="str">
        <x:v>OK</x:v>
      </x:c>
      <x:c r="W1127" t="str">
        <x:v>LOAD</x:v>
      </x:c>
      <x:c r="X1127" t="str">
        <x:v>02_Supervisor_Log(4).xlsx</x:v>
      </x:c>
      <x:c r="Y1127" t="str">
        <x:v>ENH-20260830-01</x:v>
      </x:c>
      <x:c r="Z1127" t="str">
        <x:v>Active</x:v>
      </x:c>
      <x:c r="AA1127"/>
      <x:c r="AB1127"/>
      <x:c r="AC1127"/>
      <x:c r="AD1127"/>
    </x:row>
    <x:row r="1128">
      <x:c r="A1128" t="str">
        <x:v>PCC-PE-KG01-L23-20251020-AM-ORD-2025-00092-S11-C2</x:v>
      </x:c>
      <x:c r="B1128" t="str">
        <x:v>PC-PE-KG01-L23-20251020-AM-ORD-2025-00092-S11</x:v>
      </x:c>
      <x:c r="C1128" t="str">
        <x:v>PE-KG01-L23-20251020-AM-ORD-2025-00092</x:v>
      </x:c>
      <x:c r="D1128" t="str">
        <x:v>KG01</x:v>
      </x:c>
      <x:c r="E1128" s="62" t="n">
        <x:v>45950</x:v>
      </x:c>
      <x:c r="F1128" t="str">
        <x:v>AM</x:v>
      </x:c>
      <x:c r="G1128" t="str">
        <x:v>C</x:v>
      </x:c>
      <x:c r="H1128" t="n">
        <x:v>23</x:v>
      </x:c>
      <x:c r="I1128" t="str">
        <x:v>ORD-2025-00092</x:v>
      </x:c>
      <x:c r="J1128" t="n">
        <x:v>11</x:v>
      </x:c>
      <x:c r="K1128" t="n">
        <x:v>2</x:v>
      </x:c>
      <x:c r="L1128" t="str">
        <x:v>L23-S11-C2</x:v>
      </x:c>
      <x:c r="M1128" t="n">
        <x:v>1</x:v>
      </x:c>
      <x:c r="N1128" t="str">
        <x:v>DerivedFromCount</x:v>
      </x:c>
      <x:c r="O1128" t="str">
        <x:v>PLC-PRD-JAR-330-L23</x:v>
      </x:c>
      <x:c r="P1128" t="str">
        <x:v>OK</x:v>
      </x:c>
      <x:c r="Q1128" t="str">
        <x:v>OK</x:v>
      </x:c>
      <x:c r="R1128" t="str">
        <x:v>OK</x:v>
      </x:c>
      <x:c r="S1128" t="str">
        <x:v>OK</x:v>
      </x:c>
      <x:c r="T1128" t="n">
        <x:v>36</x:v>
      </x:c>
      <x:c r="U1128" t="str">
        <x:v>OK</x:v>
      </x:c>
      <x:c r="V1128" t="str">
        <x:v>OK</x:v>
      </x:c>
      <x:c r="W1128" t="str">
        <x:v>LOAD</x:v>
      </x:c>
      <x:c r="X1128" t="str">
        <x:v>02_Supervisor_Log(4).xlsx</x:v>
      </x:c>
      <x:c r="Y1128" t="str">
        <x:v>ENH-20260830-01</x:v>
      </x:c>
      <x:c r="Z1128" t="str">
        <x:v>Active</x:v>
      </x:c>
      <x:c r="AA1128"/>
      <x:c r="AB1128"/>
      <x:c r="AC1128"/>
      <x:c r="AD1128"/>
    </x:row>
    <x:row r="1129">
      <x:c r="A1129" t="str">
        <x:v>PCC-PE-KG01-L23-20251020-AM-ORD-2025-00092-S11-C3</x:v>
      </x:c>
      <x:c r="B1129" t="str">
        <x:v>PC-PE-KG01-L23-20251020-AM-ORD-2025-00092-S11</x:v>
      </x:c>
      <x:c r="C1129" t="str">
        <x:v>PE-KG01-L23-20251020-AM-ORD-2025-00092</x:v>
      </x:c>
      <x:c r="D1129" t="str">
        <x:v>KG01</x:v>
      </x:c>
      <x:c r="E1129" s="62" t="n">
        <x:v>45950</x:v>
      </x:c>
      <x:c r="F1129" t="str">
        <x:v>AM</x:v>
      </x:c>
      <x:c r="G1129" t="str">
        <x:v>C</x:v>
      </x:c>
      <x:c r="H1129" t="n">
        <x:v>23</x:v>
      </x:c>
      <x:c r="I1129" t="str">
        <x:v>ORD-2025-00092</x:v>
      </x:c>
      <x:c r="J1129" t="n">
        <x:v>11</x:v>
      </x:c>
      <x:c r="K1129" t="n">
        <x:v>3</x:v>
      </x:c>
      <x:c r="L1129" t="str">
        <x:v>L23-S11-C3</x:v>
      </x:c>
      <x:c r="M1129" t="n">
        <x:v>1</x:v>
      </x:c>
      <x:c r="N1129" t="str">
        <x:v>DerivedFromCount</x:v>
      </x:c>
      <x:c r="O1129" t="str">
        <x:v>PLC-PRD-JAR-330-L23</x:v>
      </x:c>
      <x:c r="P1129" t="str">
        <x:v>OK</x:v>
      </x:c>
      <x:c r="Q1129" t="str">
        <x:v>OK</x:v>
      </x:c>
      <x:c r="R1129" t="str">
        <x:v>OK</x:v>
      </x:c>
      <x:c r="S1129" t="str">
        <x:v>OK</x:v>
      </x:c>
      <x:c r="T1129" t="n">
        <x:v>36</x:v>
      </x:c>
      <x:c r="U1129" t="str">
        <x:v>OK</x:v>
      </x:c>
      <x:c r="V1129" t="str">
        <x:v>OK</x:v>
      </x:c>
      <x:c r="W1129" t="str">
        <x:v>LOAD</x:v>
      </x:c>
      <x:c r="X1129" t="str">
        <x:v>02_Supervisor_Log(4).xlsx</x:v>
      </x:c>
      <x:c r="Y1129" t="str">
        <x:v>ENH-20260830-01</x:v>
      </x:c>
      <x:c r="Z1129" t="str">
        <x:v>Active</x:v>
      </x:c>
      <x:c r="AA1129"/>
      <x:c r="AB1129"/>
      <x:c r="AC1129"/>
      <x:c r="AD1129"/>
    </x:row>
    <x:row r="1130">
      <x:c r="A1130" t="str">
        <x:v>PCC-PE-KG01-L23-20251020-AM-ORD-2025-00092-S12-C1</x:v>
      </x:c>
      <x:c r="B1130" t="str">
        <x:v>PC-PE-KG01-L23-20251020-AM-ORD-2025-00092-S12</x:v>
      </x:c>
      <x:c r="C1130" t="str">
        <x:v>PE-KG01-L23-20251020-AM-ORD-2025-00092</x:v>
      </x:c>
      <x:c r="D1130" t="str">
        <x:v>KG01</x:v>
      </x:c>
      <x:c r="E1130" s="62" t="n">
        <x:v>45950</x:v>
      </x:c>
      <x:c r="F1130" t="str">
        <x:v>AM</x:v>
      </x:c>
      <x:c r="G1130" t="str">
        <x:v>C</x:v>
      </x:c>
      <x:c r="H1130" t="n">
        <x:v>23</x:v>
      </x:c>
      <x:c r="I1130" t="str">
        <x:v>ORD-2025-00092</x:v>
      </x:c>
      <x:c r="J1130" t="n">
        <x:v>12</x:v>
      </x:c>
      <x:c r="K1130" t="n">
        <x:v>1</x:v>
      </x:c>
      <x:c r="L1130" t="str">
        <x:v>L23-S12-C1</x:v>
      </x:c>
      <x:c r="M1130" t="n">
        <x:v>1</x:v>
      </x:c>
      <x:c r="N1130" t="str">
        <x:v>DerivedFromCount</x:v>
      </x:c>
      <x:c r="O1130" t="str">
        <x:v>PLC-PRD-JAR-330-L23</x:v>
      </x:c>
      <x:c r="P1130" t="str">
        <x:v>OK</x:v>
      </x:c>
      <x:c r="Q1130" t="str">
        <x:v>OK</x:v>
      </x:c>
      <x:c r="R1130" t="str">
        <x:v>OK</x:v>
      </x:c>
      <x:c r="S1130" t="str">
        <x:v>OK</x:v>
      </x:c>
      <x:c r="T1130" t="n">
        <x:v>36</x:v>
      </x:c>
      <x:c r="U1130" t="str">
        <x:v>OK</x:v>
      </x:c>
      <x:c r="V1130" t="str">
        <x:v>OK</x:v>
      </x:c>
      <x:c r="W1130" t="str">
        <x:v>LOAD</x:v>
      </x:c>
      <x:c r="X1130" t="str">
        <x:v>02_Supervisor_Log(4).xlsx</x:v>
      </x:c>
      <x:c r="Y1130" t="str">
        <x:v>ENH-20260830-01</x:v>
      </x:c>
      <x:c r="Z1130" t="str">
        <x:v>Active</x:v>
      </x:c>
      <x:c r="AA1130"/>
      <x:c r="AB1130"/>
      <x:c r="AC1130"/>
      <x:c r="AD1130"/>
    </x:row>
    <x:row r="1131">
      <x:c r="A1131" t="str">
        <x:v>PCC-PE-KG01-L23-20251020-AM-ORD-2025-00092-S12-C2</x:v>
      </x:c>
      <x:c r="B1131" t="str">
        <x:v>PC-PE-KG01-L23-20251020-AM-ORD-2025-00092-S12</x:v>
      </x:c>
      <x:c r="C1131" t="str">
        <x:v>PE-KG01-L23-20251020-AM-ORD-2025-00092</x:v>
      </x:c>
      <x:c r="D1131" t="str">
        <x:v>KG01</x:v>
      </x:c>
      <x:c r="E1131" s="62" t="n">
        <x:v>45950</x:v>
      </x:c>
      <x:c r="F1131" t="str">
        <x:v>AM</x:v>
      </x:c>
      <x:c r="G1131" t="str">
        <x:v>C</x:v>
      </x:c>
      <x:c r="H1131" t="n">
        <x:v>23</x:v>
      </x:c>
      <x:c r="I1131" t="str">
        <x:v>ORD-2025-00092</x:v>
      </x:c>
      <x:c r="J1131" t="n">
        <x:v>12</x:v>
      </x:c>
      <x:c r="K1131" t="n">
        <x:v>2</x:v>
      </x:c>
      <x:c r="L1131" t="str">
        <x:v>L23-S12-C2</x:v>
      </x:c>
      <x:c r="M1131" t="n">
        <x:v>1</x:v>
      </x:c>
      <x:c r="N1131" t="str">
        <x:v>DerivedFromCount</x:v>
      </x:c>
      <x:c r="O1131" t="str">
        <x:v>PLC-PRD-JAR-330-L23</x:v>
      </x:c>
      <x:c r="P1131" t="str">
        <x:v>OK</x:v>
      </x:c>
      <x:c r="Q1131" t="str">
        <x:v>OK</x:v>
      </x:c>
      <x:c r="R1131" t="str">
        <x:v>OK</x:v>
      </x:c>
      <x:c r="S1131" t="str">
        <x:v>OK</x:v>
      </x:c>
      <x:c r="T1131" t="n">
        <x:v>36</x:v>
      </x:c>
      <x:c r="U1131" t="str">
        <x:v>OK</x:v>
      </x:c>
      <x:c r="V1131" t="str">
        <x:v>OK</x:v>
      </x:c>
      <x:c r="W1131" t="str">
        <x:v>LOAD</x:v>
      </x:c>
      <x:c r="X1131" t="str">
        <x:v>02_Supervisor_Log(4).xlsx</x:v>
      </x:c>
      <x:c r="Y1131" t="str">
        <x:v>ENH-20260830-01</x:v>
      </x:c>
      <x:c r="Z1131" t="str">
        <x:v>Active</x:v>
      </x:c>
      <x:c r="AA1131"/>
      <x:c r="AB1131"/>
      <x:c r="AC1131"/>
      <x:c r="AD1131"/>
    </x:row>
    <x:row r="1132">
      <x:c r="A1132" t="str">
        <x:v>PCC-PE-KG01-L23-20251020-AM-ORD-2025-00092-S12-C3</x:v>
      </x:c>
      <x:c r="B1132" t="str">
        <x:v>PC-PE-KG01-L23-20251020-AM-ORD-2025-00092-S12</x:v>
      </x:c>
      <x:c r="C1132" t="str">
        <x:v>PE-KG01-L23-20251020-AM-ORD-2025-00092</x:v>
      </x:c>
      <x:c r="D1132" t="str">
        <x:v>KG01</x:v>
      </x:c>
      <x:c r="E1132" s="62" t="n">
        <x:v>45950</x:v>
      </x:c>
      <x:c r="F1132" t="str">
        <x:v>AM</x:v>
      </x:c>
      <x:c r="G1132" t="str">
        <x:v>C</x:v>
      </x:c>
      <x:c r="H1132" t="n">
        <x:v>23</x:v>
      </x:c>
      <x:c r="I1132" t="str">
        <x:v>ORD-2025-00092</x:v>
      </x:c>
      <x:c r="J1132" t="n">
        <x:v>12</x:v>
      </x:c>
      <x:c r="K1132" t="n">
        <x:v>3</x:v>
      </x:c>
      <x:c r="L1132" t="str">
        <x:v>L23-S12-C3</x:v>
      </x:c>
      <x:c r="M1132" t="n">
        <x:v>1</x:v>
      </x:c>
      <x:c r="N1132" t="str">
        <x:v>DerivedFromCount</x:v>
      </x:c>
      <x:c r="O1132" t="str">
        <x:v>PLC-PRD-JAR-330-L23</x:v>
      </x:c>
      <x:c r="P1132" t="str">
        <x:v>OK</x:v>
      </x:c>
      <x:c r="Q1132" t="str">
        <x:v>OK</x:v>
      </x:c>
      <x:c r="R1132" t="str">
        <x:v>OK</x:v>
      </x:c>
      <x:c r="S1132" t="str">
        <x:v>OK</x:v>
      </x:c>
      <x:c r="T1132" t="n">
        <x:v>36</x:v>
      </x:c>
      <x:c r="U1132" t="str">
        <x:v>OK</x:v>
      </x:c>
      <x:c r="V1132" t="str">
        <x:v>OK</x:v>
      </x:c>
      <x:c r="W1132" t="str">
        <x:v>LOAD</x:v>
      </x:c>
      <x:c r="X1132" t="str">
        <x:v>02_Supervisor_Log(4).xlsx</x:v>
      </x:c>
      <x:c r="Y1132" t="str">
        <x:v>ENH-20260830-01</x:v>
      </x:c>
      <x:c r="Z1132" t="str">
        <x:v>Active</x:v>
      </x:c>
      <x:c r="AA1132"/>
      <x:c r="AB1132"/>
      <x:c r="AC1132"/>
      <x:c r="AD1132"/>
    </x:row>
    <x:row r="1133">
      <x:c r="A1133" t="str">
        <x:v>PCC-PE-KG01-L23-20251020-AM-ORD-2025-00092-S13-C1</x:v>
      </x:c>
      <x:c r="B1133" t="str">
        <x:v>PC-PE-KG01-L23-20251020-AM-ORD-2025-00092-S13</x:v>
      </x:c>
      <x:c r="C1133" t="str">
        <x:v>PE-KG01-L23-20251020-AM-ORD-2025-00092</x:v>
      </x:c>
      <x:c r="D1133" t="str">
        <x:v>KG01</x:v>
      </x:c>
      <x:c r="E1133" s="62" t="n">
        <x:v>45950</x:v>
      </x:c>
      <x:c r="F1133" t="str">
        <x:v>AM</x:v>
      </x:c>
      <x:c r="G1133" t="str">
        <x:v>C</x:v>
      </x:c>
      <x:c r="H1133" t="n">
        <x:v>23</x:v>
      </x:c>
      <x:c r="I1133" t="str">
        <x:v>ORD-2025-00092</x:v>
      </x:c>
      <x:c r="J1133" t="n">
        <x:v>13</x:v>
      </x:c>
      <x:c r="K1133" t="n">
        <x:v>1</x:v>
      </x:c>
      <x:c r="L1133" t="str">
        <x:v>L23-S13-C1</x:v>
      </x:c>
      <x:c r="M1133" t="n">
        <x:v>0</x:v>
      </x:c>
      <x:c r="N1133" t="str">
        <x:v>DerivedFromCount</x:v>
      </x:c>
      <x:c r="O1133" t="str">
        <x:v>PLC-PRD-JAR-330-L23</x:v>
      </x:c>
      <x:c r="P1133" t="str">
        <x:v>OK</x:v>
      </x:c>
      <x:c r="Q1133" t="str">
        <x:v>OK</x:v>
      </x:c>
      <x:c r="R1133" t="str">
        <x:v>OK</x:v>
      </x:c>
      <x:c r="S1133" t="str">
        <x:v>OK</x:v>
      </x:c>
      <x:c r="T1133" t="n">
        <x:v>36</x:v>
      </x:c>
      <x:c r="U1133" t="str">
        <x:v>OK</x:v>
      </x:c>
      <x:c r="V1133" t="str">
        <x:v>OK</x:v>
      </x:c>
      <x:c r="W1133" t="str">
        <x:v>LOAD</x:v>
      </x:c>
      <x:c r="X1133" t="str">
        <x:v>02_Supervisor_Log(4).xlsx</x:v>
      </x:c>
      <x:c r="Y1133" t="str">
        <x:v>ENH-20260830-01</x:v>
      </x:c>
      <x:c r="Z1133" t="str">
        <x:v>Active</x:v>
      </x:c>
      <x:c r="AA1133"/>
      <x:c r="AB1133"/>
      <x:c r="AC1133"/>
      <x:c r="AD1133"/>
    </x:row>
    <x:row r="1134">
      <x:c r="A1134" t="str">
        <x:v>PCC-PE-KG01-L23-20251020-AM-ORD-2025-00092-S13-C2</x:v>
      </x:c>
      <x:c r="B1134" t="str">
        <x:v>PC-PE-KG01-L23-20251020-AM-ORD-2025-00092-S13</x:v>
      </x:c>
      <x:c r="C1134" t="str">
        <x:v>PE-KG01-L23-20251020-AM-ORD-2025-00092</x:v>
      </x:c>
      <x:c r="D1134" t="str">
        <x:v>KG01</x:v>
      </x:c>
      <x:c r="E1134" s="62" t="n">
        <x:v>45950</x:v>
      </x:c>
      <x:c r="F1134" t="str">
        <x:v>AM</x:v>
      </x:c>
      <x:c r="G1134" t="str">
        <x:v>C</x:v>
      </x:c>
      <x:c r="H1134" t="n">
        <x:v>23</x:v>
      </x:c>
      <x:c r="I1134" t="str">
        <x:v>ORD-2025-00092</x:v>
      </x:c>
      <x:c r="J1134" t="n">
        <x:v>13</x:v>
      </x:c>
      <x:c r="K1134" t="n">
        <x:v>2</x:v>
      </x:c>
      <x:c r="L1134" t="str">
        <x:v>L23-S13-C2</x:v>
      </x:c>
      <x:c r="M1134" t="n">
        <x:v>0</x:v>
      </x:c>
      <x:c r="N1134" t="str">
        <x:v>DerivedFromCount</x:v>
      </x:c>
      <x:c r="O1134" t="str">
        <x:v>PLC-PRD-JAR-330-L23</x:v>
      </x:c>
      <x:c r="P1134" t="str">
        <x:v>OK</x:v>
      </x:c>
      <x:c r="Q1134" t="str">
        <x:v>OK</x:v>
      </x:c>
      <x:c r="R1134" t="str">
        <x:v>OK</x:v>
      </x:c>
      <x:c r="S1134" t="str">
        <x:v>OK</x:v>
      </x:c>
      <x:c r="T1134" t="n">
        <x:v>36</x:v>
      </x:c>
      <x:c r="U1134" t="str">
        <x:v>OK</x:v>
      </x:c>
      <x:c r="V1134" t="str">
        <x:v>OK</x:v>
      </x:c>
      <x:c r="W1134" t="str">
        <x:v>LOAD</x:v>
      </x:c>
      <x:c r="X1134" t="str">
        <x:v>02_Supervisor_Log(4).xlsx</x:v>
      </x:c>
      <x:c r="Y1134" t="str">
        <x:v>ENH-20260830-01</x:v>
      </x:c>
      <x:c r="Z1134" t="str">
        <x:v>Active</x:v>
      </x:c>
      <x:c r="AA1134"/>
      <x:c r="AB1134"/>
      <x:c r="AC1134"/>
      <x:c r="AD1134"/>
    </x:row>
    <x:row r="1135">
      <x:c r="A1135" t="str">
        <x:v>PCC-PE-KG01-L23-20251020-AM-ORD-2025-00092-S13-C3</x:v>
      </x:c>
      <x:c r="B1135" t="str">
        <x:v>PC-PE-KG01-L23-20251020-AM-ORD-2025-00092-S13</x:v>
      </x:c>
      <x:c r="C1135" t="str">
        <x:v>PE-KG01-L23-20251020-AM-ORD-2025-00092</x:v>
      </x:c>
      <x:c r="D1135" t="str">
        <x:v>KG01</x:v>
      </x:c>
      <x:c r="E1135" s="62" t="n">
        <x:v>45950</x:v>
      </x:c>
      <x:c r="F1135" t="str">
        <x:v>AM</x:v>
      </x:c>
      <x:c r="G1135" t="str">
        <x:v>C</x:v>
      </x:c>
      <x:c r="H1135" t="n">
        <x:v>23</x:v>
      </x:c>
      <x:c r="I1135" t="str">
        <x:v>ORD-2025-00092</x:v>
      </x:c>
      <x:c r="J1135" t="n">
        <x:v>13</x:v>
      </x:c>
      <x:c r="K1135" t="n">
        <x:v>3</x:v>
      </x:c>
      <x:c r="L1135" t="str">
        <x:v>L23-S13-C3</x:v>
      </x:c>
      <x:c r="M1135" t="n">
        <x:v>0</x:v>
      </x:c>
      <x:c r="N1135" t="str">
        <x:v>DerivedFromCount</x:v>
      </x:c>
      <x:c r="O1135" t="str">
        <x:v>PLC-PRD-JAR-330-L23</x:v>
      </x:c>
      <x:c r="P1135" t="str">
        <x:v>OK</x:v>
      </x:c>
      <x:c r="Q1135" t="str">
        <x:v>OK</x:v>
      </x:c>
      <x:c r="R1135" t="str">
        <x:v>OK</x:v>
      </x:c>
      <x:c r="S1135" t="str">
        <x:v>OK</x:v>
      </x:c>
      <x:c r="T1135" t="n">
        <x:v>36</x:v>
      </x:c>
      <x:c r="U1135" t="str">
        <x:v>OK</x:v>
      </x:c>
      <x:c r="V1135" t="str">
        <x:v>OK</x:v>
      </x:c>
      <x:c r="W1135" t="str">
        <x:v>LOAD</x:v>
      </x:c>
      <x:c r="X1135" t="str">
        <x:v>02_Supervisor_Log(4).xlsx</x:v>
      </x:c>
      <x:c r="Y1135" t="str">
        <x:v>ENH-20260830-01</x:v>
      </x:c>
      <x:c r="Z1135" t="str">
        <x:v>Active</x:v>
      </x:c>
      <x:c r="AA1135"/>
      <x:c r="AB1135"/>
      <x:c r="AC1135"/>
      <x:c r="AD1135"/>
    </x:row>
    <x:row r="1136">
      <x:c r="A1136" t="str">
        <x:v>PCC-PE-KG01-L23-20251020-PM-ORD-2025-00092-S01-C1</x:v>
      </x:c>
      <x:c r="B1136" t="str">
        <x:v>PC-PE-KG01-L23-20251020-PM-ORD-2025-00092-S01</x:v>
      </x:c>
      <x:c r="C1136" t="str">
        <x:v>PE-KG01-L23-20251020-PM-ORD-2025-00092</x:v>
      </x:c>
      <x:c r="D1136" t="str">
        <x:v>KG01</x:v>
      </x:c>
      <x:c r="E1136" s="62" t="n">
        <x:v>45950</x:v>
      </x:c>
      <x:c r="F1136" t="str">
        <x:v>PM</x:v>
      </x:c>
      <x:c r="G1136" t="str">
        <x:v>A</x:v>
      </x:c>
      <x:c r="H1136" t="n">
        <x:v>23</x:v>
      </x:c>
      <x:c r="I1136" t="str">
        <x:v>ORD-2025-00092</x:v>
      </x:c>
      <x:c r="J1136" t="n">
        <x:v>1</x:v>
      </x:c>
      <x:c r="K1136" t="n">
        <x:v>1</x:v>
      </x:c>
      <x:c r="L1136" t="str">
        <x:v>L23-S01-C1</x:v>
      </x:c>
      <x:c r="M1136" t="n">
        <x:v>1</x:v>
      </x:c>
      <x:c r="N1136" t="str">
        <x:v>DerivedFromCount</x:v>
      </x:c>
      <x:c r="O1136" t="str">
        <x:v>PLC-PRD-JAR-330-L23</x:v>
      </x:c>
      <x:c r="P1136" t="str">
        <x:v>OK</x:v>
      </x:c>
      <x:c r="Q1136" t="str">
        <x:v>OK</x:v>
      </x:c>
      <x:c r="R1136" t="str">
        <x:v>OK</x:v>
      </x:c>
      <x:c r="S1136" t="str">
        <x:v>OK</x:v>
      </x:c>
      <x:c r="T1136" t="n">
        <x:v>36</x:v>
      </x:c>
      <x:c r="U1136" t="str">
        <x:v>OK</x:v>
      </x:c>
      <x:c r="V1136" t="str">
        <x:v>OK</x:v>
      </x:c>
      <x:c r="W1136" t="str">
        <x:v>LOAD</x:v>
      </x:c>
      <x:c r="X1136" t="str">
        <x:v>02_Supervisor_Log(4).xlsx</x:v>
      </x:c>
      <x:c r="Y1136" t="str">
        <x:v>ENH-20260830-01</x:v>
      </x:c>
      <x:c r="Z1136" t="str">
        <x:v>Active</x:v>
      </x:c>
      <x:c r="AA1136"/>
      <x:c r="AB1136"/>
      <x:c r="AC1136"/>
      <x:c r="AD1136"/>
    </x:row>
    <x:row r="1137">
      <x:c r="A1137" t="str">
        <x:v>PCC-PE-KG01-L23-20251020-PM-ORD-2025-00092-S01-C2</x:v>
      </x:c>
      <x:c r="B1137" t="str">
        <x:v>PC-PE-KG01-L23-20251020-PM-ORD-2025-00092-S01</x:v>
      </x:c>
      <x:c r="C1137" t="str">
        <x:v>PE-KG01-L23-20251020-PM-ORD-2025-00092</x:v>
      </x:c>
      <x:c r="D1137" t="str">
        <x:v>KG01</x:v>
      </x:c>
      <x:c r="E1137" s="62" t="n">
        <x:v>45950</x:v>
      </x:c>
      <x:c r="F1137" t="str">
        <x:v>PM</x:v>
      </x:c>
      <x:c r="G1137" t="str">
        <x:v>A</x:v>
      </x:c>
      <x:c r="H1137" t="n">
        <x:v>23</x:v>
      </x:c>
      <x:c r="I1137" t="str">
        <x:v>ORD-2025-00092</x:v>
      </x:c>
      <x:c r="J1137" t="n">
        <x:v>1</x:v>
      </x:c>
      <x:c r="K1137" t="n">
        <x:v>2</x:v>
      </x:c>
      <x:c r="L1137" t="str">
        <x:v>L23-S01-C2</x:v>
      </x:c>
      <x:c r="M1137" t="n">
        <x:v>1</x:v>
      </x:c>
      <x:c r="N1137" t="str">
        <x:v>DerivedFromCount</x:v>
      </x:c>
      <x:c r="O1137" t="str">
        <x:v>PLC-PRD-JAR-330-L23</x:v>
      </x:c>
      <x:c r="P1137" t="str">
        <x:v>OK</x:v>
      </x:c>
      <x:c r="Q1137" t="str">
        <x:v>OK</x:v>
      </x:c>
      <x:c r="R1137" t="str">
        <x:v>OK</x:v>
      </x:c>
      <x:c r="S1137" t="str">
        <x:v>OK</x:v>
      </x:c>
      <x:c r="T1137" t="n">
        <x:v>36</x:v>
      </x:c>
      <x:c r="U1137" t="str">
        <x:v>OK</x:v>
      </x:c>
      <x:c r="V1137" t="str">
        <x:v>OK</x:v>
      </x:c>
      <x:c r="W1137" t="str">
        <x:v>LOAD</x:v>
      </x:c>
      <x:c r="X1137" t="str">
        <x:v>02_Supervisor_Log(4).xlsx</x:v>
      </x:c>
      <x:c r="Y1137" t="str">
        <x:v>ENH-20260830-01</x:v>
      </x:c>
      <x:c r="Z1137" t="str">
        <x:v>Active</x:v>
      </x:c>
      <x:c r="AA1137"/>
      <x:c r="AB1137"/>
      <x:c r="AC1137"/>
      <x:c r="AD1137"/>
    </x:row>
    <x:row r="1138">
      <x:c r="A1138" t="str">
        <x:v>PCC-PE-KG01-L23-20251020-PM-ORD-2025-00092-S01-C3</x:v>
      </x:c>
      <x:c r="B1138" t="str">
        <x:v>PC-PE-KG01-L23-20251020-PM-ORD-2025-00092-S01</x:v>
      </x:c>
      <x:c r="C1138" t="str">
        <x:v>PE-KG01-L23-20251020-PM-ORD-2025-00092</x:v>
      </x:c>
      <x:c r="D1138" t="str">
        <x:v>KG01</x:v>
      </x:c>
      <x:c r="E1138" s="62" t="n">
        <x:v>45950</x:v>
      </x:c>
      <x:c r="F1138" t="str">
        <x:v>PM</x:v>
      </x:c>
      <x:c r="G1138" t="str">
        <x:v>A</x:v>
      </x:c>
      <x:c r="H1138" t="n">
        <x:v>23</x:v>
      </x:c>
      <x:c r="I1138" t="str">
        <x:v>ORD-2025-00092</x:v>
      </x:c>
      <x:c r="J1138" t="n">
        <x:v>1</x:v>
      </x:c>
      <x:c r="K1138" t="n">
        <x:v>3</x:v>
      </x:c>
      <x:c r="L1138" t="str">
        <x:v>L23-S01-C3</x:v>
      </x:c>
      <x:c r="M1138" t="n">
        <x:v>1</x:v>
      </x:c>
      <x:c r="N1138" t="str">
        <x:v>DerivedFromCount</x:v>
      </x:c>
      <x:c r="O1138" t="str">
        <x:v>PLC-PRD-JAR-330-L23</x:v>
      </x:c>
      <x:c r="P1138" t="str">
        <x:v>OK</x:v>
      </x:c>
      <x:c r="Q1138" t="str">
        <x:v>OK</x:v>
      </x:c>
      <x:c r="R1138" t="str">
        <x:v>OK</x:v>
      </x:c>
      <x:c r="S1138" t="str">
        <x:v>OK</x:v>
      </x:c>
      <x:c r="T1138" t="n">
        <x:v>36</x:v>
      </x:c>
      <x:c r="U1138" t="str">
        <x:v>OK</x:v>
      </x:c>
      <x:c r="V1138" t="str">
        <x:v>OK</x:v>
      </x:c>
      <x:c r="W1138" t="str">
        <x:v>LOAD</x:v>
      </x:c>
      <x:c r="X1138" t="str">
        <x:v>02_Supervisor_Log(4).xlsx</x:v>
      </x:c>
      <x:c r="Y1138" t="str">
        <x:v>ENH-20260830-01</x:v>
      </x:c>
      <x:c r="Z1138" t="str">
        <x:v>Active</x:v>
      </x:c>
      <x:c r="AA1138"/>
      <x:c r="AB1138"/>
      <x:c r="AC1138"/>
      <x:c r="AD1138"/>
    </x:row>
    <x:row r="1139">
      <x:c r="A1139" t="str">
        <x:v>PCC-PE-KG01-L23-20251020-PM-ORD-2025-00092-S02-C1</x:v>
      </x:c>
      <x:c r="B1139" t="str">
        <x:v>PC-PE-KG01-L23-20251020-PM-ORD-2025-00092-S02</x:v>
      </x:c>
      <x:c r="C1139" t="str">
        <x:v>PE-KG01-L23-20251020-PM-ORD-2025-00092</x:v>
      </x:c>
      <x:c r="D1139" t="str">
        <x:v>KG01</x:v>
      </x:c>
      <x:c r="E1139" s="62" t="n">
        <x:v>45950</x:v>
      </x:c>
      <x:c r="F1139" t="str">
        <x:v>PM</x:v>
      </x:c>
      <x:c r="G1139" t="str">
        <x:v>A</x:v>
      </x:c>
      <x:c r="H1139" t="n">
        <x:v>23</x:v>
      </x:c>
      <x:c r="I1139" t="str">
        <x:v>ORD-2025-00092</x:v>
      </x:c>
      <x:c r="J1139" t="n">
        <x:v>2</x:v>
      </x:c>
      <x:c r="K1139" t="n">
        <x:v>1</x:v>
      </x:c>
      <x:c r="L1139" t="str">
        <x:v>L23-S02-C1</x:v>
      </x:c>
      <x:c r="M1139" t="n">
        <x:v>1</x:v>
      </x:c>
      <x:c r="N1139" t="str">
        <x:v>DerivedFromCount</x:v>
      </x:c>
      <x:c r="O1139" t="str">
        <x:v>PLC-PRD-JAR-330-L23</x:v>
      </x:c>
      <x:c r="P1139" t="str">
        <x:v>OK</x:v>
      </x:c>
      <x:c r="Q1139" t="str">
        <x:v>OK</x:v>
      </x:c>
      <x:c r="R1139" t="str">
        <x:v>OK</x:v>
      </x:c>
      <x:c r="S1139" t="str">
        <x:v>OK</x:v>
      </x:c>
      <x:c r="T1139" t="n">
        <x:v>36</x:v>
      </x:c>
      <x:c r="U1139" t="str">
        <x:v>OK</x:v>
      </x:c>
      <x:c r="V1139" t="str">
        <x:v>OK</x:v>
      </x:c>
      <x:c r="W1139" t="str">
        <x:v>LOAD</x:v>
      </x:c>
      <x:c r="X1139" t="str">
        <x:v>02_Supervisor_Log(4).xlsx</x:v>
      </x:c>
      <x:c r="Y1139" t="str">
        <x:v>ENH-20260830-01</x:v>
      </x:c>
      <x:c r="Z1139" t="str">
        <x:v>Active</x:v>
      </x:c>
      <x:c r="AA1139"/>
      <x:c r="AB1139"/>
      <x:c r="AC1139"/>
      <x:c r="AD1139"/>
    </x:row>
    <x:row r="1140">
      <x:c r="A1140" t="str">
        <x:v>PCC-PE-KG01-L23-20251020-PM-ORD-2025-00092-S02-C2</x:v>
      </x:c>
      <x:c r="B1140" t="str">
        <x:v>PC-PE-KG01-L23-20251020-PM-ORD-2025-00092-S02</x:v>
      </x:c>
      <x:c r="C1140" t="str">
        <x:v>PE-KG01-L23-20251020-PM-ORD-2025-00092</x:v>
      </x:c>
      <x:c r="D1140" t="str">
        <x:v>KG01</x:v>
      </x:c>
      <x:c r="E1140" s="62" t="n">
        <x:v>45950</x:v>
      </x:c>
      <x:c r="F1140" t="str">
        <x:v>PM</x:v>
      </x:c>
      <x:c r="G1140" t="str">
        <x:v>A</x:v>
      </x:c>
      <x:c r="H1140" t="n">
        <x:v>23</x:v>
      </x:c>
      <x:c r="I1140" t="str">
        <x:v>ORD-2025-00092</x:v>
      </x:c>
      <x:c r="J1140" t="n">
        <x:v>2</x:v>
      </x:c>
      <x:c r="K1140" t="n">
        <x:v>2</x:v>
      </x:c>
      <x:c r="L1140" t="str">
        <x:v>L23-S02-C2</x:v>
      </x:c>
      <x:c r="M1140" t="n">
        <x:v>1</x:v>
      </x:c>
      <x:c r="N1140" t="str">
        <x:v>DerivedFromCount</x:v>
      </x:c>
      <x:c r="O1140" t="str">
        <x:v>PLC-PRD-JAR-330-L23</x:v>
      </x:c>
      <x:c r="P1140" t="str">
        <x:v>OK</x:v>
      </x:c>
      <x:c r="Q1140" t="str">
        <x:v>OK</x:v>
      </x:c>
      <x:c r="R1140" t="str">
        <x:v>OK</x:v>
      </x:c>
      <x:c r="S1140" t="str">
        <x:v>OK</x:v>
      </x:c>
      <x:c r="T1140" t="n">
        <x:v>36</x:v>
      </x:c>
      <x:c r="U1140" t="str">
        <x:v>OK</x:v>
      </x:c>
      <x:c r="V1140" t="str">
        <x:v>OK</x:v>
      </x:c>
      <x:c r="W1140" t="str">
        <x:v>LOAD</x:v>
      </x:c>
      <x:c r="X1140" t="str">
        <x:v>02_Supervisor_Log(4).xlsx</x:v>
      </x:c>
      <x:c r="Y1140" t="str">
        <x:v>ENH-20260830-01</x:v>
      </x:c>
      <x:c r="Z1140" t="str">
        <x:v>Active</x:v>
      </x:c>
      <x:c r="AA1140"/>
      <x:c r="AB1140"/>
      <x:c r="AC1140"/>
      <x:c r="AD1140"/>
    </x:row>
    <x:row r="1141">
      <x:c r="A1141" t="str">
        <x:v>PCC-PE-KG01-L23-20251020-PM-ORD-2025-00092-S02-C3</x:v>
      </x:c>
      <x:c r="B1141" t="str">
        <x:v>PC-PE-KG01-L23-20251020-PM-ORD-2025-00092-S02</x:v>
      </x:c>
      <x:c r="C1141" t="str">
        <x:v>PE-KG01-L23-20251020-PM-ORD-2025-00092</x:v>
      </x:c>
      <x:c r="D1141" t="str">
        <x:v>KG01</x:v>
      </x:c>
      <x:c r="E1141" s="62" t="n">
        <x:v>45950</x:v>
      </x:c>
      <x:c r="F1141" t="str">
        <x:v>PM</x:v>
      </x:c>
      <x:c r="G1141" t="str">
        <x:v>A</x:v>
      </x:c>
      <x:c r="H1141" t="n">
        <x:v>23</x:v>
      </x:c>
      <x:c r="I1141" t="str">
        <x:v>ORD-2025-00092</x:v>
      </x:c>
      <x:c r="J1141" t="n">
        <x:v>2</x:v>
      </x:c>
      <x:c r="K1141" t="n">
        <x:v>3</x:v>
      </x:c>
      <x:c r="L1141" t="str">
        <x:v>L23-S02-C3</x:v>
      </x:c>
      <x:c r="M1141" t="n">
        <x:v>1</x:v>
      </x:c>
      <x:c r="N1141" t="str">
        <x:v>DerivedFromCount</x:v>
      </x:c>
      <x:c r="O1141" t="str">
        <x:v>PLC-PRD-JAR-330-L23</x:v>
      </x:c>
      <x:c r="P1141" t="str">
        <x:v>OK</x:v>
      </x:c>
      <x:c r="Q1141" t="str">
        <x:v>OK</x:v>
      </x:c>
      <x:c r="R1141" t="str">
        <x:v>OK</x:v>
      </x:c>
      <x:c r="S1141" t="str">
        <x:v>OK</x:v>
      </x:c>
      <x:c r="T1141" t="n">
        <x:v>36</x:v>
      </x:c>
      <x:c r="U1141" t="str">
        <x:v>OK</x:v>
      </x:c>
      <x:c r="V1141" t="str">
        <x:v>OK</x:v>
      </x:c>
      <x:c r="W1141" t="str">
        <x:v>LOAD</x:v>
      </x:c>
      <x:c r="X1141" t="str">
        <x:v>02_Supervisor_Log(4).xlsx</x:v>
      </x:c>
      <x:c r="Y1141" t="str">
        <x:v>ENH-20260830-01</x:v>
      </x:c>
      <x:c r="Z1141" t="str">
        <x:v>Active</x:v>
      </x:c>
      <x:c r="AA1141"/>
      <x:c r="AB1141"/>
      <x:c r="AC1141"/>
      <x:c r="AD1141"/>
    </x:row>
    <x:row r="1142">
      <x:c r="A1142" t="str">
        <x:v>PCC-PE-KG01-L23-20251020-PM-ORD-2025-00092-S03-C1</x:v>
      </x:c>
      <x:c r="B1142" t="str">
        <x:v>PC-PE-KG01-L23-20251020-PM-ORD-2025-00092-S03</x:v>
      </x:c>
      <x:c r="C1142" t="str">
        <x:v>PE-KG01-L23-20251020-PM-ORD-2025-00092</x:v>
      </x:c>
      <x:c r="D1142" t="str">
        <x:v>KG01</x:v>
      </x:c>
      <x:c r="E1142" s="62" t="n">
        <x:v>45950</x:v>
      </x:c>
      <x:c r="F1142" t="str">
        <x:v>PM</x:v>
      </x:c>
      <x:c r="G1142" t="str">
        <x:v>A</x:v>
      </x:c>
      <x:c r="H1142" t="n">
        <x:v>23</x:v>
      </x:c>
      <x:c r="I1142" t="str">
        <x:v>ORD-2025-00092</x:v>
      </x:c>
      <x:c r="J1142" t="n">
        <x:v>3</x:v>
      </x:c>
      <x:c r="K1142" t="n">
        <x:v>1</x:v>
      </x:c>
      <x:c r="L1142" t="str">
        <x:v>L23-S03-C1</x:v>
      </x:c>
      <x:c r="M1142" t="n">
        <x:v>1</x:v>
      </x:c>
      <x:c r="N1142" t="str">
        <x:v>DerivedFromCount</x:v>
      </x:c>
      <x:c r="O1142" t="str">
        <x:v>PLC-PRD-JAR-330-L23</x:v>
      </x:c>
      <x:c r="P1142" t="str">
        <x:v>OK</x:v>
      </x:c>
      <x:c r="Q1142" t="str">
        <x:v>OK</x:v>
      </x:c>
      <x:c r="R1142" t="str">
        <x:v>OK</x:v>
      </x:c>
      <x:c r="S1142" t="str">
        <x:v>OK</x:v>
      </x:c>
      <x:c r="T1142" t="n">
        <x:v>36</x:v>
      </x:c>
      <x:c r="U1142" t="str">
        <x:v>OK</x:v>
      </x:c>
      <x:c r="V1142" t="str">
        <x:v>OK</x:v>
      </x:c>
      <x:c r="W1142" t="str">
        <x:v>LOAD</x:v>
      </x:c>
      <x:c r="X1142" t="str">
        <x:v>02_Supervisor_Log(4).xlsx</x:v>
      </x:c>
      <x:c r="Y1142" t="str">
        <x:v>ENH-20260830-01</x:v>
      </x:c>
      <x:c r="Z1142" t="str">
        <x:v>Active</x:v>
      </x:c>
      <x:c r="AA1142"/>
      <x:c r="AB1142"/>
      <x:c r="AC1142"/>
      <x:c r="AD1142"/>
    </x:row>
    <x:row r="1143">
      <x:c r="A1143" t="str">
        <x:v>PCC-PE-KG01-L23-20251020-PM-ORD-2025-00092-S03-C2</x:v>
      </x:c>
      <x:c r="B1143" t="str">
        <x:v>PC-PE-KG01-L23-20251020-PM-ORD-2025-00092-S03</x:v>
      </x:c>
      <x:c r="C1143" t="str">
        <x:v>PE-KG01-L23-20251020-PM-ORD-2025-00092</x:v>
      </x:c>
      <x:c r="D1143" t="str">
        <x:v>KG01</x:v>
      </x:c>
      <x:c r="E1143" s="62" t="n">
        <x:v>45950</x:v>
      </x:c>
      <x:c r="F1143" t="str">
        <x:v>PM</x:v>
      </x:c>
      <x:c r="G1143" t="str">
        <x:v>A</x:v>
      </x:c>
      <x:c r="H1143" t="n">
        <x:v>23</x:v>
      </x:c>
      <x:c r="I1143" t="str">
        <x:v>ORD-2025-00092</x:v>
      </x:c>
      <x:c r="J1143" t="n">
        <x:v>3</x:v>
      </x:c>
      <x:c r="K1143" t="n">
        <x:v>2</x:v>
      </x:c>
      <x:c r="L1143" t="str">
        <x:v>L23-S03-C2</x:v>
      </x:c>
      <x:c r="M1143" t="n">
        <x:v>1</x:v>
      </x:c>
      <x:c r="N1143" t="str">
        <x:v>DerivedFromCount</x:v>
      </x:c>
      <x:c r="O1143" t="str">
        <x:v>PLC-PRD-JAR-330-L23</x:v>
      </x:c>
      <x:c r="P1143" t="str">
        <x:v>OK</x:v>
      </x:c>
      <x:c r="Q1143" t="str">
        <x:v>OK</x:v>
      </x:c>
      <x:c r="R1143" t="str">
        <x:v>OK</x:v>
      </x:c>
      <x:c r="S1143" t="str">
        <x:v>OK</x:v>
      </x:c>
      <x:c r="T1143" t="n">
        <x:v>36</x:v>
      </x:c>
      <x:c r="U1143" t="str">
        <x:v>OK</x:v>
      </x:c>
      <x:c r="V1143" t="str">
        <x:v>OK</x:v>
      </x:c>
      <x:c r="W1143" t="str">
        <x:v>LOAD</x:v>
      </x:c>
      <x:c r="X1143" t="str">
        <x:v>02_Supervisor_Log(4).xlsx</x:v>
      </x:c>
      <x:c r="Y1143" t="str">
        <x:v>ENH-20260830-01</x:v>
      </x:c>
      <x:c r="Z1143" t="str">
        <x:v>Active</x:v>
      </x:c>
      <x:c r="AA1143"/>
      <x:c r="AB1143"/>
      <x:c r="AC1143"/>
      <x:c r="AD1143"/>
    </x:row>
    <x:row r="1144">
      <x:c r="A1144" t="str">
        <x:v>PCC-PE-KG01-L23-20251020-PM-ORD-2025-00092-S03-C3</x:v>
      </x:c>
      <x:c r="B1144" t="str">
        <x:v>PC-PE-KG01-L23-20251020-PM-ORD-2025-00092-S03</x:v>
      </x:c>
      <x:c r="C1144" t="str">
        <x:v>PE-KG01-L23-20251020-PM-ORD-2025-00092</x:v>
      </x:c>
      <x:c r="D1144" t="str">
        <x:v>KG01</x:v>
      </x:c>
      <x:c r="E1144" s="62" t="n">
        <x:v>45950</x:v>
      </x:c>
      <x:c r="F1144" t="str">
        <x:v>PM</x:v>
      </x:c>
      <x:c r="G1144" t="str">
        <x:v>A</x:v>
      </x:c>
      <x:c r="H1144" t="n">
        <x:v>23</x:v>
      </x:c>
      <x:c r="I1144" t="str">
        <x:v>ORD-2025-00092</x:v>
      </x:c>
      <x:c r="J1144" t="n">
        <x:v>3</x:v>
      </x:c>
      <x:c r="K1144" t="n">
        <x:v>3</x:v>
      </x:c>
      <x:c r="L1144" t="str">
        <x:v>L23-S03-C3</x:v>
      </x:c>
      <x:c r="M1144" t="n">
        <x:v>1</x:v>
      </x:c>
      <x:c r="N1144" t="str">
        <x:v>DerivedFromCount</x:v>
      </x:c>
      <x:c r="O1144" t="str">
        <x:v>PLC-PRD-JAR-330-L23</x:v>
      </x:c>
      <x:c r="P1144" t="str">
        <x:v>OK</x:v>
      </x:c>
      <x:c r="Q1144" t="str">
        <x:v>OK</x:v>
      </x:c>
      <x:c r="R1144" t="str">
        <x:v>OK</x:v>
      </x:c>
      <x:c r="S1144" t="str">
        <x:v>OK</x:v>
      </x:c>
      <x:c r="T1144" t="n">
        <x:v>36</x:v>
      </x:c>
      <x:c r="U1144" t="str">
        <x:v>OK</x:v>
      </x:c>
      <x:c r="V1144" t="str">
        <x:v>OK</x:v>
      </x:c>
      <x:c r="W1144" t="str">
        <x:v>LOAD</x:v>
      </x:c>
      <x:c r="X1144" t="str">
        <x:v>02_Supervisor_Log(4).xlsx</x:v>
      </x:c>
      <x:c r="Y1144" t="str">
        <x:v>ENH-20260830-01</x:v>
      </x:c>
      <x:c r="Z1144" t="str">
        <x:v>Active</x:v>
      </x:c>
      <x:c r="AA1144"/>
      <x:c r="AB1144"/>
      <x:c r="AC1144"/>
      <x:c r="AD1144"/>
    </x:row>
    <x:row r="1145">
      <x:c r="A1145" t="str">
        <x:v>PCC-PE-KG01-L23-20251020-PM-ORD-2025-00092-S04-C1</x:v>
      </x:c>
      <x:c r="B1145" t="str">
        <x:v>PC-PE-KG01-L23-20251020-PM-ORD-2025-00092-S04</x:v>
      </x:c>
      <x:c r="C1145" t="str">
        <x:v>PE-KG01-L23-20251020-PM-ORD-2025-00092</x:v>
      </x:c>
      <x:c r="D1145" t="str">
        <x:v>KG01</x:v>
      </x:c>
      <x:c r="E1145" s="62" t="n">
        <x:v>45950</x:v>
      </x:c>
      <x:c r="F1145" t="str">
        <x:v>PM</x:v>
      </x:c>
      <x:c r="G1145" t="str">
        <x:v>A</x:v>
      </x:c>
      <x:c r="H1145" t="n">
        <x:v>23</x:v>
      </x:c>
      <x:c r="I1145" t="str">
        <x:v>ORD-2025-00092</x:v>
      </x:c>
      <x:c r="J1145" t="n">
        <x:v>4</x:v>
      </x:c>
      <x:c r="K1145" t="n">
        <x:v>1</x:v>
      </x:c>
      <x:c r="L1145" t="str">
        <x:v>L23-S04-C1</x:v>
      </x:c>
      <x:c r="M1145" t="n">
        <x:v>1</x:v>
      </x:c>
      <x:c r="N1145" t="str">
        <x:v>DerivedFromCount</x:v>
      </x:c>
      <x:c r="O1145" t="str">
        <x:v>PLC-PRD-JAR-330-L23</x:v>
      </x:c>
      <x:c r="P1145" t="str">
        <x:v>OK</x:v>
      </x:c>
      <x:c r="Q1145" t="str">
        <x:v>OK</x:v>
      </x:c>
      <x:c r="R1145" t="str">
        <x:v>OK</x:v>
      </x:c>
      <x:c r="S1145" t="str">
        <x:v>OK</x:v>
      </x:c>
      <x:c r="T1145" t="n">
        <x:v>36</x:v>
      </x:c>
      <x:c r="U1145" t="str">
        <x:v>OK</x:v>
      </x:c>
      <x:c r="V1145" t="str">
        <x:v>OK</x:v>
      </x:c>
      <x:c r="W1145" t="str">
        <x:v>LOAD</x:v>
      </x:c>
      <x:c r="X1145" t="str">
        <x:v>02_Supervisor_Log(4).xlsx</x:v>
      </x:c>
      <x:c r="Y1145" t="str">
        <x:v>ENH-20260830-01</x:v>
      </x:c>
      <x:c r="Z1145" t="str">
        <x:v>Active</x:v>
      </x:c>
      <x:c r="AA1145"/>
      <x:c r="AB1145"/>
      <x:c r="AC1145"/>
      <x:c r="AD1145"/>
    </x:row>
    <x:row r="1146">
      <x:c r="A1146" t="str">
        <x:v>PCC-PE-KG01-L23-20251020-PM-ORD-2025-00092-S04-C2</x:v>
      </x:c>
      <x:c r="B1146" t="str">
        <x:v>PC-PE-KG01-L23-20251020-PM-ORD-2025-00092-S04</x:v>
      </x:c>
      <x:c r="C1146" t="str">
        <x:v>PE-KG01-L23-20251020-PM-ORD-2025-00092</x:v>
      </x:c>
      <x:c r="D1146" t="str">
        <x:v>KG01</x:v>
      </x:c>
      <x:c r="E1146" s="62" t="n">
        <x:v>45950</x:v>
      </x:c>
      <x:c r="F1146" t="str">
        <x:v>PM</x:v>
      </x:c>
      <x:c r="G1146" t="str">
        <x:v>A</x:v>
      </x:c>
      <x:c r="H1146" t="n">
        <x:v>23</x:v>
      </x:c>
      <x:c r="I1146" t="str">
        <x:v>ORD-2025-00092</x:v>
      </x:c>
      <x:c r="J1146" t="n">
        <x:v>4</x:v>
      </x:c>
      <x:c r="K1146" t="n">
        <x:v>2</x:v>
      </x:c>
      <x:c r="L1146" t="str">
        <x:v>L23-S04-C2</x:v>
      </x:c>
      <x:c r="M1146" t="n">
        <x:v>1</x:v>
      </x:c>
      <x:c r="N1146" t="str">
        <x:v>DerivedFromCount</x:v>
      </x:c>
      <x:c r="O1146" t="str">
        <x:v>PLC-PRD-JAR-330-L23</x:v>
      </x:c>
      <x:c r="P1146" t="str">
        <x:v>OK</x:v>
      </x:c>
      <x:c r="Q1146" t="str">
        <x:v>OK</x:v>
      </x:c>
      <x:c r="R1146" t="str">
        <x:v>OK</x:v>
      </x:c>
      <x:c r="S1146" t="str">
        <x:v>OK</x:v>
      </x:c>
      <x:c r="T1146" t="n">
        <x:v>36</x:v>
      </x:c>
      <x:c r="U1146" t="str">
        <x:v>OK</x:v>
      </x:c>
      <x:c r="V1146" t="str">
        <x:v>OK</x:v>
      </x:c>
      <x:c r="W1146" t="str">
        <x:v>LOAD</x:v>
      </x:c>
      <x:c r="X1146" t="str">
        <x:v>02_Supervisor_Log(4).xlsx</x:v>
      </x:c>
      <x:c r="Y1146" t="str">
        <x:v>ENH-20260830-01</x:v>
      </x:c>
      <x:c r="Z1146" t="str">
        <x:v>Active</x:v>
      </x:c>
      <x:c r="AA1146"/>
      <x:c r="AB1146"/>
      <x:c r="AC1146"/>
      <x:c r="AD1146"/>
    </x:row>
    <x:row r="1147">
      <x:c r="A1147" t="str">
        <x:v>PCC-PE-KG01-L23-20251020-PM-ORD-2025-00092-S04-C3</x:v>
      </x:c>
      <x:c r="B1147" t="str">
        <x:v>PC-PE-KG01-L23-20251020-PM-ORD-2025-00092-S04</x:v>
      </x:c>
      <x:c r="C1147" t="str">
        <x:v>PE-KG01-L23-20251020-PM-ORD-2025-00092</x:v>
      </x:c>
      <x:c r="D1147" t="str">
        <x:v>KG01</x:v>
      </x:c>
      <x:c r="E1147" s="62" t="n">
        <x:v>45950</x:v>
      </x:c>
      <x:c r="F1147" t="str">
        <x:v>PM</x:v>
      </x:c>
      <x:c r="G1147" t="str">
        <x:v>A</x:v>
      </x:c>
      <x:c r="H1147" t="n">
        <x:v>23</x:v>
      </x:c>
      <x:c r="I1147" t="str">
        <x:v>ORD-2025-00092</x:v>
      </x:c>
      <x:c r="J1147" t="n">
        <x:v>4</x:v>
      </x:c>
      <x:c r="K1147" t="n">
        <x:v>3</x:v>
      </x:c>
      <x:c r="L1147" t="str">
        <x:v>L23-S04-C3</x:v>
      </x:c>
      <x:c r="M1147" t="n">
        <x:v>1</x:v>
      </x:c>
      <x:c r="N1147" t="str">
        <x:v>DerivedFromCount</x:v>
      </x:c>
      <x:c r="O1147" t="str">
        <x:v>PLC-PRD-JAR-330-L23</x:v>
      </x:c>
      <x:c r="P1147" t="str">
        <x:v>OK</x:v>
      </x:c>
      <x:c r="Q1147" t="str">
        <x:v>OK</x:v>
      </x:c>
      <x:c r="R1147" t="str">
        <x:v>OK</x:v>
      </x:c>
      <x:c r="S1147" t="str">
        <x:v>OK</x:v>
      </x:c>
      <x:c r="T1147" t="n">
        <x:v>36</x:v>
      </x:c>
      <x:c r="U1147" t="str">
        <x:v>OK</x:v>
      </x:c>
      <x:c r="V1147" t="str">
        <x:v>OK</x:v>
      </x:c>
      <x:c r="W1147" t="str">
        <x:v>LOAD</x:v>
      </x:c>
      <x:c r="X1147" t="str">
        <x:v>02_Supervisor_Log(4).xlsx</x:v>
      </x:c>
      <x:c r="Y1147" t="str">
        <x:v>ENH-20260830-01</x:v>
      </x:c>
      <x:c r="Z1147" t="str">
        <x:v>Active</x:v>
      </x:c>
      <x:c r="AA1147"/>
      <x:c r="AB1147"/>
      <x:c r="AC1147"/>
      <x:c r="AD1147"/>
    </x:row>
    <x:row r="1148">
      <x:c r="A1148" t="str">
        <x:v>PCC-PE-KG01-L23-20251020-PM-ORD-2025-00092-S05-C1</x:v>
      </x:c>
      <x:c r="B1148" t="str">
        <x:v>PC-PE-KG01-L23-20251020-PM-ORD-2025-00092-S05</x:v>
      </x:c>
      <x:c r="C1148" t="str">
        <x:v>PE-KG01-L23-20251020-PM-ORD-2025-00092</x:v>
      </x:c>
      <x:c r="D1148" t="str">
        <x:v>KG01</x:v>
      </x:c>
      <x:c r="E1148" s="62" t="n">
        <x:v>45950</x:v>
      </x:c>
      <x:c r="F1148" t="str">
        <x:v>PM</x:v>
      </x:c>
      <x:c r="G1148" t="str">
        <x:v>A</x:v>
      </x:c>
      <x:c r="H1148" t="n">
        <x:v>23</x:v>
      </x:c>
      <x:c r="I1148" t="str">
        <x:v>ORD-2025-00092</x:v>
      </x:c>
      <x:c r="J1148" t="n">
        <x:v>5</x:v>
      </x:c>
      <x:c r="K1148" t="n">
        <x:v>1</x:v>
      </x:c>
      <x:c r="L1148" t="str">
        <x:v>L23-S05-C1</x:v>
      </x:c>
      <x:c r="M1148" t="n">
        <x:v>1</x:v>
      </x:c>
      <x:c r="N1148" t="str">
        <x:v>DerivedFromCount</x:v>
      </x:c>
      <x:c r="O1148" t="str">
        <x:v>PLC-PRD-JAR-330-L23</x:v>
      </x:c>
      <x:c r="P1148" t="str">
        <x:v>OK</x:v>
      </x:c>
      <x:c r="Q1148" t="str">
        <x:v>OK</x:v>
      </x:c>
      <x:c r="R1148" t="str">
        <x:v>OK</x:v>
      </x:c>
      <x:c r="S1148" t="str">
        <x:v>OK</x:v>
      </x:c>
      <x:c r="T1148" t="n">
        <x:v>36</x:v>
      </x:c>
      <x:c r="U1148" t="str">
        <x:v>OK</x:v>
      </x:c>
      <x:c r="V1148" t="str">
        <x:v>OK</x:v>
      </x:c>
      <x:c r="W1148" t="str">
        <x:v>LOAD</x:v>
      </x:c>
      <x:c r="X1148" t="str">
        <x:v>02_Supervisor_Log(4).xlsx</x:v>
      </x:c>
      <x:c r="Y1148" t="str">
        <x:v>ENH-20260830-01</x:v>
      </x:c>
      <x:c r="Z1148" t="str">
        <x:v>Active</x:v>
      </x:c>
      <x:c r="AA1148"/>
      <x:c r="AB1148"/>
      <x:c r="AC1148"/>
      <x:c r="AD1148"/>
    </x:row>
    <x:row r="1149">
      <x:c r="A1149" t="str">
        <x:v>PCC-PE-KG01-L23-20251020-PM-ORD-2025-00092-S05-C2</x:v>
      </x:c>
      <x:c r="B1149" t="str">
        <x:v>PC-PE-KG01-L23-20251020-PM-ORD-2025-00092-S05</x:v>
      </x:c>
      <x:c r="C1149" t="str">
        <x:v>PE-KG01-L23-20251020-PM-ORD-2025-00092</x:v>
      </x:c>
      <x:c r="D1149" t="str">
        <x:v>KG01</x:v>
      </x:c>
      <x:c r="E1149" s="62" t="n">
        <x:v>45950</x:v>
      </x:c>
      <x:c r="F1149" t="str">
        <x:v>PM</x:v>
      </x:c>
      <x:c r="G1149" t="str">
        <x:v>A</x:v>
      </x:c>
      <x:c r="H1149" t="n">
        <x:v>23</x:v>
      </x:c>
      <x:c r="I1149" t="str">
        <x:v>ORD-2025-00092</x:v>
      </x:c>
      <x:c r="J1149" t="n">
        <x:v>5</x:v>
      </x:c>
      <x:c r="K1149" t="n">
        <x:v>2</x:v>
      </x:c>
      <x:c r="L1149" t="str">
        <x:v>L23-S05-C2</x:v>
      </x:c>
      <x:c r="M1149" t="n">
        <x:v>1</x:v>
      </x:c>
      <x:c r="N1149" t="str">
        <x:v>DerivedFromCount</x:v>
      </x:c>
      <x:c r="O1149" t="str">
        <x:v>PLC-PRD-JAR-330-L23</x:v>
      </x:c>
      <x:c r="P1149" t="str">
        <x:v>OK</x:v>
      </x:c>
      <x:c r="Q1149" t="str">
        <x:v>OK</x:v>
      </x:c>
      <x:c r="R1149" t="str">
        <x:v>OK</x:v>
      </x:c>
      <x:c r="S1149" t="str">
        <x:v>OK</x:v>
      </x:c>
      <x:c r="T1149" t="n">
        <x:v>36</x:v>
      </x:c>
      <x:c r="U1149" t="str">
        <x:v>OK</x:v>
      </x:c>
      <x:c r="V1149" t="str">
        <x:v>OK</x:v>
      </x:c>
      <x:c r="W1149" t="str">
        <x:v>LOAD</x:v>
      </x:c>
      <x:c r="X1149" t="str">
        <x:v>02_Supervisor_Log(4).xlsx</x:v>
      </x:c>
      <x:c r="Y1149" t="str">
        <x:v>ENH-20260830-01</x:v>
      </x:c>
      <x:c r="Z1149" t="str">
        <x:v>Active</x:v>
      </x:c>
      <x:c r="AA1149"/>
      <x:c r="AB1149"/>
      <x:c r="AC1149"/>
      <x:c r="AD1149"/>
    </x:row>
    <x:row r="1150">
      <x:c r="A1150" t="str">
        <x:v>PCC-PE-KG01-L23-20251020-PM-ORD-2025-00092-S05-C3</x:v>
      </x:c>
      <x:c r="B1150" t="str">
        <x:v>PC-PE-KG01-L23-20251020-PM-ORD-2025-00092-S05</x:v>
      </x:c>
      <x:c r="C1150" t="str">
        <x:v>PE-KG01-L23-20251020-PM-ORD-2025-00092</x:v>
      </x:c>
      <x:c r="D1150" t="str">
        <x:v>KG01</x:v>
      </x:c>
      <x:c r="E1150" s="62" t="n">
        <x:v>45950</x:v>
      </x:c>
      <x:c r="F1150" t="str">
        <x:v>PM</x:v>
      </x:c>
      <x:c r="G1150" t="str">
        <x:v>A</x:v>
      </x:c>
      <x:c r="H1150" t="n">
        <x:v>23</x:v>
      </x:c>
      <x:c r="I1150" t="str">
        <x:v>ORD-2025-00092</x:v>
      </x:c>
      <x:c r="J1150" t="n">
        <x:v>5</x:v>
      </x:c>
      <x:c r="K1150" t="n">
        <x:v>3</x:v>
      </x:c>
      <x:c r="L1150" t="str">
        <x:v>L23-S05-C3</x:v>
      </x:c>
      <x:c r="M1150" t="n">
        <x:v>1</x:v>
      </x:c>
      <x:c r="N1150" t="str">
        <x:v>DerivedFromCount</x:v>
      </x:c>
      <x:c r="O1150" t="str">
        <x:v>PLC-PRD-JAR-330-L23</x:v>
      </x:c>
      <x:c r="P1150" t="str">
        <x:v>OK</x:v>
      </x:c>
      <x:c r="Q1150" t="str">
        <x:v>OK</x:v>
      </x:c>
      <x:c r="R1150" t="str">
        <x:v>OK</x:v>
      </x:c>
      <x:c r="S1150" t="str">
        <x:v>OK</x:v>
      </x:c>
      <x:c r="T1150" t="n">
        <x:v>36</x:v>
      </x:c>
      <x:c r="U1150" t="str">
        <x:v>OK</x:v>
      </x:c>
      <x:c r="V1150" t="str">
        <x:v>OK</x:v>
      </x:c>
      <x:c r="W1150" t="str">
        <x:v>LOAD</x:v>
      </x:c>
      <x:c r="X1150" t="str">
        <x:v>02_Supervisor_Log(4).xlsx</x:v>
      </x:c>
      <x:c r="Y1150" t="str">
        <x:v>ENH-20260830-01</x:v>
      </x:c>
      <x:c r="Z1150" t="str">
        <x:v>Active</x:v>
      </x:c>
      <x:c r="AA1150"/>
      <x:c r="AB1150"/>
      <x:c r="AC1150"/>
      <x:c r="AD1150"/>
    </x:row>
    <x:row r="1151">
      <x:c r="A1151" t="str">
        <x:v>PCC-PE-KG01-L23-20251020-PM-ORD-2025-00092-S06-C1</x:v>
      </x:c>
      <x:c r="B1151" t="str">
        <x:v>PC-PE-KG01-L23-20251020-PM-ORD-2025-00092-S06</x:v>
      </x:c>
      <x:c r="C1151" t="str">
        <x:v>PE-KG01-L23-20251020-PM-ORD-2025-00092</x:v>
      </x:c>
      <x:c r="D1151" t="str">
        <x:v>KG01</x:v>
      </x:c>
      <x:c r="E1151" s="62" t="n">
        <x:v>45950</x:v>
      </x:c>
      <x:c r="F1151" t="str">
        <x:v>PM</x:v>
      </x:c>
      <x:c r="G1151" t="str">
        <x:v>A</x:v>
      </x:c>
      <x:c r="H1151" t="n">
        <x:v>23</x:v>
      </x:c>
      <x:c r="I1151" t="str">
        <x:v>ORD-2025-00092</x:v>
      </x:c>
      <x:c r="J1151" t="n">
        <x:v>6</x:v>
      </x:c>
      <x:c r="K1151" t="n">
        <x:v>1</x:v>
      </x:c>
      <x:c r="L1151" t="str">
        <x:v>L23-S06-C1</x:v>
      </x:c>
      <x:c r="M1151" t="n">
        <x:v>1</x:v>
      </x:c>
      <x:c r="N1151" t="str">
        <x:v>DerivedFromCount</x:v>
      </x:c>
      <x:c r="O1151" t="str">
        <x:v>PLC-PRD-JAR-330-L23</x:v>
      </x:c>
      <x:c r="P1151" t="str">
        <x:v>OK</x:v>
      </x:c>
      <x:c r="Q1151" t="str">
        <x:v>OK</x:v>
      </x:c>
      <x:c r="R1151" t="str">
        <x:v>OK</x:v>
      </x:c>
      <x:c r="S1151" t="str">
        <x:v>OK</x:v>
      </x:c>
      <x:c r="T1151" t="n">
        <x:v>36</x:v>
      </x:c>
      <x:c r="U1151" t="str">
        <x:v>OK</x:v>
      </x:c>
      <x:c r="V1151" t="str">
        <x:v>OK</x:v>
      </x:c>
      <x:c r="W1151" t="str">
        <x:v>LOAD</x:v>
      </x:c>
      <x:c r="X1151" t="str">
        <x:v>02_Supervisor_Log(4).xlsx</x:v>
      </x:c>
      <x:c r="Y1151" t="str">
        <x:v>ENH-20260830-01</x:v>
      </x:c>
      <x:c r="Z1151" t="str">
        <x:v>Active</x:v>
      </x:c>
      <x:c r="AA1151"/>
      <x:c r="AB1151"/>
      <x:c r="AC1151"/>
      <x:c r="AD1151"/>
    </x:row>
    <x:row r="1152">
      <x:c r="A1152" t="str">
        <x:v>PCC-PE-KG01-L23-20251020-PM-ORD-2025-00092-S06-C2</x:v>
      </x:c>
      <x:c r="B1152" t="str">
        <x:v>PC-PE-KG01-L23-20251020-PM-ORD-2025-00092-S06</x:v>
      </x:c>
      <x:c r="C1152" t="str">
        <x:v>PE-KG01-L23-20251020-PM-ORD-2025-00092</x:v>
      </x:c>
      <x:c r="D1152" t="str">
        <x:v>KG01</x:v>
      </x:c>
      <x:c r="E1152" s="62" t="n">
        <x:v>45950</x:v>
      </x:c>
      <x:c r="F1152" t="str">
        <x:v>PM</x:v>
      </x:c>
      <x:c r="G1152" t="str">
        <x:v>A</x:v>
      </x:c>
      <x:c r="H1152" t="n">
        <x:v>23</x:v>
      </x:c>
      <x:c r="I1152" t="str">
        <x:v>ORD-2025-00092</x:v>
      </x:c>
      <x:c r="J1152" t="n">
        <x:v>6</x:v>
      </x:c>
      <x:c r="K1152" t="n">
        <x:v>2</x:v>
      </x:c>
      <x:c r="L1152" t="str">
        <x:v>L23-S06-C2</x:v>
      </x:c>
      <x:c r="M1152" t="n">
        <x:v>1</x:v>
      </x:c>
      <x:c r="N1152" t="str">
        <x:v>DerivedFromCount</x:v>
      </x:c>
      <x:c r="O1152" t="str">
        <x:v>PLC-PRD-JAR-330-L23</x:v>
      </x:c>
      <x:c r="P1152" t="str">
        <x:v>OK</x:v>
      </x:c>
      <x:c r="Q1152" t="str">
        <x:v>OK</x:v>
      </x:c>
      <x:c r="R1152" t="str">
        <x:v>OK</x:v>
      </x:c>
      <x:c r="S1152" t="str">
        <x:v>OK</x:v>
      </x:c>
      <x:c r="T1152" t="n">
        <x:v>36</x:v>
      </x:c>
      <x:c r="U1152" t="str">
        <x:v>OK</x:v>
      </x:c>
      <x:c r="V1152" t="str">
        <x:v>OK</x:v>
      </x:c>
      <x:c r="W1152" t="str">
        <x:v>LOAD</x:v>
      </x:c>
      <x:c r="X1152" t="str">
        <x:v>02_Supervisor_Log(4).xlsx</x:v>
      </x:c>
      <x:c r="Y1152" t="str">
        <x:v>ENH-20260830-01</x:v>
      </x:c>
      <x:c r="Z1152" t="str">
        <x:v>Active</x:v>
      </x:c>
      <x:c r="AA1152"/>
      <x:c r="AB1152"/>
      <x:c r="AC1152"/>
      <x:c r="AD1152"/>
    </x:row>
    <x:row r="1153">
      <x:c r="A1153" t="str">
        <x:v>PCC-PE-KG01-L23-20251020-PM-ORD-2025-00092-S06-C3</x:v>
      </x:c>
      <x:c r="B1153" t="str">
        <x:v>PC-PE-KG01-L23-20251020-PM-ORD-2025-00092-S06</x:v>
      </x:c>
      <x:c r="C1153" t="str">
        <x:v>PE-KG01-L23-20251020-PM-ORD-2025-00092</x:v>
      </x:c>
      <x:c r="D1153" t="str">
        <x:v>KG01</x:v>
      </x:c>
      <x:c r="E1153" s="62" t="n">
        <x:v>45950</x:v>
      </x:c>
      <x:c r="F1153" t="str">
        <x:v>PM</x:v>
      </x:c>
      <x:c r="G1153" t="str">
        <x:v>A</x:v>
      </x:c>
      <x:c r="H1153" t="n">
        <x:v>23</x:v>
      </x:c>
      <x:c r="I1153" t="str">
        <x:v>ORD-2025-00092</x:v>
      </x:c>
      <x:c r="J1153" t="n">
        <x:v>6</x:v>
      </x:c>
      <x:c r="K1153" t="n">
        <x:v>3</x:v>
      </x:c>
      <x:c r="L1153" t="str">
        <x:v>L23-S06-C3</x:v>
      </x:c>
      <x:c r="M1153" t="n">
        <x:v>1</x:v>
      </x:c>
      <x:c r="N1153" t="str">
        <x:v>DerivedFromCount</x:v>
      </x:c>
      <x:c r="O1153" t="str">
        <x:v>PLC-PRD-JAR-330-L23</x:v>
      </x:c>
      <x:c r="P1153" t="str">
        <x:v>OK</x:v>
      </x:c>
      <x:c r="Q1153" t="str">
        <x:v>OK</x:v>
      </x:c>
      <x:c r="R1153" t="str">
        <x:v>OK</x:v>
      </x:c>
      <x:c r="S1153" t="str">
        <x:v>OK</x:v>
      </x:c>
      <x:c r="T1153" t="n">
        <x:v>36</x:v>
      </x:c>
      <x:c r="U1153" t="str">
        <x:v>OK</x:v>
      </x:c>
      <x:c r="V1153" t="str">
        <x:v>OK</x:v>
      </x:c>
      <x:c r="W1153" t="str">
        <x:v>LOAD</x:v>
      </x:c>
      <x:c r="X1153" t="str">
        <x:v>02_Supervisor_Log(4).xlsx</x:v>
      </x:c>
      <x:c r="Y1153" t="str">
        <x:v>ENH-20260830-01</x:v>
      </x:c>
      <x:c r="Z1153" t="str">
        <x:v>Active</x:v>
      </x:c>
      <x:c r="AA1153"/>
      <x:c r="AB1153"/>
      <x:c r="AC1153"/>
      <x:c r="AD1153"/>
    </x:row>
    <x:row r="1154">
      <x:c r="A1154" t="str">
        <x:v>PCC-PE-KG01-L23-20251020-PM-ORD-2025-00092-S07-C1</x:v>
      </x:c>
      <x:c r="B1154" t="str">
        <x:v>PC-PE-KG01-L23-20251020-PM-ORD-2025-00092-S07</x:v>
      </x:c>
      <x:c r="C1154" t="str">
        <x:v>PE-KG01-L23-20251020-PM-ORD-2025-00092</x:v>
      </x:c>
      <x:c r="D1154" t="str">
        <x:v>KG01</x:v>
      </x:c>
      <x:c r="E1154" s="62" t="n">
        <x:v>45950</x:v>
      </x:c>
      <x:c r="F1154" t="str">
        <x:v>PM</x:v>
      </x:c>
      <x:c r="G1154" t="str">
        <x:v>A</x:v>
      </x:c>
      <x:c r="H1154" t="n">
        <x:v>23</x:v>
      </x:c>
      <x:c r="I1154" t="str">
        <x:v>ORD-2025-00092</x:v>
      </x:c>
      <x:c r="J1154" t="n">
        <x:v>7</x:v>
      </x:c>
      <x:c r="K1154" t="n">
        <x:v>1</x:v>
      </x:c>
      <x:c r="L1154" t="str">
        <x:v>L23-S07-C1</x:v>
      </x:c>
      <x:c r="M1154" t="n">
        <x:v>1</x:v>
      </x:c>
      <x:c r="N1154" t="str">
        <x:v>DerivedFromCount</x:v>
      </x:c>
      <x:c r="O1154" t="str">
        <x:v>PLC-PRD-JAR-330-L23</x:v>
      </x:c>
      <x:c r="P1154" t="str">
        <x:v>OK</x:v>
      </x:c>
      <x:c r="Q1154" t="str">
        <x:v>OK</x:v>
      </x:c>
      <x:c r="R1154" t="str">
        <x:v>OK</x:v>
      </x:c>
      <x:c r="S1154" t="str">
        <x:v>OK</x:v>
      </x:c>
      <x:c r="T1154" t="n">
        <x:v>36</x:v>
      </x:c>
      <x:c r="U1154" t="str">
        <x:v>OK</x:v>
      </x:c>
      <x:c r="V1154" t="str">
        <x:v>OK</x:v>
      </x:c>
      <x:c r="W1154" t="str">
        <x:v>LOAD</x:v>
      </x:c>
      <x:c r="X1154" t="str">
        <x:v>02_Supervisor_Log(4).xlsx</x:v>
      </x:c>
      <x:c r="Y1154" t="str">
        <x:v>ENH-20260830-01</x:v>
      </x:c>
      <x:c r="Z1154" t="str">
        <x:v>Active</x:v>
      </x:c>
      <x:c r="AA1154"/>
      <x:c r="AB1154"/>
      <x:c r="AC1154"/>
      <x:c r="AD1154"/>
    </x:row>
    <x:row r="1155">
      <x:c r="A1155" t="str">
        <x:v>PCC-PE-KG01-L23-20251020-PM-ORD-2025-00092-S07-C2</x:v>
      </x:c>
      <x:c r="B1155" t="str">
        <x:v>PC-PE-KG01-L23-20251020-PM-ORD-2025-00092-S07</x:v>
      </x:c>
      <x:c r="C1155" t="str">
        <x:v>PE-KG01-L23-20251020-PM-ORD-2025-00092</x:v>
      </x:c>
      <x:c r="D1155" t="str">
        <x:v>KG01</x:v>
      </x:c>
      <x:c r="E1155" s="62" t="n">
        <x:v>45950</x:v>
      </x:c>
      <x:c r="F1155" t="str">
        <x:v>PM</x:v>
      </x:c>
      <x:c r="G1155" t="str">
        <x:v>A</x:v>
      </x:c>
      <x:c r="H1155" t="n">
        <x:v>23</x:v>
      </x:c>
      <x:c r="I1155" t="str">
        <x:v>ORD-2025-00092</x:v>
      </x:c>
      <x:c r="J1155" t="n">
        <x:v>7</x:v>
      </x:c>
      <x:c r="K1155" t="n">
        <x:v>2</x:v>
      </x:c>
      <x:c r="L1155" t="str">
        <x:v>L23-S07-C2</x:v>
      </x:c>
      <x:c r="M1155" t="n">
        <x:v>1</x:v>
      </x:c>
      <x:c r="N1155" t="str">
        <x:v>DerivedFromCount</x:v>
      </x:c>
      <x:c r="O1155" t="str">
        <x:v>PLC-PRD-JAR-330-L23</x:v>
      </x:c>
      <x:c r="P1155" t="str">
        <x:v>OK</x:v>
      </x:c>
      <x:c r="Q1155" t="str">
        <x:v>OK</x:v>
      </x:c>
      <x:c r="R1155" t="str">
        <x:v>OK</x:v>
      </x:c>
      <x:c r="S1155" t="str">
        <x:v>OK</x:v>
      </x:c>
      <x:c r="T1155" t="n">
        <x:v>36</x:v>
      </x:c>
      <x:c r="U1155" t="str">
        <x:v>OK</x:v>
      </x:c>
      <x:c r="V1155" t="str">
        <x:v>OK</x:v>
      </x:c>
      <x:c r="W1155" t="str">
        <x:v>LOAD</x:v>
      </x:c>
      <x:c r="X1155" t="str">
        <x:v>02_Supervisor_Log(4).xlsx</x:v>
      </x:c>
      <x:c r="Y1155" t="str">
        <x:v>ENH-20260830-01</x:v>
      </x:c>
      <x:c r="Z1155" t="str">
        <x:v>Active</x:v>
      </x:c>
      <x:c r="AA1155"/>
      <x:c r="AB1155"/>
      <x:c r="AC1155"/>
      <x:c r="AD1155"/>
    </x:row>
    <x:row r="1156">
      <x:c r="A1156" t="str">
        <x:v>PCC-PE-KG01-L23-20251020-PM-ORD-2025-00092-S07-C3</x:v>
      </x:c>
      <x:c r="B1156" t="str">
        <x:v>PC-PE-KG01-L23-20251020-PM-ORD-2025-00092-S07</x:v>
      </x:c>
      <x:c r="C1156" t="str">
        <x:v>PE-KG01-L23-20251020-PM-ORD-2025-00092</x:v>
      </x:c>
      <x:c r="D1156" t="str">
        <x:v>KG01</x:v>
      </x:c>
      <x:c r="E1156" s="62" t="n">
        <x:v>45950</x:v>
      </x:c>
      <x:c r="F1156" t="str">
        <x:v>PM</x:v>
      </x:c>
      <x:c r="G1156" t="str">
        <x:v>A</x:v>
      </x:c>
      <x:c r="H1156" t="n">
        <x:v>23</x:v>
      </x:c>
      <x:c r="I1156" t="str">
        <x:v>ORD-2025-00092</x:v>
      </x:c>
      <x:c r="J1156" t="n">
        <x:v>7</x:v>
      </x:c>
      <x:c r="K1156" t="n">
        <x:v>3</x:v>
      </x:c>
      <x:c r="L1156" t="str">
        <x:v>L23-S07-C3</x:v>
      </x:c>
      <x:c r="M1156" t="n">
        <x:v>1</x:v>
      </x:c>
      <x:c r="N1156" t="str">
        <x:v>DerivedFromCount</x:v>
      </x:c>
      <x:c r="O1156" t="str">
        <x:v>PLC-PRD-JAR-330-L23</x:v>
      </x:c>
      <x:c r="P1156" t="str">
        <x:v>OK</x:v>
      </x:c>
      <x:c r="Q1156" t="str">
        <x:v>OK</x:v>
      </x:c>
      <x:c r="R1156" t="str">
        <x:v>OK</x:v>
      </x:c>
      <x:c r="S1156" t="str">
        <x:v>OK</x:v>
      </x:c>
      <x:c r="T1156" t="n">
        <x:v>36</x:v>
      </x:c>
      <x:c r="U1156" t="str">
        <x:v>OK</x:v>
      </x:c>
      <x:c r="V1156" t="str">
        <x:v>OK</x:v>
      </x:c>
      <x:c r="W1156" t="str">
        <x:v>LOAD</x:v>
      </x:c>
      <x:c r="X1156" t="str">
        <x:v>02_Supervisor_Log(4).xlsx</x:v>
      </x:c>
      <x:c r="Y1156" t="str">
        <x:v>ENH-20260830-01</x:v>
      </x:c>
      <x:c r="Z1156" t="str">
        <x:v>Active</x:v>
      </x:c>
      <x:c r="AA1156"/>
      <x:c r="AB1156"/>
      <x:c r="AC1156"/>
      <x:c r="AD1156"/>
    </x:row>
    <x:row r="1157">
      <x:c r="A1157" t="str">
        <x:v>PCC-PE-KG01-L23-20251020-PM-ORD-2025-00092-S08-C1</x:v>
      </x:c>
      <x:c r="B1157" t="str">
        <x:v>PC-PE-KG01-L23-20251020-PM-ORD-2025-00092-S08</x:v>
      </x:c>
      <x:c r="C1157" t="str">
        <x:v>PE-KG01-L23-20251020-PM-ORD-2025-00092</x:v>
      </x:c>
      <x:c r="D1157" t="str">
        <x:v>KG01</x:v>
      </x:c>
      <x:c r="E1157" s="62" t="n">
        <x:v>45950</x:v>
      </x:c>
      <x:c r="F1157" t="str">
        <x:v>PM</x:v>
      </x:c>
      <x:c r="G1157" t="str">
        <x:v>A</x:v>
      </x:c>
      <x:c r="H1157" t="n">
        <x:v>23</x:v>
      </x:c>
      <x:c r="I1157" t="str">
        <x:v>ORD-2025-00092</x:v>
      </x:c>
      <x:c r="J1157" t="n">
        <x:v>8</x:v>
      </x:c>
      <x:c r="K1157" t="n">
        <x:v>1</x:v>
      </x:c>
      <x:c r="L1157" t="str">
        <x:v>L23-S08-C1</x:v>
      </x:c>
      <x:c r="M1157" t="n">
        <x:v>1</x:v>
      </x:c>
      <x:c r="N1157" t="str">
        <x:v>DerivedFromCount</x:v>
      </x:c>
      <x:c r="O1157" t="str">
        <x:v>PLC-PRD-JAR-330-L23</x:v>
      </x:c>
      <x:c r="P1157" t="str">
        <x:v>OK</x:v>
      </x:c>
      <x:c r="Q1157" t="str">
        <x:v>OK</x:v>
      </x:c>
      <x:c r="R1157" t="str">
        <x:v>OK</x:v>
      </x:c>
      <x:c r="S1157" t="str">
        <x:v>OK</x:v>
      </x:c>
      <x:c r="T1157" t="n">
        <x:v>36</x:v>
      </x:c>
      <x:c r="U1157" t="str">
        <x:v>OK</x:v>
      </x:c>
      <x:c r="V1157" t="str">
        <x:v>OK</x:v>
      </x:c>
      <x:c r="W1157" t="str">
        <x:v>LOAD</x:v>
      </x:c>
      <x:c r="X1157" t="str">
        <x:v>02_Supervisor_Log(4).xlsx</x:v>
      </x:c>
      <x:c r="Y1157" t="str">
        <x:v>ENH-20260830-01</x:v>
      </x:c>
      <x:c r="Z1157" t="str">
        <x:v>Active</x:v>
      </x:c>
      <x:c r="AA1157"/>
      <x:c r="AB1157"/>
      <x:c r="AC1157"/>
      <x:c r="AD1157"/>
    </x:row>
    <x:row r="1158">
      <x:c r="A1158" t="str">
        <x:v>PCC-PE-KG01-L23-20251020-PM-ORD-2025-00092-S08-C2</x:v>
      </x:c>
      <x:c r="B1158" t="str">
        <x:v>PC-PE-KG01-L23-20251020-PM-ORD-2025-00092-S08</x:v>
      </x:c>
      <x:c r="C1158" t="str">
        <x:v>PE-KG01-L23-20251020-PM-ORD-2025-00092</x:v>
      </x:c>
      <x:c r="D1158" t="str">
        <x:v>KG01</x:v>
      </x:c>
      <x:c r="E1158" s="62" t="n">
        <x:v>45950</x:v>
      </x:c>
      <x:c r="F1158" t="str">
        <x:v>PM</x:v>
      </x:c>
      <x:c r="G1158" t="str">
        <x:v>A</x:v>
      </x:c>
      <x:c r="H1158" t="n">
        <x:v>23</x:v>
      </x:c>
      <x:c r="I1158" t="str">
        <x:v>ORD-2025-00092</x:v>
      </x:c>
      <x:c r="J1158" t="n">
        <x:v>8</x:v>
      </x:c>
      <x:c r="K1158" t="n">
        <x:v>2</x:v>
      </x:c>
      <x:c r="L1158" t="str">
        <x:v>L23-S08-C2</x:v>
      </x:c>
      <x:c r="M1158" t="n">
        <x:v>1</x:v>
      </x:c>
      <x:c r="N1158" t="str">
        <x:v>DerivedFromCount</x:v>
      </x:c>
      <x:c r="O1158" t="str">
        <x:v>PLC-PRD-JAR-330-L23</x:v>
      </x:c>
      <x:c r="P1158" t="str">
        <x:v>OK</x:v>
      </x:c>
      <x:c r="Q1158" t="str">
        <x:v>OK</x:v>
      </x:c>
      <x:c r="R1158" t="str">
        <x:v>OK</x:v>
      </x:c>
      <x:c r="S1158" t="str">
        <x:v>OK</x:v>
      </x:c>
      <x:c r="T1158" t="n">
        <x:v>36</x:v>
      </x:c>
      <x:c r="U1158" t="str">
        <x:v>OK</x:v>
      </x:c>
      <x:c r="V1158" t="str">
        <x:v>OK</x:v>
      </x:c>
      <x:c r="W1158" t="str">
        <x:v>LOAD</x:v>
      </x:c>
      <x:c r="X1158" t="str">
        <x:v>02_Supervisor_Log(4).xlsx</x:v>
      </x:c>
      <x:c r="Y1158" t="str">
        <x:v>ENH-20260830-01</x:v>
      </x:c>
      <x:c r="Z1158" t="str">
        <x:v>Active</x:v>
      </x:c>
      <x:c r="AA1158"/>
      <x:c r="AB1158"/>
      <x:c r="AC1158"/>
      <x:c r="AD1158"/>
    </x:row>
    <x:row r="1159">
      <x:c r="A1159" t="str">
        <x:v>PCC-PE-KG01-L23-20251020-PM-ORD-2025-00092-S08-C3</x:v>
      </x:c>
      <x:c r="B1159" t="str">
        <x:v>PC-PE-KG01-L23-20251020-PM-ORD-2025-00092-S08</x:v>
      </x:c>
      <x:c r="C1159" t="str">
        <x:v>PE-KG01-L23-20251020-PM-ORD-2025-00092</x:v>
      </x:c>
      <x:c r="D1159" t="str">
        <x:v>KG01</x:v>
      </x:c>
      <x:c r="E1159" s="62" t="n">
        <x:v>45950</x:v>
      </x:c>
      <x:c r="F1159" t="str">
        <x:v>PM</x:v>
      </x:c>
      <x:c r="G1159" t="str">
        <x:v>A</x:v>
      </x:c>
      <x:c r="H1159" t="n">
        <x:v>23</x:v>
      </x:c>
      <x:c r="I1159" t="str">
        <x:v>ORD-2025-00092</x:v>
      </x:c>
      <x:c r="J1159" t="n">
        <x:v>8</x:v>
      </x:c>
      <x:c r="K1159" t="n">
        <x:v>3</x:v>
      </x:c>
      <x:c r="L1159" t="str">
        <x:v>L23-S08-C3</x:v>
      </x:c>
      <x:c r="M1159" t="n">
        <x:v>1</x:v>
      </x:c>
      <x:c r="N1159" t="str">
        <x:v>DerivedFromCount</x:v>
      </x:c>
      <x:c r="O1159" t="str">
        <x:v>PLC-PRD-JAR-330-L23</x:v>
      </x:c>
      <x:c r="P1159" t="str">
        <x:v>OK</x:v>
      </x:c>
      <x:c r="Q1159" t="str">
        <x:v>OK</x:v>
      </x:c>
      <x:c r="R1159" t="str">
        <x:v>OK</x:v>
      </x:c>
      <x:c r="S1159" t="str">
        <x:v>OK</x:v>
      </x:c>
      <x:c r="T1159" t="n">
        <x:v>36</x:v>
      </x:c>
      <x:c r="U1159" t="str">
        <x:v>OK</x:v>
      </x:c>
      <x:c r="V1159" t="str">
        <x:v>OK</x:v>
      </x:c>
      <x:c r="W1159" t="str">
        <x:v>LOAD</x:v>
      </x:c>
      <x:c r="X1159" t="str">
        <x:v>02_Supervisor_Log(4).xlsx</x:v>
      </x:c>
      <x:c r="Y1159" t="str">
        <x:v>ENH-20260830-01</x:v>
      </x:c>
      <x:c r="Z1159" t="str">
        <x:v>Active</x:v>
      </x:c>
      <x:c r="AA1159"/>
      <x:c r="AB1159"/>
      <x:c r="AC1159"/>
      <x:c r="AD1159"/>
    </x:row>
    <x:row r="1160">
      <x:c r="A1160" t="str">
        <x:v>PCC-PE-KG01-L23-20251020-PM-ORD-2025-00092-S09-C1</x:v>
      </x:c>
      <x:c r="B1160" t="str">
        <x:v>PC-PE-KG01-L23-20251020-PM-ORD-2025-00092-S09</x:v>
      </x:c>
      <x:c r="C1160" t="str">
        <x:v>PE-KG01-L23-20251020-PM-ORD-2025-00092</x:v>
      </x:c>
      <x:c r="D1160" t="str">
        <x:v>KG01</x:v>
      </x:c>
      <x:c r="E1160" s="62" t="n">
        <x:v>45950</x:v>
      </x:c>
      <x:c r="F1160" t="str">
        <x:v>PM</x:v>
      </x:c>
      <x:c r="G1160" t="str">
        <x:v>A</x:v>
      </x:c>
      <x:c r="H1160" t="n">
        <x:v>23</x:v>
      </x:c>
      <x:c r="I1160" t="str">
        <x:v>ORD-2025-00092</x:v>
      </x:c>
      <x:c r="J1160" t="n">
        <x:v>9</x:v>
      </x:c>
      <x:c r="K1160" t="n">
        <x:v>1</x:v>
      </x:c>
      <x:c r="L1160" t="str">
        <x:v>L23-S09-C1</x:v>
      </x:c>
      <x:c r="M1160" t="n">
        <x:v>1</x:v>
      </x:c>
      <x:c r="N1160" t="str">
        <x:v>DerivedFromCount</x:v>
      </x:c>
      <x:c r="O1160" t="str">
        <x:v>PLC-PRD-JAR-330-L23</x:v>
      </x:c>
      <x:c r="P1160" t="str">
        <x:v>OK</x:v>
      </x:c>
      <x:c r="Q1160" t="str">
        <x:v>OK</x:v>
      </x:c>
      <x:c r="R1160" t="str">
        <x:v>OK</x:v>
      </x:c>
      <x:c r="S1160" t="str">
        <x:v>OK</x:v>
      </x:c>
      <x:c r="T1160" t="n">
        <x:v>36</x:v>
      </x:c>
      <x:c r="U1160" t="str">
        <x:v>OK</x:v>
      </x:c>
      <x:c r="V1160" t="str">
        <x:v>OK</x:v>
      </x:c>
      <x:c r="W1160" t="str">
        <x:v>LOAD</x:v>
      </x:c>
      <x:c r="X1160" t="str">
        <x:v>02_Supervisor_Log(4).xlsx</x:v>
      </x:c>
      <x:c r="Y1160" t="str">
        <x:v>ENH-20260830-01</x:v>
      </x:c>
      <x:c r="Z1160" t="str">
        <x:v>Active</x:v>
      </x:c>
      <x:c r="AA1160"/>
      <x:c r="AB1160"/>
      <x:c r="AC1160"/>
      <x:c r="AD1160"/>
    </x:row>
    <x:row r="1161">
      <x:c r="A1161" t="str">
        <x:v>PCC-PE-KG01-L23-20251020-PM-ORD-2025-00092-S09-C2</x:v>
      </x:c>
      <x:c r="B1161" t="str">
        <x:v>PC-PE-KG01-L23-20251020-PM-ORD-2025-00092-S09</x:v>
      </x:c>
      <x:c r="C1161" t="str">
        <x:v>PE-KG01-L23-20251020-PM-ORD-2025-00092</x:v>
      </x:c>
      <x:c r="D1161" t="str">
        <x:v>KG01</x:v>
      </x:c>
      <x:c r="E1161" s="62" t="n">
        <x:v>45950</x:v>
      </x:c>
      <x:c r="F1161" t="str">
        <x:v>PM</x:v>
      </x:c>
      <x:c r="G1161" t="str">
        <x:v>A</x:v>
      </x:c>
      <x:c r="H1161" t="n">
        <x:v>23</x:v>
      </x:c>
      <x:c r="I1161" t="str">
        <x:v>ORD-2025-00092</x:v>
      </x:c>
      <x:c r="J1161" t="n">
        <x:v>9</x:v>
      </x:c>
      <x:c r="K1161" t="n">
        <x:v>2</x:v>
      </x:c>
      <x:c r="L1161" t="str">
        <x:v>L23-S09-C2</x:v>
      </x:c>
      <x:c r="M1161" t="n">
        <x:v>1</x:v>
      </x:c>
      <x:c r="N1161" t="str">
        <x:v>DerivedFromCount</x:v>
      </x:c>
      <x:c r="O1161" t="str">
        <x:v>PLC-PRD-JAR-330-L23</x:v>
      </x:c>
      <x:c r="P1161" t="str">
        <x:v>OK</x:v>
      </x:c>
      <x:c r="Q1161" t="str">
        <x:v>OK</x:v>
      </x:c>
      <x:c r="R1161" t="str">
        <x:v>OK</x:v>
      </x:c>
      <x:c r="S1161" t="str">
        <x:v>OK</x:v>
      </x:c>
      <x:c r="T1161" t="n">
        <x:v>36</x:v>
      </x:c>
      <x:c r="U1161" t="str">
        <x:v>OK</x:v>
      </x:c>
      <x:c r="V1161" t="str">
        <x:v>OK</x:v>
      </x:c>
      <x:c r="W1161" t="str">
        <x:v>LOAD</x:v>
      </x:c>
      <x:c r="X1161" t="str">
        <x:v>02_Supervisor_Log(4).xlsx</x:v>
      </x:c>
      <x:c r="Y1161" t="str">
        <x:v>ENH-20260830-01</x:v>
      </x:c>
      <x:c r="Z1161" t="str">
        <x:v>Active</x:v>
      </x:c>
      <x:c r="AA1161"/>
      <x:c r="AB1161"/>
      <x:c r="AC1161"/>
      <x:c r="AD1161"/>
    </x:row>
    <x:row r="1162">
      <x:c r="A1162" t="str">
        <x:v>PCC-PE-KG01-L23-20251020-PM-ORD-2025-00092-S09-C3</x:v>
      </x:c>
      <x:c r="B1162" t="str">
        <x:v>PC-PE-KG01-L23-20251020-PM-ORD-2025-00092-S09</x:v>
      </x:c>
      <x:c r="C1162" t="str">
        <x:v>PE-KG01-L23-20251020-PM-ORD-2025-00092</x:v>
      </x:c>
      <x:c r="D1162" t="str">
        <x:v>KG01</x:v>
      </x:c>
      <x:c r="E1162" s="62" t="n">
        <x:v>45950</x:v>
      </x:c>
      <x:c r="F1162" t="str">
        <x:v>PM</x:v>
      </x:c>
      <x:c r="G1162" t="str">
        <x:v>A</x:v>
      </x:c>
      <x:c r="H1162" t="n">
        <x:v>23</x:v>
      </x:c>
      <x:c r="I1162" t="str">
        <x:v>ORD-2025-00092</x:v>
      </x:c>
      <x:c r="J1162" t="n">
        <x:v>9</x:v>
      </x:c>
      <x:c r="K1162" t="n">
        <x:v>3</x:v>
      </x:c>
      <x:c r="L1162" t="str">
        <x:v>L23-S09-C3</x:v>
      </x:c>
      <x:c r="M1162" t="n">
        <x:v>1</x:v>
      </x:c>
      <x:c r="N1162" t="str">
        <x:v>DerivedFromCount</x:v>
      </x:c>
      <x:c r="O1162" t="str">
        <x:v>PLC-PRD-JAR-330-L23</x:v>
      </x:c>
      <x:c r="P1162" t="str">
        <x:v>OK</x:v>
      </x:c>
      <x:c r="Q1162" t="str">
        <x:v>OK</x:v>
      </x:c>
      <x:c r="R1162" t="str">
        <x:v>OK</x:v>
      </x:c>
      <x:c r="S1162" t="str">
        <x:v>OK</x:v>
      </x:c>
      <x:c r="T1162" t="n">
        <x:v>36</x:v>
      </x:c>
      <x:c r="U1162" t="str">
        <x:v>OK</x:v>
      </x:c>
      <x:c r="V1162" t="str">
        <x:v>OK</x:v>
      </x:c>
      <x:c r="W1162" t="str">
        <x:v>LOAD</x:v>
      </x:c>
      <x:c r="X1162" t="str">
        <x:v>02_Supervisor_Log(4).xlsx</x:v>
      </x:c>
      <x:c r="Y1162" t="str">
        <x:v>ENH-20260830-01</x:v>
      </x:c>
      <x:c r="Z1162" t="str">
        <x:v>Active</x:v>
      </x:c>
      <x:c r="AA1162"/>
      <x:c r="AB1162"/>
      <x:c r="AC1162"/>
      <x:c r="AD1162"/>
    </x:row>
    <x:row r="1163">
      <x:c r="A1163" t="str">
        <x:v>PCC-PE-KG01-L23-20251020-PM-ORD-2025-00092-S10-C1</x:v>
      </x:c>
      <x:c r="B1163" t="str">
        <x:v>PC-PE-KG01-L23-20251020-PM-ORD-2025-00092-S10</x:v>
      </x:c>
      <x:c r="C1163" t="str">
        <x:v>PE-KG01-L23-20251020-PM-ORD-2025-00092</x:v>
      </x:c>
      <x:c r="D1163" t="str">
        <x:v>KG01</x:v>
      </x:c>
      <x:c r="E1163" s="62" t="n">
        <x:v>45950</x:v>
      </x:c>
      <x:c r="F1163" t="str">
        <x:v>PM</x:v>
      </x:c>
      <x:c r="G1163" t="str">
        <x:v>A</x:v>
      </x:c>
      <x:c r="H1163" t="n">
        <x:v>23</x:v>
      </x:c>
      <x:c r="I1163" t="str">
        <x:v>ORD-2025-00092</x:v>
      </x:c>
      <x:c r="J1163" t="n">
        <x:v>10</x:v>
      </x:c>
      <x:c r="K1163" t="n">
        <x:v>1</x:v>
      </x:c>
      <x:c r="L1163" t="str">
        <x:v>L23-S10-C1</x:v>
      </x:c>
      <x:c r="M1163" t="n">
        <x:v>1</x:v>
      </x:c>
      <x:c r="N1163" t="str">
        <x:v>DerivedFromCount</x:v>
      </x:c>
      <x:c r="O1163" t="str">
        <x:v>PLC-PRD-JAR-330-L23</x:v>
      </x:c>
      <x:c r="P1163" t="str">
        <x:v>OK</x:v>
      </x:c>
      <x:c r="Q1163" t="str">
        <x:v>OK</x:v>
      </x:c>
      <x:c r="R1163" t="str">
        <x:v>OK</x:v>
      </x:c>
      <x:c r="S1163" t="str">
        <x:v>OK</x:v>
      </x:c>
      <x:c r="T1163" t="n">
        <x:v>36</x:v>
      </x:c>
      <x:c r="U1163" t="str">
        <x:v>OK</x:v>
      </x:c>
      <x:c r="V1163" t="str">
        <x:v>OK</x:v>
      </x:c>
      <x:c r="W1163" t="str">
        <x:v>LOAD</x:v>
      </x:c>
      <x:c r="X1163" t="str">
        <x:v>02_Supervisor_Log(4).xlsx</x:v>
      </x:c>
      <x:c r="Y1163" t="str">
        <x:v>ENH-20260830-01</x:v>
      </x:c>
      <x:c r="Z1163" t="str">
        <x:v>Active</x:v>
      </x:c>
      <x:c r="AA1163"/>
      <x:c r="AB1163"/>
      <x:c r="AC1163"/>
      <x:c r="AD1163"/>
    </x:row>
    <x:row r="1164">
      <x:c r="A1164" t="str">
        <x:v>PCC-PE-KG01-L23-20251020-PM-ORD-2025-00092-S10-C2</x:v>
      </x:c>
      <x:c r="B1164" t="str">
        <x:v>PC-PE-KG01-L23-20251020-PM-ORD-2025-00092-S10</x:v>
      </x:c>
      <x:c r="C1164" t="str">
        <x:v>PE-KG01-L23-20251020-PM-ORD-2025-00092</x:v>
      </x:c>
      <x:c r="D1164" t="str">
        <x:v>KG01</x:v>
      </x:c>
      <x:c r="E1164" s="62" t="n">
        <x:v>45950</x:v>
      </x:c>
      <x:c r="F1164" t="str">
        <x:v>PM</x:v>
      </x:c>
      <x:c r="G1164" t="str">
        <x:v>A</x:v>
      </x:c>
      <x:c r="H1164" t="n">
        <x:v>23</x:v>
      </x:c>
      <x:c r="I1164" t="str">
        <x:v>ORD-2025-00092</x:v>
      </x:c>
      <x:c r="J1164" t="n">
        <x:v>10</x:v>
      </x:c>
      <x:c r="K1164" t="n">
        <x:v>2</x:v>
      </x:c>
      <x:c r="L1164" t="str">
        <x:v>L23-S10-C2</x:v>
      </x:c>
      <x:c r="M1164" t="n">
        <x:v>1</x:v>
      </x:c>
      <x:c r="N1164" t="str">
        <x:v>DerivedFromCount</x:v>
      </x:c>
      <x:c r="O1164" t="str">
        <x:v>PLC-PRD-JAR-330-L23</x:v>
      </x:c>
      <x:c r="P1164" t="str">
        <x:v>OK</x:v>
      </x:c>
      <x:c r="Q1164" t="str">
        <x:v>OK</x:v>
      </x:c>
      <x:c r="R1164" t="str">
        <x:v>OK</x:v>
      </x:c>
      <x:c r="S1164" t="str">
        <x:v>OK</x:v>
      </x:c>
      <x:c r="T1164" t="n">
        <x:v>36</x:v>
      </x:c>
      <x:c r="U1164" t="str">
        <x:v>OK</x:v>
      </x:c>
      <x:c r="V1164" t="str">
        <x:v>OK</x:v>
      </x:c>
      <x:c r="W1164" t="str">
        <x:v>LOAD</x:v>
      </x:c>
      <x:c r="X1164" t="str">
        <x:v>02_Supervisor_Log(4).xlsx</x:v>
      </x:c>
      <x:c r="Y1164" t="str">
        <x:v>ENH-20260830-01</x:v>
      </x:c>
      <x:c r="Z1164" t="str">
        <x:v>Active</x:v>
      </x:c>
      <x:c r="AA1164"/>
      <x:c r="AB1164"/>
      <x:c r="AC1164"/>
      <x:c r="AD1164"/>
    </x:row>
    <x:row r="1165">
      <x:c r="A1165" t="str">
        <x:v>PCC-PE-KG01-L23-20251020-PM-ORD-2025-00092-S10-C3</x:v>
      </x:c>
      <x:c r="B1165" t="str">
        <x:v>PC-PE-KG01-L23-20251020-PM-ORD-2025-00092-S10</x:v>
      </x:c>
      <x:c r="C1165" t="str">
        <x:v>PE-KG01-L23-20251020-PM-ORD-2025-00092</x:v>
      </x:c>
      <x:c r="D1165" t="str">
        <x:v>KG01</x:v>
      </x:c>
      <x:c r="E1165" s="62" t="n">
        <x:v>45950</x:v>
      </x:c>
      <x:c r="F1165" t="str">
        <x:v>PM</x:v>
      </x:c>
      <x:c r="G1165" t="str">
        <x:v>A</x:v>
      </x:c>
      <x:c r="H1165" t="n">
        <x:v>23</x:v>
      </x:c>
      <x:c r="I1165" t="str">
        <x:v>ORD-2025-00092</x:v>
      </x:c>
      <x:c r="J1165" t="n">
        <x:v>10</x:v>
      </x:c>
      <x:c r="K1165" t="n">
        <x:v>3</x:v>
      </x:c>
      <x:c r="L1165" t="str">
        <x:v>L23-S10-C3</x:v>
      </x:c>
      <x:c r="M1165" t="n">
        <x:v>1</x:v>
      </x:c>
      <x:c r="N1165" t="str">
        <x:v>DerivedFromCount</x:v>
      </x:c>
      <x:c r="O1165" t="str">
        <x:v>PLC-PRD-JAR-330-L23</x:v>
      </x:c>
      <x:c r="P1165" t="str">
        <x:v>OK</x:v>
      </x:c>
      <x:c r="Q1165" t="str">
        <x:v>OK</x:v>
      </x:c>
      <x:c r="R1165" t="str">
        <x:v>OK</x:v>
      </x:c>
      <x:c r="S1165" t="str">
        <x:v>OK</x:v>
      </x:c>
      <x:c r="T1165" t="n">
        <x:v>36</x:v>
      </x:c>
      <x:c r="U1165" t="str">
        <x:v>OK</x:v>
      </x:c>
      <x:c r="V1165" t="str">
        <x:v>OK</x:v>
      </x:c>
      <x:c r="W1165" t="str">
        <x:v>LOAD</x:v>
      </x:c>
      <x:c r="X1165" t="str">
        <x:v>02_Supervisor_Log(4).xlsx</x:v>
      </x:c>
      <x:c r="Y1165" t="str">
        <x:v>ENH-20260830-01</x:v>
      </x:c>
      <x:c r="Z1165" t="str">
        <x:v>Active</x:v>
      </x:c>
      <x:c r="AA1165"/>
      <x:c r="AB1165"/>
      <x:c r="AC1165"/>
      <x:c r="AD1165"/>
    </x:row>
    <x:row r="1166">
      <x:c r="A1166" t="str">
        <x:v>PCC-PE-KG01-L23-20251020-PM-ORD-2025-00092-S11-C1</x:v>
      </x:c>
      <x:c r="B1166" t="str">
        <x:v>PC-PE-KG01-L23-20251020-PM-ORD-2025-00092-S11</x:v>
      </x:c>
      <x:c r="C1166" t="str">
        <x:v>PE-KG01-L23-20251020-PM-ORD-2025-00092</x:v>
      </x:c>
      <x:c r="D1166" t="str">
        <x:v>KG01</x:v>
      </x:c>
      <x:c r="E1166" s="62" t="n">
        <x:v>45950</x:v>
      </x:c>
      <x:c r="F1166" t="str">
        <x:v>PM</x:v>
      </x:c>
      <x:c r="G1166" t="str">
        <x:v>A</x:v>
      </x:c>
      <x:c r="H1166" t="n">
        <x:v>23</x:v>
      </x:c>
      <x:c r="I1166" t="str">
        <x:v>ORD-2025-00092</x:v>
      </x:c>
      <x:c r="J1166" t="n">
        <x:v>11</x:v>
      </x:c>
      <x:c r="K1166" t="n">
        <x:v>1</x:v>
      </x:c>
      <x:c r="L1166" t="str">
        <x:v>L23-S11-C1</x:v>
      </x:c>
      <x:c r="M1166" t="n">
        <x:v>1</x:v>
      </x:c>
      <x:c r="N1166" t="str">
        <x:v>DerivedFromCount</x:v>
      </x:c>
      <x:c r="O1166" t="str">
        <x:v>PLC-PRD-JAR-330-L23</x:v>
      </x:c>
      <x:c r="P1166" t="str">
        <x:v>OK</x:v>
      </x:c>
      <x:c r="Q1166" t="str">
        <x:v>OK</x:v>
      </x:c>
      <x:c r="R1166" t="str">
        <x:v>OK</x:v>
      </x:c>
      <x:c r="S1166" t="str">
        <x:v>OK</x:v>
      </x:c>
      <x:c r="T1166" t="n">
        <x:v>36</x:v>
      </x:c>
      <x:c r="U1166" t="str">
        <x:v>OK</x:v>
      </x:c>
      <x:c r="V1166" t="str">
        <x:v>OK</x:v>
      </x:c>
      <x:c r="W1166" t="str">
        <x:v>LOAD</x:v>
      </x:c>
      <x:c r="X1166" t="str">
        <x:v>02_Supervisor_Log(4).xlsx</x:v>
      </x:c>
      <x:c r="Y1166" t="str">
        <x:v>ENH-20260830-01</x:v>
      </x:c>
      <x:c r="Z1166" t="str">
        <x:v>Active</x:v>
      </x:c>
      <x:c r="AA1166"/>
      <x:c r="AB1166"/>
      <x:c r="AC1166"/>
      <x:c r="AD1166"/>
    </x:row>
    <x:row r="1167">
      <x:c r="A1167" t="str">
        <x:v>PCC-PE-KG01-L23-20251020-PM-ORD-2025-00092-S11-C2</x:v>
      </x:c>
      <x:c r="B1167" t="str">
        <x:v>PC-PE-KG01-L23-20251020-PM-ORD-2025-00092-S11</x:v>
      </x:c>
      <x:c r="C1167" t="str">
        <x:v>PE-KG01-L23-20251020-PM-ORD-2025-00092</x:v>
      </x:c>
      <x:c r="D1167" t="str">
        <x:v>KG01</x:v>
      </x:c>
      <x:c r="E1167" s="62" t="n">
        <x:v>45950</x:v>
      </x:c>
      <x:c r="F1167" t="str">
        <x:v>PM</x:v>
      </x:c>
      <x:c r="G1167" t="str">
        <x:v>A</x:v>
      </x:c>
      <x:c r="H1167" t="n">
        <x:v>23</x:v>
      </x:c>
      <x:c r="I1167" t="str">
        <x:v>ORD-2025-00092</x:v>
      </x:c>
      <x:c r="J1167" t="n">
        <x:v>11</x:v>
      </x:c>
      <x:c r="K1167" t="n">
        <x:v>2</x:v>
      </x:c>
      <x:c r="L1167" t="str">
        <x:v>L23-S11-C2</x:v>
      </x:c>
      <x:c r="M1167" t="n">
        <x:v>1</x:v>
      </x:c>
      <x:c r="N1167" t="str">
        <x:v>DerivedFromCount</x:v>
      </x:c>
      <x:c r="O1167" t="str">
        <x:v>PLC-PRD-JAR-330-L23</x:v>
      </x:c>
      <x:c r="P1167" t="str">
        <x:v>OK</x:v>
      </x:c>
      <x:c r="Q1167" t="str">
        <x:v>OK</x:v>
      </x:c>
      <x:c r="R1167" t="str">
        <x:v>OK</x:v>
      </x:c>
      <x:c r="S1167" t="str">
        <x:v>OK</x:v>
      </x:c>
      <x:c r="T1167" t="n">
        <x:v>36</x:v>
      </x:c>
      <x:c r="U1167" t="str">
        <x:v>OK</x:v>
      </x:c>
      <x:c r="V1167" t="str">
        <x:v>OK</x:v>
      </x:c>
      <x:c r="W1167" t="str">
        <x:v>LOAD</x:v>
      </x:c>
      <x:c r="X1167" t="str">
        <x:v>02_Supervisor_Log(4).xlsx</x:v>
      </x:c>
      <x:c r="Y1167" t="str">
        <x:v>ENH-20260830-01</x:v>
      </x:c>
      <x:c r="Z1167" t="str">
        <x:v>Active</x:v>
      </x:c>
      <x:c r="AA1167"/>
      <x:c r="AB1167"/>
      <x:c r="AC1167"/>
      <x:c r="AD1167"/>
    </x:row>
    <x:row r="1168">
      <x:c r="A1168" t="str">
        <x:v>PCC-PE-KG01-L23-20251020-PM-ORD-2025-00092-S11-C3</x:v>
      </x:c>
      <x:c r="B1168" t="str">
        <x:v>PC-PE-KG01-L23-20251020-PM-ORD-2025-00092-S11</x:v>
      </x:c>
      <x:c r="C1168" t="str">
        <x:v>PE-KG01-L23-20251020-PM-ORD-2025-00092</x:v>
      </x:c>
      <x:c r="D1168" t="str">
        <x:v>KG01</x:v>
      </x:c>
      <x:c r="E1168" s="62" t="n">
        <x:v>45950</x:v>
      </x:c>
      <x:c r="F1168" t="str">
        <x:v>PM</x:v>
      </x:c>
      <x:c r="G1168" t="str">
        <x:v>A</x:v>
      </x:c>
      <x:c r="H1168" t="n">
        <x:v>23</x:v>
      </x:c>
      <x:c r="I1168" t="str">
        <x:v>ORD-2025-00092</x:v>
      </x:c>
      <x:c r="J1168" t="n">
        <x:v>11</x:v>
      </x:c>
      <x:c r="K1168" t="n">
        <x:v>3</x:v>
      </x:c>
      <x:c r="L1168" t="str">
        <x:v>L23-S11-C3</x:v>
      </x:c>
      <x:c r="M1168" t="n">
        <x:v>1</x:v>
      </x:c>
      <x:c r="N1168" t="str">
        <x:v>DerivedFromCount</x:v>
      </x:c>
      <x:c r="O1168" t="str">
        <x:v>PLC-PRD-JAR-330-L23</x:v>
      </x:c>
      <x:c r="P1168" t="str">
        <x:v>OK</x:v>
      </x:c>
      <x:c r="Q1168" t="str">
        <x:v>OK</x:v>
      </x:c>
      <x:c r="R1168" t="str">
        <x:v>OK</x:v>
      </x:c>
      <x:c r="S1168" t="str">
        <x:v>OK</x:v>
      </x:c>
      <x:c r="T1168" t="n">
        <x:v>36</x:v>
      </x:c>
      <x:c r="U1168" t="str">
        <x:v>OK</x:v>
      </x:c>
      <x:c r="V1168" t="str">
        <x:v>OK</x:v>
      </x:c>
      <x:c r="W1168" t="str">
        <x:v>LOAD</x:v>
      </x:c>
      <x:c r="X1168" t="str">
        <x:v>02_Supervisor_Log(4).xlsx</x:v>
      </x:c>
      <x:c r="Y1168" t="str">
        <x:v>ENH-20260830-01</x:v>
      </x:c>
      <x:c r="Z1168" t="str">
        <x:v>Active</x:v>
      </x:c>
      <x:c r="AA1168"/>
      <x:c r="AB1168"/>
      <x:c r="AC1168"/>
      <x:c r="AD1168"/>
    </x:row>
    <x:row r="1169">
      <x:c r="A1169" t="str">
        <x:v>PCC-PE-KG01-L23-20251020-PM-ORD-2025-00092-S12-C1</x:v>
      </x:c>
      <x:c r="B1169" t="str">
        <x:v>PC-PE-KG01-L23-20251020-PM-ORD-2025-00092-S12</x:v>
      </x:c>
      <x:c r="C1169" t="str">
        <x:v>PE-KG01-L23-20251020-PM-ORD-2025-00092</x:v>
      </x:c>
      <x:c r="D1169" t="str">
        <x:v>KG01</x:v>
      </x:c>
      <x:c r="E1169" s="62" t="n">
        <x:v>45950</x:v>
      </x:c>
      <x:c r="F1169" t="str">
        <x:v>PM</x:v>
      </x:c>
      <x:c r="G1169" t="str">
        <x:v>A</x:v>
      </x:c>
      <x:c r="H1169" t="n">
        <x:v>23</x:v>
      </x:c>
      <x:c r="I1169" t="str">
        <x:v>ORD-2025-00092</x:v>
      </x:c>
      <x:c r="J1169" t="n">
        <x:v>12</x:v>
      </x:c>
      <x:c r="K1169" t="n">
        <x:v>1</x:v>
      </x:c>
      <x:c r="L1169" t="str">
        <x:v>L23-S12-C1</x:v>
      </x:c>
      <x:c r="M1169" t="n">
        <x:v>1</x:v>
      </x:c>
      <x:c r="N1169" t="str">
        <x:v>DerivedFromCount</x:v>
      </x:c>
      <x:c r="O1169" t="str">
        <x:v>PLC-PRD-JAR-330-L23</x:v>
      </x:c>
      <x:c r="P1169" t="str">
        <x:v>OK</x:v>
      </x:c>
      <x:c r="Q1169" t="str">
        <x:v>OK</x:v>
      </x:c>
      <x:c r="R1169" t="str">
        <x:v>OK</x:v>
      </x:c>
      <x:c r="S1169" t="str">
        <x:v>OK</x:v>
      </x:c>
      <x:c r="T1169" t="n">
        <x:v>36</x:v>
      </x:c>
      <x:c r="U1169" t="str">
        <x:v>OK</x:v>
      </x:c>
      <x:c r="V1169" t="str">
        <x:v>OK</x:v>
      </x:c>
      <x:c r="W1169" t="str">
        <x:v>LOAD</x:v>
      </x:c>
      <x:c r="X1169" t="str">
        <x:v>02_Supervisor_Log(4).xlsx</x:v>
      </x:c>
      <x:c r="Y1169" t="str">
        <x:v>ENH-20260830-01</x:v>
      </x:c>
      <x:c r="Z1169" t="str">
        <x:v>Active</x:v>
      </x:c>
      <x:c r="AA1169"/>
      <x:c r="AB1169"/>
      <x:c r="AC1169"/>
      <x:c r="AD1169"/>
    </x:row>
    <x:row r="1170">
      <x:c r="A1170" t="str">
        <x:v>PCC-PE-KG01-L23-20251020-PM-ORD-2025-00092-S12-C2</x:v>
      </x:c>
      <x:c r="B1170" t="str">
        <x:v>PC-PE-KG01-L23-20251020-PM-ORD-2025-00092-S12</x:v>
      </x:c>
      <x:c r="C1170" t="str">
        <x:v>PE-KG01-L23-20251020-PM-ORD-2025-00092</x:v>
      </x:c>
      <x:c r="D1170" t="str">
        <x:v>KG01</x:v>
      </x:c>
      <x:c r="E1170" s="62" t="n">
        <x:v>45950</x:v>
      </x:c>
      <x:c r="F1170" t="str">
        <x:v>PM</x:v>
      </x:c>
      <x:c r="G1170" t="str">
        <x:v>A</x:v>
      </x:c>
      <x:c r="H1170" t="n">
        <x:v>23</x:v>
      </x:c>
      <x:c r="I1170" t="str">
        <x:v>ORD-2025-00092</x:v>
      </x:c>
      <x:c r="J1170" t="n">
        <x:v>12</x:v>
      </x:c>
      <x:c r="K1170" t="n">
        <x:v>2</x:v>
      </x:c>
      <x:c r="L1170" t="str">
        <x:v>L23-S12-C2</x:v>
      </x:c>
      <x:c r="M1170" t="n">
        <x:v>1</x:v>
      </x:c>
      <x:c r="N1170" t="str">
        <x:v>DerivedFromCount</x:v>
      </x:c>
      <x:c r="O1170" t="str">
        <x:v>PLC-PRD-JAR-330-L23</x:v>
      </x:c>
      <x:c r="P1170" t="str">
        <x:v>OK</x:v>
      </x:c>
      <x:c r="Q1170" t="str">
        <x:v>OK</x:v>
      </x:c>
      <x:c r="R1170" t="str">
        <x:v>OK</x:v>
      </x:c>
      <x:c r="S1170" t="str">
        <x:v>OK</x:v>
      </x:c>
      <x:c r="T1170" t="n">
        <x:v>36</x:v>
      </x:c>
      <x:c r="U1170" t="str">
        <x:v>OK</x:v>
      </x:c>
      <x:c r="V1170" t="str">
        <x:v>OK</x:v>
      </x:c>
      <x:c r="W1170" t="str">
        <x:v>LOAD</x:v>
      </x:c>
      <x:c r="X1170" t="str">
        <x:v>02_Supervisor_Log(4).xlsx</x:v>
      </x:c>
      <x:c r="Y1170" t="str">
        <x:v>ENH-20260830-01</x:v>
      </x:c>
      <x:c r="Z1170" t="str">
        <x:v>Active</x:v>
      </x:c>
      <x:c r="AA1170"/>
      <x:c r="AB1170"/>
      <x:c r="AC1170"/>
      <x:c r="AD1170"/>
    </x:row>
    <x:row r="1171">
      <x:c r="A1171" t="str">
        <x:v>PCC-PE-KG01-L23-20251020-PM-ORD-2025-00092-S12-C3</x:v>
      </x:c>
      <x:c r="B1171" t="str">
        <x:v>PC-PE-KG01-L23-20251020-PM-ORD-2025-00092-S12</x:v>
      </x:c>
      <x:c r="C1171" t="str">
        <x:v>PE-KG01-L23-20251020-PM-ORD-2025-00092</x:v>
      </x:c>
      <x:c r="D1171" t="str">
        <x:v>KG01</x:v>
      </x:c>
      <x:c r="E1171" s="62" t="n">
        <x:v>45950</x:v>
      </x:c>
      <x:c r="F1171" t="str">
        <x:v>PM</x:v>
      </x:c>
      <x:c r="G1171" t="str">
        <x:v>A</x:v>
      </x:c>
      <x:c r="H1171" t="n">
        <x:v>23</x:v>
      </x:c>
      <x:c r="I1171" t="str">
        <x:v>ORD-2025-00092</x:v>
      </x:c>
      <x:c r="J1171" t="n">
        <x:v>12</x:v>
      </x:c>
      <x:c r="K1171" t="n">
        <x:v>3</x:v>
      </x:c>
      <x:c r="L1171" t="str">
        <x:v>L23-S12-C3</x:v>
      </x:c>
      <x:c r="M1171" t="n">
        <x:v>1</x:v>
      </x:c>
      <x:c r="N1171" t="str">
        <x:v>DerivedFromCount</x:v>
      </x:c>
      <x:c r="O1171" t="str">
        <x:v>PLC-PRD-JAR-330-L23</x:v>
      </x:c>
      <x:c r="P1171" t="str">
        <x:v>OK</x:v>
      </x:c>
      <x:c r="Q1171" t="str">
        <x:v>OK</x:v>
      </x:c>
      <x:c r="R1171" t="str">
        <x:v>OK</x:v>
      </x:c>
      <x:c r="S1171" t="str">
        <x:v>OK</x:v>
      </x:c>
      <x:c r="T1171" t="n">
        <x:v>36</x:v>
      </x:c>
      <x:c r="U1171" t="str">
        <x:v>OK</x:v>
      </x:c>
      <x:c r="V1171" t="str">
        <x:v>OK</x:v>
      </x:c>
      <x:c r="W1171" t="str">
        <x:v>LOAD</x:v>
      </x:c>
      <x:c r="X1171" t="str">
        <x:v>02_Supervisor_Log(4).xlsx</x:v>
      </x:c>
      <x:c r="Y1171" t="str">
        <x:v>ENH-20260830-01</x:v>
      </x:c>
      <x:c r="Z1171" t="str">
        <x:v>Active</x:v>
      </x:c>
      <x:c r="AA1171"/>
      <x:c r="AB1171"/>
      <x:c r="AC1171"/>
      <x:c r="AD1171"/>
    </x:row>
    <x:row r="1172">
      <x:c r="A1172" t="str">
        <x:v>PCC-PE-KG01-L23-20251020-PM-ORD-2025-00092-S13-C1</x:v>
      </x:c>
      <x:c r="B1172" t="str">
        <x:v>PC-PE-KG01-L23-20251020-PM-ORD-2025-00092-S13</x:v>
      </x:c>
      <x:c r="C1172" t="str">
        <x:v>PE-KG01-L23-20251020-PM-ORD-2025-00092</x:v>
      </x:c>
      <x:c r="D1172" t="str">
        <x:v>KG01</x:v>
      </x:c>
      <x:c r="E1172" s="62" t="n">
        <x:v>45950</x:v>
      </x:c>
      <x:c r="F1172" t="str">
        <x:v>PM</x:v>
      </x:c>
      <x:c r="G1172" t="str">
        <x:v>A</x:v>
      </x:c>
      <x:c r="H1172" t="n">
        <x:v>23</x:v>
      </x:c>
      <x:c r="I1172" t="str">
        <x:v>ORD-2025-00092</x:v>
      </x:c>
      <x:c r="J1172" t="n">
        <x:v>13</x:v>
      </x:c>
      <x:c r="K1172" t="n">
        <x:v>1</x:v>
      </x:c>
      <x:c r="L1172" t="str">
        <x:v>L23-S13-C1</x:v>
      </x:c>
      <x:c r="M1172" t="n">
        <x:v>0</x:v>
      </x:c>
      <x:c r="N1172" t="str">
        <x:v>DerivedFromCount</x:v>
      </x:c>
      <x:c r="O1172" t="str">
        <x:v>PLC-PRD-JAR-330-L23</x:v>
      </x:c>
      <x:c r="P1172" t="str">
        <x:v>OK</x:v>
      </x:c>
      <x:c r="Q1172" t="str">
        <x:v>OK</x:v>
      </x:c>
      <x:c r="R1172" t="str">
        <x:v>OK</x:v>
      </x:c>
      <x:c r="S1172" t="str">
        <x:v>OK</x:v>
      </x:c>
      <x:c r="T1172" t="n">
        <x:v>36</x:v>
      </x:c>
      <x:c r="U1172" t="str">
        <x:v>OK</x:v>
      </x:c>
      <x:c r="V1172" t="str">
        <x:v>OK</x:v>
      </x:c>
      <x:c r="W1172" t="str">
        <x:v>LOAD</x:v>
      </x:c>
      <x:c r="X1172" t="str">
        <x:v>02_Supervisor_Log(4).xlsx</x:v>
      </x:c>
      <x:c r="Y1172" t="str">
        <x:v>ENH-20260830-01</x:v>
      </x:c>
      <x:c r="Z1172" t="str">
        <x:v>Active</x:v>
      </x:c>
      <x:c r="AA1172"/>
      <x:c r="AB1172"/>
      <x:c r="AC1172"/>
      <x:c r="AD1172"/>
    </x:row>
    <x:row r="1173">
      <x:c r="A1173" t="str">
        <x:v>PCC-PE-KG01-L23-20251020-PM-ORD-2025-00092-S13-C2</x:v>
      </x:c>
      <x:c r="B1173" t="str">
        <x:v>PC-PE-KG01-L23-20251020-PM-ORD-2025-00092-S13</x:v>
      </x:c>
      <x:c r="C1173" t="str">
        <x:v>PE-KG01-L23-20251020-PM-ORD-2025-00092</x:v>
      </x:c>
      <x:c r="D1173" t="str">
        <x:v>KG01</x:v>
      </x:c>
      <x:c r="E1173" s="62" t="n">
        <x:v>45950</x:v>
      </x:c>
      <x:c r="F1173" t="str">
        <x:v>PM</x:v>
      </x:c>
      <x:c r="G1173" t="str">
        <x:v>A</x:v>
      </x:c>
      <x:c r="H1173" t="n">
        <x:v>23</x:v>
      </x:c>
      <x:c r="I1173" t="str">
        <x:v>ORD-2025-00092</x:v>
      </x:c>
      <x:c r="J1173" t="n">
        <x:v>13</x:v>
      </x:c>
      <x:c r="K1173" t="n">
        <x:v>2</x:v>
      </x:c>
      <x:c r="L1173" t="str">
        <x:v>L23-S13-C2</x:v>
      </x:c>
      <x:c r="M1173" t="n">
        <x:v>0</x:v>
      </x:c>
      <x:c r="N1173" t="str">
        <x:v>DerivedFromCount</x:v>
      </x:c>
      <x:c r="O1173" t="str">
        <x:v>PLC-PRD-JAR-330-L23</x:v>
      </x:c>
      <x:c r="P1173" t="str">
        <x:v>OK</x:v>
      </x:c>
      <x:c r="Q1173" t="str">
        <x:v>OK</x:v>
      </x:c>
      <x:c r="R1173" t="str">
        <x:v>OK</x:v>
      </x:c>
      <x:c r="S1173" t="str">
        <x:v>OK</x:v>
      </x:c>
      <x:c r="T1173" t="n">
        <x:v>36</x:v>
      </x:c>
      <x:c r="U1173" t="str">
        <x:v>OK</x:v>
      </x:c>
      <x:c r="V1173" t="str">
        <x:v>OK</x:v>
      </x:c>
      <x:c r="W1173" t="str">
        <x:v>LOAD</x:v>
      </x:c>
      <x:c r="X1173" t="str">
        <x:v>02_Supervisor_Log(4).xlsx</x:v>
      </x:c>
      <x:c r="Y1173" t="str">
        <x:v>ENH-20260830-01</x:v>
      </x:c>
      <x:c r="Z1173" t="str">
        <x:v>Active</x:v>
      </x:c>
      <x:c r="AA1173"/>
      <x:c r="AB1173"/>
      <x:c r="AC1173"/>
      <x:c r="AD1173"/>
    </x:row>
    <x:row r="1174">
      <x:c r="A1174" t="str">
        <x:v>PCC-PE-KG01-L23-20251020-PM-ORD-2025-00092-S13-C3</x:v>
      </x:c>
      <x:c r="B1174" t="str">
        <x:v>PC-PE-KG01-L23-20251020-PM-ORD-2025-00092-S13</x:v>
      </x:c>
      <x:c r="C1174" t="str">
        <x:v>PE-KG01-L23-20251020-PM-ORD-2025-00092</x:v>
      </x:c>
      <x:c r="D1174" t="str">
        <x:v>KG01</x:v>
      </x:c>
      <x:c r="E1174" s="62" t="n">
        <x:v>45950</x:v>
      </x:c>
      <x:c r="F1174" t="str">
        <x:v>PM</x:v>
      </x:c>
      <x:c r="G1174" t="str">
        <x:v>A</x:v>
      </x:c>
      <x:c r="H1174" t="n">
        <x:v>23</x:v>
      </x:c>
      <x:c r="I1174" t="str">
        <x:v>ORD-2025-00092</x:v>
      </x:c>
      <x:c r="J1174" t="n">
        <x:v>13</x:v>
      </x:c>
      <x:c r="K1174" t="n">
        <x:v>3</x:v>
      </x:c>
      <x:c r="L1174" t="str">
        <x:v>L23-S13-C3</x:v>
      </x:c>
      <x:c r="M1174" t="n">
        <x:v>0</x:v>
      </x:c>
      <x:c r="N1174" t="str">
        <x:v>DerivedFromCount</x:v>
      </x:c>
      <x:c r="O1174" t="str">
        <x:v>PLC-PRD-JAR-330-L23</x:v>
      </x:c>
      <x:c r="P1174" t="str">
        <x:v>OK</x:v>
      </x:c>
      <x:c r="Q1174" t="str">
        <x:v>OK</x:v>
      </x:c>
      <x:c r="R1174" t="str">
        <x:v>OK</x:v>
      </x:c>
      <x:c r="S1174" t="str">
        <x:v>OK</x:v>
      </x:c>
      <x:c r="T1174" t="n">
        <x:v>36</x:v>
      </x:c>
      <x:c r="U1174" t="str">
        <x:v>OK</x:v>
      </x:c>
      <x:c r="V1174" t="str">
        <x:v>OK</x:v>
      </x:c>
      <x:c r="W1174" t="str">
        <x:v>LOAD</x:v>
      </x:c>
      <x:c r="X1174" t="str">
        <x:v>02_Supervisor_Log(4).xlsx</x:v>
      </x:c>
      <x:c r="Y1174" t="str">
        <x:v>ENH-20260830-01</x:v>
      </x:c>
      <x:c r="Z1174" t="str">
        <x:v>Active</x:v>
      </x:c>
      <x:c r="AA1174"/>
      <x:c r="AB1174"/>
      <x:c r="AC1174"/>
      <x:c r="AD1174"/>
    </x:row>
    <x:row r="1175">
      <x:c r="A1175" t="str">
        <x:v>PCC-PE-KG01-L23-20251021-AM-ORD-2025-00092-S01-C1</x:v>
      </x:c>
      <x:c r="B1175" t="str">
        <x:v>PC-PE-KG01-L23-20251021-AM-ORD-2025-00092-S01</x:v>
      </x:c>
      <x:c r="C1175" t="str">
        <x:v>PE-KG01-L23-20251021-AM-ORD-2025-00092</x:v>
      </x:c>
      <x:c r="D1175" t="str">
        <x:v>KG01</x:v>
      </x:c>
      <x:c r="E1175" s="62" t="n">
        <x:v>45951</x:v>
      </x:c>
      <x:c r="F1175" t="str">
        <x:v>AM</x:v>
      </x:c>
      <x:c r="G1175" t="str">
        <x:v>A</x:v>
      </x:c>
      <x:c r="H1175" t="n">
        <x:v>23</x:v>
      </x:c>
      <x:c r="I1175" t="str">
        <x:v>ORD-2025-00092</x:v>
      </x:c>
      <x:c r="J1175" t="n">
        <x:v>1</x:v>
      </x:c>
      <x:c r="K1175" t="n">
        <x:v>1</x:v>
      </x:c>
      <x:c r="L1175" t="str">
        <x:v>L23-S01-C1</x:v>
      </x:c>
      <x:c r="M1175" t="n">
        <x:v>1</x:v>
      </x:c>
      <x:c r="N1175" t="str">
        <x:v>DerivedFromCount</x:v>
      </x:c>
      <x:c r="O1175" t="str">
        <x:v>PLC-PRD-JAR-330-L23</x:v>
      </x:c>
      <x:c r="P1175" t="str">
        <x:v>OK</x:v>
      </x:c>
      <x:c r="Q1175" t="str">
        <x:v>OK</x:v>
      </x:c>
      <x:c r="R1175" t="str">
        <x:v>OK</x:v>
      </x:c>
      <x:c r="S1175" t="str">
        <x:v>OK</x:v>
      </x:c>
      <x:c r="T1175" t="n">
        <x:v>36</x:v>
      </x:c>
      <x:c r="U1175" t="str">
        <x:v>OK</x:v>
      </x:c>
      <x:c r="V1175" t="str">
        <x:v>OK</x:v>
      </x:c>
      <x:c r="W1175" t="str">
        <x:v>LOAD</x:v>
      </x:c>
      <x:c r="X1175" t="str">
        <x:v>02_Supervisor_Log(4).xlsx</x:v>
      </x:c>
      <x:c r="Y1175" t="str">
        <x:v>ENH-20260830-01</x:v>
      </x:c>
      <x:c r="Z1175" t="str">
        <x:v>Active</x:v>
      </x:c>
      <x:c r="AA1175"/>
      <x:c r="AB1175"/>
      <x:c r="AC1175"/>
      <x:c r="AD1175"/>
    </x:row>
    <x:row r="1176">
      <x:c r="A1176" t="str">
        <x:v>PCC-PE-KG01-L23-20251021-AM-ORD-2025-00092-S01-C2</x:v>
      </x:c>
      <x:c r="B1176" t="str">
        <x:v>PC-PE-KG01-L23-20251021-AM-ORD-2025-00092-S01</x:v>
      </x:c>
      <x:c r="C1176" t="str">
        <x:v>PE-KG01-L23-20251021-AM-ORD-2025-00092</x:v>
      </x:c>
      <x:c r="D1176" t="str">
        <x:v>KG01</x:v>
      </x:c>
      <x:c r="E1176" s="62" t="n">
        <x:v>45951</x:v>
      </x:c>
      <x:c r="F1176" t="str">
        <x:v>AM</x:v>
      </x:c>
      <x:c r="G1176" t="str">
        <x:v>A</x:v>
      </x:c>
      <x:c r="H1176" t="n">
        <x:v>23</x:v>
      </x:c>
      <x:c r="I1176" t="str">
        <x:v>ORD-2025-00092</x:v>
      </x:c>
      <x:c r="J1176" t="n">
        <x:v>1</x:v>
      </x:c>
      <x:c r="K1176" t="n">
        <x:v>2</x:v>
      </x:c>
      <x:c r="L1176" t="str">
        <x:v>L23-S01-C2</x:v>
      </x:c>
      <x:c r="M1176" t="n">
        <x:v>1</x:v>
      </x:c>
      <x:c r="N1176" t="str">
        <x:v>DerivedFromCount</x:v>
      </x:c>
      <x:c r="O1176" t="str">
        <x:v>PLC-PRD-JAR-330-L23</x:v>
      </x:c>
      <x:c r="P1176" t="str">
        <x:v>OK</x:v>
      </x:c>
      <x:c r="Q1176" t="str">
        <x:v>OK</x:v>
      </x:c>
      <x:c r="R1176" t="str">
        <x:v>OK</x:v>
      </x:c>
      <x:c r="S1176" t="str">
        <x:v>OK</x:v>
      </x:c>
      <x:c r="T1176" t="n">
        <x:v>36</x:v>
      </x:c>
      <x:c r="U1176" t="str">
        <x:v>OK</x:v>
      </x:c>
      <x:c r="V1176" t="str">
        <x:v>OK</x:v>
      </x:c>
      <x:c r="W1176" t="str">
        <x:v>LOAD</x:v>
      </x:c>
      <x:c r="X1176" t="str">
        <x:v>02_Supervisor_Log(4).xlsx</x:v>
      </x:c>
      <x:c r="Y1176" t="str">
        <x:v>ENH-20260830-01</x:v>
      </x:c>
      <x:c r="Z1176" t="str">
        <x:v>Active</x:v>
      </x:c>
      <x:c r="AA1176"/>
      <x:c r="AB1176"/>
      <x:c r="AC1176"/>
      <x:c r="AD1176"/>
    </x:row>
    <x:row r="1177">
      <x:c r="A1177" t="str">
        <x:v>PCC-PE-KG01-L23-20251021-AM-ORD-2025-00092-S01-C3</x:v>
      </x:c>
      <x:c r="B1177" t="str">
        <x:v>PC-PE-KG01-L23-20251021-AM-ORD-2025-00092-S01</x:v>
      </x:c>
      <x:c r="C1177" t="str">
        <x:v>PE-KG01-L23-20251021-AM-ORD-2025-00092</x:v>
      </x:c>
      <x:c r="D1177" t="str">
        <x:v>KG01</x:v>
      </x:c>
      <x:c r="E1177" s="62" t="n">
        <x:v>45951</x:v>
      </x:c>
      <x:c r="F1177" t="str">
        <x:v>AM</x:v>
      </x:c>
      <x:c r="G1177" t="str">
        <x:v>A</x:v>
      </x:c>
      <x:c r="H1177" t="n">
        <x:v>23</x:v>
      </x:c>
      <x:c r="I1177" t="str">
        <x:v>ORD-2025-00092</x:v>
      </x:c>
      <x:c r="J1177" t="n">
        <x:v>1</x:v>
      </x:c>
      <x:c r="K1177" t="n">
        <x:v>3</x:v>
      </x:c>
      <x:c r="L1177" t="str">
        <x:v>L23-S01-C3</x:v>
      </x:c>
      <x:c r="M1177" t="n">
        <x:v>1</x:v>
      </x:c>
      <x:c r="N1177" t="str">
        <x:v>DerivedFromCount</x:v>
      </x:c>
      <x:c r="O1177" t="str">
        <x:v>PLC-PRD-JAR-330-L23</x:v>
      </x:c>
      <x:c r="P1177" t="str">
        <x:v>OK</x:v>
      </x:c>
      <x:c r="Q1177" t="str">
        <x:v>OK</x:v>
      </x:c>
      <x:c r="R1177" t="str">
        <x:v>OK</x:v>
      </x:c>
      <x:c r="S1177" t="str">
        <x:v>OK</x:v>
      </x:c>
      <x:c r="T1177" t="n">
        <x:v>36</x:v>
      </x:c>
      <x:c r="U1177" t="str">
        <x:v>OK</x:v>
      </x:c>
      <x:c r="V1177" t="str">
        <x:v>OK</x:v>
      </x:c>
      <x:c r="W1177" t="str">
        <x:v>LOAD</x:v>
      </x:c>
      <x:c r="X1177" t="str">
        <x:v>02_Supervisor_Log(4).xlsx</x:v>
      </x:c>
      <x:c r="Y1177" t="str">
        <x:v>ENH-20260830-01</x:v>
      </x:c>
      <x:c r="Z1177" t="str">
        <x:v>Active</x:v>
      </x:c>
      <x:c r="AA1177"/>
      <x:c r="AB1177"/>
      <x:c r="AC1177"/>
      <x:c r="AD1177"/>
    </x:row>
    <x:row r="1178">
      <x:c r="A1178" t="str">
        <x:v>PCC-PE-KG01-L23-20251021-AM-ORD-2025-00092-S02-C1</x:v>
      </x:c>
      <x:c r="B1178" t="str">
        <x:v>PC-PE-KG01-L23-20251021-AM-ORD-2025-00092-S02</x:v>
      </x:c>
      <x:c r="C1178" t="str">
        <x:v>PE-KG01-L23-20251021-AM-ORD-2025-00092</x:v>
      </x:c>
      <x:c r="D1178" t="str">
        <x:v>KG01</x:v>
      </x:c>
      <x:c r="E1178" s="62" t="n">
        <x:v>45951</x:v>
      </x:c>
      <x:c r="F1178" t="str">
        <x:v>AM</x:v>
      </x:c>
      <x:c r="G1178" t="str">
        <x:v>A</x:v>
      </x:c>
      <x:c r="H1178" t="n">
        <x:v>23</x:v>
      </x:c>
      <x:c r="I1178" t="str">
        <x:v>ORD-2025-00092</x:v>
      </x:c>
      <x:c r="J1178" t="n">
        <x:v>2</x:v>
      </x:c>
      <x:c r="K1178" t="n">
        <x:v>1</x:v>
      </x:c>
      <x:c r="L1178" t="str">
        <x:v>L23-S02-C1</x:v>
      </x:c>
      <x:c r="M1178" t="n">
        <x:v>1</x:v>
      </x:c>
      <x:c r="N1178" t="str">
        <x:v>DerivedFromCount</x:v>
      </x:c>
      <x:c r="O1178" t="str">
        <x:v>PLC-PRD-JAR-330-L23</x:v>
      </x:c>
      <x:c r="P1178" t="str">
        <x:v>OK</x:v>
      </x:c>
      <x:c r="Q1178" t="str">
        <x:v>OK</x:v>
      </x:c>
      <x:c r="R1178" t="str">
        <x:v>OK</x:v>
      </x:c>
      <x:c r="S1178" t="str">
        <x:v>OK</x:v>
      </x:c>
      <x:c r="T1178" t="n">
        <x:v>36</x:v>
      </x:c>
      <x:c r="U1178" t="str">
        <x:v>OK</x:v>
      </x:c>
      <x:c r="V1178" t="str">
        <x:v>OK</x:v>
      </x:c>
      <x:c r="W1178" t="str">
        <x:v>LOAD</x:v>
      </x:c>
      <x:c r="X1178" t="str">
        <x:v>02_Supervisor_Log(4).xlsx</x:v>
      </x:c>
      <x:c r="Y1178" t="str">
        <x:v>ENH-20260830-01</x:v>
      </x:c>
      <x:c r="Z1178" t="str">
        <x:v>Active</x:v>
      </x:c>
      <x:c r="AA1178"/>
      <x:c r="AB1178"/>
      <x:c r="AC1178"/>
      <x:c r="AD1178"/>
    </x:row>
    <x:row r="1179">
      <x:c r="A1179" t="str">
        <x:v>PCC-PE-KG01-L23-20251021-AM-ORD-2025-00092-S02-C2</x:v>
      </x:c>
      <x:c r="B1179" t="str">
        <x:v>PC-PE-KG01-L23-20251021-AM-ORD-2025-00092-S02</x:v>
      </x:c>
      <x:c r="C1179" t="str">
        <x:v>PE-KG01-L23-20251021-AM-ORD-2025-00092</x:v>
      </x:c>
      <x:c r="D1179" t="str">
        <x:v>KG01</x:v>
      </x:c>
      <x:c r="E1179" s="62" t="n">
        <x:v>45951</x:v>
      </x:c>
      <x:c r="F1179" t="str">
        <x:v>AM</x:v>
      </x:c>
      <x:c r="G1179" t="str">
        <x:v>A</x:v>
      </x:c>
      <x:c r="H1179" t="n">
        <x:v>23</x:v>
      </x:c>
      <x:c r="I1179" t="str">
        <x:v>ORD-2025-00092</x:v>
      </x:c>
      <x:c r="J1179" t="n">
        <x:v>2</x:v>
      </x:c>
      <x:c r="K1179" t="n">
        <x:v>2</x:v>
      </x:c>
      <x:c r="L1179" t="str">
        <x:v>L23-S02-C2</x:v>
      </x:c>
      <x:c r="M1179" t="n">
        <x:v>1</x:v>
      </x:c>
      <x:c r="N1179" t="str">
        <x:v>DerivedFromCount</x:v>
      </x:c>
      <x:c r="O1179" t="str">
        <x:v>PLC-PRD-JAR-330-L23</x:v>
      </x:c>
      <x:c r="P1179" t="str">
        <x:v>OK</x:v>
      </x:c>
      <x:c r="Q1179" t="str">
        <x:v>OK</x:v>
      </x:c>
      <x:c r="R1179" t="str">
        <x:v>OK</x:v>
      </x:c>
      <x:c r="S1179" t="str">
        <x:v>OK</x:v>
      </x:c>
      <x:c r="T1179" t="n">
        <x:v>36</x:v>
      </x:c>
      <x:c r="U1179" t="str">
        <x:v>OK</x:v>
      </x:c>
      <x:c r="V1179" t="str">
        <x:v>OK</x:v>
      </x:c>
      <x:c r="W1179" t="str">
        <x:v>LOAD</x:v>
      </x:c>
      <x:c r="X1179" t="str">
        <x:v>02_Supervisor_Log(4).xlsx</x:v>
      </x:c>
      <x:c r="Y1179" t="str">
        <x:v>ENH-20260830-01</x:v>
      </x:c>
      <x:c r="Z1179" t="str">
        <x:v>Active</x:v>
      </x:c>
      <x:c r="AA1179"/>
      <x:c r="AB1179"/>
      <x:c r="AC1179"/>
      <x:c r="AD1179"/>
    </x:row>
    <x:row r="1180">
      <x:c r="A1180" t="str">
        <x:v>PCC-PE-KG01-L23-20251021-AM-ORD-2025-00092-S02-C3</x:v>
      </x:c>
      <x:c r="B1180" t="str">
        <x:v>PC-PE-KG01-L23-20251021-AM-ORD-2025-00092-S02</x:v>
      </x:c>
      <x:c r="C1180" t="str">
        <x:v>PE-KG01-L23-20251021-AM-ORD-2025-00092</x:v>
      </x:c>
      <x:c r="D1180" t="str">
        <x:v>KG01</x:v>
      </x:c>
      <x:c r="E1180" s="62" t="n">
        <x:v>45951</x:v>
      </x:c>
      <x:c r="F1180" t="str">
        <x:v>AM</x:v>
      </x:c>
      <x:c r="G1180" t="str">
        <x:v>A</x:v>
      </x:c>
      <x:c r="H1180" t="n">
        <x:v>23</x:v>
      </x:c>
      <x:c r="I1180" t="str">
        <x:v>ORD-2025-00092</x:v>
      </x:c>
      <x:c r="J1180" t="n">
        <x:v>2</x:v>
      </x:c>
      <x:c r="K1180" t="n">
        <x:v>3</x:v>
      </x:c>
      <x:c r="L1180" t="str">
        <x:v>L23-S02-C3</x:v>
      </x:c>
      <x:c r="M1180" t="n">
        <x:v>1</x:v>
      </x:c>
      <x:c r="N1180" t="str">
        <x:v>DerivedFromCount</x:v>
      </x:c>
      <x:c r="O1180" t="str">
        <x:v>PLC-PRD-JAR-330-L23</x:v>
      </x:c>
      <x:c r="P1180" t="str">
        <x:v>OK</x:v>
      </x:c>
      <x:c r="Q1180" t="str">
        <x:v>OK</x:v>
      </x:c>
      <x:c r="R1180" t="str">
        <x:v>OK</x:v>
      </x:c>
      <x:c r="S1180" t="str">
        <x:v>OK</x:v>
      </x:c>
      <x:c r="T1180" t="n">
        <x:v>36</x:v>
      </x:c>
      <x:c r="U1180" t="str">
        <x:v>OK</x:v>
      </x:c>
      <x:c r="V1180" t="str">
        <x:v>OK</x:v>
      </x:c>
      <x:c r="W1180" t="str">
        <x:v>LOAD</x:v>
      </x:c>
      <x:c r="X1180" t="str">
        <x:v>02_Supervisor_Log(4).xlsx</x:v>
      </x:c>
      <x:c r="Y1180" t="str">
        <x:v>ENH-20260830-01</x:v>
      </x:c>
      <x:c r="Z1180" t="str">
        <x:v>Active</x:v>
      </x:c>
      <x:c r="AA1180"/>
      <x:c r="AB1180"/>
      <x:c r="AC1180"/>
      <x:c r="AD1180"/>
    </x:row>
    <x:row r="1181">
      <x:c r="A1181" t="str">
        <x:v>PCC-PE-KG01-L23-20251021-AM-ORD-2025-00092-S03-C1</x:v>
      </x:c>
      <x:c r="B1181" t="str">
        <x:v>PC-PE-KG01-L23-20251021-AM-ORD-2025-00092-S03</x:v>
      </x:c>
      <x:c r="C1181" t="str">
        <x:v>PE-KG01-L23-20251021-AM-ORD-2025-00092</x:v>
      </x:c>
      <x:c r="D1181" t="str">
        <x:v>KG01</x:v>
      </x:c>
      <x:c r="E1181" s="62" t="n">
        <x:v>45951</x:v>
      </x:c>
      <x:c r="F1181" t="str">
        <x:v>AM</x:v>
      </x:c>
      <x:c r="G1181" t="str">
        <x:v>A</x:v>
      </x:c>
      <x:c r="H1181" t="n">
        <x:v>23</x:v>
      </x:c>
      <x:c r="I1181" t="str">
        <x:v>ORD-2025-00092</x:v>
      </x:c>
      <x:c r="J1181" t="n">
        <x:v>3</x:v>
      </x:c>
      <x:c r="K1181" t="n">
        <x:v>1</x:v>
      </x:c>
      <x:c r="L1181" t="str">
        <x:v>L23-S03-C1</x:v>
      </x:c>
      <x:c r="M1181" t="n">
        <x:v>1</x:v>
      </x:c>
      <x:c r="N1181" t="str">
        <x:v>DerivedFromCount</x:v>
      </x:c>
      <x:c r="O1181" t="str">
        <x:v>PLC-PRD-JAR-330-L23</x:v>
      </x:c>
      <x:c r="P1181" t="str">
        <x:v>OK</x:v>
      </x:c>
      <x:c r="Q1181" t="str">
        <x:v>OK</x:v>
      </x:c>
      <x:c r="R1181" t="str">
        <x:v>OK</x:v>
      </x:c>
      <x:c r="S1181" t="str">
        <x:v>OK</x:v>
      </x:c>
      <x:c r="T1181" t="n">
        <x:v>36</x:v>
      </x:c>
      <x:c r="U1181" t="str">
        <x:v>OK</x:v>
      </x:c>
      <x:c r="V1181" t="str">
        <x:v>OK</x:v>
      </x:c>
      <x:c r="W1181" t="str">
        <x:v>LOAD</x:v>
      </x:c>
      <x:c r="X1181" t="str">
        <x:v>02_Supervisor_Log(4).xlsx</x:v>
      </x:c>
      <x:c r="Y1181" t="str">
        <x:v>ENH-20260830-01</x:v>
      </x:c>
      <x:c r="Z1181" t="str">
        <x:v>Active</x:v>
      </x:c>
      <x:c r="AA1181"/>
      <x:c r="AB1181"/>
      <x:c r="AC1181"/>
      <x:c r="AD1181"/>
    </x:row>
    <x:row r="1182">
      <x:c r="A1182" t="str">
        <x:v>PCC-PE-KG01-L23-20251021-AM-ORD-2025-00092-S03-C2</x:v>
      </x:c>
      <x:c r="B1182" t="str">
        <x:v>PC-PE-KG01-L23-20251021-AM-ORD-2025-00092-S03</x:v>
      </x:c>
      <x:c r="C1182" t="str">
        <x:v>PE-KG01-L23-20251021-AM-ORD-2025-00092</x:v>
      </x:c>
      <x:c r="D1182" t="str">
        <x:v>KG01</x:v>
      </x:c>
      <x:c r="E1182" s="62" t="n">
        <x:v>45951</x:v>
      </x:c>
      <x:c r="F1182" t="str">
        <x:v>AM</x:v>
      </x:c>
      <x:c r="G1182" t="str">
        <x:v>A</x:v>
      </x:c>
      <x:c r="H1182" t="n">
        <x:v>23</x:v>
      </x:c>
      <x:c r="I1182" t="str">
        <x:v>ORD-2025-00092</x:v>
      </x:c>
      <x:c r="J1182" t="n">
        <x:v>3</x:v>
      </x:c>
      <x:c r="K1182" t="n">
        <x:v>2</x:v>
      </x:c>
      <x:c r="L1182" t="str">
        <x:v>L23-S03-C2</x:v>
      </x:c>
      <x:c r="M1182" t="n">
        <x:v>1</x:v>
      </x:c>
      <x:c r="N1182" t="str">
        <x:v>DerivedFromCount</x:v>
      </x:c>
      <x:c r="O1182" t="str">
        <x:v>PLC-PRD-JAR-330-L23</x:v>
      </x:c>
      <x:c r="P1182" t="str">
        <x:v>OK</x:v>
      </x:c>
      <x:c r="Q1182" t="str">
        <x:v>OK</x:v>
      </x:c>
      <x:c r="R1182" t="str">
        <x:v>OK</x:v>
      </x:c>
      <x:c r="S1182" t="str">
        <x:v>OK</x:v>
      </x:c>
      <x:c r="T1182" t="n">
        <x:v>36</x:v>
      </x:c>
      <x:c r="U1182" t="str">
        <x:v>OK</x:v>
      </x:c>
      <x:c r="V1182" t="str">
        <x:v>OK</x:v>
      </x:c>
      <x:c r="W1182" t="str">
        <x:v>LOAD</x:v>
      </x:c>
      <x:c r="X1182" t="str">
        <x:v>02_Supervisor_Log(4).xlsx</x:v>
      </x:c>
      <x:c r="Y1182" t="str">
        <x:v>ENH-20260830-01</x:v>
      </x:c>
      <x:c r="Z1182" t="str">
        <x:v>Active</x:v>
      </x:c>
      <x:c r="AA1182"/>
      <x:c r="AB1182"/>
      <x:c r="AC1182"/>
      <x:c r="AD1182"/>
    </x:row>
    <x:row r="1183">
      <x:c r="A1183" t="str">
        <x:v>PCC-PE-KG01-L23-20251021-AM-ORD-2025-00092-S03-C3</x:v>
      </x:c>
      <x:c r="B1183" t="str">
        <x:v>PC-PE-KG01-L23-20251021-AM-ORD-2025-00092-S03</x:v>
      </x:c>
      <x:c r="C1183" t="str">
        <x:v>PE-KG01-L23-20251021-AM-ORD-2025-00092</x:v>
      </x:c>
      <x:c r="D1183" t="str">
        <x:v>KG01</x:v>
      </x:c>
      <x:c r="E1183" s="62" t="n">
        <x:v>45951</x:v>
      </x:c>
      <x:c r="F1183" t="str">
        <x:v>AM</x:v>
      </x:c>
      <x:c r="G1183" t="str">
        <x:v>A</x:v>
      </x:c>
      <x:c r="H1183" t="n">
        <x:v>23</x:v>
      </x:c>
      <x:c r="I1183" t="str">
        <x:v>ORD-2025-00092</x:v>
      </x:c>
      <x:c r="J1183" t="n">
        <x:v>3</x:v>
      </x:c>
      <x:c r="K1183" t="n">
        <x:v>3</x:v>
      </x:c>
      <x:c r="L1183" t="str">
        <x:v>L23-S03-C3</x:v>
      </x:c>
      <x:c r="M1183" t="n">
        <x:v>1</x:v>
      </x:c>
      <x:c r="N1183" t="str">
        <x:v>DerivedFromCount</x:v>
      </x:c>
      <x:c r="O1183" t="str">
        <x:v>PLC-PRD-JAR-330-L23</x:v>
      </x:c>
      <x:c r="P1183" t="str">
        <x:v>OK</x:v>
      </x:c>
      <x:c r="Q1183" t="str">
        <x:v>OK</x:v>
      </x:c>
      <x:c r="R1183" t="str">
        <x:v>OK</x:v>
      </x:c>
      <x:c r="S1183" t="str">
        <x:v>OK</x:v>
      </x:c>
      <x:c r="T1183" t="n">
        <x:v>36</x:v>
      </x:c>
      <x:c r="U1183" t="str">
        <x:v>OK</x:v>
      </x:c>
      <x:c r="V1183" t="str">
        <x:v>OK</x:v>
      </x:c>
      <x:c r="W1183" t="str">
        <x:v>LOAD</x:v>
      </x:c>
      <x:c r="X1183" t="str">
        <x:v>02_Supervisor_Log(4).xlsx</x:v>
      </x:c>
      <x:c r="Y1183" t="str">
        <x:v>ENH-20260830-01</x:v>
      </x:c>
      <x:c r="Z1183" t="str">
        <x:v>Active</x:v>
      </x:c>
      <x:c r="AA1183"/>
      <x:c r="AB1183"/>
      <x:c r="AC1183"/>
      <x:c r="AD1183"/>
    </x:row>
    <x:row r="1184">
      <x:c r="A1184" t="str">
        <x:v>PCC-PE-KG01-L23-20251021-AM-ORD-2025-00092-S04-C1</x:v>
      </x:c>
      <x:c r="B1184" t="str">
        <x:v>PC-PE-KG01-L23-20251021-AM-ORD-2025-00092-S04</x:v>
      </x:c>
      <x:c r="C1184" t="str">
        <x:v>PE-KG01-L23-20251021-AM-ORD-2025-00092</x:v>
      </x:c>
      <x:c r="D1184" t="str">
        <x:v>KG01</x:v>
      </x:c>
      <x:c r="E1184" s="62" t="n">
        <x:v>45951</x:v>
      </x:c>
      <x:c r="F1184" t="str">
        <x:v>AM</x:v>
      </x:c>
      <x:c r="G1184" t="str">
        <x:v>A</x:v>
      </x:c>
      <x:c r="H1184" t="n">
        <x:v>23</x:v>
      </x:c>
      <x:c r="I1184" t="str">
        <x:v>ORD-2025-00092</x:v>
      </x:c>
      <x:c r="J1184" t="n">
        <x:v>4</x:v>
      </x:c>
      <x:c r="K1184" t="n">
        <x:v>1</x:v>
      </x:c>
      <x:c r="L1184" t="str">
        <x:v>L23-S04-C1</x:v>
      </x:c>
      <x:c r="M1184" t="n">
        <x:v>1</x:v>
      </x:c>
      <x:c r="N1184" t="str">
        <x:v>DerivedFromCount</x:v>
      </x:c>
      <x:c r="O1184" t="str">
        <x:v>PLC-PRD-JAR-330-L23</x:v>
      </x:c>
      <x:c r="P1184" t="str">
        <x:v>OK</x:v>
      </x:c>
      <x:c r="Q1184" t="str">
        <x:v>OK</x:v>
      </x:c>
      <x:c r="R1184" t="str">
        <x:v>OK</x:v>
      </x:c>
      <x:c r="S1184" t="str">
        <x:v>OK</x:v>
      </x:c>
      <x:c r="T1184" t="n">
        <x:v>36</x:v>
      </x:c>
      <x:c r="U1184" t="str">
        <x:v>OK</x:v>
      </x:c>
      <x:c r="V1184" t="str">
        <x:v>OK</x:v>
      </x:c>
      <x:c r="W1184" t="str">
        <x:v>LOAD</x:v>
      </x:c>
      <x:c r="X1184" t="str">
        <x:v>02_Supervisor_Log(4).xlsx</x:v>
      </x:c>
      <x:c r="Y1184" t="str">
        <x:v>ENH-20260830-01</x:v>
      </x:c>
      <x:c r="Z1184" t="str">
        <x:v>Active</x:v>
      </x:c>
      <x:c r="AA1184"/>
      <x:c r="AB1184"/>
      <x:c r="AC1184"/>
      <x:c r="AD1184"/>
    </x:row>
    <x:row r="1185">
      <x:c r="A1185" t="str">
        <x:v>PCC-PE-KG01-L23-20251021-AM-ORD-2025-00092-S04-C2</x:v>
      </x:c>
      <x:c r="B1185" t="str">
        <x:v>PC-PE-KG01-L23-20251021-AM-ORD-2025-00092-S04</x:v>
      </x:c>
      <x:c r="C1185" t="str">
        <x:v>PE-KG01-L23-20251021-AM-ORD-2025-00092</x:v>
      </x:c>
      <x:c r="D1185" t="str">
        <x:v>KG01</x:v>
      </x:c>
      <x:c r="E1185" s="62" t="n">
        <x:v>45951</x:v>
      </x:c>
      <x:c r="F1185" t="str">
        <x:v>AM</x:v>
      </x:c>
      <x:c r="G1185" t="str">
        <x:v>A</x:v>
      </x:c>
      <x:c r="H1185" t="n">
        <x:v>23</x:v>
      </x:c>
      <x:c r="I1185" t="str">
        <x:v>ORD-2025-00092</x:v>
      </x:c>
      <x:c r="J1185" t="n">
        <x:v>4</x:v>
      </x:c>
      <x:c r="K1185" t="n">
        <x:v>2</x:v>
      </x:c>
      <x:c r="L1185" t="str">
        <x:v>L23-S04-C2</x:v>
      </x:c>
      <x:c r="M1185" t="n">
        <x:v>1</x:v>
      </x:c>
      <x:c r="N1185" t="str">
        <x:v>DerivedFromCount</x:v>
      </x:c>
      <x:c r="O1185" t="str">
        <x:v>PLC-PRD-JAR-330-L23</x:v>
      </x:c>
      <x:c r="P1185" t="str">
        <x:v>OK</x:v>
      </x:c>
      <x:c r="Q1185" t="str">
        <x:v>OK</x:v>
      </x:c>
      <x:c r="R1185" t="str">
        <x:v>OK</x:v>
      </x:c>
      <x:c r="S1185" t="str">
        <x:v>OK</x:v>
      </x:c>
      <x:c r="T1185" t="n">
        <x:v>36</x:v>
      </x:c>
      <x:c r="U1185" t="str">
        <x:v>OK</x:v>
      </x:c>
      <x:c r="V1185" t="str">
        <x:v>OK</x:v>
      </x:c>
      <x:c r="W1185" t="str">
        <x:v>LOAD</x:v>
      </x:c>
      <x:c r="X1185" t="str">
        <x:v>02_Supervisor_Log(4).xlsx</x:v>
      </x:c>
      <x:c r="Y1185" t="str">
        <x:v>ENH-20260830-01</x:v>
      </x:c>
      <x:c r="Z1185" t="str">
        <x:v>Active</x:v>
      </x:c>
      <x:c r="AA1185"/>
      <x:c r="AB1185"/>
      <x:c r="AC1185"/>
      <x:c r="AD1185"/>
    </x:row>
    <x:row r="1186">
      <x:c r="A1186" t="str">
        <x:v>PCC-PE-KG01-L23-20251021-AM-ORD-2025-00092-S04-C3</x:v>
      </x:c>
      <x:c r="B1186" t="str">
        <x:v>PC-PE-KG01-L23-20251021-AM-ORD-2025-00092-S04</x:v>
      </x:c>
      <x:c r="C1186" t="str">
        <x:v>PE-KG01-L23-20251021-AM-ORD-2025-00092</x:v>
      </x:c>
      <x:c r="D1186" t="str">
        <x:v>KG01</x:v>
      </x:c>
      <x:c r="E1186" s="62" t="n">
        <x:v>45951</x:v>
      </x:c>
      <x:c r="F1186" t="str">
        <x:v>AM</x:v>
      </x:c>
      <x:c r="G1186" t="str">
        <x:v>A</x:v>
      </x:c>
      <x:c r="H1186" t="n">
        <x:v>23</x:v>
      </x:c>
      <x:c r="I1186" t="str">
        <x:v>ORD-2025-00092</x:v>
      </x:c>
      <x:c r="J1186" t="n">
        <x:v>4</x:v>
      </x:c>
      <x:c r="K1186" t="n">
        <x:v>3</x:v>
      </x:c>
      <x:c r="L1186" t="str">
        <x:v>L23-S04-C3</x:v>
      </x:c>
      <x:c r="M1186" t="n">
        <x:v>1</x:v>
      </x:c>
      <x:c r="N1186" t="str">
        <x:v>DerivedFromCount</x:v>
      </x:c>
      <x:c r="O1186" t="str">
        <x:v>PLC-PRD-JAR-330-L23</x:v>
      </x:c>
      <x:c r="P1186" t="str">
        <x:v>OK</x:v>
      </x:c>
      <x:c r="Q1186" t="str">
        <x:v>OK</x:v>
      </x:c>
      <x:c r="R1186" t="str">
        <x:v>OK</x:v>
      </x:c>
      <x:c r="S1186" t="str">
        <x:v>OK</x:v>
      </x:c>
      <x:c r="T1186" t="n">
        <x:v>36</x:v>
      </x:c>
      <x:c r="U1186" t="str">
        <x:v>OK</x:v>
      </x:c>
      <x:c r="V1186" t="str">
        <x:v>OK</x:v>
      </x:c>
      <x:c r="W1186" t="str">
        <x:v>LOAD</x:v>
      </x:c>
      <x:c r="X1186" t="str">
        <x:v>02_Supervisor_Log(4).xlsx</x:v>
      </x:c>
      <x:c r="Y1186" t="str">
        <x:v>ENH-20260830-01</x:v>
      </x:c>
      <x:c r="Z1186" t="str">
        <x:v>Active</x:v>
      </x:c>
      <x:c r="AA1186"/>
      <x:c r="AB1186"/>
      <x:c r="AC1186"/>
      <x:c r="AD1186"/>
    </x:row>
    <x:row r="1187">
      <x:c r="A1187" t="str">
        <x:v>PCC-PE-KG01-L23-20251021-AM-ORD-2025-00092-S05-C1</x:v>
      </x:c>
      <x:c r="B1187" t="str">
        <x:v>PC-PE-KG01-L23-20251021-AM-ORD-2025-00092-S05</x:v>
      </x:c>
      <x:c r="C1187" t="str">
        <x:v>PE-KG01-L23-20251021-AM-ORD-2025-00092</x:v>
      </x:c>
      <x:c r="D1187" t="str">
        <x:v>KG01</x:v>
      </x:c>
      <x:c r="E1187" s="62" t="n">
        <x:v>45951</x:v>
      </x:c>
      <x:c r="F1187" t="str">
        <x:v>AM</x:v>
      </x:c>
      <x:c r="G1187" t="str">
        <x:v>A</x:v>
      </x:c>
      <x:c r="H1187" t="n">
        <x:v>23</x:v>
      </x:c>
      <x:c r="I1187" t="str">
        <x:v>ORD-2025-00092</x:v>
      </x:c>
      <x:c r="J1187" t="n">
        <x:v>5</x:v>
      </x:c>
      <x:c r="K1187" t="n">
        <x:v>1</x:v>
      </x:c>
      <x:c r="L1187" t="str">
        <x:v>L23-S05-C1</x:v>
      </x:c>
      <x:c r="M1187" t="n">
        <x:v>1</x:v>
      </x:c>
      <x:c r="N1187" t="str">
        <x:v>DerivedFromCount</x:v>
      </x:c>
      <x:c r="O1187" t="str">
        <x:v>PLC-PRD-JAR-330-L23</x:v>
      </x:c>
      <x:c r="P1187" t="str">
        <x:v>OK</x:v>
      </x:c>
      <x:c r="Q1187" t="str">
        <x:v>OK</x:v>
      </x:c>
      <x:c r="R1187" t="str">
        <x:v>OK</x:v>
      </x:c>
      <x:c r="S1187" t="str">
        <x:v>OK</x:v>
      </x:c>
      <x:c r="T1187" t="n">
        <x:v>36</x:v>
      </x:c>
      <x:c r="U1187" t="str">
        <x:v>OK</x:v>
      </x:c>
      <x:c r="V1187" t="str">
        <x:v>OK</x:v>
      </x:c>
      <x:c r="W1187" t="str">
        <x:v>LOAD</x:v>
      </x:c>
      <x:c r="X1187" t="str">
        <x:v>02_Supervisor_Log(4).xlsx</x:v>
      </x:c>
      <x:c r="Y1187" t="str">
        <x:v>ENH-20260830-01</x:v>
      </x:c>
      <x:c r="Z1187" t="str">
        <x:v>Active</x:v>
      </x:c>
      <x:c r="AA1187"/>
      <x:c r="AB1187"/>
      <x:c r="AC1187"/>
      <x:c r="AD1187"/>
    </x:row>
    <x:row r="1188">
      <x:c r="A1188" t="str">
        <x:v>PCC-PE-KG01-L23-20251021-AM-ORD-2025-00092-S05-C2</x:v>
      </x:c>
      <x:c r="B1188" t="str">
        <x:v>PC-PE-KG01-L23-20251021-AM-ORD-2025-00092-S05</x:v>
      </x:c>
      <x:c r="C1188" t="str">
        <x:v>PE-KG01-L23-20251021-AM-ORD-2025-00092</x:v>
      </x:c>
      <x:c r="D1188" t="str">
        <x:v>KG01</x:v>
      </x:c>
      <x:c r="E1188" s="62" t="n">
        <x:v>45951</x:v>
      </x:c>
      <x:c r="F1188" t="str">
        <x:v>AM</x:v>
      </x:c>
      <x:c r="G1188" t="str">
        <x:v>A</x:v>
      </x:c>
      <x:c r="H1188" t="n">
        <x:v>23</x:v>
      </x:c>
      <x:c r="I1188" t="str">
        <x:v>ORD-2025-00092</x:v>
      </x:c>
      <x:c r="J1188" t="n">
        <x:v>5</x:v>
      </x:c>
      <x:c r="K1188" t="n">
        <x:v>2</x:v>
      </x:c>
      <x:c r="L1188" t="str">
        <x:v>L23-S05-C2</x:v>
      </x:c>
      <x:c r="M1188" t="n">
        <x:v>1</x:v>
      </x:c>
      <x:c r="N1188" t="str">
        <x:v>DerivedFromCount</x:v>
      </x:c>
      <x:c r="O1188" t="str">
        <x:v>PLC-PRD-JAR-330-L23</x:v>
      </x:c>
      <x:c r="P1188" t="str">
        <x:v>OK</x:v>
      </x:c>
      <x:c r="Q1188" t="str">
        <x:v>OK</x:v>
      </x:c>
      <x:c r="R1188" t="str">
        <x:v>OK</x:v>
      </x:c>
      <x:c r="S1188" t="str">
        <x:v>OK</x:v>
      </x:c>
      <x:c r="T1188" t="n">
        <x:v>36</x:v>
      </x:c>
      <x:c r="U1188" t="str">
        <x:v>OK</x:v>
      </x:c>
      <x:c r="V1188" t="str">
        <x:v>OK</x:v>
      </x:c>
      <x:c r="W1188" t="str">
        <x:v>LOAD</x:v>
      </x:c>
      <x:c r="X1188" t="str">
        <x:v>02_Supervisor_Log(4).xlsx</x:v>
      </x:c>
      <x:c r="Y1188" t="str">
        <x:v>ENH-20260830-01</x:v>
      </x:c>
      <x:c r="Z1188" t="str">
        <x:v>Active</x:v>
      </x:c>
      <x:c r="AA1188"/>
      <x:c r="AB1188"/>
      <x:c r="AC1188"/>
      <x:c r="AD1188"/>
    </x:row>
    <x:row r="1189">
      <x:c r="A1189" t="str">
        <x:v>PCC-PE-KG01-L23-20251021-AM-ORD-2025-00092-S05-C3</x:v>
      </x:c>
      <x:c r="B1189" t="str">
        <x:v>PC-PE-KG01-L23-20251021-AM-ORD-2025-00092-S05</x:v>
      </x:c>
      <x:c r="C1189" t="str">
        <x:v>PE-KG01-L23-20251021-AM-ORD-2025-00092</x:v>
      </x:c>
      <x:c r="D1189" t="str">
        <x:v>KG01</x:v>
      </x:c>
      <x:c r="E1189" s="62" t="n">
        <x:v>45951</x:v>
      </x:c>
      <x:c r="F1189" t="str">
        <x:v>AM</x:v>
      </x:c>
      <x:c r="G1189" t="str">
        <x:v>A</x:v>
      </x:c>
      <x:c r="H1189" t="n">
        <x:v>23</x:v>
      </x:c>
      <x:c r="I1189" t="str">
        <x:v>ORD-2025-00092</x:v>
      </x:c>
      <x:c r="J1189" t="n">
        <x:v>5</x:v>
      </x:c>
      <x:c r="K1189" t="n">
        <x:v>3</x:v>
      </x:c>
      <x:c r="L1189" t="str">
        <x:v>L23-S05-C3</x:v>
      </x:c>
      <x:c r="M1189" t="n">
        <x:v>1</x:v>
      </x:c>
      <x:c r="N1189" t="str">
        <x:v>DerivedFromCount</x:v>
      </x:c>
      <x:c r="O1189" t="str">
        <x:v>PLC-PRD-JAR-330-L23</x:v>
      </x:c>
      <x:c r="P1189" t="str">
        <x:v>OK</x:v>
      </x:c>
      <x:c r="Q1189" t="str">
        <x:v>OK</x:v>
      </x:c>
      <x:c r="R1189" t="str">
        <x:v>OK</x:v>
      </x:c>
      <x:c r="S1189" t="str">
        <x:v>OK</x:v>
      </x:c>
      <x:c r="T1189" t="n">
        <x:v>36</x:v>
      </x:c>
      <x:c r="U1189" t="str">
        <x:v>OK</x:v>
      </x:c>
      <x:c r="V1189" t="str">
        <x:v>OK</x:v>
      </x:c>
      <x:c r="W1189" t="str">
        <x:v>LOAD</x:v>
      </x:c>
      <x:c r="X1189" t="str">
        <x:v>02_Supervisor_Log(4).xlsx</x:v>
      </x:c>
      <x:c r="Y1189" t="str">
        <x:v>ENH-20260830-01</x:v>
      </x:c>
      <x:c r="Z1189" t="str">
        <x:v>Active</x:v>
      </x:c>
      <x:c r="AA1189"/>
      <x:c r="AB1189"/>
      <x:c r="AC1189"/>
      <x:c r="AD1189"/>
    </x:row>
    <x:row r="1190">
      <x:c r="A1190" t="str">
        <x:v>PCC-PE-KG01-L23-20251021-AM-ORD-2025-00092-S06-C1</x:v>
      </x:c>
      <x:c r="B1190" t="str">
        <x:v>PC-PE-KG01-L23-20251021-AM-ORD-2025-00092-S06</x:v>
      </x:c>
      <x:c r="C1190" t="str">
        <x:v>PE-KG01-L23-20251021-AM-ORD-2025-00092</x:v>
      </x:c>
      <x:c r="D1190" t="str">
        <x:v>KG01</x:v>
      </x:c>
      <x:c r="E1190" s="62" t="n">
        <x:v>45951</x:v>
      </x:c>
      <x:c r="F1190" t="str">
        <x:v>AM</x:v>
      </x:c>
      <x:c r="G1190" t="str">
        <x:v>A</x:v>
      </x:c>
      <x:c r="H1190" t="n">
        <x:v>23</x:v>
      </x:c>
      <x:c r="I1190" t="str">
        <x:v>ORD-2025-00092</x:v>
      </x:c>
      <x:c r="J1190" t="n">
        <x:v>6</x:v>
      </x:c>
      <x:c r="K1190" t="n">
        <x:v>1</x:v>
      </x:c>
      <x:c r="L1190" t="str">
        <x:v>L23-S06-C1</x:v>
      </x:c>
      <x:c r="M1190" t="n">
        <x:v>1</x:v>
      </x:c>
      <x:c r="N1190" t="str">
        <x:v>DerivedFromCount</x:v>
      </x:c>
      <x:c r="O1190" t="str">
        <x:v>PLC-PRD-JAR-330-L23</x:v>
      </x:c>
      <x:c r="P1190" t="str">
        <x:v>OK</x:v>
      </x:c>
      <x:c r="Q1190" t="str">
        <x:v>OK</x:v>
      </x:c>
      <x:c r="R1190" t="str">
        <x:v>OK</x:v>
      </x:c>
      <x:c r="S1190" t="str">
        <x:v>OK</x:v>
      </x:c>
      <x:c r="T1190" t="n">
        <x:v>36</x:v>
      </x:c>
      <x:c r="U1190" t="str">
        <x:v>OK</x:v>
      </x:c>
      <x:c r="V1190" t="str">
        <x:v>OK</x:v>
      </x:c>
      <x:c r="W1190" t="str">
        <x:v>LOAD</x:v>
      </x:c>
      <x:c r="X1190" t="str">
        <x:v>02_Supervisor_Log(4).xlsx</x:v>
      </x:c>
      <x:c r="Y1190" t="str">
        <x:v>ENH-20260830-01</x:v>
      </x:c>
      <x:c r="Z1190" t="str">
        <x:v>Active</x:v>
      </x:c>
      <x:c r="AA1190"/>
      <x:c r="AB1190"/>
      <x:c r="AC1190"/>
      <x:c r="AD1190"/>
    </x:row>
    <x:row r="1191">
      <x:c r="A1191" t="str">
        <x:v>PCC-PE-KG01-L23-20251021-AM-ORD-2025-00092-S06-C2</x:v>
      </x:c>
      <x:c r="B1191" t="str">
        <x:v>PC-PE-KG01-L23-20251021-AM-ORD-2025-00092-S06</x:v>
      </x:c>
      <x:c r="C1191" t="str">
        <x:v>PE-KG01-L23-20251021-AM-ORD-2025-00092</x:v>
      </x:c>
      <x:c r="D1191" t="str">
        <x:v>KG01</x:v>
      </x:c>
      <x:c r="E1191" s="62" t="n">
        <x:v>45951</x:v>
      </x:c>
      <x:c r="F1191" t="str">
        <x:v>AM</x:v>
      </x:c>
      <x:c r="G1191" t="str">
        <x:v>A</x:v>
      </x:c>
      <x:c r="H1191" t="n">
        <x:v>23</x:v>
      </x:c>
      <x:c r="I1191" t="str">
        <x:v>ORD-2025-00092</x:v>
      </x:c>
      <x:c r="J1191" t="n">
        <x:v>6</x:v>
      </x:c>
      <x:c r="K1191" t="n">
        <x:v>2</x:v>
      </x:c>
      <x:c r="L1191" t="str">
        <x:v>L23-S06-C2</x:v>
      </x:c>
      <x:c r="M1191" t="n">
        <x:v>1</x:v>
      </x:c>
      <x:c r="N1191" t="str">
        <x:v>DerivedFromCount</x:v>
      </x:c>
      <x:c r="O1191" t="str">
        <x:v>PLC-PRD-JAR-330-L23</x:v>
      </x:c>
      <x:c r="P1191" t="str">
        <x:v>OK</x:v>
      </x:c>
      <x:c r="Q1191" t="str">
        <x:v>OK</x:v>
      </x:c>
      <x:c r="R1191" t="str">
        <x:v>OK</x:v>
      </x:c>
      <x:c r="S1191" t="str">
        <x:v>OK</x:v>
      </x:c>
      <x:c r="T1191" t="n">
        <x:v>36</x:v>
      </x:c>
      <x:c r="U1191" t="str">
        <x:v>OK</x:v>
      </x:c>
      <x:c r="V1191" t="str">
        <x:v>OK</x:v>
      </x:c>
      <x:c r="W1191" t="str">
        <x:v>LOAD</x:v>
      </x:c>
      <x:c r="X1191" t="str">
        <x:v>02_Supervisor_Log(4).xlsx</x:v>
      </x:c>
      <x:c r="Y1191" t="str">
        <x:v>ENH-20260830-01</x:v>
      </x:c>
      <x:c r="Z1191" t="str">
        <x:v>Active</x:v>
      </x:c>
      <x:c r="AA1191"/>
      <x:c r="AB1191"/>
      <x:c r="AC1191"/>
      <x:c r="AD1191"/>
    </x:row>
    <x:row r="1192">
      <x:c r="A1192" t="str">
        <x:v>PCC-PE-KG01-L23-20251021-AM-ORD-2025-00092-S06-C3</x:v>
      </x:c>
      <x:c r="B1192" t="str">
        <x:v>PC-PE-KG01-L23-20251021-AM-ORD-2025-00092-S06</x:v>
      </x:c>
      <x:c r="C1192" t="str">
        <x:v>PE-KG01-L23-20251021-AM-ORD-2025-00092</x:v>
      </x:c>
      <x:c r="D1192" t="str">
        <x:v>KG01</x:v>
      </x:c>
      <x:c r="E1192" s="62" t="n">
        <x:v>45951</x:v>
      </x:c>
      <x:c r="F1192" t="str">
        <x:v>AM</x:v>
      </x:c>
      <x:c r="G1192" t="str">
        <x:v>A</x:v>
      </x:c>
      <x:c r="H1192" t="n">
        <x:v>23</x:v>
      </x:c>
      <x:c r="I1192" t="str">
        <x:v>ORD-2025-00092</x:v>
      </x:c>
      <x:c r="J1192" t="n">
        <x:v>6</x:v>
      </x:c>
      <x:c r="K1192" t="n">
        <x:v>3</x:v>
      </x:c>
      <x:c r="L1192" t="str">
        <x:v>L23-S06-C3</x:v>
      </x:c>
      <x:c r="M1192" t="n">
        <x:v>1</x:v>
      </x:c>
      <x:c r="N1192" t="str">
        <x:v>DerivedFromCount</x:v>
      </x:c>
      <x:c r="O1192" t="str">
        <x:v>PLC-PRD-JAR-330-L23</x:v>
      </x:c>
      <x:c r="P1192" t="str">
        <x:v>OK</x:v>
      </x:c>
      <x:c r="Q1192" t="str">
        <x:v>OK</x:v>
      </x:c>
      <x:c r="R1192" t="str">
        <x:v>OK</x:v>
      </x:c>
      <x:c r="S1192" t="str">
        <x:v>OK</x:v>
      </x:c>
      <x:c r="T1192" t="n">
        <x:v>36</x:v>
      </x:c>
      <x:c r="U1192" t="str">
        <x:v>OK</x:v>
      </x:c>
      <x:c r="V1192" t="str">
        <x:v>OK</x:v>
      </x:c>
      <x:c r="W1192" t="str">
        <x:v>LOAD</x:v>
      </x:c>
      <x:c r="X1192" t="str">
        <x:v>02_Supervisor_Log(4).xlsx</x:v>
      </x:c>
      <x:c r="Y1192" t="str">
        <x:v>ENH-20260830-01</x:v>
      </x:c>
      <x:c r="Z1192" t="str">
        <x:v>Active</x:v>
      </x:c>
      <x:c r="AA1192"/>
      <x:c r="AB1192"/>
      <x:c r="AC1192"/>
      <x:c r="AD1192"/>
    </x:row>
    <x:row r="1193">
      <x:c r="A1193" t="str">
        <x:v>PCC-PE-KG01-L23-20251021-AM-ORD-2025-00092-S07-C1</x:v>
      </x:c>
      <x:c r="B1193" t="str">
        <x:v>PC-PE-KG01-L23-20251021-AM-ORD-2025-00092-S07</x:v>
      </x:c>
      <x:c r="C1193" t="str">
        <x:v>PE-KG01-L23-20251021-AM-ORD-2025-00092</x:v>
      </x:c>
      <x:c r="D1193" t="str">
        <x:v>KG01</x:v>
      </x:c>
      <x:c r="E1193" s="62" t="n">
        <x:v>45951</x:v>
      </x:c>
      <x:c r="F1193" t="str">
        <x:v>AM</x:v>
      </x:c>
      <x:c r="G1193" t="str">
        <x:v>A</x:v>
      </x:c>
      <x:c r="H1193" t="n">
        <x:v>23</x:v>
      </x:c>
      <x:c r="I1193" t="str">
        <x:v>ORD-2025-00092</x:v>
      </x:c>
      <x:c r="J1193" t="n">
        <x:v>7</x:v>
      </x:c>
      <x:c r="K1193" t="n">
        <x:v>1</x:v>
      </x:c>
      <x:c r="L1193" t="str">
        <x:v>L23-S07-C1</x:v>
      </x:c>
      <x:c r="M1193" t="n">
        <x:v>1</x:v>
      </x:c>
      <x:c r="N1193" t="str">
        <x:v>DerivedFromCount</x:v>
      </x:c>
      <x:c r="O1193" t="str">
        <x:v>PLC-PRD-JAR-330-L23</x:v>
      </x:c>
      <x:c r="P1193" t="str">
        <x:v>OK</x:v>
      </x:c>
      <x:c r="Q1193" t="str">
        <x:v>OK</x:v>
      </x:c>
      <x:c r="R1193" t="str">
        <x:v>OK</x:v>
      </x:c>
      <x:c r="S1193" t="str">
        <x:v>OK</x:v>
      </x:c>
      <x:c r="T1193" t="n">
        <x:v>36</x:v>
      </x:c>
      <x:c r="U1193" t="str">
        <x:v>OK</x:v>
      </x:c>
      <x:c r="V1193" t="str">
        <x:v>OK</x:v>
      </x:c>
      <x:c r="W1193" t="str">
        <x:v>LOAD</x:v>
      </x:c>
      <x:c r="X1193" t="str">
        <x:v>02_Supervisor_Log(4).xlsx</x:v>
      </x:c>
      <x:c r="Y1193" t="str">
        <x:v>ENH-20260830-01</x:v>
      </x:c>
      <x:c r="Z1193" t="str">
        <x:v>Active</x:v>
      </x:c>
      <x:c r="AA1193"/>
      <x:c r="AB1193"/>
      <x:c r="AC1193"/>
      <x:c r="AD1193"/>
    </x:row>
    <x:row r="1194">
      <x:c r="A1194" t="str">
        <x:v>PCC-PE-KG01-L23-20251021-AM-ORD-2025-00092-S07-C2</x:v>
      </x:c>
      <x:c r="B1194" t="str">
        <x:v>PC-PE-KG01-L23-20251021-AM-ORD-2025-00092-S07</x:v>
      </x:c>
      <x:c r="C1194" t="str">
        <x:v>PE-KG01-L23-20251021-AM-ORD-2025-00092</x:v>
      </x:c>
      <x:c r="D1194" t="str">
        <x:v>KG01</x:v>
      </x:c>
      <x:c r="E1194" s="62" t="n">
        <x:v>45951</x:v>
      </x:c>
      <x:c r="F1194" t="str">
        <x:v>AM</x:v>
      </x:c>
      <x:c r="G1194" t="str">
        <x:v>A</x:v>
      </x:c>
      <x:c r="H1194" t="n">
        <x:v>23</x:v>
      </x:c>
      <x:c r="I1194" t="str">
        <x:v>ORD-2025-00092</x:v>
      </x:c>
      <x:c r="J1194" t="n">
        <x:v>7</x:v>
      </x:c>
      <x:c r="K1194" t="n">
        <x:v>2</x:v>
      </x:c>
      <x:c r="L1194" t="str">
        <x:v>L23-S07-C2</x:v>
      </x:c>
      <x:c r="M1194" t="n">
        <x:v>1</x:v>
      </x:c>
      <x:c r="N1194" t="str">
        <x:v>DerivedFromCount</x:v>
      </x:c>
      <x:c r="O1194" t="str">
        <x:v>PLC-PRD-JAR-330-L23</x:v>
      </x:c>
      <x:c r="P1194" t="str">
        <x:v>OK</x:v>
      </x:c>
      <x:c r="Q1194" t="str">
        <x:v>OK</x:v>
      </x:c>
      <x:c r="R1194" t="str">
        <x:v>OK</x:v>
      </x:c>
      <x:c r="S1194" t="str">
        <x:v>OK</x:v>
      </x:c>
      <x:c r="T1194" t="n">
        <x:v>36</x:v>
      </x:c>
      <x:c r="U1194" t="str">
        <x:v>OK</x:v>
      </x:c>
      <x:c r="V1194" t="str">
        <x:v>OK</x:v>
      </x:c>
      <x:c r="W1194" t="str">
        <x:v>LOAD</x:v>
      </x:c>
      <x:c r="X1194" t="str">
        <x:v>02_Supervisor_Log(4).xlsx</x:v>
      </x:c>
      <x:c r="Y1194" t="str">
        <x:v>ENH-20260830-01</x:v>
      </x:c>
      <x:c r="Z1194" t="str">
        <x:v>Active</x:v>
      </x:c>
      <x:c r="AA1194"/>
      <x:c r="AB1194"/>
      <x:c r="AC1194"/>
      <x:c r="AD1194"/>
    </x:row>
    <x:row r="1195">
      <x:c r="A1195" t="str">
        <x:v>PCC-PE-KG01-L23-20251021-AM-ORD-2025-00092-S07-C3</x:v>
      </x:c>
      <x:c r="B1195" t="str">
        <x:v>PC-PE-KG01-L23-20251021-AM-ORD-2025-00092-S07</x:v>
      </x:c>
      <x:c r="C1195" t="str">
        <x:v>PE-KG01-L23-20251021-AM-ORD-2025-00092</x:v>
      </x:c>
      <x:c r="D1195" t="str">
        <x:v>KG01</x:v>
      </x:c>
      <x:c r="E1195" s="62" t="n">
        <x:v>45951</x:v>
      </x:c>
      <x:c r="F1195" t="str">
        <x:v>AM</x:v>
      </x:c>
      <x:c r="G1195" t="str">
        <x:v>A</x:v>
      </x:c>
      <x:c r="H1195" t="n">
        <x:v>23</x:v>
      </x:c>
      <x:c r="I1195" t="str">
        <x:v>ORD-2025-00092</x:v>
      </x:c>
      <x:c r="J1195" t="n">
        <x:v>7</x:v>
      </x:c>
      <x:c r="K1195" t="n">
        <x:v>3</x:v>
      </x:c>
      <x:c r="L1195" t="str">
        <x:v>L23-S07-C3</x:v>
      </x:c>
      <x:c r="M1195" t="n">
        <x:v>1</x:v>
      </x:c>
      <x:c r="N1195" t="str">
        <x:v>DerivedFromCount</x:v>
      </x:c>
      <x:c r="O1195" t="str">
        <x:v>PLC-PRD-JAR-330-L23</x:v>
      </x:c>
      <x:c r="P1195" t="str">
        <x:v>OK</x:v>
      </x:c>
      <x:c r="Q1195" t="str">
        <x:v>OK</x:v>
      </x:c>
      <x:c r="R1195" t="str">
        <x:v>OK</x:v>
      </x:c>
      <x:c r="S1195" t="str">
        <x:v>OK</x:v>
      </x:c>
      <x:c r="T1195" t="n">
        <x:v>36</x:v>
      </x:c>
      <x:c r="U1195" t="str">
        <x:v>OK</x:v>
      </x:c>
      <x:c r="V1195" t="str">
        <x:v>OK</x:v>
      </x:c>
      <x:c r="W1195" t="str">
        <x:v>LOAD</x:v>
      </x:c>
      <x:c r="X1195" t="str">
        <x:v>02_Supervisor_Log(4).xlsx</x:v>
      </x:c>
      <x:c r="Y1195" t="str">
        <x:v>ENH-20260830-01</x:v>
      </x:c>
      <x:c r="Z1195" t="str">
        <x:v>Active</x:v>
      </x:c>
      <x:c r="AA1195"/>
      <x:c r="AB1195"/>
      <x:c r="AC1195"/>
      <x:c r="AD1195"/>
    </x:row>
    <x:row r="1196">
      <x:c r="A1196" t="str">
        <x:v>PCC-PE-KG01-L23-20251021-AM-ORD-2025-00092-S08-C1</x:v>
      </x:c>
      <x:c r="B1196" t="str">
        <x:v>PC-PE-KG01-L23-20251021-AM-ORD-2025-00092-S08</x:v>
      </x:c>
      <x:c r="C1196" t="str">
        <x:v>PE-KG01-L23-20251021-AM-ORD-2025-00092</x:v>
      </x:c>
      <x:c r="D1196" t="str">
        <x:v>KG01</x:v>
      </x:c>
      <x:c r="E1196" s="62" t="n">
        <x:v>45951</x:v>
      </x:c>
      <x:c r="F1196" t="str">
        <x:v>AM</x:v>
      </x:c>
      <x:c r="G1196" t="str">
        <x:v>A</x:v>
      </x:c>
      <x:c r="H1196" t="n">
        <x:v>23</x:v>
      </x:c>
      <x:c r="I1196" t="str">
        <x:v>ORD-2025-00092</x:v>
      </x:c>
      <x:c r="J1196" t="n">
        <x:v>8</x:v>
      </x:c>
      <x:c r="K1196" t="n">
        <x:v>1</x:v>
      </x:c>
      <x:c r="L1196" t="str">
        <x:v>L23-S08-C1</x:v>
      </x:c>
      <x:c r="M1196" t="n">
        <x:v>1</x:v>
      </x:c>
      <x:c r="N1196" t="str">
        <x:v>DerivedFromCount</x:v>
      </x:c>
      <x:c r="O1196" t="str">
        <x:v>PLC-PRD-JAR-330-L23</x:v>
      </x:c>
      <x:c r="P1196" t="str">
        <x:v>OK</x:v>
      </x:c>
      <x:c r="Q1196" t="str">
        <x:v>OK</x:v>
      </x:c>
      <x:c r="R1196" t="str">
        <x:v>OK</x:v>
      </x:c>
      <x:c r="S1196" t="str">
        <x:v>OK</x:v>
      </x:c>
      <x:c r="T1196" t="n">
        <x:v>36</x:v>
      </x:c>
      <x:c r="U1196" t="str">
        <x:v>OK</x:v>
      </x:c>
      <x:c r="V1196" t="str">
        <x:v>OK</x:v>
      </x:c>
      <x:c r="W1196" t="str">
        <x:v>LOAD</x:v>
      </x:c>
      <x:c r="X1196" t="str">
        <x:v>02_Supervisor_Log(4).xlsx</x:v>
      </x:c>
      <x:c r="Y1196" t="str">
        <x:v>ENH-20260830-01</x:v>
      </x:c>
      <x:c r="Z1196" t="str">
        <x:v>Active</x:v>
      </x:c>
      <x:c r="AA1196"/>
      <x:c r="AB1196"/>
      <x:c r="AC1196"/>
      <x:c r="AD1196"/>
    </x:row>
    <x:row r="1197">
      <x:c r="A1197" t="str">
        <x:v>PCC-PE-KG01-L23-20251021-AM-ORD-2025-00092-S08-C2</x:v>
      </x:c>
      <x:c r="B1197" t="str">
        <x:v>PC-PE-KG01-L23-20251021-AM-ORD-2025-00092-S08</x:v>
      </x:c>
      <x:c r="C1197" t="str">
        <x:v>PE-KG01-L23-20251021-AM-ORD-2025-00092</x:v>
      </x:c>
      <x:c r="D1197" t="str">
        <x:v>KG01</x:v>
      </x:c>
      <x:c r="E1197" s="62" t="n">
        <x:v>45951</x:v>
      </x:c>
      <x:c r="F1197" t="str">
        <x:v>AM</x:v>
      </x:c>
      <x:c r="G1197" t="str">
        <x:v>A</x:v>
      </x:c>
      <x:c r="H1197" t="n">
        <x:v>23</x:v>
      </x:c>
      <x:c r="I1197" t="str">
        <x:v>ORD-2025-00092</x:v>
      </x:c>
      <x:c r="J1197" t="n">
        <x:v>8</x:v>
      </x:c>
      <x:c r="K1197" t="n">
        <x:v>2</x:v>
      </x:c>
      <x:c r="L1197" t="str">
        <x:v>L23-S08-C2</x:v>
      </x:c>
      <x:c r="M1197" t="n">
        <x:v>1</x:v>
      </x:c>
      <x:c r="N1197" t="str">
        <x:v>DerivedFromCount</x:v>
      </x:c>
      <x:c r="O1197" t="str">
        <x:v>PLC-PRD-JAR-330-L23</x:v>
      </x:c>
      <x:c r="P1197" t="str">
        <x:v>OK</x:v>
      </x:c>
      <x:c r="Q1197" t="str">
        <x:v>OK</x:v>
      </x:c>
      <x:c r="R1197" t="str">
        <x:v>OK</x:v>
      </x:c>
      <x:c r="S1197" t="str">
        <x:v>OK</x:v>
      </x:c>
      <x:c r="T1197" t="n">
        <x:v>36</x:v>
      </x:c>
      <x:c r="U1197" t="str">
        <x:v>OK</x:v>
      </x:c>
      <x:c r="V1197" t="str">
        <x:v>OK</x:v>
      </x:c>
      <x:c r="W1197" t="str">
        <x:v>LOAD</x:v>
      </x:c>
      <x:c r="X1197" t="str">
        <x:v>02_Supervisor_Log(4).xlsx</x:v>
      </x:c>
      <x:c r="Y1197" t="str">
        <x:v>ENH-20260830-01</x:v>
      </x:c>
      <x:c r="Z1197" t="str">
        <x:v>Active</x:v>
      </x:c>
      <x:c r="AA1197"/>
      <x:c r="AB1197"/>
      <x:c r="AC1197"/>
      <x:c r="AD1197"/>
    </x:row>
    <x:row r="1198">
      <x:c r="A1198" t="str">
        <x:v>PCC-PE-KG01-L23-20251021-AM-ORD-2025-00092-S08-C3</x:v>
      </x:c>
      <x:c r="B1198" t="str">
        <x:v>PC-PE-KG01-L23-20251021-AM-ORD-2025-00092-S08</x:v>
      </x:c>
      <x:c r="C1198" t="str">
        <x:v>PE-KG01-L23-20251021-AM-ORD-2025-00092</x:v>
      </x:c>
      <x:c r="D1198" t="str">
        <x:v>KG01</x:v>
      </x:c>
      <x:c r="E1198" s="62" t="n">
        <x:v>45951</x:v>
      </x:c>
      <x:c r="F1198" t="str">
        <x:v>AM</x:v>
      </x:c>
      <x:c r="G1198" t="str">
        <x:v>A</x:v>
      </x:c>
      <x:c r="H1198" t="n">
        <x:v>23</x:v>
      </x:c>
      <x:c r="I1198" t="str">
        <x:v>ORD-2025-00092</x:v>
      </x:c>
      <x:c r="J1198" t="n">
        <x:v>8</x:v>
      </x:c>
      <x:c r="K1198" t="n">
        <x:v>3</x:v>
      </x:c>
      <x:c r="L1198" t="str">
        <x:v>L23-S08-C3</x:v>
      </x:c>
      <x:c r="M1198" t="n">
        <x:v>1</x:v>
      </x:c>
      <x:c r="N1198" t="str">
        <x:v>DerivedFromCount</x:v>
      </x:c>
      <x:c r="O1198" t="str">
        <x:v>PLC-PRD-JAR-330-L23</x:v>
      </x:c>
      <x:c r="P1198" t="str">
        <x:v>OK</x:v>
      </x:c>
      <x:c r="Q1198" t="str">
        <x:v>OK</x:v>
      </x:c>
      <x:c r="R1198" t="str">
        <x:v>OK</x:v>
      </x:c>
      <x:c r="S1198" t="str">
        <x:v>OK</x:v>
      </x:c>
      <x:c r="T1198" t="n">
        <x:v>36</x:v>
      </x:c>
      <x:c r="U1198" t="str">
        <x:v>OK</x:v>
      </x:c>
      <x:c r="V1198" t="str">
        <x:v>OK</x:v>
      </x:c>
      <x:c r="W1198" t="str">
        <x:v>LOAD</x:v>
      </x:c>
      <x:c r="X1198" t="str">
        <x:v>02_Supervisor_Log(4).xlsx</x:v>
      </x:c>
      <x:c r="Y1198" t="str">
        <x:v>ENH-20260830-01</x:v>
      </x:c>
      <x:c r="Z1198" t="str">
        <x:v>Active</x:v>
      </x:c>
      <x:c r="AA1198"/>
      <x:c r="AB1198"/>
      <x:c r="AC1198"/>
      <x:c r="AD1198"/>
    </x:row>
    <x:row r="1199">
      <x:c r="A1199" t="str">
        <x:v>PCC-PE-KG01-L23-20251021-AM-ORD-2025-00092-S09-C1</x:v>
      </x:c>
      <x:c r="B1199" t="str">
        <x:v>PC-PE-KG01-L23-20251021-AM-ORD-2025-00092-S09</x:v>
      </x:c>
      <x:c r="C1199" t="str">
        <x:v>PE-KG01-L23-20251021-AM-ORD-2025-00092</x:v>
      </x:c>
      <x:c r="D1199" t="str">
        <x:v>KG01</x:v>
      </x:c>
      <x:c r="E1199" s="62" t="n">
        <x:v>45951</x:v>
      </x:c>
      <x:c r="F1199" t="str">
        <x:v>AM</x:v>
      </x:c>
      <x:c r="G1199" t="str">
        <x:v>A</x:v>
      </x:c>
      <x:c r="H1199" t="n">
        <x:v>23</x:v>
      </x:c>
      <x:c r="I1199" t="str">
        <x:v>ORD-2025-00092</x:v>
      </x:c>
      <x:c r="J1199" t="n">
        <x:v>9</x:v>
      </x:c>
      <x:c r="K1199" t="n">
        <x:v>1</x:v>
      </x:c>
      <x:c r="L1199" t="str">
        <x:v>L23-S09-C1</x:v>
      </x:c>
      <x:c r="M1199" t="n">
        <x:v>1</x:v>
      </x:c>
      <x:c r="N1199" t="str">
        <x:v>DerivedFromCount</x:v>
      </x:c>
      <x:c r="O1199" t="str">
        <x:v>PLC-PRD-JAR-330-L23</x:v>
      </x:c>
      <x:c r="P1199" t="str">
        <x:v>OK</x:v>
      </x:c>
      <x:c r="Q1199" t="str">
        <x:v>OK</x:v>
      </x:c>
      <x:c r="R1199" t="str">
        <x:v>OK</x:v>
      </x:c>
      <x:c r="S1199" t="str">
        <x:v>OK</x:v>
      </x:c>
      <x:c r="T1199" t="n">
        <x:v>36</x:v>
      </x:c>
      <x:c r="U1199" t="str">
        <x:v>OK</x:v>
      </x:c>
      <x:c r="V1199" t="str">
        <x:v>OK</x:v>
      </x:c>
      <x:c r="W1199" t="str">
        <x:v>LOAD</x:v>
      </x:c>
      <x:c r="X1199" t="str">
        <x:v>02_Supervisor_Log(4).xlsx</x:v>
      </x:c>
      <x:c r="Y1199" t="str">
        <x:v>ENH-20260830-01</x:v>
      </x:c>
      <x:c r="Z1199" t="str">
        <x:v>Active</x:v>
      </x:c>
      <x:c r="AA1199"/>
      <x:c r="AB1199"/>
      <x:c r="AC1199"/>
      <x:c r="AD1199"/>
    </x:row>
    <x:row r="1200">
      <x:c r="A1200" t="str">
        <x:v>PCC-PE-KG01-L23-20251021-AM-ORD-2025-00092-S09-C2</x:v>
      </x:c>
      <x:c r="B1200" t="str">
        <x:v>PC-PE-KG01-L23-20251021-AM-ORD-2025-00092-S09</x:v>
      </x:c>
      <x:c r="C1200" t="str">
        <x:v>PE-KG01-L23-20251021-AM-ORD-2025-00092</x:v>
      </x:c>
      <x:c r="D1200" t="str">
        <x:v>KG01</x:v>
      </x:c>
      <x:c r="E1200" s="62" t="n">
        <x:v>45951</x:v>
      </x:c>
      <x:c r="F1200" t="str">
        <x:v>AM</x:v>
      </x:c>
      <x:c r="G1200" t="str">
        <x:v>A</x:v>
      </x:c>
      <x:c r="H1200" t="n">
        <x:v>23</x:v>
      </x:c>
      <x:c r="I1200" t="str">
        <x:v>ORD-2025-00092</x:v>
      </x:c>
      <x:c r="J1200" t="n">
        <x:v>9</x:v>
      </x:c>
      <x:c r="K1200" t="n">
        <x:v>2</x:v>
      </x:c>
      <x:c r="L1200" t="str">
        <x:v>L23-S09-C2</x:v>
      </x:c>
      <x:c r="M1200" t="n">
        <x:v>1</x:v>
      </x:c>
      <x:c r="N1200" t="str">
        <x:v>DerivedFromCount</x:v>
      </x:c>
      <x:c r="O1200" t="str">
        <x:v>PLC-PRD-JAR-330-L23</x:v>
      </x:c>
      <x:c r="P1200" t="str">
        <x:v>OK</x:v>
      </x:c>
      <x:c r="Q1200" t="str">
        <x:v>OK</x:v>
      </x:c>
      <x:c r="R1200" t="str">
        <x:v>OK</x:v>
      </x:c>
      <x:c r="S1200" t="str">
        <x:v>OK</x:v>
      </x:c>
      <x:c r="T1200" t="n">
        <x:v>36</x:v>
      </x:c>
      <x:c r="U1200" t="str">
        <x:v>OK</x:v>
      </x:c>
      <x:c r="V1200" t="str">
        <x:v>OK</x:v>
      </x:c>
      <x:c r="W1200" t="str">
        <x:v>LOAD</x:v>
      </x:c>
      <x:c r="X1200" t="str">
        <x:v>02_Supervisor_Log(4).xlsx</x:v>
      </x:c>
      <x:c r="Y1200" t="str">
        <x:v>ENH-20260830-01</x:v>
      </x:c>
      <x:c r="Z1200" t="str">
        <x:v>Active</x:v>
      </x:c>
      <x:c r="AA1200"/>
      <x:c r="AB1200"/>
      <x:c r="AC1200"/>
      <x:c r="AD1200"/>
    </x:row>
    <x:row r="1201">
      <x:c r="A1201" t="str">
        <x:v>PCC-PE-KG01-L23-20251021-AM-ORD-2025-00092-S09-C3</x:v>
      </x:c>
      <x:c r="B1201" t="str">
        <x:v>PC-PE-KG01-L23-20251021-AM-ORD-2025-00092-S09</x:v>
      </x:c>
      <x:c r="C1201" t="str">
        <x:v>PE-KG01-L23-20251021-AM-ORD-2025-00092</x:v>
      </x:c>
      <x:c r="D1201" t="str">
        <x:v>KG01</x:v>
      </x:c>
      <x:c r="E1201" s="62" t="n">
        <x:v>45951</x:v>
      </x:c>
      <x:c r="F1201" t="str">
        <x:v>AM</x:v>
      </x:c>
      <x:c r="G1201" t="str">
        <x:v>A</x:v>
      </x:c>
      <x:c r="H1201" t="n">
        <x:v>23</x:v>
      </x:c>
      <x:c r="I1201" t="str">
        <x:v>ORD-2025-00092</x:v>
      </x:c>
      <x:c r="J1201" t="n">
        <x:v>9</x:v>
      </x:c>
      <x:c r="K1201" t="n">
        <x:v>3</x:v>
      </x:c>
      <x:c r="L1201" t="str">
        <x:v>L23-S09-C3</x:v>
      </x:c>
      <x:c r="M1201" t="n">
        <x:v>1</x:v>
      </x:c>
      <x:c r="N1201" t="str">
        <x:v>DerivedFromCount</x:v>
      </x:c>
      <x:c r="O1201" t="str">
        <x:v>PLC-PRD-JAR-330-L23</x:v>
      </x:c>
      <x:c r="P1201" t="str">
        <x:v>OK</x:v>
      </x:c>
      <x:c r="Q1201" t="str">
        <x:v>OK</x:v>
      </x:c>
      <x:c r="R1201" t="str">
        <x:v>OK</x:v>
      </x:c>
      <x:c r="S1201" t="str">
        <x:v>OK</x:v>
      </x:c>
      <x:c r="T1201" t="n">
        <x:v>36</x:v>
      </x:c>
      <x:c r="U1201" t="str">
        <x:v>OK</x:v>
      </x:c>
      <x:c r="V1201" t="str">
        <x:v>OK</x:v>
      </x:c>
      <x:c r="W1201" t="str">
        <x:v>LOAD</x:v>
      </x:c>
      <x:c r="X1201" t="str">
        <x:v>02_Supervisor_Log(4).xlsx</x:v>
      </x:c>
      <x:c r="Y1201" t="str">
        <x:v>ENH-20260830-01</x:v>
      </x:c>
      <x:c r="Z1201" t="str">
        <x:v>Active</x:v>
      </x:c>
      <x:c r="AA1201"/>
      <x:c r="AB1201"/>
      <x:c r="AC1201"/>
      <x:c r="AD1201"/>
    </x:row>
    <x:row r="1202">
      <x:c r="A1202" t="str">
        <x:v>PCC-PE-KG01-L23-20251021-AM-ORD-2025-00092-S10-C1</x:v>
      </x:c>
      <x:c r="B1202" t="str">
        <x:v>PC-PE-KG01-L23-20251021-AM-ORD-2025-00092-S10</x:v>
      </x:c>
      <x:c r="C1202" t="str">
        <x:v>PE-KG01-L23-20251021-AM-ORD-2025-00092</x:v>
      </x:c>
      <x:c r="D1202" t="str">
        <x:v>KG01</x:v>
      </x:c>
      <x:c r="E1202" s="62" t="n">
        <x:v>45951</x:v>
      </x:c>
      <x:c r="F1202" t="str">
        <x:v>AM</x:v>
      </x:c>
      <x:c r="G1202" t="str">
        <x:v>A</x:v>
      </x:c>
      <x:c r="H1202" t="n">
        <x:v>23</x:v>
      </x:c>
      <x:c r="I1202" t="str">
        <x:v>ORD-2025-00092</x:v>
      </x:c>
      <x:c r="J1202" t="n">
        <x:v>10</x:v>
      </x:c>
      <x:c r="K1202" t="n">
        <x:v>1</x:v>
      </x:c>
      <x:c r="L1202" t="str">
        <x:v>L23-S10-C1</x:v>
      </x:c>
      <x:c r="M1202" t="n">
        <x:v>1</x:v>
      </x:c>
      <x:c r="N1202" t="str">
        <x:v>DerivedFromCount</x:v>
      </x:c>
      <x:c r="O1202" t="str">
        <x:v>PLC-PRD-JAR-330-L23</x:v>
      </x:c>
      <x:c r="P1202" t="str">
        <x:v>OK</x:v>
      </x:c>
      <x:c r="Q1202" t="str">
        <x:v>OK</x:v>
      </x:c>
      <x:c r="R1202" t="str">
        <x:v>OK</x:v>
      </x:c>
      <x:c r="S1202" t="str">
        <x:v>OK</x:v>
      </x:c>
      <x:c r="T1202" t="n">
        <x:v>36</x:v>
      </x:c>
      <x:c r="U1202" t="str">
        <x:v>OK</x:v>
      </x:c>
      <x:c r="V1202" t="str">
        <x:v>OK</x:v>
      </x:c>
      <x:c r="W1202" t="str">
        <x:v>LOAD</x:v>
      </x:c>
      <x:c r="X1202" t="str">
        <x:v>02_Supervisor_Log(4).xlsx</x:v>
      </x:c>
      <x:c r="Y1202" t="str">
        <x:v>ENH-20260830-01</x:v>
      </x:c>
      <x:c r="Z1202" t="str">
        <x:v>Active</x:v>
      </x:c>
      <x:c r="AA1202"/>
      <x:c r="AB1202"/>
      <x:c r="AC1202"/>
      <x:c r="AD1202"/>
    </x:row>
    <x:row r="1203">
      <x:c r="A1203" t="str">
        <x:v>PCC-PE-KG01-L23-20251021-AM-ORD-2025-00092-S10-C2</x:v>
      </x:c>
      <x:c r="B1203" t="str">
        <x:v>PC-PE-KG01-L23-20251021-AM-ORD-2025-00092-S10</x:v>
      </x:c>
      <x:c r="C1203" t="str">
        <x:v>PE-KG01-L23-20251021-AM-ORD-2025-00092</x:v>
      </x:c>
      <x:c r="D1203" t="str">
        <x:v>KG01</x:v>
      </x:c>
      <x:c r="E1203" s="62" t="n">
        <x:v>45951</x:v>
      </x:c>
      <x:c r="F1203" t="str">
        <x:v>AM</x:v>
      </x:c>
      <x:c r="G1203" t="str">
        <x:v>A</x:v>
      </x:c>
      <x:c r="H1203" t="n">
        <x:v>23</x:v>
      </x:c>
      <x:c r="I1203" t="str">
        <x:v>ORD-2025-00092</x:v>
      </x:c>
      <x:c r="J1203" t="n">
        <x:v>10</x:v>
      </x:c>
      <x:c r="K1203" t="n">
        <x:v>2</x:v>
      </x:c>
      <x:c r="L1203" t="str">
        <x:v>L23-S10-C2</x:v>
      </x:c>
      <x:c r="M1203" t="n">
        <x:v>1</x:v>
      </x:c>
      <x:c r="N1203" t="str">
        <x:v>DerivedFromCount</x:v>
      </x:c>
      <x:c r="O1203" t="str">
        <x:v>PLC-PRD-JAR-330-L23</x:v>
      </x:c>
      <x:c r="P1203" t="str">
        <x:v>OK</x:v>
      </x:c>
      <x:c r="Q1203" t="str">
        <x:v>OK</x:v>
      </x:c>
      <x:c r="R1203" t="str">
        <x:v>OK</x:v>
      </x:c>
      <x:c r="S1203" t="str">
        <x:v>OK</x:v>
      </x:c>
      <x:c r="T1203" t="n">
        <x:v>36</x:v>
      </x:c>
      <x:c r="U1203" t="str">
        <x:v>OK</x:v>
      </x:c>
      <x:c r="V1203" t="str">
        <x:v>OK</x:v>
      </x:c>
      <x:c r="W1203" t="str">
        <x:v>LOAD</x:v>
      </x:c>
      <x:c r="X1203" t="str">
        <x:v>02_Supervisor_Log(4).xlsx</x:v>
      </x:c>
      <x:c r="Y1203" t="str">
        <x:v>ENH-20260830-01</x:v>
      </x:c>
      <x:c r="Z1203" t="str">
        <x:v>Active</x:v>
      </x:c>
      <x:c r="AA1203"/>
      <x:c r="AB1203"/>
      <x:c r="AC1203"/>
      <x:c r="AD1203"/>
    </x:row>
    <x:row r="1204">
      <x:c r="A1204" t="str">
        <x:v>PCC-PE-KG01-L23-20251021-AM-ORD-2025-00092-S10-C3</x:v>
      </x:c>
      <x:c r="B1204" t="str">
        <x:v>PC-PE-KG01-L23-20251021-AM-ORD-2025-00092-S10</x:v>
      </x:c>
      <x:c r="C1204" t="str">
        <x:v>PE-KG01-L23-20251021-AM-ORD-2025-00092</x:v>
      </x:c>
      <x:c r="D1204" t="str">
        <x:v>KG01</x:v>
      </x:c>
      <x:c r="E1204" s="62" t="n">
        <x:v>45951</x:v>
      </x:c>
      <x:c r="F1204" t="str">
        <x:v>AM</x:v>
      </x:c>
      <x:c r="G1204" t="str">
        <x:v>A</x:v>
      </x:c>
      <x:c r="H1204" t="n">
        <x:v>23</x:v>
      </x:c>
      <x:c r="I1204" t="str">
        <x:v>ORD-2025-00092</x:v>
      </x:c>
      <x:c r="J1204" t="n">
        <x:v>10</x:v>
      </x:c>
      <x:c r="K1204" t="n">
        <x:v>3</x:v>
      </x:c>
      <x:c r="L1204" t="str">
        <x:v>L23-S10-C3</x:v>
      </x:c>
      <x:c r="M1204" t="n">
        <x:v>1</x:v>
      </x:c>
      <x:c r="N1204" t="str">
        <x:v>DerivedFromCount</x:v>
      </x:c>
      <x:c r="O1204" t="str">
        <x:v>PLC-PRD-JAR-330-L23</x:v>
      </x:c>
      <x:c r="P1204" t="str">
        <x:v>OK</x:v>
      </x:c>
      <x:c r="Q1204" t="str">
        <x:v>OK</x:v>
      </x:c>
      <x:c r="R1204" t="str">
        <x:v>OK</x:v>
      </x:c>
      <x:c r="S1204" t="str">
        <x:v>OK</x:v>
      </x:c>
      <x:c r="T1204" t="n">
        <x:v>36</x:v>
      </x:c>
      <x:c r="U1204" t="str">
        <x:v>OK</x:v>
      </x:c>
      <x:c r="V1204" t="str">
        <x:v>OK</x:v>
      </x:c>
      <x:c r="W1204" t="str">
        <x:v>LOAD</x:v>
      </x:c>
      <x:c r="X1204" t="str">
        <x:v>02_Supervisor_Log(4).xlsx</x:v>
      </x:c>
      <x:c r="Y1204" t="str">
        <x:v>ENH-20260830-01</x:v>
      </x:c>
      <x:c r="Z1204" t="str">
        <x:v>Active</x:v>
      </x:c>
      <x:c r="AA1204"/>
      <x:c r="AB1204"/>
      <x:c r="AC1204"/>
      <x:c r="AD1204"/>
    </x:row>
    <x:row r="1205">
      <x:c r="A1205" t="str">
        <x:v>PCC-PE-KG01-L23-20251021-AM-ORD-2025-00092-S11-C1</x:v>
      </x:c>
      <x:c r="B1205" t="str">
        <x:v>PC-PE-KG01-L23-20251021-AM-ORD-2025-00092-S11</x:v>
      </x:c>
      <x:c r="C1205" t="str">
        <x:v>PE-KG01-L23-20251021-AM-ORD-2025-00092</x:v>
      </x:c>
      <x:c r="D1205" t="str">
        <x:v>KG01</x:v>
      </x:c>
      <x:c r="E1205" s="62" t="n">
        <x:v>45951</x:v>
      </x:c>
      <x:c r="F1205" t="str">
        <x:v>AM</x:v>
      </x:c>
      <x:c r="G1205" t="str">
        <x:v>A</x:v>
      </x:c>
      <x:c r="H1205" t="n">
        <x:v>23</x:v>
      </x:c>
      <x:c r="I1205" t="str">
        <x:v>ORD-2025-00092</x:v>
      </x:c>
      <x:c r="J1205" t="n">
        <x:v>11</x:v>
      </x:c>
      <x:c r="K1205" t="n">
        <x:v>1</x:v>
      </x:c>
      <x:c r="L1205" t="str">
        <x:v>L23-S11-C1</x:v>
      </x:c>
      <x:c r="M1205" t="n">
        <x:v>1</x:v>
      </x:c>
      <x:c r="N1205" t="str">
        <x:v>DerivedFromCount</x:v>
      </x:c>
      <x:c r="O1205" t="str">
        <x:v>PLC-PRD-JAR-330-L23</x:v>
      </x:c>
      <x:c r="P1205" t="str">
        <x:v>OK</x:v>
      </x:c>
      <x:c r="Q1205" t="str">
        <x:v>OK</x:v>
      </x:c>
      <x:c r="R1205" t="str">
        <x:v>OK</x:v>
      </x:c>
      <x:c r="S1205" t="str">
        <x:v>OK</x:v>
      </x:c>
      <x:c r="T1205" t="n">
        <x:v>36</x:v>
      </x:c>
      <x:c r="U1205" t="str">
        <x:v>OK</x:v>
      </x:c>
      <x:c r="V1205" t="str">
        <x:v>OK</x:v>
      </x:c>
      <x:c r="W1205" t="str">
        <x:v>LOAD</x:v>
      </x:c>
      <x:c r="X1205" t="str">
        <x:v>02_Supervisor_Log(4).xlsx</x:v>
      </x:c>
      <x:c r="Y1205" t="str">
        <x:v>ENH-20260830-01</x:v>
      </x:c>
      <x:c r="Z1205" t="str">
        <x:v>Active</x:v>
      </x:c>
      <x:c r="AA1205"/>
      <x:c r="AB1205"/>
      <x:c r="AC1205"/>
      <x:c r="AD1205"/>
    </x:row>
    <x:row r="1206">
      <x:c r="A1206" t="str">
        <x:v>PCC-PE-KG01-L23-20251021-AM-ORD-2025-00092-S11-C2</x:v>
      </x:c>
      <x:c r="B1206" t="str">
        <x:v>PC-PE-KG01-L23-20251021-AM-ORD-2025-00092-S11</x:v>
      </x:c>
      <x:c r="C1206" t="str">
        <x:v>PE-KG01-L23-20251021-AM-ORD-2025-00092</x:v>
      </x:c>
      <x:c r="D1206" t="str">
        <x:v>KG01</x:v>
      </x:c>
      <x:c r="E1206" s="62" t="n">
        <x:v>45951</x:v>
      </x:c>
      <x:c r="F1206" t="str">
        <x:v>AM</x:v>
      </x:c>
      <x:c r="G1206" t="str">
        <x:v>A</x:v>
      </x:c>
      <x:c r="H1206" t="n">
        <x:v>23</x:v>
      </x:c>
      <x:c r="I1206" t="str">
        <x:v>ORD-2025-00092</x:v>
      </x:c>
      <x:c r="J1206" t="n">
        <x:v>11</x:v>
      </x:c>
      <x:c r="K1206" t="n">
        <x:v>2</x:v>
      </x:c>
      <x:c r="L1206" t="str">
        <x:v>L23-S11-C2</x:v>
      </x:c>
      <x:c r="M1206" t="n">
        <x:v>1</x:v>
      </x:c>
      <x:c r="N1206" t="str">
        <x:v>DerivedFromCount</x:v>
      </x:c>
      <x:c r="O1206" t="str">
        <x:v>PLC-PRD-JAR-330-L23</x:v>
      </x:c>
      <x:c r="P1206" t="str">
        <x:v>OK</x:v>
      </x:c>
      <x:c r="Q1206" t="str">
        <x:v>OK</x:v>
      </x:c>
      <x:c r="R1206" t="str">
        <x:v>OK</x:v>
      </x:c>
      <x:c r="S1206" t="str">
        <x:v>OK</x:v>
      </x:c>
      <x:c r="T1206" t="n">
        <x:v>36</x:v>
      </x:c>
      <x:c r="U1206" t="str">
        <x:v>OK</x:v>
      </x:c>
      <x:c r="V1206" t="str">
        <x:v>OK</x:v>
      </x:c>
      <x:c r="W1206" t="str">
        <x:v>LOAD</x:v>
      </x:c>
      <x:c r="X1206" t="str">
        <x:v>02_Supervisor_Log(4).xlsx</x:v>
      </x:c>
      <x:c r="Y1206" t="str">
        <x:v>ENH-20260830-01</x:v>
      </x:c>
      <x:c r="Z1206" t="str">
        <x:v>Active</x:v>
      </x:c>
      <x:c r="AA1206"/>
      <x:c r="AB1206"/>
      <x:c r="AC1206"/>
      <x:c r="AD1206"/>
    </x:row>
    <x:row r="1207">
      <x:c r="A1207" t="str">
        <x:v>PCC-PE-KG01-L23-20251021-AM-ORD-2025-00092-S11-C3</x:v>
      </x:c>
      <x:c r="B1207" t="str">
        <x:v>PC-PE-KG01-L23-20251021-AM-ORD-2025-00092-S11</x:v>
      </x:c>
      <x:c r="C1207" t="str">
        <x:v>PE-KG01-L23-20251021-AM-ORD-2025-00092</x:v>
      </x:c>
      <x:c r="D1207" t="str">
        <x:v>KG01</x:v>
      </x:c>
      <x:c r="E1207" s="62" t="n">
        <x:v>45951</x:v>
      </x:c>
      <x:c r="F1207" t="str">
        <x:v>AM</x:v>
      </x:c>
      <x:c r="G1207" t="str">
        <x:v>A</x:v>
      </x:c>
      <x:c r="H1207" t="n">
        <x:v>23</x:v>
      </x:c>
      <x:c r="I1207" t="str">
        <x:v>ORD-2025-00092</x:v>
      </x:c>
      <x:c r="J1207" t="n">
        <x:v>11</x:v>
      </x:c>
      <x:c r="K1207" t="n">
        <x:v>3</x:v>
      </x:c>
      <x:c r="L1207" t="str">
        <x:v>L23-S11-C3</x:v>
      </x:c>
      <x:c r="M1207" t="n">
        <x:v>1</x:v>
      </x:c>
      <x:c r="N1207" t="str">
        <x:v>DerivedFromCount</x:v>
      </x:c>
      <x:c r="O1207" t="str">
        <x:v>PLC-PRD-JAR-330-L23</x:v>
      </x:c>
      <x:c r="P1207" t="str">
        <x:v>OK</x:v>
      </x:c>
      <x:c r="Q1207" t="str">
        <x:v>OK</x:v>
      </x:c>
      <x:c r="R1207" t="str">
        <x:v>OK</x:v>
      </x:c>
      <x:c r="S1207" t="str">
        <x:v>OK</x:v>
      </x:c>
      <x:c r="T1207" t="n">
        <x:v>36</x:v>
      </x:c>
      <x:c r="U1207" t="str">
        <x:v>OK</x:v>
      </x:c>
      <x:c r="V1207" t="str">
        <x:v>OK</x:v>
      </x:c>
      <x:c r="W1207" t="str">
        <x:v>LOAD</x:v>
      </x:c>
      <x:c r="X1207" t="str">
        <x:v>02_Supervisor_Log(4).xlsx</x:v>
      </x:c>
      <x:c r="Y1207" t="str">
        <x:v>ENH-20260830-01</x:v>
      </x:c>
      <x:c r="Z1207" t="str">
        <x:v>Active</x:v>
      </x:c>
      <x:c r="AA1207"/>
      <x:c r="AB1207"/>
      <x:c r="AC1207"/>
      <x:c r="AD1207"/>
    </x:row>
    <x:row r="1208">
      <x:c r="A1208" t="str">
        <x:v>PCC-PE-KG01-L23-20251021-AM-ORD-2025-00092-S12-C1</x:v>
      </x:c>
      <x:c r="B1208" t="str">
        <x:v>PC-PE-KG01-L23-20251021-AM-ORD-2025-00092-S12</x:v>
      </x:c>
      <x:c r="C1208" t="str">
        <x:v>PE-KG01-L23-20251021-AM-ORD-2025-00092</x:v>
      </x:c>
      <x:c r="D1208" t="str">
        <x:v>KG01</x:v>
      </x:c>
      <x:c r="E1208" s="62" t="n">
        <x:v>45951</x:v>
      </x:c>
      <x:c r="F1208" t="str">
        <x:v>AM</x:v>
      </x:c>
      <x:c r="G1208" t="str">
        <x:v>A</x:v>
      </x:c>
      <x:c r="H1208" t="n">
        <x:v>23</x:v>
      </x:c>
      <x:c r="I1208" t="str">
        <x:v>ORD-2025-00092</x:v>
      </x:c>
      <x:c r="J1208" t="n">
        <x:v>12</x:v>
      </x:c>
      <x:c r="K1208" t="n">
        <x:v>1</x:v>
      </x:c>
      <x:c r="L1208" t="str">
        <x:v>L23-S12-C1</x:v>
      </x:c>
      <x:c r="M1208" t="n">
        <x:v>1</x:v>
      </x:c>
      <x:c r="N1208" t="str">
        <x:v>DerivedFromCount</x:v>
      </x:c>
      <x:c r="O1208" t="str">
        <x:v>PLC-PRD-JAR-330-L23</x:v>
      </x:c>
      <x:c r="P1208" t="str">
        <x:v>OK</x:v>
      </x:c>
      <x:c r="Q1208" t="str">
        <x:v>OK</x:v>
      </x:c>
      <x:c r="R1208" t="str">
        <x:v>OK</x:v>
      </x:c>
      <x:c r="S1208" t="str">
        <x:v>OK</x:v>
      </x:c>
      <x:c r="T1208" t="n">
        <x:v>36</x:v>
      </x:c>
      <x:c r="U1208" t="str">
        <x:v>OK</x:v>
      </x:c>
      <x:c r="V1208" t="str">
        <x:v>OK</x:v>
      </x:c>
      <x:c r="W1208" t="str">
        <x:v>LOAD</x:v>
      </x:c>
      <x:c r="X1208" t="str">
        <x:v>02_Supervisor_Log(4).xlsx</x:v>
      </x:c>
      <x:c r="Y1208" t="str">
        <x:v>ENH-20260830-01</x:v>
      </x:c>
      <x:c r="Z1208" t="str">
        <x:v>Active</x:v>
      </x:c>
      <x:c r="AA1208"/>
      <x:c r="AB1208"/>
      <x:c r="AC1208"/>
      <x:c r="AD1208"/>
    </x:row>
    <x:row r="1209">
      <x:c r="A1209" t="str">
        <x:v>PCC-PE-KG01-L23-20251021-AM-ORD-2025-00092-S12-C2</x:v>
      </x:c>
      <x:c r="B1209" t="str">
        <x:v>PC-PE-KG01-L23-20251021-AM-ORD-2025-00092-S12</x:v>
      </x:c>
      <x:c r="C1209" t="str">
        <x:v>PE-KG01-L23-20251021-AM-ORD-2025-00092</x:v>
      </x:c>
      <x:c r="D1209" t="str">
        <x:v>KG01</x:v>
      </x:c>
      <x:c r="E1209" s="62" t="n">
        <x:v>45951</x:v>
      </x:c>
      <x:c r="F1209" t="str">
        <x:v>AM</x:v>
      </x:c>
      <x:c r="G1209" t="str">
        <x:v>A</x:v>
      </x:c>
      <x:c r="H1209" t="n">
        <x:v>23</x:v>
      </x:c>
      <x:c r="I1209" t="str">
        <x:v>ORD-2025-00092</x:v>
      </x:c>
      <x:c r="J1209" t="n">
        <x:v>12</x:v>
      </x:c>
      <x:c r="K1209" t="n">
        <x:v>2</x:v>
      </x:c>
      <x:c r="L1209" t="str">
        <x:v>L23-S12-C2</x:v>
      </x:c>
      <x:c r="M1209" t="n">
        <x:v>1</x:v>
      </x:c>
      <x:c r="N1209" t="str">
        <x:v>DerivedFromCount</x:v>
      </x:c>
      <x:c r="O1209" t="str">
        <x:v>PLC-PRD-JAR-330-L23</x:v>
      </x:c>
      <x:c r="P1209" t="str">
        <x:v>OK</x:v>
      </x:c>
      <x:c r="Q1209" t="str">
        <x:v>OK</x:v>
      </x:c>
      <x:c r="R1209" t="str">
        <x:v>OK</x:v>
      </x:c>
      <x:c r="S1209" t="str">
        <x:v>OK</x:v>
      </x:c>
      <x:c r="T1209" t="n">
        <x:v>36</x:v>
      </x:c>
      <x:c r="U1209" t="str">
        <x:v>OK</x:v>
      </x:c>
      <x:c r="V1209" t="str">
        <x:v>OK</x:v>
      </x:c>
      <x:c r="W1209" t="str">
        <x:v>LOAD</x:v>
      </x:c>
      <x:c r="X1209" t="str">
        <x:v>02_Supervisor_Log(4).xlsx</x:v>
      </x:c>
      <x:c r="Y1209" t="str">
        <x:v>ENH-20260830-01</x:v>
      </x:c>
      <x:c r="Z1209" t="str">
        <x:v>Active</x:v>
      </x:c>
      <x:c r="AA1209"/>
      <x:c r="AB1209"/>
      <x:c r="AC1209"/>
      <x:c r="AD1209"/>
    </x:row>
    <x:row r="1210">
      <x:c r="A1210" t="str">
        <x:v>PCC-PE-KG01-L23-20251021-AM-ORD-2025-00092-S12-C3</x:v>
      </x:c>
      <x:c r="B1210" t="str">
        <x:v>PC-PE-KG01-L23-20251021-AM-ORD-2025-00092-S12</x:v>
      </x:c>
      <x:c r="C1210" t="str">
        <x:v>PE-KG01-L23-20251021-AM-ORD-2025-00092</x:v>
      </x:c>
      <x:c r="D1210" t="str">
        <x:v>KG01</x:v>
      </x:c>
      <x:c r="E1210" s="62" t="n">
        <x:v>45951</x:v>
      </x:c>
      <x:c r="F1210" t="str">
        <x:v>AM</x:v>
      </x:c>
      <x:c r="G1210" t="str">
        <x:v>A</x:v>
      </x:c>
      <x:c r="H1210" t="n">
        <x:v>23</x:v>
      </x:c>
      <x:c r="I1210" t="str">
        <x:v>ORD-2025-00092</x:v>
      </x:c>
      <x:c r="J1210" t="n">
        <x:v>12</x:v>
      </x:c>
      <x:c r="K1210" t="n">
        <x:v>3</x:v>
      </x:c>
      <x:c r="L1210" t="str">
        <x:v>L23-S12-C3</x:v>
      </x:c>
      <x:c r="M1210" t="n">
        <x:v>1</x:v>
      </x:c>
      <x:c r="N1210" t="str">
        <x:v>DerivedFromCount</x:v>
      </x:c>
      <x:c r="O1210" t="str">
        <x:v>PLC-PRD-JAR-330-L23</x:v>
      </x:c>
      <x:c r="P1210" t="str">
        <x:v>OK</x:v>
      </x:c>
      <x:c r="Q1210" t="str">
        <x:v>OK</x:v>
      </x:c>
      <x:c r="R1210" t="str">
        <x:v>OK</x:v>
      </x:c>
      <x:c r="S1210" t="str">
        <x:v>OK</x:v>
      </x:c>
      <x:c r="T1210" t="n">
        <x:v>36</x:v>
      </x:c>
      <x:c r="U1210" t="str">
        <x:v>OK</x:v>
      </x:c>
      <x:c r="V1210" t="str">
        <x:v>OK</x:v>
      </x:c>
      <x:c r="W1210" t="str">
        <x:v>LOAD</x:v>
      </x:c>
      <x:c r="X1210" t="str">
        <x:v>02_Supervisor_Log(4).xlsx</x:v>
      </x:c>
      <x:c r="Y1210" t="str">
        <x:v>ENH-20260830-01</x:v>
      </x:c>
      <x:c r="Z1210" t="str">
        <x:v>Active</x:v>
      </x:c>
      <x:c r="AA1210"/>
      <x:c r="AB1210"/>
      <x:c r="AC1210"/>
      <x:c r="AD1210"/>
    </x:row>
    <x:row r="1211">
      <x:c r="A1211" t="str">
        <x:v>PCC-PE-KG01-L23-20251021-AM-ORD-2025-00092-S13-C1</x:v>
      </x:c>
      <x:c r="B1211" t="str">
        <x:v>PC-PE-KG01-L23-20251021-AM-ORD-2025-00092-S13</x:v>
      </x:c>
      <x:c r="C1211" t="str">
        <x:v>PE-KG01-L23-20251021-AM-ORD-2025-00092</x:v>
      </x:c>
      <x:c r="D1211" t="str">
        <x:v>KG01</x:v>
      </x:c>
      <x:c r="E1211" s="62" t="n">
        <x:v>45951</x:v>
      </x:c>
      <x:c r="F1211" t="str">
        <x:v>AM</x:v>
      </x:c>
      <x:c r="G1211" t="str">
        <x:v>A</x:v>
      </x:c>
      <x:c r="H1211" t="n">
        <x:v>23</x:v>
      </x:c>
      <x:c r="I1211" t="str">
        <x:v>ORD-2025-00092</x:v>
      </x:c>
      <x:c r="J1211" t="n">
        <x:v>13</x:v>
      </x:c>
      <x:c r="K1211" t="n">
        <x:v>1</x:v>
      </x:c>
      <x:c r="L1211" t="str">
        <x:v>L23-S13-C1</x:v>
      </x:c>
      <x:c r="M1211" t="n">
        <x:v>0</x:v>
      </x:c>
      <x:c r="N1211" t="str">
        <x:v>DerivedFromCount</x:v>
      </x:c>
      <x:c r="O1211" t="str">
        <x:v>PLC-PRD-JAR-330-L23</x:v>
      </x:c>
      <x:c r="P1211" t="str">
        <x:v>OK</x:v>
      </x:c>
      <x:c r="Q1211" t="str">
        <x:v>OK</x:v>
      </x:c>
      <x:c r="R1211" t="str">
        <x:v>OK</x:v>
      </x:c>
      <x:c r="S1211" t="str">
        <x:v>OK</x:v>
      </x:c>
      <x:c r="T1211" t="n">
        <x:v>36</x:v>
      </x:c>
      <x:c r="U1211" t="str">
        <x:v>OK</x:v>
      </x:c>
      <x:c r="V1211" t="str">
        <x:v>OK</x:v>
      </x:c>
      <x:c r="W1211" t="str">
        <x:v>LOAD</x:v>
      </x:c>
      <x:c r="X1211" t="str">
        <x:v>02_Supervisor_Log(4).xlsx</x:v>
      </x:c>
      <x:c r="Y1211" t="str">
        <x:v>ENH-20260830-01</x:v>
      </x:c>
      <x:c r="Z1211" t="str">
        <x:v>Active</x:v>
      </x:c>
      <x:c r="AA1211"/>
      <x:c r="AB1211"/>
      <x:c r="AC1211"/>
      <x:c r="AD1211"/>
    </x:row>
    <x:row r="1212">
      <x:c r="A1212" t="str">
        <x:v>PCC-PE-KG01-L23-20251021-AM-ORD-2025-00092-S13-C2</x:v>
      </x:c>
      <x:c r="B1212" t="str">
        <x:v>PC-PE-KG01-L23-20251021-AM-ORD-2025-00092-S13</x:v>
      </x:c>
      <x:c r="C1212" t="str">
        <x:v>PE-KG01-L23-20251021-AM-ORD-2025-00092</x:v>
      </x:c>
      <x:c r="D1212" t="str">
        <x:v>KG01</x:v>
      </x:c>
      <x:c r="E1212" s="62" t="n">
        <x:v>45951</x:v>
      </x:c>
      <x:c r="F1212" t="str">
        <x:v>AM</x:v>
      </x:c>
      <x:c r="G1212" t="str">
        <x:v>A</x:v>
      </x:c>
      <x:c r="H1212" t="n">
        <x:v>23</x:v>
      </x:c>
      <x:c r="I1212" t="str">
        <x:v>ORD-2025-00092</x:v>
      </x:c>
      <x:c r="J1212" t="n">
        <x:v>13</x:v>
      </x:c>
      <x:c r="K1212" t="n">
        <x:v>2</x:v>
      </x:c>
      <x:c r="L1212" t="str">
        <x:v>L23-S13-C2</x:v>
      </x:c>
      <x:c r="M1212" t="n">
        <x:v>0</x:v>
      </x:c>
      <x:c r="N1212" t="str">
        <x:v>DerivedFromCount</x:v>
      </x:c>
      <x:c r="O1212" t="str">
        <x:v>PLC-PRD-JAR-330-L23</x:v>
      </x:c>
      <x:c r="P1212" t="str">
        <x:v>OK</x:v>
      </x:c>
      <x:c r="Q1212" t="str">
        <x:v>OK</x:v>
      </x:c>
      <x:c r="R1212" t="str">
        <x:v>OK</x:v>
      </x:c>
      <x:c r="S1212" t="str">
        <x:v>OK</x:v>
      </x:c>
      <x:c r="T1212" t="n">
        <x:v>36</x:v>
      </x:c>
      <x:c r="U1212" t="str">
        <x:v>OK</x:v>
      </x:c>
      <x:c r="V1212" t="str">
        <x:v>OK</x:v>
      </x:c>
      <x:c r="W1212" t="str">
        <x:v>LOAD</x:v>
      </x:c>
      <x:c r="X1212" t="str">
        <x:v>02_Supervisor_Log(4).xlsx</x:v>
      </x:c>
      <x:c r="Y1212" t="str">
        <x:v>ENH-20260830-01</x:v>
      </x:c>
      <x:c r="Z1212" t="str">
        <x:v>Active</x:v>
      </x:c>
      <x:c r="AA1212"/>
      <x:c r="AB1212"/>
      <x:c r="AC1212"/>
      <x:c r="AD1212"/>
    </x:row>
    <x:row r="1213">
      <x:c r="A1213" t="str">
        <x:v>PCC-PE-KG01-L23-20251021-AM-ORD-2025-00092-S13-C3</x:v>
      </x:c>
      <x:c r="B1213" t="str">
        <x:v>PC-PE-KG01-L23-20251021-AM-ORD-2025-00092-S13</x:v>
      </x:c>
      <x:c r="C1213" t="str">
        <x:v>PE-KG01-L23-20251021-AM-ORD-2025-00092</x:v>
      </x:c>
      <x:c r="D1213" t="str">
        <x:v>KG01</x:v>
      </x:c>
      <x:c r="E1213" s="62" t="n">
        <x:v>45951</x:v>
      </x:c>
      <x:c r="F1213" t="str">
        <x:v>AM</x:v>
      </x:c>
      <x:c r="G1213" t="str">
        <x:v>A</x:v>
      </x:c>
      <x:c r="H1213" t="n">
        <x:v>23</x:v>
      </x:c>
      <x:c r="I1213" t="str">
        <x:v>ORD-2025-00092</x:v>
      </x:c>
      <x:c r="J1213" t="n">
        <x:v>13</x:v>
      </x:c>
      <x:c r="K1213" t="n">
        <x:v>3</x:v>
      </x:c>
      <x:c r="L1213" t="str">
        <x:v>L23-S13-C3</x:v>
      </x:c>
      <x:c r="M1213" t="n">
        <x:v>0</x:v>
      </x:c>
      <x:c r="N1213" t="str">
        <x:v>DerivedFromCount</x:v>
      </x:c>
      <x:c r="O1213" t="str">
        <x:v>PLC-PRD-JAR-330-L23</x:v>
      </x:c>
      <x:c r="P1213" t="str">
        <x:v>OK</x:v>
      </x:c>
      <x:c r="Q1213" t="str">
        <x:v>OK</x:v>
      </x:c>
      <x:c r="R1213" t="str">
        <x:v>OK</x:v>
      </x:c>
      <x:c r="S1213" t="str">
        <x:v>OK</x:v>
      </x:c>
      <x:c r="T1213" t="n">
        <x:v>36</x:v>
      </x:c>
      <x:c r="U1213" t="str">
        <x:v>OK</x:v>
      </x:c>
      <x:c r="V1213" t="str">
        <x:v>OK</x:v>
      </x:c>
      <x:c r="W1213" t="str">
        <x:v>LOAD</x:v>
      </x:c>
      <x:c r="X1213" t="str">
        <x:v>02_Supervisor_Log(4).xlsx</x:v>
      </x:c>
      <x:c r="Y1213" t="str">
        <x:v>ENH-20260830-01</x:v>
      </x:c>
      <x:c r="Z1213" t="str">
        <x:v>Active</x:v>
      </x:c>
      <x:c r="AA1213"/>
      <x:c r="AB1213"/>
      <x:c r="AC1213"/>
      <x:c r="AD1213"/>
    </x:row>
    <x:row r="1214">
      <x:c r="A1214" t="str">
        <x:v>PCC-PE-KG01-L23-20251021-PM-ORD-2025-00092-S01-C1</x:v>
      </x:c>
      <x:c r="B1214" t="str">
        <x:v>PC-PE-KG01-L23-20251021-PM-ORD-2025-00092-S01</x:v>
      </x:c>
      <x:c r="C1214" t="str">
        <x:v>PE-KG01-L23-20251021-PM-ORD-2025-00092</x:v>
      </x:c>
      <x:c r="D1214" t="str">
        <x:v>KG01</x:v>
      </x:c>
      <x:c r="E1214" s="62" t="n">
        <x:v>45951</x:v>
      </x:c>
      <x:c r="F1214" t="str">
        <x:v>PM</x:v>
      </x:c>
      <x:c r="G1214" t="str">
        <x:v>B</x:v>
      </x:c>
      <x:c r="H1214" t="n">
        <x:v>23</x:v>
      </x:c>
      <x:c r="I1214" t="str">
        <x:v>ORD-2025-00092</x:v>
      </x:c>
      <x:c r="J1214" t="n">
        <x:v>1</x:v>
      </x:c>
      <x:c r="K1214" t="n">
        <x:v>1</x:v>
      </x:c>
      <x:c r="L1214" t="str">
        <x:v>L23-S01-C1</x:v>
      </x:c>
      <x:c r="M1214" t="n">
        <x:v>1</x:v>
      </x:c>
      <x:c r="N1214" t="str">
        <x:v>DerivedFromCount</x:v>
      </x:c>
      <x:c r="O1214" t="str">
        <x:v>PLC-PRD-JAR-330-L23</x:v>
      </x:c>
      <x:c r="P1214" t="str">
        <x:v>OK</x:v>
      </x:c>
      <x:c r="Q1214" t="str">
        <x:v>OK</x:v>
      </x:c>
      <x:c r="R1214" t="str">
        <x:v>OK</x:v>
      </x:c>
      <x:c r="S1214" t="str">
        <x:v>OK</x:v>
      </x:c>
      <x:c r="T1214" t="n">
        <x:v>36</x:v>
      </x:c>
      <x:c r="U1214" t="str">
        <x:v>OK</x:v>
      </x:c>
      <x:c r="V1214" t="str">
        <x:v>OK</x:v>
      </x:c>
      <x:c r="W1214" t="str">
        <x:v>LOAD</x:v>
      </x:c>
      <x:c r="X1214" t="str">
        <x:v>02_Supervisor_Log(4).xlsx</x:v>
      </x:c>
      <x:c r="Y1214" t="str">
        <x:v>ENH-20260830-01</x:v>
      </x:c>
      <x:c r="Z1214" t="str">
        <x:v>Active</x:v>
      </x:c>
      <x:c r="AA1214"/>
      <x:c r="AB1214"/>
      <x:c r="AC1214"/>
      <x:c r="AD1214"/>
    </x:row>
    <x:row r="1215">
      <x:c r="A1215" t="str">
        <x:v>PCC-PE-KG01-L23-20251021-PM-ORD-2025-00092-S01-C2</x:v>
      </x:c>
      <x:c r="B1215" t="str">
        <x:v>PC-PE-KG01-L23-20251021-PM-ORD-2025-00092-S01</x:v>
      </x:c>
      <x:c r="C1215" t="str">
        <x:v>PE-KG01-L23-20251021-PM-ORD-2025-00092</x:v>
      </x:c>
      <x:c r="D1215" t="str">
        <x:v>KG01</x:v>
      </x:c>
      <x:c r="E1215" s="62" t="n">
        <x:v>45951</x:v>
      </x:c>
      <x:c r="F1215" t="str">
        <x:v>PM</x:v>
      </x:c>
      <x:c r="G1215" t="str">
        <x:v>B</x:v>
      </x:c>
      <x:c r="H1215" t="n">
        <x:v>23</x:v>
      </x:c>
      <x:c r="I1215" t="str">
        <x:v>ORD-2025-00092</x:v>
      </x:c>
      <x:c r="J1215" t="n">
        <x:v>1</x:v>
      </x:c>
      <x:c r="K1215" t="n">
        <x:v>2</x:v>
      </x:c>
      <x:c r="L1215" t="str">
        <x:v>L23-S01-C2</x:v>
      </x:c>
      <x:c r="M1215" t="n">
        <x:v>1</x:v>
      </x:c>
      <x:c r="N1215" t="str">
        <x:v>DerivedFromCount</x:v>
      </x:c>
      <x:c r="O1215" t="str">
        <x:v>PLC-PRD-JAR-330-L23</x:v>
      </x:c>
      <x:c r="P1215" t="str">
        <x:v>OK</x:v>
      </x:c>
      <x:c r="Q1215" t="str">
        <x:v>OK</x:v>
      </x:c>
      <x:c r="R1215" t="str">
        <x:v>OK</x:v>
      </x:c>
      <x:c r="S1215" t="str">
        <x:v>OK</x:v>
      </x:c>
      <x:c r="T1215" t="n">
        <x:v>36</x:v>
      </x:c>
      <x:c r="U1215" t="str">
        <x:v>OK</x:v>
      </x:c>
      <x:c r="V1215" t="str">
        <x:v>OK</x:v>
      </x:c>
      <x:c r="W1215" t="str">
        <x:v>LOAD</x:v>
      </x:c>
      <x:c r="X1215" t="str">
        <x:v>02_Supervisor_Log(4).xlsx</x:v>
      </x:c>
      <x:c r="Y1215" t="str">
        <x:v>ENH-20260830-01</x:v>
      </x:c>
      <x:c r="Z1215" t="str">
        <x:v>Active</x:v>
      </x:c>
      <x:c r="AA1215"/>
      <x:c r="AB1215"/>
      <x:c r="AC1215"/>
      <x:c r="AD1215"/>
    </x:row>
    <x:row r="1216">
      <x:c r="A1216" t="str">
        <x:v>PCC-PE-KG01-L23-20251021-PM-ORD-2025-00092-S01-C3</x:v>
      </x:c>
      <x:c r="B1216" t="str">
        <x:v>PC-PE-KG01-L23-20251021-PM-ORD-2025-00092-S01</x:v>
      </x:c>
      <x:c r="C1216" t="str">
        <x:v>PE-KG01-L23-20251021-PM-ORD-2025-00092</x:v>
      </x:c>
      <x:c r="D1216" t="str">
        <x:v>KG01</x:v>
      </x:c>
      <x:c r="E1216" s="62" t="n">
        <x:v>45951</x:v>
      </x:c>
      <x:c r="F1216" t="str">
        <x:v>PM</x:v>
      </x:c>
      <x:c r="G1216" t="str">
        <x:v>B</x:v>
      </x:c>
      <x:c r="H1216" t="n">
        <x:v>23</x:v>
      </x:c>
      <x:c r="I1216" t="str">
        <x:v>ORD-2025-00092</x:v>
      </x:c>
      <x:c r="J1216" t="n">
        <x:v>1</x:v>
      </x:c>
      <x:c r="K1216" t="n">
        <x:v>3</x:v>
      </x:c>
      <x:c r="L1216" t="str">
        <x:v>L23-S01-C3</x:v>
      </x:c>
      <x:c r="M1216" t="n">
        <x:v>1</x:v>
      </x:c>
      <x:c r="N1216" t="str">
        <x:v>DerivedFromCount</x:v>
      </x:c>
      <x:c r="O1216" t="str">
        <x:v>PLC-PRD-JAR-330-L23</x:v>
      </x:c>
      <x:c r="P1216" t="str">
        <x:v>OK</x:v>
      </x:c>
      <x:c r="Q1216" t="str">
        <x:v>OK</x:v>
      </x:c>
      <x:c r="R1216" t="str">
        <x:v>OK</x:v>
      </x:c>
      <x:c r="S1216" t="str">
        <x:v>OK</x:v>
      </x:c>
      <x:c r="T1216" t="n">
        <x:v>36</x:v>
      </x:c>
      <x:c r="U1216" t="str">
        <x:v>OK</x:v>
      </x:c>
      <x:c r="V1216" t="str">
        <x:v>OK</x:v>
      </x:c>
      <x:c r="W1216" t="str">
        <x:v>LOAD</x:v>
      </x:c>
      <x:c r="X1216" t="str">
        <x:v>02_Supervisor_Log(4).xlsx</x:v>
      </x:c>
      <x:c r="Y1216" t="str">
        <x:v>ENH-20260830-01</x:v>
      </x:c>
      <x:c r="Z1216" t="str">
        <x:v>Active</x:v>
      </x:c>
      <x:c r="AA1216"/>
      <x:c r="AB1216"/>
      <x:c r="AC1216"/>
      <x:c r="AD1216"/>
    </x:row>
    <x:row r="1217">
      <x:c r="A1217" t="str">
        <x:v>PCC-PE-KG01-L23-20251021-PM-ORD-2025-00092-S02-C1</x:v>
      </x:c>
      <x:c r="B1217" t="str">
        <x:v>PC-PE-KG01-L23-20251021-PM-ORD-2025-00092-S02</x:v>
      </x:c>
      <x:c r="C1217" t="str">
        <x:v>PE-KG01-L23-20251021-PM-ORD-2025-00092</x:v>
      </x:c>
      <x:c r="D1217" t="str">
        <x:v>KG01</x:v>
      </x:c>
      <x:c r="E1217" s="62" t="n">
        <x:v>45951</x:v>
      </x:c>
      <x:c r="F1217" t="str">
        <x:v>PM</x:v>
      </x:c>
      <x:c r="G1217" t="str">
        <x:v>B</x:v>
      </x:c>
      <x:c r="H1217" t="n">
        <x:v>23</x:v>
      </x:c>
      <x:c r="I1217" t="str">
        <x:v>ORD-2025-00092</x:v>
      </x:c>
      <x:c r="J1217" t="n">
        <x:v>2</x:v>
      </x:c>
      <x:c r="K1217" t="n">
        <x:v>1</x:v>
      </x:c>
      <x:c r="L1217" t="str">
        <x:v>L23-S02-C1</x:v>
      </x:c>
      <x:c r="M1217" t="n">
        <x:v>1</x:v>
      </x:c>
      <x:c r="N1217" t="str">
        <x:v>DerivedFromCount</x:v>
      </x:c>
      <x:c r="O1217" t="str">
        <x:v>PLC-PRD-JAR-330-L23</x:v>
      </x:c>
      <x:c r="P1217" t="str">
        <x:v>OK</x:v>
      </x:c>
      <x:c r="Q1217" t="str">
        <x:v>OK</x:v>
      </x:c>
      <x:c r="R1217" t="str">
        <x:v>OK</x:v>
      </x:c>
      <x:c r="S1217" t="str">
        <x:v>OK</x:v>
      </x:c>
      <x:c r="T1217" t="n">
        <x:v>36</x:v>
      </x:c>
      <x:c r="U1217" t="str">
        <x:v>OK</x:v>
      </x:c>
      <x:c r="V1217" t="str">
        <x:v>OK</x:v>
      </x:c>
      <x:c r="W1217" t="str">
        <x:v>LOAD</x:v>
      </x:c>
      <x:c r="X1217" t="str">
        <x:v>02_Supervisor_Log(4).xlsx</x:v>
      </x:c>
      <x:c r="Y1217" t="str">
        <x:v>ENH-20260830-01</x:v>
      </x:c>
      <x:c r="Z1217" t="str">
        <x:v>Active</x:v>
      </x:c>
      <x:c r="AA1217"/>
      <x:c r="AB1217"/>
      <x:c r="AC1217"/>
      <x:c r="AD1217"/>
    </x:row>
    <x:row r="1218">
      <x:c r="A1218" t="str">
        <x:v>PCC-PE-KG01-L23-20251021-PM-ORD-2025-00092-S02-C2</x:v>
      </x:c>
      <x:c r="B1218" t="str">
        <x:v>PC-PE-KG01-L23-20251021-PM-ORD-2025-00092-S02</x:v>
      </x:c>
      <x:c r="C1218" t="str">
        <x:v>PE-KG01-L23-20251021-PM-ORD-2025-00092</x:v>
      </x:c>
      <x:c r="D1218" t="str">
        <x:v>KG01</x:v>
      </x:c>
      <x:c r="E1218" s="62" t="n">
        <x:v>45951</x:v>
      </x:c>
      <x:c r="F1218" t="str">
        <x:v>PM</x:v>
      </x:c>
      <x:c r="G1218" t="str">
        <x:v>B</x:v>
      </x:c>
      <x:c r="H1218" t="n">
        <x:v>23</x:v>
      </x:c>
      <x:c r="I1218" t="str">
        <x:v>ORD-2025-00092</x:v>
      </x:c>
      <x:c r="J1218" t="n">
        <x:v>2</x:v>
      </x:c>
      <x:c r="K1218" t="n">
        <x:v>2</x:v>
      </x:c>
      <x:c r="L1218" t="str">
        <x:v>L23-S02-C2</x:v>
      </x:c>
      <x:c r="M1218" t="n">
        <x:v>1</x:v>
      </x:c>
      <x:c r="N1218" t="str">
        <x:v>DerivedFromCount</x:v>
      </x:c>
      <x:c r="O1218" t="str">
        <x:v>PLC-PRD-JAR-330-L23</x:v>
      </x:c>
      <x:c r="P1218" t="str">
        <x:v>OK</x:v>
      </x:c>
      <x:c r="Q1218" t="str">
        <x:v>OK</x:v>
      </x:c>
      <x:c r="R1218" t="str">
        <x:v>OK</x:v>
      </x:c>
      <x:c r="S1218" t="str">
        <x:v>OK</x:v>
      </x:c>
      <x:c r="T1218" t="n">
        <x:v>36</x:v>
      </x:c>
      <x:c r="U1218" t="str">
        <x:v>OK</x:v>
      </x:c>
      <x:c r="V1218" t="str">
        <x:v>OK</x:v>
      </x:c>
      <x:c r="W1218" t="str">
        <x:v>LOAD</x:v>
      </x:c>
      <x:c r="X1218" t="str">
        <x:v>02_Supervisor_Log(4).xlsx</x:v>
      </x:c>
      <x:c r="Y1218" t="str">
        <x:v>ENH-20260830-01</x:v>
      </x:c>
      <x:c r="Z1218" t="str">
        <x:v>Active</x:v>
      </x:c>
      <x:c r="AA1218"/>
      <x:c r="AB1218"/>
      <x:c r="AC1218"/>
      <x:c r="AD1218"/>
    </x:row>
    <x:row r="1219">
      <x:c r="A1219" t="str">
        <x:v>PCC-PE-KG01-L23-20251021-PM-ORD-2025-00092-S02-C3</x:v>
      </x:c>
      <x:c r="B1219" t="str">
        <x:v>PC-PE-KG01-L23-20251021-PM-ORD-2025-00092-S02</x:v>
      </x:c>
      <x:c r="C1219" t="str">
        <x:v>PE-KG01-L23-20251021-PM-ORD-2025-00092</x:v>
      </x:c>
      <x:c r="D1219" t="str">
        <x:v>KG01</x:v>
      </x:c>
      <x:c r="E1219" s="62" t="n">
        <x:v>45951</x:v>
      </x:c>
      <x:c r="F1219" t="str">
        <x:v>PM</x:v>
      </x:c>
      <x:c r="G1219" t="str">
        <x:v>B</x:v>
      </x:c>
      <x:c r="H1219" t="n">
        <x:v>23</x:v>
      </x:c>
      <x:c r="I1219" t="str">
        <x:v>ORD-2025-00092</x:v>
      </x:c>
      <x:c r="J1219" t="n">
        <x:v>2</x:v>
      </x:c>
      <x:c r="K1219" t="n">
        <x:v>3</x:v>
      </x:c>
      <x:c r="L1219" t="str">
        <x:v>L23-S02-C3</x:v>
      </x:c>
      <x:c r="M1219" t="n">
        <x:v>1</x:v>
      </x:c>
      <x:c r="N1219" t="str">
        <x:v>DerivedFromCount</x:v>
      </x:c>
      <x:c r="O1219" t="str">
        <x:v>PLC-PRD-JAR-330-L23</x:v>
      </x:c>
      <x:c r="P1219" t="str">
        <x:v>OK</x:v>
      </x:c>
      <x:c r="Q1219" t="str">
        <x:v>OK</x:v>
      </x:c>
      <x:c r="R1219" t="str">
        <x:v>OK</x:v>
      </x:c>
      <x:c r="S1219" t="str">
        <x:v>OK</x:v>
      </x:c>
      <x:c r="T1219" t="n">
        <x:v>36</x:v>
      </x:c>
      <x:c r="U1219" t="str">
        <x:v>OK</x:v>
      </x:c>
      <x:c r="V1219" t="str">
        <x:v>OK</x:v>
      </x:c>
      <x:c r="W1219" t="str">
        <x:v>LOAD</x:v>
      </x:c>
      <x:c r="X1219" t="str">
        <x:v>02_Supervisor_Log(4).xlsx</x:v>
      </x:c>
      <x:c r="Y1219" t="str">
        <x:v>ENH-20260830-01</x:v>
      </x:c>
      <x:c r="Z1219" t="str">
        <x:v>Active</x:v>
      </x:c>
      <x:c r="AA1219"/>
      <x:c r="AB1219"/>
      <x:c r="AC1219"/>
      <x:c r="AD1219"/>
    </x:row>
    <x:row r="1220">
      <x:c r="A1220" t="str">
        <x:v>PCC-PE-KG01-L23-20251021-PM-ORD-2025-00092-S03-C1</x:v>
      </x:c>
      <x:c r="B1220" t="str">
        <x:v>PC-PE-KG01-L23-20251021-PM-ORD-2025-00092-S03</x:v>
      </x:c>
      <x:c r="C1220" t="str">
        <x:v>PE-KG01-L23-20251021-PM-ORD-2025-00092</x:v>
      </x:c>
      <x:c r="D1220" t="str">
        <x:v>KG01</x:v>
      </x:c>
      <x:c r="E1220" s="62" t="n">
        <x:v>45951</x:v>
      </x:c>
      <x:c r="F1220" t="str">
        <x:v>PM</x:v>
      </x:c>
      <x:c r="G1220" t="str">
        <x:v>B</x:v>
      </x:c>
      <x:c r="H1220" t="n">
        <x:v>23</x:v>
      </x:c>
      <x:c r="I1220" t="str">
        <x:v>ORD-2025-00092</x:v>
      </x:c>
      <x:c r="J1220" t="n">
        <x:v>3</x:v>
      </x:c>
      <x:c r="K1220" t="n">
        <x:v>1</x:v>
      </x:c>
      <x:c r="L1220" t="str">
        <x:v>L23-S03-C1</x:v>
      </x:c>
      <x:c r="M1220" t="n">
        <x:v>1</x:v>
      </x:c>
      <x:c r="N1220" t="str">
        <x:v>DerivedFromCount</x:v>
      </x:c>
      <x:c r="O1220" t="str">
        <x:v>PLC-PRD-JAR-330-L23</x:v>
      </x:c>
      <x:c r="P1220" t="str">
        <x:v>OK</x:v>
      </x:c>
      <x:c r="Q1220" t="str">
        <x:v>OK</x:v>
      </x:c>
      <x:c r="R1220" t="str">
        <x:v>OK</x:v>
      </x:c>
      <x:c r="S1220" t="str">
        <x:v>OK</x:v>
      </x:c>
      <x:c r="T1220" t="n">
        <x:v>36</x:v>
      </x:c>
      <x:c r="U1220" t="str">
        <x:v>OK</x:v>
      </x:c>
      <x:c r="V1220" t="str">
        <x:v>OK</x:v>
      </x:c>
      <x:c r="W1220" t="str">
        <x:v>LOAD</x:v>
      </x:c>
      <x:c r="X1220" t="str">
        <x:v>02_Supervisor_Log(4).xlsx</x:v>
      </x:c>
      <x:c r="Y1220" t="str">
        <x:v>ENH-20260830-01</x:v>
      </x:c>
      <x:c r="Z1220" t="str">
        <x:v>Active</x:v>
      </x:c>
      <x:c r="AA1220"/>
      <x:c r="AB1220"/>
      <x:c r="AC1220"/>
      <x:c r="AD1220"/>
    </x:row>
    <x:row r="1221">
      <x:c r="A1221" t="str">
        <x:v>PCC-PE-KG01-L23-20251021-PM-ORD-2025-00092-S03-C2</x:v>
      </x:c>
      <x:c r="B1221" t="str">
        <x:v>PC-PE-KG01-L23-20251021-PM-ORD-2025-00092-S03</x:v>
      </x:c>
      <x:c r="C1221" t="str">
        <x:v>PE-KG01-L23-20251021-PM-ORD-2025-00092</x:v>
      </x:c>
      <x:c r="D1221" t="str">
        <x:v>KG01</x:v>
      </x:c>
      <x:c r="E1221" s="62" t="n">
        <x:v>45951</x:v>
      </x:c>
      <x:c r="F1221" t="str">
        <x:v>PM</x:v>
      </x:c>
      <x:c r="G1221" t="str">
        <x:v>B</x:v>
      </x:c>
      <x:c r="H1221" t="n">
        <x:v>23</x:v>
      </x:c>
      <x:c r="I1221" t="str">
        <x:v>ORD-2025-00092</x:v>
      </x:c>
      <x:c r="J1221" t="n">
        <x:v>3</x:v>
      </x:c>
      <x:c r="K1221" t="n">
        <x:v>2</x:v>
      </x:c>
      <x:c r="L1221" t="str">
        <x:v>L23-S03-C2</x:v>
      </x:c>
      <x:c r="M1221" t="n">
        <x:v>1</x:v>
      </x:c>
      <x:c r="N1221" t="str">
        <x:v>DerivedFromCount</x:v>
      </x:c>
      <x:c r="O1221" t="str">
        <x:v>PLC-PRD-JAR-330-L23</x:v>
      </x:c>
      <x:c r="P1221" t="str">
        <x:v>OK</x:v>
      </x:c>
      <x:c r="Q1221" t="str">
        <x:v>OK</x:v>
      </x:c>
      <x:c r="R1221" t="str">
        <x:v>OK</x:v>
      </x:c>
      <x:c r="S1221" t="str">
        <x:v>OK</x:v>
      </x:c>
      <x:c r="T1221" t="n">
        <x:v>36</x:v>
      </x:c>
      <x:c r="U1221" t="str">
        <x:v>OK</x:v>
      </x:c>
      <x:c r="V1221" t="str">
        <x:v>OK</x:v>
      </x:c>
      <x:c r="W1221" t="str">
        <x:v>LOAD</x:v>
      </x:c>
      <x:c r="X1221" t="str">
        <x:v>02_Supervisor_Log(4).xlsx</x:v>
      </x:c>
      <x:c r="Y1221" t="str">
        <x:v>ENH-20260830-01</x:v>
      </x:c>
      <x:c r="Z1221" t="str">
        <x:v>Active</x:v>
      </x:c>
      <x:c r="AA1221"/>
      <x:c r="AB1221"/>
      <x:c r="AC1221"/>
      <x:c r="AD1221"/>
    </x:row>
    <x:row r="1222">
      <x:c r="A1222" t="str">
        <x:v>PCC-PE-KG01-L23-20251021-PM-ORD-2025-00092-S03-C3</x:v>
      </x:c>
      <x:c r="B1222" t="str">
        <x:v>PC-PE-KG01-L23-20251021-PM-ORD-2025-00092-S03</x:v>
      </x:c>
      <x:c r="C1222" t="str">
        <x:v>PE-KG01-L23-20251021-PM-ORD-2025-00092</x:v>
      </x:c>
      <x:c r="D1222" t="str">
        <x:v>KG01</x:v>
      </x:c>
      <x:c r="E1222" s="62" t="n">
        <x:v>45951</x:v>
      </x:c>
      <x:c r="F1222" t="str">
        <x:v>PM</x:v>
      </x:c>
      <x:c r="G1222" t="str">
        <x:v>B</x:v>
      </x:c>
      <x:c r="H1222" t="n">
        <x:v>23</x:v>
      </x:c>
      <x:c r="I1222" t="str">
        <x:v>ORD-2025-00092</x:v>
      </x:c>
      <x:c r="J1222" t="n">
        <x:v>3</x:v>
      </x:c>
      <x:c r="K1222" t="n">
        <x:v>3</x:v>
      </x:c>
      <x:c r="L1222" t="str">
        <x:v>L23-S03-C3</x:v>
      </x:c>
      <x:c r="M1222" t="n">
        <x:v>1</x:v>
      </x:c>
      <x:c r="N1222" t="str">
        <x:v>DerivedFromCount</x:v>
      </x:c>
      <x:c r="O1222" t="str">
        <x:v>PLC-PRD-JAR-330-L23</x:v>
      </x:c>
      <x:c r="P1222" t="str">
        <x:v>OK</x:v>
      </x:c>
      <x:c r="Q1222" t="str">
        <x:v>OK</x:v>
      </x:c>
      <x:c r="R1222" t="str">
        <x:v>OK</x:v>
      </x:c>
      <x:c r="S1222" t="str">
        <x:v>OK</x:v>
      </x:c>
      <x:c r="T1222" t="n">
        <x:v>36</x:v>
      </x:c>
      <x:c r="U1222" t="str">
        <x:v>OK</x:v>
      </x:c>
      <x:c r="V1222" t="str">
        <x:v>OK</x:v>
      </x:c>
      <x:c r="W1222" t="str">
        <x:v>LOAD</x:v>
      </x:c>
      <x:c r="X1222" t="str">
        <x:v>02_Supervisor_Log(4).xlsx</x:v>
      </x:c>
      <x:c r="Y1222" t="str">
        <x:v>ENH-20260830-01</x:v>
      </x:c>
      <x:c r="Z1222" t="str">
        <x:v>Active</x:v>
      </x:c>
      <x:c r="AA1222"/>
      <x:c r="AB1222"/>
      <x:c r="AC1222"/>
      <x:c r="AD1222"/>
    </x:row>
    <x:row r="1223">
      <x:c r="A1223" t="str">
        <x:v>PCC-PE-KG01-L23-20251021-PM-ORD-2025-00092-S04-C1</x:v>
      </x:c>
      <x:c r="B1223" t="str">
        <x:v>PC-PE-KG01-L23-20251021-PM-ORD-2025-00092-S04</x:v>
      </x:c>
      <x:c r="C1223" t="str">
        <x:v>PE-KG01-L23-20251021-PM-ORD-2025-00092</x:v>
      </x:c>
      <x:c r="D1223" t="str">
        <x:v>KG01</x:v>
      </x:c>
      <x:c r="E1223" s="62" t="n">
        <x:v>45951</x:v>
      </x:c>
      <x:c r="F1223" t="str">
        <x:v>PM</x:v>
      </x:c>
      <x:c r="G1223" t="str">
        <x:v>B</x:v>
      </x:c>
      <x:c r="H1223" t="n">
        <x:v>23</x:v>
      </x:c>
      <x:c r="I1223" t="str">
        <x:v>ORD-2025-00092</x:v>
      </x:c>
      <x:c r="J1223" t="n">
        <x:v>4</x:v>
      </x:c>
      <x:c r="K1223" t="n">
        <x:v>1</x:v>
      </x:c>
      <x:c r="L1223" t="str">
        <x:v>L23-S04-C1</x:v>
      </x:c>
      <x:c r="M1223" t="n">
        <x:v>1</x:v>
      </x:c>
      <x:c r="N1223" t="str">
        <x:v>DerivedFromCount</x:v>
      </x:c>
      <x:c r="O1223" t="str">
        <x:v>PLC-PRD-JAR-330-L23</x:v>
      </x:c>
      <x:c r="P1223" t="str">
        <x:v>OK</x:v>
      </x:c>
      <x:c r="Q1223" t="str">
        <x:v>OK</x:v>
      </x:c>
      <x:c r="R1223" t="str">
        <x:v>OK</x:v>
      </x:c>
      <x:c r="S1223" t="str">
        <x:v>OK</x:v>
      </x:c>
      <x:c r="T1223" t="n">
        <x:v>36</x:v>
      </x:c>
      <x:c r="U1223" t="str">
        <x:v>OK</x:v>
      </x:c>
      <x:c r="V1223" t="str">
        <x:v>OK</x:v>
      </x:c>
      <x:c r="W1223" t="str">
        <x:v>LOAD</x:v>
      </x:c>
      <x:c r="X1223" t="str">
        <x:v>02_Supervisor_Log(4).xlsx</x:v>
      </x:c>
      <x:c r="Y1223" t="str">
        <x:v>ENH-20260830-01</x:v>
      </x:c>
      <x:c r="Z1223" t="str">
        <x:v>Active</x:v>
      </x:c>
      <x:c r="AA1223"/>
      <x:c r="AB1223"/>
      <x:c r="AC1223"/>
      <x:c r="AD1223"/>
    </x:row>
    <x:row r="1224">
      <x:c r="A1224" t="str">
        <x:v>PCC-PE-KG01-L23-20251021-PM-ORD-2025-00092-S04-C2</x:v>
      </x:c>
      <x:c r="B1224" t="str">
        <x:v>PC-PE-KG01-L23-20251021-PM-ORD-2025-00092-S04</x:v>
      </x:c>
      <x:c r="C1224" t="str">
        <x:v>PE-KG01-L23-20251021-PM-ORD-2025-00092</x:v>
      </x:c>
      <x:c r="D1224" t="str">
        <x:v>KG01</x:v>
      </x:c>
      <x:c r="E1224" s="62" t="n">
        <x:v>45951</x:v>
      </x:c>
      <x:c r="F1224" t="str">
        <x:v>PM</x:v>
      </x:c>
      <x:c r="G1224" t="str">
        <x:v>B</x:v>
      </x:c>
      <x:c r="H1224" t="n">
        <x:v>23</x:v>
      </x:c>
      <x:c r="I1224" t="str">
        <x:v>ORD-2025-00092</x:v>
      </x:c>
      <x:c r="J1224" t="n">
        <x:v>4</x:v>
      </x:c>
      <x:c r="K1224" t="n">
        <x:v>2</x:v>
      </x:c>
      <x:c r="L1224" t="str">
        <x:v>L23-S04-C2</x:v>
      </x:c>
      <x:c r="M1224" t="n">
        <x:v>1</x:v>
      </x:c>
      <x:c r="N1224" t="str">
        <x:v>DerivedFromCount</x:v>
      </x:c>
      <x:c r="O1224" t="str">
        <x:v>PLC-PRD-JAR-330-L23</x:v>
      </x:c>
      <x:c r="P1224" t="str">
        <x:v>OK</x:v>
      </x:c>
      <x:c r="Q1224" t="str">
        <x:v>OK</x:v>
      </x:c>
      <x:c r="R1224" t="str">
        <x:v>OK</x:v>
      </x:c>
      <x:c r="S1224" t="str">
        <x:v>OK</x:v>
      </x:c>
      <x:c r="T1224" t="n">
        <x:v>36</x:v>
      </x:c>
      <x:c r="U1224" t="str">
        <x:v>OK</x:v>
      </x:c>
      <x:c r="V1224" t="str">
        <x:v>OK</x:v>
      </x:c>
      <x:c r="W1224" t="str">
        <x:v>LOAD</x:v>
      </x:c>
      <x:c r="X1224" t="str">
        <x:v>02_Supervisor_Log(4).xlsx</x:v>
      </x:c>
      <x:c r="Y1224" t="str">
        <x:v>ENH-20260830-01</x:v>
      </x:c>
      <x:c r="Z1224" t="str">
        <x:v>Active</x:v>
      </x:c>
      <x:c r="AA1224"/>
      <x:c r="AB1224"/>
      <x:c r="AC1224"/>
      <x:c r="AD1224"/>
    </x:row>
    <x:row r="1225">
      <x:c r="A1225" t="str">
        <x:v>PCC-PE-KG01-L23-20251021-PM-ORD-2025-00092-S04-C3</x:v>
      </x:c>
      <x:c r="B1225" t="str">
        <x:v>PC-PE-KG01-L23-20251021-PM-ORD-2025-00092-S04</x:v>
      </x:c>
      <x:c r="C1225" t="str">
        <x:v>PE-KG01-L23-20251021-PM-ORD-2025-00092</x:v>
      </x:c>
      <x:c r="D1225" t="str">
        <x:v>KG01</x:v>
      </x:c>
      <x:c r="E1225" s="62" t="n">
        <x:v>45951</x:v>
      </x:c>
      <x:c r="F1225" t="str">
        <x:v>PM</x:v>
      </x:c>
      <x:c r="G1225" t="str">
        <x:v>B</x:v>
      </x:c>
      <x:c r="H1225" t="n">
        <x:v>23</x:v>
      </x:c>
      <x:c r="I1225" t="str">
        <x:v>ORD-2025-00092</x:v>
      </x:c>
      <x:c r="J1225" t="n">
        <x:v>4</x:v>
      </x:c>
      <x:c r="K1225" t="n">
        <x:v>3</x:v>
      </x:c>
      <x:c r="L1225" t="str">
        <x:v>L23-S04-C3</x:v>
      </x:c>
      <x:c r="M1225" t="n">
        <x:v>1</x:v>
      </x:c>
      <x:c r="N1225" t="str">
        <x:v>DerivedFromCount</x:v>
      </x:c>
      <x:c r="O1225" t="str">
        <x:v>PLC-PRD-JAR-330-L23</x:v>
      </x:c>
      <x:c r="P1225" t="str">
        <x:v>OK</x:v>
      </x:c>
      <x:c r="Q1225" t="str">
        <x:v>OK</x:v>
      </x:c>
      <x:c r="R1225" t="str">
        <x:v>OK</x:v>
      </x:c>
      <x:c r="S1225" t="str">
        <x:v>OK</x:v>
      </x:c>
      <x:c r="T1225" t="n">
        <x:v>36</x:v>
      </x:c>
      <x:c r="U1225" t="str">
        <x:v>OK</x:v>
      </x:c>
      <x:c r="V1225" t="str">
        <x:v>OK</x:v>
      </x:c>
      <x:c r="W1225" t="str">
        <x:v>LOAD</x:v>
      </x:c>
      <x:c r="X1225" t="str">
        <x:v>02_Supervisor_Log(4).xlsx</x:v>
      </x:c>
      <x:c r="Y1225" t="str">
        <x:v>ENH-20260830-01</x:v>
      </x:c>
      <x:c r="Z1225" t="str">
        <x:v>Active</x:v>
      </x:c>
      <x:c r="AA1225"/>
      <x:c r="AB1225"/>
      <x:c r="AC1225"/>
      <x:c r="AD1225"/>
    </x:row>
    <x:row r="1226">
      <x:c r="A1226" t="str">
        <x:v>PCC-PE-KG01-L23-20251021-PM-ORD-2025-00092-S05-C1</x:v>
      </x:c>
      <x:c r="B1226" t="str">
        <x:v>PC-PE-KG01-L23-20251021-PM-ORD-2025-00092-S05</x:v>
      </x:c>
      <x:c r="C1226" t="str">
        <x:v>PE-KG01-L23-20251021-PM-ORD-2025-00092</x:v>
      </x:c>
      <x:c r="D1226" t="str">
        <x:v>KG01</x:v>
      </x:c>
      <x:c r="E1226" s="62" t="n">
        <x:v>45951</x:v>
      </x:c>
      <x:c r="F1226" t="str">
        <x:v>PM</x:v>
      </x:c>
      <x:c r="G1226" t="str">
        <x:v>B</x:v>
      </x:c>
      <x:c r="H1226" t="n">
        <x:v>23</x:v>
      </x:c>
      <x:c r="I1226" t="str">
        <x:v>ORD-2025-00092</x:v>
      </x:c>
      <x:c r="J1226" t="n">
        <x:v>5</x:v>
      </x:c>
      <x:c r="K1226" t="n">
        <x:v>1</x:v>
      </x:c>
      <x:c r="L1226" t="str">
        <x:v>L23-S05-C1</x:v>
      </x:c>
      <x:c r="M1226" t="n">
        <x:v>1</x:v>
      </x:c>
      <x:c r="N1226" t="str">
        <x:v>DerivedFromCount</x:v>
      </x:c>
      <x:c r="O1226" t="str">
        <x:v>PLC-PRD-JAR-330-L23</x:v>
      </x:c>
      <x:c r="P1226" t="str">
        <x:v>OK</x:v>
      </x:c>
      <x:c r="Q1226" t="str">
        <x:v>OK</x:v>
      </x:c>
      <x:c r="R1226" t="str">
        <x:v>OK</x:v>
      </x:c>
      <x:c r="S1226" t="str">
        <x:v>OK</x:v>
      </x:c>
      <x:c r="T1226" t="n">
        <x:v>36</x:v>
      </x:c>
      <x:c r="U1226" t="str">
        <x:v>OK</x:v>
      </x:c>
      <x:c r="V1226" t="str">
        <x:v>OK</x:v>
      </x:c>
      <x:c r="W1226" t="str">
        <x:v>LOAD</x:v>
      </x:c>
      <x:c r="X1226" t="str">
        <x:v>02_Supervisor_Log(4).xlsx</x:v>
      </x:c>
      <x:c r="Y1226" t="str">
        <x:v>ENH-20260830-01</x:v>
      </x:c>
      <x:c r="Z1226" t="str">
        <x:v>Active</x:v>
      </x:c>
      <x:c r="AA1226"/>
      <x:c r="AB1226"/>
      <x:c r="AC1226"/>
      <x:c r="AD1226"/>
    </x:row>
    <x:row r="1227">
      <x:c r="A1227" t="str">
        <x:v>PCC-PE-KG01-L23-20251021-PM-ORD-2025-00092-S05-C2</x:v>
      </x:c>
      <x:c r="B1227" t="str">
        <x:v>PC-PE-KG01-L23-20251021-PM-ORD-2025-00092-S05</x:v>
      </x:c>
      <x:c r="C1227" t="str">
        <x:v>PE-KG01-L23-20251021-PM-ORD-2025-00092</x:v>
      </x:c>
      <x:c r="D1227" t="str">
        <x:v>KG01</x:v>
      </x:c>
      <x:c r="E1227" s="62" t="n">
        <x:v>45951</x:v>
      </x:c>
      <x:c r="F1227" t="str">
        <x:v>PM</x:v>
      </x:c>
      <x:c r="G1227" t="str">
        <x:v>B</x:v>
      </x:c>
      <x:c r="H1227" t="n">
        <x:v>23</x:v>
      </x:c>
      <x:c r="I1227" t="str">
        <x:v>ORD-2025-00092</x:v>
      </x:c>
      <x:c r="J1227" t="n">
        <x:v>5</x:v>
      </x:c>
      <x:c r="K1227" t="n">
        <x:v>2</x:v>
      </x:c>
      <x:c r="L1227" t="str">
        <x:v>L23-S05-C2</x:v>
      </x:c>
      <x:c r="M1227" t="n">
        <x:v>1</x:v>
      </x:c>
      <x:c r="N1227" t="str">
        <x:v>DerivedFromCount</x:v>
      </x:c>
      <x:c r="O1227" t="str">
        <x:v>PLC-PRD-JAR-330-L23</x:v>
      </x:c>
      <x:c r="P1227" t="str">
        <x:v>OK</x:v>
      </x:c>
      <x:c r="Q1227" t="str">
        <x:v>OK</x:v>
      </x:c>
      <x:c r="R1227" t="str">
        <x:v>OK</x:v>
      </x:c>
      <x:c r="S1227" t="str">
        <x:v>OK</x:v>
      </x:c>
      <x:c r="T1227" t="n">
        <x:v>36</x:v>
      </x:c>
      <x:c r="U1227" t="str">
        <x:v>OK</x:v>
      </x:c>
      <x:c r="V1227" t="str">
        <x:v>OK</x:v>
      </x:c>
      <x:c r="W1227" t="str">
        <x:v>LOAD</x:v>
      </x:c>
      <x:c r="X1227" t="str">
        <x:v>02_Supervisor_Log(4).xlsx</x:v>
      </x:c>
      <x:c r="Y1227" t="str">
        <x:v>ENH-20260830-01</x:v>
      </x:c>
      <x:c r="Z1227" t="str">
        <x:v>Active</x:v>
      </x:c>
      <x:c r="AA1227"/>
      <x:c r="AB1227"/>
      <x:c r="AC1227"/>
      <x:c r="AD1227"/>
    </x:row>
    <x:row r="1228">
      <x:c r="A1228" t="str">
        <x:v>PCC-PE-KG01-L23-20251021-PM-ORD-2025-00092-S05-C3</x:v>
      </x:c>
      <x:c r="B1228" t="str">
        <x:v>PC-PE-KG01-L23-20251021-PM-ORD-2025-00092-S05</x:v>
      </x:c>
      <x:c r="C1228" t="str">
        <x:v>PE-KG01-L23-20251021-PM-ORD-2025-00092</x:v>
      </x:c>
      <x:c r="D1228" t="str">
        <x:v>KG01</x:v>
      </x:c>
      <x:c r="E1228" s="62" t="n">
        <x:v>45951</x:v>
      </x:c>
      <x:c r="F1228" t="str">
        <x:v>PM</x:v>
      </x:c>
      <x:c r="G1228" t="str">
        <x:v>B</x:v>
      </x:c>
      <x:c r="H1228" t="n">
        <x:v>23</x:v>
      </x:c>
      <x:c r="I1228" t="str">
        <x:v>ORD-2025-00092</x:v>
      </x:c>
      <x:c r="J1228" t="n">
        <x:v>5</x:v>
      </x:c>
      <x:c r="K1228" t="n">
        <x:v>3</x:v>
      </x:c>
      <x:c r="L1228" t="str">
        <x:v>L23-S05-C3</x:v>
      </x:c>
      <x:c r="M1228" t="n">
        <x:v>1</x:v>
      </x:c>
      <x:c r="N1228" t="str">
        <x:v>DerivedFromCount</x:v>
      </x:c>
      <x:c r="O1228" t="str">
        <x:v>PLC-PRD-JAR-330-L23</x:v>
      </x:c>
      <x:c r="P1228" t="str">
        <x:v>OK</x:v>
      </x:c>
      <x:c r="Q1228" t="str">
        <x:v>OK</x:v>
      </x:c>
      <x:c r="R1228" t="str">
        <x:v>OK</x:v>
      </x:c>
      <x:c r="S1228" t="str">
        <x:v>OK</x:v>
      </x:c>
      <x:c r="T1228" t="n">
        <x:v>36</x:v>
      </x:c>
      <x:c r="U1228" t="str">
        <x:v>OK</x:v>
      </x:c>
      <x:c r="V1228" t="str">
        <x:v>OK</x:v>
      </x:c>
      <x:c r="W1228" t="str">
        <x:v>LOAD</x:v>
      </x:c>
      <x:c r="X1228" t="str">
        <x:v>02_Supervisor_Log(4).xlsx</x:v>
      </x:c>
      <x:c r="Y1228" t="str">
        <x:v>ENH-20260830-01</x:v>
      </x:c>
      <x:c r="Z1228" t="str">
        <x:v>Active</x:v>
      </x:c>
      <x:c r="AA1228"/>
      <x:c r="AB1228"/>
      <x:c r="AC1228"/>
      <x:c r="AD1228"/>
    </x:row>
    <x:row r="1229">
      <x:c r="A1229" t="str">
        <x:v>PCC-PE-KG01-L23-20251021-PM-ORD-2025-00092-S06-C1</x:v>
      </x:c>
      <x:c r="B1229" t="str">
        <x:v>PC-PE-KG01-L23-20251021-PM-ORD-2025-00092-S06</x:v>
      </x:c>
      <x:c r="C1229" t="str">
        <x:v>PE-KG01-L23-20251021-PM-ORD-2025-00092</x:v>
      </x:c>
      <x:c r="D1229" t="str">
        <x:v>KG01</x:v>
      </x:c>
      <x:c r="E1229" s="62" t="n">
        <x:v>45951</x:v>
      </x:c>
      <x:c r="F1229" t="str">
        <x:v>PM</x:v>
      </x:c>
      <x:c r="G1229" t="str">
        <x:v>B</x:v>
      </x:c>
      <x:c r="H1229" t="n">
        <x:v>23</x:v>
      </x:c>
      <x:c r="I1229" t="str">
        <x:v>ORD-2025-00092</x:v>
      </x:c>
      <x:c r="J1229" t="n">
        <x:v>6</x:v>
      </x:c>
      <x:c r="K1229" t="n">
        <x:v>1</x:v>
      </x:c>
      <x:c r="L1229" t="str">
        <x:v>L23-S06-C1</x:v>
      </x:c>
      <x:c r="M1229" t="n">
        <x:v>1</x:v>
      </x:c>
      <x:c r="N1229" t="str">
        <x:v>DerivedFromCount</x:v>
      </x:c>
      <x:c r="O1229" t="str">
        <x:v>PLC-PRD-JAR-330-L23</x:v>
      </x:c>
      <x:c r="P1229" t="str">
        <x:v>OK</x:v>
      </x:c>
      <x:c r="Q1229" t="str">
        <x:v>OK</x:v>
      </x:c>
      <x:c r="R1229" t="str">
        <x:v>OK</x:v>
      </x:c>
      <x:c r="S1229" t="str">
        <x:v>OK</x:v>
      </x:c>
      <x:c r="T1229" t="n">
        <x:v>36</x:v>
      </x:c>
      <x:c r="U1229" t="str">
        <x:v>OK</x:v>
      </x:c>
      <x:c r="V1229" t="str">
        <x:v>OK</x:v>
      </x:c>
      <x:c r="W1229" t="str">
        <x:v>LOAD</x:v>
      </x:c>
      <x:c r="X1229" t="str">
        <x:v>02_Supervisor_Log(4).xlsx</x:v>
      </x:c>
      <x:c r="Y1229" t="str">
        <x:v>ENH-20260830-01</x:v>
      </x:c>
      <x:c r="Z1229" t="str">
        <x:v>Active</x:v>
      </x:c>
      <x:c r="AA1229"/>
      <x:c r="AB1229"/>
      <x:c r="AC1229"/>
      <x:c r="AD1229"/>
    </x:row>
    <x:row r="1230">
      <x:c r="A1230" t="str">
        <x:v>PCC-PE-KG01-L23-20251021-PM-ORD-2025-00092-S06-C2</x:v>
      </x:c>
      <x:c r="B1230" t="str">
        <x:v>PC-PE-KG01-L23-20251021-PM-ORD-2025-00092-S06</x:v>
      </x:c>
      <x:c r="C1230" t="str">
        <x:v>PE-KG01-L23-20251021-PM-ORD-2025-00092</x:v>
      </x:c>
      <x:c r="D1230" t="str">
        <x:v>KG01</x:v>
      </x:c>
      <x:c r="E1230" s="62" t="n">
        <x:v>45951</x:v>
      </x:c>
      <x:c r="F1230" t="str">
        <x:v>PM</x:v>
      </x:c>
      <x:c r="G1230" t="str">
        <x:v>B</x:v>
      </x:c>
      <x:c r="H1230" t="n">
        <x:v>23</x:v>
      </x:c>
      <x:c r="I1230" t="str">
        <x:v>ORD-2025-00092</x:v>
      </x:c>
      <x:c r="J1230" t="n">
        <x:v>6</x:v>
      </x:c>
      <x:c r="K1230" t="n">
        <x:v>2</x:v>
      </x:c>
      <x:c r="L1230" t="str">
        <x:v>L23-S06-C2</x:v>
      </x:c>
      <x:c r="M1230" t="n">
        <x:v>1</x:v>
      </x:c>
      <x:c r="N1230" t="str">
        <x:v>DerivedFromCount</x:v>
      </x:c>
      <x:c r="O1230" t="str">
        <x:v>PLC-PRD-JAR-330-L23</x:v>
      </x:c>
      <x:c r="P1230" t="str">
        <x:v>OK</x:v>
      </x:c>
      <x:c r="Q1230" t="str">
        <x:v>OK</x:v>
      </x:c>
      <x:c r="R1230" t="str">
        <x:v>OK</x:v>
      </x:c>
      <x:c r="S1230" t="str">
        <x:v>OK</x:v>
      </x:c>
      <x:c r="T1230" t="n">
        <x:v>36</x:v>
      </x:c>
      <x:c r="U1230" t="str">
        <x:v>OK</x:v>
      </x:c>
      <x:c r="V1230" t="str">
        <x:v>OK</x:v>
      </x:c>
      <x:c r="W1230" t="str">
        <x:v>LOAD</x:v>
      </x:c>
      <x:c r="X1230" t="str">
        <x:v>02_Supervisor_Log(4).xlsx</x:v>
      </x:c>
      <x:c r="Y1230" t="str">
        <x:v>ENH-20260830-01</x:v>
      </x:c>
      <x:c r="Z1230" t="str">
        <x:v>Active</x:v>
      </x:c>
      <x:c r="AA1230"/>
      <x:c r="AB1230"/>
      <x:c r="AC1230"/>
      <x:c r="AD1230"/>
    </x:row>
    <x:row r="1231">
      <x:c r="A1231" t="str">
        <x:v>PCC-PE-KG01-L23-20251021-PM-ORD-2025-00092-S06-C3</x:v>
      </x:c>
      <x:c r="B1231" t="str">
        <x:v>PC-PE-KG01-L23-20251021-PM-ORD-2025-00092-S06</x:v>
      </x:c>
      <x:c r="C1231" t="str">
        <x:v>PE-KG01-L23-20251021-PM-ORD-2025-00092</x:v>
      </x:c>
      <x:c r="D1231" t="str">
        <x:v>KG01</x:v>
      </x:c>
      <x:c r="E1231" s="62" t="n">
        <x:v>45951</x:v>
      </x:c>
      <x:c r="F1231" t="str">
        <x:v>PM</x:v>
      </x:c>
      <x:c r="G1231" t="str">
        <x:v>B</x:v>
      </x:c>
      <x:c r="H1231" t="n">
        <x:v>23</x:v>
      </x:c>
      <x:c r="I1231" t="str">
        <x:v>ORD-2025-00092</x:v>
      </x:c>
      <x:c r="J1231" t="n">
        <x:v>6</x:v>
      </x:c>
      <x:c r="K1231" t="n">
        <x:v>3</x:v>
      </x:c>
      <x:c r="L1231" t="str">
        <x:v>L23-S06-C3</x:v>
      </x:c>
      <x:c r="M1231" t="n">
        <x:v>1</x:v>
      </x:c>
      <x:c r="N1231" t="str">
        <x:v>DerivedFromCount</x:v>
      </x:c>
      <x:c r="O1231" t="str">
        <x:v>PLC-PRD-JAR-330-L23</x:v>
      </x:c>
      <x:c r="P1231" t="str">
        <x:v>OK</x:v>
      </x:c>
      <x:c r="Q1231" t="str">
        <x:v>OK</x:v>
      </x:c>
      <x:c r="R1231" t="str">
        <x:v>OK</x:v>
      </x:c>
      <x:c r="S1231" t="str">
        <x:v>OK</x:v>
      </x:c>
      <x:c r="T1231" t="n">
        <x:v>36</x:v>
      </x:c>
      <x:c r="U1231" t="str">
        <x:v>OK</x:v>
      </x:c>
      <x:c r="V1231" t="str">
        <x:v>OK</x:v>
      </x:c>
      <x:c r="W1231" t="str">
        <x:v>LOAD</x:v>
      </x:c>
      <x:c r="X1231" t="str">
        <x:v>02_Supervisor_Log(4).xlsx</x:v>
      </x:c>
      <x:c r="Y1231" t="str">
        <x:v>ENH-20260830-01</x:v>
      </x:c>
      <x:c r="Z1231" t="str">
        <x:v>Active</x:v>
      </x:c>
      <x:c r="AA1231"/>
      <x:c r="AB1231"/>
      <x:c r="AC1231"/>
      <x:c r="AD1231"/>
    </x:row>
    <x:row r="1232">
      <x:c r="A1232" t="str">
        <x:v>PCC-PE-KG01-L23-20251021-PM-ORD-2025-00092-S07-C1</x:v>
      </x:c>
      <x:c r="B1232" t="str">
        <x:v>PC-PE-KG01-L23-20251021-PM-ORD-2025-00092-S07</x:v>
      </x:c>
      <x:c r="C1232" t="str">
        <x:v>PE-KG01-L23-20251021-PM-ORD-2025-00092</x:v>
      </x:c>
      <x:c r="D1232" t="str">
        <x:v>KG01</x:v>
      </x:c>
      <x:c r="E1232" s="62" t="n">
        <x:v>45951</x:v>
      </x:c>
      <x:c r="F1232" t="str">
        <x:v>PM</x:v>
      </x:c>
      <x:c r="G1232" t="str">
        <x:v>B</x:v>
      </x:c>
      <x:c r="H1232" t="n">
        <x:v>23</x:v>
      </x:c>
      <x:c r="I1232" t="str">
        <x:v>ORD-2025-00092</x:v>
      </x:c>
      <x:c r="J1232" t="n">
        <x:v>7</x:v>
      </x:c>
      <x:c r="K1232" t="n">
        <x:v>1</x:v>
      </x:c>
      <x:c r="L1232" t="str">
        <x:v>L23-S07-C1</x:v>
      </x:c>
      <x:c r="M1232" t="n">
        <x:v>1</x:v>
      </x:c>
      <x:c r="N1232" t="str">
        <x:v>DerivedFromCount</x:v>
      </x:c>
      <x:c r="O1232" t="str">
        <x:v>PLC-PRD-JAR-330-L23</x:v>
      </x:c>
      <x:c r="P1232" t="str">
        <x:v>OK</x:v>
      </x:c>
      <x:c r="Q1232" t="str">
        <x:v>OK</x:v>
      </x:c>
      <x:c r="R1232" t="str">
        <x:v>OK</x:v>
      </x:c>
      <x:c r="S1232" t="str">
        <x:v>OK</x:v>
      </x:c>
      <x:c r="T1232" t="n">
        <x:v>36</x:v>
      </x:c>
      <x:c r="U1232" t="str">
        <x:v>OK</x:v>
      </x:c>
      <x:c r="V1232" t="str">
        <x:v>OK</x:v>
      </x:c>
      <x:c r="W1232" t="str">
        <x:v>LOAD</x:v>
      </x:c>
      <x:c r="X1232" t="str">
        <x:v>02_Supervisor_Log(4).xlsx</x:v>
      </x:c>
      <x:c r="Y1232" t="str">
        <x:v>ENH-20260830-01</x:v>
      </x:c>
      <x:c r="Z1232" t="str">
        <x:v>Active</x:v>
      </x:c>
      <x:c r="AA1232"/>
      <x:c r="AB1232"/>
      <x:c r="AC1232"/>
      <x:c r="AD1232"/>
    </x:row>
    <x:row r="1233">
      <x:c r="A1233" t="str">
        <x:v>PCC-PE-KG01-L23-20251021-PM-ORD-2025-00092-S07-C2</x:v>
      </x:c>
      <x:c r="B1233" t="str">
        <x:v>PC-PE-KG01-L23-20251021-PM-ORD-2025-00092-S07</x:v>
      </x:c>
      <x:c r="C1233" t="str">
        <x:v>PE-KG01-L23-20251021-PM-ORD-2025-00092</x:v>
      </x:c>
      <x:c r="D1233" t="str">
        <x:v>KG01</x:v>
      </x:c>
      <x:c r="E1233" s="62" t="n">
        <x:v>45951</x:v>
      </x:c>
      <x:c r="F1233" t="str">
        <x:v>PM</x:v>
      </x:c>
      <x:c r="G1233" t="str">
        <x:v>B</x:v>
      </x:c>
      <x:c r="H1233" t="n">
        <x:v>23</x:v>
      </x:c>
      <x:c r="I1233" t="str">
        <x:v>ORD-2025-00092</x:v>
      </x:c>
      <x:c r="J1233" t="n">
        <x:v>7</x:v>
      </x:c>
      <x:c r="K1233" t="n">
        <x:v>2</x:v>
      </x:c>
      <x:c r="L1233" t="str">
        <x:v>L23-S07-C2</x:v>
      </x:c>
      <x:c r="M1233" t="n">
        <x:v>1</x:v>
      </x:c>
      <x:c r="N1233" t="str">
        <x:v>DerivedFromCount</x:v>
      </x:c>
      <x:c r="O1233" t="str">
        <x:v>PLC-PRD-JAR-330-L23</x:v>
      </x:c>
      <x:c r="P1233" t="str">
        <x:v>OK</x:v>
      </x:c>
      <x:c r="Q1233" t="str">
        <x:v>OK</x:v>
      </x:c>
      <x:c r="R1233" t="str">
        <x:v>OK</x:v>
      </x:c>
      <x:c r="S1233" t="str">
        <x:v>OK</x:v>
      </x:c>
      <x:c r="T1233" t="n">
        <x:v>36</x:v>
      </x:c>
      <x:c r="U1233" t="str">
        <x:v>OK</x:v>
      </x:c>
      <x:c r="V1233" t="str">
        <x:v>OK</x:v>
      </x:c>
      <x:c r="W1233" t="str">
        <x:v>LOAD</x:v>
      </x:c>
      <x:c r="X1233" t="str">
        <x:v>02_Supervisor_Log(4).xlsx</x:v>
      </x:c>
      <x:c r="Y1233" t="str">
        <x:v>ENH-20260830-01</x:v>
      </x:c>
      <x:c r="Z1233" t="str">
        <x:v>Active</x:v>
      </x:c>
      <x:c r="AA1233"/>
      <x:c r="AB1233"/>
      <x:c r="AC1233"/>
      <x:c r="AD1233"/>
    </x:row>
    <x:row r="1234">
      <x:c r="A1234" t="str">
        <x:v>PCC-PE-KG01-L23-20251021-PM-ORD-2025-00092-S07-C3</x:v>
      </x:c>
      <x:c r="B1234" t="str">
        <x:v>PC-PE-KG01-L23-20251021-PM-ORD-2025-00092-S07</x:v>
      </x:c>
      <x:c r="C1234" t="str">
        <x:v>PE-KG01-L23-20251021-PM-ORD-2025-00092</x:v>
      </x:c>
      <x:c r="D1234" t="str">
        <x:v>KG01</x:v>
      </x:c>
      <x:c r="E1234" s="62" t="n">
        <x:v>45951</x:v>
      </x:c>
      <x:c r="F1234" t="str">
        <x:v>PM</x:v>
      </x:c>
      <x:c r="G1234" t="str">
        <x:v>B</x:v>
      </x:c>
      <x:c r="H1234" t="n">
        <x:v>23</x:v>
      </x:c>
      <x:c r="I1234" t="str">
        <x:v>ORD-2025-00092</x:v>
      </x:c>
      <x:c r="J1234" t="n">
        <x:v>7</x:v>
      </x:c>
      <x:c r="K1234" t="n">
        <x:v>3</x:v>
      </x:c>
      <x:c r="L1234" t="str">
        <x:v>L23-S07-C3</x:v>
      </x:c>
      <x:c r="M1234" t="n">
        <x:v>1</x:v>
      </x:c>
      <x:c r="N1234" t="str">
        <x:v>DerivedFromCount</x:v>
      </x:c>
      <x:c r="O1234" t="str">
        <x:v>PLC-PRD-JAR-330-L23</x:v>
      </x:c>
      <x:c r="P1234" t="str">
        <x:v>OK</x:v>
      </x:c>
      <x:c r="Q1234" t="str">
        <x:v>OK</x:v>
      </x:c>
      <x:c r="R1234" t="str">
        <x:v>OK</x:v>
      </x:c>
      <x:c r="S1234" t="str">
        <x:v>OK</x:v>
      </x:c>
      <x:c r="T1234" t="n">
        <x:v>36</x:v>
      </x:c>
      <x:c r="U1234" t="str">
        <x:v>OK</x:v>
      </x:c>
      <x:c r="V1234" t="str">
        <x:v>OK</x:v>
      </x:c>
      <x:c r="W1234" t="str">
        <x:v>LOAD</x:v>
      </x:c>
      <x:c r="X1234" t="str">
        <x:v>02_Supervisor_Log(4).xlsx</x:v>
      </x:c>
      <x:c r="Y1234" t="str">
        <x:v>ENH-20260830-01</x:v>
      </x:c>
      <x:c r="Z1234" t="str">
        <x:v>Active</x:v>
      </x:c>
      <x:c r="AA1234"/>
      <x:c r="AB1234"/>
      <x:c r="AC1234"/>
      <x:c r="AD1234"/>
    </x:row>
    <x:row r="1235">
      <x:c r="A1235" t="str">
        <x:v>PCC-PE-KG01-L23-20251021-PM-ORD-2025-00092-S08-C1</x:v>
      </x:c>
      <x:c r="B1235" t="str">
        <x:v>PC-PE-KG01-L23-20251021-PM-ORD-2025-00092-S08</x:v>
      </x:c>
      <x:c r="C1235" t="str">
        <x:v>PE-KG01-L23-20251021-PM-ORD-2025-00092</x:v>
      </x:c>
      <x:c r="D1235" t="str">
        <x:v>KG01</x:v>
      </x:c>
      <x:c r="E1235" s="62" t="n">
        <x:v>45951</x:v>
      </x:c>
      <x:c r="F1235" t="str">
        <x:v>PM</x:v>
      </x:c>
      <x:c r="G1235" t="str">
        <x:v>B</x:v>
      </x:c>
      <x:c r="H1235" t="n">
        <x:v>23</x:v>
      </x:c>
      <x:c r="I1235" t="str">
        <x:v>ORD-2025-00092</x:v>
      </x:c>
      <x:c r="J1235" t="n">
        <x:v>8</x:v>
      </x:c>
      <x:c r="K1235" t="n">
        <x:v>1</x:v>
      </x:c>
      <x:c r="L1235" t="str">
        <x:v>L23-S08-C1</x:v>
      </x:c>
      <x:c r="M1235" t="n">
        <x:v>1</x:v>
      </x:c>
      <x:c r="N1235" t="str">
        <x:v>DerivedFromCount</x:v>
      </x:c>
      <x:c r="O1235" t="str">
        <x:v>PLC-PRD-JAR-330-L23</x:v>
      </x:c>
      <x:c r="P1235" t="str">
        <x:v>OK</x:v>
      </x:c>
      <x:c r="Q1235" t="str">
        <x:v>OK</x:v>
      </x:c>
      <x:c r="R1235" t="str">
        <x:v>OK</x:v>
      </x:c>
      <x:c r="S1235" t="str">
        <x:v>OK</x:v>
      </x:c>
      <x:c r="T1235" t="n">
        <x:v>36</x:v>
      </x:c>
      <x:c r="U1235" t="str">
        <x:v>OK</x:v>
      </x:c>
      <x:c r="V1235" t="str">
        <x:v>OK</x:v>
      </x:c>
      <x:c r="W1235" t="str">
        <x:v>LOAD</x:v>
      </x:c>
      <x:c r="X1235" t="str">
        <x:v>02_Supervisor_Log(4).xlsx</x:v>
      </x:c>
      <x:c r="Y1235" t="str">
        <x:v>ENH-20260830-01</x:v>
      </x:c>
      <x:c r="Z1235" t="str">
        <x:v>Active</x:v>
      </x:c>
      <x:c r="AA1235"/>
      <x:c r="AB1235"/>
      <x:c r="AC1235"/>
      <x:c r="AD1235"/>
    </x:row>
    <x:row r="1236">
      <x:c r="A1236" t="str">
        <x:v>PCC-PE-KG01-L23-20251021-PM-ORD-2025-00092-S08-C2</x:v>
      </x:c>
      <x:c r="B1236" t="str">
        <x:v>PC-PE-KG01-L23-20251021-PM-ORD-2025-00092-S08</x:v>
      </x:c>
      <x:c r="C1236" t="str">
        <x:v>PE-KG01-L23-20251021-PM-ORD-2025-00092</x:v>
      </x:c>
      <x:c r="D1236" t="str">
        <x:v>KG01</x:v>
      </x:c>
      <x:c r="E1236" s="62" t="n">
        <x:v>45951</x:v>
      </x:c>
      <x:c r="F1236" t="str">
        <x:v>PM</x:v>
      </x:c>
      <x:c r="G1236" t="str">
        <x:v>B</x:v>
      </x:c>
      <x:c r="H1236" t="n">
        <x:v>23</x:v>
      </x:c>
      <x:c r="I1236" t="str">
        <x:v>ORD-2025-00092</x:v>
      </x:c>
      <x:c r="J1236" t="n">
        <x:v>8</x:v>
      </x:c>
      <x:c r="K1236" t="n">
        <x:v>2</x:v>
      </x:c>
      <x:c r="L1236" t="str">
        <x:v>L23-S08-C2</x:v>
      </x:c>
      <x:c r="M1236" t="n">
        <x:v>1</x:v>
      </x:c>
      <x:c r="N1236" t="str">
        <x:v>DerivedFromCount</x:v>
      </x:c>
      <x:c r="O1236" t="str">
        <x:v>PLC-PRD-JAR-330-L23</x:v>
      </x:c>
      <x:c r="P1236" t="str">
        <x:v>OK</x:v>
      </x:c>
      <x:c r="Q1236" t="str">
        <x:v>OK</x:v>
      </x:c>
      <x:c r="R1236" t="str">
        <x:v>OK</x:v>
      </x:c>
      <x:c r="S1236" t="str">
        <x:v>OK</x:v>
      </x:c>
      <x:c r="T1236" t="n">
        <x:v>36</x:v>
      </x:c>
      <x:c r="U1236" t="str">
        <x:v>OK</x:v>
      </x:c>
      <x:c r="V1236" t="str">
        <x:v>OK</x:v>
      </x:c>
      <x:c r="W1236" t="str">
        <x:v>LOAD</x:v>
      </x:c>
      <x:c r="X1236" t="str">
        <x:v>02_Supervisor_Log(4).xlsx</x:v>
      </x:c>
      <x:c r="Y1236" t="str">
        <x:v>ENH-20260830-01</x:v>
      </x:c>
      <x:c r="Z1236" t="str">
        <x:v>Active</x:v>
      </x:c>
      <x:c r="AA1236"/>
      <x:c r="AB1236"/>
      <x:c r="AC1236"/>
      <x:c r="AD1236"/>
    </x:row>
    <x:row r="1237">
      <x:c r="A1237" t="str">
        <x:v>PCC-PE-KG01-L23-20251021-PM-ORD-2025-00092-S08-C3</x:v>
      </x:c>
      <x:c r="B1237" t="str">
        <x:v>PC-PE-KG01-L23-20251021-PM-ORD-2025-00092-S08</x:v>
      </x:c>
      <x:c r="C1237" t="str">
        <x:v>PE-KG01-L23-20251021-PM-ORD-2025-00092</x:v>
      </x:c>
      <x:c r="D1237" t="str">
        <x:v>KG01</x:v>
      </x:c>
      <x:c r="E1237" s="62" t="n">
        <x:v>45951</x:v>
      </x:c>
      <x:c r="F1237" t="str">
        <x:v>PM</x:v>
      </x:c>
      <x:c r="G1237" t="str">
        <x:v>B</x:v>
      </x:c>
      <x:c r="H1237" t="n">
        <x:v>23</x:v>
      </x:c>
      <x:c r="I1237" t="str">
        <x:v>ORD-2025-00092</x:v>
      </x:c>
      <x:c r="J1237" t="n">
        <x:v>8</x:v>
      </x:c>
      <x:c r="K1237" t="n">
        <x:v>3</x:v>
      </x:c>
      <x:c r="L1237" t="str">
        <x:v>L23-S08-C3</x:v>
      </x:c>
      <x:c r="M1237" t="n">
        <x:v>1</x:v>
      </x:c>
      <x:c r="N1237" t="str">
        <x:v>DerivedFromCount</x:v>
      </x:c>
      <x:c r="O1237" t="str">
        <x:v>PLC-PRD-JAR-330-L23</x:v>
      </x:c>
      <x:c r="P1237" t="str">
        <x:v>OK</x:v>
      </x:c>
      <x:c r="Q1237" t="str">
        <x:v>OK</x:v>
      </x:c>
      <x:c r="R1237" t="str">
        <x:v>OK</x:v>
      </x:c>
      <x:c r="S1237" t="str">
        <x:v>OK</x:v>
      </x:c>
      <x:c r="T1237" t="n">
        <x:v>36</x:v>
      </x:c>
      <x:c r="U1237" t="str">
        <x:v>OK</x:v>
      </x:c>
      <x:c r="V1237" t="str">
        <x:v>OK</x:v>
      </x:c>
      <x:c r="W1237" t="str">
        <x:v>LOAD</x:v>
      </x:c>
      <x:c r="X1237" t="str">
        <x:v>02_Supervisor_Log(4).xlsx</x:v>
      </x:c>
      <x:c r="Y1237" t="str">
        <x:v>ENH-20260830-01</x:v>
      </x:c>
      <x:c r="Z1237" t="str">
        <x:v>Active</x:v>
      </x:c>
      <x:c r="AA1237"/>
      <x:c r="AB1237"/>
      <x:c r="AC1237"/>
      <x:c r="AD1237"/>
    </x:row>
    <x:row r="1238">
      <x:c r="A1238" t="str">
        <x:v>PCC-PE-KG01-L23-20251021-PM-ORD-2025-00092-S09-C1</x:v>
      </x:c>
      <x:c r="B1238" t="str">
        <x:v>PC-PE-KG01-L23-20251021-PM-ORD-2025-00092-S09</x:v>
      </x:c>
      <x:c r="C1238" t="str">
        <x:v>PE-KG01-L23-20251021-PM-ORD-2025-00092</x:v>
      </x:c>
      <x:c r="D1238" t="str">
        <x:v>KG01</x:v>
      </x:c>
      <x:c r="E1238" s="62" t="n">
        <x:v>45951</x:v>
      </x:c>
      <x:c r="F1238" t="str">
        <x:v>PM</x:v>
      </x:c>
      <x:c r="G1238" t="str">
        <x:v>B</x:v>
      </x:c>
      <x:c r="H1238" t="n">
        <x:v>23</x:v>
      </x:c>
      <x:c r="I1238" t="str">
        <x:v>ORD-2025-00092</x:v>
      </x:c>
      <x:c r="J1238" t="n">
        <x:v>9</x:v>
      </x:c>
      <x:c r="K1238" t="n">
        <x:v>1</x:v>
      </x:c>
      <x:c r="L1238" t="str">
        <x:v>L23-S09-C1</x:v>
      </x:c>
      <x:c r="M1238" t="n">
        <x:v>1</x:v>
      </x:c>
      <x:c r="N1238" t="str">
        <x:v>DerivedFromCount</x:v>
      </x:c>
      <x:c r="O1238" t="str">
        <x:v>PLC-PRD-JAR-330-L23</x:v>
      </x:c>
      <x:c r="P1238" t="str">
        <x:v>OK</x:v>
      </x:c>
      <x:c r="Q1238" t="str">
        <x:v>OK</x:v>
      </x:c>
      <x:c r="R1238" t="str">
        <x:v>OK</x:v>
      </x:c>
      <x:c r="S1238" t="str">
        <x:v>OK</x:v>
      </x:c>
      <x:c r="T1238" t="n">
        <x:v>36</x:v>
      </x:c>
      <x:c r="U1238" t="str">
        <x:v>OK</x:v>
      </x:c>
      <x:c r="V1238" t="str">
        <x:v>OK</x:v>
      </x:c>
      <x:c r="W1238" t="str">
        <x:v>LOAD</x:v>
      </x:c>
      <x:c r="X1238" t="str">
        <x:v>02_Supervisor_Log(4).xlsx</x:v>
      </x:c>
      <x:c r="Y1238" t="str">
        <x:v>ENH-20260830-01</x:v>
      </x:c>
      <x:c r="Z1238" t="str">
        <x:v>Active</x:v>
      </x:c>
      <x:c r="AA1238"/>
      <x:c r="AB1238"/>
      <x:c r="AC1238"/>
      <x:c r="AD1238"/>
    </x:row>
    <x:row r="1239">
      <x:c r="A1239" t="str">
        <x:v>PCC-PE-KG01-L23-20251021-PM-ORD-2025-00092-S09-C2</x:v>
      </x:c>
      <x:c r="B1239" t="str">
        <x:v>PC-PE-KG01-L23-20251021-PM-ORD-2025-00092-S09</x:v>
      </x:c>
      <x:c r="C1239" t="str">
        <x:v>PE-KG01-L23-20251021-PM-ORD-2025-00092</x:v>
      </x:c>
      <x:c r="D1239" t="str">
        <x:v>KG01</x:v>
      </x:c>
      <x:c r="E1239" s="62" t="n">
        <x:v>45951</x:v>
      </x:c>
      <x:c r="F1239" t="str">
        <x:v>PM</x:v>
      </x:c>
      <x:c r="G1239" t="str">
        <x:v>B</x:v>
      </x:c>
      <x:c r="H1239" t="n">
        <x:v>23</x:v>
      </x:c>
      <x:c r="I1239" t="str">
        <x:v>ORD-2025-00092</x:v>
      </x:c>
      <x:c r="J1239" t="n">
        <x:v>9</x:v>
      </x:c>
      <x:c r="K1239" t="n">
        <x:v>2</x:v>
      </x:c>
      <x:c r="L1239" t="str">
        <x:v>L23-S09-C2</x:v>
      </x:c>
      <x:c r="M1239" t="n">
        <x:v>1</x:v>
      </x:c>
      <x:c r="N1239" t="str">
        <x:v>DerivedFromCount</x:v>
      </x:c>
      <x:c r="O1239" t="str">
        <x:v>PLC-PRD-JAR-330-L23</x:v>
      </x:c>
      <x:c r="P1239" t="str">
        <x:v>OK</x:v>
      </x:c>
      <x:c r="Q1239" t="str">
        <x:v>OK</x:v>
      </x:c>
      <x:c r="R1239" t="str">
        <x:v>OK</x:v>
      </x:c>
      <x:c r="S1239" t="str">
        <x:v>OK</x:v>
      </x:c>
      <x:c r="T1239" t="n">
        <x:v>36</x:v>
      </x:c>
      <x:c r="U1239" t="str">
        <x:v>OK</x:v>
      </x:c>
      <x:c r="V1239" t="str">
        <x:v>OK</x:v>
      </x:c>
      <x:c r="W1239" t="str">
        <x:v>LOAD</x:v>
      </x:c>
      <x:c r="X1239" t="str">
        <x:v>02_Supervisor_Log(4).xlsx</x:v>
      </x:c>
      <x:c r="Y1239" t="str">
        <x:v>ENH-20260830-01</x:v>
      </x:c>
      <x:c r="Z1239" t="str">
        <x:v>Active</x:v>
      </x:c>
      <x:c r="AA1239"/>
      <x:c r="AB1239"/>
      <x:c r="AC1239"/>
      <x:c r="AD1239"/>
    </x:row>
    <x:row r="1240">
      <x:c r="A1240" t="str">
        <x:v>PCC-PE-KG01-L23-20251021-PM-ORD-2025-00092-S09-C3</x:v>
      </x:c>
      <x:c r="B1240" t="str">
        <x:v>PC-PE-KG01-L23-20251021-PM-ORD-2025-00092-S09</x:v>
      </x:c>
      <x:c r="C1240" t="str">
        <x:v>PE-KG01-L23-20251021-PM-ORD-2025-00092</x:v>
      </x:c>
      <x:c r="D1240" t="str">
        <x:v>KG01</x:v>
      </x:c>
      <x:c r="E1240" s="62" t="n">
        <x:v>45951</x:v>
      </x:c>
      <x:c r="F1240" t="str">
        <x:v>PM</x:v>
      </x:c>
      <x:c r="G1240" t="str">
        <x:v>B</x:v>
      </x:c>
      <x:c r="H1240" t="n">
        <x:v>23</x:v>
      </x:c>
      <x:c r="I1240" t="str">
        <x:v>ORD-2025-00092</x:v>
      </x:c>
      <x:c r="J1240" t="n">
        <x:v>9</x:v>
      </x:c>
      <x:c r="K1240" t="n">
        <x:v>3</x:v>
      </x:c>
      <x:c r="L1240" t="str">
        <x:v>L23-S09-C3</x:v>
      </x:c>
      <x:c r="M1240" t="n">
        <x:v>1</x:v>
      </x:c>
      <x:c r="N1240" t="str">
        <x:v>DerivedFromCount</x:v>
      </x:c>
      <x:c r="O1240" t="str">
        <x:v>PLC-PRD-JAR-330-L23</x:v>
      </x:c>
      <x:c r="P1240" t="str">
        <x:v>OK</x:v>
      </x:c>
      <x:c r="Q1240" t="str">
        <x:v>OK</x:v>
      </x:c>
      <x:c r="R1240" t="str">
        <x:v>OK</x:v>
      </x:c>
      <x:c r="S1240" t="str">
        <x:v>OK</x:v>
      </x:c>
      <x:c r="T1240" t="n">
        <x:v>36</x:v>
      </x:c>
      <x:c r="U1240" t="str">
        <x:v>OK</x:v>
      </x:c>
      <x:c r="V1240" t="str">
        <x:v>OK</x:v>
      </x:c>
      <x:c r="W1240" t="str">
        <x:v>LOAD</x:v>
      </x:c>
      <x:c r="X1240" t="str">
        <x:v>02_Supervisor_Log(4).xlsx</x:v>
      </x:c>
      <x:c r="Y1240" t="str">
        <x:v>ENH-20260830-01</x:v>
      </x:c>
      <x:c r="Z1240" t="str">
        <x:v>Active</x:v>
      </x:c>
      <x:c r="AA1240"/>
      <x:c r="AB1240"/>
      <x:c r="AC1240"/>
      <x:c r="AD1240"/>
    </x:row>
    <x:row r="1241">
      <x:c r="A1241" t="str">
        <x:v>PCC-PE-KG01-L23-20251021-PM-ORD-2025-00092-S10-C1</x:v>
      </x:c>
      <x:c r="B1241" t="str">
        <x:v>PC-PE-KG01-L23-20251021-PM-ORD-2025-00092-S10</x:v>
      </x:c>
      <x:c r="C1241" t="str">
        <x:v>PE-KG01-L23-20251021-PM-ORD-2025-00092</x:v>
      </x:c>
      <x:c r="D1241" t="str">
        <x:v>KG01</x:v>
      </x:c>
      <x:c r="E1241" s="62" t="n">
        <x:v>45951</x:v>
      </x:c>
      <x:c r="F1241" t="str">
        <x:v>PM</x:v>
      </x:c>
      <x:c r="G1241" t="str">
        <x:v>B</x:v>
      </x:c>
      <x:c r="H1241" t="n">
        <x:v>23</x:v>
      </x:c>
      <x:c r="I1241" t="str">
        <x:v>ORD-2025-00092</x:v>
      </x:c>
      <x:c r="J1241" t="n">
        <x:v>10</x:v>
      </x:c>
      <x:c r="K1241" t="n">
        <x:v>1</x:v>
      </x:c>
      <x:c r="L1241" t="str">
        <x:v>L23-S10-C1</x:v>
      </x:c>
      <x:c r="M1241" t="n">
        <x:v>1</x:v>
      </x:c>
      <x:c r="N1241" t="str">
        <x:v>DerivedFromCount</x:v>
      </x:c>
      <x:c r="O1241" t="str">
        <x:v>PLC-PRD-JAR-330-L23</x:v>
      </x:c>
      <x:c r="P1241" t="str">
        <x:v>OK</x:v>
      </x:c>
      <x:c r="Q1241" t="str">
        <x:v>OK</x:v>
      </x:c>
      <x:c r="R1241" t="str">
        <x:v>OK</x:v>
      </x:c>
      <x:c r="S1241" t="str">
        <x:v>OK</x:v>
      </x:c>
      <x:c r="T1241" t="n">
        <x:v>36</x:v>
      </x:c>
      <x:c r="U1241" t="str">
        <x:v>OK</x:v>
      </x:c>
      <x:c r="V1241" t="str">
        <x:v>OK</x:v>
      </x:c>
      <x:c r="W1241" t="str">
        <x:v>LOAD</x:v>
      </x:c>
      <x:c r="X1241" t="str">
        <x:v>02_Supervisor_Log(4).xlsx</x:v>
      </x:c>
      <x:c r="Y1241" t="str">
        <x:v>ENH-20260830-01</x:v>
      </x:c>
      <x:c r="Z1241" t="str">
        <x:v>Active</x:v>
      </x:c>
      <x:c r="AA1241"/>
      <x:c r="AB1241"/>
      <x:c r="AC1241"/>
      <x:c r="AD1241"/>
    </x:row>
    <x:row r="1242">
      <x:c r="A1242" t="str">
        <x:v>PCC-PE-KG01-L23-20251021-PM-ORD-2025-00092-S10-C2</x:v>
      </x:c>
      <x:c r="B1242" t="str">
        <x:v>PC-PE-KG01-L23-20251021-PM-ORD-2025-00092-S10</x:v>
      </x:c>
      <x:c r="C1242" t="str">
        <x:v>PE-KG01-L23-20251021-PM-ORD-2025-00092</x:v>
      </x:c>
      <x:c r="D1242" t="str">
        <x:v>KG01</x:v>
      </x:c>
      <x:c r="E1242" s="62" t="n">
        <x:v>45951</x:v>
      </x:c>
      <x:c r="F1242" t="str">
        <x:v>PM</x:v>
      </x:c>
      <x:c r="G1242" t="str">
        <x:v>B</x:v>
      </x:c>
      <x:c r="H1242" t="n">
        <x:v>23</x:v>
      </x:c>
      <x:c r="I1242" t="str">
        <x:v>ORD-2025-00092</x:v>
      </x:c>
      <x:c r="J1242" t="n">
        <x:v>10</x:v>
      </x:c>
      <x:c r="K1242" t="n">
        <x:v>2</x:v>
      </x:c>
      <x:c r="L1242" t="str">
        <x:v>L23-S10-C2</x:v>
      </x:c>
      <x:c r="M1242" t="n">
        <x:v>1</x:v>
      </x:c>
      <x:c r="N1242" t="str">
        <x:v>DerivedFromCount</x:v>
      </x:c>
      <x:c r="O1242" t="str">
        <x:v>PLC-PRD-JAR-330-L23</x:v>
      </x:c>
      <x:c r="P1242" t="str">
        <x:v>OK</x:v>
      </x:c>
      <x:c r="Q1242" t="str">
        <x:v>OK</x:v>
      </x:c>
      <x:c r="R1242" t="str">
        <x:v>OK</x:v>
      </x:c>
      <x:c r="S1242" t="str">
        <x:v>OK</x:v>
      </x:c>
      <x:c r="T1242" t="n">
        <x:v>36</x:v>
      </x:c>
      <x:c r="U1242" t="str">
        <x:v>OK</x:v>
      </x:c>
      <x:c r="V1242" t="str">
        <x:v>OK</x:v>
      </x:c>
      <x:c r="W1242" t="str">
        <x:v>LOAD</x:v>
      </x:c>
      <x:c r="X1242" t="str">
        <x:v>02_Supervisor_Log(4).xlsx</x:v>
      </x:c>
      <x:c r="Y1242" t="str">
        <x:v>ENH-20260830-01</x:v>
      </x:c>
      <x:c r="Z1242" t="str">
        <x:v>Active</x:v>
      </x:c>
      <x:c r="AA1242"/>
      <x:c r="AB1242"/>
      <x:c r="AC1242"/>
      <x:c r="AD1242"/>
    </x:row>
    <x:row r="1243">
      <x:c r="A1243" t="str">
        <x:v>PCC-PE-KG01-L23-20251021-PM-ORD-2025-00092-S10-C3</x:v>
      </x:c>
      <x:c r="B1243" t="str">
        <x:v>PC-PE-KG01-L23-20251021-PM-ORD-2025-00092-S10</x:v>
      </x:c>
      <x:c r="C1243" t="str">
        <x:v>PE-KG01-L23-20251021-PM-ORD-2025-00092</x:v>
      </x:c>
      <x:c r="D1243" t="str">
        <x:v>KG01</x:v>
      </x:c>
      <x:c r="E1243" s="62" t="n">
        <x:v>45951</x:v>
      </x:c>
      <x:c r="F1243" t="str">
        <x:v>PM</x:v>
      </x:c>
      <x:c r="G1243" t="str">
        <x:v>B</x:v>
      </x:c>
      <x:c r="H1243" t="n">
        <x:v>23</x:v>
      </x:c>
      <x:c r="I1243" t="str">
        <x:v>ORD-2025-00092</x:v>
      </x:c>
      <x:c r="J1243" t="n">
        <x:v>10</x:v>
      </x:c>
      <x:c r="K1243" t="n">
        <x:v>3</x:v>
      </x:c>
      <x:c r="L1243" t="str">
        <x:v>L23-S10-C3</x:v>
      </x:c>
      <x:c r="M1243" t="n">
        <x:v>1</x:v>
      </x:c>
      <x:c r="N1243" t="str">
        <x:v>DerivedFromCount</x:v>
      </x:c>
      <x:c r="O1243" t="str">
        <x:v>PLC-PRD-JAR-330-L23</x:v>
      </x:c>
      <x:c r="P1243" t="str">
        <x:v>OK</x:v>
      </x:c>
      <x:c r="Q1243" t="str">
        <x:v>OK</x:v>
      </x:c>
      <x:c r="R1243" t="str">
        <x:v>OK</x:v>
      </x:c>
      <x:c r="S1243" t="str">
        <x:v>OK</x:v>
      </x:c>
      <x:c r="T1243" t="n">
        <x:v>36</x:v>
      </x:c>
      <x:c r="U1243" t="str">
        <x:v>OK</x:v>
      </x:c>
      <x:c r="V1243" t="str">
        <x:v>OK</x:v>
      </x:c>
      <x:c r="W1243" t="str">
        <x:v>LOAD</x:v>
      </x:c>
      <x:c r="X1243" t="str">
        <x:v>02_Supervisor_Log(4).xlsx</x:v>
      </x:c>
      <x:c r="Y1243" t="str">
        <x:v>ENH-20260830-01</x:v>
      </x:c>
      <x:c r="Z1243" t="str">
        <x:v>Active</x:v>
      </x:c>
      <x:c r="AA1243"/>
      <x:c r="AB1243"/>
      <x:c r="AC1243"/>
      <x:c r="AD1243"/>
    </x:row>
    <x:row r="1244">
      <x:c r="A1244" t="str">
        <x:v>PCC-PE-KG01-L23-20251021-PM-ORD-2025-00092-S11-C1</x:v>
      </x:c>
      <x:c r="B1244" t="str">
        <x:v>PC-PE-KG01-L23-20251021-PM-ORD-2025-00092-S11</x:v>
      </x:c>
      <x:c r="C1244" t="str">
        <x:v>PE-KG01-L23-20251021-PM-ORD-2025-00092</x:v>
      </x:c>
      <x:c r="D1244" t="str">
        <x:v>KG01</x:v>
      </x:c>
      <x:c r="E1244" s="62" t="n">
        <x:v>45951</x:v>
      </x:c>
      <x:c r="F1244" t="str">
        <x:v>PM</x:v>
      </x:c>
      <x:c r="G1244" t="str">
        <x:v>B</x:v>
      </x:c>
      <x:c r="H1244" t="n">
        <x:v>23</x:v>
      </x:c>
      <x:c r="I1244" t="str">
        <x:v>ORD-2025-00092</x:v>
      </x:c>
      <x:c r="J1244" t="n">
        <x:v>11</x:v>
      </x:c>
      <x:c r="K1244" t="n">
        <x:v>1</x:v>
      </x:c>
      <x:c r="L1244" t="str">
        <x:v>L23-S11-C1</x:v>
      </x:c>
      <x:c r="M1244" t="n">
        <x:v>1</x:v>
      </x:c>
      <x:c r="N1244" t="str">
        <x:v>DerivedFromCount</x:v>
      </x:c>
      <x:c r="O1244" t="str">
        <x:v>PLC-PRD-JAR-330-L23</x:v>
      </x:c>
      <x:c r="P1244" t="str">
        <x:v>OK</x:v>
      </x:c>
      <x:c r="Q1244" t="str">
        <x:v>OK</x:v>
      </x:c>
      <x:c r="R1244" t="str">
        <x:v>OK</x:v>
      </x:c>
      <x:c r="S1244" t="str">
        <x:v>OK</x:v>
      </x:c>
      <x:c r="T1244" t="n">
        <x:v>36</x:v>
      </x:c>
      <x:c r="U1244" t="str">
        <x:v>OK</x:v>
      </x:c>
      <x:c r="V1244" t="str">
        <x:v>OK</x:v>
      </x:c>
      <x:c r="W1244" t="str">
        <x:v>LOAD</x:v>
      </x:c>
      <x:c r="X1244" t="str">
        <x:v>02_Supervisor_Log(4).xlsx</x:v>
      </x:c>
      <x:c r="Y1244" t="str">
        <x:v>ENH-20260830-01</x:v>
      </x:c>
      <x:c r="Z1244" t="str">
        <x:v>Active</x:v>
      </x:c>
      <x:c r="AA1244"/>
      <x:c r="AB1244"/>
      <x:c r="AC1244"/>
      <x:c r="AD1244"/>
    </x:row>
    <x:row r="1245">
      <x:c r="A1245" t="str">
        <x:v>PCC-PE-KG01-L23-20251021-PM-ORD-2025-00092-S11-C2</x:v>
      </x:c>
      <x:c r="B1245" t="str">
        <x:v>PC-PE-KG01-L23-20251021-PM-ORD-2025-00092-S11</x:v>
      </x:c>
      <x:c r="C1245" t="str">
        <x:v>PE-KG01-L23-20251021-PM-ORD-2025-00092</x:v>
      </x:c>
      <x:c r="D1245" t="str">
        <x:v>KG01</x:v>
      </x:c>
      <x:c r="E1245" s="62" t="n">
        <x:v>45951</x:v>
      </x:c>
      <x:c r="F1245" t="str">
        <x:v>PM</x:v>
      </x:c>
      <x:c r="G1245" t="str">
        <x:v>B</x:v>
      </x:c>
      <x:c r="H1245" t="n">
        <x:v>23</x:v>
      </x:c>
      <x:c r="I1245" t="str">
        <x:v>ORD-2025-00092</x:v>
      </x:c>
      <x:c r="J1245" t="n">
        <x:v>11</x:v>
      </x:c>
      <x:c r="K1245" t="n">
        <x:v>2</x:v>
      </x:c>
      <x:c r="L1245" t="str">
        <x:v>L23-S11-C2</x:v>
      </x:c>
      <x:c r="M1245" t="n">
        <x:v>1</x:v>
      </x:c>
      <x:c r="N1245" t="str">
        <x:v>DerivedFromCount</x:v>
      </x:c>
      <x:c r="O1245" t="str">
        <x:v>PLC-PRD-JAR-330-L23</x:v>
      </x:c>
      <x:c r="P1245" t="str">
        <x:v>OK</x:v>
      </x:c>
      <x:c r="Q1245" t="str">
        <x:v>OK</x:v>
      </x:c>
      <x:c r="R1245" t="str">
        <x:v>OK</x:v>
      </x:c>
      <x:c r="S1245" t="str">
        <x:v>OK</x:v>
      </x:c>
      <x:c r="T1245" t="n">
        <x:v>36</x:v>
      </x:c>
      <x:c r="U1245" t="str">
        <x:v>OK</x:v>
      </x:c>
      <x:c r="V1245" t="str">
        <x:v>OK</x:v>
      </x:c>
      <x:c r="W1245" t="str">
        <x:v>LOAD</x:v>
      </x:c>
      <x:c r="X1245" t="str">
        <x:v>02_Supervisor_Log(4).xlsx</x:v>
      </x:c>
      <x:c r="Y1245" t="str">
        <x:v>ENH-20260830-01</x:v>
      </x:c>
      <x:c r="Z1245" t="str">
        <x:v>Active</x:v>
      </x:c>
      <x:c r="AA1245"/>
      <x:c r="AB1245"/>
      <x:c r="AC1245"/>
      <x:c r="AD1245"/>
    </x:row>
    <x:row r="1246">
      <x:c r="A1246" t="str">
        <x:v>PCC-PE-KG01-L23-20251021-PM-ORD-2025-00092-S11-C3</x:v>
      </x:c>
      <x:c r="B1246" t="str">
        <x:v>PC-PE-KG01-L23-20251021-PM-ORD-2025-00092-S11</x:v>
      </x:c>
      <x:c r="C1246" t="str">
        <x:v>PE-KG01-L23-20251021-PM-ORD-2025-00092</x:v>
      </x:c>
      <x:c r="D1246" t="str">
        <x:v>KG01</x:v>
      </x:c>
      <x:c r="E1246" s="62" t="n">
        <x:v>45951</x:v>
      </x:c>
      <x:c r="F1246" t="str">
        <x:v>PM</x:v>
      </x:c>
      <x:c r="G1246" t="str">
        <x:v>B</x:v>
      </x:c>
      <x:c r="H1246" t="n">
        <x:v>23</x:v>
      </x:c>
      <x:c r="I1246" t="str">
        <x:v>ORD-2025-00092</x:v>
      </x:c>
      <x:c r="J1246" t="n">
        <x:v>11</x:v>
      </x:c>
      <x:c r="K1246" t="n">
        <x:v>3</x:v>
      </x:c>
      <x:c r="L1246" t="str">
        <x:v>L23-S11-C3</x:v>
      </x:c>
      <x:c r="M1246" t="n">
        <x:v>1</x:v>
      </x:c>
      <x:c r="N1246" t="str">
        <x:v>DerivedFromCount</x:v>
      </x:c>
      <x:c r="O1246" t="str">
        <x:v>PLC-PRD-JAR-330-L23</x:v>
      </x:c>
      <x:c r="P1246" t="str">
        <x:v>OK</x:v>
      </x:c>
      <x:c r="Q1246" t="str">
        <x:v>OK</x:v>
      </x:c>
      <x:c r="R1246" t="str">
        <x:v>OK</x:v>
      </x:c>
      <x:c r="S1246" t="str">
        <x:v>OK</x:v>
      </x:c>
      <x:c r="T1246" t="n">
        <x:v>36</x:v>
      </x:c>
      <x:c r="U1246" t="str">
        <x:v>OK</x:v>
      </x:c>
      <x:c r="V1246" t="str">
        <x:v>OK</x:v>
      </x:c>
      <x:c r="W1246" t="str">
        <x:v>LOAD</x:v>
      </x:c>
      <x:c r="X1246" t="str">
        <x:v>02_Supervisor_Log(4).xlsx</x:v>
      </x:c>
      <x:c r="Y1246" t="str">
        <x:v>ENH-20260830-01</x:v>
      </x:c>
      <x:c r="Z1246" t="str">
        <x:v>Active</x:v>
      </x:c>
      <x:c r="AA1246"/>
      <x:c r="AB1246"/>
      <x:c r="AC1246"/>
      <x:c r="AD1246"/>
    </x:row>
    <x:row r="1247">
      <x:c r="A1247" t="str">
        <x:v>PCC-PE-KG01-L23-20251021-PM-ORD-2025-00092-S12-C1</x:v>
      </x:c>
      <x:c r="B1247" t="str">
        <x:v>PC-PE-KG01-L23-20251021-PM-ORD-2025-00092-S12</x:v>
      </x:c>
      <x:c r="C1247" t="str">
        <x:v>PE-KG01-L23-20251021-PM-ORD-2025-00092</x:v>
      </x:c>
      <x:c r="D1247" t="str">
        <x:v>KG01</x:v>
      </x:c>
      <x:c r="E1247" s="62" t="n">
        <x:v>45951</x:v>
      </x:c>
      <x:c r="F1247" t="str">
        <x:v>PM</x:v>
      </x:c>
      <x:c r="G1247" t="str">
        <x:v>B</x:v>
      </x:c>
      <x:c r="H1247" t="n">
        <x:v>23</x:v>
      </x:c>
      <x:c r="I1247" t="str">
        <x:v>ORD-2025-00092</x:v>
      </x:c>
      <x:c r="J1247" t="n">
        <x:v>12</x:v>
      </x:c>
      <x:c r="K1247" t="n">
        <x:v>1</x:v>
      </x:c>
      <x:c r="L1247" t="str">
        <x:v>L23-S12-C1</x:v>
      </x:c>
      <x:c r="M1247" t="n">
        <x:v>1</x:v>
      </x:c>
      <x:c r="N1247" t="str">
        <x:v>DerivedFromCount</x:v>
      </x:c>
      <x:c r="O1247" t="str">
        <x:v>PLC-PRD-JAR-330-L23</x:v>
      </x:c>
      <x:c r="P1247" t="str">
        <x:v>OK</x:v>
      </x:c>
      <x:c r="Q1247" t="str">
        <x:v>OK</x:v>
      </x:c>
      <x:c r="R1247" t="str">
        <x:v>OK</x:v>
      </x:c>
      <x:c r="S1247" t="str">
        <x:v>OK</x:v>
      </x:c>
      <x:c r="T1247" t="n">
        <x:v>36</x:v>
      </x:c>
      <x:c r="U1247" t="str">
        <x:v>OK</x:v>
      </x:c>
      <x:c r="V1247" t="str">
        <x:v>OK</x:v>
      </x:c>
      <x:c r="W1247" t="str">
        <x:v>LOAD</x:v>
      </x:c>
      <x:c r="X1247" t="str">
        <x:v>02_Supervisor_Log(4).xlsx</x:v>
      </x:c>
      <x:c r="Y1247" t="str">
        <x:v>ENH-20260830-01</x:v>
      </x:c>
      <x:c r="Z1247" t="str">
        <x:v>Active</x:v>
      </x:c>
      <x:c r="AA1247"/>
      <x:c r="AB1247"/>
      <x:c r="AC1247"/>
      <x:c r="AD1247"/>
    </x:row>
    <x:row r="1248">
      <x:c r="A1248" t="str">
        <x:v>PCC-PE-KG01-L23-20251021-PM-ORD-2025-00092-S12-C2</x:v>
      </x:c>
      <x:c r="B1248" t="str">
        <x:v>PC-PE-KG01-L23-20251021-PM-ORD-2025-00092-S12</x:v>
      </x:c>
      <x:c r="C1248" t="str">
        <x:v>PE-KG01-L23-20251021-PM-ORD-2025-00092</x:v>
      </x:c>
      <x:c r="D1248" t="str">
        <x:v>KG01</x:v>
      </x:c>
      <x:c r="E1248" s="62" t="n">
        <x:v>45951</x:v>
      </x:c>
      <x:c r="F1248" t="str">
        <x:v>PM</x:v>
      </x:c>
      <x:c r="G1248" t="str">
        <x:v>B</x:v>
      </x:c>
      <x:c r="H1248" t="n">
        <x:v>23</x:v>
      </x:c>
      <x:c r="I1248" t="str">
        <x:v>ORD-2025-00092</x:v>
      </x:c>
      <x:c r="J1248" t="n">
        <x:v>12</x:v>
      </x:c>
      <x:c r="K1248" t="n">
        <x:v>2</x:v>
      </x:c>
      <x:c r="L1248" t="str">
        <x:v>L23-S12-C2</x:v>
      </x:c>
      <x:c r="M1248" t="n">
        <x:v>1</x:v>
      </x:c>
      <x:c r="N1248" t="str">
        <x:v>DerivedFromCount</x:v>
      </x:c>
      <x:c r="O1248" t="str">
        <x:v>PLC-PRD-JAR-330-L23</x:v>
      </x:c>
      <x:c r="P1248" t="str">
        <x:v>OK</x:v>
      </x:c>
      <x:c r="Q1248" t="str">
        <x:v>OK</x:v>
      </x:c>
      <x:c r="R1248" t="str">
        <x:v>OK</x:v>
      </x:c>
      <x:c r="S1248" t="str">
        <x:v>OK</x:v>
      </x:c>
      <x:c r="T1248" t="n">
        <x:v>36</x:v>
      </x:c>
      <x:c r="U1248" t="str">
        <x:v>OK</x:v>
      </x:c>
      <x:c r="V1248" t="str">
        <x:v>OK</x:v>
      </x:c>
      <x:c r="W1248" t="str">
        <x:v>LOAD</x:v>
      </x:c>
      <x:c r="X1248" t="str">
        <x:v>02_Supervisor_Log(4).xlsx</x:v>
      </x:c>
      <x:c r="Y1248" t="str">
        <x:v>ENH-20260830-01</x:v>
      </x:c>
      <x:c r="Z1248" t="str">
        <x:v>Active</x:v>
      </x:c>
      <x:c r="AA1248"/>
      <x:c r="AB1248"/>
      <x:c r="AC1248"/>
      <x:c r="AD1248"/>
    </x:row>
    <x:row r="1249">
      <x:c r="A1249" t="str">
        <x:v>PCC-PE-KG01-L23-20251021-PM-ORD-2025-00092-S12-C3</x:v>
      </x:c>
      <x:c r="B1249" t="str">
        <x:v>PC-PE-KG01-L23-20251021-PM-ORD-2025-00092-S12</x:v>
      </x:c>
      <x:c r="C1249" t="str">
        <x:v>PE-KG01-L23-20251021-PM-ORD-2025-00092</x:v>
      </x:c>
      <x:c r="D1249" t="str">
        <x:v>KG01</x:v>
      </x:c>
      <x:c r="E1249" s="62" t="n">
        <x:v>45951</x:v>
      </x:c>
      <x:c r="F1249" t="str">
        <x:v>PM</x:v>
      </x:c>
      <x:c r="G1249" t="str">
        <x:v>B</x:v>
      </x:c>
      <x:c r="H1249" t="n">
        <x:v>23</x:v>
      </x:c>
      <x:c r="I1249" t="str">
        <x:v>ORD-2025-00092</x:v>
      </x:c>
      <x:c r="J1249" t="n">
        <x:v>12</x:v>
      </x:c>
      <x:c r="K1249" t="n">
        <x:v>3</x:v>
      </x:c>
      <x:c r="L1249" t="str">
        <x:v>L23-S12-C3</x:v>
      </x:c>
      <x:c r="M1249" t="n">
        <x:v>1</x:v>
      </x:c>
      <x:c r="N1249" t="str">
        <x:v>DerivedFromCount</x:v>
      </x:c>
      <x:c r="O1249" t="str">
        <x:v>PLC-PRD-JAR-330-L23</x:v>
      </x:c>
      <x:c r="P1249" t="str">
        <x:v>OK</x:v>
      </x:c>
      <x:c r="Q1249" t="str">
        <x:v>OK</x:v>
      </x:c>
      <x:c r="R1249" t="str">
        <x:v>OK</x:v>
      </x:c>
      <x:c r="S1249" t="str">
        <x:v>OK</x:v>
      </x:c>
      <x:c r="T1249" t="n">
        <x:v>36</x:v>
      </x:c>
      <x:c r="U1249" t="str">
        <x:v>OK</x:v>
      </x:c>
      <x:c r="V1249" t="str">
        <x:v>OK</x:v>
      </x:c>
      <x:c r="W1249" t="str">
        <x:v>LOAD</x:v>
      </x:c>
      <x:c r="X1249" t="str">
        <x:v>02_Supervisor_Log(4).xlsx</x:v>
      </x:c>
      <x:c r="Y1249" t="str">
        <x:v>ENH-20260830-01</x:v>
      </x:c>
      <x:c r="Z1249" t="str">
        <x:v>Active</x:v>
      </x:c>
      <x:c r="AA1249"/>
      <x:c r="AB1249"/>
      <x:c r="AC1249"/>
      <x:c r="AD1249"/>
    </x:row>
    <x:row r="1250">
      <x:c r="A1250" t="str">
        <x:v>PCC-PE-KG01-L23-20251021-PM-ORD-2025-00092-S13-C1</x:v>
      </x:c>
      <x:c r="B1250" t="str">
        <x:v>PC-PE-KG01-L23-20251021-PM-ORD-2025-00092-S13</x:v>
      </x:c>
      <x:c r="C1250" t="str">
        <x:v>PE-KG01-L23-20251021-PM-ORD-2025-00092</x:v>
      </x:c>
      <x:c r="D1250" t="str">
        <x:v>KG01</x:v>
      </x:c>
      <x:c r="E1250" s="62" t="n">
        <x:v>45951</x:v>
      </x:c>
      <x:c r="F1250" t="str">
        <x:v>PM</x:v>
      </x:c>
      <x:c r="G1250" t="str">
        <x:v>B</x:v>
      </x:c>
      <x:c r="H1250" t="n">
        <x:v>23</x:v>
      </x:c>
      <x:c r="I1250" t="str">
        <x:v>ORD-2025-00092</x:v>
      </x:c>
      <x:c r="J1250" t="n">
        <x:v>13</x:v>
      </x:c>
      <x:c r="K1250" t="n">
        <x:v>1</x:v>
      </x:c>
      <x:c r="L1250" t="str">
        <x:v>L23-S13-C1</x:v>
      </x:c>
      <x:c r="M1250" t="n">
        <x:v>0</x:v>
      </x:c>
      <x:c r="N1250" t="str">
        <x:v>DerivedFromCount</x:v>
      </x:c>
      <x:c r="O1250" t="str">
        <x:v>PLC-PRD-JAR-330-L23</x:v>
      </x:c>
      <x:c r="P1250" t="str">
        <x:v>OK</x:v>
      </x:c>
      <x:c r="Q1250" t="str">
        <x:v>OK</x:v>
      </x:c>
      <x:c r="R1250" t="str">
        <x:v>OK</x:v>
      </x:c>
      <x:c r="S1250" t="str">
        <x:v>OK</x:v>
      </x:c>
      <x:c r="T1250" t="n">
        <x:v>36</x:v>
      </x:c>
      <x:c r="U1250" t="str">
        <x:v>OK</x:v>
      </x:c>
      <x:c r="V1250" t="str">
        <x:v>OK</x:v>
      </x:c>
      <x:c r="W1250" t="str">
        <x:v>LOAD</x:v>
      </x:c>
      <x:c r="X1250" t="str">
        <x:v>02_Supervisor_Log(4).xlsx</x:v>
      </x:c>
      <x:c r="Y1250" t="str">
        <x:v>ENH-20260830-01</x:v>
      </x:c>
      <x:c r="Z1250" t="str">
        <x:v>Active</x:v>
      </x:c>
      <x:c r="AA1250"/>
      <x:c r="AB1250"/>
      <x:c r="AC1250"/>
      <x:c r="AD1250"/>
    </x:row>
    <x:row r="1251">
      <x:c r="A1251" t="str">
        <x:v>PCC-PE-KG01-L23-20251021-PM-ORD-2025-00092-S13-C2</x:v>
      </x:c>
      <x:c r="B1251" t="str">
        <x:v>PC-PE-KG01-L23-20251021-PM-ORD-2025-00092-S13</x:v>
      </x:c>
      <x:c r="C1251" t="str">
        <x:v>PE-KG01-L23-20251021-PM-ORD-2025-00092</x:v>
      </x:c>
      <x:c r="D1251" t="str">
        <x:v>KG01</x:v>
      </x:c>
      <x:c r="E1251" s="62" t="n">
        <x:v>45951</x:v>
      </x:c>
      <x:c r="F1251" t="str">
        <x:v>PM</x:v>
      </x:c>
      <x:c r="G1251" t="str">
        <x:v>B</x:v>
      </x:c>
      <x:c r="H1251" t="n">
        <x:v>23</x:v>
      </x:c>
      <x:c r="I1251" t="str">
        <x:v>ORD-2025-00092</x:v>
      </x:c>
      <x:c r="J1251" t="n">
        <x:v>13</x:v>
      </x:c>
      <x:c r="K1251" t="n">
        <x:v>2</x:v>
      </x:c>
      <x:c r="L1251" t="str">
        <x:v>L23-S13-C2</x:v>
      </x:c>
      <x:c r="M1251" t="n">
        <x:v>0</x:v>
      </x:c>
      <x:c r="N1251" t="str">
        <x:v>DerivedFromCount</x:v>
      </x:c>
      <x:c r="O1251" t="str">
        <x:v>PLC-PRD-JAR-330-L23</x:v>
      </x:c>
      <x:c r="P1251" t="str">
        <x:v>OK</x:v>
      </x:c>
      <x:c r="Q1251" t="str">
        <x:v>OK</x:v>
      </x:c>
      <x:c r="R1251" t="str">
        <x:v>OK</x:v>
      </x:c>
      <x:c r="S1251" t="str">
        <x:v>OK</x:v>
      </x:c>
      <x:c r="T1251" t="n">
        <x:v>36</x:v>
      </x:c>
      <x:c r="U1251" t="str">
        <x:v>OK</x:v>
      </x:c>
      <x:c r="V1251" t="str">
        <x:v>OK</x:v>
      </x:c>
      <x:c r="W1251" t="str">
        <x:v>LOAD</x:v>
      </x:c>
      <x:c r="X1251" t="str">
        <x:v>02_Supervisor_Log(4).xlsx</x:v>
      </x:c>
      <x:c r="Y1251" t="str">
        <x:v>ENH-20260830-01</x:v>
      </x:c>
      <x:c r="Z1251" t="str">
        <x:v>Active</x:v>
      </x:c>
      <x:c r="AA1251"/>
      <x:c r="AB1251"/>
      <x:c r="AC1251"/>
      <x:c r="AD1251"/>
    </x:row>
    <x:row r="1252">
      <x:c r="A1252" t="str">
        <x:v>PCC-PE-KG01-L23-20251021-PM-ORD-2025-00092-S13-C3</x:v>
      </x:c>
      <x:c r="B1252" t="str">
        <x:v>PC-PE-KG01-L23-20251021-PM-ORD-2025-00092-S13</x:v>
      </x:c>
      <x:c r="C1252" t="str">
        <x:v>PE-KG01-L23-20251021-PM-ORD-2025-00092</x:v>
      </x:c>
      <x:c r="D1252" t="str">
        <x:v>KG01</x:v>
      </x:c>
      <x:c r="E1252" s="62" t="n">
        <x:v>45951</x:v>
      </x:c>
      <x:c r="F1252" t="str">
        <x:v>PM</x:v>
      </x:c>
      <x:c r="G1252" t="str">
        <x:v>B</x:v>
      </x:c>
      <x:c r="H1252" t="n">
        <x:v>23</x:v>
      </x:c>
      <x:c r="I1252" t="str">
        <x:v>ORD-2025-00092</x:v>
      </x:c>
      <x:c r="J1252" t="n">
        <x:v>13</x:v>
      </x:c>
      <x:c r="K1252" t="n">
        <x:v>3</x:v>
      </x:c>
      <x:c r="L1252" t="str">
        <x:v>L23-S13-C3</x:v>
      </x:c>
      <x:c r="M1252" t="n">
        <x:v>0</x:v>
      </x:c>
      <x:c r="N1252" t="str">
        <x:v>DerivedFromCount</x:v>
      </x:c>
      <x:c r="O1252" t="str">
        <x:v>PLC-PRD-JAR-330-L23</x:v>
      </x:c>
      <x:c r="P1252" t="str">
        <x:v>OK</x:v>
      </x:c>
      <x:c r="Q1252" t="str">
        <x:v>OK</x:v>
      </x:c>
      <x:c r="R1252" t="str">
        <x:v>OK</x:v>
      </x:c>
      <x:c r="S1252" t="str">
        <x:v>OK</x:v>
      </x:c>
      <x:c r="T1252" t="n">
        <x:v>36</x:v>
      </x:c>
      <x:c r="U1252" t="str">
        <x:v>OK</x:v>
      </x:c>
      <x:c r="V1252" t="str">
        <x:v>OK</x:v>
      </x:c>
      <x:c r="W1252" t="str">
        <x:v>LOAD</x:v>
      </x:c>
      <x:c r="X1252" t="str">
        <x:v>02_Supervisor_Log(4).xlsx</x:v>
      </x:c>
      <x:c r="Y1252" t="str">
        <x:v>ENH-20260830-01</x:v>
      </x:c>
      <x:c r="Z1252" t="str">
        <x:v>Active</x:v>
      </x:c>
      <x:c r="AA1252"/>
      <x:c r="AB1252"/>
      <x:c r="AC1252"/>
      <x:c r="AD1252"/>
    </x:row>
    <x:row r="1253">
      <x:c r="A1253" t="str">
        <x:v>PCC-PE-KG01-L23-20251022-AM-ORD-2025-00093-S01-C1</x:v>
      </x:c>
      <x:c r="B1253" t="str">
        <x:v>PC-PE-KG01-L23-20251022-AM-ORD-2025-00093-S01</x:v>
      </x:c>
      <x:c r="C1253" t="str">
        <x:v>PE-KG01-L23-20251022-AM-ORD-2025-00093</x:v>
      </x:c>
      <x:c r="D1253" t="str">
        <x:v>KG01</x:v>
      </x:c>
      <x:c r="E1253" s="62" t="n">
        <x:v>45952</x:v>
      </x:c>
      <x:c r="F1253" t="str">
        <x:v>AM</x:v>
      </x:c>
      <x:c r="G1253" t="str">
        <x:v>B</x:v>
      </x:c>
      <x:c r="H1253" t="n">
        <x:v>23</x:v>
      </x:c>
      <x:c r="I1253" t="str">
        <x:v>ORD-2025-00093</x:v>
      </x:c>
      <x:c r="J1253" t="n">
        <x:v>1</x:v>
      </x:c>
      <x:c r="K1253" t="n">
        <x:v>1</x:v>
      </x:c>
      <x:c r="L1253" t="str">
        <x:v>L23-S01-C1</x:v>
      </x:c>
      <x:c r="M1253" t="n">
        <x:v>1</x:v>
      </x:c>
      <x:c r="N1253" t="str">
        <x:v>DerivedFromCount</x:v>
      </x:c>
      <x:c r="O1253" t="str">
        <x:v>PLC-PRD-JAR-720-L23</x:v>
      </x:c>
      <x:c r="P1253" t="str">
        <x:v>OK</x:v>
      </x:c>
      <x:c r="Q1253" t="str">
        <x:v>OK</x:v>
      </x:c>
      <x:c r="R1253" t="str">
        <x:v>OK</x:v>
      </x:c>
      <x:c r="S1253" t="str">
        <x:v>OK</x:v>
      </x:c>
      <x:c r="T1253" t="n">
        <x:v>24</x:v>
      </x:c>
      <x:c r="U1253" t="str">
        <x:v>OK</x:v>
      </x:c>
      <x:c r="V1253" t="str">
        <x:v>OK</x:v>
      </x:c>
      <x:c r="W1253" t="str">
        <x:v>LOAD</x:v>
      </x:c>
      <x:c r="X1253" t="str">
        <x:v>02_Supervisor_Log(4).xlsx</x:v>
      </x:c>
      <x:c r="Y1253" t="str">
        <x:v>ENH-20260830-01</x:v>
      </x:c>
      <x:c r="Z1253" t="str">
        <x:v>Active</x:v>
      </x:c>
      <x:c r="AA1253"/>
      <x:c r="AB1253"/>
      <x:c r="AC1253"/>
      <x:c r="AD1253"/>
    </x:row>
    <x:row r="1254">
      <x:c r="A1254" t="str">
        <x:v>PCC-PE-KG01-L23-20251022-AM-ORD-2025-00093-S01-C2</x:v>
      </x:c>
      <x:c r="B1254" t="str">
        <x:v>PC-PE-KG01-L23-20251022-AM-ORD-2025-00093-S01</x:v>
      </x:c>
      <x:c r="C1254" t="str">
        <x:v>PE-KG01-L23-20251022-AM-ORD-2025-00093</x:v>
      </x:c>
      <x:c r="D1254" t="str">
        <x:v>KG01</x:v>
      </x:c>
      <x:c r="E1254" s="62" t="n">
        <x:v>45952</x:v>
      </x:c>
      <x:c r="F1254" t="str">
        <x:v>AM</x:v>
      </x:c>
      <x:c r="G1254" t="str">
        <x:v>B</x:v>
      </x:c>
      <x:c r="H1254" t="n">
        <x:v>23</x:v>
      </x:c>
      <x:c r="I1254" t="str">
        <x:v>ORD-2025-00093</x:v>
      </x:c>
      <x:c r="J1254" t="n">
        <x:v>1</x:v>
      </x:c>
      <x:c r="K1254" t="n">
        <x:v>2</x:v>
      </x:c>
      <x:c r="L1254" t="str">
        <x:v>L23-S01-C2</x:v>
      </x:c>
      <x:c r="M1254" t="n">
        <x:v>1</x:v>
      </x:c>
      <x:c r="N1254" t="str">
        <x:v>DerivedFromCount</x:v>
      </x:c>
      <x:c r="O1254" t="str">
        <x:v>PLC-PRD-JAR-720-L23</x:v>
      </x:c>
      <x:c r="P1254" t="str">
        <x:v>OK</x:v>
      </x:c>
      <x:c r="Q1254" t="str">
        <x:v>OK</x:v>
      </x:c>
      <x:c r="R1254" t="str">
        <x:v>OK</x:v>
      </x:c>
      <x:c r="S1254" t="str">
        <x:v>OK</x:v>
      </x:c>
      <x:c r="T1254" t="n">
        <x:v>24</x:v>
      </x:c>
      <x:c r="U1254" t="str">
        <x:v>OK</x:v>
      </x:c>
      <x:c r="V1254" t="str">
        <x:v>OK</x:v>
      </x:c>
      <x:c r="W1254" t="str">
        <x:v>LOAD</x:v>
      </x:c>
      <x:c r="X1254" t="str">
        <x:v>02_Supervisor_Log(4).xlsx</x:v>
      </x:c>
      <x:c r="Y1254" t="str">
        <x:v>ENH-20260830-01</x:v>
      </x:c>
      <x:c r="Z1254" t="str">
        <x:v>Active</x:v>
      </x:c>
      <x:c r="AA1254"/>
      <x:c r="AB1254"/>
      <x:c r="AC1254"/>
      <x:c r="AD1254"/>
    </x:row>
    <x:row r="1255">
      <x:c r="A1255" t="str">
        <x:v>PCC-PE-KG01-L23-20251022-AM-ORD-2025-00093-S01-C3</x:v>
      </x:c>
      <x:c r="B1255" t="str">
        <x:v>PC-PE-KG01-L23-20251022-AM-ORD-2025-00093-S01</x:v>
      </x:c>
      <x:c r="C1255" t="str">
        <x:v>PE-KG01-L23-20251022-AM-ORD-2025-00093</x:v>
      </x:c>
      <x:c r="D1255" t="str">
        <x:v>KG01</x:v>
      </x:c>
      <x:c r="E1255" s="62" t="n">
        <x:v>45952</x:v>
      </x:c>
      <x:c r="F1255" t="str">
        <x:v>AM</x:v>
      </x:c>
      <x:c r="G1255" t="str">
        <x:v>B</x:v>
      </x:c>
      <x:c r="H1255" t="n">
        <x:v>23</x:v>
      </x:c>
      <x:c r="I1255" t="str">
        <x:v>ORD-2025-00093</x:v>
      </x:c>
      <x:c r="J1255" t="n">
        <x:v>1</x:v>
      </x:c>
      <x:c r="K1255" t="n">
        <x:v>3</x:v>
      </x:c>
      <x:c r="L1255" t="str">
        <x:v>L23-S01-C3</x:v>
      </x:c>
      <x:c r="M1255" t="n">
        <x:v>0</x:v>
      </x:c>
      <x:c r="N1255" t="str">
        <x:v>DerivedFromCount</x:v>
      </x:c>
      <x:c r="O1255" t="str">
        <x:v>PLC-PRD-JAR-720-L23</x:v>
      </x:c>
      <x:c r="P1255" t="str">
        <x:v>OK</x:v>
      </x:c>
      <x:c r="Q1255" t="str">
        <x:v>OK</x:v>
      </x:c>
      <x:c r="R1255" t="str">
        <x:v>OK</x:v>
      </x:c>
      <x:c r="S1255" t="str">
        <x:v>OK</x:v>
      </x:c>
      <x:c r="T1255" t="n">
        <x:v>24</x:v>
      </x:c>
      <x:c r="U1255" t="str">
        <x:v>OK</x:v>
      </x:c>
      <x:c r="V1255" t="str">
        <x:v>OK</x:v>
      </x:c>
      <x:c r="W1255" t="str">
        <x:v>LOAD</x:v>
      </x:c>
      <x:c r="X1255" t="str">
        <x:v>02_Supervisor_Log(4).xlsx</x:v>
      </x:c>
      <x:c r="Y1255" t="str">
        <x:v>ENH-20260830-01</x:v>
      </x:c>
      <x:c r="Z1255" t="str">
        <x:v>Active</x:v>
      </x:c>
      <x:c r="AA1255"/>
      <x:c r="AB1255"/>
      <x:c r="AC1255"/>
      <x:c r="AD1255"/>
    </x:row>
    <x:row r="1256">
      <x:c r="A1256" t="str">
        <x:v>PCC-PE-KG01-L23-20251022-AM-ORD-2025-00093-S02-C1</x:v>
      </x:c>
      <x:c r="B1256" t="str">
        <x:v>PC-PE-KG01-L23-20251022-AM-ORD-2025-00093-S02</x:v>
      </x:c>
      <x:c r="C1256" t="str">
        <x:v>PE-KG01-L23-20251022-AM-ORD-2025-00093</x:v>
      </x:c>
      <x:c r="D1256" t="str">
        <x:v>KG01</x:v>
      </x:c>
      <x:c r="E1256" s="62" t="n">
        <x:v>45952</x:v>
      </x:c>
      <x:c r="F1256" t="str">
        <x:v>AM</x:v>
      </x:c>
      <x:c r="G1256" t="str">
        <x:v>B</x:v>
      </x:c>
      <x:c r="H1256" t="n">
        <x:v>23</x:v>
      </x:c>
      <x:c r="I1256" t="str">
        <x:v>ORD-2025-00093</x:v>
      </x:c>
      <x:c r="J1256" t="n">
        <x:v>2</x:v>
      </x:c>
      <x:c r="K1256" t="n">
        <x:v>1</x:v>
      </x:c>
      <x:c r="L1256" t="str">
        <x:v>L23-S02-C1</x:v>
      </x:c>
      <x:c r="M1256" t="n">
        <x:v>1</x:v>
      </x:c>
      <x:c r="N1256" t="str">
        <x:v>DerivedFromCount</x:v>
      </x:c>
      <x:c r="O1256" t="str">
        <x:v>PLC-PRD-JAR-720-L23</x:v>
      </x:c>
      <x:c r="P1256" t="str">
        <x:v>OK</x:v>
      </x:c>
      <x:c r="Q1256" t="str">
        <x:v>OK</x:v>
      </x:c>
      <x:c r="R1256" t="str">
        <x:v>OK</x:v>
      </x:c>
      <x:c r="S1256" t="str">
        <x:v>OK</x:v>
      </x:c>
      <x:c r="T1256" t="n">
        <x:v>24</x:v>
      </x:c>
      <x:c r="U1256" t="str">
        <x:v>OK</x:v>
      </x:c>
      <x:c r="V1256" t="str">
        <x:v>OK</x:v>
      </x:c>
      <x:c r="W1256" t="str">
        <x:v>LOAD</x:v>
      </x:c>
      <x:c r="X1256" t="str">
        <x:v>02_Supervisor_Log(4).xlsx</x:v>
      </x:c>
      <x:c r="Y1256" t="str">
        <x:v>ENH-20260830-01</x:v>
      </x:c>
      <x:c r="Z1256" t="str">
        <x:v>Active</x:v>
      </x:c>
      <x:c r="AA1256"/>
      <x:c r="AB1256"/>
      <x:c r="AC1256"/>
      <x:c r="AD1256"/>
    </x:row>
    <x:row r="1257">
      <x:c r="A1257" t="str">
        <x:v>PCC-PE-KG01-L23-20251022-AM-ORD-2025-00093-S02-C2</x:v>
      </x:c>
      <x:c r="B1257" t="str">
        <x:v>PC-PE-KG01-L23-20251022-AM-ORD-2025-00093-S02</x:v>
      </x:c>
      <x:c r="C1257" t="str">
        <x:v>PE-KG01-L23-20251022-AM-ORD-2025-00093</x:v>
      </x:c>
      <x:c r="D1257" t="str">
        <x:v>KG01</x:v>
      </x:c>
      <x:c r="E1257" s="62" t="n">
        <x:v>45952</x:v>
      </x:c>
      <x:c r="F1257" t="str">
        <x:v>AM</x:v>
      </x:c>
      <x:c r="G1257" t="str">
        <x:v>B</x:v>
      </x:c>
      <x:c r="H1257" t="n">
        <x:v>23</x:v>
      </x:c>
      <x:c r="I1257" t="str">
        <x:v>ORD-2025-00093</x:v>
      </x:c>
      <x:c r="J1257" t="n">
        <x:v>2</x:v>
      </x:c>
      <x:c r="K1257" t="n">
        <x:v>2</x:v>
      </x:c>
      <x:c r="L1257" t="str">
        <x:v>L23-S02-C2</x:v>
      </x:c>
      <x:c r="M1257" t="n">
        <x:v>1</x:v>
      </x:c>
      <x:c r="N1257" t="str">
        <x:v>DerivedFromCount</x:v>
      </x:c>
      <x:c r="O1257" t="str">
        <x:v>PLC-PRD-JAR-720-L23</x:v>
      </x:c>
      <x:c r="P1257" t="str">
        <x:v>OK</x:v>
      </x:c>
      <x:c r="Q1257" t="str">
        <x:v>OK</x:v>
      </x:c>
      <x:c r="R1257" t="str">
        <x:v>OK</x:v>
      </x:c>
      <x:c r="S1257" t="str">
        <x:v>OK</x:v>
      </x:c>
      <x:c r="T1257" t="n">
        <x:v>24</x:v>
      </x:c>
      <x:c r="U1257" t="str">
        <x:v>OK</x:v>
      </x:c>
      <x:c r="V1257" t="str">
        <x:v>OK</x:v>
      </x:c>
      <x:c r="W1257" t="str">
        <x:v>LOAD</x:v>
      </x:c>
      <x:c r="X1257" t="str">
        <x:v>02_Supervisor_Log(4).xlsx</x:v>
      </x:c>
      <x:c r="Y1257" t="str">
        <x:v>ENH-20260830-01</x:v>
      </x:c>
      <x:c r="Z1257" t="str">
        <x:v>Active</x:v>
      </x:c>
      <x:c r="AA1257"/>
      <x:c r="AB1257"/>
      <x:c r="AC1257"/>
      <x:c r="AD1257"/>
    </x:row>
    <x:row r="1258">
      <x:c r="A1258" t="str">
        <x:v>PCC-PE-KG01-L23-20251022-AM-ORD-2025-00093-S02-C3</x:v>
      </x:c>
      <x:c r="B1258" t="str">
        <x:v>PC-PE-KG01-L23-20251022-AM-ORD-2025-00093-S02</x:v>
      </x:c>
      <x:c r="C1258" t="str">
        <x:v>PE-KG01-L23-20251022-AM-ORD-2025-00093</x:v>
      </x:c>
      <x:c r="D1258" t="str">
        <x:v>KG01</x:v>
      </x:c>
      <x:c r="E1258" s="62" t="n">
        <x:v>45952</x:v>
      </x:c>
      <x:c r="F1258" t="str">
        <x:v>AM</x:v>
      </x:c>
      <x:c r="G1258" t="str">
        <x:v>B</x:v>
      </x:c>
      <x:c r="H1258" t="n">
        <x:v>23</x:v>
      </x:c>
      <x:c r="I1258" t="str">
        <x:v>ORD-2025-00093</x:v>
      </x:c>
      <x:c r="J1258" t="n">
        <x:v>2</x:v>
      </x:c>
      <x:c r="K1258" t="n">
        <x:v>3</x:v>
      </x:c>
      <x:c r="L1258" t="str">
        <x:v>L23-S02-C3</x:v>
      </x:c>
      <x:c r="M1258" t="n">
        <x:v>0</x:v>
      </x:c>
      <x:c r="N1258" t="str">
        <x:v>DerivedFromCount</x:v>
      </x:c>
      <x:c r="O1258" t="str">
        <x:v>PLC-PRD-JAR-720-L23</x:v>
      </x:c>
      <x:c r="P1258" t="str">
        <x:v>OK</x:v>
      </x:c>
      <x:c r="Q1258" t="str">
        <x:v>OK</x:v>
      </x:c>
      <x:c r="R1258" t="str">
        <x:v>OK</x:v>
      </x:c>
      <x:c r="S1258" t="str">
        <x:v>OK</x:v>
      </x:c>
      <x:c r="T1258" t="n">
        <x:v>24</x:v>
      </x:c>
      <x:c r="U1258" t="str">
        <x:v>OK</x:v>
      </x:c>
      <x:c r="V1258" t="str">
        <x:v>OK</x:v>
      </x:c>
      <x:c r="W1258" t="str">
        <x:v>LOAD</x:v>
      </x:c>
      <x:c r="X1258" t="str">
        <x:v>02_Supervisor_Log(4).xlsx</x:v>
      </x:c>
      <x:c r="Y1258" t="str">
        <x:v>ENH-20260830-01</x:v>
      </x:c>
      <x:c r="Z1258" t="str">
        <x:v>Active</x:v>
      </x:c>
      <x:c r="AA1258"/>
      <x:c r="AB1258"/>
      <x:c r="AC1258"/>
      <x:c r="AD1258"/>
    </x:row>
    <x:row r="1259">
      <x:c r="A1259" t="str">
        <x:v>PCC-PE-KG01-L23-20251022-AM-ORD-2025-00093-S03-C1</x:v>
      </x:c>
      <x:c r="B1259" t="str">
        <x:v>PC-PE-KG01-L23-20251022-AM-ORD-2025-00093-S03</x:v>
      </x:c>
      <x:c r="C1259" t="str">
        <x:v>PE-KG01-L23-20251022-AM-ORD-2025-00093</x:v>
      </x:c>
      <x:c r="D1259" t="str">
        <x:v>KG01</x:v>
      </x:c>
      <x:c r="E1259" s="62" t="n">
        <x:v>45952</x:v>
      </x:c>
      <x:c r="F1259" t="str">
        <x:v>AM</x:v>
      </x:c>
      <x:c r="G1259" t="str">
        <x:v>B</x:v>
      </x:c>
      <x:c r="H1259" t="n">
        <x:v>23</x:v>
      </x:c>
      <x:c r="I1259" t="str">
        <x:v>ORD-2025-00093</x:v>
      </x:c>
      <x:c r="J1259" t="n">
        <x:v>3</x:v>
      </x:c>
      <x:c r="K1259" t="n">
        <x:v>1</x:v>
      </x:c>
      <x:c r="L1259" t="str">
        <x:v>L23-S03-C1</x:v>
      </x:c>
      <x:c r="M1259" t="n">
        <x:v>1</x:v>
      </x:c>
      <x:c r="N1259" t="str">
        <x:v>DerivedFromCount</x:v>
      </x:c>
      <x:c r="O1259" t="str">
        <x:v>PLC-PRD-JAR-720-L23</x:v>
      </x:c>
      <x:c r="P1259" t="str">
        <x:v>OK</x:v>
      </x:c>
      <x:c r="Q1259" t="str">
        <x:v>OK</x:v>
      </x:c>
      <x:c r="R1259" t="str">
        <x:v>OK</x:v>
      </x:c>
      <x:c r="S1259" t="str">
        <x:v>OK</x:v>
      </x:c>
      <x:c r="T1259" t="n">
        <x:v>24</x:v>
      </x:c>
      <x:c r="U1259" t="str">
        <x:v>OK</x:v>
      </x:c>
      <x:c r="V1259" t="str">
        <x:v>OK</x:v>
      </x:c>
      <x:c r="W1259" t="str">
        <x:v>LOAD</x:v>
      </x:c>
      <x:c r="X1259" t="str">
        <x:v>02_Supervisor_Log(4).xlsx</x:v>
      </x:c>
      <x:c r="Y1259" t="str">
        <x:v>ENH-20260830-01</x:v>
      </x:c>
      <x:c r="Z1259" t="str">
        <x:v>Active</x:v>
      </x:c>
      <x:c r="AA1259"/>
      <x:c r="AB1259"/>
      <x:c r="AC1259"/>
      <x:c r="AD1259"/>
    </x:row>
    <x:row r="1260">
      <x:c r="A1260" t="str">
        <x:v>PCC-PE-KG01-L23-20251022-AM-ORD-2025-00093-S03-C2</x:v>
      </x:c>
      <x:c r="B1260" t="str">
        <x:v>PC-PE-KG01-L23-20251022-AM-ORD-2025-00093-S03</x:v>
      </x:c>
      <x:c r="C1260" t="str">
        <x:v>PE-KG01-L23-20251022-AM-ORD-2025-00093</x:v>
      </x:c>
      <x:c r="D1260" t="str">
        <x:v>KG01</x:v>
      </x:c>
      <x:c r="E1260" s="62" t="n">
        <x:v>45952</x:v>
      </x:c>
      <x:c r="F1260" t="str">
        <x:v>AM</x:v>
      </x:c>
      <x:c r="G1260" t="str">
        <x:v>B</x:v>
      </x:c>
      <x:c r="H1260" t="n">
        <x:v>23</x:v>
      </x:c>
      <x:c r="I1260" t="str">
        <x:v>ORD-2025-00093</x:v>
      </x:c>
      <x:c r="J1260" t="n">
        <x:v>3</x:v>
      </x:c>
      <x:c r="K1260" t="n">
        <x:v>2</x:v>
      </x:c>
      <x:c r="L1260" t="str">
        <x:v>L23-S03-C2</x:v>
      </x:c>
      <x:c r="M1260" t="n">
        <x:v>1</x:v>
      </x:c>
      <x:c r="N1260" t="str">
        <x:v>DerivedFromCount</x:v>
      </x:c>
      <x:c r="O1260" t="str">
        <x:v>PLC-PRD-JAR-720-L23</x:v>
      </x:c>
      <x:c r="P1260" t="str">
        <x:v>OK</x:v>
      </x:c>
      <x:c r="Q1260" t="str">
        <x:v>OK</x:v>
      </x:c>
      <x:c r="R1260" t="str">
        <x:v>OK</x:v>
      </x:c>
      <x:c r="S1260" t="str">
        <x:v>OK</x:v>
      </x:c>
      <x:c r="T1260" t="n">
        <x:v>24</x:v>
      </x:c>
      <x:c r="U1260" t="str">
        <x:v>OK</x:v>
      </x:c>
      <x:c r="V1260" t="str">
        <x:v>OK</x:v>
      </x:c>
      <x:c r="W1260" t="str">
        <x:v>LOAD</x:v>
      </x:c>
      <x:c r="X1260" t="str">
        <x:v>02_Supervisor_Log(4).xlsx</x:v>
      </x:c>
      <x:c r="Y1260" t="str">
        <x:v>ENH-20260830-01</x:v>
      </x:c>
      <x:c r="Z1260" t="str">
        <x:v>Active</x:v>
      </x:c>
      <x:c r="AA1260"/>
      <x:c r="AB1260"/>
      <x:c r="AC1260"/>
      <x:c r="AD1260"/>
    </x:row>
    <x:row r="1261">
      <x:c r="A1261" t="str">
        <x:v>PCC-PE-KG01-L23-20251022-AM-ORD-2025-00093-S03-C3</x:v>
      </x:c>
      <x:c r="B1261" t="str">
        <x:v>PC-PE-KG01-L23-20251022-AM-ORD-2025-00093-S03</x:v>
      </x:c>
      <x:c r="C1261" t="str">
        <x:v>PE-KG01-L23-20251022-AM-ORD-2025-00093</x:v>
      </x:c>
      <x:c r="D1261" t="str">
        <x:v>KG01</x:v>
      </x:c>
      <x:c r="E1261" s="62" t="n">
        <x:v>45952</x:v>
      </x:c>
      <x:c r="F1261" t="str">
        <x:v>AM</x:v>
      </x:c>
      <x:c r="G1261" t="str">
        <x:v>B</x:v>
      </x:c>
      <x:c r="H1261" t="n">
        <x:v>23</x:v>
      </x:c>
      <x:c r="I1261" t="str">
        <x:v>ORD-2025-00093</x:v>
      </x:c>
      <x:c r="J1261" t="n">
        <x:v>3</x:v>
      </x:c>
      <x:c r="K1261" t="n">
        <x:v>3</x:v>
      </x:c>
      <x:c r="L1261" t="str">
        <x:v>L23-S03-C3</x:v>
      </x:c>
      <x:c r="M1261" t="n">
        <x:v>0</x:v>
      </x:c>
      <x:c r="N1261" t="str">
        <x:v>DerivedFromCount</x:v>
      </x:c>
      <x:c r="O1261" t="str">
        <x:v>PLC-PRD-JAR-720-L23</x:v>
      </x:c>
      <x:c r="P1261" t="str">
        <x:v>OK</x:v>
      </x:c>
      <x:c r="Q1261" t="str">
        <x:v>OK</x:v>
      </x:c>
      <x:c r="R1261" t="str">
        <x:v>OK</x:v>
      </x:c>
      <x:c r="S1261" t="str">
        <x:v>OK</x:v>
      </x:c>
      <x:c r="T1261" t="n">
        <x:v>24</x:v>
      </x:c>
      <x:c r="U1261" t="str">
        <x:v>OK</x:v>
      </x:c>
      <x:c r="V1261" t="str">
        <x:v>OK</x:v>
      </x:c>
      <x:c r="W1261" t="str">
        <x:v>LOAD</x:v>
      </x:c>
      <x:c r="X1261" t="str">
        <x:v>02_Supervisor_Log(4).xlsx</x:v>
      </x:c>
      <x:c r="Y1261" t="str">
        <x:v>ENH-20260830-01</x:v>
      </x:c>
      <x:c r="Z1261" t="str">
        <x:v>Active</x:v>
      </x:c>
      <x:c r="AA1261"/>
      <x:c r="AB1261"/>
      <x:c r="AC1261"/>
      <x:c r="AD1261"/>
    </x:row>
    <x:row r="1262">
      <x:c r="A1262" t="str">
        <x:v>PCC-PE-KG01-L23-20251022-AM-ORD-2025-00093-S04-C1</x:v>
      </x:c>
      <x:c r="B1262" t="str">
        <x:v>PC-PE-KG01-L23-20251022-AM-ORD-2025-00093-S04</x:v>
      </x:c>
      <x:c r="C1262" t="str">
        <x:v>PE-KG01-L23-20251022-AM-ORD-2025-00093</x:v>
      </x:c>
      <x:c r="D1262" t="str">
        <x:v>KG01</x:v>
      </x:c>
      <x:c r="E1262" s="62" t="n">
        <x:v>45952</x:v>
      </x:c>
      <x:c r="F1262" t="str">
        <x:v>AM</x:v>
      </x:c>
      <x:c r="G1262" t="str">
        <x:v>B</x:v>
      </x:c>
      <x:c r="H1262" t="n">
        <x:v>23</x:v>
      </x:c>
      <x:c r="I1262" t="str">
        <x:v>ORD-2025-00093</x:v>
      </x:c>
      <x:c r="J1262" t="n">
        <x:v>4</x:v>
      </x:c>
      <x:c r="K1262" t="n">
        <x:v>1</x:v>
      </x:c>
      <x:c r="L1262" t="str">
        <x:v>L23-S04-C1</x:v>
      </x:c>
      <x:c r="M1262" t="n">
        <x:v>1</x:v>
      </x:c>
      <x:c r="N1262" t="str">
        <x:v>DerivedFromCount</x:v>
      </x:c>
      <x:c r="O1262" t="str">
        <x:v>PLC-PRD-JAR-720-L23</x:v>
      </x:c>
      <x:c r="P1262" t="str">
        <x:v>OK</x:v>
      </x:c>
      <x:c r="Q1262" t="str">
        <x:v>OK</x:v>
      </x:c>
      <x:c r="R1262" t="str">
        <x:v>OK</x:v>
      </x:c>
      <x:c r="S1262" t="str">
        <x:v>OK</x:v>
      </x:c>
      <x:c r="T1262" t="n">
        <x:v>24</x:v>
      </x:c>
      <x:c r="U1262" t="str">
        <x:v>OK</x:v>
      </x:c>
      <x:c r="V1262" t="str">
        <x:v>OK</x:v>
      </x:c>
      <x:c r="W1262" t="str">
        <x:v>LOAD</x:v>
      </x:c>
      <x:c r="X1262" t="str">
        <x:v>02_Supervisor_Log(4).xlsx</x:v>
      </x:c>
      <x:c r="Y1262" t="str">
        <x:v>ENH-20260830-01</x:v>
      </x:c>
      <x:c r="Z1262" t="str">
        <x:v>Active</x:v>
      </x:c>
      <x:c r="AA1262"/>
      <x:c r="AB1262"/>
      <x:c r="AC1262"/>
      <x:c r="AD1262"/>
    </x:row>
    <x:row r="1263">
      <x:c r="A1263" t="str">
        <x:v>PCC-PE-KG01-L23-20251022-AM-ORD-2025-00093-S04-C2</x:v>
      </x:c>
      <x:c r="B1263" t="str">
        <x:v>PC-PE-KG01-L23-20251022-AM-ORD-2025-00093-S04</x:v>
      </x:c>
      <x:c r="C1263" t="str">
        <x:v>PE-KG01-L23-20251022-AM-ORD-2025-00093</x:v>
      </x:c>
      <x:c r="D1263" t="str">
        <x:v>KG01</x:v>
      </x:c>
      <x:c r="E1263" s="62" t="n">
        <x:v>45952</x:v>
      </x:c>
      <x:c r="F1263" t="str">
        <x:v>AM</x:v>
      </x:c>
      <x:c r="G1263" t="str">
        <x:v>B</x:v>
      </x:c>
      <x:c r="H1263" t="n">
        <x:v>23</x:v>
      </x:c>
      <x:c r="I1263" t="str">
        <x:v>ORD-2025-00093</x:v>
      </x:c>
      <x:c r="J1263" t="n">
        <x:v>4</x:v>
      </x:c>
      <x:c r="K1263" t="n">
        <x:v>2</x:v>
      </x:c>
      <x:c r="L1263" t="str">
        <x:v>L23-S04-C2</x:v>
      </x:c>
      <x:c r="M1263" t="n">
        <x:v>1</x:v>
      </x:c>
      <x:c r="N1263" t="str">
        <x:v>DerivedFromCount</x:v>
      </x:c>
      <x:c r="O1263" t="str">
        <x:v>PLC-PRD-JAR-720-L23</x:v>
      </x:c>
      <x:c r="P1263" t="str">
        <x:v>OK</x:v>
      </x:c>
      <x:c r="Q1263" t="str">
        <x:v>OK</x:v>
      </x:c>
      <x:c r="R1263" t="str">
        <x:v>OK</x:v>
      </x:c>
      <x:c r="S1263" t="str">
        <x:v>OK</x:v>
      </x:c>
      <x:c r="T1263" t="n">
        <x:v>24</x:v>
      </x:c>
      <x:c r="U1263" t="str">
        <x:v>OK</x:v>
      </x:c>
      <x:c r="V1263" t="str">
        <x:v>OK</x:v>
      </x:c>
      <x:c r="W1263" t="str">
        <x:v>LOAD</x:v>
      </x:c>
      <x:c r="X1263" t="str">
        <x:v>02_Supervisor_Log(4).xlsx</x:v>
      </x:c>
      <x:c r="Y1263" t="str">
        <x:v>ENH-20260830-01</x:v>
      </x:c>
      <x:c r="Z1263" t="str">
        <x:v>Active</x:v>
      </x:c>
      <x:c r="AA1263"/>
      <x:c r="AB1263"/>
      <x:c r="AC1263"/>
      <x:c r="AD1263"/>
    </x:row>
    <x:row r="1264">
      <x:c r="A1264" t="str">
        <x:v>PCC-PE-KG01-L23-20251022-AM-ORD-2025-00093-S04-C3</x:v>
      </x:c>
      <x:c r="B1264" t="str">
        <x:v>PC-PE-KG01-L23-20251022-AM-ORD-2025-00093-S04</x:v>
      </x:c>
      <x:c r="C1264" t="str">
        <x:v>PE-KG01-L23-20251022-AM-ORD-2025-00093</x:v>
      </x:c>
      <x:c r="D1264" t="str">
        <x:v>KG01</x:v>
      </x:c>
      <x:c r="E1264" s="62" t="n">
        <x:v>45952</x:v>
      </x:c>
      <x:c r="F1264" t="str">
        <x:v>AM</x:v>
      </x:c>
      <x:c r="G1264" t="str">
        <x:v>B</x:v>
      </x:c>
      <x:c r="H1264" t="n">
        <x:v>23</x:v>
      </x:c>
      <x:c r="I1264" t="str">
        <x:v>ORD-2025-00093</x:v>
      </x:c>
      <x:c r="J1264" t="n">
        <x:v>4</x:v>
      </x:c>
      <x:c r="K1264" t="n">
        <x:v>3</x:v>
      </x:c>
      <x:c r="L1264" t="str">
        <x:v>L23-S04-C3</x:v>
      </x:c>
      <x:c r="M1264" t="n">
        <x:v>0</x:v>
      </x:c>
      <x:c r="N1264" t="str">
        <x:v>DerivedFromCount</x:v>
      </x:c>
      <x:c r="O1264" t="str">
        <x:v>PLC-PRD-JAR-720-L23</x:v>
      </x:c>
      <x:c r="P1264" t="str">
        <x:v>OK</x:v>
      </x:c>
      <x:c r="Q1264" t="str">
        <x:v>OK</x:v>
      </x:c>
      <x:c r="R1264" t="str">
        <x:v>OK</x:v>
      </x:c>
      <x:c r="S1264" t="str">
        <x:v>OK</x:v>
      </x:c>
      <x:c r="T1264" t="n">
        <x:v>24</x:v>
      </x:c>
      <x:c r="U1264" t="str">
        <x:v>OK</x:v>
      </x:c>
      <x:c r="V1264" t="str">
        <x:v>OK</x:v>
      </x:c>
      <x:c r="W1264" t="str">
        <x:v>LOAD</x:v>
      </x:c>
      <x:c r="X1264" t="str">
        <x:v>02_Supervisor_Log(4).xlsx</x:v>
      </x:c>
      <x:c r="Y1264" t="str">
        <x:v>ENH-20260830-01</x:v>
      </x:c>
      <x:c r="Z1264" t="str">
        <x:v>Active</x:v>
      </x:c>
      <x:c r="AA1264"/>
      <x:c r="AB1264"/>
      <x:c r="AC1264"/>
      <x:c r="AD1264"/>
    </x:row>
    <x:row r="1265">
      <x:c r="A1265" t="str">
        <x:v>PCC-PE-KG01-L23-20251022-AM-ORD-2025-00093-S05-C1</x:v>
      </x:c>
      <x:c r="B1265" t="str">
        <x:v>PC-PE-KG01-L23-20251022-AM-ORD-2025-00093-S05</x:v>
      </x:c>
      <x:c r="C1265" t="str">
        <x:v>PE-KG01-L23-20251022-AM-ORD-2025-00093</x:v>
      </x:c>
      <x:c r="D1265" t="str">
        <x:v>KG01</x:v>
      </x:c>
      <x:c r="E1265" s="62" t="n">
        <x:v>45952</x:v>
      </x:c>
      <x:c r="F1265" t="str">
        <x:v>AM</x:v>
      </x:c>
      <x:c r="G1265" t="str">
        <x:v>B</x:v>
      </x:c>
      <x:c r="H1265" t="n">
        <x:v>23</x:v>
      </x:c>
      <x:c r="I1265" t="str">
        <x:v>ORD-2025-00093</x:v>
      </x:c>
      <x:c r="J1265" t="n">
        <x:v>5</x:v>
      </x:c>
      <x:c r="K1265" t="n">
        <x:v>1</x:v>
      </x:c>
      <x:c r="L1265" t="str">
        <x:v>L23-S05-C1</x:v>
      </x:c>
      <x:c r="M1265" t="n">
        <x:v>1</x:v>
      </x:c>
      <x:c r="N1265" t="str">
        <x:v>DerivedFromCount</x:v>
      </x:c>
      <x:c r="O1265" t="str">
        <x:v>PLC-PRD-JAR-720-L23</x:v>
      </x:c>
      <x:c r="P1265" t="str">
        <x:v>OK</x:v>
      </x:c>
      <x:c r="Q1265" t="str">
        <x:v>OK</x:v>
      </x:c>
      <x:c r="R1265" t="str">
        <x:v>OK</x:v>
      </x:c>
      <x:c r="S1265" t="str">
        <x:v>OK</x:v>
      </x:c>
      <x:c r="T1265" t="n">
        <x:v>24</x:v>
      </x:c>
      <x:c r="U1265" t="str">
        <x:v>OK</x:v>
      </x:c>
      <x:c r="V1265" t="str">
        <x:v>OK</x:v>
      </x:c>
      <x:c r="W1265" t="str">
        <x:v>LOAD</x:v>
      </x:c>
      <x:c r="X1265" t="str">
        <x:v>02_Supervisor_Log(4).xlsx</x:v>
      </x:c>
      <x:c r="Y1265" t="str">
        <x:v>ENH-20260830-01</x:v>
      </x:c>
      <x:c r="Z1265" t="str">
        <x:v>Active</x:v>
      </x:c>
      <x:c r="AA1265"/>
      <x:c r="AB1265"/>
      <x:c r="AC1265"/>
      <x:c r="AD1265"/>
    </x:row>
    <x:row r="1266">
      <x:c r="A1266" t="str">
        <x:v>PCC-PE-KG01-L23-20251022-AM-ORD-2025-00093-S05-C2</x:v>
      </x:c>
      <x:c r="B1266" t="str">
        <x:v>PC-PE-KG01-L23-20251022-AM-ORD-2025-00093-S05</x:v>
      </x:c>
      <x:c r="C1266" t="str">
        <x:v>PE-KG01-L23-20251022-AM-ORD-2025-00093</x:v>
      </x:c>
      <x:c r="D1266" t="str">
        <x:v>KG01</x:v>
      </x:c>
      <x:c r="E1266" s="62" t="n">
        <x:v>45952</x:v>
      </x:c>
      <x:c r="F1266" t="str">
        <x:v>AM</x:v>
      </x:c>
      <x:c r="G1266" t="str">
        <x:v>B</x:v>
      </x:c>
      <x:c r="H1266" t="n">
        <x:v>23</x:v>
      </x:c>
      <x:c r="I1266" t="str">
        <x:v>ORD-2025-00093</x:v>
      </x:c>
      <x:c r="J1266" t="n">
        <x:v>5</x:v>
      </x:c>
      <x:c r="K1266" t="n">
        <x:v>2</x:v>
      </x:c>
      <x:c r="L1266" t="str">
        <x:v>L23-S05-C2</x:v>
      </x:c>
      <x:c r="M1266" t="n">
        <x:v>1</x:v>
      </x:c>
      <x:c r="N1266" t="str">
        <x:v>DerivedFromCount</x:v>
      </x:c>
      <x:c r="O1266" t="str">
        <x:v>PLC-PRD-JAR-720-L23</x:v>
      </x:c>
      <x:c r="P1266" t="str">
        <x:v>OK</x:v>
      </x:c>
      <x:c r="Q1266" t="str">
        <x:v>OK</x:v>
      </x:c>
      <x:c r="R1266" t="str">
        <x:v>OK</x:v>
      </x:c>
      <x:c r="S1266" t="str">
        <x:v>OK</x:v>
      </x:c>
      <x:c r="T1266" t="n">
        <x:v>24</x:v>
      </x:c>
      <x:c r="U1266" t="str">
        <x:v>OK</x:v>
      </x:c>
      <x:c r="V1266" t="str">
        <x:v>OK</x:v>
      </x:c>
      <x:c r="W1266" t="str">
        <x:v>LOAD</x:v>
      </x:c>
      <x:c r="X1266" t="str">
        <x:v>02_Supervisor_Log(4).xlsx</x:v>
      </x:c>
      <x:c r="Y1266" t="str">
        <x:v>ENH-20260830-01</x:v>
      </x:c>
      <x:c r="Z1266" t="str">
        <x:v>Active</x:v>
      </x:c>
      <x:c r="AA1266"/>
      <x:c r="AB1266"/>
      <x:c r="AC1266"/>
      <x:c r="AD1266"/>
    </x:row>
    <x:row r="1267">
      <x:c r="A1267" t="str">
        <x:v>PCC-PE-KG01-L23-20251022-AM-ORD-2025-00093-S05-C3</x:v>
      </x:c>
      <x:c r="B1267" t="str">
        <x:v>PC-PE-KG01-L23-20251022-AM-ORD-2025-00093-S05</x:v>
      </x:c>
      <x:c r="C1267" t="str">
        <x:v>PE-KG01-L23-20251022-AM-ORD-2025-00093</x:v>
      </x:c>
      <x:c r="D1267" t="str">
        <x:v>KG01</x:v>
      </x:c>
      <x:c r="E1267" s="62" t="n">
        <x:v>45952</x:v>
      </x:c>
      <x:c r="F1267" t="str">
        <x:v>AM</x:v>
      </x:c>
      <x:c r="G1267" t="str">
        <x:v>B</x:v>
      </x:c>
      <x:c r="H1267" t="n">
        <x:v>23</x:v>
      </x:c>
      <x:c r="I1267" t="str">
        <x:v>ORD-2025-00093</x:v>
      </x:c>
      <x:c r="J1267" t="n">
        <x:v>5</x:v>
      </x:c>
      <x:c r="K1267" t="n">
        <x:v>3</x:v>
      </x:c>
      <x:c r="L1267" t="str">
        <x:v>L23-S05-C3</x:v>
      </x:c>
      <x:c r="M1267" t="n">
        <x:v>0</x:v>
      </x:c>
      <x:c r="N1267" t="str">
        <x:v>DerivedFromCount</x:v>
      </x:c>
      <x:c r="O1267" t="str">
        <x:v>PLC-PRD-JAR-720-L23</x:v>
      </x:c>
      <x:c r="P1267" t="str">
        <x:v>OK</x:v>
      </x:c>
      <x:c r="Q1267" t="str">
        <x:v>OK</x:v>
      </x:c>
      <x:c r="R1267" t="str">
        <x:v>OK</x:v>
      </x:c>
      <x:c r="S1267" t="str">
        <x:v>OK</x:v>
      </x:c>
      <x:c r="T1267" t="n">
        <x:v>24</x:v>
      </x:c>
      <x:c r="U1267" t="str">
        <x:v>OK</x:v>
      </x:c>
      <x:c r="V1267" t="str">
        <x:v>OK</x:v>
      </x:c>
      <x:c r="W1267" t="str">
        <x:v>LOAD</x:v>
      </x:c>
      <x:c r="X1267" t="str">
        <x:v>02_Supervisor_Log(4).xlsx</x:v>
      </x:c>
      <x:c r="Y1267" t="str">
        <x:v>ENH-20260830-01</x:v>
      </x:c>
      <x:c r="Z1267" t="str">
        <x:v>Active</x:v>
      </x:c>
      <x:c r="AA1267"/>
      <x:c r="AB1267"/>
      <x:c r="AC1267"/>
      <x:c r="AD1267"/>
    </x:row>
    <x:row r="1268">
      <x:c r="A1268" t="str">
        <x:v>PCC-PE-KG01-L23-20251022-AM-ORD-2025-00093-S06-C1</x:v>
      </x:c>
      <x:c r="B1268" t="str">
        <x:v>PC-PE-KG01-L23-20251022-AM-ORD-2025-00093-S06</x:v>
      </x:c>
      <x:c r="C1268" t="str">
        <x:v>PE-KG01-L23-20251022-AM-ORD-2025-00093</x:v>
      </x:c>
      <x:c r="D1268" t="str">
        <x:v>KG01</x:v>
      </x:c>
      <x:c r="E1268" s="62" t="n">
        <x:v>45952</x:v>
      </x:c>
      <x:c r="F1268" t="str">
        <x:v>AM</x:v>
      </x:c>
      <x:c r="G1268" t="str">
        <x:v>B</x:v>
      </x:c>
      <x:c r="H1268" t="n">
        <x:v>23</x:v>
      </x:c>
      <x:c r="I1268" t="str">
        <x:v>ORD-2025-00093</x:v>
      </x:c>
      <x:c r="J1268" t="n">
        <x:v>6</x:v>
      </x:c>
      <x:c r="K1268" t="n">
        <x:v>1</x:v>
      </x:c>
      <x:c r="L1268" t="str">
        <x:v>L23-S06-C1</x:v>
      </x:c>
      <x:c r="M1268" t="n">
        <x:v>1</x:v>
      </x:c>
      <x:c r="N1268" t="str">
        <x:v>DerivedFromCount</x:v>
      </x:c>
      <x:c r="O1268" t="str">
        <x:v>PLC-PRD-JAR-720-L23</x:v>
      </x:c>
      <x:c r="P1268" t="str">
        <x:v>OK</x:v>
      </x:c>
      <x:c r="Q1268" t="str">
        <x:v>OK</x:v>
      </x:c>
      <x:c r="R1268" t="str">
        <x:v>OK</x:v>
      </x:c>
      <x:c r="S1268" t="str">
        <x:v>OK</x:v>
      </x:c>
      <x:c r="T1268" t="n">
        <x:v>24</x:v>
      </x:c>
      <x:c r="U1268" t="str">
        <x:v>OK</x:v>
      </x:c>
      <x:c r="V1268" t="str">
        <x:v>OK</x:v>
      </x:c>
      <x:c r="W1268" t="str">
        <x:v>LOAD</x:v>
      </x:c>
      <x:c r="X1268" t="str">
        <x:v>02_Supervisor_Log(4).xlsx</x:v>
      </x:c>
      <x:c r="Y1268" t="str">
        <x:v>ENH-20260830-01</x:v>
      </x:c>
      <x:c r="Z1268" t="str">
        <x:v>Active</x:v>
      </x:c>
      <x:c r="AA1268"/>
      <x:c r="AB1268"/>
      <x:c r="AC1268"/>
      <x:c r="AD1268"/>
    </x:row>
    <x:row r="1269">
      <x:c r="A1269" t="str">
        <x:v>PCC-PE-KG01-L23-20251022-AM-ORD-2025-00093-S06-C2</x:v>
      </x:c>
      <x:c r="B1269" t="str">
        <x:v>PC-PE-KG01-L23-20251022-AM-ORD-2025-00093-S06</x:v>
      </x:c>
      <x:c r="C1269" t="str">
        <x:v>PE-KG01-L23-20251022-AM-ORD-2025-00093</x:v>
      </x:c>
      <x:c r="D1269" t="str">
        <x:v>KG01</x:v>
      </x:c>
      <x:c r="E1269" s="62" t="n">
        <x:v>45952</x:v>
      </x:c>
      <x:c r="F1269" t="str">
        <x:v>AM</x:v>
      </x:c>
      <x:c r="G1269" t="str">
        <x:v>B</x:v>
      </x:c>
      <x:c r="H1269" t="n">
        <x:v>23</x:v>
      </x:c>
      <x:c r="I1269" t="str">
        <x:v>ORD-2025-00093</x:v>
      </x:c>
      <x:c r="J1269" t="n">
        <x:v>6</x:v>
      </x:c>
      <x:c r="K1269" t="n">
        <x:v>2</x:v>
      </x:c>
      <x:c r="L1269" t="str">
        <x:v>L23-S06-C2</x:v>
      </x:c>
      <x:c r="M1269" t="n">
        <x:v>1</x:v>
      </x:c>
      <x:c r="N1269" t="str">
        <x:v>DerivedFromCount</x:v>
      </x:c>
      <x:c r="O1269" t="str">
        <x:v>PLC-PRD-JAR-720-L23</x:v>
      </x:c>
      <x:c r="P1269" t="str">
        <x:v>OK</x:v>
      </x:c>
      <x:c r="Q1269" t="str">
        <x:v>OK</x:v>
      </x:c>
      <x:c r="R1269" t="str">
        <x:v>OK</x:v>
      </x:c>
      <x:c r="S1269" t="str">
        <x:v>OK</x:v>
      </x:c>
      <x:c r="T1269" t="n">
        <x:v>24</x:v>
      </x:c>
      <x:c r="U1269" t="str">
        <x:v>OK</x:v>
      </x:c>
      <x:c r="V1269" t="str">
        <x:v>OK</x:v>
      </x:c>
      <x:c r="W1269" t="str">
        <x:v>LOAD</x:v>
      </x:c>
      <x:c r="X1269" t="str">
        <x:v>02_Supervisor_Log(4).xlsx</x:v>
      </x:c>
      <x:c r="Y1269" t="str">
        <x:v>ENH-20260830-01</x:v>
      </x:c>
      <x:c r="Z1269" t="str">
        <x:v>Active</x:v>
      </x:c>
      <x:c r="AA1269"/>
      <x:c r="AB1269"/>
      <x:c r="AC1269"/>
      <x:c r="AD1269"/>
    </x:row>
    <x:row r="1270">
      <x:c r="A1270" t="str">
        <x:v>PCC-PE-KG01-L23-20251022-AM-ORD-2025-00093-S06-C3</x:v>
      </x:c>
      <x:c r="B1270" t="str">
        <x:v>PC-PE-KG01-L23-20251022-AM-ORD-2025-00093-S06</x:v>
      </x:c>
      <x:c r="C1270" t="str">
        <x:v>PE-KG01-L23-20251022-AM-ORD-2025-00093</x:v>
      </x:c>
      <x:c r="D1270" t="str">
        <x:v>KG01</x:v>
      </x:c>
      <x:c r="E1270" s="62" t="n">
        <x:v>45952</x:v>
      </x:c>
      <x:c r="F1270" t="str">
        <x:v>AM</x:v>
      </x:c>
      <x:c r="G1270" t="str">
        <x:v>B</x:v>
      </x:c>
      <x:c r="H1270" t="n">
        <x:v>23</x:v>
      </x:c>
      <x:c r="I1270" t="str">
        <x:v>ORD-2025-00093</x:v>
      </x:c>
      <x:c r="J1270" t="n">
        <x:v>6</x:v>
      </x:c>
      <x:c r="K1270" t="n">
        <x:v>3</x:v>
      </x:c>
      <x:c r="L1270" t="str">
        <x:v>L23-S06-C3</x:v>
      </x:c>
      <x:c r="M1270" t="n">
        <x:v>0</x:v>
      </x:c>
      <x:c r="N1270" t="str">
        <x:v>DerivedFromCount</x:v>
      </x:c>
      <x:c r="O1270" t="str">
        <x:v>PLC-PRD-JAR-720-L23</x:v>
      </x:c>
      <x:c r="P1270" t="str">
        <x:v>OK</x:v>
      </x:c>
      <x:c r="Q1270" t="str">
        <x:v>OK</x:v>
      </x:c>
      <x:c r="R1270" t="str">
        <x:v>OK</x:v>
      </x:c>
      <x:c r="S1270" t="str">
        <x:v>OK</x:v>
      </x:c>
      <x:c r="T1270" t="n">
        <x:v>24</x:v>
      </x:c>
      <x:c r="U1270" t="str">
        <x:v>OK</x:v>
      </x:c>
      <x:c r="V1270" t="str">
        <x:v>OK</x:v>
      </x:c>
      <x:c r="W1270" t="str">
        <x:v>LOAD</x:v>
      </x:c>
      <x:c r="X1270" t="str">
        <x:v>02_Supervisor_Log(4).xlsx</x:v>
      </x:c>
      <x:c r="Y1270" t="str">
        <x:v>ENH-20260830-01</x:v>
      </x:c>
      <x:c r="Z1270" t="str">
        <x:v>Active</x:v>
      </x:c>
      <x:c r="AA1270"/>
      <x:c r="AB1270"/>
      <x:c r="AC1270"/>
      <x:c r="AD1270"/>
    </x:row>
    <x:row r="1271">
      <x:c r="A1271" t="str">
        <x:v>PCC-PE-KG01-L23-20251022-AM-ORD-2025-00093-S07-C1</x:v>
      </x:c>
      <x:c r="B1271" t="str">
        <x:v>PC-PE-KG01-L23-20251022-AM-ORD-2025-00093-S07</x:v>
      </x:c>
      <x:c r="C1271" t="str">
        <x:v>PE-KG01-L23-20251022-AM-ORD-2025-00093</x:v>
      </x:c>
      <x:c r="D1271" t="str">
        <x:v>KG01</x:v>
      </x:c>
      <x:c r="E1271" s="62" t="n">
        <x:v>45952</x:v>
      </x:c>
      <x:c r="F1271" t="str">
        <x:v>AM</x:v>
      </x:c>
      <x:c r="G1271" t="str">
        <x:v>B</x:v>
      </x:c>
      <x:c r="H1271" t="n">
        <x:v>23</x:v>
      </x:c>
      <x:c r="I1271" t="str">
        <x:v>ORD-2025-00093</x:v>
      </x:c>
      <x:c r="J1271" t="n">
        <x:v>7</x:v>
      </x:c>
      <x:c r="K1271" t="n">
        <x:v>1</x:v>
      </x:c>
      <x:c r="L1271" t="str">
        <x:v>L23-S07-C1</x:v>
      </x:c>
      <x:c r="M1271" t="n">
        <x:v>1</x:v>
      </x:c>
      <x:c r="N1271" t="str">
        <x:v>DerivedFromCount</x:v>
      </x:c>
      <x:c r="O1271" t="str">
        <x:v>PLC-PRD-JAR-720-L23</x:v>
      </x:c>
      <x:c r="P1271" t="str">
        <x:v>OK</x:v>
      </x:c>
      <x:c r="Q1271" t="str">
        <x:v>OK</x:v>
      </x:c>
      <x:c r="R1271" t="str">
        <x:v>OK</x:v>
      </x:c>
      <x:c r="S1271" t="str">
        <x:v>OK</x:v>
      </x:c>
      <x:c r="T1271" t="n">
        <x:v>24</x:v>
      </x:c>
      <x:c r="U1271" t="str">
        <x:v>OK</x:v>
      </x:c>
      <x:c r="V1271" t="str">
        <x:v>OK</x:v>
      </x:c>
      <x:c r="W1271" t="str">
        <x:v>LOAD</x:v>
      </x:c>
      <x:c r="X1271" t="str">
        <x:v>02_Supervisor_Log(4).xlsx</x:v>
      </x:c>
      <x:c r="Y1271" t="str">
        <x:v>ENH-20260830-01</x:v>
      </x:c>
      <x:c r="Z1271" t="str">
        <x:v>Active</x:v>
      </x:c>
      <x:c r="AA1271"/>
      <x:c r="AB1271"/>
      <x:c r="AC1271"/>
      <x:c r="AD1271"/>
    </x:row>
    <x:row r="1272">
      <x:c r="A1272" t="str">
        <x:v>PCC-PE-KG01-L23-20251022-AM-ORD-2025-00093-S07-C2</x:v>
      </x:c>
      <x:c r="B1272" t="str">
        <x:v>PC-PE-KG01-L23-20251022-AM-ORD-2025-00093-S07</x:v>
      </x:c>
      <x:c r="C1272" t="str">
        <x:v>PE-KG01-L23-20251022-AM-ORD-2025-00093</x:v>
      </x:c>
      <x:c r="D1272" t="str">
        <x:v>KG01</x:v>
      </x:c>
      <x:c r="E1272" s="62" t="n">
        <x:v>45952</x:v>
      </x:c>
      <x:c r="F1272" t="str">
        <x:v>AM</x:v>
      </x:c>
      <x:c r="G1272" t="str">
        <x:v>B</x:v>
      </x:c>
      <x:c r="H1272" t="n">
        <x:v>23</x:v>
      </x:c>
      <x:c r="I1272" t="str">
        <x:v>ORD-2025-00093</x:v>
      </x:c>
      <x:c r="J1272" t="n">
        <x:v>7</x:v>
      </x:c>
      <x:c r="K1272" t="n">
        <x:v>2</x:v>
      </x:c>
      <x:c r="L1272" t="str">
        <x:v>L23-S07-C2</x:v>
      </x:c>
      <x:c r="M1272" t="n">
        <x:v>1</x:v>
      </x:c>
      <x:c r="N1272" t="str">
        <x:v>DerivedFromCount</x:v>
      </x:c>
      <x:c r="O1272" t="str">
        <x:v>PLC-PRD-JAR-720-L23</x:v>
      </x:c>
      <x:c r="P1272" t="str">
        <x:v>OK</x:v>
      </x:c>
      <x:c r="Q1272" t="str">
        <x:v>OK</x:v>
      </x:c>
      <x:c r="R1272" t="str">
        <x:v>OK</x:v>
      </x:c>
      <x:c r="S1272" t="str">
        <x:v>OK</x:v>
      </x:c>
      <x:c r="T1272" t="n">
        <x:v>24</x:v>
      </x:c>
      <x:c r="U1272" t="str">
        <x:v>OK</x:v>
      </x:c>
      <x:c r="V1272" t="str">
        <x:v>OK</x:v>
      </x:c>
      <x:c r="W1272" t="str">
        <x:v>LOAD</x:v>
      </x:c>
      <x:c r="X1272" t="str">
        <x:v>02_Supervisor_Log(4).xlsx</x:v>
      </x:c>
      <x:c r="Y1272" t="str">
        <x:v>ENH-20260830-01</x:v>
      </x:c>
      <x:c r="Z1272" t="str">
        <x:v>Active</x:v>
      </x:c>
      <x:c r="AA1272"/>
      <x:c r="AB1272"/>
      <x:c r="AC1272"/>
      <x:c r="AD1272"/>
    </x:row>
    <x:row r="1273">
      <x:c r="A1273" t="str">
        <x:v>PCC-PE-KG01-L23-20251022-AM-ORD-2025-00093-S07-C3</x:v>
      </x:c>
      <x:c r="B1273" t="str">
        <x:v>PC-PE-KG01-L23-20251022-AM-ORD-2025-00093-S07</x:v>
      </x:c>
      <x:c r="C1273" t="str">
        <x:v>PE-KG01-L23-20251022-AM-ORD-2025-00093</x:v>
      </x:c>
      <x:c r="D1273" t="str">
        <x:v>KG01</x:v>
      </x:c>
      <x:c r="E1273" s="62" t="n">
        <x:v>45952</x:v>
      </x:c>
      <x:c r="F1273" t="str">
        <x:v>AM</x:v>
      </x:c>
      <x:c r="G1273" t="str">
        <x:v>B</x:v>
      </x:c>
      <x:c r="H1273" t="n">
        <x:v>23</x:v>
      </x:c>
      <x:c r="I1273" t="str">
        <x:v>ORD-2025-00093</x:v>
      </x:c>
      <x:c r="J1273" t="n">
        <x:v>7</x:v>
      </x:c>
      <x:c r="K1273" t="n">
        <x:v>3</x:v>
      </x:c>
      <x:c r="L1273" t="str">
        <x:v>L23-S07-C3</x:v>
      </x:c>
      <x:c r="M1273" t="n">
        <x:v>0</x:v>
      </x:c>
      <x:c r="N1273" t="str">
        <x:v>DerivedFromCount</x:v>
      </x:c>
      <x:c r="O1273" t="str">
        <x:v>PLC-PRD-JAR-720-L23</x:v>
      </x:c>
      <x:c r="P1273" t="str">
        <x:v>OK</x:v>
      </x:c>
      <x:c r="Q1273" t="str">
        <x:v>OK</x:v>
      </x:c>
      <x:c r="R1273" t="str">
        <x:v>OK</x:v>
      </x:c>
      <x:c r="S1273" t="str">
        <x:v>OK</x:v>
      </x:c>
      <x:c r="T1273" t="n">
        <x:v>24</x:v>
      </x:c>
      <x:c r="U1273" t="str">
        <x:v>OK</x:v>
      </x:c>
      <x:c r="V1273" t="str">
        <x:v>OK</x:v>
      </x:c>
      <x:c r="W1273" t="str">
        <x:v>LOAD</x:v>
      </x:c>
      <x:c r="X1273" t="str">
        <x:v>02_Supervisor_Log(4).xlsx</x:v>
      </x:c>
      <x:c r="Y1273" t="str">
        <x:v>ENH-20260830-01</x:v>
      </x:c>
      <x:c r="Z1273" t="str">
        <x:v>Active</x:v>
      </x:c>
      <x:c r="AA1273"/>
      <x:c r="AB1273"/>
      <x:c r="AC1273"/>
      <x:c r="AD1273"/>
    </x:row>
    <x:row r="1274">
      <x:c r="A1274" t="str">
        <x:v>PCC-PE-KG01-L23-20251022-AM-ORD-2025-00093-S08-C1</x:v>
      </x:c>
      <x:c r="B1274" t="str">
        <x:v>PC-PE-KG01-L23-20251022-AM-ORD-2025-00093-S08</x:v>
      </x:c>
      <x:c r="C1274" t="str">
        <x:v>PE-KG01-L23-20251022-AM-ORD-2025-00093</x:v>
      </x:c>
      <x:c r="D1274" t="str">
        <x:v>KG01</x:v>
      </x:c>
      <x:c r="E1274" s="62" t="n">
        <x:v>45952</x:v>
      </x:c>
      <x:c r="F1274" t="str">
        <x:v>AM</x:v>
      </x:c>
      <x:c r="G1274" t="str">
        <x:v>B</x:v>
      </x:c>
      <x:c r="H1274" t="n">
        <x:v>23</x:v>
      </x:c>
      <x:c r="I1274" t="str">
        <x:v>ORD-2025-00093</x:v>
      </x:c>
      <x:c r="J1274" t="n">
        <x:v>8</x:v>
      </x:c>
      <x:c r="K1274" t="n">
        <x:v>1</x:v>
      </x:c>
      <x:c r="L1274" t="str">
        <x:v>L23-S08-C1</x:v>
      </x:c>
      <x:c r="M1274" t="n">
        <x:v>1</x:v>
      </x:c>
      <x:c r="N1274" t="str">
        <x:v>DerivedFromCount</x:v>
      </x:c>
      <x:c r="O1274" t="str">
        <x:v>PLC-PRD-JAR-720-L23</x:v>
      </x:c>
      <x:c r="P1274" t="str">
        <x:v>OK</x:v>
      </x:c>
      <x:c r="Q1274" t="str">
        <x:v>OK</x:v>
      </x:c>
      <x:c r="R1274" t="str">
        <x:v>OK</x:v>
      </x:c>
      <x:c r="S1274" t="str">
        <x:v>OK</x:v>
      </x:c>
      <x:c r="T1274" t="n">
        <x:v>24</x:v>
      </x:c>
      <x:c r="U1274" t="str">
        <x:v>OK</x:v>
      </x:c>
      <x:c r="V1274" t="str">
        <x:v>OK</x:v>
      </x:c>
      <x:c r="W1274" t="str">
        <x:v>LOAD</x:v>
      </x:c>
      <x:c r="X1274" t="str">
        <x:v>02_Supervisor_Log(4).xlsx</x:v>
      </x:c>
      <x:c r="Y1274" t="str">
        <x:v>ENH-20260830-01</x:v>
      </x:c>
      <x:c r="Z1274" t="str">
        <x:v>Active</x:v>
      </x:c>
      <x:c r="AA1274"/>
      <x:c r="AB1274"/>
      <x:c r="AC1274"/>
      <x:c r="AD1274"/>
    </x:row>
    <x:row r="1275">
      <x:c r="A1275" t="str">
        <x:v>PCC-PE-KG01-L23-20251022-AM-ORD-2025-00093-S08-C2</x:v>
      </x:c>
      <x:c r="B1275" t="str">
        <x:v>PC-PE-KG01-L23-20251022-AM-ORD-2025-00093-S08</x:v>
      </x:c>
      <x:c r="C1275" t="str">
        <x:v>PE-KG01-L23-20251022-AM-ORD-2025-00093</x:v>
      </x:c>
      <x:c r="D1275" t="str">
        <x:v>KG01</x:v>
      </x:c>
      <x:c r="E1275" s="62" t="n">
        <x:v>45952</x:v>
      </x:c>
      <x:c r="F1275" t="str">
        <x:v>AM</x:v>
      </x:c>
      <x:c r="G1275" t="str">
        <x:v>B</x:v>
      </x:c>
      <x:c r="H1275" t="n">
        <x:v>23</x:v>
      </x:c>
      <x:c r="I1275" t="str">
        <x:v>ORD-2025-00093</x:v>
      </x:c>
      <x:c r="J1275" t="n">
        <x:v>8</x:v>
      </x:c>
      <x:c r="K1275" t="n">
        <x:v>2</x:v>
      </x:c>
      <x:c r="L1275" t="str">
        <x:v>L23-S08-C2</x:v>
      </x:c>
      <x:c r="M1275" t="n">
        <x:v>1</x:v>
      </x:c>
      <x:c r="N1275" t="str">
        <x:v>DerivedFromCount</x:v>
      </x:c>
      <x:c r="O1275" t="str">
        <x:v>PLC-PRD-JAR-720-L23</x:v>
      </x:c>
      <x:c r="P1275" t="str">
        <x:v>OK</x:v>
      </x:c>
      <x:c r="Q1275" t="str">
        <x:v>OK</x:v>
      </x:c>
      <x:c r="R1275" t="str">
        <x:v>OK</x:v>
      </x:c>
      <x:c r="S1275" t="str">
        <x:v>OK</x:v>
      </x:c>
      <x:c r="T1275" t="n">
        <x:v>24</x:v>
      </x:c>
      <x:c r="U1275" t="str">
        <x:v>OK</x:v>
      </x:c>
      <x:c r="V1275" t="str">
        <x:v>OK</x:v>
      </x:c>
      <x:c r="W1275" t="str">
        <x:v>LOAD</x:v>
      </x:c>
      <x:c r="X1275" t="str">
        <x:v>02_Supervisor_Log(4).xlsx</x:v>
      </x:c>
      <x:c r="Y1275" t="str">
        <x:v>ENH-20260830-01</x:v>
      </x:c>
      <x:c r="Z1275" t="str">
        <x:v>Active</x:v>
      </x:c>
      <x:c r="AA1275"/>
      <x:c r="AB1275"/>
      <x:c r="AC1275"/>
      <x:c r="AD1275"/>
    </x:row>
    <x:row r="1276">
      <x:c r="A1276" t="str">
        <x:v>PCC-PE-KG01-L23-20251022-AM-ORD-2025-00093-S08-C3</x:v>
      </x:c>
      <x:c r="B1276" t="str">
        <x:v>PC-PE-KG01-L23-20251022-AM-ORD-2025-00093-S08</x:v>
      </x:c>
      <x:c r="C1276" t="str">
        <x:v>PE-KG01-L23-20251022-AM-ORD-2025-00093</x:v>
      </x:c>
      <x:c r="D1276" t="str">
        <x:v>KG01</x:v>
      </x:c>
      <x:c r="E1276" s="62" t="n">
        <x:v>45952</x:v>
      </x:c>
      <x:c r="F1276" t="str">
        <x:v>AM</x:v>
      </x:c>
      <x:c r="G1276" t="str">
        <x:v>B</x:v>
      </x:c>
      <x:c r="H1276" t="n">
        <x:v>23</x:v>
      </x:c>
      <x:c r="I1276" t="str">
        <x:v>ORD-2025-00093</x:v>
      </x:c>
      <x:c r="J1276" t="n">
        <x:v>8</x:v>
      </x:c>
      <x:c r="K1276" t="n">
        <x:v>3</x:v>
      </x:c>
      <x:c r="L1276" t="str">
        <x:v>L23-S08-C3</x:v>
      </x:c>
      <x:c r="M1276" t="n">
        <x:v>0</x:v>
      </x:c>
      <x:c r="N1276" t="str">
        <x:v>DerivedFromCount</x:v>
      </x:c>
      <x:c r="O1276" t="str">
        <x:v>PLC-PRD-JAR-720-L23</x:v>
      </x:c>
      <x:c r="P1276" t="str">
        <x:v>OK</x:v>
      </x:c>
      <x:c r="Q1276" t="str">
        <x:v>OK</x:v>
      </x:c>
      <x:c r="R1276" t="str">
        <x:v>OK</x:v>
      </x:c>
      <x:c r="S1276" t="str">
        <x:v>OK</x:v>
      </x:c>
      <x:c r="T1276" t="n">
        <x:v>24</x:v>
      </x:c>
      <x:c r="U1276" t="str">
        <x:v>OK</x:v>
      </x:c>
      <x:c r="V1276" t="str">
        <x:v>OK</x:v>
      </x:c>
      <x:c r="W1276" t="str">
        <x:v>LOAD</x:v>
      </x:c>
      <x:c r="X1276" t="str">
        <x:v>02_Supervisor_Log(4).xlsx</x:v>
      </x:c>
      <x:c r="Y1276" t="str">
        <x:v>ENH-20260830-01</x:v>
      </x:c>
      <x:c r="Z1276" t="str">
        <x:v>Active</x:v>
      </x:c>
      <x:c r="AA1276"/>
      <x:c r="AB1276"/>
      <x:c r="AC1276"/>
      <x:c r="AD1276"/>
    </x:row>
    <x:row r="1277">
      <x:c r="A1277" t="str">
        <x:v>PCC-PE-KG01-L23-20251022-AM-ORD-2025-00093-S09-C1</x:v>
      </x:c>
      <x:c r="B1277" t="str">
        <x:v>PC-PE-KG01-L23-20251022-AM-ORD-2025-00093-S09</x:v>
      </x:c>
      <x:c r="C1277" t="str">
        <x:v>PE-KG01-L23-20251022-AM-ORD-2025-00093</x:v>
      </x:c>
      <x:c r="D1277" t="str">
        <x:v>KG01</x:v>
      </x:c>
      <x:c r="E1277" s="62" t="n">
        <x:v>45952</x:v>
      </x:c>
      <x:c r="F1277" t="str">
        <x:v>AM</x:v>
      </x:c>
      <x:c r="G1277" t="str">
        <x:v>B</x:v>
      </x:c>
      <x:c r="H1277" t="n">
        <x:v>23</x:v>
      </x:c>
      <x:c r="I1277" t="str">
        <x:v>ORD-2025-00093</x:v>
      </x:c>
      <x:c r="J1277" t="n">
        <x:v>9</x:v>
      </x:c>
      <x:c r="K1277" t="n">
        <x:v>1</x:v>
      </x:c>
      <x:c r="L1277" t="str">
        <x:v>L23-S09-C1</x:v>
      </x:c>
      <x:c r="M1277" t="n">
        <x:v>1</x:v>
      </x:c>
      <x:c r="N1277" t="str">
        <x:v>DerivedFromCount</x:v>
      </x:c>
      <x:c r="O1277" t="str">
        <x:v>PLC-PRD-JAR-720-L23</x:v>
      </x:c>
      <x:c r="P1277" t="str">
        <x:v>OK</x:v>
      </x:c>
      <x:c r="Q1277" t="str">
        <x:v>OK</x:v>
      </x:c>
      <x:c r="R1277" t="str">
        <x:v>OK</x:v>
      </x:c>
      <x:c r="S1277" t="str">
        <x:v>OK</x:v>
      </x:c>
      <x:c r="T1277" t="n">
        <x:v>24</x:v>
      </x:c>
      <x:c r="U1277" t="str">
        <x:v>OK</x:v>
      </x:c>
      <x:c r="V1277" t="str">
        <x:v>OK</x:v>
      </x:c>
      <x:c r="W1277" t="str">
        <x:v>LOAD</x:v>
      </x:c>
      <x:c r="X1277" t="str">
        <x:v>02_Supervisor_Log(4).xlsx</x:v>
      </x:c>
      <x:c r="Y1277" t="str">
        <x:v>ENH-20260830-01</x:v>
      </x:c>
      <x:c r="Z1277" t="str">
        <x:v>Active</x:v>
      </x:c>
      <x:c r="AA1277"/>
      <x:c r="AB1277"/>
      <x:c r="AC1277"/>
      <x:c r="AD1277"/>
    </x:row>
    <x:row r="1278">
      <x:c r="A1278" t="str">
        <x:v>PCC-PE-KG01-L23-20251022-AM-ORD-2025-00093-S09-C2</x:v>
      </x:c>
      <x:c r="B1278" t="str">
        <x:v>PC-PE-KG01-L23-20251022-AM-ORD-2025-00093-S09</x:v>
      </x:c>
      <x:c r="C1278" t="str">
        <x:v>PE-KG01-L23-20251022-AM-ORD-2025-00093</x:v>
      </x:c>
      <x:c r="D1278" t="str">
        <x:v>KG01</x:v>
      </x:c>
      <x:c r="E1278" s="62" t="n">
        <x:v>45952</x:v>
      </x:c>
      <x:c r="F1278" t="str">
        <x:v>AM</x:v>
      </x:c>
      <x:c r="G1278" t="str">
        <x:v>B</x:v>
      </x:c>
      <x:c r="H1278" t="n">
        <x:v>23</x:v>
      </x:c>
      <x:c r="I1278" t="str">
        <x:v>ORD-2025-00093</x:v>
      </x:c>
      <x:c r="J1278" t="n">
        <x:v>9</x:v>
      </x:c>
      <x:c r="K1278" t="n">
        <x:v>2</x:v>
      </x:c>
      <x:c r="L1278" t="str">
        <x:v>L23-S09-C2</x:v>
      </x:c>
      <x:c r="M1278" t="n">
        <x:v>1</x:v>
      </x:c>
      <x:c r="N1278" t="str">
        <x:v>DerivedFromCount</x:v>
      </x:c>
      <x:c r="O1278" t="str">
        <x:v>PLC-PRD-JAR-720-L23</x:v>
      </x:c>
      <x:c r="P1278" t="str">
        <x:v>OK</x:v>
      </x:c>
      <x:c r="Q1278" t="str">
        <x:v>OK</x:v>
      </x:c>
      <x:c r="R1278" t="str">
        <x:v>OK</x:v>
      </x:c>
      <x:c r="S1278" t="str">
        <x:v>OK</x:v>
      </x:c>
      <x:c r="T1278" t="n">
        <x:v>24</x:v>
      </x:c>
      <x:c r="U1278" t="str">
        <x:v>OK</x:v>
      </x:c>
      <x:c r="V1278" t="str">
        <x:v>OK</x:v>
      </x:c>
      <x:c r="W1278" t="str">
        <x:v>LOAD</x:v>
      </x:c>
      <x:c r="X1278" t="str">
        <x:v>02_Supervisor_Log(4).xlsx</x:v>
      </x:c>
      <x:c r="Y1278" t="str">
        <x:v>ENH-20260830-01</x:v>
      </x:c>
      <x:c r="Z1278" t="str">
        <x:v>Active</x:v>
      </x:c>
      <x:c r="AA1278"/>
      <x:c r="AB1278"/>
      <x:c r="AC1278"/>
      <x:c r="AD1278"/>
    </x:row>
    <x:row r="1279">
      <x:c r="A1279" t="str">
        <x:v>PCC-PE-KG01-L23-20251022-AM-ORD-2025-00093-S09-C3</x:v>
      </x:c>
      <x:c r="B1279" t="str">
        <x:v>PC-PE-KG01-L23-20251022-AM-ORD-2025-00093-S09</x:v>
      </x:c>
      <x:c r="C1279" t="str">
        <x:v>PE-KG01-L23-20251022-AM-ORD-2025-00093</x:v>
      </x:c>
      <x:c r="D1279" t="str">
        <x:v>KG01</x:v>
      </x:c>
      <x:c r="E1279" s="62" t="n">
        <x:v>45952</x:v>
      </x:c>
      <x:c r="F1279" t="str">
        <x:v>AM</x:v>
      </x:c>
      <x:c r="G1279" t="str">
        <x:v>B</x:v>
      </x:c>
      <x:c r="H1279" t="n">
        <x:v>23</x:v>
      </x:c>
      <x:c r="I1279" t="str">
        <x:v>ORD-2025-00093</x:v>
      </x:c>
      <x:c r="J1279" t="n">
        <x:v>9</x:v>
      </x:c>
      <x:c r="K1279" t="n">
        <x:v>3</x:v>
      </x:c>
      <x:c r="L1279" t="str">
        <x:v>L23-S09-C3</x:v>
      </x:c>
      <x:c r="M1279" t="n">
        <x:v>0</x:v>
      </x:c>
      <x:c r="N1279" t="str">
        <x:v>DerivedFromCount</x:v>
      </x:c>
      <x:c r="O1279" t="str">
        <x:v>PLC-PRD-JAR-720-L23</x:v>
      </x:c>
      <x:c r="P1279" t="str">
        <x:v>OK</x:v>
      </x:c>
      <x:c r="Q1279" t="str">
        <x:v>OK</x:v>
      </x:c>
      <x:c r="R1279" t="str">
        <x:v>OK</x:v>
      </x:c>
      <x:c r="S1279" t="str">
        <x:v>OK</x:v>
      </x:c>
      <x:c r="T1279" t="n">
        <x:v>24</x:v>
      </x:c>
      <x:c r="U1279" t="str">
        <x:v>OK</x:v>
      </x:c>
      <x:c r="V1279" t="str">
        <x:v>OK</x:v>
      </x:c>
      <x:c r="W1279" t="str">
        <x:v>LOAD</x:v>
      </x:c>
      <x:c r="X1279" t="str">
        <x:v>02_Supervisor_Log(4).xlsx</x:v>
      </x:c>
      <x:c r="Y1279" t="str">
        <x:v>ENH-20260830-01</x:v>
      </x:c>
      <x:c r="Z1279" t="str">
        <x:v>Active</x:v>
      </x:c>
      <x:c r="AA1279"/>
      <x:c r="AB1279"/>
      <x:c r="AC1279"/>
      <x:c r="AD1279"/>
    </x:row>
    <x:row r="1280">
      <x:c r="A1280" t="str">
        <x:v>PCC-PE-KG01-L23-20251022-AM-ORD-2025-00093-S10-C1</x:v>
      </x:c>
      <x:c r="B1280" t="str">
        <x:v>PC-PE-KG01-L23-20251022-AM-ORD-2025-00093-S10</x:v>
      </x:c>
      <x:c r="C1280" t="str">
        <x:v>PE-KG01-L23-20251022-AM-ORD-2025-00093</x:v>
      </x:c>
      <x:c r="D1280" t="str">
        <x:v>KG01</x:v>
      </x:c>
      <x:c r="E1280" s="62" t="n">
        <x:v>45952</x:v>
      </x:c>
      <x:c r="F1280" t="str">
        <x:v>AM</x:v>
      </x:c>
      <x:c r="G1280" t="str">
        <x:v>B</x:v>
      </x:c>
      <x:c r="H1280" t="n">
        <x:v>23</x:v>
      </x:c>
      <x:c r="I1280" t="str">
        <x:v>ORD-2025-00093</x:v>
      </x:c>
      <x:c r="J1280" t="n">
        <x:v>10</x:v>
      </x:c>
      <x:c r="K1280" t="n">
        <x:v>1</x:v>
      </x:c>
      <x:c r="L1280" t="str">
        <x:v>L23-S10-C1</x:v>
      </x:c>
      <x:c r="M1280" t="n">
        <x:v>1</x:v>
      </x:c>
      <x:c r="N1280" t="str">
        <x:v>DerivedFromCount</x:v>
      </x:c>
      <x:c r="O1280" t="str">
        <x:v>PLC-PRD-JAR-720-L23</x:v>
      </x:c>
      <x:c r="P1280" t="str">
        <x:v>OK</x:v>
      </x:c>
      <x:c r="Q1280" t="str">
        <x:v>OK</x:v>
      </x:c>
      <x:c r="R1280" t="str">
        <x:v>OK</x:v>
      </x:c>
      <x:c r="S1280" t="str">
        <x:v>OK</x:v>
      </x:c>
      <x:c r="T1280" t="n">
        <x:v>24</x:v>
      </x:c>
      <x:c r="U1280" t="str">
        <x:v>OK</x:v>
      </x:c>
      <x:c r="V1280" t="str">
        <x:v>OK</x:v>
      </x:c>
      <x:c r="W1280" t="str">
        <x:v>LOAD</x:v>
      </x:c>
      <x:c r="X1280" t="str">
        <x:v>02_Supervisor_Log(4).xlsx</x:v>
      </x:c>
      <x:c r="Y1280" t="str">
        <x:v>ENH-20260830-01</x:v>
      </x:c>
      <x:c r="Z1280" t="str">
        <x:v>Active</x:v>
      </x:c>
      <x:c r="AA1280"/>
      <x:c r="AB1280"/>
      <x:c r="AC1280"/>
      <x:c r="AD1280"/>
    </x:row>
    <x:row r="1281">
      <x:c r="A1281" t="str">
        <x:v>PCC-PE-KG01-L23-20251022-AM-ORD-2025-00093-S10-C2</x:v>
      </x:c>
      <x:c r="B1281" t="str">
        <x:v>PC-PE-KG01-L23-20251022-AM-ORD-2025-00093-S10</x:v>
      </x:c>
      <x:c r="C1281" t="str">
        <x:v>PE-KG01-L23-20251022-AM-ORD-2025-00093</x:v>
      </x:c>
      <x:c r="D1281" t="str">
        <x:v>KG01</x:v>
      </x:c>
      <x:c r="E1281" s="62" t="n">
        <x:v>45952</x:v>
      </x:c>
      <x:c r="F1281" t="str">
        <x:v>AM</x:v>
      </x:c>
      <x:c r="G1281" t="str">
        <x:v>B</x:v>
      </x:c>
      <x:c r="H1281" t="n">
        <x:v>23</x:v>
      </x:c>
      <x:c r="I1281" t="str">
        <x:v>ORD-2025-00093</x:v>
      </x:c>
      <x:c r="J1281" t="n">
        <x:v>10</x:v>
      </x:c>
      <x:c r="K1281" t="n">
        <x:v>2</x:v>
      </x:c>
      <x:c r="L1281" t="str">
        <x:v>L23-S10-C2</x:v>
      </x:c>
      <x:c r="M1281" t="n">
        <x:v>1</x:v>
      </x:c>
      <x:c r="N1281" t="str">
        <x:v>DerivedFromCount</x:v>
      </x:c>
      <x:c r="O1281" t="str">
        <x:v>PLC-PRD-JAR-720-L23</x:v>
      </x:c>
      <x:c r="P1281" t="str">
        <x:v>OK</x:v>
      </x:c>
      <x:c r="Q1281" t="str">
        <x:v>OK</x:v>
      </x:c>
      <x:c r="R1281" t="str">
        <x:v>OK</x:v>
      </x:c>
      <x:c r="S1281" t="str">
        <x:v>OK</x:v>
      </x:c>
      <x:c r="T1281" t="n">
        <x:v>24</x:v>
      </x:c>
      <x:c r="U1281" t="str">
        <x:v>OK</x:v>
      </x:c>
      <x:c r="V1281" t="str">
        <x:v>OK</x:v>
      </x:c>
      <x:c r="W1281" t="str">
        <x:v>LOAD</x:v>
      </x:c>
      <x:c r="X1281" t="str">
        <x:v>02_Supervisor_Log(4).xlsx</x:v>
      </x:c>
      <x:c r="Y1281" t="str">
        <x:v>ENH-20260830-01</x:v>
      </x:c>
      <x:c r="Z1281" t="str">
        <x:v>Active</x:v>
      </x:c>
      <x:c r="AA1281"/>
      <x:c r="AB1281"/>
      <x:c r="AC1281"/>
      <x:c r="AD1281"/>
    </x:row>
    <x:row r="1282">
      <x:c r="A1282" t="str">
        <x:v>PCC-PE-KG01-L23-20251022-AM-ORD-2025-00093-S10-C3</x:v>
      </x:c>
      <x:c r="B1282" t="str">
        <x:v>PC-PE-KG01-L23-20251022-AM-ORD-2025-00093-S10</x:v>
      </x:c>
      <x:c r="C1282" t="str">
        <x:v>PE-KG01-L23-20251022-AM-ORD-2025-00093</x:v>
      </x:c>
      <x:c r="D1282" t="str">
        <x:v>KG01</x:v>
      </x:c>
      <x:c r="E1282" s="62" t="n">
        <x:v>45952</x:v>
      </x:c>
      <x:c r="F1282" t="str">
        <x:v>AM</x:v>
      </x:c>
      <x:c r="G1282" t="str">
        <x:v>B</x:v>
      </x:c>
      <x:c r="H1282" t="n">
        <x:v>23</x:v>
      </x:c>
      <x:c r="I1282" t="str">
        <x:v>ORD-2025-00093</x:v>
      </x:c>
      <x:c r="J1282" t="n">
        <x:v>10</x:v>
      </x:c>
      <x:c r="K1282" t="n">
        <x:v>3</x:v>
      </x:c>
      <x:c r="L1282" t="str">
        <x:v>L23-S10-C3</x:v>
      </x:c>
      <x:c r="M1282" t="n">
        <x:v>0</x:v>
      </x:c>
      <x:c r="N1282" t="str">
        <x:v>DerivedFromCount</x:v>
      </x:c>
      <x:c r="O1282" t="str">
        <x:v>PLC-PRD-JAR-720-L23</x:v>
      </x:c>
      <x:c r="P1282" t="str">
        <x:v>OK</x:v>
      </x:c>
      <x:c r="Q1282" t="str">
        <x:v>OK</x:v>
      </x:c>
      <x:c r="R1282" t="str">
        <x:v>OK</x:v>
      </x:c>
      <x:c r="S1282" t="str">
        <x:v>OK</x:v>
      </x:c>
      <x:c r="T1282" t="n">
        <x:v>24</x:v>
      </x:c>
      <x:c r="U1282" t="str">
        <x:v>OK</x:v>
      </x:c>
      <x:c r="V1282" t="str">
        <x:v>OK</x:v>
      </x:c>
      <x:c r="W1282" t="str">
        <x:v>LOAD</x:v>
      </x:c>
      <x:c r="X1282" t="str">
        <x:v>02_Supervisor_Log(4).xlsx</x:v>
      </x:c>
      <x:c r="Y1282" t="str">
        <x:v>ENH-20260830-01</x:v>
      </x:c>
      <x:c r="Z1282" t="str">
        <x:v>Active</x:v>
      </x:c>
      <x:c r="AA1282"/>
      <x:c r="AB1282"/>
      <x:c r="AC1282"/>
      <x:c r="AD1282"/>
    </x:row>
    <x:row r="1283">
      <x:c r="A1283" t="str">
        <x:v>PCC-PE-KG01-L23-20251022-AM-ORD-2025-00093-S11-C1</x:v>
      </x:c>
      <x:c r="B1283" t="str">
        <x:v>PC-PE-KG01-L23-20251022-AM-ORD-2025-00093-S11</x:v>
      </x:c>
      <x:c r="C1283" t="str">
        <x:v>PE-KG01-L23-20251022-AM-ORD-2025-00093</x:v>
      </x:c>
      <x:c r="D1283" t="str">
        <x:v>KG01</x:v>
      </x:c>
      <x:c r="E1283" s="62" t="n">
        <x:v>45952</x:v>
      </x:c>
      <x:c r="F1283" t="str">
        <x:v>AM</x:v>
      </x:c>
      <x:c r="G1283" t="str">
        <x:v>B</x:v>
      </x:c>
      <x:c r="H1283" t="n">
        <x:v>23</x:v>
      </x:c>
      <x:c r="I1283" t="str">
        <x:v>ORD-2025-00093</x:v>
      </x:c>
      <x:c r="J1283" t="n">
        <x:v>11</x:v>
      </x:c>
      <x:c r="K1283" t="n">
        <x:v>1</x:v>
      </x:c>
      <x:c r="L1283" t="str">
        <x:v>L23-S11-C1</x:v>
      </x:c>
      <x:c r="M1283" t="n">
        <x:v>1</x:v>
      </x:c>
      <x:c r="N1283" t="str">
        <x:v>DerivedFromCount</x:v>
      </x:c>
      <x:c r="O1283" t="str">
        <x:v>PLC-PRD-JAR-720-L23</x:v>
      </x:c>
      <x:c r="P1283" t="str">
        <x:v>OK</x:v>
      </x:c>
      <x:c r="Q1283" t="str">
        <x:v>OK</x:v>
      </x:c>
      <x:c r="R1283" t="str">
        <x:v>OK</x:v>
      </x:c>
      <x:c r="S1283" t="str">
        <x:v>OK</x:v>
      </x:c>
      <x:c r="T1283" t="n">
        <x:v>24</x:v>
      </x:c>
      <x:c r="U1283" t="str">
        <x:v>OK</x:v>
      </x:c>
      <x:c r="V1283" t="str">
        <x:v>OK</x:v>
      </x:c>
      <x:c r="W1283" t="str">
        <x:v>LOAD</x:v>
      </x:c>
      <x:c r="X1283" t="str">
        <x:v>02_Supervisor_Log(4).xlsx</x:v>
      </x:c>
      <x:c r="Y1283" t="str">
        <x:v>ENH-20260830-01</x:v>
      </x:c>
      <x:c r="Z1283" t="str">
        <x:v>Active</x:v>
      </x:c>
      <x:c r="AA1283"/>
      <x:c r="AB1283"/>
      <x:c r="AC1283"/>
      <x:c r="AD1283"/>
    </x:row>
    <x:row r="1284">
      <x:c r="A1284" t="str">
        <x:v>PCC-PE-KG01-L23-20251022-AM-ORD-2025-00093-S11-C2</x:v>
      </x:c>
      <x:c r="B1284" t="str">
        <x:v>PC-PE-KG01-L23-20251022-AM-ORD-2025-00093-S11</x:v>
      </x:c>
      <x:c r="C1284" t="str">
        <x:v>PE-KG01-L23-20251022-AM-ORD-2025-00093</x:v>
      </x:c>
      <x:c r="D1284" t="str">
        <x:v>KG01</x:v>
      </x:c>
      <x:c r="E1284" s="62" t="n">
        <x:v>45952</x:v>
      </x:c>
      <x:c r="F1284" t="str">
        <x:v>AM</x:v>
      </x:c>
      <x:c r="G1284" t="str">
        <x:v>B</x:v>
      </x:c>
      <x:c r="H1284" t="n">
        <x:v>23</x:v>
      </x:c>
      <x:c r="I1284" t="str">
        <x:v>ORD-2025-00093</x:v>
      </x:c>
      <x:c r="J1284" t="n">
        <x:v>11</x:v>
      </x:c>
      <x:c r="K1284" t="n">
        <x:v>2</x:v>
      </x:c>
      <x:c r="L1284" t="str">
        <x:v>L23-S11-C2</x:v>
      </x:c>
      <x:c r="M1284" t="n">
        <x:v>1</x:v>
      </x:c>
      <x:c r="N1284" t="str">
        <x:v>DerivedFromCount</x:v>
      </x:c>
      <x:c r="O1284" t="str">
        <x:v>PLC-PRD-JAR-720-L23</x:v>
      </x:c>
      <x:c r="P1284" t="str">
        <x:v>OK</x:v>
      </x:c>
      <x:c r="Q1284" t="str">
        <x:v>OK</x:v>
      </x:c>
      <x:c r="R1284" t="str">
        <x:v>OK</x:v>
      </x:c>
      <x:c r="S1284" t="str">
        <x:v>OK</x:v>
      </x:c>
      <x:c r="T1284" t="n">
        <x:v>24</x:v>
      </x:c>
      <x:c r="U1284" t="str">
        <x:v>OK</x:v>
      </x:c>
      <x:c r="V1284" t="str">
        <x:v>OK</x:v>
      </x:c>
      <x:c r="W1284" t="str">
        <x:v>LOAD</x:v>
      </x:c>
      <x:c r="X1284" t="str">
        <x:v>02_Supervisor_Log(4).xlsx</x:v>
      </x:c>
      <x:c r="Y1284" t="str">
        <x:v>ENH-20260830-01</x:v>
      </x:c>
      <x:c r="Z1284" t="str">
        <x:v>Active</x:v>
      </x:c>
      <x:c r="AA1284"/>
      <x:c r="AB1284"/>
      <x:c r="AC1284"/>
      <x:c r="AD1284"/>
    </x:row>
    <x:row r="1285">
      <x:c r="A1285" t="str">
        <x:v>PCC-PE-KG01-L23-20251022-AM-ORD-2025-00093-S11-C3</x:v>
      </x:c>
      <x:c r="B1285" t="str">
        <x:v>PC-PE-KG01-L23-20251022-AM-ORD-2025-00093-S11</x:v>
      </x:c>
      <x:c r="C1285" t="str">
        <x:v>PE-KG01-L23-20251022-AM-ORD-2025-00093</x:v>
      </x:c>
      <x:c r="D1285" t="str">
        <x:v>KG01</x:v>
      </x:c>
      <x:c r="E1285" s="62" t="n">
        <x:v>45952</x:v>
      </x:c>
      <x:c r="F1285" t="str">
        <x:v>AM</x:v>
      </x:c>
      <x:c r="G1285" t="str">
        <x:v>B</x:v>
      </x:c>
      <x:c r="H1285" t="n">
        <x:v>23</x:v>
      </x:c>
      <x:c r="I1285" t="str">
        <x:v>ORD-2025-00093</x:v>
      </x:c>
      <x:c r="J1285" t="n">
        <x:v>11</x:v>
      </x:c>
      <x:c r="K1285" t="n">
        <x:v>3</x:v>
      </x:c>
      <x:c r="L1285" t="str">
        <x:v>L23-S11-C3</x:v>
      </x:c>
      <x:c r="M1285" t="n">
        <x:v>0</x:v>
      </x:c>
      <x:c r="N1285" t="str">
        <x:v>DerivedFromCount</x:v>
      </x:c>
      <x:c r="O1285" t="str">
        <x:v>PLC-PRD-JAR-720-L23</x:v>
      </x:c>
      <x:c r="P1285" t="str">
        <x:v>OK</x:v>
      </x:c>
      <x:c r="Q1285" t="str">
        <x:v>OK</x:v>
      </x:c>
      <x:c r="R1285" t="str">
        <x:v>OK</x:v>
      </x:c>
      <x:c r="S1285" t="str">
        <x:v>OK</x:v>
      </x:c>
      <x:c r="T1285" t="n">
        <x:v>24</x:v>
      </x:c>
      <x:c r="U1285" t="str">
        <x:v>OK</x:v>
      </x:c>
      <x:c r="V1285" t="str">
        <x:v>OK</x:v>
      </x:c>
      <x:c r="W1285" t="str">
        <x:v>LOAD</x:v>
      </x:c>
      <x:c r="X1285" t="str">
        <x:v>02_Supervisor_Log(4).xlsx</x:v>
      </x:c>
      <x:c r="Y1285" t="str">
        <x:v>ENH-20260830-01</x:v>
      </x:c>
      <x:c r="Z1285" t="str">
        <x:v>Active</x:v>
      </x:c>
      <x:c r="AA1285"/>
      <x:c r="AB1285"/>
      <x:c r="AC1285"/>
      <x:c r="AD1285"/>
    </x:row>
    <x:row r="1286">
      <x:c r="A1286" t="str">
        <x:v>PCC-PE-KG01-L23-20251022-AM-ORD-2025-00093-S12-C1</x:v>
      </x:c>
      <x:c r="B1286" t="str">
        <x:v>PC-PE-KG01-L23-20251022-AM-ORD-2025-00093-S12</x:v>
      </x:c>
      <x:c r="C1286" t="str">
        <x:v>PE-KG01-L23-20251022-AM-ORD-2025-00093</x:v>
      </x:c>
      <x:c r="D1286" t="str">
        <x:v>KG01</x:v>
      </x:c>
      <x:c r="E1286" s="62" t="n">
        <x:v>45952</x:v>
      </x:c>
      <x:c r="F1286" t="str">
        <x:v>AM</x:v>
      </x:c>
      <x:c r="G1286" t="str">
        <x:v>B</x:v>
      </x:c>
      <x:c r="H1286" t="n">
        <x:v>23</x:v>
      </x:c>
      <x:c r="I1286" t="str">
        <x:v>ORD-2025-00093</x:v>
      </x:c>
      <x:c r="J1286" t="n">
        <x:v>12</x:v>
      </x:c>
      <x:c r="K1286" t="n">
        <x:v>1</x:v>
      </x:c>
      <x:c r="L1286" t="str">
        <x:v>L23-S12-C1</x:v>
      </x:c>
      <x:c r="M1286" t="n">
        <x:v>1</x:v>
      </x:c>
      <x:c r="N1286" t="str">
        <x:v>DerivedFromCount</x:v>
      </x:c>
      <x:c r="O1286" t="str">
        <x:v>PLC-PRD-JAR-720-L23</x:v>
      </x:c>
      <x:c r="P1286" t="str">
        <x:v>OK</x:v>
      </x:c>
      <x:c r="Q1286" t="str">
        <x:v>OK</x:v>
      </x:c>
      <x:c r="R1286" t="str">
        <x:v>OK</x:v>
      </x:c>
      <x:c r="S1286" t="str">
        <x:v>OK</x:v>
      </x:c>
      <x:c r="T1286" t="n">
        <x:v>24</x:v>
      </x:c>
      <x:c r="U1286" t="str">
        <x:v>OK</x:v>
      </x:c>
      <x:c r="V1286" t="str">
        <x:v>OK</x:v>
      </x:c>
      <x:c r="W1286" t="str">
        <x:v>LOAD</x:v>
      </x:c>
      <x:c r="X1286" t="str">
        <x:v>02_Supervisor_Log(4).xlsx</x:v>
      </x:c>
      <x:c r="Y1286" t="str">
        <x:v>ENH-20260830-01</x:v>
      </x:c>
      <x:c r="Z1286" t="str">
        <x:v>Active</x:v>
      </x:c>
      <x:c r="AA1286"/>
      <x:c r="AB1286"/>
      <x:c r="AC1286"/>
      <x:c r="AD1286"/>
    </x:row>
    <x:row r="1287">
      <x:c r="A1287" t="str">
        <x:v>PCC-PE-KG01-L23-20251022-AM-ORD-2025-00093-S12-C2</x:v>
      </x:c>
      <x:c r="B1287" t="str">
        <x:v>PC-PE-KG01-L23-20251022-AM-ORD-2025-00093-S12</x:v>
      </x:c>
      <x:c r="C1287" t="str">
        <x:v>PE-KG01-L23-20251022-AM-ORD-2025-00093</x:v>
      </x:c>
      <x:c r="D1287" t="str">
        <x:v>KG01</x:v>
      </x:c>
      <x:c r="E1287" s="62" t="n">
        <x:v>45952</x:v>
      </x:c>
      <x:c r="F1287" t="str">
        <x:v>AM</x:v>
      </x:c>
      <x:c r="G1287" t="str">
        <x:v>B</x:v>
      </x:c>
      <x:c r="H1287" t="n">
        <x:v>23</x:v>
      </x:c>
      <x:c r="I1287" t="str">
        <x:v>ORD-2025-00093</x:v>
      </x:c>
      <x:c r="J1287" t="n">
        <x:v>12</x:v>
      </x:c>
      <x:c r="K1287" t="n">
        <x:v>2</x:v>
      </x:c>
      <x:c r="L1287" t="str">
        <x:v>L23-S12-C2</x:v>
      </x:c>
      <x:c r="M1287" t="n">
        <x:v>1</x:v>
      </x:c>
      <x:c r="N1287" t="str">
        <x:v>DerivedFromCount</x:v>
      </x:c>
      <x:c r="O1287" t="str">
        <x:v>PLC-PRD-JAR-720-L23</x:v>
      </x:c>
      <x:c r="P1287" t="str">
        <x:v>OK</x:v>
      </x:c>
      <x:c r="Q1287" t="str">
        <x:v>OK</x:v>
      </x:c>
      <x:c r="R1287" t="str">
        <x:v>OK</x:v>
      </x:c>
      <x:c r="S1287" t="str">
        <x:v>OK</x:v>
      </x:c>
      <x:c r="T1287" t="n">
        <x:v>24</x:v>
      </x:c>
      <x:c r="U1287" t="str">
        <x:v>OK</x:v>
      </x:c>
      <x:c r="V1287" t="str">
        <x:v>OK</x:v>
      </x:c>
      <x:c r="W1287" t="str">
        <x:v>LOAD</x:v>
      </x:c>
      <x:c r="X1287" t="str">
        <x:v>02_Supervisor_Log(4).xlsx</x:v>
      </x:c>
      <x:c r="Y1287" t="str">
        <x:v>ENH-20260830-01</x:v>
      </x:c>
      <x:c r="Z1287" t="str">
        <x:v>Active</x:v>
      </x:c>
      <x:c r="AA1287"/>
      <x:c r="AB1287"/>
      <x:c r="AC1287"/>
      <x:c r="AD1287"/>
    </x:row>
    <x:row r="1288">
      <x:c r="A1288" t="str">
        <x:v>PCC-PE-KG01-L23-20251022-AM-ORD-2025-00093-S12-C3</x:v>
      </x:c>
      <x:c r="B1288" t="str">
        <x:v>PC-PE-KG01-L23-20251022-AM-ORD-2025-00093-S12</x:v>
      </x:c>
      <x:c r="C1288" t="str">
        <x:v>PE-KG01-L23-20251022-AM-ORD-2025-00093</x:v>
      </x:c>
      <x:c r="D1288" t="str">
        <x:v>KG01</x:v>
      </x:c>
      <x:c r="E1288" s="62" t="n">
        <x:v>45952</x:v>
      </x:c>
      <x:c r="F1288" t="str">
        <x:v>AM</x:v>
      </x:c>
      <x:c r="G1288" t="str">
        <x:v>B</x:v>
      </x:c>
      <x:c r="H1288" t="n">
        <x:v>23</x:v>
      </x:c>
      <x:c r="I1288" t="str">
        <x:v>ORD-2025-00093</x:v>
      </x:c>
      <x:c r="J1288" t="n">
        <x:v>12</x:v>
      </x:c>
      <x:c r="K1288" t="n">
        <x:v>3</x:v>
      </x:c>
      <x:c r="L1288" t="str">
        <x:v>L23-S12-C3</x:v>
      </x:c>
      <x:c r="M1288" t="n">
        <x:v>0</x:v>
      </x:c>
      <x:c r="N1288" t="str">
        <x:v>DerivedFromCount</x:v>
      </x:c>
      <x:c r="O1288" t="str">
        <x:v>PLC-PRD-JAR-720-L23</x:v>
      </x:c>
      <x:c r="P1288" t="str">
        <x:v>OK</x:v>
      </x:c>
      <x:c r="Q1288" t="str">
        <x:v>OK</x:v>
      </x:c>
      <x:c r="R1288" t="str">
        <x:v>OK</x:v>
      </x:c>
      <x:c r="S1288" t="str">
        <x:v>OK</x:v>
      </x:c>
      <x:c r="T1288" t="n">
        <x:v>24</x:v>
      </x:c>
      <x:c r="U1288" t="str">
        <x:v>OK</x:v>
      </x:c>
      <x:c r="V1288" t="str">
        <x:v>OK</x:v>
      </x:c>
      <x:c r="W1288" t="str">
        <x:v>LOAD</x:v>
      </x:c>
      <x:c r="X1288" t="str">
        <x:v>02_Supervisor_Log(4).xlsx</x:v>
      </x:c>
      <x:c r="Y1288" t="str">
        <x:v>ENH-20260830-01</x:v>
      </x:c>
      <x:c r="Z1288" t="str">
        <x:v>Active</x:v>
      </x:c>
      <x:c r="AA1288"/>
      <x:c r="AB1288"/>
      <x:c r="AC1288"/>
      <x:c r="AD1288"/>
    </x:row>
    <x:row r="1289">
      <x:c r="A1289" t="str">
        <x:v>PCC-PE-KG01-L23-20251022-AM-ORD-2025-00093-S13-C1</x:v>
      </x:c>
      <x:c r="B1289" t="str">
        <x:v>PC-PE-KG01-L23-20251022-AM-ORD-2025-00093-S13</x:v>
      </x:c>
      <x:c r="C1289" t="str">
        <x:v>PE-KG01-L23-20251022-AM-ORD-2025-00093</x:v>
      </x:c>
      <x:c r="D1289" t="str">
        <x:v>KG01</x:v>
      </x:c>
      <x:c r="E1289" s="62" t="n">
        <x:v>45952</x:v>
      </x:c>
      <x:c r="F1289" t="str">
        <x:v>AM</x:v>
      </x:c>
      <x:c r="G1289" t="str">
        <x:v>B</x:v>
      </x:c>
      <x:c r="H1289" t="n">
        <x:v>23</x:v>
      </x:c>
      <x:c r="I1289" t="str">
        <x:v>ORD-2025-00093</x:v>
      </x:c>
      <x:c r="J1289" t="n">
        <x:v>13</x:v>
      </x:c>
      <x:c r="K1289" t="n">
        <x:v>1</x:v>
      </x:c>
      <x:c r="L1289" t="str">
        <x:v>L23-S13-C1</x:v>
      </x:c>
      <x:c r="M1289" t="n">
        <x:v>0</x:v>
      </x:c>
      <x:c r="N1289" t="str">
        <x:v>DerivedFromCount</x:v>
      </x:c>
      <x:c r="O1289" t="str">
        <x:v>PLC-PRD-JAR-720-L23</x:v>
      </x:c>
      <x:c r="P1289" t="str">
        <x:v>OK</x:v>
      </x:c>
      <x:c r="Q1289" t="str">
        <x:v>OK</x:v>
      </x:c>
      <x:c r="R1289" t="str">
        <x:v>OK</x:v>
      </x:c>
      <x:c r="S1289" t="str">
        <x:v>OK</x:v>
      </x:c>
      <x:c r="T1289" t="n">
        <x:v>24</x:v>
      </x:c>
      <x:c r="U1289" t="str">
        <x:v>OK</x:v>
      </x:c>
      <x:c r="V1289" t="str">
        <x:v>OK</x:v>
      </x:c>
      <x:c r="W1289" t="str">
        <x:v>LOAD</x:v>
      </x:c>
      <x:c r="X1289" t="str">
        <x:v>02_Supervisor_Log(4).xlsx</x:v>
      </x:c>
      <x:c r="Y1289" t="str">
        <x:v>ENH-20260830-01</x:v>
      </x:c>
      <x:c r="Z1289" t="str">
        <x:v>Active</x:v>
      </x:c>
      <x:c r="AA1289"/>
      <x:c r="AB1289"/>
      <x:c r="AC1289"/>
      <x:c r="AD1289"/>
    </x:row>
    <x:row r="1290">
      <x:c r="A1290" t="str">
        <x:v>PCC-PE-KG01-L23-20251022-AM-ORD-2025-00093-S13-C2</x:v>
      </x:c>
      <x:c r="B1290" t="str">
        <x:v>PC-PE-KG01-L23-20251022-AM-ORD-2025-00093-S13</x:v>
      </x:c>
      <x:c r="C1290" t="str">
        <x:v>PE-KG01-L23-20251022-AM-ORD-2025-00093</x:v>
      </x:c>
      <x:c r="D1290" t="str">
        <x:v>KG01</x:v>
      </x:c>
      <x:c r="E1290" s="62" t="n">
        <x:v>45952</x:v>
      </x:c>
      <x:c r="F1290" t="str">
        <x:v>AM</x:v>
      </x:c>
      <x:c r="G1290" t="str">
        <x:v>B</x:v>
      </x:c>
      <x:c r="H1290" t="n">
        <x:v>23</x:v>
      </x:c>
      <x:c r="I1290" t="str">
        <x:v>ORD-2025-00093</x:v>
      </x:c>
      <x:c r="J1290" t="n">
        <x:v>13</x:v>
      </x:c>
      <x:c r="K1290" t="n">
        <x:v>2</x:v>
      </x:c>
      <x:c r="L1290" t="str">
        <x:v>L23-S13-C2</x:v>
      </x:c>
      <x:c r="M1290" t="n">
        <x:v>0</x:v>
      </x:c>
      <x:c r="N1290" t="str">
        <x:v>DerivedFromCount</x:v>
      </x:c>
      <x:c r="O1290" t="str">
        <x:v>PLC-PRD-JAR-720-L23</x:v>
      </x:c>
      <x:c r="P1290" t="str">
        <x:v>OK</x:v>
      </x:c>
      <x:c r="Q1290" t="str">
        <x:v>OK</x:v>
      </x:c>
      <x:c r="R1290" t="str">
        <x:v>OK</x:v>
      </x:c>
      <x:c r="S1290" t="str">
        <x:v>OK</x:v>
      </x:c>
      <x:c r="T1290" t="n">
        <x:v>24</x:v>
      </x:c>
      <x:c r="U1290" t="str">
        <x:v>OK</x:v>
      </x:c>
      <x:c r="V1290" t="str">
        <x:v>OK</x:v>
      </x:c>
      <x:c r="W1290" t="str">
        <x:v>LOAD</x:v>
      </x:c>
      <x:c r="X1290" t="str">
        <x:v>02_Supervisor_Log(4).xlsx</x:v>
      </x:c>
      <x:c r="Y1290" t="str">
        <x:v>ENH-20260830-01</x:v>
      </x:c>
      <x:c r="Z1290" t="str">
        <x:v>Active</x:v>
      </x:c>
      <x:c r="AA1290"/>
      <x:c r="AB1290"/>
      <x:c r="AC1290"/>
      <x:c r="AD1290"/>
    </x:row>
    <x:row r="1291">
      <x:c r="A1291" t="str">
        <x:v>PCC-PE-KG01-L23-20251022-AM-ORD-2025-00093-S13-C3</x:v>
      </x:c>
      <x:c r="B1291" t="str">
        <x:v>PC-PE-KG01-L23-20251022-AM-ORD-2025-00093-S13</x:v>
      </x:c>
      <x:c r="C1291" t="str">
        <x:v>PE-KG01-L23-20251022-AM-ORD-2025-00093</x:v>
      </x:c>
      <x:c r="D1291" t="str">
        <x:v>KG01</x:v>
      </x:c>
      <x:c r="E1291" s="62" t="n">
        <x:v>45952</x:v>
      </x:c>
      <x:c r="F1291" t="str">
        <x:v>AM</x:v>
      </x:c>
      <x:c r="G1291" t="str">
        <x:v>B</x:v>
      </x:c>
      <x:c r="H1291" t="n">
        <x:v>23</x:v>
      </x:c>
      <x:c r="I1291" t="str">
        <x:v>ORD-2025-00093</x:v>
      </x:c>
      <x:c r="J1291" t="n">
        <x:v>13</x:v>
      </x:c>
      <x:c r="K1291" t="n">
        <x:v>3</x:v>
      </x:c>
      <x:c r="L1291" t="str">
        <x:v>L23-S13-C3</x:v>
      </x:c>
      <x:c r="M1291" t="n">
        <x:v>0</x:v>
      </x:c>
      <x:c r="N1291" t="str">
        <x:v>DerivedFromCount</x:v>
      </x:c>
      <x:c r="O1291" t="str">
        <x:v>PLC-PRD-JAR-720-L23</x:v>
      </x:c>
      <x:c r="P1291" t="str">
        <x:v>OK</x:v>
      </x:c>
      <x:c r="Q1291" t="str">
        <x:v>OK</x:v>
      </x:c>
      <x:c r="R1291" t="str">
        <x:v>OK</x:v>
      </x:c>
      <x:c r="S1291" t="str">
        <x:v>OK</x:v>
      </x:c>
      <x:c r="T1291" t="n">
        <x:v>24</x:v>
      </x:c>
      <x:c r="U1291" t="str">
        <x:v>OK</x:v>
      </x:c>
      <x:c r="V1291" t="str">
        <x:v>OK</x:v>
      </x:c>
      <x:c r="W1291" t="str">
        <x:v>LOAD</x:v>
      </x:c>
      <x:c r="X1291" t="str">
        <x:v>02_Supervisor_Log(4).xlsx</x:v>
      </x:c>
      <x:c r="Y1291" t="str">
        <x:v>ENH-20260830-01</x:v>
      </x:c>
      <x:c r="Z1291" t="str">
        <x:v>Active</x:v>
      </x:c>
      <x:c r="AA1291"/>
      <x:c r="AB1291"/>
      <x:c r="AC1291"/>
      <x:c r="AD1291"/>
    </x:row>
    <x:row r="1292">
      <x:c r="A1292" t="str">
        <x:v>PCC-PE-KG01-L23-20251022-PM-ORD-2025-00093-S01-C1</x:v>
      </x:c>
      <x:c r="B1292" t="str">
        <x:v>PC-PE-KG01-L23-20251022-PM-ORD-2025-00093-S01</x:v>
      </x:c>
      <x:c r="C1292" t="str">
        <x:v>PE-KG01-L23-20251022-PM-ORD-2025-00093</x:v>
      </x:c>
      <x:c r="D1292" t="str">
        <x:v>KG01</x:v>
      </x:c>
      <x:c r="E1292" s="62" t="n">
        <x:v>45952</x:v>
      </x:c>
      <x:c r="F1292" t="str">
        <x:v>PM</x:v>
      </x:c>
      <x:c r="G1292" t="str">
        <x:v>C</x:v>
      </x:c>
      <x:c r="H1292" t="n">
        <x:v>23</x:v>
      </x:c>
      <x:c r="I1292" t="str">
        <x:v>ORD-2025-00093</x:v>
      </x:c>
      <x:c r="J1292" t="n">
        <x:v>1</x:v>
      </x:c>
      <x:c r="K1292" t="n">
        <x:v>1</x:v>
      </x:c>
      <x:c r="L1292" t="str">
        <x:v>L23-S01-C1</x:v>
      </x:c>
      <x:c r="M1292" t="n">
        <x:v>1</x:v>
      </x:c>
      <x:c r="N1292" t="str">
        <x:v>DerivedFromCount</x:v>
      </x:c>
      <x:c r="O1292" t="str">
        <x:v>PLC-PRD-JAR-720-L23</x:v>
      </x:c>
      <x:c r="P1292" t="str">
        <x:v>OK</x:v>
      </x:c>
      <x:c r="Q1292" t="str">
        <x:v>OK</x:v>
      </x:c>
      <x:c r="R1292" t="str">
        <x:v>OK</x:v>
      </x:c>
      <x:c r="S1292" t="str">
        <x:v>OK</x:v>
      </x:c>
      <x:c r="T1292" t="n">
        <x:v>24</x:v>
      </x:c>
      <x:c r="U1292" t="str">
        <x:v>OK</x:v>
      </x:c>
      <x:c r="V1292" t="str">
        <x:v>OK</x:v>
      </x:c>
      <x:c r="W1292" t="str">
        <x:v>LOAD</x:v>
      </x:c>
      <x:c r="X1292" t="str">
        <x:v>02_Supervisor_Log(4).xlsx</x:v>
      </x:c>
      <x:c r="Y1292" t="str">
        <x:v>ENH-20260830-01</x:v>
      </x:c>
      <x:c r="Z1292" t="str">
        <x:v>Active</x:v>
      </x:c>
      <x:c r="AA1292"/>
      <x:c r="AB1292"/>
      <x:c r="AC1292"/>
      <x:c r="AD1292"/>
    </x:row>
    <x:row r="1293">
      <x:c r="A1293" t="str">
        <x:v>PCC-PE-KG01-L23-20251022-PM-ORD-2025-00093-S01-C2</x:v>
      </x:c>
      <x:c r="B1293" t="str">
        <x:v>PC-PE-KG01-L23-20251022-PM-ORD-2025-00093-S01</x:v>
      </x:c>
      <x:c r="C1293" t="str">
        <x:v>PE-KG01-L23-20251022-PM-ORD-2025-00093</x:v>
      </x:c>
      <x:c r="D1293" t="str">
        <x:v>KG01</x:v>
      </x:c>
      <x:c r="E1293" s="62" t="n">
        <x:v>45952</x:v>
      </x:c>
      <x:c r="F1293" t="str">
        <x:v>PM</x:v>
      </x:c>
      <x:c r="G1293" t="str">
        <x:v>C</x:v>
      </x:c>
      <x:c r="H1293" t="n">
        <x:v>23</x:v>
      </x:c>
      <x:c r="I1293" t="str">
        <x:v>ORD-2025-00093</x:v>
      </x:c>
      <x:c r="J1293" t="n">
        <x:v>1</x:v>
      </x:c>
      <x:c r="K1293" t="n">
        <x:v>2</x:v>
      </x:c>
      <x:c r="L1293" t="str">
        <x:v>L23-S01-C2</x:v>
      </x:c>
      <x:c r="M1293" t="n">
        <x:v>1</x:v>
      </x:c>
      <x:c r="N1293" t="str">
        <x:v>DerivedFromCount</x:v>
      </x:c>
      <x:c r="O1293" t="str">
        <x:v>PLC-PRD-JAR-720-L23</x:v>
      </x:c>
      <x:c r="P1293" t="str">
        <x:v>OK</x:v>
      </x:c>
      <x:c r="Q1293" t="str">
        <x:v>OK</x:v>
      </x:c>
      <x:c r="R1293" t="str">
        <x:v>OK</x:v>
      </x:c>
      <x:c r="S1293" t="str">
        <x:v>OK</x:v>
      </x:c>
      <x:c r="T1293" t="n">
        <x:v>24</x:v>
      </x:c>
      <x:c r="U1293" t="str">
        <x:v>OK</x:v>
      </x:c>
      <x:c r="V1293" t="str">
        <x:v>OK</x:v>
      </x:c>
      <x:c r="W1293" t="str">
        <x:v>LOAD</x:v>
      </x:c>
      <x:c r="X1293" t="str">
        <x:v>02_Supervisor_Log(4).xlsx</x:v>
      </x:c>
      <x:c r="Y1293" t="str">
        <x:v>ENH-20260830-01</x:v>
      </x:c>
      <x:c r="Z1293" t="str">
        <x:v>Active</x:v>
      </x:c>
      <x:c r="AA1293"/>
      <x:c r="AB1293"/>
      <x:c r="AC1293"/>
      <x:c r="AD1293"/>
    </x:row>
    <x:row r="1294">
      <x:c r="A1294" t="str">
        <x:v>PCC-PE-KG01-L23-20251022-PM-ORD-2025-00093-S01-C3</x:v>
      </x:c>
      <x:c r="B1294" t="str">
        <x:v>PC-PE-KG01-L23-20251022-PM-ORD-2025-00093-S01</x:v>
      </x:c>
      <x:c r="C1294" t="str">
        <x:v>PE-KG01-L23-20251022-PM-ORD-2025-00093</x:v>
      </x:c>
      <x:c r="D1294" t="str">
        <x:v>KG01</x:v>
      </x:c>
      <x:c r="E1294" s="62" t="n">
        <x:v>45952</x:v>
      </x:c>
      <x:c r="F1294" t="str">
        <x:v>PM</x:v>
      </x:c>
      <x:c r="G1294" t="str">
        <x:v>C</x:v>
      </x:c>
      <x:c r="H1294" t="n">
        <x:v>23</x:v>
      </x:c>
      <x:c r="I1294" t="str">
        <x:v>ORD-2025-00093</x:v>
      </x:c>
      <x:c r="J1294" t="n">
        <x:v>1</x:v>
      </x:c>
      <x:c r="K1294" t="n">
        <x:v>3</x:v>
      </x:c>
      <x:c r="L1294" t="str">
        <x:v>L23-S01-C3</x:v>
      </x:c>
      <x:c r="M1294" t="n">
        <x:v>0</x:v>
      </x:c>
      <x:c r="N1294" t="str">
        <x:v>DerivedFromCount</x:v>
      </x:c>
      <x:c r="O1294" t="str">
        <x:v>PLC-PRD-JAR-720-L23</x:v>
      </x:c>
      <x:c r="P1294" t="str">
        <x:v>OK</x:v>
      </x:c>
      <x:c r="Q1294" t="str">
        <x:v>OK</x:v>
      </x:c>
      <x:c r="R1294" t="str">
        <x:v>OK</x:v>
      </x:c>
      <x:c r="S1294" t="str">
        <x:v>OK</x:v>
      </x:c>
      <x:c r="T1294" t="n">
        <x:v>24</x:v>
      </x:c>
      <x:c r="U1294" t="str">
        <x:v>OK</x:v>
      </x:c>
      <x:c r="V1294" t="str">
        <x:v>OK</x:v>
      </x:c>
      <x:c r="W1294" t="str">
        <x:v>LOAD</x:v>
      </x:c>
      <x:c r="X1294" t="str">
        <x:v>02_Supervisor_Log(4).xlsx</x:v>
      </x:c>
      <x:c r="Y1294" t="str">
        <x:v>ENH-20260830-01</x:v>
      </x:c>
      <x:c r="Z1294" t="str">
        <x:v>Active</x:v>
      </x:c>
      <x:c r="AA1294"/>
      <x:c r="AB1294"/>
      <x:c r="AC1294"/>
      <x:c r="AD1294"/>
    </x:row>
    <x:row r="1295">
      <x:c r="A1295" t="str">
        <x:v>PCC-PE-KG01-L23-20251022-PM-ORD-2025-00093-S02-C1</x:v>
      </x:c>
      <x:c r="B1295" t="str">
        <x:v>PC-PE-KG01-L23-20251022-PM-ORD-2025-00093-S02</x:v>
      </x:c>
      <x:c r="C1295" t="str">
        <x:v>PE-KG01-L23-20251022-PM-ORD-2025-00093</x:v>
      </x:c>
      <x:c r="D1295" t="str">
        <x:v>KG01</x:v>
      </x:c>
      <x:c r="E1295" s="62" t="n">
        <x:v>45952</x:v>
      </x:c>
      <x:c r="F1295" t="str">
        <x:v>PM</x:v>
      </x:c>
      <x:c r="G1295" t="str">
        <x:v>C</x:v>
      </x:c>
      <x:c r="H1295" t="n">
        <x:v>23</x:v>
      </x:c>
      <x:c r="I1295" t="str">
        <x:v>ORD-2025-00093</x:v>
      </x:c>
      <x:c r="J1295" t="n">
        <x:v>2</x:v>
      </x:c>
      <x:c r="K1295" t="n">
        <x:v>1</x:v>
      </x:c>
      <x:c r="L1295" t="str">
        <x:v>L23-S02-C1</x:v>
      </x:c>
      <x:c r="M1295" t="n">
        <x:v>1</x:v>
      </x:c>
      <x:c r="N1295" t="str">
        <x:v>DerivedFromCount</x:v>
      </x:c>
      <x:c r="O1295" t="str">
        <x:v>PLC-PRD-JAR-720-L23</x:v>
      </x:c>
      <x:c r="P1295" t="str">
        <x:v>OK</x:v>
      </x:c>
      <x:c r="Q1295" t="str">
        <x:v>OK</x:v>
      </x:c>
      <x:c r="R1295" t="str">
        <x:v>OK</x:v>
      </x:c>
      <x:c r="S1295" t="str">
        <x:v>OK</x:v>
      </x:c>
      <x:c r="T1295" t="n">
        <x:v>24</x:v>
      </x:c>
      <x:c r="U1295" t="str">
        <x:v>OK</x:v>
      </x:c>
      <x:c r="V1295" t="str">
        <x:v>OK</x:v>
      </x:c>
      <x:c r="W1295" t="str">
        <x:v>LOAD</x:v>
      </x:c>
      <x:c r="X1295" t="str">
        <x:v>02_Supervisor_Log(4).xlsx</x:v>
      </x:c>
      <x:c r="Y1295" t="str">
        <x:v>ENH-20260830-01</x:v>
      </x:c>
      <x:c r="Z1295" t="str">
        <x:v>Active</x:v>
      </x:c>
      <x:c r="AA1295"/>
      <x:c r="AB1295"/>
      <x:c r="AC1295"/>
      <x:c r="AD1295"/>
    </x:row>
    <x:row r="1296">
      <x:c r="A1296" t="str">
        <x:v>PCC-PE-KG01-L23-20251022-PM-ORD-2025-00093-S02-C2</x:v>
      </x:c>
      <x:c r="B1296" t="str">
        <x:v>PC-PE-KG01-L23-20251022-PM-ORD-2025-00093-S02</x:v>
      </x:c>
      <x:c r="C1296" t="str">
        <x:v>PE-KG01-L23-20251022-PM-ORD-2025-00093</x:v>
      </x:c>
      <x:c r="D1296" t="str">
        <x:v>KG01</x:v>
      </x:c>
      <x:c r="E1296" s="62" t="n">
        <x:v>45952</x:v>
      </x:c>
      <x:c r="F1296" t="str">
        <x:v>PM</x:v>
      </x:c>
      <x:c r="G1296" t="str">
        <x:v>C</x:v>
      </x:c>
      <x:c r="H1296" t="n">
        <x:v>23</x:v>
      </x:c>
      <x:c r="I1296" t="str">
        <x:v>ORD-2025-00093</x:v>
      </x:c>
      <x:c r="J1296" t="n">
        <x:v>2</x:v>
      </x:c>
      <x:c r="K1296" t="n">
        <x:v>2</x:v>
      </x:c>
      <x:c r="L1296" t="str">
        <x:v>L23-S02-C2</x:v>
      </x:c>
      <x:c r="M1296" t="n">
        <x:v>1</x:v>
      </x:c>
      <x:c r="N1296" t="str">
        <x:v>DerivedFromCount</x:v>
      </x:c>
      <x:c r="O1296" t="str">
        <x:v>PLC-PRD-JAR-720-L23</x:v>
      </x:c>
      <x:c r="P1296" t="str">
        <x:v>OK</x:v>
      </x:c>
      <x:c r="Q1296" t="str">
        <x:v>OK</x:v>
      </x:c>
      <x:c r="R1296" t="str">
        <x:v>OK</x:v>
      </x:c>
      <x:c r="S1296" t="str">
        <x:v>OK</x:v>
      </x:c>
      <x:c r="T1296" t="n">
        <x:v>24</x:v>
      </x:c>
      <x:c r="U1296" t="str">
        <x:v>OK</x:v>
      </x:c>
      <x:c r="V1296" t="str">
        <x:v>OK</x:v>
      </x:c>
      <x:c r="W1296" t="str">
        <x:v>LOAD</x:v>
      </x:c>
      <x:c r="X1296" t="str">
        <x:v>02_Supervisor_Log(4).xlsx</x:v>
      </x:c>
      <x:c r="Y1296" t="str">
        <x:v>ENH-20260830-01</x:v>
      </x:c>
      <x:c r="Z1296" t="str">
        <x:v>Active</x:v>
      </x:c>
      <x:c r="AA1296"/>
      <x:c r="AB1296"/>
      <x:c r="AC1296"/>
      <x:c r="AD1296"/>
    </x:row>
    <x:row r="1297">
      <x:c r="A1297" t="str">
        <x:v>PCC-PE-KG01-L23-20251022-PM-ORD-2025-00093-S02-C3</x:v>
      </x:c>
      <x:c r="B1297" t="str">
        <x:v>PC-PE-KG01-L23-20251022-PM-ORD-2025-00093-S02</x:v>
      </x:c>
      <x:c r="C1297" t="str">
        <x:v>PE-KG01-L23-20251022-PM-ORD-2025-00093</x:v>
      </x:c>
      <x:c r="D1297" t="str">
        <x:v>KG01</x:v>
      </x:c>
      <x:c r="E1297" s="62" t="n">
        <x:v>45952</x:v>
      </x:c>
      <x:c r="F1297" t="str">
        <x:v>PM</x:v>
      </x:c>
      <x:c r="G1297" t="str">
        <x:v>C</x:v>
      </x:c>
      <x:c r="H1297" t="n">
        <x:v>23</x:v>
      </x:c>
      <x:c r="I1297" t="str">
        <x:v>ORD-2025-00093</x:v>
      </x:c>
      <x:c r="J1297" t="n">
        <x:v>2</x:v>
      </x:c>
      <x:c r="K1297" t="n">
        <x:v>3</x:v>
      </x:c>
      <x:c r="L1297" t="str">
        <x:v>L23-S02-C3</x:v>
      </x:c>
      <x:c r="M1297" t="n">
        <x:v>0</x:v>
      </x:c>
      <x:c r="N1297" t="str">
        <x:v>DerivedFromCount</x:v>
      </x:c>
      <x:c r="O1297" t="str">
        <x:v>PLC-PRD-JAR-720-L23</x:v>
      </x:c>
      <x:c r="P1297" t="str">
        <x:v>OK</x:v>
      </x:c>
      <x:c r="Q1297" t="str">
        <x:v>OK</x:v>
      </x:c>
      <x:c r="R1297" t="str">
        <x:v>OK</x:v>
      </x:c>
      <x:c r="S1297" t="str">
        <x:v>OK</x:v>
      </x:c>
      <x:c r="T1297" t="n">
        <x:v>24</x:v>
      </x:c>
      <x:c r="U1297" t="str">
        <x:v>OK</x:v>
      </x:c>
      <x:c r="V1297" t="str">
        <x:v>OK</x:v>
      </x:c>
      <x:c r="W1297" t="str">
        <x:v>LOAD</x:v>
      </x:c>
      <x:c r="X1297" t="str">
        <x:v>02_Supervisor_Log(4).xlsx</x:v>
      </x:c>
      <x:c r="Y1297" t="str">
        <x:v>ENH-20260830-01</x:v>
      </x:c>
      <x:c r="Z1297" t="str">
        <x:v>Active</x:v>
      </x:c>
      <x:c r="AA1297"/>
      <x:c r="AB1297"/>
      <x:c r="AC1297"/>
      <x:c r="AD1297"/>
    </x:row>
    <x:row r="1298">
      <x:c r="A1298" t="str">
        <x:v>PCC-PE-KG01-L23-20251022-PM-ORD-2025-00093-S03-C1</x:v>
      </x:c>
      <x:c r="B1298" t="str">
        <x:v>PC-PE-KG01-L23-20251022-PM-ORD-2025-00093-S03</x:v>
      </x:c>
      <x:c r="C1298" t="str">
        <x:v>PE-KG01-L23-20251022-PM-ORD-2025-00093</x:v>
      </x:c>
      <x:c r="D1298" t="str">
        <x:v>KG01</x:v>
      </x:c>
      <x:c r="E1298" s="62" t="n">
        <x:v>45952</x:v>
      </x:c>
      <x:c r="F1298" t="str">
        <x:v>PM</x:v>
      </x:c>
      <x:c r="G1298" t="str">
        <x:v>C</x:v>
      </x:c>
      <x:c r="H1298" t="n">
        <x:v>23</x:v>
      </x:c>
      <x:c r="I1298" t="str">
        <x:v>ORD-2025-00093</x:v>
      </x:c>
      <x:c r="J1298" t="n">
        <x:v>3</x:v>
      </x:c>
      <x:c r="K1298" t="n">
        <x:v>1</x:v>
      </x:c>
      <x:c r="L1298" t="str">
        <x:v>L23-S03-C1</x:v>
      </x:c>
      <x:c r="M1298" t="n">
        <x:v>1</x:v>
      </x:c>
      <x:c r="N1298" t="str">
        <x:v>DerivedFromCount</x:v>
      </x:c>
      <x:c r="O1298" t="str">
        <x:v>PLC-PRD-JAR-720-L23</x:v>
      </x:c>
      <x:c r="P1298" t="str">
        <x:v>OK</x:v>
      </x:c>
      <x:c r="Q1298" t="str">
        <x:v>OK</x:v>
      </x:c>
      <x:c r="R1298" t="str">
        <x:v>OK</x:v>
      </x:c>
      <x:c r="S1298" t="str">
        <x:v>OK</x:v>
      </x:c>
      <x:c r="T1298" t="n">
        <x:v>24</x:v>
      </x:c>
      <x:c r="U1298" t="str">
        <x:v>OK</x:v>
      </x:c>
      <x:c r="V1298" t="str">
        <x:v>OK</x:v>
      </x:c>
      <x:c r="W1298" t="str">
        <x:v>LOAD</x:v>
      </x:c>
      <x:c r="X1298" t="str">
        <x:v>02_Supervisor_Log(4).xlsx</x:v>
      </x:c>
      <x:c r="Y1298" t="str">
        <x:v>ENH-20260830-01</x:v>
      </x:c>
      <x:c r="Z1298" t="str">
        <x:v>Active</x:v>
      </x:c>
      <x:c r="AA1298"/>
      <x:c r="AB1298"/>
      <x:c r="AC1298"/>
      <x:c r="AD1298"/>
    </x:row>
    <x:row r="1299">
      <x:c r="A1299" t="str">
        <x:v>PCC-PE-KG01-L23-20251022-PM-ORD-2025-00093-S03-C2</x:v>
      </x:c>
      <x:c r="B1299" t="str">
        <x:v>PC-PE-KG01-L23-20251022-PM-ORD-2025-00093-S03</x:v>
      </x:c>
      <x:c r="C1299" t="str">
        <x:v>PE-KG01-L23-20251022-PM-ORD-2025-00093</x:v>
      </x:c>
      <x:c r="D1299" t="str">
        <x:v>KG01</x:v>
      </x:c>
      <x:c r="E1299" s="62" t="n">
        <x:v>45952</x:v>
      </x:c>
      <x:c r="F1299" t="str">
        <x:v>PM</x:v>
      </x:c>
      <x:c r="G1299" t="str">
        <x:v>C</x:v>
      </x:c>
      <x:c r="H1299" t="n">
        <x:v>23</x:v>
      </x:c>
      <x:c r="I1299" t="str">
        <x:v>ORD-2025-00093</x:v>
      </x:c>
      <x:c r="J1299" t="n">
        <x:v>3</x:v>
      </x:c>
      <x:c r="K1299" t="n">
        <x:v>2</x:v>
      </x:c>
      <x:c r="L1299" t="str">
        <x:v>L23-S03-C2</x:v>
      </x:c>
      <x:c r="M1299" t="n">
        <x:v>1</x:v>
      </x:c>
      <x:c r="N1299" t="str">
        <x:v>DerivedFromCount</x:v>
      </x:c>
      <x:c r="O1299" t="str">
        <x:v>PLC-PRD-JAR-720-L23</x:v>
      </x:c>
      <x:c r="P1299" t="str">
        <x:v>OK</x:v>
      </x:c>
      <x:c r="Q1299" t="str">
        <x:v>OK</x:v>
      </x:c>
      <x:c r="R1299" t="str">
        <x:v>OK</x:v>
      </x:c>
      <x:c r="S1299" t="str">
        <x:v>OK</x:v>
      </x:c>
      <x:c r="T1299" t="n">
        <x:v>24</x:v>
      </x:c>
      <x:c r="U1299" t="str">
        <x:v>OK</x:v>
      </x:c>
      <x:c r="V1299" t="str">
        <x:v>OK</x:v>
      </x:c>
      <x:c r="W1299" t="str">
        <x:v>LOAD</x:v>
      </x:c>
      <x:c r="X1299" t="str">
        <x:v>02_Supervisor_Log(4).xlsx</x:v>
      </x:c>
      <x:c r="Y1299" t="str">
        <x:v>ENH-20260830-01</x:v>
      </x:c>
      <x:c r="Z1299" t="str">
        <x:v>Active</x:v>
      </x:c>
      <x:c r="AA1299"/>
      <x:c r="AB1299"/>
      <x:c r="AC1299"/>
      <x:c r="AD1299"/>
    </x:row>
    <x:row r="1300">
      <x:c r="A1300" t="str">
        <x:v>PCC-PE-KG01-L23-20251022-PM-ORD-2025-00093-S03-C3</x:v>
      </x:c>
      <x:c r="B1300" t="str">
        <x:v>PC-PE-KG01-L23-20251022-PM-ORD-2025-00093-S03</x:v>
      </x:c>
      <x:c r="C1300" t="str">
        <x:v>PE-KG01-L23-20251022-PM-ORD-2025-00093</x:v>
      </x:c>
      <x:c r="D1300" t="str">
        <x:v>KG01</x:v>
      </x:c>
      <x:c r="E1300" s="62" t="n">
        <x:v>45952</x:v>
      </x:c>
      <x:c r="F1300" t="str">
        <x:v>PM</x:v>
      </x:c>
      <x:c r="G1300" t="str">
        <x:v>C</x:v>
      </x:c>
      <x:c r="H1300" t="n">
        <x:v>23</x:v>
      </x:c>
      <x:c r="I1300" t="str">
        <x:v>ORD-2025-00093</x:v>
      </x:c>
      <x:c r="J1300" t="n">
        <x:v>3</x:v>
      </x:c>
      <x:c r="K1300" t="n">
        <x:v>3</x:v>
      </x:c>
      <x:c r="L1300" t="str">
        <x:v>L23-S03-C3</x:v>
      </x:c>
      <x:c r="M1300" t="n">
        <x:v>0</x:v>
      </x:c>
      <x:c r="N1300" t="str">
        <x:v>DerivedFromCount</x:v>
      </x:c>
      <x:c r="O1300" t="str">
        <x:v>PLC-PRD-JAR-720-L23</x:v>
      </x:c>
      <x:c r="P1300" t="str">
        <x:v>OK</x:v>
      </x:c>
      <x:c r="Q1300" t="str">
        <x:v>OK</x:v>
      </x:c>
      <x:c r="R1300" t="str">
        <x:v>OK</x:v>
      </x:c>
      <x:c r="S1300" t="str">
        <x:v>OK</x:v>
      </x:c>
      <x:c r="T1300" t="n">
        <x:v>24</x:v>
      </x:c>
      <x:c r="U1300" t="str">
        <x:v>OK</x:v>
      </x:c>
      <x:c r="V1300" t="str">
        <x:v>OK</x:v>
      </x:c>
      <x:c r="W1300" t="str">
        <x:v>LOAD</x:v>
      </x:c>
      <x:c r="X1300" t="str">
        <x:v>02_Supervisor_Log(4).xlsx</x:v>
      </x:c>
      <x:c r="Y1300" t="str">
        <x:v>ENH-20260830-01</x:v>
      </x:c>
      <x:c r="Z1300" t="str">
        <x:v>Active</x:v>
      </x:c>
      <x:c r="AA1300"/>
      <x:c r="AB1300"/>
      <x:c r="AC1300"/>
      <x:c r="AD1300"/>
    </x:row>
    <x:row r="1301">
      <x:c r="A1301" t="str">
        <x:v>PCC-PE-KG01-L23-20251022-PM-ORD-2025-00093-S04-C1</x:v>
      </x:c>
      <x:c r="B1301" t="str">
        <x:v>PC-PE-KG01-L23-20251022-PM-ORD-2025-00093-S04</x:v>
      </x:c>
      <x:c r="C1301" t="str">
        <x:v>PE-KG01-L23-20251022-PM-ORD-2025-00093</x:v>
      </x:c>
      <x:c r="D1301" t="str">
        <x:v>KG01</x:v>
      </x:c>
      <x:c r="E1301" s="62" t="n">
        <x:v>45952</x:v>
      </x:c>
      <x:c r="F1301" t="str">
        <x:v>PM</x:v>
      </x:c>
      <x:c r="G1301" t="str">
        <x:v>C</x:v>
      </x:c>
      <x:c r="H1301" t="n">
        <x:v>23</x:v>
      </x:c>
      <x:c r="I1301" t="str">
        <x:v>ORD-2025-00093</x:v>
      </x:c>
      <x:c r="J1301" t="n">
        <x:v>4</x:v>
      </x:c>
      <x:c r="K1301" t="n">
        <x:v>1</x:v>
      </x:c>
      <x:c r="L1301" t="str">
        <x:v>L23-S04-C1</x:v>
      </x:c>
      <x:c r="M1301" t="n">
        <x:v>1</x:v>
      </x:c>
      <x:c r="N1301" t="str">
        <x:v>DerivedFromCount</x:v>
      </x:c>
      <x:c r="O1301" t="str">
        <x:v>PLC-PRD-JAR-720-L23</x:v>
      </x:c>
      <x:c r="P1301" t="str">
        <x:v>OK</x:v>
      </x:c>
      <x:c r="Q1301" t="str">
        <x:v>OK</x:v>
      </x:c>
      <x:c r="R1301" t="str">
        <x:v>OK</x:v>
      </x:c>
      <x:c r="S1301" t="str">
        <x:v>OK</x:v>
      </x:c>
      <x:c r="T1301" t="n">
        <x:v>24</x:v>
      </x:c>
      <x:c r="U1301" t="str">
        <x:v>OK</x:v>
      </x:c>
      <x:c r="V1301" t="str">
        <x:v>OK</x:v>
      </x:c>
      <x:c r="W1301" t="str">
        <x:v>LOAD</x:v>
      </x:c>
      <x:c r="X1301" t="str">
        <x:v>02_Supervisor_Log(4).xlsx</x:v>
      </x:c>
      <x:c r="Y1301" t="str">
        <x:v>ENH-20260830-01</x:v>
      </x:c>
      <x:c r="Z1301" t="str">
        <x:v>Active</x:v>
      </x:c>
      <x:c r="AA1301"/>
      <x:c r="AB1301"/>
      <x:c r="AC1301"/>
      <x:c r="AD1301"/>
    </x:row>
    <x:row r="1302">
      <x:c r="A1302" t="str">
        <x:v>PCC-PE-KG01-L23-20251022-PM-ORD-2025-00093-S04-C2</x:v>
      </x:c>
      <x:c r="B1302" t="str">
        <x:v>PC-PE-KG01-L23-20251022-PM-ORD-2025-00093-S04</x:v>
      </x:c>
      <x:c r="C1302" t="str">
        <x:v>PE-KG01-L23-20251022-PM-ORD-2025-00093</x:v>
      </x:c>
      <x:c r="D1302" t="str">
        <x:v>KG01</x:v>
      </x:c>
      <x:c r="E1302" s="62" t="n">
        <x:v>45952</x:v>
      </x:c>
      <x:c r="F1302" t="str">
        <x:v>PM</x:v>
      </x:c>
      <x:c r="G1302" t="str">
        <x:v>C</x:v>
      </x:c>
      <x:c r="H1302" t="n">
        <x:v>23</x:v>
      </x:c>
      <x:c r="I1302" t="str">
        <x:v>ORD-2025-00093</x:v>
      </x:c>
      <x:c r="J1302" t="n">
        <x:v>4</x:v>
      </x:c>
      <x:c r="K1302" t="n">
        <x:v>2</x:v>
      </x:c>
      <x:c r="L1302" t="str">
        <x:v>L23-S04-C2</x:v>
      </x:c>
      <x:c r="M1302" t="n">
        <x:v>1</x:v>
      </x:c>
      <x:c r="N1302" t="str">
        <x:v>DerivedFromCount</x:v>
      </x:c>
      <x:c r="O1302" t="str">
        <x:v>PLC-PRD-JAR-720-L23</x:v>
      </x:c>
      <x:c r="P1302" t="str">
        <x:v>OK</x:v>
      </x:c>
      <x:c r="Q1302" t="str">
        <x:v>OK</x:v>
      </x:c>
      <x:c r="R1302" t="str">
        <x:v>OK</x:v>
      </x:c>
      <x:c r="S1302" t="str">
        <x:v>OK</x:v>
      </x:c>
      <x:c r="T1302" t="n">
        <x:v>24</x:v>
      </x:c>
      <x:c r="U1302" t="str">
        <x:v>OK</x:v>
      </x:c>
      <x:c r="V1302" t="str">
        <x:v>OK</x:v>
      </x:c>
      <x:c r="W1302" t="str">
        <x:v>LOAD</x:v>
      </x:c>
      <x:c r="X1302" t="str">
        <x:v>02_Supervisor_Log(4).xlsx</x:v>
      </x:c>
      <x:c r="Y1302" t="str">
        <x:v>ENH-20260830-01</x:v>
      </x:c>
      <x:c r="Z1302" t="str">
        <x:v>Active</x:v>
      </x:c>
      <x:c r="AA1302"/>
      <x:c r="AB1302"/>
      <x:c r="AC1302"/>
      <x:c r="AD1302"/>
    </x:row>
    <x:row r="1303">
      <x:c r="A1303" t="str">
        <x:v>PCC-PE-KG01-L23-20251022-PM-ORD-2025-00093-S04-C3</x:v>
      </x:c>
      <x:c r="B1303" t="str">
        <x:v>PC-PE-KG01-L23-20251022-PM-ORD-2025-00093-S04</x:v>
      </x:c>
      <x:c r="C1303" t="str">
        <x:v>PE-KG01-L23-20251022-PM-ORD-2025-00093</x:v>
      </x:c>
      <x:c r="D1303" t="str">
        <x:v>KG01</x:v>
      </x:c>
      <x:c r="E1303" s="62" t="n">
        <x:v>45952</x:v>
      </x:c>
      <x:c r="F1303" t="str">
        <x:v>PM</x:v>
      </x:c>
      <x:c r="G1303" t="str">
        <x:v>C</x:v>
      </x:c>
      <x:c r="H1303" t="n">
        <x:v>23</x:v>
      </x:c>
      <x:c r="I1303" t="str">
        <x:v>ORD-2025-00093</x:v>
      </x:c>
      <x:c r="J1303" t="n">
        <x:v>4</x:v>
      </x:c>
      <x:c r="K1303" t="n">
        <x:v>3</x:v>
      </x:c>
      <x:c r="L1303" t="str">
        <x:v>L23-S04-C3</x:v>
      </x:c>
      <x:c r="M1303" t="n">
        <x:v>0</x:v>
      </x:c>
      <x:c r="N1303" t="str">
        <x:v>DerivedFromCount</x:v>
      </x:c>
      <x:c r="O1303" t="str">
        <x:v>PLC-PRD-JAR-720-L23</x:v>
      </x:c>
      <x:c r="P1303" t="str">
        <x:v>OK</x:v>
      </x:c>
      <x:c r="Q1303" t="str">
        <x:v>OK</x:v>
      </x:c>
      <x:c r="R1303" t="str">
        <x:v>OK</x:v>
      </x:c>
      <x:c r="S1303" t="str">
        <x:v>OK</x:v>
      </x:c>
      <x:c r="T1303" t="n">
        <x:v>24</x:v>
      </x:c>
      <x:c r="U1303" t="str">
        <x:v>OK</x:v>
      </x:c>
      <x:c r="V1303" t="str">
        <x:v>OK</x:v>
      </x:c>
      <x:c r="W1303" t="str">
        <x:v>LOAD</x:v>
      </x:c>
      <x:c r="X1303" t="str">
        <x:v>02_Supervisor_Log(4).xlsx</x:v>
      </x:c>
      <x:c r="Y1303" t="str">
        <x:v>ENH-20260830-01</x:v>
      </x:c>
      <x:c r="Z1303" t="str">
        <x:v>Active</x:v>
      </x:c>
      <x:c r="AA1303"/>
      <x:c r="AB1303"/>
      <x:c r="AC1303"/>
      <x:c r="AD1303"/>
    </x:row>
    <x:row r="1304">
      <x:c r="A1304" t="str">
        <x:v>PCC-PE-KG01-L23-20251022-PM-ORD-2025-00093-S05-C1</x:v>
      </x:c>
      <x:c r="B1304" t="str">
        <x:v>PC-PE-KG01-L23-20251022-PM-ORD-2025-00093-S05</x:v>
      </x:c>
      <x:c r="C1304" t="str">
        <x:v>PE-KG01-L23-20251022-PM-ORD-2025-00093</x:v>
      </x:c>
      <x:c r="D1304" t="str">
        <x:v>KG01</x:v>
      </x:c>
      <x:c r="E1304" s="62" t="n">
        <x:v>45952</x:v>
      </x:c>
      <x:c r="F1304" t="str">
        <x:v>PM</x:v>
      </x:c>
      <x:c r="G1304" t="str">
        <x:v>C</x:v>
      </x:c>
      <x:c r="H1304" t="n">
        <x:v>23</x:v>
      </x:c>
      <x:c r="I1304" t="str">
        <x:v>ORD-2025-00093</x:v>
      </x:c>
      <x:c r="J1304" t="n">
        <x:v>5</x:v>
      </x:c>
      <x:c r="K1304" t="n">
        <x:v>1</x:v>
      </x:c>
      <x:c r="L1304" t="str">
        <x:v>L23-S05-C1</x:v>
      </x:c>
      <x:c r="M1304" t="n">
        <x:v>1</x:v>
      </x:c>
      <x:c r="N1304" t="str">
        <x:v>DerivedFromCount</x:v>
      </x:c>
      <x:c r="O1304" t="str">
        <x:v>PLC-PRD-JAR-720-L23</x:v>
      </x:c>
      <x:c r="P1304" t="str">
        <x:v>OK</x:v>
      </x:c>
      <x:c r="Q1304" t="str">
        <x:v>OK</x:v>
      </x:c>
      <x:c r="R1304" t="str">
        <x:v>OK</x:v>
      </x:c>
      <x:c r="S1304" t="str">
        <x:v>OK</x:v>
      </x:c>
      <x:c r="T1304" t="n">
        <x:v>24</x:v>
      </x:c>
      <x:c r="U1304" t="str">
        <x:v>OK</x:v>
      </x:c>
      <x:c r="V1304" t="str">
        <x:v>OK</x:v>
      </x:c>
      <x:c r="W1304" t="str">
        <x:v>LOAD</x:v>
      </x:c>
      <x:c r="X1304" t="str">
        <x:v>02_Supervisor_Log(4).xlsx</x:v>
      </x:c>
      <x:c r="Y1304" t="str">
        <x:v>ENH-20260830-01</x:v>
      </x:c>
      <x:c r="Z1304" t="str">
        <x:v>Active</x:v>
      </x:c>
      <x:c r="AA1304"/>
      <x:c r="AB1304"/>
      <x:c r="AC1304"/>
      <x:c r="AD1304"/>
    </x:row>
    <x:row r="1305">
      <x:c r="A1305" t="str">
        <x:v>PCC-PE-KG01-L23-20251022-PM-ORD-2025-00093-S05-C2</x:v>
      </x:c>
      <x:c r="B1305" t="str">
        <x:v>PC-PE-KG01-L23-20251022-PM-ORD-2025-00093-S05</x:v>
      </x:c>
      <x:c r="C1305" t="str">
        <x:v>PE-KG01-L23-20251022-PM-ORD-2025-00093</x:v>
      </x:c>
      <x:c r="D1305" t="str">
        <x:v>KG01</x:v>
      </x:c>
      <x:c r="E1305" s="62" t="n">
        <x:v>45952</x:v>
      </x:c>
      <x:c r="F1305" t="str">
        <x:v>PM</x:v>
      </x:c>
      <x:c r="G1305" t="str">
        <x:v>C</x:v>
      </x:c>
      <x:c r="H1305" t="n">
        <x:v>23</x:v>
      </x:c>
      <x:c r="I1305" t="str">
        <x:v>ORD-2025-00093</x:v>
      </x:c>
      <x:c r="J1305" t="n">
        <x:v>5</x:v>
      </x:c>
      <x:c r="K1305" t="n">
        <x:v>2</x:v>
      </x:c>
      <x:c r="L1305" t="str">
        <x:v>L23-S05-C2</x:v>
      </x:c>
      <x:c r="M1305" t="n">
        <x:v>1</x:v>
      </x:c>
      <x:c r="N1305" t="str">
        <x:v>DerivedFromCount</x:v>
      </x:c>
      <x:c r="O1305" t="str">
        <x:v>PLC-PRD-JAR-720-L23</x:v>
      </x:c>
      <x:c r="P1305" t="str">
        <x:v>OK</x:v>
      </x:c>
      <x:c r="Q1305" t="str">
        <x:v>OK</x:v>
      </x:c>
      <x:c r="R1305" t="str">
        <x:v>OK</x:v>
      </x:c>
      <x:c r="S1305" t="str">
        <x:v>OK</x:v>
      </x:c>
      <x:c r="T1305" t="n">
        <x:v>24</x:v>
      </x:c>
      <x:c r="U1305" t="str">
        <x:v>OK</x:v>
      </x:c>
      <x:c r="V1305" t="str">
        <x:v>OK</x:v>
      </x:c>
      <x:c r="W1305" t="str">
        <x:v>LOAD</x:v>
      </x:c>
      <x:c r="X1305" t="str">
        <x:v>02_Supervisor_Log(4).xlsx</x:v>
      </x:c>
      <x:c r="Y1305" t="str">
        <x:v>ENH-20260830-01</x:v>
      </x:c>
      <x:c r="Z1305" t="str">
        <x:v>Active</x:v>
      </x:c>
      <x:c r="AA1305"/>
      <x:c r="AB1305"/>
      <x:c r="AC1305"/>
      <x:c r="AD1305"/>
    </x:row>
    <x:row r="1306">
      <x:c r="A1306" t="str">
        <x:v>PCC-PE-KG01-L23-20251022-PM-ORD-2025-00093-S05-C3</x:v>
      </x:c>
      <x:c r="B1306" t="str">
        <x:v>PC-PE-KG01-L23-20251022-PM-ORD-2025-00093-S05</x:v>
      </x:c>
      <x:c r="C1306" t="str">
        <x:v>PE-KG01-L23-20251022-PM-ORD-2025-00093</x:v>
      </x:c>
      <x:c r="D1306" t="str">
        <x:v>KG01</x:v>
      </x:c>
      <x:c r="E1306" s="62" t="n">
        <x:v>45952</x:v>
      </x:c>
      <x:c r="F1306" t="str">
        <x:v>PM</x:v>
      </x:c>
      <x:c r="G1306" t="str">
        <x:v>C</x:v>
      </x:c>
      <x:c r="H1306" t="n">
        <x:v>23</x:v>
      </x:c>
      <x:c r="I1306" t="str">
        <x:v>ORD-2025-00093</x:v>
      </x:c>
      <x:c r="J1306" t="n">
        <x:v>5</x:v>
      </x:c>
      <x:c r="K1306" t="n">
        <x:v>3</x:v>
      </x:c>
      <x:c r="L1306" t="str">
        <x:v>L23-S05-C3</x:v>
      </x:c>
      <x:c r="M1306" t="n">
        <x:v>0</x:v>
      </x:c>
      <x:c r="N1306" t="str">
        <x:v>DerivedFromCount</x:v>
      </x:c>
      <x:c r="O1306" t="str">
        <x:v>PLC-PRD-JAR-720-L23</x:v>
      </x:c>
      <x:c r="P1306" t="str">
        <x:v>OK</x:v>
      </x:c>
      <x:c r="Q1306" t="str">
        <x:v>OK</x:v>
      </x:c>
      <x:c r="R1306" t="str">
        <x:v>OK</x:v>
      </x:c>
      <x:c r="S1306" t="str">
        <x:v>OK</x:v>
      </x:c>
      <x:c r="T1306" t="n">
        <x:v>24</x:v>
      </x:c>
      <x:c r="U1306" t="str">
        <x:v>OK</x:v>
      </x:c>
      <x:c r="V1306" t="str">
        <x:v>OK</x:v>
      </x:c>
      <x:c r="W1306" t="str">
        <x:v>LOAD</x:v>
      </x:c>
      <x:c r="X1306" t="str">
        <x:v>02_Supervisor_Log(4).xlsx</x:v>
      </x:c>
      <x:c r="Y1306" t="str">
        <x:v>ENH-20260830-01</x:v>
      </x:c>
      <x:c r="Z1306" t="str">
        <x:v>Active</x:v>
      </x:c>
      <x:c r="AA1306"/>
      <x:c r="AB1306"/>
      <x:c r="AC1306"/>
      <x:c r="AD1306"/>
    </x:row>
    <x:row r="1307">
      <x:c r="A1307" t="str">
        <x:v>PCC-PE-KG01-L23-20251022-PM-ORD-2025-00093-S06-C1</x:v>
      </x:c>
      <x:c r="B1307" t="str">
        <x:v>PC-PE-KG01-L23-20251022-PM-ORD-2025-00093-S06</x:v>
      </x:c>
      <x:c r="C1307" t="str">
        <x:v>PE-KG01-L23-20251022-PM-ORD-2025-00093</x:v>
      </x:c>
      <x:c r="D1307" t="str">
        <x:v>KG01</x:v>
      </x:c>
      <x:c r="E1307" s="62" t="n">
        <x:v>45952</x:v>
      </x:c>
      <x:c r="F1307" t="str">
        <x:v>PM</x:v>
      </x:c>
      <x:c r="G1307" t="str">
        <x:v>C</x:v>
      </x:c>
      <x:c r="H1307" t="n">
        <x:v>23</x:v>
      </x:c>
      <x:c r="I1307" t="str">
        <x:v>ORD-2025-00093</x:v>
      </x:c>
      <x:c r="J1307" t="n">
        <x:v>6</x:v>
      </x:c>
      <x:c r="K1307" t="n">
        <x:v>1</x:v>
      </x:c>
      <x:c r="L1307" t="str">
        <x:v>L23-S06-C1</x:v>
      </x:c>
      <x:c r="M1307" t="n">
        <x:v>1</x:v>
      </x:c>
      <x:c r="N1307" t="str">
        <x:v>DerivedFromCount</x:v>
      </x:c>
      <x:c r="O1307" t="str">
        <x:v>PLC-PRD-JAR-720-L23</x:v>
      </x:c>
      <x:c r="P1307" t="str">
        <x:v>OK</x:v>
      </x:c>
      <x:c r="Q1307" t="str">
        <x:v>OK</x:v>
      </x:c>
      <x:c r="R1307" t="str">
        <x:v>OK</x:v>
      </x:c>
      <x:c r="S1307" t="str">
        <x:v>OK</x:v>
      </x:c>
      <x:c r="T1307" t="n">
        <x:v>24</x:v>
      </x:c>
      <x:c r="U1307" t="str">
        <x:v>OK</x:v>
      </x:c>
      <x:c r="V1307" t="str">
        <x:v>OK</x:v>
      </x:c>
      <x:c r="W1307" t="str">
        <x:v>LOAD</x:v>
      </x:c>
      <x:c r="X1307" t="str">
        <x:v>02_Supervisor_Log(4).xlsx</x:v>
      </x:c>
      <x:c r="Y1307" t="str">
        <x:v>ENH-20260830-01</x:v>
      </x:c>
      <x:c r="Z1307" t="str">
        <x:v>Active</x:v>
      </x:c>
      <x:c r="AA1307"/>
      <x:c r="AB1307"/>
      <x:c r="AC1307"/>
      <x:c r="AD1307"/>
    </x:row>
    <x:row r="1308">
      <x:c r="A1308" t="str">
        <x:v>PCC-PE-KG01-L23-20251022-PM-ORD-2025-00093-S06-C2</x:v>
      </x:c>
      <x:c r="B1308" t="str">
        <x:v>PC-PE-KG01-L23-20251022-PM-ORD-2025-00093-S06</x:v>
      </x:c>
      <x:c r="C1308" t="str">
        <x:v>PE-KG01-L23-20251022-PM-ORD-2025-00093</x:v>
      </x:c>
      <x:c r="D1308" t="str">
        <x:v>KG01</x:v>
      </x:c>
      <x:c r="E1308" s="62" t="n">
        <x:v>45952</x:v>
      </x:c>
      <x:c r="F1308" t="str">
        <x:v>PM</x:v>
      </x:c>
      <x:c r="G1308" t="str">
        <x:v>C</x:v>
      </x:c>
      <x:c r="H1308" t="n">
        <x:v>23</x:v>
      </x:c>
      <x:c r="I1308" t="str">
        <x:v>ORD-2025-00093</x:v>
      </x:c>
      <x:c r="J1308" t="n">
        <x:v>6</x:v>
      </x:c>
      <x:c r="K1308" t="n">
        <x:v>2</x:v>
      </x:c>
      <x:c r="L1308" t="str">
        <x:v>L23-S06-C2</x:v>
      </x:c>
      <x:c r="M1308" t="n">
        <x:v>1</x:v>
      </x:c>
      <x:c r="N1308" t="str">
        <x:v>DerivedFromCount</x:v>
      </x:c>
      <x:c r="O1308" t="str">
        <x:v>PLC-PRD-JAR-720-L23</x:v>
      </x:c>
      <x:c r="P1308" t="str">
        <x:v>OK</x:v>
      </x:c>
      <x:c r="Q1308" t="str">
        <x:v>OK</x:v>
      </x:c>
      <x:c r="R1308" t="str">
        <x:v>OK</x:v>
      </x:c>
      <x:c r="S1308" t="str">
        <x:v>OK</x:v>
      </x:c>
      <x:c r="T1308" t="n">
        <x:v>24</x:v>
      </x:c>
      <x:c r="U1308" t="str">
        <x:v>OK</x:v>
      </x:c>
      <x:c r="V1308" t="str">
        <x:v>OK</x:v>
      </x:c>
      <x:c r="W1308" t="str">
        <x:v>LOAD</x:v>
      </x:c>
      <x:c r="X1308" t="str">
        <x:v>02_Supervisor_Log(4).xlsx</x:v>
      </x:c>
      <x:c r="Y1308" t="str">
        <x:v>ENH-20260830-01</x:v>
      </x:c>
      <x:c r="Z1308" t="str">
        <x:v>Active</x:v>
      </x:c>
      <x:c r="AA1308"/>
      <x:c r="AB1308"/>
      <x:c r="AC1308"/>
      <x:c r="AD1308"/>
    </x:row>
    <x:row r="1309">
      <x:c r="A1309" t="str">
        <x:v>PCC-PE-KG01-L23-20251022-PM-ORD-2025-00093-S06-C3</x:v>
      </x:c>
      <x:c r="B1309" t="str">
        <x:v>PC-PE-KG01-L23-20251022-PM-ORD-2025-00093-S06</x:v>
      </x:c>
      <x:c r="C1309" t="str">
        <x:v>PE-KG01-L23-20251022-PM-ORD-2025-00093</x:v>
      </x:c>
      <x:c r="D1309" t="str">
        <x:v>KG01</x:v>
      </x:c>
      <x:c r="E1309" s="62" t="n">
        <x:v>45952</x:v>
      </x:c>
      <x:c r="F1309" t="str">
        <x:v>PM</x:v>
      </x:c>
      <x:c r="G1309" t="str">
        <x:v>C</x:v>
      </x:c>
      <x:c r="H1309" t="n">
        <x:v>23</x:v>
      </x:c>
      <x:c r="I1309" t="str">
        <x:v>ORD-2025-00093</x:v>
      </x:c>
      <x:c r="J1309" t="n">
        <x:v>6</x:v>
      </x:c>
      <x:c r="K1309" t="n">
        <x:v>3</x:v>
      </x:c>
      <x:c r="L1309" t="str">
        <x:v>L23-S06-C3</x:v>
      </x:c>
      <x:c r="M1309" t="n">
        <x:v>0</x:v>
      </x:c>
      <x:c r="N1309" t="str">
        <x:v>DerivedFromCount</x:v>
      </x:c>
      <x:c r="O1309" t="str">
        <x:v>PLC-PRD-JAR-720-L23</x:v>
      </x:c>
      <x:c r="P1309" t="str">
        <x:v>OK</x:v>
      </x:c>
      <x:c r="Q1309" t="str">
        <x:v>OK</x:v>
      </x:c>
      <x:c r="R1309" t="str">
        <x:v>OK</x:v>
      </x:c>
      <x:c r="S1309" t="str">
        <x:v>OK</x:v>
      </x:c>
      <x:c r="T1309" t="n">
        <x:v>24</x:v>
      </x:c>
      <x:c r="U1309" t="str">
        <x:v>OK</x:v>
      </x:c>
      <x:c r="V1309" t="str">
        <x:v>OK</x:v>
      </x:c>
      <x:c r="W1309" t="str">
        <x:v>LOAD</x:v>
      </x:c>
      <x:c r="X1309" t="str">
        <x:v>02_Supervisor_Log(4).xlsx</x:v>
      </x:c>
      <x:c r="Y1309" t="str">
        <x:v>ENH-20260830-01</x:v>
      </x:c>
      <x:c r="Z1309" t="str">
        <x:v>Active</x:v>
      </x:c>
      <x:c r="AA1309"/>
      <x:c r="AB1309"/>
      <x:c r="AC1309"/>
      <x:c r="AD1309"/>
    </x:row>
    <x:row r="1310">
      <x:c r="A1310" t="str">
        <x:v>PCC-PE-KG01-L23-20251022-PM-ORD-2025-00093-S07-C1</x:v>
      </x:c>
      <x:c r="B1310" t="str">
        <x:v>PC-PE-KG01-L23-20251022-PM-ORD-2025-00093-S07</x:v>
      </x:c>
      <x:c r="C1310" t="str">
        <x:v>PE-KG01-L23-20251022-PM-ORD-2025-00093</x:v>
      </x:c>
      <x:c r="D1310" t="str">
        <x:v>KG01</x:v>
      </x:c>
      <x:c r="E1310" s="62" t="n">
        <x:v>45952</x:v>
      </x:c>
      <x:c r="F1310" t="str">
        <x:v>PM</x:v>
      </x:c>
      <x:c r="G1310" t="str">
        <x:v>C</x:v>
      </x:c>
      <x:c r="H1310" t="n">
        <x:v>23</x:v>
      </x:c>
      <x:c r="I1310" t="str">
        <x:v>ORD-2025-00093</x:v>
      </x:c>
      <x:c r="J1310" t="n">
        <x:v>7</x:v>
      </x:c>
      <x:c r="K1310" t="n">
        <x:v>1</x:v>
      </x:c>
      <x:c r="L1310" t="str">
        <x:v>L23-S07-C1</x:v>
      </x:c>
      <x:c r="M1310" t="n">
        <x:v>1</x:v>
      </x:c>
      <x:c r="N1310" t="str">
        <x:v>DerivedFromCount</x:v>
      </x:c>
      <x:c r="O1310" t="str">
        <x:v>PLC-PRD-JAR-720-L23</x:v>
      </x:c>
      <x:c r="P1310" t="str">
        <x:v>OK</x:v>
      </x:c>
      <x:c r="Q1310" t="str">
        <x:v>OK</x:v>
      </x:c>
      <x:c r="R1310" t="str">
        <x:v>OK</x:v>
      </x:c>
      <x:c r="S1310" t="str">
        <x:v>OK</x:v>
      </x:c>
      <x:c r="T1310" t="n">
        <x:v>24</x:v>
      </x:c>
      <x:c r="U1310" t="str">
        <x:v>OK</x:v>
      </x:c>
      <x:c r="V1310" t="str">
        <x:v>OK</x:v>
      </x:c>
      <x:c r="W1310" t="str">
        <x:v>LOAD</x:v>
      </x:c>
      <x:c r="X1310" t="str">
        <x:v>02_Supervisor_Log(4).xlsx</x:v>
      </x:c>
      <x:c r="Y1310" t="str">
        <x:v>ENH-20260830-01</x:v>
      </x:c>
      <x:c r="Z1310" t="str">
        <x:v>Active</x:v>
      </x:c>
      <x:c r="AA1310"/>
      <x:c r="AB1310"/>
      <x:c r="AC1310"/>
      <x:c r="AD1310"/>
    </x:row>
    <x:row r="1311">
      <x:c r="A1311" t="str">
        <x:v>PCC-PE-KG01-L23-20251022-PM-ORD-2025-00093-S07-C2</x:v>
      </x:c>
      <x:c r="B1311" t="str">
        <x:v>PC-PE-KG01-L23-20251022-PM-ORD-2025-00093-S07</x:v>
      </x:c>
      <x:c r="C1311" t="str">
        <x:v>PE-KG01-L23-20251022-PM-ORD-2025-00093</x:v>
      </x:c>
      <x:c r="D1311" t="str">
        <x:v>KG01</x:v>
      </x:c>
      <x:c r="E1311" s="62" t="n">
        <x:v>45952</x:v>
      </x:c>
      <x:c r="F1311" t="str">
        <x:v>PM</x:v>
      </x:c>
      <x:c r="G1311" t="str">
        <x:v>C</x:v>
      </x:c>
      <x:c r="H1311" t="n">
        <x:v>23</x:v>
      </x:c>
      <x:c r="I1311" t="str">
        <x:v>ORD-2025-00093</x:v>
      </x:c>
      <x:c r="J1311" t="n">
        <x:v>7</x:v>
      </x:c>
      <x:c r="K1311" t="n">
        <x:v>2</x:v>
      </x:c>
      <x:c r="L1311" t="str">
        <x:v>L23-S07-C2</x:v>
      </x:c>
      <x:c r="M1311" t="n">
        <x:v>1</x:v>
      </x:c>
      <x:c r="N1311" t="str">
        <x:v>DerivedFromCount</x:v>
      </x:c>
      <x:c r="O1311" t="str">
        <x:v>PLC-PRD-JAR-720-L23</x:v>
      </x:c>
      <x:c r="P1311" t="str">
        <x:v>OK</x:v>
      </x:c>
      <x:c r="Q1311" t="str">
        <x:v>OK</x:v>
      </x:c>
      <x:c r="R1311" t="str">
        <x:v>OK</x:v>
      </x:c>
      <x:c r="S1311" t="str">
        <x:v>OK</x:v>
      </x:c>
      <x:c r="T1311" t="n">
        <x:v>24</x:v>
      </x:c>
      <x:c r="U1311" t="str">
        <x:v>OK</x:v>
      </x:c>
      <x:c r="V1311" t="str">
        <x:v>OK</x:v>
      </x:c>
      <x:c r="W1311" t="str">
        <x:v>LOAD</x:v>
      </x:c>
      <x:c r="X1311" t="str">
        <x:v>02_Supervisor_Log(4).xlsx</x:v>
      </x:c>
      <x:c r="Y1311" t="str">
        <x:v>ENH-20260830-01</x:v>
      </x:c>
      <x:c r="Z1311" t="str">
        <x:v>Active</x:v>
      </x:c>
      <x:c r="AA1311"/>
      <x:c r="AB1311"/>
      <x:c r="AC1311"/>
      <x:c r="AD1311"/>
    </x:row>
    <x:row r="1312">
      <x:c r="A1312" t="str">
        <x:v>PCC-PE-KG01-L23-20251022-PM-ORD-2025-00093-S07-C3</x:v>
      </x:c>
      <x:c r="B1312" t="str">
        <x:v>PC-PE-KG01-L23-20251022-PM-ORD-2025-00093-S07</x:v>
      </x:c>
      <x:c r="C1312" t="str">
        <x:v>PE-KG01-L23-20251022-PM-ORD-2025-00093</x:v>
      </x:c>
      <x:c r="D1312" t="str">
        <x:v>KG01</x:v>
      </x:c>
      <x:c r="E1312" s="62" t="n">
        <x:v>45952</x:v>
      </x:c>
      <x:c r="F1312" t="str">
        <x:v>PM</x:v>
      </x:c>
      <x:c r="G1312" t="str">
        <x:v>C</x:v>
      </x:c>
      <x:c r="H1312" t="n">
        <x:v>23</x:v>
      </x:c>
      <x:c r="I1312" t="str">
        <x:v>ORD-2025-00093</x:v>
      </x:c>
      <x:c r="J1312" t="n">
        <x:v>7</x:v>
      </x:c>
      <x:c r="K1312" t="n">
        <x:v>3</x:v>
      </x:c>
      <x:c r="L1312" t="str">
        <x:v>L23-S07-C3</x:v>
      </x:c>
      <x:c r="M1312" t="n">
        <x:v>0</x:v>
      </x:c>
      <x:c r="N1312" t="str">
        <x:v>DerivedFromCount</x:v>
      </x:c>
      <x:c r="O1312" t="str">
        <x:v>PLC-PRD-JAR-720-L23</x:v>
      </x:c>
      <x:c r="P1312" t="str">
        <x:v>OK</x:v>
      </x:c>
      <x:c r="Q1312" t="str">
        <x:v>OK</x:v>
      </x:c>
      <x:c r="R1312" t="str">
        <x:v>OK</x:v>
      </x:c>
      <x:c r="S1312" t="str">
        <x:v>OK</x:v>
      </x:c>
      <x:c r="T1312" t="n">
        <x:v>24</x:v>
      </x:c>
      <x:c r="U1312" t="str">
        <x:v>OK</x:v>
      </x:c>
      <x:c r="V1312" t="str">
        <x:v>OK</x:v>
      </x:c>
      <x:c r="W1312" t="str">
        <x:v>LOAD</x:v>
      </x:c>
      <x:c r="X1312" t="str">
        <x:v>02_Supervisor_Log(4).xlsx</x:v>
      </x:c>
      <x:c r="Y1312" t="str">
        <x:v>ENH-20260830-01</x:v>
      </x:c>
      <x:c r="Z1312" t="str">
        <x:v>Active</x:v>
      </x:c>
      <x:c r="AA1312"/>
      <x:c r="AB1312"/>
      <x:c r="AC1312"/>
      <x:c r="AD1312"/>
    </x:row>
    <x:row r="1313">
      <x:c r="A1313" t="str">
        <x:v>PCC-PE-KG01-L23-20251022-PM-ORD-2025-00093-S08-C1</x:v>
      </x:c>
      <x:c r="B1313" t="str">
        <x:v>PC-PE-KG01-L23-20251022-PM-ORD-2025-00093-S08</x:v>
      </x:c>
      <x:c r="C1313" t="str">
        <x:v>PE-KG01-L23-20251022-PM-ORD-2025-00093</x:v>
      </x:c>
      <x:c r="D1313" t="str">
        <x:v>KG01</x:v>
      </x:c>
      <x:c r="E1313" s="62" t="n">
        <x:v>45952</x:v>
      </x:c>
      <x:c r="F1313" t="str">
        <x:v>PM</x:v>
      </x:c>
      <x:c r="G1313" t="str">
        <x:v>C</x:v>
      </x:c>
      <x:c r="H1313" t="n">
        <x:v>23</x:v>
      </x:c>
      <x:c r="I1313" t="str">
        <x:v>ORD-2025-00093</x:v>
      </x:c>
      <x:c r="J1313" t="n">
        <x:v>8</x:v>
      </x:c>
      <x:c r="K1313" t="n">
        <x:v>1</x:v>
      </x:c>
      <x:c r="L1313" t="str">
        <x:v>L23-S08-C1</x:v>
      </x:c>
      <x:c r="M1313" t="n">
        <x:v>1</x:v>
      </x:c>
      <x:c r="N1313" t="str">
        <x:v>DerivedFromCount</x:v>
      </x:c>
      <x:c r="O1313" t="str">
        <x:v>PLC-PRD-JAR-720-L23</x:v>
      </x:c>
      <x:c r="P1313" t="str">
        <x:v>OK</x:v>
      </x:c>
      <x:c r="Q1313" t="str">
        <x:v>OK</x:v>
      </x:c>
      <x:c r="R1313" t="str">
        <x:v>OK</x:v>
      </x:c>
      <x:c r="S1313" t="str">
        <x:v>OK</x:v>
      </x:c>
      <x:c r="T1313" t="n">
        <x:v>24</x:v>
      </x:c>
      <x:c r="U1313" t="str">
        <x:v>OK</x:v>
      </x:c>
      <x:c r="V1313" t="str">
        <x:v>OK</x:v>
      </x:c>
      <x:c r="W1313" t="str">
        <x:v>LOAD</x:v>
      </x:c>
      <x:c r="X1313" t="str">
        <x:v>02_Supervisor_Log(4).xlsx</x:v>
      </x:c>
      <x:c r="Y1313" t="str">
        <x:v>ENH-20260830-01</x:v>
      </x:c>
      <x:c r="Z1313" t="str">
        <x:v>Active</x:v>
      </x:c>
      <x:c r="AA1313"/>
      <x:c r="AB1313"/>
      <x:c r="AC1313"/>
      <x:c r="AD1313"/>
    </x:row>
    <x:row r="1314">
      <x:c r="A1314" t="str">
        <x:v>PCC-PE-KG01-L23-20251022-PM-ORD-2025-00093-S08-C2</x:v>
      </x:c>
      <x:c r="B1314" t="str">
        <x:v>PC-PE-KG01-L23-20251022-PM-ORD-2025-00093-S08</x:v>
      </x:c>
      <x:c r="C1314" t="str">
        <x:v>PE-KG01-L23-20251022-PM-ORD-2025-00093</x:v>
      </x:c>
      <x:c r="D1314" t="str">
        <x:v>KG01</x:v>
      </x:c>
      <x:c r="E1314" s="62" t="n">
        <x:v>45952</x:v>
      </x:c>
      <x:c r="F1314" t="str">
        <x:v>PM</x:v>
      </x:c>
      <x:c r="G1314" t="str">
        <x:v>C</x:v>
      </x:c>
      <x:c r="H1314" t="n">
        <x:v>23</x:v>
      </x:c>
      <x:c r="I1314" t="str">
        <x:v>ORD-2025-00093</x:v>
      </x:c>
      <x:c r="J1314" t="n">
        <x:v>8</x:v>
      </x:c>
      <x:c r="K1314" t="n">
        <x:v>2</x:v>
      </x:c>
      <x:c r="L1314" t="str">
        <x:v>L23-S08-C2</x:v>
      </x:c>
      <x:c r="M1314" t="n">
        <x:v>1</x:v>
      </x:c>
      <x:c r="N1314" t="str">
        <x:v>DerivedFromCount</x:v>
      </x:c>
      <x:c r="O1314" t="str">
        <x:v>PLC-PRD-JAR-720-L23</x:v>
      </x:c>
      <x:c r="P1314" t="str">
        <x:v>OK</x:v>
      </x:c>
      <x:c r="Q1314" t="str">
        <x:v>OK</x:v>
      </x:c>
      <x:c r="R1314" t="str">
        <x:v>OK</x:v>
      </x:c>
      <x:c r="S1314" t="str">
        <x:v>OK</x:v>
      </x:c>
      <x:c r="T1314" t="n">
        <x:v>24</x:v>
      </x:c>
      <x:c r="U1314" t="str">
        <x:v>OK</x:v>
      </x:c>
      <x:c r="V1314" t="str">
        <x:v>OK</x:v>
      </x:c>
      <x:c r="W1314" t="str">
        <x:v>LOAD</x:v>
      </x:c>
      <x:c r="X1314" t="str">
        <x:v>02_Supervisor_Log(4).xlsx</x:v>
      </x:c>
      <x:c r="Y1314" t="str">
        <x:v>ENH-20260830-01</x:v>
      </x:c>
      <x:c r="Z1314" t="str">
        <x:v>Active</x:v>
      </x:c>
      <x:c r="AA1314"/>
      <x:c r="AB1314"/>
      <x:c r="AC1314"/>
      <x:c r="AD1314"/>
    </x:row>
    <x:row r="1315">
      <x:c r="A1315" t="str">
        <x:v>PCC-PE-KG01-L23-20251022-PM-ORD-2025-00093-S08-C3</x:v>
      </x:c>
      <x:c r="B1315" t="str">
        <x:v>PC-PE-KG01-L23-20251022-PM-ORD-2025-00093-S08</x:v>
      </x:c>
      <x:c r="C1315" t="str">
        <x:v>PE-KG01-L23-20251022-PM-ORD-2025-00093</x:v>
      </x:c>
      <x:c r="D1315" t="str">
        <x:v>KG01</x:v>
      </x:c>
      <x:c r="E1315" s="62" t="n">
        <x:v>45952</x:v>
      </x:c>
      <x:c r="F1315" t="str">
        <x:v>PM</x:v>
      </x:c>
      <x:c r="G1315" t="str">
        <x:v>C</x:v>
      </x:c>
      <x:c r="H1315" t="n">
        <x:v>23</x:v>
      </x:c>
      <x:c r="I1315" t="str">
        <x:v>ORD-2025-00093</x:v>
      </x:c>
      <x:c r="J1315" t="n">
        <x:v>8</x:v>
      </x:c>
      <x:c r="K1315" t="n">
        <x:v>3</x:v>
      </x:c>
      <x:c r="L1315" t="str">
        <x:v>L23-S08-C3</x:v>
      </x:c>
      <x:c r="M1315" t="n">
        <x:v>0</x:v>
      </x:c>
      <x:c r="N1315" t="str">
        <x:v>DerivedFromCount</x:v>
      </x:c>
      <x:c r="O1315" t="str">
        <x:v>PLC-PRD-JAR-720-L23</x:v>
      </x:c>
      <x:c r="P1315" t="str">
        <x:v>OK</x:v>
      </x:c>
      <x:c r="Q1315" t="str">
        <x:v>OK</x:v>
      </x:c>
      <x:c r="R1315" t="str">
        <x:v>OK</x:v>
      </x:c>
      <x:c r="S1315" t="str">
        <x:v>OK</x:v>
      </x:c>
      <x:c r="T1315" t="n">
        <x:v>24</x:v>
      </x:c>
      <x:c r="U1315" t="str">
        <x:v>OK</x:v>
      </x:c>
      <x:c r="V1315" t="str">
        <x:v>OK</x:v>
      </x:c>
      <x:c r="W1315" t="str">
        <x:v>LOAD</x:v>
      </x:c>
      <x:c r="X1315" t="str">
        <x:v>02_Supervisor_Log(4).xlsx</x:v>
      </x:c>
      <x:c r="Y1315" t="str">
        <x:v>ENH-20260830-01</x:v>
      </x:c>
      <x:c r="Z1315" t="str">
        <x:v>Active</x:v>
      </x:c>
      <x:c r="AA1315"/>
      <x:c r="AB1315"/>
      <x:c r="AC1315"/>
      <x:c r="AD1315"/>
    </x:row>
    <x:row r="1316">
      <x:c r="A1316" t="str">
        <x:v>PCC-PE-KG01-L23-20251022-PM-ORD-2025-00093-S09-C1</x:v>
      </x:c>
      <x:c r="B1316" t="str">
        <x:v>PC-PE-KG01-L23-20251022-PM-ORD-2025-00093-S09</x:v>
      </x:c>
      <x:c r="C1316" t="str">
        <x:v>PE-KG01-L23-20251022-PM-ORD-2025-00093</x:v>
      </x:c>
      <x:c r="D1316" t="str">
        <x:v>KG01</x:v>
      </x:c>
      <x:c r="E1316" s="62" t="n">
        <x:v>45952</x:v>
      </x:c>
      <x:c r="F1316" t="str">
        <x:v>PM</x:v>
      </x:c>
      <x:c r="G1316" t="str">
        <x:v>C</x:v>
      </x:c>
      <x:c r="H1316" t="n">
        <x:v>23</x:v>
      </x:c>
      <x:c r="I1316" t="str">
        <x:v>ORD-2025-00093</x:v>
      </x:c>
      <x:c r="J1316" t="n">
        <x:v>9</x:v>
      </x:c>
      <x:c r="K1316" t="n">
        <x:v>1</x:v>
      </x:c>
      <x:c r="L1316" t="str">
        <x:v>L23-S09-C1</x:v>
      </x:c>
      <x:c r="M1316" t="n">
        <x:v>1</x:v>
      </x:c>
      <x:c r="N1316" t="str">
        <x:v>DerivedFromCount</x:v>
      </x:c>
      <x:c r="O1316" t="str">
        <x:v>PLC-PRD-JAR-720-L23</x:v>
      </x:c>
      <x:c r="P1316" t="str">
        <x:v>OK</x:v>
      </x:c>
      <x:c r="Q1316" t="str">
        <x:v>OK</x:v>
      </x:c>
      <x:c r="R1316" t="str">
        <x:v>OK</x:v>
      </x:c>
      <x:c r="S1316" t="str">
        <x:v>OK</x:v>
      </x:c>
      <x:c r="T1316" t="n">
        <x:v>24</x:v>
      </x:c>
      <x:c r="U1316" t="str">
        <x:v>OK</x:v>
      </x:c>
      <x:c r="V1316" t="str">
        <x:v>OK</x:v>
      </x:c>
      <x:c r="W1316" t="str">
        <x:v>LOAD</x:v>
      </x:c>
      <x:c r="X1316" t="str">
        <x:v>02_Supervisor_Log(4).xlsx</x:v>
      </x:c>
      <x:c r="Y1316" t="str">
        <x:v>ENH-20260830-01</x:v>
      </x:c>
      <x:c r="Z1316" t="str">
        <x:v>Active</x:v>
      </x:c>
      <x:c r="AA1316"/>
      <x:c r="AB1316"/>
      <x:c r="AC1316"/>
      <x:c r="AD1316"/>
    </x:row>
    <x:row r="1317">
      <x:c r="A1317" t="str">
        <x:v>PCC-PE-KG01-L23-20251022-PM-ORD-2025-00093-S09-C2</x:v>
      </x:c>
      <x:c r="B1317" t="str">
        <x:v>PC-PE-KG01-L23-20251022-PM-ORD-2025-00093-S09</x:v>
      </x:c>
      <x:c r="C1317" t="str">
        <x:v>PE-KG01-L23-20251022-PM-ORD-2025-00093</x:v>
      </x:c>
      <x:c r="D1317" t="str">
        <x:v>KG01</x:v>
      </x:c>
      <x:c r="E1317" s="62" t="n">
        <x:v>45952</x:v>
      </x:c>
      <x:c r="F1317" t="str">
        <x:v>PM</x:v>
      </x:c>
      <x:c r="G1317" t="str">
        <x:v>C</x:v>
      </x:c>
      <x:c r="H1317" t="n">
        <x:v>23</x:v>
      </x:c>
      <x:c r="I1317" t="str">
        <x:v>ORD-2025-00093</x:v>
      </x:c>
      <x:c r="J1317" t="n">
        <x:v>9</x:v>
      </x:c>
      <x:c r="K1317" t="n">
        <x:v>2</x:v>
      </x:c>
      <x:c r="L1317" t="str">
        <x:v>L23-S09-C2</x:v>
      </x:c>
      <x:c r="M1317" t="n">
        <x:v>1</x:v>
      </x:c>
      <x:c r="N1317" t="str">
        <x:v>DerivedFromCount</x:v>
      </x:c>
      <x:c r="O1317" t="str">
        <x:v>PLC-PRD-JAR-720-L23</x:v>
      </x:c>
      <x:c r="P1317" t="str">
        <x:v>OK</x:v>
      </x:c>
      <x:c r="Q1317" t="str">
        <x:v>OK</x:v>
      </x:c>
      <x:c r="R1317" t="str">
        <x:v>OK</x:v>
      </x:c>
      <x:c r="S1317" t="str">
        <x:v>OK</x:v>
      </x:c>
      <x:c r="T1317" t="n">
        <x:v>24</x:v>
      </x:c>
      <x:c r="U1317" t="str">
        <x:v>OK</x:v>
      </x:c>
      <x:c r="V1317" t="str">
        <x:v>OK</x:v>
      </x:c>
      <x:c r="W1317" t="str">
        <x:v>LOAD</x:v>
      </x:c>
      <x:c r="X1317" t="str">
        <x:v>02_Supervisor_Log(4).xlsx</x:v>
      </x:c>
      <x:c r="Y1317" t="str">
        <x:v>ENH-20260830-01</x:v>
      </x:c>
      <x:c r="Z1317" t="str">
        <x:v>Active</x:v>
      </x:c>
      <x:c r="AA1317"/>
      <x:c r="AB1317"/>
      <x:c r="AC1317"/>
      <x:c r="AD1317"/>
    </x:row>
    <x:row r="1318">
      <x:c r="A1318" t="str">
        <x:v>PCC-PE-KG01-L23-20251022-PM-ORD-2025-00093-S09-C3</x:v>
      </x:c>
      <x:c r="B1318" t="str">
        <x:v>PC-PE-KG01-L23-20251022-PM-ORD-2025-00093-S09</x:v>
      </x:c>
      <x:c r="C1318" t="str">
        <x:v>PE-KG01-L23-20251022-PM-ORD-2025-00093</x:v>
      </x:c>
      <x:c r="D1318" t="str">
        <x:v>KG01</x:v>
      </x:c>
      <x:c r="E1318" s="62" t="n">
        <x:v>45952</x:v>
      </x:c>
      <x:c r="F1318" t="str">
        <x:v>PM</x:v>
      </x:c>
      <x:c r="G1318" t="str">
        <x:v>C</x:v>
      </x:c>
      <x:c r="H1318" t="n">
        <x:v>23</x:v>
      </x:c>
      <x:c r="I1318" t="str">
        <x:v>ORD-2025-00093</x:v>
      </x:c>
      <x:c r="J1318" t="n">
        <x:v>9</x:v>
      </x:c>
      <x:c r="K1318" t="n">
        <x:v>3</x:v>
      </x:c>
      <x:c r="L1318" t="str">
        <x:v>L23-S09-C3</x:v>
      </x:c>
      <x:c r="M1318" t="n">
        <x:v>0</x:v>
      </x:c>
      <x:c r="N1318" t="str">
        <x:v>DerivedFromCount</x:v>
      </x:c>
      <x:c r="O1318" t="str">
        <x:v>PLC-PRD-JAR-720-L23</x:v>
      </x:c>
      <x:c r="P1318" t="str">
        <x:v>OK</x:v>
      </x:c>
      <x:c r="Q1318" t="str">
        <x:v>OK</x:v>
      </x:c>
      <x:c r="R1318" t="str">
        <x:v>OK</x:v>
      </x:c>
      <x:c r="S1318" t="str">
        <x:v>OK</x:v>
      </x:c>
      <x:c r="T1318" t="n">
        <x:v>24</x:v>
      </x:c>
      <x:c r="U1318" t="str">
        <x:v>OK</x:v>
      </x:c>
      <x:c r="V1318" t="str">
        <x:v>OK</x:v>
      </x:c>
      <x:c r="W1318" t="str">
        <x:v>LOAD</x:v>
      </x:c>
      <x:c r="X1318" t="str">
        <x:v>02_Supervisor_Log(4).xlsx</x:v>
      </x:c>
      <x:c r="Y1318" t="str">
        <x:v>ENH-20260830-01</x:v>
      </x:c>
      <x:c r="Z1318" t="str">
        <x:v>Active</x:v>
      </x:c>
      <x:c r="AA1318"/>
      <x:c r="AB1318"/>
      <x:c r="AC1318"/>
      <x:c r="AD1318"/>
    </x:row>
    <x:row r="1319">
      <x:c r="A1319" t="str">
        <x:v>PCC-PE-KG01-L23-20251022-PM-ORD-2025-00093-S10-C1</x:v>
      </x:c>
      <x:c r="B1319" t="str">
        <x:v>PC-PE-KG01-L23-20251022-PM-ORD-2025-00093-S10</x:v>
      </x:c>
      <x:c r="C1319" t="str">
        <x:v>PE-KG01-L23-20251022-PM-ORD-2025-00093</x:v>
      </x:c>
      <x:c r="D1319" t="str">
        <x:v>KG01</x:v>
      </x:c>
      <x:c r="E1319" s="62" t="n">
        <x:v>45952</x:v>
      </x:c>
      <x:c r="F1319" t="str">
        <x:v>PM</x:v>
      </x:c>
      <x:c r="G1319" t="str">
        <x:v>C</x:v>
      </x:c>
      <x:c r="H1319" t="n">
        <x:v>23</x:v>
      </x:c>
      <x:c r="I1319" t="str">
        <x:v>ORD-2025-00093</x:v>
      </x:c>
      <x:c r="J1319" t="n">
        <x:v>10</x:v>
      </x:c>
      <x:c r="K1319" t="n">
        <x:v>1</x:v>
      </x:c>
      <x:c r="L1319" t="str">
        <x:v>L23-S10-C1</x:v>
      </x:c>
      <x:c r="M1319" t="n">
        <x:v>1</x:v>
      </x:c>
      <x:c r="N1319" t="str">
        <x:v>DerivedFromCount</x:v>
      </x:c>
      <x:c r="O1319" t="str">
        <x:v>PLC-PRD-JAR-720-L23</x:v>
      </x:c>
      <x:c r="P1319" t="str">
        <x:v>OK</x:v>
      </x:c>
      <x:c r="Q1319" t="str">
        <x:v>OK</x:v>
      </x:c>
      <x:c r="R1319" t="str">
        <x:v>OK</x:v>
      </x:c>
      <x:c r="S1319" t="str">
        <x:v>OK</x:v>
      </x:c>
      <x:c r="T1319" t="n">
        <x:v>24</x:v>
      </x:c>
      <x:c r="U1319" t="str">
        <x:v>OK</x:v>
      </x:c>
      <x:c r="V1319" t="str">
        <x:v>OK</x:v>
      </x:c>
      <x:c r="W1319" t="str">
        <x:v>LOAD</x:v>
      </x:c>
      <x:c r="X1319" t="str">
        <x:v>02_Supervisor_Log(4).xlsx</x:v>
      </x:c>
      <x:c r="Y1319" t="str">
        <x:v>ENH-20260830-01</x:v>
      </x:c>
      <x:c r="Z1319" t="str">
        <x:v>Active</x:v>
      </x:c>
      <x:c r="AA1319"/>
      <x:c r="AB1319"/>
      <x:c r="AC1319"/>
      <x:c r="AD1319"/>
    </x:row>
    <x:row r="1320">
      <x:c r="A1320" t="str">
        <x:v>PCC-PE-KG01-L23-20251022-PM-ORD-2025-00093-S10-C2</x:v>
      </x:c>
      <x:c r="B1320" t="str">
        <x:v>PC-PE-KG01-L23-20251022-PM-ORD-2025-00093-S10</x:v>
      </x:c>
      <x:c r="C1320" t="str">
        <x:v>PE-KG01-L23-20251022-PM-ORD-2025-00093</x:v>
      </x:c>
      <x:c r="D1320" t="str">
        <x:v>KG01</x:v>
      </x:c>
      <x:c r="E1320" s="62" t="n">
        <x:v>45952</x:v>
      </x:c>
      <x:c r="F1320" t="str">
        <x:v>PM</x:v>
      </x:c>
      <x:c r="G1320" t="str">
        <x:v>C</x:v>
      </x:c>
      <x:c r="H1320" t="n">
        <x:v>23</x:v>
      </x:c>
      <x:c r="I1320" t="str">
        <x:v>ORD-2025-00093</x:v>
      </x:c>
      <x:c r="J1320" t="n">
        <x:v>10</x:v>
      </x:c>
      <x:c r="K1320" t="n">
        <x:v>2</x:v>
      </x:c>
      <x:c r="L1320" t="str">
        <x:v>L23-S10-C2</x:v>
      </x:c>
      <x:c r="M1320" t="n">
        <x:v>1</x:v>
      </x:c>
      <x:c r="N1320" t="str">
        <x:v>DerivedFromCount</x:v>
      </x:c>
      <x:c r="O1320" t="str">
        <x:v>PLC-PRD-JAR-720-L23</x:v>
      </x:c>
      <x:c r="P1320" t="str">
        <x:v>OK</x:v>
      </x:c>
      <x:c r="Q1320" t="str">
        <x:v>OK</x:v>
      </x:c>
      <x:c r="R1320" t="str">
        <x:v>OK</x:v>
      </x:c>
      <x:c r="S1320" t="str">
        <x:v>OK</x:v>
      </x:c>
      <x:c r="T1320" t="n">
        <x:v>24</x:v>
      </x:c>
      <x:c r="U1320" t="str">
        <x:v>OK</x:v>
      </x:c>
      <x:c r="V1320" t="str">
        <x:v>OK</x:v>
      </x:c>
      <x:c r="W1320" t="str">
        <x:v>LOAD</x:v>
      </x:c>
      <x:c r="X1320" t="str">
        <x:v>02_Supervisor_Log(4).xlsx</x:v>
      </x:c>
      <x:c r="Y1320" t="str">
        <x:v>ENH-20260830-01</x:v>
      </x:c>
      <x:c r="Z1320" t="str">
        <x:v>Active</x:v>
      </x:c>
      <x:c r="AA1320"/>
      <x:c r="AB1320"/>
      <x:c r="AC1320"/>
      <x:c r="AD1320"/>
    </x:row>
    <x:row r="1321">
      <x:c r="A1321" t="str">
        <x:v>PCC-PE-KG01-L23-20251022-PM-ORD-2025-00093-S10-C3</x:v>
      </x:c>
      <x:c r="B1321" t="str">
        <x:v>PC-PE-KG01-L23-20251022-PM-ORD-2025-00093-S10</x:v>
      </x:c>
      <x:c r="C1321" t="str">
        <x:v>PE-KG01-L23-20251022-PM-ORD-2025-00093</x:v>
      </x:c>
      <x:c r="D1321" t="str">
        <x:v>KG01</x:v>
      </x:c>
      <x:c r="E1321" s="62" t="n">
        <x:v>45952</x:v>
      </x:c>
      <x:c r="F1321" t="str">
        <x:v>PM</x:v>
      </x:c>
      <x:c r="G1321" t="str">
        <x:v>C</x:v>
      </x:c>
      <x:c r="H1321" t="n">
        <x:v>23</x:v>
      </x:c>
      <x:c r="I1321" t="str">
        <x:v>ORD-2025-00093</x:v>
      </x:c>
      <x:c r="J1321" t="n">
        <x:v>10</x:v>
      </x:c>
      <x:c r="K1321" t="n">
        <x:v>3</x:v>
      </x:c>
      <x:c r="L1321" t="str">
        <x:v>L23-S10-C3</x:v>
      </x:c>
      <x:c r="M1321" t="n">
        <x:v>0</x:v>
      </x:c>
      <x:c r="N1321" t="str">
        <x:v>DerivedFromCount</x:v>
      </x:c>
      <x:c r="O1321" t="str">
        <x:v>PLC-PRD-JAR-720-L23</x:v>
      </x:c>
      <x:c r="P1321" t="str">
        <x:v>OK</x:v>
      </x:c>
      <x:c r="Q1321" t="str">
        <x:v>OK</x:v>
      </x:c>
      <x:c r="R1321" t="str">
        <x:v>OK</x:v>
      </x:c>
      <x:c r="S1321" t="str">
        <x:v>OK</x:v>
      </x:c>
      <x:c r="T1321" t="n">
        <x:v>24</x:v>
      </x:c>
      <x:c r="U1321" t="str">
        <x:v>OK</x:v>
      </x:c>
      <x:c r="V1321" t="str">
        <x:v>OK</x:v>
      </x:c>
      <x:c r="W1321" t="str">
        <x:v>LOAD</x:v>
      </x:c>
      <x:c r="X1321" t="str">
        <x:v>02_Supervisor_Log(4).xlsx</x:v>
      </x:c>
      <x:c r="Y1321" t="str">
        <x:v>ENH-20260830-01</x:v>
      </x:c>
      <x:c r="Z1321" t="str">
        <x:v>Active</x:v>
      </x:c>
      <x:c r="AA1321"/>
      <x:c r="AB1321"/>
      <x:c r="AC1321"/>
      <x:c r="AD1321"/>
    </x:row>
    <x:row r="1322">
      <x:c r="A1322" t="str">
        <x:v>PCC-PE-KG01-L23-20251022-PM-ORD-2025-00093-S11-C1</x:v>
      </x:c>
      <x:c r="B1322" t="str">
        <x:v>PC-PE-KG01-L23-20251022-PM-ORD-2025-00093-S11</x:v>
      </x:c>
      <x:c r="C1322" t="str">
        <x:v>PE-KG01-L23-20251022-PM-ORD-2025-00093</x:v>
      </x:c>
      <x:c r="D1322" t="str">
        <x:v>KG01</x:v>
      </x:c>
      <x:c r="E1322" s="62" t="n">
        <x:v>45952</x:v>
      </x:c>
      <x:c r="F1322" t="str">
        <x:v>PM</x:v>
      </x:c>
      <x:c r="G1322" t="str">
        <x:v>C</x:v>
      </x:c>
      <x:c r="H1322" t="n">
        <x:v>23</x:v>
      </x:c>
      <x:c r="I1322" t="str">
        <x:v>ORD-2025-00093</x:v>
      </x:c>
      <x:c r="J1322" t="n">
        <x:v>11</x:v>
      </x:c>
      <x:c r="K1322" t="n">
        <x:v>1</x:v>
      </x:c>
      <x:c r="L1322" t="str">
        <x:v>L23-S11-C1</x:v>
      </x:c>
      <x:c r="M1322" t="n">
        <x:v>1</x:v>
      </x:c>
      <x:c r="N1322" t="str">
        <x:v>DerivedFromCount</x:v>
      </x:c>
      <x:c r="O1322" t="str">
        <x:v>PLC-PRD-JAR-720-L23</x:v>
      </x:c>
      <x:c r="P1322" t="str">
        <x:v>OK</x:v>
      </x:c>
      <x:c r="Q1322" t="str">
        <x:v>OK</x:v>
      </x:c>
      <x:c r="R1322" t="str">
        <x:v>OK</x:v>
      </x:c>
      <x:c r="S1322" t="str">
        <x:v>OK</x:v>
      </x:c>
      <x:c r="T1322" t="n">
        <x:v>24</x:v>
      </x:c>
      <x:c r="U1322" t="str">
        <x:v>OK</x:v>
      </x:c>
      <x:c r="V1322" t="str">
        <x:v>OK</x:v>
      </x:c>
      <x:c r="W1322" t="str">
        <x:v>LOAD</x:v>
      </x:c>
      <x:c r="X1322" t="str">
        <x:v>02_Supervisor_Log(4).xlsx</x:v>
      </x:c>
      <x:c r="Y1322" t="str">
        <x:v>ENH-20260830-01</x:v>
      </x:c>
      <x:c r="Z1322" t="str">
        <x:v>Active</x:v>
      </x:c>
      <x:c r="AA1322"/>
      <x:c r="AB1322"/>
      <x:c r="AC1322"/>
      <x:c r="AD1322"/>
    </x:row>
    <x:row r="1323">
      <x:c r="A1323" t="str">
        <x:v>PCC-PE-KG01-L23-20251022-PM-ORD-2025-00093-S11-C2</x:v>
      </x:c>
      <x:c r="B1323" t="str">
        <x:v>PC-PE-KG01-L23-20251022-PM-ORD-2025-00093-S11</x:v>
      </x:c>
      <x:c r="C1323" t="str">
        <x:v>PE-KG01-L23-20251022-PM-ORD-2025-00093</x:v>
      </x:c>
      <x:c r="D1323" t="str">
        <x:v>KG01</x:v>
      </x:c>
      <x:c r="E1323" s="62" t="n">
        <x:v>45952</x:v>
      </x:c>
      <x:c r="F1323" t="str">
        <x:v>PM</x:v>
      </x:c>
      <x:c r="G1323" t="str">
        <x:v>C</x:v>
      </x:c>
      <x:c r="H1323" t="n">
        <x:v>23</x:v>
      </x:c>
      <x:c r="I1323" t="str">
        <x:v>ORD-2025-00093</x:v>
      </x:c>
      <x:c r="J1323" t="n">
        <x:v>11</x:v>
      </x:c>
      <x:c r="K1323" t="n">
        <x:v>2</x:v>
      </x:c>
      <x:c r="L1323" t="str">
        <x:v>L23-S11-C2</x:v>
      </x:c>
      <x:c r="M1323" t="n">
        <x:v>1</x:v>
      </x:c>
      <x:c r="N1323" t="str">
        <x:v>DerivedFromCount</x:v>
      </x:c>
      <x:c r="O1323" t="str">
        <x:v>PLC-PRD-JAR-720-L23</x:v>
      </x:c>
      <x:c r="P1323" t="str">
        <x:v>OK</x:v>
      </x:c>
      <x:c r="Q1323" t="str">
        <x:v>OK</x:v>
      </x:c>
      <x:c r="R1323" t="str">
        <x:v>OK</x:v>
      </x:c>
      <x:c r="S1323" t="str">
        <x:v>OK</x:v>
      </x:c>
      <x:c r="T1323" t="n">
        <x:v>24</x:v>
      </x:c>
      <x:c r="U1323" t="str">
        <x:v>OK</x:v>
      </x:c>
      <x:c r="V1323" t="str">
        <x:v>OK</x:v>
      </x:c>
      <x:c r="W1323" t="str">
        <x:v>LOAD</x:v>
      </x:c>
      <x:c r="X1323" t="str">
        <x:v>02_Supervisor_Log(4).xlsx</x:v>
      </x:c>
      <x:c r="Y1323" t="str">
        <x:v>ENH-20260830-01</x:v>
      </x:c>
      <x:c r="Z1323" t="str">
        <x:v>Active</x:v>
      </x:c>
      <x:c r="AA1323"/>
      <x:c r="AB1323"/>
      <x:c r="AC1323"/>
      <x:c r="AD1323"/>
    </x:row>
    <x:row r="1324">
      <x:c r="A1324" t="str">
        <x:v>PCC-PE-KG01-L23-20251022-PM-ORD-2025-00093-S11-C3</x:v>
      </x:c>
      <x:c r="B1324" t="str">
        <x:v>PC-PE-KG01-L23-20251022-PM-ORD-2025-00093-S11</x:v>
      </x:c>
      <x:c r="C1324" t="str">
        <x:v>PE-KG01-L23-20251022-PM-ORD-2025-00093</x:v>
      </x:c>
      <x:c r="D1324" t="str">
        <x:v>KG01</x:v>
      </x:c>
      <x:c r="E1324" s="62" t="n">
        <x:v>45952</x:v>
      </x:c>
      <x:c r="F1324" t="str">
        <x:v>PM</x:v>
      </x:c>
      <x:c r="G1324" t="str">
        <x:v>C</x:v>
      </x:c>
      <x:c r="H1324" t="n">
        <x:v>23</x:v>
      </x:c>
      <x:c r="I1324" t="str">
        <x:v>ORD-2025-00093</x:v>
      </x:c>
      <x:c r="J1324" t="n">
        <x:v>11</x:v>
      </x:c>
      <x:c r="K1324" t="n">
        <x:v>3</x:v>
      </x:c>
      <x:c r="L1324" t="str">
        <x:v>L23-S11-C3</x:v>
      </x:c>
      <x:c r="M1324" t="n">
        <x:v>0</x:v>
      </x:c>
      <x:c r="N1324" t="str">
        <x:v>DerivedFromCount</x:v>
      </x:c>
      <x:c r="O1324" t="str">
        <x:v>PLC-PRD-JAR-720-L23</x:v>
      </x:c>
      <x:c r="P1324" t="str">
        <x:v>OK</x:v>
      </x:c>
      <x:c r="Q1324" t="str">
        <x:v>OK</x:v>
      </x:c>
      <x:c r="R1324" t="str">
        <x:v>OK</x:v>
      </x:c>
      <x:c r="S1324" t="str">
        <x:v>OK</x:v>
      </x:c>
      <x:c r="T1324" t="n">
        <x:v>24</x:v>
      </x:c>
      <x:c r="U1324" t="str">
        <x:v>OK</x:v>
      </x:c>
      <x:c r="V1324" t="str">
        <x:v>OK</x:v>
      </x:c>
      <x:c r="W1324" t="str">
        <x:v>LOAD</x:v>
      </x:c>
      <x:c r="X1324" t="str">
        <x:v>02_Supervisor_Log(4).xlsx</x:v>
      </x:c>
      <x:c r="Y1324" t="str">
        <x:v>ENH-20260830-01</x:v>
      </x:c>
      <x:c r="Z1324" t="str">
        <x:v>Active</x:v>
      </x:c>
      <x:c r="AA1324"/>
      <x:c r="AB1324"/>
      <x:c r="AC1324"/>
      <x:c r="AD1324"/>
    </x:row>
    <x:row r="1325">
      <x:c r="A1325" t="str">
        <x:v>PCC-PE-KG01-L23-20251022-PM-ORD-2025-00093-S12-C1</x:v>
      </x:c>
      <x:c r="B1325" t="str">
        <x:v>PC-PE-KG01-L23-20251022-PM-ORD-2025-00093-S12</x:v>
      </x:c>
      <x:c r="C1325" t="str">
        <x:v>PE-KG01-L23-20251022-PM-ORD-2025-00093</x:v>
      </x:c>
      <x:c r="D1325" t="str">
        <x:v>KG01</x:v>
      </x:c>
      <x:c r="E1325" s="62" t="n">
        <x:v>45952</x:v>
      </x:c>
      <x:c r="F1325" t="str">
        <x:v>PM</x:v>
      </x:c>
      <x:c r="G1325" t="str">
        <x:v>C</x:v>
      </x:c>
      <x:c r="H1325" t="n">
        <x:v>23</x:v>
      </x:c>
      <x:c r="I1325" t="str">
        <x:v>ORD-2025-00093</x:v>
      </x:c>
      <x:c r="J1325" t="n">
        <x:v>12</x:v>
      </x:c>
      <x:c r="K1325" t="n">
        <x:v>1</x:v>
      </x:c>
      <x:c r="L1325" t="str">
        <x:v>L23-S12-C1</x:v>
      </x:c>
      <x:c r="M1325" t="n">
        <x:v>1</x:v>
      </x:c>
      <x:c r="N1325" t="str">
        <x:v>DerivedFromCount</x:v>
      </x:c>
      <x:c r="O1325" t="str">
        <x:v>PLC-PRD-JAR-720-L23</x:v>
      </x:c>
      <x:c r="P1325" t="str">
        <x:v>OK</x:v>
      </x:c>
      <x:c r="Q1325" t="str">
        <x:v>OK</x:v>
      </x:c>
      <x:c r="R1325" t="str">
        <x:v>OK</x:v>
      </x:c>
      <x:c r="S1325" t="str">
        <x:v>OK</x:v>
      </x:c>
      <x:c r="T1325" t="n">
        <x:v>24</x:v>
      </x:c>
      <x:c r="U1325" t="str">
        <x:v>OK</x:v>
      </x:c>
      <x:c r="V1325" t="str">
        <x:v>OK</x:v>
      </x:c>
      <x:c r="W1325" t="str">
        <x:v>LOAD</x:v>
      </x:c>
      <x:c r="X1325" t="str">
        <x:v>02_Supervisor_Log(4).xlsx</x:v>
      </x:c>
      <x:c r="Y1325" t="str">
        <x:v>ENH-20260830-01</x:v>
      </x:c>
      <x:c r="Z1325" t="str">
        <x:v>Active</x:v>
      </x:c>
      <x:c r="AA1325"/>
      <x:c r="AB1325"/>
      <x:c r="AC1325"/>
      <x:c r="AD1325"/>
    </x:row>
    <x:row r="1326">
      <x:c r="A1326" t="str">
        <x:v>PCC-PE-KG01-L23-20251022-PM-ORD-2025-00093-S12-C2</x:v>
      </x:c>
      <x:c r="B1326" t="str">
        <x:v>PC-PE-KG01-L23-20251022-PM-ORD-2025-00093-S12</x:v>
      </x:c>
      <x:c r="C1326" t="str">
        <x:v>PE-KG01-L23-20251022-PM-ORD-2025-00093</x:v>
      </x:c>
      <x:c r="D1326" t="str">
        <x:v>KG01</x:v>
      </x:c>
      <x:c r="E1326" s="62" t="n">
        <x:v>45952</x:v>
      </x:c>
      <x:c r="F1326" t="str">
        <x:v>PM</x:v>
      </x:c>
      <x:c r="G1326" t="str">
        <x:v>C</x:v>
      </x:c>
      <x:c r="H1326" t="n">
        <x:v>23</x:v>
      </x:c>
      <x:c r="I1326" t="str">
        <x:v>ORD-2025-00093</x:v>
      </x:c>
      <x:c r="J1326" t="n">
        <x:v>12</x:v>
      </x:c>
      <x:c r="K1326" t="n">
        <x:v>2</x:v>
      </x:c>
      <x:c r="L1326" t="str">
        <x:v>L23-S12-C2</x:v>
      </x:c>
      <x:c r="M1326" t="n">
        <x:v>1</x:v>
      </x:c>
      <x:c r="N1326" t="str">
        <x:v>DerivedFromCount</x:v>
      </x:c>
      <x:c r="O1326" t="str">
        <x:v>PLC-PRD-JAR-720-L23</x:v>
      </x:c>
      <x:c r="P1326" t="str">
        <x:v>OK</x:v>
      </x:c>
      <x:c r="Q1326" t="str">
        <x:v>OK</x:v>
      </x:c>
      <x:c r="R1326" t="str">
        <x:v>OK</x:v>
      </x:c>
      <x:c r="S1326" t="str">
        <x:v>OK</x:v>
      </x:c>
      <x:c r="T1326" t="n">
        <x:v>24</x:v>
      </x:c>
      <x:c r="U1326" t="str">
        <x:v>OK</x:v>
      </x:c>
      <x:c r="V1326" t="str">
        <x:v>OK</x:v>
      </x:c>
      <x:c r="W1326" t="str">
        <x:v>LOAD</x:v>
      </x:c>
      <x:c r="X1326" t="str">
        <x:v>02_Supervisor_Log(4).xlsx</x:v>
      </x:c>
      <x:c r="Y1326" t="str">
        <x:v>ENH-20260830-01</x:v>
      </x:c>
      <x:c r="Z1326" t="str">
        <x:v>Active</x:v>
      </x:c>
      <x:c r="AA1326"/>
      <x:c r="AB1326"/>
      <x:c r="AC1326"/>
      <x:c r="AD1326"/>
    </x:row>
    <x:row r="1327">
      <x:c r="A1327" t="str">
        <x:v>PCC-PE-KG01-L23-20251022-PM-ORD-2025-00093-S12-C3</x:v>
      </x:c>
      <x:c r="B1327" t="str">
        <x:v>PC-PE-KG01-L23-20251022-PM-ORD-2025-00093-S12</x:v>
      </x:c>
      <x:c r="C1327" t="str">
        <x:v>PE-KG01-L23-20251022-PM-ORD-2025-00093</x:v>
      </x:c>
      <x:c r="D1327" t="str">
        <x:v>KG01</x:v>
      </x:c>
      <x:c r="E1327" s="62" t="n">
        <x:v>45952</x:v>
      </x:c>
      <x:c r="F1327" t="str">
        <x:v>PM</x:v>
      </x:c>
      <x:c r="G1327" t="str">
        <x:v>C</x:v>
      </x:c>
      <x:c r="H1327" t="n">
        <x:v>23</x:v>
      </x:c>
      <x:c r="I1327" t="str">
        <x:v>ORD-2025-00093</x:v>
      </x:c>
      <x:c r="J1327" t="n">
        <x:v>12</x:v>
      </x:c>
      <x:c r="K1327" t="n">
        <x:v>3</x:v>
      </x:c>
      <x:c r="L1327" t="str">
        <x:v>L23-S12-C3</x:v>
      </x:c>
      <x:c r="M1327" t="n">
        <x:v>0</x:v>
      </x:c>
      <x:c r="N1327" t="str">
        <x:v>DerivedFromCount</x:v>
      </x:c>
      <x:c r="O1327" t="str">
        <x:v>PLC-PRD-JAR-720-L23</x:v>
      </x:c>
      <x:c r="P1327" t="str">
        <x:v>OK</x:v>
      </x:c>
      <x:c r="Q1327" t="str">
        <x:v>OK</x:v>
      </x:c>
      <x:c r="R1327" t="str">
        <x:v>OK</x:v>
      </x:c>
      <x:c r="S1327" t="str">
        <x:v>OK</x:v>
      </x:c>
      <x:c r="T1327" t="n">
        <x:v>24</x:v>
      </x:c>
      <x:c r="U1327" t="str">
        <x:v>OK</x:v>
      </x:c>
      <x:c r="V1327" t="str">
        <x:v>OK</x:v>
      </x:c>
      <x:c r="W1327" t="str">
        <x:v>LOAD</x:v>
      </x:c>
      <x:c r="X1327" t="str">
        <x:v>02_Supervisor_Log(4).xlsx</x:v>
      </x:c>
      <x:c r="Y1327" t="str">
        <x:v>ENH-20260830-01</x:v>
      </x:c>
      <x:c r="Z1327" t="str">
        <x:v>Active</x:v>
      </x:c>
      <x:c r="AA1327"/>
      <x:c r="AB1327"/>
      <x:c r="AC1327"/>
      <x:c r="AD1327"/>
    </x:row>
    <x:row r="1328">
      <x:c r="A1328" t="str">
        <x:v>PCC-PE-KG01-L23-20251022-PM-ORD-2025-00093-S13-C1</x:v>
      </x:c>
      <x:c r="B1328" t="str">
        <x:v>PC-PE-KG01-L23-20251022-PM-ORD-2025-00093-S13</x:v>
      </x:c>
      <x:c r="C1328" t="str">
        <x:v>PE-KG01-L23-20251022-PM-ORD-2025-00093</x:v>
      </x:c>
      <x:c r="D1328" t="str">
        <x:v>KG01</x:v>
      </x:c>
      <x:c r="E1328" s="62" t="n">
        <x:v>45952</x:v>
      </x:c>
      <x:c r="F1328" t="str">
        <x:v>PM</x:v>
      </x:c>
      <x:c r="G1328" t="str">
        <x:v>C</x:v>
      </x:c>
      <x:c r="H1328" t="n">
        <x:v>23</x:v>
      </x:c>
      <x:c r="I1328" t="str">
        <x:v>ORD-2025-00093</x:v>
      </x:c>
      <x:c r="J1328" t="n">
        <x:v>13</x:v>
      </x:c>
      <x:c r="K1328" t="n">
        <x:v>1</x:v>
      </x:c>
      <x:c r="L1328" t="str">
        <x:v>L23-S13-C1</x:v>
      </x:c>
      <x:c r="M1328" t="n">
        <x:v>0</x:v>
      </x:c>
      <x:c r="N1328" t="str">
        <x:v>DerivedFromCount</x:v>
      </x:c>
      <x:c r="O1328" t="str">
        <x:v>PLC-PRD-JAR-720-L23</x:v>
      </x:c>
      <x:c r="P1328" t="str">
        <x:v>OK</x:v>
      </x:c>
      <x:c r="Q1328" t="str">
        <x:v>OK</x:v>
      </x:c>
      <x:c r="R1328" t="str">
        <x:v>OK</x:v>
      </x:c>
      <x:c r="S1328" t="str">
        <x:v>OK</x:v>
      </x:c>
      <x:c r="T1328" t="n">
        <x:v>24</x:v>
      </x:c>
      <x:c r="U1328" t="str">
        <x:v>OK</x:v>
      </x:c>
      <x:c r="V1328" t="str">
        <x:v>OK</x:v>
      </x:c>
      <x:c r="W1328" t="str">
        <x:v>LOAD</x:v>
      </x:c>
      <x:c r="X1328" t="str">
        <x:v>02_Supervisor_Log(4).xlsx</x:v>
      </x:c>
      <x:c r="Y1328" t="str">
        <x:v>ENH-20260830-01</x:v>
      </x:c>
      <x:c r="Z1328" t="str">
        <x:v>Active</x:v>
      </x:c>
      <x:c r="AA1328"/>
      <x:c r="AB1328"/>
      <x:c r="AC1328"/>
      <x:c r="AD1328"/>
    </x:row>
    <x:row r="1329">
      <x:c r="A1329" t="str">
        <x:v>PCC-PE-KG01-L23-20251022-PM-ORD-2025-00093-S13-C2</x:v>
      </x:c>
      <x:c r="B1329" t="str">
        <x:v>PC-PE-KG01-L23-20251022-PM-ORD-2025-00093-S13</x:v>
      </x:c>
      <x:c r="C1329" t="str">
        <x:v>PE-KG01-L23-20251022-PM-ORD-2025-00093</x:v>
      </x:c>
      <x:c r="D1329" t="str">
        <x:v>KG01</x:v>
      </x:c>
      <x:c r="E1329" s="62" t="n">
        <x:v>45952</x:v>
      </x:c>
      <x:c r="F1329" t="str">
        <x:v>PM</x:v>
      </x:c>
      <x:c r="G1329" t="str">
        <x:v>C</x:v>
      </x:c>
      <x:c r="H1329" t="n">
        <x:v>23</x:v>
      </x:c>
      <x:c r="I1329" t="str">
        <x:v>ORD-2025-00093</x:v>
      </x:c>
      <x:c r="J1329" t="n">
        <x:v>13</x:v>
      </x:c>
      <x:c r="K1329" t="n">
        <x:v>2</x:v>
      </x:c>
      <x:c r="L1329" t="str">
        <x:v>L23-S13-C2</x:v>
      </x:c>
      <x:c r="M1329" t="n">
        <x:v>0</x:v>
      </x:c>
      <x:c r="N1329" t="str">
        <x:v>DerivedFromCount</x:v>
      </x:c>
      <x:c r="O1329" t="str">
        <x:v>PLC-PRD-JAR-720-L23</x:v>
      </x:c>
      <x:c r="P1329" t="str">
        <x:v>OK</x:v>
      </x:c>
      <x:c r="Q1329" t="str">
        <x:v>OK</x:v>
      </x:c>
      <x:c r="R1329" t="str">
        <x:v>OK</x:v>
      </x:c>
      <x:c r="S1329" t="str">
        <x:v>OK</x:v>
      </x:c>
      <x:c r="T1329" t="n">
        <x:v>24</x:v>
      </x:c>
      <x:c r="U1329" t="str">
        <x:v>OK</x:v>
      </x:c>
      <x:c r="V1329" t="str">
        <x:v>OK</x:v>
      </x:c>
      <x:c r="W1329" t="str">
        <x:v>LOAD</x:v>
      </x:c>
      <x:c r="X1329" t="str">
        <x:v>02_Supervisor_Log(4).xlsx</x:v>
      </x:c>
      <x:c r="Y1329" t="str">
        <x:v>ENH-20260830-01</x:v>
      </x:c>
      <x:c r="Z1329" t="str">
        <x:v>Active</x:v>
      </x:c>
      <x:c r="AA1329"/>
      <x:c r="AB1329"/>
      <x:c r="AC1329"/>
      <x:c r="AD1329"/>
    </x:row>
    <x:row r="1330">
      <x:c r="A1330" t="str">
        <x:v>PCC-PE-KG01-L23-20251022-PM-ORD-2025-00093-S13-C3</x:v>
      </x:c>
      <x:c r="B1330" t="str">
        <x:v>PC-PE-KG01-L23-20251022-PM-ORD-2025-00093-S13</x:v>
      </x:c>
      <x:c r="C1330" t="str">
        <x:v>PE-KG01-L23-20251022-PM-ORD-2025-00093</x:v>
      </x:c>
      <x:c r="D1330" t="str">
        <x:v>KG01</x:v>
      </x:c>
      <x:c r="E1330" s="62" t="n">
        <x:v>45952</x:v>
      </x:c>
      <x:c r="F1330" t="str">
        <x:v>PM</x:v>
      </x:c>
      <x:c r="G1330" t="str">
        <x:v>C</x:v>
      </x:c>
      <x:c r="H1330" t="n">
        <x:v>23</x:v>
      </x:c>
      <x:c r="I1330" t="str">
        <x:v>ORD-2025-00093</x:v>
      </x:c>
      <x:c r="J1330" t="n">
        <x:v>13</x:v>
      </x:c>
      <x:c r="K1330" t="n">
        <x:v>3</x:v>
      </x:c>
      <x:c r="L1330" t="str">
        <x:v>L23-S13-C3</x:v>
      </x:c>
      <x:c r="M1330" t="n">
        <x:v>0</x:v>
      </x:c>
      <x:c r="N1330" t="str">
        <x:v>DerivedFromCount</x:v>
      </x:c>
      <x:c r="O1330" t="str">
        <x:v>PLC-PRD-JAR-720-L23</x:v>
      </x:c>
      <x:c r="P1330" t="str">
        <x:v>OK</x:v>
      </x:c>
      <x:c r="Q1330" t="str">
        <x:v>OK</x:v>
      </x:c>
      <x:c r="R1330" t="str">
        <x:v>OK</x:v>
      </x:c>
      <x:c r="S1330" t="str">
        <x:v>OK</x:v>
      </x:c>
      <x:c r="T1330" t="n">
        <x:v>24</x:v>
      </x:c>
      <x:c r="U1330" t="str">
        <x:v>OK</x:v>
      </x:c>
      <x:c r="V1330" t="str">
        <x:v>OK</x:v>
      </x:c>
      <x:c r="W1330" t="str">
        <x:v>LOAD</x:v>
      </x:c>
      <x:c r="X1330" t="str">
        <x:v>02_Supervisor_Log(4).xlsx</x:v>
      </x:c>
      <x:c r="Y1330" t="str">
        <x:v>ENH-20260830-01</x:v>
      </x:c>
      <x:c r="Z1330" t="str">
        <x:v>Active</x:v>
      </x:c>
      <x:c r="AA1330"/>
      <x:c r="AB1330"/>
      <x:c r="AC1330"/>
      <x:c r="AD1330"/>
    </x:row>
    <x:row r="1331">
      <x:c r="A1331" t="str">
        <x:v>PCC-PE-KG01-L23-20251023-AM-ORD-2025-00093-S01-C1</x:v>
      </x:c>
      <x:c r="B1331" t="str">
        <x:v>PC-PE-KG01-L23-20251023-AM-ORD-2025-00093-S01</x:v>
      </x:c>
      <x:c r="C1331" t="str">
        <x:v>PE-KG01-L23-20251023-AM-ORD-2025-00093</x:v>
      </x:c>
      <x:c r="D1331" t="str">
        <x:v>KG01</x:v>
      </x:c>
      <x:c r="E1331" s="62" t="n">
        <x:v>45953</x:v>
      </x:c>
      <x:c r="F1331" t="str">
        <x:v>AM</x:v>
      </x:c>
      <x:c r="G1331" t="str">
        <x:v>C</x:v>
      </x:c>
      <x:c r="H1331" t="n">
        <x:v>23</x:v>
      </x:c>
      <x:c r="I1331" t="str">
        <x:v>ORD-2025-00093</x:v>
      </x:c>
      <x:c r="J1331" t="n">
        <x:v>1</x:v>
      </x:c>
      <x:c r="K1331" t="n">
        <x:v>1</x:v>
      </x:c>
      <x:c r="L1331" t="str">
        <x:v>L23-S01-C1</x:v>
      </x:c>
      <x:c r="M1331" t="n">
        <x:v>1</x:v>
      </x:c>
      <x:c r="N1331" t="str">
        <x:v>DerivedFromCount</x:v>
      </x:c>
      <x:c r="O1331" t="str">
        <x:v>PLC-PRD-JAR-720-L23</x:v>
      </x:c>
      <x:c r="P1331" t="str">
        <x:v>OK</x:v>
      </x:c>
      <x:c r="Q1331" t="str">
        <x:v>OK</x:v>
      </x:c>
      <x:c r="R1331" t="str">
        <x:v>OK</x:v>
      </x:c>
      <x:c r="S1331" t="str">
        <x:v>OK</x:v>
      </x:c>
      <x:c r="T1331" t="n">
        <x:v>24</x:v>
      </x:c>
      <x:c r="U1331" t="str">
        <x:v>OK</x:v>
      </x:c>
      <x:c r="V1331" t="str">
        <x:v>OK</x:v>
      </x:c>
      <x:c r="W1331" t="str">
        <x:v>LOAD</x:v>
      </x:c>
      <x:c r="X1331" t="str">
        <x:v>02_Supervisor_Log(4).xlsx</x:v>
      </x:c>
      <x:c r="Y1331" t="str">
        <x:v>ENH-20260830-01</x:v>
      </x:c>
      <x:c r="Z1331" t="str">
        <x:v>Active</x:v>
      </x:c>
      <x:c r="AA1331"/>
      <x:c r="AB1331"/>
      <x:c r="AC1331"/>
      <x:c r="AD1331"/>
    </x:row>
    <x:row r="1332">
      <x:c r="A1332" t="str">
        <x:v>PCC-PE-KG01-L23-20251023-AM-ORD-2025-00093-S01-C2</x:v>
      </x:c>
      <x:c r="B1332" t="str">
        <x:v>PC-PE-KG01-L23-20251023-AM-ORD-2025-00093-S01</x:v>
      </x:c>
      <x:c r="C1332" t="str">
        <x:v>PE-KG01-L23-20251023-AM-ORD-2025-00093</x:v>
      </x:c>
      <x:c r="D1332" t="str">
        <x:v>KG01</x:v>
      </x:c>
      <x:c r="E1332" s="62" t="n">
        <x:v>45953</x:v>
      </x:c>
      <x:c r="F1332" t="str">
        <x:v>AM</x:v>
      </x:c>
      <x:c r="G1332" t="str">
        <x:v>C</x:v>
      </x:c>
      <x:c r="H1332" t="n">
        <x:v>23</x:v>
      </x:c>
      <x:c r="I1332" t="str">
        <x:v>ORD-2025-00093</x:v>
      </x:c>
      <x:c r="J1332" t="n">
        <x:v>1</x:v>
      </x:c>
      <x:c r="K1332" t="n">
        <x:v>2</x:v>
      </x:c>
      <x:c r="L1332" t="str">
        <x:v>L23-S01-C2</x:v>
      </x:c>
      <x:c r="M1332" t="n">
        <x:v>1</x:v>
      </x:c>
      <x:c r="N1332" t="str">
        <x:v>DerivedFromCount</x:v>
      </x:c>
      <x:c r="O1332" t="str">
        <x:v>PLC-PRD-JAR-720-L23</x:v>
      </x:c>
      <x:c r="P1332" t="str">
        <x:v>OK</x:v>
      </x:c>
      <x:c r="Q1332" t="str">
        <x:v>OK</x:v>
      </x:c>
      <x:c r="R1332" t="str">
        <x:v>OK</x:v>
      </x:c>
      <x:c r="S1332" t="str">
        <x:v>OK</x:v>
      </x:c>
      <x:c r="T1332" t="n">
        <x:v>24</x:v>
      </x:c>
      <x:c r="U1332" t="str">
        <x:v>OK</x:v>
      </x:c>
      <x:c r="V1332" t="str">
        <x:v>OK</x:v>
      </x:c>
      <x:c r="W1332" t="str">
        <x:v>LOAD</x:v>
      </x:c>
      <x:c r="X1332" t="str">
        <x:v>02_Supervisor_Log(4).xlsx</x:v>
      </x:c>
      <x:c r="Y1332" t="str">
        <x:v>ENH-20260830-01</x:v>
      </x:c>
      <x:c r="Z1332" t="str">
        <x:v>Active</x:v>
      </x:c>
      <x:c r="AA1332"/>
      <x:c r="AB1332"/>
      <x:c r="AC1332"/>
      <x:c r="AD1332"/>
    </x:row>
    <x:row r="1333">
      <x:c r="A1333" t="str">
        <x:v>PCC-PE-KG01-L23-20251023-AM-ORD-2025-00093-S01-C3</x:v>
      </x:c>
      <x:c r="B1333" t="str">
        <x:v>PC-PE-KG01-L23-20251023-AM-ORD-2025-00093-S01</x:v>
      </x:c>
      <x:c r="C1333" t="str">
        <x:v>PE-KG01-L23-20251023-AM-ORD-2025-00093</x:v>
      </x:c>
      <x:c r="D1333" t="str">
        <x:v>KG01</x:v>
      </x:c>
      <x:c r="E1333" s="62" t="n">
        <x:v>45953</x:v>
      </x:c>
      <x:c r="F1333" t="str">
        <x:v>AM</x:v>
      </x:c>
      <x:c r="G1333" t="str">
        <x:v>C</x:v>
      </x:c>
      <x:c r="H1333" t="n">
        <x:v>23</x:v>
      </x:c>
      <x:c r="I1333" t="str">
        <x:v>ORD-2025-00093</x:v>
      </x:c>
      <x:c r="J1333" t="n">
        <x:v>1</x:v>
      </x:c>
      <x:c r="K1333" t="n">
        <x:v>3</x:v>
      </x:c>
      <x:c r="L1333" t="str">
        <x:v>L23-S01-C3</x:v>
      </x:c>
      <x:c r="M1333" t="n">
        <x:v>0</x:v>
      </x:c>
      <x:c r="N1333" t="str">
        <x:v>DerivedFromCount</x:v>
      </x:c>
      <x:c r="O1333" t="str">
        <x:v>PLC-PRD-JAR-720-L23</x:v>
      </x:c>
      <x:c r="P1333" t="str">
        <x:v>OK</x:v>
      </x:c>
      <x:c r="Q1333" t="str">
        <x:v>OK</x:v>
      </x:c>
      <x:c r="R1333" t="str">
        <x:v>OK</x:v>
      </x:c>
      <x:c r="S1333" t="str">
        <x:v>OK</x:v>
      </x:c>
      <x:c r="T1333" t="n">
        <x:v>24</x:v>
      </x:c>
      <x:c r="U1333" t="str">
        <x:v>OK</x:v>
      </x:c>
      <x:c r="V1333" t="str">
        <x:v>OK</x:v>
      </x:c>
      <x:c r="W1333" t="str">
        <x:v>LOAD</x:v>
      </x:c>
      <x:c r="X1333" t="str">
        <x:v>02_Supervisor_Log(4).xlsx</x:v>
      </x:c>
      <x:c r="Y1333" t="str">
        <x:v>ENH-20260830-01</x:v>
      </x:c>
      <x:c r="Z1333" t="str">
        <x:v>Active</x:v>
      </x:c>
      <x:c r="AA1333"/>
      <x:c r="AB1333"/>
      <x:c r="AC1333"/>
      <x:c r="AD1333"/>
    </x:row>
    <x:row r="1334">
      <x:c r="A1334" t="str">
        <x:v>PCC-PE-KG01-L23-20251023-AM-ORD-2025-00093-S02-C1</x:v>
      </x:c>
      <x:c r="B1334" t="str">
        <x:v>PC-PE-KG01-L23-20251023-AM-ORD-2025-00093-S02</x:v>
      </x:c>
      <x:c r="C1334" t="str">
        <x:v>PE-KG01-L23-20251023-AM-ORD-2025-00093</x:v>
      </x:c>
      <x:c r="D1334" t="str">
        <x:v>KG01</x:v>
      </x:c>
      <x:c r="E1334" s="62" t="n">
        <x:v>45953</x:v>
      </x:c>
      <x:c r="F1334" t="str">
        <x:v>AM</x:v>
      </x:c>
      <x:c r="G1334" t="str">
        <x:v>C</x:v>
      </x:c>
      <x:c r="H1334" t="n">
        <x:v>23</x:v>
      </x:c>
      <x:c r="I1334" t="str">
        <x:v>ORD-2025-00093</x:v>
      </x:c>
      <x:c r="J1334" t="n">
        <x:v>2</x:v>
      </x:c>
      <x:c r="K1334" t="n">
        <x:v>1</x:v>
      </x:c>
      <x:c r="L1334" t="str">
        <x:v>L23-S02-C1</x:v>
      </x:c>
      <x:c r="M1334" t="n">
        <x:v>1</x:v>
      </x:c>
      <x:c r="N1334" t="str">
        <x:v>DerivedFromCount</x:v>
      </x:c>
      <x:c r="O1334" t="str">
        <x:v>PLC-PRD-JAR-720-L23</x:v>
      </x:c>
      <x:c r="P1334" t="str">
        <x:v>OK</x:v>
      </x:c>
      <x:c r="Q1334" t="str">
        <x:v>OK</x:v>
      </x:c>
      <x:c r="R1334" t="str">
        <x:v>OK</x:v>
      </x:c>
      <x:c r="S1334" t="str">
        <x:v>OK</x:v>
      </x:c>
      <x:c r="T1334" t="n">
        <x:v>24</x:v>
      </x:c>
      <x:c r="U1334" t="str">
        <x:v>OK</x:v>
      </x:c>
      <x:c r="V1334" t="str">
        <x:v>OK</x:v>
      </x:c>
      <x:c r="W1334" t="str">
        <x:v>LOAD</x:v>
      </x:c>
      <x:c r="X1334" t="str">
        <x:v>02_Supervisor_Log(4).xlsx</x:v>
      </x:c>
      <x:c r="Y1334" t="str">
        <x:v>ENH-20260830-01</x:v>
      </x:c>
      <x:c r="Z1334" t="str">
        <x:v>Active</x:v>
      </x:c>
      <x:c r="AA1334"/>
      <x:c r="AB1334"/>
      <x:c r="AC1334"/>
      <x:c r="AD1334"/>
    </x:row>
    <x:row r="1335">
      <x:c r="A1335" t="str">
        <x:v>PCC-PE-KG01-L23-20251023-AM-ORD-2025-00093-S02-C2</x:v>
      </x:c>
      <x:c r="B1335" t="str">
        <x:v>PC-PE-KG01-L23-20251023-AM-ORD-2025-00093-S02</x:v>
      </x:c>
      <x:c r="C1335" t="str">
        <x:v>PE-KG01-L23-20251023-AM-ORD-2025-00093</x:v>
      </x:c>
      <x:c r="D1335" t="str">
        <x:v>KG01</x:v>
      </x:c>
      <x:c r="E1335" s="62" t="n">
        <x:v>45953</x:v>
      </x:c>
      <x:c r="F1335" t="str">
        <x:v>AM</x:v>
      </x:c>
      <x:c r="G1335" t="str">
        <x:v>C</x:v>
      </x:c>
      <x:c r="H1335" t="n">
        <x:v>23</x:v>
      </x:c>
      <x:c r="I1335" t="str">
        <x:v>ORD-2025-00093</x:v>
      </x:c>
      <x:c r="J1335" t="n">
        <x:v>2</x:v>
      </x:c>
      <x:c r="K1335" t="n">
        <x:v>2</x:v>
      </x:c>
      <x:c r="L1335" t="str">
        <x:v>L23-S02-C2</x:v>
      </x:c>
      <x:c r="M1335" t="n">
        <x:v>1</x:v>
      </x:c>
      <x:c r="N1335" t="str">
        <x:v>DerivedFromCount</x:v>
      </x:c>
      <x:c r="O1335" t="str">
        <x:v>PLC-PRD-JAR-720-L23</x:v>
      </x:c>
      <x:c r="P1335" t="str">
        <x:v>OK</x:v>
      </x:c>
      <x:c r="Q1335" t="str">
        <x:v>OK</x:v>
      </x:c>
      <x:c r="R1335" t="str">
        <x:v>OK</x:v>
      </x:c>
      <x:c r="S1335" t="str">
        <x:v>OK</x:v>
      </x:c>
      <x:c r="T1335" t="n">
        <x:v>24</x:v>
      </x:c>
      <x:c r="U1335" t="str">
        <x:v>OK</x:v>
      </x:c>
      <x:c r="V1335" t="str">
        <x:v>OK</x:v>
      </x:c>
      <x:c r="W1335" t="str">
        <x:v>LOAD</x:v>
      </x:c>
      <x:c r="X1335" t="str">
        <x:v>02_Supervisor_Log(4).xlsx</x:v>
      </x:c>
      <x:c r="Y1335" t="str">
        <x:v>ENH-20260830-01</x:v>
      </x:c>
      <x:c r="Z1335" t="str">
        <x:v>Active</x:v>
      </x:c>
      <x:c r="AA1335"/>
      <x:c r="AB1335"/>
      <x:c r="AC1335"/>
      <x:c r="AD1335"/>
    </x:row>
    <x:row r="1336">
      <x:c r="A1336" t="str">
        <x:v>PCC-PE-KG01-L23-20251023-AM-ORD-2025-00093-S02-C3</x:v>
      </x:c>
      <x:c r="B1336" t="str">
        <x:v>PC-PE-KG01-L23-20251023-AM-ORD-2025-00093-S02</x:v>
      </x:c>
      <x:c r="C1336" t="str">
        <x:v>PE-KG01-L23-20251023-AM-ORD-2025-00093</x:v>
      </x:c>
      <x:c r="D1336" t="str">
        <x:v>KG01</x:v>
      </x:c>
      <x:c r="E1336" s="62" t="n">
        <x:v>45953</x:v>
      </x:c>
      <x:c r="F1336" t="str">
        <x:v>AM</x:v>
      </x:c>
      <x:c r="G1336" t="str">
        <x:v>C</x:v>
      </x:c>
      <x:c r="H1336" t="n">
        <x:v>23</x:v>
      </x:c>
      <x:c r="I1336" t="str">
        <x:v>ORD-2025-00093</x:v>
      </x:c>
      <x:c r="J1336" t="n">
        <x:v>2</x:v>
      </x:c>
      <x:c r="K1336" t="n">
        <x:v>3</x:v>
      </x:c>
      <x:c r="L1336" t="str">
        <x:v>L23-S02-C3</x:v>
      </x:c>
      <x:c r="M1336" t="n">
        <x:v>0</x:v>
      </x:c>
      <x:c r="N1336" t="str">
        <x:v>DerivedFromCount</x:v>
      </x:c>
      <x:c r="O1336" t="str">
        <x:v>PLC-PRD-JAR-720-L23</x:v>
      </x:c>
      <x:c r="P1336" t="str">
        <x:v>OK</x:v>
      </x:c>
      <x:c r="Q1336" t="str">
        <x:v>OK</x:v>
      </x:c>
      <x:c r="R1336" t="str">
        <x:v>OK</x:v>
      </x:c>
      <x:c r="S1336" t="str">
        <x:v>OK</x:v>
      </x:c>
      <x:c r="T1336" t="n">
        <x:v>24</x:v>
      </x:c>
      <x:c r="U1336" t="str">
        <x:v>OK</x:v>
      </x:c>
      <x:c r="V1336" t="str">
        <x:v>OK</x:v>
      </x:c>
      <x:c r="W1336" t="str">
        <x:v>LOAD</x:v>
      </x:c>
      <x:c r="X1336" t="str">
        <x:v>02_Supervisor_Log(4).xlsx</x:v>
      </x:c>
      <x:c r="Y1336" t="str">
        <x:v>ENH-20260830-01</x:v>
      </x:c>
      <x:c r="Z1336" t="str">
        <x:v>Active</x:v>
      </x:c>
      <x:c r="AA1336"/>
      <x:c r="AB1336"/>
      <x:c r="AC1336"/>
      <x:c r="AD1336"/>
    </x:row>
    <x:row r="1337">
      <x:c r="A1337" t="str">
        <x:v>PCC-PE-KG01-L23-20251023-AM-ORD-2025-00093-S03-C1</x:v>
      </x:c>
      <x:c r="B1337" t="str">
        <x:v>PC-PE-KG01-L23-20251023-AM-ORD-2025-00093-S03</x:v>
      </x:c>
      <x:c r="C1337" t="str">
        <x:v>PE-KG01-L23-20251023-AM-ORD-2025-00093</x:v>
      </x:c>
      <x:c r="D1337" t="str">
        <x:v>KG01</x:v>
      </x:c>
      <x:c r="E1337" s="62" t="n">
        <x:v>45953</x:v>
      </x:c>
      <x:c r="F1337" t="str">
        <x:v>AM</x:v>
      </x:c>
      <x:c r="G1337" t="str">
        <x:v>C</x:v>
      </x:c>
      <x:c r="H1337" t="n">
        <x:v>23</x:v>
      </x:c>
      <x:c r="I1337" t="str">
        <x:v>ORD-2025-00093</x:v>
      </x:c>
      <x:c r="J1337" t="n">
        <x:v>3</x:v>
      </x:c>
      <x:c r="K1337" t="n">
        <x:v>1</x:v>
      </x:c>
      <x:c r="L1337" t="str">
        <x:v>L23-S03-C1</x:v>
      </x:c>
      <x:c r="M1337" t="n">
        <x:v>1</x:v>
      </x:c>
      <x:c r="N1337" t="str">
        <x:v>DerivedFromCount</x:v>
      </x:c>
      <x:c r="O1337" t="str">
        <x:v>PLC-PRD-JAR-720-L23</x:v>
      </x:c>
      <x:c r="P1337" t="str">
        <x:v>OK</x:v>
      </x:c>
      <x:c r="Q1337" t="str">
        <x:v>OK</x:v>
      </x:c>
      <x:c r="R1337" t="str">
        <x:v>OK</x:v>
      </x:c>
      <x:c r="S1337" t="str">
        <x:v>OK</x:v>
      </x:c>
      <x:c r="T1337" t="n">
        <x:v>24</x:v>
      </x:c>
      <x:c r="U1337" t="str">
        <x:v>OK</x:v>
      </x:c>
      <x:c r="V1337" t="str">
        <x:v>OK</x:v>
      </x:c>
      <x:c r="W1337" t="str">
        <x:v>LOAD</x:v>
      </x:c>
      <x:c r="X1337" t="str">
        <x:v>02_Supervisor_Log(4).xlsx</x:v>
      </x:c>
      <x:c r="Y1337" t="str">
        <x:v>ENH-20260830-01</x:v>
      </x:c>
      <x:c r="Z1337" t="str">
        <x:v>Active</x:v>
      </x:c>
      <x:c r="AA1337"/>
      <x:c r="AB1337"/>
      <x:c r="AC1337"/>
      <x:c r="AD1337"/>
    </x:row>
    <x:row r="1338">
      <x:c r="A1338" t="str">
        <x:v>PCC-PE-KG01-L23-20251023-AM-ORD-2025-00093-S03-C2</x:v>
      </x:c>
      <x:c r="B1338" t="str">
        <x:v>PC-PE-KG01-L23-20251023-AM-ORD-2025-00093-S03</x:v>
      </x:c>
      <x:c r="C1338" t="str">
        <x:v>PE-KG01-L23-20251023-AM-ORD-2025-00093</x:v>
      </x:c>
      <x:c r="D1338" t="str">
        <x:v>KG01</x:v>
      </x:c>
      <x:c r="E1338" s="62" t="n">
        <x:v>45953</x:v>
      </x:c>
      <x:c r="F1338" t="str">
        <x:v>AM</x:v>
      </x:c>
      <x:c r="G1338" t="str">
        <x:v>C</x:v>
      </x:c>
      <x:c r="H1338" t="n">
        <x:v>23</x:v>
      </x:c>
      <x:c r="I1338" t="str">
        <x:v>ORD-2025-00093</x:v>
      </x:c>
      <x:c r="J1338" t="n">
        <x:v>3</x:v>
      </x:c>
      <x:c r="K1338" t="n">
        <x:v>2</x:v>
      </x:c>
      <x:c r="L1338" t="str">
        <x:v>L23-S03-C2</x:v>
      </x:c>
      <x:c r="M1338" t="n">
        <x:v>1</x:v>
      </x:c>
      <x:c r="N1338" t="str">
        <x:v>DerivedFromCount</x:v>
      </x:c>
      <x:c r="O1338" t="str">
        <x:v>PLC-PRD-JAR-720-L23</x:v>
      </x:c>
      <x:c r="P1338" t="str">
        <x:v>OK</x:v>
      </x:c>
      <x:c r="Q1338" t="str">
        <x:v>OK</x:v>
      </x:c>
      <x:c r="R1338" t="str">
        <x:v>OK</x:v>
      </x:c>
      <x:c r="S1338" t="str">
        <x:v>OK</x:v>
      </x:c>
      <x:c r="T1338" t="n">
        <x:v>24</x:v>
      </x:c>
      <x:c r="U1338" t="str">
        <x:v>OK</x:v>
      </x:c>
      <x:c r="V1338" t="str">
        <x:v>OK</x:v>
      </x:c>
      <x:c r="W1338" t="str">
        <x:v>LOAD</x:v>
      </x:c>
      <x:c r="X1338" t="str">
        <x:v>02_Supervisor_Log(4).xlsx</x:v>
      </x:c>
      <x:c r="Y1338" t="str">
        <x:v>ENH-20260830-01</x:v>
      </x:c>
      <x:c r="Z1338" t="str">
        <x:v>Active</x:v>
      </x:c>
      <x:c r="AA1338"/>
      <x:c r="AB1338"/>
      <x:c r="AC1338"/>
      <x:c r="AD1338"/>
    </x:row>
    <x:row r="1339">
      <x:c r="A1339" t="str">
        <x:v>PCC-PE-KG01-L23-20251023-AM-ORD-2025-00093-S03-C3</x:v>
      </x:c>
      <x:c r="B1339" t="str">
        <x:v>PC-PE-KG01-L23-20251023-AM-ORD-2025-00093-S03</x:v>
      </x:c>
      <x:c r="C1339" t="str">
        <x:v>PE-KG01-L23-20251023-AM-ORD-2025-00093</x:v>
      </x:c>
      <x:c r="D1339" t="str">
        <x:v>KG01</x:v>
      </x:c>
      <x:c r="E1339" s="62" t="n">
        <x:v>45953</x:v>
      </x:c>
      <x:c r="F1339" t="str">
        <x:v>AM</x:v>
      </x:c>
      <x:c r="G1339" t="str">
        <x:v>C</x:v>
      </x:c>
      <x:c r="H1339" t="n">
        <x:v>23</x:v>
      </x:c>
      <x:c r="I1339" t="str">
        <x:v>ORD-2025-00093</x:v>
      </x:c>
      <x:c r="J1339" t="n">
        <x:v>3</x:v>
      </x:c>
      <x:c r="K1339" t="n">
        <x:v>3</x:v>
      </x:c>
      <x:c r="L1339" t="str">
        <x:v>L23-S03-C3</x:v>
      </x:c>
      <x:c r="M1339" t="n">
        <x:v>0</x:v>
      </x:c>
      <x:c r="N1339" t="str">
        <x:v>DerivedFromCount</x:v>
      </x:c>
      <x:c r="O1339" t="str">
        <x:v>PLC-PRD-JAR-720-L23</x:v>
      </x:c>
      <x:c r="P1339" t="str">
        <x:v>OK</x:v>
      </x:c>
      <x:c r="Q1339" t="str">
        <x:v>OK</x:v>
      </x:c>
      <x:c r="R1339" t="str">
        <x:v>OK</x:v>
      </x:c>
      <x:c r="S1339" t="str">
        <x:v>OK</x:v>
      </x:c>
      <x:c r="T1339" t="n">
        <x:v>24</x:v>
      </x:c>
      <x:c r="U1339" t="str">
        <x:v>OK</x:v>
      </x:c>
      <x:c r="V1339" t="str">
        <x:v>OK</x:v>
      </x:c>
      <x:c r="W1339" t="str">
        <x:v>LOAD</x:v>
      </x:c>
      <x:c r="X1339" t="str">
        <x:v>02_Supervisor_Log(4).xlsx</x:v>
      </x:c>
      <x:c r="Y1339" t="str">
        <x:v>ENH-20260830-01</x:v>
      </x:c>
      <x:c r="Z1339" t="str">
        <x:v>Active</x:v>
      </x:c>
      <x:c r="AA1339"/>
      <x:c r="AB1339"/>
      <x:c r="AC1339"/>
      <x:c r="AD1339"/>
    </x:row>
    <x:row r="1340">
      <x:c r="A1340" t="str">
        <x:v>PCC-PE-KG01-L23-20251023-AM-ORD-2025-00093-S04-C1</x:v>
      </x:c>
      <x:c r="B1340" t="str">
        <x:v>PC-PE-KG01-L23-20251023-AM-ORD-2025-00093-S04</x:v>
      </x:c>
      <x:c r="C1340" t="str">
        <x:v>PE-KG01-L23-20251023-AM-ORD-2025-00093</x:v>
      </x:c>
      <x:c r="D1340" t="str">
        <x:v>KG01</x:v>
      </x:c>
      <x:c r="E1340" s="62" t="n">
        <x:v>45953</x:v>
      </x:c>
      <x:c r="F1340" t="str">
        <x:v>AM</x:v>
      </x:c>
      <x:c r="G1340" t="str">
        <x:v>C</x:v>
      </x:c>
      <x:c r="H1340" t="n">
        <x:v>23</x:v>
      </x:c>
      <x:c r="I1340" t="str">
        <x:v>ORD-2025-00093</x:v>
      </x:c>
      <x:c r="J1340" t="n">
        <x:v>4</x:v>
      </x:c>
      <x:c r="K1340" t="n">
        <x:v>1</x:v>
      </x:c>
      <x:c r="L1340" t="str">
        <x:v>L23-S04-C1</x:v>
      </x:c>
      <x:c r="M1340" t="n">
        <x:v>1</x:v>
      </x:c>
      <x:c r="N1340" t="str">
        <x:v>DerivedFromCount</x:v>
      </x:c>
      <x:c r="O1340" t="str">
        <x:v>PLC-PRD-JAR-720-L23</x:v>
      </x:c>
      <x:c r="P1340" t="str">
        <x:v>OK</x:v>
      </x:c>
      <x:c r="Q1340" t="str">
        <x:v>OK</x:v>
      </x:c>
      <x:c r="R1340" t="str">
        <x:v>OK</x:v>
      </x:c>
      <x:c r="S1340" t="str">
        <x:v>OK</x:v>
      </x:c>
      <x:c r="T1340" t="n">
        <x:v>24</x:v>
      </x:c>
      <x:c r="U1340" t="str">
        <x:v>OK</x:v>
      </x:c>
      <x:c r="V1340" t="str">
        <x:v>OK</x:v>
      </x:c>
      <x:c r="W1340" t="str">
        <x:v>LOAD</x:v>
      </x:c>
      <x:c r="X1340" t="str">
        <x:v>02_Supervisor_Log(4).xlsx</x:v>
      </x:c>
      <x:c r="Y1340" t="str">
        <x:v>ENH-20260830-01</x:v>
      </x:c>
      <x:c r="Z1340" t="str">
        <x:v>Active</x:v>
      </x:c>
      <x:c r="AA1340"/>
      <x:c r="AB1340"/>
      <x:c r="AC1340"/>
      <x:c r="AD1340"/>
    </x:row>
    <x:row r="1341">
      <x:c r="A1341" t="str">
        <x:v>PCC-PE-KG01-L23-20251023-AM-ORD-2025-00093-S04-C2</x:v>
      </x:c>
      <x:c r="B1341" t="str">
        <x:v>PC-PE-KG01-L23-20251023-AM-ORD-2025-00093-S04</x:v>
      </x:c>
      <x:c r="C1341" t="str">
        <x:v>PE-KG01-L23-20251023-AM-ORD-2025-00093</x:v>
      </x:c>
      <x:c r="D1341" t="str">
        <x:v>KG01</x:v>
      </x:c>
      <x:c r="E1341" s="62" t="n">
        <x:v>45953</x:v>
      </x:c>
      <x:c r="F1341" t="str">
        <x:v>AM</x:v>
      </x:c>
      <x:c r="G1341" t="str">
        <x:v>C</x:v>
      </x:c>
      <x:c r="H1341" t="n">
        <x:v>23</x:v>
      </x:c>
      <x:c r="I1341" t="str">
        <x:v>ORD-2025-00093</x:v>
      </x:c>
      <x:c r="J1341" t="n">
        <x:v>4</x:v>
      </x:c>
      <x:c r="K1341" t="n">
        <x:v>2</x:v>
      </x:c>
      <x:c r="L1341" t="str">
        <x:v>L23-S04-C2</x:v>
      </x:c>
      <x:c r="M1341" t="n">
        <x:v>1</x:v>
      </x:c>
      <x:c r="N1341" t="str">
        <x:v>DerivedFromCount</x:v>
      </x:c>
      <x:c r="O1341" t="str">
        <x:v>PLC-PRD-JAR-720-L23</x:v>
      </x:c>
      <x:c r="P1341" t="str">
        <x:v>OK</x:v>
      </x:c>
      <x:c r="Q1341" t="str">
        <x:v>OK</x:v>
      </x:c>
      <x:c r="R1341" t="str">
        <x:v>OK</x:v>
      </x:c>
      <x:c r="S1341" t="str">
        <x:v>OK</x:v>
      </x:c>
      <x:c r="T1341" t="n">
        <x:v>24</x:v>
      </x:c>
      <x:c r="U1341" t="str">
        <x:v>OK</x:v>
      </x:c>
      <x:c r="V1341" t="str">
        <x:v>OK</x:v>
      </x:c>
      <x:c r="W1341" t="str">
        <x:v>LOAD</x:v>
      </x:c>
      <x:c r="X1341" t="str">
        <x:v>02_Supervisor_Log(4).xlsx</x:v>
      </x:c>
      <x:c r="Y1341" t="str">
        <x:v>ENH-20260830-01</x:v>
      </x:c>
      <x:c r="Z1341" t="str">
        <x:v>Active</x:v>
      </x:c>
      <x:c r="AA1341"/>
      <x:c r="AB1341"/>
      <x:c r="AC1341"/>
      <x:c r="AD1341"/>
    </x:row>
    <x:row r="1342">
      <x:c r="A1342" t="str">
        <x:v>PCC-PE-KG01-L23-20251023-AM-ORD-2025-00093-S04-C3</x:v>
      </x:c>
      <x:c r="B1342" t="str">
        <x:v>PC-PE-KG01-L23-20251023-AM-ORD-2025-00093-S04</x:v>
      </x:c>
      <x:c r="C1342" t="str">
        <x:v>PE-KG01-L23-20251023-AM-ORD-2025-00093</x:v>
      </x:c>
      <x:c r="D1342" t="str">
        <x:v>KG01</x:v>
      </x:c>
      <x:c r="E1342" s="62" t="n">
        <x:v>45953</x:v>
      </x:c>
      <x:c r="F1342" t="str">
        <x:v>AM</x:v>
      </x:c>
      <x:c r="G1342" t="str">
        <x:v>C</x:v>
      </x:c>
      <x:c r="H1342" t="n">
        <x:v>23</x:v>
      </x:c>
      <x:c r="I1342" t="str">
        <x:v>ORD-2025-00093</x:v>
      </x:c>
      <x:c r="J1342" t="n">
        <x:v>4</x:v>
      </x:c>
      <x:c r="K1342" t="n">
        <x:v>3</x:v>
      </x:c>
      <x:c r="L1342" t="str">
        <x:v>L23-S04-C3</x:v>
      </x:c>
      <x:c r="M1342" t="n">
        <x:v>0</x:v>
      </x:c>
      <x:c r="N1342" t="str">
        <x:v>DerivedFromCount</x:v>
      </x:c>
      <x:c r="O1342" t="str">
        <x:v>PLC-PRD-JAR-720-L23</x:v>
      </x:c>
      <x:c r="P1342" t="str">
        <x:v>OK</x:v>
      </x:c>
      <x:c r="Q1342" t="str">
        <x:v>OK</x:v>
      </x:c>
      <x:c r="R1342" t="str">
        <x:v>OK</x:v>
      </x:c>
      <x:c r="S1342" t="str">
        <x:v>OK</x:v>
      </x:c>
      <x:c r="T1342" t="n">
        <x:v>24</x:v>
      </x:c>
      <x:c r="U1342" t="str">
        <x:v>OK</x:v>
      </x:c>
      <x:c r="V1342" t="str">
        <x:v>OK</x:v>
      </x:c>
      <x:c r="W1342" t="str">
        <x:v>LOAD</x:v>
      </x:c>
      <x:c r="X1342" t="str">
        <x:v>02_Supervisor_Log(4).xlsx</x:v>
      </x:c>
      <x:c r="Y1342" t="str">
        <x:v>ENH-20260830-01</x:v>
      </x:c>
      <x:c r="Z1342" t="str">
        <x:v>Active</x:v>
      </x:c>
      <x:c r="AA1342"/>
      <x:c r="AB1342"/>
      <x:c r="AC1342"/>
      <x:c r="AD1342"/>
    </x:row>
    <x:row r="1343">
      <x:c r="A1343" t="str">
        <x:v>PCC-PE-KG01-L23-20251023-AM-ORD-2025-00093-S05-C1</x:v>
      </x:c>
      <x:c r="B1343" t="str">
        <x:v>PC-PE-KG01-L23-20251023-AM-ORD-2025-00093-S05</x:v>
      </x:c>
      <x:c r="C1343" t="str">
        <x:v>PE-KG01-L23-20251023-AM-ORD-2025-00093</x:v>
      </x:c>
      <x:c r="D1343" t="str">
        <x:v>KG01</x:v>
      </x:c>
      <x:c r="E1343" s="62" t="n">
        <x:v>45953</x:v>
      </x:c>
      <x:c r="F1343" t="str">
        <x:v>AM</x:v>
      </x:c>
      <x:c r="G1343" t="str">
        <x:v>C</x:v>
      </x:c>
      <x:c r="H1343" t="n">
        <x:v>23</x:v>
      </x:c>
      <x:c r="I1343" t="str">
        <x:v>ORD-2025-00093</x:v>
      </x:c>
      <x:c r="J1343" t="n">
        <x:v>5</x:v>
      </x:c>
      <x:c r="K1343" t="n">
        <x:v>1</x:v>
      </x:c>
      <x:c r="L1343" t="str">
        <x:v>L23-S05-C1</x:v>
      </x:c>
      <x:c r="M1343" t="n">
        <x:v>1</x:v>
      </x:c>
      <x:c r="N1343" t="str">
        <x:v>DerivedFromCount</x:v>
      </x:c>
      <x:c r="O1343" t="str">
        <x:v>PLC-PRD-JAR-720-L23</x:v>
      </x:c>
      <x:c r="P1343" t="str">
        <x:v>OK</x:v>
      </x:c>
      <x:c r="Q1343" t="str">
        <x:v>OK</x:v>
      </x:c>
      <x:c r="R1343" t="str">
        <x:v>OK</x:v>
      </x:c>
      <x:c r="S1343" t="str">
        <x:v>OK</x:v>
      </x:c>
      <x:c r="T1343" t="n">
        <x:v>24</x:v>
      </x:c>
      <x:c r="U1343" t="str">
        <x:v>OK</x:v>
      </x:c>
      <x:c r="V1343" t="str">
        <x:v>OK</x:v>
      </x:c>
      <x:c r="W1343" t="str">
        <x:v>LOAD</x:v>
      </x:c>
      <x:c r="X1343" t="str">
        <x:v>02_Supervisor_Log(4).xlsx</x:v>
      </x:c>
      <x:c r="Y1343" t="str">
        <x:v>ENH-20260830-01</x:v>
      </x:c>
      <x:c r="Z1343" t="str">
        <x:v>Active</x:v>
      </x:c>
      <x:c r="AA1343"/>
      <x:c r="AB1343"/>
      <x:c r="AC1343"/>
      <x:c r="AD1343"/>
    </x:row>
    <x:row r="1344">
      <x:c r="A1344" t="str">
        <x:v>PCC-PE-KG01-L23-20251023-AM-ORD-2025-00093-S05-C2</x:v>
      </x:c>
      <x:c r="B1344" t="str">
        <x:v>PC-PE-KG01-L23-20251023-AM-ORD-2025-00093-S05</x:v>
      </x:c>
      <x:c r="C1344" t="str">
        <x:v>PE-KG01-L23-20251023-AM-ORD-2025-00093</x:v>
      </x:c>
      <x:c r="D1344" t="str">
        <x:v>KG01</x:v>
      </x:c>
      <x:c r="E1344" s="62" t="n">
        <x:v>45953</x:v>
      </x:c>
      <x:c r="F1344" t="str">
        <x:v>AM</x:v>
      </x:c>
      <x:c r="G1344" t="str">
        <x:v>C</x:v>
      </x:c>
      <x:c r="H1344" t="n">
        <x:v>23</x:v>
      </x:c>
      <x:c r="I1344" t="str">
        <x:v>ORD-2025-00093</x:v>
      </x:c>
      <x:c r="J1344" t="n">
        <x:v>5</x:v>
      </x:c>
      <x:c r="K1344" t="n">
        <x:v>2</x:v>
      </x:c>
      <x:c r="L1344" t="str">
        <x:v>L23-S05-C2</x:v>
      </x:c>
      <x:c r="M1344" t="n">
        <x:v>1</x:v>
      </x:c>
      <x:c r="N1344" t="str">
        <x:v>DerivedFromCount</x:v>
      </x:c>
      <x:c r="O1344" t="str">
        <x:v>PLC-PRD-JAR-720-L23</x:v>
      </x:c>
      <x:c r="P1344" t="str">
        <x:v>OK</x:v>
      </x:c>
      <x:c r="Q1344" t="str">
        <x:v>OK</x:v>
      </x:c>
      <x:c r="R1344" t="str">
        <x:v>OK</x:v>
      </x:c>
      <x:c r="S1344" t="str">
        <x:v>OK</x:v>
      </x:c>
      <x:c r="T1344" t="n">
        <x:v>24</x:v>
      </x:c>
      <x:c r="U1344" t="str">
        <x:v>OK</x:v>
      </x:c>
      <x:c r="V1344" t="str">
        <x:v>OK</x:v>
      </x:c>
      <x:c r="W1344" t="str">
        <x:v>LOAD</x:v>
      </x:c>
      <x:c r="X1344" t="str">
        <x:v>02_Supervisor_Log(4).xlsx</x:v>
      </x:c>
      <x:c r="Y1344" t="str">
        <x:v>ENH-20260830-01</x:v>
      </x:c>
      <x:c r="Z1344" t="str">
        <x:v>Active</x:v>
      </x:c>
      <x:c r="AA1344"/>
      <x:c r="AB1344"/>
      <x:c r="AC1344"/>
      <x:c r="AD1344"/>
    </x:row>
    <x:row r="1345">
      <x:c r="A1345" t="str">
        <x:v>PCC-PE-KG01-L23-20251023-AM-ORD-2025-00093-S05-C3</x:v>
      </x:c>
      <x:c r="B1345" t="str">
        <x:v>PC-PE-KG01-L23-20251023-AM-ORD-2025-00093-S05</x:v>
      </x:c>
      <x:c r="C1345" t="str">
        <x:v>PE-KG01-L23-20251023-AM-ORD-2025-00093</x:v>
      </x:c>
      <x:c r="D1345" t="str">
        <x:v>KG01</x:v>
      </x:c>
      <x:c r="E1345" s="62" t="n">
        <x:v>45953</x:v>
      </x:c>
      <x:c r="F1345" t="str">
        <x:v>AM</x:v>
      </x:c>
      <x:c r="G1345" t="str">
        <x:v>C</x:v>
      </x:c>
      <x:c r="H1345" t="n">
        <x:v>23</x:v>
      </x:c>
      <x:c r="I1345" t="str">
        <x:v>ORD-2025-00093</x:v>
      </x:c>
      <x:c r="J1345" t="n">
        <x:v>5</x:v>
      </x:c>
      <x:c r="K1345" t="n">
        <x:v>3</x:v>
      </x:c>
      <x:c r="L1345" t="str">
        <x:v>L23-S05-C3</x:v>
      </x:c>
      <x:c r="M1345" t="n">
        <x:v>0</x:v>
      </x:c>
      <x:c r="N1345" t="str">
        <x:v>DerivedFromCount</x:v>
      </x:c>
      <x:c r="O1345" t="str">
        <x:v>PLC-PRD-JAR-720-L23</x:v>
      </x:c>
      <x:c r="P1345" t="str">
        <x:v>OK</x:v>
      </x:c>
      <x:c r="Q1345" t="str">
        <x:v>OK</x:v>
      </x:c>
      <x:c r="R1345" t="str">
        <x:v>OK</x:v>
      </x:c>
      <x:c r="S1345" t="str">
        <x:v>OK</x:v>
      </x:c>
      <x:c r="T1345" t="n">
        <x:v>24</x:v>
      </x:c>
      <x:c r="U1345" t="str">
        <x:v>OK</x:v>
      </x:c>
      <x:c r="V1345" t="str">
        <x:v>OK</x:v>
      </x:c>
      <x:c r="W1345" t="str">
        <x:v>LOAD</x:v>
      </x:c>
      <x:c r="X1345" t="str">
        <x:v>02_Supervisor_Log(4).xlsx</x:v>
      </x:c>
      <x:c r="Y1345" t="str">
        <x:v>ENH-20260830-01</x:v>
      </x:c>
      <x:c r="Z1345" t="str">
        <x:v>Active</x:v>
      </x:c>
      <x:c r="AA1345"/>
      <x:c r="AB1345"/>
      <x:c r="AC1345"/>
      <x:c r="AD1345"/>
    </x:row>
    <x:row r="1346">
      <x:c r="A1346" t="str">
        <x:v>PCC-PE-KG01-L23-20251023-AM-ORD-2025-00093-S06-C1</x:v>
      </x:c>
      <x:c r="B1346" t="str">
        <x:v>PC-PE-KG01-L23-20251023-AM-ORD-2025-00093-S06</x:v>
      </x:c>
      <x:c r="C1346" t="str">
        <x:v>PE-KG01-L23-20251023-AM-ORD-2025-00093</x:v>
      </x:c>
      <x:c r="D1346" t="str">
        <x:v>KG01</x:v>
      </x:c>
      <x:c r="E1346" s="62" t="n">
        <x:v>45953</x:v>
      </x:c>
      <x:c r="F1346" t="str">
        <x:v>AM</x:v>
      </x:c>
      <x:c r="G1346" t="str">
        <x:v>C</x:v>
      </x:c>
      <x:c r="H1346" t="n">
        <x:v>23</x:v>
      </x:c>
      <x:c r="I1346" t="str">
        <x:v>ORD-2025-00093</x:v>
      </x:c>
      <x:c r="J1346" t="n">
        <x:v>6</x:v>
      </x:c>
      <x:c r="K1346" t="n">
        <x:v>1</x:v>
      </x:c>
      <x:c r="L1346" t="str">
        <x:v>L23-S06-C1</x:v>
      </x:c>
      <x:c r="M1346" t="n">
        <x:v>1</x:v>
      </x:c>
      <x:c r="N1346" t="str">
        <x:v>DerivedFromCount</x:v>
      </x:c>
      <x:c r="O1346" t="str">
        <x:v>PLC-PRD-JAR-720-L23</x:v>
      </x:c>
      <x:c r="P1346" t="str">
        <x:v>OK</x:v>
      </x:c>
      <x:c r="Q1346" t="str">
        <x:v>OK</x:v>
      </x:c>
      <x:c r="R1346" t="str">
        <x:v>OK</x:v>
      </x:c>
      <x:c r="S1346" t="str">
        <x:v>OK</x:v>
      </x:c>
      <x:c r="T1346" t="n">
        <x:v>24</x:v>
      </x:c>
      <x:c r="U1346" t="str">
        <x:v>OK</x:v>
      </x:c>
      <x:c r="V1346" t="str">
        <x:v>OK</x:v>
      </x:c>
      <x:c r="W1346" t="str">
        <x:v>LOAD</x:v>
      </x:c>
      <x:c r="X1346" t="str">
        <x:v>02_Supervisor_Log(4).xlsx</x:v>
      </x:c>
      <x:c r="Y1346" t="str">
        <x:v>ENH-20260830-01</x:v>
      </x:c>
      <x:c r="Z1346" t="str">
        <x:v>Active</x:v>
      </x:c>
      <x:c r="AA1346"/>
      <x:c r="AB1346"/>
      <x:c r="AC1346"/>
      <x:c r="AD1346"/>
    </x:row>
    <x:row r="1347">
      <x:c r="A1347" t="str">
        <x:v>PCC-PE-KG01-L23-20251023-AM-ORD-2025-00093-S06-C2</x:v>
      </x:c>
      <x:c r="B1347" t="str">
        <x:v>PC-PE-KG01-L23-20251023-AM-ORD-2025-00093-S06</x:v>
      </x:c>
      <x:c r="C1347" t="str">
        <x:v>PE-KG01-L23-20251023-AM-ORD-2025-00093</x:v>
      </x:c>
      <x:c r="D1347" t="str">
        <x:v>KG01</x:v>
      </x:c>
      <x:c r="E1347" s="62" t="n">
        <x:v>45953</x:v>
      </x:c>
      <x:c r="F1347" t="str">
        <x:v>AM</x:v>
      </x:c>
      <x:c r="G1347" t="str">
        <x:v>C</x:v>
      </x:c>
      <x:c r="H1347" t="n">
        <x:v>23</x:v>
      </x:c>
      <x:c r="I1347" t="str">
        <x:v>ORD-2025-00093</x:v>
      </x:c>
      <x:c r="J1347" t="n">
        <x:v>6</x:v>
      </x:c>
      <x:c r="K1347" t="n">
        <x:v>2</x:v>
      </x:c>
      <x:c r="L1347" t="str">
        <x:v>L23-S06-C2</x:v>
      </x:c>
      <x:c r="M1347" t="n">
        <x:v>1</x:v>
      </x:c>
      <x:c r="N1347" t="str">
        <x:v>DerivedFromCount</x:v>
      </x:c>
      <x:c r="O1347" t="str">
        <x:v>PLC-PRD-JAR-720-L23</x:v>
      </x:c>
      <x:c r="P1347" t="str">
        <x:v>OK</x:v>
      </x:c>
      <x:c r="Q1347" t="str">
        <x:v>OK</x:v>
      </x:c>
      <x:c r="R1347" t="str">
        <x:v>OK</x:v>
      </x:c>
      <x:c r="S1347" t="str">
        <x:v>OK</x:v>
      </x:c>
      <x:c r="T1347" t="n">
        <x:v>24</x:v>
      </x:c>
      <x:c r="U1347" t="str">
        <x:v>OK</x:v>
      </x:c>
      <x:c r="V1347" t="str">
        <x:v>OK</x:v>
      </x:c>
      <x:c r="W1347" t="str">
        <x:v>LOAD</x:v>
      </x:c>
      <x:c r="X1347" t="str">
        <x:v>02_Supervisor_Log(4).xlsx</x:v>
      </x:c>
      <x:c r="Y1347" t="str">
        <x:v>ENH-20260830-01</x:v>
      </x:c>
      <x:c r="Z1347" t="str">
        <x:v>Active</x:v>
      </x:c>
      <x:c r="AA1347"/>
      <x:c r="AB1347"/>
      <x:c r="AC1347"/>
      <x:c r="AD1347"/>
    </x:row>
    <x:row r="1348">
      <x:c r="A1348" t="str">
        <x:v>PCC-PE-KG01-L23-20251023-AM-ORD-2025-00093-S06-C3</x:v>
      </x:c>
      <x:c r="B1348" t="str">
        <x:v>PC-PE-KG01-L23-20251023-AM-ORD-2025-00093-S06</x:v>
      </x:c>
      <x:c r="C1348" t="str">
        <x:v>PE-KG01-L23-20251023-AM-ORD-2025-00093</x:v>
      </x:c>
      <x:c r="D1348" t="str">
        <x:v>KG01</x:v>
      </x:c>
      <x:c r="E1348" s="62" t="n">
        <x:v>45953</x:v>
      </x:c>
      <x:c r="F1348" t="str">
        <x:v>AM</x:v>
      </x:c>
      <x:c r="G1348" t="str">
        <x:v>C</x:v>
      </x:c>
      <x:c r="H1348" t="n">
        <x:v>23</x:v>
      </x:c>
      <x:c r="I1348" t="str">
        <x:v>ORD-2025-00093</x:v>
      </x:c>
      <x:c r="J1348" t="n">
        <x:v>6</x:v>
      </x:c>
      <x:c r="K1348" t="n">
        <x:v>3</x:v>
      </x:c>
      <x:c r="L1348" t="str">
        <x:v>L23-S06-C3</x:v>
      </x:c>
      <x:c r="M1348" t="n">
        <x:v>0</x:v>
      </x:c>
      <x:c r="N1348" t="str">
        <x:v>DerivedFromCount</x:v>
      </x:c>
      <x:c r="O1348" t="str">
        <x:v>PLC-PRD-JAR-720-L23</x:v>
      </x:c>
      <x:c r="P1348" t="str">
        <x:v>OK</x:v>
      </x:c>
      <x:c r="Q1348" t="str">
        <x:v>OK</x:v>
      </x:c>
      <x:c r="R1348" t="str">
        <x:v>OK</x:v>
      </x:c>
      <x:c r="S1348" t="str">
        <x:v>OK</x:v>
      </x:c>
      <x:c r="T1348" t="n">
        <x:v>24</x:v>
      </x:c>
      <x:c r="U1348" t="str">
        <x:v>OK</x:v>
      </x:c>
      <x:c r="V1348" t="str">
        <x:v>OK</x:v>
      </x:c>
      <x:c r="W1348" t="str">
        <x:v>LOAD</x:v>
      </x:c>
      <x:c r="X1348" t="str">
        <x:v>02_Supervisor_Log(4).xlsx</x:v>
      </x:c>
      <x:c r="Y1348" t="str">
        <x:v>ENH-20260830-01</x:v>
      </x:c>
      <x:c r="Z1348" t="str">
        <x:v>Active</x:v>
      </x:c>
      <x:c r="AA1348"/>
      <x:c r="AB1348"/>
      <x:c r="AC1348"/>
      <x:c r="AD1348"/>
    </x:row>
    <x:row r="1349">
      <x:c r="A1349" t="str">
        <x:v>PCC-PE-KG01-L23-20251023-AM-ORD-2025-00093-S07-C1</x:v>
      </x:c>
      <x:c r="B1349" t="str">
        <x:v>PC-PE-KG01-L23-20251023-AM-ORD-2025-00093-S07</x:v>
      </x:c>
      <x:c r="C1349" t="str">
        <x:v>PE-KG01-L23-20251023-AM-ORD-2025-00093</x:v>
      </x:c>
      <x:c r="D1349" t="str">
        <x:v>KG01</x:v>
      </x:c>
      <x:c r="E1349" s="62" t="n">
        <x:v>45953</x:v>
      </x:c>
      <x:c r="F1349" t="str">
        <x:v>AM</x:v>
      </x:c>
      <x:c r="G1349" t="str">
        <x:v>C</x:v>
      </x:c>
      <x:c r="H1349" t="n">
        <x:v>23</x:v>
      </x:c>
      <x:c r="I1349" t="str">
        <x:v>ORD-2025-00093</x:v>
      </x:c>
      <x:c r="J1349" t="n">
        <x:v>7</x:v>
      </x:c>
      <x:c r="K1349" t="n">
        <x:v>1</x:v>
      </x:c>
      <x:c r="L1349" t="str">
        <x:v>L23-S07-C1</x:v>
      </x:c>
      <x:c r="M1349" t="n">
        <x:v>1</x:v>
      </x:c>
      <x:c r="N1349" t="str">
        <x:v>DerivedFromCount</x:v>
      </x:c>
      <x:c r="O1349" t="str">
        <x:v>PLC-PRD-JAR-720-L23</x:v>
      </x:c>
      <x:c r="P1349" t="str">
        <x:v>OK</x:v>
      </x:c>
      <x:c r="Q1349" t="str">
        <x:v>OK</x:v>
      </x:c>
      <x:c r="R1349" t="str">
        <x:v>OK</x:v>
      </x:c>
      <x:c r="S1349" t="str">
        <x:v>OK</x:v>
      </x:c>
      <x:c r="T1349" t="n">
        <x:v>24</x:v>
      </x:c>
      <x:c r="U1349" t="str">
        <x:v>OK</x:v>
      </x:c>
      <x:c r="V1349" t="str">
        <x:v>OK</x:v>
      </x:c>
      <x:c r="W1349" t="str">
        <x:v>LOAD</x:v>
      </x:c>
      <x:c r="X1349" t="str">
        <x:v>02_Supervisor_Log(4).xlsx</x:v>
      </x:c>
      <x:c r="Y1349" t="str">
        <x:v>ENH-20260830-01</x:v>
      </x:c>
      <x:c r="Z1349" t="str">
        <x:v>Active</x:v>
      </x:c>
      <x:c r="AA1349"/>
      <x:c r="AB1349"/>
      <x:c r="AC1349"/>
      <x:c r="AD1349"/>
    </x:row>
    <x:row r="1350">
      <x:c r="A1350" t="str">
        <x:v>PCC-PE-KG01-L23-20251023-AM-ORD-2025-00093-S07-C2</x:v>
      </x:c>
      <x:c r="B1350" t="str">
        <x:v>PC-PE-KG01-L23-20251023-AM-ORD-2025-00093-S07</x:v>
      </x:c>
      <x:c r="C1350" t="str">
        <x:v>PE-KG01-L23-20251023-AM-ORD-2025-00093</x:v>
      </x:c>
      <x:c r="D1350" t="str">
        <x:v>KG01</x:v>
      </x:c>
      <x:c r="E1350" s="62" t="n">
        <x:v>45953</x:v>
      </x:c>
      <x:c r="F1350" t="str">
        <x:v>AM</x:v>
      </x:c>
      <x:c r="G1350" t="str">
        <x:v>C</x:v>
      </x:c>
      <x:c r="H1350" t="n">
        <x:v>23</x:v>
      </x:c>
      <x:c r="I1350" t="str">
        <x:v>ORD-2025-00093</x:v>
      </x:c>
      <x:c r="J1350" t="n">
        <x:v>7</x:v>
      </x:c>
      <x:c r="K1350" t="n">
        <x:v>2</x:v>
      </x:c>
      <x:c r="L1350" t="str">
        <x:v>L23-S07-C2</x:v>
      </x:c>
      <x:c r="M1350" t="n">
        <x:v>1</x:v>
      </x:c>
      <x:c r="N1350" t="str">
        <x:v>DerivedFromCount</x:v>
      </x:c>
      <x:c r="O1350" t="str">
        <x:v>PLC-PRD-JAR-720-L23</x:v>
      </x:c>
      <x:c r="P1350" t="str">
        <x:v>OK</x:v>
      </x:c>
      <x:c r="Q1350" t="str">
        <x:v>OK</x:v>
      </x:c>
      <x:c r="R1350" t="str">
        <x:v>OK</x:v>
      </x:c>
      <x:c r="S1350" t="str">
        <x:v>OK</x:v>
      </x:c>
      <x:c r="T1350" t="n">
        <x:v>24</x:v>
      </x:c>
      <x:c r="U1350" t="str">
        <x:v>OK</x:v>
      </x:c>
      <x:c r="V1350" t="str">
        <x:v>OK</x:v>
      </x:c>
      <x:c r="W1350" t="str">
        <x:v>LOAD</x:v>
      </x:c>
      <x:c r="X1350" t="str">
        <x:v>02_Supervisor_Log(4).xlsx</x:v>
      </x:c>
      <x:c r="Y1350" t="str">
        <x:v>ENH-20260830-01</x:v>
      </x:c>
      <x:c r="Z1350" t="str">
        <x:v>Active</x:v>
      </x:c>
      <x:c r="AA1350"/>
      <x:c r="AB1350"/>
      <x:c r="AC1350"/>
      <x:c r="AD1350"/>
    </x:row>
    <x:row r="1351">
      <x:c r="A1351" t="str">
        <x:v>PCC-PE-KG01-L23-20251023-AM-ORD-2025-00093-S07-C3</x:v>
      </x:c>
      <x:c r="B1351" t="str">
        <x:v>PC-PE-KG01-L23-20251023-AM-ORD-2025-00093-S07</x:v>
      </x:c>
      <x:c r="C1351" t="str">
        <x:v>PE-KG01-L23-20251023-AM-ORD-2025-00093</x:v>
      </x:c>
      <x:c r="D1351" t="str">
        <x:v>KG01</x:v>
      </x:c>
      <x:c r="E1351" s="62" t="n">
        <x:v>45953</x:v>
      </x:c>
      <x:c r="F1351" t="str">
        <x:v>AM</x:v>
      </x:c>
      <x:c r="G1351" t="str">
        <x:v>C</x:v>
      </x:c>
      <x:c r="H1351" t="n">
        <x:v>23</x:v>
      </x:c>
      <x:c r="I1351" t="str">
        <x:v>ORD-2025-00093</x:v>
      </x:c>
      <x:c r="J1351" t="n">
        <x:v>7</x:v>
      </x:c>
      <x:c r="K1351" t="n">
        <x:v>3</x:v>
      </x:c>
      <x:c r="L1351" t="str">
        <x:v>L23-S07-C3</x:v>
      </x:c>
      <x:c r="M1351" t="n">
        <x:v>0</x:v>
      </x:c>
      <x:c r="N1351" t="str">
        <x:v>DerivedFromCount</x:v>
      </x:c>
      <x:c r="O1351" t="str">
        <x:v>PLC-PRD-JAR-720-L23</x:v>
      </x:c>
      <x:c r="P1351" t="str">
        <x:v>OK</x:v>
      </x:c>
      <x:c r="Q1351" t="str">
        <x:v>OK</x:v>
      </x:c>
      <x:c r="R1351" t="str">
        <x:v>OK</x:v>
      </x:c>
      <x:c r="S1351" t="str">
        <x:v>OK</x:v>
      </x:c>
      <x:c r="T1351" t="n">
        <x:v>24</x:v>
      </x:c>
      <x:c r="U1351" t="str">
        <x:v>OK</x:v>
      </x:c>
      <x:c r="V1351" t="str">
        <x:v>OK</x:v>
      </x:c>
      <x:c r="W1351" t="str">
        <x:v>LOAD</x:v>
      </x:c>
      <x:c r="X1351" t="str">
        <x:v>02_Supervisor_Log(4).xlsx</x:v>
      </x:c>
      <x:c r="Y1351" t="str">
        <x:v>ENH-20260830-01</x:v>
      </x:c>
      <x:c r="Z1351" t="str">
        <x:v>Active</x:v>
      </x:c>
      <x:c r="AA1351"/>
      <x:c r="AB1351"/>
      <x:c r="AC1351"/>
      <x:c r="AD1351"/>
    </x:row>
    <x:row r="1352">
      <x:c r="A1352" t="str">
        <x:v>PCC-PE-KG01-L23-20251023-AM-ORD-2025-00093-S08-C1</x:v>
      </x:c>
      <x:c r="B1352" t="str">
        <x:v>PC-PE-KG01-L23-20251023-AM-ORD-2025-00093-S08</x:v>
      </x:c>
      <x:c r="C1352" t="str">
        <x:v>PE-KG01-L23-20251023-AM-ORD-2025-00093</x:v>
      </x:c>
      <x:c r="D1352" t="str">
        <x:v>KG01</x:v>
      </x:c>
      <x:c r="E1352" s="62" t="n">
        <x:v>45953</x:v>
      </x:c>
      <x:c r="F1352" t="str">
        <x:v>AM</x:v>
      </x:c>
      <x:c r="G1352" t="str">
        <x:v>C</x:v>
      </x:c>
      <x:c r="H1352" t="n">
        <x:v>23</x:v>
      </x:c>
      <x:c r="I1352" t="str">
        <x:v>ORD-2025-00093</x:v>
      </x:c>
      <x:c r="J1352" t="n">
        <x:v>8</x:v>
      </x:c>
      <x:c r="K1352" t="n">
        <x:v>1</x:v>
      </x:c>
      <x:c r="L1352" t="str">
        <x:v>L23-S08-C1</x:v>
      </x:c>
      <x:c r="M1352" t="n">
        <x:v>1</x:v>
      </x:c>
      <x:c r="N1352" t="str">
        <x:v>DerivedFromCount</x:v>
      </x:c>
      <x:c r="O1352" t="str">
        <x:v>PLC-PRD-JAR-720-L23</x:v>
      </x:c>
      <x:c r="P1352" t="str">
        <x:v>OK</x:v>
      </x:c>
      <x:c r="Q1352" t="str">
        <x:v>OK</x:v>
      </x:c>
      <x:c r="R1352" t="str">
        <x:v>OK</x:v>
      </x:c>
      <x:c r="S1352" t="str">
        <x:v>OK</x:v>
      </x:c>
      <x:c r="T1352" t="n">
        <x:v>24</x:v>
      </x:c>
      <x:c r="U1352" t="str">
        <x:v>OK</x:v>
      </x:c>
      <x:c r="V1352" t="str">
        <x:v>OK</x:v>
      </x:c>
      <x:c r="W1352" t="str">
        <x:v>LOAD</x:v>
      </x:c>
      <x:c r="X1352" t="str">
        <x:v>02_Supervisor_Log(4).xlsx</x:v>
      </x:c>
      <x:c r="Y1352" t="str">
        <x:v>ENH-20260830-01</x:v>
      </x:c>
      <x:c r="Z1352" t="str">
        <x:v>Active</x:v>
      </x:c>
      <x:c r="AA1352"/>
      <x:c r="AB1352"/>
      <x:c r="AC1352"/>
      <x:c r="AD1352"/>
    </x:row>
    <x:row r="1353">
      <x:c r="A1353" t="str">
        <x:v>PCC-PE-KG01-L23-20251023-AM-ORD-2025-00093-S08-C2</x:v>
      </x:c>
      <x:c r="B1353" t="str">
        <x:v>PC-PE-KG01-L23-20251023-AM-ORD-2025-00093-S08</x:v>
      </x:c>
      <x:c r="C1353" t="str">
        <x:v>PE-KG01-L23-20251023-AM-ORD-2025-00093</x:v>
      </x:c>
      <x:c r="D1353" t="str">
        <x:v>KG01</x:v>
      </x:c>
      <x:c r="E1353" s="62" t="n">
        <x:v>45953</x:v>
      </x:c>
      <x:c r="F1353" t="str">
        <x:v>AM</x:v>
      </x:c>
      <x:c r="G1353" t="str">
        <x:v>C</x:v>
      </x:c>
      <x:c r="H1353" t="n">
        <x:v>23</x:v>
      </x:c>
      <x:c r="I1353" t="str">
        <x:v>ORD-2025-00093</x:v>
      </x:c>
      <x:c r="J1353" t="n">
        <x:v>8</x:v>
      </x:c>
      <x:c r="K1353" t="n">
        <x:v>2</x:v>
      </x:c>
      <x:c r="L1353" t="str">
        <x:v>L23-S08-C2</x:v>
      </x:c>
      <x:c r="M1353" t="n">
        <x:v>1</x:v>
      </x:c>
      <x:c r="N1353" t="str">
        <x:v>DerivedFromCount</x:v>
      </x:c>
      <x:c r="O1353" t="str">
        <x:v>PLC-PRD-JAR-720-L23</x:v>
      </x:c>
      <x:c r="P1353" t="str">
        <x:v>OK</x:v>
      </x:c>
      <x:c r="Q1353" t="str">
        <x:v>OK</x:v>
      </x:c>
      <x:c r="R1353" t="str">
        <x:v>OK</x:v>
      </x:c>
      <x:c r="S1353" t="str">
        <x:v>OK</x:v>
      </x:c>
      <x:c r="T1353" t="n">
        <x:v>24</x:v>
      </x:c>
      <x:c r="U1353" t="str">
        <x:v>OK</x:v>
      </x:c>
      <x:c r="V1353" t="str">
        <x:v>OK</x:v>
      </x:c>
      <x:c r="W1353" t="str">
        <x:v>LOAD</x:v>
      </x:c>
      <x:c r="X1353" t="str">
        <x:v>02_Supervisor_Log(4).xlsx</x:v>
      </x:c>
      <x:c r="Y1353" t="str">
        <x:v>ENH-20260830-01</x:v>
      </x:c>
      <x:c r="Z1353" t="str">
        <x:v>Active</x:v>
      </x:c>
      <x:c r="AA1353"/>
      <x:c r="AB1353"/>
      <x:c r="AC1353"/>
      <x:c r="AD1353"/>
    </x:row>
    <x:row r="1354">
      <x:c r="A1354" t="str">
        <x:v>PCC-PE-KG01-L23-20251023-AM-ORD-2025-00093-S08-C3</x:v>
      </x:c>
      <x:c r="B1354" t="str">
        <x:v>PC-PE-KG01-L23-20251023-AM-ORD-2025-00093-S08</x:v>
      </x:c>
      <x:c r="C1354" t="str">
        <x:v>PE-KG01-L23-20251023-AM-ORD-2025-00093</x:v>
      </x:c>
      <x:c r="D1354" t="str">
        <x:v>KG01</x:v>
      </x:c>
      <x:c r="E1354" s="62" t="n">
        <x:v>45953</x:v>
      </x:c>
      <x:c r="F1354" t="str">
        <x:v>AM</x:v>
      </x:c>
      <x:c r="G1354" t="str">
        <x:v>C</x:v>
      </x:c>
      <x:c r="H1354" t="n">
        <x:v>23</x:v>
      </x:c>
      <x:c r="I1354" t="str">
        <x:v>ORD-2025-00093</x:v>
      </x:c>
      <x:c r="J1354" t="n">
        <x:v>8</x:v>
      </x:c>
      <x:c r="K1354" t="n">
        <x:v>3</x:v>
      </x:c>
      <x:c r="L1354" t="str">
        <x:v>L23-S08-C3</x:v>
      </x:c>
      <x:c r="M1354" t="n">
        <x:v>0</x:v>
      </x:c>
      <x:c r="N1354" t="str">
        <x:v>DerivedFromCount</x:v>
      </x:c>
      <x:c r="O1354" t="str">
        <x:v>PLC-PRD-JAR-720-L23</x:v>
      </x:c>
      <x:c r="P1354" t="str">
        <x:v>OK</x:v>
      </x:c>
      <x:c r="Q1354" t="str">
        <x:v>OK</x:v>
      </x:c>
      <x:c r="R1354" t="str">
        <x:v>OK</x:v>
      </x:c>
      <x:c r="S1354" t="str">
        <x:v>OK</x:v>
      </x:c>
      <x:c r="T1354" t="n">
        <x:v>24</x:v>
      </x:c>
      <x:c r="U1354" t="str">
        <x:v>OK</x:v>
      </x:c>
      <x:c r="V1354" t="str">
        <x:v>OK</x:v>
      </x:c>
      <x:c r="W1354" t="str">
        <x:v>LOAD</x:v>
      </x:c>
      <x:c r="X1354" t="str">
        <x:v>02_Supervisor_Log(4).xlsx</x:v>
      </x:c>
      <x:c r="Y1354" t="str">
        <x:v>ENH-20260830-01</x:v>
      </x:c>
      <x:c r="Z1354" t="str">
        <x:v>Active</x:v>
      </x:c>
      <x:c r="AA1354"/>
      <x:c r="AB1354"/>
      <x:c r="AC1354"/>
      <x:c r="AD1354"/>
    </x:row>
    <x:row r="1355">
      <x:c r="A1355" t="str">
        <x:v>PCC-PE-KG01-L23-20251023-AM-ORD-2025-00093-S09-C1</x:v>
      </x:c>
      <x:c r="B1355" t="str">
        <x:v>PC-PE-KG01-L23-20251023-AM-ORD-2025-00093-S09</x:v>
      </x:c>
      <x:c r="C1355" t="str">
        <x:v>PE-KG01-L23-20251023-AM-ORD-2025-00093</x:v>
      </x:c>
      <x:c r="D1355" t="str">
        <x:v>KG01</x:v>
      </x:c>
      <x:c r="E1355" s="62" t="n">
        <x:v>45953</x:v>
      </x:c>
      <x:c r="F1355" t="str">
        <x:v>AM</x:v>
      </x:c>
      <x:c r="G1355" t="str">
        <x:v>C</x:v>
      </x:c>
      <x:c r="H1355" t="n">
        <x:v>23</x:v>
      </x:c>
      <x:c r="I1355" t="str">
        <x:v>ORD-2025-00093</x:v>
      </x:c>
      <x:c r="J1355" t="n">
        <x:v>9</x:v>
      </x:c>
      <x:c r="K1355" t="n">
        <x:v>1</x:v>
      </x:c>
      <x:c r="L1355" t="str">
        <x:v>L23-S09-C1</x:v>
      </x:c>
      <x:c r="M1355" t="n">
        <x:v>1</x:v>
      </x:c>
      <x:c r="N1355" t="str">
        <x:v>DerivedFromCount</x:v>
      </x:c>
      <x:c r="O1355" t="str">
        <x:v>PLC-PRD-JAR-720-L23</x:v>
      </x:c>
      <x:c r="P1355" t="str">
        <x:v>OK</x:v>
      </x:c>
      <x:c r="Q1355" t="str">
        <x:v>OK</x:v>
      </x:c>
      <x:c r="R1355" t="str">
        <x:v>OK</x:v>
      </x:c>
      <x:c r="S1355" t="str">
        <x:v>OK</x:v>
      </x:c>
      <x:c r="T1355" t="n">
        <x:v>24</x:v>
      </x:c>
      <x:c r="U1355" t="str">
        <x:v>OK</x:v>
      </x:c>
      <x:c r="V1355" t="str">
        <x:v>OK</x:v>
      </x:c>
      <x:c r="W1355" t="str">
        <x:v>LOAD</x:v>
      </x:c>
      <x:c r="X1355" t="str">
        <x:v>02_Supervisor_Log(4).xlsx</x:v>
      </x:c>
      <x:c r="Y1355" t="str">
        <x:v>ENH-20260830-01</x:v>
      </x:c>
      <x:c r="Z1355" t="str">
        <x:v>Active</x:v>
      </x:c>
      <x:c r="AA1355"/>
      <x:c r="AB1355"/>
      <x:c r="AC1355"/>
      <x:c r="AD1355"/>
    </x:row>
    <x:row r="1356">
      <x:c r="A1356" t="str">
        <x:v>PCC-PE-KG01-L23-20251023-AM-ORD-2025-00093-S09-C2</x:v>
      </x:c>
      <x:c r="B1356" t="str">
        <x:v>PC-PE-KG01-L23-20251023-AM-ORD-2025-00093-S09</x:v>
      </x:c>
      <x:c r="C1356" t="str">
        <x:v>PE-KG01-L23-20251023-AM-ORD-2025-00093</x:v>
      </x:c>
      <x:c r="D1356" t="str">
        <x:v>KG01</x:v>
      </x:c>
      <x:c r="E1356" s="62" t="n">
        <x:v>45953</x:v>
      </x:c>
      <x:c r="F1356" t="str">
        <x:v>AM</x:v>
      </x:c>
      <x:c r="G1356" t="str">
        <x:v>C</x:v>
      </x:c>
      <x:c r="H1356" t="n">
        <x:v>23</x:v>
      </x:c>
      <x:c r="I1356" t="str">
        <x:v>ORD-2025-00093</x:v>
      </x:c>
      <x:c r="J1356" t="n">
        <x:v>9</x:v>
      </x:c>
      <x:c r="K1356" t="n">
        <x:v>2</x:v>
      </x:c>
      <x:c r="L1356" t="str">
        <x:v>L23-S09-C2</x:v>
      </x:c>
      <x:c r="M1356" t="n">
        <x:v>1</x:v>
      </x:c>
      <x:c r="N1356" t="str">
        <x:v>DerivedFromCount</x:v>
      </x:c>
      <x:c r="O1356" t="str">
        <x:v>PLC-PRD-JAR-720-L23</x:v>
      </x:c>
      <x:c r="P1356" t="str">
        <x:v>OK</x:v>
      </x:c>
      <x:c r="Q1356" t="str">
        <x:v>OK</x:v>
      </x:c>
      <x:c r="R1356" t="str">
        <x:v>OK</x:v>
      </x:c>
      <x:c r="S1356" t="str">
        <x:v>OK</x:v>
      </x:c>
      <x:c r="T1356" t="n">
        <x:v>24</x:v>
      </x:c>
      <x:c r="U1356" t="str">
        <x:v>OK</x:v>
      </x:c>
      <x:c r="V1356" t="str">
        <x:v>OK</x:v>
      </x:c>
      <x:c r="W1356" t="str">
        <x:v>LOAD</x:v>
      </x:c>
      <x:c r="X1356" t="str">
        <x:v>02_Supervisor_Log(4).xlsx</x:v>
      </x:c>
      <x:c r="Y1356" t="str">
        <x:v>ENH-20260830-01</x:v>
      </x:c>
      <x:c r="Z1356" t="str">
        <x:v>Active</x:v>
      </x:c>
      <x:c r="AA1356"/>
      <x:c r="AB1356"/>
      <x:c r="AC1356"/>
      <x:c r="AD1356"/>
    </x:row>
    <x:row r="1357">
      <x:c r="A1357" t="str">
        <x:v>PCC-PE-KG01-L23-20251023-AM-ORD-2025-00093-S09-C3</x:v>
      </x:c>
      <x:c r="B1357" t="str">
        <x:v>PC-PE-KG01-L23-20251023-AM-ORD-2025-00093-S09</x:v>
      </x:c>
      <x:c r="C1357" t="str">
        <x:v>PE-KG01-L23-20251023-AM-ORD-2025-00093</x:v>
      </x:c>
      <x:c r="D1357" t="str">
        <x:v>KG01</x:v>
      </x:c>
      <x:c r="E1357" s="62" t="n">
        <x:v>45953</x:v>
      </x:c>
      <x:c r="F1357" t="str">
        <x:v>AM</x:v>
      </x:c>
      <x:c r="G1357" t="str">
        <x:v>C</x:v>
      </x:c>
      <x:c r="H1357" t="n">
        <x:v>23</x:v>
      </x:c>
      <x:c r="I1357" t="str">
        <x:v>ORD-2025-00093</x:v>
      </x:c>
      <x:c r="J1357" t="n">
        <x:v>9</x:v>
      </x:c>
      <x:c r="K1357" t="n">
        <x:v>3</x:v>
      </x:c>
      <x:c r="L1357" t="str">
        <x:v>L23-S09-C3</x:v>
      </x:c>
      <x:c r="M1357" t="n">
        <x:v>0</x:v>
      </x:c>
      <x:c r="N1357" t="str">
        <x:v>DerivedFromCount</x:v>
      </x:c>
      <x:c r="O1357" t="str">
        <x:v>PLC-PRD-JAR-720-L23</x:v>
      </x:c>
      <x:c r="P1357" t="str">
        <x:v>OK</x:v>
      </x:c>
      <x:c r="Q1357" t="str">
        <x:v>OK</x:v>
      </x:c>
      <x:c r="R1357" t="str">
        <x:v>OK</x:v>
      </x:c>
      <x:c r="S1357" t="str">
        <x:v>OK</x:v>
      </x:c>
      <x:c r="T1357" t="n">
        <x:v>24</x:v>
      </x:c>
      <x:c r="U1357" t="str">
        <x:v>OK</x:v>
      </x:c>
      <x:c r="V1357" t="str">
        <x:v>OK</x:v>
      </x:c>
      <x:c r="W1357" t="str">
        <x:v>LOAD</x:v>
      </x:c>
      <x:c r="X1357" t="str">
        <x:v>02_Supervisor_Log(4).xlsx</x:v>
      </x:c>
      <x:c r="Y1357" t="str">
        <x:v>ENH-20260830-01</x:v>
      </x:c>
      <x:c r="Z1357" t="str">
        <x:v>Active</x:v>
      </x:c>
      <x:c r="AA1357"/>
      <x:c r="AB1357"/>
      <x:c r="AC1357"/>
      <x:c r="AD1357"/>
    </x:row>
    <x:row r="1358">
      <x:c r="A1358" t="str">
        <x:v>PCC-PE-KG01-L23-20251023-AM-ORD-2025-00093-S10-C1</x:v>
      </x:c>
      <x:c r="B1358" t="str">
        <x:v>PC-PE-KG01-L23-20251023-AM-ORD-2025-00093-S10</x:v>
      </x:c>
      <x:c r="C1358" t="str">
        <x:v>PE-KG01-L23-20251023-AM-ORD-2025-00093</x:v>
      </x:c>
      <x:c r="D1358" t="str">
        <x:v>KG01</x:v>
      </x:c>
      <x:c r="E1358" s="62" t="n">
        <x:v>45953</x:v>
      </x:c>
      <x:c r="F1358" t="str">
        <x:v>AM</x:v>
      </x:c>
      <x:c r="G1358" t="str">
        <x:v>C</x:v>
      </x:c>
      <x:c r="H1358" t="n">
        <x:v>23</x:v>
      </x:c>
      <x:c r="I1358" t="str">
        <x:v>ORD-2025-00093</x:v>
      </x:c>
      <x:c r="J1358" t="n">
        <x:v>10</x:v>
      </x:c>
      <x:c r="K1358" t="n">
        <x:v>1</x:v>
      </x:c>
      <x:c r="L1358" t="str">
        <x:v>L23-S10-C1</x:v>
      </x:c>
      <x:c r="M1358" t="n">
        <x:v>1</x:v>
      </x:c>
      <x:c r="N1358" t="str">
        <x:v>DerivedFromCount</x:v>
      </x:c>
      <x:c r="O1358" t="str">
        <x:v>PLC-PRD-JAR-720-L23</x:v>
      </x:c>
      <x:c r="P1358" t="str">
        <x:v>OK</x:v>
      </x:c>
      <x:c r="Q1358" t="str">
        <x:v>OK</x:v>
      </x:c>
      <x:c r="R1358" t="str">
        <x:v>OK</x:v>
      </x:c>
      <x:c r="S1358" t="str">
        <x:v>OK</x:v>
      </x:c>
      <x:c r="T1358" t="n">
        <x:v>24</x:v>
      </x:c>
      <x:c r="U1358" t="str">
        <x:v>OK</x:v>
      </x:c>
      <x:c r="V1358" t="str">
        <x:v>OK</x:v>
      </x:c>
      <x:c r="W1358" t="str">
        <x:v>LOAD</x:v>
      </x:c>
      <x:c r="X1358" t="str">
        <x:v>02_Supervisor_Log(4).xlsx</x:v>
      </x:c>
      <x:c r="Y1358" t="str">
        <x:v>ENH-20260830-01</x:v>
      </x:c>
      <x:c r="Z1358" t="str">
        <x:v>Active</x:v>
      </x:c>
      <x:c r="AA1358"/>
      <x:c r="AB1358"/>
      <x:c r="AC1358"/>
      <x:c r="AD1358"/>
    </x:row>
    <x:row r="1359">
      <x:c r="A1359" t="str">
        <x:v>PCC-PE-KG01-L23-20251023-AM-ORD-2025-00093-S10-C2</x:v>
      </x:c>
      <x:c r="B1359" t="str">
        <x:v>PC-PE-KG01-L23-20251023-AM-ORD-2025-00093-S10</x:v>
      </x:c>
      <x:c r="C1359" t="str">
        <x:v>PE-KG01-L23-20251023-AM-ORD-2025-00093</x:v>
      </x:c>
      <x:c r="D1359" t="str">
        <x:v>KG01</x:v>
      </x:c>
      <x:c r="E1359" s="62" t="n">
        <x:v>45953</x:v>
      </x:c>
      <x:c r="F1359" t="str">
        <x:v>AM</x:v>
      </x:c>
      <x:c r="G1359" t="str">
        <x:v>C</x:v>
      </x:c>
      <x:c r="H1359" t="n">
        <x:v>23</x:v>
      </x:c>
      <x:c r="I1359" t="str">
        <x:v>ORD-2025-00093</x:v>
      </x:c>
      <x:c r="J1359" t="n">
        <x:v>10</x:v>
      </x:c>
      <x:c r="K1359" t="n">
        <x:v>2</x:v>
      </x:c>
      <x:c r="L1359" t="str">
        <x:v>L23-S10-C2</x:v>
      </x:c>
      <x:c r="M1359" t="n">
        <x:v>1</x:v>
      </x:c>
      <x:c r="N1359" t="str">
        <x:v>DerivedFromCount</x:v>
      </x:c>
      <x:c r="O1359" t="str">
        <x:v>PLC-PRD-JAR-720-L23</x:v>
      </x:c>
      <x:c r="P1359" t="str">
        <x:v>OK</x:v>
      </x:c>
      <x:c r="Q1359" t="str">
        <x:v>OK</x:v>
      </x:c>
      <x:c r="R1359" t="str">
        <x:v>OK</x:v>
      </x:c>
      <x:c r="S1359" t="str">
        <x:v>OK</x:v>
      </x:c>
      <x:c r="T1359" t="n">
        <x:v>24</x:v>
      </x:c>
      <x:c r="U1359" t="str">
        <x:v>OK</x:v>
      </x:c>
      <x:c r="V1359" t="str">
        <x:v>OK</x:v>
      </x:c>
      <x:c r="W1359" t="str">
        <x:v>LOAD</x:v>
      </x:c>
      <x:c r="X1359" t="str">
        <x:v>02_Supervisor_Log(4).xlsx</x:v>
      </x:c>
      <x:c r="Y1359" t="str">
        <x:v>ENH-20260830-01</x:v>
      </x:c>
      <x:c r="Z1359" t="str">
        <x:v>Active</x:v>
      </x:c>
      <x:c r="AA1359"/>
      <x:c r="AB1359"/>
      <x:c r="AC1359"/>
      <x:c r="AD1359"/>
    </x:row>
    <x:row r="1360">
      <x:c r="A1360" t="str">
        <x:v>PCC-PE-KG01-L23-20251023-AM-ORD-2025-00093-S10-C3</x:v>
      </x:c>
      <x:c r="B1360" t="str">
        <x:v>PC-PE-KG01-L23-20251023-AM-ORD-2025-00093-S10</x:v>
      </x:c>
      <x:c r="C1360" t="str">
        <x:v>PE-KG01-L23-20251023-AM-ORD-2025-00093</x:v>
      </x:c>
      <x:c r="D1360" t="str">
        <x:v>KG01</x:v>
      </x:c>
      <x:c r="E1360" s="62" t="n">
        <x:v>45953</x:v>
      </x:c>
      <x:c r="F1360" t="str">
        <x:v>AM</x:v>
      </x:c>
      <x:c r="G1360" t="str">
        <x:v>C</x:v>
      </x:c>
      <x:c r="H1360" t="n">
        <x:v>23</x:v>
      </x:c>
      <x:c r="I1360" t="str">
        <x:v>ORD-2025-00093</x:v>
      </x:c>
      <x:c r="J1360" t="n">
        <x:v>10</x:v>
      </x:c>
      <x:c r="K1360" t="n">
        <x:v>3</x:v>
      </x:c>
      <x:c r="L1360" t="str">
        <x:v>L23-S10-C3</x:v>
      </x:c>
      <x:c r="M1360" t="n">
        <x:v>0</x:v>
      </x:c>
      <x:c r="N1360" t="str">
        <x:v>DerivedFromCount</x:v>
      </x:c>
      <x:c r="O1360" t="str">
        <x:v>PLC-PRD-JAR-720-L23</x:v>
      </x:c>
      <x:c r="P1360" t="str">
        <x:v>OK</x:v>
      </x:c>
      <x:c r="Q1360" t="str">
        <x:v>OK</x:v>
      </x:c>
      <x:c r="R1360" t="str">
        <x:v>OK</x:v>
      </x:c>
      <x:c r="S1360" t="str">
        <x:v>OK</x:v>
      </x:c>
      <x:c r="T1360" t="n">
        <x:v>24</x:v>
      </x:c>
      <x:c r="U1360" t="str">
        <x:v>OK</x:v>
      </x:c>
      <x:c r="V1360" t="str">
        <x:v>OK</x:v>
      </x:c>
      <x:c r="W1360" t="str">
        <x:v>LOAD</x:v>
      </x:c>
      <x:c r="X1360" t="str">
        <x:v>02_Supervisor_Log(4).xlsx</x:v>
      </x:c>
      <x:c r="Y1360" t="str">
        <x:v>ENH-20260830-01</x:v>
      </x:c>
      <x:c r="Z1360" t="str">
        <x:v>Active</x:v>
      </x:c>
      <x:c r="AA1360"/>
      <x:c r="AB1360"/>
      <x:c r="AC1360"/>
      <x:c r="AD1360"/>
    </x:row>
    <x:row r="1361">
      <x:c r="A1361" t="str">
        <x:v>PCC-PE-KG01-L23-20251023-AM-ORD-2025-00093-S11-C1</x:v>
      </x:c>
      <x:c r="B1361" t="str">
        <x:v>PC-PE-KG01-L23-20251023-AM-ORD-2025-00093-S11</x:v>
      </x:c>
      <x:c r="C1361" t="str">
        <x:v>PE-KG01-L23-20251023-AM-ORD-2025-00093</x:v>
      </x:c>
      <x:c r="D1361" t="str">
        <x:v>KG01</x:v>
      </x:c>
      <x:c r="E1361" s="62" t="n">
        <x:v>45953</x:v>
      </x:c>
      <x:c r="F1361" t="str">
        <x:v>AM</x:v>
      </x:c>
      <x:c r="G1361" t="str">
        <x:v>C</x:v>
      </x:c>
      <x:c r="H1361" t="n">
        <x:v>23</x:v>
      </x:c>
      <x:c r="I1361" t="str">
        <x:v>ORD-2025-00093</x:v>
      </x:c>
      <x:c r="J1361" t="n">
        <x:v>11</x:v>
      </x:c>
      <x:c r="K1361" t="n">
        <x:v>1</x:v>
      </x:c>
      <x:c r="L1361" t="str">
        <x:v>L23-S11-C1</x:v>
      </x:c>
      <x:c r="M1361" t="n">
        <x:v>1</x:v>
      </x:c>
      <x:c r="N1361" t="str">
        <x:v>DerivedFromCount</x:v>
      </x:c>
      <x:c r="O1361" t="str">
        <x:v>PLC-PRD-JAR-720-L23</x:v>
      </x:c>
      <x:c r="P1361" t="str">
        <x:v>OK</x:v>
      </x:c>
      <x:c r="Q1361" t="str">
        <x:v>OK</x:v>
      </x:c>
      <x:c r="R1361" t="str">
        <x:v>OK</x:v>
      </x:c>
      <x:c r="S1361" t="str">
        <x:v>OK</x:v>
      </x:c>
      <x:c r="T1361" t="n">
        <x:v>24</x:v>
      </x:c>
      <x:c r="U1361" t="str">
        <x:v>OK</x:v>
      </x:c>
      <x:c r="V1361" t="str">
        <x:v>OK</x:v>
      </x:c>
      <x:c r="W1361" t="str">
        <x:v>LOAD</x:v>
      </x:c>
      <x:c r="X1361" t="str">
        <x:v>02_Supervisor_Log(4).xlsx</x:v>
      </x:c>
      <x:c r="Y1361" t="str">
        <x:v>ENH-20260830-01</x:v>
      </x:c>
      <x:c r="Z1361" t="str">
        <x:v>Active</x:v>
      </x:c>
      <x:c r="AA1361"/>
      <x:c r="AB1361"/>
      <x:c r="AC1361"/>
      <x:c r="AD1361"/>
    </x:row>
    <x:row r="1362">
      <x:c r="A1362" t="str">
        <x:v>PCC-PE-KG01-L23-20251023-AM-ORD-2025-00093-S11-C2</x:v>
      </x:c>
      <x:c r="B1362" t="str">
        <x:v>PC-PE-KG01-L23-20251023-AM-ORD-2025-00093-S11</x:v>
      </x:c>
      <x:c r="C1362" t="str">
        <x:v>PE-KG01-L23-20251023-AM-ORD-2025-00093</x:v>
      </x:c>
      <x:c r="D1362" t="str">
        <x:v>KG01</x:v>
      </x:c>
      <x:c r="E1362" s="62" t="n">
        <x:v>45953</x:v>
      </x:c>
      <x:c r="F1362" t="str">
        <x:v>AM</x:v>
      </x:c>
      <x:c r="G1362" t="str">
        <x:v>C</x:v>
      </x:c>
      <x:c r="H1362" t="n">
        <x:v>23</x:v>
      </x:c>
      <x:c r="I1362" t="str">
        <x:v>ORD-2025-00093</x:v>
      </x:c>
      <x:c r="J1362" t="n">
        <x:v>11</x:v>
      </x:c>
      <x:c r="K1362" t="n">
        <x:v>2</x:v>
      </x:c>
      <x:c r="L1362" t="str">
        <x:v>L23-S11-C2</x:v>
      </x:c>
      <x:c r="M1362" t="n">
        <x:v>1</x:v>
      </x:c>
      <x:c r="N1362" t="str">
        <x:v>DerivedFromCount</x:v>
      </x:c>
      <x:c r="O1362" t="str">
        <x:v>PLC-PRD-JAR-720-L23</x:v>
      </x:c>
      <x:c r="P1362" t="str">
        <x:v>OK</x:v>
      </x:c>
      <x:c r="Q1362" t="str">
        <x:v>OK</x:v>
      </x:c>
      <x:c r="R1362" t="str">
        <x:v>OK</x:v>
      </x:c>
      <x:c r="S1362" t="str">
        <x:v>OK</x:v>
      </x:c>
      <x:c r="T1362" t="n">
        <x:v>24</x:v>
      </x:c>
      <x:c r="U1362" t="str">
        <x:v>OK</x:v>
      </x:c>
      <x:c r="V1362" t="str">
        <x:v>OK</x:v>
      </x:c>
      <x:c r="W1362" t="str">
        <x:v>LOAD</x:v>
      </x:c>
      <x:c r="X1362" t="str">
        <x:v>02_Supervisor_Log(4).xlsx</x:v>
      </x:c>
      <x:c r="Y1362" t="str">
        <x:v>ENH-20260830-01</x:v>
      </x:c>
      <x:c r="Z1362" t="str">
        <x:v>Active</x:v>
      </x:c>
      <x:c r="AA1362"/>
      <x:c r="AB1362"/>
      <x:c r="AC1362"/>
      <x:c r="AD1362"/>
    </x:row>
    <x:row r="1363">
      <x:c r="A1363" t="str">
        <x:v>PCC-PE-KG01-L23-20251023-AM-ORD-2025-00093-S11-C3</x:v>
      </x:c>
      <x:c r="B1363" t="str">
        <x:v>PC-PE-KG01-L23-20251023-AM-ORD-2025-00093-S11</x:v>
      </x:c>
      <x:c r="C1363" t="str">
        <x:v>PE-KG01-L23-20251023-AM-ORD-2025-00093</x:v>
      </x:c>
      <x:c r="D1363" t="str">
        <x:v>KG01</x:v>
      </x:c>
      <x:c r="E1363" s="62" t="n">
        <x:v>45953</x:v>
      </x:c>
      <x:c r="F1363" t="str">
        <x:v>AM</x:v>
      </x:c>
      <x:c r="G1363" t="str">
        <x:v>C</x:v>
      </x:c>
      <x:c r="H1363" t="n">
        <x:v>23</x:v>
      </x:c>
      <x:c r="I1363" t="str">
        <x:v>ORD-2025-00093</x:v>
      </x:c>
      <x:c r="J1363" t="n">
        <x:v>11</x:v>
      </x:c>
      <x:c r="K1363" t="n">
        <x:v>3</x:v>
      </x:c>
      <x:c r="L1363" t="str">
        <x:v>L23-S11-C3</x:v>
      </x:c>
      <x:c r="M1363" t="n">
        <x:v>0</x:v>
      </x:c>
      <x:c r="N1363" t="str">
        <x:v>DerivedFromCount</x:v>
      </x:c>
      <x:c r="O1363" t="str">
        <x:v>PLC-PRD-JAR-720-L23</x:v>
      </x:c>
      <x:c r="P1363" t="str">
        <x:v>OK</x:v>
      </x:c>
      <x:c r="Q1363" t="str">
        <x:v>OK</x:v>
      </x:c>
      <x:c r="R1363" t="str">
        <x:v>OK</x:v>
      </x:c>
      <x:c r="S1363" t="str">
        <x:v>OK</x:v>
      </x:c>
      <x:c r="T1363" t="n">
        <x:v>24</x:v>
      </x:c>
      <x:c r="U1363" t="str">
        <x:v>OK</x:v>
      </x:c>
      <x:c r="V1363" t="str">
        <x:v>OK</x:v>
      </x:c>
      <x:c r="W1363" t="str">
        <x:v>LOAD</x:v>
      </x:c>
      <x:c r="X1363" t="str">
        <x:v>02_Supervisor_Log(4).xlsx</x:v>
      </x:c>
      <x:c r="Y1363" t="str">
        <x:v>ENH-20260830-01</x:v>
      </x:c>
      <x:c r="Z1363" t="str">
        <x:v>Active</x:v>
      </x:c>
      <x:c r="AA1363"/>
      <x:c r="AB1363"/>
      <x:c r="AC1363"/>
      <x:c r="AD1363"/>
    </x:row>
    <x:row r="1364">
      <x:c r="A1364" t="str">
        <x:v>PCC-PE-KG01-L23-20251023-AM-ORD-2025-00093-S12-C1</x:v>
      </x:c>
      <x:c r="B1364" t="str">
        <x:v>PC-PE-KG01-L23-20251023-AM-ORD-2025-00093-S12</x:v>
      </x:c>
      <x:c r="C1364" t="str">
        <x:v>PE-KG01-L23-20251023-AM-ORD-2025-00093</x:v>
      </x:c>
      <x:c r="D1364" t="str">
        <x:v>KG01</x:v>
      </x:c>
      <x:c r="E1364" s="62" t="n">
        <x:v>45953</x:v>
      </x:c>
      <x:c r="F1364" t="str">
        <x:v>AM</x:v>
      </x:c>
      <x:c r="G1364" t="str">
        <x:v>C</x:v>
      </x:c>
      <x:c r="H1364" t="n">
        <x:v>23</x:v>
      </x:c>
      <x:c r="I1364" t="str">
        <x:v>ORD-2025-00093</x:v>
      </x:c>
      <x:c r="J1364" t="n">
        <x:v>12</x:v>
      </x:c>
      <x:c r="K1364" t="n">
        <x:v>1</x:v>
      </x:c>
      <x:c r="L1364" t="str">
        <x:v>L23-S12-C1</x:v>
      </x:c>
      <x:c r="M1364" t="n">
        <x:v>1</x:v>
      </x:c>
      <x:c r="N1364" t="str">
        <x:v>DerivedFromCount</x:v>
      </x:c>
      <x:c r="O1364" t="str">
        <x:v>PLC-PRD-JAR-720-L23</x:v>
      </x:c>
      <x:c r="P1364" t="str">
        <x:v>OK</x:v>
      </x:c>
      <x:c r="Q1364" t="str">
        <x:v>OK</x:v>
      </x:c>
      <x:c r="R1364" t="str">
        <x:v>OK</x:v>
      </x:c>
      <x:c r="S1364" t="str">
        <x:v>OK</x:v>
      </x:c>
      <x:c r="T1364" t="n">
        <x:v>24</x:v>
      </x:c>
      <x:c r="U1364" t="str">
        <x:v>OK</x:v>
      </x:c>
      <x:c r="V1364" t="str">
        <x:v>OK</x:v>
      </x:c>
      <x:c r="W1364" t="str">
        <x:v>LOAD</x:v>
      </x:c>
      <x:c r="X1364" t="str">
        <x:v>02_Supervisor_Log(4).xlsx</x:v>
      </x:c>
      <x:c r="Y1364" t="str">
        <x:v>ENH-20260830-01</x:v>
      </x:c>
      <x:c r="Z1364" t="str">
        <x:v>Active</x:v>
      </x:c>
      <x:c r="AA1364"/>
      <x:c r="AB1364"/>
      <x:c r="AC1364"/>
      <x:c r="AD1364"/>
    </x:row>
    <x:row r="1365">
      <x:c r="A1365" t="str">
        <x:v>PCC-PE-KG01-L23-20251023-AM-ORD-2025-00093-S12-C2</x:v>
      </x:c>
      <x:c r="B1365" t="str">
        <x:v>PC-PE-KG01-L23-20251023-AM-ORD-2025-00093-S12</x:v>
      </x:c>
      <x:c r="C1365" t="str">
        <x:v>PE-KG01-L23-20251023-AM-ORD-2025-00093</x:v>
      </x:c>
      <x:c r="D1365" t="str">
        <x:v>KG01</x:v>
      </x:c>
      <x:c r="E1365" s="62" t="n">
        <x:v>45953</x:v>
      </x:c>
      <x:c r="F1365" t="str">
        <x:v>AM</x:v>
      </x:c>
      <x:c r="G1365" t="str">
        <x:v>C</x:v>
      </x:c>
      <x:c r="H1365" t="n">
        <x:v>23</x:v>
      </x:c>
      <x:c r="I1365" t="str">
        <x:v>ORD-2025-00093</x:v>
      </x:c>
      <x:c r="J1365" t="n">
        <x:v>12</x:v>
      </x:c>
      <x:c r="K1365" t="n">
        <x:v>2</x:v>
      </x:c>
      <x:c r="L1365" t="str">
        <x:v>L23-S12-C2</x:v>
      </x:c>
      <x:c r="M1365" t="n">
        <x:v>1</x:v>
      </x:c>
      <x:c r="N1365" t="str">
        <x:v>DerivedFromCount</x:v>
      </x:c>
      <x:c r="O1365" t="str">
        <x:v>PLC-PRD-JAR-720-L23</x:v>
      </x:c>
      <x:c r="P1365" t="str">
        <x:v>OK</x:v>
      </x:c>
      <x:c r="Q1365" t="str">
        <x:v>OK</x:v>
      </x:c>
      <x:c r="R1365" t="str">
        <x:v>OK</x:v>
      </x:c>
      <x:c r="S1365" t="str">
        <x:v>OK</x:v>
      </x:c>
      <x:c r="T1365" t="n">
        <x:v>24</x:v>
      </x:c>
      <x:c r="U1365" t="str">
        <x:v>OK</x:v>
      </x:c>
      <x:c r="V1365" t="str">
        <x:v>OK</x:v>
      </x:c>
      <x:c r="W1365" t="str">
        <x:v>LOAD</x:v>
      </x:c>
      <x:c r="X1365" t="str">
        <x:v>02_Supervisor_Log(4).xlsx</x:v>
      </x:c>
      <x:c r="Y1365" t="str">
        <x:v>ENH-20260830-01</x:v>
      </x:c>
      <x:c r="Z1365" t="str">
        <x:v>Active</x:v>
      </x:c>
      <x:c r="AA1365"/>
      <x:c r="AB1365"/>
      <x:c r="AC1365"/>
      <x:c r="AD1365"/>
    </x:row>
    <x:row r="1366">
      <x:c r="A1366" t="str">
        <x:v>PCC-PE-KG01-L23-20251023-AM-ORD-2025-00093-S12-C3</x:v>
      </x:c>
      <x:c r="B1366" t="str">
        <x:v>PC-PE-KG01-L23-20251023-AM-ORD-2025-00093-S12</x:v>
      </x:c>
      <x:c r="C1366" t="str">
        <x:v>PE-KG01-L23-20251023-AM-ORD-2025-00093</x:v>
      </x:c>
      <x:c r="D1366" t="str">
        <x:v>KG01</x:v>
      </x:c>
      <x:c r="E1366" s="62" t="n">
        <x:v>45953</x:v>
      </x:c>
      <x:c r="F1366" t="str">
        <x:v>AM</x:v>
      </x:c>
      <x:c r="G1366" t="str">
        <x:v>C</x:v>
      </x:c>
      <x:c r="H1366" t="n">
        <x:v>23</x:v>
      </x:c>
      <x:c r="I1366" t="str">
        <x:v>ORD-2025-00093</x:v>
      </x:c>
      <x:c r="J1366" t="n">
        <x:v>12</x:v>
      </x:c>
      <x:c r="K1366" t="n">
        <x:v>3</x:v>
      </x:c>
      <x:c r="L1366" t="str">
        <x:v>L23-S12-C3</x:v>
      </x:c>
      <x:c r="M1366" t="n">
        <x:v>0</x:v>
      </x:c>
      <x:c r="N1366" t="str">
        <x:v>DerivedFromCount</x:v>
      </x:c>
      <x:c r="O1366" t="str">
        <x:v>PLC-PRD-JAR-720-L23</x:v>
      </x:c>
      <x:c r="P1366" t="str">
        <x:v>OK</x:v>
      </x:c>
      <x:c r="Q1366" t="str">
        <x:v>OK</x:v>
      </x:c>
      <x:c r="R1366" t="str">
        <x:v>OK</x:v>
      </x:c>
      <x:c r="S1366" t="str">
        <x:v>OK</x:v>
      </x:c>
      <x:c r="T1366" t="n">
        <x:v>24</x:v>
      </x:c>
      <x:c r="U1366" t="str">
        <x:v>OK</x:v>
      </x:c>
      <x:c r="V1366" t="str">
        <x:v>OK</x:v>
      </x:c>
      <x:c r="W1366" t="str">
        <x:v>LOAD</x:v>
      </x:c>
      <x:c r="X1366" t="str">
        <x:v>02_Supervisor_Log(4).xlsx</x:v>
      </x:c>
      <x:c r="Y1366" t="str">
        <x:v>ENH-20260830-01</x:v>
      </x:c>
      <x:c r="Z1366" t="str">
        <x:v>Active</x:v>
      </x:c>
      <x:c r="AA1366"/>
      <x:c r="AB1366"/>
      <x:c r="AC1366"/>
      <x:c r="AD1366"/>
    </x:row>
    <x:row r="1367">
      <x:c r="A1367" t="str">
        <x:v>PCC-PE-KG01-L23-20251023-AM-ORD-2025-00093-S13-C1</x:v>
      </x:c>
      <x:c r="B1367" t="str">
        <x:v>PC-PE-KG01-L23-20251023-AM-ORD-2025-00093-S13</x:v>
      </x:c>
      <x:c r="C1367" t="str">
        <x:v>PE-KG01-L23-20251023-AM-ORD-2025-00093</x:v>
      </x:c>
      <x:c r="D1367" t="str">
        <x:v>KG01</x:v>
      </x:c>
      <x:c r="E1367" s="62" t="n">
        <x:v>45953</x:v>
      </x:c>
      <x:c r="F1367" t="str">
        <x:v>AM</x:v>
      </x:c>
      <x:c r="G1367" t="str">
        <x:v>C</x:v>
      </x:c>
      <x:c r="H1367" t="n">
        <x:v>23</x:v>
      </x:c>
      <x:c r="I1367" t="str">
        <x:v>ORD-2025-00093</x:v>
      </x:c>
      <x:c r="J1367" t="n">
        <x:v>13</x:v>
      </x:c>
      <x:c r="K1367" t="n">
        <x:v>1</x:v>
      </x:c>
      <x:c r="L1367" t="str">
        <x:v>L23-S13-C1</x:v>
      </x:c>
      <x:c r="M1367" t="n">
        <x:v>0</x:v>
      </x:c>
      <x:c r="N1367" t="str">
        <x:v>DerivedFromCount</x:v>
      </x:c>
      <x:c r="O1367" t="str">
        <x:v>PLC-PRD-JAR-720-L23</x:v>
      </x:c>
      <x:c r="P1367" t="str">
        <x:v>OK</x:v>
      </x:c>
      <x:c r="Q1367" t="str">
        <x:v>OK</x:v>
      </x:c>
      <x:c r="R1367" t="str">
        <x:v>OK</x:v>
      </x:c>
      <x:c r="S1367" t="str">
        <x:v>OK</x:v>
      </x:c>
      <x:c r="T1367" t="n">
        <x:v>24</x:v>
      </x:c>
      <x:c r="U1367" t="str">
        <x:v>OK</x:v>
      </x:c>
      <x:c r="V1367" t="str">
        <x:v>OK</x:v>
      </x:c>
      <x:c r="W1367" t="str">
        <x:v>LOAD</x:v>
      </x:c>
      <x:c r="X1367" t="str">
        <x:v>02_Supervisor_Log(4).xlsx</x:v>
      </x:c>
      <x:c r="Y1367" t="str">
        <x:v>ENH-20260830-01</x:v>
      </x:c>
      <x:c r="Z1367" t="str">
        <x:v>Active</x:v>
      </x:c>
      <x:c r="AA1367"/>
      <x:c r="AB1367"/>
      <x:c r="AC1367"/>
      <x:c r="AD1367"/>
    </x:row>
    <x:row r="1368">
      <x:c r="A1368" t="str">
        <x:v>PCC-PE-KG01-L23-20251023-AM-ORD-2025-00093-S13-C2</x:v>
      </x:c>
      <x:c r="B1368" t="str">
        <x:v>PC-PE-KG01-L23-20251023-AM-ORD-2025-00093-S13</x:v>
      </x:c>
      <x:c r="C1368" t="str">
        <x:v>PE-KG01-L23-20251023-AM-ORD-2025-00093</x:v>
      </x:c>
      <x:c r="D1368" t="str">
        <x:v>KG01</x:v>
      </x:c>
      <x:c r="E1368" s="62" t="n">
        <x:v>45953</x:v>
      </x:c>
      <x:c r="F1368" t="str">
        <x:v>AM</x:v>
      </x:c>
      <x:c r="G1368" t="str">
        <x:v>C</x:v>
      </x:c>
      <x:c r="H1368" t="n">
        <x:v>23</x:v>
      </x:c>
      <x:c r="I1368" t="str">
        <x:v>ORD-2025-00093</x:v>
      </x:c>
      <x:c r="J1368" t="n">
        <x:v>13</x:v>
      </x:c>
      <x:c r="K1368" t="n">
        <x:v>2</x:v>
      </x:c>
      <x:c r="L1368" t="str">
        <x:v>L23-S13-C2</x:v>
      </x:c>
      <x:c r="M1368" t="n">
        <x:v>0</x:v>
      </x:c>
      <x:c r="N1368" t="str">
        <x:v>DerivedFromCount</x:v>
      </x:c>
      <x:c r="O1368" t="str">
        <x:v>PLC-PRD-JAR-720-L23</x:v>
      </x:c>
      <x:c r="P1368" t="str">
        <x:v>OK</x:v>
      </x:c>
      <x:c r="Q1368" t="str">
        <x:v>OK</x:v>
      </x:c>
      <x:c r="R1368" t="str">
        <x:v>OK</x:v>
      </x:c>
      <x:c r="S1368" t="str">
        <x:v>OK</x:v>
      </x:c>
      <x:c r="T1368" t="n">
        <x:v>24</x:v>
      </x:c>
      <x:c r="U1368" t="str">
        <x:v>OK</x:v>
      </x:c>
      <x:c r="V1368" t="str">
        <x:v>OK</x:v>
      </x:c>
      <x:c r="W1368" t="str">
        <x:v>LOAD</x:v>
      </x:c>
      <x:c r="X1368" t="str">
        <x:v>02_Supervisor_Log(4).xlsx</x:v>
      </x:c>
      <x:c r="Y1368" t="str">
        <x:v>ENH-20260830-01</x:v>
      </x:c>
      <x:c r="Z1368" t="str">
        <x:v>Active</x:v>
      </x:c>
      <x:c r="AA1368"/>
      <x:c r="AB1368"/>
      <x:c r="AC1368"/>
      <x:c r="AD1368"/>
    </x:row>
    <x:row r="1369">
      <x:c r="A1369" t="str">
        <x:v>PCC-PE-KG01-L23-20251023-AM-ORD-2025-00093-S13-C3</x:v>
      </x:c>
      <x:c r="B1369" t="str">
        <x:v>PC-PE-KG01-L23-20251023-AM-ORD-2025-00093-S13</x:v>
      </x:c>
      <x:c r="C1369" t="str">
        <x:v>PE-KG01-L23-20251023-AM-ORD-2025-00093</x:v>
      </x:c>
      <x:c r="D1369" t="str">
        <x:v>KG01</x:v>
      </x:c>
      <x:c r="E1369" s="62" t="n">
        <x:v>45953</x:v>
      </x:c>
      <x:c r="F1369" t="str">
        <x:v>AM</x:v>
      </x:c>
      <x:c r="G1369" t="str">
        <x:v>C</x:v>
      </x:c>
      <x:c r="H1369" t="n">
        <x:v>23</x:v>
      </x:c>
      <x:c r="I1369" t="str">
        <x:v>ORD-2025-00093</x:v>
      </x:c>
      <x:c r="J1369" t="n">
        <x:v>13</x:v>
      </x:c>
      <x:c r="K1369" t="n">
        <x:v>3</x:v>
      </x:c>
      <x:c r="L1369" t="str">
        <x:v>L23-S13-C3</x:v>
      </x:c>
      <x:c r="M1369" t="n">
        <x:v>0</x:v>
      </x:c>
      <x:c r="N1369" t="str">
        <x:v>DerivedFromCount</x:v>
      </x:c>
      <x:c r="O1369" t="str">
        <x:v>PLC-PRD-JAR-720-L23</x:v>
      </x:c>
      <x:c r="P1369" t="str">
        <x:v>OK</x:v>
      </x:c>
      <x:c r="Q1369" t="str">
        <x:v>OK</x:v>
      </x:c>
      <x:c r="R1369" t="str">
        <x:v>OK</x:v>
      </x:c>
      <x:c r="S1369" t="str">
        <x:v>OK</x:v>
      </x:c>
      <x:c r="T1369" t="n">
        <x:v>24</x:v>
      </x:c>
      <x:c r="U1369" t="str">
        <x:v>OK</x:v>
      </x:c>
      <x:c r="V1369" t="str">
        <x:v>OK</x:v>
      </x:c>
      <x:c r="W1369" t="str">
        <x:v>LOAD</x:v>
      </x:c>
      <x:c r="X1369" t="str">
        <x:v>02_Supervisor_Log(4).xlsx</x:v>
      </x:c>
      <x:c r="Y1369" t="str">
        <x:v>ENH-20260830-01</x:v>
      </x:c>
      <x:c r="Z1369" t="str">
        <x:v>Active</x:v>
      </x:c>
      <x:c r="AA1369"/>
      <x:c r="AB1369"/>
      <x:c r="AC1369"/>
      <x:c r="AD1369"/>
    </x:row>
    <x:row r="1370">
      <x:c r="A1370" t="str">
        <x:v>PCC-PE-KG01-L23-20251023-PM-ORD-2025-00093-S01-C1</x:v>
      </x:c>
      <x:c r="B1370" t="str">
        <x:v>PC-PE-KG01-L23-20251023-PM-ORD-2025-00093-S01</x:v>
      </x:c>
      <x:c r="C1370" t="str">
        <x:v>PE-KG01-L23-20251023-PM-ORD-2025-00093</x:v>
      </x:c>
      <x:c r="D1370" t="str">
        <x:v>KG01</x:v>
      </x:c>
      <x:c r="E1370" s="62" t="n">
        <x:v>45953</x:v>
      </x:c>
      <x:c r="F1370" t="str">
        <x:v>PM</x:v>
      </x:c>
      <x:c r="G1370" t="str">
        <x:v>A</x:v>
      </x:c>
      <x:c r="H1370" t="n">
        <x:v>23</x:v>
      </x:c>
      <x:c r="I1370" t="str">
        <x:v>ORD-2025-00093</x:v>
      </x:c>
      <x:c r="J1370" t="n">
        <x:v>1</x:v>
      </x:c>
      <x:c r="K1370" t="n">
        <x:v>1</x:v>
      </x:c>
      <x:c r="L1370" t="str">
        <x:v>L23-S01-C1</x:v>
      </x:c>
      <x:c r="M1370" t="n">
        <x:v>1</x:v>
      </x:c>
      <x:c r="N1370" t="str">
        <x:v>DerivedFromCount</x:v>
      </x:c>
      <x:c r="O1370" t="str">
        <x:v>PLC-PRD-JAR-720-L23</x:v>
      </x:c>
      <x:c r="P1370" t="str">
        <x:v>OK</x:v>
      </x:c>
      <x:c r="Q1370" t="str">
        <x:v>OK</x:v>
      </x:c>
      <x:c r="R1370" t="str">
        <x:v>OK</x:v>
      </x:c>
      <x:c r="S1370" t="str">
        <x:v>OK</x:v>
      </x:c>
      <x:c r="T1370" t="n">
        <x:v>24</x:v>
      </x:c>
      <x:c r="U1370" t="str">
        <x:v>OK</x:v>
      </x:c>
      <x:c r="V1370" t="str">
        <x:v>OK</x:v>
      </x:c>
      <x:c r="W1370" t="str">
        <x:v>LOAD</x:v>
      </x:c>
      <x:c r="X1370" t="str">
        <x:v>02_Supervisor_Log(4).xlsx</x:v>
      </x:c>
      <x:c r="Y1370" t="str">
        <x:v>ENH-20260830-01</x:v>
      </x:c>
      <x:c r="Z1370" t="str">
        <x:v>Active</x:v>
      </x:c>
      <x:c r="AA1370"/>
      <x:c r="AB1370"/>
      <x:c r="AC1370"/>
      <x:c r="AD1370"/>
    </x:row>
    <x:row r="1371">
      <x:c r="A1371" t="str">
        <x:v>PCC-PE-KG01-L23-20251023-PM-ORD-2025-00093-S01-C2</x:v>
      </x:c>
      <x:c r="B1371" t="str">
        <x:v>PC-PE-KG01-L23-20251023-PM-ORD-2025-00093-S01</x:v>
      </x:c>
      <x:c r="C1371" t="str">
        <x:v>PE-KG01-L23-20251023-PM-ORD-2025-00093</x:v>
      </x:c>
      <x:c r="D1371" t="str">
        <x:v>KG01</x:v>
      </x:c>
      <x:c r="E1371" s="62" t="n">
        <x:v>45953</x:v>
      </x:c>
      <x:c r="F1371" t="str">
        <x:v>PM</x:v>
      </x:c>
      <x:c r="G1371" t="str">
        <x:v>A</x:v>
      </x:c>
      <x:c r="H1371" t="n">
        <x:v>23</x:v>
      </x:c>
      <x:c r="I1371" t="str">
        <x:v>ORD-2025-00093</x:v>
      </x:c>
      <x:c r="J1371" t="n">
        <x:v>1</x:v>
      </x:c>
      <x:c r="K1371" t="n">
        <x:v>2</x:v>
      </x:c>
      <x:c r="L1371" t="str">
        <x:v>L23-S01-C2</x:v>
      </x:c>
      <x:c r="M1371" t="n">
        <x:v>1</x:v>
      </x:c>
      <x:c r="N1371" t="str">
        <x:v>DerivedFromCount</x:v>
      </x:c>
      <x:c r="O1371" t="str">
        <x:v>PLC-PRD-JAR-720-L23</x:v>
      </x:c>
      <x:c r="P1371" t="str">
        <x:v>OK</x:v>
      </x:c>
      <x:c r="Q1371" t="str">
        <x:v>OK</x:v>
      </x:c>
      <x:c r="R1371" t="str">
        <x:v>OK</x:v>
      </x:c>
      <x:c r="S1371" t="str">
        <x:v>OK</x:v>
      </x:c>
      <x:c r="T1371" t="n">
        <x:v>24</x:v>
      </x:c>
      <x:c r="U1371" t="str">
        <x:v>OK</x:v>
      </x:c>
      <x:c r="V1371" t="str">
        <x:v>OK</x:v>
      </x:c>
      <x:c r="W1371" t="str">
        <x:v>LOAD</x:v>
      </x:c>
      <x:c r="X1371" t="str">
        <x:v>02_Supervisor_Log(4).xlsx</x:v>
      </x:c>
      <x:c r="Y1371" t="str">
        <x:v>ENH-20260830-01</x:v>
      </x:c>
      <x:c r="Z1371" t="str">
        <x:v>Active</x:v>
      </x:c>
      <x:c r="AA1371"/>
      <x:c r="AB1371"/>
      <x:c r="AC1371"/>
      <x:c r="AD1371"/>
    </x:row>
    <x:row r="1372">
      <x:c r="A1372" t="str">
        <x:v>PCC-PE-KG01-L23-20251023-PM-ORD-2025-00093-S01-C3</x:v>
      </x:c>
      <x:c r="B1372" t="str">
        <x:v>PC-PE-KG01-L23-20251023-PM-ORD-2025-00093-S01</x:v>
      </x:c>
      <x:c r="C1372" t="str">
        <x:v>PE-KG01-L23-20251023-PM-ORD-2025-00093</x:v>
      </x:c>
      <x:c r="D1372" t="str">
        <x:v>KG01</x:v>
      </x:c>
      <x:c r="E1372" s="62" t="n">
        <x:v>45953</x:v>
      </x:c>
      <x:c r="F1372" t="str">
        <x:v>PM</x:v>
      </x:c>
      <x:c r="G1372" t="str">
        <x:v>A</x:v>
      </x:c>
      <x:c r="H1372" t="n">
        <x:v>23</x:v>
      </x:c>
      <x:c r="I1372" t="str">
        <x:v>ORD-2025-00093</x:v>
      </x:c>
      <x:c r="J1372" t="n">
        <x:v>1</x:v>
      </x:c>
      <x:c r="K1372" t="n">
        <x:v>3</x:v>
      </x:c>
      <x:c r="L1372" t="str">
        <x:v>L23-S01-C3</x:v>
      </x:c>
      <x:c r="M1372" t="n">
        <x:v>0</x:v>
      </x:c>
      <x:c r="N1372" t="str">
        <x:v>DerivedFromCount</x:v>
      </x:c>
      <x:c r="O1372" t="str">
        <x:v>PLC-PRD-JAR-720-L23</x:v>
      </x:c>
      <x:c r="P1372" t="str">
        <x:v>OK</x:v>
      </x:c>
      <x:c r="Q1372" t="str">
        <x:v>OK</x:v>
      </x:c>
      <x:c r="R1372" t="str">
        <x:v>OK</x:v>
      </x:c>
      <x:c r="S1372" t="str">
        <x:v>OK</x:v>
      </x:c>
      <x:c r="T1372" t="n">
        <x:v>24</x:v>
      </x:c>
      <x:c r="U1372" t="str">
        <x:v>OK</x:v>
      </x:c>
      <x:c r="V1372" t="str">
        <x:v>OK</x:v>
      </x:c>
      <x:c r="W1372" t="str">
        <x:v>LOAD</x:v>
      </x:c>
      <x:c r="X1372" t="str">
        <x:v>02_Supervisor_Log(4).xlsx</x:v>
      </x:c>
      <x:c r="Y1372" t="str">
        <x:v>ENH-20260830-01</x:v>
      </x:c>
      <x:c r="Z1372" t="str">
        <x:v>Active</x:v>
      </x:c>
      <x:c r="AA1372"/>
      <x:c r="AB1372"/>
      <x:c r="AC1372"/>
      <x:c r="AD1372"/>
    </x:row>
    <x:row r="1373">
      <x:c r="A1373" t="str">
        <x:v>PCC-PE-KG01-L23-20251023-PM-ORD-2025-00093-S02-C1</x:v>
      </x:c>
      <x:c r="B1373" t="str">
        <x:v>PC-PE-KG01-L23-20251023-PM-ORD-2025-00093-S02</x:v>
      </x:c>
      <x:c r="C1373" t="str">
        <x:v>PE-KG01-L23-20251023-PM-ORD-2025-00093</x:v>
      </x:c>
      <x:c r="D1373" t="str">
        <x:v>KG01</x:v>
      </x:c>
      <x:c r="E1373" s="62" t="n">
        <x:v>45953</x:v>
      </x:c>
      <x:c r="F1373" t="str">
        <x:v>PM</x:v>
      </x:c>
      <x:c r="G1373" t="str">
        <x:v>A</x:v>
      </x:c>
      <x:c r="H1373" t="n">
        <x:v>23</x:v>
      </x:c>
      <x:c r="I1373" t="str">
        <x:v>ORD-2025-00093</x:v>
      </x:c>
      <x:c r="J1373" t="n">
        <x:v>2</x:v>
      </x:c>
      <x:c r="K1373" t="n">
        <x:v>1</x:v>
      </x:c>
      <x:c r="L1373" t="str">
        <x:v>L23-S02-C1</x:v>
      </x:c>
      <x:c r="M1373" t="n">
        <x:v>1</x:v>
      </x:c>
      <x:c r="N1373" t="str">
        <x:v>DerivedFromCount</x:v>
      </x:c>
      <x:c r="O1373" t="str">
        <x:v>PLC-PRD-JAR-720-L23</x:v>
      </x:c>
      <x:c r="P1373" t="str">
        <x:v>OK</x:v>
      </x:c>
      <x:c r="Q1373" t="str">
        <x:v>OK</x:v>
      </x:c>
      <x:c r="R1373" t="str">
        <x:v>OK</x:v>
      </x:c>
      <x:c r="S1373" t="str">
        <x:v>OK</x:v>
      </x:c>
      <x:c r="T1373" t="n">
        <x:v>24</x:v>
      </x:c>
      <x:c r="U1373" t="str">
        <x:v>OK</x:v>
      </x:c>
      <x:c r="V1373" t="str">
        <x:v>OK</x:v>
      </x:c>
      <x:c r="W1373" t="str">
        <x:v>LOAD</x:v>
      </x:c>
      <x:c r="X1373" t="str">
        <x:v>02_Supervisor_Log(4).xlsx</x:v>
      </x:c>
      <x:c r="Y1373" t="str">
        <x:v>ENH-20260830-01</x:v>
      </x:c>
      <x:c r="Z1373" t="str">
        <x:v>Active</x:v>
      </x:c>
      <x:c r="AA1373"/>
      <x:c r="AB1373"/>
      <x:c r="AC1373"/>
      <x:c r="AD1373"/>
    </x:row>
    <x:row r="1374">
      <x:c r="A1374" t="str">
        <x:v>PCC-PE-KG01-L23-20251023-PM-ORD-2025-00093-S02-C2</x:v>
      </x:c>
      <x:c r="B1374" t="str">
        <x:v>PC-PE-KG01-L23-20251023-PM-ORD-2025-00093-S02</x:v>
      </x:c>
      <x:c r="C1374" t="str">
        <x:v>PE-KG01-L23-20251023-PM-ORD-2025-00093</x:v>
      </x:c>
      <x:c r="D1374" t="str">
        <x:v>KG01</x:v>
      </x:c>
      <x:c r="E1374" s="62" t="n">
        <x:v>45953</x:v>
      </x:c>
      <x:c r="F1374" t="str">
        <x:v>PM</x:v>
      </x:c>
      <x:c r="G1374" t="str">
        <x:v>A</x:v>
      </x:c>
      <x:c r="H1374" t="n">
        <x:v>23</x:v>
      </x:c>
      <x:c r="I1374" t="str">
        <x:v>ORD-2025-00093</x:v>
      </x:c>
      <x:c r="J1374" t="n">
        <x:v>2</x:v>
      </x:c>
      <x:c r="K1374" t="n">
        <x:v>2</x:v>
      </x:c>
      <x:c r="L1374" t="str">
        <x:v>L23-S02-C2</x:v>
      </x:c>
      <x:c r="M1374" t="n">
        <x:v>1</x:v>
      </x:c>
      <x:c r="N1374" t="str">
        <x:v>DerivedFromCount</x:v>
      </x:c>
      <x:c r="O1374" t="str">
        <x:v>PLC-PRD-JAR-720-L23</x:v>
      </x:c>
      <x:c r="P1374" t="str">
        <x:v>OK</x:v>
      </x:c>
      <x:c r="Q1374" t="str">
        <x:v>OK</x:v>
      </x:c>
      <x:c r="R1374" t="str">
        <x:v>OK</x:v>
      </x:c>
      <x:c r="S1374" t="str">
        <x:v>OK</x:v>
      </x:c>
      <x:c r="T1374" t="n">
        <x:v>24</x:v>
      </x:c>
      <x:c r="U1374" t="str">
        <x:v>OK</x:v>
      </x:c>
      <x:c r="V1374" t="str">
        <x:v>OK</x:v>
      </x:c>
      <x:c r="W1374" t="str">
        <x:v>LOAD</x:v>
      </x:c>
      <x:c r="X1374" t="str">
        <x:v>02_Supervisor_Log(4).xlsx</x:v>
      </x:c>
      <x:c r="Y1374" t="str">
        <x:v>ENH-20260830-01</x:v>
      </x:c>
      <x:c r="Z1374" t="str">
        <x:v>Active</x:v>
      </x:c>
      <x:c r="AA1374"/>
      <x:c r="AB1374"/>
      <x:c r="AC1374"/>
      <x:c r="AD1374"/>
    </x:row>
    <x:row r="1375">
      <x:c r="A1375" t="str">
        <x:v>PCC-PE-KG01-L23-20251023-PM-ORD-2025-00093-S02-C3</x:v>
      </x:c>
      <x:c r="B1375" t="str">
        <x:v>PC-PE-KG01-L23-20251023-PM-ORD-2025-00093-S02</x:v>
      </x:c>
      <x:c r="C1375" t="str">
        <x:v>PE-KG01-L23-20251023-PM-ORD-2025-00093</x:v>
      </x:c>
      <x:c r="D1375" t="str">
        <x:v>KG01</x:v>
      </x:c>
      <x:c r="E1375" s="62" t="n">
        <x:v>45953</x:v>
      </x:c>
      <x:c r="F1375" t="str">
        <x:v>PM</x:v>
      </x:c>
      <x:c r="G1375" t="str">
        <x:v>A</x:v>
      </x:c>
      <x:c r="H1375" t="n">
        <x:v>23</x:v>
      </x:c>
      <x:c r="I1375" t="str">
        <x:v>ORD-2025-00093</x:v>
      </x:c>
      <x:c r="J1375" t="n">
        <x:v>2</x:v>
      </x:c>
      <x:c r="K1375" t="n">
        <x:v>3</x:v>
      </x:c>
      <x:c r="L1375" t="str">
        <x:v>L23-S02-C3</x:v>
      </x:c>
      <x:c r="M1375" t="n">
        <x:v>0</x:v>
      </x:c>
      <x:c r="N1375" t="str">
        <x:v>DerivedFromCount</x:v>
      </x:c>
      <x:c r="O1375" t="str">
        <x:v>PLC-PRD-JAR-720-L23</x:v>
      </x:c>
      <x:c r="P1375" t="str">
        <x:v>OK</x:v>
      </x:c>
      <x:c r="Q1375" t="str">
        <x:v>OK</x:v>
      </x:c>
      <x:c r="R1375" t="str">
        <x:v>OK</x:v>
      </x:c>
      <x:c r="S1375" t="str">
        <x:v>OK</x:v>
      </x:c>
      <x:c r="T1375" t="n">
        <x:v>24</x:v>
      </x:c>
      <x:c r="U1375" t="str">
        <x:v>OK</x:v>
      </x:c>
      <x:c r="V1375" t="str">
        <x:v>OK</x:v>
      </x:c>
      <x:c r="W1375" t="str">
        <x:v>LOAD</x:v>
      </x:c>
      <x:c r="X1375" t="str">
        <x:v>02_Supervisor_Log(4).xlsx</x:v>
      </x:c>
      <x:c r="Y1375" t="str">
        <x:v>ENH-20260830-01</x:v>
      </x:c>
      <x:c r="Z1375" t="str">
        <x:v>Active</x:v>
      </x:c>
      <x:c r="AA1375"/>
      <x:c r="AB1375"/>
      <x:c r="AC1375"/>
      <x:c r="AD1375"/>
    </x:row>
    <x:row r="1376">
      <x:c r="A1376" t="str">
        <x:v>PCC-PE-KG01-L23-20251023-PM-ORD-2025-00093-S03-C1</x:v>
      </x:c>
      <x:c r="B1376" t="str">
        <x:v>PC-PE-KG01-L23-20251023-PM-ORD-2025-00093-S03</x:v>
      </x:c>
      <x:c r="C1376" t="str">
        <x:v>PE-KG01-L23-20251023-PM-ORD-2025-00093</x:v>
      </x:c>
      <x:c r="D1376" t="str">
        <x:v>KG01</x:v>
      </x:c>
      <x:c r="E1376" s="62" t="n">
        <x:v>45953</x:v>
      </x:c>
      <x:c r="F1376" t="str">
        <x:v>PM</x:v>
      </x:c>
      <x:c r="G1376" t="str">
        <x:v>A</x:v>
      </x:c>
      <x:c r="H1376" t="n">
        <x:v>23</x:v>
      </x:c>
      <x:c r="I1376" t="str">
        <x:v>ORD-2025-00093</x:v>
      </x:c>
      <x:c r="J1376" t="n">
        <x:v>3</x:v>
      </x:c>
      <x:c r="K1376" t="n">
        <x:v>1</x:v>
      </x:c>
      <x:c r="L1376" t="str">
        <x:v>L23-S03-C1</x:v>
      </x:c>
      <x:c r="M1376" t="n">
        <x:v>1</x:v>
      </x:c>
      <x:c r="N1376" t="str">
        <x:v>DerivedFromCount</x:v>
      </x:c>
      <x:c r="O1376" t="str">
        <x:v>PLC-PRD-JAR-720-L23</x:v>
      </x:c>
      <x:c r="P1376" t="str">
        <x:v>OK</x:v>
      </x:c>
      <x:c r="Q1376" t="str">
        <x:v>OK</x:v>
      </x:c>
      <x:c r="R1376" t="str">
        <x:v>OK</x:v>
      </x:c>
      <x:c r="S1376" t="str">
        <x:v>OK</x:v>
      </x:c>
      <x:c r="T1376" t="n">
        <x:v>24</x:v>
      </x:c>
      <x:c r="U1376" t="str">
        <x:v>OK</x:v>
      </x:c>
      <x:c r="V1376" t="str">
        <x:v>OK</x:v>
      </x:c>
      <x:c r="W1376" t="str">
        <x:v>LOAD</x:v>
      </x:c>
      <x:c r="X1376" t="str">
        <x:v>02_Supervisor_Log(4).xlsx</x:v>
      </x:c>
      <x:c r="Y1376" t="str">
        <x:v>ENH-20260830-01</x:v>
      </x:c>
      <x:c r="Z1376" t="str">
        <x:v>Active</x:v>
      </x:c>
      <x:c r="AA1376"/>
      <x:c r="AB1376"/>
      <x:c r="AC1376"/>
      <x:c r="AD1376"/>
    </x:row>
    <x:row r="1377">
      <x:c r="A1377" t="str">
        <x:v>PCC-PE-KG01-L23-20251023-PM-ORD-2025-00093-S03-C2</x:v>
      </x:c>
      <x:c r="B1377" t="str">
        <x:v>PC-PE-KG01-L23-20251023-PM-ORD-2025-00093-S03</x:v>
      </x:c>
      <x:c r="C1377" t="str">
        <x:v>PE-KG01-L23-20251023-PM-ORD-2025-00093</x:v>
      </x:c>
      <x:c r="D1377" t="str">
        <x:v>KG01</x:v>
      </x:c>
      <x:c r="E1377" s="62" t="n">
        <x:v>45953</x:v>
      </x:c>
      <x:c r="F1377" t="str">
        <x:v>PM</x:v>
      </x:c>
      <x:c r="G1377" t="str">
        <x:v>A</x:v>
      </x:c>
      <x:c r="H1377" t="n">
        <x:v>23</x:v>
      </x:c>
      <x:c r="I1377" t="str">
        <x:v>ORD-2025-00093</x:v>
      </x:c>
      <x:c r="J1377" t="n">
        <x:v>3</x:v>
      </x:c>
      <x:c r="K1377" t="n">
        <x:v>2</x:v>
      </x:c>
      <x:c r="L1377" t="str">
        <x:v>L23-S03-C2</x:v>
      </x:c>
      <x:c r="M1377" t="n">
        <x:v>1</x:v>
      </x:c>
      <x:c r="N1377" t="str">
        <x:v>DerivedFromCount</x:v>
      </x:c>
      <x:c r="O1377" t="str">
        <x:v>PLC-PRD-JAR-720-L23</x:v>
      </x:c>
      <x:c r="P1377" t="str">
        <x:v>OK</x:v>
      </x:c>
      <x:c r="Q1377" t="str">
        <x:v>OK</x:v>
      </x:c>
      <x:c r="R1377" t="str">
        <x:v>OK</x:v>
      </x:c>
      <x:c r="S1377" t="str">
        <x:v>OK</x:v>
      </x:c>
      <x:c r="T1377" t="n">
        <x:v>24</x:v>
      </x:c>
      <x:c r="U1377" t="str">
        <x:v>OK</x:v>
      </x:c>
      <x:c r="V1377" t="str">
        <x:v>OK</x:v>
      </x:c>
      <x:c r="W1377" t="str">
        <x:v>LOAD</x:v>
      </x:c>
      <x:c r="X1377" t="str">
        <x:v>02_Supervisor_Log(4).xlsx</x:v>
      </x:c>
      <x:c r="Y1377" t="str">
        <x:v>ENH-20260830-01</x:v>
      </x:c>
      <x:c r="Z1377" t="str">
        <x:v>Active</x:v>
      </x:c>
      <x:c r="AA1377"/>
      <x:c r="AB1377"/>
      <x:c r="AC1377"/>
      <x:c r="AD1377"/>
    </x:row>
    <x:row r="1378">
      <x:c r="A1378" t="str">
        <x:v>PCC-PE-KG01-L23-20251023-PM-ORD-2025-00093-S03-C3</x:v>
      </x:c>
      <x:c r="B1378" t="str">
        <x:v>PC-PE-KG01-L23-20251023-PM-ORD-2025-00093-S03</x:v>
      </x:c>
      <x:c r="C1378" t="str">
        <x:v>PE-KG01-L23-20251023-PM-ORD-2025-00093</x:v>
      </x:c>
      <x:c r="D1378" t="str">
        <x:v>KG01</x:v>
      </x:c>
      <x:c r="E1378" s="62" t="n">
        <x:v>45953</x:v>
      </x:c>
      <x:c r="F1378" t="str">
        <x:v>PM</x:v>
      </x:c>
      <x:c r="G1378" t="str">
        <x:v>A</x:v>
      </x:c>
      <x:c r="H1378" t="n">
        <x:v>23</x:v>
      </x:c>
      <x:c r="I1378" t="str">
        <x:v>ORD-2025-00093</x:v>
      </x:c>
      <x:c r="J1378" t="n">
        <x:v>3</x:v>
      </x:c>
      <x:c r="K1378" t="n">
        <x:v>3</x:v>
      </x:c>
      <x:c r="L1378" t="str">
        <x:v>L23-S03-C3</x:v>
      </x:c>
      <x:c r="M1378" t="n">
        <x:v>0</x:v>
      </x:c>
      <x:c r="N1378" t="str">
        <x:v>DerivedFromCount</x:v>
      </x:c>
      <x:c r="O1378" t="str">
        <x:v>PLC-PRD-JAR-720-L23</x:v>
      </x:c>
      <x:c r="P1378" t="str">
        <x:v>OK</x:v>
      </x:c>
      <x:c r="Q1378" t="str">
        <x:v>OK</x:v>
      </x:c>
      <x:c r="R1378" t="str">
        <x:v>OK</x:v>
      </x:c>
      <x:c r="S1378" t="str">
        <x:v>OK</x:v>
      </x:c>
      <x:c r="T1378" t="n">
        <x:v>24</x:v>
      </x:c>
      <x:c r="U1378" t="str">
        <x:v>OK</x:v>
      </x:c>
      <x:c r="V1378" t="str">
        <x:v>OK</x:v>
      </x:c>
      <x:c r="W1378" t="str">
        <x:v>LOAD</x:v>
      </x:c>
      <x:c r="X1378" t="str">
        <x:v>02_Supervisor_Log(4).xlsx</x:v>
      </x:c>
      <x:c r="Y1378" t="str">
        <x:v>ENH-20260830-01</x:v>
      </x:c>
      <x:c r="Z1378" t="str">
        <x:v>Active</x:v>
      </x:c>
      <x:c r="AA1378"/>
      <x:c r="AB1378"/>
      <x:c r="AC1378"/>
      <x:c r="AD1378"/>
    </x:row>
    <x:row r="1379">
      <x:c r="A1379" t="str">
        <x:v>PCC-PE-KG01-L23-20251023-PM-ORD-2025-00093-S04-C1</x:v>
      </x:c>
      <x:c r="B1379" t="str">
        <x:v>PC-PE-KG01-L23-20251023-PM-ORD-2025-00093-S04</x:v>
      </x:c>
      <x:c r="C1379" t="str">
        <x:v>PE-KG01-L23-20251023-PM-ORD-2025-00093</x:v>
      </x:c>
      <x:c r="D1379" t="str">
        <x:v>KG01</x:v>
      </x:c>
      <x:c r="E1379" s="62" t="n">
        <x:v>45953</x:v>
      </x:c>
      <x:c r="F1379" t="str">
        <x:v>PM</x:v>
      </x:c>
      <x:c r="G1379" t="str">
        <x:v>A</x:v>
      </x:c>
      <x:c r="H1379" t="n">
        <x:v>23</x:v>
      </x:c>
      <x:c r="I1379" t="str">
        <x:v>ORD-2025-00093</x:v>
      </x:c>
      <x:c r="J1379" t="n">
        <x:v>4</x:v>
      </x:c>
      <x:c r="K1379" t="n">
        <x:v>1</x:v>
      </x:c>
      <x:c r="L1379" t="str">
        <x:v>L23-S04-C1</x:v>
      </x:c>
      <x:c r="M1379" t="n">
        <x:v>1</x:v>
      </x:c>
      <x:c r="N1379" t="str">
        <x:v>DerivedFromCount</x:v>
      </x:c>
      <x:c r="O1379" t="str">
        <x:v>PLC-PRD-JAR-720-L23</x:v>
      </x:c>
      <x:c r="P1379" t="str">
        <x:v>OK</x:v>
      </x:c>
      <x:c r="Q1379" t="str">
        <x:v>OK</x:v>
      </x:c>
      <x:c r="R1379" t="str">
        <x:v>OK</x:v>
      </x:c>
      <x:c r="S1379" t="str">
        <x:v>OK</x:v>
      </x:c>
      <x:c r="T1379" t="n">
        <x:v>24</x:v>
      </x:c>
      <x:c r="U1379" t="str">
        <x:v>OK</x:v>
      </x:c>
      <x:c r="V1379" t="str">
        <x:v>OK</x:v>
      </x:c>
      <x:c r="W1379" t="str">
        <x:v>LOAD</x:v>
      </x:c>
      <x:c r="X1379" t="str">
        <x:v>02_Supervisor_Log(4).xlsx</x:v>
      </x:c>
      <x:c r="Y1379" t="str">
        <x:v>ENH-20260830-01</x:v>
      </x:c>
      <x:c r="Z1379" t="str">
        <x:v>Active</x:v>
      </x:c>
      <x:c r="AA1379"/>
      <x:c r="AB1379"/>
      <x:c r="AC1379"/>
      <x:c r="AD1379"/>
    </x:row>
    <x:row r="1380">
      <x:c r="A1380" t="str">
        <x:v>PCC-PE-KG01-L23-20251023-PM-ORD-2025-00093-S04-C2</x:v>
      </x:c>
      <x:c r="B1380" t="str">
        <x:v>PC-PE-KG01-L23-20251023-PM-ORD-2025-00093-S04</x:v>
      </x:c>
      <x:c r="C1380" t="str">
        <x:v>PE-KG01-L23-20251023-PM-ORD-2025-00093</x:v>
      </x:c>
      <x:c r="D1380" t="str">
        <x:v>KG01</x:v>
      </x:c>
      <x:c r="E1380" s="62" t="n">
        <x:v>45953</x:v>
      </x:c>
      <x:c r="F1380" t="str">
        <x:v>PM</x:v>
      </x:c>
      <x:c r="G1380" t="str">
        <x:v>A</x:v>
      </x:c>
      <x:c r="H1380" t="n">
        <x:v>23</x:v>
      </x:c>
      <x:c r="I1380" t="str">
        <x:v>ORD-2025-00093</x:v>
      </x:c>
      <x:c r="J1380" t="n">
        <x:v>4</x:v>
      </x:c>
      <x:c r="K1380" t="n">
        <x:v>2</x:v>
      </x:c>
      <x:c r="L1380" t="str">
        <x:v>L23-S04-C2</x:v>
      </x:c>
      <x:c r="M1380" t="n">
        <x:v>1</x:v>
      </x:c>
      <x:c r="N1380" t="str">
        <x:v>DerivedFromCount</x:v>
      </x:c>
      <x:c r="O1380" t="str">
        <x:v>PLC-PRD-JAR-720-L23</x:v>
      </x:c>
      <x:c r="P1380" t="str">
        <x:v>OK</x:v>
      </x:c>
      <x:c r="Q1380" t="str">
        <x:v>OK</x:v>
      </x:c>
      <x:c r="R1380" t="str">
        <x:v>OK</x:v>
      </x:c>
      <x:c r="S1380" t="str">
        <x:v>OK</x:v>
      </x:c>
      <x:c r="T1380" t="n">
        <x:v>24</x:v>
      </x:c>
      <x:c r="U1380" t="str">
        <x:v>OK</x:v>
      </x:c>
      <x:c r="V1380" t="str">
        <x:v>OK</x:v>
      </x:c>
      <x:c r="W1380" t="str">
        <x:v>LOAD</x:v>
      </x:c>
      <x:c r="X1380" t="str">
        <x:v>02_Supervisor_Log(4).xlsx</x:v>
      </x:c>
      <x:c r="Y1380" t="str">
        <x:v>ENH-20260830-01</x:v>
      </x:c>
      <x:c r="Z1380" t="str">
        <x:v>Active</x:v>
      </x:c>
      <x:c r="AA1380"/>
      <x:c r="AB1380"/>
      <x:c r="AC1380"/>
      <x:c r="AD1380"/>
    </x:row>
    <x:row r="1381">
      <x:c r="A1381" t="str">
        <x:v>PCC-PE-KG01-L23-20251023-PM-ORD-2025-00093-S04-C3</x:v>
      </x:c>
      <x:c r="B1381" t="str">
        <x:v>PC-PE-KG01-L23-20251023-PM-ORD-2025-00093-S04</x:v>
      </x:c>
      <x:c r="C1381" t="str">
        <x:v>PE-KG01-L23-20251023-PM-ORD-2025-00093</x:v>
      </x:c>
      <x:c r="D1381" t="str">
        <x:v>KG01</x:v>
      </x:c>
      <x:c r="E1381" s="62" t="n">
        <x:v>45953</x:v>
      </x:c>
      <x:c r="F1381" t="str">
        <x:v>PM</x:v>
      </x:c>
      <x:c r="G1381" t="str">
        <x:v>A</x:v>
      </x:c>
      <x:c r="H1381" t="n">
        <x:v>23</x:v>
      </x:c>
      <x:c r="I1381" t="str">
        <x:v>ORD-2025-00093</x:v>
      </x:c>
      <x:c r="J1381" t="n">
        <x:v>4</x:v>
      </x:c>
      <x:c r="K1381" t="n">
        <x:v>3</x:v>
      </x:c>
      <x:c r="L1381" t="str">
        <x:v>L23-S04-C3</x:v>
      </x:c>
      <x:c r="M1381" t="n">
        <x:v>0</x:v>
      </x:c>
      <x:c r="N1381" t="str">
        <x:v>DerivedFromCount</x:v>
      </x:c>
      <x:c r="O1381" t="str">
        <x:v>PLC-PRD-JAR-720-L23</x:v>
      </x:c>
      <x:c r="P1381" t="str">
        <x:v>OK</x:v>
      </x:c>
      <x:c r="Q1381" t="str">
        <x:v>OK</x:v>
      </x:c>
      <x:c r="R1381" t="str">
        <x:v>OK</x:v>
      </x:c>
      <x:c r="S1381" t="str">
        <x:v>OK</x:v>
      </x:c>
      <x:c r="T1381" t="n">
        <x:v>24</x:v>
      </x:c>
      <x:c r="U1381" t="str">
        <x:v>OK</x:v>
      </x:c>
      <x:c r="V1381" t="str">
        <x:v>OK</x:v>
      </x:c>
      <x:c r="W1381" t="str">
        <x:v>LOAD</x:v>
      </x:c>
      <x:c r="X1381" t="str">
        <x:v>02_Supervisor_Log(4).xlsx</x:v>
      </x:c>
      <x:c r="Y1381" t="str">
        <x:v>ENH-20260830-01</x:v>
      </x:c>
      <x:c r="Z1381" t="str">
        <x:v>Active</x:v>
      </x:c>
      <x:c r="AA1381"/>
      <x:c r="AB1381"/>
      <x:c r="AC1381"/>
      <x:c r="AD1381"/>
    </x:row>
    <x:row r="1382">
      <x:c r="A1382" t="str">
        <x:v>PCC-PE-KG01-L23-20251023-PM-ORD-2025-00093-S05-C1</x:v>
      </x:c>
      <x:c r="B1382" t="str">
        <x:v>PC-PE-KG01-L23-20251023-PM-ORD-2025-00093-S05</x:v>
      </x:c>
      <x:c r="C1382" t="str">
        <x:v>PE-KG01-L23-20251023-PM-ORD-2025-00093</x:v>
      </x:c>
      <x:c r="D1382" t="str">
        <x:v>KG01</x:v>
      </x:c>
      <x:c r="E1382" s="62" t="n">
        <x:v>45953</x:v>
      </x:c>
      <x:c r="F1382" t="str">
        <x:v>PM</x:v>
      </x:c>
      <x:c r="G1382" t="str">
        <x:v>A</x:v>
      </x:c>
      <x:c r="H1382" t="n">
        <x:v>23</x:v>
      </x:c>
      <x:c r="I1382" t="str">
        <x:v>ORD-2025-00093</x:v>
      </x:c>
      <x:c r="J1382" t="n">
        <x:v>5</x:v>
      </x:c>
      <x:c r="K1382" t="n">
        <x:v>1</x:v>
      </x:c>
      <x:c r="L1382" t="str">
        <x:v>L23-S05-C1</x:v>
      </x:c>
      <x:c r="M1382" t="n">
        <x:v>1</x:v>
      </x:c>
      <x:c r="N1382" t="str">
        <x:v>DerivedFromCount</x:v>
      </x:c>
      <x:c r="O1382" t="str">
        <x:v>PLC-PRD-JAR-720-L23</x:v>
      </x:c>
      <x:c r="P1382" t="str">
        <x:v>OK</x:v>
      </x:c>
      <x:c r="Q1382" t="str">
        <x:v>OK</x:v>
      </x:c>
      <x:c r="R1382" t="str">
        <x:v>OK</x:v>
      </x:c>
      <x:c r="S1382" t="str">
        <x:v>OK</x:v>
      </x:c>
      <x:c r="T1382" t="n">
        <x:v>24</x:v>
      </x:c>
      <x:c r="U1382" t="str">
        <x:v>OK</x:v>
      </x:c>
      <x:c r="V1382" t="str">
        <x:v>OK</x:v>
      </x:c>
      <x:c r="W1382" t="str">
        <x:v>LOAD</x:v>
      </x:c>
      <x:c r="X1382" t="str">
        <x:v>02_Supervisor_Log(4).xlsx</x:v>
      </x:c>
      <x:c r="Y1382" t="str">
        <x:v>ENH-20260830-01</x:v>
      </x:c>
      <x:c r="Z1382" t="str">
        <x:v>Active</x:v>
      </x:c>
      <x:c r="AA1382"/>
      <x:c r="AB1382"/>
      <x:c r="AC1382"/>
      <x:c r="AD1382"/>
    </x:row>
    <x:row r="1383">
      <x:c r="A1383" t="str">
        <x:v>PCC-PE-KG01-L23-20251023-PM-ORD-2025-00093-S05-C2</x:v>
      </x:c>
      <x:c r="B1383" t="str">
        <x:v>PC-PE-KG01-L23-20251023-PM-ORD-2025-00093-S05</x:v>
      </x:c>
      <x:c r="C1383" t="str">
        <x:v>PE-KG01-L23-20251023-PM-ORD-2025-00093</x:v>
      </x:c>
      <x:c r="D1383" t="str">
        <x:v>KG01</x:v>
      </x:c>
      <x:c r="E1383" s="62" t="n">
        <x:v>45953</x:v>
      </x:c>
      <x:c r="F1383" t="str">
        <x:v>PM</x:v>
      </x:c>
      <x:c r="G1383" t="str">
        <x:v>A</x:v>
      </x:c>
      <x:c r="H1383" t="n">
        <x:v>23</x:v>
      </x:c>
      <x:c r="I1383" t="str">
        <x:v>ORD-2025-00093</x:v>
      </x:c>
      <x:c r="J1383" t="n">
        <x:v>5</x:v>
      </x:c>
      <x:c r="K1383" t="n">
        <x:v>2</x:v>
      </x:c>
      <x:c r="L1383" t="str">
        <x:v>L23-S05-C2</x:v>
      </x:c>
      <x:c r="M1383" t="n">
        <x:v>1</x:v>
      </x:c>
      <x:c r="N1383" t="str">
        <x:v>DerivedFromCount</x:v>
      </x:c>
      <x:c r="O1383" t="str">
        <x:v>PLC-PRD-JAR-720-L23</x:v>
      </x:c>
      <x:c r="P1383" t="str">
        <x:v>OK</x:v>
      </x:c>
      <x:c r="Q1383" t="str">
        <x:v>OK</x:v>
      </x:c>
      <x:c r="R1383" t="str">
        <x:v>OK</x:v>
      </x:c>
      <x:c r="S1383" t="str">
        <x:v>OK</x:v>
      </x:c>
      <x:c r="T1383" t="n">
        <x:v>24</x:v>
      </x:c>
      <x:c r="U1383" t="str">
        <x:v>OK</x:v>
      </x:c>
      <x:c r="V1383" t="str">
        <x:v>OK</x:v>
      </x:c>
      <x:c r="W1383" t="str">
        <x:v>LOAD</x:v>
      </x:c>
      <x:c r="X1383" t="str">
        <x:v>02_Supervisor_Log(4).xlsx</x:v>
      </x:c>
      <x:c r="Y1383" t="str">
        <x:v>ENH-20260830-01</x:v>
      </x:c>
      <x:c r="Z1383" t="str">
        <x:v>Active</x:v>
      </x:c>
      <x:c r="AA1383"/>
      <x:c r="AB1383"/>
      <x:c r="AC1383"/>
      <x:c r="AD1383"/>
    </x:row>
    <x:row r="1384">
      <x:c r="A1384" t="str">
        <x:v>PCC-PE-KG01-L23-20251023-PM-ORD-2025-00093-S05-C3</x:v>
      </x:c>
      <x:c r="B1384" t="str">
        <x:v>PC-PE-KG01-L23-20251023-PM-ORD-2025-00093-S05</x:v>
      </x:c>
      <x:c r="C1384" t="str">
        <x:v>PE-KG01-L23-20251023-PM-ORD-2025-00093</x:v>
      </x:c>
      <x:c r="D1384" t="str">
        <x:v>KG01</x:v>
      </x:c>
      <x:c r="E1384" s="62" t="n">
        <x:v>45953</x:v>
      </x:c>
      <x:c r="F1384" t="str">
        <x:v>PM</x:v>
      </x:c>
      <x:c r="G1384" t="str">
        <x:v>A</x:v>
      </x:c>
      <x:c r="H1384" t="n">
        <x:v>23</x:v>
      </x:c>
      <x:c r="I1384" t="str">
        <x:v>ORD-2025-00093</x:v>
      </x:c>
      <x:c r="J1384" t="n">
        <x:v>5</x:v>
      </x:c>
      <x:c r="K1384" t="n">
        <x:v>3</x:v>
      </x:c>
      <x:c r="L1384" t="str">
        <x:v>L23-S05-C3</x:v>
      </x:c>
      <x:c r="M1384" t="n">
        <x:v>0</x:v>
      </x:c>
      <x:c r="N1384" t="str">
        <x:v>DerivedFromCount</x:v>
      </x:c>
      <x:c r="O1384" t="str">
        <x:v>PLC-PRD-JAR-720-L23</x:v>
      </x:c>
      <x:c r="P1384" t="str">
        <x:v>OK</x:v>
      </x:c>
      <x:c r="Q1384" t="str">
        <x:v>OK</x:v>
      </x:c>
      <x:c r="R1384" t="str">
        <x:v>OK</x:v>
      </x:c>
      <x:c r="S1384" t="str">
        <x:v>OK</x:v>
      </x:c>
      <x:c r="T1384" t="n">
        <x:v>24</x:v>
      </x:c>
      <x:c r="U1384" t="str">
        <x:v>OK</x:v>
      </x:c>
      <x:c r="V1384" t="str">
        <x:v>OK</x:v>
      </x:c>
      <x:c r="W1384" t="str">
        <x:v>LOAD</x:v>
      </x:c>
      <x:c r="X1384" t="str">
        <x:v>02_Supervisor_Log(4).xlsx</x:v>
      </x:c>
      <x:c r="Y1384" t="str">
        <x:v>ENH-20260830-01</x:v>
      </x:c>
      <x:c r="Z1384" t="str">
        <x:v>Active</x:v>
      </x:c>
      <x:c r="AA1384"/>
      <x:c r="AB1384"/>
      <x:c r="AC1384"/>
      <x:c r="AD1384"/>
    </x:row>
    <x:row r="1385">
      <x:c r="A1385" t="str">
        <x:v>PCC-PE-KG01-L23-20251023-PM-ORD-2025-00093-S06-C1</x:v>
      </x:c>
      <x:c r="B1385" t="str">
        <x:v>PC-PE-KG01-L23-20251023-PM-ORD-2025-00093-S06</x:v>
      </x:c>
      <x:c r="C1385" t="str">
        <x:v>PE-KG01-L23-20251023-PM-ORD-2025-00093</x:v>
      </x:c>
      <x:c r="D1385" t="str">
        <x:v>KG01</x:v>
      </x:c>
      <x:c r="E1385" s="62" t="n">
        <x:v>45953</x:v>
      </x:c>
      <x:c r="F1385" t="str">
        <x:v>PM</x:v>
      </x:c>
      <x:c r="G1385" t="str">
        <x:v>A</x:v>
      </x:c>
      <x:c r="H1385" t="n">
        <x:v>23</x:v>
      </x:c>
      <x:c r="I1385" t="str">
        <x:v>ORD-2025-00093</x:v>
      </x:c>
      <x:c r="J1385" t="n">
        <x:v>6</x:v>
      </x:c>
      <x:c r="K1385" t="n">
        <x:v>1</x:v>
      </x:c>
      <x:c r="L1385" t="str">
        <x:v>L23-S06-C1</x:v>
      </x:c>
      <x:c r="M1385" t="n">
        <x:v>1</x:v>
      </x:c>
      <x:c r="N1385" t="str">
        <x:v>DerivedFromCount</x:v>
      </x:c>
      <x:c r="O1385" t="str">
        <x:v>PLC-PRD-JAR-720-L23</x:v>
      </x:c>
      <x:c r="P1385" t="str">
        <x:v>OK</x:v>
      </x:c>
      <x:c r="Q1385" t="str">
        <x:v>OK</x:v>
      </x:c>
      <x:c r="R1385" t="str">
        <x:v>OK</x:v>
      </x:c>
      <x:c r="S1385" t="str">
        <x:v>OK</x:v>
      </x:c>
      <x:c r="T1385" t="n">
        <x:v>24</x:v>
      </x:c>
      <x:c r="U1385" t="str">
        <x:v>OK</x:v>
      </x:c>
      <x:c r="V1385" t="str">
        <x:v>OK</x:v>
      </x:c>
      <x:c r="W1385" t="str">
        <x:v>LOAD</x:v>
      </x:c>
      <x:c r="X1385" t="str">
        <x:v>02_Supervisor_Log(4).xlsx</x:v>
      </x:c>
      <x:c r="Y1385" t="str">
        <x:v>ENH-20260830-01</x:v>
      </x:c>
      <x:c r="Z1385" t="str">
        <x:v>Active</x:v>
      </x:c>
      <x:c r="AA1385"/>
      <x:c r="AB1385"/>
      <x:c r="AC1385"/>
      <x:c r="AD1385"/>
    </x:row>
    <x:row r="1386">
      <x:c r="A1386" t="str">
        <x:v>PCC-PE-KG01-L23-20251023-PM-ORD-2025-00093-S06-C2</x:v>
      </x:c>
      <x:c r="B1386" t="str">
        <x:v>PC-PE-KG01-L23-20251023-PM-ORD-2025-00093-S06</x:v>
      </x:c>
      <x:c r="C1386" t="str">
        <x:v>PE-KG01-L23-20251023-PM-ORD-2025-00093</x:v>
      </x:c>
      <x:c r="D1386" t="str">
        <x:v>KG01</x:v>
      </x:c>
      <x:c r="E1386" s="62" t="n">
        <x:v>45953</x:v>
      </x:c>
      <x:c r="F1386" t="str">
        <x:v>PM</x:v>
      </x:c>
      <x:c r="G1386" t="str">
        <x:v>A</x:v>
      </x:c>
      <x:c r="H1386" t="n">
        <x:v>23</x:v>
      </x:c>
      <x:c r="I1386" t="str">
        <x:v>ORD-2025-00093</x:v>
      </x:c>
      <x:c r="J1386" t="n">
        <x:v>6</x:v>
      </x:c>
      <x:c r="K1386" t="n">
        <x:v>2</x:v>
      </x:c>
      <x:c r="L1386" t="str">
        <x:v>L23-S06-C2</x:v>
      </x:c>
      <x:c r="M1386" t="n">
        <x:v>1</x:v>
      </x:c>
      <x:c r="N1386" t="str">
        <x:v>DerivedFromCount</x:v>
      </x:c>
      <x:c r="O1386" t="str">
        <x:v>PLC-PRD-JAR-720-L23</x:v>
      </x:c>
      <x:c r="P1386" t="str">
        <x:v>OK</x:v>
      </x:c>
      <x:c r="Q1386" t="str">
        <x:v>OK</x:v>
      </x:c>
      <x:c r="R1386" t="str">
        <x:v>OK</x:v>
      </x:c>
      <x:c r="S1386" t="str">
        <x:v>OK</x:v>
      </x:c>
      <x:c r="T1386" t="n">
        <x:v>24</x:v>
      </x:c>
      <x:c r="U1386" t="str">
        <x:v>OK</x:v>
      </x:c>
      <x:c r="V1386" t="str">
        <x:v>OK</x:v>
      </x:c>
      <x:c r="W1386" t="str">
        <x:v>LOAD</x:v>
      </x:c>
      <x:c r="X1386" t="str">
        <x:v>02_Supervisor_Log(4).xlsx</x:v>
      </x:c>
      <x:c r="Y1386" t="str">
        <x:v>ENH-20260830-01</x:v>
      </x:c>
      <x:c r="Z1386" t="str">
        <x:v>Active</x:v>
      </x:c>
      <x:c r="AA1386"/>
      <x:c r="AB1386"/>
      <x:c r="AC1386"/>
      <x:c r="AD1386"/>
    </x:row>
    <x:row r="1387">
      <x:c r="A1387" t="str">
        <x:v>PCC-PE-KG01-L23-20251023-PM-ORD-2025-00093-S06-C3</x:v>
      </x:c>
      <x:c r="B1387" t="str">
        <x:v>PC-PE-KG01-L23-20251023-PM-ORD-2025-00093-S06</x:v>
      </x:c>
      <x:c r="C1387" t="str">
        <x:v>PE-KG01-L23-20251023-PM-ORD-2025-00093</x:v>
      </x:c>
      <x:c r="D1387" t="str">
        <x:v>KG01</x:v>
      </x:c>
      <x:c r="E1387" s="62" t="n">
        <x:v>45953</x:v>
      </x:c>
      <x:c r="F1387" t="str">
        <x:v>PM</x:v>
      </x:c>
      <x:c r="G1387" t="str">
        <x:v>A</x:v>
      </x:c>
      <x:c r="H1387" t="n">
        <x:v>23</x:v>
      </x:c>
      <x:c r="I1387" t="str">
        <x:v>ORD-2025-00093</x:v>
      </x:c>
      <x:c r="J1387" t="n">
        <x:v>6</x:v>
      </x:c>
      <x:c r="K1387" t="n">
        <x:v>3</x:v>
      </x:c>
      <x:c r="L1387" t="str">
        <x:v>L23-S06-C3</x:v>
      </x:c>
      <x:c r="M1387" t="n">
        <x:v>0</x:v>
      </x:c>
      <x:c r="N1387" t="str">
        <x:v>DerivedFromCount</x:v>
      </x:c>
      <x:c r="O1387" t="str">
        <x:v>PLC-PRD-JAR-720-L23</x:v>
      </x:c>
      <x:c r="P1387" t="str">
        <x:v>OK</x:v>
      </x:c>
      <x:c r="Q1387" t="str">
        <x:v>OK</x:v>
      </x:c>
      <x:c r="R1387" t="str">
        <x:v>OK</x:v>
      </x:c>
      <x:c r="S1387" t="str">
        <x:v>OK</x:v>
      </x:c>
      <x:c r="T1387" t="n">
        <x:v>24</x:v>
      </x:c>
      <x:c r="U1387" t="str">
        <x:v>OK</x:v>
      </x:c>
      <x:c r="V1387" t="str">
        <x:v>OK</x:v>
      </x:c>
      <x:c r="W1387" t="str">
        <x:v>LOAD</x:v>
      </x:c>
      <x:c r="X1387" t="str">
        <x:v>02_Supervisor_Log(4).xlsx</x:v>
      </x:c>
      <x:c r="Y1387" t="str">
        <x:v>ENH-20260830-01</x:v>
      </x:c>
      <x:c r="Z1387" t="str">
        <x:v>Active</x:v>
      </x:c>
      <x:c r="AA1387"/>
      <x:c r="AB1387"/>
      <x:c r="AC1387"/>
      <x:c r="AD1387"/>
    </x:row>
    <x:row r="1388">
      <x:c r="A1388" t="str">
        <x:v>PCC-PE-KG01-L23-20251023-PM-ORD-2025-00093-S07-C1</x:v>
      </x:c>
      <x:c r="B1388" t="str">
        <x:v>PC-PE-KG01-L23-20251023-PM-ORD-2025-00093-S07</x:v>
      </x:c>
      <x:c r="C1388" t="str">
        <x:v>PE-KG01-L23-20251023-PM-ORD-2025-00093</x:v>
      </x:c>
      <x:c r="D1388" t="str">
        <x:v>KG01</x:v>
      </x:c>
      <x:c r="E1388" s="62" t="n">
        <x:v>45953</x:v>
      </x:c>
      <x:c r="F1388" t="str">
        <x:v>PM</x:v>
      </x:c>
      <x:c r="G1388" t="str">
        <x:v>A</x:v>
      </x:c>
      <x:c r="H1388" t="n">
        <x:v>23</x:v>
      </x:c>
      <x:c r="I1388" t="str">
        <x:v>ORD-2025-00093</x:v>
      </x:c>
      <x:c r="J1388" t="n">
        <x:v>7</x:v>
      </x:c>
      <x:c r="K1388" t="n">
        <x:v>1</x:v>
      </x:c>
      <x:c r="L1388" t="str">
        <x:v>L23-S07-C1</x:v>
      </x:c>
      <x:c r="M1388" t="n">
        <x:v>1</x:v>
      </x:c>
      <x:c r="N1388" t="str">
        <x:v>DerivedFromCount</x:v>
      </x:c>
      <x:c r="O1388" t="str">
        <x:v>PLC-PRD-JAR-720-L23</x:v>
      </x:c>
      <x:c r="P1388" t="str">
        <x:v>OK</x:v>
      </x:c>
      <x:c r="Q1388" t="str">
        <x:v>OK</x:v>
      </x:c>
      <x:c r="R1388" t="str">
        <x:v>OK</x:v>
      </x:c>
      <x:c r="S1388" t="str">
        <x:v>OK</x:v>
      </x:c>
      <x:c r="T1388" t="n">
        <x:v>24</x:v>
      </x:c>
      <x:c r="U1388" t="str">
        <x:v>OK</x:v>
      </x:c>
      <x:c r="V1388" t="str">
        <x:v>OK</x:v>
      </x:c>
      <x:c r="W1388" t="str">
        <x:v>LOAD</x:v>
      </x:c>
      <x:c r="X1388" t="str">
        <x:v>02_Supervisor_Log(4).xlsx</x:v>
      </x:c>
      <x:c r="Y1388" t="str">
        <x:v>ENH-20260830-01</x:v>
      </x:c>
      <x:c r="Z1388" t="str">
        <x:v>Active</x:v>
      </x:c>
      <x:c r="AA1388"/>
      <x:c r="AB1388"/>
      <x:c r="AC1388"/>
      <x:c r="AD1388"/>
    </x:row>
    <x:row r="1389">
      <x:c r="A1389" t="str">
        <x:v>PCC-PE-KG01-L23-20251023-PM-ORD-2025-00093-S07-C2</x:v>
      </x:c>
      <x:c r="B1389" t="str">
        <x:v>PC-PE-KG01-L23-20251023-PM-ORD-2025-00093-S07</x:v>
      </x:c>
      <x:c r="C1389" t="str">
        <x:v>PE-KG01-L23-20251023-PM-ORD-2025-00093</x:v>
      </x:c>
      <x:c r="D1389" t="str">
        <x:v>KG01</x:v>
      </x:c>
      <x:c r="E1389" s="62" t="n">
        <x:v>45953</x:v>
      </x:c>
      <x:c r="F1389" t="str">
        <x:v>PM</x:v>
      </x:c>
      <x:c r="G1389" t="str">
        <x:v>A</x:v>
      </x:c>
      <x:c r="H1389" t="n">
        <x:v>23</x:v>
      </x:c>
      <x:c r="I1389" t="str">
        <x:v>ORD-2025-00093</x:v>
      </x:c>
      <x:c r="J1389" t="n">
        <x:v>7</x:v>
      </x:c>
      <x:c r="K1389" t="n">
        <x:v>2</x:v>
      </x:c>
      <x:c r="L1389" t="str">
        <x:v>L23-S07-C2</x:v>
      </x:c>
      <x:c r="M1389" t="n">
        <x:v>1</x:v>
      </x:c>
      <x:c r="N1389" t="str">
        <x:v>DerivedFromCount</x:v>
      </x:c>
      <x:c r="O1389" t="str">
        <x:v>PLC-PRD-JAR-720-L23</x:v>
      </x:c>
      <x:c r="P1389" t="str">
        <x:v>OK</x:v>
      </x:c>
      <x:c r="Q1389" t="str">
        <x:v>OK</x:v>
      </x:c>
      <x:c r="R1389" t="str">
        <x:v>OK</x:v>
      </x:c>
      <x:c r="S1389" t="str">
        <x:v>OK</x:v>
      </x:c>
      <x:c r="T1389" t="n">
        <x:v>24</x:v>
      </x:c>
      <x:c r="U1389" t="str">
        <x:v>OK</x:v>
      </x:c>
      <x:c r="V1389" t="str">
        <x:v>OK</x:v>
      </x:c>
      <x:c r="W1389" t="str">
        <x:v>LOAD</x:v>
      </x:c>
      <x:c r="X1389" t="str">
        <x:v>02_Supervisor_Log(4).xlsx</x:v>
      </x:c>
      <x:c r="Y1389" t="str">
        <x:v>ENH-20260830-01</x:v>
      </x:c>
      <x:c r="Z1389" t="str">
        <x:v>Active</x:v>
      </x:c>
      <x:c r="AA1389"/>
      <x:c r="AB1389"/>
      <x:c r="AC1389"/>
      <x:c r="AD1389"/>
    </x:row>
    <x:row r="1390">
      <x:c r="A1390" t="str">
        <x:v>PCC-PE-KG01-L23-20251023-PM-ORD-2025-00093-S07-C3</x:v>
      </x:c>
      <x:c r="B1390" t="str">
        <x:v>PC-PE-KG01-L23-20251023-PM-ORD-2025-00093-S07</x:v>
      </x:c>
      <x:c r="C1390" t="str">
        <x:v>PE-KG01-L23-20251023-PM-ORD-2025-00093</x:v>
      </x:c>
      <x:c r="D1390" t="str">
        <x:v>KG01</x:v>
      </x:c>
      <x:c r="E1390" s="62" t="n">
        <x:v>45953</x:v>
      </x:c>
      <x:c r="F1390" t="str">
        <x:v>PM</x:v>
      </x:c>
      <x:c r="G1390" t="str">
        <x:v>A</x:v>
      </x:c>
      <x:c r="H1390" t="n">
        <x:v>23</x:v>
      </x:c>
      <x:c r="I1390" t="str">
        <x:v>ORD-2025-00093</x:v>
      </x:c>
      <x:c r="J1390" t="n">
        <x:v>7</x:v>
      </x:c>
      <x:c r="K1390" t="n">
        <x:v>3</x:v>
      </x:c>
      <x:c r="L1390" t="str">
        <x:v>L23-S07-C3</x:v>
      </x:c>
      <x:c r="M1390" t="n">
        <x:v>0</x:v>
      </x:c>
      <x:c r="N1390" t="str">
        <x:v>DerivedFromCount</x:v>
      </x:c>
      <x:c r="O1390" t="str">
        <x:v>PLC-PRD-JAR-720-L23</x:v>
      </x:c>
      <x:c r="P1390" t="str">
        <x:v>OK</x:v>
      </x:c>
      <x:c r="Q1390" t="str">
        <x:v>OK</x:v>
      </x:c>
      <x:c r="R1390" t="str">
        <x:v>OK</x:v>
      </x:c>
      <x:c r="S1390" t="str">
        <x:v>OK</x:v>
      </x:c>
      <x:c r="T1390" t="n">
        <x:v>24</x:v>
      </x:c>
      <x:c r="U1390" t="str">
        <x:v>OK</x:v>
      </x:c>
      <x:c r="V1390" t="str">
        <x:v>OK</x:v>
      </x:c>
      <x:c r="W1390" t="str">
        <x:v>LOAD</x:v>
      </x:c>
      <x:c r="X1390" t="str">
        <x:v>02_Supervisor_Log(4).xlsx</x:v>
      </x:c>
      <x:c r="Y1390" t="str">
        <x:v>ENH-20260830-01</x:v>
      </x:c>
      <x:c r="Z1390" t="str">
        <x:v>Active</x:v>
      </x:c>
      <x:c r="AA1390"/>
      <x:c r="AB1390"/>
      <x:c r="AC1390"/>
      <x:c r="AD1390"/>
    </x:row>
    <x:row r="1391">
      <x:c r="A1391" t="str">
        <x:v>PCC-PE-KG01-L23-20251023-PM-ORD-2025-00093-S08-C1</x:v>
      </x:c>
      <x:c r="B1391" t="str">
        <x:v>PC-PE-KG01-L23-20251023-PM-ORD-2025-00093-S08</x:v>
      </x:c>
      <x:c r="C1391" t="str">
        <x:v>PE-KG01-L23-20251023-PM-ORD-2025-00093</x:v>
      </x:c>
      <x:c r="D1391" t="str">
        <x:v>KG01</x:v>
      </x:c>
      <x:c r="E1391" s="62" t="n">
        <x:v>45953</x:v>
      </x:c>
      <x:c r="F1391" t="str">
        <x:v>PM</x:v>
      </x:c>
      <x:c r="G1391" t="str">
        <x:v>A</x:v>
      </x:c>
      <x:c r="H1391" t="n">
        <x:v>23</x:v>
      </x:c>
      <x:c r="I1391" t="str">
        <x:v>ORD-2025-00093</x:v>
      </x:c>
      <x:c r="J1391" t="n">
        <x:v>8</x:v>
      </x:c>
      <x:c r="K1391" t="n">
        <x:v>1</x:v>
      </x:c>
      <x:c r="L1391" t="str">
        <x:v>L23-S08-C1</x:v>
      </x:c>
      <x:c r="M1391" t="n">
        <x:v>1</x:v>
      </x:c>
      <x:c r="N1391" t="str">
        <x:v>DerivedFromCount</x:v>
      </x:c>
      <x:c r="O1391" t="str">
        <x:v>PLC-PRD-JAR-720-L23</x:v>
      </x:c>
      <x:c r="P1391" t="str">
        <x:v>OK</x:v>
      </x:c>
      <x:c r="Q1391" t="str">
        <x:v>OK</x:v>
      </x:c>
      <x:c r="R1391" t="str">
        <x:v>OK</x:v>
      </x:c>
      <x:c r="S1391" t="str">
        <x:v>OK</x:v>
      </x:c>
      <x:c r="T1391" t="n">
        <x:v>24</x:v>
      </x:c>
      <x:c r="U1391" t="str">
        <x:v>OK</x:v>
      </x:c>
      <x:c r="V1391" t="str">
        <x:v>OK</x:v>
      </x:c>
      <x:c r="W1391" t="str">
        <x:v>LOAD</x:v>
      </x:c>
      <x:c r="X1391" t="str">
        <x:v>02_Supervisor_Log(4).xlsx</x:v>
      </x:c>
      <x:c r="Y1391" t="str">
        <x:v>ENH-20260830-01</x:v>
      </x:c>
      <x:c r="Z1391" t="str">
        <x:v>Active</x:v>
      </x:c>
      <x:c r="AA1391"/>
      <x:c r="AB1391"/>
      <x:c r="AC1391"/>
      <x:c r="AD1391"/>
    </x:row>
    <x:row r="1392">
      <x:c r="A1392" t="str">
        <x:v>PCC-PE-KG01-L23-20251023-PM-ORD-2025-00093-S08-C2</x:v>
      </x:c>
      <x:c r="B1392" t="str">
        <x:v>PC-PE-KG01-L23-20251023-PM-ORD-2025-00093-S08</x:v>
      </x:c>
      <x:c r="C1392" t="str">
        <x:v>PE-KG01-L23-20251023-PM-ORD-2025-00093</x:v>
      </x:c>
      <x:c r="D1392" t="str">
        <x:v>KG01</x:v>
      </x:c>
      <x:c r="E1392" s="62" t="n">
        <x:v>45953</x:v>
      </x:c>
      <x:c r="F1392" t="str">
        <x:v>PM</x:v>
      </x:c>
      <x:c r="G1392" t="str">
        <x:v>A</x:v>
      </x:c>
      <x:c r="H1392" t="n">
        <x:v>23</x:v>
      </x:c>
      <x:c r="I1392" t="str">
        <x:v>ORD-2025-00093</x:v>
      </x:c>
      <x:c r="J1392" t="n">
        <x:v>8</x:v>
      </x:c>
      <x:c r="K1392" t="n">
        <x:v>2</x:v>
      </x:c>
      <x:c r="L1392" t="str">
        <x:v>L23-S08-C2</x:v>
      </x:c>
      <x:c r="M1392" t="n">
        <x:v>1</x:v>
      </x:c>
      <x:c r="N1392" t="str">
        <x:v>DerivedFromCount</x:v>
      </x:c>
      <x:c r="O1392" t="str">
        <x:v>PLC-PRD-JAR-720-L23</x:v>
      </x:c>
      <x:c r="P1392" t="str">
        <x:v>OK</x:v>
      </x:c>
      <x:c r="Q1392" t="str">
        <x:v>OK</x:v>
      </x:c>
      <x:c r="R1392" t="str">
        <x:v>OK</x:v>
      </x:c>
      <x:c r="S1392" t="str">
        <x:v>OK</x:v>
      </x:c>
      <x:c r="T1392" t="n">
        <x:v>24</x:v>
      </x:c>
      <x:c r="U1392" t="str">
        <x:v>OK</x:v>
      </x:c>
      <x:c r="V1392" t="str">
        <x:v>OK</x:v>
      </x:c>
      <x:c r="W1392" t="str">
        <x:v>LOAD</x:v>
      </x:c>
      <x:c r="X1392" t="str">
        <x:v>02_Supervisor_Log(4).xlsx</x:v>
      </x:c>
      <x:c r="Y1392" t="str">
        <x:v>ENH-20260830-01</x:v>
      </x:c>
      <x:c r="Z1392" t="str">
        <x:v>Active</x:v>
      </x:c>
      <x:c r="AA1392"/>
      <x:c r="AB1392"/>
      <x:c r="AC1392"/>
      <x:c r="AD1392"/>
    </x:row>
    <x:row r="1393">
      <x:c r="A1393" t="str">
        <x:v>PCC-PE-KG01-L23-20251023-PM-ORD-2025-00093-S08-C3</x:v>
      </x:c>
      <x:c r="B1393" t="str">
        <x:v>PC-PE-KG01-L23-20251023-PM-ORD-2025-00093-S08</x:v>
      </x:c>
      <x:c r="C1393" t="str">
        <x:v>PE-KG01-L23-20251023-PM-ORD-2025-00093</x:v>
      </x:c>
      <x:c r="D1393" t="str">
        <x:v>KG01</x:v>
      </x:c>
      <x:c r="E1393" s="62" t="n">
        <x:v>45953</x:v>
      </x:c>
      <x:c r="F1393" t="str">
        <x:v>PM</x:v>
      </x:c>
      <x:c r="G1393" t="str">
        <x:v>A</x:v>
      </x:c>
      <x:c r="H1393" t="n">
        <x:v>23</x:v>
      </x:c>
      <x:c r="I1393" t="str">
        <x:v>ORD-2025-00093</x:v>
      </x:c>
      <x:c r="J1393" t="n">
        <x:v>8</x:v>
      </x:c>
      <x:c r="K1393" t="n">
        <x:v>3</x:v>
      </x:c>
      <x:c r="L1393" t="str">
        <x:v>L23-S08-C3</x:v>
      </x:c>
      <x:c r="M1393" t="n">
        <x:v>0</x:v>
      </x:c>
      <x:c r="N1393" t="str">
        <x:v>DerivedFromCount</x:v>
      </x:c>
      <x:c r="O1393" t="str">
        <x:v>PLC-PRD-JAR-720-L23</x:v>
      </x:c>
      <x:c r="P1393" t="str">
        <x:v>OK</x:v>
      </x:c>
      <x:c r="Q1393" t="str">
        <x:v>OK</x:v>
      </x:c>
      <x:c r="R1393" t="str">
        <x:v>OK</x:v>
      </x:c>
      <x:c r="S1393" t="str">
        <x:v>OK</x:v>
      </x:c>
      <x:c r="T1393" t="n">
        <x:v>24</x:v>
      </x:c>
      <x:c r="U1393" t="str">
        <x:v>OK</x:v>
      </x:c>
      <x:c r="V1393" t="str">
        <x:v>OK</x:v>
      </x:c>
      <x:c r="W1393" t="str">
        <x:v>LOAD</x:v>
      </x:c>
      <x:c r="X1393" t="str">
        <x:v>02_Supervisor_Log(4).xlsx</x:v>
      </x:c>
      <x:c r="Y1393" t="str">
        <x:v>ENH-20260830-01</x:v>
      </x:c>
      <x:c r="Z1393" t="str">
        <x:v>Active</x:v>
      </x:c>
      <x:c r="AA1393"/>
      <x:c r="AB1393"/>
      <x:c r="AC1393"/>
      <x:c r="AD1393"/>
    </x:row>
    <x:row r="1394">
      <x:c r="A1394" t="str">
        <x:v>PCC-PE-KG01-L23-20251023-PM-ORD-2025-00093-S09-C1</x:v>
      </x:c>
      <x:c r="B1394" t="str">
        <x:v>PC-PE-KG01-L23-20251023-PM-ORD-2025-00093-S09</x:v>
      </x:c>
      <x:c r="C1394" t="str">
        <x:v>PE-KG01-L23-20251023-PM-ORD-2025-00093</x:v>
      </x:c>
      <x:c r="D1394" t="str">
        <x:v>KG01</x:v>
      </x:c>
      <x:c r="E1394" s="62" t="n">
        <x:v>45953</x:v>
      </x:c>
      <x:c r="F1394" t="str">
        <x:v>PM</x:v>
      </x:c>
      <x:c r="G1394" t="str">
        <x:v>A</x:v>
      </x:c>
      <x:c r="H1394" t="n">
        <x:v>23</x:v>
      </x:c>
      <x:c r="I1394" t="str">
        <x:v>ORD-2025-00093</x:v>
      </x:c>
      <x:c r="J1394" t="n">
        <x:v>9</x:v>
      </x:c>
      <x:c r="K1394" t="n">
        <x:v>1</x:v>
      </x:c>
      <x:c r="L1394" t="str">
        <x:v>L23-S09-C1</x:v>
      </x:c>
      <x:c r="M1394" t="n">
        <x:v>1</x:v>
      </x:c>
      <x:c r="N1394" t="str">
        <x:v>DerivedFromCount</x:v>
      </x:c>
      <x:c r="O1394" t="str">
        <x:v>PLC-PRD-JAR-720-L23</x:v>
      </x:c>
      <x:c r="P1394" t="str">
        <x:v>OK</x:v>
      </x:c>
      <x:c r="Q1394" t="str">
        <x:v>OK</x:v>
      </x:c>
      <x:c r="R1394" t="str">
        <x:v>OK</x:v>
      </x:c>
      <x:c r="S1394" t="str">
        <x:v>OK</x:v>
      </x:c>
      <x:c r="T1394" t="n">
        <x:v>24</x:v>
      </x:c>
      <x:c r="U1394" t="str">
        <x:v>OK</x:v>
      </x:c>
      <x:c r="V1394" t="str">
        <x:v>OK</x:v>
      </x:c>
      <x:c r="W1394" t="str">
        <x:v>LOAD</x:v>
      </x:c>
      <x:c r="X1394" t="str">
        <x:v>02_Supervisor_Log(4).xlsx</x:v>
      </x:c>
      <x:c r="Y1394" t="str">
        <x:v>ENH-20260830-01</x:v>
      </x:c>
      <x:c r="Z1394" t="str">
        <x:v>Active</x:v>
      </x:c>
      <x:c r="AA1394"/>
      <x:c r="AB1394"/>
      <x:c r="AC1394"/>
      <x:c r="AD1394"/>
    </x:row>
    <x:row r="1395">
      <x:c r="A1395" t="str">
        <x:v>PCC-PE-KG01-L23-20251023-PM-ORD-2025-00093-S09-C2</x:v>
      </x:c>
      <x:c r="B1395" t="str">
        <x:v>PC-PE-KG01-L23-20251023-PM-ORD-2025-00093-S09</x:v>
      </x:c>
      <x:c r="C1395" t="str">
        <x:v>PE-KG01-L23-20251023-PM-ORD-2025-00093</x:v>
      </x:c>
      <x:c r="D1395" t="str">
        <x:v>KG01</x:v>
      </x:c>
      <x:c r="E1395" s="62" t="n">
        <x:v>45953</x:v>
      </x:c>
      <x:c r="F1395" t="str">
        <x:v>PM</x:v>
      </x:c>
      <x:c r="G1395" t="str">
        <x:v>A</x:v>
      </x:c>
      <x:c r="H1395" t="n">
        <x:v>23</x:v>
      </x:c>
      <x:c r="I1395" t="str">
        <x:v>ORD-2025-00093</x:v>
      </x:c>
      <x:c r="J1395" t="n">
        <x:v>9</x:v>
      </x:c>
      <x:c r="K1395" t="n">
        <x:v>2</x:v>
      </x:c>
      <x:c r="L1395" t="str">
        <x:v>L23-S09-C2</x:v>
      </x:c>
      <x:c r="M1395" t="n">
        <x:v>1</x:v>
      </x:c>
      <x:c r="N1395" t="str">
        <x:v>DerivedFromCount</x:v>
      </x:c>
      <x:c r="O1395" t="str">
        <x:v>PLC-PRD-JAR-720-L23</x:v>
      </x:c>
      <x:c r="P1395" t="str">
        <x:v>OK</x:v>
      </x:c>
      <x:c r="Q1395" t="str">
        <x:v>OK</x:v>
      </x:c>
      <x:c r="R1395" t="str">
        <x:v>OK</x:v>
      </x:c>
      <x:c r="S1395" t="str">
        <x:v>OK</x:v>
      </x:c>
      <x:c r="T1395" t="n">
        <x:v>24</x:v>
      </x:c>
      <x:c r="U1395" t="str">
        <x:v>OK</x:v>
      </x:c>
      <x:c r="V1395" t="str">
        <x:v>OK</x:v>
      </x:c>
      <x:c r="W1395" t="str">
        <x:v>LOAD</x:v>
      </x:c>
      <x:c r="X1395" t="str">
        <x:v>02_Supervisor_Log(4).xlsx</x:v>
      </x:c>
      <x:c r="Y1395" t="str">
        <x:v>ENH-20260830-01</x:v>
      </x:c>
      <x:c r="Z1395" t="str">
        <x:v>Active</x:v>
      </x:c>
      <x:c r="AA1395"/>
      <x:c r="AB1395"/>
      <x:c r="AC1395"/>
      <x:c r="AD1395"/>
    </x:row>
    <x:row r="1396">
      <x:c r="A1396" t="str">
        <x:v>PCC-PE-KG01-L23-20251023-PM-ORD-2025-00093-S09-C3</x:v>
      </x:c>
      <x:c r="B1396" t="str">
        <x:v>PC-PE-KG01-L23-20251023-PM-ORD-2025-00093-S09</x:v>
      </x:c>
      <x:c r="C1396" t="str">
        <x:v>PE-KG01-L23-20251023-PM-ORD-2025-00093</x:v>
      </x:c>
      <x:c r="D1396" t="str">
        <x:v>KG01</x:v>
      </x:c>
      <x:c r="E1396" s="62" t="n">
        <x:v>45953</x:v>
      </x:c>
      <x:c r="F1396" t="str">
        <x:v>PM</x:v>
      </x:c>
      <x:c r="G1396" t="str">
        <x:v>A</x:v>
      </x:c>
      <x:c r="H1396" t="n">
        <x:v>23</x:v>
      </x:c>
      <x:c r="I1396" t="str">
        <x:v>ORD-2025-00093</x:v>
      </x:c>
      <x:c r="J1396" t="n">
        <x:v>9</x:v>
      </x:c>
      <x:c r="K1396" t="n">
        <x:v>3</x:v>
      </x:c>
      <x:c r="L1396" t="str">
        <x:v>L23-S09-C3</x:v>
      </x:c>
      <x:c r="M1396" t="n">
        <x:v>0</x:v>
      </x:c>
      <x:c r="N1396" t="str">
        <x:v>DerivedFromCount</x:v>
      </x:c>
      <x:c r="O1396" t="str">
        <x:v>PLC-PRD-JAR-720-L23</x:v>
      </x:c>
      <x:c r="P1396" t="str">
        <x:v>OK</x:v>
      </x:c>
      <x:c r="Q1396" t="str">
        <x:v>OK</x:v>
      </x:c>
      <x:c r="R1396" t="str">
        <x:v>OK</x:v>
      </x:c>
      <x:c r="S1396" t="str">
        <x:v>OK</x:v>
      </x:c>
      <x:c r="T1396" t="n">
        <x:v>24</x:v>
      </x:c>
      <x:c r="U1396" t="str">
        <x:v>OK</x:v>
      </x:c>
      <x:c r="V1396" t="str">
        <x:v>OK</x:v>
      </x:c>
      <x:c r="W1396" t="str">
        <x:v>LOAD</x:v>
      </x:c>
      <x:c r="X1396" t="str">
        <x:v>02_Supervisor_Log(4).xlsx</x:v>
      </x:c>
      <x:c r="Y1396" t="str">
        <x:v>ENH-20260830-01</x:v>
      </x:c>
      <x:c r="Z1396" t="str">
        <x:v>Active</x:v>
      </x:c>
      <x:c r="AA1396"/>
      <x:c r="AB1396"/>
      <x:c r="AC1396"/>
      <x:c r="AD1396"/>
    </x:row>
    <x:row r="1397">
      <x:c r="A1397" t="str">
        <x:v>PCC-PE-KG01-L23-20251023-PM-ORD-2025-00093-S10-C1</x:v>
      </x:c>
      <x:c r="B1397" t="str">
        <x:v>PC-PE-KG01-L23-20251023-PM-ORD-2025-00093-S10</x:v>
      </x:c>
      <x:c r="C1397" t="str">
        <x:v>PE-KG01-L23-20251023-PM-ORD-2025-00093</x:v>
      </x:c>
      <x:c r="D1397" t="str">
        <x:v>KG01</x:v>
      </x:c>
      <x:c r="E1397" s="62" t="n">
        <x:v>45953</x:v>
      </x:c>
      <x:c r="F1397" t="str">
        <x:v>PM</x:v>
      </x:c>
      <x:c r="G1397" t="str">
        <x:v>A</x:v>
      </x:c>
      <x:c r="H1397" t="n">
        <x:v>23</x:v>
      </x:c>
      <x:c r="I1397" t="str">
        <x:v>ORD-2025-00093</x:v>
      </x:c>
      <x:c r="J1397" t="n">
        <x:v>10</x:v>
      </x:c>
      <x:c r="K1397" t="n">
        <x:v>1</x:v>
      </x:c>
      <x:c r="L1397" t="str">
        <x:v>L23-S10-C1</x:v>
      </x:c>
      <x:c r="M1397" t="n">
        <x:v>1</x:v>
      </x:c>
      <x:c r="N1397" t="str">
        <x:v>DerivedFromCount</x:v>
      </x:c>
      <x:c r="O1397" t="str">
        <x:v>PLC-PRD-JAR-720-L23</x:v>
      </x:c>
      <x:c r="P1397" t="str">
        <x:v>OK</x:v>
      </x:c>
      <x:c r="Q1397" t="str">
        <x:v>OK</x:v>
      </x:c>
      <x:c r="R1397" t="str">
        <x:v>OK</x:v>
      </x:c>
      <x:c r="S1397" t="str">
        <x:v>OK</x:v>
      </x:c>
      <x:c r="T1397" t="n">
        <x:v>24</x:v>
      </x:c>
      <x:c r="U1397" t="str">
        <x:v>OK</x:v>
      </x:c>
      <x:c r="V1397" t="str">
        <x:v>OK</x:v>
      </x:c>
      <x:c r="W1397" t="str">
        <x:v>LOAD</x:v>
      </x:c>
      <x:c r="X1397" t="str">
        <x:v>02_Supervisor_Log(4).xlsx</x:v>
      </x:c>
      <x:c r="Y1397" t="str">
        <x:v>ENH-20260830-01</x:v>
      </x:c>
      <x:c r="Z1397" t="str">
        <x:v>Active</x:v>
      </x:c>
      <x:c r="AA1397"/>
      <x:c r="AB1397"/>
      <x:c r="AC1397"/>
      <x:c r="AD1397"/>
    </x:row>
    <x:row r="1398">
      <x:c r="A1398" t="str">
        <x:v>PCC-PE-KG01-L23-20251023-PM-ORD-2025-00093-S10-C2</x:v>
      </x:c>
      <x:c r="B1398" t="str">
        <x:v>PC-PE-KG01-L23-20251023-PM-ORD-2025-00093-S10</x:v>
      </x:c>
      <x:c r="C1398" t="str">
        <x:v>PE-KG01-L23-20251023-PM-ORD-2025-00093</x:v>
      </x:c>
      <x:c r="D1398" t="str">
        <x:v>KG01</x:v>
      </x:c>
      <x:c r="E1398" s="62" t="n">
        <x:v>45953</x:v>
      </x:c>
      <x:c r="F1398" t="str">
        <x:v>PM</x:v>
      </x:c>
      <x:c r="G1398" t="str">
        <x:v>A</x:v>
      </x:c>
      <x:c r="H1398" t="n">
        <x:v>23</x:v>
      </x:c>
      <x:c r="I1398" t="str">
        <x:v>ORD-2025-00093</x:v>
      </x:c>
      <x:c r="J1398" t="n">
        <x:v>10</x:v>
      </x:c>
      <x:c r="K1398" t="n">
        <x:v>2</x:v>
      </x:c>
      <x:c r="L1398" t="str">
        <x:v>L23-S10-C2</x:v>
      </x:c>
      <x:c r="M1398" t="n">
        <x:v>1</x:v>
      </x:c>
      <x:c r="N1398" t="str">
        <x:v>DerivedFromCount</x:v>
      </x:c>
      <x:c r="O1398" t="str">
        <x:v>PLC-PRD-JAR-720-L23</x:v>
      </x:c>
      <x:c r="P1398" t="str">
        <x:v>OK</x:v>
      </x:c>
      <x:c r="Q1398" t="str">
        <x:v>OK</x:v>
      </x:c>
      <x:c r="R1398" t="str">
        <x:v>OK</x:v>
      </x:c>
      <x:c r="S1398" t="str">
        <x:v>OK</x:v>
      </x:c>
      <x:c r="T1398" t="n">
        <x:v>24</x:v>
      </x:c>
      <x:c r="U1398" t="str">
        <x:v>OK</x:v>
      </x:c>
      <x:c r="V1398" t="str">
        <x:v>OK</x:v>
      </x:c>
      <x:c r="W1398" t="str">
        <x:v>LOAD</x:v>
      </x:c>
      <x:c r="X1398" t="str">
        <x:v>02_Supervisor_Log(4).xlsx</x:v>
      </x:c>
      <x:c r="Y1398" t="str">
        <x:v>ENH-20260830-01</x:v>
      </x:c>
      <x:c r="Z1398" t="str">
        <x:v>Active</x:v>
      </x:c>
      <x:c r="AA1398"/>
      <x:c r="AB1398"/>
      <x:c r="AC1398"/>
      <x:c r="AD1398"/>
    </x:row>
    <x:row r="1399">
      <x:c r="A1399" t="str">
        <x:v>PCC-PE-KG01-L23-20251023-PM-ORD-2025-00093-S10-C3</x:v>
      </x:c>
      <x:c r="B1399" t="str">
        <x:v>PC-PE-KG01-L23-20251023-PM-ORD-2025-00093-S10</x:v>
      </x:c>
      <x:c r="C1399" t="str">
        <x:v>PE-KG01-L23-20251023-PM-ORD-2025-00093</x:v>
      </x:c>
      <x:c r="D1399" t="str">
        <x:v>KG01</x:v>
      </x:c>
      <x:c r="E1399" s="62" t="n">
        <x:v>45953</x:v>
      </x:c>
      <x:c r="F1399" t="str">
        <x:v>PM</x:v>
      </x:c>
      <x:c r="G1399" t="str">
        <x:v>A</x:v>
      </x:c>
      <x:c r="H1399" t="n">
        <x:v>23</x:v>
      </x:c>
      <x:c r="I1399" t="str">
        <x:v>ORD-2025-00093</x:v>
      </x:c>
      <x:c r="J1399" t="n">
        <x:v>10</x:v>
      </x:c>
      <x:c r="K1399" t="n">
        <x:v>3</x:v>
      </x:c>
      <x:c r="L1399" t="str">
        <x:v>L23-S10-C3</x:v>
      </x:c>
      <x:c r="M1399" t="n">
        <x:v>0</x:v>
      </x:c>
      <x:c r="N1399" t="str">
        <x:v>DerivedFromCount</x:v>
      </x:c>
      <x:c r="O1399" t="str">
        <x:v>PLC-PRD-JAR-720-L23</x:v>
      </x:c>
      <x:c r="P1399" t="str">
        <x:v>OK</x:v>
      </x:c>
      <x:c r="Q1399" t="str">
        <x:v>OK</x:v>
      </x:c>
      <x:c r="R1399" t="str">
        <x:v>OK</x:v>
      </x:c>
      <x:c r="S1399" t="str">
        <x:v>OK</x:v>
      </x:c>
      <x:c r="T1399" t="n">
        <x:v>24</x:v>
      </x:c>
      <x:c r="U1399" t="str">
        <x:v>OK</x:v>
      </x:c>
      <x:c r="V1399" t="str">
        <x:v>OK</x:v>
      </x:c>
      <x:c r="W1399" t="str">
        <x:v>LOAD</x:v>
      </x:c>
      <x:c r="X1399" t="str">
        <x:v>02_Supervisor_Log(4).xlsx</x:v>
      </x:c>
      <x:c r="Y1399" t="str">
        <x:v>ENH-20260830-01</x:v>
      </x:c>
      <x:c r="Z1399" t="str">
        <x:v>Active</x:v>
      </x:c>
      <x:c r="AA1399"/>
      <x:c r="AB1399"/>
      <x:c r="AC1399"/>
      <x:c r="AD1399"/>
    </x:row>
    <x:row r="1400">
      <x:c r="A1400" t="str">
        <x:v>PCC-PE-KG01-L23-20251023-PM-ORD-2025-00093-S11-C1</x:v>
      </x:c>
      <x:c r="B1400" t="str">
        <x:v>PC-PE-KG01-L23-20251023-PM-ORD-2025-00093-S11</x:v>
      </x:c>
      <x:c r="C1400" t="str">
        <x:v>PE-KG01-L23-20251023-PM-ORD-2025-00093</x:v>
      </x:c>
      <x:c r="D1400" t="str">
        <x:v>KG01</x:v>
      </x:c>
      <x:c r="E1400" s="62" t="n">
        <x:v>45953</x:v>
      </x:c>
      <x:c r="F1400" t="str">
        <x:v>PM</x:v>
      </x:c>
      <x:c r="G1400" t="str">
        <x:v>A</x:v>
      </x:c>
      <x:c r="H1400" t="n">
        <x:v>23</x:v>
      </x:c>
      <x:c r="I1400" t="str">
        <x:v>ORD-2025-00093</x:v>
      </x:c>
      <x:c r="J1400" t="n">
        <x:v>11</x:v>
      </x:c>
      <x:c r="K1400" t="n">
        <x:v>1</x:v>
      </x:c>
      <x:c r="L1400" t="str">
        <x:v>L23-S11-C1</x:v>
      </x:c>
      <x:c r="M1400" t="n">
        <x:v>1</x:v>
      </x:c>
      <x:c r="N1400" t="str">
        <x:v>DerivedFromCount</x:v>
      </x:c>
      <x:c r="O1400" t="str">
        <x:v>PLC-PRD-JAR-720-L23</x:v>
      </x:c>
      <x:c r="P1400" t="str">
        <x:v>OK</x:v>
      </x:c>
      <x:c r="Q1400" t="str">
        <x:v>OK</x:v>
      </x:c>
      <x:c r="R1400" t="str">
        <x:v>OK</x:v>
      </x:c>
      <x:c r="S1400" t="str">
        <x:v>OK</x:v>
      </x:c>
      <x:c r="T1400" t="n">
        <x:v>24</x:v>
      </x:c>
      <x:c r="U1400" t="str">
        <x:v>OK</x:v>
      </x:c>
      <x:c r="V1400" t="str">
        <x:v>OK</x:v>
      </x:c>
      <x:c r="W1400" t="str">
        <x:v>LOAD</x:v>
      </x:c>
      <x:c r="X1400" t="str">
        <x:v>02_Supervisor_Log(4).xlsx</x:v>
      </x:c>
      <x:c r="Y1400" t="str">
        <x:v>ENH-20260830-01</x:v>
      </x:c>
      <x:c r="Z1400" t="str">
        <x:v>Active</x:v>
      </x:c>
      <x:c r="AA1400"/>
      <x:c r="AB1400"/>
      <x:c r="AC1400"/>
      <x:c r="AD1400"/>
    </x:row>
    <x:row r="1401">
      <x:c r="A1401" t="str">
        <x:v>PCC-PE-KG01-L23-20251023-PM-ORD-2025-00093-S11-C2</x:v>
      </x:c>
      <x:c r="B1401" t="str">
        <x:v>PC-PE-KG01-L23-20251023-PM-ORD-2025-00093-S11</x:v>
      </x:c>
      <x:c r="C1401" t="str">
        <x:v>PE-KG01-L23-20251023-PM-ORD-2025-00093</x:v>
      </x:c>
      <x:c r="D1401" t="str">
        <x:v>KG01</x:v>
      </x:c>
      <x:c r="E1401" s="62" t="n">
        <x:v>45953</x:v>
      </x:c>
      <x:c r="F1401" t="str">
        <x:v>PM</x:v>
      </x:c>
      <x:c r="G1401" t="str">
        <x:v>A</x:v>
      </x:c>
      <x:c r="H1401" t="n">
        <x:v>23</x:v>
      </x:c>
      <x:c r="I1401" t="str">
        <x:v>ORD-2025-00093</x:v>
      </x:c>
      <x:c r="J1401" t="n">
        <x:v>11</x:v>
      </x:c>
      <x:c r="K1401" t="n">
        <x:v>2</x:v>
      </x:c>
      <x:c r="L1401" t="str">
        <x:v>L23-S11-C2</x:v>
      </x:c>
      <x:c r="M1401" t="n">
        <x:v>1</x:v>
      </x:c>
      <x:c r="N1401" t="str">
        <x:v>DerivedFromCount</x:v>
      </x:c>
      <x:c r="O1401" t="str">
        <x:v>PLC-PRD-JAR-720-L23</x:v>
      </x:c>
      <x:c r="P1401" t="str">
        <x:v>OK</x:v>
      </x:c>
      <x:c r="Q1401" t="str">
        <x:v>OK</x:v>
      </x:c>
      <x:c r="R1401" t="str">
        <x:v>OK</x:v>
      </x:c>
      <x:c r="S1401" t="str">
        <x:v>OK</x:v>
      </x:c>
      <x:c r="T1401" t="n">
        <x:v>24</x:v>
      </x:c>
      <x:c r="U1401" t="str">
        <x:v>OK</x:v>
      </x:c>
      <x:c r="V1401" t="str">
        <x:v>OK</x:v>
      </x:c>
      <x:c r="W1401" t="str">
        <x:v>LOAD</x:v>
      </x:c>
      <x:c r="X1401" t="str">
        <x:v>02_Supervisor_Log(4).xlsx</x:v>
      </x:c>
      <x:c r="Y1401" t="str">
        <x:v>ENH-20260830-01</x:v>
      </x:c>
      <x:c r="Z1401" t="str">
        <x:v>Active</x:v>
      </x:c>
      <x:c r="AA1401"/>
      <x:c r="AB1401"/>
      <x:c r="AC1401"/>
      <x:c r="AD1401"/>
    </x:row>
    <x:row r="1402">
      <x:c r="A1402" t="str">
        <x:v>PCC-PE-KG01-L23-20251023-PM-ORD-2025-00093-S11-C3</x:v>
      </x:c>
      <x:c r="B1402" t="str">
        <x:v>PC-PE-KG01-L23-20251023-PM-ORD-2025-00093-S11</x:v>
      </x:c>
      <x:c r="C1402" t="str">
        <x:v>PE-KG01-L23-20251023-PM-ORD-2025-00093</x:v>
      </x:c>
      <x:c r="D1402" t="str">
        <x:v>KG01</x:v>
      </x:c>
      <x:c r="E1402" s="62" t="n">
        <x:v>45953</x:v>
      </x:c>
      <x:c r="F1402" t="str">
        <x:v>PM</x:v>
      </x:c>
      <x:c r="G1402" t="str">
        <x:v>A</x:v>
      </x:c>
      <x:c r="H1402" t="n">
        <x:v>23</x:v>
      </x:c>
      <x:c r="I1402" t="str">
        <x:v>ORD-2025-00093</x:v>
      </x:c>
      <x:c r="J1402" t="n">
        <x:v>11</x:v>
      </x:c>
      <x:c r="K1402" t="n">
        <x:v>3</x:v>
      </x:c>
      <x:c r="L1402" t="str">
        <x:v>L23-S11-C3</x:v>
      </x:c>
      <x:c r="M1402" t="n">
        <x:v>0</x:v>
      </x:c>
      <x:c r="N1402" t="str">
        <x:v>DerivedFromCount</x:v>
      </x:c>
      <x:c r="O1402" t="str">
        <x:v>PLC-PRD-JAR-720-L23</x:v>
      </x:c>
      <x:c r="P1402" t="str">
        <x:v>OK</x:v>
      </x:c>
      <x:c r="Q1402" t="str">
        <x:v>OK</x:v>
      </x:c>
      <x:c r="R1402" t="str">
        <x:v>OK</x:v>
      </x:c>
      <x:c r="S1402" t="str">
        <x:v>OK</x:v>
      </x:c>
      <x:c r="T1402" t="n">
        <x:v>24</x:v>
      </x:c>
      <x:c r="U1402" t="str">
        <x:v>OK</x:v>
      </x:c>
      <x:c r="V1402" t="str">
        <x:v>OK</x:v>
      </x:c>
      <x:c r="W1402" t="str">
        <x:v>LOAD</x:v>
      </x:c>
      <x:c r="X1402" t="str">
        <x:v>02_Supervisor_Log(4).xlsx</x:v>
      </x:c>
      <x:c r="Y1402" t="str">
        <x:v>ENH-20260830-01</x:v>
      </x:c>
      <x:c r="Z1402" t="str">
        <x:v>Active</x:v>
      </x:c>
      <x:c r="AA1402"/>
      <x:c r="AB1402"/>
      <x:c r="AC1402"/>
      <x:c r="AD1402"/>
    </x:row>
    <x:row r="1403">
      <x:c r="A1403" t="str">
        <x:v>PCC-PE-KG01-L23-20251023-PM-ORD-2025-00093-S12-C1</x:v>
      </x:c>
      <x:c r="B1403" t="str">
        <x:v>PC-PE-KG01-L23-20251023-PM-ORD-2025-00093-S12</x:v>
      </x:c>
      <x:c r="C1403" t="str">
        <x:v>PE-KG01-L23-20251023-PM-ORD-2025-00093</x:v>
      </x:c>
      <x:c r="D1403" t="str">
        <x:v>KG01</x:v>
      </x:c>
      <x:c r="E1403" s="62" t="n">
        <x:v>45953</x:v>
      </x:c>
      <x:c r="F1403" t="str">
        <x:v>PM</x:v>
      </x:c>
      <x:c r="G1403" t="str">
        <x:v>A</x:v>
      </x:c>
      <x:c r="H1403" t="n">
        <x:v>23</x:v>
      </x:c>
      <x:c r="I1403" t="str">
        <x:v>ORD-2025-00093</x:v>
      </x:c>
      <x:c r="J1403" t="n">
        <x:v>12</x:v>
      </x:c>
      <x:c r="K1403" t="n">
        <x:v>1</x:v>
      </x:c>
      <x:c r="L1403" t="str">
        <x:v>L23-S12-C1</x:v>
      </x:c>
      <x:c r="M1403" t="n">
        <x:v>1</x:v>
      </x:c>
      <x:c r="N1403" t="str">
        <x:v>DerivedFromCount</x:v>
      </x:c>
      <x:c r="O1403" t="str">
        <x:v>PLC-PRD-JAR-720-L23</x:v>
      </x:c>
      <x:c r="P1403" t="str">
        <x:v>OK</x:v>
      </x:c>
      <x:c r="Q1403" t="str">
        <x:v>OK</x:v>
      </x:c>
      <x:c r="R1403" t="str">
        <x:v>OK</x:v>
      </x:c>
      <x:c r="S1403" t="str">
        <x:v>OK</x:v>
      </x:c>
      <x:c r="T1403" t="n">
        <x:v>24</x:v>
      </x:c>
      <x:c r="U1403" t="str">
        <x:v>OK</x:v>
      </x:c>
      <x:c r="V1403" t="str">
        <x:v>OK</x:v>
      </x:c>
      <x:c r="W1403" t="str">
        <x:v>LOAD</x:v>
      </x:c>
      <x:c r="X1403" t="str">
        <x:v>02_Supervisor_Log(4).xlsx</x:v>
      </x:c>
      <x:c r="Y1403" t="str">
        <x:v>ENH-20260830-01</x:v>
      </x:c>
      <x:c r="Z1403" t="str">
        <x:v>Active</x:v>
      </x:c>
      <x:c r="AA1403"/>
      <x:c r="AB1403"/>
      <x:c r="AC1403"/>
      <x:c r="AD1403"/>
    </x:row>
    <x:row r="1404">
      <x:c r="A1404" t="str">
        <x:v>PCC-PE-KG01-L23-20251023-PM-ORD-2025-00093-S12-C2</x:v>
      </x:c>
      <x:c r="B1404" t="str">
        <x:v>PC-PE-KG01-L23-20251023-PM-ORD-2025-00093-S12</x:v>
      </x:c>
      <x:c r="C1404" t="str">
        <x:v>PE-KG01-L23-20251023-PM-ORD-2025-00093</x:v>
      </x:c>
      <x:c r="D1404" t="str">
        <x:v>KG01</x:v>
      </x:c>
      <x:c r="E1404" s="62" t="n">
        <x:v>45953</x:v>
      </x:c>
      <x:c r="F1404" t="str">
        <x:v>PM</x:v>
      </x:c>
      <x:c r="G1404" t="str">
        <x:v>A</x:v>
      </x:c>
      <x:c r="H1404" t="n">
        <x:v>23</x:v>
      </x:c>
      <x:c r="I1404" t="str">
        <x:v>ORD-2025-00093</x:v>
      </x:c>
      <x:c r="J1404" t="n">
        <x:v>12</x:v>
      </x:c>
      <x:c r="K1404" t="n">
        <x:v>2</x:v>
      </x:c>
      <x:c r="L1404" t="str">
        <x:v>L23-S12-C2</x:v>
      </x:c>
      <x:c r="M1404" t="n">
        <x:v>1</x:v>
      </x:c>
      <x:c r="N1404" t="str">
        <x:v>DerivedFromCount</x:v>
      </x:c>
      <x:c r="O1404" t="str">
        <x:v>PLC-PRD-JAR-720-L23</x:v>
      </x:c>
      <x:c r="P1404" t="str">
        <x:v>OK</x:v>
      </x:c>
      <x:c r="Q1404" t="str">
        <x:v>OK</x:v>
      </x:c>
      <x:c r="R1404" t="str">
        <x:v>OK</x:v>
      </x:c>
      <x:c r="S1404" t="str">
        <x:v>OK</x:v>
      </x:c>
      <x:c r="T1404" t="n">
        <x:v>24</x:v>
      </x:c>
      <x:c r="U1404" t="str">
        <x:v>OK</x:v>
      </x:c>
      <x:c r="V1404" t="str">
        <x:v>OK</x:v>
      </x:c>
      <x:c r="W1404" t="str">
        <x:v>LOAD</x:v>
      </x:c>
      <x:c r="X1404" t="str">
        <x:v>02_Supervisor_Log(4).xlsx</x:v>
      </x:c>
      <x:c r="Y1404" t="str">
        <x:v>ENH-20260830-01</x:v>
      </x:c>
      <x:c r="Z1404" t="str">
        <x:v>Active</x:v>
      </x:c>
      <x:c r="AA1404"/>
      <x:c r="AB1404"/>
      <x:c r="AC1404"/>
      <x:c r="AD1404"/>
    </x:row>
    <x:row r="1405">
      <x:c r="A1405" t="str">
        <x:v>PCC-PE-KG01-L23-20251023-PM-ORD-2025-00093-S12-C3</x:v>
      </x:c>
      <x:c r="B1405" t="str">
        <x:v>PC-PE-KG01-L23-20251023-PM-ORD-2025-00093-S12</x:v>
      </x:c>
      <x:c r="C1405" t="str">
        <x:v>PE-KG01-L23-20251023-PM-ORD-2025-00093</x:v>
      </x:c>
      <x:c r="D1405" t="str">
        <x:v>KG01</x:v>
      </x:c>
      <x:c r="E1405" s="62" t="n">
        <x:v>45953</x:v>
      </x:c>
      <x:c r="F1405" t="str">
        <x:v>PM</x:v>
      </x:c>
      <x:c r="G1405" t="str">
        <x:v>A</x:v>
      </x:c>
      <x:c r="H1405" t="n">
        <x:v>23</x:v>
      </x:c>
      <x:c r="I1405" t="str">
        <x:v>ORD-2025-00093</x:v>
      </x:c>
      <x:c r="J1405" t="n">
        <x:v>12</x:v>
      </x:c>
      <x:c r="K1405" t="n">
        <x:v>3</x:v>
      </x:c>
      <x:c r="L1405" t="str">
        <x:v>L23-S12-C3</x:v>
      </x:c>
      <x:c r="M1405" t="n">
        <x:v>0</x:v>
      </x:c>
      <x:c r="N1405" t="str">
        <x:v>DerivedFromCount</x:v>
      </x:c>
      <x:c r="O1405" t="str">
        <x:v>PLC-PRD-JAR-720-L23</x:v>
      </x:c>
      <x:c r="P1405" t="str">
        <x:v>OK</x:v>
      </x:c>
      <x:c r="Q1405" t="str">
        <x:v>OK</x:v>
      </x:c>
      <x:c r="R1405" t="str">
        <x:v>OK</x:v>
      </x:c>
      <x:c r="S1405" t="str">
        <x:v>OK</x:v>
      </x:c>
      <x:c r="T1405" t="n">
        <x:v>24</x:v>
      </x:c>
      <x:c r="U1405" t="str">
        <x:v>OK</x:v>
      </x:c>
      <x:c r="V1405" t="str">
        <x:v>OK</x:v>
      </x:c>
      <x:c r="W1405" t="str">
        <x:v>LOAD</x:v>
      </x:c>
      <x:c r="X1405" t="str">
        <x:v>02_Supervisor_Log(4).xlsx</x:v>
      </x:c>
      <x:c r="Y1405" t="str">
        <x:v>ENH-20260830-01</x:v>
      </x:c>
      <x:c r="Z1405" t="str">
        <x:v>Active</x:v>
      </x:c>
      <x:c r="AA1405"/>
      <x:c r="AB1405"/>
      <x:c r="AC1405"/>
      <x:c r="AD1405"/>
    </x:row>
    <x:row r="1406">
      <x:c r="A1406" t="str">
        <x:v>PCC-PE-KG01-L23-20251023-PM-ORD-2025-00093-S13-C1</x:v>
      </x:c>
      <x:c r="B1406" t="str">
        <x:v>PC-PE-KG01-L23-20251023-PM-ORD-2025-00093-S13</x:v>
      </x:c>
      <x:c r="C1406" t="str">
        <x:v>PE-KG01-L23-20251023-PM-ORD-2025-00093</x:v>
      </x:c>
      <x:c r="D1406" t="str">
        <x:v>KG01</x:v>
      </x:c>
      <x:c r="E1406" s="62" t="n">
        <x:v>45953</x:v>
      </x:c>
      <x:c r="F1406" t="str">
        <x:v>PM</x:v>
      </x:c>
      <x:c r="G1406" t="str">
        <x:v>A</x:v>
      </x:c>
      <x:c r="H1406" t="n">
        <x:v>23</x:v>
      </x:c>
      <x:c r="I1406" t="str">
        <x:v>ORD-2025-00093</x:v>
      </x:c>
      <x:c r="J1406" t="n">
        <x:v>13</x:v>
      </x:c>
      <x:c r="K1406" t="n">
        <x:v>1</x:v>
      </x:c>
      <x:c r="L1406" t="str">
        <x:v>L23-S13-C1</x:v>
      </x:c>
      <x:c r="M1406" t="n">
        <x:v>0</x:v>
      </x:c>
      <x:c r="N1406" t="str">
        <x:v>DerivedFromCount</x:v>
      </x:c>
      <x:c r="O1406" t="str">
        <x:v>PLC-PRD-JAR-720-L23</x:v>
      </x:c>
      <x:c r="P1406" t="str">
        <x:v>OK</x:v>
      </x:c>
      <x:c r="Q1406" t="str">
        <x:v>OK</x:v>
      </x:c>
      <x:c r="R1406" t="str">
        <x:v>OK</x:v>
      </x:c>
      <x:c r="S1406" t="str">
        <x:v>OK</x:v>
      </x:c>
      <x:c r="T1406" t="n">
        <x:v>24</x:v>
      </x:c>
      <x:c r="U1406" t="str">
        <x:v>OK</x:v>
      </x:c>
      <x:c r="V1406" t="str">
        <x:v>OK</x:v>
      </x:c>
      <x:c r="W1406" t="str">
        <x:v>LOAD</x:v>
      </x:c>
      <x:c r="X1406" t="str">
        <x:v>02_Supervisor_Log(4).xlsx</x:v>
      </x:c>
      <x:c r="Y1406" t="str">
        <x:v>ENH-20260830-01</x:v>
      </x:c>
      <x:c r="Z1406" t="str">
        <x:v>Active</x:v>
      </x:c>
      <x:c r="AA1406"/>
      <x:c r="AB1406"/>
      <x:c r="AC1406"/>
      <x:c r="AD1406"/>
    </x:row>
    <x:row r="1407">
      <x:c r="A1407" t="str">
        <x:v>PCC-PE-KG01-L23-20251023-PM-ORD-2025-00093-S13-C2</x:v>
      </x:c>
      <x:c r="B1407" t="str">
        <x:v>PC-PE-KG01-L23-20251023-PM-ORD-2025-00093-S13</x:v>
      </x:c>
      <x:c r="C1407" t="str">
        <x:v>PE-KG01-L23-20251023-PM-ORD-2025-00093</x:v>
      </x:c>
      <x:c r="D1407" t="str">
        <x:v>KG01</x:v>
      </x:c>
      <x:c r="E1407" s="62" t="n">
        <x:v>45953</x:v>
      </x:c>
      <x:c r="F1407" t="str">
        <x:v>PM</x:v>
      </x:c>
      <x:c r="G1407" t="str">
        <x:v>A</x:v>
      </x:c>
      <x:c r="H1407" t="n">
        <x:v>23</x:v>
      </x:c>
      <x:c r="I1407" t="str">
        <x:v>ORD-2025-00093</x:v>
      </x:c>
      <x:c r="J1407" t="n">
        <x:v>13</x:v>
      </x:c>
      <x:c r="K1407" t="n">
        <x:v>2</x:v>
      </x:c>
      <x:c r="L1407" t="str">
        <x:v>L23-S13-C2</x:v>
      </x:c>
      <x:c r="M1407" t="n">
        <x:v>0</x:v>
      </x:c>
      <x:c r="N1407" t="str">
        <x:v>DerivedFromCount</x:v>
      </x:c>
      <x:c r="O1407" t="str">
        <x:v>PLC-PRD-JAR-720-L23</x:v>
      </x:c>
      <x:c r="P1407" t="str">
        <x:v>OK</x:v>
      </x:c>
      <x:c r="Q1407" t="str">
        <x:v>OK</x:v>
      </x:c>
      <x:c r="R1407" t="str">
        <x:v>OK</x:v>
      </x:c>
      <x:c r="S1407" t="str">
        <x:v>OK</x:v>
      </x:c>
      <x:c r="T1407" t="n">
        <x:v>24</x:v>
      </x:c>
      <x:c r="U1407" t="str">
        <x:v>OK</x:v>
      </x:c>
      <x:c r="V1407" t="str">
        <x:v>OK</x:v>
      </x:c>
      <x:c r="W1407" t="str">
        <x:v>LOAD</x:v>
      </x:c>
      <x:c r="X1407" t="str">
        <x:v>02_Supervisor_Log(4).xlsx</x:v>
      </x:c>
      <x:c r="Y1407" t="str">
        <x:v>ENH-20260830-01</x:v>
      </x:c>
      <x:c r="Z1407" t="str">
        <x:v>Active</x:v>
      </x:c>
      <x:c r="AA1407"/>
      <x:c r="AB1407"/>
      <x:c r="AC1407"/>
      <x:c r="AD1407"/>
    </x:row>
    <x:row r="1408">
      <x:c r="A1408" t="str">
        <x:v>PCC-PE-KG01-L23-20251023-PM-ORD-2025-00093-S13-C3</x:v>
      </x:c>
      <x:c r="B1408" t="str">
        <x:v>PC-PE-KG01-L23-20251023-PM-ORD-2025-00093-S13</x:v>
      </x:c>
      <x:c r="C1408" t="str">
        <x:v>PE-KG01-L23-20251023-PM-ORD-2025-00093</x:v>
      </x:c>
      <x:c r="D1408" t="str">
        <x:v>KG01</x:v>
      </x:c>
      <x:c r="E1408" s="62" t="n">
        <x:v>45953</x:v>
      </x:c>
      <x:c r="F1408" t="str">
        <x:v>PM</x:v>
      </x:c>
      <x:c r="G1408" t="str">
        <x:v>A</x:v>
      </x:c>
      <x:c r="H1408" t="n">
        <x:v>23</x:v>
      </x:c>
      <x:c r="I1408" t="str">
        <x:v>ORD-2025-00093</x:v>
      </x:c>
      <x:c r="J1408" t="n">
        <x:v>13</x:v>
      </x:c>
      <x:c r="K1408" t="n">
        <x:v>3</x:v>
      </x:c>
      <x:c r="L1408" t="str">
        <x:v>L23-S13-C3</x:v>
      </x:c>
      <x:c r="M1408" t="n">
        <x:v>0</x:v>
      </x:c>
      <x:c r="N1408" t="str">
        <x:v>DerivedFromCount</x:v>
      </x:c>
      <x:c r="O1408" t="str">
        <x:v>PLC-PRD-JAR-720-L23</x:v>
      </x:c>
      <x:c r="P1408" t="str">
        <x:v>OK</x:v>
      </x:c>
      <x:c r="Q1408" t="str">
        <x:v>OK</x:v>
      </x:c>
      <x:c r="R1408" t="str">
        <x:v>OK</x:v>
      </x:c>
      <x:c r="S1408" t="str">
        <x:v>OK</x:v>
      </x:c>
      <x:c r="T1408" t="n">
        <x:v>24</x:v>
      </x:c>
      <x:c r="U1408" t="str">
        <x:v>OK</x:v>
      </x:c>
      <x:c r="V1408" t="str">
        <x:v>OK</x:v>
      </x:c>
      <x:c r="W1408" t="str">
        <x:v>LOAD</x:v>
      </x:c>
      <x:c r="X1408" t="str">
        <x:v>02_Supervisor_Log(4).xlsx</x:v>
      </x:c>
      <x:c r="Y1408" t="str">
        <x:v>ENH-20260830-01</x:v>
      </x:c>
      <x:c r="Z1408" t="str">
        <x:v>Active</x:v>
      </x:c>
      <x:c r="AA1408"/>
      <x:c r="AB1408"/>
      <x:c r="AC1408"/>
      <x:c r="AD1408"/>
    </x:row>
    <x:row r="1409">
      <x:c r="A1409" t="str">
        <x:v>PCC-PE-KG01-L23-20251024-AM-ORD-2025-00093-S01-C1</x:v>
      </x:c>
      <x:c r="B1409" t="str">
        <x:v>PC-PE-KG01-L23-20251024-AM-ORD-2025-00093-S01</x:v>
      </x:c>
      <x:c r="C1409" t="str">
        <x:v>PE-KG01-L23-20251024-AM-ORD-2025-00093</x:v>
      </x:c>
      <x:c r="D1409" t="str">
        <x:v>KG01</x:v>
      </x:c>
      <x:c r="E1409" s="62" t="n">
        <x:v>45954</x:v>
      </x:c>
      <x:c r="F1409" t="str">
        <x:v>AM</x:v>
      </x:c>
      <x:c r="G1409" t="str">
        <x:v>A</x:v>
      </x:c>
      <x:c r="H1409" t="n">
        <x:v>23</x:v>
      </x:c>
      <x:c r="I1409" t="str">
        <x:v>ORD-2025-00093</x:v>
      </x:c>
      <x:c r="J1409" t="n">
        <x:v>1</x:v>
      </x:c>
      <x:c r="K1409" t="n">
        <x:v>1</x:v>
      </x:c>
      <x:c r="L1409" t="str">
        <x:v>L23-S01-C1</x:v>
      </x:c>
      <x:c r="M1409" t="n">
        <x:v>1</x:v>
      </x:c>
      <x:c r="N1409" t="str">
        <x:v>DerivedFromCount</x:v>
      </x:c>
      <x:c r="O1409" t="str">
        <x:v>PLC-PRD-JAR-720-L23</x:v>
      </x:c>
      <x:c r="P1409" t="str">
        <x:v>OK</x:v>
      </x:c>
      <x:c r="Q1409" t="str">
        <x:v>OK</x:v>
      </x:c>
      <x:c r="R1409" t="str">
        <x:v>OK</x:v>
      </x:c>
      <x:c r="S1409" t="str">
        <x:v>OK</x:v>
      </x:c>
      <x:c r="T1409" t="n">
        <x:v>24</x:v>
      </x:c>
      <x:c r="U1409" t="str">
        <x:v>OK</x:v>
      </x:c>
      <x:c r="V1409" t="str">
        <x:v>OK</x:v>
      </x:c>
      <x:c r="W1409" t="str">
        <x:v>LOAD</x:v>
      </x:c>
      <x:c r="X1409" t="str">
        <x:v>02_Supervisor_Log(4).xlsx</x:v>
      </x:c>
      <x:c r="Y1409" t="str">
        <x:v>ENH-20260830-01</x:v>
      </x:c>
      <x:c r="Z1409" t="str">
        <x:v>Active</x:v>
      </x:c>
      <x:c r="AA1409"/>
      <x:c r="AB1409"/>
      <x:c r="AC1409"/>
      <x:c r="AD1409"/>
    </x:row>
    <x:row r="1410">
      <x:c r="A1410" t="str">
        <x:v>PCC-PE-KG01-L23-20251024-AM-ORD-2025-00093-S01-C2</x:v>
      </x:c>
      <x:c r="B1410" t="str">
        <x:v>PC-PE-KG01-L23-20251024-AM-ORD-2025-00093-S01</x:v>
      </x:c>
      <x:c r="C1410" t="str">
        <x:v>PE-KG01-L23-20251024-AM-ORD-2025-00093</x:v>
      </x:c>
      <x:c r="D1410" t="str">
        <x:v>KG01</x:v>
      </x:c>
      <x:c r="E1410" s="62" t="n">
        <x:v>45954</x:v>
      </x:c>
      <x:c r="F1410" t="str">
        <x:v>AM</x:v>
      </x:c>
      <x:c r="G1410" t="str">
        <x:v>A</x:v>
      </x:c>
      <x:c r="H1410" t="n">
        <x:v>23</x:v>
      </x:c>
      <x:c r="I1410" t="str">
        <x:v>ORD-2025-00093</x:v>
      </x:c>
      <x:c r="J1410" t="n">
        <x:v>1</x:v>
      </x:c>
      <x:c r="K1410" t="n">
        <x:v>2</x:v>
      </x:c>
      <x:c r="L1410" t="str">
        <x:v>L23-S01-C2</x:v>
      </x:c>
      <x:c r="M1410" t="n">
        <x:v>1</x:v>
      </x:c>
      <x:c r="N1410" t="str">
        <x:v>DerivedFromCount</x:v>
      </x:c>
      <x:c r="O1410" t="str">
        <x:v>PLC-PRD-JAR-720-L23</x:v>
      </x:c>
      <x:c r="P1410" t="str">
        <x:v>OK</x:v>
      </x:c>
      <x:c r="Q1410" t="str">
        <x:v>OK</x:v>
      </x:c>
      <x:c r="R1410" t="str">
        <x:v>OK</x:v>
      </x:c>
      <x:c r="S1410" t="str">
        <x:v>OK</x:v>
      </x:c>
      <x:c r="T1410" t="n">
        <x:v>24</x:v>
      </x:c>
      <x:c r="U1410" t="str">
        <x:v>OK</x:v>
      </x:c>
      <x:c r="V1410" t="str">
        <x:v>OK</x:v>
      </x:c>
      <x:c r="W1410" t="str">
        <x:v>LOAD</x:v>
      </x:c>
      <x:c r="X1410" t="str">
        <x:v>02_Supervisor_Log(4).xlsx</x:v>
      </x:c>
      <x:c r="Y1410" t="str">
        <x:v>ENH-20260830-01</x:v>
      </x:c>
      <x:c r="Z1410" t="str">
        <x:v>Active</x:v>
      </x:c>
      <x:c r="AA1410"/>
      <x:c r="AB1410"/>
      <x:c r="AC1410"/>
      <x:c r="AD1410"/>
    </x:row>
    <x:row r="1411">
      <x:c r="A1411" t="str">
        <x:v>PCC-PE-KG01-L23-20251024-AM-ORD-2025-00093-S01-C3</x:v>
      </x:c>
      <x:c r="B1411" t="str">
        <x:v>PC-PE-KG01-L23-20251024-AM-ORD-2025-00093-S01</x:v>
      </x:c>
      <x:c r="C1411" t="str">
        <x:v>PE-KG01-L23-20251024-AM-ORD-2025-00093</x:v>
      </x:c>
      <x:c r="D1411" t="str">
        <x:v>KG01</x:v>
      </x:c>
      <x:c r="E1411" s="62" t="n">
        <x:v>45954</x:v>
      </x:c>
      <x:c r="F1411" t="str">
        <x:v>AM</x:v>
      </x:c>
      <x:c r="G1411" t="str">
        <x:v>A</x:v>
      </x:c>
      <x:c r="H1411" t="n">
        <x:v>23</x:v>
      </x:c>
      <x:c r="I1411" t="str">
        <x:v>ORD-2025-00093</x:v>
      </x:c>
      <x:c r="J1411" t="n">
        <x:v>1</x:v>
      </x:c>
      <x:c r="K1411" t="n">
        <x:v>3</x:v>
      </x:c>
      <x:c r="L1411" t="str">
        <x:v>L23-S01-C3</x:v>
      </x:c>
      <x:c r="M1411" t="n">
        <x:v>0</x:v>
      </x:c>
      <x:c r="N1411" t="str">
        <x:v>DerivedFromCount</x:v>
      </x:c>
      <x:c r="O1411" t="str">
        <x:v>PLC-PRD-JAR-720-L23</x:v>
      </x:c>
      <x:c r="P1411" t="str">
        <x:v>OK</x:v>
      </x:c>
      <x:c r="Q1411" t="str">
        <x:v>OK</x:v>
      </x:c>
      <x:c r="R1411" t="str">
        <x:v>OK</x:v>
      </x:c>
      <x:c r="S1411" t="str">
        <x:v>OK</x:v>
      </x:c>
      <x:c r="T1411" t="n">
        <x:v>24</x:v>
      </x:c>
      <x:c r="U1411" t="str">
        <x:v>OK</x:v>
      </x:c>
      <x:c r="V1411" t="str">
        <x:v>OK</x:v>
      </x:c>
      <x:c r="W1411" t="str">
        <x:v>LOAD</x:v>
      </x:c>
      <x:c r="X1411" t="str">
        <x:v>02_Supervisor_Log(4).xlsx</x:v>
      </x:c>
      <x:c r="Y1411" t="str">
        <x:v>ENH-20260830-01</x:v>
      </x:c>
      <x:c r="Z1411" t="str">
        <x:v>Active</x:v>
      </x:c>
      <x:c r="AA1411"/>
      <x:c r="AB1411"/>
      <x:c r="AC1411"/>
      <x:c r="AD1411"/>
    </x:row>
    <x:row r="1412">
      <x:c r="A1412" t="str">
        <x:v>PCC-PE-KG01-L23-20251024-AM-ORD-2025-00093-S02-C1</x:v>
      </x:c>
      <x:c r="B1412" t="str">
        <x:v>PC-PE-KG01-L23-20251024-AM-ORD-2025-00093-S02</x:v>
      </x:c>
      <x:c r="C1412" t="str">
        <x:v>PE-KG01-L23-20251024-AM-ORD-2025-00093</x:v>
      </x:c>
      <x:c r="D1412" t="str">
        <x:v>KG01</x:v>
      </x:c>
      <x:c r="E1412" s="62" t="n">
        <x:v>45954</x:v>
      </x:c>
      <x:c r="F1412" t="str">
        <x:v>AM</x:v>
      </x:c>
      <x:c r="G1412" t="str">
        <x:v>A</x:v>
      </x:c>
      <x:c r="H1412" t="n">
        <x:v>23</x:v>
      </x:c>
      <x:c r="I1412" t="str">
        <x:v>ORD-2025-00093</x:v>
      </x:c>
      <x:c r="J1412" t="n">
        <x:v>2</x:v>
      </x:c>
      <x:c r="K1412" t="n">
        <x:v>1</x:v>
      </x:c>
      <x:c r="L1412" t="str">
        <x:v>L23-S02-C1</x:v>
      </x:c>
      <x:c r="M1412" t="n">
        <x:v>1</x:v>
      </x:c>
      <x:c r="N1412" t="str">
        <x:v>DerivedFromCount</x:v>
      </x:c>
      <x:c r="O1412" t="str">
        <x:v>PLC-PRD-JAR-720-L23</x:v>
      </x:c>
      <x:c r="P1412" t="str">
        <x:v>OK</x:v>
      </x:c>
      <x:c r="Q1412" t="str">
        <x:v>OK</x:v>
      </x:c>
      <x:c r="R1412" t="str">
        <x:v>OK</x:v>
      </x:c>
      <x:c r="S1412" t="str">
        <x:v>OK</x:v>
      </x:c>
      <x:c r="T1412" t="n">
        <x:v>24</x:v>
      </x:c>
      <x:c r="U1412" t="str">
        <x:v>OK</x:v>
      </x:c>
      <x:c r="V1412" t="str">
        <x:v>OK</x:v>
      </x:c>
      <x:c r="W1412" t="str">
        <x:v>LOAD</x:v>
      </x:c>
      <x:c r="X1412" t="str">
        <x:v>02_Supervisor_Log(4).xlsx</x:v>
      </x:c>
      <x:c r="Y1412" t="str">
        <x:v>ENH-20260830-01</x:v>
      </x:c>
      <x:c r="Z1412" t="str">
        <x:v>Active</x:v>
      </x:c>
      <x:c r="AA1412"/>
      <x:c r="AB1412"/>
      <x:c r="AC1412"/>
      <x:c r="AD1412"/>
    </x:row>
    <x:row r="1413">
      <x:c r="A1413" t="str">
        <x:v>PCC-PE-KG01-L23-20251024-AM-ORD-2025-00093-S02-C2</x:v>
      </x:c>
      <x:c r="B1413" t="str">
        <x:v>PC-PE-KG01-L23-20251024-AM-ORD-2025-00093-S02</x:v>
      </x:c>
      <x:c r="C1413" t="str">
        <x:v>PE-KG01-L23-20251024-AM-ORD-2025-00093</x:v>
      </x:c>
      <x:c r="D1413" t="str">
        <x:v>KG01</x:v>
      </x:c>
      <x:c r="E1413" s="62" t="n">
        <x:v>45954</x:v>
      </x:c>
      <x:c r="F1413" t="str">
        <x:v>AM</x:v>
      </x:c>
      <x:c r="G1413" t="str">
        <x:v>A</x:v>
      </x:c>
      <x:c r="H1413" t="n">
        <x:v>23</x:v>
      </x:c>
      <x:c r="I1413" t="str">
        <x:v>ORD-2025-00093</x:v>
      </x:c>
      <x:c r="J1413" t="n">
        <x:v>2</x:v>
      </x:c>
      <x:c r="K1413" t="n">
        <x:v>2</x:v>
      </x:c>
      <x:c r="L1413" t="str">
        <x:v>L23-S02-C2</x:v>
      </x:c>
      <x:c r="M1413" t="n">
        <x:v>1</x:v>
      </x:c>
      <x:c r="N1413" t="str">
        <x:v>DerivedFromCount</x:v>
      </x:c>
      <x:c r="O1413" t="str">
        <x:v>PLC-PRD-JAR-720-L23</x:v>
      </x:c>
      <x:c r="P1413" t="str">
        <x:v>OK</x:v>
      </x:c>
      <x:c r="Q1413" t="str">
        <x:v>OK</x:v>
      </x:c>
      <x:c r="R1413" t="str">
        <x:v>OK</x:v>
      </x:c>
      <x:c r="S1413" t="str">
        <x:v>OK</x:v>
      </x:c>
      <x:c r="T1413" t="n">
        <x:v>24</x:v>
      </x:c>
      <x:c r="U1413" t="str">
        <x:v>OK</x:v>
      </x:c>
      <x:c r="V1413" t="str">
        <x:v>OK</x:v>
      </x:c>
      <x:c r="W1413" t="str">
        <x:v>LOAD</x:v>
      </x:c>
      <x:c r="X1413" t="str">
        <x:v>02_Supervisor_Log(4).xlsx</x:v>
      </x:c>
      <x:c r="Y1413" t="str">
        <x:v>ENH-20260830-01</x:v>
      </x:c>
      <x:c r="Z1413" t="str">
        <x:v>Active</x:v>
      </x:c>
      <x:c r="AA1413"/>
      <x:c r="AB1413"/>
      <x:c r="AC1413"/>
      <x:c r="AD1413"/>
    </x:row>
    <x:row r="1414">
      <x:c r="A1414" t="str">
        <x:v>PCC-PE-KG01-L23-20251024-AM-ORD-2025-00093-S02-C3</x:v>
      </x:c>
      <x:c r="B1414" t="str">
        <x:v>PC-PE-KG01-L23-20251024-AM-ORD-2025-00093-S02</x:v>
      </x:c>
      <x:c r="C1414" t="str">
        <x:v>PE-KG01-L23-20251024-AM-ORD-2025-00093</x:v>
      </x:c>
      <x:c r="D1414" t="str">
        <x:v>KG01</x:v>
      </x:c>
      <x:c r="E1414" s="62" t="n">
        <x:v>45954</x:v>
      </x:c>
      <x:c r="F1414" t="str">
        <x:v>AM</x:v>
      </x:c>
      <x:c r="G1414" t="str">
        <x:v>A</x:v>
      </x:c>
      <x:c r="H1414" t="n">
        <x:v>23</x:v>
      </x:c>
      <x:c r="I1414" t="str">
        <x:v>ORD-2025-00093</x:v>
      </x:c>
      <x:c r="J1414" t="n">
        <x:v>2</x:v>
      </x:c>
      <x:c r="K1414" t="n">
        <x:v>3</x:v>
      </x:c>
      <x:c r="L1414" t="str">
        <x:v>L23-S02-C3</x:v>
      </x:c>
      <x:c r="M1414" t="n">
        <x:v>0</x:v>
      </x:c>
      <x:c r="N1414" t="str">
        <x:v>DerivedFromCount</x:v>
      </x:c>
      <x:c r="O1414" t="str">
        <x:v>PLC-PRD-JAR-720-L23</x:v>
      </x:c>
      <x:c r="P1414" t="str">
        <x:v>OK</x:v>
      </x:c>
      <x:c r="Q1414" t="str">
        <x:v>OK</x:v>
      </x:c>
      <x:c r="R1414" t="str">
        <x:v>OK</x:v>
      </x:c>
      <x:c r="S1414" t="str">
        <x:v>OK</x:v>
      </x:c>
      <x:c r="T1414" t="n">
        <x:v>24</x:v>
      </x:c>
      <x:c r="U1414" t="str">
        <x:v>OK</x:v>
      </x:c>
      <x:c r="V1414" t="str">
        <x:v>OK</x:v>
      </x:c>
      <x:c r="W1414" t="str">
        <x:v>LOAD</x:v>
      </x:c>
      <x:c r="X1414" t="str">
        <x:v>02_Supervisor_Log(4).xlsx</x:v>
      </x:c>
      <x:c r="Y1414" t="str">
        <x:v>ENH-20260830-01</x:v>
      </x:c>
      <x:c r="Z1414" t="str">
        <x:v>Active</x:v>
      </x:c>
      <x:c r="AA1414"/>
      <x:c r="AB1414"/>
      <x:c r="AC1414"/>
      <x:c r="AD1414"/>
    </x:row>
    <x:row r="1415">
      <x:c r="A1415" t="str">
        <x:v>PCC-PE-KG01-L23-20251024-AM-ORD-2025-00093-S03-C1</x:v>
      </x:c>
      <x:c r="B1415" t="str">
        <x:v>PC-PE-KG01-L23-20251024-AM-ORD-2025-00093-S03</x:v>
      </x:c>
      <x:c r="C1415" t="str">
        <x:v>PE-KG01-L23-20251024-AM-ORD-2025-00093</x:v>
      </x:c>
      <x:c r="D1415" t="str">
        <x:v>KG01</x:v>
      </x:c>
      <x:c r="E1415" s="62" t="n">
        <x:v>45954</x:v>
      </x:c>
      <x:c r="F1415" t="str">
        <x:v>AM</x:v>
      </x:c>
      <x:c r="G1415" t="str">
        <x:v>A</x:v>
      </x:c>
      <x:c r="H1415" t="n">
        <x:v>23</x:v>
      </x:c>
      <x:c r="I1415" t="str">
        <x:v>ORD-2025-00093</x:v>
      </x:c>
      <x:c r="J1415" t="n">
        <x:v>3</x:v>
      </x:c>
      <x:c r="K1415" t="n">
        <x:v>1</x:v>
      </x:c>
      <x:c r="L1415" t="str">
        <x:v>L23-S03-C1</x:v>
      </x:c>
      <x:c r="M1415" t="n">
        <x:v>1</x:v>
      </x:c>
      <x:c r="N1415" t="str">
        <x:v>DerivedFromCount</x:v>
      </x:c>
      <x:c r="O1415" t="str">
        <x:v>PLC-PRD-JAR-720-L23</x:v>
      </x:c>
      <x:c r="P1415" t="str">
        <x:v>OK</x:v>
      </x:c>
      <x:c r="Q1415" t="str">
        <x:v>OK</x:v>
      </x:c>
      <x:c r="R1415" t="str">
        <x:v>OK</x:v>
      </x:c>
      <x:c r="S1415" t="str">
        <x:v>OK</x:v>
      </x:c>
      <x:c r="T1415" t="n">
        <x:v>24</x:v>
      </x:c>
      <x:c r="U1415" t="str">
        <x:v>OK</x:v>
      </x:c>
      <x:c r="V1415" t="str">
        <x:v>OK</x:v>
      </x:c>
      <x:c r="W1415" t="str">
        <x:v>LOAD</x:v>
      </x:c>
      <x:c r="X1415" t="str">
        <x:v>02_Supervisor_Log(4).xlsx</x:v>
      </x:c>
      <x:c r="Y1415" t="str">
        <x:v>ENH-20260830-01</x:v>
      </x:c>
      <x:c r="Z1415" t="str">
        <x:v>Active</x:v>
      </x:c>
      <x:c r="AA1415"/>
      <x:c r="AB1415"/>
      <x:c r="AC1415"/>
      <x:c r="AD1415"/>
    </x:row>
    <x:row r="1416">
      <x:c r="A1416" t="str">
        <x:v>PCC-PE-KG01-L23-20251024-AM-ORD-2025-00093-S03-C2</x:v>
      </x:c>
      <x:c r="B1416" t="str">
        <x:v>PC-PE-KG01-L23-20251024-AM-ORD-2025-00093-S03</x:v>
      </x:c>
      <x:c r="C1416" t="str">
        <x:v>PE-KG01-L23-20251024-AM-ORD-2025-00093</x:v>
      </x:c>
      <x:c r="D1416" t="str">
        <x:v>KG01</x:v>
      </x:c>
      <x:c r="E1416" s="62" t="n">
        <x:v>45954</x:v>
      </x:c>
      <x:c r="F1416" t="str">
        <x:v>AM</x:v>
      </x:c>
      <x:c r="G1416" t="str">
        <x:v>A</x:v>
      </x:c>
      <x:c r="H1416" t="n">
        <x:v>23</x:v>
      </x:c>
      <x:c r="I1416" t="str">
        <x:v>ORD-2025-00093</x:v>
      </x:c>
      <x:c r="J1416" t="n">
        <x:v>3</x:v>
      </x:c>
      <x:c r="K1416" t="n">
        <x:v>2</x:v>
      </x:c>
      <x:c r="L1416" t="str">
        <x:v>L23-S03-C2</x:v>
      </x:c>
      <x:c r="M1416" t="n">
        <x:v>1</x:v>
      </x:c>
      <x:c r="N1416" t="str">
        <x:v>DerivedFromCount</x:v>
      </x:c>
      <x:c r="O1416" t="str">
        <x:v>PLC-PRD-JAR-720-L23</x:v>
      </x:c>
      <x:c r="P1416" t="str">
        <x:v>OK</x:v>
      </x:c>
      <x:c r="Q1416" t="str">
        <x:v>OK</x:v>
      </x:c>
      <x:c r="R1416" t="str">
        <x:v>OK</x:v>
      </x:c>
      <x:c r="S1416" t="str">
        <x:v>OK</x:v>
      </x:c>
      <x:c r="T1416" t="n">
        <x:v>24</x:v>
      </x:c>
      <x:c r="U1416" t="str">
        <x:v>OK</x:v>
      </x:c>
      <x:c r="V1416" t="str">
        <x:v>OK</x:v>
      </x:c>
      <x:c r="W1416" t="str">
        <x:v>LOAD</x:v>
      </x:c>
      <x:c r="X1416" t="str">
        <x:v>02_Supervisor_Log(4).xlsx</x:v>
      </x:c>
      <x:c r="Y1416" t="str">
        <x:v>ENH-20260830-01</x:v>
      </x:c>
      <x:c r="Z1416" t="str">
        <x:v>Active</x:v>
      </x:c>
      <x:c r="AA1416"/>
      <x:c r="AB1416"/>
      <x:c r="AC1416"/>
      <x:c r="AD1416"/>
    </x:row>
    <x:row r="1417">
      <x:c r="A1417" t="str">
        <x:v>PCC-PE-KG01-L23-20251024-AM-ORD-2025-00093-S03-C3</x:v>
      </x:c>
      <x:c r="B1417" t="str">
        <x:v>PC-PE-KG01-L23-20251024-AM-ORD-2025-00093-S03</x:v>
      </x:c>
      <x:c r="C1417" t="str">
        <x:v>PE-KG01-L23-20251024-AM-ORD-2025-00093</x:v>
      </x:c>
      <x:c r="D1417" t="str">
        <x:v>KG01</x:v>
      </x:c>
      <x:c r="E1417" s="62" t="n">
        <x:v>45954</x:v>
      </x:c>
      <x:c r="F1417" t="str">
        <x:v>AM</x:v>
      </x:c>
      <x:c r="G1417" t="str">
        <x:v>A</x:v>
      </x:c>
      <x:c r="H1417" t="n">
        <x:v>23</x:v>
      </x:c>
      <x:c r="I1417" t="str">
        <x:v>ORD-2025-00093</x:v>
      </x:c>
      <x:c r="J1417" t="n">
        <x:v>3</x:v>
      </x:c>
      <x:c r="K1417" t="n">
        <x:v>3</x:v>
      </x:c>
      <x:c r="L1417" t="str">
        <x:v>L23-S03-C3</x:v>
      </x:c>
      <x:c r="M1417" t="n">
        <x:v>0</x:v>
      </x:c>
      <x:c r="N1417" t="str">
        <x:v>DerivedFromCount</x:v>
      </x:c>
      <x:c r="O1417" t="str">
        <x:v>PLC-PRD-JAR-720-L23</x:v>
      </x:c>
      <x:c r="P1417" t="str">
        <x:v>OK</x:v>
      </x:c>
      <x:c r="Q1417" t="str">
        <x:v>OK</x:v>
      </x:c>
      <x:c r="R1417" t="str">
        <x:v>OK</x:v>
      </x:c>
      <x:c r="S1417" t="str">
        <x:v>OK</x:v>
      </x:c>
      <x:c r="T1417" t="n">
        <x:v>24</x:v>
      </x:c>
      <x:c r="U1417" t="str">
        <x:v>OK</x:v>
      </x:c>
      <x:c r="V1417" t="str">
        <x:v>OK</x:v>
      </x:c>
      <x:c r="W1417" t="str">
        <x:v>LOAD</x:v>
      </x:c>
      <x:c r="X1417" t="str">
        <x:v>02_Supervisor_Log(4).xlsx</x:v>
      </x:c>
      <x:c r="Y1417" t="str">
        <x:v>ENH-20260830-01</x:v>
      </x:c>
      <x:c r="Z1417" t="str">
        <x:v>Active</x:v>
      </x:c>
      <x:c r="AA1417"/>
      <x:c r="AB1417"/>
      <x:c r="AC1417"/>
      <x:c r="AD1417"/>
    </x:row>
    <x:row r="1418">
      <x:c r="A1418" t="str">
        <x:v>PCC-PE-KG01-L23-20251024-AM-ORD-2025-00093-S04-C1</x:v>
      </x:c>
      <x:c r="B1418" t="str">
        <x:v>PC-PE-KG01-L23-20251024-AM-ORD-2025-00093-S04</x:v>
      </x:c>
      <x:c r="C1418" t="str">
        <x:v>PE-KG01-L23-20251024-AM-ORD-2025-00093</x:v>
      </x:c>
      <x:c r="D1418" t="str">
        <x:v>KG01</x:v>
      </x:c>
      <x:c r="E1418" s="62" t="n">
        <x:v>45954</x:v>
      </x:c>
      <x:c r="F1418" t="str">
        <x:v>AM</x:v>
      </x:c>
      <x:c r="G1418" t="str">
        <x:v>A</x:v>
      </x:c>
      <x:c r="H1418" t="n">
        <x:v>23</x:v>
      </x:c>
      <x:c r="I1418" t="str">
        <x:v>ORD-2025-00093</x:v>
      </x:c>
      <x:c r="J1418" t="n">
        <x:v>4</x:v>
      </x:c>
      <x:c r="K1418" t="n">
        <x:v>1</x:v>
      </x:c>
      <x:c r="L1418" t="str">
        <x:v>L23-S04-C1</x:v>
      </x:c>
      <x:c r="M1418" t="n">
        <x:v>1</x:v>
      </x:c>
      <x:c r="N1418" t="str">
        <x:v>DerivedFromCount</x:v>
      </x:c>
      <x:c r="O1418" t="str">
        <x:v>PLC-PRD-JAR-720-L23</x:v>
      </x:c>
      <x:c r="P1418" t="str">
        <x:v>OK</x:v>
      </x:c>
      <x:c r="Q1418" t="str">
        <x:v>OK</x:v>
      </x:c>
      <x:c r="R1418" t="str">
        <x:v>OK</x:v>
      </x:c>
      <x:c r="S1418" t="str">
        <x:v>OK</x:v>
      </x:c>
      <x:c r="T1418" t="n">
        <x:v>24</x:v>
      </x:c>
      <x:c r="U1418" t="str">
        <x:v>OK</x:v>
      </x:c>
      <x:c r="V1418" t="str">
        <x:v>OK</x:v>
      </x:c>
      <x:c r="W1418" t="str">
        <x:v>LOAD</x:v>
      </x:c>
      <x:c r="X1418" t="str">
        <x:v>02_Supervisor_Log(4).xlsx</x:v>
      </x:c>
      <x:c r="Y1418" t="str">
        <x:v>ENH-20260830-01</x:v>
      </x:c>
      <x:c r="Z1418" t="str">
        <x:v>Active</x:v>
      </x:c>
      <x:c r="AA1418"/>
      <x:c r="AB1418"/>
      <x:c r="AC1418"/>
      <x:c r="AD1418"/>
    </x:row>
    <x:row r="1419">
      <x:c r="A1419" t="str">
        <x:v>PCC-PE-KG01-L23-20251024-AM-ORD-2025-00093-S04-C2</x:v>
      </x:c>
      <x:c r="B1419" t="str">
        <x:v>PC-PE-KG01-L23-20251024-AM-ORD-2025-00093-S04</x:v>
      </x:c>
      <x:c r="C1419" t="str">
        <x:v>PE-KG01-L23-20251024-AM-ORD-2025-00093</x:v>
      </x:c>
      <x:c r="D1419" t="str">
        <x:v>KG01</x:v>
      </x:c>
      <x:c r="E1419" s="62" t="n">
        <x:v>45954</x:v>
      </x:c>
      <x:c r="F1419" t="str">
        <x:v>AM</x:v>
      </x:c>
      <x:c r="G1419" t="str">
        <x:v>A</x:v>
      </x:c>
      <x:c r="H1419" t="n">
        <x:v>23</x:v>
      </x:c>
      <x:c r="I1419" t="str">
        <x:v>ORD-2025-00093</x:v>
      </x:c>
      <x:c r="J1419" t="n">
        <x:v>4</x:v>
      </x:c>
      <x:c r="K1419" t="n">
        <x:v>2</x:v>
      </x:c>
      <x:c r="L1419" t="str">
        <x:v>L23-S04-C2</x:v>
      </x:c>
      <x:c r="M1419" t="n">
        <x:v>1</x:v>
      </x:c>
      <x:c r="N1419" t="str">
        <x:v>DerivedFromCount</x:v>
      </x:c>
      <x:c r="O1419" t="str">
        <x:v>PLC-PRD-JAR-720-L23</x:v>
      </x:c>
      <x:c r="P1419" t="str">
        <x:v>OK</x:v>
      </x:c>
      <x:c r="Q1419" t="str">
        <x:v>OK</x:v>
      </x:c>
      <x:c r="R1419" t="str">
        <x:v>OK</x:v>
      </x:c>
      <x:c r="S1419" t="str">
        <x:v>OK</x:v>
      </x:c>
      <x:c r="T1419" t="n">
        <x:v>24</x:v>
      </x:c>
      <x:c r="U1419" t="str">
        <x:v>OK</x:v>
      </x:c>
      <x:c r="V1419" t="str">
        <x:v>OK</x:v>
      </x:c>
      <x:c r="W1419" t="str">
        <x:v>LOAD</x:v>
      </x:c>
      <x:c r="X1419" t="str">
        <x:v>02_Supervisor_Log(4).xlsx</x:v>
      </x:c>
      <x:c r="Y1419" t="str">
        <x:v>ENH-20260830-01</x:v>
      </x:c>
      <x:c r="Z1419" t="str">
        <x:v>Active</x:v>
      </x:c>
      <x:c r="AA1419"/>
      <x:c r="AB1419"/>
      <x:c r="AC1419"/>
      <x:c r="AD1419"/>
    </x:row>
    <x:row r="1420">
      <x:c r="A1420" t="str">
        <x:v>PCC-PE-KG01-L23-20251024-AM-ORD-2025-00093-S04-C3</x:v>
      </x:c>
      <x:c r="B1420" t="str">
        <x:v>PC-PE-KG01-L23-20251024-AM-ORD-2025-00093-S04</x:v>
      </x:c>
      <x:c r="C1420" t="str">
        <x:v>PE-KG01-L23-20251024-AM-ORD-2025-00093</x:v>
      </x:c>
      <x:c r="D1420" t="str">
        <x:v>KG01</x:v>
      </x:c>
      <x:c r="E1420" s="62" t="n">
        <x:v>45954</x:v>
      </x:c>
      <x:c r="F1420" t="str">
        <x:v>AM</x:v>
      </x:c>
      <x:c r="G1420" t="str">
        <x:v>A</x:v>
      </x:c>
      <x:c r="H1420" t="n">
        <x:v>23</x:v>
      </x:c>
      <x:c r="I1420" t="str">
        <x:v>ORD-2025-00093</x:v>
      </x:c>
      <x:c r="J1420" t="n">
        <x:v>4</x:v>
      </x:c>
      <x:c r="K1420" t="n">
        <x:v>3</x:v>
      </x:c>
      <x:c r="L1420" t="str">
        <x:v>L23-S04-C3</x:v>
      </x:c>
      <x:c r="M1420" t="n">
        <x:v>0</x:v>
      </x:c>
      <x:c r="N1420" t="str">
        <x:v>DerivedFromCount</x:v>
      </x:c>
      <x:c r="O1420" t="str">
        <x:v>PLC-PRD-JAR-720-L23</x:v>
      </x:c>
      <x:c r="P1420" t="str">
        <x:v>OK</x:v>
      </x:c>
      <x:c r="Q1420" t="str">
        <x:v>OK</x:v>
      </x:c>
      <x:c r="R1420" t="str">
        <x:v>OK</x:v>
      </x:c>
      <x:c r="S1420" t="str">
        <x:v>OK</x:v>
      </x:c>
      <x:c r="T1420" t="n">
        <x:v>24</x:v>
      </x:c>
      <x:c r="U1420" t="str">
        <x:v>OK</x:v>
      </x:c>
      <x:c r="V1420" t="str">
        <x:v>OK</x:v>
      </x:c>
      <x:c r="W1420" t="str">
        <x:v>LOAD</x:v>
      </x:c>
      <x:c r="X1420" t="str">
        <x:v>02_Supervisor_Log(4).xlsx</x:v>
      </x:c>
      <x:c r="Y1420" t="str">
        <x:v>ENH-20260830-01</x:v>
      </x:c>
      <x:c r="Z1420" t="str">
        <x:v>Active</x:v>
      </x:c>
      <x:c r="AA1420"/>
      <x:c r="AB1420"/>
      <x:c r="AC1420"/>
      <x:c r="AD1420"/>
    </x:row>
    <x:row r="1421">
      <x:c r="A1421" t="str">
        <x:v>PCC-PE-KG01-L23-20251024-AM-ORD-2025-00093-S05-C1</x:v>
      </x:c>
      <x:c r="B1421" t="str">
        <x:v>PC-PE-KG01-L23-20251024-AM-ORD-2025-00093-S05</x:v>
      </x:c>
      <x:c r="C1421" t="str">
        <x:v>PE-KG01-L23-20251024-AM-ORD-2025-00093</x:v>
      </x:c>
      <x:c r="D1421" t="str">
        <x:v>KG01</x:v>
      </x:c>
      <x:c r="E1421" s="62" t="n">
        <x:v>45954</x:v>
      </x:c>
      <x:c r="F1421" t="str">
        <x:v>AM</x:v>
      </x:c>
      <x:c r="G1421" t="str">
        <x:v>A</x:v>
      </x:c>
      <x:c r="H1421" t="n">
        <x:v>23</x:v>
      </x:c>
      <x:c r="I1421" t="str">
        <x:v>ORD-2025-00093</x:v>
      </x:c>
      <x:c r="J1421" t="n">
        <x:v>5</x:v>
      </x:c>
      <x:c r="K1421" t="n">
        <x:v>1</x:v>
      </x:c>
      <x:c r="L1421" t="str">
        <x:v>L23-S05-C1</x:v>
      </x:c>
      <x:c r="M1421" t="n">
        <x:v>1</x:v>
      </x:c>
      <x:c r="N1421" t="str">
        <x:v>DerivedFromCount</x:v>
      </x:c>
      <x:c r="O1421" t="str">
        <x:v>PLC-PRD-JAR-720-L23</x:v>
      </x:c>
      <x:c r="P1421" t="str">
        <x:v>OK</x:v>
      </x:c>
      <x:c r="Q1421" t="str">
        <x:v>OK</x:v>
      </x:c>
      <x:c r="R1421" t="str">
        <x:v>OK</x:v>
      </x:c>
      <x:c r="S1421" t="str">
        <x:v>OK</x:v>
      </x:c>
      <x:c r="T1421" t="n">
        <x:v>24</x:v>
      </x:c>
      <x:c r="U1421" t="str">
        <x:v>OK</x:v>
      </x:c>
      <x:c r="V1421" t="str">
        <x:v>OK</x:v>
      </x:c>
      <x:c r="W1421" t="str">
        <x:v>LOAD</x:v>
      </x:c>
      <x:c r="X1421" t="str">
        <x:v>02_Supervisor_Log(4).xlsx</x:v>
      </x:c>
      <x:c r="Y1421" t="str">
        <x:v>ENH-20260830-01</x:v>
      </x:c>
      <x:c r="Z1421" t="str">
        <x:v>Active</x:v>
      </x:c>
      <x:c r="AA1421"/>
      <x:c r="AB1421"/>
      <x:c r="AC1421"/>
      <x:c r="AD1421"/>
    </x:row>
    <x:row r="1422">
      <x:c r="A1422" t="str">
        <x:v>PCC-PE-KG01-L23-20251024-AM-ORD-2025-00093-S05-C2</x:v>
      </x:c>
      <x:c r="B1422" t="str">
        <x:v>PC-PE-KG01-L23-20251024-AM-ORD-2025-00093-S05</x:v>
      </x:c>
      <x:c r="C1422" t="str">
        <x:v>PE-KG01-L23-20251024-AM-ORD-2025-00093</x:v>
      </x:c>
      <x:c r="D1422" t="str">
        <x:v>KG01</x:v>
      </x:c>
      <x:c r="E1422" s="62" t="n">
        <x:v>45954</x:v>
      </x:c>
      <x:c r="F1422" t="str">
        <x:v>AM</x:v>
      </x:c>
      <x:c r="G1422" t="str">
        <x:v>A</x:v>
      </x:c>
      <x:c r="H1422" t="n">
        <x:v>23</x:v>
      </x:c>
      <x:c r="I1422" t="str">
        <x:v>ORD-2025-00093</x:v>
      </x:c>
      <x:c r="J1422" t="n">
        <x:v>5</x:v>
      </x:c>
      <x:c r="K1422" t="n">
        <x:v>2</x:v>
      </x:c>
      <x:c r="L1422" t="str">
        <x:v>L23-S05-C2</x:v>
      </x:c>
      <x:c r="M1422" t="n">
        <x:v>1</x:v>
      </x:c>
      <x:c r="N1422" t="str">
        <x:v>DerivedFromCount</x:v>
      </x:c>
      <x:c r="O1422" t="str">
        <x:v>PLC-PRD-JAR-720-L23</x:v>
      </x:c>
      <x:c r="P1422" t="str">
        <x:v>OK</x:v>
      </x:c>
      <x:c r="Q1422" t="str">
        <x:v>OK</x:v>
      </x:c>
      <x:c r="R1422" t="str">
        <x:v>OK</x:v>
      </x:c>
      <x:c r="S1422" t="str">
        <x:v>OK</x:v>
      </x:c>
      <x:c r="T1422" t="n">
        <x:v>24</x:v>
      </x:c>
      <x:c r="U1422" t="str">
        <x:v>OK</x:v>
      </x:c>
      <x:c r="V1422" t="str">
        <x:v>OK</x:v>
      </x:c>
      <x:c r="W1422" t="str">
        <x:v>LOAD</x:v>
      </x:c>
      <x:c r="X1422" t="str">
        <x:v>02_Supervisor_Log(4).xlsx</x:v>
      </x:c>
      <x:c r="Y1422" t="str">
        <x:v>ENH-20260830-01</x:v>
      </x:c>
      <x:c r="Z1422" t="str">
        <x:v>Active</x:v>
      </x:c>
      <x:c r="AA1422"/>
      <x:c r="AB1422"/>
      <x:c r="AC1422"/>
      <x:c r="AD1422"/>
    </x:row>
    <x:row r="1423">
      <x:c r="A1423" t="str">
        <x:v>PCC-PE-KG01-L23-20251024-AM-ORD-2025-00093-S05-C3</x:v>
      </x:c>
      <x:c r="B1423" t="str">
        <x:v>PC-PE-KG01-L23-20251024-AM-ORD-2025-00093-S05</x:v>
      </x:c>
      <x:c r="C1423" t="str">
        <x:v>PE-KG01-L23-20251024-AM-ORD-2025-00093</x:v>
      </x:c>
      <x:c r="D1423" t="str">
        <x:v>KG01</x:v>
      </x:c>
      <x:c r="E1423" s="62" t="n">
        <x:v>45954</x:v>
      </x:c>
      <x:c r="F1423" t="str">
        <x:v>AM</x:v>
      </x:c>
      <x:c r="G1423" t="str">
        <x:v>A</x:v>
      </x:c>
      <x:c r="H1423" t="n">
        <x:v>23</x:v>
      </x:c>
      <x:c r="I1423" t="str">
        <x:v>ORD-2025-00093</x:v>
      </x:c>
      <x:c r="J1423" t="n">
        <x:v>5</x:v>
      </x:c>
      <x:c r="K1423" t="n">
        <x:v>3</x:v>
      </x:c>
      <x:c r="L1423" t="str">
        <x:v>L23-S05-C3</x:v>
      </x:c>
      <x:c r="M1423" t="n">
        <x:v>0</x:v>
      </x:c>
      <x:c r="N1423" t="str">
        <x:v>DerivedFromCount</x:v>
      </x:c>
      <x:c r="O1423" t="str">
        <x:v>PLC-PRD-JAR-720-L23</x:v>
      </x:c>
      <x:c r="P1423" t="str">
        <x:v>OK</x:v>
      </x:c>
      <x:c r="Q1423" t="str">
        <x:v>OK</x:v>
      </x:c>
      <x:c r="R1423" t="str">
        <x:v>OK</x:v>
      </x:c>
      <x:c r="S1423" t="str">
        <x:v>OK</x:v>
      </x:c>
      <x:c r="T1423" t="n">
        <x:v>24</x:v>
      </x:c>
      <x:c r="U1423" t="str">
        <x:v>OK</x:v>
      </x:c>
      <x:c r="V1423" t="str">
        <x:v>OK</x:v>
      </x:c>
      <x:c r="W1423" t="str">
        <x:v>LOAD</x:v>
      </x:c>
      <x:c r="X1423" t="str">
        <x:v>02_Supervisor_Log(4).xlsx</x:v>
      </x:c>
      <x:c r="Y1423" t="str">
        <x:v>ENH-20260830-01</x:v>
      </x:c>
      <x:c r="Z1423" t="str">
        <x:v>Active</x:v>
      </x:c>
      <x:c r="AA1423"/>
      <x:c r="AB1423"/>
      <x:c r="AC1423"/>
      <x:c r="AD1423"/>
    </x:row>
    <x:row r="1424">
      <x:c r="A1424" t="str">
        <x:v>PCC-PE-KG01-L23-20251024-AM-ORD-2025-00093-S06-C1</x:v>
      </x:c>
      <x:c r="B1424" t="str">
        <x:v>PC-PE-KG01-L23-20251024-AM-ORD-2025-00093-S06</x:v>
      </x:c>
      <x:c r="C1424" t="str">
        <x:v>PE-KG01-L23-20251024-AM-ORD-2025-00093</x:v>
      </x:c>
      <x:c r="D1424" t="str">
        <x:v>KG01</x:v>
      </x:c>
      <x:c r="E1424" s="62" t="n">
        <x:v>45954</x:v>
      </x:c>
      <x:c r="F1424" t="str">
        <x:v>AM</x:v>
      </x:c>
      <x:c r="G1424" t="str">
        <x:v>A</x:v>
      </x:c>
      <x:c r="H1424" t="n">
        <x:v>23</x:v>
      </x:c>
      <x:c r="I1424" t="str">
        <x:v>ORD-2025-00093</x:v>
      </x:c>
      <x:c r="J1424" t="n">
        <x:v>6</x:v>
      </x:c>
      <x:c r="K1424" t="n">
        <x:v>1</x:v>
      </x:c>
      <x:c r="L1424" t="str">
        <x:v>L23-S06-C1</x:v>
      </x:c>
      <x:c r="M1424" t="n">
        <x:v>1</x:v>
      </x:c>
      <x:c r="N1424" t="str">
        <x:v>DerivedFromCount</x:v>
      </x:c>
      <x:c r="O1424" t="str">
        <x:v>PLC-PRD-JAR-720-L23</x:v>
      </x:c>
      <x:c r="P1424" t="str">
        <x:v>OK</x:v>
      </x:c>
      <x:c r="Q1424" t="str">
        <x:v>OK</x:v>
      </x:c>
      <x:c r="R1424" t="str">
        <x:v>OK</x:v>
      </x:c>
      <x:c r="S1424" t="str">
        <x:v>OK</x:v>
      </x:c>
      <x:c r="T1424" t="n">
        <x:v>24</x:v>
      </x:c>
      <x:c r="U1424" t="str">
        <x:v>OK</x:v>
      </x:c>
      <x:c r="V1424" t="str">
        <x:v>OK</x:v>
      </x:c>
      <x:c r="W1424" t="str">
        <x:v>LOAD</x:v>
      </x:c>
      <x:c r="X1424" t="str">
        <x:v>02_Supervisor_Log(4).xlsx</x:v>
      </x:c>
      <x:c r="Y1424" t="str">
        <x:v>ENH-20260830-01</x:v>
      </x:c>
      <x:c r="Z1424" t="str">
        <x:v>Active</x:v>
      </x:c>
      <x:c r="AA1424"/>
      <x:c r="AB1424"/>
      <x:c r="AC1424"/>
      <x:c r="AD1424"/>
    </x:row>
    <x:row r="1425">
      <x:c r="A1425" t="str">
        <x:v>PCC-PE-KG01-L23-20251024-AM-ORD-2025-00093-S06-C2</x:v>
      </x:c>
      <x:c r="B1425" t="str">
        <x:v>PC-PE-KG01-L23-20251024-AM-ORD-2025-00093-S06</x:v>
      </x:c>
      <x:c r="C1425" t="str">
        <x:v>PE-KG01-L23-20251024-AM-ORD-2025-00093</x:v>
      </x:c>
      <x:c r="D1425" t="str">
        <x:v>KG01</x:v>
      </x:c>
      <x:c r="E1425" s="62" t="n">
        <x:v>45954</x:v>
      </x:c>
      <x:c r="F1425" t="str">
        <x:v>AM</x:v>
      </x:c>
      <x:c r="G1425" t="str">
        <x:v>A</x:v>
      </x:c>
      <x:c r="H1425" t="n">
        <x:v>23</x:v>
      </x:c>
      <x:c r="I1425" t="str">
        <x:v>ORD-2025-00093</x:v>
      </x:c>
      <x:c r="J1425" t="n">
        <x:v>6</x:v>
      </x:c>
      <x:c r="K1425" t="n">
        <x:v>2</x:v>
      </x:c>
      <x:c r="L1425" t="str">
        <x:v>L23-S06-C2</x:v>
      </x:c>
      <x:c r="M1425" t="n">
        <x:v>1</x:v>
      </x:c>
      <x:c r="N1425" t="str">
        <x:v>DerivedFromCount</x:v>
      </x:c>
      <x:c r="O1425" t="str">
        <x:v>PLC-PRD-JAR-720-L23</x:v>
      </x:c>
      <x:c r="P1425" t="str">
        <x:v>OK</x:v>
      </x:c>
      <x:c r="Q1425" t="str">
        <x:v>OK</x:v>
      </x:c>
      <x:c r="R1425" t="str">
        <x:v>OK</x:v>
      </x:c>
      <x:c r="S1425" t="str">
        <x:v>OK</x:v>
      </x:c>
      <x:c r="T1425" t="n">
        <x:v>24</x:v>
      </x:c>
      <x:c r="U1425" t="str">
        <x:v>OK</x:v>
      </x:c>
      <x:c r="V1425" t="str">
        <x:v>OK</x:v>
      </x:c>
      <x:c r="W1425" t="str">
        <x:v>LOAD</x:v>
      </x:c>
      <x:c r="X1425" t="str">
        <x:v>02_Supervisor_Log(4).xlsx</x:v>
      </x:c>
      <x:c r="Y1425" t="str">
        <x:v>ENH-20260830-01</x:v>
      </x:c>
      <x:c r="Z1425" t="str">
        <x:v>Active</x:v>
      </x:c>
      <x:c r="AA1425"/>
      <x:c r="AB1425"/>
      <x:c r="AC1425"/>
      <x:c r="AD1425"/>
    </x:row>
    <x:row r="1426">
      <x:c r="A1426" t="str">
        <x:v>PCC-PE-KG01-L23-20251024-AM-ORD-2025-00093-S06-C3</x:v>
      </x:c>
      <x:c r="B1426" t="str">
        <x:v>PC-PE-KG01-L23-20251024-AM-ORD-2025-00093-S06</x:v>
      </x:c>
      <x:c r="C1426" t="str">
        <x:v>PE-KG01-L23-20251024-AM-ORD-2025-00093</x:v>
      </x:c>
      <x:c r="D1426" t="str">
        <x:v>KG01</x:v>
      </x:c>
      <x:c r="E1426" s="62" t="n">
        <x:v>45954</x:v>
      </x:c>
      <x:c r="F1426" t="str">
        <x:v>AM</x:v>
      </x:c>
      <x:c r="G1426" t="str">
        <x:v>A</x:v>
      </x:c>
      <x:c r="H1426" t="n">
        <x:v>23</x:v>
      </x:c>
      <x:c r="I1426" t="str">
        <x:v>ORD-2025-00093</x:v>
      </x:c>
      <x:c r="J1426" t="n">
        <x:v>6</x:v>
      </x:c>
      <x:c r="K1426" t="n">
        <x:v>3</x:v>
      </x:c>
      <x:c r="L1426" t="str">
        <x:v>L23-S06-C3</x:v>
      </x:c>
      <x:c r="M1426" t="n">
        <x:v>0</x:v>
      </x:c>
      <x:c r="N1426" t="str">
        <x:v>DerivedFromCount</x:v>
      </x:c>
      <x:c r="O1426" t="str">
        <x:v>PLC-PRD-JAR-720-L23</x:v>
      </x:c>
      <x:c r="P1426" t="str">
        <x:v>OK</x:v>
      </x:c>
      <x:c r="Q1426" t="str">
        <x:v>OK</x:v>
      </x:c>
      <x:c r="R1426" t="str">
        <x:v>OK</x:v>
      </x:c>
      <x:c r="S1426" t="str">
        <x:v>OK</x:v>
      </x:c>
      <x:c r="T1426" t="n">
        <x:v>24</x:v>
      </x:c>
      <x:c r="U1426" t="str">
        <x:v>OK</x:v>
      </x:c>
      <x:c r="V1426" t="str">
        <x:v>OK</x:v>
      </x:c>
      <x:c r="W1426" t="str">
        <x:v>LOAD</x:v>
      </x:c>
      <x:c r="X1426" t="str">
        <x:v>02_Supervisor_Log(4).xlsx</x:v>
      </x:c>
      <x:c r="Y1426" t="str">
        <x:v>ENH-20260830-01</x:v>
      </x:c>
      <x:c r="Z1426" t="str">
        <x:v>Active</x:v>
      </x:c>
      <x:c r="AA1426"/>
      <x:c r="AB1426"/>
      <x:c r="AC1426"/>
      <x:c r="AD1426"/>
    </x:row>
    <x:row r="1427">
      <x:c r="A1427" t="str">
        <x:v>PCC-PE-KG01-L23-20251024-AM-ORD-2025-00093-S07-C1</x:v>
      </x:c>
      <x:c r="B1427" t="str">
        <x:v>PC-PE-KG01-L23-20251024-AM-ORD-2025-00093-S07</x:v>
      </x:c>
      <x:c r="C1427" t="str">
        <x:v>PE-KG01-L23-20251024-AM-ORD-2025-00093</x:v>
      </x:c>
      <x:c r="D1427" t="str">
        <x:v>KG01</x:v>
      </x:c>
      <x:c r="E1427" s="62" t="n">
        <x:v>45954</x:v>
      </x:c>
      <x:c r="F1427" t="str">
        <x:v>AM</x:v>
      </x:c>
      <x:c r="G1427" t="str">
        <x:v>A</x:v>
      </x:c>
      <x:c r="H1427" t="n">
        <x:v>23</x:v>
      </x:c>
      <x:c r="I1427" t="str">
        <x:v>ORD-2025-00093</x:v>
      </x:c>
      <x:c r="J1427" t="n">
        <x:v>7</x:v>
      </x:c>
      <x:c r="K1427" t="n">
        <x:v>1</x:v>
      </x:c>
      <x:c r="L1427" t="str">
        <x:v>L23-S07-C1</x:v>
      </x:c>
      <x:c r="M1427" t="n">
        <x:v>1</x:v>
      </x:c>
      <x:c r="N1427" t="str">
        <x:v>DerivedFromCount</x:v>
      </x:c>
      <x:c r="O1427" t="str">
        <x:v>PLC-PRD-JAR-720-L23</x:v>
      </x:c>
      <x:c r="P1427" t="str">
        <x:v>OK</x:v>
      </x:c>
      <x:c r="Q1427" t="str">
        <x:v>OK</x:v>
      </x:c>
      <x:c r="R1427" t="str">
        <x:v>OK</x:v>
      </x:c>
      <x:c r="S1427" t="str">
        <x:v>OK</x:v>
      </x:c>
      <x:c r="T1427" t="n">
        <x:v>24</x:v>
      </x:c>
      <x:c r="U1427" t="str">
        <x:v>OK</x:v>
      </x:c>
      <x:c r="V1427" t="str">
        <x:v>OK</x:v>
      </x:c>
      <x:c r="W1427" t="str">
        <x:v>LOAD</x:v>
      </x:c>
      <x:c r="X1427" t="str">
        <x:v>02_Supervisor_Log(4).xlsx</x:v>
      </x:c>
      <x:c r="Y1427" t="str">
        <x:v>ENH-20260830-01</x:v>
      </x:c>
      <x:c r="Z1427" t="str">
        <x:v>Active</x:v>
      </x:c>
      <x:c r="AA1427"/>
      <x:c r="AB1427"/>
      <x:c r="AC1427"/>
      <x:c r="AD1427"/>
    </x:row>
    <x:row r="1428">
      <x:c r="A1428" t="str">
        <x:v>PCC-PE-KG01-L23-20251024-AM-ORD-2025-00093-S07-C2</x:v>
      </x:c>
      <x:c r="B1428" t="str">
        <x:v>PC-PE-KG01-L23-20251024-AM-ORD-2025-00093-S07</x:v>
      </x:c>
      <x:c r="C1428" t="str">
        <x:v>PE-KG01-L23-20251024-AM-ORD-2025-00093</x:v>
      </x:c>
      <x:c r="D1428" t="str">
        <x:v>KG01</x:v>
      </x:c>
      <x:c r="E1428" s="62" t="n">
        <x:v>45954</x:v>
      </x:c>
      <x:c r="F1428" t="str">
        <x:v>AM</x:v>
      </x:c>
      <x:c r="G1428" t="str">
        <x:v>A</x:v>
      </x:c>
      <x:c r="H1428" t="n">
        <x:v>23</x:v>
      </x:c>
      <x:c r="I1428" t="str">
        <x:v>ORD-2025-00093</x:v>
      </x:c>
      <x:c r="J1428" t="n">
        <x:v>7</x:v>
      </x:c>
      <x:c r="K1428" t="n">
        <x:v>2</x:v>
      </x:c>
      <x:c r="L1428" t="str">
        <x:v>L23-S07-C2</x:v>
      </x:c>
      <x:c r="M1428" t="n">
        <x:v>1</x:v>
      </x:c>
      <x:c r="N1428" t="str">
        <x:v>DerivedFromCount</x:v>
      </x:c>
      <x:c r="O1428" t="str">
        <x:v>PLC-PRD-JAR-720-L23</x:v>
      </x:c>
      <x:c r="P1428" t="str">
        <x:v>OK</x:v>
      </x:c>
      <x:c r="Q1428" t="str">
        <x:v>OK</x:v>
      </x:c>
      <x:c r="R1428" t="str">
        <x:v>OK</x:v>
      </x:c>
      <x:c r="S1428" t="str">
        <x:v>OK</x:v>
      </x:c>
      <x:c r="T1428" t="n">
        <x:v>24</x:v>
      </x:c>
      <x:c r="U1428" t="str">
        <x:v>OK</x:v>
      </x:c>
      <x:c r="V1428" t="str">
        <x:v>OK</x:v>
      </x:c>
      <x:c r="W1428" t="str">
        <x:v>LOAD</x:v>
      </x:c>
      <x:c r="X1428" t="str">
        <x:v>02_Supervisor_Log(4).xlsx</x:v>
      </x:c>
      <x:c r="Y1428" t="str">
        <x:v>ENH-20260830-01</x:v>
      </x:c>
      <x:c r="Z1428" t="str">
        <x:v>Active</x:v>
      </x:c>
      <x:c r="AA1428"/>
      <x:c r="AB1428"/>
      <x:c r="AC1428"/>
      <x:c r="AD1428"/>
    </x:row>
    <x:row r="1429">
      <x:c r="A1429" t="str">
        <x:v>PCC-PE-KG01-L23-20251024-AM-ORD-2025-00093-S07-C3</x:v>
      </x:c>
      <x:c r="B1429" t="str">
        <x:v>PC-PE-KG01-L23-20251024-AM-ORD-2025-00093-S07</x:v>
      </x:c>
      <x:c r="C1429" t="str">
        <x:v>PE-KG01-L23-20251024-AM-ORD-2025-00093</x:v>
      </x:c>
      <x:c r="D1429" t="str">
        <x:v>KG01</x:v>
      </x:c>
      <x:c r="E1429" s="62" t="n">
        <x:v>45954</x:v>
      </x:c>
      <x:c r="F1429" t="str">
        <x:v>AM</x:v>
      </x:c>
      <x:c r="G1429" t="str">
        <x:v>A</x:v>
      </x:c>
      <x:c r="H1429" t="n">
        <x:v>23</x:v>
      </x:c>
      <x:c r="I1429" t="str">
        <x:v>ORD-2025-00093</x:v>
      </x:c>
      <x:c r="J1429" t="n">
        <x:v>7</x:v>
      </x:c>
      <x:c r="K1429" t="n">
        <x:v>3</x:v>
      </x:c>
      <x:c r="L1429" t="str">
        <x:v>L23-S07-C3</x:v>
      </x:c>
      <x:c r="M1429" t="n">
        <x:v>0</x:v>
      </x:c>
      <x:c r="N1429" t="str">
        <x:v>DerivedFromCount</x:v>
      </x:c>
      <x:c r="O1429" t="str">
        <x:v>PLC-PRD-JAR-720-L23</x:v>
      </x:c>
      <x:c r="P1429" t="str">
        <x:v>OK</x:v>
      </x:c>
      <x:c r="Q1429" t="str">
        <x:v>OK</x:v>
      </x:c>
      <x:c r="R1429" t="str">
        <x:v>OK</x:v>
      </x:c>
      <x:c r="S1429" t="str">
        <x:v>OK</x:v>
      </x:c>
      <x:c r="T1429" t="n">
        <x:v>24</x:v>
      </x:c>
      <x:c r="U1429" t="str">
        <x:v>OK</x:v>
      </x:c>
      <x:c r="V1429" t="str">
        <x:v>OK</x:v>
      </x:c>
      <x:c r="W1429" t="str">
        <x:v>LOAD</x:v>
      </x:c>
      <x:c r="X1429" t="str">
        <x:v>02_Supervisor_Log(4).xlsx</x:v>
      </x:c>
      <x:c r="Y1429" t="str">
        <x:v>ENH-20260830-01</x:v>
      </x:c>
      <x:c r="Z1429" t="str">
        <x:v>Active</x:v>
      </x:c>
      <x:c r="AA1429"/>
      <x:c r="AB1429"/>
      <x:c r="AC1429"/>
      <x:c r="AD1429"/>
    </x:row>
    <x:row r="1430">
      <x:c r="A1430" t="str">
        <x:v>PCC-PE-KG01-L23-20251024-AM-ORD-2025-00093-S08-C1</x:v>
      </x:c>
      <x:c r="B1430" t="str">
        <x:v>PC-PE-KG01-L23-20251024-AM-ORD-2025-00093-S08</x:v>
      </x:c>
      <x:c r="C1430" t="str">
        <x:v>PE-KG01-L23-20251024-AM-ORD-2025-00093</x:v>
      </x:c>
      <x:c r="D1430" t="str">
        <x:v>KG01</x:v>
      </x:c>
      <x:c r="E1430" s="62" t="n">
        <x:v>45954</x:v>
      </x:c>
      <x:c r="F1430" t="str">
        <x:v>AM</x:v>
      </x:c>
      <x:c r="G1430" t="str">
        <x:v>A</x:v>
      </x:c>
      <x:c r="H1430" t="n">
        <x:v>23</x:v>
      </x:c>
      <x:c r="I1430" t="str">
        <x:v>ORD-2025-00093</x:v>
      </x:c>
      <x:c r="J1430" t="n">
        <x:v>8</x:v>
      </x:c>
      <x:c r="K1430" t="n">
        <x:v>1</x:v>
      </x:c>
      <x:c r="L1430" t="str">
        <x:v>L23-S08-C1</x:v>
      </x:c>
      <x:c r="M1430" t="n">
        <x:v>1</x:v>
      </x:c>
      <x:c r="N1430" t="str">
        <x:v>DerivedFromCount</x:v>
      </x:c>
      <x:c r="O1430" t="str">
        <x:v>PLC-PRD-JAR-720-L23</x:v>
      </x:c>
      <x:c r="P1430" t="str">
        <x:v>OK</x:v>
      </x:c>
      <x:c r="Q1430" t="str">
        <x:v>OK</x:v>
      </x:c>
      <x:c r="R1430" t="str">
        <x:v>OK</x:v>
      </x:c>
      <x:c r="S1430" t="str">
        <x:v>OK</x:v>
      </x:c>
      <x:c r="T1430" t="n">
        <x:v>24</x:v>
      </x:c>
      <x:c r="U1430" t="str">
        <x:v>OK</x:v>
      </x:c>
      <x:c r="V1430" t="str">
        <x:v>OK</x:v>
      </x:c>
      <x:c r="W1430" t="str">
        <x:v>LOAD</x:v>
      </x:c>
      <x:c r="X1430" t="str">
        <x:v>02_Supervisor_Log(4).xlsx</x:v>
      </x:c>
      <x:c r="Y1430" t="str">
        <x:v>ENH-20260830-01</x:v>
      </x:c>
      <x:c r="Z1430" t="str">
        <x:v>Active</x:v>
      </x:c>
      <x:c r="AA1430"/>
      <x:c r="AB1430"/>
      <x:c r="AC1430"/>
      <x:c r="AD1430"/>
    </x:row>
    <x:row r="1431">
      <x:c r="A1431" t="str">
        <x:v>PCC-PE-KG01-L23-20251024-AM-ORD-2025-00093-S08-C2</x:v>
      </x:c>
      <x:c r="B1431" t="str">
        <x:v>PC-PE-KG01-L23-20251024-AM-ORD-2025-00093-S08</x:v>
      </x:c>
      <x:c r="C1431" t="str">
        <x:v>PE-KG01-L23-20251024-AM-ORD-2025-00093</x:v>
      </x:c>
      <x:c r="D1431" t="str">
        <x:v>KG01</x:v>
      </x:c>
      <x:c r="E1431" s="62" t="n">
        <x:v>45954</x:v>
      </x:c>
      <x:c r="F1431" t="str">
        <x:v>AM</x:v>
      </x:c>
      <x:c r="G1431" t="str">
        <x:v>A</x:v>
      </x:c>
      <x:c r="H1431" t="n">
        <x:v>23</x:v>
      </x:c>
      <x:c r="I1431" t="str">
        <x:v>ORD-2025-00093</x:v>
      </x:c>
      <x:c r="J1431" t="n">
        <x:v>8</x:v>
      </x:c>
      <x:c r="K1431" t="n">
        <x:v>2</x:v>
      </x:c>
      <x:c r="L1431" t="str">
        <x:v>L23-S08-C2</x:v>
      </x:c>
      <x:c r="M1431" t="n">
        <x:v>1</x:v>
      </x:c>
      <x:c r="N1431" t="str">
        <x:v>DerivedFromCount</x:v>
      </x:c>
      <x:c r="O1431" t="str">
        <x:v>PLC-PRD-JAR-720-L23</x:v>
      </x:c>
      <x:c r="P1431" t="str">
        <x:v>OK</x:v>
      </x:c>
      <x:c r="Q1431" t="str">
        <x:v>OK</x:v>
      </x:c>
      <x:c r="R1431" t="str">
        <x:v>OK</x:v>
      </x:c>
      <x:c r="S1431" t="str">
        <x:v>OK</x:v>
      </x:c>
      <x:c r="T1431" t="n">
        <x:v>24</x:v>
      </x:c>
      <x:c r="U1431" t="str">
        <x:v>OK</x:v>
      </x:c>
      <x:c r="V1431" t="str">
        <x:v>OK</x:v>
      </x:c>
      <x:c r="W1431" t="str">
        <x:v>LOAD</x:v>
      </x:c>
      <x:c r="X1431" t="str">
        <x:v>02_Supervisor_Log(4).xlsx</x:v>
      </x:c>
      <x:c r="Y1431" t="str">
        <x:v>ENH-20260830-01</x:v>
      </x:c>
      <x:c r="Z1431" t="str">
        <x:v>Active</x:v>
      </x:c>
      <x:c r="AA1431"/>
      <x:c r="AB1431"/>
      <x:c r="AC1431"/>
      <x:c r="AD1431"/>
    </x:row>
    <x:row r="1432">
      <x:c r="A1432" t="str">
        <x:v>PCC-PE-KG01-L23-20251024-AM-ORD-2025-00093-S08-C3</x:v>
      </x:c>
      <x:c r="B1432" t="str">
        <x:v>PC-PE-KG01-L23-20251024-AM-ORD-2025-00093-S08</x:v>
      </x:c>
      <x:c r="C1432" t="str">
        <x:v>PE-KG01-L23-20251024-AM-ORD-2025-00093</x:v>
      </x:c>
      <x:c r="D1432" t="str">
        <x:v>KG01</x:v>
      </x:c>
      <x:c r="E1432" s="62" t="n">
        <x:v>45954</x:v>
      </x:c>
      <x:c r="F1432" t="str">
        <x:v>AM</x:v>
      </x:c>
      <x:c r="G1432" t="str">
        <x:v>A</x:v>
      </x:c>
      <x:c r="H1432" t="n">
        <x:v>23</x:v>
      </x:c>
      <x:c r="I1432" t="str">
        <x:v>ORD-2025-00093</x:v>
      </x:c>
      <x:c r="J1432" t="n">
        <x:v>8</x:v>
      </x:c>
      <x:c r="K1432" t="n">
        <x:v>3</x:v>
      </x:c>
      <x:c r="L1432" t="str">
        <x:v>L23-S08-C3</x:v>
      </x:c>
      <x:c r="M1432" t="n">
        <x:v>0</x:v>
      </x:c>
      <x:c r="N1432" t="str">
        <x:v>DerivedFromCount</x:v>
      </x:c>
      <x:c r="O1432" t="str">
        <x:v>PLC-PRD-JAR-720-L23</x:v>
      </x:c>
      <x:c r="P1432" t="str">
        <x:v>OK</x:v>
      </x:c>
      <x:c r="Q1432" t="str">
        <x:v>OK</x:v>
      </x:c>
      <x:c r="R1432" t="str">
        <x:v>OK</x:v>
      </x:c>
      <x:c r="S1432" t="str">
        <x:v>OK</x:v>
      </x:c>
      <x:c r="T1432" t="n">
        <x:v>24</x:v>
      </x:c>
      <x:c r="U1432" t="str">
        <x:v>OK</x:v>
      </x:c>
      <x:c r="V1432" t="str">
        <x:v>OK</x:v>
      </x:c>
      <x:c r="W1432" t="str">
        <x:v>LOAD</x:v>
      </x:c>
      <x:c r="X1432" t="str">
        <x:v>02_Supervisor_Log(4).xlsx</x:v>
      </x:c>
      <x:c r="Y1432" t="str">
        <x:v>ENH-20260830-01</x:v>
      </x:c>
      <x:c r="Z1432" t="str">
        <x:v>Active</x:v>
      </x:c>
      <x:c r="AA1432"/>
      <x:c r="AB1432"/>
      <x:c r="AC1432"/>
      <x:c r="AD1432"/>
    </x:row>
    <x:row r="1433">
      <x:c r="A1433" t="str">
        <x:v>PCC-PE-KG01-L23-20251024-AM-ORD-2025-00093-S09-C1</x:v>
      </x:c>
      <x:c r="B1433" t="str">
        <x:v>PC-PE-KG01-L23-20251024-AM-ORD-2025-00093-S09</x:v>
      </x:c>
      <x:c r="C1433" t="str">
        <x:v>PE-KG01-L23-20251024-AM-ORD-2025-00093</x:v>
      </x:c>
      <x:c r="D1433" t="str">
        <x:v>KG01</x:v>
      </x:c>
      <x:c r="E1433" s="62" t="n">
        <x:v>45954</x:v>
      </x:c>
      <x:c r="F1433" t="str">
        <x:v>AM</x:v>
      </x:c>
      <x:c r="G1433" t="str">
        <x:v>A</x:v>
      </x:c>
      <x:c r="H1433" t="n">
        <x:v>23</x:v>
      </x:c>
      <x:c r="I1433" t="str">
        <x:v>ORD-2025-00093</x:v>
      </x:c>
      <x:c r="J1433" t="n">
        <x:v>9</x:v>
      </x:c>
      <x:c r="K1433" t="n">
        <x:v>1</x:v>
      </x:c>
      <x:c r="L1433" t="str">
        <x:v>L23-S09-C1</x:v>
      </x:c>
      <x:c r="M1433" t="n">
        <x:v>1</x:v>
      </x:c>
      <x:c r="N1433" t="str">
        <x:v>DerivedFromCount</x:v>
      </x:c>
      <x:c r="O1433" t="str">
        <x:v>PLC-PRD-JAR-720-L23</x:v>
      </x:c>
      <x:c r="P1433" t="str">
        <x:v>OK</x:v>
      </x:c>
      <x:c r="Q1433" t="str">
        <x:v>OK</x:v>
      </x:c>
      <x:c r="R1433" t="str">
        <x:v>OK</x:v>
      </x:c>
      <x:c r="S1433" t="str">
        <x:v>OK</x:v>
      </x:c>
      <x:c r="T1433" t="n">
        <x:v>24</x:v>
      </x:c>
      <x:c r="U1433" t="str">
        <x:v>OK</x:v>
      </x:c>
      <x:c r="V1433" t="str">
        <x:v>OK</x:v>
      </x:c>
      <x:c r="W1433" t="str">
        <x:v>LOAD</x:v>
      </x:c>
      <x:c r="X1433" t="str">
        <x:v>02_Supervisor_Log(4).xlsx</x:v>
      </x:c>
      <x:c r="Y1433" t="str">
        <x:v>ENH-20260830-01</x:v>
      </x:c>
      <x:c r="Z1433" t="str">
        <x:v>Active</x:v>
      </x:c>
      <x:c r="AA1433"/>
      <x:c r="AB1433"/>
      <x:c r="AC1433"/>
      <x:c r="AD1433"/>
    </x:row>
    <x:row r="1434">
      <x:c r="A1434" t="str">
        <x:v>PCC-PE-KG01-L23-20251024-AM-ORD-2025-00093-S09-C2</x:v>
      </x:c>
      <x:c r="B1434" t="str">
        <x:v>PC-PE-KG01-L23-20251024-AM-ORD-2025-00093-S09</x:v>
      </x:c>
      <x:c r="C1434" t="str">
        <x:v>PE-KG01-L23-20251024-AM-ORD-2025-00093</x:v>
      </x:c>
      <x:c r="D1434" t="str">
        <x:v>KG01</x:v>
      </x:c>
      <x:c r="E1434" s="62" t="n">
        <x:v>45954</x:v>
      </x:c>
      <x:c r="F1434" t="str">
        <x:v>AM</x:v>
      </x:c>
      <x:c r="G1434" t="str">
        <x:v>A</x:v>
      </x:c>
      <x:c r="H1434" t="n">
        <x:v>23</x:v>
      </x:c>
      <x:c r="I1434" t="str">
        <x:v>ORD-2025-00093</x:v>
      </x:c>
      <x:c r="J1434" t="n">
        <x:v>9</x:v>
      </x:c>
      <x:c r="K1434" t="n">
        <x:v>2</x:v>
      </x:c>
      <x:c r="L1434" t="str">
        <x:v>L23-S09-C2</x:v>
      </x:c>
      <x:c r="M1434" t="n">
        <x:v>1</x:v>
      </x:c>
      <x:c r="N1434" t="str">
        <x:v>DerivedFromCount</x:v>
      </x:c>
      <x:c r="O1434" t="str">
        <x:v>PLC-PRD-JAR-720-L23</x:v>
      </x:c>
      <x:c r="P1434" t="str">
        <x:v>OK</x:v>
      </x:c>
      <x:c r="Q1434" t="str">
        <x:v>OK</x:v>
      </x:c>
      <x:c r="R1434" t="str">
        <x:v>OK</x:v>
      </x:c>
      <x:c r="S1434" t="str">
        <x:v>OK</x:v>
      </x:c>
      <x:c r="T1434" t="n">
        <x:v>24</x:v>
      </x:c>
      <x:c r="U1434" t="str">
        <x:v>OK</x:v>
      </x:c>
      <x:c r="V1434" t="str">
        <x:v>OK</x:v>
      </x:c>
      <x:c r="W1434" t="str">
        <x:v>LOAD</x:v>
      </x:c>
      <x:c r="X1434" t="str">
        <x:v>02_Supervisor_Log(4).xlsx</x:v>
      </x:c>
      <x:c r="Y1434" t="str">
        <x:v>ENH-20260830-01</x:v>
      </x:c>
      <x:c r="Z1434" t="str">
        <x:v>Active</x:v>
      </x:c>
      <x:c r="AA1434"/>
      <x:c r="AB1434"/>
      <x:c r="AC1434"/>
      <x:c r="AD1434"/>
    </x:row>
    <x:row r="1435">
      <x:c r="A1435" t="str">
        <x:v>PCC-PE-KG01-L23-20251024-AM-ORD-2025-00093-S09-C3</x:v>
      </x:c>
      <x:c r="B1435" t="str">
        <x:v>PC-PE-KG01-L23-20251024-AM-ORD-2025-00093-S09</x:v>
      </x:c>
      <x:c r="C1435" t="str">
        <x:v>PE-KG01-L23-20251024-AM-ORD-2025-00093</x:v>
      </x:c>
      <x:c r="D1435" t="str">
        <x:v>KG01</x:v>
      </x:c>
      <x:c r="E1435" s="62" t="n">
        <x:v>45954</x:v>
      </x:c>
      <x:c r="F1435" t="str">
        <x:v>AM</x:v>
      </x:c>
      <x:c r="G1435" t="str">
        <x:v>A</x:v>
      </x:c>
      <x:c r="H1435" t="n">
        <x:v>23</x:v>
      </x:c>
      <x:c r="I1435" t="str">
        <x:v>ORD-2025-00093</x:v>
      </x:c>
      <x:c r="J1435" t="n">
        <x:v>9</x:v>
      </x:c>
      <x:c r="K1435" t="n">
        <x:v>3</x:v>
      </x:c>
      <x:c r="L1435" t="str">
        <x:v>L23-S09-C3</x:v>
      </x:c>
      <x:c r="M1435" t="n">
        <x:v>0</x:v>
      </x:c>
      <x:c r="N1435" t="str">
        <x:v>DerivedFromCount</x:v>
      </x:c>
      <x:c r="O1435" t="str">
        <x:v>PLC-PRD-JAR-720-L23</x:v>
      </x:c>
      <x:c r="P1435" t="str">
        <x:v>OK</x:v>
      </x:c>
      <x:c r="Q1435" t="str">
        <x:v>OK</x:v>
      </x:c>
      <x:c r="R1435" t="str">
        <x:v>OK</x:v>
      </x:c>
      <x:c r="S1435" t="str">
        <x:v>OK</x:v>
      </x:c>
      <x:c r="T1435" t="n">
        <x:v>24</x:v>
      </x:c>
      <x:c r="U1435" t="str">
        <x:v>OK</x:v>
      </x:c>
      <x:c r="V1435" t="str">
        <x:v>OK</x:v>
      </x:c>
      <x:c r="W1435" t="str">
        <x:v>LOAD</x:v>
      </x:c>
      <x:c r="X1435" t="str">
        <x:v>02_Supervisor_Log(4).xlsx</x:v>
      </x:c>
      <x:c r="Y1435" t="str">
        <x:v>ENH-20260830-01</x:v>
      </x:c>
      <x:c r="Z1435" t="str">
        <x:v>Active</x:v>
      </x:c>
      <x:c r="AA1435"/>
      <x:c r="AB1435"/>
      <x:c r="AC1435"/>
      <x:c r="AD1435"/>
    </x:row>
    <x:row r="1436">
      <x:c r="A1436" t="str">
        <x:v>PCC-PE-KG01-L23-20251024-AM-ORD-2025-00093-S10-C1</x:v>
      </x:c>
      <x:c r="B1436" t="str">
        <x:v>PC-PE-KG01-L23-20251024-AM-ORD-2025-00093-S10</x:v>
      </x:c>
      <x:c r="C1436" t="str">
        <x:v>PE-KG01-L23-20251024-AM-ORD-2025-00093</x:v>
      </x:c>
      <x:c r="D1436" t="str">
        <x:v>KG01</x:v>
      </x:c>
      <x:c r="E1436" s="62" t="n">
        <x:v>45954</x:v>
      </x:c>
      <x:c r="F1436" t="str">
        <x:v>AM</x:v>
      </x:c>
      <x:c r="G1436" t="str">
        <x:v>A</x:v>
      </x:c>
      <x:c r="H1436" t="n">
        <x:v>23</x:v>
      </x:c>
      <x:c r="I1436" t="str">
        <x:v>ORD-2025-00093</x:v>
      </x:c>
      <x:c r="J1436" t="n">
        <x:v>10</x:v>
      </x:c>
      <x:c r="K1436" t="n">
        <x:v>1</x:v>
      </x:c>
      <x:c r="L1436" t="str">
        <x:v>L23-S10-C1</x:v>
      </x:c>
      <x:c r="M1436" t="n">
        <x:v>1</x:v>
      </x:c>
      <x:c r="N1436" t="str">
        <x:v>DerivedFromCount</x:v>
      </x:c>
      <x:c r="O1436" t="str">
        <x:v>PLC-PRD-JAR-720-L23</x:v>
      </x:c>
      <x:c r="P1436" t="str">
        <x:v>OK</x:v>
      </x:c>
      <x:c r="Q1436" t="str">
        <x:v>OK</x:v>
      </x:c>
      <x:c r="R1436" t="str">
        <x:v>OK</x:v>
      </x:c>
      <x:c r="S1436" t="str">
        <x:v>OK</x:v>
      </x:c>
      <x:c r="T1436" t="n">
        <x:v>24</x:v>
      </x:c>
      <x:c r="U1436" t="str">
        <x:v>OK</x:v>
      </x:c>
      <x:c r="V1436" t="str">
        <x:v>OK</x:v>
      </x:c>
      <x:c r="W1436" t="str">
        <x:v>LOAD</x:v>
      </x:c>
      <x:c r="X1436" t="str">
        <x:v>02_Supervisor_Log(4).xlsx</x:v>
      </x:c>
      <x:c r="Y1436" t="str">
        <x:v>ENH-20260830-01</x:v>
      </x:c>
      <x:c r="Z1436" t="str">
        <x:v>Active</x:v>
      </x:c>
      <x:c r="AA1436"/>
      <x:c r="AB1436"/>
      <x:c r="AC1436"/>
      <x:c r="AD1436"/>
    </x:row>
    <x:row r="1437">
      <x:c r="A1437" t="str">
        <x:v>PCC-PE-KG01-L23-20251024-AM-ORD-2025-00093-S10-C2</x:v>
      </x:c>
      <x:c r="B1437" t="str">
        <x:v>PC-PE-KG01-L23-20251024-AM-ORD-2025-00093-S10</x:v>
      </x:c>
      <x:c r="C1437" t="str">
        <x:v>PE-KG01-L23-20251024-AM-ORD-2025-00093</x:v>
      </x:c>
      <x:c r="D1437" t="str">
        <x:v>KG01</x:v>
      </x:c>
      <x:c r="E1437" s="62" t="n">
        <x:v>45954</x:v>
      </x:c>
      <x:c r="F1437" t="str">
        <x:v>AM</x:v>
      </x:c>
      <x:c r="G1437" t="str">
        <x:v>A</x:v>
      </x:c>
      <x:c r="H1437" t="n">
        <x:v>23</x:v>
      </x:c>
      <x:c r="I1437" t="str">
        <x:v>ORD-2025-00093</x:v>
      </x:c>
      <x:c r="J1437" t="n">
        <x:v>10</x:v>
      </x:c>
      <x:c r="K1437" t="n">
        <x:v>2</x:v>
      </x:c>
      <x:c r="L1437" t="str">
        <x:v>L23-S10-C2</x:v>
      </x:c>
      <x:c r="M1437" t="n">
        <x:v>1</x:v>
      </x:c>
      <x:c r="N1437" t="str">
        <x:v>DerivedFromCount</x:v>
      </x:c>
      <x:c r="O1437" t="str">
        <x:v>PLC-PRD-JAR-720-L23</x:v>
      </x:c>
      <x:c r="P1437" t="str">
        <x:v>OK</x:v>
      </x:c>
      <x:c r="Q1437" t="str">
        <x:v>OK</x:v>
      </x:c>
      <x:c r="R1437" t="str">
        <x:v>OK</x:v>
      </x:c>
      <x:c r="S1437" t="str">
        <x:v>OK</x:v>
      </x:c>
      <x:c r="T1437" t="n">
        <x:v>24</x:v>
      </x:c>
      <x:c r="U1437" t="str">
        <x:v>OK</x:v>
      </x:c>
      <x:c r="V1437" t="str">
        <x:v>OK</x:v>
      </x:c>
      <x:c r="W1437" t="str">
        <x:v>LOAD</x:v>
      </x:c>
      <x:c r="X1437" t="str">
        <x:v>02_Supervisor_Log(4).xlsx</x:v>
      </x:c>
      <x:c r="Y1437" t="str">
        <x:v>ENH-20260830-01</x:v>
      </x:c>
      <x:c r="Z1437" t="str">
        <x:v>Active</x:v>
      </x:c>
      <x:c r="AA1437"/>
      <x:c r="AB1437"/>
      <x:c r="AC1437"/>
      <x:c r="AD1437"/>
    </x:row>
    <x:row r="1438">
      <x:c r="A1438" t="str">
        <x:v>PCC-PE-KG01-L23-20251024-AM-ORD-2025-00093-S10-C3</x:v>
      </x:c>
      <x:c r="B1438" t="str">
        <x:v>PC-PE-KG01-L23-20251024-AM-ORD-2025-00093-S10</x:v>
      </x:c>
      <x:c r="C1438" t="str">
        <x:v>PE-KG01-L23-20251024-AM-ORD-2025-00093</x:v>
      </x:c>
      <x:c r="D1438" t="str">
        <x:v>KG01</x:v>
      </x:c>
      <x:c r="E1438" s="62" t="n">
        <x:v>45954</x:v>
      </x:c>
      <x:c r="F1438" t="str">
        <x:v>AM</x:v>
      </x:c>
      <x:c r="G1438" t="str">
        <x:v>A</x:v>
      </x:c>
      <x:c r="H1438" t="n">
        <x:v>23</x:v>
      </x:c>
      <x:c r="I1438" t="str">
        <x:v>ORD-2025-00093</x:v>
      </x:c>
      <x:c r="J1438" t="n">
        <x:v>10</x:v>
      </x:c>
      <x:c r="K1438" t="n">
        <x:v>3</x:v>
      </x:c>
      <x:c r="L1438" t="str">
        <x:v>L23-S10-C3</x:v>
      </x:c>
      <x:c r="M1438" t="n">
        <x:v>0</x:v>
      </x:c>
      <x:c r="N1438" t="str">
        <x:v>DerivedFromCount</x:v>
      </x:c>
      <x:c r="O1438" t="str">
        <x:v>PLC-PRD-JAR-720-L23</x:v>
      </x:c>
      <x:c r="P1438" t="str">
        <x:v>OK</x:v>
      </x:c>
      <x:c r="Q1438" t="str">
        <x:v>OK</x:v>
      </x:c>
      <x:c r="R1438" t="str">
        <x:v>OK</x:v>
      </x:c>
      <x:c r="S1438" t="str">
        <x:v>OK</x:v>
      </x:c>
      <x:c r="T1438" t="n">
        <x:v>24</x:v>
      </x:c>
      <x:c r="U1438" t="str">
        <x:v>OK</x:v>
      </x:c>
      <x:c r="V1438" t="str">
        <x:v>OK</x:v>
      </x:c>
      <x:c r="W1438" t="str">
        <x:v>LOAD</x:v>
      </x:c>
      <x:c r="X1438" t="str">
        <x:v>02_Supervisor_Log(4).xlsx</x:v>
      </x:c>
      <x:c r="Y1438" t="str">
        <x:v>ENH-20260830-01</x:v>
      </x:c>
      <x:c r="Z1438" t="str">
        <x:v>Active</x:v>
      </x:c>
      <x:c r="AA1438"/>
      <x:c r="AB1438"/>
      <x:c r="AC1438"/>
      <x:c r="AD1438"/>
    </x:row>
    <x:row r="1439">
      <x:c r="A1439" t="str">
        <x:v>PCC-PE-KG01-L23-20251024-AM-ORD-2025-00093-S11-C1</x:v>
      </x:c>
      <x:c r="B1439" t="str">
        <x:v>PC-PE-KG01-L23-20251024-AM-ORD-2025-00093-S11</x:v>
      </x:c>
      <x:c r="C1439" t="str">
        <x:v>PE-KG01-L23-20251024-AM-ORD-2025-00093</x:v>
      </x:c>
      <x:c r="D1439" t="str">
        <x:v>KG01</x:v>
      </x:c>
      <x:c r="E1439" s="62" t="n">
        <x:v>45954</x:v>
      </x:c>
      <x:c r="F1439" t="str">
        <x:v>AM</x:v>
      </x:c>
      <x:c r="G1439" t="str">
        <x:v>A</x:v>
      </x:c>
      <x:c r="H1439" t="n">
        <x:v>23</x:v>
      </x:c>
      <x:c r="I1439" t="str">
        <x:v>ORD-2025-00093</x:v>
      </x:c>
      <x:c r="J1439" t="n">
        <x:v>11</x:v>
      </x:c>
      <x:c r="K1439" t="n">
        <x:v>1</x:v>
      </x:c>
      <x:c r="L1439" t="str">
        <x:v>L23-S11-C1</x:v>
      </x:c>
      <x:c r="M1439" t="n">
        <x:v>1</x:v>
      </x:c>
      <x:c r="N1439" t="str">
        <x:v>DerivedFromCount</x:v>
      </x:c>
      <x:c r="O1439" t="str">
        <x:v>PLC-PRD-JAR-720-L23</x:v>
      </x:c>
      <x:c r="P1439" t="str">
        <x:v>OK</x:v>
      </x:c>
      <x:c r="Q1439" t="str">
        <x:v>OK</x:v>
      </x:c>
      <x:c r="R1439" t="str">
        <x:v>OK</x:v>
      </x:c>
      <x:c r="S1439" t="str">
        <x:v>OK</x:v>
      </x:c>
      <x:c r="T1439" t="n">
        <x:v>24</x:v>
      </x:c>
      <x:c r="U1439" t="str">
        <x:v>OK</x:v>
      </x:c>
      <x:c r="V1439" t="str">
        <x:v>OK</x:v>
      </x:c>
      <x:c r="W1439" t="str">
        <x:v>LOAD</x:v>
      </x:c>
      <x:c r="X1439" t="str">
        <x:v>02_Supervisor_Log(4).xlsx</x:v>
      </x:c>
      <x:c r="Y1439" t="str">
        <x:v>ENH-20260830-01</x:v>
      </x:c>
      <x:c r="Z1439" t="str">
        <x:v>Active</x:v>
      </x:c>
      <x:c r="AA1439"/>
      <x:c r="AB1439"/>
      <x:c r="AC1439"/>
      <x:c r="AD1439"/>
    </x:row>
    <x:row r="1440">
      <x:c r="A1440" t="str">
        <x:v>PCC-PE-KG01-L23-20251024-AM-ORD-2025-00093-S11-C2</x:v>
      </x:c>
      <x:c r="B1440" t="str">
        <x:v>PC-PE-KG01-L23-20251024-AM-ORD-2025-00093-S11</x:v>
      </x:c>
      <x:c r="C1440" t="str">
        <x:v>PE-KG01-L23-20251024-AM-ORD-2025-00093</x:v>
      </x:c>
      <x:c r="D1440" t="str">
        <x:v>KG01</x:v>
      </x:c>
      <x:c r="E1440" s="62" t="n">
        <x:v>45954</x:v>
      </x:c>
      <x:c r="F1440" t="str">
        <x:v>AM</x:v>
      </x:c>
      <x:c r="G1440" t="str">
        <x:v>A</x:v>
      </x:c>
      <x:c r="H1440" t="n">
        <x:v>23</x:v>
      </x:c>
      <x:c r="I1440" t="str">
        <x:v>ORD-2025-00093</x:v>
      </x:c>
      <x:c r="J1440" t="n">
        <x:v>11</x:v>
      </x:c>
      <x:c r="K1440" t="n">
        <x:v>2</x:v>
      </x:c>
      <x:c r="L1440" t="str">
        <x:v>L23-S11-C2</x:v>
      </x:c>
      <x:c r="M1440" t="n">
        <x:v>1</x:v>
      </x:c>
      <x:c r="N1440" t="str">
        <x:v>DerivedFromCount</x:v>
      </x:c>
      <x:c r="O1440" t="str">
        <x:v>PLC-PRD-JAR-720-L23</x:v>
      </x:c>
      <x:c r="P1440" t="str">
        <x:v>OK</x:v>
      </x:c>
      <x:c r="Q1440" t="str">
        <x:v>OK</x:v>
      </x:c>
      <x:c r="R1440" t="str">
        <x:v>OK</x:v>
      </x:c>
      <x:c r="S1440" t="str">
        <x:v>OK</x:v>
      </x:c>
      <x:c r="T1440" t="n">
        <x:v>24</x:v>
      </x:c>
      <x:c r="U1440" t="str">
        <x:v>OK</x:v>
      </x:c>
      <x:c r="V1440" t="str">
        <x:v>OK</x:v>
      </x:c>
      <x:c r="W1440" t="str">
        <x:v>LOAD</x:v>
      </x:c>
      <x:c r="X1440" t="str">
        <x:v>02_Supervisor_Log(4).xlsx</x:v>
      </x:c>
      <x:c r="Y1440" t="str">
        <x:v>ENH-20260830-01</x:v>
      </x:c>
      <x:c r="Z1440" t="str">
        <x:v>Active</x:v>
      </x:c>
      <x:c r="AA1440"/>
      <x:c r="AB1440"/>
      <x:c r="AC1440"/>
      <x:c r="AD1440"/>
    </x:row>
    <x:row r="1441">
      <x:c r="A1441" t="str">
        <x:v>PCC-PE-KG01-L23-20251024-AM-ORD-2025-00093-S11-C3</x:v>
      </x:c>
      <x:c r="B1441" t="str">
        <x:v>PC-PE-KG01-L23-20251024-AM-ORD-2025-00093-S11</x:v>
      </x:c>
      <x:c r="C1441" t="str">
        <x:v>PE-KG01-L23-20251024-AM-ORD-2025-00093</x:v>
      </x:c>
      <x:c r="D1441" t="str">
        <x:v>KG01</x:v>
      </x:c>
      <x:c r="E1441" s="62" t="n">
        <x:v>45954</x:v>
      </x:c>
      <x:c r="F1441" t="str">
        <x:v>AM</x:v>
      </x:c>
      <x:c r="G1441" t="str">
        <x:v>A</x:v>
      </x:c>
      <x:c r="H1441" t="n">
        <x:v>23</x:v>
      </x:c>
      <x:c r="I1441" t="str">
        <x:v>ORD-2025-00093</x:v>
      </x:c>
      <x:c r="J1441" t="n">
        <x:v>11</x:v>
      </x:c>
      <x:c r="K1441" t="n">
        <x:v>3</x:v>
      </x:c>
      <x:c r="L1441" t="str">
        <x:v>L23-S11-C3</x:v>
      </x:c>
      <x:c r="M1441" t="n">
        <x:v>0</x:v>
      </x:c>
      <x:c r="N1441" t="str">
        <x:v>DerivedFromCount</x:v>
      </x:c>
      <x:c r="O1441" t="str">
        <x:v>PLC-PRD-JAR-720-L23</x:v>
      </x:c>
      <x:c r="P1441" t="str">
        <x:v>OK</x:v>
      </x:c>
      <x:c r="Q1441" t="str">
        <x:v>OK</x:v>
      </x:c>
      <x:c r="R1441" t="str">
        <x:v>OK</x:v>
      </x:c>
      <x:c r="S1441" t="str">
        <x:v>OK</x:v>
      </x:c>
      <x:c r="T1441" t="n">
        <x:v>24</x:v>
      </x:c>
      <x:c r="U1441" t="str">
        <x:v>OK</x:v>
      </x:c>
      <x:c r="V1441" t="str">
        <x:v>OK</x:v>
      </x:c>
      <x:c r="W1441" t="str">
        <x:v>LOAD</x:v>
      </x:c>
      <x:c r="X1441" t="str">
        <x:v>02_Supervisor_Log(4).xlsx</x:v>
      </x:c>
      <x:c r="Y1441" t="str">
        <x:v>ENH-20260830-01</x:v>
      </x:c>
      <x:c r="Z1441" t="str">
        <x:v>Active</x:v>
      </x:c>
      <x:c r="AA1441"/>
      <x:c r="AB1441"/>
      <x:c r="AC1441"/>
      <x:c r="AD1441"/>
    </x:row>
    <x:row r="1442">
      <x:c r="A1442" t="str">
        <x:v>PCC-PE-KG01-L23-20251024-AM-ORD-2025-00093-S12-C1</x:v>
      </x:c>
      <x:c r="B1442" t="str">
        <x:v>PC-PE-KG01-L23-20251024-AM-ORD-2025-00093-S12</x:v>
      </x:c>
      <x:c r="C1442" t="str">
        <x:v>PE-KG01-L23-20251024-AM-ORD-2025-00093</x:v>
      </x:c>
      <x:c r="D1442" t="str">
        <x:v>KG01</x:v>
      </x:c>
      <x:c r="E1442" s="62" t="n">
        <x:v>45954</x:v>
      </x:c>
      <x:c r="F1442" t="str">
        <x:v>AM</x:v>
      </x:c>
      <x:c r="G1442" t="str">
        <x:v>A</x:v>
      </x:c>
      <x:c r="H1442" t="n">
        <x:v>23</x:v>
      </x:c>
      <x:c r="I1442" t="str">
        <x:v>ORD-2025-00093</x:v>
      </x:c>
      <x:c r="J1442" t="n">
        <x:v>12</x:v>
      </x:c>
      <x:c r="K1442" t="n">
        <x:v>1</x:v>
      </x:c>
      <x:c r="L1442" t="str">
        <x:v>L23-S12-C1</x:v>
      </x:c>
      <x:c r="M1442" t="n">
        <x:v>1</x:v>
      </x:c>
      <x:c r="N1442" t="str">
        <x:v>DerivedFromCount</x:v>
      </x:c>
      <x:c r="O1442" t="str">
        <x:v>PLC-PRD-JAR-720-L23</x:v>
      </x:c>
      <x:c r="P1442" t="str">
        <x:v>OK</x:v>
      </x:c>
      <x:c r="Q1442" t="str">
        <x:v>OK</x:v>
      </x:c>
      <x:c r="R1442" t="str">
        <x:v>OK</x:v>
      </x:c>
      <x:c r="S1442" t="str">
        <x:v>OK</x:v>
      </x:c>
      <x:c r="T1442" t="n">
        <x:v>24</x:v>
      </x:c>
      <x:c r="U1442" t="str">
        <x:v>OK</x:v>
      </x:c>
      <x:c r="V1442" t="str">
        <x:v>OK</x:v>
      </x:c>
      <x:c r="W1442" t="str">
        <x:v>LOAD</x:v>
      </x:c>
      <x:c r="X1442" t="str">
        <x:v>02_Supervisor_Log(4).xlsx</x:v>
      </x:c>
      <x:c r="Y1442" t="str">
        <x:v>ENH-20260830-01</x:v>
      </x:c>
      <x:c r="Z1442" t="str">
        <x:v>Active</x:v>
      </x:c>
      <x:c r="AA1442"/>
      <x:c r="AB1442"/>
      <x:c r="AC1442"/>
      <x:c r="AD1442"/>
    </x:row>
    <x:row r="1443">
      <x:c r="A1443" t="str">
        <x:v>PCC-PE-KG01-L23-20251024-AM-ORD-2025-00093-S12-C2</x:v>
      </x:c>
      <x:c r="B1443" t="str">
        <x:v>PC-PE-KG01-L23-20251024-AM-ORD-2025-00093-S12</x:v>
      </x:c>
      <x:c r="C1443" t="str">
        <x:v>PE-KG01-L23-20251024-AM-ORD-2025-00093</x:v>
      </x:c>
      <x:c r="D1443" t="str">
        <x:v>KG01</x:v>
      </x:c>
      <x:c r="E1443" s="62" t="n">
        <x:v>45954</x:v>
      </x:c>
      <x:c r="F1443" t="str">
        <x:v>AM</x:v>
      </x:c>
      <x:c r="G1443" t="str">
        <x:v>A</x:v>
      </x:c>
      <x:c r="H1443" t="n">
        <x:v>23</x:v>
      </x:c>
      <x:c r="I1443" t="str">
        <x:v>ORD-2025-00093</x:v>
      </x:c>
      <x:c r="J1443" t="n">
        <x:v>12</x:v>
      </x:c>
      <x:c r="K1443" t="n">
        <x:v>2</x:v>
      </x:c>
      <x:c r="L1443" t="str">
        <x:v>L23-S12-C2</x:v>
      </x:c>
      <x:c r="M1443" t="n">
        <x:v>1</x:v>
      </x:c>
      <x:c r="N1443" t="str">
        <x:v>DerivedFromCount</x:v>
      </x:c>
      <x:c r="O1443" t="str">
        <x:v>PLC-PRD-JAR-720-L23</x:v>
      </x:c>
      <x:c r="P1443" t="str">
        <x:v>OK</x:v>
      </x:c>
      <x:c r="Q1443" t="str">
        <x:v>OK</x:v>
      </x:c>
      <x:c r="R1443" t="str">
        <x:v>OK</x:v>
      </x:c>
      <x:c r="S1443" t="str">
        <x:v>OK</x:v>
      </x:c>
      <x:c r="T1443" t="n">
        <x:v>24</x:v>
      </x:c>
      <x:c r="U1443" t="str">
        <x:v>OK</x:v>
      </x:c>
      <x:c r="V1443" t="str">
        <x:v>OK</x:v>
      </x:c>
      <x:c r="W1443" t="str">
        <x:v>LOAD</x:v>
      </x:c>
      <x:c r="X1443" t="str">
        <x:v>02_Supervisor_Log(4).xlsx</x:v>
      </x:c>
      <x:c r="Y1443" t="str">
        <x:v>ENH-20260830-01</x:v>
      </x:c>
      <x:c r="Z1443" t="str">
        <x:v>Active</x:v>
      </x:c>
      <x:c r="AA1443"/>
      <x:c r="AB1443"/>
      <x:c r="AC1443"/>
      <x:c r="AD1443"/>
    </x:row>
    <x:row r="1444">
      <x:c r="A1444" t="str">
        <x:v>PCC-PE-KG01-L23-20251024-AM-ORD-2025-00093-S12-C3</x:v>
      </x:c>
      <x:c r="B1444" t="str">
        <x:v>PC-PE-KG01-L23-20251024-AM-ORD-2025-00093-S12</x:v>
      </x:c>
      <x:c r="C1444" t="str">
        <x:v>PE-KG01-L23-20251024-AM-ORD-2025-00093</x:v>
      </x:c>
      <x:c r="D1444" t="str">
        <x:v>KG01</x:v>
      </x:c>
      <x:c r="E1444" s="62" t="n">
        <x:v>45954</x:v>
      </x:c>
      <x:c r="F1444" t="str">
        <x:v>AM</x:v>
      </x:c>
      <x:c r="G1444" t="str">
        <x:v>A</x:v>
      </x:c>
      <x:c r="H1444" t="n">
        <x:v>23</x:v>
      </x:c>
      <x:c r="I1444" t="str">
        <x:v>ORD-2025-00093</x:v>
      </x:c>
      <x:c r="J1444" t="n">
        <x:v>12</x:v>
      </x:c>
      <x:c r="K1444" t="n">
        <x:v>3</x:v>
      </x:c>
      <x:c r="L1444" t="str">
        <x:v>L23-S12-C3</x:v>
      </x:c>
      <x:c r="M1444" t="n">
        <x:v>0</x:v>
      </x:c>
      <x:c r="N1444" t="str">
        <x:v>DerivedFromCount</x:v>
      </x:c>
      <x:c r="O1444" t="str">
        <x:v>PLC-PRD-JAR-720-L23</x:v>
      </x:c>
      <x:c r="P1444" t="str">
        <x:v>OK</x:v>
      </x:c>
      <x:c r="Q1444" t="str">
        <x:v>OK</x:v>
      </x:c>
      <x:c r="R1444" t="str">
        <x:v>OK</x:v>
      </x:c>
      <x:c r="S1444" t="str">
        <x:v>OK</x:v>
      </x:c>
      <x:c r="T1444" t="n">
        <x:v>24</x:v>
      </x:c>
      <x:c r="U1444" t="str">
        <x:v>OK</x:v>
      </x:c>
      <x:c r="V1444" t="str">
        <x:v>OK</x:v>
      </x:c>
      <x:c r="W1444" t="str">
        <x:v>LOAD</x:v>
      </x:c>
      <x:c r="X1444" t="str">
        <x:v>02_Supervisor_Log(4).xlsx</x:v>
      </x:c>
      <x:c r="Y1444" t="str">
        <x:v>ENH-20260830-01</x:v>
      </x:c>
      <x:c r="Z1444" t="str">
        <x:v>Active</x:v>
      </x:c>
      <x:c r="AA1444"/>
      <x:c r="AB1444"/>
      <x:c r="AC1444"/>
      <x:c r="AD1444"/>
    </x:row>
    <x:row r="1445">
      <x:c r="A1445" t="str">
        <x:v>PCC-PE-KG01-L23-20251024-AM-ORD-2025-00093-S13-C1</x:v>
      </x:c>
      <x:c r="B1445" t="str">
        <x:v>PC-PE-KG01-L23-20251024-AM-ORD-2025-00093-S13</x:v>
      </x:c>
      <x:c r="C1445" t="str">
        <x:v>PE-KG01-L23-20251024-AM-ORD-2025-00093</x:v>
      </x:c>
      <x:c r="D1445" t="str">
        <x:v>KG01</x:v>
      </x:c>
      <x:c r="E1445" s="62" t="n">
        <x:v>45954</x:v>
      </x:c>
      <x:c r="F1445" t="str">
        <x:v>AM</x:v>
      </x:c>
      <x:c r="G1445" t="str">
        <x:v>A</x:v>
      </x:c>
      <x:c r="H1445" t="n">
        <x:v>23</x:v>
      </x:c>
      <x:c r="I1445" t="str">
        <x:v>ORD-2025-00093</x:v>
      </x:c>
      <x:c r="J1445" t="n">
        <x:v>13</x:v>
      </x:c>
      <x:c r="K1445" t="n">
        <x:v>1</x:v>
      </x:c>
      <x:c r="L1445" t="str">
        <x:v>L23-S13-C1</x:v>
      </x:c>
      <x:c r="M1445" t="n">
        <x:v>0</x:v>
      </x:c>
      <x:c r="N1445" t="str">
        <x:v>DerivedFromCount</x:v>
      </x:c>
      <x:c r="O1445" t="str">
        <x:v>PLC-PRD-JAR-720-L23</x:v>
      </x:c>
      <x:c r="P1445" t="str">
        <x:v>OK</x:v>
      </x:c>
      <x:c r="Q1445" t="str">
        <x:v>OK</x:v>
      </x:c>
      <x:c r="R1445" t="str">
        <x:v>OK</x:v>
      </x:c>
      <x:c r="S1445" t="str">
        <x:v>OK</x:v>
      </x:c>
      <x:c r="T1445" t="n">
        <x:v>24</x:v>
      </x:c>
      <x:c r="U1445" t="str">
        <x:v>OK</x:v>
      </x:c>
      <x:c r="V1445" t="str">
        <x:v>OK</x:v>
      </x:c>
      <x:c r="W1445" t="str">
        <x:v>LOAD</x:v>
      </x:c>
      <x:c r="X1445" t="str">
        <x:v>02_Supervisor_Log(4).xlsx</x:v>
      </x:c>
      <x:c r="Y1445" t="str">
        <x:v>ENH-20260830-01</x:v>
      </x:c>
      <x:c r="Z1445" t="str">
        <x:v>Active</x:v>
      </x:c>
      <x:c r="AA1445"/>
      <x:c r="AB1445"/>
      <x:c r="AC1445"/>
      <x:c r="AD1445"/>
    </x:row>
    <x:row r="1446">
      <x:c r="A1446" t="str">
        <x:v>PCC-PE-KG01-L23-20251024-AM-ORD-2025-00093-S13-C2</x:v>
      </x:c>
      <x:c r="B1446" t="str">
        <x:v>PC-PE-KG01-L23-20251024-AM-ORD-2025-00093-S13</x:v>
      </x:c>
      <x:c r="C1446" t="str">
        <x:v>PE-KG01-L23-20251024-AM-ORD-2025-00093</x:v>
      </x:c>
      <x:c r="D1446" t="str">
        <x:v>KG01</x:v>
      </x:c>
      <x:c r="E1446" s="62" t="n">
        <x:v>45954</x:v>
      </x:c>
      <x:c r="F1446" t="str">
        <x:v>AM</x:v>
      </x:c>
      <x:c r="G1446" t="str">
        <x:v>A</x:v>
      </x:c>
      <x:c r="H1446" t="n">
        <x:v>23</x:v>
      </x:c>
      <x:c r="I1446" t="str">
        <x:v>ORD-2025-00093</x:v>
      </x:c>
      <x:c r="J1446" t="n">
        <x:v>13</x:v>
      </x:c>
      <x:c r="K1446" t="n">
        <x:v>2</x:v>
      </x:c>
      <x:c r="L1446" t="str">
        <x:v>L23-S13-C2</x:v>
      </x:c>
      <x:c r="M1446" t="n">
        <x:v>0</x:v>
      </x:c>
      <x:c r="N1446" t="str">
        <x:v>DerivedFromCount</x:v>
      </x:c>
      <x:c r="O1446" t="str">
        <x:v>PLC-PRD-JAR-720-L23</x:v>
      </x:c>
      <x:c r="P1446" t="str">
        <x:v>OK</x:v>
      </x:c>
      <x:c r="Q1446" t="str">
        <x:v>OK</x:v>
      </x:c>
      <x:c r="R1446" t="str">
        <x:v>OK</x:v>
      </x:c>
      <x:c r="S1446" t="str">
        <x:v>OK</x:v>
      </x:c>
      <x:c r="T1446" t="n">
        <x:v>24</x:v>
      </x:c>
      <x:c r="U1446" t="str">
        <x:v>OK</x:v>
      </x:c>
      <x:c r="V1446" t="str">
        <x:v>OK</x:v>
      </x:c>
      <x:c r="W1446" t="str">
        <x:v>LOAD</x:v>
      </x:c>
      <x:c r="X1446" t="str">
        <x:v>02_Supervisor_Log(4).xlsx</x:v>
      </x:c>
      <x:c r="Y1446" t="str">
        <x:v>ENH-20260830-01</x:v>
      </x:c>
      <x:c r="Z1446" t="str">
        <x:v>Active</x:v>
      </x:c>
      <x:c r="AA1446"/>
      <x:c r="AB1446"/>
      <x:c r="AC1446"/>
      <x:c r="AD1446"/>
    </x:row>
    <x:row r="1447">
      <x:c r="A1447" t="str">
        <x:v>PCC-PE-KG01-L23-20251024-AM-ORD-2025-00093-S13-C3</x:v>
      </x:c>
      <x:c r="B1447" t="str">
        <x:v>PC-PE-KG01-L23-20251024-AM-ORD-2025-00093-S13</x:v>
      </x:c>
      <x:c r="C1447" t="str">
        <x:v>PE-KG01-L23-20251024-AM-ORD-2025-00093</x:v>
      </x:c>
      <x:c r="D1447" t="str">
        <x:v>KG01</x:v>
      </x:c>
      <x:c r="E1447" s="62" t="n">
        <x:v>45954</x:v>
      </x:c>
      <x:c r="F1447" t="str">
        <x:v>AM</x:v>
      </x:c>
      <x:c r="G1447" t="str">
        <x:v>A</x:v>
      </x:c>
      <x:c r="H1447" t="n">
        <x:v>23</x:v>
      </x:c>
      <x:c r="I1447" t="str">
        <x:v>ORD-2025-00093</x:v>
      </x:c>
      <x:c r="J1447" t="n">
        <x:v>13</x:v>
      </x:c>
      <x:c r="K1447" t="n">
        <x:v>3</x:v>
      </x:c>
      <x:c r="L1447" t="str">
        <x:v>L23-S13-C3</x:v>
      </x:c>
      <x:c r="M1447" t="n">
        <x:v>0</x:v>
      </x:c>
      <x:c r="N1447" t="str">
        <x:v>DerivedFromCount</x:v>
      </x:c>
      <x:c r="O1447" t="str">
        <x:v>PLC-PRD-JAR-720-L23</x:v>
      </x:c>
      <x:c r="P1447" t="str">
        <x:v>OK</x:v>
      </x:c>
      <x:c r="Q1447" t="str">
        <x:v>OK</x:v>
      </x:c>
      <x:c r="R1447" t="str">
        <x:v>OK</x:v>
      </x:c>
      <x:c r="S1447" t="str">
        <x:v>OK</x:v>
      </x:c>
      <x:c r="T1447" t="n">
        <x:v>24</x:v>
      </x:c>
      <x:c r="U1447" t="str">
        <x:v>OK</x:v>
      </x:c>
      <x:c r="V1447" t="str">
        <x:v>OK</x:v>
      </x:c>
      <x:c r="W1447" t="str">
        <x:v>LOAD</x:v>
      </x:c>
      <x:c r="X1447" t="str">
        <x:v>02_Supervisor_Log(4).xlsx</x:v>
      </x:c>
      <x:c r="Y1447" t="str">
        <x:v>ENH-20260830-01</x:v>
      </x:c>
      <x:c r="Z1447" t="str">
        <x:v>Active</x:v>
      </x:c>
      <x:c r="AA1447"/>
      <x:c r="AB1447"/>
      <x:c r="AC1447"/>
      <x:c r="AD1447"/>
    </x:row>
    <x:row r="1448">
      <x:c r="A1448" t="str">
        <x:v>PCC-PE-KG01-L23-20251024-PM-ORD-2025-00093-S01-C1</x:v>
      </x:c>
      <x:c r="B1448" t="str">
        <x:v>PC-PE-KG01-L23-20251024-PM-ORD-2025-00093-S01</x:v>
      </x:c>
      <x:c r="C1448" t="str">
        <x:v>PE-KG01-L23-20251024-PM-ORD-2025-00093</x:v>
      </x:c>
      <x:c r="D1448" t="str">
        <x:v>KG01</x:v>
      </x:c>
      <x:c r="E1448" s="62" t="n">
        <x:v>45954</x:v>
      </x:c>
      <x:c r="F1448" t="str">
        <x:v>PM</x:v>
      </x:c>
      <x:c r="G1448" t="str">
        <x:v>B</x:v>
      </x:c>
      <x:c r="H1448" t="n">
        <x:v>23</x:v>
      </x:c>
      <x:c r="I1448" t="str">
        <x:v>ORD-2025-00093</x:v>
      </x:c>
      <x:c r="J1448" t="n">
        <x:v>1</x:v>
      </x:c>
      <x:c r="K1448" t="n">
        <x:v>1</x:v>
      </x:c>
      <x:c r="L1448" t="str">
        <x:v>L23-S01-C1</x:v>
      </x:c>
      <x:c r="M1448" t="n">
        <x:v>1</x:v>
      </x:c>
      <x:c r="N1448" t="str">
        <x:v>DerivedFromCount</x:v>
      </x:c>
      <x:c r="O1448" t="str">
        <x:v>PLC-PRD-JAR-720-L23</x:v>
      </x:c>
      <x:c r="P1448" t="str">
        <x:v>OK</x:v>
      </x:c>
      <x:c r="Q1448" t="str">
        <x:v>OK</x:v>
      </x:c>
      <x:c r="R1448" t="str">
        <x:v>OK</x:v>
      </x:c>
      <x:c r="S1448" t="str">
        <x:v>OK</x:v>
      </x:c>
      <x:c r="T1448" t="n">
        <x:v>24</x:v>
      </x:c>
      <x:c r="U1448" t="str">
        <x:v>OK</x:v>
      </x:c>
      <x:c r="V1448" t="str">
        <x:v>OK</x:v>
      </x:c>
      <x:c r="W1448" t="str">
        <x:v>LOAD</x:v>
      </x:c>
      <x:c r="X1448" t="str">
        <x:v>02_Supervisor_Log(4).xlsx</x:v>
      </x:c>
      <x:c r="Y1448" t="str">
        <x:v>ENH-20260830-01</x:v>
      </x:c>
      <x:c r="Z1448" t="str">
        <x:v>Active</x:v>
      </x:c>
      <x:c r="AA1448"/>
      <x:c r="AB1448"/>
      <x:c r="AC1448"/>
      <x:c r="AD1448"/>
    </x:row>
    <x:row r="1449">
      <x:c r="A1449" t="str">
        <x:v>PCC-PE-KG01-L23-20251024-PM-ORD-2025-00093-S01-C2</x:v>
      </x:c>
      <x:c r="B1449" t="str">
        <x:v>PC-PE-KG01-L23-20251024-PM-ORD-2025-00093-S01</x:v>
      </x:c>
      <x:c r="C1449" t="str">
        <x:v>PE-KG01-L23-20251024-PM-ORD-2025-00093</x:v>
      </x:c>
      <x:c r="D1449" t="str">
        <x:v>KG01</x:v>
      </x:c>
      <x:c r="E1449" s="62" t="n">
        <x:v>45954</x:v>
      </x:c>
      <x:c r="F1449" t="str">
        <x:v>PM</x:v>
      </x:c>
      <x:c r="G1449" t="str">
        <x:v>B</x:v>
      </x:c>
      <x:c r="H1449" t="n">
        <x:v>23</x:v>
      </x:c>
      <x:c r="I1449" t="str">
        <x:v>ORD-2025-00093</x:v>
      </x:c>
      <x:c r="J1449" t="n">
        <x:v>1</x:v>
      </x:c>
      <x:c r="K1449" t="n">
        <x:v>2</x:v>
      </x:c>
      <x:c r="L1449" t="str">
        <x:v>L23-S01-C2</x:v>
      </x:c>
      <x:c r="M1449" t="n">
        <x:v>1</x:v>
      </x:c>
      <x:c r="N1449" t="str">
        <x:v>DerivedFromCount</x:v>
      </x:c>
      <x:c r="O1449" t="str">
        <x:v>PLC-PRD-JAR-720-L23</x:v>
      </x:c>
      <x:c r="P1449" t="str">
        <x:v>OK</x:v>
      </x:c>
      <x:c r="Q1449" t="str">
        <x:v>OK</x:v>
      </x:c>
      <x:c r="R1449" t="str">
        <x:v>OK</x:v>
      </x:c>
      <x:c r="S1449" t="str">
        <x:v>OK</x:v>
      </x:c>
      <x:c r="T1449" t="n">
        <x:v>24</x:v>
      </x:c>
      <x:c r="U1449" t="str">
        <x:v>OK</x:v>
      </x:c>
      <x:c r="V1449" t="str">
        <x:v>OK</x:v>
      </x:c>
      <x:c r="W1449" t="str">
        <x:v>LOAD</x:v>
      </x:c>
      <x:c r="X1449" t="str">
        <x:v>02_Supervisor_Log(4).xlsx</x:v>
      </x:c>
      <x:c r="Y1449" t="str">
        <x:v>ENH-20260830-01</x:v>
      </x:c>
      <x:c r="Z1449" t="str">
        <x:v>Active</x:v>
      </x:c>
      <x:c r="AA1449"/>
      <x:c r="AB1449"/>
      <x:c r="AC1449"/>
      <x:c r="AD1449"/>
    </x:row>
    <x:row r="1450">
      <x:c r="A1450" t="str">
        <x:v>PCC-PE-KG01-L23-20251024-PM-ORD-2025-00093-S01-C3</x:v>
      </x:c>
      <x:c r="B1450" t="str">
        <x:v>PC-PE-KG01-L23-20251024-PM-ORD-2025-00093-S01</x:v>
      </x:c>
      <x:c r="C1450" t="str">
        <x:v>PE-KG01-L23-20251024-PM-ORD-2025-00093</x:v>
      </x:c>
      <x:c r="D1450" t="str">
        <x:v>KG01</x:v>
      </x:c>
      <x:c r="E1450" s="62" t="n">
        <x:v>45954</x:v>
      </x:c>
      <x:c r="F1450" t="str">
        <x:v>PM</x:v>
      </x:c>
      <x:c r="G1450" t="str">
        <x:v>B</x:v>
      </x:c>
      <x:c r="H1450" t="n">
        <x:v>23</x:v>
      </x:c>
      <x:c r="I1450" t="str">
        <x:v>ORD-2025-00093</x:v>
      </x:c>
      <x:c r="J1450" t="n">
        <x:v>1</x:v>
      </x:c>
      <x:c r="K1450" t="n">
        <x:v>3</x:v>
      </x:c>
      <x:c r="L1450" t="str">
        <x:v>L23-S01-C3</x:v>
      </x:c>
      <x:c r="M1450" t="n">
        <x:v>0</x:v>
      </x:c>
      <x:c r="N1450" t="str">
        <x:v>DerivedFromCount</x:v>
      </x:c>
      <x:c r="O1450" t="str">
        <x:v>PLC-PRD-JAR-720-L23</x:v>
      </x:c>
      <x:c r="P1450" t="str">
        <x:v>OK</x:v>
      </x:c>
      <x:c r="Q1450" t="str">
        <x:v>OK</x:v>
      </x:c>
      <x:c r="R1450" t="str">
        <x:v>OK</x:v>
      </x:c>
      <x:c r="S1450" t="str">
        <x:v>OK</x:v>
      </x:c>
      <x:c r="T1450" t="n">
        <x:v>24</x:v>
      </x:c>
      <x:c r="U1450" t="str">
        <x:v>OK</x:v>
      </x:c>
      <x:c r="V1450" t="str">
        <x:v>OK</x:v>
      </x:c>
      <x:c r="W1450" t="str">
        <x:v>LOAD</x:v>
      </x:c>
      <x:c r="X1450" t="str">
        <x:v>02_Supervisor_Log(4).xlsx</x:v>
      </x:c>
      <x:c r="Y1450" t="str">
        <x:v>ENH-20260830-01</x:v>
      </x:c>
      <x:c r="Z1450" t="str">
        <x:v>Active</x:v>
      </x:c>
      <x:c r="AA1450"/>
      <x:c r="AB1450"/>
      <x:c r="AC1450"/>
      <x:c r="AD1450"/>
    </x:row>
    <x:row r="1451">
      <x:c r="A1451" t="str">
        <x:v>PCC-PE-KG01-L23-20251024-PM-ORD-2025-00093-S02-C1</x:v>
      </x:c>
      <x:c r="B1451" t="str">
        <x:v>PC-PE-KG01-L23-20251024-PM-ORD-2025-00093-S02</x:v>
      </x:c>
      <x:c r="C1451" t="str">
        <x:v>PE-KG01-L23-20251024-PM-ORD-2025-00093</x:v>
      </x:c>
      <x:c r="D1451" t="str">
        <x:v>KG01</x:v>
      </x:c>
      <x:c r="E1451" s="62" t="n">
        <x:v>45954</x:v>
      </x:c>
      <x:c r="F1451" t="str">
        <x:v>PM</x:v>
      </x:c>
      <x:c r="G1451" t="str">
        <x:v>B</x:v>
      </x:c>
      <x:c r="H1451" t="n">
        <x:v>23</x:v>
      </x:c>
      <x:c r="I1451" t="str">
        <x:v>ORD-2025-00093</x:v>
      </x:c>
      <x:c r="J1451" t="n">
        <x:v>2</x:v>
      </x:c>
      <x:c r="K1451" t="n">
        <x:v>1</x:v>
      </x:c>
      <x:c r="L1451" t="str">
        <x:v>L23-S02-C1</x:v>
      </x:c>
      <x:c r="M1451" t="n">
        <x:v>1</x:v>
      </x:c>
      <x:c r="N1451" t="str">
        <x:v>DerivedFromCount</x:v>
      </x:c>
      <x:c r="O1451" t="str">
        <x:v>PLC-PRD-JAR-720-L23</x:v>
      </x:c>
      <x:c r="P1451" t="str">
        <x:v>OK</x:v>
      </x:c>
      <x:c r="Q1451" t="str">
        <x:v>OK</x:v>
      </x:c>
      <x:c r="R1451" t="str">
        <x:v>OK</x:v>
      </x:c>
      <x:c r="S1451" t="str">
        <x:v>OK</x:v>
      </x:c>
      <x:c r="T1451" t="n">
        <x:v>24</x:v>
      </x:c>
      <x:c r="U1451" t="str">
        <x:v>OK</x:v>
      </x:c>
      <x:c r="V1451" t="str">
        <x:v>OK</x:v>
      </x:c>
      <x:c r="W1451" t="str">
        <x:v>LOAD</x:v>
      </x:c>
      <x:c r="X1451" t="str">
        <x:v>02_Supervisor_Log(4).xlsx</x:v>
      </x:c>
      <x:c r="Y1451" t="str">
        <x:v>ENH-20260830-01</x:v>
      </x:c>
      <x:c r="Z1451" t="str">
        <x:v>Active</x:v>
      </x:c>
      <x:c r="AA1451"/>
      <x:c r="AB1451"/>
      <x:c r="AC1451"/>
      <x:c r="AD1451"/>
    </x:row>
    <x:row r="1452">
      <x:c r="A1452" t="str">
        <x:v>PCC-PE-KG01-L23-20251024-PM-ORD-2025-00093-S02-C2</x:v>
      </x:c>
      <x:c r="B1452" t="str">
        <x:v>PC-PE-KG01-L23-20251024-PM-ORD-2025-00093-S02</x:v>
      </x:c>
      <x:c r="C1452" t="str">
        <x:v>PE-KG01-L23-20251024-PM-ORD-2025-00093</x:v>
      </x:c>
      <x:c r="D1452" t="str">
        <x:v>KG01</x:v>
      </x:c>
      <x:c r="E1452" s="62" t="n">
        <x:v>45954</x:v>
      </x:c>
      <x:c r="F1452" t="str">
        <x:v>PM</x:v>
      </x:c>
      <x:c r="G1452" t="str">
        <x:v>B</x:v>
      </x:c>
      <x:c r="H1452" t="n">
        <x:v>23</x:v>
      </x:c>
      <x:c r="I1452" t="str">
        <x:v>ORD-2025-00093</x:v>
      </x:c>
      <x:c r="J1452" t="n">
        <x:v>2</x:v>
      </x:c>
      <x:c r="K1452" t="n">
        <x:v>2</x:v>
      </x:c>
      <x:c r="L1452" t="str">
        <x:v>L23-S02-C2</x:v>
      </x:c>
      <x:c r="M1452" t="n">
        <x:v>1</x:v>
      </x:c>
      <x:c r="N1452" t="str">
        <x:v>DerivedFromCount</x:v>
      </x:c>
      <x:c r="O1452" t="str">
        <x:v>PLC-PRD-JAR-720-L23</x:v>
      </x:c>
      <x:c r="P1452" t="str">
        <x:v>OK</x:v>
      </x:c>
      <x:c r="Q1452" t="str">
        <x:v>OK</x:v>
      </x:c>
      <x:c r="R1452" t="str">
        <x:v>OK</x:v>
      </x:c>
      <x:c r="S1452" t="str">
        <x:v>OK</x:v>
      </x:c>
      <x:c r="T1452" t="n">
        <x:v>24</x:v>
      </x:c>
      <x:c r="U1452" t="str">
        <x:v>OK</x:v>
      </x:c>
      <x:c r="V1452" t="str">
        <x:v>OK</x:v>
      </x:c>
      <x:c r="W1452" t="str">
        <x:v>LOAD</x:v>
      </x:c>
      <x:c r="X1452" t="str">
        <x:v>02_Supervisor_Log(4).xlsx</x:v>
      </x:c>
      <x:c r="Y1452" t="str">
        <x:v>ENH-20260830-01</x:v>
      </x:c>
      <x:c r="Z1452" t="str">
        <x:v>Active</x:v>
      </x:c>
      <x:c r="AA1452"/>
      <x:c r="AB1452"/>
      <x:c r="AC1452"/>
      <x:c r="AD1452"/>
    </x:row>
    <x:row r="1453">
      <x:c r="A1453" t="str">
        <x:v>PCC-PE-KG01-L23-20251024-PM-ORD-2025-00093-S02-C3</x:v>
      </x:c>
      <x:c r="B1453" t="str">
        <x:v>PC-PE-KG01-L23-20251024-PM-ORD-2025-00093-S02</x:v>
      </x:c>
      <x:c r="C1453" t="str">
        <x:v>PE-KG01-L23-20251024-PM-ORD-2025-00093</x:v>
      </x:c>
      <x:c r="D1453" t="str">
        <x:v>KG01</x:v>
      </x:c>
      <x:c r="E1453" s="62" t="n">
        <x:v>45954</x:v>
      </x:c>
      <x:c r="F1453" t="str">
        <x:v>PM</x:v>
      </x:c>
      <x:c r="G1453" t="str">
        <x:v>B</x:v>
      </x:c>
      <x:c r="H1453" t="n">
        <x:v>23</x:v>
      </x:c>
      <x:c r="I1453" t="str">
        <x:v>ORD-2025-00093</x:v>
      </x:c>
      <x:c r="J1453" t="n">
        <x:v>2</x:v>
      </x:c>
      <x:c r="K1453" t="n">
        <x:v>3</x:v>
      </x:c>
      <x:c r="L1453" t="str">
        <x:v>L23-S02-C3</x:v>
      </x:c>
      <x:c r="M1453" t="n">
        <x:v>0</x:v>
      </x:c>
      <x:c r="N1453" t="str">
        <x:v>DerivedFromCount</x:v>
      </x:c>
      <x:c r="O1453" t="str">
        <x:v>PLC-PRD-JAR-720-L23</x:v>
      </x:c>
      <x:c r="P1453" t="str">
        <x:v>OK</x:v>
      </x:c>
      <x:c r="Q1453" t="str">
        <x:v>OK</x:v>
      </x:c>
      <x:c r="R1453" t="str">
        <x:v>OK</x:v>
      </x:c>
      <x:c r="S1453" t="str">
        <x:v>OK</x:v>
      </x:c>
      <x:c r="T1453" t="n">
        <x:v>24</x:v>
      </x:c>
      <x:c r="U1453" t="str">
        <x:v>OK</x:v>
      </x:c>
      <x:c r="V1453" t="str">
        <x:v>OK</x:v>
      </x:c>
      <x:c r="W1453" t="str">
        <x:v>LOAD</x:v>
      </x:c>
      <x:c r="X1453" t="str">
        <x:v>02_Supervisor_Log(4).xlsx</x:v>
      </x:c>
      <x:c r="Y1453" t="str">
        <x:v>ENH-20260830-01</x:v>
      </x:c>
      <x:c r="Z1453" t="str">
        <x:v>Active</x:v>
      </x:c>
      <x:c r="AA1453"/>
      <x:c r="AB1453"/>
      <x:c r="AC1453"/>
      <x:c r="AD1453"/>
    </x:row>
    <x:row r="1454">
      <x:c r="A1454" t="str">
        <x:v>PCC-PE-KG01-L23-20251024-PM-ORD-2025-00093-S03-C1</x:v>
      </x:c>
      <x:c r="B1454" t="str">
        <x:v>PC-PE-KG01-L23-20251024-PM-ORD-2025-00093-S03</x:v>
      </x:c>
      <x:c r="C1454" t="str">
        <x:v>PE-KG01-L23-20251024-PM-ORD-2025-00093</x:v>
      </x:c>
      <x:c r="D1454" t="str">
        <x:v>KG01</x:v>
      </x:c>
      <x:c r="E1454" s="62" t="n">
        <x:v>45954</x:v>
      </x:c>
      <x:c r="F1454" t="str">
        <x:v>PM</x:v>
      </x:c>
      <x:c r="G1454" t="str">
        <x:v>B</x:v>
      </x:c>
      <x:c r="H1454" t="n">
        <x:v>23</x:v>
      </x:c>
      <x:c r="I1454" t="str">
        <x:v>ORD-2025-00093</x:v>
      </x:c>
      <x:c r="J1454" t="n">
        <x:v>3</x:v>
      </x:c>
      <x:c r="K1454" t="n">
        <x:v>1</x:v>
      </x:c>
      <x:c r="L1454" t="str">
        <x:v>L23-S03-C1</x:v>
      </x:c>
      <x:c r="M1454" t="n">
        <x:v>1</x:v>
      </x:c>
      <x:c r="N1454" t="str">
        <x:v>DerivedFromCount</x:v>
      </x:c>
      <x:c r="O1454" t="str">
        <x:v>PLC-PRD-JAR-720-L23</x:v>
      </x:c>
      <x:c r="P1454" t="str">
        <x:v>OK</x:v>
      </x:c>
      <x:c r="Q1454" t="str">
        <x:v>OK</x:v>
      </x:c>
      <x:c r="R1454" t="str">
        <x:v>OK</x:v>
      </x:c>
      <x:c r="S1454" t="str">
        <x:v>OK</x:v>
      </x:c>
      <x:c r="T1454" t="n">
        <x:v>24</x:v>
      </x:c>
      <x:c r="U1454" t="str">
        <x:v>OK</x:v>
      </x:c>
      <x:c r="V1454" t="str">
        <x:v>OK</x:v>
      </x:c>
      <x:c r="W1454" t="str">
        <x:v>LOAD</x:v>
      </x:c>
      <x:c r="X1454" t="str">
        <x:v>02_Supervisor_Log(4).xlsx</x:v>
      </x:c>
      <x:c r="Y1454" t="str">
        <x:v>ENH-20260830-01</x:v>
      </x:c>
      <x:c r="Z1454" t="str">
        <x:v>Active</x:v>
      </x:c>
      <x:c r="AA1454"/>
      <x:c r="AB1454"/>
      <x:c r="AC1454"/>
      <x:c r="AD1454"/>
    </x:row>
    <x:row r="1455">
      <x:c r="A1455" t="str">
        <x:v>PCC-PE-KG01-L23-20251024-PM-ORD-2025-00093-S03-C2</x:v>
      </x:c>
      <x:c r="B1455" t="str">
        <x:v>PC-PE-KG01-L23-20251024-PM-ORD-2025-00093-S03</x:v>
      </x:c>
      <x:c r="C1455" t="str">
        <x:v>PE-KG01-L23-20251024-PM-ORD-2025-00093</x:v>
      </x:c>
      <x:c r="D1455" t="str">
        <x:v>KG01</x:v>
      </x:c>
      <x:c r="E1455" s="62" t="n">
        <x:v>45954</x:v>
      </x:c>
      <x:c r="F1455" t="str">
        <x:v>PM</x:v>
      </x:c>
      <x:c r="G1455" t="str">
        <x:v>B</x:v>
      </x:c>
      <x:c r="H1455" t="n">
        <x:v>23</x:v>
      </x:c>
      <x:c r="I1455" t="str">
        <x:v>ORD-2025-00093</x:v>
      </x:c>
      <x:c r="J1455" t="n">
        <x:v>3</x:v>
      </x:c>
      <x:c r="K1455" t="n">
        <x:v>2</x:v>
      </x:c>
      <x:c r="L1455" t="str">
        <x:v>L23-S03-C2</x:v>
      </x:c>
      <x:c r="M1455" t="n">
        <x:v>1</x:v>
      </x:c>
      <x:c r="N1455" t="str">
        <x:v>DerivedFromCount</x:v>
      </x:c>
      <x:c r="O1455" t="str">
        <x:v>PLC-PRD-JAR-720-L23</x:v>
      </x:c>
      <x:c r="P1455" t="str">
        <x:v>OK</x:v>
      </x:c>
      <x:c r="Q1455" t="str">
        <x:v>OK</x:v>
      </x:c>
      <x:c r="R1455" t="str">
        <x:v>OK</x:v>
      </x:c>
      <x:c r="S1455" t="str">
        <x:v>OK</x:v>
      </x:c>
      <x:c r="T1455" t="n">
        <x:v>24</x:v>
      </x:c>
      <x:c r="U1455" t="str">
        <x:v>OK</x:v>
      </x:c>
      <x:c r="V1455" t="str">
        <x:v>OK</x:v>
      </x:c>
      <x:c r="W1455" t="str">
        <x:v>LOAD</x:v>
      </x:c>
      <x:c r="X1455" t="str">
        <x:v>02_Supervisor_Log(4).xlsx</x:v>
      </x:c>
      <x:c r="Y1455" t="str">
        <x:v>ENH-20260830-01</x:v>
      </x:c>
      <x:c r="Z1455" t="str">
        <x:v>Active</x:v>
      </x:c>
      <x:c r="AA1455"/>
      <x:c r="AB1455"/>
      <x:c r="AC1455"/>
      <x:c r="AD1455"/>
    </x:row>
    <x:row r="1456">
      <x:c r="A1456" t="str">
        <x:v>PCC-PE-KG01-L23-20251024-PM-ORD-2025-00093-S03-C3</x:v>
      </x:c>
      <x:c r="B1456" t="str">
        <x:v>PC-PE-KG01-L23-20251024-PM-ORD-2025-00093-S03</x:v>
      </x:c>
      <x:c r="C1456" t="str">
        <x:v>PE-KG01-L23-20251024-PM-ORD-2025-00093</x:v>
      </x:c>
      <x:c r="D1456" t="str">
        <x:v>KG01</x:v>
      </x:c>
      <x:c r="E1456" s="62" t="n">
        <x:v>45954</x:v>
      </x:c>
      <x:c r="F1456" t="str">
        <x:v>PM</x:v>
      </x:c>
      <x:c r="G1456" t="str">
        <x:v>B</x:v>
      </x:c>
      <x:c r="H1456" t="n">
        <x:v>23</x:v>
      </x:c>
      <x:c r="I1456" t="str">
        <x:v>ORD-2025-00093</x:v>
      </x:c>
      <x:c r="J1456" t="n">
        <x:v>3</x:v>
      </x:c>
      <x:c r="K1456" t="n">
        <x:v>3</x:v>
      </x:c>
      <x:c r="L1456" t="str">
        <x:v>L23-S03-C3</x:v>
      </x:c>
      <x:c r="M1456" t="n">
        <x:v>0</x:v>
      </x:c>
      <x:c r="N1456" t="str">
        <x:v>DerivedFromCount</x:v>
      </x:c>
      <x:c r="O1456" t="str">
        <x:v>PLC-PRD-JAR-720-L23</x:v>
      </x:c>
      <x:c r="P1456" t="str">
        <x:v>OK</x:v>
      </x:c>
      <x:c r="Q1456" t="str">
        <x:v>OK</x:v>
      </x:c>
      <x:c r="R1456" t="str">
        <x:v>OK</x:v>
      </x:c>
      <x:c r="S1456" t="str">
        <x:v>OK</x:v>
      </x:c>
      <x:c r="T1456" t="n">
        <x:v>24</x:v>
      </x:c>
      <x:c r="U1456" t="str">
        <x:v>OK</x:v>
      </x:c>
      <x:c r="V1456" t="str">
        <x:v>OK</x:v>
      </x:c>
      <x:c r="W1456" t="str">
        <x:v>LOAD</x:v>
      </x:c>
      <x:c r="X1456" t="str">
        <x:v>02_Supervisor_Log(4).xlsx</x:v>
      </x:c>
      <x:c r="Y1456" t="str">
        <x:v>ENH-20260830-01</x:v>
      </x:c>
      <x:c r="Z1456" t="str">
        <x:v>Active</x:v>
      </x:c>
      <x:c r="AA1456"/>
      <x:c r="AB1456"/>
      <x:c r="AC1456"/>
      <x:c r="AD1456"/>
    </x:row>
    <x:row r="1457">
      <x:c r="A1457" t="str">
        <x:v>PCC-PE-KG01-L23-20251024-PM-ORD-2025-00093-S04-C1</x:v>
      </x:c>
      <x:c r="B1457" t="str">
        <x:v>PC-PE-KG01-L23-20251024-PM-ORD-2025-00093-S04</x:v>
      </x:c>
      <x:c r="C1457" t="str">
        <x:v>PE-KG01-L23-20251024-PM-ORD-2025-00093</x:v>
      </x:c>
      <x:c r="D1457" t="str">
        <x:v>KG01</x:v>
      </x:c>
      <x:c r="E1457" s="62" t="n">
        <x:v>45954</x:v>
      </x:c>
      <x:c r="F1457" t="str">
        <x:v>PM</x:v>
      </x:c>
      <x:c r="G1457" t="str">
        <x:v>B</x:v>
      </x:c>
      <x:c r="H1457" t="n">
        <x:v>23</x:v>
      </x:c>
      <x:c r="I1457" t="str">
        <x:v>ORD-2025-00093</x:v>
      </x:c>
      <x:c r="J1457" t="n">
        <x:v>4</x:v>
      </x:c>
      <x:c r="K1457" t="n">
        <x:v>1</x:v>
      </x:c>
      <x:c r="L1457" t="str">
        <x:v>L23-S04-C1</x:v>
      </x:c>
      <x:c r="M1457" t="n">
        <x:v>1</x:v>
      </x:c>
      <x:c r="N1457" t="str">
        <x:v>DerivedFromCount</x:v>
      </x:c>
      <x:c r="O1457" t="str">
        <x:v>PLC-PRD-JAR-720-L23</x:v>
      </x:c>
      <x:c r="P1457" t="str">
        <x:v>OK</x:v>
      </x:c>
      <x:c r="Q1457" t="str">
        <x:v>OK</x:v>
      </x:c>
      <x:c r="R1457" t="str">
        <x:v>OK</x:v>
      </x:c>
      <x:c r="S1457" t="str">
        <x:v>OK</x:v>
      </x:c>
      <x:c r="T1457" t="n">
        <x:v>24</x:v>
      </x:c>
      <x:c r="U1457" t="str">
        <x:v>OK</x:v>
      </x:c>
      <x:c r="V1457" t="str">
        <x:v>OK</x:v>
      </x:c>
      <x:c r="W1457" t="str">
        <x:v>LOAD</x:v>
      </x:c>
      <x:c r="X1457" t="str">
        <x:v>02_Supervisor_Log(4).xlsx</x:v>
      </x:c>
      <x:c r="Y1457" t="str">
        <x:v>ENH-20260830-01</x:v>
      </x:c>
      <x:c r="Z1457" t="str">
        <x:v>Active</x:v>
      </x:c>
      <x:c r="AA1457"/>
      <x:c r="AB1457"/>
      <x:c r="AC1457"/>
      <x:c r="AD1457"/>
    </x:row>
    <x:row r="1458">
      <x:c r="A1458" t="str">
        <x:v>PCC-PE-KG01-L23-20251024-PM-ORD-2025-00093-S04-C2</x:v>
      </x:c>
      <x:c r="B1458" t="str">
        <x:v>PC-PE-KG01-L23-20251024-PM-ORD-2025-00093-S04</x:v>
      </x:c>
      <x:c r="C1458" t="str">
        <x:v>PE-KG01-L23-20251024-PM-ORD-2025-00093</x:v>
      </x:c>
      <x:c r="D1458" t="str">
        <x:v>KG01</x:v>
      </x:c>
      <x:c r="E1458" s="62" t="n">
        <x:v>45954</x:v>
      </x:c>
      <x:c r="F1458" t="str">
        <x:v>PM</x:v>
      </x:c>
      <x:c r="G1458" t="str">
        <x:v>B</x:v>
      </x:c>
      <x:c r="H1458" t="n">
        <x:v>23</x:v>
      </x:c>
      <x:c r="I1458" t="str">
        <x:v>ORD-2025-00093</x:v>
      </x:c>
      <x:c r="J1458" t="n">
        <x:v>4</x:v>
      </x:c>
      <x:c r="K1458" t="n">
        <x:v>2</x:v>
      </x:c>
      <x:c r="L1458" t="str">
        <x:v>L23-S04-C2</x:v>
      </x:c>
      <x:c r="M1458" t="n">
        <x:v>1</x:v>
      </x:c>
      <x:c r="N1458" t="str">
        <x:v>DerivedFromCount</x:v>
      </x:c>
      <x:c r="O1458" t="str">
        <x:v>PLC-PRD-JAR-720-L23</x:v>
      </x:c>
      <x:c r="P1458" t="str">
        <x:v>OK</x:v>
      </x:c>
      <x:c r="Q1458" t="str">
        <x:v>OK</x:v>
      </x:c>
      <x:c r="R1458" t="str">
        <x:v>OK</x:v>
      </x:c>
      <x:c r="S1458" t="str">
        <x:v>OK</x:v>
      </x:c>
      <x:c r="T1458" t="n">
        <x:v>24</x:v>
      </x:c>
      <x:c r="U1458" t="str">
        <x:v>OK</x:v>
      </x:c>
      <x:c r="V1458" t="str">
        <x:v>OK</x:v>
      </x:c>
      <x:c r="W1458" t="str">
        <x:v>LOAD</x:v>
      </x:c>
      <x:c r="X1458" t="str">
        <x:v>02_Supervisor_Log(4).xlsx</x:v>
      </x:c>
      <x:c r="Y1458" t="str">
        <x:v>ENH-20260830-01</x:v>
      </x:c>
      <x:c r="Z1458" t="str">
        <x:v>Active</x:v>
      </x:c>
      <x:c r="AA1458"/>
      <x:c r="AB1458"/>
      <x:c r="AC1458"/>
      <x:c r="AD1458"/>
    </x:row>
    <x:row r="1459">
      <x:c r="A1459" t="str">
        <x:v>PCC-PE-KG01-L23-20251024-PM-ORD-2025-00093-S04-C3</x:v>
      </x:c>
      <x:c r="B1459" t="str">
        <x:v>PC-PE-KG01-L23-20251024-PM-ORD-2025-00093-S04</x:v>
      </x:c>
      <x:c r="C1459" t="str">
        <x:v>PE-KG01-L23-20251024-PM-ORD-2025-00093</x:v>
      </x:c>
      <x:c r="D1459" t="str">
        <x:v>KG01</x:v>
      </x:c>
      <x:c r="E1459" s="62" t="n">
        <x:v>45954</x:v>
      </x:c>
      <x:c r="F1459" t="str">
        <x:v>PM</x:v>
      </x:c>
      <x:c r="G1459" t="str">
        <x:v>B</x:v>
      </x:c>
      <x:c r="H1459" t="n">
        <x:v>23</x:v>
      </x:c>
      <x:c r="I1459" t="str">
        <x:v>ORD-2025-00093</x:v>
      </x:c>
      <x:c r="J1459" t="n">
        <x:v>4</x:v>
      </x:c>
      <x:c r="K1459" t="n">
        <x:v>3</x:v>
      </x:c>
      <x:c r="L1459" t="str">
        <x:v>L23-S04-C3</x:v>
      </x:c>
      <x:c r="M1459" t="n">
        <x:v>0</x:v>
      </x:c>
      <x:c r="N1459" t="str">
        <x:v>DerivedFromCount</x:v>
      </x:c>
      <x:c r="O1459" t="str">
        <x:v>PLC-PRD-JAR-720-L23</x:v>
      </x:c>
      <x:c r="P1459" t="str">
        <x:v>OK</x:v>
      </x:c>
      <x:c r="Q1459" t="str">
        <x:v>OK</x:v>
      </x:c>
      <x:c r="R1459" t="str">
        <x:v>OK</x:v>
      </x:c>
      <x:c r="S1459" t="str">
        <x:v>OK</x:v>
      </x:c>
      <x:c r="T1459" t="n">
        <x:v>24</x:v>
      </x:c>
      <x:c r="U1459" t="str">
        <x:v>OK</x:v>
      </x:c>
      <x:c r="V1459" t="str">
        <x:v>OK</x:v>
      </x:c>
      <x:c r="W1459" t="str">
        <x:v>LOAD</x:v>
      </x:c>
      <x:c r="X1459" t="str">
        <x:v>02_Supervisor_Log(4).xlsx</x:v>
      </x:c>
      <x:c r="Y1459" t="str">
        <x:v>ENH-20260830-01</x:v>
      </x:c>
      <x:c r="Z1459" t="str">
        <x:v>Active</x:v>
      </x:c>
      <x:c r="AA1459"/>
      <x:c r="AB1459"/>
      <x:c r="AC1459"/>
      <x:c r="AD1459"/>
    </x:row>
    <x:row r="1460">
      <x:c r="A1460" t="str">
        <x:v>PCC-PE-KG01-L23-20251024-PM-ORD-2025-00093-S05-C1</x:v>
      </x:c>
      <x:c r="B1460" t="str">
        <x:v>PC-PE-KG01-L23-20251024-PM-ORD-2025-00093-S05</x:v>
      </x:c>
      <x:c r="C1460" t="str">
        <x:v>PE-KG01-L23-20251024-PM-ORD-2025-00093</x:v>
      </x:c>
      <x:c r="D1460" t="str">
        <x:v>KG01</x:v>
      </x:c>
      <x:c r="E1460" s="62" t="n">
        <x:v>45954</x:v>
      </x:c>
      <x:c r="F1460" t="str">
        <x:v>PM</x:v>
      </x:c>
      <x:c r="G1460" t="str">
        <x:v>B</x:v>
      </x:c>
      <x:c r="H1460" t="n">
        <x:v>23</x:v>
      </x:c>
      <x:c r="I1460" t="str">
        <x:v>ORD-2025-00093</x:v>
      </x:c>
      <x:c r="J1460" t="n">
        <x:v>5</x:v>
      </x:c>
      <x:c r="K1460" t="n">
        <x:v>1</x:v>
      </x:c>
      <x:c r="L1460" t="str">
        <x:v>L23-S05-C1</x:v>
      </x:c>
      <x:c r="M1460" t="n">
        <x:v>1</x:v>
      </x:c>
      <x:c r="N1460" t="str">
        <x:v>DerivedFromCount</x:v>
      </x:c>
      <x:c r="O1460" t="str">
        <x:v>PLC-PRD-JAR-720-L23</x:v>
      </x:c>
      <x:c r="P1460" t="str">
        <x:v>OK</x:v>
      </x:c>
      <x:c r="Q1460" t="str">
        <x:v>OK</x:v>
      </x:c>
      <x:c r="R1460" t="str">
        <x:v>OK</x:v>
      </x:c>
      <x:c r="S1460" t="str">
        <x:v>OK</x:v>
      </x:c>
      <x:c r="T1460" t="n">
        <x:v>24</x:v>
      </x:c>
      <x:c r="U1460" t="str">
        <x:v>OK</x:v>
      </x:c>
      <x:c r="V1460" t="str">
        <x:v>OK</x:v>
      </x:c>
      <x:c r="W1460" t="str">
        <x:v>LOAD</x:v>
      </x:c>
      <x:c r="X1460" t="str">
        <x:v>02_Supervisor_Log(4).xlsx</x:v>
      </x:c>
      <x:c r="Y1460" t="str">
        <x:v>ENH-20260830-01</x:v>
      </x:c>
      <x:c r="Z1460" t="str">
        <x:v>Active</x:v>
      </x:c>
      <x:c r="AA1460"/>
      <x:c r="AB1460"/>
      <x:c r="AC1460"/>
      <x:c r="AD1460"/>
    </x:row>
    <x:row r="1461">
      <x:c r="A1461" t="str">
        <x:v>PCC-PE-KG01-L23-20251024-PM-ORD-2025-00093-S05-C2</x:v>
      </x:c>
      <x:c r="B1461" t="str">
        <x:v>PC-PE-KG01-L23-20251024-PM-ORD-2025-00093-S05</x:v>
      </x:c>
      <x:c r="C1461" t="str">
        <x:v>PE-KG01-L23-20251024-PM-ORD-2025-00093</x:v>
      </x:c>
      <x:c r="D1461" t="str">
        <x:v>KG01</x:v>
      </x:c>
      <x:c r="E1461" s="62" t="n">
        <x:v>45954</x:v>
      </x:c>
      <x:c r="F1461" t="str">
        <x:v>PM</x:v>
      </x:c>
      <x:c r="G1461" t="str">
        <x:v>B</x:v>
      </x:c>
      <x:c r="H1461" t="n">
        <x:v>23</x:v>
      </x:c>
      <x:c r="I1461" t="str">
        <x:v>ORD-2025-00093</x:v>
      </x:c>
      <x:c r="J1461" t="n">
        <x:v>5</x:v>
      </x:c>
      <x:c r="K1461" t="n">
        <x:v>2</x:v>
      </x:c>
      <x:c r="L1461" t="str">
        <x:v>L23-S05-C2</x:v>
      </x:c>
      <x:c r="M1461" t="n">
        <x:v>1</x:v>
      </x:c>
      <x:c r="N1461" t="str">
        <x:v>DerivedFromCount</x:v>
      </x:c>
      <x:c r="O1461" t="str">
        <x:v>PLC-PRD-JAR-720-L23</x:v>
      </x:c>
      <x:c r="P1461" t="str">
        <x:v>OK</x:v>
      </x:c>
      <x:c r="Q1461" t="str">
        <x:v>OK</x:v>
      </x:c>
      <x:c r="R1461" t="str">
        <x:v>OK</x:v>
      </x:c>
      <x:c r="S1461" t="str">
        <x:v>OK</x:v>
      </x:c>
      <x:c r="T1461" t="n">
        <x:v>24</x:v>
      </x:c>
      <x:c r="U1461" t="str">
        <x:v>OK</x:v>
      </x:c>
      <x:c r="V1461" t="str">
        <x:v>OK</x:v>
      </x:c>
      <x:c r="W1461" t="str">
        <x:v>LOAD</x:v>
      </x:c>
      <x:c r="X1461" t="str">
        <x:v>02_Supervisor_Log(4).xlsx</x:v>
      </x:c>
      <x:c r="Y1461" t="str">
        <x:v>ENH-20260830-01</x:v>
      </x:c>
      <x:c r="Z1461" t="str">
        <x:v>Active</x:v>
      </x:c>
      <x:c r="AA1461"/>
      <x:c r="AB1461"/>
      <x:c r="AC1461"/>
      <x:c r="AD1461"/>
    </x:row>
    <x:row r="1462">
      <x:c r="A1462" t="str">
        <x:v>PCC-PE-KG01-L23-20251024-PM-ORD-2025-00093-S05-C3</x:v>
      </x:c>
      <x:c r="B1462" t="str">
        <x:v>PC-PE-KG01-L23-20251024-PM-ORD-2025-00093-S05</x:v>
      </x:c>
      <x:c r="C1462" t="str">
        <x:v>PE-KG01-L23-20251024-PM-ORD-2025-00093</x:v>
      </x:c>
      <x:c r="D1462" t="str">
        <x:v>KG01</x:v>
      </x:c>
      <x:c r="E1462" s="62" t="n">
        <x:v>45954</x:v>
      </x:c>
      <x:c r="F1462" t="str">
        <x:v>PM</x:v>
      </x:c>
      <x:c r="G1462" t="str">
        <x:v>B</x:v>
      </x:c>
      <x:c r="H1462" t="n">
        <x:v>23</x:v>
      </x:c>
      <x:c r="I1462" t="str">
        <x:v>ORD-2025-00093</x:v>
      </x:c>
      <x:c r="J1462" t="n">
        <x:v>5</x:v>
      </x:c>
      <x:c r="K1462" t="n">
        <x:v>3</x:v>
      </x:c>
      <x:c r="L1462" t="str">
        <x:v>L23-S05-C3</x:v>
      </x:c>
      <x:c r="M1462" t="n">
        <x:v>0</x:v>
      </x:c>
      <x:c r="N1462" t="str">
        <x:v>DerivedFromCount</x:v>
      </x:c>
      <x:c r="O1462" t="str">
        <x:v>PLC-PRD-JAR-720-L23</x:v>
      </x:c>
      <x:c r="P1462" t="str">
        <x:v>OK</x:v>
      </x:c>
      <x:c r="Q1462" t="str">
        <x:v>OK</x:v>
      </x:c>
      <x:c r="R1462" t="str">
        <x:v>OK</x:v>
      </x:c>
      <x:c r="S1462" t="str">
        <x:v>OK</x:v>
      </x:c>
      <x:c r="T1462" t="n">
        <x:v>24</x:v>
      </x:c>
      <x:c r="U1462" t="str">
        <x:v>OK</x:v>
      </x:c>
      <x:c r="V1462" t="str">
        <x:v>OK</x:v>
      </x:c>
      <x:c r="W1462" t="str">
        <x:v>LOAD</x:v>
      </x:c>
      <x:c r="X1462" t="str">
        <x:v>02_Supervisor_Log(4).xlsx</x:v>
      </x:c>
      <x:c r="Y1462" t="str">
        <x:v>ENH-20260830-01</x:v>
      </x:c>
      <x:c r="Z1462" t="str">
        <x:v>Active</x:v>
      </x:c>
      <x:c r="AA1462"/>
      <x:c r="AB1462"/>
      <x:c r="AC1462"/>
      <x:c r="AD1462"/>
    </x:row>
    <x:row r="1463">
      <x:c r="A1463" t="str">
        <x:v>PCC-PE-KG01-L23-20251024-PM-ORD-2025-00093-S06-C1</x:v>
      </x:c>
      <x:c r="B1463" t="str">
        <x:v>PC-PE-KG01-L23-20251024-PM-ORD-2025-00093-S06</x:v>
      </x:c>
      <x:c r="C1463" t="str">
        <x:v>PE-KG01-L23-20251024-PM-ORD-2025-00093</x:v>
      </x:c>
      <x:c r="D1463" t="str">
        <x:v>KG01</x:v>
      </x:c>
      <x:c r="E1463" s="62" t="n">
        <x:v>45954</x:v>
      </x:c>
      <x:c r="F1463" t="str">
        <x:v>PM</x:v>
      </x:c>
      <x:c r="G1463" t="str">
        <x:v>B</x:v>
      </x:c>
      <x:c r="H1463" t="n">
        <x:v>23</x:v>
      </x:c>
      <x:c r="I1463" t="str">
        <x:v>ORD-2025-00093</x:v>
      </x:c>
      <x:c r="J1463" t="n">
        <x:v>6</x:v>
      </x:c>
      <x:c r="K1463" t="n">
        <x:v>1</x:v>
      </x:c>
      <x:c r="L1463" t="str">
        <x:v>L23-S06-C1</x:v>
      </x:c>
      <x:c r="M1463" t="n">
        <x:v>1</x:v>
      </x:c>
      <x:c r="N1463" t="str">
        <x:v>DerivedFromCount</x:v>
      </x:c>
      <x:c r="O1463" t="str">
        <x:v>PLC-PRD-JAR-720-L23</x:v>
      </x:c>
      <x:c r="P1463" t="str">
        <x:v>OK</x:v>
      </x:c>
      <x:c r="Q1463" t="str">
        <x:v>OK</x:v>
      </x:c>
      <x:c r="R1463" t="str">
        <x:v>OK</x:v>
      </x:c>
      <x:c r="S1463" t="str">
        <x:v>OK</x:v>
      </x:c>
      <x:c r="T1463" t="n">
        <x:v>24</x:v>
      </x:c>
      <x:c r="U1463" t="str">
        <x:v>OK</x:v>
      </x:c>
      <x:c r="V1463" t="str">
        <x:v>OK</x:v>
      </x:c>
      <x:c r="W1463" t="str">
        <x:v>LOAD</x:v>
      </x:c>
      <x:c r="X1463" t="str">
        <x:v>02_Supervisor_Log(4).xlsx</x:v>
      </x:c>
      <x:c r="Y1463" t="str">
        <x:v>ENH-20260830-01</x:v>
      </x:c>
      <x:c r="Z1463" t="str">
        <x:v>Active</x:v>
      </x:c>
      <x:c r="AA1463"/>
      <x:c r="AB1463"/>
      <x:c r="AC1463"/>
      <x:c r="AD1463"/>
    </x:row>
    <x:row r="1464">
      <x:c r="A1464" t="str">
        <x:v>PCC-PE-KG01-L23-20251024-PM-ORD-2025-00093-S06-C2</x:v>
      </x:c>
      <x:c r="B1464" t="str">
        <x:v>PC-PE-KG01-L23-20251024-PM-ORD-2025-00093-S06</x:v>
      </x:c>
      <x:c r="C1464" t="str">
        <x:v>PE-KG01-L23-20251024-PM-ORD-2025-00093</x:v>
      </x:c>
      <x:c r="D1464" t="str">
        <x:v>KG01</x:v>
      </x:c>
      <x:c r="E1464" s="62" t="n">
        <x:v>45954</x:v>
      </x:c>
      <x:c r="F1464" t="str">
        <x:v>PM</x:v>
      </x:c>
      <x:c r="G1464" t="str">
        <x:v>B</x:v>
      </x:c>
      <x:c r="H1464" t="n">
        <x:v>23</x:v>
      </x:c>
      <x:c r="I1464" t="str">
        <x:v>ORD-2025-00093</x:v>
      </x:c>
      <x:c r="J1464" t="n">
        <x:v>6</x:v>
      </x:c>
      <x:c r="K1464" t="n">
        <x:v>2</x:v>
      </x:c>
      <x:c r="L1464" t="str">
        <x:v>L23-S06-C2</x:v>
      </x:c>
      <x:c r="M1464" t="n">
        <x:v>1</x:v>
      </x:c>
      <x:c r="N1464" t="str">
        <x:v>DerivedFromCount</x:v>
      </x:c>
      <x:c r="O1464" t="str">
        <x:v>PLC-PRD-JAR-720-L23</x:v>
      </x:c>
      <x:c r="P1464" t="str">
        <x:v>OK</x:v>
      </x:c>
      <x:c r="Q1464" t="str">
        <x:v>OK</x:v>
      </x:c>
      <x:c r="R1464" t="str">
        <x:v>OK</x:v>
      </x:c>
      <x:c r="S1464" t="str">
        <x:v>OK</x:v>
      </x:c>
      <x:c r="T1464" t="n">
        <x:v>24</x:v>
      </x:c>
      <x:c r="U1464" t="str">
        <x:v>OK</x:v>
      </x:c>
      <x:c r="V1464" t="str">
        <x:v>OK</x:v>
      </x:c>
      <x:c r="W1464" t="str">
        <x:v>LOAD</x:v>
      </x:c>
      <x:c r="X1464" t="str">
        <x:v>02_Supervisor_Log(4).xlsx</x:v>
      </x:c>
      <x:c r="Y1464" t="str">
        <x:v>ENH-20260830-01</x:v>
      </x:c>
      <x:c r="Z1464" t="str">
        <x:v>Active</x:v>
      </x:c>
      <x:c r="AA1464"/>
      <x:c r="AB1464"/>
      <x:c r="AC1464"/>
      <x:c r="AD1464"/>
    </x:row>
    <x:row r="1465">
      <x:c r="A1465" t="str">
        <x:v>PCC-PE-KG01-L23-20251024-PM-ORD-2025-00093-S06-C3</x:v>
      </x:c>
      <x:c r="B1465" t="str">
        <x:v>PC-PE-KG01-L23-20251024-PM-ORD-2025-00093-S06</x:v>
      </x:c>
      <x:c r="C1465" t="str">
        <x:v>PE-KG01-L23-20251024-PM-ORD-2025-00093</x:v>
      </x:c>
      <x:c r="D1465" t="str">
        <x:v>KG01</x:v>
      </x:c>
      <x:c r="E1465" s="62" t="n">
        <x:v>45954</x:v>
      </x:c>
      <x:c r="F1465" t="str">
        <x:v>PM</x:v>
      </x:c>
      <x:c r="G1465" t="str">
        <x:v>B</x:v>
      </x:c>
      <x:c r="H1465" t="n">
        <x:v>23</x:v>
      </x:c>
      <x:c r="I1465" t="str">
        <x:v>ORD-2025-00093</x:v>
      </x:c>
      <x:c r="J1465" t="n">
        <x:v>6</x:v>
      </x:c>
      <x:c r="K1465" t="n">
        <x:v>3</x:v>
      </x:c>
      <x:c r="L1465" t="str">
        <x:v>L23-S06-C3</x:v>
      </x:c>
      <x:c r="M1465" t="n">
        <x:v>0</x:v>
      </x:c>
      <x:c r="N1465" t="str">
        <x:v>DerivedFromCount</x:v>
      </x:c>
      <x:c r="O1465" t="str">
        <x:v>PLC-PRD-JAR-720-L23</x:v>
      </x:c>
      <x:c r="P1465" t="str">
        <x:v>OK</x:v>
      </x:c>
      <x:c r="Q1465" t="str">
        <x:v>OK</x:v>
      </x:c>
      <x:c r="R1465" t="str">
        <x:v>OK</x:v>
      </x:c>
      <x:c r="S1465" t="str">
        <x:v>OK</x:v>
      </x:c>
      <x:c r="T1465" t="n">
        <x:v>24</x:v>
      </x:c>
      <x:c r="U1465" t="str">
        <x:v>OK</x:v>
      </x:c>
      <x:c r="V1465" t="str">
        <x:v>OK</x:v>
      </x:c>
      <x:c r="W1465" t="str">
        <x:v>LOAD</x:v>
      </x:c>
      <x:c r="X1465" t="str">
        <x:v>02_Supervisor_Log(4).xlsx</x:v>
      </x:c>
      <x:c r="Y1465" t="str">
        <x:v>ENH-20260830-01</x:v>
      </x:c>
      <x:c r="Z1465" t="str">
        <x:v>Active</x:v>
      </x:c>
      <x:c r="AA1465"/>
      <x:c r="AB1465"/>
      <x:c r="AC1465"/>
      <x:c r="AD1465"/>
    </x:row>
    <x:row r="1466">
      <x:c r="A1466" t="str">
        <x:v>PCC-PE-KG01-L23-20251024-PM-ORD-2025-00093-S07-C1</x:v>
      </x:c>
      <x:c r="B1466" t="str">
        <x:v>PC-PE-KG01-L23-20251024-PM-ORD-2025-00093-S07</x:v>
      </x:c>
      <x:c r="C1466" t="str">
        <x:v>PE-KG01-L23-20251024-PM-ORD-2025-00093</x:v>
      </x:c>
      <x:c r="D1466" t="str">
        <x:v>KG01</x:v>
      </x:c>
      <x:c r="E1466" s="62" t="n">
        <x:v>45954</x:v>
      </x:c>
      <x:c r="F1466" t="str">
        <x:v>PM</x:v>
      </x:c>
      <x:c r="G1466" t="str">
        <x:v>B</x:v>
      </x:c>
      <x:c r="H1466" t="n">
        <x:v>23</x:v>
      </x:c>
      <x:c r="I1466" t="str">
        <x:v>ORD-2025-00093</x:v>
      </x:c>
      <x:c r="J1466" t="n">
        <x:v>7</x:v>
      </x:c>
      <x:c r="K1466" t="n">
        <x:v>1</x:v>
      </x:c>
      <x:c r="L1466" t="str">
        <x:v>L23-S07-C1</x:v>
      </x:c>
      <x:c r="M1466" t="n">
        <x:v>1</x:v>
      </x:c>
      <x:c r="N1466" t="str">
        <x:v>DerivedFromCount</x:v>
      </x:c>
      <x:c r="O1466" t="str">
        <x:v>PLC-PRD-JAR-720-L23</x:v>
      </x:c>
      <x:c r="P1466" t="str">
        <x:v>OK</x:v>
      </x:c>
      <x:c r="Q1466" t="str">
        <x:v>OK</x:v>
      </x:c>
      <x:c r="R1466" t="str">
        <x:v>OK</x:v>
      </x:c>
      <x:c r="S1466" t="str">
        <x:v>OK</x:v>
      </x:c>
      <x:c r="T1466" t="n">
        <x:v>24</x:v>
      </x:c>
      <x:c r="U1466" t="str">
        <x:v>OK</x:v>
      </x:c>
      <x:c r="V1466" t="str">
        <x:v>OK</x:v>
      </x:c>
      <x:c r="W1466" t="str">
        <x:v>LOAD</x:v>
      </x:c>
      <x:c r="X1466" t="str">
        <x:v>02_Supervisor_Log(4).xlsx</x:v>
      </x:c>
      <x:c r="Y1466" t="str">
        <x:v>ENH-20260830-01</x:v>
      </x:c>
      <x:c r="Z1466" t="str">
        <x:v>Active</x:v>
      </x:c>
      <x:c r="AA1466"/>
      <x:c r="AB1466"/>
      <x:c r="AC1466"/>
      <x:c r="AD1466"/>
    </x:row>
    <x:row r="1467">
      <x:c r="A1467" t="str">
        <x:v>PCC-PE-KG01-L23-20251024-PM-ORD-2025-00093-S07-C2</x:v>
      </x:c>
      <x:c r="B1467" t="str">
        <x:v>PC-PE-KG01-L23-20251024-PM-ORD-2025-00093-S07</x:v>
      </x:c>
      <x:c r="C1467" t="str">
        <x:v>PE-KG01-L23-20251024-PM-ORD-2025-00093</x:v>
      </x:c>
      <x:c r="D1467" t="str">
        <x:v>KG01</x:v>
      </x:c>
      <x:c r="E1467" s="62" t="n">
        <x:v>45954</x:v>
      </x:c>
      <x:c r="F1467" t="str">
        <x:v>PM</x:v>
      </x:c>
      <x:c r="G1467" t="str">
        <x:v>B</x:v>
      </x:c>
      <x:c r="H1467" t="n">
        <x:v>23</x:v>
      </x:c>
      <x:c r="I1467" t="str">
        <x:v>ORD-2025-00093</x:v>
      </x:c>
      <x:c r="J1467" t="n">
        <x:v>7</x:v>
      </x:c>
      <x:c r="K1467" t="n">
        <x:v>2</x:v>
      </x:c>
      <x:c r="L1467" t="str">
        <x:v>L23-S07-C2</x:v>
      </x:c>
      <x:c r="M1467" t="n">
        <x:v>1</x:v>
      </x:c>
      <x:c r="N1467" t="str">
        <x:v>DerivedFromCount</x:v>
      </x:c>
      <x:c r="O1467" t="str">
        <x:v>PLC-PRD-JAR-720-L23</x:v>
      </x:c>
      <x:c r="P1467" t="str">
        <x:v>OK</x:v>
      </x:c>
      <x:c r="Q1467" t="str">
        <x:v>OK</x:v>
      </x:c>
      <x:c r="R1467" t="str">
        <x:v>OK</x:v>
      </x:c>
      <x:c r="S1467" t="str">
        <x:v>OK</x:v>
      </x:c>
      <x:c r="T1467" t="n">
        <x:v>24</x:v>
      </x:c>
      <x:c r="U1467" t="str">
        <x:v>OK</x:v>
      </x:c>
      <x:c r="V1467" t="str">
        <x:v>OK</x:v>
      </x:c>
      <x:c r="W1467" t="str">
        <x:v>LOAD</x:v>
      </x:c>
      <x:c r="X1467" t="str">
        <x:v>02_Supervisor_Log(4).xlsx</x:v>
      </x:c>
      <x:c r="Y1467" t="str">
        <x:v>ENH-20260830-01</x:v>
      </x:c>
      <x:c r="Z1467" t="str">
        <x:v>Active</x:v>
      </x:c>
      <x:c r="AA1467"/>
      <x:c r="AB1467"/>
      <x:c r="AC1467"/>
      <x:c r="AD1467"/>
    </x:row>
    <x:row r="1468">
      <x:c r="A1468" t="str">
        <x:v>PCC-PE-KG01-L23-20251024-PM-ORD-2025-00093-S07-C3</x:v>
      </x:c>
      <x:c r="B1468" t="str">
        <x:v>PC-PE-KG01-L23-20251024-PM-ORD-2025-00093-S07</x:v>
      </x:c>
      <x:c r="C1468" t="str">
        <x:v>PE-KG01-L23-20251024-PM-ORD-2025-00093</x:v>
      </x:c>
      <x:c r="D1468" t="str">
        <x:v>KG01</x:v>
      </x:c>
      <x:c r="E1468" s="62" t="n">
        <x:v>45954</x:v>
      </x:c>
      <x:c r="F1468" t="str">
        <x:v>PM</x:v>
      </x:c>
      <x:c r="G1468" t="str">
        <x:v>B</x:v>
      </x:c>
      <x:c r="H1468" t="n">
        <x:v>23</x:v>
      </x:c>
      <x:c r="I1468" t="str">
        <x:v>ORD-2025-00093</x:v>
      </x:c>
      <x:c r="J1468" t="n">
        <x:v>7</x:v>
      </x:c>
      <x:c r="K1468" t="n">
        <x:v>3</x:v>
      </x:c>
      <x:c r="L1468" t="str">
        <x:v>L23-S07-C3</x:v>
      </x:c>
      <x:c r="M1468" t="n">
        <x:v>0</x:v>
      </x:c>
      <x:c r="N1468" t="str">
        <x:v>DerivedFromCount</x:v>
      </x:c>
      <x:c r="O1468" t="str">
        <x:v>PLC-PRD-JAR-720-L23</x:v>
      </x:c>
      <x:c r="P1468" t="str">
        <x:v>OK</x:v>
      </x:c>
      <x:c r="Q1468" t="str">
        <x:v>OK</x:v>
      </x:c>
      <x:c r="R1468" t="str">
        <x:v>OK</x:v>
      </x:c>
      <x:c r="S1468" t="str">
        <x:v>OK</x:v>
      </x:c>
      <x:c r="T1468" t="n">
        <x:v>24</x:v>
      </x:c>
      <x:c r="U1468" t="str">
        <x:v>OK</x:v>
      </x:c>
      <x:c r="V1468" t="str">
        <x:v>OK</x:v>
      </x:c>
      <x:c r="W1468" t="str">
        <x:v>LOAD</x:v>
      </x:c>
      <x:c r="X1468" t="str">
        <x:v>02_Supervisor_Log(4).xlsx</x:v>
      </x:c>
      <x:c r="Y1468" t="str">
        <x:v>ENH-20260830-01</x:v>
      </x:c>
      <x:c r="Z1468" t="str">
        <x:v>Active</x:v>
      </x:c>
      <x:c r="AA1468"/>
      <x:c r="AB1468"/>
      <x:c r="AC1468"/>
      <x:c r="AD1468"/>
    </x:row>
    <x:row r="1469">
      <x:c r="A1469" t="str">
        <x:v>PCC-PE-KG01-L23-20251024-PM-ORD-2025-00093-S08-C1</x:v>
      </x:c>
      <x:c r="B1469" t="str">
        <x:v>PC-PE-KG01-L23-20251024-PM-ORD-2025-00093-S08</x:v>
      </x:c>
      <x:c r="C1469" t="str">
        <x:v>PE-KG01-L23-20251024-PM-ORD-2025-00093</x:v>
      </x:c>
      <x:c r="D1469" t="str">
        <x:v>KG01</x:v>
      </x:c>
      <x:c r="E1469" s="62" t="n">
        <x:v>45954</x:v>
      </x:c>
      <x:c r="F1469" t="str">
        <x:v>PM</x:v>
      </x:c>
      <x:c r="G1469" t="str">
        <x:v>B</x:v>
      </x:c>
      <x:c r="H1469" t="n">
        <x:v>23</x:v>
      </x:c>
      <x:c r="I1469" t="str">
        <x:v>ORD-2025-00093</x:v>
      </x:c>
      <x:c r="J1469" t="n">
        <x:v>8</x:v>
      </x:c>
      <x:c r="K1469" t="n">
        <x:v>1</x:v>
      </x:c>
      <x:c r="L1469" t="str">
        <x:v>L23-S08-C1</x:v>
      </x:c>
      <x:c r="M1469" t="n">
        <x:v>1</x:v>
      </x:c>
      <x:c r="N1469" t="str">
        <x:v>DerivedFromCount</x:v>
      </x:c>
      <x:c r="O1469" t="str">
        <x:v>PLC-PRD-JAR-720-L23</x:v>
      </x:c>
      <x:c r="P1469" t="str">
        <x:v>OK</x:v>
      </x:c>
      <x:c r="Q1469" t="str">
        <x:v>OK</x:v>
      </x:c>
      <x:c r="R1469" t="str">
        <x:v>OK</x:v>
      </x:c>
      <x:c r="S1469" t="str">
        <x:v>OK</x:v>
      </x:c>
      <x:c r="T1469" t="n">
        <x:v>24</x:v>
      </x:c>
      <x:c r="U1469" t="str">
        <x:v>OK</x:v>
      </x:c>
      <x:c r="V1469" t="str">
        <x:v>OK</x:v>
      </x:c>
      <x:c r="W1469" t="str">
        <x:v>LOAD</x:v>
      </x:c>
      <x:c r="X1469" t="str">
        <x:v>02_Supervisor_Log(4).xlsx</x:v>
      </x:c>
      <x:c r="Y1469" t="str">
        <x:v>ENH-20260830-01</x:v>
      </x:c>
      <x:c r="Z1469" t="str">
        <x:v>Active</x:v>
      </x:c>
      <x:c r="AA1469"/>
      <x:c r="AB1469"/>
      <x:c r="AC1469"/>
      <x:c r="AD1469"/>
    </x:row>
    <x:row r="1470">
      <x:c r="A1470" t="str">
        <x:v>PCC-PE-KG01-L23-20251024-PM-ORD-2025-00093-S08-C2</x:v>
      </x:c>
      <x:c r="B1470" t="str">
        <x:v>PC-PE-KG01-L23-20251024-PM-ORD-2025-00093-S08</x:v>
      </x:c>
      <x:c r="C1470" t="str">
        <x:v>PE-KG01-L23-20251024-PM-ORD-2025-00093</x:v>
      </x:c>
      <x:c r="D1470" t="str">
        <x:v>KG01</x:v>
      </x:c>
      <x:c r="E1470" s="62" t="n">
        <x:v>45954</x:v>
      </x:c>
      <x:c r="F1470" t="str">
        <x:v>PM</x:v>
      </x:c>
      <x:c r="G1470" t="str">
        <x:v>B</x:v>
      </x:c>
      <x:c r="H1470" t="n">
        <x:v>23</x:v>
      </x:c>
      <x:c r="I1470" t="str">
        <x:v>ORD-2025-00093</x:v>
      </x:c>
      <x:c r="J1470" t="n">
        <x:v>8</x:v>
      </x:c>
      <x:c r="K1470" t="n">
        <x:v>2</x:v>
      </x:c>
      <x:c r="L1470" t="str">
        <x:v>L23-S08-C2</x:v>
      </x:c>
      <x:c r="M1470" t="n">
        <x:v>1</x:v>
      </x:c>
      <x:c r="N1470" t="str">
        <x:v>DerivedFromCount</x:v>
      </x:c>
      <x:c r="O1470" t="str">
        <x:v>PLC-PRD-JAR-720-L23</x:v>
      </x:c>
      <x:c r="P1470" t="str">
        <x:v>OK</x:v>
      </x:c>
      <x:c r="Q1470" t="str">
        <x:v>OK</x:v>
      </x:c>
      <x:c r="R1470" t="str">
        <x:v>OK</x:v>
      </x:c>
      <x:c r="S1470" t="str">
        <x:v>OK</x:v>
      </x:c>
      <x:c r="T1470" t="n">
        <x:v>24</x:v>
      </x:c>
      <x:c r="U1470" t="str">
        <x:v>OK</x:v>
      </x:c>
      <x:c r="V1470" t="str">
        <x:v>OK</x:v>
      </x:c>
      <x:c r="W1470" t="str">
        <x:v>LOAD</x:v>
      </x:c>
      <x:c r="X1470" t="str">
        <x:v>02_Supervisor_Log(4).xlsx</x:v>
      </x:c>
      <x:c r="Y1470" t="str">
        <x:v>ENH-20260830-01</x:v>
      </x:c>
      <x:c r="Z1470" t="str">
        <x:v>Active</x:v>
      </x:c>
      <x:c r="AA1470"/>
      <x:c r="AB1470"/>
      <x:c r="AC1470"/>
      <x:c r="AD1470"/>
    </x:row>
    <x:row r="1471">
      <x:c r="A1471" t="str">
        <x:v>PCC-PE-KG01-L23-20251024-PM-ORD-2025-00093-S08-C3</x:v>
      </x:c>
      <x:c r="B1471" t="str">
        <x:v>PC-PE-KG01-L23-20251024-PM-ORD-2025-00093-S08</x:v>
      </x:c>
      <x:c r="C1471" t="str">
        <x:v>PE-KG01-L23-20251024-PM-ORD-2025-00093</x:v>
      </x:c>
      <x:c r="D1471" t="str">
        <x:v>KG01</x:v>
      </x:c>
      <x:c r="E1471" s="62" t="n">
        <x:v>45954</x:v>
      </x:c>
      <x:c r="F1471" t="str">
        <x:v>PM</x:v>
      </x:c>
      <x:c r="G1471" t="str">
        <x:v>B</x:v>
      </x:c>
      <x:c r="H1471" t="n">
        <x:v>23</x:v>
      </x:c>
      <x:c r="I1471" t="str">
        <x:v>ORD-2025-00093</x:v>
      </x:c>
      <x:c r="J1471" t="n">
        <x:v>8</x:v>
      </x:c>
      <x:c r="K1471" t="n">
        <x:v>3</x:v>
      </x:c>
      <x:c r="L1471" t="str">
        <x:v>L23-S08-C3</x:v>
      </x:c>
      <x:c r="M1471" t="n">
        <x:v>0</x:v>
      </x:c>
      <x:c r="N1471" t="str">
        <x:v>DerivedFromCount</x:v>
      </x:c>
      <x:c r="O1471" t="str">
        <x:v>PLC-PRD-JAR-720-L23</x:v>
      </x:c>
      <x:c r="P1471" t="str">
        <x:v>OK</x:v>
      </x:c>
      <x:c r="Q1471" t="str">
        <x:v>OK</x:v>
      </x:c>
      <x:c r="R1471" t="str">
        <x:v>OK</x:v>
      </x:c>
      <x:c r="S1471" t="str">
        <x:v>OK</x:v>
      </x:c>
      <x:c r="T1471" t="n">
        <x:v>24</x:v>
      </x:c>
      <x:c r="U1471" t="str">
        <x:v>OK</x:v>
      </x:c>
      <x:c r="V1471" t="str">
        <x:v>OK</x:v>
      </x:c>
      <x:c r="W1471" t="str">
        <x:v>LOAD</x:v>
      </x:c>
      <x:c r="X1471" t="str">
        <x:v>02_Supervisor_Log(4).xlsx</x:v>
      </x:c>
      <x:c r="Y1471" t="str">
        <x:v>ENH-20260830-01</x:v>
      </x:c>
      <x:c r="Z1471" t="str">
        <x:v>Active</x:v>
      </x:c>
      <x:c r="AA1471"/>
      <x:c r="AB1471"/>
      <x:c r="AC1471"/>
      <x:c r="AD1471"/>
    </x:row>
    <x:row r="1472">
      <x:c r="A1472" t="str">
        <x:v>PCC-PE-KG01-L23-20251024-PM-ORD-2025-00093-S09-C1</x:v>
      </x:c>
      <x:c r="B1472" t="str">
        <x:v>PC-PE-KG01-L23-20251024-PM-ORD-2025-00093-S09</x:v>
      </x:c>
      <x:c r="C1472" t="str">
        <x:v>PE-KG01-L23-20251024-PM-ORD-2025-00093</x:v>
      </x:c>
      <x:c r="D1472" t="str">
        <x:v>KG01</x:v>
      </x:c>
      <x:c r="E1472" s="62" t="n">
        <x:v>45954</x:v>
      </x:c>
      <x:c r="F1472" t="str">
        <x:v>PM</x:v>
      </x:c>
      <x:c r="G1472" t="str">
        <x:v>B</x:v>
      </x:c>
      <x:c r="H1472" t="n">
        <x:v>23</x:v>
      </x:c>
      <x:c r="I1472" t="str">
        <x:v>ORD-2025-00093</x:v>
      </x:c>
      <x:c r="J1472" t="n">
        <x:v>9</x:v>
      </x:c>
      <x:c r="K1472" t="n">
        <x:v>1</x:v>
      </x:c>
      <x:c r="L1472" t="str">
        <x:v>L23-S09-C1</x:v>
      </x:c>
      <x:c r="M1472" t="n">
        <x:v>1</x:v>
      </x:c>
      <x:c r="N1472" t="str">
        <x:v>DerivedFromCount</x:v>
      </x:c>
      <x:c r="O1472" t="str">
        <x:v>PLC-PRD-JAR-720-L23</x:v>
      </x:c>
      <x:c r="P1472" t="str">
        <x:v>OK</x:v>
      </x:c>
      <x:c r="Q1472" t="str">
        <x:v>OK</x:v>
      </x:c>
      <x:c r="R1472" t="str">
        <x:v>OK</x:v>
      </x:c>
      <x:c r="S1472" t="str">
        <x:v>OK</x:v>
      </x:c>
      <x:c r="T1472" t="n">
        <x:v>24</x:v>
      </x:c>
      <x:c r="U1472" t="str">
        <x:v>OK</x:v>
      </x:c>
      <x:c r="V1472" t="str">
        <x:v>OK</x:v>
      </x:c>
      <x:c r="W1472" t="str">
        <x:v>LOAD</x:v>
      </x:c>
      <x:c r="X1472" t="str">
        <x:v>02_Supervisor_Log(4).xlsx</x:v>
      </x:c>
      <x:c r="Y1472" t="str">
        <x:v>ENH-20260830-01</x:v>
      </x:c>
      <x:c r="Z1472" t="str">
        <x:v>Active</x:v>
      </x:c>
      <x:c r="AA1472"/>
      <x:c r="AB1472"/>
      <x:c r="AC1472"/>
      <x:c r="AD1472"/>
    </x:row>
    <x:row r="1473">
      <x:c r="A1473" t="str">
        <x:v>PCC-PE-KG01-L23-20251024-PM-ORD-2025-00093-S09-C2</x:v>
      </x:c>
      <x:c r="B1473" t="str">
        <x:v>PC-PE-KG01-L23-20251024-PM-ORD-2025-00093-S09</x:v>
      </x:c>
      <x:c r="C1473" t="str">
        <x:v>PE-KG01-L23-20251024-PM-ORD-2025-00093</x:v>
      </x:c>
      <x:c r="D1473" t="str">
        <x:v>KG01</x:v>
      </x:c>
      <x:c r="E1473" s="62" t="n">
        <x:v>45954</x:v>
      </x:c>
      <x:c r="F1473" t="str">
        <x:v>PM</x:v>
      </x:c>
      <x:c r="G1473" t="str">
        <x:v>B</x:v>
      </x:c>
      <x:c r="H1473" t="n">
        <x:v>23</x:v>
      </x:c>
      <x:c r="I1473" t="str">
        <x:v>ORD-2025-00093</x:v>
      </x:c>
      <x:c r="J1473" t="n">
        <x:v>9</x:v>
      </x:c>
      <x:c r="K1473" t="n">
        <x:v>2</x:v>
      </x:c>
      <x:c r="L1473" t="str">
        <x:v>L23-S09-C2</x:v>
      </x:c>
      <x:c r="M1473" t="n">
        <x:v>1</x:v>
      </x:c>
      <x:c r="N1473" t="str">
        <x:v>DerivedFromCount</x:v>
      </x:c>
      <x:c r="O1473" t="str">
        <x:v>PLC-PRD-JAR-720-L23</x:v>
      </x:c>
      <x:c r="P1473" t="str">
        <x:v>OK</x:v>
      </x:c>
      <x:c r="Q1473" t="str">
        <x:v>OK</x:v>
      </x:c>
      <x:c r="R1473" t="str">
        <x:v>OK</x:v>
      </x:c>
      <x:c r="S1473" t="str">
        <x:v>OK</x:v>
      </x:c>
      <x:c r="T1473" t="n">
        <x:v>24</x:v>
      </x:c>
      <x:c r="U1473" t="str">
        <x:v>OK</x:v>
      </x:c>
      <x:c r="V1473" t="str">
        <x:v>OK</x:v>
      </x:c>
      <x:c r="W1473" t="str">
        <x:v>LOAD</x:v>
      </x:c>
      <x:c r="X1473" t="str">
        <x:v>02_Supervisor_Log(4).xlsx</x:v>
      </x:c>
      <x:c r="Y1473" t="str">
        <x:v>ENH-20260830-01</x:v>
      </x:c>
      <x:c r="Z1473" t="str">
        <x:v>Active</x:v>
      </x:c>
      <x:c r="AA1473"/>
      <x:c r="AB1473"/>
      <x:c r="AC1473"/>
      <x:c r="AD1473"/>
    </x:row>
    <x:row r="1474">
      <x:c r="A1474" t="str">
        <x:v>PCC-PE-KG01-L23-20251024-PM-ORD-2025-00093-S09-C3</x:v>
      </x:c>
      <x:c r="B1474" t="str">
        <x:v>PC-PE-KG01-L23-20251024-PM-ORD-2025-00093-S09</x:v>
      </x:c>
      <x:c r="C1474" t="str">
        <x:v>PE-KG01-L23-20251024-PM-ORD-2025-00093</x:v>
      </x:c>
      <x:c r="D1474" t="str">
        <x:v>KG01</x:v>
      </x:c>
      <x:c r="E1474" s="62" t="n">
        <x:v>45954</x:v>
      </x:c>
      <x:c r="F1474" t="str">
        <x:v>PM</x:v>
      </x:c>
      <x:c r="G1474" t="str">
        <x:v>B</x:v>
      </x:c>
      <x:c r="H1474" t="n">
        <x:v>23</x:v>
      </x:c>
      <x:c r="I1474" t="str">
        <x:v>ORD-2025-00093</x:v>
      </x:c>
      <x:c r="J1474" t="n">
        <x:v>9</x:v>
      </x:c>
      <x:c r="K1474" t="n">
        <x:v>3</x:v>
      </x:c>
      <x:c r="L1474" t="str">
        <x:v>L23-S09-C3</x:v>
      </x:c>
      <x:c r="M1474" t="n">
        <x:v>0</x:v>
      </x:c>
      <x:c r="N1474" t="str">
        <x:v>DerivedFromCount</x:v>
      </x:c>
      <x:c r="O1474" t="str">
        <x:v>PLC-PRD-JAR-720-L23</x:v>
      </x:c>
      <x:c r="P1474" t="str">
        <x:v>OK</x:v>
      </x:c>
      <x:c r="Q1474" t="str">
        <x:v>OK</x:v>
      </x:c>
      <x:c r="R1474" t="str">
        <x:v>OK</x:v>
      </x:c>
      <x:c r="S1474" t="str">
        <x:v>OK</x:v>
      </x:c>
      <x:c r="T1474" t="n">
        <x:v>24</x:v>
      </x:c>
      <x:c r="U1474" t="str">
        <x:v>OK</x:v>
      </x:c>
      <x:c r="V1474" t="str">
        <x:v>OK</x:v>
      </x:c>
      <x:c r="W1474" t="str">
        <x:v>LOAD</x:v>
      </x:c>
      <x:c r="X1474" t="str">
        <x:v>02_Supervisor_Log(4).xlsx</x:v>
      </x:c>
      <x:c r="Y1474" t="str">
        <x:v>ENH-20260830-01</x:v>
      </x:c>
      <x:c r="Z1474" t="str">
        <x:v>Active</x:v>
      </x:c>
      <x:c r="AA1474"/>
      <x:c r="AB1474"/>
      <x:c r="AC1474"/>
      <x:c r="AD1474"/>
    </x:row>
    <x:row r="1475">
      <x:c r="A1475" t="str">
        <x:v>PCC-PE-KG01-L23-20251024-PM-ORD-2025-00093-S10-C1</x:v>
      </x:c>
      <x:c r="B1475" t="str">
        <x:v>PC-PE-KG01-L23-20251024-PM-ORD-2025-00093-S10</x:v>
      </x:c>
      <x:c r="C1475" t="str">
        <x:v>PE-KG01-L23-20251024-PM-ORD-2025-00093</x:v>
      </x:c>
      <x:c r="D1475" t="str">
        <x:v>KG01</x:v>
      </x:c>
      <x:c r="E1475" s="62" t="n">
        <x:v>45954</x:v>
      </x:c>
      <x:c r="F1475" t="str">
        <x:v>PM</x:v>
      </x:c>
      <x:c r="G1475" t="str">
        <x:v>B</x:v>
      </x:c>
      <x:c r="H1475" t="n">
        <x:v>23</x:v>
      </x:c>
      <x:c r="I1475" t="str">
        <x:v>ORD-2025-00093</x:v>
      </x:c>
      <x:c r="J1475" t="n">
        <x:v>10</x:v>
      </x:c>
      <x:c r="K1475" t="n">
        <x:v>1</x:v>
      </x:c>
      <x:c r="L1475" t="str">
        <x:v>L23-S10-C1</x:v>
      </x:c>
      <x:c r="M1475" t="n">
        <x:v>1</x:v>
      </x:c>
      <x:c r="N1475" t="str">
        <x:v>DerivedFromCount</x:v>
      </x:c>
      <x:c r="O1475" t="str">
        <x:v>PLC-PRD-JAR-720-L23</x:v>
      </x:c>
      <x:c r="P1475" t="str">
        <x:v>OK</x:v>
      </x:c>
      <x:c r="Q1475" t="str">
        <x:v>OK</x:v>
      </x:c>
      <x:c r="R1475" t="str">
        <x:v>OK</x:v>
      </x:c>
      <x:c r="S1475" t="str">
        <x:v>OK</x:v>
      </x:c>
      <x:c r="T1475" t="n">
        <x:v>24</x:v>
      </x:c>
      <x:c r="U1475" t="str">
        <x:v>OK</x:v>
      </x:c>
      <x:c r="V1475" t="str">
        <x:v>OK</x:v>
      </x:c>
      <x:c r="W1475" t="str">
        <x:v>LOAD</x:v>
      </x:c>
      <x:c r="X1475" t="str">
        <x:v>02_Supervisor_Log(4).xlsx</x:v>
      </x:c>
      <x:c r="Y1475" t="str">
        <x:v>ENH-20260830-01</x:v>
      </x:c>
      <x:c r="Z1475" t="str">
        <x:v>Active</x:v>
      </x:c>
      <x:c r="AA1475"/>
      <x:c r="AB1475"/>
      <x:c r="AC1475"/>
      <x:c r="AD1475"/>
    </x:row>
    <x:row r="1476">
      <x:c r="A1476" t="str">
        <x:v>PCC-PE-KG01-L23-20251024-PM-ORD-2025-00093-S10-C2</x:v>
      </x:c>
      <x:c r="B1476" t="str">
        <x:v>PC-PE-KG01-L23-20251024-PM-ORD-2025-00093-S10</x:v>
      </x:c>
      <x:c r="C1476" t="str">
        <x:v>PE-KG01-L23-20251024-PM-ORD-2025-00093</x:v>
      </x:c>
      <x:c r="D1476" t="str">
        <x:v>KG01</x:v>
      </x:c>
      <x:c r="E1476" s="62" t="n">
        <x:v>45954</x:v>
      </x:c>
      <x:c r="F1476" t="str">
        <x:v>PM</x:v>
      </x:c>
      <x:c r="G1476" t="str">
        <x:v>B</x:v>
      </x:c>
      <x:c r="H1476" t="n">
        <x:v>23</x:v>
      </x:c>
      <x:c r="I1476" t="str">
        <x:v>ORD-2025-00093</x:v>
      </x:c>
      <x:c r="J1476" t="n">
        <x:v>10</x:v>
      </x:c>
      <x:c r="K1476" t="n">
        <x:v>2</x:v>
      </x:c>
      <x:c r="L1476" t="str">
        <x:v>L23-S10-C2</x:v>
      </x:c>
      <x:c r="M1476" t="n">
        <x:v>1</x:v>
      </x:c>
      <x:c r="N1476" t="str">
        <x:v>DerivedFromCount</x:v>
      </x:c>
      <x:c r="O1476" t="str">
        <x:v>PLC-PRD-JAR-720-L23</x:v>
      </x:c>
      <x:c r="P1476" t="str">
        <x:v>OK</x:v>
      </x:c>
      <x:c r="Q1476" t="str">
        <x:v>OK</x:v>
      </x:c>
      <x:c r="R1476" t="str">
        <x:v>OK</x:v>
      </x:c>
      <x:c r="S1476" t="str">
        <x:v>OK</x:v>
      </x:c>
      <x:c r="T1476" t="n">
        <x:v>24</x:v>
      </x:c>
      <x:c r="U1476" t="str">
        <x:v>OK</x:v>
      </x:c>
      <x:c r="V1476" t="str">
        <x:v>OK</x:v>
      </x:c>
      <x:c r="W1476" t="str">
        <x:v>LOAD</x:v>
      </x:c>
      <x:c r="X1476" t="str">
        <x:v>02_Supervisor_Log(4).xlsx</x:v>
      </x:c>
      <x:c r="Y1476" t="str">
        <x:v>ENH-20260830-01</x:v>
      </x:c>
      <x:c r="Z1476" t="str">
        <x:v>Active</x:v>
      </x:c>
      <x:c r="AA1476"/>
      <x:c r="AB1476"/>
      <x:c r="AC1476"/>
      <x:c r="AD1476"/>
    </x:row>
    <x:row r="1477">
      <x:c r="A1477" t="str">
        <x:v>PCC-PE-KG01-L23-20251024-PM-ORD-2025-00093-S10-C3</x:v>
      </x:c>
      <x:c r="B1477" t="str">
        <x:v>PC-PE-KG01-L23-20251024-PM-ORD-2025-00093-S10</x:v>
      </x:c>
      <x:c r="C1477" t="str">
        <x:v>PE-KG01-L23-20251024-PM-ORD-2025-00093</x:v>
      </x:c>
      <x:c r="D1477" t="str">
        <x:v>KG01</x:v>
      </x:c>
      <x:c r="E1477" s="62" t="n">
        <x:v>45954</x:v>
      </x:c>
      <x:c r="F1477" t="str">
        <x:v>PM</x:v>
      </x:c>
      <x:c r="G1477" t="str">
        <x:v>B</x:v>
      </x:c>
      <x:c r="H1477" t="n">
        <x:v>23</x:v>
      </x:c>
      <x:c r="I1477" t="str">
        <x:v>ORD-2025-00093</x:v>
      </x:c>
      <x:c r="J1477" t="n">
        <x:v>10</x:v>
      </x:c>
      <x:c r="K1477" t="n">
        <x:v>3</x:v>
      </x:c>
      <x:c r="L1477" t="str">
        <x:v>L23-S10-C3</x:v>
      </x:c>
      <x:c r="M1477" t="n">
        <x:v>0</x:v>
      </x:c>
      <x:c r="N1477" t="str">
        <x:v>DerivedFromCount</x:v>
      </x:c>
      <x:c r="O1477" t="str">
        <x:v>PLC-PRD-JAR-720-L23</x:v>
      </x:c>
      <x:c r="P1477" t="str">
        <x:v>OK</x:v>
      </x:c>
      <x:c r="Q1477" t="str">
        <x:v>OK</x:v>
      </x:c>
      <x:c r="R1477" t="str">
        <x:v>OK</x:v>
      </x:c>
      <x:c r="S1477" t="str">
        <x:v>OK</x:v>
      </x:c>
      <x:c r="T1477" t="n">
        <x:v>24</x:v>
      </x:c>
      <x:c r="U1477" t="str">
        <x:v>OK</x:v>
      </x:c>
      <x:c r="V1477" t="str">
        <x:v>OK</x:v>
      </x:c>
      <x:c r="W1477" t="str">
        <x:v>LOAD</x:v>
      </x:c>
      <x:c r="X1477" t="str">
        <x:v>02_Supervisor_Log(4).xlsx</x:v>
      </x:c>
      <x:c r="Y1477" t="str">
        <x:v>ENH-20260830-01</x:v>
      </x:c>
      <x:c r="Z1477" t="str">
        <x:v>Active</x:v>
      </x:c>
      <x:c r="AA1477"/>
      <x:c r="AB1477"/>
      <x:c r="AC1477"/>
      <x:c r="AD1477"/>
    </x:row>
    <x:row r="1478">
      <x:c r="A1478" t="str">
        <x:v>PCC-PE-KG01-L23-20251024-PM-ORD-2025-00093-S11-C1</x:v>
      </x:c>
      <x:c r="B1478" t="str">
        <x:v>PC-PE-KG01-L23-20251024-PM-ORD-2025-00093-S11</x:v>
      </x:c>
      <x:c r="C1478" t="str">
        <x:v>PE-KG01-L23-20251024-PM-ORD-2025-00093</x:v>
      </x:c>
      <x:c r="D1478" t="str">
        <x:v>KG01</x:v>
      </x:c>
      <x:c r="E1478" s="62" t="n">
        <x:v>45954</x:v>
      </x:c>
      <x:c r="F1478" t="str">
        <x:v>PM</x:v>
      </x:c>
      <x:c r="G1478" t="str">
        <x:v>B</x:v>
      </x:c>
      <x:c r="H1478" t="n">
        <x:v>23</x:v>
      </x:c>
      <x:c r="I1478" t="str">
        <x:v>ORD-2025-00093</x:v>
      </x:c>
      <x:c r="J1478" t="n">
        <x:v>11</x:v>
      </x:c>
      <x:c r="K1478" t="n">
        <x:v>1</x:v>
      </x:c>
      <x:c r="L1478" t="str">
        <x:v>L23-S11-C1</x:v>
      </x:c>
      <x:c r="M1478" t="n">
        <x:v>1</x:v>
      </x:c>
      <x:c r="N1478" t="str">
        <x:v>DerivedFromCount</x:v>
      </x:c>
      <x:c r="O1478" t="str">
        <x:v>PLC-PRD-JAR-720-L23</x:v>
      </x:c>
      <x:c r="P1478" t="str">
        <x:v>OK</x:v>
      </x:c>
      <x:c r="Q1478" t="str">
        <x:v>OK</x:v>
      </x:c>
      <x:c r="R1478" t="str">
        <x:v>OK</x:v>
      </x:c>
      <x:c r="S1478" t="str">
        <x:v>OK</x:v>
      </x:c>
      <x:c r="T1478" t="n">
        <x:v>24</x:v>
      </x:c>
      <x:c r="U1478" t="str">
        <x:v>OK</x:v>
      </x:c>
      <x:c r="V1478" t="str">
        <x:v>OK</x:v>
      </x:c>
      <x:c r="W1478" t="str">
        <x:v>LOAD</x:v>
      </x:c>
      <x:c r="X1478" t="str">
        <x:v>02_Supervisor_Log(4).xlsx</x:v>
      </x:c>
      <x:c r="Y1478" t="str">
        <x:v>ENH-20260830-01</x:v>
      </x:c>
      <x:c r="Z1478" t="str">
        <x:v>Active</x:v>
      </x:c>
      <x:c r="AA1478"/>
      <x:c r="AB1478"/>
      <x:c r="AC1478"/>
      <x:c r="AD1478"/>
    </x:row>
    <x:row r="1479">
      <x:c r="A1479" t="str">
        <x:v>PCC-PE-KG01-L23-20251024-PM-ORD-2025-00093-S11-C2</x:v>
      </x:c>
      <x:c r="B1479" t="str">
        <x:v>PC-PE-KG01-L23-20251024-PM-ORD-2025-00093-S11</x:v>
      </x:c>
      <x:c r="C1479" t="str">
        <x:v>PE-KG01-L23-20251024-PM-ORD-2025-00093</x:v>
      </x:c>
      <x:c r="D1479" t="str">
        <x:v>KG01</x:v>
      </x:c>
      <x:c r="E1479" s="62" t="n">
        <x:v>45954</x:v>
      </x:c>
      <x:c r="F1479" t="str">
        <x:v>PM</x:v>
      </x:c>
      <x:c r="G1479" t="str">
        <x:v>B</x:v>
      </x:c>
      <x:c r="H1479" t="n">
        <x:v>23</x:v>
      </x:c>
      <x:c r="I1479" t="str">
        <x:v>ORD-2025-00093</x:v>
      </x:c>
      <x:c r="J1479" t="n">
        <x:v>11</x:v>
      </x:c>
      <x:c r="K1479" t="n">
        <x:v>2</x:v>
      </x:c>
      <x:c r="L1479" t="str">
        <x:v>L23-S11-C2</x:v>
      </x:c>
      <x:c r="M1479" t="n">
        <x:v>1</x:v>
      </x:c>
      <x:c r="N1479" t="str">
        <x:v>DerivedFromCount</x:v>
      </x:c>
      <x:c r="O1479" t="str">
        <x:v>PLC-PRD-JAR-720-L23</x:v>
      </x:c>
      <x:c r="P1479" t="str">
        <x:v>OK</x:v>
      </x:c>
      <x:c r="Q1479" t="str">
        <x:v>OK</x:v>
      </x:c>
      <x:c r="R1479" t="str">
        <x:v>OK</x:v>
      </x:c>
      <x:c r="S1479" t="str">
        <x:v>OK</x:v>
      </x:c>
      <x:c r="T1479" t="n">
        <x:v>24</x:v>
      </x:c>
      <x:c r="U1479" t="str">
        <x:v>OK</x:v>
      </x:c>
      <x:c r="V1479" t="str">
        <x:v>OK</x:v>
      </x:c>
      <x:c r="W1479" t="str">
        <x:v>LOAD</x:v>
      </x:c>
      <x:c r="X1479" t="str">
        <x:v>02_Supervisor_Log(4).xlsx</x:v>
      </x:c>
      <x:c r="Y1479" t="str">
        <x:v>ENH-20260830-01</x:v>
      </x:c>
      <x:c r="Z1479" t="str">
        <x:v>Active</x:v>
      </x:c>
      <x:c r="AA1479"/>
      <x:c r="AB1479"/>
      <x:c r="AC1479"/>
      <x:c r="AD1479"/>
    </x:row>
    <x:row r="1480">
      <x:c r="A1480" t="str">
        <x:v>PCC-PE-KG01-L23-20251024-PM-ORD-2025-00093-S11-C3</x:v>
      </x:c>
      <x:c r="B1480" t="str">
        <x:v>PC-PE-KG01-L23-20251024-PM-ORD-2025-00093-S11</x:v>
      </x:c>
      <x:c r="C1480" t="str">
        <x:v>PE-KG01-L23-20251024-PM-ORD-2025-00093</x:v>
      </x:c>
      <x:c r="D1480" t="str">
        <x:v>KG01</x:v>
      </x:c>
      <x:c r="E1480" s="62" t="n">
        <x:v>45954</x:v>
      </x:c>
      <x:c r="F1480" t="str">
        <x:v>PM</x:v>
      </x:c>
      <x:c r="G1480" t="str">
        <x:v>B</x:v>
      </x:c>
      <x:c r="H1480" t="n">
        <x:v>23</x:v>
      </x:c>
      <x:c r="I1480" t="str">
        <x:v>ORD-2025-00093</x:v>
      </x:c>
      <x:c r="J1480" t="n">
        <x:v>11</x:v>
      </x:c>
      <x:c r="K1480" t="n">
        <x:v>3</x:v>
      </x:c>
      <x:c r="L1480" t="str">
        <x:v>L23-S11-C3</x:v>
      </x:c>
      <x:c r="M1480" t="n">
        <x:v>0</x:v>
      </x:c>
      <x:c r="N1480" t="str">
        <x:v>DerivedFromCount</x:v>
      </x:c>
      <x:c r="O1480" t="str">
        <x:v>PLC-PRD-JAR-720-L23</x:v>
      </x:c>
      <x:c r="P1480" t="str">
        <x:v>OK</x:v>
      </x:c>
      <x:c r="Q1480" t="str">
        <x:v>OK</x:v>
      </x:c>
      <x:c r="R1480" t="str">
        <x:v>OK</x:v>
      </x:c>
      <x:c r="S1480" t="str">
        <x:v>OK</x:v>
      </x:c>
      <x:c r="T1480" t="n">
        <x:v>24</x:v>
      </x:c>
      <x:c r="U1480" t="str">
        <x:v>OK</x:v>
      </x:c>
      <x:c r="V1480" t="str">
        <x:v>OK</x:v>
      </x:c>
      <x:c r="W1480" t="str">
        <x:v>LOAD</x:v>
      </x:c>
      <x:c r="X1480" t="str">
        <x:v>02_Supervisor_Log(4).xlsx</x:v>
      </x:c>
      <x:c r="Y1480" t="str">
        <x:v>ENH-20260830-01</x:v>
      </x:c>
      <x:c r="Z1480" t="str">
        <x:v>Active</x:v>
      </x:c>
      <x:c r="AA1480"/>
      <x:c r="AB1480"/>
      <x:c r="AC1480"/>
      <x:c r="AD1480"/>
    </x:row>
    <x:row r="1481">
      <x:c r="A1481" t="str">
        <x:v>PCC-PE-KG01-L23-20251024-PM-ORD-2025-00093-S12-C1</x:v>
      </x:c>
      <x:c r="B1481" t="str">
        <x:v>PC-PE-KG01-L23-20251024-PM-ORD-2025-00093-S12</x:v>
      </x:c>
      <x:c r="C1481" t="str">
        <x:v>PE-KG01-L23-20251024-PM-ORD-2025-00093</x:v>
      </x:c>
      <x:c r="D1481" t="str">
        <x:v>KG01</x:v>
      </x:c>
      <x:c r="E1481" s="62" t="n">
        <x:v>45954</x:v>
      </x:c>
      <x:c r="F1481" t="str">
        <x:v>PM</x:v>
      </x:c>
      <x:c r="G1481" t="str">
        <x:v>B</x:v>
      </x:c>
      <x:c r="H1481" t="n">
        <x:v>23</x:v>
      </x:c>
      <x:c r="I1481" t="str">
        <x:v>ORD-2025-00093</x:v>
      </x:c>
      <x:c r="J1481" t="n">
        <x:v>12</x:v>
      </x:c>
      <x:c r="K1481" t="n">
        <x:v>1</x:v>
      </x:c>
      <x:c r="L1481" t="str">
        <x:v>L23-S12-C1</x:v>
      </x:c>
      <x:c r="M1481" t="n">
        <x:v>1</x:v>
      </x:c>
      <x:c r="N1481" t="str">
        <x:v>DerivedFromCount</x:v>
      </x:c>
      <x:c r="O1481" t="str">
        <x:v>PLC-PRD-JAR-720-L23</x:v>
      </x:c>
      <x:c r="P1481" t="str">
        <x:v>OK</x:v>
      </x:c>
      <x:c r="Q1481" t="str">
        <x:v>OK</x:v>
      </x:c>
      <x:c r="R1481" t="str">
        <x:v>OK</x:v>
      </x:c>
      <x:c r="S1481" t="str">
        <x:v>OK</x:v>
      </x:c>
      <x:c r="T1481" t="n">
        <x:v>24</x:v>
      </x:c>
      <x:c r="U1481" t="str">
        <x:v>OK</x:v>
      </x:c>
      <x:c r="V1481" t="str">
        <x:v>OK</x:v>
      </x:c>
      <x:c r="W1481" t="str">
        <x:v>LOAD</x:v>
      </x:c>
      <x:c r="X1481" t="str">
        <x:v>02_Supervisor_Log(4).xlsx</x:v>
      </x:c>
      <x:c r="Y1481" t="str">
        <x:v>ENH-20260830-01</x:v>
      </x:c>
      <x:c r="Z1481" t="str">
        <x:v>Active</x:v>
      </x:c>
      <x:c r="AA1481"/>
      <x:c r="AB1481"/>
      <x:c r="AC1481"/>
      <x:c r="AD1481"/>
    </x:row>
    <x:row r="1482">
      <x:c r="A1482" t="str">
        <x:v>PCC-PE-KG01-L23-20251024-PM-ORD-2025-00093-S12-C2</x:v>
      </x:c>
      <x:c r="B1482" t="str">
        <x:v>PC-PE-KG01-L23-20251024-PM-ORD-2025-00093-S12</x:v>
      </x:c>
      <x:c r="C1482" t="str">
        <x:v>PE-KG01-L23-20251024-PM-ORD-2025-00093</x:v>
      </x:c>
      <x:c r="D1482" t="str">
        <x:v>KG01</x:v>
      </x:c>
      <x:c r="E1482" s="62" t="n">
        <x:v>45954</x:v>
      </x:c>
      <x:c r="F1482" t="str">
        <x:v>PM</x:v>
      </x:c>
      <x:c r="G1482" t="str">
        <x:v>B</x:v>
      </x:c>
      <x:c r="H1482" t="n">
        <x:v>23</x:v>
      </x:c>
      <x:c r="I1482" t="str">
        <x:v>ORD-2025-00093</x:v>
      </x:c>
      <x:c r="J1482" t="n">
        <x:v>12</x:v>
      </x:c>
      <x:c r="K1482" t="n">
        <x:v>2</x:v>
      </x:c>
      <x:c r="L1482" t="str">
        <x:v>L23-S12-C2</x:v>
      </x:c>
      <x:c r="M1482" t="n">
        <x:v>1</x:v>
      </x:c>
      <x:c r="N1482" t="str">
        <x:v>DerivedFromCount</x:v>
      </x:c>
      <x:c r="O1482" t="str">
        <x:v>PLC-PRD-JAR-720-L23</x:v>
      </x:c>
      <x:c r="P1482" t="str">
        <x:v>OK</x:v>
      </x:c>
      <x:c r="Q1482" t="str">
        <x:v>OK</x:v>
      </x:c>
      <x:c r="R1482" t="str">
        <x:v>OK</x:v>
      </x:c>
      <x:c r="S1482" t="str">
        <x:v>OK</x:v>
      </x:c>
      <x:c r="T1482" t="n">
        <x:v>24</x:v>
      </x:c>
      <x:c r="U1482" t="str">
        <x:v>OK</x:v>
      </x:c>
      <x:c r="V1482" t="str">
        <x:v>OK</x:v>
      </x:c>
      <x:c r="W1482" t="str">
        <x:v>LOAD</x:v>
      </x:c>
      <x:c r="X1482" t="str">
        <x:v>02_Supervisor_Log(4).xlsx</x:v>
      </x:c>
      <x:c r="Y1482" t="str">
        <x:v>ENH-20260830-01</x:v>
      </x:c>
      <x:c r="Z1482" t="str">
        <x:v>Active</x:v>
      </x:c>
      <x:c r="AA1482"/>
      <x:c r="AB1482"/>
      <x:c r="AC1482"/>
      <x:c r="AD1482"/>
    </x:row>
    <x:row r="1483">
      <x:c r="A1483" t="str">
        <x:v>PCC-PE-KG01-L23-20251024-PM-ORD-2025-00093-S12-C3</x:v>
      </x:c>
      <x:c r="B1483" t="str">
        <x:v>PC-PE-KG01-L23-20251024-PM-ORD-2025-00093-S12</x:v>
      </x:c>
      <x:c r="C1483" t="str">
        <x:v>PE-KG01-L23-20251024-PM-ORD-2025-00093</x:v>
      </x:c>
      <x:c r="D1483" t="str">
        <x:v>KG01</x:v>
      </x:c>
      <x:c r="E1483" s="62" t="n">
        <x:v>45954</x:v>
      </x:c>
      <x:c r="F1483" t="str">
        <x:v>PM</x:v>
      </x:c>
      <x:c r="G1483" t="str">
        <x:v>B</x:v>
      </x:c>
      <x:c r="H1483" t="n">
        <x:v>23</x:v>
      </x:c>
      <x:c r="I1483" t="str">
        <x:v>ORD-2025-00093</x:v>
      </x:c>
      <x:c r="J1483" t="n">
        <x:v>12</x:v>
      </x:c>
      <x:c r="K1483" t="n">
        <x:v>3</x:v>
      </x:c>
      <x:c r="L1483" t="str">
        <x:v>L23-S12-C3</x:v>
      </x:c>
      <x:c r="M1483" t="n">
        <x:v>0</x:v>
      </x:c>
      <x:c r="N1483" t="str">
        <x:v>DerivedFromCount</x:v>
      </x:c>
      <x:c r="O1483" t="str">
        <x:v>PLC-PRD-JAR-720-L23</x:v>
      </x:c>
      <x:c r="P1483" t="str">
        <x:v>OK</x:v>
      </x:c>
      <x:c r="Q1483" t="str">
        <x:v>OK</x:v>
      </x:c>
      <x:c r="R1483" t="str">
        <x:v>OK</x:v>
      </x:c>
      <x:c r="S1483" t="str">
        <x:v>OK</x:v>
      </x:c>
      <x:c r="T1483" t="n">
        <x:v>24</x:v>
      </x:c>
      <x:c r="U1483" t="str">
        <x:v>OK</x:v>
      </x:c>
      <x:c r="V1483" t="str">
        <x:v>OK</x:v>
      </x:c>
      <x:c r="W1483" t="str">
        <x:v>LOAD</x:v>
      </x:c>
      <x:c r="X1483" t="str">
        <x:v>02_Supervisor_Log(4).xlsx</x:v>
      </x:c>
      <x:c r="Y1483" t="str">
        <x:v>ENH-20260830-01</x:v>
      </x:c>
      <x:c r="Z1483" t="str">
        <x:v>Active</x:v>
      </x:c>
      <x:c r="AA1483"/>
      <x:c r="AB1483"/>
      <x:c r="AC1483"/>
      <x:c r="AD1483"/>
    </x:row>
    <x:row r="1484">
      <x:c r="A1484" t="str">
        <x:v>PCC-PE-KG01-L23-20251024-PM-ORD-2025-00093-S13-C1</x:v>
      </x:c>
      <x:c r="B1484" t="str">
        <x:v>PC-PE-KG01-L23-20251024-PM-ORD-2025-00093-S13</x:v>
      </x:c>
      <x:c r="C1484" t="str">
        <x:v>PE-KG01-L23-20251024-PM-ORD-2025-00093</x:v>
      </x:c>
      <x:c r="D1484" t="str">
        <x:v>KG01</x:v>
      </x:c>
      <x:c r="E1484" s="62" t="n">
        <x:v>45954</x:v>
      </x:c>
      <x:c r="F1484" t="str">
        <x:v>PM</x:v>
      </x:c>
      <x:c r="G1484" t="str">
        <x:v>B</x:v>
      </x:c>
      <x:c r="H1484" t="n">
        <x:v>23</x:v>
      </x:c>
      <x:c r="I1484" t="str">
        <x:v>ORD-2025-00093</x:v>
      </x:c>
      <x:c r="J1484" t="n">
        <x:v>13</x:v>
      </x:c>
      <x:c r="K1484" t="n">
        <x:v>1</x:v>
      </x:c>
      <x:c r="L1484" t="str">
        <x:v>L23-S13-C1</x:v>
      </x:c>
      <x:c r="M1484" t="n">
        <x:v>0</x:v>
      </x:c>
      <x:c r="N1484" t="str">
        <x:v>DerivedFromCount</x:v>
      </x:c>
      <x:c r="O1484" t="str">
        <x:v>PLC-PRD-JAR-720-L23</x:v>
      </x:c>
      <x:c r="P1484" t="str">
        <x:v>OK</x:v>
      </x:c>
      <x:c r="Q1484" t="str">
        <x:v>OK</x:v>
      </x:c>
      <x:c r="R1484" t="str">
        <x:v>OK</x:v>
      </x:c>
      <x:c r="S1484" t="str">
        <x:v>OK</x:v>
      </x:c>
      <x:c r="T1484" t="n">
        <x:v>24</x:v>
      </x:c>
      <x:c r="U1484" t="str">
        <x:v>OK</x:v>
      </x:c>
      <x:c r="V1484" t="str">
        <x:v>OK</x:v>
      </x:c>
      <x:c r="W1484" t="str">
        <x:v>LOAD</x:v>
      </x:c>
      <x:c r="X1484" t="str">
        <x:v>02_Supervisor_Log(4).xlsx</x:v>
      </x:c>
      <x:c r="Y1484" t="str">
        <x:v>ENH-20260830-01</x:v>
      </x:c>
      <x:c r="Z1484" t="str">
        <x:v>Active</x:v>
      </x:c>
      <x:c r="AA1484"/>
      <x:c r="AB1484"/>
      <x:c r="AC1484"/>
      <x:c r="AD1484"/>
    </x:row>
    <x:row r="1485">
      <x:c r="A1485" t="str">
        <x:v>PCC-PE-KG01-L23-20251024-PM-ORD-2025-00093-S13-C2</x:v>
      </x:c>
      <x:c r="B1485" t="str">
        <x:v>PC-PE-KG01-L23-20251024-PM-ORD-2025-00093-S13</x:v>
      </x:c>
      <x:c r="C1485" t="str">
        <x:v>PE-KG01-L23-20251024-PM-ORD-2025-00093</x:v>
      </x:c>
      <x:c r="D1485" t="str">
        <x:v>KG01</x:v>
      </x:c>
      <x:c r="E1485" s="62" t="n">
        <x:v>45954</x:v>
      </x:c>
      <x:c r="F1485" t="str">
        <x:v>PM</x:v>
      </x:c>
      <x:c r="G1485" t="str">
        <x:v>B</x:v>
      </x:c>
      <x:c r="H1485" t="n">
        <x:v>23</x:v>
      </x:c>
      <x:c r="I1485" t="str">
        <x:v>ORD-2025-00093</x:v>
      </x:c>
      <x:c r="J1485" t="n">
        <x:v>13</x:v>
      </x:c>
      <x:c r="K1485" t="n">
        <x:v>2</x:v>
      </x:c>
      <x:c r="L1485" t="str">
        <x:v>L23-S13-C2</x:v>
      </x:c>
      <x:c r="M1485" t="n">
        <x:v>0</x:v>
      </x:c>
      <x:c r="N1485" t="str">
        <x:v>DerivedFromCount</x:v>
      </x:c>
      <x:c r="O1485" t="str">
        <x:v>PLC-PRD-JAR-720-L23</x:v>
      </x:c>
      <x:c r="P1485" t="str">
        <x:v>OK</x:v>
      </x:c>
      <x:c r="Q1485" t="str">
        <x:v>OK</x:v>
      </x:c>
      <x:c r="R1485" t="str">
        <x:v>OK</x:v>
      </x:c>
      <x:c r="S1485" t="str">
        <x:v>OK</x:v>
      </x:c>
      <x:c r="T1485" t="n">
        <x:v>24</x:v>
      </x:c>
      <x:c r="U1485" t="str">
        <x:v>OK</x:v>
      </x:c>
      <x:c r="V1485" t="str">
        <x:v>OK</x:v>
      </x:c>
      <x:c r="W1485" t="str">
        <x:v>LOAD</x:v>
      </x:c>
      <x:c r="X1485" t="str">
        <x:v>02_Supervisor_Log(4).xlsx</x:v>
      </x:c>
      <x:c r="Y1485" t="str">
        <x:v>ENH-20260830-01</x:v>
      </x:c>
      <x:c r="Z1485" t="str">
        <x:v>Active</x:v>
      </x:c>
      <x:c r="AA1485"/>
      <x:c r="AB1485"/>
      <x:c r="AC1485"/>
      <x:c r="AD1485"/>
    </x:row>
    <x:row r="1486">
      <x:c r="A1486" t="str">
        <x:v>PCC-PE-KG01-L23-20251024-PM-ORD-2025-00093-S13-C3</x:v>
      </x:c>
      <x:c r="B1486" t="str">
        <x:v>PC-PE-KG01-L23-20251024-PM-ORD-2025-00093-S13</x:v>
      </x:c>
      <x:c r="C1486" t="str">
        <x:v>PE-KG01-L23-20251024-PM-ORD-2025-00093</x:v>
      </x:c>
      <x:c r="D1486" t="str">
        <x:v>KG01</x:v>
      </x:c>
      <x:c r="E1486" s="62" t="n">
        <x:v>45954</x:v>
      </x:c>
      <x:c r="F1486" t="str">
        <x:v>PM</x:v>
      </x:c>
      <x:c r="G1486" t="str">
        <x:v>B</x:v>
      </x:c>
      <x:c r="H1486" t="n">
        <x:v>23</x:v>
      </x:c>
      <x:c r="I1486" t="str">
        <x:v>ORD-2025-00093</x:v>
      </x:c>
      <x:c r="J1486" t="n">
        <x:v>13</x:v>
      </x:c>
      <x:c r="K1486" t="n">
        <x:v>3</x:v>
      </x:c>
      <x:c r="L1486" t="str">
        <x:v>L23-S13-C3</x:v>
      </x:c>
      <x:c r="M1486" t="n">
        <x:v>0</x:v>
      </x:c>
      <x:c r="N1486" t="str">
        <x:v>DerivedFromCount</x:v>
      </x:c>
      <x:c r="O1486" t="str">
        <x:v>PLC-PRD-JAR-720-L23</x:v>
      </x:c>
      <x:c r="P1486" t="str">
        <x:v>OK</x:v>
      </x:c>
      <x:c r="Q1486" t="str">
        <x:v>OK</x:v>
      </x:c>
      <x:c r="R1486" t="str">
        <x:v>OK</x:v>
      </x:c>
      <x:c r="S1486" t="str">
        <x:v>OK</x:v>
      </x:c>
      <x:c r="T1486" t="n">
        <x:v>24</x:v>
      </x:c>
      <x:c r="U1486" t="str">
        <x:v>OK</x:v>
      </x:c>
      <x:c r="V1486" t="str">
        <x:v>OK</x:v>
      </x:c>
      <x:c r="W1486" t="str">
        <x:v>LOAD</x:v>
      </x:c>
      <x:c r="X1486" t="str">
        <x:v>02_Supervisor_Log(4).xlsx</x:v>
      </x:c>
      <x:c r="Y1486" t="str">
        <x:v>ENH-20260830-01</x:v>
      </x:c>
      <x:c r="Z1486" t="str">
        <x:v>Active</x:v>
      </x:c>
      <x:c r="AA1486"/>
      <x:c r="AB1486"/>
      <x:c r="AC1486"/>
      <x:c r="AD1486"/>
    </x:row>
    <x:row r="1487">
      <x:c r="A1487" t="str">
        <x:v>PCC-PE-KG01-L23-20251025-AM-ORD-2025-00093-S01-C1</x:v>
      </x:c>
      <x:c r="B1487" t="str">
        <x:v>PC-PE-KG01-L23-20251025-AM-ORD-2025-00093-S01</x:v>
      </x:c>
      <x:c r="C1487" t="str">
        <x:v>PE-KG01-L23-20251025-AM-ORD-2025-00093</x:v>
      </x:c>
      <x:c r="D1487" t="str">
        <x:v>KG01</x:v>
      </x:c>
      <x:c r="E1487" s="62" t="n">
        <x:v>45955</x:v>
      </x:c>
      <x:c r="F1487" t="str">
        <x:v>AM</x:v>
      </x:c>
      <x:c r="G1487" t="str">
        <x:v>B</x:v>
      </x:c>
      <x:c r="H1487" t="n">
        <x:v>23</x:v>
      </x:c>
      <x:c r="I1487" t="str">
        <x:v>ORD-2025-00093</x:v>
      </x:c>
      <x:c r="J1487" t="n">
        <x:v>1</x:v>
      </x:c>
      <x:c r="K1487" t="n">
        <x:v>1</x:v>
      </x:c>
      <x:c r="L1487" t="str">
        <x:v>L23-S01-C1</x:v>
      </x:c>
      <x:c r="M1487" t="n">
        <x:v>1</x:v>
      </x:c>
      <x:c r="N1487" t="str">
        <x:v>DerivedFromCount</x:v>
      </x:c>
      <x:c r="O1487" t="str">
        <x:v>PLC-PRD-JAR-720-L23</x:v>
      </x:c>
      <x:c r="P1487" t="str">
        <x:v>OK</x:v>
      </x:c>
      <x:c r="Q1487" t="str">
        <x:v>OK</x:v>
      </x:c>
      <x:c r="R1487" t="str">
        <x:v>OK</x:v>
      </x:c>
      <x:c r="S1487" t="str">
        <x:v>OK</x:v>
      </x:c>
      <x:c r="T1487" t="n">
        <x:v>24</x:v>
      </x:c>
      <x:c r="U1487" t="str">
        <x:v>OK</x:v>
      </x:c>
      <x:c r="V1487" t="str">
        <x:v>OK</x:v>
      </x:c>
      <x:c r="W1487" t="str">
        <x:v>LOAD</x:v>
      </x:c>
      <x:c r="X1487" t="str">
        <x:v>02_Supervisor_Log(4).xlsx</x:v>
      </x:c>
      <x:c r="Y1487" t="str">
        <x:v>ENH-20260830-01</x:v>
      </x:c>
      <x:c r="Z1487" t="str">
        <x:v>Active</x:v>
      </x:c>
      <x:c r="AA1487"/>
      <x:c r="AB1487"/>
      <x:c r="AC1487"/>
      <x:c r="AD1487"/>
    </x:row>
    <x:row r="1488">
      <x:c r="A1488" t="str">
        <x:v>PCC-PE-KG01-L23-20251025-AM-ORD-2025-00093-S01-C2</x:v>
      </x:c>
      <x:c r="B1488" t="str">
        <x:v>PC-PE-KG01-L23-20251025-AM-ORD-2025-00093-S01</x:v>
      </x:c>
      <x:c r="C1488" t="str">
        <x:v>PE-KG01-L23-20251025-AM-ORD-2025-00093</x:v>
      </x:c>
      <x:c r="D1488" t="str">
        <x:v>KG01</x:v>
      </x:c>
      <x:c r="E1488" s="62" t="n">
        <x:v>45955</x:v>
      </x:c>
      <x:c r="F1488" t="str">
        <x:v>AM</x:v>
      </x:c>
      <x:c r="G1488" t="str">
        <x:v>B</x:v>
      </x:c>
      <x:c r="H1488" t="n">
        <x:v>23</x:v>
      </x:c>
      <x:c r="I1488" t="str">
        <x:v>ORD-2025-00093</x:v>
      </x:c>
      <x:c r="J1488" t="n">
        <x:v>1</x:v>
      </x:c>
      <x:c r="K1488" t="n">
        <x:v>2</x:v>
      </x:c>
      <x:c r="L1488" t="str">
        <x:v>L23-S01-C2</x:v>
      </x:c>
      <x:c r="M1488" t="n">
        <x:v>1</x:v>
      </x:c>
      <x:c r="N1488" t="str">
        <x:v>DerivedFromCount</x:v>
      </x:c>
      <x:c r="O1488" t="str">
        <x:v>PLC-PRD-JAR-720-L23</x:v>
      </x:c>
      <x:c r="P1488" t="str">
        <x:v>OK</x:v>
      </x:c>
      <x:c r="Q1488" t="str">
        <x:v>OK</x:v>
      </x:c>
      <x:c r="R1488" t="str">
        <x:v>OK</x:v>
      </x:c>
      <x:c r="S1488" t="str">
        <x:v>OK</x:v>
      </x:c>
      <x:c r="T1488" t="n">
        <x:v>24</x:v>
      </x:c>
      <x:c r="U1488" t="str">
        <x:v>OK</x:v>
      </x:c>
      <x:c r="V1488" t="str">
        <x:v>OK</x:v>
      </x:c>
      <x:c r="W1488" t="str">
        <x:v>LOAD</x:v>
      </x:c>
      <x:c r="X1488" t="str">
        <x:v>02_Supervisor_Log(4).xlsx</x:v>
      </x:c>
      <x:c r="Y1488" t="str">
        <x:v>ENH-20260830-01</x:v>
      </x:c>
      <x:c r="Z1488" t="str">
        <x:v>Active</x:v>
      </x:c>
      <x:c r="AA1488"/>
      <x:c r="AB1488"/>
      <x:c r="AC1488"/>
      <x:c r="AD1488"/>
    </x:row>
    <x:row r="1489">
      <x:c r="A1489" t="str">
        <x:v>PCC-PE-KG01-L23-20251025-AM-ORD-2025-00093-S01-C3</x:v>
      </x:c>
      <x:c r="B1489" t="str">
        <x:v>PC-PE-KG01-L23-20251025-AM-ORD-2025-00093-S01</x:v>
      </x:c>
      <x:c r="C1489" t="str">
        <x:v>PE-KG01-L23-20251025-AM-ORD-2025-00093</x:v>
      </x:c>
      <x:c r="D1489" t="str">
        <x:v>KG01</x:v>
      </x:c>
      <x:c r="E1489" s="62" t="n">
        <x:v>45955</x:v>
      </x:c>
      <x:c r="F1489" t="str">
        <x:v>AM</x:v>
      </x:c>
      <x:c r="G1489" t="str">
        <x:v>B</x:v>
      </x:c>
      <x:c r="H1489" t="n">
        <x:v>23</x:v>
      </x:c>
      <x:c r="I1489" t="str">
        <x:v>ORD-2025-00093</x:v>
      </x:c>
      <x:c r="J1489" t="n">
        <x:v>1</x:v>
      </x:c>
      <x:c r="K1489" t="n">
        <x:v>3</x:v>
      </x:c>
      <x:c r="L1489" t="str">
        <x:v>L23-S01-C3</x:v>
      </x:c>
      <x:c r="M1489" t="n">
        <x:v>0</x:v>
      </x:c>
      <x:c r="N1489" t="str">
        <x:v>DerivedFromCount</x:v>
      </x:c>
      <x:c r="O1489" t="str">
        <x:v>PLC-PRD-JAR-720-L23</x:v>
      </x:c>
      <x:c r="P1489" t="str">
        <x:v>OK</x:v>
      </x:c>
      <x:c r="Q1489" t="str">
        <x:v>OK</x:v>
      </x:c>
      <x:c r="R1489" t="str">
        <x:v>OK</x:v>
      </x:c>
      <x:c r="S1489" t="str">
        <x:v>OK</x:v>
      </x:c>
      <x:c r="T1489" t="n">
        <x:v>24</x:v>
      </x:c>
      <x:c r="U1489" t="str">
        <x:v>OK</x:v>
      </x:c>
      <x:c r="V1489" t="str">
        <x:v>OK</x:v>
      </x:c>
      <x:c r="W1489" t="str">
        <x:v>LOAD</x:v>
      </x:c>
      <x:c r="X1489" t="str">
        <x:v>02_Supervisor_Log(4).xlsx</x:v>
      </x:c>
      <x:c r="Y1489" t="str">
        <x:v>ENH-20260830-01</x:v>
      </x:c>
      <x:c r="Z1489" t="str">
        <x:v>Active</x:v>
      </x:c>
      <x:c r="AA1489"/>
      <x:c r="AB1489"/>
      <x:c r="AC1489"/>
      <x:c r="AD1489"/>
    </x:row>
    <x:row r="1490">
      <x:c r="A1490" t="str">
        <x:v>PCC-PE-KG01-L23-20251025-AM-ORD-2025-00093-S02-C1</x:v>
      </x:c>
      <x:c r="B1490" t="str">
        <x:v>PC-PE-KG01-L23-20251025-AM-ORD-2025-00093-S02</x:v>
      </x:c>
      <x:c r="C1490" t="str">
        <x:v>PE-KG01-L23-20251025-AM-ORD-2025-00093</x:v>
      </x:c>
      <x:c r="D1490" t="str">
        <x:v>KG01</x:v>
      </x:c>
      <x:c r="E1490" s="62" t="n">
        <x:v>45955</x:v>
      </x:c>
      <x:c r="F1490" t="str">
        <x:v>AM</x:v>
      </x:c>
      <x:c r="G1490" t="str">
        <x:v>B</x:v>
      </x:c>
      <x:c r="H1490" t="n">
        <x:v>23</x:v>
      </x:c>
      <x:c r="I1490" t="str">
        <x:v>ORD-2025-00093</x:v>
      </x:c>
      <x:c r="J1490" t="n">
        <x:v>2</x:v>
      </x:c>
      <x:c r="K1490" t="n">
        <x:v>1</x:v>
      </x:c>
      <x:c r="L1490" t="str">
        <x:v>L23-S02-C1</x:v>
      </x:c>
      <x:c r="M1490" t="n">
        <x:v>1</x:v>
      </x:c>
      <x:c r="N1490" t="str">
        <x:v>DerivedFromCount</x:v>
      </x:c>
      <x:c r="O1490" t="str">
        <x:v>PLC-PRD-JAR-720-L23</x:v>
      </x:c>
      <x:c r="P1490" t="str">
        <x:v>OK</x:v>
      </x:c>
      <x:c r="Q1490" t="str">
        <x:v>OK</x:v>
      </x:c>
      <x:c r="R1490" t="str">
        <x:v>OK</x:v>
      </x:c>
      <x:c r="S1490" t="str">
        <x:v>OK</x:v>
      </x:c>
      <x:c r="T1490" t="n">
        <x:v>24</x:v>
      </x:c>
      <x:c r="U1490" t="str">
        <x:v>OK</x:v>
      </x:c>
      <x:c r="V1490" t="str">
        <x:v>OK</x:v>
      </x:c>
      <x:c r="W1490" t="str">
        <x:v>LOAD</x:v>
      </x:c>
      <x:c r="X1490" t="str">
        <x:v>02_Supervisor_Log(4).xlsx</x:v>
      </x:c>
      <x:c r="Y1490" t="str">
        <x:v>ENH-20260830-01</x:v>
      </x:c>
      <x:c r="Z1490" t="str">
        <x:v>Active</x:v>
      </x:c>
      <x:c r="AA1490"/>
      <x:c r="AB1490"/>
      <x:c r="AC1490"/>
      <x:c r="AD1490"/>
    </x:row>
    <x:row r="1491">
      <x:c r="A1491" t="str">
        <x:v>PCC-PE-KG01-L23-20251025-AM-ORD-2025-00093-S02-C2</x:v>
      </x:c>
      <x:c r="B1491" t="str">
        <x:v>PC-PE-KG01-L23-20251025-AM-ORD-2025-00093-S02</x:v>
      </x:c>
      <x:c r="C1491" t="str">
        <x:v>PE-KG01-L23-20251025-AM-ORD-2025-00093</x:v>
      </x:c>
      <x:c r="D1491" t="str">
        <x:v>KG01</x:v>
      </x:c>
      <x:c r="E1491" s="62" t="n">
        <x:v>45955</x:v>
      </x:c>
      <x:c r="F1491" t="str">
        <x:v>AM</x:v>
      </x:c>
      <x:c r="G1491" t="str">
        <x:v>B</x:v>
      </x:c>
      <x:c r="H1491" t="n">
        <x:v>23</x:v>
      </x:c>
      <x:c r="I1491" t="str">
        <x:v>ORD-2025-00093</x:v>
      </x:c>
      <x:c r="J1491" t="n">
        <x:v>2</x:v>
      </x:c>
      <x:c r="K1491" t="n">
        <x:v>2</x:v>
      </x:c>
      <x:c r="L1491" t="str">
        <x:v>L23-S02-C2</x:v>
      </x:c>
      <x:c r="M1491" t="n">
        <x:v>1</x:v>
      </x:c>
      <x:c r="N1491" t="str">
        <x:v>DerivedFromCount</x:v>
      </x:c>
      <x:c r="O1491" t="str">
        <x:v>PLC-PRD-JAR-720-L23</x:v>
      </x:c>
      <x:c r="P1491" t="str">
        <x:v>OK</x:v>
      </x:c>
      <x:c r="Q1491" t="str">
        <x:v>OK</x:v>
      </x:c>
      <x:c r="R1491" t="str">
        <x:v>OK</x:v>
      </x:c>
      <x:c r="S1491" t="str">
        <x:v>OK</x:v>
      </x:c>
      <x:c r="T1491" t="n">
        <x:v>24</x:v>
      </x:c>
      <x:c r="U1491" t="str">
        <x:v>OK</x:v>
      </x:c>
      <x:c r="V1491" t="str">
        <x:v>OK</x:v>
      </x:c>
      <x:c r="W1491" t="str">
        <x:v>LOAD</x:v>
      </x:c>
      <x:c r="X1491" t="str">
        <x:v>02_Supervisor_Log(4).xlsx</x:v>
      </x:c>
      <x:c r="Y1491" t="str">
        <x:v>ENH-20260830-01</x:v>
      </x:c>
      <x:c r="Z1491" t="str">
        <x:v>Active</x:v>
      </x:c>
      <x:c r="AA1491"/>
      <x:c r="AB1491"/>
      <x:c r="AC1491"/>
      <x:c r="AD1491"/>
    </x:row>
    <x:row r="1492">
      <x:c r="A1492" t="str">
        <x:v>PCC-PE-KG01-L23-20251025-AM-ORD-2025-00093-S02-C3</x:v>
      </x:c>
      <x:c r="B1492" t="str">
        <x:v>PC-PE-KG01-L23-20251025-AM-ORD-2025-00093-S02</x:v>
      </x:c>
      <x:c r="C1492" t="str">
        <x:v>PE-KG01-L23-20251025-AM-ORD-2025-00093</x:v>
      </x:c>
      <x:c r="D1492" t="str">
        <x:v>KG01</x:v>
      </x:c>
      <x:c r="E1492" s="62" t="n">
        <x:v>45955</x:v>
      </x:c>
      <x:c r="F1492" t="str">
        <x:v>AM</x:v>
      </x:c>
      <x:c r="G1492" t="str">
        <x:v>B</x:v>
      </x:c>
      <x:c r="H1492" t="n">
        <x:v>23</x:v>
      </x:c>
      <x:c r="I1492" t="str">
        <x:v>ORD-2025-00093</x:v>
      </x:c>
      <x:c r="J1492" t="n">
        <x:v>2</x:v>
      </x:c>
      <x:c r="K1492" t="n">
        <x:v>3</x:v>
      </x:c>
      <x:c r="L1492" t="str">
        <x:v>L23-S02-C3</x:v>
      </x:c>
      <x:c r="M1492" t="n">
        <x:v>0</x:v>
      </x:c>
      <x:c r="N1492" t="str">
        <x:v>DerivedFromCount</x:v>
      </x:c>
      <x:c r="O1492" t="str">
        <x:v>PLC-PRD-JAR-720-L23</x:v>
      </x:c>
      <x:c r="P1492" t="str">
        <x:v>OK</x:v>
      </x:c>
      <x:c r="Q1492" t="str">
        <x:v>OK</x:v>
      </x:c>
      <x:c r="R1492" t="str">
        <x:v>OK</x:v>
      </x:c>
      <x:c r="S1492" t="str">
        <x:v>OK</x:v>
      </x:c>
      <x:c r="T1492" t="n">
        <x:v>24</x:v>
      </x:c>
      <x:c r="U1492" t="str">
        <x:v>OK</x:v>
      </x:c>
      <x:c r="V1492" t="str">
        <x:v>OK</x:v>
      </x:c>
      <x:c r="W1492" t="str">
        <x:v>LOAD</x:v>
      </x:c>
      <x:c r="X1492" t="str">
        <x:v>02_Supervisor_Log(4).xlsx</x:v>
      </x:c>
      <x:c r="Y1492" t="str">
        <x:v>ENH-20260830-01</x:v>
      </x:c>
      <x:c r="Z1492" t="str">
        <x:v>Active</x:v>
      </x:c>
      <x:c r="AA1492"/>
      <x:c r="AB1492"/>
      <x:c r="AC1492"/>
      <x:c r="AD1492"/>
    </x:row>
    <x:row r="1493">
      <x:c r="A1493" t="str">
        <x:v>PCC-PE-KG01-L23-20251025-AM-ORD-2025-00093-S03-C1</x:v>
      </x:c>
      <x:c r="B1493" t="str">
        <x:v>PC-PE-KG01-L23-20251025-AM-ORD-2025-00093-S03</x:v>
      </x:c>
      <x:c r="C1493" t="str">
        <x:v>PE-KG01-L23-20251025-AM-ORD-2025-00093</x:v>
      </x:c>
      <x:c r="D1493" t="str">
        <x:v>KG01</x:v>
      </x:c>
      <x:c r="E1493" s="62" t="n">
        <x:v>45955</x:v>
      </x:c>
      <x:c r="F1493" t="str">
        <x:v>AM</x:v>
      </x:c>
      <x:c r="G1493" t="str">
        <x:v>B</x:v>
      </x:c>
      <x:c r="H1493" t="n">
        <x:v>23</x:v>
      </x:c>
      <x:c r="I1493" t="str">
        <x:v>ORD-2025-00093</x:v>
      </x:c>
      <x:c r="J1493" t="n">
        <x:v>3</x:v>
      </x:c>
      <x:c r="K1493" t="n">
        <x:v>1</x:v>
      </x:c>
      <x:c r="L1493" t="str">
        <x:v>L23-S03-C1</x:v>
      </x:c>
      <x:c r="M1493" t="n">
        <x:v>1</x:v>
      </x:c>
      <x:c r="N1493" t="str">
        <x:v>DerivedFromCount</x:v>
      </x:c>
      <x:c r="O1493" t="str">
        <x:v>PLC-PRD-JAR-720-L23</x:v>
      </x:c>
      <x:c r="P1493" t="str">
        <x:v>OK</x:v>
      </x:c>
      <x:c r="Q1493" t="str">
        <x:v>OK</x:v>
      </x:c>
      <x:c r="R1493" t="str">
        <x:v>OK</x:v>
      </x:c>
      <x:c r="S1493" t="str">
        <x:v>OK</x:v>
      </x:c>
      <x:c r="T1493" t="n">
        <x:v>24</x:v>
      </x:c>
      <x:c r="U1493" t="str">
        <x:v>OK</x:v>
      </x:c>
      <x:c r="V1493" t="str">
        <x:v>OK</x:v>
      </x:c>
      <x:c r="W1493" t="str">
        <x:v>LOAD</x:v>
      </x:c>
      <x:c r="X1493" t="str">
        <x:v>02_Supervisor_Log(4).xlsx</x:v>
      </x:c>
      <x:c r="Y1493" t="str">
        <x:v>ENH-20260830-01</x:v>
      </x:c>
      <x:c r="Z1493" t="str">
        <x:v>Active</x:v>
      </x:c>
      <x:c r="AA1493"/>
      <x:c r="AB1493"/>
      <x:c r="AC1493"/>
      <x:c r="AD1493"/>
    </x:row>
    <x:row r="1494">
      <x:c r="A1494" t="str">
        <x:v>PCC-PE-KG01-L23-20251025-AM-ORD-2025-00093-S03-C2</x:v>
      </x:c>
      <x:c r="B1494" t="str">
        <x:v>PC-PE-KG01-L23-20251025-AM-ORD-2025-00093-S03</x:v>
      </x:c>
      <x:c r="C1494" t="str">
        <x:v>PE-KG01-L23-20251025-AM-ORD-2025-00093</x:v>
      </x:c>
      <x:c r="D1494" t="str">
        <x:v>KG01</x:v>
      </x:c>
      <x:c r="E1494" s="62" t="n">
        <x:v>45955</x:v>
      </x:c>
      <x:c r="F1494" t="str">
        <x:v>AM</x:v>
      </x:c>
      <x:c r="G1494" t="str">
        <x:v>B</x:v>
      </x:c>
      <x:c r="H1494" t="n">
        <x:v>23</x:v>
      </x:c>
      <x:c r="I1494" t="str">
        <x:v>ORD-2025-00093</x:v>
      </x:c>
      <x:c r="J1494" t="n">
        <x:v>3</x:v>
      </x:c>
      <x:c r="K1494" t="n">
        <x:v>2</x:v>
      </x:c>
      <x:c r="L1494" t="str">
        <x:v>L23-S03-C2</x:v>
      </x:c>
      <x:c r="M1494" t="n">
        <x:v>1</x:v>
      </x:c>
      <x:c r="N1494" t="str">
        <x:v>DerivedFromCount</x:v>
      </x:c>
      <x:c r="O1494" t="str">
        <x:v>PLC-PRD-JAR-720-L23</x:v>
      </x:c>
      <x:c r="P1494" t="str">
        <x:v>OK</x:v>
      </x:c>
      <x:c r="Q1494" t="str">
        <x:v>OK</x:v>
      </x:c>
      <x:c r="R1494" t="str">
        <x:v>OK</x:v>
      </x:c>
      <x:c r="S1494" t="str">
        <x:v>OK</x:v>
      </x:c>
      <x:c r="T1494" t="n">
        <x:v>24</x:v>
      </x:c>
      <x:c r="U1494" t="str">
        <x:v>OK</x:v>
      </x:c>
      <x:c r="V1494" t="str">
        <x:v>OK</x:v>
      </x:c>
      <x:c r="W1494" t="str">
        <x:v>LOAD</x:v>
      </x:c>
      <x:c r="X1494" t="str">
        <x:v>02_Supervisor_Log(4).xlsx</x:v>
      </x:c>
      <x:c r="Y1494" t="str">
        <x:v>ENH-20260830-01</x:v>
      </x:c>
      <x:c r="Z1494" t="str">
        <x:v>Active</x:v>
      </x:c>
      <x:c r="AA1494"/>
      <x:c r="AB1494"/>
      <x:c r="AC1494"/>
      <x:c r="AD1494"/>
    </x:row>
    <x:row r="1495">
      <x:c r="A1495" t="str">
        <x:v>PCC-PE-KG01-L23-20251025-AM-ORD-2025-00093-S03-C3</x:v>
      </x:c>
      <x:c r="B1495" t="str">
        <x:v>PC-PE-KG01-L23-20251025-AM-ORD-2025-00093-S03</x:v>
      </x:c>
      <x:c r="C1495" t="str">
        <x:v>PE-KG01-L23-20251025-AM-ORD-2025-00093</x:v>
      </x:c>
      <x:c r="D1495" t="str">
        <x:v>KG01</x:v>
      </x:c>
      <x:c r="E1495" s="62" t="n">
        <x:v>45955</x:v>
      </x:c>
      <x:c r="F1495" t="str">
        <x:v>AM</x:v>
      </x:c>
      <x:c r="G1495" t="str">
        <x:v>B</x:v>
      </x:c>
      <x:c r="H1495" t="n">
        <x:v>23</x:v>
      </x:c>
      <x:c r="I1495" t="str">
        <x:v>ORD-2025-00093</x:v>
      </x:c>
      <x:c r="J1495" t="n">
        <x:v>3</x:v>
      </x:c>
      <x:c r="K1495" t="n">
        <x:v>3</x:v>
      </x:c>
      <x:c r="L1495" t="str">
        <x:v>L23-S03-C3</x:v>
      </x:c>
      <x:c r="M1495" t="n">
        <x:v>0</x:v>
      </x:c>
      <x:c r="N1495" t="str">
        <x:v>DerivedFromCount</x:v>
      </x:c>
      <x:c r="O1495" t="str">
        <x:v>PLC-PRD-JAR-720-L23</x:v>
      </x:c>
      <x:c r="P1495" t="str">
        <x:v>OK</x:v>
      </x:c>
      <x:c r="Q1495" t="str">
        <x:v>OK</x:v>
      </x:c>
      <x:c r="R1495" t="str">
        <x:v>OK</x:v>
      </x:c>
      <x:c r="S1495" t="str">
        <x:v>OK</x:v>
      </x:c>
      <x:c r="T1495" t="n">
        <x:v>24</x:v>
      </x:c>
      <x:c r="U1495" t="str">
        <x:v>OK</x:v>
      </x:c>
      <x:c r="V1495" t="str">
        <x:v>OK</x:v>
      </x:c>
      <x:c r="W1495" t="str">
        <x:v>LOAD</x:v>
      </x:c>
      <x:c r="X1495" t="str">
        <x:v>02_Supervisor_Log(4).xlsx</x:v>
      </x:c>
      <x:c r="Y1495" t="str">
        <x:v>ENH-20260830-01</x:v>
      </x:c>
      <x:c r="Z1495" t="str">
        <x:v>Active</x:v>
      </x:c>
      <x:c r="AA1495"/>
      <x:c r="AB1495"/>
      <x:c r="AC1495"/>
      <x:c r="AD1495"/>
    </x:row>
    <x:row r="1496">
      <x:c r="A1496" t="str">
        <x:v>PCC-PE-KG01-L23-20251025-AM-ORD-2025-00093-S04-C1</x:v>
      </x:c>
      <x:c r="B1496" t="str">
        <x:v>PC-PE-KG01-L23-20251025-AM-ORD-2025-00093-S04</x:v>
      </x:c>
      <x:c r="C1496" t="str">
        <x:v>PE-KG01-L23-20251025-AM-ORD-2025-00093</x:v>
      </x:c>
      <x:c r="D1496" t="str">
        <x:v>KG01</x:v>
      </x:c>
      <x:c r="E1496" s="62" t="n">
        <x:v>45955</x:v>
      </x:c>
      <x:c r="F1496" t="str">
        <x:v>AM</x:v>
      </x:c>
      <x:c r="G1496" t="str">
        <x:v>B</x:v>
      </x:c>
      <x:c r="H1496" t="n">
        <x:v>23</x:v>
      </x:c>
      <x:c r="I1496" t="str">
        <x:v>ORD-2025-00093</x:v>
      </x:c>
      <x:c r="J1496" t="n">
        <x:v>4</x:v>
      </x:c>
      <x:c r="K1496" t="n">
        <x:v>1</x:v>
      </x:c>
      <x:c r="L1496" t="str">
        <x:v>L23-S04-C1</x:v>
      </x:c>
      <x:c r="M1496" t="n">
        <x:v>1</x:v>
      </x:c>
      <x:c r="N1496" t="str">
        <x:v>DerivedFromCount</x:v>
      </x:c>
      <x:c r="O1496" t="str">
        <x:v>PLC-PRD-JAR-720-L23</x:v>
      </x:c>
      <x:c r="P1496" t="str">
        <x:v>OK</x:v>
      </x:c>
      <x:c r="Q1496" t="str">
        <x:v>OK</x:v>
      </x:c>
      <x:c r="R1496" t="str">
        <x:v>OK</x:v>
      </x:c>
      <x:c r="S1496" t="str">
        <x:v>OK</x:v>
      </x:c>
      <x:c r="T1496" t="n">
        <x:v>24</x:v>
      </x:c>
      <x:c r="U1496" t="str">
        <x:v>OK</x:v>
      </x:c>
      <x:c r="V1496" t="str">
        <x:v>OK</x:v>
      </x:c>
      <x:c r="W1496" t="str">
        <x:v>LOAD</x:v>
      </x:c>
      <x:c r="X1496" t="str">
        <x:v>02_Supervisor_Log(4).xlsx</x:v>
      </x:c>
      <x:c r="Y1496" t="str">
        <x:v>ENH-20260830-01</x:v>
      </x:c>
      <x:c r="Z1496" t="str">
        <x:v>Active</x:v>
      </x:c>
      <x:c r="AA1496"/>
      <x:c r="AB1496"/>
      <x:c r="AC1496"/>
      <x:c r="AD1496"/>
    </x:row>
    <x:row r="1497">
      <x:c r="A1497" t="str">
        <x:v>PCC-PE-KG01-L23-20251025-AM-ORD-2025-00093-S04-C2</x:v>
      </x:c>
      <x:c r="B1497" t="str">
        <x:v>PC-PE-KG01-L23-20251025-AM-ORD-2025-00093-S04</x:v>
      </x:c>
      <x:c r="C1497" t="str">
        <x:v>PE-KG01-L23-20251025-AM-ORD-2025-00093</x:v>
      </x:c>
      <x:c r="D1497" t="str">
        <x:v>KG01</x:v>
      </x:c>
      <x:c r="E1497" s="62" t="n">
        <x:v>45955</x:v>
      </x:c>
      <x:c r="F1497" t="str">
        <x:v>AM</x:v>
      </x:c>
      <x:c r="G1497" t="str">
        <x:v>B</x:v>
      </x:c>
      <x:c r="H1497" t="n">
        <x:v>23</x:v>
      </x:c>
      <x:c r="I1497" t="str">
        <x:v>ORD-2025-00093</x:v>
      </x:c>
      <x:c r="J1497" t="n">
        <x:v>4</x:v>
      </x:c>
      <x:c r="K1497" t="n">
        <x:v>2</x:v>
      </x:c>
      <x:c r="L1497" t="str">
        <x:v>L23-S04-C2</x:v>
      </x:c>
      <x:c r="M1497" t="n">
        <x:v>1</x:v>
      </x:c>
      <x:c r="N1497" t="str">
        <x:v>DerivedFromCount</x:v>
      </x:c>
      <x:c r="O1497" t="str">
        <x:v>PLC-PRD-JAR-720-L23</x:v>
      </x:c>
      <x:c r="P1497" t="str">
        <x:v>OK</x:v>
      </x:c>
      <x:c r="Q1497" t="str">
        <x:v>OK</x:v>
      </x:c>
      <x:c r="R1497" t="str">
        <x:v>OK</x:v>
      </x:c>
      <x:c r="S1497" t="str">
        <x:v>OK</x:v>
      </x:c>
      <x:c r="T1497" t="n">
        <x:v>24</x:v>
      </x:c>
      <x:c r="U1497" t="str">
        <x:v>OK</x:v>
      </x:c>
      <x:c r="V1497" t="str">
        <x:v>OK</x:v>
      </x:c>
      <x:c r="W1497" t="str">
        <x:v>LOAD</x:v>
      </x:c>
      <x:c r="X1497" t="str">
        <x:v>02_Supervisor_Log(4).xlsx</x:v>
      </x:c>
      <x:c r="Y1497" t="str">
        <x:v>ENH-20260830-01</x:v>
      </x:c>
      <x:c r="Z1497" t="str">
        <x:v>Active</x:v>
      </x:c>
      <x:c r="AA1497"/>
      <x:c r="AB1497"/>
      <x:c r="AC1497"/>
      <x:c r="AD1497"/>
    </x:row>
    <x:row r="1498">
      <x:c r="A1498" t="str">
        <x:v>PCC-PE-KG01-L23-20251025-AM-ORD-2025-00093-S04-C3</x:v>
      </x:c>
      <x:c r="B1498" t="str">
        <x:v>PC-PE-KG01-L23-20251025-AM-ORD-2025-00093-S04</x:v>
      </x:c>
      <x:c r="C1498" t="str">
        <x:v>PE-KG01-L23-20251025-AM-ORD-2025-00093</x:v>
      </x:c>
      <x:c r="D1498" t="str">
        <x:v>KG01</x:v>
      </x:c>
      <x:c r="E1498" s="62" t="n">
        <x:v>45955</x:v>
      </x:c>
      <x:c r="F1498" t="str">
        <x:v>AM</x:v>
      </x:c>
      <x:c r="G1498" t="str">
        <x:v>B</x:v>
      </x:c>
      <x:c r="H1498" t="n">
        <x:v>23</x:v>
      </x:c>
      <x:c r="I1498" t="str">
        <x:v>ORD-2025-00093</x:v>
      </x:c>
      <x:c r="J1498" t="n">
        <x:v>4</x:v>
      </x:c>
      <x:c r="K1498" t="n">
        <x:v>3</x:v>
      </x:c>
      <x:c r="L1498" t="str">
        <x:v>L23-S04-C3</x:v>
      </x:c>
      <x:c r="M1498" t="n">
        <x:v>0</x:v>
      </x:c>
      <x:c r="N1498" t="str">
        <x:v>DerivedFromCount</x:v>
      </x:c>
      <x:c r="O1498" t="str">
        <x:v>PLC-PRD-JAR-720-L23</x:v>
      </x:c>
      <x:c r="P1498" t="str">
        <x:v>OK</x:v>
      </x:c>
      <x:c r="Q1498" t="str">
        <x:v>OK</x:v>
      </x:c>
      <x:c r="R1498" t="str">
        <x:v>OK</x:v>
      </x:c>
      <x:c r="S1498" t="str">
        <x:v>OK</x:v>
      </x:c>
      <x:c r="T1498" t="n">
        <x:v>24</x:v>
      </x:c>
      <x:c r="U1498" t="str">
        <x:v>OK</x:v>
      </x:c>
      <x:c r="V1498" t="str">
        <x:v>OK</x:v>
      </x:c>
      <x:c r="W1498" t="str">
        <x:v>LOAD</x:v>
      </x:c>
      <x:c r="X1498" t="str">
        <x:v>02_Supervisor_Log(4).xlsx</x:v>
      </x:c>
      <x:c r="Y1498" t="str">
        <x:v>ENH-20260830-01</x:v>
      </x:c>
      <x:c r="Z1498" t="str">
        <x:v>Active</x:v>
      </x:c>
      <x:c r="AA1498"/>
      <x:c r="AB1498"/>
      <x:c r="AC1498"/>
      <x:c r="AD1498"/>
    </x:row>
    <x:row r="1499">
      <x:c r="A1499" t="str">
        <x:v>PCC-PE-KG01-L23-20251025-AM-ORD-2025-00093-S05-C1</x:v>
      </x:c>
      <x:c r="B1499" t="str">
        <x:v>PC-PE-KG01-L23-20251025-AM-ORD-2025-00093-S05</x:v>
      </x:c>
      <x:c r="C1499" t="str">
        <x:v>PE-KG01-L23-20251025-AM-ORD-2025-00093</x:v>
      </x:c>
      <x:c r="D1499" t="str">
        <x:v>KG01</x:v>
      </x:c>
      <x:c r="E1499" s="62" t="n">
        <x:v>45955</x:v>
      </x:c>
      <x:c r="F1499" t="str">
        <x:v>AM</x:v>
      </x:c>
      <x:c r="G1499" t="str">
        <x:v>B</x:v>
      </x:c>
      <x:c r="H1499" t="n">
        <x:v>23</x:v>
      </x:c>
      <x:c r="I1499" t="str">
        <x:v>ORD-2025-00093</x:v>
      </x:c>
      <x:c r="J1499" t="n">
        <x:v>5</x:v>
      </x:c>
      <x:c r="K1499" t="n">
        <x:v>1</x:v>
      </x:c>
      <x:c r="L1499" t="str">
        <x:v>L23-S05-C1</x:v>
      </x:c>
      <x:c r="M1499" t="n">
        <x:v>1</x:v>
      </x:c>
      <x:c r="N1499" t="str">
        <x:v>DerivedFromCount</x:v>
      </x:c>
      <x:c r="O1499" t="str">
        <x:v>PLC-PRD-JAR-720-L23</x:v>
      </x:c>
      <x:c r="P1499" t="str">
        <x:v>OK</x:v>
      </x:c>
      <x:c r="Q1499" t="str">
        <x:v>OK</x:v>
      </x:c>
      <x:c r="R1499" t="str">
        <x:v>OK</x:v>
      </x:c>
      <x:c r="S1499" t="str">
        <x:v>OK</x:v>
      </x:c>
      <x:c r="T1499" t="n">
        <x:v>24</x:v>
      </x:c>
      <x:c r="U1499" t="str">
        <x:v>OK</x:v>
      </x:c>
      <x:c r="V1499" t="str">
        <x:v>OK</x:v>
      </x:c>
      <x:c r="W1499" t="str">
        <x:v>LOAD</x:v>
      </x:c>
      <x:c r="X1499" t="str">
        <x:v>02_Supervisor_Log(4).xlsx</x:v>
      </x:c>
      <x:c r="Y1499" t="str">
        <x:v>ENH-20260830-01</x:v>
      </x:c>
      <x:c r="Z1499" t="str">
        <x:v>Active</x:v>
      </x:c>
      <x:c r="AA1499"/>
      <x:c r="AB1499"/>
      <x:c r="AC1499"/>
      <x:c r="AD1499"/>
    </x:row>
    <x:row r="1500">
      <x:c r="A1500" t="str">
        <x:v>PCC-PE-KG01-L23-20251025-AM-ORD-2025-00093-S05-C2</x:v>
      </x:c>
      <x:c r="B1500" t="str">
        <x:v>PC-PE-KG01-L23-20251025-AM-ORD-2025-00093-S05</x:v>
      </x:c>
      <x:c r="C1500" t="str">
        <x:v>PE-KG01-L23-20251025-AM-ORD-2025-00093</x:v>
      </x:c>
      <x:c r="D1500" t="str">
        <x:v>KG01</x:v>
      </x:c>
      <x:c r="E1500" s="62" t="n">
        <x:v>45955</x:v>
      </x:c>
      <x:c r="F1500" t="str">
        <x:v>AM</x:v>
      </x:c>
      <x:c r="G1500" t="str">
        <x:v>B</x:v>
      </x:c>
      <x:c r="H1500" t="n">
        <x:v>23</x:v>
      </x:c>
      <x:c r="I1500" t="str">
        <x:v>ORD-2025-00093</x:v>
      </x:c>
      <x:c r="J1500" t="n">
        <x:v>5</x:v>
      </x:c>
      <x:c r="K1500" t="n">
        <x:v>2</x:v>
      </x:c>
      <x:c r="L1500" t="str">
        <x:v>L23-S05-C2</x:v>
      </x:c>
      <x:c r="M1500" t="n">
        <x:v>1</x:v>
      </x:c>
      <x:c r="N1500" t="str">
        <x:v>DerivedFromCount</x:v>
      </x:c>
      <x:c r="O1500" t="str">
        <x:v>PLC-PRD-JAR-720-L23</x:v>
      </x:c>
      <x:c r="P1500" t="str">
        <x:v>OK</x:v>
      </x:c>
      <x:c r="Q1500" t="str">
        <x:v>OK</x:v>
      </x:c>
      <x:c r="R1500" t="str">
        <x:v>OK</x:v>
      </x:c>
      <x:c r="S1500" t="str">
        <x:v>OK</x:v>
      </x:c>
      <x:c r="T1500" t="n">
        <x:v>24</x:v>
      </x:c>
      <x:c r="U1500" t="str">
        <x:v>OK</x:v>
      </x:c>
      <x:c r="V1500" t="str">
        <x:v>OK</x:v>
      </x:c>
      <x:c r="W1500" t="str">
        <x:v>LOAD</x:v>
      </x:c>
      <x:c r="X1500" t="str">
        <x:v>02_Supervisor_Log(4).xlsx</x:v>
      </x:c>
      <x:c r="Y1500" t="str">
        <x:v>ENH-20260830-01</x:v>
      </x:c>
      <x:c r="Z1500" t="str">
        <x:v>Active</x:v>
      </x:c>
      <x:c r="AA1500"/>
      <x:c r="AB1500"/>
      <x:c r="AC1500"/>
      <x:c r="AD1500"/>
    </x:row>
    <x:row r="1501">
      <x:c r="A1501" t="str">
        <x:v>PCC-PE-KG01-L23-20251025-AM-ORD-2025-00093-S05-C3</x:v>
      </x:c>
      <x:c r="B1501" t="str">
        <x:v>PC-PE-KG01-L23-20251025-AM-ORD-2025-00093-S05</x:v>
      </x:c>
      <x:c r="C1501" t="str">
        <x:v>PE-KG01-L23-20251025-AM-ORD-2025-00093</x:v>
      </x:c>
      <x:c r="D1501" t="str">
        <x:v>KG01</x:v>
      </x:c>
      <x:c r="E1501" s="62" t="n">
        <x:v>45955</x:v>
      </x:c>
      <x:c r="F1501" t="str">
        <x:v>AM</x:v>
      </x:c>
      <x:c r="G1501" t="str">
        <x:v>B</x:v>
      </x:c>
      <x:c r="H1501" t="n">
        <x:v>23</x:v>
      </x:c>
      <x:c r="I1501" t="str">
        <x:v>ORD-2025-00093</x:v>
      </x:c>
      <x:c r="J1501" t="n">
        <x:v>5</x:v>
      </x:c>
      <x:c r="K1501" t="n">
        <x:v>3</x:v>
      </x:c>
      <x:c r="L1501" t="str">
        <x:v>L23-S05-C3</x:v>
      </x:c>
      <x:c r="M1501" t="n">
        <x:v>0</x:v>
      </x:c>
      <x:c r="N1501" t="str">
        <x:v>DerivedFromCount</x:v>
      </x:c>
      <x:c r="O1501" t="str">
        <x:v>PLC-PRD-JAR-720-L23</x:v>
      </x:c>
      <x:c r="P1501" t="str">
        <x:v>OK</x:v>
      </x:c>
      <x:c r="Q1501" t="str">
        <x:v>OK</x:v>
      </x:c>
      <x:c r="R1501" t="str">
        <x:v>OK</x:v>
      </x:c>
      <x:c r="S1501" t="str">
        <x:v>OK</x:v>
      </x:c>
      <x:c r="T1501" t="n">
        <x:v>24</x:v>
      </x:c>
      <x:c r="U1501" t="str">
        <x:v>OK</x:v>
      </x:c>
      <x:c r="V1501" t="str">
        <x:v>OK</x:v>
      </x:c>
      <x:c r="W1501" t="str">
        <x:v>LOAD</x:v>
      </x:c>
      <x:c r="X1501" t="str">
        <x:v>02_Supervisor_Log(4).xlsx</x:v>
      </x:c>
      <x:c r="Y1501" t="str">
        <x:v>ENH-20260830-01</x:v>
      </x:c>
      <x:c r="Z1501" t="str">
        <x:v>Active</x:v>
      </x:c>
      <x:c r="AA1501"/>
      <x:c r="AB1501"/>
      <x:c r="AC1501"/>
      <x:c r="AD1501"/>
    </x:row>
    <x:row r="1502">
      <x:c r="A1502" t="str">
        <x:v>PCC-PE-KG01-L23-20251025-AM-ORD-2025-00093-S06-C1</x:v>
      </x:c>
      <x:c r="B1502" t="str">
        <x:v>PC-PE-KG01-L23-20251025-AM-ORD-2025-00093-S06</x:v>
      </x:c>
      <x:c r="C1502" t="str">
        <x:v>PE-KG01-L23-20251025-AM-ORD-2025-00093</x:v>
      </x:c>
      <x:c r="D1502" t="str">
        <x:v>KG01</x:v>
      </x:c>
      <x:c r="E1502" s="62" t="n">
        <x:v>45955</x:v>
      </x:c>
      <x:c r="F1502" t="str">
        <x:v>AM</x:v>
      </x:c>
      <x:c r="G1502" t="str">
        <x:v>B</x:v>
      </x:c>
      <x:c r="H1502" t="n">
        <x:v>23</x:v>
      </x:c>
      <x:c r="I1502" t="str">
        <x:v>ORD-2025-00093</x:v>
      </x:c>
      <x:c r="J1502" t="n">
        <x:v>6</x:v>
      </x:c>
      <x:c r="K1502" t="n">
        <x:v>1</x:v>
      </x:c>
      <x:c r="L1502" t="str">
        <x:v>L23-S06-C1</x:v>
      </x:c>
      <x:c r="M1502" t="n">
        <x:v>1</x:v>
      </x:c>
      <x:c r="N1502" t="str">
        <x:v>DerivedFromCount</x:v>
      </x:c>
      <x:c r="O1502" t="str">
        <x:v>PLC-PRD-JAR-720-L23</x:v>
      </x:c>
      <x:c r="P1502" t="str">
        <x:v>OK</x:v>
      </x:c>
      <x:c r="Q1502" t="str">
        <x:v>OK</x:v>
      </x:c>
      <x:c r="R1502" t="str">
        <x:v>OK</x:v>
      </x:c>
      <x:c r="S1502" t="str">
        <x:v>OK</x:v>
      </x:c>
      <x:c r="T1502" t="n">
        <x:v>24</x:v>
      </x:c>
      <x:c r="U1502" t="str">
        <x:v>OK</x:v>
      </x:c>
      <x:c r="V1502" t="str">
        <x:v>OK</x:v>
      </x:c>
      <x:c r="W1502" t="str">
        <x:v>LOAD</x:v>
      </x:c>
      <x:c r="X1502" t="str">
        <x:v>02_Supervisor_Log(4).xlsx</x:v>
      </x:c>
      <x:c r="Y1502" t="str">
        <x:v>ENH-20260830-01</x:v>
      </x:c>
      <x:c r="Z1502" t="str">
        <x:v>Active</x:v>
      </x:c>
      <x:c r="AA1502"/>
      <x:c r="AB1502"/>
      <x:c r="AC1502"/>
      <x:c r="AD1502"/>
    </x:row>
    <x:row r="1503">
      <x:c r="A1503" t="str">
        <x:v>PCC-PE-KG01-L23-20251025-AM-ORD-2025-00093-S06-C2</x:v>
      </x:c>
      <x:c r="B1503" t="str">
        <x:v>PC-PE-KG01-L23-20251025-AM-ORD-2025-00093-S06</x:v>
      </x:c>
      <x:c r="C1503" t="str">
        <x:v>PE-KG01-L23-20251025-AM-ORD-2025-00093</x:v>
      </x:c>
      <x:c r="D1503" t="str">
        <x:v>KG01</x:v>
      </x:c>
      <x:c r="E1503" s="62" t="n">
        <x:v>45955</x:v>
      </x:c>
      <x:c r="F1503" t="str">
        <x:v>AM</x:v>
      </x:c>
      <x:c r="G1503" t="str">
        <x:v>B</x:v>
      </x:c>
      <x:c r="H1503" t="n">
        <x:v>23</x:v>
      </x:c>
      <x:c r="I1503" t="str">
        <x:v>ORD-2025-00093</x:v>
      </x:c>
      <x:c r="J1503" t="n">
        <x:v>6</x:v>
      </x:c>
      <x:c r="K1503" t="n">
        <x:v>2</x:v>
      </x:c>
      <x:c r="L1503" t="str">
        <x:v>L23-S06-C2</x:v>
      </x:c>
      <x:c r="M1503" t="n">
        <x:v>1</x:v>
      </x:c>
      <x:c r="N1503" t="str">
        <x:v>DerivedFromCount</x:v>
      </x:c>
      <x:c r="O1503" t="str">
        <x:v>PLC-PRD-JAR-720-L23</x:v>
      </x:c>
      <x:c r="P1503" t="str">
        <x:v>OK</x:v>
      </x:c>
      <x:c r="Q1503" t="str">
        <x:v>OK</x:v>
      </x:c>
      <x:c r="R1503" t="str">
        <x:v>OK</x:v>
      </x:c>
      <x:c r="S1503" t="str">
        <x:v>OK</x:v>
      </x:c>
      <x:c r="T1503" t="n">
        <x:v>24</x:v>
      </x:c>
      <x:c r="U1503" t="str">
        <x:v>OK</x:v>
      </x:c>
      <x:c r="V1503" t="str">
        <x:v>OK</x:v>
      </x:c>
      <x:c r="W1503" t="str">
        <x:v>LOAD</x:v>
      </x:c>
      <x:c r="X1503" t="str">
        <x:v>02_Supervisor_Log(4).xlsx</x:v>
      </x:c>
      <x:c r="Y1503" t="str">
        <x:v>ENH-20260830-01</x:v>
      </x:c>
      <x:c r="Z1503" t="str">
        <x:v>Active</x:v>
      </x:c>
      <x:c r="AA1503"/>
      <x:c r="AB1503"/>
      <x:c r="AC1503"/>
      <x:c r="AD1503"/>
    </x:row>
    <x:row r="1504">
      <x:c r="A1504" t="str">
        <x:v>PCC-PE-KG01-L23-20251025-AM-ORD-2025-00093-S06-C3</x:v>
      </x:c>
      <x:c r="B1504" t="str">
        <x:v>PC-PE-KG01-L23-20251025-AM-ORD-2025-00093-S06</x:v>
      </x:c>
      <x:c r="C1504" t="str">
        <x:v>PE-KG01-L23-20251025-AM-ORD-2025-00093</x:v>
      </x:c>
      <x:c r="D1504" t="str">
        <x:v>KG01</x:v>
      </x:c>
      <x:c r="E1504" s="62" t="n">
        <x:v>45955</x:v>
      </x:c>
      <x:c r="F1504" t="str">
        <x:v>AM</x:v>
      </x:c>
      <x:c r="G1504" t="str">
        <x:v>B</x:v>
      </x:c>
      <x:c r="H1504" t="n">
        <x:v>23</x:v>
      </x:c>
      <x:c r="I1504" t="str">
        <x:v>ORD-2025-00093</x:v>
      </x:c>
      <x:c r="J1504" t="n">
        <x:v>6</x:v>
      </x:c>
      <x:c r="K1504" t="n">
        <x:v>3</x:v>
      </x:c>
      <x:c r="L1504" t="str">
        <x:v>L23-S06-C3</x:v>
      </x:c>
      <x:c r="M1504" t="n">
        <x:v>0</x:v>
      </x:c>
      <x:c r="N1504" t="str">
        <x:v>DerivedFromCount</x:v>
      </x:c>
      <x:c r="O1504" t="str">
        <x:v>PLC-PRD-JAR-720-L23</x:v>
      </x:c>
      <x:c r="P1504" t="str">
        <x:v>OK</x:v>
      </x:c>
      <x:c r="Q1504" t="str">
        <x:v>OK</x:v>
      </x:c>
      <x:c r="R1504" t="str">
        <x:v>OK</x:v>
      </x:c>
      <x:c r="S1504" t="str">
        <x:v>OK</x:v>
      </x:c>
      <x:c r="T1504" t="n">
        <x:v>24</x:v>
      </x:c>
      <x:c r="U1504" t="str">
        <x:v>OK</x:v>
      </x:c>
      <x:c r="V1504" t="str">
        <x:v>OK</x:v>
      </x:c>
      <x:c r="W1504" t="str">
        <x:v>LOAD</x:v>
      </x:c>
      <x:c r="X1504" t="str">
        <x:v>02_Supervisor_Log(4).xlsx</x:v>
      </x:c>
      <x:c r="Y1504" t="str">
        <x:v>ENH-20260830-01</x:v>
      </x:c>
      <x:c r="Z1504" t="str">
        <x:v>Active</x:v>
      </x:c>
      <x:c r="AA1504"/>
      <x:c r="AB1504"/>
      <x:c r="AC1504"/>
      <x:c r="AD1504"/>
    </x:row>
    <x:row r="1505">
      <x:c r="A1505" t="str">
        <x:v>PCC-PE-KG01-L23-20251025-AM-ORD-2025-00093-S07-C1</x:v>
      </x:c>
      <x:c r="B1505" t="str">
        <x:v>PC-PE-KG01-L23-20251025-AM-ORD-2025-00093-S07</x:v>
      </x:c>
      <x:c r="C1505" t="str">
        <x:v>PE-KG01-L23-20251025-AM-ORD-2025-00093</x:v>
      </x:c>
      <x:c r="D1505" t="str">
        <x:v>KG01</x:v>
      </x:c>
      <x:c r="E1505" s="62" t="n">
        <x:v>45955</x:v>
      </x:c>
      <x:c r="F1505" t="str">
        <x:v>AM</x:v>
      </x:c>
      <x:c r="G1505" t="str">
        <x:v>B</x:v>
      </x:c>
      <x:c r="H1505" t="n">
        <x:v>23</x:v>
      </x:c>
      <x:c r="I1505" t="str">
        <x:v>ORD-2025-00093</x:v>
      </x:c>
      <x:c r="J1505" t="n">
        <x:v>7</x:v>
      </x:c>
      <x:c r="K1505" t="n">
        <x:v>1</x:v>
      </x:c>
      <x:c r="L1505" t="str">
        <x:v>L23-S07-C1</x:v>
      </x:c>
      <x:c r="M1505" t="n">
        <x:v>1</x:v>
      </x:c>
      <x:c r="N1505" t="str">
        <x:v>DerivedFromCount</x:v>
      </x:c>
      <x:c r="O1505" t="str">
        <x:v>PLC-PRD-JAR-720-L23</x:v>
      </x:c>
      <x:c r="P1505" t="str">
        <x:v>OK</x:v>
      </x:c>
      <x:c r="Q1505" t="str">
        <x:v>OK</x:v>
      </x:c>
      <x:c r="R1505" t="str">
        <x:v>OK</x:v>
      </x:c>
      <x:c r="S1505" t="str">
        <x:v>OK</x:v>
      </x:c>
      <x:c r="T1505" t="n">
        <x:v>24</x:v>
      </x:c>
      <x:c r="U1505" t="str">
        <x:v>OK</x:v>
      </x:c>
      <x:c r="V1505" t="str">
        <x:v>OK</x:v>
      </x:c>
      <x:c r="W1505" t="str">
        <x:v>LOAD</x:v>
      </x:c>
      <x:c r="X1505" t="str">
        <x:v>02_Supervisor_Log(4).xlsx</x:v>
      </x:c>
      <x:c r="Y1505" t="str">
        <x:v>ENH-20260830-01</x:v>
      </x:c>
      <x:c r="Z1505" t="str">
        <x:v>Active</x:v>
      </x:c>
      <x:c r="AA1505"/>
      <x:c r="AB1505"/>
      <x:c r="AC1505"/>
      <x:c r="AD1505"/>
    </x:row>
    <x:row r="1506">
      <x:c r="A1506" t="str">
        <x:v>PCC-PE-KG01-L23-20251025-AM-ORD-2025-00093-S07-C2</x:v>
      </x:c>
      <x:c r="B1506" t="str">
        <x:v>PC-PE-KG01-L23-20251025-AM-ORD-2025-00093-S07</x:v>
      </x:c>
      <x:c r="C1506" t="str">
        <x:v>PE-KG01-L23-20251025-AM-ORD-2025-00093</x:v>
      </x:c>
      <x:c r="D1506" t="str">
        <x:v>KG01</x:v>
      </x:c>
      <x:c r="E1506" s="62" t="n">
        <x:v>45955</x:v>
      </x:c>
      <x:c r="F1506" t="str">
        <x:v>AM</x:v>
      </x:c>
      <x:c r="G1506" t="str">
        <x:v>B</x:v>
      </x:c>
      <x:c r="H1506" t="n">
        <x:v>23</x:v>
      </x:c>
      <x:c r="I1506" t="str">
        <x:v>ORD-2025-00093</x:v>
      </x:c>
      <x:c r="J1506" t="n">
        <x:v>7</x:v>
      </x:c>
      <x:c r="K1506" t="n">
        <x:v>2</x:v>
      </x:c>
      <x:c r="L1506" t="str">
        <x:v>L23-S07-C2</x:v>
      </x:c>
      <x:c r="M1506" t="n">
        <x:v>1</x:v>
      </x:c>
      <x:c r="N1506" t="str">
        <x:v>DerivedFromCount</x:v>
      </x:c>
      <x:c r="O1506" t="str">
        <x:v>PLC-PRD-JAR-720-L23</x:v>
      </x:c>
      <x:c r="P1506" t="str">
        <x:v>OK</x:v>
      </x:c>
      <x:c r="Q1506" t="str">
        <x:v>OK</x:v>
      </x:c>
      <x:c r="R1506" t="str">
        <x:v>OK</x:v>
      </x:c>
      <x:c r="S1506" t="str">
        <x:v>OK</x:v>
      </x:c>
      <x:c r="T1506" t="n">
        <x:v>24</x:v>
      </x:c>
      <x:c r="U1506" t="str">
        <x:v>OK</x:v>
      </x:c>
      <x:c r="V1506" t="str">
        <x:v>OK</x:v>
      </x:c>
      <x:c r="W1506" t="str">
        <x:v>LOAD</x:v>
      </x:c>
      <x:c r="X1506" t="str">
        <x:v>02_Supervisor_Log(4).xlsx</x:v>
      </x:c>
      <x:c r="Y1506" t="str">
        <x:v>ENH-20260830-01</x:v>
      </x:c>
      <x:c r="Z1506" t="str">
        <x:v>Active</x:v>
      </x:c>
      <x:c r="AA1506"/>
      <x:c r="AB1506"/>
      <x:c r="AC1506"/>
      <x:c r="AD1506"/>
    </x:row>
    <x:row r="1507">
      <x:c r="A1507" t="str">
        <x:v>PCC-PE-KG01-L23-20251025-AM-ORD-2025-00093-S07-C3</x:v>
      </x:c>
      <x:c r="B1507" t="str">
        <x:v>PC-PE-KG01-L23-20251025-AM-ORD-2025-00093-S07</x:v>
      </x:c>
      <x:c r="C1507" t="str">
        <x:v>PE-KG01-L23-20251025-AM-ORD-2025-00093</x:v>
      </x:c>
      <x:c r="D1507" t="str">
        <x:v>KG01</x:v>
      </x:c>
      <x:c r="E1507" s="62" t="n">
        <x:v>45955</x:v>
      </x:c>
      <x:c r="F1507" t="str">
        <x:v>AM</x:v>
      </x:c>
      <x:c r="G1507" t="str">
        <x:v>B</x:v>
      </x:c>
      <x:c r="H1507" t="n">
        <x:v>23</x:v>
      </x:c>
      <x:c r="I1507" t="str">
        <x:v>ORD-2025-00093</x:v>
      </x:c>
      <x:c r="J1507" t="n">
        <x:v>7</x:v>
      </x:c>
      <x:c r="K1507" t="n">
        <x:v>3</x:v>
      </x:c>
      <x:c r="L1507" t="str">
        <x:v>L23-S07-C3</x:v>
      </x:c>
      <x:c r="M1507" t="n">
        <x:v>0</x:v>
      </x:c>
      <x:c r="N1507" t="str">
        <x:v>DerivedFromCount</x:v>
      </x:c>
      <x:c r="O1507" t="str">
        <x:v>PLC-PRD-JAR-720-L23</x:v>
      </x:c>
      <x:c r="P1507" t="str">
        <x:v>OK</x:v>
      </x:c>
      <x:c r="Q1507" t="str">
        <x:v>OK</x:v>
      </x:c>
      <x:c r="R1507" t="str">
        <x:v>OK</x:v>
      </x:c>
      <x:c r="S1507" t="str">
        <x:v>OK</x:v>
      </x:c>
      <x:c r="T1507" t="n">
        <x:v>24</x:v>
      </x:c>
      <x:c r="U1507" t="str">
        <x:v>OK</x:v>
      </x:c>
      <x:c r="V1507" t="str">
        <x:v>OK</x:v>
      </x:c>
      <x:c r="W1507" t="str">
        <x:v>LOAD</x:v>
      </x:c>
      <x:c r="X1507" t="str">
        <x:v>02_Supervisor_Log(4).xlsx</x:v>
      </x:c>
      <x:c r="Y1507" t="str">
        <x:v>ENH-20260830-01</x:v>
      </x:c>
      <x:c r="Z1507" t="str">
        <x:v>Active</x:v>
      </x:c>
      <x:c r="AA1507"/>
      <x:c r="AB1507"/>
      <x:c r="AC1507"/>
      <x:c r="AD1507"/>
    </x:row>
    <x:row r="1508">
      <x:c r="A1508" t="str">
        <x:v>PCC-PE-KG01-L23-20251025-AM-ORD-2025-00093-S08-C1</x:v>
      </x:c>
      <x:c r="B1508" t="str">
        <x:v>PC-PE-KG01-L23-20251025-AM-ORD-2025-00093-S08</x:v>
      </x:c>
      <x:c r="C1508" t="str">
        <x:v>PE-KG01-L23-20251025-AM-ORD-2025-00093</x:v>
      </x:c>
      <x:c r="D1508" t="str">
        <x:v>KG01</x:v>
      </x:c>
      <x:c r="E1508" s="62" t="n">
        <x:v>45955</x:v>
      </x:c>
      <x:c r="F1508" t="str">
        <x:v>AM</x:v>
      </x:c>
      <x:c r="G1508" t="str">
        <x:v>B</x:v>
      </x:c>
      <x:c r="H1508" t="n">
        <x:v>23</x:v>
      </x:c>
      <x:c r="I1508" t="str">
        <x:v>ORD-2025-00093</x:v>
      </x:c>
      <x:c r="J1508" t="n">
        <x:v>8</x:v>
      </x:c>
      <x:c r="K1508" t="n">
        <x:v>1</x:v>
      </x:c>
      <x:c r="L1508" t="str">
        <x:v>L23-S08-C1</x:v>
      </x:c>
      <x:c r="M1508" t="n">
        <x:v>1</x:v>
      </x:c>
      <x:c r="N1508" t="str">
        <x:v>DerivedFromCount</x:v>
      </x:c>
      <x:c r="O1508" t="str">
        <x:v>PLC-PRD-JAR-720-L23</x:v>
      </x:c>
      <x:c r="P1508" t="str">
        <x:v>OK</x:v>
      </x:c>
      <x:c r="Q1508" t="str">
        <x:v>OK</x:v>
      </x:c>
      <x:c r="R1508" t="str">
        <x:v>OK</x:v>
      </x:c>
      <x:c r="S1508" t="str">
        <x:v>OK</x:v>
      </x:c>
      <x:c r="T1508" t="n">
        <x:v>24</x:v>
      </x:c>
      <x:c r="U1508" t="str">
        <x:v>OK</x:v>
      </x:c>
      <x:c r="V1508" t="str">
        <x:v>OK</x:v>
      </x:c>
      <x:c r="W1508" t="str">
        <x:v>LOAD</x:v>
      </x:c>
      <x:c r="X1508" t="str">
        <x:v>02_Supervisor_Log(4).xlsx</x:v>
      </x:c>
      <x:c r="Y1508" t="str">
        <x:v>ENH-20260830-01</x:v>
      </x:c>
      <x:c r="Z1508" t="str">
        <x:v>Active</x:v>
      </x:c>
      <x:c r="AA1508"/>
      <x:c r="AB1508"/>
      <x:c r="AC1508"/>
      <x:c r="AD1508"/>
    </x:row>
    <x:row r="1509">
      <x:c r="A1509" t="str">
        <x:v>PCC-PE-KG01-L23-20251025-AM-ORD-2025-00093-S08-C2</x:v>
      </x:c>
      <x:c r="B1509" t="str">
        <x:v>PC-PE-KG01-L23-20251025-AM-ORD-2025-00093-S08</x:v>
      </x:c>
      <x:c r="C1509" t="str">
        <x:v>PE-KG01-L23-20251025-AM-ORD-2025-00093</x:v>
      </x:c>
      <x:c r="D1509" t="str">
        <x:v>KG01</x:v>
      </x:c>
      <x:c r="E1509" s="62" t="n">
        <x:v>45955</x:v>
      </x:c>
      <x:c r="F1509" t="str">
        <x:v>AM</x:v>
      </x:c>
      <x:c r="G1509" t="str">
        <x:v>B</x:v>
      </x:c>
      <x:c r="H1509" t="n">
        <x:v>23</x:v>
      </x:c>
      <x:c r="I1509" t="str">
        <x:v>ORD-2025-00093</x:v>
      </x:c>
      <x:c r="J1509" t="n">
        <x:v>8</x:v>
      </x:c>
      <x:c r="K1509" t="n">
        <x:v>2</x:v>
      </x:c>
      <x:c r="L1509" t="str">
        <x:v>L23-S08-C2</x:v>
      </x:c>
      <x:c r="M1509" t="n">
        <x:v>1</x:v>
      </x:c>
      <x:c r="N1509" t="str">
        <x:v>DerivedFromCount</x:v>
      </x:c>
      <x:c r="O1509" t="str">
        <x:v>PLC-PRD-JAR-720-L23</x:v>
      </x:c>
      <x:c r="P1509" t="str">
        <x:v>OK</x:v>
      </x:c>
      <x:c r="Q1509" t="str">
        <x:v>OK</x:v>
      </x:c>
      <x:c r="R1509" t="str">
        <x:v>OK</x:v>
      </x:c>
      <x:c r="S1509" t="str">
        <x:v>OK</x:v>
      </x:c>
      <x:c r="T1509" t="n">
        <x:v>24</x:v>
      </x:c>
      <x:c r="U1509" t="str">
        <x:v>OK</x:v>
      </x:c>
      <x:c r="V1509" t="str">
        <x:v>OK</x:v>
      </x:c>
      <x:c r="W1509" t="str">
        <x:v>LOAD</x:v>
      </x:c>
      <x:c r="X1509" t="str">
        <x:v>02_Supervisor_Log(4).xlsx</x:v>
      </x:c>
      <x:c r="Y1509" t="str">
        <x:v>ENH-20260830-01</x:v>
      </x:c>
      <x:c r="Z1509" t="str">
        <x:v>Active</x:v>
      </x:c>
      <x:c r="AA1509"/>
      <x:c r="AB1509"/>
      <x:c r="AC1509"/>
      <x:c r="AD1509"/>
    </x:row>
    <x:row r="1510">
      <x:c r="A1510" t="str">
        <x:v>PCC-PE-KG01-L23-20251025-AM-ORD-2025-00093-S08-C3</x:v>
      </x:c>
      <x:c r="B1510" t="str">
        <x:v>PC-PE-KG01-L23-20251025-AM-ORD-2025-00093-S08</x:v>
      </x:c>
      <x:c r="C1510" t="str">
        <x:v>PE-KG01-L23-20251025-AM-ORD-2025-00093</x:v>
      </x:c>
      <x:c r="D1510" t="str">
        <x:v>KG01</x:v>
      </x:c>
      <x:c r="E1510" s="62" t="n">
        <x:v>45955</x:v>
      </x:c>
      <x:c r="F1510" t="str">
        <x:v>AM</x:v>
      </x:c>
      <x:c r="G1510" t="str">
        <x:v>B</x:v>
      </x:c>
      <x:c r="H1510" t="n">
        <x:v>23</x:v>
      </x:c>
      <x:c r="I1510" t="str">
        <x:v>ORD-2025-00093</x:v>
      </x:c>
      <x:c r="J1510" t="n">
        <x:v>8</x:v>
      </x:c>
      <x:c r="K1510" t="n">
        <x:v>3</x:v>
      </x:c>
      <x:c r="L1510" t="str">
        <x:v>L23-S08-C3</x:v>
      </x:c>
      <x:c r="M1510" t="n">
        <x:v>0</x:v>
      </x:c>
      <x:c r="N1510" t="str">
        <x:v>DerivedFromCount</x:v>
      </x:c>
      <x:c r="O1510" t="str">
        <x:v>PLC-PRD-JAR-720-L23</x:v>
      </x:c>
      <x:c r="P1510" t="str">
        <x:v>OK</x:v>
      </x:c>
      <x:c r="Q1510" t="str">
        <x:v>OK</x:v>
      </x:c>
      <x:c r="R1510" t="str">
        <x:v>OK</x:v>
      </x:c>
      <x:c r="S1510" t="str">
        <x:v>OK</x:v>
      </x:c>
      <x:c r="T1510" t="n">
        <x:v>24</x:v>
      </x:c>
      <x:c r="U1510" t="str">
        <x:v>OK</x:v>
      </x:c>
      <x:c r="V1510" t="str">
        <x:v>OK</x:v>
      </x:c>
      <x:c r="W1510" t="str">
        <x:v>LOAD</x:v>
      </x:c>
      <x:c r="X1510" t="str">
        <x:v>02_Supervisor_Log(4).xlsx</x:v>
      </x:c>
      <x:c r="Y1510" t="str">
        <x:v>ENH-20260830-01</x:v>
      </x:c>
      <x:c r="Z1510" t="str">
        <x:v>Active</x:v>
      </x:c>
      <x:c r="AA1510"/>
      <x:c r="AB1510"/>
      <x:c r="AC1510"/>
      <x:c r="AD1510"/>
    </x:row>
    <x:row r="1511">
      <x:c r="A1511" t="str">
        <x:v>PCC-PE-KG01-L23-20251025-AM-ORD-2025-00093-S09-C1</x:v>
      </x:c>
      <x:c r="B1511" t="str">
        <x:v>PC-PE-KG01-L23-20251025-AM-ORD-2025-00093-S09</x:v>
      </x:c>
      <x:c r="C1511" t="str">
        <x:v>PE-KG01-L23-20251025-AM-ORD-2025-00093</x:v>
      </x:c>
      <x:c r="D1511" t="str">
        <x:v>KG01</x:v>
      </x:c>
      <x:c r="E1511" s="62" t="n">
        <x:v>45955</x:v>
      </x:c>
      <x:c r="F1511" t="str">
        <x:v>AM</x:v>
      </x:c>
      <x:c r="G1511" t="str">
        <x:v>B</x:v>
      </x:c>
      <x:c r="H1511" t="n">
        <x:v>23</x:v>
      </x:c>
      <x:c r="I1511" t="str">
        <x:v>ORD-2025-00093</x:v>
      </x:c>
      <x:c r="J1511" t="n">
        <x:v>9</x:v>
      </x:c>
      <x:c r="K1511" t="n">
        <x:v>1</x:v>
      </x:c>
      <x:c r="L1511" t="str">
        <x:v>L23-S09-C1</x:v>
      </x:c>
      <x:c r="M1511" t="n">
        <x:v>1</x:v>
      </x:c>
      <x:c r="N1511" t="str">
        <x:v>DerivedFromCount</x:v>
      </x:c>
      <x:c r="O1511" t="str">
        <x:v>PLC-PRD-JAR-720-L23</x:v>
      </x:c>
      <x:c r="P1511" t="str">
        <x:v>OK</x:v>
      </x:c>
      <x:c r="Q1511" t="str">
        <x:v>OK</x:v>
      </x:c>
      <x:c r="R1511" t="str">
        <x:v>OK</x:v>
      </x:c>
      <x:c r="S1511" t="str">
        <x:v>OK</x:v>
      </x:c>
      <x:c r="T1511" t="n">
        <x:v>24</x:v>
      </x:c>
      <x:c r="U1511" t="str">
        <x:v>OK</x:v>
      </x:c>
      <x:c r="V1511" t="str">
        <x:v>OK</x:v>
      </x:c>
      <x:c r="W1511" t="str">
        <x:v>LOAD</x:v>
      </x:c>
      <x:c r="X1511" t="str">
        <x:v>02_Supervisor_Log(4).xlsx</x:v>
      </x:c>
      <x:c r="Y1511" t="str">
        <x:v>ENH-20260830-01</x:v>
      </x:c>
      <x:c r="Z1511" t="str">
        <x:v>Active</x:v>
      </x:c>
      <x:c r="AA1511"/>
      <x:c r="AB1511"/>
      <x:c r="AC1511"/>
      <x:c r="AD1511"/>
    </x:row>
    <x:row r="1512">
      <x:c r="A1512" t="str">
        <x:v>PCC-PE-KG01-L23-20251025-AM-ORD-2025-00093-S09-C2</x:v>
      </x:c>
      <x:c r="B1512" t="str">
        <x:v>PC-PE-KG01-L23-20251025-AM-ORD-2025-00093-S09</x:v>
      </x:c>
      <x:c r="C1512" t="str">
        <x:v>PE-KG01-L23-20251025-AM-ORD-2025-00093</x:v>
      </x:c>
      <x:c r="D1512" t="str">
        <x:v>KG01</x:v>
      </x:c>
      <x:c r="E1512" s="62" t="n">
        <x:v>45955</x:v>
      </x:c>
      <x:c r="F1512" t="str">
        <x:v>AM</x:v>
      </x:c>
      <x:c r="G1512" t="str">
        <x:v>B</x:v>
      </x:c>
      <x:c r="H1512" t="n">
        <x:v>23</x:v>
      </x:c>
      <x:c r="I1512" t="str">
        <x:v>ORD-2025-00093</x:v>
      </x:c>
      <x:c r="J1512" t="n">
        <x:v>9</x:v>
      </x:c>
      <x:c r="K1512" t="n">
        <x:v>2</x:v>
      </x:c>
      <x:c r="L1512" t="str">
        <x:v>L23-S09-C2</x:v>
      </x:c>
      <x:c r="M1512" t="n">
        <x:v>1</x:v>
      </x:c>
      <x:c r="N1512" t="str">
        <x:v>DerivedFromCount</x:v>
      </x:c>
      <x:c r="O1512" t="str">
        <x:v>PLC-PRD-JAR-720-L23</x:v>
      </x:c>
      <x:c r="P1512" t="str">
        <x:v>OK</x:v>
      </x:c>
      <x:c r="Q1512" t="str">
        <x:v>OK</x:v>
      </x:c>
      <x:c r="R1512" t="str">
        <x:v>OK</x:v>
      </x:c>
      <x:c r="S1512" t="str">
        <x:v>OK</x:v>
      </x:c>
      <x:c r="T1512" t="n">
        <x:v>24</x:v>
      </x:c>
      <x:c r="U1512" t="str">
        <x:v>OK</x:v>
      </x:c>
      <x:c r="V1512" t="str">
        <x:v>OK</x:v>
      </x:c>
      <x:c r="W1512" t="str">
        <x:v>LOAD</x:v>
      </x:c>
      <x:c r="X1512" t="str">
        <x:v>02_Supervisor_Log(4).xlsx</x:v>
      </x:c>
      <x:c r="Y1512" t="str">
        <x:v>ENH-20260830-01</x:v>
      </x:c>
      <x:c r="Z1512" t="str">
        <x:v>Active</x:v>
      </x:c>
      <x:c r="AA1512"/>
      <x:c r="AB1512"/>
      <x:c r="AC1512"/>
      <x:c r="AD1512"/>
    </x:row>
    <x:row r="1513">
      <x:c r="A1513" t="str">
        <x:v>PCC-PE-KG01-L23-20251025-AM-ORD-2025-00093-S09-C3</x:v>
      </x:c>
      <x:c r="B1513" t="str">
        <x:v>PC-PE-KG01-L23-20251025-AM-ORD-2025-00093-S09</x:v>
      </x:c>
      <x:c r="C1513" t="str">
        <x:v>PE-KG01-L23-20251025-AM-ORD-2025-00093</x:v>
      </x:c>
      <x:c r="D1513" t="str">
        <x:v>KG01</x:v>
      </x:c>
      <x:c r="E1513" s="62" t="n">
        <x:v>45955</x:v>
      </x:c>
      <x:c r="F1513" t="str">
        <x:v>AM</x:v>
      </x:c>
      <x:c r="G1513" t="str">
        <x:v>B</x:v>
      </x:c>
      <x:c r="H1513" t="n">
        <x:v>23</x:v>
      </x:c>
      <x:c r="I1513" t="str">
        <x:v>ORD-2025-00093</x:v>
      </x:c>
      <x:c r="J1513" t="n">
        <x:v>9</x:v>
      </x:c>
      <x:c r="K1513" t="n">
        <x:v>3</x:v>
      </x:c>
      <x:c r="L1513" t="str">
        <x:v>L23-S09-C3</x:v>
      </x:c>
      <x:c r="M1513" t="n">
        <x:v>0</x:v>
      </x:c>
      <x:c r="N1513" t="str">
        <x:v>DerivedFromCount</x:v>
      </x:c>
      <x:c r="O1513" t="str">
        <x:v>PLC-PRD-JAR-720-L23</x:v>
      </x:c>
      <x:c r="P1513" t="str">
        <x:v>OK</x:v>
      </x:c>
      <x:c r="Q1513" t="str">
        <x:v>OK</x:v>
      </x:c>
      <x:c r="R1513" t="str">
        <x:v>OK</x:v>
      </x:c>
      <x:c r="S1513" t="str">
        <x:v>OK</x:v>
      </x:c>
      <x:c r="T1513" t="n">
        <x:v>24</x:v>
      </x:c>
      <x:c r="U1513" t="str">
        <x:v>OK</x:v>
      </x:c>
      <x:c r="V1513" t="str">
        <x:v>OK</x:v>
      </x:c>
      <x:c r="W1513" t="str">
        <x:v>LOAD</x:v>
      </x:c>
      <x:c r="X1513" t="str">
        <x:v>02_Supervisor_Log(4).xlsx</x:v>
      </x:c>
      <x:c r="Y1513" t="str">
        <x:v>ENH-20260830-01</x:v>
      </x:c>
      <x:c r="Z1513" t="str">
        <x:v>Active</x:v>
      </x:c>
      <x:c r="AA1513"/>
      <x:c r="AB1513"/>
      <x:c r="AC1513"/>
      <x:c r="AD1513"/>
    </x:row>
    <x:row r="1514">
      <x:c r="A1514" t="str">
        <x:v>PCC-PE-KG01-L23-20251025-AM-ORD-2025-00093-S10-C1</x:v>
      </x:c>
      <x:c r="B1514" t="str">
        <x:v>PC-PE-KG01-L23-20251025-AM-ORD-2025-00093-S10</x:v>
      </x:c>
      <x:c r="C1514" t="str">
        <x:v>PE-KG01-L23-20251025-AM-ORD-2025-00093</x:v>
      </x:c>
      <x:c r="D1514" t="str">
        <x:v>KG01</x:v>
      </x:c>
      <x:c r="E1514" s="62" t="n">
        <x:v>45955</x:v>
      </x:c>
      <x:c r="F1514" t="str">
        <x:v>AM</x:v>
      </x:c>
      <x:c r="G1514" t="str">
        <x:v>B</x:v>
      </x:c>
      <x:c r="H1514" t="n">
        <x:v>23</x:v>
      </x:c>
      <x:c r="I1514" t="str">
        <x:v>ORD-2025-00093</x:v>
      </x:c>
      <x:c r="J1514" t="n">
        <x:v>10</x:v>
      </x:c>
      <x:c r="K1514" t="n">
        <x:v>1</x:v>
      </x:c>
      <x:c r="L1514" t="str">
        <x:v>L23-S10-C1</x:v>
      </x:c>
      <x:c r="M1514" t="n">
        <x:v>1</x:v>
      </x:c>
      <x:c r="N1514" t="str">
        <x:v>DerivedFromCount</x:v>
      </x:c>
      <x:c r="O1514" t="str">
        <x:v>PLC-PRD-JAR-720-L23</x:v>
      </x:c>
      <x:c r="P1514" t="str">
        <x:v>OK</x:v>
      </x:c>
      <x:c r="Q1514" t="str">
        <x:v>OK</x:v>
      </x:c>
      <x:c r="R1514" t="str">
        <x:v>OK</x:v>
      </x:c>
      <x:c r="S1514" t="str">
        <x:v>OK</x:v>
      </x:c>
      <x:c r="T1514" t="n">
        <x:v>24</x:v>
      </x:c>
      <x:c r="U1514" t="str">
        <x:v>OK</x:v>
      </x:c>
      <x:c r="V1514" t="str">
        <x:v>OK</x:v>
      </x:c>
      <x:c r="W1514" t="str">
        <x:v>LOAD</x:v>
      </x:c>
      <x:c r="X1514" t="str">
        <x:v>02_Supervisor_Log(4).xlsx</x:v>
      </x:c>
      <x:c r="Y1514" t="str">
        <x:v>ENH-20260830-01</x:v>
      </x:c>
      <x:c r="Z1514" t="str">
        <x:v>Active</x:v>
      </x:c>
      <x:c r="AA1514"/>
      <x:c r="AB1514"/>
      <x:c r="AC1514"/>
      <x:c r="AD1514"/>
    </x:row>
    <x:row r="1515">
      <x:c r="A1515" t="str">
        <x:v>PCC-PE-KG01-L23-20251025-AM-ORD-2025-00093-S10-C2</x:v>
      </x:c>
      <x:c r="B1515" t="str">
        <x:v>PC-PE-KG01-L23-20251025-AM-ORD-2025-00093-S10</x:v>
      </x:c>
      <x:c r="C1515" t="str">
        <x:v>PE-KG01-L23-20251025-AM-ORD-2025-00093</x:v>
      </x:c>
      <x:c r="D1515" t="str">
        <x:v>KG01</x:v>
      </x:c>
      <x:c r="E1515" s="62" t="n">
        <x:v>45955</x:v>
      </x:c>
      <x:c r="F1515" t="str">
        <x:v>AM</x:v>
      </x:c>
      <x:c r="G1515" t="str">
        <x:v>B</x:v>
      </x:c>
      <x:c r="H1515" t="n">
        <x:v>23</x:v>
      </x:c>
      <x:c r="I1515" t="str">
        <x:v>ORD-2025-00093</x:v>
      </x:c>
      <x:c r="J1515" t="n">
        <x:v>10</x:v>
      </x:c>
      <x:c r="K1515" t="n">
        <x:v>2</x:v>
      </x:c>
      <x:c r="L1515" t="str">
        <x:v>L23-S10-C2</x:v>
      </x:c>
      <x:c r="M1515" t="n">
        <x:v>1</x:v>
      </x:c>
      <x:c r="N1515" t="str">
        <x:v>DerivedFromCount</x:v>
      </x:c>
      <x:c r="O1515" t="str">
        <x:v>PLC-PRD-JAR-720-L23</x:v>
      </x:c>
      <x:c r="P1515" t="str">
        <x:v>OK</x:v>
      </x:c>
      <x:c r="Q1515" t="str">
        <x:v>OK</x:v>
      </x:c>
      <x:c r="R1515" t="str">
        <x:v>OK</x:v>
      </x:c>
      <x:c r="S1515" t="str">
        <x:v>OK</x:v>
      </x:c>
      <x:c r="T1515" t="n">
        <x:v>24</x:v>
      </x:c>
      <x:c r="U1515" t="str">
        <x:v>OK</x:v>
      </x:c>
      <x:c r="V1515" t="str">
        <x:v>OK</x:v>
      </x:c>
      <x:c r="W1515" t="str">
        <x:v>LOAD</x:v>
      </x:c>
      <x:c r="X1515" t="str">
        <x:v>02_Supervisor_Log(4).xlsx</x:v>
      </x:c>
      <x:c r="Y1515" t="str">
        <x:v>ENH-20260830-01</x:v>
      </x:c>
      <x:c r="Z1515" t="str">
        <x:v>Active</x:v>
      </x:c>
      <x:c r="AA1515"/>
      <x:c r="AB1515"/>
      <x:c r="AC1515"/>
      <x:c r="AD1515"/>
    </x:row>
    <x:row r="1516">
      <x:c r="A1516" t="str">
        <x:v>PCC-PE-KG01-L23-20251025-AM-ORD-2025-00093-S10-C3</x:v>
      </x:c>
      <x:c r="B1516" t="str">
        <x:v>PC-PE-KG01-L23-20251025-AM-ORD-2025-00093-S10</x:v>
      </x:c>
      <x:c r="C1516" t="str">
        <x:v>PE-KG01-L23-20251025-AM-ORD-2025-00093</x:v>
      </x:c>
      <x:c r="D1516" t="str">
        <x:v>KG01</x:v>
      </x:c>
      <x:c r="E1516" s="62" t="n">
        <x:v>45955</x:v>
      </x:c>
      <x:c r="F1516" t="str">
        <x:v>AM</x:v>
      </x:c>
      <x:c r="G1516" t="str">
        <x:v>B</x:v>
      </x:c>
      <x:c r="H1516" t="n">
        <x:v>23</x:v>
      </x:c>
      <x:c r="I1516" t="str">
        <x:v>ORD-2025-00093</x:v>
      </x:c>
      <x:c r="J1516" t="n">
        <x:v>10</x:v>
      </x:c>
      <x:c r="K1516" t="n">
        <x:v>3</x:v>
      </x:c>
      <x:c r="L1516" t="str">
        <x:v>L23-S10-C3</x:v>
      </x:c>
      <x:c r="M1516" t="n">
        <x:v>0</x:v>
      </x:c>
      <x:c r="N1516" t="str">
        <x:v>DerivedFromCount</x:v>
      </x:c>
      <x:c r="O1516" t="str">
        <x:v>PLC-PRD-JAR-720-L23</x:v>
      </x:c>
      <x:c r="P1516" t="str">
        <x:v>OK</x:v>
      </x:c>
      <x:c r="Q1516" t="str">
        <x:v>OK</x:v>
      </x:c>
      <x:c r="R1516" t="str">
        <x:v>OK</x:v>
      </x:c>
      <x:c r="S1516" t="str">
        <x:v>OK</x:v>
      </x:c>
      <x:c r="T1516" t="n">
        <x:v>24</x:v>
      </x:c>
      <x:c r="U1516" t="str">
        <x:v>OK</x:v>
      </x:c>
      <x:c r="V1516" t="str">
        <x:v>OK</x:v>
      </x:c>
      <x:c r="W1516" t="str">
        <x:v>LOAD</x:v>
      </x:c>
      <x:c r="X1516" t="str">
        <x:v>02_Supervisor_Log(4).xlsx</x:v>
      </x:c>
      <x:c r="Y1516" t="str">
        <x:v>ENH-20260830-01</x:v>
      </x:c>
      <x:c r="Z1516" t="str">
        <x:v>Active</x:v>
      </x:c>
      <x:c r="AA1516"/>
      <x:c r="AB1516"/>
      <x:c r="AC1516"/>
      <x:c r="AD1516"/>
    </x:row>
    <x:row r="1517">
      <x:c r="A1517" t="str">
        <x:v>PCC-PE-KG01-L23-20251025-AM-ORD-2025-00093-S11-C1</x:v>
      </x:c>
      <x:c r="B1517" t="str">
        <x:v>PC-PE-KG01-L23-20251025-AM-ORD-2025-00093-S11</x:v>
      </x:c>
      <x:c r="C1517" t="str">
        <x:v>PE-KG01-L23-20251025-AM-ORD-2025-00093</x:v>
      </x:c>
      <x:c r="D1517" t="str">
        <x:v>KG01</x:v>
      </x:c>
      <x:c r="E1517" s="62" t="n">
        <x:v>45955</x:v>
      </x:c>
      <x:c r="F1517" t="str">
        <x:v>AM</x:v>
      </x:c>
      <x:c r="G1517" t="str">
        <x:v>B</x:v>
      </x:c>
      <x:c r="H1517" t="n">
        <x:v>23</x:v>
      </x:c>
      <x:c r="I1517" t="str">
        <x:v>ORD-2025-00093</x:v>
      </x:c>
      <x:c r="J1517" t="n">
        <x:v>11</x:v>
      </x:c>
      <x:c r="K1517" t="n">
        <x:v>1</x:v>
      </x:c>
      <x:c r="L1517" t="str">
        <x:v>L23-S11-C1</x:v>
      </x:c>
      <x:c r="M1517" t="n">
        <x:v>1</x:v>
      </x:c>
      <x:c r="N1517" t="str">
        <x:v>DerivedFromCount</x:v>
      </x:c>
      <x:c r="O1517" t="str">
        <x:v>PLC-PRD-JAR-720-L23</x:v>
      </x:c>
      <x:c r="P1517" t="str">
        <x:v>OK</x:v>
      </x:c>
      <x:c r="Q1517" t="str">
        <x:v>OK</x:v>
      </x:c>
      <x:c r="R1517" t="str">
        <x:v>OK</x:v>
      </x:c>
      <x:c r="S1517" t="str">
        <x:v>OK</x:v>
      </x:c>
      <x:c r="T1517" t="n">
        <x:v>24</x:v>
      </x:c>
      <x:c r="U1517" t="str">
        <x:v>OK</x:v>
      </x:c>
      <x:c r="V1517" t="str">
        <x:v>OK</x:v>
      </x:c>
      <x:c r="W1517" t="str">
        <x:v>LOAD</x:v>
      </x:c>
      <x:c r="X1517" t="str">
        <x:v>02_Supervisor_Log(4).xlsx</x:v>
      </x:c>
      <x:c r="Y1517" t="str">
        <x:v>ENH-20260830-01</x:v>
      </x:c>
      <x:c r="Z1517" t="str">
        <x:v>Active</x:v>
      </x:c>
      <x:c r="AA1517"/>
      <x:c r="AB1517"/>
      <x:c r="AC1517"/>
      <x:c r="AD1517"/>
    </x:row>
    <x:row r="1518">
      <x:c r="A1518" t="str">
        <x:v>PCC-PE-KG01-L23-20251025-AM-ORD-2025-00093-S11-C2</x:v>
      </x:c>
      <x:c r="B1518" t="str">
        <x:v>PC-PE-KG01-L23-20251025-AM-ORD-2025-00093-S11</x:v>
      </x:c>
      <x:c r="C1518" t="str">
        <x:v>PE-KG01-L23-20251025-AM-ORD-2025-00093</x:v>
      </x:c>
      <x:c r="D1518" t="str">
        <x:v>KG01</x:v>
      </x:c>
      <x:c r="E1518" s="62" t="n">
        <x:v>45955</x:v>
      </x:c>
      <x:c r="F1518" t="str">
        <x:v>AM</x:v>
      </x:c>
      <x:c r="G1518" t="str">
        <x:v>B</x:v>
      </x:c>
      <x:c r="H1518" t="n">
        <x:v>23</x:v>
      </x:c>
      <x:c r="I1518" t="str">
        <x:v>ORD-2025-00093</x:v>
      </x:c>
      <x:c r="J1518" t="n">
        <x:v>11</x:v>
      </x:c>
      <x:c r="K1518" t="n">
        <x:v>2</x:v>
      </x:c>
      <x:c r="L1518" t="str">
        <x:v>L23-S11-C2</x:v>
      </x:c>
      <x:c r="M1518" t="n">
        <x:v>1</x:v>
      </x:c>
      <x:c r="N1518" t="str">
        <x:v>DerivedFromCount</x:v>
      </x:c>
      <x:c r="O1518" t="str">
        <x:v>PLC-PRD-JAR-720-L23</x:v>
      </x:c>
      <x:c r="P1518" t="str">
        <x:v>OK</x:v>
      </x:c>
      <x:c r="Q1518" t="str">
        <x:v>OK</x:v>
      </x:c>
      <x:c r="R1518" t="str">
        <x:v>OK</x:v>
      </x:c>
      <x:c r="S1518" t="str">
        <x:v>OK</x:v>
      </x:c>
      <x:c r="T1518" t="n">
        <x:v>24</x:v>
      </x:c>
      <x:c r="U1518" t="str">
        <x:v>OK</x:v>
      </x:c>
      <x:c r="V1518" t="str">
        <x:v>OK</x:v>
      </x:c>
      <x:c r="W1518" t="str">
        <x:v>LOAD</x:v>
      </x:c>
      <x:c r="X1518" t="str">
        <x:v>02_Supervisor_Log(4).xlsx</x:v>
      </x:c>
      <x:c r="Y1518" t="str">
        <x:v>ENH-20260830-01</x:v>
      </x:c>
      <x:c r="Z1518" t="str">
        <x:v>Active</x:v>
      </x:c>
      <x:c r="AA1518"/>
      <x:c r="AB1518"/>
      <x:c r="AC1518"/>
      <x:c r="AD1518"/>
    </x:row>
    <x:row r="1519">
      <x:c r="A1519" t="str">
        <x:v>PCC-PE-KG01-L23-20251025-AM-ORD-2025-00093-S11-C3</x:v>
      </x:c>
      <x:c r="B1519" t="str">
        <x:v>PC-PE-KG01-L23-20251025-AM-ORD-2025-00093-S11</x:v>
      </x:c>
      <x:c r="C1519" t="str">
        <x:v>PE-KG01-L23-20251025-AM-ORD-2025-00093</x:v>
      </x:c>
      <x:c r="D1519" t="str">
        <x:v>KG01</x:v>
      </x:c>
      <x:c r="E1519" s="62" t="n">
        <x:v>45955</x:v>
      </x:c>
      <x:c r="F1519" t="str">
        <x:v>AM</x:v>
      </x:c>
      <x:c r="G1519" t="str">
        <x:v>B</x:v>
      </x:c>
      <x:c r="H1519" t="n">
        <x:v>23</x:v>
      </x:c>
      <x:c r="I1519" t="str">
        <x:v>ORD-2025-00093</x:v>
      </x:c>
      <x:c r="J1519" t="n">
        <x:v>11</x:v>
      </x:c>
      <x:c r="K1519" t="n">
        <x:v>3</x:v>
      </x:c>
      <x:c r="L1519" t="str">
        <x:v>L23-S11-C3</x:v>
      </x:c>
      <x:c r="M1519" t="n">
        <x:v>0</x:v>
      </x:c>
      <x:c r="N1519" t="str">
        <x:v>DerivedFromCount</x:v>
      </x:c>
      <x:c r="O1519" t="str">
        <x:v>PLC-PRD-JAR-720-L23</x:v>
      </x:c>
      <x:c r="P1519" t="str">
        <x:v>OK</x:v>
      </x:c>
      <x:c r="Q1519" t="str">
        <x:v>OK</x:v>
      </x:c>
      <x:c r="R1519" t="str">
        <x:v>OK</x:v>
      </x:c>
      <x:c r="S1519" t="str">
        <x:v>OK</x:v>
      </x:c>
      <x:c r="T1519" t="n">
        <x:v>24</x:v>
      </x:c>
      <x:c r="U1519" t="str">
        <x:v>OK</x:v>
      </x:c>
      <x:c r="V1519" t="str">
        <x:v>OK</x:v>
      </x:c>
      <x:c r="W1519" t="str">
        <x:v>LOAD</x:v>
      </x:c>
      <x:c r="X1519" t="str">
        <x:v>02_Supervisor_Log(4).xlsx</x:v>
      </x:c>
      <x:c r="Y1519" t="str">
        <x:v>ENH-20260830-01</x:v>
      </x:c>
      <x:c r="Z1519" t="str">
        <x:v>Active</x:v>
      </x:c>
      <x:c r="AA1519"/>
      <x:c r="AB1519"/>
      <x:c r="AC1519"/>
      <x:c r="AD1519"/>
    </x:row>
    <x:row r="1520">
      <x:c r="A1520" t="str">
        <x:v>PCC-PE-KG01-L23-20251025-AM-ORD-2025-00093-S12-C1</x:v>
      </x:c>
      <x:c r="B1520" t="str">
        <x:v>PC-PE-KG01-L23-20251025-AM-ORD-2025-00093-S12</x:v>
      </x:c>
      <x:c r="C1520" t="str">
        <x:v>PE-KG01-L23-20251025-AM-ORD-2025-00093</x:v>
      </x:c>
      <x:c r="D1520" t="str">
        <x:v>KG01</x:v>
      </x:c>
      <x:c r="E1520" s="62" t="n">
        <x:v>45955</x:v>
      </x:c>
      <x:c r="F1520" t="str">
        <x:v>AM</x:v>
      </x:c>
      <x:c r="G1520" t="str">
        <x:v>B</x:v>
      </x:c>
      <x:c r="H1520" t="n">
        <x:v>23</x:v>
      </x:c>
      <x:c r="I1520" t="str">
        <x:v>ORD-2025-00093</x:v>
      </x:c>
      <x:c r="J1520" t="n">
        <x:v>12</x:v>
      </x:c>
      <x:c r="K1520" t="n">
        <x:v>1</x:v>
      </x:c>
      <x:c r="L1520" t="str">
        <x:v>L23-S12-C1</x:v>
      </x:c>
      <x:c r="M1520" t="n">
        <x:v>1</x:v>
      </x:c>
      <x:c r="N1520" t="str">
        <x:v>DerivedFromCount</x:v>
      </x:c>
      <x:c r="O1520" t="str">
        <x:v>PLC-PRD-JAR-720-L23</x:v>
      </x:c>
      <x:c r="P1520" t="str">
        <x:v>OK</x:v>
      </x:c>
      <x:c r="Q1520" t="str">
        <x:v>OK</x:v>
      </x:c>
      <x:c r="R1520" t="str">
        <x:v>OK</x:v>
      </x:c>
      <x:c r="S1520" t="str">
        <x:v>OK</x:v>
      </x:c>
      <x:c r="T1520" t="n">
        <x:v>24</x:v>
      </x:c>
      <x:c r="U1520" t="str">
        <x:v>OK</x:v>
      </x:c>
      <x:c r="V1520" t="str">
        <x:v>OK</x:v>
      </x:c>
      <x:c r="W1520" t="str">
        <x:v>LOAD</x:v>
      </x:c>
      <x:c r="X1520" t="str">
        <x:v>02_Supervisor_Log(4).xlsx</x:v>
      </x:c>
      <x:c r="Y1520" t="str">
        <x:v>ENH-20260830-01</x:v>
      </x:c>
      <x:c r="Z1520" t="str">
        <x:v>Active</x:v>
      </x:c>
      <x:c r="AA1520"/>
      <x:c r="AB1520"/>
      <x:c r="AC1520"/>
      <x:c r="AD1520"/>
    </x:row>
    <x:row r="1521">
      <x:c r="A1521" t="str">
        <x:v>PCC-PE-KG01-L23-20251025-AM-ORD-2025-00093-S12-C2</x:v>
      </x:c>
      <x:c r="B1521" t="str">
        <x:v>PC-PE-KG01-L23-20251025-AM-ORD-2025-00093-S12</x:v>
      </x:c>
      <x:c r="C1521" t="str">
        <x:v>PE-KG01-L23-20251025-AM-ORD-2025-00093</x:v>
      </x:c>
      <x:c r="D1521" t="str">
        <x:v>KG01</x:v>
      </x:c>
      <x:c r="E1521" s="62" t="n">
        <x:v>45955</x:v>
      </x:c>
      <x:c r="F1521" t="str">
        <x:v>AM</x:v>
      </x:c>
      <x:c r="G1521" t="str">
        <x:v>B</x:v>
      </x:c>
      <x:c r="H1521" t="n">
        <x:v>23</x:v>
      </x:c>
      <x:c r="I1521" t="str">
        <x:v>ORD-2025-00093</x:v>
      </x:c>
      <x:c r="J1521" t="n">
        <x:v>12</x:v>
      </x:c>
      <x:c r="K1521" t="n">
        <x:v>2</x:v>
      </x:c>
      <x:c r="L1521" t="str">
        <x:v>L23-S12-C2</x:v>
      </x:c>
      <x:c r="M1521" t="n">
        <x:v>1</x:v>
      </x:c>
      <x:c r="N1521" t="str">
        <x:v>DerivedFromCount</x:v>
      </x:c>
      <x:c r="O1521" t="str">
        <x:v>PLC-PRD-JAR-720-L23</x:v>
      </x:c>
      <x:c r="P1521" t="str">
        <x:v>OK</x:v>
      </x:c>
      <x:c r="Q1521" t="str">
        <x:v>OK</x:v>
      </x:c>
      <x:c r="R1521" t="str">
        <x:v>OK</x:v>
      </x:c>
      <x:c r="S1521" t="str">
        <x:v>OK</x:v>
      </x:c>
      <x:c r="T1521" t="n">
        <x:v>24</x:v>
      </x:c>
      <x:c r="U1521" t="str">
        <x:v>OK</x:v>
      </x:c>
      <x:c r="V1521" t="str">
        <x:v>OK</x:v>
      </x:c>
      <x:c r="W1521" t="str">
        <x:v>LOAD</x:v>
      </x:c>
      <x:c r="X1521" t="str">
        <x:v>02_Supervisor_Log(4).xlsx</x:v>
      </x:c>
      <x:c r="Y1521" t="str">
        <x:v>ENH-20260830-01</x:v>
      </x:c>
      <x:c r="Z1521" t="str">
        <x:v>Active</x:v>
      </x:c>
      <x:c r="AA1521"/>
      <x:c r="AB1521"/>
      <x:c r="AC1521"/>
      <x:c r="AD1521"/>
    </x:row>
    <x:row r="1522">
      <x:c r="A1522" t="str">
        <x:v>PCC-PE-KG01-L23-20251025-AM-ORD-2025-00093-S12-C3</x:v>
      </x:c>
      <x:c r="B1522" t="str">
        <x:v>PC-PE-KG01-L23-20251025-AM-ORD-2025-00093-S12</x:v>
      </x:c>
      <x:c r="C1522" t="str">
        <x:v>PE-KG01-L23-20251025-AM-ORD-2025-00093</x:v>
      </x:c>
      <x:c r="D1522" t="str">
        <x:v>KG01</x:v>
      </x:c>
      <x:c r="E1522" s="62" t="n">
        <x:v>45955</x:v>
      </x:c>
      <x:c r="F1522" t="str">
        <x:v>AM</x:v>
      </x:c>
      <x:c r="G1522" t="str">
        <x:v>B</x:v>
      </x:c>
      <x:c r="H1522" t="n">
        <x:v>23</x:v>
      </x:c>
      <x:c r="I1522" t="str">
        <x:v>ORD-2025-00093</x:v>
      </x:c>
      <x:c r="J1522" t="n">
        <x:v>12</x:v>
      </x:c>
      <x:c r="K1522" t="n">
        <x:v>3</x:v>
      </x:c>
      <x:c r="L1522" t="str">
        <x:v>L23-S12-C3</x:v>
      </x:c>
      <x:c r="M1522" t="n">
        <x:v>0</x:v>
      </x:c>
      <x:c r="N1522" t="str">
        <x:v>DerivedFromCount</x:v>
      </x:c>
      <x:c r="O1522" t="str">
        <x:v>PLC-PRD-JAR-720-L23</x:v>
      </x:c>
      <x:c r="P1522" t="str">
        <x:v>OK</x:v>
      </x:c>
      <x:c r="Q1522" t="str">
        <x:v>OK</x:v>
      </x:c>
      <x:c r="R1522" t="str">
        <x:v>OK</x:v>
      </x:c>
      <x:c r="S1522" t="str">
        <x:v>OK</x:v>
      </x:c>
      <x:c r="T1522" t="n">
        <x:v>24</x:v>
      </x:c>
      <x:c r="U1522" t="str">
        <x:v>OK</x:v>
      </x:c>
      <x:c r="V1522" t="str">
        <x:v>OK</x:v>
      </x:c>
      <x:c r="W1522" t="str">
        <x:v>LOAD</x:v>
      </x:c>
      <x:c r="X1522" t="str">
        <x:v>02_Supervisor_Log(4).xlsx</x:v>
      </x:c>
      <x:c r="Y1522" t="str">
        <x:v>ENH-20260830-01</x:v>
      </x:c>
      <x:c r="Z1522" t="str">
        <x:v>Active</x:v>
      </x:c>
      <x:c r="AA1522"/>
      <x:c r="AB1522"/>
      <x:c r="AC1522"/>
      <x:c r="AD1522"/>
    </x:row>
    <x:row r="1523">
      <x:c r="A1523" t="str">
        <x:v>PCC-PE-KG01-L23-20251025-AM-ORD-2025-00093-S13-C1</x:v>
      </x:c>
      <x:c r="B1523" t="str">
        <x:v>PC-PE-KG01-L23-20251025-AM-ORD-2025-00093-S13</x:v>
      </x:c>
      <x:c r="C1523" t="str">
        <x:v>PE-KG01-L23-20251025-AM-ORD-2025-00093</x:v>
      </x:c>
      <x:c r="D1523" t="str">
        <x:v>KG01</x:v>
      </x:c>
      <x:c r="E1523" s="62" t="n">
        <x:v>45955</x:v>
      </x:c>
      <x:c r="F1523" t="str">
        <x:v>AM</x:v>
      </x:c>
      <x:c r="G1523" t="str">
        <x:v>B</x:v>
      </x:c>
      <x:c r="H1523" t="n">
        <x:v>23</x:v>
      </x:c>
      <x:c r="I1523" t="str">
        <x:v>ORD-2025-00093</x:v>
      </x:c>
      <x:c r="J1523" t="n">
        <x:v>13</x:v>
      </x:c>
      <x:c r="K1523" t="n">
        <x:v>1</x:v>
      </x:c>
      <x:c r="L1523" t="str">
        <x:v>L23-S13-C1</x:v>
      </x:c>
      <x:c r="M1523" t="n">
        <x:v>0</x:v>
      </x:c>
      <x:c r="N1523" t="str">
        <x:v>DerivedFromCount</x:v>
      </x:c>
      <x:c r="O1523" t="str">
        <x:v>PLC-PRD-JAR-720-L23</x:v>
      </x:c>
      <x:c r="P1523" t="str">
        <x:v>OK</x:v>
      </x:c>
      <x:c r="Q1523" t="str">
        <x:v>OK</x:v>
      </x:c>
      <x:c r="R1523" t="str">
        <x:v>OK</x:v>
      </x:c>
      <x:c r="S1523" t="str">
        <x:v>OK</x:v>
      </x:c>
      <x:c r="T1523" t="n">
        <x:v>24</x:v>
      </x:c>
      <x:c r="U1523" t="str">
        <x:v>OK</x:v>
      </x:c>
      <x:c r="V1523" t="str">
        <x:v>OK</x:v>
      </x:c>
      <x:c r="W1523" t="str">
        <x:v>LOAD</x:v>
      </x:c>
      <x:c r="X1523" t="str">
        <x:v>02_Supervisor_Log(4).xlsx</x:v>
      </x:c>
      <x:c r="Y1523" t="str">
        <x:v>ENH-20260830-01</x:v>
      </x:c>
      <x:c r="Z1523" t="str">
        <x:v>Active</x:v>
      </x:c>
      <x:c r="AA1523"/>
      <x:c r="AB1523"/>
      <x:c r="AC1523"/>
      <x:c r="AD1523"/>
    </x:row>
    <x:row r="1524">
      <x:c r="A1524" t="str">
        <x:v>PCC-PE-KG01-L23-20251025-AM-ORD-2025-00093-S13-C2</x:v>
      </x:c>
      <x:c r="B1524" t="str">
        <x:v>PC-PE-KG01-L23-20251025-AM-ORD-2025-00093-S13</x:v>
      </x:c>
      <x:c r="C1524" t="str">
        <x:v>PE-KG01-L23-20251025-AM-ORD-2025-00093</x:v>
      </x:c>
      <x:c r="D1524" t="str">
        <x:v>KG01</x:v>
      </x:c>
      <x:c r="E1524" s="62" t="n">
        <x:v>45955</x:v>
      </x:c>
      <x:c r="F1524" t="str">
        <x:v>AM</x:v>
      </x:c>
      <x:c r="G1524" t="str">
        <x:v>B</x:v>
      </x:c>
      <x:c r="H1524" t="n">
        <x:v>23</x:v>
      </x:c>
      <x:c r="I1524" t="str">
        <x:v>ORD-2025-00093</x:v>
      </x:c>
      <x:c r="J1524" t="n">
        <x:v>13</x:v>
      </x:c>
      <x:c r="K1524" t="n">
        <x:v>2</x:v>
      </x:c>
      <x:c r="L1524" t="str">
        <x:v>L23-S13-C2</x:v>
      </x:c>
      <x:c r="M1524" t="n">
        <x:v>0</x:v>
      </x:c>
      <x:c r="N1524" t="str">
        <x:v>DerivedFromCount</x:v>
      </x:c>
      <x:c r="O1524" t="str">
        <x:v>PLC-PRD-JAR-720-L23</x:v>
      </x:c>
      <x:c r="P1524" t="str">
        <x:v>OK</x:v>
      </x:c>
      <x:c r="Q1524" t="str">
        <x:v>OK</x:v>
      </x:c>
      <x:c r="R1524" t="str">
        <x:v>OK</x:v>
      </x:c>
      <x:c r="S1524" t="str">
        <x:v>OK</x:v>
      </x:c>
      <x:c r="T1524" t="n">
        <x:v>24</x:v>
      </x:c>
      <x:c r="U1524" t="str">
        <x:v>OK</x:v>
      </x:c>
      <x:c r="V1524" t="str">
        <x:v>OK</x:v>
      </x:c>
      <x:c r="W1524" t="str">
        <x:v>LOAD</x:v>
      </x:c>
      <x:c r="X1524" t="str">
        <x:v>02_Supervisor_Log(4).xlsx</x:v>
      </x:c>
      <x:c r="Y1524" t="str">
        <x:v>ENH-20260830-01</x:v>
      </x:c>
      <x:c r="Z1524" t="str">
        <x:v>Active</x:v>
      </x:c>
      <x:c r="AA1524"/>
      <x:c r="AB1524"/>
      <x:c r="AC1524"/>
      <x:c r="AD1524"/>
    </x:row>
    <x:row r="1525">
      <x:c r="A1525" t="str">
        <x:v>PCC-PE-KG01-L23-20251025-AM-ORD-2025-00093-S13-C3</x:v>
      </x:c>
      <x:c r="B1525" t="str">
        <x:v>PC-PE-KG01-L23-20251025-AM-ORD-2025-00093-S13</x:v>
      </x:c>
      <x:c r="C1525" t="str">
        <x:v>PE-KG01-L23-20251025-AM-ORD-2025-00093</x:v>
      </x:c>
      <x:c r="D1525" t="str">
        <x:v>KG01</x:v>
      </x:c>
      <x:c r="E1525" s="62" t="n">
        <x:v>45955</x:v>
      </x:c>
      <x:c r="F1525" t="str">
        <x:v>AM</x:v>
      </x:c>
      <x:c r="G1525" t="str">
        <x:v>B</x:v>
      </x:c>
      <x:c r="H1525" t="n">
        <x:v>23</x:v>
      </x:c>
      <x:c r="I1525" t="str">
        <x:v>ORD-2025-00093</x:v>
      </x:c>
      <x:c r="J1525" t="n">
        <x:v>13</x:v>
      </x:c>
      <x:c r="K1525" t="n">
        <x:v>3</x:v>
      </x:c>
      <x:c r="L1525" t="str">
        <x:v>L23-S13-C3</x:v>
      </x:c>
      <x:c r="M1525" t="n">
        <x:v>0</x:v>
      </x:c>
      <x:c r="N1525" t="str">
        <x:v>DerivedFromCount</x:v>
      </x:c>
      <x:c r="O1525" t="str">
        <x:v>PLC-PRD-JAR-720-L23</x:v>
      </x:c>
      <x:c r="P1525" t="str">
        <x:v>OK</x:v>
      </x:c>
      <x:c r="Q1525" t="str">
        <x:v>OK</x:v>
      </x:c>
      <x:c r="R1525" t="str">
        <x:v>OK</x:v>
      </x:c>
      <x:c r="S1525" t="str">
        <x:v>OK</x:v>
      </x:c>
      <x:c r="T1525" t="n">
        <x:v>24</x:v>
      </x:c>
      <x:c r="U1525" t="str">
        <x:v>OK</x:v>
      </x:c>
      <x:c r="V1525" t="str">
        <x:v>OK</x:v>
      </x:c>
      <x:c r="W1525" t="str">
        <x:v>LOAD</x:v>
      </x:c>
      <x:c r="X1525" t="str">
        <x:v>02_Supervisor_Log(4).xlsx</x:v>
      </x:c>
      <x:c r="Y1525" t="str">
        <x:v>ENH-20260830-01</x:v>
      </x:c>
      <x:c r="Z1525" t="str">
        <x:v>Active</x:v>
      </x:c>
      <x:c r="AA1525"/>
      <x:c r="AB1525"/>
      <x:c r="AC1525"/>
      <x:c r="AD1525"/>
    </x:row>
    <x:row r="1526">
      <x:c r="A1526" t="str">
        <x:v>PCC-PE-KG01-L23-20251025-PM-ORD-2025-00093-S01-C1</x:v>
      </x:c>
      <x:c r="B1526" t="str">
        <x:v>PC-PE-KG01-L23-20251025-PM-ORD-2025-00093-S01</x:v>
      </x:c>
      <x:c r="C1526" t="str">
        <x:v>PE-KG01-L23-20251025-PM-ORD-2025-00093</x:v>
      </x:c>
      <x:c r="D1526" t="str">
        <x:v>KG01</x:v>
      </x:c>
      <x:c r="E1526" s="62" t="n">
        <x:v>45955</x:v>
      </x:c>
      <x:c r="F1526" t="str">
        <x:v>PM</x:v>
      </x:c>
      <x:c r="G1526" t="str">
        <x:v>C</x:v>
      </x:c>
      <x:c r="H1526" t="n">
        <x:v>23</x:v>
      </x:c>
      <x:c r="I1526" t="str">
        <x:v>ORD-2025-00093</x:v>
      </x:c>
      <x:c r="J1526" t="n">
        <x:v>1</x:v>
      </x:c>
      <x:c r="K1526" t="n">
        <x:v>1</x:v>
      </x:c>
      <x:c r="L1526" t="str">
        <x:v>L23-S01-C1</x:v>
      </x:c>
      <x:c r="M1526" t="n">
        <x:v>1</x:v>
      </x:c>
      <x:c r="N1526" t="str">
        <x:v>DerivedFromCount</x:v>
      </x:c>
      <x:c r="O1526" t="str">
        <x:v>PLC-PRD-JAR-720-L23</x:v>
      </x:c>
      <x:c r="P1526" t="str">
        <x:v>OK</x:v>
      </x:c>
      <x:c r="Q1526" t="str">
        <x:v>OK</x:v>
      </x:c>
      <x:c r="R1526" t="str">
        <x:v>OK</x:v>
      </x:c>
      <x:c r="S1526" t="str">
        <x:v>OK</x:v>
      </x:c>
      <x:c r="T1526" t="n">
        <x:v>24</x:v>
      </x:c>
      <x:c r="U1526" t="str">
        <x:v>OK</x:v>
      </x:c>
      <x:c r="V1526" t="str">
        <x:v>OK</x:v>
      </x:c>
      <x:c r="W1526" t="str">
        <x:v>LOAD</x:v>
      </x:c>
      <x:c r="X1526" t="str">
        <x:v>02_Supervisor_Log(4).xlsx</x:v>
      </x:c>
      <x:c r="Y1526" t="str">
        <x:v>ENH-20260830-01</x:v>
      </x:c>
      <x:c r="Z1526" t="str">
        <x:v>Active</x:v>
      </x:c>
      <x:c r="AA1526"/>
      <x:c r="AB1526"/>
      <x:c r="AC1526"/>
      <x:c r="AD1526"/>
    </x:row>
    <x:row r="1527">
      <x:c r="A1527" t="str">
        <x:v>PCC-PE-KG01-L23-20251025-PM-ORD-2025-00093-S01-C2</x:v>
      </x:c>
      <x:c r="B1527" t="str">
        <x:v>PC-PE-KG01-L23-20251025-PM-ORD-2025-00093-S01</x:v>
      </x:c>
      <x:c r="C1527" t="str">
        <x:v>PE-KG01-L23-20251025-PM-ORD-2025-00093</x:v>
      </x:c>
      <x:c r="D1527" t="str">
        <x:v>KG01</x:v>
      </x:c>
      <x:c r="E1527" s="62" t="n">
        <x:v>45955</x:v>
      </x:c>
      <x:c r="F1527" t="str">
        <x:v>PM</x:v>
      </x:c>
      <x:c r="G1527" t="str">
        <x:v>C</x:v>
      </x:c>
      <x:c r="H1527" t="n">
        <x:v>23</x:v>
      </x:c>
      <x:c r="I1527" t="str">
        <x:v>ORD-2025-00093</x:v>
      </x:c>
      <x:c r="J1527" t="n">
        <x:v>1</x:v>
      </x:c>
      <x:c r="K1527" t="n">
        <x:v>2</x:v>
      </x:c>
      <x:c r="L1527" t="str">
        <x:v>L23-S01-C2</x:v>
      </x:c>
      <x:c r="M1527" t="n">
        <x:v>1</x:v>
      </x:c>
      <x:c r="N1527" t="str">
        <x:v>DerivedFromCount</x:v>
      </x:c>
      <x:c r="O1527" t="str">
        <x:v>PLC-PRD-JAR-720-L23</x:v>
      </x:c>
      <x:c r="P1527" t="str">
        <x:v>OK</x:v>
      </x:c>
      <x:c r="Q1527" t="str">
        <x:v>OK</x:v>
      </x:c>
      <x:c r="R1527" t="str">
        <x:v>OK</x:v>
      </x:c>
      <x:c r="S1527" t="str">
        <x:v>OK</x:v>
      </x:c>
      <x:c r="T1527" t="n">
        <x:v>24</x:v>
      </x:c>
      <x:c r="U1527" t="str">
        <x:v>OK</x:v>
      </x:c>
      <x:c r="V1527" t="str">
        <x:v>OK</x:v>
      </x:c>
      <x:c r="W1527" t="str">
        <x:v>LOAD</x:v>
      </x:c>
      <x:c r="X1527" t="str">
        <x:v>02_Supervisor_Log(4).xlsx</x:v>
      </x:c>
      <x:c r="Y1527" t="str">
        <x:v>ENH-20260830-01</x:v>
      </x:c>
      <x:c r="Z1527" t="str">
        <x:v>Active</x:v>
      </x:c>
      <x:c r="AA1527"/>
      <x:c r="AB1527"/>
      <x:c r="AC1527"/>
      <x:c r="AD1527"/>
    </x:row>
    <x:row r="1528">
      <x:c r="A1528" t="str">
        <x:v>PCC-PE-KG01-L23-20251025-PM-ORD-2025-00093-S01-C3</x:v>
      </x:c>
      <x:c r="B1528" t="str">
        <x:v>PC-PE-KG01-L23-20251025-PM-ORD-2025-00093-S01</x:v>
      </x:c>
      <x:c r="C1528" t="str">
        <x:v>PE-KG01-L23-20251025-PM-ORD-2025-00093</x:v>
      </x:c>
      <x:c r="D1528" t="str">
        <x:v>KG01</x:v>
      </x:c>
      <x:c r="E1528" s="62" t="n">
        <x:v>45955</x:v>
      </x:c>
      <x:c r="F1528" t="str">
        <x:v>PM</x:v>
      </x:c>
      <x:c r="G1528" t="str">
        <x:v>C</x:v>
      </x:c>
      <x:c r="H1528" t="n">
        <x:v>23</x:v>
      </x:c>
      <x:c r="I1528" t="str">
        <x:v>ORD-2025-00093</x:v>
      </x:c>
      <x:c r="J1528" t="n">
        <x:v>1</x:v>
      </x:c>
      <x:c r="K1528" t="n">
        <x:v>3</x:v>
      </x:c>
      <x:c r="L1528" t="str">
        <x:v>L23-S01-C3</x:v>
      </x:c>
      <x:c r="M1528" t="n">
        <x:v>0</x:v>
      </x:c>
      <x:c r="N1528" t="str">
        <x:v>DerivedFromCount</x:v>
      </x:c>
      <x:c r="O1528" t="str">
        <x:v>PLC-PRD-JAR-720-L23</x:v>
      </x:c>
      <x:c r="P1528" t="str">
        <x:v>OK</x:v>
      </x:c>
      <x:c r="Q1528" t="str">
        <x:v>OK</x:v>
      </x:c>
      <x:c r="R1528" t="str">
        <x:v>OK</x:v>
      </x:c>
      <x:c r="S1528" t="str">
        <x:v>OK</x:v>
      </x:c>
      <x:c r="T1528" t="n">
        <x:v>24</x:v>
      </x:c>
      <x:c r="U1528" t="str">
        <x:v>OK</x:v>
      </x:c>
      <x:c r="V1528" t="str">
        <x:v>OK</x:v>
      </x:c>
      <x:c r="W1528" t="str">
        <x:v>LOAD</x:v>
      </x:c>
      <x:c r="X1528" t="str">
        <x:v>02_Supervisor_Log(4).xlsx</x:v>
      </x:c>
      <x:c r="Y1528" t="str">
        <x:v>ENH-20260830-01</x:v>
      </x:c>
      <x:c r="Z1528" t="str">
        <x:v>Active</x:v>
      </x:c>
      <x:c r="AA1528"/>
      <x:c r="AB1528"/>
      <x:c r="AC1528"/>
      <x:c r="AD1528"/>
    </x:row>
    <x:row r="1529">
      <x:c r="A1529" t="str">
        <x:v>PCC-PE-KG01-L23-20251025-PM-ORD-2025-00093-S02-C1</x:v>
      </x:c>
      <x:c r="B1529" t="str">
        <x:v>PC-PE-KG01-L23-20251025-PM-ORD-2025-00093-S02</x:v>
      </x:c>
      <x:c r="C1529" t="str">
        <x:v>PE-KG01-L23-20251025-PM-ORD-2025-00093</x:v>
      </x:c>
      <x:c r="D1529" t="str">
        <x:v>KG01</x:v>
      </x:c>
      <x:c r="E1529" s="62" t="n">
        <x:v>45955</x:v>
      </x:c>
      <x:c r="F1529" t="str">
        <x:v>PM</x:v>
      </x:c>
      <x:c r="G1529" t="str">
        <x:v>C</x:v>
      </x:c>
      <x:c r="H1529" t="n">
        <x:v>23</x:v>
      </x:c>
      <x:c r="I1529" t="str">
        <x:v>ORD-2025-00093</x:v>
      </x:c>
      <x:c r="J1529" t="n">
        <x:v>2</x:v>
      </x:c>
      <x:c r="K1529" t="n">
        <x:v>1</x:v>
      </x:c>
      <x:c r="L1529" t="str">
        <x:v>L23-S02-C1</x:v>
      </x:c>
      <x:c r="M1529" t="n">
        <x:v>1</x:v>
      </x:c>
      <x:c r="N1529" t="str">
        <x:v>DerivedFromCount</x:v>
      </x:c>
      <x:c r="O1529" t="str">
        <x:v>PLC-PRD-JAR-720-L23</x:v>
      </x:c>
      <x:c r="P1529" t="str">
        <x:v>OK</x:v>
      </x:c>
      <x:c r="Q1529" t="str">
        <x:v>OK</x:v>
      </x:c>
      <x:c r="R1529" t="str">
        <x:v>OK</x:v>
      </x:c>
      <x:c r="S1529" t="str">
        <x:v>OK</x:v>
      </x:c>
      <x:c r="T1529" t="n">
        <x:v>24</x:v>
      </x:c>
      <x:c r="U1529" t="str">
        <x:v>OK</x:v>
      </x:c>
      <x:c r="V1529" t="str">
        <x:v>OK</x:v>
      </x:c>
      <x:c r="W1529" t="str">
        <x:v>LOAD</x:v>
      </x:c>
      <x:c r="X1529" t="str">
        <x:v>02_Supervisor_Log(4).xlsx</x:v>
      </x:c>
      <x:c r="Y1529" t="str">
        <x:v>ENH-20260830-01</x:v>
      </x:c>
      <x:c r="Z1529" t="str">
        <x:v>Active</x:v>
      </x:c>
      <x:c r="AA1529"/>
      <x:c r="AB1529"/>
      <x:c r="AC1529"/>
      <x:c r="AD1529"/>
    </x:row>
    <x:row r="1530">
      <x:c r="A1530" t="str">
        <x:v>PCC-PE-KG01-L23-20251025-PM-ORD-2025-00093-S02-C2</x:v>
      </x:c>
      <x:c r="B1530" t="str">
        <x:v>PC-PE-KG01-L23-20251025-PM-ORD-2025-00093-S02</x:v>
      </x:c>
      <x:c r="C1530" t="str">
        <x:v>PE-KG01-L23-20251025-PM-ORD-2025-00093</x:v>
      </x:c>
      <x:c r="D1530" t="str">
        <x:v>KG01</x:v>
      </x:c>
      <x:c r="E1530" s="62" t="n">
        <x:v>45955</x:v>
      </x:c>
      <x:c r="F1530" t="str">
        <x:v>PM</x:v>
      </x:c>
      <x:c r="G1530" t="str">
        <x:v>C</x:v>
      </x:c>
      <x:c r="H1530" t="n">
        <x:v>23</x:v>
      </x:c>
      <x:c r="I1530" t="str">
        <x:v>ORD-2025-00093</x:v>
      </x:c>
      <x:c r="J1530" t="n">
        <x:v>2</x:v>
      </x:c>
      <x:c r="K1530" t="n">
        <x:v>2</x:v>
      </x:c>
      <x:c r="L1530" t="str">
        <x:v>L23-S02-C2</x:v>
      </x:c>
      <x:c r="M1530" t="n">
        <x:v>1</x:v>
      </x:c>
      <x:c r="N1530" t="str">
        <x:v>DerivedFromCount</x:v>
      </x:c>
      <x:c r="O1530" t="str">
        <x:v>PLC-PRD-JAR-720-L23</x:v>
      </x:c>
      <x:c r="P1530" t="str">
        <x:v>OK</x:v>
      </x:c>
      <x:c r="Q1530" t="str">
        <x:v>OK</x:v>
      </x:c>
      <x:c r="R1530" t="str">
        <x:v>OK</x:v>
      </x:c>
      <x:c r="S1530" t="str">
        <x:v>OK</x:v>
      </x:c>
      <x:c r="T1530" t="n">
        <x:v>24</x:v>
      </x:c>
      <x:c r="U1530" t="str">
        <x:v>OK</x:v>
      </x:c>
      <x:c r="V1530" t="str">
        <x:v>OK</x:v>
      </x:c>
      <x:c r="W1530" t="str">
        <x:v>LOAD</x:v>
      </x:c>
      <x:c r="X1530" t="str">
        <x:v>02_Supervisor_Log(4).xlsx</x:v>
      </x:c>
      <x:c r="Y1530" t="str">
        <x:v>ENH-20260830-01</x:v>
      </x:c>
      <x:c r="Z1530" t="str">
        <x:v>Active</x:v>
      </x:c>
      <x:c r="AA1530"/>
      <x:c r="AB1530"/>
      <x:c r="AC1530"/>
      <x:c r="AD1530"/>
    </x:row>
    <x:row r="1531">
      <x:c r="A1531" t="str">
        <x:v>PCC-PE-KG01-L23-20251025-PM-ORD-2025-00093-S02-C3</x:v>
      </x:c>
      <x:c r="B1531" t="str">
        <x:v>PC-PE-KG01-L23-20251025-PM-ORD-2025-00093-S02</x:v>
      </x:c>
      <x:c r="C1531" t="str">
        <x:v>PE-KG01-L23-20251025-PM-ORD-2025-00093</x:v>
      </x:c>
      <x:c r="D1531" t="str">
        <x:v>KG01</x:v>
      </x:c>
      <x:c r="E1531" s="62" t="n">
        <x:v>45955</x:v>
      </x:c>
      <x:c r="F1531" t="str">
        <x:v>PM</x:v>
      </x:c>
      <x:c r="G1531" t="str">
        <x:v>C</x:v>
      </x:c>
      <x:c r="H1531" t="n">
        <x:v>23</x:v>
      </x:c>
      <x:c r="I1531" t="str">
        <x:v>ORD-2025-00093</x:v>
      </x:c>
      <x:c r="J1531" t="n">
        <x:v>2</x:v>
      </x:c>
      <x:c r="K1531" t="n">
        <x:v>3</x:v>
      </x:c>
      <x:c r="L1531" t="str">
        <x:v>L23-S02-C3</x:v>
      </x:c>
      <x:c r="M1531" t="n">
        <x:v>0</x:v>
      </x:c>
      <x:c r="N1531" t="str">
        <x:v>DerivedFromCount</x:v>
      </x:c>
      <x:c r="O1531" t="str">
        <x:v>PLC-PRD-JAR-720-L23</x:v>
      </x:c>
      <x:c r="P1531" t="str">
        <x:v>OK</x:v>
      </x:c>
      <x:c r="Q1531" t="str">
        <x:v>OK</x:v>
      </x:c>
      <x:c r="R1531" t="str">
        <x:v>OK</x:v>
      </x:c>
      <x:c r="S1531" t="str">
        <x:v>OK</x:v>
      </x:c>
      <x:c r="T1531" t="n">
        <x:v>24</x:v>
      </x:c>
      <x:c r="U1531" t="str">
        <x:v>OK</x:v>
      </x:c>
      <x:c r="V1531" t="str">
        <x:v>OK</x:v>
      </x:c>
      <x:c r="W1531" t="str">
        <x:v>LOAD</x:v>
      </x:c>
      <x:c r="X1531" t="str">
        <x:v>02_Supervisor_Log(4).xlsx</x:v>
      </x:c>
      <x:c r="Y1531" t="str">
        <x:v>ENH-20260830-01</x:v>
      </x:c>
      <x:c r="Z1531" t="str">
        <x:v>Active</x:v>
      </x:c>
      <x:c r="AA1531"/>
      <x:c r="AB1531"/>
      <x:c r="AC1531"/>
      <x:c r="AD1531"/>
    </x:row>
    <x:row r="1532">
      <x:c r="A1532" t="str">
        <x:v>PCC-PE-KG01-L23-20251025-PM-ORD-2025-00093-S03-C1</x:v>
      </x:c>
      <x:c r="B1532" t="str">
        <x:v>PC-PE-KG01-L23-20251025-PM-ORD-2025-00093-S03</x:v>
      </x:c>
      <x:c r="C1532" t="str">
        <x:v>PE-KG01-L23-20251025-PM-ORD-2025-00093</x:v>
      </x:c>
      <x:c r="D1532" t="str">
        <x:v>KG01</x:v>
      </x:c>
      <x:c r="E1532" s="62" t="n">
        <x:v>45955</x:v>
      </x:c>
      <x:c r="F1532" t="str">
        <x:v>PM</x:v>
      </x:c>
      <x:c r="G1532" t="str">
        <x:v>C</x:v>
      </x:c>
      <x:c r="H1532" t="n">
        <x:v>23</x:v>
      </x:c>
      <x:c r="I1532" t="str">
        <x:v>ORD-2025-00093</x:v>
      </x:c>
      <x:c r="J1532" t="n">
        <x:v>3</x:v>
      </x:c>
      <x:c r="K1532" t="n">
        <x:v>1</x:v>
      </x:c>
      <x:c r="L1532" t="str">
        <x:v>L23-S03-C1</x:v>
      </x:c>
      <x:c r="M1532" t="n">
        <x:v>1</x:v>
      </x:c>
      <x:c r="N1532" t="str">
        <x:v>DerivedFromCount</x:v>
      </x:c>
      <x:c r="O1532" t="str">
        <x:v>PLC-PRD-JAR-720-L23</x:v>
      </x:c>
      <x:c r="P1532" t="str">
        <x:v>OK</x:v>
      </x:c>
      <x:c r="Q1532" t="str">
        <x:v>OK</x:v>
      </x:c>
      <x:c r="R1532" t="str">
        <x:v>OK</x:v>
      </x:c>
      <x:c r="S1532" t="str">
        <x:v>OK</x:v>
      </x:c>
      <x:c r="T1532" t="n">
        <x:v>24</x:v>
      </x:c>
      <x:c r="U1532" t="str">
        <x:v>OK</x:v>
      </x:c>
      <x:c r="V1532" t="str">
        <x:v>OK</x:v>
      </x:c>
      <x:c r="W1532" t="str">
        <x:v>LOAD</x:v>
      </x:c>
      <x:c r="X1532" t="str">
        <x:v>02_Supervisor_Log(4).xlsx</x:v>
      </x:c>
      <x:c r="Y1532" t="str">
        <x:v>ENH-20260830-01</x:v>
      </x:c>
      <x:c r="Z1532" t="str">
        <x:v>Active</x:v>
      </x:c>
      <x:c r="AA1532"/>
      <x:c r="AB1532"/>
      <x:c r="AC1532"/>
      <x:c r="AD1532"/>
    </x:row>
    <x:row r="1533">
      <x:c r="A1533" t="str">
        <x:v>PCC-PE-KG01-L23-20251025-PM-ORD-2025-00093-S03-C2</x:v>
      </x:c>
      <x:c r="B1533" t="str">
        <x:v>PC-PE-KG01-L23-20251025-PM-ORD-2025-00093-S03</x:v>
      </x:c>
      <x:c r="C1533" t="str">
        <x:v>PE-KG01-L23-20251025-PM-ORD-2025-00093</x:v>
      </x:c>
      <x:c r="D1533" t="str">
        <x:v>KG01</x:v>
      </x:c>
      <x:c r="E1533" s="62" t="n">
        <x:v>45955</x:v>
      </x:c>
      <x:c r="F1533" t="str">
        <x:v>PM</x:v>
      </x:c>
      <x:c r="G1533" t="str">
        <x:v>C</x:v>
      </x:c>
      <x:c r="H1533" t="n">
        <x:v>23</x:v>
      </x:c>
      <x:c r="I1533" t="str">
        <x:v>ORD-2025-00093</x:v>
      </x:c>
      <x:c r="J1533" t="n">
        <x:v>3</x:v>
      </x:c>
      <x:c r="K1533" t="n">
        <x:v>2</x:v>
      </x:c>
      <x:c r="L1533" t="str">
        <x:v>L23-S03-C2</x:v>
      </x:c>
      <x:c r="M1533" t="n">
        <x:v>1</x:v>
      </x:c>
      <x:c r="N1533" t="str">
        <x:v>DerivedFromCount</x:v>
      </x:c>
      <x:c r="O1533" t="str">
        <x:v>PLC-PRD-JAR-720-L23</x:v>
      </x:c>
      <x:c r="P1533" t="str">
        <x:v>OK</x:v>
      </x:c>
      <x:c r="Q1533" t="str">
        <x:v>OK</x:v>
      </x:c>
      <x:c r="R1533" t="str">
        <x:v>OK</x:v>
      </x:c>
      <x:c r="S1533" t="str">
        <x:v>OK</x:v>
      </x:c>
      <x:c r="T1533" t="n">
        <x:v>24</x:v>
      </x:c>
      <x:c r="U1533" t="str">
        <x:v>OK</x:v>
      </x:c>
      <x:c r="V1533" t="str">
        <x:v>OK</x:v>
      </x:c>
      <x:c r="W1533" t="str">
        <x:v>LOAD</x:v>
      </x:c>
      <x:c r="X1533" t="str">
        <x:v>02_Supervisor_Log(4).xlsx</x:v>
      </x:c>
      <x:c r="Y1533" t="str">
        <x:v>ENH-20260830-01</x:v>
      </x:c>
      <x:c r="Z1533" t="str">
        <x:v>Active</x:v>
      </x:c>
      <x:c r="AA1533"/>
      <x:c r="AB1533"/>
      <x:c r="AC1533"/>
      <x:c r="AD1533"/>
    </x:row>
    <x:row r="1534">
      <x:c r="A1534" t="str">
        <x:v>PCC-PE-KG01-L23-20251025-PM-ORD-2025-00093-S03-C3</x:v>
      </x:c>
      <x:c r="B1534" t="str">
        <x:v>PC-PE-KG01-L23-20251025-PM-ORD-2025-00093-S03</x:v>
      </x:c>
      <x:c r="C1534" t="str">
        <x:v>PE-KG01-L23-20251025-PM-ORD-2025-00093</x:v>
      </x:c>
      <x:c r="D1534" t="str">
        <x:v>KG01</x:v>
      </x:c>
      <x:c r="E1534" s="62" t="n">
        <x:v>45955</x:v>
      </x:c>
      <x:c r="F1534" t="str">
        <x:v>PM</x:v>
      </x:c>
      <x:c r="G1534" t="str">
        <x:v>C</x:v>
      </x:c>
      <x:c r="H1534" t="n">
        <x:v>23</x:v>
      </x:c>
      <x:c r="I1534" t="str">
        <x:v>ORD-2025-00093</x:v>
      </x:c>
      <x:c r="J1534" t="n">
        <x:v>3</x:v>
      </x:c>
      <x:c r="K1534" t="n">
        <x:v>3</x:v>
      </x:c>
      <x:c r="L1534" t="str">
        <x:v>L23-S03-C3</x:v>
      </x:c>
      <x:c r="M1534" t="n">
        <x:v>0</x:v>
      </x:c>
      <x:c r="N1534" t="str">
        <x:v>DerivedFromCount</x:v>
      </x:c>
      <x:c r="O1534" t="str">
        <x:v>PLC-PRD-JAR-720-L23</x:v>
      </x:c>
      <x:c r="P1534" t="str">
        <x:v>OK</x:v>
      </x:c>
      <x:c r="Q1534" t="str">
        <x:v>OK</x:v>
      </x:c>
      <x:c r="R1534" t="str">
        <x:v>OK</x:v>
      </x:c>
      <x:c r="S1534" t="str">
        <x:v>OK</x:v>
      </x:c>
      <x:c r="T1534" t="n">
        <x:v>24</x:v>
      </x:c>
      <x:c r="U1534" t="str">
        <x:v>OK</x:v>
      </x:c>
      <x:c r="V1534" t="str">
        <x:v>OK</x:v>
      </x:c>
      <x:c r="W1534" t="str">
        <x:v>LOAD</x:v>
      </x:c>
      <x:c r="X1534" t="str">
        <x:v>02_Supervisor_Log(4).xlsx</x:v>
      </x:c>
      <x:c r="Y1534" t="str">
        <x:v>ENH-20260830-01</x:v>
      </x:c>
      <x:c r="Z1534" t="str">
        <x:v>Active</x:v>
      </x:c>
      <x:c r="AA1534"/>
      <x:c r="AB1534"/>
      <x:c r="AC1534"/>
      <x:c r="AD1534"/>
    </x:row>
    <x:row r="1535">
      <x:c r="A1535" t="str">
        <x:v>PCC-PE-KG01-L23-20251025-PM-ORD-2025-00093-S04-C1</x:v>
      </x:c>
      <x:c r="B1535" t="str">
        <x:v>PC-PE-KG01-L23-20251025-PM-ORD-2025-00093-S04</x:v>
      </x:c>
      <x:c r="C1535" t="str">
        <x:v>PE-KG01-L23-20251025-PM-ORD-2025-00093</x:v>
      </x:c>
      <x:c r="D1535" t="str">
        <x:v>KG01</x:v>
      </x:c>
      <x:c r="E1535" s="62" t="n">
        <x:v>45955</x:v>
      </x:c>
      <x:c r="F1535" t="str">
        <x:v>PM</x:v>
      </x:c>
      <x:c r="G1535" t="str">
        <x:v>C</x:v>
      </x:c>
      <x:c r="H1535" t="n">
        <x:v>23</x:v>
      </x:c>
      <x:c r="I1535" t="str">
        <x:v>ORD-2025-00093</x:v>
      </x:c>
      <x:c r="J1535" t="n">
        <x:v>4</x:v>
      </x:c>
      <x:c r="K1535" t="n">
        <x:v>1</x:v>
      </x:c>
      <x:c r="L1535" t="str">
        <x:v>L23-S04-C1</x:v>
      </x:c>
      <x:c r="M1535" t="n">
        <x:v>1</x:v>
      </x:c>
      <x:c r="N1535" t="str">
        <x:v>DerivedFromCount</x:v>
      </x:c>
      <x:c r="O1535" t="str">
        <x:v>PLC-PRD-JAR-720-L23</x:v>
      </x:c>
      <x:c r="P1535" t="str">
        <x:v>OK</x:v>
      </x:c>
      <x:c r="Q1535" t="str">
        <x:v>OK</x:v>
      </x:c>
      <x:c r="R1535" t="str">
        <x:v>OK</x:v>
      </x:c>
      <x:c r="S1535" t="str">
        <x:v>OK</x:v>
      </x:c>
      <x:c r="T1535" t="n">
        <x:v>24</x:v>
      </x:c>
      <x:c r="U1535" t="str">
        <x:v>OK</x:v>
      </x:c>
      <x:c r="V1535" t="str">
        <x:v>OK</x:v>
      </x:c>
      <x:c r="W1535" t="str">
        <x:v>LOAD</x:v>
      </x:c>
      <x:c r="X1535" t="str">
        <x:v>02_Supervisor_Log(4).xlsx</x:v>
      </x:c>
      <x:c r="Y1535" t="str">
        <x:v>ENH-20260830-01</x:v>
      </x:c>
      <x:c r="Z1535" t="str">
        <x:v>Active</x:v>
      </x:c>
      <x:c r="AA1535"/>
      <x:c r="AB1535"/>
      <x:c r="AC1535"/>
      <x:c r="AD1535"/>
    </x:row>
    <x:row r="1536">
      <x:c r="A1536" t="str">
        <x:v>PCC-PE-KG01-L23-20251025-PM-ORD-2025-00093-S04-C2</x:v>
      </x:c>
      <x:c r="B1536" t="str">
        <x:v>PC-PE-KG01-L23-20251025-PM-ORD-2025-00093-S04</x:v>
      </x:c>
      <x:c r="C1536" t="str">
        <x:v>PE-KG01-L23-20251025-PM-ORD-2025-00093</x:v>
      </x:c>
      <x:c r="D1536" t="str">
        <x:v>KG01</x:v>
      </x:c>
      <x:c r="E1536" s="62" t="n">
        <x:v>45955</x:v>
      </x:c>
      <x:c r="F1536" t="str">
        <x:v>PM</x:v>
      </x:c>
      <x:c r="G1536" t="str">
        <x:v>C</x:v>
      </x:c>
      <x:c r="H1536" t="n">
        <x:v>23</x:v>
      </x:c>
      <x:c r="I1536" t="str">
        <x:v>ORD-2025-00093</x:v>
      </x:c>
      <x:c r="J1536" t="n">
        <x:v>4</x:v>
      </x:c>
      <x:c r="K1536" t="n">
        <x:v>2</x:v>
      </x:c>
      <x:c r="L1536" t="str">
        <x:v>L23-S04-C2</x:v>
      </x:c>
      <x:c r="M1536" t="n">
        <x:v>1</x:v>
      </x:c>
      <x:c r="N1536" t="str">
        <x:v>DerivedFromCount</x:v>
      </x:c>
      <x:c r="O1536" t="str">
        <x:v>PLC-PRD-JAR-720-L23</x:v>
      </x:c>
      <x:c r="P1536" t="str">
        <x:v>OK</x:v>
      </x:c>
      <x:c r="Q1536" t="str">
        <x:v>OK</x:v>
      </x:c>
      <x:c r="R1536" t="str">
        <x:v>OK</x:v>
      </x:c>
      <x:c r="S1536" t="str">
        <x:v>OK</x:v>
      </x:c>
      <x:c r="T1536" t="n">
        <x:v>24</x:v>
      </x:c>
      <x:c r="U1536" t="str">
        <x:v>OK</x:v>
      </x:c>
      <x:c r="V1536" t="str">
        <x:v>OK</x:v>
      </x:c>
      <x:c r="W1536" t="str">
        <x:v>LOAD</x:v>
      </x:c>
      <x:c r="X1536" t="str">
        <x:v>02_Supervisor_Log(4).xlsx</x:v>
      </x:c>
      <x:c r="Y1536" t="str">
        <x:v>ENH-20260830-01</x:v>
      </x:c>
      <x:c r="Z1536" t="str">
        <x:v>Active</x:v>
      </x:c>
      <x:c r="AA1536"/>
      <x:c r="AB1536"/>
      <x:c r="AC1536"/>
      <x:c r="AD1536"/>
    </x:row>
    <x:row r="1537">
      <x:c r="A1537" t="str">
        <x:v>PCC-PE-KG01-L23-20251025-PM-ORD-2025-00093-S04-C3</x:v>
      </x:c>
      <x:c r="B1537" t="str">
        <x:v>PC-PE-KG01-L23-20251025-PM-ORD-2025-00093-S04</x:v>
      </x:c>
      <x:c r="C1537" t="str">
        <x:v>PE-KG01-L23-20251025-PM-ORD-2025-00093</x:v>
      </x:c>
      <x:c r="D1537" t="str">
        <x:v>KG01</x:v>
      </x:c>
      <x:c r="E1537" s="62" t="n">
        <x:v>45955</x:v>
      </x:c>
      <x:c r="F1537" t="str">
        <x:v>PM</x:v>
      </x:c>
      <x:c r="G1537" t="str">
        <x:v>C</x:v>
      </x:c>
      <x:c r="H1537" t="n">
        <x:v>23</x:v>
      </x:c>
      <x:c r="I1537" t="str">
        <x:v>ORD-2025-00093</x:v>
      </x:c>
      <x:c r="J1537" t="n">
        <x:v>4</x:v>
      </x:c>
      <x:c r="K1537" t="n">
        <x:v>3</x:v>
      </x:c>
      <x:c r="L1537" t="str">
        <x:v>L23-S04-C3</x:v>
      </x:c>
      <x:c r="M1537" t="n">
        <x:v>0</x:v>
      </x:c>
      <x:c r="N1537" t="str">
        <x:v>DerivedFromCount</x:v>
      </x:c>
      <x:c r="O1537" t="str">
        <x:v>PLC-PRD-JAR-720-L23</x:v>
      </x:c>
      <x:c r="P1537" t="str">
        <x:v>OK</x:v>
      </x:c>
      <x:c r="Q1537" t="str">
        <x:v>OK</x:v>
      </x:c>
      <x:c r="R1537" t="str">
        <x:v>OK</x:v>
      </x:c>
      <x:c r="S1537" t="str">
        <x:v>OK</x:v>
      </x:c>
      <x:c r="T1537" t="n">
        <x:v>24</x:v>
      </x:c>
      <x:c r="U1537" t="str">
        <x:v>OK</x:v>
      </x:c>
      <x:c r="V1537" t="str">
        <x:v>OK</x:v>
      </x:c>
      <x:c r="W1537" t="str">
        <x:v>LOAD</x:v>
      </x:c>
      <x:c r="X1537" t="str">
        <x:v>02_Supervisor_Log(4).xlsx</x:v>
      </x:c>
      <x:c r="Y1537" t="str">
        <x:v>ENH-20260830-01</x:v>
      </x:c>
      <x:c r="Z1537" t="str">
        <x:v>Active</x:v>
      </x:c>
      <x:c r="AA1537"/>
      <x:c r="AB1537"/>
      <x:c r="AC1537"/>
      <x:c r="AD1537"/>
    </x:row>
    <x:row r="1538">
      <x:c r="A1538" t="str">
        <x:v>PCC-PE-KG01-L23-20251025-PM-ORD-2025-00093-S05-C1</x:v>
      </x:c>
      <x:c r="B1538" t="str">
        <x:v>PC-PE-KG01-L23-20251025-PM-ORD-2025-00093-S05</x:v>
      </x:c>
      <x:c r="C1538" t="str">
        <x:v>PE-KG01-L23-20251025-PM-ORD-2025-00093</x:v>
      </x:c>
      <x:c r="D1538" t="str">
        <x:v>KG01</x:v>
      </x:c>
      <x:c r="E1538" s="62" t="n">
        <x:v>45955</x:v>
      </x:c>
      <x:c r="F1538" t="str">
        <x:v>PM</x:v>
      </x:c>
      <x:c r="G1538" t="str">
        <x:v>C</x:v>
      </x:c>
      <x:c r="H1538" t="n">
        <x:v>23</x:v>
      </x:c>
      <x:c r="I1538" t="str">
        <x:v>ORD-2025-00093</x:v>
      </x:c>
      <x:c r="J1538" t="n">
        <x:v>5</x:v>
      </x:c>
      <x:c r="K1538" t="n">
        <x:v>1</x:v>
      </x:c>
      <x:c r="L1538" t="str">
        <x:v>L23-S05-C1</x:v>
      </x:c>
      <x:c r="M1538" t="n">
        <x:v>1</x:v>
      </x:c>
      <x:c r="N1538" t="str">
        <x:v>DerivedFromCount</x:v>
      </x:c>
      <x:c r="O1538" t="str">
        <x:v>PLC-PRD-JAR-720-L23</x:v>
      </x:c>
      <x:c r="P1538" t="str">
        <x:v>OK</x:v>
      </x:c>
      <x:c r="Q1538" t="str">
        <x:v>OK</x:v>
      </x:c>
      <x:c r="R1538" t="str">
        <x:v>OK</x:v>
      </x:c>
      <x:c r="S1538" t="str">
        <x:v>OK</x:v>
      </x:c>
      <x:c r="T1538" t="n">
        <x:v>24</x:v>
      </x:c>
      <x:c r="U1538" t="str">
        <x:v>OK</x:v>
      </x:c>
      <x:c r="V1538" t="str">
        <x:v>OK</x:v>
      </x:c>
      <x:c r="W1538" t="str">
        <x:v>LOAD</x:v>
      </x:c>
      <x:c r="X1538" t="str">
        <x:v>02_Supervisor_Log(4).xlsx</x:v>
      </x:c>
      <x:c r="Y1538" t="str">
        <x:v>ENH-20260830-01</x:v>
      </x:c>
      <x:c r="Z1538" t="str">
        <x:v>Active</x:v>
      </x:c>
      <x:c r="AA1538"/>
      <x:c r="AB1538"/>
      <x:c r="AC1538"/>
      <x:c r="AD1538"/>
    </x:row>
    <x:row r="1539">
      <x:c r="A1539" t="str">
        <x:v>PCC-PE-KG01-L23-20251025-PM-ORD-2025-00093-S05-C2</x:v>
      </x:c>
      <x:c r="B1539" t="str">
        <x:v>PC-PE-KG01-L23-20251025-PM-ORD-2025-00093-S05</x:v>
      </x:c>
      <x:c r="C1539" t="str">
        <x:v>PE-KG01-L23-20251025-PM-ORD-2025-00093</x:v>
      </x:c>
      <x:c r="D1539" t="str">
        <x:v>KG01</x:v>
      </x:c>
      <x:c r="E1539" s="62" t="n">
        <x:v>45955</x:v>
      </x:c>
      <x:c r="F1539" t="str">
        <x:v>PM</x:v>
      </x:c>
      <x:c r="G1539" t="str">
        <x:v>C</x:v>
      </x:c>
      <x:c r="H1539" t="n">
        <x:v>23</x:v>
      </x:c>
      <x:c r="I1539" t="str">
        <x:v>ORD-2025-00093</x:v>
      </x:c>
      <x:c r="J1539" t="n">
        <x:v>5</x:v>
      </x:c>
      <x:c r="K1539" t="n">
        <x:v>2</x:v>
      </x:c>
      <x:c r="L1539" t="str">
        <x:v>L23-S05-C2</x:v>
      </x:c>
      <x:c r="M1539" t="n">
        <x:v>1</x:v>
      </x:c>
      <x:c r="N1539" t="str">
        <x:v>DerivedFromCount</x:v>
      </x:c>
      <x:c r="O1539" t="str">
        <x:v>PLC-PRD-JAR-720-L23</x:v>
      </x:c>
      <x:c r="P1539" t="str">
        <x:v>OK</x:v>
      </x:c>
      <x:c r="Q1539" t="str">
        <x:v>OK</x:v>
      </x:c>
      <x:c r="R1539" t="str">
        <x:v>OK</x:v>
      </x:c>
      <x:c r="S1539" t="str">
        <x:v>OK</x:v>
      </x:c>
      <x:c r="T1539" t="n">
        <x:v>24</x:v>
      </x:c>
      <x:c r="U1539" t="str">
        <x:v>OK</x:v>
      </x:c>
      <x:c r="V1539" t="str">
        <x:v>OK</x:v>
      </x:c>
      <x:c r="W1539" t="str">
        <x:v>LOAD</x:v>
      </x:c>
      <x:c r="X1539" t="str">
        <x:v>02_Supervisor_Log(4).xlsx</x:v>
      </x:c>
      <x:c r="Y1539" t="str">
        <x:v>ENH-20260830-01</x:v>
      </x:c>
      <x:c r="Z1539" t="str">
        <x:v>Active</x:v>
      </x:c>
      <x:c r="AA1539"/>
      <x:c r="AB1539"/>
      <x:c r="AC1539"/>
      <x:c r="AD1539"/>
    </x:row>
    <x:row r="1540">
      <x:c r="A1540" t="str">
        <x:v>PCC-PE-KG01-L23-20251025-PM-ORD-2025-00093-S05-C3</x:v>
      </x:c>
      <x:c r="B1540" t="str">
        <x:v>PC-PE-KG01-L23-20251025-PM-ORD-2025-00093-S05</x:v>
      </x:c>
      <x:c r="C1540" t="str">
        <x:v>PE-KG01-L23-20251025-PM-ORD-2025-00093</x:v>
      </x:c>
      <x:c r="D1540" t="str">
        <x:v>KG01</x:v>
      </x:c>
      <x:c r="E1540" s="62" t="n">
        <x:v>45955</x:v>
      </x:c>
      <x:c r="F1540" t="str">
        <x:v>PM</x:v>
      </x:c>
      <x:c r="G1540" t="str">
        <x:v>C</x:v>
      </x:c>
      <x:c r="H1540" t="n">
        <x:v>23</x:v>
      </x:c>
      <x:c r="I1540" t="str">
        <x:v>ORD-2025-00093</x:v>
      </x:c>
      <x:c r="J1540" t="n">
        <x:v>5</x:v>
      </x:c>
      <x:c r="K1540" t="n">
        <x:v>3</x:v>
      </x:c>
      <x:c r="L1540" t="str">
        <x:v>L23-S05-C3</x:v>
      </x:c>
      <x:c r="M1540" t="n">
        <x:v>0</x:v>
      </x:c>
      <x:c r="N1540" t="str">
        <x:v>DerivedFromCount</x:v>
      </x:c>
      <x:c r="O1540" t="str">
        <x:v>PLC-PRD-JAR-720-L23</x:v>
      </x:c>
      <x:c r="P1540" t="str">
        <x:v>OK</x:v>
      </x:c>
      <x:c r="Q1540" t="str">
        <x:v>OK</x:v>
      </x:c>
      <x:c r="R1540" t="str">
        <x:v>OK</x:v>
      </x:c>
      <x:c r="S1540" t="str">
        <x:v>OK</x:v>
      </x:c>
      <x:c r="T1540" t="n">
        <x:v>24</x:v>
      </x:c>
      <x:c r="U1540" t="str">
        <x:v>OK</x:v>
      </x:c>
      <x:c r="V1540" t="str">
        <x:v>OK</x:v>
      </x:c>
      <x:c r="W1540" t="str">
        <x:v>LOAD</x:v>
      </x:c>
      <x:c r="X1540" t="str">
        <x:v>02_Supervisor_Log(4).xlsx</x:v>
      </x:c>
      <x:c r="Y1540" t="str">
        <x:v>ENH-20260830-01</x:v>
      </x:c>
      <x:c r="Z1540" t="str">
        <x:v>Active</x:v>
      </x:c>
      <x:c r="AA1540"/>
      <x:c r="AB1540"/>
      <x:c r="AC1540"/>
      <x:c r="AD1540"/>
    </x:row>
    <x:row r="1541">
      <x:c r="A1541" t="str">
        <x:v>PCC-PE-KG01-L23-20251025-PM-ORD-2025-00093-S06-C1</x:v>
      </x:c>
      <x:c r="B1541" t="str">
        <x:v>PC-PE-KG01-L23-20251025-PM-ORD-2025-00093-S06</x:v>
      </x:c>
      <x:c r="C1541" t="str">
        <x:v>PE-KG01-L23-20251025-PM-ORD-2025-00093</x:v>
      </x:c>
      <x:c r="D1541" t="str">
        <x:v>KG01</x:v>
      </x:c>
      <x:c r="E1541" s="62" t="n">
        <x:v>45955</x:v>
      </x:c>
      <x:c r="F1541" t="str">
        <x:v>PM</x:v>
      </x:c>
      <x:c r="G1541" t="str">
        <x:v>C</x:v>
      </x:c>
      <x:c r="H1541" t="n">
        <x:v>23</x:v>
      </x:c>
      <x:c r="I1541" t="str">
        <x:v>ORD-2025-00093</x:v>
      </x:c>
      <x:c r="J1541" t="n">
        <x:v>6</x:v>
      </x:c>
      <x:c r="K1541" t="n">
        <x:v>1</x:v>
      </x:c>
      <x:c r="L1541" t="str">
        <x:v>L23-S06-C1</x:v>
      </x:c>
      <x:c r="M1541" t="n">
        <x:v>1</x:v>
      </x:c>
      <x:c r="N1541" t="str">
        <x:v>DerivedFromCount</x:v>
      </x:c>
      <x:c r="O1541" t="str">
        <x:v>PLC-PRD-JAR-720-L23</x:v>
      </x:c>
      <x:c r="P1541" t="str">
        <x:v>OK</x:v>
      </x:c>
      <x:c r="Q1541" t="str">
        <x:v>OK</x:v>
      </x:c>
      <x:c r="R1541" t="str">
        <x:v>OK</x:v>
      </x:c>
      <x:c r="S1541" t="str">
        <x:v>OK</x:v>
      </x:c>
      <x:c r="T1541" t="n">
        <x:v>24</x:v>
      </x:c>
      <x:c r="U1541" t="str">
        <x:v>OK</x:v>
      </x:c>
      <x:c r="V1541" t="str">
        <x:v>OK</x:v>
      </x:c>
      <x:c r="W1541" t="str">
        <x:v>LOAD</x:v>
      </x:c>
      <x:c r="X1541" t="str">
        <x:v>02_Supervisor_Log(4).xlsx</x:v>
      </x:c>
      <x:c r="Y1541" t="str">
        <x:v>ENH-20260830-01</x:v>
      </x:c>
      <x:c r="Z1541" t="str">
        <x:v>Active</x:v>
      </x:c>
      <x:c r="AA1541"/>
      <x:c r="AB1541"/>
      <x:c r="AC1541"/>
      <x:c r="AD1541"/>
    </x:row>
    <x:row r="1542">
      <x:c r="A1542" t="str">
        <x:v>PCC-PE-KG01-L23-20251025-PM-ORD-2025-00093-S06-C2</x:v>
      </x:c>
      <x:c r="B1542" t="str">
        <x:v>PC-PE-KG01-L23-20251025-PM-ORD-2025-00093-S06</x:v>
      </x:c>
      <x:c r="C1542" t="str">
        <x:v>PE-KG01-L23-20251025-PM-ORD-2025-00093</x:v>
      </x:c>
      <x:c r="D1542" t="str">
        <x:v>KG01</x:v>
      </x:c>
      <x:c r="E1542" s="62" t="n">
        <x:v>45955</x:v>
      </x:c>
      <x:c r="F1542" t="str">
        <x:v>PM</x:v>
      </x:c>
      <x:c r="G1542" t="str">
        <x:v>C</x:v>
      </x:c>
      <x:c r="H1542" t="n">
        <x:v>23</x:v>
      </x:c>
      <x:c r="I1542" t="str">
        <x:v>ORD-2025-00093</x:v>
      </x:c>
      <x:c r="J1542" t="n">
        <x:v>6</x:v>
      </x:c>
      <x:c r="K1542" t="n">
        <x:v>2</x:v>
      </x:c>
      <x:c r="L1542" t="str">
        <x:v>L23-S06-C2</x:v>
      </x:c>
      <x:c r="M1542" t="n">
        <x:v>1</x:v>
      </x:c>
      <x:c r="N1542" t="str">
        <x:v>DerivedFromCount</x:v>
      </x:c>
      <x:c r="O1542" t="str">
        <x:v>PLC-PRD-JAR-720-L23</x:v>
      </x:c>
      <x:c r="P1542" t="str">
        <x:v>OK</x:v>
      </x:c>
      <x:c r="Q1542" t="str">
        <x:v>OK</x:v>
      </x:c>
      <x:c r="R1542" t="str">
        <x:v>OK</x:v>
      </x:c>
      <x:c r="S1542" t="str">
        <x:v>OK</x:v>
      </x:c>
      <x:c r="T1542" t="n">
        <x:v>24</x:v>
      </x:c>
      <x:c r="U1542" t="str">
        <x:v>OK</x:v>
      </x:c>
      <x:c r="V1542" t="str">
        <x:v>OK</x:v>
      </x:c>
      <x:c r="W1542" t="str">
        <x:v>LOAD</x:v>
      </x:c>
      <x:c r="X1542" t="str">
        <x:v>02_Supervisor_Log(4).xlsx</x:v>
      </x:c>
      <x:c r="Y1542" t="str">
        <x:v>ENH-20260830-01</x:v>
      </x:c>
      <x:c r="Z1542" t="str">
        <x:v>Active</x:v>
      </x:c>
      <x:c r="AA1542"/>
      <x:c r="AB1542"/>
      <x:c r="AC1542"/>
      <x:c r="AD1542"/>
    </x:row>
    <x:row r="1543">
      <x:c r="A1543" t="str">
        <x:v>PCC-PE-KG01-L23-20251025-PM-ORD-2025-00093-S06-C3</x:v>
      </x:c>
      <x:c r="B1543" t="str">
        <x:v>PC-PE-KG01-L23-20251025-PM-ORD-2025-00093-S06</x:v>
      </x:c>
      <x:c r="C1543" t="str">
        <x:v>PE-KG01-L23-20251025-PM-ORD-2025-00093</x:v>
      </x:c>
      <x:c r="D1543" t="str">
        <x:v>KG01</x:v>
      </x:c>
      <x:c r="E1543" s="62" t="n">
        <x:v>45955</x:v>
      </x:c>
      <x:c r="F1543" t="str">
        <x:v>PM</x:v>
      </x:c>
      <x:c r="G1543" t="str">
        <x:v>C</x:v>
      </x:c>
      <x:c r="H1543" t="n">
        <x:v>23</x:v>
      </x:c>
      <x:c r="I1543" t="str">
        <x:v>ORD-2025-00093</x:v>
      </x:c>
      <x:c r="J1543" t="n">
        <x:v>6</x:v>
      </x:c>
      <x:c r="K1543" t="n">
        <x:v>3</x:v>
      </x:c>
      <x:c r="L1543" t="str">
        <x:v>L23-S06-C3</x:v>
      </x:c>
      <x:c r="M1543" t="n">
        <x:v>0</x:v>
      </x:c>
      <x:c r="N1543" t="str">
        <x:v>DerivedFromCount</x:v>
      </x:c>
      <x:c r="O1543" t="str">
        <x:v>PLC-PRD-JAR-720-L23</x:v>
      </x:c>
      <x:c r="P1543" t="str">
        <x:v>OK</x:v>
      </x:c>
      <x:c r="Q1543" t="str">
        <x:v>OK</x:v>
      </x:c>
      <x:c r="R1543" t="str">
        <x:v>OK</x:v>
      </x:c>
      <x:c r="S1543" t="str">
        <x:v>OK</x:v>
      </x:c>
      <x:c r="T1543" t="n">
        <x:v>24</x:v>
      </x:c>
      <x:c r="U1543" t="str">
        <x:v>OK</x:v>
      </x:c>
      <x:c r="V1543" t="str">
        <x:v>OK</x:v>
      </x:c>
      <x:c r="W1543" t="str">
        <x:v>LOAD</x:v>
      </x:c>
      <x:c r="X1543" t="str">
        <x:v>02_Supervisor_Log(4).xlsx</x:v>
      </x:c>
      <x:c r="Y1543" t="str">
        <x:v>ENH-20260830-01</x:v>
      </x:c>
      <x:c r="Z1543" t="str">
        <x:v>Active</x:v>
      </x:c>
      <x:c r="AA1543"/>
      <x:c r="AB1543"/>
      <x:c r="AC1543"/>
      <x:c r="AD1543"/>
    </x:row>
    <x:row r="1544">
      <x:c r="A1544" t="str">
        <x:v>PCC-PE-KG01-L23-20251025-PM-ORD-2025-00093-S07-C1</x:v>
      </x:c>
      <x:c r="B1544" t="str">
        <x:v>PC-PE-KG01-L23-20251025-PM-ORD-2025-00093-S07</x:v>
      </x:c>
      <x:c r="C1544" t="str">
        <x:v>PE-KG01-L23-20251025-PM-ORD-2025-00093</x:v>
      </x:c>
      <x:c r="D1544" t="str">
        <x:v>KG01</x:v>
      </x:c>
      <x:c r="E1544" s="62" t="n">
        <x:v>45955</x:v>
      </x:c>
      <x:c r="F1544" t="str">
        <x:v>PM</x:v>
      </x:c>
      <x:c r="G1544" t="str">
        <x:v>C</x:v>
      </x:c>
      <x:c r="H1544" t="n">
        <x:v>23</x:v>
      </x:c>
      <x:c r="I1544" t="str">
        <x:v>ORD-2025-00093</x:v>
      </x:c>
      <x:c r="J1544" t="n">
        <x:v>7</x:v>
      </x:c>
      <x:c r="K1544" t="n">
        <x:v>1</x:v>
      </x:c>
      <x:c r="L1544" t="str">
        <x:v>L23-S07-C1</x:v>
      </x:c>
      <x:c r="M1544" t="n">
        <x:v>1</x:v>
      </x:c>
      <x:c r="N1544" t="str">
        <x:v>DerivedFromCount</x:v>
      </x:c>
      <x:c r="O1544" t="str">
        <x:v>PLC-PRD-JAR-720-L23</x:v>
      </x:c>
      <x:c r="P1544" t="str">
        <x:v>OK</x:v>
      </x:c>
      <x:c r="Q1544" t="str">
        <x:v>OK</x:v>
      </x:c>
      <x:c r="R1544" t="str">
        <x:v>OK</x:v>
      </x:c>
      <x:c r="S1544" t="str">
        <x:v>OK</x:v>
      </x:c>
      <x:c r="T1544" t="n">
        <x:v>24</x:v>
      </x:c>
      <x:c r="U1544" t="str">
        <x:v>OK</x:v>
      </x:c>
      <x:c r="V1544" t="str">
        <x:v>OK</x:v>
      </x:c>
      <x:c r="W1544" t="str">
        <x:v>LOAD</x:v>
      </x:c>
      <x:c r="X1544" t="str">
        <x:v>02_Supervisor_Log(4).xlsx</x:v>
      </x:c>
      <x:c r="Y1544" t="str">
        <x:v>ENH-20260830-01</x:v>
      </x:c>
      <x:c r="Z1544" t="str">
        <x:v>Active</x:v>
      </x:c>
      <x:c r="AA1544"/>
      <x:c r="AB1544"/>
      <x:c r="AC1544"/>
      <x:c r="AD1544"/>
    </x:row>
    <x:row r="1545">
      <x:c r="A1545" t="str">
        <x:v>PCC-PE-KG01-L23-20251025-PM-ORD-2025-00093-S07-C2</x:v>
      </x:c>
      <x:c r="B1545" t="str">
        <x:v>PC-PE-KG01-L23-20251025-PM-ORD-2025-00093-S07</x:v>
      </x:c>
      <x:c r="C1545" t="str">
        <x:v>PE-KG01-L23-20251025-PM-ORD-2025-00093</x:v>
      </x:c>
      <x:c r="D1545" t="str">
        <x:v>KG01</x:v>
      </x:c>
      <x:c r="E1545" s="62" t="n">
        <x:v>45955</x:v>
      </x:c>
      <x:c r="F1545" t="str">
        <x:v>PM</x:v>
      </x:c>
      <x:c r="G1545" t="str">
        <x:v>C</x:v>
      </x:c>
      <x:c r="H1545" t="n">
        <x:v>23</x:v>
      </x:c>
      <x:c r="I1545" t="str">
        <x:v>ORD-2025-00093</x:v>
      </x:c>
      <x:c r="J1545" t="n">
        <x:v>7</x:v>
      </x:c>
      <x:c r="K1545" t="n">
        <x:v>2</x:v>
      </x:c>
      <x:c r="L1545" t="str">
        <x:v>L23-S07-C2</x:v>
      </x:c>
      <x:c r="M1545" t="n">
        <x:v>1</x:v>
      </x:c>
      <x:c r="N1545" t="str">
        <x:v>DerivedFromCount</x:v>
      </x:c>
      <x:c r="O1545" t="str">
        <x:v>PLC-PRD-JAR-720-L23</x:v>
      </x:c>
      <x:c r="P1545" t="str">
        <x:v>OK</x:v>
      </x:c>
      <x:c r="Q1545" t="str">
        <x:v>OK</x:v>
      </x:c>
      <x:c r="R1545" t="str">
        <x:v>OK</x:v>
      </x:c>
      <x:c r="S1545" t="str">
        <x:v>OK</x:v>
      </x:c>
      <x:c r="T1545" t="n">
        <x:v>24</x:v>
      </x:c>
      <x:c r="U1545" t="str">
        <x:v>OK</x:v>
      </x:c>
      <x:c r="V1545" t="str">
        <x:v>OK</x:v>
      </x:c>
      <x:c r="W1545" t="str">
        <x:v>LOAD</x:v>
      </x:c>
      <x:c r="X1545" t="str">
        <x:v>02_Supervisor_Log(4).xlsx</x:v>
      </x:c>
      <x:c r="Y1545" t="str">
        <x:v>ENH-20260830-01</x:v>
      </x:c>
      <x:c r="Z1545" t="str">
        <x:v>Active</x:v>
      </x:c>
      <x:c r="AA1545"/>
      <x:c r="AB1545"/>
      <x:c r="AC1545"/>
      <x:c r="AD1545"/>
    </x:row>
    <x:row r="1546">
      <x:c r="A1546" t="str">
        <x:v>PCC-PE-KG01-L23-20251025-PM-ORD-2025-00093-S07-C3</x:v>
      </x:c>
      <x:c r="B1546" t="str">
        <x:v>PC-PE-KG01-L23-20251025-PM-ORD-2025-00093-S07</x:v>
      </x:c>
      <x:c r="C1546" t="str">
        <x:v>PE-KG01-L23-20251025-PM-ORD-2025-00093</x:v>
      </x:c>
      <x:c r="D1546" t="str">
        <x:v>KG01</x:v>
      </x:c>
      <x:c r="E1546" s="62" t="n">
        <x:v>45955</x:v>
      </x:c>
      <x:c r="F1546" t="str">
        <x:v>PM</x:v>
      </x:c>
      <x:c r="G1546" t="str">
        <x:v>C</x:v>
      </x:c>
      <x:c r="H1546" t="n">
        <x:v>23</x:v>
      </x:c>
      <x:c r="I1546" t="str">
        <x:v>ORD-2025-00093</x:v>
      </x:c>
      <x:c r="J1546" t="n">
        <x:v>7</x:v>
      </x:c>
      <x:c r="K1546" t="n">
        <x:v>3</x:v>
      </x:c>
      <x:c r="L1546" t="str">
        <x:v>L23-S07-C3</x:v>
      </x:c>
      <x:c r="M1546" t="n">
        <x:v>0</x:v>
      </x:c>
      <x:c r="N1546" t="str">
        <x:v>DerivedFromCount</x:v>
      </x:c>
      <x:c r="O1546" t="str">
        <x:v>PLC-PRD-JAR-720-L23</x:v>
      </x:c>
      <x:c r="P1546" t="str">
        <x:v>OK</x:v>
      </x:c>
      <x:c r="Q1546" t="str">
        <x:v>OK</x:v>
      </x:c>
      <x:c r="R1546" t="str">
        <x:v>OK</x:v>
      </x:c>
      <x:c r="S1546" t="str">
        <x:v>OK</x:v>
      </x:c>
      <x:c r="T1546" t="n">
        <x:v>24</x:v>
      </x:c>
      <x:c r="U1546" t="str">
        <x:v>OK</x:v>
      </x:c>
      <x:c r="V1546" t="str">
        <x:v>OK</x:v>
      </x:c>
      <x:c r="W1546" t="str">
        <x:v>LOAD</x:v>
      </x:c>
      <x:c r="X1546" t="str">
        <x:v>02_Supervisor_Log(4).xlsx</x:v>
      </x:c>
      <x:c r="Y1546" t="str">
        <x:v>ENH-20260830-01</x:v>
      </x:c>
      <x:c r="Z1546" t="str">
        <x:v>Active</x:v>
      </x:c>
      <x:c r="AA1546"/>
      <x:c r="AB1546"/>
      <x:c r="AC1546"/>
      <x:c r="AD1546"/>
    </x:row>
    <x:row r="1547">
      <x:c r="A1547" t="str">
        <x:v>PCC-PE-KG01-L23-20251025-PM-ORD-2025-00093-S08-C1</x:v>
      </x:c>
      <x:c r="B1547" t="str">
        <x:v>PC-PE-KG01-L23-20251025-PM-ORD-2025-00093-S08</x:v>
      </x:c>
      <x:c r="C1547" t="str">
        <x:v>PE-KG01-L23-20251025-PM-ORD-2025-00093</x:v>
      </x:c>
      <x:c r="D1547" t="str">
        <x:v>KG01</x:v>
      </x:c>
      <x:c r="E1547" s="62" t="n">
        <x:v>45955</x:v>
      </x:c>
      <x:c r="F1547" t="str">
        <x:v>PM</x:v>
      </x:c>
      <x:c r="G1547" t="str">
        <x:v>C</x:v>
      </x:c>
      <x:c r="H1547" t="n">
        <x:v>23</x:v>
      </x:c>
      <x:c r="I1547" t="str">
        <x:v>ORD-2025-00093</x:v>
      </x:c>
      <x:c r="J1547" t="n">
        <x:v>8</x:v>
      </x:c>
      <x:c r="K1547" t="n">
        <x:v>1</x:v>
      </x:c>
      <x:c r="L1547" t="str">
        <x:v>L23-S08-C1</x:v>
      </x:c>
      <x:c r="M1547" t="n">
        <x:v>1</x:v>
      </x:c>
      <x:c r="N1547" t="str">
        <x:v>DerivedFromCount</x:v>
      </x:c>
      <x:c r="O1547" t="str">
        <x:v>PLC-PRD-JAR-720-L23</x:v>
      </x:c>
      <x:c r="P1547" t="str">
        <x:v>OK</x:v>
      </x:c>
      <x:c r="Q1547" t="str">
        <x:v>OK</x:v>
      </x:c>
      <x:c r="R1547" t="str">
        <x:v>OK</x:v>
      </x:c>
      <x:c r="S1547" t="str">
        <x:v>OK</x:v>
      </x:c>
      <x:c r="T1547" t="n">
        <x:v>24</x:v>
      </x:c>
      <x:c r="U1547" t="str">
        <x:v>OK</x:v>
      </x:c>
      <x:c r="V1547" t="str">
        <x:v>OK</x:v>
      </x:c>
      <x:c r="W1547" t="str">
        <x:v>LOAD</x:v>
      </x:c>
      <x:c r="X1547" t="str">
        <x:v>02_Supervisor_Log(4).xlsx</x:v>
      </x:c>
      <x:c r="Y1547" t="str">
        <x:v>ENH-20260830-01</x:v>
      </x:c>
      <x:c r="Z1547" t="str">
        <x:v>Active</x:v>
      </x:c>
      <x:c r="AA1547"/>
      <x:c r="AB1547"/>
      <x:c r="AC1547"/>
      <x:c r="AD1547"/>
    </x:row>
    <x:row r="1548">
      <x:c r="A1548" t="str">
        <x:v>PCC-PE-KG01-L23-20251025-PM-ORD-2025-00093-S08-C2</x:v>
      </x:c>
      <x:c r="B1548" t="str">
        <x:v>PC-PE-KG01-L23-20251025-PM-ORD-2025-00093-S08</x:v>
      </x:c>
      <x:c r="C1548" t="str">
        <x:v>PE-KG01-L23-20251025-PM-ORD-2025-00093</x:v>
      </x:c>
      <x:c r="D1548" t="str">
        <x:v>KG01</x:v>
      </x:c>
      <x:c r="E1548" s="62" t="n">
        <x:v>45955</x:v>
      </x:c>
      <x:c r="F1548" t="str">
        <x:v>PM</x:v>
      </x:c>
      <x:c r="G1548" t="str">
        <x:v>C</x:v>
      </x:c>
      <x:c r="H1548" t="n">
        <x:v>23</x:v>
      </x:c>
      <x:c r="I1548" t="str">
        <x:v>ORD-2025-00093</x:v>
      </x:c>
      <x:c r="J1548" t="n">
        <x:v>8</x:v>
      </x:c>
      <x:c r="K1548" t="n">
        <x:v>2</x:v>
      </x:c>
      <x:c r="L1548" t="str">
        <x:v>L23-S08-C2</x:v>
      </x:c>
      <x:c r="M1548" t="n">
        <x:v>1</x:v>
      </x:c>
      <x:c r="N1548" t="str">
        <x:v>DerivedFromCount</x:v>
      </x:c>
      <x:c r="O1548" t="str">
        <x:v>PLC-PRD-JAR-720-L23</x:v>
      </x:c>
      <x:c r="P1548" t="str">
        <x:v>OK</x:v>
      </x:c>
      <x:c r="Q1548" t="str">
        <x:v>OK</x:v>
      </x:c>
      <x:c r="R1548" t="str">
        <x:v>OK</x:v>
      </x:c>
      <x:c r="S1548" t="str">
        <x:v>OK</x:v>
      </x:c>
      <x:c r="T1548" t="n">
        <x:v>24</x:v>
      </x:c>
      <x:c r="U1548" t="str">
        <x:v>OK</x:v>
      </x:c>
      <x:c r="V1548" t="str">
        <x:v>OK</x:v>
      </x:c>
      <x:c r="W1548" t="str">
        <x:v>LOAD</x:v>
      </x:c>
      <x:c r="X1548" t="str">
        <x:v>02_Supervisor_Log(4).xlsx</x:v>
      </x:c>
      <x:c r="Y1548" t="str">
        <x:v>ENH-20260830-01</x:v>
      </x:c>
      <x:c r="Z1548" t="str">
        <x:v>Active</x:v>
      </x:c>
      <x:c r="AA1548"/>
      <x:c r="AB1548"/>
      <x:c r="AC1548"/>
      <x:c r="AD1548"/>
    </x:row>
    <x:row r="1549">
      <x:c r="A1549" t="str">
        <x:v>PCC-PE-KG01-L23-20251025-PM-ORD-2025-00093-S08-C3</x:v>
      </x:c>
      <x:c r="B1549" t="str">
        <x:v>PC-PE-KG01-L23-20251025-PM-ORD-2025-00093-S08</x:v>
      </x:c>
      <x:c r="C1549" t="str">
        <x:v>PE-KG01-L23-20251025-PM-ORD-2025-00093</x:v>
      </x:c>
      <x:c r="D1549" t="str">
        <x:v>KG01</x:v>
      </x:c>
      <x:c r="E1549" s="62" t="n">
        <x:v>45955</x:v>
      </x:c>
      <x:c r="F1549" t="str">
        <x:v>PM</x:v>
      </x:c>
      <x:c r="G1549" t="str">
        <x:v>C</x:v>
      </x:c>
      <x:c r="H1549" t="n">
        <x:v>23</x:v>
      </x:c>
      <x:c r="I1549" t="str">
        <x:v>ORD-2025-00093</x:v>
      </x:c>
      <x:c r="J1549" t="n">
        <x:v>8</x:v>
      </x:c>
      <x:c r="K1549" t="n">
        <x:v>3</x:v>
      </x:c>
      <x:c r="L1549" t="str">
        <x:v>L23-S08-C3</x:v>
      </x:c>
      <x:c r="M1549" t="n">
        <x:v>0</x:v>
      </x:c>
      <x:c r="N1549" t="str">
        <x:v>DerivedFromCount</x:v>
      </x:c>
      <x:c r="O1549" t="str">
        <x:v>PLC-PRD-JAR-720-L23</x:v>
      </x:c>
      <x:c r="P1549" t="str">
        <x:v>OK</x:v>
      </x:c>
      <x:c r="Q1549" t="str">
        <x:v>OK</x:v>
      </x:c>
      <x:c r="R1549" t="str">
        <x:v>OK</x:v>
      </x:c>
      <x:c r="S1549" t="str">
        <x:v>OK</x:v>
      </x:c>
      <x:c r="T1549" t="n">
        <x:v>24</x:v>
      </x:c>
      <x:c r="U1549" t="str">
        <x:v>OK</x:v>
      </x:c>
      <x:c r="V1549" t="str">
        <x:v>OK</x:v>
      </x:c>
      <x:c r="W1549" t="str">
        <x:v>LOAD</x:v>
      </x:c>
      <x:c r="X1549" t="str">
        <x:v>02_Supervisor_Log(4).xlsx</x:v>
      </x:c>
      <x:c r="Y1549" t="str">
        <x:v>ENH-20260830-01</x:v>
      </x:c>
      <x:c r="Z1549" t="str">
        <x:v>Active</x:v>
      </x:c>
      <x:c r="AA1549"/>
      <x:c r="AB1549"/>
      <x:c r="AC1549"/>
      <x:c r="AD1549"/>
    </x:row>
    <x:row r="1550">
      <x:c r="A1550" t="str">
        <x:v>PCC-PE-KG01-L23-20251025-PM-ORD-2025-00093-S09-C1</x:v>
      </x:c>
      <x:c r="B1550" t="str">
        <x:v>PC-PE-KG01-L23-20251025-PM-ORD-2025-00093-S09</x:v>
      </x:c>
      <x:c r="C1550" t="str">
        <x:v>PE-KG01-L23-20251025-PM-ORD-2025-00093</x:v>
      </x:c>
      <x:c r="D1550" t="str">
        <x:v>KG01</x:v>
      </x:c>
      <x:c r="E1550" s="62" t="n">
        <x:v>45955</x:v>
      </x:c>
      <x:c r="F1550" t="str">
        <x:v>PM</x:v>
      </x:c>
      <x:c r="G1550" t="str">
        <x:v>C</x:v>
      </x:c>
      <x:c r="H1550" t="n">
        <x:v>23</x:v>
      </x:c>
      <x:c r="I1550" t="str">
        <x:v>ORD-2025-00093</x:v>
      </x:c>
      <x:c r="J1550" t="n">
        <x:v>9</x:v>
      </x:c>
      <x:c r="K1550" t="n">
        <x:v>1</x:v>
      </x:c>
      <x:c r="L1550" t="str">
        <x:v>L23-S09-C1</x:v>
      </x:c>
      <x:c r="M1550" t="n">
        <x:v>1</x:v>
      </x:c>
      <x:c r="N1550" t="str">
        <x:v>DerivedFromCount</x:v>
      </x:c>
      <x:c r="O1550" t="str">
        <x:v>PLC-PRD-JAR-720-L23</x:v>
      </x:c>
      <x:c r="P1550" t="str">
        <x:v>OK</x:v>
      </x:c>
      <x:c r="Q1550" t="str">
        <x:v>OK</x:v>
      </x:c>
      <x:c r="R1550" t="str">
        <x:v>OK</x:v>
      </x:c>
      <x:c r="S1550" t="str">
        <x:v>OK</x:v>
      </x:c>
      <x:c r="T1550" t="n">
        <x:v>24</x:v>
      </x:c>
      <x:c r="U1550" t="str">
        <x:v>OK</x:v>
      </x:c>
      <x:c r="V1550" t="str">
        <x:v>OK</x:v>
      </x:c>
      <x:c r="W1550" t="str">
        <x:v>LOAD</x:v>
      </x:c>
      <x:c r="X1550" t="str">
        <x:v>02_Supervisor_Log(4).xlsx</x:v>
      </x:c>
      <x:c r="Y1550" t="str">
        <x:v>ENH-20260830-01</x:v>
      </x:c>
      <x:c r="Z1550" t="str">
        <x:v>Active</x:v>
      </x:c>
      <x:c r="AA1550"/>
      <x:c r="AB1550"/>
      <x:c r="AC1550"/>
      <x:c r="AD1550"/>
    </x:row>
    <x:row r="1551">
      <x:c r="A1551" t="str">
        <x:v>PCC-PE-KG01-L23-20251025-PM-ORD-2025-00093-S09-C2</x:v>
      </x:c>
      <x:c r="B1551" t="str">
        <x:v>PC-PE-KG01-L23-20251025-PM-ORD-2025-00093-S09</x:v>
      </x:c>
      <x:c r="C1551" t="str">
        <x:v>PE-KG01-L23-20251025-PM-ORD-2025-00093</x:v>
      </x:c>
      <x:c r="D1551" t="str">
        <x:v>KG01</x:v>
      </x:c>
      <x:c r="E1551" s="62" t="n">
        <x:v>45955</x:v>
      </x:c>
      <x:c r="F1551" t="str">
        <x:v>PM</x:v>
      </x:c>
      <x:c r="G1551" t="str">
        <x:v>C</x:v>
      </x:c>
      <x:c r="H1551" t="n">
        <x:v>23</x:v>
      </x:c>
      <x:c r="I1551" t="str">
        <x:v>ORD-2025-00093</x:v>
      </x:c>
      <x:c r="J1551" t="n">
        <x:v>9</x:v>
      </x:c>
      <x:c r="K1551" t="n">
        <x:v>2</x:v>
      </x:c>
      <x:c r="L1551" t="str">
        <x:v>L23-S09-C2</x:v>
      </x:c>
      <x:c r="M1551" t="n">
        <x:v>1</x:v>
      </x:c>
      <x:c r="N1551" t="str">
        <x:v>DerivedFromCount</x:v>
      </x:c>
      <x:c r="O1551" t="str">
        <x:v>PLC-PRD-JAR-720-L23</x:v>
      </x:c>
      <x:c r="P1551" t="str">
        <x:v>OK</x:v>
      </x:c>
      <x:c r="Q1551" t="str">
        <x:v>OK</x:v>
      </x:c>
      <x:c r="R1551" t="str">
        <x:v>OK</x:v>
      </x:c>
      <x:c r="S1551" t="str">
        <x:v>OK</x:v>
      </x:c>
      <x:c r="T1551" t="n">
        <x:v>24</x:v>
      </x:c>
      <x:c r="U1551" t="str">
        <x:v>OK</x:v>
      </x:c>
      <x:c r="V1551" t="str">
        <x:v>OK</x:v>
      </x:c>
      <x:c r="W1551" t="str">
        <x:v>LOAD</x:v>
      </x:c>
      <x:c r="X1551" t="str">
        <x:v>02_Supervisor_Log(4).xlsx</x:v>
      </x:c>
      <x:c r="Y1551" t="str">
        <x:v>ENH-20260830-01</x:v>
      </x:c>
      <x:c r="Z1551" t="str">
        <x:v>Active</x:v>
      </x:c>
      <x:c r="AA1551"/>
      <x:c r="AB1551"/>
      <x:c r="AC1551"/>
      <x:c r="AD1551"/>
    </x:row>
    <x:row r="1552">
      <x:c r="A1552" t="str">
        <x:v>PCC-PE-KG01-L23-20251025-PM-ORD-2025-00093-S09-C3</x:v>
      </x:c>
      <x:c r="B1552" t="str">
        <x:v>PC-PE-KG01-L23-20251025-PM-ORD-2025-00093-S09</x:v>
      </x:c>
      <x:c r="C1552" t="str">
        <x:v>PE-KG01-L23-20251025-PM-ORD-2025-00093</x:v>
      </x:c>
      <x:c r="D1552" t="str">
        <x:v>KG01</x:v>
      </x:c>
      <x:c r="E1552" s="62" t="n">
        <x:v>45955</x:v>
      </x:c>
      <x:c r="F1552" t="str">
        <x:v>PM</x:v>
      </x:c>
      <x:c r="G1552" t="str">
        <x:v>C</x:v>
      </x:c>
      <x:c r="H1552" t="n">
        <x:v>23</x:v>
      </x:c>
      <x:c r="I1552" t="str">
        <x:v>ORD-2025-00093</x:v>
      </x:c>
      <x:c r="J1552" t="n">
        <x:v>9</x:v>
      </x:c>
      <x:c r="K1552" t="n">
        <x:v>3</x:v>
      </x:c>
      <x:c r="L1552" t="str">
        <x:v>L23-S09-C3</x:v>
      </x:c>
      <x:c r="M1552" t="n">
        <x:v>0</x:v>
      </x:c>
      <x:c r="N1552" t="str">
        <x:v>DerivedFromCount</x:v>
      </x:c>
      <x:c r="O1552" t="str">
        <x:v>PLC-PRD-JAR-720-L23</x:v>
      </x:c>
      <x:c r="P1552" t="str">
        <x:v>OK</x:v>
      </x:c>
      <x:c r="Q1552" t="str">
        <x:v>OK</x:v>
      </x:c>
      <x:c r="R1552" t="str">
        <x:v>OK</x:v>
      </x:c>
      <x:c r="S1552" t="str">
        <x:v>OK</x:v>
      </x:c>
      <x:c r="T1552" t="n">
        <x:v>24</x:v>
      </x:c>
      <x:c r="U1552" t="str">
        <x:v>OK</x:v>
      </x:c>
      <x:c r="V1552" t="str">
        <x:v>OK</x:v>
      </x:c>
      <x:c r="W1552" t="str">
        <x:v>LOAD</x:v>
      </x:c>
      <x:c r="X1552" t="str">
        <x:v>02_Supervisor_Log(4).xlsx</x:v>
      </x:c>
      <x:c r="Y1552" t="str">
        <x:v>ENH-20260830-01</x:v>
      </x:c>
      <x:c r="Z1552" t="str">
        <x:v>Active</x:v>
      </x:c>
      <x:c r="AA1552"/>
      <x:c r="AB1552"/>
      <x:c r="AC1552"/>
      <x:c r="AD1552"/>
    </x:row>
    <x:row r="1553">
      <x:c r="A1553" t="str">
        <x:v>PCC-PE-KG01-L23-20251025-PM-ORD-2025-00093-S10-C1</x:v>
      </x:c>
      <x:c r="B1553" t="str">
        <x:v>PC-PE-KG01-L23-20251025-PM-ORD-2025-00093-S10</x:v>
      </x:c>
      <x:c r="C1553" t="str">
        <x:v>PE-KG01-L23-20251025-PM-ORD-2025-00093</x:v>
      </x:c>
      <x:c r="D1553" t="str">
        <x:v>KG01</x:v>
      </x:c>
      <x:c r="E1553" s="62" t="n">
        <x:v>45955</x:v>
      </x:c>
      <x:c r="F1553" t="str">
        <x:v>PM</x:v>
      </x:c>
      <x:c r="G1553" t="str">
        <x:v>C</x:v>
      </x:c>
      <x:c r="H1553" t="n">
        <x:v>23</x:v>
      </x:c>
      <x:c r="I1553" t="str">
        <x:v>ORD-2025-00093</x:v>
      </x:c>
      <x:c r="J1553" t="n">
        <x:v>10</x:v>
      </x:c>
      <x:c r="K1553" t="n">
        <x:v>1</x:v>
      </x:c>
      <x:c r="L1553" t="str">
        <x:v>L23-S10-C1</x:v>
      </x:c>
      <x:c r="M1553" t="n">
        <x:v>1</x:v>
      </x:c>
      <x:c r="N1553" t="str">
        <x:v>DerivedFromCount</x:v>
      </x:c>
      <x:c r="O1553" t="str">
        <x:v>PLC-PRD-JAR-720-L23</x:v>
      </x:c>
      <x:c r="P1553" t="str">
        <x:v>OK</x:v>
      </x:c>
      <x:c r="Q1553" t="str">
        <x:v>OK</x:v>
      </x:c>
      <x:c r="R1553" t="str">
        <x:v>OK</x:v>
      </x:c>
      <x:c r="S1553" t="str">
        <x:v>OK</x:v>
      </x:c>
      <x:c r="T1553" t="n">
        <x:v>24</x:v>
      </x:c>
      <x:c r="U1553" t="str">
        <x:v>OK</x:v>
      </x:c>
      <x:c r="V1553" t="str">
        <x:v>OK</x:v>
      </x:c>
      <x:c r="W1553" t="str">
        <x:v>LOAD</x:v>
      </x:c>
      <x:c r="X1553" t="str">
        <x:v>02_Supervisor_Log(4).xlsx</x:v>
      </x:c>
      <x:c r="Y1553" t="str">
        <x:v>ENH-20260830-01</x:v>
      </x:c>
      <x:c r="Z1553" t="str">
        <x:v>Active</x:v>
      </x:c>
      <x:c r="AA1553"/>
      <x:c r="AB1553"/>
      <x:c r="AC1553"/>
      <x:c r="AD1553"/>
    </x:row>
    <x:row r="1554">
      <x:c r="A1554" t="str">
        <x:v>PCC-PE-KG01-L23-20251025-PM-ORD-2025-00093-S10-C2</x:v>
      </x:c>
      <x:c r="B1554" t="str">
        <x:v>PC-PE-KG01-L23-20251025-PM-ORD-2025-00093-S10</x:v>
      </x:c>
      <x:c r="C1554" t="str">
        <x:v>PE-KG01-L23-20251025-PM-ORD-2025-00093</x:v>
      </x:c>
      <x:c r="D1554" t="str">
        <x:v>KG01</x:v>
      </x:c>
      <x:c r="E1554" s="62" t="n">
        <x:v>45955</x:v>
      </x:c>
      <x:c r="F1554" t="str">
        <x:v>PM</x:v>
      </x:c>
      <x:c r="G1554" t="str">
        <x:v>C</x:v>
      </x:c>
      <x:c r="H1554" t="n">
        <x:v>23</x:v>
      </x:c>
      <x:c r="I1554" t="str">
        <x:v>ORD-2025-00093</x:v>
      </x:c>
      <x:c r="J1554" t="n">
        <x:v>10</x:v>
      </x:c>
      <x:c r="K1554" t="n">
        <x:v>2</x:v>
      </x:c>
      <x:c r="L1554" t="str">
        <x:v>L23-S10-C2</x:v>
      </x:c>
      <x:c r="M1554" t="n">
        <x:v>1</x:v>
      </x:c>
      <x:c r="N1554" t="str">
        <x:v>DerivedFromCount</x:v>
      </x:c>
      <x:c r="O1554" t="str">
        <x:v>PLC-PRD-JAR-720-L23</x:v>
      </x:c>
      <x:c r="P1554" t="str">
        <x:v>OK</x:v>
      </x:c>
      <x:c r="Q1554" t="str">
        <x:v>OK</x:v>
      </x:c>
      <x:c r="R1554" t="str">
        <x:v>OK</x:v>
      </x:c>
      <x:c r="S1554" t="str">
        <x:v>OK</x:v>
      </x:c>
      <x:c r="T1554" t="n">
        <x:v>24</x:v>
      </x:c>
      <x:c r="U1554" t="str">
        <x:v>OK</x:v>
      </x:c>
      <x:c r="V1554" t="str">
        <x:v>OK</x:v>
      </x:c>
      <x:c r="W1554" t="str">
        <x:v>LOAD</x:v>
      </x:c>
      <x:c r="X1554" t="str">
        <x:v>02_Supervisor_Log(4).xlsx</x:v>
      </x:c>
      <x:c r="Y1554" t="str">
        <x:v>ENH-20260830-01</x:v>
      </x:c>
      <x:c r="Z1554" t="str">
        <x:v>Active</x:v>
      </x:c>
      <x:c r="AA1554"/>
      <x:c r="AB1554"/>
      <x:c r="AC1554"/>
      <x:c r="AD1554"/>
    </x:row>
    <x:row r="1555">
      <x:c r="A1555" t="str">
        <x:v>PCC-PE-KG01-L23-20251025-PM-ORD-2025-00093-S10-C3</x:v>
      </x:c>
      <x:c r="B1555" t="str">
        <x:v>PC-PE-KG01-L23-20251025-PM-ORD-2025-00093-S10</x:v>
      </x:c>
      <x:c r="C1555" t="str">
        <x:v>PE-KG01-L23-20251025-PM-ORD-2025-00093</x:v>
      </x:c>
      <x:c r="D1555" t="str">
        <x:v>KG01</x:v>
      </x:c>
      <x:c r="E1555" s="62" t="n">
        <x:v>45955</x:v>
      </x:c>
      <x:c r="F1555" t="str">
        <x:v>PM</x:v>
      </x:c>
      <x:c r="G1555" t="str">
        <x:v>C</x:v>
      </x:c>
      <x:c r="H1555" t="n">
        <x:v>23</x:v>
      </x:c>
      <x:c r="I1555" t="str">
        <x:v>ORD-2025-00093</x:v>
      </x:c>
      <x:c r="J1555" t="n">
        <x:v>10</x:v>
      </x:c>
      <x:c r="K1555" t="n">
        <x:v>3</x:v>
      </x:c>
      <x:c r="L1555" t="str">
        <x:v>L23-S10-C3</x:v>
      </x:c>
      <x:c r="M1555" t="n">
        <x:v>0</x:v>
      </x:c>
      <x:c r="N1555" t="str">
        <x:v>DerivedFromCount</x:v>
      </x:c>
      <x:c r="O1555" t="str">
        <x:v>PLC-PRD-JAR-720-L23</x:v>
      </x:c>
      <x:c r="P1555" t="str">
        <x:v>OK</x:v>
      </x:c>
      <x:c r="Q1555" t="str">
        <x:v>OK</x:v>
      </x:c>
      <x:c r="R1555" t="str">
        <x:v>OK</x:v>
      </x:c>
      <x:c r="S1555" t="str">
        <x:v>OK</x:v>
      </x:c>
      <x:c r="T1555" t="n">
        <x:v>24</x:v>
      </x:c>
      <x:c r="U1555" t="str">
        <x:v>OK</x:v>
      </x:c>
      <x:c r="V1555" t="str">
        <x:v>OK</x:v>
      </x:c>
      <x:c r="W1555" t="str">
        <x:v>LOAD</x:v>
      </x:c>
      <x:c r="X1555" t="str">
        <x:v>02_Supervisor_Log(4).xlsx</x:v>
      </x:c>
      <x:c r="Y1555" t="str">
        <x:v>ENH-20260830-01</x:v>
      </x:c>
      <x:c r="Z1555" t="str">
        <x:v>Active</x:v>
      </x:c>
      <x:c r="AA1555"/>
      <x:c r="AB1555"/>
      <x:c r="AC1555"/>
      <x:c r="AD1555"/>
    </x:row>
    <x:row r="1556">
      <x:c r="A1556" t="str">
        <x:v>PCC-PE-KG01-L23-20251025-PM-ORD-2025-00093-S11-C1</x:v>
      </x:c>
      <x:c r="B1556" t="str">
        <x:v>PC-PE-KG01-L23-20251025-PM-ORD-2025-00093-S11</x:v>
      </x:c>
      <x:c r="C1556" t="str">
        <x:v>PE-KG01-L23-20251025-PM-ORD-2025-00093</x:v>
      </x:c>
      <x:c r="D1556" t="str">
        <x:v>KG01</x:v>
      </x:c>
      <x:c r="E1556" s="62" t="n">
        <x:v>45955</x:v>
      </x:c>
      <x:c r="F1556" t="str">
        <x:v>PM</x:v>
      </x:c>
      <x:c r="G1556" t="str">
        <x:v>C</x:v>
      </x:c>
      <x:c r="H1556" t="n">
        <x:v>23</x:v>
      </x:c>
      <x:c r="I1556" t="str">
        <x:v>ORD-2025-00093</x:v>
      </x:c>
      <x:c r="J1556" t="n">
        <x:v>11</x:v>
      </x:c>
      <x:c r="K1556" t="n">
        <x:v>1</x:v>
      </x:c>
      <x:c r="L1556" t="str">
        <x:v>L23-S11-C1</x:v>
      </x:c>
      <x:c r="M1556" t="n">
        <x:v>1</x:v>
      </x:c>
      <x:c r="N1556" t="str">
        <x:v>DerivedFromCount</x:v>
      </x:c>
      <x:c r="O1556" t="str">
        <x:v>PLC-PRD-JAR-720-L23</x:v>
      </x:c>
      <x:c r="P1556" t="str">
        <x:v>OK</x:v>
      </x:c>
      <x:c r="Q1556" t="str">
        <x:v>OK</x:v>
      </x:c>
      <x:c r="R1556" t="str">
        <x:v>OK</x:v>
      </x:c>
      <x:c r="S1556" t="str">
        <x:v>OK</x:v>
      </x:c>
      <x:c r="T1556" t="n">
        <x:v>24</x:v>
      </x:c>
      <x:c r="U1556" t="str">
        <x:v>OK</x:v>
      </x:c>
      <x:c r="V1556" t="str">
        <x:v>OK</x:v>
      </x:c>
      <x:c r="W1556" t="str">
        <x:v>LOAD</x:v>
      </x:c>
      <x:c r="X1556" t="str">
        <x:v>02_Supervisor_Log(4).xlsx</x:v>
      </x:c>
      <x:c r="Y1556" t="str">
        <x:v>ENH-20260830-01</x:v>
      </x:c>
      <x:c r="Z1556" t="str">
        <x:v>Active</x:v>
      </x:c>
      <x:c r="AA1556"/>
      <x:c r="AB1556"/>
      <x:c r="AC1556"/>
      <x:c r="AD1556"/>
    </x:row>
    <x:row r="1557">
      <x:c r="A1557" t="str">
        <x:v>PCC-PE-KG01-L23-20251025-PM-ORD-2025-00093-S11-C2</x:v>
      </x:c>
      <x:c r="B1557" t="str">
        <x:v>PC-PE-KG01-L23-20251025-PM-ORD-2025-00093-S11</x:v>
      </x:c>
      <x:c r="C1557" t="str">
        <x:v>PE-KG01-L23-20251025-PM-ORD-2025-00093</x:v>
      </x:c>
      <x:c r="D1557" t="str">
        <x:v>KG01</x:v>
      </x:c>
      <x:c r="E1557" s="62" t="n">
        <x:v>45955</x:v>
      </x:c>
      <x:c r="F1557" t="str">
        <x:v>PM</x:v>
      </x:c>
      <x:c r="G1557" t="str">
        <x:v>C</x:v>
      </x:c>
      <x:c r="H1557" t="n">
        <x:v>23</x:v>
      </x:c>
      <x:c r="I1557" t="str">
        <x:v>ORD-2025-00093</x:v>
      </x:c>
      <x:c r="J1557" t="n">
        <x:v>11</x:v>
      </x:c>
      <x:c r="K1557" t="n">
        <x:v>2</x:v>
      </x:c>
      <x:c r="L1557" t="str">
        <x:v>L23-S11-C2</x:v>
      </x:c>
      <x:c r="M1557" t="n">
        <x:v>1</x:v>
      </x:c>
      <x:c r="N1557" t="str">
        <x:v>DerivedFromCount</x:v>
      </x:c>
      <x:c r="O1557" t="str">
        <x:v>PLC-PRD-JAR-720-L23</x:v>
      </x:c>
      <x:c r="P1557" t="str">
        <x:v>OK</x:v>
      </x:c>
      <x:c r="Q1557" t="str">
        <x:v>OK</x:v>
      </x:c>
      <x:c r="R1557" t="str">
        <x:v>OK</x:v>
      </x:c>
      <x:c r="S1557" t="str">
        <x:v>OK</x:v>
      </x:c>
      <x:c r="T1557" t="n">
        <x:v>24</x:v>
      </x:c>
      <x:c r="U1557" t="str">
        <x:v>OK</x:v>
      </x:c>
      <x:c r="V1557" t="str">
        <x:v>OK</x:v>
      </x:c>
      <x:c r="W1557" t="str">
        <x:v>LOAD</x:v>
      </x:c>
      <x:c r="X1557" t="str">
        <x:v>02_Supervisor_Log(4).xlsx</x:v>
      </x:c>
      <x:c r="Y1557" t="str">
        <x:v>ENH-20260830-01</x:v>
      </x:c>
      <x:c r="Z1557" t="str">
        <x:v>Active</x:v>
      </x:c>
      <x:c r="AA1557"/>
      <x:c r="AB1557"/>
      <x:c r="AC1557"/>
      <x:c r="AD1557"/>
    </x:row>
    <x:row r="1558">
      <x:c r="A1558" t="str">
        <x:v>PCC-PE-KG01-L23-20251025-PM-ORD-2025-00093-S11-C3</x:v>
      </x:c>
      <x:c r="B1558" t="str">
        <x:v>PC-PE-KG01-L23-20251025-PM-ORD-2025-00093-S11</x:v>
      </x:c>
      <x:c r="C1558" t="str">
        <x:v>PE-KG01-L23-20251025-PM-ORD-2025-00093</x:v>
      </x:c>
      <x:c r="D1558" t="str">
        <x:v>KG01</x:v>
      </x:c>
      <x:c r="E1558" s="62" t="n">
        <x:v>45955</x:v>
      </x:c>
      <x:c r="F1558" t="str">
        <x:v>PM</x:v>
      </x:c>
      <x:c r="G1558" t="str">
        <x:v>C</x:v>
      </x:c>
      <x:c r="H1558" t="n">
        <x:v>23</x:v>
      </x:c>
      <x:c r="I1558" t="str">
        <x:v>ORD-2025-00093</x:v>
      </x:c>
      <x:c r="J1558" t="n">
        <x:v>11</x:v>
      </x:c>
      <x:c r="K1558" t="n">
        <x:v>3</x:v>
      </x:c>
      <x:c r="L1558" t="str">
        <x:v>L23-S11-C3</x:v>
      </x:c>
      <x:c r="M1558" t="n">
        <x:v>0</x:v>
      </x:c>
      <x:c r="N1558" t="str">
        <x:v>DerivedFromCount</x:v>
      </x:c>
      <x:c r="O1558" t="str">
        <x:v>PLC-PRD-JAR-720-L23</x:v>
      </x:c>
      <x:c r="P1558" t="str">
        <x:v>OK</x:v>
      </x:c>
      <x:c r="Q1558" t="str">
        <x:v>OK</x:v>
      </x:c>
      <x:c r="R1558" t="str">
        <x:v>OK</x:v>
      </x:c>
      <x:c r="S1558" t="str">
        <x:v>OK</x:v>
      </x:c>
      <x:c r="T1558" t="n">
        <x:v>24</x:v>
      </x:c>
      <x:c r="U1558" t="str">
        <x:v>OK</x:v>
      </x:c>
      <x:c r="V1558" t="str">
        <x:v>OK</x:v>
      </x:c>
      <x:c r="W1558" t="str">
        <x:v>LOAD</x:v>
      </x:c>
      <x:c r="X1558" t="str">
        <x:v>02_Supervisor_Log(4).xlsx</x:v>
      </x:c>
      <x:c r="Y1558" t="str">
        <x:v>ENH-20260830-01</x:v>
      </x:c>
      <x:c r="Z1558" t="str">
        <x:v>Active</x:v>
      </x:c>
      <x:c r="AA1558"/>
      <x:c r="AB1558"/>
      <x:c r="AC1558"/>
      <x:c r="AD1558"/>
    </x:row>
    <x:row r="1559">
      <x:c r="A1559" t="str">
        <x:v>PCC-PE-KG01-L23-20251025-PM-ORD-2025-00093-S12-C1</x:v>
      </x:c>
      <x:c r="B1559" t="str">
        <x:v>PC-PE-KG01-L23-20251025-PM-ORD-2025-00093-S12</x:v>
      </x:c>
      <x:c r="C1559" t="str">
        <x:v>PE-KG01-L23-20251025-PM-ORD-2025-00093</x:v>
      </x:c>
      <x:c r="D1559" t="str">
        <x:v>KG01</x:v>
      </x:c>
      <x:c r="E1559" s="62" t="n">
        <x:v>45955</x:v>
      </x:c>
      <x:c r="F1559" t="str">
        <x:v>PM</x:v>
      </x:c>
      <x:c r="G1559" t="str">
        <x:v>C</x:v>
      </x:c>
      <x:c r="H1559" t="n">
        <x:v>23</x:v>
      </x:c>
      <x:c r="I1559" t="str">
        <x:v>ORD-2025-00093</x:v>
      </x:c>
      <x:c r="J1559" t="n">
        <x:v>12</x:v>
      </x:c>
      <x:c r="K1559" t="n">
        <x:v>1</x:v>
      </x:c>
      <x:c r="L1559" t="str">
        <x:v>L23-S12-C1</x:v>
      </x:c>
      <x:c r="M1559" t="n">
        <x:v>1</x:v>
      </x:c>
      <x:c r="N1559" t="str">
        <x:v>DerivedFromCount</x:v>
      </x:c>
      <x:c r="O1559" t="str">
        <x:v>PLC-PRD-JAR-720-L23</x:v>
      </x:c>
      <x:c r="P1559" t="str">
        <x:v>OK</x:v>
      </x:c>
      <x:c r="Q1559" t="str">
        <x:v>OK</x:v>
      </x:c>
      <x:c r="R1559" t="str">
        <x:v>OK</x:v>
      </x:c>
      <x:c r="S1559" t="str">
        <x:v>OK</x:v>
      </x:c>
      <x:c r="T1559" t="n">
        <x:v>24</x:v>
      </x:c>
      <x:c r="U1559" t="str">
        <x:v>OK</x:v>
      </x:c>
      <x:c r="V1559" t="str">
        <x:v>OK</x:v>
      </x:c>
      <x:c r="W1559" t="str">
        <x:v>LOAD</x:v>
      </x:c>
      <x:c r="X1559" t="str">
        <x:v>02_Supervisor_Log(4).xlsx</x:v>
      </x:c>
      <x:c r="Y1559" t="str">
        <x:v>ENH-20260830-01</x:v>
      </x:c>
      <x:c r="Z1559" t="str">
        <x:v>Active</x:v>
      </x:c>
      <x:c r="AA1559"/>
      <x:c r="AB1559"/>
      <x:c r="AC1559"/>
      <x:c r="AD1559"/>
    </x:row>
    <x:row r="1560">
      <x:c r="A1560" t="str">
        <x:v>PCC-PE-KG01-L23-20251025-PM-ORD-2025-00093-S12-C2</x:v>
      </x:c>
      <x:c r="B1560" t="str">
        <x:v>PC-PE-KG01-L23-20251025-PM-ORD-2025-00093-S12</x:v>
      </x:c>
      <x:c r="C1560" t="str">
        <x:v>PE-KG01-L23-20251025-PM-ORD-2025-00093</x:v>
      </x:c>
      <x:c r="D1560" t="str">
        <x:v>KG01</x:v>
      </x:c>
      <x:c r="E1560" s="62" t="n">
        <x:v>45955</x:v>
      </x:c>
      <x:c r="F1560" t="str">
        <x:v>PM</x:v>
      </x:c>
      <x:c r="G1560" t="str">
        <x:v>C</x:v>
      </x:c>
      <x:c r="H1560" t="n">
        <x:v>23</x:v>
      </x:c>
      <x:c r="I1560" t="str">
        <x:v>ORD-2025-00093</x:v>
      </x:c>
      <x:c r="J1560" t="n">
        <x:v>12</x:v>
      </x:c>
      <x:c r="K1560" t="n">
        <x:v>2</x:v>
      </x:c>
      <x:c r="L1560" t="str">
        <x:v>L23-S12-C2</x:v>
      </x:c>
      <x:c r="M1560" t="n">
        <x:v>1</x:v>
      </x:c>
      <x:c r="N1560" t="str">
        <x:v>DerivedFromCount</x:v>
      </x:c>
      <x:c r="O1560" t="str">
        <x:v>PLC-PRD-JAR-720-L23</x:v>
      </x:c>
      <x:c r="P1560" t="str">
        <x:v>OK</x:v>
      </x:c>
      <x:c r="Q1560" t="str">
        <x:v>OK</x:v>
      </x:c>
      <x:c r="R1560" t="str">
        <x:v>OK</x:v>
      </x:c>
      <x:c r="S1560" t="str">
        <x:v>OK</x:v>
      </x:c>
      <x:c r="T1560" t="n">
        <x:v>24</x:v>
      </x:c>
      <x:c r="U1560" t="str">
        <x:v>OK</x:v>
      </x:c>
      <x:c r="V1560" t="str">
        <x:v>OK</x:v>
      </x:c>
      <x:c r="W1560" t="str">
        <x:v>LOAD</x:v>
      </x:c>
      <x:c r="X1560" t="str">
        <x:v>02_Supervisor_Log(4).xlsx</x:v>
      </x:c>
      <x:c r="Y1560" t="str">
        <x:v>ENH-20260830-01</x:v>
      </x:c>
      <x:c r="Z1560" t="str">
        <x:v>Active</x:v>
      </x:c>
      <x:c r="AA1560"/>
      <x:c r="AB1560"/>
      <x:c r="AC1560"/>
      <x:c r="AD1560"/>
    </x:row>
    <x:row r="1561">
      <x:c r="A1561" t="str">
        <x:v>PCC-PE-KG01-L23-20251025-PM-ORD-2025-00093-S12-C3</x:v>
      </x:c>
      <x:c r="B1561" t="str">
        <x:v>PC-PE-KG01-L23-20251025-PM-ORD-2025-00093-S12</x:v>
      </x:c>
      <x:c r="C1561" t="str">
        <x:v>PE-KG01-L23-20251025-PM-ORD-2025-00093</x:v>
      </x:c>
      <x:c r="D1561" t="str">
        <x:v>KG01</x:v>
      </x:c>
      <x:c r="E1561" s="62" t="n">
        <x:v>45955</x:v>
      </x:c>
      <x:c r="F1561" t="str">
        <x:v>PM</x:v>
      </x:c>
      <x:c r="G1561" t="str">
        <x:v>C</x:v>
      </x:c>
      <x:c r="H1561" t="n">
        <x:v>23</x:v>
      </x:c>
      <x:c r="I1561" t="str">
        <x:v>ORD-2025-00093</x:v>
      </x:c>
      <x:c r="J1561" t="n">
        <x:v>12</x:v>
      </x:c>
      <x:c r="K1561" t="n">
        <x:v>3</x:v>
      </x:c>
      <x:c r="L1561" t="str">
        <x:v>L23-S12-C3</x:v>
      </x:c>
      <x:c r="M1561" t="n">
        <x:v>0</x:v>
      </x:c>
      <x:c r="N1561" t="str">
        <x:v>DerivedFromCount</x:v>
      </x:c>
      <x:c r="O1561" t="str">
        <x:v>PLC-PRD-JAR-720-L23</x:v>
      </x:c>
      <x:c r="P1561" t="str">
        <x:v>OK</x:v>
      </x:c>
      <x:c r="Q1561" t="str">
        <x:v>OK</x:v>
      </x:c>
      <x:c r="R1561" t="str">
        <x:v>OK</x:v>
      </x:c>
      <x:c r="S1561" t="str">
        <x:v>OK</x:v>
      </x:c>
      <x:c r="T1561" t="n">
        <x:v>24</x:v>
      </x:c>
      <x:c r="U1561" t="str">
        <x:v>OK</x:v>
      </x:c>
      <x:c r="V1561" t="str">
        <x:v>OK</x:v>
      </x:c>
      <x:c r="W1561" t="str">
        <x:v>LOAD</x:v>
      </x:c>
      <x:c r="X1561" t="str">
        <x:v>02_Supervisor_Log(4).xlsx</x:v>
      </x:c>
      <x:c r="Y1561" t="str">
        <x:v>ENH-20260830-01</x:v>
      </x:c>
      <x:c r="Z1561" t="str">
        <x:v>Active</x:v>
      </x:c>
      <x:c r="AA1561"/>
      <x:c r="AB1561"/>
      <x:c r="AC1561"/>
      <x:c r="AD1561"/>
    </x:row>
    <x:row r="1562">
      <x:c r="A1562" t="str">
        <x:v>PCC-PE-KG01-L23-20251025-PM-ORD-2025-00093-S13-C1</x:v>
      </x:c>
      <x:c r="B1562" t="str">
        <x:v>PC-PE-KG01-L23-20251025-PM-ORD-2025-00093-S13</x:v>
      </x:c>
      <x:c r="C1562" t="str">
        <x:v>PE-KG01-L23-20251025-PM-ORD-2025-00093</x:v>
      </x:c>
      <x:c r="D1562" t="str">
        <x:v>KG01</x:v>
      </x:c>
      <x:c r="E1562" s="62" t="n">
        <x:v>45955</x:v>
      </x:c>
      <x:c r="F1562" t="str">
        <x:v>PM</x:v>
      </x:c>
      <x:c r="G1562" t="str">
        <x:v>C</x:v>
      </x:c>
      <x:c r="H1562" t="n">
        <x:v>23</x:v>
      </x:c>
      <x:c r="I1562" t="str">
        <x:v>ORD-2025-00093</x:v>
      </x:c>
      <x:c r="J1562" t="n">
        <x:v>13</x:v>
      </x:c>
      <x:c r="K1562" t="n">
        <x:v>1</x:v>
      </x:c>
      <x:c r="L1562" t="str">
        <x:v>L23-S13-C1</x:v>
      </x:c>
      <x:c r="M1562" t="n">
        <x:v>0</x:v>
      </x:c>
      <x:c r="N1562" t="str">
        <x:v>DerivedFromCount</x:v>
      </x:c>
      <x:c r="O1562" t="str">
        <x:v>PLC-PRD-JAR-720-L23</x:v>
      </x:c>
      <x:c r="P1562" t="str">
        <x:v>OK</x:v>
      </x:c>
      <x:c r="Q1562" t="str">
        <x:v>OK</x:v>
      </x:c>
      <x:c r="R1562" t="str">
        <x:v>OK</x:v>
      </x:c>
      <x:c r="S1562" t="str">
        <x:v>OK</x:v>
      </x:c>
      <x:c r="T1562" t="n">
        <x:v>24</x:v>
      </x:c>
      <x:c r="U1562" t="str">
        <x:v>OK</x:v>
      </x:c>
      <x:c r="V1562" t="str">
        <x:v>OK</x:v>
      </x:c>
      <x:c r="W1562" t="str">
        <x:v>LOAD</x:v>
      </x:c>
      <x:c r="X1562" t="str">
        <x:v>02_Supervisor_Log(4).xlsx</x:v>
      </x:c>
      <x:c r="Y1562" t="str">
        <x:v>ENH-20260830-01</x:v>
      </x:c>
      <x:c r="Z1562" t="str">
        <x:v>Active</x:v>
      </x:c>
      <x:c r="AA1562"/>
      <x:c r="AB1562"/>
      <x:c r="AC1562"/>
      <x:c r="AD1562"/>
    </x:row>
    <x:row r="1563">
      <x:c r="A1563" t="str">
        <x:v>PCC-PE-KG01-L23-20251025-PM-ORD-2025-00093-S13-C2</x:v>
      </x:c>
      <x:c r="B1563" t="str">
        <x:v>PC-PE-KG01-L23-20251025-PM-ORD-2025-00093-S13</x:v>
      </x:c>
      <x:c r="C1563" t="str">
        <x:v>PE-KG01-L23-20251025-PM-ORD-2025-00093</x:v>
      </x:c>
      <x:c r="D1563" t="str">
        <x:v>KG01</x:v>
      </x:c>
      <x:c r="E1563" s="62" t="n">
        <x:v>45955</x:v>
      </x:c>
      <x:c r="F1563" t="str">
        <x:v>PM</x:v>
      </x:c>
      <x:c r="G1563" t="str">
        <x:v>C</x:v>
      </x:c>
      <x:c r="H1563" t="n">
        <x:v>23</x:v>
      </x:c>
      <x:c r="I1563" t="str">
        <x:v>ORD-2025-00093</x:v>
      </x:c>
      <x:c r="J1563" t="n">
        <x:v>13</x:v>
      </x:c>
      <x:c r="K1563" t="n">
        <x:v>2</x:v>
      </x:c>
      <x:c r="L1563" t="str">
        <x:v>L23-S13-C2</x:v>
      </x:c>
      <x:c r="M1563" t="n">
        <x:v>0</x:v>
      </x:c>
      <x:c r="N1563" t="str">
        <x:v>DerivedFromCount</x:v>
      </x:c>
      <x:c r="O1563" t="str">
        <x:v>PLC-PRD-JAR-720-L23</x:v>
      </x:c>
      <x:c r="P1563" t="str">
        <x:v>OK</x:v>
      </x:c>
      <x:c r="Q1563" t="str">
        <x:v>OK</x:v>
      </x:c>
      <x:c r="R1563" t="str">
        <x:v>OK</x:v>
      </x:c>
      <x:c r="S1563" t="str">
        <x:v>OK</x:v>
      </x:c>
      <x:c r="T1563" t="n">
        <x:v>24</x:v>
      </x:c>
      <x:c r="U1563" t="str">
        <x:v>OK</x:v>
      </x:c>
      <x:c r="V1563" t="str">
        <x:v>OK</x:v>
      </x:c>
      <x:c r="W1563" t="str">
        <x:v>LOAD</x:v>
      </x:c>
      <x:c r="X1563" t="str">
        <x:v>02_Supervisor_Log(4).xlsx</x:v>
      </x:c>
      <x:c r="Y1563" t="str">
        <x:v>ENH-20260830-01</x:v>
      </x:c>
      <x:c r="Z1563" t="str">
        <x:v>Active</x:v>
      </x:c>
      <x:c r="AA1563"/>
      <x:c r="AB1563"/>
      <x:c r="AC1563"/>
      <x:c r="AD1563"/>
    </x:row>
    <x:row r="1564">
      <x:c r="A1564" t="str">
        <x:v>PCC-PE-KG01-L23-20251025-PM-ORD-2025-00093-S13-C3</x:v>
      </x:c>
      <x:c r="B1564" t="str">
        <x:v>PC-PE-KG01-L23-20251025-PM-ORD-2025-00093-S13</x:v>
      </x:c>
      <x:c r="C1564" t="str">
        <x:v>PE-KG01-L23-20251025-PM-ORD-2025-00093</x:v>
      </x:c>
      <x:c r="D1564" t="str">
        <x:v>KG01</x:v>
      </x:c>
      <x:c r="E1564" s="62" t="n">
        <x:v>45955</x:v>
      </x:c>
      <x:c r="F1564" t="str">
        <x:v>PM</x:v>
      </x:c>
      <x:c r="G1564" t="str">
        <x:v>C</x:v>
      </x:c>
      <x:c r="H1564" t="n">
        <x:v>23</x:v>
      </x:c>
      <x:c r="I1564" t="str">
        <x:v>ORD-2025-00093</x:v>
      </x:c>
      <x:c r="J1564" t="n">
        <x:v>13</x:v>
      </x:c>
      <x:c r="K1564" t="n">
        <x:v>3</x:v>
      </x:c>
      <x:c r="L1564" t="str">
        <x:v>L23-S13-C3</x:v>
      </x:c>
      <x:c r="M1564" t="n">
        <x:v>0</x:v>
      </x:c>
      <x:c r="N1564" t="str">
        <x:v>DerivedFromCount</x:v>
      </x:c>
      <x:c r="O1564" t="str">
        <x:v>PLC-PRD-JAR-720-L23</x:v>
      </x:c>
      <x:c r="P1564" t="str">
        <x:v>OK</x:v>
      </x:c>
      <x:c r="Q1564" t="str">
        <x:v>OK</x:v>
      </x:c>
      <x:c r="R1564" t="str">
        <x:v>OK</x:v>
      </x:c>
      <x:c r="S1564" t="str">
        <x:v>OK</x:v>
      </x:c>
      <x:c r="T1564" t="n">
        <x:v>24</x:v>
      </x:c>
      <x:c r="U1564" t="str">
        <x:v>OK</x:v>
      </x:c>
      <x:c r="V1564" t="str">
        <x:v>OK</x:v>
      </x:c>
      <x:c r="W1564" t="str">
        <x:v>LOAD</x:v>
      </x:c>
      <x:c r="X1564" t="str">
        <x:v>02_Supervisor_Log(4).xlsx</x:v>
      </x:c>
      <x:c r="Y1564" t="str">
        <x:v>ENH-20260830-01</x:v>
      </x:c>
      <x:c r="Z1564" t="str">
        <x:v>Active</x:v>
      </x:c>
      <x:c r="AA1564"/>
      <x:c r="AB1564"/>
      <x:c r="AC1564"/>
      <x:c r="AD1564"/>
    </x:row>
    <x:row r="1565">
      <x:c r="A1565" t="str">
        <x:v>PCC-PE-KG01-L23-20251026-AM-ORD-2025-00094-S01-C1</x:v>
      </x:c>
      <x:c r="B1565" t="str">
        <x:v>PC-PE-KG01-L23-20251026-AM-ORD-2025-00094-S01</x:v>
      </x:c>
      <x:c r="C1565" t="str">
        <x:v>PE-KG01-L23-20251026-AM-ORD-2025-00094</x:v>
      </x:c>
      <x:c r="D1565" t="str">
        <x:v>KG01</x:v>
      </x:c>
      <x:c r="E1565" s="62" t="n">
        <x:v>45956</x:v>
      </x:c>
      <x:c r="F1565" t="str">
        <x:v>AM</x:v>
      </x:c>
      <x:c r="G1565" t="str">
        <x:v>C</x:v>
      </x:c>
      <x:c r="H1565" t="n">
        <x:v>23</x:v>
      </x:c>
      <x:c r="I1565" t="str">
        <x:v>ORD-2025-00094</x:v>
      </x:c>
      <x:c r="J1565" t="n">
        <x:v>1</x:v>
      </x:c>
      <x:c r="K1565" t="n">
        <x:v>1</x:v>
      </x:c>
      <x:c r="L1565" t="str">
        <x:v>L23-S01-C1</x:v>
      </x:c>
      <x:c r="M1565" t="n">
        <x:v>1</x:v>
      </x:c>
      <x:c r="N1565" t="str">
        <x:v>DerivedFromCount</x:v>
      </x:c>
      <x:c r="O1565" t="str">
        <x:v>PLC-PRD-JAR-720-L23</x:v>
      </x:c>
      <x:c r="P1565" t="str">
        <x:v>OK</x:v>
      </x:c>
      <x:c r="Q1565" t="str">
        <x:v>OK</x:v>
      </x:c>
      <x:c r="R1565" t="str">
        <x:v>OK</x:v>
      </x:c>
      <x:c r="S1565" t="str">
        <x:v>OK</x:v>
      </x:c>
      <x:c r="T1565" t="n">
        <x:v>24</x:v>
      </x:c>
      <x:c r="U1565" t="str">
        <x:v>OK</x:v>
      </x:c>
      <x:c r="V1565" t="str">
        <x:v>OK</x:v>
      </x:c>
      <x:c r="W1565" t="str">
        <x:v>LOAD</x:v>
      </x:c>
      <x:c r="X1565" t="str">
        <x:v>02_Supervisor_Log(4).xlsx</x:v>
      </x:c>
      <x:c r="Y1565" t="str">
        <x:v>ENH-20260830-01</x:v>
      </x:c>
      <x:c r="Z1565" t="str">
        <x:v>Active</x:v>
      </x:c>
      <x:c r="AA1565"/>
      <x:c r="AB1565"/>
      <x:c r="AC1565"/>
      <x:c r="AD1565"/>
    </x:row>
    <x:row r="1566">
      <x:c r="A1566" t="str">
        <x:v>PCC-PE-KG01-L23-20251026-AM-ORD-2025-00094-S01-C2</x:v>
      </x:c>
      <x:c r="B1566" t="str">
        <x:v>PC-PE-KG01-L23-20251026-AM-ORD-2025-00094-S01</x:v>
      </x:c>
      <x:c r="C1566" t="str">
        <x:v>PE-KG01-L23-20251026-AM-ORD-2025-00094</x:v>
      </x:c>
      <x:c r="D1566" t="str">
        <x:v>KG01</x:v>
      </x:c>
      <x:c r="E1566" s="62" t="n">
        <x:v>45956</x:v>
      </x:c>
      <x:c r="F1566" t="str">
        <x:v>AM</x:v>
      </x:c>
      <x:c r="G1566" t="str">
        <x:v>C</x:v>
      </x:c>
      <x:c r="H1566" t="n">
        <x:v>23</x:v>
      </x:c>
      <x:c r="I1566" t="str">
        <x:v>ORD-2025-00094</x:v>
      </x:c>
      <x:c r="J1566" t="n">
        <x:v>1</x:v>
      </x:c>
      <x:c r="K1566" t="n">
        <x:v>2</x:v>
      </x:c>
      <x:c r="L1566" t="str">
        <x:v>L23-S01-C2</x:v>
      </x:c>
      <x:c r="M1566" t="n">
        <x:v>1</x:v>
      </x:c>
      <x:c r="N1566" t="str">
        <x:v>DerivedFromCount</x:v>
      </x:c>
      <x:c r="O1566" t="str">
        <x:v>PLC-PRD-JAR-720-L23</x:v>
      </x:c>
      <x:c r="P1566" t="str">
        <x:v>OK</x:v>
      </x:c>
      <x:c r="Q1566" t="str">
        <x:v>OK</x:v>
      </x:c>
      <x:c r="R1566" t="str">
        <x:v>OK</x:v>
      </x:c>
      <x:c r="S1566" t="str">
        <x:v>OK</x:v>
      </x:c>
      <x:c r="T1566" t="n">
        <x:v>24</x:v>
      </x:c>
      <x:c r="U1566" t="str">
        <x:v>OK</x:v>
      </x:c>
      <x:c r="V1566" t="str">
        <x:v>OK</x:v>
      </x:c>
      <x:c r="W1566" t="str">
        <x:v>LOAD</x:v>
      </x:c>
      <x:c r="X1566" t="str">
        <x:v>02_Supervisor_Log(4).xlsx</x:v>
      </x:c>
      <x:c r="Y1566" t="str">
        <x:v>ENH-20260830-01</x:v>
      </x:c>
      <x:c r="Z1566" t="str">
        <x:v>Active</x:v>
      </x:c>
      <x:c r="AA1566"/>
      <x:c r="AB1566"/>
      <x:c r="AC1566"/>
      <x:c r="AD1566"/>
    </x:row>
    <x:row r="1567">
      <x:c r="A1567" t="str">
        <x:v>PCC-PE-KG01-L23-20251026-AM-ORD-2025-00094-S01-C3</x:v>
      </x:c>
      <x:c r="B1567" t="str">
        <x:v>PC-PE-KG01-L23-20251026-AM-ORD-2025-00094-S01</x:v>
      </x:c>
      <x:c r="C1567" t="str">
        <x:v>PE-KG01-L23-20251026-AM-ORD-2025-00094</x:v>
      </x:c>
      <x:c r="D1567" t="str">
        <x:v>KG01</x:v>
      </x:c>
      <x:c r="E1567" s="62" t="n">
        <x:v>45956</x:v>
      </x:c>
      <x:c r="F1567" t="str">
        <x:v>AM</x:v>
      </x:c>
      <x:c r="G1567" t="str">
        <x:v>C</x:v>
      </x:c>
      <x:c r="H1567" t="n">
        <x:v>23</x:v>
      </x:c>
      <x:c r="I1567" t="str">
        <x:v>ORD-2025-00094</x:v>
      </x:c>
      <x:c r="J1567" t="n">
        <x:v>1</x:v>
      </x:c>
      <x:c r="K1567" t="n">
        <x:v>3</x:v>
      </x:c>
      <x:c r="L1567" t="str">
        <x:v>L23-S01-C3</x:v>
      </x:c>
      <x:c r="M1567" t="n">
        <x:v>0</x:v>
      </x:c>
      <x:c r="N1567" t="str">
        <x:v>DerivedFromCount</x:v>
      </x:c>
      <x:c r="O1567" t="str">
        <x:v>PLC-PRD-JAR-720-L23</x:v>
      </x:c>
      <x:c r="P1567" t="str">
        <x:v>OK</x:v>
      </x:c>
      <x:c r="Q1567" t="str">
        <x:v>OK</x:v>
      </x:c>
      <x:c r="R1567" t="str">
        <x:v>OK</x:v>
      </x:c>
      <x:c r="S1567" t="str">
        <x:v>OK</x:v>
      </x:c>
      <x:c r="T1567" t="n">
        <x:v>24</x:v>
      </x:c>
      <x:c r="U1567" t="str">
        <x:v>OK</x:v>
      </x:c>
      <x:c r="V1567" t="str">
        <x:v>OK</x:v>
      </x:c>
      <x:c r="W1567" t="str">
        <x:v>LOAD</x:v>
      </x:c>
      <x:c r="X1567" t="str">
        <x:v>02_Supervisor_Log(4).xlsx</x:v>
      </x:c>
      <x:c r="Y1567" t="str">
        <x:v>ENH-20260830-01</x:v>
      </x:c>
      <x:c r="Z1567" t="str">
        <x:v>Active</x:v>
      </x:c>
      <x:c r="AA1567"/>
      <x:c r="AB1567"/>
      <x:c r="AC1567"/>
      <x:c r="AD1567"/>
    </x:row>
    <x:row r="1568">
      <x:c r="A1568" t="str">
        <x:v>PCC-PE-KG01-L23-20251026-AM-ORD-2025-00094-S02-C1</x:v>
      </x:c>
      <x:c r="B1568" t="str">
        <x:v>PC-PE-KG01-L23-20251026-AM-ORD-2025-00094-S02</x:v>
      </x:c>
      <x:c r="C1568" t="str">
        <x:v>PE-KG01-L23-20251026-AM-ORD-2025-00094</x:v>
      </x:c>
      <x:c r="D1568" t="str">
        <x:v>KG01</x:v>
      </x:c>
      <x:c r="E1568" s="62" t="n">
        <x:v>45956</x:v>
      </x:c>
      <x:c r="F1568" t="str">
        <x:v>AM</x:v>
      </x:c>
      <x:c r="G1568" t="str">
        <x:v>C</x:v>
      </x:c>
      <x:c r="H1568" t="n">
        <x:v>23</x:v>
      </x:c>
      <x:c r="I1568" t="str">
        <x:v>ORD-2025-00094</x:v>
      </x:c>
      <x:c r="J1568" t="n">
        <x:v>2</x:v>
      </x:c>
      <x:c r="K1568" t="n">
        <x:v>1</x:v>
      </x:c>
      <x:c r="L1568" t="str">
        <x:v>L23-S02-C1</x:v>
      </x:c>
      <x:c r="M1568" t="n">
        <x:v>1</x:v>
      </x:c>
      <x:c r="N1568" t="str">
        <x:v>DerivedFromCount</x:v>
      </x:c>
      <x:c r="O1568" t="str">
        <x:v>PLC-PRD-JAR-720-L23</x:v>
      </x:c>
      <x:c r="P1568" t="str">
        <x:v>OK</x:v>
      </x:c>
      <x:c r="Q1568" t="str">
        <x:v>OK</x:v>
      </x:c>
      <x:c r="R1568" t="str">
        <x:v>OK</x:v>
      </x:c>
      <x:c r="S1568" t="str">
        <x:v>OK</x:v>
      </x:c>
      <x:c r="T1568" t="n">
        <x:v>24</x:v>
      </x:c>
      <x:c r="U1568" t="str">
        <x:v>OK</x:v>
      </x:c>
      <x:c r="V1568" t="str">
        <x:v>OK</x:v>
      </x:c>
      <x:c r="W1568" t="str">
        <x:v>LOAD</x:v>
      </x:c>
      <x:c r="X1568" t="str">
        <x:v>02_Supervisor_Log(4).xlsx</x:v>
      </x:c>
      <x:c r="Y1568" t="str">
        <x:v>ENH-20260830-01</x:v>
      </x:c>
      <x:c r="Z1568" t="str">
        <x:v>Active</x:v>
      </x:c>
      <x:c r="AA1568"/>
      <x:c r="AB1568"/>
      <x:c r="AC1568"/>
      <x:c r="AD1568"/>
    </x:row>
    <x:row r="1569">
      <x:c r="A1569" t="str">
        <x:v>PCC-PE-KG01-L23-20251026-AM-ORD-2025-00094-S02-C2</x:v>
      </x:c>
      <x:c r="B1569" t="str">
        <x:v>PC-PE-KG01-L23-20251026-AM-ORD-2025-00094-S02</x:v>
      </x:c>
      <x:c r="C1569" t="str">
        <x:v>PE-KG01-L23-20251026-AM-ORD-2025-00094</x:v>
      </x:c>
      <x:c r="D1569" t="str">
        <x:v>KG01</x:v>
      </x:c>
      <x:c r="E1569" s="62" t="n">
        <x:v>45956</x:v>
      </x:c>
      <x:c r="F1569" t="str">
        <x:v>AM</x:v>
      </x:c>
      <x:c r="G1569" t="str">
        <x:v>C</x:v>
      </x:c>
      <x:c r="H1569" t="n">
        <x:v>23</x:v>
      </x:c>
      <x:c r="I1569" t="str">
        <x:v>ORD-2025-00094</x:v>
      </x:c>
      <x:c r="J1569" t="n">
        <x:v>2</x:v>
      </x:c>
      <x:c r="K1569" t="n">
        <x:v>2</x:v>
      </x:c>
      <x:c r="L1569" t="str">
        <x:v>L23-S02-C2</x:v>
      </x:c>
      <x:c r="M1569" t="n">
        <x:v>1</x:v>
      </x:c>
      <x:c r="N1569" t="str">
        <x:v>DerivedFromCount</x:v>
      </x:c>
      <x:c r="O1569" t="str">
        <x:v>PLC-PRD-JAR-720-L23</x:v>
      </x:c>
      <x:c r="P1569" t="str">
        <x:v>OK</x:v>
      </x:c>
      <x:c r="Q1569" t="str">
        <x:v>OK</x:v>
      </x:c>
      <x:c r="R1569" t="str">
        <x:v>OK</x:v>
      </x:c>
      <x:c r="S1569" t="str">
        <x:v>OK</x:v>
      </x:c>
      <x:c r="T1569" t="n">
        <x:v>24</x:v>
      </x:c>
      <x:c r="U1569" t="str">
        <x:v>OK</x:v>
      </x:c>
      <x:c r="V1569" t="str">
        <x:v>OK</x:v>
      </x:c>
      <x:c r="W1569" t="str">
        <x:v>LOAD</x:v>
      </x:c>
      <x:c r="X1569" t="str">
        <x:v>02_Supervisor_Log(4).xlsx</x:v>
      </x:c>
      <x:c r="Y1569" t="str">
        <x:v>ENH-20260830-01</x:v>
      </x:c>
      <x:c r="Z1569" t="str">
        <x:v>Active</x:v>
      </x:c>
      <x:c r="AA1569"/>
      <x:c r="AB1569"/>
      <x:c r="AC1569"/>
      <x:c r="AD1569"/>
    </x:row>
    <x:row r="1570">
      <x:c r="A1570" t="str">
        <x:v>PCC-PE-KG01-L23-20251026-AM-ORD-2025-00094-S02-C3</x:v>
      </x:c>
      <x:c r="B1570" t="str">
        <x:v>PC-PE-KG01-L23-20251026-AM-ORD-2025-00094-S02</x:v>
      </x:c>
      <x:c r="C1570" t="str">
        <x:v>PE-KG01-L23-20251026-AM-ORD-2025-00094</x:v>
      </x:c>
      <x:c r="D1570" t="str">
        <x:v>KG01</x:v>
      </x:c>
      <x:c r="E1570" s="62" t="n">
        <x:v>45956</x:v>
      </x:c>
      <x:c r="F1570" t="str">
        <x:v>AM</x:v>
      </x:c>
      <x:c r="G1570" t="str">
        <x:v>C</x:v>
      </x:c>
      <x:c r="H1570" t="n">
        <x:v>23</x:v>
      </x:c>
      <x:c r="I1570" t="str">
        <x:v>ORD-2025-00094</x:v>
      </x:c>
      <x:c r="J1570" t="n">
        <x:v>2</x:v>
      </x:c>
      <x:c r="K1570" t="n">
        <x:v>3</x:v>
      </x:c>
      <x:c r="L1570" t="str">
        <x:v>L23-S02-C3</x:v>
      </x:c>
      <x:c r="M1570" t="n">
        <x:v>0</x:v>
      </x:c>
      <x:c r="N1570" t="str">
        <x:v>DerivedFromCount</x:v>
      </x:c>
      <x:c r="O1570" t="str">
        <x:v>PLC-PRD-JAR-720-L23</x:v>
      </x:c>
      <x:c r="P1570" t="str">
        <x:v>OK</x:v>
      </x:c>
      <x:c r="Q1570" t="str">
        <x:v>OK</x:v>
      </x:c>
      <x:c r="R1570" t="str">
        <x:v>OK</x:v>
      </x:c>
      <x:c r="S1570" t="str">
        <x:v>OK</x:v>
      </x:c>
      <x:c r="T1570" t="n">
        <x:v>24</x:v>
      </x:c>
      <x:c r="U1570" t="str">
        <x:v>OK</x:v>
      </x:c>
      <x:c r="V1570" t="str">
        <x:v>OK</x:v>
      </x:c>
      <x:c r="W1570" t="str">
        <x:v>LOAD</x:v>
      </x:c>
      <x:c r="X1570" t="str">
        <x:v>02_Supervisor_Log(4).xlsx</x:v>
      </x:c>
      <x:c r="Y1570" t="str">
        <x:v>ENH-20260830-01</x:v>
      </x:c>
      <x:c r="Z1570" t="str">
        <x:v>Active</x:v>
      </x:c>
      <x:c r="AA1570"/>
      <x:c r="AB1570"/>
      <x:c r="AC1570"/>
      <x:c r="AD1570"/>
    </x:row>
    <x:row r="1571">
      <x:c r="A1571" t="str">
        <x:v>PCC-PE-KG01-L23-20251026-AM-ORD-2025-00094-S03-C1</x:v>
      </x:c>
      <x:c r="B1571" t="str">
        <x:v>PC-PE-KG01-L23-20251026-AM-ORD-2025-00094-S03</x:v>
      </x:c>
      <x:c r="C1571" t="str">
        <x:v>PE-KG01-L23-20251026-AM-ORD-2025-00094</x:v>
      </x:c>
      <x:c r="D1571" t="str">
        <x:v>KG01</x:v>
      </x:c>
      <x:c r="E1571" s="62" t="n">
        <x:v>45956</x:v>
      </x:c>
      <x:c r="F1571" t="str">
        <x:v>AM</x:v>
      </x:c>
      <x:c r="G1571" t="str">
        <x:v>C</x:v>
      </x:c>
      <x:c r="H1571" t="n">
        <x:v>23</x:v>
      </x:c>
      <x:c r="I1571" t="str">
        <x:v>ORD-2025-00094</x:v>
      </x:c>
      <x:c r="J1571" t="n">
        <x:v>3</x:v>
      </x:c>
      <x:c r="K1571" t="n">
        <x:v>1</x:v>
      </x:c>
      <x:c r="L1571" t="str">
        <x:v>L23-S03-C1</x:v>
      </x:c>
      <x:c r="M1571" t="n">
        <x:v>1</x:v>
      </x:c>
      <x:c r="N1571" t="str">
        <x:v>DerivedFromCount</x:v>
      </x:c>
      <x:c r="O1571" t="str">
        <x:v>PLC-PRD-JAR-720-L23</x:v>
      </x:c>
      <x:c r="P1571" t="str">
        <x:v>OK</x:v>
      </x:c>
      <x:c r="Q1571" t="str">
        <x:v>OK</x:v>
      </x:c>
      <x:c r="R1571" t="str">
        <x:v>OK</x:v>
      </x:c>
      <x:c r="S1571" t="str">
        <x:v>OK</x:v>
      </x:c>
      <x:c r="T1571" t="n">
        <x:v>24</x:v>
      </x:c>
      <x:c r="U1571" t="str">
        <x:v>OK</x:v>
      </x:c>
      <x:c r="V1571" t="str">
        <x:v>OK</x:v>
      </x:c>
      <x:c r="W1571" t="str">
        <x:v>LOAD</x:v>
      </x:c>
      <x:c r="X1571" t="str">
        <x:v>02_Supervisor_Log(4).xlsx</x:v>
      </x:c>
      <x:c r="Y1571" t="str">
        <x:v>ENH-20260830-01</x:v>
      </x:c>
      <x:c r="Z1571" t="str">
        <x:v>Active</x:v>
      </x:c>
      <x:c r="AA1571"/>
      <x:c r="AB1571"/>
      <x:c r="AC1571"/>
      <x:c r="AD1571"/>
    </x:row>
    <x:row r="1572">
      <x:c r="A1572" t="str">
        <x:v>PCC-PE-KG01-L23-20251026-AM-ORD-2025-00094-S03-C2</x:v>
      </x:c>
      <x:c r="B1572" t="str">
        <x:v>PC-PE-KG01-L23-20251026-AM-ORD-2025-00094-S03</x:v>
      </x:c>
      <x:c r="C1572" t="str">
        <x:v>PE-KG01-L23-20251026-AM-ORD-2025-00094</x:v>
      </x:c>
      <x:c r="D1572" t="str">
        <x:v>KG01</x:v>
      </x:c>
      <x:c r="E1572" s="62" t="n">
        <x:v>45956</x:v>
      </x:c>
      <x:c r="F1572" t="str">
        <x:v>AM</x:v>
      </x:c>
      <x:c r="G1572" t="str">
        <x:v>C</x:v>
      </x:c>
      <x:c r="H1572" t="n">
        <x:v>23</x:v>
      </x:c>
      <x:c r="I1572" t="str">
        <x:v>ORD-2025-00094</x:v>
      </x:c>
      <x:c r="J1572" t="n">
        <x:v>3</x:v>
      </x:c>
      <x:c r="K1572" t="n">
        <x:v>2</x:v>
      </x:c>
      <x:c r="L1572" t="str">
        <x:v>L23-S03-C2</x:v>
      </x:c>
      <x:c r="M1572" t="n">
        <x:v>1</x:v>
      </x:c>
      <x:c r="N1572" t="str">
        <x:v>DerivedFromCount</x:v>
      </x:c>
      <x:c r="O1572" t="str">
        <x:v>PLC-PRD-JAR-720-L23</x:v>
      </x:c>
      <x:c r="P1572" t="str">
        <x:v>OK</x:v>
      </x:c>
      <x:c r="Q1572" t="str">
        <x:v>OK</x:v>
      </x:c>
      <x:c r="R1572" t="str">
        <x:v>OK</x:v>
      </x:c>
      <x:c r="S1572" t="str">
        <x:v>OK</x:v>
      </x:c>
      <x:c r="T1572" t="n">
        <x:v>24</x:v>
      </x:c>
      <x:c r="U1572" t="str">
        <x:v>OK</x:v>
      </x:c>
      <x:c r="V1572" t="str">
        <x:v>OK</x:v>
      </x:c>
      <x:c r="W1572" t="str">
        <x:v>LOAD</x:v>
      </x:c>
      <x:c r="X1572" t="str">
        <x:v>02_Supervisor_Log(4).xlsx</x:v>
      </x:c>
      <x:c r="Y1572" t="str">
        <x:v>ENH-20260830-01</x:v>
      </x:c>
      <x:c r="Z1572" t="str">
        <x:v>Active</x:v>
      </x:c>
      <x:c r="AA1572"/>
      <x:c r="AB1572"/>
      <x:c r="AC1572"/>
      <x:c r="AD1572"/>
    </x:row>
    <x:row r="1573">
      <x:c r="A1573" t="str">
        <x:v>PCC-PE-KG01-L23-20251026-AM-ORD-2025-00094-S03-C3</x:v>
      </x:c>
      <x:c r="B1573" t="str">
        <x:v>PC-PE-KG01-L23-20251026-AM-ORD-2025-00094-S03</x:v>
      </x:c>
      <x:c r="C1573" t="str">
        <x:v>PE-KG01-L23-20251026-AM-ORD-2025-00094</x:v>
      </x:c>
      <x:c r="D1573" t="str">
        <x:v>KG01</x:v>
      </x:c>
      <x:c r="E1573" s="62" t="n">
        <x:v>45956</x:v>
      </x:c>
      <x:c r="F1573" t="str">
        <x:v>AM</x:v>
      </x:c>
      <x:c r="G1573" t="str">
        <x:v>C</x:v>
      </x:c>
      <x:c r="H1573" t="n">
        <x:v>23</x:v>
      </x:c>
      <x:c r="I1573" t="str">
        <x:v>ORD-2025-00094</x:v>
      </x:c>
      <x:c r="J1573" t="n">
        <x:v>3</x:v>
      </x:c>
      <x:c r="K1573" t="n">
        <x:v>3</x:v>
      </x:c>
      <x:c r="L1573" t="str">
        <x:v>L23-S03-C3</x:v>
      </x:c>
      <x:c r="M1573" t="n">
        <x:v>0</x:v>
      </x:c>
      <x:c r="N1573" t="str">
        <x:v>DerivedFromCount</x:v>
      </x:c>
      <x:c r="O1573" t="str">
        <x:v>PLC-PRD-JAR-720-L23</x:v>
      </x:c>
      <x:c r="P1573" t="str">
        <x:v>OK</x:v>
      </x:c>
      <x:c r="Q1573" t="str">
        <x:v>OK</x:v>
      </x:c>
      <x:c r="R1573" t="str">
        <x:v>OK</x:v>
      </x:c>
      <x:c r="S1573" t="str">
        <x:v>OK</x:v>
      </x:c>
      <x:c r="T1573" t="n">
        <x:v>24</x:v>
      </x:c>
      <x:c r="U1573" t="str">
        <x:v>OK</x:v>
      </x:c>
      <x:c r="V1573" t="str">
        <x:v>OK</x:v>
      </x:c>
      <x:c r="W1573" t="str">
        <x:v>LOAD</x:v>
      </x:c>
      <x:c r="X1573" t="str">
        <x:v>02_Supervisor_Log(4).xlsx</x:v>
      </x:c>
      <x:c r="Y1573" t="str">
        <x:v>ENH-20260830-01</x:v>
      </x:c>
      <x:c r="Z1573" t="str">
        <x:v>Active</x:v>
      </x:c>
      <x:c r="AA1573"/>
      <x:c r="AB1573"/>
      <x:c r="AC1573"/>
      <x:c r="AD1573"/>
    </x:row>
    <x:row r="1574">
      <x:c r="A1574" t="str">
        <x:v>PCC-PE-KG01-L23-20251026-AM-ORD-2025-00094-S04-C1</x:v>
      </x:c>
      <x:c r="B1574" t="str">
        <x:v>PC-PE-KG01-L23-20251026-AM-ORD-2025-00094-S04</x:v>
      </x:c>
      <x:c r="C1574" t="str">
        <x:v>PE-KG01-L23-20251026-AM-ORD-2025-00094</x:v>
      </x:c>
      <x:c r="D1574" t="str">
        <x:v>KG01</x:v>
      </x:c>
      <x:c r="E1574" s="62" t="n">
        <x:v>45956</x:v>
      </x:c>
      <x:c r="F1574" t="str">
        <x:v>AM</x:v>
      </x:c>
      <x:c r="G1574" t="str">
        <x:v>C</x:v>
      </x:c>
      <x:c r="H1574" t="n">
        <x:v>23</x:v>
      </x:c>
      <x:c r="I1574" t="str">
        <x:v>ORD-2025-00094</x:v>
      </x:c>
      <x:c r="J1574" t="n">
        <x:v>4</x:v>
      </x:c>
      <x:c r="K1574" t="n">
        <x:v>1</x:v>
      </x:c>
      <x:c r="L1574" t="str">
        <x:v>L23-S04-C1</x:v>
      </x:c>
      <x:c r="M1574" t="n">
        <x:v>1</x:v>
      </x:c>
      <x:c r="N1574" t="str">
        <x:v>DerivedFromCount</x:v>
      </x:c>
      <x:c r="O1574" t="str">
        <x:v>PLC-PRD-JAR-720-L23</x:v>
      </x:c>
      <x:c r="P1574" t="str">
        <x:v>OK</x:v>
      </x:c>
      <x:c r="Q1574" t="str">
        <x:v>OK</x:v>
      </x:c>
      <x:c r="R1574" t="str">
        <x:v>OK</x:v>
      </x:c>
      <x:c r="S1574" t="str">
        <x:v>OK</x:v>
      </x:c>
      <x:c r="T1574" t="n">
        <x:v>24</x:v>
      </x:c>
      <x:c r="U1574" t="str">
        <x:v>OK</x:v>
      </x:c>
      <x:c r="V1574" t="str">
        <x:v>OK</x:v>
      </x:c>
      <x:c r="W1574" t="str">
        <x:v>LOAD</x:v>
      </x:c>
      <x:c r="X1574" t="str">
        <x:v>02_Supervisor_Log(4).xlsx</x:v>
      </x:c>
      <x:c r="Y1574" t="str">
        <x:v>ENH-20260830-01</x:v>
      </x:c>
      <x:c r="Z1574" t="str">
        <x:v>Active</x:v>
      </x:c>
      <x:c r="AA1574"/>
      <x:c r="AB1574"/>
      <x:c r="AC1574"/>
      <x:c r="AD1574"/>
    </x:row>
    <x:row r="1575">
      <x:c r="A1575" t="str">
        <x:v>PCC-PE-KG01-L23-20251026-AM-ORD-2025-00094-S04-C2</x:v>
      </x:c>
      <x:c r="B1575" t="str">
        <x:v>PC-PE-KG01-L23-20251026-AM-ORD-2025-00094-S04</x:v>
      </x:c>
      <x:c r="C1575" t="str">
        <x:v>PE-KG01-L23-20251026-AM-ORD-2025-00094</x:v>
      </x:c>
      <x:c r="D1575" t="str">
        <x:v>KG01</x:v>
      </x:c>
      <x:c r="E1575" s="62" t="n">
        <x:v>45956</x:v>
      </x:c>
      <x:c r="F1575" t="str">
        <x:v>AM</x:v>
      </x:c>
      <x:c r="G1575" t="str">
        <x:v>C</x:v>
      </x:c>
      <x:c r="H1575" t="n">
        <x:v>23</x:v>
      </x:c>
      <x:c r="I1575" t="str">
        <x:v>ORD-2025-00094</x:v>
      </x:c>
      <x:c r="J1575" t="n">
        <x:v>4</x:v>
      </x:c>
      <x:c r="K1575" t="n">
        <x:v>2</x:v>
      </x:c>
      <x:c r="L1575" t="str">
        <x:v>L23-S04-C2</x:v>
      </x:c>
      <x:c r="M1575" t="n">
        <x:v>1</x:v>
      </x:c>
      <x:c r="N1575" t="str">
        <x:v>DerivedFromCount</x:v>
      </x:c>
      <x:c r="O1575" t="str">
        <x:v>PLC-PRD-JAR-720-L23</x:v>
      </x:c>
      <x:c r="P1575" t="str">
        <x:v>OK</x:v>
      </x:c>
      <x:c r="Q1575" t="str">
        <x:v>OK</x:v>
      </x:c>
      <x:c r="R1575" t="str">
        <x:v>OK</x:v>
      </x:c>
      <x:c r="S1575" t="str">
        <x:v>OK</x:v>
      </x:c>
      <x:c r="T1575" t="n">
        <x:v>24</x:v>
      </x:c>
      <x:c r="U1575" t="str">
        <x:v>OK</x:v>
      </x:c>
      <x:c r="V1575" t="str">
        <x:v>OK</x:v>
      </x:c>
      <x:c r="W1575" t="str">
        <x:v>LOAD</x:v>
      </x:c>
      <x:c r="X1575" t="str">
        <x:v>02_Supervisor_Log(4).xlsx</x:v>
      </x:c>
      <x:c r="Y1575" t="str">
        <x:v>ENH-20260830-01</x:v>
      </x:c>
      <x:c r="Z1575" t="str">
        <x:v>Active</x:v>
      </x:c>
      <x:c r="AA1575"/>
      <x:c r="AB1575"/>
      <x:c r="AC1575"/>
      <x:c r="AD1575"/>
    </x:row>
    <x:row r="1576">
      <x:c r="A1576" t="str">
        <x:v>PCC-PE-KG01-L23-20251026-AM-ORD-2025-00094-S04-C3</x:v>
      </x:c>
      <x:c r="B1576" t="str">
        <x:v>PC-PE-KG01-L23-20251026-AM-ORD-2025-00094-S04</x:v>
      </x:c>
      <x:c r="C1576" t="str">
        <x:v>PE-KG01-L23-20251026-AM-ORD-2025-00094</x:v>
      </x:c>
      <x:c r="D1576" t="str">
        <x:v>KG01</x:v>
      </x:c>
      <x:c r="E1576" s="62" t="n">
        <x:v>45956</x:v>
      </x:c>
      <x:c r="F1576" t="str">
        <x:v>AM</x:v>
      </x:c>
      <x:c r="G1576" t="str">
        <x:v>C</x:v>
      </x:c>
      <x:c r="H1576" t="n">
        <x:v>23</x:v>
      </x:c>
      <x:c r="I1576" t="str">
        <x:v>ORD-2025-00094</x:v>
      </x:c>
      <x:c r="J1576" t="n">
        <x:v>4</x:v>
      </x:c>
      <x:c r="K1576" t="n">
        <x:v>3</x:v>
      </x:c>
      <x:c r="L1576" t="str">
        <x:v>L23-S04-C3</x:v>
      </x:c>
      <x:c r="M1576" t="n">
        <x:v>0</x:v>
      </x:c>
      <x:c r="N1576" t="str">
        <x:v>DerivedFromCount</x:v>
      </x:c>
      <x:c r="O1576" t="str">
        <x:v>PLC-PRD-JAR-720-L23</x:v>
      </x:c>
      <x:c r="P1576" t="str">
        <x:v>OK</x:v>
      </x:c>
      <x:c r="Q1576" t="str">
        <x:v>OK</x:v>
      </x:c>
      <x:c r="R1576" t="str">
        <x:v>OK</x:v>
      </x:c>
      <x:c r="S1576" t="str">
        <x:v>OK</x:v>
      </x:c>
      <x:c r="T1576" t="n">
        <x:v>24</x:v>
      </x:c>
      <x:c r="U1576" t="str">
        <x:v>OK</x:v>
      </x:c>
      <x:c r="V1576" t="str">
        <x:v>OK</x:v>
      </x:c>
      <x:c r="W1576" t="str">
        <x:v>LOAD</x:v>
      </x:c>
      <x:c r="X1576" t="str">
        <x:v>02_Supervisor_Log(4).xlsx</x:v>
      </x:c>
      <x:c r="Y1576" t="str">
        <x:v>ENH-20260830-01</x:v>
      </x:c>
      <x:c r="Z1576" t="str">
        <x:v>Active</x:v>
      </x:c>
      <x:c r="AA1576"/>
      <x:c r="AB1576"/>
      <x:c r="AC1576"/>
      <x:c r="AD1576"/>
    </x:row>
    <x:row r="1577">
      <x:c r="A1577" t="str">
        <x:v>PCC-PE-KG01-L23-20251026-AM-ORD-2025-00094-S05-C1</x:v>
      </x:c>
      <x:c r="B1577" t="str">
        <x:v>PC-PE-KG01-L23-20251026-AM-ORD-2025-00094-S05</x:v>
      </x:c>
      <x:c r="C1577" t="str">
        <x:v>PE-KG01-L23-20251026-AM-ORD-2025-00094</x:v>
      </x:c>
      <x:c r="D1577" t="str">
        <x:v>KG01</x:v>
      </x:c>
      <x:c r="E1577" s="62" t="n">
        <x:v>45956</x:v>
      </x:c>
      <x:c r="F1577" t="str">
        <x:v>AM</x:v>
      </x:c>
      <x:c r="G1577" t="str">
        <x:v>C</x:v>
      </x:c>
      <x:c r="H1577" t="n">
        <x:v>23</x:v>
      </x:c>
      <x:c r="I1577" t="str">
        <x:v>ORD-2025-00094</x:v>
      </x:c>
      <x:c r="J1577" t="n">
        <x:v>5</x:v>
      </x:c>
      <x:c r="K1577" t="n">
        <x:v>1</x:v>
      </x:c>
      <x:c r="L1577" t="str">
        <x:v>L23-S05-C1</x:v>
      </x:c>
      <x:c r="M1577" t="n">
        <x:v>1</x:v>
      </x:c>
      <x:c r="N1577" t="str">
        <x:v>DerivedFromCount</x:v>
      </x:c>
      <x:c r="O1577" t="str">
        <x:v>PLC-PRD-JAR-720-L23</x:v>
      </x:c>
      <x:c r="P1577" t="str">
        <x:v>OK</x:v>
      </x:c>
      <x:c r="Q1577" t="str">
        <x:v>OK</x:v>
      </x:c>
      <x:c r="R1577" t="str">
        <x:v>OK</x:v>
      </x:c>
      <x:c r="S1577" t="str">
        <x:v>OK</x:v>
      </x:c>
      <x:c r="T1577" t="n">
        <x:v>24</x:v>
      </x:c>
      <x:c r="U1577" t="str">
        <x:v>OK</x:v>
      </x:c>
      <x:c r="V1577" t="str">
        <x:v>OK</x:v>
      </x:c>
      <x:c r="W1577" t="str">
        <x:v>LOAD</x:v>
      </x:c>
      <x:c r="X1577" t="str">
        <x:v>02_Supervisor_Log(4).xlsx</x:v>
      </x:c>
      <x:c r="Y1577" t="str">
        <x:v>ENH-20260830-01</x:v>
      </x:c>
      <x:c r="Z1577" t="str">
        <x:v>Active</x:v>
      </x:c>
      <x:c r="AA1577"/>
      <x:c r="AB1577"/>
      <x:c r="AC1577"/>
      <x:c r="AD1577"/>
    </x:row>
    <x:row r="1578">
      <x:c r="A1578" t="str">
        <x:v>PCC-PE-KG01-L23-20251026-AM-ORD-2025-00094-S05-C2</x:v>
      </x:c>
      <x:c r="B1578" t="str">
        <x:v>PC-PE-KG01-L23-20251026-AM-ORD-2025-00094-S05</x:v>
      </x:c>
      <x:c r="C1578" t="str">
        <x:v>PE-KG01-L23-20251026-AM-ORD-2025-00094</x:v>
      </x:c>
      <x:c r="D1578" t="str">
        <x:v>KG01</x:v>
      </x:c>
      <x:c r="E1578" s="62" t="n">
        <x:v>45956</x:v>
      </x:c>
      <x:c r="F1578" t="str">
        <x:v>AM</x:v>
      </x:c>
      <x:c r="G1578" t="str">
        <x:v>C</x:v>
      </x:c>
      <x:c r="H1578" t="n">
        <x:v>23</x:v>
      </x:c>
      <x:c r="I1578" t="str">
        <x:v>ORD-2025-00094</x:v>
      </x:c>
      <x:c r="J1578" t="n">
        <x:v>5</x:v>
      </x:c>
      <x:c r="K1578" t="n">
        <x:v>2</x:v>
      </x:c>
      <x:c r="L1578" t="str">
        <x:v>L23-S05-C2</x:v>
      </x:c>
      <x:c r="M1578" t="n">
        <x:v>1</x:v>
      </x:c>
      <x:c r="N1578" t="str">
        <x:v>DerivedFromCount</x:v>
      </x:c>
      <x:c r="O1578" t="str">
        <x:v>PLC-PRD-JAR-720-L23</x:v>
      </x:c>
      <x:c r="P1578" t="str">
        <x:v>OK</x:v>
      </x:c>
      <x:c r="Q1578" t="str">
        <x:v>OK</x:v>
      </x:c>
      <x:c r="R1578" t="str">
        <x:v>OK</x:v>
      </x:c>
      <x:c r="S1578" t="str">
        <x:v>OK</x:v>
      </x:c>
      <x:c r="T1578" t="n">
        <x:v>24</x:v>
      </x:c>
      <x:c r="U1578" t="str">
        <x:v>OK</x:v>
      </x:c>
      <x:c r="V1578" t="str">
        <x:v>OK</x:v>
      </x:c>
      <x:c r="W1578" t="str">
        <x:v>LOAD</x:v>
      </x:c>
      <x:c r="X1578" t="str">
        <x:v>02_Supervisor_Log(4).xlsx</x:v>
      </x:c>
      <x:c r="Y1578" t="str">
        <x:v>ENH-20260830-01</x:v>
      </x:c>
      <x:c r="Z1578" t="str">
        <x:v>Active</x:v>
      </x:c>
      <x:c r="AA1578"/>
      <x:c r="AB1578"/>
      <x:c r="AC1578"/>
      <x:c r="AD1578"/>
    </x:row>
    <x:row r="1579">
      <x:c r="A1579" t="str">
        <x:v>PCC-PE-KG01-L23-20251026-AM-ORD-2025-00094-S05-C3</x:v>
      </x:c>
      <x:c r="B1579" t="str">
        <x:v>PC-PE-KG01-L23-20251026-AM-ORD-2025-00094-S05</x:v>
      </x:c>
      <x:c r="C1579" t="str">
        <x:v>PE-KG01-L23-20251026-AM-ORD-2025-00094</x:v>
      </x:c>
      <x:c r="D1579" t="str">
        <x:v>KG01</x:v>
      </x:c>
      <x:c r="E1579" s="62" t="n">
        <x:v>45956</x:v>
      </x:c>
      <x:c r="F1579" t="str">
        <x:v>AM</x:v>
      </x:c>
      <x:c r="G1579" t="str">
        <x:v>C</x:v>
      </x:c>
      <x:c r="H1579" t="n">
        <x:v>23</x:v>
      </x:c>
      <x:c r="I1579" t="str">
        <x:v>ORD-2025-00094</x:v>
      </x:c>
      <x:c r="J1579" t="n">
        <x:v>5</x:v>
      </x:c>
      <x:c r="K1579" t="n">
        <x:v>3</x:v>
      </x:c>
      <x:c r="L1579" t="str">
        <x:v>L23-S05-C3</x:v>
      </x:c>
      <x:c r="M1579" t="n">
        <x:v>0</x:v>
      </x:c>
      <x:c r="N1579" t="str">
        <x:v>DerivedFromCount</x:v>
      </x:c>
      <x:c r="O1579" t="str">
        <x:v>PLC-PRD-JAR-720-L23</x:v>
      </x:c>
      <x:c r="P1579" t="str">
        <x:v>OK</x:v>
      </x:c>
      <x:c r="Q1579" t="str">
        <x:v>OK</x:v>
      </x:c>
      <x:c r="R1579" t="str">
        <x:v>OK</x:v>
      </x:c>
      <x:c r="S1579" t="str">
        <x:v>OK</x:v>
      </x:c>
      <x:c r="T1579" t="n">
        <x:v>24</x:v>
      </x:c>
      <x:c r="U1579" t="str">
        <x:v>OK</x:v>
      </x:c>
      <x:c r="V1579" t="str">
        <x:v>OK</x:v>
      </x:c>
      <x:c r="W1579" t="str">
        <x:v>LOAD</x:v>
      </x:c>
      <x:c r="X1579" t="str">
        <x:v>02_Supervisor_Log(4).xlsx</x:v>
      </x:c>
      <x:c r="Y1579" t="str">
        <x:v>ENH-20260830-01</x:v>
      </x:c>
      <x:c r="Z1579" t="str">
        <x:v>Active</x:v>
      </x:c>
      <x:c r="AA1579"/>
      <x:c r="AB1579"/>
      <x:c r="AC1579"/>
      <x:c r="AD1579"/>
    </x:row>
    <x:row r="1580">
      <x:c r="A1580" t="str">
        <x:v>PCC-PE-KG01-L23-20251026-AM-ORD-2025-00094-S06-C1</x:v>
      </x:c>
      <x:c r="B1580" t="str">
        <x:v>PC-PE-KG01-L23-20251026-AM-ORD-2025-00094-S06</x:v>
      </x:c>
      <x:c r="C1580" t="str">
        <x:v>PE-KG01-L23-20251026-AM-ORD-2025-00094</x:v>
      </x:c>
      <x:c r="D1580" t="str">
        <x:v>KG01</x:v>
      </x:c>
      <x:c r="E1580" s="62" t="n">
        <x:v>45956</x:v>
      </x:c>
      <x:c r="F1580" t="str">
        <x:v>AM</x:v>
      </x:c>
      <x:c r="G1580" t="str">
        <x:v>C</x:v>
      </x:c>
      <x:c r="H1580" t="n">
        <x:v>23</x:v>
      </x:c>
      <x:c r="I1580" t="str">
        <x:v>ORD-2025-00094</x:v>
      </x:c>
      <x:c r="J1580" t="n">
        <x:v>6</x:v>
      </x:c>
      <x:c r="K1580" t="n">
        <x:v>1</x:v>
      </x:c>
      <x:c r="L1580" t="str">
        <x:v>L23-S06-C1</x:v>
      </x:c>
      <x:c r="M1580" t="n">
        <x:v>1</x:v>
      </x:c>
      <x:c r="N1580" t="str">
        <x:v>DerivedFromCount</x:v>
      </x:c>
      <x:c r="O1580" t="str">
        <x:v>PLC-PRD-JAR-720-L23</x:v>
      </x:c>
      <x:c r="P1580" t="str">
        <x:v>OK</x:v>
      </x:c>
      <x:c r="Q1580" t="str">
        <x:v>OK</x:v>
      </x:c>
      <x:c r="R1580" t="str">
        <x:v>OK</x:v>
      </x:c>
      <x:c r="S1580" t="str">
        <x:v>OK</x:v>
      </x:c>
      <x:c r="T1580" t="n">
        <x:v>24</x:v>
      </x:c>
      <x:c r="U1580" t="str">
        <x:v>OK</x:v>
      </x:c>
      <x:c r="V1580" t="str">
        <x:v>OK</x:v>
      </x:c>
      <x:c r="W1580" t="str">
        <x:v>LOAD</x:v>
      </x:c>
      <x:c r="X1580" t="str">
        <x:v>02_Supervisor_Log(4).xlsx</x:v>
      </x:c>
      <x:c r="Y1580" t="str">
        <x:v>ENH-20260830-01</x:v>
      </x:c>
      <x:c r="Z1580" t="str">
        <x:v>Active</x:v>
      </x:c>
      <x:c r="AA1580"/>
      <x:c r="AB1580"/>
      <x:c r="AC1580"/>
      <x:c r="AD1580"/>
    </x:row>
    <x:row r="1581">
      <x:c r="A1581" t="str">
        <x:v>PCC-PE-KG01-L23-20251026-AM-ORD-2025-00094-S06-C2</x:v>
      </x:c>
      <x:c r="B1581" t="str">
        <x:v>PC-PE-KG01-L23-20251026-AM-ORD-2025-00094-S06</x:v>
      </x:c>
      <x:c r="C1581" t="str">
        <x:v>PE-KG01-L23-20251026-AM-ORD-2025-00094</x:v>
      </x:c>
      <x:c r="D1581" t="str">
        <x:v>KG01</x:v>
      </x:c>
      <x:c r="E1581" s="62" t="n">
        <x:v>45956</x:v>
      </x:c>
      <x:c r="F1581" t="str">
        <x:v>AM</x:v>
      </x:c>
      <x:c r="G1581" t="str">
        <x:v>C</x:v>
      </x:c>
      <x:c r="H1581" t="n">
        <x:v>23</x:v>
      </x:c>
      <x:c r="I1581" t="str">
        <x:v>ORD-2025-00094</x:v>
      </x:c>
      <x:c r="J1581" t="n">
        <x:v>6</x:v>
      </x:c>
      <x:c r="K1581" t="n">
        <x:v>2</x:v>
      </x:c>
      <x:c r="L1581" t="str">
        <x:v>L23-S06-C2</x:v>
      </x:c>
      <x:c r="M1581" t="n">
        <x:v>1</x:v>
      </x:c>
      <x:c r="N1581" t="str">
        <x:v>DerivedFromCount</x:v>
      </x:c>
      <x:c r="O1581" t="str">
        <x:v>PLC-PRD-JAR-720-L23</x:v>
      </x:c>
      <x:c r="P1581" t="str">
        <x:v>OK</x:v>
      </x:c>
      <x:c r="Q1581" t="str">
        <x:v>OK</x:v>
      </x:c>
      <x:c r="R1581" t="str">
        <x:v>OK</x:v>
      </x:c>
      <x:c r="S1581" t="str">
        <x:v>OK</x:v>
      </x:c>
      <x:c r="T1581" t="n">
        <x:v>24</x:v>
      </x:c>
      <x:c r="U1581" t="str">
        <x:v>OK</x:v>
      </x:c>
      <x:c r="V1581" t="str">
        <x:v>OK</x:v>
      </x:c>
      <x:c r="W1581" t="str">
        <x:v>LOAD</x:v>
      </x:c>
      <x:c r="X1581" t="str">
        <x:v>02_Supervisor_Log(4).xlsx</x:v>
      </x:c>
      <x:c r="Y1581" t="str">
        <x:v>ENH-20260830-01</x:v>
      </x:c>
      <x:c r="Z1581" t="str">
        <x:v>Active</x:v>
      </x:c>
      <x:c r="AA1581"/>
      <x:c r="AB1581"/>
      <x:c r="AC1581"/>
      <x:c r="AD1581"/>
    </x:row>
    <x:row r="1582">
      <x:c r="A1582" t="str">
        <x:v>PCC-PE-KG01-L23-20251026-AM-ORD-2025-00094-S06-C3</x:v>
      </x:c>
      <x:c r="B1582" t="str">
        <x:v>PC-PE-KG01-L23-20251026-AM-ORD-2025-00094-S06</x:v>
      </x:c>
      <x:c r="C1582" t="str">
        <x:v>PE-KG01-L23-20251026-AM-ORD-2025-00094</x:v>
      </x:c>
      <x:c r="D1582" t="str">
        <x:v>KG01</x:v>
      </x:c>
      <x:c r="E1582" s="62" t="n">
        <x:v>45956</x:v>
      </x:c>
      <x:c r="F1582" t="str">
        <x:v>AM</x:v>
      </x:c>
      <x:c r="G1582" t="str">
        <x:v>C</x:v>
      </x:c>
      <x:c r="H1582" t="n">
        <x:v>23</x:v>
      </x:c>
      <x:c r="I1582" t="str">
        <x:v>ORD-2025-00094</x:v>
      </x:c>
      <x:c r="J1582" t="n">
        <x:v>6</x:v>
      </x:c>
      <x:c r="K1582" t="n">
        <x:v>3</x:v>
      </x:c>
      <x:c r="L1582" t="str">
        <x:v>L23-S06-C3</x:v>
      </x:c>
      <x:c r="M1582" t="n">
        <x:v>0</x:v>
      </x:c>
      <x:c r="N1582" t="str">
        <x:v>DerivedFromCount</x:v>
      </x:c>
      <x:c r="O1582" t="str">
        <x:v>PLC-PRD-JAR-720-L23</x:v>
      </x:c>
      <x:c r="P1582" t="str">
        <x:v>OK</x:v>
      </x:c>
      <x:c r="Q1582" t="str">
        <x:v>OK</x:v>
      </x:c>
      <x:c r="R1582" t="str">
        <x:v>OK</x:v>
      </x:c>
      <x:c r="S1582" t="str">
        <x:v>OK</x:v>
      </x:c>
      <x:c r="T1582" t="n">
        <x:v>24</x:v>
      </x:c>
      <x:c r="U1582" t="str">
        <x:v>OK</x:v>
      </x:c>
      <x:c r="V1582" t="str">
        <x:v>OK</x:v>
      </x:c>
      <x:c r="W1582" t="str">
        <x:v>LOAD</x:v>
      </x:c>
      <x:c r="X1582" t="str">
        <x:v>02_Supervisor_Log(4).xlsx</x:v>
      </x:c>
      <x:c r="Y1582" t="str">
        <x:v>ENH-20260830-01</x:v>
      </x:c>
      <x:c r="Z1582" t="str">
        <x:v>Active</x:v>
      </x:c>
      <x:c r="AA1582"/>
      <x:c r="AB1582"/>
      <x:c r="AC1582"/>
      <x:c r="AD1582"/>
    </x:row>
    <x:row r="1583">
      <x:c r="A1583" t="str">
        <x:v>PCC-PE-KG01-L23-20251026-AM-ORD-2025-00094-S07-C1</x:v>
      </x:c>
      <x:c r="B1583" t="str">
        <x:v>PC-PE-KG01-L23-20251026-AM-ORD-2025-00094-S07</x:v>
      </x:c>
      <x:c r="C1583" t="str">
        <x:v>PE-KG01-L23-20251026-AM-ORD-2025-00094</x:v>
      </x:c>
      <x:c r="D1583" t="str">
        <x:v>KG01</x:v>
      </x:c>
      <x:c r="E1583" s="62" t="n">
        <x:v>45956</x:v>
      </x:c>
      <x:c r="F1583" t="str">
        <x:v>AM</x:v>
      </x:c>
      <x:c r="G1583" t="str">
        <x:v>C</x:v>
      </x:c>
      <x:c r="H1583" t="n">
        <x:v>23</x:v>
      </x:c>
      <x:c r="I1583" t="str">
        <x:v>ORD-2025-00094</x:v>
      </x:c>
      <x:c r="J1583" t="n">
        <x:v>7</x:v>
      </x:c>
      <x:c r="K1583" t="n">
        <x:v>1</x:v>
      </x:c>
      <x:c r="L1583" t="str">
        <x:v>L23-S07-C1</x:v>
      </x:c>
      <x:c r="M1583" t="n">
        <x:v>1</x:v>
      </x:c>
      <x:c r="N1583" t="str">
        <x:v>DerivedFromCount</x:v>
      </x:c>
      <x:c r="O1583" t="str">
        <x:v>PLC-PRD-JAR-720-L23</x:v>
      </x:c>
      <x:c r="P1583" t="str">
        <x:v>OK</x:v>
      </x:c>
      <x:c r="Q1583" t="str">
        <x:v>OK</x:v>
      </x:c>
      <x:c r="R1583" t="str">
        <x:v>OK</x:v>
      </x:c>
      <x:c r="S1583" t="str">
        <x:v>OK</x:v>
      </x:c>
      <x:c r="T1583" t="n">
        <x:v>24</x:v>
      </x:c>
      <x:c r="U1583" t="str">
        <x:v>OK</x:v>
      </x:c>
      <x:c r="V1583" t="str">
        <x:v>OK</x:v>
      </x:c>
      <x:c r="W1583" t="str">
        <x:v>LOAD</x:v>
      </x:c>
      <x:c r="X1583" t="str">
        <x:v>02_Supervisor_Log(4).xlsx</x:v>
      </x:c>
      <x:c r="Y1583" t="str">
        <x:v>ENH-20260830-01</x:v>
      </x:c>
      <x:c r="Z1583" t="str">
        <x:v>Active</x:v>
      </x:c>
      <x:c r="AA1583"/>
      <x:c r="AB1583"/>
      <x:c r="AC1583"/>
      <x:c r="AD1583"/>
    </x:row>
    <x:row r="1584">
      <x:c r="A1584" t="str">
        <x:v>PCC-PE-KG01-L23-20251026-AM-ORD-2025-00094-S07-C2</x:v>
      </x:c>
      <x:c r="B1584" t="str">
        <x:v>PC-PE-KG01-L23-20251026-AM-ORD-2025-00094-S07</x:v>
      </x:c>
      <x:c r="C1584" t="str">
        <x:v>PE-KG01-L23-20251026-AM-ORD-2025-00094</x:v>
      </x:c>
      <x:c r="D1584" t="str">
        <x:v>KG01</x:v>
      </x:c>
      <x:c r="E1584" s="62" t="n">
        <x:v>45956</x:v>
      </x:c>
      <x:c r="F1584" t="str">
        <x:v>AM</x:v>
      </x:c>
      <x:c r="G1584" t="str">
        <x:v>C</x:v>
      </x:c>
      <x:c r="H1584" t="n">
        <x:v>23</x:v>
      </x:c>
      <x:c r="I1584" t="str">
        <x:v>ORD-2025-00094</x:v>
      </x:c>
      <x:c r="J1584" t="n">
        <x:v>7</x:v>
      </x:c>
      <x:c r="K1584" t="n">
        <x:v>2</x:v>
      </x:c>
      <x:c r="L1584" t="str">
        <x:v>L23-S07-C2</x:v>
      </x:c>
      <x:c r="M1584" t="n">
        <x:v>1</x:v>
      </x:c>
      <x:c r="N1584" t="str">
        <x:v>DerivedFromCount</x:v>
      </x:c>
      <x:c r="O1584" t="str">
        <x:v>PLC-PRD-JAR-720-L23</x:v>
      </x:c>
      <x:c r="P1584" t="str">
        <x:v>OK</x:v>
      </x:c>
      <x:c r="Q1584" t="str">
        <x:v>OK</x:v>
      </x:c>
      <x:c r="R1584" t="str">
        <x:v>OK</x:v>
      </x:c>
      <x:c r="S1584" t="str">
        <x:v>OK</x:v>
      </x:c>
      <x:c r="T1584" t="n">
        <x:v>24</x:v>
      </x:c>
      <x:c r="U1584" t="str">
        <x:v>OK</x:v>
      </x:c>
      <x:c r="V1584" t="str">
        <x:v>OK</x:v>
      </x:c>
      <x:c r="W1584" t="str">
        <x:v>LOAD</x:v>
      </x:c>
      <x:c r="X1584" t="str">
        <x:v>02_Supervisor_Log(4).xlsx</x:v>
      </x:c>
      <x:c r="Y1584" t="str">
        <x:v>ENH-20260830-01</x:v>
      </x:c>
      <x:c r="Z1584" t="str">
        <x:v>Active</x:v>
      </x:c>
      <x:c r="AA1584"/>
      <x:c r="AB1584"/>
      <x:c r="AC1584"/>
      <x:c r="AD1584"/>
    </x:row>
    <x:row r="1585">
      <x:c r="A1585" t="str">
        <x:v>PCC-PE-KG01-L23-20251026-AM-ORD-2025-00094-S07-C3</x:v>
      </x:c>
      <x:c r="B1585" t="str">
        <x:v>PC-PE-KG01-L23-20251026-AM-ORD-2025-00094-S07</x:v>
      </x:c>
      <x:c r="C1585" t="str">
        <x:v>PE-KG01-L23-20251026-AM-ORD-2025-00094</x:v>
      </x:c>
      <x:c r="D1585" t="str">
        <x:v>KG01</x:v>
      </x:c>
      <x:c r="E1585" s="62" t="n">
        <x:v>45956</x:v>
      </x:c>
      <x:c r="F1585" t="str">
        <x:v>AM</x:v>
      </x:c>
      <x:c r="G1585" t="str">
        <x:v>C</x:v>
      </x:c>
      <x:c r="H1585" t="n">
        <x:v>23</x:v>
      </x:c>
      <x:c r="I1585" t="str">
        <x:v>ORD-2025-00094</x:v>
      </x:c>
      <x:c r="J1585" t="n">
        <x:v>7</x:v>
      </x:c>
      <x:c r="K1585" t="n">
        <x:v>3</x:v>
      </x:c>
      <x:c r="L1585" t="str">
        <x:v>L23-S07-C3</x:v>
      </x:c>
      <x:c r="M1585" t="n">
        <x:v>0</x:v>
      </x:c>
      <x:c r="N1585" t="str">
        <x:v>DerivedFromCount</x:v>
      </x:c>
      <x:c r="O1585" t="str">
        <x:v>PLC-PRD-JAR-720-L23</x:v>
      </x:c>
      <x:c r="P1585" t="str">
        <x:v>OK</x:v>
      </x:c>
      <x:c r="Q1585" t="str">
        <x:v>OK</x:v>
      </x:c>
      <x:c r="R1585" t="str">
        <x:v>OK</x:v>
      </x:c>
      <x:c r="S1585" t="str">
        <x:v>OK</x:v>
      </x:c>
      <x:c r="T1585" t="n">
        <x:v>24</x:v>
      </x:c>
      <x:c r="U1585" t="str">
        <x:v>OK</x:v>
      </x:c>
      <x:c r="V1585" t="str">
        <x:v>OK</x:v>
      </x:c>
      <x:c r="W1585" t="str">
        <x:v>LOAD</x:v>
      </x:c>
      <x:c r="X1585" t="str">
        <x:v>02_Supervisor_Log(4).xlsx</x:v>
      </x:c>
      <x:c r="Y1585" t="str">
        <x:v>ENH-20260830-01</x:v>
      </x:c>
      <x:c r="Z1585" t="str">
        <x:v>Active</x:v>
      </x:c>
      <x:c r="AA1585"/>
      <x:c r="AB1585"/>
      <x:c r="AC1585"/>
      <x:c r="AD1585"/>
    </x:row>
    <x:row r="1586">
      <x:c r="A1586" t="str">
        <x:v>PCC-PE-KG01-L23-20251026-AM-ORD-2025-00094-S08-C1</x:v>
      </x:c>
      <x:c r="B1586" t="str">
        <x:v>PC-PE-KG01-L23-20251026-AM-ORD-2025-00094-S08</x:v>
      </x:c>
      <x:c r="C1586" t="str">
        <x:v>PE-KG01-L23-20251026-AM-ORD-2025-00094</x:v>
      </x:c>
      <x:c r="D1586" t="str">
        <x:v>KG01</x:v>
      </x:c>
      <x:c r="E1586" s="62" t="n">
        <x:v>45956</x:v>
      </x:c>
      <x:c r="F1586" t="str">
        <x:v>AM</x:v>
      </x:c>
      <x:c r="G1586" t="str">
        <x:v>C</x:v>
      </x:c>
      <x:c r="H1586" t="n">
        <x:v>23</x:v>
      </x:c>
      <x:c r="I1586" t="str">
        <x:v>ORD-2025-00094</x:v>
      </x:c>
      <x:c r="J1586" t="n">
        <x:v>8</x:v>
      </x:c>
      <x:c r="K1586" t="n">
        <x:v>1</x:v>
      </x:c>
      <x:c r="L1586" t="str">
        <x:v>L23-S08-C1</x:v>
      </x:c>
      <x:c r="M1586" t="n">
        <x:v>1</x:v>
      </x:c>
      <x:c r="N1586" t="str">
        <x:v>DerivedFromCount</x:v>
      </x:c>
      <x:c r="O1586" t="str">
        <x:v>PLC-PRD-JAR-720-L23</x:v>
      </x:c>
      <x:c r="P1586" t="str">
        <x:v>OK</x:v>
      </x:c>
      <x:c r="Q1586" t="str">
        <x:v>OK</x:v>
      </x:c>
      <x:c r="R1586" t="str">
        <x:v>OK</x:v>
      </x:c>
      <x:c r="S1586" t="str">
        <x:v>OK</x:v>
      </x:c>
      <x:c r="T1586" t="n">
        <x:v>24</x:v>
      </x:c>
      <x:c r="U1586" t="str">
        <x:v>OK</x:v>
      </x:c>
      <x:c r="V1586" t="str">
        <x:v>OK</x:v>
      </x:c>
      <x:c r="W1586" t="str">
        <x:v>LOAD</x:v>
      </x:c>
      <x:c r="X1586" t="str">
        <x:v>02_Supervisor_Log(4).xlsx</x:v>
      </x:c>
      <x:c r="Y1586" t="str">
        <x:v>ENH-20260830-01</x:v>
      </x:c>
      <x:c r="Z1586" t="str">
        <x:v>Active</x:v>
      </x:c>
      <x:c r="AA1586"/>
      <x:c r="AB1586"/>
      <x:c r="AC1586"/>
      <x:c r="AD1586"/>
    </x:row>
    <x:row r="1587">
      <x:c r="A1587" t="str">
        <x:v>PCC-PE-KG01-L23-20251026-AM-ORD-2025-00094-S08-C2</x:v>
      </x:c>
      <x:c r="B1587" t="str">
        <x:v>PC-PE-KG01-L23-20251026-AM-ORD-2025-00094-S08</x:v>
      </x:c>
      <x:c r="C1587" t="str">
        <x:v>PE-KG01-L23-20251026-AM-ORD-2025-00094</x:v>
      </x:c>
      <x:c r="D1587" t="str">
        <x:v>KG01</x:v>
      </x:c>
      <x:c r="E1587" s="62" t="n">
        <x:v>45956</x:v>
      </x:c>
      <x:c r="F1587" t="str">
        <x:v>AM</x:v>
      </x:c>
      <x:c r="G1587" t="str">
        <x:v>C</x:v>
      </x:c>
      <x:c r="H1587" t="n">
        <x:v>23</x:v>
      </x:c>
      <x:c r="I1587" t="str">
        <x:v>ORD-2025-00094</x:v>
      </x:c>
      <x:c r="J1587" t="n">
        <x:v>8</x:v>
      </x:c>
      <x:c r="K1587" t="n">
        <x:v>2</x:v>
      </x:c>
      <x:c r="L1587" t="str">
        <x:v>L23-S08-C2</x:v>
      </x:c>
      <x:c r="M1587" t="n">
        <x:v>1</x:v>
      </x:c>
      <x:c r="N1587" t="str">
        <x:v>DerivedFromCount</x:v>
      </x:c>
      <x:c r="O1587" t="str">
        <x:v>PLC-PRD-JAR-720-L23</x:v>
      </x:c>
      <x:c r="P1587" t="str">
        <x:v>OK</x:v>
      </x:c>
      <x:c r="Q1587" t="str">
        <x:v>OK</x:v>
      </x:c>
      <x:c r="R1587" t="str">
        <x:v>OK</x:v>
      </x:c>
      <x:c r="S1587" t="str">
        <x:v>OK</x:v>
      </x:c>
      <x:c r="T1587" t="n">
        <x:v>24</x:v>
      </x:c>
      <x:c r="U1587" t="str">
        <x:v>OK</x:v>
      </x:c>
      <x:c r="V1587" t="str">
        <x:v>OK</x:v>
      </x:c>
      <x:c r="W1587" t="str">
        <x:v>LOAD</x:v>
      </x:c>
      <x:c r="X1587" t="str">
        <x:v>02_Supervisor_Log(4).xlsx</x:v>
      </x:c>
      <x:c r="Y1587" t="str">
        <x:v>ENH-20260830-01</x:v>
      </x:c>
      <x:c r="Z1587" t="str">
        <x:v>Active</x:v>
      </x:c>
      <x:c r="AA1587"/>
      <x:c r="AB1587"/>
      <x:c r="AC1587"/>
      <x:c r="AD1587"/>
    </x:row>
    <x:row r="1588">
      <x:c r="A1588" t="str">
        <x:v>PCC-PE-KG01-L23-20251026-AM-ORD-2025-00094-S08-C3</x:v>
      </x:c>
      <x:c r="B1588" t="str">
        <x:v>PC-PE-KG01-L23-20251026-AM-ORD-2025-00094-S08</x:v>
      </x:c>
      <x:c r="C1588" t="str">
        <x:v>PE-KG01-L23-20251026-AM-ORD-2025-00094</x:v>
      </x:c>
      <x:c r="D1588" t="str">
        <x:v>KG01</x:v>
      </x:c>
      <x:c r="E1588" s="62" t="n">
        <x:v>45956</x:v>
      </x:c>
      <x:c r="F1588" t="str">
        <x:v>AM</x:v>
      </x:c>
      <x:c r="G1588" t="str">
        <x:v>C</x:v>
      </x:c>
      <x:c r="H1588" t="n">
        <x:v>23</x:v>
      </x:c>
      <x:c r="I1588" t="str">
        <x:v>ORD-2025-00094</x:v>
      </x:c>
      <x:c r="J1588" t="n">
        <x:v>8</x:v>
      </x:c>
      <x:c r="K1588" t="n">
        <x:v>3</x:v>
      </x:c>
      <x:c r="L1588" t="str">
        <x:v>L23-S08-C3</x:v>
      </x:c>
      <x:c r="M1588" t="n">
        <x:v>0</x:v>
      </x:c>
      <x:c r="N1588" t="str">
        <x:v>DerivedFromCount</x:v>
      </x:c>
      <x:c r="O1588" t="str">
        <x:v>PLC-PRD-JAR-720-L23</x:v>
      </x:c>
      <x:c r="P1588" t="str">
        <x:v>OK</x:v>
      </x:c>
      <x:c r="Q1588" t="str">
        <x:v>OK</x:v>
      </x:c>
      <x:c r="R1588" t="str">
        <x:v>OK</x:v>
      </x:c>
      <x:c r="S1588" t="str">
        <x:v>OK</x:v>
      </x:c>
      <x:c r="T1588" t="n">
        <x:v>24</x:v>
      </x:c>
      <x:c r="U1588" t="str">
        <x:v>OK</x:v>
      </x:c>
      <x:c r="V1588" t="str">
        <x:v>OK</x:v>
      </x:c>
      <x:c r="W1588" t="str">
        <x:v>LOAD</x:v>
      </x:c>
      <x:c r="X1588" t="str">
        <x:v>02_Supervisor_Log(4).xlsx</x:v>
      </x:c>
      <x:c r="Y1588" t="str">
        <x:v>ENH-20260830-01</x:v>
      </x:c>
      <x:c r="Z1588" t="str">
        <x:v>Active</x:v>
      </x:c>
      <x:c r="AA1588"/>
      <x:c r="AB1588"/>
      <x:c r="AC1588"/>
      <x:c r="AD1588"/>
    </x:row>
    <x:row r="1589">
      <x:c r="A1589" t="str">
        <x:v>PCC-PE-KG01-L23-20251026-AM-ORD-2025-00094-S09-C1</x:v>
      </x:c>
      <x:c r="B1589" t="str">
        <x:v>PC-PE-KG01-L23-20251026-AM-ORD-2025-00094-S09</x:v>
      </x:c>
      <x:c r="C1589" t="str">
        <x:v>PE-KG01-L23-20251026-AM-ORD-2025-00094</x:v>
      </x:c>
      <x:c r="D1589" t="str">
        <x:v>KG01</x:v>
      </x:c>
      <x:c r="E1589" s="62" t="n">
        <x:v>45956</x:v>
      </x:c>
      <x:c r="F1589" t="str">
        <x:v>AM</x:v>
      </x:c>
      <x:c r="G1589" t="str">
        <x:v>C</x:v>
      </x:c>
      <x:c r="H1589" t="n">
        <x:v>23</x:v>
      </x:c>
      <x:c r="I1589" t="str">
        <x:v>ORD-2025-00094</x:v>
      </x:c>
      <x:c r="J1589" t="n">
        <x:v>9</x:v>
      </x:c>
      <x:c r="K1589" t="n">
        <x:v>1</x:v>
      </x:c>
      <x:c r="L1589" t="str">
        <x:v>L23-S09-C1</x:v>
      </x:c>
      <x:c r="M1589" t="n">
        <x:v>1</x:v>
      </x:c>
      <x:c r="N1589" t="str">
        <x:v>DerivedFromCount</x:v>
      </x:c>
      <x:c r="O1589" t="str">
        <x:v>PLC-PRD-JAR-720-L23</x:v>
      </x:c>
      <x:c r="P1589" t="str">
        <x:v>OK</x:v>
      </x:c>
      <x:c r="Q1589" t="str">
        <x:v>OK</x:v>
      </x:c>
      <x:c r="R1589" t="str">
        <x:v>OK</x:v>
      </x:c>
      <x:c r="S1589" t="str">
        <x:v>OK</x:v>
      </x:c>
      <x:c r="T1589" t="n">
        <x:v>24</x:v>
      </x:c>
      <x:c r="U1589" t="str">
        <x:v>OK</x:v>
      </x:c>
      <x:c r="V1589" t="str">
        <x:v>OK</x:v>
      </x:c>
      <x:c r="W1589" t="str">
        <x:v>LOAD</x:v>
      </x:c>
      <x:c r="X1589" t="str">
        <x:v>02_Supervisor_Log(4).xlsx</x:v>
      </x:c>
      <x:c r="Y1589" t="str">
        <x:v>ENH-20260830-01</x:v>
      </x:c>
      <x:c r="Z1589" t="str">
        <x:v>Active</x:v>
      </x:c>
      <x:c r="AA1589"/>
      <x:c r="AB1589"/>
      <x:c r="AC1589"/>
      <x:c r="AD1589"/>
    </x:row>
    <x:row r="1590">
      <x:c r="A1590" t="str">
        <x:v>PCC-PE-KG01-L23-20251026-AM-ORD-2025-00094-S09-C2</x:v>
      </x:c>
      <x:c r="B1590" t="str">
        <x:v>PC-PE-KG01-L23-20251026-AM-ORD-2025-00094-S09</x:v>
      </x:c>
      <x:c r="C1590" t="str">
        <x:v>PE-KG01-L23-20251026-AM-ORD-2025-00094</x:v>
      </x:c>
      <x:c r="D1590" t="str">
        <x:v>KG01</x:v>
      </x:c>
      <x:c r="E1590" s="62" t="n">
        <x:v>45956</x:v>
      </x:c>
      <x:c r="F1590" t="str">
        <x:v>AM</x:v>
      </x:c>
      <x:c r="G1590" t="str">
        <x:v>C</x:v>
      </x:c>
      <x:c r="H1590" t="n">
        <x:v>23</x:v>
      </x:c>
      <x:c r="I1590" t="str">
        <x:v>ORD-2025-00094</x:v>
      </x:c>
      <x:c r="J1590" t="n">
        <x:v>9</x:v>
      </x:c>
      <x:c r="K1590" t="n">
        <x:v>2</x:v>
      </x:c>
      <x:c r="L1590" t="str">
        <x:v>L23-S09-C2</x:v>
      </x:c>
      <x:c r="M1590" t="n">
        <x:v>1</x:v>
      </x:c>
      <x:c r="N1590" t="str">
        <x:v>DerivedFromCount</x:v>
      </x:c>
      <x:c r="O1590" t="str">
        <x:v>PLC-PRD-JAR-720-L23</x:v>
      </x:c>
      <x:c r="P1590" t="str">
        <x:v>OK</x:v>
      </x:c>
      <x:c r="Q1590" t="str">
        <x:v>OK</x:v>
      </x:c>
      <x:c r="R1590" t="str">
        <x:v>OK</x:v>
      </x:c>
      <x:c r="S1590" t="str">
        <x:v>OK</x:v>
      </x:c>
      <x:c r="T1590" t="n">
        <x:v>24</x:v>
      </x:c>
      <x:c r="U1590" t="str">
        <x:v>OK</x:v>
      </x:c>
      <x:c r="V1590" t="str">
        <x:v>OK</x:v>
      </x:c>
      <x:c r="W1590" t="str">
        <x:v>LOAD</x:v>
      </x:c>
      <x:c r="X1590" t="str">
        <x:v>02_Supervisor_Log(4).xlsx</x:v>
      </x:c>
      <x:c r="Y1590" t="str">
        <x:v>ENH-20260830-01</x:v>
      </x:c>
      <x:c r="Z1590" t="str">
        <x:v>Active</x:v>
      </x:c>
      <x:c r="AA1590"/>
      <x:c r="AB1590"/>
      <x:c r="AC1590"/>
      <x:c r="AD1590"/>
    </x:row>
    <x:row r="1591">
      <x:c r="A1591" t="str">
        <x:v>PCC-PE-KG01-L23-20251026-AM-ORD-2025-00094-S09-C3</x:v>
      </x:c>
      <x:c r="B1591" t="str">
        <x:v>PC-PE-KG01-L23-20251026-AM-ORD-2025-00094-S09</x:v>
      </x:c>
      <x:c r="C1591" t="str">
        <x:v>PE-KG01-L23-20251026-AM-ORD-2025-00094</x:v>
      </x:c>
      <x:c r="D1591" t="str">
        <x:v>KG01</x:v>
      </x:c>
      <x:c r="E1591" s="62" t="n">
        <x:v>45956</x:v>
      </x:c>
      <x:c r="F1591" t="str">
        <x:v>AM</x:v>
      </x:c>
      <x:c r="G1591" t="str">
        <x:v>C</x:v>
      </x:c>
      <x:c r="H1591" t="n">
        <x:v>23</x:v>
      </x:c>
      <x:c r="I1591" t="str">
        <x:v>ORD-2025-00094</x:v>
      </x:c>
      <x:c r="J1591" t="n">
        <x:v>9</x:v>
      </x:c>
      <x:c r="K1591" t="n">
        <x:v>3</x:v>
      </x:c>
      <x:c r="L1591" t="str">
        <x:v>L23-S09-C3</x:v>
      </x:c>
      <x:c r="M1591" t="n">
        <x:v>0</x:v>
      </x:c>
      <x:c r="N1591" t="str">
        <x:v>DerivedFromCount</x:v>
      </x:c>
      <x:c r="O1591" t="str">
        <x:v>PLC-PRD-JAR-720-L23</x:v>
      </x:c>
      <x:c r="P1591" t="str">
        <x:v>OK</x:v>
      </x:c>
      <x:c r="Q1591" t="str">
        <x:v>OK</x:v>
      </x:c>
      <x:c r="R1591" t="str">
        <x:v>OK</x:v>
      </x:c>
      <x:c r="S1591" t="str">
        <x:v>OK</x:v>
      </x:c>
      <x:c r="T1591" t="n">
        <x:v>24</x:v>
      </x:c>
      <x:c r="U1591" t="str">
        <x:v>OK</x:v>
      </x:c>
      <x:c r="V1591" t="str">
        <x:v>OK</x:v>
      </x:c>
      <x:c r="W1591" t="str">
        <x:v>LOAD</x:v>
      </x:c>
      <x:c r="X1591" t="str">
        <x:v>02_Supervisor_Log(4).xlsx</x:v>
      </x:c>
      <x:c r="Y1591" t="str">
        <x:v>ENH-20260830-01</x:v>
      </x:c>
      <x:c r="Z1591" t="str">
        <x:v>Active</x:v>
      </x:c>
      <x:c r="AA1591"/>
      <x:c r="AB1591"/>
      <x:c r="AC1591"/>
      <x:c r="AD1591"/>
    </x:row>
    <x:row r="1592">
      <x:c r="A1592" t="str">
        <x:v>PCC-PE-KG01-L23-20251026-AM-ORD-2025-00094-S10-C1</x:v>
      </x:c>
      <x:c r="B1592" t="str">
        <x:v>PC-PE-KG01-L23-20251026-AM-ORD-2025-00094-S10</x:v>
      </x:c>
      <x:c r="C1592" t="str">
        <x:v>PE-KG01-L23-20251026-AM-ORD-2025-00094</x:v>
      </x:c>
      <x:c r="D1592" t="str">
        <x:v>KG01</x:v>
      </x:c>
      <x:c r="E1592" s="62" t="n">
        <x:v>45956</x:v>
      </x:c>
      <x:c r="F1592" t="str">
        <x:v>AM</x:v>
      </x:c>
      <x:c r="G1592" t="str">
        <x:v>C</x:v>
      </x:c>
      <x:c r="H1592" t="n">
        <x:v>23</x:v>
      </x:c>
      <x:c r="I1592" t="str">
        <x:v>ORD-2025-00094</x:v>
      </x:c>
      <x:c r="J1592" t="n">
        <x:v>10</x:v>
      </x:c>
      <x:c r="K1592" t="n">
        <x:v>1</x:v>
      </x:c>
      <x:c r="L1592" t="str">
        <x:v>L23-S10-C1</x:v>
      </x:c>
      <x:c r="M1592" t="n">
        <x:v>1</x:v>
      </x:c>
      <x:c r="N1592" t="str">
        <x:v>DerivedFromCount</x:v>
      </x:c>
      <x:c r="O1592" t="str">
        <x:v>PLC-PRD-JAR-720-L23</x:v>
      </x:c>
      <x:c r="P1592" t="str">
        <x:v>OK</x:v>
      </x:c>
      <x:c r="Q1592" t="str">
        <x:v>OK</x:v>
      </x:c>
      <x:c r="R1592" t="str">
        <x:v>OK</x:v>
      </x:c>
      <x:c r="S1592" t="str">
        <x:v>OK</x:v>
      </x:c>
      <x:c r="T1592" t="n">
        <x:v>24</x:v>
      </x:c>
      <x:c r="U1592" t="str">
        <x:v>OK</x:v>
      </x:c>
      <x:c r="V1592" t="str">
        <x:v>OK</x:v>
      </x:c>
      <x:c r="W1592" t="str">
        <x:v>LOAD</x:v>
      </x:c>
      <x:c r="X1592" t="str">
        <x:v>02_Supervisor_Log(4).xlsx</x:v>
      </x:c>
      <x:c r="Y1592" t="str">
        <x:v>ENH-20260830-01</x:v>
      </x:c>
      <x:c r="Z1592" t="str">
        <x:v>Active</x:v>
      </x:c>
      <x:c r="AA1592"/>
      <x:c r="AB1592"/>
      <x:c r="AC1592"/>
      <x:c r="AD1592"/>
    </x:row>
    <x:row r="1593">
      <x:c r="A1593" t="str">
        <x:v>PCC-PE-KG01-L23-20251026-AM-ORD-2025-00094-S10-C2</x:v>
      </x:c>
      <x:c r="B1593" t="str">
        <x:v>PC-PE-KG01-L23-20251026-AM-ORD-2025-00094-S10</x:v>
      </x:c>
      <x:c r="C1593" t="str">
        <x:v>PE-KG01-L23-20251026-AM-ORD-2025-00094</x:v>
      </x:c>
      <x:c r="D1593" t="str">
        <x:v>KG01</x:v>
      </x:c>
      <x:c r="E1593" s="62" t="n">
        <x:v>45956</x:v>
      </x:c>
      <x:c r="F1593" t="str">
        <x:v>AM</x:v>
      </x:c>
      <x:c r="G1593" t="str">
        <x:v>C</x:v>
      </x:c>
      <x:c r="H1593" t="n">
        <x:v>23</x:v>
      </x:c>
      <x:c r="I1593" t="str">
        <x:v>ORD-2025-00094</x:v>
      </x:c>
      <x:c r="J1593" t="n">
        <x:v>10</x:v>
      </x:c>
      <x:c r="K1593" t="n">
        <x:v>2</x:v>
      </x:c>
      <x:c r="L1593" t="str">
        <x:v>L23-S10-C2</x:v>
      </x:c>
      <x:c r="M1593" t="n">
        <x:v>1</x:v>
      </x:c>
      <x:c r="N1593" t="str">
        <x:v>DerivedFromCount</x:v>
      </x:c>
      <x:c r="O1593" t="str">
        <x:v>PLC-PRD-JAR-720-L23</x:v>
      </x:c>
      <x:c r="P1593" t="str">
        <x:v>OK</x:v>
      </x:c>
      <x:c r="Q1593" t="str">
        <x:v>OK</x:v>
      </x:c>
      <x:c r="R1593" t="str">
        <x:v>OK</x:v>
      </x:c>
      <x:c r="S1593" t="str">
        <x:v>OK</x:v>
      </x:c>
      <x:c r="T1593" t="n">
        <x:v>24</x:v>
      </x:c>
      <x:c r="U1593" t="str">
        <x:v>OK</x:v>
      </x:c>
      <x:c r="V1593" t="str">
        <x:v>OK</x:v>
      </x:c>
      <x:c r="W1593" t="str">
        <x:v>LOAD</x:v>
      </x:c>
      <x:c r="X1593" t="str">
        <x:v>02_Supervisor_Log(4).xlsx</x:v>
      </x:c>
      <x:c r="Y1593" t="str">
        <x:v>ENH-20260830-01</x:v>
      </x:c>
      <x:c r="Z1593" t="str">
        <x:v>Active</x:v>
      </x:c>
      <x:c r="AA1593"/>
      <x:c r="AB1593"/>
      <x:c r="AC1593"/>
      <x:c r="AD1593"/>
    </x:row>
    <x:row r="1594">
      <x:c r="A1594" t="str">
        <x:v>PCC-PE-KG01-L23-20251026-AM-ORD-2025-00094-S10-C3</x:v>
      </x:c>
      <x:c r="B1594" t="str">
        <x:v>PC-PE-KG01-L23-20251026-AM-ORD-2025-00094-S10</x:v>
      </x:c>
      <x:c r="C1594" t="str">
        <x:v>PE-KG01-L23-20251026-AM-ORD-2025-00094</x:v>
      </x:c>
      <x:c r="D1594" t="str">
        <x:v>KG01</x:v>
      </x:c>
      <x:c r="E1594" s="62" t="n">
        <x:v>45956</x:v>
      </x:c>
      <x:c r="F1594" t="str">
        <x:v>AM</x:v>
      </x:c>
      <x:c r="G1594" t="str">
        <x:v>C</x:v>
      </x:c>
      <x:c r="H1594" t="n">
        <x:v>23</x:v>
      </x:c>
      <x:c r="I1594" t="str">
        <x:v>ORD-2025-00094</x:v>
      </x:c>
      <x:c r="J1594" t="n">
        <x:v>10</x:v>
      </x:c>
      <x:c r="K1594" t="n">
        <x:v>3</x:v>
      </x:c>
      <x:c r="L1594" t="str">
        <x:v>L23-S10-C3</x:v>
      </x:c>
      <x:c r="M1594" t="n">
        <x:v>0</x:v>
      </x:c>
      <x:c r="N1594" t="str">
        <x:v>DerivedFromCount</x:v>
      </x:c>
      <x:c r="O1594" t="str">
        <x:v>PLC-PRD-JAR-720-L23</x:v>
      </x:c>
      <x:c r="P1594" t="str">
        <x:v>OK</x:v>
      </x:c>
      <x:c r="Q1594" t="str">
        <x:v>OK</x:v>
      </x:c>
      <x:c r="R1594" t="str">
        <x:v>OK</x:v>
      </x:c>
      <x:c r="S1594" t="str">
        <x:v>OK</x:v>
      </x:c>
      <x:c r="T1594" t="n">
        <x:v>24</x:v>
      </x:c>
      <x:c r="U1594" t="str">
        <x:v>OK</x:v>
      </x:c>
      <x:c r="V1594" t="str">
        <x:v>OK</x:v>
      </x:c>
      <x:c r="W1594" t="str">
        <x:v>LOAD</x:v>
      </x:c>
      <x:c r="X1594" t="str">
        <x:v>02_Supervisor_Log(4).xlsx</x:v>
      </x:c>
      <x:c r="Y1594" t="str">
        <x:v>ENH-20260830-01</x:v>
      </x:c>
      <x:c r="Z1594" t="str">
        <x:v>Active</x:v>
      </x:c>
      <x:c r="AA1594"/>
      <x:c r="AB1594"/>
      <x:c r="AC1594"/>
      <x:c r="AD1594"/>
    </x:row>
    <x:row r="1595">
      <x:c r="A1595" t="str">
        <x:v>PCC-PE-KG01-L23-20251026-AM-ORD-2025-00094-S11-C1</x:v>
      </x:c>
      <x:c r="B1595" t="str">
        <x:v>PC-PE-KG01-L23-20251026-AM-ORD-2025-00094-S11</x:v>
      </x:c>
      <x:c r="C1595" t="str">
        <x:v>PE-KG01-L23-20251026-AM-ORD-2025-00094</x:v>
      </x:c>
      <x:c r="D1595" t="str">
        <x:v>KG01</x:v>
      </x:c>
      <x:c r="E1595" s="62" t="n">
        <x:v>45956</x:v>
      </x:c>
      <x:c r="F1595" t="str">
        <x:v>AM</x:v>
      </x:c>
      <x:c r="G1595" t="str">
        <x:v>C</x:v>
      </x:c>
      <x:c r="H1595" t="n">
        <x:v>23</x:v>
      </x:c>
      <x:c r="I1595" t="str">
        <x:v>ORD-2025-00094</x:v>
      </x:c>
      <x:c r="J1595" t="n">
        <x:v>11</x:v>
      </x:c>
      <x:c r="K1595" t="n">
        <x:v>1</x:v>
      </x:c>
      <x:c r="L1595" t="str">
        <x:v>L23-S11-C1</x:v>
      </x:c>
      <x:c r="M1595" t="n">
        <x:v>1</x:v>
      </x:c>
      <x:c r="N1595" t="str">
        <x:v>DerivedFromCount</x:v>
      </x:c>
      <x:c r="O1595" t="str">
        <x:v>PLC-PRD-JAR-720-L23</x:v>
      </x:c>
      <x:c r="P1595" t="str">
        <x:v>OK</x:v>
      </x:c>
      <x:c r="Q1595" t="str">
        <x:v>OK</x:v>
      </x:c>
      <x:c r="R1595" t="str">
        <x:v>OK</x:v>
      </x:c>
      <x:c r="S1595" t="str">
        <x:v>OK</x:v>
      </x:c>
      <x:c r="T1595" t="n">
        <x:v>24</x:v>
      </x:c>
      <x:c r="U1595" t="str">
        <x:v>OK</x:v>
      </x:c>
      <x:c r="V1595" t="str">
        <x:v>OK</x:v>
      </x:c>
      <x:c r="W1595" t="str">
        <x:v>LOAD</x:v>
      </x:c>
      <x:c r="X1595" t="str">
        <x:v>02_Supervisor_Log(4).xlsx</x:v>
      </x:c>
      <x:c r="Y1595" t="str">
        <x:v>ENH-20260830-01</x:v>
      </x:c>
      <x:c r="Z1595" t="str">
        <x:v>Active</x:v>
      </x:c>
      <x:c r="AA1595"/>
      <x:c r="AB1595"/>
      <x:c r="AC1595"/>
      <x:c r="AD1595"/>
    </x:row>
    <x:row r="1596">
      <x:c r="A1596" t="str">
        <x:v>PCC-PE-KG01-L23-20251026-AM-ORD-2025-00094-S11-C2</x:v>
      </x:c>
      <x:c r="B1596" t="str">
        <x:v>PC-PE-KG01-L23-20251026-AM-ORD-2025-00094-S11</x:v>
      </x:c>
      <x:c r="C1596" t="str">
        <x:v>PE-KG01-L23-20251026-AM-ORD-2025-00094</x:v>
      </x:c>
      <x:c r="D1596" t="str">
        <x:v>KG01</x:v>
      </x:c>
      <x:c r="E1596" s="62" t="n">
        <x:v>45956</x:v>
      </x:c>
      <x:c r="F1596" t="str">
        <x:v>AM</x:v>
      </x:c>
      <x:c r="G1596" t="str">
        <x:v>C</x:v>
      </x:c>
      <x:c r="H1596" t="n">
        <x:v>23</x:v>
      </x:c>
      <x:c r="I1596" t="str">
        <x:v>ORD-2025-00094</x:v>
      </x:c>
      <x:c r="J1596" t="n">
        <x:v>11</x:v>
      </x:c>
      <x:c r="K1596" t="n">
        <x:v>2</x:v>
      </x:c>
      <x:c r="L1596" t="str">
        <x:v>L23-S11-C2</x:v>
      </x:c>
      <x:c r="M1596" t="n">
        <x:v>1</x:v>
      </x:c>
      <x:c r="N1596" t="str">
        <x:v>DerivedFromCount</x:v>
      </x:c>
      <x:c r="O1596" t="str">
        <x:v>PLC-PRD-JAR-720-L23</x:v>
      </x:c>
      <x:c r="P1596" t="str">
        <x:v>OK</x:v>
      </x:c>
      <x:c r="Q1596" t="str">
        <x:v>OK</x:v>
      </x:c>
      <x:c r="R1596" t="str">
        <x:v>OK</x:v>
      </x:c>
      <x:c r="S1596" t="str">
        <x:v>OK</x:v>
      </x:c>
      <x:c r="T1596" t="n">
        <x:v>24</x:v>
      </x:c>
      <x:c r="U1596" t="str">
        <x:v>OK</x:v>
      </x:c>
      <x:c r="V1596" t="str">
        <x:v>OK</x:v>
      </x:c>
      <x:c r="W1596" t="str">
        <x:v>LOAD</x:v>
      </x:c>
      <x:c r="X1596" t="str">
        <x:v>02_Supervisor_Log(4).xlsx</x:v>
      </x:c>
      <x:c r="Y1596" t="str">
        <x:v>ENH-20260830-01</x:v>
      </x:c>
      <x:c r="Z1596" t="str">
        <x:v>Active</x:v>
      </x:c>
      <x:c r="AA1596"/>
      <x:c r="AB1596"/>
      <x:c r="AC1596"/>
      <x:c r="AD1596"/>
    </x:row>
    <x:row r="1597">
      <x:c r="A1597" t="str">
        <x:v>PCC-PE-KG01-L23-20251026-AM-ORD-2025-00094-S11-C3</x:v>
      </x:c>
      <x:c r="B1597" t="str">
        <x:v>PC-PE-KG01-L23-20251026-AM-ORD-2025-00094-S11</x:v>
      </x:c>
      <x:c r="C1597" t="str">
        <x:v>PE-KG01-L23-20251026-AM-ORD-2025-00094</x:v>
      </x:c>
      <x:c r="D1597" t="str">
        <x:v>KG01</x:v>
      </x:c>
      <x:c r="E1597" s="62" t="n">
        <x:v>45956</x:v>
      </x:c>
      <x:c r="F1597" t="str">
        <x:v>AM</x:v>
      </x:c>
      <x:c r="G1597" t="str">
        <x:v>C</x:v>
      </x:c>
      <x:c r="H1597" t="n">
        <x:v>23</x:v>
      </x:c>
      <x:c r="I1597" t="str">
        <x:v>ORD-2025-00094</x:v>
      </x:c>
      <x:c r="J1597" t="n">
        <x:v>11</x:v>
      </x:c>
      <x:c r="K1597" t="n">
        <x:v>3</x:v>
      </x:c>
      <x:c r="L1597" t="str">
        <x:v>L23-S11-C3</x:v>
      </x:c>
      <x:c r="M1597" t="n">
        <x:v>0</x:v>
      </x:c>
      <x:c r="N1597" t="str">
        <x:v>DerivedFromCount</x:v>
      </x:c>
      <x:c r="O1597" t="str">
        <x:v>PLC-PRD-JAR-720-L23</x:v>
      </x:c>
      <x:c r="P1597" t="str">
        <x:v>OK</x:v>
      </x:c>
      <x:c r="Q1597" t="str">
        <x:v>OK</x:v>
      </x:c>
      <x:c r="R1597" t="str">
        <x:v>OK</x:v>
      </x:c>
      <x:c r="S1597" t="str">
        <x:v>OK</x:v>
      </x:c>
      <x:c r="T1597" t="n">
        <x:v>24</x:v>
      </x:c>
      <x:c r="U1597" t="str">
        <x:v>OK</x:v>
      </x:c>
      <x:c r="V1597" t="str">
        <x:v>OK</x:v>
      </x:c>
      <x:c r="W1597" t="str">
        <x:v>LOAD</x:v>
      </x:c>
      <x:c r="X1597" t="str">
        <x:v>02_Supervisor_Log(4).xlsx</x:v>
      </x:c>
      <x:c r="Y1597" t="str">
        <x:v>ENH-20260830-01</x:v>
      </x:c>
      <x:c r="Z1597" t="str">
        <x:v>Active</x:v>
      </x:c>
      <x:c r="AA1597"/>
      <x:c r="AB1597"/>
      <x:c r="AC1597"/>
      <x:c r="AD1597"/>
    </x:row>
    <x:row r="1598">
      <x:c r="A1598" t="str">
        <x:v>PCC-PE-KG01-L23-20251026-AM-ORD-2025-00094-S12-C1</x:v>
      </x:c>
      <x:c r="B1598" t="str">
        <x:v>PC-PE-KG01-L23-20251026-AM-ORD-2025-00094-S12</x:v>
      </x:c>
      <x:c r="C1598" t="str">
        <x:v>PE-KG01-L23-20251026-AM-ORD-2025-00094</x:v>
      </x:c>
      <x:c r="D1598" t="str">
        <x:v>KG01</x:v>
      </x:c>
      <x:c r="E1598" s="62" t="n">
        <x:v>45956</x:v>
      </x:c>
      <x:c r="F1598" t="str">
        <x:v>AM</x:v>
      </x:c>
      <x:c r="G1598" t="str">
        <x:v>C</x:v>
      </x:c>
      <x:c r="H1598" t="n">
        <x:v>23</x:v>
      </x:c>
      <x:c r="I1598" t="str">
        <x:v>ORD-2025-00094</x:v>
      </x:c>
      <x:c r="J1598" t="n">
        <x:v>12</x:v>
      </x:c>
      <x:c r="K1598" t="n">
        <x:v>1</x:v>
      </x:c>
      <x:c r="L1598" t="str">
        <x:v>L23-S12-C1</x:v>
      </x:c>
      <x:c r="M1598" t="n">
        <x:v>1</x:v>
      </x:c>
      <x:c r="N1598" t="str">
        <x:v>DerivedFromCount</x:v>
      </x:c>
      <x:c r="O1598" t="str">
        <x:v>PLC-PRD-JAR-720-L23</x:v>
      </x:c>
      <x:c r="P1598" t="str">
        <x:v>OK</x:v>
      </x:c>
      <x:c r="Q1598" t="str">
        <x:v>OK</x:v>
      </x:c>
      <x:c r="R1598" t="str">
        <x:v>OK</x:v>
      </x:c>
      <x:c r="S1598" t="str">
        <x:v>OK</x:v>
      </x:c>
      <x:c r="T1598" t="n">
        <x:v>24</x:v>
      </x:c>
      <x:c r="U1598" t="str">
        <x:v>OK</x:v>
      </x:c>
      <x:c r="V1598" t="str">
        <x:v>OK</x:v>
      </x:c>
      <x:c r="W1598" t="str">
        <x:v>LOAD</x:v>
      </x:c>
      <x:c r="X1598" t="str">
        <x:v>02_Supervisor_Log(4).xlsx</x:v>
      </x:c>
      <x:c r="Y1598" t="str">
        <x:v>ENH-20260830-01</x:v>
      </x:c>
      <x:c r="Z1598" t="str">
        <x:v>Active</x:v>
      </x:c>
      <x:c r="AA1598"/>
      <x:c r="AB1598"/>
      <x:c r="AC1598"/>
      <x:c r="AD1598"/>
    </x:row>
    <x:row r="1599">
      <x:c r="A1599" t="str">
        <x:v>PCC-PE-KG01-L23-20251026-AM-ORD-2025-00094-S12-C2</x:v>
      </x:c>
      <x:c r="B1599" t="str">
        <x:v>PC-PE-KG01-L23-20251026-AM-ORD-2025-00094-S12</x:v>
      </x:c>
      <x:c r="C1599" t="str">
        <x:v>PE-KG01-L23-20251026-AM-ORD-2025-00094</x:v>
      </x:c>
      <x:c r="D1599" t="str">
        <x:v>KG01</x:v>
      </x:c>
      <x:c r="E1599" s="62" t="n">
        <x:v>45956</x:v>
      </x:c>
      <x:c r="F1599" t="str">
        <x:v>AM</x:v>
      </x:c>
      <x:c r="G1599" t="str">
        <x:v>C</x:v>
      </x:c>
      <x:c r="H1599" t="n">
        <x:v>23</x:v>
      </x:c>
      <x:c r="I1599" t="str">
        <x:v>ORD-2025-00094</x:v>
      </x:c>
      <x:c r="J1599" t="n">
        <x:v>12</x:v>
      </x:c>
      <x:c r="K1599" t="n">
        <x:v>2</x:v>
      </x:c>
      <x:c r="L1599" t="str">
        <x:v>L23-S12-C2</x:v>
      </x:c>
      <x:c r="M1599" t="n">
        <x:v>1</x:v>
      </x:c>
      <x:c r="N1599" t="str">
        <x:v>DerivedFromCount</x:v>
      </x:c>
      <x:c r="O1599" t="str">
        <x:v>PLC-PRD-JAR-720-L23</x:v>
      </x:c>
      <x:c r="P1599" t="str">
        <x:v>OK</x:v>
      </x:c>
      <x:c r="Q1599" t="str">
        <x:v>OK</x:v>
      </x:c>
      <x:c r="R1599" t="str">
        <x:v>OK</x:v>
      </x:c>
      <x:c r="S1599" t="str">
        <x:v>OK</x:v>
      </x:c>
      <x:c r="T1599" t="n">
        <x:v>24</x:v>
      </x:c>
      <x:c r="U1599" t="str">
        <x:v>OK</x:v>
      </x:c>
      <x:c r="V1599" t="str">
        <x:v>OK</x:v>
      </x:c>
      <x:c r="W1599" t="str">
        <x:v>LOAD</x:v>
      </x:c>
      <x:c r="X1599" t="str">
        <x:v>02_Supervisor_Log(4).xlsx</x:v>
      </x:c>
      <x:c r="Y1599" t="str">
        <x:v>ENH-20260830-01</x:v>
      </x:c>
      <x:c r="Z1599" t="str">
        <x:v>Active</x:v>
      </x:c>
      <x:c r="AA1599"/>
      <x:c r="AB1599"/>
      <x:c r="AC1599"/>
      <x:c r="AD1599"/>
    </x:row>
    <x:row r="1600">
      <x:c r="A1600" t="str">
        <x:v>PCC-PE-KG01-L23-20251026-AM-ORD-2025-00094-S12-C3</x:v>
      </x:c>
      <x:c r="B1600" t="str">
        <x:v>PC-PE-KG01-L23-20251026-AM-ORD-2025-00094-S12</x:v>
      </x:c>
      <x:c r="C1600" t="str">
        <x:v>PE-KG01-L23-20251026-AM-ORD-2025-00094</x:v>
      </x:c>
      <x:c r="D1600" t="str">
        <x:v>KG01</x:v>
      </x:c>
      <x:c r="E1600" s="62" t="n">
        <x:v>45956</x:v>
      </x:c>
      <x:c r="F1600" t="str">
        <x:v>AM</x:v>
      </x:c>
      <x:c r="G1600" t="str">
        <x:v>C</x:v>
      </x:c>
      <x:c r="H1600" t="n">
        <x:v>23</x:v>
      </x:c>
      <x:c r="I1600" t="str">
        <x:v>ORD-2025-00094</x:v>
      </x:c>
      <x:c r="J1600" t="n">
        <x:v>12</x:v>
      </x:c>
      <x:c r="K1600" t="n">
        <x:v>3</x:v>
      </x:c>
      <x:c r="L1600" t="str">
        <x:v>L23-S12-C3</x:v>
      </x:c>
      <x:c r="M1600" t="n">
        <x:v>0</x:v>
      </x:c>
      <x:c r="N1600" t="str">
        <x:v>DerivedFromCount</x:v>
      </x:c>
      <x:c r="O1600" t="str">
        <x:v>PLC-PRD-JAR-720-L23</x:v>
      </x:c>
      <x:c r="P1600" t="str">
        <x:v>OK</x:v>
      </x:c>
      <x:c r="Q1600" t="str">
        <x:v>OK</x:v>
      </x:c>
      <x:c r="R1600" t="str">
        <x:v>OK</x:v>
      </x:c>
      <x:c r="S1600" t="str">
        <x:v>OK</x:v>
      </x:c>
      <x:c r="T1600" t="n">
        <x:v>24</x:v>
      </x:c>
      <x:c r="U1600" t="str">
        <x:v>OK</x:v>
      </x:c>
      <x:c r="V1600" t="str">
        <x:v>OK</x:v>
      </x:c>
      <x:c r="W1600" t="str">
        <x:v>LOAD</x:v>
      </x:c>
      <x:c r="X1600" t="str">
        <x:v>02_Supervisor_Log(4).xlsx</x:v>
      </x:c>
      <x:c r="Y1600" t="str">
        <x:v>ENH-20260830-01</x:v>
      </x:c>
      <x:c r="Z1600" t="str">
        <x:v>Active</x:v>
      </x:c>
      <x:c r="AA1600"/>
      <x:c r="AB1600"/>
      <x:c r="AC1600"/>
      <x:c r="AD1600"/>
    </x:row>
    <x:row r="1601">
      <x:c r="A1601" t="str">
        <x:v>PCC-PE-KG01-L23-20251026-AM-ORD-2025-00094-S13-C1</x:v>
      </x:c>
      <x:c r="B1601" t="str">
        <x:v>PC-PE-KG01-L23-20251026-AM-ORD-2025-00094-S13</x:v>
      </x:c>
      <x:c r="C1601" t="str">
        <x:v>PE-KG01-L23-20251026-AM-ORD-2025-00094</x:v>
      </x:c>
      <x:c r="D1601" t="str">
        <x:v>KG01</x:v>
      </x:c>
      <x:c r="E1601" s="62" t="n">
        <x:v>45956</x:v>
      </x:c>
      <x:c r="F1601" t="str">
        <x:v>AM</x:v>
      </x:c>
      <x:c r="G1601" t="str">
        <x:v>C</x:v>
      </x:c>
      <x:c r="H1601" t="n">
        <x:v>23</x:v>
      </x:c>
      <x:c r="I1601" t="str">
        <x:v>ORD-2025-00094</x:v>
      </x:c>
      <x:c r="J1601" t="n">
        <x:v>13</x:v>
      </x:c>
      <x:c r="K1601" t="n">
        <x:v>1</x:v>
      </x:c>
      <x:c r="L1601" t="str">
        <x:v>L23-S13-C1</x:v>
      </x:c>
      <x:c r="M1601" t="n">
        <x:v>0</x:v>
      </x:c>
      <x:c r="N1601" t="str">
        <x:v>DerivedFromCount</x:v>
      </x:c>
      <x:c r="O1601" t="str">
        <x:v>PLC-PRD-JAR-720-L23</x:v>
      </x:c>
      <x:c r="P1601" t="str">
        <x:v>OK</x:v>
      </x:c>
      <x:c r="Q1601" t="str">
        <x:v>OK</x:v>
      </x:c>
      <x:c r="R1601" t="str">
        <x:v>OK</x:v>
      </x:c>
      <x:c r="S1601" t="str">
        <x:v>OK</x:v>
      </x:c>
      <x:c r="T1601" t="n">
        <x:v>24</x:v>
      </x:c>
      <x:c r="U1601" t="str">
        <x:v>OK</x:v>
      </x:c>
      <x:c r="V1601" t="str">
        <x:v>OK</x:v>
      </x:c>
      <x:c r="W1601" t="str">
        <x:v>LOAD</x:v>
      </x:c>
      <x:c r="X1601" t="str">
        <x:v>02_Supervisor_Log(4).xlsx</x:v>
      </x:c>
      <x:c r="Y1601" t="str">
        <x:v>ENH-20260830-01</x:v>
      </x:c>
      <x:c r="Z1601" t="str">
        <x:v>Active</x:v>
      </x:c>
      <x:c r="AA1601"/>
      <x:c r="AB1601"/>
      <x:c r="AC1601"/>
      <x:c r="AD1601"/>
    </x:row>
    <x:row r="1602">
      <x:c r="A1602" t="str">
        <x:v>PCC-PE-KG01-L23-20251026-AM-ORD-2025-00094-S13-C2</x:v>
      </x:c>
      <x:c r="B1602" t="str">
        <x:v>PC-PE-KG01-L23-20251026-AM-ORD-2025-00094-S13</x:v>
      </x:c>
      <x:c r="C1602" t="str">
        <x:v>PE-KG01-L23-20251026-AM-ORD-2025-00094</x:v>
      </x:c>
      <x:c r="D1602" t="str">
        <x:v>KG01</x:v>
      </x:c>
      <x:c r="E1602" s="62" t="n">
        <x:v>45956</x:v>
      </x:c>
      <x:c r="F1602" t="str">
        <x:v>AM</x:v>
      </x:c>
      <x:c r="G1602" t="str">
        <x:v>C</x:v>
      </x:c>
      <x:c r="H1602" t="n">
        <x:v>23</x:v>
      </x:c>
      <x:c r="I1602" t="str">
        <x:v>ORD-2025-00094</x:v>
      </x:c>
      <x:c r="J1602" t="n">
        <x:v>13</x:v>
      </x:c>
      <x:c r="K1602" t="n">
        <x:v>2</x:v>
      </x:c>
      <x:c r="L1602" t="str">
        <x:v>L23-S13-C2</x:v>
      </x:c>
      <x:c r="M1602" t="n">
        <x:v>0</x:v>
      </x:c>
      <x:c r="N1602" t="str">
        <x:v>DerivedFromCount</x:v>
      </x:c>
      <x:c r="O1602" t="str">
        <x:v>PLC-PRD-JAR-720-L23</x:v>
      </x:c>
      <x:c r="P1602" t="str">
        <x:v>OK</x:v>
      </x:c>
      <x:c r="Q1602" t="str">
        <x:v>OK</x:v>
      </x:c>
      <x:c r="R1602" t="str">
        <x:v>OK</x:v>
      </x:c>
      <x:c r="S1602" t="str">
        <x:v>OK</x:v>
      </x:c>
      <x:c r="T1602" t="n">
        <x:v>24</x:v>
      </x:c>
      <x:c r="U1602" t="str">
        <x:v>OK</x:v>
      </x:c>
      <x:c r="V1602" t="str">
        <x:v>OK</x:v>
      </x:c>
      <x:c r="W1602" t="str">
        <x:v>LOAD</x:v>
      </x:c>
      <x:c r="X1602" t="str">
        <x:v>02_Supervisor_Log(4).xlsx</x:v>
      </x:c>
      <x:c r="Y1602" t="str">
        <x:v>ENH-20260830-01</x:v>
      </x:c>
      <x:c r="Z1602" t="str">
        <x:v>Active</x:v>
      </x:c>
      <x:c r="AA1602"/>
      <x:c r="AB1602"/>
      <x:c r="AC1602"/>
      <x:c r="AD1602"/>
    </x:row>
    <x:row r="1603">
      <x:c r="A1603" t="str">
        <x:v>PCC-PE-KG01-L23-20251026-AM-ORD-2025-00094-S13-C3</x:v>
      </x:c>
      <x:c r="B1603" t="str">
        <x:v>PC-PE-KG01-L23-20251026-AM-ORD-2025-00094-S13</x:v>
      </x:c>
      <x:c r="C1603" t="str">
        <x:v>PE-KG01-L23-20251026-AM-ORD-2025-00094</x:v>
      </x:c>
      <x:c r="D1603" t="str">
        <x:v>KG01</x:v>
      </x:c>
      <x:c r="E1603" s="62" t="n">
        <x:v>45956</x:v>
      </x:c>
      <x:c r="F1603" t="str">
        <x:v>AM</x:v>
      </x:c>
      <x:c r="G1603" t="str">
        <x:v>C</x:v>
      </x:c>
      <x:c r="H1603" t="n">
        <x:v>23</x:v>
      </x:c>
      <x:c r="I1603" t="str">
        <x:v>ORD-2025-00094</x:v>
      </x:c>
      <x:c r="J1603" t="n">
        <x:v>13</x:v>
      </x:c>
      <x:c r="K1603" t="n">
        <x:v>3</x:v>
      </x:c>
      <x:c r="L1603" t="str">
        <x:v>L23-S13-C3</x:v>
      </x:c>
      <x:c r="M1603" t="n">
        <x:v>0</x:v>
      </x:c>
      <x:c r="N1603" t="str">
        <x:v>DerivedFromCount</x:v>
      </x:c>
      <x:c r="O1603" t="str">
        <x:v>PLC-PRD-JAR-720-L23</x:v>
      </x:c>
      <x:c r="P1603" t="str">
        <x:v>OK</x:v>
      </x:c>
      <x:c r="Q1603" t="str">
        <x:v>OK</x:v>
      </x:c>
      <x:c r="R1603" t="str">
        <x:v>OK</x:v>
      </x:c>
      <x:c r="S1603" t="str">
        <x:v>OK</x:v>
      </x:c>
      <x:c r="T1603" t="n">
        <x:v>24</x:v>
      </x:c>
      <x:c r="U1603" t="str">
        <x:v>OK</x:v>
      </x:c>
      <x:c r="V1603" t="str">
        <x:v>OK</x:v>
      </x:c>
      <x:c r="W1603" t="str">
        <x:v>LOAD</x:v>
      </x:c>
      <x:c r="X1603" t="str">
        <x:v>02_Supervisor_Log(4).xlsx</x:v>
      </x:c>
      <x:c r="Y1603" t="str">
        <x:v>ENH-20260830-01</x:v>
      </x:c>
      <x:c r="Z1603" t="str">
        <x:v>Active</x:v>
      </x:c>
      <x:c r="AA1603"/>
      <x:c r="AB1603"/>
      <x:c r="AC1603"/>
      <x:c r="AD1603"/>
    </x:row>
    <x:row r="1604">
      <x:c r="A1604" t="str">
        <x:v>PCC-PE-KG01-L23-20251026-PM-ORD-2025-00094-S01-C1</x:v>
      </x:c>
      <x:c r="B1604" t="str">
        <x:v>PC-PE-KG01-L23-20251026-PM-ORD-2025-00094-S01</x:v>
      </x:c>
      <x:c r="C1604" t="str">
        <x:v>PE-KG01-L23-20251026-PM-ORD-2025-00094</x:v>
      </x:c>
      <x:c r="D1604" t="str">
        <x:v>KG01</x:v>
      </x:c>
      <x:c r="E1604" s="62" t="n">
        <x:v>45956</x:v>
      </x:c>
      <x:c r="F1604" t="str">
        <x:v>PM</x:v>
      </x:c>
      <x:c r="G1604" t="str">
        <x:v>A</x:v>
      </x:c>
      <x:c r="H1604" t="n">
        <x:v>23</x:v>
      </x:c>
      <x:c r="I1604" t="str">
        <x:v>ORD-2025-00094</x:v>
      </x:c>
      <x:c r="J1604" t="n">
        <x:v>1</x:v>
      </x:c>
      <x:c r="K1604" t="n">
        <x:v>1</x:v>
      </x:c>
      <x:c r="L1604" t="str">
        <x:v>L23-S01-C1</x:v>
      </x:c>
      <x:c r="M1604" t="n">
        <x:v>1</x:v>
      </x:c>
      <x:c r="N1604" t="str">
        <x:v>DerivedFromCount</x:v>
      </x:c>
      <x:c r="O1604" t="str">
        <x:v>PLC-PRD-JAR-720-L23</x:v>
      </x:c>
      <x:c r="P1604" t="str">
        <x:v>OK</x:v>
      </x:c>
      <x:c r="Q1604" t="str">
        <x:v>OK</x:v>
      </x:c>
      <x:c r="R1604" t="str">
        <x:v>OK</x:v>
      </x:c>
      <x:c r="S1604" t="str">
        <x:v>OK</x:v>
      </x:c>
      <x:c r="T1604" t="n">
        <x:v>24</x:v>
      </x:c>
      <x:c r="U1604" t="str">
        <x:v>OK</x:v>
      </x:c>
      <x:c r="V1604" t="str">
        <x:v>OK</x:v>
      </x:c>
      <x:c r="W1604" t="str">
        <x:v>LOAD</x:v>
      </x:c>
      <x:c r="X1604" t="str">
        <x:v>02_Supervisor_Log(4).xlsx</x:v>
      </x:c>
      <x:c r="Y1604" t="str">
        <x:v>ENH-20260830-01</x:v>
      </x:c>
      <x:c r="Z1604" t="str">
        <x:v>Active</x:v>
      </x:c>
      <x:c r="AA1604"/>
      <x:c r="AB1604"/>
      <x:c r="AC1604"/>
      <x:c r="AD1604"/>
    </x:row>
    <x:row r="1605">
      <x:c r="A1605" t="str">
        <x:v>PCC-PE-KG01-L23-20251026-PM-ORD-2025-00094-S01-C2</x:v>
      </x:c>
      <x:c r="B1605" t="str">
        <x:v>PC-PE-KG01-L23-20251026-PM-ORD-2025-00094-S01</x:v>
      </x:c>
      <x:c r="C1605" t="str">
        <x:v>PE-KG01-L23-20251026-PM-ORD-2025-00094</x:v>
      </x:c>
      <x:c r="D1605" t="str">
        <x:v>KG01</x:v>
      </x:c>
      <x:c r="E1605" s="62" t="n">
        <x:v>45956</x:v>
      </x:c>
      <x:c r="F1605" t="str">
        <x:v>PM</x:v>
      </x:c>
      <x:c r="G1605" t="str">
        <x:v>A</x:v>
      </x:c>
      <x:c r="H1605" t="n">
        <x:v>23</x:v>
      </x:c>
      <x:c r="I1605" t="str">
        <x:v>ORD-2025-00094</x:v>
      </x:c>
      <x:c r="J1605" t="n">
        <x:v>1</x:v>
      </x:c>
      <x:c r="K1605" t="n">
        <x:v>2</x:v>
      </x:c>
      <x:c r="L1605" t="str">
        <x:v>L23-S01-C2</x:v>
      </x:c>
      <x:c r="M1605" t="n">
        <x:v>1</x:v>
      </x:c>
      <x:c r="N1605" t="str">
        <x:v>DerivedFromCount</x:v>
      </x:c>
      <x:c r="O1605" t="str">
        <x:v>PLC-PRD-JAR-720-L23</x:v>
      </x:c>
      <x:c r="P1605" t="str">
        <x:v>OK</x:v>
      </x:c>
      <x:c r="Q1605" t="str">
        <x:v>OK</x:v>
      </x:c>
      <x:c r="R1605" t="str">
        <x:v>OK</x:v>
      </x:c>
      <x:c r="S1605" t="str">
        <x:v>OK</x:v>
      </x:c>
      <x:c r="T1605" t="n">
        <x:v>24</x:v>
      </x:c>
      <x:c r="U1605" t="str">
        <x:v>OK</x:v>
      </x:c>
      <x:c r="V1605" t="str">
        <x:v>OK</x:v>
      </x:c>
      <x:c r="W1605" t="str">
        <x:v>LOAD</x:v>
      </x:c>
      <x:c r="X1605" t="str">
        <x:v>02_Supervisor_Log(4).xlsx</x:v>
      </x:c>
      <x:c r="Y1605" t="str">
        <x:v>ENH-20260830-01</x:v>
      </x:c>
      <x:c r="Z1605" t="str">
        <x:v>Active</x:v>
      </x:c>
      <x:c r="AA1605"/>
      <x:c r="AB1605"/>
      <x:c r="AC1605"/>
      <x:c r="AD1605"/>
    </x:row>
    <x:row r="1606">
      <x:c r="A1606" t="str">
        <x:v>PCC-PE-KG01-L23-20251026-PM-ORD-2025-00094-S01-C3</x:v>
      </x:c>
      <x:c r="B1606" t="str">
        <x:v>PC-PE-KG01-L23-20251026-PM-ORD-2025-00094-S01</x:v>
      </x:c>
      <x:c r="C1606" t="str">
        <x:v>PE-KG01-L23-20251026-PM-ORD-2025-00094</x:v>
      </x:c>
      <x:c r="D1606" t="str">
        <x:v>KG01</x:v>
      </x:c>
      <x:c r="E1606" s="62" t="n">
        <x:v>45956</x:v>
      </x:c>
      <x:c r="F1606" t="str">
        <x:v>PM</x:v>
      </x:c>
      <x:c r="G1606" t="str">
        <x:v>A</x:v>
      </x:c>
      <x:c r="H1606" t="n">
        <x:v>23</x:v>
      </x:c>
      <x:c r="I1606" t="str">
        <x:v>ORD-2025-00094</x:v>
      </x:c>
      <x:c r="J1606" t="n">
        <x:v>1</x:v>
      </x:c>
      <x:c r="K1606" t="n">
        <x:v>3</x:v>
      </x:c>
      <x:c r="L1606" t="str">
        <x:v>L23-S01-C3</x:v>
      </x:c>
      <x:c r="M1606" t="n">
        <x:v>0</x:v>
      </x:c>
      <x:c r="N1606" t="str">
        <x:v>DerivedFromCount</x:v>
      </x:c>
      <x:c r="O1606" t="str">
        <x:v>PLC-PRD-JAR-720-L23</x:v>
      </x:c>
      <x:c r="P1606" t="str">
        <x:v>OK</x:v>
      </x:c>
      <x:c r="Q1606" t="str">
        <x:v>OK</x:v>
      </x:c>
      <x:c r="R1606" t="str">
        <x:v>OK</x:v>
      </x:c>
      <x:c r="S1606" t="str">
        <x:v>OK</x:v>
      </x:c>
      <x:c r="T1606" t="n">
        <x:v>24</x:v>
      </x:c>
      <x:c r="U1606" t="str">
        <x:v>OK</x:v>
      </x:c>
      <x:c r="V1606" t="str">
        <x:v>OK</x:v>
      </x:c>
      <x:c r="W1606" t="str">
        <x:v>LOAD</x:v>
      </x:c>
      <x:c r="X1606" t="str">
        <x:v>02_Supervisor_Log(4).xlsx</x:v>
      </x:c>
      <x:c r="Y1606" t="str">
        <x:v>ENH-20260830-01</x:v>
      </x:c>
      <x:c r="Z1606" t="str">
        <x:v>Active</x:v>
      </x:c>
      <x:c r="AA1606"/>
      <x:c r="AB1606"/>
      <x:c r="AC1606"/>
      <x:c r="AD1606"/>
    </x:row>
    <x:row r="1607">
      <x:c r="A1607" t="str">
        <x:v>PCC-PE-KG01-L23-20251026-PM-ORD-2025-00094-S02-C1</x:v>
      </x:c>
      <x:c r="B1607" t="str">
        <x:v>PC-PE-KG01-L23-20251026-PM-ORD-2025-00094-S02</x:v>
      </x:c>
      <x:c r="C1607" t="str">
        <x:v>PE-KG01-L23-20251026-PM-ORD-2025-00094</x:v>
      </x:c>
      <x:c r="D1607" t="str">
        <x:v>KG01</x:v>
      </x:c>
      <x:c r="E1607" s="62" t="n">
        <x:v>45956</x:v>
      </x:c>
      <x:c r="F1607" t="str">
        <x:v>PM</x:v>
      </x:c>
      <x:c r="G1607" t="str">
        <x:v>A</x:v>
      </x:c>
      <x:c r="H1607" t="n">
        <x:v>23</x:v>
      </x:c>
      <x:c r="I1607" t="str">
        <x:v>ORD-2025-00094</x:v>
      </x:c>
      <x:c r="J1607" t="n">
        <x:v>2</x:v>
      </x:c>
      <x:c r="K1607" t="n">
        <x:v>1</x:v>
      </x:c>
      <x:c r="L1607" t="str">
        <x:v>L23-S02-C1</x:v>
      </x:c>
      <x:c r="M1607" t="n">
        <x:v>1</x:v>
      </x:c>
      <x:c r="N1607" t="str">
        <x:v>DerivedFromCount</x:v>
      </x:c>
      <x:c r="O1607" t="str">
        <x:v>PLC-PRD-JAR-720-L23</x:v>
      </x:c>
      <x:c r="P1607" t="str">
        <x:v>OK</x:v>
      </x:c>
      <x:c r="Q1607" t="str">
        <x:v>OK</x:v>
      </x:c>
      <x:c r="R1607" t="str">
        <x:v>OK</x:v>
      </x:c>
      <x:c r="S1607" t="str">
        <x:v>OK</x:v>
      </x:c>
      <x:c r="T1607" t="n">
        <x:v>24</x:v>
      </x:c>
      <x:c r="U1607" t="str">
        <x:v>OK</x:v>
      </x:c>
      <x:c r="V1607" t="str">
        <x:v>OK</x:v>
      </x:c>
      <x:c r="W1607" t="str">
        <x:v>LOAD</x:v>
      </x:c>
      <x:c r="X1607" t="str">
        <x:v>02_Supervisor_Log(4).xlsx</x:v>
      </x:c>
      <x:c r="Y1607" t="str">
        <x:v>ENH-20260830-01</x:v>
      </x:c>
      <x:c r="Z1607" t="str">
        <x:v>Active</x:v>
      </x:c>
      <x:c r="AA1607"/>
      <x:c r="AB1607"/>
      <x:c r="AC1607"/>
      <x:c r="AD1607"/>
    </x:row>
    <x:row r="1608">
      <x:c r="A1608" t="str">
        <x:v>PCC-PE-KG01-L23-20251026-PM-ORD-2025-00094-S02-C2</x:v>
      </x:c>
      <x:c r="B1608" t="str">
        <x:v>PC-PE-KG01-L23-20251026-PM-ORD-2025-00094-S02</x:v>
      </x:c>
      <x:c r="C1608" t="str">
        <x:v>PE-KG01-L23-20251026-PM-ORD-2025-00094</x:v>
      </x:c>
      <x:c r="D1608" t="str">
        <x:v>KG01</x:v>
      </x:c>
      <x:c r="E1608" s="62" t="n">
        <x:v>45956</x:v>
      </x:c>
      <x:c r="F1608" t="str">
        <x:v>PM</x:v>
      </x:c>
      <x:c r="G1608" t="str">
        <x:v>A</x:v>
      </x:c>
      <x:c r="H1608" t="n">
        <x:v>23</x:v>
      </x:c>
      <x:c r="I1608" t="str">
        <x:v>ORD-2025-00094</x:v>
      </x:c>
      <x:c r="J1608" t="n">
        <x:v>2</x:v>
      </x:c>
      <x:c r="K1608" t="n">
        <x:v>2</x:v>
      </x:c>
      <x:c r="L1608" t="str">
        <x:v>L23-S02-C2</x:v>
      </x:c>
      <x:c r="M1608" t="n">
        <x:v>1</x:v>
      </x:c>
      <x:c r="N1608" t="str">
        <x:v>DerivedFromCount</x:v>
      </x:c>
      <x:c r="O1608" t="str">
        <x:v>PLC-PRD-JAR-720-L23</x:v>
      </x:c>
      <x:c r="P1608" t="str">
        <x:v>OK</x:v>
      </x:c>
      <x:c r="Q1608" t="str">
        <x:v>OK</x:v>
      </x:c>
      <x:c r="R1608" t="str">
        <x:v>OK</x:v>
      </x:c>
      <x:c r="S1608" t="str">
        <x:v>OK</x:v>
      </x:c>
      <x:c r="T1608" t="n">
        <x:v>24</x:v>
      </x:c>
      <x:c r="U1608" t="str">
        <x:v>OK</x:v>
      </x:c>
      <x:c r="V1608" t="str">
        <x:v>OK</x:v>
      </x:c>
      <x:c r="W1608" t="str">
        <x:v>LOAD</x:v>
      </x:c>
      <x:c r="X1608" t="str">
        <x:v>02_Supervisor_Log(4).xlsx</x:v>
      </x:c>
      <x:c r="Y1608" t="str">
        <x:v>ENH-20260830-01</x:v>
      </x:c>
      <x:c r="Z1608" t="str">
        <x:v>Active</x:v>
      </x:c>
      <x:c r="AA1608"/>
      <x:c r="AB1608"/>
      <x:c r="AC1608"/>
      <x:c r="AD1608"/>
    </x:row>
    <x:row r="1609">
      <x:c r="A1609" t="str">
        <x:v>PCC-PE-KG01-L23-20251026-PM-ORD-2025-00094-S02-C3</x:v>
      </x:c>
      <x:c r="B1609" t="str">
        <x:v>PC-PE-KG01-L23-20251026-PM-ORD-2025-00094-S02</x:v>
      </x:c>
      <x:c r="C1609" t="str">
        <x:v>PE-KG01-L23-20251026-PM-ORD-2025-00094</x:v>
      </x:c>
      <x:c r="D1609" t="str">
        <x:v>KG01</x:v>
      </x:c>
      <x:c r="E1609" s="62" t="n">
        <x:v>45956</x:v>
      </x:c>
      <x:c r="F1609" t="str">
        <x:v>PM</x:v>
      </x:c>
      <x:c r="G1609" t="str">
        <x:v>A</x:v>
      </x:c>
      <x:c r="H1609" t="n">
        <x:v>23</x:v>
      </x:c>
      <x:c r="I1609" t="str">
        <x:v>ORD-2025-00094</x:v>
      </x:c>
      <x:c r="J1609" t="n">
        <x:v>2</x:v>
      </x:c>
      <x:c r="K1609" t="n">
        <x:v>3</x:v>
      </x:c>
      <x:c r="L1609" t="str">
        <x:v>L23-S02-C3</x:v>
      </x:c>
      <x:c r="M1609" t="n">
        <x:v>0</x:v>
      </x:c>
      <x:c r="N1609" t="str">
        <x:v>DerivedFromCount</x:v>
      </x:c>
      <x:c r="O1609" t="str">
        <x:v>PLC-PRD-JAR-720-L23</x:v>
      </x:c>
      <x:c r="P1609" t="str">
        <x:v>OK</x:v>
      </x:c>
      <x:c r="Q1609" t="str">
        <x:v>OK</x:v>
      </x:c>
      <x:c r="R1609" t="str">
        <x:v>OK</x:v>
      </x:c>
      <x:c r="S1609" t="str">
        <x:v>OK</x:v>
      </x:c>
      <x:c r="T1609" t="n">
        <x:v>24</x:v>
      </x:c>
      <x:c r="U1609" t="str">
        <x:v>OK</x:v>
      </x:c>
      <x:c r="V1609" t="str">
        <x:v>OK</x:v>
      </x:c>
      <x:c r="W1609" t="str">
        <x:v>LOAD</x:v>
      </x:c>
      <x:c r="X1609" t="str">
        <x:v>02_Supervisor_Log(4).xlsx</x:v>
      </x:c>
      <x:c r="Y1609" t="str">
        <x:v>ENH-20260830-01</x:v>
      </x:c>
      <x:c r="Z1609" t="str">
        <x:v>Active</x:v>
      </x:c>
      <x:c r="AA1609"/>
      <x:c r="AB1609"/>
      <x:c r="AC1609"/>
      <x:c r="AD1609"/>
    </x:row>
    <x:row r="1610">
      <x:c r="A1610" t="str">
        <x:v>PCC-PE-KG01-L23-20251026-PM-ORD-2025-00094-S03-C1</x:v>
      </x:c>
      <x:c r="B1610" t="str">
        <x:v>PC-PE-KG01-L23-20251026-PM-ORD-2025-00094-S03</x:v>
      </x:c>
      <x:c r="C1610" t="str">
        <x:v>PE-KG01-L23-20251026-PM-ORD-2025-00094</x:v>
      </x:c>
      <x:c r="D1610" t="str">
        <x:v>KG01</x:v>
      </x:c>
      <x:c r="E1610" s="62" t="n">
        <x:v>45956</x:v>
      </x:c>
      <x:c r="F1610" t="str">
        <x:v>PM</x:v>
      </x:c>
      <x:c r="G1610" t="str">
        <x:v>A</x:v>
      </x:c>
      <x:c r="H1610" t="n">
        <x:v>23</x:v>
      </x:c>
      <x:c r="I1610" t="str">
        <x:v>ORD-2025-00094</x:v>
      </x:c>
      <x:c r="J1610" t="n">
        <x:v>3</x:v>
      </x:c>
      <x:c r="K1610" t="n">
        <x:v>1</x:v>
      </x:c>
      <x:c r="L1610" t="str">
        <x:v>L23-S03-C1</x:v>
      </x:c>
      <x:c r="M1610" t="n">
        <x:v>1</x:v>
      </x:c>
      <x:c r="N1610" t="str">
        <x:v>DerivedFromCount</x:v>
      </x:c>
      <x:c r="O1610" t="str">
        <x:v>PLC-PRD-JAR-720-L23</x:v>
      </x:c>
      <x:c r="P1610" t="str">
        <x:v>OK</x:v>
      </x:c>
      <x:c r="Q1610" t="str">
        <x:v>OK</x:v>
      </x:c>
      <x:c r="R1610" t="str">
        <x:v>OK</x:v>
      </x:c>
      <x:c r="S1610" t="str">
        <x:v>OK</x:v>
      </x:c>
      <x:c r="T1610" t="n">
        <x:v>24</x:v>
      </x:c>
      <x:c r="U1610" t="str">
        <x:v>OK</x:v>
      </x:c>
      <x:c r="V1610" t="str">
        <x:v>OK</x:v>
      </x:c>
      <x:c r="W1610" t="str">
        <x:v>LOAD</x:v>
      </x:c>
      <x:c r="X1610" t="str">
        <x:v>02_Supervisor_Log(4).xlsx</x:v>
      </x:c>
      <x:c r="Y1610" t="str">
        <x:v>ENH-20260830-01</x:v>
      </x:c>
      <x:c r="Z1610" t="str">
        <x:v>Active</x:v>
      </x:c>
      <x:c r="AA1610"/>
      <x:c r="AB1610"/>
      <x:c r="AC1610"/>
      <x:c r="AD1610"/>
    </x:row>
    <x:row r="1611">
      <x:c r="A1611" t="str">
        <x:v>PCC-PE-KG01-L23-20251026-PM-ORD-2025-00094-S03-C2</x:v>
      </x:c>
      <x:c r="B1611" t="str">
        <x:v>PC-PE-KG01-L23-20251026-PM-ORD-2025-00094-S03</x:v>
      </x:c>
      <x:c r="C1611" t="str">
        <x:v>PE-KG01-L23-20251026-PM-ORD-2025-00094</x:v>
      </x:c>
      <x:c r="D1611" t="str">
        <x:v>KG01</x:v>
      </x:c>
      <x:c r="E1611" s="62" t="n">
        <x:v>45956</x:v>
      </x:c>
      <x:c r="F1611" t="str">
        <x:v>PM</x:v>
      </x:c>
      <x:c r="G1611" t="str">
        <x:v>A</x:v>
      </x:c>
      <x:c r="H1611" t="n">
        <x:v>23</x:v>
      </x:c>
      <x:c r="I1611" t="str">
        <x:v>ORD-2025-00094</x:v>
      </x:c>
      <x:c r="J1611" t="n">
        <x:v>3</x:v>
      </x:c>
      <x:c r="K1611" t="n">
        <x:v>2</x:v>
      </x:c>
      <x:c r="L1611" t="str">
        <x:v>L23-S03-C2</x:v>
      </x:c>
      <x:c r="M1611" t="n">
        <x:v>1</x:v>
      </x:c>
      <x:c r="N1611" t="str">
        <x:v>DerivedFromCount</x:v>
      </x:c>
      <x:c r="O1611" t="str">
        <x:v>PLC-PRD-JAR-720-L23</x:v>
      </x:c>
      <x:c r="P1611" t="str">
        <x:v>OK</x:v>
      </x:c>
      <x:c r="Q1611" t="str">
        <x:v>OK</x:v>
      </x:c>
      <x:c r="R1611" t="str">
        <x:v>OK</x:v>
      </x:c>
      <x:c r="S1611" t="str">
        <x:v>OK</x:v>
      </x:c>
      <x:c r="T1611" t="n">
        <x:v>24</x:v>
      </x:c>
      <x:c r="U1611" t="str">
        <x:v>OK</x:v>
      </x:c>
      <x:c r="V1611" t="str">
        <x:v>OK</x:v>
      </x:c>
      <x:c r="W1611" t="str">
        <x:v>LOAD</x:v>
      </x:c>
      <x:c r="X1611" t="str">
        <x:v>02_Supervisor_Log(4).xlsx</x:v>
      </x:c>
      <x:c r="Y1611" t="str">
        <x:v>ENH-20260830-01</x:v>
      </x:c>
      <x:c r="Z1611" t="str">
        <x:v>Active</x:v>
      </x:c>
      <x:c r="AA1611"/>
      <x:c r="AB1611"/>
      <x:c r="AC1611"/>
      <x:c r="AD1611"/>
    </x:row>
    <x:row r="1612">
      <x:c r="A1612" t="str">
        <x:v>PCC-PE-KG01-L23-20251026-PM-ORD-2025-00094-S03-C3</x:v>
      </x:c>
      <x:c r="B1612" t="str">
        <x:v>PC-PE-KG01-L23-20251026-PM-ORD-2025-00094-S03</x:v>
      </x:c>
      <x:c r="C1612" t="str">
        <x:v>PE-KG01-L23-20251026-PM-ORD-2025-00094</x:v>
      </x:c>
      <x:c r="D1612" t="str">
        <x:v>KG01</x:v>
      </x:c>
      <x:c r="E1612" s="62" t="n">
        <x:v>45956</x:v>
      </x:c>
      <x:c r="F1612" t="str">
        <x:v>PM</x:v>
      </x:c>
      <x:c r="G1612" t="str">
        <x:v>A</x:v>
      </x:c>
      <x:c r="H1612" t="n">
        <x:v>23</x:v>
      </x:c>
      <x:c r="I1612" t="str">
        <x:v>ORD-2025-00094</x:v>
      </x:c>
      <x:c r="J1612" t="n">
        <x:v>3</x:v>
      </x:c>
      <x:c r="K1612" t="n">
        <x:v>3</x:v>
      </x:c>
      <x:c r="L1612" t="str">
        <x:v>L23-S03-C3</x:v>
      </x:c>
      <x:c r="M1612" t="n">
        <x:v>0</x:v>
      </x:c>
      <x:c r="N1612" t="str">
        <x:v>DerivedFromCount</x:v>
      </x:c>
      <x:c r="O1612" t="str">
        <x:v>PLC-PRD-JAR-720-L23</x:v>
      </x:c>
      <x:c r="P1612" t="str">
        <x:v>OK</x:v>
      </x:c>
      <x:c r="Q1612" t="str">
        <x:v>OK</x:v>
      </x:c>
      <x:c r="R1612" t="str">
        <x:v>OK</x:v>
      </x:c>
      <x:c r="S1612" t="str">
        <x:v>OK</x:v>
      </x:c>
      <x:c r="T1612" t="n">
        <x:v>24</x:v>
      </x:c>
      <x:c r="U1612" t="str">
        <x:v>OK</x:v>
      </x:c>
      <x:c r="V1612" t="str">
        <x:v>OK</x:v>
      </x:c>
      <x:c r="W1612" t="str">
        <x:v>LOAD</x:v>
      </x:c>
      <x:c r="X1612" t="str">
        <x:v>02_Supervisor_Log(4).xlsx</x:v>
      </x:c>
      <x:c r="Y1612" t="str">
        <x:v>ENH-20260830-01</x:v>
      </x:c>
      <x:c r="Z1612" t="str">
        <x:v>Active</x:v>
      </x:c>
      <x:c r="AA1612"/>
      <x:c r="AB1612"/>
      <x:c r="AC1612"/>
      <x:c r="AD1612"/>
    </x:row>
    <x:row r="1613">
      <x:c r="A1613" t="str">
        <x:v>PCC-PE-KG01-L23-20251026-PM-ORD-2025-00094-S04-C1</x:v>
      </x:c>
      <x:c r="B1613" t="str">
        <x:v>PC-PE-KG01-L23-20251026-PM-ORD-2025-00094-S04</x:v>
      </x:c>
      <x:c r="C1613" t="str">
        <x:v>PE-KG01-L23-20251026-PM-ORD-2025-00094</x:v>
      </x:c>
      <x:c r="D1613" t="str">
        <x:v>KG01</x:v>
      </x:c>
      <x:c r="E1613" s="62" t="n">
        <x:v>45956</x:v>
      </x:c>
      <x:c r="F1613" t="str">
        <x:v>PM</x:v>
      </x:c>
      <x:c r="G1613" t="str">
        <x:v>A</x:v>
      </x:c>
      <x:c r="H1613" t="n">
        <x:v>23</x:v>
      </x:c>
      <x:c r="I1613" t="str">
        <x:v>ORD-2025-00094</x:v>
      </x:c>
      <x:c r="J1613" t="n">
        <x:v>4</x:v>
      </x:c>
      <x:c r="K1613" t="n">
        <x:v>1</x:v>
      </x:c>
      <x:c r="L1613" t="str">
        <x:v>L23-S04-C1</x:v>
      </x:c>
      <x:c r="M1613" t="n">
        <x:v>1</x:v>
      </x:c>
      <x:c r="N1613" t="str">
        <x:v>DerivedFromCount</x:v>
      </x:c>
      <x:c r="O1613" t="str">
        <x:v>PLC-PRD-JAR-720-L23</x:v>
      </x:c>
      <x:c r="P1613" t="str">
        <x:v>OK</x:v>
      </x:c>
      <x:c r="Q1613" t="str">
        <x:v>OK</x:v>
      </x:c>
      <x:c r="R1613" t="str">
        <x:v>OK</x:v>
      </x:c>
      <x:c r="S1613" t="str">
        <x:v>OK</x:v>
      </x:c>
      <x:c r="T1613" t="n">
        <x:v>24</x:v>
      </x:c>
      <x:c r="U1613" t="str">
        <x:v>OK</x:v>
      </x:c>
      <x:c r="V1613" t="str">
        <x:v>OK</x:v>
      </x:c>
      <x:c r="W1613" t="str">
        <x:v>LOAD</x:v>
      </x:c>
      <x:c r="X1613" t="str">
        <x:v>02_Supervisor_Log(4).xlsx</x:v>
      </x:c>
      <x:c r="Y1613" t="str">
        <x:v>ENH-20260830-01</x:v>
      </x:c>
      <x:c r="Z1613" t="str">
        <x:v>Active</x:v>
      </x:c>
      <x:c r="AA1613"/>
      <x:c r="AB1613"/>
      <x:c r="AC1613"/>
      <x:c r="AD1613"/>
    </x:row>
    <x:row r="1614">
      <x:c r="A1614" t="str">
        <x:v>PCC-PE-KG01-L23-20251026-PM-ORD-2025-00094-S04-C2</x:v>
      </x:c>
      <x:c r="B1614" t="str">
        <x:v>PC-PE-KG01-L23-20251026-PM-ORD-2025-00094-S04</x:v>
      </x:c>
      <x:c r="C1614" t="str">
        <x:v>PE-KG01-L23-20251026-PM-ORD-2025-00094</x:v>
      </x:c>
      <x:c r="D1614" t="str">
        <x:v>KG01</x:v>
      </x:c>
      <x:c r="E1614" s="62" t="n">
        <x:v>45956</x:v>
      </x:c>
      <x:c r="F1614" t="str">
        <x:v>PM</x:v>
      </x:c>
      <x:c r="G1614" t="str">
        <x:v>A</x:v>
      </x:c>
      <x:c r="H1614" t="n">
        <x:v>23</x:v>
      </x:c>
      <x:c r="I1614" t="str">
        <x:v>ORD-2025-00094</x:v>
      </x:c>
      <x:c r="J1614" t="n">
        <x:v>4</x:v>
      </x:c>
      <x:c r="K1614" t="n">
        <x:v>2</x:v>
      </x:c>
      <x:c r="L1614" t="str">
        <x:v>L23-S04-C2</x:v>
      </x:c>
      <x:c r="M1614" t="n">
        <x:v>1</x:v>
      </x:c>
      <x:c r="N1614" t="str">
        <x:v>DerivedFromCount</x:v>
      </x:c>
      <x:c r="O1614" t="str">
        <x:v>PLC-PRD-JAR-720-L23</x:v>
      </x:c>
      <x:c r="P1614" t="str">
        <x:v>OK</x:v>
      </x:c>
      <x:c r="Q1614" t="str">
        <x:v>OK</x:v>
      </x:c>
      <x:c r="R1614" t="str">
        <x:v>OK</x:v>
      </x:c>
      <x:c r="S1614" t="str">
        <x:v>OK</x:v>
      </x:c>
      <x:c r="T1614" t="n">
        <x:v>24</x:v>
      </x:c>
      <x:c r="U1614" t="str">
        <x:v>OK</x:v>
      </x:c>
      <x:c r="V1614" t="str">
        <x:v>OK</x:v>
      </x:c>
      <x:c r="W1614" t="str">
        <x:v>LOAD</x:v>
      </x:c>
      <x:c r="X1614" t="str">
        <x:v>02_Supervisor_Log(4).xlsx</x:v>
      </x:c>
      <x:c r="Y1614" t="str">
        <x:v>ENH-20260830-01</x:v>
      </x:c>
      <x:c r="Z1614" t="str">
        <x:v>Active</x:v>
      </x:c>
      <x:c r="AA1614"/>
      <x:c r="AB1614"/>
      <x:c r="AC1614"/>
      <x:c r="AD1614"/>
    </x:row>
    <x:row r="1615">
      <x:c r="A1615" t="str">
        <x:v>PCC-PE-KG01-L23-20251026-PM-ORD-2025-00094-S04-C3</x:v>
      </x:c>
      <x:c r="B1615" t="str">
        <x:v>PC-PE-KG01-L23-20251026-PM-ORD-2025-00094-S04</x:v>
      </x:c>
      <x:c r="C1615" t="str">
        <x:v>PE-KG01-L23-20251026-PM-ORD-2025-00094</x:v>
      </x:c>
      <x:c r="D1615" t="str">
        <x:v>KG01</x:v>
      </x:c>
      <x:c r="E1615" s="62" t="n">
        <x:v>45956</x:v>
      </x:c>
      <x:c r="F1615" t="str">
        <x:v>PM</x:v>
      </x:c>
      <x:c r="G1615" t="str">
        <x:v>A</x:v>
      </x:c>
      <x:c r="H1615" t="n">
        <x:v>23</x:v>
      </x:c>
      <x:c r="I1615" t="str">
        <x:v>ORD-2025-00094</x:v>
      </x:c>
      <x:c r="J1615" t="n">
        <x:v>4</x:v>
      </x:c>
      <x:c r="K1615" t="n">
        <x:v>3</x:v>
      </x:c>
      <x:c r="L1615" t="str">
        <x:v>L23-S04-C3</x:v>
      </x:c>
      <x:c r="M1615" t="n">
        <x:v>0</x:v>
      </x:c>
      <x:c r="N1615" t="str">
        <x:v>DerivedFromCount</x:v>
      </x:c>
      <x:c r="O1615" t="str">
        <x:v>PLC-PRD-JAR-720-L23</x:v>
      </x:c>
      <x:c r="P1615" t="str">
        <x:v>OK</x:v>
      </x:c>
      <x:c r="Q1615" t="str">
        <x:v>OK</x:v>
      </x:c>
      <x:c r="R1615" t="str">
        <x:v>OK</x:v>
      </x:c>
      <x:c r="S1615" t="str">
        <x:v>OK</x:v>
      </x:c>
      <x:c r="T1615" t="n">
        <x:v>24</x:v>
      </x:c>
      <x:c r="U1615" t="str">
        <x:v>OK</x:v>
      </x:c>
      <x:c r="V1615" t="str">
        <x:v>OK</x:v>
      </x:c>
      <x:c r="W1615" t="str">
        <x:v>LOAD</x:v>
      </x:c>
      <x:c r="X1615" t="str">
        <x:v>02_Supervisor_Log(4).xlsx</x:v>
      </x:c>
      <x:c r="Y1615" t="str">
        <x:v>ENH-20260830-01</x:v>
      </x:c>
      <x:c r="Z1615" t="str">
        <x:v>Active</x:v>
      </x:c>
      <x:c r="AA1615"/>
      <x:c r="AB1615"/>
      <x:c r="AC1615"/>
      <x:c r="AD1615"/>
    </x:row>
    <x:row r="1616">
      <x:c r="A1616" t="str">
        <x:v>PCC-PE-KG01-L23-20251026-PM-ORD-2025-00094-S05-C1</x:v>
      </x:c>
      <x:c r="B1616" t="str">
        <x:v>PC-PE-KG01-L23-20251026-PM-ORD-2025-00094-S05</x:v>
      </x:c>
      <x:c r="C1616" t="str">
        <x:v>PE-KG01-L23-20251026-PM-ORD-2025-00094</x:v>
      </x:c>
      <x:c r="D1616" t="str">
        <x:v>KG01</x:v>
      </x:c>
      <x:c r="E1616" s="62" t="n">
        <x:v>45956</x:v>
      </x:c>
      <x:c r="F1616" t="str">
        <x:v>PM</x:v>
      </x:c>
      <x:c r="G1616" t="str">
        <x:v>A</x:v>
      </x:c>
      <x:c r="H1616" t="n">
        <x:v>23</x:v>
      </x:c>
      <x:c r="I1616" t="str">
        <x:v>ORD-2025-00094</x:v>
      </x:c>
      <x:c r="J1616" t="n">
        <x:v>5</x:v>
      </x:c>
      <x:c r="K1616" t="n">
        <x:v>1</x:v>
      </x:c>
      <x:c r="L1616" t="str">
        <x:v>L23-S05-C1</x:v>
      </x:c>
      <x:c r="M1616" t="n">
        <x:v>1</x:v>
      </x:c>
      <x:c r="N1616" t="str">
        <x:v>DerivedFromCount</x:v>
      </x:c>
      <x:c r="O1616" t="str">
        <x:v>PLC-PRD-JAR-720-L23</x:v>
      </x:c>
      <x:c r="P1616" t="str">
        <x:v>OK</x:v>
      </x:c>
      <x:c r="Q1616" t="str">
        <x:v>OK</x:v>
      </x:c>
      <x:c r="R1616" t="str">
        <x:v>OK</x:v>
      </x:c>
      <x:c r="S1616" t="str">
        <x:v>OK</x:v>
      </x:c>
      <x:c r="T1616" t="n">
        <x:v>24</x:v>
      </x:c>
      <x:c r="U1616" t="str">
        <x:v>OK</x:v>
      </x:c>
      <x:c r="V1616" t="str">
        <x:v>OK</x:v>
      </x:c>
      <x:c r="W1616" t="str">
        <x:v>LOAD</x:v>
      </x:c>
      <x:c r="X1616" t="str">
        <x:v>02_Supervisor_Log(4).xlsx</x:v>
      </x:c>
      <x:c r="Y1616" t="str">
        <x:v>ENH-20260830-01</x:v>
      </x:c>
      <x:c r="Z1616" t="str">
        <x:v>Active</x:v>
      </x:c>
      <x:c r="AA1616"/>
      <x:c r="AB1616"/>
      <x:c r="AC1616"/>
      <x:c r="AD1616"/>
    </x:row>
    <x:row r="1617">
      <x:c r="A1617" t="str">
        <x:v>PCC-PE-KG01-L23-20251026-PM-ORD-2025-00094-S05-C2</x:v>
      </x:c>
      <x:c r="B1617" t="str">
        <x:v>PC-PE-KG01-L23-20251026-PM-ORD-2025-00094-S05</x:v>
      </x:c>
      <x:c r="C1617" t="str">
        <x:v>PE-KG01-L23-20251026-PM-ORD-2025-00094</x:v>
      </x:c>
      <x:c r="D1617" t="str">
        <x:v>KG01</x:v>
      </x:c>
      <x:c r="E1617" s="62" t="n">
        <x:v>45956</x:v>
      </x:c>
      <x:c r="F1617" t="str">
        <x:v>PM</x:v>
      </x:c>
      <x:c r="G1617" t="str">
        <x:v>A</x:v>
      </x:c>
      <x:c r="H1617" t="n">
        <x:v>23</x:v>
      </x:c>
      <x:c r="I1617" t="str">
        <x:v>ORD-2025-00094</x:v>
      </x:c>
      <x:c r="J1617" t="n">
        <x:v>5</x:v>
      </x:c>
      <x:c r="K1617" t="n">
        <x:v>2</x:v>
      </x:c>
      <x:c r="L1617" t="str">
        <x:v>L23-S05-C2</x:v>
      </x:c>
      <x:c r="M1617" t="n">
        <x:v>1</x:v>
      </x:c>
      <x:c r="N1617" t="str">
        <x:v>DerivedFromCount</x:v>
      </x:c>
      <x:c r="O1617" t="str">
        <x:v>PLC-PRD-JAR-720-L23</x:v>
      </x:c>
      <x:c r="P1617" t="str">
        <x:v>OK</x:v>
      </x:c>
      <x:c r="Q1617" t="str">
        <x:v>OK</x:v>
      </x:c>
      <x:c r="R1617" t="str">
        <x:v>OK</x:v>
      </x:c>
      <x:c r="S1617" t="str">
        <x:v>OK</x:v>
      </x:c>
      <x:c r="T1617" t="n">
        <x:v>24</x:v>
      </x:c>
      <x:c r="U1617" t="str">
        <x:v>OK</x:v>
      </x:c>
      <x:c r="V1617" t="str">
        <x:v>OK</x:v>
      </x:c>
      <x:c r="W1617" t="str">
        <x:v>LOAD</x:v>
      </x:c>
      <x:c r="X1617" t="str">
        <x:v>02_Supervisor_Log(4).xlsx</x:v>
      </x:c>
      <x:c r="Y1617" t="str">
        <x:v>ENH-20260830-01</x:v>
      </x:c>
      <x:c r="Z1617" t="str">
        <x:v>Active</x:v>
      </x:c>
      <x:c r="AA1617"/>
      <x:c r="AB1617"/>
      <x:c r="AC1617"/>
      <x:c r="AD1617"/>
    </x:row>
    <x:row r="1618">
      <x:c r="A1618" t="str">
        <x:v>PCC-PE-KG01-L23-20251026-PM-ORD-2025-00094-S05-C3</x:v>
      </x:c>
      <x:c r="B1618" t="str">
        <x:v>PC-PE-KG01-L23-20251026-PM-ORD-2025-00094-S05</x:v>
      </x:c>
      <x:c r="C1618" t="str">
        <x:v>PE-KG01-L23-20251026-PM-ORD-2025-00094</x:v>
      </x:c>
      <x:c r="D1618" t="str">
        <x:v>KG01</x:v>
      </x:c>
      <x:c r="E1618" s="62" t="n">
        <x:v>45956</x:v>
      </x:c>
      <x:c r="F1618" t="str">
        <x:v>PM</x:v>
      </x:c>
      <x:c r="G1618" t="str">
        <x:v>A</x:v>
      </x:c>
      <x:c r="H1618" t="n">
        <x:v>23</x:v>
      </x:c>
      <x:c r="I1618" t="str">
        <x:v>ORD-2025-00094</x:v>
      </x:c>
      <x:c r="J1618" t="n">
        <x:v>5</x:v>
      </x:c>
      <x:c r="K1618" t="n">
        <x:v>3</x:v>
      </x:c>
      <x:c r="L1618" t="str">
        <x:v>L23-S05-C3</x:v>
      </x:c>
      <x:c r="M1618" t="n">
        <x:v>0</x:v>
      </x:c>
      <x:c r="N1618" t="str">
        <x:v>DerivedFromCount</x:v>
      </x:c>
      <x:c r="O1618" t="str">
        <x:v>PLC-PRD-JAR-720-L23</x:v>
      </x:c>
      <x:c r="P1618" t="str">
        <x:v>OK</x:v>
      </x:c>
      <x:c r="Q1618" t="str">
        <x:v>OK</x:v>
      </x:c>
      <x:c r="R1618" t="str">
        <x:v>OK</x:v>
      </x:c>
      <x:c r="S1618" t="str">
        <x:v>OK</x:v>
      </x:c>
      <x:c r="T1618" t="n">
        <x:v>24</x:v>
      </x:c>
      <x:c r="U1618" t="str">
        <x:v>OK</x:v>
      </x:c>
      <x:c r="V1618" t="str">
        <x:v>OK</x:v>
      </x:c>
      <x:c r="W1618" t="str">
        <x:v>LOAD</x:v>
      </x:c>
      <x:c r="X1618" t="str">
        <x:v>02_Supervisor_Log(4).xlsx</x:v>
      </x:c>
      <x:c r="Y1618" t="str">
        <x:v>ENH-20260830-01</x:v>
      </x:c>
      <x:c r="Z1618" t="str">
        <x:v>Active</x:v>
      </x:c>
      <x:c r="AA1618"/>
      <x:c r="AB1618"/>
      <x:c r="AC1618"/>
      <x:c r="AD1618"/>
    </x:row>
    <x:row r="1619">
      <x:c r="A1619" t="str">
        <x:v>PCC-PE-KG01-L23-20251026-PM-ORD-2025-00094-S06-C1</x:v>
      </x:c>
      <x:c r="B1619" t="str">
        <x:v>PC-PE-KG01-L23-20251026-PM-ORD-2025-00094-S06</x:v>
      </x:c>
      <x:c r="C1619" t="str">
        <x:v>PE-KG01-L23-20251026-PM-ORD-2025-00094</x:v>
      </x:c>
      <x:c r="D1619" t="str">
        <x:v>KG01</x:v>
      </x:c>
      <x:c r="E1619" s="62" t="n">
        <x:v>45956</x:v>
      </x:c>
      <x:c r="F1619" t="str">
        <x:v>PM</x:v>
      </x:c>
      <x:c r="G1619" t="str">
        <x:v>A</x:v>
      </x:c>
      <x:c r="H1619" t="n">
        <x:v>23</x:v>
      </x:c>
      <x:c r="I1619" t="str">
        <x:v>ORD-2025-00094</x:v>
      </x:c>
      <x:c r="J1619" t="n">
        <x:v>6</x:v>
      </x:c>
      <x:c r="K1619" t="n">
        <x:v>1</x:v>
      </x:c>
      <x:c r="L1619" t="str">
        <x:v>L23-S06-C1</x:v>
      </x:c>
      <x:c r="M1619" t="n">
        <x:v>1</x:v>
      </x:c>
      <x:c r="N1619" t="str">
        <x:v>DerivedFromCount</x:v>
      </x:c>
      <x:c r="O1619" t="str">
        <x:v>PLC-PRD-JAR-720-L23</x:v>
      </x:c>
      <x:c r="P1619" t="str">
        <x:v>OK</x:v>
      </x:c>
      <x:c r="Q1619" t="str">
        <x:v>OK</x:v>
      </x:c>
      <x:c r="R1619" t="str">
        <x:v>OK</x:v>
      </x:c>
      <x:c r="S1619" t="str">
        <x:v>OK</x:v>
      </x:c>
      <x:c r="T1619" t="n">
        <x:v>24</x:v>
      </x:c>
      <x:c r="U1619" t="str">
        <x:v>OK</x:v>
      </x:c>
      <x:c r="V1619" t="str">
        <x:v>OK</x:v>
      </x:c>
      <x:c r="W1619" t="str">
        <x:v>LOAD</x:v>
      </x:c>
      <x:c r="X1619" t="str">
        <x:v>02_Supervisor_Log(4).xlsx</x:v>
      </x:c>
      <x:c r="Y1619" t="str">
        <x:v>ENH-20260830-01</x:v>
      </x:c>
      <x:c r="Z1619" t="str">
        <x:v>Active</x:v>
      </x:c>
      <x:c r="AA1619"/>
      <x:c r="AB1619"/>
      <x:c r="AC1619"/>
      <x:c r="AD1619"/>
    </x:row>
    <x:row r="1620">
      <x:c r="A1620" t="str">
        <x:v>PCC-PE-KG01-L23-20251026-PM-ORD-2025-00094-S06-C2</x:v>
      </x:c>
      <x:c r="B1620" t="str">
        <x:v>PC-PE-KG01-L23-20251026-PM-ORD-2025-00094-S06</x:v>
      </x:c>
      <x:c r="C1620" t="str">
        <x:v>PE-KG01-L23-20251026-PM-ORD-2025-00094</x:v>
      </x:c>
      <x:c r="D1620" t="str">
        <x:v>KG01</x:v>
      </x:c>
      <x:c r="E1620" s="62" t="n">
        <x:v>45956</x:v>
      </x:c>
      <x:c r="F1620" t="str">
        <x:v>PM</x:v>
      </x:c>
      <x:c r="G1620" t="str">
        <x:v>A</x:v>
      </x:c>
      <x:c r="H1620" t="n">
        <x:v>23</x:v>
      </x:c>
      <x:c r="I1620" t="str">
        <x:v>ORD-2025-00094</x:v>
      </x:c>
      <x:c r="J1620" t="n">
        <x:v>6</x:v>
      </x:c>
      <x:c r="K1620" t="n">
        <x:v>2</x:v>
      </x:c>
      <x:c r="L1620" t="str">
        <x:v>L23-S06-C2</x:v>
      </x:c>
      <x:c r="M1620" t="n">
        <x:v>1</x:v>
      </x:c>
      <x:c r="N1620" t="str">
        <x:v>DerivedFromCount</x:v>
      </x:c>
      <x:c r="O1620" t="str">
        <x:v>PLC-PRD-JAR-720-L23</x:v>
      </x:c>
      <x:c r="P1620" t="str">
        <x:v>OK</x:v>
      </x:c>
      <x:c r="Q1620" t="str">
        <x:v>OK</x:v>
      </x:c>
      <x:c r="R1620" t="str">
        <x:v>OK</x:v>
      </x:c>
      <x:c r="S1620" t="str">
        <x:v>OK</x:v>
      </x:c>
      <x:c r="T1620" t="n">
        <x:v>24</x:v>
      </x:c>
      <x:c r="U1620" t="str">
        <x:v>OK</x:v>
      </x:c>
      <x:c r="V1620" t="str">
        <x:v>OK</x:v>
      </x:c>
      <x:c r="W1620" t="str">
        <x:v>LOAD</x:v>
      </x:c>
      <x:c r="X1620" t="str">
        <x:v>02_Supervisor_Log(4).xlsx</x:v>
      </x:c>
      <x:c r="Y1620" t="str">
        <x:v>ENH-20260830-01</x:v>
      </x:c>
      <x:c r="Z1620" t="str">
        <x:v>Active</x:v>
      </x:c>
      <x:c r="AA1620"/>
      <x:c r="AB1620"/>
      <x:c r="AC1620"/>
      <x:c r="AD1620"/>
    </x:row>
    <x:row r="1621">
      <x:c r="A1621" t="str">
        <x:v>PCC-PE-KG01-L23-20251026-PM-ORD-2025-00094-S06-C3</x:v>
      </x:c>
      <x:c r="B1621" t="str">
        <x:v>PC-PE-KG01-L23-20251026-PM-ORD-2025-00094-S06</x:v>
      </x:c>
      <x:c r="C1621" t="str">
        <x:v>PE-KG01-L23-20251026-PM-ORD-2025-00094</x:v>
      </x:c>
      <x:c r="D1621" t="str">
        <x:v>KG01</x:v>
      </x:c>
      <x:c r="E1621" s="62" t="n">
        <x:v>45956</x:v>
      </x:c>
      <x:c r="F1621" t="str">
        <x:v>PM</x:v>
      </x:c>
      <x:c r="G1621" t="str">
        <x:v>A</x:v>
      </x:c>
      <x:c r="H1621" t="n">
        <x:v>23</x:v>
      </x:c>
      <x:c r="I1621" t="str">
        <x:v>ORD-2025-00094</x:v>
      </x:c>
      <x:c r="J1621" t="n">
        <x:v>6</x:v>
      </x:c>
      <x:c r="K1621" t="n">
        <x:v>3</x:v>
      </x:c>
      <x:c r="L1621" t="str">
        <x:v>L23-S06-C3</x:v>
      </x:c>
      <x:c r="M1621" t="n">
        <x:v>0</x:v>
      </x:c>
      <x:c r="N1621" t="str">
        <x:v>DerivedFromCount</x:v>
      </x:c>
      <x:c r="O1621" t="str">
        <x:v>PLC-PRD-JAR-720-L23</x:v>
      </x:c>
      <x:c r="P1621" t="str">
        <x:v>OK</x:v>
      </x:c>
      <x:c r="Q1621" t="str">
        <x:v>OK</x:v>
      </x:c>
      <x:c r="R1621" t="str">
        <x:v>OK</x:v>
      </x:c>
      <x:c r="S1621" t="str">
        <x:v>OK</x:v>
      </x:c>
      <x:c r="T1621" t="n">
        <x:v>24</x:v>
      </x:c>
      <x:c r="U1621" t="str">
        <x:v>OK</x:v>
      </x:c>
      <x:c r="V1621" t="str">
        <x:v>OK</x:v>
      </x:c>
      <x:c r="W1621" t="str">
        <x:v>LOAD</x:v>
      </x:c>
      <x:c r="X1621" t="str">
        <x:v>02_Supervisor_Log(4).xlsx</x:v>
      </x:c>
      <x:c r="Y1621" t="str">
        <x:v>ENH-20260830-01</x:v>
      </x:c>
      <x:c r="Z1621" t="str">
        <x:v>Active</x:v>
      </x:c>
      <x:c r="AA1621"/>
      <x:c r="AB1621"/>
      <x:c r="AC1621"/>
      <x:c r="AD1621"/>
    </x:row>
    <x:row r="1622">
      <x:c r="A1622" t="str">
        <x:v>PCC-PE-KG01-L23-20251026-PM-ORD-2025-00094-S07-C1</x:v>
      </x:c>
      <x:c r="B1622" t="str">
        <x:v>PC-PE-KG01-L23-20251026-PM-ORD-2025-00094-S07</x:v>
      </x:c>
      <x:c r="C1622" t="str">
        <x:v>PE-KG01-L23-20251026-PM-ORD-2025-00094</x:v>
      </x:c>
      <x:c r="D1622" t="str">
        <x:v>KG01</x:v>
      </x:c>
      <x:c r="E1622" s="62" t="n">
        <x:v>45956</x:v>
      </x:c>
      <x:c r="F1622" t="str">
        <x:v>PM</x:v>
      </x:c>
      <x:c r="G1622" t="str">
        <x:v>A</x:v>
      </x:c>
      <x:c r="H1622" t="n">
        <x:v>23</x:v>
      </x:c>
      <x:c r="I1622" t="str">
        <x:v>ORD-2025-00094</x:v>
      </x:c>
      <x:c r="J1622" t="n">
        <x:v>7</x:v>
      </x:c>
      <x:c r="K1622" t="n">
        <x:v>1</x:v>
      </x:c>
      <x:c r="L1622" t="str">
        <x:v>L23-S07-C1</x:v>
      </x:c>
      <x:c r="M1622" t="n">
        <x:v>1</x:v>
      </x:c>
      <x:c r="N1622" t="str">
        <x:v>DerivedFromCount</x:v>
      </x:c>
      <x:c r="O1622" t="str">
        <x:v>PLC-PRD-JAR-720-L23</x:v>
      </x:c>
      <x:c r="P1622" t="str">
        <x:v>OK</x:v>
      </x:c>
      <x:c r="Q1622" t="str">
        <x:v>OK</x:v>
      </x:c>
      <x:c r="R1622" t="str">
        <x:v>OK</x:v>
      </x:c>
      <x:c r="S1622" t="str">
        <x:v>OK</x:v>
      </x:c>
      <x:c r="T1622" t="n">
        <x:v>24</x:v>
      </x:c>
      <x:c r="U1622" t="str">
        <x:v>OK</x:v>
      </x:c>
      <x:c r="V1622" t="str">
        <x:v>OK</x:v>
      </x:c>
      <x:c r="W1622" t="str">
        <x:v>LOAD</x:v>
      </x:c>
      <x:c r="X1622" t="str">
        <x:v>02_Supervisor_Log(4).xlsx</x:v>
      </x:c>
      <x:c r="Y1622" t="str">
        <x:v>ENH-20260830-01</x:v>
      </x:c>
      <x:c r="Z1622" t="str">
        <x:v>Active</x:v>
      </x:c>
      <x:c r="AA1622"/>
      <x:c r="AB1622"/>
      <x:c r="AC1622"/>
      <x:c r="AD1622"/>
    </x:row>
    <x:row r="1623">
      <x:c r="A1623" t="str">
        <x:v>PCC-PE-KG01-L23-20251026-PM-ORD-2025-00094-S07-C2</x:v>
      </x:c>
      <x:c r="B1623" t="str">
        <x:v>PC-PE-KG01-L23-20251026-PM-ORD-2025-00094-S07</x:v>
      </x:c>
      <x:c r="C1623" t="str">
        <x:v>PE-KG01-L23-20251026-PM-ORD-2025-00094</x:v>
      </x:c>
      <x:c r="D1623" t="str">
        <x:v>KG01</x:v>
      </x:c>
      <x:c r="E1623" s="62" t="n">
        <x:v>45956</x:v>
      </x:c>
      <x:c r="F1623" t="str">
        <x:v>PM</x:v>
      </x:c>
      <x:c r="G1623" t="str">
        <x:v>A</x:v>
      </x:c>
      <x:c r="H1623" t="n">
        <x:v>23</x:v>
      </x:c>
      <x:c r="I1623" t="str">
        <x:v>ORD-2025-00094</x:v>
      </x:c>
      <x:c r="J1623" t="n">
        <x:v>7</x:v>
      </x:c>
      <x:c r="K1623" t="n">
        <x:v>2</x:v>
      </x:c>
      <x:c r="L1623" t="str">
        <x:v>L23-S07-C2</x:v>
      </x:c>
      <x:c r="M1623" t="n">
        <x:v>1</x:v>
      </x:c>
      <x:c r="N1623" t="str">
        <x:v>DerivedFromCount</x:v>
      </x:c>
      <x:c r="O1623" t="str">
        <x:v>PLC-PRD-JAR-720-L23</x:v>
      </x:c>
      <x:c r="P1623" t="str">
        <x:v>OK</x:v>
      </x:c>
      <x:c r="Q1623" t="str">
        <x:v>OK</x:v>
      </x:c>
      <x:c r="R1623" t="str">
        <x:v>OK</x:v>
      </x:c>
      <x:c r="S1623" t="str">
        <x:v>OK</x:v>
      </x:c>
      <x:c r="T1623" t="n">
        <x:v>24</x:v>
      </x:c>
      <x:c r="U1623" t="str">
        <x:v>OK</x:v>
      </x:c>
      <x:c r="V1623" t="str">
        <x:v>OK</x:v>
      </x:c>
      <x:c r="W1623" t="str">
        <x:v>LOAD</x:v>
      </x:c>
      <x:c r="X1623" t="str">
        <x:v>02_Supervisor_Log(4).xlsx</x:v>
      </x:c>
      <x:c r="Y1623" t="str">
        <x:v>ENH-20260830-01</x:v>
      </x:c>
      <x:c r="Z1623" t="str">
        <x:v>Active</x:v>
      </x:c>
      <x:c r="AA1623"/>
      <x:c r="AB1623"/>
      <x:c r="AC1623"/>
      <x:c r="AD1623"/>
    </x:row>
    <x:row r="1624">
      <x:c r="A1624" t="str">
        <x:v>PCC-PE-KG01-L23-20251026-PM-ORD-2025-00094-S07-C3</x:v>
      </x:c>
      <x:c r="B1624" t="str">
        <x:v>PC-PE-KG01-L23-20251026-PM-ORD-2025-00094-S07</x:v>
      </x:c>
      <x:c r="C1624" t="str">
        <x:v>PE-KG01-L23-20251026-PM-ORD-2025-00094</x:v>
      </x:c>
      <x:c r="D1624" t="str">
        <x:v>KG01</x:v>
      </x:c>
      <x:c r="E1624" s="62" t="n">
        <x:v>45956</x:v>
      </x:c>
      <x:c r="F1624" t="str">
        <x:v>PM</x:v>
      </x:c>
      <x:c r="G1624" t="str">
        <x:v>A</x:v>
      </x:c>
      <x:c r="H1624" t="n">
        <x:v>23</x:v>
      </x:c>
      <x:c r="I1624" t="str">
        <x:v>ORD-2025-00094</x:v>
      </x:c>
      <x:c r="J1624" t="n">
        <x:v>7</x:v>
      </x:c>
      <x:c r="K1624" t="n">
        <x:v>3</x:v>
      </x:c>
      <x:c r="L1624" t="str">
        <x:v>L23-S07-C3</x:v>
      </x:c>
      <x:c r="M1624" t="n">
        <x:v>0</x:v>
      </x:c>
      <x:c r="N1624" t="str">
        <x:v>DerivedFromCount</x:v>
      </x:c>
      <x:c r="O1624" t="str">
        <x:v>PLC-PRD-JAR-720-L23</x:v>
      </x:c>
      <x:c r="P1624" t="str">
        <x:v>OK</x:v>
      </x:c>
      <x:c r="Q1624" t="str">
        <x:v>OK</x:v>
      </x:c>
      <x:c r="R1624" t="str">
        <x:v>OK</x:v>
      </x:c>
      <x:c r="S1624" t="str">
        <x:v>OK</x:v>
      </x:c>
      <x:c r="T1624" t="n">
        <x:v>24</x:v>
      </x:c>
      <x:c r="U1624" t="str">
        <x:v>OK</x:v>
      </x:c>
      <x:c r="V1624" t="str">
        <x:v>OK</x:v>
      </x:c>
      <x:c r="W1624" t="str">
        <x:v>LOAD</x:v>
      </x:c>
      <x:c r="X1624" t="str">
        <x:v>02_Supervisor_Log(4).xlsx</x:v>
      </x:c>
      <x:c r="Y1624" t="str">
        <x:v>ENH-20260830-01</x:v>
      </x:c>
      <x:c r="Z1624" t="str">
        <x:v>Active</x:v>
      </x:c>
      <x:c r="AA1624"/>
      <x:c r="AB1624"/>
      <x:c r="AC1624"/>
      <x:c r="AD1624"/>
    </x:row>
    <x:row r="1625">
      <x:c r="A1625" t="str">
        <x:v>PCC-PE-KG01-L23-20251026-PM-ORD-2025-00094-S08-C1</x:v>
      </x:c>
      <x:c r="B1625" t="str">
        <x:v>PC-PE-KG01-L23-20251026-PM-ORD-2025-00094-S08</x:v>
      </x:c>
      <x:c r="C1625" t="str">
        <x:v>PE-KG01-L23-20251026-PM-ORD-2025-00094</x:v>
      </x:c>
      <x:c r="D1625" t="str">
        <x:v>KG01</x:v>
      </x:c>
      <x:c r="E1625" s="62" t="n">
        <x:v>45956</x:v>
      </x:c>
      <x:c r="F1625" t="str">
        <x:v>PM</x:v>
      </x:c>
      <x:c r="G1625" t="str">
        <x:v>A</x:v>
      </x:c>
      <x:c r="H1625" t="n">
        <x:v>23</x:v>
      </x:c>
      <x:c r="I1625" t="str">
        <x:v>ORD-2025-00094</x:v>
      </x:c>
      <x:c r="J1625" t="n">
        <x:v>8</x:v>
      </x:c>
      <x:c r="K1625" t="n">
        <x:v>1</x:v>
      </x:c>
      <x:c r="L1625" t="str">
        <x:v>L23-S08-C1</x:v>
      </x:c>
      <x:c r="M1625" t="n">
        <x:v>1</x:v>
      </x:c>
      <x:c r="N1625" t="str">
        <x:v>DerivedFromCount</x:v>
      </x:c>
      <x:c r="O1625" t="str">
        <x:v>PLC-PRD-JAR-720-L23</x:v>
      </x:c>
      <x:c r="P1625" t="str">
        <x:v>OK</x:v>
      </x:c>
      <x:c r="Q1625" t="str">
        <x:v>OK</x:v>
      </x:c>
      <x:c r="R1625" t="str">
        <x:v>OK</x:v>
      </x:c>
      <x:c r="S1625" t="str">
        <x:v>OK</x:v>
      </x:c>
      <x:c r="T1625" t="n">
        <x:v>24</x:v>
      </x:c>
      <x:c r="U1625" t="str">
        <x:v>OK</x:v>
      </x:c>
      <x:c r="V1625" t="str">
        <x:v>OK</x:v>
      </x:c>
      <x:c r="W1625" t="str">
        <x:v>LOAD</x:v>
      </x:c>
      <x:c r="X1625" t="str">
        <x:v>02_Supervisor_Log(4).xlsx</x:v>
      </x:c>
      <x:c r="Y1625" t="str">
        <x:v>ENH-20260830-01</x:v>
      </x:c>
      <x:c r="Z1625" t="str">
        <x:v>Active</x:v>
      </x:c>
      <x:c r="AA1625"/>
      <x:c r="AB1625"/>
      <x:c r="AC1625"/>
      <x:c r="AD1625"/>
    </x:row>
    <x:row r="1626">
      <x:c r="A1626" t="str">
        <x:v>PCC-PE-KG01-L23-20251026-PM-ORD-2025-00094-S08-C2</x:v>
      </x:c>
      <x:c r="B1626" t="str">
        <x:v>PC-PE-KG01-L23-20251026-PM-ORD-2025-00094-S08</x:v>
      </x:c>
      <x:c r="C1626" t="str">
        <x:v>PE-KG01-L23-20251026-PM-ORD-2025-00094</x:v>
      </x:c>
      <x:c r="D1626" t="str">
        <x:v>KG01</x:v>
      </x:c>
      <x:c r="E1626" s="62" t="n">
        <x:v>45956</x:v>
      </x:c>
      <x:c r="F1626" t="str">
        <x:v>PM</x:v>
      </x:c>
      <x:c r="G1626" t="str">
        <x:v>A</x:v>
      </x:c>
      <x:c r="H1626" t="n">
        <x:v>23</x:v>
      </x:c>
      <x:c r="I1626" t="str">
        <x:v>ORD-2025-00094</x:v>
      </x:c>
      <x:c r="J1626" t="n">
        <x:v>8</x:v>
      </x:c>
      <x:c r="K1626" t="n">
        <x:v>2</x:v>
      </x:c>
      <x:c r="L1626" t="str">
        <x:v>L23-S08-C2</x:v>
      </x:c>
      <x:c r="M1626" t="n">
        <x:v>1</x:v>
      </x:c>
      <x:c r="N1626" t="str">
        <x:v>DerivedFromCount</x:v>
      </x:c>
      <x:c r="O1626" t="str">
        <x:v>PLC-PRD-JAR-720-L23</x:v>
      </x:c>
      <x:c r="P1626" t="str">
        <x:v>OK</x:v>
      </x:c>
      <x:c r="Q1626" t="str">
        <x:v>OK</x:v>
      </x:c>
      <x:c r="R1626" t="str">
        <x:v>OK</x:v>
      </x:c>
      <x:c r="S1626" t="str">
        <x:v>OK</x:v>
      </x:c>
      <x:c r="T1626" t="n">
        <x:v>24</x:v>
      </x:c>
      <x:c r="U1626" t="str">
        <x:v>OK</x:v>
      </x:c>
      <x:c r="V1626" t="str">
        <x:v>OK</x:v>
      </x:c>
      <x:c r="W1626" t="str">
        <x:v>LOAD</x:v>
      </x:c>
      <x:c r="X1626" t="str">
        <x:v>02_Supervisor_Log(4).xlsx</x:v>
      </x:c>
      <x:c r="Y1626" t="str">
        <x:v>ENH-20260830-01</x:v>
      </x:c>
      <x:c r="Z1626" t="str">
        <x:v>Active</x:v>
      </x:c>
      <x:c r="AA1626"/>
      <x:c r="AB1626"/>
      <x:c r="AC1626"/>
      <x:c r="AD1626"/>
    </x:row>
    <x:row r="1627">
      <x:c r="A1627" t="str">
        <x:v>PCC-PE-KG01-L23-20251026-PM-ORD-2025-00094-S08-C3</x:v>
      </x:c>
      <x:c r="B1627" t="str">
        <x:v>PC-PE-KG01-L23-20251026-PM-ORD-2025-00094-S08</x:v>
      </x:c>
      <x:c r="C1627" t="str">
        <x:v>PE-KG01-L23-20251026-PM-ORD-2025-00094</x:v>
      </x:c>
      <x:c r="D1627" t="str">
        <x:v>KG01</x:v>
      </x:c>
      <x:c r="E1627" s="62" t="n">
        <x:v>45956</x:v>
      </x:c>
      <x:c r="F1627" t="str">
        <x:v>PM</x:v>
      </x:c>
      <x:c r="G1627" t="str">
        <x:v>A</x:v>
      </x:c>
      <x:c r="H1627" t="n">
        <x:v>23</x:v>
      </x:c>
      <x:c r="I1627" t="str">
        <x:v>ORD-2025-00094</x:v>
      </x:c>
      <x:c r="J1627" t="n">
        <x:v>8</x:v>
      </x:c>
      <x:c r="K1627" t="n">
        <x:v>3</x:v>
      </x:c>
      <x:c r="L1627" t="str">
        <x:v>L23-S08-C3</x:v>
      </x:c>
      <x:c r="M1627" t="n">
        <x:v>0</x:v>
      </x:c>
      <x:c r="N1627" t="str">
        <x:v>DerivedFromCount</x:v>
      </x:c>
      <x:c r="O1627" t="str">
        <x:v>PLC-PRD-JAR-720-L23</x:v>
      </x:c>
      <x:c r="P1627" t="str">
        <x:v>OK</x:v>
      </x:c>
      <x:c r="Q1627" t="str">
        <x:v>OK</x:v>
      </x:c>
      <x:c r="R1627" t="str">
        <x:v>OK</x:v>
      </x:c>
      <x:c r="S1627" t="str">
        <x:v>OK</x:v>
      </x:c>
      <x:c r="T1627" t="n">
        <x:v>24</x:v>
      </x:c>
      <x:c r="U1627" t="str">
        <x:v>OK</x:v>
      </x:c>
      <x:c r="V1627" t="str">
        <x:v>OK</x:v>
      </x:c>
      <x:c r="W1627" t="str">
        <x:v>LOAD</x:v>
      </x:c>
      <x:c r="X1627" t="str">
        <x:v>02_Supervisor_Log(4).xlsx</x:v>
      </x:c>
      <x:c r="Y1627" t="str">
        <x:v>ENH-20260830-01</x:v>
      </x:c>
      <x:c r="Z1627" t="str">
        <x:v>Active</x:v>
      </x:c>
      <x:c r="AA1627"/>
      <x:c r="AB1627"/>
      <x:c r="AC1627"/>
      <x:c r="AD1627"/>
    </x:row>
    <x:row r="1628">
      <x:c r="A1628" t="str">
        <x:v>PCC-PE-KG01-L23-20251026-PM-ORD-2025-00094-S09-C1</x:v>
      </x:c>
      <x:c r="B1628" t="str">
        <x:v>PC-PE-KG01-L23-20251026-PM-ORD-2025-00094-S09</x:v>
      </x:c>
      <x:c r="C1628" t="str">
        <x:v>PE-KG01-L23-20251026-PM-ORD-2025-00094</x:v>
      </x:c>
      <x:c r="D1628" t="str">
        <x:v>KG01</x:v>
      </x:c>
      <x:c r="E1628" s="62" t="n">
        <x:v>45956</x:v>
      </x:c>
      <x:c r="F1628" t="str">
        <x:v>PM</x:v>
      </x:c>
      <x:c r="G1628" t="str">
        <x:v>A</x:v>
      </x:c>
      <x:c r="H1628" t="n">
        <x:v>23</x:v>
      </x:c>
      <x:c r="I1628" t="str">
        <x:v>ORD-2025-00094</x:v>
      </x:c>
      <x:c r="J1628" t="n">
        <x:v>9</x:v>
      </x:c>
      <x:c r="K1628" t="n">
        <x:v>1</x:v>
      </x:c>
      <x:c r="L1628" t="str">
        <x:v>L23-S09-C1</x:v>
      </x:c>
      <x:c r="M1628" t="n">
        <x:v>1</x:v>
      </x:c>
      <x:c r="N1628" t="str">
        <x:v>DerivedFromCount</x:v>
      </x:c>
      <x:c r="O1628" t="str">
        <x:v>PLC-PRD-JAR-720-L23</x:v>
      </x:c>
      <x:c r="P1628" t="str">
        <x:v>OK</x:v>
      </x:c>
      <x:c r="Q1628" t="str">
        <x:v>OK</x:v>
      </x:c>
      <x:c r="R1628" t="str">
        <x:v>OK</x:v>
      </x:c>
      <x:c r="S1628" t="str">
        <x:v>OK</x:v>
      </x:c>
      <x:c r="T1628" t="n">
        <x:v>24</x:v>
      </x:c>
      <x:c r="U1628" t="str">
        <x:v>OK</x:v>
      </x:c>
      <x:c r="V1628" t="str">
        <x:v>OK</x:v>
      </x:c>
      <x:c r="W1628" t="str">
        <x:v>LOAD</x:v>
      </x:c>
      <x:c r="X1628" t="str">
        <x:v>02_Supervisor_Log(4).xlsx</x:v>
      </x:c>
      <x:c r="Y1628" t="str">
        <x:v>ENH-20260830-01</x:v>
      </x:c>
      <x:c r="Z1628" t="str">
        <x:v>Active</x:v>
      </x:c>
      <x:c r="AA1628"/>
      <x:c r="AB1628"/>
      <x:c r="AC1628"/>
      <x:c r="AD1628"/>
    </x:row>
    <x:row r="1629">
      <x:c r="A1629" t="str">
        <x:v>PCC-PE-KG01-L23-20251026-PM-ORD-2025-00094-S09-C2</x:v>
      </x:c>
      <x:c r="B1629" t="str">
        <x:v>PC-PE-KG01-L23-20251026-PM-ORD-2025-00094-S09</x:v>
      </x:c>
      <x:c r="C1629" t="str">
        <x:v>PE-KG01-L23-20251026-PM-ORD-2025-00094</x:v>
      </x:c>
      <x:c r="D1629" t="str">
        <x:v>KG01</x:v>
      </x:c>
      <x:c r="E1629" s="62" t="n">
        <x:v>45956</x:v>
      </x:c>
      <x:c r="F1629" t="str">
        <x:v>PM</x:v>
      </x:c>
      <x:c r="G1629" t="str">
        <x:v>A</x:v>
      </x:c>
      <x:c r="H1629" t="n">
        <x:v>23</x:v>
      </x:c>
      <x:c r="I1629" t="str">
        <x:v>ORD-2025-00094</x:v>
      </x:c>
      <x:c r="J1629" t="n">
        <x:v>9</x:v>
      </x:c>
      <x:c r="K1629" t="n">
        <x:v>2</x:v>
      </x:c>
      <x:c r="L1629" t="str">
        <x:v>L23-S09-C2</x:v>
      </x:c>
      <x:c r="M1629" t="n">
        <x:v>1</x:v>
      </x:c>
      <x:c r="N1629" t="str">
        <x:v>DerivedFromCount</x:v>
      </x:c>
      <x:c r="O1629" t="str">
        <x:v>PLC-PRD-JAR-720-L23</x:v>
      </x:c>
      <x:c r="P1629" t="str">
        <x:v>OK</x:v>
      </x:c>
      <x:c r="Q1629" t="str">
        <x:v>OK</x:v>
      </x:c>
      <x:c r="R1629" t="str">
        <x:v>OK</x:v>
      </x:c>
      <x:c r="S1629" t="str">
        <x:v>OK</x:v>
      </x:c>
      <x:c r="T1629" t="n">
        <x:v>24</x:v>
      </x:c>
      <x:c r="U1629" t="str">
        <x:v>OK</x:v>
      </x:c>
      <x:c r="V1629" t="str">
        <x:v>OK</x:v>
      </x:c>
      <x:c r="W1629" t="str">
        <x:v>LOAD</x:v>
      </x:c>
      <x:c r="X1629" t="str">
        <x:v>02_Supervisor_Log(4).xlsx</x:v>
      </x:c>
      <x:c r="Y1629" t="str">
        <x:v>ENH-20260830-01</x:v>
      </x:c>
      <x:c r="Z1629" t="str">
        <x:v>Active</x:v>
      </x:c>
      <x:c r="AA1629"/>
      <x:c r="AB1629"/>
      <x:c r="AC1629"/>
      <x:c r="AD1629"/>
    </x:row>
    <x:row r="1630">
      <x:c r="A1630" t="str">
        <x:v>PCC-PE-KG01-L23-20251026-PM-ORD-2025-00094-S09-C3</x:v>
      </x:c>
      <x:c r="B1630" t="str">
        <x:v>PC-PE-KG01-L23-20251026-PM-ORD-2025-00094-S09</x:v>
      </x:c>
      <x:c r="C1630" t="str">
        <x:v>PE-KG01-L23-20251026-PM-ORD-2025-00094</x:v>
      </x:c>
      <x:c r="D1630" t="str">
        <x:v>KG01</x:v>
      </x:c>
      <x:c r="E1630" s="62" t="n">
        <x:v>45956</x:v>
      </x:c>
      <x:c r="F1630" t="str">
        <x:v>PM</x:v>
      </x:c>
      <x:c r="G1630" t="str">
        <x:v>A</x:v>
      </x:c>
      <x:c r="H1630" t="n">
        <x:v>23</x:v>
      </x:c>
      <x:c r="I1630" t="str">
        <x:v>ORD-2025-00094</x:v>
      </x:c>
      <x:c r="J1630" t="n">
        <x:v>9</x:v>
      </x:c>
      <x:c r="K1630" t="n">
        <x:v>3</x:v>
      </x:c>
      <x:c r="L1630" t="str">
        <x:v>L23-S09-C3</x:v>
      </x:c>
      <x:c r="M1630" t="n">
        <x:v>0</x:v>
      </x:c>
      <x:c r="N1630" t="str">
        <x:v>DerivedFromCount</x:v>
      </x:c>
      <x:c r="O1630" t="str">
        <x:v>PLC-PRD-JAR-720-L23</x:v>
      </x:c>
      <x:c r="P1630" t="str">
        <x:v>OK</x:v>
      </x:c>
      <x:c r="Q1630" t="str">
        <x:v>OK</x:v>
      </x:c>
      <x:c r="R1630" t="str">
        <x:v>OK</x:v>
      </x:c>
      <x:c r="S1630" t="str">
        <x:v>OK</x:v>
      </x:c>
      <x:c r="T1630" t="n">
        <x:v>24</x:v>
      </x:c>
      <x:c r="U1630" t="str">
        <x:v>OK</x:v>
      </x:c>
      <x:c r="V1630" t="str">
        <x:v>OK</x:v>
      </x:c>
      <x:c r="W1630" t="str">
        <x:v>LOAD</x:v>
      </x:c>
      <x:c r="X1630" t="str">
        <x:v>02_Supervisor_Log(4).xlsx</x:v>
      </x:c>
      <x:c r="Y1630" t="str">
        <x:v>ENH-20260830-01</x:v>
      </x:c>
      <x:c r="Z1630" t="str">
        <x:v>Active</x:v>
      </x:c>
      <x:c r="AA1630"/>
      <x:c r="AB1630"/>
      <x:c r="AC1630"/>
      <x:c r="AD1630"/>
    </x:row>
    <x:row r="1631">
      <x:c r="A1631" t="str">
        <x:v>PCC-PE-KG01-L23-20251026-PM-ORD-2025-00094-S10-C1</x:v>
      </x:c>
      <x:c r="B1631" t="str">
        <x:v>PC-PE-KG01-L23-20251026-PM-ORD-2025-00094-S10</x:v>
      </x:c>
      <x:c r="C1631" t="str">
        <x:v>PE-KG01-L23-20251026-PM-ORD-2025-00094</x:v>
      </x:c>
      <x:c r="D1631" t="str">
        <x:v>KG01</x:v>
      </x:c>
      <x:c r="E1631" s="62" t="n">
        <x:v>45956</x:v>
      </x:c>
      <x:c r="F1631" t="str">
        <x:v>PM</x:v>
      </x:c>
      <x:c r="G1631" t="str">
        <x:v>A</x:v>
      </x:c>
      <x:c r="H1631" t="n">
        <x:v>23</x:v>
      </x:c>
      <x:c r="I1631" t="str">
        <x:v>ORD-2025-00094</x:v>
      </x:c>
      <x:c r="J1631" t="n">
        <x:v>10</x:v>
      </x:c>
      <x:c r="K1631" t="n">
        <x:v>1</x:v>
      </x:c>
      <x:c r="L1631" t="str">
        <x:v>L23-S10-C1</x:v>
      </x:c>
      <x:c r="M1631" t="n">
        <x:v>1</x:v>
      </x:c>
      <x:c r="N1631" t="str">
        <x:v>DerivedFromCount</x:v>
      </x:c>
      <x:c r="O1631" t="str">
        <x:v>PLC-PRD-JAR-720-L23</x:v>
      </x:c>
      <x:c r="P1631" t="str">
        <x:v>OK</x:v>
      </x:c>
      <x:c r="Q1631" t="str">
        <x:v>OK</x:v>
      </x:c>
      <x:c r="R1631" t="str">
        <x:v>OK</x:v>
      </x:c>
      <x:c r="S1631" t="str">
        <x:v>OK</x:v>
      </x:c>
      <x:c r="T1631" t="n">
        <x:v>24</x:v>
      </x:c>
      <x:c r="U1631" t="str">
        <x:v>OK</x:v>
      </x:c>
      <x:c r="V1631" t="str">
        <x:v>OK</x:v>
      </x:c>
      <x:c r="W1631" t="str">
        <x:v>LOAD</x:v>
      </x:c>
      <x:c r="X1631" t="str">
        <x:v>02_Supervisor_Log(4).xlsx</x:v>
      </x:c>
      <x:c r="Y1631" t="str">
        <x:v>ENH-20260830-01</x:v>
      </x:c>
      <x:c r="Z1631" t="str">
        <x:v>Active</x:v>
      </x:c>
      <x:c r="AA1631"/>
      <x:c r="AB1631"/>
      <x:c r="AC1631"/>
      <x:c r="AD1631"/>
    </x:row>
    <x:row r="1632">
      <x:c r="A1632" t="str">
        <x:v>PCC-PE-KG01-L23-20251026-PM-ORD-2025-00094-S10-C2</x:v>
      </x:c>
      <x:c r="B1632" t="str">
        <x:v>PC-PE-KG01-L23-20251026-PM-ORD-2025-00094-S10</x:v>
      </x:c>
      <x:c r="C1632" t="str">
        <x:v>PE-KG01-L23-20251026-PM-ORD-2025-00094</x:v>
      </x:c>
      <x:c r="D1632" t="str">
        <x:v>KG01</x:v>
      </x:c>
      <x:c r="E1632" s="62" t="n">
        <x:v>45956</x:v>
      </x:c>
      <x:c r="F1632" t="str">
        <x:v>PM</x:v>
      </x:c>
      <x:c r="G1632" t="str">
        <x:v>A</x:v>
      </x:c>
      <x:c r="H1632" t="n">
        <x:v>23</x:v>
      </x:c>
      <x:c r="I1632" t="str">
        <x:v>ORD-2025-00094</x:v>
      </x:c>
      <x:c r="J1632" t="n">
        <x:v>10</x:v>
      </x:c>
      <x:c r="K1632" t="n">
        <x:v>2</x:v>
      </x:c>
      <x:c r="L1632" t="str">
        <x:v>L23-S10-C2</x:v>
      </x:c>
      <x:c r="M1632" t="n">
        <x:v>1</x:v>
      </x:c>
      <x:c r="N1632" t="str">
        <x:v>DerivedFromCount</x:v>
      </x:c>
      <x:c r="O1632" t="str">
        <x:v>PLC-PRD-JAR-720-L23</x:v>
      </x:c>
      <x:c r="P1632" t="str">
        <x:v>OK</x:v>
      </x:c>
      <x:c r="Q1632" t="str">
        <x:v>OK</x:v>
      </x:c>
      <x:c r="R1632" t="str">
        <x:v>OK</x:v>
      </x:c>
      <x:c r="S1632" t="str">
        <x:v>OK</x:v>
      </x:c>
      <x:c r="T1632" t="n">
        <x:v>24</x:v>
      </x:c>
      <x:c r="U1632" t="str">
        <x:v>OK</x:v>
      </x:c>
      <x:c r="V1632" t="str">
        <x:v>OK</x:v>
      </x:c>
      <x:c r="W1632" t="str">
        <x:v>LOAD</x:v>
      </x:c>
      <x:c r="X1632" t="str">
        <x:v>02_Supervisor_Log(4).xlsx</x:v>
      </x:c>
      <x:c r="Y1632" t="str">
        <x:v>ENH-20260830-01</x:v>
      </x:c>
      <x:c r="Z1632" t="str">
        <x:v>Active</x:v>
      </x:c>
      <x:c r="AA1632"/>
      <x:c r="AB1632"/>
      <x:c r="AC1632"/>
      <x:c r="AD1632"/>
    </x:row>
    <x:row r="1633">
      <x:c r="A1633" t="str">
        <x:v>PCC-PE-KG01-L23-20251026-PM-ORD-2025-00094-S10-C3</x:v>
      </x:c>
      <x:c r="B1633" t="str">
        <x:v>PC-PE-KG01-L23-20251026-PM-ORD-2025-00094-S10</x:v>
      </x:c>
      <x:c r="C1633" t="str">
        <x:v>PE-KG01-L23-20251026-PM-ORD-2025-00094</x:v>
      </x:c>
      <x:c r="D1633" t="str">
        <x:v>KG01</x:v>
      </x:c>
      <x:c r="E1633" s="62" t="n">
        <x:v>45956</x:v>
      </x:c>
      <x:c r="F1633" t="str">
        <x:v>PM</x:v>
      </x:c>
      <x:c r="G1633" t="str">
        <x:v>A</x:v>
      </x:c>
      <x:c r="H1633" t="n">
        <x:v>23</x:v>
      </x:c>
      <x:c r="I1633" t="str">
        <x:v>ORD-2025-00094</x:v>
      </x:c>
      <x:c r="J1633" t="n">
        <x:v>10</x:v>
      </x:c>
      <x:c r="K1633" t="n">
        <x:v>3</x:v>
      </x:c>
      <x:c r="L1633" t="str">
        <x:v>L23-S10-C3</x:v>
      </x:c>
      <x:c r="M1633" t="n">
        <x:v>0</x:v>
      </x:c>
      <x:c r="N1633" t="str">
        <x:v>DerivedFromCount</x:v>
      </x:c>
      <x:c r="O1633" t="str">
        <x:v>PLC-PRD-JAR-720-L23</x:v>
      </x:c>
      <x:c r="P1633" t="str">
        <x:v>OK</x:v>
      </x:c>
      <x:c r="Q1633" t="str">
        <x:v>OK</x:v>
      </x:c>
      <x:c r="R1633" t="str">
        <x:v>OK</x:v>
      </x:c>
      <x:c r="S1633" t="str">
        <x:v>OK</x:v>
      </x:c>
      <x:c r="T1633" t="n">
        <x:v>24</x:v>
      </x:c>
      <x:c r="U1633" t="str">
        <x:v>OK</x:v>
      </x:c>
      <x:c r="V1633" t="str">
        <x:v>OK</x:v>
      </x:c>
      <x:c r="W1633" t="str">
        <x:v>LOAD</x:v>
      </x:c>
      <x:c r="X1633" t="str">
        <x:v>02_Supervisor_Log(4).xlsx</x:v>
      </x:c>
      <x:c r="Y1633" t="str">
        <x:v>ENH-20260830-01</x:v>
      </x:c>
      <x:c r="Z1633" t="str">
        <x:v>Active</x:v>
      </x:c>
      <x:c r="AA1633"/>
      <x:c r="AB1633"/>
      <x:c r="AC1633"/>
      <x:c r="AD1633"/>
    </x:row>
    <x:row r="1634">
      <x:c r="A1634" t="str">
        <x:v>PCC-PE-KG01-L23-20251026-PM-ORD-2025-00094-S11-C1</x:v>
      </x:c>
      <x:c r="B1634" t="str">
        <x:v>PC-PE-KG01-L23-20251026-PM-ORD-2025-00094-S11</x:v>
      </x:c>
      <x:c r="C1634" t="str">
        <x:v>PE-KG01-L23-20251026-PM-ORD-2025-00094</x:v>
      </x:c>
      <x:c r="D1634" t="str">
        <x:v>KG01</x:v>
      </x:c>
      <x:c r="E1634" s="62" t="n">
        <x:v>45956</x:v>
      </x:c>
      <x:c r="F1634" t="str">
        <x:v>PM</x:v>
      </x:c>
      <x:c r="G1634" t="str">
        <x:v>A</x:v>
      </x:c>
      <x:c r="H1634" t="n">
        <x:v>23</x:v>
      </x:c>
      <x:c r="I1634" t="str">
        <x:v>ORD-2025-00094</x:v>
      </x:c>
      <x:c r="J1634" t="n">
        <x:v>11</x:v>
      </x:c>
      <x:c r="K1634" t="n">
        <x:v>1</x:v>
      </x:c>
      <x:c r="L1634" t="str">
        <x:v>L23-S11-C1</x:v>
      </x:c>
      <x:c r="M1634" t="n">
        <x:v>1</x:v>
      </x:c>
      <x:c r="N1634" t="str">
        <x:v>DerivedFromCount</x:v>
      </x:c>
      <x:c r="O1634" t="str">
        <x:v>PLC-PRD-JAR-720-L23</x:v>
      </x:c>
      <x:c r="P1634" t="str">
        <x:v>OK</x:v>
      </x:c>
      <x:c r="Q1634" t="str">
        <x:v>OK</x:v>
      </x:c>
      <x:c r="R1634" t="str">
        <x:v>OK</x:v>
      </x:c>
      <x:c r="S1634" t="str">
        <x:v>OK</x:v>
      </x:c>
      <x:c r="T1634" t="n">
        <x:v>24</x:v>
      </x:c>
      <x:c r="U1634" t="str">
        <x:v>OK</x:v>
      </x:c>
      <x:c r="V1634" t="str">
        <x:v>OK</x:v>
      </x:c>
      <x:c r="W1634" t="str">
        <x:v>LOAD</x:v>
      </x:c>
      <x:c r="X1634" t="str">
        <x:v>02_Supervisor_Log(4).xlsx</x:v>
      </x:c>
      <x:c r="Y1634" t="str">
        <x:v>ENH-20260830-01</x:v>
      </x:c>
      <x:c r="Z1634" t="str">
        <x:v>Active</x:v>
      </x:c>
      <x:c r="AA1634"/>
      <x:c r="AB1634"/>
      <x:c r="AC1634"/>
      <x:c r="AD1634"/>
    </x:row>
    <x:row r="1635">
      <x:c r="A1635" t="str">
        <x:v>PCC-PE-KG01-L23-20251026-PM-ORD-2025-00094-S11-C2</x:v>
      </x:c>
      <x:c r="B1635" t="str">
        <x:v>PC-PE-KG01-L23-20251026-PM-ORD-2025-00094-S11</x:v>
      </x:c>
      <x:c r="C1635" t="str">
        <x:v>PE-KG01-L23-20251026-PM-ORD-2025-00094</x:v>
      </x:c>
      <x:c r="D1635" t="str">
        <x:v>KG01</x:v>
      </x:c>
      <x:c r="E1635" s="62" t="n">
        <x:v>45956</x:v>
      </x:c>
      <x:c r="F1635" t="str">
        <x:v>PM</x:v>
      </x:c>
      <x:c r="G1635" t="str">
        <x:v>A</x:v>
      </x:c>
      <x:c r="H1635" t="n">
        <x:v>23</x:v>
      </x:c>
      <x:c r="I1635" t="str">
        <x:v>ORD-2025-00094</x:v>
      </x:c>
      <x:c r="J1635" t="n">
        <x:v>11</x:v>
      </x:c>
      <x:c r="K1635" t="n">
        <x:v>2</x:v>
      </x:c>
      <x:c r="L1635" t="str">
        <x:v>L23-S11-C2</x:v>
      </x:c>
      <x:c r="M1635" t="n">
        <x:v>1</x:v>
      </x:c>
      <x:c r="N1635" t="str">
        <x:v>DerivedFromCount</x:v>
      </x:c>
      <x:c r="O1635" t="str">
        <x:v>PLC-PRD-JAR-720-L23</x:v>
      </x:c>
      <x:c r="P1635" t="str">
        <x:v>OK</x:v>
      </x:c>
      <x:c r="Q1635" t="str">
        <x:v>OK</x:v>
      </x:c>
      <x:c r="R1635" t="str">
        <x:v>OK</x:v>
      </x:c>
      <x:c r="S1635" t="str">
        <x:v>OK</x:v>
      </x:c>
      <x:c r="T1635" t="n">
        <x:v>24</x:v>
      </x:c>
      <x:c r="U1635" t="str">
        <x:v>OK</x:v>
      </x:c>
      <x:c r="V1635" t="str">
        <x:v>OK</x:v>
      </x:c>
      <x:c r="W1635" t="str">
        <x:v>LOAD</x:v>
      </x:c>
      <x:c r="X1635" t="str">
        <x:v>02_Supervisor_Log(4).xlsx</x:v>
      </x:c>
      <x:c r="Y1635" t="str">
        <x:v>ENH-20260830-01</x:v>
      </x:c>
      <x:c r="Z1635" t="str">
        <x:v>Active</x:v>
      </x:c>
      <x:c r="AA1635"/>
      <x:c r="AB1635"/>
      <x:c r="AC1635"/>
      <x:c r="AD1635"/>
    </x:row>
    <x:row r="1636">
      <x:c r="A1636" t="str">
        <x:v>PCC-PE-KG01-L23-20251026-PM-ORD-2025-00094-S11-C3</x:v>
      </x:c>
      <x:c r="B1636" t="str">
        <x:v>PC-PE-KG01-L23-20251026-PM-ORD-2025-00094-S11</x:v>
      </x:c>
      <x:c r="C1636" t="str">
        <x:v>PE-KG01-L23-20251026-PM-ORD-2025-00094</x:v>
      </x:c>
      <x:c r="D1636" t="str">
        <x:v>KG01</x:v>
      </x:c>
      <x:c r="E1636" s="62" t="n">
        <x:v>45956</x:v>
      </x:c>
      <x:c r="F1636" t="str">
        <x:v>PM</x:v>
      </x:c>
      <x:c r="G1636" t="str">
        <x:v>A</x:v>
      </x:c>
      <x:c r="H1636" t="n">
        <x:v>23</x:v>
      </x:c>
      <x:c r="I1636" t="str">
        <x:v>ORD-2025-00094</x:v>
      </x:c>
      <x:c r="J1636" t="n">
        <x:v>11</x:v>
      </x:c>
      <x:c r="K1636" t="n">
        <x:v>3</x:v>
      </x:c>
      <x:c r="L1636" t="str">
        <x:v>L23-S11-C3</x:v>
      </x:c>
      <x:c r="M1636" t="n">
        <x:v>0</x:v>
      </x:c>
      <x:c r="N1636" t="str">
        <x:v>DerivedFromCount</x:v>
      </x:c>
      <x:c r="O1636" t="str">
        <x:v>PLC-PRD-JAR-720-L23</x:v>
      </x:c>
      <x:c r="P1636" t="str">
        <x:v>OK</x:v>
      </x:c>
      <x:c r="Q1636" t="str">
        <x:v>OK</x:v>
      </x:c>
      <x:c r="R1636" t="str">
        <x:v>OK</x:v>
      </x:c>
      <x:c r="S1636" t="str">
        <x:v>OK</x:v>
      </x:c>
      <x:c r="T1636" t="n">
        <x:v>24</x:v>
      </x:c>
      <x:c r="U1636" t="str">
        <x:v>OK</x:v>
      </x:c>
      <x:c r="V1636" t="str">
        <x:v>OK</x:v>
      </x:c>
      <x:c r="W1636" t="str">
        <x:v>LOAD</x:v>
      </x:c>
      <x:c r="X1636" t="str">
        <x:v>02_Supervisor_Log(4).xlsx</x:v>
      </x:c>
      <x:c r="Y1636" t="str">
        <x:v>ENH-20260830-01</x:v>
      </x:c>
      <x:c r="Z1636" t="str">
        <x:v>Active</x:v>
      </x:c>
      <x:c r="AA1636"/>
      <x:c r="AB1636"/>
      <x:c r="AC1636"/>
      <x:c r="AD1636"/>
    </x:row>
    <x:row r="1637">
      <x:c r="A1637" t="str">
        <x:v>PCC-PE-KG01-L23-20251026-PM-ORD-2025-00094-S12-C1</x:v>
      </x:c>
      <x:c r="B1637" t="str">
        <x:v>PC-PE-KG01-L23-20251026-PM-ORD-2025-00094-S12</x:v>
      </x:c>
      <x:c r="C1637" t="str">
        <x:v>PE-KG01-L23-20251026-PM-ORD-2025-00094</x:v>
      </x:c>
      <x:c r="D1637" t="str">
        <x:v>KG01</x:v>
      </x:c>
      <x:c r="E1637" s="62" t="n">
        <x:v>45956</x:v>
      </x:c>
      <x:c r="F1637" t="str">
        <x:v>PM</x:v>
      </x:c>
      <x:c r="G1637" t="str">
        <x:v>A</x:v>
      </x:c>
      <x:c r="H1637" t="n">
        <x:v>23</x:v>
      </x:c>
      <x:c r="I1637" t="str">
        <x:v>ORD-2025-00094</x:v>
      </x:c>
      <x:c r="J1637" t="n">
        <x:v>12</x:v>
      </x:c>
      <x:c r="K1637" t="n">
        <x:v>1</x:v>
      </x:c>
      <x:c r="L1637" t="str">
        <x:v>L23-S12-C1</x:v>
      </x:c>
      <x:c r="M1637" t="n">
        <x:v>1</x:v>
      </x:c>
      <x:c r="N1637" t="str">
        <x:v>DerivedFromCount</x:v>
      </x:c>
      <x:c r="O1637" t="str">
        <x:v>PLC-PRD-JAR-720-L23</x:v>
      </x:c>
      <x:c r="P1637" t="str">
        <x:v>OK</x:v>
      </x:c>
      <x:c r="Q1637" t="str">
        <x:v>OK</x:v>
      </x:c>
      <x:c r="R1637" t="str">
        <x:v>OK</x:v>
      </x:c>
      <x:c r="S1637" t="str">
        <x:v>OK</x:v>
      </x:c>
      <x:c r="T1637" t="n">
        <x:v>24</x:v>
      </x:c>
      <x:c r="U1637" t="str">
        <x:v>OK</x:v>
      </x:c>
      <x:c r="V1637" t="str">
        <x:v>OK</x:v>
      </x:c>
      <x:c r="W1637" t="str">
        <x:v>LOAD</x:v>
      </x:c>
      <x:c r="X1637" t="str">
        <x:v>02_Supervisor_Log(4).xlsx</x:v>
      </x:c>
      <x:c r="Y1637" t="str">
        <x:v>ENH-20260830-01</x:v>
      </x:c>
      <x:c r="Z1637" t="str">
        <x:v>Active</x:v>
      </x:c>
      <x:c r="AA1637"/>
      <x:c r="AB1637"/>
      <x:c r="AC1637"/>
      <x:c r="AD1637"/>
    </x:row>
    <x:row r="1638">
      <x:c r="A1638" t="str">
        <x:v>PCC-PE-KG01-L23-20251026-PM-ORD-2025-00094-S12-C2</x:v>
      </x:c>
      <x:c r="B1638" t="str">
        <x:v>PC-PE-KG01-L23-20251026-PM-ORD-2025-00094-S12</x:v>
      </x:c>
      <x:c r="C1638" t="str">
        <x:v>PE-KG01-L23-20251026-PM-ORD-2025-00094</x:v>
      </x:c>
      <x:c r="D1638" t="str">
        <x:v>KG01</x:v>
      </x:c>
      <x:c r="E1638" s="62" t="n">
        <x:v>45956</x:v>
      </x:c>
      <x:c r="F1638" t="str">
        <x:v>PM</x:v>
      </x:c>
      <x:c r="G1638" t="str">
        <x:v>A</x:v>
      </x:c>
      <x:c r="H1638" t="n">
        <x:v>23</x:v>
      </x:c>
      <x:c r="I1638" t="str">
        <x:v>ORD-2025-00094</x:v>
      </x:c>
      <x:c r="J1638" t="n">
        <x:v>12</x:v>
      </x:c>
      <x:c r="K1638" t="n">
        <x:v>2</x:v>
      </x:c>
      <x:c r="L1638" t="str">
        <x:v>L23-S12-C2</x:v>
      </x:c>
      <x:c r="M1638" t="n">
        <x:v>1</x:v>
      </x:c>
      <x:c r="N1638" t="str">
        <x:v>DerivedFromCount</x:v>
      </x:c>
      <x:c r="O1638" t="str">
        <x:v>PLC-PRD-JAR-720-L23</x:v>
      </x:c>
      <x:c r="P1638" t="str">
        <x:v>OK</x:v>
      </x:c>
      <x:c r="Q1638" t="str">
        <x:v>OK</x:v>
      </x:c>
      <x:c r="R1638" t="str">
        <x:v>OK</x:v>
      </x:c>
      <x:c r="S1638" t="str">
        <x:v>OK</x:v>
      </x:c>
      <x:c r="T1638" t="n">
        <x:v>24</x:v>
      </x:c>
      <x:c r="U1638" t="str">
        <x:v>OK</x:v>
      </x:c>
      <x:c r="V1638" t="str">
        <x:v>OK</x:v>
      </x:c>
      <x:c r="W1638" t="str">
        <x:v>LOAD</x:v>
      </x:c>
      <x:c r="X1638" t="str">
        <x:v>02_Supervisor_Log(4).xlsx</x:v>
      </x:c>
      <x:c r="Y1638" t="str">
        <x:v>ENH-20260830-01</x:v>
      </x:c>
      <x:c r="Z1638" t="str">
        <x:v>Active</x:v>
      </x:c>
      <x:c r="AA1638"/>
      <x:c r="AB1638"/>
      <x:c r="AC1638"/>
      <x:c r="AD1638"/>
    </x:row>
    <x:row r="1639">
      <x:c r="A1639" t="str">
        <x:v>PCC-PE-KG01-L23-20251026-PM-ORD-2025-00094-S12-C3</x:v>
      </x:c>
      <x:c r="B1639" t="str">
        <x:v>PC-PE-KG01-L23-20251026-PM-ORD-2025-00094-S12</x:v>
      </x:c>
      <x:c r="C1639" t="str">
        <x:v>PE-KG01-L23-20251026-PM-ORD-2025-00094</x:v>
      </x:c>
      <x:c r="D1639" t="str">
        <x:v>KG01</x:v>
      </x:c>
      <x:c r="E1639" s="62" t="n">
        <x:v>45956</x:v>
      </x:c>
      <x:c r="F1639" t="str">
        <x:v>PM</x:v>
      </x:c>
      <x:c r="G1639" t="str">
        <x:v>A</x:v>
      </x:c>
      <x:c r="H1639" t="n">
        <x:v>23</x:v>
      </x:c>
      <x:c r="I1639" t="str">
        <x:v>ORD-2025-00094</x:v>
      </x:c>
      <x:c r="J1639" t="n">
        <x:v>12</x:v>
      </x:c>
      <x:c r="K1639" t="n">
        <x:v>3</x:v>
      </x:c>
      <x:c r="L1639" t="str">
        <x:v>L23-S12-C3</x:v>
      </x:c>
      <x:c r="M1639" t="n">
        <x:v>0</x:v>
      </x:c>
      <x:c r="N1639" t="str">
        <x:v>DerivedFromCount</x:v>
      </x:c>
      <x:c r="O1639" t="str">
        <x:v>PLC-PRD-JAR-720-L23</x:v>
      </x:c>
      <x:c r="P1639" t="str">
        <x:v>OK</x:v>
      </x:c>
      <x:c r="Q1639" t="str">
        <x:v>OK</x:v>
      </x:c>
      <x:c r="R1639" t="str">
        <x:v>OK</x:v>
      </x:c>
      <x:c r="S1639" t="str">
        <x:v>OK</x:v>
      </x:c>
      <x:c r="T1639" t="n">
        <x:v>24</x:v>
      </x:c>
      <x:c r="U1639" t="str">
        <x:v>OK</x:v>
      </x:c>
      <x:c r="V1639" t="str">
        <x:v>OK</x:v>
      </x:c>
      <x:c r="W1639" t="str">
        <x:v>LOAD</x:v>
      </x:c>
      <x:c r="X1639" t="str">
        <x:v>02_Supervisor_Log(4).xlsx</x:v>
      </x:c>
      <x:c r="Y1639" t="str">
        <x:v>ENH-20260830-01</x:v>
      </x:c>
      <x:c r="Z1639" t="str">
        <x:v>Active</x:v>
      </x:c>
      <x:c r="AA1639"/>
      <x:c r="AB1639"/>
      <x:c r="AC1639"/>
      <x:c r="AD1639"/>
    </x:row>
    <x:row r="1640">
      <x:c r="A1640" t="str">
        <x:v>PCC-PE-KG01-L23-20251026-PM-ORD-2025-00094-S13-C1</x:v>
      </x:c>
      <x:c r="B1640" t="str">
        <x:v>PC-PE-KG01-L23-20251026-PM-ORD-2025-00094-S13</x:v>
      </x:c>
      <x:c r="C1640" t="str">
        <x:v>PE-KG01-L23-20251026-PM-ORD-2025-00094</x:v>
      </x:c>
      <x:c r="D1640" t="str">
        <x:v>KG01</x:v>
      </x:c>
      <x:c r="E1640" s="62" t="n">
        <x:v>45956</x:v>
      </x:c>
      <x:c r="F1640" t="str">
        <x:v>PM</x:v>
      </x:c>
      <x:c r="G1640" t="str">
        <x:v>A</x:v>
      </x:c>
      <x:c r="H1640" t="n">
        <x:v>23</x:v>
      </x:c>
      <x:c r="I1640" t="str">
        <x:v>ORD-2025-00094</x:v>
      </x:c>
      <x:c r="J1640" t="n">
        <x:v>13</x:v>
      </x:c>
      <x:c r="K1640" t="n">
        <x:v>1</x:v>
      </x:c>
      <x:c r="L1640" t="str">
        <x:v>L23-S13-C1</x:v>
      </x:c>
      <x:c r="M1640" t="n">
        <x:v>0</x:v>
      </x:c>
      <x:c r="N1640" t="str">
        <x:v>DerivedFromCount</x:v>
      </x:c>
      <x:c r="O1640" t="str">
        <x:v>PLC-PRD-JAR-720-L23</x:v>
      </x:c>
      <x:c r="P1640" t="str">
        <x:v>OK</x:v>
      </x:c>
      <x:c r="Q1640" t="str">
        <x:v>OK</x:v>
      </x:c>
      <x:c r="R1640" t="str">
        <x:v>OK</x:v>
      </x:c>
      <x:c r="S1640" t="str">
        <x:v>OK</x:v>
      </x:c>
      <x:c r="T1640" t="n">
        <x:v>24</x:v>
      </x:c>
      <x:c r="U1640" t="str">
        <x:v>OK</x:v>
      </x:c>
      <x:c r="V1640" t="str">
        <x:v>OK</x:v>
      </x:c>
      <x:c r="W1640" t="str">
        <x:v>LOAD</x:v>
      </x:c>
      <x:c r="X1640" t="str">
        <x:v>02_Supervisor_Log(4).xlsx</x:v>
      </x:c>
      <x:c r="Y1640" t="str">
        <x:v>ENH-20260830-01</x:v>
      </x:c>
      <x:c r="Z1640" t="str">
        <x:v>Active</x:v>
      </x:c>
      <x:c r="AA1640"/>
      <x:c r="AB1640"/>
      <x:c r="AC1640"/>
      <x:c r="AD1640"/>
    </x:row>
    <x:row r="1641">
      <x:c r="A1641" t="str">
        <x:v>PCC-PE-KG01-L23-20251026-PM-ORD-2025-00094-S13-C2</x:v>
      </x:c>
      <x:c r="B1641" t="str">
        <x:v>PC-PE-KG01-L23-20251026-PM-ORD-2025-00094-S13</x:v>
      </x:c>
      <x:c r="C1641" t="str">
        <x:v>PE-KG01-L23-20251026-PM-ORD-2025-00094</x:v>
      </x:c>
      <x:c r="D1641" t="str">
        <x:v>KG01</x:v>
      </x:c>
      <x:c r="E1641" s="62" t="n">
        <x:v>45956</x:v>
      </x:c>
      <x:c r="F1641" t="str">
        <x:v>PM</x:v>
      </x:c>
      <x:c r="G1641" t="str">
        <x:v>A</x:v>
      </x:c>
      <x:c r="H1641" t="n">
        <x:v>23</x:v>
      </x:c>
      <x:c r="I1641" t="str">
        <x:v>ORD-2025-00094</x:v>
      </x:c>
      <x:c r="J1641" t="n">
        <x:v>13</x:v>
      </x:c>
      <x:c r="K1641" t="n">
        <x:v>2</x:v>
      </x:c>
      <x:c r="L1641" t="str">
        <x:v>L23-S13-C2</x:v>
      </x:c>
      <x:c r="M1641" t="n">
        <x:v>0</x:v>
      </x:c>
      <x:c r="N1641" t="str">
        <x:v>DerivedFromCount</x:v>
      </x:c>
      <x:c r="O1641" t="str">
        <x:v>PLC-PRD-JAR-720-L23</x:v>
      </x:c>
      <x:c r="P1641" t="str">
        <x:v>OK</x:v>
      </x:c>
      <x:c r="Q1641" t="str">
        <x:v>OK</x:v>
      </x:c>
      <x:c r="R1641" t="str">
        <x:v>OK</x:v>
      </x:c>
      <x:c r="S1641" t="str">
        <x:v>OK</x:v>
      </x:c>
      <x:c r="T1641" t="n">
        <x:v>24</x:v>
      </x:c>
      <x:c r="U1641" t="str">
        <x:v>OK</x:v>
      </x:c>
      <x:c r="V1641" t="str">
        <x:v>OK</x:v>
      </x:c>
      <x:c r="W1641" t="str">
        <x:v>LOAD</x:v>
      </x:c>
      <x:c r="X1641" t="str">
        <x:v>02_Supervisor_Log(4).xlsx</x:v>
      </x:c>
      <x:c r="Y1641" t="str">
        <x:v>ENH-20260830-01</x:v>
      </x:c>
      <x:c r="Z1641" t="str">
        <x:v>Active</x:v>
      </x:c>
      <x:c r="AA1641"/>
      <x:c r="AB1641"/>
      <x:c r="AC1641"/>
      <x:c r="AD1641"/>
    </x:row>
    <x:row r="1642">
      <x:c r="A1642" t="str">
        <x:v>PCC-PE-KG01-L23-20251026-PM-ORD-2025-00094-S13-C3</x:v>
      </x:c>
      <x:c r="B1642" t="str">
        <x:v>PC-PE-KG01-L23-20251026-PM-ORD-2025-00094-S13</x:v>
      </x:c>
      <x:c r="C1642" t="str">
        <x:v>PE-KG01-L23-20251026-PM-ORD-2025-00094</x:v>
      </x:c>
      <x:c r="D1642" t="str">
        <x:v>KG01</x:v>
      </x:c>
      <x:c r="E1642" s="62" t="n">
        <x:v>45956</x:v>
      </x:c>
      <x:c r="F1642" t="str">
        <x:v>PM</x:v>
      </x:c>
      <x:c r="G1642" t="str">
        <x:v>A</x:v>
      </x:c>
      <x:c r="H1642" t="n">
        <x:v>23</x:v>
      </x:c>
      <x:c r="I1642" t="str">
        <x:v>ORD-2025-00094</x:v>
      </x:c>
      <x:c r="J1642" t="n">
        <x:v>13</x:v>
      </x:c>
      <x:c r="K1642" t="n">
        <x:v>3</x:v>
      </x:c>
      <x:c r="L1642" t="str">
        <x:v>L23-S13-C3</x:v>
      </x:c>
      <x:c r="M1642" t="n">
        <x:v>0</x:v>
      </x:c>
      <x:c r="N1642" t="str">
        <x:v>DerivedFromCount</x:v>
      </x:c>
      <x:c r="O1642" t="str">
        <x:v>PLC-PRD-JAR-720-L23</x:v>
      </x:c>
      <x:c r="P1642" t="str">
        <x:v>OK</x:v>
      </x:c>
      <x:c r="Q1642" t="str">
        <x:v>OK</x:v>
      </x:c>
      <x:c r="R1642" t="str">
        <x:v>OK</x:v>
      </x:c>
      <x:c r="S1642" t="str">
        <x:v>OK</x:v>
      </x:c>
      <x:c r="T1642" t="n">
        <x:v>24</x:v>
      </x:c>
      <x:c r="U1642" t="str">
        <x:v>OK</x:v>
      </x:c>
      <x:c r="V1642" t="str">
        <x:v>OK</x:v>
      </x:c>
      <x:c r="W1642" t="str">
        <x:v>LOAD</x:v>
      </x:c>
      <x:c r="X1642" t="str">
        <x:v>02_Supervisor_Log(4).xlsx</x:v>
      </x:c>
      <x:c r="Y1642" t="str">
        <x:v>ENH-20260830-01</x:v>
      </x:c>
      <x:c r="Z1642" t="str">
        <x:v>Active</x:v>
      </x:c>
      <x:c r="AA1642"/>
      <x:c r="AB1642"/>
      <x:c r="AC1642"/>
      <x:c r="AD1642"/>
    </x:row>
    <x:row r="1643">
      <x:c r="A1643" t="str">
        <x:v>PCC-PE-KG01-L24-20251020-AM-ORD-2025-00124-S01-C1</x:v>
      </x:c>
      <x:c r="B1643" t="str">
        <x:v>PC-PE-KG01-L24-20251020-AM-ORD-2025-00124-S01</x:v>
      </x:c>
      <x:c r="C1643" t="str">
        <x:v>PE-KG01-L24-20251020-AM-ORD-2025-00124</x:v>
      </x:c>
      <x:c r="D1643" t="str">
        <x:v>KG01</x:v>
      </x:c>
      <x:c r="E1643" s="62" t="n">
        <x:v>45950</x:v>
      </x:c>
      <x:c r="F1643" t="str">
        <x:v>AM</x:v>
      </x:c>
      <x:c r="G1643" t="str">
        <x:v>C</x:v>
      </x:c>
      <x:c r="H1643" t="n">
        <x:v>24</x:v>
      </x:c>
      <x:c r="I1643" t="str">
        <x:v>ORD-2025-00124</x:v>
      </x:c>
      <x:c r="J1643" t="n">
        <x:v>1</x:v>
      </x:c>
      <x:c r="K1643" t="n">
        <x:v>1</x:v>
      </x:c>
      <x:c r="L1643" t="str">
        <x:v>L24-S01-C1</x:v>
      </x:c>
      <x:c r="M1643" t="n">
        <x:v>1</x:v>
      </x:c>
      <x:c r="N1643" t="str">
        <x:v>DerivedFromCount</x:v>
      </x:c>
      <x:c r="O1643" t="str">
        <x:v>PLC-PRD-BOT-500-L24</x:v>
      </x:c>
      <x:c r="P1643" t="str">
        <x:v>OK</x:v>
      </x:c>
      <x:c r="Q1643" t="str">
        <x:v>OK</x:v>
      </x:c>
      <x:c r="R1643" t="str">
        <x:v>CHECK</x:v>
      </x:c>
      <x:c r="S1643" t="str">
        <x:v>OK</x:v>
      </x:c>
      <x:c r="T1643" t="n">
        <x:v>36</x:v>
      </x:c>
      <x:c r="U1643" t="str">
        <x:v>CHECK</x:v>
      </x:c>
      <x:c r="V1643" t="str">
        <x:v>CHECK</x:v>
      </x:c>
      <x:c r="W1643" t="str">
        <x:v>QUARANTINE</x:v>
      </x:c>
      <x:c r="X1643" t="str">
        <x:v>02_Supervisor_Log(4).xlsx</x:v>
      </x:c>
      <x:c r="Y1643" t="str">
        <x:v>ENH-20260830-01</x:v>
      </x:c>
      <x:c r="Z1643" t="str">
        <x:v>Active</x:v>
      </x:c>
      <x:c r="AA1643"/>
      <x:c r="AB1643"/>
      <x:c r="AC1643"/>
      <x:c r="AD1643"/>
    </x:row>
    <x:row r="1644">
      <x:c r="A1644" t="str">
        <x:v>PCC-PE-KG01-L24-20251020-AM-ORD-2025-00124-S01-C2</x:v>
      </x:c>
      <x:c r="B1644" t="str">
        <x:v>PC-PE-KG01-L24-20251020-AM-ORD-2025-00124-S01</x:v>
      </x:c>
      <x:c r="C1644" t="str">
        <x:v>PE-KG01-L24-20251020-AM-ORD-2025-00124</x:v>
      </x:c>
      <x:c r="D1644" t="str">
        <x:v>KG01</x:v>
      </x:c>
      <x:c r="E1644" s="62" t="n">
        <x:v>45950</x:v>
      </x:c>
      <x:c r="F1644" t="str">
        <x:v>AM</x:v>
      </x:c>
      <x:c r="G1644" t="str">
        <x:v>C</x:v>
      </x:c>
      <x:c r="H1644" t="n">
        <x:v>24</x:v>
      </x:c>
      <x:c r="I1644" t="str">
        <x:v>ORD-2025-00124</x:v>
      </x:c>
      <x:c r="J1644" t="n">
        <x:v>1</x:v>
      </x:c>
      <x:c r="K1644" t="n">
        <x:v>2</x:v>
      </x:c>
      <x:c r="L1644" t="str">
        <x:v>L24-S01-C2</x:v>
      </x:c>
      <x:c r="M1644" t="n">
        <x:v>1</x:v>
      </x:c>
      <x:c r="N1644" t="str">
        <x:v>DerivedFromCount</x:v>
      </x:c>
      <x:c r="O1644" t="str">
        <x:v>PLC-PRD-BOT-500-L24</x:v>
      </x:c>
      <x:c r="P1644" t="str">
        <x:v>OK</x:v>
      </x:c>
      <x:c r="Q1644" t="str">
        <x:v>OK</x:v>
      </x:c>
      <x:c r="R1644" t="str">
        <x:v>CHECK</x:v>
      </x:c>
      <x:c r="S1644" t="str">
        <x:v>OK</x:v>
      </x:c>
      <x:c r="T1644" t="n">
        <x:v>36</x:v>
      </x:c>
      <x:c r="U1644" t="str">
        <x:v>CHECK</x:v>
      </x:c>
      <x:c r="V1644" t="str">
        <x:v>CHECK</x:v>
      </x:c>
      <x:c r="W1644" t="str">
        <x:v>QUARANTINE</x:v>
      </x:c>
      <x:c r="X1644" t="str">
        <x:v>02_Supervisor_Log(4).xlsx</x:v>
      </x:c>
      <x:c r="Y1644" t="str">
        <x:v>ENH-20260830-01</x:v>
      </x:c>
      <x:c r="Z1644" t="str">
        <x:v>Active</x:v>
      </x:c>
      <x:c r="AA1644"/>
      <x:c r="AB1644"/>
      <x:c r="AC1644"/>
      <x:c r="AD1644"/>
    </x:row>
    <x:row r="1645">
      <x:c r="A1645" t="str">
        <x:v>PCC-PE-KG01-L24-20251020-AM-ORD-2025-00124-S01-C3</x:v>
      </x:c>
      <x:c r="B1645" t="str">
        <x:v>PC-PE-KG01-L24-20251020-AM-ORD-2025-00124-S01</x:v>
      </x:c>
      <x:c r="C1645" t="str">
        <x:v>PE-KG01-L24-20251020-AM-ORD-2025-00124</x:v>
      </x:c>
      <x:c r="D1645" t="str">
        <x:v>KG01</x:v>
      </x:c>
      <x:c r="E1645" s="62" t="n">
        <x:v>45950</x:v>
      </x:c>
      <x:c r="F1645" t="str">
        <x:v>AM</x:v>
      </x:c>
      <x:c r="G1645" t="str">
        <x:v>C</x:v>
      </x:c>
      <x:c r="H1645" t="n">
        <x:v>24</x:v>
      </x:c>
      <x:c r="I1645" t="str">
        <x:v>ORD-2025-00124</x:v>
      </x:c>
      <x:c r="J1645" t="n">
        <x:v>1</x:v>
      </x:c>
      <x:c r="K1645" t="n">
        <x:v>3</x:v>
      </x:c>
      <x:c r="L1645" t="str">
        <x:v>L24-S01-C3</x:v>
      </x:c>
      <x:c r="M1645" t="n">
        <x:v>1</x:v>
      </x:c>
      <x:c r="N1645" t="str">
        <x:v>DerivedFromCount</x:v>
      </x:c>
      <x:c r="O1645" t="str">
        <x:v>PLC-PRD-BOT-500-L24</x:v>
      </x:c>
      <x:c r="P1645" t="str">
        <x:v>OK</x:v>
      </x:c>
      <x:c r="Q1645" t="str">
        <x:v>OK</x:v>
      </x:c>
      <x:c r="R1645" t="str">
        <x:v>CHECK</x:v>
      </x:c>
      <x:c r="S1645" t="str">
        <x:v>OK</x:v>
      </x:c>
      <x:c r="T1645" t="n">
        <x:v>36</x:v>
      </x:c>
      <x:c r="U1645" t="str">
        <x:v>CHECK</x:v>
      </x:c>
      <x:c r="V1645" t="str">
        <x:v>CHECK</x:v>
      </x:c>
      <x:c r="W1645" t="str">
        <x:v>QUARANTINE</x:v>
      </x:c>
      <x:c r="X1645" t="str">
        <x:v>02_Supervisor_Log(4).xlsx</x:v>
      </x:c>
      <x:c r="Y1645" t="str">
        <x:v>ENH-20260830-01</x:v>
      </x:c>
      <x:c r="Z1645" t="str">
        <x:v>Active</x:v>
      </x:c>
      <x:c r="AA1645"/>
      <x:c r="AB1645"/>
      <x:c r="AC1645"/>
      <x:c r="AD1645"/>
    </x:row>
    <x:row r="1646">
      <x:c r="A1646" t="str">
        <x:v>PCC-PE-KG01-L24-20251020-AM-ORD-2025-00124-S02-C1</x:v>
      </x:c>
      <x:c r="B1646" t="str">
        <x:v>PC-PE-KG01-L24-20251020-AM-ORD-2025-00124-S02</x:v>
      </x:c>
      <x:c r="C1646" t="str">
        <x:v>PE-KG01-L24-20251020-AM-ORD-2025-00124</x:v>
      </x:c>
      <x:c r="D1646" t="str">
        <x:v>KG01</x:v>
      </x:c>
      <x:c r="E1646" s="62" t="n">
        <x:v>45950</x:v>
      </x:c>
      <x:c r="F1646" t="str">
        <x:v>AM</x:v>
      </x:c>
      <x:c r="G1646" t="str">
        <x:v>C</x:v>
      </x:c>
      <x:c r="H1646" t="n">
        <x:v>24</x:v>
      </x:c>
      <x:c r="I1646" t="str">
        <x:v>ORD-2025-00124</x:v>
      </x:c>
      <x:c r="J1646" t="n">
        <x:v>2</x:v>
      </x:c>
      <x:c r="K1646" t="n">
        <x:v>1</x:v>
      </x:c>
      <x:c r="L1646" t="str">
        <x:v>L24-S02-C1</x:v>
      </x:c>
      <x:c r="M1646" t="n">
        <x:v>1</x:v>
      </x:c>
      <x:c r="N1646" t="str">
        <x:v>DerivedFromCount</x:v>
      </x:c>
      <x:c r="O1646" t="str">
        <x:v>PLC-PRD-BOT-500-L24</x:v>
      </x:c>
      <x:c r="P1646" t="str">
        <x:v>OK</x:v>
      </x:c>
      <x:c r="Q1646" t="str">
        <x:v>OK</x:v>
      </x:c>
      <x:c r="R1646" t="str">
        <x:v>CHECK</x:v>
      </x:c>
      <x:c r="S1646" t="str">
        <x:v>OK</x:v>
      </x:c>
      <x:c r="T1646" t="n">
        <x:v>36</x:v>
      </x:c>
      <x:c r="U1646" t="str">
        <x:v>CHECK</x:v>
      </x:c>
      <x:c r="V1646" t="str">
        <x:v>CHECK</x:v>
      </x:c>
      <x:c r="W1646" t="str">
        <x:v>QUARANTINE</x:v>
      </x:c>
      <x:c r="X1646" t="str">
        <x:v>02_Supervisor_Log(4).xlsx</x:v>
      </x:c>
      <x:c r="Y1646" t="str">
        <x:v>ENH-20260830-01</x:v>
      </x:c>
      <x:c r="Z1646" t="str">
        <x:v>Active</x:v>
      </x:c>
      <x:c r="AA1646"/>
      <x:c r="AB1646"/>
      <x:c r="AC1646"/>
      <x:c r="AD1646"/>
    </x:row>
    <x:row r="1647">
      <x:c r="A1647" t="str">
        <x:v>PCC-PE-KG01-L24-20251020-AM-ORD-2025-00124-S02-C2</x:v>
      </x:c>
      <x:c r="B1647" t="str">
        <x:v>PC-PE-KG01-L24-20251020-AM-ORD-2025-00124-S02</x:v>
      </x:c>
      <x:c r="C1647" t="str">
        <x:v>PE-KG01-L24-20251020-AM-ORD-2025-00124</x:v>
      </x:c>
      <x:c r="D1647" t="str">
        <x:v>KG01</x:v>
      </x:c>
      <x:c r="E1647" s="62" t="n">
        <x:v>45950</x:v>
      </x:c>
      <x:c r="F1647" t="str">
        <x:v>AM</x:v>
      </x:c>
      <x:c r="G1647" t="str">
        <x:v>C</x:v>
      </x:c>
      <x:c r="H1647" t="n">
        <x:v>24</x:v>
      </x:c>
      <x:c r="I1647" t="str">
        <x:v>ORD-2025-00124</x:v>
      </x:c>
      <x:c r="J1647" t="n">
        <x:v>2</x:v>
      </x:c>
      <x:c r="K1647" t="n">
        <x:v>2</x:v>
      </x:c>
      <x:c r="L1647" t="str">
        <x:v>L24-S02-C2</x:v>
      </x:c>
      <x:c r="M1647" t="n">
        <x:v>1</x:v>
      </x:c>
      <x:c r="N1647" t="str">
        <x:v>DerivedFromCount</x:v>
      </x:c>
      <x:c r="O1647" t="str">
        <x:v>PLC-PRD-BOT-500-L24</x:v>
      </x:c>
      <x:c r="P1647" t="str">
        <x:v>OK</x:v>
      </x:c>
      <x:c r="Q1647" t="str">
        <x:v>OK</x:v>
      </x:c>
      <x:c r="R1647" t="str">
        <x:v>CHECK</x:v>
      </x:c>
      <x:c r="S1647" t="str">
        <x:v>OK</x:v>
      </x:c>
      <x:c r="T1647" t="n">
        <x:v>36</x:v>
      </x:c>
      <x:c r="U1647" t="str">
        <x:v>CHECK</x:v>
      </x:c>
      <x:c r="V1647" t="str">
        <x:v>CHECK</x:v>
      </x:c>
      <x:c r="W1647" t="str">
        <x:v>QUARANTINE</x:v>
      </x:c>
      <x:c r="X1647" t="str">
        <x:v>02_Supervisor_Log(4).xlsx</x:v>
      </x:c>
      <x:c r="Y1647" t="str">
        <x:v>ENH-20260830-01</x:v>
      </x:c>
      <x:c r="Z1647" t="str">
        <x:v>Active</x:v>
      </x:c>
      <x:c r="AA1647"/>
      <x:c r="AB1647"/>
      <x:c r="AC1647"/>
      <x:c r="AD1647"/>
    </x:row>
    <x:row r="1648">
      <x:c r="A1648" t="str">
        <x:v>PCC-PE-KG01-L24-20251020-AM-ORD-2025-00124-S02-C3</x:v>
      </x:c>
      <x:c r="B1648" t="str">
        <x:v>PC-PE-KG01-L24-20251020-AM-ORD-2025-00124-S02</x:v>
      </x:c>
      <x:c r="C1648" t="str">
        <x:v>PE-KG01-L24-20251020-AM-ORD-2025-00124</x:v>
      </x:c>
      <x:c r="D1648" t="str">
        <x:v>KG01</x:v>
      </x:c>
      <x:c r="E1648" s="62" t="n">
        <x:v>45950</x:v>
      </x:c>
      <x:c r="F1648" t="str">
        <x:v>AM</x:v>
      </x:c>
      <x:c r="G1648" t="str">
        <x:v>C</x:v>
      </x:c>
      <x:c r="H1648" t="n">
        <x:v>24</x:v>
      </x:c>
      <x:c r="I1648" t="str">
        <x:v>ORD-2025-00124</x:v>
      </x:c>
      <x:c r="J1648" t="n">
        <x:v>2</x:v>
      </x:c>
      <x:c r="K1648" t="n">
        <x:v>3</x:v>
      </x:c>
      <x:c r="L1648" t="str">
        <x:v>L24-S02-C3</x:v>
      </x:c>
      <x:c r="M1648" t="n">
        <x:v>1</x:v>
      </x:c>
      <x:c r="N1648" t="str">
        <x:v>DerivedFromCount</x:v>
      </x:c>
      <x:c r="O1648" t="str">
        <x:v>PLC-PRD-BOT-500-L24</x:v>
      </x:c>
      <x:c r="P1648" t="str">
        <x:v>OK</x:v>
      </x:c>
      <x:c r="Q1648" t="str">
        <x:v>OK</x:v>
      </x:c>
      <x:c r="R1648" t="str">
        <x:v>CHECK</x:v>
      </x:c>
      <x:c r="S1648" t="str">
        <x:v>OK</x:v>
      </x:c>
      <x:c r="T1648" t="n">
        <x:v>36</x:v>
      </x:c>
      <x:c r="U1648" t="str">
        <x:v>CHECK</x:v>
      </x:c>
      <x:c r="V1648" t="str">
        <x:v>CHECK</x:v>
      </x:c>
      <x:c r="W1648" t="str">
        <x:v>QUARANTINE</x:v>
      </x:c>
      <x:c r="X1648" t="str">
        <x:v>02_Supervisor_Log(4).xlsx</x:v>
      </x:c>
      <x:c r="Y1648" t="str">
        <x:v>ENH-20260830-01</x:v>
      </x:c>
      <x:c r="Z1648" t="str">
        <x:v>Active</x:v>
      </x:c>
      <x:c r="AA1648"/>
      <x:c r="AB1648"/>
      <x:c r="AC1648"/>
      <x:c r="AD1648"/>
    </x:row>
    <x:row r="1649">
      <x:c r="A1649" t="str">
        <x:v>PCC-PE-KG01-L24-20251020-AM-ORD-2025-00124-S03-C1</x:v>
      </x:c>
      <x:c r="B1649" t="str">
        <x:v>PC-PE-KG01-L24-20251020-AM-ORD-2025-00124-S03</x:v>
      </x:c>
      <x:c r="C1649" t="str">
        <x:v>PE-KG01-L24-20251020-AM-ORD-2025-00124</x:v>
      </x:c>
      <x:c r="D1649" t="str">
        <x:v>KG01</x:v>
      </x:c>
      <x:c r="E1649" s="62" t="n">
        <x:v>45950</x:v>
      </x:c>
      <x:c r="F1649" t="str">
        <x:v>AM</x:v>
      </x:c>
      <x:c r="G1649" t="str">
        <x:v>C</x:v>
      </x:c>
      <x:c r="H1649" t="n">
        <x:v>24</x:v>
      </x:c>
      <x:c r="I1649" t="str">
        <x:v>ORD-2025-00124</x:v>
      </x:c>
      <x:c r="J1649" t="n">
        <x:v>3</x:v>
      </x:c>
      <x:c r="K1649" t="n">
        <x:v>1</x:v>
      </x:c>
      <x:c r="L1649" t="str">
        <x:v>L24-S03-C1</x:v>
      </x:c>
      <x:c r="M1649" t="n">
        <x:v>1</x:v>
      </x:c>
      <x:c r="N1649" t="str">
        <x:v>DerivedFromCount</x:v>
      </x:c>
      <x:c r="O1649" t="str">
        <x:v>PLC-PRD-BOT-500-L24</x:v>
      </x:c>
      <x:c r="P1649" t="str">
        <x:v>OK</x:v>
      </x:c>
      <x:c r="Q1649" t="str">
        <x:v>OK</x:v>
      </x:c>
      <x:c r="R1649" t="str">
        <x:v>CHECK</x:v>
      </x:c>
      <x:c r="S1649" t="str">
        <x:v>OK</x:v>
      </x:c>
      <x:c r="T1649" t="n">
        <x:v>36</x:v>
      </x:c>
      <x:c r="U1649" t="str">
        <x:v>CHECK</x:v>
      </x:c>
      <x:c r="V1649" t="str">
        <x:v>CHECK</x:v>
      </x:c>
      <x:c r="W1649" t="str">
        <x:v>QUARANTINE</x:v>
      </x:c>
      <x:c r="X1649" t="str">
        <x:v>02_Supervisor_Log(4).xlsx</x:v>
      </x:c>
      <x:c r="Y1649" t="str">
        <x:v>ENH-20260830-01</x:v>
      </x:c>
      <x:c r="Z1649" t="str">
        <x:v>Active</x:v>
      </x:c>
      <x:c r="AA1649"/>
      <x:c r="AB1649"/>
      <x:c r="AC1649"/>
      <x:c r="AD1649"/>
    </x:row>
    <x:row r="1650">
      <x:c r="A1650" t="str">
        <x:v>PCC-PE-KG01-L24-20251020-AM-ORD-2025-00124-S03-C2</x:v>
      </x:c>
      <x:c r="B1650" t="str">
        <x:v>PC-PE-KG01-L24-20251020-AM-ORD-2025-00124-S03</x:v>
      </x:c>
      <x:c r="C1650" t="str">
        <x:v>PE-KG01-L24-20251020-AM-ORD-2025-00124</x:v>
      </x:c>
      <x:c r="D1650" t="str">
        <x:v>KG01</x:v>
      </x:c>
      <x:c r="E1650" s="62" t="n">
        <x:v>45950</x:v>
      </x:c>
      <x:c r="F1650" t="str">
        <x:v>AM</x:v>
      </x:c>
      <x:c r="G1650" t="str">
        <x:v>C</x:v>
      </x:c>
      <x:c r="H1650" t="n">
        <x:v>24</x:v>
      </x:c>
      <x:c r="I1650" t="str">
        <x:v>ORD-2025-00124</x:v>
      </x:c>
      <x:c r="J1650" t="n">
        <x:v>3</x:v>
      </x:c>
      <x:c r="K1650" t="n">
        <x:v>2</x:v>
      </x:c>
      <x:c r="L1650" t="str">
        <x:v>L24-S03-C2</x:v>
      </x:c>
      <x:c r="M1650" t="n">
        <x:v>1</x:v>
      </x:c>
      <x:c r="N1650" t="str">
        <x:v>DerivedFromCount</x:v>
      </x:c>
      <x:c r="O1650" t="str">
        <x:v>PLC-PRD-BOT-500-L24</x:v>
      </x:c>
      <x:c r="P1650" t="str">
        <x:v>OK</x:v>
      </x:c>
      <x:c r="Q1650" t="str">
        <x:v>OK</x:v>
      </x:c>
      <x:c r="R1650" t="str">
        <x:v>CHECK</x:v>
      </x:c>
      <x:c r="S1650" t="str">
        <x:v>OK</x:v>
      </x:c>
      <x:c r="T1650" t="n">
        <x:v>36</x:v>
      </x:c>
      <x:c r="U1650" t="str">
        <x:v>CHECK</x:v>
      </x:c>
      <x:c r="V1650" t="str">
        <x:v>CHECK</x:v>
      </x:c>
      <x:c r="W1650" t="str">
        <x:v>QUARANTINE</x:v>
      </x:c>
      <x:c r="X1650" t="str">
        <x:v>02_Supervisor_Log(4).xlsx</x:v>
      </x:c>
      <x:c r="Y1650" t="str">
        <x:v>ENH-20260830-01</x:v>
      </x:c>
      <x:c r="Z1650" t="str">
        <x:v>Active</x:v>
      </x:c>
      <x:c r="AA1650"/>
      <x:c r="AB1650"/>
      <x:c r="AC1650"/>
      <x:c r="AD1650"/>
    </x:row>
    <x:row r="1651">
      <x:c r="A1651" t="str">
        <x:v>PCC-PE-KG01-L24-20251020-AM-ORD-2025-00124-S03-C3</x:v>
      </x:c>
      <x:c r="B1651" t="str">
        <x:v>PC-PE-KG01-L24-20251020-AM-ORD-2025-00124-S03</x:v>
      </x:c>
      <x:c r="C1651" t="str">
        <x:v>PE-KG01-L24-20251020-AM-ORD-2025-00124</x:v>
      </x:c>
      <x:c r="D1651" t="str">
        <x:v>KG01</x:v>
      </x:c>
      <x:c r="E1651" s="62" t="n">
        <x:v>45950</x:v>
      </x:c>
      <x:c r="F1651" t="str">
        <x:v>AM</x:v>
      </x:c>
      <x:c r="G1651" t="str">
        <x:v>C</x:v>
      </x:c>
      <x:c r="H1651" t="n">
        <x:v>24</x:v>
      </x:c>
      <x:c r="I1651" t="str">
        <x:v>ORD-2025-00124</x:v>
      </x:c>
      <x:c r="J1651" t="n">
        <x:v>3</x:v>
      </x:c>
      <x:c r="K1651" t="n">
        <x:v>3</x:v>
      </x:c>
      <x:c r="L1651" t="str">
        <x:v>L24-S03-C3</x:v>
      </x:c>
      <x:c r="M1651" t="n">
        <x:v>1</x:v>
      </x:c>
      <x:c r="N1651" t="str">
        <x:v>DerivedFromCount</x:v>
      </x:c>
      <x:c r="O1651" t="str">
        <x:v>PLC-PRD-BOT-500-L24</x:v>
      </x:c>
      <x:c r="P1651" t="str">
        <x:v>OK</x:v>
      </x:c>
      <x:c r="Q1651" t="str">
        <x:v>OK</x:v>
      </x:c>
      <x:c r="R1651" t="str">
        <x:v>CHECK</x:v>
      </x:c>
      <x:c r="S1651" t="str">
        <x:v>OK</x:v>
      </x:c>
      <x:c r="T1651" t="n">
        <x:v>36</x:v>
      </x:c>
      <x:c r="U1651" t="str">
        <x:v>CHECK</x:v>
      </x:c>
      <x:c r="V1651" t="str">
        <x:v>CHECK</x:v>
      </x:c>
      <x:c r="W1651" t="str">
        <x:v>QUARANTINE</x:v>
      </x:c>
      <x:c r="X1651" t="str">
        <x:v>02_Supervisor_Log(4).xlsx</x:v>
      </x:c>
      <x:c r="Y1651" t="str">
        <x:v>ENH-20260830-01</x:v>
      </x:c>
      <x:c r="Z1651" t="str">
        <x:v>Active</x:v>
      </x:c>
      <x:c r="AA1651"/>
      <x:c r="AB1651"/>
      <x:c r="AC1651"/>
      <x:c r="AD1651"/>
    </x:row>
    <x:row r="1652">
      <x:c r="A1652" t="str">
        <x:v>PCC-PE-KG01-L24-20251020-AM-ORD-2025-00124-S04-C1</x:v>
      </x:c>
      <x:c r="B1652" t="str">
        <x:v>PC-PE-KG01-L24-20251020-AM-ORD-2025-00124-S04</x:v>
      </x:c>
      <x:c r="C1652" t="str">
        <x:v>PE-KG01-L24-20251020-AM-ORD-2025-00124</x:v>
      </x:c>
      <x:c r="D1652" t="str">
        <x:v>KG01</x:v>
      </x:c>
      <x:c r="E1652" s="62" t="n">
        <x:v>45950</x:v>
      </x:c>
      <x:c r="F1652" t="str">
        <x:v>AM</x:v>
      </x:c>
      <x:c r="G1652" t="str">
        <x:v>C</x:v>
      </x:c>
      <x:c r="H1652" t="n">
        <x:v>24</x:v>
      </x:c>
      <x:c r="I1652" t="str">
        <x:v>ORD-2025-00124</x:v>
      </x:c>
      <x:c r="J1652" t="n">
        <x:v>4</x:v>
      </x:c>
      <x:c r="K1652" t="n">
        <x:v>1</x:v>
      </x:c>
      <x:c r="L1652" t="str">
        <x:v>L24-S04-C1</x:v>
      </x:c>
      <x:c r="M1652" t="n">
        <x:v>1</x:v>
      </x:c>
      <x:c r="N1652" t="str">
        <x:v>DerivedFromCount</x:v>
      </x:c>
      <x:c r="O1652" t="str">
        <x:v>PLC-PRD-BOT-500-L24</x:v>
      </x:c>
      <x:c r="P1652" t="str">
        <x:v>OK</x:v>
      </x:c>
      <x:c r="Q1652" t="str">
        <x:v>OK</x:v>
      </x:c>
      <x:c r="R1652" t="str">
        <x:v>CHECK</x:v>
      </x:c>
      <x:c r="S1652" t="str">
        <x:v>OK</x:v>
      </x:c>
      <x:c r="T1652" t="n">
        <x:v>36</x:v>
      </x:c>
      <x:c r="U1652" t="str">
        <x:v>CHECK</x:v>
      </x:c>
      <x:c r="V1652" t="str">
        <x:v>CHECK</x:v>
      </x:c>
      <x:c r="W1652" t="str">
        <x:v>QUARANTINE</x:v>
      </x:c>
      <x:c r="X1652" t="str">
        <x:v>02_Supervisor_Log(4).xlsx</x:v>
      </x:c>
      <x:c r="Y1652" t="str">
        <x:v>ENH-20260830-01</x:v>
      </x:c>
      <x:c r="Z1652" t="str">
        <x:v>Active</x:v>
      </x:c>
      <x:c r="AA1652"/>
      <x:c r="AB1652"/>
      <x:c r="AC1652"/>
      <x:c r="AD1652"/>
    </x:row>
    <x:row r="1653">
      <x:c r="A1653" t="str">
        <x:v>PCC-PE-KG01-L24-20251020-AM-ORD-2025-00124-S04-C2</x:v>
      </x:c>
      <x:c r="B1653" t="str">
        <x:v>PC-PE-KG01-L24-20251020-AM-ORD-2025-00124-S04</x:v>
      </x:c>
      <x:c r="C1653" t="str">
        <x:v>PE-KG01-L24-20251020-AM-ORD-2025-00124</x:v>
      </x:c>
      <x:c r="D1653" t="str">
        <x:v>KG01</x:v>
      </x:c>
      <x:c r="E1653" s="62" t="n">
        <x:v>45950</x:v>
      </x:c>
      <x:c r="F1653" t="str">
        <x:v>AM</x:v>
      </x:c>
      <x:c r="G1653" t="str">
        <x:v>C</x:v>
      </x:c>
      <x:c r="H1653" t="n">
        <x:v>24</x:v>
      </x:c>
      <x:c r="I1653" t="str">
        <x:v>ORD-2025-00124</x:v>
      </x:c>
      <x:c r="J1653" t="n">
        <x:v>4</x:v>
      </x:c>
      <x:c r="K1653" t="n">
        <x:v>2</x:v>
      </x:c>
      <x:c r="L1653" t="str">
        <x:v>L24-S04-C2</x:v>
      </x:c>
      <x:c r="M1653" t="n">
        <x:v>1</x:v>
      </x:c>
      <x:c r="N1653" t="str">
        <x:v>DerivedFromCount</x:v>
      </x:c>
      <x:c r="O1653" t="str">
        <x:v>PLC-PRD-BOT-500-L24</x:v>
      </x:c>
      <x:c r="P1653" t="str">
        <x:v>OK</x:v>
      </x:c>
      <x:c r="Q1653" t="str">
        <x:v>OK</x:v>
      </x:c>
      <x:c r="R1653" t="str">
        <x:v>CHECK</x:v>
      </x:c>
      <x:c r="S1653" t="str">
        <x:v>OK</x:v>
      </x:c>
      <x:c r="T1653" t="n">
        <x:v>36</x:v>
      </x:c>
      <x:c r="U1653" t="str">
        <x:v>CHECK</x:v>
      </x:c>
      <x:c r="V1653" t="str">
        <x:v>CHECK</x:v>
      </x:c>
      <x:c r="W1653" t="str">
        <x:v>QUARANTINE</x:v>
      </x:c>
      <x:c r="X1653" t="str">
        <x:v>02_Supervisor_Log(4).xlsx</x:v>
      </x:c>
      <x:c r="Y1653" t="str">
        <x:v>ENH-20260830-01</x:v>
      </x:c>
      <x:c r="Z1653" t="str">
        <x:v>Active</x:v>
      </x:c>
      <x:c r="AA1653"/>
      <x:c r="AB1653"/>
      <x:c r="AC1653"/>
      <x:c r="AD1653"/>
    </x:row>
    <x:row r="1654">
      <x:c r="A1654" t="str">
        <x:v>PCC-PE-KG01-L24-20251020-AM-ORD-2025-00124-S04-C3</x:v>
      </x:c>
      <x:c r="B1654" t="str">
        <x:v>PC-PE-KG01-L24-20251020-AM-ORD-2025-00124-S04</x:v>
      </x:c>
      <x:c r="C1654" t="str">
        <x:v>PE-KG01-L24-20251020-AM-ORD-2025-00124</x:v>
      </x:c>
      <x:c r="D1654" t="str">
        <x:v>KG01</x:v>
      </x:c>
      <x:c r="E1654" s="62" t="n">
        <x:v>45950</x:v>
      </x:c>
      <x:c r="F1654" t="str">
        <x:v>AM</x:v>
      </x:c>
      <x:c r="G1654" t="str">
        <x:v>C</x:v>
      </x:c>
      <x:c r="H1654" t="n">
        <x:v>24</x:v>
      </x:c>
      <x:c r="I1654" t="str">
        <x:v>ORD-2025-00124</x:v>
      </x:c>
      <x:c r="J1654" t="n">
        <x:v>4</x:v>
      </x:c>
      <x:c r="K1654" t="n">
        <x:v>3</x:v>
      </x:c>
      <x:c r="L1654" t="str">
        <x:v>L24-S04-C3</x:v>
      </x:c>
      <x:c r="M1654" t="n">
        <x:v>1</x:v>
      </x:c>
      <x:c r="N1654" t="str">
        <x:v>DerivedFromCount</x:v>
      </x:c>
      <x:c r="O1654" t="str">
        <x:v>PLC-PRD-BOT-500-L24</x:v>
      </x:c>
      <x:c r="P1654" t="str">
        <x:v>OK</x:v>
      </x:c>
      <x:c r="Q1654" t="str">
        <x:v>OK</x:v>
      </x:c>
      <x:c r="R1654" t="str">
        <x:v>CHECK</x:v>
      </x:c>
      <x:c r="S1654" t="str">
        <x:v>OK</x:v>
      </x:c>
      <x:c r="T1654" t="n">
        <x:v>36</x:v>
      </x:c>
      <x:c r="U1654" t="str">
        <x:v>CHECK</x:v>
      </x:c>
      <x:c r="V1654" t="str">
        <x:v>CHECK</x:v>
      </x:c>
      <x:c r="W1654" t="str">
        <x:v>QUARANTINE</x:v>
      </x:c>
      <x:c r="X1654" t="str">
        <x:v>02_Supervisor_Log(4).xlsx</x:v>
      </x:c>
      <x:c r="Y1654" t="str">
        <x:v>ENH-20260830-01</x:v>
      </x:c>
      <x:c r="Z1654" t="str">
        <x:v>Active</x:v>
      </x:c>
      <x:c r="AA1654"/>
      <x:c r="AB1654"/>
      <x:c r="AC1654"/>
      <x:c r="AD1654"/>
    </x:row>
    <x:row r="1655">
      <x:c r="A1655" t="str">
        <x:v>PCC-PE-KG01-L24-20251020-AM-ORD-2025-00124-S05-C1</x:v>
      </x:c>
      <x:c r="B1655" t="str">
        <x:v>PC-PE-KG01-L24-20251020-AM-ORD-2025-00124-S05</x:v>
      </x:c>
      <x:c r="C1655" t="str">
        <x:v>PE-KG01-L24-20251020-AM-ORD-2025-00124</x:v>
      </x:c>
      <x:c r="D1655" t="str">
        <x:v>KG01</x:v>
      </x:c>
      <x:c r="E1655" s="62" t="n">
        <x:v>45950</x:v>
      </x:c>
      <x:c r="F1655" t="str">
        <x:v>AM</x:v>
      </x:c>
      <x:c r="G1655" t="str">
        <x:v>C</x:v>
      </x:c>
      <x:c r="H1655" t="n">
        <x:v>24</x:v>
      </x:c>
      <x:c r="I1655" t="str">
        <x:v>ORD-2025-00124</x:v>
      </x:c>
      <x:c r="J1655" t="n">
        <x:v>5</x:v>
      </x:c>
      <x:c r="K1655" t="n">
        <x:v>1</x:v>
      </x:c>
      <x:c r="L1655" t="str">
        <x:v>L24-S05-C1</x:v>
      </x:c>
      <x:c r="M1655" t="n">
        <x:v>1</x:v>
      </x:c>
      <x:c r="N1655" t="str">
        <x:v>DerivedFromCount</x:v>
      </x:c>
      <x:c r="O1655" t="str">
        <x:v>PLC-PRD-BOT-500-L24</x:v>
      </x:c>
      <x:c r="P1655" t="str">
        <x:v>OK</x:v>
      </x:c>
      <x:c r="Q1655" t="str">
        <x:v>OK</x:v>
      </x:c>
      <x:c r="R1655" t="str">
        <x:v>CHECK</x:v>
      </x:c>
      <x:c r="S1655" t="str">
        <x:v>OK</x:v>
      </x:c>
      <x:c r="T1655" t="n">
        <x:v>36</x:v>
      </x:c>
      <x:c r="U1655" t="str">
        <x:v>CHECK</x:v>
      </x:c>
      <x:c r="V1655" t="str">
        <x:v>CHECK</x:v>
      </x:c>
      <x:c r="W1655" t="str">
        <x:v>QUARANTINE</x:v>
      </x:c>
      <x:c r="X1655" t="str">
        <x:v>02_Supervisor_Log(4).xlsx</x:v>
      </x:c>
      <x:c r="Y1655" t="str">
        <x:v>ENH-20260830-01</x:v>
      </x:c>
      <x:c r="Z1655" t="str">
        <x:v>Active</x:v>
      </x:c>
      <x:c r="AA1655"/>
      <x:c r="AB1655"/>
      <x:c r="AC1655"/>
      <x:c r="AD1655"/>
    </x:row>
    <x:row r="1656">
      <x:c r="A1656" t="str">
        <x:v>PCC-PE-KG01-L24-20251020-AM-ORD-2025-00124-S05-C2</x:v>
      </x:c>
      <x:c r="B1656" t="str">
        <x:v>PC-PE-KG01-L24-20251020-AM-ORD-2025-00124-S05</x:v>
      </x:c>
      <x:c r="C1656" t="str">
        <x:v>PE-KG01-L24-20251020-AM-ORD-2025-00124</x:v>
      </x:c>
      <x:c r="D1656" t="str">
        <x:v>KG01</x:v>
      </x:c>
      <x:c r="E1656" s="62" t="n">
        <x:v>45950</x:v>
      </x:c>
      <x:c r="F1656" t="str">
        <x:v>AM</x:v>
      </x:c>
      <x:c r="G1656" t="str">
        <x:v>C</x:v>
      </x:c>
      <x:c r="H1656" t="n">
        <x:v>24</x:v>
      </x:c>
      <x:c r="I1656" t="str">
        <x:v>ORD-2025-00124</x:v>
      </x:c>
      <x:c r="J1656" t="n">
        <x:v>5</x:v>
      </x:c>
      <x:c r="K1656" t="n">
        <x:v>2</x:v>
      </x:c>
      <x:c r="L1656" t="str">
        <x:v>L24-S05-C2</x:v>
      </x:c>
      <x:c r="M1656" t="n">
        <x:v>1</x:v>
      </x:c>
      <x:c r="N1656" t="str">
        <x:v>DerivedFromCount</x:v>
      </x:c>
      <x:c r="O1656" t="str">
        <x:v>PLC-PRD-BOT-500-L24</x:v>
      </x:c>
      <x:c r="P1656" t="str">
        <x:v>OK</x:v>
      </x:c>
      <x:c r="Q1656" t="str">
        <x:v>OK</x:v>
      </x:c>
      <x:c r="R1656" t="str">
        <x:v>CHECK</x:v>
      </x:c>
      <x:c r="S1656" t="str">
        <x:v>OK</x:v>
      </x:c>
      <x:c r="T1656" t="n">
        <x:v>36</x:v>
      </x:c>
      <x:c r="U1656" t="str">
        <x:v>CHECK</x:v>
      </x:c>
      <x:c r="V1656" t="str">
        <x:v>CHECK</x:v>
      </x:c>
      <x:c r="W1656" t="str">
        <x:v>QUARANTINE</x:v>
      </x:c>
      <x:c r="X1656" t="str">
        <x:v>02_Supervisor_Log(4).xlsx</x:v>
      </x:c>
      <x:c r="Y1656" t="str">
        <x:v>ENH-20260830-01</x:v>
      </x:c>
      <x:c r="Z1656" t="str">
        <x:v>Active</x:v>
      </x:c>
      <x:c r="AA1656"/>
      <x:c r="AB1656"/>
      <x:c r="AC1656"/>
      <x:c r="AD1656"/>
    </x:row>
    <x:row r="1657">
      <x:c r="A1657" t="str">
        <x:v>PCC-PE-KG01-L24-20251020-AM-ORD-2025-00124-S05-C3</x:v>
      </x:c>
      <x:c r="B1657" t="str">
        <x:v>PC-PE-KG01-L24-20251020-AM-ORD-2025-00124-S05</x:v>
      </x:c>
      <x:c r="C1657" t="str">
        <x:v>PE-KG01-L24-20251020-AM-ORD-2025-00124</x:v>
      </x:c>
      <x:c r="D1657" t="str">
        <x:v>KG01</x:v>
      </x:c>
      <x:c r="E1657" s="62" t="n">
        <x:v>45950</x:v>
      </x:c>
      <x:c r="F1657" t="str">
        <x:v>AM</x:v>
      </x:c>
      <x:c r="G1657" t="str">
        <x:v>C</x:v>
      </x:c>
      <x:c r="H1657" t="n">
        <x:v>24</x:v>
      </x:c>
      <x:c r="I1657" t="str">
        <x:v>ORD-2025-00124</x:v>
      </x:c>
      <x:c r="J1657" t="n">
        <x:v>5</x:v>
      </x:c>
      <x:c r="K1657" t="n">
        <x:v>3</x:v>
      </x:c>
      <x:c r="L1657" t="str">
        <x:v>L24-S05-C3</x:v>
      </x:c>
      <x:c r="M1657" t="n">
        <x:v>1</x:v>
      </x:c>
      <x:c r="N1657" t="str">
        <x:v>DerivedFromCount</x:v>
      </x:c>
      <x:c r="O1657" t="str">
        <x:v>PLC-PRD-BOT-500-L24</x:v>
      </x:c>
      <x:c r="P1657" t="str">
        <x:v>OK</x:v>
      </x:c>
      <x:c r="Q1657" t="str">
        <x:v>OK</x:v>
      </x:c>
      <x:c r="R1657" t="str">
        <x:v>CHECK</x:v>
      </x:c>
      <x:c r="S1657" t="str">
        <x:v>OK</x:v>
      </x:c>
      <x:c r="T1657" t="n">
        <x:v>36</x:v>
      </x:c>
      <x:c r="U1657" t="str">
        <x:v>CHECK</x:v>
      </x:c>
      <x:c r="V1657" t="str">
        <x:v>CHECK</x:v>
      </x:c>
      <x:c r="W1657" t="str">
        <x:v>QUARANTINE</x:v>
      </x:c>
      <x:c r="X1657" t="str">
        <x:v>02_Supervisor_Log(4).xlsx</x:v>
      </x:c>
      <x:c r="Y1657" t="str">
        <x:v>ENH-20260830-01</x:v>
      </x:c>
      <x:c r="Z1657" t="str">
        <x:v>Active</x:v>
      </x:c>
      <x:c r="AA1657"/>
      <x:c r="AB1657"/>
      <x:c r="AC1657"/>
      <x:c r="AD1657"/>
    </x:row>
    <x:row r="1658">
      <x:c r="A1658" t="str">
        <x:v>PCC-PE-KG01-L24-20251020-AM-ORD-2025-00124-S06-C1</x:v>
      </x:c>
      <x:c r="B1658" t="str">
        <x:v>PC-PE-KG01-L24-20251020-AM-ORD-2025-00124-S06</x:v>
      </x:c>
      <x:c r="C1658" t="str">
        <x:v>PE-KG01-L24-20251020-AM-ORD-2025-00124</x:v>
      </x:c>
      <x:c r="D1658" t="str">
        <x:v>KG01</x:v>
      </x:c>
      <x:c r="E1658" s="62" t="n">
        <x:v>45950</x:v>
      </x:c>
      <x:c r="F1658" t="str">
        <x:v>AM</x:v>
      </x:c>
      <x:c r="G1658" t="str">
        <x:v>C</x:v>
      </x:c>
      <x:c r="H1658" t="n">
        <x:v>24</x:v>
      </x:c>
      <x:c r="I1658" t="str">
        <x:v>ORD-2025-00124</x:v>
      </x:c>
      <x:c r="J1658" t="n">
        <x:v>6</x:v>
      </x:c>
      <x:c r="K1658" t="n">
        <x:v>1</x:v>
      </x:c>
      <x:c r="L1658" t="str">
        <x:v>L24-S06-C1</x:v>
      </x:c>
      <x:c r="M1658" t="n">
        <x:v>1</x:v>
      </x:c>
      <x:c r="N1658" t="str">
        <x:v>DerivedFromCount</x:v>
      </x:c>
      <x:c r="O1658" t="str">
        <x:v>PLC-PRD-BOT-500-L24</x:v>
      </x:c>
      <x:c r="P1658" t="str">
        <x:v>OK</x:v>
      </x:c>
      <x:c r="Q1658" t="str">
        <x:v>OK</x:v>
      </x:c>
      <x:c r="R1658" t="str">
        <x:v>CHECK</x:v>
      </x:c>
      <x:c r="S1658" t="str">
        <x:v>OK</x:v>
      </x:c>
      <x:c r="T1658" t="n">
        <x:v>36</x:v>
      </x:c>
      <x:c r="U1658" t="str">
        <x:v>CHECK</x:v>
      </x:c>
      <x:c r="V1658" t="str">
        <x:v>CHECK</x:v>
      </x:c>
      <x:c r="W1658" t="str">
        <x:v>QUARANTINE</x:v>
      </x:c>
      <x:c r="X1658" t="str">
        <x:v>02_Supervisor_Log(4).xlsx</x:v>
      </x:c>
      <x:c r="Y1658" t="str">
        <x:v>ENH-20260830-01</x:v>
      </x:c>
      <x:c r="Z1658" t="str">
        <x:v>Active</x:v>
      </x:c>
      <x:c r="AA1658"/>
      <x:c r="AB1658"/>
      <x:c r="AC1658"/>
      <x:c r="AD1658"/>
    </x:row>
    <x:row r="1659">
      <x:c r="A1659" t="str">
        <x:v>PCC-PE-KG01-L24-20251020-AM-ORD-2025-00124-S06-C2</x:v>
      </x:c>
      <x:c r="B1659" t="str">
        <x:v>PC-PE-KG01-L24-20251020-AM-ORD-2025-00124-S06</x:v>
      </x:c>
      <x:c r="C1659" t="str">
        <x:v>PE-KG01-L24-20251020-AM-ORD-2025-00124</x:v>
      </x:c>
      <x:c r="D1659" t="str">
        <x:v>KG01</x:v>
      </x:c>
      <x:c r="E1659" s="62" t="n">
        <x:v>45950</x:v>
      </x:c>
      <x:c r="F1659" t="str">
        <x:v>AM</x:v>
      </x:c>
      <x:c r="G1659" t="str">
        <x:v>C</x:v>
      </x:c>
      <x:c r="H1659" t="n">
        <x:v>24</x:v>
      </x:c>
      <x:c r="I1659" t="str">
        <x:v>ORD-2025-00124</x:v>
      </x:c>
      <x:c r="J1659" t="n">
        <x:v>6</x:v>
      </x:c>
      <x:c r="K1659" t="n">
        <x:v>2</x:v>
      </x:c>
      <x:c r="L1659" t="str">
        <x:v>L24-S06-C2</x:v>
      </x:c>
      <x:c r="M1659" t="n">
        <x:v>1</x:v>
      </x:c>
      <x:c r="N1659" t="str">
        <x:v>DerivedFromCount</x:v>
      </x:c>
      <x:c r="O1659" t="str">
        <x:v>PLC-PRD-BOT-500-L24</x:v>
      </x:c>
      <x:c r="P1659" t="str">
        <x:v>OK</x:v>
      </x:c>
      <x:c r="Q1659" t="str">
        <x:v>OK</x:v>
      </x:c>
      <x:c r="R1659" t="str">
        <x:v>CHECK</x:v>
      </x:c>
      <x:c r="S1659" t="str">
        <x:v>OK</x:v>
      </x:c>
      <x:c r="T1659" t="n">
        <x:v>36</x:v>
      </x:c>
      <x:c r="U1659" t="str">
        <x:v>CHECK</x:v>
      </x:c>
      <x:c r="V1659" t="str">
        <x:v>CHECK</x:v>
      </x:c>
      <x:c r="W1659" t="str">
        <x:v>QUARANTINE</x:v>
      </x:c>
      <x:c r="X1659" t="str">
        <x:v>02_Supervisor_Log(4).xlsx</x:v>
      </x:c>
      <x:c r="Y1659" t="str">
        <x:v>ENH-20260830-01</x:v>
      </x:c>
      <x:c r="Z1659" t="str">
        <x:v>Active</x:v>
      </x:c>
      <x:c r="AA1659"/>
      <x:c r="AB1659"/>
      <x:c r="AC1659"/>
      <x:c r="AD1659"/>
    </x:row>
    <x:row r="1660">
      <x:c r="A1660" t="str">
        <x:v>PCC-PE-KG01-L24-20251020-AM-ORD-2025-00124-S06-C3</x:v>
      </x:c>
      <x:c r="B1660" t="str">
        <x:v>PC-PE-KG01-L24-20251020-AM-ORD-2025-00124-S06</x:v>
      </x:c>
      <x:c r="C1660" t="str">
        <x:v>PE-KG01-L24-20251020-AM-ORD-2025-00124</x:v>
      </x:c>
      <x:c r="D1660" t="str">
        <x:v>KG01</x:v>
      </x:c>
      <x:c r="E1660" s="62" t="n">
        <x:v>45950</x:v>
      </x:c>
      <x:c r="F1660" t="str">
        <x:v>AM</x:v>
      </x:c>
      <x:c r="G1660" t="str">
        <x:v>C</x:v>
      </x:c>
      <x:c r="H1660" t="n">
        <x:v>24</x:v>
      </x:c>
      <x:c r="I1660" t="str">
        <x:v>ORD-2025-00124</x:v>
      </x:c>
      <x:c r="J1660" t="n">
        <x:v>6</x:v>
      </x:c>
      <x:c r="K1660" t="n">
        <x:v>3</x:v>
      </x:c>
      <x:c r="L1660" t="str">
        <x:v>L24-S06-C3</x:v>
      </x:c>
      <x:c r="M1660" t="n">
        <x:v>1</x:v>
      </x:c>
      <x:c r="N1660" t="str">
        <x:v>DerivedFromCount</x:v>
      </x:c>
      <x:c r="O1660" t="str">
        <x:v>PLC-PRD-BOT-500-L24</x:v>
      </x:c>
      <x:c r="P1660" t="str">
        <x:v>OK</x:v>
      </x:c>
      <x:c r="Q1660" t="str">
        <x:v>OK</x:v>
      </x:c>
      <x:c r="R1660" t="str">
        <x:v>CHECK</x:v>
      </x:c>
      <x:c r="S1660" t="str">
        <x:v>OK</x:v>
      </x:c>
      <x:c r="T1660" t="n">
        <x:v>36</x:v>
      </x:c>
      <x:c r="U1660" t="str">
        <x:v>CHECK</x:v>
      </x:c>
      <x:c r="V1660" t="str">
        <x:v>CHECK</x:v>
      </x:c>
      <x:c r="W1660" t="str">
        <x:v>QUARANTINE</x:v>
      </x:c>
      <x:c r="X1660" t="str">
        <x:v>02_Supervisor_Log(4).xlsx</x:v>
      </x:c>
      <x:c r="Y1660" t="str">
        <x:v>ENH-20260830-01</x:v>
      </x:c>
      <x:c r="Z1660" t="str">
        <x:v>Active</x:v>
      </x:c>
      <x:c r="AA1660"/>
      <x:c r="AB1660"/>
      <x:c r="AC1660"/>
      <x:c r="AD1660"/>
    </x:row>
    <x:row r="1661">
      <x:c r="A1661" t="str">
        <x:v>PCC-PE-KG01-L24-20251020-AM-ORD-2025-00124-S07-C1</x:v>
      </x:c>
      <x:c r="B1661" t="str">
        <x:v>PC-PE-KG01-L24-20251020-AM-ORD-2025-00124-S07</x:v>
      </x:c>
      <x:c r="C1661" t="str">
        <x:v>PE-KG01-L24-20251020-AM-ORD-2025-00124</x:v>
      </x:c>
      <x:c r="D1661" t="str">
        <x:v>KG01</x:v>
      </x:c>
      <x:c r="E1661" s="62" t="n">
        <x:v>45950</x:v>
      </x:c>
      <x:c r="F1661" t="str">
        <x:v>AM</x:v>
      </x:c>
      <x:c r="G1661" t="str">
        <x:v>C</x:v>
      </x:c>
      <x:c r="H1661" t="n">
        <x:v>24</x:v>
      </x:c>
      <x:c r="I1661" t="str">
        <x:v>ORD-2025-00124</x:v>
      </x:c>
      <x:c r="J1661" t="n">
        <x:v>7</x:v>
      </x:c>
      <x:c r="K1661" t="n">
        <x:v>1</x:v>
      </x:c>
      <x:c r="L1661" t="str">
        <x:v>L24-S07-C1</x:v>
      </x:c>
      <x:c r="M1661" t="n">
        <x:v>1</x:v>
      </x:c>
      <x:c r="N1661" t="str">
        <x:v>DerivedFromCount</x:v>
      </x:c>
      <x:c r="O1661" t="str">
        <x:v>PLC-PRD-BOT-500-L24</x:v>
      </x:c>
      <x:c r="P1661" t="str">
        <x:v>OK</x:v>
      </x:c>
      <x:c r="Q1661" t="str">
        <x:v>OK</x:v>
      </x:c>
      <x:c r="R1661" t="str">
        <x:v>CHECK</x:v>
      </x:c>
      <x:c r="S1661" t="str">
        <x:v>OK</x:v>
      </x:c>
      <x:c r="T1661" t="n">
        <x:v>36</x:v>
      </x:c>
      <x:c r="U1661" t="str">
        <x:v>CHECK</x:v>
      </x:c>
      <x:c r="V1661" t="str">
        <x:v>CHECK</x:v>
      </x:c>
      <x:c r="W1661" t="str">
        <x:v>QUARANTINE</x:v>
      </x:c>
      <x:c r="X1661" t="str">
        <x:v>02_Supervisor_Log(4).xlsx</x:v>
      </x:c>
      <x:c r="Y1661" t="str">
        <x:v>ENH-20260830-01</x:v>
      </x:c>
      <x:c r="Z1661" t="str">
        <x:v>Active</x:v>
      </x:c>
      <x:c r="AA1661"/>
      <x:c r="AB1661"/>
      <x:c r="AC1661"/>
      <x:c r="AD1661"/>
    </x:row>
    <x:row r="1662">
      <x:c r="A1662" t="str">
        <x:v>PCC-PE-KG01-L24-20251020-AM-ORD-2025-00124-S07-C2</x:v>
      </x:c>
      <x:c r="B1662" t="str">
        <x:v>PC-PE-KG01-L24-20251020-AM-ORD-2025-00124-S07</x:v>
      </x:c>
      <x:c r="C1662" t="str">
        <x:v>PE-KG01-L24-20251020-AM-ORD-2025-00124</x:v>
      </x:c>
      <x:c r="D1662" t="str">
        <x:v>KG01</x:v>
      </x:c>
      <x:c r="E1662" s="62" t="n">
        <x:v>45950</x:v>
      </x:c>
      <x:c r="F1662" t="str">
        <x:v>AM</x:v>
      </x:c>
      <x:c r="G1662" t="str">
        <x:v>C</x:v>
      </x:c>
      <x:c r="H1662" t="n">
        <x:v>24</x:v>
      </x:c>
      <x:c r="I1662" t="str">
        <x:v>ORD-2025-00124</x:v>
      </x:c>
      <x:c r="J1662" t="n">
        <x:v>7</x:v>
      </x:c>
      <x:c r="K1662" t="n">
        <x:v>2</x:v>
      </x:c>
      <x:c r="L1662" t="str">
        <x:v>L24-S07-C2</x:v>
      </x:c>
      <x:c r="M1662" t="n">
        <x:v>1</x:v>
      </x:c>
      <x:c r="N1662" t="str">
        <x:v>DerivedFromCount</x:v>
      </x:c>
      <x:c r="O1662" t="str">
        <x:v>PLC-PRD-BOT-500-L24</x:v>
      </x:c>
      <x:c r="P1662" t="str">
        <x:v>OK</x:v>
      </x:c>
      <x:c r="Q1662" t="str">
        <x:v>OK</x:v>
      </x:c>
      <x:c r="R1662" t="str">
        <x:v>CHECK</x:v>
      </x:c>
      <x:c r="S1662" t="str">
        <x:v>OK</x:v>
      </x:c>
      <x:c r="T1662" t="n">
        <x:v>36</x:v>
      </x:c>
      <x:c r="U1662" t="str">
        <x:v>CHECK</x:v>
      </x:c>
      <x:c r="V1662" t="str">
        <x:v>CHECK</x:v>
      </x:c>
      <x:c r="W1662" t="str">
        <x:v>QUARANTINE</x:v>
      </x:c>
      <x:c r="X1662" t="str">
        <x:v>02_Supervisor_Log(4).xlsx</x:v>
      </x:c>
      <x:c r="Y1662" t="str">
        <x:v>ENH-20260830-01</x:v>
      </x:c>
      <x:c r="Z1662" t="str">
        <x:v>Active</x:v>
      </x:c>
      <x:c r="AA1662"/>
      <x:c r="AB1662"/>
      <x:c r="AC1662"/>
      <x:c r="AD1662"/>
    </x:row>
    <x:row r="1663">
      <x:c r="A1663" t="str">
        <x:v>PCC-PE-KG01-L24-20251020-AM-ORD-2025-00124-S07-C3</x:v>
      </x:c>
      <x:c r="B1663" t="str">
        <x:v>PC-PE-KG01-L24-20251020-AM-ORD-2025-00124-S07</x:v>
      </x:c>
      <x:c r="C1663" t="str">
        <x:v>PE-KG01-L24-20251020-AM-ORD-2025-00124</x:v>
      </x:c>
      <x:c r="D1663" t="str">
        <x:v>KG01</x:v>
      </x:c>
      <x:c r="E1663" s="62" t="n">
        <x:v>45950</x:v>
      </x:c>
      <x:c r="F1663" t="str">
        <x:v>AM</x:v>
      </x:c>
      <x:c r="G1663" t="str">
        <x:v>C</x:v>
      </x:c>
      <x:c r="H1663" t="n">
        <x:v>24</x:v>
      </x:c>
      <x:c r="I1663" t="str">
        <x:v>ORD-2025-00124</x:v>
      </x:c>
      <x:c r="J1663" t="n">
        <x:v>7</x:v>
      </x:c>
      <x:c r="K1663" t="n">
        <x:v>3</x:v>
      </x:c>
      <x:c r="L1663" t="str">
        <x:v>L24-S07-C3</x:v>
      </x:c>
      <x:c r="M1663" t="n">
        <x:v>1</x:v>
      </x:c>
      <x:c r="N1663" t="str">
        <x:v>DerivedFromCount</x:v>
      </x:c>
      <x:c r="O1663" t="str">
        <x:v>PLC-PRD-BOT-500-L24</x:v>
      </x:c>
      <x:c r="P1663" t="str">
        <x:v>OK</x:v>
      </x:c>
      <x:c r="Q1663" t="str">
        <x:v>OK</x:v>
      </x:c>
      <x:c r="R1663" t="str">
        <x:v>CHECK</x:v>
      </x:c>
      <x:c r="S1663" t="str">
        <x:v>OK</x:v>
      </x:c>
      <x:c r="T1663" t="n">
        <x:v>36</x:v>
      </x:c>
      <x:c r="U1663" t="str">
        <x:v>CHECK</x:v>
      </x:c>
      <x:c r="V1663" t="str">
        <x:v>CHECK</x:v>
      </x:c>
      <x:c r="W1663" t="str">
        <x:v>QUARANTINE</x:v>
      </x:c>
      <x:c r="X1663" t="str">
        <x:v>02_Supervisor_Log(4).xlsx</x:v>
      </x:c>
      <x:c r="Y1663" t="str">
        <x:v>ENH-20260830-01</x:v>
      </x:c>
      <x:c r="Z1663" t="str">
        <x:v>Active</x:v>
      </x:c>
      <x:c r="AA1663"/>
      <x:c r="AB1663"/>
      <x:c r="AC1663"/>
      <x:c r="AD1663"/>
    </x:row>
    <x:row r="1664">
      <x:c r="A1664" t="str">
        <x:v>PCC-PE-KG01-L24-20251020-AM-ORD-2025-00124-S08-C1</x:v>
      </x:c>
      <x:c r="B1664" t="str">
        <x:v>PC-PE-KG01-L24-20251020-AM-ORD-2025-00124-S08</x:v>
      </x:c>
      <x:c r="C1664" t="str">
        <x:v>PE-KG01-L24-20251020-AM-ORD-2025-00124</x:v>
      </x:c>
      <x:c r="D1664" t="str">
        <x:v>KG01</x:v>
      </x:c>
      <x:c r="E1664" s="62" t="n">
        <x:v>45950</x:v>
      </x:c>
      <x:c r="F1664" t="str">
        <x:v>AM</x:v>
      </x:c>
      <x:c r="G1664" t="str">
        <x:v>C</x:v>
      </x:c>
      <x:c r="H1664" t="n">
        <x:v>24</x:v>
      </x:c>
      <x:c r="I1664" t="str">
        <x:v>ORD-2025-00124</x:v>
      </x:c>
      <x:c r="J1664" t="n">
        <x:v>8</x:v>
      </x:c>
      <x:c r="K1664" t="n">
        <x:v>1</x:v>
      </x:c>
      <x:c r="L1664" t="str">
        <x:v>L24-S08-C1</x:v>
      </x:c>
      <x:c r="M1664" t="n">
        <x:v>1</x:v>
      </x:c>
      <x:c r="N1664" t="str">
        <x:v>DerivedFromCount</x:v>
      </x:c>
      <x:c r="O1664" t="str">
        <x:v>PLC-PRD-BOT-500-L24</x:v>
      </x:c>
      <x:c r="P1664" t="str">
        <x:v>OK</x:v>
      </x:c>
      <x:c r="Q1664" t="str">
        <x:v>OK</x:v>
      </x:c>
      <x:c r="R1664" t="str">
        <x:v>CHECK</x:v>
      </x:c>
      <x:c r="S1664" t="str">
        <x:v>OK</x:v>
      </x:c>
      <x:c r="T1664" t="n">
        <x:v>36</x:v>
      </x:c>
      <x:c r="U1664" t="str">
        <x:v>CHECK</x:v>
      </x:c>
      <x:c r="V1664" t="str">
        <x:v>CHECK</x:v>
      </x:c>
      <x:c r="W1664" t="str">
        <x:v>QUARANTINE</x:v>
      </x:c>
      <x:c r="X1664" t="str">
        <x:v>02_Supervisor_Log(4).xlsx</x:v>
      </x:c>
      <x:c r="Y1664" t="str">
        <x:v>ENH-20260830-01</x:v>
      </x:c>
      <x:c r="Z1664" t="str">
        <x:v>Active</x:v>
      </x:c>
      <x:c r="AA1664"/>
      <x:c r="AB1664"/>
      <x:c r="AC1664"/>
      <x:c r="AD1664"/>
    </x:row>
    <x:row r="1665">
      <x:c r="A1665" t="str">
        <x:v>PCC-PE-KG01-L24-20251020-AM-ORD-2025-00124-S08-C2</x:v>
      </x:c>
      <x:c r="B1665" t="str">
        <x:v>PC-PE-KG01-L24-20251020-AM-ORD-2025-00124-S08</x:v>
      </x:c>
      <x:c r="C1665" t="str">
        <x:v>PE-KG01-L24-20251020-AM-ORD-2025-00124</x:v>
      </x:c>
      <x:c r="D1665" t="str">
        <x:v>KG01</x:v>
      </x:c>
      <x:c r="E1665" s="62" t="n">
        <x:v>45950</x:v>
      </x:c>
      <x:c r="F1665" t="str">
        <x:v>AM</x:v>
      </x:c>
      <x:c r="G1665" t="str">
        <x:v>C</x:v>
      </x:c>
      <x:c r="H1665" t="n">
        <x:v>24</x:v>
      </x:c>
      <x:c r="I1665" t="str">
        <x:v>ORD-2025-00124</x:v>
      </x:c>
      <x:c r="J1665" t="n">
        <x:v>8</x:v>
      </x:c>
      <x:c r="K1665" t="n">
        <x:v>2</x:v>
      </x:c>
      <x:c r="L1665" t="str">
        <x:v>L24-S08-C2</x:v>
      </x:c>
      <x:c r="M1665" t="n">
        <x:v>1</x:v>
      </x:c>
      <x:c r="N1665" t="str">
        <x:v>DerivedFromCount</x:v>
      </x:c>
      <x:c r="O1665" t="str">
        <x:v>PLC-PRD-BOT-500-L24</x:v>
      </x:c>
      <x:c r="P1665" t="str">
        <x:v>OK</x:v>
      </x:c>
      <x:c r="Q1665" t="str">
        <x:v>OK</x:v>
      </x:c>
      <x:c r="R1665" t="str">
        <x:v>CHECK</x:v>
      </x:c>
      <x:c r="S1665" t="str">
        <x:v>OK</x:v>
      </x:c>
      <x:c r="T1665" t="n">
        <x:v>36</x:v>
      </x:c>
      <x:c r="U1665" t="str">
        <x:v>CHECK</x:v>
      </x:c>
      <x:c r="V1665" t="str">
        <x:v>CHECK</x:v>
      </x:c>
      <x:c r="W1665" t="str">
        <x:v>QUARANTINE</x:v>
      </x:c>
      <x:c r="X1665" t="str">
        <x:v>02_Supervisor_Log(4).xlsx</x:v>
      </x:c>
      <x:c r="Y1665" t="str">
        <x:v>ENH-20260830-01</x:v>
      </x:c>
      <x:c r="Z1665" t="str">
        <x:v>Active</x:v>
      </x:c>
      <x:c r="AA1665"/>
      <x:c r="AB1665"/>
      <x:c r="AC1665"/>
      <x:c r="AD1665"/>
    </x:row>
    <x:row r="1666">
      <x:c r="A1666" t="str">
        <x:v>PCC-PE-KG01-L24-20251020-AM-ORD-2025-00124-S08-C3</x:v>
      </x:c>
      <x:c r="B1666" t="str">
        <x:v>PC-PE-KG01-L24-20251020-AM-ORD-2025-00124-S08</x:v>
      </x:c>
      <x:c r="C1666" t="str">
        <x:v>PE-KG01-L24-20251020-AM-ORD-2025-00124</x:v>
      </x:c>
      <x:c r="D1666" t="str">
        <x:v>KG01</x:v>
      </x:c>
      <x:c r="E1666" s="62" t="n">
        <x:v>45950</x:v>
      </x:c>
      <x:c r="F1666" t="str">
        <x:v>AM</x:v>
      </x:c>
      <x:c r="G1666" t="str">
        <x:v>C</x:v>
      </x:c>
      <x:c r="H1666" t="n">
        <x:v>24</x:v>
      </x:c>
      <x:c r="I1666" t="str">
        <x:v>ORD-2025-00124</x:v>
      </x:c>
      <x:c r="J1666" t="n">
        <x:v>8</x:v>
      </x:c>
      <x:c r="K1666" t="n">
        <x:v>3</x:v>
      </x:c>
      <x:c r="L1666" t="str">
        <x:v>L24-S08-C3</x:v>
      </x:c>
      <x:c r="M1666" t="n">
        <x:v>1</x:v>
      </x:c>
      <x:c r="N1666" t="str">
        <x:v>DerivedFromCount</x:v>
      </x:c>
      <x:c r="O1666" t="str">
        <x:v>PLC-PRD-BOT-500-L24</x:v>
      </x:c>
      <x:c r="P1666" t="str">
        <x:v>OK</x:v>
      </x:c>
      <x:c r="Q1666" t="str">
        <x:v>OK</x:v>
      </x:c>
      <x:c r="R1666" t="str">
        <x:v>CHECK</x:v>
      </x:c>
      <x:c r="S1666" t="str">
        <x:v>OK</x:v>
      </x:c>
      <x:c r="T1666" t="n">
        <x:v>36</x:v>
      </x:c>
      <x:c r="U1666" t="str">
        <x:v>CHECK</x:v>
      </x:c>
      <x:c r="V1666" t="str">
        <x:v>CHECK</x:v>
      </x:c>
      <x:c r="W1666" t="str">
        <x:v>QUARANTINE</x:v>
      </x:c>
      <x:c r="X1666" t="str">
        <x:v>02_Supervisor_Log(4).xlsx</x:v>
      </x:c>
      <x:c r="Y1666" t="str">
        <x:v>ENH-20260830-01</x:v>
      </x:c>
      <x:c r="Z1666" t="str">
        <x:v>Active</x:v>
      </x:c>
      <x:c r="AA1666"/>
      <x:c r="AB1666"/>
      <x:c r="AC1666"/>
      <x:c r="AD1666"/>
    </x:row>
    <x:row r="1667">
      <x:c r="A1667" t="str">
        <x:v>PCC-PE-KG01-L24-20251020-AM-ORD-2025-00124-S09-C1</x:v>
      </x:c>
      <x:c r="B1667" t="str">
        <x:v>PC-PE-KG01-L24-20251020-AM-ORD-2025-00124-S09</x:v>
      </x:c>
      <x:c r="C1667" t="str">
        <x:v>PE-KG01-L24-20251020-AM-ORD-2025-00124</x:v>
      </x:c>
      <x:c r="D1667" t="str">
        <x:v>KG01</x:v>
      </x:c>
      <x:c r="E1667" s="62" t="n">
        <x:v>45950</x:v>
      </x:c>
      <x:c r="F1667" t="str">
        <x:v>AM</x:v>
      </x:c>
      <x:c r="G1667" t="str">
        <x:v>C</x:v>
      </x:c>
      <x:c r="H1667" t="n">
        <x:v>24</x:v>
      </x:c>
      <x:c r="I1667" t="str">
        <x:v>ORD-2025-00124</x:v>
      </x:c>
      <x:c r="J1667" t="n">
        <x:v>9</x:v>
      </x:c>
      <x:c r="K1667" t="n">
        <x:v>1</x:v>
      </x:c>
      <x:c r="L1667" t="str">
        <x:v>L24-S09-C1</x:v>
      </x:c>
      <x:c r="M1667" t="n">
        <x:v>1</x:v>
      </x:c>
      <x:c r="N1667" t="str">
        <x:v>DerivedFromCount</x:v>
      </x:c>
      <x:c r="O1667" t="str">
        <x:v>PLC-PRD-BOT-500-L24</x:v>
      </x:c>
      <x:c r="P1667" t="str">
        <x:v>OK</x:v>
      </x:c>
      <x:c r="Q1667" t="str">
        <x:v>OK</x:v>
      </x:c>
      <x:c r="R1667" t="str">
        <x:v>CHECK</x:v>
      </x:c>
      <x:c r="S1667" t="str">
        <x:v>OK</x:v>
      </x:c>
      <x:c r="T1667" t="n">
        <x:v>36</x:v>
      </x:c>
      <x:c r="U1667" t="str">
        <x:v>CHECK</x:v>
      </x:c>
      <x:c r="V1667" t="str">
        <x:v>CHECK</x:v>
      </x:c>
      <x:c r="W1667" t="str">
        <x:v>QUARANTINE</x:v>
      </x:c>
      <x:c r="X1667" t="str">
        <x:v>02_Supervisor_Log(4).xlsx</x:v>
      </x:c>
      <x:c r="Y1667" t="str">
        <x:v>ENH-20260830-01</x:v>
      </x:c>
      <x:c r="Z1667" t="str">
        <x:v>Active</x:v>
      </x:c>
      <x:c r="AA1667"/>
      <x:c r="AB1667"/>
      <x:c r="AC1667"/>
      <x:c r="AD1667"/>
    </x:row>
    <x:row r="1668">
      <x:c r="A1668" t="str">
        <x:v>PCC-PE-KG01-L24-20251020-AM-ORD-2025-00124-S09-C2</x:v>
      </x:c>
      <x:c r="B1668" t="str">
        <x:v>PC-PE-KG01-L24-20251020-AM-ORD-2025-00124-S09</x:v>
      </x:c>
      <x:c r="C1668" t="str">
        <x:v>PE-KG01-L24-20251020-AM-ORD-2025-00124</x:v>
      </x:c>
      <x:c r="D1668" t="str">
        <x:v>KG01</x:v>
      </x:c>
      <x:c r="E1668" s="62" t="n">
        <x:v>45950</x:v>
      </x:c>
      <x:c r="F1668" t="str">
        <x:v>AM</x:v>
      </x:c>
      <x:c r="G1668" t="str">
        <x:v>C</x:v>
      </x:c>
      <x:c r="H1668" t="n">
        <x:v>24</x:v>
      </x:c>
      <x:c r="I1668" t="str">
        <x:v>ORD-2025-00124</x:v>
      </x:c>
      <x:c r="J1668" t="n">
        <x:v>9</x:v>
      </x:c>
      <x:c r="K1668" t="n">
        <x:v>2</x:v>
      </x:c>
      <x:c r="L1668" t="str">
        <x:v>L24-S09-C2</x:v>
      </x:c>
      <x:c r="M1668" t="n">
        <x:v>1</x:v>
      </x:c>
      <x:c r="N1668" t="str">
        <x:v>DerivedFromCount</x:v>
      </x:c>
      <x:c r="O1668" t="str">
        <x:v>PLC-PRD-BOT-500-L24</x:v>
      </x:c>
      <x:c r="P1668" t="str">
        <x:v>OK</x:v>
      </x:c>
      <x:c r="Q1668" t="str">
        <x:v>OK</x:v>
      </x:c>
      <x:c r="R1668" t="str">
        <x:v>CHECK</x:v>
      </x:c>
      <x:c r="S1668" t="str">
        <x:v>OK</x:v>
      </x:c>
      <x:c r="T1668" t="n">
        <x:v>36</x:v>
      </x:c>
      <x:c r="U1668" t="str">
        <x:v>CHECK</x:v>
      </x:c>
      <x:c r="V1668" t="str">
        <x:v>CHECK</x:v>
      </x:c>
      <x:c r="W1668" t="str">
        <x:v>QUARANTINE</x:v>
      </x:c>
      <x:c r="X1668" t="str">
        <x:v>02_Supervisor_Log(4).xlsx</x:v>
      </x:c>
      <x:c r="Y1668" t="str">
        <x:v>ENH-20260830-01</x:v>
      </x:c>
      <x:c r="Z1668" t="str">
        <x:v>Active</x:v>
      </x:c>
      <x:c r="AA1668"/>
      <x:c r="AB1668"/>
      <x:c r="AC1668"/>
      <x:c r="AD1668"/>
    </x:row>
    <x:row r="1669">
      <x:c r="A1669" t="str">
        <x:v>PCC-PE-KG01-L24-20251020-AM-ORD-2025-00124-S09-C3</x:v>
      </x:c>
      <x:c r="B1669" t="str">
        <x:v>PC-PE-KG01-L24-20251020-AM-ORD-2025-00124-S09</x:v>
      </x:c>
      <x:c r="C1669" t="str">
        <x:v>PE-KG01-L24-20251020-AM-ORD-2025-00124</x:v>
      </x:c>
      <x:c r="D1669" t="str">
        <x:v>KG01</x:v>
      </x:c>
      <x:c r="E1669" s="62" t="n">
        <x:v>45950</x:v>
      </x:c>
      <x:c r="F1669" t="str">
        <x:v>AM</x:v>
      </x:c>
      <x:c r="G1669" t="str">
        <x:v>C</x:v>
      </x:c>
      <x:c r="H1669" t="n">
        <x:v>24</x:v>
      </x:c>
      <x:c r="I1669" t="str">
        <x:v>ORD-2025-00124</x:v>
      </x:c>
      <x:c r="J1669" t="n">
        <x:v>9</x:v>
      </x:c>
      <x:c r="K1669" t="n">
        <x:v>3</x:v>
      </x:c>
      <x:c r="L1669" t="str">
        <x:v>L24-S09-C3</x:v>
      </x:c>
      <x:c r="M1669" t="n">
        <x:v>1</x:v>
      </x:c>
      <x:c r="N1669" t="str">
        <x:v>DerivedFromCount</x:v>
      </x:c>
      <x:c r="O1669" t="str">
        <x:v>PLC-PRD-BOT-500-L24</x:v>
      </x:c>
      <x:c r="P1669" t="str">
        <x:v>OK</x:v>
      </x:c>
      <x:c r="Q1669" t="str">
        <x:v>OK</x:v>
      </x:c>
      <x:c r="R1669" t="str">
        <x:v>CHECK</x:v>
      </x:c>
      <x:c r="S1669" t="str">
        <x:v>OK</x:v>
      </x:c>
      <x:c r="T1669" t="n">
        <x:v>36</x:v>
      </x:c>
      <x:c r="U1669" t="str">
        <x:v>CHECK</x:v>
      </x:c>
      <x:c r="V1669" t="str">
        <x:v>CHECK</x:v>
      </x:c>
      <x:c r="W1669" t="str">
        <x:v>QUARANTINE</x:v>
      </x:c>
      <x:c r="X1669" t="str">
        <x:v>02_Supervisor_Log(4).xlsx</x:v>
      </x:c>
      <x:c r="Y1669" t="str">
        <x:v>ENH-20260830-01</x:v>
      </x:c>
      <x:c r="Z1669" t="str">
        <x:v>Active</x:v>
      </x:c>
      <x:c r="AA1669"/>
      <x:c r="AB1669"/>
      <x:c r="AC1669"/>
      <x:c r="AD1669"/>
    </x:row>
    <x:row r="1670">
      <x:c r="A1670" t="str">
        <x:v>PCC-PE-KG01-L24-20251020-AM-ORD-2025-00124-S10-C1</x:v>
      </x:c>
      <x:c r="B1670" t="str">
        <x:v>PC-PE-KG01-L24-20251020-AM-ORD-2025-00124-S10</x:v>
      </x:c>
      <x:c r="C1670" t="str">
        <x:v>PE-KG01-L24-20251020-AM-ORD-2025-00124</x:v>
      </x:c>
      <x:c r="D1670" t="str">
        <x:v>KG01</x:v>
      </x:c>
      <x:c r="E1670" s="62" t="n">
        <x:v>45950</x:v>
      </x:c>
      <x:c r="F1670" t="str">
        <x:v>AM</x:v>
      </x:c>
      <x:c r="G1670" t="str">
        <x:v>C</x:v>
      </x:c>
      <x:c r="H1670" t="n">
        <x:v>24</x:v>
      </x:c>
      <x:c r="I1670" t="str">
        <x:v>ORD-2025-00124</x:v>
      </x:c>
      <x:c r="J1670" t="n">
        <x:v>10</x:v>
      </x:c>
      <x:c r="K1670" t="n">
        <x:v>1</x:v>
      </x:c>
      <x:c r="L1670" t="str">
        <x:v>L24-S10-C1</x:v>
      </x:c>
      <x:c r="M1670" t="n">
        <x:v>1</x:v>
      </x:c>
      <x:c r="N1670" t="str">
        <x:v>DerivedFromCount</x:v>
      </x:c>
      <x:c r="O1670" t="str">
        <x:v>PLC-PRD-BOT-500-L24</x:v>
      </x:c>
      <x:c r="P1670" t="str">
        <x:v>OK</x:v>
      </x:c>
      <x:c r="Q1670" t="str">
        <x:v>OK</x:v>
      </x:c>
      <x:c r="R1670" t="str">
        <x:v>CHECK</x:v>
      </x:c>
      <x:c r="S1670" t="str">
        <x:v>OK</x:v>
      </x:c>
      <x:c r="T1670" t="n">
        <x:v>36</x:v>
      </x:c>
      <x:c r="U1670" t="str">
        <x:v>CHECK</x:v>
      </x:c>
      <x:c r="V1670" t="str">
        <x:v>CHECK</x:v>
      </x:c>
      <x:c r="W1670" t="str">
        <x:v>QUARANTINE</x:v>
      </x:c>
      <x:c r="X1670" t="str">
        <x:v>02_Supervisor_Log(4).xlsx</x:v>
      </x:c>
      <x:c r="Y1670" t="str">
        <x:v>ENH-20260830-01</x:v>
      </x:c>
      <x:c r="Z1670" t="str">
        <x:v>Active</x:v>
      </x:c>
      <x:c r="AA1670"/>
      <x:c r="AB1670"/>
      <x:c r="AC1670"/>
      <x:c r="AD1670"/>
    </x:row>
    <x:row r="1671">
      <x:c r="A1671" t="str">
        <x:v>PCC-PE-KG01-L24-20251020-AM-ORD-2025-00124-S10-C2</x:v>
      </x:c>
      <x:c r="B1671" t="str">
        <x:v>PC-PE-KG01-L24-20251020-AM-ORD-2025-00124-S10</x:v>
      </x:c>
      <x:c r="C1671" t="str">
        <x:v>PE-KG01-L24-20251020-AM-ORD-2025-00124</x:v>
      </x:c>
      <x:c r="D1671" t="str">
        <x:v>KG01</x:v>
      </x:c>
      <x:c r="E1671" s="62" t="n">
        <x:v>45950</x:v>
      </x:c>
      <x:c r="F1671" t="str">
        <x:v>AM</x:v>
      </x:c>
      <x:c r="G1671" t="str">
        <x:v>C</x:v>
      </x:c>
      <x:c r="H1671" t="n">
        <x:v>24</x:v>
      </x:c>
      <x:c r="I1671" t="str">
        <x:v>ORD-2025-00124</x:v>
      </x:c>
      <x:c r="J1671" t="n">
        <x:v>10</x:v>
      </x:c>
      <x:c r="K1671" t="n">
        <x:v>2</x:v>
      </x:c>
      <x:c r="L1671" t="str">
        <x:v>L24-S10-C2</x:v>
      </x:c>
      <x:c r="M1671" t="n">
        <x:v>1</x:v>
      </x:c>
      <x:c r="N1671" t="str">
        <x:v>DerivedFromCount</x:v>
      </x:c>
      <x:c r="O1671" t="str">
        <x:v>PLC-PRD-BOT-500-L24</x:v>
      </x:c>
      <x:c r="P1671" t="str">
        <x:v>OK</x:v>
      </x:c>
      <x:c r="Q1671" t="str">
        <x:v>OK</x:v>
      </x:c>
      <x:c r="R1671" t="str">
        <x:v>CHECK</x:v>
      </x:c>
      <x:c r="S1671" t="str">
        <x:v>OK</x:v>
      </x:c>
      <x:c r="T1671" t="n">
        <x:v>36</x:v>
      </x:c>
      <x:c r="U1671" t="str">
        <x:v>CHECK</x:v>
      </x:c>
      <x:c r="V1671" t="str">
        <x:v>CHECK</x:v>
      </x:c>
      <x:c r="W1671" t="str">
        <x:v>QUARANTINE</x:v>
      </x:c>
      <x:c r="X1671" t="str">
        <x:v>02_Supervisor_Log(4).xlsx</x:v>
      </x:c>
      <x:c r="Y1671" t="str">
        <x:v>ENH-20260830-01</x:v>
      </x:c>
      <x:c r="Z1671" t="str">
        <x:v>Active</x:v>
      </x:c>
      <x:c r="AA1671"/>
      <x:c r="AB1671"/>
      <x:c r="AC1671"/>
      <x:c r="AD1671"/>
    </x:row>
    <x:row r="1672">
      <x:c r="A1672" t="str">
        <x:v>PCC-PE-KG01-L24-20251020-AM-ORD-2025-00124-S10-C3</x:v>
      </x:c>
      <x:c r="B1672" t="str">
        <x:v>PC-PE-KG01-L24-20251020-AM-ORD-2025-00124-S10</x:v>
      </x:c>
      <x:c r="C1672" t="str">
        <x:v>PE-KG01-L24-20251020-AM-ORD-2025-00124</x:v>
      </x:c>
      <x:c r="D1672" t="str">
        <x:v>KG01</x:v>
      </x:c>
      <x:c r="E1672" s="62" t="n">
        <x:v>45950</x:v>
      </x:c>
      <x:c r="F1672" t="str">
        <x:v>AM</x:v>
      </x:c>
      <x:c r="G1672" t="str">
        <x:v>C</x:v>
      </x:c>
      <x:c r="H1672" t="n">
        <x:v>24</x:v>
      </x:c>
      <x:c r="I1672" t="str">
        <x:v>ORD-2025-00124</x:v>
      </x:c>
      <x:c r="J1672" t="n">
        <x:v>10</x:v>
      </x:c>
      <x:c r="K1672" t="n">
        <x:v>3</x:v>
      </x:c>
      <x:c r="L1672" t="str">
        <x:v>L24-S10-C3</x:v>
      </x:c>
      <x:c r="M1672" t="n">
        <x:v>1</x:v>
      </x:c>
      <x:c r="N1672" t="str">
        <x:v>DerivedFromCount</x:v>
      </x:c>
      <x:c r="O1672" t="str">
        <x:v>PLC-PRD-BOT-500-L24</x:v>
      </x:c>
      <x:c r="P1672" t="str">
        <x:v>OK</x:v>
      </x:c>
      <x:c r="Q1672" t="str">
        <x:v>OK</x:v>
      </x:c>
      <x:c r="R1672" t="str">
        <x:v>CHECK</x:v>
      </x:c>
      <x:c r="S1672" t="str">
        <x:v>OK</x:v>
      </x:c>
      <x:c r="T1672" t="n">
        <x:v>36</x:v>
      </x:c>
      <x:c r="U1672" t="str">
        <x:v>CHECK</x:v>
      </x:c>
      <x:c r="V1672" t="str">
        <x:v>CHECK</x:v>
      </x:c>
      <x:c r="W1672" t="str">
        <x:v>QUARANTINE</x:v>
      </x:c>
      <x:c r="X1672" t="str">
        <x:v>02_Supervisor_Log(4).xlsx</x:v>
      </x:c>
      <x:c r="Y1672" t="str">
        <x:v>ENH-20260830-01</x:v>
      </x:c>
      <x:c r="Z1672" t="str">
        <x:v>Active</x:v>
      </x:c>
      <x:c r="AA1672"/>
      <x:c r="AB1672"/>
      <x:c r="AC1672"/>
      <x:c r="AD1672"/>
    </x:row>
    <x:row r="1673">
      <x:c r="A1673" t="str">
        <x:v>PCC-PE-KG01-L24-20251020-AM-ORD-2025-00124-S11-C1</x:v>
      </x:c>
      <x:c r="B1673" t="str">
        <x:v>PC-PE-KG01-L24-20251020-AM-ORD-2025-00124-S11</x:v>
      </x:c>
      <x:c r="C1673" t="str">
        <x:v>PE-KG01-L24-20251020-AM-ORD-2025-00124</x:v>
      </x:c>
      <x:c r="D1673" t="str">
        <x:v>KG01</x:v>
      </x:c>
      <x:c r="E1673" s="62" t="n">
        <x:v>45950</x:v>
      </x:c>
      <x:c r="F1673" t="str">
        <x:v>AM</x:v>
      </x:c>
      <x:c r="G1673" t="str">
        <x:v>C</x:v>
      </x:c>
      <x:c r="H1673" t="n">
        <x:v>24</x:v>
      </x:c>
      <x:c r="I1673" t="str">
        <x:v>ORD-2025-00124</x:v>
      </x:c>
      <x:c r="J1673" t="n">
        <x:v>11</x:v>
      </x:c>
      <x:c r="K1673" t="n">
        <x:v>1</x:v>
      </x:c>
      <x:c r="L1673" t="str">
        <x:v>L24-S11-C1</x:v>
      </x:c>
      <x:c r="M1673" t="n">
        <x:v>1</x:v>
      </x:c>
      <x:c r="N1673" t="str">
        <x:v>DerivedFromCount</x:v>
      </x:c>
      <x:c r="O1673" t="str">
        <x:v>PLC-PRD-BOT-500-L24</x:v>
      </x:c>
      <x:c r="P1673" t="str">
        <x:v>OK</x:v>
      </x:c>
      <x:c r="Q1673" t="str">
        <x:v>OK</x:v>
      </x:c>
      <x:c r="R1673" t="str">
        <x:v>CHECK</x:v>
      </x:c>
      <x:c r="S1673" t="str">
        <x:v>OK</x:v>
      </x:c>
      <x:c r="T1673" t="n">
        <x:v>36</x:v>
      </x:c>
      <x:c r="U1673" t="str">
        <x:v>CHECK</x:v>
      </x:c>
      <x:c r="V1673" t="str">
        <x:v>CHECK</x:v>
      </x:c>
      <x:c r="W1673" t="str">
        <x:v>QUARANTINE</x:v>
      </x:c>
      <x:c r="X1673" t="str">
        <x:v>02_Supervisor_Log(4).xlsx</x:v>
      </x:c>
      <x:c r="Y1673" t="str">
        <x:v>ENH-20260830-01</x:v>
      </x:c>
      <x:c r="Z1673" t="str">
        <x:v>Active</x:v>
      </x:c>
      <x:c r="AA1673"/>
      <x:c r="AB1673"/>
      <x:c r="AC1673"/>
      <x:c r="AD1673"/>
    </x:row>
    <x:row r="1674">
      <x:c r="A1674" t="str">
        <x:v>PCC-PE-KG01-L24-20251020-AM-ORD-2025-00124-S11-C2</x:v>
      </x:c>
      <x:c r="B1674" t="str">
        <x:v>PC-PE-KG01-L24-20251020-AM-ORD-2025-00124-S11</x:v>
      </x:c>
      <x:c r="C1674" t="str">
        <x:v>PE-KG01-L24-20251020-AM-ORD-2025-00124</x:v>
      </x:c>
      <x:c r="D1674" t="str">
        <x:v>KG01</x:v>
      </x:c>
      <x:c r="E1674" s="62" t="n">
        <x:v>45950</x:v>
      </x:c>
      <x:c r="F1674" t="str">
        <x:v>AM</x:v>
      </x:c>
      <x:c r="G1674" t="str">
        <x:v>C</x:v>
      </x:c>
      <x:c r="H1674" t="n">
        <x:v>24</x:v>
      </x:c>
      <x:c r="I1674" t="str">
        <x:v>ORD-2025-00124</x:v>
      </x:c>
      <x:c r="J1674" t="n">
        <x:v>11</x:v>
      </x:c>
      <x:c r="K1674" t="n">
        <x:v>2</x:v>
      </x:c>
      <x:c r="L1674" t="str">
        <x:v>L24-S11-C2</x:v>
      </x:c>
      <x:c r="M1674" t="n">
        <x:v>1</x:v>
      </x:c>
      <x:c r="N1674" t="str">
        <x:v>DerivedFromCount</x:v>
      </x:c>
      <x:c r="O1674" t="str">
        <x:v>PLC-PRD-BOT-500-L24</x:v>
      </x:c>
      <x:c r="P1674" t="str">
        <x:v>OK</x:v>
      </x:c>
      <x:c r="Q1674" t="str">
        <x:v>OK</x:v>
      </x:c>
      <x:c r="R1674" t="str">
        <x:v>CHECK</x:v>
      </x:c>
      <x:c r="S1674" t="str">
        <x:v>OK</x:v>
      </x:c>
      <x:c r="T1674" t="n">
        <x:v>36</x:v>
      </x:c>
      <x:c r="U1674" t="str">
        <x:v>CHECK</x:v>
      </x:c>
      <x:c r="V1674" t="str">
        <x:v>CHECK</x:v>
      </x:c>
      <x:c r="W1674" t="str">
        <x:v>QUARANTINE</x:v>
      </x:c>
      <x:c r="X1674" t="str">
        <x:v>02_Supervisor_Log(4).xlsx</x:v>
      </x:c>
      <x:c r="Y1674" t="str">
        <x:v>ENH-20260830-01</x:v>
      </x:c>
      <x:c r="Z1674" t="str">
        <x:v>Active</x:v>
      </x:c>
      <x:c r="AA1674"/>
      <x:c r="AB1674"/>
      <x:c r="AC1674"/>
      <x:c r="AD1674"/>
    </x:row>
    <x:row r="1675">
      <x:c r="A1675" t="str">
        <x:v>PCC-PE-KG01-L24-20251020-AM-ORD-2025-00124-S11-C3</x:v>
      </x:c>
      <x:c r="B1675" t="str">
        <x:v>PC-PE-KG01-L24-20251020-AM-ORD-2025-00124-S11</x:v>
      </x:c>
      <x:c r="C1675" t="str">
        <x:v>PE-KG01-L24-20251020-AM-ORD-2025-00124</x:v>
      </x:c>
      <x:c r="D1675" t="str">
        <x:v>KG01</x:v>
      </x:c>
      <x:c r="E1675" s="62" t="n">
        <x:v>45950</x:v>
      </x:c>
      <x:c r="F1675" t="str">
        <x:v>AM</x:v>
      </x:c>
      <x:c r="G1675" t="str">
        <x:v>C</x:v>
      </x:c>
      <x:c r="H1675" t="n">
        <x:v>24</x:v>
      </x:c>
      <x:c r="I1675" t="str">
        <x:v>ORD-2025-00124</x:v>
      </x:c>
      <x:c r="J1675" t="n">
        <x:v>11</x:v>
      </x:c>
      <x:c r="K1675" t="n">
        <x:v>3</x:v>
      </x:c>
      <x:c r="L1675" t="str">
        <x:v>L24-S11-C3</x:v>
      </x:c>
      <x:c r="M1675" t="n">
        <x:v>1</x:v>
      </x:c>
      <x:c r="N1675" t="str">
        <x:v>DerivedFromCount</x:v>
      </x:c>
      <x:c r="O1675" t="str">
        <x:v>PLC-PRD-BOT-500-L24</x:v>
      </x:c>
      <x:c r="P1675" t="str">
        <x:v>OK</x:v>
      </x:c>
      <x:c r="Q1675" t="str">
        <x:v>OK</x:v>
      </x:c>
      <x:c r="R1675" t="str">
        <x:v>CHECK</x:v>
      </x:c>
      <x:c r="S1675" t="str">
        <x:v>OK</x:v>
      </x:c>
      <x:c r="T1675" t="n">
        <x:v>36</x:v>
      </x:c>
      <x:c r="U1675" t="str">
        <x:v>CHECK</x:v>
      </x:c>
      <x:c r="V1675" t="str">
        <x:v>CHECK</x:v>
      </x:c>
      <x:c r="W1675" t="str">
        <x:v>QUARANTINE</x:v>
      </x:c>
      <x:c r="X1675" t="str">
        <x:v>02_Supervisor_Log(4).xlsx</x:v>
      </x:c>
      <x:c r="Y1675" t="str">
        <x:v>ENH-20260830-01</x:v>
      </x:c>
      <x:c r="Z1675" t="str">
        <x:v>Active</x:v>
      </x:c>
      <x:c r="AA1675"/>
      <x:c r="AB1675"/>
      <x:c r="AC1675"/>
      <x:c r="AD1675"/>
    </x:row>
    <x:row r="1676">
      <x:c r="A1676" t="str">
        <x:v>PCC-PE-KG01-L24-20251020-AM-ORD-2025-00124-S12-C1</x:v>
      </x:c>
      <x:c r="B1676" t="str">
        <x:v>PC-PE-KG01-L24-20251020-AM-ORD-2025-00124-S12</x:v>
      </x:c>
      <x:c r="C1676" t="str">
        <x:v>PE-KG01-L24-20251020-AM-ORD-2025-00124</x:v>
      </x:c>
      <x:c r="D1676" t="str">
        <x:v>KG01</x:v>
      </x:c>
      <x:c r="E1676" s="62" t="n">
        <x:v>45950</x:v>
      </x:c>
      <x:c r="F1676" t="str">
        <x:v>AM</x:v>
      </x:c>
      <x:c r="G1676" t="str">
        <x:v>C</x:v>
      </x:c>
      <x:c r="H1676" t="n">
        <x:v>24</x:v>
      </x:c>
      <x:c r="I1676" t="str">
        <x:v>ORD-2025-00124</x:v>
      </x:c>
      <x:c r="J1676" t="n">
        <x:v>12</x:v>
      </x:c>
      <x:c r="K1676" t="n">
        <x:v>1</x:v>
      </x:c>
      <x:c r="L1676" t="str">
        <x:v>L24-S12-C1</x:v>
      </x:c>
      <x:c r="M1676" t="n">
        <x:v>1</x:v>
      </x:c>
      <x:c r="N1676" t="str">
        <x:v>DerivedFromCount</x:v>
      </x:c>
      <x:c r="O1676" t="str">
        <x:v>PLC-PRD-BOT-500-L24</x:v>
      </x:c>
      <x:c r="P1676" t="str">
        <x:v>OK</x:v>
      </x:c>
      <x:c r="Q1676" t="str">
        <x:v>OK</x:v>
      </x:c>
      <x:c r="R1676" t="str">
        <x:v>CHECK</x:v>
      </x:c>
      <x:c r="S1676" t="str">
        <x:v>OK</x:v>
      </x:c>
      <x:c r="T1676" t="n">
        <x:v>36</x:v>
      </x:c>
      <x:c r="U1676" t="str">
        <x:v>CHECK</x:v>
      </x:c>
      <x:c r="V1676" t="str">
        <x:v>CHECK</x:v>
      </x:c>
      <x:c r="W1676" t="str">
        <x:v>QUARANTINE</x:v>
      </x:c>
      <x:c r="X1676" t="str">
        <x:v>02_Supervisor_Log(4).xlsx</x:v>
      </x:c>
      <x:c r="Y1676" t="str">
        <x:v>ENH-20260830-01</x:v>
      </x:c>
      <x:c r="Z1676" t="str">
        <x:v>Active</x:v>
      </x:c>
      <x:c r="AA1676"/>
      <x:c r="AB1676"/>
      <x:c r="AC1676"/>
      <x:c r="AD1676"/>
    </x:row>
    <x:row r="1677">
      <x:c r="A1677" t="str">
        <x:v>PCC-PE-KG01-L24-20251020-AM-ORD-2025-00124-S12-C2</x:v>
      </x:c>
      <x:c r="B1677" t="str">
        <x:v>PC-PE-KG01-L24-20251020-AM-ORD-2025-00124-S12</x:v>
      </x:c>
      <x:c r="C1677" t="str">
        <x:v>PE-KG01-L24-20251020-AM-ORD-2025-00124</x:v>
      </x:c>
      <x:c r="D1677" t="str">
        <x:v>KG01</x:v>
      </x:c>
      <x:c r="E1677" s="62" t="n">
        <x:v>45950</x:v>
      </x:c>
      <x:c r="F1677" t="str">
        <x:v>AM</x:v>
      </x:c>
      <x:c r="G1677" t="str">
        <x:v>C</x:v>
      </x:c>
      <x:c r="H1677" t="n">
        <x:v>24</x:v>
      </x:c>
      <x:c r="I1677" t="str">
        <x:v>ORD-2025-00124</x:v>
      </x:c>
      <x:c r="J1677" t="n">
        <x:v>12</x:v>
      </x:c>
      <x:c r="K1677" t="n">
        <x:v>2</x:v>
      </x:c>
      <x:c r="L1677" t="str">
        <x:v>L24-S12-C2</x:v>
      </x:c>
      <x:c r="M1677" t="n">
        <x:v>1</x:v>
      </x:c>
      <x:c r="N1677" t="str">
        <x:v>DerivedFromCount</x:v>
      </x:c>
      <x:c r="O1677" t="str">
        <x:v>PLC-PRD-BOT-500-L24</x:v>
      </x:c>
      <x:c r="P1677" t="str">
        <x:v>OK</x:v>
      </x:c>
      <x:c r="Q1677" t="str">
        <x:v>OK</x:v>
      </x:c>
      <x:c r="R1677" t="str">
        <x:v>CHECK</x:v>
      </x:c>
      <x:c r="S1677" t="str">
        <x:v>OK</x:v>
      </x:c>
      <x:c r="T1677" t="n">
        <x:v>36</x:v>
      </x:c>
      <x:c r="U1677" t="str">
        <x:v>CHECK</x:v>
      </x:c>
      <x:c r="V1677" t="str">
        <x:v>CHECK</x:v>
      </x:c>
      <x:c r="W1677" t="str">
        <x:v>QUARANTINE</x:v>
      </x:c>
      <x:c r="X1677" t="str">
        <x:v>02_Supervisor_Log(4).xlsx</x:v>
      </x:c>
      <x:c r="Y1677" t="str">
        <x:v>ENH-20260830-01</x:v>
      </x:c>
      <x:c r="Z1677" t="str">
        <x:v>Active</x:v>
      </x:c>
      <x:c r="AA1677"/>
      <x:c r="AB1677"/>
      <x:c r="AC1677"/>
      <x:c r="AD1677"/>
    </x:row>
    <x:row r="1678">
      <x:c r="A1678" t="str">
        <x:v>PCC-PE-KG01-L24-20251020-AM-ORD-2025-00124-S12-C3</x:v>
      </x:c>
      <x:c r="B1678" t="str">
        <x:v>PC-PE-KG01-L24-20251020-AM-ORD-2025-00124-S12</x:v>
      </x:c>
      <x:c r="C1678" t="str">
        <x:v>PE-KG01-L24-20251020-AM-ORD-2025-00124</x:v>
      </x:c>
      <x:c r="D1678" t="str">
        <x:v>KG01</x:v>
      </x:c>
      <x:c r="E1678" s="62" t="n">
        <x:v>45950</x:v>
      </x:c>
      <x:c r="F1678" t="str">
        <x:v>AM</x:v>
      </x:c>
      <x:c r="G1678" t="str">
        <x:v>C</x:v>
      </x:c>
      <x:c r="H1678" t="n">
        <x:v>24</x:v>
      </x:c>
      <x:c r="I1678" t="str">
        <x:v>ORD-2025-00124</x:v>
      </x:c>
      <x:c r="J1678" t="n">
        <x:v>12</x:v>
      </x:c>
      <x:c r="K1678" t="n">
        <x:v>3</x:v>
      </x:c>
      <x:c r="L1678" t="str">
        <x:v>L24-S12-C3</x:v>
      </x:c>
      <x:c r="M1678" t="n">
        <x:v>1</x:v>
      </x:c>
      <x:c r="N1678" t="str">
        <x:v>DerivedFromCount</x:v>
      </x:c>
      <x:c r="O1678" t="str">
        <x:v>PLC-PRD-BOT-500-L24</x:v>
      </x:c>
      <x:c r="P1678" t="str">
        <x:v>OK</x:v>
      </x:c>
      <x:c r="Q1678" t="str">
        <x:v>OK</x:v>
      </x:c>
      <x:c r="R1678" t="str">
        <x:v>CHECK</x:v>
      </x:c>
      <x:c r="S1678" t="str">
        <x:v>OK</x:v>
      </x:c>
      <x:c r="T1678" t="n">
        <x:v>36</x:v>
      </x:c>
      <x:c r="U1678" t="str">
        <x:v>CHECK</x:v>
      </x:c>
      <x:c r="V1678" t="str">
        <x:v>CHECK</x:v>
      </x:c>
      <x:c r="W1678" t="str">
        <x:v>QUARANTINE</x:v>
      </x:c>
      <x:c r="X1678" t="str">
        <x:v>02_Supervisor_Log(4).xlsx</x:v>
      </x:c>
      <x:c r="Y1678" t="str">
        <x:v>ENH-20260830-01</x:v>
      </x:c>
      <x:c r="Z1678" t="str">
        <x:v>Active</x:v>
      </x:c>
      <x:c r="AA1678"/>
      <x:c r="AB1678"/>
      <x:c r="AC1678"/>
      <x:c r="AD1678"/>
    </x:row>
    <x:row r="1679">
      <x:c r="A1679" t="str">
        <x:v>PCC-PE-KG01-L24-20251020-AM-ORD-2025-00124-S13-C1</x:v>
      </x:c>
      <x:c r="B1679" t="str">
        <x:v>PC-PE-KG01-L24-20251020-AM-ORD-2025-00124-S13</x:v>
      </x:c>
      <x:c r="C1679" t="str">
        <x:v>PE-KG01-L24-20251020-AM-ORD-2025-00124</x:v>
      </x:c>
      <x:c r="D1679" t="str">
        <x:v>KG01</x:v>
      </x:c>
      <x:c r="E1679" s="62" t="n">
        <x:v>45950</x:v>
      </x:c>
      <x:c r="F1679" t="str">
        <x:v>AM</x:v>
      </x:c>
      <x:c r="G1679" t="str">
        <x:v>C</x:v>
      </x:c>
      <x:c r="H1679" t="n">
        <x:v>24</x:v>
      </x:c>
      <x:c r="I1679" t="str">
        <x:v>ORD-2025-00124</x:v>
      </x:c>
      <x:c r="J1679" t="n">
        <x:v>13</x:v>
      </x:c>
      <x:c r="K1679" t="n">
        <x:v>1</x:v>
      </x:c>
      <x:c r="L1679" t="str">
        <x:v>L24-S13-C1</x:v>
      </x:c>
      <x:c r="M1679" t="n">
        <x:v>0</x:v>
      </x:c>
      <x:c r="N1679" t="str">
        <x:v>DerivedFromCount</x:v>
      </x:c>
      <x:c r="O1679" t="str">
        <x:v>PLC-PRD-BOT-500-L24</x:v>
      </x:c>
      <x:c r="P1679" t="str">
        <x:v>OK</x:v>
      </x:c>
      <x:c r="Q1679" t="str">
        <x:v>OK</x:v>
      </x:c>
      <x:c r="R1679" t="str">
        <x:v>OK</x:v>
      </x:c>
      <x:c r="S1679" t="str">
        <x:v>OK</x:v>
      </x:c>
      <x:c r="T1679" t="n">
        <x:v>36</x:v>
      </x:c>
      <x:c r="U1679" t="str">
        <x:v>CHECK</x:v>
      </x:c>
      <x:c r="V1679" t="str">
        <x:v>CHECK</x:v>
      </x:c>
      <x:c r="W1679" t="str">
        <x:v>QUARANTINE</x:v>
      </x:c>
      <x:c r="X1679" t="str">
        <x:v>02_Supervisor_Log(4).xlsx</x:v>
      </x:c>
      <x:c r="Y1679" t="str">
        <x:v>ENH-20260830-01</x:v>
      </x:c>
      <x:c r="Z1679" t="str">
        <x:v>Active</x:v>
      </x:c>
      <x:c r="AA1679"/>
      <x:c r="AB1679"/>
      <x:c r="AC1679"/>
      <x:c r="AD1679"/>
    </x:row>
    <x:row r="1680">
      <x:c r="A1680" t="str">
        <x:v>PCC-PE-KG01-L24-20251020-AM-ORD-2025-00124-S13-C2</x:v>
      </x:c>
      <x:c r="B1680" t="str">
        <x:v>PC-PE-KG01-L24-20251020-AM-ORD-2025-00124-S13</x:v>
      </x:c>
      <x:c r="C1680" t="str">
        <x:v>PE-KG01-L24-20251020-AM-ORD-2025-00124</x:v>
      </x:c>
      <x:c r="D1680" t="str">
        <x:v>KG01</x:v>
      </x:c>
      <x:c r="E1680" s="62" t="n">
        <x:v>45950</x:v>
      </x:c>
      <x:c r="F1680" t="str">
        <x:v>AM</x:v>
      </x:c>
      <x:c r="G1680" t="str">
        <x:v>C</x:v>
      </x:c>
      <x:c r="H1680" t="n">
        <x:v>24</x:v>
      </x:c>
      <x:c r="I1680" t="str">
        <x:v>ORD-2025-00124</x:v>
      </x:c>
      <x:c r="J1680" t="n">
        <x:v>13</x:v>
      </x:c>
      <x:c r="K1680" t="n">
        <x:v>2</x:v>
      </x:c>
      <x:c r="L1680" t="str">
        <x:v>L24-S13-C2</x:v>
      </x:c>
      <x:c r="M1680" t="n">
        <x:v>0</x:v>
      </x:c>
      <x:c r="N1680" t="str">
        <x:v>DerivedFromCount</x:v>
      </x:c>
      <x:c r="O1680" t="str">
        <x:v>PLC-PRD-BOT-500-L24</x:v>
      </x:c>
      <x:c r="P1680" t="str">
        <x:v>OK</x:v>
      </x:c>
      <x:c r="Q1680" t="str">
        <x:v>OK</x:v>
      </x:c>
      <x:c r="R1680" t="str">
        <x:v>OK</x:v>
      </x:c>
      <x:c r="S1680" t="str">
        <x:v>OK</x:v>
      </x:c>
      <x:c r="T1680" t="n">
        <x:v>36</x:v>
      </x:c>
      <x:c r="U1680" t="str">
        <x:v>CHECK</x:v>
      </x:c>
      <x:c r="V1680" t="str">
        <x:v>CHECK</x:v>
      </x:c>
      <x:c r="W1680" t="str">
        <x:v>QUARANTINE</x:v>
      </x:c>
      <x:c r="X1680" t="str">
        <x:v>02_Supervisor_Log(4).xlsx</x:v>
      </x:c>
      <x:c r="Y1680" t="str">
        <x:v>ENH-20260830-01</x:v>
      </x:c>
      <x:c r="Z1680" t="str">
        <x:v>Active</x:v>
      </x:c>
      <x:c r="AA1680"/>
      <x:c r="AB1680"/>
      <x:c r="AC1680"/>
      <x:c r="AD1680"/>
    </x:row>
    <x:row r="1681">
      <x:c r="A1681" t="str">
        <x:v>PCC-PE-KG01-L24-20251020-AM-ORD-2025-00124-S13-C3</x:v>
      </x:c>
      <x:c r="B1681" t="str">
        <x:v>PC-PE-KG01-L24-20251020-AM-ORD-2025-00124-S13</x:v>
      </x:c>
      <x:c r="C1681" t="str">
        <x:v>PE-KG01-L24-20251020-AM-ORD-2025-00124</x:v>
      </x:c>
      <x:c r="D1681" t="str">
        <x:v>KG01</x:v>
      </x:c>
      <x:c r="E1681" s="62" t="n">
        <x:v>45950</x:v>
      </x:c>
      <x:c r="F1681" t="str">
        <x:v>AM</x:v>
      </x:c>
      <x:c r="G1681" t="str">
        <x:v>C</x:v>
      </x:c>
      <x:c r="H1681" t="n">
        <x:v>24</x:v>
      </x:c>
      <x:c r="I1681" t="str">
        <x:v>ORD-2025-00124</x:v>
      </x:c>
      <x:c r="J1681" t="n">
        <x:v>13</x:v>
      </x:c>
      <x:c r="K1681" t="n">
        <x:v>3</x:v>
      </x:c>
      <x:c r="L1681" t="str">
        <x:v>L24-S13-C3</x:v>
      </x:c>
      <x:c r="M1681" t="n">
        <x:v>0</x:v>
      </x:c>
      <x:c r="N1681" t="str">
        <x:v>DerivedFromCount</x:v>
      </x:c>
      <x:c r="O1681" t="str">
        <x:v>PLC-PRD-BOT-500-L24</x:v>
      </x:c>
      <x:c r="P1681" t="str">
        <x:v>OK</x:v>
      </x:c>
      <x:c r="Q1681" t="str">
        <x:v>OK</x:v>
      </x:c>
      <x:c r="R1681" t="str">
        <x:v>OK</x:v>
      </x:c>
      <x:c r="S1681" t="str">
        <x:v>OK</x:v>
      </x:c>
      <x:c r="T1681" t="n">
        <x:v>36</x:v>
      </x:c>
      <x:c r="U1681" t="str">
        <x:v>CHECK</x:v>
      </x:c>
      <x:c r="V1681" t="str">
        <x:v>CHECK</x:v>
      </x:c>
      <x:c r="W1681" t="str">
        <x:v>QUARANTINE</x:v>
      </x:c>
      <x:c r="X1681" t="str">
        <x:v>02_Supervisor_Log(4).xlsx</x:v>
      </x:c>
      <x:c r="Y1681" t="str">
        <x:v>ENH-20260830-01</x:v>
      </x:c>
      <x:c r="Z1681" t="str">
        <x:v>Active</x:v>
      </x:c>
      <x:c r="AA1681"/>
      <x:c r="AB1681"/>
      <x:c r="AC1681"/>
      <x:c r="AD1681"/>
    </x:row>
    <x:row r="1682">
      <x:c r="A1682" t="str">
        <x:v>PCC-PE-KG01-L24-20251020-PM-ORD-2025-00124-S01-C1</x:v>
      </x:c>
      <x:c r="B1682" t="str">
        <x:v>PC-PE-KG01-L24-20251020-PM-ORD-2025-00124-S01</x:v>
      </x:c>
      <x:c r="C1682" t="str">
        <x:v>PE-KG01-L24-20251020-PM-ORD-2025-00124</x:v>
      </x:c>
      <x:c r="D1682" t="str">
        <x:v>KG01</x:v>
      </x:c>
      <x:c r="E1682" s="62" t="n">
        <x:v>45950</x:v>
      </x:c>
      <x:c r="F1682" t="str">
        <x:v>PM</x:v>
      </x:c>
      <x:c r="G1682" t="str">
        <x:v>A</x:v>
      </x:c>
      <x:c r="H1682" t="n">
        <x:v>24</x:v>
      </x:c>
      <x:c r="I1682" t="str">
        <x:v>ORD-2025-00124</x:v>
      </x:c>
      <x:c r="J1682" t="n">
        <x:v>1</x:v>
      </x:c>
      <x:c r="K1682" t="n">
        <x:v>1</x:v>
      </x:c>
      <x:c r="L1682" t="str">
        <x:v>L24-S01-C1</x:v>
      </x:c>
      <x:c r="M1682" t="n">
        <x:v>1</x:v>
      </x:c>
      <x:c r="N1682" t="str">
        <x:v>DerivedFromCount</x:v>
      </x:c>
      <x:c r="O1682" t="str">
        <x:v>PLC-PRD-BOT-500-L24</x:v>
      </x:c>
      <x:c r="P1682" t="str">
        <x:v>OK</x:v>
      </x:c>
      <x:c r="Q1682" t="str">
        <x:v>OK</x:v>
      </x:c>
      <x:c r="R1682" t="str">
        <x:v>CHECK</x:v>
      </x:c>
      <x:c r="S1682" t="str">
        <x:v>OK</x:v>
      </x:c>
      <x:c r="T1682" t="n">
        <x:v>36</x:v>
      </x:c>
      <x:c r="U1682" t="str">
        <x:v>CHECK</x:v>
      </x:c>
      <x:c r="V1682" t="str">
        <x:v>CHECK</x:v>
      </x:c>
      <x:c r="W1682" t="str">
        <x:v>QUARANTINE</x:v>
      </x:c>
      <x:c r="X1682" t="str">
        <x:v>02_Supervisor_Log(4).xlsx</x:v>
      </x:c>
      <x:c r="Y1682" t="str">
        <x:v>ENH-20260830-01</x:v>
      </x:c>
      <x:c r="Z1682" t="str">
        <x:v>Active</x:v>
      </x:c>
      <x:c r="AA1682"/>
      <x:c r="AB1682"/>
      <x:c r="AC1682"/>
      <x:c r="AD1682"/>
    </x:row>
    <x:row r="1683">
      <x:c r="A1683" t="str">
        <x:v>PCC-PE-KG01-L24-20251020-PM-ORD-2025-00124-S01-C2</x:v>
      </x:c>
      <x:c r="B1683" t="str">
        <x:v>PC-PE-KG01-L24-20251020-PM-ORD-2025-00124-S01</x:v>
      </x:c>
      <x:c r="C1683" t="str">
        <x:v>PE-KG01-L24-20251020-PM-ORD-2025-00124</x:v>
      </x:c>
      <x:c r="D1683" t="str">
        <x:v>KG01</x:v>
      </x:c>
      <x:c r="E1683" s="62" t="n">
        <x:v>45950</x:v>
      </x:c>
      <x:c r="F1683" t="str">
        <x:v>PM</x:v>
      </x:c>
      <x:c r="G1683" t="str">
        <x:v>A</x:v>
      </x:c>
      <x:c r="H1683" t="n">
        <x:v>24</x:v>
      </x:c>
      <x:c r="I1683" t="str">
        <x:v>ORD-2025-00124</x:v>
      </x:c>
      <x:c r="J1683" t="n">
        <x:v>1</x:v>
      </x:c>
      <x:c r="K1683" t="n">
        <x:v>2</x:v>
      </x:c>
      <x:c r="L1683" t="str">
        <x:v>L24-S01-C2</x:v>
      </x:c>
      <x:c r="M1683" t="n">
        <x:v>1</x:v>
      </x:c>
      <x:c r="N1683" t="str">
        <x:v>DerivedFromCount</x:v>
      </x:c>
      <x:c r="O1683" t="str">
        <x:v>PLC-PRD-BOT-500-L24</x:v>
      </x:c>
      <x:c r="P1683" t="str">
        <x:v>OK</x:v>
      </x:c>
      <x:c r="Q1683" t="str">
        <x:v>OK</x:v>
      </x:c>
      <x:c r="R1683" t="str">
        <x:v>CHECK</x:v>
      </x:c>
      <x:c r="S1683" t="str">
        <x:v>OK</x:v>
      </x:c>
      <x:c r="T1683" t="n">
        <x:v>36</x:v>
      </x:c>
      <x:c r="U1683" t="str">
        <x:v>CHECK</x:v>
      </x:c>
      <x:c r="V1683" t="str">
        <x:v>CHECK</x:v>
      </x:c>
      <x:c r="W1683" t="str">
        <x:v>QUARANTINE</x:v>
      </x:c>
      <x:c r="X1683" t="str">
        <x:v>02_Supervisor_Log(4).xlsx</x:v>
      </x:c>
      <x:c r="Y1683" t="str">
        <x:v>ENH-20260830-01</x:v>
      </x:c>
      <x:c r="Z1683" t="str">
        <x:v>Active</x:v>
      </x:c>
      <x:c r="AA1683"/>
      <x:c r="AB1683"/>
      <x:c r="AC1683"/>
      <x:c r="AD1683"/>
    </x:row>
    <x:row r="1684">
      <x:c r="A1684" t="str">
        <x:v>PCC-PE-KG01-L24-20251020-PM-ORD-2025-00124-S01-C3</x:v>
      </x:c>
      <x:c r="B1684" t="str">
        <x:v>PC-PE-KG01-L24-20251020-PM-ORD-2025-00124-S01</x:v>
      </x:c>
      <x:c r="C1684" t="str">
        <x:v>PE-KG01-L24-20251020-PM-ORD-2025-00124</x:v>
      </x:c>
      <x:c r="D1684" t="str">
        <x:v>KG01</x:v>
      </x:c>
      <x:c r="E1684" s="62" t="n">
        <x:v>45950</x:v>
      </x:c>
      <x:c r="F1684" t="str">
        <x:v>PM</x:v>
      </x:c>
      <x:c r="G1684" t="str">
        <x:v>A</x:v>
      </x:c>
      <x:c r="H1684" t="n">
        <x:v>24</x:v>
      </x:c>
      <x:c r="I1684" t="str">
        <x:v>ORD-2025-00124</x:v>
      </x:c>
      <x:c r="J1684" t="n">
        <x:v>1</x:v>
      </x:c>
      <x:c r="K1684" t="n">
        <x:v>3</x:v>
      </x:c>
      <x:c r="L1684" t="str">
        <x:v>L24-S01-C3</x:v>
      </x:c>
      <x:c r="M1684" t="n">
        <x:v>1</x:v>
      </x:c>
      <x:c r="N1684" t="str">
        <x:v>DerivedFromCount</x:v>
      </x:c>
      <x:c r="O1684" t="str">
        <x:v>PLC-PRD-BOT-500-L24</x:v>
      </x:c>
      <x:c r="P1684" t="str">
        <x:v>OK</x:v>
      </x:c>
      <x:c r="Q1684" t="str">
        <x:v>OK</x:v>
      </x:c>
      <x:c r="R1684" t="str">
        <x:v>CHECK</x:v>
      </x:c>
      <x:c r="S1684" t="str">
        <x:v>OK</x:v>
      </x:c>
      <x:c r="T1684" t="n">
        <x:v>36</x:v>
      </x:c>
      <x:c r="U1684" t="str">
        <x:v>CHECK</x:v>
      </x:c>
      <x:c r="V1684" t="str">
        <x:v>CHECK</x:v>
      </x:c>
      <x:c r="W1684" t="str">
        <x:v>QUARANTINE</x:v>
      </x:c>
      <x:c r="X1684" t="str">
        <x:v>02_Supervisor_Log(4).xlsx</x:v>
      </x:c>
      <x:c r="Y1684" t="str">
        <x:v>ENH-20260830-01</x:v>
      </x:c>
      <x:c r="Z1684" t="str">
        <x:v>Active</x:v>
      </x:c>
      <x:c r="AA1684"/>
      <x:c r="AB1684"/>
      <x:c r="AC1684"/>
      <x:c r="AD1684"/>
    </x:row>
    <x:row r="1685">
      <x:c r="A1685" t="str">
        <x:v>PCC-PE-KG01-L24-20251020-PM-ORD-2025-00124-S02-C1</x:v>
      </x:c>
      <x:c r="B1685" t="str">
        <x:v>PC-PE-KG01-L24-20251020-PM-ORD-2025-00124-S02</x:v>
      </x:c>
      <x:c r="C1685" t="str">
        <x:v>PE-KG01-L24-20251020-PM-ORD-2025-00124</x:v>
      </x:c>
      <x:c r="D1685" t="str">
        <x:v>KG01</x:v>
      </x:c>
      <x:c r="E1685" s="62" t="n">
        <x:v>45950</x:v>
      </x:c>
      <x:c r="F1685" t="str">
        <x:v>PM</x:v>
      </x:c>
      <x:c r="G1685" t="str">
        <x:v>A</x:v>
      </x:c>
      <x:c r="H1685" t="n">
        <x:v>24</x:v>
      </x:c>
      <x:c r="I1685" t="str">
        <x:v>ORD-2025-00124</x:v>
      </x:c>
      <x:c r="J1685" t="n">
        <x:v>2</x:v>
      </x:c>
      <x:c r="K1685" t="n">
        <x:v>1</x:v>
      </x:c>
      <x:c r="L1685" t="str">
        <x:v>L24-S02-C1</x:v>
      </x:c>
      <x:c r="M1685" t="n">
        <x:v>1</x:v>
      </x:c>
      <x:c r="N1685" t="str">
        <x:v>DerivedFromCount</x:v>
      </x:c>
      <x:c r="O1685" t="str">
        <x:v>PLC-PRD-BOT-500-L24</x:v>
      </x:c>
      <x:c r="P1685" t="str">
        <x:v>OK</x:v>
      </x:c>
      <x:c r="Q1685" t="str">
        <x:v>OK</x:v>
      </x:c>
      <x:c r="R1685" t="str">
        <x:v>CHECK</x:v>
      </x:c>
      <x:c r="S1685" t="str">
        <x:v>OK</x:v>
      </x:c>
      <x:c r="T1685" t="n">
        <x:v>36</x:v>
      </x:c>
      <x:c r="U1685" t="str">
        <x:v>CHECK</x:v>
      </x:c>
      <x:c r="V1685" t="str">
        <x:v>CHECK</x:v>
      </x:c>
      <x:c r="W1685" t="str">
        <x:v>QUARANTINE</x:v>
      </x:c>
      <x:c r="X1685" t="str">
        <x:v>02_Supervisor_Log(4).xlsx</x:v>
      </x:c>
      <x:c r="Y1685" t="str">
        <x:v>ENH-20260830-01</x:v>
      </x:c>
      <x:c r="Z1685" t="str">
        <x:v>Active</x:v>
      </x:c>
      <x:c r="AA1685"/>
      <x:c r="AB1685"/>
      <x:c r="AC1685"/>
      <x:c r="AD1685"/>
    </x:row>
    <x:row r="1686">
      <x:c r="A1686" t="str">
        <x:v>PCC-PE-KG01-L24-20251020-PM-ORD-2025-00124-S02-C2</x:v>
      </x:c>
      <x:c r="B1686" t="str">
        <x:v>PC-PE-KG01-L24-20251020-PM-ORD-2025-00124-S02</x:v>
      </x:c>
      <x:c r="C1686" t="str">
        <x:v>PE-KG01-L24-20251020-PM-ORD-2025-00124</x:v>
      </x:c>
      <x:c r="D1686" t="str">
        <x:v>KG01</x:v>
      </x:c>
      <x:c r="E1686" s="62" t="n">
        <x:v>45950</x:v>
      </x:c>
      <x:c r="F1686" t="str">
        <x:v>PM</x:v>
      </x:c>
      <x:c r="G1686" t="str">
        <x:v>A</x:v>
      </x:c>
      <x:c r="H1686" t="n">
        <x:v>24</x:v>
      </x:c>
      <x:c r="I1686" t="str">
        <x:v>ORD-2025-00124</x:v>
      </x:c>
      <x:c r="J1686" t="n">
        <x:v>2</x:v>
      </x:c>
      <x:c r="K1686" t="n">
        <x:v>2</x:v>
      </x:c>
      <x:c r="L1686" t="str">
        <x:v>L24-S02-C2</x:v>
      </x:c>
      <x:c r="M1686" t="n">
        <x:v>1</x:v>
      </x:c>
      <x:c r="N1686" t="str">
        <x:v>DerivedFromCount</x:v>
      </x:c>
      <x:c r="O1686" t="str">
        <x:v>PLC-PRD-BOT-500-L24</x:v>
      </x:c>
      <x:c r="P1686" t="str">
        <x:v>OK</x:v>
      </x:c>
      <x:c r="Q1686" t="str">
        <x:v>OK</x:v>
      </x:c>
      <x:c r="R1686" t="str">
        <x:v>CHECK</x:v>
      </x:c>
      <x:c r="S1686" t="str">
        <x:v>OK</x:v>
      </x:c>
      <x:c r="T1686" t="n">
        <x:v>36</x:v>
      </x:c>
      <x:c r="U1686" t="str">
        <x:v>CHECK</x:v>
      </x:c>
      <x:c r="V1686" t="str">
        <x:v>CHECK</x:v>
      </x:c>
      <x:c r="W1686" t="str">
        <x:v>QUARANTINE</x:v>
      </x:c>
      <x:c r="X1686" t="str">
        <x:v>02_Supervisor_Log(4).xlsx</x:v>
      </x:c>
      <x:c r="Y1686" t="str">
        <x:v>ENH-20260830-01</x:v>
      </x:c>
      <x:c r="Z1686" t="str">
        <x:v>Active</x:v>
      </x:c>
      <x:c r="AA1686"/>
      <x:c r="AB1686"/>
      <x:c r="AC1686"/>
      <x:c r="AD1686"/>
    </x:row>
    <x:row r="1687">
      <x:c r="A1687" t="str">
        <x:v>PCC-PE-KG01-L24-20251020-PM-ORD-2025-00124-S02-C3</x:v>
      </x:c>
      <x:c r="B1687" t="str">
        <x:v>PC-PE-KG01-L24-20251020-PM-ORD-2025-00124-S02</x:v>
      </x:c>
      <x:c r="C1687" t="str">
        <x:v>PE-KG01-L24-20251020-PM-ORD-2025-00124</x:v>
      </x:c>
      <x:c r="D1687" t="str">
        <x:v>KG01</x:v>
      </x:c>
      <x:c r="E1687" s="62" t="n">
        <x:v>45950</x:v>
      </x:c>
      <x:c r="F1687" t="str">
        <x:v>PM</x:v>
      </x:c>
      <x:c r="G1687" t="str">
        <x:v>A</x:v>
      </x:c>
      <x:c r="H1687" t="n">
        <x:v>24</x:v>
      </x:c>
      <x:c r="I1687" t="str">
        <x:v>ORD-2025-00124</x:v>
      </x:c>
      <x:c r="J1687" t="n">
        <x:v>2</x:v>
      </x:c>
      <x:c r="K1687" t="n">
        <x:v>3</x:v>
      </x:c>
      <x:c r="L1687" t="str">
        <x:v>L24-S02-C3</x:v>
      </x:c>
      <x:c r="M1687" t="n">
        <x:v>1</x:v>
      </x:c>
      <x:c r="N1687" t="str">
        <x:v>DerivedFromCount</x:v>
      </x:c>
      <x:c r="O1687" t="str">
        <x:v>PLC-PRD-BOT-500-L24</x:v>
      </x:c>
      <x:c r="P1687" t="str">
        <x:v>OK</x:v>
      </x:c>
      <x:c r="Q1687" t="str">
        <x:v>OK</x:v>
      </x:c>
      <x:c r="R1687" t="str">
        <x:v>CHECK</x:v>
      </x:c>
      <x:c r="S1687" t="str">
        <x:v>OK</x:v>
      </x:c>
      <x:c r="T1687" t="n">
        <x:v>36</x:v>
      </x:c>
      <x:c r="U1687" t="str">
        <x:v>CHECK</x:v>
      </x:c>
      <x:c r="V1687" t="str">
        <x:v>CHECK</x:v>
      </x:c>
      <x:c r="W1687" t="str">
        <x:v>QUARANTINE</x:v>
      </x:c>
      <x:c r="X1687" t="str">
        <x:v>02_Supervisor_Log(4).xlsx</x:v>
      </x:c>
      <x:c r="Y1687" t="str">
        <x:v>ENH-20260830-01</x:v>
      </x:c>
      <x:c r="Z1687" t="str">
        <x:v>Active</x:v>
      </x:c>
      <x:c r="AA1687"/>
      <x:c r="AB1687"/>
      <x:c r="AC1687"/>
      <x:c r="AD1687"/>
    </x:row>
    <x:row r="1688">
      <x:c r="A1688" t="str">
        <x:v>PCC-PE-KG01-L24-20251020-PM-ORD-2025-00124-S03-C1</x:v>
      </x:c>
      <x:c r="B1688" t="str">
        <x:v>PC-PE-KG01-L24-20251020-PM-ORD-2025-00124-S03</x:v>
      </x:c>
      <x:c r="C1688" t="str">
        <x:v>PE-KG01-L24-20251020-PM-ORD-2025-00124</x:v>
      </x:c>
      <x:c r="D1688" t="str">
        <x:v>KG01</x:v>
      </x:c>
      <x:c r="E1688" s="62" t="n">
        <x:v>45950</x:v>
      </x:c>
      <x:c r="F1688" t="str">
        <x:v>PM</x:v>
      </x:c>
      <x:c r="G1688" t="str">
        <x:v>A</x:v>
      </x:c>
      <x:c r="H1688" t="n">
        <x:v>24</x:v>
      </x:c>
      <x:c r="I1688" t="str">
        <x:v>ORD-2025-00124</x:v>
      </x:c>
      <x:c r="J1688" t="n">
        <x:v>3</x:v>
      </x:c>
      <x:c r="K1688" t="n">
        <x:v>1</x:v>
      </x:c>
      <x:c r="L1688" t="str">
        <x:v>L24-S03-C1</x:v>
      </x:c>
      <x:c r="M1688" t="n">
        <x:v>1</x:v>
      </x:c>
      <x:c r="N1688" t="str">
        <x:v>DerivedFromCount</x:v>
      </x:c>
      <x:c r="O1688" t="str">
        <x:v>PLC-PRD-BOT-500-L24</x:v>
      </x:c>
      <x:c r="P1688" t="str">
        <x:v>OK</x:v>
      </x:c>
      <x:c r="Q1688" t="str">
        <x:v>OK</x:v>
      </x:c>
      <x:c r="R1688" t="str">
        <x:v>CHECK</x:v>
      </x:c>
      <x:c r="S1688" t="str">
        <x:v>OK</x:v>
      </x:c>
      <x:c r="T1688" t="n">
        <x:v>36</x:v>
      </x:c>
      <x:c r="U1688" t="str">
        <x:v>CHECK</x:v>
      </x:c>
      <x:c r="V1688" t="str">
        <x:v>CHECK</x:v>
      </x:c>
      <x:c r="W1688" t="str">
        <x:v>QUARANTINE</x:v>
      </x:c>
      <x:c r="X1688" t="str">
        <x:v>02_Supervisor_Log(4).xlsx</x:v>
      </x:c>
      <x:c r="Y1688" t="str">
        <x:v>ENH-20260830-01</x:v>
      </x:c>
      <x:c r="Z1688" t="str">
        <x:v>Active</x:v>
      </x:c>
      <x:c r="AA1688"/>
      <x:c r="AB1688"/>
      <x:c r="AC1688"/>
      <x:c r="AD1688"/>
    </x:row>
    <x:row r="1689">
      <x:c r="A1689" t="str">
        <x:v>PCC-PE-KG01-L24-20251020-PM-ORD-2025-00124-S03-C2</x:v>
      </x:c>
      <x:c r="B1689" t="str">
        <x:v>PC-PE-KG01-L24-20251020-PM-ORD-2025-00124-S03</x:v>
      </x:c>
      <x:c r="C1689" t="str">
        <x:v>PE-KG01-L24-20251020-PM-ORD-2025-00124</x:v>
      </x:c>
      <x:c r="D1689" t="str">
        <x:v>KG01</x:v>
      </x:c>
      <x:c r="E1689" s="62" t="n">
        <x:v>45950</x:v>
      </x:c>
      <x:c r="F1689" t="str">
        <x:v>PM</x:v>
      </x:c>
      <x:c r="G1689" t="str">
        <x:v>A</x:v>
      </x:c>
      <x:c r="H1689" t="n">
        <x:v>24</x:v>
      </x:c>
      <x:c r="I1689" t="str">
        <x:v>ORD-2025-00124</x:v>
      </x:c>
      <x:c r="J1689" t="n">
        <x:v>3</x:v>
      </x:c>
      <x:c r="K1689" t="n">
        <x:v>2</x:v>
      </x:c>
      <x:c r="L1689" t="str">
        <x:v>L24-S03-C2</x:v>
      </x:c>
      <x:c r="M1689" t="n">
        <x:v>1</x:v>
      </x:c>
      <x:c r="N1689" t="str">
        <x:v>DerivedFromCount</x:v>
      </x:c>
      <x:c r="O1689" t="str">
        <x:v>PLC-PRD-BOT-500-L24</x:v>
      </x:c>
      <x:c r="P1689" t="str">
        <x:v>OK</x:v>
      </x:c>
      <x:c r="Q1689" t="str">
        <x:v>OK</x:v>
      </x:c>
      <x:c r="R1689" t="str">
        <x:v>CHECK</x:v>
      </x:c>
      <x:c r="S1689" t="str">
        <x:v>OK</x:v>
      </x:c>
      <x:c r="T1689" t="n">
        <x:v>36</x:v>
      </x:c>
      <x:c r="U1689" t="str">
        <x:v>CHECK</x:v>
      </x:c>
      <x:c r="V1689" t="str">
        <x:v>CHECK</x:v>
      </x:c>
      <x:c r="W1689" t="str">
        <x:v>QUARANTINE</x:v>
      </x:c>
      <x:c r="X1689" t="str">
        <x:v>02_Supervisor_Log(4).xlsx</x:v>
      </x:c>
      <x:c r="Y1689" t="str">
        <x:v>ENH-20260830-01</x:v>
      </x:c>
      <x:c r="Z1689" t="str">
        <x:v>Active</x:v>
      </x:c>
      <x:c r="AA1689"/>
      <x:c r="AB1689"/>
      <x:c r="AC1689"/>
      <x:c r="AD1689"/>
    </x:row>
    <x:row r="1690">
      <x:c r="A1690" t="str">
        <x:v>PCC-PE-KG01-L24-20251020-PM-ORD-2025-00124-S03-C3</x:v>
      </x:c>
      <x:c r="B1690" t="str">
        <x:v>PC-PE-KG01-L24-20251020-PM-ORD-2025-00124-S03</x:v>
      </x:c>
      <x:c r="C1690" t="str">
        <x:v>PE-KG01-L24-20251020-PM-ORD-2025-00124</x:v>
      </x:c>
      <x:c r="D1690" t="str">
        <x:v>KG01</x:v>
      </x:c>
      <x:c r="E1690" s="62" t="n">
        <x:v>45950</x:v>
      </x:c>
      <x:c r="F1690" t="str">
        <x:v>PM</x:v>
      </x:c>
      <x:c r="G1690" t="str">
        <x:v>A</x:v>
      </x:c>
      <x:c r="H1690" t="n">
        <x:v>24</x:v>
      </x:c>
      <x:c r="I1690" t="str">
        <x:v>ORD-2025-00124</x:v>
      </x:c>
      <x:c r="J1690" t="n">
        <x:v>3</x:v>
      </x:c>
      <x:c r="K1690" t="n">
        <x:v>3</x:v>
      </x:c>
      <x:c r="L1690" t="str">
        <x:v>L24-S03-C3</x:v>
      </x:c>
      <x:c r="M1690" t="n">
        <x:v>1</x:v>
      </x:c>
      <x:c r="N1690" t="str">
        <x:v>DerivedFromCount</x:v>
      </x:c>
      <x:c r="O1690" t="str">
        <x:v>PLC-PRD-BOT-500-L24</x:v>
      </x:c>
      <x:c r="P1690" t="str">
        <x:v>OK</x:v>
      </x:c>
      <x:c r="Q1690" t="str">
        <x:v>OK</x:v>
      </x:c>
      <x:c r="R1690" t="str">
        <x:v>CHECK</x:v>
      </x:c>
      <x:c r="S1690" t="str">
        <x:v>OK</x:v>
      </x:c>
      <x:c r="T1690" t="n">
        <x:v>36</x:v>
      </x:c>
      <x:c r="U1690" t="str">
        <x:v>CHECK</x:v>
      </x:c>
      <x:c r="V1690" t="str">
        <x:v>CHECK</x:v>
      </x:c>
      <x:c r="W1690" t="str">
        <x:v>QUARANTINE</x:v>
      </x:c>
      <x:c r="X1690" t="str">
        <x:v>02_Supervisor_Log(4).xlsx</x:v>
      </x:c>
      <x:c r="Y1690" t="str">
        <x:v>ENH-20260830-01</x:v>
      </x:c>
      <x:c r="Z1690" t="str">
        <x:v>Active</x:v>
      </x:c>
      <x:c r="AA1690"/>
      <x:c r="AB1690"/>
      <x:c r="AC1690"/>
      <x:c r="AD1690"/>
    </x:row>
    <x:row r="1691">
      <x:c r="A1691" t="str">
        <x:v>PCC-PE-KG01-L24-20251020-PM-ORD-2025-00124-S04-C1</x:v>
      </x:c>
      <x:c r="B1691" t="str">
        <x:v>PC-PE-KG01-L24-20251020-PM-ORD-2025-00124-S04</x:v>
      </x:c>
      <x:c r="C1691" t="str">
        <x:v>PE-KG01-L24-20251020-PM-ORD-2025-00124</x:v>
      </x:c>
      <x:c r="D1691" t="str">
        <x:v>KG01</x:v>
      </x:c>
      <x:c r="E1691" s="62" t="n">
        <x:v>45950</x:v>
      </x:c>
      <x:c r="F1691" t="str">
        <x:v>PM</x:v>
      </x:c>
      <x:c r="G1691" t="str">
        <x:v>A</x:v>
      </x:c>
      <x:c r="H1691" t="n">
        <x:v>24</x:v>
      </x:c>
      <x:c r="I1691" t="str">
        <x:v>ORD-2025-00124</x:v>
      </x:c>
      <x:c r="J1691" t="n">
        <x:v>4</x:v>
      </x:c>
      <x:c r="K1691" t="n">
        <x:v>1</x:v>
      </x:c>
      <x:c r="L1691" t="str">
        <x:v>L24-S04-C1</x:v>
      </x:c>
      <x:c r="M1691" t="n">
        <x:v>1</x:v>
      </x:c>
      <x:c r="N1691" t="str">
        <x:v>DerivedFromCount</x:v>
      </x:c>
      <x:c r="O1691" t="str">
        <x:v>PLC-PRD-BOT-500-L24</x:v>
      </x:c>
      <x:c r="P1691" t="str">
        <x:v>OK</x:v>
      </x:c>
      <x:c r="Q1691" t="str">
        <x:v>OK</x:v>
      </x:c>
      <x:c r="R1691" t="str">
        <x:v>CHECK</x:v>
      </x:c>
      <x:c r="S1691" t="str">
        <x:v>OK</x:v>
      </x:c>
      <x:c r="T1691" t="n">
        <x:v>36</x:v>
      </x:c>
      <x:c r="U1691" t="str">
        <x:v>CHECK</x:v>
      </x:c>
      <x:c r="V1691" t="str">
        <x:v>CHECK</x:v>
      </x:c>
      <x:c r="W1691" t="str">
        <x:v>QUARANTINE</x:v>
      </x:c>
      <x:c r="X1691" t="str">
        <x:v>02_Supervisor_Log(4).xlsx</x:v>
      </x:c>
      <x:c r="Y1691" t="str">
        <x:v>ENH-20260830-01</x:v>
      </x:c>
      <x:c r="Z1691" t="str">
        <x:v>Active</x:v>
      </x:c>
      <x:c r="AA1691"/>
      <x:c r="AB1691"/>
      <x:c r="AC1691"/>
      <x:c r="AD1691"/>
    </x:row>
    <x:row r="1692">
      <x:c r="A1692" t="str">
        <x:v>PCC-PE-KG01-L24-20251020-PM-ORD-2025-00124-S04-C2</x:v>
      </x:c>
      <x:c r="B1692" t="str">
        <x:v>PC-PE-KG01-L24-20251020-PM-ORD-2025-00124-S04</x:v>
      </x:c>
      <x:c r="C1692" t="str">
        <x:v>PE-KG01-L24-20251020-PM-ORD-2025-00124</x:v>
      </x:c>
      <x:c r="D1692" t="str">
        <x:v>KG01</x:v>
      </x:c>
      <x:c r="E1692" s="62" t="n">
        <x:v>45950</x:v>
      </x:c>
      <x:c r="F1692" t="str">
        <x:v>PM</x:v>
      </x:c>
      <x:c r="G1692" t="str">
        <x:v>A</x:v>
      </x:c>
      <x:c r="H1692" t="n">
        <x:v>24</x:v>
      </x:c>
      <x:c r="I1692" t="str">
        <x:v>ORD-2025-00124</x:v>
      </x:c>
      <x:c r="J1692" t="n">
        <x:v>4</x:v>
      </x:c>
      <x:c r="K1692" t="n">
        <x:v>2</x:v>
      </x:c>
      <x:c r="L1692" t="str">
        <x:v>L24-S04-C2</x:v>
      </x:c>
      <x:c r="M1692" t="n">
        <x:v>1</x:v>
      </x:c>
      <x:c r="N1692" t="str">
        <x:v>DerivedFromCount</x:v>
      </x:c>
      <x:c r="O1692" t="str">
        <x:v>PLC-PRD-BOT-500-L24</x:v>
      </x:c>
      <x:c r="P1692" t="str">
        <x:v>OK</x:v>
      </x:c>
      <x:c r="Q1692" t="str">
        <x:v>OK</x:v>
      </x:c>
      <x:c r="R1692" t="str">
        <x:v>CHECK</x:v>
      </x:c>
      <x:c r="S1692" t="str">
        <x:v>OK</x:v>
      </x:c>
      <x:c r="T1692" t="n">
        <x:v>36</x:v>
      </x:c>
      <x:c r="U1692" t="str">
        <x:v>CHECK</x:v>
      </x:c>
      <x:c r="V1692" t="str">
        <x:v>CHECK</x:v>
      </x:c>
      <x:c r="W1692" t="str">
        <x:v>QUARANTINE</x:v>
      </x:c>
      <x:c r="X1692" t="str">
        <x:v>02_Supervisor_Log(4).xlsx</x:v>
      </x:c>
      <x:c r="Y1692" t="str">
        <x:v>ENH-20260830-01</x:v>
      </x:c>
      <x:c r="Z1692" t="str">
        <x:v>Active</x:v>
      </x:c>
      <x:c r="AA1692"/>
      <x:c r="AB1692"/>
      <x:c r="AC1692"/>
      <x:c r="AD1692"/>
    </x:row>
    <x:row r="1693">
      <x:c r="A1693" t="str">
        <x:v>PCC-PE-KG01-L24-20251020-PM-ORD-2025-00124-S04-C3</x:v>
      </x:c>
      <x:c r="B1693" t="str">
        <x:v>PC-PE-KG01-L24-20251020-PM-ORD-2025-00124-S04</x:v>
      </x:c>
      <x:c r="C1693" t="str">
        <x:v>PE-KG01-L24-20251020-PM-ORD-2025-00124</x:v>
      </x:c>
      <x:c r="D1693" t="str">
        <x:v>KG01</x:v>
      </x:c>
      <x:c r="E1693" s="62" t="n">
        <x:v>45950</x:v>
      </x:c>
      <x:c r="F1693" t="str">
        <x:v>PM</x:v>
      </x:c>
      <x:c r="G1693" t="str">
        <x:v>A</x:v>
      </x:c>
      <x:c r="H1693" t="n">
        <x:v>24</x:v>
      </x:c>
      <x:c r="I1693" t="str">
        <x:v>ORD-2025-00124</x:v>
      </x:c>
      <x:c r="J1693" t="n">
        <x:v>4</x:v>
      </x:c>
      <x:c r="K1693" t="n">
        <x:v>3</x:v>
      </x:c>
      <x:c r="L1693" t="str">
        <x:v>L24-S04-C3</x:v>
      </x:c>
      <x:c r="M1693" t="n">
        <x:v>1</x:v>
      </x:c>
      <x:c r="N1693" t="str">
        <x:v>DerivedFromCount</x:v>
      </x:c>
      <x:c r="O1693" t="str">
        <x:v>PLC-PRD-BOT-500-L24</x:v>
      </x:c>
      <x:c r="P1693" t="str">
        <x:v>OK</x:v>
      </x:c>
      <x:c r="Q1693" t="str">
        <x:v>OK</x:v>
      </x:c>
      <x:c r="R1693" t="str">
        <x:v>CHECK</x:v>
      </x:c>
      <x:c r="S1693" t="str">
        <x:v>OK</x:v>
      </x:c>
      <x:c r="T1693" t="n">
        <x:v>36</x:v>
      </x:c>
      <x:c r="U1693" t="str">
        <x:v>CHECK</x:v>
      </x:c>
      <x:c r="V1693" t="str">
        <x:v>CHECK</x:v>
      </x:c>
      <x:c r="W1693" t="str">
        <x:v>QUARANTINE</x:v>
      </x:c>
      <x:c r="X1693" t="str">
        <x:v>02_Supervisor_Log(4).xlsx</x:v>
      </x:c>
      <x:c r="Y1693" t="str">
        <x:v>ENH-20260830-01</x:v>
      </x:c>
      <x:c r="Z1693" t="str">
        <x:v>Active</x:v>
      </x:c>
      <x:c r="AA1693"/>
      <x:c r="AB1693"/>
      <x:c r="AC1693"/>
      <x:c r="AD1693"/>
    </x:row>
    <x:row r="1694">
      <x:c r="A1694" t="str">
        <x:v>PCC-PE-KG01-L24-20251020-PM-ORD-2025-00124-S05-C1</x:v>
      </x:c>
      <x:c r="B1694" t="str">
        <x:v>PC-PE-KG01-L24-20251020-PM-ORD-2025-00124-S05</x:v>
      </x:c>
      <x:c r="C1694" t="str">
        <x:v>PE-KG01-L24-20251020-PM-ORD-2025-00124</x:v>
      </x:c>
      <x:c r="D1694" t="str">
        <x:v>KG01</x:v>
      </x:c>
      <x:c r="E1694" s="62" t="n">
        <x:v>45950</x:v>
      </x:c>
      <x:c r="F1694" t="str">
        <x:v>PM</x:v>
      </x:c>
      <x:c r="G1694" t="str">
        <x:v>A</x:v>
      </x:c>
      <x:c r="H1694" t="n">
        <x:v>24</x:v>
      </x:c>
      <x:c r="I1694" t="str">
        <x:v>ORD-2025-00124</x:v>
      </x:c>
      <x:c r="J1694" t="n">
        <x:v>5</x:v>
      </x:c>
      <x:c r="K1694" t="n">
        <x:v>1</x:v>
      </x:c>
      <x:c r="L1694" t="str">
        <x:v>L24-S05-C1</x:v>
      </x:c>
      <x:c r="M1694" t="n">
        <x:v>1</x:v>
      </x:c>
      <x:c r="N1694" t="str">
        <x:v>DerivedFromCount</x:v>
      </x:c>
      <x:c r="O1694" t="str">
        <x:v>PLC-PRD-BOT-500-L24</x:v>
      </x:c>
      <x:c r="P1694" t="str">
        <x:v>OK</x:v>
      </x:c>
      <x:c r="Q1694" t="str">
        <x:v>OK</x:v>
      </x:c>
      <x:c r="R1694" t="str">
        <x:v>CHECK</x:v>
      </x:c>
      <x:c r="S1694" t="str">
        <x:v>OK</x:v>
      </x:c>
      <x:c r="T1694" t="n">
        <x:v>36</x:v>
      </x:c>
      <x:c r="U1694" t="str">
        <x:v>CHECK</x:v>
      </x:c>
      <x:c r="V1694" t="str">
        <x:v>CHECK</x:v>
      </x:c>
      <x:c r="W1694" t="str">
        <x:v>QUARANTINE</x:v>
      </x:c>
      <x:c r="X1694" t="str">
        <x:v>02_Supervisor_Log(4).xlsx</x:v>
      </x:c>
      <x:c r="Y1694" t="str">
        <x:v>ENH-20260830-01</x:v>
      </x:c>
      <x:c r="Z1694" t="str">
        <x:v>Active</x:v>
      </x:c>
      <x:c r="AA1694"/>
      <x:c r="AB1694"/>
      <x:c r="AC1694"/>
      <x:c r="AD1694"/>
    </x:row>
    <x:row r="1695">
      <x:c r="A1695" t="str">
        <x:v>PCC-PE-KG01-L24-20251020-PM-ORD-2025-00124-S05-C2</x:v>
      </x:c>
      <x:c r="B1695" t="str">
        <x:v>PC-PE-KG01-L24-20251020-PM-ORD-2025-00124-S05</x:v>
      </x:c>
      <x:c r="C1695" t="str">
        <x:v>PE-KG01-L24-20251020-PM-ORD-2025-00124</x:v>
      </x:c>
      <x:c r="D1695" t="str">
        <x:v>KG01</x:v>
      </x:c>
      <x:c r="E1695" s="62" t="n">
        <x:v>45950</x:v>
      </x:c>
      <x:c r="F1695" t="str">
        <x:v>PM</x:v>
      </x:c>
      <x:c r="G1695" t="str">
        <x:v>A</x:v>
      </x:c>
      <x:c r="H1695" t="n">
        <x:v>24</x:v>
      </x:c>
      <x:c r="I1695" t="str">
        <x:v>ORD-2025-00124</x:v>
      </x:c>
      <x:c r="J1695" t="n">
        <x:v>5</x:v>
      </x:c>
      <x:c r="K1695" t="n">
        <x:v>2</x:v>
      </x:c>
      <x:c r="L1695" t="str">
        <x:v>L24-S05-C2</x:v>
      </x:c>
      <x:c r="M1695" t="n">
        <x:v>1</x:v>
      </x:c>
      <x:c r="N1695" t="str">
        <x:v>DerivedFromCount</x:v>
      </x:c>
      <x:c r="O1695" t="str">
        <x:v>PLC-PRD-BOT-500-L24</x:v>
      </x:c>
      <x:c r="P1695" t="str">
        <x:v>OK</x:v>
      </x:c>
      <x:c r="Q1695" t="str">
        <x:v>OK</x:v>
      </x:c>
      <x:c r="R1695" t="str">
        <x:v>CHECK</x:v>
      </x:c>
      <x:c r="S1695" t="str">
        <x:v>OK</x:v>
      </x:c>
      <x:c r="T1695" t="n">
        <x:v>36</x:v>
      </x:c>
      <x:c r="U1695" t="str">
        <x:v>CHECK</x:v>
      </x:c>
      <x:c r="V1695" t="str">
        <x:v>CHECK</x:v>
      </x:c>
      <x:c r="W1695" t="str">
        <x:v>QUARANTINE</x:v>
      </x:c>
      <x:c r="X1695" t="str">
        <x:v>02_Supervisor_Log(4).xlsx</x:v>
      </x:c>
      <x:c r="Y1695" t="str">
        <x:v>ENH-20260830-01</x:v>
      </x:c>
      <x:c r="Z1695" t="str">
        <x:v>Active</x:v>
      </x:c>
      <x:c r="AA1695"/>
      <x:c r="AB1695"/>
      <x:c r="AC1695"/>
      <x:c r="AD1695"/>
    </x:row>
    <x:row r="1696">
      <x:c r="A1696" t="str">
        <x:v>PCC-PE-KG01-L24-20251020-PM-ORD-2025-00124-S05-C3</x:v>
      </x:c>
      <x:c r="B1696" t="str">
        <x:v>PC-PE-KG01-L24-20251020-PM-ORD-2025-00124-S05</x:v>
      </x:c>
      <x:c r="C1696" t="str">
        <x:v>PE-KG01-L24-20251020-PM-ORD-2025-00124</x:v>
      </x:c>
      <x:c r="D1696" t="str">
        <x:v>KG01</x:v>
      </x:c>
      <x:c r="E1696" s="62" t="n">
        <x:v>45950</x:v>
      </x:c>
      <x:c r="F1696" t="str">
        <x:v>PM</x:v>
      </x:c>
      <x:c r="G1696" t="str">
        <x:v>A</x:v>
      </x:c>
      <x:c r="H1696" t="n">
        <x:v>24</x:v>
      </x:c>
      <x:c r="I1696" t="str">
        <x:v>ORD-2025-00124</x:v>
      </x:c>
      <x:c r="J1696" t="n">
        <x:v>5</x:v>
      </x:c>
      <x:c r="K1696" t="n">
        <x:v>3</x:v>
      </x:c>
      <x:c r="L1696" t="str">
        <x:v>L24-S05-C3</x:v>
      </x:c>
      <x:c r="M1696" t="n">
        <x:v>1</x:v>
      </x:c>
      <x:c r="N1696" t="str">
        <x:v>DerivedFromCount</x:v>
      </x:c>
      <x:c r="O1696" t="str">
        <x:v>PLC-PRD-BOT-500-L24</x:v>
      </x:c>
      <x:c r="P1696" t="str">
        <x:v>OK</x:v>
      </x:c>
      <x:c r="Q1696" t="str">
        <x:v>OK</x:v>
      </x:c>
      <x:c r="R1696" t="str">
        <x:v>CHECK</x:v>
      </x:c>
      <x:c r="S1696" t="str">
        <x:v>OK</x:v>
      </x:c>
      <x:c r="T1696" t="n">
        <x:v>36</x:v>
      </x:c>
      <x:c r="U1696" t="str">
        <x:v>CHECK</x:v>
      </x:c>
      <x:c r="V1696" t="str">
        <x:v>CHECK</x:v>
      </x:c>
      <x:c r="W1696" t="str">
        <x:v>QUARANTINE</x:v>
      </x:c>
      <x:c r="X1696" t="str">
        <x:v>02_Supervisor_Log(4).xlsx</x:v>
      </x:c>
      <x:c r="Y1696" t="str">
        <x:v>ENH-20260830-01</x:v>
      </x:c>
      <x:c r="Z1696" t="str">
        <x:v>Active</x:v>
      </x:c>
      <x:c r="AA1696"/>
      <x:c r="AB1696"/>
      <x:c r="AC1696"/>
      <x:c r="AD1696"/>
    </x:row>
    <x:row r="1697">
      <x:c r="A1697" t="str">
        <x:v>PCC-PE-KG01-L24-20251020-PM-ORD-2025-00124-S06-C1</x:v>
      </x:c>
      <x:c r="B1697" t="str">
        <x:v>PC-PE-KG01-L24-20251020-PM-ORD-2025-00124-S06</x:v>
      </x:c>
      <x:c r="C1697" t="str">
        <x:v>PE-KG01-L24-20251020-PM-ORD-2025-00124</x:v>
      </x:c>
      <x:c r="D1697" t="str">
        <x:v>KG01</x:v>
      </x:c>
      <x:c r="E1697" s="62" t="n">
        <x:v>45950</x:v>
      </x:c>
      <x:c r="F1697" t="str">
        <x:v>PM</x:v>
      </x:c>
      <x:c r="G1697" t="str">
        <x:v>A</x:v>
      </x:c>
      <x:c r="H1697" t="n">
        <x:v>24</x:v>
      </x:c>
      <x:c r="I1697" t="str">
        <x:v>ORD-2025-00124</x:v>
      </x:c>
      <x:c r="J1697" t="n">
        <x:v>6</x:v>
      </x:c>
      <x:c r="K1697" t="n">
        <x:v>1</x:v>
      </x:c>
      <x:c r="L1697" t="str">
        <x:v>L24-S06-C1</x:v>
      </x:c>
      <x:c r="M1697" t="n">
        <x:v>1</x:v>
      </x:c>
      <x:c r="N1697" t="str">
        <x:v>DerivedFromCount</x:v>
      </x:c>
      <x:c r="O1697" t="str">
        <x:v>PLC-PRD-BOT-500-L24</x:v>
      </x:c>
      <x:c r="P1697" t="str">
        <x:v>OK</x:v>
      </x:c>
      <x:c r="Q1697" t="str">
        <x:v>OK</x:v>
      </x:c>
      <x:c r="R1697" t="str">
        <x:v>CHECK</x:v>
      </x:c>
      <x:c r="S1697" t="str">
        <x:v>OK</x:v>
      </x:c>
      <x:c r="T1697" t="n">
        <x:v>36</x:v>
      </x:c>
      <x:c r="U1697" t="str">
        <x:v>CHECK</x:v>
      </x:c>
      <x:c r="V1697" t="str">
        <x:v>CHECK</x:v>
      </x:c>
      <x:c r="W1697" t="str">
        <x:v>QUARANTINE</x:v>
      </x:c>
      <x:c r="X1697" t="str">
        <x:v>02_Supervisor_Log(4).xlsx</x:v>
      </x:c>
      <x:c r="Y1697" t="str">
        <x:v>ENH-20260830-01</x:v>
      </x:c>
      <x:c r="Z1697" t="str">
        <x:v>Active</x:v>
      </x:c>
      <x:c r="AA1697"/>
      <x:c r="AB1697"/>
      <x:c r="AC1697"/>
      <x:c r="AD1697"/>
    </x:row>
    <x:row r="1698">
      <x:c r="A1698" t="str">
        <x:v>PCC-PE-KG01-L24-20251020-PM-ORD-2025-00124-S06-C2</x:v>
      </x:c>
      <x:c r="B1698" t="str">
        <x:v>PC-PE-KG01-L24-20251020-PM-ORD-2025-00124-S06</x:v>
      </x:c>
      <x:c r="C1698" t="str">
        <x:v>PE-KG01-L24-20251020-PM-ORD-2025-00124</x:v>
      </x:c>
      <x:c r="D1698" t="str">
        <x:v>KG01</x:v>
      </x:c>
      <x:c r="E1698" s="62" t="n">
        <x:v>45950</x:v>
      </x:c>
      <x:c r="F1698" t="str">
        <x:v>PM</x:v>
      </x:c>
      <x:c r="G1698" t="str">
        <x:v>A</x:v>
      </x:c>
      <x:c r="H1698" t="n">
        <x:v>24</x:v>
      </x:c>
      <x:c r="I1698" t="str">
        <x:v>ORD-2025-00124</x:v>
      </x:c>
      <x:c r="J1698" t="n">
        <x:v>6</x:v>
      </x:c>
      <x:c r="K1698" t="n">
        <x:v>2</x:v>
      </x:c>
      <x:c r="L1698" t="str">
        <x:v>L24-S06-C2</x:v>
      </x:c>
      <x:c r="M1698" t="n">
        <x:v>1</x:v>
      </x:c>
      <x:c r="N1698" t="str">
        <x:v>DerivedFromCount</x:v>
      </x:c>
      <x:c r="O1698" t="str">
        <x:v>PLC-PRD-BOT-500-L24</x:v>
      </x:c>
      <x:c r="P1698" t="str">
        <x:v>OK</x:v>
      </x:c>
      <x:c r="Q1698" t="str">
        <x:v>OK</x:v>
      </x:c>
      <x:c r="R1698" t="str">
        <x:v>CHECK</x:v>
      </x:c>
      <x:c r="S1698" t="str">
        <x:v>OK</x:v>
      </x:c>
      <x:c r="T1698" t="n">
        <x:v>36</x:v>
      </x:c>
      <x:c r="U1698" t="str">
        <x:v>CHECK</x:v>
      </x:c>
      <x:c r="V1698" t="str">
        <x:v>CHECK</x:v>
      </x:c>
      <x:c r="W1698" t="str">
        <x:v>QUARANTINE</x:v>
      </x:c>
      <x:c r="X1698" t="str">
        <x:v>02_Supervisor_Log(4).xlsx</x:v>
      </x:c>
      <x:c r="Y1698" t="str">
        <x:v>ENH-20260830-01</x:v>
      </x:c>
      <x:c r="Z1698" t="str">
        <x:v>Active</x:v>
      </x:c>
      <x:c r="AA1698"/>
      <x:c r="AB1698"/>
      <x:c r="AC1698"/>
      <x:c r="AD1698"/>
    </x:row>
    <x:row r="1699">
      <x:c r="A1699" t="str">
        <x:v>PCC-PE-KG01-L24-20251020-PM-ORD-2025-00124-S06-C3</x:v>
      </x:c>
      <x:c r="B1699" t="str">
        <x:v>PC-PE-KG01-L24-20251020-PM-ORD-2025-00124-S06</x:v>
      </x:c>
      <x:c r="C1699" t="str">
        <x:v>PE-KG01-L24-20251020-PM-ORD-2025-00124</x:v>
      </x:c>
      <x:c r="D1699" t="str">
        <x:v>KG01</x:v>
      </x:c>
      <x:c r="E1699" s="62" t="n">
        <x:v>45950</x:v>
      </x:c>
      <x:c r="F1699" t="str">
        <x:v>PM</x:v>
      </x:c>
      <x:c r="G1699" t="str">
        <x:v>A</x:v>
      </x:c>
      <x:c r="H1699" t="n">
        <x:v>24</x:v>
      </x:c>
      <x:c r="I1699" t="str">
        <x:v>ORD-2025-00124</x:v>
      </x:c>
      <x:c r="J1699" t="n">
        <x:v>6</x:v>
      </x:c>
      <x:c r="K1699" t="n">
        <x:v>3</x:v>
      </x:c>
      <x:c r="L1699" t="str">
        <x:v>L24-S06-C3</x:v>
      </x:c>
      <x:c r="M1699" t="n">
        <x:v>1</x:v>
      </x:c>
      <x:c r="N1699" t="str">
        <x:v>DerivedFromCount</x:v>
      </x:c>
      <x:c r="O1699" t="str">
        <x:v>PLC-PRD-BOT-500-L24</x:v>
      </x:c>
      <x:c r="P1699" t="str">
        <x:v>OK</x:v>
      </x:c>
      <x:c r="Q1699" t="str">
        <x:v>OK</x:v>
      </x:c>
      <x:c r="R1699" t="str">
        <x:v>CHECK</x:v>
      </x:c>
      <x:c r="S1699" t="str">
        <x:v>OK</x:v>
      </x:c>
      <x:c r="T1699" t="n">
        <x:v>36</x:v>
      </x:c>
      <x:c r="U1699" t="str">
        <x:v>CHECK</x:v>
      </x:c>
      <x:c r="V1699" t="str">
        <x:v>CHECK</x:v>
      </x:c>
      <x:c r="W1699" t="str">
        <x:v>QUARANTINE</x:v>
      </x:c>
      <x:c r="X1699" t="str">
        <x:v>02_Supervisor_Log(4).xlsx</x:v>
      </x:c>
      <x:c r="Y1699" t="str">
        <x:v>ENH-20260830-01</x:v>
      </x:c>
      <x:c r="Z1699" t="str">
        <x:v>Active</x:v>
      </x:c>
      <x:c r="AA1699"/>
      <x:c r="AB1699"/>
      <x:c r="AC1699"/>
      <x:c r="AD1699"/>
    </x:row>
    <x:row r="1700">
      <x:c r="A1700" t="str">
        <x:v>PCC-PE-KG01-L24-20251020-PM-ORD-2025-00124-S07-C1</x:v>
      </x:c>
      <x:c r="B1700" t="str">
        <x:v>PC-PE-KG01-L24-20251020-PM-ORD-2025-00124-S07</x:v>
      </x:c>
      <x:c r="C1700" t="str">
        <x:v>PE-KG01-L24-20251020-PM-ORD-2025-00124</x:v>
      </x:c>
      <x:c r="D1700" t="str">
        <x:v>KG01</x:v>
      </x:c>
      <x:c r="E1700" s="62" t="n">
        <x:v>45950</x:v>
      </x:c>
      <x:c r="F1700" t="str">
        <x:v>PM</x:v>
      </x:c>
      <x:c r="G1700" t="str">
        <x:v>A</x:v>
      </x:c>
      <x:c r="H1700" t="n">
        <x:v>24</x:v>
      </x:c>
      <x:c r="I1700" t="str">
        <x:v>ORD-2025-00124</x:v>
      </x:c>
      <x:c r="J1700" t="n">
        <x:v>7</x:v>
      </x:c>
      <x:c r="K1700" t="n">
        <x:v>1</x:v>
      </x:c>
      <x:c r="L1700" t="str">
        <x:v>L24-S07-C1</x:v>
      </x:c>
      <x:c r="M1700" t="n">
        <x:v>1</x:v>
      </x:c>
      <x:c r="N1700" t="str">
        <x:v>DerivedFromCount</x:v>
      </x:c>
      <x:c r="O1700" t="str">
        <x:v>PLC-PRD-BOT-500-L24</x:v>
      </x:c>
      <x:c r="P1700" t="str">
        <x:v>OK</x:v>
      </x:c>
      <x:c r="Q1700" t="str">
        <x:v>OK</x:v>
      </x:c>
      <x:c r="R1700" t="str">
        <x:v>CHECK</x:v>
      </x:c>
      <x:c r="S1700" t="str">
        <x:v>OK</x:v>
      </x:c>
      <x:c r="T1700" t="n">
        <x:v>36</x:v>
      </x:c>
      <x:c r="U1700" t="str">
        <x:v>CHECK</x:v>
      </x:c>
      <x:c r="V1700" t="str">
        <x:v>CHECK</x:v>
      </x:c>
      <x:c r="W1700" t="str">
        <x:v>QUARANTINE</x:v>
      </x:c>
      <x:c r="X1700" t="str">
        <x:v>02_Supervisor_Log(4).xlsx</x:v>
      </x:c>
      <x:c r="Y1700" t="str">
        <x:v>ENH-20260830-01</x:v>
      </x:c>
      <x:c r="Z1700" t="str">
        <x:v>Active</x:v>
      </x:c>
      <x:c r="AA1700"/>
      <x:c r="AB1700"/>
      <x:c r="AC1700"/>
      <x:c r="AD1700"/>
    </x:row>
    <x:row r="1701">
      <x:c r="A1701" t="str">
        <x:v>PCC-PE-KG01-L24-20251020-PM-ORD-2025-00124-S07-C2</x:v>
      </x:c>
      <x:c r="B1701" t="str">
        <x:v>PC-PE-KG01-L24-20251020-PM-ORD-2025-00124-S07</x:v>
      </x:c>
      <x:c r="C1701" t="str">
        <x:v>PE-KG01-L24-20251020-PM-ORD-2025-00124</x:v>
      </x:c>
      <x:c r="D1701" t="str">
        <x:v>KG01</x:v>
      </x:c>
      <x:c r="E1701" s="62" t="n">
        <x:v>45950</x:v>
      </x:c>
      <x:c r="F1701" t="str">
        <x:v>PM</x:v>
      </x:c>
      <x:c r="G1701" t="str">
        <x:v>A</x:v>
      </x:c>
      <x:c r="H1701" t="n">
        <x:v>24</x:v>
      </x:c>
      <x:c r="I1701" t="str">
        <x:v>ORD-2025-00124</x:v>
      </x:c>
      <x:c r="J1701" t="n">
        <x:v>7</x:v>
      </x:c>
      <x:c r="K1701" t="n">
        <x:v>2</x:v>
      </x:c>
      <x:c r="L1701" t="str">
        <x:v>L24-S07-C2</x:v>
      </x:c>
      <x:c r="M1701" t="n">
        <x:v>1</x:v>
      </x:c>
      <x:c r="N1701" t="str">
        <x:v>DerivedFromCount</x:v>
      </x:c>
      <x:c r="O1701" t="str">
        <x:v>PLC-PRD-BOT-500-L24</x:v>
      </x:c>
      <x:c r="P1701" t="str">
        <x:v>OK</x:v>
      </x:c>
      <x:c r="Q1701" t="str">
        <x:v>OK</x:v>
      </x:c>
      <x:c r="R1701" t="str">
        <x:v>CHECK</x:v>
      </x:c>
      <x:c r="S1701" t="str">
        <x:v>OK</x:v>
      </x:c>
      <x:c r="T1701" t="n">
        <x:v>36</x:v>
      </x:c>
      <x:c r="U1701" t="str">
        <x:v>CHECK</x:v>
      </x:c>
      <x:c r="V1701" t="str">
        <x:v>CHECK</x:v>
      </x:c>
      <x:c r="W1701" t="str">
        <x:v>QUARANTINE</x:v>
      </x:c>
      <x:c r="X1701" t="str">
        <x:v>02_Supervisor_Log(4).xlsx</x:v>
      </x:c>
      <x:c r="Y1701" t="str">
        <x:v>ENH-20260830-01</x:v>
      </x:c>
      <x:c r="Z1701" t="str">
        <x:v>Active</x:v>
      </x:c>
      <x:c r="AA1701"/>
      <x:c r="AB1701"/>
      <x:c r="AC1701"/>
      <x:c r="AD1701"/>
    </x:row>
    <x:row r="1702">
      <x:c r="A1702" t="str">
        <x:v>PCC-PE-KG01-L24-20251020-PM-ORD-2025-00124-S07-C3</x:v>
      </x:c>
      <x:c r="B1702" t="str">
        <x:v>PC-PE-KG01-L24-20251020-PM-ORD-2025-00124-S07</x:v>
      </x:c>
      <x:c r="C1702" t="str">
        <x:v>PE-KG01-L24-20251020-PM-ORD-2025-00124</x:v>
      </x:c>
      <x:c r="D1702" t="str">
        <x:v>KG01</x:v>
      </x:c>
      <x:c r="E1702" s="62" t="n">
        <x:v>45950</x:v>
      </x:c>
      <x:c r="F1702" t="str">
        <x:v>PM</x:v>
      </x:c>
      <x:c r="G1702" t="str">
        <x:v>A</x:v>
      </x:c>
      <x:c r="H1702" t="n">
        <x:v>24</x:v>
      </x:c>
      <x:c r="I1702" t="str">
        <x:v>ORD-2025-00124</x:v>
      </x:c>
      <x:c r="J1702" t="n">
        <x:v>7</x:v>
      </x:c>
      <x:c r="K1702" t="n">
        <x:v>3</x:v>
      </x:c>
      <x:c r="L1702" t="str">
        <x:v>L24-S07-C3</x:v>
      </x:c>
      <x:c r="M1702" t="n">
        <x:v>1</x:v>
      </x:c>
      <x:c r="N1702" t="str">
        <x:v>DerivedFromCount</x:v>
      </x:c>
      <x:c r="O1702" t="str">
        <x:v>PLC-PRD-BOT-500-L24</x:v>
      </x:c>
      <x:c r="P1702" t="str">
        <x:v>OK</x:v>
      </x:c>
      <x:c r="Q1702" t="str">
        <x:v>OK</x:v>
      </x:c>
      <x:c r="R1702" t="str">
        <x:v>CHECK</x:v>
      </x:c>
      <x:c r="S1702" t="str">
        <x:v>OK</x:v>
      </x:c>
      <x:c r="T1702" t="n">
        <x:v>36</x:v>
      </x:c>
      <x:c r="U1702" t="str">
        <x:v>CHECK</x:v>
      </x:c>
      <x:c r="V1702" t="str">
        <x:v>CHECK</x:v>
      </x:c>
      <x:c r="W1702" t="str">
        <x:v>QUARANTINE</x:v>
      </x:c>
      <x:c r="X1702" t="str">
        <x:v>02_Supervisor_Log(4).xlsx</x:v>
      </x:c>
      <x:c r="Y1702" t="str">
        <x:v>ENH-20260830-01</x:v>
      </x:c>
      <x:c r="Z1702" t="str">
        <x:v>Active</x:v>
      </x:c>
      <x:c r="AA1702"/>
      <x:c r="AB1702"/>
      <x:c r="AC1702"/>
      <x:c r="AD1702"/>
    </x:row>
    <x:row r="1703">
      <x:c r="A1703" t="str">
        <x:v>PCC-PE-KG01-L24-20251020-PM-ORD-2025-00124-S08-C1</x:v>
      </x:c>
      <x:c r="B1703" t="str">
        <x:v>PC-PE-KG01-L24-20251020-PM-ORD-2025-00124-S08</x:v>
      </x:c>
      <x:c r="C1703" t="str">
        <x:v>PE-KG01-L24-20251020-PM-ORD-2025-00124</x:v>
      </x:c>
      <x:c r="D1703" t="str">
        <x:v>KG01</x:v>
      </x:c>
      <x:c r="E1703" s="62" t="n">
        <x:v>45950</x:v>
      </x:c>
      <x:c r="F1703" t="str">
        <x:v>PM</x:v>
      </x:c>
      <x:c r="G1703" t="str">
        <x:v>A</x:v>
      </x:c>
      <x:c r="H1703" t="n">
        <x:v>24</x:v>
      </x:c>
      <x:c r="I1703" t="str">
        <x:v>ORD-2025-00124</x:v>
      </x:c>
      <x:c r="J1703" t="n">
        <x:v>8</x:v>
      </x:c>
      <x:c r="K1703" t="n">
        <x:v>1</x:v>
      </x:c>
      <x:c r="L1703" t="str">
        <x:v>L24-S08-C1</x:v>
      </x:c>
      <x:c r="M1703" t="n">
        <x:v>1</x:v>
      </x:c>
      <x:c r="N1703" t="str">
        <x:v>DerivedFromCount</x:v>
      </x:c>
      <x:c r="O1703" t="str">
        <x:v>PLC-PRD-BOT-500-L24</x:v>
      </x:c>
      <x:c r="P1703" t="str">
        <x:v>OK</x:v>
      </x:c>
      <x:c r="Q1703" t="str">
        <x:v>OK</x:v>
      </x:c>
      <x:c r="R1703" t="str">
        <x:v>CHECK</x:v>
      </x:c>
      <x:c r="S1703" t="str">
        <x:v>OK</x:v>
      </x:c>
      <x:c r="T1703" t="n">
        <x:v>36</x:v>
      </x:c>
      <x:c r="U1703" t="str">
        <x:v>CHECK</x:v>
      </x:c>
      <x:c r="V1703" t="str">
        <x:v>CHECK</x:v>
      </x:c>
      <x:c r="W1703" t="str">
        <x:v>QUARANTINE</x:v>
      </x:c>
      <x:c r="X1703" t="str">
        <x:v>02_Supervisor_Log(4).xlsx</x:v>
      </x:c>
      <x:c r="Y1703" t="str">
        <x:v>ENH-20260830-01</x:v>
      </x:c>
      <x:c r="Z1703" t="str">
        <x:v>Active</x:v>
      </x:c>
      <x:c r="AA1703"/>
      <x:c r="AB1703"/>
      <x:c r="AC1703"/>
      <x:c r="AD1703"/>
    </x:row>
    <x:row r="1704">
      <x:c r="A1704" t="str">
        <x:v>PCC-PE-KG01-L24-20251020-PM-ORD-2025-00124-S08-C2</x:v>
      </x:c>
      <x:c r="B1704" t="str">
        <x:v>PC-PE-KG01-L24-20251020-PM-ORD-2025-00124-S08</x:v>
      </x:c>
      <x:c r="C1704" t="str">
        <x:v>PE-KG01-L24-20251020-PM-ORD-2025-00124</x:v>
      </x:c>
      <x:c r="D1704" t="str">
        <x:v>KG01</x:v>
      </x:c>
      <x:c r="E1704" s="62" t="n">
        <x:v>45950</x:v>
      </x:c>
      <x:c r="F1704" t="str">
        <x:v>PM</x:v>
      </x:c>
      <x:c r="G1704" t="str">
        <x:v>A</x:v>
      </x:c>
      <x:c r="H1704" t="n">
        <x:v>24</x:v>
      </x:c>
      <x:c r="I1704" t="str">
        <x:v>ORD-2025-00124</x:v>
      </x:c>
      <x:c r="J1704" t="n">
        <x:v>8</x:v>
      </x:c>
      <x:c r="K1704" t="n">
        <x:v>2</x:v>
      </x:c>
      <x:c r="L1704" t="str">
        <x:v>L24-S08-C2</x:v>
      </x:c>
      <x:c r="M1704" t="n">
        <x:v>1</x:v>
      </x:c>
      <x:c r="N1704" t="str">
        <x:v>DerivedFromCount</x:v>
      </x:c>
      <x:c r="O1704" t="str">
        <x:v>PLC-PRD-BOT-500-L24</x:v>
      </x:c>
      <x:c r="P1704" t="str">
        <x:v>OK</x:v>
      </x:c>
      <x:c r="Q1704" t="str">
        <x:v>OK</x:v>
      </x:c>
      <x:c r="R1704" t="str">
        <x:v>CHECK</x:v>
      </x:c>
      <x:c r="S1704" t="str">
        <x:v>OK</x:v>
      </x:c>
      <x:c r="T1704" t="n">
        <x:v>36</x:v>
      </x:c>
      <x:c r="U1704" t="str">
        <x:v>CHECK</x:v>
      </x:c>
      <x:c r="V1704" t="str">
        <x:v>CHECK</x:v>
      </x:c>
      <x:c r="W1704" t="str">
        <x:v>QUARANTINE</x:v>
      </x:c>
      <x:c r="X1704" t="str">
        <x:v>02_Supervisor_Log(4).xlsx</x:v>
      </x:c>
      <x:c r="Y1704" t="str">
        <x:v>ENH-20260830-01</x:v>
      </x:c>
      <x:c r="Z1704" t="str">
        <x:v>Active</x:v>
      </x:c>
      <x:c r="AA1704"/>
      <x:c r="AB1704"/>
      <x:c r="AC1704"/>
      <x:c r="AD1704"/>
    </x:row>
    <x:row r="1705">
      <x:c r="A1705" t="str">
        <x:v>PCC-PE-KG01-L24-20251020-PM-ORD-2025-00124-S08-C3</x:v>
      </x:c>
      <x:c r="B1705" t="str">
        <x:v>PC-PE-KG01-L24-20251020-PM-ORD-2025-00124-S08</x:v>
      </x:c>
      <x:c r="C1705" t="str">
        <x:v>PE-KG01-L24-20251020-PM-ORD-2025-00124</x:v>
      </x:c>
      <x:c r="D1705" t="str">
        <x:v>KG01</x:v>
      </x:c>
      <x:c r="E1705" s="62" t="n">
        <x:v>45950</x:v>
      </x:c>
      <x:c r="F1705" t="str">
        <x:v>PM</x:v>
      </x:c>
      <x:c r="G1705" t="str">
        <x:v>A</x:v>
      </x:c>
      <x:c r="H1705" t="n">
        <x:v>24</x:v>
      </x:c>
      <x:c r="I1705" t="str">
        <x:v>ORD-2025-00124</x:v>
      </x:c>
      <x:c r="J1705" t="n">
        <x:v>8</x:v>
      </x:c>
      <x:c r="K1705" t="n">
        <x:v>3</x:v>
      </x:c>
      <x:c r="L1705" t="str">
        <x:v>L24-S08-C3</x:v>
      </x:c>
      <x:c r="M1705" t="n">
        <x:v>1</x:v>
      </x:c>
      <x:c r="N1705" t="str">
        <x:v>DerivedFromCount</x:v>
      </x:c>
      <x:c r="O1705" t="str">
        <x:v>PLC-PRD-BOT-500-L24</x:v>
      </x:c>
      <x:c r="P1705" t="str">
        <x:v>OK</x:v>
      </x:c>
      <x:c r="Q1705" t="str">
        <x:v>OK</x:v>
      </x:c>
      <x:c r="R1705" t="str">
        <x:v>CHECK</x:v>
      </x:c>
      <x:c r="S1705" t="str">
        <x:v>OK</x:v>
      </x:c>
      <x:c r="T1705" t="n">
        <x:v>36</x:v>
      </x:c>
      <x:c r="U1705" t="str">
        <x:v>CHECK</x:v>
      </x:c>
      <x:c r="V1705" t="str">
        <x:v>CHECK</x:v>
      </x:c>
      <x:c r="W1705" t="str">
        <x:v>QUARANTINE</x:v>
      </x:c>
      <x:c r="X1705" t="str">
        <x:v>02_Supervisor_Log(4).xlsx</x:v>
      </x:c>
      <x:c r="Y1705" t="str">
        <x:v>ENH-20260830-01</x:v>
      </x:c>
      <x:c r="Z1705" t="str">
        <x:v>Active</x:v>
      </x:c>
      <x:c r="AA1705"/>
      <x:c r="AB1705"/>
      <x:c r="AC1705"/>
      <x:c r="AD1705"/>
    </x:row>
    <x:row r="1706">
      <x:c r="A1706" t="str">
        <x:v>PCC-PE-KG01-L24-20251020-PM-ORD-2025-00124-S09-C1</x:v>
      </x:c>
      <x:c r="B1706" t="str">
        <x:v>PC-PE-KG01-L24-20251020-PM-ORD-2025-00124-S09</x:v>
      </x:c>
      <x:c r="C1706" t="str">
        <x:v>PE-KG01-L24-20251020-PM-ORD-2025-00124</x:v>
      </x:c>
      <x:c r="D1706" t="str">
        <x:v>KG01</x:v>
      </x:c>
      <x:c r="E1706" s="62" t="n">
        <x:v>45950</x:v>
      </x:c>
      <x:c r="F1706" t="str">
        <x:v>PM</x:v>
      </x:c>
      <x:c r="G1706" t="str">
        <x:v>A</x:v>
      </x:c>
      <x:c r="H1706" t="n">
        <x:v>24</x:v>
      </x:c>
      <x:c r="I1706" t="str">
        <x:v>ORD-2025-00124</x:v>
      </x:c>
      <x:c r="J1706" t="n">
        <x:v>9</x:v>
      </x:c>
      <x:c r="K1706" t="n">
        <x:v>1</x:v>
      </x:c>
      <x:c r="L1706" t="str">
        <x:v>L24-S09-C1</x:v>
      </x:c>
      <x:c r="M1706" t="n">
        <x:v>1</x:v>
      </x:c>
      <x:c r="N1706" t="str">
        <x:v>DerivedFromCount</x:v>
      </x:c>
      <x:c r="O1706" t="str">
        <x:v>PLC-PRD-BOT-500-L24</x:v>
      </x:c>
      <x:c r="P1706" t="str">
        <x:v>OK</x:v>
      </x:c>
      <x:c r="Q1706" t="str">
        <x:v>OK</x:v>
      </x:c>
      <x:c r="R1706" t="str">
        <x:v>CHECK</x:v>
      </x:c>
      <x:c r="S1706" t="str">
        <x:v>OK</x:v>
      </x:c>
      <x:c r="T1706" t="n">
        <x:v>36</x:v>
      </x:c>
      <x:c r="U1706" t="str">
        <x:v>CHECK</x:v>
      </x:c>
      <x:c r="V1706" t="str">
        <x:v>CHECK</x:v>
      </x:c>
      <x:c r="W1706" t="str">
        <x:v>QUARANTINE</x:v>
      </x:c>
      <x:c r="X1706" t="str">
        <x:v>02_Supervisor_Log(4).xlsx</x:v>
      </x:c>
      <x:c r="Y1706" t="str">
        <x:v>ENH-20260830-01</x:v>
      </x:c>
      <x:c r="Z1706" t="str">
        <x:v>Active</x:v>
      </x:c>
      <x:c r="AA1706"/>
      <x:c r="AB1706"/>
      <x:c r="AC1706"/>
      <x:c r="AD1706"/>
    </x:row>
    <x:row r="1707">
      <x:c r="A1707" t="str">
        <x:v>PCC-PE-KG01-L24-20251020-PM-ORD-2025-00124-S09-C2</x:v>
      </x:c>
      <x:c r="B1707" t="str">
        <x:v>PC-PE-KG01-L24-20251020-PM-ORD-2025-00124-S09</x:v>
      </x:c>
      <x:c r="C1707" t="str">
        <x:v>PE-KG01-L24-20251020-PM-ORD-2025-00124</x:v>
      </x:c>
      <x:c r="D1707" t="str">
        <x:v>KG01</x:v>
      </x:c>
      <x:c r="E1707" s="62" t="n">
        <x:v>45950</x:v>
      </x:c>
      <x:c r="F1707" t="str">
        <x:v>PM</x:v>
      </x:c>
      <x:c r="G1707" t="str">
        <x:v>A</x:v>
      </x:c>
      <x:c r="H1707" t="n">
        <x:v>24</x:v>
      </x:c>
      <x:c r="I1707" t="str">
        <x:v>ORD-2025-00124</x:v>
      </x:c>
      <x:c r="J1707" t="n">
        <x:v>9</x:v>
      </x:c>
      <x:c r="K1707" t="n">
        <x:v>2</x:v>
      </x:c>
      <x:c r="L1707" t="str">
        <x:v>L24-S09-C2</x:v>
      </x:c>
      <x:c r="M1707" t="n">
        <x:v>1</x:v>
      </x:c>
      <x:c r="N1707" t="str">
        <x:v>DerivedFromCount</x:v>
      </x:c>
      <x:c r="O1707" t="str">
        <x:v>PLC-PRD-BOT-500-L24</x:v>
      </x:c>
      <x:c r="P1707" t="str">
        <x:v>OK</x:v>
      </x:c>
      <x:c r="Q1707" t="str">
        <x:v>OK</x:v>
      </x:c>
      <x:c r="R1707" t="str">
        <x:v>CHECK</x:v>
      </x:c>
      <x:c r="S1707" t="str">
        <x:v>OK</x:v>
      </x:c>
      <x:c r="T1707" t="n">
        <x:v>36</x:v>
      </x:c>
      <x:c r="U1707" t="str">
        <x:v>CHECK</x:v>
      </x:c>
      <x:c r="V1707" t="str">
        <x:v>CHECK</x:v>
      </x:c>
      <x:c r="W1707" t="str">
        <x:v>QUARANTINE</x:v>
      </x:c>
      <x:c r="X1707" t="str">
        <x:v>02_Supervisor_Log(4).xlsx</x:v>
      </x:c>
      <x:c r="Y1707" t="str">
        <x:v>ENH-20260830-01</x:v>
      </x:c>
      <x:c r="Z1707" t="str">
        <x:v>Active</x:v>
      </x:c>
      <x:c r="AA1707"/>
      <x:c r="AB1707"/>
      <x:c r="AC1707"/>
      <x:c r="AD1707"/>
    </x:row>
    <x:row r="1708">
      <x:c r="A1708" t="str">
        <x:v>PCC-PE-KG01-L24-20251020-PM-ORD-2025-00124-S09-C3</x:v>
      </x:c>
      <x:c r="B1708" t="str">
        <x:v>PC-PE-KG01-L24-20251020-PM-ORD-2025-00124-S09</x:v>
      </x:c>
      <x:c r="C1708" t="str">
        <x:v>PE-KG01-L24-20251020-PM-ORD-2025-00124</x:v>
      </x:c>
      <x:c r="D1708" t="str">
        <x:v>KG01</x:v>
      </x:c>
      <x:c r="E1708" s="62" t="n">
        <x:v>45950</x:v>
      </x:c>
      <x:c r="F1708" t="str">
        <x:v>PM</x:v>
      </x:c>
      <x:c r="G1708" t="str">
        <x:v>A</x:v>
      </x:c>
      <x:c r="H1708" t="n">
        <x:v>24</x:v>
      </x:c>
      <x:c r="I1708" t="str">
        <x:v>ORD-2025-00124</x:v>
      </x:c>
      <x:c r="J1708" t="n">
        <x:v>9</x:v>
      </x:c>
      <x:c r="K1708" t="n">
        <x:v>3</x:v>
      </x:c>
      <x:c r="L1708" t="str">
        <x:v>L24-S09-C3</x:v>
      </x:c>
      <x:c r="M1708" t="n">
        <x:v>1</x:v>
      </x:c>
      <x:c r="N1708" t="str">
        <x:v>DerivedFromCount</x:v>
      </x:c>
      <x:c r="O1708" t="str">
        <x:v>PLC-PRD-BOT-500-L24</x:v>
      </x:c>
      <x:c r="P1708" t="str">
        <x:v>OK</x:v>
      </x:c>
      <x:c r="Q1708" t="str">
        <x:v>OK</x:v>
      </x:c>
      <x:c r="R1708" t="str">
        <x:v>CHECK</x:v>
      </x:c>
      <x:c r="S1708" t="str">
        <x:v>OK</x:v>
      </x:c>
      <x:c r="T1708" t="n">
        <x:v>36</x:v>
      </x:c>
      <x:c r="U1708" t="str">
        <x:v>CHECK</x:v>
      </x:c>
      <x:c r="V1708" t="str">
        <x:v>CHECK</x:v>
      </x:c>
      <x:c r="W1708" t="str">
        <x:v>QUARANTINE</x:v>
      </x:c>
      <x:c r="X1708" t="str">
        <x:v>02_Supervisor_Log(4).xlsx</x:v>
      </x:c>
      <x:c r="Y1708" t="str">
        <x:v>ENH-20260830-01</x:v>
      </x:c>
      <x:c r="Z1708" t="str">
        <x:v>Active</x:v>
      </x:c>
      <x:c r="AA1708"/>
      <x:c r="AB1708"/>
      <x:c r="AC1708"/>
      <x:c r="AD1708"/>
    </x:row>
    <x:row r="1709">
      <x:c r="A1709" t="str">
        <x:v>PCC-PE-KG01-L24-20251020-PM-ORD-2025-00124-S10-C1</x:v>
      </x:c>
      <x:c r="B1709" t="str">
        <x:v>PC-PE-KG01-L24-20251020-PM-ORD-2025-00124-S10</x:v>
      </x:c>
      <x:c r="C1709" t="str">
        <x:v>PE-KG01-L24-20251020-PM-ORD-2025-00124</x:v>
      </x:c>
      <x:c r="D1709" t="str">
        <x:v>KG01</x:v>
      </x:c>
      <x:c r="E1709" s="62" t="n">
        <x:v>45950</x:v>
      </x:c>
      <x:c r="F1709" t="str">
        <x:v>PM</x:v>
      </x:c>
      <x:c r="G1709" t="str">
        <x:v>A</x:v>
      </x:c>
      <x:c r="H1709" t="n">
        <x:v>24</x:v>
      </x:c>
      <x:c r="I1709" t="str">
        <x:v>ORD-2025-00124</x:v>
      </x:c>
      <x:c r="J1709" t="n">
        <x:v>10</x:v>
      </x:c>
      <x:c r="K1709" t="n">
        <x:v>1</x:v>
      </x:c>
      <x:c r="L1709" t="str">
        <x:v>L24-S10-C1</x:v>
      </x:c>
      <x:c r="M1709" t="n">
        <x:v>1</x:v>
      </x:c>
      <x:c r="N1709" t="str">
        <x:v>DerivedFromCount</x:v>
      </x:c>
      <x:c r="O1709" t="str">
        <x:v>PLC-PRD-BOT-500-L24</x:v>
      </x:c>
      <x:c r="P1709" t="str">
        <x:v>OK</x:v>
      </x:c>
      <x:c r="Q1709" t="str">
        <x:v>OK</x:v>
      </x:c>
      <x:c r="R1709" t="str">
        <x:v>CHECK</x:v>
      </x:c>
      <x:c r="S1709" t="str">
        <x:v>OK</x:v>
      </x:c>
      <x:c r="T1709" t="n">
        <x:v>36</x:v>
      </x:c>
      <x:c r="U1709" t="str">
        <x:v>CHECK</x:v>
      </x:c>
      <x:c r="V1709" t="str">
        <x:v>CHECK</x:v>
      </x:c>
      <x:c r="W1709" t="str">
        <x:v>QUARANTINE</x:v>
      </x:c>
      <x:c r="X1709" t="str">
        <x:v>02_Supervisor_Log(4).xlsx</x:v>
      </x:c>
      <x:c r="Y1709" t="str">
        <x:v>ENH-20260830-01</x:v>
      </x:c>
      <x:c r="Z1709" t="str">
        <x:v>Active</x:v>
      </x:c>
      <x:c r="AA1709"/>
      <x:c r="AB1709"/>
      <x:c r="AC1709"/>
      <x:c r="AD1709"/>
    </x:row>
    <x:row r="1710">
      <x:c r="A1710" t="str">
        <x:v>PCC-PE-KG01-L24-20251020-PM-ORD-2025-00124-S10-C2</x:v>
      </x:c>
      <x:c r="B1710" t="str">
        <x:v>PC-PE-KG01-L24-20251020-PM-ORD-2025-00124-S10</x:v>
      </x:c>
      <x:c r="C1710" t="str">
        <x:v>PE-KG01-L24-20251020-PM-ORD-2025-00124</x:v>
      </x:c>
      <x:c r="D1710" t="str">
        <x:v>KG01</x:v>
      </x:c>
      <x:c r="E1710" s="62" t="n">
        <x:v>45950</x:v>
      </x:c>
      <x:c r="F1710" t="str">
        <x:v>PM</x:v>
      </x:c>
      <x:c r="G1710" t="str">
        <x:v>A</x:v>
      </x:c>
      <x:c r="H1710" t="n">
        <x:v>24</x:v>
      </x:c>
      <x:c r="I1710" t="str">
        <x:v>ORD-2025-00124</x:v>
      </x:c>
      <x:c r="J1710" t="n">
        <x:v>10</x:v>
      </x:c>
      <x:c r="K1710" t="n">
        <x:v>2</x:v>
      </x:c>
      <x:c r="L1710" t="str">
        <x:v>L24-S10-C2</x:v>
      </x:c>
      <x:c r="M1710" t="n">
        <x:v>1</x:v>
      </x:c>
      <x:c r="N1710" t="str">
        <x:v>DerivedFromCount</x:v>
      </x:c>
      <x:c r="O1710" t="str">
        <x:v>PLC-PRD-BOT-500-L24</x:v>
      </x:c>
      <x:c r="P1710" t="str">
        <x:v>OK</x:v>
      </x:c>
      <x:c r="Q1710" t="str">
        <x:v>OK</x:v>
      </x:c>
      <x:c r="R1710" t="str">
        <x:v>CHECK</x:v>
      </x:c>
      <x:c r="S1710" t="str">
        <x:v>OK</x:v>
      </x:c>
      <x:c r="T1710" t="n">
        <x:v>36</x:v>
      </x:c>
      <x:c r="U1710" t="str">
        <x:v>CHECK</x:v>
      </x:c>
      <x:c r="V1710" t="str">
        <x:v>CHECK</x:v>
      </x:c>
      <x:c r="W1710" t="str">
        <x:v>QUARANTINE</x:v>
      </x:c>
      <x:c r="X1710" t="str">
        <x:v>02_Supervisor_Log(4).xlsx</x:v>
      </x:c>
      <x:c r="Y1710" t="str">
        <x:v>ENH-20260830-01</x:v>
      </x:c>
      <x:c r="Z1710" t="str">
        <x:v>Active</x:v>
      </x:c>
      <x:c r="AA1710"/>
      <x:c r="AB1710"/>
      <x:c r="AC1710"/>
      <x:c r="AD1710"/>
    </x:row>
    <x:row r="1711">
      <x:c r="A1711" t="str">
        <x:v>PCC-PE-KG01-L24-20251020-PM-ORD-2025-00124-S10-C3</x:v>
      </x:c>
      <x:c r="B1711" t="str">
        <x:v>PC-PE-KG01-L24-20251020-PM-ORD-2025-00124-S10</x:v>
      </x:c>
      <x:c r="C1711" t="str">
        <x:v>PE-KG01-L24-20251020-PM-ORD-2025-00124</x:v>
      </x:c>
      <x:c r="D1711" t="str">
        <x:v>KG01</x:v>
      </x:c>
      <x:c r="E1711" s="62" t="n">
        <x:v>45950</x:v>
      </x:c>
      <x:c r="F1711" t="str">
        <x:v>PM</x:v>
      </x:c>
      <x:c r="G1711" t="str">
        <x:v>A</x:v>
      </x:c>
      <x:c r="H1711" t="n">
        <x:v>24</x:v>
      </x:c>
      <x:c r="I1711" t="str">
        <x:v>ORD-2025-00124</x:v>
      </x:c>
      <x:c r="J1711" t="n">
        <x:v>10</x:v>
      </x:c>
      <x:c r="K1711" t="n">
        <x:v>3</x:v>
      </x:c>
      <x:c r="L1711" t="str">
        <x:v>L24-S10-C3</x:v>
      </x:c>
      <x:c r="M1711" t="n">
        <x:v>1</x:v>
      </x:c>
      <x:c r="N1711" t="str">
        <x:v>DerivedFromCount</x:v>
      </x:c>
      <x:c r="O1711" t="str">
        <x:v>PLC-PRD-BOT-500-L24</x:v>
      </x:c>
      <x:c r="P1711" t="str">
        <x:v>OK</x:v>
      </x:c>
      <x:c r="Q1711" t="str">
        <x:v>OK</x:v>
      </x:c>
      <x:c r="R1711" t="str">
        <x:v>CHECK</x:v>
      </x:c>
      <x:c r="S1711" t="str">
        <x:v>OK</x:v>
      </x:c>
      <x:c r="T1711" t="n">
        <x:v>36</x:v>
      </x:c>
      <x:c r="U1711" t="str">
        <x:v>CHECK</x:v>
      </x:c>
      <x:c r="V1711" t="str">
        <x:v>CHECK</x:v>
      </x:c>
      <x:c r="W1711" t="str">
        <x:v>QUARANTINE</x:v>
      </x:c>
      <x:c r="X1711" t="str">
        <x:v>02_Supervisor_Log(4).xlsx</x:v>
      </x:c>
      <x:c r="Y1711" t="str">
        <x:v>ENH-20260830-01</x:v>
      </x:c>
      <x:c r="Z1711" t="str">
        <x:v>Active</x:v>
      </x:c>
      <x:c r="AA1711"/>
      <x:c r="AB1711"/>
      <x:c r="AC1711"/>
      <x:c r="AD1711"/>
    </x:row>
    <x:row r="1712">
      <x:c r="A1712" t="str">
        <x:v>PCC-PE-KG01-L24-20251020-PM-ORD-2025-00124-S11-C1</x:v>
      </x:c>
      <x:c r="B1712" t="str">
        <x:v>PC-PE-KG01-L24-20251020-PM-ORD-2025-00124-S11</x:v>
      </x:c>
      <x:c r="C1712" t="str">
        <x:v>PE-KG01-L24-20251020-PM-ORD-2025-00124</x:v>
      </x:c>
      <x:c r="D1712" t="str">
        <x:v>KG01</x:v>
      </x:c>
      <x:c r="E1712" s="62" t="n">
        <x:v>45950</x:v>
      </x:c>
      <x:c r="F1712" t="str">
        <x:v>PM</x:v>
      </x:c>
      <x:c r="G1712" t="str">
        <x:v>A</x:v>
      </x:c>
      <x:c r="H1712" t="n">
        <x:v>24</x:v>
      </x:c>
      <x:c r="I1712" t="str">
        <x:v>ORD-2025-00124</x:v>
      </x:c>
      <x:c r="J1712" t="n">
        <x:v>11</x:v>
      </x:c>
      <x:c r="K1712" t="n">
        <x:v>1</x:v>
      </x:c>
      <x:c r="L1712" t="str">
        <x:v>L24-S11-C1</x:v>
      </x:c>
      <x:c r="M1712" t="n">
        <x:v>1</x:v>
      </x:c>
      <x:c r="N1712" t="str">
        <x:v>DerivedFromCount</x:v>
      </x:c>
      <x:c r="O1712" t="str">
        <x:v>PLC-PRD-BOT-500-L24</x:v>
      </x:c>
      <x:c r="P1712" t="str">
        <x:v>OK</x:v>
      </x:c>
      <x:c r="Q1712" t="str">
        <x:v>OK</x:v>
      </x:c>
      <x:c r="R1712" t="str">
        <x:v>CHECK</x:v>
      </x:c>
      <x:c r="S1712" t="str">
        <x:v>OK</x:v>
      </x:c>
      <x:c r="T1712" t="n">
        <x:v>36</x:v>
      </x:c>
      <x:c r="U1712" t="str">
        <x:v>CHECK</x:v>
      </x:c>
      <x:c r="V1712" t="str">
        <x:v>CHECK</x:v>
      </x:c>
      <x:c r="W1712" t="str">
        <x:v>QUARANTINE</x:v>
      </x:c>
      <x:c r="X1712" t="str">
        <x:v>02_Supervisor_Log(4).xlsx</x:v>
      </x:c>
      <x:c r="Y1712" t="str">
        <x:v>ENH-20260830-01</x:v>
      </x:c>
      <x:c r="Z1712" t="str">
        <x:v>Active</x:v>
      </x:c>
      <x:c r="AA1712"/>
      <x:c r="AB1712"/>
      <x:c r="AC1712"/>
      <x:c r="AD1712"/>
    </x:row>
    <x:row r="1713">
      <x:c r="A1713" t="str">
        <x:v>PCC-PE-KG01-L24-20251020-PM-ORD-2025-00124-S11-C2</x:v>
      </x:c>
      <x:c r="B1713" t="str">
        <x:v>PC-PE-KG01-L24-20251020-PM-ORD-2025-00124-S11</x:v>
      </x:c>
      <x:c r="C1713" t="str">
        <x:v>PE-KG01-L24-20251020-PM-ORD-2025-00124</x:v>
      </x:c>
      <x:c r="D1713" t="str">
        <x:v>KG01</x:v>
      </x:c>
      <x:c r="E1713" s="62" t="n">
        <x:v>45950</x:v>
      </x:c>
      <x:c r="F1713" t="str">
        <x:v>PM</x:v>
      </x:c>
      <x:c r="G1713" t="str">
        <x:v>A</x:v>
      </x:c>
      <x:c r="H1713" t="n">
        <x:v>24</x:v>
      </x:c>
      <x:c r="I1713" t="str">
        <x:v>ORD-2025-00124</x:v>
      </x:c>
      <x:c r="J1713" t="n">
        <x:v>11</x:v>
      </x:c>
      <x:c r="K1713" t="n">
        <x:v>2</x:v>
      </x:c>
      <x:c r="L1713" t="str">
        <x:v>L24-S11-C2</x:v>
      </x:c>
      <x:c r="M1713" t="n">
        <x:v>1</x:v>
      </x:c>
      <x:c r="N1713" t="str">
        <x:v>DerivedFromCount</x:v>
      </x:c>
      <x:c r="O1713" t="str">
        <x:v>PLC-PRD-BOT-500-L24</x:v>
      </x:c>
      <x:c r="P1713" t="str">
        <x:v>OK</x:v>
      </x:c>
      <x:c r="Q1713" t="str">
        <x:v>OK</x:v>
      </x:c>
      <x:c r="R1713" t="str">
        <x:v>CHECK</x:v>
      </x:c>
      <x:c r="S1713" t="str">
        <x:v>OK</x:v>
      </x:c>
      <x:c r="T1713" t="n">
        <x:v>36</x:v>
      </x:c>
      <x:c r="U1713" t="str">
        <x:v>CHECK</x:v>
      </x:c>
      <x:c r="V1713" t="str">
        <x:v>CHECK</x:v>
      </x:c>
      <x:c r="W1713" t="str">
        <x:v>QUARANTINE</x:v>
      </x:c>
      <x:c r="X1713" t="str">
        <x:v>02_Supervisor_Log(4).xlsx</x:v>
      </x:c>
      <x:c r="Y1713" t="str">
        <x:v>ENH-20260830-01</x:v>
      </x:c>
      <x:c r="Z1713" t="str">
        <x:v>Active</x:v>
      </x:c>
      <x:c r="AA1713"/>
      <x:c r="AB1713"/>
      <x:c r="AC1713"/>
      <x:c r="AD1713"/>
    </x:row>
    <x:row r="1714">
      <x:c r="A1714" t="str">
        <x:v>PCC-PE-KG01-L24-20251020-PM-ORD-2025-00124-S11-C3</x:v>
      </x:c>
      <x:c r="B1714" t="str">
        <x:v>PC-PE-KG01-L24-20251020-PM-ORD-2025-00124-S11</x:v>
      </x:c>
      <x:c r="C1714" t="str">
        <x:v>PE-KG01-L24-20251020-PM-ORD-2025-00124</x:v>
      </x:c>
      <x:c r="D1714" t="str">
        <x:v>KG01</x:v>
      </x:c>
      <x:c r="E1714" s="62" t="n">
        <x:v>45950</x:v>
      </x:c>
      <x:c r="F1714" t="str">
        <x:v>PM</x:v>
      </x:c>
      <x:c r="G1714" t="str">
        <x:v>A</x:v>
      </x:c>
      <x:c r="H1714" t="n">
        <x:v>24</x:v>
      </x:c>
      <x:c r="I1714" t="str">
        <x:v>ORD-2025-00124</x:v>
      </x:c>
      <x:c r="J1714" t="n">
        <x:v>11</x:v>
      </x:c>
      <x:c r="K1714" t="n">
        <x:v>3</x:v>
      </x:c>
      <x:c r="L1714" t="str">
        <x:v>L24-S11-C3</x:v>
      </x:c>
      <x:c r="M1714" t="n">
        <x:v>1</x:v>
      </x:c>
      <x:c r="N1714" t="str">
        <x:v>DerivedFromCount</x:v>
      </x:c>
      <x:c r="O1714" t="str">
        <x:v>PLC-PRD-BOT-500-L24</x:v>
      </x:c>
      <x:c r="P1714" t="str">
        <x:v>OK</x:v>
      </x:c>
      <x:c r="Q1714" t="str">
        <x:v>OK</x:v>
      </x:c>
      <x:c r="R1714" t="str">
        <x:v>CHECK</x:v>
      </x:c>
      <x:c r="S1714" t="str">
        <x:v>OK</x:v>
      </x:c>
      <x:c r="T1714" t="n">
        <x:v>36</x:v>
      </x:c>
      <x:c r="U1714" t="str">
        <x:v>CHECK</x:v>
      </x:c>
      <x:c r="V1714" t="str">
        <x:v>CHECK</x:v>
      </x:c>
      <x:c r="W1714" t="str">
        <x:v>QUARANTINE</x:v>
      </x:c>
      <x:c r="X1714" t="str">
        <x:v>02_Supervisor_Log(4).xlsx</x:v>
      </x:c>
      <x:c r="Y1714" t="str">
        <x:v>ENH-20260830-01</x:v>
      </x:c>
      <x:c r="Z1714" t="str">
        <x:v>Active</x:v>
      </x:c>
      <x:c r="AA1714"/>
      <x:c r="AB1714"/>
      <x:c r="AC1714"/>
      <x:c r="AD1714"/>
    </x:row>
    <x:row r="1715">
      <x:c r="A1715" t="str">
        <x:v>PCC-PE-KG01-L24-20251020-PM-ORD-2025-00124-S12-C1</x:v>
      </x:c>
      <x:c r="B1715" t="str">
        <x:v>PC-PE-KG01-L24-20251020-PM-ORD-2025-00124-S12</x:v>
      </x:c>
      <x:c r="C1715" t="str">
        <x:v>PE-KG01-L24-20251020-PM-ORD-2025-00124</x:v>
      </x:c>
      <x:c r="D1715" t="str">
        <x:v>KG01</x:v>
      </x:c>
      <x:c r="E1715" s="62" t="n">
        <x:v>45950</x:v>
      </x:c>
      <x:c r="F1715" t="str">
        <x:v>PM</x:v>
      </x:c>
      <x:c r="G1715" t="str">
        <x:v>A</x:v>
      </x:c>
      <x:c r="H1715" t="n">
        <x:v>24</x:v>
      </x:c>
      <x:c r="I1715" t="str">
        <x:v>ORD-2025-00124</x:v>
      </x:c>
      <x:c r="J1715" t="n">
        <x:v>12</x:v>
      </x:c>
      <x:c r="K1715" t="n">
        <x:v>1</x:v>
      </x:c>
      <x:c r="L1715" t="str">
        <x:v>L24-S12-C1</x:v>
      </x:c>
      <x:c r="M1715" t="n">
        <x:v>1</x:v>
      </x:c>
      <x:c r="N1715" t="str">
        <x:v>DerivedFromCount</x:v>
      </x:c>
      <x:c r="O1715" t="str">
        <x:v>PLC-PRD-BOT-500-L24</x:v>
      </x:c>
      <x:c r="P1715" t="str">
        <x:v>OK</x:v>
      </x:c>
      <x:c r="Q1715" t="str">
        <x:v>OK</x:v>
      </x:c>
      <x:c r="R1715" t="str">
        <x:v>CHECK</x:v>
      </x:c>
      <x:c r="S1715" t="str">
        <x:v>OK</x:v>
      </x:c>
      <x:c r="T1715" t="n">
        <x:v>36</x:v>
      </x:c>
      <x:c r="U1715" t="str">
        <x:v>CHECK</x:v>
      </x:c>
      <x:c r="V1715" t="str">
        <x:v>CHECK</x:v>
      </x:c>
      <x:c r="W1715" t="str">
        <x:v>QUARANTINE</x:v>
      </x:c>
      <x:c r="X1715" t="str">
        <x:v>02_Supervisor_Log(4).xlsx</x:v>
      </x:c>
      <x:c r="Y1715" t="str">
        <x:v>ENH-20260830-01</x:v>
      </x:c>
      <x:c r="Z1715" t="str">
        <x:v>Active</x:v>
      </x:c>
      <x:c r="AA1715"/>
      <x:c r="AB1715"/>
      <x:c r="AC1715"/>
      <x:c r="AD1715"/>
    </x:row>
    <x:row r="1716">
      <x:c r="A1716" t="str">
        <x:v>PCC-PE-KG01-L24-20251020-PM-ORD-2025-00124-S12-C2</x:v>
      </x:c>
      <x:c r="B1716" t="str">
        <x:v>PC-PE-KG01-L24-20251020-PM-ORD-2025-00124-S12</x:v>
      </x:c>
      <x:c r="C1716" t="str">
        <x:v>PE-KG01-L24-20251020-PM-ORD-2025-00124</x:v>
      </x:c>
      <x:c r="D1716" t="str">
        <x:v>KG01</x:v>
      </x:c>
      <x:c r="E1716" s="62" t="n">
        <x:v>45950</x:v>
      </x:c>
      <x:c r="F1716" t="str">
        <x:v>PM</x:v>
      </x:c>
      <x:c r="G1716" t="str">
        <x:v>A</x:v>
      </x:c>
      <x:c r="H1716" t="n">
        <x:v>24</x:v>
      </x:c>
      <x:c r="I1716" t="str">
        <x:v>ORD-2025-00124</x:v>
      </x:c>
      <x:c r="J1716" t="n">
        <x:v>12</x:v>
      </x:c>
      <x:c r="K1716" t="n">
        <x:v>2</x:v>
      </x:c>
      <x:c r="L1716" t="str">
        <x:v>L24-S12-C2</x:v>
      </x:c>
      <x:c r="M1716" t="n">
        <x:v>1</x:v>
      </x:c>
      <x:c r="N1716" t="str">
        <x:v>DerivedFromCount</x:v>
      </x:c>
      <x:c r="O1716" t="str">
        <x:v>PLC-PRD-BOT-500-L24</x:v>
      </x:c>
      <x:c r="P1716" t="str">
        <x:v>OK</x:v>
      </x:c>
      <x:c r="Q1716" t="str">
        <x:v>OK</x:v>
      </x:c>
      <x:c r="R1716" t="str">
        <x:v>CHECK</x:v>
      </x:c>
      <x:c r="S1716" t="str">
        <x:v>OK</x:v>
      </x:c>
      <x:c r="T1716" t="n">
        <x:v>36</x:v>
      </x:c>
      <x:c r="U1716" t="str">
        <x:v>CHECK</x:v>
      </x:c>
      <x:c r="V1716" t="str">
        <x:v>CHECK</x:v>
      </x:c>
      <x:c r="W1716" t="str">
        <x:v>QUARANTINE</x:v>
      </x:c>
      <x:c r="X1716" t="str">
        <x:v>02_Supervisor_Log(4).xlsx</x:v>
      </x:c>
      <x:c r="Y1716" t="str">
        <x:v>ENH-20260830-01</x:v>
      </x:c>
      <x:c r="Z1716" t="str">
        <x:v>Active</x:v>
      </x:c>
      <x:c r="AA1716"/>
      <x:c r="AB1716"/>
      <x:c r="AC1716"/>
      <x:c r="AD1716"/>
    </x:row>
    <x:row r="1717">
      <x:c r="A1717" t="str">
        <x:v>PCC-PE-KG01-L24-20251020-PM-ORD-2025-00124-S12-C3</x:v>
      </x:c>
      <x:c r="B1717" t="str">
        <x:v>PC-PE-KG01-L24-20251020-PM-ORD-2025-00124-S12</x:v>
      </x:c>
      <x:c r="C1717" t="str">
        <x:v>PE-KG01-L24-20251020-PM-ORD-2025-00124</x:v>
      </x:c>
      <x:c r="D1717" t="str">
        <x:v>KG01</x:v>
      </x:c>
      <x:c r="E1717" s="62" t="n">
        <x:v>45950</x:v>
      </x:c>
      <x:c r="F1717" t="str">
        <x:v>PM</x:v>
      </x:c>
      <x:c r="G1717" t="str">
        <x:v>A</x:v>
      </x:c>
      <x:c r="H1717" t="n">
        <x:v>24</x:v>
      </x:c>
      <x:c r="I1717" t="str">
        <x:v>ORD-2025-00124</x:v>
      </x:c>
      <x:c r="J1717" t="n">
        <x:v>12</x:v>
      </x:c>
      <x:c r="K1717" t="n">
        <x:v>3</x:v>
      </x:c>
      <x:c r="L1717" t="str">
        <x:v>L24-S12-C3</x:v>
      </x:c>
      <x:c r="M1717" t="n">
        <x:v>1</x:v>
      </x:c>
      <x:c r="N1717" t="str">
        <x:v>DerivedFromCount</x:v>
      </x:c>
      <x:c r="O1717" t="str">
        <x:v>PLC-PRD-BOT-500-L24</x:v>
      </x:c>
      <x:c r="P1717" t="str">
        <x:v>OK</x:v>
      </x:c>
      <x:c r="Q1717" t="str">
        <x:v>OK</x:v>
      </x:c>
      <x:c r="R1717" t="str">
        <x:v>CHECK</x:v>
      </x:c>
      <x:c r="S1717" t="str">
        <x:v>OK</x:v>
      </x:c>
      <x:c r="T1717" t="n">
        <x:v>36</x:v>
      </x:c>
      <x:c r="U1717" t="str">
        <x:v>CHECK</x:v>
      </x:c>
      <x:c r="V1717" t="str">
        <x:v>CHECK</x:v>
      </x:c>
      <x:c r="W1717" t="str">
        <x:v>QUARANTINE</x:v>
      </x:c>
      <x:c r="X1717" t="str">
        <x:v>02_Supervisor_Log(4).xlsx</x:v>
      </x:c>
      <x:c r="Y1717" t="str">
        <x:v>ENH-20260830-01</x:v>
      </x:c>
      <x:c r="Z1717" t="str">
        <x:v>Active</x:v>
      </x:c>
      <x:c r="AA1717"/>
      <x:c r="AB1717"/>
      <x:c r="AC1717"/>
      <x:c r="AD1717"/>
    </x:row>
    <x:row r="1718">
      <x:c r="A1718" t="str">
        <x:v>PCC-PE-KG01-L24-20251020-PM-ORD-2025-00124-S13-C1</x:v>
      </x:c>
      <x:c r="B1718" t="str">
        <x:v>PC-PE-KG01-L24-20251020-PM-ORD-2025-00124-S13</x:v>
      </x:c>
      <x:c r="C1718" t="str">
        <x:v>PE-KG01-L24-20251020-PM-ORD-2025-00124</x:v>
      </x:c>
      <x:c r="D1718" t="str">
        <x:v>KG01</x:v>
      </x:c>
      <x:c r="E1718" s="62" t="n">
        <x:v>45950</x:v>
      </x:c>
      <x:c r="F1718" t="str">
        <x:v>PM</x:v>
      </x:c>
      <x:c r="G1718" t="str">
        <x:v>A</x:v>
      </x:c>
      <x:c r="H1718" t="n">
        <x:v>24</x:v>
      </x:c>
      <x:c r="I1718" t="str">
        <x:v>ORD-2025-00124</x:v>
      </x:c>
      <x:c r="J1718" t="n">
        <x:v>13</x:v>
      </x:c>
      <x:c r="K1718" t="n">
        <x:v>1</x:v>
      </x:c>
      <x:c r="L1718" t="str">
        <x:v>L24-S13-C1</x:v>
      </x:c>
      <x:c r="M1718" t="n">
        <x:v>0</x:v>
      </x:c>
      <x:c r="N1718" t="str">
        <x:v>DerivedFromCount</x:v>
      </x:c>
      <x:c r="O1718" t="str">
        <x:v>PLC-PRD-BOT-500-L24</x:v>
      </x:c>
      <x:c r="P1718" t="str">
        <x:v>OK</x:v>
      </x:c>
      <x:c r="Q1718" t="str">
        <x:v>OK</x:v>
      </x:c>
      <x:c r="R1718" t="str">
        <x:v>OK</x:v>
      </x:c>
      <x:c r="S1718" t="str">
        <x:v>OK</x:v>
      </x:c>
      <x:c r="T1718" t="n">
        <x:v>36</x:v>
      </x:c>
      <x:c r="U1718" t="str">
        <x:v>CHECK</x:v>
      </x:c>
      <x:c r="V1718" t="str">
        <x:v>CHECK</x:v>
      </x:c>
      <x:c r="W1718" t="str">
        <x:v>QUARANTINE</x:v>
      </x:c>
      <x:c r="X1718" t="str">
        <x:v>02_Supervisor_Log(4).xlsx</x:v>
      </x:c>
      <x:c r="Y1718" t="str">
        <x:v>ENH-20260830-01</x:v>
      </x:c>
      <x:c r="Z1718" t="str">
        <x:v>Active</x:v>
      </x:c>
      <x:c r="AA1718"/>
      <x:c r="AB1718"/>
      <x:c r="AC1718"/>
      <x:c r="AD1718"/>
    </x:row>
    <x:row r="1719">
      <x:c r="A1719" t="str">
        <x:v>PCC-PE-KG01-L24-20251020-PM-ORD-2025-00124-S13-C2</x:v>
      </x:c>
      <x:c r="B1719" t="str">
        <x:v>PC-PE-KG01-L24-20251020-PM-ORD-2025-00124-S13</x:v>
      </x:c>
      <x:c r="C1719" t="str">
        <x:v>PE-KG01-L24-20251020-PM-ORD-2025-00124</x:v>
      </x:c>
      <x:c r="D1719" t="str">
        <x:v>KG01</x:v>
      </x:c>
      <x:c r="E1719" s="62" t="n">
        <x:v>45950</x:v>
      </x:c>
      <x:c r="F1719" t="str">
        <x:v>PM</x:v>
      </x:c>
      <x:c r="G1719" t="str">
        <x:v>A</x:v>
      </x:c>
      <x:c r="H1719" t="n">
        <x:v>24</x:v>
      </x:c>
      <x:c r="I1719" t="str">
        <x:v>ORD-2025-00124</x:v>
      </x:c>
      <x:c r="J1719" t="n">
        <x:v>13</x:v>
      </x:c>
      <x:c r="K1719" t="n">
        <x:v>2</x:v>
      </x:c>
      <x:c r="L1719" t="str">
        <x:v>L24-S13-C2</x:v>
      </x:c>
      <x:c r="M1719" t="n">
        <x:v>0</x:v>
      </x:c>
      <x:c r="N1719" t="str">
        <x:v>DerivedFromCount</x:v>
      </x:c>
      <x:c r="O1719" t="str">
        <x:v>PLC-PRD-BOT-500-L24</x:v>
      </x:c>
      <x:c r="P1719" t="str">
        <x:v>OK</x:v>
      </x:c>
      <x:c r="Q1719" t="str">
        <x:v>OK</x:v>
      </x:c>
      <x:c r="R1719" t="str">
        <x:v>OK</x:v>
      </x:c>
      <x:c r="S1719" t="str">
        <x:v>OK</x:v>
      </x:c>
      <x:c r="T1719" t="n">
        <x:v>36</x:v>
      </x:c>
      <x:c r="U1719" t="str">
        <x:v>CHECK</x:v>
      </x:c>
      <x:c r="V1719" t="str">
        <x:v>CHECK</x:v>
      </x:c>
      <x:c r="W1719" t="str">
        <x:v>QUARANTINE</x:v>
      </x:c>
      <x:c r="X1719" t="str">
        <x:v>02_Supervisor_Log(4).xlsx</x:v>
      </x:c>
      <x:c r="Y1719" t="str">
        <x:v>ENH-20260830-01</x:v>
      </x:c>
      <x:c r="Z1719" t="str">
        <x:v>Active</x:v>
      </x:c>
      <x:c r="AA1719"/>
      <x:c r="AB1719"/>
      <x:c r="AC1719"/>
      <x:c r="AD1719"/>
    </x:row>
    <x:row r="1720">
      <x:c r="A1720" t="str">
        <x:v>PCC-PE-KG01-L24-20251020-PM-ORD-2025-00124-S13-C3</x:v>
      </x:c>
      <x:c r="B1720" t="str">
        <x:v>PC-PE-KG01-L24-20251020-PM-ORD-2025-00124-S13</x:v>
      </x:c>
      <x:c r="C1720" t="str">
        <x:v>PE-KG01-L24-20251020-PM-ORD-2025-00124</x:v>
      </x:c>
      <x:c r="D1720" t="str">
        <x:v>KG01</x:v>
      </x:c>
      <x:c r="E1720" s="62" t="n">
        <x:v>45950</x:v>
      </x:c>
      <x:c r="F1720" t="str">
        <x:v>PM</x:v>
      </x:c>
      <x:c r="G1720" t="str">
        <x:v>A</x:v>
      </x:c>
      <x:c r="H1720" t="n">
        <x:v>24</x:v>
      </x:c>
      <x:c r="I1720" t="str">
        <x:v>ORD-2025-00124</x:v>
      </x:c>
      <x:c r="J1720" t="n">
        <x:v>13</x:v>
      </x:c>
      <x:c r="K1720" t="n">
        <x:v>3</x:v>
      </x:c>
      <x:c r="L1720" t="str">
        <x:v>L24-S13-C3</x:v>
      </x:c>
      <x:c r="M1720" t="n">
        <x:v>0</x:v>
      </x:c>
      <x:c r="N1720" t="str">
        <x:v>DerivedFromCount</x:v>
      </x:c>
      <x:c r="O1720" t="str">
        <x:v>PLC-PRD-BOT-500-L24</x:v>
      </x:c>
      <x:c r="P1720" t="str">
        <x:v>OK</x:v>
      </x:c>
      <x:c r="Q1720" t="str">
        <x:v>OK</x:v>
      </x:c>
      <x:c r="R1720" t="str">
        <x:v>OK</x:v>
      </x:c>
      <x:c r="S1720" t="str">
        <x:v>OK</x:v>
      </x:c>
      <x:c r="T1720" t="n">
        <x:v>36</x:v>
      </x:c>
      <x:c r="U1720" t="str">
        <x:v>CHECK</x:v>
      </x:c>
      <x:c r="V1720" t="str">
        <x:v>CHECK</x:v>
      </x:c>
      <x:c r="W1720" t="str">
        <x:v>QUARANTINE</x:v>
      </x:c>
      <x:c r="X1720" t="str">
        <x:v>02_Supervisor_Log(4).xlsx</x:v>
      </x:c>
      <x:c r="Y1720" t="str">
        <x:v>ENH-20260830-01</x:v>
      </x:c>
      <x:c r="Z1720" t="str">
        <x:v>Active</x:v>
      </x:c>
      <x:c r="AA1720"/>
      <x:c r="AB1720"/>
      <x:c r="AC1720"/>
      <x:c r="AD1720"/>
    </x:row>
    <x:row r="1721">
      <x:c r="A1721" t="str">
        <x:v>PCC-PE-KG01-L24-20251021-AM-ORD-2025-00125-S01-C1</x:v>
      </x:c>
      <x:c r="B1721" t="str">
        <x:v>PC-PE-KG01-L24-20251021-AM-ORD-2025-00125-S01</x:v>
      </x:c>
      <x:c r="C1721" t="str">
        <x:v>PE-KG01-L24-20251021-AM-ORD-2025-00125</x:v>
      </x:c>
      <x:c r="D1721" t="str">
        <x:v>KG01</x:v>
      </x:c>
      <x:c r="E1721" s="62" t="n">
        <x:v>45951</x:v>
      </x:c>
      <x:c r="F1721" t="str">
        <x:v>AM</x:v>
      </x:c>
      <x:c r="G1721" t="str">
        <x:v>A</x:v>
      </x:c>
      <x:c r="H1721" t="n">
        <x:v>24</x:v>
      </x:c>
      <x:c r="I1721" t="str">
        <x:v>ORD-2025-00125</x:v>
      </x:c>
      <x:c r="J1721" t="n">
        <x:v>1</x:v>
      </x:c>
      <x:c r="K1721" t="n">
        <x:v>1</x:v>
      </x:c>
      <x:c r="L1721" t="str">
        <x:v>L24-S01-C1</x:v>
      </x:c>
      <x:c r="M1721" t="n">
        <x:v>1</x:v>
      </x:c>
      <x:c r="N1721" t="str">
        <x:v>DerivedFromCount</x:v>
      </x:c>
      <x:c r="O1721" t="str">
        <x:v>PLC-PRD-JAR-330-L24</x:v>
      </x:c>
      <x:c r="P1721" t="str">
        <x:v>OK</x:v>
      </x:c>
      <x:c r="Q1721" t="str">
        <x:v>OK</x:v>
      </x:c>
      <x:c r="R1721" t="str">
        <x:v>OK</x:v>
      </x:c>
      <x:c r="S1721" t="str">
        <x:v>OK</x:v>
      </x:c>
      <x:c r="T1721" t="n">
        <x:v>36</x:v>
      </x:c>
      <x:c r="U1721" t="str">
        <x:v>OK</x:v>
      </x:c>
      <x:c r="V1721" t="str">
        <x:v>OK</x:v>
      </x:c>
      <x:c r="W1721" t="str">
        <x:v>LOAD</x:v>
      </x:c>
      <x:c r="X1721" t="str">
        <x:v>02_Supervisor_Log(4).xlsx</x:v>
      </x:c>
      <x:c r="Y1721" t="str">
        <x:v>ENH-20260830-01</x:v>
      </x:c>
      <x:c r="Z1721" t="str">
        <x:v>Active</x:v>
      </x:c>
      <x:c r="AA1721"/>
      <x:c r="AB1721"/>
      <x:c r="AC1721"/>
      <x:c r="AD1721"/>
    </x:row>
    <x:row r="1722">
      <x:c r="A1722" t="str">
        <x:v>PCC-PE-KG01-L24-20251021-AM-ORD-2025-00125-S01-C2</x:v>
      </x:c>
      <x:c r="B1722" t="str">
        <x:v>PC-PE-KG01-L24-20251021-AM-ORD-2025-00125-S01</x:v>
      </x:c>
      <x:c r="C1722" t="str">
        <x:v>PE-KG01-L24-20251021-AM-ORD-2025-00125</x:v>
      </x:c>
      <x:c r="D1722" t="str">
        <x:v>KG01</x:v>
      </x:c>
      <x:c r="E1722" s="62" t="n">
        <x:v>45951</x:v>
      </x:c>
      <x:c r="F1722" t="str">
        <x:v>AM</x:v>
      </x:c>
      <x:c r="G1722" t="str">
        <x:v>A</x:v>
      </x:c>
      <x:c r="H1722" t="n">
        <x:v>24</x:v>
      </x:c>
      <x:c r="I1722" t="str">
        <x:v>ORD-2025-00125</x:v>
      </x:c>
      <x:c r="J1722" t="n">
        <x:v>1</x:v>
      </x:c>
      <x:c r="K1722" t="n">
        <x:v>2</x:v>
      </x:c>
      <x:c r="L1722" t="str">
        <x:v>L24-S01-C2</x:v>
      </x:c>
      <x:c r="M1722" t="n">
        <x:v>1</x:v>
      </x:c>
      <x:c r="N1722" t="str">
        <x:v>DerivedFromCount</x:v>
      </x:c>
      <x:c r="O1722" t="str">
        <x:v>PLC-PRD-JAR-330-L24</x:v>
      </x:c>
      <x:c r="P1722" t="str">
        <x:v>OK</x:v>
      </x:c>
      <x:c r="Q1722" t="str">
        <x:v>OK</x:v>
      </x:c>
      <x:c r="R1722" t="str">
        <x:v>OK</x:v>
      </x:c>
      <x:c r="S1722" t="str">
        <x:v>OK</x:v>
      </x:c>
      <x:c r="T1722" t="n">
        <x:v>36</x:v>
      </x:c>
      <x:c r="U1722" t="str">
        <x:v>OK</x:v>
      </x:c>
      <x:c r="V1722" t="str">
        <x:v>OK</x:v>
      </x:c>
      <x:c r="W1722" t="str">
        <x:v>LOAD</x:v>
      </x:c>
      <x:c r="X1722" t="str">
        <x:v>02_Supervisor_Log(4).xlsx</x:v>
      </x:c>
      <x:c r="Y1722" t="str">
        <x:v>ENH-20260830-01</x:v>
      </x:c>
      <x:c r="Z1722" t="str">
        <x:v>Active</x:v>
      </x:c>
      <x:c r="AA1722"/>
      <x:c r="AB1722"/>
      <x:c r="AC1722"/>
      <x:c r="AD1722"/>
    </x:row>
    <x:row r="1723">
      <x:c r="A1723" t="str">
        <x:v>PCC-PE-KG01-L24-20251021-AM-ORD-2025-00125-S01-C3</x:v>
      </x:c>
      <x:c r="B1723" t="str">
        <x:v>PC-PE-KG01-L24-20251021-AM-ORD-2025-00125-S01</x:v>
      </x:c>
      <x:c r="C1723" t="str">
        <x:v>PE-KG01-L24-20251021-AM-ORD-2025-00125</x:v>
      </x:c>
      <x:c r="D1723" t="str">
        <x:v>KG01</x:v>
      </x:c>
      <x:c r="E1723" s="62" t="n">
        <x:v>45951</x:v>
      </x:c>
      <x:c r="F1723" t="str">
        <x:v>AM</x:v>
      </x:c>
      <x:c r="G1723" t="str">
        <x:v>A</x:v>
      </x:c>
      <x:c r="H1723" t="n">
        <x:v>24</x:v>
      </x:c>
      <x:c r="I1723" t="str">
        <x:v>ORD-2025-00125</x:v>
      </x:c>
      <x:c r="J1723" t="n">
        <x:v>1</x:v>
      </x:c>
      <x:c r="K1723" t="n">
        <x:v>3</x:v>
      </x:c>
      <x:c r="L1723" t="str">
        <x:v>L24-S01-C3</x:v>
      </x:c>
      <x:c r="M1723" t="n">
        <x:v>1</x:v>
      </x:c>
      <x:c r="N1723" t="str">
        <x:v>DerivedFromCount</x:v>
      </x:c>
      <x:c r="O1723" t="str">
        <x:v>PLC-PRD-JAR-330-L24</x:v>
      </x:c>
      <x:c r="P1723" t="str">
        <x:v>OK</x:v>
      </x:c>
      <x:c r="Q1723" t="str">
        <x:v>OK</x:v>
      </x:c>
      <x:c r="R1723" t="str">
        <x:v>OK</x:v>
      </x:c>
      <x:c r="S1723" t="str">
        <x:v>OK</x:v>
      </x:c>
      <x:c r="T1723" t="n">
        <x:v>36</x:v>
      </x:c>
      <x:c r="U1723" t="str">
        <x:v>OK</x:v>
      </x:c>
      <x:c r="V1723" t="str">
        <x:v>OK</x:v>
      </x:c>
      <x:c r="W1723" t="str">
        <x:v>LOAD</x:v>
      </x:c>
      <x:c r="X1723" t="str">
        <x:v>02_Supervisor_Log(4).xlsx</x:v>
      </x:c>
      <x:c r="Y1723" t="str">
        <x:v>ENH-20260830-01</x:v>
      </x:c>
      <x:c r="Z1723" t="str">
        <x:v>Active</x:v>
      </x:c>
      <x:c r="AA1723"/>
      <x:c r="AB1723"/>
      <x:c r="AC1723"/>
      <x:c r="AD1723"/>
    </x:row>
    <x:row r="1724">
      <x:c r="A1724" t="str">
        <x:v>PCC-PE-KG01-L24-20251021-AM-ORD-2025-00125-S02-C1</x:v>
      </x:c>
      <x:c r="B1724" t="str">
        <x:v>PC-PE-KG01-L24-20251021-AM-ORD-2025-00125-S02</x:v>
      </x:c>
      <x:c r="C1724" t="str">
        <x:v>PE-KG01-L24-20251021-AM-ORD-2025-00125</x:v>
      </x:c>
      <x:c r="D1724" t="str">
        <x:v>KG01</x:v>
      </x:c>
      <x:c r="E1724" s="62" t="n">
        <x:v>45951</x:v>
      </x:c>
      <x:c r="F1724" t="str">
        <x:v>AM</x:v>
      </x:c>
      <x:c r="G1724" t="str">
        <x:v>A</x:v>
      </x:c>
      <x:c r="H1724" t="n">
        <x:v>24</x:v>
      </x:c>
      <x:c r="I1724" t="str">
        <x:v>ORD-2025-00125</x:v>
      </x:c>
      <x:c r="J1724" t="n">
        <x:v>2</x:v>
      </x:c>
      <x:c r="K1724" t="n">
        <x:v>1</x:v>
      </x:c>
      <x:c r="L1724" t="str">
        <x:v>L24-S02-C1</x:v>
      </x:c>
      <x:c r="M1724" t="n">
        <x:v>1</x:v>
      </x:c>
      <x:c r="N1724" t="str">
        <x:v>DerivedFromCount</x:v>
      </x:c>
      <x:c r="O1724" t="str">
        <x:v>PLC-PRD-JAR-330-L24</x:v>
      </x:c>
      <x:c r="P1724" t="str">
        <x:v>OK</x:v>
      </x:c>
      <x:c r="Q1724" t="str">
        <x:v>OK</x:v>
      </x:c>
      <x:c r="R1724" t="str">
        <x:v>OK</x:v>
      </x:c>
      <x:c r="S1724" t="str">
        <x:v>OK</x:v>
      </x:c>
      <x:c r="T1724" t="n">
        <x:v>36</x:v>
      </x:c>
      <x:c r="U1724" t="str">
        <x:v>OK</x:v>
      </x:c>
      <x:c r="V1724" t="str">
        <x:v>OK</x:v>
      </x:c>
      <x:c r="W1724" t="str">
        <x:v>LOAD</x:v>
      </x:c>
      <x:c r="X1724" t="str">
        <x:v>02_Supervisor_Log(4).xlsx</x:v>
      </x:c>
      <x:c r="Y1724" t="str">
        <x:v>ENH-20260830-01</x:v>
      </x:c>
      <x:c r="Z1724" t="str">
        <x:v>Active</x:v>
      </x:c>
      <x:c r="AA1724"/>
      <x:c r="AB1724"/>
      <x:c r="AC1724"/>
      <x:c r="AD1724"/>
    </x:row>
    <x:row r="1725">
      <x:c r="A1725" t="str">
        <x:v>PCC-PE-KG01-L24-20251021-AM-ORD-2025-00125-S02-C2</x:v>
      </x:c>
      <x:c r="B1725" t="str">
        <x:v>PC-PE-KG01-L24-20251021-AM-ORD-2025-00125-S02</x:v>
      </x:c>
      <x:c r="C1725" t="str">
        <x:v>PE-KG01-L24-20251021-AM-ORD-2025-00125</x:v>
      </x:c>
      <x:c r="D1725" t="str">
        <x:v>KG01</x:v>
      </x:c>
      <x:c r="E1725" s="62" t="n">
        <x:v>45951</x:v>
      </x:c>
      <x:c r="F1725" t="str">
        <x:v>AM</x:v>
      </x:c>
      <x:c r="G1725" t="str">
        <x:v>A</x:v>
      </x:c>
      <x:c r="H1725" t="n">
        <x:v>24</x:v>
      </x:c>
      <x:c r="I1725" t="str">
        <x:v>ORD-2025-00125</x:v>
      </x:c>
      <x:c r="J1725" t="n">
        <x:v>2</x:v>
      </x:c>
      <x:c r="K1725" t="n">
        <x:v>2</x:v>
      </x:c>
      <x:c r="L1725" t="str">
        <x:v>L24-S02-C2</x:v>
      </x:c>
      <x:c r="M1725" t="n">
        <x:v>1</x:v>
      </x:c>
      <x:c r="N1725" t="str">
        <x:v>DerivedFromCount</x:v>
      </x:c>
      <x:c r="O1725" t="str">
        <x:v>PLC-PRD-JAR-330-L24</x:v>
      </x:c>
      <x:c r="P1725" t="str">
        <x:v>OK</x:v>
      </x:c>
      <x:c r="Q1725" t="str">
        <x:v>OK</x:v>
      </x:c>
      <x:c r="R1725" t="str">
        <x:v>OK</x:v>
      </x:c>
      <x:c r="S1725" t="str">
        <x:v>OK</x:v>
      </x:c>
      <x:c r="T1725" t="n">
        <x:v>36</x:v>
      </x:c>
      <x:c r="U1725" t="str">
        <x:v>OK</x:v>
      </x:c>
      <x:c r="V1725" t="str">
        <x:v>OK</x:v>
      </x:c>
      <x:c r="W1725" t="str">
        <x:v>LOAD</x:v>
      </x:c>
      <x:c r="X1725" t="str">
        <x:v>02_Supervisor_Log(4).xlsx</x:v>
      </x:c>
      <x:c r="Y1725" t="str">
        <x:v>ENH-20260830-01</x:v>
      </x:c>
      <x:c r="Z1725" t="str">
        <x:v>Active</x:v>
      </x:c>
      <x:c r="AA1725"/>
      <x:c r="AB1725"/>
      <x:c r="AC1725"/>
      <x:c r="AD1725"/>
    </x:row>
    <x:row r="1726">
      <x:c r="A1726" t="str">
        <x:v>PCC-PE-KG01-L24-20251021-AM-ORD-2025-00125-S02-C3</x:v>
      </x:c>
      <x:c r="B1726" t="str">
        <x:v>PC-PE-KG01-L24-20251021-AM-ORD-2025-00125-S02</x:v>
      </x:c>
      <x:c r="C1726" t="str">
        <x:v>PE-KG01-L24-20251021-AM-ORD-2025-00125</x:v>
      </x:c>
      <x:c r="D1726" t="str">
        <x:v>KG01</x:v>
      </x:c>
      <x:c r="E1726" s="62" t="n">
        <x:v>45951</x:v>
      </x:c>
      <x:c r="F1726" t="str">
        <x:v>AM</x:v>
      </x:c>
      <x:c r="G1726" t="str">
        <x:v>A</x:v>
      </x:c>
      <x:c r="H1726" t="n">
        <x:v>24</x:v>
      </x:c>
      <x:c r="I1726" t="str">
        <x:v>ORD-2025-00125</x:v>
      </x:c>
      <x:c r="J1726" t="n">
        <x:v>2</x:v>
      </x:c>
      <x:c r="K1726" t="n">
        <x:v>3</x:v>
      </x:c>
      <x:c r="L1726" t="str">
        <x:v>L24-S02-C3</x:v>
      </x:c>
      <x:c r="M1726" t="n">
        <x:v>1</x:v>
      </x:c>
      <x:c r="N1726" t="str">
        <x:v>DerivedFromCount</x:v>
      </x:c>
      <x:c r="O1726" t="str">
        <x:v>PLC-PRD-JAR-330-L24</x:v>
      </x:c>
      <x:c r="P1726" t="str">
        <x:v>OK</x:v>
      </x:c>
      <x:c r="Q1726" t="str">
        <x:v>OK</x:v>
      </x:c>
      <x:c r="R1726" t="str">
        <x:v>OK</x:v>
      </x:c>
      <x:c r="S1726" t="str">
        <x:v>OK</x:v>
      </x:c>
      <x:c r="T1726" t="n">
        <x:v>36</x:v>
      </x:c>
      <x:c r="U1726" t="str">
        <x:v>OK</x:v>
      </x:c>
      <x:c r="V1726" t="str">
        <x:v>OK</x:v>
      </x:c>
      <x:c r="W1726" t="str">
        <x:v>LOAD</x:v>
      </x:c>
      <x:c r="X1726" t="str">
        <x:v>02_Supervisor_Log(4).xlsx</x:v>
      </x:c>
      <x:c r="Y1726" t="str">
        <x:v>ENH-20260830-01</x:v>
      </x:c>
      <x:c r="Z1726" t="str">
        <x:v>Active</x:v>
      </x:c>
      <x:c r="AA1726"/>
      <x:c r="AB1726"/>
      <x:c r="AC1726"/>
      <x:c r="AD1726"/>
    </x:row>
    <x:row r="1727">
      <x:c r="A1727" t="str">
        <x:v>PCC-PE-KG01-L24-20251021-AM-ORD-2025-00125-S03-C1</x:v>
      </x:c>
      <x:c r="B1727" t="str">
        <x:v>PC-PE-KG01-L24-20251021-AM-ORD-2025-00125-S03</x:v>
      </x:c>
      <x:c r="C1727" t="str">
        <x:v>PE-KG01-L24-20251021-AM-ORD-2025-00125</x:v>
      </x:c>
      <x:c r="D1727" t="str">
        <x:v>KG01</x:v>
      </x:c>
      <x:c r="E1727" s="62" t="n">
        <x:v>45951</x:v>
      </x:c>
      <x:c r="F1727" t="str">
        <x:v>AM</x:v>
      </x:c>
      <x:c r="G1727" t="str">
        <x:v>A</x:v>
      </x:c>
      <x:c r="H1727" t="n">
        <x:v>24</x:v>
      </x:c>
      <x:c r="I1727" t="str">
        <x:v>ORD-2025-00125</x:v>
      </x:c>
      <x:c r="J1727" t="n">
        <x:v>3</x:v>
      </x:c>
      <x:c r="K1727" t="n">
        <x:v>1</x:v>
      </x:c>
      <x:c r="L1727" t="str">
        <x:v>L24-S03-C1</x:v>
      </x:c>
      <x:c r="M1727" t="n">
        <x:v>1</x:v>
      </x:c>
      <x:c r="N1727" t="str">
        <x:v>DerivedFromCount</x:v>
      </x:c>
      <x:c r="O1727" t="str">
        <x:v>PLC-PRD-JAR-330-L24</x:v>
      </x:c>
      <x:c r="P1727" t="str">
        <x:v>OK</x:v>
      </x:c>
      <x:c r="Q1727" t="str">
        <x:v>OK</x:v>
      </x:c>
      <x:c r="R1727" t="str">
        <x:v>OK</x:v>
      </x:c>
      <x:c r="S1727" t="str">
        <x:v>OK</x:v>
      </x:c>
      <x:c r="T1727" t="n">
        <x:v>36</x:v>
      </x:c>
      <x:c r="U1727" t="str">
        <x:v>OK</x:v>
      </x:c>
      <x:c r="V1727" t="str">
        <x:v>OK</x:v>
      </x:c>
      <x:c r="W1727" t="str">
        <x:v>LOAD</x:v>
      </x:c>
      <x:c r="X1727" t="str">
        <x:v>02_Supervisor_Log(4).xlsx</x:v>
      </x:c>
      <x:c r="Y1727" t="str">
        <x:v>ENH-20260830-01</x:v>
      </x:c>
      <x:c r="Z1727" t="str">
        <x:v>Active</x:v>
      </x:c>
      <x:c r="AA1727"/>
      <x:c r="AB1727"/>
      <x:c r="AC1727"/>
      <x:c r="AD1727"/>
    </x:row>
    <x:row r="1728">
      <x:c r="A1728" t="str">
        <x:v>PCC-PE-KG01-L24-20251021-AM-ORD-2025-00125-S03-C2</x:v>
      </x:c>
      <x:c r="B1728" t="str">
        <x:v>PC-PE-KG01-L24-20251021-AM-ORD-2025-00125-S03</x:v>
      </x:c>
      <x:c r="C1728" t="str">
        <x:v>PE-KG01-L24-20251021-AM-ORD-2025-00125</x:v>
      </x:c>
      <x:c r="D1728" t="str">
        <x:v>KG01</x:v>
      </x:c>
      <x:c r="E1728" s="62" t="n">
        <x:v>45951</x:v>
      </x:c>
      <x:c r="F1728" t="str">
        <x:v>AM</x:v>
      </x:c>
      <x:c r="G1728" t="str">
        <x:v>A</x:v>
      </x:c>
      <x:c r="H1728" t="n">
        <x:v>24</x:v>
      </x:c>
      <x:c r="I1728" t="str">
        <x:v>ORD-2025-00125</x:v>
      </x:c>
      <x:c r="J1728" t="n">
        <x:v>3</x:v>
      </x:c>
      <x:c r="K1728" t="n">
        <x:v>2</x:v>
      </x:c>
      <x:c r="L1728" t="str">
        <x:v>L24-S03-C2</x:v>
      </x:c>
      <x:c r="M1728" t="n">
        <x:v>1</x:v>
      </x:c>
      <x:c r="N1728" t="str">
        <x:v>DerivedFromCount</x:v>
      </x:c>
      <x:c r="O1728" t="str">
        <x:v>PLC-PRD-JAR-330-L24</x:v>
      </x:c>
      <x:c r="P1728" t="str">
        <x:v>OK</x:v>
      </x:c>
      <x:c r="Q1728" t="str">
        <x:v>OK</x:v>
      </x:c>
      <x:c r="R1728" t="str">
        <x:v>OK</x:v>
      </x:c>
      <x:c r="S1728" t="str">
        <x:v>OK</x:v>
      </x:c>
      <x:c r="T1728" t="n">
        <x:v>36</x:v>
      </x:c>
      <x:c r="U1728" t="str">
        <x:v>OK</x:v>
      </x:c>
      <x:c r="V1728" t="str">
        <x:v>OK</x:v>
      </x:c>
      <x:c r="W1728" t="str">
        <x:v>LOAD</x:v>
      </x:c>
      <x:c r="X1728" t="str">
        <x:v>02_Supervisor_Log(4).xlsx</x:v>
      </x:c>
      <x:c r="Y1728" t="str">
        <x:v>ENH-20260830-01</x:v>
      </x:c>
      <x:c r="Z1728" t="str">
        <x:v>Active</x:v>
      </x:c>
      <x:c r="AA1728"/>
      <x:c r="AB1728"/>
      <x:c r="AC1728"/>
      <x:c r="AD1728"/>
    </x:row>
    <x:row r="1729">
      <x:c r="A1729" t="str">
        <x:v>PCC-PE-KG01-L24-20251021-AM-ORD-2025-00125-S03-C3</x:v>
      </x:c>
      <x:c r="B1729" t="str">
        <x:v>PC-PE-KG01-L24-20251021-AM-ORD-2025-00125-S03</x:v>
      </x:c>
      <x:c r="C1729" t="str">
        <x:v>PE-KG01-L24-20251021-AM-ORD-2025-00125</x:v>
      </x:c>
      <x:c r="D1729" t="str">
        <x:v>KG01</x:v>
      </x:c>
      <x:c r="E1729" s="62" t="n">
        <x:v>45951</x:v>
      </x:c>
      <x:c r="F1729" t="str">
        <x:v>AM</x:v>
      </x:c>
      <x:c r="G1729" t="str">
        <x:v>A</x:v>
      </x:c>
      <x:c r="H1729" t="n">
        <x:v>24</x:v>
      </x:c>
      <x:c r="I1729" t="str">
        <x:v>ORD-2025-00125</x:v>
      </x:c>
      <x:c r="J1729" t="n">
        <x:v>3</x:v>
      </x:c>
      <x:c r="K1729" t="n">
        <x:v>3</x:v>
      </x:c>
      <x:c r="L1729" t="str">
        <x:v>L24-S03-C3</x:v>
      </x:c>
      <x:c r="M1729" t="n">
        <x:v>1</x:v>
      </x:c>
      <x:c r="N1729" t="str">
        <x:v>DerivedFromCount</x:v>
      </x:c>
      <x:c r="O1729" t="str">
        <x:v>PLC-PRD-JAR-330-L24</x:v>
      </x:c>
      <x:c r="P1729" t="str">
        <x:v>OK</x:v>
      </x:c>
      <x:c r="Q1729" t="str">
        <x:v>OK</x:v>
      </x:c>
      <x:c r="R1729" t="str">
        <x:v>OK</x:v>
      </x:c>
      <x:c r="S1729" t="str">
        <x:v>OK</x:v>
      </x:c>
      <x:c r="T1729" t="n">
        <x:v>36</x:v>
      </x:c>
      <x:c r="U1729" t="str">
        <x:v>OK</x:v>
      </x:c>
      <x:c r="V1729" t="str">
        <x:v>OK</x:v>
      </x:c>
      <x:c r="W1729" t="str">
        <x:v>LOAD</x:v>
      </x:c>
      <x:c r="X1729" t="str">
        <x:v>02_Supervisor_Log(4).xlsx</x:v>
      </x:c>
      <x:c r="Y1729" t="str">
        <x:v>ENH-20260830-01</x:v>
      </x:c>
      <x:c r="Z1729" t="str">
        <x:v>Active</x:v>
      </x:c>
      <x:c r="AA1729"/>
      <x:c r="AB1729"/>
      <x:c r="AC1729"/>
      <x:c r="AD1729"/>
    </x:row>
    <x:row r="1730">
      <x:c r="A1730" t="str">
        <x:v>PCC-PE-KG01-L24-20251021-AM-ORD-2025-00125-S04-C1</x:v>
      </x:c>
      <x:c r="B1730" t="str">
        <x:v>PC-PE-KG01-L24-20251021-AM-ORD-2025-00125-S04</x:v>
      </x:c>
      <x:c r="C1730" t="str">
        <x:v>PE-KG01-L24-20251021-AM-ORD-2025-00125</x:v>
      </x:c>
      <x:c r="D1730" t="str">
        <x:v>KG01</x:v>
      </x:c>
      <x:c r="E1730" s="62" t="n">
        <x:v>45951</x:v>
      </x:c>
      <x:c r="F1730" t="str">
        <x:v>AM</x:v>
      </x:c>
      <x:c r="G1730" t="str">
        <x:v>A</x:v>
      </x:c>
      <x:c r="H1730" t="n">
        <x:v>24</x:v>
      </x:c>
      <x:c r="I1730" t="str">
        <x:v>ORD-2025-00125</x:v>
      </x:c>
      <x:c r="J1730" t="n">
        <x:v>4</x:v>
      </x:c>
      <x:c r="K1730" t="n">
        <x:v>1</x:v>
      </x:c>
      <x:c r="L1730" t="str">
        <x:v>L24-S04-C1</x:v>
      </x:c>
      <x:c r="M1730" t="n">
        <x:v>1</x:v>
      </x:c>
      <x:c r="N1730" t="str">
        <x:v>DerivedFromCount</x:v>
      </x:c>
      <x:c r="O1730" t="str">
        <x:v>PLC-PRD-JAR-330-L24</x:v>
      </x:c>
      <x:c r="P1730" t="str">
        <x:v>OK</x:v>
      </x:c>
      <x:c r="Q1730" t="str">
        <x:v>OK</x:v>
      </x:c>
      <x:c r="R1730" t="str">
        <x:v>OK</x:v>
      </x:c>
      <x:c r="S1730" t="str">
        <x:v>OK</x:v>
      </x:c>
      <x:c r="T1730" t="n">
        <x:v>36</x:v>
      </x:c>
      <x:c r="U1730" t="str">
        <x:v>OK</x:v>
      </x:c>
      <x:c r="V1730" t="str">
        <x:v>OK</x:v>
      </x:c>
      <x:c r="W1730" t="str">
        <x:v>LOAD</x:v>
      </x:c>
      <x:c r="X1730" t="str">
        <x:v>02_Supervisor_Log(4).xlsx</x:v>
      </x:c>
      <x:c r="Y1730" t="str">
        <x:v>ENH-20260830-01</x:v>
      </x:c>
      <x:c r="Z1730" t="str">
        <x:v>Active</x:v>
      </x:c>
      <x:c r="AA1730"/>
      <x:c r="AB1730"/>
      <x:c r="AC1730"/>
      <x:c r="AD1730"/>
    </x:row>
    <x:row r="1731">
      <x:c r="A1731" t="str">
        <x:v>PCC-PE-KG01-L24-20251021-AM-ORD-2025-00125-S04-C2</x:v>
      </x:c>
      <x:c r="B1731" t="str">
        <x:v>PC-PE-KG01-L24-20251021-AM-ORD-2025-00125-S04</x:v>
      </x:c>
      <x:c r="C1731" t="str">
        <x:v>PE-KG01-L24-20251021-AM-ORD-2025-00125</x:v>
      </x:c>
      <x:c r="D1731" t="str">
        <x:v>KG01</x:v>
      </x:c>
      <x:c r="E1731" s="62" t="n">
        <x:v>45951</x:v>
      </x:c>
      <x:c r="F1731" t="str">
        <x:v>AM</x:v>
      </x:c>
      <x:c r="G1731" t="str">
        <x:v>A</x:v>
      </x:c>
      <x:c r="H1731" t="n">
        <x:v>24</x:v>
      </x:c>
      <x:c r="I1731" t="str">
        <x:v>ORD-2025-00125</x:v>
      </x:c>
      <x:c r="J1731" t="n">
        <x:v>4</x:v>
      </x:c>
      <x:c r="K1731" t="n">
        <x:v>2</x:v>
      </x:c>
      <x:c r="L1731" t="str">
        <x:v>L24-S04-C2</x:v>
      </x:c>
      <x:c r="M1731" t="n">
        <x:v>1</x:v>
      </x:c>
      <x:c r="N1731" t="str">
        <x:v>DerivedFromCount</x:v>
      </x:c>
      <x:c r="O1731" t="str">
        <x:v>PLC-PRD-JAR-330-L24</x:v>
      </x:c>
      <x:c r="P1731" t="str">
        <x:v>OK</x:v>
      </x:c>
      <x:c r="Q1731" t="str">
        <x:v>OK</x:v>
      </x:c>
      <x:c r="R1731" t="str">
        <x:v>OK</x:v>
      </x:c>
      <x:c r="S1731" t="str">
        <x:v>OK</x:v>
      </x:c>
      <x:c r="T1731" t="n">
        <x:v>36</x:v>
      </x:c>
      <x:c r="U1731" t="str">
        <x:v>OK</x:v>
      </x:c>
      <x:c r="V1731" t="str">
        <x:v>OK</x:v>
      </x:c>
      <x:c r="W1731" t="str">
        <x:v>LOAD</x:v>
      </x:c>
      <x:c r="X1731" t="str">
        <x:v>02_Supervisor_Log(4).xlsx</x:v>
      </x:c>
      <x:c r="Y1731" t="str">
        <x:v>ENH-20260830-01</x:v>
      </x:c>
      <x:c r="Z1731" t="str">
        <x:v>Active</x:v>
      </x:c>
      <x:c r="AA1731"/>
      <x:c r="AB1731"/>
      <x:c r="AC1731"/>
      <x:c r="AD1731"/>
    </x:row>
    <x:row r="1732">
      <x:c r="A1732" t="str">
        <x:v>PCC-PE-KG01-L24-20251021-AM-ORD-2025-00125-S04-C3</x:v>
      </x:c>
      <x:c r="B1732" t="str">
        <x:v>PC-PE-KG01-L24-20251021-AM-ORD-2025-00125-S04</x:v>
      </x:c>
      <x:c r="C1732" t="str">
        <x:v>PE-KG01-L24-20251021-AM-ORD-2025-00125</x:v>
      </x:c>
      <x:c r="D1732" t="str">
        <x:v>KG01</x:v>
      </x:c>
      <x:c r="E1732" s="62" t="n">
        <x:v>45951</x:v>
      </x:c>
      <x:c r="F1732" t="str">
        <x:v>AM</x:v>
      </x:c>
      <x:c r="G1732" t="str">
        <x:v>A</x:v>
      </x:c>
      <x:c r="H1732" t="n">
        <x:v>24</x:v>
      </x:c>
      <x:c r="I1732" t="str">
        <x:v>ORD-2025-00125</x:v>
      </x:c>
      <x:c r="J1732" t="n">
        <x:v>4</x:v>
      </x:c>
      <x:c r="K1732" t="n">
        <x:v>3</x:v>
      </x:c>
      <x:c r="L1732" t="str">
        <x:v>L24-S04-C3</x:v>
      </x:c>
      <x:c r="M1732" t="n">
        <x:v>1</x:v>
      </x:c>
      <x:c r="N1732" t="str">
        <x:v>DerivedFromCount</x:v>
      </x:c>
      <x:c r="O1732" t="str">
        <x:v>PLC-PRD-JAR-330-L24</x:v>
      </x:c>
      <x:c r="P1732" t="str">
        <x:v>OK</x:v>
      </x:c>
      <x:c r="Q1732" t="str">
        <x:v>OK</x:v>
      </x:c>
      <x:c r="R1732" t="str">
        <x:v>OK</x:v>
      </x:c>
      <x:c r="S1732" t="str">
        <x:v>OK</x:v>
      </x:c>
      <x:c r="T1732" t="n">
        <x:v>36</x:v>
      </x:c>
      <x:c r="U1732" t="str">
        <x:v>OK</x:v>
      </x:c>
      <x:c r="V1732" t="str">
        <x:v>OK</x:v>
      </x:c>
      <x:c r="W1732" t="str">
        <x:v>LOAD</x:v>
      </x:c>
      <x:c r="X1732" t="str">
        <x:v>02_Supervisor_Log(4).xlsx</x:v>
      </x:c>
      <x:c r="Y1732" t="str">
        <x:v>ENH-20260830-01</x:v>
      </x:c>
      <x:c r="Z1732" t="str">
        <x:v>Active</x:v>
      </x:c>
      <x:c r="AA1732"/>
      <x:c r="AB1732"/>
      <x:c r="AC1732"/>
      <x:c r="AD1732"/>
    </x:row>
    <x:row r="1733">
      <x:c r="A1733" t="str">
        <x:v>PCC-PE-KG01-L24-20251021-AM-ORD-2025-00125-S05-C1</x:v>
      </x:c>
      <x:c r="B1733" t="str">
        <x:v>PC-PE-KG01-L24-20251021-AM-ORD-2025-00125-S05</x:v>
      </x:c>
      <x:c r="C1733" t="str">
        <x:v>PE-KG01-L24-20251021-AM-ORD-2025-00125</x:v>
      </x:c>
      <x:c r="D1733" t="str">
        <x:v>KG01</x:v>
      </x:c>
      <x:c r="E1733" s="62" t="n">
        <x:v>45951</x:v>
      </x:c>
      <x:c r="F1733" t="str">
        <x:v>AM</x:v>
      </x:c>
      <x:c r="G1733" t="str">
        <x:v>A</x:v>
      </x:c>
      <x:c r="H1733" t="n">
        <x:v>24</x:v>
      </x:c>
      <x:c r="I1733" t="str">
        <x:v>ORD-2025-00125</x:v>
      </x:c>
      <x:c r="J1733" t="n">
        <x:v>5</x:v>
      </x:c>
      <x:c r="K1733" t="n">
        <x:v>1</x:v>
      </x:c>
      <x:c r="L1733" t="str">
        <x:v>L24-S05-C1</x:v>
      </x:c>
      <x:c r="M1733" t="n">
        <x:v>1</x:v>
      </x:c>
      <x:c r="N1733" t="str">
        <x:v>DerivedFromCount</x:v>
      </x:c>
      <x:c r="O1733" t="str">
        <x:v>PLC-PRD-JAR-330-L24</x:v>
      </x:c>
      <x:c r="P1733" t="str">
        <x:v>OK</x:v>
      </x:c>
      <x:c r="Q1733" t="str">
        <x:v>OK</x:v>
      </x:c>
      <x:c r="R1733" t="str">
        <x:v>OK</x:v>
      </x:c>
      <x:c r="S1733" t="str">
        <x:v>OK</x:v>
      </x:c>
      <x:c r="T1733" t="n">
        <x:v>36</x:v>
      </x:c>
      <x:c r="U1733" t="str">
        <x:v>OK</x:v>
      </x:c>
      <x:c r="V1733" t="str">
        <x:v>OK</x:v>
      </x:c>
      <x:c r="W1733" t="str">
        <x:v>LOAD</x:v>
      </x:c>
      <x:c r="X1733" t="str">
        <x:v>02_Supervisor_Log(4).xlsx</x:v>
      </x:c>
      <x:c r="Y1733" t="str">
        <x:v>ENH-20260830-01</x:v>
      </x:c>
      <x:c r="Z1733" t="str">
        <x:v>Active</x:v>
      </x:c>
      <x:c r="AA1733"/>
      <x:c r="AB1733"/>
      <x:c r="AC1733"/>
      <x:c r="AD1733"/>
    </x:row>
    <x:row r="1734">
      <x:c r="A1734" t="str">
        <x:v>PCC-PE-KG01-L24-20251021-AM-ORD-2025-00125-S05-C2</x:v>
      </x:c>
      <x:c r="B1734" t="str">
        <x:v>PC-PE-KG01-L24-20251021-AM-ORD-2025-00125-S05</x:v>
      </x:c>
      <x:c r="C1734" t="str">
        <x:v>PE-KG01-L24-20251021-AM-ORD-2025-00125</x:v>
      </x:c>
      <x:c r="D1734" t="str">
        <x:v>KG01</x:v>
      </x:c>
      <x:c r="E1734" s="62" t="n">
        <x:v>45951</x:v>
      </x:c>
      <x:c r="F1734" t="str">
        <x:v>AM</x:v>
      </x:c>
      <x:c r="G1734" t="str">
        <x:v>A</x:v>
      </x:c>
      <x:c r="H1734" t="n">
        <x:v>24</x:v>
      </x:c>
      <x:c r="I1734" t="str">
        <x:v>ORD-2025-00125</x:v>
      </x:c>
      <x:c r="J1734" t="n">
        <x:v>5</x:v>
      </x:c>
      <x:c r="K1734" t="n">
        <x:v>2</x:v>
      </x:c>
      <x:c r="L1734" t="str">
        <x:v>L24-S05-C2</x:v>
      </x:c>
      <x:c r="M1734" t="n">
        <x:v>1</x:v>
      </x:c>
      <x:c r="N1734" t="str">
        <x:v>DerivedFromCount</x:v>
      </x:c>
      <x:c r="O1734" t="str">
        <x:v>PLC-PRD-JAR-330-L24</x:v>
      </x:c>
      <x:c r="P1734" t="str">
        <x:v>OK</x:v>
      </x:c>
      <x:c r="Q1734" t="str">
        <x:v>OK</x:v>
      </x:c>
      <x:c r="R1734" t="str">
        <x:v>OK</x:v>
      </x:c>
      <x:c r="S1734" t="str">
        <x:v>OK</x:v>
      </x:c>
      <x:c r="T1734" t="n">
        <x:v>36</x:v>
      </x:c>
      <x:c r="U1734" t="str">
        <x:v>OK</x:v>
      </x:c>
      <x:c r="V1734" t="str">
        <x:v>OK</x:v>
      </x:c>
      <x:c r="W1734" t="str">
        <x:v>LOAD</x:v>
      </x:c>
      <x:c r="X1734" t="str">
        <x:v>02_Supervisor_Log(4).xlsx</x:v>
      </x:c>
      <x:c r="Y1734" t="str">
        <x:v>ENH-20260830-01</x:v>
      </x:c>
      <x:c r="Z1734" t="str">
        <x:v>Active</x:v>
      </x:c>
      <x:c r="AA1734"/>
      <x:c r="AB1734"/>
      <x:c r="AC1734"/>
      <x:c r="AD1734"/>
    </x:row>
    <x:row r="1735">
      <x:c r="A1735" t="str">
        <x:v>PCC-PE-KG01-L24-20251021-AM-ORD-2025-00125-S05-C3</x:v>
      </x:c>
      <x:c r="B1735" t="str">
        <x:v>PC-PE-KG01-L24-20251021-AM-ORD-2025-00125-S05</x:v>
      </x:c>
      <x:c r="C1735" t="str">
        <x:v>PE-KG01-L24-20251021-AM-ORD-2025-00125</x:v>
      </x:c>
      <x:c r="D1735" t="str">
        <x:v>KG01</x:v>
      </x:c>
      <x:c r="E1735" s="62" t="n">
        <x:v>45951</x:v>
      </x:c>
      <x:c r="F1735" t="str">
        <x:v>AM</x:v>
      </x:c>
      <x:c r="G1735" t="str">
        <x:v>A</x:v>
      </x:c>
      <x:c r="H1735" t="n">
        <x:v>24</x:v>
      </x:c>
      <x:c r="I1735" t="str">
        <x:v>ORD-2025-00125</x:v>
      </x:c>
      <x:c r="J1735" t="n">
        <x:v>5</x:v>
      </x:c>
      <x:c r="K1735" t="n">
        <x:v>3</x:v>
      </x:c>
      <x:c r="L1735" t="str">
        <x:v>L24-S05-C3</x:v>
      </x:c>
      <x:c r="M1735" t="n">
        <x:v>1</x:v>
      </x:c>
      <x:c r="N1735" t="str">
        <x:v>DerivedFromCount</x:v>
      </x:c>
      <x:c r="O1735" t="str">
        <x:v>PLC-PRD-JAR-330-L24</x:v>
      </x:c>
      <x:c r="P1735" t="str">
        <x:v>OK</x:v>
      </x:c>
      <x:c r="Q1735" t="str">
        <x:v>OK</x:v>
      </x:c>
      <x:c r="R1735" t="str">
        <x:v>OK</x:v>
      </x:c>
      <x:c r="S1735" t="str">
        <x:v>OK</x:v>
      </x:c>
      <x:c r="T1735" t="n">
        <x:v>36</x:v>
      </x:c>
      <x:c r="U1735" t="str">
        <x:v>OK</x:v>
      </x:c>
      <x:c r="V1735" t="str">
        <x:v>OK</x:v>
      </x:c>
      <x:c r="W1735" t="str">
        <x:v>LOAD</x:v>
      </x:c>
      <x:c r="X1735" t="str">
        <x:v>02_Supervisor_Log(4).xlsx</x:v>
      </x:c>
      <x:c r="Y1735" t="str">
        <x:v>ENH-20260830-01</x:v>
      </x:c>
      <x:c r="Z1735" t="str">
        <x:v>Active</x:v>
      </x:c>
      <x:c r="AA1735"/>
      <x:c r="AB1735"/>
      <x:c r="AC1735"/>
      <x:c r="AD1735"/>
    </x:row>
    <x:row r="1736">
      <x:c r="A1736" t="str">
        <x:v>PCC-PE-KG01-L24-20251021-AM-ORD-2025-00125-S06-C1</x:v>
      </x:c>
      <x:c r="B1736" t="str">
        <x:v>PC-PE-KG01-L24-20251021-AM-ORD-2025-00125-S06</x:v>
      </x:c>
      <x:c r="C1736" t="str">
        <x:v>PE-KG01-L24-20251021-AM-ORD-2025-00125</x:v>
      </x:c>
      <x:c r="D1736" t="str">
        <x:v>KG01</x:v>
      </x:c>
      <x:c r="E1736" s="62" t="n">
        <x:v>45951</x:v>
      </x:c>
      <x:c r="F1736" t="str">
        <x:v>AM</x:v>
      </x:c>
      <x:c r="G1736" t="str">
        <x:v>A</x:v>
      </x:c>
      <x:c r="H1736" t="n">
        <x:v>24</x:v>
      </x:c>
      <x:c r="I1736" t="str">
        <x:v>ORD-2025-00125</x:v>
      </x:c>
      <x:c r="J1736" t="n">
        <x:v>6</x:v>
      </x:c>
      <x:c r="K1736" t="n">
        <x:v>1</x:v>
      </x:c>
      <x:c r="L1736" t="str">
        <x:v>L24-S06-C1</x:v>
      </x:c>
      <x:c r="M1736" t="n">
        <x:v>1</x:v>
      </x:c>
      <x:c r="N1736" t="str">
        <x:v>DerivedFromCount</x:v>
      </x:c>
      <x:c r="O1736" t="str">
        <x:v>PLC-PRD-JAR-330-L24</x:v>
      </x:c>
      <x:c r="P1736" t="str">
        <x:v>OK</x:v>
      </x:c>
      <x:c r="Q1736" t="str">
        <x:v>OK</x:v>
      </x:c>
      <x:c r="R1736" t="str">
        <x:v>OK</x:v>
      </x:c>
      <x:c r="S1736" t="str">
        <x:v>OK</x:v>
      </x:c>
      <x:c r="T1736" t="n">
        <x:v>36</x:v>
      </x:c>
      <x:c r="U1736" t="str">
        <x:v>OK</x:v>
      </x:c>
      <x:c r="V1736" t="str">
        <x:v>OK</x:v>
      </x:c>
      <x:c r="W1736" t="str">
        <x:v>LOAD</x:v>
      </x:c>
      <x:c r="X1736" t="str">
        <x:v>02_Supervisor_Log(4).xlsx</x:v>
      </x:c>
      <x:c r="Y1736" t="str">
        <x:v>ENH-20260830-01</x:v>
      </x:c>
      <x:c r="Z1736" t="str">
        <x:v>Active</x:v>
      </x:c>
      <x:c r="AA1736"/>
      <x:c r="AB1736"/>
      <x:c r="AC1736"/>
      <x:c r="AD1736"/>
    </x:row>
    <x:row r="1737">
      <x:c r="A1737" t="str">
        <x:v>PCC-PE-KG01-L24-20251021-AM-ORD-2025-00125-S06-C2</x:v>
      </x:c>
      <x:c r="B1737" t="str">
        <x:v>PC-PE-KG01-L24-20251021-AM-ORD-2025-00125-S06</x:v>
      </x:c>
      <x:c r="C1737" t="str">
        <x:v>PE-KG01-L24-20251021-AM-ORD-2025-00125</x:v>
      </x:c>
      <x:c r="D1737" t="str">
        <x:v>KG01</x:v>
      </x:c>
      <x:c r="E1737" s="62" t="n">
        <x:v>45951</x:v>
      </x:c>
      <x:c r="F1737" t="str">
        <x:v>AM</x:v>
      </x:c>
      <x:c r="G1737" t="str">
        <x:v>A</x:v>
      </x:c>
      <x:c r="H1737" t="n">
        <x:v>24</x:v>
      </x:c>
      <x:c r="I1737" t="str">
        <x:v>ORD-2025-00125</x:v>
      </x:c>
      <x:c r="J1737" t="n">
        <x:v>6</x:v>
      </x:c>
      <x:c r="K1737" t="n">
        <x:v>2</x:v>
      </x:c>
      <x:c r="L1737" t="str">
        <x:v>L24-S06-C2</x:v>
      </x:c>
      <x:c r="M1737" t="n">
        <x:v>1</x:v>
      </x:c>
      <x:c r="N1737" t="str">
        <x:v>DerivedFromCount</x:v>
      </x:c>
      <x:c r="O1737" t="str">
        <x:v>PLC-PRD-JAR-330-L24</x:v>
      </x:c>
      <x:c r="P1737" t="str">
        <x:v>OK</x:v>
      </x:c>
      <x:c r="Q1737" t="str">
        <x:v>OK</x:v>
      </x:c>
      <x:c r="R1737" t="str">
        <x:v>OK</x:v>
      </x:c>
      <x:c r="S1737" t="str">
        <x:v>OK</x:v>
      </x:c>
      <x:c r="T1737" t="n">
        <x:v>36</x:v>
      </x:c>
      <x:c r="U1737" t="str">
        <x:v>OK</x:v>
      </x:c>
      <x:c r="V1737" t="str">
        <x:v>OK</x:v>
      </x:c>
      <x:c r="W1737" t="str">
        <x:v>LOAD</x:v>
      </x:c>
      <x:c r="X1737" t="str">
        <x:v>02_Supervisor_Log(4).xlsx</x:v>
      </x:c>
      <x:c r="Y1737" t="str">
        <x:v>ENH-20260830-01</x:v>
      </x:c>
      <x:c r="Z1737" t="str">
        <x:v>Active</x:v>
      </x:c>
      <x:c r="AA1737"/>
      <x:c r="AB1737"/>
      <x:c r="AC1737"/>
      <x:c r="AD1737"/>
    </x:row>
    <x:row r="1738">
      <x:c r="A1738" t="str">
        <x:v>PCC-PE-KG01-L24-20251021-AM-ORD-2025-00125-S06-C3</x:v>
      </x:c>
      <x:c r="B1738" t="str">
        <x:v>PC-PE-KG01-L24-20251021-AM-ORD-2025-00125-S06</x:v>
      </x:c>
      <x:c r="C1738" t="str">
        <x:v>PE-KG01-L24-20251021-AM-ORD-2025-00125</x:v>
      </x:c>
      <x:c r="D1738" t="str">
        <x:v>KG01</x:v>
      </x:c>
      <x:c r="E1738" s="62" t="n">
        <x:v>45951</x:v>
      </x:c>
      <x:c r="F1738" t="str">
        <x:v>AM</x:v>
      </x:c>
      <x:c r="G1738" t="str">
        <x:v>A</x:v>
      </x:c>
      <x:c r="H1738" t="n">
        <x:v>24</x:v>
      </x:c>
      <x:c r="I1738" t="str">
        <x:v>ORD-2025-00125</x:v>
      </x:c>
      <x:c r="J1738" t="n">
        <x:v>6</x:v>
      </x:c>
      <x:c r="K1738" t="n">
        <x:v>3</x:v>
      </x:c>
      <x:c r="L1738" t="str">
        <x:v>L24-S06-C3</x:v>
      </x:c>
      <x:c r="M1738" t="n">
        <x:v>1</x:v>
      </x:c>
      <x:c r="N1738" t="str">
        <x:v>DerivedFromCount</x:v>
      </x:c>
      <x:c r="O1738" t="str">
        <x:v>PLC-PRD-JAR-330-L24</x:v>
      </x:c>
      <x:c r="P1738" t="str">
        <x:v>OK</x:v>
      </x:c>
      <x:c r="Q1738" t="str">
        <x:v>OK</x:v>
      </x:c>
      <x:c r="R1738" t="str">
        <x:v>OK</x:v>
      </x:c>
      <x:c r="S1738" t="str">
        <x:v>OK</x:v>
      </x:c>
      <x:c r="T1738" t="n">
        <x:v>36</x:v>
      </x:c>
      <x:c r="U1738" t="str">
        <x:v>OK</x:v>
      </x:c>
      <x:c r="V1738" t="str">
        <x:v>OK</x:v>
      </x:c>
      <x:c r="W1738" t="str">
        <x:v>LOAD</x:v>
      </x:c>
      <x:c r="X1738" t="str">
        <x:v>02_Supervisor_Log(4).xlsx</x:v>
      </x:c>
      <x:c r="Y1738" t="str">
        <x:v>ENH-20260830-01</x:v>
      </x:c>
      <x:c r="Z1738" t="str">
        <x:v>Active</x:v>
      </x:c>
      <x:c r="AA1738"/>
      <x:c r="AB1738"/>
      <x:c r="AC1738"/>
      <x:c r="AD1738"/>
    </x:row>
    <x:row r="1739">
      <x:c r="A1739" t="str">
        <x:v>PCC-PE-KG01-L24-20251021-AM-ORD-2025-00125-S07-C1</x:v>
      </x:c>
      <x:c r="B1739" t="str">
        <x:v>PC-PE-KG01-L24-20251021-AM-ORD-2025-00125-S07</x:v>
      </x:c>
      <x:c r="C1739" t="str">
        <x:v>PE-KG01-L24-20251021-AM-ORD-2025-00125</x:v>
      </x:c>
      <x:c r="D1739" t="str">
        <x:v>KG01</x:v>
      </x:c>
      <x:c r="E1739" s="62" t="n">
        <x:v>45951</x:v>
      </x:c>
      <x:c r="F1739" t="str">
        <x:v>AM</x:v>
      </x:c>
      <x:c r="G1739" t="str">
        <x:v>A</x:v>
      </x:c>
      <x:c r="H1739" t="n">
        <x:v>24</x:v>
      </x:c>
      <x:c r="I1739" t="str">
        <x:v>ORD-2025-00125</x:v>
      </x:c>
      <x:c r="J1739" t="n">
        <x:v>7</x:v>
      </x:c>
      <x:c r="K1739" t="n">
        <x:v>1</x:v>
      </x:c>
      <x:c r="L1739" t="str">
        <x:v>L24-S07-C1</x:v>
      </x:c>
      <x:c r="M1739" t="n">
        <x:v>1</x:v>
      </x:c>
      <x:c r="N1739" t="str">
        <x:v>DerivedFromCount</x:v>
      </x:c>
      <x:c r="O1739" t="str">
        <x:v>PLC-PRD-JAR-330-L24</x:v>
      </x:c>
      <x:c r="P1739" t="str">
        <x:v>OK</x:v>
      </x:c>
      <x:c r="Q1739" t="str">
        <x:v>OK</x:v>
      </x:c>
      <x:c r="R1739" t="str">
        <x:v>OK</x:v>
      </x:c>
      <x:c r="S1739" t="str">
        <x:v>OK</x:v>
      </x:c>
      <x:c r="T1739" t="n">
        <x:v>36</x:v>
      </x:c>
      <x:c r="U1739" t="str">
        <x:v>OK</x:v>
      </x:c>
      <x:c r="V1739" t="str">
        <x:v>OK</x:v>
      </x:c>
      <x:c r="W1739" t="str">
        <x:v>LOAD</x:v>
      </x:c>
      <x:c r="X1739" t="str">
        <x:v>02_Supervisor_Log(4).xlsx</x:v>
      </x:c>
      <x:c r="Y1739" t="str">
        <x:v>ENH-20260830-01</x:v>
      </x:c>
      <x:c r="Z1739" t="str">
        <x:v>Active</x:v>
      </x:c>
      <x:c r="AA1739"/>
      <x:c r="AB1739"/>
      <x:c r="AC1739"/>
      <x:c r="AD1739"/>
    </x:row>
    <x:row r="1740">
      <x:c r="A1740" t="str">
        <x:v>PCC-PE-KG01-L24-20251021-AM-ORD-2025-00125-S07-C2</x:v>
      </x:c>
      <x:c r="B1740" t="str">
        <x:v>PC-PE-KG01-L24-20251021-AM-ORD-2025-00125-S07</x:v>
      </x:c>
      <x:c r="C1740" t="str">
        <x:v>PE-KG01-L24-20251021-AM-ORD-2025-00125</x:v>
      </x:c>
      <x:c r="D1740" t="str">
        <x:v>KG01</x:v>
      </x:c>
      <x:c r="E1740" s="62" t="n">
        <x:v>45951</x:v>
      </x:c>
      <x:c r="F1740" t="str">
        <x:v>AM</x:v>
      </x:c>
      <x:c r="G1740" t="str">
        <x:v>A</x:v>
      </x:c>
      <x:c r="H1740" t="n">
        <x:v>24</x:v>
      </x:c>
      <x:c r="I1740" t="str">
        <x:v>ORD-2025-00125</x:v>
      </x:c>
      <x:c r="J1740" t="n">
        <x:v>7</x:v>
      </x:c>
      <x:c r="K1740" t="n">
        <x:v>2</x:v>
      </x:c>
      <x:c r="L1740" t="str">
        <x:v>L24-S07-C2</x:v>
      </x:c>
      <x:c r="M1740" t="n">
        <x:v>1</x:v>
      </x:c>
      <x:c r="N1740" t="str">
        <x:v>DerivedFromCount</x:v>
      </x:c>
      <x:c r="O1740" t="str">
        <x:v>PLC-PRD-JAR-330-L24</x:v>
      </x:c>
      <x:c r="P1740" t="str">
        <x:v>OK</x:v>
      </x:c>
      <x:c r="Q1740" t="str">
        <x:v>OK</x:v>
      </x:c>
      <x:c r="R1740" t="str">
        <x:v>OK</x:v>
      </x:c>
      <x:c r="S1740" t="str">
        <x:v>OK</x:v>
      </x:c>
      <x:c r="T1740" t="n">
        <x:v>36</x:v>
      </x:c>
      <x:c r="U1740" t="str">
        <x:v>OK</x:v>
      </x:c>
      <x:c r="V1740" t="str">
        <x:v>OK</x:v>
      </x:c>
      <x:c r="W1740" t="str">
        <x:v>LOAD</x:v>
      </x:c>
      <x:c r="X1740" t="str">
        <x:v>02_Supervisor_Log(4).xlsx</x:v>
      </x:c>
      <x:c r="Y1740" t="str">
        <x:v>ENH-20260830-01</x:v>
      </x:c>
      <x:c r="Z1740" t="str">
        <x:v>Active</x:v>
      </x:c>
      <x:c r="AA1740"/>
      <x:c r="AB1740"/>
      <x:c r="AC1740"/>
      <x:c r="AD1740"/>
    </x:row>
    <x:row r="1741">
      <x:c r="A1741" t="str">
        <x:v>PCC-PE-KG01-L24-20251021-AM-ORD-2025-00125-S07-C3</x:v>
      </x:c>
      <x:c r="B1741" t="str">
        <x:v>PC-PE-KG01-L24-20251021-AM-ORD-2025-00125-S07</x:v>
      </x:c>
      <x:c r="C1741" t="str">
        <x:v>PE-KG01-L24-20251021-AM-ORD-2025-00125</x:v>
      </x:c>
      <x:c r="D1741" t="str">
        <x:v>KG01</x:v>
      </x:c>
      <x:c r="E1741" s="62" t="n">
        <x:v>45951</x:v>
      </x:c>
      <x:c r="F1741" t="str">
        <x:v>AM</x:v>
      </x:c>
      <x:c r="G1741" t="str">
        <x:v>A</x:v>
      </x:c>
      <x:c r="H1741" t="n">
        <x:v>24</x:v>
      </x:c>
      <x:c r="I1741" t="str">
        <x:v>ORD-2025-00125</x:v>
      </x:c>
      <x:c r="J1741" t="n">
        <x:v>7</x:v>
      </x:c>
      <x:c r="K1741" t="n">
        <x:v>3</x:v>
      </x:c>
      <x:c r="L1741" t="str">
        <x:v>L24-S07-C3</x:v>
      </x:c>
      <x:c r="M1741" t="n">
        <x:v>1</x:v>
      </x:c>
      <x:c r="N1741" t="str">
        <x:v>DerivedFromCount</x:v>
      </x:c>
      <x:c r="O1741" t="str">
        <x:v>PLC-PRD-JAR-330-L24</x:v>
      </x:c>
      <x:c r="P1741" t="str">
        <x:v>OK</x:v>
      </x:c>
      <x:c r="Q1741" t="str">
        <x:v>OK</x:v>
      </x:c>
      <x:c r="R1741" t="str">
        <x:v>OK</x:v>
      </x:c>
      <x:c r="S1741" t="str">
        <x:v>OK</x:v>
      </x:c>
      <x:c r="T1741" t="n">
        <x:v>36</x:v>
      </x:c>
      <x:c r="U1741" t="str">
        <x:v>OK</x:v>
      </x:c>
      <x:c r="V1741" t="str">
        <x:v>OK</x:v>
      </x:c>
      <x:c r="W1741" t="str">
        <x:v>LOAD</x:v>
      </x:c>
      <x:c r="X1741" t="str">
        <x:v>02_Supervisor_Log(4).xlsx</x:v>
      </x:c>
      <x:c r="Y1741" t="str">
        <x:v>ENH-20260830-01</x:v>
      </x:c>
      <x:c r="Z1741" t="str">
        <x:v>Active</x:v>
      </x:c>
      <x:c r="AA1741"/>
      <x:c r="AB1741"/>
      <x:c r="AC1741"/>
      <x:c r="AD1741"/>
    </x:row>
    <x:row r="1742">
      <x:c r="A1742" t="str">
        <x:v>PCC-PE-KG01-L24-20251021-AM-ORD-2025-00125-S08-C1</x:v>
      </x:c>
      <x:c r="B1742" t="str">
        <x:v>PC-PE-KG01-L24-20251021-AM-ORD-2025-00125-S08</x:v>
      </x:c>
      <x:c r="C1742" t="str">
        <x:v>PE-KG01-L24-20251021-AM-ORD-2025-00125</x:v>
      </x:c>
      <x:c r="D1742" t="str">
        <x:v>KG01</x:v>
      </x:c>
      <x:c r="E1742" s="62" t="n">
        <x:v>45951</x:v>
      </x:c>
      <x:c r="F1742" t="str">
        <x:v>AM</x:v>
      </x:c>
      <x:c r="G1742" t="str">
        <x:v>A</x:v>
      </x:c>
      <x:c r="H1742" t="n">
        <x:v>24</x:v>
      </x:c>
      <x:c r="I1742" t="str">
        <x:v>ORD-2025-00125</x:v>
      </x:c>
      <x:c r="J1742" t="n">
        <x:v>8</x:v>
      </x:c>
      <x:c r="K1742" t="n">
        <x:v>1</x:v>
      </x:c>
      <x:c r="L1742" t="str">
        <x:v>L24-S08-C1</x:v>
      </x:c>
      <x:c r="M1742" t="n">
        <x:v>1</x:v>
      </x:c>
      <x:c r="N1742" t="str">
        <x:v>DerivedFromCount</x:v>
      </x:c>
      <x:c r="O1742" t="str">
        <x:v>PLC-PRD-JAR-330-L24</x:v>
      </x:c>
      <x:c r="P1742" t="str">
        <x:v>OK</x:v>
      </x:c>
      <x:c r="Q1742" t="str">
        <x:v>OK</x:v>
      </x:c>
      <x:c r="R1742" t="str">
        <x:v>OK</x:v>
      </x:c>
      <x:c r="S1742" t="str">
        <x:v>OK</x:v>
      </x:c>
      <x:c r="T1742" t="n">
        <x:v>36</x:v>
      </x:c>
      <x:c r="U1742" t="str">
        <x:v>OK</x:v>
      </x:c>
      <x:c r="V1742" t="str">
        <x:v>OK</x:v>
      </x:c>
      <x:c r="W1742" t="str">
        <x:v>LOAD</x:v>
      </x:c>
      <x:c r="X1742" t="str">
        <x:v>02_Supervisor_Log(4).xlsx</x:v>
      </x:c>
      <x:c r="Y1742" t="str">
        <x:v>ENH-20260830-01</x:v>
      </x:c>
      <x:c r="Z1742" t="str">
        <x:v>Active</x:v>
      </x:c>
      <x:c r="AA1742"/>
      <x:c r="AB1742"/>
      <x:c r="AC1742"/>
      <x:c r="AD1742"/>
    </x:row>
    <x:row r="1743">
      <x:c r="A1743" t="str">
        <x:v>PCC-PE-KG01-L24-20251021-AM-ORD-2025-00125-S08-C2</x:v>
      </x:c>
      <x:c r="B1743" t="str">
        <x:v>PC-PE-KG01-L24-20251021-AM-ORD-2025-00125-S08</x:v>
      </x:c>
      <x:c r="C1743" t="str">
        <x:v>PE-KG01-L24-20251021-AM-ORD-2025-00125</x:v>
      </x:c>
      <x:c r="D1743" t="str">
        <x:v>KG01</x:v>
      </x:c>
      <x:c r="E1743" s="62" t="n">
        <x:v>45951</x:v>
      </x:c>
      <x:c r="F1743" t="str">
        <x:v>AM</x:v>
      </x:c>
      <x:c r="G1743" t="str">
        <x:v>A</x:v>
      </x:c>
      <x:c r="H1743" t="n">
        <x:v>24</x:v>
      </x:c>
      <x:c r="I1743" t="str">
        <x:v>ORD-2025-00125</x:v>
      </x:c>
      <x:c r="J1743" t="n">
        <x:v>8</x:v>
      </x:c>
      <x:c r="K1743" t="n">
        <x:v>2</x:v>
      </x:c>
      <x:c r="L1743" t="str">
        <x:v>L24-S08-C2</x:v>
      </x:c>
      <x:c r="M1743" t="n">
        <x:v>1</x:v>
      </x:c>
      <x:c r="N1743" t="str">
        <x:v>DerivedFromCount</x:v>
      </x:c>
      <x:c r="O1743" t="str">
        <x:v>PLC-PRD-JAR-330-L24</x:v>
      </x:c>
      <x:c r="P1743" t="str">
        <x:v>OK</x:v>
      </x:c>
      <x:c r="Q1743" t="str">
        <x:v>OK</x:v>
      </x:c>
      <x:c r="R1743" t="str">
        <x:v>OK</x:v>
      </x:c>
      <x:c r="S1743" t="str">
        <x:v>OK</x:v>
      </x:c>
      <x:c r="T1743" t="n">
        <x:v>36</x:v>
      </x:c>
      <x:c r="U1743" t="str">
        <x:v>OK</x:v>
      </x:c>
      <x:c r="V1743" t="str">
        <x:v>OK</x:v>
      </x:c>
      <x:c r="W1743" t="str">
        <x:v>LOAD</x:v>
      </x:c>
      <x:c r="X1743" t="str">
        <x:v>02_Supervisor_Log(4).xlsx</x:v>
      </x:c>
      <x:c r="Y1743" t="str">
        <x:v>ENH-20260830-01</x:v>
      </x:c>
      <x:c r="Z1743" t="str">
        <x:v>Active</x:v>
      </x:c>
      <x:c r="AA1743"/>
      <x:c r="AB1743"/>
      <x:c r="AC1743"/>
      <x:c r="AD1743"/>
    </x:row>
    <x:row r="1744">
      <x:c r="A1744" t="str">
        <x:v>PCC-PE-KG01-L24-20251021-AM-ORD-2025-00125-S08-C3</x:v>
      </x:c>
      <x:c r="B1744" t="str">
        <x:v>PC-PE-KG01-L24-20251021-AM-ORD-2025-00125-S08</x:v>
      </x:c>
      <x:c r="C1744" t="str">
        <x:v>PE-KG01-L24-20251021-AM-ORD-2025-00125</x:v>
      </x:c>
      <x:c r="D1744" t="str">
        <x:v>KG01</x:v>
      </x:c>
      <x:c r="E1744" s="62" t="n">
        <x:v>45951</x:v>
      </x:c>
      <x:c r="F1744" t="str">
        <x:v>AM</x:v>
      </x:c>
      <x:c r="G1744" t="str">
        <x:v>A</x:v>
      </x:c>
      <x:c r="H1744" t="n">
        <x:v>24</x:v>
      </x:c>
      <x:c r="I1744" t="str">
        <x:v>ORD-2025-00125</x:v>
      </x:c>
      <x:c r="J1744" t="n">
        <x:v>8</x:v>
      </x:c>
      <x:c r="K1744" t="n">
        <x:v>3</x:v>
      </x:c>
      <x:c r="L1744" t="str">
        <x:v>L24-S08-C3</x:v>
      </x:c>
      <x:c r="M1744" t="n">
        <x:v>1</x:v>
      </x:c>
      <x:c r="N1744" t="str">
        <x:v>DerivedFromCount</x:v>
      </x:c>
      <x:c r="O1744" t="str">
        <x:v>PLC-PRD-JAR-330-L24</x:v>
      </x:c>
      <x:c r="P1744" t="str">
        <x:v>OK</x:v>
      </x:c>
      <x:c r="Q1744" t="str">
        <x:v>OK</x:v>
      </x:c>
      <x:c r="R1744" t="str">
        <x:v>OK</x:v>
      </x:c>
      <x:c r="S1744" t="str">
        <x:v>OK</x:v>
      </x:c>
      <x:c r="T1744" t="n">
        <x:v>36</x:v>
      </x:c>
      <x:c r="U1744" t="str">
        <x:v>OK</x:v>
      </x:c>
      <x:c r="V1744" t="str">
        <x:v>OK</x:v>
      </x:c>
      <x:c r="W1744" t="str">
        <x:v>LOAD</x:v>
      </x:c>
      <x:c r="X1744" t="str">
        <x:v>02_Supervisor_Log(4).xlsx</x:v>
      </x:c>
      <x:c r="Y1744" t="str">
        <x:v>ENH-20260830-01</x:v>
      </x:c>
      <x:c r="Z1744" t="str">
        <x:v>Active</x:v>
      </x:c>
      <x:c r="AA1744"/>
      <x:c r="AB1744"/>
      <x:c r="AC1744"/>
      <x:c r="AD1744"/>
    </x:row>
    <x:row r="1745">
      <x:c r="A1745" t="str">
        <x:v>PCC-PE-KG01-L24-20251021-AM-ORD-2025-00125-S09-C1</x:v>
      </x:c>
      <x:c r="B1745" t="str">
        <x:v>PC-PE-KG01-L24-20251021-AM-ORD-2025-00125-S09</x:v>
      </x:c>
      <x:c r="C1745" t="str">
        <x:v>PE-KG01-L24-20251021-AM-ORD-2025-00125</x:v>
      </x:c>
      <x:c r="D1745" t="str">
        <x:v>KG01</x:v>
      </x:c>
      <x:c r="E1745" s="62" t="n">
        <x:v>45951</x:v>
      </x:c>
      <x:c r="F1745" t="str">
        <x:v>AM</x:v>
      </x:c>
      <x:c r="G1745" t="str">
        <x:v>A</x:v>
      </x:c>
      <x:c r="H1745" t="n">
        <x:v>24</x:v>
      </x:c>
      <x:c r="I1745" t="str">
        <x:v>ORD-2025-00125</x:v>
      </x:c>
      <x:c r="J1745" t="n">
        <x:v>9</x:v>
      </x:c>
      <x:c r="K1745" t="n">
        <x:v>1</x:v>
      </x:c>
      <x:c r="L1745" t="str">
        <x:v>L24-S09-C1</x:v>
      </x:c>
      <x:c r="M1745" t="n">
        <x:v>1</x:v>
      </x:c>
      <x:c r="N1745" t="str">
        <x:v>DerivedFromCount</x:v>
      </x:c>
      <x:c r="O1745" t="str">
        <x:v>PLC-PRD-JAR-330-L24</x:v>
      </x:c>
      <x:c r="P1745" t="str">
        <x:v>OK</x:v>
      </x:c>
      <x:c r="Q1745" t="str">
        <x:v>OK</x:v>
      </x:c>
      <x:c r="R1745" t="str">
        <x:v>OK</x:v>
      </x:c>
      <x:c r="S1745" t="str">
        <x:v>OK</x:v>
      </x:c>
      <x:c r="T1745" t="n">
        <x:v>36</x:v>
      </x:c>
      <x:c r="U1745" t="str">
        <x:v>OK</x:v>
      </x:c>
      <x:c r="V1745" t="str">
        <x:v>OK</x:v>
      </x:c>
      <x:c r="W1745" t="str">
        <x:v>LOAD</x:v>
      </x:c>
      <x:c r="X1745" t="str">
        <x:v>02_Supervisor_Log(4).xlsx</x:v>
      </x:c>
      <x:c r="Y1745" t="str">
        <x:v>ENH-20260830-01</x:v>
      </x:c>
      <x:c r="Z1745" t="str">
        <x:v>Active</x:v>
      </x:c>
      <x:c r="AA1745"/>
      <x:c r="AB1745"/>
      <x:c r="AC1745"/>
      <x:c r="AD1745"/>
    </x:row>
    <x:row r="1746">
      <x:c r="A1746" t="str">
        <x:v>PCC-PE-KG01-L24-20251021-AM-ORD-2025-00125-S09-C2</x:v>
      </x:c>
      <x:c r="B1746" t="str">
        <x:v>PC-PE-KG01-L24-20251021-AM-ORD-2025-00125-S09</x:v>
      </x:c>
      <x:c r="C1746" t="str">
        <x:v>PE-KG01-L24-20251021-AM-ORD-2025-00125</x:v>
      </x:c>
      <x:c r="D1746" t="str">
        <x:v>KG01</x:v>
      </x:c>
      <x:c r="E1746" s="62" t="n">
        <x:v>45951</x:v>
      </x:c>
      <x:c r="F1746" t="str">
        <x:v>AM</x:v>
      </x:c>
      <x:c r="G1746" t="str">
        <x:v>A</x:v>
      </x:c>
      <x:c r="H1746" t="n">
        <x:v>24</x:v>
      </x:c>
      <x:c r="I1746" t="str">
        <x:v>ORD-2025-00125</x:v>
      </x:c>
      <x:c r="J1746" t="n">
        <x:v>9</x:v>
      </x:c>
      <x:c r="K1746" t="n">
        <x:v>2</x:v>
      </x:c>
      <x:c r="L1746" t="str">
        <x:v>L24-S09-C2</x:v>
      </x:c>
      <x:c r="M1746" t="n">
        <x:v>1</x:v>
      </x:c>
      <x:c r="N1746" t="str">
        <x:v>DerivedFromCount</x:v>
      </x:c>
      <x:c r="O1746" t="str">
        <x:v>PLC-PRD-JAR-330-L24</x:v>
      </x:c>
      <x:c r="P1746" t="str">
        <x:v>OK</x:v>
      </x:c>
      <x:c r="Q1746" t="str">
        <x:v>OK</x:v>
      </x:c>
      <x:c r="R1746" t="str">
        <x:v>OK</x:v>
      </x:c>
      <x:c r="S1746" t="str">
        <x:v>OK</x:v>
      </x:c>
      <x:c r="T1746" t="n">
        <x:v>36</x:v>
      </x:c>
      <x:c r="U1746" t="str">
        <x:v>OK</x:v>
      </x:c>
      <x:c r="V1746" t="str">
        <x:v>OK</x:v>
      </x:c>
      <x:c r="W1746" t="str">
        <x:v>LOAD</x:v>
      </x:c>
      <x:c r="X1746" t="str">
        <x:v>02_Supervisor_Log(4).xlsx</x:v>
      </x:c>
      <x:c r="Y1746" t="str">
        <x:v>ENH-20260830-01</x:v>
      </x:c>
      <x:c r="Z1746" t="str">
        <x:v>Active</x:v>
      </x:c>
      <x:c r="AA1746"/>
      <x:c r="AB1746"/>
      <x:c r="AC1746"/>
      <x:c r="AD1746"/>
    </x:row>
    <x:row r="1747">
      <x:c r="A1747" t="str">
        <x:v>PCC-PE-KG01-L24-20251021-AM-ORD-2025-00125-S09-C3</x:v>
      </x:c>
      <x:c r="B1747" t="str">
        <x:v>PC-PE-KG01-L24-20251021-AM-ORD-2025-00125-S09</x:v>
      </x:c>
      <x:c r="C1747" t="str">
        <x:v>PE-KG01-L24-20251021-AM-ORD-2025-00125</x:v>
      </x:c>
      <x:c r="D1747" t="str">
        <x:v>KG01</x:v>
      </x:c>
      <x:c r="E1747" s="62" t="n">
        <x:v>45951</x:v>
      </x:c>
      <x:c r="F1747" t="str">
        <x:v>AM</x:v>
      </x:c>
      <x:c r="G1747" t="str">
        <x:v>A</x:v>
      </x:c>
      <x:c r="H1747" t="n">
        <x:v>24</x:v>
      </x:c>
      <x:c r="I1747" t="str">
        <x:v>ORD-2025-00125</x:v>
      </x:c>
      <x:c r="J1747" t="n">
        <x:v>9</x:v>
      </x:c>
      <x:c r="K1747" t="n">
        <x:v>3</x:v>
      </x:c>
      <x:c r="L1747" t="str">
        <x:v>L24-S09-C3</x:v>
      </x:c>
      <x:c r="M1747" t="n">
        <x:v>1</x:v>
      </x:c>
      <x:c r="N1747" t="str">
        <x:v>DerivedFromCount</x:v>
      </x:c>
      <x:c r="O1747" t="str">
        <x:v>PLC-PRD-JAR-330-L24</x:v>
      </x:c>
      <x:c r="P1747" t="str">
        <x:v>OK</x:v>
      </x:c>
      <x:c r="Q1747" t="str">
        <x:v>OK</x:v>
      </x:c>
      <x:c r="R1747" t="str">
        <x:v>OK</x:v>
      </x:c>
      <x:c r="S1747" t="str">
        <x:v>OK</x:v>
      </x:c>
      <x:c r="T1747" t="n">
        <x:v>36</x:v>
      </x:c>
      <x:c r="U1747" t="str">
        <x:v>OK</x:v>
      </x:c>
      <x:c r="V1747" t="str">
        <x:v>OK</x:v>
      </x:c>
      <x:c r="W1747" t="str">
        <x:v>LOAD</x:v>
      </x:c>
      <x:c r="X1747" t="str">
        <x:v>02_Supervisor_Log(4).xlsx</x:v>
      </x:c>
      <x:c r="Y1747" t="str">
        <x:v>ENH-20260830-01</x:v>
      </x:c>
      <x:c r="Z1747" t="str">
        <x:v>Active</x:v>
      </x:c>
      <x:c r="AA1747"/>
      <x:c r="AB1747"/>
      <x:c r="AC1747"/>
      <x:c r="AD1747"/>
    </x:row>
    <x:row r="1748">
      <x:c r="A1748" t="str">
        <x:v>PCC-PE-KG01-L24-20251021-AM-ORD-2025-00125-S10-C1</x:v>
      </x:c>
      <x:c r="B1748" t="str">
        <x:v>PC-PE-KG01-L24-20251021-AM-ORD-2025-00125-S10</x:v>
      </x:c>
      <x:c r="C1748" t="str">
        <x:v>PE-KG01-L24-20251021-AM-ORD-2025-00125</x:v>
      </x:c>
      <x:c r="D1748" t="str">
        <x:v>KG01</x:v>
      </x:c>
      <x:c r="E1748" s="62" t="n">
        <x:v>45951</x:v>
      </x:c>
      <x:c r="F1748" t="str">
        <x:v>AM</x:v>
      </x:c>
      <x:c r="G1748" t="str">
        <x:v>A</x:v>
      </x:c>
      <x:c r="H1748" t="n">
        <x:v>24</x:v>
      </x:c>
      <x:c r="I1748" t="str">
        <x:v>ORD-2025-00125</x:v>
      </x:c>
      <x:c r="J1748" t="n">
        <x:v>10</x:v>
      </x:c>
      <x:c r="K1748" t="n">
        <x:v>1</x:v>
      </x:c>
      <x:c r="L1748" t="str">
        <x:v>L24-S10-C1</x:v>
      </x:c>
      <x:c r="M1748" t="n">
        <x:v>1</x:v>
      </x:c>
      <x:c r="N1748" t="str">
        <x:v>DerivedFromCount</x:v>
      </x:c>
      <x:c r="O1748" t="str">
        <x:v>PLC-PRD-JAR-330-L24</x:v>
      </x:c>
      <x:c r="P1748" t="str">
        <x:v>OK</x:v>
      </x:c>
      <x:c r="Q1748" t="str">
        <x:v>OK</x:v>
      </x:c>
      <x:c r="R1748" t="str">
        <x:v>OK</x:v>
      </x:c>
      <x:c r="S1748" t="str">
        <x:v>OK</x:v>
      </x:c>
      <x:c r="T1748" t="n">
        <x:v>36</x:v>
      </x:c>
      <x:c r="U1748" t="str">
        <x:v>OK</x:v>
      </x:c>
      <x:c r="V1748" t="str">
        <x:v>OK</x:v>
      </x:c>
      <x:c r="W1748" t="str">
        <x:v>LOAD</x:v>
      </x:c>
      <x:c r="X1748" t="str">
        <x:v>02_Supervisor_Log(4).xlsx</x:v>
      </x:c>
      <x:c r="Y1748" t="str">
        <x:v>ENH-20260830-01</x:v>
      </x:c>
      <x:c r="Z1748" t="str">
        <x:v>Active</x:v>
      </x:c>
      <x:c r="AA1748"/>
      <x:c r="AB1748"/>
      <x:c r="AC1748"/>
      <x:c r="AD1748"/>
    </x:row>
    <x:row r="1749">
      <x:c r="A1749" t="str">
        <x:v>PCC-PE-KG01-L24-20251021-AM-ORD-2025-00125-S10-C2</x:v>
      </x:c>
      <x:c r="B1749" t="str">
        <x:v>PC-PE-KG01-L24-20251021-AM-ORD-2025-00125-S10</x:v>
      </x:c>
      <x:c r="C1749" t="str">
        <x:v>PE-KG01-L24-20251021-AM-ORD-2025-00125</x:v>
      </x:c>
      <x:c r="D1749" t="str">
        <x:v>KG01</x:v>
      </x:c>
      <x:c r="E1749" s="62" t="n">
        <x:v>45951</x:v>
      </x:c>
      <x:c r="F1749" t="str">
        <x:v>AM</x:v>
      </x:c>
      <x:c r="G1749" t="str">
        <x:v>A</x:v>
      </x:c>
      <x:c r="H1749" t="n">
        <x:v>24</x:v>
      </x:c>
      <x:c r="I1749" t="str">
        <x:v>ORD-2025-00125</x:v>
      </x:c>
      <x:c r="J1749" t="n">
        <x:v>10</x:v>
      </x:c>
      <x:c r="K1749" t="n">
        <x:v>2</x:v>
      </x:c>
      <x:c r="L1749" t="str">
        <x:v>L24-S10-C2</x:v>
      </x:c>
      <x:c r="M1749" t="n">
        <x:v>1</x:v>
      </x:c>
      <x:c r="N1749" t="str">
        <x:v>DerivedFromCount</x:v>
      </x:c>
      <x:c r="O1749" t="str">
        <x:v>PLC-PRD-JAR-330-L24</x:v>
      </x:c>
      <x:c r="P1749" t="str">
        <x:v>OK</x:v>
      </x:c>
      <x:c r="Q1749" t="str">
        <x:v>OK</x:v>
      </x:c>
      <x:c r="R1749" t="str">
        <x:v>OK</x:v>
      </x:c>
      <x:c r="S1749" t="str">
        <x:v>OK</x:v>
      </x:c>
      <x:c r="T1749" t="n">
        <x:v>36</x:v>
      </x:c>
      <x:c r="U1749" t="str">
        <x:v>OK</x:v>
      </x:c>
      <x:c r="V1749" t="str">
        <x:v>OK</x:v>
      </x:c>
      <x:c r="W1749" t="str">
        <x:v>LOAD</x:v>
      </x:c>
      <x:c r="X1749" t="str">
        <x:v>02_Supervisor_Log(4).xlsx</x:v>
      </x:c>
      <x:c r="Y1749" t="str">
        <x:v>ENH-20260830-01</x:v>
      </x:c>
      <x:c r="Z1749" t="str">
        <x:v>Active</x:v>
      </x:c>
      <x:c r="AA1749"/>
      <x:c r="AB1749"/>
      <x:c r="AC1749"/>
      <x:c r="AD1749"/>
    </x:row>
    <x:row r="1750">
      <x:c r="A1750" t="str">
        <x:v>PCC-PE-KG01-L24-20251021-AM-ORD-2025-00125-S10-C3</x:v>
      </x:c>
      <x:c r="B1750" t="str">
        <x:v>PC-PE-KG01-L24-20251021-AM-ORD-2025-00125-S10</x:v>
      </x:c>
      <x:c r="C1750" t="str">
        <x:v>PE-KG01-L24-20251021-AM-ORD-2025-00125</x:v>
      </x:c>
      <x:c r="D1750" t="str">
        <x:v>KG01</x:v>
      </x:c>
      <x:c r="E1750" s="62" t="n">
        <x:v>45951</x:v>
      </x:c>
      <x:c r="F1750" t="str">
        <x:v>AM</x:v>
      </x:c>
      <x:c r="G1750" t="str">
        <x:v>A</x:v>
      </x:c>
      <x:c r="H1750" t="n">
        <x:v>24</x:v>
      </x:c>
      <x:c r="I1750" t="str">
        <x:v>ORD-2025-00125</x:v>
      </x:c>
      <x:c r="J1750" t="n">
        <x:v>10</x:v>
      </x:c>
      <x:c r="K1750" t="n">
        <x:v>3</x:v>
      </x:c>
      <x:c r="L1750" t="str">
        <x:v>L24-S10-C3</x:v>
      </x:c>
      <x:c r="M1750" t="n">
        <x:v>1</x:v>
      </x:c>
      <x:c r="N1750" t="str">
        <x:v>DerivedFromCount</x:v>
      </x:c>
      <x:c r="O1750" t="str">
        <x:v>PLC-PRD-JAR-330-L24</x:v>
      </x:c>
      <x:c r="P1750" t="str">
        <x:v>OK</x:v>
      </x:c>
      <x:c r="Q1750" t="str">
        <x:v>OK</x:v>
      </x:c>
      <x:c r="R1750" t="str">
        <x:v>OK</x:v>
      </x:c>
      <x:c r="S1750" t="str">
        <x:v>OK</x:v>
      </x:c>
      <x:c r="T1750" t="n">
        <x:v>36</x:v>
      </x:c>
      <x:c r="U1750" t="str">
        <x:v>OK</x:v>
      </x:c>
      <x:c r="V1750" t="str">
        <x:v>OK</x:v>
      </x:c>
      <x:c r="W1750" t="str">
        <x:v>LOAD</x:v>
      </x:c>
      <x:c r="X1750" t="str">
        <x:v>02_Supervisor_Log(4).xlsx</x:v>
      </x:c>
      <x:c r="Y1750" t="str">
        <x:v>ENH-20260830-01</x:v>
      </x:c>
      <x:c r="Z1750" t="str">
        <x:v>Active</x:v>
      </x:c>
      <x:c r="AA1750"/>
      <x:c r="AB1750"/>
      <x:c r="AC1750"/>
      <x:c r="AD1750"/>
    </x:row>
    <x:row r="1751">
      <x:c r="A1751" t="str">
        <x:v>PCC-PE-KG01-L24-20251021-AM-ORD-2025-00125-S11-C1</x:v>
      </x:c>
      <x:c r="B1751" t="str">
        <x:v>PC-PE-KG01-L24-20251021-AM-ORD-2025-00125-S11</x:v>
      </x:c>
      <x:c r="C1751" t="str">
        <x:v>PE-KG01-L24-20251021-AM-ORD-2025-00125</x:v>
      </x:c>
      <x:c r="D1751" t="str">
        <x:v>KG01</x:v>
      </x:c>
      <x:c r="E1751" s="62" t="n">
        <x:v>45951</x:v>
      </x:c>
      <x:c r="F1751" t="str">
        <x:v>AM</x:v>
      </x:c>
      <x:c r="G1751" t="str">
        <x:v>A</x:v>
      </x:c>
      <x:c r="H1751" t="n">
        <x:v>24</x:v>
      </x:c>
      <x:c r="I1751" t="str">
        <x:v>ORD-2025-00125</x:v>
      </x:c>
      <x:c r="J1751" t="n">
        <x:v>11</x:v>
      </x:c>
      <x:c r="K1751" t="n">
        <x:v>1</x:v>
      </x:c>
      <x:c r="L1751" t="str">
        <x:v>L24-S11-C1</x:v>
      </x:c>
      <x:c r="M1751" t="n">
        <x:v>1</x:v>
      </x:c>
      <x:c r="N1751" t="str">
        <x:v>DerivedFromCount</x:v>
      </x:c>
      <x:c r="O1751" t="str">
        <x:v>PLC-PRD-JAR-330-L24</x:v>
      </x:c>
      <x:c r="P1751" t="str">
        <x:v>OK</x:v>
      </x:c>
      <x:c r="Q1751" t="str">
        <x:v>OK</x:v>
      </x:c>
      <x:c r="R1751" t="str">
        <x:v>OK</x:v>
      </x:c>
      <x:c r="S1751" t="str">
        <x:v>OK</x:v>
      </x:c>
      <x:c r="T1751" t="n">
        <x:v>36</x:v>
      </x:c>
      <x:c r="U1751" t="str">
        <x:v>OK</x:v>
      </x:c>
      <x:c r="V1751" t="str">
        <x:v>OK</x:v>
      </x:c>
      <x:c r="W1751" t="str">
        <x:v>LOAD</x:v>
      </x:c>
      <x:c r="X1751" t="str">
        <x:v>02_Supervisor_Log(4).xlsx</x:v>
      </x:c>
      <x:c r="Y1751" t="str">
        <x:v>ENH-20260830-01</x:v>
      </x:c>
      <x:c r="Z1751" t="str">
        <x:v>Active</x:v>
      </x:c>
      <x:c r="AA1751"/>
      <x:c r="AB1751"/>
      <x:c r="AC1751"/>
      <x:c r="AD1751"/>
    </x:row>
    <x:row r="1752">
      <x:c r="A1752" t="str">
        <x:v>PCC-PE-KG01-L24-20251021-AM-ORD-2025-00125-S11-C2</x:v>
      </x:c>
      <x:c r="B1752" t="str">
        <x:v>PC-PE-KG01-L24-20251021-AM-ORD-2025-00125-S11</x:v>
      </x:c>
      <x:c r="C1752" t="str">
        <x:v>PE-KG01-L24-20251021-AM-ORD-2025-00125</x:v>
      </x:c>
      <x:c r="D1752" t="str">
        <x:v>KG01</x:v>
      </x:c>
      <x:c r="E1752" s="62" t="n">
        <x:v>45951</x:v>
      </x:c>
      <x:c r="F1752" t="str">
        <x:v>AM</x:v>
      </x:c>
      <x:c r="G1752" t="str">
        <x:v>A</x:v>
      </x:c>
      <x:c r="H1752" t="n">
        <x:v>24</x:v>
      </x:c>
      <x:c r="I1752" t="str">
        <x:v>ORD-2025-00125</x:v>
      </x:c>
      <x:c r="J1752" t="n">
        <x:v>11</x:v>
      </x:c>
      <x:c r="K1752" t="n">
        <x:v>2</x:v>
      </x:c>
      <x:c r="L1752" t="str">
        <x:v>L24-S11-C2</x:v>
      </x:c>
      <x:c r="M1752" t="n">
        <x:v>1</x:v>
      </x:c>
      <x:c r="N1752" t="str">
        <x:v>DerivedFromCount</x:v>
      </x:c>
      <x:c r="O1752" t="str">
        <x:v>PLC-PRD-JAR-330-L24</x:v>
      </x:c>
      <x:c r="P1752" t="str">
        <x:v>OK</x:v>
      </x:c>
      <x:c r="Q1752" t="str">
        <x:v>OK</x:v>
      </x:c>
      <x:c r="R1752" t="str">
        <x:v>OK</x:v>
      </x:c>
      <x:c r="S1752" t="str">
        <x:v>OK</x:v>
      </x:c>
      <x:c r="T1752" t="n">
        <x:v>36</x:v>
      </x:c>
      <x:c r="U1752" t="str">
        <x:v>OK</x:v>
      </x:c>
      <x:c r="V1752" t="str">
        <x:v>OK</x:v>
      </x:c>
      <x:c r="W1752" t="str">
        <x:v>LOAD</x:v>
      </x:c>
      <x:c r="X1752" t="str">
        <x:v>02_Supervisor_Log(4).xlsx</x:v>
      </x:c>
      <x:c r="Y1752" t="str">
        <x:v>ENH-20260830-01</x:v>
      </x:c>
      <x:c r="Z1752" t="str">
        <x:v>Active</x:v>
      </x:c>
      <x:c r="AA1752"/>
      <x:c r="AB1752"/>
      <x:c r="AC1752"/>
      <x:c r="AD1752"/>
    </x:row>
    <x:row r="1753">
      <x:c r="A1753" t="str">
        <x:v>PCC-PE-KG01-L24-20251021-AM-ORD-2025-00125-S11-C3</x:v>
      </x:c>
      <x:c r="B1753" t="str">
        <x:v>PC-PE-KG01-L24-20251021-AM-ORD-2025-00125-S11</x:v>
      </x:c>
      <x:c r="C1753" t="str">
        <x:v>PE-KG01-L24-20251021-AM-ORD-2025-00125</x:v>
      </x:c>
      <x:c r="D1753" t="str">
        <x:v>KG01</x:v>
      </x:c>
      <x:c r="E1753" s="62" t="n">
        <x:v>45951</x:v>
      </x:c>
      <x:c r="F1753" t="str">
        <x:v>AM</x:v>
      </x:c>
      <x:c r="G1753" t="str">
        <x:v>A</x:v>
      </x:c>
      <x:c r="H1753" t="n">
        <x:v>24</x:v>
      </x:c>
      <x:c r="I1753" t="str">
        <x:v>ORD-2025-00125</x:v>
      </x:c>
      <x:c r="J1753" t="n">
        <x:v>11</x:v>
      </x:c>
      <x:c r="K1753" t="n">
        <x:v>3</x:v>
      </x:c>
      <x:c r="L1753" t="str">
        <x:v>L24-S11-C3</x:v>
      </x:c>
      <x:c r="M1753" t="n">
        <x:v>1</x:v>
      </x:c>
      <x:c r="N1753" t="str">
        <x:v>DerivedFromCount</x:v>
      </x:c>
      <x:c r="O1753" t="str">
        <x:v>PLC-PRD-JAR-330-L24</x:v>
      </x:c>
      <x:c r="P1753" t="str">
        <x:v>OK</x:v>
      </x:c>
      <x:c r="Q1753" t="str">
        <x:v>OK</x:v>
      </x:c>
      <x:c r="R1753" t="str">
        <x:v>OK</x:v>
      </x:c>
      <x:c r="S1753" t="str">
        <x:v>OK</x:v>
      </x:c>
      <x:c r="T1753" t="n">
        <x:v>36</x:v>
      </x:c>
      <x:c r="U1753" t="str">
        <x:v>OK</x:v>
      </x:c>
      <x:c r="V1753" t="str">
        <x:v>OK</x:v>
      </x:c>
      <x:c r="W1753" t="str">
        <x:v>LOAD</x:v>
      </x:c>
      <x:c r="X1753" t="str">
        <x:v>02_Supervisor_Log(4).xlsx</x:v>
      </x:c>
      <x:c r="Y1753" t="str">
        <x:v>ENH-20260830-01</x:v>
      </x:c>
      <x:c r="Z1753" t="str">
        <x:v>Active</x:v>
      </x:c>
      <x:c r="AA1753"/>
      <x:c r="AB1753"/>
      <x:c r="AC1753"/>
      <x:c r="AD1753"/>
    </x:row>
    <x:row r="1754">
      <x:c r="A1754" t="str">
        <x:v>PCC-PE-KG01-L24-20251021-AM-ORD-2025-00125-S12-C1</x:v>
      </x:c>
      <x:c r="B1754" t="str">
        <x:v>PC-PE-KG01-L24-20251021-AM-ORD-2025-00125-S12</x:v>
      </x:c>
      <x:c r="C1754" t="str">
        <x:v>PE-KG01-L24-20251021-AM-ORD-2025-00125</x:v>
      </x:c>
      <x:c r="D1754" t="str">
        <x:v>KG01</x:v>
      </x:c>
      <x:c r="E1754" s="62" t="n">
        <x:v>45951</x:v>
      </x:c>
      <x:c r="F1754" t="str">
        <x:v>AM</x:v>
      </x:c>
      <x:c r="G1754" t="str">
        <x:v>A</x:v>
      </x:c>
      <x:c r="H1754" t="n">
        <x:v>24</x:v>
      </x:c>
      <x:c r="I1754" t="str">
        <x:v>ORD-2025-00125</x:v>
      </x:c>
      <x:c r="J1754" t="n">
        <x:v>12</x:v>
      </x:c>
      <x:c r="K1754" t="n">
        <x:v>1</x:v>
      </x:c>
      <x:c r="L1754" t="str">
        <x:v>L24-S12-C1</x:v>
      </x:c>
      <x:c r="M1754" t="n">
        <x:v>1</x:v>
      </x:c>
      <x:c r="N1754" t="str">
        <x:v>DerivedFromCount</x:v>
      </x:c>
      <x:c r="O1754" t="str">
        <x:v>PLC-PRD-JAR-330-L24</x:v>
      </x:c>
      <x:c r="P1754" t="str">
        <x:v>OK</x:v>
      </x:c>
      <x:c r="Q1754" t="str">
        <x:v>OK</x:v>
      </x:c>
      <x:c r="R1754" t="str">
        <x:v>OK</x:v>
      </x:c>
      <x:c r="S1754" t="str">
        <x:v>OK</x:v>
      </x:c>
      <x:c r="T1754" t="n">
        <x:v>36</x:v>
      </x:c>
      <x:c r="U1754" t="str">
        <x:v>OK</x:v>
      </x:c>
      <x:c r="V1754" t="str">
        <x:v>OK</x:v>
      </x:c>
      <x:c r="W1754" t="str">
        <x:v>LOAD</x:v>
      </x:c>
      <x:c r="X1754" t="str">
        <x:v>02_Supervisor_Log(4).xlsx</x:v>
      </x:c>
      <x:c r="Y1754" t="str">
        <x:v>ENH-20260830-01</x:v>
      </x:c>
      <x:c r="Z1754" t="str">
        <x:v>Active</x:v>
      </x:c>
      <x:c r="AA1754"/>
      <x:c r="AB1754"/>
      <x:c r="AC1754"/>
      <x:c r="AD1754"/>
    </x:row>
    <x:row r="1755">
      <x:c r="A1755" t="str">
        <x:v>PCC-PE-KG01-L24-20251021-AM-ORD-2025-00125-S12-C2</x:v>
      </x:c>
      <x:c r="B1755" t="str">
        <x:v>PC-PE-KG01-L24-20251021-AM-ORD-2025-00125-S12</x:v>
      </x:c>
      <x:c r="C1755" t="str">
        <x:v>PE-KG01-L24-20251021-AM-ORD-2025-00125</x:v>
      </x:c>
      <x:c r="D1755" t="str">
        <x:v>KG01</x:v>
      </x:c>
      <x:c r="E1755" s="62" t="n">
        <x:v>45951</x:v>
      </x:c>
      <x:c r="F1755" t="str">
        <x:v>AM</x:v>
      </x:c>
      <x:c r="G1755" t="str">
        <x:v>A</x:v>
      </x:c>
      <x:c r="H1755" t="n">
        <x:v>24</x:v>
      </x:c>
      <x:c r="I1755" t="str">
        <x:v>ORD-2025-00125</x:v>
      </x:c>
      <x:c r="J1755" t="n">
        <x:v>12</x:v>
      </x:c>
      <x:c r="K1755" t="n">
        <x:v>2</x:v>
      </x:c>
      <x:c r="L1755" t="str">
        <x:v>L24-S12-C2</x:v>
      </x:c>
      <x:c r="M1755" t="n">
        <x:v>1</x:v>
      </x:c>
      <x:c r="N1755" t="str">
        <x:v>DerivedFromCount</x:v>
      </x:c>
      <x:c r="O1755" t="str">
        <x:v>PLC-PRD-JAR-330-L24</x:v>
      </x:c>
      <x:c r="P1755" t="str">
        <x:v>OK</x:v>
      </x:c>
      <x:c r="Q1755" t="str">
        <x:v>OK</x:v>
      </x:c>
      <x:c r="R1755" t="str">
        <x:v>OK</x:v>
      </x:c>
      <x:c r="S1755" t="str">
        <x:v>OK</x:v>
      </x:c>
      <x:c r="T1755" t="n">
        <x:v>36</x:v>
      </x:c>
      <x:c r="U1755" t="str">
        <x:v>OK</x:v>
      </x:c>
      <x:c r="V1755" t="str">
        <x:v>OK</x:v>
      </x:c>
      <x:c r="W1755" t="str">
        <x:v>LOAD</x:v>
      </x:c>
      <x:c r="X1755" t="str">
        <x:v>02_Supervisor_Log(4).xlsx</x:v>
      </x:c>
      <x:c r="Y1755" t="str">
        <x:v>ENH-20260830-01</x:v>
      </x:c>
      <x:c r="Z1755" t="str">
        <x:v>Active</x:v>
      </x:c>
      <x:c r="AA1755"/>
      <x:c r="AB1755"/>
      <x:c r="AC1755"/>
      <x:c r="AD1755"/>
    </x:row>
    <x:row r="1756">
      <x:c r="A1756" t="str">
        <x:v>PCC-PE-KG01-L24-20251021-AM-ORD-2025-00125-S12-C3</x:v>
      </x:c>
      <x:c r="B1756" t="str">
        <x:v>PC-PE-KG01-L24-20251021-AM-ORD-2025-00125-S12</x:v>
      </x:c>
      <x:c r="C1756" t="str">
        <x:v>PE-KG01-L24-20251021-AM-ORD-2025-00125</x:v>
      </x:c>
      <x:c r="D1756" t="str">
        <x:v>KG01</x:v>
      </x:c>
      <x:c r="E1756" s="62" t="n">
        <x:v>45951</x:v>
      </x:c>
      <x:c r="F1756" t="str">
        <x:v>AM</x:v>
      </x:c>
      <x:c r="G1756" t="str">
        <x:v>A</x:v>
      </x:c>
      <x:c r="H1756" t="n">
        <x:v>24</x:v>
      </x:c>
      <x:c r="I1756" t="str">
        <x:v>ORD-2025-00125</x:v>
      </x:c>
      <x:c r="J1756" t="n">
        <x:v>12</x:v>
      </x:c>
      <x:c r="K1756" t="n">
        <x:v>3</x:v>
      </x:c>
      <x:c r="L1756" t="str">
        <x:v>L24-S12-C3</x:v>
      </x:c>
      <x:c r="M1756" t="n">
        <x:v>1</x:v>
      </x:c>
      <x:c r="N1756" t="str">
        <x:v>DerivedFromCount</x:v>
      </x:c>
      <x:c r="O1756" t="str">
        <x:v>PLC-PRD-JAR-330-L24</x:v>
      </x:c>
      <x:c r="P1756" t="str">
        <x:v>OK</x:v>
      </x:c>
      <x:c r="Q1756" t="str">
        <x:v>OK</x:v>
      </x:c>
      <x:c r="R1756" t="str">
        <x:v>OK</x:v>
      </x:c>
      <x:c r="S1756" t="str">
        <x:v>OK</x:v>
      </x:c>
      <x:c r="T1756" t="n">
        <x:v>36</x:v>
      </x:c>
      <x:c r="U1756" t="str">
        <x:v>OK</x:v>
      </x:c>
      <x:c r="V1756" t="str">
        <x:v>OK</x:v>
      </x:c>
      <x:c r="W1756" t="str">
        <x:v>LOAD</x:v>
      </x:c>
      <x:c r="X1756" t="str">
        <x:v>02_Supervisor_Log(4).xlsx</x:v>
      </x:c>
      <x:c r="Y1756" t="str">
        <x:v>ENH-20260830-01</x:v>
      </x:c>
      <x:c r="Z1756" t="str">
        <x:v>Active</x:v>
      </x:c>
      <x:c r="AA1756"/>
      <x:c r="AB1756"/>
      <x:c r="AC1756"/>
      <x:c r="AD1756"/>
    </x:row>
    <x:row r="1757">
      <x:c r="A1757" t="str">
        <x:v>PCC-PE-KG01-L24-20251021-AM-ORD-2025-00125-S13-C1</x:v>
      </x:c>
      <x:c r="B1757" t="str">
        <x:v>PC-PE-KG01-L24-20251021-AM-ORD-2025-00125-S13</x:v>
      </x:c>
      <x:c r="C1757" t="str">
        <x:v>PE-KG01-L24-20251021-AM-ORD-2025-00125</x:v>
      </x:c>
      <x:c r="D1757" t="str">
        <x:v>KG01</x:v>
      </x:c>
      <x:c r="E1757" s="62" t="n">
        <x:v>45951</x:v>
      </x:c>
      <x:c r="F1757" t="str">
        <x:v>AM</x:v>
      </x:c>
      <x:c r="G1757" t="str">
        <x:v>A</x:v>
      </x:c>
      <x:c r="H1757" t="n">
        <x:v>24</x:v>
      </x:c>
      <x:c r="I1757" t="str">
        <x:v>ORD-2025-00125</x:v>
      </x:c>
      <x:c r="J1757" t="n">
        <x:v>13</x:v>
      </x:c>
      <x:c r="K1757" t="n">
        <x:v>1</x:v>
      </x:c>
      <x:c r="L1757" t="str">
        <x:v>L24-S13-C1</x:v>
      </x:c>
      <x:c r="M1757" t="n">
        <x:v>0</x:v>
      </x:c>
      <x:c r="N1757" t="str">
        <x:v>DerivedFromCount</x:v>
      </x:c>
      <x:c r="O1757" t="str">
        <x:v>PLC-PRD-JAR-330-L24</x:v>
      </x:c>
      <x:c r="P1757" t="str">
        <x:v>OK</x:v>
      </x:c>
      <x:c r="Q1757" t="str">
        <x:v>OK</x:v>
      </x:c>
      <x:c r="R1757" t="str">
        <x:v>OK</x:v>
      </x:c>
      <x:c r="S1757" t="str">
        <x:v>OK</x:v>
      </x:c>
      <x:c r="T1757" t="n">
        <x:v>36</x:v>
      </x:c>
      <x:c r="U1757" t="str">
        <x:v>OK</x:v>
      </x:c>
      <x:c r="V1757" t="str">
        <x:v>OK</x:v>
      </x:c>
      <x:c r="W1757" t="str">
        <x:v>LOAD</x:v>
      </x:c>
      <x:c r="X1757" t="str">
        <x:v>02_Supervisor_Log(4).xlsx</x:v>
      </x:c>
      <x:c r="Y1757" t="str">
        <x:v>ENH-20260830-01</x:v>
      </x:c>
      <x:c r="Z1757" t="str">
        <x:v>Active</x:v>
      </x:c>
      <x:c r="AA1757"/>
      <x:c r="AB1757"/>
      <x:c r="AC1757"/>
      <x:c r="AD1757"/>
    </x:row>
    <x:row r="1758">
      <x:c r="A1758" t="str">
        <x:v>PCC-PE-KG01-L24-20251021-AM-ORD-2025-00125-S13-C2</x:v>
      </x:c>
      <x:c r="B1758" t="str">
        <x:v>PC-PE-KG01-L24-20251021-AM-ORD-2025-00125-S13</x:v>
      </x:c>
      <x:c r="C1758" t="str">
        <x:v>PE-KG01-L24-20251021-AM-ORD-2025-00125</x:v>
      </x:c>
      <x:c r="D1758" t="str">
        <x:v>KG01</x:v>
      </x:c>
      <x:c r="E1758" s="62" t="n">
        <x:v>45951</x:v>
      </x:c>
      <x:c r="F1758" t="str">
        <x:v>AM</x:v>
      </x:c>
      <x:c r="G1758" t="str">
        <x:v>A</x:v>
      </x:c>
      <x:c r="H1758" t="n">
        <x:v>24</x:v>
      </x:c>
      <x:c r="I1758" t="str">
        <x:v>ORD-2025-00125</x:v>
      </x:c>
      <x:c r="J1758" t="n">
        <x:v>13</x:v>
      </x:c>
      <x:c r="K1758" t="n">
        <x:v>2</x:v>
      </x:c>
      <x:c r="L1758" t="str">
        <x:v>L24-S13-C2</x:v>
      </x:c>
      <x:c r="M1758" t="n">
        <x:v>0</x:v>
      </x:c>
      <x:c r="N1758" t="str">
        <x:v>DerivedFromCount</x:v>
      </x:c>
      <x:c r="O1758" t="str">
        <x:v>PLC-PRD-JAR-330-L24</x:v>
      </x:c>
      <x:c r="P1758" t="str">
        <x:v>OK</x:v>
      </x:c>
      <x:c r="Q1758" t="str">
        <x:v>OK</x:v>
      </x:c>
      <x:c r="R1758" t="str">
        <x:v>OK</x:v>
      </x:c>
      <x:c r="S1758" t="str">
        <x:v>OK</x:v>
      </x:c>
      <x:c r="T1758" t="n">
        <x:v>36</x:v>
      </x:c>
      <x:c r="U1758" t="str">
        <x:v>OK</x:v>
      </x:c>
      <x:c r="V1758" t="str">
        <x:v>OK</x:v>
      </x:c>
      <x:c r="W1758" t="str">
        <x:v>LOAD</x:v>
      </x:c>
      <x:c r="X1758" t="str">
        <x:v>02_Supervisor_Log(4).xlsx</x:v>
      </x:c>
      <x:c r="Y1758" t="str">
        <x:v>ENH-20260830-01</x:v>
      </x:c>
      <x:c r="Z1758" t="str">
        <x:v>Active</x:v>
      </x:c>
      <x:c r="AA1758"/>
      <x:c r="AB1758"/>
      <x:c r="AC1758"/>
      <x:c r="AD1758"/>
    </x:row>
    <x:row r="1759">
      <x:c r="A1759" t="str">
        <x:v>PCC-PE-KG01-L24-20251021-AM-ORD-2025-00125-S13-C3</x:v>
      </x:c>
      <x:c r="B1759" t="str">
        <x:v>PC-PE-KG01-L24-20251021-AM-ORD-2025-00125-S13</x:v>
      </x:c>
      <x:c r="C1759" t="str">
        <x:v>PE-KG01-L24-20251021-AM-ORD-2025-00125</x:v>
      </x:c>
      <x:c r="D1759" t="str">
        <x:v>KG01</x:v>
      </x:c>
      <x:c r="E1759" s="62" t="n">
        <x:v>45951</x:v>
      </x:c>
      <x:c r="F1759" t="str">
        <x:v>AM</x:v>
      </x:c>
      <x:c r="G1759" t="str">
        <x:v>A</x:v>
      </x:c>
      <x:c r="H1759" t="n">
        <x:v>24</x:v>
      </x:c>
      <x:c r="I1759" t="str">
        <x:v>ORD-2025-00125</x:v>
      </x:c>
      <x:c r="J1759" t="n">
        <x:v>13</x:v>
      </x:c>
      <x:c r="K1759" t="n">
        <x:v>3</x:v>
      </x:c>
      <x:c r="L1759" t="str">
        <x:v>L24-S13-C3</x:v>
      </x:c>
      <x:c r="M1759" t="n">
        <x:v>0</x:v>
      </x:c>
      <x:c r="N1759" t="str">
        <x:v>DerivedFromCount</x:v>
      </x:c>
      <x:c r="O1759" t="str">
        <x:v>PLC-PRD-JAR-330-L24</x:v>
      </x:c>
      <x:c r="P1759" t="str">
        <x:v>OK</x:v>
      </x:c>
      <x:c r="Q1759" t="str">
        <x:v>OK</x:v>
      </x:c>
      <x:c r="R1759" t="str">
        <x:v>OK</x:v>
      </x:c>
      <x:c r="S1759" t="str">
        <x:v>OK</x:v>
      </x:c>
      <x:c r="T1759" t="n">
        <x:v>36</x:v>
      </x:c>
      <x:c r="U1759" t="str">
        <x:v>OK</x:v>
      </x:c>
      <x:c r="V1759" t="str">
        <x:v>OK</x:v>
      </x:c>
      <x:c r="W1759" t="str">
        <x:v>LOAD</x:v>
      </x:c>
      <x:c r="X1759" t="str">
        <x:v>02_Supervisor_Log(4).xlsx</x:v>
      </x:c>
      <x:c r="Y1759" t="str">
        <x:v>ENH-20260830-01</x:v>
      </x:c>
      <x:c r="Z1759" t="str">
        <x:v>Active</x:v>
      </x:c>
      <x:c r="AA1759"/>
      <x:c r="AB1759"/>
      <x:c r="AC1759"/>
      <x:c r="AD1759"/>
    </x:row>
    <x:row r="1760">
      <x:c r="A1760" t="str">
        <x:v>PCC-PE-KG01-L24-20251021-PM-ORD-2025-00125-S01-C1</x:v>
      </x:c>
      <x:c r="B1760" t="str">
        <x:v>PC-PE-KG01-L24-20251021-PM-ORD-2025-00125-S01</x:v>
      </x:c>
      <x:c r="C1760" t="str">
        <x:v>PE-KG01-L24-20251021-PM-ORD-2025-00125</x:v>
      </x:c>
      <x:c r="D1760" t="str">
        <x:v>KG01</x:v>
      </x:c>
      <x:c r="E1760" s="62" t="n">
        <x:v>45951</x:v>
      </x:c>
      <x:c r="F1760" t="str">
        <x:v>PM</x:v>
      </x:c>
      <x:c r="G1760" t="str">
        <x:v>B</x:v>
      </x:c>
      <x:c r="H1760" t="n">
        <x:v>24</x:v>
      </x:c>
      <x:c r="I1760" t="str">
        <x:v>ORD-2025-00125</x:v>
      </x:c>
      <x:c r="J1760" t="n">
        <x:v>1</x:v>
      </x:c>
      <x:c r="K1760" t="n">
        <x:v>1</x:v>
      </x:c>
      <x:c r="L1760" t="str">
        <x:v>L24-S01-C1</x:v>
      </x:c>
      <x:c r="M1760" t="n">
        <x:v>1</x:v>
      </x:c>
      <x:c r="N1760" t="str">
        <x:v>DerivedFromCount</x:v>
      </x:c>
      <x:c r="O1760" t="str">
        <x:v>PLC-PRD-JAR-330-L24</x:v>
      </x:c>
      <x:c r="P1760" t="str">
        <x:v>OK</x:v>
      </x:c>
      <x:c r="Q1760" t="str">
        <x:v>OK</x:v>
      </x:c>
      <x:c r="R1760" t="str">
        <x:v>OK</x:v>
      </x:c>
      <x:c r="S1760" t="str">
        <x:v>OK</x:v>
      </x:c>
      <x:c r="T1760" t="n">
        <x:v>36</x:v>
      </x:c>
      <x:c r="U1760" t="str">
        <x:v>OK</x:v>
      </x:c>
      <x:c r="V1760" t="str">
        <x:v>OK</x:v>
      </x:c>
      <x:c r="W1760" t="str">
        <x:v>LOAD</x:v>
      </x:c>
      <x:c r="X1760" t="str">
        <x:v>02_Supervisor_Log(4).xlsx</x:v>
      </x:c>
      <x:c r="Y1760" t="str">
        <x:v>ENH-20260830-01</x:v>
      </x:c>
      <x:c r="Z1760" t="str">
        <x:v>Active</x:v>
      </x:c>
      <x:c r="AA1760"/>
      <x:c r="AB1760"/>
      <x:c r="AC1760"/>
      <x:c r="AD1760"/>
    </x:row>
    <x:row r="1761">
      <x:c r="A1761" t="str">
        <x:v>PCC-PE-KG01-L24-20251021-PM-ORD-2025-00125-S01-C2</x:v>
      </x:c>
      <x:c r="B1761" t="str">
        <x:v>PC-PE-KG01-L24-20251021-PM-ORD-2025-00125-S01</x:v>
      </x:c>
      <x:c r="C1761" t="str">
        <x:v>PE-KG01-L24-20251021-PM-ORD-2025-00125</x:v>
      </x:c>
      <x:c r="D1761" t="str">
        <x:v>KG01</x:v>
      </x:c>
      <x:c r="E1761" s="62" t="n">
        <x:v>45951</x:v>
      </x:c>
      <x:c r="F1761" t="str">
        <x:v>PM</x:v>
      </x:c>
      <x:c r="G1761" t="str">
        <x:v>B</x:v>
      </x:c>
      <x:c r="H1761" t="n">
        <x:v>24</x:v>
      </x:c>
      <x:c r="I1761" t="str">
        <x:v>ORD-2025-00125</x:v>
      </x:c>
      <x:c r="J1761" t="n">
        <x:v>1</x:v>
      </x:c>
      <x:c r="K1761" t="n">
        <x:v>2</x:v>
      </x:c>
      <x:c r="L1761" t="str">
        <x:v>L24-S01-C2</x:v>
      </x:c>
      <x:c r="M1761" t="n">
        <x:v>1</x:v>
      </x:c>
      <x:c r="N1761" t="str">
        <x:v>DerivedFromCount</x:v>
      </x:c>
      <x:c r="O1761" t="str">
        <x:v>PLC-PRD-JAR-330-L24</x:v>
      </x:c>
      <x:c r="P1761" t="str">
        <x:v>OK</x:v>
      </x:c>
      <x:c r="Q1761" t="str">
        <x:v>OK</x:v>
      </x:c>
      <x:c r="R1761" t="str">
        <x:v>OK</x:v>
      </x:c>
      <x:c r="S1761" t="str">
        <x:v>OK</x:v>
      </x:c>
      <x:c r="T1761" t="n">
        <x:v>36</x:v>
      </x:c>
      <x:c r="U1761" t="str">
        <x:v>OK</x:v>
      </x:c>
      <x:c r="V1761" t="str">
        <x:v>OK</x:v>
      </x:c>
      <x:c r="W1761" t="str">
        <x:v>LOAD</x:v>
      </x:c>
      <x:c r="X1761" t="str">
        <x:v>02_Supervisor_Log(4).xlsx</x:v>
      </x:c>
      <x:c r="Y1761" t="str">
        <x:v>ENH-20260830-01</x:v>
      </x:c>
      <x:c r="Z1761" t="str">
        <x:v>Active</x:v>
      </x:c>
      <x:c r="AA1761"/>
      <x:c r="AB1761"/>
      <x:c r="AC1761"/>
      <x:c r="AD1761"/>
    </x:row>
    <x:row r="1762">
      <x:c r="A1762" t="str">
        <x:v>PCC-PE-KG01-L24-20251021-PM-ORD-2025-00125-S01-C3</x:v>
      </x:c>
      <x:c r="B1762" t="str">
        <x:v>PC-PE-KG01-L24-20251021-PM-ORD-2025-00125-S01</x:v>
      </x:c>
      <x:c r="C1762" t="str">
        <x:v>PE-KG01-L24-20251021-PM-ORD-2025-00125</x:v>
      </x:c>
      <x:c r="D1762" t="str">
        <x:v>KG01</x:v>
      </x:c>
      <x:c r="E1762" s="62" t="n">
        <x:v>45951</x:v>
      </x:c>
      <x:c r="F1762" t="str">
        <x:v>PM</x:v>
      </x:c>
      <x:c r="G1762" t="str">
        <x:v>B</x:v>
      </x:c>
      <x:c r="H1762" t="n">
        <x:v>24</x:v>
      </x:c>
      <x:c r="I1762" t="str">
        <x:v>ORD-2025-00125</x:v>
      </x:c>
      <x:c r="J1762" t="n">
        <x:v>1</x:v>
      </x:c>
      <x:c r="K1762" t="n">
        <x:v>3</x:v>
      </x:c>
      <x:c r="L1762" t="str">
        <x:v>L24-S01-C3</x:v>
      </x:c>
      <x:c r="M1762" t="n">
        <x:v>1</x:v>
      </x:c>
      <x:c r="N1762" t="str">
        <x:v>DerivedFromCount</x:v>
      </x:c>
      <x:c r="O1762" t="str">
        <x:v>PLC-PRD-JAR-330-L24</x:v>
      </x:c>
      <x:c r="P1762" t="str">
        <x:v>OK</x:v>
      </x:c>
      <x:c r="Q1762" t="str">
        <x:v>OK</x:v>
      </x:c>
      <x:c r="R1762" t="str">
        <x:v>OK</x:v>
      </x:c>
      <x:c r="S1762" t="str">
        <x:v>OK</x:v>
      </x:c>
      <x:c r="T1762" t="n">
        <x:v>36</x:v>
      </x:c>
      <x:c r="U1762" t="str">
        <x:v>OK</x:v>
      </x:c>
      <x:c r="V1762" t="str">
        <x:v>OK</x:v>
      </x:c>
      <x:c r="W1762" t="str">
        <x:v>LOAD</x:v>
      </x:c>
      <x:c r="X1762" t="str">
        <x:v>02_Supervisor_Log(4).xlsx</x:v>
      </x:c>
      <x:c r="Y1762" t="str">
        <x:v>ENH-20260830-01</x:v>
      </x:c>
      <x:c r="Z1762" t="str">
        <x:v>Active</x:v>
      </x:c>
      <x:c r="AA1762"/>
      <x:c r="AB1762"/>
      <x:c r="AC1762"/>
      <x:c r="AD1762"/>
    </x:row>
    <x:row r="1763">
      <x:c r="A1763" t="str">
        <x:v>PCC-PE-KG01-L24-20251021-PM-ORD-2025-00125-S02-C1</x:v>
      </x:c>
      <x:c r="B1763" t="str">
        <x:v>PC-PE-KG01-L24-20251021-PM-ORD-2025-00125-S02</x:v>
      </x:c>
      <x:c r="C1763" t="str">
        <x:v>PE-KG01-L24-20251021-PM-ORD-2025-00125</x:v>
      </x:c>
      <x:c r="D1763" t="str">
        <x:v>KG01</x:v>
      </x:c>
      <x:c r="E1763" s="62" t="n">
        <x:v>45951</x:v>
      </x:c>
      <x:c r="F1763" t="str">
        <x:v>PM</x:v>
      </x:c>
      <x:c r="G1763" t="str">
        <x:v>B</x:v>
      </x:c>
      <x:c r="H1763" t="n">
        <x:v>24</x:v>
      </x:c>
      <x:c r="I1763" t="str">
        <x:v>ORD-2025-00125</x:v>
      </x:c>
      <x:c r="J1763" t="n">
        <x:v>2</x:v>
      </x:c>
      <x:c r="K1763" t="n">
        <x:v>1</x:v>
      </x:c>
      <x:c r="L1763" t="str">
        <x:v>L24-S02-C1</x:v>
      </x:c>
      <x:c r="M1763" t="n">
        <x:v>1</x:v>
      </x:c>
      <x:c r="N1763" t="str">
        <x:v>DerivedFromCount</x:v>
      </x:c>
      <x:c r="O1763" t="str">
        <x:v>PLC-PRD-JAR-330-L24</x:v>
      </x:c>
      <x:c r="P1763" t="str">
        <x:v>OK</x:v>
      </x:c>
      <x:c r="Q1763" t="str">
        <x:v>OK</x:v>
      </x:c>
      <x:c r="R1763" t="str">
        <x:v>OK</x:v>
      </x:c>
      <x:c r="S1763" t="str">
        <x:v>OK</x:v>
      </x:c>
      <x:c r="T1763" t="n">
        <x:v>36</x:v>
      </x:c>
      <x:c r="U1763" t="str">
        <x:v>OK</x:v>
      </x:c>
      <x:c r="V1763" t="str">
        <x:v>OK</x:v>
      </x:c>
      <x:c r="W1763" t="str">
        <x:v>LOAD</x:v>
      </x:c>
      <x:c r="X1763" t="str">
        <x:v>02_Supervisor_Log(4).xlsx</x:v>
      </x:c>
      <x:c r="Y1763" t="str">
        <x:v>ENH-20260830-01</x:v>
      </x:c>
      <x:c r="Z1763" t="str">
        <x:v>Active</x:v>
      </x:c>
      <x:c r="AA1763"/>
      <x:c r="AB1763"/>
      <x:c r="AC1763"/>
      <x:c r="AD1763"/>
    </x:row>
    <x:row r="1764">
      <x:c r="A1764" t="str">
        <x:v>PCC-PE-KG01-L24-20251021-PM-ORD-2025-00125-S02-C2</x:v>
      </x:c>
      <x:c r="B1764" t="str">
        <x:v>PC-PE-KG01-L24-20251021-PM-ORD-2025-00125-S02</x:v>
      </x:c>
      <x:c r="C1764" t="str">
        <x:v>PE-KG01-L24-20251021-PM-ORD-2025-00125</x:v>
      </x:c>
      <x:c r="D1764" t="str">
        <x:v>KG01</x:v>
      </x:c>
      <x:c r="E1764" s="62" t="n">
        <x:v>45951</x:v>
      </x:c>
      <x:c r="F1764" t="str">
        <x:v>PM</x:v>
      </x:c>
      <x:c r="G1764" t="str">
        <x:v>B</x:v>
      </x:c>
      <x:c r="H1764" t="n">
        <x:v>24</x:v>
      </x:c>
      <x:c r="I1764" t="str">
        <x:v>ORD-2025-00125</x:v>
      </x:c>
      <x:c r="J1764" t="n">
        <x:v>2</x:v>
      </x:c>
      <x:c r="K1764" t="n">
        <x:v>2</x:v>
      </x:c>
      <x:c r="L1764" t="str">
        <x:v>L24-S02-C2</x:v>
      </x:c>
      <x:c r="M1764" t="n">
        <x:v>1</x:v>
      </x:c>
      <x:c r="N1764" t="str">
        <x:v>DerivedFromCount</x:v>
      </x:c>
      <x:c r="O1764" t="str">
        <x:v>PLC-PRD-JAR-330-L24</x:v>
      </x:c>
      <x:c r="P1764" t="str">
        <x:v>OK</x:v>
      </x:c>
      <x:c r="Q1764" t="str">
        <x:v>OK</x:v>
      </x:c>
      <x:c r="R1764" t="str">
        <x:v>OK</x:v>
      </x:c>
      <x:c r="S1764" t="str">
        <x:v>OK</x:v>
      </x:c>
      <x:c r="T1764" t="n">
        <x:v>36</x:v>
      </x:c>
      <x:c r="U1764" t="str">
        <x:v>OK</x:v>
      </x:c>
      <x:c r="V1764" t="str">
        <x:v>OK</x:v>
      </x:c>
      <x:c r="W1764" t="str">
        <x:v>LOAD</x:v>
      </x:c>
      <x:c r="X1764" t="str">
        <x:v>02_Supervisor_Log(4).xlsx</x:v>
      </x:c>
      <x:c r="Y1764" t="str">
        <x:v>ENH-20260830-01</x:v>
      </x:c>
      <x:c r="Z1764" t="str">
        <x:v>Active</x:v>
      </x:c>
      <x:c r="AA1764"/>
      <x:c r="AB1764"/>
      <x:c r="AC1764"/>
      <x:c r="AD1764"/>
    </x:row>
    <x:row r="1765">
      <x:c r="A1765" t="str">
        <x:v>PCC-PE-KG01-L24-20251021-PM-ORD-2025-00125-S02-C3</x:v>
      </x:c>
      <x:c r="B1765" t="str">
        <x:v>PC-PE-KG01-L24-20251021-PM-ORD-2025-00125-S02</x:v>
      </x:c>
      <x:c r="C1765" t="str">
        <x:v>PE-KG01-L24-20251021-PM-ORD-2025-00125</x:v>
      </x:c>
      <x:c r="D1765" t="str">
        <x:v>KG01</x:v>
      </x:c>
      <x:c r="E1765" s="62" t="n">
        <x:v>45951</x:v>
      </x:c>
      <x:c r="F1765" t="str">
        <x:v>PM</x:v>
      </x:c>
      <x:c r="G1765" t="str">
        <x:v>B</x:v>
      </x:c>
      <x:c r="H1765" t="n">
        <x:v>24</x:v>
      </x:c>
      <x:c r="I1765" t="str">
        <x:v>ORD-2025-00125</x:v>
      </x:c>
      <x:c r="J1765" t="n">
        <x:v>2</x:v>
      </x:c>
      <x:c r="K1765" t="n">
        <x:v>3</x:v>
      </x:c>
      <x:c r="L1765" t="str">
        <x:v>L24-S02-C3</x:v>
      </x:c>
      <x:c r="M1765" t="n">
        <x:v>1</x:v>
      </x:c>
      <x:c r="N1765" t="str">
        <x:v>DerivedFromCount</x:v>
      </x:c>
      <x:c r="O1765" t="str">
        <x:v>PLC-PRD-JAR-330-L24</x:v>
      </x:c>
      <x:c r="P1765" t="str">
        <x:v>OK</x:v>
      </x:c>
      <x:c r="Q1765" t="str">
        <x:v>OK</x:v>
      </x:c>
      <x:c r="R1765" t="str">
        <x:v>OK</x:v>
      </x:c>
      <x:c r="S1765" t="str">
        <x:v>OK</x:v>
      </x:c>
      <x:c r="T1765" t="n">
        <x:v>36</x:v>
      </x:c>
      <x:c r="U1765" t="str">
        <x:v>OK</x:v>
      </x:c>
      <x:c r="V1765" t="str">
        <x:v>OK</x:v>
      </x:c>
      <x:c r="W1765" t="str">
        <x:v>LOAD</x:v>
      </x:c>
      <x:c r="X1765" t="str">
        <x:v>02_Supervisor_Log(4).xlsx</x:v>
      </x:c>
      <x:c r="Y1765" t="str">
        <x:v>ENH-20260830-01</x:v>
      </x:c>
      <x:c r="Z1765" t="str">
        <x:v>Active</x:v>
      </x:c>
      <x:c r="AA1765"/>
      <x:c r="AB1765"/>
      <x:c r="AC1765"/>
      <x:c r="AD1765"/>
    </x:row>
    <x:row r="1766">
      <x:c r="A1766" t="str">
        <x:v>PCC-PE-KG01-L24-20251021-PM-ORD-2025-00125-S03-C1</x:v>
      </x:c>
      <x:c r="B1766" t="str">
        <x:v>PC-PE-KG01-L24-20251021-PM-ORD-2025-00125-S03</x:v>
      </x:c>
      <x:c r="C1766" t="str">
        <x:v>PE-KG01-L24-20251021-PM-ORD-2025-00125</x:v>
      </x:c>
      <x:c r="D1766" t="str">
        <x:v>KG01</x:v>
      </x:c>
      <x:c r="E1766" s="62" t="n">
        <x:v>45951</x:v>
      </x:c>
      <x:c r="F1766" t="str">
        <x:v>PM</x:v>
      </x:c>
      <x:c r="G1766" t="str">
        <x:v>B</x:v>
      </x:c>
      <x:c r="H1766" t="n">
        <x:v>24</x:v>
      </x:c>
      <x:c r="I1766" t="str">
        <x:v>ORD-2025-00125</x:v>
      </x:c>
      <x:c r="J1766" t="n">
        <x:v>3</x:v>
      </x:c>
      <x:c r="K1766" t="n">
        <x:v>1</x:v>
      </x:c>
      <x:c r="L1766" t="str">
        <x:v>L24-S03-C1</x:v>
      </x:c>
      <x:c r="M1766" t="n">
        <x:v>1</x:v>
      </x:c>
      <x:c r="N1766" t="str">
        <x:v>DerivedFromCount</x:v>
      </x:c>
      <x:c r="O1766" t="str">
        <x:v>PLC-PRD-JAR-330-L24</x:v>
      </x:c>
      <x:c r="P1766" t="str">
        <x:v>OK</x:v>
      </x:c>
      <x:c r="Q1766" t="str">
        <x:v>OK</x:v>
      </x:c>
      <x:c r="R1766" t="str">
        <x:v>OK</x:v>
      </x:c>
      <x:c r="S1766" t="str">
        <x:v>OK</x:v>
      </x:c>
      <x:c r="T1766" t="n">
        <x:v>36</x:v>
      </x:c>
      <x:c r="U1766" t="str">
        <x:v>OK</x:v>
      </x:c>
      <x:c r="V1766" t="str">
        <x:v>OK</x:v>
      </x:c>
      <x:c r="W1766" t="str">
        <x:v>LOAD</x:v>
      </x:c>
      <x:c r="X1766" t="str">
        <x:v>02_Supervisor_Log(4).xlsx</x:v>
      </x:c>
      <x:c r="Y1766" t="str">
        <x:v>ENH-20260830-01</x:v>
      </x:c>
      <x:c r="Z1766" t="str">
        <x:v>Active</x:v>
      </x:c>
      <x:c r="AA1766"/>
      <x:c r="AB1766"/>
      <x:c r="AC1766"/>
      <x:c r="AD1766"/>
    </x:row>
    <x:row r="1767">
      <x:c r="A1767" t="str">
        <x:v>PCC-PE-KG01-L24-20251021-PM-ORD-2025-00125-S03-C2</x:v>
      </x:c>
      <x:c r="B1767" t="str">
        <x:v>PC-PE-KG01-L24-20251021-PM-ORD-2025-00125-S03</x:v>
      </x:c>
      <x:c r="C1767" t="str">
        <x:v>PE-KG01-L24-20251021-PM-ORD-2025-00125</x:v>
      </x:c>
      <x:c r="D1767" t="str">
        <x:v>KG01</x:v>
      </x:c>
      <x:c r="E1767" s="62" t="n">
        <x:v>45951</x:v>
      </x:c>
      <x:c r="F1767" t="str">
        <x:v>PM</x:v>
      </x:c>
      <x:c r="G1767" t="str">
        <x:v>B</x:v>
      </x:c>
      <x:c r="H1767" t="n">
        <x:v>24</x:v>
      </x:c>
      <x:c r="I1767" t="str">
        <x:v>ORD-2025-00125</x:v>
      </x:c>
      <x:c r="J1767" t="n">
        <x:v>3</x:v>
      </x:c>
      <x:c r="K1767" t="n">
        <x:v>2</x:v>
      </x:c>
      <x:c r="L1767" t="str">
        <x:v>L24-S03-C2</x:v>
      </x:c>
      <x:c r="M1767" t="n">
        <x:v>1</x:v>
      </x:c>
      <x:c r="N1767" t="str">
        <x:v>DerivedFromCount</x:v>
      </x:c>
      <x:c r="O1767" t="str">
        <x:v>PLC-PRD-JAR-330-L24</x:v>
      </x:c>
      <x:c r="P1767" t="str">
        <x:v>OK</x:v>
      </x:c>
      <x:c r="Q1767" t="str">
        <x:v>OK</x:v>
      </x:c>
      <x:c r="R1767" t="str">
        <x:v>OK</x:v>
      </x:c>
      <x:c r="S1767" t="str">
        <x:v>OK</x:v>
      </x:c>
      <x:c r="T1767" t="n">
        <x:v>36</x:v>
      </x:c>
      <x:c r="U1767" t="str">
        <x:v>OK</x:v>
      </x:c>
      <x:c r="V1767" t="str">
        <x:v>OK</x:v>
      </x:c>
      <x:c r="W1767" t="str">
        <x:v>LOAD</x:v>
      </x:c>
      <x:c r="X1767" t="str">
        <x:v>02_Supervisor_Log(4).xlsx</x:v>
      </x:c>
      <x:c r="Y1767" t="str">
        <x:v>ENH-20260830-01</x:v>
      </x:c>
      <x:c r="Z1767" t="str">
        <x:v>Active</x:v>
      </x:c>
      <x:c r="AA1767"/>
      <x:c r="AB1767"/>
      <x:c r="AC1767"/>
      <x:c r="AD1767"/>
    </x:row>
    <x:row r="1768">
      <x:c r="A1768" t="str">
        <x:v>PCC-PE-KG01-L24-20251021-PM-ORD-2025-00125-S03-C3</x:v>
      </x:c>
      <x:c r="B1768" t="str">
        <x:v>PC-PE-KG01-L24-20251021-PM-ORD-2025-00125-S03</x:v>
      </x:c>
      <x:c r="C1768" t="str">
        <x:v>PE-KG01-L24-20251021-PM-ORD-2025-00125</x:v>
      </x:c>
      <x:c r="D1768" t="str">
        <x:v>KG01</x:v>
      </x:c>
      <x:c r="E1768" s="62" t="n">
        <x:v>45951</x:v>
      </x:c>
      <x:c r="F1768" t="str">
        <x:v>PM</x:v>
      </x:c>
      <x:c r="G1768" t="str">
        <x:v>B</x:v>
      </x:c>
      <x:c r="H1768" t="n">
        <x:v>24</x:v>
      </x:c>
      <x:c r="I1768" t="str">
        <x:v>ORD-2025-00125</x:v>
      </x:c>
      <x:c r="J1768" t="n">
        <x:v>3</x:v>
      </x:c>
      <x:c r="K1768" t="n">
        <x:v>3</x:v>
      </x:c>
      <x:c r="L1768" t="str">
        <x:v>L24-S03-C3</x:v>
      </x:c>
      <x:c r="M1768" t="n">
        <x:v>1</x:v>
      </x:c>
      <x:c r="N1768" t="str">
        <x:v>DerivedFromCount</x:v>
      </x:c>
      <x:c r="O1768" t="str">
        <x:v>PLC-PRD-JAR-330-L24</x:v>
      </x:c>
      <x:c r="P1768" t="str">
        <x:v>OK</x:v>
      </x:c>
      <x:c r="Q1768" t="str">
        <x:v>OK</x:v>
      </x:c>
      <x:c r="R1768" t="str">
        <x:v>OK</x:v>
      </x:c>
      <x:c r="S1768" t="str">
        <x:v>OK</x:v>
      </x:c>
      <x:c r="T1768" t="n">
        <x:v>36</x:v>
      </x:c>
      <x:c r="U1768" t="str">
        <x:v>OK</x:v>
      </x:c>
      <x:c r="V1768" t="str">
        <x:v>OK</x:v>
      </x:c>
      <x:c r="W1768" t="str">
        <x:v>LOAD</x:v>
      </x:c>
      <x:c r="X1768" t="str">
        <x:v>02_Supervisor_Log(4).xlsx</x:v>
      </x:c>
      <x:c r="Y1768" t="str">
        <x:v>ENH-20260830-01</x:v>
      </x:c>
      <x:c r="Z1768" t="str">
        <x:v>Active</x:v>
      </x:c>
      <x:c r="AA1768"/>
      <x:c r="AB1768"/>
      <x:c r="AC1768"/>
      <x:c r="AD1768"/>
    </x:row>
    <x:row r="1769">
      <x:c r="A1769" t="str">
        <x:v>PCC-PE-KG01-L24-20251021-PM-ORD-2025-00125-S04-C1</x:v>
      </x:c>
      <x:c r="B1769" t="str">
        <x:v>PC-PE-KG01-L24-20251021-PM-ORD-2025-00125-S04</x:v>
      </x:c>
      <x:c r="C1769" t="str">
        <x:v>PE-KG01-L24-20251021-PM-ORD-2025-00125</x:v>
      </x:c>
      <x:c r="D1769" t="str">
        <x:v>KG01</x:v>
      </x:c>
      <x:c r="E1769" s="62" t="n">
        <x:v>45951</x:v>
      </x:c>
      <x:c r="F1769" t="str">
        <x:v>PM</x:v>
      </x:c>
      <x:c r="G1769" t="str">
        <x:v>B</x:v>
      </x:c>
      <x:c r="H1769" t="n">
        <x:v>24</x:v>
      </x:c>
      <x:c r="I1769" t="str">
        <x:v>ORD-2025-00125</x:v>
      </x:c>
      <x:c r="J1769" t="n">
        <x:v>4</x:v>
      </x:c>
      <x:c r="K1769" t="n">
        <x:v>1</x:v>
      </x:c>
      <x:c r="L1769" t="str">
        <x:v>L24-S04-C1</x:v>
      </x:c>
      <x:c r="M1769" t="n">
        <x:v>1</x:v>
      </x:c>
      <x:c r="N1769" t="str">
        <x:v>DerivedFromCount</x:v>
      </x:c>
      <x:c r="O1769" t="str">
        <x:v>PLC-PRD-JAR-330-L24</x:v>
      </x:c>
      <x:c r="P1769" t="str">
        <x:v>OK</x:v>
      </x:c>
      <x:c r="Q1769" t="str">
        <x:v>OK</x:v>
      </x:c>
      <x:c r="R1769" t="str">
        <x:v>OK</x:v>
      </x:c>
      <x:c r="S1769" t="str">
        <x:v>OK</x:v>
      </x:c>
      <x:c r="T1769" t="n">
        <x:v>36</x:v>
      </x:c>
      <x:c r="U1769" t="str">
        <x:v>OK</x:v>
      </x:c>
      <x:c r="V1769" t="str">
        <x:v>OK</x:v>
      </x:c>
      <x:c r="W1769" t="str">
        <x:v>LOAD</x:v>
      </x:c>
      <x:c r="X1769" t="str">
        <x:v>02_Supervisor_Log(4).xlsx</x:v>
      </x:c>
      <x:c r="Y1769" t="str">
        <x:v>ENH-20260830-01</x:v>
      </x:c>
      <x:c r="Z1769" t="str">
        <x:v>Active</x:v>
      </x:c>
      <x:c r="AA1769"/>
      <x:c r="AB1769"/>
      <x:c r="AC1769"/>
      <x:c r="AD1769"/>
    </x:row>
    <x:row r="1770">
      <x:c r="A1770" t="str">
        <x:v>PCC-PE-KG01-L24-20251021-PM-ORD-2025-00125-S04-C2</x:v>
      </x:c>
      <x:c r="B1770" t="str">
        <x:v>PC-PE-KG01-L24-20251021-PM-ORD-2025-00125-S04</x:v>
      </x:c>
      <x:c r="C1770" t="str">
        <x:v>PE-KG01-L24-20251021-PM-ORD-2025-00125</x:v>
      </x:c>
      <x:c r="D1770" t="str">
        <x:v>KG01</x:v>
      </x:c>
      <x:c r="E1770" s="62" t="n">
        <x:v>45951</x:v>
      </x:c>
      <x:c r="F1770" t="str">
        <x:v>PM</x:v>
      </x:c>
      <x:c r="G1770" t="str">
        <x:v>B</x:v>
      </x:c>
      <x:c r="H1770" t="n">
        <x:v>24</x:v>
      </x:c>
      <x:c r="I1770" t="str">
        <x:v>ORD-2025-00125</x:v>
      </x:c>
      <x:c r="J1770" t="n">
        <x:v>4</x:v>
      </x:c>
      <x:c r="K1770" t="n">
        <x:v>2</x:v>
      </x:c>
      <x:c r="L1770" t="str">
        <x:v>L24-S04-C2</x:v>
      </x:c>
      <x:c r="M1770" t="n">
        <x:v>1</x:v>
      </x:c>
      <x:c r="N1770" t="str">
        <x:v>DerivedFromCount</x:v>
      </x:c>
      <x:c r="O1770" t="str">
        <x:v>PLC-PRD-JAR-330-L24</x:v>
      </x:c>
      <x:c r="P1770" t="str">
        <x:v>OK</x:v>
      </x:c>
      <x:c r="Q1770" t="str">
        <x:v>OK</x:v>
      </x:c>
      <x:c r="R1770" t="str">
        <x:v>OK</x:v>
      </x:c>
      <x:c r="S1770" t="str">
        <x:v>OK</x:v>
      </x:c>
      <x:c r="T1770" t="n">
        <x:v>36</x:v>
      </x:c>
      <x:c r="U1770" t="str">
        <x:v>OK</x:v>
      </x:c>
      <x:c r="V1770" t="str">
        <x:v>OK</x:v>
      </x:c>
      <x:c r="W1770" t="str">
        <x:v>LOAD</x:v>
      </x:c>
      <x:c r="X1770" t="str">
        <x:v>02_Supervisor_Log(4).xlsx</x:v>
      </x:c>
      <x:c r="Y1770" t="str">
        <x:v>ENH-20260830-01</x:v>
      </x:c>
      <x:c r="Z1770" t="str">
        <x:v>Active</x:v>
      </x:c>
      <x:c r="AA1770"/>
      <x:c r="AB1770"/>
      <x:c r="AC1770"/>
      <x:c r="AD1770"/>
    </x:row>
    <x:row r="1771">
      <x:c r="A1771" t="str">
        <x:v>PCC-PE-KG01-L24-20251021-PM-ORD-2025-00125-S04-C3</x:v>
      </x:c>
      <x:c r="B1771" t="str">
        <x:v>PC-PE-KG01-L24-20251021-PM-ORD-2025-00125-S04</x:v>
      </x:c>
      <x:c r="C1771" t="str">
        <x:v>PE-KG01-L24-20251021-PM-ORD-2025-00125</x:v>
      </x:c>
      <x:c r="D1771" t="str">
        <x:v>KG01</x:v>
      </x:c>
      <x:c r="E1771" s="62" t="n">
        <x:v>45951</x:v>
      </x:c>
      <x:c r="F1771" t="str">
        <x:v>PM</x:v>
      </x:c>
      <x:c r="G1771" t="str">
        <x:v>B</x:v>
      </x:c>
      <x:c r="H1771" t="n">
        <x:v>24</x:v>
      </x:c>
      <x:c r="I1771" t="str">
        <x:v>ORD-2025-00125</x:v>
      </x:c>
      <x:c r="J1771" t="n">
        <x:v>4</x:v>
      </x:c>
      <x:c r="K1771" t="n">
        <x:v>3</x:v>
      </x:c>
      <x:c r="L1771" t="str">
        <x:v>L24-S04-C3</x:v>
      </x:c>
      <x:c r="M1771" t="n">
        <x:v>1</x:v>
      </x:c>
      <x:c r="N1771" t="str">
        <x:v>DerivedFromCount</x:v>
      </x:c>
      <x:c r="O1771" t="str">
        <x:v>PLC-PRD-JAR-330-L24</x:v>
      </x:c>
      <x:c r="P1771" t="str">
        <x:v>OK</x:v>
      </x:c>
      <x:c r="Q1771" t="str">
        <x:v>OK</x:v>
      </x:c>
      <x:c r="R1771" t="str">
        <x:v>OK</x:v>
      </x:c>
      <x:c r="S1771" t="str">
        <x:v>OK</x:v>
      </x:c>
      <x:c r="T1771" t="n">
        <x:v>36</x:v>
      </x:c>
      <x:c r="U1771" t="str">
        <x:v>OK</x:v>
      </x:c>
      <x:c r="V1771" t="str">
        <x:v>OK</x:v>
      </x:c>
      <x:c r="W1771" t="str">
        <x:v>LOAD</x:v>
      </x:c>
      <x:c r="X1771" t="str">
        <x:v>02_Supervisor_Log(4).xlsx</x:v>
      </x:c>
      <x:c r="Y1771" t="str">
        <x:v>ENH-20260830-01</x:v>
      </x:c>
      <x:c r="Z1771" t="str">
        <x:v>Active</x:v>
      </x:c>
      <x:c r="AA1771"/>
      <x:c r="AB1771"/>
      <x:c r="AC1771"/>
      <x:c r="AD1771"/>
    </x:row>
    <x:row r="1772">
      <x:c r="A1772" t="str">
        <x:v>PCC-PE-KG01-L24-20251021-PM-ORD-2025-00125-S05-C1</x:v>
      </x:c>
      <x:c r="B1772" t="str">
        <x:v>PC-PE-KG01-L24-20251021-PM-ORD-2025-00125-S05</x:v>
      </x:c>
      <x:c r="C1772" t="str">
        <x:v>PE-KG01-L24-20251021-PM-ORD-2025-00125</x:v>
      </x:c>
      <x:c r="D1772" t="str">
        <x:v>KG01</x:v>
      </x:c>
      <x:c r="E1772" s="62" t="n">
        <x:v>45951</x:v>
      </x:c>
      <x:c r="F1772" t="str">
        <x:v>PM</x:v>
      </x:c>
      <x:c r="G1772" t="str">
        <x:v>B</x:v>
      </x:c>
      <x:c r="H1772" t="n">
        <x:v>24</x:v>
      </x:c>
      <x:c r="I1772" t="str">
        <x:v>ORD-2025-00125</x:v>
      </x:c>
      <x:c r="J1772" t="n">
        <x:v>5</x:v>
      </x:c>
      <x:c r="K1772" t="n">
        <x:v>1</x:v>
      </x:c>
      <x:c r="L1772" t="str">
        <x:v>L24-S05-C1</x:v>
      </x:c>
      <x:c r="M1772" t="n">
        <x:v>1</x:v>
      </x:c>
      <x:c r="N1772" t="str">
        <x:v>DerivedFromCount</x:v>
      </x:c>
      <x:c r="O1772" t="str">
        <x:v>PLC-PRD-JAR-330-L24</x:v>
      </x:c>
      <x:c r="P1772" t="str">
        <x:v>OK</x:v>
      </x:c>
      <x:c r="Q1772" t="str">
        <x:v>OK</x:v>
      </x:c>
      <x:c r="R1772" t="str">
        <x:v>OK</x:v>
      </x:c>
      <x:c r="S1772" t="str">
        <x:v>OK</x:v>
      </x:c>
      <x:c r="T1772" t="n">
        <x:v>36</x:v>
      </x:c>
      <x:c r="U1772" t="str">
        <x:v>OK</x:v>
      </x:c>
      <x:c r="V1772" t="str">
        <x:v>OK</x:v>
      </x:c>
      <x:c r="W1772" t="str">
        <x:v>LOAD</x:v>
      </x:c>
      <x:c r="X1772" t="str">
        <x:v>02_Supervisor_Log(4).xlsx</x:v>
      </x:c>
      <x:c r="Y1772" t="str">
        <x:v>ENH-20260830-01</x:v>
      </x:c>
      <x:c r="Z1772" t="str">
        <x:v>Active</x:v>
      </x:c>
      <x:c r="AA1772"/>
      <x:c r="AB1772"/>
      <x:c r="AC1772"/>
      <x:c r="AD1772"/>
    </x:row>
    <x:row r="1773">
      <x:c r="A1773" t="str">
        <x:v>PCC-PE-KG01-L24-20251021-PM-ORD-2025-00125-S05-C2</x:v>
      </x:c>
      <x:c r="B1773" t="str">
        <x:v>PC-PE-KG01-L24-20251021-PM-ORD-2025-00125-S05</x:v>
      </x:c>
      <x:c r="C1773" t="str">
        <x:v>PE-KG01-L24-20251021-PM-ORD-2025-00125</x:v>
      </x:c>
      <x:c r="D1773" t="str">
        <x:v>KG01</x:v>
      </x:c>
      <x:c r="E1773" s="62" t="n">
        <x:v>45951</x:v>
      </x:c>
      <x:c r="F1773" t="str">
        <x:v>PM</x:v>
      </x:c>
      <x:c r="G1773" t="str">
        <x:v>B</x:v>
      </x:c>
      <x:c r="H1773" t="n">
        <x:v>24</x:v>
      </x:c>
      <x:c r="I1773" t="str">
        <x:v>ORD-2025-00125</x:v>
      </x:c>
      <x:c r="J1773" t="n">
        <x:v>5</x:v>
      </x:c>
      <x:c r="K1773" t="n">
        <x:v>2</x:v>
      </x:c>
      <x:c r="L1773" t="str">
        <x:v>L24-S05-C2</x:v>
      </x:c>
      <x:c r="M1773" t="n">
        <x:v>1</x:v>
      </x:c>
      <x:c r="N1773" t="str">
        <x:v>DerivedFromCount</x:v>
      </x:c>
      <x:c r="O1773" t="str">
        <x:v>PLC-PRD-JAR-330-L24</x:v>
      </x:c>
      <x:c r="P1773" t="str">
        <x:v>OK</x:v>
      </x:c>
      <x:c r="Q1773" t="str">
        <x:v>OK</x:v>
      </x:c>
      <x:c r="R1773" t="str">
        <x:v>OK</x:v>
      </x:c>
      <x:c r="S1773" t="str">
        <x:v>OK</x:v>
      </x:c>
      <x:c r="T1773" t="n">
        <x:v>36</x:v>
      </x:c>
      <x:c r="U1773" t="str">
        <x:v>OK</x:v>
      </x:c>
      <x:c r="V1773" t="str">
        <x:v>OK</x:v>
      </x:c>
      <x:c r="W1773" t="str">
        <x:v>LOAD</x:v>
      </x:c>
      <x:c r="X1773" t="str">
        <x:v>02_Supervisor_Log(4).xlsx</x:v>
      </x:c>
      <x:c r="Y1773" t="str">
        <x:v>ENH-20260830-01</x:v>
      </x:c>
      <x:c r="Z1773" t="str">
        <x:v>Active</x:v>
      </x:c>
      <x:c r="AA1773"/>
      <x:c r="AB1773"/>
      <x:c r="AC1773"/>
      <x:c r="AD1773"/>
    </x:row>
    <x:row r="1774">
      <x:c r="A1774" t="str">
        <x:v>PCC-PE-KG01-L24-20251021-PM-ORD-2025-00125-S05-C3</x:v>
      </x:c>
      <x:c r="B1774" t="str">
        <x:v>PC-PE-KG01-L24-20251021-PM-ORD-2025-00125-S05</x:v>
      </x:c>
      <x:c r="C1774" t="str">
        <x:v>PE-KG01-L24-20251021-PM-ORD-2025-00125</x:v>
      </x:c>
      <x:c r="D1774" t="str">
        <x:v>KG01</x:v>
      </x:c>
      <x:c r="E1774" s="62" t="n">
        <x:v>45951</x:v>
      </x:c>
      <x:c r="F1774" t="str">
        <x:v>PM</x:v>
      </x:c>
      <x:c r="G1774" t="str">
        <x:v>B</x:v>
      </x:c>
      <x:c r="H1774" t="n">
        <x:v>24</x:v>
      </x:c>
      <x:c r="I1774" t="str">
        <x:v>ORD-2025-00125</x:v>
      </x:c>
      <x:c r="J1774" t="n">
        <x:v>5</x:v>
      </x:c>
      <x:c r="K1774" t="n">
        <x:v>3</x:v>
      </x:c>
      <x:c r="L1774" t="str">
        <x:v>L24-S05-C3</x:v>
      </x:c>
      <x:c r="M1774" t="n">
        <x:v>1</x:v>
      </x:c>
      <x:c r="N1774" t="str">
        <x:v>DerivedFromCount</x:v>
      </x:c>
      <x:c r="O1774" t="str">
        <x:v>PLC-PRD-JAR-330-L24</x:v>
      </x:c>
      <x:c r="P1774" t="str">
        <x:v>OK</x:v>
      </x:c>
      <x:c r="Q1774" t="str">
        <x:v>OK</x:v>
      </x:c>
      <x:c r="R1774" t="str">
        <x:v>OK</x:v>
      </x:c>
      <x:c r="S1774" t="str">
        <x:v>OK</x:v>
      </x:c>
      <x:c r="T1774" t="n">
        <x:v>36</x:v>
      </x:c>
      <x:c r="U1774" t="str">
        <x:v>OK</x:v>
      </x:c>
      <x:c r="V1774" t="str">
        <x:v>OK</x:v>
      </x:c>
      <x:c r="W1774" t="str">
        <x:v>LOAD</x:v>
      </x:c>
      <x:c r="X1774" t="str">
        <x:v>02_Supervisor_Log(4).xlsx</x:v>
      </x:c>
      <x:c r="Y1774" t="str">
        <x:v>ENH-20260830-01</x:v>
      </x:c>
      <x:c r="Z1774" t="str">
        <x:v>Active</x:v>
      </x:c>
      <x:c r="AA1774"/>
      <x:c r="AB1774"/>
      <x:c r="AC1774"/>
      <x:c r="AD1774"/>
    </x:row>
    <x:row r="1775">
      <x:c r="A1775" t="str">
        <x:v>PCC-PE-KG01-L24-20251021-PM-ORD-2025-00125-S06-C1</x:v>
      </x:c>
      <x:c r="B1775" t="str">
        <x:v>PC-PE-KG01-L24-20251021-PM-ORD-2025-00125-S06</x:v>
      </x:c>
      <x:c r="C1775" t="str">
        <x:v>PE-KG01-L24-20251021-PM-ORD-2025-00125</x:v>
      </x:c>
      <x:c r="D1775" t="str">
        <x:v>KG01</x:v>
      </x:c>
      <x:c r="E1775" s="62" t="n">
        <x:v>45951</x:v>
      </x:c>
      <x:c r="F1775" t="str">
        <x:v>PM</x:v>
      </x:c>
      <x:c r="G1775" t="str">
        <x:v>B</x:v>
      </x:c>
      <x:c r="H1775" t="n">
        <x:v>24</x:v>
      </x:c>
      <x:c r="I1775" t="str">
        <x:v>ORD-2025-00125</x:v>
      </x:c>
      <x:c r="J1775" t="n">
        <x:v>6</x:v>
      </x:c>
      <x:c r="K1775" t="n">
        <x:v>1</x:v>
      </x:c>
      <x:c r="L1775" t="str">
        <x:v>L24-S06-C1</x:v>
      </x:c>
      <x:c r="M1775" t="n">
        <x:v>1</x:v>
      </x:c>
      <x:c r="N1775" t="str">
        <x:v>DerivedFromCount</x:v>
      </x:c>
      <x:c r="O1775" t="str">
        <x:v>PLC-PRD-JAR-330-L24</x:v>
      </x:c>
      <x:c r="P1775" t="str">
        <x:v>OK</x:v>
      </x:c>
      <x:c r="Q1775" t="str">
        <x:v>OK</x:v>
      </x:c>
      <x:c r="R1775" t="str">
        <x:v>OK</x:v>
      </x:c>
      <x:c r="S1775" t="str">
        <x:v>OK</x:v>
      </x:c>
      <x:c r="T1775" t="n">
        <x:v>36</x:v>
      </x:c>
      <x:c r="U1775" t="str">
        <x:v>OK</x:v>
      </x:c>
      <x:c r="V1775" t="str">
        <x:v>OK</x:v>
      </x:c>
      <x:c r="W1775" t="str">
        <x:v>LOAD</x:v>
      </x:c>
      <x:c r="X1775" t="str">
        <x:v>02_Supervisor_Log(4).xlsx</x:v>
      </x:c>
      <x:c r="Y1775" t="str">
        <x:v>ENH-20260830-01</x:v>
      </x:c>
      <x:c r="Z1775" t="str">
        <x:v>Active</x:v>
      </x:c>
      <x:c r="AA1775"/>
      <x:c r="AB1775"/>
      <x:c r="AC1775"/>
      <x:c r="AD1775"/>
    </x:row>
    <x:row r="1776">
      <x:c r="A1776" t="str">
        <x:v>PCC-PE-KG01-L24-20251021-PM-ORD-2025-00125-S06-C2</x:v>
      </x:c>
      <x:c r="B1776" t="str">
        <x:v>PC-PE-KG01-L24-20251021-PM-ORD-2025-00125-S06</x:v>
      </x:c>
      <x:c r="C1776" t="str">
        <x:v>PE-KG01-L24-20251021-PM-ORD-2025-00125</x:v>
      </x:c>
      <x:c r="D1776" t="str">
        <x:v>KG01</x:v>
      </x:c>
      <x:c r="E1776" s="62" t="n">
        <x:v>45951</x:v>
      </x:c>
      <x:c r="F1776" t="str">
        <x:v>PM</x:v>
      </x:c>
      <x:c r="G1776" t="str">
        <x:v>B</x:v>
      </x:c>
      <x:c r="H1776" t="n">
        <x:v>24</x:v>
      </x:c>
      <x:c r="I1776" t="str">
        <x:v>ORD-2025-00125</x:v>
      </x:c>
      <x:c r="J1776" t="n">
        <x:v>6</x:v>
      </x:c>
      <x:c r="K1776" t="n">
        <x:v>2</x:v>
      </x:c>
      <x:c r="L1776" t="str">
        <x:v>L24-S06-C2</x:v>
      </x:c>
      <x:c r="M1776" t="n">
        <x:v>1</x:v>
      </x:c>
      <x:c r="N1776" t="str">
        <x:v>DerivedFromCount</x:v>
      </x:c>
      <x:c r="O1776" t="str">
        <x:v>PLC-PRD-JAR-330-L24</x:v>
      </x:c>
      <x:c r="P1776" t="str">
        <x:v>OK</x:v>
      </x:c>
      <x:c r="Q1776" t="str">
        <x:v>OK</x:v>
      </x:c>
      <x:c r="R1776" t="str">
        <x:v>OK</x:v>
      </x:c>
      <x:c r="S1776" t="str">
        <x:v>OK</x:v>
      </x:c>
      <x:c r="T1776" t="n">
        <x:v>36</x:v>
      </x:c>
      <x:c r="U1776" t="str">
        <x:v>OK</x:v>
      </x:c>
      <x:c r="V1776" t="str">
        <x:v>OK</x:v>
      </x:c>
      <x:c r="W1776" t="str">
        <x:v>LOAD</x:v>
      </x:c>
      <x:c r="X1776" t="str">
        <x:v>02_Supervisor_Log(4).xlsx</x:v>
      </x:c>
      <x:c r="Y1776" t="str">
        <x:v>ENH-20260830-01</x:v>
      </x:c>
      <x:c r="Z1776" t="str">
        <x:v>Active</x:v>
      </x:c>
      <x:c r="AA1776"/>
      <x:c r="AB1776"/>
      <x:c r="AC1776"/>
      <x:c r="AD1776"/>
    </x:row>
    <x:row r="1777">
      <x:c r="A1777" t="str">
        <x:v>PCC-PE-KG01-L24-20251021-PM-ORD-2025-00125-S06-C3</x:v>
      </x:c>
      <x:c r="B1777" t="str">
        <x:v>PC-PE-KG01-L24-20251021-PM-ORD-2025-00125-S06</x:v>
      </x:c>
      <x:c r="C1777" t="str">
        <x:v>PE-KG01-L24-20251021-PM-ORD-2025-00125</x:v>
      </x:c>
      <x:c r="D1777" t="str">
        <x:v>KG01</x:v>
      </x:c>
      <x:c r="E1777" s="62" t="n">
        <x:v>45951</x:v>
      </x:c>
      <x:c r="F1777" t="str">
        <x:v>PM</x:v>
      </x:c>
      <x:c r="G1777" t="str">
        <x:v>B</x:v>
      </x:c>
      <x:c r="H1777" t="n">
        <x:v>24</x:v>
      </x:c>
      <x:c r="I1777" t="str">
        <x:v>ORD-2025-00125</x:v>
      </x:c>
      <x:c r="J1777" t="n">
        <x:v>6</x:v>
      </x:c>
      <x:c r="K1777" t="n">
        <x:v>3</x:v>
      </x:c>
      <x:c r="L1777" t="str">
        <x:v>L24-S06-C3</x:v>
      </x:c>
      <x:c r="M1777" t="n">
        <x:v>1</x:v>
      </x:c>
      <x:c r="N1777" t="str">
        <x:v>DerivedFromCount</x:v>
      </x:c>
      <x:c r="O1777" t="str">
        <x:v>PLC-PRD-JAR-330-L24</x:v>
      </x:c>
      <x:c r="P1777" t="str">
        <x:v>OK</x:v>
      </x:c>
      <x:c r="Q1777" t="str">
        <x:v>OK</x:v>
      </x:c>
      <x:c r="R1777" t="str">
        <x:v>OK</x:v>
      </x:c>
      <x:c r="S1777" t="str">
        <x:v>OK</x:v>
      </x:c>
      <x:c r="T1777" t="n">
        <x:v>36</x:v>
      </x:c>
      <x:c r="U1777" t="str">
        <x:v>OK</x:v>
      </x:c>
      <x:c r="V1777" t="str">
        <x:v>OK</x:v>
      </x:c>
      <x:c r="W1777" t="str">
        <x:v>LOAD</x:v>
      </x:c>
      <x:c r="X1777" t="str">
        <x:v>02_Supervisor_Log(4).xlsx</x:v>
      </x:c>
      <x:c r="Y1777" t="str">
        <x:v>ENH-20260830-01</x:v>
      </x:c>
      <x:c r="Z1777" t="str">
        <x:v>Active</x:v>
      </x:c>
      <x:c r="AA1777"/>
      <x:c r="AB1777"/>
      <x:c r="AC1777"/>
      <x:c r="AD1777"/>
    </x:row>
    <x:row r="1778">
      <x:c r="A1778" t="str">
        <x:v>PCC-PE-KG01-L24-20251021-PM-ORD-2025-00125-S07-C1</x:v>
      </x:c>
      <x:c r="B1778" t="str">
        <x:v>PC-PE-KG01-L24-20251021-PM-ORD-2025-00125-S07</x:v>
      </x:c>
      <x:c r="C1778" t="str">
        <x:v>PE-KG01-L24-20251021-PM-ORD-2025-00125</x:v>
      </x:c>
      <x:c r="D1778" t="str">
        <x:v>KG01</x:v>
      </x:c>
      <x:c r="E1778" s="62" t="n">
        <x:v>45951</x:v>
      </x:c>
      <x:c r="F1778" t="str">
        <x:v>PM</x:v>
      </x:c>
      <x:c r="G1778" t="str">
        <x:v>B</x:v>
      </x:c>
      <x:c r="H1778" t="n">
        <x:v>24</x:v>
      </x:c>
      <x:c r="I1778" t="str">
        <x:v>ORD-2025-00125</x:v>
      </x:c>
      <x:c r="J1778" t="n">
        <x:v>7</x:v>
      </x:c>
      <x:c r="K1778" t="n">
        <x:v>1</x:v>
      </x:c>
      <x:c r="L1778" t="str">
        <x:v>L24-S07-C1</x:v>
      </x:c>
      <x:c r="M1778" t="n">
        <x:v>1</x:v>
      </x:c>
      <x:c r="N1778" t="str">
        <x:v>DerivedFromCount</x:v>
      </x:c>
      <x:c r="O1778" t="str">
        <x:v>PLC-PRD-JAR-330-L24</x:v>
      </x:c>
      <x:c r="P1778" t="str">
        <x:v>OK</x:v>
      </x:c>
      <x:c r="Q1778" t="str">
        <x:v>OK</x:v>
      </x:c>
      <x:c r="R1778" t="str">
        <x:v>OK</x:v>
      </x:c>
      <x:c r="S1778" t="str">
        <x:v>OK</x:v>
      </x:c>
      <x:c r="T1778" t="n">
        <x:v>36</x:v>
      </x:c>
      <x:c r="U1778" t="str">
        <x:v>OK</x:v>
      </x:c>
      <x:c r="V1778" t="str">
        <x:v>OK</x:v>
      </x:c>
      <x:c r="W1778" t="str">
        <x:v>LOAD</x:v>
      </x:c>
      <x:c r="X1778" t="str">
        <x:v>02_Supervisor_Log(4).xlsx</x:v>
      </x:c>
      <x:c r="Y1778" t="str">
        <x:v>ENH-20260830-01</x:v>
      </x:c>
      <x:c r="Z1778" t="str">
        <x:v>Active</x:v>
      </x:c>
      <x:c r="AA1778"/>
      <x:c r="AB1778"/>
      <x:c r="AC1778"/>
      <x:c r="AD1778"/>
    </x:row>
    <x:row r="1779">
      <x:c r="A1779" t="str">
        <x:v>PCC-PE-KG01-L24-20251021-PM-ORD-2025-00125-S07-C2</x:v>
      </x:c>
      <x:c r="B1779" t="str">
        <x:v>PC-PE-KG01-L24-20251021-PM-ORD-2025-00125-S07</x:v>
      </x:c>
      <x:c r="C1779" t="str">
        <x:v>PE-KG01-L24-20251021-PM-ORD-2025-00125</x:v>
      </x:c>
      <x:c r="D1779" t="str">
        <x:v>KG01</x:v>
      </x:c>
      <x:c r="E1779" s="62" t="n">
        <x:v>45951</x:v>
      </x:c>
      <x:c r="F1779" t="str">
        <x:v>PM</x:v>
      </x:c>
      <x:c r="G1779" t="str">
        <x:v>B</x:v>
      </x:c>
      <x:c r="H1779" t="n">
        <x:v>24</x:v>
      </x:c>
      <x:c r="I1779" t="str">
        <x:v>ORD-2025-00125</x:v>
      </x:c>
      <x:c r="J1779" t="n">
        <x:v>7</x:v>
      </x:c>
      <x:c r="K1779" t="n">
        <x:v>2</x:v>
      </x:c>
      <x:c r="L1779" t="str">
        <x:v>L24-S07-C2</x:v>
      </x:c>
      <x:c r="M1779" t="n">
        <x:v>1</x:v>
      </x:c>
      <x:c r="N1779" t="str">
        <x:v>DerivedFromCount</x:v>
      </x:c>
      <x:c r="O1779" t="str">
        <x:v>PLC-PRD-JAR-330-L24</x:v>
      </x:c>
      <x:c r="P1779" t="str">
        <x:v>OK</x:v>
      </x:c>
      <x:c r="Q1779" t="str">
        <x:v>OK</x:v>
      </x:c>
      <x:c r="R1779" t="str">
        <x:v>OK</x:v>
      </x:c>
      <x:c r="S1779" t="str">
        <x:v>OK</x:v>
      </x:c>
      <x:c r="T1779" t="n">
        <x:v>36</x:v>
      </x:c>
      <x:c r="U1779" t="str">
        <x:v>OK</x:v>
      </x:c>
      <x:c r="V1779" t="str">
        <x:v>OK</x:v>
      </x:c>
      <x:c r="W1779" t="str">
        <x:v>LOAD</x:v>
      </x:c>
      <x:c r="X1779" t="str">
        <x:v>02_Supervisor_Log(4).xlsx</x:v>
      </x:c>
      <x:c r="Y1779" t="str">
        <x:v>ENH-20260830-01</x:v>
      </x:c>
      <x:c r="Z1779" t="str">
        <x:v>Active</x:v>
      </x:c>
      <x:c r="AA1779"/>
      <x:c r="AB1779"/>
      <x:c r="AC1779"/>
      <x:c r="AD1779"/>
    </x:row>
    <x:row r="1780">
      <x:c r="A1780" t="str">
        <x:v>PCC-PE-KG01-L24-20251021-PM-ORD-2025-00125-S07-C3</x:v>
      </x:c>
      <x:c r="B1780" t="str">
        <x:v>PC-PE-KG01-L24-20251021-PM-ORD-2025-00125-S07</x:v>
      </x:c>
      <x:c r="C1780" t="str">
        <x:v>PE-KG01-L24-20251021-PM-ORD-2025-00125</x:v>
      </x:c>
      <x:c r="D1780" t="str">
        <x:v>KG01</x:v>
      </x:c>
      <x:c r="E1780" s="62" t="n">
        <x:v>45951</x:v>
      </x:c>
      <x:c r="F1780" t="str">
        <x:v>PM</x:v>
      </x:c>
      <x:c r="G1780" t="str">
        <x:v>B</x:v>
      </x:c>
      <x:c r="H1780" t="n">
        <x:v>24</x:v>
      </x:c>
      <x:c r="I1780" t="str">
        <x:v>ORD-2025-00125</x:v>
      </x:c>
      <x:c r="J1780" t="n">
        <x:v>7</x:v>
      </x:c>
      <x:c r="K1780" t="n">
        <x:v>3</x:v>
      </x:c>
      <x:c r="L1780" t="str">
        <x:v>L24-S07-C3</x:v>
      </x:c>
      <x:c r="M1780" t="n">
        <x:v>1</x:v>
      </x:c>
      <x:c r="N1780" t="str">
        <x:v>DerivedFromCount</x:v>
      </x:c>
      <x:c r="O1780" t="str">
        <x:v>PLC-PRD-JAR-330-L24</x:v>
      </x:c>
      <x:c r="P1780" t="str">
        <x:v>OK</x:v>
      </x:c>
      <x:c r="Q1780" t="str">
        <x:v>OK</x:v>
      </x:c>
      <x:c r="R1780" t="str">
        <x:v>OK</x:v>
      </x:c>
      <x:c r="S1780" t="str">
        <x:v>OK</x:v>
      </x:c>
      <x:c r="T1780" t="n">
        <x:v>36</x:v>
      </x:c>
      <x:c r="U1780" t="str">
        <x:v>OK</x:v>
      </x:c>
      <x:c r="V1780" t="str">
        <x:v>OK</x:v>
      </x:c>
      <x:c r="W1780" t="str">
        <x:v>LOAD</x:v>
      </x:c>
      <x:c r="X1780" t="str">
        <x:v>02_Supervisor_Log(4).xlsx</x:v>
      </x:c>
      <x:c r="Y1780" t="str">
        <x:v>ENH-20260830-01</x:v>
      </x:c>
      <x:c r="Z1780" t="str">
        <x:v>Active</x:v>
      </x:c>
      <x:c r="AA1780"/>
      <x:c r="AB1780"/>
      <x:c r="AC1780"/>
      <x:c r="AD1780"/>
    </x:row>
    <x:row r="1781">
      <x:c r="A1781" t="str">
        <x:v>PCC-PE-KG01-L24-20251021-PM-ORD-2025-00125-S08-C1</x:v>
      </x:c>
      <x:c r="B1781" t="str">
        <x:v>PC-PE-KG01-L24-20251021-PM-ORD-2025-00125-S08</x:v>
      </x:c>
      <x:c r="C1781" t="str">
        <x:v>PE-KG01-L24-20251021-PM-ORD-2025-00125</x:v>
      </x:c>
      <x:c r="D1781" t="str">
        <x:v>KG01</x:v>
      </x:c>
      <x:c r="E1781" s="62" t="n">
        <x:v>45951</x:v>
      </x:c>
      <x:c r="F1781" t="str">
        <x:v>PM</x:v>
      </x:c>
      <x:c r="G1781" t="str">
        <x:v>B</x:v>
      </x:c>
      <x:c r="H1781" t="n">
        <x:v>24</x:v>
      </x:c>
      <x:c r="I1781" t="str">
        <x:v>ORD-2025-00125</x:v>
      </x:c>
      <x:c r="J1781" t="n">
        <x:v>8</x:v>
      </x:c>
      <x:c r="K1781" t="n">
        <x:v>1</x:v>
      </x:c>
      <x:c r="L1781" t="str">
        <x:v>L24-S08-C1</x:v>
      </x:c>
      <x:c r="M1781" t="n">
        <x:v>1</x:v>
      </x:c>
      <x:c r="N1781" t="str">
        <x:v>DerivedFromCount</x:v>
      </x:c>
      <x:c r="O1781" t="str">
        <x:v>PLC-PRD-JAR-330-L24</x:v>
      </x:c>
      <x:c r="P1781" t="str">
        <x:v>OK</x:v>
      </x:c>
      <x:c r="Q1781" t="str">
        <x:v>OK</x:v>
      </x:c>
      <x:c r="R1781" t="str">
        <x:v>OK</x:v>
      </x:c>
      <x:c r="S1781" t="str">
        <x:v>OK</x:v>
      </x:c>
      <x:c r="T1781" t="n">
        <x:v>36</x:v>
      </x:c>
      <x:c r="U1781" t="str">
        <x:v>OK</x:v>
      </x:c>
      <x:c r="V1781" t="str">
        <x:v>OK</x:v>
      </x:c>
      <x:c r="W1781" t="str">
        <x:v>LOAD</x:v>
      </x:c>
      <x:c r="X1781" t="str">
        <x:v>02_Supervisor_Log(4).xlsx</x:v>
      </x:c>
      <x:c r="Y1781" t="str">
        <x:v>ENH-20260830-01</x:v>
      </x:c>
      <x:c r="Z1781" t="str">
        <x:v>Active</x:v>
      </x:c>
      <x:c r="AA1781"/>
      <x:c r="AB1781"/>
      <x:c r="AC1781"/>
      <x:c r="AD1781"/>
    </x:row>
    <x:row r="1782">
      <x:c r="A1782" t="str">
        <x:v>PCC-PE-KG01-L24-20251021-PM-ORD-2025-00125-S08-C2</x:v>
      </x:c>
      <x:c r="B1782" t="str">
        <x:v>PC-PE-KG01-L24-20251021-PM-ORD-2025-00125-S08</x:v>
      </x:c>
      <x:c r="C1782" t="str">
        <x:v>PE-KG01-L24-20251021-PM-ORD-2025-00125</x:v>
      </x:c>
      <x:c r="D1782" t="str">
        <x:v>KG01</x:v>
      </x:c>
      <x:c r="E1782" s="62" t="n">
        <x:v>45951</x:v>
      </x:c>
      <x:c r="F1782" t="str">
        <x:v>PM</x:v>
      </x:c>
      <x:c r="G1782" t="str">
        <x:v>B</x:v>
      </x:c>
      <x:c r="H1782" t="n">
        <x:v>24</x:v>
      </x:c>
      <x:c r="I1782" t="str">
        <x:v>ORD-2025-00125</x:v>
      </x:c>
      <x:c r="J1782" t="n">
        <x:v>8</x:v>
      </x:c>
      <x:c r="K1782" t="n">
        <x:v>2</x:v>
      </x:c>
      <x:c r="L1782" t="str">
        <x:v>L24-S08-C2</x:v>
      </x:c>
      <x:c r="M1782" t="n">
        <x:v>1</x:v>
      </x:c>
      <x:c r="N1782" t="str">
        <x:v>DerivedFromCount</x:v>
      </x:c>
      <x:c r="O1782" t="str">
        <x:v>PLC-PRD-JAR-330-L24</x:v>
      </x:c>
      <x:c r="P1782" t="str">
        <x:v>OK</x:v>
      </x:c>
      <x:c r="Q1782" t="str">
        <x:v>OK</x:v>
      </x:c>
      <x:c r="R1782" t="str">
        <x:v>OK</x:v>
      </x:c>
      <x:c r="S1782" t="str">
        <x:v>OK</x:v>
      </x:c>
      <x:c r="T1782" t="n">
        <x:v>36</x:v>
      </x:c>
      <x:c r="U1782" t="str">
        <x:v>OK</x:v>
      </x:c>
      <x:c r="V1782" t="str">
        <x:v>OK</x:v>
      </x:c>
      <x:c r="W1782" t="str">
        <x:v>LOAD</x:v>
      </x:c>
      <x:c r="X1782" t="str">
        <x:v>02_Supervisor_Log(4).xlsx</x:v>
      </x:c>
      <x:c r="Y1782" t="str">
        <x:v>ENH-20260830-01</x:v>
      </x:c>
      <x:c r="Z1782" t="str">
        <x:v>Active</x:v>
      </x:c>
      <x:c r="AA1782"/>
      <x:c r="AB1782"/>
      <x:c r="AC1782"/>
      <x:c r="AD1782"/>
    </x:row>
    <x:row r="1783">
      <x:c r="A1783" t="str">
        <x:v>PCC-PE-KG01-L24-20251021-PM-ORD-2025-00125-S08-C3</x:v>
      </x:c>
      <x:c r="B1783" t="str">
        <x:v>PC-PE-KG01-L24-20251021-PM-ORD-2025-00125-S08</x:v>
      </x:c>
      <x:c r="C1783" t="str">
        <x:v>PE-KG01-L24-20251021-PM-ORD-2025-00125</x:v>
      </x:c>
      <x:c r="D1783" t="str">
        <x:v>KG01</x:v>
      </x:c>
      <x:c r="E1783" s="62" t="n">
        <x:v>45951</x:v>
      </x:c>
      <x:c r="F1783" t="str">
        <x:v>PM</x:v>
      </x:c>
      <x:c r="G1783" t="str">
        <x:v>B</x:v>
      </x:c>
      <x:c r="H1783" t="n">
        <x:v>24</x:v>
      </x:c>
      <x:c r="I1783" t="str">
        <x:v>ORD-2025-00125</x:v>
      </x:c>
      <x:c r="J1783" t="n">
        <x:v>8</x:v>
      </x:c>
      <x:c r="K1783" t="n">
        <x:v>3</x:v>
      </x:c>
      <x:c r="L1783" t="str">
        <x:v>L24-S08-C3</x:v>
      </x:c>
      <x:c r="M1783" t="n">
        <x:v>1</x:v>
      </x:c>
      <x:c r="N1783" t="str">
        <x:v>DerivedFromCount</x:v>
      </x:c>
      <x:c r="O1783" t="str">
        <x:v>PLC-PRD-JAR-330-L24</x:v>
      </x:c>
      <x:c r="P1783" t="str">
        <x:v>OK</x:v>
      </x:c>
      <x:c r="Q1783" t="str">
        <x:v>OK</x:v>
      </x:c>
      <x:c r="R1783" t="str">
        <x:v>OK</x:v>
      </x:c>
      <x:c r="S1783" t="str">
        <x:v>OK</x:v>
      </x:c>
      <x:c r="T1783" t="n">
        <x:v>36</x:v>
      </x:c>
      <x:c r="U1783" t="str">
        <x:v>OK</x:v>
      </x:c>
      <x:c r="V1783" t="str">
        <x:v>OK</x:v>
      </x:c>
      <x:c r="W1783" t="str">
        <x:v>LOAD</x:v>
      </x:c>
      <x:c r="X1783" t="str">
        <x:v>02_Supervisor_Log(4).xlsx</x:v>
      </x:c>
      <x:c r="Y1783" t="str">
        <x:v>ENH-20260830-01</x:v>
      </x:c>
      <x:c r="Z1783" t="str">
        <x:v>Active</x:v>
      </x:c>
      <x:c r="AA1783"/>
      <x:c r="AB1783"/>
      <x:c r="AC1783"/>
      <x:c r="AD1783"/>
    </x:row>
    <x:row r="1784">
      <x:c r="A1784" t="str">
        <x:v>PCC-PE-KG01-L24-20251021-PM-ORD-2025-00125-S09-C1</x:v>
      </x:c>
      <x:c r="B1784" t="str">
        <x:v>PC-PE-KG01-L24-20251021-PM-ORD-2025-00125-S09</x:v>
      </x:c>
      <x:c r="C1784" t="str">
        <x:v>PE-KG01-L24-20251021-PM-ORD-2025-00125</x:v>
      </x:c>
      <x:c r="D1784" t="str">
        <x:v>KG01</x:v>
      </x:c>
      <x:c r="E1784" s="62" t="n">
        <x:v>45951</x:v>
      </x:c>
      <x:c r="F1784" t="str">
        <x:v>PM</x:v>
      </x:c>
      <x:c r="G1784" t="str">
        <x:v>B</x:v>
      </x:c>
      <x:c r="H1784" t="n">
        <x:v>24</x:v>
      </x:c>
      <x:c r="I1784" t="str">
        <x:v>ORD-2025-00125</x:v>
      </x:c>
      <x:c r="J1784" t="n">
        <x:v>9</x:v>
      </x:c>
      <x:c r="K1784" t="n">
        <x:v>1</x:v>
      </x:c>
      <x:c r="L1784" t="str">
        <x:v>L24-S09-C1</x:v>
      </x:c>
      <x:c r="M1784" t="n">
        <x:v>1</x:v>
      </x:c>
      <x:c r="N1784" t="str">
        <x:v>DerivedFromCount</x:v>
      </x:c>
      <x:c r="O1784" t="str">
        <x:v>PLC-PRD-JAR-330-L24</x:v>
      </x:c>
      <x:c r="P1784" t="str">
        <x:v>OK</x:v>
      </x:c>
      <x:c r="Q1784" t="str">
        <x:v>OK</x:v>
      </x:c>
      <x:c r="R1784" t="str">
        <x:v>OK</x:v>
      </x:c>
      <x:c r="S1784" t="str">
        <x:v>OK</x:v>
      </x:c>
      <x:c r="T1784" t="n">
        <x:v>36</x:v>
      </x:c>
      <x:c r="U1784" t="str">
        <x:v>OK</x:v>
      </x:c>
      <x:c r="V1784" t="str">
        <x:v>OK</x:v>
      </x:c>
      <x:c r="W1784" t="str">
        <x:v>LOAD</x:v>
      </x:c>
      <x:c r="X1784" t="str">
        <x:v>02_Supervisor_Log(4).xlsx</x:v>
      </x:c>
      <x:c r="Y1784" t="str">
        <x:v>ENH-20260830-01</x:v>
      </x:c>
      <x:c r="Z1784" t="str">
        <x:v>Active</x:v>
      </x:c>
      <x:c r="AA1784"/>
      <x:c r="AB1784"/>
      <x:c r="AC1784"/>
      <x:c r="AD1784"/>
    </x:row>
    <x:row r="1785">
      <x:c r="A1785" t="str">
        <x:v>PCC-PE-KG01-L24-20251021-PM-ORD-2025-00125-S09-C2</x:v>
      </x:c>
      <x:c r="B1785" t="str">
        <x:v>PC-PE-KG01-L24-20251021-PM-ORD-2025-00125-S09</x:v>
      </x:c>
      <x:c r="C1785" t="str">
        <x:v>PE-KG01-L24-20251021-PM-ORD-2025-00125</x:v>
      </x:c>
      <x:c r="D1785" t="str">
        <x:v>KG01</x:v>
      </x:c>
      <x:c r="E1785" s="62" t="n">
        <x:v>45951</x:v>
      </x:c>
      <x:c r="F1785" t="str">
        <x:v>PM</x:v>
      </x:c>
      <x:c r="G1785" t="str">
        <x:v>B</x:v>
      </x:c>
      <x:c r="H1785" t="n">
        <x:v>24</x:v>
      </x:c>
      <x:c r="I1785" t="str">
        <x:v>ORD-2025-00125</x:v>
      </x:c>
      <x:c r="J1785" t="n">
        <x:v>9</x:v>
      </x:c>
      <x:c r="K1785" t="n">
        <x:v>2</x:v>
      </x:c>
      <x:c r="L1785" t="str">
        <x:v>L24-S09-C2</x:v>
      </x:c>
      <x:c r="M1785" t="n">
        <x:v>1</x:v>
      </x:c>
      <x:c r="N1785" t="str">
        <x:v>DerivedFromCount</x:v>
      </x:c>
      <x:c r="O1785" t="str">
        <x:v>PLC-PRD-JAR-330-L24</x:v>
      </x:c>
      <x:c r="P1785" t="str">
        <x:v>OK</x:v>
      </x:c>
      <x:c r="Q1785" t="str">
        <x:v>OK</x:v>
      </x:c>
      <x:c r="R1785" t="str">
        <x:v>OK</x:v>
      </x:c>
      <x:c r="S1785" t="str">
        <x:v>OK</x:v>
      </x:c>
      <x:c r="T1785" t="n">
        <x:v>36</x:v>
      </x:c>
      <x:c r="U1785" t="str">
        <x:v>OK</x:v>
      </x:c>
      <x:c r="V1785" t="str">
        <x:v>OK</x:v>
      </x:c>
      <x:c r="W1785" t="str">
        <x:v>LOAD</x:v>
      </x:c>
      <x:c r="X1785" t="str">
        <x:v>02_Supervisor_Log(4).xlsx</x:v>
      </x:c>
      <x:c r="Y1785" t="str">
        <x:v>ENH-20260830-01</x:v>
      </x:c>
      <x:c r="Z1785" t="str">
        <x:v>Active</x:v>
      </x:c>
      <x:c r="AA1785"/>
      <x:c r="AB1785"/>
      <x:c r="AC1785"/>
      <x:c r="AD1785"/>
    </x:row>
    <x:row r="1786">
      <x:c r="A1786" t="str">
        <x:v>PCC-PE-KG01-L24-20251021-PM-ORD-2025-00125-S09-C3</x:v>
      </x:c>
      <x:c r="B1786" t="str">
        <x:v>PC-PE-KG01-L24-20251021-PM-ORD-2025-00125-S09</x:v>
      </x:c>
      <x:c r="C1786" t="str">
        <x:v>PE-KG01-L24-20251021-PM-ORD-2025-00125</x:v>
      </x:c>
      <x:c r="D1786" t="str">
        <x:v>KG01</x:v>
      </x:c>
      <x:c r="E1786" s="62" t="n">
        <x:v>45951</x:v>
      </x:c>
      <x:c r="F1786" t="str">
        <x:v>PM</x:v>
      </x:c>
      <x:c r="G1786" t="str">
        <x:v>B</x:v>
      </x:c>
      <x:c r="H1786" t="n">
        <x:v>24</x:v>
      </x:c>
      <x:c r="I1786" t="str">
        <x:v>ORD-2025-00125</x:v>
      </x:c>
      <x:c r="J1786" t="n">
        <x:v>9</x:v>
      </x:c>
      <x:c r="K1786" t="n">
        <x:v>3</x:v>
      </x:c>
      <x:c r="L1786" t="str">
        <x:v>L24-S09-C3</x:v>
      </x:c>
      <x:c r="M1786" t="n">
        <x:v>1</x:v>
      </x:c>
      <x:c r="N1786" t="str">
        <x:v>DerivedFromCount</x:v>
      </x:c>
      <x:c r="O1786" t="str">
        <x:v>PLC-PRD-JAR-330-L24</x:v>
      </x:c>
      <x:c r="P1786" t="str">
        <x:v>OK</x:v>
      </x:c>
      <x:c r="Q1786" t="str">
        <x:v>OK</x:v>
      </x:c>
      <x:c r="R1786" t="str">
        <x:v>OK</x:v>
      </x:c>
      <x:c r="S1786" t="str">
        <x:v>OK</x:v>
      </x:c>
      <x:c r="T1786" t="n">
        <x:v>36</x:v>
      </x:c>
      <x:c r="U1786" t="str">
        <x:v>OK</x:v>
      </x:c>
      <x:c r="V1786" t="str">
        <x:v>OK</x:v>
      </x:c>
      <x:c r="W1786" t="str">
        <x:v>LOAD</x:v>
      </x:c>
      <x:c r="X1786" t="str">
        <x:v>02_Supervisor_Log(4).xlsx</x:v>
      </x:c>
      <x:c r="Y1786" t="str">
        <x:v>ENH-20260830-01</x:v>
      </x:c>
      <x:c r="Z1786" t="str">
        <x:v>Active</x:v>
      </x:c>
      <x:c r="AA1786"/>
      <x:c r="AB1786"/>
      <x:c r="AC1786"/>
      <x:c r="AD1786"/>
    </x:row>
    <x:row r="1787">
      <x:c r="A1787" t="str">
        <x:v>PCC-PE-KG01-L24-20251021-PM-ORD-2025-00125-S10-C1</x:v>
      </x:c>
      <x:c r="B1787" t="str">
        <x:v>PC-PE-KG01-L24-20251021-PM-ORD-2025-00125-S10</x:v>
      </x:c>
      <x:c r="C1787" t="str">
        <x:v>PE-KG01-L24-20251021-PM-ORD-2025-00125</x:v>
      </x:c>
      <x:c r="D1787" t="str">
        <x:v>KG01</x:v>
      </x:c>
      <x:c r="E1787" s="62" t="n">
        <x:v>45951</x:v>
      </x:c>
      <x:c r="F1787" t="str">
        <x:v>PM</x:v>
      </x:c>
      <x:c r="G1787" t="str">
        <x:v>B</x:v>
      </x:c>
      <x:c r="H1787" t="n">
        <x:v>24</x:v>
      </x:c>
      <x:c r="I1787" t="str">
        <x:v>ORD-2025-00125</x:v>
      </x:c>
      <x:c r="J1787" t="n">
        <x:v>10</x:v>
      </x:c>
      <x:c r="K1787" t="n">
        <x:v>1</x:v>
      </x:c>
      <x:c r="L1787" t="str">
        <x:v>L24-S10-C1</x:v>
      </x:c>
      <x:c r="M1787" t="n">
        <x:v>1</x:v>
      </x:c>
      <x:c r="N1787" t="str">
        <x:v>DerivedFromCount</x:v>
      </x:c>
      <x:c r="O1787" t="str">
        <x:v>PLC-PRD-JAR-330-L24</x:v>
      </x:c>
      <x:c r="P1787" t="str">
        <x:v>OK</x:v>
      </x:c>
      <x:c r="Q1787" t="str">
        <x:v>OK</x:v>
      </x:c>
      <x:c r="R1787" t="str">
        <x:v>OK</x:v>
      </x:c>
      <x:c r="S1787" t="str">
        <x:v>OK</x:v>
      </x:c>
      <x:c r="T1787" t="n">
        <x:v>36</x:v>
      </x:c>
      <x:c r="U1787" t="str">
        <x:v>OK</x:v>
      </x:c>
      <x:c r="V1787" t="str">
        <x:v>OK</x:v>
      </x:c>
      <x:c r="W1787" t="str">
        <x:v>LOAD</x:v>
      </x:c>
      <x:c r="X1787" t="str">
        <x:v>02_Supervisor_Log(4).xlsx</x:v>
      </x:c>
      <x:c r="Y1787" t="str">
        <x:v>ENH-20260830-01</x:v>
      </x:c>
      <x:c r="Z1787" t="str">
        <x:v>Active</x:v>
      </x:c>
      <x:c r="AA1787"/>
      <x:c r="AB1787"/>
      <x:c r="AC1787"/>
      <x:c r="AD1787"/>
    </x:row>
    <x:row r="1788">
      <x:c r="A1788" t="str">
        <x:v>PCC-PE-KG01-L24-20251021-PM-ORD-2025-00125-S10-C2</x:v>
      </x:c>
      <x:c r="B1788" t="str">
        <x:v>PC-PE-KG01-L24-20251021-PM-ORD-2025-00125-S10</x:v>
      </x:c>
      <x:c r="C1788" t="str">
        <x:v>PE-KG01-L24-20251021-PM-ORD-2025-00125</x:v>
      </x:c>
      <x:c r="D1788" t="str">
        <x:v>KG01</x:v>
      </x:c>
      <x:c r="E1788" s="62" t="n">
        <x:v>45951</x:v>
      </x:c>
      <x:c r="F1788" t="str">
        <x:v>PM</x:v>
      </x:c>
      <x:c r="G1788" t="str">
        <x:v>B</x:v>
      </x:c>
      <x:c r="H1788" t="n">
        <x:v>24</x:v>
      </x:c>
      <x:c r="I1788" t="str">
        <x:v>ORD-2025-00125</x:v>
      </x:c>
      <x:c r="J1788" t="n">
        <x:v>10</x:v>
      </x:c>
      <x:c r="K1788" t="n">
        <x:v>2</x:v>
      </x:c>
      <x:c r="L1788" t="str">
        <x:v>L24-S10-C2</x:v>
      </x:c>
      <x:c r="M1788" t="n">
        <x:v>1</x:v>
      </x:c>
      <x:c r="N1788" t="str">
        <x:v>DerivedFromCount</x:v>
      </x:c>
      <x:c r="O1788" t="str">
        <x:v>PLC-PRD-JAR-330-L24</x:v>
      </x:c>
      <x:c r="P1788" t="str">
        <x:v>OK</x:v>
      </x:c>
      <x:c r="Q1788" t="str">
        <x:v>OK</x:v>
      </x:c>
      <x:c r="R1788" t="str">
        <x:v>OK</x:v>
      </x:c>
      <x:c r="S1788" t="str">
        <x:v>OK</x:v>
      </x:c>
      <x:c r="T1788" t="n">
        <x:v>36</x:v>
      </x:c>
      <x:c r="U1788" t="str">
        <x:v>OK</x:v>
      </x:c>
      <x:c r="V1788" t="str">
        <x:v>OK</x:v>
      </x:c>
      <x:c r="W1788" t="str">
        <x:v>LOAD</x:v>
      </x:c>
      <x:c r="X1788" t="str">
        <x:v>02_Supervisor_Log(4).xlsx</x:v>
      </x:c>
      <x:c r="Y1788" t="str">
        <x:v>ENH-20260830-01</x:v>
      </x:c>
      <x:c r="Z1788" t="str">
        <x:v>Active</x:v>
      </x:c>
      <x:c r="AA1788"/>
      <x:c r="AB1788"/>
      <x:c r="AC1788"/>
      <x:c r="AD1788"/>
    </x:row>
    <x:row r="1789">
      <x:c r="A1789" t="str">
        <x:v>PCC-PE-KG01-L24-20251021-PM-ORD-2025-00125-S10-C3</x:v>
      </x:c>
      <x:c r="B1789" t="str">
        <x:v>PC-PE-KG01-L24-20251021-PM-ORD-2025-00125-S10</x:v>
      </x:c>
      <x:c r="C1789" t="str">
        <x:v>PE-KG01-L24-20251021-PM-ORD-2025-00125</x:v>
      </x:c>
      <x:c r="D1789" t="str">
        <x:v>KG01</x:v>
      </x:c>
      <x:c r="E1789" s="62" t="n">
        <x:v>45951</x:v>
      </x:c>
      <x:c r="F1789" t="str">
        <x:v>PM</x:v>
      </x:c>
      <x:c r="G1789" t="str">
        <x:v>B</x:v>
      </x:c>
      <x:c r="H1789" t="n">
        <x:v>24</x:v>
      </x:c>
      <x:c r="I1789" t="str">
        <x:v>ORD-2025-00125</x:v>
      </x:c>
      <x:c r="J1789" t="n">
        <x:v>10</x:v>
      </x:c>
      <x:c r="K1789" t="n">
        <x:v>3</x:v>
      </x:c>
      <x:c r="L1789" t="str">
        <x:v>L24-S10-C3</x:v>
      </x:c>
      <x:c r="M1789" t="n">
        <x:v>1</x:v>
      </x:c>
      <x:c r="N1789" t="str">
        <x:v>DerivedFromCount</x:v>
      </x:c>
      <x:c r="O1789" t="str">
        <x:v>PLC-PRD-JAR-330-L24</x:v>
      </x:c>
      <x:c r="P1789" t="str">
        <x:v>OK</x:v>
      </x:c>
      <x:c r="Q1789" t="str">
        <x:v>OK</x:v>
      </x:c>
      <x:c r="R1789" t="str">
        <x:v>OK</x:v>
      </x:c>
      <x:c r="S1789" t="str">
        <x:v>OK</x:v>
      </x:c>
      <x:c r="T1789" t="n">
        <x:v>36</x:v>
      </x:c>
      <x:c r="U1789" t="str">
        <x:v>OK</x:v>
      </x:c>
      <x:c r="V1789" t="str">
        <x:v>OK</x:v>
      </x:c>
      <x:c r="W1789" t="str">
        <x:v>LOAD</x:v>
      </x:c>
      <x:c r="X1789" t="str">
        <x:v>02_Supervisor_Log(4).xlsx</x:v>
      </x:c>
      <x:c r="Y1789" t="str">
        <x:v>ENH-20260830-01</x:v>
      </x:c>
      <x:c r="Z1789" t="str">
        <x:v>Active</x:v>
      </x:c>
      <x:c r="AA1789"/>
      <x:c r="AB1789"/>
      <x:c r="AC1789"/>
      <x:c r="AD1789"/>
    </x:row>
    <x:row r="1790">
      <x:c r="A1790" t="str">
        <x:v>PCC-PE-KG01-L24-20251021-PM-ORD-2025-00125-S11-C1</x:v>
      </x:c>
      <x:c r="B1790" t="str">
        <x:v>PC-PE-KG01-L24-20251021-PM-ORD-2025-00125-S11</x:v>
      </x:c>
      <x:c r="C1790" t="str">
        <x:v>PE-KG01-L24-20251021-PM-ORD-2025-00125</x:v>
      </x:c>
      <x:c r="D1790" t="str">
        <x:v>KG01</x:v>
      </x:c>
      <x:c r="E1790" s="62" t="n">
        <x:v>45951</x:v>
      </x:c>
      <x:c r="F1790" t="str">
        <x:v>PM</x:v>
      </x:c>
      <x:c r="G1790" t="str">
        <x:v>B</x:v>
      </x:c>
      <x:c r="H1790" t="n">
        <x:v>24</x:v>
      </x:c>
      <x:c r="I1790" t="str">
        <x:v>ORD-2025-00125</x:v>
      </x:c>
      <x:c r="J1790" t="n">
        <x:v>11</x:v>
      </x:c>
      <x:c r="K1790" t="n">
        <x:v>1</x:v>
      </x:c>
      <x:c r="L1790" t="str">
        <x:v>L24-S11-C1</x:v>
      </x:c>
      <x:c r="M1790" t="n">
        <x:v>1</x:v>
      </x:c>
      <x:c r="N1790" t="str">
        <x:v>DerivedFromCount</x:v>
      </x:c>
      <x:c r="O1790" t="str">
        <x:v>PLC-PRD-JAR-330-L24</x:v>
      </x:c>
      <x:c r="P1790" t="str">
        <x:v>OK</x:v>
      </x:c>
      <x:c r="Q1790" t="str">
        <x:v>OK</x:v>
      </x:c>
      <x:c r="R1790" t="str">
        <x:v>OK</x:v>
      </x:c>
      <x:c r="S1790" t="str">
        <x:v>OK</x:v>
      </x:c>
      <x:c r="T1790" t="n">
        <x:v>36</x:v>
      </x:c>
      <x:c r="U1790" t="str">
        <x:v>OK</x:v>
      </x:c>
      <x:c r="V1790" t="str">
        <x:v>OK</x:v>
      </x:c>
      <x:c r="W1790" t="str">
        <x:v>LOAD</x:v>
      </x:c>
      <x:c r="X1790" t="str">
        <x:v>02_Supervisor_Log(4).xlsx</x:v>
      </x:c>
      <x:c r="Y1790" t="str">
        <x:v>ENH-20260830-01</x:v>
      </x:c>
      <x:c r="Z1790" t="str">
        <x:v>Active</x:v>
      </x:c>
      <x:c r="AA1790"/>
      <x:c r="AB1790"/>
      <x:c r="AC1790"/>
      <x:c r="AD1790"/>
    </x:row>
    <x:row r="1791">
      <x:c r="A1791" t="str">
        <x:v>PCC-PE-KG01-L24-20251021-PM-ORD-2025-00125-S11-C2</x:v>
      </x:c>
      <x:c r="B1791" t="str">
        <x:v>PC-PE-KG01-L24-20251021-PM-ORD-2025-00125-S11</x:v>
      </x:c>
      <x:c r="C1791" t="str">
        <x:v>PE-KG01-L24-20251021-PM-ORD-2025-00125</x:v>
      </x:c>
      <x:c r="D1791" t="str">
        <x:v>KG01</x:v>
      </x:c>
      <x:c r="E1791" s="62" t="n">
        <x:v>45951</x:v>
      </x:c>
      <x:c r="F1791" t="str">
        <x:v>PM</x:v>
      </x:c>
      <x:c r="G1791" t="str">
        <x:v>B</x:v>
      </x:c>
      <x:c r="H1791" t="n">
        <x:v>24</x:v>
      </x:c>
      <x:c r="I1791" t="str">
        <x:v>ORD-2025-00125</x:v>
      </x:c>
      <x:c r="J1791" t="n">
        <x:v>11</x:v>
      </x:c>
      <x:c r="K1791" t="n">
        <x:v>2</x:v>
      </x:c>
      <x:c r="L1791" t="str">
        <x:v>L24-S11-C2</x:v>
      </x:c>
      <x:c r="M1791" t="n">
        <x:v>1</x:v>
      </x:c>
      <x:c r="N1791" t="str">
        <x:v>DerivedFromCount</x:v>
      </x:c>
      <x:c r="O1791" t="str">
        <x:v>PLC-PRD-JAR-330-L24</x:v>
      </x:c>
      <x:c r="P1791" t="str">
        <x:v>OK</x:v>
      </x:c>
      <x:c r="Q1791" t="str">
        <x:v>OK</x:v>
      </x:c>
      <x:c r="R1791" t="str">
        <x:v>OK</x:v>
      </x:c>
      <x:c r="S1791" t="str">
        <x:v>OK</x:v>
      </x:c>
      <x:c r="T1791" t="n">
        <x:v>36</x:v>
      </x:c>
      <x:c r="U1791" t="str">
        <x:v>OK</x:v>
      </x:c>
      <x:c r="V1791" t="str">
        <x:v>OK</x:v>
      </x:c>
      <x:c r="W1791" t="str">
        <x:v>LOAD</x:v>
      </x:c>
      <x:c r="X1791" t="str">
        <x:v>02_Supervisor_Log(4).xlsx</x:v>
      </x:c>
      <x:c r="Y1791" t="str">
        <x:v>ENH-20260830-01</x:v>
      </x:c>
      <x:c r="Z1791" t="str">
        <x:v>Active</x:v>
      </x:c>
      <x:c r="AA1791"/>
      <x:c r="AB1791"/>
      <x:c r="AC1791"/>
      <x:c r="AD1791"/>
    </x:row>
    <x:row r="1792">
      <x:c r="A1792" t="str">
        <x:v>PCC-PE-KG01-L24-20251021-PM-ORD-2025-00125-S11-C3</x:v>
      </x:c>
      <x:c r="B1792" t="str">
        <x:v>PC-PE-KG01-L24-20251021-PM-ORD-2025-00125-S11</x:v>
      </x:c>
      <x:c r="C1792" t="str">
        <x:v>PE-KG01-L24-20251021-PM-ORD-2025-00125</x:v>
      </x:c>
      <x:c r="D1792" t="str">
        <x:v>KG01</x:v>
      </x:c>
      <x:c r="E1792" s="62" t="n">
        <x:v>45951</x:v>
      </x:c>
      <x:c r="F1792" t="str">
        <x:v>PM</x:v>
      </x:c>
      <x:c r="G1792" t="str">
        <x:v>B</x:v>
      </x:c>
      <x:c r="H1792" t="n">
        <x:v>24</x:v>
      </x:c>
      <x:c r="I1792" t="str">
        <x:v>ORD-2025-00125</x:v>
      </x:c>
      <x:c r="J1792" t="n">
        <x:v>11</x:v>
      </x:c>
      <x:c r="K1792" t="n">
        <x:v>3</x:v>
      </x:c>
      <x:c r="L1792" t="str">
        <x:v>L24-S11-C3</x:v>
      </x:c>
      <x:c r="M1792" t="n">
        <x:v>1</x:v>
      </x:c>
      <x:c r="N1792" t="str">
        <x:v>DerivedFromCount</x:v>
      </x:c>
      <x:c r="O1792" t="str">
        <x:v>PLC-PRD-JAR-330-L24</x:v>
      </x:c>
      <x:c r="P1792" t="str">
        <x:v>OK</x:v>
      </x:c>
      <x:c r="Q1792" t="str">
        <x:v>OK</x:v>
      </x:c>
      <x:c r="R1792" t="str">
        <x:v>OK</x:v>
      </x:c>
      <x:c r="S1792" t="str">
        <x:v>OK</x:v>
      </x:c>
      <x:c r="T1792" t="n">
        <x:v>36</x:v>
      </x:c>
      <x:c r="U1792" t="str">
        <x:v>OK</x:v>
      </x:c>
      <x:c r="V1792" t="str">
        <x:v>OK</x:v>
      </x:c>
      <x:c r="W1792" t="str">
        <x:v>LOAD</x:v>
      </x:c>
      <x:c r="X1792" t="str">
        <x:v>02_Supervisor_Log(4).xlsx</x:v>
      </x:c>
      <x:c r="Y1792" t="str">
        <x:v>ENH-20260830-01</x:v>
      </x:c>
      <x:c r="Z1792" t="str">
        <x:v>Active</x:v>
      </x:c>
      <x:c r="AA1792"/>
      <x:c r="AB1792"/>
      <x:c r="AC1792"/>
      <x:c r="AD1792"/>
    </x:row>
    <x:row r="1793">
      <x:c r="A1793" t="str">
        <x:v>PCC-PE-KG01-L24-20251021-PM-ORD-2025-00125-S12-C1</x:v>
      </x:c>
      <x:c r="B1793" t="str">
        <x:v>PC-PE-KG01-L24-20251021-PM-ORD-2025-00125-S12</x:v>
      </x:c>
      <x:c r="C1793" t="str">
        <x:v>PE-KG01-L24-20251021-PM-ORD-2025-00125</x:v>
      </x:c>
      <x:c r="D1793" t="str">
        <x:v>KG01</x:v>
      </x:c>
      <x:c r="E1793" s="62" t="n">
        <x:v>45951</x:v>
      </x:c>
      <x:c r="F1793" t="str">
        <x:v>PM</x:v>
      </x:c>
      <x:c r="G1793" t="str">
        <x:v>B</x:v>
      </x:c>
      <x:c r="H1793" t="n">
        <x:v>24</x:v>
      </x:c>
      <x:c r="I1793" t="str">
        <x:v>ORD-2025-00125</x:v>
      </x:c>
      <x:c r="J1793" t="n">
        <x:v>12</x:v>
      </x:c>
      <x:c r="K1793" t="n">
        <x:v>1</x:v>
      </x:c>
      <x:c r="L1793" t="str">
        <x:v>L24-S12-C1</x:v>
      </x:c>
      <x:c r="M1793" t="n">
        <x:v>1</x:v>
      </x:c>
      <x:c r="N1793" t="str">
        <x:v>DerivedFromCount</x:v>
      </x:c>
      <x:c r="O1793" t="str">
        <x:v>PLC-PRD-JAR-330-L24</x:v>
      </x:c>
      <x:c r="P1793" t="str">
        <x:v>OK</x:v>
      </x:c>
      <x:c r="Q1793" t="str">
        <x:v>OK</x:v>
      </x:c>
      <x:c r="R1793" t="str">
        <x:v>OK</x:v>
      </x:c>
      <x:c r="S1793" t="str">
        <x:v>OK</x:v>
      </x:c>
      <x:c r="T1793" t="n">
        <x:v>36</x:v>
      </x:c>
      <x:c r="U1793" t="str">
        <x:v>OK</x:v>
      </x:c>
      <x:c r="V1793" t="str">
        <x:v>OK</x:v>
      </x:c>
      <x:c r="W1793" t="str">
        <x:v>LOAD</x:v>
      </x:c>
      <x:c r="X1793" t="str">
        <x:v>02_Supervisor_Log(4).xlsx</x:v>
      </x:c>
      <x:c r="Y1793" t="str">
        <x:v>ENH-20260830-01</x:v>
      </x:c>
      <x:c r="Z1793" t="str">
        <x:v>Active</x:v>
      </x:c>
      <x:c r="AA1793"/>
      <x:c r="AB1793"/>
      <x:c r="AC1793"/>
      <x:c r="AD1793"/>
    </x:row>
    <x:row r="1794">
      <x:c r="A1794" t="str">
        <x:v>PCC-PE-KG01-L24-20251021-PM-ORD-2025-00125-S12-C2</x:v>
      </x:c>
      <x:c r="B1794" t="str">
        <x:v>PC-PE-KG01-L24-20251021-PM-ORD-2025-00125-S12</x:v>
      </x:c>
      <x:c r="C1794" t="str">
        <x:v>PE-KG01-L24-20251021-PM-ORD-2025-00125</x:v>
      </x:c>
      <x:c r="D1794" t="str">
        <x:v>KG01</x:v>
      </x:c>
      <x:c r="E1794" s="62" t="n">
        <x:v>45951</x:v>
      </x:c>
      <x:c r="F1794" t="str">
        <x:v>PM</x:v>
      </x:c>
      <x:c r="G1794" t="str">
        <x:v>B</x:v>
      </x:c>
      <x:c r="H1794" t="n">
        <x:v>24</x:v>
      </x:c>
      <x:c r="I1794" t="str">
        <x:v>ORD-2025-00125</x:v>
      </x:c>
      <x:c r="J1794" t="n">
        <x:v>12</x:v>
      </x:c>
      <x:c r="K1794" t="n">
        <x:v>2</x:v>
      </x:c>
      <x:c r="L1794" t="str">
        <x:v>L24-S12-C2</x:v>
      </x:c>
      <x:c r="M1794" t="n">
        <x:v>1</x:v>
      </x:c>
      <x:c r="N1794" t="str">
        <x:v>DerivedFromCount</x:v>
      </x:c>
      <x:c r="O1794" t="str">
        <x:v>PLC-PRD-JAR-330-L24</x:v>
      </x:c>
      <x:c r="P1794" t="str">
        <x:v>OK</x:v>
      </x:c>
      <x:c r="Q1794" t="str">
        <x:v>OK</x:v>
      </x:c>
      <x:c r="R1794" t="str">
        <x:v>OK</x:v>
      </x:c>
      <x:c r="S1794" t="str">
        <x:v>OK</x:v>
      </x:c>
      <x:c r="T1794" t="n">
        <x:v>36</x:v>
      </x:c>
      <x:c r="U1794" t="str">
        <x:v>OK</x:v>
      </x:c>
      <x:c r="V1794" t="str">
        <x:v>OK</x:v>
      </x:c>
      <x:c r="W1794" t="str">
        <x:v>LOAD</x:v>
      </x:c>
      <x:c r="X1794" t="str">
        <x:v>02_Supervisor_Log(4).xlsx</x:v>
      </x:c>
      <x:c r="Y1794" t="str">
        <x:v>ENH-20260830-01</x:v>
      </x:c>
      <x:c r="Z1794" t="str">
        <x:v>Active</x:v>
      </x:c>
      <x:c r="AA1794"/>
      <x:c r="AB1794"/>
      <x:c r="AC1794"/>
      <x:c r="AD1794"/>
    </x:row>
    <x:row r="1795">
      <x:c r="A1795" t="str">
        <x:v>PCC-PE-KG01-L24-20251021-PM-ORD-2025-00125-S12-C3</x:v>
      </x:c>
      <x:c r="B1795" t="str">
        <x:v>PC-PE-KG01-L24-20251021-PM-ORD-2025-00125-S12</x:v>
      </x:c>
      <x:c r="C1795" t="str">
        <x:v>PE-KG01-L24-20251021-PM-ORD-2025-00125</x:v>
      </x:c>
      <x:c r="D1795" t="str">
        <x:v>KG01</x:v>
      </x:c>
      <x:c r="E1795" s="62" t="n">
        <x:v>45951</x:v>
      </x:c>
      <x:c r="F1795" t="str">
        <x:v>PM</x:v>
      </x:c>
      <x:c r="G1795" t="str">
        <x:v>B</x:v>
      </x:c>
      <x:c r="H1795" t="n">
        <x:v>24</x:v>
      </x:c>
      <x:c r="I1795" t="str">
        <x:v>ORD-2025-00125</x:v>
      </x:c>
      <x:c r="J1795" t="n">
        <x:v>12</x:v>
      </x:c>
      <x:c r="K1795" t="n">
        <x:v>3</x:v>
      </x:c>
      <x:c r="L1795" t="str">
        <x:v>L24-S12-C3</x:v>
      </x:c>
      <x:c r="M1795" t="n">
        <x:v>1</x:v>
      </x:c>
      <x:c r="N1795" t="str">
        <x:v>DerivedFromCount</x:v>
      </x:c>
      <x:c r="O1795" t="str">
        <x:v>PLC-PRD-JAR-330-L24</x:v>
      </x:c>
      <x:c r="P1795" t="str">
        <x:v>OK</x:v>
      </x:c>
      <x:c r="Q1795" t="str">
        <x:v>OK</x:v>
      </x:c>
      <x:c r="R1795" t="str">
        <x:v>OK</x:v>
      </x:c>
      <x:c r="S1795" t="str">
        <x:v>OK</x:v>
      </x:c>
      <x:c r="T1795" t="n">
        <x:v>36</x:v>
      </x:c>
      <x:c r="U1795" t="str">
        <x:v>OK</x:v>
      </x:c>
      <x:c r="V1795" t="str">
        <x:v>OK</x:v>
      </x:c>
      <x:c r="W1795" t="str">
        <x:v>LOAD</x:v>
      </x:c>
      <x:c r="X1795" t="str">
        <x:v>02_Supervisor_Log(4).xlsx</x:v>
      </x:c>
      <x:c r="Y1795" t="str">
        <x:v>ENH-20260830-01</x:v>
      </x:c>
      <x:c r="Z1795" t="str">
        <x:v>Active</x:v>
      </x:c>
      <x:c r="AA1795"/>
      <x:c r="AB1795"/>
      <x:c r="AC1795"/>
      <x:c r="AD1795"/>
    </x:row>
    <x:row r="1796">
      <x:c r="A1796" t="str">
        <x:v>PCC-PE-KG01-L24-20251021-PM-ORD-2025-00125-S13-C1</x:v>
      </x:c>
      <x:c r="B1796" t="str">
        <x:v>PC-PE-KG01-L24-20251021-PM-ORD-2025-00125-S13</x:v>
      </x:c>
      <x:c r="C1796" t="str">
        <x:v>PE-KG01-L24-20251021-PM-ORD-2025-00125</x:v>
      </x:c>
      <x:c r="D1796" t="str">
        <x:v>KG01</x:v>
      </x:c>
      <x:c r="E1796" s="62" t="n">
        <x:v>45951</x:v>
      </x:c>
      <x:c r="F1796" t="str">
        <x:v>PM</x:v>
      </x:c>
      <x:c r="G1796" t="str">
        <x:v>B</x:v>
      </x:c>
      <x:c r="H1796" t="n">
        <x:v>24</x:v>
      </x:c>
      <x:c r="I1796" t="str">
        <x:v>ORD-2025-00125</x:v>
      </x:c>
      <x:c r="J1796" t="n">
        <x:v>13</x:v>
      </x:c>
      <x:c r="K1796" t="n">
        <x:v>1</x:v>
      </x:c>
      <x:c r="L1796" t="str">
        <x:v>L24-S13-C1</x:v>
      </x:c>
      <x:c r="M1796" t="n">
        <x:v>0</x:v>
      </x:c>
      <x:c r="N1796" t="str">
        <x:v>DerivedFromCount</x:v>
      </x:c>
      <x:c r="O1796" t="str">
        <x:v>PLC-PRD-JAR-330-L24</x:v>
      </x:c>
      <x:c r="P1796" t="str">
        <x:v>OK</x:v>
      </x:c>
      <x:c r="Q1796" t="str">
        <x:v>OK</x:v>
      </x:c>
      <x:c r="R1796" t="str">
        <x:v>OK</x:v>
      </x:c>
      <x:c r="S1796" t="str">
        <x:v>OK</x:v>
      </x:c>
      <x:c r="T1796" t="n">
        <x:v>36</x:v>
      </x:c>
      <x:c r="U1796" t="str">
        <x:v>OK</x:v>
      </x:c>
      <x:c r="V1796" t="str">
        <x:v>OK</x:v>
      </x:c>
      <x:c r="W1796" t="str">
        <x:v>LOAD</x:v>
      </x:c>
      <x:c r="X1796" t="str">
        <x:v>02_Supervisor_Log(4).xlsx</x:v>
      </x:c>
      <x:c r="Y1796" t="str">
        <x:v>ENH-20260830-01</x:v>
      </x:c>
      <x:c r="Z1796" t="str">
        <x:v>Active</x:v>
      </x:c>
      <x:c r="AA1796"/>
      <x:c r="AB1796"/>
      <x:c r="AC1796"/>
      <x:c r="AD1796"/>
    </x:row>
    <x:row r="1797">
      <x:c r="A1797" t="str">
        <x:v>PCC-PE-KG01-L24-20251021-PM-ORD-2025-00125-S13-C2</x:v>
      </x:c>
      <x:c r="B1797" t="str">
        <x:v>PC-PE-KG01-L24-20251021-PM-ORD-2025-00125-S13</x:v>
      </x:c>
      <x:c r="C1797" t="str">
        <x:v>PE-KG01-L24-20251021-PM-ORD-2025-00125</x:v>
      </x:c>
      <x:c r="D1797" t="str">
        <x:v>KG01</x:v>
      </x:c>
      <x:c r="E1797" s="62" t="n">
        <x:v>45951</x:v>
      </x:c>
      <x:c r="F1797" t="str">
        <x:v>PM</x:v>
      </x:c>
      <x:c r="G1797" t="str">
        <x:v>B</x:v>
      </x:c>
      <x:c r="H1797" t="n">
        <x:v>24</x:v>
      </x:c>
      <x:c r="I1797" t="str">
        <x:v>ORD-2025-00125</x:v>
      </x:c>
      <x:c r="J1797" t="n">
        <x:v>13</x:v>
      </x:c>
      <x:c r="K1797" t="n">
        <x:v>2</x:v>
      </x:c>
      <x:c r="L1797" t="str">
        <x:v>L24-S13-C2</x:v>
      </x:c>
      <x:c r="M1797" t="n">
        <x:v>0</x:v>
      </x:c>
      <x:c r="N1797" t="str">
        <x:v>DerivedFromCount</x:v>
      </x:c>
      <x:c r="O1797" t="str">
        <x:v>PLC-PRD-JAR-330-L24</x:v>
      </x:c>
      <x:c r="P1797" t="str">
        <x:v>OK</x:v>
      </x:c>
      <x:c r="Q1797" t="str">
        <x:v>OK</x:v>
      </x:c>
      <x:c r="R1797" t="str">
        <x:v>OK</x:v>
      </x:c>
      <x:c r="S1797" t="str">
        <x:v>OK</x:v>
      </x:c>
      <x:c r="T1797" t="n">
        <x:v>36</x:v>
      </x:c>
      <x:c r="U1797" t="str">
        <x:v>OK</x:v>
      </x:c>
      <x:c r="V1797" t="str">
        <x:v>OK</x:v>
      </x:c>
      <x:c r="W1797" t="str">
        <x:v>LOAD</x:v>
      </x:c>
      <x:c r="X1797" t="str">
        <x:v>02_Supervisor_Log(4).xlsx</x:v>
      </x:c>
      <x:c r="Y1797" t="str">
        <x:v>ENH-20260830-01</x:v>
      </x:c>
      <x:c r="Z1797" t="str">
        <x:v>Active</x:v>
      </x:c>
      <x:c r="AA1797"/>
      <x:c r="AB1797"/>
      <x:c r="AC1797"/>
      <x:c r="AD1797"/>
    </x:row>
    <x:row r="1798">
      <x:c r="A1798" t="str">
        <x:v>PCC-PE-KG01-L24-20251021-PM-ORD-2025-00125-S13-C3</x:v>
      </x:c>
      <x:c r="B1798" t="str">
        <x:v>PC-PE-KG01-L24-20251021-PM-ORD-2025-00125-S13</x:v>
      </x:c>
      <x:c r="C1798" t="str">
        <x:v>PE-KG01-L24-20251021-PM-ORD-2025-00125</x:v>
      </x:c>
      <x:c r="D1798" t="str">
        <x:v>KG01</x:v>
      </x:c>
      <x:c r="E1798" s="62" t="n">
        <x:v>45951</x:v>
      </x:c>
      <x:c r="F1798" t="str">
        <x:v>PM</x:v>
      </x:c>
      <x:c r="G1798" t="str">
        <x:v>B</x:v>
      </x:c>
      <x:c r="H1798" t="n">
        <x:v>24</x:v>
      </x:c>
      <x:c r="I1798" t="str">
        <x:v>ORD-2025-00125</x:v>
      </x:c>
      <x:c r="J1798" t="n">
        <x:v>13</x:v>
      </x:c>
      <x:c r="K1798" t="n">
        <x:v>3</x:v>
      </x:c>
      <x:c r="L1798" t="str">
        <x:v>L24-S13-C3</x:v>
      </x:c>
      <x:c r="M1798" t="n">
        <x:v>0</x:v>
      </x:c>
      <x:c r="N1798" t="str">
        <x:v>DerivedFromCount</x:v>
      </x:c>
      <x:c r="O1798" t="str">
        <x:v>PLC-PRD-JAR-330-L24</x:v>
      </x:c>
      <x:c r="P1798" t="str">
        <x:v>OK</x:v>
      </x:c>
      <x:c r="Q1798" t="str">
        <x:v>OK</x:v>
      </x:c>
      <x:c r="R1798" t="str">
        <x:v>OK</x:v>
      </x:c>
      <x:c r="S1798" t="str">
        <x:v>OK</x:v>
      </x:c>
      <x:c r="T1798" t="n">
        <x:v>36</x:v>
      </x:c>
      <x:c r="U1798" t="str">
        <x:v>OK</x:v>
      </x:c>
      <x:c r="V1798" t="str">
        <x:v>OK</x:v>
      </x:c>
      <x:c r="W1798" t="str">
        <x:v>LOAD</x:v>
      </x:c>
      <x:c r="X1798" t="str">
        <x:v>02_Supervisor_Log(4).xlsx</x:v>
      </x:c>
      <x:c r="Y1798" t="str">
        <x:v>ENH-20260830-01</x:v>
      </x:c>
      <x:c r="Z1798" t="str">
        <x:v>Active</x:v>
      </x:c>
      <x:c r="AA1798"/>
      <x:c r="AB1798"/>
      <x:c r="AC1798"/>
      <x:c r="AD1798"/>
    </x:row>
    <x:row r="1799">
      <x:c r="A1799" t="str">
        <x:v>PCC-PE-KG01-L24-20251022-AM-ORD-2025-00125-S01-C1</x:v>
      </x:c>
      <x:c r="B1799" t="str">
        <x:v>PC-PE-KG01-L24-20251022-AM-ORD-2025-00125-S01</x:v>
      </x:c>
      <x:c r="C1799" t="str">
        <x:v>PE-KG01-L24-20251022-AM-ORD-2025-00125</x:v>
      </x:c>
      <x:c r="D1799" t="str">
        <x:v>KG01</x:v>
      </x:c>
      <x:c r="E1799" s="62" t="n">
        <x:v>45952</x:v>
      </x:c>
      <x:c r="F1799" t="str">
        <x:v>AM</x:v>
      </x:c>
      <x:c r="G1799" t="str">
        <x:v>B</x:v>
      </x:c>
      <x:c r="H1799" t="n">
        <x:v>24</x:v>
      </x:c>
      <x:c r="I1799" t="str">
        <x:v>ORD-2025-00125</x:v>
      </x:c>
      <x:c r="J1799" t="n">
        <x:v>1</x:v>
      </x:c>
      <x:c r="K1799" t="n">
        <x:v>1</x:v>
      </x:c>
      <x:c r="L1799" t="str">
        <x:v>L24-S01-C1</x:v>
      </x:c>
      <x:c r="M1799" t="n">
        <x:v>1</x:v>
      </x:c>
      <x:c r="N1799" t="str">
        <x:v>DerivedFromCount</x:v>
      </x:c>
      <x:c r="O1799" t="str">
        <x:v>PLC-PRD-JAR-330-L24</x:v>
      </x:c>
      <x:c r="P1799" t="str">
        <x:v>OK</x:v>
      </x:c>
      <x:c r="Q1799" t="str">
        <x:v>OK</x:v>
      </x:c>
      <x:c r="R1799" t="str">
        <x:v>OK</x:v>
      </x:c>
      <x:c r="S1799" t="str">
        <x:v>OK</x:v>
      </x:c>
      <x:c r="T1799" t="n">
        <x:v>36</x:v>
      </x:c>
      <x:c r="U1799" t="str">
        <x:v>OK</x:v>
      </x:c>
      <x:c r="V1799" t="str">
        <x:v>OK</x:v>
      </x:c>
      <x:c r="W1799" t="str">
        <x:v>LOAD</x:v>
      </x:c>
      <x:c r="X1799" t="str">
        <x:v>02_Supervisor_Log(4).xlsx</x:v>
      </x:c>
      <x:c r="Y1799" t="str">
        <x:v>ENH-20260830-01</x:v>
      </x:c>
      <x:c r="Z1799" t="str">
        <x:v>Active</x:v>
      </x:c>
      <x:c r="AA1799"/>
      <x:c r="AB1799"/>
      <x:c r="AC1799"/>
      <x:c r="AD1799"/>
    </x:row>
    <x:row r="1800">
      <x:c r="A1800" t="str">
        <x:v>PCC-PE-KG01-L24-20251022-AM-ORD-2025-00125-S01-C2</x:v>
      </x:c>
      <x:c r="B1800" t="str">
        <x:v>PC-PE-KG01-L24-20251022-AM-ORD-2025-00125-S01</x:v>
      </x:c>
      <x:c r="C1800" t="str">
        <x:v>PE-KG01-L24-20251022-AM-ORD-2025-00125</x:v>
      </x:c>
      <x:c r="D1800" t="str">
        <x:v>KG01</x:v>
      </x:c>
      <x:c r="E1800" s="62" t="n">
        <x:v>45952</x:v>
      </x:c>
      <x:c r="F1800" t="str">
        <x:v>AM</x:v>
      </x:c>
      <x:c r="G1800" t="str">
        <x:v>B</x:v>
      </x:c>
      <x:c r="H1800" t="n">
        <x:v>24</x:v>
      </x:c>
      <x:c r="I1800" t="str">
        <x:v>ORD-2025-00125</x:v>
      </x:c>
      <x:c r="J1800" t="n">
        <x:v>1</x:v>
      </x:c>
      <x:c r="K1800" t="n">
        <x:v>2</x:v>
      </x:c>
      <x:c r="L1800" t="str">
        <x:v>L24-S01-C2</x:v>
      </x:c>
      <x:c r="M1800" t="n">
        <x:v>1</x:v>
      </x:c>
      <x:c r="N1800" t="str">
        <x:v>DerivedFromCount</x:v>
      </x:c>
      <x:c r="O1800" t="str">
        <x:v>PLC-PRD-JAR-330-L24</x:v>
      </x:c>
      <x:c r="P1800" t="str">
        <x:v>OK</x:v>
      </x:c>
      <x:c r="Q1800" t="str">
        <x:v>OK</x:v>
      </x:c>
      <x:c r="R1800" t="str">
        <x:v>OK</x:v>
      </x:c>
      <x:c r="S1800" t="str">
        <x:v>OK</x:v>
      </x:c>
      <x:c r="T1800" t="n">
        <x:v>36</x:v>
      </x:c>
      <x:c r="U1800" t="str">
        <x:v>OK</x:v>
      </x:c>
      <x:c r="V1800" t="str">
        <x:v>OK</x:v>
      </x:c>
      <x:c r="W1800" t="str">
        <x:v>LOAD</x:v>
      </x:c>
      <x:c r="X1800" t="str">
        <x:v>02_Supervisor_Log(4).xlsx</x:v>
      </x:c>
      <x:c r="Y1800" t="str">
        <x:v>ENH-20260830-01</x:v>
      </x:c>
      <x:c r="Z1800" t="str">
        <x:v>Active</x:v>
      </x:c>
      <x:c r="AA1800"/>
      <x:c r="AB1800"/>
      <x:c r="AC1800"/>
      <x:c r="AD1800"/>
    </x:row>
    <x:row r="1801">
      <x:c r="A1801" t="str">
        <x:v>PCC-PE-KG01-L24-20251022-AM-ORD-2025-00125-S01-C3</x:v>
      </x:c>
      <x:c r="B1801" t="str">
        <x:v>PC-PE-KG01-L24-20251022-AM-ORD-2025-00125-S01</x:v>
      </x:c>
      <x:c r="C1801" t="str">
        <x:v>PE-KG01-L24-20251022-AM-ORD-2025-00125</x:v>
      </x:c>
      <x:c r="D1801" t="str">
        <x:v>KG01</x:v>
      </x:c>
      <x:c r="E1801" s="62" t="n">
        <x:v>45952</x:v>
      </x:c>
      <x:c r="F1801" t="str">
        <x:v>AM</x:v>
      </x:c>
      <x:c r="G1801" t="str">
        <x:v>B</x:v>
      </x:c>
      <x:c r="H1801" t="n">
        <x:v>24</x:v>
      </x:c>
      <x:c r="I1801" t="str">
        <x:v>ORD-2025-00125</x:v>
      </x:c>
      <x:c r="J1801" t="n">
        <x:v>1</x:v>
      </x:c>
      <x:c r="K1801" t="n">
        <x:v>3</x:v>
      </x:c>
      <x:c r="L1801" t="str">
        <x:v>L24-S01-C3</x:v>
      </x:c>
      <x:c r="M1801" t="n">
        <x:v>1</x:v>
      </x:c>
      <x:c r="N1801" t="str">
        <x:v>DerivedFromCount</x:v>
      </x:c>
      <x:c r="O1801" t="str">
        <x:v>PLC-PRD-JAR-330-L24</x:v>
      </x:c>
      <x:c r="P1801" t="str">
        <x:v>OK</x:v>
      </x:c>
      <x:c r="Q1801" t="str">
        <x:v>OK</x:v>
      </x:c>
      <x:c r="R1801" t="str">
        <x:v>OK</x:v>
      </x:c>
      <x:c r="S1801" t="str">
        <x:v>OK</x:v>
      </x:c>
      <x:c r="T1801" t="n">
        <x:v>36</x:v>
      </x:c>
      <x:c r="U1801" t="str">
        <x:v>OK</x:v>
      </x:c>
      <x:c r="V1801" t="str">
        <x:v>OK</x:v>
      </x:c>
      <x:c r="W1801" t="str">
        <x:v>LOAD</x:v>
      </x:c>
      <x:c r="X1801" t="str">
        <x:v>02_Supervisor_Log(4).xlsx</x:v>
      </x:c>
      <x:c r="Y1801" t="str">
        <x:v>ENH-20260830-01</x:v>
      </x:c>
      <x:c r="Z1801" t="str">
        <x:v>Active</x:v>
      </x:c>
      <x:c r="AA1801"/>
      <x:c r="AB1801"/>
      <x:c r="AC1801"/>
      <x:c r="AD1801"/>
    </x:row>
    <x:row r="1802">
      <x:c r="A1802" t="str">
        <x:v>PCC-PE-KG01-L24-20251022-AM-ORD-2025-00125-S02-C1</x:v>
      </x:c>
      <x:c r="B1802" t="str">
        <x:v>PC-PE-KG01-L24-20251022-AM-ORD-2025-00125-S02</x:v>
      </x:c>
      <x:c r="C1802" t="str">
        <x:v>PE-KG01-L24-20251022-AM-ORD-2025-00125</x:v>
      </x:c>
      <x:c r="D1802" t="str">
        <x:v>KG01</x:v>
      </x:c>
      <x:c r="E1802" s="62" t="n">
        <x:v>45952</x:v>
      </x:c>
      <x:c r="F1802" t="str">
        <x:v>AM</x:v>
      </x:c>
      <x:c r="G1802" t="str">
        <x:v>B</x:v>
      </x:c>
      <x:c r="H1802" t="n">
        <x:v>24</x:v>
      </x:c>
      <x:c r="I1802" t="str">
        <x:v>ORD-2025-00125</x:v>
      </x:c>
      <x:c r="J1802" t="n">
        <x:v>2</x:v>
      </x:c>
      <x:c r="K1802" t="n">
        <x:v>1</x:v>
      </x:c>
      <x:c r="L1802" t="str">
        <x:v>L24-S02-C1</x:v>
      </x:c>
      <x:c r="M1802" t="n">
        <x:v>1</x:v>
      </x:c>
      <x:c r="N1802" t="str">
        <x:v>DerivedFromCount</x:v>
      </x:c>
      <x:c r="O1802" t="str">
        <x:v>PLC-PRD-JAR-330-L24</x:v>
      </x:c>
      <x:c r="P1802" t="str">
        <x:v>OK</x:v>
      </x:c>
      <x:c r="Q1802" t="str">
        <x:v>OK</x:v>
      </x:c>
      <x:c r="R1802" t="str">
        <x:v>OK</x:v>
      </x:c>
      <x:c r="S1802" t="str">
        <x:v>OK</x:v>
      </x:c>
      <x:c r="T1802" t="n">
        <x:v>36</x:v>
      </x:c>
      <x:c r="U1802" t="str">
        <x:v>OK</x:v>
      </x:c>
      <x:c r="V1802" t="str">
        <x:v>OK</x:v>
      </x:c>
      <x:c r="W1802" t="str">
        <x:v>LOAD</x:v>
      </x:c>
      <x:c r="X1802" t="str">
        <x:v>02_Supervisor_Log(4).xlsx</x:v>
      </x:c>
      <x:c r="Y1802" t="str">
        <x:v>ENH-20260830-01</x:v>
      </x:c>
      <x:c r="Z1802" t="str">
        <x:v>Active</x:v>
      </x:c>
      <x:c r="AA1802"/>
      <x:c r="AB1802"/>
      <x:c r="AC1802"/>
      <x:c r="AD1802"/>
    </x:row>
    <x:row r="1803">
      <x:c r="A1803" t="str">
        <x:v>PCC-PE-KG01-L24-20251022-AM-ORD-2025-00125-S02-C2</x:v>
      </x:c>
      <x:c r="B1803" t="str">
        <x:v>PC-PE-KG01-L24-20251022-AM-ORD-2025-00125-S02</x:v>
      </x:c>
      <x:c r="C1803" t="str">
        <x:v>PE-KG01-L24-20251022-AM-ORD-2025-00125</x:v>
      </x:c>
      <x:c r="D1803" t="str">
        <x:v>KG01</x:v>
      </x:c>
      <x:c r="E1803" s="62" t="n">
        <x:v>45952</x:v>
      </x:c>
      <x:c r="F1803" t="str">
        <x:v>AM</x:v>
      </x:c>
      <x:c r="G1803" t="str">
        <x:v>B</x:v>
      </x:c>
      <x:c r="H1803" t="n">
        <x:v>24</x:v>
      </x:c>
      <x:c r="I1803" t="str">
        <x:v>ORD-2025-00125</x:v>
      </x:c>
      <x:c r="J1803" t="n">
        <x:v>2</x:v>
      </x:c>
      <x:c r="K1803" t="n">
        <x:v>2</x:v>
      </x:c>
      <x:c r="L1803" t="str">
        <x:v>L24-S02-C2</x:v>
      </x:c>
      <x:c r="M1803" t="n">
        <x:v>1</x:v>
      </x:c>
      <x:c r="N1803" t="str">
        <x:v>DerivedFromCount</x:v>
      </x:c>
      <x:c r="O1803" t="str">
        <x:v>PLC-PRD-JAR-330-L24</x:v>
      </x:c>
      <x:c r="P1803" t="str">
        <x:v>OK</x:v>
      </x:c>
      <x:c r="Q1803" t="str">
        <x:v>OK</x:v>
      </x:c>
      <x:c r="R1803" t="str">
        <x:v>OK</x:v>
      </x:c>
      <x:c r="S1803" t="str">
        <x:v>OK</x:v>
      </x:c>
      <x:c r="T1803" t="n">
        <x:v>36</x:v>
      </x:c>
      <x:c r="U1803" t="str">
        <x:v>OK</x:v>
      </x:c>
      <x:c r="V1803" t="str">
        <x:v>OK</x:v>
      </x:c>
      <x:c r="W1803" t="str">
        <x:v>LOAD</x:v>
      </x:c>
      <x:c r="X1803" t="str">
        <x:v>02_Supervisor_Log(4).xlsx</x:v>
      </x:c>
      <x:c r="Y1803" t="str">
        <x:v>ENH-20260830-01</x:v>
      </x:c>
      <x:c r="Z1803" t="str">
        <x:v>Active</x:v>
      </x:c>
      <x:c r="AA1803"/>
      <x:c r="AB1803"/>
      <x:c r="AC1803"/>
      <x:c r="AD1803"/>
    </x:row>
    <x:row r="1804">
      <x:c r="A1804" t="str">
        <x:v>PCC-PE-KG01-L24-20251022-AM-ORD-2025-00125-S02-C3</x:v>
      </x:c>
      <x:c r="B1804" t="str">
        <x:v>PC-PE-KG01-L24-20251022-AM-ORD-2025-00125-S02</x:v>
      </x:c>
      <x:c r="C1804" t="str">
        <x:v>PE-KG01-L24-20251022-AM-ORD-2025-00125</x:v>
      </x:c>
      <x:c r="D1804" t="str">
        <x:v>KG01</x:v>
      </x:c>
      <x:c r="E1804" s="62" t="n">
        <x:v>45952</x:v>
      </x:c>
      <x:c r="F1804" t="str">
        <x:v>AM</x:v>
      </x:c>
      <x:c r="G1804" t="str">
        <x:v>B</x:v>
      </x:c>
      <x:c r="H1804" t="n">
        <x:v>24</x:v>
      </x:c>
      <x:c r="I1804" t="str">
        <x:v>ORD-2025-00125</x:v>
      </x:c>
      <x:c r="J1804" t="n">
        <x:v>2</x:v>
      </x:c>
      <x:c r="K1804" t="n">
        <x:v>3</x:v>
      </x:c>
      <x:c r="L1804" t="str">
        <x:v>L24-S02-C3</x:v>
      </x:c>
      <x:c r="M1804" t="n">
        <x:v>1</x:v>
      </x:c>
      <x:c r="N1804" t="str">
        <x:v>DerivedFromCount</x:v>
      </x:c>
      <x:c r="O1804" t="str">
        <x:v>PLC-PRD-JAR-330-L24</x:v>
      </x:c>
      <x:c r="P1804" t="str">
        <x:v>OK</x:v>
      </x:c>
      <x:c r="Q1804" t="str">
        <x:v>OK</x:v>
      </x:c>
      <x:c r="R1804" t="str">
        <x:v>OK</x:v>
      </x:c>
      <x:c r="S1804" t="str">
        <x:v>OK</x:v>
      </x:c>
      <x:c r="T1804" t="n">
        <x:v>36</x:v>
      </x:c>
      <x:c r="U1804" t="str">
        <x:v>OK</x:v>
      </x:c>
      <x:c r="V1804" t="str">
        <x:v>OK</x:v>
      </x:c>
      <x:c r="W1804" t="str">
        <x:v>LOAD</x:v>
      </x:c>
      <x:c r="X1804" t="str">
        <x:v>02_Supervisor_Log(4).xlsx</x:v>
      </x:c>
      <x:c r="Y1804" t="str">
        <x:v>ENH-20260830-01</x:v>
      </x:c>
      <x:c r="Z1804" t="str">
        <x:v>Active</x:v>
      </x:c>
      <x:c r="AA1804"/>
      <x:c r="AB1804"/>
      <x:c r="AC1804"/>
      <x:c r="AD1804"/>
    </x:row>
    <x:row r="1805">
      <x:c r="A1805" t="str">
        <x:v>PCC-PE-KG01-L24-20251022-AM-ORD-2025-00125-S03-C1</x:v>
      </x:c>
      <x:c r="B1805" t="str">
        <x:v>PC-PE-KG01-L24-20251022-AM-ORD-2025-00125-S03</x:v>
      </x:c>
      <x:c r="C1805" t="str">
        <x:v>PE-KG01-L24-20251022-AM-ORD-2025-00125</x:v>
      </x:c>
      <x:c r="D1805" t="str">
        <x:v>KG01</x:v>
      </x:c>
      <x:c r="E1805" s="62" t="n">
        <x:v>45952</x:v>
      </x:c>
      <x:c r="F1805" t="str">
        <x:v>AM</x:v>
      </x:c>
      <x:c r="G1805" t="str">
        <x:v>B</x:v>
      </x:c>
      <x:c r="H1805" t="n">
        <x:v>24</x:v>
      </x:c>
      <x:c r="I1805" t="str">
        <x:v>ORD-2025-00125</x:v>
      </x:c>
      <x:c r="J1805" t="n">
        <x:v>3</x:v>
      </x:c>
      <x:c r="K1805" t="n">
        <x:v>1</x:v>
      </x:c>
      <x:c r="L1805" t="str">
        <x:v>L24-S03-C1</x:v>
      </x:c>
      <x:c r="M1805" t="n">
        <x:v>1</x:v>
      </x:c>
      <x:c r="N1805" t="str">
        <x:v>DerivedFromCount</x:v>
      </x:c>
      <x:c r="O1805" t="str">
        <x:v>PLC-PRD-JAR-330-L24</x:v>
      </x:c>
      <x:c r="P1805" t="str">
        <x:v>OK</x:v>
      </x:c>
      <x:c r="Q1805" t="str">
        <x:v>OK</x:v>
      </x:c>
      <x:c r="R1805" t="str">
        <x:v>OK</x:v>
      </x:c>
      <x:c r="S1805" t="str">
        <x:v>OK</x:v>
      </x:c>
      <x:c r="T1805" t="n">
        <x:v>36</x:v>
      </x:c>
      <x:c r="U1805" t="str">
        <x:v>OK</x:v>
      </x:c>
      <x:c r="V1805" t="str">
        <x:v>OK</x:v>
      </x:c>
      <x:c r="W1805" t="str">
        <x:v>LOAD</x:v>
      </x:c>
      <x:c r="X1805" t="str">
        <x:v>02_Supervisor_Log(4).xlsx</x:v>
      </x:c>
      <x:c r="Y1805" t="str">
        <x:v>ENH-20260830-01</x:v>
      </x:c>
      <x:c r="Z1805" t="str">
        <x:v>Active</x:v>
      </x:c>
      <x:c r="AA1805"/>
      <x:c r="AB1805"/>
      <x:c r="AC1805"/>
      <x:c r="AD1805"/>
    </x:row>
    <x:row r="1806">
      <x:c r="A1806" t="str">
        <x:v>PCC-PE-KG01-L24-20251022-AM-ORD-2025-00125-S03-C2</x:v>
      </x:c>
      <x:c r="B1806" t="str">
        <x:v>PC-PE-KG01-L24-20251022-AM-ORD-2025-00125-S03</x:v>
      </x:c>
      <x:c r="C1806" t="str">
        <x:v>PE-KG01-L24-20251022-AM-ORD-2025-00125</x:v>
      </x:c>
      <x:c r="D1806" t="str">
        <x:v>KG01</x:v>
      </x:c>
      <x:c r="E1806" s="62" t="n">
        <x:v>45952</x:v>
      </x:c>
      <x:c r="F1806" t="str">
        <x:v>AM</x:v>
      </x:c>
      <x:c r="G1806" t="str">
        <x:v>B</x:v>
      </x:c>
      <x:c r="H1806" t="n">
        <x:v>24</x:v>
      </x:c>
      <x:c r="I1806" t="str">
        <x:v>ORD-2025-00125</x:v>
      </x:c>
      <x:c r="J1806" t="n">
        <x:v>3</x:v>
      </x:c>
      <x:c r="K1806" t="n">
        <x:v>2</x:v>
      </x:c>
      <x:c r="L1806" t="str">
        <x:v>L24-S03-C2</x:v>
      </x:c>
      <x:c r="M1806" t="n">
        <x:v>1</x:v>
      </x:c>
      <x:c r="N1806" t="str">
        <x:v>DerivedFromCount</x:v>
      </x:c>
      <x:c r="O1806" t="str">
        <x:v>PLC-PRD-JAR-330-L24</x:v>
      </x:c>
      <x:c r="P1806" t="str">
        <x:v>OK</x:v>
      </x:c>
      <x:c r="Q1806" t="str">
        <x:v>OK</x:v>
      </x:c>
      <x:c r="R1806" t="str">
        <x:v>OK</x:v>
      </x:c>
      <x:c r="S1806" t="str">
        <x:v>OK</x:v>
      </x:c>
      <x:c r="T1806" t="n">
        <x:v>36</x:v>
      </x:c>
      <x:c r="U1806" t="str">
        <x:v>OK</x:v>
      </x:c>
      <x:c r="V1806" t="str">
        <x:v>OK</x:v>
      </x:c>
      <x:c r="W1806" t="str">
        <x:v>LOAD</x:v>
      </x:c>
      <x:c r="X1806" t="str">
        <x:v>02_Supervisor_Log(4).xlsx</x:v>
      </x:c>
      <x:c r="Y1806" t="str">
        <x:v>ENH-20260830-01</x:v>
      </x:c>
      <x:c r="Z1806" t="str">
        <x:v>Active</x:v>
      </x:c>
      <x:c r="AA1806"/>
      <x:c r="AB1806"/>
      <x:c r="AC1806"/>
      <x:c r="AD1806"/>
    </x:row>
    <x:row r="1807">
      <x:c r="A1807" t="str">
        <x:v>PCC-PE-KG01-L24-20251022-AM-ORD-2025-00125-S03-C3</x:v>
      </x:c>
      <x:c r="B1807" t="str">
        <x:v>PC-PE-KG01-L24-20251022-AM-ORD-2025-00125-S03</x:v>
      </x:c>
      <x:c r="C1807" t="str">
        <x:v>PE-KG01-L24-20251022-AM-ORD-2025-00125</x:v>
      </x:c>
      <x:c r="D1807" t="str">
        <x:v>KG01</x:v>
      </x:c>
      <x:c r="E1807" s="62" t="n">
        <x:v>45952</x:v>
      </x:c>
      <x:c r="F1807" t="str">
        <x:v>AM</x:v>
      </x:c>
      <x:c r="G1807" t="str">
        <x:v>B</x:v>
      </x:c>
      <x:c r="H1807" t="n">
        <x:v>24</x:v>
      </x:c>
      <x:c r="I1807" t="str">
        <x:v>ORD-2025-00125</x:v>
      </x:c>
      <x:c r="J1807" t="n">
        <x:v>3</x:v>
      </x:c>
      <x:c r="K1807" t="n">
        <x:v>3</x:v>
      </x:c>
      <x:c r="L1807" t="str">
        <x:v>L24-S03-C3</x:v>
      </x:c>
      <x:c r="M1807" t="n">
        <x:v>1</x:v>
      </x:c>
      <x:c r="N1807" t="str">
        <x:v>DerivedFromCount</x:v>
      </x:c>
      <x:c r="O1807" t="str">
        <x:v>PLC-PRD-JAR-330-L24</x:v>
      </x:c>
      <x:c r="P1807" t="str">
        <x:v>OK</x:v>
      </x:c>
      <x:c r="Q1807" t="str">
        <x:v>OK</x:v>
      </x:c>
      <x:c r="R1807" t="str">
        <x:v>OK</x:v>
      </x:c>
      <x:c r="S1807" t="str">
        <x:v>OK</x:v>
      </x:c>
      <x:c r="T1807" t="n">
        <x:v>36</x:v>
      </x:c>
      <x:c r="U1807" t="str">
        <x:v>OK</x:v>
      </x:c>
      <x:c r="V1807" t="str">
        <x:v>OK</x:v>
      </x:c>
      <x:c r="W1807" t="str">
        <x:v>LOAD</x:v>
      </x:c>
      <x:c r="X1807" t="str">
        <x:v>02_Supervisor_Log(4).xlsx</x:v>
      </x:c>
      <x:c r="Y1807" t="str">
        <x:v>ENH-20260830-01</x:v>
      </x:c>
      <x:c r="Z1807" t="str">
        <x:v>Active</x:v>
      </x:c>
      <x:c r="AA1807"/>
      <x:c r="AB1807"/>
      <x:c r="AC1807"/>
      <x:c r="AD1807"/>
    </x:row>
    <x:row r="1808">
      <x:c r="A1808" t="str">
        <x:v>PCC-PE-KG01-L24-20251022-AM-ORD-2025-00125-S04-C1</x:v>
      </x:c>
      <x:c r="B1808" t="str">
        <x:v>PC-PE-KG01-L24-20251022-AM-ORD-2025-00125-S04</x:v>
      </x:c>
      <x:c r="C1808" t="str">
        <x:v>PE-KG01-L24-20251022-AM-ORD-2025-00125</x:v>
      </x:c>
      <x:c r="D1808" t="str">
        <x:v>KG01</x:v>
      </x:c>
      <x:c r="E1808" s="62" t="n">
        <x:v>45952</x:v>
      </x:c>
      <x:c r="F1808" t="str">
        <x:v>AM</x:v>
      </x:c>
      <x:c r="G1808" t="str">
        <x:v>B</x:v>
      </x:c>
      <x:c r="H1808" t="n">
        <x:v>24</x:v>
      </x:c>
      <x:c r="I1808" t="str">
        <x:v>ORD-2025-00125</x:v>
      </x:c>
      <x:c r="J1808" t="n">
        <x:v>4</x:v>
      </x:c>
      <x:c r="K1808" t="n">
        <x:v>1</x:v>
      </x:c>
      <x:c r="L1808" t="str">
        <x:v>L24-S04-C1</x:v>
      </x:c>
      <x:c r="M1808" t="n">
        <x:v>1</x:v>
      </x:c>
      <x:c r="N1808" t="str">
        <x:v>DerivedFromCount</x:v>
      </x:c>
      <x:c r="O1808" t="str">
        <x:v>PLC-PRD-JAR-330-L24</x:v>
      </x:c>
      <x:c r="P1808" t="str">
        <x:v>OK</x:v>
      </x:c>
      <x:c r="Q1808" t="str">
        <x:v>OK</x:v>
      </x:c>
      <x:c r="R1808" t="str">
        <x:v>OK</x:v>
      </x:c>
      <x:c r="S1808" t="str">
        <x:v>OK</x:v>
      </x:c>
      <x:c r="T1808" t="n">
        <x:v>36</x:v>
      </x:c>
      <x:c r="U1808" t="str">
        <x:v>OK</x:v>
      </x:c>
      <x:c r="V1808" t="str">
        <x:v>OK</x:v>
      </x:c>
      <x:c r="W1808" t="str">
        <x:v>LOAD</x:v>
      </x:c>
      <x:c r="X1808" t="str">
        <x:v>02_Supervisor_Log(4).xlsx</x:v>
      </x:c>
      <x:c r="Y1808" t="str">
        <x:v>ENH-20260830-01</x:v>
      </x:c>
      <x:c r="Z1808" t="str">
        <x:v>Active</x:v>
      </x:c>
      <x:c r="AA1808"/>
      <x:c r="AB1808"/>
      <x:c r="AC1808"/>
      <x:c r="AD1808"/>
    </x:row>
    <x:row r="1809">
      <x:c r="A1809" t="str">
        <x:v>PCC-PE-KG01-L24-20251022-AM-ORD-2025-00125-S04-C2</x:v>
      </x:c>
      <x:c r="B1809" t="str">
        <x:v>PC-PE-KG01-L24-20251022-AM-ORD-2025-00125-S04</x:v>
      </x:c>
      <x:c r="C1809" t="str">
        <x:v>PE-KG01-L24-20251022-AM-ORD-2025-00125</x:v>
      </x:c>
      <x:c r="D1809" t="str">
        <x:v>KG01</x:v>
      </x:c>
      <x:c r="E1809" s="62" t="n">
        <x:v>45952</x:v>
      </x:c>
      <x:c r="F1809" t="str">
        <x:v>AM</x:v>
      </x:c>
      <x:c r="G1809" t="str">
        <x:v>B</x:v>
      </x:c>
      <x:c r="H1809" t="n">
        <x:v>24</x:v>
      </x:c>
      <x:c r="I1809" t="str">
        <x:v>ORD-2025-00125</x:v>
      </x:c>
      <x:c r="J1809" t="n">
        <x:v>4</x:v>
      </x:c>
      <x:c r="K1809" t="n">
        <x:v>2</x:v>
      </x:c>
      <x:c r="L1809" t="str">
        <x:v>L24-S04-C2</x:v>
      </x:c>
      <x:c r="M1809" t="n">
        <x:v>1</x:v>
      </x:c>
      <x:c r="N1809" t="str">
        <x:v>DerivedFromCount</x:v>
      </x:c>
      <x:c r="O1809" t="str">
        <x:v>PLC-PRD-JAR-330-L24</x:v>
      </x:c>
      <x:c r="P1809" t="str">
        <x:v>OK</x:v>
      </x:c>
      <x:c r="Q1809" t="str">
        <x:v>OK</x:v>
      </x:c>
      <x:c r="R1809" t="str">
        <x:v>OK</x:v>
      </x:c>
      <x:c r="S1809" t="str">
        <x:v>OK</x:v>
      </x:c>
      <x:c r="T1809" t="n">
        <x:v>36</x:v>
      </x:c>
      <x:c r="U1809" t="str">
        <x:v>OK</x:v>
      </x:c>
      <x:c r="V1809" t="str">
        <x:v>OK</x:v>
      </x:c>
      <x:c r="W1809" t="str">
        <x:v>LOAD</x:v>
      </x:c>
      <x:c r="X1809" t="str">
        <x:v>02_Supervisor_Log(4).xlsx</x:v>
      </x:c>
      <x:c r="Y1809" t="str">
        <x:v>ENH-20260830-01</x:v>
      </x:c>
      <x:c r="Z1809" t="str">
        <x:v>Active</x:v>
      </x:c>
      <x:c r="AA1809"/>
      <x:c r="AB1809"/>
      <x:c r="AC1809"/>
      <x:c r="AD1809"/>
    </x:row>
    <x:row r="1810">
      <x:c r="A1810" t="str">
        <x:v>PCC-PE-KG01-L24-20251022-AM-ORD-2025-00125-S04-C3</x:v>
      </x:c>
      <x:c r="B1810" t="str">
        <x:v>PC-PE-KG01-L24-20251022-AM-ORD-2025-00125-S04</x:v>
      </x:c>
      <x:c r="C1810" t="str">
        <x:v>PE-KG01-L24-20251022-AM-ORD-2025-00125</x:v>
      </x:c>
      <x:c r="D1810" t="str">
        <x:v>KG01</x:v>
      </x:c>
      <x:c r="E1810" s="62" t="n">
        <x:v>45952</x:v>
      </x:c>
      <x:c r="F1810" t="str">
        <x:v>AM</x:v>
      </x:c>
      <x:c r="G1810" t="str">
        <x:v>B</x:v>
      </x:c>
      <x:c r="H1810" t="n">
        <x:v>24</x:v>
      </x:c>
      <x:c r="I1810" t="str">
        <x:v>ORD-2025-00125</x:v>
      </x:c>
      <x:c r="J1810" t="n">
        <x:v>4</x:v>
      </x:c>
      <x:c r="K1810" t="n">
        <x:v>3</x:v>
      </x:c>
      <x:c r="L1810" t="str">
        <x:v>L24-S04-C3</x:v>
      </x:c>
      <x:c r="M1810" t="n">
        <x:v>1</x:v>
      </x:c>
      <x:c r="N1810" t="str">
        <x:v>DerivedFromCount</x:v>
      </x:c>
      <x:c r="O1810" t="str">
        <x:v>PLC-PRD-JAR-330-L24</x:v>
      </x:c>
      <x:c r="P1810" t="str">
        <x:v>OK</x:v>
      </x:c>
      <x:c r="Q1810" t="str">
        <x:v>OK</x:v>
      </x:c>
      <x:c r="R1810" t="str">
        <x:v>OK</x:v>
      </x:c>
      <x:c r="S1810" t="str">
        <x:v>OK</x:v>
      </x:c>
      <x:c r="T1810" t="n">
        <x:v>36</x:v>
      </x:c>
      <x:c r="U1810" t="str">
        <x:v>OK</x:v>
      </x:c>
      <x:c r="V1810" t="str">
        <x:v>OK</x:v>
      </x:c>
      <x:c r="W1810" t="str">
        <x:v>LOAD</x:v>
      </x:c>
      <x:c r="X1810" t="str">
        <x:v>02_Supervisor_Log(4).xlsx</x:v>
      </x:c>
      <x:c r="Y1810" t="str">
        <x:v>ENH-20260830-01</x:v>
      </x:c>
      <x:c r="Z1810" t="str">
        <x:v>Active</x:v>
      </x:c>
      <x:c r="AA1810"/>
      <x:c r="AB1810"/>
      <x:c r="AC1810"/>
      <x:c r="AD1810"/>
    </x:row>
    <x:row r="1811">
      <x:c r="A1811" t="str">
        <x:v>PCC-PE-KG01-L24-20251022-AM-ORD-2025-00125-S05-C1</x:v>
      </x:c>
      <x:c r="B1811" t="str">
        <x:v>PC-PE-KG01-L24-20251022-AM-ORD-2025-00125-S05</x:v>
      </x:c>
      <x:c r="C1811" t="str">
        <x:v>PE-KG01-L24-20251022-AM-ORD-2025-00125</x:v>
      </x:c>
      <x:c r="D1811" t="str">
        <x:v>KG01</x:v>
      </x:c>
      <x:c r="E1811" s="62" t="n">
        <x:v>45952</x:v>
      </x:c>
      <x:c r="F1811" t="str">
        <x:v>AM</x:v>
      </x:c>
      <x:c r="G1811" t="str">
        <x:v>B</x:v>
      </x:c>
      <x:c r="H1811" t="n">
        <x:v>24</x:v>
      </x:c>
      <x:c r="I1811" t="str">
        <x:v>ORD-2025-00125</x:v>
      </x:c>
      <x:c r="J1811" t="n">
        <x:v>5</x:v>
      </x:c>
      <x:c r="K1811" t="n">
        <x:v>1</x:v>
      </x:c>
      <x:c r="L1811" t="str">
        <x:v>L24-S05-C1</x:v>
      </x:c>
      <x:c r="M1811" t="n">
        <x:v>1</x:v>
      </x:c>
      <x:c r="N1811" t="str">
        <x:v>DerivedFromCount</x:v>
      </x:c>
      <x:c r="O1811" t="str">
        <x:v>PLC-PRD-JAR-330-L24</x:v>
      </x:c>
      <x:c r="P1811" t="str">
        <x:v>OK</x:v>
      </x:c>
      <x:c r="Q1811" t="str">
        <x:v>OK</x:v>
      </x:c>
      <x:c r="R1811" t="str">
        <x:v>OK</x:v>
      </x:c>
      <x:c r="S1811" t="str">
        <x:v>OK</x:v>
      </x:c>
      <x:c r="T1811" t="n">
        <x:v>36</x:v>
      </x:c>
      <x:c r="U1811" t="str">
        <x:v>OK</x:v>
      </x:c>
      <x:c r="V1811" t="str">
        <x:v>OK</x:v>
      </x:c>
      <x:c r="W1811" t="str">
        <x:v>LOAD</x:v>
      </x:c>
      <x:c r="X1811" t="str">
        <x:v>02_Supervisor_Log(4).xlsx</x:v>
      </x:c>
      <x:c r="Y1811" t="str">
        <x:v>ENH-20260830-01</x:v>
      </x:c>
      <x:c r="Z1811" t="str">
        <x:v>Active</x:v>
      </x:c>
      <x:c r="AA1811"/>
      <x:c r="AB1811"/>
      <x:c r="AC1811"/>
      <x:c r="AD1811"/>
    </x:row>
    <x:row r="1812">
      <x:c r="A1812" t="str">
        <x:v>PCC-PE-KG01-L24-20251022-AM-ORD-2025-00125-S05-C2</x:v>
      </x:c>
      <x:c r="B1812" t="str">
        <x:v>PC-PE-KG01-L24-20251022-AM-ORD-2025-00125-S05</x:v>
      </x:c>
      <x:c r="C1812" t="str">
        <x:v>PE-KG01-L24-20251022-AM-ORD-2025-00125</x:v>
      </x:c>
      <x:c r="D1812" t="str">
        <x:v>KG01</x:v>
      </x:c>
      <x:c r="E1812" s="62" t="n">
        <x:v>45952</x:v>
      </x:c>
      <x:c r="F1812" t="str">
        <x:v>AM</x:v>
      </x:c>
      <x:c r="G1812" t="str">
        <x:v>B</x:v>
      </x:c>
      <x:c r="H1812" t="n">
        <x:v>24</x:v>
      </x:c>
      <x:c r="I1812" t="str">
        <x:v>ORD-2025-00125</x:v>
      </x:c>
      <x:c r="J1812" t="n">
        <x:v>5</x:v>
      </x:c>
      <x:c r="K1812" t="n">
        <x:v>2</x:v>
      </x:c>
      <x:c r="L1812" t="str">
        <x:v>L24-S05-C2</x:v>
      </x:c>
      <x:c r="M1812" t="n">
        <x:v>1</x:v>
      </x:c>
      <x:c r="N1812" t="str">
        <x:v>DerivedFromCount</x:v>
      </x:c>
      <x:c r="O1812" t="str">
        <x:v>PLC-PRD-JAR-330-L24</x:v>
      </x:c>
      <x:c r="P1812" t="str">
        <x:v>OK</x:v>
      </x:c>
      <x:c r="Q1812" t="str">
        <x:v>OK</x:v>
      </x:c>
      <x:c r="R1812" t="str">
        <x:v>OK</x:v>
      </x:c>
      <x:c r="S1812" t="str">
        <x:v>OK</x:v>
      </x:c>
      <x:c r="T1812" t="n">
        <x:v>36</x:v>
      </x:c>
      <x:c r="U1812" t="str">
        <x:v>OK</x:v>
      </x:c>
      <x:c r="V1812" t="str">
        <x:v>OK</x:v>
      </x:c>
      <x:c r="W1812" t="str">
        <x:v>LOAD</x:v>
      </x:c>
      <x:c r="X1812" t="str">
        <x:v>02_Supervisor_Log(4).xlsx</x:v>
      </x:c>
      <x:c r="Y1812" t="str">
        <x:v>ENH-20260830-01</x:v>
      </x:c>
      <x:c r="Z1812" t="str">
        <x:v>Active</x:v>
      </x:c>
      <x:c r="AA1812"/>
      <x:c r="AB1812"/>
      <x:c r="AC1812"/>
      <x:c r="AD1812"/>
    </x:row>
    <x:row r="1813">
      <x:c r="A1813" t="str">
        <x:v>PCC-PE-KG01-L24-20251022-AM-ORD-2025-00125-S05-C3</x:v>
      </x:c>
      <x:c r="B1813" t="str">
        <x:v>PC-PE-KG01-L24-20251022-AM-ORD-2025-00125-S05</x:v>
      </x:c>
      <x:c r="C1813" t="str">
        <x:v>PE-KG01-L24-20251022-AM-ORD-2025-00125</x:v>
      </x:c>
      <x:c r="D1813" t="str">
        <x:v>KG01</x:v>
      </x:c>
      <x:c r="E1813" s="62" t="n">
        <x:v>45952</x:v>
      </x:c>
      <x:c r="F1813" t="str">
        <x:v>AM</x:v>
      </x:c>
      <x:c r="G1813" t="str">
        <x:v>B</x:v>
      </x:c>
      <x:c r="H1813" t="n">
        <x:v>24</x:v>
      </x:c>
      <x:c r="I1813" t="str">
        <x:v>ORD-2025-00125</x:v>
      </x:c>
      <x:c r="J1813" t="n">
        <x:v>5</x:v>
      </x:c>
      <x:c r="K1813" t="n">
        <x:v>3</x:v>
      </x:c>
      <x:c r="L1813" t="str">
        <x:v>L24-S05-C3</x:v>
      </x:c>
      <x:c r="M1813" t="n">
        <x:v>1</x:v>
      </x:c>
      <x:c r="N1813" t="str">
        <x:v>DerivedFromCount</x:v>
      </x:c>
      <x:c r="O1813" t="str">
        <x:v>PLC-PRD-JAR-330-L24</x:v>
      </x:c>
      <x:c r="P1813" t="str">
        <x:v>OK</x:v>
      </x:c>
      <x:c r="Q1813" t="str">
        <x:v>OK</x:v>
      </x:c>
      <x:c r="R1813" t="str">
        <x:v>OK</x:v>
      </x:c>
      <x:c r="S1813" t="str">
        <x:v>OK</x:v>
      </x:c>
      <x:c r="T1813" t="n">
        <x:v>36</x:v>
      </x:c>
      <x:c r="U1813" t="str">
        <x:v>OK</x:v>
      </x:c>
      <x:c r="V1813" t="str">
        <x:v>OK</x:v>
      </x:c>
      <x:c r="W1813" t="str">
        <x:v>LOAD</x:v>
      </x:c>
      <x:c r="X1813" t="str">
        <x:v>02_Supervisor_Log(4).xlsx</x:v>
      </x:c>
      <x:c r="Y1813" t="str">
        <x:v>ENH-20260830-01</x:v>
      </x:c>
      <x:c r="Z1813" t="str">
        <x:v>Active</x:v>
      </x:c>
      <x:c r="AA1813"/>
      <x:c r="AB1813"/>
      <x:c r="AC1813"/>
      <x:c r="AD1813"/>
    </x:row>
    <x:row r="1814">
      <x:c r="A1814" t="str">
        <x:v>PCC-PE-KG01-L24-20251022-AM-ORD-2025-00125-S06-C1</x:v>
      </x:c>
      <x:c r="B1814" t="str">
        <x:v>PC-PE-KG01-L24-20251022-AM-ORD-2025-00125-S06</x:v>
      </x:c>
      <x:c r="C1814" t="str">
        <x:v>PE-KG01-L24-20251022-AM-ORD-2025-00125</x:v>
      </x:c>
      <x:c r="D1814" t="str">
        <x:v>KG01</x:v>
      </x:c>
      <x:c r="E1814" s="62" t="n">
        <x:v>45952</x:v>
      </x:c>
      <x:c r="F1814" t="str">
        <x:v>AM</x:v>
      </x:c>
      <x:c r="G1814" t="str">
        <x:v>B</x:v>
      </x:c>
      <x:c r="H1814" t="n">
        <x:v>24</x:v>
      </x:c>
      <x:c r="I1814" t="str">
        <x:v>ORD-2025-00125</x:v>
      </x:c>
      <x:c r="J1814" t="n">
        <x:v>6</x:v>
      </x:c>
      <x:c r="K1814" t="n">
        <x:v>1</x:v>
      </x:c>
      <x:c r="L1814" t="str">
        <x:v>L24-S06-C1</x:v>
      </x:c>
      <x:c r="M1814" t="n">
        <x:v>1</x:v>
      </x:c>
      <x:c r="N1814" t="str">
        <x:v>DerivedFromCount</x:v>
      </x:c>
      <x:c r="O1814" t="str">
        <x:v>PLC-PRD-JAR-330-L24</x:v>
      </x:c>
      <x:c r="P1814" t="str">
        <x:v>OK</x:v>
      </x:c>
      <x:c r="Q1814" t="str">
        <x:v>OK</x:v>
      </x:c>
      <x:c r="R1814" t="str">
        <x:v>OK</x:v>
      </x:c>
      <x:c r="S1814" t="str">
        <x:v>OK</x:v>
      </x:c>
      <x:c r="T1814" t="n">
        <x:v>36</x:v>
      </x:c>
      <x:c r="U1814" t="str">
        <x:v>OK</x:v>
      </x:c>
      <x:c r="V1814" t="str">
        <x:v>OK</x:v>
      </x:c>
      <x:c r="W1814" t="str">
        <x:v>LOAD</x:v>
      </x:c>
      <x:c r="X1814" t="str">
        <x:v>02_Supervisor_Log(4).xlsx</x:v>
      </x:c>
      <x:c r="Y1814" t="str">
        <x:v>ENH-20260830-01</x:v>
      </x:c>
      <x:c r="Z1814" t="str">
        <x:v>Active</x:v>
      </x:c>
      <x:c r="AA1814"/>
      <x:c r="AB1814"/>
      <x:c r="AC1814"/>
      <x:c r="AD1814"/>
    </x:row>
    <x:row r="1815">
      <x:c r="A1815" t="str">
        <x:v>PCC-PE-KG01-L24-20251022-AM-ORD-2025-00125-S06-C2</x:v>
      </x:c>
      <x:c r="B1815" t="str">
        <x:v>PC-PE-KG01-L24-20251022-AM-ORD-2025-00125-S06</x:v>
      </x:c>
      <x:c r="C1815" t="str">
        <x:v>PE-KG01-L24-20251022-AM-ORD-2025-00125</x:v>
      </x:c>
      <x:c r="D1815" t="str">
        <x:v>KG01</x:v>
      </x:c>
      <x:c r="E1815" s="62" t="n">
        <x:v>45952</x:v>
      </x:c>
      <x:c r="F1815" t="str">
        <x:v>AM</x:v>
      </x:c>
      <x:c r="G1815" t="str">
        <x:v>B</x:v>
      </x:c>
      <x:c r="H1815" t="n">
        <x:v>24</x:v>
      </x:c>
      <x:c r="I1815" t="str">
        <x:v>ORD-2025-00125</x:v>
      </x:c>
      <x:c r="J1815" t="n">
        <x:v>6</x:v>
      </x:c>
      <x:c r="K1815" t="n">
        <x:v>2</x:v>
      </x:c>
      <x:c r="L1815" t="str">
        <x:v>L24-S06-C2</x:v>
      </x:c>
      <x:c r="M1815" t="n">
        <x:v>1</x:v>
      </x:c>
      <x:c r="N1815" t="str">
        <x:v>DerivedFromCount</x:v>
      </x:c>
      <x:c r="O1815" t="str">
        <x:v>PLC-PRD-JAR-330-L24</x:v>
      </x:c>
      <x:c r="P1815" t="str">
        <x:v>OK</x:v>
      </x:c>
      <x:c r="Q1815" t="str">
        <x:v>OK</x:v>
      </x:c>
      <x:c r="R1815" t="str">
        <x:v>OK</x:v>
      </x:c>
      <x:c r="S1815" t="str">
        <x:v>OK</x:v>
      </x:c>
      <x:c r="T1815" t="n">
        <x:v>36</x:v>
      </x:c>
      <x:c r="U1815" t="str">
        <x:v>OK</x:v>
      </x:c>
      <x:c r="V1815" t="str">
        <x:v>OK</x:v>
      </x:c>
      <x:c r="W1815" t="str">
        <x:v>LOAD</x:v>
      </x:c>
      <x:c r="X1815" t="str">
        <x:v>02_Supervisor_Log(4).xlsx</x:v>
      </x:c>
      <x:c r="Y1815" t="str">
        <x:v>ENH-20260830-01</x:v>
      </x:c>
      <x:c r="Z1815" t="str">
        <x:v>Active</x:v>
      </x:c>
      <x:c r="AA1815"/>
      <x:c r="AB1815"/>
      <x:c r="AC1815"/>
      <x:c r="AD1815"/>
    </x:row>
    <x:row r="1816">
      <x:c r="A1816" t="str">
        <x:v>PCC-PE-KG01-L24-20251022-AM-ORD-2025-00125-S06-C3</x:v>
      </x:c>
      <x:c r="B1816" t="str">
        <x:v>PC-PE-KG01-L24-20251022-AM-ORD-2025-00125-S06</x:v>
      </x:c>
      <x:c r="C1816" t="str">
        <x:v>PE-KG01-L24-20251022-AM-ORD-2025-00125</x:v>
      </x:c>
      <x:c r="D1816" t="str">
        <x:v>KG01</x:v>
      </x:c>
      <x:c r="E1816" s="62" t="n">
        <x:v>45952</x:v>
      </x:c>
      <x:c r="F1816" t="str">
        <x:v>AM</x:v>
      </x:c>
      <x:c r="G1816" t="str">
        <x:v>B</x:v>
      </x:c>
      <x:c r="H1816" t="n">
        <x:v>24</x:v>
      </x:c>
      <x:c r="I1816" t="str">
        <x:v>ORD-2025-00125</x:v>
      </x:c>
      <x:c r="J1816" t="n">
        <x:v>6</x:v>
      </x:c>
      <x:c r="K1816" t="n">
        <x:v>3</x:v>
      </x:c>
      <x:c r="L1816" t="str">
        <x:v>L24-S06-C3</x:v>
      </x:c>
      <x:c r="M1816" t="n">
        <x:v>1</x:v>
      </x:c>
      <x:c r="N1816" t="str">
        <x:v>DerivedFromCount</x:v>
      </x:c>
      <x:c r="O1816" t="str">
        <x:v>PLC-PRD-JAR-330-L24</x:v>
      </x:c>
      <x:c r="P1816" t="str">
        <x:v>OK</x:v>
      </x:c>
      <x:c r="Q1816" t="str">
        <x:v>OK</x:v>
      </x:c>
      <x:c r="R1816" t="str">
        <x:v>OK</x:v>
      </x:c>
      <x:c r="S1816" t="str">
        <x:v>OK</x:v>
      </x:c>
      <x:c r="T1816" t="n">
        <x:v>36</x:v>
      </x:c>
      <x:c r="U1816" t="str">
        <x:v>OK</x:v>
      </x:c>
      <x:c r="V1816" t="str">
        <x:v>OK</x:v>
      </x:c>
      <x:c r="W1816" t="str">
        <x:v>LOAD</x:v>
      </x:c>
      <x:c r="X1816" t="str">
        <x:v>02_Supervisor_Log(4).xlsx</x:v>
      </x:c>
      <x:c r="Y1816" t="str">
        <x:v>ENH-20260830-01</x:v>
      </x:c>
      <x:c r="Z1816" t="str">
        <x:v>Active</x:v>
      </x:c>
      <x:c r="AA1816"/>
      <x:c r="AB1816"/>
      <x:c r="AC1816"/>
      <x:c r="AD1816"/>
    </x:row>
    <x:row r="1817">
      <x:c r="A1817" t="str">
        <x:v>PCC-PE-KG01-L24-20251022-AM-ORD-2025-00125-S07-C1</x:v>
      </x:c>
      <x:c r="B1817" t="str">
        <x:v>PC-PE-KG01-L24-20251022-AM-ORD-2025-00125-S07</x:v>
      </x:c>
      <x:c r="C1817" t="str">
        <x:v>PE-KG01-L24-20251022-AM-ORD-2025-00125</x:v>
      </x:c>
      <x:c r="D1817" t="str">
        <x:v>KG01</x:v>
      </x:c>
      <x:c r="E1817" s="62" t="n">
        <x:v>45952</x:v>
      </x:c>
      <x:c r="F1817" t="str">
        <x:v>AM</x:v>
      </x:c>
      <x:c r="G1817" t="str">
        <x:v>B</x:v>
      </x:c>
      <x:c r="H1817" t="n">
        <x:v>24</x:v>
      </x:c>
      <x:c r="I1817" t="str">
        <x:v>ORD-2025-00125</x:v>
      </x:c>
      <x:c r="J1817" t="n">
        <x:v>7</x:v>
      </x:c>
      <x:c r="K1817" t="n">
        <x:v>1</x:v>
      </x:c>
      <x:c r="L1817" t="str">
        <x:v>L24-S07-C1</x:v>
      </x:c>
      <x:c r="M1817" t="n">
        <x:v>1</x:v>
      </x:c>
      <x:c r="N1817" t="str">
        <x:v>DerivedFromCount</x:v>
      </x:c>
      <x:c r="O1817" t="str">
        <x:v>PLC-PRD-JAR-330-L24</x:v>
      </x:c>
      <x:c r="P1817" t="str">
        <x:v>OK</x:v>
      </x:c>
      <x:c r="Q1817" t="str">
        <x:v>OK</x:v>
      </x:c>
      <x:c r="R1817" t="str">
        <x:v>OK</x:v>
      </x:c>
      <x:c r="S1817" t="str">
        <x:v>OK</x:v>
      </x:c>
      <x:c r="T1817" t="n">
        <x:v>36</x:v>
      </x:c>
      <x:c r="U1817" t="str">
        <x:v>OK</x:v>
      </x:c>
      <x:c r="V1817" t="str">
        <x:v>OK</x:v>
      </x:c>
      <x:c r="W1817" t="str">
        <x:v>LOAD</x:v>
      </x:c>
      <x:c r="X1817" t="str">
        <x:v>02_Supervisor_Log(4).xlsx</x:v>
      </x:c>
      <x:c r="Y1817" t="str">
        <x:v>ENH-20260830-01</x:v>
      </x:c>
      <x:c r="Z1817" t="str">
        <x:v>Active</x:v>
      </x:c>
      <x:c r="AA1817"/>
      <x:c r="AB1817"/>
      <x:c r="AC1817"/>
      <x:c r="AD1817"/>
    </x:row>
    <x:row r="1818">
      <x:c r="A1818" t="str">
        <x:v>PCC-PE-KG01-L24-20251022-AM-ORD-2025-00125-S07-C2</x:v>
      </x:c>
      <x:c r="B1818" t="str">
        <x:v>PC-PE-KG01-L24-20251022-AM-ORD-2025-00125-S07</x:v>
      </x:c>
      <x:c r="C1818" t="str">
        <x:v>PE-KG01-L24-20251022-AM-ORD-2025-00125</x:v>
      </x:c>
      <x:c r="D1818" t="str">
        <x:v>KG01</x:v>
      </x:c>
      <x:c r="E1818" s="62" t="n">
        <x:v>45952</x:v>
      </x:c>
      <x:c r="F1818" t="str">
        <x:v>AM</x:v>
      </x:c>
      <x:c r="G1818" t="str">
        <x:v>B</x:v>
      </x:c>
      <x:c r="H1818" t="n">
        <x:v>24</x:v>
      </x:c>
      <x:c r="I1818" t="str">
        <x:v>ORD-2025-00125</x:v>
      </x:c>
      <x:c r="J1818" t="n">
        <x:v>7</x:v>
      </x:c>
      <x:c r="K1818" t="n">
        <x:v>2</x:v>
      </x:c>
      <x:c r="L1818" t="str">
        <x:v>L24-S07-C2</x:v>
      </x:c>
      <x:c r="M1818" t="n">
        <x:v>1</x:v>
      </x:c>
      <x:c r="N1818" t="str">
        <x:v>DerivedFromCount</x:v>
      </x:c>
      <x:c r="O1818" t="str">
        <x:v>PLC-PRD-JAR-330-L24</x:v>
      </x:c>
      <x:c r="P1818" t="str">
        <x:v>OK</x:v>
      </x:c>
      <x:c r="Q1818" t="str">
        <x:v>OK</x:v>
      </x:c>
      <x:c r="R1818" t="str">
        <x:v>OK</x:v>
      </x:c>
      <x:c r="S1818" t="str">
        <x:v>OK</x:v>
      </x:c>
      <x:c r="T1818" t="n">
        <x:v>36</x:v>
      </x:c>
      <x:c r="U1818" t="str">
        <x:v>OK</x:v>
      </x:c>
      <x:c r="V1818" t="str">
        <x:v>OK</x:v>
      </x:c>
      <x:c r="W1818" t="str">
        <x:v>LOAD</x:v>
      </x:c>
      <x:c r="X1818" t="str">
        <x:v>02_Supervisor_Log(4).xlsx</x:v>
      </x:c>
      <x:c r="Y1818" t="str">
        <x:v>ENH-20260830-01</x:v>
      </x:c>
      <x:c r="Z1818" t="str">
        <x:v>Active</x:v>
      </x:c>
      <x:c r="AA1818"/>
      <x:c r="AB1818"/>
      <x:c r="AC1818"/>
      <x:c r="AD1818"/>
    </x:row>
    <x:row r="1819">
      <x:c r="A1819" t="str">
        <x:v>PCC-PE-KG01-L24-20251022-AM-ORD-2025-00125-S07-C3</x:v>
      </x:c>
      <x:c r="B1819" t="str">
        <x:v>PC-PE-KG01-L24-20251022-AM-ORD-2025-00125-S07</x:v>
      </x:c>
      <x:c r="C1819" t="str">
        <x:v>PE-KG01-L24-20251022-AM-ORD-2025-00125</x:v>
      </x:c>
      <x:c r="D1819" t="str">
        <x:v>KG01</x:v>
      </x:c>
      <x:c r="E1819" s="62" t="n">
        <x:v>45952</x:v>
      </x:c>
      <x:c r="F1819" t="str">
        <x:v>AM</x:v>
      </x:c>
      <x:c r="G1819" t="str">
        <x:v>B</x:v>
      </x:c>
      <x:c r="H1819" t="n">
        <x:v>24</x:v>
      </x:c>
      <x:c r="I1819" t="str">
        <x:v>ORD-2025-00125</x:v>
      </x:c>
      <x:c r="J1819" t="n">
        <x:v>7</x:v>
      </x:c>
      <x:c r="K1819" t="n">
        <x:v>3</x:v>
      </x:c>
      <x:c r="L1819" t="str">
        <x:v>L24-S07-C3</x:v>
      </x:c>
      <x:c r="M1819" t="n">
        <x:v>1</x:v>
      </x:c>
      <x:c r="N1819" t="str">
        <x:v>DerivedFromCount</x:v>
      </x:c>
      <x:c r="O1819" t="str">
        <x:v>PLC-PRD-JAR-330-L24</x:v>
      </x:c>
      <x:c r="P1819" t="str">
        <x:v>OK</x:v>
      </x:c>
      <x:c r="Q1819" t="str">
        <x:v>OK</x:v>
      </x:c>
      <x:c r="R1819" t="str">
        <x:v>OK</x:v>
      </x:c>
      <x:c r="S1819" t="str">
        <x:v>OK</x:v>
      </x:c>
      <x:c r="T1819" t="n">
        <x:v>36</x:v>
      </x:c>
      <x:c r="U1819" t="str">
        <x:v>OK</x:v>
      </x:c>
      <x:c r="V1819" t="str">
        <x:v>OK</x:v>
      </x:c>
      <x:c r="W1819" t="str">
        <x:v>LOAD</x:v>
      </x:c>
      <x:c r="X1819" t="str">
        <x:v>02_Supervisor_Log(4).xlsx</x:v>
      </x:c>
      <x:c r="Y1819" t="str">
        <x:v>ENH-20260830-01</x:v>
      </x:c>
      <x:c r="Z1819" t="str">
        <x:v>Active</x:v>
      </x:c>
      <x:c r="AA1819"/>
      <x:c r="AB1819"/>
      <x:c r="AC1819"/>
      <x:c r="AD1819"/>
    </x:row>
    <x:row r="1820">
      <x:c r="A1820" t="str">
        <x:v>PCC-PE-KG01-L24-20251022-AM-ORD-2025-00125-S08-C1</x:v>
      </x:c>
      <x:c r="B1820" t="str">
        <x:v>PC-PE-KG01-L24-20251022-AM-ORD-2025-00125-S08</x:v>
      </x:c>
      <x:c r="C1820" t="str">
        <x:v>PE-KG01-L24-20251022-AM-ORD-2025-00125</x:v>
      </x:c>
      <x:c r="D1820" t="str">
        <x:v>KG01</x:v>
      </x:c>
      <x:c r="E1820" s="62" t="n">
        <x:v>45952</x:v>
      </x:c>
      <x:c r="F1820" t="str">
        <x:v>AM</x:v>
      </x:c>
      <x:c r="G1820" t="str">
        <x:v>B</x:v>
      </x:c>
      <x:c r="H1820" t="n">
        <x:v>24</x:v>
      </x:c>
      <x:c r="I1820" t="str">
        <x:v>ORD-2025-00125</x:v>
      </x:c>
      <x:c r="J1820" t="n">
        <x:v>8</x:v>
      </x:c>
      <x:c r="K1820" t="n">
        <x:v>1</x:v>
      </x:c>
      <x:c r="L1820" t="str">
        <x:v>L24-S08-C1</x:v>
      </x:c>
      <x:c r="M1820" t="n">
        <x:v>1</x:v>
      </x:c>
      <x:c r="N1820" t="str">
        <x:v>DerivedFromCount</x:v>
      </x:c>
      <x:c r="O1820" t="str">
        <x:v>PLC-PRD-JAR-330-L24</x:v>
      </x:c>
      <x:c r="P1820" t="str">
        <x:v>OK</x:v>
      </x:c>
      <x:c r="Q1820" t="str">
        <x:v>OK</x:v>
      </x:c>
      <x:c r="R1820" t="str">
        <x:v>OK</x:v>
      </x:c>
      <x:c r="S1820" t="str">
        <x:v>OK</x:v>
      </x:c>
      <x:c r="T1820" t="n">
        <x:v>36</x:v>
      </x:c>
      <x:c r="U1820" t="str">
        <x:v>OK</x:v>
      </x:c>
      <x:c r="V1820" t="str">
        <x:v>OK</x:v>
      </x:c>
      <x:c r="W1820" t="str">
        <x:v>LOAD</x:v>
      </x:c>
      <x:c r="X1820" t="str">
        <x:v>02_Supervisor_Log(4).xlsx</x:v>
      </x:c>
      <x:c r="Y1820" t="str">
        <x:v>ENH-20260830-01</x:v>
      </x:c>
      <x:c r="Z1820" t="str">
        <x:v>Active</x:v>
      </x:c>
      <x:c r="AA1820"/>
      <x:c r="AB1820"/>
      <x:c r="AC1820"/>
      <x:c r="AD1820"/>
    </x:row>
    <x:row r="1821">
      <x:c r="A1821" t="str">
        <x:v>PCC-PE-KG01-L24-20251022-AM-ORD-2025-00125-S08-C2</x:v>
      </x:c>
      <x:c r="B1821" t="str">
        <x:v>PC-PE-KG01-L24-20251022-AM-ORD-2025-00125-S08</x:v>
      </x:c>
      <x:c r="C1821" t="str">
        <x:v>PE-KG01-L24-20251022-AM-ORD-2025-00125</x:v>
      </x:c>
      <x:c r="D1821" t="str">
        <x:v>KG01</x:v>
      </x:c>
      <x:c r="E1821" s="62" t="n">
        <x:v>45952</x:v>
      </x:c>
      <x:c r="F1821" t="str">
        <x:v>AM</x:v>
      </x:c>
      <x:c r="G1821" t="str">
        <x:v>B</x:v>
      </x:c>
      <x:c r="H1821" t="n">
        <x:v>24</x:v>
      </x:c>
      <x:c r="I1821" t="str">
        <x:v>ORD-2025-00125</x:v>
      </x:c>
      <x:c r="J1821" t="n">
        <x:v>8</x:v>
      </x:c>
      <x:c r="K1821" t="n">
        <x:v>2</x:v>
      </x:c>
      <x:c r="L1821" t="str">
        <x:v>L24-S08-C2</x:v>
      </x:c>
      <x:c r="M1821" t="n">
        <x:v>1</x:v>
      </x:c>
      <x:c r="N1821" t="str">
        <x:v>DerivedFromCount</x:v>
      </x:c>
      <x:c r="O1821" t="str">
        <x:v>PLC-PRD-JAR-330-L24</x:v>
      </x:c>
      <x:c r="P1821" t="str">
        <x:v>OK</x:v>
      </x:c>
      <x:c r="Q1821" t="str">
        <x:v>OK</x:v>
      </x:c>
      <x:c r="R1821" t="str">
        <x:v>OK</x:v>
      </x:c>
      <x:c r="S1821" t="str">
        <x:v>OK</x:v>
      </x:c>
      <x:c r="T1821" t="n">
        <x:v>36</x:v>
      </x:c>
      <x:c r="U1821" t="str">
        <x:v>OK</x:v>
      </x:c>
      <x:c r="V1821" t="str">
        <x:v>OK</x:v>
      </x:c>
      <x:c r="W1821" t="str">
        <x:v>LOAD</x:v>
      </x:c>
      <x:c r="X1821" t="str">
        <x:v>02_Supervisor_Log(4).xlsx</x:v>
      </x:c>
      <x:c r="Y1821" t="str">
        <x:v>ENH-20260830-01</x:v>
      </x:c>
      <x:c r="Z1821" t="str">
        <x:v>Active</x:v>
      </x:c>
      <x:c r="AA1821"/>
      <x:c r="AB1821"/>
      <x:c r="AC1821"/>
      <x:c r="AD1821"/>
    </x:row>
    <x:row r="1822">
      <x:c r="A1822" t="str">
        <x:v>PCC-PE-KG01-L24-20251022-AM-ORD-2025-00125-S08-C3</x:v>
      </x:c>
      <x:c r="B1822" t="str">
        <x:v>PC-PE-KG01-L24-20251022-AM-ORD-2025-00125-S08</x:v>
      </x:c>
      <x:c r="C1822" t="str">
        <x:v>PE-KG01-L24-20251022-AM-ORD-2025-00125</x:v>
      </x:c>
      <x:c r="D1822" t="str">
        <x:v>KG01</x:v>
      </x:c>
      <x:c r="E1822" s="62" t="n">
        <x:v>45952</x:v>
      </x:c>
      <x:c r="F1822" t="str">
        <x:v>AM</x:v>
      </x:c>
      <x:c r="G1822" t="str">
        <x:v>B</x:v>
      </x:c>
      <x:c r="H1822" t="n">
        <x:v>24</x:v>
      </x:c>
      <x:c r="I1822" t="str">
        <x:v>ORD-2025-00125</x:v>
      </x:c>
      <x:c r="J1822" t="n">
        <x:v>8</x:v>
      </x:c>
      <x:c r="K1822" t="n">
        <x:v>3</x:v>
      </x:c>
      <x:c r="L1822" t="str">
        <x:v>L24-S08-C3</x:v>
      </x:c>
      <x:c r="M1822" t="n">
        <x:v>1</x:v>
      </x:c>
      <x:c r="N1822" t="str">
        <x:v>DerivedFromCount</x:v>
      </x:c>
      <x:c r="O1822" t="str">
        <x:v>PLC-PRD-JAR-330-L24</x:v>
      </x:c>
      <x:c r="P1822" t="str">
        <x:v>OK</x:v>
      </x:c>
      <x:c r="Q1822" t="str">
        <x:v>OK</x:v>
      </x:c>
      <x:c r="R1822" t="str">
        <x:v>OK</x:v>
      </x:c>
      <x:c r="S1822" t="str">
        <x:v>OK</x:v>
      </x:c>
      <x:c r="T1822" t="n">
        <x:v>36</x:v>
      </x:c>
      <x:c r="U1822" t="str">
        <x:v>OK</x:v>
      </x:c>
      <x:c r="V1822" t="str">
        <x:v>OK</x:v>
      </x:c>
      <x:c r="W1822" t="str">
        <x:v>LOAD</x:v>
      </x:c>
      <x:c r="X1822" t="str">
        <x:v>02_Supervisor_Log(4).xlsx</x:v>
      </x:c>
      <x:c r="Y1822" t="str">
        <x:v>ENH-20260830-01</x:v>
      </x:c>
      <x:c r="Z1822" t="str">
        <x:v>Active</x:v>
      </x:c>
      <x:c r="AA1822"/>
      <x:c r="AB1822"/>
      <x:c r="AC1822"/>
      <x:c r="AD1822"/>
    </x:row>
    <x:row r="1823">
      <x:c r="A1823" t="str">
        <x:v>PCC-PE-KG01-L24-20251022-AM-ORD-2025-00125-S09-C1</x:v>
      </x:c>
      <x:c r="B1823" t="str">
        <x:v>PC-PE-KG01-L24-20251022-AM-ORD-2025-00125-S09</x:v>
      </x:c>
      <x:c r="C1823" t="str">
        <x:v>PE-KG01-L24-20251022-AM-ORD-2025-00125</x:v>
      </x:c>
      <x:c r="D1823" t="str">
        <x:v>KG01</x:v>
      </x:c>
      <x:c r="E1823" s="62" t="n">
        <x:v>45952</x:v>
      </x:c>
      <x:c r="F1823" t="str">
        <x:v>AM</x:v>
      </x:c>
      <x:c r="G1823" t="str">
        <x:v>B</x:v>
      </x:c>
      <x:c r="H1823" t="n">
        <x:v>24</x:v>
      </x:c>
      <x:c r="I1823" t="str">
        <x:v>ORD-2025-00125</x:v>
      </x:c>
      <x:c r="J1823" t="n">
        <x:v>9</x:v>
      </x:c>
      <x:c r="K1823" t="n">
        <x:v>1</x:v>
      </x:c>
      <x:c r="L1823" t="str">
        <x:v>L24-S09-C1</x:v>
      </x:c>
      <x:c r="M1823" t="n">
        <x:v>1</x:v>
      </x:c>
      <x:c r="N1823" t="str">
        <x:v>DerivedFromCount</x:v>
      </x:c>
      <x:c r="O1823" t="str">
        <x:v>PLC-PRD-JAR-330-L24</x:v>
      </x:c>
      <x:c r="P1823" t="str">
        <x:v>OK</x:v>
      </x:c>
      <x:c r="Q1823" t="str">
        <x:v>OK</x:v>
      </x:c>
      <x:c r="R1823" t="str">
        <x:v>OK</x:v>
      </x:c>
      <x:c r="S1823" t="str">
        <x:v>OK</x:v>
      </x:c>
      <x:c r="T1823" t="n">
        <x:v>36</x:v>
      </x:c>
      <x:c r="U1823" t="str">
        <x:v>OK</x:v>
      </x:c>
      <x:c r="V1823" t="str">
        <x:v>OK</x:v>
      </x:c>
      <x:c r="W1823" t="str">
        <x:v>LOAD</x:v>
      </x:c>
      <x:c r="X1823" t="str">
        <x:v>02_Supervisor_Log(4).xlsx</x:v>
      </x:c>
      <x:c r="Y1823" t="str">
        <x:v>ENH-20260830-01</x:v>
      </x:c>
      <x:c r="Z1823" t="str">
        <x:v>Active</x:v>
      </x:c>
      <x:c r="AA1823"/>
      <x:c r="AB1823"/>
      <x:c r="AC1823"/>
      <x:c r="AD1823"/>
    </x:row>
    <x:row r="1824">
      <x:c r="A1824" t="str">
        <x:v>PCC-PE-KG01-L24-20251022-AM-ORD-2025-00125-S09-C2</x:v>
      </x:c>
      <x:c r="B1824" t="str">
        <x:v>PC-PE-KG01-L24-20251022-AM-ORD-2025-00125-S09</x:v>
      </x:c>
      <x:c r="C1824" t="str">
        <x:v>PE-KG01-L24-20251022-AM-ORD-2025-00125</x:v>
      </x:c>
      <x:c r="D1824" t="str">
        <x:v>KG01</x:v>
      </x:c>
      <x:c r="E1824" s="62" t="n">
        <x:v>45952</x:v>
      </x:c>
      <x:c r="F1824" t="str">
        <x:v>AM</x:v>
      </x:c>
      <x:c r="G1824" t="str">
        <x:v>B</x:v>
      </x:c>
      <x:c r="H1824" t="n">
        <x:v>24</x:v>
      </x:c>
      <x:c r="I1824" t="str">
        <x:v>ORD-2025-00125</x:v>
      </x:c>
      <x:c r="J1824" t="n">
        <x:v>9</x:v>
      </x:c>
      <x:c r="K1824" t="n">
        <x:v>2</x:v>
      </x:c>
      <x:c r="L1824" t="str">
        <x:v>L24-S09-C2</x:v>
      </x:c>
      <x:c r="M1824" t="n">
        <x:v>1</x:v>
      </x:c>
      <x:c r="N1824" t="str">
        <x:v>DerivedFromCount</x:v>
      </x:c>
      <x:c r="O1824" t="str">
        <x:v>PLC-PRD-JAR-330-L24</x:v>
      </x:c>
      <x:c r="P1824" t="str">
        <x:v>OK</x:v>
      </x:c>
      <x:c r="Q1824" t="str">
        <x:v>OK</x:v>
      </x:c>
      <x:c r="R1824" t="str">
        <x:v>OK</x:v>
      </x:c>
      <x:c r="S1824" t="str">
        <x:v>OK</x:v>
      </x:c>
      <x:c r="T1824" t="n">
        <x:v>36</x:v>
      </x:c>
      <x:c r="U1824" t="str">
        <x:v>OK</x:v>
      </x:c>
      <x:c r="V1824" t="str">
        <x:v>OK</x:v>
      </x:c>
      <x:c r="W1824" t="str">
        <x:v>LOAD</x:v>
      </x:c>
      <x:c r="X1824" t="str">
        <x:v>02_Supervisor_Log(4).xlsx</x:v>
      </x:c>
      <x:c r="Y1824" t="str">
        <x:v>ENH-20260830-01</x:v>
      </x:c>
      <x:c r="Z1824" t="str">
        <x:v>Active</x:v>
      </x:c>
      <x:c r="AA1824"/>
      <x:c r="AB1824"/>
      <x:c r="AC1824"/>
      <x:c r="AD1824"/>
    </x:row>
    <x:row r="1825">
      <x:c r="A1825" t="str">
        <x:v>PCC-PE-KG01-L24-20251022-AM-ORD-2025-00125-S09-C3</x:v>
      </x:c>
      <x:c r="B1825" t="str">
        <x:v>PC-PE-KG01-L24-20251022-AM-ORD-2025-00125-S09</x:v>
      </x:c>
      <x:c r="C1825" t="str">
        <x:v>PE-KG01-L24-20251022-AM-ORD-2025-00125</x:v>
      </x:c>
      <x:c r="D1825" t="str">
        <x:v>KG01</x:v>
      </x:c>
      <x:c r="E1825" s="62" t="n">
        <x:v>45952</x:v>
      </x:c>
      <x:c r="F1825" t="str">
        <x:v>AM</x:v>
      </x:c>
      <x:c r="G1825" t="str">
        <x:v>B</x:v>
      </x:c>
      <x:c r="H1825" t="n">
        <x:v>24</x:v>
      </x:c>
      <x:c r="I1825" t="str">
        <x:v>ORD-2025-00125</x:v>
      </x:c>
      <x:c r="J1825" t="n">
        <x:v>9</x:v>
      </x:c>
      <x:c r="K1825" t="n">
        <x:v>3</x:v>
      </x:c>
      <x:c r="L1825" t="str">
        <x:v>L24-S09-C3</x:v>
      </x:c>
      <x:c r="M1825" t="n">
        <x:v>1</x:v>
      </x:c>
      <x:c r="N1825" t="str">
        <x:v>DerivedFromCount</x:v>
      </x:c>
      <x:c r="O1825" t="str">
        <x:v>PLC-PRD-JAR-330-L24</x:v>
      </x:c>
      <x:c r="P1825" t="str">
        <x:v>OK</x:v>
      </x:c>
      <x:c r="Q1825" t="str">
        <x:v>OK</x:v>
      </x:c>
      <x:c r="R1825" t="str">
        <x:v>OK</x:v>
      </x:c>
      <x:c r="S1825" t="str">
        <x:v>OK</x:v>
      </x:c>
      <x:c r="T1825" t="n">
        <x:v>36</x:v>
      </x:c>
      <x:c r="U1825" t="str">
        <x:v>OK</x:v>
      </x:c>
      <x:c r="V1825" t="str">
        <x:v>OK</x:v>
      </x:c>
      <x:c r="W1825" t="str">
        <x:v>LOAD</x:v>
      </x:c>
      <x:c r="X1825" t="str">
        <x:v>02_Supervisor_Log(4).xlsx</x:v>
      </x:c>
      <x:c r="Y1825" t="str">
        <x:v>ENH-20260830-01</x:v>
      </x:c>
      <x:c r="Z1825" t="str">
        <x:v>Active</x:v>
      </x:c>
      <x:c r="AA1825"/>
      <x:c r="AB1825"/>
      <x:c r="AC1825"/>
      <x:c r="AD1825"/>
    </x:row>
    <x:row r="1826">
      <x:c r="A1826" t="str">
        <x:v>PCC-PE-KG01-L24-20251022-AM-ORD-2025-00125-S10-C1</x:v>
      </x:c>
      <x:c r="B1826" t="str">
        <x:v>PC-PE-KG01-L24-20251022-AM-ORD-2025-00125-S10</x:v>
      </x:c>
      <x:c r="C1826" t="str">
        <x:v>PE-KG01-L24-20251022-AM-ORD-2025-00125</x:v>
      </x:c>
      <x:c r="D1826" t="str">
        <x:v>KG01</x:v>
      </x:c>
      <x:c r="E1826" s="62" t="n">
        <x:v>45952</x:v>
      </x:c>
      <x:c r="F1826" t="str">
        <x:v>AM</x:v>
      </x:c>
      <x:c r="G1826" t="str">
        <x:v>B</x:v>
      </x:c>
      <x:c r="H1826" t="n">
        <x:v>24</x:v>
      </x:c>
      <x:c r="I1826" t="str">
        <x:v>ORD-2025-00125</x:v>
      </x:c>
      <x:c r="J1826" t="n">
        <x:v>10</x:v>
      </x:c>
      <x:c r="K1826" t="n">
        <x:v>1</x:v>
      </x:c>
      <x:c r="L1826" t="str">
        <x:v>L24-S10-C1</x:v>
      </x:c>
      <x:c r="M1826" t="n">
        <x:v>1</x:v>
      </x:c>
      <x:c r="N1826" t="str">
        <x:v>DerivedFromCount</x:v>
      </x:c>
      <x:c r="O1826" t="str">
        <x:v>PLC-PRD-JAR-330-L24</x:v>
      </x:c>
      <x:c r="P1826" t="str">
        <x:v>OK</x:v>
      </x:c>
      <x:c r="Q1826" t="str">
        <x:v>OK</x:v>
      </x:c>
      <x:c r="R1826" t="str">
        <x:v>OK</x:v>
      </x:c>
      <x:c r="S1826" t="str">
        <x:v>OK</x:v>
      </x:c>
      <x:c r="T1826" t="n">
        <x:v>36</x:v>
      </x:c>
      <x:c r="U1826" t="str">
        <x:v>OK</x:v>
      </x:c>
      <x:c r="V1826" t="str">
        <x:v>OK</x:v>
      </x:c>
      <x:c r="W1826" t="str">
        <x:v>LOAD</x:v>
      </x:c>
      <x:c r="X1826" t="str">
        <x:v>02_Supervisor_Log(4).xlsx</x:v>
      </x:c>
      <x:c r="Y1826" t="str">
        <x:v>ENH-20260830-01</x:v>
      </x:c>
      <x:c r="Z1826" t="str">
        <x:v>Active</x:v>
      </x:c>
      <x:c r="AA1826"/>
      <x:c r="AB1826"/>
      <x:c r="AC1826"/>
      <x:c r="AD1826"/>
    </x:row>
    <x:row r="1827">
      <x:c r="A1827" t="str">
        <x:v>PCC-PE-KG01-L24-20251022-AM-ORD-2025-00125-S10-C2</x:v>
      </x:c>
      <x:c r="B1827" t="str">
        <x:v>PC-PE-KG01-L24-20251022-AM-ORD-2025-00125-S10</x:v>
      </x:c>
      <x:c r="C1827" t="str">
        <x:v>PE-KG01-L24-20251022-AM-ORD-2025-00125</x:v>
      </x:c>
      <x:c r="D1827" t="str">
        <x:v>KG01</x:v>
      </x:c>
      <x:c r="E1827" s="62" t="n">
        <x:v>45952</x:v>
      </x:c>
      <x:c r="F1827" t="str">
        <x:v>AM</x:v>
      </x:c>
      <x:c r="G1827" t="str">
        <x:v>B</x:v>
      </x:c>
      <x:c r="H1827" t="n">
        <x:v>24</x:v>
      </x:c>
      <x:c r="I1827" t="str">
        <x:v>ORD-2025-00125</x:v>
      </x:c>
      <x:c r="J1827" t="n">
        <x:v>10</x:v>
      </x:c>
      <x:c r="K1827" t="n">
        <x:v>2</x:v>
      </x:c>
      <x:c r="L1827" t="str">
        <x:v>L24-S10-C2</x:v>
      </x:c>
      <x:c r="M1827" t="n">
        <x:v>1</x:v>
      </x:c>
      <x:c r="N1827" t="str">
        <x:v>DerivedFromCount</x:v>
      </x:c>
      <x:c r="O1827" t="str">
        <x:v>PLC-PRD-JAR-330-L24</x:v>
      </x:c>
      <x:c r="P1827" t="str">
        <x:v>OK</x:v>
      </x:c>
      <x:c r="Q1827" t="str">
        <x:v>OK</x:v>
      </x:c>
      <x:c r="R1827" t="str">
        <x:v>OK</x:v>
      </x:c>
      <x:c r="S1827" t="str">
        <x:v>OK</x:v>
      </x:c>
      <x:c r="T1827" t="n">
        <x:v>36</x:v>
      </x:c>
      <x:c r="U1827" t="str">
        <x:v>OK</x:v>
      </x:c>
      <x:c r="V1827" t="str">
        <x:v>OK</x:v>
      </x:c>
      <x:c r="W1827" t="str">
        <x:v>LOAD</x:v>
      </x:c>
      <x:c r="X1827" t="str">
        <x:v>02_Supervisor_Log(4).xlsx</x:v>
      </x:c>
      <x:c r="Y1827" t="str">
        <x:v>ENH-20260830-01</x:v>
      </x:c>
      <x:c r="Z1827" t="str">
        <x:v>Active</x:v>
      </x:c>
      <x:c r="AA1827"/>
      <x:c r="AB1827"/>
      <x:c r="AC1827"/>
      <x:c r="AD1827"/>
    </x:row>
    <x:row r="1828">
      <x:c r="A1828" t="str">
        <x:v>PCC-PE-KG01-L24-20251022-AM-ORD-2025-00125-S10-C3</x:v>
      </x:c>
      <x:c r="B1828" t="str">
        <x:v>PC-PE-KG01-L24-20251022-AM-ORD-2025-00125-S10</x:v>
      </x:c>
      <x:c r="C1828" t="str">
        <x:v>PE-KG01-L24-20251022-AM-ORD-2025-00125</x:v>
      </x:c>
      <x:c r="D1828" t="str">
        <x:v>KG01</x:v>
      </x:c>
      <x:c r="E1828" s="62" t="n">
        <x:v>45952</x:v>
      </x:c>
      <x:c r="F1828" t="str">
        <x:v>AM</x:v>
      </x:c>
      <x:c r="G1828" t="str">
        <x:v>B</x:v>
      </x:c>
      <x:c r="H1828" t="n">
        <x:v>24</x:v>
      </x:c>
      <x:c r="I1828" t="str">
        <x:v>ORD-2025-00125</x:v>
      </x:c>
      <x:c r="J1828" t="n">
        <x:v>10</x:v>
      </x:c>
      <x:c r="K1828" t="n">
        <x:v>3</x:v>
      </x:c>
      <x:c r="L1828" t="str">
        <x:v>L24-S10-C3</x:v>
      </x:c>
      <x:c r="M1828" t="n">
        <x:v>1</x:v>
      </x:c>
      <x:c r="N1828" t="str">
        <x:v>DerivedFromCount</x:v>
      </x:c>
      <x:c r="O1828" t="str">
        <x:v>PLC-PRD-JAR-330-L24</x:v>
      </x:c>
      <x:c r="P1828" t="str">
        <x:v>OK</x:v>
      </x:c>
      <x:c r="Q1828" t="str">
        <x:v>OK</x:v>
      </x:c>
      <x:c r="R1828" t="str">
        <x:v>OK</x:v>
      </x:c>
      <x:c r="S1828" t="str">
        <x:v>OK</x:v>
      </x:c>
      <x:c r="T1828" t="n">
        <x:v>36</x:v>
      </x:c>
      <x:c r="U1828" t="str">
        <x:v>OK</x:v>
      </x:c>
      <x:c r="V1828" t="str">
        <x:v>OK</x:v>
      </x:c>
      <x:c r="W1828" t="str">
        <x:v>LOAD</x:v>
      </x:c>
      <x:c r="X1828" t="str">
        <x:v>02_Supervisor_Log(4).xlsx</x:v>
      </x:c>
      <x:c r="Y1828" t="str">
        <x:v>ENH-20260830-01</x:v>
      </x:c>
      <x:c r="Z1828" t="str">
        <x:v>Active</x:v>
      </x:c>
      <x:c r="AA1828"/>
      <x:c r="AB1828"/>
      <x:c r="AC1828"/>
      <x:c r="AD1828"/>
    </x:row>
    <x:row r="1829">
      <x:c r="A1829" t="str">
        <x:v>PCC-PE-KG01-L24-20251022-AM-ORD-2025-00125-S11-C1</x:v>
      </x:c>
      <x:c r="B1829" t="str">
        <x:v>PC-PE-KG01-L24-20251022-AM-ORD-2025-00125-S11</x:v>
      </x:c>
      <x:c r="C1829" t="str">
        <x:v>PE-KG01-L24-20251022-AM-ORD-2025-00125</x:v>
      </x:c>
      <x:c r="D1829" t="str">
        <x:v>KG01</x:v>
      </x:c>
      <x:c r="E1829" s="62" t="n">
        <x:v>45952</x:v>
      </x:c>
      <x:c r="F1829" t="str">
        <x:v>AM</x:v>
      </x:c>
      <x:c r="G1829" t="str">
        <x:v>B</x:v>
      </x:c>
      <x:c r="H1829" t="n">
        <x:v>24</x:v>
      </x:c>
      <x:c r="I1829" t="str">
        <x:v>ORD-2025-00125</x:v>
      </x:c>
      <x:c r="J1829" t="n">
        <x:v>11</x:v>
      </x:c>
      <x:c r="K1829" t="n">
        <x:v>1</x:v>
      </x:c>
      <x:c r="L1829" t="str">
        <x:v>L24-S11-C1</x:v>
      </x:c>
      <x:c r="M1829" t="n">
        <x:v>1</x:v>
      </x:c>
      <x:c r="N1829" t="str">
        <x:v>DerivedFromCount</x:v>
      </x:c>
      <x:c r="O1829" t="str">
        <x:v>PLC-PRD-JAR-330-L24</x:v>
      </x:c>
      <x:c r="P1829" t="str">
        <x:v>OK</x:v>
      </x:c>
      <x:c r="Q1829" t="str">
        <x:v>OK</x:v>
      </x:c>
      <x:c r="R1829" t="str">
        <x:v>OK</x:v>
      </x:c>
      <x:c r="S1829" t="str">
        <x:v>OK</x:v>
      </x:c>
      <x:c r="T1829" t="n">
        <x:v>36</x:v>
      </x:c>
      <x:c r="U1829" t="str">
        <x:v>OK</x:v>
      </x:c>
      <x:c r="V1829" t="str">
        <x:v>OK</x:v>
      </x:c>
      <x:c r="W1829" t="str">
        <x:v>LOAD</x:v>
      </x:c>
      <x:c r="X1829" t="str">
        <x:v>02_Supervisor_Log(4).xlsx</x:v>
      </x:c>
      <x:c r="Y1829" t="str">
        <x:v>ENH-20260830-01</x:v>
      </x:c>
      <x:c r="Z1829" t="str">
        <x:v>Active</x:v>
      </x:c>
      <x:c r="AA1829"/>
      <x:c r="AB1829"/>
      <x:c r="AC1829"/>
      <x:c r="AD1829"/>
    </x:row>
    <x:row r="1830">
      <x:c r="A1830" t="str">
        <x:v>PCC-PE-KG01-L24-20251022-AM-ORD-2025-00125-S11-C2</x:v>
      </x:c>
      <x:c r="B1830" t="str">
        <x:v>PC-PE-KG01-L24-20251022-AM-ORD-2025-00125-S11</x:v>
      </x:c>
      <x:c r="C1830" t="str">
        <x:v>PE-KG01-L24-20251022-AM-ORD-2025-00125</x:v>
      </x:c>
      <x:c r="D1830" t="str">
        <x:v>KG01</x:v>
      </x:c>
      <x:c r="E1830" s="62" t="n">
        <x:v>45952</x:v>
      </x:c>
      <x:c r="F1830" t="str">
        <x:v>AM</x:v>
      </x:c>
      <x:c r="G1830" t="str">
        <x:v>B</x:v>
      </x:c>
      <x:c r="H1830" t="n">
        <x:v>24</x:v>
      </x:c>
      <x:c r="I1830" t="str">
        <x:v>ORD-2025-00125</x:v>
      </x:c>
      <x:c r="J1830" t="n">
        <x:v>11</x:v>
      </x:c>
      <x:c r="K1830" t="n">
        <x:v>2</x:v>
      </x:c>
      <x:c r="L1830" t="str">
        <x:v>L24-S11-C2</x:v>
      </x:c>
      <x:c r="M1830" t="n">
        <x:v>1</x:v>
      </x:c>
      <x:c r="N1830" t="str">
        <x:v>DerivedFromCount</x:v>
      </x:c>
      <x:c r="O1830" t="str">
        <x:v>PLC-PRD-JAR-330-L24</x:v>
      </x:c>
      <x:c r="P1830" t="str">
        <x:v>OK</x:v>
      </x:c>
      <x:c r="Q1830" t="str">
        <x:v>OK</x:v>
      </x:c>
      <x:c r="R1830" t="str">
        <x:v>OK</x:v>
      </x:c>
      <x:c r="S1830" t="str">
        <x:v>OK</x:v>
      </x:c>
      <x:c r="T1830" t="n">
        <x:v>36</x:v>
      </x:c>
      <x:c r="U1830" t="str">
        <x:v>OK</x:v>
      </x:c>
      <x:c r="V1830" t="str">
        <x:v>OK</x:v>
      </x:c>
      <x:c r="W1830" t="str">
        <x:v>LOAD</x:v>
      </x:c>
      <x:c r="X1830" t="str">
        <x:v>02_Supervisor_Log(4).xlsx</x:v>
      </x:c>
      <x:c r="Y1830" t="str">
        <x:v>ENH-20260830-01</x:v>
      </x:c>
      <x:c r="Z1830" t="str">
        <x:v>Active</x:v>
      </x:c>
      <x:c r="AA1830"/>
      <x:c r="AB1830"/>
      <x:c r="AC1830"/>
      <x:c r="AD1830"/>
    </x:row>
    <x:row r="1831">
      <x:c r="A1831" t="str">
        <x:v>PCC-PE-KG01-L24-20251022-AM-ORD-2025-00125-S11-C3</x:v>
      </x:c>
      <x:c r="B1831" t="str">
        <x:v>PC-PE-KG01-L24-20251022-AM-ORD-2025-00125-S11</x:v>
      </x:c>
      <x:c r="C1831" t="str">
        <x:v>PE-KG01-L24-20251022-AM-ORD-2025-00125</x:v>
      </x:c>
      <x:c r="D1831" t="str">
        <x:v>KG01</x:v>
      </x:c>
      <x:c r="E1831" s="62" t="n">
        <x:v>45952</x:v>
      </x:c>
      <x:c r="F1831" t="str">
        <x:v>AM</x:v>
      </x:c>
      <x:c r="G1831" t="str">
        <x:v>B</x:v>
      </x:c>
      <x:c r="H1831" t="n">
        <x:v>24</x:v>
      </x:c>
      <x:c r="I1831" t="str">
        <x:v>ORD-2025-00125</x:v>
      </x:c>
      <x:c r="J1831" t="n">
        <x:v>11</x:v>
      </x:c>
      <x:c r="K1831" t="n">
        <x:v>3</x:v>
      </x:c>
      <x:c r="L1831" t="str">
        <x:v>L24-S11-C3</x:v>
      </x:c>
      <x:c r="M1831" t="n">
        <x:v>1</x:v>
      </x:c>
      <x:c r="N1831" t="str">
        <x:v>DerivedFromCount</x:v>
      </x:c>
      <x:c r="O1831" t="str">
        <x:v>PLC-PRD-JAR-330-L24</x:v>
      </x:c>
      <x:c r="P1831" t="str">
        <x:v>OK</x:v>
      </x:c>
      <x:c r="Q1831" t="str">
        <x:v>OK</x:v>
      </x:c>
      <x:c r="R1831" t="str">
        <x:v>OK</x:v>
      </x:c>
      <x:c r="S1831" t="str">
        <x:v>OK</x:v>
      </x:c>
      <x:c r="T1831" t="n">
        <x:v>36</x:v>
      </x:c>
      <x:c r="U1831" t="str">
        <x:v>OK</x:v>
      </x:c>
      <x:c r="V1831" t="str">
        <x:v>OK</x:v>
      </x:c>
      <x:c r="W1831" t="str">
        <x:v>LOAD</x:v>
      </x:c>
      <x:c r="X1831" t="str">
        <x:v>02_Supervisor_Log(4).xlsx</x:v>
      </x:c>
      <x:c r="Y1831" t="str">
        <x:v>ENH-20260830-01</x:v>
      </x:c>
      <x:c r="Z1831" t="str">
        <x:v>Active</x:v>
      </x:c>
      <x:c r="AA1831"/>
      <x:c r="AB1831"/>
      <x:c r="AC1831"/>
      <x:c r="AD1831"/>
    </x:row>
    <x:row r="1832">
      <x:c r="A1832" t="str">
        <x:v>PCC-PE-KG01-L24-20251022-AM-ORD-2025-00125-S12-C1</x:v>
      </x:c>
      <x:c r="B1832" t="str">
        <x:v>PC-PE-KG01-L24-20251022-AM-ORD-2025-00125-S12</x:v>
      </x:c>
      <x:c r="C1832" t="str">
        <x:v>PE-KG01-L24-20251022-AM-ORD-2025-00125</x:v>
      </x:c>
      <x:c r="D1832" t="str">
        <x:v>KG01</x:v>
      </x:c>
      <x:c r="E1832" s="62" t="n">
        <x:v>45952</x:v>
      </x:c>
      <x:c r="F1832" t="str">
        <x:v>AM</x:v>
      </x:c>
      <x:c r="G1832" t="str">
        <x:v>B</x:v>
      </x:c>
      <x:c r="H1832" t="n">
        <x:v>24</x:v>
      </x:c>
      <x:c r="I1832" t="str">
        <x:v>ORD-2025-00125</x:v>
      </x:c>
      <x:c r="J1832" t="n">
        <x:v>12</x:v>
      </x:c>
      <x:c r="K1832" t="n">
        <x:v>1</x:v>
      </x:c>
      <x:c r="L1832" t="str">
        <x:v>L24-S12-C1</x:v>
      </x:c>
      <x:c r="M1832" t="n">
        <x:v>1</x:v>
      </x:c>
      <x:c r="N1832" t="str">
        <x:v>DerivedFromCount</x:v>
      </x:c>
      <x:c r="O1832" t="str">
        <x:v>PLC-PRD-JAR-330-L24</x:v>
      </x:c>
      <x:c r="P1832" t="str">
        <x:v>OK</x:v>
      </x:c>
      <x:c r="Q1832" t="str">
        <x:v>OK</x:v>
      </x:c>
      <x:c r="R1832" t="str">
        <x:v>OK</x:v>
      </x:c>
      <x:c r="S1832" t="str">
        <x:v>OK</x:v>
      </x:c>
      <x:c r="T1832" t="n">
        <x:v>36</x:v>
      </x:c>
      <x:c r="U1832" t="str">
        <x:v>OK</x:v>
      </x:c>
      <x:c r="V1832" t="str">
        <x:v>OK</x:v>
      </x:c>
      <x:c r="W1832" t="str">
        <x:v>LOAD</x:v>
      </x:c>
      <x:c r="X1832" t="str">
        <x:v>02_Supervisor_Log(4).xlsx</x:v>
      </x:c>
      <x:c r="Y1832" t="str">
        <x:v>ENH-20260830-01</x:v>
      </x:c>
      <x:c r="Z1832" t="str">
        <x:v>Active</x:v>
      </x:c>
      <x:c r="AA1832"/>
      <x:c r="AB1832"/>
      <x:c r="AC1832"/>
      <x:c r="AD1832"/>
    </x:row>
    <x:row r="1833">
      <x:c r="A1833" t="str">
        <x:v>PCC-PE-KG01-L24-20251022-AM-ORD-2025-00125-S12-C2</x:v>
      </x:c>
      <x:c r="B1833" t="str">
        <x:v>PC-PE-KG01-L24-20251022-AM-ORD-2025-00125-S12</x:v>
      </x:c>
      <x:c r="C1833" t="str">
        <x:v>PE-KG01-L24-20251022-AM-ORD-2025-00125</x:v>
      </x:c>
      <x:c r="D1833" t="str">
        <x:v>KG01</x:v>
      </x:c>
      <x:c r="E1833" s="62" t="n">
        <x:v>45952</x:v>
      </x:c>
      <x:c r="F1833" t="str">
        <x:v>AM</x:v>
      </x:c>
      <x:c r="G1833" t="str">
        <x:v>B</x:v>
      </x:c>
      <x:c r="H1833" t="n">
        <x:v>24</x:v>
      </x:c>
      <x:c r="I1833" t="str">
        <x:v>ORD-2025-00125</x:v>
      </x:c>
      <x:c r="J1833" t="n">
        <x:v>12</x:v>
      </x:c>
      <x:c r="K1833" t="n">
        <x:v>2</x:v>
      </x:c>
      <x:c r="L1833" t="str">
        <x:v>L24-S12-C2</x:v>
      </x:c>
      <x:c r="M1833" t="n">
        <x:v>1</x:v>
      </x:c>
      <x:c r="N1833" t="str">
        <x:v>DerivedFromCount</x:v>
      </x:c>
      <x:c r="O1833" t="str">
        <x:v>PLC-PRD-JAR-330-L24</x:v>
      </x:c>
      <x:c r="P1833" t="str">
        <x:v>OK</x:v>
      </x:c>
      <x:c r="Q1833" t="str">
        <x:v>OK</x:v>
      </x:c>
      <x:c r="R1833" t="str">
        <x:v>OK</x:v>
      </x:c>
      <x:c r="S1833" t="str">
        <x:v>OK</x:v>
      </x:c>
      <x:c r="T1833" t="n">
        <x:v>36</x:v>
      </x:c>
      <x:c r="U1833" t="str">
        <x:v>OK</x:v>
      </x:c>
      <x:c r="V1833" t="str">
        <x:v>OK</x:v>
      </x:c>
      <x:c r="W1833" t="str">
        <x:v>LOAD</x:v>
      </x:c>
      <x:c r="X1833" t="str">
        <x:v>02_Supervisor_Log(4).xlsx</x:v>
      </x:c>
      <x:c r="Y1833" t="str">
        <x:v>ENH-20260830-01</x:v>
      </x:c>
      <x:c r="Z1833" t="str">
        <x:v>Active</x:v>
      </x:c>
      <x:c r="AA1833"/>
      <x:c r="AB1833"/>
      <x:c r="AC1833"/>
      <x:c r="AD1833"/>
    </x:row>
    <x:row r="1834">
      <x:c r="A1834" t="str">
        <x:v>PCC-PE-KG01-L24-20251022-AM-ORD-2025-00125-S12-C3</x:v>
      </x:c>
      <x:c r="B1834" t="str">
        <x:v>PC-PE-KG01-L24-20251022-AM-ORD-2025-00125-S12</x:v>
      </x:c>
      <x:c r="C1834" t="str">
        <x:v>PE-KG01-L24-20251022-AM-ORD-2025-00125</x:v>
      </x:c>
      <x:c r="D1834" t="str">
        <x:v>KG01</x:v>
      </x:c>
      <x:c r="E1834" s="62" t="n">
        <x:v>45952</x:v>
      </x:c>
      <x:c r="F1834" t="str">
        <x:v>AM</x:v>
      </x:c>
      <x:c r="G1834" t="str">
        <x:v>B</x:v>
      </x:c>
      <x:c r="H1834" t="n">
        <x:v>24</x:v>
      </x:c>
      <x:c r="I1834" t="str">
        <x:v>ORD-2025-00125</x:v>
      </x:c>
      <x:c r="J1834" t="n">
        <x:v>12</x:v>
      </x:c>
      <x:c r="K1834" t="n">
        <x:v>3</x:v>
      </x:c>
      <x:c r="L1834" t="str">
        <x:v>L24-S12-C3</x:v>
      </x:c>
      <x:c r="M1834" t="n">
        <x:v>1</x:v>
      </x:c>
      <x:c r="N1834" t="str">
        <x:v>DerivedFromCount</x:v>
      </x:c>
      <x:c r="O1834" t="str">
        <x:v>PLC-PRD-JAR-330-L24</x:v>
      </x:c>
      <x:c r="P1834" t="str">
        <x:v>OK</x:v>
      </x:c>
      <x:c r="Q1834" t="str">
        <x:v>OK</x:v>
      </x:c>
      <x:c r="R1834" t="str">
        <x:v>OK</x:v>
      </x:c>
      <x:c r="S1834" t="str">
        <x:v>OK</x:v>
      </x:c>
      <x:c r="T1834" t="n">
        <x:v>36</x:v>
      </x:c>
      <x:c r="U1834" t="str">
        <x:v>OK</x:v>
      </x:c>
      <x:c r="V1834" t="str">
        <x:v>OK</x:v>
      </x:c>
      <x:c r="W1834" t="str">
        <x:v>LOAD</x:v>
      </x:c>
      <x:c r="X1834" t="str">
        <x:v>02_Supervisor_Log(4).xlsx</x:v>
      </x:c>
      <x:c r="Y1834" t="str">
        <x:v>ENH-20260830-01</x:v>
      </x:c>
      <x:c r="Z1834" t="str">
        <x:v>Active</x:v>
      </x:c>
      <x:c r="AA1834"/>
      <x:c r="AB1834"/>
      <x:c r="AC1834"/>
      <x:c r="AD1834"/>
    </x:row>
    <x:row r="1835">
      <x:c r="A1835" t="str">
        <x:v>PCC-PE-KG01-L24-20251022-AM-ORD-2025-00125-S13-C1</x:v>
      </x:c>
      <x:c r="B1835" t="str">
        <x:v>PC-PE-KG01-L24-20251022-AM-ORD-2025-00125-S13</x:v>
      </x:c>
      <x:c r="C1835" t="str">
        <x:v>PE-KG01-L24-20251022-AM-ORD-2025-00125</x:v>
      </x:c>
      <x:c r="D1835" t="str">
        <x:v>KG01</x:v>
      </x:c>
      <x:c r="E1835" s="62" t="n">
        <x:v>45952</x:v>
      </x:c>
      <x:c r="F1835" t="str">
        <x:v>AM</x:v>
      </x:c>
      <x:c r="G1835" t="str">
        <x:v>B</x:v>
      </x:c>
      <x:c r="H1835" t="n">
        <x:v>24</x:v>
      </x:c>
      <x:c r="I1835" t="str">
        <x:v>ORD-2025-00125</x:v>
      </x:c>
      <x:c r="J1835" t="n">
        <x:v>13</x:v>
      </x:c>
      <x:c r="K1835" t="n">
        <x:v>1</x:v>
      </x:c>
      <x:c r="L1835" t="str">
        <x:v>L24-S13-C1</x:v>
      </x:c>
      <x:c r="M1835" t="n">
        <x:v>0</x:v>
      </x:c>
      <x:c r="N1835" t="str">
        <x:v>DerivedFromCount</x:v>
      </x:c>
      <x:c r="O1835" t="str">
        <x:v>PLC-PRD-JAR-330-L24</x:v>
      </x:c>
      <x:c r="P1835" t="str">
        <x:v>OK</x:v>
      </x:c>
      <x:c r="Q1835" t="str">
        <x:v>OK</x:v>
      </x:c>
      <x:c r="R1835" t="str">
        <x:v>OK</x:v>
      </x:c>
      <x:c r="S1835" t="str">
        <x:v>OK</x:v>
      </x:c>
      <x:c r="T1835" t="n">
        <x:v>36</x:v>
      </x:c>
      <x:c r="U1835" t="str">
        <x:v>OK</x:v>
      </x:c>
      <x:c r="V1835" t="str">
        <x:v>OK</x:v>
      </x:c>
      <x:c r="W1835" t="str">
        <x:v>LOAD</x:v>
      </x:c>
      <x:c r="X1835" t="str">
        <x:v>02_Supervisor_Log(4).xlsx</x:v>
      </x:c>
      <x:c r="Y1835" t="str">
        <x:v>ENH-20260830-01</x:v>
      </x:c>
      <x:c r="Z1835" t="str">
        <x:v>Active</x:v>
      </x:c>
      <x:c r="AA1835"/>
      <x:c r="AB1835"/>
      <x:c r="AC1835"/>
      <x:c r="AD1835"/>
    </x:row>
    <x:row r="1836">
      <x:c r="A1836" t="str">
        <x:v>PCC-PE-KG01-L24-20251022-AM-ORD-2025-00125-S13-C2</x:v>
      </x:c>
      <x:c r="B1836" t="str">
        <x:v>PC-PE-KG01-L24-20251022-AM-ORD-2025-00125-S13</x:v>
      </x:c>
      <x:c r="C1836" t="str">
        <x:v>PE-KG01-L24-20251022-AM-ORD-2025-00125</x:v>
      </x:c>
      <x:c r="D1836" t="str">
        <x:v>KG01</x:v>
      </x:c>
      <x:c r="E1836" s="62" t="n">
        <x:v>45952</x:v>
      </x:c>
      <x:c r="F1836" t="str">
        <x:v>AM</x:v>
      </x:c>
      <x:c r="G1836" t="str">
        <x:v>B</x:v>
      </x:c>
      <x:c r="H1836" t="n">
        <x:v>24</x:v>
      </x:c>
      <x:c r="I1836" t="str">
        <x:v>ORD-2025-00125</x:v>
      </x:c>
      <x:c r="J1836" t="n">
        <x:v>13</x:v>
      </x:c>
      <x:c r="K1836" t="n">
        <x:v>2</x:v>
      </x:c>
      <x:c r="L1836" t="str">
        <x:v>L24-S13-C2</x:v>
      </x:c>
      <x:c r="M1836" t="n">
        <x:v>0</x:v>
      </x:c>
      <x:c r="N1836" t="str">
        <x:v>DerivedFromCount</x:v>
      </x:c>
      <x:c r="O1836" t="str">
        <x:v>PLC-PRD-JAR-330-L24</x:v>
      </x:c>
      <x:c r="P1836" t="str">
        <x:v>OK</x:v>
      </x:c>
      <x:c r="Q1836" t="str">
        <x:v>OK</x:v>
      </x:c>
      <x:c r="R1836" t="str">
        <x:v>OK</x:v>
      </x:c>
      <x:c r="S1836" t="str">
        <x:v>OK</x:v>
      </x:c>
      <x:c r="T1836" t="n">
        <x:v>36</x:v>
      </x:c>
      <x:c r="U1836" t="str">
        <x:v>OK</x:v>
      </x:c>
      <x:c r="V1836" t="str">
        <x:v>OK</x:v>
      </x:c>
      <x:c r="W1836" t="str">
        <x:v>LOAD</x:v>
      </x:c>
      <x:c r="X1836" t="str">
        <x:v>02_Supervisor_Log(4).xlsx</x:v>
      </x:c>
      <x:c r="Y1836" t="str">
        <x:v>ENH-20260830-01</x:v>
      </x:c>
      <x:c r="Z1836" t="str">
        <x:v>Active</x:v>
      </x:c>
      <x:c r="AA1836"/>
      <x:c r="AB1836"/>
      <x:c r="AC1836"/>
      <x:c r="AD1836"/>
    </x:row>
    <x:row r="1837">
      <x:c r="A1837" t="str">
        <x:v>PCC-PE-KG01-L24-20251022-AM-ORD-2025-00125-S13-C3</x:v>
      </x:c>
      <x:c r="B1837" t="str">
        <x:v>PC-PE-KG01-L24-20251022-AM-ORD-2025-00125-S13</x:v>
      </x:c>
      <x:c r="C1837" t="str">
        <x:v>PE-KG01-L24-20251022-AM-ORD-2025-00125</x:v>
      </x:c>
      <x:c r="D1837" t="str">
        <x:v>KG01</x:v>
      </x:c>
      <x:c r="E1837" s="62" t="n">
        <x:v>45952</x:v>
      </x:c>
      <x:c r="F1837" t="str">
        <x:v>AM</x:v>
      </x:c>
      <x:c r="G1837" t="str">
        <x:v>B</x:v>
      </x:c>
      <x:c r="H1837" t="n">
        <x:v>24</x:v>
      </x:c>
      <x:c r="I1837" t="str">
        <x:v>ORD-2025-00125</x:v>
      </x:c>
      <x:c r="J1837" t="n">
        <x:v>13</x:v>
      </x:c>
      <x:c r="K1837" t="n">
        <x:v>3</x:v>
      </x:c>
      <x:c r="L1837" t="str">
        <x:v>L24-S13-C3</x:v>
      </x:c>
      <x:c r="M1837" t="n">
        <x:v>0</x:v>
      </x:c>
      <x:c r="N1837" t="str">
        <x:v>DerivedFromCount</x:v>
      </x:c>
      <x:c r="O1837" t="str">
        <x:v>PLC-PRD-JAR-330-L24</x:v>
      </x:c>
      <x:c r="P1837" t="str">
        <x:v>OK</x:v>
      </x:c>
      <x:c r="Q1837" t="str">
        <x:v>OK</x:v>
      </x:c>
      <x:c r="R1837" t="str">
        <x:v>OK</x:v>
      </x:c>
      <x:c r="S1837" t="str">
        <x:v>OK</x:v>
      </x:c>
      <x:c r="T1837" t="n">
        <x:v>36</x:v>
      </x:c>
      <x:c r="U1837" t="str">
        <x:v>OK</x:v>
      </x:c>
      <x:c r="V1837" t="str">
        <x:v>OK</x:v>
      </x:c>
      <x:c r="W1837" t="str">
        <x:v>LOAD</x:v>
      </x:c>
      <x:c r="X1837" t="str">
        <x:v>02_Supervisor_Log(4).xlsx</x:v>
      </x:c>
      <x:c r="Y1837" t="str">
        <x:v>ENH-20260830-01</x:v>
      </x:c>
      <x:c r="Z1837" t="str">
        <x:v>Active</x:v>
      </x:c>
      <x:c r="AA1837"/>
      <x:c r="AB1837"/>
      <x:c r="AC1837"/>
      <x:c r="AD1837"/>
    </x:row>
    <x:row r="1838">
      <x:c r="A1838" t="str">
        <x:v>PCC-PE-KG01-L24-20251022-PM-ORD-2025-00125-S01-C1</x:v>
      </x:c>
      <x:c r="B1838" t="str">
        <x:v>PC-PE-KG01-L24-20251022-PM-ORD-2025-00125-S01</x:v>
      </x:c>
      <x:c r="C1838" t="str">
        <x:v>PE-KG01-L24-20251022-PM-ORD-2025-00125</x:v>
      </x:c>
      <x:c r="D1838" t="str">
        <x:v>KG01</x:v>
      </x:c>
      <x:c r="E1838" s="62" t="n">
        <x:v>45952</x:v>
      </x:c>
      <x:c r="F1838" t="str">
        <x:v>PM</x:v>
      </x:c>
      <x:c r="G1838" t="str">
        <x:v>C</x:v>
      </x:c>
      <x:c r="H1838" t="n">
        <x:v>24</x:v>
      </x:c>
      <x:c r="I1838" t="str">
        <x:v>ORD-2025-00125</x:v>
      </x:c>
      <x:c r="J1838" t="n">
        <x:v>1</x:v>
      </x:c>
      <x:c r="K1838" t="n">
        <x:v>1</x:v>
      </x:c>
      <x:c r="L1838" t="str">
        <x:v>L24-S01-C1</x:v>
      </x:c>
      <x:c r="M1838" t="n">
        <x:v>1</x:v>
      </x:c>
      <x:c r="N1838" t="str">
        <x:v>DerivedFromCount</x:v>
      </x:c>
      <x:c r="O1838" t="str">
        <x:v>PLC-PRD-JAR-330-L24</x:v>
      </x:c>
      <x:c r="P1838" t="str">
        <x:v>OK</x:v>
      </x:c>
      <x:c r="Q1838" t="str">
        <x:v>OK</x:v>
      </x:c>
      <x:c r="R1838" t="str">
        <x:v>OK</x:v>
      </x:c>
      <x:c r="S1838" t="str">
        <x:v>OK</x:v>
      </x:c>
      <x:c r="T1838" t="n">
        <x:v>36</x:v>
      </x:c>
      <x:c r="U1838" t="str">
        <x:v>OK</x:v>
      </x:c>
      <x:c r="V1838" t="str">
        <x:v>OK</x:v>
      </x:c>
      <x:c r="W1838" t="str">
        <x:v>LOAD</x:v>
      </x:c>
      <x:c r="X1838" t="str">
        <x:v>02_Supervisor_Log(4).xlsx</x:v>
      </x:c>
      <x:c r="Y1838" t="str">
        <x:v>ENH-20260830-01</x:v>
      </x:c>
      <x:c r="Z1838" t="str">
        <x:v>Active</x:v>
      </x:c>
      <x:c r="AA1838"/>
      <x:c r="AB1838"/>
      <x:c r="AC1838"/>
      <x:c r="AD1838"/>
    </x:row>
    <x:row r="1839">
      <x:c r="A1839" t="str">
        <x:v>PCC-PE-KG01-L24-20251022-PM-ORD-2025-00125-S01-C2</x:v>
      </x:c>
      <x:c r="B1839" t="str">
        <x:v>PC-PE-KG01-L24-20251022-PM-ORD-2025-00125-S01</x:v>
      </x:c>
      <x:c r="C1839" t="str">
        <x:v>PE-KG01-L24-20251022-PM-ORD-2025-00125</x:v>
      </x:c>
      <x:c r="D1839" t="str">
        <x:v>KG01</x:v>
      </x:c>
      <x:c r="E1839" s="62" t="n">
        <x:v>45952</x:v>
      </x:c>
      <x:c r="F1839" t="str">
        <x:v>PM</x:v>
      </x:c>
      <x:c r="G1839" t="str">
        <x:v>C</x:v>
      </x:c>
      <x:c r="H1839" t="n">
        <x:v>24</x:v>
      </x:c>
      <x:c r="I1839" t="str">
        <x:v>ORD-2025-00125</x:v>
      </x:c>
      <x:c r="J1839" t="n">
        <x:v>1</x:v>
      </x:c>
      <x:c r="K1839" t="n">
        <x:v>2</x:v>
      </x:c>
      <x:c r="L1839" t="str">
        <x:v>L24-S01-C2</x:v>
      </x:c>
      <x:c r="M1839" t="n">
        <x:v>1</x:v>
      </x:c>
      <x:c r="N1839" t="str">
        <x:v>DerivedFromCount</x:v>
      </x:c>
      <x:c r="O1839" t="str">
        <x:v>PLC-PRD-JAR-330-L24</x:v>
      </x:c>
      <x:c r="P1839" t="str">
        <x:v>OK</x:v>
      </x:c>
      <x:c r="Q1839" t="str">
        <x:v>OK</x:v>
      </x:c>
      <x:c r="R1839" t="str">
        <x:v>OK</x:v>
      </x:c>
      <x:c r="S1839" t="str">
        <x:v>OK</x:v>
      </x:c>
      <x:c r="T1839" t="n">
        <x:v>36</x:v>
      </x:c>
      <x:c r="U1839" t="str">
        <x:v>OK</x:v>
      </x:c>
      <x:c r="V1839" t="str">
        <x:v>OK</x:v>
      </x:c>
      <x:c r="W1839" t="str">
        <x:v>LOAD</x:v>
      </x:c>
      <x:c r="X1839" t="str">
        <x:v>02_Supervisor_Log(4).xlsx</x:v>
      </x:c>
      <x:c r="Y1839" t="str">
        <x:v>ENH-20260830-01</x:v>
      </x:c>
      <x:c r="Z1839" t="str">
        <x:v>Active</x:v>
      </x:c>
      <x:c r="AA1839"/>
      <x:c r="AB1839"/>
      <x:c r="AC1839"/>
      <x:c r="AD1839"/>
    </x:row>
    <x:row r="1840">
      <x:c r="A1840" t="str">
        <x:v>PCC-PE-KG01-L24-20251022-PM-ORD-2025-00125-S01-C3</x:v>
      </x:c>
      <x:c r="B1840" t="str">
        <x:v>PC-PE-KG01-L24-20251022-PM-ORD-2025-00125-S01</x:v>
      </x:c>
      <x:c r="C1840" t="str">
        <x:v>PE-KG01-L24-20251022-PM-ORD-2025-00125</x:v>
      </x:c>
      <x:c r="D1840" t="str">
        <x:v>KG01</x:v>
      </x:c>
      <x:c r="E1840" s="62" t="n">
        <x:v>45952</x:v>
      </x:c>
      <x:c r="F1840" t="str">
        <x:v>PM</x:v>
      </x:c>
      <x:c r="G1840" t="str">
        <x:v>C</x:v>
      </x:c>
      <x:c r="H1840" t="n">
        <x:v>24</x:v>
      </x:c>
      <x:c r="I1840" t="str">
        <x:v>ORD-2025-00125</x:v>
      </x:c>
      <x:c r="J1840" t="n">
        <x:v>1</x:v>
      </x:c>
      <x:c r="K1840" t="n">
        <x:v>3</x:v>
      </x:c>
      <x:c r="L1840" t="str">
        <x:v>L24-S01-C3</x:v>
      </x:c>
      <x:c r="M1840" t="n">
        <x:v>1</x:v>
      </x:c>
      <x:c r="N1840" t="str">
        <x:v>DerivedFromCount</x:v>
      </x:c>
      <x:c r="O1840" t="str">
        <x:v>PLC-PRD-JAR-330-L24</x:v>
      </x:c>
      <x:c r="P1840" t="str">
        <x:v>OK</x:v>
      </x:c>
      <x:c r="Q1840" t="str">
        <x:v>OK</x:v>
      </x:c>
      <x:c r="R1840" t="str">
        <x:v>OK</x:v>
      </x:c>
      <x:c r="S1840" t="str">
        <x:v>OK</x:v>
      </x:c>
      <x:c r="T1840" t="n">
        <x:v>36</x:v>
      </x:c>
      <x:c r="U1840" t="str">
        <x:v>OK</x:v>
      </x:c>
      <x:c r="V1840" t="str">
        <x:v>OK</x:v>
      </x:c>
      <x:c r="W1840" t="str">
        <x:v>LOAD</x:v>
      </x:c>
      <x:c r="X1840" t="str">
        <x:v>02_Supervisor_Log(4).xlsx</x:v>
      </x:c>
      <x:c r="Y1840" t="str">
        <x:v>ENH-20260830-01</x:v>
      </x:c>
      <x:c r="Z1840" t="str">
        <x:v>Active</x:v>
      </x:c>
      <x:c r="AA1840"/>
      <x:c r="AB1840"/>
      <x:c r="AC1840"/>
      <x:c r="AD1840"/>
    </x:row>
    <x:row r="1841">
      <x:c r="A1841" t="str">
        <x:v>PCC-PE-KG01-L24-20251022-PM-ORD-2025-00125-S02-C1</x:v>
      </x:c>
      <x:c r="B1841" t="str">
        <x:v>PC-PE-KG01-L24-20251022-PM-ORD-2025-00125-S02</x:v>
      </x:c>
      <x:c r="C1841" t="str">
        <x:v>PE-KG01-L24-20251022-PM-ORD-2025-00125</x:v>
      </x:c>
      <x:c r="D1841" t="str">
        <x:v>KG01</x:v>
      </x:c>
      <x:c r="E1841" s="62" t="n">
        <x:v>45952</x:v>
      </x:c>
      <x:c r="F1841" t="str">
        <x:v>PM</x:v>
      </x:c>
      <x:c r="G1841" t="str">
        <x:v>C</x:v>
      </x:c>
      <x:c r="H1841" t="n">
        <x:v>24</x:v>
      </x:c>
      <x:c r="I1841" t="str">
        <x:v>ORD-2025-00125</x:v>
      </x:c>
      <x:c r="J1841" t="n">
        <x:v>2</x:v>
      </x:c>
      <x:c r="K1841" t="n">
        <x:v>1</x:v>
      </x:c>
      <x:c r="L1841" t="str">
        <x:v>L24-S02-C1</x:v>
      </x:c>
      <x:c r="M1841" t="n">
        <x:v>1</x:v>
      </x:c>
      <x:c r="N1841" t="str">
        <x:v>DerivedFromCount</x:v>
      </x:c>
      <x:c r="O1841" t="str">
        <x:v>PLC-PRD-JAR-330-L24</x:v>
      </x:c>
      <x:c r="P1841" t="str">
        <x:v>OK</x:v>
      </x:c>
      <x:c r="Q1841" t="str">
        <x:v>OK</x:v>
      </x:c>
      <x:c r="R1841" t="str">
        <x:v>OK</x:v>
      </x:c>
      <x:c r="S1841" t="str">
        <x:v>OK</x:v>
      </x:c>
      <x:c r="T1841" t="n">
        <x:v>36</x:v>
      </x:c>
      <x:c r="U1841" t="str">
        <x:v>OK</x:v>
      </x:c>
      <x:c r="V1841" t="str">
        <x:v>OK</x:v>
      </x:c>
      <x:c r="W1841" t="str">
        <x:v>LOAD</x:v>
      </x:c>
      <x:c r="X1841" t="str">
        <x:v>02_Supervisor_Log(4).xlsx</x:v>
      </x:c>
      <x:c r="Y1841" t="str">
        <x:v>ENH-20260830-01</x:v>
      </x:c>
      <x:c r="Z1841" t="str">
        <x:v>Active</x:v>
      </x:c>
      <x:c r="AA1841"/>
      <x:c r="AB1841"/>
      <x:c r="AC1841"/>
      <x:c r="AD1841"/>
    </x:row>
    <x:row r="1842">
      <x:c r="A1842" t="str">
        <x:v>PCC-PE-KG01-L24-20251022-PM-ORD-2025-00125-S02-C2</x:v>
      </x:c>
      <x:c r="B1842" t="str">
        <x:v>PC-PE-KG01-L24-20251022-PM-ORD-2025-00125-S02</x:v>
      </x:c>
      <x:c r="C1842" t="str">
        <x:v>PE-KG01-L24-20251022-PM-ORD-2025-00125</x:v>
      </x:c>
      <x:c r="D1842" t="str">
        <x:v>KG01</x:v>
      </x:c>
      <x:c r="E1842" s="62" t="n">
        <x:v>45952</x:v>
      </x:c>
      <x:c r="F1842" t="str">
        <x:v>PM</x:v>
      </x:c>
      <x:c r="G1842" t="str">
        <x:v>C</x:v>
      </x:c>
      <x:c r="H1842" t="n">
        <x:v>24</x:v>
      </x:c>
      <x:c r="I1842" t="str">
        <x:v>ORD-2025-00125</x:v>
      </x:c>
      <x:c r="J1842" t="n">
        <x:v>2</x:v>
      </x:c>
      <x:c r="K1842" t="n">
        <x:v>2</x:v>
      </x:c>
      <x:c r="L1842" t="str">
        <x:v>L24-S02-C2</x:v>
      </x:c>
      <x:c r="M1842" t="n">
        <x:v>1</x:v>
      </x:c>
      <x:c r="N1842" t="str">
        <x:v>DerivedFromCount</x:v>
      </x:c>
      <x:c r="O1842" t="str">
        <x:v>PLC-PRD-JAR-330-L24</x:v>
      </x:c>
      <x:c r="P1842" t="str">
        <x:v>OK</x:v>
      </x:c>
      <x:c r="Q1842" t="str">
        <x:v>OK</x:v>
      </x:c>
      <x:c r="R1842" t="str">
        <x:v>OK</x:v>
      </x:c>
      <x:c r="S1842" t="str">
        <x:v>OK</x:v>
      </x:c>
      <x:c r="T1842" t="n">
        <x:v>36</x:v>
      </x:c>
      <x:c r="U1842" t="str">
        <x:v>OK</x:v>
      </x:c>
      <x:c r="V1842" t="str">
        <x:v>OK</x:v>
      </x:c>
      <x:c r="W1842" t="str">
        <x:v>LOAD</x:v>
      </x:c>
      <x:c r="X1842" t="str">
        <x:v>02_Supervisor_Log(4).xlsx</x:v>
      </x:c>
      <x:c r="Y1842" t="str">
        <x:v>ENH-20260830-01</x:v>
      </x:c>
      <x:c r="Z1842" t="str">
        <x:v>Active</x:v>
      </x:c>
      <x:c r="AA1842"/>
      <x:c r="AB1842"/>
      <x:c r="AC1842"/>
      <x:c r="AD1842"/>
    </x:row>
    <x:row r="1843">
      <x:c r="A1843" t="str">
        <x:v>PCC-PE-KG01-L24-20251022-PM-ORD-2025-00125-S02-C3</x:v>
      </x:c>
      <x:c r="B1843" t="str">
        <x:v>PC-PE-KG01-L24-20251022-PM-ORD-2025-00125-S02</x:v>
      </x:c>
      <x:c r="C1843" t="str">
        <x:v>PE-KG01-L24-20251022-PM-ORD-2025-00125</x:v>
      </x:c>
      <x:c r="D1843" t="str">
        <x:v>KG01</x:v>
      </x:c>
      <x:c r="E1843" s="62" t="n">
        <x:v>45952</x:v>
      </x:c>
      <x:c r="F1843" t="str">
        <x:v>PM</x:v>
      </x:c>
      <x:c r="G1843" t="str">
        <x:v>C</x:v>
      </x:c>
      <x:c r="H1843" t="n">
        <x:v>24</x:v>
      </x:c>
      <x:c r="I1843" t="str">
        <x:v>ORD-2025-00125</x:v>
      </x:c>
      <x:c r="J1843" t="n">
        <x:v>2</x:v>
      </x:c>
      <x:c r="K1843" t="n">
        <x:v>3</x:v>
      </x:c>
      <x:c r="L1843" t="str">
        <x:v>L24-S02-C3</x:v>
      </x:c>
      <x:c r="M1843" t="n">
        <x:v>1</x:v>
      </x:c>
      <x:c r="N1843" t="str">
        <x:v>DerivedFromCount</x:v>
      </x:c>
      <x:c r="O1843" t="str">
        <x:v>PLC-PRD-JAR-330-L24</x:v>
      </x:c>
      <x:c r="P1843" t="str">
        <x:v>OK</x:v>
      </x:c>
      <x:c r="Q1843" t="str">
        <x:v>OK</x:v>
      </x:c>
      <x:c r="R1843" t="str">
        <x:v>OK</x:v>
      </x:c>
      <x:c r="S1843" t="str">
        <x:v>OK</x:v>
      </x:c>
      <x:c r="T1843" t="n">
        <x:v>36</x:v>
      </x:c>
      <x:c r="U1843" t="str">
        <x:v>OK</x:v>
      </x:c>
      <x:c r="V1843" t="str">
        <x:v>OK</x:v>
      </x:c>
      <x:c r="W1843" t="str">
        <x:v>LOAD</x:v>
      </x:c>
      <x:c r="X1843" t="str">
        <x:v>02_Supervisor_Log(4).xlsx</x:v>
      </x:c>
      <x:c r="Y1843" t="str">
        <x:v>ENH-20260830-01</x:v>
      </x:c>
      <x:c r="Z1843" t="str">
        <x:v>Active</x:v>
      </x:c>
      <x:c r="AA1843"/>
      <x:c r="AB1843"/>
      <x:c r="AC1843"/>
      <x:c r="AD1843"/>
    </x:row>
    <x:row r="1844">
      <x:c r="A1844" t="str">
        <x:v>PCC-PE-KG01-L24-20251022-PM-ORD-2025-00125-S03-C1</x:v>
      </x:c>
      <x:c r="B1844" t="str">
        <x:v>PC-PE-KG01-L24-20251022-PM-ORD-2025-00125-S03</x:v>
      </x:c>
      <x:c r="C1844" t="str">
        <x:v>PE-KG01-L24-20251022-PM-ORD-2025-00125</x:v>
      </x:c>
      <x:c r="D1844" t="str">
        <x:v>KG01</x:v>
      </x:c>
      <x:c r="E1844" s="62" t="n">
        <x:v>45952</x:v>
      </x:c>
      <x:c r="F1844" t="str">
        <x:v>PM</x:v>
      </x:c>
      <x:c r="G1844" t="str">
        <x:v>C</x:v>
      </x:c>
      <x:c r="H1844" t="n">
        <x:v>24</x:v>
      </x:c>
      <x:c r="I1844" t="str">
        <x:v>ORD-2025-00125</x:v>
      </x:c>
      <x:c r="J1844" t="n">
        <x:v>3</x:v>
      </x:c>
      <x:c r="K1844" t="n">
        <x:v>1</x:v>
      </x:c>
      <x:c r="L1844" t="str">
        <x:v>L24-S03-C1</x:v>
      </x:c>
      <x:c r="M1844" t="n">
        <x:v>1</x:v>
      </x:c>
      <x:c r="N1844" t="str">
        <x:v>DerivedFromCount</x:v>
      </x:c>
      <x:c r="O1844" t="str">
        <x:v>PLC-PRD-JAR-330-L24</x:v>
      </x:c>
      <x:c r="P1844" t="str">
        <x:v>OK</x:v>
      </x:c>
      <x:c r="Q1844" t="str">
        <x:v>OK</x:v>
      </x:c>
      <x:c r="R1844" t="str">
        <x:v>OK</x:v>
      </x:c>
      <x:c r="S1844" t="str">
        <x:v>OK</x:v>
      </x:c>
      <x:c r="T1844" t="n">
        <x:v>36</x:v>
      </x:c>
      <x:c r="U1844" t="str">
        <x:v>OK</x:v>
      </x:c>
      <x:c r="V1844" t="str">
        <x:v>OK</x:v>
      </x:c>
      <x:c r="W1844" t="str">
        <x:v>LOAD</x:v>
      </x:c>
      <x:c r="X1844" t="str">
        <x:v>02_Supervisor_Log(4).xlsx</x:v>
      </x:c>
      <x:c r="Y1844" t="str">
        <x:v>ENH-20260830-01</x:v>
      </x:c>
      <x:c r="Z1844" t="str">
        <x:v>Active</x:v>
      </x:c>
      <x:c r="AA1844"/>
      <x:c r="AB1844"/>
      <x:c r="AC1844"/>
      <x:c r="AD1844"/>
    </x:row>
    <x:row r="1845">
      <x:c r="A1845" t="str">
        <x:v>PCC-PE-KG01-L24-20251022-PM-ORD-2025-00125-S03-C2</x:v>
      </x:c>
      <x:c r="B1845" t="str">
        <x:v>PC-PE-KG01-L24-20251022-PM-ORD-2025-00125-S03</x:v>
      </x:c>
      <x:c r="C1845" t="str">
        <x:v>PE-KG01-L24-20251022-PM-ORD-2025-00125</x:v>
      </x:c>
      <x:c r="D1845" t="str">
        <x:v>KG01</x:v>
      </x:c>
      <x:c r="E1845" s="62" t="n">
        <x:v>45952</x:v>
      </x:c>
      <x:c r="F1845" t="str">
        <x:v>PM</x:v>
      </x:c>
      <x:c r="G1845" t="str">
        <x:v>C</x:v>
      </x:c>
      <x:c r="H1845" t="n">
        <x:v>24</x:v>
      </x:c>
      <x:c r="I1845" t="str">
        <x:v>ORD-2025-00125</x:v>
      </x:c>
      <x:c r="J1845" t="n">
        <x:v>3</x:v>
      </x:c>
      <x:c r="K1845" t="n">
        <x:v>2</x:v>
      </x:c>
      <x:c r="L1845" t="str">
        <x:v>L24-S03-C2</x:v>
      </x:c>
      <x:c r="M1845" t="n">
        <x:v>1</x:v>
      </x:c>
      <x:c r="N1845" t="str">
        <x:v>DerivedFromCount</x:v>
      </x:c>
      <x:c r="O1845" t="str">
        <x:v>PLC-PRD-JAR-330-L24</x:v>
      </x:c>
      <x:c r="P1845" t="str">
        <x:v>OK</x:v>
      </x:c>
      <x:c r="Q1845" t="str">
        <x:v>OK</x:v>
      </x:c>
      <x:c r="R1845" t="str">
        <x:v>OK</x:v>
      </x:c>
      <x:c r="S1845" t="str">
        <x:v>OK</x:v>
      </x:c>
      <x:c r="T1845" t="n">
        <x:v>36</x:v>
      </x:c>
      <x:c r="U1845" t="str">
        <x:v>OK</x:v>
      </x:c>
      <x:c r="V1845" t="str">
        <x:v>OK</x:v>
      </x:c>
      <x:c r="W1845" t="str">
        <x:v>LOAD</x:v>
      </x:c>
      <x:c r="X1845" t="str">
        <x:v>02_Supervisor_Log(4).xlsx</x:v>
      </x:c>
      <x:c r="Y1845" t="str">
        <x:v>ENH-20260830-01</x:v>
      </x:c>
      <x:c r="Z1845" t="str">
        <x:v>Active</x:v>
      </x:c>
      <x:c r="AA1845"/>
      <x:c r="AB1845"/>
      <x:c r="AC1845"/>
      <x:c r="AD1845"/>
    </x:row>
    <x:row r="1846">
      <x:c r="A1846" t="str">
        <x:v>PCC-PE-KG01-L24-20251022-PM-ORD-2025-00125-S03-C3</x:v>
      </x:c>
      <x:c r="B1846" t="str">
        <x:v>PC-PE-KG01-L24-20251022-PM-ORD-2025-00125-S03</x:v>
      </x:c>
      <x:c r="C1846" t="str">
        <x:v>PE-KG01-L24-20251022-PM-ORD-2025-00125</x:v>
      </x:c>
      <x:c r="D1846" t="str">
        <x:v>KG01</x:v>
      </x:c>
      <x:c r="E1846" s="62" t="n">
        <x:v>45952</x:v>
      </x:c>
      <x:c r="F1846" t="str">
        <x:v>PM</x:v>
      </x:c>
      <x:c r="G1846" t="str">
        <x:v>C</x:v>
      </x:c>
      <x:c r="H1846" t="n">
        <x:v>24</x:v>
      </x:c>
      <x:c r="I1846" t="str">
        <x:v>ORD-2025-00125</x:v>
      </x:c>
      <x:c r="J1846" t="n">
        <x:v>3</x:v>
      </x:c>
      <x:c r="K1846" t="n">
        <x:v>3</x:v>
      </x:c>
      <x:c r="L1846" t="str">
        <x:v>L24-S03-C3</x:v>
      </x:c>
      <x:c r="M1846" t="n">
        <x:v>1</x:v>
      </x:c>
      <x:c r="N1846" t="str">
        <x:v>DerivedFromCount</x:v>
      </x:c>
      <x:c r="O1846" t="str">
        <x:v>PLC-PRD-JAR-330-L24</x:v>
      </x:c>
      <x:c r="P1846" t="str">
        <x:v>OK</x:v>
      </x:c>
      <x:c r="Q1846" t="str">
        <x:v>OK</x:v>
      </x:c>
      <x:c r="R1846" t="str">
        <x:v>OK</x:v>
      </x:c>
      <x:c r="S1846" t="str">
        <x:v>OK</x:v>
      </x:c>
      <x:c r="T1846" t="n">
        <x:v>36</x:v>
      </x:c>
      <x:c r="U1846" t="str">
        <x:v>OK</x:v>
      </x:c>
      <x:c r="V1846" t="str">
        <x:v>OK</x:v>
      </x:c>
      <x:c r="W1846" t="str">
        <x:v>LOAD</x:v>
      </x:c>
      <x:c r="X1846" t="str">
        <x:v>02_Supervisor_Log(4).xlsx</x:v>
      </x:c>
      <x:c r="Y1846" t="str">
        <x:v>ENH-20260830-01</x:v>
      </x:c>
      <x:c r="Z1846" t="str">
        <x:v>Active</x:v>
      </x:c>
      <x:c r="AA1846"/>
      <x:c r="AB1846"/>
      <x:c r="AC1846"/>
      <x:c r="AD1846"/>
    </x:row>
    <x:row r="1847">
      <x:c r="A1847" t="str">
        <x:v>PCC-PE-KG01-L24-20251022-PM-ORD-2025-00125-S04-C1</x:v>
      </x:c>
      <x:c r="B1847" t="str">
        <x:v>PC-PE-KG01-L24-20251022-PM-ORD-2025-00125-S04</x:v>
      </x:c>
      <x:c r="C1847" t="str">
        <x:v>PE-KG01-L24-20251022-PM-ORD-2025-00125</x:v>
      </x:c>
      <x:c r="D1847" t="str">
        <x:v>KG01</x:v>
      </x:c>
      <x:c r="E1847" s="62" t="n">
        <x:v>45952</x:v>
      </x:c>
      <x:c r="F1847" t="str">
        <x:v>PM</x:v>
      </x:c>
      <x:c r="G1847" t="str">
        <x:v>C</x:v>
      </x:c>
      <x:c r="H1847" t="n">
        <x:v>24</x:v>
      </x:c>
      <x:c r="I1847" t="str">
        <x:v>ORD-2025-00125</x:v>
      </x:c>
      <x:c r="J1847" t="n">
        <x:v>4</x:v>
      </x:c>
      <x:c r="K1847" t="n">
        <x:v>1</x:v>
      </x:c>
      <x:c r="L1847" t="str">
        <x:v>L24-S04-C1</x:v>
      </x:c>
      <x:c r="M1847" t="n">
        <x:v>1</x:v>
      </x:c>
      <x:c r="N1847" t="str">
        <x:v>DerivedFromCount</x:v>
      </x:c>
      <x:c r="O1847" t="str">
        <x:v>PLC-PRD-JAR-330-L24</x:v>
      </x:c>
      <x:c r="P1847" t="str">
        <x:v>OK</x:v>
      </x:c>
      <x:c r="Q1847" t="str">
        <x:v>OK</x:v>
      </x:c>
      <x:c r="R1847" t="str">
        <x:v>OK</x:v>
      </x:c>
      <x:c r="S1847" t="str">
        <x:v>OK</x:v>
      </x:c>
      <x:c r="T1847" t="n">
        <x:v>36</x:v>
      </x:c>
      <x:c r="U1847" t="str">
        <x:v>OK</x:v>
      </x:c>
      <x:c r="V1847" t="str">
        <x:v>OK</x:v>
      </x:c>
      <x:c r="W1847" t="str">
        <x:v>LOAD</x:v>
      </x:c>
      <x:c r="X1847" t="str">
        <x:v>02_Supervisor_Log(4).xlsx</x:v>
      </x:c>
      <x:c r="Y1847" t="str">
        <x:v>ENH-20260830-01</x:v>
      </x:c>
      <x:c r="Z1847" t="str">
        <x:v>Active</x:v>
      </x:c>
      <x:c r="AA1847"/>
      <x:c r="AB1847"/>
      <x:c r="AC1847"/>
      <x:c r="AD1847"/>
    </x:row>
    <x:row r="1848">
      <x:c r="A1848" t="str">
        <x:v>PCC-PE-KG01-L24-20251022-PM-ORD-2025-00125-S04-C2</x:v>
      </x:c>
      <x:c r="B1848" t="str">
        <x:v>PC-PE-KG01-L24-20251022-PM-ORD-2025-00125-S04</x:v>
      </x:c>
      <x:c r="C1848" t="str">
        <x:v>PE-KG01-L24-20251022-PM-ORD-2025-00125</x:v>
      </x:c>
      <x:c r="D1848" t="str">
        <x:v>KG01</x:v>
      </x:c>
      <x:c r="E1848" s="62" t="n">
        <x:v>45952</x:v>
      </x:c>
      <x:c r="F1848" t="str">
        <x:v>PM</x:v>
      </x:c>
      <x:c r="G1848" t="str">
        <x:v>C</x:v>
      </x:c>
      <x:c r="H1848" t="n">
        <x:v>24</x:v>
      </x:c>
      <x:c r="I1848" t="str">
        <x:v>ORD-2025-00125</x:v>
      </x:c>
      <x:c r="J1848" t="n">
        <x:v>4</x:v>
      </x:c>
      <x:c r="K1848" t="n">
        <x:v>2</x:v>
      </x:c>
      <x:c r="L1848" t="str">
        <x:v>L24-S04-C2</x:v>
      </x:c>
      <x:c r="M1848" t="n">
        <x:v>1</x:v>
      </x:c>
      <x:c r="N1848" t="str">
        <x:v>DerivedFromCount</x:v>
      </x:c>
      <x:c r="O1848" t="str">
        <x:v>PLC-PRD-JAR-330-L24</x:v>
      </x:c>
      <x:c r="P1848" t="str">
        <x:v>OK</x:v>
      </x:c>
      <x:c r="Q1848" t="str">
        <x:v>OK</x:v>
      </x:c>
      <x:c r="R1848" t="str">
        <x:v>OK</x:v>
      </x:c>
      <x:c r="S1848" t="str">
        <x:v>OK</x:v>
      </x:c>
      <x:c r="T1848" t="n">
        <x:v>36</x:v>
      </x:c>
      <x:c r="U1848" t="str">
        <x:v>OK</x:v>
      </x:c>
      <x:c r="V1848" t="str">
        <x:v>OK</x:v>
      </x:c>
      <x:c r="W1848" t="str">
        <x:v>LOAD</x:v>
      </x:c>
      <x:c r="X1848" t="str">
        <x:v>02_Supervisor_Log(4).xlsx</x:v>
      </x:c>
      <x:c r="Y1848" t="str">
        <x:v>ENH-20260830-01</x:v>
      </x:c>
      <x:c r="Z1848" t="str">
        <x:v>Active</x:v>
      </x:c>
      <x:c r="AA1848"/>
      <x:c r="AB1848"/>
      <x:c r="AC1848"/>
      <x:c r="AD1848"/>
    </x:row>
    <x:row r="1849">
      <x:c r="A1849" t="str">
        <x:v>PCC-PE-KG01-L24-20251022-PM-ORD-2025-00125-S04-C3</x:v>
      </x:c>
      <x:c r="B1849" t="str">
        <x:v>PC-PE-KG01-L24-20251022-PM-ORD-2025-00125-S04</x:v>
      </x:c>
      <x:c r="C1849" t="str">
        <x:v>PE-KG01-L24-20251022-PM-ORD-2025-00125</x:v>
      </x:c>
      <x:c r="D1849" t="str">
        <x:v>KG01</x:v>
      </x:c>
      <x:c r="E1849" s="62" t="n">
        <x:v>45952</x:v>
      </x:c>
      <x:c r="F1849" t="str">
        <x:v>PM</x:v>
      </x:c>
      <x:c r="G1849" t="str">
        <x:v>C</x:v>
      </x:c>
      <x:c r="H1849" t="n">
        <x:v>24</x:v>
      </x:c>
      <x:c r="I1849" t="str">
        <x:v>ORD-2025-00125</x:v>
      </x:c>
      <x:c r="J1849" t="n">
        <x:v>4</x:v>
      </x:c>
      <x:c r="K1849" t="n">
        <x:v>3</x:v>
      </x:c>
      <x:c r="L1849" t="str">
        <x:v>L24-S04-C3</x:v>
      </x:c>
      <x:c r="M1849" t="n">
        <x:v>1</x:v>
      </x:c>
      <x:c r="N1849" t="str">
        <x:v>DerivedFromCount</x:v>
      </x:c>
      <x:c r="O1849" t="str">
        <x:v>PLC-PRD-JAR-330-L24</x:v>
      </x:c>
      <x:c r="P1849" t="str">
        <x:v>OK</x:v>
      </x:c>
      <x:c r="Q1849" t="str">
        <x:v>OK</x:v>
      </x:c>
      <x:c r="R1849" t="str">
        <x:v>OK</x:v>
      </x:c>
      <x:c r="S1849" t="str">
        <x:v>OK</x:v>
      </x:c>
      <x:c r="T1849" t="n">
        <x:v>36</x:v>
      </x:c>
      <x:c r="U1849" t="str">
        <x:v>OK</x:v>
      </x:c>
      <x:c r="V1849" t="str">
        <x:v>OK</x:v>
      </x:c>
      <x:c r="W1849" t="str">
        <x:v>LOAD</x:v>
      </x:c>
      <x:c r="X1849" t="str">
        <x:v>02_Supervisor_Log(4).xlsx</x:v>
      </x:c>
      <x:c r="Y1849" t="str">
        <x:v>ENH-20260830-01</x:v>
      </x:c>
      <x:c r="Z1849" t="str">
        <x:v>Active</x:v>
      </x:c>
      <x:c r="AA1849"/>
      <x:c r="AB1849"/>
      <x:c r="AC1849"/>
      <x:c r="AD1849"/>
    </x:row>
    <x:row r="1850">
      <x:c r="A1850" t="str">
        <x:v>PCC-PE-KG01-L24-20251022-PM-ORD-2025-00125-S05-C1</x:v>
      </x:c>
      <x:c r="B1850" t="str">
        <x:v>PC-PE-KG01-L24-20251022-PM-ORD-2025-00125-S05</x:v>
      </x:c>
      <x:c r="C1850" t="str">
        <x:v>PE-KG01-L24-20251022-PM-ORD-2025-00125</x:v>
      </x:c>
      <x:c r="D1850" t="str">
        <x:v>KG01</x:v>
      </x:c>
      <x:c r="E1850" s="62" t="n">
        <x:v>45952</x:v>
      </x:c>
      <x:c r="F1850" t="str">
        <x:v>PM</x:v>
      </x:c>
      <x:c r="G1850" t="str">
        <x:v>C</x:v>
      </x:c>
      <x:c r="H1850" t="n">
        <x:v>24</x:v>
      </x:c>
      <x:c r="I1850" t="str">
        <x:v>ORD-2025-00125</x:v>
      </x:c>
      <x:c r="J1850" t="n">
        <x:v>5</x:v>
      </x:c>
      <x:c r="K1850" t="n">
        <x:v>1</x:v>
      </x:c>
      <x:c r="L1850" t="str">
        <x:v>L24-S05-C1</x:v>
      </x:c>
      <x:c r="M1850" t="n">
        <x:v>1</x:v>
      </x:c>
      <x:c r="N1850" t="str">
        <x:v>DerivedFromCount</x:v>
      </x:c>
      <x:c r="O1850" t="str">
        <x:v>PLC-PRD-JAR-330-L24</x:v>
      </x:c>
      <x:c r="P1850" t="str">
        <x:v>OK</x:v>
      </x:c>
      <x:c r="Q1850" t="str">
        <x:v>OK</x:v>
      </x:c>
      <x:c r="R1850" t="str">
        <x:v>OK</x:v>
      </x:c>
      <x:c r="S1850" t="str">
        <x:v>OK</x:v>
      </x:c>
      <x:c r="T1850" t="n">
        <x:v>36</x:v>
      </x:c>
      <x:c r="U1850" t="str">
        <x:v>OK</x:v>
      </x:c>
      <x:c r="V1850" t="str">
        <x:v>OK</x:v>
      </x:c>
      <x:c r="W1850" t="str">
        <x:v>LOAD</x:v>
      </x:c>
      <x:c r="X1850" t="str">
        <x:v>02_Supervisor_Log(4).xlsx</x:v>
      </x:c>
      <x:c r="Y1850" t="str">
        <x:v>ENH-20260830-01</x:v>
      </x:c>
      <x:c r="Z1850" t="str">
        <x:v>Active</x:v>
      </x:c>
      <x:c r="AA1850"/>
      <x:c r="AB1850"/>
      <x:c r="AC1850"/>
      <x:c r="AD1850"/>
    </x:row>
    <x:row r="1851">
      <x:c r="A1851" t="str">
        <x:v>PCC-PE-KG01-L24-20251022-PM-ORD-2025-00125-S05-C2</x:v>
      </x:c>
      <x:c r="B1851" t="str">
        <x:v>PC-PE-KG01-L24-20251022-PM-ORD-2025-00125-S05</x:v>
      </x:c>
      <x:c r="C1851" t="str">
        <x:v>PE-KG01-L24-20251022-PM-ORD-2025-00125</x:v>
      </x:c>
      <x:c r="D1851" t="str">
        <x:v>KG01</x:v>
      </x:c>
      <x:c r="E1851" s="62" t="n">
        <x:v>45952</x:v>
      </x:c>
      <x:c r="F1851" t="str">
        <x:v>PM</x:v>
      </x:c>
      <x:c r="G1851" t="str">
        <x:v>C</x:v>
      </x:c>
      <x:c r="H1851" t="n">
        <x:v>24</x:v>
      </x:c>
      <x:c r="I1851" t="str">
        <x:v>ORD-2025-00125</x:v>
      </x:c>
      <x:c r="J1851" t="n">
        <x:v>5</x:v>
      </x:c>
      <x:c r="K1851" t="n">
        <x:v>2</x:v>
      </x:c>
      <x:c r="L1851" t="str">
        <x:v>L24-S05-C2</x:v>
      </x:c>
      <x:c r="M1851" t="n">
        <x:v>1</x:v>
      </x:c>
      <x:c r="N1851" t="str">
        <x:v>DerivedFromCount</x:v>
      </x:c>
      <x:c r="O1851" t="str">
        <x:v>PLC-PRD-JAR-330-L24</x:v>
      </x:c>
      <x:c r="P1851" t="str">
        <x:v>OK</x:v>
      </x:c>
      <x:c r="Q1851" t="str">
        <x:v>OK</x:v>
      </x:c>
      <x:c r="R1851" t="str">
        <x:v>OK</x:v>
      </x:c>
      <x:c r="S1851" t="str">
        <x:v>OK</x:v>
      </x:c>
      <x:c r="T1851" t="n">
        <x:v>36</x:v>
      </x:c>
      <x:c r="U1851" t="str">
        <x:v>OK</x:v>
      </x:c>
      <x:c r="V1851" t="str">
        <x:v>OK</x:v>
      </x:c>
      <x:c r="W1851" t="str">
        <x:v>LOAD</x:v>
      </x:c>
      <x:c r="X1851" t="str">
        <x:v>02_Supervisor_Log(4).xlsx</x:v>
      </x:c>
      <x:c r="Y1851" t="str">
        <x:v>ENH-20260830-01</x:v>
      </x:c>
      <x:c r="Z1851" t="str">
        <x:v>Active</x:v>
      </x:c>
      <x:c r="AA1851"/>
      <x:c r="AB1851"/>
      <x:c r="AC1851"/>
      <x:c r="AD1851"/>
    </x:row>
    <x:row r="1852">
      <x:c r="A1852" t="str">
        <x:v>PCC-PE-KG01-L24-20251022-PM-ORD-2025-00125-S05-C3</x:v>
      </x:c>
      <x:c r="B1852" t="str">
        <x:v>PC-PE-KG01-L24-20251022-PM-ORD-2025-00125-S05</x:v>
      </x:c>
      <x:c r="C1852" t="str">
        <x:v>PE-KG01-L24-20251022-PM-ORD-2025-00125</x:v>
      </x:c>
      <x:c r="D1852" t="str">
        <x:v>KG01</x:v>
      </x:c>
      <x:c r="E1852" s="62" t="n">
        <x:v>45952</x:v>
      </x:c>
      <x:c r="F1852" t="str">
        <x:v>PM</x:v>
      </x:c>
      <x:c r="G1852" t="str">
        <x:v>C</x:v>
      </x:c>
      <x:c r="H1852" t="n">
        <x:v>24</x:v>
      </x:c>
      <x:c r="I1852" t="str">
        <x:v>ORD-2025-00125</x:v>
      </x:c>
      <x:c r="J1852" t="n">
        <x:v>5</x:v>
      </x:c>
      <x:c r="K1852" t="n">
        <x:v>3</x:v>
      </x:c>
      <x:c r="L1852" t="str">
        <x:v>L24-S05-C3</x:v>
      </x:c>
      <x:c r="M1852" t="n">
        <x:v>1</x:v>
      </x:c>
      <x:c r="N1852" t="str">
        <x:v>DerivedFromCount</x:v>
      </x:c>
      <x:c r="O1852" t="str">
        <x:v>PLC-PRD-JAR-330-L24</x:v>
      </x:c>
      <x:c r="P1852" t="str">
        <x:v>OK</x:v>
      </x:c>
      <x:c r="Q1852" t="str">
        <x:v>OK</x:v>
      </x:c>
      <x:c r="R1852" t="str">
        <x:v>OK</x:v>
      </x:c>
      <x:c r="S1852" t="str">
        <x:v>OK</x:v>
      </x:c>
      <x:c r="T1852" t="n">
        <x:v>36</x:v>
      </x:c>
      <x:c r="U1852" t="str">
        <x:v>OK</x:v>
      </x:c>
      <x:c r="V1852" t="str">
        <x:v>OK</x:v>
      </x:c>
      <x:c r="W1852" t="str">
        <x:v>LOAD</x:v>
      </x:c>
      <x:c r="X1852" t="str">
        <x:v>02_Supervisor_Log(4).xlsx</x:v>
      </x:c>
      <x:c r="Y1852" t="str">
        <x:v>ENH-20260830-01</x:v>
      </x:c>
      <x:c r="Z1852" t="str">
        <x:v>Active</x:v>
      </x:c>
      <x:c r="AA1852"/>
      <x:c r="AB1852"/>
      <x:c r="AC1852"/>
      <x:c r="AD1852"/>
    </x:row>
    <x:row r="1853">
      <x:c r="A1853" t="str">
        <x:v>PCC-PE-KG01-L24-20251022-PM-ORD-2025-00125-S06-C1</x:v>
      </x:c>
      <x:c r="B1853" t="str">
        <x:v>PC-PE-KG01-L24-20251022-PM-ORD-2025-00125-S06</x:v>
      </x:c>
      <x:c r="C1853" t="str">
        <x:v>PE-KG01-L24-20251022-PM-ORD-2025-00125</x:v>
      </x:c>
      <x:c r="D1853" t="str">
        <x:v>KG01</x:v>
      </x:c>
      <x:c r="E1853" s="62" t="n">
        <x:v>45952</x:v>
      </x:c>
      <x:c r="F1853" t="str">
        <x:v>PM</x:v>
      </x:c>
      <x:c r="G1853" t="str">
        <x:v>C</x:v>
      </x:c>
      <x:c r="H1853" t="n">
        <x:v>24</x:v>
      </x:c>
      <x:c r="I1853" t="str">
        <x:v>ORD-2025-00125</x:v>
      </x:c>
      <x:c r="J1853" t="n">
        <x:v>6</x:v>
      </x:c>
      <x:c r="K1853" t="n">
        <x:v>1</x:v>
      </x:c>
      <x:c r="L1853" t="str">
        <x:v>L24-S06-C1</x:v>
      </x:c>
      <x:c r="M1853" t="n">
        <x:v>1</x:v>
      </x:c>
      <x:c r="N1853" t="str">
        <x:v>DerivedFromCount</x:v>
      </x:c>
      <x:c r="O1853" t="str">
        <x:v>PLC-PRD-JAR-330-L24</x:v>
      </x:c>
      <x:c r="P1853" t="str">
        <x:v>OK</x:v>
      </x:c>
      <x:c r="Q1853" t="str">
        <x:v>OK</x:v>
      </x:c>
      <x:c r="R1853" t="str">
        <x:v>OK</x:v>
      </x:c>
      <x:c r="S1853" t="str">
        <x:v>OK</x:v>
      </x:c>
      <x:c r="T1853" t="n">
        <x:v>36</x:v>
      </x:c>
      <x:c r="U1853" t="str">
        <x:v>OK</x:v>
      </x:c>
      <x:c r="V1853" t="str">
        <x:v>OK</x:v>
      </x:c>
      <x:c r="W1853" t="str">
        <x:v>LOAD</x:v>
      </x:c>
      <x:c r="X1853" t="str">
        <x:v>02_Supervisor_Log(4).xlsx</x:v>
      </x:c>
      <x:c r="Y1853" t="str">
        <x:v>ENH-20260830-01</x:v>
      </x:c>
      <x:c r="Z1853" t="str">
        <x:v>Active</x:v>
      </x:c>
      <x:c r="AA1853"/>
      <x:c r="AB1853"/>
      <x:c r="AC1853"/>
      <x:c r="AD1853"/>
    </x:row>
    <x:row r="1854">
      <x:c r="A1854" t="str">
        <x:v>PCC-PE-KG01-L24-20251022-PM-ORD-2025-00125-S06-C2</x:v>
      </x:c>
      <x:c r="B1854" t="str">
        <x:v>PC-PE-KG01-L24-20251022-PM-ORD-2025-00125-S06</x:v>
      </x:c>
      <x:c r="C1854" t="str">
        <x:v>PE-KG01-L24-20251022-PM-ORD-2025-00125</x:v>
      </x:c>
      <x:c r="D1854" t="str">
        <x:v>KG01</x:v>
      </x:c>
      <x:c r="E1854" s="62" t="n">
        <x:v>45952</x:v>
      </x:c>
      <x:c r="F1854" t="str">
        <x:v>PM</x:v>
      </x:c>
      <x:c r="G1854" t="str">
        <x:v>C</x:v>
      </x:c>
      <x:c r="H1854" t="n">
        <x:v>24</x:v>
      </x:c>
      <x:c r="I1854" t="str">
        <x:v>ORD-2025-00125</x:v>
      </x:c>
      <x:c r="J1854" t="n">
        <x:v>6</x:v>
      </x:c>
      <x:c r="K1854" t="n">
        <x:v>2</x:v>
      </x:c>
      <x:c r="L1854" t="str">
        <x:v>L24-S06-C2</x:v>
      </x:c>
      <x:c r="M1854" t="n">
        <x:v>1</x:v>
      </x:c>
      <x:c r="N1854" t="str">
        <x:v>DerivedFromCount</x:v>
      </x:c>
      <x:c r="O1854" t="str">
        <x:v>PLC-PRD-JAR-330-L24</x:v>
      </x:c>
      <x:c r="P1854" t="str">
        <x:v>OK</x:v>
      </x:c>
      <x:c r="Q1854" t="str">
        <x:v>OK</x:v>
      </x:c>
      <x:c r="R1854" t="str">
        <x:v>OK</x:v>
      </x:c>
      <x:c r="S1854" t="str">
        <x:v>OK</x:v>
      </x:c>
      <x:c r="T1854" t="n">
        <x:v>36</x:v>
      </x:c>
      <x:c r="U1854" t="str">
        <x:v>OK</x:v>
      </x:c>
      <x:c r="V1854" t="str">
        <x:v>OK</x:v>
      </x:c>
      <x:c r="W1854" t="str">
        <x:v>LOAD</x:v>
      </x:c>
      <x:c r="X1854" t="str">
        <x:v>02_Supervisor_Log(4).xlsx</x:v>
      </x:c>
      <x:c r="Y1854" t="str">
        <x:v>ENH-20260830-01</x:v>
      </x:c>
      <x:c r="Z1854" t="str">
        <x:v>Active</x:v>
      </x:c>
      <x:c r="AA1854"/>
      <x:c r="AB1854"/>
      <x:c r="AC1854"/>
      <x:c r="AD1854"/>
    </x:row>
    <x:row r="1855">
      <x:c r="A1855" t="str">
        <x:v>PCC-PE-KG01-L24-20251022-PM-ORD-2025-00125-S06-C3</x:v>
      </x:c>
      <x:c r="B1855" t="str">
        <x:v>PC-PE-KG01-L24-20251022-PM-ORD-2025-00125-S06</x:v>
      </x:c>
      <x:c r="C1855" t="str">
        <x:v>PE-KG01-L24-20251022-PM-ORD-2025-00125</x:v>
      </x:c>
      <x:c r="D1855" t="str">
        <x:v>KG01</x:v>
      </x:c>
      <x:c r="E1855" s="62" t="n">
        <x:v>45952</x:v>
      </x:c>
      <x:c r="F1855" t="str">
        <x:v>PM</x:v>
      </x:c>
      <x:c r="G1855" t="str">
        <x:v>C</x:v>
      </x:c>
      <x:c r="H1855" t="n">
        <x:v>24</x:v>
      </x:c>
      <x:c r="I1855" t="str">
        <x:v>ORD-2025-00125</x:v>
      </x:c>
      <x:c r="J1855" t="n">
        <x:v>6</x:v>
      </x:c>
      <x:c r="K1855" t="n">
        <x:v>3</x:v>
      </x:c>
      <x:c r="L1855" t="str">
        <x:v>L24-S06-C3</x:v>
      </x:c>
      <x:c r="M1855" t="n">
        <x:v>1</x:v>
      </x:c>
      <x:c r="N1855" t="str">
        <x:v>DerivedFromCount</x:v>
      </x:c>
      <x:c r="O1855" t="str">
        <x:v>PLC-PRD-JAR-330-L24</x:v>
      </x:c>
      <x:c r="P1855" t="str">
        <x:v>OK</x:v>
      </x:c>
      <x:c r="Q1855" t="str">
        <x:v>OK</x:v>
      </x:c>
      <x:c r="R1855" t="str">
        <x:v>OK</x:v>
      </x:c>
      <x:c r="S1855" t="str">
        <x:v>OK</x:v>
      </x:c>
      <x:c r="T1855" t="n">
        <x:v>36</x:v>
      </x:c>
      <x:c r="U1855" t="str">
        <x:v>OK</x:v>
      </x:c>
      <x:c r="V1855" t="str">
        <x:v>OK</x:v>
      </x:c>
      <x:c r="W1855" t="str">
        <x:v>LOAD</x:v>
      </x:c>
      <x:c r="X1855" t="str">
        <x:v>02_Supervisor_Log(4).xlsx</x:v>
      </x:c>
      <x:c r="Y1855" t="str">
        <x:v>ENH-20260830-01</x:v>
      </x:c>
      <x:c r="Z1855" t="str">
        <x:v>Active</x:v>
      </x:c>
      <x:c r="AA1855"/>
      <x:c r="AB1855"/>
      <x:c r="AC1855"/>
      <x:c r="AD1855"/>
    </x:row>
    <x:row r="1856">
      <x:c r="A1856" t="str">
        <x:v>PCC-PE-KG01-L24-20251022-PM-ORD-2025-00125-S07-C1</x:v>
      </x:c>
      <x:c r="B1856" t="str">
        <x:v>PC-PE-KG01-L24-20251022-PM-ORD-2025-00125-S07</x:v>
      </x:c>
      <x:c r="C1856" t="str">
        <x:v>PE-KG01-L24-20251022-PM-ORD-2025-00125</x:v>
      </x:c>
      <x:c r="D1856" t="str">
        <x:v>KG01</x:v>
      </x:c>
      <x:c r="E1856" s="62" t="n">
        <x:v>45952</x:v>
      </x:c>
      <x:c r="F1856" t="str">
        <x:v>PM</x:v>
      </x:c>
      <x:c r="G1856" t="str">
        <x:v>C</x:v>
      </x:c>
      <x:c r="H1856" t="n">
        <x:v>24</x:v>
      </x:c>
      <x:c r="I1856" t="str">
        <x:v>ORD-2025-00125</x:v>
      </x:c>
      <x:c r="J1856" t="n">
        <x:v>7</x:v>
      </x:c>
      <x:c r="K1856" t="n">
        <x:v>1</x:v>
      </x:c>
      <x:c r="L1856" t="str">
        <x:v>L24-S07-C1</x:v>
      </x:c>
      <x:c r="M1856" t="n">
        <x:v>1</x:v>
      </x:c>
      <x:c r="N1856" t="str">
        <x:v>DerivedFromCount</x:v>
      </x:c>
      <x:c r="O1856" t="str">
        <x:v>PLC-PRD-JAR-330-L24</x:v>
      </x:c>
      <x:c r="P1856" t="str">
        <x:v>OK</x:v>
      </x:c>
      <x:c r="Q1856" t="str">
        <x:v>OK</x:v>
      </x:c>
      <x:c r="R1856" t="str">
        <x:v>OK</x:v>
      </x:c>
      <x:c r="S1856" t="str">
        <x:v>OK</x:v>
      </x:c>
      <x:c r="T1856" t="n">
        <x:v>36</x:v>
      </x:c>
      <x:c r="U1856" t="str">
        <x:v>OK</x:v>
      </x:c>
      <x:c r="V1856" t="str">
        <x:v>OK</x:v>
      </x:c>
      <x:c r="W1856" t="str">
        <x:v>LOAD</x:v>
      </x:c>
      <x:c r="X1856" t="str">
        <x:v>02_Supervisor_Log(4).xlsx</x:v>
      </x:c>
      <x:c r="Y1856" t="str">
        <x:v>ENH-20260830-01</x:v>
      </x:c>
      <x:c r="Z1856" t="str">
        <x:v>Active</x:v>
      </x:c>
      <x:c r="AA1856"/>
      <x:c r="AB1856"/>
      <x:c r="AC1856"/>
      <x:c r="AD1856"/>
    </x:row>
    <x:row r="1857">
      <x:c r="A1857" t="str">
        <x:v>PCC-PE-KG01-L24-20251022-PM-ORD-2025-00125-S07-C2</x:v>
      </x:c>
      <x:c r="B1857" t="str">
        <x:v>PC-PE-KG01-L24-20251022-PM-ORD-2025-00125-S07</x:v>
      </x:c>
      <x:c r="C1857" t="str">
        <x:v>PE-KG01-L24-20251022-PM-ORD-2025-00125</x:v>
      </x:c>
      <x:c r="D1857" t="str">
        <x:v>KG01</x:v>
      </x:c>
      <x:c r="E1857" s="62" t="n">
        <x:v>45952</x:v>
      </x:c>
      <x:c r="F1857" t="str">
        <x:v>PM</x:v>
      </x:c>
      <x:c r="G1857" t="str">
        <x:v>C</x:v>
      </x:c>
      <x:c r="H1857" t="n">
        <x:v>24</x:v>
      </x:c>
      <x:c r="I1857" t="str">
        <x:v>ORD-2025-00125</x:v>
      </x:c>
      <x:c r="J1857" t="n">
        <x:v>7</x:v>
      </x:c>
      <x:c r="K1857" t="n">
        <x:v>2</x:v>
      </x:c>
      <x:c r="L1857" t="str">
        <x:v>L24-S07-C2</x:v>
      </x:c>
      <x:c r="M1857" t="n">
        <x:v>1</x:v>
      </x:c>
      <x:c r="N1857" t="str">
        <x:v>DerivedFromCount</x:v>
      </x:c>
      <x:c r="O1857" t="str">
        <x:v>PLC-PRD-JAR-330-L24</x:v>
      </x:c>
      <x:c r="P1857" t="str">
        <x:v>OK</x:v>
      </x:c>
      <x:c r="Q1857" t="str">
        <x:v>OK</x:v>
      </x:c>
      <x:c r="R1857" t="str">
        <x:v>OK</x:v>
      </x:c>
      <x:c r="S1857" t="str">
        <x:v>OK</x:v>
      </x:c>
      <x:c r="T1857" t="n">
        <x:v>36</x:v>
      </x:c>
      <x:c r="U1857" t="str">
        <x:v>OK</x:v>
      </x:c>
      <x:c r="V1857" t="str">
        <x:v>OK</x:v>
      </x:c>
      <x:c r="W1857" t="str">
        <x:v>LOAD</x:v>
      </x:c>
      <x:c r="X1857" t="str">
        <x:v>02_Supervisor_Log(4).xlsx</x:v>
      </x:c>
      <x:c r="Y1857" t="str">
        <x:v>ENH-20260830-01</x:v>
      </x:c>
      <x:c r="Z1857" t="str">
        <x:v>Active</x:v>
      </x:c>
      <x:c r="AA1857"/>
      <x:c r="AB1857"/>
      <x:c r="AC1857"/>
      <x:c r="AD1857"/>
    </x:row>
    <x:row r="1858">
      <x:c r="A1858" t="str">
        <x:v>PCC-PE-KG01-L24-20251022-PM-ORD-2025-00125-S07-C3</x:v>
      </x:c>
      <x:c r="B1858" t="str">
        <x:v>PC-PE-KG01-L24-20251022-PM-ORD-2025-00125-S07</x:v>
      </x:c>
      <x:c r="C1858" t="str">
        <x:v>PE-KG01-L24-20251022-PM-ORD-2025-00125</x:v>
      </x:c>
      <x:c r="D1858" t="str">
        <x:v>KG01</x:v>
      </x:c>
      <x:c r="E1858" s="62" t="n">
        <x:v>45952</x:v>
      </x:c>
      <x:c r="F1858" t="str">
        <x:v>PM</x:v>
      </x:c>
      <x:c r="G1858" t="str">
        <x:v>C</x:v>
      </x:c>
      <x:c r="H1858" t="n">
        <x:v>24</x:v>
      </x:c>
      <x:c r="I1858" t="str">
        <x:v>ORD-2025-00125</x:v>
      </x:c>
      <x:c r="J1858" t="n">
        <x:v>7</x:v>
      </x:c>
      <x:c r="K1858" t="n">
        <x:v>3</x:v>
      </x:c>
      <x:c r="L1858" t="str">
        <x:v>L24-S07-C3</x:v>
      </x:c>
      <x:c r="M1858" t="n">
        <x:v>1</x:v>
      </x:c>
      <x:c r="N1858" t="str">
        <x:v>DerivedFromCount</x:v>
      </x:c>
      <x:c r="O1858" t="str">
        <x:v>PLC-PRD-JAR-330-L24</x:v>
      </x:c>
      <x:c r="P1858" t="str">
        <x:v>OK</x:v>
      </x:c>
      <x:c r="Q1858" t="str">
        <x:v>OK</x:v>
      </x:c>
      <x:c r="R1858" t="str">
        <x:v>OK</x:v>
      </x:c>
      <x:c r="S1858" t="str">
        <x:v>OK</x:v>
      </x:c>
      <x:c r="T1858" t="n">
        <x:v>36</x:v>
      </x:c>
      <x:c r="U1858" t="str">
        <x:v>OK</x:v>
      </x:c>
      <x:c r="V1858" t="str">
        <x:v>OK</x:v>
      </x:c>
      <x:c r="W1858" t="str">
        <x:v>LOAD</x:v>
      </x:c>
      <x:c r="X1858" t="str">
        <x:v>02_Supervisor_Log(4).xlsx</x:v>
      </x:c>
      <x:c r="Y1858" t="str">
        <x:v>ENH-20260830-01</x:v>
      </x:c>
      <x:c r="Z1858" t="str">
        <x:v>Active</x:v>
      </x:c>
      <x:c r="AA1858"/>
      <x:c r="AB1858"/>
      <x:c r="AC1858"/>
      <x:c r="AD1858"/>
    </x:row>
    <x:row r="1859">
      <x:c r="A1859" t="str">
        <x:v>PCC-PE-KG01-L24-20251022-PM-ORD-2025-00125-S08-C1</x:v>
      </x:c>
      <x:c r="B1859" t="str">
        <x:v>PC-PE-KG01-L24-20251022-PM-ORD-2025-00125-S08</x:v>
      </x:c>
      <x:c r="C1859" t="str">
        <x:v>PE-KG01-L24-20251022-PM-ORD-2025-00125</x:v>
      </x:c>
      <x:c r="D1859" t="str">
        <x:v>KG01</x:v>
      </x:c>
      <x:c r="E1859" s="62" t="n">
        <x:v>45952</x:v>
      </x:c>
      <x:c r="F1859" t="str">
        <x:v>PM</x:v>
      </x:c>
      <x:c r="G1859" t="str">
        <x:v>C</x:v>
      </x:c>
      <x:c r="H1859" t="n">
        <x:v>24</x:v>
      </x:c>
      <x:c r="I1859" t="str">
        <x:v>ORD-2025-00125</x:v>
      </x:c>
      <x:c r="J1859" t="n">
        <x:v>8</x:v>
      </x:c>
      <x:c r="K1859" t="n">
        <x:v>1</x:v>
      </x:c>
      <x:c r="L1859" t="str">
        <x:v>L24-S08-C1</x:v>
      </x:c>
      <x:c r="M1859" t="n">
        <x:v>1</x:v>
      </x:c>
      <x:c r="N1859" t="str">
        <x:v>DerivedFromCount</x:v>
      </x:c>
      <x:c r="O1859" t="str">
        <x:v>PLC-PRD-JAR-330-L24</x:v>
      </x:c>
      <x:c r="P1859" t="str">
        <x:v>OK</x:v>
      </x:c>
      <x:c r="Q1859" t="str">
        <x:v>OK</x:v>
      </x:c>
      <x:c r="R1859" t="str">
        <x:v>OK</x:v>
      </x:c>
      <x:c r="S1859" t="str">
        <x:v>OK</x:v>
      </x:c>
      <x:c r="T1859" t="n">
        <x:v>36</x:v>
      </x:c>
      <x:c r="U1859" t="str">
        <x:v>OK</x:v>
      </x:c>
      <x:c r="V1859" t="str">
        <x:v>OK</x:v>
      </x:c>
      <x:c r="W1859" t="str">
        <x:v>LOAD</x:v>
      </x:c>
      <x:c r="X1859" t="str">
        <x:v>02_Supervisor_Log(4).xlsx</x:v>
      </x:c>
      <x:c r="Y1859" t="str">
        <x:v>ENH-20260830-01</x:v>
      </x:c>
      <x:c r="Z1859" t="str">
        <x:v>Active</x:v>
      </x:c>
      <x:c r="AA1859"/>
      <x:c r="AB1859"/>
      <x:c r="AC1859"/>
      <x:c r="AD1859"/>
    </x:row>
    <x:row r="1860">
      <x:c r="A1860" t="str">
        <x:v>PCC-PE-KG01-L24-20251022-PM-ORD-2025-00125-S08-C2</x:v>
      </x:c>
      <x:c r="B1860" t="str">
        <x:v>PC-PE-KG01-L24-20251022-PM-ORD-2025-00125-S08</x:v>
      </x:c>
      <x:c r="C1860" t="str">
        <x:v>PE-KG01-L24-20251022-PM-ORD-2025-00125</x:v>
      </x:c>
      <x:c r="D1860" t="str">
        <x:v>KG01</x:v>
      </x:c>
      <x:c r="E1860" s="62" t="n">
        <x:v>45952</x:v>
      </x:c>
      <x:c r="F1860" t="str">
        <x:v>PM</x:v>
      </x:c>
      <x:c r="G1860" t="str">
        <x:v>C</x:v>
      </x:c>
      <x:c r="H1860" t="n">
        <x:v>24</x:v>
      </x:c>
      <x:c r="I1860" t="str">
        <x:v>ORD-2025-00125</x:v>
      </x:c>
      <x:c r="J1860" t="n">
        <x:v>8</x:v>
      </x:c>
      <x:c r="K1860" t="n">
        <x:v>2</x:v>
      </x:c>
      <x:c r="L1860" t="str">
        <x:v>L24-S08-C2</x:v>
      </x:c>
      <x:c r="M1860" t="n">
        <x:v>1</x:v>
      </x:c>
      <x:c r="N1860" t="str">
        <x:v>DerivedFromCount</x:v>
      </x:c>
      <x:c r="O1860" t="str">
        <x:v>PLC-PRD-JAR-330-L24</x:v>
      </x:c>
      <x:c r="P1860" t="str">
        <x:v>OK</x:v>
      </x:c>
      <x:c r="Q1860" t="str">
        <x:v>OK</x:v>
      </x:c>
      <x:c r="R1860" t="str">
        <x:v>OK</x:v>
      </x:c>
      <x:c r="S1860" t="str">
        <x:v>OK</x:v>
      </x:c>
      <x:c r="T1860" t="n">
        <x:v>36</x:v>
      </x:c>
      <x:c r="U1860" t="str">
        <x:v>OK</x:v>
      </x:c>
      <x:c r="V1860" t="str">
        <x:v>OK</x:v>
      </x:c>
      <x:c r="W1860" t="str">
        <x:v>LOAD</x:v>
      </x:c>
      <x:c r="X1860" t="str">
        <x:v>02_Supervisor_Log(4).xlsx</x:v>
      </x:c>
      <x:c r="Y1860" t="str">
        <x:v>ENH-20260830-01</x:v>
      </x:c>
      <x:c r="Z1860" t="str">
        <x:v>Active</x:v>
      </x:c>
      <x:c r="AA1860"/>
      <x:c r="AB1860"/>
      <x:c r="AC1860"/>
      <x:c r="AD1860"/>
    </x:row>
    <x:row r="1861">
      <x:c r="A1861" t="str">
        <x:v>PCC-PE-KG01-L24-20251022-PM-ORD-2025-00125-S08-C3</x:v>
      </x:c>
      <x:c r="B1861" t="str">
        <x:v>PC-PE-KG01-L24-20251022-PM-ORD-2025-00125-S08</x:v>
      </x:c>
      <x:c r="C1861" t="str">
        <x:v>PE-KG01-L24-20251022-PM-ORD-2025-00125</x:v>
      </x:c>
      <x:c r="D1861" t="str">
        <x:v>KG01</x:v>
      </x:c>
      <x:c r="E1861" s="62" t="n">
        <x:v>45952</x:v>
      </x:c>
      <x:c r="F1861" t="str">
        <x:v>PM</x:v>
      </x:c>
      <x:c r="G1861" t="str">
        <x:v>C</x:v>
      </x:c>
      <x:c r="H1861" t="n">
        <x:v>24</x:v>
      </x:c>
      <x:c r="I1861" t="str">
        <x:v>ORD-2025-00125</x:v>
      </x:c>
      <x:c r="J1861" t="n">
        <x:v>8</x:v>
      </x:c>
      <x:c r="K1861" t="n">
        <x:v>3</x:v>
      </x:c>
      <x:c r="L1861" t="str">
        <x:v>L24-S08-C3</x:v>
      </x:c>
      <x:c r="M1861" t="n">
        <x:v>1</x:v>
      </x:c>
      <x:c r="N1861" t="str">
        <x:v>DerivedFromCount</x:v>
      </x:c>
      <x:c r="O1861" t="str">
        <x:v>PLC-PRD-JAR-330-L24</x:v>
      </x:c>
      <x:c r="P1861" t="str">
        <x:v>OK</x:v>
      </x:c>
      <x:c r="Q1861" t="str">
        <x:v>OK</x:v>
      </x:c>
      <x:c r="R1861" t="str">
        <x:v>OK</x:v>
      </x:c>
      <x:c r="S1861" t="str">
        <x:v>OK</x:v>
      </x:c>
      <x:c r="T1861" t="n">
        <x:v>36</x:v>
      </x:c>
      <x:c r="U1861" t="str">
        <x:v>OK</x:v>
      </x:c>
      <x:c r="V1861" t="str">
        <x:v>OK</x:v>
      </x:c>
      <x:c r="W1861" t="str">
        <x:v>LOAD</x:v>
      </x:c>
      <x:c r="X1861" t="str">
        <x:v>02_Supervisor_Log(4).xlsx</x:v>
      </x:c>
      <x:c r="Y1861" t="str">
        <x:v>ENH-20260830-01</x:v>
      </x:c>
      <x:c r="Z1861" t="str">
        <x:v>Active</x:v>
      </x:c>
      <x:c r="AA1861"/>
      <x:c r="AB1861"/>
      <x:c r="AC1861"/>
      <x:c r="AD1861"/>
    </x:row>
    <x:row r="1862">
      <x:c r="A1862" t="str">
        <x:v>PCC-PE-KG01-L24-20251022-PM-ORD-2025-00125-S09-C1</x:v>
      </x:c>
      <x:c r="B1862" t="str">
        <x:v>PC-PE-KG01-L24-20251022-PM-ORD-2025-00125-S09</x:v>
      </x:c>
      <x:c r="C1862" t="str">
        <x:v>PE-KG01-L24-20251022-PM-ORD-2025-00125</x:v>
      </x:c>
      <x:c r="D1862" t="str">
        <x:v>KG01</x:v>
      </x:c>
      <x:c r="E1862" s="62" t="n">
        <x:v>45952</x:v>
      </x:c>
      <x:c r="F1862" t="str">
        <x:v>PM</x:v>
      </x:c>
      <x:c r="G1862" t="str">
        <x:v>C</x:v>
      </x:c>
      <x:c r="H1862" t="n">
        <x:v>24</x:v>
      </x:c>
      <x:c r="I1862" t="str">
        <x:v>ORD-2025-00125</x:v>
      </x:c>
      <x:c r="J1862" t="n">
        <x:v>9</x:v>
      </x:c>
      <x:c r="K1862" t="n">
        <x:v>1</x:v>
      </x:c>
      <x:c r="L1862" t="str">
        <x:v>L24-S09-C1</x:v>
      </x:c>
      <x:c r="M1862" t="n">
        <x:v>1</x:v>
      </x:c>
      <x:c r="N1862" t="str">
        <x:v>DerivedFromCount</x:v>
      </x:c>
      <x:c r="O1862" t="str">
        <x:v>PLC-PRD-JAR-330-L24</x:v>
      </x:c>
      <x:c r="P1862" t="str">
        <x:v>OK</x:v>
      </x:c>
      <x:c r="Q1862" t="str">
        <x:v>OK</x:v>
      </x:c>
      <x:c r="R1862" t="str">
        <x:v>OK</x:v>
      </x:c>
      <x:c r="S1862" t="str">
        <x:v>OK</x:v>
      </x:c>
      <x:c r="T1862" t="n">
        <x:v>36</x:v>
      </x:c>
      <x:c r="U1862" t="str">
        <x:v>OK</x:v>
      </x:c>
      <x:c r="V1862" t="str">
        <x:v>OK</x:v>
      </x:c>
      <x:c r="W1862" t="str">
        <x:v>LOAD</x:v>
      </x:c>
      <x:c r="X1862" t="str">
        <x:v>02_Supervisor_Log(4).xlsx</x:v>
      </x:c>
      <x:c r="Y1862" t="str">
        <x:v>ENH-20260830-01</x:v>
      </x:c>
      <x:c r="Z1862" t="str">
        <x:v>Active</x:v>
      </x:c>
      <x:c r="AA1862"/>
      <x:c r="AB1862"/>
      <x:c r="AC1862"/>
      <x:c r="AD1862"/>
    </x:row>
    <x:row r="1863">
      <x:c r="A1863" t="str">
        <x:v>PCC-PE-KG01-L24-20251022-PM-ORD-2025-00125-S09-C2</x:v>
      </x:c>
      <x:c r="B1863" t="str">
        <x:v>PC-PE-KG01-L24-20251022-PM-ORD-2025-00125-S09</x:v>
      </x:c>
      <x:c r="C1863" t="str">
        <x:v>PE-KG01-L24-20251022-PM-ORD-2025-00125</x:v>
      </x:c>
      <x:c r="D1863" t="str">
        <x:v>KG01</x:v>
      </x:c>
      <x:c r="E1863" s="62" t="n">
        <x:v>45952</x:v>
      </x:c>
      <x:c r="F1863" t="str">
        <x:v>PM</x:v>
      </x:c>
      <x:c r="G1863" t="str">
        <x:v>C</x:v>
      </x:c>
      <x:c r="H1863" t="n">
        <x:v>24</x:v>
      </x:c>
      <x:c r="I1863" t="str">
        <x:v>ORD-2025-00125</x:v>
      </x:c>
      <x:c r="J1863" t="n">
        <x:v>9</x:v>
      </x:c>
      <x:c r="K1863" t="n">
        <x:v>2</x:v>
      </x:c>
      <x:c r="L1863" t="str">
        <x:v>L24-S09-C2</x:v>
      </x:c>
      <x:c r="M1863" t="n">
        <x:v>1</x:v>
      </x:c>
      <x:c r="N1863" t="str">
        <x:v>DerivedFromCount</x:v>
      </x:c>
      <x:c r="O1863" t="str">
        <x:v>PLC-PRD-JAR-330-L24</x:v>
      </x:c>
      <x:c r="P1863" t="str">
        <x:v>OK</x:v>
      </x:c>
      <x:c r="Q1863" t="str">
        <x:v>OK</x:v>
      </x:c>
      <x:c r="R1863" t="str">
        <x:v>OK</x:v>
      </x:c>
      <x:c r="S1863" t="str">
        <x:v>OK</x:v>
      </x:c>
      <x:c r="T1863" t="n">
        <x:v>36</x:v>
      </x:c>
      <x:c r="U1863" t="str">
        <x:v>OK</x:v>
      </x:c>
      <x:c r="V1863" t="str">
        <x:v>OK</x:v>
      </x:c>
      <x:c r="W1863" t="str">
        <x:v>LOAD</x:v>
      </x:c>
      <x:c r="X1863" t="str">
        <x:v>02_Supervisor_Log(4).xlsx</x:v>
      </x:c>
      <x:c r="Y1863" t="str">
        <x:v>ENH-20260830-01</x:v>
      </x:c>
      <x:c r="Z1863" t="str">
        <x:v>Active</x:v>
      </x:c>
      <x:c r="AA1863"/>
      <x:c r="AB1863"/>
      <x:c r="AC1863"/>
      <x:c r="AD1863"/>
    </x:row>
    <x:row r="1864">
      <x:c r="A1864" t="str">
        <x:v>PCC-PE-KG01-L24-20251022-PM-ORD-2025-00125-S09-C3</x:v>
      </x:c>
      <x:c r="B1864" t="str">
        <x:v>PC-PE-KG01-L24-20251022-PM-ORD-2025-00125-S09</x:v>
      </x:c>
      <x:c r="C1864" t="str">
        <x:v>PE-KG01-L24-20251022-PM-ORD-2025-00125</x:v>
      </x:c>
      <x:c r="D1864" t="str">
        <x:v>KG01</x:v>
      </x:c>
      <x:c r="E1864" s="62" t="n">
        <x:v>45952</x:v>
      </x:c>
      <x:c r="F1864" t="str">
        <x:v>PM</x:v>
      </x:c>
      <x:c r="G1864" t="str">
        <x:v>C</x:v>
      </x:c>
      <x:c r="H1864" t="n">
        <x:v>24</x:v>
      </x:c>
      <x:c r="I1864" t="str">
        <x:v>ORD-2025-00125</x:v>
      </x:c>
      <x:c r="J1864" t="n">
        <x:v>9</x:v>
      </x:c>
      <x:c r="K1864" t="n">
        <x:v>3</x:v>
      </x:c>
      <x:c r="L1864" t="str">
        <x:v>L24-S09-C3</x:v>
      </x:c>
      <x:c r="M1864" t="n">
        <x:v>1</x:v>
      </x:c>
      <x:c r="N1864" t="str">
        <x:v>DerivedFromCount</x:v>
      </x:c>
      <x:c r="O1864" t="str">
        <x:v>PLC-PRD-JAR-330-L24</x:v>
      </x:c>
      <x:c r="P1864" t="str">
        <x:v>OK</x:v>
      </x:c>
      <x:c r="Q1864" t="str">
        <x:v>OK</x:v>
      </x:c>
      <x:c r="R1864" t="str">
        <x:v>OK</x:v>
      </x:c>
      <x:c r="S1864" t="str">
        <x:v>OK</x:v>
      </x:c>
      <x:c r="T1864" t="n">
        <x:v>36</x:v>
      </x:c>
      <x:c r="U1864" t="str">
        <x:v>OK</x:v>
      </x:c>
      <x:c r="V1864" t="str">
        <x:v>OK</x:v>
      </x:c>
      <x:c r="W1864" t="str">
        <x:v>LOAD</x:v>
      </x:c>
      <x:c r="X1864" t="str">
        <x:v>02_Supervisor_Log(4).xlsx</x:v>
      </x:c>
      <x:c r="Y1864" t="str">
        <x:v>ENH-20260830-01</x:v>
      </x:c>
      <x:c r="Z1864" t="str">
        <x:v>Active</x:v>
      </x:c>
      <x:c r="AA1864"/>
      <x:c r="AB1864"/>
      <x:c r="AC1864"/>
      <x:c r="AD1864"/>
    </x:row>
    <x:row r="1865">
      <x:c r="A1865" t="str">
        <x:v>PCC-PE-KG01-L24-20251022-PM-ORD-2025-00125-S10-C1</x:v>
      </x:c>
      <x:c r="B1865" t="str">
        <x:v>PC-PE-KG01-L24-20251022-PM-ORD-2025-00125-S10</x:v>
      </x:c>
      <x:c r="C1865" t="str">
        <x:v>PE-KG01-L24-20251022-PM-ORD-2025-00125</x:v>
      </x:c>
      <x:c r="D1865" t="str">
        <x:v>KG01</x:v>
      </x:c>
      <x:c r="E1865" s="62" t="n">
        <x:v>45952</x:v>
      </x:c>
      <x:c r="F1865" t="str">
        <x:v>PM</x:v>
      </x:c>
      <x:c r="G1865" t="str">
        <x:v>C</x:v>
      </x:c>
      <x:c r="H1865" t="n">
        <x:v>24</x:v>
      </x:c>
      <x:c r="I1865" t="str">
        <x:v>ORD-2025-00125</x:v>
      </x:c>
      <x:c r="J1865" t="n">
        <x:v>10</x:v>
      </x:c>
      <x:c r="K1865" t="n">
        <x:v>1</x:v>
      </x:c>
      <x:c r="L1865" t="str">
        <x:v>L24-S10-C1</x:v>
      </x:c>
      <x:c r="M1865" t="n">
        <x:v>1</x:v>
      </x:c>
      <x:c r="N1865" t="str">
        <x:v>DerivedFromCount</x:v>
      </x:c>
      <x:c r="O1865" t="str">
        <x:v>PLC-PRD-JAR-330-L24</x:v>
      </x:c>
      <x:c r="P1865" t="str">
        <x:v>OK</x:v>
      </x:c>
      <x:c r="Q1865" t="str">
        <x:v>OK</x:v>
      </x:c>
      <x:c r="R1865" t="str">
        <x:v>OK</x:v>
      </x:c>
      <x:c r="S1865" t="str">
        <x:v>OK</x:v>
      </x:c>
      <x:c r="T1865" t="n">
        <x:v>36</x:v>
      </x:c>
      <x:c r="U1865" t="str">
        <x:v>OK</x:v>
      </x:c>
      <x:c r="V1865" t="str">
        <x:v>OK</x:v>
      </x:c>
      <x:c r="W1865" t="str">
        <x:v>LOAD</x:v>
      </x:c>
      <x:c r="X1865" t="str">
        <x:v>02_Supervisor_Log(4).xlsx</x:v>
      </x:c>
      <x:c r="Y1865" t="str">
        <x:v>ENH-20260830-01</x:v>
      </x:c>
      <x:c r="Z1865" t="str">
        <x:v>Active</x:v>
      </x:c>
      <x:c r="AA1865"/>
      <x:c r="AB1865"/>
      <x:c r="AC1865"/>
      <x:c r="AD1865"/>
    </x:row>
    <x:row r="1866">
      <x:c r="A1866" t="str">
        <x:v>PCC-PE-KG01-L24-20251022-PM-ORD-2025-00125-S10-C2</x:v>
      </x:c>
      <x:c r="B1866" t="str">
        <x:v>PC-PE-KG01-L24-20251022-PM-ORD-2025-00125-S10</x:v>
      </x:c>
      <x:c r="C1866" t="str">
        <x:v>PE-KG01-L24-20251022-PM-ORD-2025-00125</x:v>
      </x:c>
      <x:c r="D1866" t="str">
        <x:v>KG01</x:v>
      </x:c>
      <x:c r="E1866" s="62" t="n">
        <x:v>45952</x:v>
      </x:c>
      <x:c r="F1866" t="str">
        <x:v>PM</x:v>
      </x:c>
      <x:c r="G1866" t="str">
        <x:v>C</x:v>
      </x:c>
      <x:c r="H1866" t="n">
        <x:v>24</x:v>
      </x:c>
      <x:c r="I1866" t="str">
        <x:v>ORD-2025-00125</x:v>
      </x:c>
      <x:c r="J1866" t="n">
        <x:v>10</x:v>
      </x:c>
      <x:c r="K1866" t="n">
        <x:v>2</x:v>
      </x:c>
      <x:c r="L1866" t="str">
        <x:v>L24-S10-C2</x:v>
      </x:c>
      <x:c r="M1866" t="n">
        <x:v>1</x:v>
      </x:c>
      <x:c r="N1866" t="str">
        <x:v>DerivedFromCount</x:v>
      </x:c>
      <x:c r="O1866" t="str">
        <x:v>PLC-PRD-JAR-330-L24</x:v>
      </x:c>
      <x:c r="P1866" t="str">
        <x:v>OK</x:v>
      </x:c>
      <x:c r="Q1866" t="str">
        <x:v>OK</x:v>
      </x:c>
      <x:c r="R1866" t="str">
        <x:v>OK</x:v>
      </x:c>
      <x:c r="S1866" t="str">
        <x:v>OK</x:v>
      </x:c>
      <x:c r="T1866" t="n">
        <x:v>36</x:v>
      </x:c>
      <x:c r="U1866" t="str">
        <x:v>OK</x:v>
      </x:c>
      <x:c r="V1866" t="str">
        <x:v>OK</x:v>
      </x:c>
      <x:c r="W1866" t="str">
        <x:v>LOAD</x:v>
      </x:c>
      <x:c r="X1866" t="str">
        <x:v>02_Supervisor_Log(4).xlsx</x:v>
      </x:c>
      <x:c r="Y1866" t="str">
        <x:v>ENH-20260830-01</x:v>
      </x:c>
      <x:c r="Z1866" t="str">
        <x:v>Active</x:v>
      </x:c>
      <x:c r="AA1866"/>
      <x:c r="AB1866"/>
      <x:c r="AC1866"/>
      <x:c r="AD1866"/>
    </x:row>
    <x:row r="1867">
      <x:c r="A1867" t="str">
        <x:v>PCC-PE-KG01-L24-20251022-PM-ORD-2025-00125-S10-C3</x:v>
      </x:c>
      <x:c r="B1867" t="str">
        <x:v>PC-PE-KG01-L24-20251022-PM-ORD-2025-00125-S10</x:v>
      </x:c>
      <x:c r="C1867" t="str">
        <x:v>PE-KG01-L24-20251022-PM-ORD-2025-00125</x:v>
      </x:c>
      <x:c r="D1867" t="str">
        <x:v>KG01</x:v>
      </x:c>
      <x:c r="E1867" s="62" t="n">
        <x:v>45952</x:v>
      </x:c>
      <x:c r="F1867" t="str">
        <x:v>PM</x:v>
      </x:c>
      <x:c r="G1867" t="str">
        <x:v>C</x:v>
      </x:c>
      <x:c r="H1867" t="n">
        <x:v>24</x:v>
      </x:c>
      <x:c r="I1867" t="str">
        <x:v>ORD-2025-00125</x:v>
      </x:c>
      <x:c r="J1867" t="n">
        <x:v>10</x:v>
      </x:c>
      <x:c r="K1867" t="n">
        <x:v>3</x:v>
      </x:c>
      <x:c r="L1867" t="str">
        <x:v>L24-S10-C3</x:v>
      </x:c>
      <x:c r="M1867" t="n">
        <x:v>1</x:v>
      </x:c>
      <x:c r="N1867" t="str">
        <x:v>DerivedFromCount</x:v>
      </x:c>
      <x:c r="O1867" t="str">
        <x:v>PLC-PRD-JAR-330-L24</x:v>
      </x:c>
      <x:c r="P1867" t="str">
        <x:v>OK</x:v>
      </x:c>
      <x:c r="Q1867" t="str">
        <x:v>OK</x:v>
      </x:c>
      <x:c r="R1867" t="str">
        <x:v>OK</x:v>
      </x:c>
      <x:c r="S1867" t="str">
        <x:v>OK</x:v>
      </x:c>
      <x:c r="T1867" t="n">
        <x:v>36</x:v>
      </x:c>
      <x:c r="U1867" t="str">
        <x:v>OK</x:v>
      </x:c>
      <x:c r="V1867" t="str">
        <x:v>OK</x:v>
      </x:c>
      <x:c r="W1867" t="str">
        <x:v>LOAD</x:v>
      </x:c>
      <x:c r="X1867" t="str">
        <x:v>02_Supervisor_Log(4).xlsx</x:v>
      </x:c>
      <x:c r="Y1867" t="str">
        <x:v>ENH-20260830-01</x:v>
      </x:c>
      <x:c r="Z1867" t="str">
        <x:v>Active</x:v>
      </x:c>
      <x:c r="AA1867"/>
      <x:c r="AB1867"/>
      <x:c r="AC1867"/>
      <x:c r="AD1867"/>
    </x:row>
    <x:row r="1868">
      <x:c r="A1868" t="str">
        <x:v>PCC-PE-KG01-L24-20251022-PM-ORD-2025-00125-S11-C1</x:v>
      </x:c>
      <x:c r="B1868" t="str">
        <x:v>PC-PE-KG01-L24-20251022-PM-ORD-2025-00125-S11</x:v>
      </x:c>
      <x:c r="C1868" t="str">
        <x:v>PE-KG01-L24-20251022-PM-ORD-2025-00125</x:v>
      </x:c>
      <x:c r="D1868" t="str">
        <x:v>KG01</x:v>
      </x:c>
      <x:c r="E1868" s="62" t="n">
        <x:v>45952</x:v>
      </x:c>
      <x:c r="F1868" t="str">
        <x:v>PM</x:v>
      </x:c>
      <x:c r="G1868" t="str">
        <x:v>C</x:v>
      </x:c>
      <x:c r="H1868" t="n">
        <x:v>24</x:v>
      </x:c>
      <x:c r="I1868" t="str">
        <x:v>ORD-2025-00125</x:v>
      </x:c>
      <x:c r="J1868" t="n">
        <x:v>11</x:v>
      </x:c>
      <x:c r="K1868" t="n">
        <x:v>1</x:v>
      </x:c>
      <x:c r="L1868" t="str">
        <x:v>L24-S11-C1</x:v>
      </x:c>
      <x:c r="M1868" t="n">
        <x:v>1</x:v>
      </x:c>
      <x:c r="N1868" t="str">
        <x:v>DerivedFromCount</x:v>
      </x:c>
      <x:c r="O1868" t="str">
        <x:v>PLC-PRD-JAR-330-L24</x:v>
      </x:c>
      <x:c r="P1868" t="str">
        <x:v>OK</x:v>
      </x:c>
      <x:c r="Q1868" t="str">
        <x:v>OK</x:v>
      </x:c>
      <x:c r="R1868" t="str">
        <x:v>OK</x:v>
      </x:c>
      <x:c r="S1868" t="str">
        <x:v>OK</x:v>
      </x:c>
      <x:c r="T1868" t="n">
        <x:v>36</x:v>
      </x:c>
      <x:c r="U1868" t="str">
        <x:v>OK</x:v>
      </x:c>
      <x:c r="V1868" t="str">
        <x:v>OK</x:v>
      </x:c>
      <x:c r="W1868" t="str">
        <x:v>LOAD</x:v>
      </x:c>
      <x:c r="X1868" t="str">
        <x:v>02_Supervisor_Log(4).xlsx</x:v>
      </x:c>
      <x:c r="Y1868" t="str">
        <x:v>ENH-20260830-01</x:v>
      </x:c>
      <x:c r="Z1868" t="str">
        <x:v>Active</x:v>
      </x:c>
      <x:c r="AA1868"/>
      <x:c r="AB1868"/>
      <x:c r="AC1868"/>
      <x:c r="AD1868"/>
    </x:row>
    <x:row r="1869">
      <x:c r="A1869" t="str">
        <x:v>PCC-PE-KG01-L24-20251022-PM-ORD-2025-00125-S11-C2</x:v>
      </x:c>
      <x:c r="B1869" t="str">
        <x:v>PC-PE-KG01-L24-20251022-PM-ORD-2025-00125-S11</x:v>
      </x:c>
      <x:c r="C1869" t="str">
        <x:v>PE-KG01-L24-20251022-PM-ORD-2025-00125</x:v>
      </x:c>
      <x:c r="D1869" t="str">
        <x:v>KG01</x:v>
      </x:c>
      <x:c r="E1869" s="62" t="n">
        <x:v>45952</x:v>
      </x:c>
      <x:c r="F1869" t="str">
        <x:v>PM</x:v>
      </x:c>
      <x:c r="G1869" t="str">
        <x:v>C</x:v>
      </x:c>
      <x:c r="H1869" t="n">
        <x:v>24</x:v>
      </x:c>
      <x:c r="I1869" t="str">
        <x:v>ORD-2025-00125</x:v>
      </x:c>
      <x:c r="J1869" t="n">
        <x:v>11</x:v>
      </x:c>
      <x:c r="K1869" t="n">
        <x:v>2</x:v>
      </x:c>
      <x:c r="L1869" t="str">
        <x:v>L24-S11-C2</x:v>
      </x:c>
      <x:c r="M1869" t="n">
        <x:v>1</x:v>
      </x:c>
      <x:c r="N1869" t="str">
        <x:v>DerivedFromCount</x:v>
      </x:c>
      <x:c r="O1869" t="str">
        <x:v>PLC-PRD-JAR-330-L24</x:v>
      </x:c>
      <x:c r="P1869" t="str">
        <x:v>OK</x:v>
      </x:c>
      <x:c r="Q1869" t="str">
        <x:v>OK</x:v>
      </x:c>
      <x:c r="R1869" t="str">
        <x:v>OK</x:v>
      </x:c>
      <x:c r="S1869" t="str">
        <x:v>OK</x:v>
      </x:c>
      <x:c r="T1869" t="n">
        <x:v>36</x:v>
      </x:c>
      <x:c r="U1869" t="str">
        <x:v>OK</x:v>
      </x:c>
      <x:c r="V1869" t="str">
        <x:v>OK</x:v>
      </x:c>
      <x:c r="W1869" t="str">
        <x:v>LOAD</x:v>
      </x:c>
      <x:c r="X1869" t="str">
        <x:v>02_Supervisor_Log(4).xlsx</x:v>
      </x:c>
      <x:c r="Y1869" t="str">
        <x:v>ENH-20260830-01</x:v>
      </x:c>
      <x:c r="Z1869" t="str">
        <x:v>Active</x:v>
      </x:c>
      <x:c r="AA1869"/>
      <x:c r="AB1869"/>
      <x:c r="AC1869"/>
      <x:c r="AD1869"/>
    </x:row>
    <x:row r="1870">
      <x:c r="A1870" t="str">
        <x:v>PCC-PE-KG01-L24-20251022-PM-ORD-2025-00125-S11-C3</x:v>
      </x:c>
      <x:c r="B1870" t="str">
        <x:v>PC-PE-KG01-L24-20251022-PM-ORD-2025-00125-S11</x:v>
      </x:c>
      <x:c r="C1870" t="str">
        <x:v>PE-KG01-L24-20251022-PM-ORD-2025-00125</x:v>
      </x:c>
      <x:c r="D1870" t="str">
        <x:v>KG01</x:v>
      </x:c>
      <x:c r="E1870" s="62" t="n">
        <x:v>45952</x:v>
      </x:c>
      <x:c r="F1870" t="str">
        <x:v>PM</x:v>
      </x:c>
      <x:c r="G1870" t="str">
        <x:v>C</x:v>
      </x:c>
      <x:c r="H1870" t="n">
        <x:v>24</x:v>
      </x:c>
      <x:c r="I1870" t="str">
        <x:v>ORD-2025-00125</x:v>
      </x:c>
      <x:c r="J1870" t="n">
        <x:v>11</x:v>
      </x:c>
      <x:c r="K1870" t="n">
        <x:v>3</x:v>
      </x:c>
      <x:c r="L1870" t="str">
        <x:v>L24-S11-C3</x:v>
      </x:c>
      <x:c r="M1870" t="n">
        <x:v>1</x:v>
      </x:c>
      <x:c r="N1870" t="str">
        <x:v>DerivedFromCount</x:v>
      </x:c>
      <x:c r="O1870" t="str">
        <x:v>PLC-PRD-JAR-330-L24</x:v>
      </x:c>
      <x:c r="P1870" t="str">
        <x:v>OK</x:v>
      </x:c>
      <x:c r="Q1870" t="str">
        <x:v>OK</x:v>
      </x:c>
      <x:c r="R1870" t="str">
        <x:v>OK</x:v>
      </x:c>
      <x:c r="S1870" t="str">
        <x:v>OK</x:v>
      </x:c>
      <x:c r="T1870" t="n">
        <x:v>36</x:v>
      </x:c>
      <x:c r="U1870" t="str">
        <x:v>OK</x:v>
      </x:c>
      <x:c r="V1870" t="str">
        <x:v>OK</x:v>
      </x:c>
      <x:c r="W1870" t="str">
        <x:v>LOAD</x:v>
      </x:c>
      <x:c r="X1870" t="str">
        <x:v>02_Supervisor_Log(4).xlsx</x:v>
      </x:c>
      <x:c r="Y1870" t="str">
        <x:v>ENH-20260830-01</x:v>
      </x:c>
      <x:c r="Z1870" t="str">
        <x:v>Active</x:v>
      </x:c>
      <x:c r="AA1870"/>
      <x:c r="AB1870"/>
      <x:c r="AC1870"/>
      <x:c r="AD1870"/>
    </x:row>
    <x:row r="1871">
      <x:c r="A1871" t="str">
        <x:v>PCC-PE-KG01-L24-20251022-PM-ORD-2025-00125-S12-C1</x:v>
      </x:c>
      <x:c r="B1871" t="str">
        <x:v>PC-PE-KG01-L24-20251022-PM-ORD-2025-00125-S12</x:v>
      </x:c>
      <x:c r="C1871" t="str">
        <x:v>PE-KG01-L24-20251022-PM-ORD-2025-00125</x:v>
      </x:c>
      <x:c r="D1871" t="str">
        <x:v>KG01</x:v>
      </x:c>
      <x:c r="E1871" s="62" t="n">
        <x:v>45952</x:v>
      </x:c>
      <x:c r="F1871" t="str">
        <x:v>PM</x:v>
      </x:c>
      <x:c r="G1871" t="str">
        <x:v>C</x:v>
      </x:c>
      <x:c r="H1871" t="n">
        <x:v>24</x:v>
      </x:c>
      <x:c r="I1871" t="str">
        <x:v>ORD-2025-00125</x:v>
      </x:c>
      <x:c r="J1871" t="n">
        <x:v>12</x:v>
      </x:c>
      <x:c r="K1871" t="n">
        <x:v>1</x:v>
      </x:c>
      <x:c r="L1871" t="str">
        <x:v>L24-S12-C1</x:v>
      </x:c>
      <x:c r="M1871" t="n">
        <x:v>1</x:v>
      </x:c>
      <x:c r="N1871" t="str">
        <x:v>DerivedFromCount</x:v>
      </x:c>
      <x:c r="O1871" t="str">
        <x:v>PLC-PRD-JAR-330-L24</x:v>
      </x:c>
      <x:c r="P1871" t="str">
        <x:v>OK</x:v>
      </x:c>
      <x:c r="Q1871" t="str">
        <x:v>OK</x:v>
      </x:c>
      <x:c r="R1871" t="str">
        <x:v>OK</x:v>
      </x:c>
      <x:c r="S1871" t="str">
        <x:v>OK</x:v>
      </x:c>
      <x:c r="T1871" t="n">
        <x:v>36</x:v>
      </x:c>
      <x:c r="U1871" t="str">
        <x:v>OK</x:v>
      </x:c>
      <x:c r="V1871" t="str">
        <x:v>OK</x:v>
      </x:c>
      <x:c r="W1871" t="str">
        <x:v>LOAD</x:v>
      </x:c>
      <x:c r="X1871" t="str">
        <x:v>02_Supervisor_Log(4).xlsx</x:v>
      </x:c>
      <x:c r="Y1871" t="str">
        <x:v>ENH-20260830-01</x:v>
      </x:c>
      <x:c r="Z1871" t="str">
        <x:v>Active</x:v>
      </x:c>
      <x:c r="AA1871"/>
      <x:c r="AB1871"/>
      <x:c r="AC1871"/>
      <x:c r="AD1871"/>
    </x:row>
    <x:row r="1872">
      <x:c r="A1872" t="str">
        <x:v>PCC-PE-KG01-L24-20251022-PM-ORD-2025-00125-S12-C2</x:v>
      </x:c>
      <x:c r="B1872" t="str">
        <x:v>PC-PE-KG01-L24-20251022-PM-ORD-2025-00125-S12</x:v>
      </x:c>
      <x:c r="C1872" t="str">
        <x:v>PE-KG01-L24-20251022-PM-ORD-2025-00125</x:v>
      </x:c>
      <x:c r="D1872" t="str">
        <x:v>KG01</x:v>
      </x:c>
      <x:c r="E1872" s="62" t="n">
        <x:v>45952</x:v>
      </x:c>
      <x:c r="F1872" t="str">
        <x:v>PM</x:v>
      </x:c>
      <x:c r="G1872" t="str">
        <x:v>C</x:v>
      </x:c>
      <x:c r="H1872" t="n">
        <x:v>24</x:v>
      </x:c>
      <x:c r="I1872" t="str">
        <x:v>ORD-2025-00125</x:v>
      </x:c>
      <x:c r="J1872" t="n">
        <x:v>12</x:v>
      </x:c>
      <x:c r="K1872" t="n">
        <x:v>2</x:v>
      </x:c>
      <x:c r="L1872" t="str">
        <x:v>L24-S12-C2</x:v>
      </x:c>
      <x:c r="M1872" t="n">
        <x:v>1</x:v>
      </x:c>
      <x:c r="N1872" t="str">
        <x:v>DerivedFromCount</x:v>
      </x:c>
      <x:c r="O1872" t="str">
        <x:v>PLC-PRD-JAR-330-L24</x:v>
      </x:c>
      <x:c r="P1872" t="str">
        <x:v>OK</x:v>
      </x:c>
      <x:c r="Q1872" t="str">
        <x:v>OK</x:v>
      </x:c>
      <x:c r="R1872" t="str">
        <x:v>OK</x:v>
      </x:c>
      <x:c r="S1872" t="str">
        <x:v>OK</x:v>
      </x:c>
      <x:c r="T1872" t="n">
        <x:v>36</x:v>
      </x:c>
      <x:c r="U1872" t="str">
        <x:v>OK</x:v>
      </x:c>
      <x:c r="V1872" t="str">
        <x:v>OK</x:v>
      </x:c>
      <x:c r="W1872" t="str">
        <x:v>LOAD</x:v>
      </x:c>
      <x:c r="X1872" t="str">
        <x:v>02_Supervisor_Log(4).xlsx</x:v>
      </x:c>
      <x:c r="Y1872" t="str">
        <x:v>ENH-20260830-01</x:v>
      </x:c>
      <x:c r="Z1872" t="str">
        <x:v>Active</x:v>
      </x:c>
      <x:c r="AA1872"/>
      <x:c r="AB1872"/>
      <x:c r="AC1872"/>
      <x:c r="AD1872"/>
    </x:row>
    <x:row r="1873">
      <x:c r="A1873" t="str">
        <x:v>PCC-PE-KG01-L24-20251022-PM-ORD-2025-00125-S12-C3</x:v>
      </x:c>
      <x:c r="B1873" t="str">
        <x:v>PC-PE-KG01-L24-20251022-PM-ORD-2025-00125-S12</x:v>
      </x:c>
      <x:c r="C1873" t="str">
        <x:v>PE-KG01-L24-20251022-PM-ORD-2025-00125</x:v>
      </x:c>
      <x:c r="D1873" t="str">
        <x:v>KG01</x:v>
      </x:c>
      <x:c r="E1873" s="62" t="n">
        <x:v>45952</x:v>
      </x:c>
      <x:c r="F1873" t="str">
        <x:v>PM</x:v>
      </x:c>
      <x:c r="G1873" t="str">
        <x:v>C</x:v>
      </x:c>
      <x:c r="H1873" t="n">
        <x:v>24</x:v>
      </x:c>
      <x:c r="I1873" t="str">
        <x:v>ORD-2025-00125</x:v>
      </x:c>
      <x:c r="J1873" t="n">
        <x:v>12</x:v>
      </x:c>
      <x:c r="K1873" t="n">
        <x:v>3</x:v>
      </x:c>
      <x:c r="L1873" t="str">
        <x:v>L24-S12-C3</x:v>
      </x:c>
      <x:c r="M1873" t="n">
        <x:v>1</x:v>
      </x:c>
      <x:c r="N1873" t="str">
        <x:v>DerivedFromCount</x:v>
      </x:c>
      <x:c r="O1873" t="str">
        <x:v>PLC-PRD-JAR-330-L24</x:v>
      </x:c>
      <x:c r="P1873" t="str">
        <x:v>OK</x:v>
      </x:c>
      <x:c r="Q1873" t="str">
        <x:v>OK</x:v>
      </x:c>
      <x:c r="R1873" t="str">
        <x:v>OK</x:v>
      </x:c>
      <x:c r="S1873" t="str">
        <x:v>OK</x:v>
      </x:c>
      <x:c r="T1873" t="n">
        <x:v>36</x:v>
      </x:c>
      <x:c r="U1873" t="str">
        <x:v>OK</x:v>
      </x:c>
      <x:c r="V1873" t="str">
        <x:v>OK</x:v>
      </x:c>
      <x:c r="W1873" t="str">
        <x:v>LOAD</x:v>
      </x:c>
      <x:c r="X1873" t="str">
        <x:v>02_Supervisor_Log(4).xlsx</x:v>
      </x:c>
      <x:c r="Y1873" t="str">
        <x:v>ENH-20260830-01</x:v>
      </x:c>
      <x:c r="Z1873" t="str">
        <x:v>Active</x:v>
      </x:c>
      <x:c r="AA1873"/>
      <x:c r="AB1873"/>
      <x:c r="AC1873"/>
      <x:c r="AD1873"/>
    </x:row>
    <x:row r="1874">
      <x:c r="A1874" t="str">
        <x:v>PCC-PE-KG01-L24-20251022-PM-ORD-2025-00125-S13-C1</x:v>
      </x:c>
      <x:c r="B1874" t="str">
        <x:v>PC-PE-KG01-L24-20251022-PM-ORD-2025-00125-S13</x:v>
      </x:c>
      <x:c r="C1874" t="str">
        <x:v>PE-KG01-L24-20251022-PM-ORD-2025-00125</x:v>
      </x:c>
      <x:c r="D1874" t="str">
        <x:v>KG01</x:v>
      </x:c>
      <x:c r="E1874" s="62" t="n">
        <x:v>45952</x:v>
      </x:c>
      <x:c r="F1874" t="str">
        <x:v>PM</x:v>
      </x:c>
      <x:c r="G1874" t="str">
        <x:v>C</x:v>
      </x:c>
      <x:c r="H1874" t="n">
        <x:v>24</x:v>
      </x:c>
      <x:c r="I1874" t="str">
        <x:v>ORD-2025-00125</x:v>
      </x:c>
      <x:c r="J1874" t="n">
        <x:v>13</x:v>
      </x:c>
      <x:c r="K1874" t="n">
        <x:v>1</x:v>
      </x:c>
      <x:c r="L1874" t="str">
        <x:v>L24-S13-C1</x:v>
      </x:c>
      <x:c r="M1874" t="n">
        <x:v>0</x:v>
      </x:c>
      <x:c r="N1874" t="str">
        <x:v>DerivedFromCount</x:v>
      </x:c>
      <x:c r="O1874" t="str">
        <x:v>PLC-PRD-JAR-330-L24</x:v>
      </x:c>
      <x:c r="P1874" t="str">
        <x:v>OK</x:v>
      </x:c>
      <x:c r="Q1874" t="str">
        <x:v>OK</x:v>
      </x:c>
      <x:c r="R1874" t="str">
        <x:v>OK</x:v>
      </x:c>
      <x:c r="S1874" t="str">
        <x:v>OK</x:v>
      </x:c>
      <x:c r="T1874" t="n">
        <x:v>36</x:v>
      </x:c>
      <x:c r="U1874" t="str">
        <x:v>OK</x:v>
      </x:c>
      <x:c r="V1874" t="str">
        <x:v>OK</x:v>
      </x:c>
      <x:c r="W1874" t="str">
        <x:v>LOAD</x:v>
      </x:c>
      <x:c r="X1874" t="str">
        <x:v>02_Supervisor_Log(4).xlsx</x:v>
      </x:c>
      <x:c r="Y1874" t="str">
        <x:v>ENH-20260830-01</x:v>
      </x:c>
      <x:c r="Z1874" t="str">
        <x:v>Active</x:v>
      </x:c>
      <x:c r="AA1874"/>
      <x:c r="AB1874"/>
      <x:c r="AC1874"/>
      <x:c r="AD1874"/>
    </x:row>
    <x:row r="1875">
      <x:c r="A1875" t="str">
        <x:v>PCC-PE-KG01-L24-20251022-PM-ORD-2025-00125-S13-C2</x:v>
      </x:c>
      <x:c r="B1875" t="str">
        <x:v>PC-PE-KG01-L24-20251022-PM-ORD-2025-00125-S13</x:v>
      </x:c>
      <x:c r="C1875" t="str">
        <x:v>PE-KG01-L24-20251022-PM-ORD-2025-00125</x:v>
      </x:c>
      <x:c r="D1875" t="str">
        <x:v>KG01</x:v>
      </x:c>
      <x:c r="E1875" s="62" t="n">
        <x:v>45952</x:v>
      </x:c>
      <x:c r="F1875" t="str">
        <x:v>PM</x:v>
      </x:c>
      <x:c r="G1875" t="str">
        <x:v>C</x:v>
      </x:c>
      <x:c r="H1875" t="n">
        <x:v>24</x:v>
      </x:c>
      <x:c r="I1875" t="str">
        <x:v>ORD-2025-00125</x:v>
      </x:c>
      <x:c r="J1875" t="n">
        <x:v>13</x:v>
      </x:c>
      <x:c r="K1875" t="n">
        <x:v>2</x:v>
      </x:c>
      <x:c r="L1875" t="str">
        <x:v>L24-S13-C2</x:v>
      </x:c>
      <x:c r="M1875" t="n">
        <x:v>0</x:v>
      </x:c>
      <x:c r="N1875" t="str">
        <x:v>DerivedFromCount</x:v>
      </x:c>
      <x:c r="O1875" t="str">
        <x:v>PLC-PRD-JAR-330-L24</x:v>
      </x:c>
      <x:c r="P1875" t="str">
        <x:v>OK</x:v>
      </x:c>
      <x:c r="Q1875" t="str">
        <x:v>OK</x:v>
      </x:c>
      <x:c r="R1875" t="str">
        <x:v>OK</x:v>
      </x:c>
      <x:c r="S1875" t="str">
        <x:v>OK</x:v>
      </x:c>
      <x:c r="T1875" t="n">
        <x:v>36</x:v>
      </x:c>
      <x:c r="U1875" t="str">
        <x:v>OK</x:v>
      </x:c>
      <x:c r="V1875" t="str">
        <x:v>OK</x:v>
      </x:c>
      <x:c r="W1875" t="str">
        <x:v>LOAD</x:v>
      </x:c>
      <x:c r="X1875" t="str">
        <x:v>02_Supervisor_Log(4).xlsx</x:v>
      </x:c>
      <x:c r="Y1875" t="str">
        <x:v>ENH-20260830-01</x:v>
      </x:c>
      <x:c r="Z1875" t="str">
        <x:v>Active</x:v>
      </x:c>
      <x:c r="AA1875"/>
      <x:c r="AB1875"/>
      <x:c r="AC1875"/>
      <x:c r="AD1875"/>
    </x:row>
    <x:row r="1876">
      <x:c r="A1876" t="str">
        <x:v>PCC-PE-KG01-L24-20251022-PM-ORD-2025-00125-S13-C3</x:v>
      </x:c>
      <x:c r="B1876" t="str">
        <x:v>PC-PE-KG01-L24-20251022-PM-ORD-2025-00125-S13</x:v>
      </x:c>
      <x:c r="C1876" t="str">
        <x:v>PE-KG01-L24-20251022-PM-ORD-2025-00125</x:v>
      </x:c>
      <x:c r="D1876" t="str">
        <x:v>KG01</x:v>
      </x:c>
      <x:c r="E1876" s="62" t="n">
        <x:v>45952</x:v>
      </x:c>
      <x:c r="F1876" t="str">
        <x:v>PM</x:v>
      </x:c>
      <x:c r="G1876" t="str">
        <x:v>C</x:v>
      </x:c>
      <x:c r="H1876" t="n">
        <x:v>24</x:v>
      </x:c>
      <x:c r="I1876" t="str">
        <x:v>ORD-2025-00125</x:v>
      </x:c>
      <x:c r="J1876" t="n">
        <x:v>13</x:v>
      </x:c>
      <x:c r="K1876" t="n">
        <x:v>3</x:v>
      </x:c>
      <x:c r="L1876" t="str">
        <x:v>L24-S13-C3</x:v>
      </x:c>
      <x:c r="M1876" t="n">
        <x:v>0</x:v>
      </x:c>
      <x:c r="N1876" t="str">
        <x:v>DerivedFromCount</x:v>
      </x:c>
      <x:c r="O1876" t="str">
        <x:v>PLC-PRD-JAR-330-L24</x:v>
      </x:c>
      <x:c r="P1876" t="str">
        <x:v>OK</x:v>
      </x:c>
      <x:c r="Q1876" t="str">
        <x:v>OK</x:v>
      </x:c>
      <x:c r="R1876" t="str">
        <x:v>OK</x:v>
      </x:c>
      <x:c r="S1876" t="str">
        <x:v>OK</x:v>
      </x:c>
      <x:c r="T1876" t="n">
        <x:v>36</x:v>
      </x:c>
      <x:c r="U1876" t="str">
        <x:v>OK</x:v>
      </x:c>
      <x:c r="V1876" t="str">
        <x:v>OK</x:v>
      </x:c>
      <x:c r="W1876" t="str">
        <x:v>LOAD</x:v>
      </x:c>
      <x:c r="X1876" t="str">
        <x:v>02_Supervisor_Log(4).xlsx</x:v>
      </x:c>
      <x:c r="Y1876" t="str">
        <x:v>ENH-20260830-01</x:v>
      </x:c>
      <x:c r="Z1876" t="str">
        <x:v>Active</x:v>
      </x:c>
      <x:c r="AA1876"/>
      <x:c r="AB1876"/>
      <x:c r="AC1876"/>
      <x:c r="AD1876"/>
    </x:row>
    <x:row r="1877">
      <x:c r="A1877" t="str">
        <x:v>PCC-PE-KG01-L24-20251023-AM-ORD-2025-00125-S01-C1</x:v>
      </x:c>
      <x:c r="B1877" t="str">
        <x:v>PC-PE-KG01-L24-20251023-AM-ORD-2025-00125-S01</x:v>
      </x:c>
      <x:c r="C1877" t="str">
        <x:v>PE-KG01-L24-20251023-AM-ORD-2025-00125</x:v>
      </x:c>
      <x:c r="D1877" t="str">
        <x:v>KG01</x:v>
      </x:c>
      <x:c r="E1877" s="62" t="n">
        <x:v>45953</x:v>
      </x:c>
      <x:c r="F1877" t="str">
        <x:v>AM</x:v>
      </x:c>
      <x:c r="G1877" t="str">
        <x:v>C</x:v>
      </x:c>
      <x:c r="H1877" t="n">
        <x:v>24</x:v>
      </x:c>
      <x:c r="I1877" t="str">
        <x:v>ORD-2025-00125</x:v>
      </x:c>
      <x:c r="J1877" t="n">
        <x:v>1</x:v>
      </x:c>
      <x:c r="K1877" t="n">
        <x:v>1</x:v>
      </x:c>
      <x:c r="L1877" t="str">
        <x:v>L24-S01-C1</x:v>
      </x:c>
      <x:c r="M1877" t="n">
        <x:v>1</x:v>
      </x:c>
      <x:c r="N1877" t="str">
        <x:v>DerivedFromCount</x:v>
      </x:c>
      <x:c r="O1877" t="str">
        <x:v>PLC-PRD-JAR-330-L24</x:v>
      </x:c>
      <x:c r="P1877" t="str">
        <x:v>OK</x:v>
      </x:c>
      <x:c r="Q1877" t="str">
        <x:v>OK</x:v>
      </x:c>
      <x:c r="R1877" t="str">
        <x:v>OK</x:v>
      </x:c>
      <x:c r="S1877" t="str">
        <x:v>OK</x:v>
      </x:c>
      <x:c r="T1877" t="n">
        <x:v>36</x:v>
      </x:c>
      <x:c r="U1877" t="str">
        <x:v>OK</x:v>
      </x:c>
      <x:c r="V1877" t="str">
        <x:v>OK</x:v>
      </x:c>
      <x:c r="W1877" t="str">
        <x:v>LOAD</x:v>
      </x:c>
      <x:c r="X1877" t="str">
        <x:v>02_Supervisor_Log(4).xlsx</x:v>
      </x:c>
      <x:c r="Y1877" t="str">
        <x:v>ENH-20260830-01</x:v>
      </x:c>
      <x:c r="Z1877" t="str">
        <x:v>Active</x:v>
      </x:c>
      <x:c r="AA1877"/>
      <x:c r="AB1877"/>
      <x:c r="AC1877"/>
      <x:c r="AD1877"/>
    </x:row>
    <x:row r="1878">
      <x:c r="A1878" t="str">
        <x:v>PCC-PE-KG01-L24-20251023-AM-ORD-2025-00125-S01-C2</x:v>
      </x:c>
      <x:c r="B1878" t="str">
        <x:v>PC-PE-KG01-L24-20251023-AM-ORD-2025-00125-S01</x:v>
      </x:c>
      <x:c r="C1878" t="str">
        <x:v>PE-KG01-L24-20251023-AM-ORD-2025-00125</x:v>
      </x:c>
      <x:c r="D1878" t="str">
        <x:v>KG01</x:v>
      </x:c>
      <x:c r="E1878" s="62" t="n">
        <x:v>45953</x:v>
      </x:c>
      <x:c r="F1878" t="str">
        <x:v>AM</x:v>
      </x:c>
      <x:c r="G1878" t="str">
        <x:v>C</x:v>
      </x:c>
      <x:c r="H1878" t="n">
        <x:v>24</x:v>
      </x:c>
      <x:c r="I1878" t="str">
        <x:v>ORD-2025-00125</x:v>
      </x:c>
      <x:c r="J1878" t="n">
        <x:v>1</x:v>
      </x:c>
      <x:c r="K1878" t="n">
        <x:v>2</x:v>
      </x:c>
      <x:c r="L1878" t="str">
        <x:v>L24-S01-C2</x:v>
      </x:c>
      <x:c r="M1878" t="n">
        <x:v>1</x:v>
      </x:c>
      <x:c r="N1878" t="str">
        <x:v>DerivedFromCount</x:v>
      </x:c>
      <x:c r="O1878" t="str">
        <x:v>PLC-PRD-JAR-330-L24</x:v>
      </x:c>
      <x:c r="P1878" t="str">
        <x:v>OK</x:v>
      </x:c>
      <x:c r="Q1878" t="str">
        <x:v>OK</x:v>
      </x:c>
      <x:c r="R1878" t="str">
        <x:v>OK</x:v>
      </x:c>
      <x:c r="S1878" t="str">
        <x:v>OK</x:v>
      </x:c>
      <x:c r="T1878" t="n">
        <x:v>36</x:v>
      </x:c>
      <x:c r="U1878" t="str">
        <x:v>OK</x:v>
      </x:c>
      <x:c r="V1878" t="str">
        <x:v>OK</x:v>
      </x:c>
      <x:c r="W1878" t="str">
        <x:v>LOAD</x:v>
      </x:c>
      <x:c r="X1878" t="str">
        <x:v>02_Supervisor_Log(4).xlsx</x:v>
      </x:c>
      <x:c r="Y1878" t="str">
        <x:v>ENH-20260830-01</x:v>
      </x:c>
      <x:c r="Z1878" t="str">
        <x:v>Active</x:v>
      </x:c>
      <x:c r="AA1878"/>
      <x:c r="AB1878"/>
      <x:c r="AC1878"/>
      <x:c r="AD1878"/>
    </x:row>
    <x:row r="1879">
      <x:c r="A1879" t="str">
        <x:v>PCC-PE-KG01-L24-20251023-AM-ORD-2025-00125-S01-C3</x:v>
      </x:c>
      <x:c r="B1879" t="str">
        <x:v>PC-PE-KG01-L24-20251023-AM-ORD-2025-00125-S01</x:v>
      </x:c>
      <x:c r="C1879" t="str">
        <x:v>PE-KG01-L24-20251023-AM-ORD-2025-00125</x:v>
      </x:c>
      <x:c r="D1879" t="str">
        <x:v>KG01</x:v>
      </x:c>
      <x:c r="E1879" s="62" t="n">
        <x:v>45953</x:v>
      </x:c>
      <x:c r="F1879" t="str">
        <x:v>AM</x:v>
      </x:c>
      <x:c r="G1879" t="str">
        <x:v>C</x:v>
      </x:c>
      <x:c r="H1879" t="n">
        <x:v>24</x:v>
      </x:c>
      <x:c r="I1879" t="str">
        <x:v>ORD-2025-00125</x:v>
      </x:c>
      <x:c r="J1879" t="n">
        <x:v>1</x:v>
      </x:c>
      <x:c r="K1879" t="n">
        <x:v>3</x:v>
      </x:c>
      <x:c r="L1879" t="str">
        <x:v>L24-S01-C3</x:v>
      </x:c>
      <x:c r="M1879" t="n">
        <x:v>1</x:v>
      </x:c>
      <x:c r="N1879" t="str">
        <x:v>DerivedFromCount</x:v>
      </x:c>
      <x:c r="O1879" t="str">
        <x:v>PLC-PRD-JAR-330-L24</x:v>
      </x:c>
      <x:c r="P1879" t="str">
        <x:v>OK</x:v>
      </x:c>
      <x:c r="Q1879" t="str">
        <x:v>OK</x:v>
      </x:c>
      <x:c r="R1879" t="str">
        <x:v>OK</x:v>
      </x:c>
      <x:c r="S1879" t="str">
        <x:v>OK</x:v>
      </x:c>
      <x:c r="T1879" t="n">
        <x:v>36</x:v>
      </x:c>
      <x:c r="U1879" t="str">
        <x:v>OK</x:v>
      </x:c>
      <x:c r="V1879" t="str">
        <x:v>OK</x:v>
      </x:c>
      <x:c r="W1879" t="str">
        <x:v>LOAD</x:v>
      </x:c>
      <x:c r="X1879" t="str">
        <x:v>02_Supervisor_Log(4).xlsx</x:v>
      </x:c>
      <x:c r="Y1879" t="str">
        <x:v>ENH-20260830-01</x:v>
      </x:c>
      <x:c r="Z1879" t="str">
        <x:v>Active</x:v>
      </x:c>
      <x:c r="AA1879"/>
      <x:c r="AB1879"/>
      <x:c r="AC1879"/>
      <x:c r="AD1879"/>
    </x:row>
    <x:row r="1880">
      <x:c r="A1880" t="str">
        <x:v>PCC-PE-KG01-L24-20251023-AM-ORD-2025-00125-S02-C1</x:v>
      </x:c>
      <x:c r="B1880" t="str">
        <x:v>PC-PE-KG01-L24-20251023-AM-ORD-2025-00125-S02</x:v>
      </x:c>
      <x:c r="C1880" t="str">
        <x:v>PE-KG01-L24-20251023-AM-ORD-2025-00125</x:v>
      </x:c>
      <x:c r="D1880" t="str">
        <x:v>KG01</x:v>
      </x:c>
      <x:c r="E1880" s="62" t="n">
        <x:v>45953</x:v>
      </x:c>
      <x:c r="F1880" t="str">
        <x:v>AM</x:v>
      </x:c>
      <x:c r="G1880" t="str">
        <x:v>C</x:v>
      </x:c>
      <x:c r="H1880" t="n">
        <x:v>24</x:v>
      </x:c>
      <x:c r="I1880" t="str">
        <x:v>ORD-2025-00125</x:v>
      </x:c>
      <x:c r="J1880" t="n">
        <x:v>2</x:v>
      </x:c>
      <x:c r="K1880" t="n">
        <x:v>1</x:v>
      </x:c>
      <x:c r="L1880" t="str">
        <x:v>L24-S02-C1</x:v>
      </x:c>
      <x:c r="M1880" t="n">
        <x:v>1</x:v>
      </x:c>
      <x:c r="N1880" t="str">
        <x:v>DerivedFromCount</x:v>
      </x:c>
      <x:c r="O1880" t="str">
        <x:v>PLC-PRD-JAR-330-L24</x:v>
      </x:c>
      <x:c r="P1880" t="str">
        <x:v>OK</x:v>
      </x:c>
      <x:c r="Q1880" t="str">
        <x:v>OK</x:v>
      </x:c>
      <x:c r="R1880" t="str">
        <x:v>OK</x:v>
      </x:c>
      <x:c r="S1880" t="str">
        <x:v>OK</x:v>
      </x:c>
      <x:c r="T1880" t="n">
        <x:v>36</x:v>
      </x:c>
      <x:c r="U1880" t="str">
        <x:v>OK</x:v>
      </x:c>
      <x:c r="V1880" t="str">
        <x:v>OK</x:v>
      </x:c>
      <x:c r="W1880" t="str">
        <x:v>LOAD</x:v>
      </x:c>
      <x:c r="X1880" t="str">
        <x:v>02_Supervisor_Log(4).xlsx</x:v>
      </x:c>
      <x:c r="Y1880" t="str">
        <x:v>ENH-20260830-01</x:v>
      </x:c>
      <x:c r="Z1880" t="str">
        <x:v>Active</x:v>
      </x:c>
      <x:c r="AA1880"/>
      <x:c r="AB1880"/>
      <x:c r="AC1880"/>
      <x:c r="AD1880"/>
    </x:row>
    <x:row r="1881">
      <x:c r="A1881" t="str">
        <x:v>PCC-PE-KG01-L24-20251023-AM-ORD-2025-00125-S02-C2</x:v>
      </x:c>
      <x:c r="B1881" t="str">
        <x:v>PC-PE-KG01-L24-20251023-AM-ORD-2025-00125-S02</x:v>
      </x:c>
      <x:c r="C1881" t="str">
        <x:v>PE-KG01-L24-20251023-AM-ORD-2025-00125</x:v>
      </x:c>
      <x:c r="D1881" t="str">
        <x:v>KG01</x:v>
      </x:c>
      <x:c r="E1881" s="62" t="n">
        <x:v>45953</x:v>
      </x:c>
      <x:c r="F1881" t="str">
        <x:v>AM</x:v>
      </x:c>
      <x:c r="G1881" t="str">
        <x:v>C</x:v>
      </x:c>
      <x:c r="H1881" t="n">
        <x:v>24</x:v>
      </x:c>
      <x:c r="I1881" t="str">
        <x:v>ORD-2025-00125</x:v>
      </x:c>
      <x:c r="J1881" t="n">
        <x:v>2</x:v>
      </x:c>
      <x:c r="K1881" t="n">
        <x:v>2</x:v>
      </x:c>
      <x:c r="L1881" t="str">
        <x:v>L24-S02-C2</x:v>
      </x:c>
      <x:c r="M1881" t="n">
        <x:v>1</x:v>
      </x:c>
      <x:c r="N1881" t="str">
        <x:v>DerivedFromCount</x:v>
      </x:c>
      <x:c r="O1881" t="str">
        <x:v>PLC-PRD-JAR-330-L24</x:v>
      </x:c>
      <x:c r="P1881" t="str">
        <x:v>OK</x:v>
      </x:c>
      <x:c r="Q1881" t="str">
        <x:v>OK</x:v>
      </x:c>
      <x:c r="R1881" t="str">
        <x:v>OK</x:v>
      </x:c>
      <x:c r="S1881" t="str">
        <x:v>OK</x:v>
      </x:c>
      <x:c r="T1881" t="n">
        <x:v>36</x:v>
      </x:c>
      <x:c r="U1881" t="str">
        <x:v>OK</x:v>
      </x:c>
      <x:c r="V1881" t="str">
        <x:v>OK</x:v>
      </x:c>
      <x:c r="W1881" t="str">
        <x:v>LOAD</x:v>
      </x:c>
      <x:c r="X1881" t="str">
        <x:v>02_Supervisor_Log(4).xlsx</x:v>
      </x:c>
      <x:c r="Y1881" t="str">
        <x:v>ENH-20260830-01</x:v>
      </x:c>
      <x:c r="Z1881" t="str">
        <x:v>Active</x:v>
      </x:c>
      <x:c r="AA1881"/>
      <x:c r="AB1881"/>
      <x:c r="AC1881"/>
      <x:c r="AD1881"/>
    </x:row>
    <x:row r="1882">
      <x:c r="A1882" t="str">
        <x:v>PCC-PE-KG01-L24-20251023-AM-ORD-2025-00125-S02-C3</x:v>
      </x:c>
      <x:c r="B1882" t="str">
        <x:v>PC-PE-KG01-L24-20251023-AM-ORD-2025-00125-S02</x:v>
      </x:c>
      <x:c r="C1882" t="str">
        <x:v>PE-KG01-L24-20251023-AM-ORD-2025-00125</x:v>
      </x:c>
      <x:c r="D1882" t="str">
        <x:v>KG01</x:v>
      </x:c>
      <x:c r="E1882" s="62" t="n">
        <x:v>45953</x:v>
      </x:c>
      <x:c r="F1882" t="str">
        <x:v>AM</x:v>
      </x:c>
      <x:c r="G1882" t="str">
        <x:v>C</x:v>
      </x:c>
      <x:c r="H1882" t="n">
        <x:v>24</x:v>
      </x:c>
      <x:c r="I1882" t="str">
        <x:v>ORD-2025-00125</x:v>
      </x:c>
      <x:c r="J1882" t="n">
        <x:v>2</x:v>
      </x:c>
      <x:c r="K1882" t="n">
        <x:v>3</x:v>
      </x:c>
      <x:c r="L1882" t="str">
        <x:v>L24-S02-C3</x:v>
      </x:c>
      <x:c r="M1882" t="n">
        <x:v>1</x:v>
      </x:c>
      <x:c r="N1882" t="str">
        <x:v>DerivedFromCount</x:v>
      </x:c>
      <x:c r="O1882" t="str">
        <x:v>PLC-PRD-JAR-330-L24</x:v>
      </x:c>
      <x:c r="P1882" t="str">
        <x:v>OK</x:v>
      </x:c>
      <x:c r="Q1882" t="str">
        <x:v>OK</x:v>
      </x:c>
      <x:c r="R1882" t="str">
        <x:v>OK</x:v>
      </x:c>
      <x:c r="S1882" t="str">
        <x:v>OK</x:v>
      </x:c>
      <x:c r="T1882" t="n">
        <x:v>36</x:v>
      </x:c>
      <x:c r="U1882" t="str">
        <x:v>OK</x:v>
      </x:c>
      <x:c r="V1882" t="str">
        <x:v>OK</x:v>
      </x:c>
      <x:c r="W1882" t="str">
        <x:v>LOAD</x:v>
      </x:c>
      <x:c r="X1882" t="str">
        <x:v>02_Supervisor_Log(4).xlsx</x:v>
      </x:c>
      <x:c r="Y1882" t="str">
        <x:v>ENH-20260830-01</x:v>
      </x:c>
      <x:c r="Z1882" t="str">
        <x:v>Active</x:v>
      </x:c>
      <x:c r="AA1882"/>
      <x:c r="AB1882"/>
      <x:c r="AC1882"/>
      <x:c r="AD1882"/>
    </x:row>
    <x:row r="1883">
      <x:c r="A1883" t="str">
        <x:v>PCC-PE-KG01-L24-20251023-AM-ORD-2025-00125-S03-C1</x:v>
      </x:c>
      <x:c r="B1883" t="str">
        <x:v>PC-PE-KG01-L24-20251023-AM-ORD-2025-00125-S03</x:v>
      </x:c>
      <x:c r="C1883" t="str">
        <x:v>PE-KG01-L24-20251023-AM-ORD-2025-00125</x:v>
      </x:c>
      <x:c r="D1883" t="str">
        <x:v>KG01</x:v>
      </x:c>
      <x:c r="E1883" s="62" t="n">
        <x:v>45953</x:v>
      </x:c>
      <x:c r="F1883" t="str">
        <x:v>AM</x:v>
      </x:c>
      <x:c r="G1883" t="str">
        <x:v>C</x:v>
      </x:c>
      <x:c r="H1883" t="n">
        <x:v>24</x:v>
      </x:c>
      <x:c r="I1883" t="str">
        <x:v>ORD-2025-00125</x:v>
      </x:c>
      <x:c r="J1883" t="n">
        <x:v>3</x:v>
      </x:c>
      <x:c r="K1883" t="n">
        <x:v>1</x:v>
      </x:c>
      <x:c r="L1883" t="str">
        <x:v>L24-S03-C1</x:v>
      </x:c>
      <x:c r="M1883" t="n">
        <x:v>1</x:v>
      </x:c>
      <x:c r="N1883" t="str">
        <x:v>DerivedFromCount</x:v>
      </x:c>
      <x:c r="O1883" t="str">
        <x:v>PLC-PRD-JAR-330-L24</x:v>
      </x:c>
      <x:c r="P1883" t="str">
        <x:v>OK</x:v>
      </x:c>
      <x:c r="Q1883" t="str">
        <x:v>OK</x:v>
      </x:c>
      <x:c r="R1883" t="str">
        <x:v>OK</x:v>
      </x:c>
      <x:c r="S1883" t="str">
        <x:v>OK</x:v>
      </x:c>
      <x:c r="T1883" t="n">
        <x:v>36</x:v>
      </x:c>
      <x:c r="U1883" t="str">
        <x:v>OK</x:v>
      </x:c>
      <x:c r="V1883" t="str">
        <x:v>OK</x:v>
      </x:c>
      <x:c r="W1883" t="str">
        <x:v>LOAD</x:v>
      </x:c>
      <x:c r="X1883" t="str">
        <x:v>02_Supervisor_Log(4).xlsx</x:v>
      </x:c>
      <x:c r="Y1883" t="str">
        <x:v>ENH-20260830-01</x:v>
      </x:c>
      <x:c r="Z1883" t="str">
        <x:v>Active</x:v>
      </x:c>
      <x:c r="AA1883"/>
      <x:c r="AB1883"/>
      <x:c r="AC1883"/>
      <x:c r="AD1883"/>
    </x:row>
    <x:row r="1884">
      <x:c r="A1884" t="str">
        <x:v>PCC-PE-KG01-L24-20251023-AM-ORD-2025-00125-S03-C2</x:v>
      </x:c>
      <x:c r="B1884" t="str">
        <x:v>PC-PE-KG01-L24-20251023-AM-ORD-2025-00125-S03</x:v>
      </x:c>
      <x:c r="C1884" t="str">
        <x:v>PE-KG01-L24-20251023-AM-ORD-2025-00125</x:v>
      </x:c>
      <x:c r="D1884" t="str">
        <x:v>KG01</x:v>
      </x:c>
      <x:c r="E1884" s="62" t="n">
        <x:v>45953</x:v>
      </x:c>
      <x:c r="F1884" t="str">
        <x:v>AM</x:v>
      </x:c>
      <x:c r="G1884" t="str">
        <x:v>C</x:v>
      </x:c>
      <x:c r="H1884" t="n">
        <x:v>24</x:v>
      </x:c>
      <x:c r="I1884" t="str">
        <x:v>ORD-2025-00125</x:v>
      </x:c>
      <x:c r="J1884" t="n">
        <x:v>3</x:v>
      </x:c>
      <x:c r="K1884" t="n">
        <x:v>2</x:v>
      </x:c>
      <x:c r="L1884" t="str">
        <x:v>L24-S03-C2</x:v>
      </x:c>
      <x:c r="M1884" t="n">
        <x:v>1</x:v>
      </x:c>
      <x:c r="N1884" t="str">
        <x:v>DerivedFromCount</x:v>
      </x:c>
      <x:c r="O1884" t="str">
        <x:v>PLC-PRD-JAR-330-L24</x:v>
      </x:c>
      <x:c r="P1884" t="str">
        <x:v>OK</x:v>
      </x:c>
      <x:c r="Q1884" t="str">
        <x:v>OK</x:v>
      </x:c>
      <x:c r="R1884" t="str">
        <x:v>OK</x:v>
      </x:c>
      <x:c r="S1884" t="str">
        <x:v>OK</x:v>
      </x:c>
      <x:c r="T1884" t="n">
        <x:v>36</x:v>
      </x:c>
      <x:c r="U1884" t="str">
        <x:v>OK</x:v>
      </x:c>
      <x:c r="V1884" t="str">
        <x:v>OK</x:v>
      </x:c>
      <x:c r="W1884" t="str">
        <x:v>LOAD</x:v>
      </x:c>
      <x:c r="X1884" t="str">
        <x:v>02_Supervisor_Log(4).xlsx</x:v>
      </x:c>
      <x:c r="Y1884" t="str">
        <x:v>ENH-20260830-01</x:v>
      </x:c>
      <x:c r="Z1884" t="str">
        <x:v>Active</x:v>
      </x:c>
      <x:c r="AA1884"/>
      <x:c r="AB1884"/>
      <x:c r="AC1884"/>
      <x:c r="AD1884"/>
    </x:row>
    <x:row r="1885">
      <x:c r="A1885" t="str">
        <x:v>PCC-PE-KG01-L24-20251023-AM-ORD-2025-00125-S03-C3</x:v>
      </x:c>
      <x:c r="B1885" t="str">
        <x:v>PC-PE-KG01-L24-20251023-AM-ORD-2025-00125-S03</x:v>
      </x:c>
      <x:c r="C1885" t="str">
        <x:v>PE-KG01-L24-20251023-AM-ORD-2025-00125</x:v>
      </x:c>
      <x:c r="D1885" t="str">
        <x:v>KG01</x:v>
      </x:c>
      <x:c r="E1885" s="62" t="n">
        <x:v>45953</x:v>
      </x:c>
      <x:c r="F1885" t="str">
        <x:v>AM</x:v>
      </x:c>
      <x:c r="G1885" t="str">
        <x:v>C</x:v>
      </x:c>
      <x:c r="H1885" t="n">
        <x:v>24</x:v>
      </x:c>
      <x:c r="I1885" t="str">
        <x:v>ORD-2025-00125</x:v>
      </x:c>
      <x:c r="J1885" t="n">
        <x:v>3</x:v>
      </x:c>
      <x:c r="K1885" t="n">
        <x:v>3</x:v>
      </x:c>
      <x:c r="L1885" t="str">
        <x:v>L24-S03-C3</x:v>
      </x:c>
      <x:c r="M1885" t="n">
        <x:v>1</x:v>
      </x:c>
      <x:c r="N1885" t="str">
        <x:v>DerivedFromCount</x:v>
      </x:c>
      <x:c r="O1885" t="str">
        <x:v>PLC-PRD-JAR-330-L24</x:v>
      </x:c>
      <x:c r="P1885" t="str">
        <x:v>OK</x:v>
      </x:c>
      <x:c r="Q1885" t="str">
        <x:v>OK</x:v>
      </x:c>
      <x:c r="R1885" t="str">
        <x:v>OK</x:v>
      </x:c>
      <x:c r="S1885" t="str">
        <x:v>OK</x:v>
      </x:c>
      <x:c r="T1885" t="n">
        <x:v>36</x:v>
      </x:c>
      <x:c r="U1885" t="str">
        <x:v>OK</x:v>
      </x:c>
      <x:c r="V1885" t="str">
        <x:v>OK</x:v>
      </x:c>
      <x:c r="W1885" t="str">
        <x:v>LOAD</x:v>
      </x:c>
      <x:c r="X1885" t="str">
        <x:v>02_Supervisor_Log(4).xlsx</x:v>
      </x:c>
      <x:c r="Y1885" t="str">
        <x:v>ENH-20260830-01</x:v>
      </x:c>
      <x:c r="Z1885" t="str">
        <x:v>Active</x:v>
      </x:c>
      <x:c r="AA1885"/>
      <x:c r="AB1885"/>
      <x:c r="AC1885"/>
      <x:c r="AD1885"/>
    </x:row>
    <x:row r="1886">
      <x:c r="A1886" t="str">
        <x:v>PCC-PE-KG01-L24-20251023-AM-ORD-2025-00125-S04-C1</x:v>
      </x:c>
      <x:c r="B1886" t="str">
        <x:v>PC-PE-KG01-L24-20251023-AM-ORD-2025-00125-S04</x:v>
      </x:c>
      <x:c r="C1886" t="str">
        <x:v>PE-KG01-L24-20251023-AM-ORD-2025-00125</x:v>
      </x:c>
      <x:c r="D1886" t="str">
        <x:v>KG01</x:v>
      </x:c>
      <x:c r="E1886" s="62" t="n">
        <x:v>45953</x:v>
      </x:c>
      <x:c r="F1886" t="str">
        <x:v>AM</x:v>
      </x:c>
      <x:c r="G1886" t="str">
        <x:v>C</x:v>
      </x:c>
      <x:c r="H1886" t="n">
        <x:v>24</x:v>
      </x:c>
      <x:c r="I1886" t="str">
        <x:v>ORD-2025-00125</x:v>
      </x:c>
      <x:c r="J1886" t="n">
        <x:v>4</x:v>
      </x:c>
      <x:c r="K1886" t="n">
        <x:v>1</x:v>
      </x:c>
      <x:c r="L1886" t="str">
        <x:v>L24-S04-C1</x:v>
      </x:c>
      <x:c r="M1886" t="n">
        <x:v>1</x:v>
      </x:c>
      <x:c r="N1886" t="str">
        <x:v>DerivedFromCount</x:v>
      </x:c>
      <x:c r="O1886" t="str">
        <x:v>PLC-PRD-JAR-330-L24</x:v>
      </x:c>
      <x:c r="P1886" t="str">
        <x:v>OK</x:v>
      </x:c>
      <x:c r="Q1886" t="str">
        <x:v>OK</x:v>
      </x:c>
      <x:c r="R1886" t="str">
        <x:v>OK</x:v>
      </x:c>
      <x:c r="S1886" t="str">
        <x:v>OK</x:v>
      </x:c>
      <x:c r="T1886" t="n">
        <x:v>36</x:v>
      </x:c>
      <x:c r="U1886" t="str">
        <x:v>OK</x:v>
      </x:c>
      <x:c r="V1886" t="str">
        <x:v>OK</x:v>
      </x:c>
      <x:c r="W1886" t="str">
        <x:v>LOAD</x:v>
      </x:c>
      <x:c r="X1886" t="str">
        <x:v>02_Supervisor_Log(4).xlsx</x:v>
      </x:c>
      <x:c r="Y1886" t="str">
        <x:v>ENH-20260830-01</x:v>
      </x:c>
      <x:c r="Z1886" t="str">
        <x:v>Active</x:v>
      </x:c>
      <x:c r="AA1886"/>
      <x:c r="AB1886"/>
      <x:c r="AC1886"/>
      <x:c r="AD1886"/>
    </x:row>
    <x:row r="1887">
      <x:c r="A1887" t="str">
        <x:v>PCC-PE-KG01-L24-20251023-AM-ORD-2025-00125-S04-C2</x:v>
      </x:c>
      <x:c r="B1887" t="str">
        <x:v>PC-PE-KG01-L24-20251023-AM-ORD-2025-00125-S04</x:v>
      </x:c>
      <x:c r="C1887" t="str">
        <x:v>PE-KG01-L24-20251023-AM-ORD-2025-00125</x:v>
      </x:c>
      <x:c r="D1887" t="str">
        <x:v>KG01</x:v>
      </x:c>
      <x:c r="E1887" s="62" t="n">
        <x:v>45953</x:v>
      </x:c>
      <x:c r="F1887" t="str">
        <x:v>AM</x:v>
      </x:c>
      <x:c r="G1887" t="str">
        <x:v>C</x:v>
      </x:c>
      <x:c r="H1887" t="n">
        <x:v>24</x:v>
      </x:c>
      <x:c r="I1887" t="str">
        <x:v>ORD-2025-00125</x:v>
      </x:c>
      <x:c r="J1887" t="n">
        <x:v>4</x:v>
      </x:c>
      <x:c r="K1887" t="n">
        <x:v>2</x:v>
      </x:c>
      <x:c r="L1887" t="str">
        <x:v>L24-S04-C2</x:v>
      </x:c>
      <x:c r="M1887" t="n">
        <x:v>1</x:v>
      </x:c>
      <x:c r="N1887" t="str">
        <x:v>DerivedFromCount</x:v>
      </x:c>
      <x:c r="O1887" t="str">
        <x:v>PLC-PRD-JAR-330-L24</x:v>
      </x:c>
      <x:c r="P1887" t="str">
        <x:v>OK</x:v>
      </x:c>
      <x:c r="Q1887" t="str">
        <x:v>OK</x:v>
      </x:c>
      <x:c r="R1887" t="str">
        <x:v>OK</x:v>
      </x:c>
      <x:c r="S1887" t="str">
        <x:v>OK</x:v>
      </x:c>
      <x:c r="T1887" t="n">
        <x:v>36</x:v>
      </x:c>
      <x:c r="U1887" t="str">
        <x:v>OK</x:v>
      </x:c>
      <x:c r="V1887" t="str">
        <x:v>OK</x:v>
      </x:c>
      <x:c r="W1887" t="str">
        <x:v>LOAD</x:v>
      </x:c>
      <x:c r="X1887" t="str">
        <x:v>02_Supervisor_Log(4).xlsx</x:v>
      </x:c>
      <x:c r="Y1887" t="str">
        <x:v>ENH-20260830-01</x:v>
      </x:c>
      <x:c r="Z1887" t="str">
        <x:v>Active</x:v>
      </x:c>
      <x:c r="AA1887"/>
      <x:c r="AB1887"/>
      <x:c r="AC1887"/>
      <x:c r="AD1887"/>
    </x:row>
    <x:row r="1888">
      <x:c r="A1888" t="str">
        <x:v>PCC-PE-KG01-L24-20251023-AM-ORD-2025-00125-S04-C3</x:v>
      </x:c>
      <x:c r="B1888" t="str">
        <x:v>PC-PE-KG01-L24-20251023-AM-ORD-2025-00125-S04</x:v>
      </x:c>
      <x:c r="C1888" t="str">
        <x:v>PE-KG01-L24-20251023-AM-ORD-2025-00125</x:v>
      </x:c>
      <x:c r="D1888" t="str">
        <x:v>KG01</x:v>
      </x:c>
      <x:c r="E1888" s="62" t="n">
        <x:v>45953</x:v>
      </x:c>
      <x:c r="F1888" t="str">
        <x:v>AM</x:v>
      </x:c>
      <x:c r="G1888" t="str">
        <x:v>C</x:v>
      </x:c>
      <x:c r="H1888" t="n">
        <x:v>24</x:v>
      </x:c>
      <x:c r="I1888" t="str">
        <x:v>ORD-2025-00125</x:v>
      </x:c>
      <x:c r="J1888" t="n">
        <x:v>4</x:v>
      </x:c>
      <x:c r="K1888" t="n">
        <x:v>3</x:v>
      </x:c>
      <x:c r="L1888" t="str">
        <x:v>L24-S04-C3</x:v>
      </x:c>
      <x:c r="M1888" t="n">
        <x:v>1</x:v>
      </x:c>
      <x:c r="N1888" t="str">
        <x:v>DerivedFromCount</x:v>
      </x:c>
      <x:c r="O1888" t="str">
        <x:v>PLC-PRD-JAR-330-L24</x:v>
      </x:c>
      <x:c r="P1888" t="str">
        <x:v>OK</x:v>
      </x:c>
      <x:c r="Q1888" t="str">
        <x:v>OK</x:v>
      </x:c>
      <x:c r="R1888" t="str">
        <x:v>OK</x:v>
      </x:c>
      <x:c r="S1888" t="str">
        <x:v>OK</x:v>
      </x:c>
      <x:c r="T1888" t="n">
        <x:v>36</x:v>
      </x:c>
      <x:c r="U1888" t="str">
        <x:v>OK</x:v>
      </x:c>
      <x:c r="V1888" t="str">
        <x:v>OK</x:v>
      </x:c>
      <x:c r="W1888" t="str">
        <x:v>LOAD</x:v>
      </x:c>
      <x:c r="X1888" t="str">
        <x:v>02_Supervisor_Log(4).xlsx</x:v>
      </x:c>
      <x:c r="Y1888" t="str">
        <x:v>ENH-20260830-01</x:v>
      </x:c>
      <x:c r="Z1888" t="str">
        <x:v>Active</x:v>
      </x:c>
      <x:c r="AA1888"/>
      <x:c r="AB1888"/>
      <x:c r="AC1888"/>
      <x:c r="AD1888"/>
    </x:row>
    <x:row r="1889">
      <x:c r="A1889" t="str">
        <x:v>PCC-PE-KG01-L24-20251023-AM-ORD-2025-00125-S05-C1</x:v>
      </x:c>
      <x:c r="B1889" t="str">
        <x:v>PC-PE-KG01-L24-20251023-AM-ORD-2025-00125-S05</x:v>
      </x:c>
      <x:c r="C1889" t="str">
        <x:v>PE-KG01-L24-20251023-AM-ORD-2025-00125</x:v>
      </x:c>
      <x:c r="D1889" t="str">
        <x:v>KG01</x:v>
      </x:c>
      <x:c r="E1889" s="62" t="n">
        <x:v>45953</x:v>
      </x:c>
      <x:c r="F1889" t="str">
        <x:v>AM</x:v>
      </x:c>
      <x:c r="G1889" t="str">
        <x:v>C</x:v>
      </x:c>
      <x:c r="H1889" t="n">
        <x:v>24</x:v>
      </x:c>
      <x:c r="I1889" t="str">
        <x:v>ORD-2025-00125</x:v>
      </x:c>
      <x:c r="J1889" t="n">
        <x:v>5</x:v>
      </x:c>
      <x:c r="K1889" t="n">
        <x:v>1</x:v>
      </x:c>
      <x:c r="L1889" t="str">
        <x:v>L24-S05-C1</x:v>
      </x:c>
      <x:c r="M1889" t="n">
        <x:v>1</x:v>
      </x:c>
      <x:c r="N1889" t="str">
        <x:v>DerivedFromCount</x:v>
      </x:c>
      <x:c r="O1889" t="str">
        <x:v>PLC-PRD-JAR-330-L24</x:v>
      </x:c>
      <x:c r="P1889" t="str">
        <x:v>OK</x:v>
      </x:c>
      <x:c r="Q1889" t="str">
        <x:v>OK</x:v>
      </x:c>
      <x:c r="R1889" t="str">
        <x:v>OK</x:v>
      </x:c>
      <x:c r="S1889" t="str">
        <x:v>OK</x:v>
      </x:c>
      <x:c r="T1889" t="n">
        <x:v>36</x:v>
      </x:c>
      <x:c r="U1889" t="str">
        <x:v>OK</x:v>
      </x:c>
      <x:c r="V1889" t="str">
        <x:v>OK</x:v>
      </x:c>
      <x:c r="W1889" t="str">
        <x:v>LOAD</x:v>
      </x:c>
      <x:c r="X1889" t="str">
        <x:v>02_Supervisor_Log(4).xlsx</x:v>
      </x:c>
      <x:c r="Y1889" t="str">
        <x:v>ENH-20260830-01</x:v>
      </x:c>
      <x:c r="Z1889" t="str">
        <x:v>Active</x:v>
      </x:c>
      <x:c r="AA1889"/>
      <x:c r="AB1889"/>
      <x:c r="AC1889"/>
      <x:c r="AD1889"/>
    </x:row>
    <x:row r="1890">
      <x:c r="A1890" t="str">
        <x:v>PCC-PE-KG01-L24-20251023-AM-ORD-2025-00125-S05-C2</x:v>
      </x:c>
      <x:c r="B1890" t="str">
        <x:v>PC-PE-KG01-L24-20251023-AM-ORD-2025-00125-S05</x:v>
      </x:c>
      <x:c r="C1890" t="str">
        <x:v>PE-KG01-L24-20251023-AM-ORD-2025-00125</x:v>
      </x:c>
      <x:c r="D1890" t="str">
        <x:v>KG01</x:v>
      </x:c>
      <x:c r="E1890" s="62" t="n">
        <x:v>45953</x:v>
      </x:c>
      <x:c r="F1890" t="str">
        <x:v>AM</x:v>
      </x:c>
      <x:c r="G1890" t="str">
        <x:v>C</x:v>
      </x:c>
      <x:c r="H1890" t="n">
        <x:v>24</x:v>
      </x:c>
      <x:c r="I1890" t="str">
        <x:v>ORD-2025-00125</x:v>
      </x:c>
      <x:c r="J1890" t="n">
        <x:v>5</x:v>
      </x:c>
      <x:c r="K1890" t="n">
        <x:v>2</x:v>
      </x:c>
      <x:c r="L1890" t="str">
        <x:v>L24-S05-C2</x:v>
      </x:c>
      <x:c r="M1890" t="n">
        <x:v>1</x:v>
      </x:c>
      <x:c r="N1890" t="str">
        <x:v>DerivedFromCount</x:v>
      </x:c>
      <x:c r="O1890" t="str">
        <x:v>PLC-PRD-JAR-330-L24</x:v>
      </x:c>
      <x:c r="P1890" t="str">
        <x:v>OK</x:v>
      </x:c>
      <x:c r="Q1890" t="str">
        <x:v>OK</x:v>
      </x:c>
      <x:c r="R1890" t="str">
        <x:v>OK</x:v>
      </x:c>
      <x:c r="S1890" t="str">
        <x:v>OK</x:v>
      </x:c>
      <x:c r="T1890" t="n">
        <x:v>36</x:v>
      </x:c>
      <x:c r="U1890" t="str">
        <x:v>OK</x:v>
      </x:c>
      <x:c r="V1890" t="str">
        <x:v>OK</x:v>
      </x:c>
      <x:c r="W1890" t="str">
        <x:v>LOAD</x:v>
      </x:c>
      <x:c r="X1890" t="str">
        <x:v>02_Supervisor_Log(4).xlsx</x:v>
      </x:c>
      <x:c r="Y1890" t="str">
        <x:v>ENH-20260830-01</x:v>
      </x:c>
      <x:c r="Z1890" t="str">
        <x:v>Active</x:v>
      </x:c>
      <x:c r="AA1890"/>
      <x:c r="AB1890"/>
      <x:c r="AC1890"/>
      <x:c r="AD1890"/>
    </x:row>
    <x:row r="1891">
      <x:c r="A1891" t="str">
        <x:v>PCC-PE-KG01-L24-20251023-AM-ORD-2025-00125-S05-C3</x:v>
      </x:c>
      <x:c r="B1891" t="str">
        <x:v>PC-PE-KG01-L24-20251023-AM-ORD-2025-00125-S05</x:v>
      </x:c>
      <x:c r="C1891" t="str">
        <x:v>PE-KG01-L24-20251023-AM-ORD-2025-00125</x:v>
      </x:c>
      <x:c r="D1891" t="str">
        <x:v>KG01</x:v>
      </x:c>
      <x:c r="E1891" s="62" t="n">
        <x:v>45953</x:v>
      </x:c>
      <x:c r="F1891" t="str">
        <x:v>AM</x:v>
      </x:c>
      <x:c r="G1891" t="str">
        <x:v>C</x:v>
      </x:c>
      <x:c r="H1891" t="n">
        <x:v>24</x:v>
      </x:c>
      <x:c r="I1891" t="str">
        <x:v>ORD-2025-00125</x:v>
      </x:c>
      <x:c r="J1891" t="n">
        <x:v>5</x:v>
      </x:c>
      <x:c r="K1891" t="n">
        <x:v>3</x:v>
      </x:c>
      <x:c r="L1891" t="str">
        <x:v>L24-S05-C3</x:v>
      </x:c>
      <x:c r="M1891" t="n">
        <x:v>1</x:v>
      </x:c>
      <x:c r="N1891" t="str">
        <x:v>DerivedFromCount</x:v>
      </x:c>
      <x:c r="O1891" t="str">
        <x:v>PLC-PRD-JAR-330-L24</x:v>
      </x:c>
      <x:c r="P1891" t="str">
        <x:v>OK</x:v>
      </x:c>
      <x:c r="Q1891" t="str">
        <x:v>OK</x:v>
      </x:c>
      <x:c r="R1891" t="str">
        <x:v>OK</x:v>
      </x:c>
      <x:c r="S1891" t="str">
        <x:v>OK</x:v>
      </x:c>
      <x:c r="T1891" t="n">
        <x:v>36</x:v>
      </x:c>
      <x:c r="U1891" t="str">
        <x:v>OK</x:v>
      </x:c>
      <x:c r="V1891" t="str">
        <x:v>OK</x:v>
      </x:c>
      <x:c r="W1891" t="str">
        <x:v>LOAD</x:v>
      </x:c>
      <x:c r="X1891" t="str">
        <x:v>02_Supervisor_Log(4).xlsx</x:v>
      </x:c>
      <x:c r="Y1891" t="str">
        <x:v>ENH-20260830-01</x:v>
      </x:c>
      <x:c r="Z1891" t="str">
        <x:v>Active</x:v>
      </x:c>
      <x:c r="AA1891"/>
      <x:c r="AB1891"/>
      <x:c r="AC1891"/>
      <x:c r="AD1891"/>
    </x:row>
    <x:row r="1892">
      <x:c r="A1892" t="str">
        <x:v>PCC-PE-KG01-L24-20251023-AM-ORD-2025-00125-S06-C1</x:v>
      </x:c>
      <x:c r="B1892" t="str">
        <x:v>PC-PE-KG01-L24-20251023-AM-ORD-2025-00125-S06</x:v>
      </x:c>
      <x:c r="C1892" t="str">
        <x:v>PE-KG01-L24-20251023-AM-ORD-2025-00125</x:v>
      </x:c>
      <x:c r="D1892" t="str">
        <x:v>KG01</x:v>
      </x:c>
      <x:c r="E1892" s="62" t="n">
        <x:v>45953</x:v>
      </x:c>
      <x:c r="F1892" t="str">
        <x:v>AM</x:v>
      </x:c>
      <x:c r="G1892" t="str">
        <x:v>C</x:v>
      </x:c>
      <x:c r="H1892" t="n">
        <x:v>24</x:v>
      </x:c>
      <x:c r="I1892" t="str">
        <x:v>ORD-2025-00125</x:v>
      </x:c>
      <x:c r="J1892" t="n">
        <x:v>6</x:v>
      </x:c>
      <x:c r="K1892" t="n">
        <x:v>1</x:v>
      </x:c>
      <x:c r="L1892" t="str">
        <x:v>L24-S06-C1</x:v>
      </x:c>
      <x:c r="M1892" t="n">
        <x:v>1</x:v>
      </x:c>
      <x:c r="N1892" t="str">
        <x:v>DerivedFromCount</x:v>
      </x:c>
      <x:c r="O1892" t="str">
        <x:v>PLC-PRD-JAR-330-L24</x:v>
      </x:c>
      <x:c r="P1892" t="str">
        <x:v>OK</x:v>
      </x:c>
      <x:c r="Q1892" t="str">
        <x:v>OK</x:v>
      </x:c>
      <x:c r="R1892" t="str">
        <x:v>OK</x:v>
      </x:c>
      <x:c r="S1892" t="str">
        <x:v>OK</x:v>
      </x:c>
      <x:c r="T1892" t="n">
        <x:v>36</x:v>
      </x:c>
      <x:c r="U1892" t="str">
        <x:v>OK</x:v>
      </x:c>
      <x:c r="V1892" t="str">
        <x:v>OK</x:v>
      </x:c>
      <x:c r="W1892" t="str">
        <x:v>LOAD</x:v>
      </x:c>
      <x:c r="X1892" t="str">
        <x:v>02_Supervisor_Log(4).xlsx</x:v>
      </x:c>
      <x:c r="Y1892" t="str">
        <x:v>ENH-20260830-01</x:v>
      </x:c>
      <x:c r="Z1892" t="str">
        <x:v>Active</x:v>
      </x:c>
      <x:c r="AA1892"/>
      <x:c r="AB1892"/>
      <x:c r="AC1892"/>
      <x:c r="AD1892"/>
    </x:row>
    <x:row r="1893">
      <x:c r="A1893" t="str">
        <x:v>PCC-PE-KG01-L24-20251023-AM-ORD-2025-00125-S06-C2</x:v>
      </x:c>
      <x:c r="B1893" t="str">
        <x:v>PC-PE-KG01-L24-20251023-AM-ORD-2025-00125-S06</x:v>
      </x:c>
      <x:c r="C1893" t="str">
        <x:v>PE-KG01-L24-20251023-AM-ORD-2025-00125</x:v>
      </x:c>
      <x:c r="D1893" t="str">
        <x:v>KG01</x:v>
      </x:c>
      <x:c r="E1893" s="62" t="n">
        <x:v>45953</x:v>
      </x:c>
      <x:c r="F1893" t="str">
        <x:v>AM</x:v>
      </x:c>
      <x:c r="G1893" t="str">
        <x:v>C</x:v>
      </x:c>
      <x:c r="H1893" t="n">
        <x:v>24</x:v>
      </x:c>
      <x:c r="I1893" t="str">
        <x:v>ORD-2025-00125</x:v>
      </x:c>
      <x:c r="J1893" t="n">
        <x:v>6</x:v>
      </x:c>
      <x:c r="K1893" t="n">
        <x:v>2</x:v>
      </x:c>
      <x:c r="L1893" t="str">
        <x:v>L24-S06-C2</x:v>
      </x:c>
      <x:c r="M1893" t="n">
        <x:v>1</x:v>
      </x:c>
      <x:c r="N1893" t="str">
        <x:v>DerivedFromCount</x:v>
      </x:c>
      <x:c r="O1893" t="str">
        <x:v>PLC-PRD-JAR-330-L24</x:v>
      </x:c>
      <x:c r="P1893" t="str">
        <x:v>OK</x:v>
      </x:c>
      <x:c r="Q1893" t="str">
        <x:v>OK</x:v>
      </x:c>
      <x:c r="R1893" t="str">
        <x:v>OK</x:v>
      </x:c>
      <x:c r="S1893" t="str">
        <x:v>OK</x:v>
      </x:c>
      <x:c r="T1893" t="n">
        <x:v>36</x:v>
      </x:c>
      <x:c r="U1893" t="str">
        <x:v>OK</x:v>
      </x:c>
      <x:c r="V1893" t="str">
        <x:v>OK</x:v>
      </x:c>
      <x:c r="W1893" t="str">
        <x:v>LOAD</x:v>
      </x:c>
      <x:c r="X1893" t="str">
        <x:v>02_Supervisor_Log(4).xlsx</x:v>
      </x:c>
      <x:c r="Y1893" t="str">
        <x:v>ENH-20260830-01</x:v>
      </x:c>
      <x:c r="Z1893" t="str">
        <x:v>Active</x:v>
      </x:c>
      <x:c r="AA1893"/>
      <x:c r="AB1893"/>
      <x:c r="AC1893"/>
      <x:c r="AD1893"/>
    </x:row>
    <x:row r="1894">
      <x:c r="A1894" t="str">
        <x:v>PCC-PE-KG01-L24-20251023-AM-ORD-2025-00125-S06-C3</x:v>
      </x:c>
      <x:c r="B1894" t="str">
        <x:v>PC-PE-KG01-L24-20251023-AM-ORD-2025-00125-S06</x:v>
      </x:c>
      <x:c r="C1894" t="str">
        <x:v>PE-KG01-L24-20251023-AM-ORD-2025-00125</x:v>
      </x:c>
      <x:c r="D1894" t="str">
        <x:v>KG01</x:v>
      </x:c>
      <x:c r="E1894" s="62" t="n">
        <x:v>45953</x:v>
      </x:c>
      <x:c r="F1894" t="str">
        <x:v>AM</x:v>
      </x:c>
      <x:c r="G1894" t="str">
        <x:v>C</x:v>
      </x:c>
      <x:c r="H1894" t="n">
        <x:v>24</x:v>
      </x:c>
      <x:c r="I1894" t="str">
        <x:v>ORD-2025-00125</x:v>
      </x:c>
      <x:c r="J1894" t="n">
        <x:v>6</x:v>
      </x:c>
      <x:c r="K1894" t="n">
        <x:v>3</x:v>
      </x:c>
      <x:c r="L1894" t="str">
        <x:v>L24-S06-C3</x:v>
      </x:c>
      <x:c r="M1894" t="n">
        <x:v>1</x:v>
      </x:c>
      <x:c r="N1894" t="str">
        <x:v>DerivedFromCount</x:v>
      </x:c>
      <x:c r="O1894" t="str">
        <x:v>PLC-PRD-JAR-330-L24</x:v>
      </x:c>
      <x:c r="P1894" t="str">
        <x:v>OK</x:v>
      </x:c>
      <x:c r="Q1894" t="str">
        <x:v>OK</x:v>
      </x:c>
      <x:c r="R1894" t="str">
        <x:v>OK</x:v>
      </x:c>
      <x:c r="S1894" t="str">
        <x:v>OK</x:v>
      </x:c>
      <x:c r="T1894" t="n">
        <x:v>36</x:v>
      </x:c>
      <x:c r="U1894" t="str">
        <x:v>OK</x:v>
      </x:c>
      <x:c r="V1894" t="str">
        <x:v>OK</x:v>
      </x:c>
      <x:c r="W1894" t="str">
        <x:v>LOAD</x:v>
      </x:c>
      <x:c r="X1894" t="str">
        <x:v>02_Supervisor_Log(4).xlsx</x:v>
      </x:c>
      <x:c r="Y1894" t="str">
        <x:v>ENH-20260830-01</x:v>
      </x:c>
      <x:c r="Z1894" t="str">
        <x:v>Active</x:v>
      </x:c>
      <x:c r="AA1894"/>
      <x:c r="AB1894"/>
      <x:c r="AC1894"/>
      <x:c r="AD1894"/>
    </x:row>
    <x:row r="1895">
      <x:c r="A1895" t="str">
        <x:v>PCC-PE-KG01-L24-20251023-AM-ORD-2025-00125-S07-C1</x:v>
      </x:c>
      <x:c r="B1895" t="str">
        <x:v>PC-PE-KG01-L24-20251023-AM-ORD-2025-00125-S07</x:v>
      </x:c>
      <x:c r="C1895" t="str">
        <x:v>PE-KG01-L24-20251023-AM-ORD-2025-00125</x:v>
      </x:c>
      <x:c r="D1895" t="str">
        <x:v>KG01</x:v>
      </x:c>
      <x:c r="E1895" s="62" t="n">
        <x:v>45953</x:v>
      </x:c>
      <x:c r="F1895" t="str">
        <x:v>AM</x:v>
      </x:c>
      <x:c r="G1895" t="str">
        <x:v>C</x:v>
      </x:c>
      <x:c r="H1895" t="n">
        <x:v>24</x:v>
      </x:c>
      <x:c r="I1895" t="str">
        <x:v>ORD-2025-00125</x:v>
      </x:c>
      <x:c r="J1895" t="n">
        <x:v>7</x:v>
      </x:c>
      <x:c r="K1895" t="n">
        <x:v>1</x:v>
      </x:c>
      <x:c r="L1895" t="str">
        <x:v>L24-S07-C1</x:v>
      </x:c>
      <x:c r="M1895" t="n">
        <x:v>1</x:v>
      </x:c>
      <x:c r="N1895" t="str">
        <x:v>DerivedFromCount</x:v>
      </x:c>
      <x:c r="O1895" t="str">
        <x:v>PLC-PRD-JAR-330-L24</x:v>
      </x:c>
      <x:c r="P1895" t="str">
        <x:v>OK</x:v>
      </x:c>
      <x:c r="Q1895" t="str">
        <x:v>OK</x:v>
      </x:c>
      <x:c r="R1895" t="str">
        <x:v>OK</x:v>
      </x:c>
      <x:c r="S1895" t="str">
        <x:v>OK</x:v>
      </x:c>
      <x:c r="T1895" t="n">
        <x:v>36</x:v>
      </x:c>
      <x:c r="U1895" t="str">
        <x:v>OK</x:v>
      </x:c>
      <x:c r="V1895" t="str">
        <x:v>OK</x:v>
      </x:c>
      <x:c r="W1895" t="str">
        <x:v>LOAD</x:v>
      </x:c>
      <x:c r="X1895" t="str">
        <x:v>02_Supervisor_Log(4).xlsx</x:v>
      </x:c>
      <x:c r="Y1895" t="str">
        <x:v>ENH-20260830-01</x:v>
      </x:c>
      <x:c r="Z1895" t="str">
        <x:v>Active</x:v>
      </x:c>
      <x:c r="AA1895"/>
      <x:c r="AB1895"/>
      <x:c r="AC1895"/>
      <x:c r="AD1895"/>
    </x:row>
    <x:row r="1896">
      <x:c r="A1896" t="str">
        <x:v>PCC-PE-KG01-L24-20251023-AM-ORD-2025-00125-S07-C2</x:v>
      </x:c>
      <x:c r="B1896" t="str">
        <x:v>PC-PE-KG01-L24-20251023-AM-ORD-2025-00125-S07</x:v>
      </x:c>
      <x:c r="C1896" t="str">
        <x:v>PE-KG01-L24-20251023-AM-ORD-2025-00125</x:v>
      </x:c>
      <x:c r="D1896" t="str">
        <x:v>KG01</x:v>
      </x:c>
      <x:c r="E1896" s="62" t="n">
        <x:v>45953</x:v>
      </x:c>
      <x:c r="F1896" t="str">
        <x:v>AM</x:v>
      </x:c>
      <x:c r="G1896" t="str">
        <x:v>C</x:v>
      </x:c>
      <x:c r="H1896" t="n">
        <x:v>24</x:v>
      </x:c>
      <x:c r="I1896" t="str">
        <x:v>ORD-2025-00125</x:v>
      </x:c>
      <x:c r="J1896" t="n">
        <x:v>7</x:v>
      </x:c>
      <x:c r="K1896" t="n">
        <x:v>2</x:v>
      </x:c>
      <x:c r="L1896" t="str">
        <x:v>L24-S07-C2</x:v>
      </x:c>
      <x:c r="M1896" t="n">
        <x:v>1</x:v>
      </x:c>
      <x:c r="N1896" t="str">
        <x:v>DerivedFromCount</x:v>
      </x:c>
      <x:c r="O1896" t="str">
        <x:v>PLC-PRD-JAR-330-L24</x:v>
      </x:c>
      <x:c r="P1896" t="str">
        <x:v>OK</x:v>
      </x:c>
      <x:c r="Q1896" t="str">
        <x:v>OK</x:v>
      </x:c>
      <x:c r="R1896" t="str">
        <x:v>OK</x:v>
      </x:c>
      <x:c r="S1896" t="str">
        <x:v>OK</x:v>
      </x:c>
      <x:c r="T1896" t="n">
        <x:v>36</x:v>
      </x:c>
      <x:c r="U1896" t="str">
        <x:v>OK</x:v>
      </x:c>
      <x:c r="V1896" t="str">
        <x:v>OK</x:v>
      </x:c>
      <x:c r="W1896" t="str">
        <x:v>LOAD</x:v>
      </x:c>
      <x:c r="X1896" t="str">
        <x:v>02_Supervisor_Log(4).xlsx</x:v>
      </x:c>
      <x:c r="Y1896" t="str">
        <x:v>ENH-20260830-01</x:v>
      </x:c>
      <x:c r="Z1896" t="str">
        <x:v>Active</x:v>
      </x:c>
      <x:c r="AA1896"/>
      <x:c r="AB1896"/>
      <x:c r="AC1896"/>
      <x:c r="AD1896"/>
    </x:row>
    <x:row r="1897">
      <x:c r="A1897" t="str">
        <x:v>PCC-PE-KG01-L24-20251023-AM-ORD-2025-00125-S07-C3</x:v>
      </x:c>
      <x:c r="B1897" t="str">
        <x:v>PC-PE-KG01-L24-20251023-AM-ORD-2025-00125-S07</x:v>
      </x:c>
      <x:c r="C1897" t="str">
        <x:v>PE-KG01-L24-20251023-AM-ORD-2025-00125</x:v>
      </x:c>
      <x:c r="D1897" t="str">
        <x:v>KG01</x:v>
      </x:c>
      <x:c r="E1897" s="62" t="n">
        <x:v>45953</x:v>
      </x:c>
      <x:c r="F1897" t="str">
        <x:v>AM</x:v>
      </x:c>
      <x:c r="G1897" t="str">
        <x:v>C</x:v>
      </x:c>
      <x:c r="H1897" t="n">
        <x:v>24</x:v>
      </x:c>
      <x:c r="I1897" t="str">
        <x:v>ORD-2025-00125</x:v>
      </x:c>
      <x:c r="J1897" t="n">
        <x:v>7</x:v>
      </x:c>
      <x:c r="K1897" t="n">
        <x:v>3</x:v>
      </x:c>
      <x:c r="L1897" t="str">
        <x:v>L24-S07-C3</x:v>
      </x:c>
      <x:c r="M1897" t="n">
        <x:v>1</x:v>
      </x:c>
      <x:c r="N1897" t="str">
        <x:v>DerivedFromCount</x:v>
      </x:c>
      <x:c r="O1897" t="str">
        <x:v>PLC-PRD-JAR-330-L24</x:v>
      </x:c>
      <x:c r="P1897" t="str">
        <x:v>OK</x:v>
      </x:c>
      <x:c r="Q1897" t="str">
        <x:v>OK</x:v>
      </x:c>
      <x:c r="R1897" t="str">
        <x:v>OK</x:v>
      </x:c>
      <x:c r="S1897" t="str">
        <x:v>OK</x:v>
      </x:c>
      <x:c r="T1897" t="n">
        <x:v>36</x:v>
      </x:c>
      <x:c r="U1897" t="str">
        <x:v>OK</x:v>
      </x:c>
      <x:c r="V1897" t="str">
        <x:v>OK</x:v>
      </x:c>
      <x:c r="W1897" t="str">
        <x:v>LOAD</x:v>
      </x:c>
      <x:c r="X1897" t="str">
        <x:v>02_Supervisor_Log(4).xlsx</x:v>
      </x:c>
      <x:c r="Y1897" t="str">
        <x:v>ENH-20260830-01</x:v>
      </x:c>
      <x:c r="Z1897" t="str">
        <x:v>Active</x:v>
      </x:c>
      <x:c r="AA1897"/>
      <x:c r="AB1897"/>
      <x:c r="AC1897"/>
      <x:c r="AD1897"/>
    </x:row>
    <x:row r="1898">
      <x:c r="A1898" t="str">
        <x:v>PCC-PE-KG01-L24-20251023-AM-ORD-2025-00125-S08-C1</x:v>
      </x:c>
      <x:c r="B1898" t="str">
        <x:v>PC-PE-KG01-L24-20251023-AM-ORD-2025-00125-S08</x:v>
      </x:c>
      <x:c r="C1898" t="str">
        <x:v>PE-KG01-L24-20251023-AM-ORD-2025-00125</x:v>
      </x:c>
      <x:c r="D1898" t="str">
        <x:v>KG01</x:v>
      </x:c>
      <x:c r="E1898" s="62" t="n">
        <x:v>45953</x:v>
      </x:c>
      <x:c r="F1898" t="str">
        <x:v>AM</x:v>
      </x:c>
      <x:c r="G1898" t="str">
        <x:v>C</x:v>
      </x:c>
      <x:c r="H1898" t="n">
        <x:v>24</x:v>
      </x:c>
      <x:c r="I1898" t="str">
        <x:v>ORD-2025-00125</x:v>
      </x:c>
      <x:c r="J1898" t="n">
        <x:v>8</x:v>
      </x:c>
      <x:c r="K1898" t="n">
        <x:v>1</x:v>
      </x:c>
      <x:c r="L1898" t="str">
        <x:v>L24-S08-C1</x:v>
      </x:c>
      <x:c r="M1898" t="n">
        <x:v>1</x:v>
      </x:c>
      <x:c r="N1898" t="str">
        <x:v>DerivedFromCount</x:v>
      </x:c>
      <x:c r="O1898" t="str">
        <x:v>PLC-PRD-JAR-330-L24</x:v>
      </x:c>
      <x:c r="P1898" t="str">
        <x:v>OK</x:v>
      </x:c>
      <x:c r="Q1898" t="str">
        <x:v>OK</x:v>
      </x:c>
      <x:c r="R1898" t="str">
        <x:v>OK</x:v>
      </x:c>
      <x:c r="S1898" t="str">
        <x:v>OK</x:v>
      </x:c>
      <x:c r="T1898" t="n">
        <x:v>36</x:v>
      </x:c>
      <x:c r="U1898" t="str">
        <x:v>OK</x:v>
      </x:c>
      <x:c r="V1898" t="str">
        <x:v>OK</x:v>
      </x:c>
      <x:c r="W1898" t="str">
        <x:v>LOAD</x:v>
      </x:c>
      <x:c r="X1898" t="str">
        <x:v>02_Supervisor_Log(4).xlsx</x:v>
      </x:c>
      <x:c r="Y1898" t="str">
        <x:v>ENH-20260830-01</x:v>
      </x:c>
      <x:c r="Z1898" t="str">
        <x:v>Active</x:v>
      </x:c>
      <x:c r="AA1898"/>
      <x:c r="AB1898"/>
      <x:c r="AC1898"/>
      <x:c r="AD1898"/>
    </x:row>
    <x:row r="1899">
      <x:c r="A1899" t="str">
        <x:v>PCC-PE-KG01-L24-20251023-AM-ORD-2025-00125-S08-C2</x:v>
      </x:c>
      <x:c r="B1899" t="str">
        <x:v>PC-PE-KG01-L24-20251023-AM-ORD-2025-00125-S08</x:v>
      </x:c>
      <x:c r="C1899" t="str">
        <x:v>PE-KG01-L24-20251023-AM-ORD-2025-00125</x:v>
      </x:c>
      <x:c r="D1899" t="str">
        <x:v>KG01</x:v>
      </x:c>
      <x:c r="E1899" s="62" t="n">
        <x:v>45953</x:v>
      </x:c>
      <x:c r="F1899" t="str">
        <x:v>AM</x:v>
      </x:c>
      <x:c r="G1899" t="str">
        <x:v>C</x:v>
      </x:c>
      <x:c r="H1899" t="n">
        <x:v>24</x:v>
      </x:c>
      <x:c r="I1899" t="str">
        <x:v>ORD-2025-00125</x:v>
      </x:c>
      <x:c r="J1899" t="n">
        <x:v>8</x:v>
      </x:c>
      <x:c r="K1899" t="n">
        <x:v>2</x:v>
      </x:c>
      <x:c r="L1899" t="str">
        <x:v>L24-S08-C2</x:v>
      </x:c>
      <x:c r="M1899" t="n">
        <x:v>1</x:v>
      </x:c>
      <x:c r="N1899" t="str">
        <x:v>DerivedFromCount</x:v>
      </x:c>
      <x:c r="O1899" t="str">
        <x:v>PLC-PRD-JAR-330-L24</x:v>
      </x:c>
      <x:c r="P1899" t="str">
        <x:v>OK</x:v>
      </x:c>
      <x:c r="Q1899" t="str">
        <x:v>OK</x:v>
      </x:c>
      <x:c r="R1899" t="str">
        <x:v>OK</x:v>
      </x:c>
      <x:c r="S1899" t="str">
        <x:v>OK</x:v>
      </x:c>
      <x:c r="T1899" t="n">
        <x:v>36</x:v>
      </x:c>
      <x:c r="U1899" t="str">
        <x:v>OK</x:v>
      </x:c>
      <x:c r="V1899" t="str">
        <x:v>OK</x:v>
      </x:c>
      <x:c r="W1899" t="str">
        <x:v>LOAD</x:v>
      </x:c>
      <x:c r="X1899" t="str">
        <x:v>02_Supervisor_Log(4).xlsx</x:v>
      </x:c>
      <x:c r="Y1899" t="str">
        <x:v>ENH-20260830-01</x:v>
      </x:c>
      <x:c r="Z1899" t="str">
        <x:v>Active</x:v>
      </x:c>
      <x:c r="AA1899"/>
      <x:c r="AB1899"/>
      <x:c r="AC1899"/>
      <x:c r="AD1899"/>
    </x:row>
    <x:row r="1900">
      <x:c r="A1900" t="str">
        <x:v>PCC-PE-KG01-L24-20251023-AM-ORD-2025-00125-S08-C3</x:v>
      </x:c>
      <x:c r="B1900" t="str">
        <x:v>PC-PE-KG01-L24-20251023-AM-ORD-2025-00125-S08</x:v>
      </x:c>
      <x:c r="C1900" t="str">
        <x:v>PE-KG01-L24-20251023-AM-ORD-2025-00125</x:v>
      </x:c>
      <x:c r="D1900" t="str">
        <x:v>KG01</x:v>
      </x:c>
      <x:c r="E1900" s="62" t="n">
        <x:v>45953</x:v>
      </x:c>
      <x:c r="F1900" t="str">
        <x:v>AM</x:v>
      </x:c>
      <x:c r="G1900" t="str">
        <x:v>C</x:v>
      </x:c>
      <x:c r="H1900" t="n">
        <x:v>24</x:v>
      </x:c>
      <x:c r="I1900" t="str">
        <x:v>ORD-2025-00125</x:v>
      </x:c>
      <x:c r="J1900" t="n">
        <x:v>8</x:v>
      </x:c>
      <x:c r="K1900" t="n">
        <x:v>3</x:v>
      </x:c>
      <x:c r="L1900" t="str">
        <x:v>L24-S08-C3</x:v>
      </x:c>
      <x:c r="M1900" t="n">
        <x:v>1</x:v>
      </x:c>
      <x:c r="N1900" t="str">
        <x:v>DerivedFromCount</x:v>
      </x:c>
      <x:c r="O1900" t="str">
        <x:v>PLC-PRD-JAR-330-L24</x:v>
      </x:c>
      <x:c r="P1900" t="str">
        <x:v>OK</x:v>
      </x:c>
      <x:c r="Q1900" t="str">
        <x:v>OK</x:v>
      </x:c>
      <x:c r="R1900" t="str">
        <x:v>OK</x:v>
      </x:c>
      <x:c r="S1900" t="str">
        <x:v>OK</x:v>
      </x:c>
      <x:c r="T1900" t="n">
        <x:v>36</x:v>
      </x:c>
      <x:c r="U1900" t="str">
        <x:v>OK</x:v>
      </x:c>
      <x:c r="V1900" t="str">
        <x:v>OK</x:v>
      </x:c>
      <x:c r="W1900" t="str">
        <x:v>LOAD</x:v>
      </x:c>
      <x:c r="X1900" t="str">
        <x:v>02_Supervisor_Log(4).xlsx</x:v>
      </x:c>
      <x:c r="Y1900" t="str">
        <x:v>ENH-20260830-01</x:v>
      </x:c>
      <x:c r="Z1900" t="str">
        <x:v>Active</x:v>
      </x:c>
      <x:c r="AA1900"/>
      <x:c r="AB1900"/>
      <x:c r="AC1900"/>
      <x:c r="AD1900"/>
    </x:row>
    <x:row r="1901">
      <x:c r="A1901" t="str">
        <x:v>PCC-PE-KG01-L24-20251023-AM-ORD-2025-00125-S09-C1</x:v>
      </x:c>
      <x:c r="B1901" t="str">
        <x:v>PC-PE-KG01-L24-20251023-AM-ORD-2025-00125-S09</x:v>
      </x:c>
      <x:c r="C1901" t="str">
        <x:v>PE-KG01-L24-20251023-AM-ORD-2025-00125</x:v>
      </x:c>
      <x:c r="D1901" t="str">
        <x:v>KG01</x:v>
      </x:c>
      <x:c r="E1901" s="62" t="n">
        <x:v>45953</x:v>
      </x:c>
      <x:c r="F1901" t="str">
        <x:v>AM</x:v>
      </x:c>
      <x:c r="G1901" t="str">
        <x:v>C</x:v>
      </x:c>
      <x:c r="H1901" t="n">
        <x:v>24</x:v>
      </x:c>
      <x:c r="I1901" t="str">
        <x:v>ORD-2025-00125</x:v>
      </x:c>
      <x:c r="J1901" t="n">
        <x:v>9</x:v>
      </x:c>
      <x:c r="K1901" t="n">
        <x:v>1</x:v>
      </x:c>
      <x:c r="L1901" t="str">
        <x:v>L24-S09-C1</x:v>
      </x:c>
      <x:c r="M1901" t="n">
        <x:v>1</x:v>
      </x:c>
      <x:c r="N1901" t="str">
        <x:v>DerivedFromCount</x:v>
      </x:c>
      <x:c r="O1901" t="str">
        <x:v>PLC-PRD-JAR-330-L24</x:v>
      </x:c>
      <x:c r="P1901" t="str">
        <x:v>OK</x:v>
      </x:c>
      <x:c r="Q1901" t="str">
        <x:v>OK</x:v>
      </x:c>
      <x:c r="R1901" t="str">
        <x:v>OK</x:v>
      </x:c>
      <x:c r="S1901" t="str">
        <x:v>OK</x:v>
      </x:c>
      <x:c r="T1901" t="n">
        <x:v>36</x:v>
      </x:c>
      <x:c r="U1901" t="str">
        <x:v>OK</x:v>
      </x:c>
      <x:c r="V1901" t="str">
        <x:v>OK</x:v>
      </x:c>
      <x:c r="W1901" t="str">
        <x:v>LOAD</x:v>
      </x:c>
      <x:c r="X1901" t="str">
        <x:v>02_Supervisor_Log(4).xlsx</x:v>
      </x:c>
      <x:c r="Y1901" t="str">
        <x:v>ENH-20260830-01</x:v>
      </x:c>
      <x:c r="Z1901" t="str">
        <x:v>Active</x:v>
      </x:c>
      <x:c r="AA1901"/>
      <x:c r="AB1901"/>
      <x:c r="AC1901"/>
      <x:c r="AD1901"/>
    </x:row>
    <x:row r="1902">
      <x:c r="A1902" t="str">
        <x:v>PCC-PE-KG01-L24-20251023-AM-ORD-2025-00125-S09-C2</x:v>
      </x:c>
      <x:c r="B1902" t="str">
        <x:v>PC-PE-KG01-L24-20251023-AM-ORD-2025-00125-S09</x:v>
      </x:c>
      <x:c r="C1902" t="str">
        <x:v>PE-KG01-L24-20251023-AM-ORD-2025-00125</x:v>
      </x:c>
      <x:c r="D1902" t="str">
        <x:v>KG01</x:v>
      </x:c>
      <x:c r="E1902" s="62" t="n">
        <x:v>45953</x:v>
      </x:c>
      <x:c r="F1902" t="str">
        <x:v>AM</x:v>
      </x:c>
      <x:c r="G1902" t="str">
        <x:v>C</x:v>
      </x:c>
      <x:c r="H1902" t="n">
        <x:v>24</x:v>
      </x:c>
      <x:c r="I1902" t="str">
        <x:v>ORD-2025-00125</x:v>
      </x:c>
      <x:c r="J1902" t="n">
        <x:v>9</x:v>
      </x:c>
      <x:c r="K1902" t="n">
        <x:v>2</x:v>
      </x:c>
      <x:c r="L1902" t="str">
        <x:v>L24-S09-C2</x:v>
      </x:c>
      <x:c r="M1902" t="n">
        <x:v>1</x:v>
      </x:c>
      <x:c r="N1902" t="str">
        <x:v>DerivedFromCount</x:v>
      </x:c>
      <x:c r="O1902" t="str">
        <x:v>PLC-PRD-JAR-330-L24</x:v>
      </x:c>
      <x:c r="P1902" t="str">
        <x:v>OK</x:v>
      </x:c>
      <x:c r="Q1902" t="str">
        <x:v>OK</x:v>
      </x:c>
      <x:c r="R1902" t="str">
        <x:v>OK</x:v>
      </x:c>
      <x:c r="S1902" t="str">
        <x:v>OK</x:v>
      </x:c>
      <x:c r="T1902" t="n">
        <x:v>36</x:v>
      </x:c>
      <x:c r="U1902" t="str">
        <x:v>OK</x:v>
      </x:c>
      <x:c r="V1902" t="str">
        <x:v>OK</x:v>
      </x:c>
      <x:c r="W1902" t="str">
        <x:v>LOAD</x:v>
      </x:c>
      <x:c r="X1902" t="str">
        <x:v>02_Supervisor_Log(4).xlsx</x:v>
      </x:c>
      <x:c r="Y1902" t="str">
        <x:v>ENH-20260830-01</x:v>
      </x:c>
      <x:c r="Z1902" t="str">
        <x:v>Active</x:v>
      </x:c>
      <x:c r="AA1902"/>
      <x:c r="AB1902"/>
      <x:c r="AC1902"/>
      <x:c r="AD1902"/>
    </x:row>
    <x:row r="1903">
      <x:c r="A1903" t="str">
        <x:v>PCC-PE-KG01-L24-20251023-AM-ORD-2025-00125-S09-C3</x:v>
      </x:c>
      <x:c r="B1903" t="str">
        <x:v>PC-PE-KG01-L24-20251023-AM-ORD-2025-00125-S09</x:v>
      </x:c>
      <x:c r="C1903" t="str">
        <x:v>PE-KG01-L24-20251023-AM-ORD-2025-00125</x:v>
      </x:c>
      <x:c r="D1903" t="str">
        <x:v>KG01</x:v>
      </x:c>
      <x:c r="E1903" s="62" t="n">
        <x:v>45953</x:v>
      </x:c>
      <x:c r="F1903" t="str">
        <x:v>AM</x:v>
      </x:c>
      <x:c r="G1903" t="str">
        <x:v>C</x:v>
      </x:c>
      <x:c r="H1903" t="n">
        <x:v>24</x:v>
      </x:c>
      <x:c r="I1903" t="str">
        <x:v>ORD-2025-00125</x:v>
      </x:c>
      <x:c r="J1903" t="n">
        <x:v>9</x:v>
      </x:c>
      <x:c r="K1903" t="n">
        <x:v>3</x:v>
      </x:c>
      <x:c r="L1903" t="str">
        <x:v>L24-S09-C3</x:v>
      </x:c>
      <x:c r="M1903" t="n">
        <x:v>1</x:v>
      </x:c>
      <x:c r="N1903" t="str">
        <x:v>DerivedFromCount</x:v>
      </x:c>
      <x:c r="O1903" t="str">
        <x:v>PLC-PRD-JAR-330-L24</x:v>
      </x:c>
      <x:c r="P1903" t="str">
        <x:v>OK</x:v>
      </x:c>
      <x:c r="Q1903" t="str">
        <x:v>OK</x:v>
      </x:c>
      <x:c r="R1903" t="str">
        <x:v>OK</x:v>
      </x:c>
      <x:c r="S1903" t="str">
        <x:v>OK</x:v>
      </x:c>
      <x:c r="T1903" t="n">
        <x:v>36</x:v>
      </x:c>
      <x:c r="U1903" t="str">
        <x:v>OK</x:v>
      </x:c>
      <x:c r="V1903" t="str">
        <x:v>OK</x:v>
      </x:c>
      <x:c r="W1903" t="str">
        <x:v>LOAD</x:v>
      </x:c>
      <x:c r="X1903" t="str">
        <x:v>02_Supervisor_Log(4).xlsx</x:v>
      </x:c>
      <x:c r="Y1903" t="str">
        <x:v>ENH-20260830-01</x:v>
      </x:c>
      <x:c r="Z1903" t="str">
        <x:v>Active</x:v>
      </x:c>
      <x:c r="AA1903"/>
      <x:c r="AB1903"/>
      <x:c r="AC1903"/>
      <x:c r="AD1903"/>
    </x:row>
    <x:row r="1904">
      <x:c r="A1904" t="str">
        <x:v>PCC-PE-KG01-L24-20251023-AM-ORD-2025-00125-S10-C1</x:v>
      </x:c>
      <x:c r="B1904" t="str">
        <x:v>PC-PE-KG01-L24-20251023-AM-ORD-2025-00125-S10</x:v>
      </x:c>
      <x:c r="C1904" t="str">
        <x:v>PE-KG01-L24-20251023-AM-ORD-2025-00125</x:v>
      </x:c>
      <x:c r="D1904" t="str">
        <x:v>KG01</x:v>
      </x:c>
      <x:c r="E1904" s="62" t="n">
        <x:v>45953</x:v>
      </x:c>
      <x:c r="F1904" t="str">
        <x:v>AM</x:v>
      </x:c>
      <x:c r="G1904" t="str">
        <x:v>C</x:v>
      </x:c>
      <x:c r="H1904" t="n">
        <x:v>24</x:v>
      </x:c>
      <x:c r="I1904" t="str">
        <x:v>ORD-2025-00125</x:v>
      </x:c>
      <x:c r="J1904" t="n">
        <x:v>10</x:v>
      </x:c>
      <x:c r="K1904" t="n">
        <x:v>1</x:v>
      </x:c>
      <x:c r="L1904" t="str">
        <x:v>L24-S10-C1</x:v>
      </x:c>
      <x:c r="M1904" t="n">
        <x:v>1</x:v>
      </x:c>
      <x:c r="N1904" t="str">
        <x:v>DerivedFromCount</x:v>
      </x:c>
      <x:c r="O1904" t="str">
        <x:v>PLC-PRD-JAR-330-L24</x:v>
      </x:c>
      <x:c r="P1904" t="str">
        <x:v>OK</x:v>
      </x:c>
      <x:c r="Q1904" t="str">
        <x:v>OK</x:v>
      </x:c>
      <x:c r="R1904" t="str">
        <x:v>OK</x:v>
      </x:c>
      <x:c r="S1904" t="str">
        <x:v>OK</x:v>
      </x:c>
      <x:c r="T1904" t="n">
        <x:v>36</x:v>
      </x:c>
      <x:c r="U1904" t="str">
        <x:v>OK</x:v>
      </x:c>
      <x:c r="V1904" t="str">
        <x:v>OK</x:v>
      </x:c>
      <x:c r="W1904" t="str">
        <x:v>LOAD</x:v>
      </x:c>
      <x:c r="X1904" t="str">
        <x:v>02_Supervisor_Log(4).xlsx</x:v>
      </x:c>
      <x:c r="Y1904" t="str">
        <x:v>ENH-20260830-01</x:v>
      </x:c>
      <x:c r="Z1904" t="str">
        <x:v>Active</x:v>
      </x:c>
      <x:c r="AA1904"/>
      <x:c r="AB1904"/>
      <x:c r="AC1904"/>
      <x:c r="AD1904"/>
    </x:row>
    <x:row r="1905">
      <x:c r="A1905" t="str">
        <x:v>PCC-PE-KG01-L24-20251023-AM-ORD-2025-00125-S10-C2</x:v>
      </x:c>
      <x:c r="B1905" t="str">
        <x:v>PC-PE-KG01-L24-20251023-AM-ORD-2025-00125-S10</x:v>
      </x:c>
      <x:c r="C1905" t="str">
        <x:v>PE-KG01-L24-20251023-AM-ORD-2025-00125</x:v>
      </x:c>
      <x:c r="D1905" t="str">
        <x:v>KG01</x:v>
      </x:c>
      <x:c r="E1905" s="62" t="n">
        <x:v>45953</x:v>
      </x:c>
      <x:c r="F1905" t="str">
        <x:v>AM</x:v>
      </x:c>
      <x:c r="G1905" t="str">
        <x:v>C</x:v>
      </x:c>
      <x:c r="H1905" t="n">
        <x:v>24</x:v>
      </x:c>
      <x:c r="I1905" t="str">
        <x:v>ORD-2025-00125</x:v>
      </x:c>
      <x:c r="J1905" t="n">
        <x:v>10</x:v>
      </x:c>
      <x:c r="K1905" t="n">
        <x:v>2</x:v>
      </x:c>
      <x:c r="L1905" t="str">
        <x:v>L24-S10-C2</x:v>
      </x:c>
      <x:c r="M1905" t="n">
        <x:v>1</x:v>
      </x:c>
      <x:c r="N1905" t="str">
        <x:v>DerivedFromCount</x:v>
      </x:c>
      <x:c r="O1905" t="str">
        <x:v>PLC-PRD-JAR-330-L24</x:v>
      </x:c>
      <x:c r="P1905" t="str">
        <x:v>OK</x:v>
      </x:c>
      <x:c r="Q1905" t="str">
        <x:v>OK</x:v>
      </x:c>
      <x:c r="R1905" t="str">
        <x:v>OK</x:v>
      </x:c>
      <x:c r="S1905" t="str">
        <x:v>OK</x:v>
      </x:c>
      <x:c r="T1905" t="n">
        <x:v>36</x:v>
      </x:c>
      <x:c r="U1905" t="str">
        <x:v>OK</x:v>
      </x:c>
      <x:c r="V1905" t="str">
        <x:v>OK</x:v>
      </x:c>
      <x:c r="W1905" t="str">
        <x:v>LOAD</x:v>
      </x:c>
      <x:c r="X1905" t="str">
        <x:v>02_Supervisor_Log(4).xlsx</x:v>
      </x:c>
      <x:c r="Y1905" t="str">
        <x:v>ENH-20260830-01</x:v>
      </x:c>
      <x:c r="Z1905" t="str">
        <x:v>Active</x:v>
      </x:c>
      <x:c r="AA1905"/>
      <x:c r="AB1905"/>
      <x:c r="AC1905"/>
      <x:c r="AD1905"/>
    </x:row>
    <x:row r="1906">
      <x:c r="A1906" t="str">
        <x:v>PCC-PE-KG01-L24-20251023-AM-ORD-2025-00125-S10-C3</x:v>
      </x:c>
      <x:c r="B1906" t="str">
        <x:v>PC-PE-KG01-L24-20251023-AM-ORD-2025-00125-S10</x:v>
      </x:c>
      <x:c r="C1906" t="str">
        <x:v>PE-KG01-L24-20251023-AM-ORD-2025-00125</x:v>
      </x:c>
      <x:c r="D1906" t="str">
        <x:v>KG01</x:v>
      </x:c>
      <x:c r="E1906" s="62" t="n">
        <x:v>45953</x:v>
      </x:c>
      <x:c r="F1906" t="str">
        <x:v>AM</x:v>
      </x:c>
      <x:c r="G1906" t="str">
        <x:v>C</x:v>
      </x:c>
      <x:c r="H1906" t="n">
        <x:v>24</x:v>
      </x:c>
      <x:c r="I1906" t="str">
        <x:v>ORD-2025-00125</x:v>
      </x:c>
      <x:c r="J1906" t="n">
        <x:v>10</x:v>
      </x:c>
      <x:c r="K1906" t="n">
        <x:v>3</x:v>
      </x:c>
      <x:c r="L1906" t="str">
        <x:v>L24-S10-C3</x:v>
      </x:c>
      <x:c r="M1906" t="n">
        <x:v>1</x:v>
      </x:c>
      <x:c r="N1906" t="str">
        <x:v>DerivedFromCount</x:v>
      </x:c>
      <x:c r="O1906" t="str">
        <x:v>PLC-PRD-JAR-330-L24</x:v>
      </x:c>
      <x:c r="P1906" t="str">
        <x:v>OK</x:v>
      </x:c>
      <x:c r="Q1906" t="str">
        <x:v>OK</x:v>
      </x:c>
      <x:c r="R1906" t="str">
        <x:v>OK</x:v>
      </x:c>
      <x:c r="S1906" t="str">
        <x:v>OK</x:v>
      </x:c>
      <x:c r="T1906" t="n">
        <x:v>36</x:v>
      </x:c>
      <x:c r="U1906" t="str">
        <x:v>OK</x:v>
      </x:c>
      <x:c r="V1906" t="str">
        <x:v>OK</x:v>
      </x:c>
      <x:c r="W1906" t="str">
        <x:v>LOAD</x:v>
      </x:c>
      <x:c r="X1906" t="str">
        <x:v>02_Supervisor_Log(4).xlsx</x:v>
      </x:c>
      <x:c r="Y1906" t="str">
        <x:v>ENH-20260830-01</x:v>
      </x:c>
      <x:c r="Z1906" t="str">
        <x:v>Active</x:v>
      </x:c>
      <x:c r="AA1906"/>
      <x:c r="AB1906"/>
      <x:c r="AC1906"/>
      <x:c r="AD1906"/>
    </x:row>
    <x:row r="1907">
      <x:c r="A1907" t="str">
        <x:v>PCC-PE-KG01-L24-20251023-AM-ORD-2025-00125-S11-C1</x:v>
      </x:c>
      <x:c r="B1907" t="str">
        <x:v>PC-PE-KG01-L24-20251023-AM-ORD-2025-00125-S11</x:v>
      </x:c>
      <x:c r="C1907" t="str">
        <x:v>PE-KG01-L24-20251023-AM-ORD-2025-00125</x:v>
      </x:c>
      <x:c r="D1907" t="str">
        <x:v>KG01</x:v>
      </x:c>
      <x:c r="E1907" s="62" t="n">
        <x:v>45953</x:v>
      </x:c>
      <x:c r="F1907" t="str">
        <x:v>AM</x:v>
      </x:c>
      <x:c r="G1907" t="str">
        <x:v>C</x:v>
      </x:c>
      <x:c r="H1907" t="n">
        <x:v>24</x:v>
      </x:c>
      <x:c r="I1907" t="str">
        <x:v>ORD-2025-00125</x:v>
      </x:c>
      <x:c r="J1907" t="n">
        <x:v>11</x:v>
      </x:c>
      <x:c r="K1907" t="n">
        <x:v>1</x:v>
      </x:c>
      <x:c r="L1907" t="str">
        <x:v>L24-S11-C1</x:v>
      </x:c>
      <x:c r="M1907" t="n">
        <x:v>1</x:v>
      </x:c>
      <x:c r="N1907" t="str">
        <x:v>DerivedFromCount</x:v>
      </x:c>
      <x:c r="O1907" t="str">
        <x:v>PLC-PRD-JAR-330-L24</x:v>
      </x:c>
      <x:c r="P1907" t="str">
        <x:v>OK</x:v>
      </x:c>
      <x:c r="Q1907" t="str">
        <x:v>OK</x:v>
      </x:c>
      <x:c r="R1907" t="str">
        <x:v>OK</x:v>
      </x:c>
      <x:c r="S1907" t="str">
        <x:v>OK</x:v>
      </x:c>
      <x:c r="T1907" t="n">
        <x:v>36</x:v>
      </x:c>
      <x:c r="U1907" t="str">
        <x:v>OK</x:v>
      </x:c>
      <x:c r="V1907" t="str">
        <x:v>OK</x:v>
      </x:c>
      <x:c r="W1907" t="str">
        <x:v>LOAD</x:v>
      </x:c>
      <x:c r="X1907" t="str">
        <x:v>02_Supervisor_Log(4).xlsx</x:v>
      </x:c>
      <x:c r="Y1907" t="str">
        <x:v>ENH-20260830-01</x:v>
      </x:c>
      <x:c r="Z1907" t="str">
        <x:v>Active</x:v>
      </x:c>
      <x:c r="AA1907"/>
      <x:c r="AB1907"/>
      <x:c r="AC1907"/>
      <x:c r="AD1907"/>
    </x:row>
    <x:row r="1908">
      <x:c r="A1908" t="str">
        <x:v>PCC-PE-KG01-L24-20251023-AM-ORD-2025-00125-S11-C2</x:v>
      </x:c>
      <x:c r="B1908" t="str">
        <x:v>PC-PE-KG01-L24-20251023-AM-ORD-2025-00125-S11</x:v>
      </x:c>
      <x:c r="C1908" t="str">
        <x:v>PE-KG01-L24-20251023-AM-ORD-2025-00125</x:v>
      </x:c>
      <x:c r="D1908" t="str">
        <x:v>KG01</x:v>
      </x:c>
      <x:c r="E1908" s="62" t="n">
        <x:v>45953</x:v>
      </x:c>
      <x:c r="F1908" t="str">
        <x:v>AM</x:v>
      </x:c>
      <x:c r="G1908" t="str">
        <x:v>C</x:v>
      </x:c>
      <x:c r="H1908" t="n">
        <x:v>24</x:v>
      </x:c>
      <x:c r="I1908" t="str">
        <x:v>ORD-2025-00125</x:v>
      </x:c>
      <x:c r="J1908" t="n">
        <x:v>11</x:v>
      </x:c>
      <x:c r="K1908" t="n">
        <x:v>2</x:v>
      </x:c>
      <x:c r="L1908" t="str">
        <x:v>L24-S11-C2</x:v>
      </x:c>
      <x:c r="M1908" t="n">
        <x:v>1</x:v>
      </x:c>
      <x:c r="N1908" t="str">
        <x:v>DerivedFromCount</x:v>
      </x:c>
      <x:c r="O1908" t="str">
        <x:v>PLC-PRD-JAR-330-L24</x:v>
      </x:c>
      <x:c r="P1908" t="str">
        <x:v>OK</x:v>
      </x:c>
      <x:c r="Q1908" t="str">
        <x:v>OK</x:v>
      </x:c>
      <x:c r="R1908" t="str">
        <x:v>OK</x:v>
      </x:c>
      <x:c r="S1908" t="str">
        <x:v>OK</x:v>
      </x:c>
      <x:c r="T1908" t="n">
        <x:v>36</x:v>
      </x:c>
      <x:c r="U1908" t="str">
        <x:v>OK</x:v>
      </x:c>
      <x:c r="V1908" t="str">
        <x:v>OK</x:v>
      </x:c>
      <x:c r="W1908" t="str">
        <x:v>LOAD</x:v>
      </x:c>
      <x:c r="X1908" t="str">
        <x:v>02_Supervisor_Log(4).xlsx</x:v>
      </x:c>
      <x:c r="Y1908" t="str">
        <x:v>ENH-20260830-01</x:v>
      </x:c>
      <x:c r="Z1908" t="str">
        <x:v>Active</x:v>
      </x:c>
      <x:c r="AA1908"/>
      <x:c r="AB1908"/>
      <x:c r="AC1908"/>
      <x:c r="AD1908"/>
    </x:row>
    <x:row r="1909">
      <x:c r="A1909" t="str">
        <x:v>PCC-PE-KG01-L24-20251023-AM-ORD-2025-00125-S11-C3</x:v>
      </x:c>
      <x:c r="B1909" t="str">
        <x:v>PC-PE-KG01-L24-20251023-AM-ORD-2025-00125-S11</x:v>
      </x:c>
      <x:c r="C1909" t="str">
        <x:v>PE-KG01-L24-20251023-AM-ORD-2025-00125</x:v>
      </x:c>
      <x:c r="D1909" t="str">
        <x:v>KG01</x:v>
      </x:c>
      <x:c r="E1909" s="62" t="n">
        <x:v>45953</x:v>
      </x:c>
      <x:c r="F1909" t="str">
        <x:v>AM</x:v>
      </x:c>
      <x:c r="G1909" t="str">
        <x:v>C</x:v>
      </x:c>
      <x:c r="H1909" t="n">
        <x:v>24</x:v>
      </x:c>
      <x:c r="I1909" t="str">
        <x:v>ORD-2025-00125</x:v>
      </x:c>
      <x:c r="J1909" t="n">
        <x:v>11</x:v>
      </x:c>
      <x:c r="K1909" t="n">
        <x:v>3</x:v>
      </x:c>
      <x:c r="L1909" t="str">
        <x:v>L24-S11-C3</x:v>
      </x:c>
      <x:c r="M1909" t="n">
        <x:v>1</x:v>
      </x:c>
      <x:c r="N1909" t="str">
        <x:v>DerivedFromCount</x:v>
      </x:c>
      <x:c r="O1909" t="str">
        <x:v>PLC-PRD-JAR-330-L24</x:v>
      </x:c>
      <x:c r="P1909" t="str">
        <x:v>OK</x:v>
      </x:c>
      <x:c r="Q1909" t="str">
        <x:v>OK</x:v>
      </x:c>
      <x:c r="R1909" t="str">
        <x:v>OK</x:v>
      </x:c>
      <x:c r="S1909" t="str">
        <x:v>OK</x:v>
      </x:c>
      <x:c r="T1909" t="n">
        <x:v>36</x:v>
      </x:c>
      <x:c r="U1909" t="str">
        <x:v>OK</x:v>
      </x:c>
      <x:c r="V1909" t="str">
        <x:v>OK</x:v>
      </x:c>
      <x:c r="W1909" t="str">
        <x:v>LOAD</x:v>
      </x:c>
      <x:c r="X1909" t="str">
        <x:v>02_Supervisor_Log(4).xlsx</x:v>
      </x:c>
      <x:c r="Y1909" t="str">
        <x:v>ENH-20260830-01</x:v>
      </x:c>
      <x:c r="Z1909" t="str">
        <x:v>Active</x:v>
      </x:c>
      <x:c r="AA1909"/>
      <x:c r="AB1909"/>
      <x:c r="AC1909"/>
      <x:c r="AD1909"/>
    </x:row>
    <x:row r="1910">
      <x:c r="A1910" t="str">
        <x:v>PCC-PE-KG01-L24-20251023-AM-ORD-2025-00125-S12-C1</x:v>
      </x:c>
      <x:c r="B1910" t="str">
        <x:v>PC-PE-KG01-L24-20251023-AM-ORD-2025-00125-S12</x:v>
      </x:c>
      <x:c r="C1910" t="str">
        <x:v>PE-KG01-L24-20251023-AM-ORD-2025-00125</x:v>
      </x:c>
      <x:c r="D1910" t="str">
        <x:v>KG01</x:v>
      </x:c>
      <x:c r="E1910" s="62" t="n">
        <x:v>45953</x:v>
      </x:c>
      <x:c r="F1910" t="str">
        <x:v>AM</x:v>
      </x:c>
      <x:c r="G1910" t="str">
        <x:v>C</x:v>
      </x:c>
      <x:c r="H1910" t="n">
        <x:v>24</x:v>
      </x:c>
      <x:c r="I1910" t="str">
        <x:v>ORD-2025-00125</x:v>
      </x:c>
      <x:c r="J1910" t="n">
        <x:v>12</x:v>
      </x:c>
      <x:c r="K1910" t="n">
        <x:v>1</x:v>
      </x:c>
      <x:c r="L1910" t="str">
        <x:v>L24-S12-C1</x:v>
      </x:c>
      <x:c r="M1910" t="n">
        <x:v>1</x:v>
      </x:c>
      <x:c r="N1910" t="str">
        <x:v>DerivedFromCount</x:v>
      </x:c>
      <x:c r="O1910" t="str">
        <x:v>PLC-PRD-JAR-330-L24</x:v>
      </x:c>
      <x:c r="P1910" t="str">
        <x:v>OK</x:v>
      </x:c>
      <x:c r="Q1910" t="str">
        <x:v>OK</x:v>
      </x:c>
      <x:c r="R1910" t="str">
        <x:v>OK</x:v>
      </x:c>
      <x:c r="S1910" t="str">
        <x:v>OK</x:v>
      </x:c>
      <x:c r="T1910" t="n">
        <x:v>36</x:v>
      </x:c>
      <x:c r="U1910" t="str">
        <x:v>OK</x:v>
      </x:c>
      <x:c r="V1910" t="str">
        <x:v>OK</x:v>
      </x:c>
      <x:c r="W1910" t="str">
        <x:v>LOAD</x:v>
      </x:c>
      <x:c r="X1910" t="str">
        <x:v>02_Supervisor_Log(4).xlsx</x:v>
      </x:c>
      <x:c r="Y1910" t="str">
        <x:v>ENH-20260830-01</x:v>
      </x:c>
      <x:c r="Z1910" t="str">
        <x:v>Active</x:v>
      </x:c>
      <x:c r="AA1910"/>
      <x:c r="AB1910"/>
      <x:c r="AC1910"/>
      <x:c r="AD1910"/>
    </x:row>
    <x:row r="1911">
      <x:c r="A1911" t="str">
        <x:v>PCC-PE-KG01-L24-20251023-AM-ORD-2025-00125-S12-C2</x:v>
      </x:c>
      <x:c r="B1911" t="str">
        <x:v>PC-PE-KG01-L24-20251023-AM-ORD-2025-00125-S12</x:v>
      </x:c>
      <x:c r="C1911" t="str">
        <x:v>PE-KG01-L24-20251023-AM-ORD-2025-00125</x:v>
      </x:c>
      <x:c r="D1911" t="str">
        <x:v>KG01</x:v>
      </x:c>
      <x:c r="E1911" s="62" t="n">
        <x:v>45953</x:v>
      </x:c>
      <x:c r="F1911" t="str">
        <x:v>AM</x:v>
      </x:c>
      <x:c r="G1911" t="str">
        <x:v>C</x:v>
      </x:c>
      <x:c r="H1911" t="n">
        <x:v>24</x:v>
      </x:c>
      <x:c r="I1911" t="str">
        <x:v>ORD-2025-00125</x:v>
      </x:c>
      <x:c r="J1911" t="n">
        <x:v>12</x:v>
      </x:c>
      <x:c r="K1911" t="n">
        <x:v>2</x:v>
      </x:c>
      <x:c r="L1911" t="str">
        <x:v>L24-S12-C2</x:v>
      </x:c>
      <x:c r="M1911" t="n">
        <x:v>1</x:v>
      </x:c>
      <x:c r="N1911" t="str">
        <x:v>DerivedFromCount</x:v>
      </x:c>
      <x:c r="O1911" t="str">
        <x:v>PLC-PRD-JAR-330-L24</x:v>
      </x:c>
      <x:c r="P1911" t="str">
        <x:v>OK</x:v>
      </x:c>
      <x:c r="Q1911" t="str">
        <x:v>OK</x:v>
      </x:c>
      <x:c r="R1911" t="str">
        <x:v>OK</x:v>
      </x:c>
      <x:c r="S1911" t="str">
        <x:v>OK</x:v>
      </x:c>
      <x:c r="T1911" t="n">
        <x:v>36</x:v>
      </x:c>
      <x:c r="U1911" t="str">
        <x:v>OK</x:v>
      </x:c>
      <x:c r="V1911" t="str">
        <x:v>OK</x:v>
      </x:c>
      <x:c r="W1911" t="str">
        <x:v>LOAD</x:v>
      </x:c>
      <x:c r="X1911" t="str">
        <x:v>02_Supervisor_Log(4).xlsx</x:v>
      </x:c>
      <x:c r="Y1911" t="str">
        <x:v>ENH-20260830-01</x:v>
      </x:c>
      <x:c r="Z1911" t="str">
        <x:v>Active</x:v>
      </x:c>
      <x:c r="AA1911"/>
      <x:c r="AB1911"/>
      <x:c r="AC1911"/>
      <x:c r="AD1911"/>
    </x:row>
    <x:row r="1912">
      <x:c r="A1912" t="str">
        <x:v>PCC-PE-KG01-L24-20251023-AM-ORD-2025-00125-S12-C3</x:v>
      </x:c>
      <x:c r="B1912" t="str">
        <x:v>PC-PE-KG01-L24-20251023-AM-ORD-2025-00125-S12</x:v>
      </x:c>
      <x:c r="C1912" t="str">
        <x:v>PE-KG01-L24-20251023-AM-ORD-2025-00125</x:v>
      </x:c>
      <x:c r="D1912" t="str">
        <x:v>KG01</x:v>
      </x:c>
      <x:c r="E1912" s="62" t="n">
        <x:v>45953</x:v>
      </x:c>
      <x:c r="F1912" t="str">
        <x:v>AM</x:v>
      </x:c>
      <x:c r="G1912" t="str">
        <x:v>C</x:v>
      </x:c>
      <x:c r="H1912" t="n">
        <x:v>24</x:v>
      </x:c>
      <x:c r="I1912" t="str">
        <x:v>ORD-2025-00125</x:v>
      </x:c>
      <x:c r="J1912" t="n">
        <x:v>12</x:v>
      </x:c>
      <x:c r="K1912" t="n">
        <x:v>3</x:v>
      </x:c>
      <x:c r="L1912" t="str">
        <x:v>L24-S12-C3</x:v>
      </x:c>
      <x:c r="M1912" t="n">
        <x:v>1</x:v>
      </x:c>
      <x:c r="N1912" t="str">
        <x:v>DerivedFromCount</x:v>
      </x:c>
      <x:c r="O1912" t="str">
        <x:v>PLC-PRD-JAR-330-L24</x:v>
      </x:c>
      <x:c r="P1912" t="str">
        <x:v>OK</x:v>
      </x:c>
      <x:c r="Q1912" t="str">
        <x:v>OK</x:v>
      </x:c>
      <x:c r="R1912" t="str">
        <x:v>OK</x:v>
      </x:c>
      <x:c r="S1912" t="str">
        <x:v>OK</x:v>
      </x:c>
      <x:c r="T1912" t="n">
        <x:v>36</x:v>
      </x:c>
      <x:c r="U1912" t="str">
        <x:v>OK</x:v>
      </x:c>
      <x:c r="V1912" t="str">
        <x:v>OK</x:v>
      </x:c>
      <x:c r="W1912" t="str">
        <x:v>LOAD</x:v>
      </x:c>
      <x:c r="X1912" t="str">
        <x:v>02_Supervisor_Log(4).xlsx</x:v>
      </x:c>
      <x:c r="Y1912" t="str">
        <x:v>ENH-20260830-01</x:v>
      </x:c>
      <x:c r="Z1912" t="str">
        <x:v>Active</x:v>
      </x:c>
      <x:c r="AA1912"/>
      <x:c r="AB1912"/>
      <x:c r="AC1912"/>
      <x:c r="AD1912"/>
    </x:row>
    <x:row r="1913">
      <x:c r="A1913" t="str">
        <x:v>PCC-PE-KG01-L24-20251023-AM-ORD-2025-00125-S13-C1</x:v>
      </x:c>
      <x:c r="B1913" t="str">
        <x:v>PC-PE-KG01-L24-20251023-AM-ORD-2025-00125-S13</x:v>
      </x:c>
      <x:c r="C1913" t="str">
        <x:v>PE-KG01-L24-20251023-AM-ORD-2025-00125</x:v>
      </x:c>
      <x:c r="D1913" t="str">
        <x:v>KG01</x:v>
      </x:c>
      <x:c r="E1913" s="62" t="n">
        <x:v>45953</x:v>
      </x:c>
      <x:c r="F1913" t="str">
        <x:v>AM</x:v>
      </x:c>
      <x:c r="G1913" t="str">
        <x:v>C</x:v>
      </x:c>
      <x:c r="H1913" t="n">
        <x:v>24</x:v>
      </x:c>
      <x:c r="I1913" t="str">
        <x:v>ORD-2025-00125</x:v>
      </x:c>
      <x:c r="J1913" t="n">
        <x:v>13</x:v>
      </x:c>
      <x:c r="K1913" t="n">
        <x:v>1</x:v>
      </x:c>
      <x:c r="L1913" t="str">
        <x:v>L24-S13-C1</x:v>
      </x:c>
      <x:c r="M1913" t="n">
        <x:v>0</x:v>
      </x:c>
      <x:c r="N1913" t="str">
        <x:v>DerivedFromCount</x:v>
      </x:c>
      <x:c r="O1913" t="str">
        <x:v>PLC-PRD-JAR-330-L24</x:v>
      </x:c>
      <x:c r="P1913" t="str">
        <x:v>OK</x:v>
      </x:c>
      <x:c r="Q1913" t="str">
        <x:v>OK</x:v>
      </x:c>
      <x:c r="R1913" t="str">
        <x:v>OK</x:v>
      </x:c>
      <x:c r="S1913" t="str">
        <x:v>OK</x:v>
      </x:c>
      <x:c r="T1913" t="n">
        <x:v>36</x:v>
      </x:c>
      <x:c r="U1913" t="str">
        <x:v>OK</x:v>
      </x:c>
      <x:c r="V1913" t="str">
        <x:v>OK</x:v>
      </x:c>
      <x:c r="W1913" t="str">
        <x:v>LOAD</x:v>
      </x:c>
      <x:c r="X1913" t="str">
        <x:v>02_Supervisor_Log(4).xlsx</x:v>
      </x:c>
      <x:c r="Y1913" t="str">
        <x:v>ENH-20260830-01</x:v>
      </x:c>
      <x:c r="Z1913" t="str">
        <x:v>Active</x:v>
      </x:c>
      <x:c r="AA1913"/>
      <x:c r="AB1913"/>
      <x:c r="AC1913"/>
      <x:c r="AD1913"/>
    </x:row>
    <x:row r="1914">
      <x:c r="A1914" t="str">
        <x:v>PCC-PE-KG01-L24-20251023-AM-ORD-2025-00125-S13-C2</x:v>
      </x:c>
      <x:c r="B1914" t="str">
        <x:v>PC-PE-KG01-L24-20251023-AM-ORD-2025-00125-S13</x:v>
      </x:c>
      <x:c r="C1914" t="str">
        <x:v>PE-KG01-L24-20251023-AM-ORD-2025-00125</x:v>
      </x:c>
      <x:c r="D1914" t="str">
        <x:v>KG01</x:v>
      </x:c>
      <x:c r="E1914" s="62" t="n">
        <x:v>45953</x:v>
      </x:c>
      <x:c r="F1914" t="str">
        <x:v>AM</x:v>
      </x:c>
      <x:c r="G1914" t="str">
        <x:v>C</x:v>
      </x:c>
      <x:c r="H1914" t="n">
        <x:v>24</x:v>
      </x:c>
      <x:c r="I1914" t="str">
        <x:v>ORD-2025-00125</x:v>
      </x:c>
      <x:c r="J1914" t="n">
        <x:v>13</x:v>
      </x:c>
      <x:c r="K1914" t="n">
        <x:v>2</x:v>
      </x:c>
      <x:c r="L1914" t="str">
        <x:v>L24-S13-C2</x:v>
      </x:c>
      <x:c r="M1914" t="n">
        <x:v>0</x:v>
      </x:c>
      <x:c r="N1914" t="str">
        <x:v>DerivedFromCount</x:v>
      </x:c>
      <x:c r="O1914" t="str">
        <x:v>PLC-PRD-JAR-330-L24</x:v>
      </x:c>
      <x:c r="P1914" t="str">
        <x:v>OK</x:v>
      </x:c>
      <x:c r="Q1914" t="str">
        <x:v>OK</x:v>
      </x:c>
      <x:c r="R1914" t="str">
        <x:v>OK</x:v>
      </x:c>
      <x:c r="S1914" t="str">
        <x:v>OK</x:v>
      </x:c>
      <x:c r="T1914" t="n">
        <x:v>36</x:v>
      </x:c>
      <x:c r="U1914" t="str">
        <x:v>OK</x:v>
      </x:c>
      <x:c r="V1914" t="str">
        <x:v>OK</x:v>
      </x:c>
      <x:c r="W1914" t="str">
        <x:v>LOAD</x:v>
      </x:c>
      <x:c r="X1914" t="str">
        <x:v>02_Supervisor_Log(4).xlsx</x:v>
      </x:c>
      <x:c r="Y1914" t="str">
        <x:v>ENH-20260830-01</x:v>
      </x:c>
      <x:c r="Z1914" t="str">
        <x:v>Active</x:v>
      </x:c>
      <x:c r="AA1914"/>
      <x:c r="AB1914"/>
      <x:c r="AC1914"/>
      <x:c r="AD1914"/>
    </x:row>
    <x:row r="1915">
      <x:c r="A1915" t="str">
        <x:v>PCC-PE-KG01-L24-20251023-AM-ORD-2025-00125-S13-C3</x:v>
      </x:c>
      <x:c r="B1915" t="str">
        <x:v>PC-PE-KG01-L24-20251023-AM-ORD-2025-00125-S13</x:v>
      </x:c>
      <x:c r="C1915" t="str">
        <x:v>PE-KG01-L24-20251023-AM-ORD-2025-00125</x:v>
      </x:c>
      <x:c r="D1915" t="str">
        <x:v>KG01</x:v>
      </x:c>
      <x:c r="E1915" s="62" t="n">
        <x:v>45953</x:v>
      </x:c>
      <x:c r="F1915" t="str">
        <x:v>AM</x:v>
      </x:c>
      <x:c r="G1915" t="str">
        <x:v>C</x:v>
      </x:c>
      <x:c r="H1915" t="n">
        <x:v>24</x:v>
      </x:c>
      <x:c r="I1915" t="str">
        <x:v>ORD-2025-00125</x:v>
      </x:c>
      <x:c r="J1915" t="n">
        <x:v>13</x:v>
      </x:c>
      <x:c r="K1915" t="n">
        <x:v>3</x:v>
      </x:c>
      <x:c r="L1915" t="str">
        <x:v>L24-S13-C3</x:v>
      </x:c>
      <x:c r="M1915" t="n">
        <x:v>0</x:v>
      </x:c>
      <x:c r="N1915" t="str">
        <x:v>DerivedFromCount</x:v>
      </x:c>
      <x:c r="O1915" t="str">
        <x:v>PLC-PRD-JAR-330-L24</x:v>
      </x:c>
      <x:c r="P1915" t="str">
        <x:v>OK</x:v>
      </x:c>
      <x:c r="Q1915" t="str">
        <x:v>OK</x:v>
      </x:c>
      <x:c r="R1915" t="str">
        <x:v>OK</x:v>
      </x:c>
      <x:c r="S1915" t="str">
        <x:v>OK</x:v>
      </x:c>
      <x:c r="T1915" t="n">
        <x:v>36</x:v>
      </x:c>
      <x:c r="U1915" t="str">
        <x:v>OK</x:v>
      </x:c>
      <x:c r="V1915" t="str">
        <x:v>OK</x:v>
      </x:c>
      <x:c r="W1915" t="str">
        <x:v>LOAD</x:v>
      </x:c>
      <x:c r="X1915" t="str">
        <x:v>02_Supervisor_Log(4).xlsx</x:v>
      </x:c>
      <x:c r="Y1915" t="str">
        <x:v>ENH-20260830-01</x:v>
      </x:c>
      <x:c r="Z1915" t="str">
        <x:v>Active</x:v>
      </x:c>
      <x:c r="AA1915"/>
      <x:c r="AB1915"/>
      <x:c r="AC1915"/>
      <x:c r="AD1915"/>
    </x:row>
    <x:row r="1916">
      <x:c r="A1916" t="str">
        <x:v>PCC-PE-KG01-L24-20251023-PM-ORD-2025-00125-S01-C1</x:v>
      </x:c>
      <x:c r="B1916" t="str">
        <x:v>PC-PE-KG01-L24-20251023-PM-ORD-2025-00125-S01</x:v>
      </x:c>
      <x:c r="C1916" t="str">
        <x:v>PE-KG01-L24-20251023-PM-ORD-2025-00125</x:v>
      </x:c>
      <x:c r="D1916" t="str">
        <x:v>KG01</x:v>
      </x:c>
      <x:c r="E1916" s="62" t="n">
        <x:v>45953</x:v>
      </x:c>
      <x:c r="F1916" t="str">
        <x:v>PM</x:v>
      </x:c>
      <x:c r="G1916" t="str">
        <x:v>A</x:v>
      </x:c>
      <x:c r="H1916" t="n">
        <x:v>24</x:v>
      </x:c>
      <x:c r="I1916" t="str">
        <x:v>ORD-2025-00125</x:v>
      </x:c>
      <x:c r="J1916" t="n">
        <x:v>1</x:v>
      </x:c>
      <x:c r="K1916" t="n">
        <x:v>1</x:v>
      </x:c>
      <x:c r="L1916" t="str">
        <x:v>L24-S01-C1</x:v>
      </x:c>
      <x:c r="M1916" t="n">
        <x:v>1</x:v>
      </x:c>
      <x:c r="N1916" t="str">
        <x:v>DerivedFromCount</x:v>
      </x:c>
      <x:c r="O1916" t="str">
        <x:v>PLC-PRD-JAR-330-L24</x:v>
      </x:c>
      <x:c r="P1916" t="str">
        <x:v>OK</x:v>
      </x:c>
      <x:c r="Q1916" t="str">
        <x:v>OK</x:v>
      </x:c>
      <x:c r="R1916" t="str">
        <x:v>OK</x:v>
      </x:c>
      <x:c r="S1916" t="str">
        <x:v>OK</x:v>
      </x:c>
      <x:c r="T1916" t="n">
        <x:v>36</x:v>
      </x:c>
      <x:c r="U1916" t="str">
        <x:v>OK</x:v>
      </x:c>
      <x:c r="V1916" t="str">
        <x:v>OK</x:v>
      </x:c>
      <x:c r="W1916" t="str">
        <x:v>LOAD</x:v>
      </x:c>
      <x:c r="X1916" t="str">
        <x:v>02_Supervisor_Log(4).xlsx</x:v>
      </x:c>
      <x:c r="Y1916" t="str">
        <x:v>ENH-20260830-01</x:v>
      </x:c>
      <x:c r="Z1916" t="str">
        <x:v>Active</x:v>
      </x:c>
      <x:c r="AA1916"/>
      <x:c r="AB1916"/>
      <x:c r="AC1916"/>
      <x:c r="AD1916"/>
    </x:row>
    <x:row r="1917">
      <x:c r="A1917" t="str">
        <x:v>PCC-PE-KG01-L24-20251023-PM-ORD-2025-00125-S01-C2</x:v>
      </x:c>
      <x:c r="B1917" t="str">
        <x:v>PC-PE-KG01-L24-20251023-PM-ORD-2025-00125-S01</x:v>
      </x:c>
      <x:c r="C1917" t="str">
        <x:v>PE-KG01-L24-20251023-PM-ORD-2025-00125</x:v>
      </x:c>
      <x:c r="D1917" t="str">
        <x:v>KG01</x:v>
      </x:c>
      <x:c r="E1917" s="62" t="n">
        <x:v>45953</x:v>
      </x:c>
      <x:c r="F1917" t="str">
        <x:v>PM</x:v>
      </x:c>
      <x:c r="G1917" t="str">
        <x:v>A</x:v>
      </x:c>
      <x:c r="H1917" t="n">
        <x:v>24</x:v>
      </x:c>
      <x:c r="I1917" t="str">
        <x:v>ORD-2025-00125</x:v>
      </x:c>
      <x:c r="J1917" t="n">
        <x:v>1</x:v>
      </x:c>
      <x:c r="K1917" t="n">
        <x:v>2</x:v>
      </x:c>
      <x:c r="L1917" t="str">
        <x:v>L24-S01-C2</x:v>
      </x:c>
      <x:c r="M1917" t="n">
        <x:v>1</x:v>
      </x:c>
      <x:c r="N1917" t="str">
        <x:v>DerivedFromCount</x:v>
      </x:c>
      <x:c r="O1917" t="str">
        <x:v>PLC-PRD-JAR-330-L24</x:v>
      </x:c>
      <x:c r="P1917" t="str">
        <x:v>OK</x:v>
      </x:c>
      <x:c r="Q1917" t="str">
        <x:v>OK</x:v>
      </x:c>
      <x:c r="R1917" t="str">
        <x:v>OK</x:v>
      </x:c>
      <x:c r="S1917" t="str">
        <x:v>OK</x:v>
      </x:c>
      <x:c r="T1917" t="n">
        <x:v>36</x:v>
      </x:c>
      <x:c r="U1917" t="str">
        <x:v>OK</x:v>
      </x:c>
      <x:c r="V1917" t="str">
        <x:v>OK</x:v>
      </x:c>
      <x:c r="W1917" t="str">
        <x:v>LOAD</x:v>
      </x:c>
      <x:c r="X1917" t="str">
        <x:v>02_Supervisor_Log(4).xlsx</x:v>
      </x:c>
      <x:c r="Y1917" t="str">
        <x:v>ENH-20260830-01</x:v>
      </x:c>
      <x:c r="Z1917" t="str">
        <x:v>Active</x:v>
      </x:c>
      <x:c r="AA1917"/>
      <x:c r="AB1917"/>
      <x:c r="AC1917"/>
      <x:c r="AD1917"/>
    </x:row>
    <x:row r="1918">
      <x:c r="A1918" t="str">
        <x:v>PCC-PE-KG01-L24-20251023-PM-ORD-2025-00125-S01-C3</x:v>
      </x:c>
      <x:c r="B1918" t="str">
        <x:v>PC-PE-KG01-L24-20251023-PM-ORD-2025-00125-S01</x:v>
      </x:c>
      <x:c r="C1918" t="str">
        <x:v>PE-KG01-L24-20251023-PM-ORD-2025-00125</x:v>
      </x:c>
      <x:c r="D1918" t="str">
        <x:v>KG01</x:v>
      </x:c>
      <x:c r="E1918" s="62" t="n">
        <x:v>45953</x:v>
      </x:c>
      <x:c r="F1918" t="str">
        <x:v>PM</x:v>
      </x:c>
      <x:c r="G1918" t="str">
        <x:v>A</x:v>
      </x:c>
      <x:c r="H1918" t="n">
        <x:v>24</x:v>
      </x:c>
      <x:c r="I1918" t="str">
        <x:v>ORD-2025-00125</x:v>
      </x:c>
      <x:c r="J1918" t="n">
        <x:v>1</x:v>
      </x:c>
      <x:c r="K1918" t="n">
        <x:v>3</x:v>
      </x:c>
      <x:c r="L1918" t="str">
        <x:v>L24-S01-C3</x:v>
      </x:c>
      <x:c r="M1918" t="n">
        <x:v>1</x:v>
      </x:c>
      <x:c r="N1918" t="str">
        <x:v>DerivedFromCount</x:v>
      </x:c>
      <x:c r="O1918" t="str">
        <x:v>PLC-PRD-JAR-330-L24</x:v>
      </x:c>
      <x:c r="P1918" t="str">
        <x:v>OK</x:v>
      </x:c>
      <x:c r="Q1918" t="str">
        <x:v>OK</x:v>
      </x:c>
      <x:c r="R1918" t="str">
        <x:v>OK</x:v>
      </x:c>
      <x:c r="S1918" t="str">
        <x:v>OK</x:v>
      </x:c>
      <x:c r="T1918" t="n">
        <x:v>36</x:v>
      </x:c>
      <x:c r="U1918" t="str">
        <x:v>OK</x:v>
      </x:c>
      <x:c r="V1918" t="str">
        <x:v>OK</x:v>
      </x:c>
      <x:c r="W1918" t="str">
        <x:v>LOAD</x:v>
      </x:c>
      <x:c r="X1918" t="str">
        <x:v>02_Supervisor_Log(4).xlsx</x:v>
      </x:c>
      <x:c r="Y1918" t="str">
        <x:v>ENH-20260830-01</x:v>
      </x:c>
      <x:c r="Z1918" t="str">
        <x:v>Active</x:v>
      </x:c>
      <x:c r="AA1918"/>
      <x:c r="AB1918"/>
      <x:c r="AC1918"/>
      <x:c r="AD1918"/>
    </x:row>
    <x:row r="1919">
      <x:c r="A1919" t="str">
        <x:v>PCC-PE-KG01-L24-20251023-PM-ORD-2025-00125-S02-C1</x:v>
      </x:c>
      <x:c r="B1919" t="str">
        <x:v>PC-PE-KG01-L24-20251023-PM-ORD-2025-00125-S02</x:v>
      </x:c>
      <x:c r="C1919" t="str">
        <x:v>PE-KG01-L24-20251023-PM-ORD-2025-00125</x:v>
      </x:c>
      <x:c r="D1919" t="str">
        <x:v>KG01</x:v>
      </x:c>
      <x:c r="E1919" s="62" t="n">
        <x:v>45953</x:v>
      </x:c>
      <x:c r="F1919" t="str">
        <x:v>PM</x:v>
      </x:c>
      <x:c r="G1919" t="str">
        <x:v>A</x:v>
      </x:c>
      <x:c r="H1919" t="n">
        <x:v>24</x:v>
      </x:c>
      <x:c r="I1919" t="str">
        <x:v>ORD-2025-00125</x:v>
      </x:c>
      <x:c r="J1919" t="n">
        <x:v>2</x:v>
      </x:c>
      <x:c r="K1919" t="n">
        <x:v>1</x:v>
      </x:c>
      <x:c r="L1919" t="str">
        <x:v>L24-S02-C1</x:v>
      </x:c>
      <x:c r="M1919" t="n">
        <x:v>1</x:v>
      </x:c>
      <x:c r="N1919" t="str">
        <x:v>DerivedFromCount</x:v>
      </x:c>
      <x:c r="O1919" t="str">
        <x:v>PLC-PRD-JAR-330-L24</x:v>
      </x:c>
      <x:c r="P1919" t="str">
        <x:v>OK</x:v>
      </x:c>
      <x:c r="Q1919" t="str">
        <x:v>OK</x:v>
      </x:c>
      <x:c r="R1919" t="str">
        <x:v>OK</x:v>
      </x:c>
      <x:c r="S1919" t="str">
        <x:v>OK</x:v>
      </x:c>
      <x:c r="T1919" t="n">
        <x:v>36</x:v>
      </x:c>
      <x:c r="U1919" t="str">
        <x:v>OK</x:v>
      </x:c>
      <x:c r="V1919" t="str">
        <x:v>OK</x:v>
      </x:c>
      <x:c r="W1919" t="str">
        <x:v>LOAD</x:v>
      </x:c>
      <x:c r="X1919" t="str">
        <x:v>02_Supervisor_Log(4).xlsx</x:v>
      </x:c>
      <x:c r="Y1919" t="str">
        <x:v>ENH-20260830-01</x:v>
      </x:c>
      <x:c r="Z1919" t="str">
        <x:v>Active</x:v>
      </x:c>
      <x:c r="AA1919"/>
      <x:c r="AB1919"/>
      <x:c r="AC1919"/>
      <x:c r="AD1919"/>
    </x:row>
    <x:row r="1920">
      <x:c r="A1920" t="str">
        <x:v>PCC-PE-KG01-L24-20251023-PM-ORD-2025-00125-S02-C2</x:v>
      </x:c>
      <x:c r="B1920" t="str">
        <x:v>PC-PE-KG01-L24-20251023-PM-ORD-2025-00125-S02</x:v>
      </x:c>
      <x:c r="C1920" t="str">
        <x:v>PE-KG01-L24-20251023-PM-ORD-2025-00125</x:v>
      </x:c>
      <x:c r="D1920" t="str">
        <x:v>KG01</x:v>
      </x:c>
      <x:c r="E1920" s="62" t="n">
        <x:v>45953</x:v>
      </x:c>
      <x:c r="F1920" t="str">
        <x:v>PM</x:v>
      </x:c>
      <x:c r="G1920" t="str">
        <x:v>A</x:v>
      </x:c>
      <x:c r="H1920" t="n">
        <x:v>24</x:v>
      </x:c>
      <x:c r="I1920" t="str">
        <x:v>ORD-2025-00125</x:v>
      </x:c>
      <x:c r="J1920" t="n">
        <x:v>2</x:v>
      </x:c>
      <x:c r="K1920" t="n">
        <x:v>2</x:v>
      </x:c>
      <x:c r="L1920" t="str">
        <x:v>L24-S02-C2</x:v>
      </x:c>
      <x:c r="M1920" t="n">
        <x:v>1</x:v>
      </x:c>
      <x:c r="N1920" t="str">
        <x:v>DerivedFromCount</x:v>
      </x:c>
      <x:c r="O1920" t="str">
        <x:v>PLC-PRD-JAR-330-L24</x:v>
      </x:c>
      <x:c r="P1920" t="str">
        <x:v>OK</x:v>
      </x:c>
      <x:c r="Q1920" t="str">
        <x:v>OK</x:v>
      </x:c>
      <x:c r="R1920" t="str">
        <x:v>OK</x:v>
      </x:c>
      <x:c r="S1920" t="str">
        <x:v>OK</x:v>
      </x:c>
      <x:c r="T1920" t="n">
        <x:v>36</x:v>
      </x:c>
      <x:c r="U1920" t="str">
        <x:v>OK</x:v>
      </x:c>
      <x:c r="V1920" t="str">
        <x:v>OK</x:v>
      </x:c>
      <x:c r="W1920" t="str">
        <x:v>LOAD</x:v>
      </x:c>
      <x:c r="X1920" t="str">
        <x:v>02_Supervisor_Log(4).xlsx</x:v>
      </x:c>
      <x:c r="Y1920" t="str">
        <x:v>ENH-20260830-01</x:v>
      </x:c>
      <x:c r="Z1920" t="str">
        <x:v>Active</x:v>
      </x:c>
      <x:c r="AA1920"/>
      <x:c r="AB1920"/>
      <x:c r="AC1920"/>
      <x:c r="AD1920"/>
    </x:row>
    <x:row r="1921">
      <x:c r="A1921" t="str">
        <x:v>PCC-PE-KG01-L24-20251023-PM-ORD-2025-00125-S02-C3</x:v>
      </x:c>
      <x:c r="B1921" t="str">
        <x:v>PC-PE-KG01-L24-20251023-PM-ORD-2025-00125-S02</x:v>
      </x:c>
      <x:c r="C1921" t="str">
        <x:v>PE-KG01-L24-20251023-PM-ORD-2025-00125</x:v>
      </x:c>
      <x:c r="D1921" t="str">
        <x:v>KG01</x:v>
      </x:c>
      <x:c r="E1921" s="62" t="n">
        <x:v>45953</x:v>
      </x:c>
      <x:c r="F1921" t="str">
        <x:v>PM</x:v>
      </x:c>
      <x:c r="G1921" t="str">
        <x:v>A</x:v>
      </x:c>
      <x:c r="H1921" t="n">
        <x:v>24</x:v>
      </x:c>
      <x:c r="I1921" t="str">
        <x:v>ORD-2025-00125</x:v>
      </x:c>
      <x:c r="J1921" t="n">
        <x:v>2</x:v>
      </x:c>
      <x:c r="K1921" t="n">
        <x:v>3</x:v>
      </x:c>
      <x:c r="L1921" t="str">
        <x:v>L24-S02-C3</x:v>
      </x:c>
      <x:c r="M1921" t="n">
        <x:v>1</x:v>
      </x:c>
      <x:c r="N1921" t="str">
        <x:v>DerivedFromCount</x:v>
      </x:c>
      <x:c r="O1921" t="str">
        <x:v>PLC-PRD-JAR-330-L24</x:v>
      </x:c>
      <x:c r="P1921" t="str">
        <x:v>OK</x:v>
      </x:c>
      <x:c r="Q1921" t="str">
        <x:v>OK</x:v>
      </x:c>
      <x:c r="R1921" t="str">
        <x:v>OK</x:v>
      </x:c>
      <x:c r="S1921" t="str">
        <x:v>OK</x:v>
      </x:c>
      <x:c r="T1921" t="n">
        <x:v>36</x:v>
      </x:c>
      <x:c r="U1921" t="str">
        <x:v>OK</x:v>
      </x:c>
      <x:c r="V1921" t="str">
        <x:v>OK</x:v>
      </x:c>
      <x:c r="W1921" t="str">
        <x:v>LOAD</x:v>
      </x:c>
      <x:c r="X1921" t="str">
        <x:v>02_Supervisor_Log(4).xlsx</x:v>
      </x:c>
      <x:c r="Y1921" t="str">
        <x:v>ENH-20260830-01</x:v>
      </x:c>
      <x:c r="Z1921" t="str">
        <x:v>Active</x:v>
      </x:c>
      <x:c r="AA1921"/>
      <x:c r="AB1921"/>
      <x:c r="AC1921"/>
      <x:c r="AD1921"/>
    </x:row>
    <x:row r="1922">
      <x:c r="A1922" t="str">
        <x:v>PCC-PE-KG01-L24-20251023-PM-ORD-2025-00125-S03-C1</x:v>
      </x:c>
      <x:c r="B1922" t="str">
        <x:v>PC-PE-KG01-L24-20251023-PM-ORD-2025-00125-S03</x:v>
      </x:c>
      <x:c r="C1922" t="str">
        <x:v>PE-KG01-L24-20251023-PM-ORD-2025-00125</x:v>
      </x:c>
      <x:c r="D1922" t="str">
        <x:v>KG01</x:v>
      </x:c>
      <x:c r="E1922" s="62" t="n">
        <x:v>45953</x:v>
      </x:c>
      <x:c r="F1922" t="str">
        <x:v>PM</x:v>
      </x:c>
      <x:c r="G1922" t="str">
        <x:v>A</x:v>
      </x:c>
      <x:c r="H1922" t="n">
        <x:v>24</x:v>
      </x:c>
      <x:c r="I1922" t="str">
        <x:v>ORD-2025-00125</x:v>
      </x:c>
      <x:c r="J1922" t="n">
        <x:v>3</x:v>
      </x:c>
      <x:c r="K1922" t="n">
        <x:v>1</x:v>
      </x:c>
      <x:c r="L1922" t="str">
        <x:v>L24-S03-C1</x:v>
      </x:c>
      <x:c r="M1922" t="n">
        <x:v>1</x:v>
      </x:c>
      <x:c r="N1922" t="str">
        <x:v>DerivedFromCount</x:v>
      </x:c>
      <x:c r="O1922" t="str">
        <x:v>PLC-PRD-JAR-330-L24</x:v>
      </x:c>
      <x:c r="P1922" t="str">
        <x:v>OK</x:v>
      </x:c>
      <x:c r="Q1922" t="str">
        <x:v>OK</x:v>
      </x:c>
      <x:c r="R1922" t="str">
        <x:v>OK</x:v>
      </x:c>
      <x:c r="S1922" t="str">
        <x:v>OK</x:v>
      </x:c>
      <x:c r="T1922" t="n">
        <x:v>36</x:v>
      </x:c>
      <x:c r="U1922" t="str">
        <x:v>OK</x:v>
      </x:c>
      <x:c r="V1922" t="str">
        <x:v>OK</x:v>
      </x:c>
      <x:c r="W1922" t="str">
        <x:v>LOAD</x:v>
      </x:c>
      <x:c r="X1922" t="str">
        <x:v>02_Supervisor_Log(4).xlsx</x:v>
      </x:c>
      <x:c r="Y1922" t="str">
        <x:v>ENH-20260830-01</x:v>
      </x:c>
      <x:c r="Z1922" t="str">
        <x:v>Active</x:v>
      </x:c>
      <x:c r="AA1922"/>
      <x:c r="AB1922"/>
      <x:c r="AC1922"/>
      <x:c r="AD1922"/>
    </x:row>
    <x:row r="1923">
      <x:c r="A1923" t="str">
        <x:v>PCC-PE-KG01-L24-20251023-PM-ORD-2025-00125-S03-C2</x:v>
      </x:c>
      <x:c r="B1923" t="str">
        <x:v>PC-PE-KG01-L24-20251023-PM-ORD-2025-00125-S03</x:v>
      </x:c>
      <x:c r="C1923" t="str">
        <x:v>PE-KG01-L24-20251023-PM-ORD-2025-00125</x:v>
      </x:c>
      <x:c r="D1923" t="str">
        <x:v>KG01</x:v>
      </x:c>
      <x:c r="E1923" s="62" t="n">
        <x:v>45953</x:v>
      </x:c>
      <x:c r="F1923" t="str">
        <x:v>PM</x:v>
      </x:c>
      <x:c r="G1923" t="str">
        <x:v>A</x:v>
      </x:c>
      <x:c r="H1923" t="n">
        <x:v>24</x:v>
      </x:c>
      <x:c r="I1923" t="str">
        <x:v>ORD-2025-00125</x:v>
      </x:c>
      <x:c r="J1923" t="n">
        <x:v>3</x:v>
      </x:c>
      <x:c r="K1923" t="n">
        <x:v>2</x:v>
      </x:c>
      <x:c r="L1923" t="str">
        <x:v>L24-S03-C2</x:v>
      </x:c>
      <x:c r="M1923" t="n">
        <x:v>1</x:v>
      </x:c>
      <x:c r="N1923" t="str">
        <x:v>DerivedFromCount</x:v>
      </x:c>
      <x:c r="O1923" t="str">
        <x:v>PLC-PRD-JAR-330-L24</x:v>
      </x:c>
      <x:c r="P1923" t="str">
        <x:v>OK</x:v>
      </x:c>
      <x:c r="Q1923" t="str">
        <x:v>OK</x:v>
      </x:c>
      <x:c r="R1923" t="str">
        <x:v>OK</x:v>
      </x:c>
      <x:c r="S1923" t="str">
        <x:v>OK</x:v>
      </x:c>
      <x:c r="T1923" t="n">
        <x:v>36</x:v>
      </x:c>
      <x:c r="U1923" t="str">
        <x:v>OK</x:v>
      </x:c>
      <x:c r="V1923" t="str">
        <x:v>OK</x:v>
      </x:c>
      <x:c r="W1923" t="str">
        <x:v>LOAD</x:v>
      </x:c>
      <x:c r="X1923" t="str">
        <x:v>02_Supervisor_Log(4).xlsx</x:v>
      </x:c>
      <x:c r="Y1923" t="str">
        <x:v>ENH-20260830-01</x:v>
      </x:c>
      <x:c r="Z1923" t="str">
        <x:v>Active</x:v>
      </x:c>
      <x:c r="AA1923"/>
      <x:c r="AB1923"/>
      <x:c r="AC1923"/>
      <x:c r="AD1923"/>
    </x:row>
    <x:row r="1924">
      <x:c r="A1924" t="str">
        <x:v>PCC-PE-KG01-L24-20251023-PM-ORD-2025-00125-S03-C3</x:v>
      </x:c>
      <x:c r="B1924" t="str">
        <x:v>PC-PE-KG01-L24-20251023-PM-ORD-2025-00125-S03</x:v>
      </x:c>
      <x:c r="C1924" t="str">
        <x:v>PE-KG01-L24-20251023-PM-ORD-2025-00125</x:v>
      </x:c>
      <x:c r="D1924" t="str">
        <x:v>KG01</x:v>
      </x:c>
      <x:c r="E1924" s="62" t="n">
        <x:v>45953</x:v>
      </x:c>
      <x:c r="F1924" t="str">
        <x:v>PM</x:v>
      </x:c>
      <x:c r="G1924" t="str">
        <x:v>A</x:v>
      </x:c>
      <x:c r="H1924" t="n">
        <x:v>24</x:v>
      </x:c>
      <x:c r="I1924" t="str">
        <x:v>ORD-2025-00125</x:v>
      </x:c>
      <x:c r="J1924" t="n">
        <x:v>3</x:v>
      </x:c>
      <x:c r="K1924" t="n">
        <x:v>3</x:v>
      </x:c>
      <x:c r="L1924" t="str">
        <x:v>L24-S03-C3</x:v>
      </x:c>
      <x:c r="M1924" t="n">
        <x:v>1</x:v>
      </x:c>
      <x:c r="N1924" t="str">
        <x:v>DerivedFromCount</x:v>
      </x:c>
      <x:c r="O1924" t="str">
        <x:v>PLC-PRD-JAR-330-L24</x:v>
      </x:c>
      <x:c r="P1924" t="str">
        <x:v>OK</x:v>
      </x:c>
      <x:c r="Q1924" t="str">
        <x:v>OK</x:v>
      </x:c>
      <x:c r="R1924" t="str">
        <x:v>OK</x:v>
      </x:c>
      <x:c r="S1924" t="str">
        <x:v>OK</x:v>
      </x:c>
      <x:c r="T1924" t="n">
        <x:v>36</x:v>
      </x:c>
      <x:c r="U1924" t="str">
        <x:v>OK</x:v>
      </x:c>
      <x:c r="V1924" t="str">
        <x:v>OK</x:v>
      </x:c>
      <x:c r="W1924" t="str">
        <x:v>LOAD</x:v>
      </x:c>
      <x:c r="X1924" t="str">
        <x:v>02_Supervisor_Log(4).xlsx</x:v>
      </x:c>
      <x:c r="Y1924" t="str">
        <x:v>ENH-20260830-01</x:v>
      </x:c>
      <x:c r="Z1924" t="str">
        <x:v>Active</x:v>
      </x:c>
      <x:c r="AA1924"/>
      <x:c r="AB1924"/>
      <x:c r="AC1924"/>
      <x:c r="AD1924"/>
    </x:row>
    <x:row r="1925">
      <x:c r="A1925" t="str">
        <x:v>PCC-PE-KG01-L24-20251023-PM-ORD-2025-00125-S04-C1</x:v>
      </x:c>
      <x:c r="B1925" t="str">
        <x:v>PC-PE-KG01-L24-20251023-PM-ORD-2025-00125-S04</x:v>
      </x:c>
      <x:c r="C1925" t="str">
        <x:v>PE-KG01-L24-20251023-PM-ORD-2025-00125</x:v>
      </x:c>
      <x:c r="D1925" t="str">
        <x:v>KG01</x:v>
      </x:c>
      <x:c r="E1925" s="62" t="n">
        <x:v>45953</x:v>
      </x:c>
      <x:c r="F1925" t="str">
        <x:v>PM</x:v>
      </x:c>
      <x:c r="G1925" t="str">
        <x:v>A</x:v>
      </x:c>
      <x:c r="H1925" t="n">
        <x:v>24</x:v>
      </x:c>
      <x:c r="I1925" t="str">
        <x:v>ORD-2025-00125</x:v>
      </x:c>
      <x:c r="J1925" t="n">
        <x:v>4</x:v>
      </x:c>
      <x:c r="K1925" t="n">
        <x:v>1</x:v>
      </x:c>
      <x:c r="L1925" t="str">
        <x:v>L24-S04-C1</x:v>
      </x:c>
      <x:c r="M1925" t="n">
        <x:v>1</x:v>
      </x:c>
      <x:c r="N1925" t="str">
        <x:v>DerivedFromCount</x:v>
      </x:c>
      <x:c r="O1925" t="str">
        <x:v>PLC-PRD-JAR-330-L24</x:v>
      </x:c>
      <x:c r="P1925" t="str">
        <x:v>OK</x:v>
      </x:c>
      <x:c r="Q1925" t="str">
        <x:v>OK</x:v>
      </x:c>
      <x:c r="R1925" t="str">
        <x:v>OK</x:v>
      </x:c>
      <x:c r="S1925" t="str">
        <x:v>OK</x:v>
      </x:c>
      <x:c r="T1925" t="n">
        <x:v>36</x:v>
      </x:c>
      <x:c r="U1925" t="str">
        <x:v>OK</x:v>
      </x:c>
      <x:c r="V1925" t="str">
        <x:v>OK</x:v>
      </x:c>
      <x:c r="W1925" t="str">
        <x:v>LOAD</x:v>
      </x:c>
      <x:c r="X1925" t="str">
        <x:v>02_Supervisor_Log(4).xlsx</x:v>
      </x:c>
      <x:c r="Y1925" t="str">
        <x:v>ENH-20260830-01</x:v>
      </x:c>
      <x:c r="Z1925" t="str">
        <x:v>Active</x:v>
      </x:c>
      <x:c r="AA1925"/>
      <x:c r="AB1925"/>
      <x:c r="AC1925"/>
      <x:c r="AD1925"/>
    </x:row>
    <x:row r="1926">
      <x:c r="A1926" t="str">
        <x:v>PCC-PE-KG01-L24-20251023-PM-ORD-2025-00125-S04-C2</x:v>
      </x:c>
      <x:c r="B1926" t="str">
        <x:v>PC-PE-KG01-L24-20251023-PM-ORD-2025-00125-S04</x:v>
      </x:c>
      <x:c r="C1926" t="str">
        <x:v>PE-KG01-L24-20251023-PM-ORD-2025-00125</x:v>
      </x:c>
      <x:c r="D1926" t="str">
        <x:v>KG01</x:v>
      </x:c>
      <x:c r="E1926" s="62" t="n">
        <x:v>45953</x:v>
      </x:c>
      <x:c r="F1926" t="str">
        <x:v>PM</x:v>
      </x:c>
      <x:c r="G1926" t="str">
        <x:v>A</x:v>
      </x:c>
      <x:c r="H1926" t="n">
        <x:v>24</x:v>
      </x:c>
      <x:c r="I1926" t="str">
        <x:v>ORD-2025-00125</x:v>
      </x:c>
      <x:c r="J1926" t="n">
        <x:v>4</x:v>
      </x:c>
      <x:c r="K1926" t="n">
        <x:v>2</x:v>
      </x:c>
      <x:c r="L1926" t="str">
        <x:v>L24-S04-C2</x:v>
      </x:c>
      <x:c r="M1926" t="n">
        <x:v>1</x:v>
      </x:c>
      <x:c r="N1926" t="str">
        <x:v>DerivedFromCount</x:v>
      </x:c>
      <x:c r="O1926" t="str">
        <x:v>PLC-PRD-JAR-330-L24</x:v>
      </x:c>
      <x:c r="P1926" t="str">
        <x:v>OK</x:v>
      </x:c>
      <x:c r="Q1926" t="str">
        <x:v>OK</x:v>
      </x:c>
      <x:c r="R1926" t="str">
        <x:v>OK</x:v>
      </x:c>
      <x:c r="S1926" t="str">
        <x:v>OK</x:v>
      </x:c>
      <x:c r="T1926" t="n">
        <x:v>36</x:v>
      </x:c>
      <x:c r="U1926" t="str">
        <x:v>OK</x:v>
      </x:c>
      <x:c r="V1926" t="str">
        <x:v>OK</x:v>
      </x:c>
      <x:c r="W1926" t="str">
        <x:v>LOAD</x:v>
      </x:c>
      <x:c r="X1926" t="str">
        <x:v>02_Supervisor_Log(4).xlsx</x:v>
      </x:c>
      <x:c r="Y1926" t="str">
        <x:v>ENH-20260830-01</x:v>
      </x:c>
      <x:c r="Z1926" t="str">
        <x:v>Active</x:v>
      </x:c>
      <x:c r="AA1926"/>
      <x:c r="AB1926"/>
      <x:c r="AC1926"/>
      <x:c r="AD1926"/>
    </x:row>
    <x:row r="1927">
      <x:c r="A1927" t="str">
        <x:v>PCC-PE-KG01-L24-20251023-PM-ORD-2025-00125-S04-C3</x:v>
      </x:c>
      <x:c r="B1927" t="str">
        <x:v>PC-PE-KG01-L24-20251023-PM-ORD-2025-00125-S04</x:v>
      </x:c>
      <x:c r="C1927" t="str">
        <x:v>PE-KG01-L24-20251023-PM-ORD-2025-00125</x:v>
      </x:c>
      <x:c r="D1927" t="str">
        <x:v>KG01</x:v>
      </x:c>
      <x:c r="E1927" s="62" t="n">
        <x:v>45953</x:v>
      </x:c>
      <x:c r="F1927" t="str">
        <x:v>PM</x:v>
      </x:c>
      <x:c r="G1927" t="str">
        <x:v>A</x:v>
      </x:c>
      <x:c r="H1927" t="n">
        <x:v>24</x:v>
      </x:c>
      <x:c r="I1927" t="str">
        <x:v>ORD-2025-00125</x:v>
      </x:c>
      <x:c r="J1927" t="n">
        <x:v>4</x:v>
      </x:c>
      <x:c r="K1927" t="n">
        <x:v>3</x:v>
      </x:c>
      <x:c r="L1927" t="str">
        <x:v>L24-S04-C3</x:v>
      </x:c>
      <x:c r="M1927" t="n">
        <x:v>1</x:v>
      </x:c>
      <x:c r="N1927" t="str">
        <x:v>DerivedFromCount</x:v>
      </x:c>
      <x:c r="O1927" t="str">
        <x:v>PLC-PRD-JAR-330-L24</x:v>
      </x:c>
      <x:c r="P1927" t="str">
        <x:v>OK</x:v>
      </x:c>
      <x:c r="Q1927" t="str">
        <x:v>OK</x:v>
      </x:c>
      <x:c r="R1927" t="str">
        <x:v>OK</x:v>
      </x:c>
      <x:c r="S1927" t="str">
        <x:v>OK</x:v>
      </x:c>
      <x:c r="T1927" t="n">
        <x:v>36</x:v>
      </x:c>
      <x:c r="U1927" t="str">
        <x:v>OK</x:v>
      </x:c>
      <x:c r="V1927" t="str">
        <x:v>OK</x:v>
      </x:c>
      <x:c r="W1927" t="str">
        <x:v>LOAD</x:v>
      </x:c>
      <x:c r="X1927" t="str">
        <x:v>02_Supervisor_Log(4).xlsx</x:v>
      </x:c>
      <x:c r="Y1927" t="str">
        <x:v>ENH-20260830-01</x:v>
      </x:c>
      <x:c r="Z1927" t="str">
        <x:v>Active</x:v>
      </x:c>
      <x:c r="AA1927"/>
      <x:c r="AB1927"/>
      <x:c r="AC1927"/>
      <x:c r="AD1927"/>
    </x:row>
    <x:row r="1928">
      <x:c r="A1928" t="str">
        <x:v>PCC-PE-KG01-L24-20251023-PM-ORD-2025-00125-S05-C1</x:v>
      </x:c>
      <x:c r="B1928" t="str">
        <x:v>PC-PE-KG01-L24-20251023-PM-ORD-2025-00125-S05</x:v>
      </x:c>
      <x:c r="C1928" t="str">
        <x:v>PE-KG01-L24-20251023-PM-ORD-2025-00125</x:v>
      </x:c>
      <x:c r="D1928" t="str">
        <x:v>KG01</x:v>
      </x:c>
      <x:c r="E1928" s="62" t="n">
        <x:v>45953</x:v>
      </x:c>
      <x:c r="F1928" t="str">
        <x:v>PM</x:v>
      </x:c>
      <x:c r="G1928" t="str">
        <x:v>A</x:v>
      </x:c>
      <x:c r="H1928" t="n">
        <x:v>24</x:v>
      </x:c>
      <x:c r="I1928" t="str">
        <x:v>ORD-2025-00125</x:v>
      </x:c>
      <x:c r="J1928" t="n">
        <x:v>5</x:v>
      </x:c>
      <x:c r="K1928" t="n">
        <x:v>1</x:v>
      </x:c>
      <x:c r="L1928" t="str">
        <x:v>L24-S05-C1</x:v>
      </x:c>
      <x:c r="M1928" t="n">
        <x:v>1</x:v>
      </x:c>
      <x:c r="N1928" t="str">
        <x:v>DerivedFromCount</x:v>
      </x:c>
      <x:c r="O1928" t="str">
        <x:v>PLC-PRD-JAR-330-L24</x:v>
      </x:c>
      <x:c r="P1928" t="str">
        <x:v>OK</x:v>
      </x:c>
      <x:c r="Q1928" t="str">
        <x:v>OK</x:v>
      </x:c>
      <x:c r="R1928" t="str">
        <x:v>OK</x:v>
      </x:c>
      <x:c r="S1928" t="str">
        <x:v>OK</x:v>
      </x:c>
      <x:c r="T1928" t="n">
        <x:v>36</x:v>
      </x:c>
      <x:c r="U1928" t="str">
        <x:v>OK</x:v>
      </x:c>
      <x:c r="V1928" t="str">
        <x:v>OK</x:v>
      </x:c>
      <x:c r="W1928" t="str">
        <x:v>LOAD</x:v>
      </x:c>
      <x:c r="X1928" t="str">
        <x:v>02_Supervisor_Log(4).xlsx</x:v>
      </x:c>
      <x:c r="Y1928" t="str">
        <x:v>ENH-20260830-01</x:v>
      </x:c>
      <x:c r="Z1928" t="str">
        <x:v>Active</x:v>
      </x:c>
      <x:c r="AA1928"/>
      <x:c r="AB1928"/>
      <x:c r="AC1928"/>
      <x:c r="AD1928"/>
    </x:row>
    <x:row r="1929">
      <x:c r="A1929" t="str">
        <x:v>PCC-PE-KG01-L24-20251023-PM-ORD-2025-00125-S05-C2</x:v>
      </x:c>
      <x:c r="B1929" t="str">
        <x:v>PC-PE-KG01-L24-20251023-PM-ORD-2025-00125-S05</x:v>
      </x:c>
      <x:c r="C1929" t="str">
        <x:v>PE-KG01-L24-20251023-PM-ORD-2025-00125</x:v>
      </x:c>
      <x:c r="D1929" t="str">
        <x:v>KG01</x:v>
      </x:c>
      <x:c r="E1929" s="62" t="n">
        <x:v>45953</x:v>
      </x:c>
      <x:c r="F1929" t="str">
        <x:v>PM</x:v>
      </x:c>
      <x:c r="G1929" t="str">
        <x:v>A</x:v>
      </x:c>
      <x:c r="H1929" t="n">
        <x:v>24</x:v>
      </x:c>
      <x:c r="I1929" t="str">
        <x:v>ORD-2025-00125</x:v>
      </x:c>
      <x:c r="J1929" t="n">
        <x:v>5</x:v>
      </x:c>
      <x:c r="K1929" t="n">
        <x:v>2</x:v>
      </x:c>
      <x:c r="L1929" t="str">
        <x:v>L24-S05-C2</x:v>
      </x:c>
      <x:c r="M1929" t="n">
        <x:v>1</x:v>
      </x:c>
      <x:c r="N1929" t="str">
        <x:v>DerivedFromCount</x:v>
      </x:c>
      <x:c r="O1929" t="str">
        <x:v>PLC-PRD-JAR-330-L24</x:v>
      </x:c>
      <x:c r="P1929" t="str">
        <x:v>OK</x:v>
      </x:c>
      <x:c r="Q1929" t="str">
        <x:v>OK</x:v>
      </x:c>
      <x:c r="R1929" t="str">
        <x:v>OK</x:v>
      </x:c>
      <x:c r="S1929" t="str">
        <x:v>OK</x:v>
      </x:c>
      <x:c r="T1929" t="n">
        <x:v>36</x:v>
      </x:c>
      <x:c r="U1929" t="str">
        <x:v>OK</x:v>
      </x:c>
      <x:c r="V1929" t="str">
        <x:v>OK</x:v>
      </x:c>
      <x:c r="W1929" t="str">
        <x:v>LOAD</x:v>
      </x:c>
      <x:c r="X1929" t="str">
        <x:v>02_Supervisor_Log(4).xlsx</x:v>
      </x:c>
      <x:c r="Y1929" t="str">
        <x:v>ENH-20260830-01</x:v>
      </x:c>
      <x:c r="Z1929" t="str">
        <x:v>Active</x:v>
      </x:c>
      <x:c r="AA1929"/>
      <x:c r="AB1929"/>
      <x:c r="AC1929"/>
      <x:c r="AD1929"/>
    </x:row>
    <x:row r="1930">
      <x:c r="A1930" t="str">
        <x:v>PCC-PE-KG01-L24-20251023-PM-ORD-2025-00125-S05-C3</x:v>
      </x:c>
      <x:c r="B1930" t="str">
        <x:v>PC-PE-KG01-L24-20251023-PM-ORD-2025-00125-S05</x:v>
      </x:c>
      <x:c r="C1930" t="str">
        <x:v>PE-KG01-L24-20251023-PM-ORD-2025-00125</x:v>
      </x:c>
      <x:c r="D1930" t="str">
        <x:v>KG01</x:v>
      </x:c>
      <x:c r="E1930" s="62" t="n">
        <x:v>45953</x:v>
      </x:c>
      <x:c r="F1930" t="str">
        <x:v>PM</x:v>
      </x:c>
      <x:c r="G1930" t="str">
        <x:v>A</x:v>
      </x:c>
      <x:c r="H1930" t="n">
        <x:v>24</x:v>
      </x:c>
      <x:c r="I1930" t="str">
        <x:v>ORD-2025-00125</x:v>
      </x:c>
      <x:c r="J1930" t="n">
        <x:v>5</x:v>
      </x:c>
      <x:c r="K1930" t="n">
        <x:v>3</x:v>
      </x:c>
      <x:c r="L1930" t="str">
        <x:v>L24-S05-C3</x:v>
      </x:c>
      <x:c r="M1930" t="n">
        <x:v>1</x:v>
      </x:c>
      <x:c r="N1930" t="str">
        <x:v>DerivedFromCount</x:v>
      </x:c>
      <x:c r="O1930" t="str">
        <x:v>PLC-PRD-JAR-330-L24</x:v>
      </x:c>
      <x:c r="P1930" t="str">
        <x:v>OK</x:v>
      </x:c>
      <x:c r="Q1930" t="str">
        <x:v>OK</x:v>
      </x:c>
      <x:c r="R1930" t="str">
        <x:v>OK</x:v>
      </x:c>
      <x:c r="S1930" t="str">
        <x:v>OK</x:v>
      </x:c>
      <x:c r="T1930" t="n">
        <x:v>36</x:v>
      </x:c>
      <x:c r="U1930" t="str">
        <x:v>OK</x:v>
      </x:c>
      <x:c r="V1930" t="str">
        <x:v>OK</x:v>
      </x:c>
      <x:c r="W1930" t="str">
        <x:v>LOAD</x:v>
      </x:c>
      <x:c r="X1930" t="str">
        <x:v>02_Supervisor_Log(4).xlsx</x:v>
      </x:c>
      <x:c r="Y1930" t="str">
        <x:v>ENH-20260830-01</x:v>
      </x:c>
      <x:c r="Z1930" t="str">
        <x:v>Active</x:v>
      </x:c>
      <x:c r="AA1930"/>
      <x:c r="AB1930"/>
      <x:c r="AC1930"/>
      <x:c r="AD1930"/>
    </x:row>
    <x:row r="1931">
      <x:c r="A1931" t="str">
        <x:v>PCC-PE-KG01-L24-20251023-PM-ORD-2025-00125-S06-C1</x:v>
      </x:c>
      <x:c r="B1931" t="str">
        <x:v>PC-PE-KG01-L24-20251023-PM-ORD-2025-00125-S06</x:v>
      </x:c>
      <x:c r="C1931" t="str">
        <x:v>PE-KG01-L24-20251023-PM-ORD-2025-00125</x:v>
      </x:c>
      <x:c r="D1931" t="str">
        <x:v>KG01</x:v>
      </x:c>
      <x:c r="E1931" s="62" t="n">
        <x:v>45953</x:v>
      </x:c>
      <x:c r="F1931" t="str">
        <x:v>PM</x:v>
      </x:c>
      <x:c r="G1931" t="str">
        <x:v>A</x:v>
      </x:c>
      <x:c r="H1931" t="n">
        <x:v>24</x:v>
      </x:c>
      <x:c r="I1931" t="str">
        <x:v>ORD-2025-00125</x:v>
      </x:c>
      <x:c r="J1931" t="n">
        <x:v>6</x:v>
      </x:c>
      <x:c r="K1931" t="n">
        <x:v>1</x:v>
      </x:c>
      <x:c r="L1931" t="str">
        <x:v>L24-S06-C1</x:v>
      </x:c>
      <x:c r="M1931" t="n">
        <x:v>1</x:v>
      </x:c>
      <x:c r="N1931" t="str">
        <x:v>DerivedFromCount</x:v>
      </x:c>
      <x:c r="O1931" t="str">
        <x:v>PLC-PRD-JAR-330-L24</x:v>
      </x:c>
      <x:c r="P1931" t="str">
        <x:v>OK</x:v>
      </x:c>
      <x:c r="Q1931" t="str">
        <x:v>OK</x:v>
      </x:c>
      <x:c r="R1931" t="str">
        <x:v>OK</x:v>
      </x:c>
      <x:c r="S1931" t="str">
        <x:v>OK</x:v>
      </x:c>
      <x:c r="T1931" t="n">
        <x:v>36</x:v>
      </x:c>
      <x:c r="U1931" t="str">
        <x:v>OK</x:v>
      </x:c>
      <x:c r="V1931" t="str">
        <x:v>OK</x:v>
      </x:c>
      <x:c r="W1931" t="str">
        <x:v>LOAD</x:v>
      </x:c>
      <x:c r="X1931" t="str">
        <x:v>02_Supervisor_Log(4).xlsx</x:v>
      </x:c>
      <x:c r="Y1931" t="str">
        <x:v>ENH-20260830-01</x:v>
      </x:c>
      <x:c r="Z1931" t="str">
        <x:v>Active</x:v>
      </x:c>
      <x:c r="AA1931"/>
      <x:c r="AB1931"/>
      <x:c r="AC1931"/>
      <x:c r="AD1931"/>
    </x:row>
    <x:row r="1932">
      <x:c r="A1932" t="str">
        <x:v>PCC-PE-KG01-L24-20251023-PM-ORD-2025-00125-S06-C2</x:v>
      </x:c>
      <x:c r="B1932" t="str">
        <x:v>PC-PE-KG01-L24-20251023-PM-ORD-2025-00125-S06</x:v>
      </x:c>
      <x:c r="C1932" t="str">
        <x:v>PE-KG01-L24-20251023-PM-ORD-2025-00125</x:v>
      </x:c>
      <x:c r="D1932" t="str">
        <x:v>KG01</x:v>
      </x:c>
      <x:c r="E1932" s="62" t="n">
        <x:v>45953</x:v>
      </x:c>
      <x:c r="F1932" t="str">
        <x:v>PM</x:v>
      </x:c>
      <x:c r="G1932" t="str">
        <x:v>A</x:v>
      </x:c>
      <x:c r="H1932" t="n">
        <x:v>24</x:v>
      </x:c>
      <x:c r="I1932" t="str">
        <x:v>ORD-2025-00125</x:v>
      </x:c>
      <x:c r="J1932" t="n">
        <x:v>6</x:v>
      </x:c>
      <x:c r="K1932" t="n">
        <x:v>2</x:v>
      </x:c>
      <x:c r="L1932" t="str">
        <x:v>L24-S06-C2</x:v>
      </x:c>
      <x:c r="M1932" t="n">
        <x:v>1</x:v>
      </x:c>
      <x:c r="N1932" t="str">
        <x:v>DerivedFromCount</x:v>
      </x:c>
      <x:c r="O1932" t="str">
        <x:v>PLC-PRD-JAR-330-L24</x:v>
      </x:c>
      <x:c r="P1932" t="str">
        <x:v>OK</x:v>
      </x:c>
      <x:c r="Q1932" t="str">
        <x:v>OK</x:v>
      </x:c>
      <x:c r="R1932" t="str">
        <x:v>OK</x:v>
      </x:c>
      <x:c r="S1932" t="str">
        <x:v>OK</x:v>
      </x:c>
      <x:c r="T1932" t="n">
        <x:v>36</x:v>
      </x:c>
      <x:c r="U1932" t="str">
        <x:v>OK</x:v>
      </x:c>
      <x:c r="V1932" t="str">
        <x:v>OK</x:v>
      </x:c>
      <x:c r="W1932" t="str">
        <x:v>LOAD</x:v>
      </x:c>
      <x:c r="X1932" t="str">
        <x:v>02_Supervisor_Log(4).xlsx</x:v>
      </x:c>
      <x:c r="Y1932" t="str">
        <x:v>ENH-20260830-01</x:v>
      </x:c>
      <x:c r="Z1932" t="str">
        <x:v>Active</x:v>
      </x:c>
      <x:c r="AA1932"/>
      <x:c r="AB1932"/>
      <x:c r="AC1932"/>
      <x:c r="AD1932"/>
    </x:row>
    <x:row r="1933">
      <x:c r="A1933" t="str">
        <x:v>PCC-PE-KG01-L24-20251023-PM-ORD-2025-00125-S06-C3</x:v>
      </x:c>
      <x:c r="B1933" t="str">
        <x:v>PC-PE-KG01-L24-20251023-PM-ORD-2025-00125-S06</x:v>
      </x:c>
      <x:c r="C1933" t="str">
        <x:v>PE-KG01-L24-20251023-PM-ORD-2025-00125</x:v>
      </x:c>
      <x:c r="D1933" t="str">
        <x:v>KG01</x:v>
      </x:c>
      <x:c r="E1933" s="62" t="n">
        <x:v>45953</x:v>
      </x:c>
      <x:c r="F1933" t="str">
        <x:v>PM</x:v>
      </x:c>
      <x:c r="G1933" t="str">
        <x:v>A</x:v>
      </x:c>
      <x:c r="H1933" t="n">
        <x:v>24</x:v>
      </x:c>
      <x:c r="I1933" t="str">
        <x:v>ORD-2025-00125</x:v>
      </x:c>
      <x:c r="J1933" t="n">
        <x:v>6</x:v>
      </x:c>
      <x:c r="K1933" t="n">
        <x:v>3</x:v>
      </x:c>
      <x:c r="L1933" t="str">
        <x:v>L24-S06-C3</x:v>
      </x:c>
      <x:c r="M1933" t="n">
        <x:v>1</x:v>
      </x:c>
      <x:c r="N1933" t="str">
        <x:v>DerivedFromCount</x:v>
      </x:c>
      <x:c r="O1933" t="str">
        <x:v>PLC-PRD-JAR-330-L24</x:v>
      </x:c>
      <x:c r="P1933" t="str">
        <x:v>OK</x:v>
      </x:c>
      <x:c r="Q1933" t="str">
        <x:v>OK</x:v>
      </x:c>
      <x:c r="R1933" t="str">
        <x:v>OK</x:v>
      </x:c>
      <x:c r="S1933" t="str">
        <x:v>OK</x:v>
      </x:c>
      <x:c r="T1933" t="n">
        <x:v>36</x:v>
      </x:c>
      <x:c r="U1933" t="str">
        <x:v>OK</x:v>
      </x:c>
      <x:c r="V1933" t="str">
        <x:v>OK</x:v>
      </x:c>
      <x:c r="W1933" t="str">
        <x:v>LOAD</x:v>
      </x:c>
      <x:c r="X1933" t="str">
        <x:v>02_Supervisor_Log(4).xlsx</x:v>
      </x:c>
      <x:c r="Y1933" t="str">
        <x:v>ENH-20260830-01</x:v>
      </x:c>
      <x:c r="Z1933" t="str">
        <x:v>Active</x:v>
      </x:c>
      <x:c r="AA1933"/>
      <x:c r="AB1933"/>
      <x:c r="AC1933"/>
      <x:c r="AD1933"/>
    </x:row>
    <x:row r="1934">
      <x:c r="A1934" t="str">
        <x:v>PCC-PE-KG01-L24-20251023-PM-ORD-2025-00125-S07-C1</x:v>
      </x:c>
      <x:c r="B1934" t="str">
        <x:v>PC-PE-KG01-L24-20251023-PM-ORD-2025-00125-S07</x:v>
      </x:c>
      <x:c r="C1934" t="str">
        <x:v>PE-KG01-L24-20251023-PM-ORD-2025-00125</x:v>
      </x:c>
      <x:c r="D1934" t="str">
        <x:v>KG01</x:v>
      </x:c>
      <x:c r="E1934" s="62" t="n">
        <x:v>45953</x:v>
      </x:c>
      <x:c r="F1934" t="str">
        <x:v>PM</x:v>
      </x:c>
      <x:c r="G1934" t="str">
        <x:v>A</x:v>
      </x:c>
      <x:c r="H1934" t="n">
        <x:v>24</x:v>
      </x:c>
      <x:c r="I1934" t="str">
        <x:v>ORD-2025-00125</x:v>
      </x:c>
      <x:c r="J1934" t="n">
        <x:v>7</x:v>
      </x:c>
      <x:c r="K1934" t="n">
        <x:v>1</x:v>
      </x:c>
      <x:c r="L1934" t="str">
        <x:v>L24-S07-C1</x:v>
      </x:c>
      <x:c r="M1934" t="n">
        <x:v>1</x:v>
      </x:c>
      <x:c r="N1934" t="str">
        <x:v>DerivedFromCount</x:v>
      </x:c>
      <x:c r="O1934" t="str">
        <x:v>PLC-PRD-JAR-330-L24</x:v>
      </x:c>
      <x:c r="P1934" t="str">
        <x:v>OK</x:v>
      </x:c>
      <x:c r="Q1934" t="str">
        <x:v>OK</x:v>
      </x:c>
      <x:c r="R1934" t="str">
        <x:v>OK</x:v>
      </x:c>
      <x:c r="S1934" t="str">
        <x:v>OK</x:v>
      </x:c>
      <x:c r="T1934" t="n">
        <x:v>36</x:v>
      </x:c>
      <x:c r="U1934" t="str">
        <x:v>OK</x:v>
      </x:c>
      <x:c r="V1934" t="str">
        <x:v>OK</x:v>
      </x:c>
      <x:c r="W1934" t="str">
        <x:v>LOAD</x:v>
      </x:c>
      <x:c r="X1934" t="str">
        <x:v>02_Supervisor_Log(4).xlsx</x:v>
      </x:c>
      <x:c r="Y1934" t="str">
        <x:v>ENH-20260830-01</x:v>
      </x:c>
      <x:c r="Z1934" t="str">
        <x:v>Active</x:v>
      </x:c>
      <x:c r="AA1934"/>
      <x:c r="AB1934"/>
      <x:c r="AC1934"/>
      <x:c r="AD1934"/>
    </x:row>
    <x:row r="1935">
      <x:c r="A1935" t="str">
        <x:v>PCC-PE-KG01-L24-20251023-PM-ORD-2025-00125-S07-C2</x:v>
      </x:c>
      <x:c r="B1935" t="str">
        <x:v>PC-PE-KG01-L24-20251023-PM-ORD-2025-00125-S07</x:v>
      </x:c>
      <x:c r="C1935" t="str">
        <x:v>PE-KG01-L24-20251023-PM-ORD-2025-00125</x:v>
      </x:c>
      <x:c r="D1935" t="str">
        <x:v>KG01</x:v>
      </x:c>
      <x:c r="E1935" s="62" t="n">
        <x:v>45953</x:v>
      </x:c>
      <x:c r="F1935" t="str">
        <x:v>PM</x:v>
      </x:c>
      <x:c r="G1935" t="str">
        <x:v>A</x:v>
      </x:c>
      <x:c r="H1935" t="n">
        <x:v>24</x:v>
      </x:c>
      <x:c r="I1935" t="str">
        <x:v>ORD-2025-00125</x:v>
      </x:c>
      <x:c r="J1935" t="n">
        <x:v>7</x:v>
      </x:c>
      <x:c r="K1935" t="n">
        <x:v>2</x:v>
      </x:c>
      <x:c r="L1935" t="str">
        <x:v>L24-S07-C2</x:v>
      </x:c>
      <x:c r="M1935" t="n">
        <x:v>1</x:v>
      </x:c>
      <x:c r="N1935" t="str">
        <x:v>DerivedFromCount</x:v>
      </x:c>
      <x:c r="O1935" t="str">
        <x:v>PLC-PRD-JAR-330-L24</x:v>
      </x:c>
      <x:c r="P1935" t="str">
        <x:v>OK</x:v>
      </x:c>
      <x:c r="Q1935" t="str">
        <x:v>OK</x:v>
      </x:c>
      <x:c r="R1935" t="str">
        <x:v>OK</x:v>
      </x:c>
      <x:c r="S1935" t="str">
        <x:v>OK</x:v>
      </x:c>
      <x:c r="T1935" t="n">
        <x:v>36</x:v>
      </x:c>
      <x:c r="U1935" t="str">
        <x:v>OK</x:v>
      </x:c>
      <x:c r="V1935" t="str">
        <x:v>OK</x:v>
      </x:c>
      <x:c r="W1935" t="str">
        <x:v>LOAD</x:v>
      </x:c>
      <x:c r="X1935" t="str">
        <x:v>02_Supervisor_Log(4).xlsx</x:v>
      </x:c>
      <x:c r="Y1935" t="str">
        <x:v>ENH-20260830-01</x:v>
      </x:c>
      <x:c r="Z1935" t="str">
        <x:v>Active</x:v>
      </x:c>
      <x:c r="AA1935"/>
      <x:c r="AB1935"/>
      <x:c r="AC1935"/>
      <x:c r="AD1935"/>
    </x:row>
    <x:row r="1936">
      <x:c r="A1936" t="str">
        <x:v>PCC-PE-KG01-L24-20251023-PM-ORD-2025-00125-S07-C3</x:v>
      </x:c>
      <x:c r="B1936" t="str">
        <x:v>PC-PE-KG01-L24-20251023-PM-ORD-2025-00125-S07</x:v>
      </x:c>
      <x:c r="C1936" t="str">
        <x:v>PE-KG01-L24-20251023-PM-ORD-2025-00125</x:v>
      </x:c>
      <x:c r="D1936" t="str">
        <x:v>KG01</x:v>
      </x:c>
      <x:c r="E1936" s="62" t="n">
        <x:v>45953</x:v>
      </x:c>
      <x:c r="F1936" t="str">
        <x:v>PM</x:v>
      </x:c>
      <x:c r="G1936" t="str">
        <x:v>A</x:v>
      </x:c>
      <x:c r="H1936" t="n">
        <x:v>24</x:v>
      </x:c>
      <x:c r="I1936" t="str">
        <x:v>ORD-2025-00125</x:v>
      </x:c>
      <x:c r="J1936" t="n">
        <x:v>7</x:v>
      </x:c>
      <x:c r="K1936" t="n">
        <x:v>3</x:v>
      </x:c>
      <x:c r="L1936" t="str">
        <x:v>L24-S07-C3</x:v>
      </x:c>
      <x:c r="M1936" t="n">
        <x:v>1</x:v>
      </x:c>
      <x:c r="N1936" t="str">
        <x:v>DerivedFromCount</x:v>
      </x:c>
      <x:c r="O1936" t="str">
        <x:v>PLC-PRD-JAR-330-L24</x:v>
      </x:c>
      <x:c r="P1936" t="str">
        <x:v>OK</x:v>
      </x:c>
      <x:c r="Q1936" t="str">
        <x:v>OK</x:v>
      </x:c>
      <x:c r="R1936" t="str">
        <x:v>OK</x:v>
      </x:c>
      <x:c r="S1936" t="str">
        <x:v>OK</x:v>
      </x:c>
      <x:c r="T1936" t="n">
        <x:v>36</x:v>
      </x:c>
      <x:c r="U1936" t="str">
        <x:v>OK</x:v>
      </x:c>
      <x:c r="V1936" t="str">
        <x:v>OK</x:v>
      </x:c>
      <x:c r="W1936" t="str">
        <x:v>LOAD</x:v>
      </x:c>
      <x:c r="X1936" t="str">
        <x:v>02_Supervisor_Log(4).xlsx</x:v>
      </x:c>
      <x:c r="Y1936" t="str">
        <x:v>ENH-20260830-01</x:v>
      </x:c>
      <x:c r="Z1936" t="str">
        <x:v>Active</x:v>
      </x:c>
      <x:c r="AA1936"/>
      <x:c r="AB1936"/>
      <x:c r="AC1936"/>
      <x:c r="AD1936"/>
    </x:row>
    <x:row r="1937">
      <x:c r="A1937" t="str">
        <x:v>PCC-PE-KG01-L24-20251023-PM-ORD-2025-00125-S08-C1</x:v>
      </x:c>
      <x:c r="B1937" t="str">
        <x:v>PC-PE-KG01-L24-20251023-PM-ORD-2025-00125-S08</x:v>
      </x:c>
      <x:c r="C1937" t="str">
        <x:v>PE-KG01-L24-20251023-PM-ORD-2025-00125</x:v>
      </x:c>
      <x:c r="D1937" t="str">
        <x:v>KG01</x:v>
      </x:c>
      <x:c r="E1937" s="62" t="n">
        <x:v>45953</x:v>
      </x:c>
      <x:c r="F1937" t="str">
        <x:v>PM</x:v>
      </x:c>
      <x:c r="G1937" t="str">
        <x:v>A</x:v>
      </x:c>
      <x:c r="H1937" t="n">
        <x:v>24</x:v>
      </x:c>
      <x:c r="I1937" t="str">
        <x:v>ORD-2025-00125</x:v>
      </x:c>
      <x:c r="J1937" t="n">
        <x:v>8</x:v>
      </x:c>
      <x:c r="K1937" t="n">
        <x:v>1</x:v>
      </x:c>
      <x:c r="L1937" t="str">
        <x:v>L24-S08-C1</x:v>
      </x:c>
      <x:c r="M1937" t="n">
        <x:v>1</x:v>
      </x:c>
      <x:c r="N1937" t="str">
        <x:v>DerivedFromCount</x:v>
      </x:c>
      <x:c r="O1937" t="str">
        <x:v>PLC-PRD-JAR-330-L24</x:v>
      </x:c>
      <x:c r="P1937" t="str">
        <x:v>OK</x:v>
      </x:c>
      <x:c r="Q1937" t="str">
        <x:v>OK</x:v>
      </x:c>
      <x:c r="R1937" t="str">
        <x:v>OK</x:v>
      </x:c>
      <x:c r="S1937" t="str">
        <x:v>OK</x:v>
      </x:c>
      <x:c r="T1937" t="n">
        <x:v>36</x:v>
      </x:c>
      <x:c r="U1937" t="str">
        <x:v>OK</x:v>
      </x:c>
      <x:c r="V1937" t="str">
        <x:v>OK</x:v>
      </x:c>
      <x:c r="W1937" t="str">
        <x:v>LOAD</x:v>
      </x:c>
      <x:c r="X1937" t="str">
        <x:v>02_Supervisor_Log(4).xlsx</x:v>
      </x:c>
      <x:c r="Y1937" t="str">
        <x:v>ENH-20260830-01</x:v>
      </x:c>
      <x:c r="Z1937" t="str">
        <x:v>Active</x:v>
      </x:c>
      <x:c r="AA1937"/>
      <x:c r="AB1937"/>
      <x:c r="AC1937"/>
      <x:c r="AD1937"/>
    </x:row>
    <x:row r="1938">
      <x:c r="A1938" t="str">
        <x:v>PCC-PE-KG01-L24-20251023-PM-ORD-2025-00125-S08-C2</x:v>
      </x:c>
      <x:c r="B1938" t="str">
        <x:v>PC-PE-KG01-L24-20251023-PM-ORD-2025-00125-S08</x:v>
      </x:c>
      <x:c r="C1938" t="str">
        <x:v>PE-KG01-L24-20251023-PM-ORD-2025-00125</x:v>
      </x:c>
      <x:c r="D1938" t="str">
        <x:v>KG01</x:v>
      </x:c>
      <x:c r="E1938" s="62" t="n">
        <x:v>45953</x:v>
      </x:c>
      <x:c r="F1938" t="str">
        <x:v>PM</x:v>
      </x:c>
      <x:c r="G1938" t="str">
        <x:v>A</x:v>
      </x:c>
      <x:c r="H1938" t="n">
        <x:v>24</x:v>
      </x:c>
      <x:c r="I1938" t="str">
        <x:v>ORD-2025-00125</x:v>
      </x:c>
      <x:c r="J1938" t="n">
        <x:v>8</x:v>
      </x:c>
      <x:c r="K1938" t="n">
        <x:v>2</x:v>
      </x:c>
      <x:c r="L1938" t="str">
        <x:v>L24-S08-C2</x:v>
      </x:c>
      <x:c r="M1938" t="n">
        <x:v>1</x:v>
      </x:c>
      <x:c r="N1938" t="str">
        <x:v>DerivedFromCount</x:v>
      </x:c>
      <x:c r="O1938" t="str">
        <x:v>PLC-PRD-JAR-330-L24</x:v>
      </x:c>
      <x:c r="P1938" t="str">
        <x:v>OK</x:v>
      </x:c>
      <x:c r="Q1938" t="str">
        <x:v>OK</x:v>
      </x:c>
      <x:c r="R1938" t="str">
        <x:v>OK</x:v>
      </x:c>
      <x:c r="S1938" t="str">
        <x:v>OK</x:v>
      </x:c>
      <x:c r="T1938" t="n">
        <x:v>36</x:v>
      </x:c>
      <x:c r="U1938" t="str">
        <x:v>OK</x:v>
      </x:c>
      <x:c r="V1938" t="str">
        <x:v>OK</x:v>
      </x:c>
      <x:c r="W1938" t="str">
        <x:v>LOAD</x:v>
      </x:c>
      <x:c r="X1938" t="str">
        <x:v>02_Supervisor_Log(4).xlsx</x:v>
      </x:c>
      <x:c r="Y1938" t="str">
        <x:v>ENH-20260830-01</x:v>
      </x:c>
      <x:c r="Z1938" t="str">
        <x:v>Active</x:v>
      </x:c>
      <x:c r="AA1938"/>
      <x:c r="AB1938"/>
      <x:c r="AC1938"/>
      <x:c r="AD1938"/>
    </x:row>
    <x:row r="1939">
      <x:c r="A1939" t="str">
        <x:v>PCC-PE-KG01-L24-20251023-PM-ORD-2025-00125-S08-C3</x:v>
      </x:c>
      <x:c r="B1939" t="str">
        <x:v>PC-PE-KG01-L24-20251023-PM-ORD-2025-00125-S08</x:v>
      </x:c>
      <x:c r="C1939" t="str">
        <x:v>PE-KG01-L24-20251023-PM-ORD-2025-00125</x:v>
      </x:c>
      <x:c r="D1939" t="str">
        <x:v>KG01</x:v>
      </x:c>
      <x:c r="E1939" s="62" t="n">
        <x:v>45953</x:v>
      </x:c>
      <x:c r="F1939" t="str">
        <x:v>PM</x:v>
      </x:c>
      <x:c r="G1939" t="str">
        <x:v>A</x:v>
      </x:c>
      <x:c r="H1939" t="n">
        <x:v>24</x:v>
      </x:c>
      <x:c r="I1939" t="str">
        <x:v>ORD-2025-00125</x:v>
      </x:c>
      <x:c r="J1939" t="n">
        <x:v>8</x:v>
      </x:c>
      <x:c r="K1939" t="n">
        <x:v>3</x:v>
      </x:c>
      <x:c r="L1939" t="str">
        <x:v>L24-S08-C3</x:v>
      </x:c>
      <x:c r="M1939" t="n">
        <x:v>1</x:v>
      </x:c>
      <x:c r="N1939" t="str">
        <x:v>DerivedFromCount</x:v>
      </x:c>
      <x:c r="O1939" t="str">
        <x:v>PLC-PRD-JAR-330-L24</x:v>
      </x:c>
      <x:c r="P1939" t="str">
        <x:v>OK</x:v>
      </x:c>
      <x:c r="Q1939" t="str">
        <x:v>OK</x:v>
      </x:c>
      <x:c r="R1939" t="str">
        <x:v>OK</x:v>
      </x:c>
      <x:c r="S1939" t="str">
        <x:v>OK</x:v>
      </x:c>
      <x:c r="T1939" t="n">
        <x:v>36</x:v>
      </x:c>
      <x:c r="U1939" t="str">
        <x:v>OK</x:v>
      </x:c>
      <x:c r="V1939" t="str">
        <x:v>OK</x:v>
      </x:c>
      <x:c r="W1939" t="str">
        <x:v>LOAD</x:v>
      </x:c>
      <x:c r="X1939" t="str">
        <x:v>02_Supervisor_Log(4).xlsx</x:v>
      </x:c>
      <x:c r="Y1939" t="str">
        <x:v>ENH-20260830-01</x:v>
      </x:c>
      <x:c r="Z1939" t="str">
        <x:v>Active</x:v>
      </x:c>
      <x:c r="AA1939"/>
      <x:c r="AB1939"/>
      <x:c r="AC1939"/>
      <x:c r="AD1939"/>
    </x:row>
    <x:row r="1940">
      <x:c r="A1940" t="str">
        <x:v>PCC-PE-KG01-L24-20251023-PM-ORD-2025-00125-S09-C1</x:v>
      </x:c>
      <x:c r="B1940" t="str">
        <x:v>PC-PE-KG01-L24-20251023-PM-ORD-2025-00125-S09</x:v>
      </x:c>
      <x:c r="C1940" t="str">
        <x:v>PE-KG01-L24-20251023-PM-ORD-2025-00125</x:v>
      </x:c>
      <x:c r="D1940" t="str">
        <x:v>KG01</x:v>
      </x:c>
      <x:c r="E1940" s="62" t="n">
        <x:v>45953</x:v>
      </x:c>
      <x:c r="F1940" t="str">
        <x:v>PM</x:v>
      </x:c>
      <x:c r="G1940" t="str">
        <x:v>A</x:v>
      </x:c>
      <x:c r="H1940" t="n">
        <x:v>24</x:v>
      </x:c>
      <x:c r="I1940" t="str">
        <x:v>ORD-2025-00125</x:v>
      </x:c>
      <x:c r="J1940" t="n">
        <x:v>9</x:v>
      </x:c>
      <x:c r="K1940" t="n">
        <x:v>1</x:v>
      </x:c>
      <x:c r="L1940" t="str">
        <x:v>L24-S09-C1</x:v>
      </x:c>
      <x:c r="M1940" t="n">
        <x:v>1</x:v>
      </x:c>
      <x:c r="N1940" t="str">
        <x:v>DerivedFromCount</x:v>
      </x:c>
      <x:c r="O1940" t="str">
        <x:v>PLC-PRD-JAR-330-L24</x:v>
      </x:c>
      <x:c r="P1940" t="str">
        <x:v>OK</x:v>
      </x:c>
      <x:c r="Q1940" t="str">
        <x:v>OK</x:v>
      </x:c>
      <x:c r="R1940" t="str">
        <x:v>OK</x:v>
      </x:c>
      <x:c r="S1940" t="str">
        <x:v>OK</x:v>
      </x:c>
      <x:c r="T1940" t="n">
        <x:v>36</x:v>
      </x:c>
      <x:c r="U1940" t="str">
        <x:v>OK</x:v>
      </x:c>
      <x:c r="V1940" t="str">
        <x:v>OK</x:v>
      </x:c>
      <x:c r="W1940" t="str">
        <x:v>LOAD</x:v>
      </x:c>
      <x:c r="X1940" t="str">
        <x:v>02_Supervisor_Log(4).xlsx</x:v>
      </x:c>
      <x:c r="Y1940" t="str">
        <x:v>ENH-20260830-01</x:v>
      </x:c>
      <x:c r="Z1940" t="str">
        <x:v>Active</x:v>
      </x:c>
      <x:c r="AA1940"/>
      <x:c r="AB1940"/>
      <x:c r="AC1940"/>
      <x:c r="AD1940"/>
    </x:row>
    <x:row r="1941">
      <x:c r="A1941" t="str">
        <x:v>PCC-PE-KG01-L24-20251023-PM-ORD-2025-00125-S09-C2</x:v>
      </x:c>
      <x:c r="B1941" t="str">
        <x:v>PC-PE-KG01-L24-20251023-PM-ORD-2025-00125-S09</x:v>
      </x:c>
      <x:c r="C1941" t="str">
        <x:v>PE-KG01-L24-20251023-PM-ORD-2025-00125</x:v>
      </x:c>
      <x:c r="D1941" t="str">
        <x:v>KG01</x:v>
      </x:c>
      <x:c r="E1941" s="62" t="n">
        <x:v>45953</x:v>
      </x:c>
      <x:c r="F1941" t="str">
        <x:v>PM</x:v>
      </x:c>
      <x:c r="G1941" t="str">
        <x:v>A</x:v>
      </x:c>
      <x:c r="H1941" t="n">
        <x:v>24</x:v>
      </x:c>
      <x:c r="I1941" t="str">
        <x:v>ORD-2025-00125</x:v>
      </x:c>
      <x:c r="J1941" t="n">
        <x:v>9</x:v>
      </x:c>
      <x:c r="K1941" t="n">
        <x:v>2</x:v>
      </x:c>
      <x:c r="L1941" t="str">
        <x:v>L24-S09-C2</x:v>
      </x:c>
      <x:c r="M1941" t="n">
        <x:v>1</x:v>
      </x:c>
      <x:c r="N1941" t="str">
        <x:v>DerivedFromCount</x:v>
      </x:c>
      <x:c r="O1941" t="str">
        <x:v>PLC-PRD-JAR-330-L24</x:v>
      </x:c>
      <x:c r="P1941" t="str">
        <x:v>OK</x:v>
      </x:c>
      <x:c r="Q1941" t="str">
        <x:v>OK</x:v>
      </x:c>
      <x:c r="R1941" t="str">
        <x:v>OK</x:v>
      </x:c>
      <x:c r="S1941" t="str">
        <x:v>OK</x:v>
      </x:c>
      <x:c r="T1941" t="n">
        <x:v>36</x:v>
      </x:c>
      <x:c r="U1941" t="str">
        <x:v>OK</x:v>
      </x:c>
      <x:c r="V1941" t="str">
        <x:v>OK</x:v>
      </x:c>
      <x:c r="W1941" t="str">
        <x:v>LOAD</x:v>
      </x:c>
      <x:c r="X1941" t="str">
        <x:v>02_Supervisor_Log(4).xlsx</x:v>
      </x:c>
      <x:c r="Y1941" t="str">
        <x:v>ENH-20260830-01</x:v>
      </x:c>
      <x:c r="Z1941" t="str">
        <x:v>Active</x:v>
      </x:c>
      <x:c r="AA1941"/>
      <x:c r="AB1941"/>
      <x:c r="AC1941"/>
      <x:c r="AD1941"/>
    </x:row>
    <x:row r="1942">
      <x:c r="A1942" t="str">
        <x:v>PCC-PE-KG01-L24-20251023-PM-ORD-2025-00125-S09-C3</x:v>
      </x:c>
      <x:c r="B1942" t="str">
        <x:v>PC-PE-KG01-L24-20251023-PM-ORD-2025-00125-S09</x:v>
      </x:c>
      <x:c r="C1942" t="str">
        <x:v>PE-KG01-L24-20251023-PM-ORD-2025-00125</x:v>
      </x:c>
      <x:c r="D1942" t="str">
        <x:v>KG01</x:v>
      </x:c>
      <x:c r="E1942" s="62" t="n">
        <x:v>45953</x:v>
      </x:c>
      <x:c r="F1942" t="str">
        <x:v>PM</x:v>
      </x:c>
      <x:c r="G1942" t="str">
        <x:v>A</x:v>
      </x:c>
      <x:c r="H1942" t="n">
        <x:v>24</x:v>
      </x:c>
      <x:c r="I1942" t="str">
        <x:v>ORD-2025-00125</x:v>
      </x:c>
      <x:c r="J1942" t="n">
        <x:v>9</x:v>
      </x:c>
      <x:c r="K1942" t="n">
        <x:v>3</x:v>
      </x:c>
      <x:c r="L1942" t="str">
        <x:v>L24-S09-C3</x:v>
      </x:c>
      <x:c r="M1942" t="n">
        <x:v>1</x:v>
      </x:c>
      <x:c r="N1942" t="str">
        <x:v>DerivedFromCount</x:v>
      </x:c>
      <x:c r="O1942" t="str">
        <x:v>PLC-PRD-JAR-330-L24</x:v>
      </x:c>
      <x:c r="P1942" t="str">
        <x:v>OK</x:v>
      </x:c>
      <x:c r="Q1942" t="str">
        <x:v>OK</x:v>
      </x:c>
      <x:c r="R1942" t="str">
        <x:v>OK</x:v>
      </x:c>
      <x:c r="S1942" t="str">
        <x:v>OK</x:v>
      </x:c>
      <x:c r="T1942" t="n">
        <x:v>36</x:v>
      </x:c>
      <x:c r="U1942" t="str">
        <x:v>OK</x:v>
      </x:c>
      <x:c r="V1942" t="str">
        <x:v>OK</x:v>
      </x:c>
      <x:c r="W1942" t="str">
        <x:v>LOAD</x:v>
      </x:c>
      <x:c r="X1942" t="str">
        <x:v>02_Supervisor_Log(4).xlsx</x:v>
      </x:c>
      <x:c r="Y1942" t="str">
        <x:v>ENH-20260830-01</x:v>
      </x:c>
      <x:c r="Z1942" t="str">
        <x:v>Active</x:v>
      </x:c>
      <x:c r="AA1942"/>
      <x:c r="AB1942"/>
      <x:c r="AC1942"/>
      <x:c r="AD1942"/>
    </x:row>
    <x:row r="1943">
      <x:c r="A1943" t="str">
        <x:v>PCC-PE-KG01-L24-20251023-PM-ORD-2025-00125-S10-C1</x:v>
      </x:c>
      <x:c r="B1943" t="str">
        <x:v>PC-PE-KG01-L24-20251023-PM-ORD-2025-00125-S10</x:v>
      </x:c>
      <x:c r="C1943" t="str">
        <x:v>PE-KG01-L24-20251023-PM-ORD-2025-00125</x:v>
      </x:c>
      <x:c r="D1943" t="str">
        <x:v>KG01</x:v>
      </x:c>
      <x:c r="E1943" s="62" t="n">
        <x:v>45953</x:v>
      </x:c>
      <x:c r="F1943" t="str">
        <x:v>PM</x:v>
      </x:c>
      <x:c r="G1943" t="str">
        <x:v>A</x:v>
      </x:c>
      <x:c r="H1943" t="n">
        <x:v>24</x:v>
      </x:c>
      <x:c r="I1943" t="str">
        <x:v>ORD-2025-00125</x:v>
      </x:c>
      <x:c r="J1943" t="n">
        <x:v>10</x:v>
      </x:c>
      <x:c r="K1943" t="n">
        <x:v>1</x:v>
      </x:c>
      <x:c r="L1943" t="str">
        <x:v>L24-S10-C1</x:v>
      </x:c>
      <x:c r="M1943" t="n">
        <x:v>1</x:v>
      </x:c>
      <x:c r="N1943" t="str">
        <x:v>DerivedFromCount</x:v>
      </x:c>
      <x:c r="O1943" t="str">
        <x:v>PLC-PRD-JAR-330-L24</x:v>
      </x:c>
      <x:c r="P1943" t="str">
        <x:v>OK</x:v>
      </x:c>
      <x:c r="Q1943" t="str">
        <x:v>OK</x:v>
      </x:c>
      <x:c r="R1943" t="str">
        <x:v>OK</x:v>
      </x:c>
      <x:c r="S1943" t="str">
        <x:v>OK</x:v>
      </x:c>
      <x:c r="T1943" t="n">
        <x:v>36</x:v>
      </x:c>
      <x:c r="U1943" t="str">
        <x:v>OK</x:v>
      </x:c>
      <x:c r="V1943" t="str">
        <x:v>OK</x:v>
      </x:c>
      <x:c r="W1943" t="str">
        <x:v>LOAD</x:v>
      </x:c>
      <x:c r="X1943" t="str">
        <x:v>02_Supervisor_Log(4).xlsx</x:v>
      </x:c>
      <x:c r="Y1943" t="str">
        <x:v>ENH-20260830-01</x:v>
      </x:c>
      <x:c r="Z1943" t="str">
        <x:v>Active</x:v>
      </x:c>
      <x:c r="AA1943"/>
      <x:c r="AB1943"/>
      <x:c r="AC1943"/>
      <x:c r="AD1943"/>
    </x:row>
    <x:row r="1944">
      <x:c r="A1944" t="str">
        <x:v>PCC-PE-KG01-L24-20251023-PM-ORD-2025-00125-S10-C2</x:v>
      </x:c>
      <x:c r="B1944" t="str">
        <x:v>PC-PE-KG01-L24-20251023-PM-ORD-2025-00125-S10</x:v>
      </x:c>
      <x:c r="C1944" t="str">
        <x:v>PE-KG01-L24-20251023-PM-ORD-2025-00125</x:v>
      </x:c>
      <x:c r="D1944" t="str">
        <x:v>KG01</x:v>
      </x:c>
      <x:c r="E1944" s="62" t="n">
        <x:v>45953</x:v>
      </x:c>
      <x:c r="F1944" t="str">
        <x:v>PM</x:v>
      </x:c>
      <x:c r="G1944" t="str">
        <x:v>A</x:v>
      </x:c>
      <x:c r="H1944" t="n">
        <x:v>24</x:v>
      </x:c>
      <x:c r="I1944" t="str">
        <x:v>ORD-2025-00125</x:v>
      </x:c>
      <x:c r="J1944" t="n">
        <x:v>10</x:v>
      </x:c>
      <x:c r="K1944" t="n">
        <x:v>2</x:v>
      </x:c>
      <x:c r="L1944" t="str">
        <x:v>L24-S10-C2</x:v>
      </x:c>
      <x:c r="M1944" t="n">
        <x:v>1</x:v>
      </x:c>
      <x:c r="N1944" t="str">
        <x:v>DerivedFromCount</x:v>
      </x:c>
      <x:c r="O1944" t="str">
        <x:v>PLC-PRD-JAR-330-L24</x:v>
      </x:c>
      <x:c r="P1944" t="str">
        <x:v>OK</x:v>
      </x:c>
      <x:c r="Q1944" t="str">
        <x:v>OK</x:v>
      </x:c>
      <x:c r="R1944" t="str">
        <x:v>OK</x:v>
      </x:c>
      <x:c r="S1944" t="str">
        <x:v>OK</x:v>
      </x:c>
      <x:c r="T1944" t="n">
        <x:v>36</x:v>
      </x:c>
      <x:c r="U1944" t="str">
        <x:v>OK</x:v>
      </x:c>
      <x:c r="V1944" t="str">
        <x:v>OK</x:v>
      </x:c>
      <x:c r="W1944" t="str">
        <x:v>LOAD</x:v>
      </x:c>
      <x:c r="X1944" t="str">
        <x:v>02_Supervisor_Log(4).xlsx</x:v>
      </x:c>
      <x:c r="Y1944" t="str">
        <x:v>ENH-20260830-01</x:v>
      </x:c>
      <x:c r="Z1944" t="str">
        <x:v>Active</x:v>
      </x:c>
      <x:c r="AA1944"/>
      <x:c r="AB1944"/>
      <x:c r="AC1944"/>
      <x:c r="AD1944"/>
    </x:row>
    <x:row r="1945">
      <x:c r="A1945" t="str">
        <x:v>PCC-PE-KG01-L24-20251023-PM-ORD-2025-00125-S10-C3</x:v>
      </x:c>
      <x:c r="B1945" t="str">
        <x:v>PC-PE-KG01-L24-20251023-PM-ORD-2025-00125-S10</x:v>
      </x:c>
      <x:c r="C1945" t="str">
        <x:v>PE-KG01-L24-20251023-PM-ORD-2025-00125</x:v>
      </x:c>
      <x:c r="D1945" t="str">
        <x:v>KG01</x:v>
      </x:c>
      <x:c r="E1945" s="62" t="n">
        <x:v>45953</x:v>
      </x:c>
      <x:c r="F1945" t="str">
        <x:v>PM</x:v>
      </x:c>
      <x:c r="G1945" t="str">
        <x:v>A</x:v>
      </x:c>
      <x:c r="H1945" t="n">
        <x:v>24</x:v>
      </x:c>
      <x:c r="I1945" t="str">
        <x:v>ORD-2025-00125</x:v>
      </x:c>
      <x:c r="J1945" t="n">
        <x:v>10</x:v>
      </x:c>
      <x:c r="K1945" t="n">
        <x:v>3</x:v>
      </x:c>
      <x:c r="L1945" t="str">
        <x:v>L24-S10-C3</x:v>
      </x:c>
      <x:c r="M1945" t="n">
        <x:v>1</x:v>
      </x:c>
      <x:c r="N1945" t="str">
        <x:v>DerivedFromCount</x:v>
      </x:c>
      <x:c r="O1945" t="str">
        <x:v>PLC-PRD-JAR-330-L24</x:v>
      </x:c>
      <x:c r="P1945" t="str">
        <x:v>OK</x:v>
      </x:c>
      <x:c r="Q1945" t="str">
        <x:v>OK</x:v>
      </x:c>
      <x:c r="R1945" t="str">
        <x:v>OK</x:v>
      </x:c>
      <x:c r="S1945" t="str">
        <x:v>OK</x:v>
      </x:c>
      <x:c r="T1945" t="n">
        <x:v>36</x:v>
      </x:c>
      <x:c r="U1945" t="str">
        <x:v>OK</x:v>
      </x:c>
      <x:c r="V1945" t="str">
        <x:v>OK</x:v>
      </x:c>
      <x:c r="W1945" t="str">
        <x:v>LOAD</x:v>
      </x:c>
      <x:c r="X1945" t="str">
        <x:v>02_Supervisor_Log(4).xlsx</x:v>
      </x:c>
      <x:c r="Y1945" t="str">
        <x:v>ENH-20260830-01</x:v>
      </x:c>
      <x:c r="Z1945" t="str">
        <x:v>Active</x:v>
      </x:c>
      <x:c r="AA1945"/>
      <x:c r="AB1945"/>
      <x:c r="AC1945"/>
      <x:c r="AD1945"/>
    </x:row>
    <x:row r="1946">
      <x:c r="A1946" t="str">
        <x:v>PCC-PE-KG01-L24-20251023-PM-ORD-2025-00125-S11-C1</x:v>
      </x:c>
      <x:c r="B1946" t="str">
        <x:v>PC-PE-KG01-L24-20251023-PM-ORD-2025-00125-S11</x:v>
      </x:c>
      <x:c r="C1946" t="str">
        <x:v>PE-KG01-L24-20251023-PM-ORD-2025-00125</x:v>
      </x:c>
      <x:c r="D1946" t="str">
        <x:v>KG01</x:v>
      </x:c>
      <x:c r="E1946" s="62" t="n">
        <x:v>45953</x:v>
      </x:c>
      <x:c r="F1946" t="str">
        <x:v>PM</x:v>
      </x:c>
      <x:c r="G1946" t="str">
        <x:v>A</x:v>
      </x:c>
      <x:c r="H1946" t="n">
        <x:v>24</x:v>
      </x:c>
      <x:c r="I1946" t="str">
        <x:v>ORD-2025-00125</x:v>
      </x:c>
      <x:c r="J1946" t="n">
        <x:v>11</x:v>
      </x:c>
      <x:c r="K1946" t="n">
        <x:v>1</x:v>
      </x:c>
      <x:c r="L1946" t="str">
        <x:v>L24-S11-C1</x:v>
      </x:c>
      <x:c r="M1946" t="n">
        <x:v>1</x:v>
      </x:c>
      <x:c r="N1946" t="str">
        <x:v>DerivedFromCount</x:v>
      </x:c>
      <x:c r="O1946" t="str">
        <x:v>PLC-PRD-JAR-330-L24</x:v>
      </x:c>
      <x:c r="P1946" t="str">
        <x:v>OK</x:v>
      </x:c>
      <x:c r="Q1946" t="str">
        <x:v>OK</x:v>
      </x:c>
      <x:c r="R1946" t="str">
        <x:v>OK</x:v>
      </x:c>
      <x:c r="S1946" t="str">
        <x:v>OK</x:v>
      </x:c>
      <x:c r="T1946" t="n">
        <x:v>36</x:v>
      </x:c>
      <x:c r="U1946" t="str">
        <x:v>OK</x:v>
      </x:c>
      <x:c r="V1946" t="str">
        <x:v>OK</x:v>
      </x:c>
      <x:c r="W1946" t="str">
        <x:v>LOAD</x:v>
      </x:c>
      <x:c r="X1946" t="str">
        <x:v>02_Supervisor_Log(4).xlsx</x:v>
      </x:c>
      <x:c r="Y1946" t="str">
        <x:v>ENH-20260830-01</x:v>
      </x:c>
      <x:c r="Z1946" t="str">
        <x:v>Active</x:v>
      </x:c>
      <x:c r="AA1946"/>
      <x:c r="AB1946"/>
      <x:c r="AC1946"/>
      <x:c r="AD1946"/>
    </x:row>
    <x:row r="1947">
      <x:c r="A1947" t="str">
        <x:v>PCC-PE-KG01-L24-20251023-PM-ORD-2025-00125-S11-C2</x:v>
      </x:c>
      <x:c r="B1947" t="str">
        <x:v>PC-PE-KG01-L24-20251023-PM-ORD-2025-00125-S11</x:v>
      </x:c>
      <x:c r="C1947" t="str">
        <x:v>PE-KG01-L24-20251023-PM-ORD-2025-00125</x:v>
      </x:c>
      <x:c r="D1947" t="str">
        <x:v>KG01</x:v>
      </x:c>
      <x:c r="E1947" s="62" t="n">
        <x:v>45953</x:v>
      </x:c>
      <x:c r="F1947" t="str">
        <x:v>PM</x:v>
      </x:c>
      <x:c r="G1947" t="str">
        <x:v>A</x:v>
      </x:c>
      <x:c r="H1947" t="n">
        <x:v>24</x:v>
      </x:c>
      <x:c r="I1947" t="str">
        <x:v>ORD-2025-00125</x:v>
      </x:c>
      <x:c r="J1947" t="n">
        <x:v>11</x:v>
      </x:c>
      <x:c r="K1947" t="n">
        <x:v>2</x:v>
      </x:c>
      <x:c r="L1947" t="str">
        <x:v>L24-S11-C2</x:v>
      </x:c>
      <x:c r="M1947" t="n">
        <x:v>1</x:v>
      </x:c>
      <x:c r="N1947" t="str">
        <x:v>DerivedFromCount</x:v>
      </x:c>
      <x:c r="O1947" t="str">
        <x:v>PLC-PRD-JAR-330-L24</x:v>
      </x:c>
      <x:c r="P1947" t="str">
        <x:v>OK</x:v>
      </x:c>
      <x:c r="Q1947" t="str">
        <x:v>OK</x:v>
      </x:c>
      <x:c r="R1947" t="str">
        <x:v>OK</x:v>
      </x:c>
      <x:c r="S1947" t="str">
        <x:v>OK</x:v>
      </x:c>
      <x:c r="T1947" t="n">
        <x:v>36</x:v>
      </x:c>
      <x:c r="U1947" t="str">
        <x:v>OK</x:v>
      </x:c>
      <x:c r="V1947" t="str">
        <x:v>OK</x:v>
      </x:c>
      <x:c r="W1947" t="str">
        <x:v>LOAD</x:v>
      </x:c>
      <x:c r="X1947" t="str">
        <x:v>02_Supervisor_Log(4).xlsx</x:v>
      </x:c>
      <x:c r="Y1947" t="str">
        <x:v>ENH-20260830-01</x:v>
      </x:c>
      <x:c r="Z1947" t="str">
        <x:v>Active</x:v>
      </x:c>
      <x:c r="AA1947"/>
      <x:c r="AB1947"/>
      <x:c r="AC1947"/>
      <x:c r="AD1947"/>
    </x:row>
    <x:row r="1948">
      <x:c r="A1948" t="str">
        <x:v>PCC-PE-KG01-L24-20251023-PM-ORD-2025-00125-S11-C3</x:v>
      </x:c>
      <x:c r="B1948" t="str">
        <x:v>PC-PE-KG01-L24-20251023-PM-ORD-2025-00125-S11</x:v>
      </x:c>
      <x:c r="C1948" t="str">
        <x:v>PE-KG01-L24-20251023-PM-ORD-2025-00125</x:v>
      </x:c>
      <x:c r="D1948" t="str">
        <x:v>KG01</x:v>
      </x:c>
      <x:c r="E1948" s="62" t="n">
        <x:v>45953</x:v>
      </x:c>
      <x:c r="F1948" t="str">
        <x:v>PM</x:v>
      </x:c>
      <x:c r="G1948" t="str">
        <x:v>A</x:v>
      </x:c>
      <x:c r="H1948" t="n">
        <x:v>24</x:v>
      </x:c>
      <x:c r="I1948" t="str">
        <x:v>ORD-2025-00125</x:v>
      </x:c>
      <x:c r="J1948" t="n">
        <x:v>11</x:v>
      </x:c>
      <x:c r="K1948" t="n">
        <x:v>3</x:v>
      </x:c>
      <x:c r="L1948" t="str">
        <x:v>L24-S11-C3</x:v>
      </x:c>
      <x:c r="M1948" t="n">
        <x:v>1</x:v>
      </x:c>
      <x:c r="N1948" t="str">
        <x:v>DerivedFromCount</x:v>
      </x:c>
      <x:c r="O1948" t="str">
        <x:v>PLC-PRD-JAR-330-L24</x:v>
      </x:c>
      <x:c r="P1948" t="str">
        <x:v>OK</x:v>
      </x:c>
      <x:c r="Q1948" t="str">
        <x:v>OK</x:v>
      </x:c>
      <x:c r="R1948" t="str">
        <x:v>OK</x:v>
      </x:c>
      <x:c r="S1948" t="str">
        <x:v>OK</x:v>
      </x:c>
      <x:c r="T1948" t="n">
        <x:v>36</x:v>
      </x:c>
      <x:c r="U1948" t="str">
        <x:v>OK</x:v>
      </x:c>
      <x:c r="V1948" t="str">
        <x:v>OK</x:v>
      </x:c>
      <x:c r="W1948" t="str">
        <x:v>LOAD</x:v>
      </x:c>
      <x:c r="X1948" t="str">
        <x:v>02_Supervisor_Log(4).xlsx</x:v>
      </x:c>
      <x:c r="Y1948" t="str">
        <x:v>ENH-20260830-01</x:v>
      </x:c>
      <x:c r="Z1948" t="str">
        <x:v>Active</x:v>
      </x:c>
      <x:c r="AA1948"/>
      <x:c r="AB1948"/>
      <x:c r="AC1948"/>
      <x:c r="AD1948"/>
    </x:row>
    <x:row r="1949">
      <x:c r="A1949" t="str">
        <x:v>PCC-PE-KG01-L24-20251023-PM-ORD-2025-00125-S12-C1</x:v>
      </x:c>
      <x:c r="B1949" t="str">
        <x:v>PC-PE-KG01-L24-20251023-PM-ORD-2025-00125-S12</x:v>
      </x:c>
      <x:c r="C1949" t="str">
        <x:v>PE-KG01-L24-20251023-PM-ORD-2025-00125</x:v>
      </x:c>
      <x:c r="D1949" t="str">
        <x:v>KG01</x:v>
      </x:c>
      <x:c r="E1949" s="62" t="n">
        <x:v>45953</x:v>
      </x:c>
      <x:c r="F1949" t="str">
        <x:v>PM</x:v>
      </x:c>
      <x:c r="G1949" t="str">
        <x:v>A</x:v>
      </x:c>
      <x:c r="H1949" t="n">
        <x:v>24</x:v>
      </x:c>
      <x:c r="I1949" t="str">
        <x:v>ORD-2025-00125</x:v>
      </x:c>
      <x:c r="J1949" t="n">
        <x:v>12</x:v>
      </x:c>
      <x:c r="K1949" t="n">
        <x:v>1</x:v>
      </x:c>
      <x:c r="L1949" t="str">
        <x:v>L24-S12-C1</x:v>
      </x:c>
      <x:c r="M1949" t="n">
        <x:v>1</x:v>
      </x:c>
      <x:c r="N1949" t="str">
        <x:v>DerivedFromCount</x:v>
      </x:c>
      <x:c r="O1949" t="str">
        <x:v>PLC-PRD-JAR-330-L24</x:v>
      </x:c>
      <x:c r="P1949" t="str">
        <x:v>OK</x:v>
      </x:c>
      <x:c r="Q1949" t="str">
        <x:v>OK</x:v>
      </x:c>
      <x:c r="R1949" t="str">
        <x:v>OK</x:v>
      </x:c>
      <x:c r="S1949" t="str">
        <x:v>OK</x:v>
      </x:c>
      <x:c r="T1949" t="n">
        <x:v>36</x:v>
      </x:c>
      <x:c r="U1949" t="str">
        <x:v>OK</x:v>
      </x:c>
      <x:c r="V1949" t="str">
        <x:v>OK</x:v>
      </x:c>
      <x:c r="W1949" t="str">
        <x:v>LOAD</x:v>
      </x:c>
      <x:c r="X1949" t="str">
        <x:v>02_Supervisor_Log(4).xlsx</x:v>
      </x:c>
      <x:c r="Y1949" t="str">
        <x:v>ENH-20260830-01</x:v>
      </x:c>
      <x:c r="Z1949" t="str">
        <x:v>Active</x:v>
      </x:c>
      <x:c r="AA1949"/>
      <x:c r="AB1949"/>
      <x:c r="AC1949"/>
      <x:c r="AD1949"/>
    </x:row>
    <x:row r="1950">
      <x:c r="A1950" t="str">
        <x:v>PCC-PE-KG01-L24-20251023-PM-ORD-2025-00125-S12-C2</x:v>
      </x:c>
      <x:c r="B1950" t="str">
        <x:v>PC-PE-KG01-L24-20251023-PM-ORD-2025-00125-S12</x:v>
      </x:c>
      <x:c r="C1950" t="str">
        <x:v>PE-KG01-L24-20251023-PM-ORD-2025-00125</x:v>
      </x:c>
      <x:c r="D1950" t="str">
        <x:v>KG01</x:v>
      </x:c>
      <x:c r="E1950" s="62" t="n">
        <x:v>45953</x:v>
      </x:c>
      <x:c r="F1950" t="str">
        <x:v>PM</x:v>
      </x:c>
      <x:c r="G1950" t="str">
        <x:v>A</x:v>
      </x:c>
      <x:c r="H1950" t="n">
        <x:v>24</x:v>
      </x:c>
      <x:c r="I1950" t="str">
        <x:v>ORD-2025-00125</x:v>
      </x:c>
      <x:c r="J1950" t="n">
        <x:v>12</x:v>
      </x:c>
      <x:c r="K1950" t="n">
        <x:v>2</x:v>
      </x:c>
      <x:c r="L1950" t="str">
        <x:v>L24-S12-C2</x:v>
      </x:c>
      <x:c r="M1950" t="n">
        <x:v>1</x:v>
      </x:c>
      <x:c r="N1950" t="str">
        <x:v>DerivedFromCount</x:v>
      </x:c>
      <x:c r="O1950" t="str">
        <x:v>PLC-PRD-JAR-330-L24</x:v>
      </x:c>
      <x:c r="P1950" t="str">
        <x:v>OK</x:v>
      </x:c>
      <x:c r="Q1950" t="str">
        <x:v>OK</x:v>
      </x:c>
      <x:c r="R1950" t="str">
        <x:v>OK</x:v>
      </x:c>
      <x:c r="S1950" t="str">
        <x:v>OK</x:v>
      </x:c>
      <x:c r="T1950" t="n">
        <x:v>36</x:v>
      </x:c>
      <x:c r="U1950" t="str">
        <x:v>OK</x:v>
      </x:c>
      <x:c r="V1950" t="str">
        <x:v>OK</x:v>
      </x:c>
      <x:c r="W1950" t="str">
        <x:v>LOAD</x:v>
      </x:c>
      <x:c r="X1950" t="str">
        <x:v>02_Supervisor_Log(4).xlsx</x:v>
      </x:c>
      <x:c r="Y1950" t="str">
        <x:v>ENH-20260830-01</x:v>
      </x:c>
      <x:c r="Z1950" t="str">
        <x:v>Active</x:v>
      </x:c>
      <x:c r="AA1950"/>
      <x:c r="AB1950"/>
      <x:c r="AC1950"/>
      <x:c r="AD1950"/>
    </x:row>
    <x:row r="1951">
      <x:c r="A1951" t="str">
        <x:v>PCC-PE-KG01-L24-20251023-PM-ORD-2025-00125-S12-C3</x:v>
      </x:c>
      <x:c r="B1951" t="str">
        <x:v>PC-PE-KG01-L24-20251023-PM-ORD-2025-00125-S12</x:v>
      </x:c>
      <x:c r="C1951" t="str">
        <x:v>PE-KG01-L24-20251023-PM-ORD-2025-00125</x:v>
      </x:c>
      <x:c r="D1951" t="str">
        <x:v>KG01</x:v>
      </x:c>
      <x:c r="E1951" s="62" t="n">
        <x:v>45953</x:v>
      </x:c>
      <x:c r="F1951" t="str">
        <x:v>PM</x:v>
      </x:c>
      <x:c r="G1951" t="str">
        <x:v>A</x:v>
      </x:c>
      <x:c r="H1951" t="n">
        <x:v>24</x:v>
      </x:c>
      <x:c r="I1951" t="str">
        <x:v>ORD-2025-00125</x:v>
      </x:c>
      <x:c r="J1951" t="n">
        <x:v>12</x:v>
      </x:c>
      <x:c r="K1951" t="n">
        <x:v>3</x:v>
      </x:c>
      <x:c r="L1951" t="str">
        <x:v>L24-S12-C3</x:v>
      </x:c>
      <x:c r="M1951" t="n">
        <x:v>1</x:v>
      </x:c>
      <x:c r="N1951" t="str">
        <x:v>DerivedFromCount</x:v>
      </x:c>
      <x:c r="O1951" t="str">
        <x:v>PLC-PRD-JAR-330-L24</x:v>
      </x:c>
      <x:c r="P1951" t="str">
        <x:v>OK</x:v>
      </x:c>
      <x:c r="Q1951" t="str">
        <x:v>OK</x:v>
      </x:c>
      <x:c r="R1951" t="str">
        <x:v>OK</x:v>
      </x:c>
      <x:c r="S1951" t="str">
        <x:v>OK</x:v>
      </x:c>
      <x:c r="T1951" t="n">
        <x:v>36</x:v>
      </x:c>
      <x:c r="U1951" t="str">
        <x:v>OK</x:v>
      </x:c>
      <x:c r="V1951" t="str">
        <x:v>OK</x:v>
      </x:c>
      <x:c r="W1951" t="str">
        <x:v>LOAD</x:v>
      </x:c>
      <x:c r="X1951" t="str">
        <x:v>02_Supervisor_Log(4).xlsx</x:v>
      </x:c>
      <x:c r="Y1951" t="str">
        <x:v>ENH-20260830-01</x:v>
      </x:c>
      <x:c r="Z1951" t="str">
        <x:v>Active</x:v>
      </x:c>
      <x:c r="AA1951"/>
      <x:c r="AB1951"/>
      <x:c r="AC1951"/>
      <x:c r="AD1951"/>
    </x:row>
    <x:row r="1952">
      <x:c r="A1952" t="str">
        <x:v>PCC-PE-KG01-L24-20251023-PM-ORD-2025-00125-S13-C1</x:v>
      </x:c>
      <x:c r="B1952" t="str">
        <x:v>PC-PE-KG01-L24-20251023-PM-ORD-2025-00125-S13</x:v>
      </x:c>
      <x:c r="C1952" t="str">
        <x:v>PE-KG01-L24-20251023-PM-ORD-2025-00125</x:v>
      </x:c>
      <x:c r="D1952" t="str">
        <x:v>KG01</x:v>
      </x:c>
      <x:c r="E1952" s="62" t="n">
        <x:v>45953</x:v>
      </x:c>
      <x:c r="F1952" t="str">
        <x:v>PM</x:v>
      </x:c>
      <x:c r="G1952" t="str">
        <x:v>A</x:v>
      </x:c>
      <x:c r="H1952" t="n">
        <x:v>24</x:v>
      </x:c>
      <x:c r="I1952" t="str">
        <x:v>ORD-2025-00125</x:v>
      </x:c>
      <x:c r="J1952" t="n">
        <x:v>13</x:v>
      </x:c>
      <x:c r="K1952" t="n">
        <x:v>1</x:v>
      </x:c>
      <x:c r="L1952" t="str">
        <x:v>L24-S13-C1</x:v>
      </x:c>
      <x:c r="M1952" t="n">
        <x:v>0</x:v>
      </x:c>
      <x:c r="N1952" t="str">
        <x:v>DerivedFromCount</x:v>
      </x:c>
      <x:c r="O1952" t="str">
        <x:v>PLC-PRD-JAR-330-L24</x:v>
      </x:c>
      <x:c r="P1952" t="str">
        <x:v>OK</x:v>
      </x:c>
      <x:c r="Q1952" t="str">
        <x:v>OK</x:v>
      </x:c>
      <x:c r="R1952" t="str">
        <x:v>OK</x:v>
      </x:c>
      <x:c r="S1952" t="str">
        <x:v>OK</x:v>
      </x:c>
      <x:c r="T1952" t="n">
        <x:v>36</x:v>
      </x:c>
      <x:c r="U1952" t="str">
        <x:v>OK</x:v>
      </x:c>
      <x:c r="V1952" t="str">
        <x:v>OK</x:v>
      </x:c>
      <x:c r="W1952" t="str">
        <x:v>LOAD</x:v>
      </x:c>
      <x:c r="X1952" t="str">
        <x:v>02_Supervisor_Log(4).xlsx</x:v>
      </x:c>
      <x:c r="Y1952" t="str">
        <x:v>ENH-20260830-01</x:v>
      </x:c>
      <x:c r="Z1952" t="str">
        <x:v>Active</x:v>
      </x:c>
      <x:c r="AA1952"/>
      <x:c r="AB1952"/>
      <x:c r="AC1952"/>
      <x:c r="AD1952"/>
    </x:row>
    <x:row r="1953">
      <x:c r="A1953" t="str">
        <x:v>PCC-PE-KG01-L24-20251023-PM-ORD-2025-00125-S13-C2</x:v>
      </x:c>
      <x:c r="B1953" t="str">
        <x:v>PC-PE-KG01-L24-20251023-PM-ORD-2025-00125-S13</x:v>
      </x:c>
      <x:c r="C1953" t="str">
        <x:v>PE-KG01-L24-20251023-PM-ORD-2025-00125</x:v>
      </x:c>
      <x:c r="D1953" t="str">
        <x:v>KG01</x:v>
      </x:c>
      <x:c r="E1953" s="62" t="n">
        <x:v>45953</x:v>
      </x:c>
      <x:c r="F1953" t="str">
        <x:v>PM</x:v>
      </x:c>
      <x:c r="G1953" t="str">
        <x:v>A</x:v>
      </x:c>
      <x:c r="H1953" t="n">
        <x:v>24</x:v>
      </x:c>
      <x:c r="I1953" t="str">
        <x:v>ORD-2025-00125</x:v>
      </x:c>
      <x:c r="J1953" t="n">
        <x:v>13</x:v>
      </x:c>
      <x:c r="K1953" t="n">
        <x:v>2</x:v>
      </x:c>
      <x:c r="L1953" t="str">
        <x:v>L24-S13-C2</x:v>
      </x:c>
      <x:c r="M1953" t="n">
        <x:v>0</x:v>
      </x:c>
      <x:c r="N1953" t="str">
        <x:v>DerivedFromCount</x:v>
      </x:c>
      <x:c r="O1953" t="str">
        <x:v>PLC-PRD-JAR-330-L24</x:v>
      </x:c>
      <x:c r="P1953" t="str">
        <x:v>OK</x:v>
      </x:c>
      <x:c r="Q1953" t="str">
        <x:v>OK</x:v>
      </x:c>
      <x:c r="R1953" t="str">
        <x:v>OK</x:v>
      </x:c>
      <x:c r="S1953" t="str">
        <x:v>OK</x:v>
      </x:c>
      <x:c r="T1953" t="n">
        <x:v>36</x:v>
      </x:c>
      <x:c r="U1953" t="str">
        <x:v>OK</x:v>
      </x:c>
      <x:c r="V1953" t="str">
        <x:v>OK</x:v>
      </x:c>
      <x:c r="W1953" t="str">
        <x:v>LOAD</x:v>
      </x:c>
      <x:c r="X1953" t="str">
        <x:v>02_Supervisor_Log(4).xlsx</x:v>
      </x:c>
      <x:c r="Y1953" t="str">
        <x:v>ENH-20260830-01</x:v>
      </x:c>
      <x:c r="Z1953" t="str">
        <x:v>Active</x:v>
      </x:c>
      <x:c r="AA1953"/>
      <x:c r="AB1953"/>
      <x:c r="AC1953"/>
      <x:c r="AD1953"/>
    </x:row>
    <x:row r="1954">
      <x:c r="A1954" t="str">
        <x:v>PCC-PE-KG01-L24-20251023-PM-ORD-2025-00125-S13-C3</x:v>
      </x:c>
      <x:c r="B1954" t="str">
        <x:v>PC-PE-KG01-L24-20251023-PM-ORD-2025-00125-S13</x:v>
      </x:c>
      <x:c r="C1954" t="str">
        <x:v>PE-KG01-L24-20251023-PM-ORD-2025-00125</x:v>
      </x:c>
      <x:c r="D1954" t="str">
        <x:v>KG01</x:v>
      </x:c>
      <x:c r="E1954" s="62" t="n">
        <x:v>45953</x:v>
      </x:c>
      <x:c r="F1954" t="str">
        <x:v>PM</x:v>
      </x:c>
      <x:c r="G1954" t="str">
        <x:v>A</x:v>
      </x:c>
      <x:c r="H1954" t="n">
        <x:v>24</x:v>
      </x:c>
      <x:c r="I1954" t="str">
        <x:v>ORD-2025-00125</x:v>
      </x:c>
      <x:c r="J1954" t="n">
        <x:v>13</x:v>
      </x:c>
      <x:c r="K1954" t="n">
        <x:v>3</x:v>
      </x:c>
      <x:c r="L1954" t="str">
        <x:v>L24-S13-C3</x:v>
      </x:c>
      <x:c r="M1954" t="n">
        <x:v>0</x:v>
      </x:c>
      <x:c r="N1954" t="str">
        <x:v>DerivedFromCount</x:v>
      </x:c>
      <x:c r="O1954" t="str">
        <x:v>PLC-PRD-JAR-330-L24</x:v>
      </x:c>
      <x:c r="P1954" t="str">
        <x:v>OK</x:v>
      </x:c>
      <x:c r="Q1954" t="str">
        <x:v>OK</x:v>
      </x:c>
      <x:c r="R1954" t="str">
        <x:v>OK</x:v>
      </x:c>
      <x:c r="S1954" t="str">
        <x:v>OK</x:v>
      </x:c>
      <x:c r="T1954" t="n">
        <x:v>36</x:v>
      </x:c>
      <x:c r="U1954" t="str">
        <x:v>OK</x:v>
      </x:c>
      <x:c r="V1954" t="str">
        <x:v>OK</x:v>
      </x:c>
      <x:c r="W1954" t="str">
        <x:v>LOAD</x:v>
      </x:c>
      <x:c r="X1954" t="str">
        <x:v>02_Supervisor_Log(4).xlsx</x:v>
      </x:c>
      <x:c r="Y1954" t="str">
        <x:v>ENH-20260830-01</x:v>
      </x:c>
      <x:c r="Z1954" t="str">
        <x:v>Active</x:v>
      </x:c>
      <x:c r="AA1954"/>
      <x:c r="AB1954"/>
      <x:c r="AC1954"/>
      <x:c r="AD1954"/>
    </x:row>
    <x:row r="1955">
      <x:c r="A1955" t="str">
        <x:v>PCC-PE-KG01-L24-20251024-AM-ORD-2025-00125-S01-C1</x:v>
      </x:c>
      <x:c r="B1955" t="str">
        <x:v>PC-PE-KG01-L24-20251024-AM-ORD-2025-00125-S01</x:v>
      </x:c>
      <x:c r="C1955" t="str">
        <x:v>PE-KG01-L24-20251024-AM-ORD-2025-00125</x:v>
      </x:c>
      <x:c r="D1955" t="str">
        <x:v>KG01</x:v>
      </x:c>
      <x:c r="E1955" s="62" t="n">
        <x:v>45954</x:v>
      </x:c>
      <x:c r="F1955" t="str">
        <x:v>AM</x:v>
      </x:c>
      <x:c r="G1955" t="str">
        <x:v>A</x:v>
      </x:c>
      <x:c r="H1955" t="n">
        <x:v>24</x:v>
      </x:c>
      <x:c r="I1955" t="str">
        <x:v>ORD-2025-00125</x:v>
      </x:c>
      <x:c r="J1955" t="n">
        <x:v>1</x:v>
      </x:c>
      <x:c r="K1955" t="n">
        <x:v>1</x:v>
      </x:c>
      <x:c r="L1955" t="str">
        <x:v>L24-S01-C1</x:v>
      </x:c>
      <x:c r="M1955" t="n">
        <x:v>1</x:v>
      </x:c>
      <x:c r="N1955" t="str">
        <x:v>DerivedFromCount</x:v>
      </x:c>
      <x:c r="O1955" t="str">
        <x:v>PLC-PRD-JAR-330-L24</x:v>
      </x:c>
      <x:c r="P1955" t="str">
        <x:v>OK</x:v>
      </x:c>
      <x:c r="Q1955" t="str">
        <x:v>OK</x:v>
      </x:c>
      <x:c r="R1955" t="str">
        <x:v>OK</x:v>
      </x:c>
      <x:c r="S1955" t="str">
        <x:v>OK</x:v>
      </x:c>
      <x:c r="T1955" t="n">
        <x:v>36</x:v>
      </x:c>
      <x:c r="U1955" t="str">
        <x:v>OK</x:v>
      </x:c>
      <x:c r="V1955" t="str">
        <x:v>OK</x:v>
      </x:c>
      <x:c r="W1955" t="str">
        <x:v>LOAD</x:v>
      </x:c>
      <x:c r="X1955" t="str">
        <x:v>02_Supervisor_Log(4).xlsx</x:v>
      </x:c>
      <x:c r="Y1955" t="str">
        <x:v>ENH-20260830-01</x:v>
      </x:c>
      <x:c r="Z1955" t="str">
        <x:v>Active</x:v>
      </x:c>
      <x:c r="AA1955"/>
      <x:c r="AB1955"/>
      <x:c r="AC1955"/>
      <x:c r="AD1955"/>
    </x:row>
    <x:row r="1956">
      <x:c r="A1956" t="str">
        <x:v>PCC-PE-KG01-L24-20251024-AM-ORD-2025-00125-S01-C2</x:v>
      </x:c>
      <x:c r="B1956" t="str">
        <x:v>PC-PE-KG01-L24-20251024-AM-ORD-2025-00125-S01</x:v>
      </x:c>
      <x:c r="C1956" t="str">
        <x:v>PE-KG01-L24-20251024-AM-ORD-2025-00125</x:v>
      </x:c>
      <x:c r="D1956" t="str">
        <x:v>KG01</x:v>
      </x:c>
      <x:c r="E1956" s="62" t="n">
        <x:v>45954</x:v>
      </x:c>
      <x:c r="F1956" t="str">
        <x:v>AM</x:v>
      </x:c>
      <x:c r="G1956" t="str">
        <x:v>A</x:v>
      </x:c>
      <x:c r="H1956" t="n">
        <x:v>24</x:v>
      </x:c>
      <x:c r="I1956" t="str">
        <x:v>ORD-2025-00125</x:v>
      </x:c>
      <x:c r="J1956" t="n">
        <x:v>1</x:v>
      </x:c>
      <x:c r="K1956" t="n">
        <x:v>2</x:v>
      </x:c>
      <x:c r="L1956" t="str">
        <x:v>L24-S01-C2</x:v>
      </x:c>
      <x:c r="M1956" t="n">
        <x:v>1</x:v>
      </x:c>
      <x:c r="N1956" t="str">
        <x:v>DerivedFromCount</x:v>
      </x:c>
      <x:c r="O1956" t="str">
        <x:v>PLC-PRD-JAR-330-L24</x:v>
      </x:c>
      <x:c r="P1956" t="str">
        <x:v>OK</x:v>
      </x:c>
      <x:c r="Q1956" t="str">
        <x:v>OK</x:v>
      </x:c>
      <x:c r="R1956" t="str">
        <x:v>OK</x:v>
      </x:c>
      <x:c r="S1956" t="str">
        <x:v>OK</x:v>
      </x:c>
      <x:c r="T1956" t="n">
        <x:v>36</x:v>
      </x:c>
      <x:c r="U1956" t="str">
        <x:v>OK</x:v>
      </x:c>
      <x:c r="V1956" t="str">
        <x:v>OK</x:v>
      </x:c>
      <x:c r="W1956" t="str">
        <x:v>LOAD</x:v>
      </x:c>
      <x:c r="X1956" t="str">
        <x:v>02_Supervisor_Log(4).xlsx</x:v>
      </x:c>
      <x:c r="Y1956" t="str">
        <x:v>ENH-20260830-01</x:v>
      </x:c>
      <x:c r="Z1956" t="str">
        <x:v>Active</x:v>
      </x:c>
      <x:c r="AA1956"/>
      <x:c r="AB1956"/>
      <x:c r="AC1956"/>
      <x:c r="AD1956"/>
    </x:row>
    <x:row r="1957">
      <x:c r="A1957" t="str">
        <x:v>PCC-PE-KG01-L24-20251024-AM-ORD-2025-00125-S01-C3</x:v>
      </x:c>
      <x:c r="B1957" t="str">
        <x:v>PC-PE-KG01-L24-20251024-AM-ORD-2025-00125-S01</x:v>
      </x:c>
      <x:c r="C1957" t="str">
        <x:v>PE-KG01-L24-20251024-AM-ORD-2025-00125</x:v>
      </x:c>
      <x:c r="D1957" t="str">
        <x:v>KG01</x:v>
      </x:c>
      <x:c r="E1957" s="62" t="n">
        <x:v>45954</x:v>
      </x:c>
      <x:c r="F1957" t="str">
        <x:v>AM</x:v>
      </x:c>
      <x:c r="G1957" t="str">
        <x:v>A</x:v>
      </x:c>
      <x:c r="H1957" t="n">
        <x:v>24</x:v>
      </x:c>
      <x:c r="I1957" t="str">
        <x:v>ORD-2025-00125</x:v>
      </x:c>
      <x:c r="J1957" t="n">
        <x:v>1</x:v>
      </x:c>
      <x:c r="K1957" t="n">
        <x:v>3</x:v>
      </x:c>
      <x:c r="L1957" t="str">
        <x:v>L24-S01-C3</x:v>
      </x:c>
      <x:c r="M1957" t="n">
        <x:v>1</x:v>
      </x:c>
      <x:c r="N1957" t="str">
        <x:v>DerivedFromCount</x:v>
      </x:c>
      <x:c r="O1957" t="str">
        <x:v>PLC-PRD-JAR-330-L24</x:v>
      </x:c>
      <x:c r="P1957" t="str">
        <x:v>OK</x:v>
      </x:c>
      <x:c r="Q1957" t="str">
        <x:v>OK</x:v>
      </x:c>
      <x:c r="R1957" t="str">
        <x:v>OK</x:v>
      </x:c>
      <x:c r="S1957" t="str">
        <x:v>OK</x:v>
      </x:c>
      <x:c r="T1957" t="n">
        <x:v>36</x:v>
      </x:c>
      <x:c r="U1957" t="str">
        <x:v>OK</x:v>
      </x:c>
      <x:c r="V1957" t="str">
        <x:v>OK</x:v>
      </x:c>
      <x:c r="W1957" t="str">
        <x:v>LOAD</x:v>
      </x:c>
      <x:c r="X1957" t="str">
        <x:v>02_Supervisor_Log(4).xlsx</x:v>
      </x:c>
      <x:c r="Y1957" t="str">
        <x:v>ENH-20260830-01</x:v>
      </x:c>
      <x:c r="Z1957" t="str">
        <x:v>Active</x:v>
      </x:c>
      <x:c r="AA1957"/>
      <x:c r="AB1957"/>
      <x:c r="AC1957"/>
      <x:c r="AD1957"/>
    </x:row>
    <x:row r="1958">
      <x:c r="A1958" t="str">
        <x:v>PCC-PE-KG01-L24-20251024-AM-ORD-2025-00125-S02-C1</x:v>
      </x:c>
      <x:c r="B1958" t="str">
        <x:v>PC-PE-KG01-L24-20251024-AM-ORD-2025-00125-S02</x:v>
      </x:c>
      <x:c r="C1958" t="str">
        <x:v>PE-KG01-L24-20251024-AM-ORD-2025-00125</x:v>
      </x:c>
      <x:c r="D1958" t="str">
        <x:v>KG01</x:v>
      </x:c>
      <x:c r="E1958" s="62" t="n">
        <x:v>45954</x:v>
      </x:c>
      <x:c r="F1958" t="str">
        <x:v>AM</x:v>
      </x:c>
      <x:c r="G1958" t="str">
        <x:v>A</x:v>
      </x:c>
      <x:c r="H1958" t="n">
        <x:v>24</x:v>
      </x:c>
      <x:c r="I1958" t="str">
        <x:v>ORD-2025-00125</x:v>
      </x:c>
      <x:c r="J1958" t="n">
        <x:v>2</x:v>
      </x:c>
      <x:c r="K1958" t="n">
        <x:v>1</x:v>
      </x:c>
      <x:c r="L1958" t="str">
        <x:v>L24-S02-C1</x:v>
      </x:c>
      <x:c r="M1958" t="n">
        <x:v>1</x:v>
      </x:c>
      <x:c r="N1958" t="str">
        <x:v>DerivedFromCount</x:v>
      </x:c>
      <x:c r="O1958" t="str">
        <x:v>PLC-PRD-JAR-330-L24</x:v>
      </x:c>
      <x:c r="P1958" t="str">
        <x:v>OK</x:v>
      </x:c>
      <x:c r="Q1958" t="str">
        <x:v>OK</x:v>
      </x:c>
      <x:c r="R1958" t="str">
        <x:v>OK</x:v>
      </x:c>
      <x:c r="S1958" t="str">
        <x:v>OK</x:v>
      </x:c>
      <x:c r="T1958" t="n">
        <x:v>36</x:v>
      </x:c>
      <x:c r="U1958" t="str">
        <x:v>OK</x:v>
      </x:c>
      <x:c r="V1958" t="str">
        <x:v>OK</x:v>
      </x:c>
      <x:c r="W1958" t="str">
        <x:v>LOAD</x:v>
      </x:c>
      <x:c r="X1958" t="str">
        <x:v>02_Supervisor_Log(4).xlsx</x:v>
      </x:c>
      <x:c r="Y1958" t="str">
        <x:v>ENH-20260830-01</x:v>
      </x:c>
      <x:c r="Z1958" t="str">
        <x:v>Active</x:v>
      </x:c>
      <x:c r="AA1958"/>
      <x:c r="AB1958"/>
      <x:c r="AC1958"/>
      <x:c r="AD1958"/>
    </x:row>
    <x:row r="1959">
      <x:c r="A1959" t="str">
        <x:v>PCC-PE-KG01-L24-20251024-AM-ORD-2025-00125-S02-C2</x:v>
      </x:c>
      <x:c r="B1959" t="str">
        <x:v>PC-PE-KG01-L24-20251024-AM-ORD-2025-00125-S02</x:v>
      </x:c>
      <x:c r="C1959" t="str">
        <x:v>PE-KG01-L24-20251024-AM-ORD-2025-00125</x:v>
      </x:c>
      <x:c r="D1959" t="str">
        <x:v>KG01</x:v>
      </x:c>
      <x:c r="E1959" s="62" t="n">
        <x:v>45954</x:v>
      </x:c>
      <x:c r="F1959" t="str">
        <x:v>AM</x:v>
      </x:c>
      <x:c r="G1959" t="str">
        <x:v>A</x:v>
      </x:c>
      <x:c r="H1959" t="n">
        <x:v>24</x:v>
      </x:c>
      <x:c r="I1959" t="str">
        <x:v>ORD-2025-00125</x:v>
      </x:c>
      <x:c r="J1959" t="n">
        <x:v>2</x:v>
      </x:c>
      <x:c r="K1959" t="n">
        <x:v>2</x:v>
      </x:c>
      <x:c r="L1959" t="str">
        <x:v>L24-S02-C2</x:v>
      </x:c>
      <x:c r="M1959" t="n">
        <x:v>1</x:v>
      </x:c>
      <x:c r="N1959" t="str">
        <x:v>DerivedFromCount</x:v>
      </x:c>
      <x:c r="O1959" t="str">
        <x:v>PLC-PRD-JAR-330-L24</x:v>
      </x:c>
      <x:c r="P1959" t="str">
        <x:v>OK</x:v>
      </x:c>
      <x:c r="Q1959" t="str">
        <x:v>OK</x:v>
      </x:c>
      <x:c r="R1959" t="str">
        <x:v>OK</x:v>
      </x:c>
      <x:c r="S1959" t="str">
        <x:v>OK</x:v>
      </x:c>
      <x:c r="T1959" t="n">
        <x:v>36</x:v>
      </x:c>
      <x:c r="U1959" t="str">
        <x:v>OK</x:v>
      </x:c>
      <x:c r="V1959" t="str">
        <x:v>OK</x:v>
      </x:c>
      <x:c r="W1959" t="str">
        <x:v>LOAD</x:v>
      </x:c>
      <x:c r="X1959" t="str">
        <x:v>02_Supervisor_Log(4).xlsx</x:v>
      </x:c>
      <x:c r="Y1959" t="str">
        <x:v>ENH-20260830-01</x:v>
      </x:c>
      <x:c r="Z1959" t="str">
        <x:v>Active</x:v>
      </x:c>
      <x:c r="AA1959"/>
      <x:c r="AB1959"/>
      <x:c r="AC1959"/>
      <x:c r="AD1959"/>
    </x:row>
    <x:row r="1960">
      <x:c r="A1960" t="str">
        <x:v>PCC-PE-KG01-L24-20251024-AM-ORD-2025-00125-S02-C3</x:v>
      </x:c>
      <x:c r="B1960" t="str">
        <x:v>PC-PE-KG01-L24-20251024-AM-ORD-2025-00125-S02</x:v>
      </x:c>
      <x:c r="C1960" t="str">
        <x:v>PE-KG01-L24-20251024-AM-ORD-2025-00125</x:v>
      </x:c>
      <x:c r="D1960" t="str">
        <x:v>KG01</x:v>
      </x:c>
      <x:c r="E1960" s="62" t="n">
        <x:v>45954</x:v>
      </x:c>
      <x:c r="F1960" t="str">
        <x:v>AM</x:v>
      </x:c>
      <x:c r="G1960" t="str">
        <x:v>A</x:v>
      </x:c>
      <x:c r="H1960" t="n">
        <x:v>24</x:v>
      </x:c>
      <x:c r="I1960" t="str">
        <x:v>ORD-2025-00125</x:v>
      </x:c>
      <x:c r="J1960" t="n">
        <x:v>2</x:v>
      </x:c>
      <x:c r="K1960" t="n">
        <x:v>3</x:v>
      </x:c>
      <x:c r="L1960" t="str">
        <x:v>L24-S02-C3</x:v>
      </x:c>
      <x:c r="M1960" t="n">
        <x:v>1</x:v>
      </x:c>
      <x:c r="N1960" t="str">
        <x:v>DerivedFromCount</x:v>
      </x:c>
      <x:c r="O1960" t="str">
        <x:v>PLC-PRD-JAR-330-L24</x:v>
      </x:c>
      <x:c r="P1960" t="str">
        <x:v>OK</x:v>
      </x:c>
      <x:c r="Q1960" t="str">
        <x:v>OK</x:v>
      </x:c>
      <x:c r="R1960" t="str">
        <x:v>OK</x:v>
      </x:c>
      <x:c r="S1960" t="str">
        <x:v>OK</x:v>
      </x:c>
      <x:c r="T1960" t="n">
        <x:v>36</x:v>
      </x:c>
      <x:c r="U1960" t="str">
        <x:v>OK</x:v>
      </x:c>
      <x:c r="V1960" t="str">
        <x:v>OK</x:v>
      </x:c>
      <x:c r="W1960" t="str">
        <x:v>LOAD</x:v>
      </x:c>
      <x:c r="X1960" t="str">
        <x:v>02_Supervisor_Log(4).xlsx</x:v>
      </x:c>
      <x:c r="Y1960" t="str">
        <x:v>ENH-20260830-01</x:v>
      </x:c>
      <x:c r="Z1960" t="str">
        <x:v>Active</x:v>
      </x:c>
      <x:c r="AA1960"/>
      <x:c r="AB1960"/>
      <x:c r="AC1960"/>
      <x:c r="AD1960"/>
    </x:row>
    <x:row r="1961">
      <x:c r="A1961" t="str">
        <x:v>PCC-PE-KG01-L24-20251024-AM-ORD-2025-00125-S03-C1</x:v>
      </x:c>
      <x:c r="B1961" t="str">
        <x:v>PC-PE-KG01-L24-20251024-AM-ORD-2025-00125-S03</x:v>
      </x:c>
      <x:c r="C1961" t="str">
        <x:v>PE-KG01-L24-20251024-AM-ORD-2025-00125</x:v>
      </x:c>
      <x:c r="D1961" t="str">
        <x:v>KG01</x:v>
      </x:c>
      <x:c r="E1961" s="62" t="n">
        <x:v>45954</x:v>
      </x:c>
      <x:c r="F1961" t="str">
        <x:v>AM</x:v>
      </x:c>
      <x:c r="G1961" t="str">
        <x:v>A</x:v>
      </x:c>
      <x:c r="H1961" t="n">
        <x:v>24</x:v>
      </x:c>
      <x:c r="I1961" t="str">
        <x:v>ORD-2025-00125</x:v>
      </x:c>
      <x:c r="J1961" t="n">
        <x:v>3</x:v>
      </x:c>
      <x:c r="K1961" t="n">
        <x:v>1</x:v>
      </x:c>
      <x:c r="L1961" t="str">
        <x:v>L24-S03-C1</x:v>
      </x:c>
      <x:c r="M1961" t="n">
        <x:v>1</x:v>
      </x:c>
      <x:c r="N1961" t="str">
        <x:v>DerivedFromCount</x:v>
      </x:c>
      <x:c r="O1961" t="str">
        <x:v>PLC-PRD-JAR-330-L24</x:v>
      </x:c>
      <x:c r="P1961" t="str">
        <x:v>OK</x:v>
      </x:c>
      <x:c r="Q1961" t="str">
        <x:v>OK</x:v>
      </x:c>
      <x:c r="R1961" t="str">
        <x:v>OK</x:v>
      </x:c>
      <x:c r="S1961" t="str">
        <x:v>OK</x:v>
      </x:c>
      <x:c r="T1961" t="n">
        <x:v>36</x:v>
      </x:c>
      <x:c r="U1961" t="str">
        <x:v>OK</x:v>
      </x:c>
      <x:c r="V1961" t="str">
        <x:v>OK</x:v>
      </x:c>
      <x:c r="W1961" t="str">
        <x:v>LOAD</x:v>
      </x:c>
      <x:c r="X1961" t="str">
        <x:v>02_Supervisor_Log(4).xlsx</x:v>
      </x:c>
      <x:c r="Y1961" t="str">
        <x:v>ENH-20260830-01</x:v>
      </x:c>
      <x:c r="Z1961" t="str">
        <x:v>Active</x:v>
      </x:c>
      <x:c r="AA1961"/>
      <x:c r="AB1961"/>
      <x:c r="AC1961"/>
      <x:c r="AD1961"/>
    </x:row>
    <x:row r="1962">
      <x:c r="A1962" t="str">
        <x:v>PCC-PE-KG01-L24-20251024-AM-ORD-2025-00125-S03-C2</x:v>
      </x:c>
      <x:c r="B1962" t="str">
        <x:v>PC-PE-KG01-L24-20251024-AM-ORD-2025-00125-S03</x:v>
      </x:c>
      <x:c r="C1962" t="str">
        <x:v>PE-KG01-L24-20251024-AM-ORD-2025-00125</x:v>
      </x:c>
      <x:c r="D1962" t="str">
        <x:v>KG01</x:v>
      </x:c>
      <x:c r="E1962" s="62" t="n">
        <x:v>45954</x:v>
      </x:c>
      <x:c r="F1962" t="str">
        <x:v>AM</x:v>
      </x:c>
      <x:c r="G1962" t="str">
        <x:v>A</x:v>
      </x:c>
      <x:c r="H1962" t="n">
        <x:v>24</x:v>
      </x:c>
      <x:c r="I1962" t="str">
        <x:v>ORD-2025-00125</x:v>
      </x:c>
      <x:c r="J1962" t="n">
        <x:v>3</x:v>
      </x:c>
      <x:c r="K1962" t="n">
        <x:v>2</x:v>
      </x:c>
      <x:c r="L1962" t="str">
        <x:v>L24-S03-C2</x:v>
      </x:c>
      <x:c r="M1962" t="n">
        <x:v>1</x:v>
      </x:c>
      <x:c r="N1962" t="str">
        <x:v>DerivedFromCount</x:v>
      </x:c>
      <x:c r="O1962" t="str">
        <x:v>PLC-PRD-JAR-330-L24</x:v>
      </x:c>
      <x:c r="P1962" t="str">
        <x:v>OK</x:v>
      </x:c>
      <x:c r="Q1962" t="str">
        <x:v>OK</x:v>
      </x:c>
      <x:c r="R1962" t="str">
        <x:v>OK</x:v>
      </x:c>
      <x:c r="S1962" t="str">
        <x:v>OK</x:v>
      </x:c>
      <x:c r="T1962" t="n">
        <x:v>36</x:v>
      </x:c>
      <x:c r="U1962" t="str">
        <x:v>OK</x:v>
      </x:c>
      <x:c r="V1962" t="str">
        <x:v>OK</x:v>
      </x:c>
      <x:c r="W1962" t="str">
        <x:v>LOAD</x:v>
      </x:c>
      <x:c r="X1962" t="str">
        <x:v>02_Supervisor_Log(4).xlsx</x:v>
      </x:c>
      <x:c r="Y1962" t="str">
        <x:v>ENH-20260830-01</x:v>
      </x:c>
      <x:c r="Z1962" t="str">
        <x:v>Active</x:v>
      </x:c>
      <x:c r="AA1962"/>
      <x:c r="AB1962"/>
      <x:c r="AC1962"/>
      <x:c r="AD1962"/>
    </x:row>
    <x:row r="1963">
      <x:c r="A1963" t="str">
        <x:v>PCC-PE-KG01-L24-20251024-AM-ORD-2025-00125-S03-C3</x:v>
      </x:c>
      <x:c r="B1963" t="str">
        <x:v>PC-PE-KG01-L24-20251024-AM-ORD-2025-00125-S03</x:v>
      </x:c>
      <x:c r="C1963" t="str">
        <x:v>PE-KG01-L24-20251024-AM-ORD-2025-00125</x:v>
      </x:c>
      <x:c r="D1963" t="str">
        <x:v>KG01</x:v>
      </x:c>
      <x:c r="E1963" s="62" t="n">
        <x:v>45954</x:v>
      </x:c>
      <x:c r="F1963" t="str">
        <x:v>AM</x:v>
      </x:c>
      <x:c r="G1963" t="str">
        <x:v>A</x:v>
      </x:c>
      <x:c r="H1963" t="n">
        <x:v>24</x:v>
      </x:c>
      <x:c r="I1963" t="str">
        <x:v>ORD-2025-00125</x:v>
      </x:c>
      <x:c r="J1963" t="n">
        <x:v>3</x:v>
      </x:c>
      <x:c r="K1963" t="n">
        <x:v>3</x:v>
      </x:c>
      <x:c r="L1963" t="str">
        <x:v>L24-S03-C3</x:v>
      </x:c>
      <x:c r="M1963" t="n">
        <x:v>1</x:v>
      </x:c>
      <x:c r="N1963" t="str">
        <x:v>DerivedFromCount</x:v>
      </x:c>
      <x:c r="O1963" t="str">
        <x:v>PLC-PRD-JAR-330-L24</x:v>
      </x:c>
      <x:c r="P1963" t="str">
        <x:v>OK</x:v>
      </x:c>
      <x:c r="Q1963" t="str">
        <x:v>OK</x:v>
      </x:c>
      <x:c r="R1963" t="str">
        <x:v>OK</x:v>
      </x:c>
      <x:c r="S1963" t="str">
        <x:v>OK</x:v>
      </x:c>
      <x:c r="T1963" t="n">
        <x:v>36</x:v>
      </x:c>
      <x:c r="U1963" t="str">
        <x:v>OK</x:v>
      </x:c>
      <x:c r="V1963" t="str">
        <x:v>OK</x:v>
      </x:c>
      <x:c r="W1963" t="str">
        <x:v>LOAD</x:v>
      </x:c>
      <x:c r="X1963" t="str">
        <x:v>02_Supervisor_Log(4).xlsx</x:v>
      </x:c>
      <x:c r="Y1963" t="str">
        <x:v>ENH-20260830-01</x:v>
      </x:c>
      <x:c r="Z1963" t="str">
        <x:v>Active</x:v>
      </x:c>
      <x:c r="AA1963"/>
      <x:c r="AB1963"/>
      <x:c r="AC1963"/>
      <x:c r="AD1963"/>
    </x:row>
    <x:row r="1964">
      <x:c r="A1964" t="str">
        <x:v>PCC-PE-KG01-L24-20251024-AM-ORD-2025-00125-S04-C1</x:v>
      </x:c>
      <x:c r="B1964" t="str">
        <x:v>PC-PE-KG01-L24-20251024-AM-ORD-2025-00125-S04</x:v>
      </x:c>
      <x:c r="C1964" t="str">
        <x:v>PE-KG01-L24-20251024-AM-ORD-2025-00125</x:v>
      </x:c>
      <x:c r="D1964" t="str">
        <x:v>KG01</x:v>
      </x:c>
      <x:c r="E1964" s="62" t="n">
        <x:v>45954</x:v>
      </x:c>
      <x:c r="F1964" t="str">
        <x:v>AM</x:v>
      </x:c>
      <x:c r="G1964" t="str">
        <x:v>A</x:v>
      </x:c>
      <x:c r="H1964" t="n">
        <x:v>24</x:v>
      </x:c>
      <x:c r="I1964" t="str">
        <x:v>ORD-2025-00125</x:v>
      </x:c>
      <x:c r="J1964" t="n">
        <x:v>4</x:v>
      </x:c>
      <x:c r="K1964" t="n">
        <x:v>1</x:v>
      </x:c>
      <x:c r="L1964" t="str">
        <x:v>L24-S04-C1</x:v>
      </x:c>
      <x:c r="M1964" t="n">
        <x:v>1</x:v>
      </x:c>
      <x:c r="N1964" t="str">
        <x:v>DerivedFromCount</x:v>
      </x:c>
      <x:c r="O1964" t="str">
        <x:v>PLC-PRD-JAR-330-L24</x:v>
      </x:c>
      <x:c r="P1964" t="str">
        <x:v>OK</x:v>
      </x:c>
      <x:c r="Q1964" t="str">
        <x:v>OK</x:v>
      </x:c>
      <x:c r="R1964" t="str">
        <x:v>OK</x:v>
      </x:c>
      <x:c r="S1964" t="str">
        <x:v>OK</x:v>
      </x:c>
      <x:c r="T1964" t="n">
        <x:v>36</x:v>
      </x:c>
      <x:c r="U1964" t="str">
        <x:v>OK</x:v>
      </x:c>
      <x:c r="V1964" t="str">
        <x:v>OK</x:v>
      </x:c>
      <x:c r="W1964" t="str">
        <x:v>LOAD</x:v>
      </x:c>
      <x:c r="X1964" t="str">
        <x:v>02_Supervisor_Log(4).xlsx</x:v>
      </x:c>
      <x:c r="Y1964" t="str">
        <x:v>ENH-20260830-01</x:v>
      </x:c>
      <x:c r="Z1964" t="str">
        <x:v>Active</x:v>
      </x:c>
      <x:c r="AA1964"/>
      <x:c r="AB1964"/>
      <x:c r="AC1964"/>
      <x:c r="AD1964"/>
    </x:row>
    <x:row r="1965">
      <x:c r="A1965" t="str">
        <x:v>PCC-PE-KG01-L24-20251024-AM-ORD-2025-00125-S04-C2</x:v>
      </x:c>
      <x:c r="B1965" t="str">
        <x:v>PC-PE-KG01-L24-20251024-AM-ORD-2025-00125-S04</x:v>
      </x:c>
      <x:c r="C1965" t="str">
        <x:v>PE-KG01-L24-20251024-AM-ORD-2025-00125</x:v>
      </x:c>
      <x:c r="D1965" t="str">
        <x:v>KG01</x:v>
      </x:c>
      <x:c r="E1965" s="62" t="n">
        <x:v>45954</x:v>
      </x:c>
      <x:c r="F1965" t="str">
        <x:v>AM</x:v>
      </x:c>
      <x:c r="G1965" t="str">
        <x:v>A</x:v>
      </x:c>
      <x:c r="H1965" t="n">
        <x:v>24</x:v>
      </x:c>
      <x:c r="I1965" t="str">
        <x:v>ORD-2025-00125</x:v>
      </x:c>
      <x:c r="J1965" t="n">
        <x:v>4</x:v>
      </x:c>
      <x:c r="K1965" t="n">
        <x:v>2</x:v>
      </x:c>
      <x:c r="L1965" t="str">
        <x:v>L24-S04-C2</x:v>
      </x:c>
      <x:c r="M1965" t="n">
        <x:v>1</x:v>
      </x:c>
      <x:c r="N1965" t="str">
        <x:v>DerivedFromCount</x:v>
      </x:c>
      <x:c r="O1965" t="str">
        <x:v>PLC-PRD-JAR-330-L24</x:v>
      </x:c>
      <x:c r="P1965" t="str">
        <x:v>OK</x:v>
      </x:c>
      <x:c r="Q1965" t="str">
        <x:v>OK</x:v>
      </x:c>
      <x:c r="R1965" t="str">
        <x:v>OK</x:v>
      </x:c>
      <x:c r="S1965" t="str">
        <x:v>OK</x:v>
      </x:c>
      <x:c r="T1965" t="n">
        <x:v>36</x:v>
      </x:c>
      <x:c r="U1965" t="str">
        <x:v>OK</x:v>
      </x:c>
      <x:c r="V1965" t="str">
        <x:v>OK</x:v>
      </x:c>
      <x:c r="W1965" t="str">
        <x:v>LOAD</x:v>
      </x:c>
      <x:c r="X1965" t="str">
        <x:v>02_Supervisor_Log(4).xlsx</x:v>
      </x:c>
      <x:c r="Y1965" t="str">
        <x:v>ENH-20260830-01</x:v>
      </x:c>
      <x:c r="Z1965" t="str">
        <x:v>Active</x:v>
      </x:c>
      <x:c r="AA1965"/>
      <x:c r="AB1965"/>
      <x:c r="AC1965"/>
      <x:c r="AD1965"/>
    </x:row>
    <x:row r="1966">
      <x:c r="A1966" t="str">
        <x:v>PCC-PE-KG01-L24-20251024-AM-ORD-2025-00125-S04-C3</x:v>
      </x:c>
      <x:c r="B1966" t="str">
        <x:v>PC-PE-KG01-L24-20251024-AM-ORD-2025-00125-S04</x:v>
      </x:c>
      <x:c r="C1966" t="str">
        <x:v>PE-KG01-L24-20251024-AM-ORD-2025-00125</x:v>
      </x:c>
      <x:c r="D1966" t="str">
        <x:v>KG01</x:v>
      </x:c>
      <x:c r="E1966" s="62" t="n">
        <x:v>45954</x:v>
      </x:c>
      <x:c r="F1966" t="str">
        <x:v>AM</x:v>
      </x:c>
      <x:c r="G1966" t="str">
        <x:v>A</x:v>
      </x:c>
      <x:c r="H1966" t="n">
        <x:v>24</x:v>
      </x:c>
      <x:c r="I1966" t="str">
        <x:v>ORD-2025-00125</x:v>
      </x:c>
      <x:c r="J1966" t="n">
        <x:v>4</x:v>
      </x:c>
      <x:c r="K1966" t="n">
        <x:v>3</x:v>
      </x:c>
      <x:c r="L1966" t="str">
        <x:v>L24-S04-C3</x:v>
      </x:c>
      <x:c r="M1966" t="n">
        <x:v>1</x:v>
      </x:c>
      <x:c r="N1966" t="str">
        <x:v>DerivedFromCount</x:v>
      </x:c>
      <x:c r="O1966" t="str">
        <x:v>PLC-PRD-JAR-330-L24</x:v>
      </x:c>
      <x:c r="P1966" t="str">
        <x:v>OK</x:v>
      </x:c>
      <x:c r="Q1966" t="str">
        <x:v>OK</x:v>
      </x:c>
      <x:c r="R1966" t="str">
        <x:v>OK</x:v>
      </x:c>
      <x:c r="S1966" t="str">
        <x:v>OK</x:v>
      </x:c>
      <x:c r="T1966" t="n">
        <x:v>36</x:v>
      </x:c>
      <x:c r="U1966" t="str">
        <x:v>OK</x:v>
      </x:c>
      <x:c r="V1966" t="str">
        <x:v>OK</x:v>
      </x:c>
      <x:c r="W1966" t="str">
        <x:v>LOAD</x:v>
      </x:c>
      <x:c r="X1966" t="str">
        <x:v>02_Supervisor_Log(4).xlsx</x:v>
      </x:c>
      <x:c r="Y1966" t="str">
        <x:v>ENH-20260830-01</x:v>
      </x:c>
      <x:c r="Z1966" t="str">
        <x:v>Active</x:v>
      </x:c>
      <x:c r="AA1966"/>
      <x:c r="AB1966"/>
      <x:c r="AC1966"/>
      <x:c r="AD1966"/>
    </x:row>
    <x:row r="1967">
      <x:c r="A1967" t="str">
        <x:v>PCC-PE-KG01-L24-20251024-AM-ORD-2025-00125-S05-C1</x:v>
      </x:c>
      <x:c r="B1967" t="str">
        <x:v>PC-PE-KG01-L24-20251024-AM-ORD-2025-00125-S05</x:v>
      </x:c>
      <x:c r="C1967" t="str">
        <x:v>PE-KG01-L24-20251024-AM-ORD-2025-00125</x:v>
      </x:c>
      <x:c r="D1967" t="str">
        <x:v>KG01</x:v>
      </x:c>
      <x:c r="E1967" s="62" t="n">
        <x:v>45954</x:v>
      </x:c>
      <x:c r="F1967" t="str">
        <x:v>AM</x:v>
      </x:c>
      <x:c r="G1967" t="str">
        <x:v>A</x:v>
      </x:c>
      <x:c r="H1967" t="n">
        <x:v>24</x:v>
      </x:c>
      <x:c r="I1967" t="str">
        <x:v>ORD-2025-00125</x:v>
      </x:c>
      <x:c r="J1967" t="n">
        <x:v>5</x:v>
      </x:c>
      <x:c r="K1967" t="n">
        <x:v>1</x:v>
      </x:c>
      <x:c r="L1967" t="str">
        <x:v>L24-S05-C1</x:v>
      </x:c>
      <x:c r="M1967" t="n">
        <x:v>1</x:v>
      </x:c>
      <x:c r="N1967" t="str">
        <x:v>DerivedFromCount</x:v>
      </x:c>
      <x:c r="O1967" t="str">
        <x:v>PLC-PRD-JAR-330-L24</x:v>
      </x:c>
      <x:c r="P1967" t="str">
        <x:v>OK</x:v>
      </x:c>
      <x:c r="Q1967" t="str">
        <x:v>OK</x:v>
      </x:c>
      <x:c r="R1967" t="str">
        <x:v>OK</x:v>
      </x:c>
      <x:c r="S1967" t="str">
        <x:v>OK</x:v>
      </x:c>
      <x:c r="T1967" t="n">
        <x:v>36</x:v>
      </x:c>
      <x:c r="U1967" t="str">
        <x:v>OK</x:v>
      </x:c>
      <x:c r="V1967" t="str">
        <x:v>OK</x:v>
      </x:c>
      <x:c r="W1967" t="str">
        <x:v>LOAD</x:v>
      </x:c>
      <x:c r="X1967" t="str">
        <x:v>02_Supervisor_Log(4).xlsx</x:v>
      </x:c>
      <x:c r="Y1967" t="str">
        <x:v>ENH-20260830-01</x:v>
      </x:c>
      <x:c r="Z1967" t="str">
        <x:v>Active</x:v>
      </x:c>
      <x:c r="AA1967"/>
      <x:c r="AB1967"/>
      <x:c r="AC1967"/>
      <x:c r="AD1967"/>
    </x:row>
    <x:row r="1968">
      <x:c r="A1968" t="str">
        <x:v>PCC-PE-KG01-L24-20251024-AM-ORD-2025-00125-S05-C2</x:v>
      </x:c>
      <x:c r="B1968" t="str">
        <x:v>PC-PE-KG01-L24-20251024-AM-ORD-2025-00125-S05</x:v>
      </x:c>
      <x:c r="C1968" t="str">
        <x:v>PE-KG01-L24-20251024-AM-ORD-2025-00125</x:v>
      </x:c>
      <x:c r="D1968" t="str">
        <x:v>KG01</x:v>
      </x:c>
      <x:c r="E1968" s="62" t="n">
        <x:v>45954</x:v>
      </x:c>
      <x:c r="F1968" t="str">
        <x:v>AM</x:v>
      </x:c>
      <x:c r="G1968" t="str">
        <x:v>A</x:v>
      </x:c>
      <x:c r="H1968" t="n">
        <x:v>24</x:v>
      </x:c>
      <x:c r="I1968" t="str">
        <x:v>ORD-2025-00125</x:v>
      </x:c>
      <x:c r="J1968" t="n">
        <x:v>5</x:v>
      </x:c>
      <x:c r="K1968" t="n">
        <x:v>2</x:v>
      </x:c>
      <x:c r="L1968" t="str">
        <x:v>L24-S05-C2</x:v>
      </x:c>
      <x:c r="M1968" t="n">
        <x:v>1</x:v>
      </x:c>
      <x:c r="N1968" t="str">
        <x:v>DerivedFromCount</x:v>
      </x:c>
      <x:c r="O1968" t="str">
        <x:v>PLC-PRD-JAR-330-L24</x:v>
      </x:c>
      <x:c r="P1968" t="str">
        <x:v>OK</x:v>
      </x:c>
      <x:c r="Q1968" t="str">
        <x:v>OK</x:v>
      </x:c>
      <x:c r="R1968" t="str">
        <x:v>OK</x:v>
      </x:c>
      <x:c r="S1968" t="str">
        <x:v>OK</x:v>
      </x:c>
      <x:c r="T1968" t="n">
        <x:v>36</x:v>
      </x:c>
      <x:c r="U1968" t="str">
        <x:v>OK</x:v>
      </x:c>
      <x:c r="V1968" t="str">
        <x:v>OK</x:v>
      </x:c>
      <x:c r="W1968" t="str">
        <x:v>LOAD</x:v>
      </x:c>
      <x:c r="X1968" t="str">
        <x:v>02_Supervisor_Log(4).xlsx</x:v>
      </x:c>
      <x:c r="Y1968" t="str">
        <x:v>ENH-20260830-01</x:v>
      </x:c>
      <x:c r="Z1968" t="str">
        <x:v>Active</x:v>
      </x:c>
      <x:c r="AA1968"/>
      <x:c r="AB1968"/>
      <x:c r="AC1968"/>
      <x:c r="AD1968"/>
    </x:row>
    <x:row r="1969">
      <x:c r="A1969" t="str">
        <x:v>PCC-PE-KG01-L24-20251024-AM-ORD-2025-00125-S05-C3</x:v>
      </x:c>
      <x:c r="B1969" t="str">
        <x:v>PC-PE-KG01-L24-20251024-AM-ORD-2025-00125-S05</x:v>
      </x:c>
      <x:c r="C1969" t="str">
        <x:v>PE-KG01-L24-20251024-AM-ORD-2025-00125</x:v>
      </x:c>
      <x:c r="D1969" t="str">
        <x:v>KG01</x:v>
      </x:c>
      <x:c r="E1969" s="62" t="n">
        <x:v>45954</x:v>
      </x:c>
      <x:c r="F1969" t="str">
        <x:v>AM</x:v>
      </x:c>
      <x:c r="G1969" t="str">
        <x:v>A</x:v>
      </x:c>
      <x:c r="H1969" t="n">
        <x:v>24</x:v>
      </x:c>
      <x:c r="I1969" t="str">
        <x:v>ORD-2025-00125</x:v>
      </x:c>
      <x:c r="J1969" t="n">
        <x:v>5</x:v>
      </x:c>
      <x:c r="K1969" t="n">
        <x:v>3</x:v>
      </x:c>
      <x:c r="L1969" t="str">
        <x:v>L24-S05-C3</x:v>
      </x:c>
      <x:c r="M1969" t="n">
        <x:v>1</x:v>
      </x:c>
      <x:c r="N1969" t="str">
        <x:v>DerivedFromCount</x:v>
      </x:c>
      <x:c r="O1969" t="str">
        <x:v>PLC-PRD-JAR-330-L24</x:v>
      </x:c>
      <x:c r="P1969" t="str">
        <x:v>OK</x:v>
      </x:c>
      <x:c r="Q1969" t="str">
        <x:v>OK</x:v>
      </x:c>
      <x:c r="R1969" t="str">
        <x:v>OK</x:v>
      </x:c>
      <x:c r="S1969" t="str">
        <x:v>OK</x:v>
      </x:c>
      <x:c r="T1969" t="n">
        <x:v>36</x:v>
      </x:c>
      <x:c r="U1969" t="str">
        <x:v>OK</x:v>
      </x:c>
      <x:c r="V1969" t="str">
        <x:v>OK</x:v>
      </x:c>
      <x:c r="W1969" t="str">
        <x:v>LOAD</x:v>
      </x:c>
      <x:c r="X1969" t="str">
        <x:v>02_Supervisor_Log(4).xlsx</x:v>
      </x:c>
      <x:c r="Y1969" t="str">
        <x:v>ENH-20260830-01</x:v>
      </x:c>
      <x:c r="Z1969" t="str">
        <x:v>Active</x:v>
      </x:c>
      <x:c r="AA1969"/>
      <x:c r="AB1969"/>
      <x:c r="AC1969"/>
      <x:c r="AD1969"/>
    </x:row>
    <x:row r="1970">
      <x:c r="A1970" t="str">
        <x:v>PCC-PE-KG01-L24-20251024-AM-ORD-2025-00125-S06-C1</x:v>
      </x:c>
      <x:c r="B1970" t="str">
        <x:v>PC-PE-KG01-L24-20251024-AM-ORD-2025-00125-S06</x:v>
      </x:c>
      <x:c r="C1970" t="str">
        <x:v>PE-KG01-L24-20251024-AM-ORD-2025-00125</x:v>
      </x:c>
      <x:c r="D1970" t="str">
        <x:v>KG01</x:v>
      </x:c>
      <x:c r="E1970" s="62" t="n">
        <x:v>45954</x:v>
      </x:c>
      <x:c r="F1970" t="str">
        <x:v>AM</x:v>
      </x:c>
      <x:c r="G1970" t="str">
        <x:v>A</x:v>
      </x:c>
      <x:c r="H1970" t="n">
        <x:v>24</x:v>
      </x:c>
      <x:c r="I1970" t="str">
        <x:v>ORD-2025-00125</x:v>
      </x:c>
      <x:c r="J1970" t="n">
        <x:v>6</x:v>
      </x:c>
      <x:c r="K1970" t="n">
        <x:v>1</x:v>
      </x:c>
      <x:c r="L1970" t="str">
        <x:v>L24-S06-C1</x:v>
      </x:c>
      <x:c r="M1970" t="n">
        <x:v>1</x:v>
      </x:c>
      <x:c r="N1970" t="str">
        <x:v>DerivedFromCount</x:v>
      </x:c>
      <x:c r="O1970" t="str">
        <x:v>PLC-PRD-JAR-330-L24</x:v>
      </x:c>
      <x:c r="P1970" t="str">
        <x:v>OK</x:v>
      </x:c>
      <x:c r="Q1970" t="str">
        <x:v>OK</x:v>
      </x:c>
      <x:c r="R1970" t="str">
        <x:v>OK</x:v>
      </x:c>
      <x:c r="S1970" t="str">
        <x:v>OK</x:v>
      </x:c>
      <x:c r="T1970" t="n">
        <x:v>36</x:v>
      </x:c>
      <x:c r="U1970" t="str">
        <x:v>OK</x:v>
      </x:c>
      <x:c r="V1970" t="str">
        <x:v>OK</x:v>
      </x:c>
      <x:c r="W1970" t="str">
        <x:v>LOAD</x:v>
      </x:c>
      <x:c r="X1970" t="str">
        <x:v>02_Supervisor_Log(4).xlsx</x:v>
      </x:c>
      <x:c r="Y1970" t="str">
        <x:v>ENH-20260830-01</x:v>
      </x:c>
      <x:c r="Z1970" t="str">
        <x:v>Active</x:v>
      </x:c>
      <x:c r="AA1970"/>
      <x:c r="AB1970"/>
      <x:c r="AC1970"/>
      <x:c r="AD1970"/>
    </x:row>
    <x:row r="1971">
      <x:c r="A1971" t="str">
        <x:v>PCC-PE-KG01-L24-20251024-AM-ORD-2025-00125-S06-C2</x:v>
      </x:c>
      <x:c r="B1971" t="str">
        <x:v>PC-PE-KG01-L24-20251024-AM-ORD-2025-00125-S06</x:v>
      </x:c>
      <x:c r="C1971" t="str">
        <x:v>PE-KG01-L24-20251024-AM-ORD-2025-00125</x:v>
      </x:c>
      <x:c r="D1971" t="str">
        <x:v>KG01</x:v>
      </x:c>
      <x:c r="E1971" s="62" t="n">
        <x:v>45954</x:v>
      </x:c>
      <x:c r="F1971" t="str">
        <x:v>AM</x:v>
      </x:c>
      <x:c r="G1971" t="str">
        <x:v>A</x:v>
      </x:c>
      <x:c r="H1971" t="n">
        <x:v>24</x:v>
      </x:c>
      <x:c r="I1971" t="str">
        <x:v>ORD-2025-00125</x:v>
      </x:c>
      <x:c r="J1971" t="n">
        <x:v>6</x:v>
      </x:c>
      <x:c r="K1971" t="n">
        <x:v>2</x:v>
      </x:c>
      <x:c r="L1971" t="str">
        <x:v>L24-S06-C2</x:v>
      </x:c>
      <x:c r="M1971" t="n">
        <x:v>1</x:v>
      </x:c>
      <x:c r="N1971" t="str">
        <x:v>DerivedFromCount</x:v>
      </x:c>
      <x:c r="O1971" t="str">
        <x:v>PLC-PRD-JAR-330-L24</x:v>
      </x:c>
      <x:c r="P1971" t="str">
        <x:v>OK</x:v>
      </x:c>
      <x:c r="Q1971" t="str">
        <x:v>OK</x:v>
      </x:c>
      <x:c r="R1971" t="str">
        <x:v>OK</x:v>
      </x:c>
      <x:c r="S1971" t="str">
        <x:v>OK</x:v>
      </x:c>
      <x:c r="T1971" t="n">
        <x:v>36</x:v>
      </x:c>
      <x:c r="U1971" t="str">
        <x:v>OK</x:v>
      </x:c>
      <x:c r="V1971" t="str">
        <x:v>OK</x:v>
      </x:c>
      <x:c r="W1971" t="str">
        <x:v>LOAD</x:v>
      </x:c>
      <x:c r="X1971" t="str">
        <x:v>02_Supervisor_Log(4).xlsx</x:v>
      </x:c>
      <x:c r="Y1971" t="str">
        <x:v>ENH-20260830-01</x:v>
      </x:c>
      <x:c r="Z1971" t="str">
        <x:v>Active</x:v>
      </x:c>
      <x:c r="AA1971"/>
      <x:c r="AB1971"/>
      <x:c r="AC1971"/>
      <x:c r="AD1971"/>
    </x:row>
    <x:row r="1972">
      <x:c r="A1972" t="str">
        <x:v>PCC-PE-KG01-L24-20251024-AM-ORD-2025-00125-S06-C3</x:v>
      </x:c>
      <x:c r="B1972" t="str">
        <x:v>PC-PE-KG01-L24-20251024-AM-ORD-2025-00125-S06</x:v>
      </x:c>
      <x:c r="C1972" t="str">
        <x:v>PE-KG01-L24-20251024-AM-ORD-2025-00125</x:v>
      </x:c>
      <x:c r="D1972" t="str">
        <x:v>KG01</x:v>
      </x:c>
      <x:c r="E1972" s="62" t="n">
        <x:v>45954</x:v>
      </x:c>
      <x:c r="F1972" t="str">
        <x:v>AM</x:v>
      </x:c>
      <x:c r="G1972" t="str">
        <x:v>A</x:v>
      </x:c>
      <x:c r="H1972" t="n">
        <x:v>24</x:v>
      </x:c>
      <x:c r="I1972" t="str">
        <x:v>ORD-2025-00125</x:v>
      </x:c>
      <x:c r="J1972" t="n">
        <x:v>6</x:v>
      </x:c>
      <x:c r="K1972" t="n">
        <x:v>3</x:v>
      </x:c>
      <x:c r="L1972" t="str">
        <x:v>L24-S06-C3</x:v>
      </x:c>
      <x:c r="M1972" t="n">
        <x:v>1</x:v>
      </x:c>
      <x:c r="N1972" t="str">
        <x:v>DerivedFromCount</x:v>
      </x:c>
      <x:c r="O1972" t="str">
        <x:v>PLC-PRD-JAR-330-L24</x:v>
      </x:c>
      <x:c r="P1972" t="str">
        <x:v>OK</x:v>
      </x:c>
      <x:c r="Q1972" t="str">
        <x:v>OK</x:v>
      </x:c>
      <x:c r="R1972" t="str">
        <x:v>OK</x:v>
      </x:c>
      <x:c r="S1972" t="str">
        <x:v>OK</x:v>
      </x:c>
      <x:c r="T1972" t="n">
        <x:v>36</x:v>
      </x:c>
      <x:c r="U1972" t="str">
        <x:v>OK</x:v>
      </x:c>
      <x:c r="V1972" t="str">
        <x:v>OK</x:v>
      </x:c>
      <x:c r="W1972" t="str">
        <x:v>LOAD</x:v>
      </x:c>
      <x:c r="X1972" t="str">
        <x:v>02_Supervisor_Log(4).xlsx</x:v>
      </x:c>
      <x:c r="Y1972" t="str">
        <x:v>ENH-20260830-01</x:v>
      </x:c>
      <x:c r="Z1972" t="str">
        <x:v>Active</x:v>
      </x:c>
      <x:c r="AA1972"/>
      <x:c r="AB1972"/>
      <x:c r="AC1972"/>
      <x:c r="AD1972"/>
    </x:row>
    <x:row r="1973">
      <x:c r="A1973" t="str">
        <x:v>PCC-PE-KG01-L24-20251024-AM-ORD-2025-00125-S07-C1</x:v>
      </x:c>
      <x:c r="B1973" t="str">
        <x:v>PC-PE-KG01-L24-20251024-AM-ORD-2025-00125-S07</x:v>
      </x:c>
      <x:c r="C1973" t="str">
        <x:v>PE-KG01-L24-20251024-AM-ORD-2025-00125</x:v>
      </x:c>
      <x:c r="D1973" t="str">
        <x:v>KG01</x:v>
      </x:c>
      <x:c r="E1973" s="62" t="n">
        <x:v>45954</x:v>
      </x:c>
      <x:c r="F1973" t="str">
        <x:v>AM</x:v>
      </x:c>
      <x:c r="G1973" t="str">
        <x:v>A</x:v>
      </x:c>
      <x:c r="H1973" t="n">
        <x:v>24</x:v>
      </x:c>
      <x:c r="I1973" t="str">
        <x:v>ORD-2025-00125</x:v>
      </x:c>
      <x:c r="J1973" t="n">
        <x:v>7</x:v>
      </x:c>
      <x:c r="K1973" t="n">
        <x:v>1</x:v>
      </x:c>
      <x:c r="L1973" t="str">
        <x:v>L24-S07-C1</x:v>
      </x:c>
      <x:c r="M1973" t="n">
        <x:v>1</x:v>
      </x:c>
      <x:c r="N1973" t="str">
        <x:v>DerivedFromCount</x:v>
      </x:c>
      <x:c r="O1973" t="str">
        <x:v>PLC-PRD-JAR-330-L24</x:v>
      </x:c>
      <x:c r="P1973" t="str">
        <x:v>OK</x:v>
      </x:c>
      <x:c r="Q1973" t="str">
        <x:v>OK</x:v>
      </x:c>
      <x:c r="R1973" t="str">
        <x:v>OK</x:v>
      </x:c>
      <x:c r="S1973" t="str">
        <x:v>OK</x:v>
      </x:c>
      <x:c r="T1973" t="n">
        <x:v>36</x:v>
      </x:c>
      <x:c r="U1973" t="str">
        <x:v>OK</x:v>
      </x:c>
      <x:c r="V1973" t="str">
        <x:v>OK</x:v>
      </x:c>
      <x:c r="W1973" t="str">
        <x:v>LOAD</x:v>
      </x:c>
      <x:c r="X1973" t="str">
        <x:v>02_Supervisor_Log(4).xlsx</x:v>
      </x:c>
      <x:c r="Y1973" t="str">
        <x:v>ENH-20260830-01</x:v>
      </x:c>
      <x:c r="Z1973" t="str">
        <x:v>Active</x:v>
      </x:c>
      <x:c r="AA1973"/>
      <x:c r="AB1973"/>
      <x:c r="AC1973"/>
      <x:c r="AD1973"/>
    </x:row>
    <x:row r="1974">
      <x:c r="A1974" t="str">
        <x:v>PCC-PE-KG01-L24-20251024-AM-ORD-2025-00125-S07-C2</x:v>
      </x:c>
      <x:c r="B1974" t="str">
        <x:v>PC-PE-KG01-L24-20251024-AM-ORD-2025-00125-S07</x:v>
      </x:c>
      <x:c r="C1974" t="str">
        <x:v>PE-KG01-L24-20251024-AM-ORD-2025-00125</x:v>
      </x:c>
      <x:c r="D1974" t="str">
        <x:v>KG01</x:v>
      </x:c>
      <x:c r="E1974" s="62" t="n">
        <x:v>45954</x:v>
      </x:c>
      <x:c r="F1974" t="str">
        <x:v>AM</x:v>
      </x:c>
      <x:c r="G1974" t="str">
        <x:v>A</x:v>
      </x:c>
      <x:c r="H1974" t="n">
        <x:v>24</x:v>
      </x:c>
      <x:c r="I1974" t="str">
        <x:v>ORD-2025-00125</x:v>
      </x:c>
      <x:c r="J1974" t="n">
        <x:v>7</x:v>
      </x:c>
      <x:c r="K1974" t="n">
        <x:v>2</x:v>
      </x:c>
      <x:c r="L1974" t="str">
        <x:v>L24-S07-C2</x:v>
      </x:c>
      <x:c r="M1974" t="n">
        <x:v>1</x:v>
      </x:c>
      <x:c r="N1974" t="str">
        <x:v>DerivedFromCount</x:v>
      </x:c>
      <x:c r="O1974" t="str">
        <x:v>PLC-PRD-JAR-330-L24</x:v>
      </x:c>
      <x:c r="P1974" t="str">
        <x:v>OK</x:v>
      </x:c>
      <x:c r="Q1974" t="str">
        <x:v>OK</x:v>
      </x:c>
      <x:c r="R1974" t="str">
        <x:v>OK</x:v>
      </x:c>
      <x:c r="S1974" t="str">
        <x:v>OK</x:v>
      </x:c>
      <x:c r="T1974" t="n">
        <x:v>36</x:v>
      </x:c>
      <x:c r="U1974" t="str">
        <x:v>OK</x:v>
      </x:c>
      <x:c r="V1974" t="str">
        <x:v>OK</x:v>
      </x:c>
      <x:c r="W1974" t="str">
        <x:v>LOAD</x:v>
      </x:c>
      <x:c r="X1974" t="str">
        <x:v>02_Supervisor_Log(4).xlsx</x:v>
      </x:c>
      <x:c r="Y1974" t="str">
        <x:v>ENH-20260830-01</x:v>
      </x:c>
      <x:c r="Z1974" t="str">
        <x:v>Active</x:v>
      </x:c>
      <x:c r="AA1974"/>
      <x:c r="AB1974"/>
      <x:c r="AC1974"/>
      <x:c r="AD1974"/>
    </x:row>
    <x:row r="1975">
      <x:c r="A1975" t="str">
        <x:v>PCC-PE-KG01-L24-20251024-AM-ORD-2025-00125-S07-C3</x:v>
      </x:c>
      <x:c r="B1975" t="str">
        <x:v>PC-PE-KG01-L24-20251024-AM-ORD-2025-00125-S07</x:v>
      </x:c>
      <x:c r="C1975" t="str">
        <x:v>PE-KG01-L24-20251024-AM-ORD-2025-00125</x:v>
      </x:c>
      <x:c r="D1975" t="str">
        <x:v>KG01</x:v>
      </x:c>
      <x:c r="E1975" s="62" t="n">
        <x:v>45954</x:v>
      </x:c>
      <x:c r="F1975" t="str">
        <x:v>AM</x:v>
      </x:c>
      <x:c r="G1975" t="str">
        <x:v>A</x:v>
      </x:c>
      <x:c r="H1975" t="n">
        <x:v>24</x:v>
      </x:c>
      <x:c r="I1975" t="str">
        <x:v>ORD-2025-00125</x:v>
      </x:c>
      <x:c r="J1975" t="n">
        <x:v>7</x:v>
      </x:c>
      <x:c r="K1975" t="n">
        <x:v>3</x:v>
      </x:c>
      <x:c r="L1975" t="str">
        <x:v>L24-S07-C3</x:v>
      </x:c>
      <x:c r="M1975" t="n">
        <x:v>1</x:v>
      </x:c>
      <x:c r="N1975" t="str">
        <x:v>DerivedFromCount</x:v>
      </x:c>
      <x:c r="O1975" t="str">
        <x:v>PLC-PRD-JAR-330-L24</x:v>
      </x:c>
      <x:c r="P1975" t="str">
        <x:v>OK</x:v>
      </x:c>
      <x:c r="Q1975" t="str">
        <x:v>OK</x:v>
      </x:c>
      <x:c r="R1975" t="str">
        <x:v>OK</x:v>
      </x:c>
      <x:c r="S1975" t="str">
        <x:v>OK</x:v>
      </x:c>
      <x:c r="T1975" t="n">
        <x:v>36</x:v>
      </x:c>
      <x:c r="U1975" t="str">
        <x:v>OK</x:v>
      </x:c>
      <x:c r="V1975" t="str">
        <x:v>OK</x:v>
      </x:c>
      <x:c r="W1975" t="str">
        <x:v>LOAD</x:v>
      </x:c>
      <x:c r="X1975" t="str">
        <x:v>02_Supervisor_Log(4).xlsx</x:v>
      </x:c>
      <x:c r="Y1975" t="str">
        <x:v>ENH-20260830-01</x:v>
      </x:c>
      <x:c r="Z1975" t="str">
        <x:v>Active</x:v>
      </x:c>
      <x:c r="AA1975"/>
      <x:c r="AB1975"/>
      <x:c r="AC1975"/>
      <x:c r="AD1975"/>
    </x:row>
    <x:row r="1976">
      <x:c r="A1976" t="str">
        <x:v>PCC-PE-KG01-L24-20251024-AM-ORD-2025-00125-S08-C1</x:v>
      </x:c>
      <x:c r="B1976" t="str">
        <x:v>PC-PE-KG01-L24-20251024-AM-ORD-2025-00125-S08</x:v>
      </x:c>
      <x:c r="C1976" t="str">
        <x:v>PE-KG01-L24-20251024-AM-ORD-2025-00125</x:v>
      </x:c>
      <x:c r="D1976" t="str">
        <x:v>KG01</x:v>
      </x:c>
      <x:c r="E1976" s="62" t="n">
        <x:v>45954</x:v>
      </x:c>
      <x:c r="F1976" t="str">
        <x:v>AM</x:v>
      </x:c>
      <x:c r="G1976" t="str">
        <x:v>A</x:v>
      </x:c>
      <x:c r="H1976" t="n">
        <x:v>24</x:v>
      </x:c>
      <x:c r="I1976" t="str">
        <x:v>ORD-2025-00125</x:v>
      </x:c>
      <x:c r="J1976" t="n">
        <x:v>8</x:v>
      </x:c>
      <x:c r="K1976" t="n">
        <x:v>1</x:v>
      </x:c>
      <x:c r="L1976" t="str">
        <x:v>L24-S08-C1</x:v>
      </x:c>
      <x:c r="M1976" t="n">
        <x:v>1</x:v>
      </x:c>
      <x:c r="N1976" t="str">
        <x:v>DerivedFromCount</x:v>
      </x:c>
      <x:c r="O1976" t="str">
        <x:v>PLC-PRD-JAR-330-L24</x:v>
      </x:c>
      <x:c r="P1976" t="str">
        <x:v>OK</x:v>
      </x:c>
      <x:c r="Q1976" t="str">
        <x:v>OK</x:v>
      </x:c>
      <x:c r="R1976" t="str">
        <x:v>OK</x:v>
      </x:c>
      <x:c r="S1976" t="str">
        <x:v>OK</x:v>
      </x:c>
      <x:c r="T1976" t="n">
        <x:v>36</x:v>
      </x:c>
      <x:c r="U1976" t="str">
        <x:v>OK</x:v>
      </x:c>
      <x:c r="V1976" t="str">
        <x:v>OK</x:v>
      </x:c>
      <x:c r="W1976" t="str">
        <x:v>LOAD</x:v>
      </x:c>
      <x:c r="X1976" t="str">
        <x:v>02_Supervisor_Log(4).xlsx</x:v>
      </x:c>
      <x:c r="Y1976" t="str">
        <x:v>ENH-20260830-01</x:v>
      </x:c>
      <x:c r="Z1976" t="str">
        <x:v>Active</x:v>
      </x:c>
      <x:c r="AA1976"/>
      <x:c r="AB1976"/>
      <x:c r="AC1976"/>
      <x:c r="AD1976"/>
    </x:row>
    <x:row r="1977">
      <x:c r="A1977" t="str">
        <x:v>PCC-PE-KG01-L24-20251024-AM-ORD-2025-00125-S08-C2</x:v>
      </x:c>
      <x:c r="B1977" t="str">
        <x:v>PC-PE-KG01-L24-20251024-AM-ORD-2025-00125-S08</x:v>
      </x:c>
      <x:c r="C1977" t="str">
        <x:v>PE-KG01-L24-20251024-AM-ORD-2025-00125</x:v>
      </x:c>
      <x:c r="D1977" t="str">
        <x:v>KG01</x:v>
      </x:c>
      <x:c r="E1977" s="62" t="n">
        <x:v>45954</x:v>
      </x:c>
      <x:c r="F1977" t="str">
        <x:v>AM</x:v>
      </x:c>
      <x:c r="G1977" t="str">
        <x:v>A</x:v>
      </x:c>
      <x:c r="H1977" t="n">
        <x:v>24</x:v>
      </x:c>
      <x:c r="I1977" t="str">
        <x:v>ORD-2025-00125</x:v>
      </x:c>
      <x:c r="J1977" t="n">
        <x:v>8</x:v>
      </x:c>
      <x:c r="K1977" t="n">
        <x:v>2</x:v>
      </x:c>
      <x:c r="L1977" t="str">
        <x:v>L24-S08-C2</x:v>
      </x:c>
      <x:c r="M1977" t="n">
        <x:v>1</x:v>
      </x:c>
      <x:c r="N1977" t="str">
        <x:v>DerivedFromCount</x:v>
      </x:c>
      <x:c r="O1977" t="str">
        <x:v>PLC-PRD-JAR-330-L24</x:v>
      </x:c>
      <x:c r="P1977" t="str">
        <x:v>OK</x:v>
      </x:c>
      <x:c r="Q1977" t="str">
        <x:v>OK</x:v>
      </x:c>
      <x:c r="R1977" t="str">
        <x:v>OK</x:v>
      </x:c>
      <x:c r="S1977" t="str">
        <x:v>OK</x:v>
      </x:c>
      <x:c r="T1977" t="n">
        <x:v>36</x:v>
      </x:c>
      <x:c r="U1977" t="str">
        <x:v>OK</x:v>
      </x:c>
      <x:c r="V1977" t="str">
        <x:v>OK</x:v>
      </x:c>
      <x:c r="W1977" t="str">
        <x:v>LOAD</x:v>
      </x:c>
      <x:c r="X1977" t="str">
        <x:v>02_Supervisor_Log(4).xlsx</x:v>
      </x:c>
      <x:c r="Y1977" t="str">
        <x:v>ENH-20260830-01</x:v>
      </x:c>
      <x:c r="Z1977" t="str">
        <x:v>Active</x:v>
      </x:c>
      <x:c r="AA1977"/>
      <x:c r="AB1977"/>
      <x:c r="AC1977"/>
      <x:c r="AD1977"/>
    </x:row>
    <x:row r="1978">
      <x:c r="A1978" t="str">
        <x:v>PCC-PE-KG01-L24-20251024-AM-ORD-2025-00125-S08-C3</x:v>
      </x:c>
      <x:c r="B1978" t="str">
        <x:v>PC-PE-KG01-L24-20251024-AM-ORD-2025-00125-S08</x:v>
      </x:c>
      <x:c r="C1978" t="str">
        <x:v>PE-KG01-L24-20251024-AM-ORD-2025-00125</x:v>
      </x:c>
      <x:c r="D1978" t="str">
        <x:v>KG01</x:v>
      </x:c>
      <x:c r="E1978" s="62" t="n">
        <x:v>45954</x:v>
      </x:c>
      <x:c r="F1978" t="str">
        <x:v>AM</x:v>
      </x:c>
      <x:c r="G1978" t="str">
        <x:v>A</x:v>
      </x:c>
      <x:c r="H1978" t="n">
        <x:v>24</x:v>
      </x:c>
      <x:c r="I1978" t="str">
        <x:v>ORD-2025-00125</x:v>
      </x:c>
      <x:c r="J1978" t="n">
        <x:v>8</x:v>
      </x:c>
      <x:c r="K1978" t="n">
        <x:v>3</x:v>
      </x:c>
      <x:c r="L1978" t="str">
        <x:v>L24-S08-C3</x:v>
      </x:c>
      <x:c r="M1978" t="n">
        <x:v>1</x:v>
      </x:c>
      <x:c r="N1978" t="str">
        <x:v>DerivedFromCount</x:v>
      </x:c>
      <x:c r="O1978" t="str">
        <x:v>PLC-PRD-JAR-330-L24</x:v>
      </x:c>
      <x:c r="P1978" t="str">
        <x:v>OK</x:v>
      </x:c>
      <x:c r="Q1978" t="str">
        <x:v>OK</x:v>
      </x:c>
      <x:c r="R1978" t="str">
        <x:v>OK</x:v>
      </x:c>
      <x:c r="S1978" t="str">
        <x:v>OK</x:v>
      </x:c>
      <x:c r="T1978" t="n">
        <x:v>36</x:v>
      </x:c>
      <x:c r="U1978" t="str">
        <x:v>OK</x:v>
      </x:c>
      <x:c r="V1978" t="str">
        <x:v>OK</x:v>
      </x:c>
      <x:c r="W1978" t="str">
        <x:v>LOAD</x:v>
      </x:c>
      <x:c r="X1978" t="str">
        <x:v>02_Supervisor_Log(4).xlsx</x:v>
      </x:c>
      <x:c r="Y1978" t="str">
        <x:v>ENH-20260830-01</x:v>
      </x:c>
      <x:c r="Z1978" t="str">
        <x:v>Active</x:v>
      </x:c>
      <x:c r="AA1978"/>
      <x:c r="AB1978"/>
      <x:c r="AC1978"/>
      <x:c r="AD1978"/>
    </x:row>
    <x:row r="1979">
      <x:c r="A1979" t="str">
        <x:v>PCC-PE-KG01-L24-20251024-AM-ORD-2025-00125-S09-C1</x:v>
      </x:c>
      <x:c r="B1979" t="str">
        <x:v>PC-PE-KG01-L24-20251024-AM-ORD-2025-00125-S09</x:v>
      </x:c>
      <x:c r="C1979" t="str">
        <x:v>PE-KG01-L24-20251024-AM-ORD-2025-00125</x:v>
      </x:c>
      <x:c r="D1979" t="str">
        <x:v>KG01</x:v>
      </x:c>
      <x:c r="E1979" s="62" t="n">
        <x:v>45954</x:v>
      </x:c>
      <x:c r="F1979" t="str">
        <x:v>AM</x:v>
      </x:c>
      <x:c r="G1979" t="str">
        <x:v>A</x:v>
      </x:c>
      <x:c r="H1979" t="n">
        <x:v>24</x:v>
      </x:c>
      <x:c r="I1979" t="str">
        <x:v>ORD-2025-00125</x:v>
      </x:c>
      <x:c r="J1979" t="n">
        <x:v>9</x:v>
      </x:c>
      <x:c r="K1979" t="n">
        <x:v>1</x:v>
      </x:c>
      <x:c r="L1979" t="str">
        <x:v>L24-S09-C1</x:v>
      </x:c>
      <x:c r="M1979" t="n">
        <x:v>1</x:v>
      </x:c>
      <x:c r="N1979" t="str">
        <x:v>DerivedFromCount</x:v>
      </x:c>
      <x:c r="O1979" t="str">
        <x:v>PLC-PRD-JAR-330-L24</x:v>
      </x:c>
      <x:c r="P1979" t="str">
        <x:v>OK</x:v>
      </x:c>
      <x:c r="Q1979" t="str">
        <x:v>OK</x:v>
      </x:c>
      <x:c r="R1979" t="str">
        <x:v>OK</x:v>
      </x:c>
      <x:c r="S1979" t="str">
        <x:v>OK</x:v>
      </x:c>
      <x:c r="T1979" t="n">
        <x:v>36</x:v>
      </x:c>
      <x:c r="U1979" t="str">
        <x:v>OK</x:v>
      </x:c>
      <x:c r="V1979" t="str">
        <x:v>OK</x:v>
      </x:c>
      <x:c r="W1979" t="str">
        <x:v>LOAD</x:v>
      </x:c>
      <x:c r="X1979" t="str">
        <x:v>02_Supervisor_Log(4).xlsx</x:v>
      </x:c>
      <x:c r="Y1979" t="str">
        <x:v>ENH-20260830-01</x:v>
      </x:c>
      <x:c r="Z1979" t="str">
        <x:v>Active</x:v>
      </x:c>
      <x:c r="AA1979"/>
      <x:c r="AB1979"/>
      <x:c r="AC1979"/>
      <x:c r="AD1979"/>
    </x:row>
    <x:row r="1980">
      <x:c r="A1980" t="str">
        <x:v>PCC-PE-KG01-L24-20251024-AM-ORD-2025-00125-S09-C2</x:v>
      </x:c>
      <x:c r="B1980" t="str">
        <x:v>PC-PE-KG01-L24-20251024-AM-ORD-2025-00125-S09</x:v>
      </x:c>
      <x:c r="C1980" t="str">
        <x:v>PE-KG01-L24-20251024-AM-ORD-2025-00125</x:v>
      </x:c>
      <x:c r="D1980" t="str">
        <x:v>KG01</x:v>
      </x:c>
      <x:c r="E1980" s="62" t="n">
        <x:v>45954</x:v>
      </x:c>
      <x:c r="F1980" t="str">
        <x:v>AM</x:v>
      </x:c>
      <x:c r="G1980" t="str">
        <x:v>A</x:v>
      </x:c>
      <x:c r="H1980" t="n">
        <x:v>24</x:v>
      </x:c>
      <x:c r="I1980" t="str">
        <x:v>ORD-2025-00125</x:v>
      </x:c>
      <x:c r="J1980" t="n">
        <x:v>9</x:v>
      </x:c>
      <x:c r="K1980" t="n">
        <x:v>2</x:v>
      </x:c>
      <x:c r="L1980" t="str">
        <x:v>L24-S09-C2</x:v>
      </x:c>
      <x:c r="M1980" t="n">
        <x:v>1</x:v>
      </x:c>
      <x:c r="N1980" t="str">
        <x:v>DerivedFromCount</x:v>
      </x:c>
      <x:c r="O1980" t="str">
        <x:v>PLC-PRD-JAR-330-L24</x:v>
      </x:c>
      <x:c r="P1980" t="str">
        <x:v>OK</x:v>
      </x:c>
      <x:c r="Q1980" t="str">
        <x:v>OK</x:v>
      </x:c>
      <x:c r="R1980" t="str">
        <x:v>OK</x:v>
      </x:c>
      <x:c r="S1980" t="str">
        <x:v>OK</x:v>
      </x:c>
      <x:c r="T1980" t="n">
        <x:v>36</x:v>
      </x:c>
      <x:c r="U1980" t="str">
        <x:v>OK</x:v>
      </x:c>
      <x:c r="V1980" t="str">
        <x:v>OK</x:v>
      </x:c>
      <x:c r="W1980" t="str">
        <x:v>LOAD</x:v>
      </x:c>
      <x:c r="X1980" t="str">
        <x:v>02_Supervisor_Log(4).xlsx</x:v>
      </x:c>
      <x:c r="Y1980" t="str">
        <x:v>ENH-20260830-01</x:v>
      </x:c>
      <x:c r="Z1980" t="str">
        <x:v>Active</x:v>
      </x:c>
      <x:c r="AA1980"/>
      <x:c r="AB1980"/>
      <x:c r="AC1980"/>
      <x:c r="AD1980"/>
    </x:row>
    <x:row r="1981">
      <x:c r="A1981" t="str">
        <x:v>PCC-PE-KG01-L24-20251024-AM-ORD-2025-00125-S09-C3</x:v>
      </x:c>
      <x:c r="B1981" t="str">
        <x:v>PC-PE-KG01-L24-20251024-AM-ORD-2025-00125-S09</x:v>
      </x:c>
      <x:c r="C1981" t="str">
        <x:v>PE-KG01-L24-20251024-AM-ORD-2025-00125</x:v>
      </x:c>
      <x:c r="D1981" t="str">
        <x:v>KG01</x:v>
      </x:c>
      <x:c r="E1981" s="62" t="n">
        <x:v>45954</x:v>
      </x:c>
      <x:c r="F1981" t="str">
        <x:v>AM</x:v>
      </x:c>
      <x:c r="G1981" t="str">
        <x:v>A</x:v>
      </x:c>
      <x:c r="H1981" t="n">
        <x:v>24</x:v>
      </x:c>
      <x:c r="I1981" t="str">
        <x:v>ORD-2025-00125</x:v>
      </x:c>
      <x:c r="J1981" t="n">
        <x:v>9</x:v>
      </x:c>
      <x:c r="K1981" t="n">
        <x:v>3</x:v>
      </x:c>
      <x:c r="L1981" t="str">
        <x:v>L24-S09-C3</x:v>
      </x:c>
      <x:c r="M1981" t="n">
        <x:v>1</x:v>
      </x:c>
      <x:c r="N1981" t="str">
        <x:v>DerivedFromCount</x:v>
      </x:c>
      <x:c r="O1981" t="str">
        <x:v>PLC-PRD-JAR-330-L24</x:v>
      </x:c>
      <x:c r="P1981" t="str">
        <x:v>OK</x:v>
      </x:c>
      <x:c r="Q1981" t="str">
        <x:v>OK</x:v>
      </x:c>
      <x:c r="R1981" t="str">
        <x:v>OK</x:v>
      </x:c>
      <x:c r="S1981" t="str">
        <x:v>OK</x:v>
      </x:c>
      <x:c r="T1981" t="n">
        <x:v>36</x:v>
      </x:c>
      <x:c r="U1981" t="str">
        <x:v>OK</x:v>
      </x:c>
      <x:c r="V1981" t="str">
        <x:v>OK</x:v>
      </x:c>
      <x:c r="W1981" t="str">
        <x:v>LOAD</x:v>
      </x:c>
      <x:c r="X1981" t="str">
        <x:v>02_Supervisor_Log(4).xlsx</x:v>
      </x:c>
      <x:c r="Y1981" t="str">
        <x:v>ENH-20260830-01</x:v>
      </x:c>
      <x:c r="Z1981" t="str">
        <x:v>Active</x:v>
      </x:c>
      <x:c r="AA1981"/>
      <x:c r="AB1981"/>
      <x:c r="AC1981"/>
      <x:c r="AD1981"/>
    </x:row>
    <x:row r="1982">
      <x:c r="A1982" t="str">
        <x:v>PCC-PE-KG01-L24-20251024-AM-ORD-2025-00125-S10-C1</x:v>
      </x:c>
      <x:c r="B1982" t="str">
        <x:v>PC-PE-KG01-L24-20251024-AM-ORD-2025-00125-S10</x:v>
      </x:c>
      <x:c r="C1982" t="str">
        <x:v>PE-KG01-L24-20251024-AM-ORD-2025-00125</x:v>
      </x:c>
      <x:c r="D1982" t="str">
        <x:v>KG01</x:v>
      </x:c>
      <x:c r="E1982" s="62" t="n">
        <x:v>45954</x:v>
      </x:c>
      <x:c r="F1982" t="str">
        <x:v>AM</x:v>
      </x:c>
      <x:c r="G1982" t="str">
        <x:v>A</x:v>
      </x:c>
      <x:c r="H1982" t="n">
        <x:v>24</x:v>
      </x:c>
      <x:c r="I1982" t="str">
        <x:v>ORD-2025-00125</x:v>
      </x:c>
      <x:c r="J1982" t="n">
        <x:v>10</x:v>
      </x:c>
      <x:c r="K1982" t="n">
        <x:v>1</x:v>
      </x:c>
      <x:c r="L1982" t="str">
        <x:v>L24-S10-C1</x:v>
      </x:c>
      <x:c r="M1982" t="n">
        <x:v>1</x:v>
      </x:c>
      <x:c r="N1982" t="str">
        <x:v>DerivedFromCount</x:v>
      </x:c>
      <x:c r="O1982" t="str">
        <x:v>PLC-PRD-JAR-330-L24</x:v>
      </x:c>
      <x:c r="P1982" t="str">
        <x:v>OK</x:v>
      </x:c>
      <x:c r="Q1982" t="str">
        <x:v>OK</x:v>
      </x:c>
      <x:c r="R1982" t="str">
        <x:v>OK</x:v>
      </x:c>
      <x:c r="S1982" t="str">
        <x:v>OK</x:v>
      </x:c>
      <x:c r="T1982" t="n">
        <x:v>36</x:v>
      </x:c>
      <x:c r="U1982" t="str">
        <x:v>OK</x:v>
      </x:c>
      <x:c r="V1982" t="str">
        <x:v>OK</x:v>
      </x:c>
      <x:c r="W1982" t="str">
        <x:v>LOAD</x:v>
      </x:c>
      <x:c r="X1982" t="str">
        <x:v>02_Supervisor_Log(4).xlsx</x:v>
      </x:c>
      <x:c r="Y1982" t="str">
        <x:v>ENH-20260830-01</x:v>
      </x:c>
      <x:c r="Z1982" t="str">
        <x:v>Active</x:v>
      </x:c>
      <x:c r="AA1982"/>
      <x:c r="AB1982"/>
      <x:c r="AC1982"/>
      <x:c r="AD1982"/>
    </x:row>
    <x:row r="1983">
      <x:c r="A1983" t="str">
        <x:v>PCC-PE-KG01-L24-20251024-AM-ORD-2025-00125-S10-C2</x:v>
      </x:c>
      <x:c r="B1983" t="str">
        <x:v>PC-PE-KG01-L24-20251024-AM-ORD-2025-00125-S10</x:v>
      </x:c>
      <x:c r="C1983" t="str">
        <x:v>PE-KG01-L24-20251024-AM-ORD-2025-00125</x:v>
      </x:c>
      <x:c r="D1983" t="str">
        <x:v>KG01</x:v>
      </x:c>
      <x:c r="E1983" s="62" t="n">
        <x:v>45954</x:v>
      </x:c>
      <x:c r="F1983" t="str">
        <x:v>AM</x:v>
      </x:c>
      <x:c r="G1983" t="str">
        <x:v>A</x:v>
      </x:c>
      <x:c r="H1983" t="n">
        <x:v>24</x:v>
      </x:c>
      <x:c r="I1983" t="str">
        <x:v>ORD-2025-00125</x:v>
      </x:c>
      <x:c r="J1983" t="n">
        <x:v>10</x:v>
      </x:c>
      <x:c r="K1983" t="n">
        <x:v>2</x:v>
      </x:c>
      <x:c r="L1983" t="str">
        <x:v>L24-S10-C2</x:v>
      </x:c>
      <x:c r="M1983" t="n">
        <x:v>1</x:v>
      </x:c>
      <x:c r="N1983" t="str">
        <x:v>DerivedFromCount</x:v>
      </x:c>
      <x:c r="O1983" t="str">
        <x:v>PLC-PRD-JAR-330-L24</x:v>
      </x:c>
      <x:c r="P1983" t="str">
        <x:v>OK</x:v>
      </x:c>
      <x:c r="Q1983" t="str">
        <x:v>OK</x:v>
      </x:c>
      <x:c r="R1983" t="str">
        <x:v>OK</x:v>
      </x:c>
      <x:c r="S1983" t="str">
        <x:v>OK</x:v>
      </x:c>
      <x:c r="T1983" t="n">
        <x:v>36</x:v>
      </x:c>
      <x:c r="U1983" t="str">
        <x:v>OK</x:v>
      </x:c>
      <x:c r="V1983" t="str">
        <x:v>OK</x:v>
      </x:c>
      <x:c r="W1983" t="str">
        <x:v>LOAD</x:v>
      </x:c>
      <x:c r="X1983" t="str">
        <x:v>02_Supervisor_Log(4).xlsx</x:v>
      </x:c>
      <x:c r="Y1983" t="str">
        <x:v>ENH-20260830-01</x:v>
      </x:c>
      <x:c r="Z1983" t="str">
        <x:v>Active</x:v>
      </x:c>
      <x:c r="AA1983"/>
      <x:c r="AB1983"/>
      <x:c r="AC1983"/>
      <x:c r="AD1983"/>
    </x:row>
    <x:row r="1984">
      <x:c r="A1984" t="str">
        <x:v>PCC-PE-KG01-L24-20251024-AM-ORD-2025-00125-S10-C3</x:v>
      </x:c>
      <x:c r="B1984" t="str">
        <x:v>PC-PE-KG01-L24-20251024-AM-ORD-2025-00125-S10</x:v>
      </x:c>
      <x:c r="C1984" t="str">
        <x:v>PE-KG01-L24-20251024-AM-ORD-2025-00125</x:v>
      </x:c>
      <x:c r="D1984" t="str">
        <x:v>KG01</x:v>
      </x:c>
      <x:c r="E1984" s="62" t="n">
        <x:v>45954</x:v>
      </x:c>
      <x:c r="F1984" t="str">
        <x:v>AM</x:v>
      </x:c>
      <x:c r="G1984" t="str">
        <x:v>A</x:v>
      </x:c>
      <x:c r="H1984" t="n">
        <x:v>24</x:v>
      </x:c>
      <x:c r="I1984" t="str">
        <x:v>ORD-2025-00125</x:v>
      </x:c>
      <x:c r="J1984" t="n">
        <x:v>10</x:v>
      </x:c>
      <x:c r="K1984" t="n">
        <x:v>3</x:v>
      </x:c>
      <x:c r="L1984" t="str">
        <x:v>L24-S10-C3</x:v>
      </x:c>
      <x:c r="M1984" t="n">
        <x:v>1</x:v>
      </x:c>
      <x:c r="N1984" t="str">
        <x:v>DerivedFromCount</x:v>
      </x:c>
      <x:c r="O1984" t="str">
        <x:v>PLC-PRD-JAR-330-L24</x:v>
      </x:c>
      <x:c r="P1984" t="str">
        <x:v>OK</x:v>
      </x:c>
      <x:c r="Q1984" t="str">
        <x:v>OK</x:v>
      </x:c>
      <x:c r="R1984" t="str">
        <x:v>OK</x:v>
      </x:c>
      <x:c r="S1984" t="str">
        <x:v>OK</x:v>
      </x:c>
      <x:c r="T1984" t="n">
        <x:v>36</x:v>
      </x:c>
      <x:c r="U1984" t="str">
        <x:v>OK</x:v>
      </x:c>
      <x:c r="V1984" t="str">
        <x:v>OK</x:v>
      </x:c>
      <x:c r="W1984" t="str">
        <x:v>LOAD</x:v>
      </x:c>
      <x:c r="X1984" t="str">
        <x:v>02_Supervisor_Log(4).xlsx</x:v>
      </x:c>
      <x:c r="Y1984" t="str">
        <x:v>ENH-20260830-01</x:v>
      </x:c>
      <x:c r="Z1984" t="str">
        <x:v>Active</x:v>
      </x:c>
      <x:c r="AA1984"/>
      <x:c r="AB1984"/>
      <x:c r="AC1984"/>
      <x:c r="AD1984"/>
    </x:row>
    <x:row r="1985">
      <x:c r="A1985" t="str">
        <x:v>PCC-PE-KG01-L24-20251024-AM-ORD-2025-00125-S11-C1</x:v>
      </x:c>
      <x:c r="B1985" t="str">
        <x:v>PC-PE-KG01-L24-20251024-AM-ORD-2025-00125-S11</x:v>
      </x:c>
      <x:c r="C1985" t="str">
        <x:v>PE-KG01-L24-20251024-AM-ORD-2025-00125</x:v>
      </x:c>
      <x:c r="D1985" t="str">
        <x:v>KG01</x:v>
      </x:c>
      <x:c r="E1985" s="62" t="n">
        <x:v>45954</x:v>
      </x:c>
      <x:c r="F1985" t="str">
        <x:v>AM</x:v>
      </x:c>
      <x:c r="G1985" t="str">
        <x:v>A</x:v>
      </x:c>
      <x:c r="H1985" t="n">
        <x:v>24</x:v>
      </x:c>
      <x:c r="I1985" t="str">
        <x:v>ORD-2025-00125</x:v>
      </x:c>
      <x:c r="J1985" t="n">
        <x:v>11</x:v>
      </x:c>
      <x:c r="K1985" t="n">
        <x:v>1</x:v>
      </x:c>
      <x:c r="L1985" t="str">
        <x:v>L24-S11-C1</x:v>
      </x:c>
      <x:c r="M1985" t="n">
        <x:v>1</x:v>
      </x:c>
      <x:c r="N1985" t="str">
        <x:v>DerivedFromCount</x:v>
      </x:c>
      <x:c r="O1985" t="str">
        <x:v>PLC-PRD-JAR-330-L24</x:v>
      </x:c>
      <x:c r="P1985" t="str">
        <x:v>OK</x:v>
      </x:c>
      <x:c r="Q1985" t="str">
        <x:v>OK</x:v>
      </x:c>
      <x:c r="R1985" t="str">
        <x:v>OK</x:v>
      </x:c>
      <x:c r="S1985" t="str">
        <x:v>OK</x:v>
      </x:c>
      <x:c r="T1985" t="n">
        <x:v>36</x:v>
      </x:c>
      <x:c r="U1985" t="str">
        <x:v>OK</x:v>
      </x:c>
      <x:c r="V1985" t="str">
        <x:v>OK</x:v>
      </x:c>
      <x:c r="W1985" t="str">
        <x:v>LOAD</x:v>
      </x:c>
      <x:c r="X1985" t="str">
        <x:v>02_Supervisor_Log(4).xlsx</x:v>
      </x:c>
      <x:c r="Y1985" t="str">
        <x:v>ENH-20260830-01</x:v>
      </x:c>
      <x:c r="Z1985" t="str">
        <x:v>Active</x:v>
      </x:c>
      <x:c r="AA1985"/>
      <x:c r="AB1985"/>
      <x:c r="AC1985"/>
      <x:c r="AD1985"/>
    </x:row>
    <x:row r="1986">
      <x:c r="A1986" t="str">
        <x:v>PCC-PE-KG01-L24-20251024-AM-ORD-2025-00125-S11-C2</x:v>
      </x:c>
      <x:c r="B1986" t="str">
        <x:v>PC-PE-KG01-L24-20251024-AM-ORD-2025-00125-S11</x:v>
      </x:c>
      <x:c r="C1986" t="str">
        <x:v>PE-KG01-L24-20251024-AM-ORD-2025-00125</x:v>
      </x:c>
      <x:c r="D1986" t="str">
        <x:v>KG01</x:v>
      </x:c>
      <x:c r="E1986" s="62" t="n">
        <x:v>45954</x:v>
      </x:c>
      <x:c r="F1986" t="str">
        <x:v>AM</x:v>
      </x:c>
      <x:c r="G1986" t="str">
        <x:v>A</x:v>
      </x:c>
      <x:c r="H1986" t="n">
        <x:v>24</x:v>
      </x:c>
      <x:c r="I1986" t="str">
        <x:v>ORD-2025-00125</x:v>
      </x:c>
      <x:c r="J1986" t="n">
        <x:v>11</x:v>
      </x:c>
      <x:c r="K1986" t="n">
        <x:v>2</x:v>
      </x:c>
      <x:c r="L1986" t="str">
        <x:v>L24-S11-C2</x:v>
      </x:c>
      <x:c r="M1986" t="n">
        <x:v>1</x:v>
      </x:c>
      <x:c r="N1986" t="str">
        <x:v>DerivedFromCount</x:v>
      </x:c>
      <x:c r="O1986" t="str">
        <x:v>PLC-PRD-JAR-330-L24</x:v>
      </x:c>
      <x:c r="P1986" t="str">
        <x:v>OK</x:v>
      </x:c>
      <x:c r="Q1986" t="str">
        <x:v>OK</x:v>
      </x:c>
      <x:c r="R1986" t="str">
        <x:v>OK</x:v>
      </x:c>
      <x:c r="S1986" t="str">
        <x:v>OK</x:v>
      </x:c>
      <x:c r="T1986" t="n">
        <x:v>36</x:v>
      </x:c>
      <x:c r="U1986" t="str">
        <x:v>OK</x:v>
      </x:c>
      <x:c r="V1986" t="str">
        <x:v>OK</x:v>
      </x:c>
      <x:c r="W1986" t="str">
        <x:v>LOAD</x:v>
      </x:c>
      <x:c r="X1986" t="str">
        <x:v>02_Supervisor_Log(4).xlsx</x:v>
      </x:c>
      <x:c r="Y1986" t="str">
        <x:v>ENH-20260830-01</x:v>
      </x:c>
      <x:c r="Z1986" t="str">
        <x:v>Active</x:v>
      </x:c>
      <x:c r="AA1986"/>
      <x:c r="AB1986"/>
      <x:c r="AC1986"/>
      <x:c r="AD1986"/>
    </x:row>
    <x:row r="1987">
      <x:c r="A1987" t="str">
        <x:v>PCC-PE-KG01-L24-20251024-AM-ORD-2025-00125-S11-C3</x:v>
      </x:c>
      <x:c r="B1987" t="str">
        <x:v>PC-PE-KG01-L24-20251024-AM-ORD-2025-00125-S11</x:v>
      </x:c>
      <x:c r="C1987" t="str">
        <x:v>PE-KG01-L24-20251024-AM-ORD-2025-00125</x:v>
      </x:c>
      <x:c r="D1987" t="str">
        <x:v>KG01</x:v>
      </x:c>
      <x:c r="E1987" s="62" t="n">
        <x:v>45954</x:v>
      </x:c>
      <x:c r="F1987" t="str">
        <x:v>AM</x:v>
      </x:c>
      <x:c r="G1987" t="str">
        <x:v>A</x:v>
      </x:c>
      <x:c r="H1987" t="n">
        <x:v>24</x:v>
      </x:c>
      <x:c r="I1987" t="str">
        <x:v>ORD-2025-00125</x:v>
      </x:c>
      <x:c r="J1987" t="n">
        <x:v>11</x:v>
      </x:c>
      <x:c r="K1987" t="n">
        <x:v>3</x:v>
      </x:c>
      <x:c r="L1987" t="str">
        <x:v>L24-S11-C3</x:v>
      </x:c>
      <x:c r="M1987" t="n">
        <x:v>1</x:v>
      </x:c>
      <x:c r="N1987" t="str">
        <x:v>DerivedFromCount</x:v>
      </x:c>
      <x:c r="O1987" t="str">
        <x:v>PLC-PRD-JAR-330-L24</x:v>
      </x:c>
      <x:c r="P1987" t="str">
        <x:v>OK</x:v>
      </x:c>
      <x:c r="Q1987" t="str">
        <x:v>OK</x:v>
      </x:c>
      <x:c r="R1987" t="str">
        <x:v>OK</x:v>
      </x:c>
      <x:c r="S1987" t="str">
        <x:v>OK</x:v>
      </x:c>
      <x:c r="T1987" t="n">
        <x:v>36</x:v>
      </x:c>
      <x:c r="U1987" t="str">
        <x:v>OK</x:v>
      </x:c>
      <x:c r="V1987" t="str">
        <x:v>OK</x:v>
      </x:c>
      <x:c r="W1987" t="str">
        <x:v>LOAD</x:v>
      </x:c>
      <x:c r="X1987" t="str">
        <x:v>02_Supervisor_Log(4).xlsx</x:v>
      </x:c>
      <x:c r="Y1987" t="str">
        <x:v>ENH-20260830-01</x:v>
      </x:c>
      <x:c r="Z1987" t="str">
        <x:v>Active</x:v>
      </x:c>
      <x:c r="AA1987"/>
      <x:c r="AB1987"/>
      <x:c r="AC1987"/>
      <x:c r="AD1987"/>
    </x:row>
    <x:row r="1988">
      <x:c r="A1988" t="str">
        <x:v>PCC-PE-KG01-L24-20251024-AM-ORD-2025-00125-S12-C1</x:v>
      </x:c>
      <x:c r="B1988" t="str">
        <x:v>PC-PE-KG01-L24-20251024-AM-ORD-2025-00125-S12</x:v>
      </x:c>
      <x:c r="C1988" t="str">
        <x:v>PE-KG01-L24-20251024-AM-ORD-2025-00125</x:v>
      </x:c>
      <x:c r="D1988" t="str">
        <x:v>KG01</x:v>
      </x:c>
      <x:c r="E1988" s="62" t="n">
        <x:v>45954</x:v>
      </x:c>
      <x:c r="F1988" t="str">
        <x:v>AM</x:v>
      </x:c>
      <x:c r="G1988" t="str">
        <x:v>A</x:v>
      </x:c>
      <x:c r="H1988" t="n">
        <x:v>24</x:v>
      </x:c>
      <x:c r="I1988" t="str">
        <x:v>ORD-2025-00125</x:v>
      </x:c>
      <x:c r="J1988" t="n">
        <x:v>12</x:v>
      </x:c>
      <x:c r="K1988" t="n">
        <x:v>1</x:v>
      </x:c>
      <x:c r="L1988" t="str">
        <x:v>L24-S12-C1</x:v>
      </x:c>
      <x:c r="M1988" t="n">
        <x:v>1</x:v>
      </x:c>
      <x:c r="N1988" t="str">
        <x:v>DerivedFromCount</x:v>
      </x:c>
      <x:c r="O1988" t="str">
        <x:v>PLC-PRD-JAR-330-L24</x:v>
      </x:c>
      <x:c r="P1988" t="str">
        <x:v>OK</x:v>
      </x:c>
      <x:c r="Q1988" t="str">
        <x:v>OK</x:v>
      </x:c>
      <x:c r="R1988" t="str">
        <x:v>OK</x:v>
      </x:c>
      <x:c r="S1988" t="str">
        <x:v>OK</x:v>
      </x:c>
      <x:c r="T1988" t="n">
        <x:v>36</x:v>
      </x:c>
      <x:c r="U1988" t="str">
        <x:v>OK</x:v>
      </x:c>
      <x:c r="V1988" t="str">
        <x:v>OK</x:v>
      </x:c>
      <x:c r="W1988" t="str">
        <x:v>LOAD</x:v>
      </x:c>
      <x:c r="X1988" t="str">
        <x:v>02_Supervisor_Log(4).xlsx</x:v>
      </x:c>
      <x:c r="Y1988" t="str">
        <x:v>ENH-20260830-01</x:v>
      </x:c>
      <x:c r="Z1988" t="str">
        <x:v>Active</x:v>
      </x:c>
      <x:c r="AA1988"/>
      <x:c r="AB1988"/>
      <x:c r="AC1988"/>
      <x:c r="AD1988"/>
    </x:row>
    <x:row r="1989">
      <x:c r="A1989" t="str">
        <x:v>PCC-PE-KG01-L24-20251024-AM-ORD-2025-00125-S12-C2</x:v>
      </x:c>
      <x:c r="B1989" t="str">
        <x:v>PC-PE-KG01-L24-20251024-AM-ORD-2025-00125-S12</x:v>
      </x:c>
      <x:c r="C1989" t="str">
        <x:v>PE-KG01-L24-20251024-AM-ORD-2025-00125</x:v>
      </x:c>
      <x:c r="D1989" t="str">
        <x:v>KG01</x:v>
      </x:c>
      <x:c r="E1989" s="62" t="n">
        <x:v>45954</x:v>
      </x:c>
      <x:c r="F1989" t="str">
        <x:v>AM</x:v>
      </x:c>
      <x:c r="G1989" t="str">
        <x:v>A</x:v>
      </x:c>
      <x:c r="H1989" t="n">
        <x:v>24</x:v>
      </x:c>
      <x:c r="I1989" t="str">
        <x:v>ORD-2025-00125</x:v>
      </x:c>
      <x:c r="J1989" t="n">
        <x:v>12</x:v>
      </x:c>
      <x:c r="K1989" t="n">
        <x:v>2</x:v>
      </x:c>
      <x:c r="L1989" t="str">
        <x:v>L24-S12-C2</x:v>
      </x:c>
      <x:c r="M1989" t="n">
        <x:v>1</x:v>
      </x:c>
      <x:c r="N1989" t="str">
        <x:v>DerivedFromCount</x:v>
      </x:c>
      <x:c r="O1989" t="str">
        <x:v>PLC-PRD-JAR-330-L24</x:v>
      </x:c>
      <x:c r="P1989" t="str">
        <x:v>OK</x:v>
      </x:c>
      <x:c r="Q1989" t="str">
        <x:v>OK</x:v>
      </x:c>
      <x:c r="R1989" t="str">
        <x:v>OK</x:v>
      </x:c>
      <x:c r="S1989" t="str">
        <x:v>OK</x:v>
      </x:c>
      <x:c r="T1989" t="n">
        <x:v>36</x:v>
      </x:c>
      <x:c r="U1989" t="str">
        <x:v>OK</x:v>
      </x:c>
      <x:c r="V1989" t="str">
        <x:v>OK</x:v>
      </x:c>
      <x:c r="W1989" t="str">
        <x:v>LOAD</x:v>
      </x:c>
      <x:c r="X1989" t="str">
        <x:v>02_Supervisor_Log(4).xlsx</x:v>
      </x:c>
      <x:c r="Y1989" t="str">
        <x:v>ENH-20260830-01</x:v>
      </x:c>
      <x:c r="Z1989" t="str">
        <x:v>Active</x:v>
      </x:c>
      <x:c r="AA1989"/>
      <x:c r="AB1989"/>
      <x:c r="AC1989"/>
      <x:c r="AD1989"/>
    </x:row>
    <x:row r="1990">
      <x:c r="A1990" t="str">
        <x:v>PCC-PE-KG01-L24-20251024-AM-ORD-2025-00125-S12-C3</x:v>
      </x:c>
      <x:c r="B1990" t="str">
        <x:v>PC-PE-KG01-L24-20251024-AM-ORD-2025-00125-S12</x:v>
      </x:c>
      <x:c r="C1990" t="str">
        <x:v>PE-KG01-L24-20251024-AM-ORD-2025-00125</x:v>
      </x:c>
      <x:c r="D1990" t="str">
        <x:v>KG01</x:v>
      </x:c>
      <x:c r="E1990" s="62" t="n">
        <x:v>45954</x:v>
      </x:c>
      <x:c r="F1990" t="str">
        <x:v>AM</x:v>
      </x:c>
      <x:c r="G1990" t="str">
        <x:v>A</x:v>
      </x:c>
      <x:c r="H1990" t="n">
        <x:v>24</x:v>
      </x:c>
      <x:c r="I1990" t="str">
        <x:v>ORD-2025-00125</x:v>
      </x:c>
      <x:c r="J1990" t="n">
        <x:v>12</x:v>
      </x:c>
      <x:c r="K1990" t="n">
        <x:v>3</x:v>
      </x:c>
      <x:c r="L1990" t="str">
        <x:v>L24-S12-C3</x:v>
      </x:c>
      <x:c r="M1990" t="n">
        <x:v>1</x:v>
      </x:c>
      <x:c r="N1990" t="str">
        <x:v>DerivedFromCount</x:v>
      </x:c>
      <x:c r="O1990" t="str">
        <x:v>PLC-PRD-JAR-330-L24</x:v>
      </x:c>
      <x:c r="P1990" t="str">
        <x:v>OK</x:v>
      </x:c>
      <x:c r="Q1990" t="str">
        <x:v>OK</x:v>
      </x:c>
      <x:c r="R1990" t="str">
        <x:v>OK</x:v>
      </x:c>
      <x:c r="S1990" t="str">
        <x:v>OK</x:v>
      </x:c>
      <x:c r="T1990" t="n">
        <x:v>36</x:v>
      </x:c>
      <x:c r="U1990" t="str">
        <x:v>OK</x:v>
      </x:c>
      <x:c r="V1990" t="str">
        <x:v>OK</x:v>
      </x:c>
      <x:c r="W1990" t="str">
        <x:v>LOAD</x:v>
      </x:c>
      <x:c r="X1990" t="str">
        <x:v>02_Supervisor_Log(4).xlsx</x:v>
      </x:c>
      <x:c r="Y1990" t="str">
        <x:v>ENH-20260830-01</x:v>
      </x:c>
      <x:c r="Z1990" t="str">
        <x:v>Active</x:v>
      </x:c>
      <x:c r="AA1990"/>
      <x:c r="AB1990"/>
      <x:c r="AC1990"/>
      <x:c r="AD1990"/>
    </x:row>
    <x:row r="1991">
      <x:c r="A1991" t="str">
        <x:v>PCC-PE-KG01-L24-20251024-AM-ORD-2025-00125-S13-C1</x:v>
      </x:c>
      <x:c r="B1991" t="str">
        <x:v>PC-PE-KG01-L24-20251024-AM-ORD-2025-00125-S13</x:v>
      </x:c>
      <x:c r="C1991" t="str">
        <x:v>PE-KG01-L24-20251024-AM-ORD-2025-00125</x:v>
      </x:c>
      <x:c r="D1991" t="str">
        <x:v>KG01</x:v>
      </x:c>
      <x:c r="E1991" s="62" t="n">
        <x:v>45954</x:v>
      </x:c>
      <x:c r="F1991" t="str">
        <x:v>AM</x:v>
      </x:c>
      <x:c r="G1991" t="str">
        <x:v>A</x:v>
      </x:c>
      <x:c r="H1991" t="n">
        <x:v>24</x:v>
      </x:c>
      <x:c r="I1991" t="str">
        <x:v>ORD-2025-00125</x:v>
      </x:c>
      <x:c r="J1991" t="n">
        <x:v>13</x:v>
      </x:c>
      <x:c r="K1991" t="n">
        <x:v>1</x:v>
      </x:c>
      <x:c r="L1991" t="str">
        <x:v>L24-S13-C1</x:v>
      </x:c>
      <x:c r="M1991" t="n">
        <x:v>0</x:v>
      </x:c>
      <x:c r="N1991" t="str">
        <x:v>DerivedFromCount</x:v>
      </x:c>
      <x:c r="O1991" t="str">
        <x:v>PLC-PRD-JAR-330-L24</x:v>
      </x:c>
      <x:c r="P1991" t="str">
        <x:v>OK</x:v>
      </x:c>
      <x:c r="Q1991" t="str">
        <x:v>OK</x:v>
      </x:c>
      <x:c r="R1991" t="str">
        <x:v>OK</x:v>
      </x:c>
      <x:c r="S1991" t="str">
        <x:v>OK</x:v>
      </x:c>
      <x:c r="T1991" t="n">
        <x:v>36</x:v>
      </x:c>
      <x:c r="U1991" t="str">
        <x:v>OK</x:v>
      </x:c>
      <x:c r="V1991" t="str">
        <x:v>OK</x:v>
      </x:c>
      <x:c r="W1991" t="str">
        <x:v>LOAD</x:v>
      </x:c>
      <x:c r="X1991" t="str">
        <x:v>02_Supervisor_Log(4).xlsx</x:v>
      </x:c>
      <x:c r="Y1991" t="str">
        <x:v>ENH-20260830-01</x:v>
      </x:c>
      <x:c r="Z1991" t="str">
        <x:v>Active</x:v>
      </x:c>
      <x:c r="AA1991"/>
      <x:c r="AB1991"/>
      <x:c r="AC1991"/>
      <x:c r="AD1991"/>
    </x:row>
    <x:row r="1992">
      <x:c r="A1992" t="str">
        <x:v>PCC-PE-KG01-L24-20251024-AM-ORD-2025-00125-S13-C2</x:v>
      </x:c>
      <x:c r="B1992" t="str">
        <x:v>PC-PE-KG01-L24-20251024-AM-ORD-2025-00125-S13</x:v>
      </x:c>
      <x:c r="C1992" t="str">
        <x:v>PE-KG01-L24-20251024-AM-ORD-2025-00125</x:v>
      </x:c>
      <x:c r="D1992" t="str">
        <x:v>KG01</x:v>
      </x:c>
      <x:c r="E1992" s="62" t="n">
        <x:v>45954</x:v>
      </x:c>
      <x:c r="F1992" t="str">
        <x:v>AM</x:v>
      </x:c>
      <x:c r="G1992" t="str">
        <x:v>A</x:v>
      </x:c>
      <x:c r="H1992" t="n">
        <x:v>24</x:v>
      </x:c>
      <x:c r="I1992" t="str">
        <x:v>ORD-2025-00125</x:v>
      </x:c>
      <x:c r="J1992" t="n">
        <x:v>13</x:v>
      </x:c>
      <x:c r="K1992" t="n">
        <x:v>2</x:v>
      </x:c>
      <x:c r="L1992" t="str">
        <x:v>L24-S13-C2</x:v>
      </x:c>
      <x:c r="M1992" t="n">
        <x:v>0</x:v>
      </x:c>
      <x:c r="N1992" t="str">
        <x:v>DerivedFromCount</x:v>
      </x:c>
      <x:c r="O1992" t="str">
        <x:v>PLC-PRD-JAR-330-L24</x:v>
      </x:c>
      <x:c r="P1992" t="str">
        <x:v>OK</x:v>
      </x:c>
      <x:c r="Q1992" t="str">
        <x:v>OK</x:v>
      </x:c>
      <x:c r="R1992" t="str">
        <x:v>OK</x:v>
      </x:c>
      <x:c r="S1992" t="str">
        <x:v>OK</x:v>
      </x:c>
      <x:c r="T1992" t="n">
        <x:v>36</x:v>
      </x:c>
      <x:c r="U1992" t="str">
        <x:v>OK</x:v>
      </x:c>
      <x:c r="V1992" t="str">
        <x:v>OK</x:v>
      </x:c>
      <x:c r="W1992" t="str">
        <x:v>LOAD</x:v>
      </x:c>
      <x:c r="X1992" t="str">
        <x:v>02_Supervisor_Log(4).xlsx</x:v>
      </x:c>
      <x:c r="Y1992" t="str">
        <x:v>ENH-20260830-01</x:v>
      </x:c>
      <x:c r="Z1992" t="str">
        <x:v>Active</x:v>
      </x:c>
      <x:c r="AA1992"/>
      <x:c r="AB1992"/>
      <x:c r="AC1992"/>
      <x:c r="AD1992"/>
    </x:row>
    <x:row r="1993">
      <x:c r="A1993" t="str">
        <x:v>PCC-PE-KG01-L24-20251024-AM-ORD-2025-00125-S13-C3</x:v>
      </x:c>
      <x:c r="B1993" t="str">
        <x:v>PC-PE-KG01-L24-20251024-AM-ORD-2025-00125-S13</x:v>
      </x:c>
      <x:c r="C1993" t="str">
        <x:v>PE-KG01-L24-20251024-AM-ORD-2025-00125</x:v>
      </x:c>
      <x:c r="D1993" t="str">
        <x:v>KG01</x:v>
      </x:c>
      <x:c r="E1993" s="62" t="n">
        <x:v>45954</x:v>
      </x:c>
      <x:c r="F1993" t="str">
        <x:v>AM</x:v>
      </x:c>
      <x:c r="G1993" t="str">
        <x:v>A</x:v>
      </x:c>
      <x:c r="H1993" t="n">
        <x:v>24</x:v>
      </x:c>
      <x:c r="I1993" t="str">
        <x:v>ORD-2025-00125</x:v>
      </x:c>
      <x:c r="J1993" t="n">
        <x:v>13</x:v>
      </x:c>
      <x:c r="K1993" t="n">
        <x:v>3</x:v>
      </x:c>
      <x:c r="L1993" t="str">
        <x:v>L24-S13-C3</x:v>
      </x:c>
      <x:c r="M1993" t="n">
        <x:v>0</x:v>
      </x:c>
      <x:c r="N1993" t="str">
        <x:v>DerivedFromCount</x:v>
      </x:c>
      <x:c r="O1993" t="str">
        <x:v>PLC-PRD-JAR-330-L24</x:v>
      </x:c>
      <x:c r="P1993" t="str">
        <x:v>OK</x:v>
      </x:c>
      <x:c r="Q1993" t="str">
        <x:v>OK</x:v>
      </x:c>
      <x:c r="R1993" t="str">
        <x:v>OK</x:v>
      </x:c>
      <x:c r="S1993" t="str">
        <x:v>OK</x:v>
      </x:c>
      <x:c r="T1993" t="n">
        <x:v>36</x:v>
      </x:c>
      <x:c r="U1993" t="str">
        <x:v>OK</x:v>
      </x:c>
      <x:c r="V1993" t="str">
        <x:v>OK</x:v>
      </x:c>
      <x:c r="W1993" t="str">
        <x:v>LOAD</x:v>
      </x:c>
      <x:c r="X1993" t="str">
        <x:v>02_Supervisor_Log(4).xlsx</x:v>
      </x:c>
      <x:c r="Y1993" t="str">
        <x:v>ENH-20260830-01</x:v>
      </x:c>
      <x:c r="Z1993" t="str">
        <x:v>Active</x:v>
      </x:c>
      <x:c r="AA1993"/>
      <x:c r="AB1993"/>
      <x:c r="AC1993"/>
      <x:c r="AD1993"/>
    </x:row>
    <x:row r="1994">
      <x:c r="A1994" t="str">
        <x:v>PCC-PE-KG01-L24-20251024-PM-ORD-2025-00125-S01-C1</x:v>
      </x:c>
      <x:c r="B1994" t="str">
        <x:v>PC-PE-KG01-L24-20251024-PM-ORD-2025-00125-S01</x:v>
      </x:c>
      <x:c r="C1994" t="str">
        <x:v>PE-KG01-L24-20251024-PM-ORD-2025-00125</x:v>
      </x:c>
      <x:c r="D1994" t="str">
        <x:v>KG01</x:v>
      </x:c>
      <x:c r="E1994" s="62" t="n">
        <x:v>45954</x:v>
      </x:c>
      <x:c r="F1994" t="str">
        <x:v>PM</x:v>
      </x:c>
      <x:c r="G1994" t="str">
        <x:v>B</x:v>
      </x:c>
      <x:c r="H1994" t="n">
        <x:v>24</x:v>
      </x:c>
      <x:c r="I1994" t="str">
        <x:v>ORD-2025-00125</x:v>
      </x:c>
      <x:c r="J1994" t="n">
        <x:v>1</x:v>
      </x:c>
      <x:c r="K1994" t="n">
        <x:v>1</x:v>
      </x:c>
      <x:c r="L1994" t="str">
        <x:v>L24-S01-C1</x:v>
      </x:c>
      <x:c r="M1994" t="n">
        <x:v>1</x:v>
      </x:c>
      <x:c r="N1994" t="str">
        <x:v>DerivedFromCount</x:v>
      </x:c>
      <x:c r="O1994" t="str">
        <x:v>PLC-PRD-JAR-330-L24</x:v>
      </x:c>
      <x:c r="P1994" t="str">
        <x:v>OK</x:v>
      </x:c>
      <x:c r="Q1994" t="str">
        <x:v>OK</x:v>
      </x:c>
      <x:c r="R1994" t="str">
        <x:v>OK</x:v>
      </x:c>
      <x:c r="S1994" t="str">
        <x:v>OK</x:v>
      </x:c>
      <x:c r="T1994" t="n">
        <x:v>36</x:v>
      </x:c>
      <x:c r="U1994" t="str">
        <x:v>OK</x:v>
      </x:c>
      <x:c r="V1994" t="str">
        <x:v>OK</x:v>
      </x:c>
      <x:c r="W1994" t="str">
        <x:v>LOAD</x:v>
      </x:c>
      <x:c r="X1994" t="str">
        <x:v>02_Supervisor_Log(4).xlsx</x:v>
      </x:c>
      <x:c r="Y1994" t="str">
        <x:v>ENH-20260830-01</x:v>
      </x:c>
      <x:c r="Z1994" t="str">
        <x:v>Active</x:v>
      </x:c>
      <x:c r="AA1994"/>
      <x:c r="AB1994"/>
      <x:c r="AC1994"/>
      <x:c r="AD1994"/>
    </x:row>
    <x:row r="1995">
      <x:c r="A1995" t="str">
        <x:v>PCC-PE-KG01-L24-20251024-PM-ORD-2025-00125-S01-C2</x:v>
      </x:c>
      <x:c r="B1995" t="str">
        <x:v>PC-PE-KG01-L24-20251024-PM-ORD-2025-00125-S01</x:v>
      </x:c>
      <x:c r="C1995" t="str">
        <x:v>PE-KG01-L24-20251024-PM-ORD-2025-00125</x:v>
      </x:c>
      <x:c r="D1995" t="str">
        <x:v>KG01</x:v>
      </x:c>
      <x:c r="E1995" s="62" t="n">
        <x:v>45954</x:v>
      </x:c>
      <x:c r="F1995" t="str">
        <x:v>PM</x:v>
      </x:c>
      <x:c r="G1995" t="str">
        <x:v>B</x:v>
      </x:c>
      <x:c r="H1995" t="n">
        <x:v>24</x:v>
      </x:c>
      <x:c r="I1995" t="str">
        <x:v>ORD-2025-00125</x:v>
      </x:c>
      <x:c r="J1995" t="n">
        <x:v>1</x:v>
      </x:c>
      <x:c r="K1995" t="n">
        <x:v>2</x:v>
      </x:c>
      <x:c r="L1995" t="str">
        <x:v>L24-S01-C2</x:v>
      </x:c>
      <x:c r="M1995" t="n">
        <x:v>1</x:v>
      </x:c>
      <x:c r="N1995" t="str">
        <x:v>DerivedFromCount</x:v>
      </x:c>
      <x:c r="O1995" t="str">
        <x:v>PLC-PRD-JAR-330-L24</x:v>
      </x:c>
      <x:c r="P1995" t="str">
        <x:v>OK</x:v>
      </x:c>
      <x:c r="Q1995" t="str">
        <x:v>OK</x:v>
      </x:c>
      <x:c r="R1995" t="str">
        <x:v>OK</x:v>
      </x:c>
      <x:c r="S1995" t="str">
        <x:v>OK</x:v>
      </x:c>
      <x:c r="T1995" t="n">
        <x:v>36</x:v>
      </x:c>
      <x:c r="U1995" t="str">
        <x:v>OK</x:v>
      </x:c>
      <x:c r="V1995" t="str">
        <x:v>OK</x:v>
      </x:c>
      <x:c r="W1995" t="str">
        <x:v>LOAD</x:v>
      </x:c>
      <x:c r="X1995" t="str">
        <x:v>02_Supervisor_Log(4).xlsx</x:v>
      </x:c>
      <x:c r="Y1995" t="str">
        <x:v>ENH-20260830-01</x:v>
      </x:c>
      <x:c r="Z1995" t="str">
        <x:v>Active</x:v>
      </x:c>
      <x:c r="AA1995"/>
      <x:c r="AB1995"/>
      <x:c r="AC1995"/>
      <x:c r="AD1995"/>
    </x:row>
    <x:row r="1996">
      <x:c r="A1996" t="str">
        <x:v>PCC-PE-KG01-L24-20251024-PM-ORD-2025-00125-S01-C3</x:v>
      </x:c>
      <x:c r="B1996" t="str">
        <x:v>PC-PE-KG01-L24-20251024-PM-ORD-2025-00125-S01</x:v>
      </x:c>
      <x:c r="C1996" t="str">
        <x:v>PE-KG01-L24-20251024-PM-ORD-2025-00125</x:v>
      </x:c>
      <x:c r="D1996" t="str">
        <x:v>KG01</x:v>
      </x:c>
      <x:c r="E1996" s="62" t="n">
        <x:v>45954</x:v>
      </x:c>
      <x:c r="F1996" t="str">
        <x:v>PM</x:v>
      </x:c>
      <x:c r="G1996" t="str">
        <x:v>B</x:v>
      </x:c>
      <x:c r="H1996" t="n">
        <x:v>24</x:v>
      </x:c>
      <x:c r="I1996" t="str">
        <x:v>ORD-2025-00125</x:v>
      </x:c>
      <x:c r="J1996" t="n">
        <x:v>1</x:v>
      </x:c>
      <x:c r="K1996" t="n">
        <x:v>3</x:v>
      </x:c>
      <x:c r="L1996" t="str">
        <x:v>L24-S01-C3</x:v>
      </x:c>
      <x:c r="M1996" t="n">
        <x:v>1</x:v>
      </x:c>
      <x:c r="N1996" t="str">
        <x:v>DerivedFromCount</x:v>
      </x:c>
      <x:c r="O1996" t="str">
        <x:v>PLC-PRD-JAR-330-L24</x:v>
      </x:c>
      <x:c r="P1996" t="str">
        <x:v>OK</x:v>
      </x:c>
      <x:c r="Q1996" t="str">
        <x:v>OK</x:v>
      </x:c>
      <x:c r="R1996" t="str">
        <x:v>OK</x:v>
      </x:c>
      <x:c r="S1996" t="str">
        <x:v>OK</x:v>
      </x:c>
      <x:c r="T1996" t="n">
        <x:v>36</x:v>
      </x:c>
      <x:c r="U1996" t="str">
        <x:v>OK</x:v>
      </x:c>
      <x:c r="V1996" t="str">
        <x:v>OK</x:v>
      </x:c>
      <x:c r="W1996" t="str">
        <x:v>LOAD</x:v>
      </x:c>
      <x:c r="X1996" t="str">
        <x:v>02_Supervisor_Log(4).xlsx</x:v>
      </x:c>
      <x:c r="Y1996" t="str">
        <x:v>ENH-20260830-01</x:v>
      </x:c>
      <x:c r="Z1996" t="str">
        <x:v>Active</x:v>
      </x:c>
      <x:c r="AA1996"/>
      <x:c r="AB1996"/>
      <x:c r="AC1996"/>
      <x:c r="AD1996"/>
    </x:row>
    <x:row r="1997">
      <x:c r="A1997" t="str">
        <x:v>PCC-PE-KG01-L24-20251024-PM-ORD-2025-00125-S02-C1</x:v>
      </x:c>
      <x:c r="B1997" t="str">
        <x:v>PC-PE-KG01-L24-20251024-PM-ORD-2025-00125-S02</x:v>
      </x:c>
      <x:c r="C1997" t="str">
        <x:v>PE-KG01-L24-20251024-PM-ORD-2025-00125</x:v>
      </x:c>
      <x:c r="D1997" t="str">
        <x:v>KG01</x:v>
      </x:c>
      <x:c r="E1997" s="62" t="n">
        <x:v>45954</x:v>
      </x:c>
      <x:c r="F1997" t="str">
        <x:v>PM</x:v>
      </x:c>
      <x:c r="G1997" t="str">
        <x:v>B</x:v>
      </x:c>
      <x:c r="H1997" t="n">
        <x:v>24</x:v>
      </x:c>
      <x:c r="I1997" t="str">
        <x:v>ORD-2025-00125</x:v>
      </x:c>
      <x:c r="J1997" t="n">
        <x:v>2</x:v>
      </x:c>
      <x:c r="K1997" t="n">
        <x:v>1</x:v>
      </x:c>
      <x:c r="L1997" t="str">
        <x:v>L24-S02-C1</x:v>
      </x:c>
      <x:c r="M1997" t="n">
        <x:v>1</x:v>
      </x:c>
      <x:c r="N1997" t="str">
        <x:v>DerivedFromCount</x:v>
      </x:c>
      <x:c r="O1997" t="str">
        <x:v>PLC-PRD-JAR-330-L24</x:v>
      </x:c>
      <x:c r="P1997" t="str">
        <x:v>OK</x:v>
      </x:c>
      <x:c r="Q1997" t="str">
        <x:v>OK</x:v>
      </x:c>
      <x:c r="R1997" t="str">
        <x:v>OK</x:v>
      </x:c>
      <x:c r="S1997" t="str">
        <x:v>OK</x:v>
      </x:c>
      <x:c r="T1997" t="n">
        <x:v>36</x:v>
      </x:c>
      <x:c r="U1997" t="str">
        <x:v>OK</x:v>
      </x:c>
      <x:c r="V1997" t="str">
        <x:v>OK</x:v>
      </x:c>
      <x:c r="W1997" t="str">
        <x:v>LOAD</x:v>
      </x:c>
      <x:c r="X1997" t="str">
        <x:v>02_Supervisor_Log(4).xlsx</x:v>
      </x:c>
      <x:c r="Y1997" t="str">
        <x:v>ENH-20260830-01</x:v>
      </x:c>
      <x:c r="Z1997" t="str">
        <x:v>Active</x:v>
      </x:c>
      <x:c r="AA1997"/>
      <x:c r="AB1997"/>
      <x:c r="AC1997"/>
      <x:c r="AD1997"/>
    </x:row>
    <x:row r="1998">
      <x:c r="A1998" t="str">
        <x:v>PCC-PE-KG01-L24-20251024-PM-ORD-2025-00125-S02-C2</x:v>
      </x:c>
      <x:c r="B1998" t="str">
        <x:v>PC-PE-KG01-L24-20251024-PM-ORD-2025-00125-S02</x:v>
      </x:c>
      <x:c r="C1998" t="str">
        <x:v>PE-KG01-L24-20251024-PM-ORD-2025-00125</x:v>
      </x:c>
      <x:c r="D1998" t="str">
        <x:v>KG01</x:v>
      </x:c>
      <x:c r="E1998" s="62" t="n">
        <x:v>45954</x:v>
      </x:c>
      <x:c r="F1998" t="str">
        <x:v>PM</x:v>
      </x:c>
      <x:c r="G1998" t="str">
        <x:v>B</x:v>
      </x:c>
      <x:c r="H1998" t="n">
        <x:v>24</x:v>
      </x:c>
      <x:c r="I1998" t="str">
        <x:v>ORD-2025-00125</x:v>
      </x:c>
      <x:c r="J1998" t="n">
        <x:v>2</x:v>
      </x:c>
      <x:c r="K1998" t="n">
        <x:v>2</x:v>
      </x:c>
      <x:c r="L1998" t="str">
        <x:v>L24-S02-C2</x:v>
      </x:c>
      <x:c r="M1998" t="n">
        <x:v>1</x:v>
      </x:c>
      <x:c r="N1998" t="str">
        <x:v>DerivedFromCount</x:v>
      </x:c>
      <x:c r="O1998" t="str">
        <x:v>PLC-PRD-JAR-330-L24</x:v>
      </x:c>
      <x:c r="P1998" t="str">
        <x:v>OK</x:v>
      </x:c>
      <x:c r="Q1998" t="str">
        <x:v>OK</x:v>
      </x:c>
      <x:c r="R1998" t="str">
        <x:v>OK</x:v>
      </x:c>
      <x:c r="S1998" t="str">
        <x:v>OK</x:v>
      </x:c>
      <x:c r="T1998" t="n">
        <x:v>36</x:v>
      </x:c>
      <x:c r="U1998" t="str">
        <x:v>OK</x:v>
      </x:c>
      <x:c r="V1998" t="str">
        <x:v>OK</x:v>
      </x:c>
      <x:c r="W1998" t="str">
        <x:v>LOAD</x:v>
      </x:c>
      <x:c r="X1998" t="str">
        <x:v>02_Supervisor_Log(4).xlsx</x:v>
      </x:c>
      <x:c r="Y1998" t="str">
        <x:v>ENH-20260830-01</x:v>
      </x:c>
      <x:c r="Z1998" t="str">
        <x:v>Active</x:v>
      </x:c>
      <x:c r="AA1998"/>
      <x:c r="AB1998"/>
      <x:c r="AC1998"/>
      <x:c r="AD1998"/>
    </x:row>
    <x:row r="1999">
      <x:c r="A1999" t="str">
        <x:v>PCC-PE-KG01-L24-20251024-PM-ORD-2025-00125-S02-C3</x:v>
      </x:c>
      <x:c r="B1999" t="str">
        <x:v>PC-PE-KG01-L24-20251024-PM-ORD-2025-00125-S02</x:v>
      </x:c>
      <x:c r="C1999" t="str">
        <x:v>PE-KG01-L24-20251024-PM-ORD-2025-00125</x:v>
      </x:c>
      <x:c r="D1999" t="str">
        <x:v>KG01</x:v>
      </x:c>
      <x:c r="E1999" s="62" t="n">
        <x:v>45954</x:v>
      </x:c>
      <x:c r="F1999" t="str">
        <x:v>PM</x:v>
      </x:c>
      <x:c r="G1999" t="str">
        <x:v>B</x:v>
      </x:c>
      <x:c r="H1999" t="n">
        <x:v>24</x:v>
      </x:c>
      <x:c r="I1999" t="str">
        <x:v>ORD-2025-00125</x:v>
      </x:c>
      <x:c r="J1999" t="n">
        <x:v>2</x:v>
      </x:c>
      <x:c r="K1999" t="n">
        <x:v>3</x:v>
      </x:c>
      <x:c r="L1999" t="str">
        <x:v>L24-S02-C3</x:v>
      </x:c>
      <x:c r="M1999" t="n">
        <x:v>1</x:v>
      </x:c>
      <x:c r="N1999" t="str">
        <x:v>DerivedFromCount</x:v>
      </x:c>
      <x:c r="O1999" t="str">
        <x:v>PLC-PRD-JAR-330-L24</x:v>
      </x:c>
      <x:c r="P1999" t="str">
        <x:v>OK</x:v>
      </x:c>
      <x:c r="Q1999" t="str">
        <x:v>OK</x:v>
      </x:c>
      <x:c r="R1999" t="str">
        <x:v>OK</x:v>
      </x:c>
      <x:c r="S1999" t="str">
        <x:v>OK</x:v>
      </x:c>
      <x:c r="T1999" t="n">
        <x:v>36</x:v>
      </x:c>
      <x:c r="U1999" t="str">
        <x:v>OK</x:v>
      </x:c>
      <x:c r="V1999" t="str">
        <x:v>OK</x:v>
      </x:c>
      <x:c r="W1999" t="str">
        <x:v>LOAD</x:v>
      </x:c>
      <x:c r="X1999" t="str">
        <x:v>02_Supervisor_Log(4).xlsx</x:v>
      </x:c>
      <x:c r="Y1999" t="str">
        <x:v>ENH-20260830-01</x:v>
      </x:c>
      <x:c r="Z1999" t="str">
        <x:v>Active</x:v>
      </x:c>
      <x:c r="AA1999"/>
      <x:c r="AB1999"/>
      <x:c r="AC1999"/>
      <x:c r="AD1999"/>
    </x:row>
    <x:row r="2000">
      <x:c r="A2000" t="str">
        <x:v>PCC-PE-KG01-L24-20251024-PM-ORD-2025-00125-S03-C1</x:v>
      </x:c>
      <x:c r="B2000" t="str">
        <x:v>PC-PE-KG01-L24-20251024-PM-ORD-2025-00125-S03</x:v>
      </x:c>
      <x:c r="C2000" t="str">
        <x:v>PE-KG01-L24-20251024-PM-ORD-2025-00125</x:v>
      </x:c>
      <x:c r="D2000" t="str">
        <x:v>KG01</x:v>
      </x:c>
      <x:c r="E2000" s="62" t="n">
        <x:v>45954</x:v>
      </x:c>
      <x:c r="F2000" t="str">
        <x:v>PM</x:v>
      </x:c>
      <x:c r="G2000" t="str">
        <x:v>B</x:v>
      </x:c>
      <x:c r="H2000" t="n">
        <x:v>24</x:v>
      </x:c>
      <x:c r="I2000" t="str">
        <x:v>ORD-2025-00125</x:v>
      </x:c>
      <x:c r="J2000" t="n">
        <x:v>3</x:v>
      </x:c>
      <x:c r="K2000" t="n">
        <x:v>1</x:v>
      </x:c>
      <x:c r="L2000" t="str">
        <x:v>L24-S03-C1</x:v>
      </x:c>
      <x:c r="M2000" t="n">
        <x:v>1</x:v>
      </x:c>
      <x:c r="N2000" t="str">
        <x:v>DerivedFromCount</x:v>
      </x:c>
      <x:c r="O2000" t="str">
        <x:v>PLC-PRD-JAR-330-L24</x:v>
      </x:c>
      <x:c r="P2000" t="str">
        <x:v>OK</x:v>
      </x:c>
      <x:c r="Q2000" t="str">
        <x:v>OK</x:v>
      </x:c>
      <x:c r="R2000" t="str">
        <x:v>OK</x:v>
      </x:c>
      <x:c r="S2000" t="str">
        <x:v>OK</x:v>
      </x:c>
      <x:c r="T2000" t="n">
        <x:v>36</x:v>
      </x:c>
      <x:c r="U2000" t="str">
        <x:v>OK</x:v>
      </x:c>
      <x:c r="V2000" t="str">
        <x:v>OK</x:v>
      </x:c>
      <x:c r="W2000" t="str">
        <x:v>LOAD</x:v>
      </x:c>
      <x:c r="X2000" t="str">
        <x:v>02_Supervisor_Log(4).xlsx</x:v>
      </x:c>
      <x:c r="Y2000" t="str">
        <x:v>ENH-20260830-01</x:v>
      </x:c>
      <x:c r="Z2000" t="str">
        <x:v>Active</x:v>
      </x:c>
      <x:c r="AA2000"/>
      <x:c r="AB2000"/>
      <x:c r="AC2000"/>
      <x:c r="AD2000"/>
    </x:row>
    <x:row r="2001">
      <x:c r="A2001" t="str">
        <x:v>PCC-PE-KG01-L24-20251024-PM-ORD-2025-00125-S03-C2</x:v>
      </x:c>
      <x:c r="B2001" t="str">
        <x:v>PC-PE-KG01-L24-20251024-PM-ORD-2025-00125-S03</x:v>
      </x:c>
      <x:c r="C2001" t="str">
        <x:v>PE-KG01-L24-20251024-PM-ORD-2025-00125</x:v>
      </x:c>
      <x:c r="D2001" t="str">
        <x:v>KG01</x:v>
      </x:c>
      <x:c r="E2001" s="62" t="n">
        <x:v>45954</x:v>
      </x:c>
      <x:c r="F2001" t="str">
        <x:v>PM</x:v>
      </x:c>
      <x:c r="G2001" t="str">
        <x:v>B</x:v>
      </x:c>
      <x:c r="H2001" t="n">
        <x:v>24</x:v>
      </x:c>
      <x:c r="I2001" t="str">
        <x:v>ORD-2025-00125</x:v>
      </x:c>
      <x:c r="J2001" t="n">
        <x:v>3</x:v>
      </x:c>
      <x:c r="K2001" t="n">
        <x:v>2</x:v>
      </x:c>
      <x:c r="L2001" t="str">
        <x:v>L24-S03-C2</x:v>
      </x:c>
      <x:c r="M2001" t="n">
        <x:v>1</x:v>
      </x:c>
      <x:c r="N2001" t="str">
        <x:v>DerivedFromCount</x:v>
      </x:c>
      <x:c r="O2001" t="str">
        <x:v>PLC-PRD-JAR-330-L24</x:v>
      </x:c>
      <x:c r="P2001" t="str">
        <x:v>OK</x:v>
      </x:c>
      <x:c r="Q2001" t="str">
        <x:v>OK</x:v>
      </x:c>
      <x:c r="R2001" t="str">
        <x:v>OK</x:v>
      </x:c>
      <x:c r="S2001" t="str">
        <x:v>OK</x:v>
      </x:c>
      <x:c r="T2001" t="n">
        <x:v>36</x:v>
      </x:c>
      <x:c r="U2001" t="str">
        <x:v>OK</x:v>
      </x:c>
      <x:c r="V2001" t="str">
        <x:v>OK</x:v>
      </x:c>
      <x:c r="W2001" t="str">
        <x:v>LOAD</x:v>
      </x:c>
      <x:c r="X2001" t="str">
        <x:v>02_Supervisor_Log(4).xlsx</x:v>
      </x:c>
      <x:c r="Y2001" t="str">
        <x:v>ENH-20260830-01</x:v>
      </x:c>
      <x:c r="Z2001" t="str">
        <x:v>Active</x:v>
      </x:c>
      <x:c r="AA2001"/>
      <x:c r="AB2001"/>
      <x:c r="AC2001"/>
      <x:c r="AD2001"/>
    </x:row>
    <x:row r="2002">
      <x:c r="A2002" t="str">
        <x:v>PCC-PE-KG01-L24-20251024-PM-ORD-2025-00125-S03-C3</x:v>
      </x:c>
      <x:c r="B2002" t="str">
        <x:v>PC-PE-KG01-L24-20251024-PM-ORD-2025-00125-S03</x:v>
      </x:c>
      <x:c r="C2002" t="str">
        <x:v>PE-KG01-L24-20251024-PM-ORD-2025-00125</x:v>
      </x:c>
      <x:c r="D2002" t="str">
        <x:v>KG01</x:v>
      </x:c>
      <x:c r="E2002" s="62" t="n">
        <x:v>45954</x:v>
      </x:c>
      <x:c r="F2002" t="str">
        <x:v>PM</x:v>
      </x:c>
      <x:c r="G2002" t="str">
        <x:v>B</x:v>
      </x:c>
      <x:c r="H2002" t="n">
        <x:v>24</x:v>
      </x:c>
      <x:c r="I2002" t="str">
        <x:v>ORD-2025-00125</x:v>
      </x:c>
      <x:c r="J2002" t="n">
        <x:v>3</x:v>
      </x:c>
      <x:c r="K2002" t="n">
        <x:v>3</x:v>
      </x:c>
      <x:c r="L2002" t="str">
        <x:v>L24-S03-C3</x:v>
      </x:c>
      <x:c r="M2002" t="n">
        <x:v>1</x:v>
      </x:c>
      <x:c r="N2002" t="str">
        <x:v>DerivedFromCount</x:v>
      </x:c>
      <x:c r="O2002" t="str">
        <x:v>PLC-PRD-JAR-330-L24</x:v>
      </x:c>
      <x:c r="P2002" t="str">
        <x:v>OK</x:v>
      </x:c>
      <x:c r="Q2002" t="str">
        <x:v>OK</x:v>
      </x:c>
      <x:c r="R2002" t="str">
        <x:v>OK</x:v>
      </x:c>
      <x:c r="S2002" t="str">
        <x:v>OK</x:v>
      </x:c>
      <x:c r="T2002" t="n">
        <x:v>36</x:v>
      </x:c>
      <x:c r="U2002" t="str">
        <x:v>OK</x:v>
      </x:c>
      <x:c r="V2002" t="str">
        <x:v>OK</x:v>
      </x:c>
      <x:c r="W2002" t="str">
        <x:v>LOAD</x:v>
      </x:c>
      <x:c r="X2002" t="str">
        <x:v>02_Supervisor_Log(4).xlsx</x:v>
      </x:c>
      <x:c r="Y2002" t="str">
        <x:v>ENH-20260830-01</x:v>
      </x:c>
      <x:c r="Z2002" t="str">
        <x:v>Active</x:v>
      </x:c>
      <x:c r="AA2002"/>
      <x:c r="AB2002"/>
      <x:c r="AC2002"/>
      <x:c r="AD2002"/>
    </x:row>
    <x:row r="2003">
      <x:c r="A2003" t="str">
        <x:v>PCC-PE-KG01-L24-20251024-PM-ORD-2025-00125-S04-C1</x:v>
      </x:c>
      <x:c r="B2003" t="str">
        <x:v>PC-PE-KG01-L24-20251024-PM-ORD-2025-00125-S04</x:v>
      </x:c>
      <x:c r="C2003" t="str">
        <x:v>PE-KG01-L24-20251024-PM-ORD-2025-00125</x:v>
      </x:c>
      <x:c r="D2003" t="str">
        <x:v>KG01</x:v>
      </x:c>
      <x:c r="E2003" s="62" t="n">
        <x:v>45954</x:v>
      </x:c>
      <x:c r="F2003" t="str">
        <x:v>PM</x:v>
      </x:c>
      <x:c r="G2003" t="str">
        <x:v>B</x:v>
      </x:c>
      <x:c r="H2003" t="n">
        <x:v>24</x:v>
      </x:c>
      <x:c r="I2003" t="str">
        <x:v>ORD-2025-00125</x:v>
      </x:c>
      <x:c r="J2003" t="n">
        <x:v>4</x:v>
      </x:c>
      <x:c r="K2003" t="n">
        <x:v>1</x:v>
      </x:c>
      <x:c r="L2003" t="str">
        <x:v>L24-S04-C1</x:v>
      </x:c>
      <x:c r="M2003" t="n">
        <x:v>1</x:v>
      </x:c>
      <x:c r="N2003" t="str">
        <x:v>DerivedFromCount</x:v>
      </x:c>
      <x:c r="O2003" t="str">
        <x:v>PLC-PRD-JAR-330-L24</x:v>
      </x:c>
      <x:c r="P2003" t="str">
        <x:v>OK</x:v>
      </x:c>
      <x:c r="Q2003" t="str">
        <x:v>OK</x:v>
      </x:c>
      <x:c r="R2003" t="str">
        <x:v>OK</x:v>
      </x:c>
      <x:c r="S2003" t="str">
        <x:v>OK</x:v>
      </x:c>
      <x:c r="T2003" t="n">
        <x:v>36</x:v>
      </x:c>
      <x:c r="U2003" t="str">
        <x:v>OK</x:v>
      </x:c>
      <x:c r="V2003" t="str">
        <x:v>OK</x:v>
      </x:c>
      <x:c r="W2003" t="str">
        <x:v>LOAD</x:v>
      </x:c>
      <x:c r="X2003" t="str">
        <x:v>02_Supervisor_Log(4).xlsx</x:v>
      </x:c>
      <x:c r="Y2003" t="str">
        <x:v>ENH-20260830-01</x:v>
      </x:c>
      <x:c r="Z2003" t="str">
        <x:v>Active</x:v>
      </x:c>
      <x:c r="AA2003"/>
      <x:c r="AB2003"/>
      <x:c r="AC2003"/>
      <x:c r="AD2003"/>
    </x:row>
    <x:row r="2004">
      <x:c r="A2004" t="str">
        <x:v>PCC-PE-KG01-L24-20251024-PM-ORD-2025-00125-S04-C2</x:v>
      </x:c>
      <x:c r="B2004" t="str">
        <x:v>PC-PE-KG01-L24-20251024-PM-ORD-2025-00125-S04</x:v>
      </x:c>
      <x:c r="C2004" t="str">
        <x:v>PE-KG01-L24-20251024-PM-ORD-2025-00125</x:v>
      </x:c>
      <x:c r="D2004" t="str">
        <x:v>KG01</x:v>
      </x:c>
      <x:c r="E2004" s="62" t="n">
        <x:v>45954</x:v>
      </x:c>
      <x:c r="F2004" t="str">
        <x:v>PM</x:v>
      </x:c>
      <x:c r="G2004" t="str">
        <x:v>B</x:v>
      </x:c>
      <x:c r="H2004" t="n">
        <x:v>24</x:v>
      </x:c>
      <x:c r="I2004" t="str">
        <x:v>ORD-2025-00125</x:v>
      </x:c>
      <x:c r="J2004" t="n">
        <x:v>4</x:v>
      </x:c>
      <x:c r="K2004" t="n">
        <x:v>2</x:v>
      </x:c>
      <x:c r="L2004" t="str">
        <x:v>L24-S04-C2</x:v>
      </x:c>
      <x:c r="M2004" t="n">
        <x:v>1</x:v>
      </x:c>
      <x:c r="N2004" t="str">
        <x:v>DerivedFromCount</x:v>
      </x:c>
      <x:c r="O2004" t="str">
        <x:v>PLC-PRD-JAR-330-L24</x:v>
      </x:c>
      <x:c r="P2004" t="str">
        <x:v>OK</x:v>
      </x:c>
      <x:c r="Q2004" t="str">
        <x:v>OK</x:v>
      </x:c>
      <x:c r="R2004" t="str">
        <x:v>OK</x:v>
      </x:c>
      <x:c r="S2004" t="str">
        <x:v>OK</x:v>
      </x:c>
      <x:c r="T2004" t="n">
        <x:v>36</x:v>
      </x:c>
      <x:c r="U2004" t="str">
        <x:v>OK</x:v>
      </x:c>
      <x:c r="V2004" t="str">
        <x:v>OK</x:v>
      </x:c>
      <x:c r="W2004" t="str">
        <x:v>LOAD</x:v>
      </x:c>
      <x:c r="X2004" t="str">
        <x:v>02_Supervisor_Log(4).xlsx</x:v>
      </x:c>
      <x:c r="Y2004" t="str">
        <x:v>ENH-20260830-01</x:v>
      </x:c>
      <x:c r="Z2004" t="str">
        <x:v>Active</x:v>
      </x:c>
      <x:c r="AA2004"/>
      <x:c r="AB2004"/>
      <x:c r="AC2004"/>
      <x:c r="AD2004"/>
    </x:row>
    <x:row r="2005">
      <x:c r="A2005" t="str">
        <x:v>PCC-PE-KG01-L24-20251024-PM-ORD-2025-00125-S04-C3</x:v>
      </x:c>
      <x:c r="B2005" t="str">
        <x:v>PC-PE-KG01-L24-20251024-PM-ORD-2025-00125-S04</x:v>
      </x:c>
      <x:c r="C2005" t="str">
        <x:v>PE-KG01-L24-20251024-PM-ORD-2025-00125</x:v>
      </x:c>
      <x:c r="D2005" t="str">
        <x:v>KG01</x:v>
      </x:c>
      <x:c r="E2005" s="62" t="n">
        <x:v>45954</x:v>
      </x:c>
      <x:c r="F2005" t="str">
        <x:v>PM</x:v>
      </x:c>
      <x:c r="G2005" t="str">
        <x:v>B</x:v>
      </x:c>
      <x:c r="H2005" t="n">
        <x:v>24</x:v>
      </x:c>
      <x:c r="I2005" t="str">
        <x:v>ORD-2025-00125</x:v>
      </x:c>
      <x:c r="J2005" t="n">
        <x:v>4</x:v>
      </x:c>
      <x:c r="K2005" t="n">
        <x:v>3</x:v>
      </x:c>
      <x:c r="L2005" t="str">
        <x:v>L24-S04-C3</x:v>
      </x:c>
      <x:c r="M2005" t="n">
        <x:v>1</x:v>
      </x:c>
      <x:c r="N2005" t="str">
        <x:v>DerivedFromCount</x:v>
      </x:c>
      <x:c r="O2005" t="str">
        <x:v>PLC-PRD-JAR-330-L24</x:v>
      </x:c>
      <x:c r="P2005" t="str">
        <x:v>OK</x:v>
      </x:c>
      <x:c r="Q2005" t="str">
        <x:v>OK</x:v>
      </x:c>
      <x:c r="R2005" t="str">
        <x:v>OK</x:v>
      </x:c>
      <x:c r="S2005" t="str">
        <x:v>OK</x:v>
      </x:c>
      <x:c r="T2005" t="n">
        <x:v>36</x:v>
      </x:c>
      <x:c r="U2005" t="str">
        <x:v>OK</x:v>
      </x:c>
      <x:c r="V2005" t="str">
        <x:v>OK</x:v>
      </x:c>
      <x:c r="W2005" t="str">
        <x:v>LOAD</x:v>
      </x:c>
      <x:c r="X2005" t="str">
        <x:v>02_Supervisor_Log(4).xlsx</x:v>
      </x:c>
      <x:c r="Y2005" t="str">
        <x:v>ENH-20260830-01</x:v>
      </x:c>
      <x:c r="Z2005" t="str">
        <x:v>Active</x:v>
      </x:c>
      <x:c r="AA2005"/>
      <x:c r="AB2005"/>
      <x:c r="AC2005"/>
      <x:c r="AD2005"/>
    </x:row>
    <x:row r="2006">
      <x:c r="A2006" t="str">
        <x:v>PCC-PE-KG01-L24-20251024-PM-ORD-2025-00125-S05-C1</x:v>
      </x:c>
      <x:c r="B2006" t="str">
        <x:v>PC-PE-KG01-L24-20251024-PM-ORD-2025-00125-S05</x:v>
      </x:c>
      <x:c r="C2006" t="str">
        <x:v>PE-KG01-L24-20251024-PM-ORD-2025-00125</x:v>
      </x:c>
      <x:c r="D2006" t="str">
        <x:v>KG01</x:v>
      </x:c>
      <x:c r="E2006" s="62" t="n">
        <x:v>45954</x:v>
      </x:c>
      <x:c r="F2006" t="str">
        <x:v>PM</x:v>
      </x:c>
      <x:c r="G2006" t="str">
        <x:v>B</x:v>
      </x:c>
      <x:c r="H2006" t="n">
        <x:v>24</x:v>
      </x:c>
      <x:c r="I2006" t="str">
        <x:v>ORD-2025-00125</x:v>
      </x:c>
      <x:c r="J2006" t="n">
        <x:v>5</x:v>
      </x:c>
      <x:c r="K2006" t="n">
        <x:v>1</x:v>
      </x:c>
      <x:c r="L2006" t="str">
        <x:v>L24-S05-C1</x:v>
      </x:c>
      <x:c r="M2006" t="n">
        <x:v>1</x:v>
      </x:c>
      <x:c r="N2006" t="str">
        <x:v>DerivedFromCount</x:v>
      </x:c>
      <x:c r="O2006" t="str">
        <x:v>PLC-PRD-JAR-330-L24</x:v>
      </x:c>
      <x:c r="P2006" t="str">
        <x:v>OK</x:v>
      </x:c>
      <x:c r="Q2006" t="str">
        <x:v>OK</x:v>
      </x:c>
      <x:c r="R2006" t="str">
        <x:v>OK</x:v>
      </x:c>
      <x:c r="S2006" t="str">
        <x:v>OK</x:v>
      </x:c>
      <x:c r="T2006" t="n">
        <x:v>36</x:v>
      </x:c>
      <x:c r="U2006" t="str">
        <x:v>OK</x:v>
      </x:c>
      <x:c r="V2006" t="str">
        <x:v>OK</x:v>
      </x:c>
      <x:c r="W2006" t="str">
        <x:v>LOAD</x:v>
      </x:c>
      <x:c r="X2006" t="str">
        <x:v>02_Supervisor_Log(4).xlsx</x:v>
      </x:c>
      <x:c r="Y2006" t="str">
        <x:v>ENH-20260830-01</x:v>
      </x:c>
      <x:c r="Z2006" t="str">
        <x:v>Active</x:v>
      </x:c>
      <x:c r="AA2006"/>
      <x:c r="AB2006"/>
      <x:c r="AC2006"/>
      <x:c r="AD2006"/>
    </x:row>
    <x:row r="2007">
      <x:c r="A2007" t="str">
        <x:v>PCC-PE-KG01-L24-20251024-PM-ORD-2025-00125-S05-C2</x:v>
      </x:c>
      <x:c r="B2007" t="str">
        <x:v>PC-PE-KG01-L24-20251024-PM-ORD-2025-00125-S05</x:v>
      </x:c>
      <x:c r="C2007" t="str">
        <x:v>PE-KG01-L24-20251024-PM-ORD-2025-00125</x:v>
      </x:c>
      <x:c r="D2007" t="str">
        <x:v>KG01</x:v>
      </x:c>
      <x:c r="E2007" s="62" t="n">
        <x:v>45954</x:v>
      </x:c>
      <x:c r="F2007" t="str">
        <x:v>PM</x:v>
      </x:c>
      <x:c r="G2007" t="str">
        <x:v>B</x:v>
      </x:c>
      <x:c r="H2007" t="n">
        <x:v>24</x:v>
      </x:c>
      <x:c r="I2007" t="str">
        <x:v>ORD-2025-00125</x:v>
      </x:c>
      <x:c r="J2007" t="n">
        <x:v>5</x:v>
      </x:c>
      <x:c r="K2007" t="n">
        <x:v>2</x:v>
      </x:c>
      <x:c r="L2007" t="str">
        <x:v>L24-S05-C2</x:v>
      </x:c>
      <x:c r="M2007" t="n">
        <x:v>1</x:v>
      </x:c>
      <x:c r="N2007" t="str">
        <x:v>DerivedFromCount</x:v>
      </x:c>
      <x:c r="O2007" t="str">
        <x:v>PLC-PRD-JAR-330-L24</x:v>
      </x:c>
      <x:c r="P2007" t="str">
        <x:v>OK</x:v>
      </x:c>
      <x:c r="Q2007" t="str">
        <x:v>OK</x:v>
      </x:c>
      <x:c r="R2007" t="str">
        <x:v>OK</x:v>
      </x:c>
      <x:c r="S2007" t="str">
        <x:v>OK</x:v>
      </x:c>
      <x:c r="T2007" t="n">
        <x:v>36</x:v>
      </x:c>
      <x:c r="U2007" t="str">
        <x:v>OK</x:v>
      </x:c>
      <x:c r="V2007" t="str">
        <x:v>OK</x:v>
      </x:c>
      <x:c r="W2007" t="str">
        <x:v>LOAD</x:v>
      </x:c>
      <x:c r="X2007" t="str">
        <x:v>02_Supervisor_Log(4).xlsx</x:v>
      </x:c>
      <x:c r="Y2007" t="str">
        <x:v>ENH-20260830-01</x:v>
      </x:c>
      <x:c r="Z2007" t="str">
        <x:v>Active</x:v>
      </x:c>
      <x:c r="AA2007"/>
      <x:c r="AB2007"/>
      <x:c r="AC2007"/>
      <x:c r="AD2007"/>
    </x:row>
    <x:row r="2008">
      <x:c r="A2008" t="str">
        <x:v>PCC-PE-KG01-L24-20251024-PM-ORD-2025-00125-S05-C3</x:v>
      </x:c>
      <x:c r="B2008" t="str">
        <x:v>PC-PE-KG01-L24-20251024-PM-ORD-2025-00125-S05</x:v>
      </x:c>
      <x:c r="C2008" t="str">
        <x:v>PE-KG01-L24-20251024-PM-ORD-2025-00125</x:v>
      </x:c>
      <x:c r="D2008" t="str">
        <x:v>KG01</x:v>
      </x:c>
      <x:c r="E2008" s="62" t="n">
        <x:v>45954</x:v>
      </x:c>
      <x:c r="F2008" t="str">
        <x:v>PM</x:v>
      </x:c>
      <x:c r="G2008" t="str">
        <x:v>B</x:v>
      </x:c>
      <x:c r="H2008" t="n">
        <x:v>24</x:v>
      </x:c>
      <x:c r="I2008" t="str">
        <x:v>ORD-2025-00125</x:v>
      </x:c>
      <x:c r="J2008" t="n">
        <x:v>5</x:v>
      </x:c>
      <x:c r="K2008" t="n">
        <x:v>3</x:v>
      </x:c>
      <x:c r="L2008" t="str">
        <x:v>L24-S05-C3</x:v>
      </x:c>
      <x:c r="M2008" t="n">
        <x:v>1</x:v>
      </x:c>
      <x:c r="N2008" t="str">
        <x:v>DerivedFromCount</x:v>
      </x:c>
      <x:c r="O2008" t="str">
        <x:v>PLC-PRD-JAR-330-L24</x:v>
      </x:c>
      <x:c r="P2008" t="str">
        <x:v>OK</x:v>
      </x:c>
      <x:c r="Q2008" t="str">
        <x:v>OK</x:v>
      </x:c>
      <x:c r="R2008" t="str">
        <x:v>OK</x:v>
      </x:c>
      <x:c r="S2008" t="str">
        <x:v>OK</x:v>
      </x:c>
      <x:c r="T2008" t="n">
        <x:v>36</x:v>
      </x:c>
      <x:c r="U2008" t="str">
        <x:v>OK</x:v>
      </x:c>
      <x:c r="V2008" t="str">
        <x:v>OK</x:v>
      </x:c>
      <x:c r="W2008" t="str">
        <x:v>LOAD</x:v>
      </x:c>
      <x:c r="X2008" t="str">
        <x:v>02_Supervisor_Log(4).xlsx</x:v>
      </x:c>
      <x:c r="Y2008" t="str">
        <x:v>ENH-20260830-01</x:v>
      </x:c>
      <x:c r="Z2008" t="str">
        <x:v>Active</x:v>
      </x:c>
      <x:c r="AA2008"/>
      <x:c r="AB2008"/>
      <x:c r="AC2008"/>
      <x:c r="AD2008"/>
    </x:row>
    <x:row r="2009">
      <x:c r="A2009" t="str">
        <x:v>PCC-PE-KG01-L24-20251024-PM-ORD-2025-00125-S06-C1</x:v>
      </x:c>
      <x:c r="B2009" t="str">
        <x:v>PC-PE-KG01-L24-20251024-PM-ORD-2025-00125-S06</x:v>
      </x:c>
      <x:c r="C2009" t="str">
        <x:v>PE-KG01-L24-20251024-PM-ORD-2025-00125</x:v>
      </x:c>
      <x:c r="D2009" t="str">
        <x:v>KG01</x:v>
      </x:c>
      <x:c r="E2009" s="62" t="n">
        <x:v>45954</x:v>
      </x:c>
      <x:c r="F2009" t="str">
        <x:v>PM</x:v>
      </x:c>
      <x:c r="G2009" t="str">
        <x:v>B</x:v>
      </x:c>
      <x:c r="H2009" t="n">
        <x:v>24</x:v>
      </x:c>
      <x:c r="I2009" t="str">
        <x:v>ORD-2025-00125</x:v>
      </x:c>
      <x:c r="J2009" t="n">
        <x:v>6</x:v>
      </x:c>
      <x:c r="K2009" t="n">
        <x:v>1</x:v>
      </x:c>
      <x:c r="L2009" t="str">
        <x:v>L24-S06-C1</x:v>
      </x:c>
      <x:c r="M2009" t="n">
        <x:v>1</x:v>
      </x:c>
      <x:c r="N2009" t="str">
        <x:v>DerivedFromCount</x:v>
      </x:c>
      <x:c r="O2009" t="str">
        <x:v>PLC-PRD-JAR-330-L24</x:v>
      </x:c>
      <x:c r="P2009" t="str">
        <x:v>OK</x:v>
      </x:c>
      <x:c r="Q2009" t="str">
        <x:v>OK</x:v>
      </x:c>
      <x:c r="R2009" t="str">
        <x:v>OK</x:v>
      </x:c>
      <x:c r="S2009" t="str">
        <x:v>OK</x:v>
      </x:c>
      <x:c r="T2009" t="n">
        <x:v>36</x:v>
      </x:c>
      <x:c r="U2009" t="str">
        <x:v>OK</x:v>
      </x:c>
      <x:c r="V2009" t="str">
        <x:v>OK</x:v>
      </x:c>
      <x:c r="W2009" t="str">
        <x:v>LOAD</x:v>
      </x:c>
      <x:c r="X2009" t="str">
        <x:v>02_Supervisor_Log(4).xlsx</x:v>
      </x:c>
      <x:c r="Y2009" t="str">
        <x:v>ENH-20260830-01</x:v>
      </x:c>
      <x:c r="Z2009" t="str">
        <x:v>Active</x:v>
      </x:c>
      <x:c r="AA2009"/>
      <x:c r="AB2009"/>
      <x:c r="AC2009"/>
      <x:c r="AD2009"/>
    </x:row>
    <x:row r="2010">
      <x:c r="A2010" t="str">
        <x:v>PCC-PE-KG01-L24-20251024-PM-ORD-2025-00125-S06-C2</x:v>
      </x:c>
      <x:c r="B2010" t="str">
        <x:v>PC-PE-KG01-L24-20251024-PM-ORD-2025-00125-S06</x:v>
      </x:c>
      <x:c r="C2010" t="str">
        <x:v>PE-KG01-L24-20251024-PM-ORD-2025-00125</x:v>
      </x:c>
      <x:c r="D2010" t="str">
        <x:v>KG01</x:v>
      </x:c>
      <x:c r="E2010" s="62" t="n">
        <x:v>45954</x:v>
      </x:c>
      <x:c r="F2010" t="str">
        <x:v>PM</x:v>
      </x:c>
      <x:c r="G2010" t="str">
        <x:v>B</x:v>
      </x:c>
      <x:c r="H2010" t="n">
        <x:v>24</x:v>
      </x:c>
      <x:c r="I2010" t="str">
        <x:v>ORD-2025-00125</x:v>
      </x:c>
      <x:c r="J2010" t="n">
        <x:v>6</x:v>
      </x:c>
      <x:c r="K2010" t="n">
        <x:v>2</x:v>
      </x:c>
      <x:c r="L2010" t="str">
        <x:v>L24-S06-C2</x:v>
      </x:c>
      <x:c r="M2010" t="n">
        <x:v>1</x:v>
      </x:c>
      <x:c r="N2010" t="str">
        <x:v>DerivedFromCount</x:v>
      </x:c>
      <x:c r="O2010" t="str">
        <x:v>PLC-PRD-JAR-330-L24</x:v>
      </x:c>
      <x:c r="P2010" t="str">
        <x:v>OK</x:v>
      </x:c>
      <x:c r="Q2010" t="str">
        <x:v>OK</x:v>
      </x:c>
      <x:c r="R2010" t="str">
        <x:v>OK</x:v>
      </x:c>
      <x:c r="S2010" t="str">
        <x:v>OK</x:v>
      </x:c>
      <x:c r="T2010" t="n">
        <x:v>36</x:v>
      </x:c>
      <x:c r="U2010" t="str">
        <x:v>OK</x:v>
      </x:c>
      <x:c r="V2010" t="str">
        <x:v>OK</x:v>
      </x:c>
      <x:c r="W2010" t="str">
        <x:v>LOAD</x:v>
      </x:c>
      <x:c r="X2010" t="str">
        <x:v>02_Supervisor_Log(4).xlsx</x:v>
      </x:c>
      <x:c r="Y2010" t="str">
        <x:v>ENH-20260830-01</x:v>
      </x:c>
      <x:c r="Z2010" t="str">
        <x:v>Active</x:v>
      </x:c>
      <x:c r="AA2010"/>
      <x:c r="AB2010"/>
      <x:c r="AC2010"/>
      <x:c r="AD2010"/>
    </x:row>
    <x:row r="2011">
      <x:c r="A2011" t="str">
        <x:v>PCC-PE-KG01-L24-20251024-PM-ORD-2025-00125-S06-C3</x:v>
      </x:c>
      <x:c r="B2011" t="str">
        <x:v>PC-PE-KG01-L24-20251024-PM-ORD-2025-00125-S06</x:v>
      </x:c>
      <x:c r="C2011" t="str">
        <x:v>PE-KG01-L24-20251024-PM-ORD-2025-00125</x:v>
      </x:c>
      <x:c r="D2011" t="str">
        <x:v>KG01</x:v>
      </x:c>
      <x:c r="E2011" s="62" t="n">
        <x:v>45954</x:v>
      </x:c>
      <x:c r="F2011" t="str">
        <x:v>PM</x:v>
      </x:c>
      <x:c r="G2011" t="str">
        <x:v>B</x:v>
      </x:c>
      <x:c r="H2011" t="n">
        <x:v>24</x:v>
      </x:c>
      <x:c r="I2011" t="str">
        <x:v>ORD-2025-00125</x:v>
      </x:c>
      <x:c r="J2011" t="n">
        <x:v>6</x:v>
      </x:c>
      <x:c r="K2011" t="n">
        <x:v>3</x:v>
      </x:c>
      <x:c r="L2011" t="str">
        <x:v>L24-S06-C3</x:v>
      </x:c>
      <x:c r="M2011" t="n">
        <x:v>1</x:v>
      </x:c>
      <x:c r="N2011" t="str">
        <x:v>DerivedFromCount</x:v>
      </x:c>
      <x:c r="O2011" t="str">
        <x:v>PLC-PRD-JAR-330-L24</x:v>
      </x:c>
      <x:c r="P2011" t="str">
        <x:v>OK</x:v>
      </x:c>
      <x:c r="Q2011" t="str">
        <x:v>OK</x:v>
      </x:c>
      <x:c r="R2011" t="str">
        <x:v>OK</x:v>
      </x:c>
      <x:c r="S2011" t="str">
        <x:v>OK</x:v>
      </x:c>
      <x:c r="T2011" t="n">
        <x:v>36</x:v>
      </x:c>
      <x:c r="U2011" t="str">
        <x:v>OK</x:v>
      </x:c>
      <x:c r="V2011" t="str">
        <x:v>OK</x:v>
      </x:c>
      <x:c r="W2011" t="str">
        <x:v>LOAD</x:v>
      </x:c>
      <x:c r="X2011" t="str">
        <x:v>02_Supervisor_Log(4).xlsx</x:v>
      </x:c>
      <x:c r="Y2011" t="str">
        <x:v>ENH-20260830-01</x:v>
      </x:c>
      <x:c r="Z2011" t="str">
        <x:v>Active</x:v>
      </x:c>
      <x:c r="AA2011"/>
      <x:c r="AB2011"/>
      <x:c r="AC2011"/>
      <x:c r="AD2011"/>
    </x:row>
    <x:row r="2012">
      <x:c r="A2012" t="str">
        <x:v>PCC-PE-KG01-L24-20251024-PM-ORD-2025-00125-S07-C1</x:v>
      </x:c>
      <x:c r="B2012" t="str">
        <x:v>PC-PE-KG01-L24-20251024-PM-ORD-2025-00125-S07</x:v>
      </x:c>
      <x:c r="C2012" t="str">
        <x:v>PE-KG01-L24-20251024-PM-ORD-2025-00125</x:v>
      </x:c>
      <x:c r="D2012" t="str">
        <x:v>KG01</x:v>
      </x:c>
      <x:c r="E2012" s="62" t="n">
        <x:v>45954</x:v>
      </x:c>
      <x:c r="F2012" t="str">
        <x:v>PM</x:v>
      </x:c>
      <x:c r="G2012" t="str">
        <x:v>B</x:v>
      </x:c>
      <x:c r="H2012" t="n">
        <x:v>24</x:v>
      </x:c>
      <x:c r="I2012" t="str">
        <x:v>ORD-2025-00125</x:v>
      </x:c>
      <x:c r="J2012" t="n">
        <x:v>7</x:v>
      </x:c>
      <x:c r="K2012" t="n">
        <x:v>1</x:v>
      </x:c>
      <x:c r="L2012" t="str">
        <x:v>L24-S07-C1</x:v>
      </x:c>
      <x:c r="M2012" t="n">
        <x:v>1</x:v>
      </x:c>
      <x:c r="N2012" t="str">
        <x:v>DerivedFromCount</x:v>
      </x:c>
      <x:c r="O2012" t="str">
        <x:v>PLC-PRD-JAR-330-L24</x:v>
      </x:c>
      <x:c r="P2012" t="str">
        <x:v>OK</x:v>
      </x:c>
      <x:c r="Q2012" t="str">
        <x:v>OK</x:v>
      </x:c>
      <x:c r="R2012" t="str">
        <x:v>OK</x:v>
      </x:c>
      <x:c r="S2012" t="str">
        <x:v>OK</x:v>
      </x:c>
      <x:c r="T2012" t="n">
        <x:v>36</x:v>
      </x:c>
      <x:c r="U2012" t="str">
        <x:v>OK</x:v>
      </x:c>
      <x:c r="V2012" t="str">
        <x:v>OK</x:v>
      </x:c>
      <x:c r="W2012" t="str">
        <x:v>LOAD</x:v>
      </x:c>
      <x:c r="X2012" t="str">
        <x:v>02_Supervisor_Log(4).xlsx</x:v>
      </x:c>
      <x:c r="Y2012" t="str">
        <x:v>ENH-20260830-01</x:v>
      </x:c>
      <x:c r="Z2012" t="str">
        <x:v>Active</x:v>
      </x:c>
      <x:c r="AA2012"/>
      <x:c r="AB2012"/>
      <x:c r="AC2012"/>
      <x:c r="AD2012"/>
    </x:row>
    <x:row r="2013">
      <x:c r="A2013" t="str">
        <x:v>PCC-PE-KG01-L24-20251024-PM-ORD-2025-00125-S07-C2</x:v>
      </x:c>
      <x:c r="B2013" t="str">
        <x:v>PC-PE-KG01-L24-20251024-PM-ORD-2025-00125-S07</x:v>
      </x:c>
      <x:c r="C2013" t="str">
        <x:v>PE-KG01-L24-20251024-PM-ORD-2025-00125</x:v>
      </x:c>
      <x:c r="D2013" t="str">
        <x:v>KG01</x:v>
      </x:c>
      <x:c r="E2013" s="62" t="n">
        <x:v>45954</x:v>
      </x:c>
      <x:c r="F2013" t="str">
        <x:v>PM</x:v>
      </x:c>
      <x:c r="G2013" t="str">
        <x:v>B</x:v>
      </x:c>
      <x:c r="H2013" t="n">
        <x:v>24</x:v>
      </x:c>
      <x:c r="I2013" t="str">
        <x:v>ORD-2025-00125</x:v>
      </x:c>
      <x:c r="J2013" t="n">
        <x:v>7</x:v>
      </x:c>
      <x:c r="K2013" t="n">
        <x:v>2</x:v>
      </x:c>
      <x:c r="L2013" t="str">
        <x:v>L24-S07-C2</x:v>
      </x:c>
      <x:c r="M2013" t="n">
        <x:v>1</x:v>
      </x:c>
      <x:c r="N2013" t="str">
        <x:v>DerivedFromCount</x:v>
      </x:c>
      <x:c r="O2013" t="str">
        <x:v>PLC-PRD-JAR-330-L24</x:v>
      </x:c>
      <x:c r="P2013" t="str">
        <x:v>OK</x:v>
      </x:c>
      <x:c r="Q2013" t="str">
        <x:v>OK</x:v>
      </x:c>
      <x:c r="R2013" t="str">
        <x:v>OK</x:v>
      </x:c>
      <x:c r="S2013" t="str">
        <x:v>OK</x:v>
      </x:c>
      <x:c r="T2013" t="n">
        <x:v>36</x:v>
      </x:c>
      <x:c r="U2013" t="str">
        <x:v>OK</x:v>
      </x:c>
      <x:c r="V2013" t="str">
        <x:v>OK</x:v>
      </x:c>
      <x:c r="W2013" t="str">
        <x:v>LOAD</x:v>
      </x:c>
      <x:c r="X2013" t="str">
        <x:v>02_Supervisor_Log(4).xlsx</x:v>
      </x:c>
      <x:c r="Y2013" t="str">
        <x:v>ENH-20260830-01</x:v>
      </x:c>
      <x:c r="Z2013" t="str">
        <x:v>Active</x:v>
      </x:c>
      <x:c r="AA2013"/>
      <x:c r="AB2013"/>
      <x:c r="AC2013"/>
      <x:c r="AD2013"/>
    </x:row>
    <x:row r="2014">
      <x:c r="A2014" t="str">
        <x:v>PCC-PE-KG01-L24-20251024-PM-ORD-2025-00125-S07-C3</x:v>
      </x:c>
      <x:c r="B2014" t="str">
        <x:v>PC-PE-KG01-L24-20251024-PM-ORD-2025-00125-S07</x:v>
      </x:c>
      <x:c r="C2014" t="str">
        <x:v>PE-KG01-L24-20251024-PM-ORD-2025-00125</x:v>
      </x:c>
      <x:c r="D2014" t="str">
        <x:v>KG01</x:v>
      </x:c>
      <x:c r="E2014" s="62" t="n">
        <x:v>45954</x:v>
      </x:c>
      <x:c r="F2014" t="str">
        <x:v>PM</x:v>
      </x:c>
      <x:c r="G2014" t="str">
        <x:v>B</x:v>
      </x:c>
      <x:c r="H2014" t="n">
        <x:v>24</x:v>
      </x:c>
      <x:c r="I2014" t="str">
        <x:v>ORD-2025-00125</x:v>
      </x:c>
      <x:c r="J2014" t="n">
        <x:v>7</x:v>
      </x:c>
      <x:c r="K2014" t="n">
        <x:v>3</x:v>
      </x:c>
      <x:c r="L2014" t="str">
        <x:v>L24-S07-C3</x:v>
      </x:c>
      <x:c r="M2014" t="n">
        <x:v>1</x:v>
      </x:c>
      <x:c r="N2014" t="str">
        <x:v>DerivedFromCount</x:v>
      </x:c>
      <x:c r="O2014" t="str">
        <x:v>PLC-PRD-JAR-330-L24</x:v>
      </x:c>
      <x:c r="P2014" t="str">
        <x:v>OK</x:v>
      </x:c>
      <x:c r="Q2014" t="str">
        <x:v>OK</x:v>
      </x:c>
      <x:c r="R2014" t="str">
        <x:v>OK</x:v>
      </x:c>
      <x:c r="S2014" t="str">
        <x:v>OK</x:v>
      </x:c>
      <x:c r="T2014" t="n">
        <x:v>36</x:v>
      </x:c>
      <x:c r="U2014" t="str">
        <x:v>OK</x:v>
      </x:c>
      <x:c r="V2014" t="str">
        <x:v>OK</x:v>
      </x:c>
      <x:c r="W2014" t="str">
        <x:v>LOAD</x:v>
      </x:c>
      <x:c r="X2014" t="str">
        <x:v>02_Supervisor_Log(4).xlsx</x:v>
      </x:c>
      <x:c r="Y2014" t="str">
        <x:v>ENH-20260830-01</x:v>
      </x:c>
      <x:c r="Z2014" t="str">
        <x:v>Active</x:v>
      </x:c>
      <x:c r="AA2014"/>
      <x:c r="AB2014"/>
      <x:c r="AC2014"/>
      <x:c r="AD2014"/>
    </x:row>
    <x:row r="2015">
      <x:c r="A2015" t="str">
        <x:v>PCC-PE-KG01-L24-20251024-PM-ORD-2025-00125-S08-C1</x:v>
      </x:c>
      <x:c r="B2015" t="str">
        <x:v>PC-PE-KG01-L24-20251024-PM-ORD-2025-00125-S08</x:v>
      </x:c>
      <x:c r="C2015" t="str">
        <x:v>PE-KG01-L24-20251024-PM-ORD-2025-00125</x:v>
      </x:c>
      <x:c r="D2015" t="str">
        <x:v>KG01</x:v>
      </x:c>
      <x:c r="E2015" s="62" t="n">
        <x:v>45954</x:v>
      </x:c>
      <x:c r="F2015" t="str">
        <x:v>PM</x:v>
      </x:c>
      <x:c r="G2015" t="str">
        <x:v>B</x:v>
      </x:c>
      <x:c r="H2015" t="n">
        <x:v>24</x:v>
      </x:c>
      <x:c r="I2015" t="str">
        <x:v>ORD-2025-00125</x:v>
      </x:c>
      <x:c r="J2015" t="n">
        <x:v>8</x:v>
      </x:c>
      <x:c r="K2015" t="n">
        <x:v>1</x:v>
      </x:c>
      <x:c r="L2015" t="str">
        <x:v>L24-S08-C1</x:v>
      </x:c>
      <x:c r="M2015" t="n">
        <x:v>1</x:v>
      </x:c>
      <x:c r="N2015" t="str">
        <x:v>DerivedFromCount</x:v>
      </x:c>
      <x:c r="O2015" t="str">
        <x:v>PLC-PRD-JAR-330-L24</x:v>
      </x:c>
      <x:c r="P2015" t="str">
        <x:v>OK</x:v>
      </x:c>
      <x:c r="Q2015" t="str">
        <x:v>OK</x:v>
      </x:c>
      <x:c r="R2015" t="str">
        <x:v>OK</x:v>
      </x:c>
      <x:c r="S2015" t="str">
        <x:v>OK</x:v>
      </x:c>
      <x:c r="T2015" t="n">
        <x:v>36</x:v>
      </x:c>
      <x:c r="U2015" t="str">
        <x:v>OK</x:v>
      </x:c>
      <x:c r="V2015" t="str">
        <x:v>OK</x:v>
      </x:c>
      <x:c r="W2015" t="str">
        <x:v>LOAD</x:v>
      </x:c>
      <x:c r="X2015" t="str">
        <x:v>02_Supervisor_Log(4).xlsx</x:v>
      </x:c>
      <x:c r="Y2015" t="str">
        <x:v>ENH-20260830-01</x:v>
      </x:c>
      <x:c r="Z2015" t="str">
        <x:v>Active</x:v>
      </x:c>
      <x:c r="AA2015"/>
      <x:c r="AB2015"/>
      <x:c r="AC2015"/>
      <x:c r="AD2015"/>
    </x:row>
    <x:row r="2016">
      <x:c r="A2016" t="str">
        <x:v>PCC-PE-KG01-L24-20251024-PM-ORD-2025-00125-S08-C2</x:v>
      </x:c>
      <x:c r="B2016" t="str">
        <x:v>PC-PE-KG01-L24-20251024-PM-ORD-2025-00125-S08</x:v>
      </x:c>
      <x:c r="C2016" t="str">
        <x:v>PE-KG01-L24-20251024-PM-ORD-2025-00125</x:v>
      </x:c>
      <x:c r="D2016" t="str">
        <x:v>KG01</x:v>
      </x:c>
      <x:c r="E2016" s="62" t="n">
        <x:v>45954</x:v>
      </x:c>
      <x:c r="F2016" t="str">
        <x:v>PM</x:v>
      </x:c>
      <x:c r="G2016" t="str">
        <x:v>B</x:v>
      </x:c>
      <x:c r="H2016" t="n">
        <x:v>24</x:v>
      </x:c>
      <x:c r="I2016" t="str">
        <x:v>ORD-2025-00125</x:v>
      </x:c>
      <x:c r="J2016" t="n">
        <x:v>8</x:v>
      </x:c>
      <x:c r="K2016" t="n">
        <x:v>2</x:v>
      </x:c>
      <x:c r="L2016" t="str">
        <x:v>L24-S08-C2</x:v>
      </x:c>
      <x:c r="M2016" t="n">
        <x:v>1</x:v>
      </x:c>
      <x:c r="N2016" t="str">
        <x:v>DerivedFromCount</x:v>
      </x:c>
      <x:c r="O2016" t="str">
        <x:v>PLC-PRD-JAR-330-L24</x:v>
      </x:c>
      <x:c r="P2016" t="str">
        <x:v>OK</x:v>
      </x:c>
      <x:c r="Q2016" t="str">
        <x:v>OK</x:v>
      </x:c>
      <x:c r="R2016" t="str">
        <x:v>OK</x:v>
      </x:c>
      <x:c r="S2016" t="str">
        <x:v>OK</x:v>
      </x:c>
      <x:c r="T2016" t="n">
        <x:v>36</x:v>
      </x:c>
      <x:c r="U2016" t="str">
        <x:v>OK</x:v>
      </x:c>
      <x:c r="V2016" t="str">
        <x:v>OK</x:v>
      </x:c>
      <x:c r="W2016" t="str">
        <x:v>LOAD</x:v>
      </x:c>
      <x:c r="X2016" t="str">
        <x:v>02_Supervisor_Log(4).xlsx</x:v>
      </x:c>
      <x:c r="Y2016" t="str">
        <x:v>ENH-20260830-01</x:v>
      </x:c>
      <x:c r="Z2016" t="str">
        <x:v>Active</x:v>
      </x:c>
      <x:c r="AA2016"/>
      <x:c r="AB2016"/>
      <x:c r="AC2016"/>
      <x:c r="AD2016"/>
    </x:row>
    <x:row r="2017">
      <x:c r="A2017" t="str">
        <x:v>PCC-PE-KG01-L24-20251024-PM-ORD-2025-00125-S08-C3</x:v>
      </x:c>
      <x:c r="B2017" t="str">
        <x:v>PC-PE-KG01-L24-20251024-PM-ORD-2025-00125-S08</x:v>
      </x:c>
      <x:c r="C2017" t="str">
        <x:v>PE-KG01-L24-20251024-PM-ORD-2025-00125</x:v>
      </x:c>
      <x:c r="D2017" t="str">
        <x:v>KG01</x:v>
      </x:c>
      <x:c r="E2017" s="62" t="n">
        <x:v>45954</x:v>
      </x:c>
      <x:c r="F2017" t="str">
        <x:v>PM</x:v>
      </x:c>
      <x:c r="G2017" t="str">
        <x:v>B</x:v>
      </x:c>
      <x:c r="H2017" t="n">
        <x:v>24</x:v>
      </x:c>
      <x:c r="I2017" t="str">
        <x:v>ORD-2025-00125</x:v>
      </x:c>
      <x:c r="J2017" t="n">
        <x:v>8</x:v>
      </x:c>
      <x:c r="K2017" t="n">
        <x:v>3</x:v>
      </x:c>
      <x:c r="L2017" t="str">
        <x:v>L24-S08-C3</x:v>
      </x:c>
      <x:c r="M2017" t="n">
        <x:v>1</x:v>
      </x:c>
      <x:c r="N2017" t="str">
        <x:v>DerivedFromCount</x:v>
      </x:c>
      <x:c r="O2017" t="str">
        <x:v>PLC-PRD-JAR-330-L24</x:v>
      </x:c>
      <x:c r="P2017" t="str">
        <x:v>OK</x:v>
      </x:c>
      <x:c r="Q2017" t="str">
        <x:v>OK</x:v>
      </x:c>
      <x:c r="R2017" t="str">
        <x:v>OK</x:v>
      </x:c>
      <x:c r="S2017" t="str">
        <x:v>OK</x:v>
      </x:c>
      <x:c r="T2017" t="n">
        <x:v>36</x:v>
      </x:c>
      <x:c r="U2017" t="str">
        <x:v>OK</x:v>
      </x:c>
      <x:c r="V2017" t="str">
        <x:v>OK</x:v>
      </x:c>
      <x:c r="W2017" t="str">
        <x:v>LOAD</x:v>
      </x:c>
      <x:c r="X2017" t="str">
        <x:v>02_Supervisor_Log(4).xlsx</x:v>
      </x:c>
      <x:c r="Y2017" t="str">
        <x:v>ENH-20260830-01</x:v>
      </x:c>
      <x:c r="Z2017" t="str">
        <x:v>Active</x:v>
      </x:c>
      <x:c r="AA2017"/>
      <x:c r="AB2017"/>
      <x:c r="AC2017"/>
      <x:c r="AD2017"/>
    </x:row>
    <x:row r="2018">
      <x:c r="A2018" t="str">
        <x:v>PCC-PE-KG01-L24-20251024-PM-ORD-2025-00125-S09-C1</x:v>
      </x:c>
      <x:c r="B2018" t="str">
        <x:v>PC-PE-KG01-L24-20251024-PM-ORD-2025-00125-S09</x:v>
      </x:c>
      <x:c r="C2018" t="str">
        <x:v>PE-KG01-L24-20251024-PM-ORD-2025-00125</x:v>
      </x:c>
      <x:c r="D2018" t="str">
        <x:v>KG01</x:v>
      </x:c>
      <x:c r="E2018" s="62" t="n">
        <x:v>45954</x:v>
      </x:c>
      <x:c r="F2018" t="str">
        <x:v>PM</x:v>
      </x:c>
      <x:c r="G2018" t="str">
        <x:v>B</x:v>
      </x:c>
      <x:c r="H2018" t="n">
        <x:v>24</x:v>
      </x:c>
      <x:c r="I2018" t="str">
        <x:v>ORD-2025-00125</x:v>
      </x:c>
      <x:c r="J2018" t="n">
        <x:v>9</x:v>
      </x:c>
      <x:c r="K2018" t="n">
        <x:v>1</x:v>
      </x:c>
      <x:c r="L2018" t="str">
        <x:v>L24-S09-C1</x:v>
      </x:c>
      <x:c r="M2018" t="n">
        <x:v>1</x:v>
      </x:c>
      <x:c r="N2018" t="str">
        <x:v>DerivedFromCount</x:v>
      </x:c>
      <x:c r="O2018" t="str">
        <x:v>PLC-PRD-JAR-330-L24</x:v>
      </x:c>
      <x:c r="P2018" t="str">
        <x:v>OK</x:v>
      </x:c>
      <x:c r="Q2018" t="str">
        <x:v>OK</x:v>
      </x:c>
      <x:c r="R2018" t="str">
        <x:v>OK</x:v>
      </x:c>
      <x:c r="S2018" t="str">
        <x:v>OK</x:v>
      </x:c>
      <x:c r="T2018" t="n">
        <x:v>36</x:v>
      </x:c>
      <x:c r="U2018" t="str">
        <x:v>OK</x:v>
      </x:c>
      <x:c r="V2018" t="str">
        <x:v>OK</x:v>
      </x:c>
      <x:c r="W2018" t="str">
        <x:v>LOAD</x:v>
      </x:c>
      <x:c r="X2018" t="str">
        <x:v>02_Supervisor_Log(4).xlsx</x:v>
      </x:c>
      <x:c r="Y2018" t="str">
        <x:v>ENH-20260830-01</x:v>
      </x:c>
      <x:c r="Z2018" t="str">
        <x:v>Active</x:v>
      </x:c>
      <x:c r="AA2018"/>
      <x:c r="AB2018"/>
      <x:c r="AC2018"/>
      <x:c r="AD2018"/>
    </x:row>
    <x:row r="2019">
      <x:c r="A2019" t="str">
        <x:v>PCC-PE-KG01-L24-20251024-PM-ORD-2025-00125-S09-C2</x:v>
      </x:c>
      <x:c r="B2019" t="str">
        <x:v>PC-PE-KG01-L24-20251024-PM-ORD-2025-00125-S09</x:v>
      </x:c>
      <x:c r="C2019" t="str">
        <x:v>PE-KG01-L24-20251024-PM-ORD-2025-00125</x:v>
      </x:c>
      <x:c r="D2019" t="str">
        <x:v>KG01</x:v>
      </x:c>
      <x:c r="E2019" s="62" t="n">
        <x:v>45954</x:v>
      </x:c>
      <x:c r="F2019" t="str">
        <x:v>PM</x:v>
      </x:c>
      <x:c r="G2019" t="str">
        <x:v>B</x:v>
      </x:c>
      <x:c r="H2019" t="n">
        <x:v>24</x:v>
      </x:c>
      <x:c r="I2019" t="str">
        <x:v>ORD-2025-00125</x:v>
      </x:c>
      <x:c r="J2019" t="n">
        <x:v>9</x:v>
      </x:c>
      <x:c r="K2019" t="n">
        <x:v>2</x:v>
      </x:c>
      <x:c r="L2019" t="str">
        <x:v>L24-S09-C2</x:v>
      </x:c>
      <x:c r="M2019" t="n">
        <x:v>1</x:v>
      </x:c>
      <x:c r="N2019" t="str">
        <x:v>DerivedFromCount</x:v>
      </x:c>
      <x:c r="O2019" t="str">
        <x:v>PLC-PRD-JAR-330-L24</x:v>
      </x:c>
      <x:c r="P2019" t="str">
        <x:v>OK</x:v>
      </x:c>
      <x:c r="Q2019" t="str">
        <x:v>OK</x:v>
      </x:c>
      <x:c r="R2019" t="str">
        <x:v>OK</x:v>
      </x:c>
      <x:c r="S2019" t="str">
        <x:v>OK</x:v>
      </x:c>
      <x:c r="T2019" t="n">
        <x:v>36</x:v>
      </x:c>
      <x:c r="U2019" t="str">
        <x:v>OK</x:v>
      </x:c>
      <x:c r="V2019" t="str">
        <x:v>OK</x:v>
      </x:c>
      <x:c r="W2019" t="str">
        <x:v>LOAD</x:v>
      </x:c>
      <x:c r="X2019" t="str">
        <x:v>02_Supervisor_Log(4).xlsx</x:v>
      </x:c>
      <x:c r="Y2019" t="str">
        <x:v>ENH-20260830-01</x:v>
      </x:c>
      <x:c r="Z2019" t="str">
        <x:v>Active</x:v>
      </x:c>
      <x:c r="AA2019"/>
      <x:c r="AB2019"/>
      <x:c r="AC2019"/>
      <x:c r="AD2019"/>
    </x:row>
    <x:row r="2020">
      <x:c r="A2020" t="str">
        <x:v>PCC-PE-KG01-L24-20251024-PM-ORD-2025-00125-S09-C3</x:v>
      </x:c>
      <x:c r="B2020" t="str">
        <x:v>PC-PE-KG01-L24-20251024-PM-ORD-2025-00125-S09</x:v>
      </x:c>
      <x:c r="C2020" t="str">
        <x:v>PE-KG01-L24-20251024-PM-ORD-2025-00125</x:v>
      </x:c>
      <x:c r="D2020" t="str">
        <x:v>KG01</x:v>
      </x:c>
      <x:c r="E2020" s="62" t="n">
        <x:v>45954</x:v>
      </x:c>
      <x:c r="F2020" t="str">
        <x:v>PM</x:v>
      </x:c>
      <x:c r="G2020" t="str">
        <x:v>B</x:v>
      </x:c>
      <x:c r="H2020" t="n">
        <x:v>24</x:v>
      </x:c>
      <x:c r="I2020" t="str">
        <x:v>ORD-2025-00125</x:v>
      </x:c>
      <x:c r="J2020" t="n">
        <x:v>9</x:v>
      </x:c>
      <x:c r="K2020" t="n">
        <x:v>3</x:v>
      </x:c>
      <x:c r="L2020" t="str">
        <x:v>L24-S09-C3</x:v>
      </x:c>
      <x:c r="M2020" t="n">
        <x:v>1</x:v>
      </x:c>
      <x:c r="N2020" t="str">
        <x:v>DerivedFromCount</x:v>
      </x:c>
      <x:c r="O2020" t="str">
        <x:v>PLC-PRD-JAR-330-L24</x:v>
      </x:c>
      <x:c r="P2020" t="str">
        <x:v>OK</x:v>
      </x:c>
      <x:c r="Q2020" t="str">
        <x:v>OK</x:v>
      </x:c>
      <x:c r="R2020" t="str">
        <x:v>OK</x:v>
      </x:c>
      <x:c r="S2020" t="str">
        <x:v>OK</x:v>
      </x:c>
      <x:c r="T2020" t="n">
        <x:v>36</x:v>
      </x:c>
      <x:c r="U2020" t="str">
        <x:v>OK</x:v>
      </x:c>
      <x:c r="V2020" t="str">
        <x:v>OK</x:v>
      </x:c>
      <x:c r="W2020" t="str">
        <x:v>LOAD</x:v>
      </x:c>
      <x:c r="X2020" t="str">
        <x:v>02_Supervisor_Log(4).xlsx</x:v>
      </x:c>
      <x:c r="Y2020" t="str">
        <x:v>ENH-20260830-01</x:v>
      </x:c>
      <x:c r="Z2020" t="str">
        <x:v>Active</x:v>
      </x:c>
      <x:c r="AA2020"/>
      <x:c r="AB2020"/>
      <x:c r="AC2020"/>
      <x:c r="AD2020"/>
    </x:row>
    <x:row r="2021">
      <x:c r="A2021" t="str">
        <x:v>PCC-PE-KG01-L24-20251024-PM-ORD-2025-00125-S10-C1</x:v>
      </x:c>
      <x:c r="B2021" t="str">
        <x:v>PC-PE-KG01-L24-20251024-PM-ORD-2025-00125-S10</x:v>
      </x:c>
      <x:c r="C2021" t="str">
        <x:v>PE-KG01-L24-20251024-PM-ORD-2025-00125</x:v>
      </x:c>
      <x:c r="D2021" t="str">
        <x:v>KG01</x:v>
      </x:c>
      <x:c r="E2021" s="62" t="n">
        <x:v>45954</x:v>
      </x:c>
      <x:c r="F2021" t="str">
        <x:v>PM</x:v>
      </x:c>
      <x:c r="G2021" t="str">
        <x:v>B</x:v>
      </x:c>
      <x:c r="H2021" t="n">
        <x:v>24</x:v>
      </x:c>
      <x:c r="I2021" t="str">
        <x:v>ORD-2025-00125</x:v>
      </x:c>
      <x:c r="J2021" t="n">
        <x:v>10</x:v>
      </x:c>
      <x:c r="K2021" t="n">
        <x:v>1</x:v>
      </x:c>
      <x:c r="L2021" t="str">
        <x:v>L24-S10-C1</x:v>
      </x:c>
      <x:c r="M2021" t="n">
        <x:v>1</x:v>
      </x:c>
      <x:c r="N2021" t="str">
        <x:v>DerivedFromCount</x:v>
      </x:c>
      <x:c r="O2021" t="str">
        <x:v>PLC-PRD-JAR-330-L24</x:v>
      </x:c>
      <x:c r="P2021" t="str">
        <x:v>OK</x:v>
      </x:c>
      <x:c r="Q2021" t="str">
        <x:v>OK</x:v>
      </x:c>
      <x:c r="R2021" t="str">
        <x:v>OK</x:v>
      </x:c>
      <x:c r="S2021" t="str">
        <x:v>OK</x:v>
      </x:c>
      <x:c r="T2021" t="n">
        <x:v>36</x:v>
      </x:c>
      <x:c r="U2021" t="str">
        <x:v>OK</x:v>
      </x:c>
      <x:c r="V2021" t="str">
        <x:v>OK</x:v>
      </x:c>
      <x:c r="W2021" t="str">
        <x:v>LOAD</x:v>
      </x:c>
      <x:c r="X2021" t="str">
        <x:v>02_Supervisor_Log(4).xlsx</x:v>
      </x:c>
      <x:c r="Y2021" t="str">
        <x:v>ENH-20260830-01</x:v>
      </x:c>
      <x:c r="Z2021" t="str">
        <x:v>Active</x:v>
      </x:c>
      <x:c r="AA2021"/>
      <x:c r="AB2021"/>
      <x:c r="AC2021"/>
      <x:c r="AD2021"/>
    </x:row>
    <x:row r="2022">
      <x:c r="A2022" t="str">
        <x:v>PCC-PE-KG01-L24-20251024-PM-ORD-2025-00125-S10-C2</x:v>
      </x:c>
      <x:c r="B2022" t="str">
        <x:v>PC-PE-KG01-L24-20251024-PM-ORD-2025-00125-S10</x:v>
      </x:c>
      <x:c r="C2022" t="str">
        <x:v>PE-KG01-L24-20251024-PM-ORD-2025-00125</x:v>
      </x:c>
      <x:c r="D2022" t="str">
        <x:v>KG01</x:v>
      </x:c>
      <x:c r="E2022" s="62" t="n">
        <x:v>45954</x:v>
      </x:c>
      <x:c r="F2022" t="str">
        <x:v>PM</x:v>
      </x:c>
      <x:c r="G2022" t="str">
        <x:v>B</x:v>
      </x:c>
      <x:c r="H2022" t="n">
        <x:v>24</x:v>
      </x:c>
      <x:c r="I2022" t="str">
        <x:v>ORD-2025-00125</x:v>
      </x:c>
      <x:c r="J2022" t="n">
        <x:v>10</x:v>
      </x:c>
      <x:c r="K2022" t="n">
        <x:v>2</x:v>
      </x:c>
      <x:c r="L2022" t="str">
        <x:v>L24-S10-C2</x:v>
      </x:c>
      <x:c r="M2022" t="n">
        <x:v>1</x:v>
      </x:c>
      <x:c r="N2022" t="str">
        <x:v>DerivedFromCount</x:v>
      </x:c>
      <x:c r="O2022" t="str">
        <x:v>PLC-PRD-JAR-330-L24</x:v>
      </x:c>
      <x:c r="P2022" t="str">
        <x:v>OK</x:v>
      </x:c>
      <x:c r="Q2022" t="str">
        <x:v>OK</x:v>
      </x:c>
      <x:c r="R2022" t="str">
        <x:v>OK</x:v>
      </x:c>
      <x:c r="S2022" t="str">
        <x:v>OK</x:v>
      </x:c>
      <x:c r="T2022" t="n">
        <x:v>36</x:v>
      </x:c>
      <x:c r="U2022" t="str">
        <x:v>OK</x:v>
      </x:c>
      <x:c r="V2022" t="str">
        <x:v>OK</x:v>
      </x:c>
      <x:c r="W2022" t="str">
        <x:v>LOAD</x:v>
      </x:c>
      <x:c r="X2022" t="str">
        <x:v>02_Supervisor_Log(4).xlsx</x:v>
      </x:c>
      <x:c r="Y2022" t="str">
        <x:v>ENH-20260830-01</x:v>
      </x:c>
      <x:c r="Z2022" t="str">
        <x:v>Active</x:v>
      </x:c>
      <x:c r="AA2022"/>
      <x:c r="AB2022"/>
      <x:c r="AC2022"/>
      <x:c r="AD2022"/>
    </x:row>
    <x:row r="2023">
      <x:c r="A2023" t="str">
        <x:v>PCC-PE-KG01-L24-20251024-PM-ORD-2025-00125-S10-C3</x:v>
      </x:c>
      <x:c r="B2023" t="str">
        <x:v>PC-PE-KG01-L24-20251024-PM-ORD-2025-00125-S10</x:v>
      </x:c>
      <x:c r="C2023" t="str">
        <x:v>PE-KG01-L24-20251024-PM-ORD-2025-00125</x:v>
      </x:c>
      <x:c r="D2023" t="str">
        <x:v>KG01</x:v>
      </x:c>
      <x:c r="E2023" s="62" t="n">
        <x:v>45954</x:v>
      </x:c>
      <x:c r="F2023" t="str">
        <x:v>PM</x:v>
      </x:c>
      <x:c r="G2023" t="str">
        <x:v>B</x:v>
      </x:c>
      <x:c r="H2023" t="n">
        <x:v>24</x:v>
      </x:c>
      <x:c r="I2023" t="str">
        <x:v>ORD-2025-00125</x:v>
      </x:c>
      <x:c r="J2023" t="n">
        <x:v>10</x:v>
      </x:c>
      <x:c r="K2023" t="n">
        <x:v>3</x:v>
      </x:c>
      <x:c r="L2023" t="str">
        <x:v>L24-S10-C3</x:v>
      </x:c>
      <x:c r="M2023" t="n">
        <x:v>1</x:v>
      </x:c>
      <x:c r="N2023" t="str">
        <x:v>DerivedFromCount</x:v>
      </x:c>
      <x:c r="O2023" t="str">
        <x:v>PLC-PRD-JAR-330-L24</x:v>
      </x:c>
      <x:c r="P2023" t="str">
        <x:v>OK</x:v>
      </x:c>
      <x:c r="Q2023" t="str">
        <x:v>OK</x:v>
      </x:c>
      <x:c r="R2023" t="str">
        <x:v>OK</x:v>
      </x:c>
      <x:c r="S2023" t="str">
        <x:v>OK</x:v>
      </x:c>
      <x:c r="T2023" t="n">
        <x:v>36</x:v>
      </x:c>
      <x:c r="U2023" t="str">
        <x:v>OK</x:v>
      </x:c>
      <x:c r="V2023" t="str">
        <x:v>OK</x:v>
      </x:c>
      <x:c r="W2023" t="str">
        <x:v>LOAD</x:v>
      </x:c>
      <x:c r="X2023" t="str">
        <x:v>02_Supervisor_Log(4).xlsx</x:v>
      </x:c>
      <x:c r="Y2023" t="str">
        <x:v>ENH-20260830-01</x:v>
      </x:c>
      <x:c r="Z2023" t="str">
        <x:v>Active</x:v>
      </x:c>
      <x:c r="AA2023"/>
      <x:c r="AB2023"/>
      <x:c r="AC2023"/>
      <x:c r="AD2023"/>
    </x:row>
    <x:row r="2024">
      <x:c r="A2024" t="str">
        <x:v>PCC-PE-KG01-L24-20251024-PM-ORD-2025-00125-S11-C1</x:v>
      </x:c>
      <x:c r="B2024" t="str">
        <x:v>PC-PE-KG01-L24-20251024-PM-ORD-2025-00125-S11</x:v>
      </x:c>
      <x:c r="C2024" t="str">
        <x:v>PE-KG01-L24-20251024-PM-ORD-2025-00125</x:v>
      </x:c>
      <x:c r="D2024" t="str">
        <x:v>KG01</x:v>
      </x:c>
      <x:c r="E2024" s="62" t="n">
        <x:v>45954</x:v>
      </x:c>
      <x:c r="F2024" t="str">
        <x:v>PM</x:v>
      </x:c>
      <x:c r="G2024" t="str">
        <x:v>B</x:v>
      </x:c>
      <x:c r="H2024" t="n">
        <x:v>24</x:v>
      </x:c>
      <x:c r="I2024" t="str">
        <x:v>ORD-2025-00125</x:v>
      </x:c>
      <x:c r="J2024" t="n">
        <x:v>11</x:v>
      </x:c>
      <x:c r="K2024" t="n">
        <x:v>1</x:v>
      </x:c>
      <x:c r="L2024" t="str">
        <x:v>L24-S11-C1</x:v>
      </x:c>
      <x:c r="M2024" t="n">
        <x:v>1</x:v>
      </x:c>
      <x:c r="N2024" t="str">
        <x:v>DerivedFromCount</x:v>
      </x:c>
      <x:c r="O2024" t="str">
        <x:v>PLC-PRD-JAR-330-L24</x:v>
      </x:c>
      <x:c r="P2024" t="str">
        <x:v>OK</x:v>
      </x:c>
      <x:c r="Q2024" t="str">
        <x:v>OK</x:v>
      </x:c>
      <x:c r="R2024" t="str">
        <x:v>OK</x:v>
      </x:c>
      <x:c r="S2024" t="str">
        <x:v>OK</x:v>
      </x:c>
      <x:c r="T2024" t="n">
        <x:v>36</x:v>
      </x:c>
      <x:c r="U2024" t="str">
        <x:v>OK</x:v>
      </x:c>
      <x:c r="V2024" t="str">
        <x:v>OK</x:v>
      </x:c>
      <x:c r="W2024" t="str">
        <x:v>LOAD</x:v>
      </x:c>
      <x:c r="X2024" t="str">
        <x:v>02_Supervisor_Log(4).xlsx</x:v>
      </x:c>
      <x:c r="Y2024" t="str">
        <x:v>ENH-20260830-01</x:v>
      </x:c>
      <x:c r="Z2024" t="str">
        <x:v>Active</x:v>
      </x:c>
      <x:c r="AA2024"/>
      <x:c r="AB2024"/>
      <x:c r="AC2024"/>
      <x:c r="AD2024"/>
    </x:row>
    <x:row r="2025">
      <x:c r="A2025" t="str">
        <x:v>PCC-PE-KG01-L24-20251024-PM-ORD-2025-00125-S11-C2</x:v>
      </x:c>
      <x:c r="B2025" t="str">
        <x:v>PC-PE-KG01-L24-20251024-PM-ORD-2025-00125-S11</x:v>
      </x:c>
      <x:c r="C2025" t="str">
        <x:v>PE-KG01-L24-20251024-PM-ORD-2025-00125</x:v>
      </x:c>
      <x:c r="D2025" t="str">
        <x:v>KG01</x:v>
      </x:c>
      <x:c r="E2025" s="62" t="n">
        <x:v>45954</x:v>
      </x:c>
      <x:c r="F2025" t="str">
        <x:v>PM</x:v>
      </x:c>
      <x:c r="G2025" t="str">
        <x:v>B</x:v>
      </x:c>
      <x:c r="H2025" t="n">
        <x:v>24</x:v>
      </x:c>
      <x:c r="I2025" t="str">
        <x:v>ORD-2025-00125</x:v>
      </x:c>
      <x:c r="J2025" t="n">
        <x:v>11</x:v>
      </x:c>
      <x:c r="K2025" t="n">
        <x:v>2</x:v>
      </x:c>
      <x:c r="L2025" t="str">
        <x:v>L24-S11-C2</x:v>
      </x:c>
      <x:c r="M2025" t="n">
        <x:v>1</x:v>
      </x:c>
      <x:c r="N2025" t="str">
        <x:v>DerivedFromCount</x:v>
      </x:c>
      <x:c r="O2025" t="str">
        <x:v>PLC-PRD-JAR-330-L24</x:v>
      </x:c>
      <x:c r="P2025" t="str">
        <x:v>OK</x:v>
      </x:c>
      <x:c r="Q2025" t="str">
        <x:v>OK</x:v>
      </x:c>
      <x:c r="R2025" t="str">
        <x:v>OK</x:v>
      </x:c>
      <x:c r="S2025" t="str">
        <x:v>OK</x:v>
      </x:c>
      <x:c r="T2025" t="n">
        <x:v>36</x:v>
      </x:c>
      <x:c r="U2025" t="str">
        <x:v>OK</x:v>
      </x:c>
      <x:c r="V2025" t="str">
        <x:v>OK</x:v>
      </x:c>
      <x:c r="W2025" t="str">
        <x:v>LOAD</x:v>
      </x:c>
      <x:c r="X2025" t="str">
        <x:v>02_Supervisor_Log(4).xlsx</x:v>
      </x:c>
      <x:c r="Y2025" t="str">
        <x:v>ENH-20260830-01</x:v>
      </x:c>
      <x:c r="Z2025" t="str">
        <x:v>Active</x:v>
      </x:c>
      <x:c r="AA2025"/>
      <x:c r="AB2025"/>
      <x:c r="AC2025"/>
      <x:c r="AD2025"/>
    </x:row>
    <x:row r="2026">
      <x:c r="A2026" t="str">
        <x:v>PCC-PE-KG01-L24-20251024-PM-ORD-2025-00125-S11-C3</x:v>
      </x:c>
      <x:c r="B2026" t="str">
        <x:v>PC-PE-KG01-L24-20251024-PM-ORD-2025-00125-S11</x:v>
      </x:c>
      <x:c r="C2026" t="str">
        <x:v>PE-KG01-L24-20251024-PM-ORD-2025-00125</x:v>
      </x:c>
      <x:c r="D2026" t="str">
        <x:v>KG01</x:v>
      </x:c>
      <x:c r="E2026" s="62" t="n">
        <x:v>45954</x:v>
      </x:c>
      <x:c r="F2026" t="str">
        <x:v>PM</x:v>
      </x:c>
      <x:c r="G2026" t="str">
        <x:v>B</x:v>
      </x:c>
      <x:c r="H2026" t="n">
        <x:v>24</x:v>
      </x:c>
      <x:c r="I2026" t="str">
        <x:v>ORD-2025-00125</x:v>
      </x:c>
      <x:c r="J2026" t="n">
        <x:v>11</x:v>
      </x:c>
      <x:c r="K2026" t="n">
        <x:v>3</x:v>
      </x:c>
      <x:c r="L2026" t="str">
        <x:v>L24-S11-C3</x:v>
      </x:c>
      <x:c r="M2026" t="n">
        <x:v>1</x:v>
      </x:c>
      <x:c r="N2026" t="str">
        <x:v>DerivedFromCount</x:v>
      </x:c>
      <x:c r="O2026" t="str">
        <x:v>PLC-PRD-JAR-330-L24</x:v>
      </x:c>
      <x:c r="P2026" t="str">
        <x:v>OK</x:v>
      </x:c>
      <x:c r="Q2026" t="str">
        <x:v>OK</x:v>
      </x:c>
      <x:c r="R2026" t="str">
        <x:v>OK</x:v>
      </x:c>
      <x:c r="S2026" t="str">
        <x:v>OK</x:v>
      </x:c>
      <x:c r="T2026" t="n">
        <x:v>36</x:v>
      </x:c>
      <x:c r="U2026" t="str">
        <x:v>OK</x:v>
      </x:c>
      <x:c r="V2026" t="str">
        <x:v>OK</x:v>
      </x:c>
      <x:c r="W2026" t="str">
        <x:v>LOAD</x:v>
      </x:c>
      <x:c r="X2026" t="str">
        <x:v>02_Supervisor_Log(4).xlsx</x:v>
      </x:c>
      <x:c r="Y2026" t="str">
        <x:v>ENH-20260830-01</x:v>
      </x:c>
      <x:c r="Z2026" t="str">
        <x:v>Active</x:v>
      </x:c>
      <x:c r="AA2026"/>
      <x:c r="AB2026"/>
      <x:c r="AC2026"/>
      <x:c r="AD2026"/>
    </x:row>
    <x:row r="2027">
      <x:c r="A2027" t="str">
        <x:v>PCC-PE-KG01-L24-20251024-PM-ORD-2025-00125-S12-C1</x:v>
      </x:c>
      <x:c r="B2027" t="str">
        <x:v>PC-PE-KG01-L24-20251024-PM-ORD-2025-00125-S12</x:v>
      </x:c>
      <x:c r="C2027" t="str">
        <x:v>PE-KG01-L24-20251024-PM-ORD-2025-00125</x:v>
      </x:c>
      <x:c r="D2027" t="str">
        <x:v>KG01</x:v>
      </x:c>
      <x:c r="E2027" s="62" t="n">
        <x:v>45954</x:v>
      </x:c>
      <x:c r="F2027" t="str">
        <x:v>PM</x:v>
      </x:c>
      <x:c r="G2027" t="str">
        <x:v>B</x:v>
      </x:c>
      <x:c r="H2027" t="n">
        <x:v>24</x:v>
      </x:c>
      <x:c r="I2027" t="str">
        <x:v>ORD-2025-00125</x:v>
      </x:c>
      <x:c r="J2027" t="n">
        <x:v>12</x:v>
      </x:c>
      <x:c r="K2027" t="n">
        <x:v>1</x:v>
      </x:c>
      <x:c r="L2027" t="str">
        <x:v>L24-S12-C1</x:v>
      </x:c>
      <x:c r="M2027" t="n">
        <x:v>1</x:v>
      </x:c>
      <x:c r="N2027" t="str">
        <x:v>DerivedFromCount</x:v>
      </x:c>
      <x:c r="O2027" t="str">
        <x:v>PLC-PRD-JAR-330-L24</x:v>
      </x:c>
      <x:c r="P2027" t="str">
        <x:v>OK</x:v>
      </x:c>
      <x:c r="Q2027" t="str">
        <x:v>OK</x:v>
      </x:c>
      <x:c r="R2027" t="str">
        <x:v>OK</x:v>
      </x:c>
      <x:c r="S2027" t="str">
        <x:v>OK</x:v>
      </x:c>
      <x:c r="T2027" t="n">
        <x:v>36</x:v>
      </x:c>
      <x:c r="U2027" t="str">
        <x:v>OK</x:v>
      </x:c>
      <x:c r="V2027" t="str">
        <x:v>OK</x:v>
      </x:c>
      <x:c r="W2027" t="str">
        <x:v>LOAD</x:v>
      </x:c>
      <x:c r="X2027" t="str">
        <x:v>02_Supervisor_Log(4).xlsx</x:v>
      </x:c>
      <x:c r="Y2027" t="str">
        <x:v>ENH-20260830-01</x:v>
      </x:c>
      <x:c r="Z2027" t="str">
        <x:v>Active</x:v>
      </x:c>
      <x:c r="AA2027"/>
      <x:c r="AB2027"/>
      <x:c r="AC2027"/>
      <x:c r="AD2027"/>
    </x:row>
    <x:row r="2028">
      <x:c r="A2028" t="str">
        <x:v>PCC-PE-KG01-L24-20251024-PM-ORD-2025-00125-S12-C2</x:v>
      </x:c>
      <x:c r="B2028" t="str">
        <x:v>PC-PE-KG01-L24-20251024-PM-ORD-2025-00125-S12</x:v>
      </x:c>
      <x:c r="C2028" t="str">
        <x:v>PE-KG01-L24-20251024-PM-ORD-2025-00125</x:v>
      </x:c>
      <x:c r="D2028" t="str">
        <x:v>KG01</x:v>
      </x:c>
      <x:c r="E2028" s="62" t="n">
        <x:v>45954</x:v>
      </x:c>
      <x:c r="F2028" t="str">
        <x:v>PM</x:v>
      </x:c>
      <x:c r="G2028" t="str">
        <x:v>B</x:v>
      </x:c>
      <x:c r="H2028" t="n">
        <x:v>24</x:v>
      </x:c>
      <x:c r="I2028" t="str">
        <x:v>ORD-2025-00125</x:v>
      </x:c>
      <x:c r="J2028" t="n">
        <x:v>12</x:v>
      </x:c>
      <x:c r="K2028" t="n">
        <x:v>2</x:v>
      </x:c>
      <x:c r="L2028" t="str">
        <x:v>L24-S12-C2</x:v>
      </x:c>
      <x:c r="M2028" t="n">
        <x:v>1</x:v>
      </x:c>
      <x:c r="N2028" t="str">
        <x:v>DerivedFromCount</x:v>
      </x:c>
      <x:c r="O2028" t="str">
        <x:v>PLC-PRD-JAR-330-L24</x:v>
      </x:c>
      <x:c r="P2028" t="str">
        <x:v>OK</x:v>
      </x:c>
      <x:c r="Q2028" t="str">
        <x:v>OK</x:v>
      </x:c>
      <x:c r="R2028" t="str">
        <x:v>OK</x:v>
      </x:c>
      <x:c r="S2028" t="str">
        <x:v>OK</x:v>
      </x:c>
      <x:c r="T2028" t="n">
        <x:v>36</x:v>
      </x:c>
      <x:c r="U2028" t="str">
        <x:v>OK</x:v>
      </x:c>
      <x:c r="V2028" t="str">
        <x:v>OK</x:v>
      </x:c>
      <x:c r="W2028" t="str">
        <x:v>LOAD</x:v>
      </x:c>
      <x:c r="X2028" t="str">
        <x:v>02_Supervisor_Log(4).xlsx</x:v>
      </x:c>
      <x:c r="Y2028" t="str">
        <x:v>ENH-20260830-01</x:v>
      </x:c>
      <x:c r="Z2028" t="str">
        <x:v>Active</x:v>
      </x:c>
      <x:c r="AA2028"/>
      <x:c r="AB2028"/>
      <x:c r="AC2028"/>
      <x:c r="AD2028"/>
    </x:row>
    <x:row r="2029">
      <x:c r="A2029" t="str">
        <x:v>PCC-PE-KG01-L24-20251024-PM-ORD-2025-00125-S12-C3</x:v>
      </x:c>
      <x:c r="B2029" t="str">
        <x:v>PC-PE-KG01-L24-20251024-PM-ORD-2025-00125-S12</x:v>
      </x:c>
      <x:c r="C2029" t="str">
        <x:v>PE-KG01-L24-20251024-PM-ORD-2025-00125</x:v>
      </x:c>
      <x:c r="D2029" t="str">
        <x:v>KG01</x:v>
      </x:c>
      <x:c r="E2029" s="62" t="n">
        <x:v>45954</x:v>
      </x:c>
      <x:c r="F2029" t="str">
        <x:v>PM</x:v>
      </x:c>
      <x:c r="G2029" t="str">
        <x:v>B</x:v>
      </x:c>
      <x:c r="H2029" t="n">
        <x:v>24</x:v>
      </x:c>
      <x:c r="I2029" t="str">
        <x:v>ORD-2025-00125</x:v>
      </x:c>
      <x:c r="J2029" t="n">
        <x:v>12</x:v>
      </x:c>
      <x:c r="K2029" t="n">
        <x:v>3</x:v>
      </x:c>
      <x:c r="L2029" t="str">
        <x:v>L24-S12-C3</x:v>
      </x:c>
      <x:c r="M2029" t="n">
        <x:v>1</x:v>
      </x:c>
      <x:c r="N2029" t="str">
        <x:v>DerivedFromCount</x:v>
      </x:c>
      <x:c r="O2029" t="str">
        <x:v>PLC-PRD-JAR-330-L24</x:v>
      </x:c>
      <x:c r="P2029" t="str">
        <x:v>OK</x:v>
      </x:c>
      <x:c r="Q2029" t="str">
        <x:v>OK</x:v>
      </x:c>
      <x:c r="R2029" t="str">
        <x:v>OK</x:v>
      </x:c>
      <x:c r="S2029" t="str">
        <x:v>OK</x:v>
      </x:c>
      <x:c r="T2029" t="n">
        <x:v>36</x:v>
      </x:c>
      <x:c r="U2029" t="str">
        <x:v>OK</x:v>
      </x:c>
      <x:c r="V2029" t="str">
        <x:v>OK</x:v>
      </x:c>
      <x:c r="W2029" t="str">
        <x:v>LOAD</x:v>
      </x:c>
      <x:c r="X2029" t="str">
        <x:v>02_Supervisor_Log(4).xlsx</x:v>
      </x:c>
      <x:c r="Y2029" t="str">
        <x:v>ENH-20260830-01</x:v>
      </x:c>
      <x:c r="Z2029" t="str">
        <x:v>Active</x:v>
      </x:c>
      <x:c r="AA2029"/>
      <x:c r="AB2029"/>
      <x:c r="AC2029"/>
      <x:c r="AD2029"/>
    </x:row>
    <x:row r="2030">
      <x:c r="A2030" t="str">
        <x:v>PCC-PE-KG01-L24-20251024-PM-ORD-2025-00125-S13-C1</x:v>
      </x:c>
      <x:c r="B2030" t="str">
        <x:v>PC-PE-KG01-L24-20251024-PM-ORD-2025-00125-S13</x:v>
      </x:c>
      <x:c r="C2030" t="str">
        <x:v>PE-KG01-L24-20251024-PM-ORD-2025-00125</x:v>
      </x:c>
      <x:c r="D2030" t="str">
        <x:v>KG01</x:v>
      </x:c>
      <x:c r="E2030" s="62" t="n">
        <x:v>45954</x:v>
      </x:c>
      <x:c r="F2030" t="str">
        <x:v>PM</x:v>
      </x:c>
      <x:c r="G2030" t="str">
        <x:v>B</x:v>
      </x:c>
      <x:c r="H2030" t="n">
        <x:v>24</x:v>
      </x:c>
      <x:c r="I2030" t="str">
        <x:v>ORD-2025-00125</x:v>
      </x:c>
      <x:c r="J2030" t="n">
        <x:v>13</x:v>
      </x:c>
      <x:c r="K2030" t="n">
        <x:v>1</x:v>
      </x:c>
      <x:c r="L2030" t="str">
        <x:v>L24-S13-C1</x:v>
      </x:c>
      <x:c r="M2030" t="n">
        <x:v>0</x:v>
      </x:c>
      <x:c r="N2030" t="str">
        <x:v>DerivedFromCount</x:v>
      </x:c>
      <x:c r="O2030" t="str">
        <x:v>PLC-PRD-JAR-330-L24</x:v>
      </x:c>
      <x:c r="P2030" t="str">
        <x:v>OK</x:v>
      </x:c>
      <x:c r="Q2030" t="str">
        <x:v>OK</x:v>
      </x:c>
      <x:c r="R2030" t="str">
        <x:v>OK</x:v>
      </x:c>
      <x:c r="S2030" t="str">
        <x:v>OK</x:v>
      </x:c>
      <x:c r="T2030" t="n">
        <x:v>36</x:v>
      </x:c>
      <x:c r="U2030" t="str">
        <x:v>OK</x:v>
      </x:c>
      <x:c r="V2030" t="str">
        <x:v>OK</x:v>
      </x:c>
      <x:c r="W2030" t="str">
        <x:v>LOAD</x:v>
      </x:c>
      <x:c r="X2030" t="str">
        <x:v>02_Supervisor_Log(4).xlsx</x:v>
      </x:c>
      <x:c r="Y2030" t="str">
        <x:v>ENH-20260830-01</x:v>
      </x:c>
      <x:c r="Z2030" t="str">
        <x:v>Active</x:v>
      </x:c>
      <x:c r="AA2030"/>
      <x:c r="AB2030"/>
      <x:c r="AC2030"/>
      <x:c r="AD2030"/>
    </x:row>
    <x:row r="2031">
      <x:c r="A2031" t="str">
        <x:v>PCC-PE-KG01-L24-20251024-PM-ORD-2025-00125-S13-C2</x:v>
      </x:c>
      <x:c r="B2031" t="str">
        <x:v>PC-PE-KG01-L24-20251024-PM-ORD-2025-00125-S13</x:v>
      </x:c>
      <x:c r="C2031" t="str">
        <x:v>PE-KG01-L24-20251024-PM-ORD-2025-00125</x:v>
      </x:c>
      <x:c r="D2031" t="str">
        <x:v>KG01</x:v>
      </x:c>
      <x:c r="E2031" s="62" t="n">
        <x:v>45954</x:v>
      </x:c>
      <x:c r="F2031" t="str">
        <x:v>PM</x:v>
      </x:c>
      <x:c r="G2031" t="str">
        <x:v>B</x:v>
      </x:c>
      <x:c r="H2031" t="n">
        <x:v>24</x:v>
      </x:c>
      <x:c r="I2031" t="str">
        <x:v>ORD-2025-00125</x:v>
      </x:c>
      <x:c r="J2031" t="n">
        <x:v>13</x:v>
      </x:c>
      <x:c r="K2031" t="n">
        <x:v>2</x:v>
      </x:c>
      <x:c r="L2031" t="str">
        <x:v>L24-S13-C2</x:v>
      </x:c>
      <x:c r="M2031" t="n">
        <x:v>0</x:v>
      </x:c>
      <x:c r="N2031" t="str">
        <x:v>DerivedFromCount</x:v>
      </x:c>
      <x:c r="O2031" t="str">
        <x:v>PLC-PRD-JAR-330-L24</x:v>
      </x:c>
      <x:c r="P2031" t="str">
        <x:v>OK</x:v>
      </x:c>
      <x:c r="Q2031" t="str">
        <x:v>OK</x:v>
      </x:c>
      <x:c r="R2031" t="str">
        <x:v>OK</x:v>
      </x:c>
      <x:c r="S2031" t="str">
        <x:v>OK</x:v>
      </x:c>
      <x:c r="T2031" t="n">
        <x:v>36</x:v>
      </x:c>
      <x:c r="U2031" t="str">
        <x:v>OK</x:v>
      </x:c>
      <x:c r="V2031" t="str">
        <x:v>OK</x:v>
      </x:c>
      <x:c r="W2031" t="str">
        <x:v>LOAD</x:v>
      </x:c>
      <x:c r="X2031" t="str">
        <x:v>02_Supervisor_Log(4).xlsx</x:v>
      </x:c>
      <x:c r="Y2031" t="str">
        <x:v>ENH-20260830-01</x:v>
      </x:c>
      <x:c r="Z2031" t="str">
        <x:v>Active</x:v>
      </x:c>
      <x:c r="AA2031"/>
      <x:c r="AB2031"/>
      <x:c r="AC2031"/>
      <x:c r="AD2031"/>
    </x:row>
    <x:row r="2032">
      <x:c r="A2032" t="str">
        <x:v>PCC-PE-KG01-L24-20251024-PM-ORD-2025-00125-S13-C3</x:v>
      </x:c>
      <x:c r="B2032" t="str">
        <x:v>PC-PE-KG01-L24-20251024-PM-ORD-2025-00125-S13</x:v>
      </x:c>
      <x:c r="C2032" t="str">
        <x:v>PE-KG01-L24-20251024-PM-ORD-2025-00125</x:v>
      </x:c>
      <x:c r="D2032" t="str">
        <x:v>KG01</x:v>
      </x:c>
      <x:c r="E2032" s="62" t="n">
        <x:v>45954</x:v>
      </x:c>
      <x:c r="F2032" t="str">
        <x:v>PM</x:v>
      </x:c>
      <x:c r="G2032" t="str">
        <x:v>B</x:v>
      </x:c>
      <x:c r="H2032" t="n">
        <x:v>24</x:v>
      </x:c>
      <x:c r="I2032" t="str">
        <x:v>ORD-2025-00125</x:v>
      </x:c>
      <x:c r="J2032" t="n">
        <x:v>13</x:v>
      </x:c>
      <x:c r="K2032" t="n">
        <x:v>3</x:v>
      </x:c>
      <x:c r="L2032" t="str">
        <x:v>L24-S13-C3</x:v>
      </x:c>
      <x:c r="M2032" t="n">
        <x:v>0</x:v>
      </x:c>
      <x:c r="N2032" t="str">
        <x:v>DerivedFromCount</x:v>
      </x:c>
      <x:c r="O2032" t="str">
        <x:v>PLC-PRD-JAR-330-L24</x:v>
      </x:c>
      <x:c r="P2032" t="str">
        <x:v>OK</x:v>
      </x:c>
      <x:c r="Q2032" t="str">
        <x:v>OK</x:v>
      </x:c>
      <x:c r="R2032" t="str">
        <x:v>OK</x:v>
      </x:c>
      <x:c r="S2032" t="str">
        <x:v>OK</x:v>
      </x:c>
      <x:c r="T2032" t="n">
        <x:v>36</x:v>
      </x:c>
      <x:c r="U2032" t="str">
        <x:v>OK</x:v>
      </x:c>
      <x:c r="V2032" t="str">
        <x:v>OK</x:v>
      </x:c>
      <x:c r="W2032" t="str">
        <x:v>LOAD</x:v>
      </x:c>
      <x:c r="X2032" t="str">
        <x:v>02_Supervisor_Log(4).xlsx</x:v>
      </x:c>
      <x:c r="Y2032" t="str">
        <x:v>ENH-20260830-01</x:v>
      </x:c>
      <x:c r="Z2032" t="str">
        <x:v>Active</x:v>
      </x:c>
      <x:c r="AA2032"/>
      <x:c r="AB2032"/>
      <x:c r="AC2032"/>
      <x:c r="AD2032"/>
    </x:row>
    <x:row r="2033">
      <x:c r="A2033" t="str">
        <x:v>PCC-PE-KG01-L24-20251025-AM-ORD-2025-00126-S01-C1</x:v>
      </x:c>
      <x:c r="B2033" t="str">
        <x:v>PC-PE-KG01-L24-20251025-AM-ORD-2025-00126-S01</x:v>
      </x:c>
      <x:c r="C2033" t="str">
        <x:v>PE-KG01-L24-20251025-AM-ORD-2025-00126</x:v>
      </x:c>
      <x:c r="D2033" t="str">
        <x:v>KG01</x:v>
      </x:c>
      <x:c r="E2033" s="62" t="n">
        <x:v>45955</x:v>
      </x:c>
      <x:c r="F2033" t="str">
        <x:v>AM</x:v>
      </x:c>
      <x:c r="G2033" t="str">
        <x:v>B</x:v>
      </x:c>
      <x:c r="H2033" t="n">
        <x:v>24</x:v>
      </x:c>
      <x:c r="I2033" t="str">
        <x:v>ORD-2025-00126</x:v>
      </x:c>
      <x:c r="J2033" t="n">
        <x:v>1</x:v>
      </x:c>
      <x:c r="K2033" t="n">
        <x:v>1</x:v>
      </x:c>
      <x:c r="L2033" t="str">
        <x:v>L24-S01-C1</x:v>
      </x:c>
      <x:c r="M2033" t="n">
        <x:v>1</x:v>
      </x:c>
      <x:c r="N2033" t="str">
        <x:v>DerivedFromCount</x:v>
      </x:c>
      <x:c r="O2033" t="str">
        <x:v>PLC-PRD-JAR-720-L24</x:v>
      </x:c>
      <x:c r="P2033" t="str">
        <x:v>OK</x:v>
      </x:c>
      <x:c r="Q2033" t="str">
        <x:v>OK</x:v>
      </x:c>
      <x:c r="R2033" t="str">
        <x:v>OK</x:v>
      </x:c>
      <x:c r="S2033" t="str">
        <x:v>OK</x:v>
      </x:c>
      <x:c r="T2033" t="n">
        <x:v>24</x:v>
      </x:c>
      <x:c r="U2033" t="str">
        <x:v>OK</x:v>
      </x:c>
      <x:c r="V2033" t="str">
        <x:v>OK</x:v>
      </x:c>
      <x:c r="W2033" t="str">
        <x:v>LOAD</x:v>
      </x:c>
      <x:c r="X2033" t="str">
        <x:v>02_Supervisor_Log(4).xlsx</x:v>
      </x:c>
      <x:c r="Y2033" t="str">
        <x:v>ENH-20260830-01</x:v>
      </x:c>
      <x:c r="Z2033" t="str">
        <x:v>Active</x:v>
      </x:c>
      <x:c r="AA2033"/>
      <x:c r="AB2033"/>
      <x:c r="AC2033"/>
      <x:c r="AD2033"/>
    </x:row>
    <x:row r="2034">
      <x:c r="A2034" t="str">
        <x:v>PCC-PE-KG01-L24-20251025-AM-ORD-2025-00126-S01-C2</x:v>
      </x:c>
      <x:c r="B2034" t="str">
        <x:v>PC-PE-KG01-L24-20251025-AM-ORD-2025-00126-S01</x:v>
      </x:c>
      <x:c r="C2034" t="str">
        <x:v>PE-KG01-L24-20251025-AM-ORD-2025-00126</x:v>
      </x:c>
      <x:c r="D2034" t="str">
        <x:v>KG01</x:v>
      </x:c>
      <x:c r="E2034" s="62" t="n">
        <x:v>45955</x:v>
      </x:c>
      <x:c r="F2034" t="str">
        <x:v>AM</x:v>
      </x:c>
      <x:c r="G2034" t="str">
        <x:v>B</x:v>
      </x:c>
      <x:c r="H2034" t="n">
        <x:v>24</x:v>
      </x:c>
      <x:c r="I2034" t="str">
        <x:v>ORD-2025-00126</x:v>
      </x:c>
      <x:c r="J2034" t="n">
        <x:v>1</x:v>
      </x:c>
      <x:c r="K2034" t="n">
        <x:v>2</x:v>
      </x:c>
      <x:c r="L2034" t="str">
        <x:v>L24-S01-C2</x:v>
      </x:c>
      <x:c r="M2034" t="n">
        <x:v>1</x:v>
      </x:c>
      <x:c r="N2034" t="str">
        <x:v>DerivedFromCount</x:v>
      </x:c>
      <x:c r="O2034" t="str">
        <x:v>PLC-PRD-JAR-720-L24</x:v>
      </x:c>
      <x:c r="P2034" t="str">
        <x:v>OK</x:v>
      </x:c>
      <x:c r="Q2034" t="str">
        <x:v>OK</x:v>
      </x:c>
      <x:c r="R2034" t="str">
        <x:v>OK</x:v>
      </x:c>
      <x:c r="S2034" t="str">
        <x:v>OK</x:v>
      </x:c>
      <x:c r="T2034" t="n">
        <x:v>24</x:v>
      </x:c>
      <x:c r="U2034" t="str">
        <x:v>OK</x:v>
      </x:c>
      <x:c r="V2034" t="str">
        <x:v>OK</x:v>
      </x:c>
      <x:c r="W2034" t="str">
        <x:v>LOAD</x:v>
      </x:c>
      <x:c r="X2034" t="str">
        <x:v>02_Supervisor_Log(4).xlsx</x:v>
      </x:c>
      <x:c r="Y2034" t="str">
        <x:v>ENH-20260830-01</x:v>
      </x:c>
      <x:c r="Z2034" t="str">
        <x:v>Active</x:v>
      </x:c>
      <x:c r="AA2034"/>
      <x:c r="AB2034"/>
      <x:c r="AC2034"/>
      <x:c r="AD2034"/>
    </x:row>
    <x:row r="2035">
      <x:c r="A2035" t="str">
        <x:v>PCC-PE-KG01-L24-20251025-AM-ORD-2025-00126-S01-C3</x:v>
      </x:c>
      <x:c r="B2035" t="str">
        <x:v>PC-PE-KG01-L24-20251025-AM-ORD-2025-00126-S01</x:v>
      </x:c>
      <x:c r="C2035" t="str">
        <x:v>PE-KG01-L24-20251025-AM-ORD-2025-00126</x:v>
      </x:c>
      <x:c r="D2035" t="str">
        <x:v>KG01</x:v>
      </x:c>
      <x:c r="E2035" s="62" t="n">
        <x:v>45955</x:v>
      </x:c>
      <x:c r="F2035" t="str">
        <x:v>AM</x:v>
      </x:c>
      <x:c r="G2035" t="str">
        <x:v>B</x:v>
      </x:c>
      <x:c r="H2035" t="n">
        <x:v>24</x:v>
      </x:c>
      <x:c r="I2035" t="str">
        <x:v>ORD-2025-00126</x:v>
      </x:c>
      <x:c r="J2035" t="n">
        <x:v>1</x:v>
      </x:c>
      <x:c r="K2035" t="n">
        <x:v>3</x:v>
      </x:c>
      <x:c r="L2035" t="str">
        <x:v>L24-S01-C3</x:v>
      </x:c>
      <x:c r="M2035" t="n">
        <x:v>0</x:v>
      </x:c>
      <x:c r="N2035" t="str">
        <x:v>DerivedFromCount</x:v>
      </x:c>
      <x:c r="O2035" t="str">
        <x:v>PLC-PRD-JAR-720-L24</x:v>
      </x:c>
      <x:c r="P2035" t="str">
        <x:v>OK</x:v>
      </x:c>
      <x:c r="Q2035" t="str">
        <x:v>OK</x:v>
      </x:c>
      <x:c r="R2035" t="str">
        <x:v>OK</x:v>
      </x:c>
      <x:c r="S2035" t="str">
        <x:v>OK</x:v>
      </x:c>
      <x:c r="T2035" t="n">
        <x:v>24</x:v>
      </x:c>
      <x:c r="U2035" t="str">
        <x:v>OK</x:v>
      </x:c>
      <x:c r="V2035" t="str">
        <x:v>OK</x:v>
      </x:c>
      <x:c r="W2035" t="str">
        <x:v>LOAD</x:v>
      </x:c>
      <x:c r="X2035" t="str">
        <x:v>02_Supervisor_Log(4).xlsx</x:v>
      </x:c>
      <x:c r="Y2035" t="str">
        <x:v>ENH-20260830-01</x:v>
      </x:c>
      <x:c r="Z2035" t="str">
        <x:v>Active</x:v>
      </x:c>
      <x:c r="AA2035"/>
      <x:c r="AB2035"/>
      <x:c r="AC2035"/>
      <x:c r="AD2035"/>
    </x:row>
    <x:row r="2036">
      <x:c r="A2036" t="str">
        <x:v>PCC-PE-KG01-L24-20251025-AM-ORD-2025-00126-S02-C1</x:v>
      </x:c>
      <x:c r="B2036" t="str">
        <x:v>PC-PE-KG01-L24-20251025-AM-ORD-2025-00126-S02</x:v>
      </x:c>
      <x:c r="C2036" t="str">
        <x:v>PE-KG01-L24-20251025-AM-ORD-2025-00126</x:v>
      </x:c>
      <x:c r="D2036" t="str">
        <x:v>KG01</x:v>
      </x:c>
      <x:c r="E2036" s="62" t="n">
        <x:v>45955</x:v>
      </x:c>
      <x:c r="F2036" t="str">
        <x:v>AM</x:v>
      </x:c>
      <x:c r="G2036" t="str">
        <x:v>B</x:v>
      </x:c>
      <x:c r="H2036" t="n">
        <x:v>24</x:v>
      </x:c>
      <x:c r="I2036" t="str">
        <x:v>ORD-2025-00126</x:v>
      </x:c>
      <x:c r="J2036" t="n">
        <x:v>2</x:v>
      </x:c>
      <x:c r="K2036" t="n">
        <x:v>1</x:v>
      </x:c>
      <x:c r="L2036" t="str">
        <x:v>L24-S02-C1</x:v>
      </x:c>
      <x:c r="M2036" t="n">
        <x:v>1</x:v>
      </x:c>
      <x:c r="N2036" t="str">
        <x:v>DerivedFromCount</x:v>
      </x:c>
      <x:c r="O2036" t="str">
        <x:v>PLC-PRD-JAR-720-L24</x:v>
      </x:c>
      <x:c r="P2036" t="str">
        <x:v>OK</x:v>
      </x:c>
      <x:c r="Q2036" t="str">
        <x:v>OK</x:v>
      </x:c>
      <x:c r="R2036" t="str">
        <x:v>OK</x:v>
      </x:c>
      <x:c r="S2036" t="str">
        <x:v>OK</x:v>
      </x:c>
      <x:c r="T2036" t="n">
        <x:v>24</x:v>
      </x:c>
      <x:c r="U2036" t="str">
        <x:v>OK</x:v>
      </x:c>
      <x:c r="V2036" t="str">
        <x:v>OK</x:v>
      </x:c>
      <x:c r="W2036" t="str">
        <x:v>LOAD</x:v>
      </x:c>
      <x:c r="X2036" t="str">
        <x:v>02_Supervisor_Log(4).xlsx</x:v>
      </x:c>
      <x:c r="Y2036" t="str">
        <x:v>ENH-20260830-01</x:v>
      </x:c>
      <x:c r="Z2036" t="str">
        <x:v>Active</x:v>
      </x:c>
      <x:c r="AA2036"/>
      <x:c r="AB2036"/>
      <x:c r="AC2036"/>
      <x:c r="AD2036"/>
    </x:row>
    <x:row r="2037">
      <x:c r="A2037" t="str">
        <x:v>PCC-PE-KG01-L24-20251025-AM-ORD-2025-00126-S02-C2</x:v>
      </x:c>
      <x:c r="B2037" t="str">
        <x:v>PC-PE-KG01-L24-20251025-AM-ORD-2025-00126-S02</x:v>
      </x:c>
      <x:c r="C2037" t="str">
        <x:v>PE-KG01-L24-20251025-AM-ORD-2025-00126</x:v>
      </x:c>
      <x:c r="D2037" t="str">
        <x:v>KG01</x:v>
      </x:c>
      <x:c r="E2037" s="62" t="n">
        <x:v>45955</x:v>
      </x:c>
      <x:c r="F2037" t="str">
        <x:v>AM</x:v>
      </x:c>
      <x:c r="G2037" t="str">
        <x:v>B</x:v>
      </x:c>
      <x:c r="H2037" t="n">
        <x:v>24</x:v>
      </x:c>
      <x:c r="I2037" t="str">
        <x:v>ORD-2025-00126</x:v>
      </x:c>
      <x:c r="J2037" t="n">
        <x:v>2</x:v>
      </x:c>
      <x:c r="K2037" t="n">
        <x:v>2</x:v>
      </x:c>
      <x:c r="L2037" t="str">
        <x:v>L24-S02-C2</x:v>
      </x:c>
      <x:c r="M2037" t="n">
        <x:v>1</x:v>
      </x:c>
      <x:c r="N2037" t="str">
        <x:v>DerivedFromCount</x:v>
      </x:c>
      <x:c r="O2037" t="str">
        <x:v>PLC-PRD-JAR-720-L24</x:v>
      </x:c>
      <x:c r="P2037" t="str">
        <x:v>OK</x:v>
      </x:c>
      <x:c r="Q2037" t="str">
        <x:v>OK</x:v>
      </x:c>
      <x:c r="R2037" t="str">
        <x:v>OK</x:v>
      </x:c>
      <x:c r="S2037" t="str">
        <x:v>OK</x:v>
      </x:c>
      <x:c r="T2037" t="n">
        <x:v>24</x:v>
      </x:c>
      <x:c r="U2037" t="str">
        <x:v>OK</x:v>
      </x:c>
      <x:c r="V2037" t="str">
        <x:v>OK</x:v>
      </x:c>
      <x:c r="W2037" t="str">
        <x:v>LOAD</x:v>
      </x:c>
      <x:c r="X2037" t="str">
        <x:v>02_Supervisor_Log(4).xlsx</x:v>
      </x:c>
      <x:c r="Y2037" t="str">
        <x:v>ENH-20260830-01</x:v>
      </x:c>
      <x:c r="Z2037" t="str">
        <x:v>Active</x:v>
      </x:c>
      <x:c r="AA2037"/>
      <x:c r="AB2037"/>
      <x:c r="AC2037"/>
      <x:c r="AD2037"/>
    </x:row>
    <x:row r="2038">
      <x:c r="A2038" t="str">
        <x:v>PCC-PE-KG01-L24-20251025-AM-ORD-2025-00126-S02-C3</x:v>
      </x:c>
      <x:c r="B2038" t="str">
        <x:v>PC-PE-KG01-L24-20251025-AM-ORD-2025-00126-S02</x:v>
      </x:c>
      <x:c r="C2038" t="str">
        <x:v>PE-KG01-L24-20251025-AM-ORD-2025-00126</x:v>
      </x:c>
      <x:c r="D2038" t="str">
        <x:v>KG01</x:v>
      </x:c>
      <x:c r="E2038" s="62" t="n">
        <x:v>45955</x:v>
      </x:c>
      <x:c r="F2038" t="str">
        <x:v>AM</x:v>
      </x:c>
      <x:c r="G2038" t="str">
        <x:v>B</x:v>
      </x:c>
      <x:c r="H2038" t="n">
        <x:v>24</x:v>
      </x:c>
      <x:c r="I2038" t="str">
        <x:v>ORD-2025-00126</x:v>
      </x:c>
      <x:c r="J2038" t="n">
        <x:v>2</x:v>
      </x:c>
      <x:c r="K2038" t="n">
        <x:v>3</x:v>
      </x:c>
      <x:c r="L2038" t="str">
        <x:v>L24-S02-C3</x:v>
      </x:c>
      <x:c r="M2038" t="n">
        <x:v>0</x:v>
      </x:c>
      <x:c r="N2038" t="str">
        <x:v>DerivedFromCount</x:v>
      </x:c>
      <x:c r="O2038" t="str">
        <x:v>PLC-PRD-JAR-720-L24</x:v>
      </x:c>
      <x:c r="P2038" t="str">
        <x:v>OK</x:v>
      </x:c>
      <x:c r="Q2038" t="str">
        <x:v>OK</x:v>
      </x:c>
      <x:c r="R2038" t="str">
        <x:v>OK</x:v>
      </x:c>
      <x:c r="S2038" t="str">
        <x:v>OK</x:v>
      </x:c>
      <x:c r="T2038" t="n">
        <x:v>24</x:v>
      </x:c>
      <x:c r="U2038" t="str">
        <x:v>OK</x:v>
      </x:c>
      <x:c r="V2038" t="str">
        <x:v>OK</x:v>
      </x:c>
      <x:c r="W2038" t="str">
        <x:v>LOAD</x:v>
      </x:c>
      <x:c r="X2038" t="str">
        <x:v>02_Supervisor_Log(4).xlsx</x:v>
      </x:c>
      <x:c r="Y2038" t="str">
        <x:v>ENH-20260830-01</x:v>
      </x:c>
      <x:c r="Z2038" t="str">
        <x:v>Active</x:v>
      </x:c>
      <x:c r="AA2038"/>
      <x:c r="AB2038"/>
      <x:c r="AC2038"/>
      <x:c r="AD2038"/>
    </x:row>
    <x:row r="2039">
      <x:c r="A2039" t="str">
        <x:v>PCC-PE-KG01-L24-20251025-AM-ORD-2025-00126-S03-C1</x:v>
      </x:c>
      <x:c r="B2039" t="str">
        <x:v>PC-PE-KG01-L24-20251025-AM-ORD-2025-00126-S03</x:v>
      </x:c>
      <x:c r="C2039" t="str">
        <x:v>PE-KG01-L24-20251025-AM-ORD-2025-00126</x:v>
      </x:c>
      <x:c r="D2039" t="str">
        <x:v>KG01</x:v>
      </x:c>
      <x:c r="E2039" s="62" t="n">
        <x:v>45955</x:v>
      </x:c>
      <x:c r="F2039" t="str">
        <x:v>AM</x:v>
      </x:c>
      <x:c r="G2039" t="str">
        <x:v>B</x:v>
      </x:c>
      <x:c r="H2039" t="n">
        <x:v>24</x:v>
      </x:c>
      <x:c r="I2039" t="str">
        <x:v>ORD-2025-00126</x:v>
      </x:c>
      <x:c r="J2039" t="n">
        <x:v>3</x:v>
      </x:c>
      <x:c r="K2039" t="n">
        <x:v>1</x:v>
      </x:c>
      <x:c r="L2039" t="str">
        <x:v>L24-S03-C1</x:v>
      </x:c>
      <x:c r="M2039" t="n">
        <x:v>1</x:v>
      </x:c>
      <x:c r="N2039" t="str">
        <x:v>DerivedFromCount</x:v>
      </x:c>
      <x:c r="O2039" t="str">
        <x:v>PLC-PRD-JAR-720-L24</x:v>
      </x:c>
      <x:c r="P2039" t="str">
        <x:v>OK</x:v>
      </x:c>
      <x:c r="Q2039" t="str">
        <x:v>OK</x:v>
      </x:c>
      <x:c r="R2039" t="str">
        <x:v>OK</x:v>
      </x:c>
      <x:c r="S2039" t="str">
        <x:v>OK</x:v>
      </x:c>
      <x:c r="T2039" t="n">
        <x:v>24</x:v>
      </x:c>
      <x:c r="U2039" t="str">
        <x:v>OK</x:v>
      </x:c>
      <x:c r="V2039" t="str">
        <x:v>OK</x:v>
      </x:c>
      <x:c r="W2039" t="str">
        <x:v>LOAD</x:v>
      </x:c>
      <x:c r="X2039" t="str">
        <x:v>02_Supervisor_Log(4).xlsx</x:v>
      </x:c>
      <x:c r="Y2039" t="str">
        <x:v>ENH-20260830-01</x:v>
      </x:c>
      <x:c r="Z2039" t="str">
        <x:v>Active</x:v>
      </x:c>
      <x:c r="AA2039"/>
      <x:c r="AB2039"/>
      <x:c r="AC2039"/>
      <x:c r="AD2039"/>
    </x:row>
    <x:row r="2040">
      <x:c r="A2040" t="str">
        <x:v>PCC-PE-KG01-L24-20251025-AM-ORD-2025-00126-S03-C2</x:v>
      </x:c>
      <x:c r="B2040" t="str">
        <x:v>PC-PE-KG01-L24-20251025-AM-ORD-2025-00126-S03</x:v>
      </x:c>
      <x:c r="C2040" t="str">
        <x:v>PE-KG01-L24-20251025-AM-ORD-2025-00126</x:v>
      </x:c>
      <x:c r="D2040" t="str">
        <x:v>KG01</x:v>
      </x:c>
      <x:c r="E2040" s="62" t="n">
        <x:v>45955</x:v>
      </x:c>
      <x:c r="F2040" t="str">
        <x:v>AM</x:v>
      </x:c>
      <x:c r="G2040" t="str">
        <x:v>B</x:v>
      </x:c>
      <x:c r="H2040" t="n">
        <x:v>24</x:v>
      </x:c>
      <x:c r="I2040" t="str">
        <x:v>ORD-2025-00126</x:v>
      </x:c>
      <x:c r="J2040" t="n">
        <x:v>3</x:v>
      </x:c>
      <x:c r="K2040" t="n">
        <x:v>2</x:v>
      </x:c>
      <x:c r="L2040" t="str">
        <x:v>L24-S03-C2</x:v>
      </x:c>
      <x:c r="M2040" t="n">
        <x:v>1</x:v>
      </x:c>
      <x:c r="N2040" t="str">
        <x:v>DerivedFromCount</x:v>
      </x:c>
      <x:c r="O2040" t="str">
        <x:v>PLC-PRD-JAR-720-L24</x:v>
      </x:c>
      <x:c r="P2040" t="str">
        <x:v>OK</x:v>
      </x:c>
      <x:c r="Q2040" t="str">
        <x:v>OK</x:v>
      </x:c>
      <x:c r="R2040" t="str">
        <x:v>OK</x:v>
      </x:c>
      <x:c r="S2040" t="str">
        <x:v>OK</x:v>
      </x:c>
      <x:c r="T2040" t="n">
        <x:v>24</x:v>
      </x:c>
      <x:c r="U2040" t="str">
        <x:v>OK</x:v>
      </x:c>
      <x:c r="V2040" t="str">
        <x:v>OK</x:v>
      </x:c>
      <x:c r="W2040" t="str">
        <x:v>LOAD</x:v>
      </x:c>
      <x:c r="X2040" t="str">
        <x:v>02_Supervisor_Log(4).xlsx</x:v>
      </x:c>
      <x:c r="Y2040" t="str">
        <x:v>ENH-20260830-01</x:v>
      </x:c>
      <x:c r="Z2040" t="str">
        <x:v>Active</x:v>
      </x:c>
      <x:c r="AA2040"/>
      <x:c r="AB2040"/>
      <x:c r="AC2040"/>
      <x:c r="AD2040"/>
    </x:row>
    <x:row r="2041">
      <x:c r="A2041" t="str">
        <x:v>PCC-PE-KG01-L24-20251025-AM-ORD-2025-00126-S03-C3</x:v>
      </x:c>
      <x:c r="B2041" t="str">
        <x:v>PC-PE-KG01-L24-20251025-AM-ORD-2025-00126-S03</x:v>
      </x:c>
      <x:c r="C2041" t="str">
        <x:v>PE-KG01-L24-20251025-AM-ORD-2025-00126</x:v>
      </x:c>
      <x:c r="D2041" t="str">
        <x:v>KG01</x:v>
      </x:c>
      <x:c r="E2041" s="62" t="n">
        <x:v>45955</x:v>
      </x:c>
      <x:c r="F2041" t="str">
        <x:v>AM</x:v>
      </x:c>
      <x:c r="G2041" t="str">
        <x:v>B</x:v>
      </x:c>
      <x:c r="H2041" t="n">
        <x:v>24</x:v>
      </x:c>
      <x:c r="I2041" t="str">
        <x:v>ORD-2025-00126</x:v>
      </x:c>
      <x:c r="J2041" t="n">
        <x:v>3</x:v>
      </x:c>
      <x:c r="K2041" t="n">
        <x:v>3</x:v>
      </x:c>
      <x:c r="L2041" t="str">
        <x:v>L24-S03-C3</x:v>
      </x:c>
      <x:c r="M2041" t="n">
        <x:v>0</x:v>
      </x:c>
      <x:c r="N2041" t="str">
        <x:v>DerivedFromCount</x:v>
      </x:c>
      <x:c r="O2041" t="str">
        <x:v>PLC-PRD-JAR-720-L24</x:v>
      </x:c>
      <x:c r="P2041" t="str">
        <x:v>OK</x:v>
      </x:c>
      <x:c r="Q2041" t="str">
        <x:v>OK</x:v>
      </x:c>
      <x:c r="R2041" t="str">
        <x:v>OK</x:v>
      </x:c>
      <x:c r="S2041" t="str">
        <x:v>OK</x:v>
      </x:c>
      <x:c r="T2041" t="n">
        <x:v>24</x:v>
      </x:c>
      <x:c r="U2041" t="str">
        <x:v>OK</x:v>
      </x:c>
      <x:c r="V2041" t="str">
        <x:v>OK</x:v>
      </x:c>
      <x:c r="W2041" t="str">
        <x:v>LOAD</x:v>
      </x:c>
      <x:c r="X2041" t="str">
        <x:v>02_Supervisor_Log(4).xlsx</x:v>
      </x:c>
      <x:c r="Y2041" t="str">
        <x:v>ENH-20260830-01</x:v>
      </x:c>
      <x:c r="Z2041" t="str">
        <x:v>Active</x:v>
      </x:c>
      <x:c r="AA2041"/>
      <x:c r="AB2041"/>
      <x:c r="AC2041"/>
      <x:c r="AD2041"/>
    </x:row>
    <x:row r="2042">
      <x:c r="A2042" t="str">
        <x:v>PCC-PE-KG01-L24-20251025-AM-ORD-2025-00126-S04-C1</x:v>
      </x:c>
      <x:c r="B2042" t="str">
        <x:v>PC-PE-KG01-L24-20251025-AM-ORD-2025-00126-S04</x:v>
      </x:c>
      <x:c r="C2042" t="str">
        <x:v>PE-KG01-L24-20251025-AM-ORD-2025-00126</x:v>
      </x:c>
      <x:c r="D2042" t="str">
        <x:v>KG01</x:v>
      </x:c>
      <x:c r="E2042" s="62" t="n">
        <x:v>45955</x:v>
      </x:c>
      <x:c r="F2042" t="str">
        <x:v>AM</x:v>
      </x:c>
      <x:c r="G2042" t="str">
        <x:v>B</x:v>
      </x:c>
      <x:c r="H2042" t="n">
        <x:v>24</x:v>
      </x:c>
      <x:c r="I2042" t="str">
        <x:v>ORD-2025-00126</x:v>
      </x:c>
      <x:c r="J2042" t="n">
        <x:v>4</x:v>
      </x:c>
      <x:c r="K2042" t="n">
        <x:v>1</x:v>
      </x:c>
      <x:c r="L2042" t="str">
        <x:v>L24-S04-C1</x:v>
      </x:c>
      <x:c r="M2042" t="n">
        <x:v>1</x:v>
      </x:c>
      <x:c r="N2042" t="str">
        <x:v>DerivedFromCount</x:v>
      </x:c>
      <x:c r="O2042" t="str">
        <x:v>PLC-PRD-JAR-720-L24</x:v>
      </x:c>
      <x:c r="P2042" t="str">
        <x:v>OK</x:v>
      </x:c>
      <x:c r="Q2042" t="str">
        <x:v>OK</x:v>
      </x:c>
      <x:c r="R2042" t="str">
        <x:v>OK</x:v>
      </x:c>
      <x:c r="S2042" t="str">
        <x:v>OK</x:v>
      </x:c>
      <x:c r="T2042" t="n">
        <x:v>24</x:v>
      </x:c>
      <x:c r="U2042" t="str">
        <x:v>OK</x:v>
      </x:c>
      <x:c r="V2042" t="str">
        <x:v>OK</x:v>
      </x:c>
      <x:c r="W2042" t="str">
        <x:v>LOAD</x:v>
      </x:c>
      <x:c r="X2042" t="str">
        <x:v>02_Supervisor_Log(4).xlsx</x:v>
      </x:c>
      <x:c r="Y2042" t="str">
        <x:v>ENH-20260830-01</x:v>
      </x:c>
      <x:c r="Z2042" t="str">
        <x:v>Active</x:v>
      </x:c>
      <x:c r="AA2042"/>
      <x:c r="AB2042"/>
      <x:c r="AC2042"/>
      <x:c r="AD2042"/>
    </x:row>
    <x:row r="2043">
      <x:c r="A2043" t="str">
        <x:v>PCC-PE-KG01-L24-20251025-AM-ORD-2025-00126-S04-C2</x:v>
      </x:c>
      <x:c r="B2043" t="str">
        <x:v>PC-PE-KG01-L24-20251025-AM-ORD-2025-00126-S04</x:v>
      </x:c>
      <x:c r="C2043" t="str">
        <x:v>PE-KG01-L24-20251025-AM-ORD-2025-00126</x:v>
      </x:c>
      <x:c r="D2043" t="str">
        <x:v>KG01</x:v>
      </x:c>
      <x:c r="E2043" s="62" t="n">
        <x:v>45955</x:v>
      </x:c>
      <x:c r="F2043" t="str">
        <x:v>AM</x:v>
      </x:c>
      <x:c r="G2043" t="str">
        <x:v>B</x:v>
      </x:c>
      <x:c r="H2043" t="n">
        <x:v>24</x:v>
      </x:c>
      <x:c r="I2043" t="str">
        <x:v>ORD-2025-00126</x:v>
      </x:c>
      <x:c r="J2043" t="n">
        <x:v>4</x:v>
      </x:c>
      <x:c r="K2043" t="n">
        <x:v>2</x:v>
      </x:c>
      <x:c r="L2043" t="str">
        <x:v>L24-S04-C2</x:v>
      </x:c>
      <x:c r="M2043" t="n">
        <x:v>1</x:v>
      </x:c>
      <x:c r="N2043" t="str">
        <x:v>DerivedFromCount</x:v>
      </x:c>
      <x:c r="O2043" t="str">
        <x:v>PLC-PRD-JAR-720-L24</x:v>
      </x:c>
      <x:c r="P2043" t="str">
        <x:v>OK</x:v>
      </x:c>
      <x:c r="Q2043" t="str">
        <x:v>OK</x:v>
      </x:c>
      <x:c r="R2043" t="str">
        <x:v>OK</x:v>
      </x:c>
      <x:c r="S2043" t="str">
        <x:v>OK</x:v>
      </x:c>
      <x:c r="T2043" t="n">
        <x:v>24</x:v>
      </x:c>
      <x:c r="U2043" t="str">
        <x:v>OK</x:v>
      </x:c>
      <x:c r="V2043" t="str">
        <x:v>OK</x:v>
      </x:c>
      <x:c r="W2043" t="str">
        <x:v>LOAD</x:v>
      </x:c>
      <x:c r="X2043" t="str">
        <x:v>02_Supervisor_Log(4).xlsx</x:v>
      </x:c>
      <x:c r="Y2043" t="str">
        <x:v>ENH-20260830-01</x:v>
      </x:c>
      <x:c r="Z2043" t="str">
        <x:v>Active</x:v>
      </x:c>
      <x:c r="AA2043"/>
      <x:c r="AB2043"/>
      <x:c r="AC2043"/>
      <x:c r="AD2043"/>
    </x:row>
    <x:row r="2044">
      <x:c r="A2044" t="str">
        <x:v>PCC-PE-KG01-L24-20251025-AM-ORD-2025-00126-S04-C3</x:v>
      </x:c>
      <x:c r="B2044" t="str">
        <x:v>PC-PE-KG01-L24-20251025-AM-ORD-2025-00126-S04</x:v>
      </x:c>
      <x:c r="C2044" t="str">
        <x:v>PE-KG01-L24-20251025-AM-ORD-2025-00126</x:v>
      </x:c>
      <x:c r="D2044" t="str">
        <x:v>KG01</x:v>
      </x:c>
      <x:c r="E2044" s="62" t="n">
        <x:v>45955</x:v>
      </x:c>
      <x:c r="F2044" t="str">
        <x:v>AM</x:v>
      </x:c>
      <x:c r="G2044" t="str">
        <x:v>B</x:v>
      </x:c>
      <x:c r="H2044" t="n">
        <x:v>24</x:v>
      </x:c>
      <x:c r="I2044" t="str">
        <x:v>ORD-2025-00126</x:v>
      </x:c>
      <x:c r="J2044" t="n">
        <x:v>4</x:v>
      </x:c>
      <x:c r="K2044" t="n">
        <x:v>3</x:v>
      </x:c>
      <x:c r="L2044" t="str">
        <x:v>L24-S04-C3</x:v>
      </x:c>
      <x:c r="M2044" t="n">
        <x:v>0</x:v>
      </x:c>
      <x:c r="N2044" t="str">
        <x:v>DerivedFromCount</x:v>
      </x:c>
      <x:c r="O2044" t="str">
        <x:v>PLC-PRD-JAR-720-L24</x:v>
      </x:c>
      <x:c r="P2044" t="str">
        <x:v>OK</x:v>
      </x:c>
      <x:c r="Q2044" t="str">
        <x:v>OK</x:v>
      </x:c>
      <x:c r="R2044" t="str">
        <x:v>OK</x:v>
      </x:c>
      <x:c r="S2044" t="str">
        <x:v>OK</x:v>
      </x:c>
      <x:c r="T2044" t="n">
        <x:v>24</x:v>
      </x:c>
      <x:c r="U2044" t="str">
        <x:v>OK</x:v>
      </x:c>
      <x:c r="V2044" t="str">
        <x:v>OK</x:v>
      </x:c>
      <x:c r="W2044" t="str">
        <x:v>LOAD</x:v>
      </x:c>
      <x:c r="X2044" t="str">
        <x:v>02_Supervisor_Log(4).xlsx</x:v>
      </x:c>
      <x:c r="Y2044" t="str">
        <x:v>ENH-20260830-01</x:v>
      </x:c>
      <x:c r="Z2044" t="str">
        <x:v>Active</x:v>
      </x:c>
      <x:c r="AA2044"/>
      <x:c r="AB2044"/>
      <x:c r="AC2044"/>
      <x:c r="AD2044"/>
    </x:row>
    <x:row r="2045">
      <x:c r="A2045" t="str">
        <x:v>PCC-PE-KG01-L24-20251025-AM-ORD-2025-00126-S05-C1</x:v>
      </x:c>
      <x:c r="B2045" t="str">
        <x:v>PC-PE-KG01-L24-20251025-AM-ORD-2025-00126-S05</x:v>
      </x:c>
      <x:c r="C2045" t="str">
        <x:v>PE-KG01-L24-20251025-AM-ORD-2025-00126</x:v>
      </x:c>
      <x:c r="D2045" t="str">
        <x:v>KG01</x:v>
      </x:c>
      <x:c r="E2045" s="62" t="n">
        <x:v>45955</x:v>
      </x:c>
      <x:c r="F2045" t="str">
        <x:v>AM</x:v>
      </x:c>
      <x:c r="G2045" t="str">
        <x:v>B</x:v>
      </x:c>
      <x:c r="H2045" t="n">
        <x:v>24</x:v>
      </x:c>
      <x:c r="I2045" t="str">
        <x:v>ORD-2025-00126</x:v>
      </x:c>
      <x:c r="J2045" t="n">
        <x:v>5</x:v>
      </x:c>
      <x:c r="K2045" t="n">
        <x:v>1</x:v>
      </x:c>
      <x:c r="L2045" t="str">
        <x:v>L24-S05-C1</x:v>
      </x:c>
      <x:c r="M2045" t="n">
        <x:v>1</x:v>
      </x:c>
      <x:c r="N2045" t="str">
        <x:v>DerivedFromCount</x:v>
      </x:c>
      <x:c r="O2045" t="str">
        <x:v>PLC-PRD-JAR-720-L24</x:v>
      </x:c>
      <x:c r="P2045" t="str">
        <x:v>OK</x:v>
      </x:c>
      <x:c r="Q2045" t="str">
        <x:v>OK</x:v>
      </x:c>
      <x:c r="R2045" t="str">
        <x:v>OK</x:v>
      </x:c>
      <x:c r="S2045" t="str">
        <x:v>OK</x:v>
      </x:c>
      <x:c r="T2045" t="n">
        <x:v>24</x:v>
      </x:c>
      <x:c r="U2045" t="str">
        <x:v>OK</x:v>
      </x:c>
      <x:c r="V2045" t="str">
        <x:v>OK</x:v>
      </x:c>
      <x:c r="W2045" t="str">
        <x:v>LOAD</x:v>
      </x:c>
      <x:c r="X2045" t="str">
        <x:v>02_Supervisor_Log(4).xlsx</x:v>
      </x:c>
      <x:c r="Y2045" t="str">
        <x:v>ENH-20260830-01</x:v>
      </x:c>
      <x:c r="Z2045" t="str">
        <x:v>Active</x:v>
      </x:c>
      <x:c r="AA2045"/>
      <x:c r="AB2045"/>
      <x:c r="AC2045"/>
      <x:c r="AD2045"/>
    </x:row>
    <x:row r="2046">
      <x:c r="A2046" t="str">
        <x:v>PCC-PE-KG01-L24-20251025-AM-ORD-2025-00126-S05-C2</x:v>
      </x:c>
      <x:c r="B2046" t="str">
        <x:v>PC-PE-KG01-L24-20251025-AM-ORD-2025-00126-S05</x:v>
      </x:c>
      <x:c r="C2046" t="str">
        <x:v>PE-KG01-L24-20251025-AM-ORD-2025-00126</x:v>
      </x:c>
      <x:c r="D2046" t="str">
        <x:v>KG01</x:v>
      </x:c>
      <x:c r="E2046" s="62" t="n">
        <x:v>45955</x:v>
      </x:c>
      <x:c r="F2046" t="str">
        <x:v>AM</x:v>
      </x:c>
      <x:c r="G2046" t="str">
        <x:v>B</x:v>
      </x:c>
      <x:c r="H2046" t="n">
        <x:v>24</x:v>
      </x:c>
      <x:c r="I2046" t="str">
        <x:v>ORD-2025-00126</x:v>
      </x:c>
      <x:c r="J2046" t="n">
        <x:v>5</x:v>
      </x:c>
      <x:c r="K2046" t="n">
        <x:v>2</x:v>
      </x:c>
      <x:c r="L2046" t="str">
        <x:v>L24-S05-C2</x:v>
      </x:c>
      <x:c r="M2046" t="n">
        <x:v>1</x:v>
      </x:c>
      <x:c r="N2046" t="str">
        <x:v>DerivedFromCount</x:v>
      </x:c>
      <x:c r="O2046" t="str">
        <x:v>PLC-PRD-JAR-720-L24</x:v>
      </x:c>
      <x:c r="P2046" t="str">
        <x:v>OK</x:v>
      </x:c>
      <x:c r="Q2046" t="str">
        <x:v>OK</x:v>
      </x:c>
      <x:c r="R2046" t="str">
        <x:v>OK</x:v>
      </x:c>
      <x:c r="S2046" t="str">
        <x:v>OK</x:v>
      </x:c>
      <x:c r="T2046" t="n">
        <x:v>24</x:v>
      </x:c>
      <x:c r="U2046" t="str">
        <x:v>OK</x:v>
      </x:c>
      <x:c r="V2046" t="str">
        <x:v>OK</x:v>
      </x:c>
      <x:c r="W2046" t="str">
        <x:v>LOAD</x:v>
      </x:c>
      <x:c r="X2046" t="str">
        <x:v>02_Supervisor_Log(4).xlsx</x:v>
      </x:c>
      <x:c r="Y2046" t="str">
        <x:v>ENH-20260830-01</x:v>
      </x:c>
      <x:c r="Z2046" t="str">
        <x:v>Active</x:v>
      </x:c>
      <x:c r="AA2046"/>
      <x:c r="AB2046"/>
      <x:c r="AC2046"/>
      <x:c r="AD2046"/>
    </x:row>
    <x:row r="2047">
      <x:c r="A2047" t="str">
        <x:v>PCC-PE-KG01-L24-20251025-AM-ORD-2025-00126-S05-C3</x:v>
      </x:c>
      <x:c r="B2047" t="str">
        <x:v>PC-PE-KG01-L24-20251025-AM-ORD-2025-00126-S05</x:v>
      </x:c>
      <x:c r="C2047" t="str">
        <x:v>PE-KG01-L24-20251025-AM-ORD-2025-00126</x:v>
      </x:c>
      <x:c r="D2047" t="str">
        <x:v>KG01</x:v>
      </x:c>
      <x:c r="E2047" s="62" t="n">
        <x:v>45955</x:v>
      </x:c>
      <x:c r="F2047" t="str">
        <x:v>AM</x:v>
      </x:c>
      <x:c r="G2047" t="str">
        <x:v>B</x:v>
      </x:c>
      <x:c r="H2047" t="n">
        <x:v>24</x:v>
      </x:c>
      <x:c r="I2047" t="str">
        <x:v>ORD-2025-00126</x:v>
      </x:c>
      <x:c r="J2047" t="n">
        <x:v>5</x:v>
      </x:c>
      <x:c r="K2047" t="n">
        <x:v>3</x:v>
      </x:c>
      <x:c r="L2047" t="str">
        <x:v>L24-S05-C3</x:v>
      </x:c>
      <x:c r="M2047" t="n">
        <x:v>0</x:v>
      </x:c>
      <x:c r="N2047" t="str">
        <x:v>DerivedFromCount</x:v>
      </x:c>
      <x:c r="O2047" t="str">
        <x:v>PLC-PRD-JAR-720-L24</x:v>
      </x:c>
      <x:c r="P2047" t="str">
        <x:v>OK</x:v>
      </x:c>
      <x:c r="Q2047" t="str">
        <x:v>OK</x:v>
      </x:c>
      <x:c r="R2047" t="str">
        <x:v>OK</x:v>
      </x:c>
      <x:c r="S2047" t="str">
        <x:v>OK</x:v>
      </x:c>
      <x:c r="T2047" t="n">
        <x:v>24</x:v>
      </x:c>
      <x:c r="U2047" t="str">
        <x:v>OK</x:v>
      </x:c>
      <x:c r="V2047" t="str">
        <x:v>OK</x:v>
      </x:c>
      <x:c r="W2047" t="str">
        <x:v>LOAD</x:v>
      </x:c>
      <x:c r="X2047" t="str">
        <x:v>02_Supervisor_Log(4).xlsx</x:v>
      </x:c>
      <x:c r="Y2047" t="str">
        <x:v>ENH-20260830-01</x:v>
      </x:c>
      <x:c r="Z2047" t="str">
        <x:v>Active</x:v>
      </x:c>
      <x:c r="AA2047"/>
      <x:c r="AB2047"/>
      <x:c r="AC2047"/>
      <x:c r="AD2047"/>
    </x:row>
    <x:row r="2048">
      <x:c r="A2048" t="str">
        <x:v>PCC-PE-KG01-L24-20251025-AM-ORD-2025-00126-S06-C1</x:v>
      </x:c>
      <x:c r="B2048" t="str">
        <x:v>PC-PE-KG01-L24-20251025-AM-ORD-2025-00126-S06</x:v>
      </x:c>
      <x:c r="C2048" t="str">
        <x:v>PE-KG01-L24-20251025-AM-ORD-2025-00126</x:v>
      </x:c>
      <x:c r="D2048" t="str">
        <x:v>KG01</x:v>
      </x:c>
      <x:c r="E2048" s="62" t="n">
        <x:v>45955</x:v>
      </x:c>
      <x:c r="F2048" t="str">
        <x:v>AM</x:v>
      </x:c>
      <x:c r="G2048" t="str">
        <x:v>B</x:v>
      </x:c>
      <x:c r="H2048" t="n">
        <x:v>24</x:v>
      </x:c>
      <x:c r="I2048" t="str">
        <x:v>ORD-2025-00126</x:v>
      </x:c>
      <x:c r="J2048" t="n">
        <x:v>6</x:v>
      </x:c>
      <x:c r="K2048" t="n">
        <x:v>1</x:v>
      </x:c>
      <x:c r="L2048" t="str">
        <x:v>L24-S06-C1</x:v>
      </x:c>
      <x:c r="M2048" t="n">
        <x:v>1</x:v>
      </x:c>
      <x:c r="N2048" t="str">
        <x:v>DerivedFromCount</x:v>
      </x:c>
      <x:c r="O2048" t="str">
        <x:v>PLC-PRD-JAR-720-L24</x:v>
      </x:c>
      <x:c r="P2048" t="str">
        <x:v>OK</x:v>
      </x:c>
      <x:c r="Q2048" t="str">
        <x:v>OK</x:v>
      </x:c>
      <x:c r="R2048" t="str">
        <x:v>OK</x:v>
      </x:c>
      <x:c r="S2048" t="str">
        <x:v>OK</x:v>
      </x:c>
      <x:c r="T2048" t="n">
        <x:v>24</x:v>
      </x:c>
      <x:c r="U2048" t="str">
        <x:v>OK</x:v>
      </x:c>
      <x:c r="V2048" t="str">
        <x:v>OK</x:v>
      </x:c>
      <x:c r="W2048" t="str">
        <x:v>LOAD</x:v>
      </x:c>
      <x:c r="X2048" t="str">
        <x:v>02_Supervisor_Log(4).xlsx</x:v>
      </x:c>
      <x:c r="Y2048" t="str">
        <x:v>ENH-20260830-01</x:v>
      </x:c>
      <x:c r="Z2048" t="str">
        <x:v>Active</x:v>
      </x:c>
      <x:c r="AA2048"/>
      <x:c r="AB2048"/>
      <x:c r="AC2048"/>
      <x:c r="AD2048"/>
    </x:row>
    <x:row r="2049">
      <x:c r="A2049" t="str">
        <x:v>PCC-PE-KG01-L24-20251025-AM-ORD-2025-00126-S06-C2</x:v>
      </x:c>
      <x:c r="B2049" t="str">
        <x:v>PC-PE-KG01-L24-20251025-AM-ORD-2025-00126-S06</x:v>
      </x:c>
      <x:c r="C2049" t="str">
        <x:v>PE-KG01-L24-20251025-AM-ORD-2025-00126</x:v>
      </x:c>
      <x:c r="D2049" t="str">
        <x:v>KG01</x:v>
      </x:c>
      <x:c r="E2049" s="62" t="n">
        <x:v>45955</x:v>
      </x:c>
      <x:c r="F2049" t="str">
        <x:v>AM</x:v>
      </x:c>
      <x:c r="G2049" t="str">
        <x:v>B</x:v>
      </x:c>
      <x:c r="H2049" t="n">
        <x:v>24</x:v>
      </x:c>
      <x:c r="I2049" t="str">
        <x:v>ORD-2025-00126</x:v>
      </x:c>
      <x:c r="J2049" t="n">
        <x:v>6</x:v>
      </x:c>
      <x:c r="K2049" t="n">
        <x:v>2</x:v>
      </x:c>
      <x:c r="L2049" t="str">
        <x:v>L24-S06-C2</x:v>
      </x:c>
      <x:c r="M2049" t="n">
        <x:v>1</x:v>
      </x:c>
      <x:c r="N2049" t="str">
        <x:v>DerivedFromCount</x:v>
      </x:c>
      <x:c r="O2049" t="str">
        <x:v>PLC-PRD-JAR-720-L24</x:v>
      </x:c>
      <x:c r="P2049" t="str">
        <x:v>OK</x:v>
      </x:c>
      <x:c r="Q2049" t="str">
        <x:v>OK</x:v>
      </x:c>
      <x:c r="R2049" t="str">
        <x:v>OK</x:v>
      </x:c>
      <x:c r="S2049" t="str">
        <x:v>OK</x:v>
      </x:c>
      <x:c r="T2049" t="n">
        <x:v>24</x:v>
      </x:c>
      <x:c r="U2049" t="str">
        <x:v>OK</x:v>
      </x:c>
      <x:c r="V2049" t="str">
        <x:v>OK</x:v>
      </x:c>
      <x:c r="W2049" t="str">
        <x:v>LOAD</x:v>
      </x:c>
      <x:c r="X2049" t="str">
        <x:v>02_Supervisor_Log(4).xlsx</x:v>
      </x:c>
      <x:c r="Y2049" t="str">
        <x:v>ENH-20260830-01</x:v>
      </x:c>
      <x:c r="Z2049" t="str">
        <x:v>Active</x:v>
      </x:c>
      <x:c r="AA2049"/>
      <x:c r="AB2049"/>
      <x:c r="AC2049"/>
      <x:c r="AD2049"/>
    </x:row>
    <x:row r="2050">
      <x:c r="A2050" t="str">
        <x:v>PCC-PE-KG01-L24-20251025-AM-ORD-2025-00126-S06-C3</x:v>
      </x:c>
      <x:c r="B2050" t="str">
        <x:v>PC-PE-KG01-L24-20251025-AM-ORD-2025-00126-S06</x:v>
      </x:c>
      <x:c r="C2050" t="str">
        <x:v>PE-KG01-L24-20251025-AM-ORD-2025-00126</x:v>
      </x:c>
      <x:c r="D2050" t="str">
        <x:v>KG01</x:v>
      </x:c>
      <x:c r="E2050" s="62" t="n">
        <x:v>45955</x:v>
      </x:c>
      <x:c r="F2050" t="str">
        <x:v>AM</x:v>
      </x:c>
      <x:c r="G2050" t="str">
        <x:v>B</x:v>
      </x:c>
      <x:c r="H2050" t="n">
        <x:v>24</x:v>
      </x:c>
      <x:c r="I2050" t="str">
        <x:v>ORD-2025-00126</x:v>
      </x:c>
      <x:c r="J2050" t="n">
        <x:v>6</x:v>
      </x:c>
      <x:c r="K2050" t="n">
        <x:v>3</x:v>
      </x:c>
      <x:c r="L2050" t="str">
        <x:v>L24-S06-C3</x:v>
      </x:c>
      <x:c r="M2050" t="n">
        <x:v>0</x:v>
      </x:c>
      <x:c r="N2050" t="str">
        <x:v>DerivedFromCount</x:v>
      </x:c>
      <x:c r="O2050" t="str">
        <x:v>PLC-PRD-JAR-720-L24</x:v>
      </x:c>
      <x:c r="P2050" t="str">
        <x:v>OK</x:v>
      </x:c>
      <x:c r="Q2050" t="str">
        <x:v>OK</x:v>
      </x:c>
      <x:c r="R2050" t="str">
        <x:v>OK</x:v>
      </x:c>
      <x:c r="S2050" t="str">
        <x:v>OK</x:v>
      </x:c>
      <x:c r="T2050" t="n">
        <x:v>24</x:v>
      </x:c>
      <x:c r="U2050" t="str">
        <x:v>OK</x:v>
      </x:c>
      <x:c r="V2050" t="str">
        <x:v>OK</x:v>
      </x:c>
      <x:c r="W2050" t="str">
        <x:v>LOAD</x:v>
      </x:c>
      <x:c r="X2050" t="str">
        <x:v>02_Supervisor_Log(4).xlsx</x:v>
      </x:c>
      <x:c r="Y2050" t="str">
        <x:v>ENH-20260830-01</x:v>
      </x:c>
      <x:c r="Z2050" t="str">
        <x:v>Active</x:v>
      </x:c>
      <x:c r="AA2050"/>
      <x:c r="AB2050"/>
      <x:c r="AC2050"/>
      <x:c r="AD2050"/>
    </x:row>
    <x:row r="2051">
      <x:c r="A2051" t="str">
        <x:v>PCC-PE-KG01-L24-20251025-AM-ORD-2025-00126-S07-C1</x:v>
      </x:c>
      <x:c r="B2051" t="str">
        <x:v>PC-PE-KG01-L24-20251025-AM-ORD-2025-00126-S07</x:v>
      </x:c>
      <x:c r="C2051" t="str">
        <x:v>PE-KG01-L24-20251025-AM-ORD-2025-00126</x:v>
      </x:c>
      <x:c r="D2051" t="str">
        <x:v>KG01</x:v>
      </x:c>
      <x:c r="E2051" s="62" t="n">
        <x:v>45955</x:v>
      </x:c>
      <x:c r="F2051" t="str">
        <x:v>AM</x:v>
      </x:c>
      <x:c r="G2051" t="str">
        <x:v>B</x:v>
      </x:c>
      <x:c r="H2051" t="n">
        <x:v>24</x:v>
      </x:c>
      <x:c r="I2051" t="str">
        <x:v>ORD-2025-00126</x:v>
      </x:c>
      <x:c r="J2051" t="n">
        <x:v>7</x:v>
      </x:c>
      <x:c r="K2051" t="n">
        <x:v>1</x:v>
      </x:c>
      <x:c r="L2051" t="str">
        <x:v>L24-S07-C1</x:v>
      </x:c>
      <x:c r="M2051" t="n">
        <x:v>1</x:v>
      </x:c>
      <x:c r="N2051" t="str">
        <x:v>DerivedFromCount</x:v>
      </x:c>
      <x:c r="O2051" t="str">
        <x:v>PLC-PRD-JAR-720-L24</x:v>
      </x:c>
      <x:c r="P2051" t="str">
        <x:v>OK</x:v>
      </x:c>
      <x:c r="Q2051" t="str">
        <x:v>OK</x:v>
      </x:c>
      <x:c r="R2051" t="str">
        <x:v>OK</x:v>
      </x:c>
      <x:c r="S2051" t="str">
        <x:v>OK</x:v>
      </x:c>
      <x:c r="T2051" t="n">
        <x:v>24</x:v>
      </x:c>
      <x:c r="U2051" t="str">
        <x:v>OK</x:v>
      </x:c>
      <x:c r="V2051" t="str">
        <x:v>OK</x:v>
      </x:c>
      <x:c r="W2051" t="str">
        <x:v>LOAD</x:v>
      </x:c>
      <x:c r="X2051" t="str">
        <x:v>02_Supervisor_Log(4).xlsx</x:v>
      </x:c>
      <x:c r="Y2051" t="str">
        <x:v>ENH-20260830-01</x:v>
      </x:c>
      <x:c r="Z2051" t="str">
        <x:v>Active</x:v>
      </x:c>
      <x:c r="AA2051"/>
      <x:c r="AB2051"/>
      <x:c r="AC2051"/>
      <x:c r="AD2051"/>
    </x:row>
    <x:row r="2052">
      <x:c r="A2052" t="str">
        <x:v>PCC-PE-KG01-L24-20251025-AM-ORD-2025-00126-S07-C2</x:v>
      </x:c>
      <x:c r="B2052" t="str">
        <x:v>PC-PE-KG01-L24-20251025-AM-ORD-2025-00126-S07</x:v>
      </x:c>
      <x:c r="C2052" t="str">
        <x:v>PE-KG01-L24-20251025-AM-ORD-2025-00126</x:v>
      </x:c>
      <x:c r="D2052" t="str">
        <x:v>KG01</x:v>
      </x:c>
      <x:c r="E2052" s="62" t="n">
        <x:v>45955</x:v>
      </x:c>
      <x:c r="F2052" t="str">
        <x:v>AM</x:v>
      </x:c>
      <x:c r="G2052" t="str">
        <x:v>B</x:v>
      </x:c>
      <x:c r="H2052" t="n">
        <x:v>24</x:v>
      </x:c>
      <x:c r="I2052" t="str">
        <x:v>ORD-2025-00126</x:v>
      </x:c>
      <x:c r="J2052" t="n">
        <x:v>7</x:v>
      </x:c>
      <x:c r="K2052" t="n">
        <x:v>2</x:v>
      </x:c>
      <x:c r="L2052" t="str">
        <x:v>L24-S07-C2</x:v>
      </x:c>
      <x:c r="M2052" t="n">
        <x:v>1</x:v>
      </x:c>
      <x:c r="N2052" t="str">
        <x:v>DerivedFromCount</x:v>
      </x:c>
      <x:c r="O2052" t="str">
        <x:v>PLC-PRD-JAR-720-L24</x:v>
      </x:c>
      <x:c r="P2052" t="str">
        <x:v>OK</x:v>
      </x:c>
      <x:c r="Q2052" t="str">
        <x:v>OK</x:v>
      </x:c>
      <x:c r="R2052" t="str">
        <x:v>OK</x:v>
      </x:c>
      <x:c r="S2052" t="str">
        <x:v>OK</x:v>
      </x:c>
      <x:c r="T2052" t="n">
        <x:v>24</x:v>
      </x:c>
      <x:c r="U2052" t="str">
        <x:v>OK</x:v>
      </x:c>
      <x:c r="V2052" t="str">
        <x:v>OK</x:v>
      </x:c>
      <x:c r="W2052" t="str">
        <x:v>LOAD</x:v>
      </x:c>
      <x:c r="X2052" t="str">
        <x:v>02_Supervisor_Log(4).xlsx</x:v>
      </x:c>
      <x:c r="Y2052" t="str">
        <x:v>ENH-20260830-01</x:v>
      </x:c>
      <x:c r="Z2052" t="str">
        <x:v>Active</x:v>
      </x:c>
      <x:c r="AA2052"/>
      <x:c r="AB2052"/>
      <x:c r="AC2052"/>
      <x:c r="AD2052"/>
    </x:row>
    <x:row r="2053">
      <x:c r="A2053" t="str">
        <x:v>PCC-PE-KG01-L24-20251025-AM-ORD-2025-00126-S07-C3</x:v>
      </x:c>
      <x:c r="B2053" t="str">
        <x:v>PC-PE-KG01-L24-20251025-AM-ORD-2025-00126-S07</x:v>
      </x:c>
      <x:c r="C2053" t="str">
        <x:v>PE-KG01-L24-20251025-AM-ORD-2025-00126</x:v>
      </x:c>
      <x:c r="D2053" t="str">
        <x:v>KG01</x:v>
      </x:c>
      <x:c r="E2053" s="62" t="n">
        <x:v>45955</x:v>
      </x:c>
      <x:c r="F2053" t="str">
        <x:v>AM</x:v>
      </x:c>
      <x:c r="G2053" t="str">
        <x:v>B</x:v>
      </x:c>
      <x:c r="H2053" t="n">
        <x:v>24</x:v>
      </x:c>
      <x:c r="I2053" t="str">
        <x:v>ORD-2025-00126</x:v>
      </x:c>
      <x:c r="J2053" t="n">
        <x:v>7</x:v>
      </x:c>
      <x:c r="K2053" t="n">
        <x:v>3</x:v>
      </x:c>
      <x:c r="L2053" t="str">
        <x:v>L24-S07-C3</x:v>
      </x:c>
      <x:c r="M2053" t="n">
        <x:v>0</x:v>
      </x:c>
      <x:c r="N2053" t="str">
        <x:v>DerivedFromCount</x:v>
      </x:c>
      <x:c r="O2053" t="str">
        <x:v>PLC-PRD-JAR-720-L24</x:v>
      </x:c>
      <x:c r="P2053" t="str">
        <x:v>OK</x:v>
      </x:c>
      <x:c r="Q2053" t="str">
        <x:v>OK</x:v>
      </x:c>
      <x:c r="R2053" t="str">
        <x:v>OK</x:v>
      </x:c>
      <x:c r="S2053" t="str">
        <x:v>OK</x:v>
      </x:c>
      <x:c r="T2053" t="n">
        <x:v>24</x:v>
      </x:c>
      <x:c r="U2053" t="str">
        <x:v>OK</x:v>
      </x:c>
      <x:c r="V2053" t="str">
        <x:v>OK</x:v>
      </x:c>
      <x:c r="W2053" t="str">
        <x:v>LOAD</x:v>
      </x:c>
      <x:c r="X2053" t="str">
        <x:v>02_Supervisor_Log(4).xlsx</x:v>
      </x:c>
      <x:c r="Y2053" t="str">
        <x:v>ENH-20260830-01</x:v>
      </x:c>
      <x:c r="Z2053" t="str">
        <x:v>Active</x:v>
      </x:c>
      <x:c r="AA2053"/>
      <x:c r="AB2053"/>
      <x:c r="AC2053"/>
      <x:c r="AD2053"/>
    </x:row>
    <x:row r="2054">
      <x:c r="A2054" t="str">
        <x:v>PCC-PE-KG01-L24-20251025-AM-ORD-2025-00126-S08-C1</x:v>
      </x:c>
      <x:c r="B2054" t="str">
        <x:v>PC-PE-KG01-L24-20251025-AM-ORD-2025-00126-S08</x:v>
      </x:c>
      <x:c r="C2054" t="str">
        <x:v>PE-KG01-L24-20251025-AM-ORD-2025-00126</x:v>
      </x:c>
      <x:c r="D2054" t="str">
        <x:v>KG01</x:v>
      </x:c>
      <x:c r="E2054" s="62" t="n">
        <x:v>45955</x:v>
      </x:c>
      <x:c r="F2054" t="str">
        <x:v>AM</x:v>
      </x:c>
      <x:c r="G2054" t="str">
        <x:v>B</x:v>
      </x:c>
      <x:c r="H2054" t="n">
        <x:v>24</x:v>
      </x:c>
      <x:c r="I2054" t="str">
        <x:v>ORD-2025-00126</x:v>
      </x:c>
      <x:c r="J2054" t="n">
        <x:v>8</x:v>
      </x:c>
      <x:c r="K2054" t="n">
        <x:v>1</x:v>
      </x:c>
      <x:c r="L2054" t="str">
        <x:v>L24-S08-C1</x:v>
      </x:c>
      <x:c r="M2054" t="n">
        <x:v>1</x:v>
      </x:c>
      <x:c r="N2054" t="str">
        <x:v>DerivedFromCount</x:v>
      </x:c>
      <x:c r="O2054" t="str">
        <x:v>PLC-PRD-JAR-720-L24</x:v>
      </x:c>
      <x:c r="P2054" t="str">
        <x:v>OK</x:v>
      </x:c>
      <x:c r="Q2054" t="str">
        <x:v>OK</x:v>
      </x:c>
      <x:c r="R2054" t="str">
        <x:v>OK</x:v>
      </x:c>
      <x:c r="S2054" t="str">
        <x:v>OK</x:v>
      </x:c>
      <x:c r="T2054" t="n">
        <x:v>24</x:v>
      </x:c>
      <x:c r="U2054" t="str">
        <x:v>OK</x:v>
      </x:c>
      <x:c r="V2054" t="str">
        <x:v>OK</x:v>
      </x:c>
      <x:c r="W2054" t="str">
        <x:v>LOAD</x:v>
      </x:c>
      <x:c r="X2054" t="str">
        <x:v>02_Supervisor_Log(4).xlsx</x:v>
      </x:c>
      <x:c r="Y2054" t="str">
        <x:v>ENH-20260830-01</x:v>
      </x:c>
      <x:c r="Z2054" t="str">
        <x:v>Active</x:v>
      </x:c>
      <x:c r="AA2054"/>
      <x:c r="AB2054"/>
      <x:c r="AC2054"/>
      <x:c r="AD2054"/>
    </x:row>
    <x:row r="2055">
      <x:c r="A2055" t="str">
        <x:v>PCC-PE-KG01-L24-20251025-AM-ORD-2025-00126-S08-C2</x:v>
      </x:c>
      <x:c r="B2055" t="str">
        <x:v>PC-PE-KG01-L24-20251025-AM-ORD-2025-00126-S08</x:v>
      </x:c>
      <x:c r="C2055" t="str">
        <x:v>PE-KG01-L24-20251025-AM-ORD-2025-00126</x:v>
      </x:c>
      <x:c r="D2055" t="str">
        <x:v>KG01</x:v>
      </x:c>
      <x:c r="E2055" s="62" t="n">
        <x:v>45955</x:v>
      </x:c>
      <x:c r="F2055" t="str">
        <x:v>AM</x:v>
      </x:c>
      <x:c r="G2055" t="str">
        <x:v>B</x:v>
      </x:c>
      <x:c r="H2055" t="n">
        <x:v>24</x:v>
      </x:c>
      <x:c r="I2055" t="str">
        <x:v>ORD-2025-00126</x:v>
      </x:c>
      <x:c r="J2055" t="n">
        <x:v>8</x:v>
      </x:c>
      <x:c r="K2055" t="n">
        <x:v>2</x:v>
      </x:c>
      <x:c r="L2055" t="str">
        <x:v>L24-S08-C2</x:v>
      </x:c>
      <x:c r="M2055" t="n">
        <x:v>1</x:v>
      </x:c>
      <x:c r="N2055" t="str">
        <x:v>DerivedFromCount</x:v>
      </x:c>
      <x:c r="O2055" t="str">
        <x:v>PLC-PRD-JAR-720-L24</x:v>
      </x:c>
      <x:c r="P2055" t="str">
        <x:v>OK</x:v>
      </x:c>
      <x:c r="Q2055" t="str">
        <x:v>OK</x:v>
      </x:c>
      <x:c r="R2055" t="str">
        <x:v>OK</x:v>
      </x:c>
      <x:c r="S2055" t="str">
        <x:v>OK</x:v>
      </x:c>
      <x:c r="T2055" t="n">
        <x:v>24</x:v>
      </x:c>
      <x:c r="U2055" t="str">
        <x:v>OK</x:v>
      </x:c>
      <x:c r="V2055" t="str">
        <x:v>OK</x:v>
      </x:c>
      <x:c r="W2055" t="str">
        <x:v>LOAD</x:v>
      </x:c>
      <x:c r="X2055" t="str">
        <x:v>02_Supervisor_Log(4).xlsx</x:v>
      </x:c>
      <x:c r="Y2055" t="str">
        <x:v>ENH-20260830-01</x:v>
      </x:c>
      <x:c r="Z2055" t="str">
        <x:v>Active</x:v>
      </x:c>
      <x:c r="AA2055"/>
      <x:c r="AB2055"/>
      <x:c r="AC2055"/>
      <x:c r="AD2055"/>
    </x:row>
    <x:row r="2056">
      <x:c r="A2056" t="str">
        <x:v>PCC-PE-KG01-L24-20251025-AM-ORD-2025-00126-S08-C3</x:v>
      </x:c>
      <x:c r="B2056" t="str">
        <x:v>PC-PE-KG01-L24-20251025-AM-ORD-2025-00126-S08</x:v>
      </x:c>
      <x:c r="C2056" t="str">
        <x:v>PE-KG01-L24-20251025-AM-ORD-2025-00126</x:v>
      </x:c>
      <x:c r="D2056" t="str">
        <x:v>KG01</x:v>
      </x:c>
      <x:c r="E2056" s="62" t="n">
        <x:v>45955</x:v>
      </x:c>
      <x:c r="F2056" t="str">
        <x:v>AM</x:v>
      </x:c>
      <x:c r="G2056" t="str">
        <x:v>B</x:v>
      </x:c>
      <x:c r="H2056" t="n">
        <x:v>24</x:v>
      </x:c>
      <x:c r="I2056" t="str">
        <x:v>ORD-2025-00126</x:v>
      </x:c>
      <x:c r="J2056" t="n">
        <x:v>8</x:v>
      </x:c>
      <x:c r="K2056" t="n">
        <x:v>3</x:v>
      </x:c>
      <x:c r="L2056" t="str">
        <x:v>L24-S08-C3</x:v>
      </x:c>
      <x:c r="M2056" t="n">
        <x:v>0</x:v>
      </x:c>
      <x:c r="N2056" t="str">
        <x:v>DerivedFromCount</x:v>
      </x:c>
      <x:c r="O2056" t="str">
        <x:v>PLC-PRD-JAR-720-L24</x:v>
      </x:c>
      <x:c r="P2056" t="str">
        <x:v>OK</x:v>
      </x:c>
      <x:c r="Q2056" t="str">
        <x:v>OK</x:v>
      </x:c>
      <x:c r="R2056" t="str">
        <x:v>OK</x:v>
      </x:c>
      <x:c r="S2056" t="str">
        <x:v>OK</x:v>
      </x:c>
      <x:c r="T2056" t="n">
        <x:v>24</x:v>
      </x:c>
      <x:c r="U2056" t="str">
        <x:v>OK</x:v>
      </x:c>
      <x:c r="V2056" t="str">
        <x:v>OK</x:v>
      </x:c>
      <x:c r="W2056" t="str">
        <x:v>LOAD</x:v>
      </x:c>
      <x:c r="X2056" t="str">
        <x:v>02_Supervisor_Log(4).xlsx</x:v>
      </x:c>
      <x:c r="Y2056" t="str">
        <x:v>ENH-20260830-01</x:v>
      </x:c>
      <x:c r="Z2056" t="str">
        <x:v>Active</x:v>
      </x:c>
      <x:c r="AA2056"/>
      <x:c r="AB2056"/>
      <x:c r="AC2056"/>
      <x:c r="AD2056"/>
    </x:row>
    <x:row r="2057">
      <x:c r="A2057" t="str">
        <x:v>PCC-PE-KG01-L24-20251025-AM-ORD-2025-00126-S09-C1</x:v>
      </x:c>
      <x:c r="B2057" t="str">
        <x:v>PC-PE-KG01-L24-20251025-AM-ORD-2025-00126-S09</x:v>
      </x:c>
      <x:c r="C2057" t="str">
        <x:v>PE-KG01-L24-20251025-AM-ORD-2025-00126</x:v>
      </x:c>
      <x:c r="D2057" t="str">
        <x:v>KG01</x:v>
      </x:c>
      <x:c r="E2057" s="62" t="n">
        <x:v>45955</x:v>
      </x:c>
      <x:c r="F2057" t="str">
        <x:v>AM</x:v>
      </x:c>
      <x:c r="G2057" t="str">
        <x:v>B</x:v>
      </x:c>
      <x:c r="H2057" t="n">
        <x:v>24</x:v>
      </x:c>
      <x:c r="I2057" t="str">
        <x:v>ORD-2025-00126</x:v>
      </x:c>
      <x:c r="J2057" t="n">
        <x:v>9</x:v>
      </x:c>
      <x:c r="K2057" t="n">
        <x:v>1</x:v>
      </x:c>
      <x:c r="L2057" t="str">
        <x:v>L24-S09-C1</x:v>
      </x:c>
      <x:c r="M2057" t="n">
        <x:v>1</x:v>
      </x:c>
      <x:c r="N2057" t="str">
        <x:v>DerivedFromCount</x:v>
      </x:c>
      <x:c r="O2057" t="str">
        <x:v>PLC-PRD-JAR-720-L24</x:v>
      </x:c>
      <x:c r="P2057" t="str">
        <x:v>OK</x:v>
      </x:c>
      <x:c r="Q2057" t="str">
        <x:v>OK</x:v>
      </x:c>
      <x:c r="R2057" t="str">
        <x:v>OK</x:v>
      </x:c>
      <x:c r="S2057" t="str">
        <x:v>OK</x:v>
      </x:c>
      <x:c r="T2057" t="n">
        <x:v>24</x:v>
      </x:c>
      <x:c r="U2057" t="str">
        <x:v>OK</x:v>
      </x:c>
      <x:c r="V2057" t="str">
        <x:v>OK</x:v>
      </x:c>
      <x:c r="W2057" t="str">
        <x:v>LOAD</x:v>
      </x:c>
      <x:c r="X2057" t="str">
        <x:v>02_Supervisor_Log(4).xlsx</x:v>
      </x:c>
      <x:c r="Y2057" t="str">
        <x:v>ENH-20260830-01</x:v>
      </x:c>
      <x:c r="Z2057" t="str">
        <x:v>Active</x:v>
      </x:c>
      <x:c r="AA2057"/>
      <x:c r="AB2057"/>
      <x:c r="AC2057"/>
      <x:c r="AD2057"/>
    </x:row>
    <x:row r="2058">
      <x:c r="A2058" t="str">
        <x:v>PCC-PE-KG01-L24-20251025-AM-ORD-2025-00126-S09-C2</x:v>
      </x:c>
      <x:c r="B2058" t="str">
        <x:v>PC-PE-KG01-L24-20251025-AM-ORD-2025-00126-S09</x:v>
      </x:c>
      <x:c r="C2058" t="str">
        <x:v>PE-KG01-L24-20251025-AM-ORD-2025-00126</x:v>
      </x:c>
      <x:c r="D2058" t="str">
        <x:v>KG01</x:v>
      </x:c>
      <x:c r="E2058" s="62" t="n">
        <x:v>45955</x:v>
      </x:c>
      <x:c r="F2058" t="str">
        <x:v>AM</x:v>
      </x:c>
      <x:c r="G2058" t="str">
        <x:v>B</x:v>
      </x:c>
      <x:c r="H2058" t="n">
        <x:v>24</x:v>
      </x:c>
      <x:c r="I2058" t="str">
        <x:v>ORD-2025-00126</x:v>
      </x:c>
      <x:c r="J2058" t="n">
        <x:v>9</x:v>
      </x:c>
      <x:c r="K2058" t="n">
        <x:v>2</x:v>
      </x:c>
      <x:c r="L2058" t="str">
        <x:v>L24-S09-C2</x:v>
      </x:c>
      <x:c r="M2058" t="n">
        <x:v>1</x:v>
      </x:c>
      <x:c r="N2058" t="str">
        <x:v>DerivedFromCount</x:v>
      </x:c>
      <x:c r="O2058" t="str">
        <x:v>PLC-PRD-JAR-720-L24</x:v>
      </x:c>
      <x:c r="P2058" t="str">
        <x:v>OK</x:v>
      </x:c>
      <x:c r="Q2058" t="str">
        <x:v>OK</x:v>
      </x:c>
      <x:c r="R2058" t="str">
        <x:v>OK</x:v>
      </x:c>
      <x:c r="S2058" t="str">
        <x:v>OK</x:v>
      </x:c>
      <x:c r="T2058" t="n">
        <x:v>24</x:v>
      </x:c>
      <x:c r="U2058" t="str">
        <x:v>OK</x:v>
      </x:c>
      <x:c r="V2058" t="str">
        <x:v>OK</x:v>
      </x:c>
      <x:c r="W2058" t="str">
        <x:v>LOAD</x:v>
      </x:c>
      <x:c r="X2058" t="str">
        <x:v>02_Supervisor_Log(4).xlsx</x:v>
      </x:c>
      <x:c r="Y2058" t="str">
        <x:v>ENH-20260830-01</x:v>
      </x:c>
      <x:c r="Z2058" t="str">
        <x:v>Active</x:v>
      </x:c>
      <x:c r="AA2058"/>
      <x:c r="AB2058"/>
      <x:c r="AC2058"/>
      <x:c r="AD2058"/>
    </x:row>
    <x:row r="2059">
      <x:c r="A2059" t="str">
        <x:v>PCC-PE-KG01-L24-20251025-AM-ORD-2025-00126-S09-C3</x:v>
      </x:c>
      <x:c r="B2059" t="str">
        <x:v>PC-PE-KG01-L24-20251025-AM-ORD-2025-00126-S09</x:v>
      </x:c>
      <x:c r="C2059" t="str">
        <x:v>PE-KG01-L24-20251025-AM-ORD-2025-00126</x:v>
      </x:c>
      <x:c r="D2059" t="str">
        <x:v>KG01</x:v>
      </x:c>
      <x:c r="E2059" s="62" t="n">
        <x:v>45955</x:v>
      </x:c>
      <x:c r="F2059" t="str">
        <x:v>AM</x:v>
      </x:c>
      <x:c r="G2059" t="str">
        <x:v>B</x:v>
      </x:c>
      <x:c r="H2059" t="n">
        <x:v>24</x:v>
      </x:c>
      <x:c r="I2059" t="str">
        <x:v>ORD-2025-00126</x:v>
      </x:c>
      <x:c r="J2059" t="n">
        <x:v>9</x:v>
      </x:c>
      <x:c r="K2059" t="n">
        <x:v>3</x:v>
      </x:c>
      <x:c r="L2059" t="str">
        <x:v>L24-S09-C3</x:v>
      </x:c>
      <x:c r="M2059" t="n">
        <x:v>0</x:v>
      </x:c>
      <x:c r="N2059" t="str">
        <x:v>DerivedFromCount</x:v>
      </x:c>
      <x:c r="O2059" t="str">
        <x:v>PLC-PRD-JAR-720-L24</x:v>
      </x:c>
      <x:c r="P2059" t="str">
        <x:v>OK</x:v>
      </x:c>
      <x:c r="Q2059" t="str">
        <x:v>OK</x:v>
      </x:c>
      <x:c r="R2059" t="str">
        <x:v>OK</x:v>
      </x:c>
      <x:c r="S2059" t="str">
        <x:v>OK</x:v>
      </x:c>
      <x:c r="T2059" t="n">
        <x:v>24</x:v>
      </x:c>
      <x:c r="U2059" t="str">
        <x:v>OK</x:v>
      </x:c>
      <x:c r="V2059" t="str">
        <x:v>OK</x:v>
      </x:c>
      <x:c r="W2059" t="str">
        <x:v>LOAD</x:v>
      </x:c>
      <x:c r="X2059" t="str">
        <x:v>02_Supervisor_Log(4).xlsx</x:v>
      </x:c>
      <x:c r="Y2059" t="str">
        <x:v>ENH-20260830-01</x:v>
      </x:c>
      <x:c r="Z2059" t="str">
        <x:v>Active</x:v>
      </x:c>
      <x:c r="AA2059"/>
      <x:c r="AB2059"/>
      <x:c r="AC2059"/>
      <x:c r="AD2059"/>
    </x:row>
    <x:row r="2060">
      <x:c r="A2060" t="str">
        <x:v>PCC-PE-KG01-L24-20251025-AM-ORD-2025-00126-S10-C1</x:v>
      </x:c>
      <x:c r="B2060" t="str">
        <x:v>PC-PE-KG01-L24-20251025-AM-ORD-2025-00126-S10</x:v>
      </x:c>
      <x:c r="C2060" t="str">
        <x:v>PE-KG01-L24-20251025-AM-ORD-2025-00126</x:v>
      </x:c>
      <x:c r="D2060" t="str">
        <x:v>KG01</x:v>
      </x:c>
      <x:c r="E2060" s="62" t="n">
        <x:v>45955</x:v>
      </x:c>
      <x:c r="F2060" t="str">
        <x:v>AM</x:v>
      </x:c>
      <x:c r="G2060" t="str">
        <x:v>B</x:v>
      </x:c>
      <x:c r="H2060" t="n">
        <x:v>24</x:v>
      </x:c>
      <x:c r="I2060" t="str">
        <x:v>ORD-2025-00126</x:v>
      </x:c>
      <x:c r="J2060" t="n">
        <x:v>10</x:v>
      </x:c>
      <x:c r="K2060" t="n">
        <x:v>1</x:v>
      </x:c>
      <x:c r="L2060" t="str">
        <x:v>L24-S10-C1</x:v>
      </x:c>
      <x:c r="M2060" t="n">
        <x:v>1</x:v>
      </x:c>
      <x:c r="N2060" t="str">
        <x:v>DerivedFromCount</x:v>
      </x:c>
      <x:c r="O2060" t="str">
        <x:v>PLC-PRD-JAR-720-L24</x:v>
      </x:c>
      <x:c r="P2060" t="str">
        <x:v>OK</x:v>
      </x:c>
      <x:c r="Q2060" t="str">
        <x:v>OK</x:v>
      </x:c>
      <x:c r="R2060" t="str">
        <x:v>OK</x:v>
      </x:c>
      <x:c r="S2060" t="str">
        <x:v>OK</x:v>
      </x:c>
      <x:c r="T2060" t="n">
        <x:v>24</x:v>
      </x:c>
      <x:c r="U2060" t="str">
        <x:v>OK</x:v>
      </x:c>
      <x:c r="V2060" t="str">
        <x:v>OK</x:v>
      </x:c>
      <x:c r="W2060" t="str">
        <x:v>LOAD</x:v>
      </x:c>
      <x:c r="X2060" t="str">
        <x:v>02_Supervisor_Log(4).xlsx</x:v>
      </x:c>
      <x:c r="Y2060" t="str">
        <x:v>ENH-20260830-01</x:v>
      </x:c>
      <x:c r="Z2060" t="str">
        <x:v>Active</x:v>
      </x:c>
      <x:c r="AA2060"/>
      <x:c r="AB2060"/>
      <x:c r="AC2060"/>
      <x:c r="AD2060"/>
    </x:row>
    <x:row r="2061">
      <x:c r="A2061" t="str">
        <x:v>PCC-PE-KG01-L24-20251025-AM-ORD-2025-00126-S10-C2</x:v>
      </x:c>
      <x:c r="B2061" t="str">
        <x:v>PC-PE-KG01-L24-20251025-AM-ORD-2025-00126-S10</x:v>
      </x:c>
      <x:c r="C2061" t="str">
        <x:v>PE-KG01-L24-20251025-AM-ORD-2025-00126</x:v>
      </x:c>
      <x:c r="D2061" t="str">
        <x:v>KG01</x:v>
      </x:c>
      <x:c r="E2061" s="62" t="n">
        <x:v>45955</x:v>
      </x:c>
      <x:c r="F2061" t="str">
        <x:v>AM</x:v>
      </x:c>
      <x:c r="G2061" t="str">
        <x:v>B</x:v>
      </x:c>
      <x:c r="H2061" t="n">
        <x:v>24</x:v>
      </x:c>
      <x:c r="I2061" t="str">
        <x:v>ORD-2025-00126</x:v>
      </x:c>
      <x:c r="J2061" t="n">
        <x:v>10</x:v>
      </x:c>
      <x:c r="K2061" t="n">
        <x:v>2</x:v>
      </x:c>
      <x:c r="L2061" t="str">
        <x:v>L24-S10-C2</x:v>
      </x:c>
      <x:c r="M2061" t="n">
        <x:v>1</x:v>
      </x:c>
      <x:c r="N2061" t="str">
        <x:v>DerivedFromCount</x:v>
      </x:c>
      <x:c r="O2061" t="str">
        <x:v>PLC-PRD-JAR-720-L24</x:v>
      </x:c>
      <x:c r="P2061" t="str">
        <x:v>OK</x:v>
      </x:c>
      <x:c r="Q2061" t="str">
        <x:v>OK</x:v>
      </x:c>
      <x:c r="R2061" t="str">
        <x:v>OK</x:v>
      </x:c>
      <x:c r="S2061" t="str">
        <x:v>OK</x:v>
      </x:c>
      <x:c r="T2061" t="n">
        <x:v>24</x:v>
      </x:c>
      <x:c r="U2061" t="str">
        <x:v>OK</x:v>
      </x:c>
      <x:c r="V2061" t="str">
        <x:v>OK</x:v>
      </x:c>
      <x:c r="W2061" t="str">
        <x:v>LOAD</x:v>
      </x:c>
      <x:c r="X2061" t="str">
        <x:v>02_Supervisor_Log(4).xlsx</x:v>
      </x:c>
      <x:c r="Y2061" t="str">
        <x:v>ENH-20260830-01</x:v>
      </x:c>
      <x:c r="Z2061" t="str">
        <x:v>Active</x:v>
      </x:c>
      <x:c r="AA2061"/>
      <x:c r="AB2061"/>
      <x:c r="AC2061"/>
      <x:c r="AD2061"/>
    </x:row>
    <x:row r="2062">
      <x:c r="A2062" t="str">
        <x:v>PCC-PE-KG01-L24-20251025-AM-ORD-2025-00126-S10-C3</x:v>
      </x:c>
      <x:c r="B2062" t="str">
        <x:v>PC-PE-KG01-L24-20251025-AM-ORD-2025-00126-S10</x:v>
      </x:c>
      <x:c r="C2062" t="str">
        <x:v>PE-KG01-L24-20251025-AM-ORD-2025-00126</x:v>
      </x:c>
      <x:c r="D2062" t="str">
        <x:v>KG01</x:v>
      </x:c>
      <x:c r="E2062" s="62" t="n">
        <x:v>45955</x:v>
      </x:c>
      <x:c r="F2062" t="str">
        <x:v>AM</x:v>
      </x:c>
      <x:c r="G2062" t="str">
        <x:v>B</x:v>
      </x:c>
      <x:c r="H2062" t="n">
        <x:v>24</x:v>
      </x:c>
      <x:c r="I2062" t="str">
        <x:v>ORD-2025-00126</x:v>
      </x:c>
      <x:c r="J2062" t="n">
        <x:v>10</x:v>
      </x:c>
      <x:c r="K2062" t="n">
        <x:v>3</x:v>
      </x:c>
      <x:c r="L2062" t="str">
        <x:v>L24-S10-C3</x:v>
      </x:c>
      <x:c r="M2062" t="n">
        <x:v>0</x:v>
      </x:c>
      <x:c r="N2062" t="str">
        <x:v>DerivedFromCount</x:v>
      </x:c>
      <x:c r="O2062" t="str">
        <x:v>PLC-PRD-JAR-720-L24</x:v>
      </x:c>
      <x:c r="P2062" t="str">
        <x:v>OK</x:v>
      </x:c>
      <x:c r="Q2062" t="str">
        <x:v>OK</x:v>
      </x:c>
      <x:c r="R2062" t="str">
        <x:v>OK</x:v>
      </x:c>
      <x:c r="S2062" t="str">
        <x:v>OK</x:v>
      </x:c>
      <x:c r="T2062" t="n">
        <x:v>24</x:v>
      </x:c>
      <x:c r="U2062" t="str">
        <x:v>OK</x:v>
      </x:c>
      <x:c r="V2062" t="str">
        <x:v>OK</x:v>
      </x:c>
      <x:c r="W2062" t="str">
        <x:v>LOAD</x:v>
      </x:c>
      <x:c r="X2062" t="str">
        <x:v>02_Supervisor_Log(4).xlsx</x:v>
      </x:c>
      <x:c r="Y2062" t="str">
        <x:v>ENH-20260830-01</x:v>
      </x:c>
      <x:c r="Z2062" t="str">
        <x:v>Active</x:v>
      </x:c>
      <x:c r="AA2062"/>
      <x:c r="AB2062"/>
      <x:c r="AC2062"/>
      <x:c r="AD2062"/>
    </x:row>
    <x:row r="2063">
      <x:c r="A2063" t="str">
        <x:v>PCC-PE-KG01-L24-20251025-AM-ORD-2025-00126-S11-C1</x:v>
      </x:c>
      <x:c r="B2063" t="str">
        <x:v>PC-PE-KG01-L24-20251025-AM-ORD-2025-00126-S11</x:v>
      </x:c>
      <x:c r="C2063" t="str">
        <x:v>PE-KG01-L24-20251025-AM-ORD-2025-00126</x:v>
      </x:c>
      <x:c r="D2063" t="str">
        <x:v>KG01</x:v>
      </x:c>
      <x:c r="E2063" s="62" t="n">
        <x:v>45955</x:v>
      </x:c>
      <x:c r="F2063" t="str">
        <x:v>AM</x:v>
      </x:c>
      <x:c r="G2063" t="str">
        <x:v>B</x:v>
      </x:c>
      <x:c r="H2063" t="n">
        <x:v>24</x:v>
      </x:c>
      <x:c r="I2063" t="str">
        <x:v>ORD-2025-00126</x:v>
      </x:c>
      <x:c r="J2063" t="n">
        <x:v>11</x:v>
      </x:c>
      <x:c r="K2063" t="n">
        <x:v>1</x:v>
      </x:c>
      <x:c r="L2063" t="str">
        <x:v>L24-S11-C1</x:v>
      </x:c>
      <x:c r="M2063" t="n">
        <x:v>1</x:v>
      </x:c>
      <x:c r="N2063" t="str">
        <x:v>DerivedFromCount</x:v>
      </x:c>
      <x:c r="O2063" t="str">
        <x:v>PLC-PRD-JAR-720-L24</x:v>
      </x:c>
      <x:c r="P2063" t="str">
        <x:v>OK</x:v>
      </x:c>
      <x:c r="Q2063" t="str">
        <x:v>OK</x:v>
      </x:c>
      <x:c r="R2063" t="str">
        <x:v>OK</x:v>
      </x:c>
      <x:c r="S2063" t="str">
        <x:v>OK</x:v>
      </x:c>
      <x:c r="T2063" t="n">
        <x:v>24</x:v>
      </x:c>
      <x:c r="U2063" t="str">
        <x:v>OK</x:v>
      </x:c>
      <x:c r="V2063" t="str">
        <x:v>OK</x:v>
      </x:c>
      <x:c r="W2063" t="str">
        <x:v>LOAD</x:v>
      </x:c>
      <x:c r="X2063" t="str">
        <x:v>02_Supervisor_Log(4).xlsx</x:v>
      </x:c>
      <x:c r="Y2063" t="str">
        <x:v>ENH-20260830-01</x:v>
      </x:c>
      <x:c r="Z2063" t="str">
        <x:v>Active</x:v>
      </x:c>
      <x:c r="AA2063"/>
      <x:c r="AB2063"/>
      <x:c r="AC2063"/>
      <x:c r="AD2063"/>
    </x:row>
    <x:row r="2064">
      <x:c r="A2064" t="str">
        <x:v>PCC-PE-KG01-L24-20251025-AM-ORD-2025-00126-S11-C2</x:v>
      </x:c>
      <x:c r="B2064" t="str">
        <x:v>PC-PE-KG01-L24-20251025-AM-ORD-2025-00126-S11</x:v>
      </x:c>
      <x:c r="C2064" t="str">
        <x:v>PE-KG01-L24-20251025-AM-ORD-2025-00126</x:v>
      </x:c>
      <x:c r="D2064" t="str">
        <x:v>KG01</x:v>
      </x:c>
      <x:c r="E2064" s="62" t="n">
        <x:v>45955</x:v>
      </x:c>
      <x:c r="F2064" t="str">
        <x:v>AM</x:v>
      </x:c>
      <x:c r="G2064" t="str">
        <x:v>B</x:v>
      </x:c>
      <x:c r="H2064" t="n">
        <x:v>24</x:v>
      </x:c>
      <x:c r="I2064" t="str">
        <x:v>ORD-2025-00126</x:v>
      </x:c>
      <x:c r="J2064" t="n">
        <x:v>11</x:v>
      </x:c>
      <x:c r="K2064" t="n">
        <x:v>2</x:v>
      </x:c>
      <x:c r="L2064" t="str">
        <x:v>L24-S11-C2</x:v>
      </x:c>
      <x:c r="M2064" t="n">
        <x:v>1</x:v>
      </x:c>
      <x:c r="N2064" t="str">
        <x:v>DerivedFromCount</x:v>
      </x:c>
      <x:c r="O2064" t="str">
        <x:v>PLC-PRD-JAR-720-L24</x:v>
      </x:c>
      <x:c r="P2064" t="str">
        <x:v>OK</x:v>
      </x:c>
      <x:c r="Q2064" t="str">
        <x:v>OK</x:v>
      </x:c>
      <x:c r="R2064" t="str">
        <x:v>OK</x:v>
      </x:c>
      <x:c r="S2064" t="str">
        <x:v>OK</x:v>
      </x:c>
      <x:c r="T2064" t="n">
        <x:v>24</x:v>
      </x:c>
      <x:c r="U2064" t="str">
        <x:v>OK</x:v>
      </x:c>
      <x:c r="V2064" t="str">
        <x:v>OK</x:v>
      </x:c>
      <x:c r="W2064" t="str">
        <x:v>LOAD</x:v>
      </x:c>
      <x:c r="X2064" t="str">
        <x:v>02_Supervisor_Log(4).xlsx</x:v>
      </x:c>
      <x:c r="Y2064" t="str">
        <x:v>ENH-20260830-01</x:v>
      </x:c>
      <x:c r="Z2064" t="str">
        <x:v>Active</x:v>
      </x:c>
      <x:c r="AA2064"/>
      <x:c r="AB2064"/>
      <x:c r="AC2064"/>
      <x:c r="AD2064"/>
    </x:row>
    <x:row r="2065">
      <x:c r="A2065" t="str">
        <x:v>PCC-PE-KG01-L24-20251025-AM-ORD-2025-00126-S11-C3</x:v>
      </x:c>
      <x:c r="B2065" t="str">
        <x:v>PC-PE-KG01-L24-20251025-AM-ORD-2025-00126-S11</x:v>
      </x:c>
      <x:c r="C2065" t="str">
        <x:v>PE-KG01-L24-20251025-AM-ORD-2025-00126</x:v>
      </x:c>
      <x:c r="D2065" t="str">
        <x:v>KG01</x:v>
      </x:c>
      <x:c r="E2065" s="62" t="n">
        <x:v>45955</x:v>
      </x:c>
      <x:c r="F2065" t="str">
        <x:v>AM</x:v>
      </x:c>
      <x:c r="G2065" t="str">
        <x:v>B</x:v>
      </x:c>
      <x:c r="H2065" t="n">
        <x:v>24</x:v>
      </x:c>
      <x:c r="I2065" t="str">
        <x:v>ORD-2025-00126</x:v>
      </x:c>
      <x:c r="J2065" t="n">
        <x:v>11</x:v>
      </x:c>
      <x:c r="K2065" t="n">
        <x:v>3</x:v>
      </x:c>
      <x:c r="L2065" t="str">
        <x:v>L24-S11-C3</x:v>
      </x:c>
      <x:c r="M2065" t="n">
        <x:v>0</x:v>
      </x:c>
      <x:c r="N2065" t="str">
        <x:v>DerivedFromCount</x:v>
      </x:c>
      <x:c r="O2065" t="str">
        <x:v>PLC-PRD-JAR-720-L24</x:v>
      </x:c>
      <x:c r="P2065" t="str">
        <x:v>OK</x:v>
      </x:c>
      <x:c r="Q2065" t="str">
        <x:v>OK</x:v>
      </x:c>
      <x:c r="R2065" t="str">
        <x:v>OK</x:v>
      </x:c>
      <x:c r="S2065" t="str">
        <x:v>OK</x:v>
      </x:c>
      <x:c r="T2065" t="n">
        <x:v>24</x:v>
      </x:c>
      <x:c r="U2065" t="str">
        <x:v>OK</x:v>
      </x:c>
      <x:c r="V2065" t="str">
        <x:v>OK</x:v>
      </x:c>
      <x:c r="W2065" t="str">
        <x:v>LOAD</x:v>
      </x:c>
      <x:c r="X2065" t="str">
        <x:v>02_Supervisor_Log(4).xlsx</x:v>
      </x:c>
      <x:c r="Y2065" t="str">
        <x:v>ENH-20260830-01</x:v>
      </x:c>
      <x:c r="Z2065" t="str">
        <x:v>Active</x:v>
      </x:c>
      <x:c r="AA2065"/>
      <x:c r="AB2065"/>
      <x:c r="AC2065"/>
      <x:c r="AD2065"/>
    </x:row>
    <x:row r="2066">
      <x:c r="A2066" t="str">
        <x:v>PCC-PE-KG01-L24-20251025-AM-ORD-2025-00126-S12-C1</x:v>
      </x:c>
      <x:c r="B2066" t="str">
        <x:v>PC-PE-KG01-L24-20251025-AM-ORD-2025-00126-S12</x:v>
      </x:c>
      <x:c r="C2066" t="str">
        <x:v>PE-KG01-L24-20251025-AM-ORD-2025-00126</x:v>
      </x:c>
      <x:c r="D2066" t="str">
        <x:v>KG01</x:v>
      </x:c>
      <x:c r="E2066" s="62" t="n">
        <x:v>45955</x:v>
      </x:c>
      <x:c r="F2066" t="str">
        <x:v>AM</x:v>
      </x:c>
      <x:c r="G2066" t="str">
        <x:v>B</x:v>
      </x:c>
      <x:c r="H2066" t="n">
        <x:v>24</x:v>
      </x:c>
      <x:c r="I2066" t="str">
        <x:v>ORD-2025-00126</x:v>
      </x:c>
      <x:c r="J2066" t="n">
        <x:v>12</x:v>
      </x:c>
      <x:c r="K2066" t="n">
        <x:v>1</x:v>
      </x:c>
      <x:c r="L2066" t="str">
        <x:v>L24-S12-C1</x:v>
      </x:c>
      <x:c r="M2066" t="n">
        <x:v>1</x:v>
      </x:c>
      <x:c r="N2066" t="str">
        <x:v>DerivedFromCount</x:v>
      </x:c>
      <x:c r="O2066" t="str">
        <x:v>PLC-PRD-JAR-720-L24</x:v>
      </x:c>
      <x:c r="P2066" t="str">
        <x:v>OK</x:v>
      </x:c>
      <x:c r="Q2066" t="str">
        <x:v>OK</x:v>
      </x:c>
      <x:c r="R2066" t="str">
        <x:v>OK</x:v>
      </x:c>
      <x:c r="S2066" t="str">
        <x:v>OK</x:v>
      </x:c>
      <x:c r="T2066" t="n">
        <x:v>24</x:v>
      </x:c>
      <x:c r="U2066" t="str">
        <x:v>OK</x:v>
      </x:c>
      <x:c r="V2066" t="str">
        <x:v>OK</x:v>
      </x:c>
      <x:c r="W2066" t="str">
        <x:v>LOAD</x:v>
      </x:c>
      <x:c r="X2066" t="str">
        <x:v>02_Supervisor_Log(4).xlsx</x:v>
      </x:c>
      <x:c r="Y2066" t="str">
        <x:v>ENH-20260830-01</x:v>
      </x:c>
      <x:c r="Z2066" t="str">
        <x:v>Active</x:v>
      </x:c>
      <x:c r="AA2066"/>
      <x:c r="AB2066"/>
      <x:c r="AC2066"/>
      <x:c r="AD2066"/>
    </x:row>
    <x:row r="2067">
      <x:c r="A2067" t="str">
        <x:v>PCC-PE-KG01-L24-20251025-AM-ORD-2025-00126-S12-C2</x:v>
      </x:c>
      <x:c r="B2067" t="str">
        <x:v>PC-PE-KG01-L24-20251025-AM-ORD-2025-00126-S12</x:v>
      </x:c>
      <x:c r="C2067" t="str">
        <x:v>PE-KG01-L24-20251025-AM-ORD-2025-00126</x:v>
      </x:c>
      <x:c r="D2067" t="str">
        <x:v>KG01</x:v>
      </x:c>
      <x:c r="E2067" s="62" t="n">
        <x:v>45955</x:v>
      </x:c>
      <x:c r="F2067" t="str">
        <x:v>AM</x:v>
      </x:c>
      <x:c r="G2067" t="str">
        <x:v>B</x:v>
      </x:c>
      <x:c r="H2067" t="n">
        <x:v>24</x:v>
      </x:c>
      <x:c r="I2067" t="str">
        <x:v>ORD-2025-00126</x:v>
      </x:c>
      <x:c r="J2067" t="n">
        <x:v>12</x:v>
      </x:c>
      <x:c r="K2067" t="n">
        <x:v>2</x:v>
      </x:c>
      <x:c r="L2067" t="str">
        <x:v>L24-S12-C2</x:v>
      </x:c>
      <x:c r="M2067" t="n">
        <x:v>1</x:v>
      </x:c>
      <x:c r="N2067" t="str">
        <x:v>DerivedFromCount</x:v>
      </x:c>
      <x:c r="O2067" t="str">
        <x:v>PLC-PRD-JAR-720-L24</x:v>
      </x:c>
      <x:c r="P2067" t="str">
        <x:v>OK</x:v>
      </x:c>
      <x:c r="Q2067" t="str">
        <x:v>OK</x:v>
      </x:c>
      <x:c r="R2067" t="str">
        <x:v>OK</x:v>
      </x:c>
      <x:c r="S2067" t="str">
        <x:v>OK</x:v>
      </x:c>
      <x:c r="T2067" t="n">
        <x:v>24</x:v>
      </x:c>
      <x:c r="U2067" t="str">
        <x:v>OK</x:v>
      </x:c>
      <x:c r="V2067" t="str">
        <x:v>OK</x:v>
      </x:c>
      <x:c r="W2067" t="str">
        <x:v>LOAD</x:v>
      </x:c>
      <x:c r="X2067" t="str">
        <x:v>02_Supervisor_Log(4).xlsx</x:v>
      </x:c>
      <x:c r="Y2067" t="str">
        <x:v>ENH-20260830-01</x:v>
      </x:c>
      <x:c r="Z2067" t="str">
        <x:v>Active</x:v>
      </x:c>
      <x:c r="AA2067"/>
      <x:c r="AB2067"/>
      <x:c r="AC2067"/>
      <x:c r="AD2067"/>
    </x:row>
    <x:row r="2068">
      <x:c r="A2068" t="str">
        <x:v>PCC-PE-KG01-L24-20251025-AM-ORD-2025-00126-S12-C3</x:v>
      </x:c>
      <x:c r="B2068" t="str">
        <x:v>PC-PE-KG01-L24-20251025-AM-ORD-2025-00126-S12</x:v>
      </x:c>
      <x:c r="C2068" t="str">
        <x:v>PE-KG01-L24-20251025-AM-ORD-2025-00126</x:v>
      </x:c>
      <x:c r="D2068" t="str">
        <x:v>KG01</x:v>
      </x:c>
      <x:c r="E2068" s="62" t="n">
        <x:v>45955</x:v>
      </x:c>
      <x:c r="F2068" t="str">
        <x:v>AM</x:v>
      </x:c>
      <x:c r="G2068" t="str">
        <x:v>B</x:v>
      </x:c>
      <x:c r="H2068" t="n">
        <x:v>24</x:v>
      </x:c>
      <x:c r="I2068" t="str">
        <x:v>ORD-2025-00126</x:v>
      </x:c>
      <x:c r="J2068" t="n">
        <x:v>12</x:v>
      </x:c>
      <x:c r="K2068" t="n">
        <x:v>3</x:v>
      </x:c>
      <x:c r="L2068" t="str">
        <x:v>L24-S12-C3</x:v>
      </x:c>
      <x:c r="M2068" t="n">
        <x:v>0</x:v>
      </x:c>
      <x:c r="N2068" t="str">
        <x:v>DerivedFromCount</x:v>
      </x:c>
      <x:c r="O2068" t="str">
        <x:v>PLC-PRD-JAR-720-L24</x:v>
      </x:c>
      <x:c r="P2068" t="str">
        <x:v>OK</x:v>
      </x:c>
      <x:c r="Q2068" t="str">
        <x:v>OK</x:v>
      </x:c>
      <x:c r="R2068" t="str">
        <x:v>OK</x:v>
      </x:c>
      <x:c r="S2068" t="str">
        <x:v>OK</x:v>
      </x:c>
      <x:c r="T2068" t="n">
        <x:v>24</x:v>
      </x:c>
      <x:c r="U2068" t="str">
        <x:v>OK</x:v>
      </x:c>
      <x:c r="V2068" t="str">
        <x:v>OK</x:v>
      </x:c>
      <x:c r="W2068" t="str">
        <x:v>LOAD</x:v>
      </x:c>
      <x:c r="X2068" t="str">
        <x:v>02_Supervisor_Log(4).xlsx</x:v>
      </x:c>
      <x:c r="Y2068" t="str">
        <x:v>ENH-20260830-01</x:v>
      </x:c>
      <x:c r="Z2068" t="str">
        <x:v>Active</x:v>
      </x:c>
      <x:c r="AA2068"/>
      <x:c r="AB2068"/>
      <x:c r="AC2068"/>
      <x:c r="AD2068"/>
    </x:row>
    <x:row r="2069">
      <x:c r="A2069" t="str">
        <x:v>PCC-PE-KG01-L24-20251025-AM-ORD-2025-00126-S13-C1</x:v>
      </x:c>
      <x:c r="B2069" t="str">
        <x:v>PC-PE-KG01-L24-20251025-AM-ORD-2025-00126-S13</x:v>
      </x:c>
      <x:c r="C2069" t="str">
        <x:v>PE-KG01-L24-20251025-AM-ORD-2025-00126</x:v>
      </x:c>
      <x:c r="D2069" t="str">
        <x:v>KG01</x:v>
      </x:c>
      <x:c r="E2069" s="62" t="n">
        <x:v>45955</x:v>
      </x:c>
      <x:c r="F2069" t="str">
        <x:v>AM</x:v>
      </x:c>
      <x:c r="G2069" t="str">
        <x:v>B</x:v>
      </x:c>
      <x:c r="H2069" t="n">
        <x:v>24</x:v>
      </x:c>
      <x:c r="I2069" t="str">
        <x:v>ORD-2025-00126</x:v>
      </x:c>
      <x:c r="J2069" t="n">
        <x:v>13</x:v>
      </x:c>
      <x:c r="K2069" t="n">
        <x:v>1</x:v>
      </x:c>
      <x:c r="L2069" t="str">
        <x:v>L24-S13-C1</x:v>
      </x:c>
      <x:c r="M2069" t="n">
        <x:v>0</x:v>
      </x:c>
      <x:c r="N2069" t="str">
        <x:v>DerivedFromCount</x:v>
      </x:c>
      <x:c r="O2069" t="str">
        <x:v>PLC-PRD-JAR-720-L24</x:v>
      </x:c>
      <x:c r="P2069" t="str">
        <x:v>OK</x:v>
      </x:c>
      <x:c r="Q2069" t="str">
        <x:v>OK</x:v>
      </x:c>
      <x:c r="R2069" t="str">
        <x:v>OK</x:v>
      </x:c>
      <x:c r="S2069" t="str">
        <x:v>OK</x:v>
      </x:c>
      <x:c r="T2069" t="n">
        <x:v>24</x:v>
      </x:c>
      <x:c r="U2069" t="str">
        <x:v>OK</x:v>
      </x:c>
      <x:c r="V2069" t="str">
        <x:v>OK</x:v>
      </x:c>
      <x:c r="W2069" t="str">
        <x:v>LOAD</x:v>
      </x:c>
      <x:c r="X2069" t="str">
        <x:v>02_Supervisor_Log(4).xlsx</x:v>
      </x:c>
      <x:c r="Y2069" t="str">
        <x:v>ENH-20260830-01</x:v>
      </x:c>
      <x:c r="Z2069" t="str">
        <x:v>Active</x:v>
      </x:c>
      <x:c r="AA2069"/>
      <x:c r="AB2069"/>
      <x:c r="AC2069"/>
      <x:c r="AD2069"/>
    </x:row>
    <x:row r="2070">
      <x:c r="A2070" t="str">
        <x:v>PCC-PE-KG01-L24-20251025-AM-ORD-2025-00126-S13-C2</x:v>
      </x:c>
      <x:c r="B2070" t="str">
        <x:v>PC-PE-KG01-L24-20251025-AM-ORD-2025-00126-S13</x:v>
      </x:c>
      <x:c r="C2070" t="str">
        <x:v>PE-KG01-L24-20251025-AM-ORD-2025-00126</x:v>
      </x:c>
      <x:c r="D2070" t="str">
        <x:v>KG01</x:v>
      </x:c>
      <x:c r="E2070" s="62" t="n">
        <x:v>45955</x:v>
      </x:c>
      <x:c r="F2070" t="str">
        <x:v>AM</x:v>
      </x:c>
      <x:c r="G2070" t="str">
        <x:v>B</x:v>
      </x:c>
      <x:c r="H2070" t="n">
        <x:v>24</x:v>
      </x:c>
      <x:c r="I2070" t="str">
        <x:v>ORD-2025-00126</x:v>
      </x:c>
      <x:c r="J2070" t="n">
        <x:v>13</x:v>
      </x:c>
      <x:c r="K2070" t="n">
        <x:v>2</x:v>
      </x:c>
      <x:c r="L2070" t="str">
        <x:v>L24-S13-C2</x:v>
      </x:c>
      <x:c r="M2070" t="n">
        <x:v>0</x:v>
      </x:c>
      <x:c r="N2070" t="str">
        <x:v>DerivedFromCount</x:v>
      </x:c>
      <x:c r="O2070" t="str">
        <x:v>PLC-PRD-JAR-720-L24</x:v>
      </x:c>
      <x:c r="P2070" t="str">
        <x:v>OK</x:v>
      </x:c>
      <x:c r="Q2070" t="str">
        <x:v>OK</x:v>
      </x:c>
      <x:c r="R2070" t="str">
        <x:v>OK</x:v>
      </x:c>
      <x:c r="S2070" t="str">
        <x:v>OK</x:v>
      </x:c>
      <x:c r="T2070" t="n">
        <x:v>24</x:v>
      </x:c>
      <x:c r="U2070" t="str">
        <x:v>OK</x:v>
      </x:c>
      <x:c r="V2070" t="str">
        <x:v>OK</x:v>
      </x:c>
      <x:c r="W2070" t="str">
        <x:v>LOAD</x:v>
      </x:c>
      <x:c r="X2070" t="str">
        <x:v>02_Supervisor_Log(4).xlsx</x:v>
      </x:c>
      <x:c r="Y2070" t="str">
        <x:v>ENH-20260830-01</x:v>
      </x:c>
      <x:c r="Z2070" t="str">
        <x:v>Active</x:v>
      </x:c>
      <x:c r="AA2070"/>
      <x:c r="AB2070"/>
      <x:c r="AC2070"/>
      <x:c r="AD2070"/>
    </x:row>
    <x:row r="2071">
      <x:c r="A2071" t="str">
        <x:v>PCC-PE-KG01-L24-20251025-AM-ORD-2025-00126-S13-C3</x:v>
      </x:c>
      <x:c r="B2071" t="str">
        <x:v>PC-PE-KG01-L24-20251025-AM-ORD-2025-00126-S13</x:v>
      </x:c>
      <x:c r="C2071" t="str">
        <x:v>PE-KG01-L24-20251025-AM-ORD-2025-00126</x:v>
      </x:c>
      <x:c r="D2071" t="str">
        <x:v>KG01</x:v>
      </x:c>
      <x:c r="E2071" s="62" t="n">
        <x:v>45955</x:v>
      </x:c>
      <x:c r="F2071" t="str">
        <x:v>AM</x:v>
      </x:c>
      <x:c r="G2071" t="str">
        <x:v>B</x:v>
      </x:c>
      <x:c r="H2071" t="n">
        <x:v>24</x:v>
      </x:c>
      <x:c r="I2071" t="str">
        <x:v>ORD-2025-00126</x:v>
      </x:c>
      <x:c r="J2071" t="n">
        <x:v>13</x:v>
      </x:c>
      <x:c r="K2071" t="n">
        <x:v>3</x:v>
      </x:c>
      <x:c r="L2071" t="str">
        <x:v>L24-S13-C3</x:v>
      </x:c>
      <x:c r="M2071" t="n">
        <x:v>0</x:v>
      </x:c>
      <x:c r="N2071" t="str">
        <x:v>DerivedFromCount</x:v>
      </x:c>
      <x:c r="O2071" t="str">
        <x:v>PLC-PRD-JAR-720-L24</x:v>
      </x:c>
      <x:c r="P2071" t="str">
        <x:v>OK</x:v>
      </x:c>
      <x:c r="Q2071" t="str">
        <x:v>OK</x:v>
      </x:c>
      <x:c r="R2071" t="str">
        <x:v>OK</x:v>
      </x:c>
      <x:c r="S2071" t="str">
        <x:v>OK</x:v>
      </x:c>
      <x:c r="T2071" t="n">
        <x:v>24</x:v>
      </x:c>
      <x:c r="U2071" t="str">
        <x:v>OK</x:v>
      </x:c>
      <x:c r="V2071" t="str">
        <x:v>OK</x:v>
      </x:c>
      <x:c r="W2071" t="str">
        <x:v>LOAD</x:v>
      </x:c>
      <x:c r="X2071" t="str">
        <x:v>02_Supervisor_Log(4).xlsx</x:v>
      </x:c>
      <x:c r="Y2071" t="str">
        <x:v>ENH-20260830-01</x:v>
      </x:c>
      <x:c r="Z2071" t="str">
        <x:v>Active</x:v>
      </x:c>
      <x:c r="AA2071"/>
      <x:c r="AB2071"/>
      <x:c r="AC2071"/>
      <x:c r="AD2071"/>
    </x:row>
    <x:row r="2072">
      <x:c r="A2072" t="str">
        <x:v>PCC-PE-KG01-L24-20251025-PM-ORD-2025-00126-S01-C1</x:v>
      </x:c>
      <x:c r="B2072" t="str">
        <x:v>PC-PE-KG01-L24-20251025-PM-ORD-2025-00126-S01</x:v>
      </x:c>
      <x:c r="C2072" t="str">
        <x:v>PE-KG01-L24-20251025-PM-ORD-2025-00126</x:v>
      </x:c>
      <x:c r="D2072" t="str">
        <x:v>KG01</x:v>
      </x:c>
      <x:c r="E2072" s="62" t="n">
        <x:v>45955</x:v>
      </x:c>
      <x:c r="F2072" t="str">
        <x:v>PM</x:v>
      </x:c>
      <x:c r="G2072" t="str">
        <x:v>C</x:v>
      </x:c>
      <x:c r="H2072" t="n">
        <x:v>24</x:v>
      </x:c>
      <x:c r="I2072" t="str">
        <x:v>ORD-2025-00126</x:v>
      </x:c>
      <x:c r="J2072" t="n">
        <x:v>1</x:v>
      </x:c>
      <x:c r="K2072" t="n">
        <x:v>1</x:v>
      </x:c>
      <x:c r="L2072" t="str">
        <x:v>L24-S01-C1</x:v>
      </x:c>
      <x:c r="M2072" t="n">
        <x:v>1</x:v>
      </x:c>
      <x:c r="N2072" t="str">
        <x:v>DerivedFromCount</x:v>
      </x:c>
      <x:c r="O2072" t="str">
        <x:v>PLC-PRD-JAR-720-L24</x:v>
      </x:c>
      <x:c r="P2072" t="str">
        <x:v>OK</x:v>
      </x:c>
      <x:c r="Q2072" t="str">
        <x:v>OK</x:v>
      </x:c>
      <x:c r="R2072" t="str">
        <x:v>OK</x:v>
      </x:c>
      <x:c r="S2072" t="str">
        <x:v>OK</x:v>
      </x:c>
      <x:c r="T2072" t="n">
        <x:v>24</x:v>
      </x:c>
      <x:c r="U2072" t="str">
        <x:v>OK</x:v>
      </x:c>
      <x:c r="V2072" t="str">
        <x:v>OK</x:v>
      </x:c>
      <x:c r="W2072" t="str">
        <x:v>LOAD</x:v>
      </x:c>
      <x:c r="X2072" t="str">
        <x:v>02_Supervisor_Log(4).xlsx</x:v>
      </x:c>
      <x:c r="Y2072" t="str">
        <x:v>ENH-20260830-01</x:v>
      </x:c>
      <x:c r="Z2072" t="str">
        <x:v>Active</x:v>
      </x:c>
      <x:c r="AA2072"/>
      <x:c r="AB2072"/>
      <x:c r="AC2072"/>
      <x:c r="AD2072"/>
    </x:row>
    <x:row r="2073">
      <x:c r="A2073" t="str">
        <x:v>PCC-PE-KG01-L24-20251025-PM-ORD-2025-00126-S01-C2</x:v>
      </x:c>
      <x:c r="B2073" t="str">
        <x:v>PC-PE-KG01-L24-20251025-PM-ORD-2025-00126-S01</x:v>
      </x:c>
      <x:c r="C2073" t="str">
        <x:v>PE-KG01-L24-20251025-PM-ORD-2025-00126</x:v>
      </x:c>
      <x:c r="D2073" t="str">
        <x:v>KG01</x:v>
      </x:c>
      <x:c r="E2073" s="62" t="n">
        <x:v>45955</x:v>
      </x:c>
      <x:c r="F2073" t="str">
        <x:v>PM</x:v>
      </x:c>
      <x:c r="G2073" t="str">
        <x:v>C</x:v>
      </x:c>
      <x:c r="H2073" t="n">
        <x:v>24</x:v>
      </x:c>
      <x:c r="I2073" t="str">
        <x:v>ORD-2025-00126</x:v>
      </x:c>
      <x:c r="J2073" t="n">
        <x:v>1</x:v>
      </x:c>
      <x:c r="K2073" t="n">
        <x:v>2</x:v>
      </x:c>
      <x:c r="L2073" t="str">
        <x:v>L24-S01-C2</x:v>
      </x:c>
      <x:c r="M2073" t="n">
        <x:v>1</x:v>
      </x:c>
      <x:c r="N2073" t="str">
        <x:v>DerivedFromCount</x:v>
      </x:c>
      <x:c r="O2073" t="str">
        <x:v>PLC-PRD-JAR-720-L24</x:v>
      </x:c>
      <x:c r="P2073" t="str">
        <x:v>OK</x:v>
      </x:c>
      <x:c r="Q2073" t="str">
        <x:v>OK</x:v>
      </x:c>
      <x:c r="R2073" t="str">
        <x:v>OK</x:v>
      </x:c>
      <x:c r="S2073" t="str">
        <x:v>OK</x:v>
      </x:c>
      <x:c r="T2073" t="n">
        <x:v>24</x:v>
      </x:c>
      <x:c r="U2073" t="str">
        <x:v>OK</x:v>
      </x:c>
      <x:c r="V2073" t="str">
        <x:v>OK</x:v>
      </x:c>
      <x:c r="W2073" t="str">
        <x:v>LOAD</x:v>
      </x:c>
      <x:c r="X2073" t="str">
        <x:v>02_Supervisor_Log(4).xlsx</x:v>
      </x:c>
      <x:c r="Y2073" t="str">
        <x:v>ENH-20260830-01</x:v>
      </x:c>
      <x:c r="Z2073" t="str">
        <x:v>Active</x:v>
      </x:c>
      <x:c r="AA2073"/>
      <x:c r="AB2073"/>
      <x:c r="AC2073"/>
      <x:c r="AD2073"/>
    </x:row>
    <x:row r="2074">
      <x:c r="A2074" t="str">
        <x:v>PCC-PE-KG01-L24-20251025-PM-ORD-2025-00126-S01-C3</x:v>
      </x:c>
      <x:c r="B2074" t="str">
        <x:v>PC-PE-KG01-L24-20251025-PM-ORD-2025-00126-S01</x:v>
      </x:c>
      <x:c r="C2074" t="str">
        <x:v>PE-KG01-L24-20251025-PM-ORD-2025-00126</x:v>
      </x:c>
      <x:c r="D2074" t="str">
        <x:v>KG01</x:v>
      </x:c>
      <x:c r="E2074" s="62" t="n">
        <x:v>45955</x:v>
      </x:c>
      <x:c r="F2074" t="str">
        <x:v>PM</x:v>
      </x:c>
      <x:c r="G2074" t="str">
        <x:v>C</x:v>
      </x:c>
      <x:c r="H2074" t="n">
        <x:v>24</x:v>
      </x:c>
      <x:c r="I2074" t="str">
        <x:v>ORD-2025-00126</x:v>
      </x:c>
      <x:c r="J2074" t="n">
        <x:v>1</x:v>
      </x:c>
      <x:c r="K2074" t="n">
        <x:v>3</x:v>
      </x:c>
      <x:c r="L2074" t="str">
        <x:v>L24-S01-C3</x:v>
      </x:c>
      <x:c r="M2074" t="n">
        <x:v>0</x:v>
      </x:c>
      <x:c r="N2074" t="str">
        <x:v>DerivedFromCount</x:v>
      </x:c>
      <x:c r="O2074" t="str">
        <x:v>PLC-PRD-JAR-720-L24</x:v>
      </x:c>
      <x:c r="P2074" t="str">
        <x:v>OK</x:v>
      </x:c>
      <x:c r="Q2074" t="str">
        <x:v>OK</x:v>
      </x:c>
      <x:c r="R2074" t="str">
        <x:v>OK</x:v>
      </x:c>
      <x:c r="S2074" t="str">
        <x:v>OK</x:v>
      </x:c>
      <x:c r="T2074" t="n">
        <x:v>24</x:v>
      </x:c>
      <x:c r="U2074" t="str">
        <x:v>OK</x:v>
      </x:c>
      <x:c r="V2074" t="str">
        <x:v>OK</x:v>
      </x:c>
      <x:c r="W2074" t="str">
        <x:v>LOAD</x:v>
      </x:c>
      <x:c r="X2074" t="str">
        <x:v>02_Supervisor_Log(4).xlsx</x:v>
      </x:c>
      <x:c r="Y2074" t="str">
        <x:v>ENH-20260830-01</x:v>
      </x:c>
      <x:c r="Z2074" t="str">
        <x:v>Active</x:v>
      </x:c>
      <x:c r="AA2074"/>
      <x:c r="AB2074"/>
      <x:c r="AC2074"/>
      <x:c r="AD2074"/>
    </x:row>
    <x:row r="2075">
      <x:c r="A2075" t="str">
        <x:v>PCC-PE-KG01-L24-20251025-PM-ORD-2025-00126-S02-C1</x:v>
      </x:c>
      <x:c r="B2075" t="str">
        <x:v>PC-PE-KG01-L24-20251025-PM-ORD-2025-00126-S02</x:v>
      </x:c>
      <x:c r="C2075" t="str">
        <x:v>PE-KG01-L24-20251025-PM-ORD-2025-00126</x:v>
      </x:c>
      <x:c r="D2075" t="str">
        <x:v>KG01</x:v>
      </x:c>
      <x:c r="E2075" s="62" t="n">
        <x:v>45955</x:v>
      </x:c>
      <x:c r="F2075" t="str">
        <x:v>PM</x:v>
      </x:c>
      <x:c r="G2075" t="str">
        <x:v>C</x:v>
      </x:c>
      <x:c r="H2075" t="n">
        <x:v>24</x:v>
      </x:c>
      <x:c r="I2075" t="str">
        <x:v>ORD-2025-00126</x:v>
      </x:c>
      <x:c r="J2075" t="n">
        <x:v>2</x:v>
      </x:c>
      <x:c r="K2075" t="n">
        <x:v>1</x:v>
      </x:c>
      <x:c r="L2075" t="str">
        <x:v>L24-S02-C1</x:v>
      </x:c>
      <x:c r="M2075" t="n">
        <x:v>1</x:v>
      </x:c>
      <x:c r="N2075" t="str">
        <x:v>DerivedFromCount</x:v>
      </x:c>
      <x:c r="O2075" t="str">
        <x:v>PLC-PRD-JAR-720-L24</x:v>
      </x:c>
      <x:c r="P2075" t="str">
        <x:v>OK</x:v>
      </x:c>
      <x:c r="Q2075" t="str">
        <x:v>OK</x:v>
      </x:c>
      <x:c r="R2075" t="str">
        <x:v>OK</x:v>
      </x:c>
      <x:c r="S2075" t="str">
        <x:v>OK</x:v>
      </x:c>
      <x:c r="T2075" t="n">
        <x:v>24</x:v>
      </x:c>
      <x:c r="U2075" t="str">
        <x:v>OK</x:v>
      </x:c>
      <x:c r="V2075" t="str">
        <x:v>OK</x:v>
      </x:c>
      <x:c r="W2075" t="str">
        <x:v>LOAD</x:v>
      </x:c>
      <x:c r="X2075" t="str">
        <x:v>02_Supervisor_Log(4).xlsx</x:v>
      </x:c>
      <x:c r="Y2075" t="str">
        <x:v>ENH-20260830-01</x:v>
      </x:c>
      <x:c r="Z2075" t="str">
        <x:v>Active</x:v>
      </x:c>
      <x:c r="AA2075"/>
      <x:c r="AB2075"/>
      <x:c r="AC2075"/>
      <x:c r="AD2075"/>
    </x:row>
    <x:row r="2076">
      <x:c r="A2076" t="str">
        <x:v>PCC-PE-KG01-L24-20251025-PM-ORD-2025-00126-S02-C2</x:v>
      </x:c>
      <x:c r="B2076" t="str">
        <x:v>PC-PE-KG01-L24-20251025-PM-ORD-2025-00126-S02</x:v>
      </x:c>
      <x:c r="C2076" t="str">
        <x:v>PE-KG01-L24-20251025-PM-ORD-2025-00126</x:v>
      </x:c>
      <x:c r="D2076" t="str">
        <x:v>KG01</x:v>
      </x:c>
      <x:c r="E2076" s="62" t="n">
        <x:v>45955</x:v>
      </x:c>
      <x:c r="F2076" t="str">
        <x:v>PM</x:v>
      </x:c>
      <x:c r="G2076" t="str">
        <x:v>C</x:v>
      </x:c>
      <x:c r="H2076" t="n">
        <x:v>24</x:v>
      </x:c>
      <x:c r="I2076" t="str">
        <x:v>ORD-2025-00126</x:v>
      </x:c>
      <x:c r="J2076" t="n">
        <x:v>2</x:v>
      </x:c>
      <x:c r="K2076" t="n">
        <x:v>2</x:v>
      </x:c>
      <x:c r="L2076" t="str">
        <x:v>L24-S02-C2</x:v>
      </x:c>
      <x:c r="M2076" t="n">
        <x:v>1</x:v>
      </x:c>
      <x:c r="N2076" t="str">
        <x:v>DerivedFromCount</x:v>
      </x:c>
      <x:c r="O2076" t="str">
        <x:v>PLC-PRD-JAR-720-L24</x:v>
      </x:c>
      <x:c r="P2076" t="str">
        <x:v>OK</x:v>
      </x:c>
      <x:c r="Q2076" t="str">
        <x:v>OK</x:v>
      </x:c>
      <x:c r="R2076" t="str">
        <x:v>OK</x:v>
      </x:c>
      <x:c r="S2076" t="str">
        <x:v>OK</x:v>
      </x:c>
      <x:c r="T2076" t="n">
        <x:v>24</x:v>
      </x:c>
      <x:c r="U2076" t="str">
        <x:v>OK</x:v>
      </x:c>
      <x:c r="V2076" t="str">
        <x:v>OK</x:v>
      </x:c>
      <x:c r="W2076" t="str">
        <x:v>LOAD</x:v>
      </x:c>
      <x:c r="X2076" t="str">
        <x:v>02_Supervisor_Log(4).xlsx</x:v>
      </x:c>
      <x:c r="Y2076" t="str">
        <x:v>ENH-20260830-01</x:v>
      </x:c>
      <x:c r="Z2076" t="str">
        <x:v>Active</x:v>
      </x:c>
      <x:c r="AA2076"/>
      <x:c r="AB2076"/>
      <x:c r="AC2076"/>
      <x:c r="AD2076"/>
    </x:row>
    <x:row r="2077">
      <x:c r="A2077" t="str">
        <x:v>PCC-PE-KG01-L24-20251025-PM-ORD-2025-00126-S02-C3</x:v>
      </x:c>
      <x:c r="B2077" t="str">
        <x:v>PC-PE-KG01-L24-20251025-PM-ORD-2025-00126-S02</x:v>
      </x:c>
      <x:c r="C2077" t="str">
        <x:v>PE-KG01-L24-20251025-PM-ORD-2025-00126</x:v>
      </x:c>
      <x:c r="D2077" t="str">
        <x:v>KG01</x:v>
      </x:c>
      <x:c r="E2077" s="62" t="n">
        <x:v>45955</x:v>
      </x:c>
      <x:c r="F2077" t="str">
        <x:v>PM</x:v>
      </x:c>
      <x:c r="G2077" t="str">
        <x:v>C</x:v>
      </x:c>
      <x:c r="H2077" t="n">
        <x:v>24</x:v>
      </x:c>
      <x:c r="I2077" t="str">
        <x:v>ORD-2025-00126</x:v>
      </x:c>
      <x:c r="J2077" t="n">
        <x:v>2</x:v>
      </x:c>
      <x:c r="K2077" t="n">
        <x:v>3</x:v>
      </x:c>
      <x:c r="L2077" t="str">
        <x:v>L24-S02-C3</x:v>
      </x:c>
      <x:c r="M2077" t="n">
        <x:v>0</x:v>
      </x:c>
      <x:c r="N2077" t="str">
        <x:v>DerivedFromCount</x:v>
      </x:c>
      <x:c r="O2077" t="str">
        <x:v>PLC-PRD-JAR-720-L24</x:v>
      </x:c>
      <x:c r="P2077" t="str">
        <x:v>OK</x:v>
      </x:c>
      <x:c r="Q2077" t="str">
        <x:v>OK</x:v>
      </x:c>
      <x:c r="R2077" t="str">
        <x:v>OK</x:v>
      </x:c>
      <x:c r="S2077" t="str">
        <x:v>OK</x:v>
      </x:c>
      <x:c r="T2077" t="n">
        <x:v>24</x:v>
      </x:c>
      <x:c r="U2077" t="str">
        <x:v>OK</x:v>
      </x:c>
      <x:c r="V2077" t="str">
        <x:v>OK</x:v>
      </x:c>
      <x:c r="W2077" t="str">
        <x:v>LOAD</x:v>
      </x:c>
      <x:c r="X2077" t="str">
        <x:v>02_Supervisor_Log(4).xlsx</x:v>
      </x:c>
      <x:c r="Y2077" t="str">
        <x:v>ENH-20260830-01</x:v>
      </x:c>
      <x:c r="Z2077" t="str">
        <x:v>Active</x:v>
      </x:c>
      <x:c r="AA2077"/>
      <x:c r="AB2077"/>
      <x:c r="AC2077"/>
      <x:c r="AD2077"/>
    </x:row>
    <x:row r="2078">
      <x:c r="A2078" t="str">
        <x:v>PCC-PE-KG01-L24-20251025-PM-ORD-2025-00126-S03-C1</x:v>
      </x:c>
      <x:c r="B2078" t="str">
        <x:v>PC-PE-KG01-L24-20251025-PM-ORD-2025-00126-S03</x:v>
      </x:c>
      <x:c r="C2078" t="str">
        <x:v>PE-KG01-L24-20251025-PM-ORD-2025-00126</x:v>
      </x:c>
      <x:c r="D2078" t="str">
        <x:v>KG01</x:v>
      </x:c>
      <x:c r="E2078" s="62" t="n">
        <x:v>45955</x:v>
      </x:c>
      <x:c r="F2078" t="str">
        <x:v>PM</x:v>
      </x:c>
      <x:c r="G2078" t="str">
        <x:v>C</x:v>
      </x:c>
      <x:c r="H2078" t="n">
        <x:v>24</x:v>
      </x:c>
      <x:c r="I2078" t="str">
        <x:v>ORD-2025-00126</x:v>
      </x:c>
      <x:c r="J2078" t="n">
        <x:v>3</x:v>
      </x:c>
      <x:c r="K2078" t="n">
        <x:v>1</x:v>
      </x:c>
      <x:c r="L2078" t="str">
        <x:v>L24-S03-C1</x:v>
      </x:c>
      <x:c r="M2078" t="n">
        <x:v>1</x:v>
      </x:c>
      <x:c r="N2078" t="str">
        <x:v>DerivedFromCount</x:v>
      </x:c>
      <x:c r="O2078" t="str">
        <x:v>PLC-PRD-JAR-720-L24</x:v>
      </x:c>
      <x:c r="P2078" t="str">
        <x:v>OK</x:v>
      </x:c>
      <x:c r="Q2078" t="str">
        <x:v>OK</x:v>
      </x:c>
      <x:c r="R2078" t="str">
        <x:v>OK</x:v>
      </x:c>
      <x:c r="S2078" t="str">
        <x:v>OK</x:v>
      </x:c>
      <x:c r="T2078" t="n">
        <x:v>24</x:v>
      </x:c>
      <x:c r="U2078" t="str">
        <x:v>OK</x:v>
      </x:c>
      <x:c r="V2078" t="str">
        <x:v>OK</x:v>
      </x:c>
      <x:c r="W2078" t="str">
        <x:v>LOAD</x:v>
      </x:c>
      <x:c r="X2078" t="str">
        <x:v>02_Supervisor_Log(4).xlsx</x:v>
      </x:c>
      <x:c r="Y2078" t="str">
        <x:v>ENH-20260830-01</x:v>
      </x:c>
      <x:c r="Z2078" t="str">
        <x:v>Active</x:v>
      </x:c>
      <x:c r="AA2078"/>
      <x:c r="AB2078"/>
      <x:c r="AC2078"/>
      <x:c r="AD2078"/>
    </x:row>
    <x:row r="2079">
      <x:c r="A2079" t="str">
        <x:v>PCC-PE-KG01-L24-20251025-PM-ORD-2025-00126-S03-C2</x:v>
      </x:c>
      <x:c r="B2079" t="str">
        <x:v>PC-PE-KG01-L24-20251025-PM-ORD-2025-00126-S03</x:v>
      </x:c>
      <x:c r="C2079" t="str">
        <x:v>PE-KG01-L24-20251025-PM-ORD-2025-00126</x:v>
      </x:c>
      <x:c r="D2079" t="str">
        <x:v>KG01</x:v>
      </x:c>
      <x:c r="E2079" s="62" t="n">
        <x:v>45955</x:v>
      </x:c>
      <x:c r="F2079" t="str">
        <x:v>PM</x:v>
      </x:c>
      <x:c r="G2079" t="str">
        <x:v>C</x:v>
      </x:c>
      <x:c r="H2079" t="n">
        <x:v>24</x:v>
      </x:c>
      <x:c r="I2079" t="str">
        <x:v>ORD-2025-00126</x:v>
      </x:c>
      <x:c r="J2079" t="n">
        <x:v>3</x:v>
      </x:c>
      <x:c r="K2079" t="n">
        <x:v>2</x:v>
      </x:c>
      <x:c r="L2079" t="str">
        <x:v>L24-S03-C2</x:v>
      </x:c>
      <x:c r="M2079" t="n">
        <x:v>1</x:v>
      </x:c>
      <x:c r="N2079" t="str">
        <x:v>DerivedFromCount</x:v>
      </x:c>
      <x:c r="O2079" t="str">
        <x:v>PLC-PRD-JAR-720-L24</x:v>
      </x:c>
      <x:c r="P2079" t="str">
        <x:v>OK</x:v>
      </x:c>
      <x:c r="Q2079" t="str">
        <x:v>OK</x:v>
      </x:c>
      <x:c r="R2079" t="str">
        <x:v>OK</x:v>
      </x:c>
      <x:c r="S2079" t="str">
        <x:v>OK</x:v>
      </x:c>
      <x:c r="T2079" t="n">
        <x:v>24</x:v>
      </x:c>
      <x:c r="U2079" t="str">
        <x:v>OK</x:v>
      </x:c>
      <x:c r="V2079" t="str">
        <x:v>OK</x:v>
      </x:c>
      <x:c r="W2079" t="str">
        <x:v>LOAD</x:v>
      </x:c>
      <x:c r="X2079" t="str">
        <x:v>02_Supervisor_Log(4).xlsx</x:v>
      </x:c>
      <x:c r="Y2079" t="str">
        <x:v>ENH-20260830-01</x:v>
      </x:c>
      <x:c r="Z2079" t="str">
        <x:v>Active</x:v>
      </x:c>
      <x:c r="AA2079"/>
      <x:c r="AB2079"/>
      <x:c r="AC2079"/>
      <x:c r="AD2079"/>
    </x:row>
    <x:row r="2080">
      <x:c r="A2080" t="str">
        <x:v>PCC-PE-KG01-L24-20251025-PM-ORD-2025-00126-S03-C3</x:v>
      </x:c>
      <x:c r="B2080" t="str">
        <x:v>PC-PE-KG01-L24-20251025-PM-ORD-2025-00126-S03</x:v>
      </x:c>
      <x:c r="C2080" t="str">
        <x:v>PE-KG01-L24-20251025-PM-ORD-2025-00126</x:v>
      </x:c>
      <x:c r="D2080" t="str">
        <x:v>KG01</x:v>
      </x:c>
      <x:c r="E2080" s="62" t="n">
        <x:v>45955</x:v>
      </x:c>
      <x:c r="F2080" t="str">
        <x:v>PM</x:v>
      </x:c>
      <x:c r="G2080" t="str">
        <x:v>C</x:v>
      </x:c>
      <x:c r="H2080" t="n">
        <x:v>24</x:v>
      </x:c>
      <x:c r="I2080" t="str">
        <x:v>ORD-2025-00126</x:v>
      </x:c>
      <x:c r="J2080" t="n">
        <x:v>3</x:v>
      </x:c>
      <x:c r="K2080" t="n">
        <x:v>3</x:v>
      </x:c>
      <x:c r="L2080" t="str">
        <x:v>L24-S03-C3</x:v>
      </x:c>
      <x:c r="M2080" t="n">
        <x:v>0</x:v>
      </x:c>
      <x:c r="N2080" t="str">
        <x:v>DerivedFromCount</x:v>
      </x:c>
      <x:c r="O2080" t="str">
        <x:v>PLC-PRD-JAR-720-L24</x:v>
      </x:c>
      <x:c r="P2080" t="str">
        <x:v>OK</x:v>
      </x:c>
      <x:c r="Q2080" t="str">
        <x:v>OK</x:v>
      </x:c>
      <x:c r="R2080" t="str">
        <x:v>OK</x:v>
      </x:c>
      <x:c r="S2080" t="str">
        <x:v>OK</x:v>
      </x:c>
      <x:c r="T2080" t="n">
        <x:v>24</x:v>
      </x:c>
      <x:c r="U2080" t="str">
        <x:v>OK</x:v>
      </x:c>
      <x:c r="V2080" t="str">
        <x:v>OK</x:v>
      </x:c>
      <x:c r="W2080" t="str">
        <x:v>LOAD</x:v>
      </x:c>
      <x:c r="X2080" t="str">
        <x:v>02_Supervisor_Log(4).xlsx</x:v>
      </x:c>
      <x:c r="Y2080" t="str">
        <x:v>ENH-20260830-01</x:v>
      </x:c>
      <x:c r="Z2080" t="str">
        <x:v>Active</x:v>
      </x:c>
      <x:c r="AA2080"/>
      <x:c r="AB2080"/>
      <x:c r="AC2080"/>
      <x:c r="AD2080"/>
    </x:row>
    <x:row r="2081">
      <x:c r="A2081" t="str">
        <x:v>PCC-PE-KG01-L24-20251025-PM-ORD-2025-00126-S04-C1</x:v>
      </x:c>
      <x:c r="B2081" t="str">
        <x:v>PC-PE-KG01-L24-20251025-PM-ORD-2025-00126-S04</x:v>
      </x:c>
      <x:c r="C2081" t="str">
        <x:v>PE-KG01-L24-20251025-PM-ORD-2025-00126</x:v>
      </x:c>
      <x:c r="D2081" t="str">
        <x:v>KG01</x:v>
      </x:c>
      <x:c r="E2081" s="62" t="n">
        <x:v>45955</x:v>
      </x:c>
      <x:c r="F2081" t="str">
        <x:v>PM</x:v>
      </x:c>
      <x:c r="G2081" t="str">
        <x:v>C</x:v>
      </x:c>
      <x:c r="H2081" t="n">
        <x:v>24</x:v>
      </x:c>
      <x:c r="I2081" t="str">
        <x:v>ORD-2025-00126</x:v>
      </x:c>
      <x:c r="J2081" t="n">
        <x:v>4</x:v>
      </x:c>
      <x:c r="K2081" t="n">
        <x:v>1</x:v>
      </x:c>
      <x:c r="L2081" t="str">
        <x:v>L24-S04-C1</x:v>
      </x:c>
      <x:c r="M2081" t="n">
        <x:v>1</x:v>
      </x:c>
      <x:c r="N2081" t="str">
        <x:v>DerivedFromCount</x:v>
      </x:c>
      <x:c r="O2081" t="str">
        <x:v>PLC-PRD-JAR-720-L24</x:v>
      </x:c>
      <x:c r="P2081" t="str">
        <x:v>OK</x:v>
      </x:c>
      <x:c r="Q2081" t="str">
        <x:v>OK</x:v>
      </x:c>
      <x:c r="R2081" t="str">
        <x:v>OK</x:v>
      </x:c>
      <x:c r="S2081" t="str">
        <x:v>OK</x:v>
      </x:c>
      <x:c r="T2081" t="n">
        <x:v>24</x:v>
      </x:c>
      <x:c r="U2081" t="str">
        <x:v>OK</x:v>
      </x:c>
      <x:c r="V2081" t="str">
        <x:v>OK</x:v>
      </x:c>
      <x:c r="W2081" t="str">
        <x:v>LOAD</x:v>
      </x:c>
      <x:c r="X2081" t="str">
        <x:v>02_Supervisor_Log(4).xlsx</x:v>
      </x:c>
      <x:c r="Y2081" t="str">
        <x:v>ENH-20260830-01</x:v>
      </x:c>
      <x:c r="Z2081" t="str">
        <x:v>Active</x:v>
      </x:c>
      <x:c r="AA2081"/>
      <x:c r="AB2081"/>
      <x:c r="AC2081"/>
      <x:c r="AD2081"/>
    </x:row>
    <x:row r="2082">
      <x:c r="A2082" t="str">
        <x:v>PCC-PE-KG01-L24-20251025-PM-ORD-2025-00126-S04-C2</x:v>
      </x:c>
      <x:c r="B2082" t="str">
        <x:v>PC-PE-KG01-L24-20251025-PM-ORD-2025-00126-S04</x:v>
      </x:c>
      <x:c r="C2082" t="str">
        <x:v>PE-KG01-L24-20251025-PM-ORD-2025-00126</x:v>
      </x:c>
      <x:c r="D2082" t="str">
        <x:v>KG01</x:v>
      </x:c>
      <x:c r="E2082" s="62" t="n">
        <x:v>45955</x:v>
      </x:c>
      <x:c r="F2082" t="str">
        <x:v>PM</x:v>
      </x:c>
      <x:c r="G2082" t="str">
        <x:v>C</x:v>
      </x:c>
      <x:c r="H2082" t="n">
        <x:v>24</x:v>
      </x:c>
      <x:c r="I2082" t="str">
        <x:v>ORD-2025-00126</x:v>
      </x:c>
      <x:c r="J2082" t="n">
        <x:v>4</x:v>
      </x:c>
      <x:c r="K2082" t="n">
        <x:v>2</x:v>
      </x:c>
      <x:c r="L2082" t="str">
        <x:v>L24-S04-C2</x:v>
      </x:c>
      <x:c r="M2082" t="n">
        <x:v>1</x:v>
      </x:c>
      <x:c r="N2082" t="str">
        <x:v>DerivedFromCount</x:v>
      </x:c>
      <x:c r="O2082" t="str">
        <x:v>PLC-PRD-JAR-720-L24</x:v>
      </x:c>
      <x:c r="P2082" t="str">
        <x:v>OK</x:v>
      </x:c>
      <x:c r="Q2082" t="str">
        <x:v>OK</x:v>
      </x:c>
      <x:c r="R2082" t="str">
        <x:v>OK</x:v>
      </x:c>
      <x:c r="S2082" t="str">
        <x:v>OK</x:v>
      </x:c>
      <x:c r="T2082" t="n">
        <x:v>24</x:v>
      </x:c>
      <x:c r="U2082" t="str">
        <x:v>OK</x:v>
      </x:c>
      <x:c r="V2082" t="str">
        <x:v>OK</x:v>
      </x:c>
      <x:c r="W2082" t="str">
        <x:v>LOAD</x:v>
      </x:c>
      <x:c r="X2082" t="str">
        <x:v>02_Supervisor_Log(4).xlsx</x:v>
      </x:c>
      <x:c r="Y2082" t="str">
        <x:v>ENH-20260830-01</x:v>
      </x:c>
      <x:c r="Z2082" t="str">
        <x:v>Active</x:v>
      </x:c>
      <x:c r="AA2082"/>
      <x:c r="AB2082"/>
      <x:c r="AC2082"/>
      <x:c r="AD2082"/>
    </x:row>
    <x:row r="2083">
      <x:c r="A2083" t="str">
        <x:v>PCC-PE-KG01-L24-20251025-PM-ORD-2025-00126-S04-C3</x:v>
      </x:c>
      <x:c r="B2083" t="str">
        <x:v>PC-PE-KG01-L24-20251025-PM-ORD-2025-00126-S04</x:v>
      </x:c>
      <x:c r="C2083" t="str">
        <x:v>PE-KG01-L24-20251025-PM-ORD-2025-00126</x:v>
      </x:c>
      <x:c r="D2083" t="str">
        <x:v>KG01</x:v>
      </x:c>
      <x:c r="E2083" s="62" t="n">
        <x:v>45955</x:v>
      </x:c>
      <x:c r="F2083" t="str">
        <x:v>PM</x:v>
      </x:c>
      <x:c r="G2083" t="str">
        <x:v>C</x:v>
      </x:c>
      <x:c r="H2083" t="n">
        <x:v>24</x:v>
      </x:c>
      <x:c r="I2083" t="str">
        <x:v>ORD-2025-00126</x:v>
      </x:c>
      <x:c r="J2083" t="n">
        <x:v>4</x:v>
      </x:c>
      <x:c r="K2083" t="n">
        <x:v>3</x:v>
      </x:c>
      <x:c r="L2083" t="str">
        <x:v>L24-S04-C3</x:v>
      </x:c>
      <x:c r="M2083" t="n">
        <x:v>0</x:v>
      </x:c>
      <x:c r="N2083" t="str">
        <x:v>DerivedFromCount</x:v>
      </x:c>
      <x:c r="O2083" t="str">
        <x:v>PLC-PRD-JAR-720-L24</x:v>
      </x:c>
      <x:c r="P2083" t="str">
        <x:v>OK</x:v>
      </x:c>
      <x:c r="Q2083" t="str">
        <x:v>OK</x:v>
      </x:c>
      <x:c r="R2083" t="str">
        <x:v>OK</x:v>
      </x:c>
      <x:c r="S2083" t="str">
        <x:v>OK</x:v>
      </x:c>
      <x:c r="T2083" t="n">
        <x:v>24</x:v>
      </x:c>
      <x:c r="U2083" t="str">
        <x:v>OK</x:v>
      </x:c>
      <x:c r="V2083" t="str">
        <x:v>OK</x:v>
      </x:c>
      <x:c r="W2083" t="str">
        <x:v>LOAD</x:v>
      </x:c>
      <x:c r="X2083" t="str">
        <x:v>02_Supervisor_Log(4).xlsx</x:v>
      </x:c>
      <x:c r="Y2083" t="str">
        <x:v>ENH-20260830-01</x:v>
      </x:c>
      <x:c r="Z2083" t="str">
        <x:v>Active</x:v>
      </x:c>
      <x:c r="AA2083"/>
      <x:c r="AB2083"/>
      <x:c r="AC2083"/>
      <x:c r="AD2083"/>
    </x:row>
    <x:row r="2084">
      <x:c r="A2084" t="str">
        <x:v>PCC-PE-KG01-L24-20251025-PM-ORD-2025-00126-S05-C1</x:v>
      </x:c>
      <x:c r="B2084" t="str">
        <x:v>PC-PE-KG01-L24-20251025-PM-ORD-2025-00126-S05</x:v>
      </x:c>
      <x:c r="C2084" t="str">
        <x:v>PE-KG01-L24-20251025-PM-ORD-2025-00126</x:v>
      </x:c>
      <x:c r="D2084" t="str">
        <x:v>KG01</x:v>
      </x:c>
      <x:c r="E2084" s="62" t="n">
        <x:v>45955</x:v>
      </x:c>
      <x:c r="F2084" t="str">
        <x:v>PM</x:v>
      </x:c>
      <x:c r="G2084" t="str">
        <x:v>C</x:v>
      </x:c>
      <x:c r="H2084" t="n">
        <x:v>24</x:v>
      </x:c>
      <x:c r="I2084" t="str">
        <x:v>ORD-2025-00126</x:v>
      </x:c>
      <x:c r="J2084" t="n">
        <x:v>5</x:v>
      </x:c>
      <x:c r="K2084" t="n">
        <x:v>1</x:v>
      </x:c>
      <x:c r="L2084" t="str">
        <x:v>L24-S05-C1</x:v>
      </x:c>
      <x:c r="M2084" t="n">
        <x:v>1</x:v>
      </x:c>
      <x:c r="N2084" t="str">
        <x:v>DerivedFromCount</x:v>
      </x:c>
      <x:c r="O2084" t="str">
        <x:v>PLC-PRD-JAR-720-L24</x:v>
      </x:c>
      <x:c r="P2084" t="str">
        <x:v>OK</x:v>
      </x:c>
      <x:c r="Q2084" t="str">
        <x:v>OK</x:v>
      </x:c>
      <x:c r="R2084" t="str">
        <x:v>OK</x:v>
      </x:c>
      <x:c r="S2084" t="str">
        <x:v>OK</x:v>
      </x:c>
      <x:c r="T2084" t="n">
        <x:v>24</x:v>
      </x:c>
      <x:c r="U2084" t="str">
        <x:v>OK</x:v>
      </x:c>
      <x:c r="V2084" t="str">
        <x:v>OK</x:v>
      </x:c>
      <x:c r="W2084" t="str">
        <x:v>LOAD</x:v>
      </x:c>
      <x:c r="X2084" t="str">
        <x:v>02_Supervisor_Log(4).xlsx</x:v>
      </x:c>
      <x:c r="Y2084" t="str">
        <x:v>ENH-20260830-01</x:v>
      </x:c>
      <x:c r="Z2084" t="str">
        <x:v>Active</x:v>
      </x:c>
      <x:c r="AA2084"/>
      <x:c r="AB2084"/>
      <x:c r="AC2084"/>
      <x:c r="AD2084"/>
    </x:row>
    <x:row r="2085">
      <x:c r="A2085" t="str">
        <x:v>PCC-PE-KG01-L24-20251025-PM-ORD-2025-00126-S05-C2</x:v>
      </x:c>
      <x:c r="B2085" t="str">
        <x:v>PC-PE-KG01-L24-20251025-PM-ORD-2025-00126-S05</x:v>
      </x:c>
      <x:c r="C2085" t="str">
        <x:v>PE-KG01-L24-20251025-PM-ORD-2025-00126</x:v>
      </x:c>
      <x:c r="D2085" t="str">
        <x:v>KG01</x:v>
      </x:c>
      <x:c r="E2085" s="62" t="n">
        <x:v>45955</x:v>
      </x:c>
      <x:c r="F2085" t="str">
        <x:v>PM</x:v>
      </x:c>
      <x:c r="G2085" t="str">
        <x:v>C</x:v>
      </x:c>
      <x:c r="H2085" t="n">
        <x:v>24</x:v>
      </x:c>
      <x:c r="I2085" t="str">
        <x:v>ORD-2025-00126</x:v>
      </x:c>
      <x:c r="J2085" t="n">
        <x:v>5</x:v>
      </x:c>
      <x:c r="K2085" t="n">
        <x:v>2</x:v>
      </x:c>
      <x:c r="L2085" t="str">
        <x:v>L24-S05-C2</x:v>
      </x:c>
      <x:c r="M2085" t="n">
        <x:v>1</x:v>
      </x:c>
      <x:c r="N2085" t="str">
        <x:v>DerivedFromCount</x:v>
      </x:c>
      <x:c r="O2085" t="str">
        <x:v>PLC-PRD-JAR-720-L24</x:v>
      </x:c>
      <x:c r="P2085" t="str">
        <x:v>OK</x:v>
      </x:c>
      <x:c r="Q2085" t="str">
        <x:v>OK</x:v>
      </x:c>
      <x:c r="R2085" t="str">
        <x:v>OK</x:v>
      </x:c>
      <x:c r="S2085" t="str">
        <x:v>OK</x:v>
      </x:c>
      <x:c r="T2085" t="n">
        <x:v>24</x:v>
      </x:c>
      <x:c r="U2085" t="str">
        <x:v>OK</x:v>
      </x:c>
      <x:c r="V2085" t="str">
        <x:v>OK</x:v>
      </x:c>
      <x:c r="W2085" t="str">
        <x:v>LOAD</x:v>
      </x:c>
      <x:c r="X2085" t="str">
        <x:v>02_Supervisor_Log(4).xlsx</x:v>
      </x:c>
      <x:c r="Y2085" t="str">
        <x:v>ENH-20260830-01</x:v>
      </x:c>
      <x:c r="Z2085" t="str">
        <x:v>Active</x:v>
      </x:c>
      <x:c r="AA2085"/>
      <x:c r="AB2085"/>
      <x:c r="AC2085"/>
      <x:c r="AD2085"/>
    </x:row>
    <x:row r="2086">
      <x:c r="A2086" t="str">
        <x:v>PCC-PE-KG01-L24-20251025-PM-ORD-2025-00126-S05-C3</x:v>
      </x:c>
      <x:c r="B2086" t="str">
        <x:v>PC-PE-KG01-L24-20251025-PM-ORD-2025-00126-S05</x:v>
      </x:c>
      <x:c r="C2086" t="str">
        <x:v>PE-KG01-L24-20251025-PM-ORD-2025-00126</x:v>
      </x:c>
      <x:c r="D2086" t="str">
        <x:v>KG01</x:v>
      </x:c>
      <x:c r="E2086" s="62" t="n">
        <x:v>45955</x:v>
      </x:c>
      <x:c r="F2086" t="str">
        <x:v>PM</x:v>
      </x:c>
      <x:c r="G2086" t="str">
        <x:v>C</x:v>
      </x:c>
      <x:c r="H2086" t="n">
        <x:v>24</x:v>
      </x:c>
      <x:c r="I2086" t="str">
        <x:v>ORD-2025-00126</x:v>
      </x:c>
      <x:c r="J2086" t="n">
        <x:v>5</x:v>
      </x:c>
      <x:c r="K2086" t="n">
        <x:v>3</x:v>
      </x:c>
      <x:c r="L2086" t="str">
        <x:v>L24-S05-C3</x:v>
      </x:c>
      <x:c r="M2086" t="n">
        <x:v>0</x:v>
      </x:c>
      <x:c r="N2086" t="str">
        <x:v>DerivedFromCount</x:v>
      </x:c>
      <x:c r="O2086" t="str">
        <x:v>PLC-PRD-JAR-720-L24</x:v>
      </x:c>
      <x:c r="P2086" t="str">
        <x:v>OK</x:v>
      </x:c>
      <x:c r="Q2086" t="str">
        <x:v>OK</x:v>
      </x:c>
      <x:c r="R2086" t="str">
        <x:v>OK</x:v>
      </x:c>
      <x:c r="S2086" t="str">
        <x:v>OK</x:v>
      </x:c>
      <x:c r="T2086" t="n">
        <x:v>24</x:v>
      </x:c>
      <x:c r="U2086" t="str">
        <x:v>OK</x:v>
      </x:c>
      <x:c r="V2086" t="str">
        <x:v>OK</x:v>
      </x:c>
      <x:c r="W2086" t="str">
        <x:v>LOAD</x:v>
      </x:c>
      <x:c r="X2086" t="str">
        <x:v>02_Supervisor_Log(4).xlsx</x:v>
      </x:c>
      <x:c r="Y2086" t="str">
        <x:v>ENH-20260830-01</x:v>
      </x:c>
      <x:c r="Z2086" t="str">
        <x:v>Active</x:v>
      </x:c>
      <x:c r="AA2086"/>
      <x:c r="AB2086"/>
      <x:c r="AC2086"/>
      <x:c r="AD2086"/>
    </x:row>
    <x:row r="2087">
      <x:c r="A2087" t="str">
        <x:v>PCC-PE-KG01-L24-20251025-PM-ORD-2025-00126-S06-C1</x:v>
      </x:c>
      <x:c r="B2087" t="str">
        <x:v>PC-PE-KG01-L24-20251025-PM-ORD-2025-00126-S06</x:v>
      </x:c>
      <x:c r="C2087" t="str">
        <x:v>PE-KG01-L24-20251025-PM-ORD-2025-00126</x:v>
      </x:c>
      <x:c r="D2087" t="str">
        <x:v>KG01</x:v>
      </x:c>
      <x:c r="E2087" s="62" t="n">
        <x:v>45955</x:v>
      </x:c>
      <x:c r="F2087" t="str">
        <x:v>PM</x:v>
      </x:c>
      <x:c r="G2087" t="str">
        <x:v>C</x:v>
      </x:c>
      <x:c r="H2087" t="n">
        <x:v>24</x:v>
      </x:c>
      <x:c r="I2087" t="str">
        <x:v>ORD-2025-00126</x:v>
      </x:c>
      <x:c r="J2087" t="n">
        <x:v>6</x:v>
      </x:c>
      <x:c r="K2087" t="n">
        <x:v>1</x:v>
      </x:c>
      <x:c r="L2087" t="str">
        <x:v>L24-S06-C1</x:v>
      </x:c>
      <x:c r="M2087" t="n">
        <x:v>1</x:v>
      </x:c>
      <x:c r="N2087" t="str">
        <x:v>DerivedFromCount</x:v>
      </x:c>
      <x:c r="O2087" t="str">
        <x:v>PLC-PRD-JAR-720-L24</x:v>
      </x:c>
      <x:c r="P2087" t="str">
        <x:v>OK</x:v>
      </x:c>
      <x:c r="Q2087" t="str">
        <x:v>OK</x:v>
      </x:c>
      <x:c r="R2087" t="str">
        <x:v>OK</x:v>
      </x:c>
      <x:c r="S2087" t="str">
        <x:v>OK</x:v>
      </x:c>
      <x:c r="T2087" t="n">
        <x:v>24</x:v>
      </x:c>
      <x:c r="U2087" t="str">
        <x:v>OK</x:v>
      </x:c>
      <x:c r="V2087" t="str">
        <x:v>OK</x:v>
      </x:c>
      <x:c r="W2087" t="str">
        <x:v>LOAD</x:v>
      </x:c>
      <x:c r="X2087" t="str">
        <x:v>02_Supervisor_Log(4).xlsx</x:v>
      </x:c>
      <x:c r="Y2087" t="str">
        <x:v>ENH-20260830-01</x:v>
      </x:c>
      <x:c r="Z2087" t="str">
        <x:v>Active</x:v>
      </x:c>
      <x:c r="AA2087"/>
      <x:c r="AB2087"/>
      <x:c r="AC2087"/>
      <x:c r="AD2087"/>
    </x:row>
    <x:row r="2088">
      <x:c r="A2088" t="str">
        <x:v>PCC-PE-KG01-L24-20251025-PM-ORD-2025-00126-S06-C2</x:v>
      </x:c>
      <x:c r="B2088" t="str">
        <x:v>PC-PE-KG01-L24-20251025-PM-ORD-2025-00126-S06</x:v>
      </x:c>
      <x:c r="C2088" t="str">
        <x:v>PE-KG01-L24-20251025-PM-ORD-2025-00126</x:v>
      </x:c>
      <x:c r="D2088" t="str">
        <x:v>KG01</x:v>
      </x:c>
      <x:c r="E2088" s="62" t="n">
        <x:v>45955</x:v>
      </x:c>
      <x:c r="F2088" t="str">
        <x:v>PM</x:v>
      </x:c>
      <x:c r="G2088" t="str">
        <x:v>C</x:v>
      </x:c>
      <x:c r="H2088" t="n">
        <x:v>24</x:v>
      </x:c>
      <x:c r="I2088" t="str">
        <x:v>ORD-2025-00126</x:v>
      </x:c>
      <x:c r="J2088" t="n">
        <x:v>6</x:v>
      </x:c>
      <x:c r="K2088" t="n">
        <x:v>2</x:v>
      </x:c>
      <x:c r="L2088" t="str">
        <x:v>L24-S06-C2</x:v>
      </x:c>
      <x:c r="M2088" t="n">
        <x:v>1</x:v>
      </x:c>
      <x:c r="N2088" t="str">
        <x:v>DerivedFromCount</x:v>
      </x:c>
      <x:c r="O2088" t="str">
        <x:v>PLC-PRD-JAR-720-L24</x:v>
      </x:c>
      <x:c r="P2088" t="str">
        <x:v>OK</x:v>
      </x:c>
      <x:c r="Q2088" t="str">
        <x:v>OK</x:v>
      </x:c>
      <x:c r="R2088" t="str">
        <x:v>OK</x:v>
      </x:c>
      <x:c r="S2088" t="str">
        <x:v>OK</x:v>
      </x:c>
      <x:c r="T2088" t="n">
        <x:v>24</x:v>
      </x:c>
      <x:c r="U2088" t="str">
        <x:v>OK</x:v>
      </x:c>
      <x:c r="V2088" t="str">
        <x:v>OK</x:v>
      </x:c>
      <x:c r="W2088" t="str">
        <x:v>LOAD</x:v>
      </x:c>
      <x:c r="X2088" t="str">
        <x:v>02_Supervisor_Log(4).xlsx</x:v>
      </x:c>
      <x:c r="Y2088" t="str">
        <x:v>ENH-20260830-01</x:v>
      </x:c>
      <x:c r="Z2088" t="str">
        <x:v>Active</x:v>
      </x:c>
      <x:c r="AA2088"/>
      <x:c r="AB2088"/>
      <x:c r="AC2088"/>
      <x:c r="AD2088"/>
    </x:row>
    <x:row r="2089">
      <x:c r="A2089" t="str">
        <x:v>PCC-PE-KG01-L24-20251025-PM-ORD-2025-00126-S06-C3</x:v>
      </x:c>
      <x:c r="B2089" t="str">
        <x:v>PC-PE-KG01-L24-20251025-PM-ORD-2025-00126-S06</x:v>
      </x:c>
      <x:c r="C2089" t="str">
        <x:v>PE-KG01-L24-20251025-PM-ORD-2025-00126</x:v>
      </x:c>
      <x:c r="D2089" t="str">
        <x:v>KG01</x:v>
      </x:c>
      <x:c r="E2089" s="62" t="n">
        <x:v>45955</x:v>
      </x:c>
      <x:c r="F2089" t="str">
        <x:v>PM</x:v>
      </x:c>
      <x:c r="G2089" t="str">
        <x:v>C</x:v>
      </x:c>
      <x:c r="H2089" t="n">
        <x:v>24</x:v>
      </x:c>
      <x:c r="I2089" t="str">
        <x:v>ORD-2025-00126</x:v>
      </x:c>
      <x:c r="J2089" t="n">
        <x:v>6</x:v>
      </x:c>
      <x:c r="K2089" t="n">
        <x:v>3</x:v>
      </x:c>
      <x:c r="L2089" t="str">
        <x:v>L24-S06-C3</x:v>
      </x:c>
      <x:c r="M2089" t="n">
        <x:v>0</x:v>
      </x:c>
      <x:c r="N2089" t="str">
        <x:v>DerivedFromCount</x:v>
      </x:c>
      <x:c r="O2089" t="str">
        <x:v>PLC-PRD-JAR-720-L24</x:v>
      </x:c>
      <x:c r="P2089" t="str">
        <x:v>OK</x:v>
      </x:c>
      <x:c r="Q2089" t="str">
        <x:v>OK</x:v>
      </x:c>
      <x:c r="R2089" t="str">
        <x:v>OK</x:v>
      </x:c>
      <x:c r="S2089" t="str">
        <x:v>OK</x:v>
      </x:c>
      <x:c r="T2089" t="n">
        <x:v>24</x:v>
      </x:c>
      <x:c r="U2089" t="str">
        <x:v>OK</x:v>
      </x:c>
      <x:c r="V2089" t="str">
        <x:v>OK</x:v>
      </x:c>
      <x:c r="W2089" t="str">
        <x:v>LOAD</x:v>
      </x:c>
      <x:c r="X2089" t="str">
        <x:v>02_Supervisor_Log(4).xlsx</x:v>
      </x:c>
      <x:c r="Y2089" t="str">
        <x:v>ENH-20260830-01</x:v>
      </x:c>
      <x:c r="Z2089" t="str">
        <x:v>Active</x:v>
      </x:c>
      <x:c r="AA2089"/>
      <x:c r="AB2089"/>
      <x:c r="AC2089"/>
      <x:c r="AD2089"/>
    </x:row>
    <x:row r="2090">
      <x:c r="A2090" t="str">
        <x:v>PCC-PE-KG01-L24-20251025-PM-ORD-2025-00126-S07-C1</x:v>
      </x:c>
      <x:c r="B2090" t="str">
        <x:v>PC-PE-KG01-L24-20251025-PM-ORD-2025-00126-S07</x:v>
      </x:c>
      <x:c r="C2090" t="str">
        <x:v>PE-KG01-L24-20251025-PM-ORD-2025-00126</x:v>
      </x:c>
      <x:c r="D2090" t="str">
        <x:v>KG01</x:v>
      </x:c>
      <x:c r="E2090" s="62" t="n">
        <x:v>45955</x:v>
      </x:c>
      <x:c r="F2090" t="str">
        <x:v>PM</x:v>
      </x:c>
      <x:c r="G2090" t="str">
        <x:v>C</x:v>
      </x:c>
      <x:c r="H2090" t="n">
        <x:v>24</x:v>
      </x:c>
      <x:c r="I2090" t="str">
        <x:v>ORD-2025-00126</x:v>
      </x:c>
      <x:c r="J2090" t="n">
        <x:v>7</x:v>
      </x:c>
      <x:c r="K2090" t="n">
        <x:v>1</x:v>
      </x:c>
      <x:c r="L2090" t="str">
        <x:v>L24-S07-C1</x:v>
      </x:c>
      <x:c r="M2090" t="n">
        <x:v>1</x:v>
      </x:c>
      <x:c r="N2090" t="str">
        <x:v>DerivedFromCount</x:v>
      </x:c>
      <x:c r="O2090" t="str">
        <x:v>PLC-PRD-JAR-720-L24</x:v>
      </x:c>
      <x:c r="P2090" t="str">
        <x:v>OK</x:v>
      </x:c>
      <x:c r="Q2090" t="str">
        <x:v>OK</x:v>
      </x:c>
      <x:c r="R2090" t="str">
        <x:v>OK</x:v>
      </x:c>
      <x:c r="S2090" t="str">
        <x:v>OK</x:v>
      </x:c>
      <x:c r="T2090" t="n">
        <x:v>24</x:v>
      </x:c>
      <x:c r="U2090" t="str">
        <x:v>OK</x:v>
      </x:c>
      <x:c r="V2090" t="str">
        <x:v>OK</x:v>
      </x:c>
      <x:c r="W2090" t="str">
        <x:v>LOAD</x:v>
      </x:c>
      <x:c r="X2090" t="str">
        <x:v>02_Supervisor_Log(4).xlsx</x:v>
      </x:c>
      <x:c r="Y2090" t="str">
        <x:v>ENH-20260830-01</x:v>
      </x:c>
      <x:c r="Z2090" t="str">
        <x:v>Active</x:v>
      </x:c>
      <x:c r="AA2090"/>
      <x:c r="AB2090"/>
      <x:c r="AC2090"/>
      <x:c r="AD2090"/>
    </x:row>
    <x:row r="2091">
      <x:c r="A2091" t="str">
        <x:v>PCC-PE-KG01-L24-20251025-PM-ORD-2025-00126-S07-C2</x:v>
      </x:c>
      <x:c r="B2091" t="str">
        <x:v>PC-PE-KG01-L24-20251025-PM-ORD-2025-00126-S07</x:v>
      </x:c>
      <x:c r="C2091" t="str">
        <x:v>PE-KG01-L24-20251025-PM-ORD-2025-00126</x:v>
      </x:c>
      <x:c r="D2091" t="str">
        <x:v>KG01</x:v>
      </x:c>
      <x:c r="E2091" s="62" t="n">
        <x:v>45955</x:v>
      </x:c>
      <x:c r="F2091" t="str">
        <x:v>PM</x:v>
      </x:c>
      <x:c r="G2091" t="str">
        <x:v>C</x:v>
      </x:c>
      <x:c r="H2091" t="n">
        <x:v>24</x:v>
      </x:c>
      <x:c r="I2091" t="str">
        <x:v>ORD-2025-00126</x:v>
      </x:c>
      <x:c r="J2091" t="n">
        <x:v>7</x:v>
      </x:c>
      <x:c r="K2091" t="n">
        <x:v>2</x:v>
      </x:c>
      <x:c r="L2091" t="str">
        <x:v>L24-S07-C2</x:v>
      </x:c>
      <x:c r="M2091" t="n">
        <x:v>1</x:v>
      </x:c>
      <x:c r="N2091" t="str">
        <x:v>DerivedFromCount</x:v>
      </x:c>
      <x:c r="O2091" t="str">
        <x:v>PLC-PRD-JAR-720-L24</x:v>
      </x:c>
      <x:c r="P2091" t="str">
        <x:v>OK</x:v>
      </x:c>
      <x:c r="Q2091" t="str">
        <x:v>OK</x:v>
      </x:c>
      <x:c r="R2091" t="str">
        <x:v>OK</x:v>
      </x:c>
      <x:c r="S2091" t="str">
        <x:v>OK</x:v>
      </x:c>
      <x:c r="T2091" t="n">
        <x:v>24</x:v>
      </x:c>
      <x:c r="U2091" t="str">
        <x:v>OK</x:v>
      </x:c>
      <x:c r="V2091" t="str">
        <x:v>OK</x:v>
      </x:c>
      <x:c r="W2091" t="str">
        <x:v>LOAD</x:v>
      </x:c>
      <x:c r="X2091" t="str">
        <x:v>02_Supervisor_Log(4).xlsx</x:v>
      </x:c>
      <x:c r="Y2091" t="str">
        <x:v>ENH-20260830-01</x:v>
      </x:c>
      <x:c r="Z2091" t="str">
        <x:v>Active</x:v>
      </x:c>
      <x:c r="AA2091"/>
      <x:c r="AB2091"/>
      <x:c r="AC2091"/>
      <x:c r="AD2091"/>
    </x:row>
    <x:row r="2092">
      <x:c r="A2092" t="str">
        <x:v>PCC-PE-KG01-L24-20251025-PM-ORD-2025-00126-S07-C3</x:v>
      </x:c>
      <x:c r="B2092" t="str">
        <x:v>PC-PE-KG01-L24-20251025-PM-ORD-2025-00126-S07</x:v>
      </x:c>
      <x:c r="C2092" t="str">
        <x:v>PE-KG01-L24-20251025-PM-ORD-2025-00126</x:v>
      </x:c>
      <x:c r="D2092" t="str">
        <x:v>KG01</x:v>
      </x:c>
      <x:c r="E2092" s="62" t="n">
        <x:v>45955</x:v>
      </x:c>
      <x:c r="F2092" t="str">
        <x:v>PM</x:v>
      </x:c>
      <x:c r="G2092" t="str">
        <x:v>C</x:v>
      </x:c>
      <x:c r="H2092" t="n">
        <x:v>24</x:v>
      </x:c>
      <x:c r="I2092" t="str">
        <x:v>ORD-2025-00126</x:v>
      </x:c>
      <x:c r="J2092" t="n">
        <x:v>7</x:v>
      </x:c>
      <x:c r="K2092" t="n">
        <x:v>3</x:v>
      </x:c>
      <x:c r="L2092" t="str">
        <x:v>L24-S07-C3</x:v>
      </x:c>
      <x:c r="M2092" t="n">
        <x:v>0</x:v>
      </x:c>
      <x:c r="N2092" t="str">
        <x:v>DerivedFromCount</x:v>
      </x:c>
      <x:c r="O2092" t="str">
        <x:v>PLC-PRD-JAR-720-L24</x:v>
      </x:c>
      <x:c r="P2092" t="str">
        <x:v>OK</x:v>
      </x:c>
      <x:c r="Q2092" t="str">
        <x:v>OK</x:v>
      </x:c>
      <x:c r="R2092" t="str">
        <x:v>OK</x:v>
      </x:c>
      <x:c r="S2092" t="str">
        <x:v>OK</x:v>
      </x:c>
      <x:c r="T2092" t="n">
        <x:v>24</x:v>
      </x:c>
      <x:c r="U2092" t="str">
        <x:v>OK</x:v>
      </x:c>
      <x:c r="V2092" t="str">
        <x:v>OK</x:v>
      </x:c>
      <x:c r="W2092" t="str">
        <x:v>LOAD</x:v>
      </x:c>
      <x:c r="X2092" t="str">
        <x:v>02_Supervisor_Log(4).xlsx</x:v>
      </x:c>
      <x:c r="Y2092" t="str">
        <x:v>ENH-20260830-01</x:v>
      </x:c>
      <x:c r="Z2092" t="str">
        <x:v>Active</x:v>
      </x:c>
      <x:c r="AA2092"/>
      <x:c r="AB2092"/>
      <x:c r="AC2092"/>
      <x:c r="AD2092"/>
    </x:row>
    <x:row r="2093">
      <x:c r="A2093" t="str">
        <x:v>PCC-PE-KG01-L24-20251025-PM-ORD-2025-00126-S08-C1</x:v>
      </x:c>
      <x:c r="B2093" t="str">
        <x:v>PC-PE-KG01-L24-20251025-PM-ORD-2025-00126-S08</x:v>
      </x:c>
      <x:c r="C2093" t="str">
        <x:v>PE-KG01-L24-20251025-PM-ORD-2025-00126</x:v>
      </x:c>
      <x:c r="D2093" t="str">
        <x:v>KG01</x:v>
      </x:c>
      <x:c r="E2093" s="62" t="n">
        <x:v>45955</x:v>
      </x:c>
      <x:c r="F2093" t="str">
        <x:v>PM</x:v>
      </x:c>
      <x:c r="G2093" t="str">
        <x:v>C</x:v>
      </x:c>
      <x:c r="H2093" t="n">
        <x:v>24</x:v>
      </x:c>
      <x:c r="I2093" t="str">
        <x:v>ORD-2025-00126</x:v>
      </x:c>
      <x:c r="J2093" t="n">
        <x:v>8</x:v>
      </x:c>
      <x:c r="K2093" t="n">
        <x:v>1</x:v>
      </x:c>
      <x:c r="L2093" t="str">
        <x:v>L24-S08-C1</x:v>
      </x:c>
      <x:c r="M2093" t="n">
        <x:v>1</x:v>
      </x:c>
      <x:c r="N2093" t="str">
        <x:v>DerivedFromCount</x:v>
      </x:c>
      <x:c r="O2093" t="str">
        <x:v>PLC-PRD-JAR-720-L24</x:v>
      </x:c>
      <x:c r="P2093" t="str">
        <x:v>OK</x:v>
      </x:c>
      <x:c r="Q2093" t="str">
        <x:v>OK</x:v>
      </x:c>
      <x:c r="R2093" t="str">
        <x:v>OK</x:v>
      </x:c>
      <x:c r="S2093" t="str">
        <x:v>OK</x:v>
      </x:c>
      <x:c r="T2093" t="n">
        <x:v>24</x:v>
      </x:c>
      <x:c r="U2093" t="str">
        <x:v>OK</x:v>
      </x:c>
      <x:c r="V2093" t="str">
        <x:v>OK</x:v>
      </x:c>
      <x:c r="W2093" t="str">
        <x:v>LOAD</x:v>
      </x:c>
      <x:c r="X2093" t="str">
        <x:v>02_Supervisor_Log(4).xlsx</x:v>
      </x:c>
      <x:c r="Y2093" t="str">
        <x:v>ENH-20260830-01</x:v>
      </x:c>
      <x:c r="Z2093" t="str">
        <x:v>Active</x:v>
      </x:c>
      <x:c r="AA2093"/>
      <x:c r="AB2093"/>
      <x:c r="AC2093"/>
      <x:c r="AD2093"/>
    </x:row>
    <x:row r="2094">
      <x:c r="A2094" t="str">
        <x:v>PCC-PE-KG01-L24-20251025-PM-ORD-2025-00126-S08-C2</x:v>
      </x:c>
      <x:c r="B2094" t="str">
        <x:v>PC-PE-KG01-L24-20251025-PM-ORD-2025-00126-S08</x:v>
      </x:c>
      <x:c r="C2094" t="str">
        <x:v>PE-KG01-L24-20251025-PM-ORD-2025-00126</x:v>
      </x:c>
      <x:c r="D2094" t="str">
        <x:v>KG01</x:v>
      </x:c>
      <x:c r="E2094" s="62" t="n">
        <x:v>45955</x:v>
      </x:c>
      <x:c r="F2094" t="str">
        <x:v>PM</x:v>
      </x:c>
      <x:c r="G2094" t="str">
        <x:v>C</x:v>
      </x:c>
      <x:c r="H2094" t="n">
        <x:v>24</x:v>
      </x:c>
      <x:c r="I2094" t="str">
        <x:v>ORD-2025-00126</x:v>
      </x:c>
      <x:c r="J2094" t="n">
        <x:v>8</x:v>
      </x:c>
      <x:c r="K2094" t="n">
        <x:v>2</x:v>
      </x:c>
      <x:c r="L2094" t="str">
        <x:v>L24-S08-C2</x:v>
      </x:c>
      <x:c r="M2094" t="n">
        <x:v>1</x:v>
      </x:c>
      <x:c r="N2094" t="str">
        <x:v>DerivedFromCount</x:v>
      </x:c>
      <x:c r="O2094" t="str">
        <x:v>PLC-PRD-JAR-720-L24</x:v>
      </x:c>
      <x:c r="P2094" t="str">
        <x:v>OK</x:v>
      </x:c>
      <x:c r="Q2094" t="str">
        <x:v>OK</x:v>
      </x:c>
      <x:c r="R2094" t="str">
        <x:v>OK</x:v>
      </x:c>
      <x:c r="S2094" t="str">
        <x:v>OK</x:v>
      </x:c>
      <x:c r="T2094" t="n">
        <x:v>24</x:v>
      </x:c>
      <x:c r="U2094" t="str">
        <x:v>OK</x:v>
      </x:c>
      <x:c r="V2094" t="str">
        <x:v>OK</x:v>
      </x:c>
      <x:c r="W2094" t="str">
        <x:v>LOAD</x:v>
      </x:c>
      <x:c r="X2094" t="str">
        <x:v>02_Supervisor_Log(4).xlsx</x:v>
      </x:c>
      <x:c r="Y2094" t="str">
        <x:v>ENH-20260830-01</x:v>
      </x:c>
      <x:c r="Z2094" t="str">
        <x:v>Active</x:v>
      </x:c>
      <x:c r="AA2094"/>
      <x:c r="AB2094"/>
      <x:c r="AC2094"/>
      <x:c r="AD2094"/>
    </x:row>
    <x:row r="2095">
      <x:c r="A2095" t="str">
        <x:v>PCC-PE-KG01-L24-20251025-PM-ORD-2025-00126-S08-C3</x:v>
      </x:c>
      <x:c r="B2095" t="str">
        <x:v>PC-PE-KG01-L24-20251025-PM-ORD-2025-00126-S08</x:v>
      </x:c>
      <x:c r="C2095" t="str">
        <x:v>PE-KG01-L24-20251025-PM-ORD-2025-00126</x:v>
      </x:c>
      <x:c r="D2095" t="str">
        <x:v>KG01</x:v>
      </x:c>
      <x:c r="E2095" s="62" t="n">
        <x:v>45955</x:v>
      </x:c>
      <x:c r="F2095" t="str">
        <x:v>PM</x:v>
      </x:c>
      <x:c r="G2095" t="str">
        <x:v>C</x:v>
      </x:c>
      <x:c r="H2095" t="n">
        <x:v>24</x:v>
      </x:c>
      <x:c r="I2095" t="str">
        <x:v>ORD-2025-00126</x:v>
      </x:c>
      <x:c r="J2095" t="n">
        <x:v>8</x:v>
      </x:c>
      <x:c r="K2095" t="n">
        <x:v>3</x:v>
      </x:c>
      <x:c r="L2095" t="str">
        <x:v>L24-S08-C3</x:v>
      </x:c>
      <x:c r="M2095" t="n">
        <x:v>0</x:v>
      </x:c>
      <x:c r="N2095" t="str">
        <x:v>DerivedFromCount</x:v>
      </x:c>
      <x:c r="O2095" t="str">
        <x:v>PLC-PRD-JAR-720-L24</x:v>
      </x:c>
      <x:c r="P2095" t="str">
        <x:v>OK</x:v>
      </x:c>
      <x:c r="Q2095" t="str">
        <x:v>OK</x:v>
      </x:c>
      <x:c r="R2095" t="str">
        <x:v>OK</x:v>
      </x:c>
      <x:c r="S2095" t="str">
        <x:v>OK</x:v>
      </x:c>
      <x:c r="T2095" t="n">
        <x:v>24</x:v>
      </x:c>
      <x:c r="U2095" t="str">
        <x:v>OK</x:v>
      </x:c>
      <x:c r="V2095" t="str">
        <x:v>OK</x:v>
      </x:c>
      <x:c r="W2095" t="str">
        <x:v>LOAD</x:v>
      </x:c>
      <x:c r="X2095" t="str">
        <x:v>02_Supervisor_Log(4).xlsx</x:v>
      </x:c>
      <x:c r="Y2095" t="str">
        <x:v>ENH-20260830-01</x:v>
      </x:c>
      <x:c r="Z2095" t="str">
        <x:v>Active</x:v>
      </x:c>
      <x:c r="AA2095"/>
      <x:c r="AB2095"/>
      <x:c r="AC2095"/>
      <x:c r="AD2095"/>
    </x:row>
    <x:row r="2096">
      <x:c r="A2096" t="str">
        <x:v>PCC-PE-KG01-L24-20251025-PM-ORD-2025-00126-S09-C1</x:v>
      </x:c>
      <x:c r="B2096" t="str">
        <x:v>PC-PE-KG01-L24-20251025-PM-ORD-2025-00126-S09</x:v>
      </x:c>
      <x:c r="C2096" t="str">
        <x:v>PE-KG01-L24-20251025-PM-ORD-2025-00126</x:v>
      </x:c>
      <x:c r="D2096" t="str">
        <x:v>KG01</x:v>
      </x:c>
      <x:c r="E2096" s="62" t="n">
        <x:v>45955</x:v>
      </x:c>
      <x:c r="F2096" t="str">
        <x:v>PM</x:v>
      </x:c>
      <x:c r="G2096" t="str">
        <x:v>C</x:v>
      </x:c>
      <x:c r="H2096" t="n">
        <x:v>24</x:v>
      </x:c>
      <x:c r="I2096" t="str">
        <x:v>ORD-2025-00126</x:v>
      </x:c>
      <x:c r="J2096" t="n">
        <x:v>9</x:v>
      </x:c>
      <x:c r="K2096" t="n">
        <x:v>1</x:v>
      </x:c>
      <x:c r="L2096" t="str">
        <x:v>L24-S09-C1</x:v>
      </x:c>
      <x:c r="M2096" t="n">
        <x:v>1</x:v>
      </x:c>
      <x:c r="N2096" t="str">
        <x:v>DerivedFromCount</x:v>
      </x:c>
      <x:c r="O2096" t="str">
        <x:v>PLC-PRD-JAR-720-L24</x:v>
      </x:c>
      <x:c r="P2096" t="str">
        <x:v>OK</x:v>
      </x:c>
      <x:c r="Q2096" t="str">
        <x:v>OK</x:v>
      </x:c>
      <x:c r="R2096" t="str">
        <x:v>OK</x:v>
      </x:c>
      <x:c r="S2096" t="str">
        <x:v>OK</x:v>
      </x:c>
      <x:c r="T2096" t="n">
        <x:v>24</x:v>
      </x:c>
      <x:c r="U2096" t="str">
        <x:v>OK</x:v>
      </x:c>
      <x:c r="V2096" t="str">
        <x:v>OK</x:v>
      </x:c>
      <x:c r="W2096" t="str">
        <x:v>LOAD</x:v>
      </x:c>
      <x:c r="X2096" t="str">
        <x:v>02_Supervisor_Log(4).xlsx</x:v>
      </x:c>
      <x:c r="Y2096" t="str">
        <x:v>ENH-20260830-01</x:v>
      </x:c>
      <x:c r="Z2096" t="str">
        <x:v>Active</x:v>
      </x:c>
      <x:c r="AA2096"/>
      <x:c r="AB2096"/>
      <x:c r="AC2096"/>
      <x:c r="AD2096"/>
    </x:row>
    <x:row r="2097">
      <x:c r="A2097" t="str">
        <x:v>PCC-PE-KG01-L24-20251025-PM-ORD-2025-00126-S09-C2</x:v>
      </x:c>
      <x:c r="B2097" t="str">
        <x:v>PC-PE-KG01-L24-20251025-PM-ORD-2025-00126-S09</x:v>
      </x:c>
      <x:c r="C2097" t="str">
        <x:v>PE-KG01-L24-20251025-PM-ORD-2025-00126</x:v>
      </x:c>
      <x:c r="D2097" t="str">
        <x:v>KG01</x:v>
      </x:c>
      <x:c r="E2097" s="62" t="n">
        <x:v>45955</x:v>
      </x:c>
      <x:c r="F2097" t="str">
        <x:v>PM</x:v>
      </x:c>
      <x:c r="G2097" t="str">
        <x:v>C</x:v>
      </x:c>
      <x:c r="H2097" t="n">
        <x:v>24</x:v>
      </x:c>
      <x:c r="I2097" t="str">
        <x:v>ORD-2025-00126</x:v>
      </x:c>
      <x:c r="J2097" t="n">
        <x:v>9</x:v>
      </x:c>
      <x:c r="K2097" t="n">
        <x:v>2</x:v>
      </x:c>
      <x:c r="L2097" t="str">
        <x:v>L24-S09-C2</x:v>
      </x:c>
      <x:c r="M2097" t="n">
        <x:v>1</x:v>
      </x:c>
      <x:c r="N2097" t="str">
        <x:v>DerivedFromCount</x:v>
      </x:c>
      <x:c r="O2097" t="str">
        <x:v>PLC-PRD-JAR-720-L24</x:v>
      </x:c>
      <x:c r="P2097" t="str">
        <x:v>OK</x:v>
      </x:c>
      <x:c r="Q2097" t="str">
        <x:v>OK</x:v>
      </x:c>
      <x:c r="R2097" t="str">
        <x:v>OK</x:v>
      </x:c>
      <x:c r="S2097" t="str">
        <x:v>OK</x:v>
      </x:c>
      <x:c r="T2097" t="n">
        <x:v>24</x:v>
      </x:c>
      <x:c r="U2097" t="str">
        <x:v>OK</x:v>
      </x:c>
      <x:c r="V2097" t="str">
        <x:v>OK</x:v>
      </x:c>
      <x:c r="W2097" t="str">
        <x:v>LOAD</x:v>
      </x:c>
      <x:c r="X2097" t="str">
        <x:v>02_Supervisor_Log(4).xlsx</x:v>
      </x:c>
      <x:c r="Y2097" t="str">
        <x:v>ENH-20260830-01</x:v>
      </x:c>
      <x:c r="Z2097" t="str">
        <x:v>Active</x:v>
      </x:c>
      <x:c r="AA2097"/>
      <x:c r="AB2097"/>
      <x:c r="AC2097"/>
      <x:c r="AD2097"/>
    </x:row>
    <x:row r="2098">
      <x:c r="A2098" t="str">
        <x:v>PCC-PE-KG01-L24-20251025-PM-ORD-2025-00126-S09-C3</x:v>
      </x:c>
      <x:c r="B2098" t="str">
        <x:v>PC-PE-KG01-L24-20251025-PM-ORD-2025-00126-S09</x:v>
      </x:c>
      <x:c r="C2098" t="str">
        <x:v>PE-KG01-L24-20251025-PM-ORD-2025-00126</x:v>
      </x:c>
      <x:c r="D2098" t="str">
        <x:v>KG01</x:v>
      </x:c>
      <x:c r="E2098" s="62" t="n">
        <x:v>45955</x:v>
      </x:c>
      <x:c r="F2098" t="str">
        <x:v>PM</x:v>
      </x:c>
      <x:c r="G2098" t="str">
        <x:v>C</x:v>
      </x:c>
      <x:c r="H2098" t="n">
        <x:v>24</x:v>
      </x:c>
      <x:c r="I2098" t="str">
        <x:v>ORD-2025-00126</x:v>
      </x:c>
      <x:c r="J2098" t="n">
        <x:v>9</x:v>
      </x:c>
      <x:c r="K2098" t="n">
        <x:v>3</x:v>
      </x:c>
      <x:c r="L2098" t="str">
        <x:v>L24-S09-C3</x:v>
      </x:c>
      <x:c r="M2098" t="n">
        <x:v>0</x:v>
      </x:c>
      <x:c r="N2098" t="str">
        <x:v>DerivedFromCount</x:v>
      </x:c>
      <x:c r="O2098" t="str">
        <x:v>PLC-PRD-JAR-720-L24</x:v>
      </x:c>
      <x:c r="P2098" t="str">
        <x:v>OK</x:v>
      </x:c>
      <x:c r="Q2098" t="str">
        <x:v>OK</x:v>
      </x:c>
      <x:c r="R2098" t="str">
        <x:v>OK</x:v>
      </x:c>
      <x:c r="S2098" t="str">
        <x:v>OK</x:v>
      </x:c>
      <x:c r="T2098" t="n">
        <x:v>24</x:v>
      </x:c>
      <x:c r="U2098" t="str">
        <x:v>OK</x:v>
      </x:c>
      <x:c r="V2098" t="str">
        <x:v>OK</x:v>
      </x:c>
      <x:c r="W2098" t="str">
        <x:v>LOAD</x:v>
      </x:c>
      <x:c r="X2098" t="str">
        <x:v>02_Supervisor_Log(4).xlsx</x:v>
      </x:c>
      <x:c r="Y2098" t="str">
        <x:v>ENH-20260830-01</x:v>
      </x:c>
      <x:c r="Z2098" t="str">
        <x:v>Active</x:v>
      </x:c>
      <x:c r="AA2098"/>
      <x:c r="AB2098"/>
      <x:c r="AC2098"/>
      <x:c r="AD2098"/>
    </x:row>
    <x:row r="2099">
      <x:c r="A2099" t="str">
        <x:v>PCC-PE-KG01-L24-20251025-PM-ORD-2025-00126-S10-C1</x:v>
      </x:c>
      <x:c r="B2099" t="str">
        <x:v>PC-PE-KG01-L24-20251025-PM-ORD-2025-00126-S10</x:v>
      </x:c>
      <x:c r="C2099" t="str">
        <x:v>PE-KG01-L24-20251025-PM-ORD-2025-00126</x:v>
      </x:c>
      <x:c r="D2099" t="str">
        <x:v>KG01</x:v>
      </x:c>
      <x:c r="E2099" s="62" t="n">
        <x:v>45955</x:v>
      </x:c>
      <x:c r="F2099" t="str">
        <x:v>PM</x:v>
      </x:c>
      <x:c r="G2099" t="str">
        <x:v>C</x:v>
      </x:c>
      <x:c r="H2099" t="n">
        <x:v>24</x:v>
      </x:c>
      <x:c r="I2099" t="str">
        <x:v>ORD-2025-00126</x:v>
      </x:c>
      <x:c r="J2099" t="n">
        <x:v>10</x:v>
      </x:c>
      <x:c r="K2099" t="n">
        <x:v>1</x:v>
      </x:c>
      <x:c r="L2099" t="str">
        <x:v>L24-S10-C1</x:v>
      </x:c>
      <x:c r="M2099" t="n">
        <x:v>1</x:v>
      </x:c>
      <x:c r="N2099" t="str">
        <x:v>DerivedFromCount</x:v>
      </x:c>
      <x:c r="O2099" t="str">
        <x:v>PLC-PRD-JAR-720-L24</x:v>
      </x:c>
      <x:c r="P2099" t="str">
        <x:v>OK</x:v>
      </x:c>
      <x:c r="Q2099" t="str">
        <x:v>OK</x:v>
      </x:c>
      <x:c r="R2099" t="str">
        <x:v>OK</x:v>
      </x:c>
      <x:c r="S2099" t="str">
        <x:v>OK</x:v>
      </x:c>
      <x:c r="T2099" t="n">
        <x:v>24</x:v>
      </x:c>
      <x:c r="U2099" t="str">
        <x:v>OK</x:v>
      </x:c>
      <x:c r="V2099" t="str">
        <x:v>OK</x:v>
      </x:c>
      <x:c r="W2099" t="str">
        <x:v>LOAD</x:v>
      </x:c>
      <x:c r="X2099" t="str">
        <x:v>02_Supervisor_Log(4).xlsx</x:v>
      </x:c>
      <x:c r="Y2099" t="str">
        <x:v>ENH-20260830-01</x:v>
      </x:c>
      <x:c r="Z2099" t="str">
        <x:v>Active</x:v>
      </x:c>
      <x:c r="AA2099"/>
      <x:c r="AB2099"/>
      <x:c r="AC2099"/>
      <x:c r="AD2099"/>
    </x:row>
    <x:row r="2100">
      <x:c r="A2100" t="str">
        <x:v>PCC-PE-KG01-L24-20251025-PM-ORD-2025-00126-S10-C2</x:v>
      </x:c>
      <x:c r="B2100" t="str">
        <x:v>PC-PE-KG01-L24-20251025-PM-ORD-2025-00126-S10</x:v>
      </x:c>
      <x:c r="C2100" t="str">
        <x:v>PE-KG01-L24-20251025-PM-ORD-2025-00126</x:v>
      </x:c>
      <x:c r="D2100" t="str">
        <x:v>KG01</x:v>
      </x:c>
      <x:c r="E2100" s="62" t="n">
        <x:v>45955</x:v>
      </x:c>
      <x:c r="F2100" t="str">
        <x:v>PM</x:v>
      </x:c>
      <x:c r="G2100" t="str">
        <x:v>C</x:v>
      </x:c>
      <x:c r="H2100" t="n">
        <x:v>24</x:v>
      </x:c>
      <x:c r="I2100" t="str">
        <x:v>ORD-2025-00126</x:v>
      </x:c>
      <x:c r="J2100" t="n">
        <x:v>10</x:v>
      </x:c>
      <x:c r="K2100" t="n">
        <x:v>2</x:v>
      </x:c>
      <x:c r="L2100" t="str">
        <x:v>L24-S10-C2</x:v>
      </x:c>
      <x:c r="M2100" t="n">
        <x:v>1</x:v>
      </x:c>
      <x:c r="N2100" t="str">
        <x:v>DerivedFromCount</x:v>
      </x:c>
      <x:c r="O2100" t="str">
        <x:v>PLC-PRD-JAR-720-L24</x:v>
      </x:c>
      <x:c r="P2100" t="str">
        <x:v>OK</x:v>
      </x:c>
      <x:c r="Q2100" t="str">
        <x:v>OK</x:v>
      </x:c>
      <x:c r="R2100" t="str">
        <x:v>OK</x:v>
      </x:c>
      <x:c r="S2100" t="str">
        <x:v>OK</x:v>
      </x:c>
      <x:c r="T2100" t="n">
        <x:v>24</x:v>
      </x:c>
      <x:c r="U2100" t="str">
        <x:v>OK</x:v>
      </x:c>
      <x:c r="V2100" t="str">
        <x:v>OK</x:v>
      </x:c>
      <x:c r="W2100" t="str">
        <x:v>LOAD</x:v>
      </x:c>
      <x:c r="X2100" t="str">
        <x:v>02_Supervisor_Log(4).xlsx</x:v>
      </x:c>
      <x:c r="Y2100" t="str">
        <x:v>ENH-20260830-01</x:v>
      </x:c>
      <x:c r="Z2100" t="str">
        <x:v>Active</x:v>
      </x:c>
      <x:c r="AA2100"/>
      <x:c r="AB2100"/>
      <x:c r="AC2100"/>
      <x:c r="AD2100"/>
    </x:row>
    <x:row r="2101">
      <x:c r="A2101" t="str">
        <x:v>PCC-PE-KG01-L24-20251025-PM-ORD-2025-00126-S10-C3</x:v>
      </x:c>
      <x:c r="B2101" t="str">
        <x:v>PC-PE-KG01-L24-20251025-PM-ORD-2025-00126-S10</x:v>
      </x:c>
      <x:c r="C2101" t="str">
        <x:v>PE-KG01-L24-20251025-PM-ORD-2025-00126</x:v>
      </x:c>
      <x:c r="D2101" t="str">
        <x:v>KG01</x:v>
      </x:c>
      <x:c r="E2101" s="62" t="n">
        <x:v>45955</x:v>
      </x:c>
      <x:c r="F2101" t="str">
        <x:v>PM</x:v>
      </x:c>
      <x:c r="G2101" t="str">
        <x:v>C</x:v>
      </x:c>
      <x:c r="H2101" t="n">
        <x:v>24</x:v>
      </x:c>
      <x:c r="I2101" t="str">
        <x:v>ORD-2025-00126</x:v>
      </x:c>
      <x:c r="J2101" t="n">
        <x:v>10</x:v>
      </x:c>
      <x:c r="K2101" t="n">
        <x:v>3</x:v>
      </x:c>
      <x:c r="L2101" t="str">
        <x:v>L24-S10-C3</x:v>
      </x:c>
      <x:c r="M2101" t="n">
        <x:v>0</x:v>
      </x:c>
      <x:c r="N2101" t="str">
        <x:v>DerivedFromCount</x:v>
      </x:c>
      <x:c r="O2101" t="str">
        <x:v>PLC-PRD-JAR-720-L24</x:v>
      </x:c>
      <x:c r="P2101" t="str">
        <x:v>OK</x:v>
      </x:c>
      <x:c r="Q2101" t="str">
        <x:v>OK</x:v>
      </x:c>
      <x:c r="R2101" t="str">
        <x:v>OK</x:v>
      </x:c>
      <x:c r="S2101" t="str">
        <x:v>OK</x:v>
      </x:c>
      <x:c r="T2101" t="n">
        <x:v>24</x:v>
      </x:c>
      <x:c r="U2101" t="str">
        <x:v>OK</x:v>
      </x:c>
      <x:c r="V2101" t="str">
        <x:v>OK</x:v>
      </x:c>
      <x:c r="W2101" t="str">
        <x:v>LOAD</x:v>
      </x:c>
      <x:c r="X2101" t="str">
        <x:v>02_Supervisor_Log(4).xlsx</x:v>
      </x:c>
      <x:c r="Y2101" t="str">
        <x:v>ENH-20260830-01</x:v>
      </x:c>
      <x:c r="Z2101" t="str">
        <x:v>Active</x:v>
      </x:c>
      <x:c r="AA2101"/>
      <x:c r="AB2101"/>
      <x:c r="AC2101"/>
      <x:c r="AD2101"/>
    </x:row>
    <x:row r="2102">
      <x:c r="A2102" t="str">
        <x:v>PCC-PE-KG01-L24-20251025-PM-ORD-2025-00126-S11-C1</x:v>
      </x:c>
      <x:c r="B2102" t="str">
        <x:v>PC-PE-KG01-L24-20251025-PM-ORD-2025-00126-S11</x:v>
      </x:c>
      <x:c r="C2102" t="str">
        <x:v>PE-KG01-L24-20251025-PM-ORD-2025-00126</x:v>
      </x:c>
      <x:c r="D2102" t="str">
        <x:v>KG01</x:v>
      </x:c>
      <x:c r="E2102" s="62" t="n">
        <x:v>45955</x:v>
      </x:c>
      <x:c r="F2102" t="str">
        <x:v>PM</x:v>
      </x:c>
      <x:c r="G2102" t="str">
        <x:v>C</x:v>
      </x:c>
      <x:c r="H2102" t="n">
        <x:v>24</x:v>
      </x:c>
      <x:c r="I2102" t="str">
        <x:v>ORD-2025-00126</x:v>
      </x:c>
      <x:c r="J2102" t="n">
        <x:v>11</x:v>
      </x:c>
      <x:c r="K2102" t="n">
        <x:v>1</x:v>
      </x:c>
      <x:c r="L2102" t="str">
        <x:v>L24-S11-C1</x:v>
      </x:c>
      <x:c r="M2102" t="n">
        <x:v>1</x:v>
      </x:c>
      <x:c r="N2102" t="str">
        <x:v>DerivedFromCount</x:v>
      </x:c>
      <x:c r="O2102" t="str">
        <x:v>PLC-PRD-JAR-720-L24</x:v>
      </x:c>
      <x:c r="P2102" t="str">
        <x:v>OK</x:v>
      </x:c>
      <x:c r="Q2102" t="str">
        <x:v>OK</x:v>
      </x:c>
      <x:c r="R2102" t="str">
        <x:v>OK</x:v>
      </x:c>
      <x:c r="S2102" t="str">
        <x:v>OK</x:v>
      </x:c>
      <x:c r="T2102" t="n">
        <x:v>24</x:v>
      </x:c>
      <x:c r="U2102" t="str">
        <x:v>OK</x:v>
      </x:c>
      <x:c r="V2102" t="str">
        <x:v>OK</x:v>
      </x:c>
      <x:c r="W2102" t="str">
        <x:v>LOAD</x:v>
      </x:c>
      <x:c r="X2102" t="str">
        <x:v>02_Supervisor_Log(4).xlsx</x:v>
      </x:c>
      <x:c r="Y2102" t="str">
        <x:v>ENH-20260830-01</x:v>
      </x:c>
      <x:c r="Z2102" t="str">
        <x:v>Active</x:v>
      </x:c>
      <x:c r="AA2102"/>
      <x:c r="AB2102"/>
      <x:c r="AC2102"/>
      <x:c r="AD2102"/>
    </x:row>
    <x:row r="2103">
      <x:c r="A2103" t="str">
        <x:v>PCC-PE-KG01-L24-20251025-PM-ORD-2025-00126-S11-C2</x:v>
      </x:c>
      <x:c r="B2103" t="str">
        <x:v>PC-PE-KG01-L24-20251025-PM-ORD-2025-00126-S11</x:v>
      </x:c>
      <x:c r="C2103" t="str">
        <x:v>PE-KG01-L24-20251025-PM-ORD-2025-00126</x:v>
      </x:c>
      <x:c r="D2103" t="str">
        <x:v>KG01</x:v>
      </x:c>
      <x:c r="E2103" s="62" t="n">
        <x:v>45955</x:v>
      </x:c>
      <x:c r="F2103" t="str">
        <x:v>PM</x:v>
      </x:c>
      <x:c r="G2103" t="str">
        <x:v>C</x:v>
      </x:c>
      <x:c r="H2103" t="n">
        <x:v>24</x:v>
      </x:c>
      <x:c r="I2103" t="str">
        <x:v>ORD-2025-00126</x:v>
      </x:c>
      <x:c r="J2103" t="n">
        <x:v>11</x:v>
      </x:c>
      <x:c r="K2103" t="n">
        <x:v>2</x:v>
      </x:c>
      <x:c r="L2103" t="str">
        <x:v>L24-S11-C2</x:v>
      </x:c>
      <x:c r="M2103" t="n">
        <x:v>1</x:v>
      </x:c>
      <x:c r="N2103" t="str">
        <x:v>DerivedFromCount</x:v>
      </x:c>
      <x:c r="O2103" t="str">
        <x:v>PLC-PRD-JAR-720-L24</x:v>
      </x:c>
      <x:c r="P2103" t="str">
        <x:v>OK</x:v>
      </x:c>
      <x:c r="Q2103" t="str">
        <x:v>OK</x:v>
      </x:c>
      <x:c r="R2103" t="str">
        <x:v>OK</x:v>
      </x:c>
      <x:c r="S2103" t="str">
        <x:v>OK</x:v>
      </x:c>
      <x:c r="T2103" t="n">
        <x:v>24</x:v>
      </x:c>
      <x:c r="U2103" t="str">
        <x:v>OK</x:v>
      </x:c>
      <x:c r="V2103" t="str">
        <x:v>OK</x:v>
      </x:c>
      <x:c r="W2103" t="str">
        <x:v>LOAD</x:v>
      </x:c>
      <x:c r="X2103" t="str">
        <x:v>02_Supervisor_Log(4).xlsx</x:v>
      </x:c>
      <x:c r="Y2103" t="str">
        <x:v>ENH-20260830-01</x:v>
      </x:c>
      <x:c r="Z2103" t="str">
        <x:v>Active</x:v>
      </x:c>
      <x:c r="AA2103"/>
      <x:c r="AB2103"/>
      <x:c r="AC2103"/>
      <x:c r="AD2103"/>
    </x:row>
    <x:row r="2104">
      <x:c r="A2104" t="str">
        <x:v>PCC-PE-KG01-L24-20251025-PM-ORD-2025-00126-S11-C3</x:v>
      </x:c>
      <x:c r="B2104" t="str">
        <x:v>PC-PE-KG01-L24-20251025-PM-ORD-2025-00126-S11</x:v>
      </x:c>
      <x:c r="C2104" t="str">
        <x:v>PE-KG01-L24-20251025-PM-ORD-2025-00126</x:v>
      </x:c>
      <x:c r="D2104" t="str">
        <x:v>KG01</x:v>
      </x:c>
      <x:c r="E2104" s="62" t="n">
        <x:v>45955</x:v>
      </x:c>
      <x:c r="F2104" t="str">
        <x:v>PM</x:v>
      </x:c>
      <x:c r="G2104" t="str">
        <x:v>C</x:v>
      </x:c>
      <x:c r="H2104" t="n">
        <x:v>24</x:v>
      </x:c>
      <x:c r="I2104" t="str">
        <x:v>ORD-2025-00126</x:v>
      </x:c>
      <x:c r="J2104" t="n">
        <x:v>11</x:v>
      </x:c>
      <x:c r="K2104" t="n">
        <x:v>3</x:v>
      </x:c>
      <x:c r="L2104" t="str">
        <x:v>L24-S11-C3</x:v>
      </x:c>
      <x:c r="M2104" t="n">
        <x:v>0</x:v>
      </x:c>
      <x:c r="N2104" t="str">
        <x:v>DerivedFromCount</x:v>
      </x:c>
      <x:c r="O2104" t="str">
        <x:v>PLC-PRD-JAR-720-L24</x:v>
      </x:c>
      <x:c r="P2104" t="str">
        <x:v>OK</x:v>
      </x:c>
      <x:c r="Q2104" t="str">
        <x:v>OK</x:v>
      </x:c>
      <x:c r="R2104" t="str">
        <x:v>OK</x:v>
      </x:c>
      <x:c r="S2104" t="str">
        <x:v>OK</x:v>
      </x:c>
      <x:c r="T2104" t="n">
        <x:v>24</x:v>
      </x:c>
      <x:c r="U2104" t="str">
        <x:v>OK</x:v>
      </x:c>
      <x:c r="V2104" t="str">
        <x:v>OK</x:v>
      </x:c>
      <x:c r="W2104" t="str">
        <x:v>LOAD</x:v>
      </x:c>
      <x:c r="X2104" t="str">
        <x:v>02_Supervisor_Log(4).xlsx</x:v>
      </x:c>
      <x:c r="Y2104" t="str">
        <x:v>ENH-20260830-01</x:v>
      </x:c>
      <x:c r="Z2104" t="str">
        <x:v>Active</x:v>
      </x:c>
      <x:c r="AA2104"/>
      <x:c r="AB2104"/>
      <x:c r="AC2104"/>
      <x:c r="AD2104"/>
    </x:row>
    <x:row r="2105">
      <x:c r="A2105" t="str">
        <x:v>PCC-PE-KG01-L24-20251025-PM-ORD-2025-00126-S12-C1</x:v>
      </x:c>
      <x:c r="B2105" t="str">
        <x:v>PC-PE-KG01-L24-20251025-PM-ORD-2025-00126-S12</x:v>
      </x:c>
      <x:c r="C2105" t="str">
        <x:v>PE-KG01-L24-20251025-PM-ORD-2025-00126</x:v>
      </x:c>
      <x:c r="D2105" t="str">
        <x:v>KG01</x:v>
      </x:c>
      <x:c r="E2105" s="62" t="n">
        <x:v>45955</x:v>
      </x:c>
      <x:c r="F2105" t="str">
        <x:v>PM</x:v>
      </x:c>
      <x:c r="G2105" t="str">
        <x:v>C</x:v>
      </x:c>
      <x:c r="H2105" t="n">
        <x:v>24</x:v>
      </x:c>
      <x:c r="I2105" t="str">
        <x:v>ORD-2025-00126</x:v>
      </x:c>
      <x:c r="J2105" t="n">
        <x:v>12</x:v>
      </x:c>
      <x:c r="K2105" t="n">
        <x:v>1</x:v>
      </x:c>
      <x:c r="L2105" t="str">
        <x:v>L24-S12-C1</x:v>
      </x:c>
      <x:c r="M2105" t="n">
        <x:v>1</x:v>
      </x:c>
      <x:c r="N2105" t="str">
        <x:v>DerivedFromCount</x:v>
      </x:c>
      <x:c r="O2105" t="str">
        <x:v>PLC-PRD-JAR-720-L24</x:v>
      </x:c>
      <x:c r="P2105" t="str">
        <x:v>OK</x:v>
      </x:c>
      <x:c r="Q2105" t="str">
        <x:v>OK</x:v>
      </x:c>
      <x:c r="R2105" t="str">
        <x:v>OK</x:v>
      </x:c>
      <x:c r="S2105" t="str">
        <x:v>OK</x:v>
      </x:c>
      <x:c r="T2105" t="n">
        <x:v>24</x:v>
      </x:c>
      <x:c r="U2105" t="str">
        <x:v>OK</x:v>
      </x:c>
      <x:c r="V2105" t="str">
        <x:v>OK</x:v>
      </x:c>
      <x:c r="W2105" t="str">
        <x:v>LOAD</x:v>
      </x:c>
      <x:c r="X2105" t="str">
        <x:v>02_Supervisor_Log(4).xlsx</x:v>
      </x:c>
      <x:c r="Y2105" t="str">
        <x:v>ENH-20260830-01</x:v>
      </x:c>
      <x:c r="Z2105" t="str">
        <x:v>Active</x:v>
      </x:c>
      <x:c r="AA2105"/>
      <x:c r="AB2105"/>
      <x:c r="AC2105"/>
      <x:c r="AD2105"/>
    </x:row>
    <x:row r="2106">
      <x:c r="A2106" t="str">
        <x:v>PCC-PE-KG01-L24-20251025-PM-ORD-2025-00126-S12-C2</x:v>
      </x:c>
      <x:c r="B2106" t="str">
        <x:v>PC-PE-KG01-L24-20251025-PM-ORD-2025-00126-S12</x:v>
      </x:c>
      <x:c r="C2106" t="str">
        <x:v>PE-KG01-L24-20251025-PM-ORD-2025-00126</x:v>
      </x:c>
      <x:c r="D2106" t="str">
        <x:v>KG01</x:v>
      </x:c>
      <x:c r="E2106" s="62" t="n">
        <x:v>45955</x:v>
      </x:c>
      <x:c r="F2106" t="str">
        <x:v>PM</x:v>
      </x:c>
      <x:c r="G2106" t="str">
        <x:v>C</x:v>
      </x:c>
      <x:c r="H2106" t="n">
        <x:v>24</x:v>
      </x:c>
      <x:c r="I2106" t="str">
        <x:v>ORD-2025-00126</x:v>
      </x:c>
      <x:c r="J2106" t="n">
        <x:v>12</x:v>
      </x:c>
      <x:c r="K2106" t="n">
        <x:v>2</x:v>
      </x:c>
      <x:c r="L2106" t="str">
        <x:v>L24-S12-C2</x:v>
      </x:c>
      <x:c r="M2106" t="n">
        <x:v>1</x:v>
      </x:c>
      <x:c r="N2106" t="str">
        <x:v>DerivedFromCount</x:v>
      </x:c>
      <x:c r="O2106" t="str">
        <x:v>PLC-PRD-JAR-720-L24</x:v>
      </x:c>
      <x:c r="P2106" t="str">
        <x:v>OK</x:v>
      </x:c>
      <x:c r="Q2106" t="str">
        <x:v>OK</x:v>
      </x:c>
      <x:c r="R2106" t="str">
        <x:v>OK</x:v>
      </x:c>
      <x:c r="S2106" t="str">
        <x:v>OK</x:v>
      </x:c>
      <x:c r="T2106" t="n">
        <x:v>24</x:v>
      </x:c>
      <x:c r="U2106" t="str">
        <x:v>OK</x:v>
      </x:c>
      <x:c r="V2106" t="str">
        <x:v>OK</x:v>
      </x:c>
      <x:c r="W2106" t="str">
        <x:v>LOAD</x:v>
      </x:c>
      <x:c r="X2106" t="str">
        <x:v>02_Supervisor_Log(4).xlsx</x:v>
      </x:c>
      <x:c r="Y2106" t="str">
        <x:v>ENH-20260830-01</x:v>
      </x:c>
      <x:c r="Z2106" t="str">
        <x:v>Active</x:v>
      </x:c>
      <x:c r="AA2106"/>
      <x:c r="AB2106"/>
      <x:c r="AC2106"/>
      <x:c r="AD2106"/>
    </x:row>
    <x:row r="2107">
      <x:c r="A2107" t="str">
        <x:v>PCC-PE-KG01-L24-20251025-PM-ORD-2025-00126-S12-C3</x:v>
      </x:c>
      <x:c r="B2107" t="str">
        <x:v>PC-PE-KG01-L24-20251025-PM-ORD-2025-00126-S12</x:v>
      </x:c>
      <x:c r="C2107" t="str">
        <x:v>PE-KG01-L24-20251025-PM-ORD-2025-00126</x:v>
      </x:c>
      <x:c r="D2107" t="str">
        <x:v>KG01</x:v>
      </x:c>
      <x:c r="E2107" s="62" t="n">
        <x:v>45955</x:v>
      </x:c>
      <x:c r="F2107" t="str">
        <x:v>PM</x:v>
      </x:c>
      <x:c r="G2107" t="str">
        <x:v>C</x:v>
      </x:c>
      <x:c r="H2107" t="n">
        <x:v>24</x:v>
      </x:c>
      <x:c r="I2107" t="str">
        <x:v>ORD-2025-00126</x:v>
      </x:c>
      <x:c r="J2107" t="n">
        <x:v>12</x:v>
      </x:c>
      <x:c r="K2107" t="n">
        <x:v>3</x:v>
      </x:c>
      <x:c r="L2107" t="str">
        <x:v>L24-S12-C3</x:v>
      </x:c>
      <x:c r="M2107" t="n">
        <x:v>0</x:v>
      </x:c>
      <x:c r="N2107" t="str">
        <x:v>DerivedFromCount</x:v>
      </x:c>
      <x:c r="O2107" t="str">
        <x:v>PLC-PRD-JAR-720-L24</x:v>
      </x:c>
      <x:c r="P2107" t="str">
        <x:v>OK</x:v>
      </x:c>
      <x:c r="Q2107" t="str">
        <x:v>OK</x:v>
      </x:c>
      <x:c r="R2107" t="str">
        <x:v>OK</x:v>
      </x:c>
      <x:c r="S2107" t="str">
        <x:v>OK</x:v>
      </x:c>
      <x:c r="T2107" t="n">
        <x:v>24</x:v>
      </x:c>
      <x:c r="U2107" t="str">
        <x:v>OK</x:v>
      </x:c>
      <x:c r="V2107" t="str">
        <x:v>OK</x:v>
      </x:c>
      <x:c r="W2107" t="str">
        <x:v>LOAD</x:v>
      </x:c>
      <x:c r="X2107" t="str">
        <x:v>02_Supervisor_Log(4).xlsx</x:v>
      </x:c>
      <x:c r="Y2107" t="str">
        <x:v>ENH-20260830-01</x:v>
      </x:c>
      <x:c r="Z2107" t="str">
        <x:v>Active</x:v>
      </x:c>
      <x:c r="AA2107"/>
      <x:c r="AB2107"/>
      <x:c r="AC2107"/>
      <x:c r="AD2107"/>
    </x:row>
    <x:row r="2108">
      <x:c r="A2108" t="str">
        <x:v>PCC-PE-KG01-L24-20251025-PM-ORD-2025-00126-S13-C1</x:v>
      </x:c>
      <x:c r="B2108" t="str">
        <x:v>PC-PE-KG01-L24-20251025-PM-ORD-2025-00126-S13</x:v>
      </x:c>
      <x:c r="C2108" t="str">
        <x:v>PE-KG01-L24-20251025-PM-ORD-2025-00126</x:v>
      </x:c>
      <x:c r="D2108" t="str">
        <x:v>KG01</x:v>
      </x:c>
      <x:c r="E2108" s="62" t="n">
        <x:v>45955</x:v>
      </x:c>
      <x:c r="F2108" t="str">
        <x:v>PM</x:v>
      </x:c>
      <x:c r="G2108" t="str">
        <x:v>C</x:v>
      </x:c>
      <x:c r="H2108" t="n">
        <x:v>24</x:v>
      </x:c>
      <x:c r="I2108" t="str">
        <x:v>ORD-2025-00126</x:v>
      </x:c>
      <x:c r="J2108" t="n">
        <x:v>13</x:v>
      </x:c>
      <x:c r="K2108" t="n">
        <x:v>1</x:v>
      </x:c>
      <x:c r="L2108" t="str">
        <x:v>L24-S13-C1</x:v>
      </x:c>
      <x:c r="M2108" t="n">
        <x:v>0</x:v>
      </x:c>
      <x:c r="N2108" t="str">
        <x:v>DerivedFromCount</x:v>
      </x:c>
      <x:c r="O2108" t="str">
        <x:v>PLC-PRD-JAR-720-L24</x:v>
      </x:c>
      <x:c r="P2108" t="str">
        <x:v>OK</x:v>
      </x:c>
      <x:c r="Q2108" t="str">
        <x:v>OK</x:v>
      </x:c>
      <x:c r="R2108" t="str">
        <x:v>OK</x:v>
      </x:c>
      <x:c r="S2108" t="str">
        <x:v>OK</x:v>
      </x:c>
      <x:c r="T2108" t="n">
        <x:v>24</x:v>
      </x:c>
      <x:c r="U2108" t="str">
        <x:v>OK</x:v>
      </x:c>
      <x:c r="V2108" t="str">
        <x:v>OK</x:v>
      </x:c>
      <x:c r="W2108" t="str">
        <x:v>LOAD</x:v>
      </x:c>
      <x:c r="X2108" t="str">
        <x:v>02_Supervisor_Log(4).xlsx</x:v>
      </x:c>
      <x:c r="Y2108" t="str">
        <x:v>ENH-20260830-01</x:v>
      </x:c>
      <x:c r="Z2108" t="str">
        <x:v>Active</x:v>
      </x:c>
      <x:c r="AA2108"/>
      <x:c r="AB2108"/>
      <x:c r="AC2108"/>
      <x:c r="AD2108"/>
    </x:row>
    <x:row r="2109">
      <x:c r="A2109" t="str">
        <x:v>PCC-PE-KG01-L24-20251025-PM-ORD-2025-00126-S13-C2</x:v>
      </x:c>
      <x:c r="B2109" t="str">
        <x:v>PC-PE-KG01-L24-20251025-PM-ORD-2025-00126-S13</x:v>
      </x:c>
      <x:c r="C2109" t="str">
        <x:v>PE-KG01-L24-20251025-PM-ORD-2025-00126</x:v>
      </x:c>
      <x:c r="D2109" t="str">
        <x:v>KG01</x:v>
      </x:c>
      <x:c r="E2109" s="62" t="n">
        <x:v>45955</x:v>
      </x:c>
      <x:c r="F2109" t="str">
        <x:v>PM</x:v>
      </x:c>
      <x:c r="G2109" t="str">
        <x:v>C</x:v>
      </x:c>
      <x:c r="H2109" t="n">
        <x:v>24</x:v>
      </x:c>
      <x:c r="I2109" t="str">
        <x:v>ORD-2025-00126</x:v>
      </x:c>
      <x:c r="J2109" t="n">
        <x:v>13</x:v>
      </x:c>
      <x:c r="K2109" t="n">
        <x:v>2</x:v>
      </x:c>
      <x:c r="L2109" t="str">
        <x:v>L24-S13-C2</x:v>
      </x:c>
      <x:c r="M2109" t="n">
        <x:v>0</x:v>
      </x:c>
      <x:c r="N2109" t="str">
        <x:v>DerivedFromCount</x:v>
      </x:c>
      <x:c r="O2109" t="str">
        <x:v>PLC-PRD-JAR-720-L24</x:v>
      </x:c>
      <x:c r="P2109" t="str">
        <x:v>OK</x:v>
      </x:c>
      <x:c r="Q2109" t="str">
        <x:v>OK</x:v>
      </x:c>
      <x:c r="R2109" t="str">
        <x:v>OK</x:v>
      </x:c>
      <x:c r="S2109" t="str">
        <x:v>OK</x:v>
      </x:c>
      <x:c r="T2109" t="n">
        <x:v>24</x:v>
      </x:c>
      <x:c r="U2109" t="str">
        <x:v>OK</x:v>
      </x:c>
      <x:c r="V2109" t="str">
        <x:v>OK</x:v>
      </x:c>
      <x:c r="W2109" t="str">
        <x:v>LOAD</x:v>
      </x:c>
      <x:c r="X2109" t="str">
        <x:v>02_Supervisor_Log(4).xlsx</x:v>
      </x:c>
      <x:c r="Y2109" t="str">
        <x:v>ENH-20260830-01</x:v>
      </x:c>
      <x:c r="Z2109" t="str">
        <x:v>Active</x:v>
      </x:c>
      <x:c r="AA2109"/>
      <x:c r="AB2109"/>
      <x:c r="AC2109"/>
      <x:c r="AD2109"/>
    </x:row>
    <x:row r="2110">
      <x:c r="A2110" t="str">
        <x:v>PCC-PE-KG01-L24-20251025-PM-ORD-2025-00126-S13-C3</x:v>
      </x:c>
      <x:c r="B2110" t="str">
        <x:v>PC-PE-KG01-L24-20251025-PM-ORD-2025-00126-S13</x:v>
      </x:c>
      <x:c r="C2110" t="str">
        <x:v>PE-KG01-L24-20251025-PM-ORD-2025-00126</x:v>
      </x:c>
      <x:c r="D2110" t="str">
        <x:v>KG01</x:v>
      </x:c>
      <x:c r="E2110" s="62" t="n">
        <x:v>45955</x:v>
      </x:c>
      <x:c r="F2110" t="str">
        <x:v>PM</x:v>
      </x:c>
      <x:c r="G2110" t="str">
        <x:v>C</x:v>
      </x:c>
      <x:c r="H2110" t="n">
        <x:v>24</x:v>
      </x:c>
      <x:c r="I2110" t="str">
        <x:v>ORD-2025-00126</x:v>
      </x:c>
      <x:c r="J2110" t="n">
        <x:v>13</x:v>
      </x:c>
      <x:c r="K2110" t="n">
        <x:v>3</x:v>
      </x:c>
      <x:c r="L2110" t="str">
        <x:v>L24-S13-C3</x:v>
      </x:c>
      <x:c r="M2110" t="n">
        <x:v>0</x:v>
      </x:c>
      <x:c r="N2110" t="str">
        <x:v>DerivedFromCount</x:v>
      </x:c>
      <x:c r="O2110" t="str">
        <x:v>PLC-PRD-JAR-720-L24</x:v>
      </x:c>
      <x:c r="P2110" t="str">
        <x:v>OK</x:v>
      </x:c>
      <x:c r="Q2110" t="str">
        <x:v>OK</x:v>
      </x:c>
      <x:c r="R2110" t="str">
        <x:v>OK</x:v>
      </x:c>
      <x:c r="S2110" t="str">
        <x:v>OK</x:v>
      </x:c>
      <x:c r="T2110" t="n">
        <x:v>24</x:v>
      </x:c>
      <x:c r="U2110" t="str">
        <x:v>OK</x:v>
      </x:c>
      <x:c r="V2110" t="str">
        <x:v>OK</x:v>
      </x:c>
      <x:c r="W2110" t="str">
        <x:v>LOAD</x:v>
      </x:c>
      <x:c r="X2110" t="str">
        <x:v>02_Supervisor_Log(4).xlsx</x:v>
      </x:c>
      <x:c r="Y2110" t="str">
        <x:v>ENH-20260830-01</x:v>
      </x:c>
      <x:c r="Z2110" t="str">
        <x:v>Active</x:v>
      </x:c>
      <x:c r="AA2110"/>
      <x:c r="AB2110"/>
      <x:c r="AC2110"/>
      <x:c r="AD2110"/>
    </x:row>
    <x:row r="2111">
      <x:c r="A2111" t="str">
        <x:v>PCC-PE-KG01-L24-20251026-AM-ORD-2025-00126-S01-C1</x:v>
      </x:c>
      <x:c r="B2111" t="str">
        <x:v>PC-PE-KG01-L24-20251026-AM-ORD-2025-00126-S01</x:v>
      </x:c>
      <x:c r="C2111" t="str">
        <x:v>PE-KG01-L24-20251026-AM-ORD-2025-00126</x:v>
      </x:c>
      <x:c r="D2111" t="str">
        <x:v>KG01</x:v>
      </x:c>
      <x:c r="E2111" s="62" t="n">
        <x:v>45956</x:v>
      </x:c>
      <x:c r="F2111" t="str">
        <x:v>AM</x:v>
      </x:c>
      <x:c r="G2111" t="str">
        <x:v>C</x:v>
      </x:c>
      <x:c r="H2111" t="n">
        <x:v>24</x:v>
      </x:c>
      <x:c r="I2111" t="str">
        <x:v>ORD-2025-00126</x:v>
      </x:c>
      <x:c r="J2111" t="n">
        <x:v>1</x:v>
      </x:c>
      <x:c r="K2111" t="n">
        <x:v>1</x:v>
      </x:c>
      <x:c r="L2111" t="str">
        <x:v>L24-S01-C1</x:v>
      </x:c>
      <x:c r="M2111" t="n">
        <x:v>1</x:v>
      </x:c>
      <x:c r="N2111" t="str">
        <x:v>DerivedFromCount</x:v>
      </x:c>
      <x:c r="O2111" t="str">
        <x:v>PLC-PRD-JAR-720-L24</x:v>
      </x:c>
      <x:c r="P2111" t="str">
        <x:v>OK</x:v>
      </x:c>
      <x:c r="Q2111" t="str">
        <x:v>OK</x:v>
      </x:c>
      <x:c r="R2111" t="str">
        <x:v>OK</x:v>
      </x:c>
      <x:c r="S2111" t="str">
        <x:v>OK</x:v>
      </x:c>
      <x:c r="T2111" t="n">
        <x:v>24</x:v>
      </x:c>
      <x:c r="U2111" t="str">
        <x:v>OK</x:v>
      </x:c>
      <x:c r="V2111" t="str">
        <x:v>OK</x:v>
      </x:c>
      <x:c r="W2111" t="str">
        <x:v>LOAD</x:v>
      </x:c>
      <x:c r="X2111" t="str">
        <x:v>02_Supervisor_Log(4).xlsx</x:v>
      </x:c>
      <x:c r="Y2111" t="str">
        <x:v>ENH-20260830-01</x:v>
      </x:c>
      <x:c r="Z2111" t="str">
        <x:v>Active</x:v>
      </x:c>
      <x:c r="AA2111"/>
      <x:c r="AB2111"/>
      <x:c r="AC2111"/>
      <x:c r="AD2111"/>
    </x:row>
    <x:row r="2112">
      <x:c r="A2112" t="str">
        <x:v>PCC-PE-KG01-L24-20251026-AM-ORD-2025-00126-S01-C2</x:v>
      </x:c>
      <x:c r="B2112" t="str">
        <x:v>PC-PE-KG01-L24-20251026-AM-ORD-2025-00126-S01</x:v>
      </x:c>
      <x:c r="C2112" t="str">
        <x:v>PE-KG01-L24-20251026-AM-ORD-2025-00126</x:v>
      </x:c>
      <x:c r="D2112" t="str">
        <x:v>KG01</x:v>
      </x:c>
      <x:c r="E2112" s="62" t="n">
        <x:v>45956</x:v>
      </x:c>
      <x:c r="F2112" t="str">
        <x:v>AM</x:v>
      </x:c>
      <x:c r="G2112" t="str">
        <x:v>C</x:v>
      </x:c>
      <x:c r="H2112" t="n">
        <x:v>24</x:v>
      </x:c>
      <x:c r="I2112" t="str">
        <x:v>ORD-2025-00126</x:v>
      </x:c>
      <x:c r="J2112" t="n">
        <x:v>1</x:v>
      </x:c>
      <x:c r="K2112" t="n">
        <x:v>2</x:v>
      </x:c>
      <x:c r="L2112" t="str">
        <x:v>L24-S01-C2</x:v>
      </x:c>
      <x:c r="M2112" t="n">
        <x:v>1</x:v>
      </x:c>
      <x:c r="N2112" t="str">
        <x:v>DerivedFromCount</x:v>
      </x:c>
      <x:c r="O2112" t="str">
        <x:v>PLC-PRD-JAR-720-L24</x:v>
      </x:c>
      <x:c r="P2112" t="str">
        <x:v>OK</x:v>
      </x:c>
      <x:c r="Q2112" t="str">
        <x:v>OK</x:v>
      </x:c>
      <x:c r="R2112" t="str">
        <x:v>OK</x:v>
      </x:c>
      <x:c r="S2112" t="str">
        <x:v>OK</x:v>
      </x:c>
      <x:c r="T2112" t="n">
        <x:v>24</x:v>
      </x:c>
      <x:c r="U2112" t="str">
        <x:v>OK</x:v>
      </x:c>
      <x:c r="V2112" t="str">
        <x:v>OK</x:v>
      </x:c>
      <x:c r="W2112" t="str">
        <x:v>LOAD</x:v>
      </x:c>
      <x:c r="X2112" t="str">
        <x:v>02_Supervisor_Log(4).xlsx</x:v>
      </x:c>
      <x:c r="Y2112" t="str">
        <x:v>ENH-20260830-01</x:v>
      </x:c>
      <x:c r="Z2112" t="str">
        <x:v>Active</x:v>
      </x:c>
      <x:c r="AA2112"/>
      <x:c r="AB2112"/>
      <x:c r="AC2112"/>
      <x:c r="AD2112"/>
    </x:row>
    <x:row r="2113">
      <x:c r="A2113" t="str">
        <x:v>PCC-PE-KG01-L24-20251026-AM-ORD-2025-00126-S01-C3</x:v>
      </x:c>
      <x:c r="B2113" t="str">
        <x:v>PC-PE-KG01-L24-20251026-AM-ORD-2025-00126-S01</x:v>
      </x:c>
      <x:c r="C2113" t="str">
        <x:v>PE-KG01-L24-20251026-AM-ORD-2025-00126</x:v>
      </x:c>
      <x:c r="D2113" t="str">
        <x:v>KG01</x:v>
      </x:c>
      <x:c r="E2113" s="62" t="n">
        <x:v>45956</x:v>
      </x:c>
      <x:c r="F2113" t="str">
        <x:v>AM</x:v>
      </x:c>
      <x:c r="G2113" t="str">
        <x:v>C</x:v>
      </x:c>
      <x:c r="H2113" t="n">
        <x:v>24</x:v>
      </x:c>
      <x:c r="I2113" t="str">
        <x:v>ORD-2025-00126</x:v>
      </x:c>
      <x:c r="J2113" t="n">
        <x:v>1</x:v>
      </x:c>
      <x:c r="K2113" t="n">
        <x:v>3</x:v>
      </x:c>
      <x:c r="L2113" t="str">
        <x:v>L24-S01-C3</x:v>
      </x:c>
      <x:c r="M2113" t="n">
        <x:v>0</x:v>
      </x:c>
      <x:c r="N2113" t="str">
        <x:v>DerivedFromCount</x:v>
      </x:c>
      <x:c r="O2113" t="str">
        <x:v>PLC-PRD-JAR-720-L24</x:v>
      </x:c>
      <x:c r="P2113" t="str">
        <x:v>OK</x:v>
      </x:c>
      <x:c r="Q2113" t="str">
        <x:v>OK</x:v>
      </x:c>
      <x:c r="R2113" t="str">
        <x:v>OK</x:v>
      </x:c>
      <x:c r="S2113" t="str">
        <x:v>OK</x:v>
      </x:c>
      <x:c r="T2113" t="n">
        <x:v>24</x:v>
      </x:c>
      <x:c r="U2113" t="str">
        <x:v>OK</x:v>
      </x:c>
      <x:c r="V2113" t="str">
        <x:v>OK</x:v>
      </x:c>
      <x:c r="W2113" t="str">
        <x:v>LOAD</x:v>
      </x:c>
      <x:c r="X2113" t="str">
        <x:v>02_Supervisor_Log(4).xlsx</x:v>
      </x:c>
      <x:c r="Y2113" t="str">
        <x:v>ENH-20260830-01</x:v>
      </x:c>
      <x:c r="Z2113" t="str">
        <x:v>Active</x:v>
      </x:c>
      <x:c r="AA2113"/>
      <x:c r="AB2113"/>
      <x:c r="AC2113"/>
      <x:c r="AD2113"/>
    </x:row>
    <x:row r="2114">
      <x:c r="A2114" t="str">
        <x:v>PCC-PE-KG01-L24-20251026-AM-ORD-2025-00126-S02-C1</x:v>
      </x:c>
      <x:c r="B2114" t="str">
        <x:v>PC-PE-KG01-L24-20251026-AM-ORD-2025-00126-S02</x:v>
      </x:c>
      <x:c r="C2114" t="str">
        <x:v>PE-KG01-L24-20251026-AM-ORD-2025-00126</x:v>
      </x:c>
      <x:c r="D2114" t="str">
        <x:v>KG01</x:v>
      </x:c>
      <x:c r="E2114" s="62" t="n">
        <x:v>45956</x:v>
      </x:c>
      <x:c r="F2114" t="str">
        <x:v>AM</x:v>
      </x:c>
      <x:c r="G2114" t="str">
        <x:v>C</x:v>
      </x:c>
      <x:c r="H2114" t="n">
        <x:v>24</x:v>
      </x:c>
      <x:c r="I2114" t="str">
        <x:v>ORD-2025-00126</x:v>
      </x:c>
      <x:c r="J2114" t="n">
        <x:v>2</x:v>
      </x:c>
      <x:c r="K2114" t="n">
        <x:v>1</x:v>
      </x:c>
      <x:c r="L2114" t="str">
        <x:v>L24-S02-C1</x:v>
      </x:c>
      <x:c r="M2114" t="n">
        <x:v>1</x:v>
      </x:c>
      <x:c r="N2114" t="str">
        <x:v>DerivedFromCount</x:v>
      </x:c>
      <x:c r="O2114" t="str">
        <x:v>PLC-PRD-JAR-720-L24</x:v>
      </x:c>
      <x:c r="P2114" t="str">
        <x:v>OK</x:v>
      </x:c>
      <x:c r="Q2114" t="str">
        <x:v>OK</x:v>
      </x:c>
      <x:c r="R2114" t="str">
        <x:v>OK</x:v>
      </x:c>
      <x:c r="S2114" t="str">
        <x:v>OK</x:v>
      </x:c>
      <x:c r="T2114" t="n">
        <x:v>24</x:v>
      </x:c>
      <x:c r="U2114" t="str">
        <x:v>OK</x:v>
      </x:c>
      <x:c r="V2114" t="str">
        <x:v>OK</x:v>
      </x:c>
      <x:c r="W2114" t="str">
        <x:v>LOAD</x:v>
      </x:c>
      <x:c r="X2114" t="str">
        <x:v>02_Supervisor_Log(4).xlsx</x:v>
      </x:c>
      <x:c r="Y2114" t="str">
        <x:v>ENH-20260830-01</x:v>
      </x:c>
      <x:c r="Z2114" t="str">
        <x:v>Active</x:v>
      </x:c>
      <x:c r="AA2114"/>
      <x:c r="AB2114"/>
      <x:c r="AC2114"/>
      <x:c r="AD2114"/>
    </x:row>
    <x:row r="2115">
      <x:c r="A2115" t="str">
        <x:v>PCC-PE-KG01-L24-20251026-AM-ORD-2025-00126-S02-C2</x:v>
      </x:c>
      <x:c r="B2115" t="str">
        <x:v>PC-PE-KG01-L24-20251026-AM-ORD-2025-00126-S02</x:v>
      </x:c>
      <x:c r="C2115" t="str">
        <x:v>PE-KG01-L24-20251026-AM-ORD-2025-00126</x:v>
      </x:c>
      <x:c r="D2115" t="str">
        <x:v>KG01</x:v>
      </x:c>
      <x:c r="E2115" s="62" t="n">
        <x:v>45956</x:v>
      </x:c>
      <x:c r="F2115" t="str">
        <x:v>AM</x:v>
      </x:c>
      <x:c r="G2115" t="str">
        <x:v>C</x:v>
      </x:c>
      <x:c r="H2115" t="n">
        <x:v>24</x:v>
      </x:c>
      <x:c r="I2115" t="str">
        <x:v>ORD-2025-00126</x:v>
      </x:c>
      <x:c r="J2115" t="n">
        <x:v>2</x:v>
      </x:c>
      <x:c r="K2115" t="n">
        <x:v>2</x:v>
      </x:c>
      <x:c r="L2115" t="str">
        <x:v>L24-S02-C2</x:v>
      </x:c>
      <x:c r="M2115" t="n">
        <x:v>1</x:v>
      </x:c>
      <x:c r="N2115" t="str">
        <x:v>DerivedFromCount</x:v>
      </x:c>
      <x:c r="O2115" t="str">
        <x:v>PLC-PRD-JAR-720-L24</x:v>
      </x:c>
      <x:c r="P2115" t="str">
        <x:v>OK</x:v>
      </x:c>
      <x:c r="Q2115" t="str">
        <x:v>OK</x:v>
      </x:c>
      <x:c r="R2115" t="str">
        <x:v>OK</x:v>
      </x:c>
      <x:c r="S2115" t="str">
        <x:v>OK</x:v>
      </x:c>
      <x:c r="T2115" t="n">
        <x:v>24</x:v>
      </x:c>
      <x:c r="U2115" t="str">
        <x:v>OK</x:v>
      </x:c>
      <x:c r="V2115" t="str">
        <x:v>OK</x:v>
      </x:c>
      <x:c r="W2115" t="str">
        <x:v>LOAD</x:v>
      </x:c>
      <x:c r="X2115" t="str">
        <x:v>02_Supervisor_Log(4).xlsx</x:v>
      </x:c>
      <x:c r="Y2115" t="str">
        <x:v>ENH-20260830-01</x:v>
      </x:c>
      <x:c r="Z2115" t="str">
        <x:v>Active</x:v>
      </x:c>
      <x:c r="AA2115"/>
      <x:c r="AB2115"/>
      <x:c r="AC2115"/>
      <x:c r="AD2115"/>
    </x:row>
    <x:row r="2116">
      <x:c r="A2116" t="str">
        <x:v>PCC-PE-KG01-L24-20251026-AM-ORD-2025-00126-S02-C3</x:v>
      </x:c>
      <x:c r="B2116" t="str">
        <x:v>PC-PE-KG01-L24-20251026-AM-ORD-2025-00126-S02</x:v>
      </x:c>
      <x:c r="C2116" t="str">
        <x:v>PE-KG01-L24-20251026-AM-ORD-2025-00126</x:v>
      </x:c>
      <x:c r="D2116" t="str">
        <x:v>KG01</x:v>
      </x:c>
      <x:c r="E2116" s="62" t="n">
        <x:v>45956</x:v>
      </x:c>
      <x:c r="F2116" t="str">
        <x:v>AM</x:v>
      </x:c>
      <x:c r="G2116" t="str">
        <x:v>C</x:v>
      </x:c>
      <x:c r="H2116" t="n">
        <x:v>24</x:v>
      </x:c>
      <x:c r="I2116" t="str">
        <x:v>ORD-2025-00126</x:v>
      </x:c>
      <x:c r="J2116" t="n">
        <x:v>2</x:v>
      </x:c>
      <x:c r="K2116" t="n">
        <x:v>3</x:v>
      </x:c>
      <x:c r="L2116" t="str">
        <x:v>L24-S02-C3</x:v>
      </x:c>
      <x:c r="M2116" t="n">
        <x:v>0</x:v>
      </x:c>
      <x:c r="N2116" t="str">
        <x:v>DerivedFromCount</x:v>
      </x:c>
      <x:c r="O2116" t="str">
        <x:v>PLC-PRD-JAR-720-L24</x:v>
      </x:c>
      <x:c r="P2116" t="str">
        <x:v>OK</x:v>
      </x:c>
      <x:c r="Q2116" t="str">
        <x:v>OK</x:v>
      </x:c>
      <x:c r="R2116" t="str">
        <x:v>OK</x:v>
      </x:c>
      <x:c r="S2116" t="str">
        <x:v>OK</x:v>
      </x:c>
      <x:c r="T2116" t="n">
        <x:v>24</x:v>
      </x:c>
      <x:c r="U2116" t="str">
        <x:v>OK</x:v>
      </x:c>
      <x:c r="V2116" t="str">
        <x:v>OK</x:v>
      </x:c>
      <x:c r="W2116" t="str">
        <x:v>LOAD</x:v>
      </x:c>
      <x:c r="X2116" t="str">
        <x:v>02_Supervisor_Log(4).xlsx</x:v>
      </x:c>
      <x:c r="Y2116" t="str">
        <x:v>ENH-20260830-01</x:v>
      </x:c>
      <x:c r="Z2116" t="str">
        <x:v>Active</x:v>
      </x:c>
      <x:c r="AA2116"/>
      <x:c r="AB2116"/>
      <x:c r="AC2116"/>
      <x:c r="AD2116"/>
    </x:row>
    <x:row r="2117">
      <x:c r="A2117" t="str">
        <x:v>PCC-PE-KG01-L24-20251026-AM-ORD-2025-00126-S03-C1</x:v>
      </x:c>
      <x:c r="B2117" t="str">
        <x:v>PC-PE-KG01-L24-20251026-AM-ORD-2025-00126-S03</x:v>
      </x:c>
      <x:c r="C2117" t="str">
        <x:v>PE-KG01-L24-20251026-AM-ORD-2025-00126</x:v>
      </x:c>
      <x:c r="D2117" t="str">
        <x:v>KG01</x:v>
      </x:c>
      <x:c r="E2117" s="62" t="n">
        <x:v>45956</x:v>
      </x:c>
      <x:c r="F2117" t="str">
        <x:v>AM</x:v>
      </x:c>
      <x:c r="G2117" t="str">
        <x:v>C</x:v>
      </x:c>
      <x:c r="H2117" t="n">
        <x:v>24</x:v>
      </x:c>
      <x:c r="I2117" t="str">
        <x:v>ORD-2025-00126</x:v>
      </x:c>
      <x:c r="J2117" t="n">
        <x:v>3</x:v>
      </x:c>
      <x:c r="K2117" t="n">
        <x:v>1</x:v>
      </x:c>
      <x:c r="L2117" t="str">
        <x:v>L24-S03-C1</x:v>
      </x:c>
      <x:c r="M2117" t="n">
        <x:v>1</x:v>
      </x:c>
      <x:c r="N2117" t="str">
        <x:v>DerivedFromCount</x:v>
      </x:c>
      <x:c r="O2117" t="str">
        <x:v>PLC-PRD-JAR-720-L24</x:v>
      </x:c>
      <x:c r="P2117" t="str">
        <x:v>OK</x:v>
      </x:c>
      <x:c r="Q2117" t="str">
        <x:v>OK</x:v>
      </x:c>
      <x:c r="R2117" t="str">
        <x:v>OK</x:v>
      </x:c>
      <x:c r="S2117" t="str">
        <x:v>OK</x:v>
      </x:c>
      <x:c r="T2117" t="n">
        <x:v>24</x:v>
      </x:c>
      <x:c r="U2117" t="str">
        <x:v>OK</x:v>
      </x:c>
      <x:c r="V2117" t="str">
        <x:v>OK</x:v>
      </x:c>
      <x:c r="W2117" t="str">
        <x:v>LOAD</x:v>
      </x:c>
      <x:c r="X2117" t="str">
        <x:v>02_Supervisor_Log(4).xlsx</x:v>
      </x:c>
      <x:c r="Y2117" t="str">
        <x:v>ENH-20260830-01</x:v>
      </x:c>
      <x:c r="Z2117" t="str">
        <x:v>Active</x:v>
      </x:c>
      <x:c r="AA2117"/>
      <x:c r="AB2117"/>
      <x:c r="AC2117"/>
      <x:c r="AD2117"/>
    </x:row>
    <x:row r="2118">
      <x:c r="A2118" t="str">
        <x:v>PCC-PE-KG01-L24-20251026-AM-ORD-2025-00126-S03-C2</x:v>
      </x:c>
      <x:c r="B2118" t="str">
        <x:v>PC-PE-KG01-L24-20251026-AM-ORD-2025-00126-S03</x:v>
      </x:c>
      <x:c r="C2118" t="str">
        <x:v>PE-KG01-L24-20251026-AM-ORD-2025-00126</x:v>
      </x:c>
      <x:c r="D2118" t="str">
        <x:v>KG01</x:v>
      </x:c>
      <x:c r="E2118" s="62" t="n">
        <x:v>45956</x:v>
      </x:c>
      <x:c r="F2118" t="str">
        <x:v>AM</x:v>
      </x:c>
      <x:c r="G2118" t="str">
        <x:v>C</x:v>
      </x:c>
      <x:c r="H2118" t="n">
        <x:v>24</x:v>
      </x:c>
      <x:c r="I2118" t="str">
        <x:v>ORD-2025-00126</x:v>
      </x:c>
      <x:c r="J2118" t="n">
        <x:v>3</x:v>
      </x:c>
      <x:c r="K2118" t="n">
        <x:v>2</x:v>
      </x:c>
      <x:c r="L2118" t="str">
        <x:v>L24-S03-C2</x:v>
      </x:c>
      <x:c r="M2118" t="n">
        <x:v>1</x:v>
      </x:c>
      <x:c r="N2118" t="str">
        <x:v>DerivedFromCount</x:v>
      </x:c>
      <x:c r="O2118" t="str">
        <x:v>PLC-PRD-JAR-720-L24</x:v>
      </x:c>
      <x:c r="P2118" t="str">
        <x:v>OK</x:v>
      </x:c>
      <x:c r="Q2118" t="str">
        <x:v>OK</x:v>
      </x:c>
      <x:c r="R2118" t="str">
        <x:v>OK</x:v>
      </x:c>
      <x:c r="S2118" t="str">
        <x:v>OK</x:v>
      </x:c>
      <x:c r="T2118" t="n">
        <x:v>24</x:v>
      </x:c>
      <x:c r="U2118" t="str">
        <x:v>OK</x:v>
      </x:c>
      <x:c r="V2118" t="str">
        <x:v>OK</x:v>
      </x:c>
      <x:c r="W2118" t="str">
        <x:v>LOAD</x:v>
      </x:c>
      <x:c r="X2118" t="str">
        <x:v>02_Supervisor_Log(4).xlsx</x:v>
      </x:c>
      <x:c r="Y2118" t="str">
        <x:v>ENH-20260830-01</x:v>
      </x:c>
      <x:c r="Z2118" t="str">
        <x:v>Active</x:v>
      </x:c>
      <x:c r="AA2118"/>
      <x:c r="AB2118"/>
      <x:c r="AC2118"/>
      <x:c r="AD2118"/>
    </x:row>
    <x:row r="2119">
      <x:c r="A2119" t="str">
        <x:v>PCC-PE-KG01-L24-20251026-AM-ORD-2025-00126-S03-C3</x:v>
      </x:c>
      <x:c r="B2119" t="str">
        <x:v>PC-PE-KG01-L24-20251026-AM-ORD-2025-00126-S03</x:v>
      </x:c>
      <x:c r="C2119" t="str">
        <x:v>PE-KG01-L24-20251026-AM-ORD-2025-00126</x:v>
      </x:c>
      <x:c r="D2119" t="str">
        <x:v>KG01</x:v>
      </x:c>
      <x:c r="E2119" s="62" t="n">
        <x:v>45956</x:v>
      </x:c>
      <x:c r="F2119" t="str">
        <x:v>AM</x:v>
      </x:c>
      <x:c r="G2119" t="str">
        <x:v>C</x:v>
      </x:c>
      <x:c r="H2119" t="n">
        <x:v>24</x:v>
      </x:c>
      <x:c r="I2119" t="str">
        <x:v>ORD-2025-00126</x:v>
      </x:c>
      <x:c r="J2119" t="n">
        <x:v>3</x:v>
      </x:c>
      <x:c r="K2119" t="n">
        <x:v>3</x:v>
      </x:c>
      <x:c r="L2119" t="str">
        <x:v>L24-S03-C3</x:v>
      </x:c>
      <x:c r="M2119" t="n">
        <x:v>0</x:v>
      </x:c>
      <x:c r="N2119" t="str">
        <x:v>DerivedFromCount</x:v>
      </x:c>
      <x:c r="O2119" t="str">
        <x:v>PLC-PRD-JAR-720-L24</x:v>
      </x:c>
      <x:c r="P2119" t="str">
        <x:v>OK</x:v>
      </x:c>
      <x:c r="Q2119" t="str">
        <x:v>OK</x:v>
      </x:c>
      <x:c r="R2119" t="str">
        <x:v>OK</x:v>
      </x:c>
      <x:c r="S2119" t="str">
        <x:v>OK</x:v>
      </x:c>
      <x:c r="T2119" t="n">
        <x:v>24</x:v>
      </x:c>
      <x:c r="U2119" t="str">
        <x:v>OK</x:v>
      </x:c>
      <x:c r="V2119" t="str">
        <x:v>OK</x:v>
      </x:c>
      <x:c r="W2119" t="str">
        <x:v>LOAD</x:v>
      </x:c>
      <x:c r="X2119" t="str">
        <x:v>02_Supervisor_Log(4).xlsx</x:v>
      </x:c>
      <x:c r="Y2119" t="str">
        <x:v>ENH-20260830-01</x:v>
      </x:c>
      <x:c r="Z2119" t="str">
        <x:v>Active</x:v>
      </x:c>
      <x:c r="AA2119"/>
      <x:c r="AB2119"/>
      <x:c r="AC2119"/>
      <x:c r="AD2119"/>
    </x:row>
    <x:row r="2120">
      <x:c r="A2120" t="str">
        <x:v>PCC-PE-KG01-L24-20251026-AM-ORD-2025-00126-S04-C1</x:v>
      </x:c>
      <x:c r="B2120" t="str">
        <x:v>PC-PE-KG01-L24-20251026-AM-ORD-2025-00126-S04</x:v>
      </x:c>
      <x:c r="C2120" t="str">
        <x:v>PE-KG01-L24-20251026-AM-ORD-2025-00126</x:v>
      </x:c>
      <x:c r="D2120" t="str">
        <x:v>KG01</x:v>
      </x:c>
      <x:c r="E2120" s="62" t="n">
        <x:v>45956</x:v>
      </x:c>
      <x:c r="F2120" t="str">
        <x:v>AM</x:v>
      </x:c>
      <x:c r="G2120" t="str">
        <x:v>C</x:v>
      </x:c>
      <x:c r="H2120" t="n">
        <x:v>24</x:v>
      </x:c>
      <x:c r="I2120" t="str">
        <x:v>ORD-2025-00126</x:v>
      </x:c>
      <x:c r="J2120" t="n">
        <x:v>4</x:v>
      </x:c>
      <x:c r="K2120" t="n">
        <x:v>1</x:v>
      </x:c>
      <x:c r="L2120" t="str">
        <x:v>L24-S04-C1</x:v>
      </x:c>
      <x:c r="M2120" t="n">
        <x:v>1</x:v>
      </x:c>
      <x:c r="N2120" t="str">
        <x:v>DerivedFromCount</x:v>
      </x:c>
      <x:c r="O2120" t="str">
        <x:v>PLC-PRD-JAR-720-L24</x:v>
      </x:c>
      <x:c r="P2120" t="str">
        <x:v>OK</x:v>
      </x:c>
      <x:c r="Q2120" t="str">
        <x:v>OK</x:v>
      </x:c>
      <x:c r="R2120" t="str">
        <x:v>OK</x:v>
      </x:c>
      <x:c r="S2120" t="str">
        <x:v>OK</x:v>
      </x:c>
      <x:c r="T2120" t="n">
        <x:v>24</x:v>
      </x:c>
      <x:c r="U2120" t="str">
        <x:v>OK</x:v>
      </x:c>
      <x:c r="V2120" t="str">
        <x:v>OK</x:v>
      </x:c>
      <x:c r="W2120" t="str">
        <x:v>LOAD</x:v>
      </x:c>
      <x:c r="X2120" t="str">
        <x:v>02_Supervisor_Log(4).xlsx</x:v>
      </x:c>
      <x:c r="Y2120" t="str">
        <x:v>ENH-20260830-01</x:v>
      </x:c>
      <x:c r="Z2120" t="str">
        <x:v>Active</x:v>
      </x:c>
      <x:c r="AA2120"/>
      <x:c r="AB2120"/>
      <x:c r="AC2120"/>
      <x:c r="AD2120"/>
    </x:row>
    <x:row r="2121">
      <x:c r="A2121" t="str">
        <x:v>PCC-PE-KG01-L24-20251026-AM-ORD-2025-00126-S04-C2</x:v>
      </x:c>
      <x:c r="B2121" t="str">
        <x:v>PC-PE-KG01-L24-20251026-AM-ORD-2025-00126-S04</x:v>
      </x:c>
      <x:c r="C2121" t="str">
        <x:v>PE-KG01-L24-20251026-AM-ORD-2025-00126</x:v>
      </x:c>
      <x:c r="D2121" t="str">
        <x:v>KG01</x:v>
      </x:c>
      <x:c r="E2121" s="62" t="n">
        <x:v>45956</x:v>
      </x:c>
      <x:c r="F2121" t="str">
        <x:v>AM</x:v>
      </x:c>
      <x:c r="G2121" t="str">
        <x:v>C</x:v>
      </x:c>
      <x:c r="H2121" t="n">
        <x:v>24</x:v>
      </x:c>
      <x:c r="I2121" t="str">
        <x:v>ORD-2025-00126</x:v>
      </x:c>
      <x:c r="J2121" t="n">
        <x:v>4</x:v>
      </x:c>
      <x:c r="K2121" t="n">
        <x:v>2</x:v>
      </x:c>
      <x:c r="L2121" t="str">
        <x:v>L24-S04-C2</x:v>
      </x:c>
      <x:c r="M2121" t="n">
        <x:v>1</x:v>
      </x:c>
      <x:c r="N2121" t="str">
        <x:v>DerivedFromCount</x:v>
      </x:c>
      <x:c r="O2121" t="str">
        <x:v>PLC-PRD-JAR-720-L24</x:v>
      </x:c>
      <x:c r="P2121" t="str">
        <x:v>OK</x:v>
      </x:c>
      <x:c r="Q2121" t="str">
        <x:v>OK</x:v>
      </x:c>
      <x:c r="R2121" t="str">
        <x:v>OK</x:v>
      </x:c>
      <x:c r="S2121" t="str">
        <x:v>OK</x:v>
      </x:c>
      <x:c r="T2121" t="n">
        <x:v>24</x:v>
      </x:c>
      <x:c r="U2121" t="str">
        <x:v>OK</x:v>
      </x:c>
      <x:c r="V2121" t="str">
        <x:v>OK</x:v>
      </x:c>
      <x:c r="W2121" t="str">
        <x:v>LOAD</x:v>
      </x:c>
      <x:c r="X2121" t="str">
        <x:v>02_Supervisor_Log(4).xlsx</x:v>
      </x:c>
      <x:c r="Y2121" t="str">
        <x:v>ENH-20260830-01</x:v>
      </x:c>
      <x:c r="Z2121" t="str">
        <x:v>Active</x:v>
      </x:c>
      <x:c r="AA2121"/>
      <x:c r="AB2121"/>
      <x:c r="AC2121"/>
      <x:c r="AD2121"/>
    </x:row>
    <x:row r="2122">
      <x:c r="A2122" t="str">
        <x:v>PCC-PE-KG01-L24-20251026-AM-ORD-2025-00126-S04-C3</x:v>
      </x:c>
      <x:c r="B2122" t="str">
        <x:v>PC-PE-KG01-L24-20251026-AM-ORD-2025-00126-S04</x:v>
      </x:c>
      <x:c r="C2122" t="str">
        <x:v>PE-KG01-L24-20251026-AM-ORD-2025-00126</x:v>
      </x:c>
      <x:c r="D2122" t="str">
        <x:v>KG01</x:v>
      </x:c>
      <x:c r="E2122" s="62" t="n">
        <x:v>45956</x:v>
      </x:c>
      <x:c r="F2122" t="str">
        <x:v>AM</x:v>
      </x:c>
      <x:c r="G2122" t="str">
        <x:v>C</x:v>
      </x:c>
      <x:c r="H2122" t="n">
        <x:v>24</x:v>
      </x:c>
      <x:c r="I2122" t="str">
        <x:v>ORD-2025-00126</x:v>
      </x:c>
      <x:c r="J2122" t="n">
        <x:v>4</x:v>
      </x:c>
      <x:c r="K2122" t="n">
        <x:v>3</x:v>
      </x:c>
      <x:c r="L2122" t="str">
        <x:v>L24-S04-C3</x:v>
      </x:c>
      <x:c r="M2122" t="n">
        <x:v>0</x:v>
      </x:c>
      <x:c r="N2122" t="str">
        <x:v>DerivedFromCount</x:v>
      </x:c>
      <x:c r="O2122" t="str">
        <x:v>PLC-PRD-JAR-720-L24</x:v>
      </x:c>
      <x:c r="P2122" t="str">
        <x:v>OK</x:v>
      </x:c>
      <x:c r="Q2122" t="str">
        <x:v>OK</x:v>
      </x:c>
      <x:c r="R2122" t="str">
        <x:v>OK</x:v>
      </x:c>
      <x:c r="S2122" t="str">
        <x:v>OK</x:v>
      </x:c>
      <x:c r="T2122" t="n">
        <x:v>24</x:v>
      </x:c>
      <x:c r="U2122" t="str">
        <x:v>OK</x:v>
      </x:c>
      <x:c r="V2122" t="str">
        <x:v>OK</x:v>
      </x:c>
      <x:c r="W2122" t="str">
        <x:v>LOAD</x:v>
      </x:c>
      <x:c r="X2122" t="str">
        <x:v>02_Supervisor_Log(4).xlsx</x:v>
      </x:c>
      <x:c r="Y2122" t="str">
        <x:v>ENH-20260830-01</x:v>
      </x:c>
      <x:c r="Z2122" t="str">
        <x:v>Active</x:v>
      </x:c>
      <x:c r="AA2122"/>
      <x:c r="AB2122"/>
      <x:c r="AC2122"/>
      <x:c r="AD2122"/>
    </x:row>
    <x:row r="2123">
      <x:c r="A2123" t="str">
        <x:v>PCC-PE-KG01-L24-20251026-AM-ORD-2025-00126-S05-C1</x:v>
      </x:c>
      <x:c r="B2123" t="str">
        <x:v>PC-PE-KG01-L24-20251026-AM-ORD-2025-00126-S05</x:v>
      </x:c>
      <x:c r="C2123" t="str">
        <x:v>PE-KG01-L24-20251026-AM-ORD-2025-00126</x:v>
      </x:c>
      <x:c r="D2123" t="str">
        <x:v>KG01</x:v>
      </x:c>
      <x:c r="E2123" s="62" t="n">
        <x:v>45956</x:v>
      </x:c>
      <x:c r="F2123" t="str">
        <x:v>AM</x:v>
      </x:c>
      <x:c r="G2123" t="str">
        <x:v>C</x:v>
      </x:c>
      <x:c r="H2123" t="n">
        <x:v>24</x:v>
      </x:c>
      <x:c r="I2123" t="str">
        <x:v>ORD-2025-00126</x:v>
      </x:c>
      <x:c r="J2123" t="n">
        <x:v>5</x:v>
      </x:c>
      <x:c r="K2123" t="n">
        <x:v>1</x:v>
      </x:c>
      <x:c r="L2123" t="str">
        <x:v>L24-S05-C1</x:v>
      </x:c>
      <x:c r="M2123" t="n">
        <x:v>1</x:v>
      </x:c>
      <x:c r="N2123" t="str">
        <x:v>DerivedFromCount</x:v>
      </x:c>
      <x:c r="O2123" t="str">
        <x:v>PLC-PRD-JAR-720-L24</x:v>
      </x:c>
      <x:c r="P2123" t="str">
        <x:v>OK</x:v>
      </x:c>
      <x:c r="Q2123" t="str">
        <x:v>OK</x:v>
      </x:c>
      <x:c r="R2123" t="str">
        <x:v>OK</x:v>
      </x:c>
      <x:c r="S2123" t="str">
        <x:v>OK</x:v>
      </x:c>
      <x:c r="T2123" t="n">
        <x:v>24</x:v>
      </x:c>
      <x:c r="U2123" t="str">
        <x:v>OK</x:v>
      </x:c>
      <x:c r="V2123" t="str">
        <x:v>OK</x:v>
      </x:c>
      <x:c r="W2123" t="str">
        <x:v>LOAD</x:v>
      </x:c>
      <x:c r="X2123" t="str">
        <x:v>02_Supervisor_Log(4).xlsx</x:v>
      </x:c>
      <x:c r="Y2123" t="str">
        <x:v>ENH-20260830-01</x:v>
      </x:c>
      <x:c r="Z2123" t="str">
        <x:v>Active</x:v>
      </x:c>
      <x:c r="AA2123"/>
      <x:c r="AB2123"/>
      <x:c r="AC2123"/>
      <x:c r="AD2123"/>
    </x:row>
    <x:row r="2124">
      <x:c r="A2124" t="str">
        <x:v>PCC-PE-KG01-L24-20251026-AM-ORD-2025-00126-S05-C2</x:v>
      </x:c>
      <x:c r="B2124" t="str">
        <x:v>PC-PE-KG01-L24-20251026-AM-ORD-2025-00126-S05</x:v>
      </x:c>
      <x:c r="C2124" t="str">
        <x:v>PE-KG01-L24-20251026-AM-ORD-2025-00126</x:v>
      </x:c>
      <x:c r="D2124" t="str">
        <x:v>KG01</x:v>
      </x:c>
      <x:c r="E2124" s="62" t="n">
        <x:v>45956</x:v>
      </x:c>
      <x:c r="F2124" t="str">
        <x:v>AM</x:v>
      </x:c>
      <x:c r="G2124" t="str">
        <x:v>C</x:v>
      </x:c>
      <x:c r="H2124" t="n">
        <x:v>24</x:v>
      </x:c>
      <x:c r="I2124" t="str">
        <x:v>ORD-2025-00126</x:v>
      </x:c>
      <x:c r="J2124" t="n">
        <x:v>5</x:v>
      </x:c>
      <x:c r="K2124" t="n">
        <x:v>2</x:v>
      </x:c>
      <x:c r="L2124" t="str">
        <x:v>L24-S05-C2</x:v>
      </x:c>
      <x:c r="M2124" t="n">
        <x:v>1</x:v>
      </x:c>
      <x:c r="N2124" t="str">
        <x:v>DerivedFromCount</x:v>
      </x:c>
      <x:c r="O2124" t="str">
        <x:v>PLC-PRD-JAR-720-L24</x:v>
      </x:c>
      <x:c r="P2124" t="str">
        <x:v>OK</x:v>
      </x:c>
      <x:c r="Q2124" t="str">
        <x:v>OK</x:v>
      </x:c>
      <x:c r="R2124" t="str">
        <x:v>OK</x:v>
      </x:c>
      <x:c r="S2124" t="str">
        <x:v>OK</x:v>
      </x:c>
      <x:c r="T2124" t="n">
        <x:v>24</x:v>
      </x:c>
      <x:c r="U2124" t="str">
        <x:v>OK</x:v>
      </x:c>
      <x:c r="V2124" t="str">
        <x:v>OK</x:v>
      </x:c>
      <x:c r="W2124" t="str">
        <x:v>LOAD</x:v>
      </x:c>
      <x:c r="X2124" t="str">
        <x:v>02_Supervisor_Log(4).xlsx</x:v>
      </x:c>
      <x:c r="Y2124" t="str">
        <x:v>ENH-20260830-01</x:v>
      </x:c>
      <x:c r="Z2124" t="str">
        <x:v>Active</x:v>
      </x:c>
      <x:c r="AA2124"/>
      <x:c r="AB2124"/>
      <x:c r="AC2124"/>
      <x:c r="AD2124"/>
    </x:row>
    <x:row r="2125">
      <x:c r="A2125" t="str">
        <x:v>PCC-PE-KG01-L24-20251026-AM-ORD-2025-00126-S05-C3</x:v>
      </x:c>
      <x:c r="B2125" t="str">
        <x:v>PC-PE-KG01-L24-20251026-AM-ORD-2025-00126-S05</x:v>
      </x:c>
      <x:c r="C2125" t="str">
        <x:v>PE-KG01-L24-20251026-AM-ORD-2025-00126</x:v>
      </x:c>
      <x:c r="D2125" t="str">
        <x:v>KG01</x:v>
      </x:c>
      <x:c r="E2125" s="62" t="n">
        <x:v>45956</x:v>
      </x:c>
      <x:c r="F2125" t="str">
        <x:v>AM</x:v>
      </x:c>
      <x:c r="G2125" t="str">
        <x:v>C</x:v>
      </x:c>
      <x:c r="H2125" t="n">
        <x:v>24</x:v>
      </x:c>
      <x:c r="I2125" t="str">
        <x:v>ORD-2025-00126</x:v>
      </x:c>
      <x:c r="J2125" t="n">
        <x:v>5</x:v>
      </x:c>
      <x:c r="K2125" t="n">
        <x:v>3</x:v>
      </x:c>
      <x:c r="L2125" t="str">
        <x:v>L24-S05-C3</x:v>
      </x:c>
      <x:c r="M2125" t="n">
        <x:v>0</x:v>
      </x:c>
      <x:c r="N2125" t="str">
        <x:v>DerivedFromCount</x:v>
      </x:c>
      <x:c r="O2125" t="str">
        <x:v>PLC-PRD-JAR-720-L24</x:v>
      </x:c>
      <x:c r="P2125" t="str">
        <x:v>OK</x:v>
      </x:c>
      <x:c r="Q2125" t="str">
        <x:v>OK</x:v>
      </x:c>
      <x:c r="R2125" t="str">
        <x:v>OK</x:v>
      </x:c>
      <x:c r="S2125" t="str">
        <x:v>OK</x:v>
      </x:c>
      <x:c r="T2125" t="n">
        <x:v>24</x:v>
      </x:c>
      <x:c r="U2125" t="str">
        <x:v>OK</x:v>
      </x:c>
      <x:c r="V2125" t="str">
        <x:v>OK</x:v>
      </x:c>
      <x:c r="W2125" t="str">
        <x:v>LOAD</x:v>
      </x:c>
      <x:c r="X2125" t="str">
        <x:v>02_Supervisor_Log(4).xlsx</x:v>
      </x:c>
      <x:c r="Y2125" t="str">
        <x:v>ENH-20260830-01</x:v>
      </x:c>
      <x:c r="Z2125" t="str">
        <x:v>Active</x:v>
      </x:c>
      <x:c r="AA2125"/>
      <x:c r="AB2125"/>
      <x:c r="AC2125"/>
      <x:c r="AD2125"/>
    </x:row>
    <x:row r="2126">
      <x:c r="A2126" t="str">
        <x:v>PCC-PE-KG01-L24-20251026-AM-ORD-2025-00126-S06-C1</x:v>
      </x:c>
      <x:c r="B2126" t="str">
        <x:v>PC-PE-KG01-L24-20251026-AM-ORD-2025-00126-S06</x:v>
      </x:c>
      <x:c r="C2126" t="str">
        <x:v>PE-KG01-L24-20251026-AM-ORD-2025-00126</x:v>
      </x:c>
      <x:c r="D2126" t="str">
        <x:v>KG01</x:v>
      </x:c>
      <x:c r="E2126" s="62" t="n">
        <x:v>45956</x:v>
      </x:c>
      <x:c r="F2126" t="str">
        <x:v>AM</x:v>
      </x:c>
      <x:c r="G2126" t="str">
        <x:v>C</x:v>
      </x:c>
      <x:c r="H2126" t="n">
        <x:v>24</x:v>
      </x:c>
      <x:c r="I2126" t="str">
        <x:v>ORD-2025-00126</x:v>
      </x:c>
      <x:c r="J2126" t="n">
        <x:v>6</x:v>
      </x:c>
      <x:c r="K2126" t="n">
        <x:v>1</x:v>
      </x:c>
      <x:c r="L2126" t="str">
        <x:v>L24-S06-C1</x:v>
      </x:c>
      <x:c r="M2126" t="n">
        <x:v>1</x:v>
      </x:c>
      <x:c r="N2126" t="str">
        <x:v>DerivedFromCount</x:v>
      </x:c>
      <x:c r="O2126" t="str">
        <x:v>PLC-PRD-JAR-720-L24</x:v>
      </x:c>
      <x:c r="P2126" t="str">
        <x:v>OK</x:v>
      </x:c>
      <x:c r="Q2126" t="str">
        <x:v>OK</x:v>
      </x:c>
      <x:c r="R2126" t="str">
        <x:v>OK</x:v>
      </x:c>
      <x:c r="S2126" t="str">
        <x:v>OK</x:v>
      </x:c>
      <x:c r="T2126" t="n">
        <x:v>24</x:v>
      </x:c>
      <x:c r="U2126" t="str">
        <x:v>OK</x:v>
      </x:c>
      <x:c r="V2126" t="str">
        <x:v>OK</x:v>
      </x:c>
      <x:c r="W2126" t="str">
        <x:v>LOAD</x:v>
      </x:c>
      <x:c r="X2126" t="str">
        <x:v>02_Supervisor_Log(4).xlsx</x:v>
      </x:c>
      <x:c r="Y2126" t="str">
        <x:v>ENH-20260830-01</x:v>
      </x:c>
      <x:c r="Z2126" t="str">
        <x:v>Active</x:v>
      </x:c>
      <x:c r="AA2126"/>
      <x:c r="AB2126"/>
      <x:c r="AC2126"/>
      <x:c r="AD2126"/>
    </x:row>
    <x:row r="2127">
      <x:c r="A2127" t="str">
        <x:v>PCC-PE-KG01-L24-20251026-AM-ORD-2025-00126-S06-C2</x:v>
      </x:c>
      <x:c r="B2127" t="str">
        <x:v>PC-PE-KG01-L24-20251026-AM-ORD-2025-00126-S06</x:v>
      </x:c>
      <x:c r="C2127" t="str">
        <x:v>PE-KG01-L24-20251026-AM-ORD-2025-00126</x:v>
      </x:c>
      <x:c r="D2127" t="str">
        <x:v>KG01</x:v>
      </x:c>
      <x:c r="E2127" s="62" t="n">
        <x:v>45956</x:v>
      </x:c>
      <x:c r="F2127" t="str">
        <x:v>AM</x:v>
      </x:c>
      <x:c r="G2127" t="str">
        <x:v>C</x:v>
      </x:c>
      <x:c r="H2127" t="n">
        <x:v>24</x:v>
      </x:c>
      <x:c r="I2127" t="str">
        <x:v>ORD-2025-00126</x:v>
      </x:c>
      <x:c r="J2127" t="n">
        <x:v>6</x:v>
      </x:c>
      <x:c r="K2127" t="n">
        <x:v>2</x:v>
      </x:c>
      <x:c r="L2127" t="str">
        <x:v>L24-S06-C2</x:v>
      </x:c>
      <x:c r="M2127" t="n">
        <x:v>1</x:v>
      </x:c>
      <x:c r="N2127" t="str">
        <x:v>DerivedFromCount</x:v>
      </x:c>
      <x:c r="O2127" t="str">
        <x:v>PLC-PRD-JAR-720-L24</x:v>
      </x:c>
      <x:c r="P2127" t="str">
        <x:v>OK</x:v>
      </x:c>
      <x:c r="Q2127" t="str">
        <x:v>OK</x:v>
      </x:c>
      <x:c r="R2127" t="str">
        <x:v>OK</x:v>
      </x:c>
      <x:c r="S2127" t="str">
        <x:v>OK</x:v>
      </x:c>
      <x:c r="T2127" t="n">
        <x:v>24</x:v>
      </x:c>
      <x:c r="U2127" t="str">
        <x:v>OK</x:v>
      </x:c>
      <x:c r="V2127" t="str">
        <x:v>OK</x:v>
      </x:c>
      <x:c r="W2127" t="str">
        <x:v>LOAD</x:v>
      </x:c>
      <x:c r="X2127" t="str">
        <x:v>02_Supervisor_Log(4).xlsx</x:v>
      </x:c>
      <x:c r="Y2127" t="str">
        <x:v>ENH-20260830-01</x:v>
      </x:c>
      <x:c r="Z2127" t="str">
        <x:v>Active</x:v>
      </x:c>
      <x:c r="AA2127"/>
      <x:c r="AB2127"/>
      <x:c r="AC2127"/>
      <x:c r="AD2127"/>
    </x:row>
    <x:row r="2128">
      <x:c r="A2128" t="str">
        <x:v>PCC-PE-KG01-L24-20251026-AM-ORD-2025-00126-S06-C3</x:v>
      </x:c>
      <x:c r="B2128" t="str">
        <x:v>PC-PE-KG01-L24-20251026-AM-ORD-2025-00126-S06</x:v>
      </x:c>
      <x:c r="C2128" t="str">
        <x:v>PE-KG01-L24-20251026-AM-ORD-2025-00126</x:v>
      </x:c>
      <x:c r="D2128" t="str">
        <x:v>KG01</x:v>
      </x:c>
      <x:c r="E2128" s="62" t="n">
        <x:v>45956</x:v>
      </x:c>
      <x:c r="F2128" t="str">
        <x:v>AM</x:v>
      </x:c>
      <x:c r="G2128" t="str">
        <x:v>C</x:v>
      </x:c>
      <x:c r="H2128" t="n">
        <x:v>24</x:v>
      </x:c>
      <x:c r="I2128" t="str">
        <x:v>ORD-2025-00126</x:v>
      </x:c>
      <x:c r="J2128" t="n">
        <x:v>6</x:v>
      </x:c>
      <x:c r="K2128" t="n">
        <x:v>3</x:v>
      </x:c>
      <x:c r="L2128" t="str">
        <x:v>L24-S06-C3</x:v>
      </x:c>
      <x:c r="M2128" t="n">
        <x:v>0</x:v>
      </x:c>
      <x:c r="N2128" t="str">
        <x:v>DerivedFromCount</x:v>
      </x:c>
      <x:c r="O2128" t="str">
        <x:v>PLC-PRD-JAR-720-L24</x:v>
      </x:c>
      <x:c r="P2128" t="str">
        <x:v>OK</x:v>
      </x:c>
      <x:c r="Q2128" t="str">
        <x:v>OK</x:v>
      </x:c>
      <x:c r="R2128" t="str">
        <x:v>OK</x:v>
      </x:c>
      <x:c r="S2128" t="str">
        <x:v>OK</x:v>
      </x:c>
      <x:c r="T2128" t="n">
        <x:v>24</x:v>
      </x:c>
      <x:c r="U2128" t="str">
        <x:v>OK</x:v>
      </x:c>
      <x:c r="V2128" t="str">
        <x:v>OK</x:v>
      </x:c>
      <x:c r="W2128" t="str">
        <x:v>LOAD</x:v>
      </x:c>
      <x:c r="X2128" t="str">
        <x:v>02_Supervisor_Log(4).xlsx</x:v>
      </x:c>
      <x:c r="Y2128" t="str">
        <x:v>ENH-20260830-01</x:v>
      </x:c>
      <x:c r="Z2128" t="str">
        <x:v>Active</x:v>
      </x:c>
      <x:c r="AA2128"/>
      <x:c r="AB2128"/>
      <x:c r="AC2128"/>
      <x:c r="AD2128"/>
    </x:row>
    <x:row r="2129">
      <x:c r="A2129" t="str">
        <x:v>PCC-PE-KG01-L24-20251026-AM-ORD-2025-00126-S07-C1</x:v>
      </x:c>
      <x:c r="B2129" t="str">
        <x:v>PC-PE-KG01-L24-20251026-AM-ORD-2025-00126-S07</x:v>
      </x:c>
      <x:c r="C2129" t="str">
        <x:v>PE-KG01-L24-20251026-AM-ORD-2025-00126</x:v>
      </x:c>
      <x:c r="D2129" t="str">
        <x:v>KG01</x:v>
      </x:c>
      <x:c r="E2129" s="62" t="n">
        <x:v>45956</x:v>
      </x:c>
      <x:c r="F2129" t="str">
        <x:v>AM</x:v>
      </x:c>
      <x:c r="G2129" t="str">
        <x:v>C</x:v>
      </x:c>
      <x:c r="H2129" t="n">
        <x:v>24</x:v>
      </x:c>
      <x:c r="I2129" t="str">
        <x:v>ORD-2025-00126</x:v>
      </x:c>
      <x:c r="J2129" t="n">
        <x:v>7</x:v>
      </x:c>
      <x:c r="K2129" t="n">
        <x:v>1</x:v>
      </x:c>
      <x:c r="L2129" t="str">
        <x:v>L24-S07-C1</x:v>
      </x:c>
      <x:c r="M2129" t="n">
        <x:v>1</x:v>
      </x:c>
      <x:c r="N2129" t="str">
        <x:v>DerivedFromCount</x:v>
      </x:c>
      <x:c r="O2129" t="str">
        <x:v>PLC-PRD-JAR-720-L24</x:v>
      </x:c>
      <x:c r="P2129" t="str">
        <x:v>OK</x:v>
      </x:c>
      <x:c r="Q2129" t="str">
        <x:v>OK</x:v>
      </x:c>
      <x:c r="R2129" t="str">
        <x:v>OK</x:v>
      </x:c>
      <x:c r="S2129" t="str">
        <x:v>OK</x:v>
      </x:c>
      <x:c r="T2129" t="n">
        <x:v>24</x:v>
      </x:c>
      <x:c r="U2129" t="str">
        <x:v>OK</x:v>
      </x:c>
      <x:c r="V2129" t="str">
        <x:v>OK</x:v>
      </x:c>
      <x:c r="W2129" t="str">
        <x:v>LOAD</x:v>
      </x:c>
      <x:c r="X2129" t="str">
        <x:v>02_Supervisor_Log(4).xlsx</x:v>
      </x:c>
      <x:c r="Y2129" t="str">
        <x:v>ENH-20260830-01</x:v>
      </x:c>
      <x:c r="Z2129" t="str">
        <x:v>Active</x:v>
      </x:c>
      <x:c r="AA2129"/>
      <x:c r="AB2129"/>
      <x:c r="AC2129"/>
      <x:c r="AD2129"/>
    </x:row>
    <x:row r="2130">
      <x:c r="A2130" t="str">
        <x:v>PCC-PE-KG01-L24-20251026-AM-ORD-2025-00126-S07-C2</x:v>
      </x:c>
      <x:c r="B2130" t="str">
        <x:v>PC-PE-KG01-L24-20251026-AM-ORD-2025-00126-S07</x:v>
      </x:c>
      <x:c r="C2130" t="str">
        <x:v>PE-KG01-L24-20251026-AM-ORD-2025-00126</x:v>
      </x:c>
      <x:c r="D2130" t="str">
        <x:v>KG01</x:v>
      </x:c>
      <x:c r="E2130" s="62" t="n">
        <x:v>45956</x:v>
      </x:c>
      <x:c r="F2130" t="str">
        <x:v>AM</x:v>
      </x:c>
      <x:c r="G2130" t="str">
        <x:v>C</x:v>
      </x:c>
      <x:c r="H2130" t="n">
        <x:v>24</x:v>
      </x:c>
      <x:c r="I2130" t="str">
        <x:v>ORD-2025-00126</x:v>
      </x:c>
      <x:c r="J2130" t="n">
        <x:v>7</x:v>
      </x:c>
      <x:c r="K2130" t="n">
        <x:v>2</x:v>
      </x:c>
      <x:c r="L2130" t="str">
        <x:v>L24-S07-C2</x:v>
      </x:c>
      <x:c r="M2130" t="n">
        <x:v>1</x:v>
      </x:c>
      <x:c r="N2130" t="str">
        <x:v>DerivedFromCount</x:v>
      </x:c>
      <x:c r="O2130" t="str">
        <x:v>PLC-PRD-JAR-720-L24</x:v>
      </x:c>
      <x:c r="P2130" t="str">
        <x:v>OK</x:v>
      </x:c>
      <x:c r="Q2130" t="str">
        <x:v>OK</x:v>
      </x:c>
      <x:c r="R2130" t="str">
        <x:v>OK</x:v>
      </x:c>
      <x:c r="S2130" t="str">
        <x:v>OK</x:v>
      </x:c>
      <x:c r="T2130" t="n">
        <x:v>24</x:v>
      </x:c>
      <x:c r="U2130" t="str">
        <x:v>OK</x:v>
      </x:c>
      <x:c r="V2130" t="str">
        <x:v>OK</x:v>
      </x:c>
      <x:c r="W2130" t="str">
        <x:v>LOAD</x:v>
      </x:c>
      <x:c r="X2130" t="str">
        <x:v>02_Supervisor_Log(4).xlsx</x:v>
      </x:c>
      <x:c r="Y2130" t="str">
        <x:v>ENH-20260830-01</x:v>
      </x:c>
      <x:c r="Z2130" t="str">
        <x:v>Active</x:v>
      </x:c>
      <x:c r="AA2130"/>
      <x:c r="AB2130"/>
      <x:c r="AC2130"/>
      <x:c r="AD2130"/>
    </x:row>
    <x:row r="2131">
      <x:c r="A2131" t="str">
        <x:v>PCC-PE-KG01-L24-20251026-AM-ORD-2025-00126-S07-C3</x:v>
      </x:c>
      <x:c r="B2131" t="str">
        <x:v>PC-PE-KG01-L24-20251026-AM-ORD-2025-00126-S07</x:v>
      </x:c>
      <x:c r="C2131" t="str">
        <x:v>PE-KG01-L24-20251026-AM-ORD-2025-00126</x:v>
      </x:c>
      <x:c r="D2131" t="str">
        <x:v>KG01</x:v>
      </x:c>
      <x:c r="E2131" s="62" t="n">
        <x:v>45956</x:v>
      </x:c>
      <x:c r="F2131" t="str">
        <x:v>AM</x:v>
      </x:c>
      <x:c r="G2131" t="str">
        <x:v>C</x:v>
      </x:c>
      <x:c r="H2131" t="n">
        <x:v>24</x:v>
      </x:c>
      <x:c r="I2131" t="str">
        <x:v>ORD-2025-00126</x:v>
      </x:c>
      <x:c r="J2131" t="n">
        <x:v>7</x:v>
      </x:c>
      <x:c r="K2131" t="n">
        <x:v>3</x:v>
      </x:c>
      <x:c r="L2131" t="str">
        <x:v>L24-S07-C3</x:v>
      </x:c>
      <x:c r="M2131" t="n">
        <x:v>0</x:v>
      </x:c>
      <x:c r="N2131" t="str">
        <x:v>DerivedFromCount</x:v>
      </x:c>
      <x:c r="O2131" t="str">
        <x:v>PLC-PRD-JAR-720-L24</x:v>
      </x:c>
      <x:c r="P2131" t="str">
        <x:v>OK</x:v>
      </x:c>
      <x:c r="Q2131" t="str">
        <x:v>OK</x:v>
      </x:c>
      <x:c r="R2131" t="str">
        <x:v>OK</x:v>
      </x:c>
      <x:c r="S2131" t="str">
        <x:v>OK</x:v>
      </x:c>
      <x:c r="T2131" t="n">
        <x:v>24</x:v>
      </x:c>
      <x:c r="U2131" t="str">
        <x:v>OK</x:v>
      </x:c>
      <x:c r="V2131" t="str">
        <x:v>OK</x:v>
      </x:c>
      <x:c r="W2131" t="str">
        <x:v>LOAD</x:v>
      </x:c>
      <x:c r="X2131" t="str">
        <x:v>02_Supervisor_Log(4).xlsx</x:v>
      </x:c>
      <x:c r="Y2131" t="str">
        <x:v>ENH-20260830-01</x:v>
      </x:c>
      <x:c r="Z2131" t="str">
        <x:v>Active</x:v>
      </x:c>
      <x:c r="AA2131"/>
      <x:c r="AB2131"/>
      <x:c r="AC2131"/>
      <x:c r="AD2131"/>
    </x:row>
    <x:row r="2132">
      <x:c r="A2132" t="str">
        <x:v>PCC-PE-KG01-L24-20251026-AM-ORD-2025-00126-S08-C1</x:v>
      </x:c>
      <x:c r="B2132" t="str">
        <x:v>PC-PE-KG01-L24-20251026-AM-ORD-2025-00126-S08</x:v>
      </x:c>
      <x:c r="C2132" t="str">
        <x:v>PE-KG01-L24-20251026-AM-ORD-2025-00126</x:v>
      </x:c>
      <x:c r="D2132" t="str">
        <x:v>KG01</x:v>
      </x:c>
      <x:c r="E2132" s="62" t="n">
        <x:v>45956</x:v>
      </x:c>
      <x:c r="F2132" t="str">
        <x:v>AM</x:v>
      </x:c>
      <x:c r="G2132" t="str">
        <x:v>C</x:v>
      </x:c>
      <x:c r="H2132" t="n">
        <x:v>24</x:v>
      </x:c>
      <x:c r="I2132" t="str">
        <x:v>ORD-2025-00126</x:v>
      </x:c>
      <x:c r="J2132" t="n">
        <x:v>8</x:v>
      </x:c>
      <x:c r="K2132" t="n">
        <x:v>1</x:v>
      </x:c>
      <x:c r="L2132" t="str">
        <x:v>L24-S08-C1</x:v>
      </x:c>
      <x:c r="M2132" t="n">
        <x:v>1</x:v>
      </x:c>
      <x:c r="N2132" t="str">
        <x:v>DerivedFromCount</x:v>
      </x:c>
      <x:c r="O2132" t="str">
        <x:v>PLC-PRD-JAR-720-L24</x:v>
      </x:c>
      <x:c r="P2132" t="str">
        <x:v>OK</x:v>
      </x:c>
      <x:c r="Q2132" t="str">
        <x:v>OK</x:v>
      </x:c>
      <x:c r="R2132" t="str">
        <x:v>OK</x:v>
      </x:c>
      <x:c r="S2132" t="str">
        <x:v>OK</x:v>
      </x:c>
      <x:c r="T2132" t="n">
        <x:v>24</x:v>
      </x:c>
      <x:c r="U2132" t="str">
        <x:v>OK</x:v>
      </x:c>
      <x:c r="V2132" t="str">
        <x:v>OK</x:v>
      </x:c>
      <x:c r="W2132" t="str">
        <x:v>LOAD</x:v>
      </x:c>
      <x:c r="X2132" t="str">
        <x:v>02_Supervisor_Log(4).xlsx</x:v>
      </x:c>
      <x:c r="Y2132" t="str">
        <x:v>ENH-20260830-01</x:v>
      </x:c>
      <x:c r="Z2132" t="str">
        <x:v>Active</x:v>
      </x:c>
      <x:c r="AA2132"/>
      <x:c r="AB2132"/>
      <x:c r="AC2132"/>
      <x:c r="AD2132"/>
    </x:row>
    <x:row r="2133">
      <x:c r="A2133" t="str">
        <x:v>PCC-PE-KG01-L24-20251026-AM-ORD-2025-00126-S08-C2</x:v>
      </x:c>
      <x:c r="B2133" t="str">
        <x:v>PC-PE-KG01-L24-20251026-AM-ORD-2025-00126-S08</x:v>
      </x:c>
      <x:c r="C2133" t="str">
        <x:v>PE-KG01-L24-20251026-AM-ORD-2025-00126</x:v>
      </x:c>
      <x:c r="D2133" t="str">
        <x:v>KG01</x:v>
      </x:c>
      <x:c r="E2133" s="62" t="n">
        <x:v>45956</x:v>
      </x:c>
      <x:c r="F2133" t="str">
        <x:v>AM</x:v>
      </x:c>
      <x:c r="G2133" t="str">
        <x:v>C</x:v>
      </x:c>
      <x:c r="H2133" t="n">
        <x:v>24</x:v>
      </x:c>
      <x:c r="I2133" t="str">
        <x:v>ORD-2025-00126</x:v>
      </x:c>
      <x:c r="J2133" t="n">
        <x:v>8</x:v>
      </x:c>
      <x:c r="K2133" t="n">
        <x:v>2</x:v>
      </x:c>
      <x:c r="L2133" t="str">
        <x:v>L24-S08-C2</x:v>
      </x:c>
      <x:c r="M2133" t="n">
        <x:v>1</x:v>
      </x:c>
      <x:c r="N2133" t="str">
        <x:v>DerivedFromCount</x:v>
      </x:c>
      <x:c r="O2133" t="str">
        <x:v>PLC-PRD-JAR-720-L24</x:v>
      </x:c>
      <x:c r="P2133" t="str">
        <x:v>OK</x:v>
      </x:c>
      <x:c r="Q2133" t="str">
        <x:v>OK</x:v>
      </x:c>
      <x:c r="R2133" t="str">
        <x:v>OK</x:v>
      </x:c>
      <x:c r="S2133" t="str">
        <x:v>OK</x:v>
      </x:c>
      <x:c r="T2133" t="n">
        <x:v>24</x:v>
      </x:c>
      <x:c r="U2133" t="str">
        <x:v>OK</x:v>
      </x:c>
      <x:c r="V2133" t="str">
        <x:v>OK</x:v>
      </x:c>
      <x:c r="W2133" t="str">
        <x:v>LOAD</x:v>
      </x:c>
      <x:c r="X2133" t="str">
        <x:v>02_Supervisor_Log(4).xlsx</x:v>
      </x:c>
      <x:c r="Y2133" t="str">
        <x:v>ENH-20260830-01</x:v>
      </x:c>
      <x:c r="Z2133" t="str">
        <x:v>Active</x:v>
      </x:c>
      <x:c r="AA2133"/>
      <x:c r="AB2133"/>
      <x:c r="AC2133"/>
      <x:c r="AD2133"/>
    </x:row>
    <x:row r="2134">
      <x:c r="A2134" t="str">
        <x:v>PCC-PE-KG01-L24-20251026-AM-ORD-2025-00126-S08-C3</x:v>
      </x:c>
      <x:c r="B2134" t="str">
        <x:v>PC-PE-KG01-L24-20251026-AM-ORD-2025-00126-S08</x:v>
      </x:c>
      <x:c r="C2134" t="str">
        <x:v>PE-KG01-L24-20251026-AM-ORD-2025-00126</x:v>
      </x:c>
      <x:c r="D2134" t="str">
        <x:v>KG01</x:v>
      </x:c>
      <x:c r="E2134" s="62" t="n">
        <x:v>45956</x:v>
      </x:c>
      <x:c r="F2134" t="str">
        <x:v>AM</x:v>
      </x:c>
      <x:c r="G2134" t="str">
        <x:v>C</x:v>
      </x:c>
      <x:c r="H2134" t="n">
        <x:v>24</x:v>
      </x:c>
      <x:c r="I2134" t="str">
        <x:v>ORD-2025-00126</x:v>
      </x:c>
      <x:c r="J2134" t="n">
        <x:v>8</x:v>
      </x:c>
      <x:c r="K2134" t="n">
        <x:v>3</x:v>
      </x:c>
      <x:c r="L2134" t="str">
        <x:v>L24-S08-C3</x:v>
      </x:c>
      <x:c r="M2134" t="n">
        <x:v>0</x:v>
      </x:c>
      <x:c r="N2134" t="str">
        <x:v>DerivedFromCount</x:v>
      </x:c>
      <x:c r="O2134" t="str">
        <x:v>PLC-PRD-JAR-720-L24</x:v>
      </x:c>
      <x:c r="P2134" t="str">
        <x:v>OK</x:v>
      </x:c>
      <x:c r="Q2134" t="str">
        <x:v>OK</x:v>
      </x:c>
      <x:c r="R2134" t="str">
        <x:v>OK</x:v>
      </x:c>
      <x:c r="S2134" t="str">
        <x:v>OK</x:v>
      </x:c>
      <x:c r="T2134" t="n">
        <x:v>24</x:v>
      </x:c>
      <x:c r="U2134" t="str">
        <x:v>OK</x:v>
      </x:c>
      <x:c r="V2134" t="str">
        <x:v>OK</x:v>
      </x:c>
      <x:c r="W2134" t="str">
        <x:v>LOAD</x:v>
      </x:c>
      <x:c r="X2134" t="str">
        <x:v>02_Supervisor_Log(4).xlsx</x:v>
      </x:c>
      <x:c r="Y2134" t="str">
        <x:v>ENH-20260830-01</x:v>
      </x:c>
      <x:c r="Z2134" t="str">
        <x:v>Active</x:v>
      </x:c>
      <x:c r="AA2134"/>
      <x:c r="AB2134"/>
      <x:c r="AC2134"/>
      <x:c r="AD2134"/>
    </x:row>
    <x:row r="2135">
      <x:c r="A2135" t="str">
        <x:v>PCC-PE-KG01-L24-20251026-AM-ORD-2025-00126-S09-C1</x:v>
      </x:c>
      <x:c r="B2135" t="str">
        <x:v>PC-PE-KG01-L24-20251026-AM-ORD-2025-00126-S09</x:v>
      </x:c>
      <x:c r="C2135" t="str">
        <x:v>PE-KG01-L24-20251026-AM-ORD-2025-00126</x:v>
      </x:c>
      <x:c r="D2135" t="str">
        <x:v>KG01</x:v>
      </x:c>
      <x:c r="E2135" s="62" t="n">
        <x:v>45956</x:v>
      </x:c>
      <x:c r="F2135" t="str">
        <x:v>AM</x:v>
      </x:c>
      <x:c r="G2135" t="str">
        <x:v>C</x:v>
      </x:c>
      <x:c r="H2135" t="n">
        <x:v>24</x:v>
      </x:c>
      <x:c r="I2135" t="str">
        <x:v>ORD-2025-00126</x:v>
      </x:c>
      <x:c r="J2135" t="n">
        <x:v>9</x:v>
      </x:c>
      <x:c r="K2135" t="n">
        <x:v>1</x:v>
      </x:c>
      <x:c r="L2135" t="str">
        <x:v>L24-S09-C1</x:v>
      </x:c>
      <x:c r="M2135" t="n">
        <x:v>1</x:v>
      </x:c>
      <x:c r="N2135" t="str">
        <x:v>DerivedFromCount</x:v>
      </x:c>
      <x:c r="O2135" t="str">
        <x:v>PLC-PRD-JAR-720-L24</x:v>
      </x:c>
      <x:c r="P2135" t="str">
        <x:v>OK</x:v>
      </x:c>
      <x:c r="Q2135" t="str">
        <x:v>OK</x:v>
      </x:c>
      <x:c r="R2135" t="str">
        <x:v>OK</x:v>
      </x:c>
      <x:c r="S2135" t="str">
        <x:v>OK</x:v>
      </x:c>
      <x:c r="T2135" t="n">
        <x:v>24</x:v>
      </x:c>
      <x:c r="U2135" t="str">
        <x:v>OK</x:v>
      </x:c>
      <x:c r="V2135" t="str">
        <x:v>OK</x:v>
      </x:c>
      <x:c r="W2135" t="str">
        <x:v>LOAD</x:v>
      </x:c>
      <x:c r="X2135" t="str">
        <x:v>02_Supervisor_Log(4).xlsx</x:v>
      </x:c>
      <x:c r="Y2135" t="str">
        <x:v>ENH-20260830-01</x:v>
      </x:c>
      <x:c r="Z2135" t="str">
        <x:v>Active</x:v>
      </x:c>
      <x:c r="AA2135"/>
      <x:c r="AB2135"/>
      <x:c r="AC2135"/>
      <x:c r="AD2135"/>
    </x:row>
    <x:row r="2136">
      <x:c r="A2136" t="str">
        <x:v>PCC-PE-KG01-L24-20251026-AM-ORD-2025-00126-S09-C2</x:v>
      </x:c>
      <x:c r="B2136" t="str">
        <x:v>PC-PE-KG01-L24-20251026-AM-ORD-2025-00126-S09</x:v>
      </x:c>
      <x:c r="C2136" t="str">
        <x:v>PE-KG01-L24-20251026-AM-ORD-2025-00126</x:v>
      </x:c>
      <x:c r="D2136" t="str">
        <x:v>KG01</x:v>
      </x:c>
      <x:c r="E2136" s="62" t="n">
        <x:v>45956</x:v>
      </x:c>
      <x:c r="F2136" t="str">
        <x:v>AM</x:v>
      </x:c>
      <x:c r="G2136" t="str">
        <x:v>C</x:v>
      </x:c>
      <x:c r="H2136" t="n">
        <x:v>24</x:v>
      </x:c>
      <x:c r="I2136" t="str">
        <x:v>ORD-2025-00126</x:v>
      </x:c>
      <x:c r="J2136" t="n">
        <x:v>9</x:v>
      </x:c>
      <x:c r="K2136" t="n">
        <x:v>2</x:v>
      </x:c>
      <x:c r="L2136" t="str">
        <x:v>L24-S09-C2</x:v>
      </x:c>
      <x:c r="M2136" t="n">
        <x:v>1</x:v>
      </x:c>
      <x:c r="N2136" t="str">
        <x:v>DerivedFromCount</x:v>
      </x:c>
      <x:c r="O2136" t="str">
        <x:v>PLC-PRD-JAR-720-L24</x:v>
      </x:c>
      <x:c r="P2136" t="str">
        <x:v>OK</x:v>
      </x:c>
      <x:c r="Q2136" t="str">
        <x:v>OK</x:v>
      </x:c>
      <x:c r="R2136" t="str">
        <x:v>OK</x:v>
      </x:c>
      <x:c r="S2136" t="str">
        <x:v>OK</x:v>
      </x:c>
      <x:c r="T2136" t="n">
        <x:v>24</x:v>
      </x:c>
      <x:c r="U2136" t="str">
        <x:v>OK</x:v>
      </x:c>
      <x:c r="V2136" t="str">
        <x:v>OK</x:v>
      </x:c>
      <x:c r="W2136" t="str">
        <x:v>LOAD</x:v>
      </x:c>
      <x:c r="X2136" t="str">
        <x:v>02_Supervisor_Log(4).xlsx</x:v>
      </x:c>
      <x:c r="Y2136" t="str">
        <x:v>ENH-20260830-01</x:v>
      </x:c>
      <x:c r="Z2136" t="str">
        <x:v>Active</x:v>
      </x:c>
      <x:c r="AA2136"/>
      <x:c r="AB2136"/>
      <x:c r="AC2136"/>
      <x:c r="AD2136"/>
    </x:row>
    <x:row r="2137">
      <x:c r="A2137" t="str">
        <x:v>PCC-PE-KG01-L24-20251026-AM-ORD-2025-00126-S09-C3</x:v>
      </x:c>
      <x:c r="B2137" t="str">
        <x:v>PC-PE-KG01-L24-20251026-AM-ORD-2025-00126-S09</x:v>
      </x:c>
      <x:c r="C2137" t="str">
        <x:v>PE-KG01-L24-20251026-AM-ORD-2025-00126</x:v>
      </x:c>
      <x:c r="D2137" t="str">
        <x:v>KG01</x:v>
      </x:c>
      <x:c r="E2137" s="62" t="n">
        <x:v>45956</x:v>
      </x:c>
      <x:c r="F2137" t="str">
        <x:v>AM</x:v>
      </x:c>
      <x:c r="G2137" t="str">
        <x:v>C</x:v>
      </x:c>
      <x:c r="H2137" t="n">
        <x:v>24</x:v>
      </x:c>
      <x:c r="I2137" t="str">
        <x:v>ORD-2025-00126</x:v>
      </x:c>
      <x:c r="J2137" t="n">
        <x:v>9</x:v>
      </x:c>
      <x:c r="K2137" t="n">
        <x:v>3</x:v>
      </x:c>
      <x:c r="L2137" t="str">
        <x:v>L24-S09-C3</x:v>
      </x:c>
      <x:c r="M2137" t="n">
        <x:v>0</x:v>
      </x:c>
      <x:c r="N2137" t="str">
        <x:v>DerivedFromCount</x:v>
      </x:c>
      <x:c r="O2137" t="str">
        <x:v>PLC-PRD-JAR-720-L24</x:v>
      </x:c>
      <x:c r="P2137" t="str">
        <x:v>OK</x:v>
      </x:c>
      <x:c r="Q2137" t="str">
        <x:v>OK</x:v>
      </x:c>
      <x:c r="R2137" t="str">
        <x:v>OK</x:v>
      </x:c>
      <x:c r="S2137" t="str">
        <x:v>OK</x:v>
      </x:c>
      <x:c r="T2137" t="n">
        <x:v>24</x:v>
      </x:c>
      <x:c r="U2137" t="str">
        <x:v>OK</x:v>
      </x:c>
      <x:c r="V2137" t="str">
        <x:v>OK</x:v>
      </x:c>
      <x:c r="W2137" t="str">
        <x:v>LOAD</x:v>
      </x:c>
      <x:c r="X2137" t="str">
        <x:v>02_Supervisor_Log(4).xlsx</x:v>
      </x:c>
      <x:c r="Y2137" t="str">
        <x:v>ENH-20260830-01</x:v>
      </x:c>
      <x:c r="Z2137" t="str">
        <x:v>Active</x:v>
      </x:c>
      <x:c r="AA2137"/>
      <x:c r="AB2137"/>
      <x:c r="AC2137"/>
      <x:c r="AD2137"/>
    </x:row>
    <x:row r="2138">
      <x:c r="A2138" t="str">
        <x:v>PCC-PE-KG01-L24-20251026-AM-ORD-2025-00126-S10-C1</x:v>
      </x:c>
      <x:c r="B2138" t="str">
        <x:v>PC-PE-KG01-L24-20251026-AM-ORD-2025-00126-S10</x:v>
      </x:c>
      <x:c r="C2138" t="str">
        <x:v>PE-KG01-L24-20251026-AM-ORD-2025-00126</x:v>
      </x:c>
      <x:c r="D2138" t="str">
        <x:v>KG01</x:v>
      </x:c>
      <x:c r="E2138" s="62" t="n">
        <x:v>45956</x:v>
      </x:c>
      <x:c r="F2138" t="str">
        <x:v>AM</x:v>
      </x:c>
      <x:c r="G2138" t="str">
        <x:v>C</x:v>
      </x:c>
      <x:c r="H2138" t="n">
        <x:v>24</x:v>
      </x:c>
      <x:c r="I2138" t="str">
        <x:v>ORD-2025-00126</x:v>
      </x:c>
      <x:c r="J2138" t="n">
        <x:v>10</x:v>
      </x:c>
      <x:c r="K2138" t="n">
        <x:v>1</x:v>
      </x:c>
      <x:c r="L2138" t="str">
        <x:v>L24-S10-C1</x:v>
      </x:c>
      <x:c r="M2138" t="n">
        <x:v>1</x:v>
      </x:c>
      <x:c r="N2138" t="str">
        <x:v>DerivedFromCount</x:v>
      </x:c>
      <x:c r="O2138" t="str">
        <x:v>PLC-PRD-JAR-720-L24</x:v>
      </x:c>
      <x:c r="P2138" t="str">
        <x:v>OK</x:v>
      </x:c>
      <x:c r="Q2138" t="str">
        <x:v>OK</x:v>
      </x:c>
      <x:c r="R2138" t="str">
        <x:v>OK</x:v>
      </x:c>
      <x:c r="S2138" t="str">
        <x:v>OK</x:v>
      </x:c>
      <x:c r="T2138" t="n">
        <x:v>24</x:v>
      </x:c>
      <x:c r="U2138" t="str">
        <x:v>OK</x:v>
      </x:c>
      <x:c r="V2138" t="str">
        <x:v>OK</x:v>
      </x:c>
      <x:c r="W2138" t="str">
        <x:v>LOAD</x:v>
      </x:c>
      <x:c r="X2138" t="str">
        <x:v>02_Supervisor_Log(4).xlsx</x:v>
      </x:c>
      <x:c r="Y2138" t="str">
        <x:v>ENH-20260830-01</x:v>
      </x:c>
      <x:c r="Z2138" t="str">
        <x:v>Active</x:v>
      </x:c>
      <x:c r="AA2138"/>
      <x:c r="AB2138"/>
      <x:c r="AC2138"/>
      <x:c r="AD2138"/>
    </x:row>
    <x:row r="2139">
      <x:c r="A2139" t="str">
        <x:v>PCC-PE-KG01-L24-20251026-AM-ORD-2025-00126-S10-C2</x:v>
      </x:c>
      <x:c r="B2139" t="str">
        <x:v>PC-PE-KG01-L24-20251026-AM-ORD-2025-00126-S10</x:v>
      </x:c>
      <x:c r="C2139" t="str">
        <x:v>PE-KG01-L24-20251026-AM-ORD-2025-00126</x:v>
      </x:c>
      <x:c r="D2139" t="str">
        <x:v>KG01</x:v>
      </x:c>
      <x:c r="E2139" s="62" t="n">
        <x:v>45956</x:v>
      </x:c>
      <x:c r="F2139" t="str">
        <x:v>AM</x:v>
      </x:c>
      <x:c r="G2139" t="str">
        <x:v>C</x:v>
      </x:c>
      <x:c r="H2139" t="n">
        <x:v>24</x:v>
      </x:c>
      <x:c r="I2139" t="str">
        <x:v>ORD-2025-00126</x:v>
      </x:c>
      <x:c r="J2139" t="n">
        <x:v>10</x:v>
      </x:c>
      <x:c r="K2139" t="n">
        <x:v>2</x:v>
      </x:c>
      <x:c r="L2139" t="str">
        <x:v>L24-S10-C2</x:v>
      </x:c>
      <x:c r="M2139" t="n">
        <x:v>1</x:v>
      </x:c>
      <x:c r="N2139" t="str">
        <x:v>DerivedFromCount</x:v>
      </x:c>
      <x:c r="O2139" t="str">
        <x:v>PLC-PRD-JAR-720-L24</x:v>
      </x:c>
      <x:c r="P2139" t="str">
        <x:v>OK</x:v>
      </x:c>
      <x:c r="Q2139" t="str">
        <x:v>OK</x:v>
      </x:c>
      <x:c r="R2139" t="str">
        <x:v>OK</x:v>
      </x:c>
      <x:c r="S2139" t="str">
        <x:v>OK</x:v>
      </x:c>
      <x:c r="T2139" t="n">
        <x:v>24</x:v>
      </x:c>
      <x:c r="U2139" t="str">
        <x:v>OK</x:v>
      </x:c>
      <x:c r="V2139" t="str">
        <x:v>OK</x:v>
      </x:c>
      <x:c r="W2139" t="str">
        <x:v>LOAD</x:v>
      </x:c>
      <x:c r="X2139" t="str">
        <x:v>02_Supervisor_Log(4).xlsx</x:v>
      </x:c>
      <x:c r="Y2139" t="str">
        <x:v>ENH-20260830-01</x:v>
      </x:c>
      <x:c r="Z2139" t="str">
        <x:v>Active</x:v>
      </x:c>
      <x:c r="AA2139"/>
      <x:c r="AB2139"/>
      <x:c r="AC2139"/>
      <x:c r="AD2139"/>
    </x:row>
    <x:row r="2140">
      <x:c r="A2140" t="str">
        <x:v>PCC-PE-KG01-L24-20251026-AM-ORD-2025-00126-S10-C3</x:v>
      </x:c>
      <x:c r="B2140" t="str">
        <x:v>PC-PE-KG01-L24-20251026-AM-ORD-2025-00126-S10</x:v>
      </x:c>
      <x:c r="C2140" t="str">
        <x:v>PE-KG01-L24-20251026-AM-ORD-2025-00126</x:v>
      </x:c>
      <x:c r="D2140" t="str">
        <x:v>KG01</x:v>
      </x:c>
      <x:c r="E2140" s="62" t="n">
        <x:v>45956</x:v>
      </x:c>
      <x:c r="F2140" t="str">
        <x:v>AM</x:v>
      </x:c>
      <x:c r="G2140" t="str">
        <x:v>C</x:v>
      </x:c>
      <x:c r="H2140" t="n">
        <x:v>24</x:v>
      </x:c>
      <x:c r="I2140" t="str">
        <x:v>ORD-2025-00126</x:v>
      </x:c>
      <x:c r="J2140" t="n">
        <x:v>10</x:v>
      </x:c>
      <x:c r="K2140" t="n">
        <x:v>3</x:v>
      </x:c>
      <x:c r="L2140" t="str">
        <x:v>L24-S10-C3</x:v>
      </x:c>
      <x:c r="M2140" t="n">
        <x:v>0</x:v>
      </x:c>
      <x:c r="N2140" t="str">
        <x:v>DerivedFromCount</x:v>
      </x:c>
      <x:c r="O2140" t="str">
        <x:v>PLC-PRD-JAR-720-L24</x:v>
      </x:c>
      <x:c r="P2140" t="str">
        <x:v>OK</x:v>
      </x:c>
      <x:c r="Q2140" t="str">
        <x:v>OK</x:v>
      </x:c>
      <x:c r="R2140" t="str">
        <x:v>OK</x:v>
      </x:c>
      <x:c r="S2140" t="str">
        <x:v>OK</x:v>
      </x:c>
      <x:c r="T2140" t="n">
        <x:v>24</x:v>
      </x:c>
      <x:c r="U2140" t="str">
        <x:v>OK</x:v>
      </x:c>
      <x:c r="V2140" t="str">
        <x:v>OK</x:v>
      </x:c>
      <x:c r="W2140" t="str">
        <x:v>LOAD</x:v>
      </x:c>
      <x:c r="X2140" t="str">
        <x:v>02_Supervisor_Log(4).xlsx</x:v>
      </x:c>
      <x:c r="Y2140" t="str">
        <x:v>ENH-20260830-01</x:v>
      </x:c>
      <x:c r="Z2140" t="str">
        <x:v>Active</x:v>
      </x:c>
      <x:c r="AA2140"/>
      <x:c r="AB2140"/>
      <x:c r="AC2140"/>
      <x:c r="AD2140"/>
    </x:row>
    <x:row r="2141">
      <x:c r="A2141" t="str">
        <x:v>PCC-PE-KG01-L24-20251026-AM-ORD-2025-00126-S11-C1</x:v>
      </x:c>
      <x:c r="B2141" t="str">
        <x:v>PC-PE-KG01-L24-20251026-AM-ORD-2025-00126-S11</x:v>
      </x:c>
      <x:c r="C2141" t="str">
        <x:v>PE-KG01-L24-20251026-AM-ORD-2025-00126</x:v>
      </x:c>
      <x:c r="D2141" t="str">
        <x:v>KG01</x:v>
      </x:c>
      <x:c r="E2141" s="62" t="n">
        <x:v>45956</x:v>
      </x:c>
      <x:c r="F2141" t="str">
        <x:v>AM</x:v>
      </x:c>
      <x:c r="G2141" t="str">
        <x:v>C</x:v>
      </x:c>
      <x:c r="H2141" t="n">
        <x:v>24</x:v>
      </x:c>
      <x:c r="I2141" t="str">
        <x:v>ORD-2025-00126</x:v>
      </x:c>
      <x:c r="J2141" t="n">
        <x:v>11</x:v>
      </x:c>
      <x:c r="K2141" t="n">
        <x:v>1</x:v>
      </x:c>
      <x:c r="L2141" t="str">
        <x:v>L24-S11-C1</x:v>
      </x:c>
      <x:c r="M2141" t="n">
        <x:v>1</x:v>
      </x:c>
      <x:c r="N2141" t="str">
        <x:v>DerivedFromCount</x:v>
      </x:c>
      <x:c r="O2141" t="str">
        <x:v>PLC-PRD-JAR-720-L24</x:v>
      </x:c>
      <x:c r="P2141" t="str">
        <x:v>OK</x:v>
      </x:c>
      <x:c r="Q2141" t="str">
        <x:v>OK</x:v>
      </x:c>
      <x:c r="R2141" t="str">
        <x:v>OK</x:v>
      </x:c>
      <x:c r="S2141" t="str">
        <x:v>OK</x:v>
      </x:c>
      <x:c r="T2141" t="n">
        <x:v>24</x:v>
      </x:c>
      <x:c r="U2141" t="str">
        <x:v>OK</x:v>
      </x:c>
      <x:c r="V2141" t="str">
        <x:v>OK</x:v>
      </x:c>
      <x:c r="W2141" t="str">
        <x:v>LOAD</x:v>
      </x:c>
      <x:c r="X2141" t="str">
        <x:v>02_Supervisor_Log(4).xlsx</x:v>
      </x:c>
      <x:c r="Y2141" t="str">
        <x:v>ENH-20260830-01</x:v>
      </x:c>
      <x:c r="Z2141" t="str">
        <x:v>Active</x:v>
      </x:c>
      <x:c r="AA2141"/>
      <x:c r="AB2141"/>
      <x:c r="AC2141"/>
      <x:c r="AD2141"/>
    </x:row>
    <x:row r="2142">
      <x:c r="A2142" t="str">
        <x:v>PCC-PE-KG01-L24-20251026-AM-ORD-2025-00126-S11-C2</x:v>
      </x:c>
      <x:c r="B2142" t="str">
        <x:v>PC-PE-KG01-L24-20251026-AM-ORD-2025-00126-S11</x:v>
      </x:c>
      <x:c r="C2142" t="str">
        <x:v>PE-KG01-L24-20251026-AM-ORD-2025-00126</x:v>
      </x:c>
      <x:c r="D2142" t="str">
        <x:v>KG01</x:v>
      </x:c>
      <x:c r="E2142" s="62" t="n">
        <x:v>45956</x:v>
      </x:c>
      <x:c r="F2142" t="str">
        <x:v>AM</x:v>
      </x:c>
      <x:c r="G2142" t="str">
        <x:v>C</x:v>
      </x:c>
      <x:c r="H2142" t="n">
        <x:v>24</x:v>
      </x:c>
      <x:c r="I2142" t="str">
        <x:v>ORD-2025-00126</x:v>
      </x:c>
      <x:c r="J2142" t="n">
        <x:v>11</x:v>
      </x:c>
      <x:c r="K2142" t="n">
        <x:v>2</x:v>
      </x:c>
      <x:c r="L2142" t="str">
        <x:v>L24-S11-C2</x:v>
      </x:c>
      <x:c r="M2142" t="n">
        <x:v>1</x:v>
      </x:c>
      <x:c r="N2142" t="str">
        <x:v>DerivedFromCount</x:v>
      </x:c>
      <x:c r="O2142" t="str">
        <x:v>PLC-PRD-JAR-720-L24</x:v>
      </x:c>
      <x:c r="P2142" t="str">
        <x:v>OK</x:v>
      </x:c>
      <x:c r="Q2142" t="str">
        <x:v>OK</x:v>
      </x:c>
      <x:c r="R2142" t="str">
        <x:v>OK</x:v>
      </x:c>
      <x:c r="S2142" t="str">
        <x:v>OK</x:v>
      </x:c>
      <x:c r="T2142" t="n">
        <x:v>24</x:v>
      </x:c>
      <x:c r="U2142" t="str">
        <x:v>OK</x:v>
      </x:c>
      <x:c r="V2142" t="str">
        <x:v>OK</x:v>
      </x:c>
      <x:c r="W2142" t="str">
        <x:v>LOAD</x:v>
      </x:c>
      <x:c r="X2142" t="str">
        <x:v>02_Supervisor_Log(4).xlsx</x:v>
      </x:c>
      <x:c r="Y2142" t="str">
        <x:v>ENH-20260830-01</x:v>
      </x:c>
      <x:c r="Z2142" t="str">
        <x:v>Active</x:v>
      </x:c>
      <x:c r="AA2142"/>
      <x:c r="AB2142"/>
      <x:c r="AC2142"/>
      <x:c r="AD2142"/>
    </x:row>
    <x:row r="2143">
      <x:c r="A2143" t="str">
        <x:v>PCC-PE-KG01-L24-20251026-AM-ORD-2025-00126-S11-C3</x:v>
      </x:c>
      <x:c r="B2143" t="str">
        <x:v>PC-PE-KG01-L24-20251026-AM-ORD-2025-00126-S11</x:v>
      </x:c>
      <x:c r="C2143" t="str">
        <x:v>PE-KG01-L24-20251026-AM-ORD-2025-00126</x:v>
      </x:c>
      <x:c r="D2143" t="str">
        <x:v>KG01</x:v>
      </x:c>
      <x:c r="E2143" s="62" t="n">
        <x:v>45956</x:v>
      </x:c>
      <x:c r="F2143" t="str">
        <x:v>AM</x:v>
      </x:c>
      <x:c r="G2143" t="str">
        <x:v>C</x:v>
      </x:c>
      <x:c r="H2143" t="n">
        <x:v>24</x:v>
      </x:c>
      <x:c r="I2143" t="str">
        <x:v>ORD-2025-00126</x:v>
      </x:c>
      <x:c r="J2143" t="n">
        <x:v>11</x:v>
      </x:c>
      <x:c r="K2143" t="n">
        <x:v>3</x:v>
      </x:c>
      <x:c r="L2143" t="str">
        <x:v>L24-S11-C3</x:v>
      </x:c>
      <x:c r="M2143" t="n">
        <x:v>0</x:v>
      </x:c>
      <x:c r="N2143" t="str">
        <x:v>DerivedFromCount</x:v>
      </x:c>
      <x:c r="O2143" t="str">
        <x:v>PLC-PRD-JAR-720-L24</x:v>
      </x:c>
      <x:c r="P2143" t="str">
        <x:v>OK</x:v>
      </x:c>
      <x:c r="Q2143" t="str">
        <x:v>OK</x:v>
      </x:c>
      <x:c r="R2143" t="str">
        <x:v>OK</x:v>
      </x:c>
      <x:c r="S2143" t="str">
        <x:v>OK</x:v>
      </x:c>
      <x:c r="T2143" t="n">
        <x:v>24</x:v>
      </x:c>
      <x:c r="U2143" t="str">
        <x:v>OK</x:v>
      </x:c>
      <x:c r="V2143" t="str">
        <x:v>OK</x:v>
      </x:c>
      <x:c r="W2143" t="str">
        <x:v>LOAD</x:v>
      </x:c>
      <x:c r="X2143" t="str">
        <x:v>02_Supervisor_Log(4).xlsx</x:v>
      </x:c>
      <x:c r="Y2143" t="str">
        <x:v>ENH-20260830-01</x:v>
      </x:c>
      <x:c r="Z2143" t="str">
        <x:v>Active</x:v>
      </x:c>
      <x:c r="AA2143"/>
      <x:c r="AB2143"/>
      <x:c r="AC2143"/>
      <x:c r="AD2143"/>
    </x:row>
    <x:row r="2144">
      <x:c r="A2144" t="str">
        <x:v>PCC-PE-KG01-L24-20251026-AM-ORD-2025-00126-S12-C1</x:v>
      </x:c>
      <x:c r="B2144" t="str">
        <x:v>PC-PE-KG01-L24-20251026-AM-ORD-2025-00126-S12</x:v>
      </x:c>
      <x:c r="C2144" t="str">
        <x:v>PE-KG01-L24-20251026-AM-ORD-2025-00126</x:v>
      </x:c>
      <x:c r="D2144" t="str">
        <x:v>KG01</x:v>
      </x:c>
      <x:c r="E2144" s="62" t="n">
        <x:v>45956</x:v>
      </x:c>
      <x:c r="F2144" t="str">
        <x:v>AM</x:v>
      </x:c>
      <x:c r="G2144" t="str">
        <x:v>C</x:v>
      </x:c>
      <x:c r="H2144" t="n">
        <x:v>24</x:v>
      </x:c>
      <x:c r="I2144" t="str">
        <x:v>ORD-2025-00126</x:v>
      </x:c>
      <x:c r="J2144" t="n">
        <x:v>12</x:v>
      </x:c>
      <x:c r="K2144" t="n">
        <x:v>1</x:v>
      </x:c>
      <x:c r="L2144" t="str">
        <x:v>L24-S12-C1</x:v>
      </x:c>
      <x:c r="M2144" t="n">
        <x:v>1</x:v>
      </x:c>
      <x:c r="N2144" t="str">
        <x:v>DerivedFromCount</x:v>
      </x:c>
      <x:c r="O2144" t="str">
        <x:v>PLC-PRD-JAR-720-L24</x:v>
      </x:c>
      <x:c r="P2144" t="str">
        <x:v>OK</x:v>
      </x:c>
      <x:c r="Q2144" t="str">
        <x:v>OK</x:v>
      </x:c>
      <x:c r="R2144" t="str">
        <x:v>OK</x:v>
      </x:c>
      <x:c r="S2144" t="str">
        <x:v>OK</x:v>
      </x:c>
      <x:c r="T2144" t="n">
        <x:v>24</x:v>
      </x:c>
      <x:c r="U2144" t="str">
        <x:v>OK</x:v>
      </x:c>
      <x:c r="V2144" t="str">
        <x:v>OK</x:v>
      </x:c>
      <x:c r="W2144" t="str">
        <x:v>LOAD</x:v>
      </x:c>
      <x:c r="X2144" t="str">
        <x:v>02_Supervisor_Log(4).xlsx</x:v>
      </x:c>
      <x:c r="Y2144" t="str">
        <x:v>ENH-20260830-01</x:v>
      </x:c>
      <x:c r="Z2144" t="str">
        <x:v>Active</x:v>
      </x:c>
      <x:c r="AA2144"/>
      <x:c r="AB2144"/>
      <x:c r="AC2144"/>
      <x:c r="AD2144"/>
    </x:row>
    <x:row r="2145">
      <x:c r="A2145" t="str">
        <x:v>PCC-PE-KG01-L24-20251026-AM-ORD-2025-00126-S12-C2</x:v>
      </x:c>
      <x:c r="B2145" t="str">
        <x:v>PC-PE-KG01-L24-20251026-AM-ORD-2025-00126-S12</x:v>
      </x:c>
      <x:c r="C2145" t="str">
        <x:v>PE-KG01-L24-20251026-AM-ORD-2025-00126</x:v>
      </x:c>
      <x:c r="D2145" t="str">
        <x:v>KG01</x:v>
      </x:c>
      <x:c r="E2145" s="62" t="n">
        <x:v>45956</x:v>
      </x:c>
      <x:c r="F2145" t="str">
        <x:v>AM</x:v>
      </x:c>
      <x:c r="G2145" t="str">
        <x:v>C</x:v>
      </x:c>
      <x:c r="H2145" t="n">
        <x:v>24</x:v>
      </x:c>
      <x:c r="I2145" t="str">
        <x:v>ORD-2025-00126</x:v>
      </x:c>
      <x:c r="J2145" t="n">
        <x:v>12</x:v>
      </x:c>
      <x:c r="K2145" t="n">
        <x:v>2</x:v>
      </x:c>
      <x:c r="L2145" t="str">
        <x:v>L24-S12-C2</x:v>
      </x:c>
      <x:c r="M2145" t="n">
        <x:v>1</x:v>
      </x:c>
      <x:c r="N2145" t="str">
        <x:v>DerivedFromCount</x:v>
      </x:c>
      <x:c r="O2145" t="str">
        <x:v>PLC-PRD-JAR-720-L24</x:v>
      </x:c>
      <x:c r="P2145" t="str">
        <x:v>OK</x:v>
      </x:c>
      <x:c r="Q2145" t="str">
        <x:v>OK</x:v>
      </x:c>
      <x:c r="R2145" t="str">
        <x:v>OK</x:v>
      </x:c>
      <x:c r="S2145" t="str">
        <x:v>OK</x:v>
      </x:c>
      <x:c r="T2145" t="n">
        <x:v>24</x:v>
      </x:c>
      <x:c r="U2145" t="str">
        <x:v>OK</x:v>
      </x:c>
      <x:c r="V2145" t="str">
        <x:v>OK</x:v>
      </x:c>
      <x:c r="W2145" t="str">
        <x:v>LOAD</x:v>
      </x:c>
      <x:c r="X2145" t="str">
        <x:v>02_Supervisor_Log(4).xlsx</x:v>
      </x:c>
      <x:c r="Y2145" t="str">
        <x:v>ENH-20260830-01</x:v>
      </x:c>
      <x:c r="Z2145" t="str">
        <x:v>Active</x:v>
      </x:c>
      <x:c r="AA2145"/>
      <x:c r="AB2145"/>
      <x:c r="AC2145"/>
      <x:c r="AD2145"/>
    </x:row>
    <x:row r="2146">
      <x:c r="A2146" t="str">
        <x:v>PCC-PE-KG01-L24-20251026-AM-ORD-2025-00126-S12-C3</x:v>
      </x:c>
      <x:c r="B2146" t="str">
        <x:v>PC-PE-KG01-L24-20251026-AM-ORD-2025-00126-S12</x:v>
      </x:c>
      <x:c r="C2146" t="str">
        <x:v>PE-KG01-L24-20251026-AM-ORD-2025-00126</x:v>
      </x:c>
      <x:c r="D2146" t="str">
        <x:v>KG01</x:v>
      </x:c>
      <x:c r="E2146" s="62" t="n">
        <x:v>45956</x:v>
      </x:c>
      <x:c r="F2146" t="str">
        <x:v>AM</x:v>
      </x:c>
      <x:c r="G2146" t="str">
        <x:v>C</x:v>
      </x:c>
      <x:c r="H2146" t="n">
        <x:v>24</x:v>
      </x:c>
      <x:c r="I2146" t="str">
        <x:v>ORD-2025-00126</x:v>
      </x:c>
      <x:c r="J2146" t="n">
        <x:v>12</x:v>
      </x:c>
      <x:c r="K2146" t="n">
        <x:v>3</x:v>
      </x:c>
      <x:c r="L2146" t="str">
        <x:v>L24-S12-C3</x:v>
      </x:c>
      <x:c r="M2146" t="n">
        <x:v>0</x:v>
      </x:c>
      <x:c r="N2146" t="str">
        <x:v>DerivedFromCount</x:v>
      </x:c>
      <x:c r="O2146" t="str">
        <x:v>PLC-PRD-JAR-720-L24</x:v>
      </x:c>
      <x:c r="P2146" t="str">
        <x:v>OK</x:v>
      </x:c>
      <x:c r="Q2146" t="str">
        <x:v>OK</x:v>
      </x:c>
      <x:c r="R2146" t="str">
        <x:v>OK</x:v>
      </x:c>
      <x:c r="S2146" t="str">
        <x:v>OK</x:v>
      </x:c>
      <x:c r="T2146" t="n">
        <x:v>24</x:v>
      </x:c>
      <x:c r="U2146" t="str">
        <x:v>OK</x:v>
      </x:c>
      <x:c r="V2146" t="str">
        <x:v>OK</x:v>
      </x:c>
      <x:c r="W2146" t="str">
        <x:v>LOAD</x:v>
      </x:c>
      <x:c r="X2146" t="str">
        <x:v>02_Supervisor_Log(4).xlsx</x:v>
      </x:c>
      <x:c r="Y2146" t="str">
        <x:v>ENH-20260830-01</x:v>
      </x:c>
      <x:c r="Z2146" t="str">
        <x:v>Active</x:v>
      </x:c>
      <x:c r="AA2146"/>
      <x:c r="AB2146"/>
      <x:c r="AC2146"/>
      <x:c r="AD2146"/>
    </x:row>
    <x:row r="2147">
      <x:c r="A2147" t="str">
        <x:v>PCC-PE-KG01-L24-20251026-AM-ORD-2025-00126-S13-C1</x:v>
      </x:c>
      <x:c r="B2147" t="str">
        <x:v>PC-PE-KG01-L24-20251026-AM-ORD-2025-00126-S13</x:v>
      </x:c>
      <x:c r="C2147" t="str">
        <x:v>PE-KG01-L24-20251026-AM-ORD-2025-00126</x:v>
      </x:c>
      <x:c r="D2147" t="str">
        <x:v>KG01</x:v>
      </x:c>
      <x:c r="E2147" s="62" t="n">
        <x:v>45956</x:v>
      </x:c>
      <x:c r="F2147" t="str">
        <x:v>AM</x:v>
      </x:c>
      <x:c r="G2147" t="str">
        <x:v>C</x:v>
      </x:c>
      <x:c r="H2147" t="n">
        <x:v>24</x:v>
      </x:c>
      <x:c r="I2147" t="str">
        <x:v>ORD-2025-00126</x:v>
      </x:c>
      <x:c r="J2147" t="n">
        <x:v>13</x:v>
      </x:c>
      <x:c r="K2147" t="n">
        <x:v>1</x:v>
      </x:c>
      <x:c r="L2147" t="str">
        <x:v>L24-S13-C1</x:v>
      </x:c>
      <x:c r="M2147" t="n">
        <x:v>0</x:v>
      </x:c>
      <x:c r="N2147" t="str">
        <x:v>DerivedFromCount</x:v>
      </x:c>
      <x:c r="O2147" t="str">
        <x:v>PLC-PRD-JAR-720-L24</x:v>
      </x:c>
      <x:c r="P2147" t="str">
        <x:v>OK</x:v>
      </x:c>
      <x:c r="Q2147" t="str">
        <x:v>OK</x:v>
      </x:c>
      <x:c r="R2147" t="str">
        <x:v>OK</x:v>
      </x:c>
      <x:c r="S2147" t="str">
        <x:v>OK</x:v>
      </x:c>
      <x:c r="T2147" t="n">
        <x:v>24</x:v>
      </x:c>
      <x:c r="U2147" t="str">
        <x:v>OK</x:v>
      </x:c>
      <x:c r="V2147" t="str">
        <x:v>OK</x:v>
      </x:c>
      <x:c r="W2147" t="str">
        <x:v>LOAD</x:v>
      </x:c>
      <x:c r="X2147" t="str">
        <x:v>02_Supervisor_Log(4).xlsx</x:v>
      </x:c>
      <x:c r="Y2147" t="str">
        <x:v>ENH-20260830-01</x:v>
      </x:c>
      <x:c r="Z2147" t="str">
        <x:v>Active</x:v>
      </x:c>
      <x:c r="AA2147"/>
      <x:c r="AB2147"/>
      <x:c r="AC2147"/>
      <x:c r="AD2147"/>
    </x:row>
    <x:row r="2148">
      <x:c r="A2148" t="str">
        <x:v>PCC-PE-KG01-L24-20251026-AM-ORD-2025-00126-S13-C2</x:v>
      </x:c>
      <x:c r="B2148" t="str">
        <x:v>PC-PE-KG01-L24-20251026-AM-ORD-2025-00126-S13</x:v>
      </x:c>
      <x:c r="C2148" t="str">
        <x:v>PE-KG01-L24-20251026-AM-ORD-2025-00126</x:v>
      </x:c>
      <x:c r="D2148" t="str">
        <x:v>KG01</x:v>
      </x:c>
      <x:c r="E2148" s="62" t="n">
        <x:v>45956</x:v>
      </x:c>
      <x:c r="F2148" t="str">
        <x:v>AM</x:v>
      </x:c>
      <x:c r="G2148" t="str">
        <x:v>C</x:v>
      </x:c>
      <x:c r="H2148" t="n">
        <x:v>24</x:v>
      </x:c>
      <x:c r="I2148" t="str">
        <x:v>ORD-2025-00126</x:v>
      </x:c>
      <x:c r="J2148" t="n">
        <x:v>13</x:v>
      </x:c>
      <x:c r="K2148" t="n">
        <x:v>2</x:v>
      </x:c>
      <x:c r="L2148" t="str">
        <x:v>L24-S13-C2</x:v>
      </x:c>
      <x:c r="M2148" t="n">
        <x:v>0</x:v>
      </x:c>
      <x:c r="N2148" t="str">
        <x:v>DerivedFromCount</x:v>
      </x:c>
      <x:c r="O2148" t="str">
        <x:v>PLC-PRD-JAR-720-L24</x:v>
      </x:c>
      <x:c r="P2148" t="str">
        <x:v>OK</x:v>
      </x:c>
      <x:c r="Q2148" t="str">
        <x:v>OK</x:v>
      </x:c>
      <x:c r="R2148" t="str">
        <x:v>OK</x:v>
      </x:c>
      <x:c r="S2148" t="str">
        <x:v>OK</x:v>
      </x:c>
      <x:c r="T2148" t="n">
        <x:v>24</x:v>
      </x:c>
      <x:c r="U2148" t="str">
        <x:v>OK</x:v>
      </x:c>
      <x:c r="V2148" t="str">
        <x:v>OK</x:v>
      </x:c>
      <x:c r="W2148" t="str">
        <x:v>LOAD</x:v>
      </x:c>
      <x:c r="X2148" t="str">
        <x:v>02_Supervisor_Log(4).xlsx</x:v>
      </x:c>
      <x:c r="Y2148" t="str">
        <x:v>ENH-20260830-01</x:v>
      </x:c>
      <x:c r="Z2148" t="str">
        <x:v>Active</x:v>
      </x:c>
      <x:c r="AA2148"/>
      <x:c r="AB2148"/>
      <x:c r="AC2148"/>
      <x:c r="AD2148"/>
    </x:row>
    <x:row r="2149">
      <x:c r="A2149" t="str">
        <x:v>PCC-PE-KG01-L24-20251026-AM-ORD-2025-00126-S13-C3</x:v>
      </x:c>
      <x:c r="B2149" t="str">
        <x:v>PC-PE-KG01-L24-20251026-AM-ORD-2025-00126-S13</x:v>
      </x:c>
      <x:c r="C2149" t="str">
        <x:v>PE-KG01-L24-20251026-AM-ORD-2025-00126</x:v>
      </x:c>
      <x:c r="D2149" t="str">
        <x:v>KG01</x:v>
      </x:c>
      <x:c r="E2149" s="62" t="n">
        <x:v>45956</x:v>
      </x:c>
      <x:c r="F2149" t="str">
        <x:v>AM</x:v>
      </x:c>
      <x:c r="G2149" t="str">
        <x:v>C</x:v>
      </x:c>
      <x:c r="H2149" t="n">
        <x:v>24</x:v>
      </x:c>
      <x:c r="I2149" t="str">
        <x:v>ORD-2025-00126</x:v>
      </x:c>
      <x:c r="J2149" t="n">
        <x:v>13</x:v>
      </x:c>
      <x:c r="K2149" t="n">
        <x:v>3</x:v>
      </x:c>
      <x:c r="L2149" t="str">
        <x:v>L24-S13-C3</x:v>
      </x:c>
      <x:c r="M2149" t="n">
        <x:v>0</x:v>
      </x:c>
      <x:c r="N2149" t="str">
        <x:v>DerivedFromCount</x:v>
      </x:c>
      <x:c r="O2149" t="str">
        <x:v>PLC-PRD-JAR-720-L24</x:v>
      </x:c>
      <x:c r="P2149" t="str">
        <x:v>OK</x:v>
      </x:c>
      <x:c r="Q2149" t="str">
        <x:v>OK</x:v>
      </x:c>
      <x:c r="R2149" t="str">
        <x:v>OK</x:v>
      </x:c>
      <x:c r="S2149" t="str">
        <x:v>OK</x:v>
      </x:c>
      <x:c r="T2149" t="n">
        <x:v>24</x:v>
      </x:c>
      <x:c r="U2149" t="str">
        <x:v>OK</x:v>
      </x:c>
      <x:c r="V2149" t="str">
        <x:v>OK</x:v>
      </x:c>
      <x:c r="W2149" t="str">
        <x:v>LOAD</x:v>
      </x:c>
      <x:c r="X2149" t="str">
        <x:v>02_Supervisor_Log(4).xlsx</x:v>
      </x:c>
      <x:c r="Y2149" t="str">
        <x:v>ENH-20260830-01</x:v>
      </x:c>
      <x:c r="Z2149" t="str">
        <x:v>Active</x:v>
      </x:c>
      <x:c r="AA2149"/>
      <x:c r="AB2149"/>
      <x:c r="AC2149"/>
      <x:c r="AD2149"/>
    </x:row>
    <x:row r="2150">
      <x:c r="A2150" t="str">
        <x:v>PCC-PE-KG01-L24-20251026-PM-ORD-2025-00126-S01-C1</x:v>
      </x:c>
      <x:c r="B2150" t="str">
        <x:v>PC-PE-KG01-L24-20251026-PM-ORD-2025-00126-S01</x:v>
      </x:c>
      <x:c r="C2150" t="str">
        <x:v>PE-KG01-L24-20251026-PM-ORD-2025-00126</x:v>
      </x:c>
      <x:c r="D2150" t="str">
        <x:v>KG01</x:v>
      </x:c>
      <x:c r="E2150" s="62" t="n">
        <x:v>45956</x:v>
      </x:c>
      <x:c r="F2150" t="str">
        <x:v>PM</x:v>
      </x:c>
      <x:c r="G2150" t="str">
        <x:v>A</x:v>
      </x:c>
      <x:c r="H2150" t="n">
        <x:v>24</x:v>
      </x:c>
      <x:c r="I2150" t="str">
        <x:v>ORD-2025-00126</x:v>
      </x:c>
      <x:c r="J2150" t="n">
        <x:v>1</x:v>
      </x:c>
      <x:c r="K2150" t="n">
        <x:v>1</x:v>
      </x:c>
      <x:c r="L2150" t="str">
        <x:v>L24-S01-C1</x:v>
      </x:c>
      <x:c r="M2150" t="n">
        <x:v>1</x:v>
      </x:c>
      <x:c r="N2150" t="str">
        <x:v>DerivedFromCount</x:v>
      </x:c>
      <x:c r="O2150" t="str">
        <x:v>PLC-PRD-JAR-720-L24</x:v>
      </x:c>
      <x:c r="P2150" t="str">
        <x:v>OK</x:v>
      </x:c>
      <x:c r="Q2150" t="str">
        <x:v>OK</x:v>
      </x:c>
      <x:c r="R2150" t="str">
        <x:v>OK</x:v>
      </x:c>
      <x:c r="S2150" t="str">
        <x:v>OK</x:v>
      </x:c>
      <x:c r="T2150" t="n">
        <x:v>24</x:v>
      </x:c>
      <x:c r="U2150" t="str">
        <x:v>OK</x:v>
      </x:c>
      <x:c r="V2150" t="str">
        <x:v>OK</x:v>
      </x:c>
      <x:c r="W2150" t="str">
        <x:v>LOAD</x:v>
      </x:c>
      <x:c r="X2150" t="str">
        <x:v>02_Supervisor_Log(4).xlsx</x:v>
      </x:c>
      <x:c r="Y2150" t="str">
        <x:v>ENH-20260830-01</x:v>
      </x:c>
      <x:c r="Z2150" t="str">
        <x:v>Active</x:v>
      </x:c>
      <x:c r="AA2150"/>
      <x:c r="AB2150"/>
      <x:c r="AC2150"/>
      <x:c r="AD2150"/>
    </x:row>
    <x:row r="2151">
      <x:c r="A2151" t="str">
        <x:v>PCC-PE-KG01-L24-20251026-PM-ORD-2025-00126-S01-C2</x:v>
      </x:c>
      <x:c r="B2151" t="str">
        <x:v>PC-PE-KG01-L24-20251026-PM-ORD-2025-00126-S01</x:v>
      </x:c>
      <x:c r="C2151" t="str">
        <x:v>PE-KG01-L24-20251026-PM-ORD-2025-00126</x:v>
      </x:c>
      <x:c r="D2151" t="str">
        <x:v>KG01</x:v>
      </x:c>
      <x:c r="E2151" s="62" t="n">
        <x:v>45956</x:v>
      </x:c>
      <x:c r="F2151" t="str">
        <x:v>PM</x:v>
      </x:c>
      <x:c r="G2151" t="str">
        <x:v>A</x:v>
      </x:c>
      <x:c r="H2151" t="n">
        <x:v>24</x:v>
      </x:c>
      <x:c r="I2151" t="str">
        <x:v>ORD-2025-00126</x:v>
      </x:c>
      <x:c r="J2151" t="n">
        <x:v>1</x:v>
      </x:c>
      <x:c r="K2151" t="n">
        <x:v>2</x:v>
      </x:c>
      <x:c r="L2151" t="str">
        <x:v>L24-S01-C2</x:v>
      </x:c>
      <x:c r="M2151" t="n">
        <x:v>1</x:v>
      </x:c>
      <x:c r="N2151" t="str">
        <x:v>DerivedFromCount</x:v>
      </x:c>
      <x:c r="O2151" t="str">
        <x:v>PLC-PRD-JAR-720-L24</x:v>
      </x:c>
      <x:c r="P2151" t="str">
        <x:v>OK</x:v>
      </x:c>
      <x:c r="Q2151" t="str">
        <x:v>OK</x:v>
      </x:c>
      <x:c r="R2151" t="str">
        <x:v>OK</x:v>
      </x:c>
      <x:c r="S2151" t="str">
        <x:v>OK</x:v>
      </x:c>
      <x:c r="T2151" t="n">
        <x:v>24</x:v>
      </x:c>
      <x:c r="U2151" t="str">
        <x:v>OK</x:v>
      </x:c>
      <x:c r="V2151" t="str">
        <x:v>OK</x:v>
      </x:c>
      <x:c r="W2151" t="str">
        <x:v>LOAD</x:v>
      </x:c>
      <x:c r="X2151" t="str">
        <x:v>02_Supervisor_Log(4).xlsx</x:v>
      </x:c>
      <x:c r="Y2151" t="str">
        <x:v>ENH-20260830-01</x:v>
      </x:c>
      <x:c r="Z2151" t="str">
        <x:v>Active</x:v>
      </x:c>
      <x:c r="AA2151"/>
      <x:c r="AB2151"/>
      <x:c r="AC2151"/>
      <x:c r="AD2151"/>
    </x:row>
    <x:row r="2152">
      <x:c r="A2152" t="str">
        <x:v>PCC-PE-KG01-L24-20251026-PM-ORD-2025-00126-S01-C3</x:v>
      </x:c>
      <x:c r="B2152" t="str">
        <x:v>PC-PE-KG01-L24-20251026-PM-ORD-2025-00126-S01</x:v>
      </x:c>
      <x:c r="C2152" t="str">
        <x:v>PE-KG01-L24-20251026-PM-ORD-2025-00126</x:v>
      </x:c>
      <x:c r="D2152" t="str">
        <x:v>KG01</x:v>
      </x:c>
      <x:c r="E2152" s="62" t="n">
        <x:v>45956</x:v>
      </x:c>
      <x:c r="F2152" t="str">
        <x:v>PM</x:v>
      </x:c>
      <x:c r="G2152" t="str">
        <x:v>A</x:v>
      </x:c>
      <x:c r="H2152" t="n">
        <x:v>24</x:v>
      </x:c>
      <x:c r="I2152" t="str">
        <x:v>ORD-2025-00126</x:v>
      </x:c>
      <x:c r="J2152" t="n">
        <x:v>1</x:v>
      </x:c>
      <x:c r="K2152" t="n">
        <x:v>3</x:v>
      </x:c>
      <x:c r="L2152" t="str">
        <x:v>L24-S01-C3</x:v>
      </x:c>
      <x:c r="M2152" t="n">
        <x:v>0</x:v>
      </x:c>
      <x:c r="N2152" t="str">
        <x:v>DerivedFromCount</x:v>
      </x:c>
      <x:c r="O2152" t="str">
        <x:v>PLC-PRD-JAR-720-L24</x:v>
      </x:c>
      <x:c r="P2152" t="str">
        <x:v>OK</x:v>
      </x:c>
      <x:c r="Q2152" t="str">
        <x:v>OK</x:v>
      </x:c>
      <x:c r="R2152" t="str">
        <x:v>OK</x:v>
      </x:c>
      <x:c r="S2152" t="str">
        <x:v>OK</x:v>
      </x:c>
      <x:c r="T2152" t="n">
        <x:v>24</x:v>
      </x:c>
      <x:c r="U2152" t="str">
        <x:v>OK</x:v>
      </x:c>
      <x:c r="V2152" t="str">
        <x:v>OK</x:v>
      </x:c>
      <x:c r="W2152" t="str">
        <x:v>LOAD</x:v>
      </x:c>
      <x:c r="X2152" t="str">
        <x:v>02_Supervisor_Log(4).xlsx</x:v>
      </x:c>
      <x:c r="Y2152" t="str">
        <x:v>ENH-20260830-01</x:v>
      </x:c>
      <x:c r="Z2152" t="str">
        <x:v>Active</x:v>
      </x:c>
      <x:c r="AA2152"/>
      <x:c r="AB2152"/>
      <x:c r="AC2152"/>
      <x:c r="AD2152"/>
    </x:row>
    <x:row r="2153">
      <x:c r="A2153" t="str">
        <x:v>PCC-PE-KG01-L24-20251026-PM-ORD-2025-00126-S02-C1</x:v>
      </x:c>
      <x:c r="B2153" t="str">
        <x:v>PC-PE-KG01-L24-20251026-PM-ORD-2025-00126-S02</x:v>
      </x:c>
      <x:c r="C2153" t="str">
        <x:v>PE-KG01-L24-20251026-PM-ORD-2025-00126</x:v>
      </x:c>
      <x:c r="D2153" t="str">
        <x:v>KG01</x:v>
      </x:c>
      <x:c r="E2153" s="62" t="n">
        <x:v>45956</x:v>
      </x:c>
      <x:c r="F2153" t="str">
        <x:v>PM</x:v>
      </x:c>
      <x:c r="G2153" t="str">
        <x:v>A</x:v>
      </x:c>
      <x:c r="H2153" t="n">
        <x:v>24</x:v>
      </x:c>
      <x:c r="I2153" t="str">
        <x:v>ORD-2025-00126</x:v>
      </x:c>
      <x:c r="J2153" t="n">
        <x:v>2</x:v>
      </x:c>
      <x:c r="K2153" t="n">
        <x:v>1</x:v>
      </x:c>
      <x:c r="L2153" t="str">
        <x:v>L24-S02-C1</x:v>
      </x:c>
      <x:c r="M2153" t="n">
        <x:v>1</x:v>
      </x:c>
      <x:c r="N2153" t="str">
        <x:v>DerivedFromCount</x:v>
      </x:c>
      <x:c r="O2153" t="str">
        <x:v>PLC-PRD-JAR-720-L24</x:v>
      </x:c>
      <x:c r="P2153" t="str">
        <x:v>OK</x:v>
      </x:c>
      <x:c r="Q2153" t="str">
        <x:v>OK</x:v>
      </x:c>
      <x:c r="R2153" t="str">
        <x:v>OK</x:v>
      </x:c>
      <x:c r="S2153" t="str">
        <x:v>OK</x:v>
      </x:c>
      <x:c r="T2153" t="n">
        <x:v>24</x:v>
      </x:c>
      <x:c r="U2153" t="str">
        <x:v>OK</x:v>
      </x:c>
      <x:c r="V2153" t="str">
        <x:v>OK</x:v>
      </x:c>
      <x:c r="W2153" t="str">
        <x:v>LOAD</x:v>
      </x:c>
      <x:c r="X2153" t="str">
        <x:v>02_Supervisor_Log(4).xlsx</x:v>
      </x:c>
      <x:c r="Y2153" t="str">
        <x:v>ENH-20260830-01</x:v>
      </x:c>
      <x:c r="Z2153" t="str">
        <x:v>Active</x:v>
      </x:c>
      <x:c r="AA2153"/>
      <x:c r="AB2153"/>
      <x:c r="AC2153"/>
      <x:c r="AD2153"/>
    </x:row>
    <x:row r="2154">
      <x:c r="A2154" t="str">
        <x:v>PCC-PE-KG01-L24-20251026-PM-ORD-2025-00126-S02-C2</x:v>
      </x:c>
      <x:c r="B2154" t="str">
        <x:v>PC-PE-KG01-L24-20251026-PM-ORD-2025-00126-S02</x:v>
      </x:c>
      <x:c r="C2154" t="str">
        <x:v>PE-KG01-L24-20251026-PM-ORD-2025-00126</x:v>
      </x:c>
      <x:c r="D2154" t="str">
        <x:v>KG01</x:v>
      </x:c>
      <x:c r="E2154" s="62" t="n">
        <x:v>45956</x:v>
      </x:c>
      <x:c r="F2154" t="str">
        <x:v>PM</x:v>
      </x:c>
      <x:c r="G2154" t="str">
        <x:v>A</x:v>
      </x:c>
      <x:c r="H2154" t="n">
        <x:v>24</x:v>
      </x:c>
      <x:c r="I2154" t="str">
        <x:v>ORD-2025-00126</x:v>
      </x:c>
      <x:c r="J2154" t="n">
        <x:v>2</x:v>
      </x:c>
      <x:c r="K2154" t="n">
        <x:v>2</x:v>
      </x:c>
      <x:c r="L2154" t="str">
        <x:v>L24-S02-C2</x:v>
      </x:c>
      <x:c r="M2154" t="n">
        <x:v>1</x:v>
      </x:c>
      <x:c r="N2154" t="str">
        <x:v>DerivedFromCount</x:v>
      </x:c>
      <x:c r="O2154" t="str">
        <x:v>PLC-PRD-JAR-720-L24</x:v>
      </x:c>
      <x:c r="P2154" t="str">
        <x:v>OK</x:v>
      </x:c>
      <x:c r="Q2154" t="str">
        <x:v>OK</x:v>
      </x:c>
      <x:c r="R2154" t="str">
        <x:v>OK</x:v>
      </x:c>
      <x:c r="S2154" t="str">
        <x:v>OK</x:v>
      </x:c>
      <x:c r="T2154" t="n">
        <x:v>24</x:v>
      </x:c>
      <x:c r="U2154" t="str">
        <x:v>OK</x:v>
      </x:c>
      <x:c r="V2154" t="str">
        <x:v>OK</x:v>
      </x:c>
      <x:c r="W2154" t="str">
        <x:v>LOAD</x:v>
      </x:c>
      <x:c r="X2154" t="str">
        <x:v>02_Supervisor_Log(4).xlsx</x:v>
      </x:c>
      <x:c r="Y2154" t="str">
        <x:v>ENH-20260830-01</x:v>
      </x:c>
      <x:c r="Z2154" t="str">
        <x:v>Active</x:v>
      </x:c>
      <x:c r="AA2154"/>
      <x:c r="AB2154"/>
      <x:c r="AC2154"/>
      <x:c r="AD2154"/>
    </x:row>
    <x:row r="2155">
      <x:c r="A2155" t="str">
        <x:v>PCC-PE-KG01-L24-20251026-PM-ORD-2025-00126-S02-C3</x:v>
      </x:c>
      <x:c r="B2155" t="str">
        <x:v>PC-PE-KG01-L24-20251026-PM-ORD-2025-00126-S02</x:v>
      </x:c>
      <x:c r="C2155" t="str">
        <x:v>PE-KG01-L24-20251026-PM-ORD-2025-00126</x:v>
      </x:c>
      <x:c r="D2155" t="str">
        <x:v>KG01</x:v>
      </x:c>
      <x:c r="E2155" s="62" t="n">
        <x:v>45956</x:v>
      </x:c>
      <x:c r="F2155" t="str">
        <x:v>PM</x:v>
      </x:c>
      <x:c r="G2155" t="str">
        <x:v>A</x:v>
      </x:c>
      <x:c r="H2155" t="n">
        <x:v>24</x:v>
      </x:c>
      <x:c r="I2155" t="str">
        <x:v>ORD-2025-00126</x:v>
      </x:c>
      <x:c r="J2155" t="n">
        <x:v>2</x:v>
      </x:c>
      <x:c r="K2155" t="n">
        <x:v>3</x:v>
      </x:c>
      <x:c r="L2155" t="str">
        <x:v>L24-S02-C3</x:v>
      </x:c>
      <x:c r="M2155" t="n">
        <x:v>0</x:v>
      </x:c>
      <x:c r="N2155" t="str">
        <x:v>DerivedFromCount</x:v>
      </x:c>
      <x:c r="O2155" t="str">
        <x:v>PLC-PRD-JAR-720-L24</x:v>
      </x:c>
      <x:c r="P2155" t="str">
        <x:v>OK</x:v>
      </x:c>
      <x:c r="Q2155" t="str">
        <x:v>OK</x:v>
      </x:c>
      <x:c r="R2155" t="str">
        <x:v>OK</x:v>
      </x:c>
      <x:c r="S2155" t="str">
        <x:v>OK</x:v>
      </x:c>
      <x:c r="T2155" t="n">
        <x:v>24</x:v>
      </x:c>
      <x:c r="U2155" t="str">
        <x:v>OK</x:v>
      </x:c>
      <x:c r="V2155" t="str">
        <x:v>OK</x:v>
      </x:c>
      <x:c r="W2155" t="str">
        <x:v>LOAD</x:v>
      </x:c>
      <x:c r="X2155" t="str">
        <x:v>02_Supervisor_Log(4).xlsx</x:v>
      </x:c>
      <x:c r="Y2155" t="str">
        <x:v>ENH-20260830-01</x:v>
      </x:c>
      <x:c r="Z2155" t="str">
        <x:v>Active</x:v>
      </x:c>
      <x:c r="AA2155"/>
      <x:c r="AB2155"/>
      <x:c r="AC2155"/>
      <x:c r="AD2155"/>
    </x:row>
    <x:row r="2156">
      <x:c r="A2156" t="str">
        <x:v>PCC-PE-KG01-L24-20251026-PM-ORD-2025-00126-S03-C1</x:v>
      </x:c>
      <x:c r="B2156" t="str">
        <x:v>PC-PE-KG01-L24-20251026-PM-ORD-2025-00126-S03</x:v>
      </x:c>
      <x:c r="C2156" t="str">
        <x:v>PE-KG01-L24-20251026-PM-ORD-2025-00126</x:v>
      </x:c>
      <x:c r="D2156" t="str">
        <x:v>KG01</x:v>
      </x:c>
      <x:c r="E2156" s="62" t="n">
        <x:v>45956</x:v>
      </x:c>
      <x:c r="F2156" t="str">
        <x:v>PM</x:v>
      </x:c>
      <x:c r="G2156" t="str">
        <x:v>A</x:v>
      </x:c>
      <x:c r="H2156" t="n">
        <x:v>24</x:v>
      </x:c>
      <x:c r="I2156" t="str">
        <x:v>ORD-2025-00126</x:v>
      </x:c>
      <x:c r="J2156" t="n">
        <x:v>3</x:v>
      </x:c>
      <x:c r="K2156" t="n">
        <x:v>1</x:v>
      </x:c>
      <x:c r="L2156" t="str">
        <x:v>L24-S03-C1</x:v>
      </x:c>
      <x:c r="M2156" t="n">
        <x:v>1</x:v>
      </x:c>
      <x:c r="N2156" t="str">
        <x:v>DerivedFromCount</x:v>
      </x:c>
      <x:c r="O2156" t="str">
        <x:v>PLC-PRD-JAR-720-L24</x:v>
      </x:c>
      <x:c r="P2156" t="str">
        <x:v>OK</x:v>
      </x:c>
      <x:c r="Q2156" t="str">
        <x:v>OK</x:v>
      </x:c>
      <x:c r="R2156" t="str">
        <x:v>OK</x:v>
      </x:c>
      <x:c r="S2156" t="str">
        <x:v>OK</x:v>
      </x:c>
      <x:c r="T2156" t="n">
        <x:v>24</x:v>
      </x:c>
      <x:c r="U2156" t="str">
        <x:v>OK</x:v>
      </x:c>
      <x:c r="V2156" t="str">
        <x:v>OK</x:v>
      </x:c>
      <x:c r="W2156" t="str">
        <x:v>LOAD</x:v>
      </x:c>
      <x:c r="X2156" t="str">
        <x:v>02_Supervisor_Log(4).xlsx</x:v>
      </x:c>
      <x:c r="Y2156" t="str">
        <x:v>ENH-20260830-01</x:v>
      </x:c>
      <x:c r="Z2156" t="str">
        <x:v>Active</x:v>
      </x:c>
      <x:c r="AA2156"/>
      <x:c r="AB2156"/>
      <x:c r="AC2156"/>
      <x:c r="AD2156"/>
    </x:row>
    <x:row r="2157">
      <x:c r="A2157" t="str">
        <x:v>PCC-PE-KG01-L24-20251026-PM-ORD-2025-00126-S03-C2</x:v>
      </x:c>
      <x:c r="B2157" t="str">
        <x:v>PC-PE-KG01-L24-20251026-PM-ORD-2025-00126-S03</x:v>
      </x:c>
      <x:c r="C2157" t="str">
        <x:v>PE-KG01-L24-20251026-PM-ORD-2025-00126</x:v>
      </x:c>
      <x:c r="D2157" t="str">
        <x:v>KG01</x:v>
      </x:c>
      <x:c r="E2157" s="62" t="n">
        <x:v>45956</x:v>
      </x:c>
      <x:c r="F2157" t="str">
        <x:v>PM</x:v>
      </x:c>
      <x:c r="G2157" t="str">
        <x:v>A</x:v>
      </x:c>
      <x:c r="H2157" t="n">
        <x:v>24</x:v>
      </x:c>
      <x:c r="I2157" t="str">
        <x:v>ORD-2025-00126</x:v>
      </x:c>
      <x:c r="J2157" t="n">
        <x:v>3</x:v>
      </x:c>
      <x:c r="K2157" t="n">
        <x:v>2</x:v>
      </x:c>
      <x:c r="L2157" t="str">
        <x:v>L24-S03-C2</x:v>
      </x:c>
      <x:c r="M2157" t="n">
        <x:v>1</x:v>
      </x:c>
      <x:c r="N2157" t="str">
        <x:v>DerivedFromCount</x:v>
      </x:c>
      <x:c r="O2157" t="str">
        <x:v>PLC-PRD-JAR-720-L24</x:v>
      </x:c>
      <x:c r="P2157" t="str">
        <x:v>OK</x:v>
      </x:c>
      <x:c r="Q2157" t="str">
        <x:v>OK</x:v>
      </x:c>
      <x:c r="R2157" t="str">
        <x:v>OK</x:v>
      </x:c>
      <x:c r="S2157" t="str">
        <x:v>OK</x:v>
      </x:c>
      <x:c r="T2157" t="n">
        <x:v>24</x:v>
      </x:c>
      <x:c r="U2157" t="str">
        <x:v>OK</x:v>
      </x:c>
      <x:c r="V2157" t="str">
        <x:v>OK</x:v>
      </x:c>
      <x:c r="W2157" t="str">
        <x:v>LOAD</x:v>
      </x:c>
      <x:c r="X2157" t="str">
        <x:v>02_Supervisor_Log(4).xlsx</x:v>
      </x:c>
      <x:c r="Y2157" t="str">
        <x:v>ENH-20260830-01</x:v>
      </x:c>
      <x:c r="Z2157" t="str">
        <x:v>Active</x:v>
      </x:c>
      <x:c r="AA2157"/>
      <x:c r="AB2157"/>
      <x:c r="AC2157"/>
      <x:c r="AD2157"/>
    </x:row>
    <x:row r="2158">
      <x:c r="A2158" t="str">
        <x:v>PCC-PE-KG01-L24-20251026-PM-ORD-2025-00126-S03-C3</x:v>
      </x:c>
      <x:c r="B2158" t="str">
        <x:v>PC-PE-KG01-L24-20251026-PM-ORD-2025-00126-S03</x:v>
      </x:c>
      <x:c r="C2158" t="str">
        <x:v>PE-KG01-L24-20251026-PM-ORD-2025-00126</x:v>
      </x:c>
      <x:c r="D2158" t="str">
        <x:v>KG01</x:v>
      </x:c>
      <x:c r="E2158" s="62" t="n">
        <x:v>45956</x:v>
      </x:c>
      <x:c r="F2158" t="str">
        <x:v>PM</x:v>
      </x:c>
      <x:c r="G2158" t="str">
        <x:v>A</x:v>
      </x:c>
      <x:c r="H2158" t="n">
        <x:v>24</x:v>
      </x:c>
      <x:c r="I2158" t="str">
        <x:v>ORD-2025-00126</x:v>
      </x:c>
      <x:c r="J2158" t="n">
        <x:v>3</x:v>
      </x:c>
      <x:c r="K2158" t="n">
        <x:v>3</x:v>
      </x:c>
      <x:c r="L2158" t="str">
        <x:v>L24-S03-C3</x:v>
      </x:c>
      <x:c r="M2158" t="n">
        <x:v>0</x:v>
      </x:c>
      <x:c r="N2158" t="str">
        <x:v>DerivedFromCount</x:v>
      </x:c>
      <x:c r="O2158" t="str">
        <x:v>PLC-PRD-JAR-720-L24</x:v>
      </x:c>
      <x:c r="P2158" t="str">
        <x:v>OK</x:v>
      </x:c>
      <x:c r="Q2158" t="str">
        <x:v>OK</x:v>
      </x:c>
      <x:c r="R2158" t="str">
        <x:v>OK</x:v>
      </x:c>
      <x:c r="S2158" t="str">
        <x:v>OK</x:v>
      </x:c>
      <x:c r="T2158" t="n">
        <x:v>24</x:v>
      </x:c>
      <x:c r="U2158" t="str">
        <x:v>OK</x:v>
      </x:c>
      <x:c r="V2158" t="str">
        <x:v>OK</x:v>
      </x:c>
      <x:c r="W2158" t="str">
        <x:v>LOAD</x:v>
      </x:c>
      <x:c r="X2158" t="str">
        <x:v>02_Supervisor_Log(4).xlsx</x:v>
      </x:c>
      <x:c r="Y2158" t="str">
        <x:v>ENH-20260830-01</x:v>
      </x:c>
      <x:c r="Z2158" t="str">
        <x:v>Active</x:v>
      </x:c>
      <x:c r="AA2158"/>
      <x:c r="AB2158"/>
      <x:c r="AC2158"/>
      <x:c r="AD2158"/>
    </x:row>
    <x:row r="2159">
      <x:c r="A2159" t="str">
        <x:v>PCC-PE-KG01-L24-20251026-PM-ORD-2025-00126-S04-C1</x:v>
      </x:c>
      <x:c r="B2159" t="str">
        <x:v>PC-PE-KG01-L24-20251026-PM-ORD-2025-00126-S04</x:v>
      </x:c>
      <x:c r="C2159" t="str">
        <x:v>PE-KG01-L24-20251026-PM-ORD-2025-00126</x:v>
      </x:c>
      <x:c r="D2159" t="str">
        <x:v>KG01</x:v>
      </x:c>
      <x:c r="E2159" s="62" t="n">
        <x:v>45956</x:v>
      </x:c>
      <x:c r="F2159" t="str">
        <x:v>PM</x:v>
      </x:c>
      <x:c r="G2159" t="str">
        <x:v>A</x:v>
      </x:c>
      <x:c r="H2159" t="n">
        <x:v>24</x:v>
      </x:c>
      <x:c r="I2159" t="str">
        <x:v>ORD-2025-00126</x:v>
      </x:c>
      <x:c r="J2159" t="n">
        <x:v>4</x:v>
      </x:c>
      <x:c r="K2159" t="n">
        <x:v>1</x:v>
      </x:c>
      <x:c r="L2159" t="str">
        <x:v>L24-S04-C1</x:v>
      </x:c>
      <x:c r="M2159" t="n">
        <x:v>1</x:v>
      </x:c>
      <x:c r="N2159" t="str">
        <x:v>DerivedFromCount</x:v>
      </x:c>
      <x:c r="O2159" t="str">
        <x:v>PLC-PRD-JAR-720-L24</x:v>
      </x:c>
      <x:c r="P2159" t="str">
        <x:v>OK</x:v>
      </x:c>
      <x:c r="Q2159" t="str">
        <x:v>OK</x:v>
      </x:c>
      <x:c r="R2159" t="str">
        <x:v>OK</x:v>
      </x:c>
      <x:c r="S2159" t="str">
        <x:v>OK</x:v>
      </x:c>
      <x:c r="T2159" t="n">
        <x:v>24</x:v>
      </x:c>
      <x:c r="U2159" t="str">
        <x:v>OK</x:v>
      </x:c>
      <x:c r="V2159" t="str">
        <x:v>OK</x:v>
      </x:c>
      <x:c r="W2159" t="str">
        <x:v>LOAD</x:v>
      </x:c>
      <x:c r="X2159" t="str">
        <x:v>02_Supervisor_Log(4).xlsx</x:v>
      </x:c>
      <x:c r="Y2159" t="str">
        <x:v>ENH-20260830-01</x:v>
      </x:c>
      <x:c r="Z2159" t="str">
        <x:v>Active</x:v>
      </x:c>
      <x:c r="AA2159"/>
      <x:c r="AB2159"/>
      <x:c r="AC2159"/>
      <x:c r="AD2159"/>
    </x:row>
    <x:row r="2160">
      <x:c r="A2160" t="str">
        <x:v>PCC-PE-KG01-L24-20251026-PM-ORD-2025-00126-S04-C2</x:v>
      </x:c>
      <x:c r="B2160" t="str">
        <x:v>PC-PE-KG01-L24-20251026-PM-ORD-2025-00126-S04</x:v>
      </x:c>
      <x:c r="C2160" t="str">
        <x:v>PE-KG01-L24-20251026-PM-ORD-2025-00126</x:v>
      </x:c>
      <x:c r="D2160" t="str">
        <x:v>KG01</x:v>
      </x:c>
      <x:c r="E2160" s="62" t="n">
        <x:v>45956</x:v>
      </x:c>
      <x:c r="F2160" t="str">
        <x:v>PM</x:v>
      </x:c>
      <x:c r="G2160" t="str">
        <x:v>A</x:v>
      </x:c>
      <x:c r="H2160" t="n">
        <x:v>24</x:v>
      </x:c>
      <x:c r="I2160" t="str">
        <x:v>ORD-2025-00126</x:v>
      </x:c>
      <x:c r="J2160" t="n">
        <x:v>4</x:v>
      </x:c>
      <x:c r="K2160" t="n">
        <x:v>2</x:v>
      </x:c>
      <x:c r="L2160" t="str">
        <x:v>L24-S04-C2</x:v>
      </x:c>
      <x:c r="M2160" t="n">
        <x:v>1</x:v>
      </x:c>
      <x:c r="N2160" t="str">
        <x:v>DerivedFromCount</x:v>
      </x:c>
      <x:c r="O2160" t="str">
        <x:v>PLC-PRD-JAR-720-L24</x:v>
      </x:c>
      <x:c r="P2160" t="str">
        <x:v>OK</x:v>
      </x:c>
      <x:c r="Q2160" t="str">
        <x:v>OK</x:v>
      </x:c>
      <x:c r="R2160" t="str">
        <x:v>OK</x:v>
      </x:c>
      <x:c r="S2160" t="str">
        <x:v>OK</x:v>
      </x:c>
      <x:c r="T2160" t="n">
        <x:v>24</x:v>
      </x:c>
      <x:c r="U2160" t="str">
        <x:v>OK</x:v>
      </x:c>
      <x:c r="V2160" t="str">
        <x:v>OK</x:v>
      </x:c>
      <x:c r="W2160" t="str">
        <x:v>LOAD</x:v>
      </x:c>
      <x:c r="X2160" t="str">
        <x:v>02_Supervisor_Log(4).xlsx</x:v>
      </x:c>
      <x:c r="Y2160" t="str">
        <x:v>ENH-20260830-01</x:v>
      </x:c>
      <x:c r="Z2160" t="str">
        <x:v>Active</x:v>
      </x:c>
      <x:c r="AA2160"/>
      <x:c r="AB2160"/>
      <x:c r="AC2160"/>
      <x:c r="AD2160"/>
    </x:row>
    <x:row r="2161">
      <x:c r="A2161" t="str">
        <x:v>PCC-PE-KG01-L24-20251026-PM-ORD-2025-00126-S04-C3</x:v>
      </x:c>
      <x:c r="B2161" t="str">
        <x:v>PC-PE-KG01-L24-20251026-PM-ORD-2025-00126-S04</x:v>
      </x:c>
      <x:c r="C2161" t="str">
        <x:v>PE-KG01-L24-20251026-PM-ORD-2025-00126</x:v>
      </x:c>
      <x:c r="D2161" t="str">
        <x:v>KG01</x:v>
      </x:c>
      <x:c r="E2161" s="62" t="n">
        <x:v>45956</x:v>
      </x:c>
      <x:c r="F2161" t="str">
        <x:v>PM</x:v>
      </x:c>
      <x:c r="G2161" t="str">
        <x:v>A</x:v>
      </x:c>
      <x:c r="H2161" t="n">
        <x:v>24</x:v>
      </x:c>
      <x:c r="I2161" t="str">
        <x:v>ORD-2025-00126</x:v>
      </x:c>
      <x:c r="J2161" t="n">
        <x:v>4</x:v>
      </x:c>
      <x:c r="K2161" t="n">
        <x:v>3</x:v>
      </x:c>
      <x:c r="L2161" t="str">
        <x:v>L24-S04-C3</x:v>
      </x:c>
      <x:c r="M2161" t="n">
        <x:v>0</x:v>
      </x:c>
      <x:c r="N2161" t="str">
        <x:v>DerivedFromCount</x:v>
      </x:c>
      <x:c r="O2161" t="str">
        <x:v>PLC-PRD-JAR-720-L24</x:v>
      </x:c>
      <x:c r="P2161" t="str">
        <x:v>OK</x:v>
      </x:c>
      <x:c r="Q2161" t="str">
        <x:v>OK</x:v>
      </x:c>
      <x:c r="R2161" t="str">
        <x:v>OK</x:v>
      </x:c>
      <x:c r="S2161" t="str">
        <x:v>OK</x:v>
      </x:c>
      <x:c r="T2161" t="n">
        <x:v>24</x:v>
      </x:c>
      <x:c r="U2161" t="str">
        <x:v>OK</x:v>
      </x:c>
      <x:c r="V2161" t="str">
        <x:v>OK</x:v>
      </x:c>
      <x:c r="W2161" t="str">
        <x:v>LOAD</x:v>
      </x:c>
      <x:c r="X2161" t="str">
        <x:v>02_Supervisor_Log(4).xlsx</x:v>
      </x:c>
      <x:c r="Y2161" t="str">
        <x:v>ENH-20260830-01</x:v>
      </x:c>
      <x:c r="Z2161" t="str">
        <x:v>Active</x:v>
      </x:c>
      <x:c r="AA2161"/>
      <x:c r="AB2161"/>
      <x:c r="AC2161"/>
      <x:c r="AD2161"/>
    </x:row>
    <x:row r="2162">
      <x:c r="A2162" t="str">
        <x:v>PCC-PE-KG01-L24-20251026-PM-ORD-2025-00126-S05-C1</x:v>
      </x:c>
      <x:c r="B2162" t="str">
        <x:v>PC-PE-KG01-L24-20251026-PM-ORD-2025-00126-S05</x:v>
      </x:c>
      <x:c r="C2162" t="str">
        <x:v>PE-KG01-L24-20251026-PM-ORD-2025-00126</x:v>
      </x:c>
      <x:c r="D2162" t="str">
        <x:v>KG01</x:v>
      </x:c>
      <x:c r="E2162" s="62" t="n">
        <x:v>45956</x:v>
      </x:c>
      <x:c r="F2162" t="str">
        <x:v>PM</x:v>
      </x:c>
      <x:c r="G2162" t="str">
        <x:v>A</x:v>
      </x:c>
      <x:c r="H2162" t="n">
        <x:v>24</x:v>
      </x:c>
      <x:c r="I2162" t="str">
        <x:v>ORD-2025-00126</x:v>
      </x:c>
      <x:c r="J2162" t="n">
        <x:v>5</x:v>
      </x:c>
      <x:c r="K2162" t="n">
        <x:v>1</x:v>
      </x:c>
      <x:c r="L2162" t="str">
        <x:v>L24-S05-C1</x:v>
      </x:c>
      <x:c r="M2162" t="n">
        <x:v>1</x:v>
      </x:c>
      <x:c r="N2162" t="str">
        <x:v>DerivedFromCount</x:v>
      </x:c>
      <x:c r="O2162" t="str">
        <x:v>PLC-PRD-JAR-720-L24</x:v>
      </x:c>
      <x:c r="P2162" t="str">
        <x:v>OK</x:v>
      </x:c>
      <x:c r="Q2162" t="str">
        <x:v>OK</x:v>
      </x:c>
      <x:c r="R2162" t="str">
        <x:v>OK</x:v>
      </x:c>
      <x:c r="S2162" t="str">
        <x:v>OK</x:v>
      </x:c>
      <x:c r="T2162" t="n">
        <x:v>24</x:v>
      </x:c>
      <x:c r="U2162" t="str">
        <x:v>OK</x:v>
      </x:c>
      <x:c r="V2162" t="str">
        <x:v>OK</x:v>
      </x:c>
      <x:c r="W2162" t="str">
        <x:v>LOAD</x:v>
      </x:c>
      <x:c r="X2162" t="str">
        <x:v>02_Supervisor_Log(4).xlsx</x:v>
      </x:c>
      <x:c r="Y2162" t="str">
        <x:v>ENH-20260830-01</x:v>
      </x:c>
      <x:c r="Z2162" t="str">
        <x:v>Active</x:v>
      </x:c>
      <x:c r="AA2162"/>
      <x:c r="AB2162"/>
      <x:c r="AC2162"/>
      <x:c r="AD2162"/>
    </x:row>
    <x:row r="2163">
      <x:c r="A2163" t="str">
        <x:v>PCC-PE-KG01-L24-20251026-PM-ORD-2025-00126-S05-C2</x:v>
      </x:c>
      <x:c r="B2163" t="str">
        <x:v>PC-PE-KG01-L24-20251026-PM-ORD-2025-00126-S05</x:v>
      </x:c>
      <x:c r="C2163" t="str">
        <x:v>PE-KG01-L24-20251026-PM-ORD-2025-00126</x:v>
      </x:c>
      <x:c r="D2163" t="str">
        <x:v>KG01</x:v>
      </x:c>
      <x:c r="E2163" s="62" t="n">
        <x:v>45956</x:v>
      </x:c>
      <x:c r="F2163" t="str">
        <x:v>PM</x:v>
      </x:c>
      <x:c r="G2163" t="str">
        <x:v>A</x:v>
      </x:c>
      <x:c r="H2163" t="n">
        <x:v>24</x:v>
      </x:c>
      <x:c r="I2163" t="str">
        <x:v>ORD-2025-00126</x:v>
      </x:c>
      <x:c r="J2163" t="n">
        <x:v>5</x:v>
      </x:c>
      <x:c r="K2163" t="n">
        <x:v>2</x:v>
      </x:c>
      <x:c r="L2163" t="str">
        <x:v>L24-S05-C2</x:v>
      </x:c>
      <x:c r="M2163" t="n">
        <x:v>1</x:v>
      </x:c>
      <x:c r="N2163" t="str">
        <x:v>DerivedFromCount</x:v>
      </x:c>
      <x:c r="O2163" t="str">
        <x:v>PLC-PRD-JAR-720-L24</x:v>
      </x:c>
      <x:c r="P2163" t="str">
        <x:v>OK</x:v>
      </x:c>
      <x:c r="Q2163" t="str">
        <x:v>OK</x:v>
      </x:c>
      <x:c r="R2163" t="str">
        <x:v>OK</x:v>
      </x:c>
      <x:c r="S2163" t="str">
        <x:v>OK</x:v>
      </x:c>
      <x:c r="T2163" t="n">
        <x:v>24</x:v>
      </x:c>
      <x:c r="U2163" t="str">
        <x:v>OK</x:v>
      </x:c>
      <x:c r="V2163" t="str">
        <x:v>OK</x:v>
      </x:c>
      <x:c r="W2163" t="str">
        <x:v>LOAD</x:v>
      </x:c>
      <x:c r="X2163" t="str">
        <x:v>02_Supervisor_Log(4).xlsx</x:v>
      </x:c>
      <x:c r="Y2163" t="str">
        <x:v>ENH-20260830-01</x:v>
      </x:c>
      <x:c r="Z2163" t="str">
        <x:v>Active</x:v>
      </x:c>
      <x:c r="AA2163"/>
      <x:c r="AB2163"/>
      <x:c r="AC2163"/>
      <x:c r="AD2163"/>
    </x:row>
    <x:row r="2164">
      <x:c r="A2164" t="str">
        <x:v>PCC-PE-KG01-L24-20251026-PM-ORD-2025-00126-S05-C3</x:v>
      </x:c>
      <x:c r="B2164" t="str">
        <x:v>PC-PE-KG01-L24-20251026-PM-ORD-2025-00126-S05</x:v>
      </x:c>
      <x:c r="C2164" t="str">
        <x:v>PE-KG01-L24-20251026-PM-ORD-2025-00126</x:v>
      </x:c>
      <x:c r="D2164" t="str">
        <x:v>KG01</x:v>
      </x:c>
      <x:c r="E2164" s="62" t="n">
        <x:v>45956</x:v>
      </x:c>
      <x:c r="F2164" t="str">
        <x:v>PM</x:v>
      </x:c>
      <x:c r="G2164" t="str">
        <x:v>A</x:v>
      </x:c>
      <x:c r="H2164" t="n">
        <x:v>24</x:v>
      </x:c>
      <x:c r="I2164" t="str">
        <x:v>ORD-2025-00126</x:v>
      </x:c>
      <x:c r="J2164" t="n">
        <x:v>5</x:v>
      </x:c>
      <x:c r="K2164" t="n">
        <x:v>3</x:v>
      </x:c>
      <x:c r="L2164" t="str">
        <x:v>L24-S05-C3</x:v>
      </x:c>
      <x:c r="M2164" t="n">
        <x:v>0</x:v>
      </x:c>
      <x:c r="N2164" t="str">
        <x:v>DerivedFromCount</x:v>
      </x:c>
      <x:c r="O2164" t="str">
        <x:v>PLC-PRD-JAR-720-L24</x:v>
      </x:c>
      <x:c r="P2164" t="str">
        <x:v>OK</x:v>
      </x:c>
      <x:c r="Q2164" t="str">
        <x:v>OK</x:v>
      </x:c>
      <x:c r="R2164" t="str">
        <x:v>OK</x:v>
      </x:c>
      <x:c r="S2164" t="str">
        <x:v>OK</x:v>
      </x:c>
      <x:c r="T2164" t="n">
        <x:v>24</x:v>
      </x:c>
      <x:c r="U2164" t="str">
        <x:v>OK</x:v>
      </x:c>
      <x:c r="V2164" t="str">
        <x:v>OK</x:v>
      </x:c>
      <x:c r="W2164" t="str">
        <x:v>LOAD</x:v>
      </x:c>
      <x:c r="X2164" t="str">
        <x:v>02_Supervisor_Log(4).xlsx</x:v>
      </x:c>
      <x:c r="Y2164" t="str">
        <x:v>ENH-20260830-01</x:v>
      </x:c>
      <x:c r="Z2164" t="str">
        <x:v>Active</x:v>
      </x:c>
      <x:c r="AA2164"/>
      <x:c r="AB2164"/>
      <x:c r="AC2164"/>
      <x:c r="AD2164"/>
    </x:row>
    <x:row r="2165">
      <x:c r="A2165" t="str">
        <x:v>PCC-PE-KG01-L24-20251026-PM-ORD-2025-00126-S06-C1</x:v>
      </x:c>
      <x:c r="B2165" t="str">
        <x:v>PC-PE-KG01-L24-20251026-PM-ORD-2025-00126-S06</x:v>
      </x:c>
      <x:c r="C2165" t="str">
        <x:v>PE-KG01-L24-20251026-PM-ORD-2025-00126</x:v>
      </x:c>
      <x:c r="D2165" t="str">
        <x:v>KG01</x:v>
      </x:c>
      <x:c r="E2165" s="62" t="n">
        <x:v>45956</x:v>
      </x:c>
      <x:c r="F2165" t="str">
        <x:v>PM</x:v>
      </x:c>
      <x:c r="G2165" t="str">
        <x:v>A</x:v>
      </x:c>
      <x:c r="H2165" t="n">
        <x:v>24</x:v>
      </x:c>
      <x:c r="I2165" t="str">
        <x:v>ORD-2025-00126</x:v>
      </x:c>
      <x:c r="J2165" t="n">
        <x:v>6</x:v>
      </x:c>
      <x:c r="K2165" t="n">
        <x:v>1</x:v>
      </x:c>
      <x:c r="L2165" t="str">
        <x:v>L24-S06-C1</x:v>
      </x:c>
      <x:c r="M2165" t="n">
        <x:v>1</x:v>
      </x:c>
      <x:c r="N2165" t="str">
        <x:v>DerivedFromCount</x:v>
      </x:c>
      <x:c r="O2165" t="str">
        <x:v>PLC-PRD-JAR-720-L24</x:v>
      </x:c>
      <x:c r="P2165" t="str">
        <x:v>OK</x:v>
      </x:c>
      <x:c r="Q2165" t="str">
        <x:v>OK</x:v>
      </x:c>
      <x:c r="R2165" t="str">
        <x:v>OK</x:v>
      </x:c>
      <x:c r="S2165" t="str">
        <x:v>OK</x:v>
      </x:c>
      <x:c r="T2165" t="n">
        <x:v>24</x:v>
      </x:c>
      <x:c r="U2165" t="str">
        <x:v>OK</x:v>
      </x:c>
      <x:c r="V2165" t="str">
        <x:v>OK</x:v>
      </x:c>
      <x:c r="W2165" t="str">
        <x:v>LOAD</x:v>
      </x:c>
      <x:c r="X2165" t="str">
        <x:v>02_Supervisor_Log(4).xlsx</x:v>
      </x:c>
      <x:c r="Y2165" t="str">
        <x:v>ENH-20260830-01</x:v>
      </x:c>
      <x:c r="Z2165" t="str">
        <x:v>Active</x:v>
      </x:c>
      <x:c r="AA2165"/>
      <x:c r="AB2165"/>
      <x:c r="AC2165"/>
      <x:c r="AD2165"/>
    </x:row>
    <x:row r="2166">
      <x:c r="A2166" t="str">
        <x:v>PCC-PE-KG01-L24-20251026-PM-ORD-2025-00126-S06-C2</x:v>
      </x:c>
      <x:c r="B2166" t="str">
        <x:v>PC-PE-KG01-L24-20251026-PM-ORD-2025-00126-S06</x:v>
      </x:c>
      <x:c r="C2166" t="str">
        <x:v>PE-KG01-L24-20251026-PM-ORD-2025-00126</x:v>
      </x:c>
      <x:c r="D2166" t="str">
        <x:v>KG01</x:v>
      </x:c>
      <x:c r="E2166" s="62" t="n">
        <x:v>45956</x:v>
      </x:c>
      <x:c r="F2166" t="str">
        <x:v>PM</x:v>
      </x:c>
      <x:c r="G2166" t="str">
        <x:v>A</x:v>
      </x:c>
      <x:c r="H2166" t="n">
        <x:v>24</x:v>
      </x:c>
      <x:c r="I2166" t="str">
        <x:v>ORD-2025-00126</x:v>
      </x:c>
      <x:c r="J2166" t="n">
        <x:v>6</x:v>
      </x:c>
      <x:c r="K2166" t="n">
        <x:v>2</x:v>
      </x:c>
      <x:c r="L2166" t="str">
        <x:v>L24-S06-C2</x:v>
      </x:c>
      <x:c r="M2166" t="n">
        <x:v>1</x:v>
      </x:c>
      <x:c r="N2166" t="str">
        <x:v>DerivedFromCount</x:v>
      </x:c>
      <x:c r="O2166" t="str">
        <x:v>PLC-PRD-JAR-720-L24</x:v>
      </x:c>
      <x:c r="P2166" t="str">
        <x:v>OK</x:v>
      </x:c>
      <x:c r="Q2166" t="str">
        <x:v>OK</x:v>
      </x:c>
      <x:c r="R2166" t="str">
        <x:v>OK</x:v>
      </x:c>
      <x:c r="S2166" t="str">
        <x:v>OK</x:v>
      </x:c>
      <x:c r="T2166" t="n">
        <x:v>24</x:v>
      </x:c>
      <x:c r="U2166" t="str">
        <x:v>OK</x:v>
      </x:c>
      <x:c r="V2166" t="str">
        <x:v>OK</x:v>
      </x:c>
      <x:c r="W2166" t="str">
        <x:v>LOAD</x:v>
      </x:c>
      <x:c r="X2166" t="str">
        <x:v>02_Supervisor_Log(4).xlsx</x:v>
      </x:c>
      <x:c r="Y2166" t="str">
        <x:v>ENH-20260830-01</x:v>
      </x:c>
      <x:c r="Z2166" t="str">
        <x:v>Active</x:v>
      </x:c>
      <x:c r="AA2166"/>
      <x:c r="AB2166"/>
      <x:c r="AC2166"/>
      <x:c r="AD2166"/>
    </x:row>
    <x:row r="2167">
      <x:c r="A2167" t="str">
        <x:v>PCC-PE-KG01-L24-20251026-PM-ORD-2025-00126-S06-C3</x:v>
      </x:c>
      <x:c r="B2167" t="str">
        <x:v>PC-PE-KG01-L24-20251026-PM-ORD-2025-00126-S06</x:v>
      </x:c>
      <x:c r="C2167" t="str">
        <x:v>PE-KG01-L24-20251026-PM-ORD-2025-00126</x:v>
      </x:c>
      <x:c r="D2167" t="str">
        <x:v>KG01</x:v>
      </x:c>
      <x:c r="E2167" s="62" t="n">
        <x:v>45956</x:v>
      </x:c>
      <x:c r="F2167" t="str">
        <x:v>PM</x:v>
      </x:c>
      <x:c r="G2167" t="str">
        <x:v>A</x:v>
      </x:c>
      <x:c r="H2167" t="n">
        <x:v>24</x:v>
      </x:c>
      <x:c r="I2167" t="str">
        <x:v>ORD-2025-00126</x:v>
      </x:c>
      <x:c r="J2167" t="n">
        <x:v>6</x:v>
      </x:c>
      <x:c r="K2167" t="n">
        <x:v>3</x:v>
      </x:c>
      <x:c r="L2167" t="str">
        <x:v>L24-S06-C3</x:v>
      </x:c>
      <x:c r="M2167" t="n">
        <x:v>0</x:v>
      </x:c>
      <x:c r="N2167" t="str">
        <x:v>DerivedFromCount</x:v>
      </x:c>
      <x:c r="O2167" t="str">
        <x:v>PLC-PRD-JAR-720-L24</x:v>
      </x:c>
      <x:c r="P2167" t="str">
        <x:v>OK</x:v>
      </x:c>
      <x:c r="Q2167" t="str">
        <x:v>OK</x:v>
      </x:c>
      <x:c r="R2167" t="str">
        <x:v>OK</x:v>
      </x:c>
      <x:c r="S2167" t="str">
        <x:v>OK</x:v>
      </x:c>
      <x:c r="T2167" t="n">
        <x:v>24</x:v>
      </x:c>
      <x:c r="U2167" t="str">
        <x:v>OK</x:v>
      </x:c>
      <x:c r="V2167" t="str">
        <x:v>OK</x:v>
      </x:c>
      <x:c r="W2167" t="str">
        <x:v>LOAD</x:v>
      </x:c>
      <x:c r="X2167" t="str">
        <x:v>02_Supervisor_Log(4).xlsx</x:v>
      </x:c>
      <x:c r="Y2167" t="str">
        <x:v>ENH-20260830-01</x:v>
      </x:c>
      <x:c r="Z2167" t="str">
        <x:v>Active</x:v>
      </x:c>
      <x:c r="AA2167"/>
      <x:c r="AB2167"/>
      <x:c r="AC2167"/>
      <x:c r="AD2167"/>
    </x:row>
    <x:row r="2168">
      <x:c r="A2168" t="str">
        <x:v>PCC-PE-KG01-L24-20251026-PM-ORD-2025-00126-S07-C1</x:v>
      </x:c>
      <x:c r="B2168" t="str">
        <x:v>PC-PE-KG01-L24-20251026-PM-ORD-2025-00126-S07</x:v>
      </x:c>
      <x:c r="C2168" t="str">
        <x:v>PE-KG01-L24-20251026-PM-ORD-2025-00126</x:v>
      </x:c>
      <x:c r="D2168" t="str">
        <x:v>KG01</x:v>
      </x:c>
      <x:c r="E2168" s="62" t="n">
        <x:v>45956</x:v>
      </x:c>
      <x:c r="F2168" t="str">
        <x:v>PM</x:v>
      </x:c>
      <x:c r="G2168" t="str">
        <x:v>A</x:v>
      </x:c>
      <x:c r="H2168" t="n">
        <x:v>24</x:v>
      </x:c>
      <x:c r="I2168" t="str">
        <x:v>ORD-2025-00126</x:v>
      </x:c>
      <x:c r="J2168" t="n">
        <x:v>7</x:v>
      </x:c>
      <x:c r="K2168" t="n">
        <x:v>1</x:v>
      </x:c>
      <x:c r="L2168" t="str">
        <x:v>L24-S07-C1</x:v>
      </x:c>
      <x:c r="M2168" t="n">
        <x:v>1</x:v>
      </x:c>
      <x:c r="N2168" t="str">
        <x:v>DerivedFromCount</x:v>
      </x:c>
      <x:c r="O2168" t="str">
        <x:v>PLC-PRD-JAR-720-L24</x:v>
      </x:c>
      <x:c r="P2168" t="str">
        <x:v>OK</x:v>
      </x:c>
      <x:c r="Q2168" t="str">
        <x:v>OK</x:v>
      </x:c>
      <x:c r="R2168" t="str">
        <x:v>OK</x:v>
      </x:c>
      <x:c r="S2168" t="str">
        <x:v>OK</x:v>
      </x:c>
      <x:c r="T2168" t="n">
        <x:v>24</x:v>
      </x:c>
      <x:c r="U2168" t="str">
        <x:v>OK</x:v>
      </x:c>
      <x:c r="V2168" t="str">
        <x:v>OK</x:v>
      </x:c>
      <x:c r="W2168" t="str">
        <x:v>LOAD</x:v>
      </x:c>
      <x:c r="X2168" t="str">
        <x:v>02_Supervisor_Log(4).xlsx</x:v>
      </x:c>
      <x:c r="Y2168" t="str">
        <x:v>ENH-20260830-01</x:v>
      </x:c>
      <x:c r="Z2168" t="str">
        <x:v>Active</x:v>
      </x:c>
      <x:c r="AA2168"/>
      <x:c r="AB2168"/>
      <x:c r="AC2168"/>
      <x:c r="AD2168"/>
    </x:row>
    <x:row r="2169">
      <x:c r="A2169" t="str">
        <x:v>PCC-PE-KG01-L24-20251026-PM-ORD-2025-00126-S07-C2</x:v>
      </x:c>
      <x:c r="B2169" t="str">
        <x:v>PC-PE-KG01-L24-20251026-PM-ORD-2025-00126-S07</x:v>
      </x:c>
      <x:c r="C2169" t="str">
        <x:v>PE-KG01-L24-20251026-PM-ORD-2025-00126</x:v>
      </x:c>
      <x:c r="D2169" t="str">
        <x:v>KG01</x:v>
      </x:c>
      <x:c r="E2169" s="62" t="n">
        <x:v>45956</x:v>
      </x:c>
      <x:c r="F2169" t="str">
        <x:v>PM</x:v>
      </x:c>
      <x:c r="G2169" t="str">
        <x:v>A</x:v>
      </x:c>
      <x:c r="H2169" t="n">
        <x:v>24</x:v>
      </x:c>
      <x:c r="I2169" t="str">
        <x:v>ORD-2025-00126</x:v>
      </x:c>
      <x:c r="J2169" t="n">
        <x:v>7</x:v>
      </x:c>
      <x:c r="K2169" t="n">
        <x:v>2</x:v>
      </x:c>
      <x:c r="L2169" t="str">
        <x:v>L24-S07-C2</x:v>
      </x:c>
      <x:c r="M2169" t="n">
        <x:v>1</x:v>
      </x:c>
      <x:c r="N2169" t="str">
        <x:v>DerivedFromCount</x:v>
      </x:c>
      <x:c r="O2169" t="str">
        <x:v>PLC-PRD-JAR-720-L24</x:v>
      </x:c>
      <x:c r="P2169" t="str">
        <x:v>OK</x:v>
      </x:c>
      <x:c r="Q2169" t="str">
        <x:v>OK</x:v>
      </x:c>
      <x:c r="R2169" t="str">
        <x:v>OK</x:v>
      </x:c>
      <x:c r="S2169" t="str">
        <x:v>OK</x:v>
      </x:c>
      <x:c r="T2169" t="n">
        <x:v>24</x:v>
      </x:c>
      <x:c r="U2169" t="str">
        <x:v>OK</x:v>
      </x:c>
      <x:c r="V2169" t="str">
        <x:v>OK</x:v>
      </x:c>
      <x:c r="W2169" t="str">
        <x:v>LOAD</x:v>
      </x:c>
      <x:c r="X2169" t="str">
        <x:v>02_Supervisor_Log(4).xlsx</x:v>
      </x:c>
      <x:c r="Y2169" t="str">
        <x:v>ENH-20260830-01</x:v>
      </x:c>
      <x:c r="Z2169" t="str">
        <x:v>Active</x:v>
      </x:c>
      <x:c r="AA2169"/>
      <x:c r="AB2169"/>
      <x:c r="AC2169"/>
      <x:c r="AD2169"/>
    </x:row>
    <x:row r="2170">
      <x:c r="A2170" t="str">
        <x:v>PCC-PE-KG01-L24-20251026-PM-ORD-2025-00126-S07-C3</x:v>
      </x:c>
      <x:c r="B2170" t="str">
        <x:v>PC-PE-KG01-L24-20251026-PM-ORD-2025-00126-S07</x:v>
      </x:c>
      <x:c r="C2170" t="str">
        <x:v>PE-KG01-L24-20251026-PM-ORD-2025-00126</x:v>
      </x:c>
      <x:c r="D2170" t="str">
        <x:v>KG01</x:v>
      </x:c>
      <x:c r="E2170" s="62" t="n">
        <x:v>45956</x:v>
      </x:c>
      <x:c r="F2170" t="str">
        <x:v>PM</x:v>
      </x:c>
      <x:c r="G2170" t="str">
        <x:v>A</x:v>
      </x:c>
      <x:c r="H2170" t="n">
        <x:v>24</x:v>
      </x:c>
      <x:c r="I2170" t="str">
        <x:v>ORD-2025-00126</x:v>
      </x:c>
      <x:c r="J2170" t="n">
        <x:v>7</x:v>
      </x:c>
      <x:c r="K2170" t="n">
        <x:v>3</x:v>
      </x:c>
      <x:c r="L2170" t="str">
        <x:v>L24-S07-C3</x:v>
      </x:c>
      <x:c r="M2170" t="n">
        <x:v>0</x:v>
      </x:c>
      <x:c r="N2170" t="str">
        <x:v>DerivedFromCount</x:v>
      </x:c>
      <x:c r="O2170" t="str">
        <x:v>PLC-PRD-JAR-720-L24</x:v>
      </x:c>
      <x:c r="P2170" t="str">
        <x:v>OK</x:v>
      </x:c>
      <x:c r="Q2170" t="str">
        <x:v>OK</x:v>
      </x:c>
      <x:c r="R2170" t="str">
        <x:v>OK</x:v>
      </x:c>
      <x:c r="S2170" t="str">
        <x:v>OK</x:v>
      </x:c>
      <x:c r="T2170" t="n">
        <x:v>24</x:v>
      </x:c>
      <x:c r="U2170" t="str">
        <x:v>OK</x:v>
      </x:c>
      <x:c r="V2170" t="str">
        <x:v>OK</x:v>
      </x:c>
      <x:c r="W2170" t="str">
        <x:v>LOAD</x:v>
      </x:c>
      <x:c r="X2170" t="str">
        <x:v>02_Supervisor_Log(4).xlsx</x:v>
      </x:c>
      <x:c r="Y2170" t="str">
        <x:v>ENH-20260830-01</x:v>
      </x:c>
      <x:c r="Z2170" t="str">
        <x:v>Active</x:v>
      </x:c>
      <x:c r="AA2170"/>
      <x:c r="AB2170"/>
      <x:c r="AC2170"/>
      <x:c r="AD2170"/>
    </x:row>
    <x:row r="2171">
      <x:c r="A2171" t="str">
        <x:v>PCC-PE-KG01-L24-20251026-PM-ORD-2025-00126-S08-C1</x:v>
      </x:c>
      <x:c r="B2171" t="str">
        <x:v>PC-PE-KG01-L24-20251026-PM-ORD-2025-00126-S08</x:v>
      </x:c>
      <x:c r="C2171" t="str">
        <x:v>PE-KG01-L24-20251026-PM-ORD-2025-00126</x:v>
      </x:c>
      <x:c r="D2171" t="str">
        <x:v>KG01</x:v>
      </x:c>
      <x:c r="E2171" s="62" t="n">
        <x:v>45956</x:v>
      </x:c>
      <x:c r="F2171" t="str">
        <x:v>PM</x:v>
      </x:c>
      <x:c r="G2171" t="str">
        <x:v>A</x:v>
      </x:c>
      <x:c r="H2171" t="n">
        <x:v>24</x:v>
      </x:c>
      <x:c r="I2171" t="str">
        <x:v>ORD-2025-00126</x:v>
      </x:c>
      <x:c r="J2171" t="n">
        <x:v>8</x:v>
      </x:c>
      <x:c r="K2171" t="n">
        <x:v>1</x:v>
      </x:c>
      <x:c r="L2171" t="str">
        <x:v>L24-S08-C1</x:v>
      </x:c>
      <x:c r="M2171" t="n">
        <x:v>1</x:v>
      </x:c>
      <x:c r="N2171" t="str">
        <x:v>DerivedFromCount</x:v>
      </x:c>
      <x:c r="O2171" t="str">
        <x:v>PLC-PRD-JAR-720-L24</x:v>
      </x:c>
      <x:c r="P2171" t="str">
        <x:v>OK</x:v>
      </x:c>
      <x:c r="Q2171" t="str">
        <x:v>OK</x:v>
      </x:c>
      <x:c r="R2171" t="str">
        <x:v>OK</x:v>
      </x:c>
      <x:c r="S2171" t="str">
        <x:v>OK</x:v>
      </x:c>
      <x:c r="T2171" t="n">
        <x:v>24</x:v>
      </x:c>
      <x:c r="U2171" t="str">
        <x:v>OK</x:v>
      </x:c>
      <x:c r="V2171" t="str">
        <x:v>OK</x:v>
      </x:c>
      <x:c r="W2171" t="str">
        <x:v>LOAD</x:v>
      </x:c>
      <x:c r="X2171" t="str">
        <x:v>02_Supervisor_Log(4).xlsx</x:v>
      </x:c>
      <x:c r="Y2171" t="str">
        <x:v>ENH-20260830-01</x:v>
      </x:c>
      <x:c r="Z2171" t="str">
        <x:v>Active</x:v>
      </x:c>
      <x:c r="AA2171"/>
      <x:c r="AB2171"/>
      <x:c r="AC2171"/>
      <x:c r="AD2171"/>
    </x:row>
    <x:row r="2172">
      <x:c r="A2172" t="str">
        <x:v>PCC-PE-KG01-L24-20251026-PM-ORD-2025-00126-S08-C2</x:v>
      </x:c>
      <x:c r="B2172" t="str">
        <x:v>PC-PE-KG01-L24-20251026-PM-ORD-2025-00126-S08</x:v>
      </x:c>
      <x:c r="C2172" t="str">
        <x:v>PE-KG01-L24-20251026-PM-ORD-2025-00126</x:v>
      </x:c>
      <x:c r="D2172" t="str">
        <x:v>KG01</x:v>
      </x:c>
      <x:c r="E2172" s="62" t="n">
        <x:v>45956</x:v>
      </x:c>
      <x:c r="F2172" t="str">
        <x:v>PM</x:v>
      </x:c>
      <x:c r="G2172" t="str">
        <x:v>A</x:v>
      </x:c>
      <x:c r="H2172" t="n">
        <x:v>24</x:v>
      </x:c>
      <x:c r="I2172" t="str">
        <x:v>ORD-2025-00126</x:v>
      </x:c>
      <x:c r="J2172" t="n">
        <x:v>8</x:v>
      </x:c>
      <x:c r="K2172" t="n">
        <x:v>2</x:v>
      </x:c>
      <x:c r="L2172" t="str">
        <x:v>L24-S08-C2</x:v>
      </x:c>
      <x:c r="M2172" t="n">
        <x:v>1</x:v>
      </x:c>
      <x:c r="N2172" t="str">
        <x:v>DerivedFromCount</x:v>
      </x:c>
      <x:c r="O2172" t="str">
        <x:v>PLC-PRD-JAR-720-L24</x:v>
      </x:c>
      <x:c r="P2172" t="str">
        <x:v>OK</x:v>
      </x:c>
      <x:c r="Q2172" t="str">
        <x:v>OK</x:v>
      </x:c>
      <x:c r="R2172" t="str">
        <x:v>OK</x:v>
      </x:c>
      <x:c r="S2172" t="str">
        <x:v>OK</x:v>
      </x:c>
      <x:c r="T2172" t="n">
        <x:v>24</x:v>
      </x:c>
      <x:c r="U2172" t="str">
        <x:v>OK</x:v>
      </x:c>
      <x:c r="V2172" t="str">
        <x:v>OK</x:v>
      </x:c>
      <x:c r="W2172" t="str">
        <x:v>LOAD</x:v>
      </x:c>
      <x:c r="X2172" t="str">
        <x:v>02_Supervisor_Log(4).xlsx</x:v>
      </x:c>
      <x:c r="Y2172" t="str">
        <x:v>ENH-20260830-01</x:v>
      </x:c>
      <x:c r="Z2172" t="str">
        <x:v>Active</x:v>
      </x:c>
      <x:c r="AA2172"/>
      <x:c r="AB2172"/>
      <x:c r="AC2172"/>
      <x:c r="AD2172"/>
    </x:row>
    <x:row r="2173">
      <x:c r="A2173" t="str">
        <x:v>PCC-PE-KG01-L24-20251026-PM-ORD-2025-00126-S08-C3</x:v>
      </x:c>
      <x:c r="B2173" t="str">
        <x:v>PC-PE-KG01-L24-20251026-PM-ORD-2025-00126-S08</x:v>
      </x:c>
      <x:c r="C2173" t="str">
        <x:v>PE-KG01-L24-20251026-PM-ORD-2025-00126</x:v>
      </x:c>
      <x:c r="D2173" t="str">
        <x:v>KG01</x:v>
      </x:c>
      <x:c r="E2173" s="62" t="n">
        <x:v>45956</x:v>
      </x:c>
      <x:c r="F2173" t="str">
        <x:v>PM</x:v>
      </x:c>
      <x:c r="G2173" t="str">
        <x:v>A</x:v>
      </x:c>
      <x:c r="H2173" t="n">
        <x:v>24</x:v>
      </x:c>
      <x:c r="I2173" t="str">
        <x:v>ORD-2025-00126</x:v>
      </x:c>
      <x:c r="J2173" t="n">
        <x:v>8</x:v>
      </x:c>
      <x:c r="K2173" t="n">
        <x:v>3</x:v>
      </x:c>
      <x:c r="L2173" t="str">
        <x:v>L24-S08-C3</x:v>
      </x:c>
      <x:c r="M2173" t="n">
        <x:v>0</x:v>
      </x:c>
      <x:c r="N2173" t="str">
        <x:v>DerivedFromCount</x:v>
      </x:c>
      <x:c r="O2173" t="str">
        <x:v>PLC-PRD-JAR-720-L24</x:v>
      </x:c>
      <x:c r="P2173" t="str">
        <x:v>OK</x:v>
      </x:c>
      <x:c r="Q2173" t="str">
        <x:v>OK</x:v>
      </x:c>
      <x:c r="R2173" t="str">
        <x:v>OK</x:v>
      </x:c>
      <x:c r="S2173" t="str">
        <x:v>OK</x:v>
      </x:c>
      <x:c r="T2173" t="n">
        <x:v>24</x:v>
      </x:c>
      <x:c r="U2173" t="str">
        <x:v>OK</x:v>
      </x:c>
      <x:c r="V2173" t="str">
        <x:v>OK</x:v>
      </x:c>
      <x:c r="W2173" t="str">
        <x:v>LOAD</x:v>
      </x:c>
      <x:c r="X2173" t="str">
        <x:v>02_Supervisor_Log(4).xlsx</x:v>
      </x:c>
      <x:c r="Y2173" t="str">
        <x:v>ENH-20260830-01</x:v>
      </x:c>
      <x:c r="Z2173" t="str">
        <x:v>Active</x:v>
      </x:c>
      <x:c r="AA2173"/>
      <x:c r="AB2173"/>
      <x:c r="AC2173"/>
      <x:c r="AD2173"/>
    </x:row>
    <x:row r="2174">
      <x:c r="A2174" t="str">
        <x:v>PCC-PE-KG01-L24-20251026-PM-ORD-2025-00126-S09-C1</x:v>
      </x:c>
      <x:c r="B2174" t="str">
        <x:v>PC-PE-KG01-L24-20251026-PM-ORD-2025-00126-S09</x:v>
      </x:c>
      <x:c r="C2174" t="str">
        <x:v>PE-KG01-L24-20251026-PM-ORD-2025-00126</x:v>
      </x:c>
      <x:c r="D2174" t="str">
        <x:v>KG01</x:v>
      </x:c>
      <x:c r="E2174" s="62" t="n">
        <x:v>45956</x:v>
      </x:c>
      <x:c r="F2174" t="str">
        <x:v>PM</x:v>
      </x:c>
      <x:c r="G2174" t="str">
        <x:v>A</x:v>
      </x:c>
      <x:c r="H2174" t="n">
        <x:v>24</x:v>
      </x:c>
      <x:c r="I2174" t="str">
        <x:v>ORD-2025-00126</x:v>
      </x:c>
      <x:c r="J2174" t="n">
        <x:v>9</x:v>
      </x:c>
      <x:c r="K2174" t="n">
        <x:v>1</x:v>
      </x:c>
      <x:c r="L2174" t="str">
        <x:v>L24-S09-C1</x:v>
      </x:c>
      <x:c r="M2174" t="n">
        <x:v>1</x:v>
      </x:c>
      <x:c r="N2174" t="str">
        <x:v>DerivedFromCount</x:v>
      </x:c>
      <x:c r="O2174" t="str">
        <x:v>PLC-PRD-JAR-720-L24</x:v>
      </x:c>
      <x:c r="P2174" t="str">
        <x:v>OK</x:v>
      </x:c>
      <x:c r="Q2174" t="str">
        <x:v>OK</x:v>
      </x:c>
      <x:c r="R2174" t="str">
        <x:v>OK</x:v>
      </x:c>
      <x:c r="S2174" t="str">
        <x:v>OK</x:v>
      </x:c>
      <x:c r="T2174" t="n">
        <x:v>24</x:v>
      </x:c>
      <x:c r="U2174" t="str">
        <x:v>OK</x:v>
      </x:c>
      <x:c r="V2174" t="str">
        <x:v>OK</x:v>
      </x:c>
      <x:c r="W2174" t="str">
        <x:v>LOAD</x:v>
      </x:c>
      <x:c r="X2174" t="str">
        <x:v>02_Supervisor_Log(4).xlsx</x:v>
      </x:c>
      <x:c r="Y2174" t="str">
        <x:v>ENH-20260830-01</x:v>
      </x:c>
      <x:c r="Z2174" t="str">
        <x:v>Active</x:v>
      </x:c>
      <x:c r="AA2174"/>
      <x:c r="AB2174"/>
      <x:c r="AC2174"/>
      <x:c r="AD2174"/>
    </x:row>
    <x:row r="2175">
      <x:c r="A2175" t="str">
        <x:v>PCC-PE-KG01-L24-20251026-PM-ORD-2025-00126-S09-C2</x:v>
      </x:c>
      <x:c r="B2175" t="str">
        <x:v>PC-PE-KG01-L24-20251026-PM-ORD-2025-00126-S09</x:v>
      </x:c>
      <x:c r="C2175" t="str">
        <x:v>PE-KG01-L24-20251026-PM-ORD-2025-00126</x:v>
      </x:c>
      <x:c r="D2175" t="str">
        <x:v>KG01</x:v>
      </x:c>
      <x:c r="E2175" s="62" t="n">
        <x:v>45956</x:v>
      </x:c>
      <x:c r="F2175" t="str">
        <x:v>PM</x:v>
      </x:c>
      <x:c r="G2175" t="str">
        <x:v>A</x:v>
      </x:c>
      <x:c r="H2175" t="n">
        <x:v>24</x:v>
      </x:c>
      <x:c r="I2175" t="str">
        <x:v>ORD-2025-00126</x:v>
      </x:c>
      <x:c r="J2175" t="n">
        <x:v>9</x:v>
      </x:c>
      <x:c r="K2175" t="n">
        <x:v>2</x:v>
      </x:c>
      <x:c r="L2175" t="str">
        <x:v>L24-S09-C2</x:v>
      </x:c>
      <x:c r="M2175" t="n">
        <x:v>1</x:v>
      </x:c>
      <x:c r="N2175" t="str">
        <x:v>DerivedFromCount</x:v>
      </x:c>
      <x:c r="O2175" t="str">
        <x:v>PLC-PRD-JAR-720-L24</x:v>
      </x:c>
      <x:c r="P2175" t="str">
        <x:v>OK</x:v>
      </x:c>
      <x:c r="Q2175" t="str">
        <x:v>OK</x:v>
      </x:c>
      <x:c r="R2175" t="str">
        <x:v>OK</x:v>
      </x:c>
      <x:c r="S2175" t="str">
        <x:v>OK</x:v>
      </x:c>
      <x:c r="T2175" t="n">
        <x:v>24</x:v>
      </x:c>
      <x:c r="U2175" t="str">
        <x:v>OK</x:v>
      </x:c>
      <x:c r="V2175" t="str">
        <x:v>OK</x:v>
      </x:c>
      <x:c r="W2175" t="str">
        <x:v>LOAD</x:v>
      </x:c>
      <x:c r="X2175" t="str">
        <x:v>02_Supervisor_Log(4).xlsx</x:v>
      </x:c>
      <x:c r="Y2175" t="str">
        <x:v>ENH-20260830-01</x:v>
      </x:c>
      <x:c r="Z2175" t="str">
        <x:v>Active</x:v>
      </x:c>
      <x:c r="AA2175"/>
      <x:c r="AB2175"/>
      <x:c r="AC2175"/>
      <x:c r="AD2175"/>
    </x:row>
    <x:row r="2176">
      <x:c r="A2176" t="str">
        <x:v>PCC-PE-KG01-L24-20251026-PM-ORD-2025-00126-S09-C3</x:v>
      </x:c>
      <x:c r="B2176" t="str">
        <x:v>PC-PE-KG01-L24-20251026-PM-ORD-2025-00126-S09</x:v>
      </x:c>
      <x:c r="C2176" t="str">
        <x:v>PE-KG01-L24-20251026-PM-ORD-2025-00126</x:v>
      </x:c>
      <x:c r="D2176" t="str">
        <x:v>KG01</x:v>
      </x:c>
      <x:c r="E2176" s="62" t="n">
        <x:v>45956</x:v>
      </x:c>
      <x:c r="F2176" t="str">
        <x:v>PM</x:v>
      </x:c>
      <x:c r="G2176" t="str">
        <x:v>A</x:v>
      </x:c>
      <x:c r="H2176" t="n">
        <x:v>24</x:v>
      </x:c>
      <x:c r="I2176" t="str">
        <x:v>ORD-2025-00126</x:v>
      </x:c>
      <x:c r="J2176" t="n">
        <x:v>9</x:v>
      </x:c>
      <x:c r="K2176" t="n">
        <x:v>3</x:v>
      </x:c>
      <x:c r="L2176" t="str">
        <x:v>L24-S09-C3</x:v>
      </x:c>
      <x:c r="M2176" t="n">
        <x:v>0</x:v>
      </x:c>
      <x:c r="N2176" t="str">
        <x:v>DerivedFromCount</x:v>
      </x:c>
      <x:c r="O2176" t="str">
        <x:v>PLC-PRD-JAR-720-L24</x:v>
      </x:c>
      <x:c r="P2176" t="str">
        <x:v>OK</x:v>
      </x:c>
      <x:c r="Q2176" t="str">
        <x:v>OK</x:v>
      </x:c>
      <x:c r="R2176" t="str">
        <x:v>OK</x:v>
      </x:c>
      <x:c r="S2176" t="str">
        <x:v>OK</x:v>
      </x:c>
      <x:c r="T2176" t="n">
        <x:v>24</x:v>
      </x:c>
      <x:c r="U2176" t="str">
        <x:v>OK</x:v>
      </x:c>
      <x:c r="V2176" t="str">
        <x:v>OK</x:v>
      </x:c>
      <x:c r="W2176" t="str">
        <x:v>LOAD</x:v>
      </x:c>
      <x:c r="X2176" t="str">
        <x:v>02_Supervisor_Log(4).xlsx</x:v>
      </x:c>
      <x:c r="Y2176" t="str">
        <x:v>ENH-20260830-01</x:v>
      </x:c>
      <x:c r="Z2176" t="str">
        <x:v>Active</x:v>
      </x:c>
      <x:c r="AA2176"/>
      <x:c r="AB2176"/>
      <x:c r="AC2176"/>
      <x:c r="AD2176"/>
    </x:row>
    <x:row r="2177">
      <x:c r="A2177" t="str">
        <x:v>PCC-PE-KG01-L24-20251026-PM-ORD-2025-00126-S10-C1</x:v>
      </x:c>
      <x:c r="B2177" t="str">
        <x:v>PC-PE-KG01-L24-20251026-PM-ORD-2025-00126-S10</x:v>
      </x:c>
      <x:c r="C2177" t="str">
        <x:v>PE-KG01-L24-20251026-PM-ORD-2025-00126</x:v>
      </x:c>
      <x:c r="D2177" t="str">
        <x:v>KG01</x:v>
      </x:c>
      <x:c r="E2177" s="62" t="n">
        <x:v>45956</x:v>
      </x:c>
      <x:c r="F2177" t="str">
        <x:v>PM</x:v>
      </x:c>
      <x:c r="G2177" t="str">
        <x:v>A</x:v>
      </x:c>
      <x:c r="H2177" t="n">
        <x:v>24</x:v>
      </x:c>
      <x:c r="I2177" t="str">
        <x:v>ORD-2025-00126</x:v>
      </x:c>
      <x:c r="J2177" t="n">
        <x:v>10</x:v>
      </x:c>
      <x:c r="K2177" t="n">
        <x:v>1</x:v>
      </x:c>
      <x:c r="L2177" t="str">
        <x:v>L24-S10-C1</x:v>
      </x:c>
      <x:c r="M2177" t="n">
        <x:v>1</x:v>
      </x:c>
      <x:c r="N2177" t="str">
        <x:v>DerivedFromCount</x:v>
      </x:c>
      <x:c r="O2177" t="str">
        <x:v>PLC-PRD-JAR-720-L24</x:v>
      </x:c>
      <x:c r="P2177" t="str">
        <x:v>OK</x:v>
      </x:c>
      <x:c r="Q2177" t="str">
        <x:v>OK</x:v>
      </x:c>
      <x:c r="R2177" t="str">
        <x:v>OK</x:v>
      </x:c>
      <x:c r="S2177" t="str">
        <x:v>OK</x:v>
      </x:c>
      <x:c r="T2177" t="n">
        <x:v>24</x:v>
      </x:c>
      <x:c r="U2177" t="str">
        <x:v>OK</x:v>
      </x:c>
      <x:c r="V2177" t="str">
        <x:v>OK</x:v>
      </x:c>
      <x:c r="W2177" t="str">
        <x:v>LOAD</x:v>
      </x:c>
      <x:c r="X2177" t="str">
        <x:v>02_Supervisor_Log(4).xlsx</x:v>
      </x:c>
      <x:c r="Y2177" t="str">
        <x:v>ENH-20260830-01</x:v>
      </x:c>
      <x:c r="Z2177" t="str">
        <x:v>Active</x:v>
      </x:c>
      <x:c r="AA2177"/>
      <x:c r="AB2177"/>
      <x:c r="AC2177"/>
      <x:c r="AD2177"/>
    </x:row>
    <x:row r="2178">
      <x:c r="A2178" t="str">
        <x:v>PCC-PE-KG01-L24-20251026-PM-ORD-2025-00126-S10-C2</x:v>
      </x:c>
      <x:c r="B2178" t="str">
        <x:v>PC-PE-KG01-L24-20251026-PM-ORD-2025-00126-S10</x:v>
      </x:c>
      <x:c r="C2178" t="str">
        <x:v>PE-KG01-L24-20251026-PM-ORD-2025-00126</x:v>
      </x:c>
      <x:c r="D2178" t="str">
        <x:v>KG01</x:v>
      </x:c>
      <x:c r="E2178" s="62" t="n">
        <x:v>45956</x:v>
      </x:c>
      <x:c r="F2178" t="str">
        <x:v>PM</x:v>
      </x:c>
      <x:c r="G2178" t="str">
        <x:v>A</x:v>
      </x:c>
      <x:c r="H2178" t="n">
        <x:v>24</x:v>
      </x:c>
      <x:c r="I2178" t="str">
        <x:v>ORD-2025-00126</x:v>
      </x:c>
      <x:c r="J2178" t="n">
        <x:v>10</x:v>
      </x:c>
      <x:c r="K2178" t="n">
        <x:v>2</x:v>
      </x:c>
      <x:c r="L2178" t="str">
        <x:v>L24-S10-C2</x:v>
      </x:c>
      <x:c r="M2178" t="n">
        <x:v>1</x:v>
      </x:c>
      <x:c r="N2178" t="str">
        <x:v>DerivedFromCount</x:v>
      </x:c>
      <x:c r="O2178" t="str">
        <x:v>PLC-PRD-JAR-720-L24</x:v>
      </x:c>
      <x:c r="P2178" t="str">
        <x:v>OK</x:v>
      </x:c>
      <x:c r="Q2178" t="str">
        <x:v>OK</x:v>
      </x:c>
      <x:c r="R2178" t="str">
        <x:v>OK</x:v>
      </x:c>
      <x:c r="S2178" t="str">
        <x:v>OK</x:v>
      </x:c>
      <x:c r="T2178" t="n">
        <x:v>24</x:v>
      </x:c>
      <x:c r="U2178" t="str">
        <x:v>OK</x:v>
      </x:c>
      <x:c r="V2178" t="str">
        <x:v>OK</x:v>
      </x:c>
      <x:c r="W2178" t="str">
        <x:v>LOAD</x:v>
      </x:c>
      <x:c r="X2178" t="str">
        <x:v>02_Supervisor_Log(4).xlsx</x:v>
      </x:c>
      <x:c r="Y2178" t="str">
        <x:v>ENH-20260830-01</x:v>
      </x:c>
      <x:c r="Z2178" t="str">
        <x:v>Active</x:v>
      </x:c>
      <x:c r="AA2178"/>
      <x:c r="AB2178"/>
      <x:c r="AC2178"/>
      <x:c r="AD2178"/>
    </x:row>
    <x:row r="2179">
      <x:c r="A2179" t="str">
        <x:v>PCC-PE-KG01-L24-20251026-PM-ORD-2025-00126-S10-C3</x:v>
      </x:c>
      <x:c r="B2179" t="str">
        <x:v>PC-PE-KG01-L24-20251026-PM-ORD-2025-00126-S10</x:v>
      </x:c>
      <x:c r="C2179" t="str">
        <x:v>PE-KG01-L24-20251026-PM-ORD-2025-00126</x:v>
      </x:c>
      <x:c r="D2179" t="str">
        <x:v>KG01</x:v>
      </x:c>
      <x:c r="E2179" s="62" t="n">
        <x:v>45956</x:v>
      </x:c>
      <x:c r="F2179" t="str">
        <x:v>PM</x:v>
      </x:c>
      <x:c r="G2179" t="str">
        <x:v>A</x:v>
      </x:c>
      <x:c r="H2179" t="n">
        <x:v>24</x:v>
      </x:c>
      <x:c r="I2179" t="str">
        <x:v>ORD-2025-00126</x:v>
      </x:c>
      <x:c r="J2179" t="n">
        <x:v>10</x:v>
      </x:c>
      <x:c r="K2179" t="n">
        <x:v>3</x:v>
      </x:c>
      <x:c r="L2179" t="str">
        <x:v>L24-S10-C3</x:v>
      </x:c>
      <x:c r="M2179" t="n">
        <x:v>0</x:v>
      </x:c>
      <x:c r="N2179" t="str">
        <x:v>DerivedFromCount</x:v>
      </x:c>
      <x:c r="O2179" t="str">
        <x:v>PLC-PRD-JAR-720-L24</x:v>
      </x:c>
      <x:c r="P2179" t="str">
        <x:v>OK</x:v>
      </x:c>
      <x:c r="Q2179" t="str">
        <x:v>OK</x:v>
      </x:c>
      <x:c r="R2179" t="str">
        <x:v>OK</x:v>
      </x:c>
      <x:c r="S2179" t="str">
        <x:v>OK</x:v>
      </x:c>
      <x:c r="T2179" t="n">
        <x:v>24</x:v>
      </x:c>
      <x:c r="U2179" t="str">
        <x:v>OK</x:v>
      </x:c>
      <x:c r="V2179" t="str">
        <x:v>OK</x:v>
      </x:c>
      <x:c r="W2179" t="str">
        <x:v>LOAD</x:v>
      </x:c>
      <x:c r="X2179" t="str">
        <x:v>02_Supervisor_Log(4).xlsx</x:v>
      </x:c>
      <x:c r="Y2179" t="str">
        <x:v>ENH-20260830-01</x:v>
      </x:c>
      <x:c r="Z2179" t="str">
        <x:v>Active</x:v>
      </x:c>
      <x:c r="AA2179"/>
      <x:c r="AB2179"/>
      <x:c r="AC2179"/>
      <x:c r="AD2179"/>
    </x:row>
    <x:row r="2180">
      <x:c r="A2180" t="str">
        <x:v>PCC-PE-KG01-L24-20251026-PM-ORD-2025-00126-S11-C1</x:v>
      </x:c>
      <x:c r="B2180" t="str">
        <x:v>PC-PE-KG01-L24-20251026-PM-ORD-2025-00126-S11</x:v>
      </x:c>
      <x:c r="C2180" t="str">
        <x:v>PE-KG01-L24-20251026-PM-ORD-2025-00126</x:v>
      </x:c>
      <x:c r="D2180" t="str">
        <x:v>KG01</x:v>
      </x:c>
      <x:c r="E2180" s="62" t="n">
        <x:v>45956</x:v>
      </x:c>
      <x:c r="F2180" t="str">
        <x:v>PM</x:v>
      </x:c>
      <x:c r="G2180" t="str">
        <x:v>A</x:v>
      </x:c>
      <x:c r="H2180" t="n">
        <x:v>24</x:v>
      </x:c>
      <x:c r="I2180" t="str">
        <x:v>ORD-2025-00126</x:v>
      </x:c>
      <x:c r="J2180" t="n">
        <x:v>11</x:v>
      </x:c>
      <x:c r="K2180" t="n">
        <x:v>1</x:v>
      </x:c>
      <x:c r="L2180" t="str">
        <x:v>L24-S11-C1</x:v>
      </x:c>
      <x:c r="M2180" t="n">
        <x:v>1</x:v>
      </x:c>
      <x:c r="N2180" t="str">
        <x:v>DerivedFromCount</x:v>
      </x:c>
      <x:c r="O2180" t="str">
        <x:v>PLC-PRD-JAR-720-L24</x:v>
      </x:c>
      <x:c r="P2180" t="str">
        <x:v>OK</x:v>
      </x:c>
      <x:c r="Q2180" t="str">
        <x:v>OK</x:v>
      </x:c>
      <x:c r="R2180" t="str">
        <x:v>OK</x:v>
      </x:c>
      <x:c r="S2180" t="str">
        <x:v>OK</x:v>
      </x:c>
      <x:c r="T2180" t="n">
        <x:v>24</x:v>
      </x:c>
      <x:c r="U2180" t="str">
        <x:v>OK</x:v>
      </x:c>
      <x:c r="V2180" t="str">
        <x:v>OK</x:v>
      </x:c>
      <x:c r="W2180" t="str">
        <x:v>LOAD</x:v>
      </x:c>
      <x:c r="X2180" t="str">
        <x:v>02_Supervisor_Log(4).xlsx</x:v>
      </x:c>
      <x:c r="Y2180" t="str">
        <x:v>ENH-20260830-01</x:v>
      </x:c>
      <x:c r="Z2180" t="str">
        <x:v>Active</x:v>
      </x:c>
      <x:c r="AA2180"/>
      <x:c r="AB2180"/>
      <x:c r="AC2180"/>
      <x:c r="AD2180"/>
    </x:row>
    <x:row r="2181">
      <x:c r="A2181" t="str">
        <x:v>PCC-PE-KG01-L24-20251026-PM-ORD-2025-00126-S11-C2</x:v>
      </x:c>
      <x:c r="B2181" t="str">
        <x:v>PC-PE-KG01-L24-20251026-PM-ORD-2025-00126-S11</x:v>
      </x:c>
      <x:c r="C2181" t="str">
        <x:v>PE-KG01-L24-20251026-PM-ORD-2025-00126</x:v>
      </x:c>
      <x:c r="D2181" t="str">
        <x:v>KG01</x:v>
      </x:c>
      <x:c r="E2181" s="62" t="n">
        <x:v>45956</x:v>
      </x:c>
      <x:c r="F2181" t="str">
        <x:v>PM</x:v>
      </x:c>
      <x:c r="G2181" t="str">
        <x:v>A</x:v>
      </x:c>
      <x:c r="H2181" t="n">
        <x:v>24</x:v>
      </x:c>
      <x:c r="I2181" t="str">
        <x:v>ORD-2025-00126</x:v>
      </x:c>
      <x:c r="J2181" t="n">
        <x:v>11</x:v>
      </x:c>
      <x:c r="K2181" t="n">
        <x:v>2</x:v>
      </x:c>
      <x:c r="L2181" t="str">
        <x:v>L24-S11-C2</x:v>
      </x:c>
      <x:c r="M2181" t="n">
        <x:v>1</x:v>
      </x:c>
      <x:c r="N2181" t="str">
        <x:v>DerivedFromCount</x:v>
      </x:c>
      <x:c r="O2181" t="str">
        <x:v>PLC-PRD-JAR-720-L24</x:v>
      </x:c>
      <x:c r="P2181" t="str">
        <x:v>OK</x:v>
      </x:c>
      <x:c r="Q2181" t="str">
        <x:v>OK</x:v>
      </x:c>
      <x:c r="R2181" t="str">
        <x:v>OK</x:v>
      </x:c>
      <x:c r="S2181" t="str">
        <x:v>OK</x:v>
      </x:c>
      <x:c r="T2181" t="n">
        <x:v>24</x:v>
      </x:c>
      <x:c r="U2181" t="str">
        <x:v>OK</x:v>
      </x:c>
      <x:c r="V2181" t="str">
        <x:v>OK</x:v>
      </x:c>
      <x:c r="W2181" t="str">
        <x:v>LOAD</x:v>
      </x:c>
      <x:c r="X2181" t="str">
        <x:v>02_Supervisor_Log(4).xlsx</x:v>
      </x:c>
      <x:c r="Y2181" t="str">
        <x:v>ENH-20260830-01</x:v>
      </x:c>
      <x:c r="Z2181" t="str">
        <x:v>Active</x:v>
      </x:c>
      <x:c r="AA2181"/>
      <x:c r="AB2181"/>
      <x:c r="AC2181"/>
      <x:c r="AD2181"/>
    </x:row>
    <x:row r="2182">
      <x:c r="A2182" t="str">
        <x:v>PCC-PE-KG01-L24-20251026-PM-ORD-2025-00126-S11-C3</x:v>
      </x:c>
      <x:c r="B2182" t="str">
        <x:v>PC-PE-KG01-L24-20251026-PM-ORD-2025-00126-S11</x:v>
      </x:c>
      <x:c r="C2182" t="str">
        <x:v>PE-KG01-L24-20251026-PM-ORD-2025-00126</x:v>
      </x:c>
      <x:c r="D2182" t="str">
        <x:v>KG01</x:v>
      </x:c>
      <x:c r="E2182" s="62" t="n">
        <x:v>45956</x:v>
      </x:c>
      <x:c r="F2182" t="str">
        <x:v>PM</x:v>
      </x:c>
      <x:c r="G2182" t="str">
        <x:v>A</x:v>
      </x:c>
      <x:c r="H2182" t="n">
        <x:v>24</x:v>
      </x:c>
      <x:c r="I2182" t="str">
        <x:v>ORD-2025-00126</x:v>
      </x:c>
      <x:c r="J2182" t="n">
        <x:v>11</x:v>
      </x:c>
      <x:c r="K2182" t="n">
        <x:v>3</x:v>
      </x:c>
      <x:c r="L2182" t="str">
        <x:v>L24-S11-C3</x:v>
      </x:c>
      <x:c r="M2182" t="n">
        <x:v>0</x:v>
      </x:c>
      <x:c r="N2182" t="str">
        <x:v>DerivedFromCount</x:v>
      </x:c>
      <x:c r="O2182" t="str">
        <x:v>PLC-PRD-JAR-720-L24</x:v>
      </x:c>
      <x:c r="P2182" t="str">
        <x:v>OK</x:v>
      </x:c>
      <x:c r="Q2182" t="str">
        <x:v>OK</x:v>
      </x:c>
      <x:c r="R2182" t="str">
        <x:v>OK</x:v>
      </x:c>
      <x:c r="S2182" t="str">
        <x:v>OK</x:v>
      </x:c>
      <x:c r="T2182" t="n">
        <x:v>24</x:v>
      </x:c>
      <x:c r="U2182" t="str">
        <x:v>OK</x:v>
      </x:c>
      <x:c r="V2182" t="str">
        <x:v>OK</x:v>
      </x:c>
      <x:c r="W2182" t="str">
        <x:v>LOAD</x:v>
      </x:c>
      <x:c r="X2182" t="str">
        <x:v>02_Supervisor_Log(4).xlsx</x:v>
      </x:c>
      <x:c r="Y2182" t="str">
        <x:v>ENH-20260830-01</x:v>
      </x:c>
      <x:c r="Z2182" t="str">
        <x:v>Active</x:v>
      </x:c>
      <x:c r="AA2182"/>
      <x:c r="AB2182"/>
      <x:c r="AC2182"/>
      <x:c r="AD2182"/>
    </x:row>
    <x:row r="2183">
      <x:c r="A2183" t="str">
        <x:v>PCC-PE-KG01-L24-20251026-PM-ORD-2025-00126-S12-C1</x:v>
      </x:c>
      <x:c r="B2183" t="str">
        <x:v>PC-PE-KG01-L24-20251026-PM-ORD-2025-00126-S12</x:v>
      </x:c>
      <x:c r="C2183" t="str">
        <x:v>PE-KG01-L24-20251026-PM-ORD-2025-00126</x:v>
      </x:c>
      <x:c r="D2183" t="str">
        <x:v>KG01</x:v>
      </x:c>
      <x:c r="E2183" s="62" t="n">
        <x:v>45956</x:v>
      </x:c>
      <x:c r="F2183" t="str">
        <x:v>PM</x:v>
      </x:c>
      <x:c r="G2183" t="str">
        <x:v>A</x:v>
      </x:c>
      <x:c r="H2183" t="n">
        <x:v>24</x:v>
      </x:c>
      <x:c r="I2183" t="str">
        <x:v>ORD-2025-00126</x:v>
      </x:c>
      <x:c r="J2183" t="n">
        <x:v>12</x:v>
      </x:c>
      <x:c r="K2183" t="n">
        <x:v>1</x:v>
      </x:c>
      <x:c r="L2183" t="str">
        <x:v>L24-S12-C1</x:v>
      </x:c>
      <x:c r="M2183" t="n">
        <x:v>1</x:v>
      </x:c>
      <x:c r="N2183" t="str">
        <x:v>DerivedFromCount</x:v>
      </x:c>
      <x:c r="O2183" t="str">
        <x:v>PLC-PRD-JAR-720-L24</x:v>
      </x:c>
      <x:c r="P2183" t="str">
        <x:v>OK</x:v>
      </x:c>
      <x:c r="Q2183" t="str">
        <x:v>OK</x:v>
      </x:c>
      <x:c r="R2183" t="str">
        <x:v>OK</x:v>
      </x:c>
      <x:c r="S2183" t="str">
        <x:v>OK</x:v>
      </x:c>
      <x:c r="T2183" t="n">
        <x:v>24</x:v>
      </x:c>
      <x:c r="U2183" t="str">
        <x:v>OK</x:v>
      </x:c>
      <x:c r="V2183" t="str">
        <x:v>OK</x:v>
      </x:c>
      <x:c r="W2183" t="str">
        <x:v>LOAD</x:v>
      </x:c>
      <x:c r="X2183" t="str">
        <x:v>02_Supervisor_Log(4).xlsx</x:v>
      </x:c>
      <x:c r="Y2183" t="str">
        <x:v>ENH-20260830-01</x:v>
      </x:c>
      <x:c r="Z2183" t="str">
        <x:v>Active</x:v>
      </x:c>
      <x:c r="AA2183"/>
      <x:c r="AB2183"/>
      <x:c r="AC2183"/>
      <x:c r="AD2183"/>
    </x:row>
    <x:row r="2184">
      <x:c r="A2184" t="str">
        <x:v>PCC-PE-KG01-L24-20251026-PM-ORD-2025-00126-S12-C2</x:v>
      </x:c>
      <x:c r="B2184" t="str">
        <x:v>PC-PE-KG01-L24-20251026-PM-ORD-2025-00126-S12</x:v>
      </x:c>
      <x:c r="C2184" t="str">
        <x:v>PE-KG01-L24-20251026-PM-ORD-2025-00126</x:v>
      </x:c>
      <x:c r="D2184" t="str">
        <x:v>KG01</x:v>
      </x:c>
      <x:c r="E2184" s="62" t="n">
        <x:v>45956</x:v>
      </x:c>
      <x:c r="F2184" t="str">
        <x:v>PM</x:v>
      </x:c>
      <x:c r="G2184" t="str">
        <x:v>A</x:v>
      </x:c>
      <x:c r="H2184" t="n">
        <x:v>24</x:v>
      </x:c>
      <x:c r="I2184" t="str">
        <x:v>ORD-2025-00126</x:v>
      </x:c>
      <x:c r="J2184" t="n">
        <x:v>12</x:v>
      </x:c>
      <x:c r="K2184" t="n">
        <x:v>2</x:v>
      </x:c>
      <x:c r="L2184" t="str">
        <x:v>L24-S12-C2</x:v>
      </x:c>
      <x:c r="M2184" t="n">
        <x:v>1</x:v>
      </x:c>
      <x:c r="N2184" t="str">
        <x:v>DerivedFromCount</x:v>
      </x:c>
      <x:c r="O2184" t="str">
        <x:v>PLC-PRD-JAR-720-L24</x:v>
      </x:c>
      <x:c r="P2184" t="str">
        <x:v>OK</x:v>
      </x:c>
      <x:c r="Q2184" t="str">
        <x:v>OK</x:v>
      </x:c>
      <x:c r="R2184" t="str">
        <x:v>OK</x:v>
      </x:c>
      <x:c r="S2184" t="str">
        <x:v>OK</x:v>
      </x:c>
      <x:c r="T2184" t="n">
        <x:v>24</x:v>
      </x:c>
      <x:c r="U2184" t="str">
        <x:v>OK</x:v>
      </x:c>
      <x:c r="V2184" t="str">
        <x:v>OK</x:v>
      </x:c>
      <x:c r="W2184" t="str">
        <x:v>LOAD</x:v>
      </x:c>
      <x:c r="X2184" t="str">
        <x:v>02_Supervisor_Log(4).xlsx</x:v>
      </x:c>
      <x:c r="Y2184" t="str">
        <x:v>ENH-20260830-01</x:v>
      </x:c>
      <x:c r="Z2184" t="str">
        <x:v>Active</x:v>
      </x:c>
      <x:c r="AA2184"/>
      <x:c r="AB2184"/>
      <x:c r="AC2184"/>
      <x:c r="AD2184"/>
    </x:row>
    <x:row r="2185">
      <x:c r="A2185" t="str">
        <x:v>PCC-PE-KG01-L24-20251026-PM-ORD-2025-00126-S12-C3</x:v>
      </x:c>
      <x:c r="B2185" t="str">
        <x:v>PC-PE-KG01-L24-20251026-PM-ORD-2025-00126-S12</x:v>
      </x:c>
      <x:c r="C2185" t="str">
        <x:v>PE-KG01-L24-20251026-PM-ORD-2025-00126</x:v>
      </x:c>
      <x:c r="D2185" t="str">
        <x:v>KG01</x:v>
      </x:c>
      <x:c r="E2185" s="62" t="n">
        <x:v>45956</x:v>
      </x:c>
      <x:c r="F2185" t="str">
        <x:v>PM</x:v>
      </x:c>
      <x:c r="G2185" t="str">
        <x:v>A</x:v>
      </x:c>
      <x:c r="H2185" t="n">
        <x:v>24</x:v>
      </x:c>
      <x:c r="I2185" t="str">
        <x:v>ORD-2025-00126</x:v>
      </x:c>
      <x:c r="J2185" t="n">
        <x:v>12</x:v>
      </x:c>
      <x:c r="K2185" t="n">
        <x:v>3</x:v>
      </x:c>
      <x:c r="L2185" t="str">
        <x:v>L24-S12-C3</x:v>
      </x:c>
      <x:c r="M2185" t="n">
        <x:v>0</x:v>
      </x:c>
      <x:c r="N2185" t="str">
        <x:v>DerivedFromCount</x:v>
      </x:c>
      <x:c r="O2185" t="str">
        <x:v>PLC-PRD-JAR-720-L24</x:v>
      </x:c>
      <x:c r="P2185" t="str">
        <x:v>OK</x:v>
      </x:c>
      <x:c r="Q2185" t="str">
        <x:v>OK</x:v>
      </x:c>
      <x:c r="R2185" t="str">
        <x:v>OK</x:v>
      </x:c>
      <x:c r="S2185" t="str">
        <x:v>OK</x:v>
      </x:c>
      <x:c r="T2185" t="n">
        <x:v>24</x:v>
      </x:c>
      <x:c r="U2185" t="str">
        <x:v>OK</x:v>
      </x:c>
      <x:c r="V2185" t="str">
        <x:v>OK</x:v>
      </x:c>
      <x:c r="W2185" t="str">
        <x:v>LOAD</x:v>
      </x:c>
      <x:c r="X2185" t="str">
        <x:v>02_Supervisor_Log(4).xlsx</x:v>
      </x:c>
      <x:c r="Y2185" t="str">
        <x:v>ENH-20260830-01</x:v>
      </x:c>
      <x:c r="Z2185" t="str">
        <x:v>Active</x:v>
      </x:c>
      <x:c r="AA2185"/>
      <x:c r="AB2185"/>
      <x:c r="AC2185"/>
      <x:c r="AD2185"/>
    </x:row>
    <x:row r="2186">
      <x:c r="A2186" t="str">
        <x:v>PCC-PE-KG01-L24-20251026-PM-ORD-2025-00126-S13-C1</x:v>
      </x:c>
      <x:c r="B2186" t="str">
        <x:v>PC-PE-KG01-L24-20251026-PM-ORD-2025-00126-S13</x:v>
      </x:c>
      <x:c r="C2186" t="str">
        <x:v>PE-KG01-L24-20251026-PM-ORD-2025-00126</x:v>
      </x:c>
      <x:c r="D2186" t="str">
        <x:v>KG01</x:v>
      </x:c>
      <x:c r="E2186" s="62" t="n">
        <x:v>45956</x:v>
      </x:c>
      <x:c r="F2186" t="str">
        <x:v>PM</x:v>
      </x:c>
      <x:c r="G2186" t="str">
        <x:v>A</x:v>
      </x:c>
      <x:c r="H2186" t="n">
        <x:v>24</x:v>
      </x:c>
      <x:c r="I2186" t="str">
        <x:v>ORD-2025-00126</x:v>
      </x:c>
      <x:c r="J2186" t="n">
        <x:v>13</x:v>
      </x:c>
      <x:c r="K2186" t="n">
        <x:v>1</x:v>
      </x:c>
      <x:c r="L2186" t="str">
        <x:v>L24-S13-C1</x:v>
      </x:c>
      <x:c r="M2186" t="n">
        <x:v>0</x:v>
      </x:c>
      <x:c r="N2186" t="str">
        <x:v>DerivedFromCount</x:v>
      </x:c>
      <x:c r="O2186" t="str">
        <x:v>PLC-PRD-JAR-720-L24</x:v>
      </x:c>
      <x:c r="P2186" t="str">
        <x:v>OK</x:v>
      </x:c>
      <x:c r="Q2186" t="str">
        <x:v>OK</x:v>
      </x:c>
      <x:c r="R2186" t="str">
        <x:v>OK</x:v>
      </x:c>
      <x:c r="S2186" t="str">
        <x:v>OK</x:v>
      </x:c>
      <x:c r="T2186" t="n">
        <x:v>24</x:v>
      </x:c>
      <x:c r="U2186" t="str">
        <x:v>OK</x:v>
      </x:c>
      <x:c r="V2186" t="str">
        <x:v>OK</x:v>
      </x:c>
      <x:c r="W2186" t="str">
        <x:v>LOAD</x:v>
      </x:c>
      <x:c r="X2186" t="str">
        <x:v>02_Supervisor_Log(4).xlsx</x:v>
      </x:c>
      <x:c r="Y2186" t="str">
        <x:v>ENH-20260830-01</x:v>
      </x:c>
      <x:c r="Z2186" t="str">
        <x:v>Active</x:v>
      </x:c>
      <x:c r="AA2186"/>
      <x:c r="AB2186"/>
      <x:c r="AC2186"/>
      <x:c r="AD2186"/>
    </x:row>
    <x:row r="2187">
      <x:c r="A2187" t="str">
        <x:v>PCC-PE-KG01-L24-20251026-PM-ORD-2025-00126-S13-C2</x:v>
      </x:c>
      <x:c r="B2187" t="str">
        <x:v>PC-PE-KG01-L24-20251026-PM-ORD-2025-00126-S13</x:v>
      </x:c>
      <x:c r="C2187" t="str">
        <x:v>PE-KG01-L24-20251026-PM-ORD-2025-00126</x:v>
      </x:c>
      <x:c r="D2187" t="str">
        <x:v>KG01</x:v>
      </x:c>
      <x:c r="E2187" s="62" t="n">
        <x:v>45956</x:v>
      </x:c>
      <x:c r="F2187" t="str">
        <x:v>PM</x:v>
      </x:c>
      <x:c r="G2187" t="str">
        <x:v>A</x:v>
      </x:c>
      <x:c r="H2187" t="n">
        <x:v>24</x:v>
      </x:c>
      <x:c r="I2187" t="str">
        <x:v>ORD-2025-00126</x:v>
      </x:c>
      <x:c r="J2187" t="n">
        <x:v>13</x:v>
      </x:c>
      <x:c r="K2187" t="n">
        <x:v>2</x:v>
      </x:c>
      <x:c r="L2187" t="str">
        <x:v>L24-S13-C2</x:v>
      </x:c>
      <x:c r="M2187" t="n">
        <x:v>0</x:v>
      </x:c>
      <x:c r="N2187" t="str">
        <x:v>DerivedFromCount</x:v>
      </x:c>
      <x:c r="O2187" t="str">
        <x:v>PLC-PRD-JAR-720-L24</x:v>
      </x:c>
      <x:c r="P2187" t="str">
        <x:v>OK</x:v>
      </x:c>
      <x:c r="Q2187" t="str">
        <x:v>OK</x:v>
      </x:c>
      <x:c r="R2187" t="str">
        <x:v>OK</x:v>
      </x:c>
      <x:c r="S2187" t="str">
        <x:v>OK</x:v>
      </x:c>
      <x:c r="T2187" t="n">
        <x:v>24</x:v>
      </x:c>
      <x:c r="U2187" t="str">
        <x:v>OK</x:v>
      </x:c>
      <x:c r="V2187" t="str">
        <x:v>OK</x:v>
      </x:c>
      <x:c r="W2187" t="str">
        <x:v>LOAD</x:v>
      </x:c>
      <x:c r="X2187" t="str">
        <x:v>02_Supervisor_Log(4).xlsx</x:v>
      </x:c>
      <x:c r="Y2187" t="str">
        <x:v>ENH-20260830-01</x:v>
      </x:c>
      <x:c r="Z2187" t="str">
        <x:v>Active</x:v>
      </x:c>
      <x:c r="AA2187"/>
      <x:c r="AB2187"/>
      <x:c r="AC2187"/>
      <x:c r="AD2187"/>
    </x:row>
    <x:row r="2188">
      <x:c r="A2188" t="str">
        <x:v>PCC-PE-KG01-L24-20251026-PM-ORD-2025-00126-S13-C3</x:v>
      </x:c>
      <x:c r="B2188" t="str">
        <x:v>PC-PE-KG01-L24-20251026-PM-ORD-2025-00126-S13</x:v>
      </x:c>
      <x:c r="C2188" t="str">
        <x:v>PE-KG01-L24-20251026-PM-ORD-2025-00126</x:v>
      </x:c>
      <x:c r="D2188" t="str">
        <x:v>KG01</x:v>
      </x:c>
      <x:c r="E2188" s="62" t="n">
        <x:v>45956</x:v>
      </x:c>
      <x:c r="F2188" t="str">
        <x:v>PM</x:v>
      </x:c>
      <x:c r="G2188" t="str">
        <x:v>A</x:v>
      </x:c>
      <x:c r="H2188" t="n">
        <x:v>24</x:v>
      </x:c>
      <x:c r="I2188" t="str">
        <x:v>ORD-2025-00126</x:v>
      </x:c>
      <x:c r="J2188" t="n">
        <x:v>13</x:v>
      </x:c>
      <x:c r="K2188" t="n">
        <x:v>3</x:v>
      </x:c>
      <x:c r="L2188" t="str">
        <x:v>L24-S13-C3</x:v>
      </x:c>
      <x:c r="M2188" t="n">
        <x:v>0</x:v>
      </x:c>
      <x:c r="N2188" t="str">
        <x:v>DerivedFromCount</x:v>
      </x:c>
      <x:c r="O2188" t="str">
        <x:v>PLC-PRD-JAR-720-L24</x:v>
      </x:c>
      <x:c r="P2188" t="str">
        <x:v>OK</x:v>
      </x:c>
      <x:c r="Q2188" t="str">
        <x:v>OK</x:v>
      </x:c>
      <x:c r="R2188" t="str">
        <x:v>OK</x:v>
      </x:c>
      <x:c r="S2188" t="str">
        <x:v>OK</x:v>
      </x:c>
      <x:c r="T2188" t="n">
        <x:v>24</x:v>
      </x:c>
      <x:c r="U2188" t="str">
        <x:v>OK</x:v>
      </x:c>
      <x:c r="V2188" t="str">
        <x:v>OK</x:v>
      </x:c>
      <x:c r="W2188" t="str">
        <x:v>LOAD</x:v>
      </x:c>
      <x:c r="X2188" t="str">
        <x:v>02_Supervisor_Log(4).xlsx</x:v>
      </x:c>
      <x:c r="Y2188" t="str">
        <x:v>ENH-20260830-01</x:v>
      </x:c>
      <x:c r="Z2188" t="str">
        <x:v>Active</x:v>
      </x:c>
      <x:c r="AA2188"/>
      <x:c r="AB2188"/>
      <x:c r="AC2188"/>
      <x:c r="AD2188"/>
    </x:row>
    <x:row r="2189">
      <x:c r="A2189" t="str">
        <x:v>PCC-PE-KG01-L25-20251020-AM-ORD-2025-00161-S01-C1</x:v>
      </x:c>
      <x:c r="B2189" t="str">
        <x:v>PC-PE-KG01-L25-20251020-AM-ORD-2025-00161-S01</x:v>
      </x:c>
      <x:c r="C2189" t="str">
        <x:v>PE-KG01-L25-20251020-AM-ORD-2025-00161</x:v>
      </x:c>
      <x:c r="D2189" t="str">
        <x:v>KG01</x:v>
      </x:c>
      <x:c r="E2189" s="62" t="n">
        <x:v>45950</x:v>
      </x:c>
      <x:c r="F2189" t="str">
        <x:v>AM</x:v>
      </x:c>
      <x:c r="G2189" t="str">
        <x:v>C</x:v>
      </x:c>
      <x:c r="H2189" t="n">
        <x:v>25</x:v>
      </x:c>
      <x:c r="I2189" t="str">
        <x:v>ORD-2025-00161</x:v>
      </x:c>
      <x:c r="J2189" t="n">
        <x:v>1</x:v>
      </x:c>
      <x:c r="K2189" t="n">
        <x:v>1</x:v>
      </x:c>
      <x:c r="L2189" t="str">
        <x:v>L25-S01-C1</x:v>
      </x:c>
      <x:c r="M2189" t="n">
        <x:v>1</x:v>
      </x:c>
      <x:c r="N2189" t="str">
        <x:v>DerivedFromCount</x:v>
      </x:c>
      <x:c r="O2189" t="str">
        <x:v>PLC-PRD-JAR-720-L25</x:v>
      </x:c>
      <x:c r="P2189" t="str">
        <x:v>OK</x:v>
      </x:c>
      <x:c r="Q2189" t="str">
        <x:v>OK</x:v>
      </x:c>
      <x:c r="R2189" t="str">
        <x:v>OK</x:v>
      </x:c>
      <x:c r="S2189" t="str">
        <x:v>OK</x:v>
      </x:c>
      <x:c r="T2189" t="n">
        <x:v>16</x:v>
      </x:c>
      <x:c r="U2189" t="str">
        <x:v>OK</x:v>
      </x:c>
      <x:c r="V2189" t="str">
        <x:v>OK</x:v>
      </x:c>
      <x:c r="W2189" t="str">
        <x:v>LOAD</x:v>
      </x:c>
      <x:c r="X2189" t="str">
        <x:v>02_Supervisor_Log(4).xlsx</x:v>
      </x:c>
      <x:c r="Y2189" t="str">
        <x:v>ENH-20260830-01</x:v>
      </x:c>
      <x:c r="Z2189" t="str">
        <x:v>Active</x:v>
      </x:c>
      <x:c r="AA2189"/>
      <x:c r="AB2189"/>
      <x:c r="AC2189"/>
      <x:c r="AD2189"/>
    </x:row>
    <x:row r="2190">
      <x:c r="A2190" t="str">
        <x:v>PCC-PE-KG01-L25-20251020-AM-ORD-2025-00161-S01-C2</x:v>
      </x:c>
      <x:c r="B2190" t="str">
        <x:v>PC-PE-KG01-L25-20251020-AM-ORD-2025-00161-S01</x:v>
      </x:c>
      <x:c r="C2190" t="str">
        <x:v>PE-KG01-L25-20251020-AM-ORD-2025-00161</x:v>
      </x:c>
      <x:c r="D2190" t="str">
        <x:v>KG01</x:v>
      </x:c>
      <x:c r="E2190" s="62" t="n">
        <x:v>45950</x:v>
      </x:c>
      <x:c r="F2190" t="str">
        <x:v>AM</x:v>
      </x:c>
      <x:c r="G2190" t="str">
        <x:v>C</x:v>
      </x:c>
      <x:c r="H2190" t="n">
        <x:v>25</x:v>
      </x:c>
      <x:c r="I2190" t="str">
        <x:v>ORD-2025-00161</x:v>
      </x:c>
      <x:c r="J2190" t="n">
        <x:v>1</x:v>
      </x:c>
      <x:c r="K2190" t="n">
        <x:v>2</x:v>
      </x:c>
      <x:c r="L2190" t="str">
        <x:v>L25-S01-C2</x:v>
      </x:c>
      <x:c r="M2190" t="n">
        <x:v>1</x:v>
      </x:c>
      <x:c r="N2190" t="str">
        <x:v>DerivedFromCount</x:v>
      </x:c>
      <x:c r="O2190" t="str">
        <x:v>PLC-PRD-JAR-720-L25</x:v>
      </x:c>
      <x:c r="P2190" t="str">
        <x:v>OK</x:v>
      </x:c>
      <x:c r="Q2190" t="str">
        <x:v>OK</x:v>
      </x:c>
      <x:c r="R2190" t="str">
        <x:v>OK</x:v>
      </x:c>
      <x:c r="S2190" t="str">
        <x:v>OK</x:v>
      </x:c>
      <x:c r="T2190" t="n">
        <x:v>16</x:v>
      </x:c>
      <x:c r="U2190" t="str">
        <x:v>OK</x:v>
      </x:c>
      <x:c r="V2190" t="str">
        <x:v>OK</x:v>
      </x:c>
      <x:c r="W2190" t="str">
        <x:v>LOAD</x:v>
      </x:c>
      <x:c r="X2190" t="str">
        <x:v>02_Supervisor_Log(4).xlsx</x:v>
      </x:c>
      <x:c r="Y2190" t="str">
        <x:v>ENH-20260830-01</x:v>
      </x:c>
      <x:c r="Z2190" t="str">
        <x:v>Active</x:v>
      </x:c>
      <x:c r="AA2190"/>
      <x:c r="AB2190"/>
      <x:c r="AC2190"/>
      <x:c r="AD2190"/>
    </x:row>
    <x:row r="2191">
      <x:c r="A2191" t="str">
        <x:v>PCC-PE-KG01-L25-20251020-AM-ORD-2025-00161-S01-C3</x:v>
      </x:c>
      <x:c r="B2191" t="str">
        <x:v>PC-PE-KG01-L25-20251020-AM-ORD-2025-00161-S01</x:v>
      </x:c>
      <x:c r="C2191" t="str">
        <x:v>PE-KG01-L25-20251020-AM-ORD-2025-00161</x:v>
      </x:c>
      <x:c r="D2191" t="str">
        <x:v>KG01</x:v>
      </x:c>
      <x:c r="E2191" s="62" t="n">
        <x:v>45950</x:v>
      </x:c>
      <x:c r="F2191" t="str">
        <x:v>AM</x:v>
      </x:c>
      <x:c r="G2191" t="str">
        <x:v>C</x:v>
      </x:c>
      <x:c r="H2191" t="n">
        <x:v>25</x:v>
      </x:c>
      <x:c r="I2191" t="str">
        <x:v>ORD-2025-00161</x:v>
      </x:c>
      <x:c r="J2191" t="n">
        <x:v>1</x:v>
      </x:c>
      <x:c r="K2191" t="n">
        <x:v>3</x:v>
      </x:c>
      <x:c r="L2191" t="str">
        <x:v>L25-S01-C3</x:v>
      </x:c>
      <x:c r="M2191" t="n">
        <x:v>0</x:v>
      </x:c>
      <x:c r="N2191" t="str">
        <x:v>DerivedFromCount</x:v>
      </x:c>
      <x:c r="O2191" t="str">
        <x:v>PLC-PRD-JAR-720-L25</x:v>
      </x:c>
      <x:c r="P2191" t="str">
        <x:v>OK</x:v>
      </x:c>
      <x:c r="Q2191" t="str">
        <x:v>OK</x:v>
      </x:c>
      <x:c r="R2191" t="str">
        <x:v>OK</x:v>
      </x:c>
      <x:c r="S2191" t="str">
        <x:v>OK</x:v>
      </x:c>
      <x:c r="T2191" t="n">
        <x:v>16</x:v>
      </x:c>
      <x:c r="U2191" t="str">
        <x:v>OK</x:v>
      </x:c>
      <x:c r="V2191" t="str">
        <x:v>OK</x:v>
      </x:c>
      <x:c r="W2191" t="str">
        <x:v>LOAD</x:v>
      </x:c>
      <x:c r="X2191" t="str">
        <x:v>02_Supervisor_Log(4).xlsx</x:v>
      </x:c>
      <x:c r="Y2191" t="str">
        <x:v>ENH-20260830-01</x:v>
      </x:c>
      <x:c r="Z2191" t="str">
        <x:v>Active</x:v>
      </x:c>
      <x:c r="AA2191"/>
      <x:c r="AB2191"/>
      <x:c r="AC2191"/>
      <x:c r="AD2191"/>
    </x:row>
    <x:row r="2192">
      <x:c r="A2192" t="str">
        <x:v>PCC-PE-KG01-L25-20251020-AM-ORD-2025-00161-S02-C1</x:v>
      </x:c>
      <x:c r="B2192" t="str">
        <x:v>PC-PE-KG01-L25-20251020-AM-ORD-2025-00161-S02</x:v>
      </x:c>
      <x:c r="C2192" t="str">
        <x:v>PE-KG01-L25-20251020-AM-ORD-2025-00161</x:v>
      </x:c>
      <x:c r="D2192" t="str">
        <x:v>KG01</x:v>
      </x:c>
      <x:c r="E2192" s="62" t="n">
        <x:v>45950</x:v>
      </x:c>
      <x:c r="F2192" t="str">
        <x:v>AM</x:v>
      </x:c>
      <x:c r="G2192" t="str">
        <x:v>C</x:v>
      </x:c>
      <x:c r="H2192" t="n">
        <x:v>25</x:v>
      </x:c>
      <x:c r="I2192" t="str">
        <x:v>ORD-2025-00161</x:v>
      </x:c>
      <x:c r="J2192" t="n">
        <x:v>2</x:v>
      </x:c>
      <x:c r="K2192" t="n">
        <x:v>1</x:v>
      </x:c>
      <x:c r="L2192" t="str">
        <x:v>L25-S02-C1</x:v>
      </x:c>
      <x:c r="M2192" t="n">
        <x:v>1</x:v>
      </x:c>
      <x:c r="N2192" t="str">
        <x:v>DerivedFromCount</x:v>
      </x:c>
      <x:c r="O2192" t="str">
        <x:v>PLC-PRD-JAR-720-L25</x:v>
      </x:c>
      <x:c r="P2192" t="str">
        <x:v>OK</x:v>
      </x:c>
      <x:c r="Q2192" t="str">
        <x:v>OK</x:v>
      </x:c>
      <x:c r="R2192" t="str">
        <x:v>OK</x:v>
      </x:c>
      <x:c r="S2192" t="str">
        <x:v>OK</x:v>
      </x:c>
      <x:c r="T2192" t="n">
        <x:v>16</x:v>
      </x:c>
      <x:c r="U2192" t="str">
        <x:v>OK</x:v>
      </x:c>
      <x:c r="V2192" t="str">
        <x:v>OK</x:v>
      </x:c>
      <x:c r="W2192" t="str">
        <x:v>LOAD</x:v>
      </x:c>
      <x:c r="X2192" t="str">
        <x:v>02_Supervisor_Log(4).xlsx</x:v>
      </x:c>
      <x:c r="Y2192" t="str">
        <x:v>ENH-20260830-01</x:v>
      </x:c>
      <x:c r="Z2192" t="str">
        <x:v>Active</x:v>
      </x:c>
      <x:c r="AA2192"/>
      <x:c r="AB2192"/>
      <x:c r="AC2192"/>
      <x:c r="AD2192"/>
    </x:row>
    <x:row r="2193">
      <x:c r="A2193" t="str">
        <x:v>PCC-PE-KG01-L25-20251020-AM-ORD-2025-00161-S02-C2</x:v>
      </x:c>
      <x:c r="B2193" t="str">
        <x:v>PC-PE-KG01-L25-20251020-AM-ORD-2025-00161-S02</x:v>
      </x:c>
      <x:c r="C2193" t="str">
        <x:v>PE-KG01-L25-20251020-AM-ORD-2025-00161</x:v>
      </x:c>
      <x:c r="D2193" t="str">
        <x:v>KG01</x:v>
      </x:c>
      <x:c r="E2193" s="62" t="n">
        <x:v>45950</x:v>
      </x:c>
      <x:c r="F2193" t="str">
        <x:v>AM</x:v>
      </x:c>
      <x:c r="G2193" t="str">
        <x:v>C</x:v>
      </x:c>
      <x:c r="H2193" t="n">
        <x:v>25</x:v>
      </x:c>
      <x:c r="I2193" t="str">
        <x:v>ORD-2025-00161</x:v>
      </x:c>
      <x:c r="J2193" t="n">
        <x:v>2</x:v>
      </x:c>
      <x:c r="K2193" t="n">
        <x:v>2</x:v>
      </x:c>
      <x:c r="L2193" t="str">
        <x:v>L25-S02-C2</x:v>
      </x:c>
      <x:c r="M2193" t="n">
        <x:v>1</x:v>
      </x:c>
      <x:c r="N2193" t="str">
        <x:v>DerivedFromCount</x:v>
      </x:c>
      <x:c r="O2193" t="str">
        <x:v>PLC-PRD-JAR-720-L25</x:v>
      </x:c>
      <x:c r="P2193" t="str">
        <x:v>OK</x:v>
      </x:c>
      <x:c r="Q2193" t="str">
        <x:v>OK</x:v>
      </x:c>
      <x:c r="R2193" t="str">
        <x:v>OK</x:v>
      </x:c>
      <x:c r="S2193" t="str">
        <x:v>OK</x:v>
      </x:c>
      <x:c r="T2193" t="n">
        <x:v>16</x:v>
      </x:c>
      <x:c r="U2193" t="str">
        <x:v>OK</x:v>
      </x:c>
      <x:c r="V2193" t="str">
        <x:v>OK</x:v>
      </x:c>
      <x:c r="W2193" t="str">
        <x:v>LOAD</x:v>
      </x:c>
      <x:c r="X2193" t="str">
        <x:v>02_Supervisor_Log(4).xlsx</x:v>
      </x:c>
      <x:c r="Y2193" t="str">
        <x:v>ENH-20260830-01</x:v>
      </x:c>
      <x:c r="Z2193" t="str">
        <x:v>Active</x:v>
      </x:c>
      <x:c r="AA2193"/>
      <x:c r="AB2193"/>
      <x:c r="AC2193"/>
      <x:c r="AD2193"/>
    </x:row>
    <x:row r="2194">
      <x:c r="A2194" t="str">
        <x:v>PCC-PE-KG01-L25-20251020-AM-ORD-2025-00161-S02-C3</x:v>
      </x:c>
      <x:c r="B2194" t="str">
        <x:v>PC-PE-KG01-L25-20251020-AM-ORD-2025-00161-S02</x:v>
      </x:c>
      <x:c r="C2194" t="str">
        <x:v>PE-KG01-L25-20251020-AM-ORD-2025-00161</x:v>
      </x:c>
      <x:c r="D2194" t="str">
        <x:v>KG01</x:v>
      </x:c>
      <x:c r="E2194" s="62" t="n">
        <x:v>45950</x:v>
      </x:c>
      <x:c r="F2194" t="str">
        <x:v>AM</x:v>
      </x:c>
      <x:c r="G2194" t="str">
        <x:v>C</x:v>
      </x:c>
      <x:c r="H2194" t="n">
        <x:v>25</x:v>
      </x:c>
      <x:c r="I2194" t="str">
        <x:v>ORD-2025-00161</x:v>
      </x:c>
      <x:c r="J2194" t="n">
        <x:v>2</x:v>
      </x:c>
      <x:c r="K2194" t="n">
        <x:v>3</x:v>
      </x:c>
      <x:c r="L2194" t="str">
        <x:v>L25-S02-C3</x:v>
      </x:c>
      <x:c r="M2194" t="n">
        <x:v>0</x:v>
      </x:c>
      <x:c r="N2194" t="str">
        <x:v>DerivedFromCount</x:v>
      </x:c>
      <x:c r="O2194" t="str">
        <x:v>PLC-PRD-JAR-720-L25</x:v>
      </x:c>
      <x:c r="P2194" t="str">
        <x:v>OK</x:v>
      </x:c>
      <x:c r="Q2194" t="str">
        <x:v>OK</x:v>
      </x:c>
      <x:c r="R2194" t="str">
        <x:v>OK</x:v>
      </x:c>
      <x:c r="S2194" t="str">
        <x:v>OK</x:v>
      </x:c>
      <x:c r="T2194" t="n">
        <x:v>16</x:v>
      </x:c>
      <x:c r="U2194" t="str">
        <x:v>OK</x:v>
      </x:c>
      <x:c r="V2194" t="str">
        <x:v>OK</x:v>
      </x:c>
      <x:c r="W2194" t="str">
        <x:v>LOAD</x:v>
      </x:c>
      <x:c r="X2194" t="str">
        <x:v>02_Supervisor_Log(4).xlsx</x:v>
      </x:c>
      <x:c r="Y2194" t="str">
        <x:v>ENH-20260830-01</x:v>
      </x:c>
      <x:c r="Z2194" t="str">
        <x:v>Active</x:v>
      </x:c>
      <x:c r="AA2194"/>
      <x:c r="AB2194"/>
      <x:c r="AC2194"/>
      <x:c r="AD2194"/>
    </x:row>
    <x:row r="2195">
      <x:c r="A2195" t="str">
        <x:v>PCC-PE-KG01-L25-20251020-AM-ORD-2025-00161-S03-C1</x:v>
      </x:c>
      <x:c r="B2195" t="str">
        <x:v>PC-PE-KG01-L25-20251020-AM-ORD-2025-00161-S03</x:v>
      </x:c>
      <x:c r="C2195" t="str">
        <x:v>PE-KG01-L25-20251020-AM-ORD-2025-00161</x:v>
      </x:c>
      <x:c r="D2195" t="str">
        <x:v>KG01</x:v>
      </x:c>
      <x:c r="E2195" s="62" t="n">
        <x:v>45950</x:v>
      </x:c>
      <x:c r="F2195" t="str">
        <x:v>AM</x:v>
      </x:c>
      <x:c r="G2195" t="str">
        <x:v>C</x:v>
      </x:c>
      <x:c r="H2195" t="n">
        <x:v>25</x:v>
      </x:c>
      <x:c r="I2195" t="str">
        <x:v>ORD-2025-00161</x:v>
      </x:c>
      <x:c r="J2195" t="n">
        <x:v>3</x:v>
      </x:c>
      <x:c r="K2195" t="n">
        <x:v>1</x:v>
      </x:c>
      <x:c r="L2195" t="str">
        <x:v>L25-S03-C1</x:v>
      </x:c>
      <x:c r="M2195" t="n">
        <x:v>1</x:v>
      </x:c>
      <x:c r="N2195" t="str">
        <x:v>DerivedFromCount</x:v>
      </x:c>
      <x:c r="O2195" t="str">
        <x:v>PLC-PRD-JAR-720-L25</x:v>
      </x:c>
      <x:c r="P2195" t="str">
        <x:v>OK</x:v>
      </x:c>
      <x:c r="Q2195" t="str">
        <x:v>OK</x:v>
      </x:c>
      <x:c r="R2195" t="str">
        <x:v>OK</x:v>
      </x:c>
      <x:c r="S2195" t="str">
        <x:v>OK</x:v>
      </x:c>
      <x:c r="T2195" t="n">
        <x:v>16</x:v>
      </x:c>
      <x:c r="U2195" t="str">
        <x:v>OK</x:v>
      </x:c>
      <x:c r="V2195" t="str">
        <x:v>OK</x:v>
      </x:c>
      <x:c r="W2195" t="str">
        <x:v>LOAD</x:v>
      </x:c>
      <x:c r="X2195" t="str">
        <x:v>02_Supervisor_Log(4).xlsx</x:v>
      </x:c>
      <x:c r="Y2195" t="str">
        <x:v>ENH-20260830-01</x:v>
      </x:c>
      <x:c r="Z2195" t="str">
        <x:v>Active</x:v>
      </x:c>
      <x:c r="AA2195"/>
      <x:c r="AB2195"/>
      <x:c r="AC2195"/>
      <x:c r="AD2195"/>
    </x:row>
    <x:row r="2196">
      <x:c r="A2196" t="str">
        <x:v>PCC-PE-KG01-L25-20251020-AM-ORD-2025-00161-S03-C2</x:v>
      </x:c>
      <x:c r="B2196" t="str">
        <x:v>PC-PE-KG01-L25-20251020-AM-ORD-2025-00161-S03</x:v>
      </x:c>
      <x:c r="C2196" t="str">
        <x:v>PE-KG01-L25-20251020-AM-ORD-2025-00161</x:v>
      </x:c>
      <x:c r="D2196" t="str">
        <x:v>KG01</x:v>
      </x:c>
      <x:c r="E2196" s="62" t="n">
        <x:v>45950</x:v>
      </x:c>
      <x:c r="F2196" t="str">
        <x:v>AM</x:v>
      </x:c>
      <x:c r="G2196" t="str">
        <x:v>C</x:v>
      </x:c>
      <x:c r="H2196" t="n">
        <x:v>25</x:v>
      </x:c>
      <x:c r="I2196" t="str">
        <x:v>ORD-2025-00161</x:v>
      </x:c>
      <x:c r="J2196" t="n">
        <x:v>3</x:v>
      </x:c>
      <x:c r="K2196" t="n">
        <x:v>2</x:v>
      </x:c>
      <x:c r="L2196" t="str">
        <x:v>L25-S03-C2</x:v>
      </x:c>
      <x:c r="M2196" t="n">
        <x:v>1</x:v>
      </x:c>
      <x:c r="N2196" t="str">
        <x:v>DerivedFromCount</x:v>
      </x:c>
      <x:c r="O2196" t="str">
        <x:v>PLC-PRD-JAR-720-L25</x:v>
      </x:c>
      <x:c r="P2196" t="str">
        <x:v>OK</x:v>
      </x:c>
      <x:c r="Q2196" t="str">
        <x:v>OK</x:v>
      </x:c>
      <x:c r="R2196" t="str">
        <x:v>OK</x:v>
      </x:c>
      <x:c r="S2196" t="str">
        <x:v>OK</x:v>
      </x:c>
      <x:c r="T2196" t="n">
        <x:v>16</x:v>
      </x:c>
      <x:c r="U2196" t="str">
        <x:v>OK</x:v>
      </x:c>
      <x:c r="V2196" t="str">
        <x:v>OK</x:v>
      </x:c>
      <x:c r="W2196" t="str">
        <x:v>LOAD</x:v>
      </x:c>
      <x:c r="X2196" t="str">
        <x:v>02_Supervisor_Log(4).xlsx</x:v>
      </x:c>
      <x:c r="Y2196" t="str">
        <x:v>ENH-20260830-01</x:v>
      </x:c>
      <x:c r="Z2196" t="str">
        <x:v>Active</x:v>
      </x:c>
      <x:c r="AA2196"/>
      <x:c r="AB2196"/>
      <x:c r="AC2196"/>
      <x:c r="AD2196"/>
    </x:row>
    <x:row r="2197">
      <x:c r="A2197" t="str">
        <x:v>PCC-PE-KG01-L25-20251020-AM-ORD-2025-00161-S03-C3</x:v>
      </x:c>
      <x:c r="B2197" t="str">
        <x:v>PC-PE-KG01-L25-20251020-AM-ORD-2025-00161-S03</x:v>
      </x:c>
      <x:c r="C2197" t="str">
        <x:v>PE-KG01-L25-20251020-AM-ORD-2025-00161</x:v>
      </x:c>
      <x:c r="D2197" t="str">
        <x:v>KG01</x:v>
      </x:c>
      <x:c r="E2197" s="62" t="n">
        <x:v>45950</x:v>
      </x:c>
      <x:c r="F2197" t="str">
        <x:v>AM</x:v>
      </x:c>
      <x:c r="G2197" t="str">
        <x:v>C</x:v>
      </x:c>
      <x:c r="H2197" t="n">
        <x:v>25</x:v>
      </x:c>
      <x:c r="I2197" t="str">
        <x:v>ORD-2025-00161</x:v>
      </x:c>
      <x:c r="J2197" t="n">
        <x:v>3</x:v>
      </x:c>
      <x:c r="K2197" t="n">
        <x:v>3</x:v>
      </x:c>
      <x:c r="L2197" t="str">
        <x:v>L25-S03-C3</x:v>
      </x:c>
      <x:c r="M2197" t="n">
        <x:v>0</x:v>
      </x:c>
      <x:c r="N2197" t="str">
        <x:v>DerivedFromCount</x:v>
      </x:c>
      <x:c r="O2197" t="str">
        <x:v>PLC-PRD-JAR-720-L25</x:v>
      </x:c>
      <x:c r="P2197" t="str">
        <x:v>OK</x:v>
      </x:c>
      <x:c r="Q2197" t="str">
        <x:v>OK</x:v>
      </x:c>
      <x:c r="R2197" t="str">
        <x:v>OK</x:v>
      </x:c>
      <x:c r="S2197" t="str">
        <x:v>OK</x:v>
      </x:c>
      <x:c r="T2197" t="n">
        <x:v>16</x:v>
      </x:c>
      <x:c r="U2197" t="str">
        <x:v>OK</x:v>
      </x:c>
      <x:c r="V2197" t="str">
        <x:v>OK</x:v>
      </x:c>
      <x:c r="W2197" t="str">
        <x:v>LOAD</x:v>
      </x:c>
      <x:c r="X2197" t="str">
        <x:v>02_Supervisor_Log(4).xlsx</x:v>
      </x:c>
      <x:c r="Y2197" t="str">
        <x:v>ENH-20260830-01</x:v>
      </x:c>
      <x:c r="Z2197" t="str">
        <x:v>Active</x:v>
      </x:c>
      <x:c r="AA2197"/>
      <x:c r="AB2197"/>
      <x:c r="AC2197"/>
      <x:c r="AD2197"/>
    </x:row>
    <x:row r="2198">
      <x:c r="A2198" t="str">
        <x:v>PCC-PE-KG01-L25-20251020-AM-ORD-2025-00161-S04-C1</x:v>
      </x:c>
      <x:c r="B2198" t="str">
        <x:v>PC-PE-KG01-L25-20251020-AM-ORD-2025-00161-S04</x:v>
      </x:c>
      <x:c r="C2198" t="str">
        <x:v>PE-KG01-L25-20251020-AM-ORD-2025-00161</x:v>
      </x:c>
      <x:c r="D2198" t="str">
        <x:v>KG01</x:v>
      </x:c>
      <x:c r="E2198" s="62" t="n">
        <x:v>45950</x:v>
      </x:c>
      <x:c r="F2198" t="str">
        <x:v>AM</x:v>
      </x:c>
      <x:c r="G2198" t="str">
        <x:v>C</x:v>
      </x:c>
      <x:c r="H2198" t="n">
        <x:v>25</x:v>
      </x:c>
      <x:c r="I2198" t="str">
        <x:v>ORD-2025-00161</x:v>
      </x:c>
      <x:c r="J2198" t="n">
        <x:v>4</x:v>
      </x:c>
      <x:c r="K2198" t="n">
        <x:v>1</x:v>
      </x:c>
      <x:c r="L2198" t="str">
        <x:v>L25-S04-C1</x:v>
      </x:c>
      <x:c r="M2198" t="n">
        <x:v>1</x:v>
      </x:c>
      <x:c r="N2198" t="str">
        <x:v>DerivedFromCount</x:v>
      </x:c>
      <x:c r="O2198" t="str">
        <x:v>PLC-PRD-JAR-720-L25</x:v>
      </x:c>
      <x:c r="P2198" t="str">
        <x:v>OK</x:v>
      </x:c>
      <x:c r="Q2198" t="str">
        <x:v>OK</x:v>
      </x:c>
      <x:c r="R2198" t="str">
        <x:v>OK</x:v>
      </x:c>
      <x:c r="S2198" t="str">
        <x:v>OK</x:v>
      </x:c>
      <x:c r="T2198" t="n">
        <x:v>16</x:v>
      </x:c>
      <x:c r="U2198" t="str">
        <x:v>OK</x:v>
      </x:c>
      <x:c r="V2198" t="str">
        <x:v>OK</x:v>
      </x:c>
      <x:c r="W2198" t="str">
        <x:v>LOAD</x:v>
      </x:c>
      <x:c r="X2198" t="str">
        <x:v>02_Supervisor_Log(4).xlsx</x:v>
      </x:c>
      <x:c r="Y2198" t="str">
        <x:v>ENH-20260830-01</x:v>
      </x:c>
      <x:c r="Z2198" t="str">
        <x:v>Active</x:v>
      </x:c>
      <x:c r="AA2198"/>
      <x:c r="AB2198"/>
      <x:c r="AC2198"/>
      <x:c r="AD2198"/>
    </x:row>
    <x:row r="2199">
      <x:c r="A2199" t="str">
        <x:v>PCC-PE-KG01-L25-20251020-AM-ORD-2025-00161-S04-C2</x:v>
      </x:c>
      <x:c r="B2199" t="str">
        <x:v>PC-PE-KG01-L25-20251020-AM-ORD-2025-00161-S04</x:v>
      </x:c>
      <x:c r="C2199" t="str">
        <x:v>PE-KG01-L25-20251020-AM-ORD-2025-00161</x:v>
      </x:c>
      <x:c r="D2199" t="str">
        <x:v>KG01</x:v>
      </x:c>
      <x:c r="E2199" s="62" t="n">
        <x:v>45950</x:v>
      </x:c>
      <x:c r="F2199" t="str">
        <x:v>AM</x:v>
      </x:c>
      <x:c r="G2199" t="str">
        <x:v>C</x:v>
      </x:c>
      <x:c r="H2199" t="n">
        <x:v>25</x:v>
      </x:c>
      <x:c r="I2199" t="str">
        <x:v>ORD-2025-00161</x:v>
      </x:c>
      <x:c r="J2199" t="n">
        <x:v>4</x:v>
      </x:c>
      <x:c r="K2199" t="n">
        <x:v>2</x:v>
      </x:c>
      <x:c r="L2199" t="str">
        <x:v>L25-S04-C2</x:v>
      </x:c>
      <x:c r="M2199" t="n">
        <x:v>1</x:v>
      </x:c>
      <x:c r="N2199" t="str">
        <x:v>DerivedFromCount</x:v>
      </x:c>
      <x:c r="O2199" t="str">
        <x:v>PLC-PRD-JAR-720-L25</x:v>
      </x:c>
      <x:c r="P2199" t="str">
        <x:v>OK</x:v>
      </x:c>
      <x:c r="Q2199" t="str">
        <x:v>OK</x:v>
      </x:c>
      <x:c r="R2199" t="str">
        <x:v>OK</x:v>
      </x:c>
      <x:c r="S2199" t="str">
        <x:v>OK</x:v>
      </x:c>
      <x:c r="T2199" t="n">
        <x:v>16</x:v>
      </x:c>
      <x:c r="U2199" t="str">
        <x:v>OK</x:v>
      </x:c>
      <x:c r="V2199" t="str">
        <x:v>OK</x:v>
      </x:c>
      <x:c r="W2199" t="str">
        <x:v>LOAD</x:v>
      </x:c>
      <x:c r="X2199" t="str">
        <x:v>02_Supervisor_Log(4).xlsx</x:v>
      </x:c>
      <x:c r="Y2199" t="str">
        <x:v>ENH-20260830-01</x:v>
      </x:c>
      <x:c r="Z2199" t="str">
        <x:v>Active</x:v>
      </x:c>
      <x:c r="AA2199"/>
      <x:c r="AB2199"/>
      <x:c r="AC2199"/>
      <x:c r="AD2199"/>
    </x:row>
    <x:row r="2200">
      <x:c r="A2200" t="str">
        <x:v>PCC-PE-KG01-L25-20251020-AM-ORD-2025-00161-S04-C3</x:v>
      </x:c>
      <x:c r="B2200" t="str">
        <x:v>PC-PE-KG01-L25-20251020-AM-ORD-2025-00161-S04</x:v>
      </x:c>
      <x:c r="C2200" t="str">
        <x:v>PE-KG01-L25-20251020-AM-ORD-2025-00161</x:v>
      </x:c>
      <x:c r="D2200" t="str">
        <x:v>KG01</x:v>
      </x:c>
      <x:c r="E2200" s="62" t="n">
        <x:v>45950</x:v>
      </x:c>
      <x:c r="F2200" t="str">
        <x:v>AM</x:v>
      </x:c>
      <x:c r="G2200" t="str">
        <x:v>C</x:v>
      </x:c>
      <x:c r="H2200" t="n">
        <x:v>25</x:v>
      </x:c>
      <x:c r="I2200" t="str">
        <x:v>ORD-2025-00161</x:v>
      </x:c>
      <x:c r="J2200" t="n">
        <x:v>4</x:v>
      </x:c>
      <x:c r="K2200" t="n">
        <x:v>3</x:v>
      </x:c>
      <x:c r="L2200" t="str">
        <x:v>L25-S04-C3</x:v>
      </x:c>
      <x:c r="M2200" t="n">
        <x:v>0</x:v>
      </x:c>
      <x:c r="N2200" t="str">
        <x:v>DerivedFromCount</x:v>
      </x:c>
      <x:c r="O2200" t="str">
        <x:v>PLC-PRD-JAR-720-L25</x:v>
      </x:c>
      <x:c r="P2200" t="str">
        <x:v>OK</x:v>
      </x:c>
      <x:c r="Q2200" t="str">
        <x:v>OK</x:v>
      </x:c>
      <x:c r="R2200" t="str">
        <x:v>OK</x:v>
      </x:c>
      <x:c r="S2200" t="str">
        <x:v>OK</x:v>
      </x:c>
      <x:c r="T2200" t="n">
        <x:v>16</x:v>
      </x:c>
      <x:c r="U2200" t="str">
        <x:v>OK</x:v>
      </x:c>
      <x:c r="V2200" t="str">
        <x:v>OK</x:v>
      </x:c>
      <x:c r="W2200" t="str">
        <x:v>LOAD</x:v>
      </x:c>
      <x:c r="X2200" t="str">
        <x:v>02_Supervisor_Log(4).xlsx</x:v>
      </x:c>
      <x:c r="Y2200" t="str">
        <x:v>ENH-20260830-01</x:v>
      </x:c>
      <x:c r="Z2200" t="str">
        <x:v>Active</x:v>
      </x:c>
      <x:c r="AA2200"/>
      <x:c r="AB2200"/>
      <x:c r="AC2200"/>
      <x:c r="AD2200"/>
    </x:row>
    <x:row r="2201">
      <x:c r="A2201" t="str">
        <x:v>PCC-PE-KG01-L25-20251020-AM-ORD-2025-00161-S05-C1</x:v>
      </x:c>
      <x:c r="B2201" t="str">
        <x:v>PC-PE-KG01-L25-20251020-AM-ORD-2025-00161-S05</x:v>
      </x:c>
      <x:c r="C2201" t="str">
        <x:v>PE-KG01-L25-20251020-AM-ORD-2025-00161</x:v>
      </x:c>
      <x:c r="D2201" t="str">
        <x:v>KG01</x:v>
      </x:c>
      <x:c r="E2201" s="62" t="n">
        <x:v>45950</x:v>
      </x:c>
      <x:c r="F2201" t="str">
        <x:v>AM</x:v>
      </x:c>
      <x:c r="G2201" t="str">
        <x:v>C</x:v>
      </x:c>
      <x:c r="H2201" t="n">
        <x:v>25</x:v>
      </x:c>
      <x:c r="I2201" t="str">
        <x:v>ORD-2025-00161</x:v>
      </x:c>
      <x:c r="J2201" t="n">
        <x:v>5</x:v>
      </x:c>
      <x:c r="K2201" t="n">
        <x:v>1</x:v>
      </x:c>
      <x:c r="L2201" t="str">
        <x:v>L25-S05-C1</x:v>
      </x:c>
      <x:c r="M2201" t="n">
        <x:v>1</x:v>
      </x:c>
      <x:c r="N2201" t="str">
        <x:v>DerivedFromCount</x:v>
      </x:c>
      <x:c r="O2201" t="str">
        <x:v>PLC-PRD-JAR-720-L25</x:v>
      </x:c>
      <x:c r="P2201" t="str">
        <x:v>OK</x:v>
      </x:c>
      <x:c r="Q2201" t="str">
        <x:v>OK</x:v>
      </x:c>
      <x:c r="R2201" t="str">
        <x:v>OK</x:v>
      </x:c>
      <x:c r="S2201" t="str">
        <x:v>OK</x:v>
      </x:c>
      <x:c r="T2201" t="n">
        <x:v>16</x:v>
      </x:c>
      <x:c r="U2201" t="str">
        <x:v>OK</x:v>
      </x:c>
      <x:c r="V2201" t="str">
        <x:v>OK</x:v>
      </x:c>
      <x:c r="W2201" t="str">
        <x:v>LOAD</x:v>
      </x:c>
      <x:c r="X2201" t="str">
        <x:v>02_Supervisor_Log(4).xlsx</x:v>
      </x:c>
      <x:c r="Y2201" t="str">
        <x:v>ENH-20260830-01</x:v>
      </x:c>
      <x:c r="Z2201" t="str">
        <x:v>Active</x:v>
      </x:c>
      <x:c r="AA2201"/>
      <x:c r="AB2201"/>
      <x:c r="AC2201"/>
      <x:c r="AD2201"/>
    </x:row>
    <x:row r="2202">
      <x:c r="A2202" t="str">
        <x:v>PCC-PE-KG01-L25-20251020-AM-ORD-2025-00161-S05-C2</x:v>
      </x:c>
      <x:c r="B2202" t="str">
        <x:v>PC-PE-KG01-L25-20251020-AM-ORD-2025-00161-S05</x:v>
      </x:c>
      <x:c r="C2202" t="str">
        <x:v>PE-KG01-L25-20251020-AM-ORD-2025-00161</x:v>
      </x:c>
      <x:c r="D2202" t="str">
        <x:v>KG01</x:v>
      </x:c>
      <x:c r="E2202" s="62" t="n">
        <x:v>45950</x:v>
      </x:c>
      <x:c r="F2202" t="str">
        <x:v>AM</x:v>
      </x:c>
      <x:c r="G2202" t="str">
        <x:v>C</x:v>
      </x:c>
      <x:c r="H2202" t="n">
        <x:v>25</x:v>
      </x:c>
      <x:c r="I2202" t="str">
        <x:v>ORD-2025-00161</x:v>
      </x:c>
      <x:c r="J2202" t="n">
        <x:v>5</x:v>
      </x:c>
      <x:c r="K2202" t="n">
        <x:v>2</x:v>
      </x:c>
      <x:c r="L2202" t="str">
        <x:v>L25-S05-C2</x:v>
      </x:c>
      <x:c r="M2202" t="n">
        <x:v>1</x:v>
      </x:c>
      <x:c r="N2202" t="str">
        <x:v>DerivedFromCount</x:v>
      </x:c>
      <x:c r="O2202" t="str">
        <x:v>PLC-PRD-JAR-720-L25</x:v>
      </x:c>
      <x:c r="P2202" t="str">
        <x:v>OK</x:v>
      </x:c>
      <x:c r="Q2202" t="str">
        <x:v>OK</x:v>
      </x:c>
      <x:c r="R2202" t="str">
        <x:v>OK</x:v>
      </x:c>
      <x:c r="S2202" t="str">
        <x:v>OK</x:v>
      </x:c>
      <x:c r="T2202" t="n">
        <x:v>16</x:v>
      </x:c>
      <x:c r="U2202" t="str">
        <x:v>OK</x:v>
      </x:c>
      <x:c r="V2202" t="str">
        <x:v>OK</x:v>
      </x:c>
      <x:c r="W2202" t="str">
        <x:v>LOAD</x:v>
      </x:c>
      <x:c r="X2202" t="str">
        <x:v>02_Supervisor_Log(4).xlsx</x:v>
      </x:c>
      <x:c r="Y2202" t="str">
        <x:v>ENH-20260830-01</x:v>
      </x:c>
      <x:c r="Z2202" t="str">
        <x:v>Active</x:v>
      </x:c>
      <x:c r="AA2202"/>
      <x:c r="AB2202"/>
      <x:c r="AC2202"/>
      <x:c r="AD2202"/>
    </x:row>
    <x:row r="2203">
      <x:c r="A2203" t="str">
        <x:v>PCC-PE-KG01-L25-20251020-AM-ORD-2025-00161-S05-C3</x:v>
      </x:c>
      <x:c r="B2203" t="str">
        <x:v>PC-PE-KG01-L25-20251020-AM-ORD-2025-00161-S05</x:v>
      </x:c>
      <x:c r="C2203" t="str">
        <x:v>PE-KG01-L25-20251020-AM-ORD-2025-00161</x:v>
      </x:c>
      <x:c r="D2203" t="str">
        <x:v>KG01</x:v>
      </x:c>
      <x:c r="E2203" s="62" t="n">
        <x:v>45950</x:v>
      </x:c>
      <x:c r="F2203" t="str">
        <x:v>AM</x:v>
      </x:c>
      <x:c r="G2203" t="str">
        <x:v>C</x:v>
      </x:c>
      <x:c r="H2203" t="n">
        <x:v>25</x:v>
      </x:c>
      <x:c r="I2203" t="str">
        <x:v>ORD-2025-00161</x:v>
      </x:c>
      <x:c r="J2203" t="n">
        <x:v>5</x:v>
      </x:c>
      <x:c r="K2203" t="n">
        <x:v>3</x:v>
      </x:c>
      <x:c r="L2203" t="str">
        <x:v>L25-S05-C3</x:v>
      </x:c>
      <x:c r="M2203" t="n">
        <x:v>0</x:v>
      </x:c>
      <x:c r="N2203" t="str">
        <x:v>DerivedFromCount</x:v>
      </x:c>
      <x:c r="O2203" t="str">
        <x:v>PLC-PRD-JAR-720-L25</x:v>
      </x:c>
      <x:c r="P2203" t="str">
        <x:v>OK</x:v>
      </x:c>
      <x:c r="Q2203" t="str">
        <x:v>OK</x:v>
      </x:c>
      <x:c r="R2203" t="str">
        <x:v>OK</x:v>
      </x:c>
      <x:c r="S2203" t="str">
        <x:v>OK</x:v>
      </x:c>
      <x:c r="T2203" t="n">
        <x:v>16</x:v>
      </x:c>
      <x:c r="U2203" t="str">
        <x:v>OK</x:v>
      </x:c>
      <x:c r="V2203" t="str">
        <x:v>OK</x:v>
      </x:c>
      <x:c r="W2203" t="str">
        <x:v>LOAD</x:v>
      </x:c>
      <x:c r="X2203" t="str">
        <x:v>02_Supervisor_Log(4).xlsx</x:v>
      </x:c>
      <x:c r="Y2203" t="str">
        <x:v>ENH-20260830-01</x:v>
      </x:c>
      <x:c r="Z2203" t="str">
        <x:v>Active</x:v>
      </x:c>
      <x:c r="AA2203"/>
      <x:c r="AB2203"/>
      <x:c r="AC2203"/>
      <x:c r="AD2203"/>
    </x:row>
    <x:row r="2204">
      <x:c r="A2204" t="str">
        <x:v>PCC-PE-KG01-L25-20251020-AM-ORD-2025-00161-S06-C1</x:v>
      </x:c>
      <x:c r="B2204" t="str">
        <x:v>PC-PE-KG01-L25-20251020-AM-ORD-2025-00161-S06</x:v>
      </x:c>
      <x:c r="C2204" t="str">
        <x:v>PE-KG01-L25-20251020-AM-ORD-2025-00161</x:v>
      </x:c>
      <x:c r="D2204" t="str">
        <x:v>KG01</x:v>
      </x:c>
      <x:c r="E2204" s="62" t="n">
        <x:v>45950</x:v>
      </x:c>
      <x:c r="F2204" t="str">
        <x:v>AM</x:v>
      </x:c>
      <x:c r="G2204" t="str">
        <x:v>C</x:v>
      </x:c>
      <x:c r="H2204" t="n">
        <x:v>25</x:v>
      </x:c>
      <x:c r="I2204" t="str">
        <x:v>ORD-2025-00161</x:v>
      </x:c>
      <x:c r="J2204" t="n">
        <x:v>6</x:v>
      </x:c>
      <x:c r="K2204" t="n">
        <x:v>1</x:v>
      </x:c>
      <x:c r="L2204" t="str">
        <x:v>L25-S06-C1</x:v>
      </x:c>
      <x:c r="M2204" t="n">
        <x:v>1</x:v>
      </x:c>
      <x:c r="N2204" t="str">
        <x:v>DerivedFromCount</x:v>
      </x:c>
      <x:c r="O2204" t="str">
        <x:v>PLC-PRD-JAR-720-L25</x:v>
      </x:c>
      <x:c r="P2204" t="str">
        <x:v>OK</x:v>
      </x:c>
      <x:c r="Q2204" t="str">
        <x:v>OK</x:v>
      </x:c>
      <x:c r="R2204" t="str">
        <x:v>OK</x:v>
      </x:c>
      <x:c r="S2204" t="str">
        <x:v>OK</x:v>
      </x:c>
      <x:c r="T2204" t="n">
        <x:v>16</x:v>
      </x:c>
      <x:c r="U2204" t="str">
        <x:v>OK</x:v>
      </x:c>
      <x:c r="V2204" t="str">
        <x:v>OK</x:v>
      </x:c>
      <x:c r="W2204" t="str">
        <x:v>LOAD</x:v>
      </x:c>
      <x:c r="X2204" t="str">
        <x:v>02_Supervisor_Log(4).xlsx</x:v>
      </x:c>
      <x:c r="Y2204" t="str">
        <x:v>ENH-20260830-01</x:v>
      </x:c>
      <x:c r="Z2204" t="str">
        <x:v>Active</x:v>
      </x:c>
      <x:c r="AA2204"/>
      <x:c r="AB2204"/>
      <x:c r="AC2204"/>
      <x:c r="AD2204"/>
    </x:row>
    <x:row r="2205">
      <x:c r="A2205" t="str">
        <x:v>PCC-PE-KG01-L25-20251020-AM-ORD-2025-00161-S06-C2</x:v>
      </x:c>
      <x:c r="B2205" t="str">
        <x:v>PC-PE-KG01-L25-20251020-AM-ORD-2025-00161-S06</x:v>
      </x:c>
      <x:c r="C2205" t="str">
        <x:v>PE-KG01-L25-20251020-AM-ORD-2025-00161</x:v>
      </x:c>
      <x:c r="D2205" t="str">
        <x:v>KG01</x:v>
      </x:c>
      <x:c r="E2205" s="62" t="n">
        <x:v>45950</x:v>
      </x:c>
      <x:c r="F2205" t="str">
        <x:v>AM</x:v>
      </x:c>
      <x:c r="G2205" t="str">
        <x:v>C</x:v>
      </x:c>
      <x:c r="H2205" t="n">
        <x:v>25</x:v>
      </x:c>
      <x:c r="I2205" t="str">
        <x:v>ORD-2025-00161</x:v>
      </x:c>
      <x:c r="J2205" t="n">
        <x:v>6</x:v>
      </x:c>
      <x:c r="K2205" t="n">
        <x:v>2</x:v>
      </x:c>
      <x:c r="L2205" t="str">
        <x:v>L25-S06-C2</x:v>
      </x:c>
      <x:c r="M2205" t="n">
        <x:v>1</x:v>
      </x:c>
      <x:c r="N2205" t="str">
        <x:v>DerivedFromCount</x:v>
      </x:c>
      <x:c r="O2205" t="str">
        <x:v>PLC-PRD-JAR-720-L25</x:v>
      </x:c>
      <x:c r="P2205" t="str">
        <x:v>OK</x:v>
      </x:c>
      <x:c r="Q2205" t="str">
        <x:v>OK</x:v>
      </x:c>
      <x:c r="R2205" t="str">
        <x:v>OK</x:v>
      </x:c>
      <x:c r="S2205" t="str">
        <x:v>OK</x:v>
      </x:c>
      <x:c r="T2205" t="n">
        <x:v>16</x:v>
      </x:c>
      <x:c r="U2205" t="str">
        <x:v>OK</x:v>
      </x:c>
      <x:c r="V2205" t="str">
        <x:v>OK</x:v>
      </x:c>
      <x:c r="W2205" t="str">
        <x:v>LOAD</x:v>
      </x:c>
      <x:c r="X2205" t="str">
        <x:v>02_Supervisor_Log(4).xlsx</x:v>
      </x:c>
      <x:c r="Y2205" t="str">
        <x:v>ENH-20260830-01</x:v>
      </x:c>
      <x:c r="Z2205" t="str">
        <x:v>Active</x:v>
      </x:c>
      <x:c r="AA2205"/>
      <x:c r="AB2205"/>
      <x:c r="AC2205"/>
      <x:c r="AD2205"/>
    </x:row>
    <x:row r="2206">
      <x:c r="A2206" t="str">
        <x:v>PCC-PE-KG01-L25-20251020-AM-ORD-2025-00161-S06-C3</x:v>
      </x:c>
      <x:c r="B2206" t="str">
        <x:v>PC-PE-KG01-L25-20251020-AM-ORD-2025-00161-S06</x:v>
      </x:c>
      <x:c r="C2206" t="str">
        <x:v>PE-KG01-L25-20251020-AM-ORD-2025-00161</x:v>
      </x:c>
      <x:c r="D2206" t="str">
        <x:v>KG01</x:v>
      </x:c>
      <x:c r="E2206" s="62" t="n">
        <x:v>45950</x:v>
      </x:c>
      <x:c r="F2206" t="str">
        <x:v>AM</x:v>
      </x:c>
      <x:c r="G2206" t="str">
        <x:v>C</x:v>
      </x:c>
      <x:c r="H2206" t="n">
        <x:v>25</x:v>
      </x:c>
      <x:c r="I2206" t="str">
        <x:v>ORD-2025-00161</x:v>
      </x:c>
      <x:c r="J2206" t="n">
        <x:v>6</x:v>
      </x:c>
      <x:c r="K2206" t="n">
        <x:v>3</x:v>
      </x:c>
      <x:c r="L2206" t="str">
        <x:v>L25-S06-C3</x:v>
      </x:c>
      <x:c r="M2206" t="n">
        <x:v>0</x:v>
      </x:c>
      <x:c r="N2206" t="str">
        <x:v>DerivedFromCount</x:v>
      </x:c>
      <x:c r="O2206" t="str">
        <x:v>PLC-PRD-JAR-720-L25</x:v>
      </x:c>
      <x:c r="P2206" t="str">
        <x:v>OK</x:v>
      </x:c>
      <x:c r="Q2206" t="str">
        <x:v>OK</x:v>
      </x:c>
      <x:c r="R2206" t="str">
        <x:v>OK</x:v>
      </x:c>
      <x:c r="S2206" t="str">
        <x:v>OK</x:v>
      </x:c>
      <x:c r="T2206" t="n">
        <x:v>16</x:v>
      </x:c>
      <x:c r="U2206" t="str">
        <x:v>OK</x:v>
      </x:c>
      <x:c r="V2206" t="str">
        <x:v>OK</x:v>
      </x:c>
      <x:c r="W2206" t="str">
        <x:v>LOAD</x:v>
      </x:c>
      <x:c r="X2206" t="str">
        <x:v>02_Supervisor_Log(4).xlsx</x:v>
      </x:c>
      <x:c r="Y2206" t="str">
        <x:v>ENH-20260830-01</x:v>
      </x:c>
      <x:c r="Z2206" t="str">
        <x:v>Active</x:v>
      </x:c>
      <x:c r="AA2206"/>
      <x:c r="AB2206"/>
      <x:c r="AC2206"/>
      <x:c r="AD2206"/>
    </x:row>
    <x:row r="2207">
      <x:c r="A2207" t="str">
        <x:v>PCC-PE-KG01-L25-20251020-AM-ORD-2025-00161-S07-C1</x:v>
      </x:c>
      <x:c r="B2207" t="str">
        <x:v>PC-PE-KG01-L25-20251020-AM-ORD-2025-00161-S07</x:v>
      </x:c>
      <x:c r="C2207" t="str">
        <x:v>PE-KG01-L25-20251020-AM-ORD-2025-00161</x:v>
      </x:c>
      <x:c r="D2207" t="str">
        <x:v>KG01</x:v>
      </x:c>
      <x:c r="E2207" s="62" t="n">
        <x:v>45950</x:v>
      </x:c>
      <x:c r="F2207" t="str">
        <x:v>AM</x:v>
      </x:c>
      <x:c r="G2207" t="str">
        <x:v>C</x:v>
      </x:c>
      <x:c r="H2207" t="n">
        <x:v>25</x:v>
      </x:c>
      <x:c r="I2207" t="str">
        <x:v>ORD-2025-00161</x:v>
      </x:c>
      <x:c r="J2207" t="n">
        <x:v>7</x:v>
      </x:c>
      <x:c r="K2207" t="n">
        <x:v>1</x:v>
      </x:c>
      <x:c r="L2207" t="str">
        <x:v>L25-S07-C1</x:v>
      </x:c>
      <x:c r="M2207" t="n">
        <x:v>1</x:v>
      </x:c>
      <x:c r="N2207" t="str">
        <x:v>DerivedFromCount</x:v>
      </x:c>
      <x:c r="O2207" t="str">
        <x:v>PLC-PRD-JAR-720-L25</x:v>
      </x:c>
      <x:c r="P2207" t="str">
        <x:v>OK</x:v>
      </x:c>
      <x:c r="Q2207" t="str">
        <x:v>OK</x:v>
      </x:c>
      <x:c r="R2207" t="str">
        <x:v>OK</x:v>
      </x:c>
      <x:c r="S2207" t="str">
        <x:v>OK</x:v>
      </x:c>
      <x:c r="T2207" t="n">
        <x:v>16</x:v>
      </x:c>
      <x:c r="U2207" t="str">
        <x:v>OK</x:v>
      </x:c>
      <x:c r="V2207" t="str">
        <x:v>OK</x:v>
      </x:c>
      <x:c r="W2207" t="str">
        <x:v>LOAD</x:v>
      </x:c>
      <x:c r="X2207" t="str">
        <x:v>02_Supervisor_Log(4).xlsx</x:v>
      </x:c>
      <x:c r="Y2207" t="str">
        <x:v>ENH-20260830-01</x:v>
      </x:c>
      <x:c r="Z2207" t="str">
        <x:v>Active</x:v>
      </x:c>
      <x:c r="AA2207"/>
      <x:c r="AB2207"/>
      <x:c r="AC2207"/>
      <x:c r="AD2207"/>
    </x:row>
    <x:row r="2208">
      <x:c r="A2208" t="str">
        <x:v>PCC-PE-KG01-L25-20251020-AM-ORD-2025-00161-S07-C2</x:v>
      </x:c>
      <x:c r="B2208" t="str">
        <x:v>PC-PE-KG01-L25-20251020-AM-ORD-2025-00161-S07</x:v>
      </x:c>
      <x:c r="C2208" t="str">
        <x:v>PE-KG01-L25-20251020-AM-ORD-2025-00161</x:v>
      </x:c>
      <x:c r="D2208" t="str">
        <x:v>KG01</x:v>
      </x:c>
      <x:c r="E2208" s="62" t="n">
        <x:v>45950</x:v>
      </x:c>
      <x:c r="F2208" t="str">
        <x:v>AM</x:v>
      </x:c>
      <x:c r="G2208" t="str">
        <x:v>C</x:v>
      </x:c>
      <x:c r="H2208" t="n">
        <x:v>25</x:v>
      </x:c>
      <x:c r="I2208" t="str">
        <x:v>ORD-2025-00161</x:v>
      </x:c>
      <x:c r="J2208" t="n">
        <x:v>7</x:v>
      </x:c>
      <x:c r="K2208" t="n">
        <x:v>2</x:v>
      </x:c>
      <x:c r="L2208" t="str">
        <x:v>L25-S07-C2</x:v>
      </x:c>
      <x:c r="M2208" t="n">
        <x:v>1</x:v>
      </x:c>
      <x:c r="N2208" t="str">
        <x:v>DerivedFromCount</x:v>
      </x:c>
      <x:c r="O2208" t="str">
        <x:v>PLC-PRD-JAR-720-L25</x:v>
      </x:c>
      <x:c r="P2208" t="str">
        <x:v>OK</x:v>
      </x:c>
      <x:c r="Q2208" t="str">
        <x:v>OK</x:v>
      </x:c>
      <x:c r="R2208" t="str">
        <x:v>OK</x:v>
      </x:c>
      <x:c r="S2208" t="str">
        <x:v>OK</x:v>
      </x:c>
      <x:c r="T2208" t="n">
        <x:v>16</x:v>
      </x:c>
      <x:c r="U2208" t="str">
        <x:v>OK</x:v>
      </x:c>
      <x:c r="V2208" t="str">
        <x:v>OK</x:v>
      </x:c>
      <x:c r="W2208" t="str">
        <x:v>LOAD</x:v>
      </x:c>
      <x:c r="X2208" t="str">
        <x:v>02_Supervisor_Log(4).xlsx</x:v>
      </x:c>
      <x:c r="Y2208" t="str">
        <x:v>ENH-20260830-01</x:v>
      </x:c>
      <x:c r="Z2208" t="str">
        <x:v>Active</x:v>
      </x:c>
      <x:c r="AA2208"/>
      <x:c r="AB2208"/>
      <x:c r="AC2208"/>
      <x:c r="AD2208"/>
    </x:row>
    <x:row r="2209">
      <x:c r="A2209" t="str">
        <x:v>PCC-PE-KG01-L25-20251020-AM-ORD-2025-00161-S07-C3</x:v>
      </x:c>
      <x:c r="B2209" t="str">
        <x:v>PC-PE-KG01-L25-20251020-AM-ORD-2025-00161-S07</x:v>
      </x:c>
      <x:c r="C2209" t="str">
        <x:v>PE-KG01-L25-20251020-AM-ORD-2025-00161</x:v>
      </x:c>
      <x:c r="D2209" t="str">
        <x:v>KG01</x:v>
      </x:c>
      <x:c r="E2209" s="62" t="n">
        <x:v>45950</x:v>
      </x:c>
      <x:c r="F2209" t="str">
        <x:v>AM</x:v>
      </x:c>
      <x:c r="G2209" t="str">
        <x:v>C</x:v>
      </x:c>
      <x:c r="H2209" t="n">
        <x:v>25</x:v>
      </x:c>
      <x:c r="I2209" t="str">
        <x:v>ORD-2025-00161</x:v>
      </x:c>
      <x:c r="J2209" t="n">
        <x:v>7</x:v>
      </x:c>
      <x:c r="K2209" t="n">
        <x:v>3</x:v>
      </x:c>
      <x:c r="L2209" t="str">
        <x:v>L25-S07-C3</x:v>
      </x:c>
      <x:c r="M2209" t="n">
        <x:v>0</x:v>
      </x:c>
      <x:c r="N2209" t="str">
        <x:v>DerivedFromCount</x:v>
      </x:c>
      <x:c r="O2209" t="str">
        <x:v>PLC-PRD-JAR-720-L25</x:v>
      </x:c>
      <x:c r="P2209" t="str">
        <x:v>OK</x:v>
      </x:c>
      <x:c r="Q2209" t="str">
        <x:v>OK</x:v>
      </x:c>
      <x:c r="R2209" t="str">
        <x:v>OK</x:v>
      </x:c>
      <x:c r="S2209" t="str">
        <x:v>OK</x:v>
      </x:c>
      <x:c r="T2209" t="n">
        <x:v>16</x:v>
      </x:c>
      <x:c r="U2209" t="str">
        <x:v>OK</x:v>
      </x:c>
      <x:c r="V2209" t="str">
        <x:v>OK</x:v>
      </x:c>
      <x:c r="W2209" t="str">
        <x:v>LOAD</x:v>
      </x:c>
      <x:c r="X2209" t="str">
        <x:v>02_Supervisor_Log(4).xlsx</x:v>
      </x:c>
      <x:c r="Y2209" t="str">
        <x:v>ENH-20260830-01</x:v>
      </x:c>
      <x:c r="Z2209" t="str">
        <x:v>Active</x:v>
      </x:c>
      <x:c r="AA2209"/>
      <x:c r="AB2209"/>
      <x:c r="AC2209"/>
      <x:c r="AD2209"/>
    </x:row>
    <x:row r="2210">
      <x:c r="A2210" t="str">
        <x:v>PCC-PE-KG01-L25-20251020-AM-ORD-2025-00161-S08-C1</x:v>
      </x:c>
      <x:c r="B2210" t="str">
        <x:v>PC-PE-KG01-L25-20251020-AM-ORD-2025-00161-S08</x:v>
      </x:c>
      <x:c r="C2210" t="str">
        <x:v>PE-KG01-L25-20251020-AM-ORD-2025-00161</x:v>
      </x:c>
      <x:c r="D2210" t="str">
        <x:v>KG01</x:v>
      </x:c>
      <x:c r="E2210" s="62" t="n">
        <x:v>45950</x:v>
      </x:c>
      <x:c r="F2210" t="str">
        <x:v>AM</x:v>
      </x:c>
      <x:c r="G2210" t="str">
        <x:v>C</x:v>
      </x:c>
      <x:c r="H2210" t="n">
        <x:v>25</x:v>
      </x:c>
      <x:c r="I2210" t="str">
        <x:v>ORD-2025-00161</x:v>
      </x:c>
      <x:c r="J2210" t="n">
        <x:v>8</x:v>
      </x:c>
      <x:c r="K2210" t="n">
        <x:v>1</x:v>
      </x:c>
      <x:c r="L2210" t="str">
        <x:v>L25-S08-C1</x:v>
      </x:c>
      <x:c r="M2210" t="n">
        <x:v>1</x:v>
      </x:c>
      <x:c r="N2210" t="str">
        <x:v>DerivedFromCount</x:v>
      </x:c>
      <x:c r="O2210" t="str">
        <x:v>PLC-PRD-JAR-720-L25</x:v>
      </x:c>
      <x:c r="P2210" t="str">
        <x:v>OK</x:v>
      </x:c>
      <x:c r="Q2210" t="str">
        <x:v>OK</x:v>
      </x:c>
      <x:c r="R2210" t="str">
        <x:v>OK</x:v>
      </x:c>
      <x:c r="S2210" t="str">
        <x:v>OK</x:v>
      </x:c>
      <x:c r="T2210" t="n">
        <x:v>16</x:v>
      </x:c>
      <x:c r="U2210" t="str">
        <x:v>OK</x:v>
      </x:c>
      <x:c r="V2210" t="str">
        <x:v>OK</x:v>
      </x:c>
      <x:c r="W2210" t="str">
        <x:v>LOAD</x:v>
      </x:c>
      <x:c r="X2210" t="str">
        <x:v>02_Supervisor_Log(4).xlsx</x:v>
      </x:c>
      <x:c r="Y2210" t="str">
        <x:v>ENH-20260830-01</x:v>
      </x:c>
      <x:c r="Z2210" t="str">
        <x:v>Active</x:v>
      </x:c>
      <x:c r="AA2210"/>
      <x:c r="AB2210"/>
      <x:c r="AC2210"/>
      <x:c r="AD2210"/>
    </x:row>
    <x:row r="2211">
      <x:c r="A2211" t="str">
        <x:v>PCC-PE-KG01-L25-20251020-AM-ORD-2025-00161-S08-C2</x:v>
      </x:c>
      <x:c r="B2211" t="str">
        <x:v>PC-PE-KG01-L25-20251020-AM-ORD-2025-00161-S08</x:v>
      </x:c>
      <x:c r="C2211" t="str">
        <x:v>PE-KG01-L25-20251020-AM-ORD-2025-00161</x:v>
      </x:c>
      <x:c r="D2211" t="str">
        <x:v>KG01</x:v>
      </x:c>
      <x:c r="E2211" s="62" t="n">
        <x:v>45950</x:v>
      </x:c>
      <x:c r="F2211" t="str">
        <x:v>AM</x:v>
      </x:c>
      <x:c r="G2211" t="str">
        <x:v>C</x:v>
      </x:c>
      <x:c r="H2211" t="n">
        <x:v>25</x:v>
      </x:c>
      <x:c r="I2211" t="str">
        <x:v>ORD-2025-00161</x:v>
      </x:c>
      <x:c r="J2211" t="n">
        <x:v>8</x:v>
      </x:c>
      <x:c r="K2211" t="n">
        <x:v>2</x:v>
      </x:c>
      <x:c r="L2211" t="str">
        <x:v>L25-S08-C2</x:v>
      </x:c>
      <x:c r="M2211" t="n">
        <x:v>1</x:v>
      </x:c>
      <x:c r="N2211" t="str">
        <x:v>DerivedFromCount</x:v>
      </x:c>
      <x:c r="O2211" t="str">
        <x:v>PLC-PRD-JAR-720-L25</x:v>
      </x:c>
      <x:c r="P2211" t="str">
        <x:v>OK</x:v>
      </x:c>
      <x:c r="Q2211" t="str">
        <x:v>OK</x:v>
      </x:c>
      <x:c r="R2211" t="str">
        <x:v>OK</x:v>
      </x:c>
      <x:c r="S2211" t="str">
        <x:v>OK</x:v>
      </x:c>
      <x:c r="T2211" t="n">
        <x:v>16</x:v>
      </x:c>
      <x:c r="U2211" t="str">
        <x:v>OK</x:v>
      </x:c>
      <x:c r="V2211" t="str">
        <x:v>OK</x:v>
      </x:c>
      <x:c r="W2211" t="str">
        <x:v>LOAD</x:v>
      </x:c>
      <x:c r="X2211" t="str">
        <x:v>02_Supervisor_Log(4).xlsx</x:v>
      </x:c>
      <x:c r="Y2211" t="str">
        <x:v>ENH-20260830-01</x:v>
      </x:c>
      <x:c r="Z2211" t="str">
        <x:v>Active</x:v>
      </x:c>
      <x:c r="AA2211"/>
      <x:c r="AB2211"/>
      <x:c r="AC2211"/>
      <x:c r="AD2211"/>
    </x:row>
    <x:row r="2212">
      <x:c r="A2212" t="str">
        <x:v>PCC-PE-KG01-L25-20251020-AM-ORD-2025-00161-S08-C3</x:v>
      </x:c>
      <x:c r="B2212" t="str">
        <x:v>PC-PE-KG01-L25-20251020-AM-ORD-2025-00161-S08</x:v>
      </x:c>
      <x:c r="C2212" t="str">
        <x:v>PE-KG01-L25-20251020-AM-ORD-2025-00161</x:v>
      </x:c>
      <x:c r="D2212" t="str">
        <x:v>KG01</x:v>
      </x:c>
      <x:c r="E2212" s="62" t="n">
        <x:v>45950</x:v>
      </x:c>
      <x:c r="F2212" t="str">
        <x:v>AM</x:v>
      </x:c>
      <x:c r="G2212" t="str">
        <x:v>C</x:v>
      </x:c>
      <x:c r="H2212" t="n">
        <x:v>25</x:v>
      </x:c>
      <x:c r="I2212" t="str">
        <x:v>ORD-2025-00161</x:v>
      </x:c>
      <x:c r="J2212" t="n">
        <x:v>8</x:v>
      </x:c>
      <x:c r="K2212" t="n">
        <x:v>3</x:v>
      </x:c>
      <x:c r="L2212" t="str">
        <x:v>L25-S08-C3</x:v>
      </x:c>
      <x:c r="M2212" t="n">
        <x:v>0</x:v>
      </x:c>
      <x:c r="N2212" t="str">
        <x:v>DerivedFromCount</x:v>
      </x:c>
      <x:c r="O2212" t="str">
        <x:v>PLC-PRD-JAR-720-L25</x:v>
      </x:c>
      <x:c r="P2212" t="str">
        <x:v>OK</x:v>
      </x:c>
      <x:c r="Q2212" t="str">
        <x:v>OK</x:v>
      </x:c>
      <x:c r="R2212" t="str">
        <x:v>OK</x:v>
      </x:c>
      <x:c r="S2212" t="str">
        <x:v>OK</x:v>
      </x:c>
      <x:c r="T2212" t="n">
        <x:v>16</x:v>
      </x:c>
      <x:c r="U2212" t="str">
        <x:v>OK</x:v>
      </x:c>
      <x:c r="V2212" t="str">
        <x:v>OK</x:v>
      </x:c>
      <x:c r="W2212" t="str">
        <x:v>LOAD</x:v>
      </x:c>
      <x:c r="X2212" t="str">
        <x:v>02_Supervisor_Log(4).xlsx</x:v>
      </x:c>
      <x:c r="Y2212" t="str">
        <x:v>ENH-20260830-01</x:v>
      </x:c>
      <x:c r="Z2212" t="str">
        <x:v>Active</x:v>
      </x:c>
      <x:c r="AA2212"/>
      <x:c r="AB2212"/>
      <x:c r="AC2212"/>
      <x:c r="AD2212"/>
    </x:row>
    <x:row r="2213">
      <x:c r="A2213" t="str">
        <x:v>PCC-PE-KG01-L25-20251020-AM-ORD-2025-00161-S09-C1</x:v>
      </x:c>
      <x:c r="B2213" t="str">
        <x:v>PC-PE-KG01-L25-20251020-AM-ORD-2025-00161-S09</x:v>
      </x:c>
      <x:c r="C2213" t="str">
        <x:v>PE-KG01-L25-20251020-AM-ORD-2025-00161</x:v>
      </x:c>
      <x:c r="D2213" t="str">
        <x:v>KG01</x:v>
      </x:c>
      <x:c r="E2213" s="62" t="n">
        <x:v>45950</x:v>
      </x:c>
      <x:c r="F2213" t="str">
        <x:v>AM</x:v>
      </x:c>
      <x:c r="G2213" t="str">
        <x:v>C</x:v>
      </x:c>
      <x:c r="H2213" t="n">
        <x:v>25</x:v>
      </x:c>
      <x:c r="I2213" t="str">
        <x:v>ORD-2025-00161</x:v>
      </x:c>
      <x:c r="J2213" t="n">
        <x:v>9</x:v>
      </x:c>
      <x:c r="K2213" t="n">
        <x:v>1</x:v>
      </x:c>
      <x:c r="L2213" t="str">
        <x:v>L25-S09-C1</x:v>
      </x:c>
      <x:c r="M2213" t="n">
        <x:v>0</x:v>
      </x:c>
      <x:c r="N2213" t="str">
        <x:v>DerivedFromCount</x:v>
      </x:c>
      <x:c r="O2213" t="str">
        <x:v>PLC-PRD-JAR-720-L25</x:v>
      </x:c>
      <x:c r="P2213" t="str">
        <x:v>OK</x:v>
      </x:c>
      <x:c r="Q2213" t="str">
        <x:v>OK</x:v>
      </x:c>
      <x:c r="R2213" t="str">
        <x:v>OK</x:v>
      </x:c>
      <x:c r="S2213" t="str">
        <x:v>OK</x:v>
      </x:c>
      <x:c r="T2213" t="n">
        <x:v>16</x:v>
      </x:c>
      <x:c r="U2213" t="str">
        <x:v>OK</x:v>
      </x:c>
      <x:c r="V2213" t="str">
        <x:v>OK</x:v>
      </x:c>
      <x:c r="W2213" t="str">
        <x:v>LOAD</x:v>
      </x:c>
      <x:c r="X2213" t="str">
        <x:v>02_Supervisor_Log(4).xlsx</x:v>
      </x:c>
      <x:c r="Y2213" t="str">
        <x:v>ENH-20260830-01</x:v>
      </x:c>
      <x:c r="Z2213" t="str">
        <x:v>Active</x:v>
      </x:c>
      <x:c r="AA2213"/>
      <x:c r="AB2213"/>
      <x:c r="AC2213"/>
      <x:c r="AD2213"/>
    </x:row>
    <x:row r="2214">
      <x:c r="A2214" t="str">
        <x:v>PCC-PE-KG01-L25-20251020-AM-ORD-2025-00161-S09-C2</x:v>
      </x:c>
      <x:c r="B2214" t="str">
        <x:v>PC-PE-KG01-L25-20251020-AM-ORD-2025-00161-S09</x:v>
      </x:c>
      <x:c r="C2214" t="str">
        <x:v>PE-KG01-L25-20251020-AM-ORD-2025-00161</x:v>
      </x:c>
      <x:c r="D2214" t="str">
        <x:v>KG01</x:v>
      </x:c>
      <x:c r="E2214" s="62" t="n">
        <x:v>45950</x:v>
      </x:c>
      <x:c r="F2214" t="str">
        <x:v>AM</x:v>
      </x:c>
      <x:c r="G2214" t="str">
        <x:v>C</x:v>
      </x:c>
      <x:c r="H2214" t="n">
        <x:v>25</x:v>
      </x:c>
      <x:c r="I2214" t="str">
        <x:v>ORD-2025-00161</x:v>
      </x:c>
      <x:c r="J2214" t="n">
        <x:v>9</x:v>
      </x:c>
      <x:c r="K2214" t="n">
        <x:v>2</x:v>
      </x:c>
      <x:c r="L2214" t="str">
        <x:v>L25-S09-C2</x:v>
      </x:c>
      <x:c r="M2214" t="n">
        <x:v>0</x:v>
      </x:c>
      <x:c r="N2214" t="str">
        <x:v>DerivedFromCount</x:v>
      </x:c>
      <x:c r="O2214" t="str">
        <x:v>PLC-PRD-JAR-720-L25</x:v>
      </x:c>
      <x:c r="P2214" t="str">
        <x:v>OK</x:v>
      </x:c>
      <x:c r="Q2214" t="str">
        <x:v>OK</x:v>
      </x:c>
      <x:c r="R2214" t="str">
        <x:v>OK</x:v>
      </x:c>
      <x:c r="S2214" t="str">
        <x:v>OK</x:v>
      </x:c>
      <x:c r="T2214" t="n">
        <x:v>16</x:v>
      </x:c>
      <x:c r="U2214" t="str">
        <x:v>OK</x:v>
      </x:c>
      <x:c r="V2214" t="str">
        <x:v>OK</x:v>
      </x:c>
      <x:c r="W2214" t="str">
        <x:v>LOAD</x:v>
      </x:c>
      <x:c r="X2214" t="str">
        <x:v>02_Supervisor_Log(4).xlsx</x:v>
      </x:c>
      <x:c r="Y2214" t="str">
        <x:v>ENH-20260830-01</x:v>
      </x:c>
      <x:c r="Z2214" t="str">
        <x:v>Active</x:v>
      </x:c>
      <x:c r="AA2214"/>
      <x:c r="AB2214"/>
      <x:c r="AC2214"/>
      <x:c r="AD2214"/>
    </x:row>
    <x:row r="2215">
      <x:c r="A2215" t="str">
        <x:v>PCC-PE-KG01-L25-20251020-AM-ORD-2025-00161-S09-C3</x:v>
      </x:c>
      <x:c r="B2215" t="str">
        <x:v>PC-PE-KG01-L25-20251020-AM-ORD-2025-00161-S09</x:v>
      </x:c>
      <x:c r="C2215" t="str">
        <x:v>PE-KG01-L25-20251020-AM-ORD-2025-00161</x:v>
      </x:c>
      <x:c r="D2215" t="str">
        <x:v>KG01</x:v>
      </x:c>
      <x:c r="E2215" s="62" t="n">
        <x:v>45950</x:v>
      </x:c>
      <x:c r="F2215" t="str">
        <x:v>AM</x:v>
      </x:c>
      <x:c r="G2215" t="str">
        <x:v>C</x:v>
      </x:c>
      <x:c r="H2215" t="n">
        <x:v>25</x:v>
      </x:c>
      <x:c r="I2215" t="str">
        <x:v>ORD-2025-00161</x:v>
      </x:c>
      <x:c r="J2215" t="n">
        <x:v>9</x:v>
      </x:c>
      <x:c r="K2215" t="n">
        <x:v>3</x:v>
      </x:c>
      <x:c r="L2215" t="str">
        <x:v>L25-S09-C3</x:v>
      </x:c>
      <x:c r="M2215" t="n">
        <x:v>0</x:v>
      </x:c>
      <x:c r="N2215" t="str">
        <x:v>DerivedFromCount</x:v>
      </x:c>
      <x:c r="O2215" t="str">
        <x:v>PLC-PRD-JAR-720-L25</x:v>
      </x:c>
      <x:c r="P2215" t="str">
        <x:v>OK</x:v>
      </x:c>
      <x:c r="Q2215" t="str">
        <x:v>OK</x:v>
      </x:c>
      <x:c r="R2215" t="str">
        <x:v>OK</x:v>
      </x:c>
      <x:c r="S2215" t="str">
        <x:v>OK</x:v>
      </x:c>
      <x:c r="T2215" t="n">
        <x:v>16</x:v>
      </x:c>
      <x:c r="U2215" t="str">
        <x:v>OK</x:v>
      </x:c>
      <x:c r="V2215" t="str">
        <x:v>OK</x:v>
      </x:c>
      <x:c r="W2215" t="str">
        <x:v>LOAD</x:v>
      </x:c>
      <x:c r="X2215" t="str">
        <x:v>02_Supervisor_Log(4).xlsx</x:v>
      </x:c>
      <x:c r="Y2215" t="str">
        <x:v>ENH-20260830-01</x:v>
      </x:c>
      <x:c r="Z2215" t="str">
        <x:v>Active</x:v>
      </x:c>
      <x:c r="AA2215"/>
      <x:c r="AB2215"/>
      <x:c r="AC2215"/>
      <x:c r="AD2215"/>
    </x:row>
    <x:row r="2216">
      <x:c r="A2216" t="str">
        <x:v>PCC-PE-KG01-L25-20251020-AM-ORD-2025-00161-S10-C1</x:v>
      </x:c>
      <x:c r="B2216" t="str">
        <x:v>PC-PE-KG01-L25-20251020-AM-ORD-2025-00161-S10</x:v>
      </x:c>
      <x:c r="C2216" t="str">
        <x:v>PE-KG01-L25-20251020-AM-ORD-2025-00161</x:v>
      </x:c>
      <x:c r="D2216" t="str">
        <x:v>KG01</x:v>
      </x:c>
      <x:c r="E2216" s="62" t="n">
        <x:v>45950</x:v>
      </x:c>
      <x:c r="F2216" t="str">
        <x:v>AM</x:v>
      </x:c>
      <x:c r="G2216" t="str">
        <x:v>C</x:v>
      </x:c>
      <x:c r="H2216" t="n">
        <x:v>25</x:v>
      </x:c>
      <x:c r="I2216" t="str">
        <x:v>ORD-2025-00161</x:v>
      </x:c>
      <x:c r="J2216" t="n">
        <x:v>10</x:v>
      </x:c>
      <x:c r="K2216" t="n">
        <x:v>1</x:v>
      </x:c>
      <x:c r="L2216" t="str">
        <x:v>L25-S10-C1</x:v>
      </x:c>
      <x:c r="M2216" t="n">
        <x:v>0</x:v>
      </x:c>
      <x:c r="N2216" t="str">
        <x:v>DerivedFromCount</x:v>
      </x:c>
      <x:c r="O2216" t="str">
        <x:v>PLC-PRD-JAR-720-L25</x:v>
      </x:c>
      <x:c r="P2216" t="str">
        <x:v>OK</x:v>
      </x:c>
      <x:c r="Q2216" t="str">
        <x:v>OK</x:v>
      </x:c>
      <x:c r="R2216" t="str">
        <x:v>OK</x:v>
      </x:c>
      <x:c r="S2216" t="str">
        <x:v>OK</x:v>
      </x:c>
      <x:c r="T2216" t="n">
        <x:v>16</x:v>
      </x:c>
      <x:c r="U2216" t="str">
        <x:v>OK</x:v>
      </x:c>
      <x:c r="V2216" t="str">
        <x:v>OK</x:v>
      </x:c>
      <x:c r="W2216" t="str">
        <x:v>LOAD</x:v>
      </x:c>
      <x:c r="X2216" t="str">
        <x:v>02_Supervisor_Log(4).xlsx</x:v>
      </x:c>
      <x:c r="Y2216" t="str">
        <x:v>ENH-20260830-01</x:v>
      </x:c>
      <x:c r="Z2216" t="str">
        <x:v>Active</x:v>
      </x:c>
      <x:c r="AA2216"/>
      <x:c r="AB2216"/>
      <x:c r="AC2216"/>
      <x:c r="AD2216"/>
    </x:row>
    <x:row r="2217">
      <x:c r="A2217" t="str">
        <x:v>PCC-PE-KG01-L25-20251020-AM-ORD-2025-00161-S10-C2</x:v>
      </x:c>
      <x:c r="B2217" t="str">
        <x:v>PC-PE-KG01-L25-20251020-AM-ORD-2025-00161-S10</x:v>
      </x:c>
      <x:c r="C2217" t="str">
        <x:v>PE-KG01-L25-20251020-AM-ORD-2025-00161</x:v>
      </x:c>
      <x:c r="D2217" t="str">
        <x:v>KG01</x:v>
      </x:c>
      <x:c r="E2217" s="62" t="n">
        <x:v>45950</x:v>
      </x:c>
      <x:c r="F2217" t="str">
        <x:v>AM</x:v>
      </x:c>
      <x:c r="G2217" t="str">
        <x:v>C</x:v>
      </x:c>
      <x:c r="H2217" t="n">
        <x:v>25</x:v>
      </x:c>
      <x:c r="I2217" t="str">
        <x:v>ORD-2025-00161</x:v>
      </x:c>
      <x:c r="J2217" t="n">
        <x:v>10</x:v>
      </x:c>
      <x:c r="K2217" t="n">
        <x:v>2</x:v>
      </x:c>
      <x:c r="L2217" t="str">
        <x:v>L25-S10-C2</x:v>
      </x:c>
      <x:c r="M2217" t="n">
        <x:v>0</x:v>
      </x:c>
      <x:c r="N2217" t="str">
        <x:v>DerivedFromCount</x:v>
      </x:c>
      <x:c r="O2217" t="str">
        <x:v>PLC-PRD-JAR-720-L25</x:v>
      </x:c>
      <x:c r="P2217" t="str">
        <x:v>OK</x:v>
      </x:c>
      <x:c r="Q2217" t="str">
        <x:v>OK</x:v>
      </x:c>
      <x:c r="R2217" t="str">
        <x:v>OK</x:v>
      </x:c>
      <x:c r="S2217" t="str">
        <x:v>OK</x:v>
      </x:c>
      <x:c r="T2217" t="n">
        <x:v>16</x:v>
      </x:c>
      <x:c r="U2217" t="str">
        <x:v>OK</x:v>
      </x:c>
      <x:c r="V2217" t="str">
        <x:v>OK</x:v>
      </x:c>
      <x:c r="W2217" t="str">
        <x:v>LOAD</x:v>
      </x:c>
      <x:c r="X2217" t="str">
        <x:v>02_Supervisor_Log(4).xlsx</x:v>
      </x:c>
      <x:c r="Y2217" t="str">
        <x:v>ENH-20260830-01</x:v>
      </x:c>
      <x:c r="Z2217" t="str">
        <x:v>Active</x:v>
      </x:c>
      <x:c r="AA2217"/>
      <x:c r="AB2217"/>
      <x:c r="AC2217"/>
      <x:c r="AD2217"/>
    </x:row>
    <x:row r="2218">
      <x:c r="A2218" t="str">
        <x:v>PCC-PE-KG01-L25-20251020-AM-ORD-2025-00161-S10-C3</x:v>
      </x:c>
      <x:c r="B2218" t="str">
        <x:v>PC-PE-KG01-L25-20251020-AM-ORD-2025-00161-S10</x:v>
      </x:c>
      <x:c r="C2218" t="str">
        <x:v>PE-KG01-L25-20251020-AM-ORD-2025-00161</x:v>
      </x:c>
      <x:c r="D2218" t="str">
        <x:v>KG01</x:v>
      </x:c>
      <x:c r="E2218" s="62" t="n">
        <x:v>45950</x:v>
      </x:c>
      <x:c r="F2218" t="str">
        <x:v>AM</x:v>
      </x:c>
      <x:c r="G2218" t="str">
        <x:v>C</x:v>
      </x:c>
      <x:c r="H2218" t="n">
        <x:v>25</x:v>
      </x:c>
      <x:c r="I2218" t="str">
        <x:v>ORD-2025-00161</x:v>
      </x:c>
      <x:c r="J2218" t="n">
        <x:v>10</x:v>
      </x:c>
      <x:c r="K2218" t="n">
        <x:v>3</x:v>
      </x:c>
      <x:c r="L2218" t="str">
        <x:v>L25-S10-C3</x:v>
      </x:c>
      <x:c r="M2218" t="n">
        <x:v>0</x:v>
      </x:c>
      <x:c r="N2218" t="str">
        <x:v>DerivedFromCount</x:v>
      </x:c>
      <x:c r="O2218" t="str">
        <x:v>PLC-PRD-JAR-720-L25</x:v>
      </x:c>
      <x:c r="P2218" t="str">
        <x:v>OK</x:v>
      </x:c>
      <x:c r="Q2218" t="str">
        <x:v>OK</x:v>
      </x:c>
      <x:c r="R2218" t="str">
        <x:v>OK</x:v>
      </x:c>
      <x:c r="S2218" t="str">
        <x:v>OK</x:v>
      </x:c>
      <x:c r="T2218" t="n">
        <x:v>16</x:v>
      </x:c>
      <x:c r="U2218" t="str">
        <x:v>OK</x:v>
      </x:c>
      <x:c r="V2218" t="str">
        <x:v>OK</x:v>
      </x:c>
      <x:c r="W2218" t="str">
        <x:v>LOAD</x:v>
      </x:c>
      <x:c r="X2218" t="str">
        <x:v>02_Supervisor_Log(4).xlsx</x:v>
      </x:c>
      <x:c r="Y2218" t="str">
        <x:v>ENH-20260830-01</x:v>
      </x:c>
      <x:c r="Z2218" t="str">
        <x:v>Active</x:v>
      </x:c>
      <x:c r="AA2218"/>
      <x:c r="AB2218"/>
      <x:c r="AC2218"/>
      <x:c r="AD2218"/>
    </x:row>
    <x:row r="2219">
      <x:c r="A2219" t="str">
        <x:v>PCC-PE-KG01-L25-20251020-AM-ORD-2025-00161-S11-C1</x:v>
      </x:c>
      <x:c r="B2219" t="str">
        <x:v>PC-PE-KG01-L25-20251020-AM-ORD-2025-00161-S11</x:v>
      </x:c>
      <x:c r="C2219" t="str">
        <x:v>PE-KG01-L25-20251020-AM-ORD-2025-00161</x:v>
      </x:c>
      <x:c r="D2219" t="str">
        <x:v>KG01</x:v>
      </x:c>
      <x:c r="E2219" s="62" t="n">
        <x:v>45950</x:v>
      </x:c>
      <x:c r="F2219" t="str">
        <x:v>AM</x:v>
      </x:c>
      <x:c r="G2219" t="str">
        <x:v>C</x:v>
      </x:c>
      <x:c r="H2219" t="n">
        <x:v>25</x:v>
      </x:c>
      <x:c r="I2219" t="str">
        <x:v>ORD-2025-00161</x:v>
      </x:c>
      <x:c r="J2219" t="n">
        <x:v>11</x:v>
      </x:c>
      <x:c r="K2219" t="n">
        <x:v>1</x:v>
      </x:c>
      <x:c r="L2219" t="str">
        <x:v>L25-S11-C1</x:v>
      </x:c>
      <x:c r="M2219" t="n">
        <x:v>0</x:v>
      </x:c>
      <x:c r="N2219" t="str">
        <x:v>DerivedFromCount</x:v>
      </x:c>
      <x:c r="O2219" t="str">
        <x:v>PLC-PRD-JAR-720-L25</x:v>
      </x:c>
      <x:c r="P2219" t="str">
        <x:v>OK</x:v>
      </x:c>
      <x:c r="Q2219" t="str">
        <x:v>OK</x:v>
      </x:c>
      <x:c r="R2219" t="str">
        <x:v>OK</x:v>
      </x:c>
      <x:c r="S2219" t="str">
        <x:v>OK</x:v>
      </x:c>
      <x:c r="T2219" t="n">
        <x:v>16</x:v>
      </x:c>
      <x:c r="U2219" t="str">
        <x:v>OK</x:v>
      </x:c>
      <x:c r="V2219" t="str">
        <x:v>OK</x:v>
      </x:c>
      <x:c r="W2219" t="str">
        <x:v>LOAD</x:v>
      </x:c>
      <x:c r="X2219" t="str">
        <x:v>02_Supervisor_Log(4).xlsx</x:v>
      </x:c>
      <x:c r="Y2219" t="str">
        <x:v>ENH-20260830-01</x:v>
      </x:c>
      <x:c r="Z2219" t="str">
        <x:v>Active</x:v>
      </x:c>
      <x:c r="AA2219"/>
      <x:c r="AB2219"/>
      <x:c r="AC2219"/>
      <x:c r="AD2219"/>
    </x:row>
    <x:row r="2220">
      <x:c r="A2220" t="str">
        <x:v>PCC-PE-KG01-L25-20251020-AM-ORD-2025-00161-S11-C2</x:v>
      </x:c>
      <x:c r="B2220" t="str">
        <x:v>PC-PE-KG01-L25-20251020-AM-ORD-2025-00161-S11</x:v>
      </x:c>
      <x:c r="C2220" t="str">
        <x:v>PE-KG01-L25-20251020-AM-ORD-2025-00161</x:v>
      </x:c>
      <x:c r="D2220" t="str">
        <x:v>KG01</x:v>
      </x:c>
      <x:c r="E2220" s="62" t="n">
        <x:v>45950</x:v>
      </x:c>
      <x:c r="F2220" t="str">
        <x:v>AM</x:v>
      </x:c>
      <x:c r="G2220" t="str">
        <x:v>C</x:v>
      </x:c>
      <x:c r="H2220" t="n">
        <x:v>25</x:v>
      </x:c>
      <x:c r="I2220" t="str">
        <x:v>ORD-2025-00161</x:v>
      </x:c>
      <x:c r="J2220" t="n">
        <x:v>11</x:v>
      </x:c>
      <x:c r="K2220" t="n">
        <x:v>2</x:v>
      </x:c>
      <x:c r="L2220" t="str">
        <x:v>L25-S11-C2</x:v>
      </x:c>
      <x:c r="M2220" t="n">
        <x:v>0</x:v>
      </x:c>
      <x:c r="N2220" t="str">
        <x:v>DerivedFromCount</x:v>
      </x:c>
      <x:c r="O2220" t="str">
        <x:v>PLC-PRD-JAR-720-L25</x:v>
      </x:c>
      <x:c r="P2220" t="str">
        <x:v>OK</x:v>
      </x:c>
      <x:c r="Q2220" t="str">
        <x:v>OK</x:v>
      </x:c>
      <x:c r="R2220" t="str">
        <x:v>OK</x:v>
      </x:c>
      <x:c r="S2220" t="str">
        <x:v>OK</x:v>
      </x:c>
      <x:c r="T2220" t="n">
        <x:v>16</x:v>
      </x:c>
      <x:c r="U2220" t="str">
        <x:v>OK</x:v>
      </x:c>
      <x:c r="V2220" t="str">
        <x:v>OK</x:v>
      </x:c>
      <x:c r="W2220" t="str">
        <x:v>LOAD</x:v>
      </x:c>
      <x:c r="X2220" t="str">
        <x:v>02_Supervisor_Log(4).xlsx</x:v>
      </x:c>
      <x:c r="Y2220" t="str">
        <x:v>ENH-20260830-01</x:v>
      </x:c>
      <x:c r="Z2220" t="str">
        <x:v>Active</x:v>
      </x:c>
      <x:c r="AA2220"/>
      <x:c r="AB2220"/>
      <x:c r="AC2220"/>
      <x:c r="AD2220"/>
    </x:row>
    <x:row r="2221">
      <x:c r="A2221" t="str">
        <x:v>PCC-PE-KG01-L25-20251020-AM-ORD-2025-00161-S11-C3</x:v>
      </x:c>
      <x:c r="B2221" t="str">
        <x:v>PC-PE-KG01-L25-20251020-AM-ORD-2025-00161-S11</x:v>
      </x:c>
      <x:c r="C2221" t="str">
        <x:v>PE-KG01-L25-20251020-AM-ORD-2025-00161</x:v>
      </x:c>
      <x:c r="D2221" t="str">
        <x:v>KG01</x:v>
      </x:c>
      <x:c r="E2221" s="62" t="n">
        <x:v>45950</x:v>
      </x:c>
      <x:c r="F2221" t="str">
        <x:v>AM</x:v>
      </x:c>
      <x:c r="G2221" t="str">
        <x:v>C</x:v>
      </x:c>
      <x:c r="H2221" t="n">
        <x:v>25</x:v>
      </x:c>
      <x:c r="I2221" t="str">
        <x:v>ORD-2025-00161</x:v>
      </x:c>
      <x:c r="J2221" t="n">
        <x:v>11</x:v>
      </x:c>
      <x:c r="K2221" t="n">
        <x:v>3</x:v>
      </x:c>
      <x:c r="L2221" t="str">
        <x:v>L25-S11-C3</x:v>
      </x:c>
      <x:c r="M2221" t="n">
        <x:v>0</x:v>
      </x:c>
      <x:c r="N2221" t="str">
        <x:v>DerivedFromCount</x:v>
      </x:c>
      <x:c r="O2221" t="str">
        <x:v>PLC-PRD-JAR-720-L25</x:v>
      </x:c>
      <x:c r="P2221" t="str">
        <x:v>OK</x:v>
      </x:c>
      <x:c r="Q2221" t="str">
        <x:v>OK</x:v>
      </x:c>
      <x:c r="R2221" t="str">
        <x:v>OK</x:v>
      </x:c>
      <x:c r="S2221" t="str">
        <x:v>OK</x:v>
      </x:c>
      <x:c r="T2221" t="n">
        <x:v>16</x:v>
      </x:c>
      <x:c r="U2221" t="str">
        <x:v>OK</x:v>
      </x:c>
      <x:c r="V2221" t="str">
        <x:v>OK</x:v>
      </x:c>
      <x:c r="W2221" t="str">
        <x:v>LOAD</x:v>
      </x:c>
      <x:c r="X2221" t="str">
        <x:v>02_Supervisor_Log(4).xlsx</x:v>
      </x:c>
      <x:c r="Y2221" t="str">
        <x:v>ENH-20260830-01</x:v>
      </x:c>
      <x:c r="Z2221" t="str">
        <x:v>Active</x:v>
      </x:c>
      <x:c r="AA2221"/>
      <x:c r="AB2221"/>
      <x:c r="AC2221"/>
      <x:c r="AD2221"/>
    </x:row>
    <x:row r="2222">
      <x:c r="A2222" t="str">
        <x:v>PCC-PE-KG01-L25-20251020-AM-ORD-2025-00161-S12-C1</x:v>
      </x:c>
      <x:c r="B2222" t="str">
        <x:v>PC-PE-KG01-L25-20251020-AM-ORD-2025-00161-S12</x:v>
      </x:c>
      <x:c r="C2222" t="str">
        <x:v>PE-KG01-L25-20251020-AM-ORD-2025-00161</x:v>
      </x:c>
      <x:c r="D2222" t="str">
        <x:v>KG01</x:v>
      </x:c>
      <x:c r="E2222" s="62" t="n">
        <x:v>45950</x:v>
      </x:c>
      <x:c r="F2222" t="str">
        <x:v>AM</x:v>
      </x:c>
      <x:c r="G2222" t="str">
        <x:v>C</x:v>
      </x:c>
      <x:c r="H2222" t="n">
        <x:v>25</x:v>
      </x:c>
      <x:c r="I2222" t="str">
        <x:v>ORD-2025-00161</x:v>
      </x:c>
      <x:c r="J2222" t="n">
        <x:v>12</x:v>
      </x:c>
      <x:c r="K2222" t="n">
        <x:v>1</x:v>
      </x:c>
      <x:c r="L2222" t="str">
        <x:v>L25-S12-C1</x:v>
      </x:c>
      <x:c r="M2222" t="n">
        <x:v>0</x:v>
      </x:c>
      <x:c r="N2222" t="str">
        <x:v>DerivedFromCount</x:v>
      </x:c>
      <x:c r="O2222" t="str">
        <x:v>PLC-PRD-JAR-720-L25</x:v>
      </x:c>
      <x:c r="P2222" t="str">
        <x:v>OK</x:v>
      </x:c>
      <x:c r="Q2222" t="str">
        <x:v>OK</x:v>
      </x:c>
      <x:c r="R2222" t="str">
        <x:v>OK</x:v>
      </x:c>
      <x:c r="S2222" t="str">
        <x:v>OK</x:v>
      </x:c>
      <x:c r="T2222" t="n">
        <x:v>16</x:v>
      </x:c>
      <x:c r="U2222" t="str">
        <x:v>OK</x:v>
      </x:c>
      <x:c r="V2222" t="str">
        <x:v>OK</x:v>
      </x:c>
      <x:c r="W2222" t="str">
        <x:v>LOAD</x:v>
      </x:c>
      <x:c r="X2222" t="str">
        <x:v>02_Supervisor_Log(4).xlsx</x:v>
      </x:c>
      <x:c r="Y2222" t="str">
        <x:v>ENH-20260830-01</x:v>
      </x:c>
      <x:c r="Z2222" t="str">
        <x:v>Active</x:v>
      </x:c>
      <x:c r="AA2222"/>
      <x:c r="AB2222"/>
      <x:c r="AC2222"/>
      <x:c r="AD2222"/>
    </x:row>
    <x:row r="2223">
      <x:c r="A2223" t="str">
        <x:v>PCC-PE-KG01-L25-20251020-AM-ORD-2025-00161-S12-C2</x:v>
      </x:c>
      <x:c r="B2223" t="str">
        <x:v>PC-PE-KG01-L25-20251020-AM-ORD-2025-00161-S12</x:v>
      </x:c>
      <x:c r="C2223" t="str">
        <x:v>PE-KG01-L25-20251020-AM-ORD-2025-00161</x:v>
      </x:c>
      <x:c r="D2223" t="str">
        <x:v>KG01</x:v>
      </x:c>
      <x:c r="E2223" s="62" t="n">
        <x:v>45950</x:v>
      </x:c>
      <x:c r="F2223" t="str">
        <x:v>AM</x:v>
      </x:c>
      <x:c r="G2223" t="str">
        <x:v>C</x:v>
      </x:c>
      <x:c r="H2223" t="n">
        <x:v>25</x:v>
      </x:c>
      <x:c r="I2223" t="str">
        <x:v>ORD-2025-00161</x:v>
      </x:c>
      <x:c r="J2223" t="n">
        <x:v>12</x:v>
      </x:c>
      <x:c r="K2223" t="n">
        <x:v>2</x:v>
      </x:c>
      <x:c r="L2223" t="str">
        <x:v>L25-S12-C2</x:v>
      </x:c>
      <x:c r="M2223" t="n">
        <x:v>0</x:v>
      </x:c>
      <x:c r="N2223" t="str">
        <x:v>DerivedFromCount</x:v>
      </x:c>
      <x:c r="O2223" t="str">
        <x:v>PLC-PRD-JAR-720-L25</x:v>
      </x:c>
      <x:c r="P2223" t="str">
        <x:v>OK</x:v>
      </x:c>
      <x:c r="Q2223" t="str">
        <x:v>OK</x:v>
      </x:c>
      <x:c r="R2223" t="str">
        <x:v>OK</x:v>
      </x:c>
      <x:c r="S2223" t="str">
        <x:v>OK</x:v>
      </x:c>
      <x:c r="T2223" t="n">
        <x:v>16</x:v>
      </x:c>
      <x:c r="U2223" t="str">
        <x:v>OK</x:v>
      </x:c>
      <x:c r="V2223" t="str">
        <x:v>OK</x:v>
      </x:c>
      <x:c r="W2223" t="str">
        <x:v>LOAD</x:v>
      </x:c>
      <x:c r="X2223" t="str">
        <x:v>02_Supervisor_Log(4).xlsx</x:v>
      </x:c>
      <x:c r="Y2223" t="str">
        <x:v>ENH-20260830-01</x:v>
      </x:c>
      <x:c r="Z2223" t="str">
        <x:v>Active</x:v>
      </x:c>
      <x:c r="AA2223"/>
      <x:c r="AB2223"/>
      <x:c r="AC2223"/>
      <x:c r="AD2223"/>
    </x:row>
    <x:row r="2224">
      <x:c r="A2224" t="str">
        <x:v>PCC-PE-KG01-L25-20251020-AM-ORD-2025-00161-S12-C3</x:v>
      </x:c>
      <x:c r="B2224" t="str">
        <x:v>PC-PE-KG01-L25-20251020-AM-ORD-2025-00161-S12</x:v>
      </x:c>
      <x:c r="C2224" t="str">
        <x:v>PE-KG01-L25-20251020-AM-ORD-2025-00161</x:v>
      </x:c>
      <x:c r="D2224" t="str">
        <x:v>KG01</x:v>
      </x:c>
      <x:c r="E2224" s="62" t="n">
        <x:v>45950</x:v>
      </x:c>
      <x:c r="F2224" t="str">
        <x:v>AM</x:v>
      </x:c>
      <x:c r="G2224" t="str">
        <x:v>C</x:v>
      </x:c>
      <x:c r="H2224" t="n">
        <x:v>25</x:v>
      </x:c>
      <x:c r="I2224" t="str">
        <x:v>ORD-2025-00161</x:v>
      </x:c>
      <x:c r="J2224" t="n">
        <x:v>12</x:v>
      </x:c>
      <x:c r="K2224" t="n">
        <x:v>3</x:v>
      </x:c>
      <x:c r="L2224" t="str">
        <x:v>L25-S12-C3</x:v>
      </x:c>
      <x:c r="M2224" t="n">
        <x:v>0</x:v>
      </x:c>
      <x:c r="N2224" t="str">
        <x:v>DerivedFromCount</x:v>
      </x:c>
      <x:c r="O2224" t="str">
        <x:v>PLC-PRD-JAR-720-L25</x:v>
      </x:c>
      <x:c r="P2224" t="str">
        <x:v>OK</x:v>
      </x:c>
      <x:c r="Q2224" t="str">
        <x:v>OK</x:v>
      </x:c>
      <x:c r="R2224" t="str">
        <x:v>OK</x:v>
      </x:c>
      <x:c r="S2224" t="str">
        <x:v>OK</x:v>
      </x:c>
      <x:c r="T2224" t="n">
        <x:v>16</x:v>
      </x:c>
      <x:c r="U2224" t="str">
        <x:v>OK</x:v>
      </x:c>
      <x:c r="V2224" t="str">
        <x:v>OK</x:v>
      </x:c>
      <x:c r="W2224" t="str">
        <x:v>LOAD</x:v>
      </x:c>
      <x:c r="X2224" t="str">
        <x:v>02_Supervisor_Log(4).xlsx</x:v>
      </x:c>
      <x:c r="Y2224" t="str">
        <x:v>ENH-20260830-01</x:v>
      </x:c>
      <x:c r="Z2224" t="str">
        <x:v>Active</x:v>
      </x:c>
      <x:c r="AA2224"/>
      <x:c r="AB2224"/>
      <x:c r="AC2224"/>
      <x:c r="AD2224"/>
    </x:row>
    <x:row r="2225">
      <x:c r="A2225" t="str">
        <x:v>PCC-PE-KG01-L25-20251020-AM-ORD-2025-00161-S13-C1</x:v>
      </x:c>
      <x:c r="B2225" t="str">
        <x:v>PC-PE-KG01-L25-20251020-AM-ORD-2025-00161-S13</x:v>
      </x:c>
      <x:c r="C2225" t="str">
        <x:v>PE-KG01-L25-20251020-AM-ORD-2025-00161</x:v>
      </x:c>
      <x:c r="D2225" t="str">
        <x:v>KG01</x:v>
      </x:c>
      <x:c r="E2225" s="62" t="n">
        <x:v>45950</x:v>
      </x:c>
      <x:c r="F2225" t="str">
        <x:v>AM</x:v>
      </x:c>
      <x:c r="G2225" t="str">
        <x:v>C</x:v>
      </x:c>
      <x:c r="H2225" t="n">
        <x:v>25</x:v>
      </x:c>
      <x:c r="I2225" t="str">
        <x:v>ORD-2025-00161</x:v>
      </x:c>
      <x:c r="J2225" t="n">
        <x:v>13</x:v>
      </x:c>
      <x:c r="K2225" t="n">
        <x:v>1</x:v>
      </x:c>
      <x:c r="L2225" t="str">
        <x:v>L25-S13-C1</x:v>
      </x:c>
      <x:c r="M2225" t="n">
        <x:v>0</x:v>
      </x:c>
      <x:c r="N2225" t="str">
        <x:v>DerivedFromCount</x:v>
      </x:c>
      <x:c r="O2225" t="str">
        <x:v>PLC-PRD-JAR-720-L25</x:v>
      </x:c>
      <x:c r="P2225" t="str">
        <x:v>OK</x:v>
      </x:c>
      <x:c r="Q2225" t="str">
        <x:v>OK</x:v>
      </x:c>
      <x:c r="R2225" t="str">
        <x:v>OK</x:v>
      </x:c>
      <x:c r="S2225" t="str">
        <x:v>OK</x:v>
      </x:c>
      <x:c r="T2225" t="n">
        <x:v>16</x:v>
      </x:c>
      <x:c r="U2225" t="str">
        <x:v>OK</x:v>
      </x:c>
      <x:c r="V2225" t="str">
        <x:v>OK</x:v>
      </x:c>
      <x:c r="W2225" t="str">
        <x:v>LOAD</x:v>
      </x:c>
      <x:c r="X2225" t="str">
        <x:v>02_Supervisor_Log(4).xlsx</x:v>
      </x:c>
      <x:c r="Y2225" t="str">
        <x:v>ENH-20260830-01</x:v>
      </x:c>
      <x:c r="Z2225" t="str">
        <x:v>Active</x:v>
      </x:c>
      <x:c r="AA2225"/>
      <x:c r="AB2225"/>
      <x:c r="AC2225"/>
      <x:c r="AD2225"/>
    </x:row>
    <x:row r="2226">
      <x:c r="A2226" t="str">
        <x:v>PCC-PE-KG01-L25-20251020-AM-ORD-2025-00161-S13-C2</x:v>
      </x:c>
      <x:c r="B2226" t="str">
        <x:v>PC-PE-KG01-L25-20251020-AM-ORD-2025-00161-S13</x:v>
      </x:c>
      <x:c r="C2226" t="str">
        <x:v>PE-KG01-L25-20251020-AM-ORD-2025-00161</x:v>
      </x:c>
      <x:c r="D2226" t="str">
        <x:v>KG01</x:v>
      </x:c>
      <x:c r="E2226" s="62" t="n">
        <x:v>45950</x:v>
      </x:c>
      <x:c r="F2226" t="str">
        <x:v>AM</x:v>
      </x:c>
      <x:c r="G2226" t="str">
        <x:v>C</x:v>
      </x:c>
      <x:c r="H2226" t="n">
        <x:v>25</x:v>
      </x:c>
      <x:c r="I2226" t="str">
        <x:v>ORD-2025-00161</x:v>
      </x:c>
      <x:c r="J2226" t="n">
        <x:v>13</x:v>
      </x:c>
      <x:c r="K2226" t="n">
        <x:v>2</x:v>
      </x:c>
      <x:c r="L2226" t="str">
        <x:v>L25-S13-C2</x:v>
      </x:c>
      <x:c r="M2226" t="n">
        <x:v>0</x:v>
      </x:c>
      <x:c r="N2226" t="str">
        <x:v>DerivedFromCount</x:v>
      </x:c>
      <x:c r="O2226" t="str">
        <x:v>PLC-PRD-JAR-720-L25</x:v>
      </x:c>
      <x:c r="P2226" t="str">
        <x:v>OK</x:v>
      </x:c>
      <x:c r="Q2226" t="str">
        <x:v>OK</x:v>
      </x:c>
      <x:c r="R2226" t="str">
        <x:v>OK</x:v>
      </x:c>
      <x:c r="S2226" t="str">
        <x:v>OK</x:v>
      </x:c>
      <x:c r="T2226" t="n">
        <x:v>16</x:v>
      </x:c>
      <x:c r="U2226" t="str">
        <x:v>OK</x:v>
      </x:c>
      <x:c r="V2226" t="str">
        <x:v>OK</x:v>
      </x:c>
      <x:c r="W2226" t="str">
        <x:v>LOAD</x:v>
      </x:c>
      <x:c r="X2226" t="str">
        <x:v>02_Supervisor_Log(4).xlsx</x:v>
      </x:c>
      <x:c r="Y2226" t="str">
        <x:v>ENH-20260830-01</x:v>
      </x:c>
      <x:c r="Z2226" t="str">
        <x:v>Active</x:v>
      </x:c>
      <x:c r="AA2226"/>
      <x:c r="AB2226"/>
      <x:c r="AC2226"/>
      <x:c r="AD2226"/>
    </x:row>
    <x:row r="2227">
      <x:c r="A2227" t="str">
        <x:v>PCC-PE-KG01-L25-20251020-AM-ORD-2025-00161-S13-C3</x:v>
      </x:c>
      <x:c r="B2227" t="str">
        <x:v>PC-PE-KG01-L25-20251020-AM-ORD-2025-00161-S13</x:v>
      </x:c>
      <x:c r="C2227" t="str">
        <x:v>PE-KG01-L25-20251020-AM-ORD-2025-00161</x:v>
      </x:c>
      <x:c r="D2227" t="str">
        <x:v>KG01</x:v>
      </x:c>
      <x:c r="E2227" s="62" t="n">
        <x:v>45950</x:v>
      </x:c>
      <x:c r="F2227" t="str">
        <x:v>AM</x:v>
      </x:c>
      <x:c r="G2227" t="str">
        <x:v>C</x:v>
      </x:c>
      <x:c r="H2227" t="n">
        <x:v>25</x:v>
      </x:c>
      <x:c r="I2227" t="str">
        <x:v>ORD-2025-00161</x:v>
      </x:c>
      <x:c r="J2227" t="n">
        <x:v>13</x:v>
      </x:c>
      <x:c r="K2227" t="n">
        <x:v>3</x:v>
      </x:c>
      <x:c r="L2227" t="str">
        <x:v>L25-S13-C3</x:v>
      </x:c>
      <x:c r="M2227" t="n">
        <x:v>0</x:v>
      </x:c>
      <x:c r="N2227" t="str">
        <x:v>DerivedFromCount</x:v>
      </x:c>
      <x:c r="O2227" t="str">
        <x:v>PLC-PRD-JAR-720-L25</x:v>
      </x:c>
      <x:c r="P2227" t="str">
        <x:v>OK</x:v>
      </x:c>
      <x:c r="Q2227" t="str">
        <x:v>OK</x:v>
      </x:c>
      <x:c r="R2227" t="str">
        <x:v>OK</x:v>
      </x:c>
      <x:c r="S2227" t="str">
        <x:v>OK</x:v>
      </x:c>
      <x:c r="T2227" t="n">
        <x:v>16</x:v>
      </x:c>
      <x:c r="U2227" t="str">
        <x:v>OK</x:v>
      </x:c>
      <x:c r="V2227" t="str">
        <x:v>OK</x:v>
      </x:c>
      <x:c r="W2227" t="str">
        <x:v>LOAD</x:v>
      </x:c>
      <x:c r="X2227" t="str">
        <x:v>02_Supervisor_Log(4).xlsx</x:v>
      </x:c>
      <x:c r="Y2227" t="str">
        <x:v>ENH-20260830-01</x:v>
      </x:c>
      <x:c r="Z2227" t="str">
        <x:v>Active</x:v>
      </x:c>
      <x:c r="AA2227"/>
      <x:c r="AB2227"/>
      <x:c r="AC2227"/>
      <x:c r="AD2227"/>
    </x:row>
    <x:row r="2228">
      <x:c r="A2228" t="str">
        <x:v>PCC-PE-KG01-L25-20251020-PM-ORD-2025-00161-S01-C1</x:v>
      </x:c>
      <x:c r="B2228" t="str">
        <x:v>PC-PE-KG01-L25-20251020-PM-ORD-2025-00161-S01</x:v>
      </x:c>
      <x:c r="C2228" t="str">
        <x:v>PE-KG01-L25-20251020-PM-ORD-2025-00161</x:v>
      </x:c>
      <x:c r="D2228" t="str">
        <x:v>KG01</x:v>
      </x:c>
      <x:c r="E2228" s="62" t="n">
        <x:v>45950</x:v>
      </x:c>
      <x:c r="F2228" t="str">
        <x:v>PM</x:v>
      </x:c>
      <x:c r="G2228" t="str">
        <x:v>A</x:v>
      </x:c>
      <x:c r="H2228" t="n">
        <x:v>25</x:v>
      </x:c>
      <x:c r="I2228" t="str">
        <x:v>ORD-2025-00161</x:v>
      </x:c>
      <x:c r="J2228" t="n">
        <x:v>1</x:v>
      </x:c>
      <x:c r="K2228" t="n">
        <x:v>1</x:v>
      </x:c>
      <x:c r="L2228" t="str">
        <x:v>L25-S01-C1</x:v>
      </x:c>
      <x:c r="M2228" t="n">
        <x:v>1</x:v>
      </x:c>
      <x:c r="N2228" t="str">
        <x:v>DerivedFromCount</x:v>
      </x:c>
      <x:c r="O2228" t="str">
        <x:v>PLC-PRD-JAR-720-L25</x:v>
      </x:c>
      <x:c r="P2228" t="str">
        <x:v>OK</x:v>
      </x:c>
      <x:c r="Q2228" t="str">
        <x:v>OK</x:v>
      </x:c>
      <x:c r="R2228" t="str">
        <x:v>OK</x:v>
      </x:c>
      <x:c r="S2228" t="str">
        <x:v>OK</x:v>
      </x:c>
      <x:c r="T2228" t="n">
        <x:v>16</x:v>
      </x:c>
      <x:c r="U2228" t="str">
        <x:v>OK</x:v>
      </x:c>
      <x:c r="V2228" t="str">
        <x:v>OK</x:v>
      </x:c>
      <x:c r="W2228" t="str">
        <x:v>LOAD</x:v>
      </x:c>
      <x:c r="X2228" t="str">
        <x:v>02_Supervisor_Log(4).xlsx</x:v>
      </x:c>
      <x:c r="Y2228" t="str">
        <x:v>ENH-20260830-01</x:v>
      </x:c>
      <x:c r="Z2228" t="str">
        <x:v>Active</x:v>
      </x:c>
      <x:c r="AA2228"/>
      <x:c r="AB2228"/>
      <x:c r="AC2228"/>
      <x:c r="AD2228"/>
    </x:row>
    <x:row r="2229">
      <x:c r="A2229" t="str">
        <x:v>PCC-PE-KG01-L25-20251020-PM-ORD-2025-00161-S01-C2</x:v>
      </x:c>
      <x:c r="B2229" t="str">
        <x:v>PC-PE-KG01-L25-20251020-PM-ORD-2025-00161-S01</x:v>
      </x:c>
      <x:c r="C2229" t="str">
        <x:v>PE-KG01-L25-20251020-PM-ORD-2025-00161</x:v>
      </x:c>
      <x:c r="D2229" t="str">
        <x:v>KG01</x:v>
      </x:c>
      <x:c r="E2229" s="62" t="n">
        <x:v>45950</x:v>
      </x:c>
      <x:c r="F2229" t="str">
        <x:v>PM</x:v>
      </x:c>
      <x:c r="G2229" t="str">
        <x:v>A</x:v>
      </x:c>
      <x:c r="H2229" t="n">
        <x:v>25</x:v>
      </x:c>
      <x:c r="I2229" t="str">
        <x:v>ORD-2025-00161</x:v>
      </x:c>
      <x:c r="J2229" t="n">
        <x:v>1</x:v>
      </x:c>
      <x:c r="K2229" t="n">
        <x:v>2</x:v>
      </x:c>
      <x:c r="L2229" t="str">
        <x:v>L25-S01-C2</x:v>
      </x:c>
      <x:c r="M2229" t="n">
        <x:v>1</x:v>
      </x:c>
      <x:c r="N2229" t="str">
        <x:v>DerivedFromCount</x:v>
      </x:c>
      <x:c r="O2229" t="str">
        <x:v>PLC-PRD-JAR-720-L25</x:v>
      </x:c>
      <x:c r="P2229" t="str">
        <x:v>OK</x:v>
      </x:c>
      <x:c r="Q2229" t="str">
        <x:v>OK</x:v>
      </x:c>
      <x:c r="R2229" t="str">
        <x:v>OK</x:v>
      </x:c>
      <x:c r="S2229" t="str">
        <x:v>OK</x:v>
      </x:c>
      <x:c r="T2229" t="n">
        <x:v>16</x:v>
      </x:c>
      <x:c r="U2229" t="str">
        <x:v>OK</x:v>
      </x:c>
      <x:c r="V2229" t="str">
        <x:v>OK</x:v>
      </x:c>
      <x:c r="W2229" t="str">
        <x:v>LOAD</x:v>
      </x:c>
      <x:c r="X2229" t="str">
        <x:v>02_Supervisor_Log(4).xlsx</x:v>
      </x:c>
      <x:c r="Y2229" t="str">
        <x:v>ENH-20260830-01</x:v>
      </x:c>
      <x:c r="Z2229" t="str">
        <x:v>Active</x:v>
      </x:c>
      <x:c r="AA2229"/>
      <x:c r="AB2229"/>
      <x:c r="AC2229"/>
      <x:c r="AD2229"/>
    </x:row>
    <x:row r="2230">
      <x:c r="A2230" t="str">
        <x:v>PCC-PE-KG01-L25-20251020-PM-ORD-2025-00161-S01-C3</x:v>
      </x:c>
      <x:c r="B2230" t="str">
        <x:v>PC-PE-KG01-L25-20251020-PM-ORD-2025-00161-S01</x:v>
      </x:c>
      <x:c r="C2230" t="str">
        <x:v>PE-KG01-L25-20251020-PM-ORD-2025-00161</x:v>
      </x:c>
      <x:c r="D2230" t="str">
        <x:v>KG01</x:v>
      </x:c>
      <x:c r="E2230" s="62" t="n">
        <x:v>45950</x:v>
      </x:c>
      <x:c r="F2230" t="str">
        <x:v>PM</x:v>
      </x:c>
      <x:c r="G2230" t="str">
        <x:v>A</x:v>
      </x:c>
      <x:c r="H2230" t="n">
        <x:v>25</x:v>
      </x:c>
      <x:c r="I2230" t="str">
        <x:v>ORD-2025-00161</x:v>
      </x:c>
      <x:c r="J2230" t="n">
        <x:v>1</x:v>
      </x:c>
      <x:c r="K2230" t="n">
        <x:v>3</x:v>
      </x:c>
      <x:c r="L2230" t="str">
        <x:v>L25-S01-C3</x:v>
      </x:c>
      <x:c r="M2230" t="n">
        <x:v>0</x:v>
      </x:c>
      <x:c r="N2230" t="str">
        <x:v>DerivedFromCount</x:v>
      </x:c>
      <x:c r="O2230" t="str">
        <x:v>PLC-PRD-JAR-720-L25</x:v>
      </x:c>
      <x:c r="P2230" t="str">
        <x:v>OK</x:v>
      </x:c>
      <x:c r="Q2230" t="str">
        <x:v>OK</x:v>
      </x:c>
      <x:c r="R2230" t="str">
        <x:v>OK</x:v>
      </x:c>
      <x:c r="S2230" t="str">
        <x:v>OK</x:v>
      </x:c>
      <x:c r="T2230" t="n">
        <x:v>16</x:v>
      </x:c>
      <x:c r="U2230" t="str">
        <x:v>OK</x:v>
      </x:c>
      <x:c r="V2230" t="str">
        <x:v>OK</x:v>
      </x:c>
      <x:c r="W2230" t="str">
        <x:v>LOAD</x:v>
      </x:c>
      <x:c r="X2230" t="str">
        <x:v>02_Supervisor_Log(4).xlsx</x:v>
      </x:c>
      <x:c r="Y2230" t="str">
        <x:v>ENH-20260830-01</x:v>
      </x:c>
      <x:c r="Z2230" t="str">
        <x:v>Active</x:v>
      </x:c>
      <x:c r="AA2230"/>
      <x:c r="AB2230"/>
      <x:c r="AC2230"/>
      <x:c r="AD2230"/>
    </x:row>
    <x:row r="2231">
      <x:c r="A2231" t="str">
        <x:v>PCC-PE-KG01-L25-20251020-PM-ORD-2025-00161-S02-C1</x:v>
      </x:c>
      <x:c r="B2231" t="str">
        <x:v>PC-PE-KG01-L25-20251020-PM-ORD-2025-00161-S02</x:v>
      </x:c>
      <x:c r="C2231" t="str">
        <x:v>PE-KG01-L25-20251020-PM-ORD-2025-00161</x:v>
      </x:c>
      <x:c r="D2231" t="str">
        <x:v>KG01</x:v>
      </x:c>
      <x:c r="E2231" s="62" t="n">
        <x:v>45950</x:v>
      </x:c>
      <x:c r="F2231" t="str">
        <x:v>PM</x:v>
      </x:c>
      <x:c r="G2231" t="str">
        <x:v>A</x:v>
      </x:c>
      <x:c r="H2231" t="n">
        <x:v>25</x:v>
      </x:c>
      <x:c r="I2231" t="str">
        <x:v>ORD-2025-00161</x:v>
      </x:c>
      <x:c r="J2231" t="n">
        <x:v>2</x:v>
      </x:c>
      <x:c r="K2231" t="n">
        <x:v>1</x:v>
      </x:c>
      <x:c r="L2231" t="str">
        <x:v>L25-S02-C1</x:v>
      </x:c>
      <x:c r="M2231" t="n">
        <x:v>1</x:v>
      </x:c>
      <x:c r="N2231" t="str">
        <x:v>DerivedFromCount</x:v>
      </x:c>
      <x:c r="O2231" t="str">
        <x:v>PLC-PRD-JAR-720-L25</x:v>
      </x:c>
      <x:c r="P2231" t="str">
        <x:v>OK</x:v>
      </x:c>
      <x:c r="Q2231" t="str">
        <x:v>OK</x:v>
      </x:c>
      <x:c r="R2231" t="str">
        <x:v>OK</x:v>
      </x:c>
      <x:c r="S2231" t="str">
        <x:v>OK</x:v>
      </x:c>
      <x:c r="T2231" t="n">
        <x:v>16</x:v>
      </x:c>
      <x:c r="U2231" t="str">
        <x:v>OK</x:v>
      </x:c>
      <x:c r="V2231" t="str">
        <x:v>OK</x:v>
      </x:c>
      <x:c r="W2231" t="str">
        <x:v>LOAD</x:v>
      </x:c>
      <x:c r="X2231" t="str">
        <x:v>02_Supervisor_Log(4).xlsx</x:v>
      </x:c>
      <x:c r="Y2231" t="str">
        <x:v>ENH-20260830-01</x:v>
      </x:c>
      <x:c r="Z2231" t="str">
        <x:v>Active</x:v>
      </x:c>
      <x:c r="AA2231"/>
      <x:c r="AB2231"/>
      <x:c r="AC2231"/>
      <x:c r="AD2231"/>
    </x:row>
    <x:row r="2232">
      <x:c r="A2232" t="str">
        <x:v>PCC-PE-KG01-L25-20251020-PM-ORD-2025-00161-S02-C2</x:v>
      </x:c>
      <x:c r="B2232" t="str">
        <x:v>PC-PE-KG01-L25-20251020-PM-ORD-2025-00161-S02</x:v>
      </x:c>
      <x:c r="C2232" t="str">
        <x:v>PE-KG01-L25-20251020-PM-ORD-2025-00161</x:v>
      </x:c>
      <x:c r="D2232" t="str">
        <x:v>KG01</x:v>
      </x:c>
      <x:c r="E2232" s="62" t="n">
        <x:v>45950</x:v>
      </x:c>
      <x:c r="F2232" t="str">
        <x:v>PM</x:v>
      </x:c>
      <x:c r="G2232" t="str">
        <x:v>A</x:v>
      </x:c>
      <x:c r="H2232" t="n">
        <x:v>25</x:v>
      </x:c>
      <x:c r="I2232" t="str">
        <x:v>ORD-2025-00161</x:v>
      </x:c>
      <x:c r="J2232" t="n">
        <x:v>2</x:v>
      </x:c>
      <x:c r="K2232" t="n">
        <x:v>2</x:v>
      </x:c>
      <x:c r="L2232" t="str">
        <x:v>L25-S02-C2</x:v>
      </x:c>
      <x:c r="M2232" t="n">
        <x:v>1</x:v>
      </x:c>
      <x:c r="N2232" t="str">
        <x:v>DerivedFromCount</x:v>
      </x:c>
      <x:c r="O2232" t="str">
        <x:v>PLC-PRD-JAR-720-L25</x:v>
      </x:c>
      <x:c r="P2232" t="str">
        <x:v>OK</x:v>
      </x:c>
      <x:c r="Q2232" t="str">
        <x:v>OK</x:v>
      </x:c>
      <x:c r="R2232" t="str">
        <x:v>OK</x:v>
      </x:c>
      <x:c r="S2232" t="str">
        <x:v>OK</x:v>
      </x:c>
      <x:c r="T2232" t="n">
        <x:v>16</x:v>
      </x:c>
      <x:c r="U2232" t="str">
        <x:v>OK</x:v>
      </x:c>
      <x:c r="V2232" t="str">
        <x:v>OK</x:v>
      </x:c>
      <x:c r="W2232" t="str">
        <x:v>LOAD</x:v>
      </x:c>
      <x:c r="X2232" t="str">
        <x:v>02_Supervisor_Log(4).xlsx</x:v>
      </x:c>
      <x:c r="Y2232" t="str">
        <x:v>ENH-20260830-01</x:v>
      </x:c>
      <x:c r="Z2232" t="str">
        <x:v>Active</x:v>
      </x:c>
      <x:c r="AA2232"/>
      <x:c r="AB2232"/>
      <x:c r="AC2232"/>
      <x:c r="AD2232"/>
    </x:row>
    <x:row r="2233">
      <x:c r="A2233" t="str">
        <x:v>PCC-PE-KG01-L25-20251020-PM-ORD-2025-00161-S02-C3</x:v>
      </x:c>
      <x:c r="B2233" t="str">
        <x:v>PC-PE-KG01-L25-20251020-PM-ORD-2025-00161-S02</x:v>
      </x:c>
      <x:c r="C2233" t="str">
        <x:v>PE-KG01-L25-20251020-PM-ORD-2025-00161</x:v>
      </x:c>
      <x:c r="D2233" t="str">
        <x:v>KG01</x:v>
      </x:c>
      <x:c r="E2233" s="62" t="n">
        <x:v>45950</x:v>
      </x:c>
      <x:c r="F2233" t="str">
        <x:v>PM</x:v>
      </x:c>
      <x:c r="G2233" t="str">
        <x:v>A</x:v>
      </x:c>
      <x:c r="H2233" t="n">
        <x:v>25</x:v>
      </x:c>
      <x:c r="I2233" t="str">
        <x:v>ORD-2025-00161</x:v>
      </x:c>
      <x:c r="J2233" t="n">
        <x:v>2</x:v>
      </x:c>
      <x:c r="K2233" t="n">
        <x:v>3</x:v>
      </x:c>
      <x:c r="L2233" t="str">
        <x:v>L25-S02-C3</x:v>
      </x:c>
      <x:c r="M2233" t="n">
        <x:v>0</x:v>
      </x:c>
      <x:c r="N2233" t="str">
        <x:v>DerivedFromCount</x:v>
      </x:c>
      <x:c r="O2233" t="str">
        <x:v>PLC-PRD-JAR-720-L25</x:v>
      </x:c>
      <x:c r="P2233" t="str">
        <x:v>OK</x:v>
      </x:c>
      <x:c r="Q2233" t="str">
        <x:v>OK</x:v>
      </x:c>
      <x:c r="R2233" t="str">
        <x:v>OK</x:v>
      </x:c>
      <x:c r="S2233" t="str">
        <x:v>OK</x:v>
      </x:c>
      <x:c r="T2233" t="n">
        <x:v>16</x:v>
      </x:c>
      <x:c r="U2233" t="str">
        <x:v>OK</x:v>
      </x:c>
      <x:c r="V2233" t="str">
        <x:v>OK</x:v>
      </x:c>
      <x:c r="W2233" t="str">
        <x:v>LOAD</x:v>
      </x:c>
      <x:c r="X2233" t="str">
        <x:v>02_Supervisor_Log(4).xlsx</x:v>
      </x:c>
      <x:c r="Y2233" t="str">
        <x:v>ENH-20260830-01</x:v>
      </x:c>
      <x:c r="Z2233" t="str">
        <x:v>Active</x:v>
      </x:c>
      <x:c r="AA2233"/>
      <x:c r="AB2233"/>
      <x:c r="AC2233"/>
      <x:c r="AD2233"/>
    </x:row>
    <x:row r="2234">
      <x:c r="A2234" t="str">
        <x:v>PCC-PE-KG01-L25-20251020-PM-ORD-2025-00161-S03-C1</x:v>
      </x:c>
      <x:c r="B2234" t="str">
        <x:v>PC-PE-KG01-L25-20251020-PM-ORD-2025-00161-S03</x:v>
      </x:c>
      <x:c r="C2234" t="str">
        <x:v>PE-KG01-L25-20251020-PM-ORD-2025-00161</x:v>
      </x:c>
      <x:c r="D2234" t="str">
        <x:v>KG01</x:v>
      </x:c>
      <x:c r="E2234" s="62" t="n">
        <x:v>45950</x:v>
      </x:c>
      <x:c r="F2234" t="str">
        <x:v>PM</x:v>
      </x:c>
      <x:c r="G2234" t="str">
        <x:v>A</x:v>
      </x:c>
      <x:c r="H2234" t="n">
        <x:v>25</x:v>
      </x:c>
      <x:c r="I2234" t="str">
        <x:v>ORD-2025-00161</x:v>
      </x:c>
      <x:c r="J2234" t="n">
        <x:v>3</x:v>
      </x:c>
      <x:c r="K2234" t="n">
        <x:v>1</x:v>
      </x:c>
      <x:c r="L2234" t="str">
        <x:v>L25-S03-C1</x:v>
      </x:c>
      <x:c r="M2234" t="n">
        <x:v>1</x:v>
      </x:c>
      <x:c r="N2234" t="str">
        <x:v>DerivedFromCount</x:v>
      </x:c>
      <x:c r="O2234" t="str">
        <x:v>PLC-PRD-JAR-720-L25</x:v>
      </x:c>
      <x:c r="P2234" t="str">
        <x:v>OK</x:v>
      </x:c>
      <x:c r="Q2234" t="str">
        <x:v>OK</x:v>
      </x:c>
      <x:c r="R2234" t="str">
        <x:v>OK</x:v>
      </x:c>
      <x:c r="S2234" t="str">
        <x:v>OK</x:v>
      </x:c>
      <x:c r="T2234" t="n">
        <x:v>16</x:v>
      </x:c>
      <x:c r="U2234" t="str">
        <x:v>OK</x:v>
      </x:c>
      <x:c r="V2234" t="str">
        <x:v>OK</x:v>
      </x:c>
      <x:c r="W2234" t="str">
        <x:v>LOAD</x:v>
      </x:c>
      <x:c r="X2234" t="str">
        <x:v>02_Supervisor_Log(4).xlsx</x:v>
      </x:c>
      <x:c r="Y2234" t="str">
        <x:v>ENH-20260830-01</x:v>
      </x:c>
      <x:c r="Z2234" t="str">
        <x:v>Active</x:v>
      </x:c>
      <x:c r="AA2234"/>
      <x:c r="AB2234"/>
      <x:c r="AC2234"/>
      <x:c r="AD2234"/>
    </x:row>
    <x:row r="2235">
      <x:c r="A2235" t="str">
        <x:v>PCC-PE-KG01-L25-20251020-PM-ORD-2025-00161-S03-C2</x:v>
      </x:c>
      <x:c r="B2235" t="str">
        <x:v>PC-PE-KG01-L25-20251020-PM-ORD-2025-00161-S03</x:v>
      </x:c>
      <x:c r="C2235" t="str">
        <x:v>PE-KG01-L25-20251020-PM-ORD-2025-00161</x:v>
      </x:c>
      <x:c r="D2235" t="str">
        <x:v>KG01</x:v>
      </x:c>
      <x:c r="E2235" s="62" t="n">
        <x:v>45950</x:v>
      </x:c>
      <x:c r="F2235" t="str">
        <x:v>PM</x:v>
      </x:c>
      <x:c r="G2235" t="str">
        <x:v>A</x:v>
      </x:c>
      <x:c r="H2235" t="n">
        <x:v>25</x:v>
      </x:c>
      <x:c r="I2235" t="str">
        <x:v>ORD-2025-00161</x:v>
      </x:c>
      <x:c r="J2235" t="n">
        <x:v>3</x:v>
      </x:c>
      <x:c r="K2235" t="n">
        <x:v>2</x:v>
      </x:c>
      <x:c r="L2235" t="str">
        <x:v>L25-S03-C2</x:v>
      </x:c>
      <x:c r="M2235" t="n">
        <x:v>1</x:v>
      </x:c>
      <x:c r="N2235" t="str">
        <x:v>DerivedFromCount</x:v>
      </x:c>
      <x:c r="O2235" t="str">
        <x:v>PLC-PRD-JAR-720-L25</x:v>
      </x:c>
      <x:c r="P2235" t="str">
        <x:v>OK</x:v>
      </x:c>
      <x:c r="Q2235" t="str">
        <x:v>OK</x:v>
      </x:c>
      <x:c r="R2235" t="str">
        <x:v>OK</x:v>
      </x:c>
      <x:c r="S2235" t="str">
        <x:v>OK</x:v>
      </x:c>
      <x:c r="T2235" t="n">
        <x:v>16</x:v>
      </x:c>
      <x:c r="U2235" t="str">
        <x:v>OK</x:v>
      </x:c>
      <x:c r="V2235" t="str">
        <x:v>OK</x:v>
      </x:c>
      <x:c r="W2235" t="str">
        <x:v>LOAD</x:v>
      </x:c>
      <x:c r="X2235" t="str">
        <x:v>02_Supervisor_Log(4).xlsx</x:v>
      </x:c>
      <x:c r="Y2235" t="str">
        <x:v>ENH-20260830-01</x:v>
      </x:c>
      <x:c r="Z2235" t="str">
        <x:v>Active</x:v>
      </x:c>
      <x:c r="AA2235"/>
      <x:c r="AB2235"/>
      <x:c r="AC2235"/>
      <x:c r="AD2235"/>
    </x:row>
    <x:row r="2236">
      <x:c r="A2236" t="str">
        <x:v>PCC-PE-KG01-L25-20251020-PM-ORD-2025-00161-S03-C3</x:v>
      </x:c>
      <x:c r="B2236" t="str">
        <x:v>PC-PE-KG01-L25-20251020-PM-ORD-2025-00161-S03</x:v>
      </x:c>
      <x:c r="C2236" t="str">
        <x:v>PE-KG01-L25-20251020-PM-ORD-2025-00161</x:v>
      </x:c>
      <x:c r="D2236" t="str">
        <x:v>KG01</x:v>
      </x:c>
      <x:c r="E2236" s="62" t="n">
        <x:v>45950</x:v>
      </x:c>
      <x:c r="F2236" t="str">
        <x:v>PM</x:v>
      </x:c>
      <x:c r="G2236" t="str">
        <x:v>A</x:v>
      </x:c>
      <x:c r="H2236" t="n">
        <x:v>25</x:v>
      </x:c>
      <x:c r="I2236" t="str">
        <x:v>ORD-2025-00161</x:v>
      </x:c>
      <x:c r="J2236" t="n">
        <x:v>3</x:v>
      </x:c>
      <x:c r="K2236" t="n">
        <x:v>3</x:v>
      </x:c>
      <x:c r="L2236" t="str">
        <x:v>L25-S03-C3</x:v>
      </x:c>
      <x:c r="M2236" t="n">
        <x:v>0</x:v>
      </x:c>
      <x:c r="N2236" t="str">
        <x:v>DerivedFromCount</x:v>
      </x:c>
      <x:c r="O2236" t="str">
        <x:v>PLC-PRD-JAR-720-L25</x:v>
      </x:c>
      <x:c r="P2236" t="str">
        <x:v>OK</x:v>
      </x:c>
      <x:c r="Q2236" t="str">
        <x:v>OK</x:v>
      </x:c>
      <x:c r="R2236" t="str">
        <x:v>OK</x:v>
      </x:c>
      <x:c r="S2236" t="str">
        <x:v>OK</x:v>
      </x:c>
      <x:c r="T2236" t="n">
        <x:v>16</x:v>
      </x:c>
      <x:c r="U2236" t="str">
        <x:v>OK</x:v>
      </x:c>
      <x:c r="V2236" t="str">
        <x:v>OK</x:v>
      </x:c>
      <x:c r="W2236" t="str">
        <x:v>LOAD</x:v>
      </x:c>
      <x:c r="X2236" t="str">
        <x:v>02_Supervisor_Log(4).xlsx</x:v>
      </x:c>
      <x:c r="Y2236" t="str">
        <x:v>ENH-20260830-01</x:v>
      </x:c>
      <x:c r="Z2236" t="str">
        <x:v>Active</x:v>
      </x:c>
      <x:c r="AA2236"/>
      <x:c r="AB2236"/>
      <x:c r="AC2236"/>
      <x:c r="AD2236"/>
    </x:row>
    <x:row r="2237">
      <x:c r="A2237" t="str">
        <x:v>PCC-PE-KG01-L25-20251020-PM-ORD-2025-00161-S04-C1</x:v>
      </x:c>
      <x:c r="B2237" t="str">
        <x:v>PC-PE-KG01-L25-20251020-PM-ORD-2025-00161-S04</x:v>
      </x:c>
      <x:c r="C2237" t="str">
        <x:v>PE-KG01-L25-20251020-PM-ORD-2025-00161</x:v>
      </x:c>
      <x:c r="D2237" t="str">
        <x:v>KG01</x:v>
      </x:c>
      <x:c r="E2237" s="62" t="n">
        <x:v>45950</x:v>
      </x:c>
      <x:c r="F2237" t="str">
        <x:v>PM</x:v>
      </x:c>
      <x:c r="G2237" t="str">
        <x:v>A</x:v>
      </x:c>
      <x:c r="H2237" t="n">
        <x:v>25</x:v>
      </x:c>
      <x:c r="I2237" t="str">
        <x:v>ORD-2025-00161</x:v>
      </x:c>
      <x:c r="J2237" t="n">
        <x:v>4</x:v>
      </x:c>
      <x:c r="K2237" t="n">
        <x:v>1</x:v>
      </x:c>
      <x:c r="L2237" t="str">
        <x:v>L25-S04-C1</x:v>
      </x:c>
      <x:c r="M2237" t="n">
        <x:v>1</x:v>
      </x:c>
      <x:c r="N2237" t="str">
        <x:v>DerivedFromCount</x:v>
      </x:c>
      <x:c r="O2237" t="str">
        <x:v>PLC-PRD-JAR-720-L25</x:v>
      </x:c>
      <x:c r="P2237" t="str">
        <x:v>OK</x:v>
      </x:c>
      <x:c r="Q2237" t="str">
        <x:v>OK</x:v>
      </x:c>
      <x:c r="R2237" t="str">
        <x:v>OK</x:v>
      </x:c>
      <x:c r="S2237" t="str">
        <x:v>OK</x:v>
      </x:c>
      <x:c r="T2237" t="n">
        <x:v>16</x:v>
      </x:c>
      <x:c r="U2237" t="str">
        <x:v>OK</x:v>
      </x:c>
      <x:c r="V2237" t="str">
        <x:v>OK</x:v>
      </x:c>
      <x:c r="W2237" t="str">
        <x:v>LOAD</x:v>
      </x:c>
      <x:c r="X2237" t="str">
        <x:v>02_Supervisor_Log(4).xlsx</x:v>
      </x:c>
      <x:c r="Y2237" t="str">
        <x:v>ENH-20260830-01</x:v>
      </x:c>
      <x:c r="Z2237" t="str">
        <x:v>Active</x:v>
      </x:c>
      <x:c r="AA2237"/>
      <x:c r="AB2237"/>
      <x:c r="AC2237"/>
      <x:c r="AD2237"/>
    </x:row>
    <x:row r="2238">
      <x:c r="A2238" t="str">
        <x:v>PCC-PE-KG01-L25-20251020-PM-ORD-2025-00161-S04-C2</x:v>
      </x:c>
      <x:c r="B2238" t="str">
        <x:v>PC-PE-KG01-L25-20251020-PM-ORD-2025-00161-S04</x:v>
      </x:c>
      <x:c r="C2238" t="str">
        <x:v>PE-KG01-L25-20251020-PM-ORD-2025-00161</x:v>
      </x:c>
      <x:c r="D2238" t="str">
        <x:v>KG01</x:v>
      </x:c>
      <x:c r="E2238" s="62" t="n">
        <x:v>45950</x:v>
      </x:c>
      <x:c r="F2238" t="str">
        <x:v>PM</x:v>
      </x:c>
      <x:c r="G2238" t="str">
        <x:v>A</x:v>
      </x:c>
      <x:c r="H2238" t="n">
        <x:v>25</x:v>
      </x:c>
      <x:c r="I2238" t="str">
        <x:v>ORD-2025-00161</x:v>
      </x:c>
      <x:c r="J2238" t="n">
        <x:v>4</x:v>
      </x:c>
      <x:c r="K2238" t="n">
        <x:v>2</x:v>
      </x:c>
      <x:c r="L2238" t="str">
        <x:v>L25-S04-C2</x:v>
      </x:c>
      <x:c r="M2238" t="n">
        <x:v>1</x:v>
      </x:c>
      <x:c r="N2238" t="str">
        <x:v>DerivedFromCount</x:v>
      </x:c>
      <x:c r="O2238" t="str">
        <x:v>PLC-PRD-JAR-720-L25</x:v>
      </x:c>
      <x:c r="P2238" t="str">
        <x:v>OK</x:v>
      </x:c>
      <x:c r="Q2238" t="str">
        <x:v>OK</x:v>
      </x:c>
      <x:c r="R2238" t="str">
        <x:v>OK</x:v>
      </x:c>
      <x:c r="S2238" t="str">
        <x:v>OK</x:v>
      </x:c>
      <x:c r="T2238" t="n">
        <x:v>16</x:v>
      </x:c>
      <x:c r="U2238" t="str">
        <x:v>OK</x:v>
      </x:c>
      <x:c r="V2238" t="str">
        <x:v>OK</x:v>
      </x:c>
      <x:c r="W2238" t="str">
        <x:v>LOAD</x:v>
      </x:c>
      <x:c r="X2238" t="str">
        <x:v>02_Supervisor_Log(4).xlsx</x:v>
      </x:c>
      <x:c r="Y2238" t="str">
        <x:v>ENH-20260830-01</x:v>
      </x:c>
      <x:c r="Z2238" t="str">
        <x:v>Active</x:v>
      </x:c>
      <x:c r="AA2238"/>
      <x:c r="AB2238"/>
      <x:c r="AC2238"/>
      <x:c r="AD2238"/>
    </x:row>
    <x:row r="2239">
      <x:c r="A2239" t="str">
        <x:v>PCC-PE-KG01-L25-20251020-PM-ORD-2025-00161-S04-C3</x:v>
      </x:c>
      <x:c r="B2239" t="str">
        <x:v>PC-PE-KG01-L25-20251020-PM-ORD-2025-00161-S04</x:v>
      </x:c>
      <x:c r="C2239" t="str">
        <x:v>PE-KG01-L25-20251020-PM-ORD-2025-00161</x:v>
      </x:c>
      <x:c r="D2239" t="str">
        <x:v>KG01</x:v>
      </x:c>
      <x:c r="E2239" s="62" t="n">
        <x:v>45950</x:v>
      </x:c>
      <x:c r="F2239" t="str">
        <x:v>PM</x:v>
      </x:c>
      <x:c r="G2239" t="str">
        <x:v>A</x:v>
      </x:c>
      <x:c r="H2239" t="n">
        <x:v>25</x:v>
      </x:c>
      <x:c r="I2239" t="str">
        <x:v>ORD-2025-00161</x:v>
      </x:c>
      <x:c r="J2239" t="n">
        <x:v>4</x:v>
      </x:c>
      <x:c r="K2239" t="n">
        <x:v>3</x:v>
      </x:c>
      <x:c r="L2239" t="str">
        <x:v>L25-S04-C3</x:v>
      </x:c>
      <x:c r="M2239" t="n">
        <x:v>0</x:v>
      </x:c>
      <x:c r="N2239" t="str">
        <x:v>DerivedFromCount</x:v>
      </x:c>
      <x:c r="O2239" t="str">
        <x:v>PLC-PRD-JAR-720-L25</x:v>
      </x:c>
      <x:c r="P2239" t="str">
        <x:v>OK</x:v>
      </x:c>
      <x:c r="Q2239" t="str">
        <x:v>OK</x:v>
      </x:c>
      <x:c r="R2239" t="str">
        <x:v>OK</x:v>
      </x:c>
      <x:c r="S2239" t="str">
        <x:v>OK</x:v>
      </x:c>
      <x:c r="T2239" t="n">
        <x:v>16</x:v>
      </x:c>
      <x:c r="U2239" t="str">
        <x:v>OK</x:v>
      </x:c>
      <x:c r="V2239" t="str">
        <x:v>OK</x:v>
      </x:c>
      <x:c r="W2239" t="str">
        <x:v>LOAD</x:v>
      </x:c>
      <x:c r="X2239" t="str">
        <x:v>02_Supervisor_Log(4).xlsx</x:v>
      </x:c>
      <x:c r="Y2239" t="str">
        <x:v>ENH-20260830-01</x:v>
      </x:c>
      <x:c r="Z2239" t="str">
        <x:v>Active</x:v>
      </x:c>
      <x:c r="AA2239"/>
      <x:c r="AB2239"/>
      <x:c r="AC2239"/>
      <x:c r="AD2239"/>
    </x:row>
    <x:row r="2240">
      <x:c r="A2240" t="str">
        <x:v>PCC-PE-KG01-L25-20251020-PM-ORD-2025-00161-S05-C1</x:v>
      </x:c>
      <x:c r="B2240" t="str">
        <x:v>PC-PE-KG01-L25-20251020-PM-ORD-2025-00161-S05</x:v>
      </x:c>
      <x:c r="C2240" t="str">
        <x:v>PE-KG01-L25-20251020-PM-ORD-2025-00161</x:v>
      </x:c>
      <x:c r="D2240" t="str">
        <x:v>KG01</x:v>
      </x:c>
      <x:c r="E2240" s="62" t="n">
        <x:v>45950</x:v>
      </x:c>
      <x:c r="F2240" t="str">
        <x:v>PM</x:v>
      </x:c>
      <x:c r="G2240" t="str">
        <x:v>A</x:v>
      </x:c>
      <x:c r="H2240" t="n">
        <x:v>25</x:v>
      </x:c>
      <x:c r="I2240" t="str">
        <x:v>ORD-2025-00161</x:v>
      </x:c>
      <x:c r="J2240" t="n">
        <x:v>5</x:v>
      </x:c>
      <x:c r="K2240" t="n">
        <x:v>1</x:v>
      </x:c>
      <x:c r="L2240" t="str">
        <x:v>L25-S05-C1</x:v>
      </x:c>
      <x:c r="M2240" t="n">
        <x:v>1</x:v>
      </x:c>
      <x:c r="N2240" t="str">
        <x:v>DerivedFromCount</x:v>
      </x:c>
      <x:c r="O2240" t="str">
        <x:v>PLC-PRD-JAR-720-L25</x:v>
      </x:c>
      <x:c r="P2240" t="str">
        <x:v>OK</x:v>
      </x:c>
      <x:c r="Q2240" t="str">
        <x:v>OK</x:v>
      </x:c>
      <x:c r="R2240" t="str">
        <x:v>OK</x:v>
      </x:c>
      <x:c r="S2240" t="str">
        <x:v>OK</x:v>
      </x:c>
      <x:c r="T2240" t="n">
        <x:v>16</x:v>
      </x:c>
      <x:c r="U2240" t="str">
        <x:v>OK</x:v>
      </x:c>
      <x:c r="V2240" t="str">
        <x:v>OK</x:v>
      </x:c>
      <x:c r="W2240" t="str">
        <x:v>LOAD</x:v>
      </x:c>
      <x:c r="X2240" t="str">
        <x:v>02_Supervisor_Log(4).xlsx</x:v>
      </x:c>
      <x:c r="Y2240" t="str">
        <x:v>ENH-20260830-01</x:v>
      </x:c>
      <x:c r="Z2240" t="str">
        <x:v>Active</x:v>
      </x:c>
      <x:c r="AA2240"/>
      <x:c r="AB2240"/>
      <x:c r="AC2240"/>
      <x:c r="AD2240"/>
    </x:row>
    <x:row r="2241">
      <x:c r="A2241" t="str">
        <x:v>PCC-PE-KG01-L25-20251020-PM-ORD-2025-00161-S05-C2</x:v>
      </x:c>
      <x:c r="B2241" t="str">
        <x:v>PC-PE-KG01-L25-20251020-PM-ORD-2025-00161-S05</x:v>
      </x:c>
      <x:c r="C2241" t="str">
        <x:v>PE-KG01-L25-20251020-PM-ORD-2025-00161</x:v>
      </x:c>
      <x:c r="D2241" t="str">
        <x:v>KG01</x:v>
      </x:c>
      <x:c r="E2241" s="62" t="n">
        <x:v>45950</x:v>
      </x:c>
      <x:c r="F2241" t="str">
        <x:v>PM</x:v>
      </x:c>
      <x:c r="G2241" t="str">
        <x:v>A</x:v>
      </x:c>
      <x:c r="H2241" t="n">
        <x:v>25</x:v>
      </x:c>
      <x:c r="I2241" t="str">
        <x:v>ORD-2025-00161</x:v>
      </x:c>
      <x:c r="J2241" t="n">
        <x:v>5</x:v>
      </x:c>
      <x:c r="K2241" t="n">
        <x:v>2</x:v>
      </x:c>
      <x:c r="L2241" t="str">
        <x:v>L25-S05-C2</x:v>
      </x:c>
      <x:c r="M2241" t="n">
        <x:v>1</x:v>
      </x:c>
      <x:c r="N2241" t="str">
        <x:v>DerivedFromCount</x:v>
      </x:c>
      <x:c r="O2241" t="str">
        <x:v>PLC-PRD-JAR-720-L25</x:v>
      </x:c>
      <x:c r="P2241" t="str">
        <x:v>OK</x:v>
      </x:c>
      <x:c r="Q2241" t="str">
        <x:v>OK</x:v>
      </x:c>
      <x:c r="R2241" t="str">
        <x:v>OK</x:v>
      </x:c>
      <x:c r="S2241" t="str">
        <x:v>OK</x:v>
      </x:c>
      <x:c r="T2241" t="n">
        <x:v>16</x:v>
      </x:c>
      <x:c r="U2241" t="str">
        <x:v>OK</x:v>
      </x:c>
      <x:c r="V2241" t="str">
        <x:v>OK</x:v>
      </x:c>
      <x:c r="W2241" t="str">
        <x:v>LOAD</x:v>
      </x:c>
      <x:c r="X2241" t="str">
        <x:v>02_Supervisor_Log(4).xlsx</x:v>
      </x:c>
      <x:c r="Y2241" t="str">
        <x:v>ENH-20260830-01</x:v>
      </x:c>
      <x:c r="Z2241" t="str">
        <x:v>Active</x:v>
      </x:c>
      <x:c r="AA2241"/>
      <x:c r="AB2241"/>
      <x:c r="AC2241"/>
      <x:c r="AD2241"/>
    </x:row>
    <x:row r="2242">
      <x:c r="A2242" t="str">
        <x:v>PCC-PE-KG01-L25-20251020-PM-ORD-2025-00161-S05-C3</x:v>
      </x:c>
      <x:c r="B2242" t="str">
        <x:v>PC-PE-KG01-L25-20251020-PM-ORD-2025-00161-S05</x:v>
      </x:c>
      <x:c r="C2242" t="str">
        <x:v>PE-KG01-L25-20251020-PM-ORD-2025-00161</x:v>
      </x:c>
      <x:c r="D2242" t="str">
        <x:v>KG01</x:v>
      </x:c>
      <x:c r="E2242" s="62" t="n">
        <x:v>45950</x:v>
      </x:c>
      <x:c r="F2242" t="str">
        <x:v>PM</x:v>
      </x:c>
      <x:c r="G2242" t="str">
        <x:v>A</x:v>
      </x:c>
      <x:c r="H2242" t="n">
        <x:v>25</x:v>
      </x:c>
      <x:c r="I2242" t="str">
        <x:v>ORD-2025-00161</x:v>
      </x:c>
      <x:c r="J2242" t="n">
        <x:v>5</x:v>
      </x:c>
      <x:c r="K2242" t="n">
        <x:v>3</x:v>
      </x:c>
      <x:c r="L2242" t="str">
        <x:v>L25-S05-C3</x:v>
      </x:c>
      <x:c r="M2242" t="n">
        <x:v>0</x:v>
      </x:c>
      <x:c r="N2242" t="str">
        <x:v>DerivedFromCount</x:v>
      </x:c>
      <x:c r="O2242" t="str">
        <x:v>PLC-PRD-JAR-720-L25</x:v>
      </x:c>
      <x:c r="P2242" t="str">
        <x:v>OK</x:v>
      </x:c>
      <x:c r="Q2242" t="str">
        <x:v>OK</x:v>
      </x:c>
      <x:c r="R2242" t="str">
        <x:v>OK</x:v>
      </x:c>
      <x:c r="S2242" t="str">
        <x:v>OK</x:v>
      </x:c>
      <x:c r="T2242" t="n">
        <x:v>16</x:v>
      </x:c>
      <x:c r="U2242" t="str">
        <x:v>OK</x:v>
      </x:c>
      <x:c r="V2242" t="str">
        <x:v>OK</x:v>
      </x:c>
      <x:c r="W2242" t="str">
        <x:v>LOAD</x:v>
      </x:c>
      <x:c r="X2242" t="str">
        <x:v>02_Supervisor_Log(4).xlsx</x:v>
      </x:c>
      <x:c r="Y2242" t="str">
        <x:v>ENH-20260830-01</x:v>
      </x:c>
      <x:c r="Z2242" t="str">
        <x:v>Active</x:v>
      </x:c>
      <x:c r="AA2242"/>
      <x:c r="AB2242"/>
      <x:c r="AC2242"/>
      <x:c r="AD2242"/>
    </x:row>
    <x:row r="2243">
      <x:c r="A2243" t="str">
        <x:v>PCC-PE-KG01-L25-20251020-PM-ORD-2025-00161-S06-C1</x:v>
      </x:c>
      <x:c r="B2243" t="str">
        <x:v>PC-PE-KG01-L25-20251020-PM-ORD-2025-00161-S06</x:v>
      </x:c>
      <x:c r="C2243" t="str">
        <x:v>PE-KG01-L25-20251020-PM-ORD-2025-00161</x:v>
      </x:c>
      <x:c r="D2243" t="str">
        <x:v>KG01</x:v>
      </x:c>
      <x:c r="E2243" s="62" t="n">
        <x:v>45950</x:v>
      </x:c>
      <x:c r="F2243" t="str">
        <x:v>PM</x:v>
      </x:c>
      <x:c r="G2243" t="str">
        <x:v>A</x:v>
      </x:c>
      <x:c r="H2243" t="n">
        <x:v>25</x:v>
      </x:c>
      <x:c r="I2243" t="str">
        <x:v>ORD-2025-00161</x:v>
      </x:c>
      <x:c r="J2243" t="n">
        <x:v>6</x:v>
      </x:c>
      <x:c r="K2243" t="n">
        <x:v>1</x:v>
      </x:c>
      <x:c r="L2243" t="str">
        <x:v>L25-S06-C1</x:v>
      </x:c>
      <x:c r="M2243" t="n">
        <x:v>1</x:v>
      </x:c>
      <x:c r="N2243" t="str">
        <x:v>DerivedFromCount</x:v>
      </x:c>
      <x:c r="O2243" t="str">
        <x:v>PLC-PRD-JAR-720-L25</x:v>
      </x:c>
      <x:c r="P2243" t="str">
        <x:v>OK</x:v>
      </x:c>
      <x:c r="Q2243" t="str">
        <x:v>OK</x:v>
      </x:c>
      <x:c r="R2243" t="str">
        <x:v>OK</x:v>
      </x:c>
      <x:c r="S2243" t="str">
        <x:v>OK</x:v>
      </x:c>
      <x:c r="T2243" t="n">
        <x:v>16</x:v>
      </x:c>
      <x:c r="U2243" t="str">
        <x:v>OK</x:v>
      </x:c>
      <x:c r="V2243" t="str">
        <x:v>OK</x:v>
      </x:c>
      <x:c r="W2243" t="str">
        <x:v>LOAD</x:v>
      </x:c>
      <x:c r="X2243" t="str">
        <x:v>02_Supervisor_Log(4).xlsx</x:v>
      </x:c>
      <x:c r="Y2243" t="str">
        <x:v>ENH-20260830-01</x:v>
      </x:c>
      <x:c r="Z2243" t="str">
        <x:v>Active</x:v>
      </x:c>
      <x:c r="AA2243"/>
      <x:c r="AB2243"/>
      <x:c r="AC2243"/>
      <x:c r="AD2243"/>
    </x:row>
    <x:row r="2244">
      <x:c r="A2244" t="str">
        <x:v>PCC-PE-KG01-L25-20251020-PM-ORD-2025-00161-S06-C2</x:v>
      </x:c>
      <x:c r="B2244" t="str">
        <x:v>PC-PE-KG01-L25-20251020-PM-ORD-2025-00161-S06</x:v>
      </x:c>
      <x:c r="C2244" t="str">
        <x:v>PE-KG01-L25-20251020-PM-ORD-2025-00161</x:v>
      </x:c>
      <x:c r="D2244" t="str">
        <x:v>KG01</x:v>
      </x:c>
      <x:c r="E2244" s="62" t="n">
        <x:v>45950</x:v>
      </x:c>
      <x:c r="F2244" t="str">
        <x:v>PM</x:v>
      </x:c>
      <x:c r="G2244" t="str">
        <x:v>A</x:v>
      </x:c>
      <x:c r="H2244" t="n">
        <x:v>25</x:v>
      </x:c>
      <x:c r="I2244" t="str">
        <x:v>ORD-2025-00161</x:v>
      </x:c>
      <x:c r="J2244" t="n">
        <x:v>6</x:v>
      </x:c>
      <x:c r="K2244" t="n">
        <x:v>2</x:v>
      </x:c>
      <x:c r="L2244" t="str">
        <x:v>L25-S06-C2</x:v>
      </x:c>
      <x:c r="M2244" t="n">
        <x:v>1</x:v>
      </x:c>
      <x:c r="N2244" t="str">
        <x:v>DerivedFromCount</x:v>
      </x:c>
      <x:c r="O2244" t="str">
        <x:v>PLC-PRD-JAR-720-L25</x:v>
      </x:c>
      <x:c r="P2244" t="str">
        <x:v>OK</x:v>
      </x:c>
      <x:c r="Q2244" t="str">
        <x:v>OK</x:v>
      </x:c>
      <x:c r="R2244" t="str">
        <x:v>OK</x:v>
      </x:c>
      <x:c r="S2244" t="str">
        <x:v>OK</x:v>
      </x:c>
      <x:c r="T2244" t="n">
        <x:v>16</x:v>
      </x:c>
      <x:c r="U2244" t="str">
        <x:v>OK</x:v>
      </x:c>
      <x:c r="V2244" t="str">
        <x:v>OK</x:v>
      </x:c>
      <x:c r="W2244" t="str">
        <x:v>LOAD</x:v>
      </x:c>
      <x:c r="X2244" t="str">
        <x:v>02_Supervisor_Log(4).xlsx</x:v>
      </x:c>
      <x:c r="Y2244" t="str">
        <x:v>ENH-20260830-01</x:v>
      </x:c>
      <x:c r="Z2244" t="str">
        <x:v>Active</x:v>
      </x:c>
      <x:c r="AA2244"/>
      <x:c r="AB2244"/>
      <x:c r="AC2244"/>
      <x:c r="AD2244"/>
    </x:row>
    <x:row r="2245">
      <x:c r="A2245" t="str">
        <x:v>PCC-PE-KG01-L25-20251020-PM-ORD-2025-00161-S06-C3</x:v>
      </x:c>
      <x:c r="B2245" t="str">
        <x:v>PC-PE-KG01-L25-20251020-PM-ORD-2025-00161-S06</x:v>
      </x:c>
      <x:c r="C2245" t="str">
        <x:v>PE-KG01-L25-20251020-PM-ORD-2025-00161</x:v>
      </x:c>
      <x:c r="D2245" t="str">
        <x:v>KG01</x:v>
      </x:c>
      <x:c r="E2245" s="62" t="n">
        <x:v>45950</x:v>
      </x:c>
      <x:c r="F2245" t="str">
        <x:v>PM</x:v>
      </x:c>
      <x:c r="G2245" t="str">
        <x:v>A</x:v>
      </x:c>
      <x:c r="H2245" t="n">
        <x:v>25</x:v>
      </x:c>
      <x:c r="I2245" t="str">
        <x:v>ORD-2025-00161</x:v>
      </x:c>
      <x:c r="J2245" t="n">
        <x:v>6</x:v>
      </x:c>
      <x:c r="K2245" t="n">
        <x:v>3</x:v>
      </x:c>
      <x:c r="L2245" t="str">
        <x:v>L25-S06-C3</x:v>
      </x:c>
      <x:c r="M2245" t="n">
        <x:v>0</x:v>
      </x:c>
      <x:c r="N2245" t="str">
        <x:v>DerivedFromCount</x:v>
      </x:c>
      <x:c r="O2245" t="str">
        <x:v>PLC-PRD-JAR-720-L25</x:v>
      </x:c>
      <x:c r="P2245" t="str">
        <x:v>OK</x:v>
      </x:c>
      <x:c r="Q2245" t="str">
        <x:v>OK</x:v>
      </x:c>
      <x:c r="R2245" t="str">
        <x:v>OK</x:v>
      </x:c>
      <x:c r="S2245" t="str">
        <x:v>OK</x:v>
      </x:c>
      <x:c r="T2245" t="n">
        <x:v>16</x:v>
      </x:c>
      <x:c r="U2245" t="str">
        <x:v>OK</x:v>
      </x:c>
      <x:c r="V2245" t="str">
        <x:v>OK</x:v>
      </x:c>
      <x:c r="W2245" t="str">
        <x:v>LOAD</x:v>
      </x:c>
      <x:c r="X2245" t="str">
        <x:v>02_Supervisor_Log(4).xlsx</x:v>
      </x:c>
      <x:c r="Y2245" t="str">
        <x:v>ENH-20260830-01</x:v>
      </x:c>
      <x:c r="Z2245" t="str">
        <x:v>Active</x:v>
      </x:c>
      <x:c r="AA2245"/>
      <x:c r="AB2245"/>
      <x:c r="AC2245"/>
      <x:c r="AD2245"/>
    </x:row>
    <x:row r="2246">
      <x:c r="A2246" t="str">
        <x:v>PCC-PE-KG01-L25-20251020-PM-ORD-2025-00161-S07-C1</x:v>
      </x:c>
      <x:c r="B2246" t="str">
        <x:v>PC-PE-KG01-L25-20251020-PM-ORD-2025-00161-S07</x:v>
      </x:c>
      <x:c r="C2246" t="str">
        <x:v>PE-KG01-L25-20251020-PM-ORD-2025-00161</x:v>
      </x:c>
      <x:c r="D2246" t="str">
        <x:v>KG01</x:v>
      </x:c>
      <x:c r="E2246" s="62" t="n">
        <x:v>45950</x:v>
      </x:c>
      <x:c r="F2246" t="str">
        <x:v>PM</x:v>
      </x:c>
      <x:c r="G2246" t="str">
        <x:v>A</x:v>
      </x:c>
      <x:c r="H2246" t="n">
        <x:v>25</x:v>
      </x:c>
      <x:c r="I2246" t="str">
        <x:v>ORD-2025-00161</x:v>
      </x:c>
      <x:c r="J2246" t="n">
        <x:v>7</x:v>
      </x:c>
      <x:c r="K2246" t="n">
        <x:v>1</x:v>
      </x:c>
      <x:c r="L2246" t="str">
        <x:v>L25-S07-C1</x:v>
      </x:c>
      <x:c r="M2246" t="n">
        <x:v>1</x:v>
      </x:c>
      <x:c r="N2246" t="str">
        <x:v>DerivedFromCount</x:v>
      </x:c>
      <x:c r="O2246" t="str">
        <x:v>PLC-PRD-JAR-720-L25</x:v>
      </x:c>
      <x:c r="P2246" t="str">
        <x:v>OK</x:v>
      </x:c>
      <x:c r="Q2246" t="str">
        <x:v>OK</x:v>
      </x:c>
      <x:c r="R2246" t="str">
        <x:v>OK</x:v>
      </x:c>
      <x:c r="S2246" t="str">
        <x:v>OK</x:v>
      </x:c>
      <x:c r="T2246" t="n">
        <x:v>16</x:v>
      </x:c>
      <x:c r="U2246" t="str">
        <x:v>OK</x:v>
      </x:c>
      <x:c r="V2246" t="str">
        <x:v>OK</x:v>
      </x:c>
      <x:c r="W2246" t="str">
        <x:v>LOAD</x:v>
      </x:c>
      <x:c r="X2246" t="str">
        <x:v>02_Supervisor_Log(4).xlsx</x:v>
      </x:c>
      <x:c r="Y2246" t="str">
        <x:v>ENH-20260830-01</x:v>
      </x:c>
      <x:c r="Z2246" t="str">
        <x:v>Active</x:v>
      </x:c>
      <x:c r="AA2246"/>
      <x:c r="AB2246"/>
      <x:c r="AC2246"/>
      <x:c r="AD2246"/>
    </x:row>
    <x:row r="2247">
      <x:c r="A2247" t="str">
        <x:v>PCC-PE-KG01-L25-20251020-PM-ORD-2025-00161-S07-C2</x:v>
      </x:c>
      <x:c r="B2247" t="str">
        <x:v>PC-PE-KG01-L25-20251020-PM-ORD-2025-00161-S07</x:v>
      </x:c>
      <x:c r="C2247" t="str">
        <x:v>PE-KG01-L25-20251020-PM-ORD-2025-00161</x:v>
      </x:c>
      <x:c r="D2247" t="str">
        <x:v>KG01</x:v>
      </x:c>
      <x:c r="E2247" s="62" t="n">
        <x:v>45950</x:v>
      </x:c>
      <x:c r="F2247" t="str">
        <x:v>PM</x:v>
      </x:c>
      <x:c r="G2247" t="str">
        <x:v>A</x:v>
      </x:c>
      <x:c r="H2247" t="n">
        <x:v>25</x:v>
      </x:c>
      <x:c r="I2247" t="str">
        <x:v>ORD-2025-00161</x:v>
      </x:c>
      <x:c r="J2247" t="n">
        <x:v>7</x:v>
      </x:c>
      <x:c r="K2247" t="n">
        <x:v>2</x:v>
      </x:c>
      <x:c r="L2247" t="str">
        <x:v>L25-S07-C2</x:v>
      </x:c>
      <x:c r="M2247" t="n">
        <x:v>1</x:v>
      </x:c>
      <x:c r="N2247" t="str">
        <x:v>DerivedFromCount</x:v>
      </x:c>
      <x:c r="O2247" t="str">
        <x:v>PLC-PRD-JAR-720-L25</x:v>
      </x:c>
      <x:c r="P2247" t="str">
        <x:v>OK</x:v>
      </x:c>
      <x:c r="Q2247" t="str">
        <x:v>OK</x:v>
      </x:c>
      <x:c r="R2247" t="str">
        <x:v>OK</x:v>
      </x:c>
      <x:c r="S2247" t="str">
        <x:v>OK</x:v>
      </x:c>
      <x:c r="T2247" t="n">
        <x:v>16</x:v>
      </x:c>
      <x:c r="U2247" t="str">
        <x:v>OK</x:v>
      </x:c>
      <x:c r="V2247" t="str">
        <x:v>OK</x:v>
      </x:c>
      <x:c r="W2247" t="str">
        <x:v>LOAD</x:v>
      </x:c>
      <x:c r="X2247" t="str">
        <x:v>02_Supervisor_Log(4).xlsx</x:v>
      </x:c>
      <x:c r="Y2247" t="str">
        <x:v>ENH-20260830-01</x:v>
      </x:c>
      <x:c r="Z2247" t="str">
        <x:v>Active</x:v>
      </x:c>
      <x:c r="AA2247"/>
      <x:c r="AB2247"/>
      <x:c r="AC2247"/>
      <x:c r="AD2247"/>
    </x:row>
    <x:row r="2248">
      <x:c r="A2248" t="str">
        <x:v>PCC-PE-KG01-L25-20251020-PM-ORD-2025-00161-S07-C3</x:v>
      </x:c>
      <x:c r="B2248" t="str">
        <x:v>PC-PE-KG01-L25-20251020-PM-ORD-2025-00161-S07</x:v>
      </x:c>
      <x:c r="C2248" t="str">
        <x:v>PE-KG01-L25-20251020-PM-ORD-2025-00161</x:v>
      </x:c>
      <x:c r="D2248" t="str">
        <x:v>KG01</x:v>
      </x:c>
      <x:c r="E2248" s="62" t="n">
        <x:v>45950</x:v>
      </x:c>
      <x:c r="F2248" t="str">
        <x:v>PM</x:v>
      </x:c>
      <x:c r="G2248" t="str">
        <x:v>A</x:v>
      </x:c>
      <x:c r="H2248" t="n">
        <x:v>25</x:v>
      </x:c>
      <x:c r="I2248" t="str">
        <x:v>ORD-2025-00161</x:v>
      </x:c>
      <x:c r="J2248" t="n">
        <x:v>7</x:v>
      </x:c>
      <x:c r="K2248" t="n">
        <x:v>3</x:v>
      </x:c>
      <x:c r="L2248" t="str">
        <x:v>L25-S07-C3</x:v>
      </x:c>
      <x:c r="M2248" t="n">
        <x:v>0</x:v>
      </x:c>
      <x:c r="N2248" t="str">
        <x:v>DerivedFromCount</x:v>
      </x:c>
      <x:c r="O2248" t="str">
        <x:v>PLC-PRD-JAR-720-L25</x:v>
      </x:c>
      <x:c r="P2248" t="str">
        <x:v>OK</x:v>
      </x:c>
      <x:c r="Q2248" t="str">
        <x:v>OK</x:v>
      </x:c>
      <x:c r="R2248" t="str">
        <x:v>OK</x:v>
      </x:c>
      <x:c r="S2248" t="str">
        <x:v>OK</x:v>
      </x:c>
      <x:c r="T2248" t="n">
        <x:v>16</x:v>
      </x:c>
      <x:c r="U2248" t="str">
        <x:v>OK</x:v>
      </x:c>
      <x:c r="V2248" t="str">
        <x:v>OK</x:v>
      </x:c>
      <x:c r="W2248" t="str">
        <x:v>LOAD</x:v>
      </x:c>
      <x:c r="X2248" t="str">
        <x:v>02_Supervisor_Log(4).xlsx</x:v>
      </x:c>
      <x:c r="Y2248" t="str">
        <x:v>ENH-20260830-01</x:v>
      </x:c>
      <x:c r="Z2248" t="str">
        <x:v>Active</x:v>
      </x:c>
      <x:c r="AA2248"/>
      <x:c r="AB2248"/>
      <x:c r="AC2248"/>
      <x:c r="AD2248"/>
    </x:row>
    <x:row r="2249">
      <x:c r="A2249" t="str">
        <x:v>PCC-PE-KG01-L25-20251020-PM-ORD-2025-00161-S08-C1</x:v>
      </x:c>
      <x:c r="B2249" t="str">
        <x:v>PC-PE-KG01-L25-20251020-PM-ORD-2025-00161-S08</x:v>
      </x:c>
      <x:c r="C2249" t="str">
        <x:v>PE-KG01-L25-20251020-PM-ORD-2025-00161</x:v>
      </x:c>
      <x:c r="D2249" t="str">
        <x:v>KG01</x:v>
      </x:c>
      <x:c r="E2249" s="62" t="n">
        <x:v>45950</x:v>
      </x:c>
      <x:c r="F2249" t="str">
        <x:v>PM</x:v>
      </x:c>
      <x:c r="G2249" t="str">
        <x:v>A</x:v>
      </x:c>
      <x:c r="H2249" t="n">
        <x:v>25</x:v>
      </x:c>
      <x:c r="I2249" t="str">
        <x:v>ORD-2025-00161</x:v>
      </x:c>
      <x:c r="J2249" t="n">
        <x:v>8</x:v>
      </x:c>
      <x:c r="K2249" t="n">
        <x:v>1</x:v>
      </x:c>
      <x:c r="L2249" t="str">
        <x:v>L25-S08-C1</x:v>
      </x:c>
      <x:c r="M2249" t="n">
        <x:v>1</x:v>
      </x:c>
      <x:c r="N2249" t="str">
        <x:v>DerivedFromCount</x:v>
      </x:c>
      <x:c r="O2249" t="str">
        <x:v>PLC-PRD-JAR-720-L25</x:v>
      </x:c>
      <x:c r="P2249" t="str">
        <x:v>OK</x:v>
      </x:c>
      <x:c r="Q2249" t="str">
        <x:v>OK</x:v>
      </x:c>
      <x:c r="R2249" t="str">
        <x:v>OK</x:v>
      </x:c>
      <x:c r="S2249" t="str">
        <x:v>OK</x:v>
      </x:c>
      <x:c r="T2249" t="n">
        <x:v>16</x:v>
      </x:c>
      <x:c r="U2249" t="str">
        <x:v>OK</x:v>
      </x:c>
      <x:c r="V2249" t="str">
        <x:v>OK</x:v>
      </x:c>
      <x:c r="W2249" t="str">
        <x:v>LOAD</x:v>
      </x:c>
      <x:c r="X2249" t="str">
        <x:v>02_Supervisor_Log(4).xlsx</x:v>
      </x:c>
      <x:c r="Y2249" t="str">
        <x:v>ENH-20260830-01</x:v>
      </x:c>
      <x:c r="Z2249" t="str">
        <x:v>Active</x:v>
      </x:c>
      <x:c r="AA2249"/>
      <x:c r="AB2249"/>
      <x:c r="AC2249"/>
      <x:c r="AD2249"/>
    </x:row>
    <x:row r="2250">
      <x:c r="A2250" t="str">
        <x:v>PCC-PE-KG01-L25-20251020-PM-ORD-2025-00161-S08-C2</x:v>
      </x:c>
      <x:c r="B2250" t="str">
        <x:v>PC-PE-KG01-L25-20251020-PM-ORD-2025-00161-S08</x:v>
      </x:c>
      <x:c r="C2250" t="str">
        <x:v>PE-KG01-L25-20251020-PM-ORD-2025-00161</x:v>
      </x:c>
      <x:c r="D2250" t="str">
        <x:v>KG01</x:v>
      </x:c>
      <x:c r="E2250" s="62" t="n">
        <x:v>45950</x:v>
      </x:c>
      <x:c r="F2250" t="str">
        <x:v>PM</x:v>
      </x:c>
      <x:c r="G2250" t="str">
        <x:v>A</x:v>
      </x:c>
      <x:c r="H2250" t="n">
        <x:v>25</x:v>
      </x:c>
      <x:c r="I2250" t="str">
        <x:v>ORD-2025-00161</x:v>
      </x:c>
      <x:c r="J2250" t="n">
        <x:v>8</x:v>
      </x:c>
      <x:c r="K2250" t="n">
        <x:v>2</x:v>
      </x:c>
      <x:c r="L2250" t="str">
        <x:v>L25-S08-C2</x:v>
      </x:c>
      <x:c r="M2250" t="n">
        <x:v>1</x:v>
      </x:c>
      <x:c r="N2250" t="str">
        <x:v>DerivedFromCount</x:v>
      </x:c>
      <x:c r="O2250" t="str">
        <x:v>PLC-PRD-JAR-720-L25</x:v>
      </x:c>
      <x:c r="P2250" t="str">
        <x:v>OK</x:v>
      </x:c>
      <x:c r="Q2250" t="str">
        <x:v>OK</x:v>
      </x:c>
      <x:c r="R2250" t="str">
        <x:v>OK</x:v>
      </x:c>
      <x:c r="S2250" t="str">
        <x:v>OK</x:v>
      </x:c>
      <x:c r="T2250" t="n">
        <x:v>16</x:v>
      </x:c>
      <x:c r="U2250" t="str">
        <x:v>OK</x:v>
      </x:c>
      <x:c r="V2250" t="str">
        <x:v>OK</x:v>
      </x:c>
      <x:c r="W2250" t="str">
        <x:v>LOAD</x:v>
      </x:c>
      <x:c r="X2250" t="str">
        <x:v>02_Supervisor_Log(4).xlsx</x:v>
      </x:c>
      <x:c r="Y2250" t="str">
        <x:v>ENH-20260830-01</x:v>
      </x:c>
      <x:c r="Z2250" t="str">
        <x:v>Active</x:v>
      </x:c>
      <x:c r="AA2250"/>
      <x:c r="AB2250"/>
      <x:c r="AC2250"/>
      <x:c r="AD2250"/>
    </x:row>
    <x:row r="2251">
      <x:c r="A2251" t="str">
        <x:v>PCC-PE-KG01-L25-20251020-PM-ORD-2025-00161-S08-C3</x:v>
      </x:c>
      <x:c r="B2251" t="str">
        <x:v>PC-PE-KG01-L25-20251020-PM-ORD-2025-00161-S08</x:v>
      </x:c>
      <x:c r="C2251" t="str">
        <x:v>PE-KG01-L25-20251020-PM-ORD-2025-00161</x:v>
      </x:c>
      <x:c r="D2251" t="str">
        <x:v>KG01</x:v>
      </x:c>
      <x:c r="E2251" s="62" t="n">
        <x:v>45950</x:v>
      </x:c>
      <x:c r="F2251" t="str">
        <x:v>PM</x:v>
      </x:c>
      <x:c r="G2251" t="str">
        <x:v>A</x:v>
      </x:c>
      <x:c r="H2251" t="n">
        <x:v>25</x:v>
      </x:c>
      <x:c r="I2251" t="str">
        <x:v>ORD-2025-00161</x:v>
      </x:c>
      <x:c r="J2251" t="n">
        <x:v>8</x:v>
      </x:c>
      <x:c r="K2251" t="n">
        <x:v>3</x:v>
      </x:c>
      <x:c r="L2251" t="str">
        <x:v>L25-S08-C3</x:v>
      </x:c>
      <x:c r="M2251" t="n">
        <x:v>0</x:v>
      </x:c>
      <x:c r="N2251" t="str">
        <x:v>DerivedFromCount</x:v>
      </x:c>
      <x:c r="O2251" t="str">
        <x:v>PLC-PRD-JAR-720-L25</x:v>
      </x:c>
      <x:c r="P2251" t="str">
        <x:v>OK</x:v>
      </x:c>
      <x:c r="Q2251" t="str">
        <x:v>OK</x:v>
      </x:c>
      <x:c r="R2251" t="str">
        <x:v>OK</x:v>
      </x:c>
      <x:c r="S2251" t="str">
        <x:v>OK</x:v>
      </x:c>
      <x:c r="T2251" t="n">
        <x:v>16</x:v>
      </x:c>
      <x:c r="U2251" t="str">
        <x:v>OK</x:v>
      </x:c>
      <x:c r="V2251" t="str">
        <x:v>OK</x:v>
      </x:c>
      <x:c r="W2251" t="str">
        <x:v>LOAD</x:v>
      </x:c>
      <x:c r="X2251" t="str">
        <x:v>02_Supervisor_Log(4).xlsx</x:v>
      </x:c>
      <x:c r="Y2251" t="str">
        <x:v>ENH-20260830-01</x:v>
      </x:c>
      <x:c r="Z2251" t="str">
        <x:v>Active</x:v>
      </x:c>
      <x:c r="AA2251"/>
      <x:c r="AB2251"/>
      <x:c r="AC2251"/>
      <x:c r="AD2251"/>
    </x:row>
    <x:row r="2252">
      <x:c r="A2252" t="str">
        <x:v>PCC-PE-KG01-L25-20251020-PM-ORD-2025-00161-S09-C1</x:v>
      </x:c>
      <x:c r="B2252" t="str">
        <x:v>PC-PE-KG01-L25-20251020-PM-ORD-2025-00161-S09</x:v>
      </x:c>
      <x:c r="C2252" t="str">
        <x:v>PE-KG01-L25-20251020-PM-ORD-2025-00161</x:v>
      </x:c>
      <x:c r="D2252" t="str">
        <x:v>KG01</x:v>
      </x:c>
      <x:c r="E2252" s="62" t="n">
        <x:v>45950</x:v>
      </x:c>
      <x:c r="F2252" t="str">
        <x:v>PM</x:v>
      </x:c>
      <x:c r="G2252" t="str">
        <x:v>A</x:v>
      </x:c>
      <x:c r="H2252" t="n">
        <x:v>25</x:v>
      </x:c>
      <x:c r="I2252" t="str">
        <x:v>ORD-2025-00161</x:v>
      </x:c>
      <x:c r="J2252" t="n">
        <x:v>9</x:v>
      </x:c>
      <x:c r="K2252" t="n">
        <x:v>1</x:v>
      </x:c>
      <x:c r="L2252" t="str">
        <x:v>L25-S09-C1</x:v>
      </x:c>
      <x:c r="M2252" t="n">
        <x:v>0</x:v>
      </x:c>
      <x:c r="N2252" t="str">
        <x:v>DerivedFromCount</x:v>
      </x:c>
      <x:c r="O2252" t="str">
        <x:v>PLC-PRD-JAR-720-L25</x:v>
      </x:c>
      <x:c r="P2252" t="str">
        <x:v>OK</x:v>
      </x:c>
      <x:c r="Q2252" t="str">
        <x:v>OK</x:v>
      </x:c>
      <x:c r="R2252" t="str">
        <x:v>OK</x:v>
      </x:c>
      <x:c r="S2252" t="str">
        <x:v>OK</x:v>
      </x:c>
      <x:c r="T2252" t="n">
        <x:v>16</x:v>
      </x:c>
      <x:c r="U2252" t="str">
        <x:v>OK</x:v>
      </x:c>
      <x:c r="V2252" t="str">
        <x:v>OK</x:v>
      </x:c>
      <x:c r="W2252" t="str">
        <x:v>LOAD</x:v>
      </x:c>
      <x:c r="X2252" t="str">
        <x:v>02_Supervisor_Log(4).xlsx</x:v>
      </x:c>
      <x:c r="Y2252" t="str">
        <x:v>ENH-20260830-01</x:v>
      </x:c>
      <x:c r="Z2252" t="str">
        <x:v>Active</x:v>
      </x:c>
      <x:c r="AA2252"/>
      <x:c r="AB2252"/>
      <x:c r="AC2252"/>
      <x:c r="AD2252"/>
    </x:row>
    <x:row r="2253">
      <x:c r="A2253" t="str">
        <x:v>PCC-PE-KG01-L25-20251020-PM-ORD-2025-00161-S09-C2</x:v>
      </x:c>
      <x:c r="B2253" t="str">
        <x:v>PC-PE-KG01-L25-20251020-PM-ORD-2025-00161-S09</x:v>
      </x:c>
      <x:c r="C2253" t="str">
        <x:v>PE-KG01-L25-20251020-PM-ORD-2025-00161</x:v>
      </x:c>
      <x:c r="D2253" t="str">
        <x:v>KG01</x:v>
      </x:c>
      <x:c r="E2253" s="62" t="n">
        <x:v>45950</x:v>
      </x:c>
      <x:c r="F2253" t="str">
        <x:v>PM</x:v>
      </x:c>
      <x:c r="G2253" t="str">
        <x:v>A</x:v>
      </x:c>
      <x:c r="H2253" t="n">
        <x:v>25</x:v>
      </x:c>
      <x:c r="I2253" t="str">
        <x:v>ORD-2025-00161</x:v>
      </x:c>
      <x:c r="J2253" t="n">
        <x:v>9</x:v>
      </x:c>
      <x:c r="K2253" t="n">
        <x:v>2</x:v>
      </x:c>
      <x:c r="L2253" t="str">
        <x:v>L25-S09-C2</x:v>
      </x:c>
      <x:c r="M2253" t="n">
        <x:v>0</x:v>
      </x:c>
      <x:c r="N2253" t="str">
        <x:v>DerivedFromCount</x:v>
      </x:c>
      <x:c r="O2253" t="str">
        <x:v>PLC-PRD-JAR-720-L25</x:v>
      </x:c>
      <x:c r="P2253" t="str">
        <x:v>OK</x:v>
      </x:c>
      <x:c r="Q2253" t="str">
        <x:v>OK</x:v>
      </x:c>
      <x:c r="R2253" t="str">
        <x:v>OK</x:v>
      </x:c>
      <x:c r="S2253" t="str">
        <x:v>OK</x:v>
      </x:c>
      <x:c r="T2253" t="n">
        <x:v>16</x:v>
      </x:c>
      <x:c r="U2253" t="str">
        <x:v>OK</x:v>
      </x:c>
      <x:c r="V2253" t="str">
        <x:v>OK</x:v>
      </x:c>
      <x:c r="W2253" t="str">
        <x:v>LOAD</x:v>
      </x:c>
      <x:c r="X2253" t="str">
        <x:v>02_Supervisor_Log(4).xlsx</x:v>
      </x:c>
      <x:c r="Y2253" t="str">
        <x:v>ENH-20260830-01</x:v>
      </x:c>
      <x:c r="Z2253" t="str">
        <x:v>Active</x:v>
      </x:c>
      <x:c r="AA2253"/>
      <x:c r="AB2253"/>
      <x:c r="AC2253"/>
      <x:c r="AD2253"/>
    </x:row>
    <x:row r="2254">
      <x:c r="A2254" t="str">
        <x:v>PCC-PE-KG01-L25-20251020-PM-ORD-2025-00161-S09-C3</x:v>
      </x:c>
      <x:c r="B2254" t="str">
        <x:v>PC-PE-KG01-L25-20251020-PM-ORD-2025-00161-S09</x:v>
      </x:c>
      <x:c r="C2254" t="str">
        <x:v>PE-KG01-L25-20251020-PM-ORD-2025-00161</x:v>
      </x:c>
      <x:c r="D2254" t="str">
        <x:v>KG01</x:v>
      </x:c>
      <x:c r="E2254" s="62" t="n">
        <x:v>45950</x:v>
      </x:c>
      <x:c r="F2254" t="str">
        <x:v>PM</x:v>
      </x:c>
      <x:c r="G2254" t="str">
        <x:v>A</x:v>
      </x:c>
      <x:c r="H2254" t="n">
        <x:v>25</x:v>
      </x:c>
      <x:c r="I2254" t="str">
        <x:v>ORD-2025-00161</x:v>
      </x:c>
      <x:c r="J2254" t="n">
        <x:v>9</x:v>
      </x:c>
      <x:c r="K2254" t="n">
        <x:v>3</x:v>
      </x:c>
      <x:c r="L2254" t="str">
        <x:v>L25-S09-C3</x:v>
      </x:c>
      <x:c r="M2254" t="n">
        <x:v>0</x:v>
      </x:c>
      <x:c r="N2254" t="str">
        <x:v>DerivedFromCount</x:v>
      </x:c>
      <x:c r="O2254" t="str">
        <x:v>PLC-PRD-JAR-720-L25</x:v>
      </x:c>
      <x:c r="P2254" t="str">
        <x:v>OK</x:v>
      </x:c>
      <x:c r="Q2254" t="str">
        <x:v>OK</x:v>
      </x:c>
      <x:c r="R2254" t="str">
        <x:v>OK</x:v>
      </x:c>
      <x:c r="S2254" t="str">
        <x:v>OK</x:v>
      </x:c>
      <x:c r="T2254" t="n">
        <x:v>16</x:v>
      </x:c>
      <x:c r="U2254" t="str">
        <x:v>OK</x:v>
      </x:c>
      <x:c r="V2254" t="str">
        <x:v>OK</x:v>
      </x:c>
      <x:c r="W2254" t="str">
        <x:v>LOAD</x:v>
      </x:c>
      <x:c r="X2254" t="str">
        <x:v>02_Supervisor_Log(4).xlsx</x:v>
      </x:c>
      <x:c r="Y2254" t="str">
        <x:v>ENH-20260830-01</x:v>
      </x:c>
      <x:c r="Z2254" t="str">
        <x:v>Active</x:v>
      </x:c>
      <x:c r="AA2254"/>
      <x:c r="AB2254"/>
      <x:c r="AC2254"/>
      <x:c r="AD2254"/>
    </x:row>
    <x:row r="2255">
      <x:c r="A2255" t="str">
        <x:v>PCC-PE-KG01-L25-20251020-PM-ORD-2025-00161-S10-C1</x:v>
      </x:c>
      <x:c r="B2255" t="str">
        <x:v>PC-PE-KG01-L25-20251020-PM-ORD-2025-00161-S10</x:v>
      </x:c>
      <x:c r="C2255" t="str">
        <x:v>PE-KG01-L25-20251020-PM-ORD-2025-00161</x:v>
      </x:c>
      <x:c r="D2255" t="str">
        <x:v>KG01</x:v>
      </x:c>
      <x:c r="E2255" s="62" t="n">
        <x:v>45950</x:v>
      </x:c>
      <x:c r="F2255" t="str">
        <x:v>PM</x:v>
      </x:c>
      <x:c r="G2255" t="str">
        <x:v>A</x:v>
      </x:c>
      <x:c r="H2255" t="n">
        <x:v>25</x:v>
      </x:c>
      <x:c r="I2255" t="str">
        <x:v>ORD-2025-00161</x:v>
      </x:c>
      <x:c r="J2255" t="n">
        <x:v>10</x:v>
      </x:c>
      <x:c r="K2255" t="n">
        <x:v>1</x:v>
      </x:c>
      <x:c r="L2255" t="str">
        <x:v>L25-S10-C1</x:v>
      </x:c>
      <x:c r="M2255" t="n">
        <x:v>0</x:v>
      </x:c>
      <x:c r="N2255" t="str">
        <x:v>DerivedFromCount</x:v>
      </x:c>
      <x:c r="O2255" t="str">
        <x:v>PLC-PRD-JAR-720-L25</x:v>
      </x:c>
      <x:c r="P2255" t="str">
        <x:v>OK</x:v>
      </x:c>
      <x:c r="Q2255" t="str">
        <x:v>OK</x:v>
      </x:c>
      <x:c r="R2255" t="str">
        <x:v>OK</x:v>
      </x:c>
      <x:c r="S2255" t="str">
        <x:v>OK</x:v>
      </x:c>
      <x:c r="T2255" t="n">
        <x:v>16</x:v>
      </x:c>
      <x:c r="U2255" t="str">
        <x:v>OK</x:v>
      </x:c>
      <x:c r="V2255" t="str">
        <x:v>OK</x:v>
      </x:c>
      <x:c r="W2255" t="str">
        <x:v>LOAD</x:v>
      </x:c>
      <x:c r="X2255" t="str">
        <x:v>02_Supervisor_Log(4).xlsx</x:v>
      </x:c>
      <x:c r="Y2255" t="str">
        <x:v>ENH-20260830-01</x:v>
      </x:c>
      <x:c r="Z2255" t="str">
        <x:v>Active</x:v>
      </x:c>
      <x:c r="AA2255"/>
      <x:c r="AB2255"/>
      <x:c r="AC2255"/>
      <x:c r="AD2255"/>
    </x:row>
    <x:row r="2256">
      <x:c r="A2256" t="str">
        <x:v>PCC-PE-KG01-L25-20251020-PM-ORD-2025-00161-S10-C2</x:v>
      </x:c>
      <x:c r="B2256" t="str">
        <x:v>PC-PE-KG01-L25-20251020-PM-ORD-2025-00161-S10</x:v>
      </x:c>
      <x:c r="C2256" t="str">
        <x:v>PE-KG01-L25-20251020-PM-ORD-2025-00161</x:v>
      </x:c>
      <x:c r="D2256" t="str">
        <x:v>KG01</x:v>
      </x:c>
      <x:c r="E2256" s="62" t="n">
        <x:v>45950</x:v>
      </x:c>
      <x:c r="F2256" t="str">
        <x:v>PM</x:v>
      </x:c>
      <x:c r="G2256" t="str">
        <x:v>A</x:v>
      </x:c>
      <x:c r="H2256" t="n">
        <x:v>25</x:v>
      </x:c>
      <x:c r="I2256" t="str">
        <x:v>ORD-2025-00161</x:v>
      </x:c>
      <x:c r="J2256" t="n">
        <x:v>10</x:v>
      </x:c>
      <x:c r="K2256" t="n">
        <x:v>2</x:v>
      </x:c>
      <x:c r="L2256" t="str">
        <x:v>L25-S10-C2</x:v>
      </x:c>
      <x:c r="M2256" t="n">
        <x:v>0</x:v>
      </x:c>
      <x:c r="N2256" t="str">
        <x:v>DerivedFromCount</x:v>
      </x:c>
      <x:c r="O2256" t="str">
        <x:v>PLC-PRD-JAR-720-L25</x:v>
      </x:c>
      <x:c r="P2256" t="str">
        <x:v>OK</x:v>
      </x:c>
      <x:c r="Q2256" t="str">
        <x:v>OK</x:v>
      </x:c>
      <x:c r="R2256" t="str">
        <x:v>OK</x:v>
      </x:c>
      <x:c r="S2256" t="str">
        <x:v>OK</x:v>
      </x:c>
      <x:c r="T2256" t="n">
        <x:v>16</x:v>
      </x:c>
      <x:c r="U2256" t="str">
        <x:v>OK</x:v>
      </x:c>
      <x:c r="V2256" t="str">
        <x:v>OK</x:v>
      </x:c>
      <x:c r="W2256" t="str">
        <x:v>LOAD</x:v>
      </x:c>
      <x:c r="X2256" t="str">
        <x:v>02_Supervisor_Log(4).xlsx</x:v>
      </x:c>
      <x:c r="Y2256" t="str">
        <x:v>ENH-20260830-01</x:v>
      </x:c>
      <x:c r="Z2256" t="str">
        <x:v>Active</x:v>
      </x:c>
      <x:c r="AA2256"/>
      <x:c r="AB2256"/>
      <x:c r="AC2256"/>
      <x:c r="AD2256"/>
    </x:row>
    <x:row r="2257">
      <x:c r="A2257" t="str">
        <x:v>PCC-PE-KG01-L25-20251020-PM-ORD-2025-00161-S10-C3</x:v>
      </x:c>
      <x:c r="B2257" t="str">
        <x:v>PC-PE-KG01-L25-20251020-PM-ORD-2025-00161-S10</x:v>
      </x:c>
      <x:c r="C2257" t="str">
        <x:v>PE-KG01-L25-20251020-PM-ORD-2025-00161</x:v>
      </x:c>
      <x:c r="D2257" t="str">
        <x:v>KG01</x:v>
      </x:c>
      <x:c r="E2257" s="62" t="n">
        <x:v>45950</x:v>
      </x:c>
      <x:c r="F2257" t="str">
        <x:v>PM</x:v>
      </x:c>
      <x:c r="G2257" t="str">
        <x:v>A</x:v>
      </x:c>
      <x:c r="H2257" t="n">
        <x:v>25</x:v>
      </x:c>
      <x:c r="I2257" t="str">
        <x:v>ORD-2025-00161</x:v>
      </x:c>
      <x:c r="J2257" t="n">
        <x:v>10</x:v>
      </x:c>
      <x:c r="K2257" t="n">
        <x:v>3</x:v>
      </x:c>
      <x:c r="L2257" t="str">
        <x:v>L25-S10-C3</x:v>
      </x:c>
      <x:c r="M2257" t="n">
        <x:v>0</x:v>
      </x:c>
      <x:c r="N2257" t="str">
        <x:v>DerivedFromCount</x:v>
      </x:c>
      <x:c r="O2257" t="str">
        <x:v>PLC-PRD-JAR-720-L25</x:v>
      </x:c>
      <x:c r="P2257" t="str">
        <x:v>OK</x:v>
      </x:c>
      <x:c r="Q2257" t="str">
        <x:v>OK</x:v>
      </x:c>
      <x:c r="R2257" t="str">
        <x:v>OK</x:v>
      </x:c>
      <x:c r="S2257" t="str">
        <x:v>OK</x:v>
      </x:c>
      <x:c r="T2257" t="n">
        <x:v>16</x:v>
      </x:c>
      <x:c r="U2257" t="str">
        <x:v>OK</x:v>
      </x:c>
      <x:c r="V2257" t="str">
        <x:v>OK</x:v>
      </x:c>
      <x:c r="W2257" t="str">
        <x:v>LOAD</x:v>
      </x:c>
      <x:c r="X2257" t="str">
        <x:v>02_Supervisor_Log(4).xlsx</x:v>
      </x:c>
      <x:c r="Y2257" t="str">
        <x:v>ENH-20260830-01</x:v>
      </x:c>
      <x:c r="Z2257" t="str">
        <x:v>Active</x:v>
      </x:c>
      <x:c r="AA2257"/>
      <x:c r="AB2257"/>
      <x:c r="AC2257"/>
      <x:c r="AD2257"/>
    </x:row>
    <x:row r="2258">
      <x:c r="A2258" t="str">
        <x:v>PCC-PE-KG01-L25-20251020-PM-ORD-2025-00161-S11-C1</x:v>
      </x:c>
      <x:c r="B2258" t="str">
        <x:v>PC-PE-KG01-L25-20251020-PM-ORD-2025-00161-S11</x:v>
      </x:c>
      <x:c r="C2258" t="str">
        <x:v>PE-KG01-L25-20251020-PM-ORD-2025-00161</x:v>
      </x:c>
      <x:c r="D2258" t="str">
        <x:v>KG01</x:v>
      </x:c>
      <x:c r="E2258" s="62" t="n">
        <x:v>45950</x:v>
      </x:c>
      <x:c r="F2258" t="str">
        <x:v>PM</x:v>
      </x:c>
      <x:c r="G2258" t="str">
        <x:v>A</x:v>
      </x:c>
      <x:c r="H2258" t="n">
        <x:v>25</x:v>
      </x:c>
      <x:c r="I2258" t="str">
        <x:v>ORD-2025-00161</x:v>
      </x:c>
      <x:c r="J2258" t="n">
        <x:v>11</x:v>
      </x:c>
      <x:c r="K2258" t="n">
        <x:v>1</x:v>
      </x:c>
      <x:c r="L2258" t="str">
        <x:v>L25-S11-C1</x:v>
      </x:c>
      <x:c r="M2258" t="n">
        <x:v>0</x:v>
      </x:c>
      <x:c r="N2258" t="str">
        <x:v>DerivedFromCount</x:v>
      </x:c>
      <x:c r="O2258" t="str">
        <x:v>PLC-PRD-JAR-720-L25</x:v>
      </x:c>
      <x:c r="P2258" t="str">
        <x:v>OK</x:v>
      </x:c>
      <x:c r="Q2258" t="str">
        <x:v>OK</x:v>
      </x:c>
      <x:c r="R2258" t="str">
        <x:v>OK</x:v>
      </x:c>
      <x:c r="S2258" t="str">
        <x:v>OK</x:v>
      </x:c>
      <x:c r="T2258" t="n">
        <x:v>16</x:v>
      </x:c>
      <x:c r="U2258" t="str">
        <x:v>OK</x:v>
      </x:c>
      <x:c r="V2258" t="str">
        <x:v>OK</x:v>
      </x:c>
      <x:c r="W2258" t="str">
        <x:v>LOAD</x:v>
      </x:c>
      <x:c r="X2258" t="str">
        <x:v>02_Supervisor_Log(4).xlsx</x:v>
      </x:c>
      <x:c r="Y2258" t="str">
        <x:v>ENH-20260830-01</x:v>
      </x:c>
      <x:c r="Z2258" t="str">
        <x:v>Active</x:v>
      </x:c>
      <x:c r="AA2258"/>
      <x:c r="AB2258"/>
      <x:c r="AC2258"/>
      <x:c r="AD2258"/>
    </x:row>
    <x:row r="2259">
      <x:c r="A2259" t="str">
        <x:v>PCC-PE-KG01-L25-20251020-PM-ORD-2025-00161-S11-C2</x:v>
      </x:c>
      <x:c r="B2259" t="str">
        <x:v>PC-PE-KG01-L25-20251020-PM-ORD-2025-00161-S11</x:v>
      </x:c>
      <x:c r="C2259" t="str">
        <x:v>PE-KG01-L25-20251020-PM-ORD-2025-00161</x:v>
      </x:c>
      <x:c r="D2259" t="str">
        <x:v>KG01</x:v>
      </x:c>
      <x:c r="E2259" s="62" t="n">
        <x:v>45950</x:v>
      </x:c>
      <x:c r="F2259" t="str">
        <x:v>PM</x:v>
      </x:c>
      <x:c r="G2259" t="str">
        <x:v>A</x:v>
      </x:c>
      <x:c r="H2259" t="n">
        <x:v>25</x:v>
      </x:c>
      <x:c r="I2259" t="str">
        <x:v>ORD-2025-00161</x:v>
      </x:c>
      <x:c r="J2259" t="n">
        <x:v>11</x:v>
      </x:c>
      <x:c r="K2259" t="n">
        <x:v>2</x:v>
      </x:c>
      <x:c r="L2259" t="str">
        <x:v>L25-S11-C2</x:v>
      </x:c>
      <x:c r="M2259" t="n">
        <x:v>0</x:v>
      </x:c>
      <x:c r="N2259" t="str">
        <x:v>DerivedFromCount</x:v>
      </x:c>
      <x:c r="O2259" t="str">
        <x:v>PLC-PRD-JAR-720-L25</x:v>
      </x:c>
      <x:c r="P2259" t="str">
        <x:v>OK</x:v>
      </x:c>
      <x:c r="Q2259" t="str">
        <x:v>OK</x:v>
      </x:c>
      <x:c r="R2259" t="str">
        <x:v>OK</x:v>
      </x:c>
      <x:c r="S2259" t="str">
        <x:v>OK</x:v>
      </x:c>
      <x:c r="T2259" t="n">
        <x:v>16</x:v>
      </x:c>
      <x:c r="U2259" t="str">
        <x:v>OK</x:v>
      </x:c>
      <x:c r="V2259" t="str">
        <x:v>OK</x:v>
      </x:c>
      <x:c r="W2259" t="str">
        <x:v>LOAD</x:v>
      </x:c>
      <x:c r="X2259" t="str">
        <x:v>02_Supervisor_Log(4).xlsx</x:v>
      </x:c>
      <x:c r="Y2259" t="str">
        <x:v>ENH-20260830-01</x:v>
      </x:c>
      <x:c r="Z2259" t="str">
        <x:v>Active</x:v>
      </x:c>
      <x:c r="AA2259"/>
      <x:c r="AB2259"/>
      <x:c r="AC2259"/>
      <x:c r="AD2259"/>
    </x:row>
    <x:row r="2260">
      <x:c r="A2260" t="str">
        <x:v>PCC-PE-KG01-L25-20251020-PM-ORD-2025-00161-S11-C3</x:v>
      </x:c>
      <x:c r="B2260" t="str">
        <x:v>PC-PE-KG01-L25-20251020-PM-ORD-2025-00161-S11</x:v>
      </x:c>
      <x:c r="C2260" t="str">
        <x:v>PE-KG01-L25-20251020-PM-ORD-2025-00161</x:v>
      </x:c>
      <x:c r="D2260" t="str">
        <x:v>KG01</x:v>
      </x:c>
      <x:c r="E2260" s="62" t="n">
        <x:v>45950</x:v>
      </x:c>
      <x:c r="F2260" t="str">
        <x:v>PM</x:v>
      </x:c>
      <x:c r="G2260" t="str">
        <x:v>A</x:v>
      </x:c>
      <x:c r="H2260" t="n">
        <x:v>25</x:v>
      </x:c>
      <x:c r="I2260" t="str">
        <x:v>ORD-2025-00161</x:v>
      </x:c>
      <x:c r="J2260" t="n">
        <x:v>11</x:v>
      </x:c>
      <x:c r="K2260" t="n">
        <x:v>3</x:v>
      </x:c>
      <x:c r="L2260" t="str">
        <x:v>L25-S11-C3</x:v>
      </x:c>
      <x:c r="M2260" t="n">
        <x:v>0</x:v>
      </x:c>
      <x:c r="N2260" t="str">
        <x:v>DerivedFromCount</x:v>
      </x:c>
      <x:c r="O2260" t="str">
        <x:v>PLC-PRD-JAR-720-L25</x:v>
      </x:c>
      <x:c r="P2260" t="str">
        <x:v>OK</x:v>
      </x:c>
      <x:c r="Q2260" t="str">
        <x:v>OK</x:v>
      </x:c>
      <x:c r="R2260" t="str">
        <x:v>OK</x:v>
      </x:c>
      <x:c r="S2260" t="str">
        <x:v>OK</x:v>
      </x:c>
      <x:c r="T2260" t="n">
        <x:v>16</x:v>
      </x:c>
      <x:c r="U2260" t="str">
        <x:v>OK</x:v>
      </x:c>
      <x:c r="V2260" t="str">
        <x:v>OK</x:v>
      </x:c>
      <x:c r="W2260" t="str">
        <x:v>LOAD</x:v>
      </x:c>
      <x:c r="X2260" t="str">
        <x:v>02_Supervisor_Log(4).xlsx</x:v>
      </x:c>
      <x:c r="Y2260" t="str">
        <x:v>ENH-20260830-01</x:v>
      </x:c>
      <x:c r="Z2260" t="str">
        <x:v>Active</x:v>
      </x:c>
      <x:c r="AA2260"/>
      <x:c r="AB2260"/>
      <x:c r="AC2260"/>
      <x:c r="AD2260"/>
    </x:row>
    <x:row r="2261">
      <x:c r="A2261" t="str">
        <x:v>PCC-PE-KG01-L25-20251020-PM-ORD-2025-00161-S12-C1</x:v>
      </x:c>
      <x:c r="B2261" t="str">
        <x:v>PC-PE-KG01-L25-20251020-PM-ORD-2025-00161-S12</x:v>
      </x:c>
      <x:c r="C2261" t="str">
        <x:v>PE-KG01-L25-20251020-PM-ORD-2025-00161</x:v>
      </x:c>
      <x:c r="D2261" t="str">
        <x:v>KG01</x:v>
      </x:c>
      <x:c r="E2261" s="62" t="n">
        <x:v>45950</x:v>
      </x:c>
      <x:c r="F2261" t="str">
        <x:v>PM</x:v>
      </x:c>
      <x:c r="G2261" t="str">
        <x:v>A</x:v>
      </x:c>
      <x:c r="H2261" t="n">
        <x:v>25</x:v>
      </x:c>
      <x:c r="I2261" t="str">
        <x:v>ORD-2025-00161</x:v>
      </x:c>
      <x:c r="J2261" t="n">
        <x:v>12</x:v>
      </x:c>
      <x:c r="K2261" t="n">
        <x:v>1</x:v>
      </x:c>
      <x:c r="L2261" t="str">
        <x:v>L25-S12-C1</x:v>
      </x:c>
      <x:c r="M2261" t="n">
        <x:v>0</x:v>
      </x:c>
      <x:c r="N2261" t="str">
        <x:v>DerivedFromCount</x:v>
      </x:c>
      <x:c r="O2261" t="str">
        <x:v>PLC-PRD-JAR-720-L25</x:v>
      </x:c>
      <x:c r="P2261" t="str">
        <x:v>OK</x:v>
      </x:c>
      <x:c r="Q2261" t="str">
        <x:v>OK</x:v>
      </x:c>
      <x:c r="R2261" t="str">
        <x:v>OK</x:v>
      </x:c>
      <x:c r="S2261" t="str">
        <x:v>OK</x:v>
      </x:c>
      <x:c r="T2261" t="n">
        <x:v>16</x:v>
      </x:c>
      <x:c r="U2261" t="str">
        <x:v>OK</x:v>
      </x:c>
      <x:c r="V2261" t="str">
        <x:v>OK</x:v>
      </x:c>
      <x:c r="W2261" t="str">
        <x:v>LOAD</x:v>
      </x:c>
      <x:c r="X2261" t="str">
        <x:v>02_Supervisor_Log(4).xlsx</x:v>
      </x:c>
      <x:c r="Y2261" t="str">
        <x:v>ENH-20260830-01</x:v>
      </x:c>
      <x:c r="Z2261" t="str">
        <x:v>Active</x:v>
      </x:c>
      <x:c r="AA2261"/>
      <x:c r="AB2261"/>
      <x:c r="AC2261"/>
      <x:c r="AD2261"/>
    </x:row>
    <x:row r="2262">
      <x:c r="A2262" t="str">
        <x:v>PCC-PE-KG01-L25-20251020-PM-ORD-2025-00161-S12-C2</x:v>
      </x:c>
      <x:c r="B2262" t="str">
        <x:v>PC-PE-KG01-L25-20251020-PM-ORD-2025-00161-S12</x:v>
      </x:c>
      <x:c r="C2262" t="str">
        <x:v>PE-KG01-L25-20251020-PM-ORD-2025-00161</x:v>
      </x:c>
      <x:c r="D2262" t="str">
        <x:v>KG01</x:v>
      </x:c>
      <x:c r="E2262" s="62" t="n">
        <x:v>45950</x:v>
      </x:c>
      <x:c r="F2262" t="str">
        <x:v>PM</x:v>
      </x:c>
      <x:c r="G2262" t="str">
        <x:v>A</x:v>
      </x:c>
      <x:c r="H2262" t="n">
        <x:v>25</x:v>
      </x:c>
      <x:c r="I2262" t="str">
        <x:v>ORD-2025-00161</x:v>
      </x:c>
      <x:c r="J2262" t="n">
        <x:v>12</x:v>
      </x:c>
      <x:c r="K2262" t="n">
        <x:v>2</x:v>
      </x:c>
      <x:c r="L2262" t="str">
        <x:v>L25-S12-C2</x:v>
      </x:c>
      <x:c r="M2262" t="n">
        <x:v>0</x:v>
      </x:c>
      <x:c r="N2262" t="str">
        <x:v>DerivedFromCount</x:v>
      </x:c>
      <x:c r="O2262" t="str">
        <x:v>PLC-PRD-JAR-720-L25</x:v>
      </x:c>
      <x:c r="P2262" t="str">
        <x:v>OK</x:v>
      </x:c>
      <x:c r="Q2262" t="str">
        <x:v>OK</x:v>
      </x:c>
      <x:c r="R2262" t="str">
        <x:v>OK</x:v>
      </x:c>
      <x:c r="S2262" t="str">
        <x:v>OK</x:v>
      </x:c>
      <x:c r="T2262" t="n">
        <x:v>16</x:v>
      </x:c>
      <x:c r="U2262" t="str">
        <x:v>OK</x:v>
      </x:c>
      <x:c r="V2262" t="str">
        <x:v>OK</x:v>
      </x:c>
      <x:c r="W2262" t="str">
        <x:v>LOAD</x:v>
      </x:c>
      <x:c r="X2262" t="str">
        <x:v>02_Supervisor_Log(4).xlsx</x:v>
      </x:c>
      <x:c r="Y2262" t="str">
        <x:v>ENH-20260830-01</x:v>
      </x:c>
      <x:c r="Z2262" t="str">
        <x:v>Active</x:v>
      </x:c>
      <x:c r="AA2262"/>
      <x:c r="AB2262"/>
      <x:c r="AC2262"/>
      <x:c r="AD2262"/>
    </x:row>
    <x:row r="2263">
      <x:c r="A2263" t="str">
        <x:v>PCC-PE-KG01-L25-20251020-PM-ORD-2025-00161-S12-C3</x:v>
      </x:c>
      <x:c r="B2263" t="str">
        <x:v>PC-PE-KG01-L25-20251020-PM-ORD-2025-00161-S12</x:v>
      </x:c>
      <x:c r="C2263" t="str">
        <x:v>PE-KG01-L25-20251020-PM-ORD-2025-00161</x:v>
      </x:c>
      <x:c r="D2263" t="str">
        <x:v>KG01</x:v>
      </x:c>
      <x:c r="E2263" s="62" t="n">
        <x:v>45950</x:v>
      </x:c>
      <x:c r="F2263" t="str">
        <x:v>PM</x:v>
      </x:c>
      <x:c r="G2263" t="str">
        <x:v>A</x:v>
      </x:c>
      <x:c r="H2263" t="n">
        <x:v>25</x:v>
      </x:c>
      <x:c r="I2263" t="str">
        <x:v>ORD-2025-00161</x:v>
      </x:c>
      <x:c r="J2263" t="n">
        <x:v>12</x:v>
      </x:c>
      <x:c r="K2263" t="n">
        <x:v>3</x:v>
      </x:c>
      <x:c r="L2263" t="str">
        <x:v>L25-S12-C3</x:v>
      </x:c>
      <x:c r="M2263" t="n">
        <x:v>0</x:v>
      </x:c>
      <x:c r="N2263" t="str">
        <x:v>DerivedFromCount</x:v>
      </x:c>
      <x:c r="O2263" t="str">
        <x:v>PLC-PRD-JAR-720-L25</x:v>
      </x:c>
      <x:c r="P2263" t="str">
        <x:v>OK</x:v>
      </x:c>
      <x:c r="Q2263" t="str">
        <x:v>OK</x:v>
      </x:c>
      <x:c r="R2263" t="str">
        <x:v>OK</x:v>
      </x:c>
      <x:c r="S2263" t="str">
        <x:v>OK</x:v>
      </x:c>
      <x:c r="T2263" t="n">
        <x:v>16</x:v>
      </x:c>
      <x:c r="U2263" t="str">
        <x:v>OK</x:v>
      </x:c>
      <x:c r="V2263" t="str">
        <x:v>OK</x:v>
      </x:c>
      <x:c r="W2263" t="str">
        <x:v>LOAD</x:v>
      </x:c>
      <x:c r="X2263" t="str">
        <x:v>02_Supervisor_Log(4).xlsx</x:v>
      </x:c>
      <x:c r="Y2263" t="str">
        <x:v>ENH-20260830-01</x:v>
      </x:c>
      <x:c r="Z2263" t="str">
        <x:v>Active</x:v>
      </x:c>
      <x:c r="AA2263"/>
      <x:c r="AB2263"/>
      <x:c r="AC2263"/>
      <x:c r="AD2263"/>
    </x:row>
    <x:row r="2264">
      <x:c r="A2264" t="str">
        <x:v>PCC-PE-KG01-L25-20251020-PM-ORD-2025-00161-S13-C1</x:v>
      </x:c>
      <x:c r="B2264" t="str">
        <x:v>PC-PE-KG01-L25-20251020-PM-ORD-2025-00161-S13</x:v>
      </x:c>
      <x:c r="C2264" t="str">
        <x:v>PE-KG01-L25-20251020-PM-ORD-2025-00161</x:v>
      </x:c>
      <x:c r="D2264" t="str">
        <x:v>KG01</x:v>
      </x:c>
      <x:c r="E2264" s="62" t="n">
        <x:v>45950</x:v>
      </x:c>
      <x:c r="F2264" t="str">
        <x:v>PM</x:v>
      </x:c>
      <x:c r="G2264" t="str">
        <x:v>A</x:v>
      </x:c>
      <x:c r="H2264" t="n">
        <x:v>25</x:v>
      </x:c>
      <x:c r="I2264" t="str">
        <x:v>ORD-2025-00161</x:v>
      </x:c>
      <x:c r="J2264" t="n">
        <x:v>13</x:v>
      </x:c>
      <x:c r="K2264" t="n">
        <x:v>1</x:v>
      </x:c>
      <x:c r="L2264" t="str">
        <x:v>L25-S13-C1</x:v>
      </x:c>
      <x:c r="M2264" t="n">
        <x:v>0</x:v>
      </x:c>
      <x:c r="N2264" t="str">
        <x:v>DerivedFromCount</x:v>
      </x:c>
      <x:c r="O2264" t="str">
        <x:v>PLC-PRD-JAR-720-L25</x:v>
      </x:c>
      <x:c r="P2264" t="str">
        <x:v>OK</x:v>
      </x:c>
      <x:c r="Q2264" t="str">
        <x:v>OK</x:v>
      </x:c>
      <x:c r="R2264" t="str">
        <x:v>OK</x:v>
      </x:c>
      <x:c r="S2264" t="str">
        <x:v>OK</x:v>
      </x:c>
      <x:c r="T2264" t="n">
        <x:v>16</x:v>
      </x:c>
      <x:c r="U2264" t="str">
        <x:v>OK</x:v>
      </x:c>
      <x:c r="V2264" t="str">
        <x:v>OK</x:v>
      </x:c>
      <x:c r="W2264" t="str">
        <x:v>LOAD</x:v>
      </x:c>
      <x:c r="X2264" t="str">
        <x:v>02_Supervisor_Log(4).xlsx</x:v>
      </x:c>
      <x:c r="Y2264" t="str">
        <x:v>ENH-20260830-01</x:v>
      </x:c>
      <x:c r="Z2264" t="str">
        <x:v>Active</x:v>
      </x:c>
      <x:c r="AA2264"/>
      <x:c r="AB2264"/>
      <x:c r="AC2264"/>
      <x:c r="AD2264"/>
    </x:row>
    <x:row r="2265">
      <x:c r="A2265" t="str">
        <x:v>PCC-PE-KG01-L25-20251020-PM-ORD-2025-00161-S13-C2</x:v>
      </x:c>
      <x:c r="B2265" t="str">
        <x:v>PC-PE-KG01-L25-20251020-PM-ORD-2025-00161-S13</x:v>
      </x:c>
      <x:c r="C2265" t="str">
        <x:v>PE-KG01-L25-20251020-PM-ORD-2025-00161</x:v>
      </x:c>
      <x:c r="D2265" t="str">
        <x:v>KG01</x:v>
      </x:c>
      <x:c r="E2265" s="62" t="n">
        <x:v>45950</x:v>
      </x:c>
      <x:c r="F2265" t="str">
        <x:v>PM</x:v>
      </x:c>
      <x:c r="G2265" t="str">
        <x:v>A</x:v>
      </x:c>
      <x:c r="H2265" t="n">
        <x:v>25</x:v>
      </x:c>
      <x:c r="I2265" t="str">
        <x:v>ORD-2025-00161</x:v>
      </x:c>
      <x:c r="J2265" t="n">
        <x:v>13</x:v>
      </x:c>
      <x:c r="K2265" t="n">
        <x:v>2</x:v>
      </x:c>
      <x:c r="L2265" t="str">
        <x:v>L25-S13-C2</x:v>
      </x:c>
      <x:c r="M2265" t="n">
        <x:v>0</x:v>
      </x:c>
      <x:c r="N2265" t="str">
        <x:v>DerivedFromCount</x:v>
      </x:c>
      <x:c r="O2265" t="str">
        <x:v>PLC-PRD-JAR-720-L25</x:v>
      </x:c>
      <x:c r="P2265" t="str">
        <x:v>OK</x:v>
      </x:c>
      <x:c r="Q2265" t="str">
        <x:v>OK</x:v>
      </x:c>
      <x:c r="R2265" t="str">
        <x:v>OK</x:v>
      </x:c>
      <x:c r="S2265" t="str">
        <x:v>OK</x:v>
      </x:c>
      <x:c r="T2265" t="n">
        <x:v>16</x:v>
      </x:c>
      <x:c r="U2265" t="str">
        <x:v>OK</x:v>
      </x:c>
      <x:c r="V2265" t="str">
        <x:v>OK</x:v>
      </x:c>
      <x:c r="W2265" t="str">
        <x:v>LOAD</x:v>
      </x:c>
      <x:c r="X2265" t="str">
        <x:v>02_Supervisor_Log(4).xlsx</x:v>
      </x:c>
      <x:c r="Y2265" t="str">
        <x:v>ENH-20260830-01</x:v>
      </x:c>
      <x:c r="Z2265" t="str">
        <x:v>Active</x:v>
      </x:c>
      <x:c r="AA2265"/>
      <x:c r="AB2265"/>
      <x:c r="AC2265"/>
      <x:c r="AD2265"/>
    </x:row>
    <x:row r="2266">
      <x:c r="A2266" t="str">
        <x:v>PCC-PE-KG01-L25-20251020-PM-ORD-2025-00161-S13-C3</x:v>
      </x:c>
      <x:c r="B2266" t="str">
        <x:v>PC-PE-KG01-L25-20251020-PM-ORD-2025-00161-S13</x:v>
      </x:c>
      <x:c r="C2266" t="str">
        <x:v>PE-KG01-L25-20251020-PM-ORD-2025-00161</x:v>
      </x:c>
      <x:c r="D2266" t="str">
        <x:v>KG01</x:v>
      </x:c>
      <x:c r="E2266" s="62" t="n">
        <x:v>45950</x:v>
      </x:c>
      <x:c r="F2266" t="str">
        <x:v>PM</x:v>
      </x:c>
      <x:c r="G2266" t="str">
        <x:v>A</x:v>
      </x:c>
      <x:c r="H2266" t="n">
        <x:v>25</x:v>
      </x:c>
      <x:c r="I2266" t="str">
        <x:v>ORD-2025-00161</x:v>
      </x:c>
      <x:c r="J2266" t="n">
        <x:v>13</x:v>
      </x:c>
      <x:c r="K2266" t="n">
        <x:v>3</x:v>
      </x:c>
      <x:c r="L2266" t="str">
        <x:v>L25-S13-C3</x:v>
      </x:c>
      <x:c r="M2266" t="n">
        <x:v>0</x:v>
      </x:c>
      <x:c r="N2266" t="str">
        <x:v>DerivedFromCount</x:v>
      </x:c>
      <x:c r="O2266" t="str">
        <x:v>PLC-PRD-JAR-720-L25</x:v>
      </x:c>
      <x:c r="P2266" t="str">
        <x:v>OK</x:v>
      </x:c>
      <x:c r="Q2266" t="str">
        <x:v>OK</x:v>
      </x:c>
      <x:c r="R2266" t="str">
        <x:v>OK</x:v>
      </x:c>
      <x:c r="S2266" t="str">
        <x:v>OK</x:v>
      </x:c>
      <x:c r="T2266" t="n">
        <x:v>16</x:v>
      </x:c>
      <x:c r="U2266" t="str">
        <x:v>OK</x:v>
      </x:c>
      <x:c r="V2266" t="str">
        <x:v>OK</x:v>
      </x:c>
      <x:c r="W2266" t="str">
        <x:v>LOAD</x:v>
      </x:c>
      <x:c r="X2266" t="str">
        <x:v>02_Supervisor_Log(4).xlsx</x:v>
      </x:c>
      <x:c r="Y2266" t="str">
        <x:v>ENH-20260830-01</x:v>
      </x:c>
      <x:c r="Z2266" t="str">
        <x:v>Active</x:v>
      </x:c>
      <x:c r="AA2266"/>
      <x:c r="AB2266"/>
      <x:c r="AC2266"/>
      <x:c r="AD2266"/>
    </x:row>
    <x:row r="2267">
      <x:c r="A2267" t="str">
        <x:v>PCC-PE-KG01-L25-20251021-AM-ORD-2025-00161-S01-C1</x:v>
      </x:c>
      <x:c r="B2267" t="str">
        <x:v>PC-PE-KG01-L25-20251021-AM-ORD-2025-00161-S01</x:v>
      </x:c>
      <x:c r="C2267" t="str">
        <x:v>PE-KG01-L25-20251021-AM-ORD-2025-00161</x:v>
      </x:c>
      <x:c r="D2267" t="str">
        <x:v>KG01</x:v>
      </x:c>
      <x:c r="E2267" s="62" t="n">
        <x:v>45951</x:v>
      </x:c>
      <x:c r="F2267" t="str">
        <x:v>AM</x:v>
      </x:c>
      <x:c r="G2267" t="str">
        <x:v>A</x:v>
      </x:c>
      <x:c r="H2267" t="n">
        <x:v>25</x:v>
      </x:c>
      <x:c r="I2267" t="str">
        <x:v>ORD-2025-00161</x:v>
      </x:c>
      <x:c r="J2267" t="n">
        <x:v>1</x:v>
      </x:c>
      <x:c r="K2267" t="n">
        <x:v>1</x:v>
      </x:c>
      <x:c r="L2267" t="str">
        <x:v>L25-S01-C1</x:v>
      </x:c>
      <x:c r="M2267" t="n">
        <x:v>1</x:v>
      </x:c>
      <x:c r="N2267" t="str">
        <x:v>DerivedFromCount</x:v>
      </x:c>
      <x:c r="O2267" t="str">
        <x:v>PLC-PRD-JAR-720-L25</x:v>
      </x:c>
      <x:c r="P2267" t="str">
        <x:v>OK</x:v>
      </x:c>
      <x:c r="Q2267" t="str">
        <x:v>OK</x:v>
      </x:c>
      <x:c r="R2267" t="str">
        <x:v>OK</x:v>
      </x:c>
      <x:c r="S2267" t="str">
        <x:v>OK</x:v>
      </x:c>
      <x:c r="T2267" t="n">
        <x:v>16</x:v>
      </x:c>
      <x:c r="U2267" t="str">
        <x:v>OK</x:v>
      </x:c>
      <x:c r="V2267" t="str">
        <x:v>OK</x:v>
      </x:c>
      <x:c r="W2267" t="str">
        <x:v>LOAD</x:v>
      </x:c>
      <x:c r="X2267" t="str">
        <x:v>02_Supervisor_Log(4).xlsx</x:v>
      </x:c>
      <x:c r="Y2267" t="str">
        <x:v>ENH-20260830-01</x:v>
      </x:c>
      <x:c r="Z2267" t="str">
        <x:v>Active</x:v>
      </x:c>
      <x:c r="AA2267"/>
      <x:c r="AB2267"/>
      <x:c r="AC2267"/>
      <x:c r="AD2267"/>
    </x:row>
    <x:row r="2268">
      <x:c r="A2268" t="str">
        <x:v>PCC-PE-KG01-L25-20251021-AM-ORD-2025-00161-S01-C2</x:v>
      </x:c>
      <x:c r="B2268" t="str">
        <x:v>PC-PE-KG01-L25-20251021-AM-ORD-2025-00161-S01</x:v>
      </x:c>
      <x:c r="C2268" t="str">
        <x:v>PE-KG01-L25-20251021-AM-ORD-2025-00161</x:v>
      </x:c>
      <x:c r="D2268" t="str">
        <x:v>KG01</x:v>
      </x:c>
      <x:c r="E2268" s="62" t="n">
        <x:v>45951</x:v>
      </x:c>
      <x:c r="F2268" t="str">
        <x:v>AM</x:v>
      </x:c>
      <x:c r="G2268" t="str">
        <x:v>A</x:v>
      </x:c>
      <x:c r="H2268" t="n">
        <x:v>25</x:v>
      </x:c>
      <x:c r="I2268" t="str">
        <x:v>ORD-2025-00161</x:v>
      </x:c>
      <x:c r="J2268" t="n">
        <x:v>1</x:v>
      </x:c>
      <x:c r="K2268" t="n">
        <x:v>2</x:v>
      </x:c>
      <x:c r="L2268" t="str">
        <x:v>L25-S01-C2</x:v>
      </x:c>
      <x:c r="M2268" t="n">
        <x:v>1</x:v>
      </x:c>
      <x:c r="N2268" t="str">
        <x:v>DerivedFromCount</x:v>
      </x:c>
      <x:c r="O2268" t="str">
        <x:v>PLC-PRD-JAR-720-L25</x:v>
      </x:c>
      <x:c r="P2268" t="str">
        <x:v>OK</x:v>
      </x:c>
      <x:c r="Q2268" t="str">
        <x:v>OK</x:v>
      </x:c>
      <x:c r="R2268" t="str">
        <x:v>OK</x:v>
      </x:c>
      <x:c r="S2268" t="str">
        <x:v>OK</x:v>
      </x:c>
      <x:c r="T2268" t="n">
        <x:v>16</x:v>
      </x:c>
      <x:c r="U2268" t="str">
        <x:v>OK</x:v>
      </x:c>
      <x:c r="V2268" t="str">
        <x:v>OK</x:v>
      </x:c>
      <x:c r="W2268" t="str">
        <x:v>LOAD</x:v>
      </x:c>
      <x:c r="X2268" t="str">
        <x:v>02_Supervisor_Log(4).xlsx</x:v>
      </x:c>
      <x:c r="Y2268" t="str">
        <x:v>ENH-20260830-01</x:v>
      </x:c>
      <x:c r="Z2268" t="str">
        <x:v>Active</x:v>
      </x:c>
      <x:c r="AA2268"/>
      <x:c r="AB2268"/>
      <x:c r="AC2268"/>
      <x:c r="AD2268"/>
    </x:row>
    <x:row r="2269">
      <x:c r="A2269" t="str">
        <x:v>PCC-PE-KG01-L25-20251021-AM-ORD-2025-00161-S01-C3</x:v>
      </x:c>
      <x:c r="B2269" t="str">
        <x:v>PC-PE-KG01-L25-20251021-AM-ORD-2025-00161-S01</x:v>
      </x:c>
      <x:c r="C2269" t="str">
        <x:v>PE-KG01-L25-20251021-AM-ORD-2025-00161</x:v>
      </x:c>
      <x:c r="D2269" t="str">
        <x:v>KG01</x:v>
      </x:c>
      <x:c r="E2269" s="62" t="n">
        <x:v>45951</x:v>
      </x:c>
      <x:c r="F2269" t="str">
        <x:v>AM</x:v>
      </x:c>
      <x:c r="G2269" t="str">
        <x:v>A</x:v>
      </x:c>
      <x:c r="H2269" t="n">
        <x:v>25</x:v>
      </x:c>
      <x:c r="I2269" t="str">
        <x:v>ORD-2025-00161</x:v>
      </x:c>
      <x:c r="J2269" t="n">
        <x:v>1</x:v>
      </x:c>
      <x:c r="K2269" t="n">
        <x:v>3</x:v>
      </x:c>
      <x:c r="L2269" t="str">
        <x:v>L25-S01-C3</x:v>
      </x:c>
      <x:c r="M2269" t="n">
        <x:v>0</x:v>
      </x:c>
      <x:c r="N2269" t="str">
        <x:v>DerivedFromCount</x:v>
      </x:c>
      <x:c r="O2269" t="str">
        <x:v>PLC-PRD-JAR-720-L25</x:v>
      </x:c>
      <x:c r="P2269" t="str">
        <x:v>OK</x:v>
      </x:c>
      <x:c r="Q2269" t="str">
        <x:v>OK</x:v>
      </x:c>
      <x:c r="R2269" t="str">
        <x:v>OK</x:v>
      </x:c>
      <x:c r="S2269" t="str">
        <x:v>OK</x:v>
      </x:c>
      <x:c r="T2269" t="n">
        <x:v>16</x:v>
      </x:c>
      <x:c r="U2269" t="str">
        <x:v>OK</x:v>
      </x:c>
      <x:c r="V2269" t="str">
        <x:v>OK</x:v>
      </x:c>
      <x:c r="W2269" t="str">
        <x:v>LOAD</x:v>
      </x:c>
      <x:c r="X2269" t="str">
        <x:v>02_Supervisor_Log(4).xlsx</x:v>
      </x:c>
      <x:c r="Y2269" t="str">
        <x:v>ENH-20260830-01</x:v>
      </x:c>
      <x:c r="Z2269" t="str">
        <x:v>Active</x:v>
      </x:c>
      <x:c r="AA2269"/>
      <x:c r="AB2269"/>
      <x:c r="AC2269"/>
      <x:c r="AD2269"/>
    </x:row>
    <x:row r="2270">
      <x:c r="A2270" t="str">
        <x:v>PCC-PE-KG01-L25-20251021-AM-ORD-2025-00161-S02-C1</x:v>
      </x:c>
      <x:c r="B2270" t="str">
        <x:v>PC-PE-KG01-L25-20251021-AM-ORD-2025-00161-S02</x:v>
      </x:c>
      <x:c r="C2270" t="str">
        <x:v>PE-KG01-L25-20251021-AM-ORD-2025-00161</x:v>
      </x:c>
      <x:c r="D2270" t="str">
        <x:v>KG01</x:v>
      </x:c>
      <x:c r="E2270" s="62" t="n">
        <x:v>45951</x:v>
      </x:c>
      <x:c r="F2270" t="str">
        <x:v>AM</x:v>
      </x:c>
      <x:c r="G2270" t="str">
        <x:v>A</x:v>
      </x:c>
      <x:c r="H2270" t="n">
        <x:v>25</x:v>
      </x:c>
      <x:c r="I2270" t="str">
        <x:v>ORD-2025-00161</x:v>
      </x:c>
      <x:c r="J2270" t="n">
        <x:v>2</x:v>
      </x:c>
      <x:c r="K2270" t="n">
        <x:v>1</x:v>
      </x:c>
      <x:c r="L2270" t="str">
        <x:v>L25-S02-C1</x:v>
      </x:c>
      <x:c r="M2270" t="n">
        <x:v>1</x:v>
      </x:c>
      <x:c r="N2270" t="str">
        <x:v>DerivedFromCount</x:v>
      </x:c>
      <x:c r="O2270" t="str">
        <x:v>PLC-PRD-JAR-720-L25</x:v>
      </x:c>
      <x:c r="P2270" t="str">
        <x:v>OK</x:v>
      </x:c>
      <x:c r="Q2270" t="str">
        <x:v>OK</x:v>
      </x:c>
      <x:c r="R2270" t="str">
        <x:v>OK</x:v>
      </x:c>
      <x:c r="S2270" t="str">
        <x:v>OK</x:v>
      </x:c>
      <x:c r="T2270" t="n">
        <x:v>16</x:v>
      </x:c>
      <x:c r="U2270" t="str">
        <x:v>OK</x:v>
      </x:c>
      <x:c r="V2270" t="str">
        <x:v>OK</x:v>
      </x:c>
      <x:c r="W2270" t="str">
        <x:v>LOAD</x:v>
      </x:c>
      <x:c r="X2270" t="str">
        <x:v>02_Supervisor_Log(4).xlsx</x:v>
      </x:c>
      <x:c r="Y2270" t="str">
        <x:v>ENH-20260830-01</x:v>
      </x:c>
      <x:c r="Z2270" t="str">
        <x:v>Active</x:v>
      </x:c>
      <x:c r="AA2270"/>
      <x:c r="AB2270"/>
      <x:c r="AC2270"/>
      <x:c r="AD2270"/>
    </x:row>
    <x:row r="2271">
      <x:c r="A2271" t="str">
        <x:v>PCC-PE-KG01-L25-20251021-AM-ORD-2025-00161-S02-C2</x:v>
      </x:c>
      <x:c r="B2271" t="str">
        <x:v>PC-PE-KG01-L25-20251021-AM-ORD-2025-00161-S02</x:v>
      </x:c>
      <x:c r="C2271" t="str">
        <x:v>PE-KG01-L25-20251021-AM-ORD-2025-00161</x:v>
      </x:c>
      <x:c r="D2271" t="str">
        <x:v>KG01</x:v>
      </x:c>
      <x:c r="E2271" s="62" t="n">
        <x:v>45951</x:v>
      </x:c>
      <x:c r="F2271" t="str">
        <x:v>AM</x:v>
      </x:c>
      <x:c r="G2271" t="str">
        <x:v>A</x:v>
      </x:c>
      <x:c r="H2271" t="n">
        <x:v>25</x:v>
      </x:c>
      <x:c r="I2271" t="str">
        <x:v>ORD-2025-00161</x:v>
      </x:c>
      <x:c r="J2271" t="n">
        <x:v>2</x:v>
      </x:c>
      <x:c r="K2271" t="n">
        <x:v>2</x:v>
      </x:c>
      <x:c r="L2271" t="str">
        <x:v>L25-S02-C2</x:v>
      </x:c>
      <x:c r="M2271" t="n">
        <x:v>1</x:v>
      </x:c>
      <x:c r="N2271" t="str">
        <x:v>DerivedFromCount</x:v>
      </x:c>
      <x:c r="O2271" t="str">
        <x:v>PLC-PRD-JAR-720-L25</x:v>
      </x:c>
      <x:c r="P2271" t="str">
        <x:v>OK</x:v>
      </x:c>
      <x:c r="Q2271" t="str">
        <x:v>OK</x:v>
      </x:c>
      <x:c r="R2271" t="str">
        <x:v>OK</x:v>
      </x:c>
      <x:c r="S2271" t="str">
        <x:v>OK</x:v>
      </x:c>
      <x:c r="T2271" t="n">
        <x:v>16</x:v>
      </x:c>
      <x:c r="U2271" t="str">
        <x:v>OK</x:v>
      </x:c>
      <x:c r="V2271" t="str">
        <x:v>OK</x:v>
      </x:c>
      <x:c r="W2271" t="str">
        <x:v>LOAD</x:v>
      </x:c>
      <x:c r="X2271" t="str">
        <x:v>02_Supervisor_Log(4).xlsx</x:v>
      </x:c>
      <x:c r="Y2271" t="str">
        <x:v>ENH-20260830-01</x:v>
      </x:c>
      <x:c r="Z2271" t="str">
        <x:v>Active</x:v>
      </x:c>
      <x:c r="AA2271"/>
      <x:c r="AB2271"/>
      <x:c r="AC2271"/>
      <x:c r="AD2271"/>
    </x:row>
    <x:row r="2272">
      <x:c r="A2272" t="str">
        <x:v>PCC-PE-KG01-L25-20251021-AM-ORD-2025-00161-S02-C3</x:v>
      </x:c>
      <x:c r="B2272" t="str">
        <x:v>PC-PE-KG01-L25-20251021-AM-ORD-2025-00161-S02</x:v>
      </x:c>
      <x:c r="C2272" t="str">
        <x:v>PE-KG01-L25-20251021-AM-ORD-2025-00161</x:v>
      </x:c>
      <x:c r="D2272" t="str">
        <x:v>KG01</x:v>
      </x:c>
      <x:c r="E2272" s="62" t="n">
        <x:v>45951</x:v>
      </x:c>
      <x:c r="F2272" t="str">
        <x:v>AM</x:v>
      </x:c>
      <x:c r="G2272" t="str">
        <x:v>A</x:v>
      </x:c>
      <x:c r="H2272" t="n">
        <x:v>25</x:v>
      </x:c>
      <x:c r="I2272" t="str">
        <x:v>ORD-2025-00161</x:v>
      </x:c>
      <x:c r="J2272" t="n">
        <x:v>2</x:v>
      </x:c>
      <x:c r="K2272" t="n">
        <x:v>3</x:v>
      </x:c>
      <x:c r="L2272" t="str">
        <x:v>L25-S02-C3</x:v>
      </x:c>
      <x:c r="M2272" t="n">
        <x:v>0</x:v>
      </x:c>
      <x:c r="N2272" t="str">
        <x:v>DerivedFromCount</x:v>
      </x:c>
      <x:c r="O2272" t="str">
        <x:v>PLC-PRD-JAR-720-L25</x:v>
      </x:c>
      <x:c r="P2272" t="str">
        <x:v>OK</x:v>
      </x:c>
      <x:c r="Q2272" t="str">
        <x:v>OK</x:v>
      </x:c>
      <x:c r="R2272" t="str">
        <x:v>OK</x:v>
      </x:c>
      <x:c r="S2272" t="str">
        <x:v>OK</x:v>
      </x:c>
      <x:c r="T2272" t="n">
        <x:v>16</x:v>
      </x:c>
      <x:c r="U2272" t="str">
        <x:v>OK</x:v>
      </x:c>
      <x:c r="V2272" t="str">
        <x:v>OK</x:v>
      </x:c>
      <x:c r="W2272" t="str">
        <x:v>LOAD</x:v>
      </x:c>
      <x:c r="X2272" t="str">
        <x:v>02_Supervisor_Log(4).xlsx</x:v>
      </x:c>
      <x:c r="Y2272" t="str">
        <x:v>ENH-20260830-01</x:v>
      </x:c>
      <x:c r="Z2272" t="str">
        <x:v>Active</x:v>
      </x:c>
      <x:c r="AA2272"/>
      <x:c r="AB2272"/>
      <x:c r="AC2272"/>
      <x:c r="AD2272"/>
    </x:row>
    <x:row r="2273">
      <x:c r="A2273" t="str">
        <x:v>PCC-PE-KG01-L25-20251021-AM-ORD-2025-00161-S03-C1</x:v>
      </x:c>
      <x:c r="B2273" t="str">
        <x:v>PC-PE-KG01-L25-20251021-AM-ORD-2025-00161-S03</x:v>
      </x:c>
      <x:c r="C2273" t="str">
        <x:v>PE-KG01-L25-20251021-AM-ORD-2025-00161</x:v>
      </x:c>
      <x:c r="D2273" t="str">
        <x:v>KG01</x:v>
      </x:c>
      <x:c r="E2273" s="62" t="n">
        <x:v>45951</x:v>
      </x:c>
      <x:c r="F2273" t="str">
        <x:v>AM</x:v>
      </x:c>
      <x:c r="G2273" t="str">
        <x:v>A</x:v>
      </x:c>
      <x:c r="H2273" t="n">
        <x:v>25</x:v>
      </x:c>
      <x:c r="I2273" t="str">
        <x:v>ORD-2025-00161</x:v>
      </x:c>
      <x:c r="J2273" t="n">
        <x:v>3</x:v>
      </x:c>
      <x:c r="K2273" t="n">
        <x:v>1</x:v>
      </x:c>
      <x:c r="L2273" t="str">
        <x:v>L25-S03-C1</x:v>
      </x:c>
      <x:c r="M2273" t="n">
        <x:v>1</x:v>
      </x:c>
      <x:c r="N2273" t="str">
        <x:v>DerivedFromCount</x:v>
      </x:c>
      <x:c r="O2273" t="str">
        <x:v>PLC-PRD-JAR-720-L25</x:v>
      </x:c>
      <x:c r="P2273" t="str">
        <x:v>OK</x:v>
      </x:c>
      <x:c r="Q2273" t="str">
        <x:v>OK</x:v>
      </x:c>
      <x:c r="R2273" t="str">
        <x:v>OK</x:v>
      </x:c>
      <x:c r="S2273" t="str">
        <x:v>OK</x:v>
      </x:c>
      <x:c r="T2273" t="n">
        <x:v>16</x:v>
      </x:c>
      <x:c r="U2273" t="str">
        <x:v>OK</x:v>
      </x:c>
      <x:c r="V2273" t="str">
        <x:v>OK</x:v>
      </x:c>
      <x:c r="W2273" t="str">
        <x:v>LOAD</x:v>
      </x:c>
      <x:c r="X2273" t="str">
        <x:v>02_Supervisor_Log(4).xlsx</x:v>
      </x:c>
      <x:c r="Y2273" t="str">
        <x:v>ENH-20260830-01</x:v>
      </x:c>
      <x:c r="Z2273" t="str">
        <x:v>Active</x:v>
      </x:c>
      <x:c r="AA2273"/>
      <x:c r="AB2273"/>
      <x:c r="AC2273"/>
      <x:c r="AD2273"/>
    </x:row>
    <x:row r="2274">
      <x:c r="A2274" t="str">
        <x:v>PCC-PE-KG01-L25-20251021-AM-ORD-2025-00161-S03-C2</x:v>
      </x:c>
      <x:c r="B2274" t="str">
        <x:v>PC-PE-KG01-L25-20251021-AM-ORD-2025-00161-S03</x:v>
      </x:c>
      <x:c r="C2274" t="str">
        <x:v>PE-KG01-L25-20251021-AM-ORD-2025-00161</x:v>
      </x:c>
      <x:c r="D2274" t="str">
        <x:v>KG01</x:v>
      </x:c>
      <x:c r="E2274" s="62" t="n">
        <x:v>45951</x:v>
      </x:c>
      <x:c r="F2274" t="str">
        <x:v>AM</x:v>
      </x:c>
      <x:c r="G2274" t="str">
        <x:v>A</x:v>
      </x:c>
      <x:c r="H2274" t="n">
        <x:v>25</x:v>
      </x:c>
      <x:c r="I2274" t="str">
        <x:v>ORD-2025-00161</x:v>
      </x:c>
      <x:c r="J2274" t="n">
        <x:v>3</x:v>
      </x:c>
      <x:c r="K2274" t="n">
        <x:v>2</x:v>
      </x:c>
      <x:c r="L2274" t="str">
        <x:v>L25-S03-C2</x:v>
      </x:c>
      <x:c r="M2274" t="n">
        <x:v>1</x:v>
      </x:c>
      <x:c r="N2274" t="str">
        <x:v>DerivedFromCount</x:v>
      </x:c>
      <x:c r="O2274" t="str">
        <x:v>PLC-PRD-JAR-720-L25</x:v>
      </x:c>
      <x:c r="P2274" t="str">
        <x:v>OK</x:v>
      </x:c>
      <x:c r="Q2274" t="str">
        <x:v>OK</x:v>
      </x:c>
      <x:c r="R2274" t="str">
        <x:v>OK</x:v>
      </x:c>
      <x:c r="S2274" t="str">
        <x:v>OK</x:v>
      </x:c>
      <x:c r="T2274" t="n">
        <x:v>16</x:v>
      </x:c>
      <x:c r="U2274" t="str">
        <x:v>OK</x:v>
      </x:c>
      <x:c r="V2274" t="str">
        <x:v>OK</x:v>
      </x:c>
      <x:c r="W2274" t="str">
        <x:v>LOAD</x:v>
      </x:c>
      <x:c r="X2274" t="str">
        <x:v>02_Supervisor_Log(4).xlsx</x:v>
      </x:c>
      <x:c r="Y2274" t="str">
        <x:v>ENH-20260830-01</x:v>
      </x:c>
      <x:c r="Z2274" t="str">
        <x:v>Active</x:v>
      </x:c>
      <x:c r="AA2274"/>
      <x:c r="AB2274"/>
      <x:c r="AC2274"/>
      <x:c r="AD2274"/>
    </x:row>
    <x:row r="2275">
      <x:c r="A2275" t="str">
        <x:v>PCC-PE-KG01-L25-20251021-AM-ORD-2025-00161-S03-C3</x:v>
      </x:c>
      <x:c r="B2275" t="str">
        <x:v>PC-PE-KG01-L25-20251021-AM-ORD-2025-00161-S03</x:v>
      </x:c>
      <x:c r="C2275" t="str">
        <x:v>PE-KG01-L25-20251021-AM-ORD-2025-00161</x:v>
      </x:c>
      <x:c r="D2275" t="str">
        <x:v>KG01</x:v>
      </x:c>
      <x:c r="E2275" s="62" t="n">
        <x:v>45951</x:v>
      </x:c>
      <x:c r="F2275" t="str">
        <x:v>AM</x:v>
      </x:c>
      <x:c r="G2275" t="str">
        <x:v>A</x:v>
      </x:c>
      <x:c r="H2275" t="n">
        <x:v>25</x:v>
      </x:c>
      <x:c r="I2275" t="str">
        <x:v>ORD-2025-00161</x:v>
      </x:c>
      <x:c r="J2275" t="n">
        <x:v>3</x:v>
      </x:c>
      <x:c r="K2275" t="n">
        <x:v>3</x:v>
      </x:c>
      <x:c r="L2275" t="str">
        <x:v>L25-S03-C3</x:v>
      </x:c>
      <x:c r="M2275" t="n">
        <x:v>0</x:v>
      </x:c>
      <x:c r="N2275" t="str">
        <x:v>DerivedFromCount</x:v>
      </x:c>
      <x:c r="O2275" t="str">
        <x:v>PLC-PRD-JAR-720-L25</x:v>
      </x:c>
      <x:c r="P2275" t="str">
        <x:v>OK</x:v>
      </x:c>
      <x:c r="Q2275" t="str">
        <x:v>OK</x:v>
      </x:c>
      <x:c r="R2275" t="str">
        <x:v>OK</x:v>
      </x:c>
      <x:c r="S2275" t="str">
        <x:v>OK</x:v>
      </x:c>
      <x:c r="T2275" t="n">
        <x:v>16</x:v>
      </x:c>
      <x:c r="U2275" t="str">
        <x:v>OK</x:v>
      </x:c>
      <x:c r="V2275" t="str">
        <x:v>OK</x:v>
      </x:c>
      <x:c r="W2275" t="str">
        <x:v>LOAD</x:v>
      </x:c>
      <x:c r="X2275" t="str">
        <x:v>02_Supervisor_Log(4).xlsx</x:v>
      </x:c>
      <x:c r="Y2275" t="str">
        <x:v>ENH-20260830-01</x:v>
      </x:c>
      <x:c r="Z2275" t="str">
        <x:v>Active</x:v>
      </x:c>
      <x:c r="AA2275"/>
      <x:c r="AB2275"/>
      <x:c r="AC2275"/>
      <x:c r="AD2275"/>
    </x:row>
    <x:row r="2276">
      <x:c r="A2276" t="str">
        <x:v>PCC-PE-KG01-L25-20251021-AM-ORD-2025-00161-S04-C1</x:v>
      </x:c>
      <x:c r="B2276" t="str">
        <x:v>PC-PE-KG01-L25-20251021-AM-ORD-2025-00161-S04</x:v>
      </x:c>
      <x:c r="C2276" t="str">
        <x:v>PE-KG01-L25-20251021-AM-ORD-2025-00161</x:v>
      </x:c>
      <x:c r="D2276" t="str">
        <x:v>KG01</x:v>
      </x:c>
      <x:c r="E2276" s="62" t="n">
        <x:v>45951</x:v>
      </x:c>
      <x:c r="F2276" t="str">
        <x:v>AM</x:v>
      </x:c>
      <x:c r="G2276" t="str">
        <x:v>A</x:v>
      </x:c>
      <x:c r="H2276" t="n">
        <x:v>25</x:v>
      </x:c>
      <x:c r="I2276" t="str">
        <x:v>ORD-2025-00161</x:v>
      </x:c>
      <x:c r="J2276" t="n">
        <x:v>4</x:v>
      </x:c>
      <x:c r="K2276" t="n">
        <x:v>1</x:v>
      </x:c>
      <x:c r="L2276" t="str">
        <x:v>L25-S04-C1</x:v>
      </x:c>
      <x:c r="M2276" t="n">
        <x:v>1</x:v>
      </x:c>
      <x:c r="N2276" t="str">
        <x:v>DerivedFromCount</x:v>
      </x:c>
      <x:c r="O2276" t="str">
        <x:v>PLC-PRD-JAR-720-L25</x:v>
      </x:c>
      <x:c r="P2276" t="str">
        <x:v>OK</x:v>
      </x:c>
      <x:c r="Q2276" t="str">
        <x:v>OK</x:v>
      </x:c>
      <x:c r="R2276" t="str">
        <x:v>OK</x:v>
      </x:c>
      <x:c r="S2276" t="str">
        <x:v>OK</x:v>
      </x:c>
      <x:c r="T2276" t="n">
        <x:v>16</x:v>
      </x:c>
      <x:c r="U2276" t="str">
        <x:v>OK</x:v>
      </x:c>
      <x:c r="V2276" t="str">
        <x:v>OK</x:v>
      </x:c>
      <x:c r="W2276" t="str">
        <x:v>LOAD</x:v>
      </x:c>
      <x:c r="X2276" t="str">
        <x:v>02_Supervisor_Log(4).xlsx</x:v>
      </x:c>
      <x:c r="Y2276" t="str">
        <x:v>ENH-20260830-01</x:v>
      </x:c>
      <x:c r="Z2276" t="str">
        <x:v>Active</x:v>
      </x:c>
      <x:c r="AA2276"/>
      <x:c r="AB2276"/>
      <x:c r="AC2276"/>
      <x:c r="AD2276"/>
    </x:row>
    <x:row r="2277">
      <x:c r="A2277" t="str">
        <x:v>PCC-PE-KG01-L25-20251021-AM-ORD-2025-00161-S04-C2</x:v>
      </x:c>
      <x:c r="B2277" t="str">
        <x:v>PC-PE-KG01-L25-20251021-AM-ORD-2025-00161-S04</x:v>
      </x:c>
      <x:c r="C2277" t="str">
        <x:v>PE-KG01-L25-20251021-AM-ORD-2025-00161</x:v>
      </x:c>
      <x:c r="D2277" t="str">
        <x:v>KG01</x:v>
      </x:c>
      <x:c r="E2277" s="62" t="n">
        <x:v>45951</x:v>
      </x:c>
      <x:c r="F2277" t="str">
        <x:v>AM</x:v>
      </x:c>
      <x:c r="G2277" t="str">
        <x:v>A</x:v>
      </x:c>
      <x:c r="H2277" t="n">
        <x:v>25</x:v>
      </x:c>
      <x:c r="I2277" t="str">
        <x:v>ORD-2025-00161</x:v>
      </x:c>
      <x:c r="J2277" t="n">
        <x:v>4</x:v>
      </x:c>
      <x:c r="K2277" t="n">
        <x:v>2</x:v>
      </x:c>
      <x:c r="L2277" t="str">
        <x:v>L25-S04-C2</x:v>
      </x:c>
      <x:c r="M2277" t="n">
        <x:v>1</x:v>
      </x:c>
      <x:c r="N2277" t="str">
        <x:v>DerivedFromCount</x:v>
      </x:c>
      <x:c r="O2277" t="str">
        <x:v>PLC-PRD-JAR-720-L25</x:v>
      </x:c>
      <x:c r="P2277" t="str">
        <x:v>OK</x:v>
      </x:c>
      <x:c r="Q2277" t="str">
        <x:v>OK</x:v>
      </x:c>
      <x:c r="R2277" t="str">
        <x:v>OK</x:v>
      </x:c>
      <x:c r="S2277" t="str">
        <x:v>OK</x:v>
      </x:c>
      <x:c r="T2277" t="n">
        <x:v>16</x:v>
      </x:c>
      <x:c r="U2277" t="str">
        <x:v>OK</x:v>
      </x:c>
      <x:c r="V2277" t="str">
        <x:v>OK</x:v>
      </x:c>
      <x:c r="W2277" t="str">
        <x:v>LOAD</x:v>
      </x:c>
      <x:c r="X2277" t="str">
        <x:v>02_Supervisor_Log(4).xlsx</x:v>
      </x:c>
      <x:c r="Y2277" t="str">
        <x:v>ENH-20260830-01</x:v>
      </x:c>
      <x:c r="Z2277" t="str">
        <x:v>Active</x:v>
      </x:c>
      <x:c r="AA2277"/>
      <x:c r="AB2277"/>
      <x:c r="AC2277"/>
      <x:c r="AD2277"/>
    </x:row>
    <x:row r="2278">
      <x:c r="A2278" t="str">
        <x:v>PCC-PE-KG01-L25-20251021-AM-ORD-2025-00161-S04-C3</x:v>
      </x:c>
      <x:c r="B2278" t="str">
        <x:v>PC-PE-KG01-L25-20251021-AM-ORD-2025-00161-S04</x:v>
      </x:c>
      <x:c r="C2278" t="str">
        <x:v>PE-KG01-L25-20251021-AM-ORD-2025-00161</x:v>
      </x:c>
      <x:c r="D2278" t="str">
        <x:v>KG01</x:v>
      </x:c>
      <x:c r="E2278" s="62" t="n">
        <x:v>45951</x:v>
      </x:c>
      <x:c r="F2278" t="str">
        <x:v>AM</x:v>
      </x:c>
      <x:c r="G2278" t="str">
        <x:v>A</x:v>
      </x:c>
      <x:c r="H2278" t="n">
        <x:v>25</x:v>
      </x:c>
      <x:c r="I2278" t="str">
        <x:v>ORD-2025-00161</x:v>
      </x:c>
      <x:c r="J2278" t="n">
        <x:v>4</x:v>
      </x:c>
      <x:c r="K2278" t="n">
        <x:v>3</x:v>
      </x:c>
      <x:c r="L2278" t="str">
        <x:v>L25-S04-C3</x:v>
      </x:c>
      <x:c r="M2278" t="n">
        <x:v>0</x:v>
      </x:c>
      <x:c r="N2278" t="str">
        <x:v>DerivedFromCount</x:v>
      </x:c>
      <x:c r="O2278" t="str">
        <x:v>PLC-PRD-JAR-720-L25</x:v>
      </x:c>
      <x:c r="P2278" t="str">
        <x:v>OK</x:v>
      </x:c>
      <x:c r="Q2278" t="str">
        <x:v>OK</x:v>
      </x:c>
      <x:c r="R2278" t="str">
        <x:v>OK</x:v>
      </x:c>
      <x:c r="S2278" t="str">
        <x:v>OK</x:v>
      </x:c>
      <x:c r="T2278" t="n">
        <x:v>16</x:v>
      </x:c>
      <x:c r="U2278" t="str">
        <x:v>OK</x:v>
      </x:c>
      <x:c r="V2278" t="str">
        <x:v>OK</x:v>
      </x:c>
      <x:c r="W2278" t="str">
        <x:v>LOAD</x:v>
      </x:c>
      <x:c r="X2278" t="str">
        <x:v>02_Supervisor_Log(4).xlsx</x:v>
      </x:c>
      <x:c r="Y2278" t="str">
        <x:v>ENH-20260830-01</x:v>
      </x:c>
      <x:c r="Z2278" t="str">
        <x:v>Active</x:v>
      </x:c>
      <x:c r="AA2278"/>
      <x:c r="AB2278"/>
      <x:c r="AC2278"/>
      <x:c r="AD2278"/>
    </x:row>
    <x:row r="2279">
      <x:c r="A2279" t="str">
        <x:v>PCC-PE-KG01-L25-20251021-AM-ORD-2025-00161-S05-C1</x:v>
      </x:c>
      <x:c r="B2279" t="str">
        <x:v>PC-PE-KG01-L25-20251021-AM-ORD-2025-00161-S05</x:v>
      </x:c>
      <x:c r="C2279" t="str">
        <x:v>PE-KG01-L25-20251021-AM-ORD-2025-00161</x:v>
      </x:c>
      <x:c r="D2279" t="str">
        <x:v>KG01</x:v>
      </x:c>
      <x:c r="E2279" s="62" t="n">
        <x:v>45951</x:v>
      </x:c>
      <x:c r="F2279" t="str">
        <x:v>AM</x:v>
      </x:c>
      <x:c r="G2279" t="str">
        <x:v>A</x:v>
      </x:c>
      <x:c r="H2279" t="n">
        <x:v>25</x:v>
      </x:c>
      <x:c r="I2279" t="str">
        <x:v>ORD-2025-00161</x:v>
      </x:c>
      <x:c r="J2279" t="n">
        <x:v>5</x:v>
      </x:c>
      <x:c r="K2279" t="n">
        <x:v>1</x:v>
      </x:c>
      <x:c r="L2279" t="str">
        <x:v>L25-S05-C1</x:v>
      </x:c>
      <x:c r="M2279" t="n">
        <x:v>1</x:v>
      </x:c>
      <x:c r="N2279" t="str">
        <x:v>DerivedFromCount</x:v>
      </x:c>
      <x:c r="O2279" t="str">
        <x:v>PLC-PRD-JAR-720-L25</x:v>
      </x:c>
      <x:c r="P2279" t="str">
        <x:v>OK</x:v>
      </x:c>
      <x:c r="Q2279" t="str">
        <x:v>OK</x:v>
      </x:c>
      <x:c r="R2279" t="str">
        <x:v>OK</x:v>
      </x:c>
      <x:c r="S2279" t="str">
        <x:v>OK</x:v>
      </x:c>
      <x:c r="T2279" t="n">
        <x:v>16</x:v>
      </x:c>
      <x:c r="U2279" t="str">
        <x:v>OK</x:v>
      </x:c>
      <x:c r="V2279" t="str">
        <x:v>OK</x:v>
      </x:c>
      <x:c r="W2279" t="str">
        <x:v>LOAD</x:v>
      </x:c>
      <x:c r="X2279" t="str">
        <x:v>02_Supervisor_Log(4).xlsx</x:v>
      </x:c>
      <x:c r="Y2279" t="str">
        <x:v>ENH-20260830-01</x:v>
      </x:c>
      <x:c r="Z2279" t="str">
        <x:v>Active</x:v>
      </x:c>
      <x:c r="AA2279"/>
      <x:c r="AB2279"/>
      <x:c r="AC2279"/>
      <x:c r="AD2279"/>
    </x:row>
    <x:row r="2280">
      <x:c r="A2280" t="str">
        <x:v>PCC-PE-KG01-L25-20251021-AM-ORD-2025-00161-S05-C2</x:v>
      </x:c>
      <x:c r="B2280" t="str">
        <x:v>PC-PE-KG01-L25-20251021-AM-ORD-2025-00161-S05</x:v>
      </x:c>
      <x:c r="C2280" t="str">
        <x:v>PE-KG01-L25-20251021-AM-ORD-2025-00161</x:v>
      </x:c>
      <x:c r="D2280" t="str">
        <x:v>KG01</x:v>
      </x:c>
      <x:c r="E2280" s="62" t="n">
        <x:v>45951</x:v>
      </x:c>
      <x:c r="F2280" t="str">
        <x:v>AM</x:v>
      </x:c>
      <x:c r="G2280" t="str">
        <x:v>A</x:v>
      </x:c>
      <x:c r="H2280" t="n">
        <x:v>25</x:v>
      </x:c>
      <x:c r="I2280" t="str">
        <x:v>ORD-2025-00161</x:v>
      </x:c>
      <x:c r="J2280" t="n">
        <x:v>5</x:v>
      </x:c>
      <x:c r="K2280" t="n">
        <x:v>2</x:v>
      </x:c>
      <x:c r="L2280" t="str">
        <x:v>L25-S05-C2</x:v>
      </x:c>
      <x:c r="M2280" t="n">
        <x:v>1</x:v>
      </x:c>
      <x:c r="N2280" t="str">
        <x:v>DerivedFromCount</x:v>
      </x:c>
      <x:c r="O2280" t="str">
        <x:v>PLC-PRD-JAR-720-L25</x:v>
      </x:c>
      <x:c r="P2280" t="str">
        <x:v>OK</x:v>
      </x:c>
      <x:c r="Q2280" t="str">
        <x:v>OK</x:v>
      </x:c>
      <x:c r="R2280" t="str">
        <x:v>OK</x:v>
      </x:c>
      <x:c r="S2280" t="str">
        <x:v>OK</x:v>
      </x:c>
      <x:c r="T2280" t="n">
        <x:v>16</x:v>
      </x:c>
      <x:c r="U2280" t="str">
        <x:v>OK</x:v>
      </x:c>
      <x:c r="V2280" t="str">
        <x:v>OK</x:v>
      </x:c>
      <x:c r="W2280" t="str">
        <x:v>LOAD</x:v>
      </x:c>
      <x:c r="X2280" t="str">
        <x:v>02_Supervisor_Log(4).xlsx</x:v>
      </x:c>
      <x:c r="Y2280" t="str">
        <x:v>ENH-20260830-01</x:v>
      </x:c>
      <x:c r="Z2280" t="str">
        <x:v>Active</x:v>
      </x:c>
      <x:c r="AA2280"/>
      <x:c r="AB2280"/>
      <x:c r="AC2280"/>
      <x:c r="AD2280"/>
    </x:row>
    <x:row r="2281">
      <x:c r="A2281" t="str">
        <x:v>PCC-PE-KG01-L25-20251021-AM-ORD-2025-00161-S05-C3</x:v>
      </x:c>
      <x:c r="B2281" t="str">
        <x:v>PC-PE-KG01-L25-20251021-AM-ORD-2025-00161-S05</x:v>
      </x:c>
      <x:c r="C2281" t="str">
        <x:v>PE-KG01-L25-20251021-AM-ORD-2025-00161</x:v>
      </x:c>
      <x:c r="D2281" t="str">
        <x:v>KG01</x:v>
      </x:c>
      <x:c r="E2281" s="62" t="n">
        <x:v>45951</x:v>
      </x:c>
      <x:c r="F2281" t="str">
        <x:v>AM</x:v>
      </x:c>
      <x:c r="G2281" t="str">
        <x:v>A</x:v>
      </x:c>
      <x:c r="H2281" t="n">
        <x:v>25</x:v>
      </x:c>
      <x:c r="I2281" t="str">
        <x:v>ORD-2025-00161</x:v>
      </x:c>
      <x:c r="J2281" t="n">
        <x:v>5</x:v>
      </x:c>
      <x:c r="K2281" t="n">
        <x:v>3</x:v>
      </x:c>
      <x:c r="L2281" t="str">
        <x:v>L25-S05-C3</x:v>
      </x:c>
      <x:c r="M2281" t="n">
        <x:v>0</x:v>
      </x:c>
      <x:c r="N2281" t="str">
        <x:v>DerivedFromCount</x:v>
      </x:c>
      <x:c r="O2281" t="str">
        <x:v>PLC-PRD-JAR-720-L25</x:v>
      </x:c>
      <x:c r="P2281" t="str">
        <x:v>OK</x:v>
      </x:c>
      <x:c r="Q2281" t="str">
        <x:v>OK</x:v>
      </x:c>
      <x:c r="R2281" t="str">
        <x:v>OK</x:v>
      </x:c>
      <x:c r="S2281" t="str">
        <x:v>OK</x:v>
      </x:c>
      <x:c r="T2281" t="n">
        <x:v>16</x:v>
      </x:c>
      <x:c r="U2281" t="str">
        <x:v>OK</x:v>
      </x:c>
      <x:c r="V2281" t="str">
        <x:v>OK</x:v>
      </x:c>
      <x:c r="W2281" t="str">
        <x:v>LOAD</x:v>
      </x:c>
      <x:c r="X2281" t="str">
        <x:v>02_Supervisor_Log(4).xlsx</x:v>
      </x:c>
      <x:c r="Y2281" t="str">
        <x:v>ENH-20260830-01</x:v>
      </x:c>
      <x:c r="Z2281" t="str">
        <x:v>Active</x:v>
      </x:c>
      <x:c r="AA2281"/>
      <x:c r="AB2281"/>
      <x:c r="AC2281"/>
      <x:c r="AD2281"/>
    </x:row>
    <x:row r="2282">
      <x:c r="A2282" t="str">
        <x:v>PCC-PE-KG01-L25-20251021-AM-ORD-2025-00161-S06-C1</x:v>
      </x:c>
      <x:c r="B2282" t="str">
        <x:v>PC-PE-KG01-L25-20251021-AM-ORD-2025-00161-S06</x:v>
      </x:c>
      <x:c r="C2282" t="str">
        <x:v>PE-KG01-L25-20251021-AM-ORD-2025-00161</x:v>
      </x:c>
      <x:c r="D2282" t="str">
        <x:v>KG01</x:v>
      </x:c>
      <x:c r="E2282" s="62" t="n">
        <x:v>45951</x:v>
      </x:c>
      <x:c r="F2282" t="str">
        <x:v>AM</x:v>
      </x:c>
      <x:c r="G2282" t="str">
        <x:v>A</x:v>
      </x:c>
      <x:c r="H2282" t="n">
        <x:v>25</x:v>
      </x:c>
      <x:c r="I2282" t="str">
        <x:v>ORD-2025-00161</x:v>
      </x:c>
      <x:c r="J2282" t="n">
        <x:v>6</x:v>
      </x:c>
      <x:c r="K2282" t="n">
        <x:v>1</x:v>
      </x:c>
      <x:c r="L2282" t="str">
        <x:v>L25-S06-C1</x:v>
      </x:c>
      <x:c r="M2282" t="n">
        <x:v>1</x:v>
      </x:c>
      <x:c r="N2282" t="str">
        <x:v>DerivedFromCount</x:v>
      </x:c>
      <x:c r="O2282" t="str">
        <x:v>PLC-PRD-JAR-720-L25</x:v>
      </x:c>
      <x:c r="P2282" t="str">
        <x:v>OK</x:v>
      </x:c>
      <x:c r="Q2282" t="str">
        <x:v>OK</x:v>
      </x:c>
      <x:c r="R2282" t="str">
        <x:v>OK</x:v>
      </x:c>
      <x:c r="S2282" t="str">
        <x:v>OK</x:v>
      </x:c>
      <x:c r="T2282" t="n">
        <x:v>16</x:v>
      </x:c>
      <x:c r="U2282" t="str">
        <x:v>OK</x:v>
      </x:c>
      <x:c r="V2282" t="str">
        <x:v>OK</x:v>
      </x:c>
      <x:c r="W2282" t="str">
        <x:v>LOAD</x:v>
      </x:c>
      <x:c r="X2282" t="str">
        <x:v>02_Supervisor_Log(4).xlsx</x:v>
      </x:c>
      <x:c r="Y2282" t="str">
        <x:v>ENH-20260830-01</x:v>
      </x:c>
      <x:c r="Z2282" t="str">
        <x:v>Active</x:v>
      </x:c>
      <x:c r="AA2282"/>
      <x:c r="AB2282"/>
      <x:c r="AC2282"/>
      <x:c r="AD2282"/>
    </x:row>
    <x:row r="2283">
      <x:c r="A2283" t="str">
        <x:v>PCC-PE-KG01-L25-20251021-AM-ORD-2025-00161-S06-C2</x:v>
      </x:c>
      <x:c r="B2283" t="str">
        <x:v>PC-PE-KG01-L25-20251021-AM-ORD-2025-00161-S06</x:v>
      </x:c>
      <x:c r="C2283" t="str">
        <x:v>PE-KG01-L25-20251021-AM-ORD-2025-00161</x:v>
      </x:c>
      <x:c r="D2283" t="str">
        <x:v>KG01</x:v>
      </x:c>
      <x:c r="E2283" s="62" t="n">
        <x:v>45951</x:v>
      </x:c>
      <x:c r="F2283" t="str">
        <x:v>AM</x:v>
      </x:c>
      <x:c r="G2283" t="str">
        <x:v>A</x:v>
      </x:c>
      <x:c r="H2283" t="n">
        <x:v>25</x:v>
      </x:c>
      <x:c r="I2283" t="str">
        <x:v>ORD-2025-00161</x:v>
      </x:c>
      <x:c r="J2283" t="n">
        <x:v>6</x:v>
      </x:c>
      <x:c r="K2283" t="n">
        <x:v>2</x:v>
      </x:c>
      <x:c r="L2283" t="str">
        <x:v>L25-S06-C2</x:v>
      </x:c>
      <x:c r="M2283" t="n">
        <x:v>1</x:v>
      </x:c>
      <x:c r="N2283" t="str">
        <x:v>DerivedFromCount</x:v>
      </x:c>
      <x:c r="O2283" t="str">
        <x:v>PLC-PRD-JAR-720-L25</x:v>
      </x:c>
      <x:c r="P2283" t="str">
        <x:v>OK</x:v>
      </x:c>
      <x:c r="Q2283" t="str">
        <x:v>OK</x:v>
      </x:c>
      <x:c r="R2283" t="str">
        <x:v>OK</x:v>
      </x:c>
      <x:c r="S2283" t="str">
        <x:v>OK</x:v>
      </x:c>
      <x:c r="T2283" t="n">
        <x:v>16</x:v>
      </x:c>
      <x:c r="U2283" t="str">
        <x:v>OK</x:v>
      </x:c>
      <x:c r="V2283" t="str">
        <x:v>OK</x:v>
      </x:c>
      <x:c r="W2283" t="str">
        <x:v>LOAD</x:v>
      </x:c>
      <x:c r="X2283" t="str">
        <x:v>02_Supervisor_Log(4).xlsx</x:v>
      </x:c>
      <x:c r="Y2283" t="str">
        <x:v>ENH-20260830-01</x:v>
      </x:c>
      <x:c r="Z2283" t="str">
        <x:v>Active</x:v>
      </x:c>
      <x:c r="AA2283"/>
      <x:c r="AB2283"/>
      <x:c r="AC2283"/>
      <x:c r="AD2283"/>
    </x:row>
    <x:row r="2284">
      <x:c r="A2284" t="str">
        <x:v>PCC-PE-KG01-L25-20251021-AM-ORD-2025-00161-S06-C3</x:v>
      </x:c>
      <x:c r="B2284" t="str">
        <x:v>PC-PE-KG01-L25-20251021-AM-ORD-2025-00161-S06</x:v>
      </x:c>
      <x:c r="C2284" t="str">
        <x:v>PE-KG01-L25-20251021-AM-ORD-2025-00161</x:v>
      </x:c>
      <x:c r="D2284" t="str">
        <x:v>KG01</x:v>
      </x:c>
      <x:c r="E2284" s="62" t="n">
        <x:v>45951</x:v>
      </x:c>
      <x:c r="F2284" t="str">
        <x:v>AM</x:v>
      </x:c>
      <x:c r="G2284" t="str">
        <x:v>A</x:v>
      </x:c>
      <x:c r="H2284" t="n">
        <x:v>25</x:v>
      </x:c>
      <x:c r="I2284" t="str">
        <x:v>ORD-2025-00161</x:v>
      </x:c>
      <x:c r="J2284" t="n">
        <x:v>6</x:v>
      </x:c>
      <x:c r="K2284" t="n">
        <x:v>3</x:v>
      </x:c>
      <x:c r="L2284" t="str">
        <x:v>L25-S06-C3</x:v>
      </x:c>
      <x:c r="M2284" t="n">
        <x:v>0</x:v>
      </x:c>
      <x:c r="N2284" t="str">
        <x:v>DerivedFromCount</x:v>
      </x:c>
      <x:c r="O2284" t="str">
        <x:v>PLC-PRD-JAR-720-L25</x:v>
      </x:c>
      <x:c r="P2284" t="str">
        <x:v>OK</x:v>
      </x:c>
      <x:c r="Q2284" t="str">
        <x:v>OK</x:v>
      </x:c>
      <x:c r="R2284" t="str">
        <x:v>OK</x:v>
      </x:c>
      <x:c r="S2284" t="str">
        <x:v>OK</x:v>
      </x:c>
      <x:c r="T2284" t="n">
        <x:v>16</x:v>
      </x:c>
      <x:c r="U2284" t="str">
        <x:v>OK</x:v>
      </x:c>
      <x:c r="V2284" t="str">
        <x:v>OK</x:v>
      </x:c>
      <x:c r="W2284" t="str">
        <x:v>LOAD</x:v>
      </x:c>
      <x:c r="X2284" t="str">
        <x:v>02_Supervisor_Log(4).xlsx</x:v>
      </x:c>
      <x:c r="Y2284" t="str">
        <x:v>ENH-20260830-01</x:v>
      </x:c>
      <x:c r="Z2284" t="str">
        <x:v>Active</x:v>
      </x:c>
      <x:c r="AA2284"/>
      <x:c r="AB2284"/>
      <x:c r="AC2284"/>
      <x:c r="AD2284"/>
    </x:row>
    <x:row r="2285">
      <x:c r="A2285" t="str">
        <x:v>PCC-PE-KG01-L25-20251021-AM-ORD-2025-00161-S07-C1</x:v>
      </x:c>
      <x:c r="B2285" t="str">
        <x:v>PC-PE-KG01-L25-20251021-AM-ORD-2025-00161-S07</x:v>
      </x:c>
      <x:c r="C2285" t="str">
        <x:v>PE-KG01-L25-20251021-AM-ORD-2025-00161</x:v>
      </x:c>
      <x:c r="D2285" t="str">
        <x:v>KG01</x:v>
      </x:c>
      <x:c r="E2285" s="62" t="n">
        <x:v>45951</x:v>
      </x:c>
      <x:c r="F2285" t="str">
        <x:v>AM</x:v>
      </x:c>
      <x:c r="G2285" t="str">
        <x:v>A</x:v>
      </x:c>
      <x:c r="H2285" t="n">
        <x:v>25</x:v>
      </x:c>
      <x:c r="I2285" t="str">
        <x:v>ORD-2025-00161</x:v>
      </x:c>
      <x:c r="J2285" t="n">
        <x:v>7</x:v>
      </x:c>
      <x:c r="K2285" t="n">
        <x:v>1</x:v>
      </x:c>
      <x:c r="L2285" t="str">
        <x:v>L25-S07-C1</x:v>
      </x:c>
      <x:c r="M2285" t="n">
        <x:v>1</x:v>
      </x:c>
      <x:c r="N2285" t="str">
        <x:v>DerivedFromCount</x:v>
      </x:c>
      <x:c r="O2285" t="str">
        <x:v>PLC-PRD-JAR-720-L25</x:v>
      </x:c>
      <x:c r="P2285" t="str">
        <x:v>OK</x:v>
      </x:c>
      <x:c r="Q2285" t="str">
        <x:v>OK</x:v>
      </x:c>
      <x:c r="R2285" t="str">
        <x:v>OK</x:v>
      </x:c>
      <x:c r="S2285" t="str">
        <x:v>OK</x:v>
      </x:c>
      <x:c r="T2285" t="n">
        <x:v>16</x:v>
      </x:c>
      <x:c r="U2285" t="str">
        <x:v>OK</x:v>
      </x:c>
      <x:c r="V2285" t="str">
        <x:v>OK</x:v>
      </x:c>
      <x:c r="W2285" t="str">
        <x:v>LOAD</x:v>
      </x:c>
      <x:c r="X2285" t="str">
        <x:v>02_Supervisor_Log(4).xlsx</x:v>
      </x:c>
      <x:c r="Y2285" t="str">
        <x:v>ENH-20260830-01</x:v>
      </x:c>
      <x:c r="Z2285" t="str">
        <x:v>Active</x:v>
      </x:c>
      <x:c r="AA2285"/>
      <x:c r="AB2285"/>
      <x:c r="AC2285"/>
      <x:c r="AD2285"/>
    </x:row>
    <x:row r="2286">
      <x:c r="A2286" t="str">
        <x:v>PCC-PE-KG01-L25-20251021-AM-ORD-2025-00161-S07-C2</x:v>
      </x:c>
      <x:c r="B2286" t="str">
        <x:v>PC-PE-KG01-L25-20251021-AM-ORD-2025-00161-S07</x:v>
      </x:c>
      <x:c r="C2286" t="str">
        <x:v>PE-KG01-L25-20251021-AM-ORD-2025-00161</x:v>
      </x:c>
      <x:c r="D2286" t="str">
        <x:v>KG01</x:v>
      </x:c>
      <x:c r="E2286" s="62" t="n">
        <x:v>45951</x:v>
      </x:c>
      <x:c r="F2286" t="str">
        <x:v>AM</x:v>
      </x:c>
      <x:c r="G2286" t="str">
        <x:v>A</x:v>
      </x:c>
      <x:c r="H2286" t="n">
        <x:v>25</x:v>
      </x:c>
      <x:c r="I2286" t="str">
        <x:v>ORD-2025-00161</x:v>
      </x:c>
      <x:c r="J2286" t="n">
        <x:v>7</x:v>
      </x:c>
      <x:c r="K2286" t="n">
        <x:v>2</x:v>
      </x:c>
      <x:c r="L2286" t="str">
        <x:v>L25-S07-C2</x:v>
      </x:c>
      <x:c r="M2286" t="n">
        <x:v>1</x:v>
      </x:c>
      <x:c r="N2286" t="str">
        <x:v>DerivedFromCount</x:v>
      </x:c>
      <x:c r="O2286" t="str">
        <x:v>PLC-PRD-JAR-720-L25</x:v>
      </x:c>
      <x:c r="P2286" t="str">
        <x:v>OK</x:v>
      </x:c>
      <x:c r="Q2286" t="str">
        <x:v>OK</x:v>
      </x:c>
      <x:c r="R2286" t="str">
        <x:v>OK</x:v>
      </x:c>
      <x:c r="S2286" t="str">
        <x:v>OK</x:v>
      </x:c>
      <x:c r="T2286" t="n">
        <x:v>16</x:v>
      </x:c>
      <x:c r="U2286" t="str">
        <x:v>OK</x:v>
      </x:c>
      <x:c r="V2286" t="str">
        <x:v>OK</x:v>
      </x:c>
      <x:c r="W2286" t="str">
        <x:v>LOAD</x:v>
      </x:c>
      <x:c r="X2286" t="str">
        <x:v>02_Supervisor_Log(4).xlsx</x:v>
      </x:c>
      <x:c r="Y2286" t="str">
        <x:v>ENH-20260830-01</x:v>
      </x:c>
      <x:c r="Z2286" t="str">
        <x:v>Active</x:v>
      </x:c>
      <x:c r="AA2286"/>
      <x:c r="AB2286"/>
      <x:c r="AC2286"/>
      <x:c r="AD2286"/>
    </x:row>
    <x:row r="2287">
      <x:c r="A2287" t="str">
        <x:v>PCC-PE-KG01-L25-20251021-AM-ORD-2025-00161-S07-C3</x:v>
      </x:c>
      <x:c r="B2287" t="str">
        <x:v>PC-PE-KG01-L25-20251021-AM-ORD-2025-00161-S07</x:v>
      </x:c>
      <x:c r="C2287" t="str">
        <x:v>PE-KG01-L25-20251021-AM-ORD-2025-00161</x:v>
      </x:c>
      <x:c r="D2287" t="str">
        <x:v>KG01</x:v>
      </x:c>
      <x:c r="E2287" s="62" t="n">
        <x:v>45951</x:v>
      </x:c>
      <x:c r="F2287" t="str">
        <x:v>AM</x:v>
      </x:c>
      <x:c r="G2287" t="str">
        <x:v>A</x:v>
      </x:c>
      <x:c r="H2287" t="n">
        <x:v>25</x:v>
      </x:c>
      <x:c r="I2287" t="str">
        <x:v>ORD-2025-00161</x:v>
      </x:c>
      <x:c r="J2287" t="n">
        <x:v>7</x:v>
      </x:c>
      <x:c r="K2287" t="n">
        <x:v>3</x:v>
      </x:c>
      <x:c r="L2287" t="str">
        <x:v>L25-S07-C3</x:v>
      </x:c>
      <x:c r="M2287" t="n">
        <x:v>0</x:v>
      </x:c>
      <x:c r="N2287" t="str">
        <x:v>DerivedFromCount</x:v>
      </x:c>
      <x:c r="O2287" t="str">
        <x:v>PLC-PRD-JAR-720-L25</x:v>
      </x:c>
      <x:c r="P2287" t="str">
        <x:v>OK</x:v>
      </x:c>
      <x:c r="Q2287" t="str">
        <x:v>OK</x:v>
      </x:c>
      <x:c r="R2287" t="str">
        <x:v>OK</x:v>
      </x:c>
      <x:c r="S2287" t="str">
        <x:v>OK</x:v>
      </x:c>
      <x:c r="T2287" t="n">
        <x:v>16</x:v>
      </x:c>
      <x:c r="U2287" t="str">
        <x:v>OK</x:v>
      </x:c>
      <x:c r="V2287" t="str">
        <x:v>OK</x:v>
      </x:c>
      <x:c r="W2287" t="str">
        <x:v>LOAD</x:v>
      </x:c>
      <x:c r="X2287" t="str">
        <x:v>02_Supervisor_Log(4).xlsx</x:v>
      </x:c>
      <x:c r="Y2287" t="str">
        <x:v>ENH-20260830-01</x:v>
      </x:c>
      <x:c r="Z2287" t="str">
        <x:v>Active</x:v>
      </x:c>
      <x:c r="AA2287"/>
      <x:c r="AB2287"/>
      <x:c r="AC2287"/>
      <x:c r="AD2287"/>
    </x:row>
    <x:row r="2288">
      <x:c r="A2288" t="str">
        <x:v>PCC-PE-KG01-L25-20251021-AM-ORD-2025-00161-S08-C1</x:v>
      </x:c>
      <x:c r="B2288" t="str">
        <x:v>PC-PE-KG01-L25-20251021-AM-ORD-2025-00161-S08</x:v>
      </x:c>
      <x:c r="C2288" t="str">
        <x:v>PE-KG01-L25-20251021-AM-ORD-2025-00161</x:v>
      </x:c>
      <x:c r="D2288" t="str">
        <x:v>KG01</x:v>
      </x:c>
      <x:c r="E2288" s="62" t="n">
        <x:v>45951</x:v>
      </x:c>
      <x:c r="F2288" t="str">
        <x:v>AM</x:v>
      </x:c>
      <x:c r="G2288" t="str">
        <x:v>A</x:v>
      </x:c>
      <x:c r="H2288" t="n">
        <x:v>25</x:v>
      </x:c>
      <x:c r="I2288" t="str">
        <x:v>ORD-2025-00161</x:v>
      </x:c>
      <x:c r="J2288" t="n">
        <x:v>8</x:v>
      </x:c>
      <x:c r="K2288" t="n">
        <x:v>1</x:v>
      </x:c>
      <x:c r="L2288" t="str">
        <x:v>L25-S08-C1</x:v>
      </x:c>
      <x:c r="M2288" t="n">
        <x:v>1</x:v>
      </x:c>
      <x:c r="N2288" t="str">
        <x:v>DerivedFromCount</x:v>
      </x:c>
      <x:c r="O2288" t="str">
        <x:v>PLC-PRD-JAR-720-L25</x:v>
      </x:c>
      <x:c r="P2288" t="str">
        <x:v>OK</x:v>
      </x:c>
      <x:c r="Q2288" t="str">
        <x:v>OK</x:v>
      </x:c>
      <x:c r="R2288" t="str">
        <x:v>OK</x:v>
      </x:c>
      <x:c r="S2288" t="str">
        <x:v>OK</x:v>
      </x:c>
      <x:c r="T2288" t="n">
        <x:v>16</x:v>
      </x:c>
      <x:c r="U2288" t="str">
        <x:v>OK</x:v>
      </x:c>
      <x:c r="V2288" t="str">
        <x:v>OK</x:v>
      </x:c>
      <x:c r="W2288" t="str">
        <x:v>LOAD</x:v>
      </x:c>
      <x:c r="X2288" t="str">
        <x:v>02_Supervisor_Log(4).xlsx</x:v>
      </x:c>
      <x:c r="Y2288" t="str">
        <x:v>ENH-20260830-01</x:v>
      </x:c>
      <x:c r="Z2288" t="str">
        <x:v>Active</x:v>
      </x:c>
      <x:c r="AA2288"/>
      <x:c r="AB2288"/>
      <x:c r="AC2288"/>
      <x:c r="AD2288"/>
    </x:row>
    <x:row r="2289">
      <x:c r="A2289" t="str">
        <x:v>PCC-PE-KG01-L25-20251021-AM-ORD-2025-00161-S08-C2</x:v>
      </x:c>
      <x:c r="B2289" t="str">
        <x:v>PC-PE-KG01-L25-20251021-AM-ORD-2025-00161-S08</x:v>
      </x:c>
      <x:c r="C2289" t="str">
        <x:v>PE-KG01-L25-20251021-AM-ORD-2025-00161</x:v>
      </x:c>
      <x:c r="D2289" t="str">
        <x:v>KG01</x:v>
      </x:c>
      <x:c r="E2289" s="62" t="n">
        <x:v>45951</x:v>
      </x:c>
      <x:c r="F2289" t="str">
        <x:v>AM</x:v>
      </x:c>
      <x:c r="G2289" t="str">
        <x:v>A</x:v>
      </x:c>
      <x:c r="H2289" t="n">
        <x:v>25</x:v>
      </x:c>
      <x:c r="I2289" t="str">
        <x:v>ORD-2025-00161</x:v>
      </x:c>
      <x:c r="J2289" t="n">
        <x:v>8</x:v>
      </x:c>
      <x:c r="K2289" t="n">
        <x:v>2</x:v>
      </x:c>
      <x:c r="L2289" t="str">
        <x:v>L25-S08-C2</x:v>
      </x:c>
      <x:c r="M2289" t="n">
        <x:v>1</x:v>
      </x:c>
      <x:c r="N2289" t="str">
        <x:v>DerivedFromCount</x:v>
      </x:c>
      <x:c r="O2289" t="str">
        <x:v>PLC-PRD-JAR-720-L25</x:v>
      </x:c>
      <x:c r="P2289" t="str">
        <x:v>OK</x:v>
      </x:c>
      <x:c r="Q2289" t="str">
        <x:v>OK</x:v>
      </x:c>
      <x:c r="R2289" t="str">
        <x:v>OK</x:v>
      </x:c>
      <x:c r="S2289" t="str">
        <x:v>OK</x:v>
      </x:c>
      <x:c r="T2289" t="n">
        <x:v>16</x:v>
      </x:c>
      <x:c r="U2289" t="str">
        <x:v>OK</x:v>
      </x:c>
      <x:c r="V2289" t="str">
        <x:v>OK</x:v>
      </x:c>
      <x:c r="W2289" t="str">
        <x:v>LOAD</x:v>
      </x:c>
      <x:c r="X2289" t="str">
        <x:v>02_Supervisor_Log(4).xlsx</x:v>
      </x:c>
      <x:c r="Y2289" t="str">
        <x:v>ENH-20260830-01</x:v>
      </x:c>
      <x:c r="Z2289" t="str">
        <x:v>Active</x:v>
      </x:c>
      <x:c r="AA2289"/>
      <x:c r="AB2289"/>
      <x:c r="AC2289"/>
      <x:c r="AD2289"/>
    </x:row>
    <x:row r="2290">
      <x:c r="A2290" t="str">
        <x:v>PCC-PE-KG01-L25-20251021-AM-ORD-2025-00161-S08-C3</x:v>
      </x:c>
      <x:c r="B2290" t="str">
        <x:v>PC-PE-KG01-L25-20251021-AM-ORD-2025-00161-S08</x:v>
      </x:c>
      <x:c r="C2290" t="str">
        <x:v>PE-KG01-L25-20251021-AM-ORD-2025-00161</x:v>
      </x:c>
      <x:c r="D2290" t="str">
        <x:v>KG01</x:v>
      </x:c>
      <x:c r="E2290" s="62" t="n">
        <x:v>45951</x:v>
      </x:c>
      <x:c r="F2290" t="str">
        <x:v>AM</x:v>
      </x:c>
      <x:c r="G2290" t="str">
        <x:v>A</x:v>
      </x:c>
      <x:c r="H2290" t="n">
        <x:v>25</x:v>
      </x:c>
      <x:c r="I2290" t="str">
        <x:v>ORD-2025-00161</x:v>
      </x:c>
      <x:c r="J2290" t="n">
        <x:v>8</x:v>
      </x:c>
      <x:c r="K2290" t="n">
        <x:v>3</x:v>
      </x:c>
      <x:c r="L2290" t="str">
        <x:v>L25-S08-C3</x:v>
      </x:c>
      <x:c r="M2290" t="n">
        <x:v>0</x:v>
      </x:c>
      <x:c r="N2290" t="str">
        <x:v>DerivedFromCount</x:v>
      </x:c>
      <x:c r="O2290" t="str">
        <x:v>PLC-PRD-JAR-720-L25</x:v>
      </x:c>
      <x:c r="P2290" t="str">
        <x:v>OK</x:v>
      </x:c>
      <x:c r="Q2290" t="str">
        <x:v>OK</x:v>
      </x:c>
      <x:c r="R2290" t="str">
        <x:v>OK</x:v>
      </x:c>
      <x:c r="S2290" t="str">
        <x:v>OK</x:v>
      </x:c>
      <x:c r="T2290" t="n">
        <x:v>16</x:v>
      </x:c>
      <x:c r="U2290" t="str">
        <x:v>OK</x:v>
      </x:c>
      <x:c r="V2290" t="str">
        <x:v>OK</x:v>
      </x:c>
      <x:c r="W2290" t="str">
        <x:v>LOAD</x:v>
      </x:c>
      <x:c r="X2290" t="str">
        <x:v>02_Supervisor_Log(4).xlsx</x:v>
      </x:c>
      <x:c r="Y2290" t="str">
        <x:v>ENH-20260830-01</x:v>
      </x:c>
      <x:c r="Z2290" t="str">
        <x:v>Active</x:v>
      </x:c>
      <x:c r="AA2290"/>
      <x:c r="AB2290"/>
      <x:c r="AC2290"/>
      <x:c r="AD2290"/>
    </x:row>
    <x:row r="2291">
      <x:c r="A2291" t="str">
        <x:v>PCC-PE-KG01-L25-20251021-AM-ORD-2025-00161-S09-C1</x:v>
      </x:c>
      <x:c r="B2291" t="str">
        <x:v>PC-PE-KG01-L25-20251021-AM-ORD-2025-00161-S09</x:v>
      </x:c>
      <x:c r="C2291" t="str">
        <x:v>PE-KG01-L25-20251021-AM-ORD-2025-00161</x:v>
      </x:c>
      <x:c r="D2291" t="str">
        <x:v>KG01</x:v>
      </x:c>
      <x:c r="E2291" s="62" t="n">
        <x:v>45951</x:v>
      </x:c>
      <x:c r="F2291" t="str">
        <x:v>AM</x:v>
      </x:c>
      <x:c r="G2291" t="str">
        <x:v>A</x:v>
      </x:c>
      <x:c r="H2291" t="n">
        <x:v>25</x:v>
      </x:c>
      <x:c r="I2291" t="str">
        <x:v>ORD-2025-00161</x:v>
      </x:c>
      <x:c r="J2291" t="n">
        <x:v>9</x:v>
      </x:c>
      <x:c r="K2291" t="n">
        <x:v>1</x:v>
      </x:c>
      <x:c r="L2291" t="str">
        <x:v>L25-S09-C1</x:v>
      </x:c>
      <x:c r="M2291" t="n">
        <x:v>0</x:v>
      </x:c>
      <x:c r="N2291" t="str">
        <x:v>DerivedFromCount</x:v>
      </x:c>
      <x:c r="O2291" t="str">
        <x:v>PLC-PRD-JAR-720-L25</x:v>
      </x:c>
      <x:c r="P2291" t="str">
        <x:v>OK</x:v>
      </x:c>
      <x:c r="Q2291" t="str">
        <x:v>OK</x:v>
      </x:c>
      <x:c r="R2291" t="str">
        <x:v>OK</x:v>
      </x:c>
      <x:c r="S2291" t="str">
        <x:v>OK</x:v>
      </x:c>
      <x:c r="T2291" t="n">
        <x:v>16</x:v>
      </x:c>
      <x:c r="U2291" t="str">
        <x:v>OK</x:v>
      </x:c>
      <x:c r="V2291" t="str">
        <x:v>OK</x:v>
      </x:c>
      <x:c r="W2291" t="str">
        <x:v>LOAD</x:v>
      </x:c>
      <x:c r="X2291" t="str">
        <x:v>02_Supervisor_Log(4).xlsx</x:v>
      </x:c>
      <x:c r="Y2291" t="str">
        <x:v>ENH-20260830-01</x:v>
      </x:c>
      <x:c r="Z2291" t="str">
        <x:v>Active</x:v>
      </x:c>
      <x:c r="AA2291"/>
      <x:c r="AB2291"/>
      <x:c r="AC2291"/>
      <x:c r="AD2291"/>
    </x:row>
    <x:row r="2292">
      <x:c r="A2292" t="str">
        <x:v>PCC-PE-KG01-L25-20251021-AM-ORD-2025-00161-S09-C2</x:v>
      </x:c>
      <x:c r="B2292" t="str">
        <x:v>PC-PE-KG01-L25-20251021-AM-ORD-2025-00161-S09</x:v>
      </x:c>
      <x:c r="C2292" t="str">
        <x:v>PE-KG01-L25-20251021-AM-ORD-2025-00161</x:v>
      </x:c>
      <x:c r="D2292" t="str">
        <x:v>KG01</x:v>
      </x:c>
      <x:c r="E2292" s="62" t="n">
        <x:v>45951</x:v>
      </x:c>
      <x:c r="F2292" t="str">
        <x:v>AM</x:v>
      </x:c>
      <x:c r="G2292" t="str">
        <x:v>A</x:v>
      </x:c>
      <x:c r="H2292" t="n">
        <x:v>25</x:v>
      </x:c>
      <x:c r="I2292" t="str">
        <x:v>ORD-2025-00161</x:v>
      </x:c>
      <x:c r="J2292" t="n">
        <x:v>9</x:v>
      </x:c>
      <x:c r="K2292" t="n">
        <x:v>2</x:v>
      </x:c>
      <x:c r="L2292" t="str">
        <x:v>L25-S09-C2</x:v>
      </x:c>
      <x:c r="M2292" t="n">
        <x:v>0</x:v>
      </x:c>
      <x:c r="N2292" t="str">
        <x:v>DerivedFromCount</x:v>
      </x:c>
      <x:c r="O2292" t="str">
        <x:v>PLC-PRD-JAR-720-L25</x:v>
      </x:c>
      <x:c r="P2292" t="str">
        <x:v>OK</x:v>
      </x:c>
      <x:c r="Q2292" t="str">
        <x:v>OK</x:v>
      </x:c>
      <x:c r="R2292" t="str">
        <x:v>OK</x:v>
      </x:c>
      <x:c r="S2292" t="str">
        <x:v>OK</x:v>
      </x:c>
      <x:c r="T2292" t="n">
        <x:v>16</x:v>
      </x:c>
      <x:c r="U2292" t="str">
        <x:v>OK</x:v>
      </x:c>
      <x:c r="V2292" t="str">
        <x:v>OK</x:v>
      </x:c>
      <x:c r="W2292" t="str">
        <x:v>LOAD</x:v>
      </x:c>
      <x:c r="X2292" t="str">
        <x:v>02_Supervisor_Log(4).xlsx</x:v>
      </x:c>
      <x:c r="Y2292" t="str">
        <x:v>ENH-20260830-01</x:v>
      </x:c>
      <x:c r="Z2292" t="str">
        <x:v>Active</x:v>
      </x:c>
      <x:c r="AA2292"/>
      <x:c r="AB2292"/>
      <x:c r="AC2292"/>
      <x:c r="AD2292"/>
    </x:row>
    <x:row r="2293">
      <x:c r="A2293" t="str">
        <x:v>PCC-PE-KG01-L25-20251021-AM-ORD-2025-00161-S09-C3</x:v>
      </x:c>
      <x:c r="B2293" t="str">
        <x:v>PC-PE-KG01-L25-20251021-AM-ORD-2025-00161-S09</x:v>
      </x:c>
      <x:c r="C2293" t="str">
        <x:v>PE-KG01-L25-20251021-AM-ORD-2025-00161</x:v>
      </x:c>
      <x:c r="D2293" t="str">
        <x:v>KG01</x:v>
      </x:c>
      <x:c r="E2293" s="62" t="n">
        <x:v>45951</x:v>
      </x:c>
      <x:c r="F2293" t="str">
        <x:v>AM</x:v>
      </x:c>
      <x:c r="G2293" t="str">
        <x:v>A</x:v>
      </x:c>
      <x:c r="H2293" t="n">
        <x:v>25</x:v>
      </x:c>
      <x:c r="I2293" t="str">
        <x:v>ORD-2025-00161</x:v>
      </x:c>
      <x:c r="J2293" t="n">
        <x:v>9</x:v>
      </x:c>
      <x:c r="K2293" t="n">
        <x:v>3</x:v>
      </x:c>
      <x:c r="L2293" t="str">
        <x:v>L25-S09-C3</x:v>
      </x:c>
      <x:c r="M2293" t="n">
        <x:v>0</x:v>
      </x:c>
      <x:c r="N2293" t="str">
        <x:v>DerivedFromCount</x:v>
      </x:c>
      <x:c r="O2293" t="str">
        <x:v>PLC-PRD-JAR-720-L25</x:v>
      </x:c>
      <x:c r="P2293" t="str">
        <x:v>OK</x:v>
      </x:c>
      <x:c r="Q2293" t="str">
        <x:v>OK</x:v>
      </x:c>
      <x:c r="R2293" t="str">
        <x:v>OK</x:v>
      </x:c>
      <x:c r="S2293" t="str">
        <x:v>OK</x:v>
      </x:c>
      <x:c r="T2293" t="n">
        <x:v>16</x:v>
      </x:c>
      <x:c r="U2293" t="str">
        <x:v>OK</x:v>
      </x:c>
      <x:c r="V2293" t="str">
        <x:v>OK</x:v>
      </x:c>
      <x:c r="W2293" t="str">
        <x:v>LOAD</x:v>
      </x:c>
      <x:c r="X2293" t="str">
        <x:v>02_Supervisor_Log(4).xlsx</x:v>
      </x:c>
      <x:c r="Y2293" t="str">
        <x:v>ENH-20260830-01</x:v>
      </x:c>
      <x:c r="Z2293" t="str">
        <x:v>Active</x:v>
      </x:c>
      <x:c r="AA2293"/>
      <x:c r="AB2293"/>
      <x:c r="AC2293"/>
      <x:c r="AD2293"/>
    </x:row>
    <x:row r="2294">
      <x:c r="A2294" t="str">
        <x:v>PCC-PE-KG01-L25-20251021-AM-ORD-2025-00161-S10-C1</x:v>
      </x:c>
      <x:c r="B2294" t="str">
        <x:v>PC-PE-KG01-L25-20251021-AM-ORD-2025-00161-S10</x:v>
      </x:c>
      <x:c r="C2294" t="str">
        <x:v>PE-KG01-L25-20251021-AM-ORD-2025-00161</x:v>
      </x:c>
      <x:c r="D2294" t="str">
        <x:v>KG01</x:v>
      </x:c>
      <x:c r="E2294" s="62" t="n">
        <x:v>45951</x:v>
      </x:c>
      <x:c r="F2294" t="str">
        <x:v>AM</x:v>
      </x:c>
      <x:c r="G2294" t="str">
        <x:v>A</x:v>
      </x:c>
      <x:c r="H2294" t="n">
        <x:v>25</x:v>
      </x:c>
      <x:c r="I2294" t="str">
        <x:v>ORD-2025-00161</x:v>
      </x:c>
      <x:c r="J2294" t="n">
        <x:v>10</x:v>
      </x:c>
      <x:c r="K2294" t="n">
        <x:v>1</x:v>
      </x:c>
      <x:c r="L2294" t="str">
        <x:v>L25-S10-C1</x:v>
      </x:c>
      <x:c r="M2294" t="n">
        <x:v>0</x:v>
      </x:c>
      <x:c r="N2294" t="str">
        <x:v>DerivedFromCount</x:v>
      </x:c>
      <x:c r="O2294" t="str">
        <x:v>PLC-PRD-JAR-720-L25</x:v>
      </x:c>
      <x:c r="P2294" t="str">
        <x:v>OK</x:v>
      </x:c>
      <x:c r="Q2294" t="str">
        <x:v>OK</x:v>
      </x:c>
      <x:c r="R2294" t="str">
        <x:v>OK</x:v>
      </x:c>
      <x:c r="S2294" t="str">
        <x:v>OK</x:v>
      </x:c>
      <x:c r="T2294" t="n">
        <x:v>16</x:v>
      </x:c>
      <x:c r="U2294" t="str">
        <x:v>OK</x:v>
      </x:c>
      <x:c r="V2294" t="str">
        <x:v>OK</x:v>
      </x:c>
      <x:c r="W2294" t="str">
        <x:v>LOAD</x:v>
      </x:c>
      <x:c r="X2294" t="str">
        <x:v>02_Supervisor_Log(4).xlsx</x:v>
      </x:c>
      <x:c r="Y2294" t="str">
        <x:v>ENH-20260830-01</x:v>
      </x:c>
      <x:c r="Z2294" t="str">
        <x:v>Active</x:v>
      </x:c>
      <x:c r="AA2294"/>
      <x:c r="AB2294"/>
      <x:c r="AC2294"/>
      <x:c r="AD2294"/>
    </x:row>
    <x:row r="2295">
      <x:c r="A2295" t="str">
        <x:v>PCC-PE-KG01-L25-20251021-AM-ORD-2025-00161-S10-C2</x:v>
      </x:c>
      <x:c r="B2295" t="str">
        <x:v>PC-PE-KG01-L25-20251021-AM-ORD-2025-00161-S10</x:v>
      </x:c>
      <x:c r="C2295" t="str">
        <x:v>PE-KG01-L25-20251021-AM-ORD-2025-00161</x:v>
      </x:c>
      <x:c r="D2295" t="str">
        <x:v>KG01</x:v>
      </x:c>
      <x:c r="E2295" s="62" t="n">
        <x:v>45951</x:v>
      </x:c>
      <x:c r="F2295" t="str">
        <x:v>AM</x:v>
      </x:c>
      <x:c r="G2295" t="str">
        <x:v>A</x:v>
      </x:c>
      <x:c r="H2295" t="n">
        <x:v>25</x:v>
      </x:c>
      <x:c r="I2295" t="str">
        <x:v>ORD-2025-00161</x:v>
      </x:c>
      <x:c r="J2295" t="n">
        <x:v>10</x:v>
      </x:c>
      <x:c r="K2295" t="n">
        <x:v>2</x:v>
      </x:c>
      <x:c r="L2295" t="str">
        <x:v>L25-S10-C2</x:v>
      </x:c>
      <x:c r="M2295" t="n">
        <x:v>0</x:v>
      </x:c>
      <x:c r="N2295" t="str">
        <x:v>DerivedFromCount</x:v>
      </x:c>
      <x:c r="O2295" t="str">
        <x:v>PLC-PRD-JAR-720-L25</x:v>
      </x:c>
      <x:c r="P2295" t="str">
        <x:v>OK</x:v>
      </x:c>
      <x:c r="Q2295" t="str">
        <x:v>OK</x:v>
      </x:c>
      <x:c r="R2295" t="str">
        <x:v>OK</x:v>
      </x:c>
      <x:c r="S2295" t="str">
        <x:v>OK</x:v>
      </x:c>
      <x:c r="T2295" t="n">
        <x:v>16</x:v>
      </x:c>
      <x:c r="U2295" t="str">
        <x:v>OK</x:v>
      </x:c>
      <x:c r="V2295" t="str">
        <x:v>OK</x:v>
      </x:c>
      <x:c r="W2295" t="str">
        <x:v>LOAD</x:v>
      </x:c>
      <x:c r="X2295" t="str">
        <x:v>02_Supervisor_Log(4).xlsx</x:v>
      </x:c>
      <x:c r="Y2295" t="str">
        <x:v>ENH-20260830-01</x:v>
      </x:c>
      <x:c r="Z2295" t="str">
        <x:v>Active</x:v>
      </x:c>
      <x:c r="AA2295"/>
      <x:c r="AB2295"/>
      <x:c r="AC2295"/>
      <x:c r="AD2295"/>
    </x:row>
    <x:row r="2296">
      <x:c r="A2296" t="str">
        <x:v>PCC-PE-KG01-L25-20251021-AM-ORD-2025-00161-S10-C3</x:v>
      </x:c>
      <x:c r="B2296" t="str">
        <x:v>PC-PE-KG01-L25-20251021-AM-ORD-2025-00161-S10</x:v>
      </x:c>
      <x:c r="C2296" t="str">
        <x:v>PE-KG01-L25-20251021-AM-ORD-2025-00161</x:v>
      </x:c>
      <x:c r="D2296" t="str">
        <x:v>KG01</x:v>
      </x:c>
      <x:c r="E2296" s="62" t="n">
        <x:v>45951</x:v>
      </x:c>
      <x:c r="F2296" t="str">
        <x:v>AM</x:v>
      </x:c>
      <x:c r="G2296" t="str">
        <x:v>A</x:v>
      </x:c>
      <x:c r="H2296" t="n">
        <x:v>25</x:v>
      </x:c>
      <x:c r="I2296" t="str">
        <x:v>ORD-2025-00161</x:v>
      </x:c>
      <x:c r="J2296" t="n">
        <x:v>10</x:v>
      </x:c>
      <x:c r="K2296" t="n">
        <x:v>3</x:v>
      </x:c>
      <x:c r="L2296" t="str">
        <x:v>L25-S10-C3</x:v>
      </x:c>
      <x:c r="M2296" t="n">
        <x:v>0</x:v>
      </x:c>
      <x:c r="N2296" t="str">
        <x:v>DerivedFromCount</x:v>
      </x:c>
      <x:c r="O2296" t="str">
        <x:v>PLC-PRD-JAR-720-L25</x:v>
      </x:c>
      <x:c r="P2296" t="str">
        <x:v>OK</x:v>
      </x:c>
      <x:c r="Q2296" t="str">
        <x:v>OK</x:v>
      </x:c>
      <x:c r="R2296" t="str">
        <x:v>OK</x:v>
      </x:c>
      <x:c r="S2296" t="str">
        <x:v>OK</x:v>
      </x:c>
      <x:c r="T2296" t="n">
        <x:v>16</x:v>
      </x:c>
      <x:c r="U2296" t="str">
        <x:v>OK</x:v>
      </x:c>
      <x:c r="V2296" t="str">
        <x:v>OK</x:v>
      </x:c>
      <x:c r="W2296" t="str">
        <x:v>LOAD</x:v>
      </x:c>
      <x:c r="X2296" t="str">
        <x:v>02_Supervisor_Log(4).xlsx</x:v>
      </x:c>
      <x:c r="Y2296" t="str">
        <x:v>ENH-20260830-01</x:v>
      </x:c>
      <x:c r="Z2296" t="str">
        <x:v>Active</x:v>
      </x:c>
      <x:c r="AA2296"/>
      <x:c r="AB2296"/>
      <x:c r="AC2296"/>
      <x:c r="AD2296"/>
    </x:row>
    <x:row r="2297">
      <x:c r="A2297" t="str">
        <x:v>PCC-PE-KG01-L25-20251021-AM-ORD-2025-00161-S11-C1</x:v>
      </x:c>
      <x:c r="B2297" t="str">
        <x:v>PC-PE-KG01-L25-20251021-AM-ORD-2025-00161-S11</x:v>
      </x:c>
      <x:c r="C2297" t="str">
        <x:v>PE-KG01-L25-20251021-AM-ORD-2025-00161</x:v>
      </x:c>
      <x:c r="D2297" t="str">
        <x:v>KG01</x:v>
      </x:c>
      <x:c r="E2297" s="62" t="n">
        <x:v>45951</x:v>
      </x:c>
      <x:c r="F2297" t="str">
        <x:v>AM</x:v>
      </x:c>
      <x:c r="G2297" t="str">
        <x:v>A</x:v>
      </x:c>
      <x:c r="H2297" t="n">
        <x:v>25</x:v>
      </x:c>
      <x:c r="I2297" t="str">
        <x:v>ORD-2025-00161</x:v>
      </x:c>
      <x:c r="J2297" t="n">
        <x:v>11</x:v>
      </x:c>
      <x:c r="K2297" t="n">
        <x:v>1</x:v>
      </x:c>
      <x:c r="L2297" t="str">
        <x:v>L25-S11-C1</x:v>
      </x:c>
      <x:c r="M2297" t="n">
        <x:v>0</x:v>
      </x:c>
      <x:c r="N2297" t="str">
        <x:v>DerivedFromCount</x:v>
      </x:c>
      <x:c r="O2297" t="str">
        <x:v>PLC-PRD-JAR-720-L25</x:v>
      </x:c>
      <x:c r="P2297" t="str">
        <x:v>OK</x:v>
      </x:c>
      <x:c r="Q2297" t="str">
        <x:v>OK</x:v>
      </x:c>
      <x:c r="R2297" t="str">
        <x:v>OK</x:v>
      </x:c>
      <x:c r="S2297" t="str">
        <x:v>OK</x:v>
      </x:c>
      <x:c r="T2297" t="n">
        <x:v>16</x:v>
      </x:c>
      <x:c r="U2297" t="str">
        <x:v>OK</x:v>
      </x:c>
      <x:c r="V2297" t="str">
        <x:v>OK</x:v>
      </x:c>
      <x:c r="W2297" t="str">
        <x:v>LOAD</x:v>
      </x:c>
      <x:c r="X2297" t="str">
        <x:v>02_Supervisor_Log(4).xlsx</x:v>
      </x:c>
      <x:c r="Y2297" t="str">
        <x:v>ENH-20260830-01</x:v>
      </x:c>
      <x:c r="Z2297" t="str">
        <x:v>Active</x:v>
      </x:c>
      <x:c r="AA2297"/>
      <x:c r="AB2297"/>
      <x:c r="AC2297"/>
      <x:c r="AD2297"/>
    </x:row>
    <x:row r="2298">
      <x:c r="A2298" t="str">
        <x:v>PCC-PE-KG01-L25-20251021-AM-ORD-2025-00161-S11-C2</x:v>
      </x:c>
      <x:c r="B2298" t="str">
        <x:v>PC-PE-KG01-L25-20251021-AM-ORD-2025-00161-S11</x:v>
      </x:c>
      <x:c r="C2298" t="str">
        <x:v>PE-KG01-L25-20251021-AM-ORD-2025-00161</x:v>
      </x:c>
      <x:c r="D2298" t="str">
        <x:v>KG01</x:v>
      </x:c>
      <x:c r="E2298" s="62" t="n">
        <x:v>45951</x:v>
      </x:c>
      <x:c r="F2298" t="str">
        <x:v>AM</x:v>
      </x:c>
      <x:c r="G2298" t="str">
        <x:v>A</x:v>
      </x:c>
      <x:c r="H2298" t="n">
        <x:v>25</x:v>
      </x:c>
      <x:c r="I2298" t="str">
        <x:v>ORD-2025-00161</x:v>
      </x:c>
      <x:c r="J2298" t="n">
        <x:v>11</x:v>
      </x:c>
      <x:c r="K2298" t="n">
        <x:v>2</x:v>
      </x:c>
      <x:c r="L2298" t="str">
        <x:v>L25-S11-C2</x:v>
      </x:c>
      <x:c r="M2298" t="n">
        <x:v>0</x:v>
      </x:c>
      <x:c r="N2298" t="str">
        <x:v>DerivedFromCount</x:v>
      </x:c>
      <x:c r="O2298" t="str">
        <x:v>PLC-PRD-JAR-720-L25</x:v>
      </x:c>
      <x:c r="P2298" t="str">
        <x:v>OK</x:v>
      </x:c>
      <x:c r="Q2298" t="str">
        <x:v>OK</x:v>
      </x:c>
      <x:c r="R2298" t="str">
        <x:v>OK</x:v>
      </x:c>
      <x:c r="S2298" t="str">
        <x:v>OK</x:v>
      </x:c>
      <x:c r="T2298" t="n">
        <x:v>16</x:v>
      </x:c>
      <x:c r="U2298" t="str">
        <x:v>OK</x:v>
      </x:c>
      <x:c r="V2298" t="str">
        <x:v>OK</x:v>
      </x:c>
      <x:c r="W2298" t="str">
        <x:v>LOAD</x:v>
      </x:c>
      <x:c r="X2298" t="str">
        <x:v>02_Supervisor_Log(4).xlsx</x:v>
      </x:c>
      <x:c r="Y2298" t="str">
        <x:v>ENH-20260830-01</x:v>
      </x:c>
      <x:c r="Z2298" t="str">
        <x:v>Active</x:v>
      </x:c>
      <x:c r="AA2298"/>
      <x:c r="AB2298"/>
      <x:c r="AC2298"/>
      <x:c r="AD2298"/>
    </x:row>
    <x:row r="2299">
      <x:c r="A2299" t="str">
        <x:v>PCC-PE-KG01-L25-20251021-AM-ORD-2025-00161-S11-C3</x:v>
      </x:c>
      <x:c r="B2299" t="str">
        <x:v>PC-PE-KG01-L25-20251021-AM-ORD-2025-00161-S11</x:v>
      </x:c>
      <x:c r="C2299" t="str">
        <x:v>PE-KG01-L25-20251021-AM-ORD-2025-00161</x:v>
      </x:c>
      <x:c r="D2299" t="str">
        <x:v>KG01</x:v>
      </x:c>
      <x:c r="E2299" s="62" t="n">
        <x:v>45951</x:v>
      </x:c>
      <x:c r="F2299" t="str">
        <x:v>AM</x:v>
      </x:c>
      <x:c r="G2299" t="str">
        <x:v>A</x:v>
      </x:c>
      <x:c r="H2299" t="n">
        <x:v>25</x:v>
      </x:c>
      <x:c r="I2299" t="str">
        <x:v>ORD-2025-00161</x:v>
      </x:c>
      <x:c r="J2299" t="n">
        <x:v>11</x:v>
      </x:c>
      <x:c r="K2299" t="n">
        <x:v>3</x:v>
      </x:c>
      <x:c r="L2299" t="str">
        <x:v>L25-S11-C3</x:v>
      </x:c>
      <x:c r="M2299" t="n">
        <x:v>0</x:v>
      </x:c>
      <x:c r="N2299" t="str">
        <x:v>DerivedFromCount</x:v>
      </x:c>
      <x:c r="O2299" t="str">
        <x:v>PLC-PRD-JAR-720-L25</x:v>
      </x:c>
      <x:c r="P2299" t="str">
        <x:v>OK</x:v>
      </x:c>
      <x:c r="Q2299" t="str">
        <x:v>OK</x:v>
      </x:c>
      <x:c r="R2299" t="str">
        <x:v>OK</x:v>
      </x:c>
      <x:c r="S2299" t="str">
        <x:v>OK</x:v>
      </x:c>
      <x:c r="T2299" t="n">
        <x:v>16</x:v>
      </x:c>
      <x:c r="U2299" t="str">
        <x:v>OK</x:v>
      </x:c>
      <x:c r="V2299" t="str">
        <x:v>OK</x:v>
      </x:c>
      <x:c r="W2299" t="str">
        <x:v>LOAD</x:v>
      </x:c>
      <x:c r="X2299" t="str">
        <x:v>02_Supervisor_Log(4).xlsx</x:v>
      </x:c>
      <x:c r="Y2299" t="str">
        <x:v>ENH-20260830-01</x:v>
      </x:c>
      <x:c r="Z2299" t="str">
        <x:v>Active</x:v>
      </x:c>
      <x:c r="AA2299"/>
      <x:c r="AB2299"/>
      <x:c r="AC2299"/>
      <x:c r="AD2299"/>
    </x:row>
    <x:row r="2300">
      <x:c r="A2300" t="str">
        <x:v>PCC-PE-KG01-L25-20251021-AM-ORD-2025-00161-S12-C1</x:v>
      </x:c>
      <x:c r="B2300" t="str">
        <x:v>PC-PE-KG01-L25-20251021-AM-ORD-2025-00161-S12</x:v>
      </x:c>
      <x:c r="C2300" t="str">
        <x:v>PE-KG01-L25-20251021-AM-ORD-2025-00161</x:v>
      </x:c>
      <x:c r="D2300" t="str">
        <x:v>KG01</x:v>
      </x:c>
      <x:c r="E2300" s="62" t="n">
        <x:v>45951</x:v>
      </x:c>
      <x:c r="F2300" t="str">
        <x:v>AM</x:v>
      </x:c>
      <x:c r="G2300" t="str">
        <x:v>A</x:v>
      </x:c>
      <x:c r="H2300" t="n">
        <x:v>25</x:v>
      </x:c>
      <x:c r="I2300" t="str">
        <x:v>ORD-2025-00161</x:v>
      </x:c>
      <x:c r="J2300" t="n">
        <x:v>12</x:v>
      </x:c>
      <x:c r="K2300" t="n">
        <x:v>1</x:v>
      </x:c>
      <x:c r="L2300" t="str">
        <x:v>L25-S12-C1</x:v>
      </x:c>
      <x:c r="M2300" t="n">
        <x:v>0</x:v>
      </x:c>
      <x:c r="N2300" t="str">
        <x:v>DerivedFromCount</x:v>
      </x:c>
      <x:c r="O2300" t="str">
        <x:v>PLC-PRD-JAR-720-L25</x:v>
      </x:c>
      <x:c r="P2300" t="str">
        <x:v>OK</x:v>
      </x:c>
      <x:c r="Q2300" t="str">
        <x:v>OK</x:v>
      </x:c>
      <x:c r="R2300" t="str">
        <x:v>OK</x:v>
      </x:c>
      <x:c r="S2300" t="str">
        <x:v>OK</x:v>
      </x:c>
      <x:c r="T2300" t="n">
        <x:v>16</x:v>
      </x:c>
      <x:c r="U2300" t="str">
        <x:v>OK</x:v>
      </x:c>
      <x:c r="V2300" t="str">
        <x:v>OK</x:v>
      </x:c>
      <x:c r="W2300" t="str">
        <x:v>LOAD</x:v>
      </x:c>
      <x:c r="X2300" t="str">
        <x:v>02_Supervisor_Log(4).xlsx</x:v>
      </x:c>
      <x:c r="Y2300" t="str">
        <x:v>ENH-20260830-01</x:v>
      </x:c>
      <x:c r="Z2300" t="str">
        <x:v>Active</x:v>
      </x:c>
      <x:c r="AA2300"/>
      <x:c r="AB2300"/>
      <x:c r="AC2300"/>
      <x:c r="AD2300"/>
    </x:row>
    <x:row r="2301">
      <x:c r="A2301" t="str">
        <x:v>PCC-PE-KG01-L25-20251021-AM-ORD-2025-00161-S12-C2</x:v>
      </x:c>
      <x:c r="B2301" t="str">
        <x:v>PC-PE-KG01-L25-20251021-AM-ORD-2025-00161-S12</x:v>
      </x:c>
      <x:c r="C2301" t="str">
        <x:v>PE-KG01-L25-20251021-AM-ORD-2025-00161</x:v>
      </x:c>
      <x:c r="D2301" t="str">
        <x:v>KG01</x:v>
      </x:c>
      <x:c r="E2301" s="62" t="n">
        <x:v>45951</x:v>
      </x:c>
      <x:c r="F2301" t="str">
        <x:v>AM</x:v>
      </x:c>
      <x:c r="G2301" t="str">
        <x:v>A</x:v>
      </x:c>
      <x:c r="H2301" t="n">
        <x:v>25</x:v>
      </x:c>
      <x:c r="I2301" t="str">
        <x:v>ORD-2025-00161</x:v>
      </x:c>
      <x:c r="J2301" t="n">
        <x:v>12</x:v>
      </x:c>
      <x:c r="K2301" t="n">
        <x:v>2</x:v>
      </x:c>
      <x:c r="L2301" t="str">
        <x:v>L25-S12-C2</x:v>
      </x:c>
      <x:c r="M2301" t="n">
        <x:v>0</x:v>
      </x:c>
      <x:c r="N2301" t="str">
        <x:v>DerivedFromCount</x:v>
      </x:c>
      <x:c r="O2301" t="str">
        <x:v>PLC-PRD-JAR-720-L25</x:v>
      </x:c>
      <x:c r="P2301" t="str">
        <x:v>OK</x:v>
      </x:c>
      <x:c r="Q2301" t="str">
        <x:v>OK</x:v>
      </x:c>
      <x:c r="R2301" t="str">
        <x:v>OK</x:v>
      </x:c>
      <x:c r="S2301" t="str">
        <x:v>OK</x:v>
      </x:c>
      <x:c r="T2301" t="n">
        <x:v>16</x:v>
      </x:c>
      <x:c r="U2301" t="str">
        <x:v>OK</x:v>
      </x:c>
      <x:c r="V2301" t="str">
        <x:v>OK</x:v>
      </x:c>
      <x:c r="W2301" t="str">
        <x:v>LOAD</x:v>
      </x:c>
      <x:c r="X2301" t="str">
        <x:v>02_Supervisor_Log(4).xlsx</x:v>
      </x:c>
      <x:c r="Y2301" t="str">
        <x:v>ENH-20260830-01</x:v>
      </x:c>
      <x:c r="Z2301" t="str">
        <x:v>Active</x:v>
      </x:c>
      <x:c r="AA2301"/>
      <x:c r="AB2301"/>
      <x:c r="AC2301"/>
      <x:c r="AD2301"/>
    </x:row>
    <x:row r="2302">
      <x:c r="A2302" t="str">
        <x:v>PCC-PE-KG01-L25-20251021-AM-ORD-2025-00161-S12-C3</x:v>
      </x:c>
      <x:c r="B2302" t="str">
        <x:v>PC-PE-KG01-L25-20251021-AM-ORD-2025-00161-S12</x:v>
      </x:c>
      <x:c r="C2302" t="str">
        <x:v>PE-KG01-L25-20251021-AM-ORD-2025-00161</x:v>
      </x:c>
      <x:c r="D2302" t="str">
        <x:v>KG01</x:v>
      </x:c>
      <x:c r="E2302" s="62" t="n">
        <x:v>45951</x:v>
      </x:c>
      <x:c r="F2302" t="str">
        <x:v>AM</x:v>
      </x:c>
      <x:c r="G2302" t="str">
        <x:v>A</x:v>
      </x:c>
      <x:c r="H2302" t="n">
        <x:v>25</x:v>
      </x:c>
      <x:c r="I2302" t="str">
        <x:v>ORD-2025-00161</x:v>
      </x:c>
      <x:c r="J2302" t="n">
        <x:v>12</x:v>
      </x:c>
      <x:c r="K2302" t="n">
        <x:v>3</x:v>
      </x:c>
      <x:c r="L2302" t="str">
        <x:v>L25-S12-C3</x:v>
      </x:c>
      <x:c r="M2302" t="n">
        <x:v>0</x:v>
      </x:c>
      <x:c r="N2302" t="str">
        <x:v>DerivedFromCount</x:v>
      </x:c>
      <x:c r="O2302" t="str">
        <x:v>PLC-PRD-JAR-720-L25</x:v>
      </x:c>
      <x:c r="P2302" t="str">
        <x:v>OK</x:v>
      </x:c>
      <x:c r="Q2302" t="str">
        <x:v>OK</x:v>
      </x:c>
      <x:c r="R2302" t="str">
        <x:v>OK</x:v>
      </x:c>
      <x:c r="S2302" t="str">
        <x:v>OK</x:v>
      </x:c>
      <x:c r="T2302" t="n">
        <x:v>16</x:v>
      </x:c>
      <x:c r="U2302" t="str">
        <x:v>OK</x:v>
      </x:c>
      <x:c r="V2302" t="str">
        <x:v>OK</x:v>
      </x:c>
      <x:c r="W2302" t="str">
        <x:v>LOAD</x:v>
      </x:c>
      <x:c r="X2302" t="str">
        <x:v>02_Supervisor_Log(4).xlsx</x:v>
      </x:c>
      <x:c r="Y2302" t="str">
        <x:v>ENH-20260830-01</x:v>
      </x:c>
      <x:c r="Z2302" t="str">
        <x:v>Active</x:v>
      </x:c>
      <x:c r="AA2302"/>
      <x:c r="AB2302"/>
      <x:c r="AC2302"/>
      <x:c r="AD2302"/>
    </x:row>
    <x:row r="2303">
      <x:c r="A2303" t="str">
        <x:v>PCC-PE-KG01-L25-20251021-AM-ORD-2025-00161-S13-C1</x:v>
      </x:c>
      <x:c r="B2303" t="str">
        <x:v>PC-PE-KG01-L25-20251021-AM-ORD-2025-00161-S13</x:v>
      </x:c>
      <x:c r="C2303" t="str">
        <x:v>PE-KG01-L25-20251021-AM-ORD-2025-00161</x:v>
      </x:c>
      <x:c r="D2303" t="str">
        <x:v>KG01</x:v>
      </x:c>
      <x:c r="E2303" s="62" t="n">
        <x:v>45951</x:v>
      </x:c>
      <x:c r="F2303" t="str">
        <x:v>AM</x:v>
      </x:c>
      <x:c r="G2303" t="str">
        <x:v>A</x:v>
      </x:c>
      <x:c r="H2303" t="n">
        <x:v>25</x:v>
      </x:c>
      <x:c r="I2303" t="str">
        <x:v>ORD-2025-00161</x:v>
      </x:c>
      <x:c r="J2303" t="n">
        <x:v>13</x:v>
      </x:c>
      <x:c r="K2303" t="n">
        <x:v>1</x:v>
      </x:c>
      <x:c r="L2303" t="str">
        <x:v>L25-S13-C1</x:v>
      </x:c>
      <x:c r="M2303" t="n">
        <x:v>0</x:v>
      </x:c>
      <x:c r="N2303" t="str">
        <x:v>DerivedFromCount</x:v>
      </x:c>
      <x:c r="O2303" t="str">
        <x:v>PLC-PRD-JAR-720-L25</x:v>
      </x:c>
      <x:c r="P2303" t="str">
        <x:v>OK</x:v>
      </x:c>
      <x:c r="Q2303" t="str">
        <x:v>OK</x:v>
      </x:c>
      <x:c r="R2303" t="str">
        <x:v>OK</x:v>
      </x:c>
      <x:c r="S2303" t="str">
        <x:v>OK</x:v>
      </x:c>
      <x:c r="T2303" t="n">
        <x:v>16</x:v>
      </x:c>
      <x:c r="U2303" t="str">
        <x:v>OK</x:v>
      </x:c>
      <x:c r="V2303" t="str">
        <x:v>OK</x:v>
      </x:c>
      <x:c r="W2303" t="str">
        <x:v>LOAD</x:v>
      </x:c>
      <x:c r="X2303" t="str">
        <x:v>02_Supervisor_Log(4).xlsx</x:v>
      </x:c>
      <x:c r="Y2303" t="str">
        <x:v>ENH-20260830-01</x:v>
      </x:c>
      <x:c r="Z2303" t="str">
        <x:v>Active</x:v>
      </x:c>
      <x:c r="AA2303"/>
      <x:c r="AB2303"/>
      <x:c r="AC2303"/>
      <x:c r="AD2303"/>
    </x:row>
    <x:row r="2304">
      <x:c r="A2304" t="str">
        <x:v>PCC-PE-KG01-L25-20251021-AM-ORD-2025-00161-S13-C2</x:v>
      </x:c>
      <x:c r="B2304" t="str">
        <x:v>PC-PE-KG01-L25-20251021-AM-ORD-2025-00161-S13</x:v>
      </x:c>
      <x:c r="C2304" t="str">
        <x:v>PE-KG01-L25-20251021-AM-ORD-2025-00161</x:v>
      </x:c>
      <x:c r="D2304" t="str">
        <x:v>KG01</x:v>
      </x:c>
      <x:c r="E2304" s="62" t="n">
        <x:v>45951</x:v>
      </x:c>
      <x:c r="F2304" t="str">
        <x:v>AM</x:v>
      </x:c>
      <x:c r="G2304" t="str">
        <x:v>A</x:v>
      </x:c>
      <x:c r="H2304" t="n">
        <x:v>25</x:v>
      </x:c>
      <x:c r="I2304" t="str">
        <x:v>ORD-2025-00161</x:v>
      </x:c>
      <x:c r="J2304" t="n">
        <x:v>13</x:v>
      </x:c>
      <x:c r="K2304" t="n">
        <x:v>2</x:v>
      </x:c>
      <x:c r="L2304" t="str">
        <x:v>L25-S13-C2</x:v>
      </x:c>
      <x:c r="M2304" t="n">
        <x:v>0</x:v>
      </x:c>
      <x:c r="N2304" t="str">
        <x:v>DerivedFromCount</x:v>
      </x:c>
      <x:c r="O2304" t="str">
        <x:v>PLC-PRD-JAR-720-L25</x:v>
      </x:c>
      <x:c r="P2304" t="str">
        <x:v>OK</x:v>
      </x:c>
      <x:c r="Q2304" t="str">
        <x:v>OK</x:v>
      </x:c>
      <x:c r="R2304" t="str">
        <x:v>OK</x:v>
      </x:c>
      <x:c r="S2304" t="str">
        <x:v>OK</x:v>
      </x:c>
      <x:c r="T2304" t="n">
        <x:v>16</x:v>
      </x:c>
      <x:c r="U2304" t="str">
        <x:v>OK</x:v>
      </x:c>
      <x:c r="V2304" t="str">
        <x:v>OK</x:v>
      </x:c>
      <x:c r="W2304" t="str">
        <x:v>LOAD</x:v>
      </x:c>
      <x:c r="X2304" t="str">
        <x:v>02_Supervisor_Log(4).xlsx</x:v>
      </x:c>
      <x:c r="Y2304" t="str">
        <x:v>ENH-20260830-01</x:v>
      </x:c>
      <x:c r="Z2304" t="str">
        <x:v>Active</x:v>
      </x:c>
      <x:c r="AA2304"/>
      <x:c r="AB2304"/>
      <x:c r="AC2304"/>
      <x:c r="AD2304"/>
    </x:row>
    <x:row r="2305">
      <x:c r="A2305" t="str">
        <x:v>PCC-PE-KG01-L25-20251021-AM-ORD-2025-00161-S13-C3</x:v>
      </x:c>
      <x:c r="B2305" t="str">
        <x:v>PC-PE-KG01-L25-20251021-AM-ORD-2025-00161-S13</x:v>
      </x:c>
      <x:c r="C2305" t="str">
        <x:v>PE-KG01-L25-20251021-AM-ORD-2025-00161</x:v>
      </x:c>
      <x:c r="D2305" t="str">
        <x:v>KG01</x:v>
      </x:c>
      <x:c r="E2305" s="62" t="n">
        <x:v>45951</x:v>
      </x:c>
      <x:c r="F2305" t="str">
        <x:v>AM</x:v>
      </x:c>
      <x:c r="G2305" t="str">
        <x:v>A</x:v>
      </x:c>
      <x:c r="H2305" t="n">
        <x:v>25</x:v>
      </x:c>
      <x:c r="I2305" t="str">
        <x:v>ORD-2025-00161</x:v>
      </x:c>
      <x:c r="J2305" t="n">
        <x:v>13</x:v>
      </x:c>
      <x:c r="K2305" t="n">
        <x:v>3</x:v>
      </x:c>
      <x:c r="L2305" t="str">
        <x:v>L25-S13-C3</x:v>
      </x:c>
      <x:c r="M2305" t="n">
        <x:v>0</x:v>
      </x:c>
      <x:c r="N2305" t="str">
        <x:v>DerivedFromCount</x:v>
      </x:c>
      <x:c r="O2305" t="str">
        <x:v>PLC-PRD-JAR-720-L25</x:v>
      </x:c>
      <x:c r="P2305" t="str">
        <x:v>OK</x:v>
      </x:c>
      <x:c r="Q2305" t="str">
        <x:v>OK</x:v>
      </x:c>
      <x:c r="R2305" t="str">
        <x:v>OK</x:v>
      </x:c>
      <x:c r="S2305" t="str">
        <x:v>OK</x:v>
      </x:c>
      <x:c r="T2305" t="n">
        <x:v>16</x:v>
      </x:c>
      <x:c r="U2305" t="str">
        <x:v>OK</x:v>
      </x:c>
      <x:c r="V2305" t="str">
        <x:v>OK</x:v>
      </x:c>
      <x:c r="W2305" t="str">
        <x:v>LOAD</x:v>
      </x:c>
      <x:c r="X2305" t="str">
        <x:v>02_Supervisor_Log(4).xlsx</x:v>
      </x:c>
      <x:c r="Y2305" t="str">
        <x:v>ENH-20260830-01</x:v>
      </x:c>
      <x:c r="Z2305" t="str">
        <x:v>Active</x:v>
      </x:c>
      <x:c r="AA2305"/>
      <x:c r="AB2305"/>
      <x:c r="AC2305"/>
      <x:c r="AD2305"/>
    </x:row>
    <x:row r="2306">
      <x:c r="A2306" t="str">
        <x:v>PCC-PE-KG01-L25-20251021-PM-ORD-2025-00161-S01-C1</x:v>
      </x:c>
      <x:c r="B2306" t="str">
        <x:v>PC-PE-KG01-L25-20251021-PM-ORD-2025-00161-S01</x:v>
      </x:c>
      <x:c r="C2306" t="str">
        <x:v>PE-KG01-L25-20251021-PM-ORD-2025-00161</x:v>
      </x:c>
      <x:c r="D2306" t="str">
        <x:v>KG01</x:v>
      </x:c>
      <x:c r="E2306" s="62" t="n">
        <x:v>45951</x:v>
      </x:c>
      <x:c r="F2306" t="str">
        <x:v>PM</x:v>
      </x:c>
      <x:c r="G2306" t="str">
        <x:v>B</x:v>
      </x:c>
      <x:c r="H2306" t="n">
        <x:v>25</x:v>
      </x:c>
      <x:c r="I2306" t="str">
        <x:v>ORD-2025-00161</x:v>
      </x:c>
      <x:c r="J2306" t="n">
        <x:v>1</x:v>
      </x:c>
      <x:c r="K2306" t="n">
        <x:v>1</x:v>
      </x:c>
      <x:c r="L2306" t="str">
        <x:v>L25-S01-C1</x:v>
      </x:c>
      <x:c r="M2306" t="n">
        <x:v>1</x:v>
      </x:c>
      <x:c r="N2306" t="str">
        <x:v>DerivedFromCount</x:v>
      </x:c>
      <x:c r="O2306" t="str">
        <x:v>PLC-PRD-JAR-720-L25</x:v>
      </x:c>
      <x:c r="P2306" t="str">
        <x:v>OK</x:v>
      </x:c>
      <x:c r="Q2306" t="str">
        <x:v>OK</x:v>
      </x:c>
      <x:c r="R2306" t="str">
        <x:v>OK</x:v>
      </x:c>
      <x:c r="S2306" t="str">
        <x:v>OK</x:v>
      </x:c>
      <x:c r="T2306" t="n">
        <x:v>16</x:v>
      </x:c>
      <x:c r="U2306" t="str">
        <x:v>OK</x:v>
      </x:c>
      <x:c r="V2306" t="str">
        <x:v>OK</x:v>
      </x:c>
      <x:c r="W2306" t="str">
        <x:v>LOAD</x:v>
      </x:c>
      <x:c r="X2306" t="str">
        <x:v>02_Supervisor_Log(4).xlsx</x:v>
      </x:c>
      <x:c r="Y2306" t="str">
        <x:v>ENH-20260830-01</x:v>
      </x:c>
      <x:c r="Z2306" t="str">
        <x:v>Active</x:v>
      </x:c>
      <x:c r="AA2306"/>
      <x:c r="AB2306"/>
      <x:c r="AC2306"/>
      <x:c r="AD2306"/>
    </x:row>
    <x:row r="2307">
      <x:c r="A2307" t="str">
        <x:v>PCC-PE-KG01-L25-20251021-PM-ORD-2025-00161-S01-C2</x:v>
      </x:c>
      <x:c r="B2307" t="str">
        <x:v>PC-PE-KG01-L25-20251021-PM-ORD-2025-00161-S01</x:v>
      </x:c>
      <x:c r="C2307" t="str">
        <x:v>PE-KG01-L25-20251021-PM-ORD-2025-00161</x:v>
      </x:c>
      <x:c r="D2307" t="str">
        <x:v>KG01</x:v>
      </x:c>
      <x:c r="E2307" s="62" t="n">
        <x:v>45951</x:v>
      </x:c>
      <x:c r="F2307" t="str">
        <x:v>PM</x:v>
      </x:c>
      <x:c r="G2307" t="str">
        <x:v>B</x:v>
      </x:c>
      <x:c r="H2307" t="n">
        <x:v>25</x:v>
      </x:c>
      <x:c r="I2307" t="str">
        <x:v>ORD-2025-00161</x:v>
      </x:c>
      <x:c r="J2307" t="n">
        <x:v>1</x:v>
      </x:c>
      <x:c r="K2307" t="n">
        <x:v>2</x:v>
      </x:c>
      <x:c r="L2307" t="str">
        <x:v>L25-S01-C2</x:v>
      </x:c>
      <x:c r="M2307" t="n">
        <x:v>1</x:v>
      </x:c>
      <x:c r="N2307" t="str">
        <x:v>DerivedFromCount</x:v>
      </x:c>
      <x:c r="O2307" t="str">
        <x:v>PLC-PRD-JAR-720-L25</x:v>
      </x:c>
      <x:c r="P2307" t="str">
        <x:v>OK</x:v>
      </x:c>
      <x:c r="Q2307" t="str">
        <x:v>OK</x:v>
      </x:c>
      <x:c r="R2307" t="str">
        <x:v>OK</x:v>
      </x:c>
      <x:c r="S2307" t="str">
        <x:v>OK</x:v>
      </x:c>
      <x:c r="T2307" t="n">
        <x:v>16</x:v>
      </x:c>
      <x:c r="U2307" t="str">
        <x:v>OK</x:v>
      </x:c>
      <x:c r="V2307" t="str">
        <x:v>OK</x:v>
      </x:c>
      <x:c r="W2307" t="str">
        <x:v>LOAD</x:v>
      </x:c>
      <x:c r="X2307" t="str">
        <x:v>02_Supervisor_Log(4).xlsx</x:v>
      </x:c>
      <x:c r="Y2307" t="str">
        <x:v>ENH-20260830-01</x:v>
      </x:c>
      <x:c r="Z2307" t="str">
        <x:v>Active</x:v>
      </x:c>
      <x:c r="AA2307"/>
      <x:c r="AB2307"/>
      <x:c r="AC2307"/>
      <x:c r="AD2307"/>
    </x:row>
    <x:row r="2308">
      <x:c r="A2308" t="str">
        <x:v>PCC-PE-KG01-L25-20251021-PM-ORD-2025-00161-S01-C3</x:v>
      </x:c>
      <x:c r="B2308" t="str">
        <x:v>PC-PE-KG01-L25-20251021-PM-ORD-2025-00161-S01</x:v>
      </x:c>
      <x:c r="C2308" t="str">
        <x:v>PE-KG01-L25-20251021-PM-ORD-2025-00161</x:v>
      </x:c>
      <x:c r="D2308" t="str">
        <x:v>KG01</x:v>
      </x:c>
      <x:c r="E2308" s="62" t="n">
        <x:v>45951</x:v>
      </x:c>
      <x:c r="F2308" t="str">
        <x:v>PM</x:v>
      </x:c>
      <x:c r="G2308" t="str">
        <x:v>B</x:v>
      </x:c>
      <x:c r="H2308" t="n">
        <x:v>25</x:v>
      </x:c>
      <x:c r="I2308" t="str">
        <x:v>ORD-2025-00161</x:v>
      </x:c>
      <x:c r="J2308" t="n">
        <x:v>1</x:v>
      </x:c>
      <x:c r="K2308" t="n">
        <x:v>3</x:v>
      </x:c>
      <x:c r="L2308" t="str">
        <x:v>L25-S01-C3</x:v>
      </x:c>
      <x:c r="M2308" t="n">
        <x:v>0</x:v>
      </x:c>
      <x:c r="N2308" t="str">
        <x:v>DerivedFromCount</x:v>
      </x:c>
      <x:c r="O2308" t="str">
        <x:v>PLC-PRD-JAR-720-L25</x:v>
      </x:c>
      <x:c r="P2308" t="str">
        <x:v>OK</x:v>
      </x:c>
      <x:c r="Q2308" t="str">
        <x:v>OK</x:v>
      </x:c>
      <x:c r="R2308" t="str">
        <x:v>OK</x:v>
      </x:c>
      <x:c r="S2308" t="str">
        <x:v>OK</x:v>
      </x:c>
      <x:c r="T2308" t="n">
        <x:v>16</x:v>
      </x:c>
      <x:c r="U2308" t="str">
        <x:v>OK</x:v>
      </x:c>
      <x:c r="V2308" t="str">
        <x:v>OK</x:v>
      </x:c>
      <x:c r="W2308" t="str">
        <x:v>LOAD</x:v>
      </x:c>
      <x:c r="X2308" t="str">
        <x:v>02_Supervisor_Log(4).xlsx</x:v>
      </x:c>
      <x:c r="Y2308" t="str">
        <x:v>ENH-20260830-01</x:v>
      </x:c>
      <x:c r="Z2308" t="str">
        <x:v>Active</x:v>
      </x:c>
      <x:c r="AA2308"/>
      <x:c r="AB2308"/>
      <x:c r="AC2308"/>
      <x:c r="AD2308"/>
    </x:row>
    <x:row r="2309">
      <x:c r="A2309" t="str">
        <x:v>PCC-PE-KG01-L25-20251021-PM-ORD-2025-00161-S02-C1</x:v>
      </x:c>
      <x:c r="B2309" t="str">
        <x:v>PC-PE-KG01-L25-20251021-PM-ORD-2025-00161-S02</x:v>
      </x:c>
      <x:c r="C2309" t="str">
        <x:v>PE-KG01-L25-20251021-PM-ORD-2025-00161</x:v>
      </x:c>
      <x:c r="D2309" t="str">
        <x:v>KG01</x:v>
      </x:c>
      <x:c r="E2309" s="62" t="n">
        <x:v>45951</x:v>
      </x:c>
      <x:c r="F2309" t="str">
        <x:v>PM</x:v>
      </x:c>
      <x:c r="G2309" t="str">
        <x:v>B</x:v>
      </x:c>
      <x:c r="H2309" t="n">
        <x:v>25</x:v>
      </x:c>
      <x:c r="I2309" t="str">
        <x:v>ORD-2025-00161</x:v>
      </x:c>
      <x:c r="J2309" t="n">
        <x:v>2</x:v>
      </x:c>
      <x:c r="K2309" t="n">
        <x:v>1</x:v>
      </x:c>
      <x:c r="L2309" t="str">
        <x:v>L25-S02-C1</x:v>
      </x:c>
      <x:c r="M2309" t="n">
        <x:v>1</x:v>
      </x:c>
      <x:c r="N2309" t="str">
        <x:v>DerivedFromCount</x:v>
      </x:c>
      <x:c r="O2309" t="str">
        <x:v>PLC-PRD-JAR-720-L25</x:v>
      </x:c>
      <x:c r="P2309" t="str">
        <x:v>OK</x:v>
      </x:c>
      <x:c r="Q2309" t="str">
        <x:v>OK</x:v>
      </x:c>
      <x:c r="R2309" t="str">
        <x:v>OK</x:v>
      </x:c>
      <x:c r="S2309" t="str">
        <x:v>OK</x:v>
      </x:c>
      <x:c r="T2309" t="n">
        <x:v>16</x:v>
      </x:c>
      <x:c r="U2309" t="str">
        <x:v>OK</x:v>
      </x:c>
      <x:c r="V2309" t="str">
        <x:v>OK</x:v>
      </x:c>
      <x:c r="W2309" t="str">
        <x:v>LOAD</x:v>
      </x:c>
      <x:c r="X2309" t="str">
        <x:v>02_Supervisor_Log(4).xlsx</x:v>
      </x:c>
      <x:c r="Y2309" t="str">
        <x:v>ENH-20260830-01</x:v>
      </x:c>
      <x:c r="Z2309" t="str">
        <x:v>Active</x:v>
      </x:c>
      <x:c r="AA2309"/>
      <x:c r="AB2309"/>
      <x:c r="AC2309"/>
      <x:c r="AD2309"/>
    </x:row>
    <x:row r="2310">
      <x:c r="A2310" t="str">
        <x:v>PCC-PE-KG01-L25-20251021-PM-ORD-2025-00161-S02-C2</x:v>
      </x:c>
      <x:c r="B2310" t="str">
        <x:v>PC-PE-KG01-L25-20251021-PM-ORD-2025-00161-S02</x:v>
      </x:c>
      <x:c r="C2310" t="str">
        <x:v>PE-KG01-L25-20251021-PM-ORD-2025-00161</x:v>
      </x:c>
      <x:c r="D2310" t="str">
        <x:v>KG01</x:v>
      </x:c>
      <x:c r="E2310" s="62" t="n">
        <x:v>45951</x:v>
      </x:c>
      <x:c r="F2310" t="str">
        <x:v>PM</x:v>
      </x:c>
      <x:c r="G2310" t="str">
        <x:v>B</x:v>
      </x:c>
      <x:c r="H2310" t="n">
        <x:v>25</x:v>
      </x:c>
      <x:c r="I2310" t="str">
        <x:v>ORD-2025-00161</x:v>
      </x:c>
      <x:c r="J2310" t="n">
        <x:v>2</x:v>
      </x:c>
      <x:c r="K2310" t="n">
        <x:v>2</x:v>
      </x:c>
      <x:c r="L2310" t="str">
        <x:v>L25-S02-C2</x:v>
      </x:c>
      <x:c r="M2310" t="n">
        <x:v>1</x:v>
      </x:c>
      <x:c r="N2310" t="str">
        <x:v>DerivedFromCount</x:v>
      </x:c>
      <x:c r="O2310" t="str">
        <x:v>PLC-PRD-JAR-720-L25</x:v>
      </x:c>
      <x:c r="P2310" t="str">
        <x:v>OK</x:v>
      </x:c>
      <x:c r="Q2310" t="str">
        <x:v>OK</x:v>
      </x:c>
      <x:c r="R2310" t="str">
        <x:v>OK</x:v>
      </x:c>
      <x:c r="S2310" t="str">
        <x:v>OK</x:v>
      </x:c>
      <x:c r="T2310" t="n">
        <x:v>16</x:v>
      </x:c>
      <x:c r="U2310" t="str">
        <x:v>OK</x:v>
      </x:c>
      <x:c r="V2310" t="str">
        <x:v>OK</x:v>
      </x:c>
      <x:c r="W2310" t="str">
        <x:v>LOAD</x:v>
      </x:c>
      <x:c r="X2310" t="str">
        <x:v>02_Supervisor_Log(4).xlsx</x:v>
      </x:c>
      <x:c r="Y2310" t="str">
        <x:v>ENH-20260830-01</x:v>
      </x:c>
      <x:c r="Z2310" t="str">
        <x:v>Active</x:v>
      </x:c>
      <x:c r="AA2310"/>
      <x:c r="AB2310"/>
      <x:c r="AC2310"/>
      <x:c r="AD2310"/>
    </x:row>
    <x:row r="2311">
      <x:c r="A2311" t="str">
        <x:v>PCC-PE-KG01-L25-20251021-PM-ORD-2025-00161-S02-C3</x:v>
      </x:c>
      <x:c r="B2311" t="str">
        <x:v>PC-PE-KG01-L25-20251021-PM-ORD-2025-00161-S02</x:v>
      </x:c>
      <x:c r="C2311" t="str">
        <x:v>PE-KG01-L25-20251021-PM-ORD-2025-00161</x:v>
      </x:c>
      <x:c r="D2311" t="str">
        <x:v>KG01</x:v>
      </x:c>
      <x:c r="E2311" s="62" t="n">
        <x:v>45951</x:v>
      </x:c>
      <x:c r="F2311" t="str">
        <x:v>PM</x:v>
      </x:c>
      <x:c r="G2311" t="str">
        <x:v>B</x:v>
      </x:c>
      <x:c r="H2311" t="n">
        <x:v>25</x:v>
      </x:c>
      <x:c r="I2311" t="str">
        <x:v>ORD-2025-00161</x:v>
      </x:c>
      <x:c r="J2311" t="n">
        <x:v>2</x:v>
      </x:c>
      <x:c r="K2311" t="n">
        <x:v>3</x:v>
      </x:c>
      <x:c r="L2311" t="str">
        <x:v>L25-S02-C3</x:v>
      </x:c>
      <x:c r="M2311" t="n">
        <x:v>0</x:v>
      </x:c>
      <x:c r="N2311" t="str">
        <x:v>DerivedFromCount</x:v>
      </x:c>
      <x:c r="O2311" t="str">
        <x:v>PLC-PRD-JAR-720-L25</x:v>
      </x:c>
      <x:c r="P2311" t="str">
        <x:v>OK</x:v>
      </x:c>
      <x:c r="Q2311" t="str">
        <x:v>OK</x:v>
      </x:c>
      <x:c r="R2311" t="str">
        <x:v>OK</x:v>
      </x:c>
      <x:c r="S2311" t="str">
        <x:v>OK</x:v>
      </x:c>
      <x:c r="T2311" t="n">
        <x:v>16</x:v>
      </x:c>
      <x:c r="U2311" t="str">
        <x:v>OK</x:v>
      </x:c>
      <x:c r="V2311" t="str">
        <x:v>OK</x:v>
      </x:c>
      <x:c r="W2311" t="str">
        <x:v>LOAD</x:v>
      </x:c>
      <x:c r="X2311" t="str">
        <x:v>02_Supervisor_Log(4).xlsx</x:v>
      </x:c>
      <x:c r="Y2311" t="str">
        <x:v>ENH-20260830-01</x:v>
      </x:c>
      <x:c r="Z2311" t="str">
        <x:v>Active</x:v>
      </x:c>
      <x:c r="AA2311"/>
      <x:c r="AB2311"/>
      <x:c r="AC2311"/>
      <x:c r="AD2311"/>
    </x:row>
    <x:row r="2312">
      <x:c r="A2312" t="str">
        <x:v>PCC-PE-KG01-L25-20251021-PM-ORD-2025-00161-S03-C1</x:v>
      </x:c>
      <x:c r="B2312" t="str">
        <x:v>PC-PE-KG01-L25-20251021-PM-ORD-2025-00161-S03</x:v>
      </x:c>
      <x:c r="C2312" t="str">
        <x:v>PE-KG01-L25-20251021-PM-ORD-2025-00161</x:v>
      </x:c>
      <x:c r="D2312" t="str">
        <x:v>KG01</x:v>
      </x:c>
      <x:c r="E2312" s="62" t="n">
        <x:v>45951</x:v>
      </x:c>
      <x:c r="F2312" t="str">
        <x:v>PM</x:v>
      </x:c>
      <x:c r="G2312" t="str">
        <x:v>B</x:v>
      </x:c>
      <x:c r="H2312" t="n">
        <x:v>25</x:v>
      </x:c>
      <x:c r="I2312" t="str">
        <x:v>ORD-2025-00161</x:v>
      </x:c>
      <x:c r="J2312" t="n">
        <x:v>3</x:v>
      </x:c>
      <x:c r="K2312" t="n">
        <x:v>1</x:v>
      </x:c>
      <x:c r="L2312" t="str">
        <x:v>L25-S03-C1</x:v>
      </x:c>
      <x:c r="M2312" t="n">
        <x:v>1</x:v>
      </x:c>
      <x:c r="N2312" t="str">
        <x:v>DerivedFromCount</x:v>
      </x:c>
      <x:c r="O2312" t="str">
        <x:v>PLC-PRD-JAR-720-L25</x:v>
      </x:c>
      <x:c r="P2312" t="str">
        <x:v>OK</x:v>
      </x:c>
      <x:c r="Q2312" t="str">
        <x:v>OK</x:v>
      </x:c>
      <x:c r="R2312" t="str">
        <x:v>OK</x:v>
      </x:c>
      <x:c r="S2312" t="str">
        <x:v>OK</x:v>
      </x:c>
      <x:c r="T2312" t="n">
        <x:v>16</x:v>
      </x:c>
      <x:c r="U2312" t="str">
        <x:v>OK</x:v>
      </x:c>
      <x:c r="V2312" t="str">
        <x:v>OK</x:v>
      </x:c>
      <x:c r="W2312" t="str">
        <x:v>LOAD</x:v>
      </x:c>
      <x:c r="X2312" t="str">
        <x:v>02_Supervisor_Log(4).xlsx</x:v>
      </x:c>
      <x:c r="Y2312" t="str">
        <x:v>ENH-20260830-01</x:v>
      </x:c>
      <x:c r="Z2312" t="str">
        <x:v>Active</x:v>
      </x:c>
      <x:c r="AA2312"/>
      <x:c r="AB2312"/>
      <x:c r="AC2312"/>
      <x:c r="AD2312"/>
    </x:row>
    <x:row r="2313">
      <x:c r="A2313" t="str">
        <x:v>PCC-PE-KG01-L25-20251021-PM-ORD-2025-00161-S03-C2</x:v>
      </x:c>
      <x:c r="B2313" t="str">
        <x:v>PC-PE-KG01-L25-20251021-PM-ORD-2025-00161-S03</x:v>
      </x:c>
      <x:c r="C2313" t="str">
        <x:v>PE-KG01-L25-20251021-PM-ORD-2025-00161</x:v>
      </x:c>
      <x:c r="D2313" t="str">
        <x:v>KG01</x:v>
      </x:c>
      <x:c r="E2313" s="62" t="n">
        <x:v>45951</x:v>
      </x:c>
      <x:c r="F2313" t="str">
        <x:v>PM</x:v>
      </x:c>
      <x:c r="G2313" t="str">
        <x:v>B</x:v>
      </x:c>
      <x:c r="H2313" t="n">
        <x:v>25</x:v>
      </x:c>
      <x:c r="I2313" t="str">
        <x:v>ORD-2025-00161</x:v>
      </x:c>
      <x:c r="J2313" t="n">
        <x:v>3</x:v>
      </x:c>
      <x:c r="K2313" t="n">
        <x:v>2</x:v>
      </x:c>
      <x:c r="L2313" t="str">
        <x:v>L25-S03-C2</x:v>
      </x:c>
      <x:c r="M2313" t="n">
        <x:v>1</x:v>
      </x:c>
      <x:c r="N2313" t="str">
        <x:v>DerivedFromCount</x:v>
      </x:c>
      <x:c r="O2313" t="str">
        <x:v>PLC-PRD-JAR-720-L25</x:v>
      </x:c>
      <x:c r="P2313" t="str">
        <x:v>OK</x:v>
      </x:c>
      <x:c r="Q2313" t="str">
        <x:v>OK</x:v>
      </x:c>
      <x:c r="R2313" t="str">
        <x:v>OK</x:v>
      </x:c>
      <x:c r="S2313" t="str">
        <x:v>OK</x:v>
      </x:c>
      <x:c r="T2313" t="n">
        <x:v>16</x:v>
      </x:c>
      <x:c r="U2313" t="str">
        <x:v>OK</x:v>
      </x:c>
      <x:c r="V2313" t="str">
        <x:v>OK</x:v>
      </x:c>
      <x:c r="W2313" t="str">
        <x:v>LOAD</x:v>
      </x:c>
      <x:c r="X2313" t="str">
        <x:v>02_Supervisor_Log(4).xlsx</x:v>
      </x:c>
      <x:c r="Y2313" t="str">
        <x:v>ENH-20260830-01</x:v>
      </x:c>
      <x:c r="Z2313" t="str">
        <x:v>Active</x:v>
      </x:c>
      <x:c r="AA2313"/>
      <x:c r="AB2313"/>
      <x:c r="AC2313"/>
      <x:c r="AD2313"/>
    </x:row>
    <x:row r="2314">
      <x:c r="A2314" t="str">
        <x:v>PCC-PE-KG01-L25-20251021-PM-ORD-2025-00161-S03-C3</x:v>
      </x:c>
      <x:c r="B2314" t="str">
        <x:v>PC-PE-KG01-L25-20251021-PM-ORD-2025-00161-S03</x:v>
      </x:c>
      <x:c r="C2314" t="str">
        <x:v>PE-KG01-L25-20251021-PM-ORD-2025-00161</x:v>
      </x:c>
      <x:c r="D2314" t="str">
        <x:v>KG01</x:v>
      </x:c>
      <x:c r="E2314" s="62" t="n">
        <x:v>45951</x:v>
      </x:c>
      <x:c r="F2314" t="str">
        <x:v>PM</x:v>
      </x:c>
      <x:c r="G2314" t="str">
        <x:v>B</x:v>
      </x:c>
      <x:c r="H2314" t="n">
        <x:v>25</x:v>
      </x:c>
      <x:c r="I2314" t="str">
        <x:v>ORD-2025-00161</x:v>
      </x:c>
      <x:c r="J2314" t="n">
        <x:v>3</x:v>
      </x:c>
      <x:c r="K2314" t="n">
        <x:v>3</x:v>
      </x:c>
      <x:c r="L2314" t="str">
        <x:v>L25-S03-C3</x:v>
      </x:c>
      <x:c r="M2314" t="n">
        <x:v>0</x:v>
      </x:c>
      <x:c r="N2314" t="str">
        <x:v>DerivedFromCount</x:v>
      </x:c>
      <x:c r="O2314" t="str">
        <x:v>PLC-PRD-JAR-720-L25</x:v>
      </x:c>
      <x:c r="P2314" t="str">
        <x:v>OK</x:v>
      </x:c>
      <x:c r="Q2314" t="str">
        <x:v>OK</x:v>
      </x:c>
      <x:c r="R2314" t="str">
        <x:v>OK</x:v>
      </x:c>
      <x:c r="S2314" t="str">
        <x:v>OK</x:v>
      </x:c>
      <x:c r="T2314" t="n">
        <x:v>16</x:v>
      </x:c>
      <x:c r="U2314" t="str">
        <x:v>OK</x:v>
      </x:c>
      <x:c r="V2314" t="str">
        <x:v>OK</x:v>
      </x:c>
      <x:c r="W2314" t="str">
        <x:v>LOAD</x:v>
      </x:c>
      <x:c r="X2314" t="str">
        <x:v>02_Supervisor_Log(4).xlsx</x:v>
      </x:c>
      <x:c r="Y2314" t="str">
        <x:v>ENH-20260830-01</x:v>
      </x:c>
      <x:c r="Z2314" t="str">
        <x:v>Active</x:v>
      </x:c>
      <x:c r="AA2314"/>
      <x:c r="AB2314"/>
      <x:c r="AC2314"/>
      <x:c r="AD2314"/>
    </x:row>
    <x:row r="2315">
      <x:c r="A2315" t="str">
        <x:v>PCC-PE-KG01-L25-20251021-PM-ORD-2025-00161-S04-C1</x:v>
      </x:c>
      <x:c r="B2315" t="str">
        <x:v>PC-PE-KG01-L25-20251021-PM-ORD-2025-00161-S04</x:v>
      </x:c>
      <x:c r="C2315" t="str">
        <x:v>PE-KG01-L25-20251021-PM-ORD-2025-00161</x:v>
      </x:c>
      <x:c r="D2315" t="str">
        <x:v>KG01</x:v>
      </x:c>
      <x:c r="E2315" s="62" t="n">
        <x:v>45951</x:v>
      </x:c>
      <x:c r="F2315" t="str">
        <x:v>PM</x:v>
      </x:c>
      <x:c r="G2315" t="str">
        <x:v>B</x:v>
      </x:c>
      <x:c r="H2315" t="n">
        <x:v>25</x:v>
      </x:c>
      <x:c r="I2315" t="str">
        <x:v>ORD-2025-00161</x:v>
      </x:c>
      <x:c r="J2315" t="n">
        <x:v>4</x:v>
      </x:c>
      <x:c r="K2315" t="n">
        <x:v>1</x:v>
      </x:c>
      <x:c r="L2315" t="str">
        <x:v>L25-S04-C1</x:v>
      </x:c>
      <x:c r="M2315" t="n">
        <x:v>1</x:v>
      </x:c>
      <x:c r="N2315" t="str">
        <x:v>DerivedFromCount</x:v>
      </x:c>
      <x:c r="O2315" t="str">
        <x:v>PLC-PRD-JAR-720-L25</x:v>
      </x:c>
      <x:c r="P2315" t="str">
        <x:v>OK</x:v>
      </x:c>
      <x:c r="Q2315" t="str">
        <x:v>OK</x:v>
      </x:c>
      <x:c r="R2315" t="str">
        <x:v>OK</x:v>
      </x:c>
      <x:c r="S2315" t="str">
        <x:v>OK</x:v>
      </x:c>
      <x:c r="T2315" t="n">
        <x:v>16</x:v>
      </x:c>
      <x:c r="U2315" t="str">
        <x:v>OK</x:v>
      </x:c>
      <x:c r="V2315" t="str">
        <x:v>OK</x:v>
      </x:c>
      <x:c r="W2315" t="str">
        <x:v>LOAD</x:v>
      </x:c>
      <x:c r="X2315" t="str">
        <x:v>02_Supervisor_Log(4).xlsx</x:v>
      </x:c>
      <x:c r="Y2315" t="str">
        <x:v>ENH-20260830-01</x:v>
      </x:c>
      <x:c r="Z2315" t="str">
        <x:v>Active</x:v>
      </x:c>
      <x:c r="AA2315"/>
      <x:c r="AB2315"/>
      <x:c r="AC2315"/>
      <x:c r="AD2315"/>
    </x:row>
    <x:row r="2316">
      <x:c r="A2316" t="str">
        <x:v>PCC-PE-KG01-L25-20251021-PM-ORD-2025-00161-S04-C2</x:v>
      </x:c>
      <x:c r="B2316" t="str">
        <x:v>PC-PE-KG01-L25-20251021-PM-ORD-2025-00161-S04</x:v>
      </x:c>
      <x:c r="C2316" t="str">
        <x:v>PE-KG01-L25-20251021-PM-ORD-2025-00161</x:v>
      </x:c>
      <x:c r="D2316" t="str">
        <x:v>KG01</x:v>
      </x:c>
      <x:c r="E2316" s="62" t="n">
        <x:v>45951</x:v>
      </x:c>
      <x:c r="F2316" t="str">
        <x:v>PM</x:v>
      </x:c>
      <x:c r="G2316" t="str">
        <x:v>B</x:v>
      </x:c>
      <x:c r="H2316" t="n">
        <x:v>25</x:v>
      </x:c>
      <x:c r="I2316" t="str">
        <x:v>ORD-2025-00161</x:v>
      </x:c>
      <x:c r="J2316" t="n">
        <x:v>4</x:v>
      </x:c>
      <x:c r="K2316" t="n">
        <x:v>2</x:v>
      </x:c>
      <x:c r="L2316" t="str">
        <x:v>L25-S04-C2</x:v>
      </x:c>
      <x:c r="M2316" t="n">
        <x:v>1</x:v>
      </x:c>
      <x:c r="N2316" t="str">
        <x:v>DerivedFromCount</x:v>
      </x:c>
      <x:c r="O2316" t="str">
        <x:v>PLC-PRD-JAR-720-L25</x:v>
      </x:c>
      <x:c r="P2316" t="str">
        <x:v>OK</x:v>
      </x:c>
      <x:c r="Q2316" t="str">
        <x:v>OK</x:v>
      </x:c>
      <x:c r="R2316" t="str">
        <x:v>OK</x:v>
      </x:c>
      <x:c r="S2316" t="str">
        <x:v>OK</x:v>
      </x:c>
      <x:c r="T2316" t="n">
        <x:v>16</x:v>
      </x:c>
      <x:c r="U2316" t="str">
        <x:v>OK</x:v>
      </x:c>
      <x:c r="V2316" t="str">
        <x:v>OK</x:v>
      </x:c>
      <x:c r="W2316" t="str">
        <x:v>LOAD</x:v>
      </x:c>
      <x:c r="X2316" t="str">
        <x:v>02_Supervisor_Log(4).xlsx</x:v>
      </x:c>
      <x:c r="Y2316" t="str">
        <x:v>ENH-20260830-01</x:v>
      </x:c>
      <x:c r="Z2316" t="str">
        <x:v>Active</x:v>
      </x:c>
      <x:c r="AA2316"/>
      <x:c r="AB2316"/>
      <x:c r="AC2316"/>
      <x:c r="AD2316"/>
    </x:row>
    <x:row r="2317">
      <x:c r="A2317" t="str">
        <x:v>PCC-PE-KG01-L25-20251021-PM-ORD-2025-00161-S04-C3</x:v>
      </x:c>
      <x:c r="B2317" t="str">
        <x:v>PC-PE-KG01-L25-20251021-PM-ORD-2025-00161-S04</x:v>
      </x:c>
      <x:c r="C2317" t="str">
        <x:v>PE-KG01-L25-20251021-PM-ORD-2025-00161</x:v>
      </x:c>
      <x:c r="D2317" t="str">
        <x:v>KG01</x:v>
      </x:c>
      <x:c r="E2317" s="62" t="n">
        <x:v>45951</x:v>
      </x:c>
      <x:c r="F2317" t="str">
        <x:v>PM</x:v>
      </x:c>
      <x:c r="G2317" t="str">
        <x:v>B</x:v>
      </x:c>
      <x:c r="H2317" t="n">
        <x:v>25</x:v>
      </x:c>
      <x:c r="I2317" t="str">
        <x:v>ORD-2025-00161</x:v>
      </x:c>
      <x:c r="J2317" t="n">
        <x:v>4</x:v>
      </x:c>
      <x:c r="K2317" t="n">
        <x:v>3</x:v>
      </x:c>
      <x:c r="L2317" t="str">
        <x:v>L25-S04-C3</x:v>
      </x:c>
      <x:c r="M2317" t="n">
        <x:v>0</x:v>
      </x:c>
      <x:c r="N2317" t="str">
        <x:v>DerivedFromCount</x:v>
      </x:c>
      <x:c r="O2317" t="str">
        <x:v>PLC-PRD-JAR-720-L25</x:v>
      </x:c>
      <x:c r="P2317" t="str">
        <x:v>OK</x:v>
      </x:c>
      <x:c r="Q2317" t="str">
        <x:v>OK</x:v>
      </x:c>
      <x:c r="R2317" t="str">
        <x:v>OK</x:v>
      </x:c>
      <x:c r="S2317" t="str">
        <x:v>OK</x:v>
      </x:c>
      <x:c r="T2317" t="n">
        <x:v>16</x:v>
      </x:c>
      <x:c r="U2317" t="str">
        <x:v>OK</x:v>
      </x:c>
      <x:c r="V2317" t="str">
        <x:v>OK</x:v>
      </x:c>
      <x:c r="W2317" t="str">
        <x:v>LOAD</x:v>
      </x:c>
      <x:c r="X2317" t="str">
        <x:v>02_Supervisor_Log(4).xlsx</x:v>
      </x:c>
      <x:c r="Y2317" t="str">
        <x:v>ENH-20260830-01</x:v>
      </x:c>
      <x:c r="Z2317" t="str">
        <x:v>Active</x:v>
      </x:c>
      <x:c r="AA2317"/>
      <x:c r="AB2317"/>
      <x:c r="AC2317"/>
      <x:c r="AD2317"/>
    </x:row>
    <x:row r="2318">
      <x:c r="A2318" t="str">
        <x:v>PCC-PE-KG01-L25-20251021-PM-ORD-2025-00161-S05-C1</x:v>
      </x:c>
      <x:c r="B2318" t="str">
        <x:v>PC-PE-KG01-L25-20251021-PM-ORD-2025-00161-S05</x:v>
      </x:c>
      <x:c r="C2318" t="str">
        <x:v>PE-KG01-L25-20251021-PM-ORD-2025-00161</x:v>
      </x:c>
      <x:c r="D2318" t="str">
        <x:v>KG01</x:v>
      </x:c>
      <x:c r="E2318" s="62" t="n">
        <x:v>45951</x:v>
      </x:c>
      <x:c r="F2318" t="str">
        <x:v>PM</x:v>
      </x:c>
      <x:c r="G2318" t="str">
        <x:v>B</x:v>
      </x:c>
      <x:c r="H2318" t="n">
        <x:v>25</x:v>
      </x:c>
      <x:c r="I2318" t="str">
        <x:v>ORD-2025-00161</x:v>
      </x:c>
      <x:c r="J2318" t="n">
        <x:v>5</x:v>
      </x:c>
      <x:c r="K2318" t="n">
        <x:v>1</x:v>
      </x:c>
      <x:c r="L2318" t="str">
        <x:v>L25-S05-C1</x:v>
      </x:c>
      <x:c r="M2318" t="n">
        <x:v>1</x:v>
      </x:c>
      <x:c r="N2318" t="str">
        <x:v>DerivedFromCount</x:v>
      </x:c>
      <x:c r="O2318" t="str">
        <x:v>PLC-PRD-JAR-720-L25</x:v>
      </x:c>
      <x:c r="P2318" t="str">
        <x:v>OK</x:v>
      </x:c>
      <x:c r="Q2318" t="str">
        <x:v>OK</x:v>
      </x:c>
      <x:c r="R2318" t="str">
        <x:v>OK</x:v>
      </x:c>
      <x:c r="S2318" t="str">
        <x:v>OK</x:v>
      </x:c>
      <x:c r="T2318" t="n">
        <x:v>16</x:v>
      </x:c>
      <x:c r="U2318" t="str">
        <x:v>OK</x:v>
      </x:c>
      <x:c r="V2318" t="str">
        <x:v>OK</x:v>
      </x:c>
      <x:c r="W2318" t="str">
        <x:v>LOAD</x:v>
      </x:c>
      <x:c r="X2318" t="str">
        <x:v>02_Supervisor_Log(4).xlsx</x:v>
      </x:c>
      <x:c r="Y2318" t="str">
        <x:v>ENH-20260830-01</x:v>
      </x:c>
      <x:c r="Z2318" t="str">
        <x:v>Active</x:v>
      </x:c>
      <x:c r="AA2318"/>
      <x:c r="AB2318"/>
      <x:c r="AC2318"/>
      <x:c r="AD2318"/>
    </x:row>
    <x:row r="2319">
      <x:c r="A2319" t="str">
        <x:v>PCC-PE-KG01-L25-20251021-PM-ORD-2025-00161-S05-C2</x:v>
      </x:c>
      <x:c r="B2319" t="str">
        <x:v>PC-PE-KG01-L25-20251021-PM-ORD-2025-00161-S05</x:v>
      </x:c>
      <x:c r="C2319" t="str">
        <x:v>PE-KG01-L25-20251021-PM-ORD-2025-00161</x:v>
      </x:c>
      <x:c r="D2319" t="str">
        <x:v>KG01</x:v>
      </x:c>
      <x:c r="E2319" s="62" t="n">
        <x:v>45951</x:v>
      </x:c>
      <x:c r="F2319" t="str">
        <x:v>PM</x:v>
      </x:c>
      <x:c r="G2319" t="str">
        <x:v>B</x:v>
      </x:c>
      <x:c r="H2319" t="n">
        <x:v>25</x:v>
      </x:c>
      <x:c r="I2319" t="str">
        <x:v>ORD-2025-00161</x:v>
      </x:c>
      <x:c r="J2319" t="n">
        <x:v>5</x:v>
      </x:c>
      <x:c r="K2319" t="n">
        <x:v>2</x:v>
      </x:c>
      <x:c r="L2319" t="str">
        <x:v>L25-S05-C2</x:v>
      </x:c>
      <x:c r="M2319" t="n">
        <x:v>1</x:v>
      </x:c>
      <x:c r="N2319" t="str">
        <x:v>DerivedFromCount</x:v>
      </x:c>
      <x:c r="O2319" t="str">
        <x:v>PLC-PRD-JAR-720-L25</x:v>
      </x:c>
      <x:c r="P2319" t="str">
        <x:v>OK</x:v>
      </x:c>
      <x:c r="Q2319" t="str">
        <x:v>OK</x:v>
      </x:c>
      <x:c r="R2319" t="str">
        <x:v>OK</x:v>
      </x:c>
      <x:c r="S2319" t="str">
        <x:v>OK</x:v>
      </x:c>
      <x:c r="T2319" t="n">
        <x:v>16</x:v>
      </x:c>
      <x:c r="U2319" t="str">
        <x:v>OK</x:v>
      </x:c>
      <x:c r="V2319" t="str">
        <x:v>OK</x:v>
      </x:c>
      <x:c r="W2319" t="str">
        <x:v>LOAD</x:v>
      </x:c>
      <x:c r="X2319" t="str">
        <x:v>02_Supervisor_Log(4).xlsx</x:v>
      </x:c>
      <x:c r="Y2319" t="str">
        <x:v>ENH-20260830-01</x:v>
      </x:c>
      <x:c r="Z2319" t="str">
        <x:v>Active</x:v>
      </x:c>
      <x:c r="AA2319"/>
      <x:c r="AB2319"/>
      <x:c r="AC2319"/>
      <x:c r="AD2319"/>
    </x:row>
    <x:row r="2320">
      <x:c r="A2320" t="str">
        <x:v>PCC-PE-KG01-L25-20251021-PM-ORD-2025-00161-S05-C3</x:v>
      </x:c>
      <x:c r="B2320" t="str">
        <x:v>PC-PE-KG01-L25-20251021-PM-ORD-2025-00161-S05</x:v>
      </x:c>
      <x:c r="C2320" t="str">
        <x:v>PE-KG01-L25-20251021-PM-ORD-2025-00161</x:v>
      </x:c>
      <x:c r="D2320" t="str">
        <x:v>KG01</x:v>
      </x:c>
      <x:c r="E2320" s="62" t="n">
        <x:v>45951</x:v>
      </x:c>
      <x:c r="F2320" t="str">
        <x:v>PM</x:v>
      </x:c>
      <x:c r="G2320" t="str">
        <x:v>B</x:v>
      </x:c>
      <x:c r="H2320" t="n">
        <x:v>25</x:v>
      </x:c>
      <x:c r="I2320" t="str">
        <x:v>ORD-2025-00161</x:v>
      </x:c>
      <x:c r="J2320" t="n">
        <x:v>5</x:v>
      </x:c>
      <x:c r="K2320" t="n">
        <x:v>3</x:v>
      </x:c>
      <x:c r="L2320" t="str">
        <x:v>L25-S05-C3</x:v>
      </x:c>
      <x:c r="M2320" t="n">
        <x:v>0</x:v>
      </x:c>
      <x:c r="N2320" t="str">
        <x:v>DerivedFromCount</x:v>
      </x:c>
      <x:c r="O2320" t="str">
        <x:v>PLC-PRD-JAR-720-L25</x:v>
      </x:c>
      <x:c r="P2320" t="str">
        <x:v>OK</x:v>
      </x:c>
      <x:c r="Q2320" t="str">
        <x:v>OK</x:v>
      </x:c>
      <x:c r="R2320" t="str">
        <x:v>OK</x:v>
      </x:c>
      <x:c r="S2320" t="str">
        <x:v>OK</x:v>
      </x:c>
      <x:c r="T2320" t="n">
        <x:v>16</x:v>
      </x:c>
      <x:c r="U2320" t="str">
        <x:v>OK</x:v>
      </x:c>
      <x:c r="V2320" t="str">
        <x:v>OK</x:v>
      </x:c>
      <x:c r="W2320" t="str">
        <x:v>LOAD</x:v>
      </x:c>
      <x:c r="X2320" t="str">
        <x:v>02_Supervisor_Log(4).xlsx</x:v>
      </x:c>
      <x:c r="Y2320" t="str">
        <x:v>ENH-20260830-01</x:v>
      </x:c>
      <x:c r="Z2320" t="str">
        <x:v>Active</x:v>
      </x:c>
      <x:c r="AA2320"/>
      <x:c r="AB2320"/>
      <x:c r="AC2320"/>
      <x:c r="AD2320"/>
    </x:row>
    <x:row r="2321">
      <x:c r="A2321" t="str">
        <x:v>PCC-PE-KG01-L25-20251021-PM-ORD-2025-00161-S06-C1</x:v>
      </x:c>
      <x:c r="B2321" t="str">
        <x:v>PC-PE-KG01-L25-20251021-PM-ORD-2025-00161-S06</x:v>
      </x:c>
      <x:c r="C2321" t="str">
        <x:v>PE-KG01-L25-20251021-PM-ORD-2025-00161</x:v>
      </x:c>
      <x:c r="D2321" t="str">
        <x:v>KG01</x:v>
      </x:c>
      <x:c r="E2321" s="62" t="n">
        <x:v>45951</x:v>
      </x:c>
      <x:c r="F2321" t="str">
        <x:v>PM</x:v>
      </x:c>
      <x:c r="G2321" t="str">
        <x:v>B</x:v>
      </x:c>
      <x:c r="H2321" t="n">
        <x:v>25</x:v>
      </x:c>
      <x:c r="I2321" t="str">
        <x:v>ORD-2025-00161</x:v>
      </x:c>
      <x:c r="J2321" t="n">
        <x:v>6</x:v>
      </x:c>
      <x:c r="K2321" t="n">
        <x:v>1</x:v>
      </x:c>
      <x:c r="L2321" t="str">
        <x:v>L25-S06-C1</x:v>
      </x:c>
      <x:c r="M2321" t="n">
        <x:v>1</x:v>
      </x:c>
      <x:c r="N2321" t="str">
        <x:v>DerivedFromCount</x:v>
      </x:c>
      <x:c r="O2321" t="str">
        <x:v>PLC-PRD-JAR-720-L25</x:v>
      </x:c>
      <x:c r="P2321" t="str">
        <x:v>OK</x:v>
      </x:c>
      <x:c r="Q2321" t="str">
        <x:v>OK</x:v>
      </x:c>
      <x:c r="R2321" t="str">
        <x:v>OK</x:v>
      </x:c>
      <x:c r="S2321" t="str">
        <x:v>OK</x:v>
      </x:c>
      <x:c r="T2321" t="n">
        <x:v>16</x:v>
      </x:c>
      <x:c r="U2321" t="str">
        <x:v>OK</x:v>
      </x:c>
      <x:c r="V2321" t="str">
        <x:v>OK</x:v>
      </x:c>
      <x:c r="W2321" t="str">
        <x:v>LOAD</x:v>
      </x:c>
      <x:c r="X2321" t="str">
        <x:v>02_Supervisor_Log(4).xlsx</x:v>
      </x:c>
      <x:c r="Y2321" t="str">
        <x:v>ENH-20260830-01</x:v>
      </x:c>
      <x:c r="Z2321" t="str">
        <x:v>Active</x:v>
      </x:c>
      <x:c r="AA2321"/>
      <x:c r="AB2321"/>
      <x:c r="AC2321"/>
      <x:c r="AD2321"/>
    </x:row>
    <x:row r="2322">
      <x:c r="A2322" t="str">
        <x:v>PCC-PE-KG01-L25-20251021-PM-ORD-2025-00161-S06-C2</x:v>
      </x:c>
      <x:c r="B2322" t="str">
        <x:v>PC-PE-KG01-L25-20251021-PM-ORD-2025-00161-S06</x:v>
      </x:c>
      <x:c r="C2322" t="str">
        <x:v>PE-KG01-L25-20251021-PM-ORD-2025-00161</x:v>
      </x:c>
      <x:c r="D2322" t="str">
        <x:v>KG01</x:v>
      </x:c>
      <x:c r="E2322" s="62" t="n">
        <x:v>45951</x:v>
      </x:c>
      <x:c r="F2322" t="str">
        <x:v>PM</x:v>
      </x:c>
      <x:c r="G2322" t="str">
        <x:v>B</x:v>
      </x:c>
      <x:c r="H2322" t="n">
        <x:v>25</x:v>
      </x:c>
      <x:c r="I2322" t="str">
        <x:v>ORD-2025-00161</x:v>
      </x:c>
      <x:c r="J2322" t="n">
        <x:v>6</x:v>
      </x:c>
      <x:c r="K2322" t="n">
        <x:v>2</x:v>
      </x:c>
      <x:c r="L2322" t="str">
        <x:v>L25-S06-C2</x:v>
      </x:c>
      <x:c r="M2322" t="n">
        <x:v>1</x:v>
      </x:c>
      <x:c r="N2322" t="str">
        <x:v>DerivedFromCount</x:v>
      </x:c>
      <x:c r="O2322" t="str">
        <x:v>PLC-PRD-JAR-720-L25</x:v>
      </x:c>
      <x:c r="P2322" t="str">
        <x:v>OK</x:v>
      </x:c>
      <x:c r="Q2322" t="str">
        <x:v>OK</x:v>
      </x:c>
      <x:c r="R2322" t="str">
        <x:v>OK</x:v>
      </x:c>
      <x:c r="S2322" t="str">
        <x:v>OK</x:v>
      </x:c>
      <x:c r="T2322" t="n">
        <x:v>16</x:v>
      </x:c>
      <x:c r="U2322" t="str">
        <x:v>OK</x:v>
      </x:c>
      <x:c r="V2322" t="str">
        <x:v>OK</x:v>
      </x:c>
      <x:c r="W2322" t="str">
        <x:v>LOAD</x:v>
      </x:c>
      <x:c r="X2322" t="str">
        <x:v>02_Supervisor_Log(4).xlsx</x:v>
      </x:c>
      <x:c r="Y2322" t="str">
        <x:v>ENH-20260830-01</x:v>
      </x:c>
      <x:c r="Z2322" t="str">
        <x:v>Active</x:v>
      </x:c>
      <x:c r="AA2322"/>
      <x:c r="AB2322"/>
      <x:c r="AC2322"/>
      <x:c r="AD2322"/>
    </x:row>
    <x:row r="2323">
      <x:c r="A2323" t="str">
        <x:v>PCC-PE-KG01-L25-20251021-PM-ORD-2025-00161-S06-C3</x:v>
      </x:c>
      <x:c r="B2323" t="str">
        <x:v>PC-PE-KG01-L25-20251021-PM-ORD-2025-00161-S06</x:v>
      </x:c>
      <x:c r="C2323" t="str">
        <x:v>PE-KG01-L25-20251021-PM-ORD-2025-00161</x:v>
      </x:c>
      <x:c r="D2323" t="str">
        <x:v>KG01</x:v>
      </x:c>
      <x:c r="E2323" s="62" t="n">
        <x:v>45951</x:v>
      </x:c>
      <x:c r="F2323" t="str">
        <x:v>PM</x:v>
      </x:c>
      <x:c r="G2323" t="str">
        <x:v>B</x:v>
      </x:c>
      <x:c r="H2323" t="n">
        <x:v>25</x:v>
      </x:c>
      <x:c r="I2323" t="str">
        <x:v>ORD-2025-00161</x:v>
      </x:c>
      <x:c r="J2323" t="n">
        <x:v>6</x:v>
      </x:c>
      <x:c r="K2323" t="n">
        <x:v>3</x:v>
      </x:c>
      <x:c r="L2323" t="str">
        <x:v>L25-S06-C3</x:v>
      </x:c>
      <x:c r="M2323" t="n">
        <x:v>0</x:v>
      </x:c>
      <x:c r="N2323" t="str">
        <x:v>DerivedFromCount</x:v>
      </x:c>
      <x:c r="O2323" t="str">
        <x:v>PLC-PRD-JAR-720-L25</x:v>
      </x:c>
      <x:c r="P2323" t="str">
        <x:v>OK</x:v>
      </x:c>
      <x:c r="Q2323" t="str">
        <x:v>OK</x:v>
      </x:c>
      <x:c r="R2323" t="str">
        <x:v>OK</x:v>
      </x:c>
      <x:c r="S2323" t="str">
        <x:v>OK</x:v>
      </x:c>
      <x:c r="T2323" t="n">
        <x:v>16</x:v>
      </x:c>
      <x:c r="U2323" t="str">
        <x:v>OK</x:v>
      </x:c>
      <x:c r="V2323" t="str">
        <x:v>OK</x:v>
      </x:c>
      <x:c r="W2323" t="str">
        <x:v>LOAD</x:v>
      </x:c>
      <x:c r="X2323" t="str">
        <x:v>02_Supervisor_Log(4).xlsx</x:v>
      </x:c>
      <x:c r="Y2323" t="str">
        <x:v>ENH-20260830-01</x:v>
      </x:c>
      <x:c r="Z2323" t="str">
        <x:v>Active</x:v>
      </x:c>
      <x:c r="AA2323"/>
      <x:c r="AB2323"/>
      <x:c r="AC2323"/>
      <x:c r="AD2323"/>
    </x:row>
    <x:row r="2324">
      <x:c r="A2324" t="str">
        <x:v>PCC-PE-KG01-L25-20251021-PM-ORD-2025-00161-S07-C1</x:v>
      </x:c>
      <x:c r="B2324" t="str">
        <x:v>PC-PE-KG01-L25-20251021-PM-ORD-2025-00161-S07</x:v>
      </x:c>
      <x:c r="C2324" t="str">
        <x:v>PE-KG01-L25-20251021-PM-ORD-2025-00161</x:v>
      </x:c>
      <x:c r="D2324" t="str">
        <x:v>KG01</x:v>
      </x:c>
      <x:c r="E2324" s="62" t="n">
        <x:v>45951</x:v>
      </x:c>
      <x:c r="F2324" t="str">
        <x:v>PM</x:v>
      </x:c>
      <x:c r="G2324" t="str">
        <x:v>B</x:v>
      </x:c>
      <x:c r="H2324" t="n">
        <x:v>25</x:v>
      </x:c>
      <x:c r="I2324" t="str">
        <x:v>ORD-2025-00161</x:v>
      </x:c>
      <x:c r="J2324" t="n">
        <x:v>7</x:v>
      </x:c>
      <x:c r="K2324" t="n">
        <x:v>1</x:v>
      </x:c>
      <x:c r="L2324" t="str">
        <x:v>L25-S07-C1</x:v>
      </x:c>
      <x:c r="M2324" t="n">
        <x:v>1</x:v>
      </x:c>
      <x:c r="N2324" t="str">
        <x:v>DerivedFromCount</x:v>
      </x:c>
      <x:c r="O2324" t="str">
        <x:v>PLC-PRD-JAR-720-L25</x:v>
      </x:c>
      <x:c r="P2324" t="str">
        <x:v>OK</x:v>
      </x:c>
      <x:c r="Q2324" t="str">
        <x:v>OK</x:v>
      </x:c>
      <x:c r="R2324" t="str">
        <x:v>OK</x:v>
      </x:c>
      <x:c r="S2324" t="str">
        <x:v>OK</x:v>
      </x:c>
      <x:c r="T2324" t="n">
        <x:v>16</x:v>
      </x:c>
      <x:c r="U2324" t="str">
        <x:v>OK</x:v>
      </x:c>
      <x:c r="V2324" t="str">
        <x:v>OK</x:v>
      </x:c>
      <x:c r="W2324" t="str">
        <x:v>LOAD</x:v>
      </x:c>
      <x:c r="X2324" t="str">
        <x:v>02_Supervisor_Log(4).xlsx</x:v>
      </x:c>
      <x:c r="Y2324" t="str">
        <x:v>ENH-20260830-01</x:v>
      </x:c>
      <x:c r="Z2324" t="str">
        <x:v>Active</x:v>
      </x:c>
      <x:c r="AA2324"/>
      <x:c r="AB2324"/>
      <x:c r="AC2324"/>
      <x:c r="AD2324"/>
    </x:row>
    <x:row r="2325">
      <x:c r="A2325" t="str">
        <x:v>PCC-PE-KG01-L25-20251021-PM-ORD-2025-00161-S07-C2</x:v>
      </x:c>
      <x:c r="B2325" t="str">
        <x:v>PC-PE-KG01-L25-20251021-PM-ORD-2025-00161-S07</x:v>
      </x:c>
      <x:c r="C2325" t="str">
        <x:v>PE-KG01-L25-20251021-PM-ORD-2025-00161</x:v>
      </x:c>
      <x:c r="D2325" t="str">
        <x:v>KG01</x:v>
      </x:c>
      <x:c r="E2325" s="62" t="n">
        <x:v>45951</x:v>
      </x:c>
      <x:c r="F2325" t="str">
        <x:v>PM</x:v>
      </x:c>
      <x:c r="G2325" t="str">
        <x:v>B</x:v>
      </x:c>
      <x:c r="H2325" t="n">
        <x:v>25</x:v>
      </x:c>
      <x:c r="I2325" t="str">
        <x:v>ORD-2025-00161</x:v>
      </x:c>
      <x:c r="J2325" t="n">
        <x:v>7</x:v>
      </x:c>
      <x:c r="K2325" t="n">
        <x:v>2</x:v>
      </x:c>
      <x:c r="L2325" t="str">
        <x:v>L25-S07-C2</x:v>
      </x:c>
      <x:c r="M2325" t="n">
        <x:v>1</x:v>
      </x:c>
      <x:c r="N2325" t="str">
        <x:v>DerivedFromCount</x:v>
      </x:c>
      <x:c r="O2325" t="str">
        <x:v>PLC-PRD-JAR-720-L25</x:v>
      </x:c>
      <x:c r="P2325" t="str">
        <x:v>OK</x:v>
      </x:c>
      <x:c r="Q2325" t="str">
        <x:v>OK</x:v>
      </x:c>
      <x:c r="R2325" t="str">
        <x:v>OK</x:v>
      </x:c>
      <x:c r="S2325" t="str">
        <x:v>OK</x:v>
      </x:c>
      <x:c r="T2325" t="n">
        <x:v>16</x:v>
      </x:c>
      <x:c r="U2325" t="str">
        <x:v>OK</x:v>
      </x:c>
      <x:c r="V2325" t="str">
        <x:v>OK</x:v>
      </x:c>
      <x:c r="W2325" t="str">
        <x:v>LOAD</x:v>
      </x:c>
      <x:c r="X2325" t="str">
        <x:v>02_Supervisor_Log(4).xlsx</x:v>
      </x:c>
      <x:c r="Y2325" t="str">
        <x:v>ENH-20260830-01</x:v>
      </x:c>
      <x:c r="Z2325" t="str">
        <x:v>Active</x:v>
      </x:c>
      <x:c r="AA2325"/>
      <x:c r="AB2325"/>
      <x:c r="AC2325"/>
      <x:c r="AD2325"/>
    </x:row>
    <x:row r="2326">
      <x:c r="A2326" t="str">
        <x:v>PCC-PE-KG01-L25-20251021-PM-ORD-2025-00161-S07-C3</x:v>
      </x:c>
      <x:c r="B2326" t="str">
        <x:v>PC-PE-KG01-L25-20251021-PM-ORD-2025-00161-S07</x:v>
      </x:c>
      <x:c r="C2326" t="str">
        <x:v>PE-KG01-L25-20251021-PM-ORD-2025-00161</x:v>
      </x:c>
      <x:c r="D2326" t="str">
        <x:v>KG01</x:v>
      </x:c>
      <x:c r="E2326" s="62" t="n">
        <x:v>45951</x:v>
      </x:c>
      <x:c r="F2326" t="str">
        <x:v>PM</x:v>
      </x:c>
      <x:c r="G2326" t="str">
        <x:v>B</x:v>
      </x:c>
      <x:c r="H2326" t="n">
        <x:v>25</x:v>
      </x:c>
      <x:c r="I2326" t="str">
        <x:v>ORD-2025-00161</x:v>
      </x:c>
      <x:c r="J2326" t="n">
        <x:v>7</x:v>
      </x:c>
      <x:c r="K2326" t="n">
        <x:v>3</x:v>
      </x:c>
      <x:c r="L2326" t="str">
        <x:v>L25-S07-C3</x:v>
      </x:c>
      <x:c r="M2326" t="n">
        <x:v>0</x:v>
      </x:c>
      <x:c r="N2326" t="str">
        <x:v>DerivedFromCount</x:v>
      </x:c>
      <x:c r="O2326" t="str">
        <x:v>PLC-PRD-JAR-720-L25</x:v>
      </x:c>
      <x:c r="P2326" t="str">
        <x:v>OK</x:v>
      </x:c>
      <x:c r="Q2326" t="str">
        <x:v>OK</x:v>
      </x:c>
      <x:c r="R2326" t="str">
        <x:v>OK</x:v>
      </x:c>
      <x:c r="S2326" t="str">
        <x:v>OK</x:v>
      </x:c>
      <x:c r="T2326" t="n">
        <x:v>16</x:v>
      </x:c>
      <x:c r="U2326" t="str">
        <x:v>OK</x:v>
      </x:c>
      <x:c r="V2326" t="str">
        <x:v>OK</x:v>
      </x:c>
      <x:c r="W2326" t="str">
        <x:v>LOAD</x:v>
      </x:c>
      <x:c r="X2326" t="str">
        <x:v>02_Supervisor_Log(4).xlsx</x:v>
      </x:c>
      <x:c r="Y2326" t="str">
        <x:v>ENH-20260830-01</x:v>
      </x:c>
      <x:c r="Z2326" t="str">
        <x:v>Active</x:v>
      </x:c>
      <x:c r="AA2326"/>
      <x:c r="AB2326"/>
      <x:c r="AC2326"/>
      <x:c r="AD2326"/>
    </x:row>
    <x:row r="2327">
      <x:c r="A2327" t="str">
        <x:v>PCC-PE-KG01-L25-20251021-PM-ORD-2025-00161-S08-C1</x:v>
      </x:c>
      <x:c r="B2327" t="str">
        <x:v>PC-PE-KG01-L25-20251021-PM-ORD-2025-00161-S08</x:v>
      </x:c>
      <x:c r="C2327" t="str">
        <x:v>PE-KG01-L25-20251021-PM-ORD-2025-00161</x:v>
      </x:c>
      <x:c r="D2327" t="str">
        <x:v>KG01</x:v>
      </x:c>
      <x:c r="E2327" s="62" t="n">
        <x:v>45951</x:v>
      </x:c>
      <x:c r="F2327" t="str">
        <x:v>PM</x:v>
      </x:c>
      <x:c r="G2327" t="str">
        <x:v>B</x:v>
      </x:c>
      <x:c r="H2327" t="n">
        <x:v>25</x:v>
      </x:c>
      <x:c r="I2327" t="str">
        <x:v>ORD-2025-00161</x:v>
      </x:c>
      <x:c r="J2327" t="n">
        <x:v>8</x:v>
      </x:c>
      <x:c r="K2327" t="n">
        <x:v>1</x:v>
      </x:c>
      <x:c r="L2327" t="str">
        <x:v>L25-S08-C1</x:v>
      </x:c>
      <x:c r="M2327" t="n">
        <x:v>1</x:v>
      </x:c>
      <x:c r="N2327" t="str">
        <x:v>DerivedFromCount</x:v>
      </x:c>
      <x:c r="O2327" t="str">
        <x:v>PLC-PRD-JAR-720-L25</x:v>
      </x:c>
      <x:c r="P2327" t="str">
        <x:v>OK</x:v>
      </x:c>
      <x:c r="Q2327" t="str">
        <x:v>OK</x:v>
      </x:c>
      <x:c r="R2327" t="str">
        <x:v>OK</x:v>
      </x:c>
      <x:c r="S2327" t="str">
        <x:v>OK</x:v>
      </x:c>
      <x:c r="T2327" t="n">
        <x:v>16</x:v>
      </x:c>
      <x:c r="U2327" t="str">
        <x:v>OK</x:v>
      </x:c>
      <x:c r="V2327" t="str">
        <x:v>OK</x:v>
      </x:c>
      <x:c r="W2327" t="str">
        <x:v>LOAD</x:v>
      </x:c>
      <x:c r="X2327" t="str">
        <x:v>02_Supervisor_Log(4).xlsx</x:v>
      </x:c>
      <x:c r="Y2327" t="str">
        <x:v>ENH-20260830-01</x:v>
      </x:c>
      <x:c r="Z2327" t="str">
        <x:v>Active</x:v>
      </x:c>
      <x:c r="AA2327"/>
      <x:c r="AB2327"/>
      <x:c r="AC2327"/>
      <x:c r="AD2327"/>
    </x:row>
    <x:row r="2328">
      <x:c r="A2328" t="str">
        <x:v>PCC-PE-KG01-L25-20251021-PM-ORD-2025-00161-S08-C2</x:v>
      </x:c>
      <x:c r="B2328" t="str">
        <x:v>PC-PE-KG01-L25-20251021-PM-ORD-2025-00161-S08</x:v>
      </x:c>
      <x:c r="C2328" t="str">
        <x:v>PE-KG01-L25-20251021-PM-ORD-2025-00161</x:v>
      </x:c>
      <x:c r="D2328" t="str">
        <x:v>KG01</x:v>
      </x:c>
      <x:c r="E2328" s="62" t="n">
        <x:v>45951</x:v>
      </x:c>
      <x:c r="F2328" t="str">
        <x:v>PM</x:v>
      </x:c>
      <x:c r="G2328" t="str">
        <x:v>B</x:v>
      </x:c>
      <x:c r="H2328" t="n">
        <x:v>25</x:v>
      </x:c>
      <x:c r="I2328" t="str">
        <x:v>ORD-2025-00161</x:v>
      </x:c>
      <x:c r="J2328" t="n">
        <x:v>8</x:v>
      </x:c>
      <x:c r="K2328" t="n">
        <x:v>2</x:v>
      </x:c>
      <x:c r="L2328" t="str">
        <x:v>L25-S08-C2</x:v>
      </x:c>
      <x:c r="M2328" t="n">
        <x:v>1</x:v>
      </x:c>
      <x:c r="N2328" t="str">
        <x:v>DerivedFromCount</x:v>
      </x:c>
      <x:c r="O2328" t="str">
        <x:v>PLC-PRD-JAR-720-L25</x:v>
      </x:c>
      <x:c r="P2328" t="str">
        <x:v>OK</x:v>
      </x:c>
      <x:c r="Q2328" t="str">
        <x:v>OK</x:v>
      </x:c>
      <x:c r="R2328" t="str">
        <x:v>OK</x:v>
      </x:c>
      <x:c r="S2328" t="str">
        <x:v>OK</x:v>
      </x:c>
      <x:c r="T2328" t="n">
        <x:v>16</x:v>
      </x:c>
      <x:c r="U2328" t="str">
        <x:v>OK</x:v>
      </x:c>
      <x:c r="V2328" t="str">
        <x:v>OK</x:v>
      </x:c>
      <x:c r="W2328" t="str">
        <x:v>LOAD</x:v>
      </x:c>
      <x:c r="X2328" t="str">
        <x:v>02_Supervisor_Log(4).xlsx</x:v>
      </x:c>
      <x:c r="Y2328" t="str">
        <x:v>ENH-20260830-01</x:v>
      </x:c>
      <x:c r="Z2328" t="str">
        <x:v>Active</x:v>
      </x:c>
      <x:c r="AA2328"/>
      <x:c r="AB2328"/>
      <x:c r="AC2328"/>
      <x:c r="AD2328"/>
    </x:row>
    <x:row r="2329">
      <x:c r="A2329" t="str">
        <x:v>PCC-PE-KG01-L25-20251021-PM-ORD-2025-00161-S08-C3</x:v>
      </x:c>
      <x:c r="B2329" t="str">
        <x:v>PC-PE-KG01-L25-20251021-PM-ORD-2025-00161-S08</x:v>
      </x:c>
      <x:c r="C2329" t="str">
        <x:v>PE-KG01-L25-20251021-PM-ORD-2025-00161</x:v>
      </x:c>
      <x:c r="D2329" t="str">
        <x:v>KG01</x:v>
      </x:c>
      <x:c r="E2329" s="62" t="n">
        <x:v>45951</x:v>
      </x:c>
      <x:c r="F2329" t="str">
        <x:v>PM</x:v>
      </x:c>
      <x:c r="G2329" t="str">
        <x:v>B</x:v>
      </x:c>
      <x:c r="H2329" t="n">
        <x:v>25</x:v>
      </x:c>
      <x:c r="I2329" t="str">
        <x:v>ORD-2025-00161</x:v>
      </x:c>
      <x:c r="J2329" t="n">
        <x:v>8</x:v>
      </x:c>
      <x:c r="K2329" t="n">
        <x:v>3</x:v>
      </x:c>
      <x:c r="L2329" t="str">
        <x:v>L25-S08-C3</x:v>
      </x:c>
      <x:c r="M2329" t="n">
        <x:v>0</x:v>
      </x:c>
      <x:c r="N2329" t="str">
        <x:v>DerivedFromCount</x:v>
      </x:c>
      <x:c r="O2329" t="str">
        <x:v>PLC-PRD-JAR-720-L25</x:v>
      </x:c>
      <x:c r="P2329" t="str">
        <x:v>OK</x:v>
      </x:c>
      <x:c r="Q2329" t="str">
        <x:v>OK</x:v>
      </x:c>
      <x:c r="R2329" t="str">
        <x:v>OK</x:v>
      </x:c>
      <x:c r="S2329" t="str">
        <x:v>OK</x:v>
      </x:c>
      <x:c r="T2329" t="n">
        <x:v>16</x:v>
      </x:c>
      <x:c r="U2329" t="str">
        <x:v>OK</x:v>
      </x:c>
      <x:c r="V2329" t="str">
        <x:v>OK</x:v>
      </x:c>
      <x:c r="W2329" t="str">
        <x:v>LOAD</x:v>
      </x:c>
      <x:c r="X2329" t="str">
        <x:v>02_Supervisor_Log(4).xlsx</x:v>
      </x:c>
      <x:c r="Y2329" t="str">
        <x:v>ENH-20260830-01</x:v>
      </x:c>
      <x:c r="Z2329" t="str">
        <x:v>Active</x:v>
      </x:c>
      <x:c r="AA2329"/>
      <x:c r="AB2329"/>
      <x:c r="AC2329"/>
      <x:c r="AD2329"/>
    </x:row>
    <x:row r="2330">
      <x:c r="A2330" t="str">
        <x:v>PCC-PE-KG01-L25-20251021-PM-ORD-2025-00161-S09-C1</x:v>
      </x:c>
      <x:c r="B2330" t="str">
        <x:v>PC-PE-KG01-L25-20251021-PM-ORD-2025-00161-S09</x:v>
      </x:c>
      <x:c r="C2330" t="str">
        <x:v>PE-KG01-L25-20251021-PM-ORD-2025-00161</x:v>
      </x:c>
      <x:c r="D2330" t="str">
        <x:v>KG01</x:v>
      </x:c>
      <x:c r="E2330" s="62" t="n">
        <x:v>45951</x:v>
      </x:c>
      <x:c r="F2330" t="str">
        <x:v>PM</x:v>
      </x:c>
      <x:c r="G2330" t="str">
        <x:v>B</x:v>
      </x:c>
      <x:c r="H2330" t="n">
        <x:v>25</x:v>
      </x:c>
      <x:c r="I2330" t="str">
        <x:v>ORD-2025-00161</x:v>
      </x:c>
      <x:c r="J2330" t="n">
        <x:v>9</x:v>
      </x:c>
      <x:c r="K2330" t="n">
        <x:v>1</x:v>
      </x:c>
      <x:c r="L2330" t="str">
        <x:v>L25-S09-C1</x:v>
      </x:c>
      <x:c r="M2330" t="n">
        <x:v>0</x:v>
      </x:c>
      <x:c r="N2330" t="str">
        <x:v>DerivedFromCount</x:v>
      </x:c>
      <x:c r="O2330" t="str">
        <x:v>PLC-PRD-JAR-720-L25</x:v>
      </x:c>
      <x:c r="P2330" t="str">
        <x:v>OK</x:v>
      </x:c>
      <x:c r="Q2330" t="str">
        <x:v>OK</x:v>
      </x:c>
      <x:c r="R2330" t="str">
        <x:v>OK</x:v>
      </x:c>
      <x:c r="S2330" t="str">
        <x:v>OK</x:v>
      </x:c>
      <x:c r="T2330" t="n">
        <x:v>16</x:v>
      </x:c>
      <x:c r="U2330" t="str">
        <x:v>OK</x:v>
      </x:c>
      <x:c r="V2330" t="str">
        <x:v>OK</x:v>
      </x:c>
      <x:c r="W2330" t="str">
        <x:v>LOAD</x:v>
      </x:c>
      <x:c r="X2330" t="str">
        <x:v>02_Supervisor_Log(4).xlsx</x:v>
      </x:c>
      <x:c r="Y2330" t="str">
        <x:v>ENH-20260830-01</x:v>
      </x:c>
      <x:c r="Z2330" t="str">
        <x:v>Active</x:v>
      </x:c>
      <x:c r="AA2330"/>
      <x:c r="AB2330"/>
      <x:c r="AC2330"/>
      <x:c r="AD2330"/>
    </x:row>
    <x:row r="2331">
      <x:c r="A2331" t="str">
        <x:v>PCC-PE-KG01-L25-20251021-PM-ORD-2025-00161-S09-C2</x:v>
      </x:c>
      <x:c r="B2331" t="str">
        <x:v>PC-PE-KG01-L25-20251021-PM-ORD-2025-00161-S09</x:v>
      </x:c>
      <x:c r="C2331" t="str">
        <x:v>PE-KG01-L25-20251021-PM-ORD-2025-00161</x:v>
      </x:c>
      <x:c r="D2331" t="str">
        <x:v>KG01</x:v>
      </x:c>
      <x:c r="E2331" s="62" t="n">
        <x:v>45951</x:v>
      </x:c>
      <x:c r="F2331" t="str">
        <x:v>PM</x:v>
      </x:c>
      <x:c r="G2331" t="str">
        <x:v>B</x:v>
      </x:c>
      <x:c r="H2331" t="n">
        <x:v>25</x:v>
      </x:c>
      <x:c r="I2331" t="str">
        <x:v>ORD-2025-00161</x:v>
      </x:c>
      <x:c r="J2331" t="n">
        <x:v>9</x:v>
      </x:c>
      <x:c r="K2331" t="n">
        <x:v>2</x:v>
      </x:c>
      <x:c r="L2331" t="str">
        <x:v>L25-S09-C2</x:v>
      </x:c>
      <x:c r="M2331" t="n">
        <x:v>0</x:v>
      </x:c>
      <x:c r="N2331" t="str">
        <x:v>DerivedFromCount</x:v>
      </x:c>
      <x:c r="O2331" t="str">
        <x:v>PLC-PRD-JAR-720-L25</x:v>
      </x:c>
      <x:c r="P2331" t="str">
        <x:v>OK</x:v>
      </x:c>
      <x:c r="Q2331" t="str">
        <x:v>OK</x:v>
      </x:c>
      <x:c r="R2331" t="str">
        <x:v>OK</x:v>
      </x:c>
      <x:c r="S2331" t="str">
        <x:v>OK</x:v>
      </x:c>
      <x:c r="T2331" t="n">
        <x:v>16</x:v>
      </x:c>
      <x:c r="U2331" t="str">
        <x:v>OK</x:v>
      </x:c>
      <x:c r="V2331" t="str">
        <x:v>OK</x:v>
      </x:c>
      <x:c r="W2331" t="str">
        <x:v>LOAD</x:v>
      </x:c>
      <x:c r="X2331" t="str">
        <x:v>02_Supervisor_Log(4).xlsx</x:v>
      </x:c>
      <x:c r="Y2331" t="str">
        <x:v>ENH-20260830-01</x:v>
      </x:c>
      <x:c r="Z2331" t="str">
        <x:v>Active</x:v>
      </x:c>
      <x:c r="AA2331"/>
      <x:c r="AB2331"/>
      <x:c r="AC2331"/>
      <x:c r="AD2331"/>
    </x:row>
    <x:row r="2332">
      <x:c r="A2332" t="str">
        <x:v>PCC-PE-KG01-L25-20251021-PM-ORD-2025-00161-S09-C3</x:v>
      </x:c>
      <x:c r="B2332" t="str">
        <x:v>PC-PE-KG01-L25-20251021-PM-ORD-2025-00161-S09</x:v>
      </x:c>
      <x:c r="C2332" t="str">
        <x:v>PE-KG01-L25-20251021-PM-ORD-2025-00161</x:v>
      </x:c>
      <x:c r="D2332" t="str">
        <x:v>KG01</x:v>
      </x:c>
      <x:c r="E2332" s="62" t="n">
        <x:v>45951</x:v>
      </x:c>
      <x:c r="F2332" t="str">
        <x:v>PM</x:v>
      </x:c>
      <x:c r="G2332" t="str">
        <x:v>B</x:v>
      </x:c>
      <x:c r="H2332" t="n">
        <x:v>25</x:v>
      </x:c>
      <x:c r="I2332" t="str">
        <x:v>ORD-2025-00161</x:v>
      </x:c>
      <x:c r="J2332" t="n">
        <x:v>9</x:v>
      </x:c>
      <x:c r="K2332" t="n">
        <x:v>3</x:v>
      </x:c>
      <x:c r="L2332" t="str">
        <x:v>L25-S09-C3</x:v>
      </x:c>
      <x:c r="M2332" t="n">
        <x:v>0</x:v>
      </x:c>
      <x:c r="N2332" t="str">
        <x:v>DerivedFromCount</x:v>
      </x:c>
      <x:c r="O2332" t="str">
        <x:v>PLC-PRD-JAR-720-L25</x:v>
      </x:c>
      <x:c r="P2332" t="str">
        <x:v>OK</x:v>
      </x:c>
      <x:c r="Q2332" t="str">
        <x:v>OK</x:v>
      </x:c>
      <x:c r="R2332" t="str">
        <x:v>OK</x:v>
      </x:c>
      <x:c r="S2332" t="str">
        <x:v>OK</x:v>
      </x:c>
      <x:c r="T2332" t="n">
        <x:v>16</x:v>
      </x:c>
      <x:c r="U2332" t="str">
        <x:v>OK</x:v>
      </x:c>
      <x:c r="V2332" t="str">
        <x:v>OK</x:v>
      </x:c>
      <x:c r="W2332" t="str">
        <x:v>LOAD</x:v>
      </x:c>
      <x:c r="X2332" t="str">
        <x:v>02_Supervisor_Log(4).xlsx</x:v>
      </x:c>
      <x:c r="Y2332" t="str">
        <x:v>ENH-20260830-01</x:v>
      </x:c>
      <x:c r="Z2332" t="str">
        <x:v>Active</x:v>
      </x:c>
      <x:c r="AA2332"/>
      <x:c r="AB2332"/>
      <x:c r="AC2332"/>
      <x:c r="AD2332"/>
    </x:row>
    <x:row r="2333">
      <x:c r="A2333" t="str">
        <x:v>PCC-PE-KG01-L25-20251021-PM-ORD-2025-00161-S10-C1</x:v>
      </x:c>
      <x:c r="B2333" t="str">
        <x:v>PC-PE-KG01-L25-20251021-PM-ORD-2025-00161-S10</x:v>
      </x:c>
      <x:c r="C2333" t="str">
        <x:v>PE-KG01-L25-20251021-PM-ORD-2025-00161</x:v>
      </x:c>
      <x:c r="D2333" t="str">
        <x:v>KG01</x:v>
      </x:c>
      <x:c r="E2333" s="62" t="n">
        <x:v>45951</x:v>
      </x:c>
      <x:c r="F2333" t="str">
        <x:v>PM</x:v>
      </x:c>
      <x:c r="G2333" t="str">
        <x:v>B</x:v>
      </x:c>
      <x:c r="H2333" t="n">
        <x:v>25</x:v>
      </x:c>
      <x:c r="I2333" t="str">
        <x:v>ORD-2025-00161</x:v>
      </x:c>
      <x:c r="J2333" t="n">
        <x:v>10</x:v>
      </x:c>
      <x:c r="K2333" t="n">
        <x:v>1</x:v>
      </x:c>
      <x:c r="L2333" t="str">
        <x:v>L25-S10-C1</x:v>
      </x:c>
      <x:c r="M2333" t="n">
        <x:v>0</x:v>
      </x:c>
      <x:c r="N2333" t="str">
        <x:v>DerivedFromCount</x:v>
      </x:c>
      <x:c r="O2333" t="str">
        <x:v>PLC-PRD-JAR-720-L25</x:v>
      </x:c>
      <x:c r="P2333" t="str">
        <x:v>OK</x:v>
      </x:c>
      <x:c r="Q2333" t="str">
        <x:v>OK</x:v>
      </x:c>
      <x:c r="R2333" t="str">
        <x:v>OK</x:v>
      </x:c>
      <x:c r="S2333" t="str">
        <x:v>OK</x:v>
      </x:c>
      <x:c r="T2333" t="n">
        <x:v>16</x:v>
      </x:c>
      <x:c r="U2333" t="str">
        <x:v>OK</x:v>
      </x:c>
      <x:c r="V2333" t="str">
        <x:v>OK</x:v>
      </x:c>
      <x:c r="W2333" t="str">
        <x:v>LOAD</x:v>
      </x:c>
      <x:c r="X2333" t="str">
        <x:v>02_Supervisor_Log(4).xlsx</x:v>
      </x:c>
      <x:c r="Y2333" t="str">
        <x:v>ENH-20260830-01</x:v>
      </x:c>
      <x:c r="Z2333" t="str">
        <x:v>Active</x:v>
      </x:c>
      <x:c r="AA2333"/>
      <x:c r="AB2333"/>
      <x:c r="AC2333"/>
      <x:c r="AD2333"/>
    </x:row>
    <x:row r="2334">
      <x:c r="A2334" t="str">
        <x:v>PCC-PE-KG01-L25-20251021-PM-ORD-2025-00161-S10-C2</x:v>
      </x:c>
      <x:c r="B2334" t="str">
        <x:v>PC-PE-KG01-L25-20251021-PM-ORD-2025-00161-S10</x:v>
      </x:c>
      <x:c r="C2334" t="str">
        <x:v>PE-KG01-L25-20251021-PM-ORD-2025-00161</x:v>
      </x:c>
      <x:c r="D2334" t="str">
        <x:v>KG01</x:v>
      </x:c>
      <x:c r="E2334" s="62" t="n">
        <x:v>45951</x:v>
      </x:c>
      <x:c r="F2334" t="str">
        <x:v>PM</x:v>
      </x:c>
      <x:c r="G2334" t="str">
        <x:v>B</x:v>
      </x:c>
      <x:c r="H2334" t="n">
        <x:v>25</x:v>
      </x:c>
      <x:c r="I2334" t="str">
        <x:v>ORD-2025-00161</x:v>
      </x:c>
      <x:c r="J2334" t="n">
        <x:v>10</x:v>
      </x:c>
      <x:c r="K2334" t="n">
        <x:v>2</x:v>
      </x:c>
      <x:c r="L2334" t="str">
        <x:v>L25-S10-C2</x:v>
      </x:c>
      <x:c r="M2334" t="n">
        <x:v>0</x:v>
      </x:c>
      <x:c r="N2334" t="str">
        <x:v>DerivedFromCount</x:v>
      </x:c>
      <x:c r="O2334" t="str">
        <x:v>PLC-PRD-JAR-720-L25</x:v>
      </x:c>
      <x:c r="P2334" t="str">
        <x:v>OK</x:v>
      </x:c>
      <x:c r="Q2334" t="str">
        <x:v>OK</x:v>
      </x:c>
      <x:c r="R2334" t="str">
        <x:v>OK</x:v>
      </x:c>
      <x:c r="S2334" t="str">
        <x:v>OK</x:v>
      </x:c>
      <x:c r="T2334" t="n">
        <x:v>16</x:v>
      </x:c>
      <x:c r="U2334" t="str">
        <x:v>OK</x:v>
      </x:c>
      <x:c r="V2334" t="str">
        <x:v>OK</x:v>
      </x:c>
      <x:c r="W2334" t="str">
        <x:v>LOAD</x:v>
      </x:c>
      <x:c r="X2334" t="str">
        <x:v>02_Supervisor_Log(4).xlsx</x:v>
      </x:c>
      <x:c r="Y2334" t="str">
        <x:v>ENH-20260830-01</x:v>
      </x:c>
      <x:c r="Z2334" t="str">
        <x:v>Active</x:v>
      </x:c>
      <x:c r="AA2334"/>
      <x:c r="AB2334"/>
      <x:c r="AC2334"/>
      <x:c r="AD2334"/>
    </x:row>
    <x:row r="2335">
      <x:c r="A2335" t="str">
        <x:v>PCC-PE-KG01-L25-20251021-PM-ORD-2025-00161-S10-C3</x:v>
      </x:c>
      <x:c r="B2335" t="str">
        <x:v>PC-PE-KG01-L25-20251021-PM-ORD-2025-00161-S10</x:v>
      </x:c>
      <x:c r="C2335" t="str">
        <x:v>PE-KG01-L25-20251021-PM-ORD-2025-00161</x:v>
      </x:c>
      <x:c r="D2335" t="str">
        <x:v>KG01</x:v>
      </x:c>
      <x:c r="E2335" s="62" t="n">
        <x:v>45951</x:v>
      </x:c>
      <x:c r="F2335" t="str">
        <x:v>PM</x:v>
      </x:c>
      <x:c r="G2335" t="str">
        <x:v>B</x:v>
      </x:c>
      <x:c r="H2335" t="n">
        <x:v>25</x:v>
      </x:c>
      <x:c r="I2335" t="str">
        <x:v>ORD-2025-00161</x:v>
      </x:c>
      <x:c r="J2335" t="n">
        <x:v>10</x:v>
      </x:c>
      <x:c r="K2335" t="n">
        <x:v>3</x:v>
      </x:c>
      <x:c r="L2335" t="str">
        <x:v>L25-S10-C3</x:v>
      </x:c>
      <x:c r="M2335" t="n">
        <x:v>0</x:v>
      </x:c>
      <x:c r="N2335" t="str">
        <x:v>DerivedFromCount</x:v>
      </x:c>
      <x:c r="O2335" t="str">
        <x:v>PLC-PRD-JAR-720-L25</x:v>
      </x:c>
      <x:c r="P2335" t="str">
        <x:v>OK</x:v>
      </x:c>
      <x:c r="Q2335" t="str">
        <x:v>OK</x:v>
      </x:c>
      <x:c r="R2335" t="str">
        <x:v>OK</x:v>
      </x:c>
      <x:c r="S2335" t="str">
        <x:v>OK</x:v>
      </x:c>
      <x:c r="T2335" t="n">
        <x:v>16</x:v>
      </x:c>
      <x:c r="U2335" t="str">
        <x:v>OK</x:v>
      </x:c>
      <x:c r="V2335" t="str">
        <x:v>OK</x:v>
      </x:c>
      <x:c r="W2335" t="str">
        <x:v>LOAD</x:v>
      </x:c>
      <x:c r="X2335" t="str">
        <x:v>02_Supervisor_Log(4).xlsx</x:v>
      </x:c>
      <x:c r="Y2335" t="str">
        <x:v>ENH-20260830-01</x:v>
      </x:c>
      <x:c r="Z2335" t="str">
        <x:v>Active</x:v>
      </x:c>
      <x:c r="AA2335"/>
      <x:c r="AB2335"/>
      <x:c r="AC2335"/>
      <x:c r="AD2335"/>
    </x:row>
    <x:row r="2336">
      <x:c r="A2336" t="str">
        <x:v>PCC-PE-KG01-L25-20251021-PM-ORD-2025-00161-S11-C1</x:v>
      </x:c>
      <x:c r="B2336" t="str">
        <x:v>PC-PE-KG01-L25-20251021-PM-ORD-2025-00161-S11</x:v>
      </x:c>
      <x:c r="C2336" t="str">
        <x:v>PE-KG01-L25-20251021-PM-ORD-2025-00161</x:v>
      </x:c>
      <x:c r="D2336" t="str">
        <x:v>KG01</x:v>
      </x:c>
      <x:c r="E2336" s="62" t="n">
        <x:v>45951</x:v>
      </x:c>
      <x:c r="F2336" t="str">
        <x:v>PM</x:v>
      </x:c>
      <x:c r="G2336" t="str">
        <x:v>B</x:v>
      </x:c>
      <x:c r="H2336" t="n">
        <x:v>25</x:v>
      </x:c>
      <x:c r="I2336" t="str">
        <x:v>ORD-2025-00161</x:v>
      </x:c>
      <x:c r="J2336" t="n">
        <x:v>11</x:v>
      </x:c>
      <x:c r="K2336" t="n">
        <x:v>1</x:v>
      </x:c>
      <x:c r="L2336" t="str">
        <x:v>L25-S11-C1</x:v>
      </x:c>
      <x:c r="M2336" t="n">
        <x:v>0</x:v>
      </x:c>
      <x:c r="N2336" t="str">
        <x:v>DerivedFromCount</x:v>
      </x:c>
      <x:c r="O2336" t="str">
        <x:v>PLC-PRD-JAR-720-L25</x:v>
      </x:c>
      <x:c r="P2336" t="str">
        <x:v>OK</x:v>
      </x:c>
      <x:c r="Q2336" t="str">
        <x:v>OK</x:v>
      </x:c>
      <x:c r="R2336" t="str">
        <x:v>OK</x:v>
      </x:c>
      <x:c r="S2336" t="str">
        <x:v>OK</x:v>
      </x:c>
      <x:c r="T2336" t="n">
        <x:v>16</x:v>
      </x:c>
      <x:c r="U2336" t="str">
        <x:v>OK</x:v>
      </x:c>
      <x:c r="V2336" t="str">
        <x:v>OK</x:v>
      </x:c>
      <x:c r="W2336" t="str">
        <x:v>LOAD</x:v>
      </x:c>
      <x:c r="X2336" t="str">
        <x:v>02_Supervisor_Log(4).xlsx</x:v>
      </x:c>
      <x:c r="Y2336" t="str">
        <x:v>ENH-20260830-01</x:v>
      </x:c>
      <x:c r="Z2336" t="str">
        <x:v>Active</x:v>
      </x:c>
      <x:c r="AA2336"/>
      <x:c r="AB2336"/>
      <x:c r="AC2336"/>
      <x:c r="AD2336"/>
    </x:row>
    <x:row r="2337">
      <x:c r="A2337" t="str">
        <x:v>PCC-PE-KG01-L25-20251021-PM-ORD-2025-00161-S11-C2</x:v>
      </x:c>
      <x:c r="B2337" t="str">
        <x:v>PC-PE-KG01-L25-20251021-PM-ORD-2025-00161-S11</x:v>
      </x:c>
      <x:c r="C2337" t="str">
        <x:v>PE-KG01-L25-20251021-PM-ORD-2025-00161</x:v>
      </x:c>
      <x:c r="D2337" t="str">
        <x:v>KG01</x:v>
      </x:c>
      <x:c r="E2337" s="62" t="n">
        <x:v>45951</x:v>
      </x:c>
      <x:c r="F2337" t="str">
        <x:v>PM</x:v>
      </x:c>
      <x:c r="G2337" t="str">
        <x:v>B</x:v>
      </x:c>
      <x:c r="H2337" t="n">
        <x:v>25</x:v>
      </x:c>
      <x:c r="I2337" t="str">
        <x:v>ORD-2025-00161</x:v>
      </x:c>
      <x:c r="J2337" t="n">
        <x:v>11</x:v>
      </x:c>
      <x:c r="K2337" t="n">
        <x:v>2</x:v>
      </x:c>
      <x:c r="L2337" t="str">
        <x:v>L25-S11-C2</x:v>
      </x:c>
      <x:c r="M2337" t="n">
        <x:v>0</x:v>
      </x:c>
      <x:c r="N2337" t="str">
        <x:v>DerivedFromCount</x:v>
      </x:c>
      <x:c r="O2337" t="str">
        <x:v>PLC-PRD-JAR-720-L25</x:v>
      </x:c>
      <x:c r="P2337" t="str">
        <x:v>OK</x:v>
      </x:c>
      <x:c r="Q2337" t="str">
        <x:v>OK</x:v>
      </x:c>
      <x:c r="R2337" t="str">
        <x:v>OK</x:v>
      </x:c>
      <x:c r="S2337" t="str">
        <x:v>OK</x:v>
      </x:c>
      <x:c r="T2337" t="n">
        <x:v>16</x:v>
      </x:c>
      <x:c r="U2337" t="str">
        <x:v>OK</x:v>
      </x:c>
      <x:c r="V2337" t="str">
        <x:v>OK</x:v>
      </x:c>
      <x:c r="W2337" t="str">
        <x:v>LOAD</x:v>
      </x:c>
      <x:c r="X2337" t="str">
        <x:v>02_Supervisor_Log(4).xlsx</x:v>
      </x:c>
      <x:c r="Y2337" t="str">
        <x:v>ENH-20260830-01</x:v>
      </x:c>
      <x:c r="Z2337" t="str">
        <x:v>Active</x:v>
      </x:c>
      <x:c r="AA2337"/>
      <x:c r="AB2337"/>
      <x:c r="AC2337"/>
      <x:c r="AD2337"/>
    </x:row>
    <x:row r="2338">
      <x:c r="A2338" t="str">
        <x:v>PCC-PE-KG01-L25-20251021-PM-ORD-2025-00161-S11-C3</x:v>
      </x:c>
      <x:c r="B2338" t="str">
        <x:v>PC-PE-KG01-L25-20251021-PM-ORD-2025-00161-S11</x:v>
      </x:c>
      <x:c r="C2338" t="str">
        <x:v>PE-KG01-L25-20251021-PM-ORD-2025-00161</x:v>
      </x:c>
      <x:c r="D2338" t="str">
        <x:v>KG01</x:v>
      </x:c>
      <x:c r="E2338" s="62" t="n">
        <x:v>45951</x:v>
      </x:c>
      <x:c r="F2338" t="str">
        <x:v>PM</x:v>
      </x:c>
      <x:c r="G2338" t="str">
        <x:v>B</x:v>
      </x:c>
      <x:c r="H2338" t="n">
        <x:v>25</x:v>
      </x:c>
      <x:c r="I2338" t="str">
        <x:v>ORD-2025-00161</x:v>
      </x:c>
      <x:c r="J2338" t="n">
        <x:v>11</x:v>
      </x:c>
      <x:c r="K2338" t="n">
        <x:v>3</x:v>
      </x:c>
      <x:c r="L2338" t="str">
        <x:v>L25-S11-C3</x:v>
      </x:c>
      <x:c r="M2338" t="n">
        <x:v>0</x:v>
      </x:c>
      <x:c r="N2338" t="str">
        <x:v>DerivedFromCount</x:v>
      </x:c>
      <x:c r="O2338" t="str">
        <x:v>PLC-PRD-JAR-720-L25</x:v>
      </x:c>
      <x:c r="P2338" t="str">
        <x:v>OK</x:v>
      </x:c>
      <x:c r="Q2338" t="str">
        <x:v>OK</x:v>
      </x:c>
      <x:c r="R2338" t="str">
        <x:v>OK</x:v>
      </x:c>
      <x:c r="S2338" t="str">
        <x:v>OK</x:v>
      </x:c>
      <x:c r="T2338" t="n">
        <x:v>16</x:v>
      </x:c>
      <x:c r="U2338" t="str">
        <x:v>OK</x:v>
      </x:c>
      <x:c r="V2338" t="str">
        <x:v>OK</x:v>
      </x:c>
      <x:c r="W2338" t="str">
        <x:v>LOAD</x:v>
      </x:c>
      <x:c r="X2338" t="str">
        <x:v>02_Supervisor_Log(4).xlsx</x:v>
      </x:c>
      <x:c r="Y2338" t="str">
        <x:v>ENH-20260830-01</x:v>
      </x:c>
      <x:c r="Z2338" t="str">
        <x:v>Active</x:v>
      </x:c>
      <x:c r="AA2338"/>
      <x:c r="AB2338"/>
      <x:c r="AC2338"/>
      <x:c r="AD2338"/>
    </x:row>
    <x:row r="2339">
      <x:c r="A2339" t="str">
        <x:v>PCC-PE-KG01-L25-20251021-PM-ORD-2025-00161-S12-C1</x:v>
      </x:c>
      <x:c r="B2339" t="str">
        <x:v>PC-PE-KG01-L25-20251021-PM-ORD-2025-00161-S12</x:v>
      </x:c>
      <x:c r="C2339" t="str">
        <x:v>PE-KG01-L25-20251021-PM-ORD-2025-00161</x:v>
      </x:c>
      <x:c r="D2339" t="str">
        <x:v>KG01</x:v>
      </x:c>
      <x:c r="E2339" s="62" t="n">
        <x:v>45951</x:v>
      </x:c>
      <x:c r="F2339" t="str">
        <x:v>PM</x:v>
      </x:c>
      <x:c r="G2339" t="str">
        <x:v>B</x:v>
      </x:c>
      <x:c r="H2339" t="n">
        <x:v>25</x:v>
      </x:c>
      <x:c r="I2339" t="str">
        <x:v>ORD-2025-00161</x:v>
      </x:c>
      <x:c r="J2339" t="n">
        <x:v>12</x:v>
      </x:c>
      <x:c r="K2339" t="n">
        <x:v>1</x:v>
      </x:c>
      <x:c r="L2339" t="str">
        <x:v>L25-S12-C1</x:v>
      </x:c>
      <x:c r="M2339" t="n">
        <x:v>0</x:v>
      </x:c>
      <x:c r="N2339" t="str">
        <x:v>DerivedFromCount</x:v>
      </x:c>
      <x:c r="O2339" t="str">
        <x:v>PLC-PRD-JAR-720-L25</x:v>
      </x:c>
      <x:c r="P2339" t="str">
        <x:v>OK</x:v>
      </x:c>
      <x:c r="Q2339" t="str">
        <x:v>OK</x:v>
      </x:c>
      <x:c r="R2339" t="str">
        <x:v>OK</x:v>
      </x:c>
      <x:c r="S2339" t="str">
        <x:v>OK</x:v>
      </x:c>
      <x:c r="T2339" t="n">
        <x:v>16</x:v>
      </x:c>
      <x:c r="U2339" t="str">
        <x:v>OK</x:v>
      </x:c>
      <x:c r="V2339" t="str">
        <x:v>OK</x:v>
      </x:c>
      <x:c r="W2339" t="str">
        <x:v>LOAD</x:v>
      </x:c>
      <x:c r="X2339" t="str">
        <x:v>02_Supervisor_Log(4).xlsx</x:v>
      </x:c>
      <x:c r="Y2339" t="str">
        <x:v>ENH-20260830-01</x:v>
      </x:c>
      <x:c r="Z2339" t="str">
        <x:v>Active</x:v>
      </x:c>
      <x:c r="AA2339"/>
      <x:c r="AB2339"/>
      <x:c r="AC2339"/>
      <x:c r="AD2339"/>
    </x:row>
    <x:row r="2340">
      <x:c r="A2340" t="str">
        <x:v>PCC-PE-KG01-L25-20251021-PM-ORD-2025-00161-S12-C2</x:v>
      </x:c>
      <x:c r="B2340" t="str">
        <x:v>PC-PE-KG01-L25-20251021-PM-ORD-2025-00161-S12</x:v>
      </x:c>
      <x:c r="C2340" t="str">
        <x:v>PE-KG01-L25-20251021-PM-ORD-2025-00161</x:v>
      </x:c>
      <x:c r="D2340" t="str">
        <x:v>KG01</x:v>
      </x:c>
      <x:c r="E2340" s="62" t="n">
        <x:v>45951</x:v>
      </x:c>
      <x:c r="F2340" t="str">
        <x:v>PM</x:v>
      </x:c>
      <x:c r="G2340" t="str">
        <x:v>B</x:v>
      </x:c>
      <x:c r="H2340" t="n">
        <x:v>25</x:v>
      </x:c>
      <x:c r="I2340" t="str">
        <x:v>ORD-2025-00161</x:v>
      </x:c>
      <x:c r="J2340" t="n">
        <x:v>12</x:v>
      </x:c>
      <x:c r="K2340" t="n">
        <x:v>2</x:v>
      </x:c>
      <x:c r="L2340" t="str">
        <x:v>L25-S12-C2</x:v>
      </x:c>
      <x:c r="M2340" t="n">
        <x:v>0</x:v>
      </x:c>
      <x:c r="N2340" t="str">
        <x:v>DerivedFromCount</x:v>
      </x:c>
      <x:c r="O2340" t="str">
        <x:v>PLC-PRD-JAR-720-L25</x:v>
      </x:c>
      <x:c r="P2340" t="str">
        <x:v>OK</x:v>
      </x:c>
      <x:c r="Q2340" t="str">
        <x:v>OK</x:v>
      </x:c>
      <x:c r="R2340" t="str">
        <x:v>OK</x:v>
      </x:c>
      <x:c r="S2340" t="str">
        <x:v>OK</x:v>
      </x:c>
      <x:c r="T2340" t="n">
        <x:v>16</x:v>
      </x:c>
      <x:c r="U2340" t="str">
        <x:v>OK</x:v>
      </x:c>
      <x:c r="V2340" t="str">
        <x:v>OK</x:v>
      </x:c>
      <x:c r="W2340" t="str">
        <x:v>LOAD</x:v>
      </x:c>
      <x:c r="X2340" t="str">
        <x:v>02_Supervisor_Log(4).xlsx</x:v>
      </x:c>
      <x:c r="Y2340" t="str">
        <x:v>ENH-20260830-01</x:v>
      </x:c>
      <x:c r="Z2340" t="str">
        <x:v>Active</x:v>
      </x:c>
      <x:c r="AA2340"/>
      <x:c r="AB2340"/>
      <x:c r="AC2340"/>
      <x:c r="AD2340"/>
    </x:row>
    <x:row r="2341">
      <x:c r="A2341" t="str">
        <x:v>PCC-PE-KG01-L25-20251021-PM-ORD-2025-00161-S12-C3</x:v>
      </x:c>
      <x:c r="B2341" t="str">
        <x:v>PC-PE-KG01-L25-20251021-PM-ORD-2025-00161-S12</x:v>
      </x:c>
      <x:c r="C2341" t="str">
        <x:v>PE-KG01-L25-20251021-PM-ORD-2025-00161</x:v>
      </x:c>
      <x:c r="D2341" t="str">
        <x:v>KG01</x:v>
      </x:c>
      <x:c r="E2341" s="62" t="n">
        <x:v>45951</x:v>
      </x:c>
      <x:c r="F2341" t="str">
        <x:v>PM</x:v>
      </x:c>
      <x:c r="G2341" t="str">
        <x:v>B</x:v>
      </x:c>
      <x:c r="H2341" t="n">
        <x:v>25</x:v>
      </x:c>
      <x:c r="I2341" t="str">
        <x:v>ORD-2025-00161</x:v>
      </x:c>
      <x:c r="J2341" t="n">
        <x:v>12</x:v>
      </x:c>
      <x:c r="K2341" t="n">
        <x:v>3</x:v>
      </x:c>
      <x:c r="L2341" t="str">
        <x:v>L25-S12-C3</x:v>
      </x:c>
      <x:c r="M2341" t="n">
        <x:v>0</x:v>
      </x:c>
      <x:c r="N2341" t="str">
        <x:v>DerivedFromCount</x:v>
      </x:c>
      <x:c r="O2341" t="str">
        <x:v>PLC-PRD-JAR-720-L25</x:v>
      </x:c>
      <x:c r="P2341" t="str">
        <x:v>OK</x:v>
      </x:c>
      <x:c r="Q2341" t="str">
        <x:v>OK</x:v>
      </x:c>
      <x:c r="R2341" t="str">
        <x:v>OK</x:v>
      </x:c>
      <x:c r="S2341" t="str">
        <x:v>OK</x:v>
      </x:c>
      <x:c r="T2341" t="n">
        <x:v>16</x:v>
      </x:c>
      <x:c r="U2341" t="str">
        <x:v>OK</x:v>
      </x:c>
      <x:c r="V2341" t="str">
        <x:v>OK</x:v>
      </x:c>
      <x:c r="W2341" t="str">
        <x:v>LOAD</x:v>
      </x:c>
      <x:c r="X2341" t="str">
        <x:v>02_Supervisor_Log(4).xlsx</x:v>
      </x:c>
      <x:c r="Y2341" t="str">
        <x:v>ENH-20260830-01</x:v>
      </x:c>
      <x:c r="Z2341" t="str">
        <x:v>Active</x:v>
      </x:c>
      <x:c r="AA2341"/>
      <x:c r="AB2341"/>
      <x:c r="AC2341"/>
      <x:c r="AD2341"/>
    </x:row>
    <x:row r="2342">
      <x:c r="A2342" t="str">
        <x:v>PCC-PE-KG01-L25-20251021-PM-ORD-2025-00161-S13-C1</x:v>
      </x:c>
      <x:c r="B2342" t="str">
        <x:v>PC-PE-KG01-L25-20251021-PM-ORD-2025-00161-S13</x:v>
      </x:c>
      <x:c r="C2342" t="str">
        <x:v>PE-KG01-L25-20251021-PM-ORD-2025-00161</x:v>
      </x:c>
      <x:c r="D2342" t="str">
        <x:v>KG01</x:v>
      </x:c>
      <x:c r="E2342" s="62" t="n">
        <x:v>45951</x:v>
      </x:c>
      <x:c r="F2342" t="str">
        <x:v>PM</x:v>
      </x:c>
      <x:c r="G2342" t="str">
        <x:v>B</x:v>
      </x:c>
      <x:c r="H2342" t="n">
        <x:v>25</x:v>
      </x:c>
      <x:c r="I2342" t="str">
        <x:v>ORD-2025-00161</x:v>
      </x:c>
      <x:c r="J2342" t="n">
        <x:v>13</x:v>
      </x:c>
      <x:c r="K2342" t="n">
        <x:v>1</x:v>
      </x:c>
      <x:c r="L2342" t="str">
        <x:v>L25-S13-C1</x:v>
      </x:c>
      <x:c r="M2342" t="n">
        <x:v>0</x:v>
      </x:c>
      <x:c r="N2342" t="str">
        <x:v>DerivedFromCount</x:v>
      </x:c>
      <x:c r="O2342" t="str">
        <x:v>PLC-PRD-JAR-720-L25</x:v>
      </x:c>
      <x:c r="P2342" t="str">
        <x:v>OK</x:v>
      </x:c>
      <x:c r="Q2342" t="str">
        <x:v>OK</x:v>
      </x:c>
      <x:c r="R2342" t="str">
        <x:v>OK</x:v>
      </x:c>
      <x:c r="S2342" t="str">
        <x:v>OK</x:v>
      </x:c>
      <x:c r="T2342" t="n">
        <x:v>16</x:v>
      </x:c>
      <x:c r="U2342" t="str">
        <x:v>OK</x:v>
      </x:c>
      <x:c r="V2342" t="str">
        <x:v>OK</x:v>
      </x:c>
      <x:c r="W2342" t="str">
        <x:v>LOAD</x:v>
      </x:c>
      <x:c r="X2342" t="str">
        <x:v>02_Supervisor_Log(4).xlsx</x:v>
      </x:c>
      <x:c r="Y2342" t="str">
        <x:v>ENH-20260830-01</x:v>
      </x:c>
      <x:c r="Z2342" t="str">
        <x:v>Active</x:v>
      </x:c>
      <x:c r="AA2342"/>
      <x:c r="AB2342"/>
      <x:c r="AC2342"/>
      <x:c r="AD2342"/>
    </x:row>
    <x:row r="2343">
      <x:c r="A2343" t="str">
        <x:v>PCC-PE-KG01-L25-20251021-PM-ORD-2025-00161-S13-C2</x:v>
      </x:c>
      <x:c r="B2343" t="str">
        <x:v>PC-PE-KG01-L25-20251021-PM-ORD-2025-00161-S13</x:v>
      </x:c>
      <x:c r="C2343" t="str">
        <x:v>PE-KG01-L25-20251021-PM-ORD-2025-00161</x:v>
      </x:c>
      <x:c r="D2343" t="str">
        <x:v>KG01</x:v>
      </x:c>
      <x:c r="E2343" s="62" t="n">
        <x:v>45951</x:v>
      </x:c>
      <x:c r="F2343" t="str">
        <x:v>PM</x:v>
      </x:c>
      <x:c r="G2343" t="str">
        <x:v>B</x:v>
      </x:c>
      <x:c r="H2343" t="n">
        <x:v>25</x:v>
      </x:c>
      <x:c r="I2343" t="str">
        <x:v>ORD-2025-00161</x:v>
      </x:c>
      <x:c r="J2343" t="n">
        <x:v>13</x:v>
      </x:c>
      <x:c r="K2343" t="n">
        <x:v>2</x:v>
      </x:c>
      <x:c r="L2343" t="str">
        <x:v>L25-S13-C2</x:v>
      </x:c>
      <x:c r="M2343" t="n">
        <x:v>0</x:v>
      </x:c>
      <x:c r="N2343" t="str">
        <x:v>DerivedFromCount</x:v>
      </x:c>
      <x:c r="O2343" t="str">
        <x:v>PLC-PRD-JAR-720-L25</x:v>
      </x:c>
      <x:c r="P2343" t="str">
        <x:v>OK</x:v>
      </x:c>
      <x:c r="Q2343" t="str">
        <x:v>OK</x:v>
      </x:c>
      <x:c r="R2343" t="str">
        <x:v>OK</x:v>
      </x:c>
      <x:c r="S2343" t="str">
        <x:v>OK</x:v>
      </x:c>
      <x:c r="T2343" t="n">
        <x:v>16</x:v>
      </x:c>
      <x:c r="U2343" t="str">
        <x:v>OK</x:v>
      </x:c>
      <x:c r="V2343" t="str">
        <x:v>OK</x:v>
      </x:c>
      <x:c r="W2343" t="str">
        <x:v>LOAD</x:v>
      </x:c>
      <x:c r="X2343" t="str">
        <x:v>02_Supervisor_Log(4).xlsx</x:v>
      </x:c>
      <x:c r="Y2343" t="str">
        <x:v>ENH-20260830-01</x:v>
      </x:c>
      <x:c r="Z2343" t="str">
        <x:v>Active</x:v>
      </x:c>
      <x:c r="AA2343"/>
      <x:c r="AB2343"/>
      <x:c r="AC2343"/>
      <x:c r="AD2343"/>
    </x:row>
    <x:row r="2344">
      <x:c r="A2344" t="str">
        <x:v>PCC-PE-KG01-L25-20251021-PM-ORD-2025-00161-S13-C3</x:v>
      </x:c>
      <x:c r="B2344" t="str">
        <x:v>PC-PE-KG01-L25-20251021-PM-ORD-2025-00161-S13</x:v>
      </x:c>
      <x:c r="C2344" t="str">
        <x:v>PE-KG01-L25-20251021-PM-ORD-2025-00161</x:v>
      </x:c>
      <x:c r="D2344" t="str">
        <x:v>KG01</x:v>
      </x:c>
      <x:c r="E2344" s="62" t="n">
        <x:v>45951</x:v>
      </x:c>
      <x:c r="F2344" t="str">
        <x:v>PM</x:v>
      </x:c>
      <x:c r="G2344" t="str">
        <x:v>B</x:v>
      </x:c>
      <x:c r="H2344" t="n">
        <x:v>25</x:v>
      </x:c>
      <x:c r="I2344" t="str">
        <x:v>ORD-2025-00161</x:v>
      </x:c>
      <x:c r="J2344" t="n">
        <x:v>13</x:v>
      </x:c>
      <x:c r="K2344" t="n">
        <x:v>3</x:v>
      </x:c>
      <x:c r="L2344" t="str">
        <x:v>L25-S13-C3</x:v>
      </x:c>
      <x:c r="M2344" t="n">
        <x:v>0</x:v>
      </x:c>
      <x:c r="N2344" t="str">
        <x:v>DerivedFromCount</x:v>
      </x:c>
      <x:c r="O2344" t="str">
        <x:v>PLC-PRD-JAR-720-L25</x:v>
      </x:c>
      <x:c r="P2344" t="str">
        <x:v>OK</x:v>
      </x:c>
      <x:c r="Q2344" t="str">
        <x:v>OK</x:v>
      </x:c>
      <x:c r="R2344" t="str">
        <x:v>OK</x:v>
      </x:c>
      <x:c r="S2344" t="str">
        <x:v>OK</x:v>
      </x:c>
      <x:c r="T2344" t="n">
        <x:v>16</x:v>
      </x:c>
      <x:c r="U2344" t="str">
        <x:v>OK</x:v>
      </x:c>
      <x:c r="V2344" t="str">
        <x:v>OK</x:v>
      </x:c>
      <x:c r="W2344" t="str">
        <x:v>LOAD</x:v>
      </x:c>
      <x:c r="X2344" t="str">
        <x:v>02_Supervisor_Log(4).xlsx</x:v>
      </x:c>
      <x:c r="Y2344" t="str">
        <x:v>ENH-20260830-01</x:v>
      </x:c>
      <x:c r="Z2344" t="str">
        <x:v>Active</x:v>
      </x:c>
      <x:c r="AA2344"/>
      <x:c r="AB2344"/>
      <x:c r="AC2344"/>
      <x:c r="AD2344"/>
    </x:row>
    <x:row r="2345">
      <x:c r="A2345" t="str">
        <x:v>PCC-PE-KG01-L25-20251022-AM-ORD-2025-00161-S01-C1</x:v>
      </x:c>
      <x:c r="B2345" t="str">
        <x:v>PC-PE-KG01-L25-20251022-AM-ORD-2025-00161-S01</x:v>
      </x:c>
      <x:c r="C2345" t="str">
        <x:v>PE-KG01-L25-20251022-AM-ORD-2025-00161</x:v>
      </x:c>
      <x:c r="D2345" t="str">
        <x:v>KG01</x:v>
      </x:c>
      <x:c r="E2345" s="62" t="n">
        <x:v>45952</x:v>
      </x:c>
      <x:c r="F2345" t="str">
        <x:v>AM</x:v>
      </x:c>
      <x:c r="G2345" t="str">
        <x:v>B</x:v>
      </x:c>
      <x:c r="H2345" t="n">
        <x:v>25</x:v>
      </x:c>
      <x:c r="I2345" t="str">
        <x:v>ORD-2025-00161</x:v>
      </x:c>
      <x:c r="J2345" t="n">
        <x:v>1</x:v>
      </x:c>
      <x:c r="K2345" t="n">
        <x:v>1</x:v>
      </x:c>
      <x:c r="L2345" t="str">
        <x:v>L25-S01-C1</x:v>
      </x:c>
      <x:c r="M2345" t="n">
        <x:v>1</x:v>
      </x:c>
      <x:c r="N2345" t="str">
        <x:v>DerivedFromCount</x:v>
      </x:c>
      <x:c r="O2345" t="str">
        <x:v>PLC-PRD-JAR-720-L25</x:v>
      </x:c>
      <x:c r="P2345" t="str">
        <x:v>OK</x:v>
      </x:c>
      <x:c r="Q2345" t="str">
        <x:v>OK</x:v>
      </x:c>
      <x:c r="R2345" t="str">
        <x:v>OK</x:v>
      </x:c>
      <x:c r="S2345" t="str">
        <x:v>OK</x:v>
      </x:c>
      <x:c r="T2345" t="n">
        <x:v>16</x:v>
      </x:c>
      <x:c r="U2345" t="str">
        <x:v>OK</x:v>
      </x:c>
      <x:c r="V2345" t="str">
        <x:v>OK</x:v>
      </x:c>
      <x:c r="W2345" t="str">
        <x:v>LOAD</x:v>
      </x:c>
      <x:c r="X2345" t="str">
        <x:v>02_Supervisor_Log(4).xlsx</x:v>
      </x:c>
      <x:c r="Y2345" t="str">
        <x:v>ENH-20260830-01</x:v>
      </x:c>
      <x:c r="Z2345" t="str">
        <x:v>Active</x:v>
      </x:c>
      <x:c r="AA2345"/>
      <x:c r="AB2345"/>
      <x:c r="AC2345"/>
      <x:c r="AD2345"/>
    </x:row>
    <x:row r="2346">
      <x:c r="A2346" t="str">
        <x:v>PCC-PE-KG01-L25-20251022-AM-ORD-2025-00161-S01-C2</x:v>
      </x:c>
      <x:c r="B2346" t="str">
        <x:v>PC-PE-KG01-L25-20251022-AM-ORD-2025-00161-S01</x:v>
      </x:c>
      <x:c r="C2346" t="str">
        <x:v>PE-KG01-L25-20251022-AM-ORD-2025-00161</x:v>
      </x:c>
      <x:c r="D2346" t="str">
        <x:v>KG01</x:v>
      </x:c>
      <x:c r="E2346" s="62" t="n">
        <x:v>45952</x:v>
      </x:c>
      <x:c r="F2346" t="str">
        <x:v>AM</x:v>
      </x:c>
      <x:c r="G2346" t="str">
        <x:v>B</x:v>
      </x:c>
      <x:c r="H2346" t="n">
        <x:v>25</x:v>
      </x:c>
      <x:c r="I2346" t="str">
        <x:v>ORD-2025-00161</x:v>
      </x:c>
      <x:c r="J2346" t="n">
        <x:v>1</x:v>
      </x:c>
      <x:c r="K2346" t="n">
        <x:v>2</x:v>
      </x:c>
      <x:c r="L2346" t="str">
        <x:v>L25-S01-C2</x:v>
      </x:c>
      <x:c r="M2346" t="n">
        <x:v>1</x:v>
      </x:c>
      <x:c r="N2346" t="str">
        <x:v>DerivedFromCount</x:v>
      </x:c>
      <x:c r="O2346" t="str">
        <x:v>PLC-PRD-JAR-720-L25</x:v>
      </x:c>
      <x:c r="P2346" t="str">
        <x:v>OK</x:v>
      </x:c>
      <x:c r="Q2346" t="str">
        <x:v>OK</x:v>
      </x:c>
      <x:c r="R2346" t="str">
        <x:v>OK</x:v>
      </x:c>
      <x:c r="S2346" t="str">
        <x:v>OK</x:v>
      </x:c>
      <x:c r="T2346" t="n">
        <x:v>16</x:v>
      </x:c>
      <x:c r="U2346" t="str">
        <x:v>OK</x:v>
      </x:c>
      <x:c r="V2346" t="str">
        <x:v>OK</x:v>
      </x:c>
      <x:c r="W2346" t="str">
        <x:v>LOAD</x:v>
      </x:c>
      <x:c r="X2346" t="str">
        <x:v>02_Supervisor_Log(4).xlsx</x:v>
      </x:c>
      <x:c r="Y2346" t="str">
        <x:v>ENH-20260830-01</x:v>
      </x:c>
      <x:c r="Z2346" t="str">
        <x:v>Active</x:v>
      </x:c>
      <x:c r="AA2346"/>
      <x:c r="AB2346"/>
      <x:c r="AC2346"/>
      <x:c r="AD2346"/>
    </x:row>
    <x:row r="2347">
      <x:c r="A2347" t="str">
        <x:v>PCC-PE-KG01-L25-20251022-AM-ORD-2025-00161-S01-C3</x:v>
      </x:c>
      <x:c r="B2347" t="str">
        <x:v>PC-PE-KG01-L25-20251022-AM-ORD-2025-00161-S01</x:v>
      </x:c>
      <x:c r="C2347" t="str">
        <x:v>PE-KG01-L25-20251022-AM-ORD-2025-00161</x:v>
      </x:c>
      <x:c r="D2347" t="str">
        <x:v>KG01</x:v>
      </x:c>
      <x:c r="E2347" s="62" t="n">
        <x:v>45952</x:v>
      </x:c>
      <x:c r="F2347" t="str">
        <x:v>AM</x:v>
      </x:c>
      <x:c r="G2347" t="str">
        <x:v>B</x:v>
      </x:c>
      <x:c r="H2347" t="n">
        <x:v>25</x:v>
      </x:c>
      <x:c r="I2347" t="str">
        <x:v>ORD-2025-00161</x:v>
      </x:c>
      <x:c r="J2347" t="n">
        <x:v>1</x:v>
      </x:c>
      <x:c r="K2347" t="n">
        <x:v>3</x:v>
      </x:c>
      <x:c r="L2347" t="str">
        <x:v>L25-S01-C3</x:v>
      </x:c>
      <x:c r="M2347" t="n">
        <x:v>0</x:v>
      </x:c>
      <x:c r="N2347" t="str">
        <x:v>DerivedFromCount</x:v>
      </x:c>
      <x:c r="O2347" t="str">
        <x:v>PLC-PRD-JAR-720-L25</x:v>
      </x:c>
      <x:c r="P2347" t="str">
        <x:v>OK</x:v>
      </x:c>
      <x:c r="Q2347" t="str">
        <x:v>OK</x:v>
      </x:c>
      <x:c r="R2347" t="str">
        <x:v>OK</x:v>
      </x:c>
      <x:c r="S2347" t="str">
        <x:v>OK</x:v>
      </x:c>
      <x:c r="T2347" t="n">
        <x:v>16</x:v>
      </x:c>
      <x:c r="U2347" t="str">
        <x:v>OK</x:v>
      </x:c>
      <x:c r="V2347" t="str">
        <x:v>OK</x:v>
      </x:c>
      <x:c r="W2347" t="str">
        <x:v>LOAD</x:v>
      </x:c>
      <x:c r="X2347" t="str">
        <x:v>02_Supervisor_Log(4).xlsx</x:v>
      </x:c>
      <x:c r="Y2347" t="str">
        <x:v>ENH-20260830-01</x:v>
      </x:c>
      <x:c r="Z2347" t="str">
        <x:v>Active</x:v>
      </x:c>
      <x:c r="AA2347"/>
      <x:c r="AB2347"/>
      <x:c r="AC2347"/>
      <x:c r="AD2347"/>
    </x:row>
    <x:row r="2348">
      <x:c r="A2348" t="str">
        <x:v>PCC-PE-KG01-L25-20251022-AM-ORD-2025-00161-S02-C1</x:v>
      </x:c>
      <x:c r="B2348" t="str">
        <x:v>PC-PE-KG01-L25-20251022-AM-ORD-2025-00161-S02</x:v>
      </x:c>
      <x:c r="C2348" t="str">
        <x:v>PE-KG01-L25-20251022-AM-ORD-2025-00161</x:v>
      </x:c>
      <x:c r="D2348" t="str">
        <x:v>KG01</x:v>
      </x:c>
      <x:c r="E2348" s="62" t="n">
        <x:v>45952</x:v>
      </x:c>
      <x:c r="F2348" t="str">
        <x:v>AM</x:v>
      </x:c>
      <x:c r="G2348" t="str">
        <x:v>B</x:v>
      </x:c>
      <x:c r="H2348" t="n">
        <x:v>25</x:v>
      </x:c>
      <x:c r="I2348" t="str">
        <x:v>ORD-2025-00161</x:v>
      </x:c>
      <x:c r="J2348" t="n">
        <x:v>2</x:v>
      </x:c>
      <x:c r="K2348" t="n">
        <x:v>1</x:v>
      </x:c>
      <x:c r="L2348" t="str">
        <x:v>L25-S02-C1</x:v>
      </x:c>
      <x:c r="M2348" t="n">
        <x:v>1</x:v>
      </x:c>
      <x:c r="N2348" t="str">
        <x:v>DerivedFromCount</x:v>
      </x:c>
      <x:c r="O2348" t="str">
        <x:v>PLC-PRD-JAR-720-L25</x:v>
      </x:c>
      <x:c r="P2348" t="str">
        <x:v>OK</x:v>
      </x:c>
      <x:c r="Q2348" t="str">
        <x:v>OK</x:v>
      </x:c>
      <x:c r="R2348" t="str">
        <x:v>OK</x:v>
      </x:c>
      <x:c r="S2348" t="str">
        <x:v>OK</x:v>
      </x:c>
      <x:c r="T2348" t="n">
        <x:v>16</x:v>
      </x:c>
      <x:c r="U2348" t="str">
        <x:v>OK</x:v>
      </x:c>
      <x:c r="V2348" t="str">
        <x:v>OK</x:v>
      </x:c>
      <x:c r="W2348" t="str">
        <x:v>LOAD</x:v>
      </x:c>
      <x:c r="X2348" t="str">
        <x:v>02_Supervisor_Log(4).xlsx</x:v>
      </x:c>
      <x:c r="Y2348" t="str">
        <x:v>ENH-20260830-01</x:v>
      </x:c>
      <x:c r="Z2348" t="str">
        <x:v>Active</x:v>
      </x:c>
      <x:c r="AA2348"/>
      <x:c r="AB2348"/>
      <x:c r="AC2348"/>
      <x:c r="AD2348"/>
    </x:row>
    <x:row r="2349">
      <x:c r="A2349" t="str">
        <x:v>PCC-PE-KG01-L25-20251022-AM-ORD-2025-00161-S02-C2</x:v>
      </x:c>
      <x:c r="B2349" t="str">
        <x:v>PC-PE-KG01-L25-20251022-AM-ORD-2025-00161-S02</x:v>
      </x:c>
      <x:c r="C2349" t="str">
        <x:v>PE-KG01-L25-20251022-AM-ORD-2025-00161</x:v>
      </x:c>
      <x:c r="D2349" t="str">
        <x:v>KG01</x:v>
      </x:c>
      <x:c r="E2349" s="62" t="n">
        <x:v>45952</x:v>
      </x:c>
      <x:c r="F2349" t="str">
        <x:v>AM</x:v>
      </x:c>
      <x:c r="G2349" t="str">
        <x:v>B</x:v>
      </x:c>
      <x:c r="H2349" t="n">
        <x:v>25</x:v>
      </x:c>
      <x:c r="I2349" t="str">
        <x:v>ORD-2025-00161</x:v>
      </x:c>
      <x:c r="J2349" t="n">
        <x:v>2</x:v>
      </x:c>
      <x:c r="K2349" t="n">
        <x:v>2</x:v>
      </x:c>
      <x:c r="L2349" t="str">
        <x:v>L25-S02-C2</x:v>
      </x:c>
      <x:c r="M2349" t="n">
        <x:v>1</x:v>
      </x:c>
      <x:c r="N2349" t="str">
        <x:v>DerivedFromCount</x:v>
      </x:c>
      <x:c r="O2349" t="str">
        <x:v>PLC-PRD-JAR-720-L25</x:v>
      </x:c>
      <x:c r="P2349" t="str">
        <x:v>OK</x:v>
      </x:c>
      <x:c r="Q2349" t="str">
        <x:v>OK</x:v>
      </x:c>
      <x:c r="R2349" t="str">
        <x:v>OK</x:v>
      </x:c>
      <x:c r="S2349" t="str">
        <x:v>OK</x:v>
      </x:c>
      <x:c r="T2349" t="n">
        <x:v>16</x:v>
      </x:c>
      <x:c r="U2349" t="str">
        <x:v>OK</x:v>
      </x:c>
      <x:c r="V2349" t="str">
        <x:v>OK</x:v>
      </x:c>
      <x:c r="W2349" t="str">
        <x:v>LOAD</x:v>
      </x:c>
      <x:c r="X2349" t="str">
        <x:v>02_Supervisor_Log(4).xlsx</x:v>
      </x:c>
      <x:c r="Y2349" t="str">
        <x:v>ENH-20260830-01</x:v>
      </x:c>
      <x:c r="Z2349" t="str">
        <x:v>Active</x:v>
      </x:c>
      <x:c r="AA2349"/>
      <x:c r="AB2349"/>
      <x:c r="AC2349"/>
      <x:c r="AD2349"/>
    </x:row>
    <x:row r="2350">
      <x:c r="A2350" t="str">
        <x:v>PCC-PE-KG01-L25-20251022-AM-ORD-2025-00161-S02-C3</x:v>
      </x:c>
      <x:c r="B2350" t="str">
        <x:v>PC-PE-KG01-L25-20251022-AM-ORD-2025-00161-S02</x:v>
      </x:c>
      <x:c r="C2350" t="str">
        <x:v>PE-KG01-L25-20251022-AM-ORD-2025-00161</x:v>
      </x:c>
      <x:c r="D2350" t="str">
        <x:v>KG01</x:v>
      </x:c>
      <x:c r="E2350" s="62" t="n">
        <x:v>45952</x:v>
      </x:c>
      <x:c r="F2350" t="str">
        <x:v>AM</x:v>
      </x:c>
      <x:c r="G2350" t="str">
        <x:v>B</x:v>
      </x:c>
      <x:c r="H2350" t="n">
        <x:v>25</x:v>
      </x:c>
      <x:c r="I2350" t="str">
        <x:v>ORD-2025-00161</x:v>
      </x:c>
      <x:c r="J2350" t="n">
        <x:v>2</x:v>
      </x:c>
      <x:c r="K2350" t="n">
        <x:v>3</x:v>
      </x:c>
      <x:c r="L2350" t="str">
        <x:v>L25-S02-C3</x:v>
      </x:c>
      <x:c r="M2350" t="n">
        <x:v>0</x:v>
      </x:c>
      <x:c r="N2350" t="str">
        <x:v>DerivedFromCount</x:v>
      </x:c>
      <x:c r="O2350" t="str">
        <x:v>PLC-PRD-JAR-720-L25</x:v>
      </x:c>
      <x:c r="P2350" t="str">
        <x:v>OK</x:v>
      </x:c>
      <x:c r="Q2350" t="str">
        <x:v>OK</x:v>
      </x:c>
      <x:c r="R2350" t="str">
        <x:v>OK</x:v>
      </x:c>
      <x:c r="S2350" t="str">
        <x:v>OK</x:v>
      </x:c>
      <x:c r="T2350" t="n">
        <x:v>16</x:v>
      </x:c>
      <x:c r="U2350" t="str">
        <x:v>OK</x:v>
      </x:c>
      <x:c r="V2350" t="str">
        <x:v>OK</x:v>
      </x:c>
      <x:c r="W2350" t="str">
        <x:v>LOAD</x:v>
      </x:c>
      <x:c r="X2350" t="str">
        <x:v>02_Supervisor_Log(4).xlsx</x:v>
      </x:c>
      <x:c r="Y2350" t="str">
        <x:v>ENH-20260830-01</x:v>
      </x:c>
      <x:c r="Z2350" t="str">
        <x:v>Active</x:v>
      </x:c>
      <x:c r="AA2350"/>
      <x:c r="AB2350"/>
      <x:c r="AC2350"/>
      <x:c r="AD2350"/>
    </x:row>
    <x:row r="2351">
      <x:c r="A2351" t="str">
        <x:v>PCC-PE-KG01-L25-20251022-AM-ORD-2025-00161-S03-C1</x:v>
      </x:c>
      <x:c r="B2351" t="str">
        <x:v>PC-PE-KG01-L25-20251022-AM-ORD-2025-00161-S03</x:v>
      </x:c>
      <x:c r="C2351" t="str">
        <x:v>PE-KG01-L25-20251022-AM-ORD-2025-00161</x:v>
      </x:c>
      <x:c r="D2351" t="str">
        <x:v>KG01</x:v>
      </x:c>
      <x:c r="E2351" s="62" t="n">
        <x:v>45952</x:v>
      </x:c>
      <x:c r="F2351" t="str">
        <x:v>AM</x:v>
      </x:c>
      <x:c r="G2351" t="str">
        <x:v>B</x:v>
      </x:c>
      <x:c r="H2351" t="n">
        <x:v>25</x:v>
      </x:c>
      <x:c r="I2351" t="str">
        <x:v>ORD-2025-00161</x:v>
      </x:c>
      <x:c r="J2351" t="n">
        <x:v>3</x:v>
      </x:c>
      <x:c r="K2351" t="n">
        <x:v>1</x:v>
      </x:c>
      <x:c r="L2351" t="str">
        <x:v>L25-S03-C1</x:v>
      </x:c>
      <x:c r="M2351" t="n">
        <x:v>1</x:v>
      </x:c>
      <x:c r="N2351" t="str">
        <x:v>DerivedFromCount</x:v>
      </x:c>
      <x:c r="O2351" t="str">
        <x:v>PLC-PRD-JAR-720-L25</x:v>
      </x:c>
      <x:c r="P2351" t="str">
        <x:v>OK</x:v>
      </x:c>
      <x:c r="Q2351" t="str">
        <x:v>OK</x:v>
      </x:c>
      <x:c r="R2351" t="str">
        <x:v>OK</x:v>
      </x:c>
      <x:c r="S2351" t="str">
        <x:v>OK</x:v>
      </x:c>
      <x:c r="T2351" t="n">
        <x:v>16</x:v>
      </x:c>
      <x:c r="U2351" t="str">
        <x:v>OK</x:v>
      </x:c>
      <x:c r="V2351" t="str">
        <x:v>OK</x:v>
      </x:c>
      <x:c r="W2351" t="str">
        <x:v>LOAD</x:v>
      </x:c>
      <x:c r="X2351" t="str">
        <x:v>02_Supervisor_Log(4).xlsx</x:v>
      </x:c>
      <x:c r="Y2351" t="str">
        <x:v>ENH-20260830-01</x:v>
      </x:c>
      <x:c r="Z2351" t="str">
        <x:v>Active</x:v>
      </x:c>
      <x:c r="AA2351"/>
      <x:c r="AB2351"/>
      <x:c r="AC2351"/>
      <x:c r="AD2351"/>
    </x:row>
    <x:row r="2352">
      <x:c r="A2352" t="str">
        <x:v>PCC-PE-KG01-L25-20251022-AM-ORD-2025-00161-S03-C2</x:v>
      </x:c>
      <x:c r="B2352" t="str">
        <x:v>PC-PE-KG01-L25-20251022-AM-ORD-2025-00161-S03</x:v>
      </x:c>
      <x:c r="C2352" t="str">
        <x:v>PE-KG01-L25-20251022-AM-ORD-2025-00161</x:v>
      </x:c>
      <x:c r="D2352" t="str">
        <x:v>KG01</x:v>
      </x:c>
      <x:c r="E2352" s="62" t="n">
        <x:v>45952</x:v>
      </x:c>
      <x:c r="F2352" t="str">
        <x:v>AM</x:v>
      </x:c>
      <x:c r="G2352" t="str">
        <x:v>B</x:v>
      </x:c>
      <x:c r="H2352" t="n">
        <x:v>25</x:v>
      </x:c>
      <x:c r="I2352" t="str">
        <x:v>ORD-2025-00161</x:v>
      </x:c>
      <x:c r="J2352" t="n">
        <x:v>3</x:v>
      </x:c>
      <x:c r="K2352" t="n">
        <x:v>2</x:v>
      </x:c>
      <x:c r="L2352" t="str">
        <x:v>L25-S03-C2</x:v>
      </x:c>
      <x:c r="M2352" t="n">
        <x:v>1</x:v>
      </x:c>
      <x:c r="N2352" t="str">
        <x:v>DerivedFromCount</x:v>
      </x:c>
      <x:c r="O2352" t="str">
        <x:v>PLC-PRD-JAR-720-L25</x:v>
      </x:c>
      <x:c r="P2352" t="str">
        <x:v>OK</x:v>
      </x:c>
      <x:c r="Q2352" t="str">
        <x:v>OK</x:v>
      </x:c>
      <x:c r="R2352" t="str">
        <x:v>OK</x:v>
      </x:c>
      <x:c r="S2352" t="str">
        <x:v>OK</x:v>
      </x:c>
      <x:c r="T2352" t="n">
        <x:v>16</x:v>
      </x:c>
      <x:c r="U2352" t="str">
        <x:v>OK</x:v>
      </x:c>
      <x:c r="V2352" t="str">
        <x:v>OK</x:v>
      </x:c>
      <x:c r="W2352" t="str">
        <x:v>LOAD</x:v>
      </x:c>
      <x:c r="X2352" t="str">
        <x:v>02_Supervisor_Log(4).xlsx</x:v>
      </x:c>
      <x:c r="Y2352" t="str">
        <x:v>ENH-20260830-01</x:v>
      </x:c>
      <x:c r="Z2352" t="str">
        <x:v>Active</x:v>
      </x:c>
      <x:c r="AA2352"/>
      <x:c r="AB2352"/>
      <x:c r="AC2352"/>
      <x:c r="AD2352"/>
    </x:row>
    <x:row r="2353">
      <x:c r="A2353" t="str">
        <x:v>PCC-PE-KG01-L25-20251022-AM-ORD-2025-00161-S03-C3</x:v>
      </x:c>
      <x:c r="B2353" t="str">
        <x:v>PC-PE-KG01-L25-20251022-AM-ORD-2025-00161-S03</x:v>
      </x:c>
      <x:c r="C2353" t="str">
        <x:v>PE-KG01-L25-20251022-AM-ORD-2025-00161</x:v>
      </x:c>
      <x:c r="D2353" t="str">
        <x:v>KG01</x:v>
      </x:c>
      <x:c r="E2353" s="62" t="n">
        <x:v>45952</x:v>
      </x:c>
      <x:c r="F2353" t="str">
        <x:v>AM</x:v>
      </x:c>
      <x:c r="G2353" t="str">
        <x:v>B</x:v>
      </x:c>
      <x:c r="H2353" t="n">
        <x:v>25</x:v>
      </x:c>
      <x:c r="I2353" t="str">
        <x:v>ORD-2025-00161</x:v>
      </x:c>
      <x:c r="J2353" t="n">
        <x:v>3</x:v>
      </x:c>
      <x:c r="K2353" t="n">
        <x:v>3</x:v>
      </x:c>
      <x:c r="L2353" t="str">
        <x:v>L25-S03-C3</x:v>
      </x:c>
      <x:c r="M2353" t="n">
        <x:v>0</x:v>
      </x:c>
      <x:c r="N2353" t="str">
        <x:v>DerivedFromCount</x:v>
      </x:c>
      <x:c r="O2353" t="str">
        <x:v>PLC-PRD-JAR-720-L25</x:v>
      </x:c>
      <x:c r="P2353" t="str">
        <x:v>OK</x:v>
      </x:c>
      <x:c r="Q2353" t="str">
        <x:v>OK</x:v>
      </x:c>
      <x:c r="R2353" t="str">
        <x:v>OK</x:v>
      </x:c>
      <x:c r="S2353" t="str">
        <x:v>OK</x:v>
      </x:c>
      <x:c r="T2353" t="n">
        <x:v>16</x:v>
      </x:c>
      <x:c r="U2353" t="str">
        <x:v>OK</x:v>
      </x:c>
      <x:c r="V2353" t="str">
        <x:v>OK</x:v>
      </x:c>
      <x:c r="W2353" t="str">
        <x:v>LOAD</x:v>
      </x:c>
      <x:c r="X2353" t="str">
        <x:v>02_Supervisor_Log(4).xlsx</x:v>
      </x:c>
      <x:c r="Y2353" t="str">
        <x:v>ENH-20260830-01</x:v>
      </x:c>
      <x:c r="Z2353" t="str">
        <x:v>Active</x:v>
      </x:c>
      <x:c r="AA2353"/>
      <x:c r="AB2353"/>
      <x:c r="AC2353"/>
      <x:c r="AD2353"/>
    </x:row>
    <x:row r="2354">
      <x:c r="A2354" t="str">
        <x:v>PCC-PE-KG01-L25-20251022-AM-ORD-2025-00161-S04-C1</x:v>
      </x:c>
      <x:c r="B2354" t="str">
        <x:v>PC-PE-KG01-L25-20251022-AM-ORD-2025-00161-S04</x:v>
      </x:c>
      <x:c r="C2354" t="str">
        <x:v>PE-KG01-L25-20251022-AM-ORD-2025-00161</x:v>
      </x:c>
      <x:c r="D2354" t="str">
        <x:v>KG01</x:v>
      </x:c>
      <x:c r="E2354" s="62" t="n">
        <x:v>45952</x:v>
      </x:c>
      <x:c r="F2354" t="str">
        <x:v>AM</x:v>
      </x:c>
      <x:c r="G2354" t="str">
        <x:v>B</x:v>
      </x:c>
      <x:c r="H2354" t="n">
        <x:v>25</x:v>
      </x:c>
      <x:c r="I2354" t="str">
        <x:v>ORD-2025-00161</x:v>
      </x:c>
      <x:c r="J2354" t="n">
        <x:v>4</x:v>
      </x:c>
      <x:c r="K2354" t="n">
        <x:v>1</x:v>
      </x:c>
      <x:c r="L2354" t="str">
        <x:v>L25-S04-C1</x:v>
      </x:c>
      <x:c r="M2354" t="n">
        <x:v>1</x:v>
      </x:c>
      <x:c r="N2354" t="str">
        <x:v>DerivedFromCount</x:v>
      </x:c>
      <x:c r="O2354" t="str">
        <x:v>PLC-PRD-JAR-720-L25</x:v>
      </x:c>
      <x:c r="P2354" t="str">
        <x:v>OK</x:v>
      </x:c>
      <x:c r="Q2354" t="str">
        <x:v>OK</x:v>
      </x:c>
      <x:c r="R2354" t="str">
        <x:v>OK</x:v>
      </x:c>
      <x:c r="S2354" t="str">
        <x:v>OK</x:v>
      </x:c>
      <x:c r="T2354" t="n">
        <x:v>16</x:v>
      </x:c>
      <x:c r="U2354" t="str">
        <x:v>OK</x:v>
      </x:c>
      <x:c r="V2354" t="str">
        <x:v>OK</x:v>
      </x:c>
      <x:c r="W2354" t="str">
        <x:v>LOAD</x:v>
      </x:c>
      <x:c r="X2354" t="str">
        <x:v>02_Supervisor_Log(4).xlsx</x:v>
      </x:c>
      <x:c r="Y2354" t="str">
        <x:v>ENH-20260830-01</x:v>
      </x:c>
      <x:c r="Z2354" t="str">
        <x:v>Active</x:v>
      </x:c>
      <x:c r="AA2354"/>
      <x:c r="AB2354"/>
      <x:c r="AC2354"/>
      <x:c r="AD2354"/>
    </x:row>
    <x:row r="2355">
      <x:c r="A2355" t="str">
        <x:v>PCC-PE-KG01-L25-20251022-AM-ORD-2025-00161-S04-C2</x:v>
      </x:c>
      <x:c r="B2355" t="str">
        <x:v>PC-PE-KG01-L25-20251022-AM-ORD-2025-00161-S04</x:v>
      </x:c>
      <x:c r="C2355" t="str">
        <x:v>PE-KG01-L25-20251022-AM-ORD-2025-00161</x:v>
      </x:c>
      <x:c r="D2355" t="str">
        <x:v>KG01</x:v>
      </x:c>
      <x:c r="E2355" s="62" t="n">
        <x:v>45952</x:v>
      </x:c>
      <x:c r="F2355" t="str">
        <x:v>AM</x:v>
      </x:c>
      <x:c r="G2355" t="str">
        <x:v>B</x:v>
      </x:c>
      <x:c r="H2355" t="n">
        <x:v>25</x:v>
      </x:c>
      <x:c r="I2355" t="str">
        <x:v>ORD-2025-00161</x:v>
      </x:c>
      <x:c r="J2355" t="n">
        <x:v>4</x:v>
      </x:c>
      <x:c r="K2355" t="n">
        <x:v>2</x:v>
      </x:c>
      <x:c r="L2355" t="str">
        <x:v>L25-S04-C2</x:v>
      </x:c>
      <x:c r="M2355" t="n">
        <x:v>1</x:v>
      </x:c>
      <x:c r="N2355" t="str">
        <x:v>DerivedFromCount</x:v>
      </x:c>
      <x:c r="O2355" t="str">
        <x:v>PLC-PRD-JAR-720-L25</x:v>
      </x:c>
      <x:c r="P2355" t="str">
        <x:v>OK</x:v>
      </x:c>
      <x:c r="Q2355" t="str">
        <x:v>OK</x:v>
      </x:c>
      <x:c r="R2355" t="str">
        <x:v>OK</x:v>
      </x:c>
      <x:c r="S2355" t="str">
        <x:v>OK</x:v>
      </x:c>
      <x:c r="T2355" t="n">
        <x:v>16</x:v>
      </x:c>
      <x:c r="U2355" t="str">
        <x:v>OK</x:v>
      </x:c>
      <x:c r="V2355" t="str">
        <x:v>OK</x:v>
      </x:c>
      <x:c r="W2355" t="str">
        <x:v>LOAD</x:v>
      </x:c>
      <x:c r="X2355" t="str">
        <x:v>02_Supervisor_Log(4).xlsx</x:v>
      </x:c>
      <x:c r="Y2355" t="str">
        <x:v>ENH-20260830-01</x:v>
      </x:c>
      <x:c r="Z2355" t="str">
        <x:v>Active</x:v>
      </x:c>
      <x:c r="AA2355"/>
      <x:c r="AB2355"/>
      <x:c r="AC2355"/>
      <x:c r="AD2355"/>
    </x:row>
    <x:row r="2356">
      <x:c r="A2356" t="str">
        <x:v>PCC-PE-KG01-L25-20251022-AM-ORD-2025-00161-S04-C3</x:v>
      </x:c>
      <x:c r="B2356" t="str">
        <x:v>PC-PE-KG01-L25-20251022-AM-ORD-2025-00161-S04</x:v>
      </x:c>
      <x:c r="C2356" t="str">
        <x:v>PE-KG01-L25-20251022-AM-ORD-2025-00161</x:v>
      </x:c>
      <x:c r="D2356" t="str">
        <x:v>KG01</x:v>
      </x:c>
      <x:c r="E2356" s="62" t="n">
        <x:v>45952</x:v>
      </x:c>
      <x:c r="F2356" t="str">
        <x:v>AM</x:v>
      </x:c>
      <x:c r="G2356" t="str">
        <x:v>B</x:v>
      </x:c>
      <x:c r="H2356" t="n">
        <x:v>25</x:v>
      </x:c>
      <x:c r="I2356" t="str">
        <x:v>ORD-2025-00161</x:v>
      </x:c>
      <x:c r="J2356" t="n">
        <x:v>4</x:v>
      </x:c>
      <x:c r="K2356" t="n">
        <x:v>3</x:v>
      </x:c>
      <x:c r="L2356" t="str">
        <x:v>L25-S04-C3</x:v>
      </x:c>
      <x:c r="M2356" t="n">
        <x:v>0</x:v>
      </x:c>
      <x:c r="N2356" t="str">
        <x:v>DerivedFromCount</x:v>
      </x:c>
      <x:c r="O2356" t="str">
        <x:v>PLC-PRD-JAR-720-L25</x:v>
      </x:c>
      <x:c r="P2356" t="str">
        <x:v>OK</x:v>
      </x:c>
      <x:c r="Q2356" t="str">
        <x:v>OK</x:v>
      </x:c>
      <x:c r="R2356" t="str">
        <x:v>OK</x:v>
      </x:c>
      <x:c r="S2356" t="str">
        <x:v>OK</x:v>
      </x:c>
      <x:c r="T2356" t="n">
        <x:v>16</x:v>
      </x:c>
      <x:c r="U2356" t="str">
        <x:v>OK</x:v>
      </x:c>
      <x:c r="V2356" t="str">
        <x:v>OK</x:v>
      </x:c>
      <x:c r="W2356" t="str">
        <x:v>LOAD</x:v>
      </x:c>
      <x:c r="X2356" t="str">
        <x:v>02_Supervisor_Log(4).xlsx</x:v>
      </x:c>
      <x:c r="Y2356" t="str">
        <x:v>ENH-20260830-01</x:v>
      </x:c>
      <x:c r="Z2356" t="str">
        <x:v>Active</x:v>
      </x:c>
      <x:c r="AA2356"/>
      <x:c r="AB2356"/>
      <x:c r="AC2356"/>
      <x:c r="AD2356"/>
    </x:row>
    <x:row r="2357">
      <x:c r="A2357" t="str">
        <x:v>PCC-PE-KG01-L25-20251022-AM-ORD-2025-00161-S05-C1</x:v>
      </x:c>
      <x:c r="B2357" t="str">
        <x:v>PC-PE-KG01-L25-20251022-AM-ORD-2025-00161-S05</x:v>
      </x:c>
      <x:c r="C2357" t="str">
        <x:v>PE-KG01-L25-20251022-AM-ORD-2025-00161</x:v>
      </x:c>
      <x:c r="D2357" t="str">
        <x:v>KG01</x:v>
      </x:c>
      <x:c r="E2357" s="62" t="n">
        <x:v>45952</x:v>
      </x:c>
      <x:c r="F2357" t="str">
        <x:v>AM</x:v>
      </x:c>
      <x:c r="G2357" t="str">
        <x:v>B</x:v>
      </x:c>
      <x:c r="H2357" t="n">
        <x:v>25</x:v>
      </x:c>
      <x:c r="I2357" t="str">
        <x:v>ORD-2025-00161</x:v>
      </x:c>
      <x:c r="J2357" t="n">
        <x:v>5</x:v>
      </x:c>
      <x:c r="K2357" t="n">
        <x:v>1</x:v>
      </x:c>
      <x:c r="L2357" t="str">
        <x:v>L25-S05-C1</x:v>
      </x:c>
      <x:c r="M2357" t="n">
        <x:v>1</x:v>
      </x:c>
      <x:c r="N2357" t="str">
        <x:v>DerivedFromCount</x:v>
      </x:c>
      <x:c r="O2357" t="str">
        <x:v>PLC-PRD-JAR-720-L25</x:v>
      </x:c>
      <x:c r="P2357" t="str">
        <x:v>OK</x:v>
      </x:c>
      <x:c r="Q2357" t="str">
        <x:v>OK</x:v>
      </x:c>
      <x:c r="R2357" t="str">
        <x:v>OK</x:v>
      </x:c>
      <x:c r="S2357" t="str">
        <x:v>OK</x:v>
      </x:c>
      <x:c r="T2357" t="n">
        <x:v>16</x:v>
      </x:c>
      <x:c r="U2357" t="str">
        <x:v>OK</x:v>
      </x:c>
      <x:c r="V2357" t="str">
        <x:v>OK</x:v>
      </x:c>
      <x:c r="W2357" t="str">
        <x:v>LOAD</x:v>
      </x:c>
      <x:c r="X2357" t="str">
        <x:v>02_Supervisor_Log(4).xlsx</x:v>
      </x:c>
      <x:c r="Y2357" t="str">
        <x:v>ENH-20260830-01</x:v>
      </x:c>
      <x:c r="Z2357" t="str">
        <x:v>Active</x:v>
      </x:c>
      <x:c r="AA2357"/>
      <x:c r="AB2357"/>
      <x:c r="AC2357"/>
      <x:c r="AD2357"/>
    </x:row>
    <x:row r="2358">
      <x:c r="A2358" t="str">
        <x:v>PCC-PE-KG01-L25-20251022-AM-ORD-2025-00161-S05-C2</x:v>
      </x:c>
      <x:c r="B2358" t="str">
        <x:v>PC-PE-KG01-L25-20251022-AM-ORD-2025-00161-S05</x:v>
      </x:c>
      <x:c r="C2358" t="str">
        <x:v>PE-KG01-L25-20251022-AM-ORD-2025-00161</x:v>
      </x:c>
      <x:c r="D2358" t="str">
        <x:v>KG01</x:v>
      </x:c>
      <x:c r="E2358" s="62" t="n">
        <x:v>45952</x:v>
      </x:c>
      <x:c r="F2358" t="str">
        <x:v>AM</x:v>
      </x:c>
      <x:c r="G2358" t="str">
        <x:v>B</x:v>
      </x:c>
      <x:c r="H2358" t="n">
        <x:v>25</x:v>
      </x:c>
      <x:c r="I2358" t="str">
        <x:v>ORD-2025-00161</x:v>
      </x:c>
      <x:c r="J2358" t="n">
        <x:v>5</x:v>
      </x:c>
      <x:c r="K2358" t="n">
        <x:v>2</x:v>
      </x:c>
      <x:c r="L2358" t="str">
        <x:v>L25-S05-C2</x:v>
      </x:c>
      <x:c r="M2358" t="n">
        <x:v>1</x:v>
      </x:c>
      <x:c r="N2358" t="str">
        <x:v>DerivedFromCount</x:v>
      </x:c>
      <x:c r="O2358" t="str">
        <x:v>PLC-PRD-JAR-720-L25</x:v>
      </x:c>
      <x:c r="P2358" t="str">
        <x:v>OK</x:v>
      </x:c>
      <x:c r="Q2358" t="str">
        <x:v>OK</x:v>
      </x:c>
      <x:c r="R2358" t="str">
        <x:v>OK</x:v>
      </x:c>
      <x:c r="S2358" t="str">
        <x:v>OK</x:v>
      </x:c>
      <x:c r="T2358" t="n">
        <x:v>16</x:v>
      </x:c>
      <x:c r="U2358" t="str">
        <x:v>OK</x:v>
      </x:c>
      <x:c r="V2358" t="str">
        <x:v>OK</x:v>
      </x:c>
      <x:c r="W2358" t="str">
        <x:v>LOAD</x:v>
      </x:c>
      <x:c r="X2358" t="str">
        <x:v>02_Supervisor_Log(4).xlsx</x:v>
      </x:c>
      <x:c r="Y2358" t="str">
        <x:v>ENH-20260830-01</x:v>
      </x:c>
      <x:c r="Z2358" t="str">
        <x:v>Active</x:v>
      </x:c>
      <x:c r="AA2358"/>
      <x:c r="AB2358"/>
      <x:c r="AC2358"/>
      <x:c r="AD2358"/>
    </x:row>
    <x:row r="2359">
      <x:c r="A2359" t="str">
        <x:v>PCC-PE-KG01-L25-20251022-AM-ORD-2025-00161-S05-C3</x:v>
      </x:c>
      <x:c r="B2359" t="str">
        <x:v>PC-PE-KG01-L25-20251022-AM-ORD-2025-00161-S05</x:v>
      </x:c>
      <x:c r="C2359" t="str">
        <x:v>PE-KG01-L25-20251022-AM-ORD-2025-00161</x:v>
      </x:c>
      <x:c r="D2359" t="str">
        <x:v>KG01</x:v>
      </x:c>
      <x:c r="E2359" s="62" t="n">
        <x:v>45952</x:v>
      </x:c>
      <x:c r="F2359" t="str">
        <x:v>AM</x:v>
      </x:c>
      <x:c r="G2359" t="str">
        <x:v>B</x:v>
      </x:c>
      <x:c r="H2359" t="n">
        <x:v>25</x:v>
      </x:c>
      <x:c r="I2359" t="str">
        <x:v>ORD-2025-00161</x:v>
      </x:c>
      <x:c r="J2359" t="n">
        <x:v>5</x:v>
      </x:c>
      <x:c r="K2359" t="n">
        <x:v>3</x:v>
      </x:c>
      <x:c r="L2359" t="str">
        <x:v>L25-S05-C3</x:v>
      </x:c>
      <x:c r="M2359" t="n">
        <x:v>0</x:v>
      </x:c>
      <x:c r="N2359" t="str">
        <x:v>DerivedFromCount</x:v>
      </x:c>
      <x:c r="O2359" t="str">
        <x:v>PLC-PRD-JAR-720-L25</x:v>
      </x:c>
      <x:c r="P2359" t="str">
        <x:v>OK</x:v>
      </x:c>
      <x:c r="Q2359" t="str">
        <x:v>OK</x:v>
      </x:c>
      <x:c r="R2359" t="str">
        <x:v>OK</x:v>
      </x:c>
      <x:c r="S2359" t="str">
        <x:v>OK</x:v>
      </x:c>
      <x:c r="T2359" t="n">
        <x:v>16</x:v>
      </x:c>
      <x:c r="U2359" t="str">
        <x:v>OK</x:v>
      </x:c>
      <x:c r="V2359" t="str">
        <x:v>OK</x:v>
      </x:c>
      <x:c r="W2359" t="str">
        <x:v>LOAD</x:v>
      </x:c>
      <x:c r="X2359" t="str">
        <x:v>02_Supervisor_Log(4).xlsx</x:v>
      </x:c>
      <x:c r="Y2359" t="str">
        <x:v>ENH-20260830-01</x:v>
      </x:c>
      <x:c r="Z2359" t="str">
        <x:v>Active</x:v>
      </x:c>
      <x:c r="AA2359"/>
      <x:c r="AB2359"/>
      <x:c r="AC2359"/>
      <x:c r="AD2359"/>
    </x:row>
    <x:row r="2360">
      <x:c r="A2360" t="str">
        <x:v>PCC-PE-KG01-L25-20251022-AM-ORD-2025-00161-S06-C1</x:v>
      </x:c>
      <x:c r="B2360" t="str">
        <x:v>PC-PE-KG01-L25-20251022-AM-ORD-2025-00161-S06</x:v>
      </x:c>
      <x:c r="C2360" t="str">
        <x:v>PE-KG01-L25-20251022-AM-ORD-2025-00161</x:v>
      </x:c>
      <x:c r="D2360" t="str">
        <x:v>KG01</x:v>
      </x:c>
      <x:c r="E2360" s="62" t="n">
        <x:v>45952</x:v>
      </x:c>
      <x:c r="F2360" t="str">
        <x:v>AM</x:v>
      </x:c>
      <x:c r="G2360" t="str">
        <x:v>B</x:v>
      </x:c>
      <x:c r="H2360" t="n">
        <x:v>25</x:v>
      </x:c>
      <x:c r="I2360" t="str">
        <x:v>ORD-2025-00161</x:v>
      </x:c>
      <x:c r="J2360" t="n">
        <x:v>6</x:v>
      </x:c>
      <x:c r="K2360" t="n">
        <x:v>1</x:v>
      </x:c>
      <x:c r="L2360" t="str">
        <x:v>L25-S06-C1</x:v>
      </x:c>
      <x:c r="M2360" t="n">
        <x:v>1</x:v>
      </x:c>
      <x:c r="N2360" t="str">
        <x:v>DerivedFromCount</x:v>
      </x:c>
      <x:c r="O2360" t="str">
        <x:v>PLC-PRD-JAR-720-L25</x:v>
      </x:c>
      <x:c r="P2360" t="str">
        <x:v>OK</x:v>
      </x:c>
      <x:c r="Q2360" t="str">
        <x:v>OK</x:v>
      </x:c>
      <x:c r="R2360" t="str">
        <x:v>OK</x:v>
      </x:c>
      <x:c r="S2360" t="str">
        <x:v>OK</x:v>
      </x:c>
      <x:c r="T2360" t="n">
        <x:v>16</x:v>
      </x:c>
      <x:c r="U2360" t="str">
        <x:v>OK</x:v>
      </x:c>
      <x:c r="V2360" t="str">
        <x:v>OK</x:v>
      </x:c>
      <x:c r="W2360" t="str">
        <x:v>LOAD</x:v>
      </x:c>
      <x:c r="X2360" t="str">
        <x:v>02_Supervisor_Log(4).xlsx</x:v>
      </x:c>
      <x:c r="Y2360" t="str">
        <x:v>ENH-20260830-01</x:v>
      </x:c>
      <x:c r="Z2360" t="str">
        <x:v>Active</x:v>
      </x:c>
      <x:c r="AA2360"/>
      <x:c r="AB2360"/>
      <x:c r="AC2360"/>
      <x:c r="AD2360"/>
    </x:row>
    <x:row r="2361">
      <x:c r="A2361" t="str">
        <x:v>PCC-PE-KG01-L25-20251022-AM-ORD-2025-00161-S06-C2</x:v>
      </x:c>
      <x:c r="B2361" t="str">
        <x:v>PC-PE-KG01-L25-20251022-AM-ORD-2025-00161-S06</x:v>
      </x:c>
      <x:c r="C2361" t="str">
        <x:v>PE-KG01-L25-20251022-AM-ORD-2025-00161</x:v>
      </x:c>
      <x:c r="D2361" t="str">
        <x:v>KG01</x:v>
      </x:c>
      <x:c r="E2361" s="62" t="n">
        <x:v>45952</x:v>
      </x:c>
      <x:c r="F2361" t="str">
        <x:v>AM</x:v>
      </x:c>
      <x:c r="G2361" t="str">
        <x:v>B</x:v>
      </x:c>
      <x:c r="H2361" t="n">
        <x:v>25</x:v>
      </x:c>
      <x:c r="I2361" t="str">
        <x:v>ORD-2025-00161</x:v>
      </x:c>
      <x:c r="J2361" t="n">
        <x:v>6</x:v>
      </x:c>
      <x:c r="K2361" t="n">
        <x:v>2</x:v>
      </x:c>
      <x:c r="L2361" t="str">
        <x:v>L25-S06-C2</x:v>
      </x:c>
      <x:c r="M2361" t="n">
        <x:v>1</x:v>
      </x:c>
      <x:c r="N2361" t="str">
        <x:v>DerivedFromCount</x:v>
      </x:c>
      <x:c r="O2361" t="str">
        <x:v>PLC-PRD-JAR-720-L25</x:v>
      </x:c>
      <x:c r="P2361" t="str">
        <x:v>OK</x:v>
      </x:c>
      <x:c r="Q2361" t="str">
        <x:v>OK</x:v>
      </x:c>
      <x:c r="R2361" t="str">
        <x:v>OK</x:v>
      </x:c>
      <x:c r="S2361" t="str">
        <x:v>OK</x:v>
      </x:c>
      <x:c r="T2361" t="n">
        <x:v>16</x:v>
      </x:c>
      <x:c r="U2361" t="str">
        <x:v>OK</x:v>
      </x:c>
      <x:c r="V2361" t="str">
        <x:v>OK</x:v>
      </x:c>
      <x:c r="W2361" t="str">
        <x:v>LOAD</x:v>
      </x:c>
      <x:c r="X2361" t="str">
        <x:v>02_Supervisor_Log(4).xlsx</x:v>
      </x:c>
      <x:c r="Y2361" t="str">
        <x:v>ENH-20260830-01</x:v>
      </x:c>
      <x:c r="Z2361" t="str">
        <x:v>Active</x:v>
      </x:c>
      <x:c r="AA2361"/>
      <x:c r="AB2361"/>
      <x:c r="AC2361"/>
      <x:c r="AD2361"/>
    </x:row>
    <x:row r="2362">
      <x:c r="A2362" t="str">
        <x:v>PCC-PE-KG01-L25-20251022-AM-ORD-2025-00161-S06-C3</x:v>
      </x:c>
      <x:c r="B2362" t="str">
        <x:v>PC-PE-KG01-L25-20251022-AM-ORD-2025-00161-S06</x:v>
      </x:c>
      <x:c r="C2362" t="str">
        <x:v>PE-KG01-L25-20251022-AM-ORD-2025-00161</x:v>
      </x:c>
      <x:c r="D2362" t="str">
        <x:v>KG01</x:v>
      </x:c>
      <x:c r="E2362" s="62" t="n">
        <x:v>45952</x:v>
      </x:c>
      <x:c r="F2362" t="str">
        <x:v>AM</x:v>
      </x:c>
      <x:c r="G2362" t="str">
        <x:v>B</x:v>
      </x:c>
      <x:c r="H2362" t="n">
        <x:v>25</x:v>
      </x:c>
      <x:c r="I2362" t="str">
        <x:v>ORD-2025-00161</x:v>
      </x:c>
      <x:c r="J2362" t="n">
        <x:v>6</x:v>
      </x:c>
      <x:c r="K2362" t="n">
        <x:v>3</x:v>
      </x:c>
      <x:c r="L2362" t="str">
        <x:v>L25-S06-C3</x:v>
      </x:c>
      <x:c r="M2362" t="n">
        <x:v>0</x:v>
      </x:c>
      <x:c r="N2362" t="str">
        <x:v>DerivedFromCount</x:v>
      </x:c>
      <x:c r="O2362" t="str">
        <x:v>PLC-PRD-JAR-720-L25</x:v>
      </x:c>
      <x:c r="P2362" t="str">
        <x:v>OK</x:v>
      </x:c>
      <x:c r="Q2362" t="str">
        <x:v>OK</x:v>
      </x:c>
      <x:c r="R2362" t="str">
        <x:v>OK</x:v>
      </x:c>
      <x:c r="S2362" t="str">
        <x:v>OK</x:v>
      </x:c>
      <x:c r="T2362" t="n">
        <x:v>16</x:v>
      </x:c>
      <x:c r="U2362" t="str">
        <x:v>OK</x:v>
      </x:c>
      <x:c r="V2362" t="str">
        <x:v>OK</x:v>
      </x:c>
      <x:c r="W2362" t="str">
        <x:v>LOAD</x:v>
      </x:c>
      <x:c r="X2362" t="str">
        <x:v>02_Supervisor_Log(4).xlsx</x:v>
      </x:c>
      <x:c r="Y2362" t="str">
        <x:v>ENH-20260830-01</x:v>
      </x:c>
      <x:c r="Z2362" t="str">
        <x:v>Active</x:v>
      </x:c>
      <x:c r="AA2362"/>
      <x:c r="AB2362"/>
      <x:c r="AC2362"/>
      <x:c r="AD2362"/>
    </x:row>
    <x:row r="2363">
      <x:c r="A2363" t="str">
        <x:v>PCC-PE-KG01-L25-20251022-AM-ORD-2025-00161-S07-C1</x:v>
      </x:c>
      <x:c r="B2363" t="str">
        <x:v>PC-PE-KG01-L25-20251022-AM-ORD-2025-00161-S07</x:v>
      </x:c>
      <x:c r="C2363" t="str">
        <x:v>PE-KG01-L25-20251022-AM-ORD-2025-00161</x:v>
      </x:c>
      <x:c r="D2363" t="str">
        <x:v>KG01</x:v>
      </x:c>
      <x:c r="E2363" s="62" t="n">
        <x:v>45952</x:v>
      </x:c>
      <x:c r="F2363" t="str">
        <x:v>AM</x:v>
      </x:c>
      <x:c r="G2363" t="str">
        <x:v>B</x:v>
      </x:c>
      <x:c r="H2363" t="n">
        <x:v>25</x:v>
      </x:c>
      <x:c r="I2363" t="str">
        <x:v>ORD-2025-00161</x:v>
      </x:c>
      <x:c r="J2363" t="n">
        <x:v>7</x:v>
      </x:c>
      <x:c r="K2363" t="n">
        <x:v>1</x:v>
      </x:c>
      <x:c r="L2363" t="str">
        <x:v>L25-S07-C1</x:v>
      </x:c>
      <x:c r="M2363" t="n">
        <x:v>1</x:v>
      </x:c>
      <x:c r="N2363" t="str">
        <x:v>DerivedFromCount</x:v>
      </x:c>
      <x:c r="O2363" t="str">
        <x:v>PLC-PRD-JAR-720-L25</x:v>
      </x:c>
      <x:c r="P2363" t="str">
        <x:v>OK</x:v>
      </x:c>
      <x:c r="Q2363" t="str">
        <x:v>OK</x:v>
      </x:c>
      <x:c r="R2363" t="str">
        <x:v>OK</x:v>
      </x:c>
      <x:c r="S2363" t="str">
        <x:v>OK</x:v>
      </x:c>
      <x:c r="T2363" t="n">
        <x:v>16</x:v>
      </x:c>
      <x:c r="U2363" t="str">
        <x:v>OK</x:v>
      </x:c>
      <x:c r="V2363" t="str">
        <x:v>OK</x:v>
      </x:c>
      <x:c r="W2363" t="str">
        <x:v>LOAD</x:v>
      </x:c>
      <x:c r="X2363" t="str">
        <x:v>02_Supervisor_Log(4).xlsx</x:v>
      </x:c>
      <x:c r="Y2363" t="str">
        <x:v>ENH-20260830-01</x:v>
      </x:c>
      <x:c r="Z2363" t="str">
        <x:v>Active</x:v>
      </x:c>
      <x:c r="AA2363"/>
      <x:c r="AB2363"/>
      <x:c r="AC2363"/>
      <x:c r="AD2363"/>
    </x:row>
    <x:row r="2364">
      <x:c r="A2364" t="str">
        <x:v>PCC-PE-KG01-L25-20251022-AM-ORD-2025-00161-S07-C2</x:v>
      </x:c>
      <x:c r="B2364" t="str">
        <x:v>PC-PE-KG01-L25-20251022-AM-ORD-2025-00161-S07</x:v>
      </x:c>
      <x:c r="C2364" t="str">
        <x:v>PE-KG01-L25-20251022-AM-ORD-2025-00161</x:v>
      </x:c>
      <x:c r="D2364" t="str">
        <x:v>KG01</x:v>
      </x:c>
      <x:c r="E2364" s="62" t="n">
        <x:v>45952</x:v>
      </x:c>
      <x:c r="F2364" t="str">
        <x:v>AM</x:v>
      </x:c>
      <x:c r="G2364" t="str">
        <x:v>B</x:v>
      </x:c>
      <x:c r="H2364" t="n">
        <x:v>25</x:v>
      </x:c>
      <x:c r="I2364" t="str">
        <x:v>ORD-2025-00161</x:v>
      </x:c>
      <x:c r="J2364" t="n">
        <x:v>7</x:v>
      </x:c>
      <x:c r="K2364" t="n">
        <x:v>2</x:v>
      </x:c>
      <x:c r="L2364" t="str">
        <x:v>L25-S07-C2</x:v>
      </x:c>
      <x:c r="M2364" t="n">
        <x:v>1</x:v>
      </x:c>
      <x:c r="N2364" t="str">
        <x:v>DerivedFromCount</x:v>
      </x:c>
      <x:c r="O2364" t="str">
        <x:v>PLC-PRD-JAR-720-L25</x:v>
      </x:c>
      <x:c r="P2364" t="str">
        <x:v>OK</x:v>
      </x:c>
      <x:c r="Q2364" t="str">
        <x:v>OK</x:v>
      </x:c>
      <x:c r="R2364" t="str">
        <x:v>OK</x:v>
      </x:c>
      <x:c r="S2364" t="str">
        <x:v>OK</x:v>
      </x:c>
      <x:c r="T2364" t="n">
        <x:v>16</x:v>
      </x:c>
      <x:c r="U2364" t="str">
        <x:v>OK</x:v>
      </x:c>
      <x:c r="V2364" t="str">
        <x:v>OK</x:v>
      </x:c>
      <x:c r="W2364" t="str">
        <x:v>LOAD</x:v>
      </x:c>
      <x:c r="X2364" t="str">
        <x:v>02_Supervisor_Log(4).xlsx</x:v>
      </x:c>
      <x:c r="Y2364" t="str">
        <x:v>ENH-20260830-01</x:v>
      </x:c>
      <x:c r="Z2364" t="str">
        <x:v>Active</x:v>
      </x:c>
      <x:c r="AA2364"/>
      <x:c r="AB2364"/>
      <x:c r="AC2364"/>
      <x:c r="AD2364"/>
    </x:row>
    <x:row r="2365">
      <x:c r="A2365" t="str">
        <x:v>PCC-PE-KG01-L25-20251022-AM-ORD-2025-00161-S07-C3</x:v>
      </x:c>
      <x:c r="B2365" t="str">
        <x:v>PC-PE-KG01-L25-20251022-AM-ORD-2025-00161-S07</x:v>
      </x:c>
      <x:c r="C2365" t="str">
        <x:v>PE-KG01-L25-20251022-AM-ORD-2025-00161</x:v>
      </x:c>
      <x:c r="D2365" t="str">
        <x:v>KG01</x:v>
      </x:c>
      <x:c r="E2365" s="62" t="n">
        <x:v>45952</x:v>
      </x:c>
      <x:c r="F2365" t="str">
        <x:v>AM</x:v>
      </x:c>
      <x:c r="G2365" t="str">
        <x:v>B</x:v>
      </x:c>
      <x:c r="H2365" t="n">
        <x:v>25</x:v>
      </x:c>
      <x:c r="I2365" t="str">
        <x:v>ORD-2025-00161</x:v>
      </x:c>
      <x:c r="J2365" t="n">
        <x:v>7</x:v>
      </x:c>
      <x:c r="K2365" t="n">
        <x:v>3</x:v>
      </x:c>
      <x:c r="L2365" t="str">
        <x:v>L25-S07-C3</x:v>
      </x:c>
      <x:c r="M2365" t="n">
        <x:v>0</x:v>
      </x:c>
      <x:c r="N2365" t="str">
        <x:v>DerivedFromCount</x:v>
      </x:c>
      <x:c r="O2365" t="str">
        <x:v>PLC-PRD-JAR-720-L25</x:v>
      </x:c>
      <x:c r="P2365" t="str">
        <x:v>OK</x:v>
      </x:c>
      <x:c r="Q2365" t="str">
        <x:v>OK</x:v>
      </x:c>
      <x:c r="R2365" t="str">
        <x:v>OK</x:v>
      </x:c>
      <x:c r="S2365" t="str">
        <x:v>OK</x:v>
      </x:c>
      <x:c r="T2365" t="n">
        <x:v>16</x:v>
      </x:c>
      <x:c r="U2365" t="str">
        <x:v>OK</x:v>
      </x:c>
      <x:c r="V2365" t="str">
        <x:v>OK</x:v>
      </x:c>
      <x:c r="W2365" t="str">
        <x:v>LOAD</x:v>
      </x:c>
      <x:c r="X2365" t="str">
        <x:v>02_Supervisor_Log(4).xlsx</x:v>
      </x:c>
      <x:c r="Y2365" t="str">
        <x:v>ENH-20260830-01</x:v>
      </x:c>
      <x:c r="Z2365" t="str">
        <x:v>Active</x:v>
      </x:c>
      <x:c r="AA2365"/>
      <x:c r="AB2365"/>
      <x:c r="AC2365"/>
      <x:c r="AD2365"/>
    </x:row>
    <x:row r="2366">
      <x:c r="A2366" t="str">
        <x:v>PCC-PE-KG01-L25-20251022-AM-ORD-2025-00161-S08-C1</x:v>
      </x:c>
      <x:c r="B2366" t="str">
        <x:v>PC-PE-KG01-L25-20251022-AM-ORD-2025-00161-S08</x:v>
      </x:c>
      <x:c r="C2366" t="str">
        <x:v>PE-KG01-L25-20251022-AM-ORD-2025-00161</x:v>
      </x:c>
      <x:c r="D2366" t="str">
        <x:v>KG01</x:v>
      </x:c>
      <x:c r="E2366" s="62" t="n">
        <x:v>45952</x:v>
      </x:c>
      <x:c r="F2366" t="str">
        <x:v>AM</x:v>
      </x:c>
      <x:c r="G2366" t="str">
        <x:v>B</x:v>
      </x:c>
      <x:c r="H2366" t="n">
        <x:v>25</x:v>
      </x:c>
      <x:c r="I2366" t="str">
        <x:v>ORD-2025-00161</x:v>
      </x:c>
      <x:c r="J2366" t="n">
        <x:v>8</x:v>
      </x:c>
      <x:c r="K2366" t="n">
        <x:v>1</x:v>
      </x:c>
      <x:c r="L2366" t="str">
        <x:v>L25-S08-C1</x:v>
      </x:c>
      <x:c r="M2366" t="n">
        <x:v>1</x:v>
      </x:c>
      <x:c r="N2366" t="str">
        <x:v>DerivedFromCount</x:v>
      </x:c>
      <x:c r="O2366" t="str">
        <x:v>PLC-PRD-JAR-720-L25</x:v>
      </x:c>
      <x:c r="P2366" t="str">
        <x:v>OK</x:v>
      </x:c>
      <x:c r="Q2366" t="str">
        <x:v>OK</x:v>
      </x:c>
      <x:c r="R2366" t="str">
        <x:v>OK</x:v>
      </x:c>
      <x:c r="S2366" t="str">
        <x:v>OK</x:v>
      </x:c>
      <x:c r="T2366" t="n">
        <x:v>16</x:v>
      </x:c>
      <x:c r="U2366" t="str">
        <x:v>OK</x:v>
      </x:c>
      <x:c r="V2366" t="str">
        <x:v>OK</x:v>
      </x:c>
      <x:c r="W2366" t="str">
        <x:v>LOAD</x:v>
      </x:c>
      <x:c r="X2366" t="str">
        <x:v>02_Supervisor_Log(4).xlsx</x:v>
      </x:c>
      <x:c r="Y2366" t="str">
        <x:v>ENH-20260830-01</x:v>
      </x:c>
      <x:c r="Z2366" t="str">
        <x:v>Active</x:v>
      </x:c>
      <x:c r="AA2366"/>
      <x:c r="AB2366"/>
      <x:c r="AC2366"/>
      <x:c r="AD2366"/>
    </x:row>
    <x:row r="2367">
      <x:c r="A2367" t="str">
        <x:v>PCC-PE-KG01-L25-20251022-AM-ORD-2025-00161-S08-C2</x:v>
      </x:c>
      <x:c r="B2367" t="str">
        <x:v>PC-PE-KG01-L25-20251022-AM-ORD-2025-00161-S08</x:v>
      </x:c>
      <x:c r="C2367" t="str">
        <x:v>PE-KG01-L25-20251022-AM-ORD-2025-00161</x:v>
      </x:c>
      <x:c r="D2367" t="str">
        <x:v>KG01</x:v>
      </x:c>
      <x:c r="E2367" s="62" t="n">
        <x:v>45952</x:v>
      </x:c>
      <x:c r="F2367" t="str">
        <x:v>AM</x:v>
      </x:c>
      <x:c r="G2367" t="str">
        <x:v>B</x:v>
      </x:c>
      <x:c r="H2367" t="n">
        <x:v>25</x:v>
      </x:c>
      <x:c r="I2367" t="str">
        <x:v>ORD-2025-00161</x:v>
      </x:c>
      <x:c r="J2367" t="n">
        <x:v>8</x:v>
      </x:c>
      <x:c r="K2367" t="n">
        <x:v>2</x:v>
      </x:c>
      <x:c r="L2367" t="str">
        <x:v>L25-S08-C2</x:v>
      </x:c>
      <x:c r="M2367" t="n">
        <x:v>1</x:v>
      </x:c>
      <x:c r="N2367" t="str">
        <x:v>DerivedFromCount</x:v>
      </x:c>
      <x:c r="O2367" t="str">
        <x:v>PLC-PRD-JAR-720-L25</x:v>
      </x:c>
      <x:c r="P2367" t="str">
        <x:v>OK</x:v>
      </x:c>
      <x:c r="Q2367" t="str">
        <x:v>OK</x:v>
      </x:c>
      <x:c r="R2367" t="str">
        <x:v>OK</x:v>
      </x:c>
      <x:c r="S2367" t="str">
        <x:v>OK</x:v>
      </x:c>
      <x:c r="T2367" t="n">
        <x:v>16</x:v>
      </x:c>
      <x:c r="U2367" t="str">
        <x:v>OK</x:v>
      </x:c>
      <x:c r="V2367" t="str">
        <x:v>OK</x:v>
      </x:c>
      <x:c r="W2367" t="str">
        <x:v>LOAD</x:v>
      </x:c>
      <x:c r="X2367" t="str">
        <x:v>02_Supervisor_Log(4).xlsx</x:v>
      </x:c>
      <x:c r="Y2367" t="str">
        <x:v>ENH-20260830-01</x:v>
      </x:c>
      <x:c r="Z2367" t="str">
        <x:v>Active</x:v>
      </x:c>
      <x:c r="AA2367"/>
      <x:c r="AB2367"/>
      <x:c r="AC2367"/>
      <x:c r="AD2367"/>
    </x:row>
    <x:row r="2368">
      <x:c r="A2368" t="str">
        <x:v>PCC-PE-KG01-L25-20251022-AM-ORD-2025-00161-S08-C3</x:v>
      </x:c>
      <x:c r="B2368" t="str">
        <x:v>PC-PE-KG01-L25-20251022-AM-ORD-2025-00161-S08</x:v>
      </x:c>
      <x:c r="C2368" t="str">
        <x:v>PE-KG01-L25-20251022-AM-ORD-2025-00161</x:v>
      </x:c>
      <x:c r="D2368" t="str">
        <x:v>KG01</x:v>
      </x:c>
      <x:c r="E2368" s="62" t="n">
        <x:v>45952</x:v>
      </x:c>
      <x:c r="F2368" t="str">
        <x:v>AM</x:v>
      </x:c>
      <x:c r="G2368" t="str">
        <x:v>B</x:v>
      </x:c>
      <x:c r="H2368" t="n">
        <x:v>25</x:v>
      </x:c>
      <x:c r="I2368" t="str">
        <x:v>ORD-2025-00161</x:v>
      </x:c>
      <x:c r="J2368" t="n">
        <x:v>8</x:v>
      </x:c>
      <x:c r="K2368" t="n">
        <x:v>3</x:v>
      </x:c>
      <x:c r="L2368" t="str">
        <x:v>L25-S08-C3</x:v>
      </x:c>
      <x:c r="M2368" t="n">
        <x:v>0</x:v>
      </x:c>
      <x:c r="N2368" t="str">
        <x:v>DerivedFromCount</x:v>
      </x:c>
      <x:c r="O2368" t="str">
        <x:v>PLC-PRD-JAR-720-L25</x:v>
      </x:c>
      <x:c r="P2368" t="str">
        <x:v>OK</x:v>
      </x:c>
      <x:c r="Q2368" t="str">
        <x:v>OK</x:v>
      </x:c>
      <x:c r="R2368" t="str">
        <x:v>OK</x:v>
      </x:c>
      <x:c r="S2368" t="str">
        <x:v>OK</x:v>
      </x:c>
      <x:c r="T2368" t="n">
        <x:v>16</x:v>
      </x:c>
      <x:c r="U2368" t="str">
        <x:v>OK</x:v>
      </x:c>
      <x:c r="V2368" t="str">
        <x:v>OK</x:v>
      </x:c>
      <x:c r="W2368" t="str">
        <x:v>LOAD</x:v>
      </x:c>
      <x:c r="X2368" t="str">
        <x:v>02_Supervisor_Log(4).xlsx</x:v>
      </x:c>
      <x:c r="Y2368" t="str">
        <x:v>ENH-20260830-01</x:v>
      </x:c>
      <x:c r="Z2368" t="str">
        <x:v>Active</x:v>
      </x:c>
      <x:c r="AA2368"/>
      <x:c r="AB2368"/>
      <x:c r="AC2368"/>
      <x:c r="AD2368"/>
    </x:row>
    <x:row r="2369">
      <x:c r="A2369" t="str">
        <x:v>PCC-PE-KG01-L25-20251022-AM-ORD-2025-00161-S09-C1</x:v>
      </x:c>
      <x:c r="B2369" t="str">
        <x:v>PC-PE-KG01-L25-20251022-AM-ORD-2025-00161-S09</x:v>
      </x:c>
      <x:c r="C2369" t="str">
        <x:v>PE-KG01-L25-20251022-AM-ORD-2025-00161</x:v>
      </x:c>
      <x:c r="D2369" t="str">
        <x:v>KG01</x:v>
      </x:c>
      <x:c r="E2369" s="62" t="n">
        <x:v>45952</x:v>
      </x:c>
      <x:c r="F2369" t="str">
        <x:v>AM</x:v>
      </x:c>
      <x:c r="G2369" t="str">
        <x:v>B</x:v>
      </x:c>
      <x:c r="H2369" t="n">
        <x:v>25</x:v>
      </x:c>
      <x:c r="I2369" t="str">
        <x:v>ORD-2025-00161</x:v>
      </x:c>
      <x:c r="J2369" t="n">
        <x:v>9</x:v>
      </x:c>
      <x:c r="K2369" t="n">
        <x:v>1</x:v>
      </x:c>
      <x:c r="L2369" t="str">
        <x:v>L25-S09-C1</x:v>
      </x:c>
      <x:c r="M2369" t="n">
        <x:v>0</x:v>
      </x:c>
      <x:c r="N2369" t="str">
        <x:v>DerivedFromCount</x:v>
      </x:c>
      <x:c r="O2369" t="str">
        <x:v>PLC-PRD-JAR-720-L25</x:v>
      </x:c>
      <x:c r="P2369" t="str">
        <x:v>OK</x:v>
      </x:c>
      <x:c r="Q2369" t="str">
        <x:v>OK</x:v>
      </x:c>
      <x:c r="R2369" t="str">
        <x:v>OK</x:v>
      </x:c>
      <x:c r="S2369" t="str">
        <x:v>OK</x:v>
      </x:c>
      <x:c r="T2369" t="n">
        <x:v>16</x:v>
      </x:c>
      <x:c r="U2369" t="str">
        <x:v>OK</x:v>
      </x:c>
      <x:c r="V2369" t="str">
        <x:v>OK</x:v>
      </x:c>
      <x:c r="W2369" t="str">
        <x:v>LOAD</x:v>
      </x:c>
      <x:c r="X2369" t="str">
        <x:v>02_Supervisor_Log(4).xlsx</x:v>
      </x:c>
      <x:c r="Y2369" t="str">
        <x:v>ENH-20260830-01</x:v>
      </x:c>
      <x:c r="Z2369" t="str">
        <x:v>Active</x:v>
      </x:c>
      <x:c r="AA2369"/>
      <x:c r="AB2369"/>
      <x:c r="AC2369"/>
      <x:c r="AD2369"/>
    </x:row>
    <x:row r="2370">
      <x:c r="A2370" t="str">
        <x:v>PCC-PE-KG01-L25-20251022-AM-ORD-2025-00161-S09-C2</x:v>
      </x:c>
      <x:c r="B2370" t="str">
        <x:v>PC-PE-KG01-L25-20251022-AM-ORD-2025-00161-S09</x:v>
      </x:c>
      <x:c r="C2370" t="str">
        <x:v>PE-KG01-L25-20251022-AM-ORD-2025-00161</x:v>
      </x:c>
      <x:c r="D2370" t="str">
        <x:v>KG01</x:v>
      </x:c>
      <x:c r="E2370" s="62" t="n">
        <x:v>45952</x:v>
      </x:c>
      <x:c r="F2370" t="str">
        <x:v>AM</x:v>
      </x:c>
      <x:c r="G2370" t="str">
        <x:v>B</x:v>
      </x:c>
      <x:c r="H2370" t="n">
        <x:v>25</x:v>
      </x:c>
      <x:c r="I2370" t="str">
        <x:v>ORD-2025-00161</x:v>
      </x:c>
      <x:c r="J2370" t="n">
        <x:v>9</x:v>
      </x:c>
      <x:c r="K2370" t="n">
        <x:v>2</x:v>
      </x:c>
      <x:c r="L2370" t="str">
        <x:v>L25-S09-C2</x:v>
      </x:c>
      <x:c r="M2370" t="n">
        <x:v>0</x:v>
      </x:c>
      <x:c r="N2370" t="str">
        <x:v>DerivedFromCount</x:v>
      </x:c>
      <x:c r="O2370" t="str">
        <x:v>PLC-PRD-JAR-720-L25</x:v>
      </x:c>
      <x:c r="P2370" t="str">
        <x:v>OK</x:v>
      </x:c>
      <x:c r="Q2370" t="str">
        <x:v>OK</x:v>
      </x:c>
      <x:c r="R2370" t="str">
        <x:v>OK</x:v>
      </x:c>
      <x:c r="S2370" t="str">
        <x:v>OK</x:v>
      </x:c>
      <x:c r="T2370" t="n">
        <x:v>16</x:v>
      </x:c>
      <x:c r="U2370" t="str">
        <x:v>OK</x:v>
      </x:c>
      <x:c r="V2370" t="str">
        <x:v>OK</x:v>
      </x:c>
      <x:c r="W2370" t="str">
        <x:v>LOAD</x:v>
      </x:c>
      <x:c r="X2370" t="str">
        <x:v>02_Supervisor_Log(4).xlsx</x:v>
      </x:c>
      <x:c r="Y2370" t="str">
        <x:v>ENH-20260830-01</x:v>
      </x:c>
      <x:c r="Z2370" t="str">
        <x:v>Active</x:v>
      </x:c>
      <x:c r="AA2370"/>
      <x:c r="AB2370"/>
      <x:c r="AC2370"/>
      <x:c r="AD2370"/>
    </x:row>
    <x:row r="2371">
      <x:c r="A2371" t="str">
        <x:v>PCC-PE-KG01-L25-20251022-AM-ORD-2025-00161-S09-C3</x:v>
      </x:c>
      <x:c r="B2371" t="str">
        <x:v>PC-PE-KG01-L25-20251022-AM-ORD-2025-00161-S09</x:v>
      </x:c>
      <x:c r="C2371" t="str">
        <x:v>PE-KG01-L25-20251022-AM-ORD-2025-00161</x:v>
      </x:c>
      <x:c r="D2371" t="str">
        <x:v>KG01</x:v>
      </x:c>
      <x:c r="E2371" s="62" t="n">
        <x:v>45952</x:v>
      </x:c>
      <x:c r="F2371" t="str">
        <x:v>AM</x:v>
      </x:c>
      <x:c r="G2371" t="str">
        <x:v>B</x:v>
      </x:c>
      <x:c r="H2371" t="n">
        <x:v>25</x:v>
      </x:c>
      <x:c r="I2371" t="str">
        <x:v>ORD-2025-00161</x:v>
      </x:c>
      <x:c r="J2371" t="n">
        <x:v>9</x:v>
      </x:c>
      <x:c r="K2371" t="n">
        <x:v>3</x:v>
      </x:c>
      <x:c r="L2371" t="str">
        <x:v>L25-S09-C3</x:v>
      </x:c>
      <x:c r="M2371" t="n">
        <x:v>0</x:v>
      </x:c>
      <x:c r="N2371" t="str">
        <x:v>DerivedFromCount</x:v>
      </x:c>
      <x:c r="O2371" t="str">
        <x:v>PLC-PRD-JAR-720-L25</x:v>
      </x:c>
      <x:c r="P2371" t="str">
        <x:v>OK</x:v>
      </x:c>
      <x:c r="Q2371" t="str">
        <x:v>OK</x:v>
      </x:c>
      <x:c r="R2371" t="str">
        <x:v>OK</x:v>
      </x:c>
      <x:c r="S2371" t="str">
        <x:v>OK</x:v>
      </x:c>
      <x:c r="T2371" t="n">
        <x:v>16</x:v>
      </x:c>
      <x:c r="U2371" t="str">
        <x:v>OK</x:v>
      </x:c>
      <x:c r="V2371" t="str">
        <x:v>OK</x:v>
      </x:c>
      <x:c r="W2371" t="str">
        <x:v>LOAD</x:v>
      </x:c>
      <x:c r="X2371" t="str">
        <x:v>02_Supervisor_Log(4).xlsx</x:v>
      </x:c>
      <x:c r="Y2371" t="str">
        <x:v>ENH-20260830-01</x:v>
      </x:c>
      <x:c r="Z2371" t="str">
        <x:v>Active</x:v>
      </x:c>
      <x:c r="AA2371"/>
      <x:c r="AB2371"/>
      <x:c r="AC2371"/>
      <x:c r="AD2371"/>
    </x:row>
    <x:row r="2372">
      <x:c r="A2372" t="str">
        <x:v>PCC-PE-KG01-L25-20251022-AM-ORD-2025-00161-S10-C1</x:v>
      </x:c>
      <x:c r="B2372" t="str">
        <x:v>PC-PE-KG01-L25-20251022-AM-ORD-2025-00161-S10</x:v>
      </x:c>
      <x:c r="C2372" t="str">
        <x:v>PE-KG01-L25-20251022-AM-ORD-2025-00161</x:v>
      </x:c>
      <x:c r="D2372" t="str">
        <x:v>KG01</x:v>
      </x:c>
      <x:c r="E2372" s="62" t="n">
        <x:v>45952</x:v>
      </x:c>
      <x:c r="F2372" t="str">
        <x:v>AM</x:v>
      </x:c>
      <x:c r="G2372" t="str">
        <x:v>B</x:v>
      </x:c>
      <x:c r="H2372" t="n">
        <x:v>25</x:v>
      </x:c>
      <x:c r="I2372" t="str">
        <x:v>ORD-2025-00161</x:v>
      </x:c>
      <x:c r="J2372" t="n">
        <x:v>10</x:v>
      </x:c>
      <x:c r="K2372" t="n">
        <x:v>1</x:v>
      </x:c>
      <x:c r="L2372" t="str">
        <x:v>L25-S10-C1</x:v>
      </x:c>
      <x:c r="M2372" t="n">
        <x:v>0</x:v>
      </x:c>
      <x:c r="N2372" t="str">
        <x:v>DerivedFromCount</x:v>
      </x:c>
      <x:c r="O2372" t="str">
        <x:v>PLC-PRD-JAR-720-L25</x:v>
      </x:c>
      <x:c r="P2372" t="str">
        <x:v>OK</x:v>
      </x:c>
      <x:c r="Q2372" t="str">
        <x:v>OK</x:v>
      </x:c>
      <x:c r="R2372" t="str">
        <x:v>OK</x:v>
      </x:c>
      <x:c r="S2372" t="str">
        <x:v>OK</x:v>
      </x:c>
      <x:c r="T2372" t="n">
        <x:v>16</x:v>
      </x:c>
      <x:c r="U2372" t="str">
        <x:v>OK</x:v>
      </x:c>
      <x:c r="V2372" t="str">
        <x:v>OK</x:v>
      </x:c>
      <x:c r="W2372" t="str">
        <x:v>LOAD</x:v>
      </x:c>
      <x:c r="X2372" t="str">
        <x:v>02_Supervisor_Log(4).xlsx</x:v>
      </x:c>
      <x:c r="Y2372" t="str">
        <x:v>ENH-20260830-01</x:v>
      </x:c>
      <x:c r="Z2372" t="str">
        <x:v>Active</x:v>
      </x:c>
      <x:c r="AA2372"/>
      <x:c r="AB2372"/>
      <x:c r="AC2372"/>
      <x:c r="AD2372"/>
    </x:row>
    <x:row r="2373">
      <x:c r="A2373" t="str">
        <x:v>PCC-PE-KG01-L25-20251022-AM-ORD-2025-00161-S10-C2</x:v>
      </x:c>
      <x:c r="B2373" t="str">
        <x:v>PC-PE-KG01-L25-20251022-AM-ORD-2025-00161-S10</x:v>
      </x:c>
      <x:c r="C2373" t="str">
        <x:v>PE-KG01-L25-20251022-AM-ORD-2025-00161</x:v>
      </x:c>
      <x:c r="D2373" t="str">
        <x:v>KG01</x:v>
      </x:c>
      <x:c r="E2373" s="62" t="n">
        <x:v>45952</x:v>
      </x:c>
      <x:c r="F2373" t="str">
        <x:v>AM</x:v>
      </x:c>
      <x:c r="G2373" t="str">
        <x:v>B</x:v>
      </x:c>
      <x:c r="H2373" t="n">
        <x:v>25</x:v>
      </x:c>
      <x:c r="I2373" t="str">
        <x:v>ORD-2025-00161</x:v>
      </x:c>
      <x:c r="J2373" t="n">
        <x:v>10</x:v>
      </x:c>
      <x:c r="K2373" t="n">
        <x:v>2</x:v>
      </x:c>
      <x:c r="L2373" t="str">
        <x:v>L25-S10-C2</x:v>
      </x:c>
      <x:c r="M2373" t="n">
        <x:v>0</x:v>
      </x:c>
      <x:c r="N2373" t="str">
        <x:v>DerivedFromCount</x:v>
      </x:c>
      <x:c r="O2373" t="str">
        <x:v>PLC-PRD-JAR-720-L25</x:v>
      </x:c>
      <x:c r="P2373" t="str">
        <x:v>OK</x:v>
      </x:c>
      <x:c r="Q2373" t="str">
        <x:v>OK</x:v>
      </x:c>
      <x:c r="R2373" t="str">
        <x:v>OK</x:v>
      </x:c>
      <x:c r="S2373" t="str">
        <x:v>OK</x:v>
      </x:c>
      <x:c r="T2373" t="n">
        <x:v>16</x:v>
      </x:c>
      <x:c r="U2373" t="str">
        <x:v>OK</x:v>
      </x:c>
      <x:c r="V2373" t="str">
        <x:v>OK</x:v>
      </x:c>
      <x:c r="W2373" t="str">
        <x:v>LOAD</x:v>
      </x:c>
      <x:c r="X2373" t="str">
        <x:v>02_Supervisor_Log(4).xlsx</x:v>
      </x:c>
      <x:c r="Y2373" t="str">
        <x:v>ENH-20260830-01</x:v>
      </x:c>
      <x:c r="Z2373" t="str">
        <x:v>Active</x:v>
      </x:c>
      <x:c r="AA2373"/>
      <x:c r="AB2373"/>
      <x:c r="AC2373"/>
      <x:c r="AD2373"/>
    </x:row>
    <x:row r="2374">
      <x:c r="A2374" t="str">
        <x:v>PCC-PE-KG01-L25-20251022-AM-ORD-2025-00161-S10-C3</x:v>
      </x:c>
      <x:c r="B2374" t="str">
        <x:v>PC-PE-KG01-L25-20251022-AM-ORD-2025-00161-S10</x:v>
      </x:c>
      <x:c r="C2374" t="str">
        <x:v>PE-KG01-L25-20251022-AM-ORD-2025-00161</x:v>
      </x:c>
      <x:c r="D2374" t="str">
        <x:v>KG01</x:v>
      </x:c>
      <x:c r="E2374" s="62" t="n">
        <x:v>45952</x:v>
      </x:c>
      <x:c r="F2374" t="str">
        <x:v>AM</x:v>
      </x:c>
      <x:c r="G2374" t="str">
        <x:v>B</x:v>
      </x:c>
      <x:c r="H2374" t="n">
        <x:v>25</x:v>
      </x:c>
      <x:c r="I2374" t="str">
        <x:v>ORD-2025-00161</x:v>
      </x:c>
      <x:c r="J2374" t="n">
        <x:v>10</x:v>
      </x:c>
      <x:c r="K2374" t="n">
        <x:v>3</x:v>
      </x:c>
      <x:c r="L2374" t="str">
        <x:v>L25-S10-C3</x:v>
      </x:c>
      <x:c r="M2374" t="n">
        <x:v>0</x:v>
      </x:c>
      <x:c r="N2374" t="str">
        <x:v>DerivedFromCount</x:v>
      </x:c>
      <x:c r="O2374" t="str">
        <x:v>PLC-PRD-JAR-720-L25</x:v>
      </x:c>
      <x:c r="P2374" t="str">
        <x:v>OK</x:v>
      </x:c>
      <x:c r="Q2374" t="str">
        <x:v>OK</x:v>
      </x:c>
      <x:c r="R2374" t="str">
        <x:v>OK</x:v>
      </x:c>
      <x:c r="S2374" t="str">
        <x:v>OK</x:v>
      </x:c>
      <x:c r="T2374" t="n">
        <x:v>16</x:v>
      </x:c>
      <x:c r="U2374" t="str">
        <x:v>OK</x:v>
      </x:c>
      <x:c r="V2374" t="str">
        <x:v>OK</x:v>
      </x:c>
      <x:c r="W2374" t="str">
        <x:v>LOAD</x:v>
      </x:c>
      <x:c r="X2374" t="str">
        <x:v>02_Supervisor_Log(4).xlsx</x:v>
      </x:c>
      <x:c r="Y2374" t="str">
        <x:v>ENH-20260830-01</x:v>
      </x:c>
      <x:c r="Z2374" t="str">
        <x:v>Active</x:v>
      </x:c>
      <x:c r="AA2374"/>
      <x:c r="AB2374"/>
      <x:c r="AC2374"/>
      <x:c r="AD2374"/>
    </x:row>
    <x:row r="2375">
      <x:c r="A2375" t="str">
        <x:v>PCC-PE-KG01-L25-20251022-AM-ORD-2025-00161-S11-C1</x:v>
      </x:c>
      <x:c r="B2375" t="str">
        <x:v>PC-PE-KG01-L25-20251022-AM-ORD-2025-00161-S11</x:v>
      </x:c>
      <x:c r="C2375" t="str">
        <x:v>PE-KG01-L25-20251022-AM-ORD-2025-00161</x:v>
      </x:c>
      <x:c r="D2375" t="str">
        <x:v>KG01</x:v>
      </x:c>
      <x:c r="E2375" s="62" t="n">
        <x:v>45952</x:v>
      </x:c>
      <x:c r="F2375" t="str">
        <x:v>AM</x:v>
      </x:c>
      <x:c r="G2375" t="str">
        <x:v>B</x:v>
      </x:c>
      <x:c r="H2375" t="n">
        <x:v>25</x:v>
      </x:c>
      <x:c r="I2375" t="str">
        <x:v>ORD-2025-00161</x:v>
      </x:c>
      <x:c r="J2375" t="n">
        <x:v>11</x:v>
      </x:c>
      <x:c r="K2375" t="n">
        <x:v>1</x:v>
      </x:c>
      <x:c r="L2375" t="str">
        <x:v>L25-S11-C1</x:v>
      </x:c>
      <x:c r="M2375" t="n">
        <x:v>0</x:v>
      </x:c>
      <x:c r="N2375" t="str">
        <x:v>DerivedFromCount</x:v>
      </x:c>
      <x:c r="O2375" t="str">
        <x:v>PLC-PRD-JAR-720-L25</x:v>
      </x:c>
      <x:c r="P2375" t="str">
        <x:v>OK</x:v>
      </x:c>
      <x:c r="Q2375" t="str">
        <x:v>OK</x:v>
      </x:c>
      <x:c r="R2375" t="str">
        <x:v>OK</x:v>
      </x:c>
      <x:c r="S2375" t="str">
        <x:v>OK</x:v>
      </x:c>
      <x:c r="T2375" t="n">
        <x:v>16</x:v>
      </x:c>
      <x:c r="U2375" t="str">
        <x:v>OK</x:v>
      </x:c>
      <x:c r="V2375" t="str">
        <x:v>OK</x:v>
      </x:c>
      <x:c r="W2375" t="str">
        <x:v>LOAD</x:v>
      </x:c>
      <x:c r="X2375" t="str">
        <x:v>02_Supervisor_Log(4).xlsx</x:v>
      </x:c>
      <x:c r="Y2375" t="str">
        <x:v>ENH-20260830-01</x:v>
      </x:c>
      <x:c r="Z2375" t="str">
        <x:v>Active</x:v>
      </x:c>
      <x:c r="AA2375"/>
      <x:c r="AB2375"/>
      <x:c r="AC2375"/>
      <x:c r="AD2375"/>
    </x:row>
    <x:row r="2376">
      <x:c r="A2376" t="str">
        <x:v>PCC-PE-KG01-L25-20251022-AM-ORD-2025-00161-S11-C2</x:v>
      </x:c>
      <x:c r="B2376" t="str">
        <x:v>PC-PE-KG01-L25-20251022-AM-ORD-2025-00161-S11</x:v>
      </x:c>
      <x:c r="C2376" t="str">
        <x:v>PE-KG01-L25-20251022-AM-ORD-2025-00161</x:v>
      </x:c>
      <x:c r="D2376" t="str">
        <x:v>KG01</x:v>
      </x:c>
      <x:c r="E2376" s="62" t="n">
        <x:v>45952</x:v>
      </x:c>
      <x:c r="F2376" t="str">
        <x:v>AM</x:v>
      </x:c>
      <x:c r="G2376" t="str">
        <x:v>B</x:v>
      </x:c>
      <x:c r="H2376" t="n">
        <x:v>25</x:v>
      </x:c>
      <x:c r="I2376" t="str">
        <x:v>ORD-2025-00161</x:v>
      </x:c>
      <x:c r="J2376" t="n">
        <x:v>11</x:v>
      </x:c>
      <x:c r="K2376" t="n">
        <x:v>2</x:v>
      </x:c>
      <x:c r="L2376" t="str">
        <x:v>L25-S11-C2</x:v>
      </x:c>
      <x:c r="M2376" t="n">
        <x:v>0</x:v>
      </x:c>
      <x:c r="N2376" t="str">
        <x:v>DerivedFromCount</x:v>
      </x:c>
      <x:c r="O2376" t="str">
        <x:v>PLC-PRD-JAR-720-L25</x:v>
      </x:c>
      <x:c r="P2376" t="str">
        <x:v>OK</x:v>
      </x:c>
      <x:c r="Q2376" t="str">
        <x:v>OK</x:v>
      </x:c>
      <x:c r="R2376" t="str">
        <x:v>OK</x:v>
      </x:c>
      <x:c r="S2376" t="str">
        <x:v>OK</x:v>
      </x:c>
      <x:c r="T2376" t="n">
        <x:v>16</x:v>
      </x:c>
      <x:c r="U2376" t="str">
        <x:v>OK</x:v>
      </x:c>
      <x:c r="V2376" t="str">
        <x:v>OK</x:v>
      </x:c>
      <x:c r="W2376" t="str">
        <x:v>LOAD</x:v>
      </x:c>
      <x:c r="X2376" t="str">
        <x:v>02_Supervisor_Log(4).xlsx</x:v>
      </x:c>
      <x:c r="Y2376" t="str">
        <x:v>ENH-20260830-01</x:v>
      </x:c>
      <x:c r="Z2376" t="str">
        <x:v>Active</x:v>
      </x:c>
      <x:c r="AA2376"/>
      <x:c r="AB2376"/>
      <x:c r="AC2376"/>
      <x:c r="AD2376"/>
    </x:row>
    <x:row r="2377">
      <x:c r="A2377" t="str">
        <x:v>PCC-PE-KG01-L25-20251022-AM-ORD-2025-00161-S11-C3</x:v>
      </x:c>
      <x:c r="B2377" t="str">
        <x:v>PC-PE-KG01-L25-20251022-AM-ORD-2025-00161-S11</x:v>
      </x:c>
      <x:c r="C2377" t="str">
        <x:v>PE-KG01-L25-20251022-AM-ORD-2025-00161</x:v>
      </x:c>
      <x:c r="D2377" t="str">
        <x:v>KG01</x:v>
      </x:c>
      <x:c r="E2377" s="62" t="n">
        <x:v>45952</x:v>
      </x:c>
      <x:c r="F2377" t="str">
        <x:v>AM</x:v>
      </x:c>
      <x:c r="G2377" t="str">
        <x:v>B</x:v>
      </x:c>
      <x:c r="H2377" t="n">
        <x:v>25</x:v>
      </x:c>
      <x:c r="I2377" t="str">
        <x:v>ORD-2025-00161</x:v>
      </x:c>
      <x:c r="J2377" t="n">
        <x:v>11</x:v>
      </x:c>
      <x:c r="K2377" t="n">
        <x:v>3</x:v>
      </x:c>
      <x:c r="L2377" t="str">
        <x:v>L25-S11-C3</x:v>
      </x:c>
      <x:c r="M2377" t="n">
        <x:v>0</x:v>
      </x:c>
      <x:c r="N2377" t="str">
        <x:v>DerivedFromCount</x:v>
      </x:c>
      <x:c r="O2377" t="str">
        <x:v>PLC-PRD-JAR-720-L25</x:v>
      </x:c>
      <x:c r="P2377" t="str">
        <x:v>OK</x:v>
      </x:c>
      <x:c r="Q2377" t="str">
        <x:v>OK</x:v>
      </x:c>
      <x:c r="R2377" t="str">
        <x:v>OK</x:v>
      </x:c>
      <x:c r="S2377" t="str">
        <x:v>OK</x:v>
      </x:c>
      <x:c r="T2377" t="n">
        <x:v>16</x:v>
      </x:c>
      <x:c r="U2377" t="str">
        <x:v>OK</x:v>
      </x:c>
      <x:c r="V2377" t="str">
        <x:v>OK</x:v>
      </x:c>
      <x:c r="W2377" t="str">
        <x:v>LOAD</x:v>
      </x:c>
      <x:c r="X2377" t="str">
        <x:v>02_Supervisor_Log(4).xlsx</x:v>
      </x:c>
      <x:c r="Y2377" t="str">
        <x:v>ENH-20260830-01</x:v>
      </x:c>
      <x:c r="Z2377" t="str">
        <x:v>Active</x:v>
      </x:c>
      <x:c r="AA2377"/>
      <x:c r="AB2377"/>
      <x:c r="AC2377"/>
      <x:c r="AD2377"/>
    </x:row>
    <x:row r="2378">
      <x:c r="A2378" t="str">
        <x:v>PCC-PE-KG01-L25-20251022-AM-ORD-2025-00161-S12-C1</x:v>
      </x:c>
      <x:c r="B2378" t="str">
        <x:v>PC-PE-KG01-L25-20251022-AM-ORD-2025-00161-S12</x:v>
      </x:c>
      <x:c r="C2378" t="str">
        <x:v>PE-KG01-L25-20251022-AM-ORD-2025-00161</x:v>
      </x:c>
      <x:c r="D2378" t="str">
        <x:v>KG01</x:v>
      </x:c>
      <x:c r="E2378" s="62" t="n">
        <x:v>45952</x:v>
      </x:c>
      <x:c r="F2378" t="str">
        <x:v>AM</x:v>
      </x:c>
      <x:c r="G2378" t="str">
        <x:v>B</x:v>
      </x:c>
      <x:c r="H2378" t="n">
        <x:v>25</x:v>
      </x:c>
      <x:c r="I2378" t="str">
        <x:v>ORD-2025-00161</x:v>
      </x:c>
      <x:c r="J2378" t="n">
        <x:v>12</x:v>
      </x:c>
      <x:c r="K2378" t="n">
        <x:v>1</x:v>
      </x:c>
      <x:c r="L2378" t="str">
        <x:v>L25-S12-C1</x:v>
      </x:c>
      <x:c r="M2378" t="n">
        <x:v>0</x:v>
      </x:c>
      <x:c r="N2378" t="str">
        <x:v>DerivedFromCount</x:v>
      </x:c>
      <x:c r="O2378" t="str">
        <x:v>PLC-PRD-JAR-720-L25</x:v>
      </x:c>
      <x:c r="P2378" t="str">
        <x:v>OK</x:v>
      </x:c>
      <x:c r="Q2378" t="str">
        <x:v>OK</x:v>
      </x:c>
      <x:c r="R2378" t="str">
        <x:v>OK</x:v>
      </x:c>
      <x:c r="S2378" t="str">
        <x:v>OK</x:v>
      </x:c>
      <x:c r="T2378" t="n">
        <x:v>16</x:v>
      </x:c>
      <x:c r="U2378" t="str">
        <x:v>OK</x:v>
      </x:c>
      <x:c r="V2378" t="str">
        <x:v>OK</x:v>
      </x:c>
      <x:c r="W2378" t="str">
        <x:v>LOAD</x:v>
      </x:c>
      <x:c r="X2378" t="str">
        <x:v>02_Supervisor_Log(4).xlsx</x:v>
      </x:c>
      <x:c r="Y2378" t="str">
        <x:v>ENH-20260830-01</x:v>
      </x:c>
      <x:c r="Z2378" t="str">
        <x:v>Active</x:v>
      </x:c>
      <x:c r="AA2378"/>
      <x:c r="AB2378"/>
      <x:c r="AC2378"/>
      <x:c r="AD2378"/>
    </x:row>
    <x:row r="2379">
      <x:c r="A2379" t="str">
        <x:v>PCC-PE-KG01-L25-20251022-AM-ORD-2025-00161-S12-C2</x:v>
      </x:c>
      <x:c r="B2379" t="str">
        <x:v>PC-PE-KG01-L25-20251022-AM-ORD-2025-00161-S12</x:v>
      </x:c>
      <x:c r="C2379" t="str">
        <x:v>PE-KG01-L25-20251022-AM-ORD-2025-00161</x:v>
      </x:c>
      <x:c r="D2379" t="str">
        <x:v>KG01</x:v>
      </x:c>
      <x:c r="E2379" s="62" t="n">
        <x:v>45952</x:v>
      </x:c>
      <x:c r="F2379" t="str">
        <x:v>AM</x:v>
      </x:c>
      <x:c r="G2379" t="str">
        <x:v>B</x:v>
      </x:c>
      <x:c r="H2379" t="n">
        <x:v>25</x:v>
      </x:c>
      <x:c r="I2379" t="str">
        <x:v>ORD-2025-00161</x:v>
      </x:c>
      <x:c r="J2379" t="n">
        <x:v>12</x:v>
      </x:c>
      <x:c r="K2379" t="n">
        <x:v>2</x:v>
      </x:c>
      <x:c r="L2379" t="str">
        <x:v>L25-S12-C2</x:v>
      </x:c>
      <x:c r="M2379" t="n">
        <x:v>0</x:v>
      </x:c>
      <x:c r="N2379" t="str">
        <x:v>DerivedFromCount</x:v>
      </x:c>
      <x:c r="O2379" t="str">
        <x:v>PLC-PRD-JAR-720-L25</x:v>
      </x:c>
      <x:c r="P2379" t="str">
        <x:v>OK</x:v>
      </x:c>
      <x:c r="Q2379" t="str">
        <x:v>OK</x:v>
      </x:c>
      <x:c r="R2379" t="str">
        <x:v>OK</x:v>
      </x:c>
      <x:c r="S2379" t="str">
        <x:v>OK</x:v>
      </x:c>
      <x:c r="T2379" t="n">
        <x:v>16</x:v>
      </x:c>
      <x:c r="U2379" t="str">
        <x:v>OK</x:v>
      </x:c>
      <x:c r="V2379" t="str">
        <x:v>OK</x:v>
      </x:c>
      <x:c r="W2379" t="str">
        <x:v>LOAD</x:v>
      </x:c>
      <x:c r="X2379" t="str">
        <x:v>02_Supervisor_Log(4).xlsx</x:v>
      </x:c>
      <x:c r="Y2379" t="str">
        <x:v>ENH-20260830-01</x:v>
      </x:c>
      <x:c r="Z2379" t="str">
        <x:v>Active</x:v>
      </x:c>
      <x:c r="AA2379"/>
      <x:c r="AB2379"/>
      <x:c r="AC2379"/>
      <x:c r="AD2379"/>
    </x:row>
    <x:row r="2380">
      <x:c r="A2380" t="str">
        <x:v>PCC-PE-KG01-L25-20251022-AM-ORD-2025-00161-S12-C3</x:v>
      </x:c>
      <x:c r="B2380" t="str">
        <x:v>PC-PE-KG01-L25-20251022-AM-ORD-2025-00161-S12</x:v>
      </x:c>
      <x:c r="C2380" t="str">
        <x:v>PE-KG01-L25-20251022-AM-ORD-2025-00161</x:v>
      </x:c>
      <x:c r="D2380" t="str">
        <x:v>KG01</x:v>
      </x:c>
      <x:c r="E2380" s="62" t="n">
        <x:v>45952</x:v>
      </x:c>
      <x:c r="F2380" t="str">
        <x:v>AM</x:v>
      </x:c>
      <x:c r="G2380" t="str">
        <x:v>B</x:v>
      </x:c>
      <x:c r="H2380" t="n">
        <x:v>25</x:v>
      </x:c>
      <x:c r="I2380" t="str">
        <x:v>ORD-2025-00161</x:v>
      </x:c>
      <x:c r="J2380" t="n">
        <x:v>12</x:v>
      </x:c>
      <x:c r="K2380" t="n">
        <x:v>3</x:v>
      </x:c>
      <x:c r="L2380" t="str">
        <x:v>L25-S12-C3</x:v>
      </x:c>
      <x:c r="M2380" t="n">
        <x:v>0</x:v>
      </x:c>
      <x:c r="N2380" t="str">
        <x:v>DerivedFromCount</x:v>
      </x:c>
      <x:c r="O2380" t="str">
        <x:v>PLC-PRD-JAR-720-L25</x:v>
      </x:c>
      <x:c r="P2380" t="str">
        <x:v>OK</x:v>
      </x:c>
      <x:c r="Q2380" t="str">
        <x:v>OK</x:v>
      </x:c>
      <x:c r="R2380" t="str">
        <x:v>OK</x:v>
      </x:c>
      <x:c r="S2380" t="str">
        <x:v>OK</x:v>
      </x:c>
      <x:c r="T2380" t="n">
        <x:v>16</x:v>
      </x:c>
      <x:c r="U2380" t="str">
        <x:v>OK</x:v>
      </x:c>
      <x:c r="V2380" t="str">
        <x:v>OK</x:v>
      </x:c>
      <x:c r="W2380" t="str">
        <x:v>LOAD</x:v>
      </x:c>
      <x:c r="X2380" t="str">
        <x:v>02_Supervisor_Log(4).xlsx</x:v>
      </x:c>
      <x:c r="Y2380" t="str">
        <x:v>ENH-20260830-01</x:v>
      </x:c>
      <x:c r="Z2380" t="str">
        <x:v>Active</x:v>
      </x:c>
      <x:c r="AA2380"/>
      <x:c r="AB2380"/>
      <x:c r="AC2380"/>
      <x:c r="AD2380"/>
    </x:row>
    <x:row r="2381">
      <x:c r="A2381" t="str">
        <x:v>PCC-PE-KG01-L25-20251022-AM-ORD-2025-00161-S13-C1</x:v>
      </x:c>
      <x:c r="B2381" t="str">
        <x:v>PC-PE-KG01-L25-20251022-AM-ORD-2025-00161-S13</x:v>
      </x:c>
      <x:c r="C2381" t="str">
        <x:v>PE-KG01-L25-20251022-AM-ORD-2025-00161</x:v>
      </x:c>
      <x:c r="D2381" t="str">
        <x:v>KG01</x:v>
      </x:c>
      <x:c r="E2381" s="62" t="n">
        <x:v>45952</x:v>
      </x:c>
      <x:c r="F2381" t="str">
        <x:v>AM</x:v>
      </x:c>
      <x:c r="G2381" t="str">
        <x:v>B</x:v>
      </x:c>
      <x:c r="H2381" t="n">
        <x:v>25</x:v>
      </x:c>
      <x:c r="I2381" t="str">
        <x:v>ORD-2025-00161</x:v>
      </x:c>
      <x:c r="J2381" t="n">
        <x:v>13</x:v>
      </x:c>
      <x:c r="K2381" t="n">
        <x:v>1</x:v>
      </x:c>
      <x:c r="L2381" t="str">
        <x:v>L25-S13-C1</x:v>
      </x:c>
      <x:c r="M2381" t="n">
        <x:v>0</x:v>
      </x:c>
      <x:c r="N2381" t="str">
        <x:v>DerivedFromCount</x:v>
      </x:c>
      <x:c r="O2381" t="str">
        <x:v>PLC-PRD-JAR-720-L25</x:v>
      </x:c>
      <x:c r="P2381" t="str">
        <x:v>OK</x:v>
      </x:c>
      <x:c r="Q2381" t="str">
        <x:v>OK</x:v>
      </x:c>
      <x:c r="R2381" t="str">
        <x:v>OK</x:v>
      </x:c>
      <x:c r="S2381" t="str">
        <x:v>OK</x:v>
      </x:c>
      <x:c r="T2381" t="n">
        <x:v>16</x:v>
      </x:c>
      <x:c r="U2381" t="str">
        <x:v>OK</x:v>
      </x:c>
      <x:c r="V2381" t="str">
        <x:v>OK</x:v>
      </x:c>
      <x:c r="W2381" t="str">
        <x:v>LOAD</x:v>
      </x:c>
      <x:c r="X2381" t="str">
        <x:v>02_Supervisor_Log(4).xlsx</x:v>
      </x:c>
      <x:c r="Y2381" t="str">
        <x:v>ENH-20260830-01</x:v>
      </x:c>
      <x:c r="Z2381" t="str">
        <x:v>Active</x:v>
      </x:c>
      <x:c r="AA2381"/>
      <x:c r="AB2381"/>
      <x:c r="AC2381"/>
      <x:c r="AD2381"/>
    </x:row>
    <x:row r="2382">
      <x:c r="A2382" t="str">
        <x:v>PCC-PE-KG01-L25-20251022-AM-ORD-2025-00161-S13-C2</x:v>
      </x:c>
      <x:c r="B2382" t="str">
        <x:v>PC-PE-KG01-L25-20251022-AM-ORD-2025-00161-S13</x:v>
      </x:c>
      <x:c r="C2382" t="str">
        <x:v>PE-KG01-L25-20251022-AM-ORD-2025-00161</x:v>
      </x:c>
      <x:c r="D2382" t="str">
        <x:v>KG01</x:v>
      </x:c>
      <x:c r="E2382" s="62" t="n">
        <x:v>45952</x:v>
      </x:c>
      <x:c r="F2382" t="str">
        <x:v>AM</x:v>
      </x:c>
      <x:c r="G2382" t="str">
        <x:v>B</x:v>
      </x:c>
      <x:c r="H2382" t="n">
        <x:v>25</x:v>
      </x:c>
      <x:c r="I2382" t="str">
        <x:v>ORD-2025-00161</x:v>
      </x:c>
      <x:c r="J2382" t="n">
        <x:v>13</x:v>
      </x:c>
      <x:c r="K2382" t="n">
        <x:v>2</x:v>
      </x:c>
      <x:c r="L2382" t="str">
        <x:v>L25-S13-C2</x:v>
      </x:c>
      <x:c r="M2382" t="n">
        <x:v>0</x:v>
      </x:c>
      <x:c r="N2382" t="str">
        <x:v>DerivedFromCount</x:v>
      </x:c>
      <x:c r="O2382" t="str">
        <x:v>PLC-PRD-JAR-720-L25</x:v>
      </x:c>
      <x:c r="P2382" t="str">
        <x:v>OK</x:v>
      </x:c>
      <x:c r="Q2382" t="str">
        <x:v>OK</x:v>
      </x:c>
      <x:c r="R2382" t="str">
        <x:v>OK</x:v>
      </x:c>
      <x:c r="S2382" t="str">
        <x:v>OK</x:v>
      </x:c>
      <x:c r="T2382" t="n">
        <x:v>16</x:v>
      </x:c>
      <x:c r="U2382" t="str">
        <x:v>OK</x:v>
      </x:c>
      <x:c r="V2382" t="str">
        <x:v>OK</x:v>
      </x:c>
      <x:c r="W2382" t="str">
        <x:v>LOAD</x:v>
      </x:c>
      <x:c r="X2382" t="str">
        <x:v>02_Supervisor_Log(4).xlsx</x:v>
      </x:c>
      <x:c r="Y2382" t="str">
        <x:v>ENH-20260830-01</x:v>
      </x:c>
      <x:c r="Z2382" t="str">
        <x:v>Active</x:v>
      </x:c>
      <x:c r="AA2382"/>
      <x:c r="AB2382"/>
      <x:c r="AC2382"/>
      <x:c r="AD2382"/>
    </x:row>
    <x:row r="2383">
      <x:c r="A2383" t="str">
        <x:v>PCC-PE-KG01-L25-20251022-AM-ORD-2025-00161-S13-C3</x:v>
      </x:c>
      <x:c r="B2383" t="str">
        <x:v>PC-PE-KG01-L25-20251022-AM-ORD-2025-00161-S13</x:v>
      </x:c>
      <x:c r="C2383" t="str">
        <x:v>PE-KG01-L25-20251022-AM-ORD-2025-00161</x:v>
      </x:c>
      <x:c r="D2383" t="str">
        <x:v>KG01</x:v>
      </x:c>
      <x:c r="E2383" s="62" t="n">
        <x:v>45952</x:v>
      </x:c>
      <x:c r="F2383" t="str">
        <x:v>AM</x:v>
      </x:c>
      <x:c r="G2383" t="str">
        <x:v>B</x:v>
      </x:c>
      <x:c r="H2383" t="n">
        <x:v>25</x:v>
      </x:c>
      <x:c r="I2383" t="str">
        <x:v>ORD-2025-00161</x:v>
      </x:c>
      <x:c r="J2383" t="n">
        <x:v>13</x:v>
      </x:c>
      <x:c r="K2383" t="n">
        <x:v>3</x:v>
      </x:c>
      <x:c r="L2383" t="str">
        <x:v>L25-S13-C3</x:v>
      </x:c>
      <x:c r="M2383" t="n">
        <x:v>0</x:v>
      </x:c>
      <x:c r="N2383" t="str">
        <x:v>DerivedFromCount</x:v>
      </x:c>
      <x:c r="O2383" t="str">
        <x:v>PLC-PRD-JAR-720-L25</x:v>
      </x:c>
      <x:c r="P2383" t="str">
        <x:v>OK</x:v>
      </x:c>
      <x:c r="Q2383" t="str">
        <x:v>OK</x:v>
      </x:c>
      <x:c r="R2383" t="str">
        <x:v>OK</x:v>
      </x:c>
      <x:c r="S2383" t="str">
        <x:v>OK</x:v>
      </x:c>
      <x:c r="T2383" t="n">
        <x:v>16</x:v>
      </x:c>
      <x:c r="U2383" t="str">
        <x:v>OK</x:v>
      </x:c>
      <x:c r="V2383" t="str">
        <x:v>OK</x:v>
      </x:c>
      <x:c r="W2383" t="str">
        <x:v>LOAD</x:v>
      </x:c>
      <x:c r="X2383" t="str">
        <x:v>02_Supervisor_Log(4).xlsx</x:v>
      </x:c>
      <x:c r="Y2383" t="str">
        <x:v>ENH-20260830-01</x:v>
      </x:c>
      <x:c r="Z2383" t="str">
        <x:v>Active</x:v>
      </x:c>
      <x:c r="AA2383"/>
      <x:c r="AB2383"/>
      <x:c r="AC2383"/>
      <x:c r="AD2383"/>
    </x:row>
    <x:row r="2384">
      <x:c r="A2384" t="str">
        <x:v>PCC-PE-KG01-L25-20251022-PM-ORD-2025-00161-S01-C1</x:v>
      </x:c>
      <x:c r="B2384" t="str">
        <x:v>PC-PE-KG01-L25-20251022-PM-ORD-2025-00161-S01</x:v>
      </x:c>
      <x:c r="C2384" t="str">
        <x:v>PE-KG01-L25-20251022-PM-ORD-2025-00161</x:v>
      </x:c>
      <x:c r="D2384" t="str">
        <x:v>KG01</x:v>
      </x:c>
      <x:c r="E2384" s="62" t="n">
        <x:v>45952</x:v>
      </x:c>
      <x:c r="F2384" t="str">
        <x:v>PM</x:v>
      </x:c>
      <x:c r="G2384" t="str">
        <x:v>C</x:v>
      </x:c>
      <x:c r="H2384" t="n">
        <x:v>25</x:v>
      </x:c>
      <x:c r="I2384" t="str">
        <x:v>ORD-2025-00161</x:v>
      </x:c>
      <x:c r="J2384" t="n">
        <x:v>1</x:v>
      </x:c>
      <x:c r="K2384" t="n">
        <x:v>1</x:v>
      </x:c>
      <x:c r="L2384" t="str">
        <x:v>L25-S01-C1</x:v>
      </x:c>
      <x:c r="M2384" t="n">
        <x:v>1</x:v>
      </x:c>
      <x:c r="N2384" t="str">
        <x:v>DerivedFromCount</x:v>
      </x:c>
      <x:c r="O2384" t="str">
        <x:v>PLC-PRD-JAR-720-L25</x:v>
      </x:c>
      <x:c r="P2384" t="str">
        <x:v>OK</x:v>
      </x:c>
      <x:c r="Q2384" t="str">
        <x:v>OK</x:v>
      </x:c>
      <x:c r="R2384" t="str">
        <x:v>OK</x:v>
      </x:c>
      <x:c r="S2384" t="str">
        <x:v>OK</x:v>
      </x:c>
      <x:c r="T2384" t="n">
        <x:v>16</x:v>
      </x:c>
      <x:c r="U2384" t="str">
        <x:v>OK</x:v>
      </x:c>
      <x:c r="V2384" t="str">
        <x:v>OK</x:v>
      </x:c>
      <x:c r="W2384" t="str">
        <x:v>LOAD</x:v>
      </x:c>
      <x:c r="X2384" t="str">
        <x:v>02_Supervisor_Log(4).xlsx</x:v>
      </x:c>
      <x:c r="Y2384" t="str">
        <x:v>ENH-20260830-01</x:v>
      </x:c>
      <x:c r="Z2384" t="str">
        <x:v>Active</x:v>
      </x:c>
      <x:c r="AA2384"/>
      <x:c r="AB2384"/>
      <x:c r="AC2384"/>
      <x:c r="AD2384"/>
    </x:row>
    <x:row r="2385">
      <x:c r="A2385" t="str">
        <x:v>PCC-PE-KG01-L25-20251022-PM-ORD-2025-00161-S01-C2</x:v>
      </x:c>
      <x:c r="B2385" t="str">
        <x:v>PC-PE-KG01-L25-20251022-PM-ORD-2025-00161-S01</x:v>
      </x:c>
      <x:c r="C2385" t="str">
        <x:v>PE-KG01-L25-20251022-PM-ORD-2025-00161</x:v>
      </x:c>
      <x:c r="D2385" t="str">
        <x:v>KG01</x:v>
      </x:c>
      <x:c r="E2385" s="62" t="n">
        <x:v>45952</x:v>
      </x:c>
      <x:c r="F2385" t="str">
        <x:v>PM</x:v>
      </x:c>
      <x:c r="G2385" t="str">
        <x:v>C</x:v>
      </x:c>
      <x:c r="H2385" t="n">
        <x:v>25</x:v>
      </x:c>
      <x:c r="I2385" t="str">
        <x:v>ORD-2025-00161</x:v>
      </x:c>
      <x:c r="J2385" t="n">
        <x:v>1</x:v>
      </x:c>
      <x:c r="K2385" t="n">
        <x:v>2</x:v>
      </x:c>
      <x:c r="L2385" t="str">
        <x:v>L25-S01-C2</x:v>
      </x:c>
      <x:c r="M2385" t="n">
        <x:v>1</x:v>
      </x:c>
      <x:c r="N2385" t="str">
        <x:v>DerivedFromCount</x:v>
      </x:c>
      <x:c r="O2385" t="str">
        <x:v>PLC-PRD-JAR-720-L25</x:v>
      </x:c>
      <x:c r="P2385" t="str">
        <x:v>OK</x:v>
      </x:c>
      <x:c r="Q2385" t="str">
        <x:v>OK</x:v>
      </x:c>
      <x:c r="R2385" t="str">
        <x:v>OK</x:v>
      </x:c>
      <x:c r="S2385" t="str">
        <x:v>OK</x:v>
      </x:c>
      <x:c r="T2385" t="n">
        <x:v>16</x:v>
      </x:c>
      <x:c r="U2385" t="str">
        <x:v>OK</x:v>
      </x:c>
      <x:c r="V2385" t="str">
        <x:v>OK</x:v>
      </x:c>
      <x:c r="W2385" t="str">
        <x:v>LOAD</x:v>
      </x:c>
      <x:c r="X2385" t="str">
        <x:v>02_Supervisor_Log(4).xlsx</x:v>
      </x:c>
      <x:c r="Y2385" t="str">
        <x:v>ENH-20260830-01</x:v>
      </x:c>
      <x:c r="Z2385" t="str">
        <x:v>Active</x:v>
      </x:c>
      <x:c r="AA2385"/>
      <x:c r="AB2385"/>
      <x:c r="AC2385"/>
      <x:c r="AD2385"/>
    </x:row>
    <x:row r="2386">
      <x:c r="A2386" t="str">
        <x:v>PCC-PE-KG01-L25-20251022-PM-ORD-2025-00161-S01-C3</x:v>
      </x:c>
      <x:c r="B2386" t="str">
        <x:v>PC-PE-KG01-L25-20251022-PM-ORD-2025-00161-S01</x:v>
      </x:c>
      <x:c r="C2386" t="str">
        <x:v>PE-KG01-L25-20251022-PM-ORD-2025-00161</x:v>
      </x:c>
      <x:c r="D2386" t="str">
        <x:v>KG01</x:v>
      </x:c>
      <x:c r="E2386" s="62" t="n">
        <x:v>45952</x:v>
      </x:c>
      <x:c r="F2386" t="str">
        <x:v>PM</x:v>
      </x:c>
      <x:c r="G2386" t="str">
        <x:v>C</x:v>
      </x:c>
      <x:c r="H2386" t="n">
        <x:v>25</x:v>
      </x:c>
      <x:c r="I2386" t="str">
        <x:v>ORD-2025-00161</x:v>
      </x:c>
      <x:c r="J2386" t="n">
        <x:v>1</x:v>
      </x:c>
      <x:c r="K2386" t="n">
        <x:v>3</x:v>
      </x:c>
      <x:c r="L2386" t="str">
        <x:v>L25-S01-C3</x:v>
      </x:c>
      <x:c r="M2386" t="n">
        <x:v>0</x:v>
      </x:c>
      <x:c r="N2386" t="str">
        <x:v>DerivedFromCount</x:v>
      </x:c>
      <x:c r="O2386" t="str">
        <x:v>PLC-PRD-JAR-720-L25</x:v>
      </x:c>
      <x:c r="P2386" t="str">
        <x:v>OK</x:v>
      </x:c>
      <x:c r="Q2386" t="str">
        <x:v>OK</x:v>
      </x:c>
      <x:c r="R2386" t="str">
        <x:v>OK</x:v>
      </x:c>
      <x:c r="S2386" t="str">
        <x:v>OK</x:v>
      </x:c>
      <x:c r="T2386" t="n">
        <x:v>16</x:v>
      </x:c>
      <x:c r="U2386" t="str">
        <x:v>OK</x:v>
      </x:c>
      <x:c r="V2386" t="str">
        <x:v>OK</x:v>
      </x:c>
      <x:c r="W2386" t="str">
        <x:v>LOAD</x:v>
      </x:c>
      <x:c r="X2386" t="str">
        <x:v>02_Supervisor_Log(4).xlsx</x:v>
      </x:c>
      <x:c r="Y2386" t="str">
        <x:v>ENH-20260830-01</x:v>
      </x:c>
      <x:c r="Z2386" t="str">
        <x:v>Active</x:v>
      </x:c>
      <x:c r="AA2386"/>
      <x:c r="AB2386"/>
      <x:c r="AC2386"/>
      <x:c r="AD2386"/>
    </x:row>
    <x:row r="2387">
      <x:c r="A2387" t="str">
        <x:v>PCC-PE-KG01-L25-20251022-PM-ORD-2025-00161-S02-C1</x:v>
      </x:c>
      <x:c r="B2387" t="str">
        <x:v>PC-PE-KG01-L25-20251022-PM-ORD-2025-00161-S02</x:v>
      </x:c>
      <x:c r="C2387" t="str">
        <x:v>PE-KG01-L25-20251022-PM-ORD-2025-00161</x:v>
      </x:c>
      <x:c r="D2387" t="str">
        <x:v>KG01</x:v>
      </x:c>
      <x:c r="E2387" s="62" t="n">
        <x:v>45952</x:v>
      </x:c>
      <x:c r="F2387" t="str">
        <x:v>PM</x:v>
      </x:c>
      <x:c r="G2387" t="str">
        <x:v>C</x:v>
      </x:c>
      <x:c r="H2387" t="n">
        <x:v>25</x:v>
      </x:c>
      <x:c r="I2387" t="str">
        <x:v>ORD-2025-00161</x:v>
      </x:c>
      <x:c r="J2387" t="n">
        <x:v>2</x:v>
      </x:c>
      <x:c r="K2387" t="n">
        <x:v>1</x:v>
      </x:c>
      <x:c r="L2387" t="str">
        <x:v>L25-S02-C1</x:v>
      </x:c>
      <x:c r="M2387" t="n">
        <x:v>1</x:v>
      </x:c>
      <x:c r="N2387" t="str">
        <x:v>DerivedFromCount</x:v>
      </x:c>
      <x:c r="O2387" t="str">
        <x:v>PLC-PRD-JAR-720-L25</x:v>
      </x:c>
      <x:c r="P2387" t="str">
        <x:v>OK</x:v>
      </x:c>
      <x:c r="Q2387" t="str">
        <x:v>OK</x:v>
      </x:c>
      <x:c r="R2387" t="str">
        <x:v>OK</x:v>
      </x:c>
      <x:c r="S2387" t="str">
        <x:v>OK</x:v>
      </x:c>
      <x:c r="T2387" t="n">
        <x:v>16</x:v>
      </x:c>
      <x:c r="U2387" t="str">
        <x:v>OK</x:v>
      </x:c>
      <x:c r="V2387" t="str">
        <x:v>OK</x:v>
      </x:c>
      <x:c r="W2387" t="str">
        <x:v>LOAD</x:v>
      </x:c>
      <x:c r="X2387" t="str">
        <x:v>02_Supervisor_Log(4).xlsx</x:v>
      </x:c>
      <x:c r="Y2387" t="str">
        <x:v>ENH-20260830-01</x:v>
      </x:c>
      <x:c r="Z2387" t="str">
        <x:v>Active</x:v>
      </x:c>
      <x:c r="AA2387"/>
      <x:c r="AB2387"/>
      <x:c r="AC2387"/>
      <x:c r="AD2387"/>
    </x:row>
    <x:row r="2388">
      <x:c r="A2388" t="str">
        <x:v>PCC-PE-KG01-L25-20251022-PM-ORD-2025-00161-S02-C2</x:v>
      </x:c>
      <x:c r="B2388" t="str">
        <x:v>PC-PE-KG01-L25-20251022-PM-ORD-2025-00161-S02</x:v>
      </x:c>
      <x:c r="C2388" t="str">
        <x:v>PE-KG01-L25-20251022-PM-ORD-2025-00161</x:v>
      </x:c>
      <x:c r="D2388" t="str">
        <x:v>KG01</x:v>
      </x:c>
      <x:c r="E2388" s="62" t="n">
        <x:v>45952</x:v>
      </x:c>
      <x:c r="F2388" t="str">
        <x:v>PM</x:v>
      </x:c>
      <x:c r="G2388" t="str">
        <x:v>C</x:v>
      </x:c>
      <x:c r="H2388" t="n">
        <x:v>25</x:v>
      </x:c>
      <x:c r="I2388" t="str">
        <x:v>ORD-2025-00161</x:v>
      </x:c>
      <x:c r="J2388" t="n">
        <x:v>2</x:v>
      </x:c>
      <x:c r="K2388" t="n">
        <x:v>2</x:v>
      </x:c>
      <x:c r="L2388" t="str">
        <x:v>L25-S02-C2</x:v>
      </x:c>
      <x:c r="M2388" t="n">
        <x:v>1</x:v>
      </x:c>
      <x:c r="N2388" t="str">
        <x:v>DerivedFromCount</x:v>
      </x:c>
      <x:c r="O2388" t="str">
        <x:v>PLC-PRD-JAR-720-L25</x:v>
      </x:c>
      <x:c r="P2388" t="str">
        <x:v>OK</x:v>
      </x:c>
      <x:c r="Q2388" t="str">
        <x:v>OK</x:v>
      </x:c>
      <x:c r="R2388" t="str">
        <x:v>OK</x:v>
      </x:c>
      <x:c r="S2388" t="str">
        <x:v>OK</x:v>
      </x:c>
      <x:c r="T2388" t="n">
        <x:v>16</x:v>
      </x:c>
      <x:c r="U2388" t="str">
        <x:v>OK</x:v>
      </x:c>
      <x:c r="V2388" t="str">
        <x:v>OK</x:v>
      </x:c>
      <x:c r="W2388" t="str">
        <x:v>LOAD</x:v>
      </x:c>
      <x:c r="X2388" t="str">
        <x:v>02_Supervisor_Log(4).xlsx</x:v>
      </x:c>
      <x:c r="Y2388" t="str">
        <x:v>ENH-20260830-01</x:v>
      </x:c>
      <x:c r="Z2388" t="str">
        <x:v>Active</x:v>
      </x:c>
      <x:c r="AA2388"/>
      <x:c r="AB2388"/>
      <x:c r="AC2388"/>
      <x:c r="AD2388"/>
    </x:row>
    <x:row r="2389">
      <x:c r="A2389" t="str">
        <x:v>PCC-PE-KG01-L25-20251022-PM-ORD-2025-00161-S02-C3</x:v>
      </x:c>
      <x:c r="B2389" t="str">
        <x:v>PC-PE-KG01-L25-20251022-PM-ORD-2025-00161-S02</x:v>
      </x:c>
      <x:c r="C2389" t="str">
        <x:v>PE-KG01-L25-20251022-PM-ORD-2025-00161</x:v>
      </x:c>
      <x:c r="D2389" t="str">
        <x:v>KG01</x:v>
      </x:c>
      <x:c r="E2389" s="62" t="n">
        <x:v>45952</x:v>
      </x:c>
      <x:c r="F2389" t="str">
        <x:v>PM</x:v>
      </x:c>
      <x:c r="G2389" t="str">
        <x:v>C</x:v>
      </x:c>
      <x:c r="H2389" t="n">
        <x:v>25</x:v>
      </x:c>
      <x:c r="I2389" t="str">
        <x:v>ORD-2025-00161</x:v>
      </x:c>
      <x:c r="J2389" t="n">
        <x:v>2</x:v>
      </x:c>
      <x:c r="K2389" t="n">
        <x:v>3</x:v>
      </x:c>
      <x:c r="L2389" t="str">
        <x:v>L25-S02-C3</x:v>
      </x:c>
      <x:c r="M2389" t="n">
        <x:v>0</x:v>
      </x:c>
      <x:c r="N2389" t="str">
        <x:v>DerivedFromCount</x:v>
      </x:c>
      <x:c r="O2389" t="str">
        <x:v>PLC-PRD-JAR-720-L25</x:v>
      </x:c>
      <x:c r="P2389" t="str">
        <x:v>OK</x:v>
      </x:c>
      <x:c r="Q2389" t="str">
        <x:v>OK</x:v>
      </x:c>
      <x:c r="R2389" t="str">
        <x:v>OK</x:v>
      </x:c>
      <x:c r="S2389" t="str">
        <x:v>OK</x:v>
      </x:c>
      <x:c r="T2389" t="n">
        <x:v>16</x:v>
      </x:c>
      <x:c r="U2389" t="str">
        <x:v>OK</x:v>
      </x:c>
      <x:c r="V2389" t="str">
        <x:v>OK</x:v>
      </x:c>
      <x:c r="W2389" t="str">
        <x:v>LOAD</x:v>
      </x:c>
      <x:c r="X2389" t="str">
        <x:v>02_Supervisor_Log(4).xlsx</x:v>
      </x:c>
      <x:c r="Y2389" t="str">
        <x:v>ENH-20260830-01</x:v>
      </x:c>
      <x:c r="Z2389" t="str">
        <x:v>Active</x:v>
      </x:c>
      <x:c r="AA2389"/>
      <x:c r="AB2389"/>
      <x:c r="AC2389"/>
      <x:c r="AD2389"/>
    </x:row>
    <x:row r="2390">
      <x:c r="A2390" t="str">
        <x:v>PCC-PE-KG01-L25-20251022-PM-ORD-2025-00161-S03-C1</x:v>
      </x:c>
      <x:c r="B2390" t="str">
        <x:v>PC-PE-KG01-L25-20251022-PM-ORD-2025-00161-S03</x:v>
      </x:c>
      <x:c r="C2390" t="str">
        <x:v>PE-KG01-L25-20251022-PM-ORD-2025-00161</x:v>
      </x:c>
      <x:c r="D2390" t="str">
        <x:v>KG01</x:v>
      </x:c>
      <x:c r="E2390" s="62" t="n">
        <x:v>45952</x:v>
      </x:c>
      <x:c r="F2390" t="str">
        <x:v>PM</x:v>
      </x:c>
      <x:c r="G2390" t="str">
        <x:v>C</x:v>
      </x:c>
      <x:c r="H2390" t="n">
        <x:v>25</x:v>
      </x:c>
      <x:c r="I2390" t="str">
        <x:v>ORD-2025-00161</x:v>
      </x:c>
      <x:c r="J2390" t="n">
        <x:v>3</x:v>
      </x:c>
      <x:c r="K2390" t="n">
        <x:v>1</x:v>
      </x:c>
      <x:c r="L2390" t="str">
        <x:v>L25-S03-C1</x:v>
      </x:c>
      <x:c r="M2390" t="n">
        <x:v>1</x:v>
      </x:c>
      <x:c r="N2390" t="str">
        <x:v>DerivedFromCount</x:v>
      </x:c>
      <x:c r="O2390" t="str">
        <x:v>PLC-PRD-JAR-720-L25</x:v>
      </x:c>
      <x:c r="P2390" t="str">
        <x:v>OK</x:v>
      </x:c>
      <x:c r="Q2390" t="str">
        <x:v>OK</x:v>
      </x:c>
      <x:c r="R2390" t="str">
        <x:v>OK</x:v>
      </x:c>
      <x:c r="S2390" t="str">
        <x:v>OK</x:v>
      </x:c>
      <x:c r="T2390" t="n">
        <x:v>16</x:v>
      </x:c>
      <x:c r="U2390" t="str">
        <x:v>OK</x:v>
      </x:c>
      <x:c r="V2390" t="str">
        <x:v>OK</x:v>
      </x:c>
      <x:c r="W2390" t="str">
        <x:v>LOAD</x:v>
      </x:c>
      <x:c r="X2390" t="str">
        <x:v>02_Supervisor_Log(4).xlsx</x:v>
      </x:c>
      <x:c r="Y2390" t="str">
        <x:v>ENH-20260830-01</x:v>
      </x:c>
      <x:c r="Z2390" t="str">
        <x:v>Active</x:v>
      </x:c>
      <x:c r="AA2390"/>
      <x:c r="AB2390"/>
      <x:c r="AC2390"/>
      <x:c r="AD2390"/>
    </x:row>
    <x:row r="2391">
      <x:c r="A2391" t="str">
        <x:v>PCC-PE-KG01-L25-20251022-PM-ORD-2025-00161-S03-C2</x:v>
      </x:c>
      <x:c r="B2391" t="str">
        <x:v>PC-PE-KG01-L25-20251022-PM-ORD-2025-00161-S03</x:v>
      </x:c>
      <x:c r="C2391" t="str">
        <x:v>PE-KG01-L25-20251022-PM-ORD-2025-00161</x:v>
      </x:c>
      <x:c r="D2391" t="str">
        <x:v>KG01</x:v>
      </x:c>
      <x:c r="E2391" s="62" t="n">
        <x:v>45952</x:v>
      </x:c>
      <x:c r="F2391" t="str">
        <x:v>PM</x:v>
      </x:c>
      <x:c r="G2391" t="str">
        <x:v>C</x:v>
      </x:c>
      <x:c r="H2391" t="n">
        <x:v>25</x:v>
      </x:c>
      <x:c r="I2391" t="str">
        <x:v>ORD-2025-00161</x:v>
      </x:c>
      <x:c r="J2391" t="n">
        <x:v>3</x:v>
      </x:c>
      <x:c r="K2391" t="n">
        <x:v>2</x:v>
      </x:c>
      <x:c r="L2391" t="str">
        <x:v>L25-S03-C2</x:v>
      </x:c>
      <x:c r="M2391" t="n">
        <x:v>1</x:v>
      </x:c>
      <x:c r="N2391" t="str">
        <x:v>DerivedFromCount</x:v>
      </x:c>
      <x:c r="O2391" t="str">
        <x:v>PLC-PRD-JAR-720-L25</x:v>
      </x:c>
      <x:c r="P2391" t="str">
        <x:v>OK</x:v>
      </x:c>
      <x:c r="Q2391" t="str">
        <x:v>OK</x:v>
      </x:c>
      <x:c r="R2391" t="str">
        <x:v>OK</x:v>
      </x:c>
      <x:c r="S2391" t="str">
        <x:v>OK</x:v>
      </x:c>
      <x:c r="T2391" t="n">
        <x:v>16</x:v>
      </x:c>
      <x:c r="U2391" t="str">
        <x:v>OK</x:v>
      </x:c>
      <x:c r="V2391" t="str">
        <x:v>OK</x:v>
      </x:c>
      <x:c r="W2391" t="str">
        <x:v>LOAD</x:v>
      </x:c>
      <x:c r="X2391" t="str">
        <x:v>02_Supervisor_Log(4).xlsx</x:v>
      </x:c>
      <x:c r="Y2391" t="str">
        <x:v>ENH-20260830-01</x:v>
      </x:c>
      <x:c r="Z2391" t="str">
        <x:v>Active</x:v>
      </x:c>
      <x:c r="AA2391"/>
      <x:c r="AB2391"/>
      <x:c r="AC2391"/>
      <x:c r="AD2391"/>
    </x:row>
    <x:row r="2392">
      <x:c r="A2392" t="str">
        <x:v>PCC-PE-KG01-L25-20251022-PM-ORD-2025-00161-S03-C3</x:v>
      </x:c>
      <x:c r="B2392" t="str">
        <x:v>PC-PE-KG01-L25-20251022-PM-ORD-2025-00161-S03</x:v>
      </x:c>
      <x:c r="C2392" t="str">
        <x:v>PE-KG01-L25-20251022-PM-ORD-2025-00161</x:v>
      </x:c>
      <x:c r="D2392" t="str">
        <x:v>KG01</x:v>
      </x:c>
      <x:c r="E2392" s="62" t="n">
        <x:v>45952</x:v>
      </x:c>
      <x:c r="F2392" t="str">
        <x:v>PM</x:v>
      </x:c>
      <x:c r="G2392" t="str">
        <x:v>C</x:v>
      </x:c>
      <x:c r="H2392" t="n">
        <x:v>25</x:v>
      </x:c>
      <x:c r="I2392" t="str">
        <x:v>ORD-2025-00161</x:v>
      </x:c>
      <x:c r="J2392" t="n">
        <x:v>3</x:v>
      </x:c>
      <x:c r="K2392" t="n">
        <x:v>3</x:v>
      </x:c>
      <x:c r="L2392" t="str">
        <x:v>L25-S03-C3</x:v>
      </x:c>
      <x:c r="M2392" t="n">
        <x:v>0</x:v>
      </x:c>
      <x:c r="N2392" t="str">
        <x:v>DerivedFromCount</x:v>
      </x:c>
      <x:c r="O2392" t="str">
        <x:v>PLC-PRD-JAR-720-L25</x:v>
      </x:c>
      <x:c r="P2392" t="str">
        <x:v>OK</x:v>
      </x:c>
      <x:c r="Q2392" t="str">
        <x:v>OK</x:v>
      </x:c>
      <x:c r="R2392" t="str">
        <x:v>OK</x:v>
      </x:c>
      <x:c r="S2392" t="str">
        <x:v>OK</x:v>
      </x:c>
      <x:c r="T2392" t="n">
        <x:v>16</x:v>
      </x:c>
      <x:c r="U2392" t="str">
        <x:v>OK</x:v>
      </x:c>
      <x:c r="V2392" t="str">
        <x:v>OK</x:v>
      </x:c>
      <x:c r="W2392" t="str">
        <x:v>LOAD</x:v>
      </x:c>
      <x:c r="X2392" t="str">
        <x:v>02_Supervisor_Log(4).xlsx</x:v>
      </x:c>
      <x:c r="Y2392" t="str">
        <x:v>ENH-20260830-01</x:v>
      </x:c>
      <x:c r="Z2392" t="str">
        <x:v>Active</x:v>
      </x:c>
      <x:c r="AA2392"/>
      <x:c r="AB2392"/>
      <x:c r="AC2392"/>
      <x:c r="AD2392"/>
    </x:row>
    <x:row r="2393">
      <x:c r="A2393" t="str">
        <x:v>PCC-PE-KG01-L25-20251022-PM-ORD-2025-00161-S04-C1</x:v>
      </x:c>
      <x:c r="B2393" t="str">
        <x:v>PC-PE-KG01-L25-20251022-PM-ORD-2025-00161-S04</x:v>
      </x:c>
      <x:c r="C2393" t="str">
        <x:v>PE-KG01-L25-20251022-PM-ORD-2025-00161</x:v>
      </x:c>
      <x:c r="D2393" t="str">
        <x:v>KG01</x:v>
      </x:c>
      <x:c r="E2393" s="62" t="n">
        <x:v>45952</x:v>
      </x:c>
      <x:c r="F2393" t="str">
        <x:v>PM</x:v>
      </x:c>
      <x:c r="G2393" t="str">
        <x:v>C</x:v>
      </x:c>
      <x:c r="H2393" t="n">
        <x:v>25</x:v>
      </x:c>
      <x:c r="I2393" t="str">
        <x:v>ORD-2025-00161</x:v>
      </x:c>
      <x:c r="J2393" t="n">
        <x:v>4</x:v>
      </x:c>
      <x:c r="K2393" t="n">
        <x:v>1</x:v>
      </x:c>
      <x:c r="L2393" t="str">
        <x:v>L25-S04-C1</x:v>
      </x:c>
      <x:c r="M2393" t="n">
        <x:v>1</x:v>
      </x:c>
      <x:c r="N2393" t="str">
        <x:v>DerivedFromCount</x:v>
      </x:c>
      <x:c r="O2393" t="str">
        <x:v>PLC-PRD-JAR-720-L25</x:v>
      </x:c>
      <x:c r="P2393" t="str">
        <x:v>OK</x:v>
      </x:c>
      <x:c r="Q2393" t="str">
        <x:v>OK</x:v>
      </x:c>
      <x:c r="R2393" t="str">
        <x:v>OK</x:v>
      </x:c>
      <x:c r="S2393" t="str">
        <x:v>OK</x:v>
      </x:c>
      <x:c r="T2393" t="n">
        <x:v>16</x:v>
      </x:c>
      <x:c r="U2393" t="str">
        <x:v>OK</x:v>
      </x:c>
      <x:c r="V2393" t="str">
        <x:v>OK</x:v>
      </x:c>
      <x:c r="W2393" t="str">
        <x:v>LOAD</x:v>
      </x:c>
      <x:c r="X2393" t="str">
        <x:v>02_Supervisor_Log(4).xlsx</x:v>
      </x:c>
      <x:c r="Y2393" t="str">
        <x:v>ENH-20260830-01</x:v>
      </x:c>
      <x:c r="Z2393" t="str">
        <x:v>Active</x:v>
      </x:c>
      <x:c r="AA2393"/>
      <x:c r="AB2393"/>
      <x:c r="AC2393"/>
      <x:c r="AD2393"/>
    </x:row>
    <x:row r="2394">
      <x:c r="A2394" t="str">
        <x:v>PCC-PE-KG01-L25-20251022-PM-ORD-2025-00161-S04-C2</x:v>
      </x:c>
      <x:c r="B2394" t="str">
        <x:v>PC-PE-KG01-L25-20251022-PM-ORD-2025-00161-S04</x:v>
      </x:c>
      <x:c r="C2394" t="str">
        <x:v>PE-KG01-L25-20251022-PM-ORD-2025-00161</x:v>
      </x:c>
      <x:c r="D2394" t="str">
        <x:v>KG01</x:v>
      </x:c>
      <x:c r="E2394" s="62" t="n">
        <x:v>45952</x:v>
      </x:c>
      <x:c r="F2394" t="str">
        <x:v>PM</x:v>
      </x:c>
      <x:c r="G2394" t="str">
        <x:v>C</x:v>
      </x:c>
      <x:c r="H2394" t="n">
        <x:v>25</x:v>
      </x:c>
      <x:c r="I2394" t="str">
        <x:v>ORD-2025-00161</x:v>
      </x:c>
      <x:c r="J2394" t="n">
        <x:v>4</x:v>
      </x:c>
      <x:c r="K2394" t="n">
        <x:v>2</x:v>
      </x:c>
      <x:c r="L2394" t="str">
        <x:v>L25-S04-C2</x:v>
      </x:c>
      <x:c r="M2394" t="n">
        <x:v>1</x:v>
      </x:c>
      <x:c r="N2394" t="str">
        <x:v>DerivedFromCount</x:v>
      </x:c>
      <x:c r="O2394" t="str">
        <x:v>PLC-PRD-JAR-720-L25</x:v>
      </x:c>
      <x:c r="P2394" t="str">
        <x:v>OK</x:v>
      </x:c>
      <x:c r="Q2394" t="str">
        <x:v>OK</x:v>
      </x:c>
      <x:c r="R2394" t="str">
        <x:v>OK</x:v>
      </x:c>
      <x:c r="S2394" t="str">
        <x:v>OK</x:v>
      </x:c>
      <x:c r="T2394" t="n">
        <x:v>16</x:v>
      </x:c>
      <x:c r="U2394" t="str">
        <x:v>OK</x:v>
      </x:c>
      <x:c r="V2394" t="str">
        <x:v>OK</x:v>
      </x:c>
      <x:c r="W2394" t="str">
        <x:v>LOAD</x:v>
      </x:c>
      <x:c r="X2394" t="str">
        <x:v>02_Supervisor_Log(4).xlsx</x:v>
      </x:c>
      <x:c r="Y2394" t="str">
        <x:v>ENH-20260830-01</x:v>
      </x:c>
      <x:c r="Z2394" t="str">
        <x:v>Active</x:v>
      </x:c>
      <x:c r="AA2394"/>
      <x:c r="AB2394"/>
      <x:c r="AC2394"/>
      <x:c r="AD2394"/>
    </x:row>
    <x:row r="2395">
      <x:c r="A2395" t="str">
        <x:v>PCC-PE-KG01-L25-20251022-PM-ORD-2025-00161-S04-C3</x:v>
      </x:c>
      <x:c r="B2395" t="str">
        <x:v>PC-PE-KG01-L25-20251022-PM-ORD-2025-00161-S04</x:v>
      </x:c>
      <x:c r="C2395" t="str">
        <x:v>PE-KG01-L25-20251022-PM-ORD-2025-00161</x:v>
      </x:c>
      <x:c r="D2395" t="str">
        <x:v>KG01</x:v>
      </x:c>
      <x:c r="E2395" s="62" t="n">
        <x:v>45952</x:v>
      </x:c>
      <x:c r="F2395" t="str">
        <x:v>PM</x:v>
      </x:c>
      <x:c r="G2395" t="str">
        <x:v>C</x:v>
      </x:c>
      <x:c r="H2395" t="n">
        <x:v>25</x:v>
      </x:c>
      <x:c r="I2395" t="str">
        <x:v>ORD-2025-00161</x:v>
      </x:c>
      <x:c r="J2395" t="n">
        <x:v>4</x:v>
      </x:c>
      <x:c r="K2395" t="n">
        <x:v>3</x:v>
      </x:c>
      <x:c r="L2395" t="str">
        <x:v>L25-S04-C3</x:v>
      </x:c>
      <x:c r="M2395" t="n">
        <x:v>0</x:v>
      </x:c>
      <x:c r="N2395" t="str">
        <x:v>DerivedFromCount</x:v>
      </x:c>
      <x:c r="O2395" t="str">
        <x:v>PLC-PRD-JAR-720-L25</x:v>
      </x:c>
      <x:c r="P2395" t="str">
        <x:v>OK</x:v>
      </x:c>
      <x:c r="Q2395" t="str">
        <x:v>OK</x:v>
      </x:c>
      <x:c r="R2395" t="str">
        <x:v>OK</x:v>
      </x:c>
      <x:c r="S2395" t="str">
        <x:v>OK</x:v>
      </x:c>
      <x:c r="T2395" t="n">
        <x:v>16</x:v>
      </x:c>
      <x:c r="U2395" t="str">
        <x:v>OK</x:v>
      </x:c>
      <x:c r="V2395" t="str">
        <x:v>OK</x:v>
      </x:c>
      <x:c r="W2395" t="str">
        <x:v>LOAD</x:v>
      </x:c>
      <x:c r="X2395" t="str">
        <x:v>02_Supervisor_Log(4).xlsx</x:v>
      </x:c>
      <x:c r="Y2395" t="str">
        <x:v>ENH-20260830-01</x:v>
      </x:c>
      <x:c r="Z2395" t="str">
        <x:v>Active</x:v>
      </x:c>
      <x:c r="AA2395"/>
      <x:c r="AB2395"/>
      <x:c r="AC2395"/>
      <x:c r="AD2395"/>
    </x:row>
    <x:row r="2396">
      <x:c r="A2396" t="str">
        <x:v>PCC-PE-KG01-L25-20251022-PM-ORD-2025-00161-S05-C1</x:v>
      </x:c>
      <x:c r="B2396" t="str">
        <x:v>PC-PE-KG01-L25-20251022-PM-ORD-2025-00161-S05</x:v>
      </x:c>
      <x:c r="C2396" t="str">
        <x:v>PE-KG01-L25-20251022-PM-ORD-2025-00161</x:v>
      </x:c>
      <x:c r="D2396" t="str">
        <x:v>KG01</x:v>
      </x:c>
      <x:c r="E2396" s="62" t="n">
        <x:v>45952</x:v>
      </x:c>
      <x:c r="F2396" t="str">
        <x:v>PM</x:v>
      </x:c>
      <x:c r="G2396" t="str">
        <x:v>C</x:v>
      </x:c>
      <x:c r="H2396" t="n">
        <x:v>25</x:v>
      </x:c>
      <x:c r="I2396" t="str">
        <x:v>ORD-2025-00161</x:v>
      </x:c>
      <x:c r="J2396" t="n">
        <x:v>5</x:v>
      </x:c>
      <x:c r="K2396" t="n">
        <x:v>1</x:v>
      </x:c>
      <x:c r="L2396" t="str">
        <x:v>L25-S05-C1</x:v>
      </x:c>
      <x:c r="M2396" t="n">
        <x:v>1</x:v>
      </x:c>
      <x:c r="N2396" t="str">
        <x:v>DerivedFromCount</x:v>
      </x:c>
      <x:c r="O2396" t="str">
        <x:v>PLC-PRD-JAR-720-L25</x:v>
      </x:c>
      <x:c r="P2396" t="str">
        <x:v>OK</x:v>
      </x:c>
      <x:c r="Q2396" t="str">
        <x:v>OK</x:v>
      </x:c>
      <x:c r="R2396" t="str">
        <x:v>OK</x:v>
      </x:c>
      <x:c r="S2396" t="str">
        <x:v>OK</x:v>
      </x:c>
      <x:c r="T2396" t="n">
        <x:v>16</x:v>
      </x:c>
      <x:c r="U2396" t="str">
        <x:v>OK</x:v>
      </x:c>
      <x:c r="V2396" t="str">
        <x:v>OK</x:v>
      </x:c>
      <x:c r="W2396" t="str">
        <x:v>LOAD</x:v>
      </x:c>
      <x:c r="X2396" t="str">
        <x:v>02_Supervisor_Log(4).xlsx</x:v>
      </x:c>
      <x:c r="Y2396" t="str">
        <x:v>ENH-20260830-01</x:v>
      </x:c>
      <x:c r="Z2396" t="str">
        <x:v>Active</x:v>
      </x:c>
      <x:c r="AA2396"/>
      <x:c r="AB2396"/>
      <x:c r="AC2396"/>
      <x:c r="AD2396"/>
    </x:row>
    <x:row r="2397">
      <x:c r="A2397" t="str">
        <x:v>PCC-PE-KG01-L25-20251022-PM-ORD-2025-00161-S05-C2</x:v>
      </x:c>
      <x:c r="B2397" t="str">
        <x:v>PC-PE-KG01-L25-20251022-PM-ORD-2025-00161-S05</x:v>
      </x:c>
      <x:c r="C2397" t="str">
        <x:v>PE-KG01-L25-20251022-PM-ORD-2025-00161</x:v>
      </x:c>
      <x:c r="D2397" t="str">
        <x:v>KG01</x:v>
      </x:c>
      <x:c r="E2397" s="62" t="n">
        <x:v>45952</x:v>
      </x:c>
      <x:c r="F2397" t="str">
        <x:v>PM</x:v>
      </x:c>
      <x:c r="G2397" t="str">
        <x:v>C</x:v>
      </x:c>
      <x:c r="H2397" t="n">
        <x:v>25</x:v>
      </x:c>
      <x:c r="I2397" t="str">
        <x:v>ORD-2025-00161</x:v>
      </x:c>
      <x:c r="J2397" t="n">
        <x:v>5</x:v>
      </x:c>
      <x:c r="K2397" t="n">
        <x:v>2</x:v>
      </x:c>
      <x:c r="L2397" t="str">
        <x:v>L25-S05-C2</x:v>
      </x:c>
      <x:c r="M2397" t="n">
        <x:v>1</x:v>
      </x:c>
      <x:c r="N2397" t="str">
        <x:v>DerivedFromCount</x:v>
      </x:c>
      <x:c r="O2397" t="str">
        <x:v>PLC-PRD-JAR-720-L25</x:v>
      </x:c>
      <x:c r="P2397" t="str">
        <x:v>OK</x:v>
      </x:c>
      <x:c r="Q2397" t="str">
        <x:v>OK</x:v>
      </x:c>
      <x:c r="R2397" t="str">
        <x:v>OK</x:v>
      </x:c>
      <x:c r="S2397" t="str">
        <x:v>OK</x:v>
      </x:c>
      <x:c r="T2397" t="n">
        <x:v>16</x:v>
      </x:c>
      <x:c r="U2397" t="str">
        <x:v>OK</x:v>
      </x:c>
      <x:c r="V2397" t="str">
        <x:v>OK</x:v>
      </x:c>
      <x:c r="W2397" t="str">
        <x:v>LOAD</x:v>
      </x:c>
      <x:c r="X2397" t="str">
        <x:v>02_Supervisor_Log(4).xlsx</x:v>
      </x:c>
      <x:c r="Y2397" t="str">
        <x:v>ENH-20260830-01</x:v>
      </x:c>
      <x:c r="Z2397" t="str">
        <x:v>Active</x:v>
      </x:c>
      <x:c r="AA2397"/>
      <x:c r="AB2397"/>
      <x:c r="AC2397"/>
      <x:c r="AD2397"/>
    </x:row>
    <x:row r="2398">
      <x:c r="A2398" t="str">
        <x:v>PCC-PE-KG01-L25-20251022-PM-ORD-2025-00161-S05-C3</x:v>
      </x:c>
      <x:c r="B2398" t="str">
        <x:v>PC-PE-KG01-L25-20251022-PM-ORD-2025-00161-S05</x:v>
      </x:c>
      <x:c r="C2398" t="str">
        <x:v>PE-KG01-L25-20251022-PM-ORD-2025-00161</x:v>
      </x:c>
      <x:c r="D2398" t="str">
        <x:v>KG01</x:v>
      </x:c>
      <x:c r="E2398" s="62" t="n">
        <x:v>45952</x:v>
      </x:c>
      <x:c r="F2398" t="str">
        <x:v>PM</x:v>
      </x:c>
      <x:c r="G2398" t="str">
        <x:v>C</x:v>
      </x:c>
      <x:c r="H2398" t="n">
        <x:v>25</x:v>
      </x:c>
      <x:c r="I2398" t="str">
        <x:v>ORD-2025-00161</x:v>
      </x:c>
      <x:c r="J2398" t="n">
        <x:v>5</x:v>
      </x:c>
      <x:c r="K2398" t="n">
        <x:v>3</x:v>
      </x:c>
      <x:c r="L2398" t="str">
        <x:v>L25-S05-C3</x:v>
      </x:c>
      <x:c r="M2398" t="n">
        <x:v>0</x:v>
      </x:c>
      <x:c r="N2398" t="str">
        <x:v>DerivedFromCount</x:v>
      </x:c>
      <x:c r="O2398" t="str">
        <x:v>PLC-PRD-JAR-720-L25</x:v>
      </x:c>
      <x:c r="P2398" t="str">
        <x:v>OK</x:v>
      </x:c>
      <x:c r="Q2398" t="str">
        <x:v>OK</x:v>
      </x:c>
      <x:c r="R2398" t="str">
        <x:v>OK</x:v>
      </x:c>
      <x:c r="S2398" t="str">
        <x:v>OK</x:v>
      </x:c>
      <x:c r="T2398" t="n">
        <x:v>16</x:v>
      </x:c>
      <x:c r="U2398" t="str">
        <x:v>OK</x:v>
      </x:c>
      <x:c r="V2398" t="str">
        <x:v>OK</x:v>
      </x:c>
      <x:c r="W2398" t="str">
        <x:v>LOAD</x:v>
      </x:c>
      <x:c r="X2398" t="str">
        <x:v>02_Supervisor_Log(4).xlsx</x:v>
      </x:c>
      <x:c r="Y2398" t="str">
        <x:v>ENH-20260830-01</x:v>
      </x:c>
      <x:c r="Z2398" t="str">
        <x:v>Active</x:v>
      </x:c>
      <x:c r="AA2398"/>
      <x:c r="AB2398"/>
      <x:c r="AC2398"/>
      <x:c r="AD2398"/>
    </x:row>
    <x:row r="2399">
      <x:c r="A2399" t="str">
        <x:v>PCC-PE-KG01-L25-20251022-PM-ORD-2025-00161-S06-C1</x:v>
      </x:c>
      <x:c r="B2399" t="str">
        <x:v>PC-PE-KG01-L25-20251022-PM-ORD-2025-00161-S06</x:v>
      </x:c>
      <x:c r="C2399" t="str">
        <x:v>PE-KG01-L25-20251022-PM-ORD-2025-00161</x:v>
      </x:c>
      <x:c r="D2399" t="str">
        <x:v>KG01</x:v>
      </x:c>
      <x:c r="E2399" s="62" t="n">
        <x:v>45952</x:v>
      </x:c>
      <x:c r="F2399" t="str">
        <x:v>PM</x:v>
      </x:c>
      <x:c r="G2399" t="str">
        <x:v>C</x:v>
      </x:c>
      <x:c r="H2399" t="n">
        <x:v>25</x:v>
      </x:c>
      <x:c r="I2399" t="str">
        <x:v>ORD-2025-00161</x:v>
      </x:c>
      <x:c r="J2399" t="n">
        <x:v>6</x:v>
      </x:c>
      <x:c r="K2399" t="n">
        <x:v>1</x:v>
      </x:c>
      <x:c r="L2399" t="str">
        <x:v>L25-S06-C1</x:v>
      </x:c>
      <x:c r="M2399" t="n">
        <x:v>1</x:v>
      </x:c>
      <x:c r="N2399" t="str">
        <x:v>DerivedFromCount</x:v>
      </x:c>
      <x:c r="O2399" t="str">
        <x:v>PLC-PRD-JAR-720-L25</x:v>
      </x:c>
      <x:c r="P2399" t="str">
        <x:v>OK</x:v>
      </x:c>
      <x:c r="Q2399" t="str">
        <x:v>OK</x:v>
      </x:c>
      <x:c r="R2399" t="str">
        <x:v>OK</x:v>
      </x:c>
      <x:c r="S2399" t="str">
        <x:v>OK</x:v>
      </x:c>
      <x:c r="T2399" t="n">
        <x:v>16</x:v>
      </x:c>
      <x:c r="U2399" t="str">
        <x:v>OK</x:v>
      </x:c>
      <x:c r="V2399" t="str">
        <x:v>OK</x:v>
      </x:c>
      <x:c r="W2399" t="str">
        <x:v>LOAD</x:v>
      </x:c>
      <x:c r="X2399" t="str">
        <x:v>02_Supervisor_Log(4).xlsx</x:v>
      </x:c>
      <x:c r="Y2399" t="str">
        <x:v>ENH-20260830-01</x:v>
      </x:c>
      <x:c r="Z2399" t="str">
        <x:v>Active</x:v>
      </x:c>
      <x:c r="AA2399"/>
      <x:c r="AB2399"/>
      <x:c r="AC2399"/>
      <x:c r="AD2399"/>
    </x:row>
    <x:row r="2400">
      <x:c r="A2400" t="str">
        <x:v>PCC-PE-KG01-L25-20251022-PM-ORD-2025-00161-S06-C2</x:v>
      </x:c>
      <x:c r="B2400" t="str">
        <x:v>PC-PE-KG01-L25-20251022-PM-ORD-2025-00161-S06</x:v>
      </x:c>
      <x:c r="C2400" t="str">
        <x:v>PE-KG01-L25-20251022-PM-ORD-2025-00161</x:v>
      </x:c>
      <x:c r="D2400" t="str">
        <x:v>KG01</x:v>
      </x:c>
      <x:c r="E2400" s="62" t="n">
        <x:v>45952</x:v>
      </x:c>
      <x:c r="F2400" t="str">
        <x:v>PM</x:v>
      </x:c>
      <x:c r="G2400" t="str">
        <x:v>C</x:v>
      </x:c>
      <x:c r="H2400" t="n">
        <x:v>25</x:v>
      </x:c>
      <x:c r="I2400" t="str">
        <x:v>ORD-2025-00161</x:v>
      </x:c>
      <x:c r="J2400" t="n">
        <x:v>6</x:v>
      </x:c>
      <x:c r="K2400" t="n">
        <x:v>2</x:v>
      </x:c>
      <x:c r="L2400" t="str">
        <x:v>L25-S06-C2</x:v>
      </x:c>
      <x:c r="M2400" t="n">
        <x:v>1</x:v>
      </x:c>
      <x:c r="N2400" t="str">
        <x:v>DerivedFromCount</x:v>
      </x:c>
      <x:c r="O2400" t="str">
        <x:v>PLC-PRD-JAR-720-L25</x:v>
      </x:c>
      <x:c r="P2400" t="str">
        <x:v>OK</x:v>
      </x:c>
      <x:c r="Q2400" t="str">
        <x:v>OK</x:v>
      </x:c>
      <x:c r="R2400" t="str">
        <x:v>OK</x:v>
      </x:c>
      <x:c r="S2400" t="str">
        <x:v>OK</x:v>
      </x:c>
      <x:c r="T2400" t="n">
        <x:v>16</x:v>
      </x:c>
      <x:c r="U2400" t="str">
        <x:v>OK</x:v>
      </x:c>
      <x:c r="V2400" t="str">
        <x:v>OK</x:v>
      </x:c>
      <x:c r="W2400" t="str">
        <x:v>LOAD</x:v>
      </x:c>
      <x:c r="X2400" t="str">
        <x:v>02_Supervisor_Log(4).xlsx</x:v>
      </x:c>
      <x:c r="Y2400" t="str">
        <x:v>ENH-20260830-01</x:v>
      </x:c>
      <x:c r="Z2400" t="str">
        <x:v>Active</x:v>
      </x:c>
      <x:c r="AA2400"/>
      <x:c r="AB2400"/>
      <x:c r="AC2400"/>
      <x:c r="AD2400"/>
    </x:row>
    <x:row r="2401">
      <x:c r="A2401" t="str">
        <x:v>PCC-PE-KG01-L25-20251022-PM-ORD-2025-00161-S06-C3</x:v>
      </x:c>
      <x:c r="B2401" t="str">
        <x:v>PC-PE-KG01-L25-20251022-PM-ORD-2025-00161-S06</x:v>
      </x:c>
      <x:c r="C2401" t="str">
        <x:v>PE-KG01-L25-20251022-PM-ORD-2025-00161</x:v>
      </x:c>
      <x:c r="D2401" t="str">
        <x:v>KG01</x:v>
      </x:c>
      <x:c r="E2401" s="62" t="n">
        <x:v>45952</x:v>
      </x:c>
      <x:c r="F2401" t="str">
        <x:v>PM</x:v>
      </x:c>
      <x:c r="G2401" t="str">
        <x:v>C</x:v>
      </x:c>
      <x:c r="H2401" t="n">
        <x:v>25</x:v>
      </x:c>
      <x:c r="I2401" t="str">
        <x:v>ORD-2025-00161</x:v>
      </x:c>
      <x:c r="J2401" t="n">
        <x:v>6</x:v>
      </x:c>
      <x:c r="K2401" t="n">
        <x:v>3</x:v>
      </x:c>
      <x:c r="L2401" t="str">
        <x:v>L25-S06-C3</x:v>
      </x:c>
      <x:c r="M2401" t="n">
        <x:v>0</x:v>
      </x:c>
      <x:c r="N2401" t="str">
        <x:v>DerivedFromCount</x:v>
      </x:c>
      <x:c r="O2401" t="str">
        <x:v>PLC-PRD-JAR-720-L25</x:v>
      </x:c>
      <x:c r="P2401" t="str">
        <x:v>OK</x:v>
      </x:c>
      <x:c r="Q2401" t="str">
        <x:v>OK</x:v>
      </x:c>
      <x:c r="R2401" t="str">
        <x:v>OK</x:v>
      </x:c>
      <x:c r="S2401" t="str">
        <x:v>OK</x:v>
      </x:c>
      <x:c r="T2401" t="n">
        <x:v>16</x:v>
      </x:c>
      <x:c r="U2401" t="str">
        <x:v>OK</x:v>
      </x:c>
      <x:c r="V2401" t="str">
        <x:v>OK</x:v>
      </x:c>
      <x:c r="W2401" t="str">
        <x:v>LOAD</x:v>
      </x:c>
      <x:c r="X2401" t="str">
        <x:v>02_Supervisor_Log(4).xlsx</x:v>
      </x:c>
      <x:c r="Y2401" t="str">
        <x:v>ENH-20260830-01</x:v>
      </x:c>
      <x:c r="Z2401" t="str">
        <x:v>Active</x:v>
      </x:c>
      <x:c r="AA2401"/>
      <x:c r="AB2401"/>
      <x:c r="AC2401"/>
      <x:c r="AD2401"/>
    </x:row>
    <x:row r="2402">
      <x:c r="A2402" t="str">
        <x:v>PCC-PE-KG01-L25-20251022-PM-ORD-2025-00161-S07-C1</x:v>
      </x:c>
      <x:c r="B2402" t="str">
        <x:v>PC-PE-KG01-L25-20251022-PM-ORD-2025-00161-S07</x:v>
      </x:c>
      <x:c r="C2402" t="str">
        <x:v>PE-KG01-L25-20251022-PM-ORD-2025-00161</x:v>
      </x:c>
      <x:c r="D2402" t="str">
        <x:v>KG01</x:v>
      </x:c>
      <x:c r="E2402" s="62" t="n">
        <x:v>45952</x:v>
      </x:c>
      <x:c r="F2402" t="str">
        <x:v>PM</x:v>
      </x:c>
      <x:c r="G2402" t="str">
        <x:v>C</x:v>
      </x:c>
      <x:c r="H2402" t="n">
        <x:v>25</x:v>
      </x:c>
      <x:c r="I2402" t="str">
        <x:v>ORD-2025-00161</x:v>
      </x:c>
      <x:c r="J2402" t="n">
        <x:v>7</x:v>
      </x:c>
      <x:c r="K2402" t="n">
        <x:v>1</x:v>
      </x:c>
      <x:c r="L2402" t="str">
        <x:v>L25-S07-C1</x:v>
      </x:c>
      <x:c r="M2402" t="n">
        <x:v>1</x:v>
      </x:c>
      <x:c r="N2402" t="str">
        <x:v>DerivedFromCount</x:v>
      </x:c>
      <x:c r="O2402" t="str">
        <x:v>PLC-PRD-JAR-720-L25</x:v>
      </x:c>
      <x:c r="P2402" t="str">
        <x:v>OK</x:v>
      </x:c>
      <x:c r="Q2402" t="str">
        <x:v>OK</x:v>
      </x:c>
      <x:c r="R2402" t="str">
        <x:v>OK</x:v>
      </x:c>
      <x:c r="S2402" t="str">
        <x:v>OK</x:v>
      </x:c>
      <x:c r="T2402" t="n">
        <x:v>16</x:v>
      </x:c>
      <x:c r="U2402" t="str">
        <x:v>OK</x:v>
      </x:c>
      <x:c r="V2402" t="str">
        <x:v>OK</x:v>
      </x:c>
      <x:c r="W2402" t="str">
        <x:v>LOAD</x:v>
      </x:c>
      <x:c r="X2402" t="str">
        <x:v>02_Supervisor_Log(4).xlsx</x:v>
      </x:c>
      <x:c r="Y2402" t="str">
        <x:v>ENH-20260830-01</x:v>
      </x:c>
      <x:c r="Z2402" t="str">
        <x:v>Active</x:v>
      </x:c>
      <x:c r="AA2402"/>
      <x:c r="AB2402"/>
      <x:c r="AC2402"/>
      <x:c r="AD2402"/>
    </x:row>
    <x:row r="2403">
      <x:c r="A2403" t="str">
        <x:v>PCC-PE-KG01-L25-20251022-PM-ORD-2025-00161-S07-C2</x:v>
      </x:c>
      <x:c r="B2403" t="str">
        <x:v>PC-PE-KG01-L25-20251022-PM-ORD-2025-00161-S07</x:v>
      </x:c>
      <x:c r="C2403" t="str">
        <x:v>PE-KG01-L25-20251022-PM-ORD-2025-00161</x:v>
      </x:c>
      <x:c r="D2403" t="str">
        <x:v>KG01</x:v>
      </x:c>
      <x:c r="E2403" s="62" t="n">
        <x:v>45952</x:v>
      </x:c>
      <x:c r="F2403" t="str">
        <x:v>PM</x:v>
      </x:c>
      <x:c r="G2403" t="str">
        <x:v>C</x:v>
      </x:c>
      <x:c r="H2403" t="n">
        <x:v>25</x:v>
      </x:c>
      <x:c r="I2403" t="str">
        <x:v>ORD-2025-00161</x:v>
      </x:c>
      <x:c r="J2403" t="n">
        <x:v>7</x:v>
      </x:c>
      <x:c r="K2403" t="n">
        <x:v>2</x:v>
      </x:c>
      <x:c r="L2403" t="str">
        <x:v>L25-S07-C2</x:v>
      </x:c>
      <x:c r="M2403" t="n">
        <x:v>1</x:v>
      </x:c>
      <x:c r="N2403" t="str">
        <x:v>DerivedFromCount</x:v>
      </x:c>
      <x:c r="O2403" t="str">
        <x:v>PLC-PRD-JAR-720-L25</x:v>
      </x:c>
      <x:c r="P2403" t="str">
        <x:v>OK</x:v>
      </x:c>
      <x:c r="Q2403" t="str">
        <x:v>OK</x:v>
      </x:c>
      <x:c r="R2403" t="str">
        <x:v>OK</x:v>
      </x:c>
      <x:c r="S2403" t="str">
        <x:v>OK</x:v>
      </x:c>
      <x:c r="T2403" t="n">
        <x:v>16</x:v>
      </x:c>
      <x:c r="U2403" t="str">
        <x:v>OK</x:v>
      </x:c>
      <x:c r="V2403" t="str">
        <x:v>OK</x:v>
      </x:c>
      <x:c r="W2403" t="str">
        <x:v>LOAD</x:v>
      </x:c>
      <x:c r="X2403" t="str">
        <x:v>02_Supervisor_Log(4).xlsx</x:v>
      </x:c>
      <x:c r="Y2403" t="str">
        <x:v>ENH-20260830-01</x:v>
      </x:c>
      <x:c r="Z2403" t="str">
        <x:v>Active</x:v>
      </x:c>
      <x:c r="AA2403"/>
      <x:c r="AB2403"/>
      <x:c r="AC2403"/>
      <x:c r="AD2403"/>
    </x:row>
    <x:row r="2404">
      <x:c r="A2404" t="str">
        <x:v>PCC-PE-KG01-L25-20251022-PM-ORD-2025-00161-S07-C3</x:v>
      </x:c>
      <x:c r="B2404" t="str">
        <x:v>PC-PE-KG01-L25-20251022-PM-ORD-2025-00161-S07</x:v>
      </x:c>
      <x:c r="C2404" t="str">
        <x:v>PE-KG01-L25-20251022-PM-ORD-2025-00161</x:v>
      </x:c>
      <x:c r="D2404" t="str">
        <x:v>KG01</x:v>
      </x:c>
      <x:c r="E2404" s="62" t="n">
        <x:v>45952</x:v>
      </x:c>
      <x:c r="F2404" t="str">
        <x:v>PM</x:v>
      </x:c>
      <x:c r="G2404" t="str">
        <x:v>C</x:v>
      </x:c>
      <x:c r="H2404" t="n">
        <x:v>25</x:v>
      </x:c>
      <x:c r="I2404" t="str">
        <x:v>ORD-2025-00161</x:v>
      </x:c>
      <x:c r="J2404" t="n">
        <x:v>7</x:v>
      </x:c>
      <x:c r="K2404" t="n">
        <x:v>3</x:v>
      </x:c>
      <x:c r="L2404" t="str">
        <x:v>L25-S07-C3</x:v>
      </x:c>
      <x:c r="M2404" t="n">
        <x:v>0</x:v>
      </x:c>
      <x:c r="N2404" t="str">
        <x:v>DerivedFromCount</x:v>
      </x:c>
      <x:c r="O2404" t="str">
        <x:v>PLC-PRD-JAR-720-L25</x:v>
      </x:c>
      <x:c r="P2404" t="str">
        <x:v>OK</x:v>
      </x:c>
      <x:c r="Q2404" t="str">
        <x:v>OK</x:v>
      </x:c>
      <x:c r="R2404" t="str">
        <x:v>OK</x:v>
      </x:c>
      <x:c r="S2404" t="str">
        <x:v>OK</x:v>
      </x:c>
      <x:c r="T2404" t="n">
        <x:v>16</x:v>
      </x:c>
      <x:c r="U2404" t="str">
        <x:v>OK</x:v>
      </x:c>
      <x:c r="V2404" t="str">
        <x:v>OK</x:v>
      </x:c>
      <x:c r="W2404" t="str">
        <x:v>LOAD</x:v>
      </x:c>
      <x:c r="X2404" t="str">
        <x:v>02_Supervisor_Log(4).xlsx</x:v>
      </x:c>
      <x:c r="Y2404" t="str">
        <x:v>ENH-20260830-01</x:v>
      </x:c>
      <x:c r="Z2404" t="str">
        <x:v>Active</x:v>
      </x:c>
      <x:c r="AA2404"/>
      <x:c r="AB2404"/>
      <x:c r="AC2404"/>
      <x:c r="AD2404"/>
    </x:row>
    <x:row r="2405">
      <x:c r="A2405" t="str">
        <x:v>PCC-PE-KG01-L25-20251022-PM-ORD-2025-00161-S08-C1</x:v>
      </x:c>
      <x:c r="B2405" t="str">
        <x:v>PC-PE-KG01-L25-20251022-PM-ORD-2025-00161-S08</x:v>
      </x:c>
      <x:c r="C2405" t="str">
        <x:v>PE-KG01-L25-20251022-PM-ORD-2025-00161</x:v>
      </x:c>
      <x:c r="D2405" t="str">
        <x:v>KG01</x:v>
      </x:c>
      <x:c r="E2405" s="62" t="n">
        <x:v>45952</x:v>
      </x:c>
      <x:c r="F2405" t="str">
        <x:v>PM</x:v>
      </x:c>
      <x:c r="G2405" t="str">
        <x:v>C</x:v>
      </x:c>
      <x:c r="H2405" t="n">
        <x:v>25</x:v>
      </x:c>
      <x:c r="I2405" t="str">
        <x:v>ORD-2025-00161</x:v>
      </x:c>
      <x:c r="J2405" t="n">
        <x:v>8</x:v>
      </x:c>
      <x:c r="K2405" t="n">
        <x:v>1</x:v>
      </x:c>
      <x:c r="L2405" t="str">
        <x:v>L25-S08-C1</x:v>
      </x:c>
      <x:c r="M2405" t="n">
        <x:v>1</x:v>
      </x:c>
      <x:c r="N2405" t="str">
        <x:v>DerivedFromCount</x:v>
      </x:c>
      <x:c r="O2405" t="str">
        <x:v>PLC-PRD-JAR-720-L25</x:v>
      </x:c>
      <x:c r="P2405" t="str">
        <x:v>OK</x:v>
      </x:c>
      <x:c r="Q2405" t="str">
        <x:v>OK</x:v>
      </x:c>
      <x:c r="R2405" t="str">
        <x:v>OK</x:v>
      </x:c>
      <x:c r="S2405" t="str">
        <x:v>OK</x:v>
      </x:c>
      <x:c r="T2405" t="n">
        <x:v>16</x:v>
      </x:c>
      <x:c r="U2405" t="str">
        <x:v>OK</x:v>
      </x:c>
      <x:c r="V2405" t="str">
        <x:v>OK</x:v>
      </x:c>
      <x:c r="W2405" t="str">
        <x:v>LOAD</x:v>
      </x:c>
      <x:c r="X2405" t="str">
        <x:v>02_Supervisor_Log(4).xlsx</x:v>
      </x:c>
      <x:c r="Y2405" t="str">
        <x:v>ENH-20260830-01</x:v>
      </x:c>
      <x:c r="Z2405" t="str">
        <x:v>Active</x:v>
      </x:c>
      <x:c r="AA2405"/>
      <x:c r="AB2405"/>
      <x:c r="AC2405"/>
      <x:c r="AD2405"/>
    </x:row>
    <x:row r="2406">
      <x:c r="A2406" t="str">
        <x:v>PCC-PE-KG01-L25-20251022-PM-ORD-2025-00161-S08-C2</x:v>
      </x:c>
      <x:c r="B2406" t="str">
        <x:v>PC-PE-KG01-L25-20251022-PM-ORD-2025-00161-S08</x:v>
      </x:c>
      <x:c r="C2406" t="str">
        <x:v>PE-KG01-L25-20251022-PM-ORD-2025-00161</x:v>
      </x:c>
      <x:c r="D2406" t="str">
        <x:v>KG01</x:v>
      </x:c>
      <x:c r="E2406" s="62" t="n">
        <x:v>45952</x:v>
      </x:c>
      <x:c r="F2406" t="str">
        <x:v>PM</x:v>
      </x:c>
      <x:c r="G2406" t="str">
        <x:v>C</x:v>
      </x:c>
      <x:c r="H2406" t="n">
        <x:v>25</x:v>
      </x:c>
      <x:c r="I2406" t="str">
        <x:v>ORD-2025-00161</x:v>
      </x:c>
      <x:c r="J2406" t="n">
        <x:v>8</x:v>
      </x:c>
      <x:c r="K2406" t="n">
        <x:v>2</x:v>
      </x:c>
      <x:c r="L2406" t="str">
        <x:v>L25-S08-C2</x:v>
      </x:c>
      <x:c r="M2406" t="n">
        <x:v>1</x:v>
      </x:c>
      <x:c r="N2406" t="str">
        <x:v>DerivedFromCount</x:v>
      </x:c>
      <x:c r="O2406" t="str">
        <x:v>PLC-PRD-JAR-720-L25</x:v>
      </x:c>
      <x:c r="P2406" t="str">
        <x:v>OK</x:v>
      </x:c>
      <x:c r="Q2406" t="str">
        <x:v>OK</x:v>
      </x:c>
      <x:c r="R2406" t="str">
        <x:v>OK</x:v>
      </x:c>
      <x:c r="S2406" t="str">
        <x:v>OK</x:v>
      </x:c>
      <x:c r="T2406" t="n">
        <x:v>16</x:v>
      </x:c>
      <x:c r="U2406" t="str">
        <x:v>OK</x:v>
      </x:c>
      <x:c r="V2406" t="str">
        <x:v>OK</x:v>
      </x:c>
      <x:c r="W2406" t="str">
        <x:v>LOAD</x:v>
      </x:c>
      <x:c r="X2406" t="str">
        <x:v>02_Supervisor_Log(4).xlsx</x:v>
      </x:c>
      <x:c r="Y2406" t="str">
        <x:v>ENH-20260830-01</x:v>
      </x:c>
      <x:c r="Z2406" t="str">
        <x:v>Active</x:v>
      </x:c>
      <x:c r="AA2406"/>
      <x:c r="AB2406"/>
      <x:c r="AC2406"/>
      <x:c r="AD2406"/>
    </x:row>
    <x:row r="2407">
      <x:c r="A2407" t="str">
        <x:v>PCC-PE-KG01-L25-20251022-PM-ORD-2025-00161-S08-C3</x:v>
      </x:c>
      <x:c r="B2407" t="str">
        <x:v>PC-PE-KG01-L25-20251022-PM-ORD-2025-00161-S08</x:v>
      </x:c>
      <x:c r="C2407" t="str">
        <x:v>PE-KG01-L25-20251022-PM-ORD-2025-00161</x:v>
      </x:c>
      <x:c r="D2407" t="str">
        <x:v>KG01</x:v>
      </x:c>
      <x:c r="E2407" s="62" t="n">
        <x:v>45952</x:v>
      </x:c>
      <x:c r="F2407" t="str">
        <x:v>PM</x:v>
      </x:c>
      <x:c r="G2407" t="str">
        <x:v>C</x:v>
      </x:c>
      <x:c r="H2407" t="n">
        <x:v>25</x:v>
      </x:c>
      <x:c r="I2407" t="str">
        <x:v>ORD-2025-00161</x:v>
      </x:c>
      <x:c r="J2407" t="n">
        <x:v>8</x:v>
      </x:c>
      <x:c r="K2407" t="n">
        <x:v>3</x:v>
      </x:c>
      <x:c r="L2407" t="str">
        <x:v>L25-S08-C3</x:v>
      </x:c>
      <x:c r="M2407" t="n">
        <x:v>0</x:v>
      </x:c>
      <x:c r="N2407" t="str">
        <x:v>DerivedFromCount</x:v>
      </x:c>
      <x:c r="O2407" t="str">
        <x:v>PLC-PRD-JAR-720-L25</x:v>
      </x:c>
      <x:c r="P2407" t="str">
        <x:v>OK</x:v>
      </x:c>
      <x:c r="Q2407" t="str">
        <x:v>OK</x:v>
      </x:c>
      <x:c r="R2407" t="str">
        <x:v>OK</x:v>
      </x:c>
      <x:c r="S2407" t="str">
        <x:v>OK</x:v>
      </x:c>
      <x:c r="T2407" t="n">
        <x:v>16</x:v>
      </x:c>
      <x:c r="U2407" t="str">
        <x:v>OK</x:v>
      </x:c>
      <x:c r="V2407" t="str">
        <x:v>OK</x:v>
      </x:c>
      <x:c r="W2407" t="str">
        <x:v>LOAD</x:v>
      </x:c>
      <x:c r="X2407" t="str">
        <x:v>02_Supervisor_Log(4).xlsx</x:v>
      </x:c>
      <x:c r="Y2407" t="str">
        <x:v>ENH-20260830-01</x:v>
      </x:c>
      <x:c r="Z2407" t="str">
        <x:v>Active</x:v>
      </x:c>
      <x:c r="AA2407"/>
      <x:c r="AB2407"/>
      <x:c r="AC2407"/>
      <x:c r="AD2407"/>
    </x:row>
    <x:row r="2408">
      <x:c r="A2408" t="str">
        <x:v>PCC-PE-KG01-L25-20251022-PM-ORD-2025-00161-S09-C1</x:v>
      </x:c>
      <x:c r="B2408" t="str">
        <x:v>PC-PE-KG01-L25-20251022-PM-ORD-2025-00161-S09</x:v>
      </x:c>
      <x:c r="C2408" t="str">
        <x:v>PE-KG01-L25-20251022-PM-ORD-2025-00161</x:v>
      </x:c>
      <x:c r="D2408" t="str">
        <x:v>KG01</x:v>
      </x:c>
      <x:c r="E2408" s="62" t="n">
        <x:v>45952</x:v>
      </x:c>
      <x:c r="F2408" t="str">
        <x:v>PM</x:v>
      </x:c>
      <x:c r="G2408" t="str">
        <x:v>C</x:v>
      </x:c>
      <x:c r="H2408" t="n">
        <x:v>25</x:v>
      </x:c>
      <x:c r="I2408" t="str">
        <x:v>ORD-2025-00161</x:v>
      </x:c>
      <x:c r="J2408" t="n">
        <x:v>9</x:v>
      </x:c>
      <x:c r="K2408" t="n">
        <x:v>1</x:v>
      </x:c>
      <x:c r="L2408" t="str">
        <x:v>L25-S09-C1</x:v>
      </x:c>
      <x:c r="M2408" t="n">
        <x:v>0</x:v>
      </x:c>
      <x:c r="N2408" t="str">
        <x:v>DerivedFromCount</x:v>
      </x:c>
      <x:c r="O2408" t="str">
        <x:v>PLC-PRD-JAR-720-L25</x:v>
      </x:c>
      <x:c r="P2408" t="str">
        <x:v>OK</x:v>
      </x:c>
      <x:c r="Q2408" t="str">
        <x:v>OK</x:v>
      </x:c>
      <x:c r="R2408" t="str">
        <x:v>OK</x:v>
      </x:c>
      <x:c r="S2408" t="str">
        <x:v>OK</x:v>
      </x:c>
      <x:c r="T2408" t="n">
        <x:v>16</x:v>
      </x:c>
      <x:c r="U2408" t="str">
        <x:v>OK</x:v>
      </x:c>
      <x:c r="V2408" t="str">
        <x:v>OK</x:v>
      </x:c>
      <x:c r="W2408" t="str">
        <x:v>LOAD</x:v>
      </x:c>
      <x:c r="X2408" t="str">
        <x:v>02_Supervisor_Log(4).xlsx</x:v>
      </x:c>
      <x:c r="Y2408" t="str">
        <x:v>ENH-20260830-01</x:v>
      </x:c>
      <x:c r="Z2408" t="str">
        <x:v>Active</x:v>
      </x:c>
      <x:c r="AA2408"/>
      <x:c r="AB2408"/>
      <x:c r="AC2408"/>
      <x:c r="AD2408"/>
    </x:row>
    <x:row r="2409">
      <x:c r="A2409" t="str">
        <x:v>PCC-PE-KG01-L25-20251022-PM-ORD-2025-00161-S09-C2</x:v>
      </x:c>
      <x:c r="B2409" t="str">
        <x:v>PC-PE-KG01-L25-20251022-PM-ORD-2025-00161-S09</x:v>
      </x:c>
      <x:c r="C2409" t="str">
        <x:v>PE-KG01-L25-20251022-PM-ORD-2025-00161</x:v>
      </x:c>
      <x:c r="D2409" t="str">
        <x:v>KG01</x:v>
      </x:c>
      <x:c r="E2409" s="62" t="n">
        <x:v>45952</x:v>
      </x:c>
      <x:c r="F2409" t="str">
        <x:v>PM</x:v>
      </x:c>
      <x:c r="G2409" t="str">
        <x:v>C</x:v>
      </x:c>
      <x:c r="H2409" t="n">
        <x:v>25</x:v>
      </x:c>
      <x:c r="I2409" t="str">
        <x:v>ORD-2025-00161</x:v>
      </x:c>
      <x:c r="J2409" t="n">
        <x:v>9</x:v>
      </x:c>
      <x:c r="K2409" t="n">
        <x:v>2</x:v>
      </x:c>
      <x:c r="L2409" t="str">
        <x:v>L25-S09-C2</x:v>
      </x:c>
      <x:c r="M2409" t="n">
        <x:v>0</x:v>
      </x:c>
      <x:c r="N2409" t="str">
        <x:v>DerivedFromCount</x:v>
      </x:c>
      <x:c r="O2409" t="str">
        <x:v>PLC-PRD-JAR-720-L25</x:v>
      </x:c>
      <x:c r="P2409" t="str">
        <x:v>OK</x:v>
      </x:c>
      <x:c r="Q2409" t="str">
        <x:v>OK</x:v>
      </x:c>
      <x:c r="R2409" t="str">
        <x:v>OK</x:v>
      </x:c>
      <x:c r="S2409" t="str">
        <x:v>OK</x:v>
      </x:c>
      <x:c r="T2409" t="n">
        <x:v>16</x:v>
      </x:c>
      <x:c r="U2409" t="str">
        <x:v>OK</x:v>
      </x:c>
      <x:c r="V2409" t="str">
        <x:v>OK</x:v>
      </x:c>
      <x:c r="W2409" t="str">
        <x:v>LOAD</x:v>
      </x:c>
      <x:c r="X2409" t="str">
        <x:v>02_Supervisor_Log(4).xlsx</x:v>
      </x:c>
      <x:c r="Y2409" t="str">
        <x:v>ENH-20260830-01</x:v>
      </x:c>
      <x:c r="Z2409" t="str">
        <x:v>Active</x:v>
      </x:c>
      <x:c r="AA2409"/>
      <x:c r="AB2409"/>
      <x:c r="AC2409"/>
      <x:c r="AD2409"/>
    </x:row>
    <x:row r="2410">
      <x:c r="A2410" t="str">
        <x:v>PCC-PE-KG01-L25-20251022-PM-ORD-2025-00161-S09-C3</x:v>
      </x:c>
      <x:c r="B2410" t="str">
        <x:v>PC-PE-KG01-L25-20251022-PM-ORD-2025-00161-S09</x:v>
      </x:c>
      <x:c r="C2410" t="str">
        <x:v>PE-KG01-L25-20251022-PM-ORD-2025-00161</x:v>
      </x:c>
      <x:c r="D2410" t="str">
        <x:v>KG01</x:v>
      </x:c>
      <x:c r="E2410" s="62" t="n">
        <x:v>45952</x:v>
      </x:c>
      <x:c r="F2410" t="str">
        <x:v>PM</x:v>
      </x:c>
      <x:c r="G2410" t="str">
        <x:v>C</x:v>
      </x:c>
      <x:c r="H2410" t="n">
        <x:v>25</x:v>
      </x:c>
      <x:c r="I2410" t="str">
        <x:v>ORD-2025-00161</x:v>
      </x:c>
      <x:c r="J2410" t="n">
        <x:v>9</x:v>
      </x:c>
      <x:c r="K2410" t="n">
        <x:v>3</x:v>
      </x:c>
      <x:c r="L2410" t="str">
        <x:v>L25-S09-C3</x:v>
      </x:c>
      <x:c r="M2410" t="n">
        <x:v>0</x:v>
      </x:c>
      <x:c r="N2410" t="str">
        <x:v>DerivedFromCount</x:v>
      </x:c>
      <x:c r="O2410" t="str">
        <x:v>PLC-PRD-JAR-720-L25</x:v>
      </x:c>
      <x:c r="P2410" t="str">
        <x:v>OK</x:v>
      </x:c>
      <x:c r="Q2410" t="str">
        <x:v>OK</x:v>
      </x:c>
      <x:c r="R2410" t="str">
        <x:v>OK</x:v>
      </x:c>
      <x:c r="S2410" t="str">
        <x:v>OK</x:v>
      </x:c>
      <x:c r="T2410" t="n">
        <x:v>16</x:v>
      </x:c>
      <x:c r="U2410" t="str">
        <x:v>OK</x:v>
      </x:c>
      <x:c r="V2410" t="str">
        <x:v>OK</x:v>
      </x:c>
      <x:c r="W2410" t="str">
        <x:v>LOAD</x:v>
      </x:c>
      <x:c r="X2410" t="str">
        <x:v>02_Supervisor_Log(4).xlsx</x:v>
      </x:c>
      <x:c r="Y2410" t="str">
        <x:v>ENH-20260830-01</x:v>
      </x:c>
      <x:c r="Z2410" t="str">
        <x:v>Active</x:v>
      </x:c>
      <x:c r="AA2410"/>
      <x:c r="AB2410"/>
      <x:c r="AC2410"/>
      <x:c r="AD2410"/>
    </x:row>
    <x:row r="2411">
      <x:c r="A2411" t="str">
        <x:v>PCC-PE-KG01-L25-20251022-PM-ORD-2025-00161-S10-C1</x:v>
      </x:c>
      <x:c r="B2411" t="str">
        <x:v>PC-PE-KG01-L25-20251022-PM-ORD-2025-00161-S10</x:v>
      </x:c>
      <x:c r="C2411" t="str">
        <x:v>PE-KG01-L25-20251022-PM-ORD-2025-00161</x:v>
      </x:c>
      <x:c r="D2411" t="str">
        <x:v>KG01</x:v>
      </x:c>
      <x:c r="E2411" s="62" t="n">
        <x:v>45952</x:v>
      </x:c>
      <x:c r="F2411" t="str">
        <x:v>PM</x:v>
      </x:c>
      <x:c r="G2411" t="str">
        <x:v>C</x:v>
      </x:c>
      <x:c r="H2411" t="n">
        <x:v>25</x:v>
      </x:c>
      <x:c r="I2411" t="str">
        <x:v>ORD-2025-00161</x:v>
      </x:c>
      <x:c r="J2411" t="n">
        <x:v>10</x:v>
      </x:c>
      <x:c r="K2411" t="n">
        <x:v>1</x:v>
      </x:c>
      <x:c r="L2411" t="str">
        <x:v>L25-S10-C1</x:v>
      </x:c>
      <x:c r="M2411" t="n">
        <x:v>0</x:v>
      </x:c>
      <x:c r="N2411" t="str">
        <x:v>DerivedFromCount</x:v>
      </x:c>
      <x:c r="O2411" t="str">
        <x:v>PLC-PRD-JAR-720-L25</x:v>
      </x:c>
      <x:c r="P2411" t="str">
        <x:v>OK</x:v>
      </x:c>
      <x:c r="Q2411" t="str">
        <x:v>OK</x:v>
      </x:c>
      <x:c r="R2411" t="str">
        <x:v>OK</x:v>
      </x:c>
      <x:c r="S2411" t="str">
        <x:v>OK</x:v>
      </x:c>
      <x:c r="T2411" t="n">
        <x:v>16</x:v>
      </x:c>
      <x:c r="U2411" t="str">
        <x:v>OK</x:v>
      </x:c>
      <x:c r="V2411" t="str">
        <x:v>OK</x:v>
      </x:c>
      <x:c r="W2411" t="str">
        <x:v>LOAD</x:v>
      </x:c>
      <x:c r="X2411" t="str">
        <x:v>02_Supervisor_Log(4).xlsx</x:v>
      </x:c>
      <x:c r="Y2411" t="str">
        <x:v>ENH-20260830-01</x:v>
      </x:c>
      <x:c r="Z2411" t="str">
        <x:v>Active</x:v>
      </x:c>
      <x:c r="AA2411"/>
      <x:c r="AB2411"/>
      <x:c r="AC2411"/>
      <x:c r="AD2411"/>
    </x:row>
    <x:row r="2412">
      <x:c r="A2412" t="str">
        <x:v>PCC-PE-KG01-L25-20251022-PM-ORD-2025-00161-S10-C2</x:v>
      </x:c>
      <x:c r="B2412" t="str">
        <x:v>PC-PE-KG01-L25-20251022-PM-ORD-2025-00161-S10</x:v>
      </x:c>
      <x:c r="C2412" t="str">
        <x:v>PE-KG01-L25-20251022-PM-ORD-2025-00161</x:v>
      </x:c>
      <x:c r="D2412" t="str">
        <x:v>KG01</x:v>
      </x:c>
      <x:c r="E2412" s="62" t="n">
        <x:v>45952</x:v>
      </x:c>
      <x:c r="F2412" t="str">
        <x:v>PM</x:v>
      </x:c>
      <x:c r="G2412" t="str">
        <x:v>C</x:v>
      </x:c>
      <x:c r="H2412" t="n">
        <x:v>25</x:v>
      </x:c>
      <x:c r="I2412" t="str">
        <x:v>ORD-2025-00161</x:v>
      </x:c>
      <x:c r="J2412" t="n">
        <x:v>10</x:v>
      </x:c>
      <x:c r="K2412" t="n">
        <x:v>2</x:v>
      </x:c>
      <x:c r="L2412" t="str">
        <x:v>L25-S10-C2</x:v>
      </x:c>
      <x:c r="M2412" t="n">
        <x:v>0</x:v>
      </x:c>
      <x:c r="N2412" t="str">
        <x:v>DerivedFromCount</x:v>
      </x:c>
      <x:c r="O2412" t="str">
        <x:v>PLC-PRD-JAR-720-L25</x:v>
      </x:c>
      <x:c r="P2412" t="str">
        <x:v>OK</x:v>
      </x:c>
      <x:c r="Q2412" t="str">
        <x:v>OK</x:v>
      </x:c>
      <x:c r="R2412" t="str">
        <x:v>OK</x:v>
      </x:c>
      <x:c r="S2412" t="str">
        <x:v>OK</x:v>
      </x:c>
      <x:c r="T2412" t="n">
        <x:v>16</x:v>
      </x:c>
      <x:c r="U2412" t="str">
        <x:v>OK</x:v>
      </x:c>
      <x:c r="V2412" t="str">
        <x:v>OK</x:v>
      </x:c>
      <x:c r="W2412" t="str">
        <x:v>LOAD</x:v>
      </x:c>
      <x:c r="X2412" t="str">
        <x:v>02_Supervisor_Log(4).xlsx</x:v>
      </x:c>
      <x:c r="Y2412" t="str">
        <x:v>ENH-20260830-01</x:v>
      </x:c>
      <x:c r="Z2412" t="str">
        <x:v>Active</x:v>
      </x:c>
      <x:c r="AA2412"/>
      <x:c r="AB2412"/>
      <x:c r="AC2412"/>
      <x:c r="AD2412"/>
    </x:row>
    <x:row r="2413">
      <x:c r="A2413" t="str">
        <x:v>PCC-PE-KG01-L25-20251022-PM-ORD-2025-00161-S10-C3</x:v>
      </x:c>
      <x:c r="B2413" t="str">
        <x:v>PC-PE-KG01-L25-20251022-PM-ORD-2025-00161-S10</x:v>
      </x:c>
      <x:c r="C2413" t="str">
        <x:v>PE-KG01-L25-20251022-PM-ORD-2025-00161</x:v>
      </x:c>
      <x:c r="D2413" t="str">
        <x:v>KG01</x:v>
      </x:c>
      <x:c r="E2413" s="62" t="n">
        <x:v>45952</x:v>
      </x:c>
      <x:c r="F2413" t="str">
        <x:v>PM</x:v>
      </x:c>
      <x:c r="G2413" t="str">
        <x:v>C</x:v>
      </x:c>
      <x:c r="H2413" t="n">
        <x:v>25</x:v>
      </x:c>
      <x:c r="I2413" t="str">
        <x:v>ORD-2025-00161</x:v>
      </x:c>
      <x:c r="J2413" t="n">
        <x:v>10</x:v>
      </x:c>
      <x:c r="K2413" t="n">
        <x:v>3</x:v>
      </x:c>
      <x:c r="L2413" t="str">
        <x:v>L25-S10-C3</x:v>
      </x:c>
      <x:c r="M2413" t="n">
        <x:v>0</x:v>
      </x:c>
      <x:c r="N2413" t="str">
        <x:v>DerivedFromCount</x:v>
      </x:c>
      <x:c r="O2413" t="str">
        <x:v>PLC-PRD-JAR-720-L25</x:v>
      </x:c>
      <x:c r="P2413" t="str">
        <x:v>OK</x:v>
      </x:c>
      <x:c r="Q2413" t="str">
        <x:v>OK</x:v>
      </x:c>
      <x:c r="R2413" t="str">
        <x:v>OK</x:v>
      </x:c>
      <x:c r="S2413" t="str">
        <x:v>OK</x:v>
      </x:c>
      <x:c r="T2413" t="n">
        <x:v>16</x:v>
      </x:c>
      <x:c r="U2413" t="str">
        <x:v>OK</x:v>
      </x:c>
      <x:c r="V2413" t="str">
        <x:v>OK</x:v>
      </x:c>
      <x:c r="W2413" t="str">
        <x:v>LOAD</x:v>
      </x:c>
      <x:c r="X2413" t="str">
        <x:v>02_Supervisor_Log(4).xlsx</x:v>
      </x:c>
      <x:c r="Y2413" t="str">
        <x:v>ENH-20260830-01</x:v>
      </x:c>
      <x:c r="Z2413" t="str">
        <x:v>Active</x:v>
      </x:c>
      <x:c r="AA2413"/>
      <x:c r="AB2413"/>
      <x:c r="AC2413"/>
      <x:c r="AD2413"/>
    </x:row>
    <x:row r="2414">
      <x:c r="A2414" t="str">
        <x:v>PCC-PE-KG01-L25-20251022-PM-ORD-2025-00161-S11-C1</x:v>
      </x:c>
      <x:c r="B2414" t="str">
        <x:v>PC-PE-KG01-L25-20251022-PM-ORD-2025-00161-S11</x:v>
      </x:c>
      <x:c r="C2414" t="str">
        <x:v>PE-KG01-L25-20251022-PM-ORD-2025-00161</x:v>
      </x:c>
      <x:c r="D2414" t="str">
        <x:v>KG01</x:v>
      </x:c>
      <x:c r="E2414" s="62" t="n">
        <x:v>45952</x:v>
      </x:c>
      <x:c r="F2414" t="str">
        <x:v>PM</x:v>
      </x:c>
      <x:c r="G2414" t="str">
        <x:v>C</x:v>
      </x:c>
      <x:c r="H2414" t="n">
        <x:v>25</x:v>
      </x:c>
      <x:c r="I2414" t="str">
        <x:v>ORD-2025-00161</x:v>
      </x:c>
      <x:c r="J2414" t="n">
        <x:v>11</x:v>
      </x:c>
      <x:c r="K2414" t="n">
        <x:v>1</x:v>
      </x:c>
      <x:c r="L2414" t="str">
        <x:v>L25-S11-C1</x:v>
      </x:c>
      <x:c r="M2414" t="n">
        <x:v>0</x:v>
      </x:c>
      <x:c r="N2414" t="str">
        <x:v>DerivedFromCount</x:v>
      </x:c>
      <x:c r="O2414" t="str">
        <x:v>PLC-PRD-JAR-720-L25</x:v>
      </x:c>
      <x:c r="P2414" t="str">
        <x:v>OK</x:v>
      </x:c>
      <x:c r="Q2414" t="str">
        <x:v>OK</x:v>
      </x:c>
      <x:c r="R2414" t="str">
        <x:v>OK</x:v>
      </x:c>
      <x:c r="S2414" t="str">
        <x:v>OK</x:v>
      </x:c>
      <x:c r="T2414" t="n">
        <x:v>16</x:v>
      </x:c>
      <x:c r="U2414" t="str">
        <x:v>OK</x:v>
      </x:c>
      <x:c r="V2414" t="str">
        <x:v>OK</x:v>
      </x:c>
      <x:c r="W2414" t="str">
        <x:v>LOAD</x:v>
      </x:c>
      <x:c r="X2414" t="str">
        <x:v>02_Supervisor_Log(4).xlsx</x:v>
      </x:c>
      <x:c r="Y2414" t="str">
        <x:v>ENH-20260830-01</x:v>
      </x:c>
      <x:c r="Z2414" t="str">
        <x:v>Active</x:v>
      </x:c>
      <x:c r="AA2414"/>
      <x:c r="AB2414"/>
      <x:c r="AC2414"/>
      <x:c r="AD2414"/>
    </x:row>
    <x:row r="2415">
      <x:c r="A2415" t="str">
        <x:v>PCC-PE-KG01-L25-20251022-PM-ORD-2025-00161-S11-C2</x:v>
      </x:c>
      <x:c r="B2415" t="str">
        <x:v>PC-PE-KG01-L25-20251022-PM-ORD-2025-00161-S11</x:v>
      </x:c>
      <x:c r="C2415" t="str">
        <x:v>PE-KG01-L25-20251022-PM-ORD-2025-00161</x:v>
      </x:c>
      <x:c r="D2415" t="str">
        <x:v>KG01</x:v>
      </x:c>
      <x:c r="E2415" s="62" t="n">
        <x:v>45952</x:v>
      </x:c>
      <x:c r="F2415" t="str">
        <x:v>PM</x:v>
      </x:c>
      <x:c r="G2415" t="str">
        <x:v>C</x:v>
      </x:c>
      <x:c r="H2415" t="n">
        <x:v>25</x:v>
      </x:c>
      <x:c r="I2415" t="str">
        <x:v>ORD-2025-00161</x:v>
      </x:c>
      <x:c r="J2415" t="n">
        <x:v>11</x:v>
      </x:c>
      <x:c r="K2415" t="n">
        <x:v>2</x:v>
      </x:c>
      <x:c r="L2415" t="str">
        <x:v>L25-S11-C2</x:v>
      </x:c>
      <x:c r="M2415" t="n">
        <x:v>0</x:v>
      </x:c>
      <x:c r="N2415" t="str">
        <x:v>DerivedFromCount</x:v>
      </x:c>
      <x:c r="O2415" t="str">
        <x:v>PLC-PRD-JAR-720-L25</x:v>
      </x:c>
      <x:c r="P2415" t="str">
        <x:v>OK</x:v>
      </x:c>
      <x:c r="Q2415" t="str">
        <x:v>OK</x:v>
      </x:c>
      <x:c r="R2415" t="str">
        <x:v>OK</x:v>
      </x:c>
      <x:c r="S2415" t="str">
        <x:v>OK</x:v>
      </x:c>
      <x:c r="T2415" t="n">
        <x:v>16</x:v>
      </x:c>
      <x:c r="U2415" t="str">
        <x:v>OK</x:v>
      </x:c>
      <x:c r="V2415" t="str">
        <x:v>OK</x:v>
      </x:c>
      <x:c r="W2415" t="str">
        <x:v>LOAD</x:v>
      </x:c>
      <x:c r="X2415" t="str">
        <x:v>02_Supervisor_Log(4).xlsx</x:v>
      </x:c>
      <x:c r="Y2415" t="str">
        <x:v>ENH-20260830-01</x:v>
      </x:c>
      <x:c r="Z2415" t="str">
        <x:v>Active</x:v>
      </x:c>
      <x:c r="AA2415"/>
      <x:c r="AB2415"/>
      <x:c r="AC2415"/>
      <x:c r="AD2415"/>
    </x:row>
    <x:row r="2416">
      <x:c r="A2416" t="str">
        <x:v>PCC-PE-KG01-L25-20251022-PM-ORD-2025-00161-S11-C3</x:v>
      </x:c>
      <x:c r="B2416" t="str">
        <x:v>PC-PE-KG01-L25-20251022-PM-ORD-2025-00161-S11</x:v>
      </x:c>
      <x:c r="C2416" t="str">
        <x:v>PE-KG01-L25-20251022-PM-ORD-2025-00161</x:v>
      </x:c>
      <x:c r="D2416" t="str">
        <x:v>KG01</x:v>
      </x:c>
      <x:c r="E2416" s="62" t="n">
        <x:v>45952</x:v>
      </x:c>
      <x:c r="F2416" t="str">
        <x:v>PM</x:v>
      </x:c>
      <x:c r="G2416" t="str">
        <x:v>C</x:v>
      </x:c>
      <x:c r="H2416" t="n">
        <x:v>25</x:v>
      </x:c>
      <x:c r="I2416" t="str">
        <x:v>ORD-2025-00161</x:v>
      </x:c>
      <x:c r="J2416" t="n">
        <x:v>11</x:v>
      </x:c>
      <x:c r="K2416" t="n">
        <x:v>3</x:v>
      </x:c>
      <x:c r="L2416" t="str">
        <x:v>L25-S11-C3</x:v>
      </x:c>
      <x:c r="M2416" t="n">
        <x:v>0</x:v>
      </x:c>
      <x:c r="N2416" t="str">
        <x:v>DerivedFromCount</x:v>
      </x:c>
      <x:c r="O2416" t="str">
        <x:v>PLC-PRD-JAR-720-L25</x:v>
      </x:c>
      <x:c r="P2416" t="str">
        <x:v>OK</x:v>
      </x:c>
      <x:c r="Q2416" t="str">
        <x:v>OK</x:v>
      </x:c>
      <x:c r="R2416" t="str">
        <x:v>OK</x:v>
      </x:c>
      <x:c r="S2416" t="str">
        <x:v>OK</x:v>
      </x:c>
      <x:c r="T2416" t="n">
        <x:v>16</x:v>
      </x:c>
      <x:c r="U2416" t="str">
        <x:v>OK</x:v>
      </x:c>
      <x:c r="V2416" t="str">
        <x:v>OK</x:v>
      </x:c>
      <x:c r="W2416" t="str">
        <x:v>LOAD</x:v>
      </x:c>
      <x:c r="X2416" t="str">
        <x:v>02_Supervisor_Log(4).xlsx</x:v>
      </x:c>
      <x:c r="Y2416" t="str">
        <x:v>ENH-20260830-01</x:v>
      </x:c>
      <x:c r="Z2416" t="str">
        <x:v>Active</x:v>
      </x:c>
      <x:c r="AA2416"/>
      <x:c r="AB2416"/>
      <x:c r="AC2416"/>
      <x:c r="AD2416"/>
    </x:row>
    <x:row r="2417">
      <x:c r="A2417" t="str">
        <x:v>PCC-PE-KG01-L25-20251022-PM-ORD-2025-00161-S12-C1</x:v>
      </x:c>
      <x:c r="B2417" t="str">
        <x:v>PC-PE-KG01-L25-20251022-PM-ORD-2025-00161-S12</x:v>
      </x:c>
      <x:c r="C2417" t="str">
        <x:v>PE-KG01-L25-20251022-PM-ORD-2025-00161</x:v>
      </x:c>
      <x:c r="D2417" t="str">
        <x:v>KG01</x:v>
      </x:c>
      <x:c r="E2417" s="62" t="n">
        <x:v>45952</x:v>
      </x:c>
      <x:c r="F2417" t="str">
        <x:v>PM</x:v>
      </x:c>
      <x:c r="G2417" t="str">
        <x:v>C</x:v>
      </x:c>
      <x:c r="H2417" t="n">
        <x:v>25</x:v>
      </x:c>
      <x:c r="I2417" t="str">
        <x:v>ORD-2025-00161</x:v>
      </x:c>
      <x:c r="J2417" t="n">
        <x:v>12</x:v>
      </x:c>
      <x:c r="K2417" t="n">
        <x:v>1</x:v>
      </x:c>
      <x:c r="L2417" t="str">
        <x:v>L25-S12-C1</x:v>
      </x:c>
      <x:c r="M2417" t="n">
        <x:v>0</x:v>
      </x:c>
      <x:c r="N2417" t="str">
        <x:v>DerivedFromCount</x:v>
      </x:c>
      <x:c r="O2417" t="str">
        <x:v>PLC-PRD-JAR-720-L25</x:v>
      </x:c>
      <x:c r="P2417" t="str">
        <x:v>OK</x:v>
      </x:c>
      <x:c r="Q2417" t="str">
        <x:v>OK</x:v>
      </x:c>
      <x:c r="R2417" t="str">
        <x:v>OK</x:v>
      </x:c>
      <x:c r="S2417" t="str">
        <x:v>OK</x:v>
      </x:c>
      <x:c r="T2417" t="n">
        <x:v>16</x:v>
      </x:c>
      <x:c r="U2417" t="str">
        <x:v>OK</x:v>
      </x:c>
      <x:c r="V2417" t="str">
        <x:v>OK</x:v>
      </x:c>
      <x:c r="W2417" t="str">
        <x:v>LOAD</x:v>
      </x:c>
      <x:c r="X2417" t="str">
        <x:v>02_Supervisor_Log(4).xlsx</x:v>
      </x:c>
      <x:c r="Y2417" t="str">
        <x:v>ENH-20260830-01</x:v>
      </x:c>
      <x:c r="Z2417" t="str">
        <x:v>Active</x:v>
      </x:c>
      <x:c r="AA2417"/>
      <x:c r="AB2417"/>
      <x:c r="AC2417"/>
      <x:c r="AD2417"/>
    </x:row>
    <x:row r="2418">
      <x:c r="A2418" t="str">
        <x:v>PCC-PE-KG01-L25-20251022-PM-ORD-2025-00161-S12-C2</x:v>
      </x:c>
      <x:c r="B2418" t="str">
        <x:v>PC-PE-KG01-L25-20251022-PM-ORD-2025-00161-S12</x:v>
      </x:c>
      <x:c r="C2418" t="str">
        <x:v>PE-KG01-L25-20251022-PM-ORD-2025-00161</x:v>
      </x:c>
      <x:c r="D2418" t="str">
        <x:v>KG01</x:v>
      </x:c>
      <x:c r="E2418" s="62" t="n">
        <x:v>45952</x:v>
      </x:c>
      <x:c r="F2418" t="str">
        <x:v>PM</x:v>
      </x:c>
      <x:c r="G2418" t="str">
        <x:v>C</x:v>
      </x:c>
      <x:c r="H2418" t="n">
        <x:v>25</x:v>
      </x:c>
      <x:c r="I2418" t="str">
        <x:v>ORD-2025-00161</x:v>
      </x:c>
      <x:c r="J2418" t="n">
        <x:v>12</x:v>
      </x:c>
      <x:c r="K2418" t="n">
        <x:v>2</x:v>
      </x:c>
      <x:c r="L2418" t="str">
        <x:v>L25-S12-C2</x:v>
      </x:c>
      <x:c r="M2418" t="n">
        <x:v>0</x:v>
      </x:c>
      <x:c r="N2418" t="str">
        <x:v>DerivedFromCount</x:v>
      </x:c>
      <x:c r="O2418" t="str">
        <x:v>PLC-PRD-JAR-720-L25</x:v>
      </x:c>
      <x:c r="P2418" t="str">
        <x:v>OK</x:v>
      </x:c>
      <x:c r="Q2418" t="str">
        <x:v>OK</x:v>
      </x:c>
      <x:c r="R2418" t="str">
        <x:v>OK</x:v>
      </x:c>
      <x:c r="S2418" t="str">
        <x:v>OK</x:v>
      </x:c>
      <x:c r="T2418" t="n">
        <x:v>16</x:v>
      </x:c>
      <x:c r="U2418" t="str">
        <x:v>OK</x:v>
      </x:c>
      <x:c r="V2418" t="str">
        <x:v>OK</x:v>
      </x:c>
      <x:c r="W2418" t="str">
        <x:v>LOAD</x:v>
      </x:c>
      <x:c r="X2418" t="str">
        <x:v>02_Supervisor_Log(4).xlsx</x:v>
      </x:c>
      <x:c r="Y2418" t="str">
        <x:v>ENH-20260830-01</x:v>
      </x:c>
      <x:c r="Z2418" t="str">
        <x:v>Active</x:v>
      </x:c>
      <x:c r="AA2418"/>
      <x:c r="AB2418"/>
      <x:c r="AC2418"/>
      <x:c r="AD2418"/>
    </x:row>
    <x:row r="2419">
      <x:c r="A2419" t="str">
        <x:v>PCC-PE-KG01-L25-20251022-PM-ORD-2025-00161-S12-C3</x:v>
      </x:c>
      <x:c r="B2419" t="str">
        <x:v>PC-PE-KG01-L25-20251022-PM-ORD-2025-00161-S12</x:v>
      </x:c>
      <x:c r="C2419" t="str">
        <x:v>PE-KG01-L25-20251022-PM-ORD-2025-00161</x:v>
      </x:c>
      <x:c r="D2419" t="str">
        <x:v>KG01</x:v>
      </x:c>
      <x:c r="E2419" s="62" t="n">
        <x:v>45952</x:v>
      </x:c>
      <x:c r="F2419" t="str">
        <x:v>PM</x:v>
      </x:c>
      <x:c r="G2419" t="str">
        <x:v>C</x:v>
      </x:c>
      <x:c r="H2419" t="n">
        <x:v>25</x:v>
      </x:c>
      <x:c r="I2419" t="str">
        <x:v>ORD-2025-00161</x:v>
      </x:c>
      <x:c r="J2419" t="n">
        <x:v>12</x:v>
      </x:c>
      <x:c r="K2419" t="n">
        <x:v>3</x:v>
      </x:c>
      <x:c r="L2419" t="str">
        <x:v>L25-S12-C3</x:v>
      </x:c>
      <x:c r="M2419" t="n">
        <x:v>0</x:v>
      </x:c>
      <x:c r="N2419" t="str">
        <x:v>DerivedFromCount</x:v>
      </x:c>
      <x:c r="O2419" t="str">
        <x:v>PLC-PRD-JAR-720-L25</x:v>
      </x:c>
      <x:c r="P2419" t="str">
        <x:v>OK</x:v>
      </x:c>
      <x:c r="Q2419" t="str">
        <x:v>OK</x:v>
      </x:c>
      <x:c r="R2419" t="str">
        <x:v>OK</x:v>
      </x:c>
      <x:c r="S2419" t="str">
        <x:v>OK</x:v>
      </x:c>
      <x:c r="T2419" t="n">
        <x:v>16</x:v>
      </x:c>
      <x:c r="U2419" t="str">
        <x:v>OK</x:v>
      </x:c>
      <x:c r="V2419" t="str">
        <x:v>OK</x:v>
      </x:c>
      <x:c r="W2419" t="str">
        <x:v>LOAD</x:v>
      </x:c>
      <x:c r="X2419" t="str">
        <x:v>02_Supervisor_Log(4).xlsx</x:v>
      </x:c>
      <x:c r="Y2419" t="str">
        <x:v>ENH-20260830-01</x:v>
      </x:c>
      <x:c r="Z2419" t="str">
        <x:v>Active</x:v>
      </x:c>
      <x:c r="AA2419"/>
      <x:c r="AB2419"/>
      <x:c r="AC2419"/>
      <x:c r="AD2419"/>
    </x:row>
    <x:row r="2420">
      <x:c r="A2420" t="str">
        <x:v>PCC-PE-KG01-L25-20251022-PM-ORD-2025-00161-S13-C1</x:v>
      </x:c>
      <x:c r="B2420" t="str">
        <x:v>PC-PE-KG01-L25-20251022-PM-ORD-2025-00161-S13</x:v>
      </x:c>
      <x:c r="C2420" t="str">
        <x:v>PE-KG01-L25-20251022-PM-ORD-2025-00161</x:v>
      </x:c>
      <x:c r="D2420" t="str">
        <x:v>KG01</x:v>
      </x:c>
      <x:c r="E2420" s="62" t="n">
        <x:v>45952</x:v>
      </x:c>
      <x:c r="F2420" t="str">
        <x:v>PM</x:v>
      </x:c>
      <x:c r="G2420" t="str">
        <x:v>C</x:v>
      </x:c>
      <x:c r="H2420" t="n">
        <x:v>25</x:v>
      </x:c>
      <x:c r="I2420" t="str">
        <x:v>ORD-2025-00161</x:v>
      </x:c>
      <x:c r="J2420" t="n">
        <x:v>13</x:v>
      </x:c>
      <x:c r="K2420" t="n">
        <x:v>1</x:v>
      </x:c>
      <x:c r="L2420" t="str">
        <x:v>L25-S13-C1</x:v>
      </x:c>
      <x:c r="M2420" t="n">
        <x:v>0</x:v>
      </x:c>
      <x:c r="N2420" t="str">
        <x:v>DerivedFromCount</x:v>
      </x:c>
      <x:c r="O2420" t="str">
        <x:v>PLC-PRD-JAR-720-L25</x:v>
      </x:c>
      <x:c r="P2420" t="str">
        <x:v>OK</x:v>
      </x:c>
      <x:c r="Q2420" t="str">
        <x:v>OK</x:v>
      </x:c>
      <x:c r="R2420" t="str">
        <x:v>OK</x:v>
      </x:c>
      <x:c r="S2420" t="str">
        <x:v>OK</x:v>
      </x:c>
      <x:c r="T2420" t="n">
        <x:v>16</x:v>
      </x:c>
      <x:c r="U2420" t="str">
        <x:v>OK</x:v>
      </x:c>
      <x:c r="V2420" t="str">
        <x:v>OK</x:v>
      </x:c>
      <x:c r="W2420" t="str">
        <x:v>LOAD</x:v>
      </x:c>
      <x:c r="X2420" t="str">
        <x:v>02_Supervisor_Log(4).xlsx</x:v>
      </x:c>
      <x:c r="Y2420" t="str">
        <x:v>ENH-20260830-01</x:v>
      </x:c>
      <x:c r="Z2420" t="str">
        <x:v>Active</x:v>
      </x:c>
      <x:c r="AA2420"/>
      <x:c r="AB2420"/>
      <x:c r="AC2420"/>
      <x:c r="AD2420"/>
    </x:row>
    <x:row r="2421">
      <x:c r="A2421" t="str">
        <x:v>PCC-PE-KG01-L25-20251022-PM-ORD-2025-00161-S13-C2</x:v>
      </x:c>
      <x:c r="B2421" t="str">
        <x:v>PC-PE-KG01-L25-20251022-PM-ORD-2025-00161-S13</x:v>
      </x:c>
      <x:c r="C2421" t="str">
        <x:v>PE-KG01-L25-20251022-PM-ORD-2025-00161</x:v>
      </x:c>
      <x:c r="D2421" t="str">
        <x:v>KG01</x:v>
      </x:c>
      <x:c r="E2421" s="62" t="n">
        <x:v>45952</x:v>
      </x:c>
      <x:c r="F2421" t="str">
        <x:v>PM</x:v>
      </x:c>
      <x:c r="G2421" t="str">
        <x:v>C</x:v>
      </x:c>
      <x:c r="H2421" t="n">
        <x:v>25</x:v>
      </x:c>
      <x:c r="I2421" t="str">
        <x:v>ORD-2025-00161</x:v>
      </x:c>
      <x:c r="J2421" t="n">
        <x:v>13</x:v>
      </x:c>
      <x:c r="K2421" t="n">
        <x:v>2</x:v>
      </x:c>
      <x:c r="L2421" t="str">
        <x:v>L25-S13-C2</x:v>
      </x:c>
      <x:c r="M2421" t="n">
        <x:v>0</x:v>
      </x:c>
      <x:c r="N2421" t="str">
        <x:v>DerivedFromCount</x:v>
      </x:c>
      <x:c r="O2421" t="str">
        <x:v>PLC-PRD-JAR-720-L25</x:v>
      </x:c>
      <x:c r="P2421" t="str">
        <x:v>OK</x:v>
      </x:c>
      <x:c r="Q2421" t="str">
        <x:v>OK</x:v>
      </x:c>
      <x:c r="R2421" t="str">
        <x:v>OK</x:v>
      </x:c>
      <x:c r="S2421" t="str">
        <x:v>OK</x:v>
      </x:c>
      <x:c r="T2421" t="n">
        <x:v>16</x:v>
      </x:c>
      <x:c r="U2421" t="str">
        <x:v>OK</x:v>
      </x:c>
      <x:c r="V2421" t="str">
        <x:v>OK</x:v>
      </x:c>
      <x:c r="W2421" t="str">
        <x:v>LOAD</x:v>
      </x:c>
      <x:c r="X2421" t="str">
        <x:v>02_Supervisor_Log(4).xlsx</x:v>
      </x:c>
      <x:c r="Y2421" t="str">
        <x:v>ENH-20260830-01</x:v>
      </x:c>
      <x:c r="Z2421" t="str">
        <x:v>Active</x:v>
      </x:c>
      <x:c r="AA2421"/>
      <x:c r="AB2421"/>
      <x:c r="AC2421"/>
      <x:c r="AD2421"/>
    </x:row>
    <x:row r="2422">
      <x:c r="A2422" t="str">
        <x:v>PCC-PE-KG01-L25-20251022-PM-ORD-2025-00161-S13-C3</x:v>
      </x:c>
      <x:c r="B2422" t="str">
        <x:v>PC-PE-KG01-L25-20251022-PM-ORD-2025-00161-S13</x:v>
      </x:c>
      <x:c r="C2422" t="str">
        <x:v>PE-KG01-L25-20251022-PM-ORD-2025-00161</x:v>
      </x:c>
      <x:c r="D2422" t="str">
        <x:v>KG01</x:v>
      </x:c>
      <x:c r="E2422" s="62" t="n">
        <x:v>45952</x:v>
      </x:c>
      <x:c r="F2422" t="str">
        <x:v>PM</x:v>
      </x:c>
      <x:c r="G2422" t="str">
        <x:v>C</x:v>
      </x:c>
      <x:c r="H2422" t="n">
        <x:v>25</x:v>
      </x:c>
      <x:c r="I2422" t="str">
        <x:v>ORD-2025-00161</x:v>
      </x:c>
      <x:c r="J2422" t="n">
        <x:v>13</x:v>
      </x:c>
      <x:c r="K2422" t="n">
        <x:v>3</x:v>
      </x:c>
      <x:c r="L2422" t="str">
        <x:v>L25-S13-C3</x:v>
      </x:c>
      <x:c r="M2422" t="n">
        <x:v>0</x:v>
      </x:c>
      <x:c r="N2422" t="str">
        <x:v>DerivedFromCount</x:v>
      </x:c>
      <x:c r="O2422" t="str">
        <x:v>PLC-PRD-JAR-720-L25</x:v>
      </x:c>
      <x:c r="P2422" t="str">
        <x:v>OK</x:v>
      </x:c>
      <x:c r="Q2422" t="str">
        <x:v>OK</x:v>
      </x:c>
      <x:c r="R2422" t="str">
        <x:v>OK</x:v>
      </x:c>
      <x:c r="S2422" t="str">
        <x:v>OK</x:v>
      </x:c>
      <x:c r="T2422" t="n">
        <x:v>16</x:v>
      </x:c>
      <x:c r="U2422" t="str">
        <x:v>OK</x:v>
      </x:c>
      <x:c r="V2422" t="str">
        <x:v>OK</x:v>
      </x:c>
      <x:c r="W2422" t="str">
        <x:v>LOAD</x:v>
      </x:c>
      <x:c r="X2422" t="str">
        <x:v>02_Supervisor_Log(4).xlsx</x:v>
      </x:c>
      <x:c r="Y2422" t="str">
        <x:v>ENH-20260830-01</x:v>
      </x:c>
      <x:c r="Z2422" t="str">
        <x:v>Active</x:v>
      </x:c>
      <x:c r="AA2422"/>
      <x:c r="AB2422"/>
      <x:c r="AC2422"/>
      <x:c r="AD2422"/>
    </x:row>
    <x:row r="2423">
      <x:c r="A2423" t="str">
        <x:v>PCC-PE-KG01-L25-20251023-AM-ORD-2025-00162-S01-C1</x:v>
      </x:c>
      <x:c r="B2423" t="str">
        <x:v>PC-PE-KG01-L25-20251023-AM-ORD-2025-00162-S01</x:v>
      </x:c>
      <x:c r="C2423" t="str">
        <x:v>PE-KG01-L25-20251023-AM-ORD-2025-00162</x:v>
      </x:c>
      <x:c r="D2423" t="str">
        <x:v>KG01</x:v>
      </x:c>
      <x:c r="E2423" s="62" t="n">
        <x:v>45953</x:v>
      </x:c>
      <x:c r="F2423" t="str">
        <x:v>AM</x:v>
      </x:c>
      <x:c r="G2423" t="str">
        <x:v>C</x:v>
      </x:c>
      <x:c r="H2423" t="n">
        <x:v>25</x:v>
      </x:c>
      <x:c r="I2423" t="str">
        <x:v>ORD-2025-00162</x:v>
      </x:c>
      <x:c r="J2423" t="n">
        <x:v>1</x:v>
      </x:c>
      <x:c r="K2423" t="n">
        <x:v>1</x:v>
      </x:c>
      <x:c r="L2423" t="str">
        <x:v>L25-S01-C1</x:v>
      </x:c>
      <x:c r="M2423" t="n">
        <x:v>1</x:v>
      </x:c>
      <x:c r="N2423" t="str">
        <x:v>DerivedFromCount</x:v>
      </x:c>
      <x:c r="O2423" t="str">
        <x:v>PLC-PRD-JAR-330-L25</x:v>
      </x:c>
      <x:c r="P2423" t="str">
        <x:v>OK</x:v>
      </x:c>
      <x:c r="Q2423" t="str">
        <x:v>OK</x:v>
      </x:c>
      <x:c r="R2423" t="str">
        <x:v>OK</x:v>
      </x:c>
      <x:c r="S2423" t="str">
        <x:v>OK</x:v>
      </x:c>
      <x:c r="T2423" t="n">
        <x:v>24</x:v>
      </x:c>
      <x:c r="U2423" t="str">
        <x:v>OK</x:v>
      </x:c>
      <x:c r="V2423" t="str">
        <x:v>OK</x:v>
      </x:c>
      <x:c r="W2423" t="str">
        <x:v>LOAD</x:v>
      </x:c>
      <x:c r="X2423" t="str">
        <x:v>02_Supervisor_Log(4).xlsx</x:v>
      </x:c>
      <x:c r="Y2423" t="str">
        <x:v>ENH-20260830-01</x:v>
      </x:c>
      <x:c r="Z2423" t="str">
        <x:v>Active</x:v>
      </x:c>
      <x:c r="AA2423"/>
      <x:c r="AB2423"/>
      <x:c r="AC2423"/>
      <x:c r="AD2423"/>
    </x:row>
    <x:row r="2424">
      <x:c r="A2424" t="str">
        <x:v>PCC-PE-KG01-L25-20251023-AM-ORD-2025-00162-S01-C2</x:v>
      </x:c>
      <x:c r="B2424" t="str">
        <x:v>PC-PE-KG01-L25-20251023-AM-ORD-2025-00162-S01</x:v>
      </x:c>
      <x:c r="C2424" t="str">
        <x:v>PE-KG01-L25-20251023-AM-ORD-2025-00162</x:v>
      </x:c>
      <x:c r="D2424" t="str">
        <x:v>KG01</x:v>
      </x:c>
      <x:c r="E2424" s="62" t="n">
        <x:v>45953</x:v>
      </x:c>
      <x:c r="F2424" t="str">
        <x:v>AM</x:v>
      </x:c>
      <x:c r="G2424" t="str">
        <x:v>C</x:v>
      </x:c>
      <x:c r="H2424" t="n">
        <x:v>25</x:v>
      </x:c>
      <x:c r="I2424" t="str">
        <x:v>ORD-2025-00162</x:v>
      </x:c>
      <x:c r="J2424" t="n">
        <x:v>1</x:v>
      </x:c>
      <x:c r="K2424" t="n">
        <x:v>2</x:v>
      </x:c>
      <x:c r="L2424" t="str">
        <x:v>L25-S01-C2</x:v>
      </x:c>
      <x:c r="M2424" t="n">
        <x:v>1</x:v>
      </x:c>
      <x:c r="N2424" t="str">
        <x:v>DerivedFromCount</x:v>
      </x:c>
      <x:c r="O2424" t="str">
        <x:v>PLC-PRD-JAR-330-L25</x:v>
      </x:c>
      <x:c r="P2424" t="str">
        <x:v>OK</x:v>
      </x:c>
      <x:c r="Q2424" t="str">
        <x:v>OK</x:v>
      </x:c>
      <x:c r="R2424" t="str">
        <x:v>OK</x:v>
      </x:c>
      <x:c r="S2424" t="str">
        <x:v>OK</x:v>
      </x:c>
      <x:c r="T2424" t="n">
        <x:v>24</x:v>
      </x:c>
      <x:c r="U2424" t="str">
        <x:v>OK</x:v>
      </x:c>
      <x:c r="V2424" t="str">
        <x:v>OK</x:v>
      </x:c>
      <x:c r="W2424" t="str">
        <x:v>LOAD</x:v>
      </x:c>
      <x:c r="X2424" t="str">
        <x:v>02_Supervisor_Log(4).xlsx</x:v>
      </x:c>
      <x:c r="Y2424" t="str">
        <x:v>ENH-20260830-01</x:v>
      </x:c>
      <x:c r="Z2424" t="str">
        <x:v>Active</x:v>
      </x:c>
      <x:c r="AA2424"/>
      <x:c r="AB2424"/>
      <x:c r="AC2424"/>
      <x:c r="AD2424"/>
    </x:row>
    <x:row r="2425">
      <x:c r="A2425" t="str">
        <x:v>PCC-PE-KG01-L25-20251023-AM-ORD-2025-00162-S01-C3</x:v>
      </x:c>
      <x:c r="B2425" t="str">
        <x:v>PC-PE-KG01-L25-20251023-AM-ORD-2025-00162-S01</x:v>
      </x:c>
      <x:c r="C2425" t="str">
        <x:v>PE-KG01-L25-20251023-AM-ORD-2025-00162</x:v>
      </x:c>
      <x:c r="D2425" t="str">
        <x:v>KG01</x:v>
      </x:c>
      <x:c r="E2425" s="62" t="n">
        <x:v>45953</x:v>
      </x:c>
      <x:c r="F2425" t="str">
        <x:v>AM</x:v>
      </x:c>
      <x:c r="G2425" t="str">
        <x:v>C</x:v>
      </x:c>
      <x:c r="H2425" t="n">
        <x:v>25</x:v>
      </x:c>
      <x:c r="I2425" t="str">
        <x:v>ORD-2025-00162</x:v>
      </x:c>
      <x:c r="J2425" t="n">
        <x:v>1</x:v>
      </x:c>
      <x:c r="K2425" t="n">
        <x:v>3</x:v>
      </x:c>
      <x:c r="L2425" t="str">
        <x:v>L25-S01-C3</x:v>
      </x:c>
      <x:c r="M2425" t="n">
        <x:v>1</x:v>
      </x:c>
      <x:c r="N2425" t="str">
        <x:v>DerivedFromCount</x:v>
      </x:c>
      <x:c r="O2425" t="str">
        <x:v>PLC-PRD-JAR-330-L25</x:v>
      </x:c>
      <x:c r="P2425" t="str">
        <x:v>OK</x:v>
      </x:c>
      <x:c r="Q2425" t="str">
        <x:v>OK</x:v>
      </x:c>
      <x:c r="R2425" t="str">
        <x:v>OK</x:v>
      </x:c>
      <x:c r="S2425" t="str">
        <x:v>OK</x:v>
      </x:c>
      <x:c r="T2425" t="n">
        <x:v>24</x:v>
      </x:c>
      <x:c r="U2425" t="str">
        <x:v>OK</x:v>
      </x:c>
      <x:c r="V2425" t="str">
        <x:v>OK</x:v>
      </x:c>
      <x:c r="W2425" t="str">
        <x:v>LOAD</x:v>
      </x:c>
      <x:c r="X2425" t="str">
        <x:v>02_Supervisor_Log(4).xlsx</x:v>
      </x:c>
      <x:c r="Y2425" t="str">
        <x:v>ENH-20260830-01</x:v>
      </x:c>
      <x:c r="Z2425" t="str">
        <x:v>Active</x:v>
      </x:c>
      <x:c r="AA2425"/>
      <x:c r="AB2425"/>
      <x:c r="AC2425"/>
      <x:c r="AD2425"/>
    </x:row>
    <x:row r="2426">
      <x:c r="A2426" t="str">
        <x:v>PCC-PE-KG01-L25-20251023-AM-ORD-2025-00162-S02-C1</x:v>
      </x:c>
      <x:c r="B2426" t="str">
        <x:v>PC-PE-KG01-L25-20251023-AM-ORD-2025-00162-S02</x:v>
      </x:c>
      <x:c r="C2426" t="str">
        <x:v>PE-KG01-L25-20251023-AM-ORD-2025-00162</x:v>
      </x:c>
      <x:c r="D2426" t="str">
        <x:v>KG01</x:v>
      </x:c>
      <x:c r="E2426" s="62" t="n">
        <x:v>45953</x:v>
      </x:c>
      <x:c r="F2426" t="str">
        <x:v>AM</x:v>
      </x:c>
      <x:c r="G2426" t="str">
        <x:v>C</x:v>
      </x:c>
      <x:c r="H2426" t="n">
        <x:v>25</x:v>
      </x:c>
      <x:c r="I2426" t="str">
        <x:v>ORD-2025-00162</x:v>
      </x:c>
      <x:c r="J2426" t="n">
        <x:v>2</x:v>
      </x:c>
      <x:c r="K2426" t="n">
        <x:v>1</x:v>
      </x:c>
      <x:c r="L2426" t="str">
        <x:v>L25-S02-C1</x:v>
      </x:c>
      <x:c r="M2426" t="n">
        <x:v>1</x:v>
      </x:c>
      <x:c r="N2426" t="str">
        <x:v>DerivedFromCount</x:v>
      </x:c>
      <x:c r="O2426" t="str">
        <x:v>PLC-PRD-JAR-330-L25</x:v>
      </x:c>
      <x:c r="P2426" t="str">
        <x:v>OK</x:v>
      </x:c>
      <x:c r="Q2426" t="str">
        <x:v>OK</x:v>
      </x:c>
      <x:c r="R2426" t="str">
        <x:v>OK</x:v>
      </x:c>
      <x:c r="S2426" t="str">
        <x:v>OK</x:v>
      </x:c>
      <x:c r="T2426" t="n">
        <x:v>24</x:v>
      </x:c>
      <x:c r="U2426" t="str">
        <x:v>OK</x:v>
      </x:c>
      <x:c r="V2426" t="str">
        <x:v>OK</x:v>
      </x:c>
      <x:c r="W2426" t="str">
        <x:v>LOAD</x:v>
      </x:c>
      <x:c r="X2426" t="str">
        <x:v>02_Supervisor_Log(4).xlsx</x:v>
      </x:c>
      <x:c r="Y2426" t="str">
        <x:v>ENH-20260830-01</x:v>
      </x:c>
      <x:c r="Z2426" t="str">
        <x:v>Active</x:v>
      </x:c>
      <x:c r="AA2426"/>
      <x:c r="AB2426"/>
      <x:c r="AC2426"/>
      <x:c r="AD2426"/>
    </x:row>
    <x:row r="2427">
      <x:c r="A2427" t="str">
        <x:v>PCC-PE-KG01-L25-20251023-AM-ORD-2025-00162-S02-C2</x:v>
      </x:c>
      <x:c r="B2427" t="str">
        <x:v>PC-PE-KG01-L25-20251023-AM-ORD-2025-00162-S02</x:v>
      </x:c>
      <x:c r="C2427" t="str">
        <x:v>PE-KG01-L25-20251023-AM-ORD-2025-00162</x:v>
      </x:c>
      <x:c r="D2427" t="str">
        <x:v>KG01</x:v>
      </x:c>
      <x:c r="E2427" s="62" t="n">
        <x:v>45953</x:v>
      </x:c>
      <x:c r="F2427" t="str">
        <x:v>AM</x:v>
      </x:c>
      <x:c r="G2427" t="str">
        <x:v>C</x:v>
      </x:c>
      <x:c r="H2427" t="n">
        <x:v>25</x:v>
      </x:c>
      <x:c r="I2427" t="str">
        <x:v>ORD-2025-00162</x:v>
      </x:c>
      <x:c r="J2427" t="n">
        <x:v>2</x:v>
      </x:c>
      <x:c r="K2427" t="n">
        <x:v>2</x:v>
      </x:c>
      <x:c r="L2427" t="str">
        <x:v>L25-S02-C2</x:v>
      </x:c>
      <x:c r="M2427" t="n">
        <x:v>1</x:v>
      </x:c>
      <x:c r="N2427" t="str">
        <x:v>DerivedFromCount</x:v>
      </x:c>
      <x:c r="O2427" t="str">
        <x:v>PLC-PRD-JAR-330-L25</x:v>
      </x:c>
      <x:c r="P2427" t="str">
        <x:v>OK</x:v>
      </x:c>
      <x:c r="Q2427" t="str">
        <x:v>OK</x:v>
      </x:c>
      <x:c r="R2427" t="str">
        <x:v>OK</x:v>
      </x:c>
      <x:c r="S2427" t="str">
        <x:v>OK</x:v>
      </x:c>
      <x:c r="T2427" t="n">
        <x:v>24</x:v>
      </x:c>
      <x:c r="U2427" t="str">
        <x:v>OK</x:v>
      </x:c>
      <x:c r="V2427" t="str">
        <x:v>OK</x:v>
      </x:c>
      <x:c r="W2427" t="str">
        <x:v>LOAD</x:v>
      </x:c>
      <x:c r="X2427" t="str">
        <x:v>02_Supervisor_Log(4).xlsx</x:v>
      </x:c>
      <x:c r="Y2427" t="str">
        <x:v>ENH-20260830-01</x:v>
      </x:c>
      <x:c r="Z2427" t="str">
        <x:v>Active</x:v>
      </x:c>
      <x:c r="AA2427"/>
      <x:c r="AB2427"/>
      <x:c r="AC2427"/>
      <x:c r="AD2427"/>
    </x:row>
    <x:row r="2428">
      <x:c r="A2428" t="str">
        <x:v>PCC-PE-KG01-L25-20251023-AM-ORD-2025-00162-S02-C3</x:v>
      </x:c>
      <x:c r="B2428" t="str">
        <x:v>PC-PE-KG01-L25-20251023-AM-ORD-2025-00162-S02</x:v>
      </x:c>
      <x:c r="C2428" t="str">
        <x:v>PE-KG01-L25-20251023-AM-ORD-2025-00162</x:v>
      </x:c>
      <x:c r="D2428" t="str">
        <x:v>KG01</x:v>
      </x:c>
      <x:c r="E2428" s="62" t="n">
        <x:v>45953</x:v>
      </x:c>
      <x:c r="F2428" t="str">
        <x:v>AM</x:v>
      </x:c>
      <x:c r="G2428" t="str">
        <x:v>C</x:v>
      </x:c>
      <x:c r="H2428" t="n">
        <x:v>25</x:v>
      </x:c>
      <x:c r="I2428" t="str">
        <x:v>ORD-2025-00162</x:v>
      </x:c>
      <x:c r="J2428" t="n">
        <x:v>2</x:v>
      </x:c>
      <x:c r="K2428" t="n">
        <x:v>3</x:v>
      </x:c>
      <x:c r="L2428" t="str">
        <x:v>L25-S02-C3</x:v>
      </x:c>
      <x:c r="M2428" t="n">
        <x:v>1</x:v>
      </x:c>
      <x:c r="N2428" t="str">
        <x:v>DerivedFromCount</x:v>
      </x:c>
      <x:c r="O2428" t="str">
        <x:v>PLC-PRD-JAR-330-L25</x:v>
      </x:c>
      <x:c r="P2428" t="str">
        <x:v>OK</x:v>
      </x:c>
      <x:c r="Q2428" t="str">
        <x:v>OK</x:v>
      </x:c>
      <x:c r="R2428" t="str">
        <x:v>OK</x:v>
      </x:c>
      <x:c r="S2428" t="str">
        <x:v>OK</x:v>
      </x:c>
      <x:c r="T2428" t="n">
        <x:v>24</x:v>
      </x:c>
      <x:c r="U2428" t="str">
        <x:v>OK</x:v>
      </x:c>
      <x:c r="V2428" t="str">
        <x:v>OK</x:v>
      </x:c>
      <x:c r="W2428" t="str">
        <x:v>LOAD</x:v>
      </x:c>
      <x:c r="X2428" t="str">
        <x:v>02_Supervisor_Log(4).xlsx</x:v>
      </x:c>
      <x:c r="Y2428" t="str">
        <x:v>ENH-20260830-01</x:v>
      </x:c>
      <x:c r="Z2428" t="str">
        <x:v>Active</x:v>
      </x:c>
      <x:c r="AA2428"/>
      <x:c r="AB2428"/>
      <x:c r="AC2428"/>
      <x:c r="AD2428"/>
    </x:row>
    <x:row r="2429">
      <x:c r="A2429" t="str">
        <x:v>PCC-PE-KG01-L25-20251023-AM-ORD-2025-00162-S03-C1</x:v>
      </x:c>
      <x:c r="B2429" t="str">
        <x:v>PC-PE-KG01-L25-20251023-AM-ORD-2025-00162-S03</x:v>
      </x:c>
      <x:c r="C2429" t="str">
        <x:v>PE-KG01-L25-20251023-AM-ORD-2025-00162</x:v>
      </x:c>
      <x:c r="D2429" t="str">
        <x:v>KG01</x:v>
      </x:c>
      <x:c r="E2429" s="62" t="n">
        <x:v>45953</x:v>
      </x:c>
      <x:c r="F2429" t="str">
        <x:v>AM</x:v>
      </x:c>
      <x:c r="G2429" t="str">
        <x:v>C</x:v>
      </x:c>
      <x:c r="H2429" t="n">
        <x:v>25</x:v>
      </x:c>
      <x:c r="I2429" t="str">
        <x:v>ORD-2025-00162</x:v>
      </x:c>
      <x:c r="J2429" t="n">
        <x:v>3</x:v>
      </x:c>
      <x:c r="K2429" t="n">
        <x:v>1</x:v>
      </x:c>
      <x:c r="L2429" t="str">
        <x:v>L25-S03-C1</x:v>
      </x:c>
      <x:c r="M2429" t="n">
        <x:v>1</x:v>
      </x:c>
      <x:c r="N2429" t="str">
        <x:v>DerivedFromCount</x:v>
      </x:c>
      <x:c r="O2429" t="str">
        <x:v>PLC-PRD-JAR-330-L25</x:v>
      </x:c>
      <x:c r="P2429" t="str">
        <x:v>OK</x:v>
      </x:c>
      <x:c r="Q2429" t="str">
        <x:v>OK</x:v>
      </x:c>
      <x:c r="R2429" t="str">
        <x:v>OK</x:v>
      </x:c>
      <x:c r="S2429" t="str">
        <x:v>OK</x:v>
      </x:c>
      <x:c r="T2429" t="n">
        <x:v>24</x:v>
      </x:c>
      <x:c r="U2429" t="str">
        <x:v>OK</x:v>
      </x:c>
      <x:c r="V2429" t="str">
        <x:v>OK</x:v>
      </x:c>
      <x:c r="W2429" t="str">
        <x:v>LOAD</x:v>
      </x:c>
      <x:c r="X2429" t="str">
        <x:v>02_Supervisor_Log(4).xlsx</x:v>
      </x:c>
      <x:c r="Y2429" t="str">
        <x:v>ENH-20260830-01</x:v>
      </x:c>
      <x:c r="Z2429" t="str">
        <x:v>Active</x:v>
      </x:c>
      <x:c r="AA2429"/>
      <x:c r="AB2429"/>
      <x:c r="AC2429"/>
      <x:c r="AD2429"/>
    </x:row>
    <x:row r="2430">
      <x:c r="A2430" t="str">
        <x:v>PCC-PE-KG01-L25-20251023-AM-ORD-2025-00162-S03-C2</x:v>
      </x:c>
      <x:c r="B2430" t="str">
        <x:v>PC-PE-KG01-L25-20251023-AM-ORD-2025-00162-S03</x:v>
      </x:c>
      <x:c r="C2430" t="str">
        <x:v>PE-KG01-L25-20251023-AM-ORD-2025-00162</x:v>
      </x:c>
      <x:c r="D2430" t="str">
        <x:v>KG01</x:v>
      </x:c>
      <x:c r="E2430" s="62" t="n">
        <x:v>45953</x:v>
      </x:c>
      <x:c r="F2430" t="str">
        <x:v>AM</x:v>
      </x:c>
      <x:c r="G2430" t="str">
        <x:v>C</x:v>
      </x:c>
      <x:c r="H2430" t="n">
        <x:v>25</x:v>
      </x:c>
      <x:c r="I2430" t="str">
        <x:v>ORD-2025-00162</x:v>
      </x:c>
      <x:c r="J2430" t="n">
        <x:v>3</x:v>
      </x:c>
      <x:c r="K2430" t="n">
        <x:v>2</x:v>
      </x:c>
      <x:c r="L2430" t="str">
        <x:v>L25-S03-C2</x:v>
      </x:c>
      <x:c r="M2430" t="n">
        <x:v>1</x:v>
      </x:c>
      <x:c r="N2430" t="str">
        <x:v>DerivedFromCount</x:v>
      </x:c>
      <x:c r="O2430" t="str">
        <x:v>PLC-PRD-JAR-330-L25</x:v>
      </x:c>
      <x:c r="P2430" t="str">
        <x:v>OK</x:v>
      </x:c>
      <x:c r="Q2430" t="str">
        <x:v>OK</x:v>
      </x:c>
      <x:c r="R2430" t="str">
        <x:v>OK</x:v>
      </x:c>
      <x:c r="S2430" t="str">
        <x:v>OK</x:v>
      </x:c>
      <x:c r="T2430" t="n">
        <x:v>24</x:v>
      </x:c>
      <x:c r="U2430" t="str">
        <x:v>OK</x:v>
      </x:c>
      <x:c r="V2430" t="str">
        <x:v>OK</x:v>
      </x:c>
      <x:c r="W2430" t="str">
        <x:v>LOAD</x:v>
      </x:c>
      <x:c r="X2430" t="str">
        <x:v>02_Supervisor_Log(4).xlsx</x:v>
      </x:c>
      <x:c r="Y2430" t="str">
        <x:v>ENH-20260830-01</x:v>
      </x:c>
      <x:c r="Z2430" t="str">
        <x:v>Active</x:v>
      </x:c>
      <x:c r="AA2430"/>
      <x:c r="AB2430"/>
      <x:c r="AC2430"/>
      <x:c r="AD2430"/>
    </x:row>
    <x:row r="2431">
      <x:c r="A2431" t="str">
        <x:v>PCC-PE-KG01-L25-20251023-AM-ORD-2025-00162-S03-C3</x:v>
      </x:c>
      <x:c r="B2431" t="str">
        <x:v>PC-PE-KG01-L25-20251023-AM-ORD-2025-00162-S03</x:v>
      </x:c>
      <x:c r="C2431" t="str">
        <x:v>PE-KG01-L25-20251023-AM-ORD-2025-00162</x:v>
      </x:c>
      <x:c r="D2431" t="str">
        <x:v>KG01</x:v>
      </x:c>
      <x:c r="E2431" s="62" t="n">
        <x:v>45953</x:v>
      </x:c>
      <x:c r="F2431" t="str">
        <x:v>AM</x:v>
      </x:c>
      <x:c r="G2431" t="str">
        <x:v>C</x:v>
      </x:c>
      <x:c r="H2431" t="n">
        <x:v>25</x:v>
      </x:c>
      <x:c r="I2431" t="str">
        <x:v>ORD-2025-00162</x:v>
      </x:c>
      <x:c r="J2431" t="n">
        <x:v>3</x:v>
      </x:c>
      <x:c r="K2431" t="n">
        <x:v>3</x:v>
      </x:c>
      <x:c r="L2431" t="str">
        <x:v>L25-S03-C3</x:v>
      </x:c>
      <x:c r="M2431" t="n">
        <x:v>1</x:v>
      </x:c>
      <x:c r="N2431" t="str">
        <x:v>DerivedFromCount</x:v>
      </x:c>
      <x:c r="O2431" t="str">
        <x:v>PLC-PRD-JAR-330-L25</x:v>
      </x:c>
      <x:c r="P2431" t="str">
        <x:v>OK</x:v>
      </x:c>
      <x:c r="Q2431" t="str">
        <x:v>OK</x:v>
      </x:c>
      <x:c r="R2431" t="str">
        <x:v>OK</x:v>
      </x:c>
      <x:c r="S2431" t="str">
        <x:v>OK</x:v>
      </x:c>
      <x:c r="T2431" t="n">
        <x:v>24</x:v>
      </x:c>
      <x:c r="U2431" t="str">
        <x:v>OK</x:v>
      </x:c>
      <x:c r="V2431" t="str">
        <x:v>OK</x:v>
      </x:c>
      <x:c r="W2431" t="str">
        <x:v>LOAD</x:v>
      </x:c>
      <x:c r="X2431" t="str">
        <x:v>02_Supervisor_Log(4).xlsx</x:v>
      </x:c>
      <x:c r="Y2431" t="str">
        <x:v>ENH-20260830-01</x:v>
      </x:c>
      <x:c r="Z2431" t="str">
        <x:v>Active</x:v>
      </x:c>
      <x:c r="AA2431"/>
      <x:c r="AB2431"/>
      <x:c r="AC2431"/>
      <x:c r="AD2431"/>
    </x:row>
    <x:row r="2432">
      <x:c r="A2432" t="str">
        <x:v>PCC-PE-KG01-L25-20251023-AM-ORD-2025-00162-S04-C1</x:v>
      </x:c>
      <x:c r="B2432" t="str">
        <x:v>PC-PE-KG01-L25-20251023-AM-ORD-2025-00162-S04</x:v>
      </x:c>
      <x:c r="C2432" t="str">
        <x:v>PE-KG01-L25-20251023-AM-ORD-2025-00162</x:v>
      </x:c>
      <x:c r="D2432" t="str">
        <x:v>KG01</x:v>
      </x:c>
      <x:c r="E2432" s="62" t="n">
        <x:v>45953</x:v>
      </x:c>
      <x:c r="F2432" t="str">
        <x:v>AM</x:v>
      </x:c>
      <x:c r="G2432" t="str">
        <x:v>C</x:v>
      </x:c>
      <x:c r="H2432" t="n">
        <x:v>25</x:v>
      </x:c>
      <x:c r="I2432" t="str">
        <x:v>ORD-2025-00162</x:v>
      </x:c>
      <x:c r="J2432" t="n">
        <x:v>4</x:v>
      </x:c>
      <x:c r="K2432" t="n">
        <x:v>1</x:v>
      </x:c>
      <x:c r="L2432" t="str">
        <x:v>L25-S04-C1</x:v>
      </x:c>
      <x:c r="M2432" t="n">
        <x:v>1</x:v>
      </x:c>
      <x:c r="N2432" t="str">
        <x:v>DerivedFromCount</x:v>
      </x:c>
      <x:c r="O2432" t="str">
        <x:v>PLC-PRD-JAR-330-L25</x:v>
      </x:c>
      <x:c r="P2432" t="str">
        <x:v>OK</x:v>
      </x:c>
      <x:c r="Q2432" t="str">
        <x:v>OK</x:v>
      </x:c>
      <x:c r="R2432" t="str">
        <x:v>OK</x:v>
      </x:c>
      <x:c r="S2432" t="str">
        <x:v>OK</x:v>
      </x:c>
      <x:c r="T2432" t="n">
        <x:v>24</x:v>
      </x:c>
      <x:c r="U2432" t="str">
        <x:v>OK</x:v>
      </x:c>
      <x:c r="V2432" t="str">
        <x:v>OK</x:v>
      </x:c>
      <x:c r="W2432" t="str">
        <x:v>LOAD</x:v>
      </x:c>
      <x:c r="X2432" t="str">
        <x:v>02_Supervisor_Log(4).xlsx</x:v>
      </x:c>
      <x:c r="Y2432" t="str">
        <x:v>ENH-20260830-01</x:v>
      </x:c>
      <x:c r="Z2432" t="str">
        <x:v>Active</x:v>
      </x:c>
      <x:c r="AA2432"/>
      <x:c r="AB2432"/>
      <x:c r="AC2432"/>
      <x:c r="AD2432"/>
    </x:row>
    <x:row r="2433">
      <x:c r="A2433" t="str">
        <x:v>PCC-PE-KG01-L25-20251023-AM-ORD-2025-00162-S04-C2</x:v>
      </x:c>
      <x:c r="B2433" t="str">
        <x:v>PC-PE-KG01-L25-20251023-AM-ORD-2025-00162-S04</x:v>
      </x:c>
      <x:c r="C2433" t="str">
        <x:v>PE-KG01-L25-20251023-AM-ORD-2025-00162</x:v>
      </x:c>
      <x:c r="D2433" t="str">
        <x:v>KG01</x:v>
      </x:c>
      <x:c r="E2433" s="62" t="n">
        <x:v>45953</x:v>
      </x:c>
      <x:c r="F2433" t="str">
        <x:v>AM</x:v>
      </x:c>
      <x:c r="G2433" t="str">
        <x:v>C</x:v>
      </x:c>
      <x:c r="H2433" t="n">
        <x:v>25</x:v>
      </x:c>
      <x:c r="I2433" t="str">
        <x:v>ORD-2025-00162</x:v>
      </x:c>
      <x:c r="J2433" t="n">
        <x:v>4</x:v>
      </x:c>
      <x:c r="K2433" t="n">
        <x:v>2</x:v>
      </x:c>
      <x:c r="L2433" t="str">
        <x:v>L25-S04-C2</x:v>
      </x:c>
      <x:c r="M2433" t="n">
        <x:v>1</x:v>
      </x:c>
      <x:c r="N2433" t="str">
        <x:v>DerivedFromCount</x:v>
      </x:c>
      <x:c r="O2433" t="str">
        <x:v>PLC-PRD-JAR-330-L25</x:v>
      </x:c>
      <x:c r="P2433" t="str">
        <x:v>OK</x:v>
      </x:c>
      <x:c r="Q2433" t="str">
        <x:v>OK</x:v>
      </x:c>
      <x:c r="R2433" t="str">
        <x:v>OK</x:v>
      </x:c>
      <x:c r="S2433" t="str">
        <x:v>OK</x:v>
      </x:c>
      <x:c r="T2433" t="n">
        <x:v>24</x:v>
      </x:c>
      <x:c r="U2433" t="str">
        <x:v>OK</x:v>
      </x:c>
      <x:c r="V2433" t="str">
        <x:v>OK</x:v>
      </x:c>
      <x:c r="W2433" t="str">
        <x:v>LOAD</x:v>
      </x:c>
      <x:c r="X2433" t="str">
        <x:v>02_Supervisor_Log(4).xlsx</x:v>
      </x:c>
      <x:c r="Y2433" t="str">
        <x:v>ENH-20260830-01</x:v>
      </x:c>
      <x:c r="Z2433" t="str">
        <x:v>Active</x:v>
      </x:c>
      <x:c r="AA2433"/>
      <x:c r="AB2433"/>
      <x:c r="AC2433"/>
      <x:c r="AD2433"/>
    </x:row>
    <x:row r="2434">
      <x:c r="A2434" t="str">
        <x:v>PCC-PE-KG01-L25-20251023-AM-ORD-2025-00162-S04-C3</x:v>
      </x:c>
      <x:c r="B2434" t="str">
        <x:v>PC-PE-KG01-L25-20251023-AM-ORD-2025-00162-S04</x:v>
      </x:c>
      <x:c r="C2434" t="str">
        <x:v>PE-KG01-L25-20251023-AM-ORD-2025-00162</x:v>
      </x:c>
      <x:c r="D2434" t="str">
        <x:v>KG01</x:v>
      </x:c>
      <x:c r="E2434" s="62" t="n">
        <x:v>45953</x:v>
      </x:c>
      <x:c r="F2434" t="str">
        <x:v>AM</x:v>
      </x:c>
      <x:c r="G2434" t="str">
        <x:v>C</x:v>
      </x:c>
      <x:c r="H2434" t="n">
        <x:v>25</x:v>
      </x:c>
      <x:c r="I2434" t="str">
        <x:v>ORD-2025-00162</x:v>
      </x:c>
      <x:c r="J2434" t="n">
        <x:v>4</x:v>
      </x:c>
      <x:c r="K2434" t="n">
        <x:v>3</x:v>
      </x:c>
      <x:c r="L2434" t="str">
        <x:v>L25-S04-C3</x:v>
      </x:c>
      <x:c r="M2434" t="n">
        <x:v>1</x:v>
      </x:c>
      <x:c r="N2434" t="str">
        <x:v>DerivedFromCount</x:v>
      </x:c>
      <x:c r="O2434" t="str">
        <x:v>PLC-PRD-JAR-330-L25</x:v>
      </x:c>
      <x:c r="P2434" t="str">
        <x:v>OK</x:v>
      </x:c>
      <x:c r="Q2434" t="str">
        <x:v>OK</x:v>
      </x:c>
      <x:c r="R2434" t="str">
        <x:v>OK</x:v>
      </x:c>
      <x:c r="S2434" t="str">
        <x:v>OK</x:v>
      </x:c>
      <x:c r="T2434" t="n">
        <x:v>24</x:v>
      </x:c>
      <x:c r="U2434" t="str">
        <x:v>OK</x:v>
      </x:c>
      <x:c r="V2434" t="str">
        <x:v>OK</x:v>
      </x:c>
      <x:c r="W2434" t="str">
        <x:v>LOAD</x:v>
      </x:c>
      <x:c r="X2434" t="str">
        <x:v>02_Supervisor_Log(4).xlsx</x:v>
      </x:c>
      <x:c r="Y2434" t="str">
        <x:v>ENH-20260830-01</x:v>
      </x:c>
      <x:c r="Z2434" t="str">
        <x:v>Active</x:v>
      </x:c>
      <x:c r="AA2434"/>
      <x:c r="AB2434"/>
      <x:c r="AC2434"/>
      <x:c r="AD2434"/>
    </x:row>
    <x:row r="2435">
      <x:c r="A2435" t="str">
        <x:v>PCC-PE-KG01-L25-20251023-AM-ORD-2025-00162-S05-C1</x:v>
      </x:c>
      <x:c r="B2435" t="str">
        <x:v>PC-PE-KG01-L25-20251023-AM-ORD-2025-00162-S05</x:v>
      </x:c>
      <x:c r="C2435" t="str">
        <x:v>PE-KG01-L25-20251023-AM-ORD-2025-00162</x:v>
      </x:c>
      <x:c r="D2435" t="str">
        <x:v>KG01</x:v>
      </x:c>
      <x:c r="E2435" s="62" t="n">
        <x:v>45953</x:v>
      </x:c>
      <x:c r="F2435" t="str">
        <x:v>AM</x:v>
      </x:c>
      <x:c r="G2435" t="str">
        <x:v>C</x:v>
      </x:c>
      <x:c r="H2435" t="n">
        <x:v>25</x:v>
      </x:c>
      <x:c r="I2435" t="str">
        <x:v>ORD-2025-00162</x:v>
      </x:c>
      <x:c r="J2435" t="n">
        <x:v>5</x:v>
      </x:c>
      <x:c r="K2435" t="n">
        <x:v>1</x:v>
      </x:c>
      <x:c r="L2435" t="str">
        <x:v>L25-S05-C1</x:v>
      </x:c>
      <x:c r="M2435" t="n">
        <x:v>1</x:v>
      </x:c>
      <x:c r="N2435" t="str">
        <x:v>DerivedFromCount</x:v>
      </x:c>
      <x:c r="O2435" t="str">
        <x:v>PLC-PRD-JAR-330-L25</x:v>
      </x:c>
      <x:c r="P2435" t="str">
        <x:v>OK</x:v>
      </x:c>
      <x:c r="Q2435" t="str">
        <x:v>OK</x:v>
      </x:c>
      <x:c r="R2435" t="str">
        <x:v>OK</x:v>
      </x:c>
      <x:c r="S2435" t="str">
        <x:v>OK</x:v>
      </x:c>
      <x:c r="T2435" t="n">
        <x:v>24</x:v>
      </x:c>
      <x:c r="U2435" t="str">
        <x:v>OK</x:v>
      </x:c>
      <x:c r="V2435" t="str">
        <x:v>OK</x:v>
      </x:c>
      <x:c r="W2435" t="str">
        <x:v>LOAD</x:v>
      </x:c>
      <x:c r="X2435" t="str">
        <x:v>02_Supervisor_Log(4).xlsx</x:v>
      </x:c>
      <x:c r="Y2435" t="str">
        <x:v>ENH-20260830-01</x:v>
      </x:c>
      <x:c r="Z2435" t="str">
        <x:v>Active</x:v>
      </x:c>
      <x:c r="AA2435"/>
      <x:c r="AB2435"/>
      <x:c r="AC2435"/>
      <x:c r="AD2435"/>
    </x:row>
    <x:row r="2436">
      <x:c r="A2436" t="str">
        <x:v>PCC-PE-KG01-L25-20251023-AM-ORD-2025-00162-S05-C2</x:v>
      </x:c>
      <x:c r="B2436" t="str">
        <x:v>PC-PE-KG01-L25-20251023-AM-ORD-2025-00162-S05</x:v>
      </x:c>
      <x:c r="C2436" t="str">
        <x:v>PE-KG01-L25-20251023-AM-ORD-2025-00162</x:v>
      </x:c>
      <x:c r="D2436" t="str">
        <x:v>KG01</x:v>
      </x:c>
      <x:c r="E2436" s="62" t="n">
        <x:v>45953</x:v>
      </x:c>
      <x:c r="F2436" t="str">
        <x:v>AM</x:v>
      </x:c>
      <x:c r="G2436" t="str">
        <x:v>C</x:v>
      </x:c>
      <x:c r="H2436" t="n">
        <x:v>25</x:v>
      </x:c>
      <x:c r="I2436" t="str">
        <x:v>ORD-2025-00162</x:v>
      </x:c>
      <x:c r="J2436" t="n">
        <x:v>5</x:v>
      </x:c>
      <x:c r="K2436" t="n">
        <x:v>2</x:v>
      </x:c>
      <x:c r="L2436" t="str">
        <x:v>L25-S05-C2</x:v>
      </x:c>
      <x:c r="M2436" t="n">
        <x:v>1</x:v>
      </x:c>
      <x:c r="N2436" t="str">
        <x:v>DerivedFromCount</x:v>
      </x:c>
      <x:c r="O2436" t="str">
        <x:v>PLC-PRD-JAR-330-L25</x:v>
      </x:c>
      <x:c r="P2436" t="str">
        <x:v>OK</x:v>
      </x:c>
      <x:c r="Q2436" t="str">
        <x:v>OK</x:v>
      </x:c>
      <x:c r="R2436" t="str">
        <x:v>OK</x:v>
      </x:c>
      <x:c r="S2436" t="str">
        <x:v>OK</x:v>
      </x:c>
      <x:c r="T2436" t="n">
        <x:v>24</x:v>
      </x:c>
      <x:c r="U2436" t="str">
        <x:v>OK</x:v>
      </x:c>
      <x:c r="V2436" t="str">
        <x:v>OK</x:v>
      </x:c>
      <x:c r="W2436" t="str">
        <x:v>LOAD</x:v>
      </x:c>
      <x:c r="X2436" t="str">
        <x:v>02_Supervisor_Log(4).xlsx</x:v>
      </x:c>
      <x:c r="Y2436" t="str">
        <x:v>ENH-20260830-01</x:v>
      </x:c>
      <x:c r="Z2436" t="str">
        <x:v>Active</x:v>
      </x:c>
      <x:c r="AA2436"/>
      <x:c r="AB2436"/>
      <x:c r="AC2436"/>
      <x:c r="AD2436"/>
    </x:row>
    <x:row r="2437">
      <x:c r="A2437" t="str">
        <x:v>PCC-PE-KG01-L25-20251023-AM-ORD-2025-00162-S05-C3</x:v>
      </x:c>
      <x:c r="B2437" t="str">
        <x:v>PC-PE-KG01-L25-20251023-AM-ORD-2025-00162-S05</x:v>
      </x:c>
      <x:c r="C2437" t="str">
        <x:v>PE-KG01-L25-20251023-AM-ORD-2025-00162</x:v>
      </x:c>
      <x:c r="D2437" t="str">
        <x:v>KG01</x:v>
      </x:c>
      <x:c r="E2437" s="62" t="n">
        <x:v>45953</x:v>
      </x:c>
      <x:c r="F2437" t="str">
        <x:v>AM</x:v>
      </x:c>
      <x:c r="G2437" t="str">
        <x:v>C</x:v>
      </x:c>
      <x:c r="H2437" t="n">
        <x:v>25</x:v>
      </x:c>
      <x:c r="I2437" t="str">
        <x:v>ORD-2025-00162</x:v>
      </x:c>
      <x:c r="J2437" t="n">
        <x:v>5</x:v>
      </x:c>
      <x:c r="K2437" t="n">
        <x:v>3</x:v>
      </x:c>
      <x:c r="L2437" t="str">
        <x:v>L25-S05-C3</x:v>
      </x:c>
      <x:c r="M2437" t="n">
        <x:v>1</x:v>
      </x:c>
      <x:c r="N2437" t="str">
        <x:v>DerivedFromCount</x:v>
      </x:c>
      <x:c r="O2437" t="str">
        <x:v>PLC-PRD-JAR-330-L25</x:v>
      </x:c>
      <x:c r="P2437" t="str">
        <x:v>OK</x:v>
      </x:c>
      <x:c r="Q2437" t="str">
        <x:v>OK</x:v>
      </x:c>
      <x:c r="R2437" t="str">
        <x:v>OK</x:v>
      </x:c>
      <x:c r="S2437" t="str">
        <x:v>OK</x:v>
      </x:c>
      <x:c r="T2437" t="n">
        <x:v>24</x:v>
      </x:c>
      <x:c r="U2437" t="str">
        <x:v>OK</x:v>
      </x:c>
      <x:c r="V2437" t="str">
        <x:v>OK</x:v>
      </x:c>
      <x:c r="W2437" t="str">
        <x:v>LOAD</x:v>
      </x:c>
      <x:c r="X2437" t="str">
        <x:v>02_Supervisor_Log(4).xlsx</x:v>
      </x:c>
      <x:c r="Y2437" t="str">
        <x:v>ENH-20260830-01</x:v>
      </x:c>
      <x:c r="Z2437" t="str">
        <x:v>Active</x:v>
      </x:c>
      <x:c r="AA2437"/>
      <x:c r="AB2437"/>
      <x:c r="AC2437"/>
      <x:c r="AD2437"/>
    </x:row>
    <x:row r="2438">
      <x:c r="A2438" t="str">
        <x:v>PCC-PE-KG01-L25-20251023-AM-ORD-2025-00162-S06-C1</x:v>
      </x:c>
      <x:c r="B2438" t="str">
        <x:v>PC-PE-KG01-L25-20251023-AM-ORD-2025-00162-S06</x:v>
      </x:c>
      <x:c r="C2438" t="str">
        <x:v>PE-KG01-L25-20251023-AM-ORD-2025-00162</x:v>
      </x:c>
      <x:c r="D2438" t="str">
        <x:v>KG01</x:v>
      </x:c>
      <x:c r="E2438" s="62" t="n">
        <x:v>45953</x:v>
      </x:c>
      <x:c r="F2438" t="str">
        <x:v>AM</x:v>
      </x:c>
      <x:c r="G2438" t="str">
        <x:v>C</x:v>
      </x:c>
      <x:c r="H2438" t="n">
        <x:v>25</x:v>
      </x:c>
      <x:c r="I2438" t="str">
        <x:v>ORD-2025-00162</x:v>
      </x:c>
      <x:c r="J2438" t="n">
        <x:v>6</x:v>
      </x:c>
      <x:c r="K2438" t="n">
        <x:v>1</x:v>
      </x:c>
      <x:c r="L2438" t="str">
        <x:v>L25-S06-C1</x:v>
      </x:c>
      <x:c r="M2438" t="n">
        <x:v>1</x:v>
      </x:c>
      <x:c r="N2438" t="str">
        <x:v>DerivedFromCount</x:v>
      </x:c>
      <x:c r="O2438" t="str">
        <x:v>PLC-PRD-JAR-330-L25</x:v>
      </x:c>
      <x:c r="P2438" t="str">
        <x:v>OK</x:v>
      </x:c>
      <x:c r="Q2438" t="str">
        <x:v>OK</x:v>
      </x:c>
      <x:c r="R2438" t="str">
        <x:v>OK</x:v>
      </x:c>
      <x:c r="S2438" t="str">
        <x:v>OK</x:v>
      </x:c>
      <x:c r="T2438" t="n">
        <x:v>24</x:v>
      </x:c>
      <x:c r="U2438" t="str">
        <x:v>OK</x:v>
      </x:c>
      <x:c r="V2438" t="str">
        <x:v>OK</x:v>
      </x:c>
      <x:c r="W2438" t="str">
        <x:v>LOAD</x:v>
      </x:c>
      <x:c r="X2438" t="str">
        <x:v>02_Supervisor_Log(4).xlsx</x:v>
      </x:c>
      <x:c r="Y2438" t="str">
        <x:v>ENH-20260830-01</x:v>
      </x:c>
      <x:c r="Z2438" t="str">
        <x:v>Active</x:v>
      </x:c>
      <x:c r="AA2438"/>
      <x:c r="AB2438"/>
      <x:c r="AC2438"/>
      <x:c r="AD2438"/>
    </x:row>
    <x:row r="2439">
      <x:c r="A2439" t="str">
        <x:v>PCC-PE-KG01-L25-20251023-AM-ORD-2025-00162-S06-C2</x:v>
      </x:c>
      <x:c r="B2439" t="str">
        <x:v>PC-PE-KG01-L25-20251023-AM-ORD-2025-00162-S06</x:v>
      </x:c>
      <x:c r="C2439" t="str">
        <x:v>PE-KG01-L25-20251023-AM-ORD-2025-00162</x:v>
      </x:c>
      <x:c r="D2439" t="str">
        <x:v>KG01</x:v>
      </x:c>
      <x:c r="E2439" s="62" t="n">
        <x:v>45953</x:v>
      </x:c>
      <x:c r="F2439" t="str">
        <x:v>AM</x:v>
      </x:c>
      <x:c r="G2439" t="str">
        <x:v>C</x:v>
      </x:c>
      <x:c r="H2439" t="n">
        <x:v>25</x:v>
      </x:c>
      <x:c r="I2439" t="str">
        <x:v>ORD-2025-00162</x:v>
      </x:c>
      <x:c r="J2439" t="n">
        <x:v>6</x:v>
      </x:c>
      <x:c r="K2439" t="n">
        <x:v>2</x:v>
      </x:c>
      <x:c r="L2439" t="str">
        <x:v>L25-S06-C2</x:v>
      </x:c>
      <x:c r="M2439" t="n">
        <x:v>1</x:v>
      </x:c>
      <x:c r="N2439" t="str">
        <x:v>DerivedFromCount</x:v>
      </x:c>
      <x:c r="O2439" t="str">
        <x:v>PLC-PRD-JAR-330-L25</x:v>
      </x:c>
      <x:c r="P2439" t="str">
        <x:v>OK</x:v>
      </x:c>
      <x:c r="Q2439" t="str">
        <x:v>OK</x:v>
      </x:c>
      <x:c r="R2439" t="str">
        <x:v>OK</x:v>
      </x:c>
      <x:c r="S2439" t="str">
        <x:v>OK</x:v>
      </x:c>
      <x:c r="T2439" t="n">
        <x:v>24</x:v>
      </x:c>
      <x:c r="U2439" t="str">
        <x:v>OK</x:v>
      </x:c>
      <x:c r="V2439" t="str">
        <x:v>OK</x:v>
      </x:c>
      <x:c r="W2439" t="str">
        <x:v>LOAD</x:v>
      </x:c>
      <x:c r="X2439" t="str">
        <x:v>02_Supervisor_Log(4).xlsx</x:v>
      </x:c>
      <x:c r="Y2439" t="str">
        <x:v>ENH-20260830-01</x:v>
      </x:c>
      <x:c r="Z2439" t="str">
        <x:v>Active</x:v>
      </x:c>
      <x:c r="AA2439"/>
      <x:c r="AB2439"/>
      <x:c r="AC2439"/>
      <x:c r="AD2439"/>
    </x:row>
    <x:row r="2440">
      <x:c r="A2440" t="str">
        <x:v>PCC-PE-KG01-L25-20251023-AM-ORD-2025-00162-S06-C3</x:v>
      </x:c>
      <x:c r="B2440" t="str">
        <x:v>PC-PE-KG01-L25-20251023-AM-ORD-2025-00162-S06</x:v>
      </x:c>
      <x:c r="C2440" t="str">
        <x:v>PE-KG01-L25-20251023-AM-ORD-2025-00162</x:v>
      </x:c>
      <x:c r="D2440" t="str">
        <x:v>KG01</x:v>
      </x:c>
      <x:c r="E2440" s="62" t="n">
        <x:v>45953</x:v>
      </x:c>
      <x:c r="F2440" t="str">
        <x:v>AM</x:v>
      </x:c>
      <x:c r="G2440" t="str">
        <x:v>C</x:v>
      </x:c>
      <x:c r="H2440" t="n">
        <x:v>25</x:v>
      </x:c>
      <x:c r="I2440" t="str">
        <x:v>ORD-2025-00162</x:v>
      </x:c>
      <x:c r="J2440" t="n">
        <x:v>6</x:v>
      </x:c>
      <x:c r="K2440" t="n">
        <x:v>3</x:v>
      </x:c>
      <x:c r="L2440" t="str">
        <x:v>L25-S06-C3</x:v>
      </x:c>
      <x:c r="M2440" t="n">
        <x:v>1</x:v>
      </x:c>
      <x:c r="N2440" t="str">
        <x:v>DerivedFromCount</x:v>
      </x:c>
      <x:c r="O2440" t="str">
        <x:v>PLC-PRD-JAR-330-L25</x:v>
      </x:c>
      <x:c r="P2440" t="str">
        <x:v>OK</x:v>
      </x:c>
      <x:c r="Q2440" t="str">
        <x:v>OK</x:v>
      </x:c>
      <x:c r="R2440" t="str">
        <x:v>OK</x:v>
      </x:c>
      <x:c r="S2440" t="str">
        <x:v>OK</x:v>
      </x:c>
      <x:c r="T2440" t="n">
        <x:v>24</x:v>
      </x:c>
      <x:c r="U2440" t="str">
        <x:v>OK</x:v>
      </x:c>
      <x:c r="V2440" t="str">
        <x:v>OK</x:v>
      </x:c>
      <x:c r="W2440" t="str">
        <x:v>LOAD</x:v>
      </x:c>
      <x:c r="X2440" t="str">
        <x:v>02_Supervisor_Log(4).xlsx</x:v>
      </x:c>
      <x:c r="Y2440" t="str">
        <x:v>ENH-20260830-01</x:v>
      </x:c>
      <x:c r="Z2440" t="str">
        <x:v>Active</x:v>
      </x:c>
      <x:c r="AA2440"/>
      <x:c r="AB2440"/>
      <x:c r="AC2440"/>
      <x:c r="AD2440"/>
    </x:row>
    <x:row r="2441">
      <x:c r="A2441" t="str">
        <x:v>PCC-PE-KG01-L25-20251023-AM-ORD-2025-00162-S07-C1</x:v>
      </x:c>
      <x:c r="B2441" t="str">
        <x:v>PC-PE-KG01-L25-20251023-AM-ORD-2025-00162-S07</x:v>
      </x:c>
      <x:c r="C2441" t="str">
        <x:v>PE-KG01-L25-20251023-AM-ORD-2025-00162</x:v>
      </x:c>
      <x:c r="D2441" t="str">
        <x:v>KG01</x:v>
      </x:c>
      <x:c r="E2441" s="62" t="n">
        <x:v>45953</x:v>
      </x:c>
      <x:c r="F2441" t="str">
        <x:v>AM</x:v>
      </x:c>
      <x:c r="G2441" t="str">
        <x:v>C</x:v>
      </x:c>
      <x:c r="H2441" t="n">
        <x:v>25</x:v>
      </x:c>
      <x:c r="I2441" t="str">
        <x:v>ORD-2025-00162</x:v>
      </x:c>
      <x:c r="J2441" t="n">
        <x:v>7</x:v>
      </x:c>
      <x:c r="K2441" t="n">
        <x:v>1</x:v>
      </x:c>
      <x:c r="L2441" t="str">
        <x:v>L25-S07-C1</x:v>
      </x:c>
      <x:c r="M2441" t="n">
        <x:v>1</x:v>
      </x:c>
      <x:c r="N2441" t="str">
        <x:v>DerivedFromCount</x:v>
      </x:c>
      <x:c r="O2441" t="str">
        <x:v>PLC-PRD-JAR-330-L25</x:v>
      </x:c>
      <x:c r="P2441" t="str">
        <x:v>OK</x:v>
      </x:c>
      <x:c r="Q2441" t="str">
        <x:v>OK</x:v>
      </x:c>
      <x:c r="R2441" t="str">
        <x:v>OK</x:v>
      </x:c>
      <x:c r="S2441" t="str">
        <x:v>OK</x:v>
      </x:c>
      <x:c r="T2441" t="n">
        <x:v>24</x:v>
      </x:c>
      <x:c r="U2441" t="str">
        <x:v>OK</x:v>
      </x:c>
      <x:c r="V2441" t="str">
        <x:v>OK</x:v>
      </x:c>
      <x:c r="W2441" t="str">
        <x:v>LOAD</x:v>
      </x:c>
      <x:c r="X2441" t="str">
        <x:v>02_Supervisor_Log(4).xlsx</x:v>
      </x:c>
      <x:c r="Y2441" t="str">
        <x:v>ENH-20260830-01</x:v>
      </x:c>
      <x:c r="Z2441" t="str">
        <x:v>Active</x:v>
      </x:c>
      <x:c r="AA2441"/>
      <x:c r="AB2441"/>
      <x:c r="AC2441"/>
      <x:c r="AD2441"/>
    </x:row>
    <x:row r="2442">
      <x:c r="A2442" t="str">
        <x:v>PCC-PE-KG01-L25-20251023-AM-ORD-2025-00162-S07-C2</x:v>
      </x:c>
      <x:c r="B2442" t="str">
        <x:v>PC-PE-KG01-L25-20251023-AM-ORD-2025-00162-S07</x:v>
      </x:c>
      <x:c r="C2442" t="str">
        <x:v>PE-KG01-L25-20251023-AM-ORD-2025-00162</x:v>
      </x:c>
      <x:c r="D2442" t="str">
        <x:v>KG01</x:v>
      </x:c>
      <x:c r="E2442" s="62" t="n">
        <x:v>45953</x:v>
      </x:c>
      <x:c r="F2442" t="str">
        <x:v>AM</x:v>
      </x:c>
      <x:c r="G2442" t="str">
        <x:v>C</x:v>
      </x:c>
      <x:c r="H2442" t="n">
        <x:v>25</x:v>
      </x:c>
      <x:c r="I2442" t="str">
        <x:v>ORD-2025-00162</x:v>
      </x:c>
      <x:c r="J2442" t="n">
        <x:v>7</x:v>
      </x:c>
      <x:c r="K2442" t="n">
        <x:v>2</x:v>
      </x:c>
      <x:c r="L2442" t="str">
        <x:v>L25-S07-C2</x:v>
      </x:c>
      <x:c r="M2442" t="n">
        <x:v>1</x:v>
      </x:c>
      <x:c r="N2442" t="str">
        <x:v>DerivedFromCount</x:v>
      </x:c>
      <x:c r="O2442" t="str">
        <x:v>PLC-PRD-JAR-330-L25</x:v>
      </x:c>
      <x:c r="P2442" t="str">
        <x:v>OK</x:v>
      </x:c>
      <x:c r="Q2442" t="str">
        <x:v>OK</x:v>
      </x:c>
      <x:c r="R2442" t="str">
        <x:v>OK</x:v>
      </x:c>
      <x:c r="S2442" t="str">
        <x:v>OK</x:v>
      </x:c>
      <x:c r="T2442" t="n">
        <x:v>24</x:v>
      </x:c>
      <x:c r="U2442" t="str">
        <x:v>OK</x:v>
      </x:c>
      <x:c r="V2442" t="str">
        <x:v>OK</x:v>
      </x:c>
      <x:c r="W2442" t="str">
        <x:v>LOAD</x:v>
      </x:c>
      <x:c r="X2442" t="str">
        <x:v>02_Supervisor_Log(4).xlsx</x:v>
      </x:c>
      <x:c r="Y2442" t="str">
        <x:v>ENH-20260830-01</x:v>
      </x:c>
      <x:c r="Z2442" t="str">
        <x:v>Active</x:v>
      </x:c>
      <x:c r="AA2442"/>
      <x:c r="AB2442"/>
      <x:c r="AC2442"/>
      <x:c r="AD2442"/>
    </x:row>
    <x:row r="2443">
      <x:c r="A2443" t="str">
        <x:v>PCC-PE-KG01-L25-20251023-AM-ORD-2025-00162-S07-C3</x:v>
      </x:c>
      <x:c r="B2443" t="str">
        <x:v>PC-PE-KG01-L25-20251023-AM-ORD-2025-00162-S07</x:v>
      </x:c>
      <x:c r="C2443" t="str">
        <x:v>PE-KG01-L25-20251023-AM-ORD-2025-00162</x:v>
      </x:c>
      <x:c r="D2443" t="str">
        <x:v>KG01</x:v>
      </x:c>
      <x:c r="E2443" s="62" t="n">
        <x:v>45953</x:v>
      </x:c>
      <x:c r="F2443" t="str">
        <x:v>AM</x:v>
      </x:c>
      <x:c r="G2443" t="str">
        <x:v>C</x:v>
      </x:c>
      <x:c r="H2443" t="n">
        <x:v>25</x:v>
      </x:c>
      <x:c r="I2443" t="str">
        <x:v>ORD-2025-00162</x:v>
      </x:c>
      <x:c r="J2443" t="n">
        <x:v>7</x:v>
      </x:c>
      <x:c r="K2443" t="n">
        <x:v>3</x:v>
      </x:c>
      <x:c r="L2443" t="str">
        <x:v>L25-S07-C3</x:v>
      </x:c>
      <x:c r="M2443" t="n">
        <x:v>1</x:v>
      </x:c>
      <x:c r="N2443" t="str">
        <x:v>DerivedFromCount</x:v>
      </x:c>
      <x:c r="O2443" t="str">
        <x:v>PLC-PRD-JAR-330-L25</x:v>
      </x:c>
      <x:c r="P2443" t="str">
        <x:v>OK</x:v>
      </x:c>
      <x:c r="Q2443" t="str">
        <x:v>OK</x:v>
      </x:c>
      <x:c r="R2443" t="str">
        <x:v>OK</x:v>
      </x:c>
      <x:c r="S2443" t="str">
        <x:v>OK</x:v>
      </x:c>
      <x:c r="T2443" t="n">
        <x:v>24</x:v>
      </x:c>
      <x:c r="U2443" t="str">
        <x:v>OK</x:v>
      </x:c>
      <x:c r="V2443" t="str">
        <x:v>OK</x:v>
      </x:c>
      <x:c r="W2443" t="str">
        <x:v>LOAD</x:v>
      </x:c>
      <x:c r="X2443" t="str">
        <x:v>02_Supervisor_Log(4).xlsx</x:v>
      </x:c>
      <x:c r="Y2443" t="str">
        <x:v>ENH-20260830-01</x:v>
      </x:c>
      <x:c r="Z2443" t="str">
        <x:v>Active</x:v>
      </x:c>
      <x:c r="AA2443"/>
      <x:c r="AB2443"/>
      <x:c r="AC2443"/>
      <x:c r="AD2443"/>
    </x:row>
    <x:row r="2444">
      <x:c r="A2444" t="str">
        <x:v>PCC-PE-KG01-L25-20251023-AM-ORD-2025-00162-S08-C1</x:v>
      </x:c>
      <x:c r="B2444" t="str">
        <x:v>PC-PE-KG01-L25-20251023-AM-ORD-2025-00162-S08</x:v>
      </x:c>
      <x:c r="C2444" t="str">
        <x:v>PE-KG01-L25-20251023-AM-ORD-2025-00162</x:v>
      </x:c>
      <x:c r="D2444" t="str">
        <x:v>KG01</x:v>
      </x:c>
      <x:c r="E2444" s="62" t="n">
        <x:v>45953</x:v>
      </x:c>
      <x:c r="F2444" t="str">
        <x:v>AM</x:v>
      </x:c>
      <x:c r="G2444" t="str">
        <x:v>C</x:v>
      </x:c>
      <x:c r="H2444" t="n">
        <x:v>25</x:v>
      </x:c>
      <x:c r="I2444" t="str">
        <x:v>ORD-2025-00162</x:v>
      </x:c>
      <x:c r="J2444" t="n">
        <x:v>8</x:v>
      </x:c>
      <x:c r="K2444" t="n">
        <x:v>1</x:v>
      </x:c>
      <x:c r="L2444" t="str">
        <x:v>L25-S08-C1</x:v>
      </x:c>
      <x:c r="M2444" t="n">
        <x:v>1</x:v>
      </x:c>
      <x:c r="N2444" t="str">
        <x:v>DerivedFromCount</x:v>
      </x:c>
      <x:c r="O2444" t="str">
        <x:v>PLC-PRD-JAR-330-L25</x:v>
      </x:c>
      <x:c r="P2444" t="str">
        <x:v>OK</x:v>
      </x:c>
      <x:c r="Q2444" t="str">
        <x:v>OK</x:v>
      </x:c>
      <x:c r="R2444" t="str">
        <x:v>OK</x:v>
      </x:c>
      <x:c r="S2444" t="str">
        <x:v>OK</x:v>
      </x:c>
      <x:c r="T2444" t="n">
        <x:v>24</x:v>
      </x:c>
      <x:c r="U2444" t="str">
        <x:v>OK</x:v>
      </x:c>
      <x:c r="V2444" t="str">
        <x:v>OK</x:v>
      </x:c>
      <x:c r="W2444" t="str">
        <x:v>LOAD</x:v>
      </x:c>
      <x:c r="X2444" t="str">
        <x:v>02_Supervisor_Log(4).xlsx</x:v>
      </x:c>
      <x:c r="Y2444" t="str">
        <x:v>ENH-20260830-01</x:v>
      </x:c>
      <x:c r="Z2444" t="str">
        <x:v>Active</x:v>
      </x:c>
      <x:c r="AA2444"/>
      <x:c r="AB2444"/>
      <x:c r="AC2444"/>
      <x:c r="AD2444"/>
    </x:row>
    <x:row r="2445">
      <x:c r="A2445" t="str">
        <x:v>PCC-PE-KG01-L25-20251023-AM-ORD-2025-00162-S08-C2</x:v>
      </x:c>
      <x:c r="B2445" t="str">
        <x:v>PC-PE-KG01-L25-20251023-AM-ORD-2025-00162-S08</x:v>
      </x:c>
      <x:c r="C2445" t="str">
        <x:v>PE-KG01-L25-20251023-AM-ORD-2025-00162</x:v>
      </x:c>
      <x:c r="D2445" t="str">
        <x:v>KG01</x:v>
      </x:c>
      <x:c r="E2445" s="62" t="n">
        <x:v>45953</x:v>
      </x:c>
      <x:c r="F2445" t="str">
        <x:v>AM</x:v>
      </x:c>
      <x:c r="G2445" t="str">
        <x:v>C</x:v>
      </x:c>
      <x:c r="H2445" t="n">
        <x:v>25</x:v>
      </x:c>
      <x:c r="I2445" t="str">
        <x:v>ORD-2025-00162</x:v>
      </x:c>
      <x:c r="J2445" t="n">
        <x:v>8</x:v>
      </x:c>
      <x:c r="K2445" t="n">
        <x:v>2</x:v>
      </x:c>
      <x:c r="L2445" t="str">
        <x:v>L25-S08-C2</x:v>
      </x:c>
      <x:c r="M2445" t="n">
        <x:v>1</x:v>
      </x:c>
      <x:c r="N2445" t="str">
        <x:v>DerivedFromCount</x:v>
      </x:c>
      <x:c r="O2445" t="str">
        <x:v>PLC-PRD-JAR-330-L25</x:v>
      </x:c>
      <x:c r="P2445" t="str">
        <x:v>OK</x:v>
      </x:c>
      <x:c r="Q2445" t="str">
        <x:v>OK</x:v>
      </x:c>
      <x:c r="R2445" t="str">
        <x:v>OK</x:v>
      </x:c>
      <x:c r="S2445" t="str">
        <x:v>OK</x:v>
      </x:c>
      <x:c r="T2445" t="n">
        <x:v>24</x:v>
      </x:c>
      <x:c r="U2445" t="str">
        <x:v>OK</x:v>
      </x:c>
      <x:c r="V2445" t="str">
        <x:v>OK</x:v>
      </x:c>
      <x:c r="W2445" t="str">
        <x:v>LOAD</x:v>
      </x:c>
      <x:c r="X2445" t="str">
        <x:v>02_Supervisor_Log(4).xlsx</x:v>
      </x:c>
      <x:c r="Y2445" t="str">
        <x:v>ENH-20260830-01</x:v>
      </x:c>
      <x:c r="Z2445" t="str">
        <x:v>Active</x:v>
      </x:c>
      <x:c r="AA2445"/>
      <x:c r="AB2445"/>
      <x:c r="AC2445"/>
      <x:c r="AD2445"/>
    </x:row>
    <x:row r="2446">
      <x:c r="A2446" t="str">
        <x:v>PCC-PE-KG01-L25-20251023-AM-ORD-2025-00162-S08-C3</x:v>
      </x:c>
      <x:c r="B2446" t="str">
        <x:v>PC-PE-KG01-L25-20251023-AM-ORD-2025-00162-S08</x:v>
      </x:c>
      <x:c r="C2446" t="str">
        <x:v>PE-KG01-L25-20251023-AM-ORD-2025-00162</x:v>
      </x:c>
      <x:c r="D2446" t="str">
        <x:v>KG01</x:v>
      </x:c>
      <x:c r="E2446" s="62" t="n">
        <x:v>45953</x:v>
      </x:c>
      <x:c r="F2446" t="str">
        <x:v>AM</x:v>
      </x:c>
      <x:c r="G2446" t="str">
        <x:v>C</x:v>
      </x:c>
      <x:c r="H2446" t="n">
        <x:v>25</x:v>
      </x:c>
      <x:c r="I2446" t="str">
        <x:v>ORD-2025-00162</x:v>
      </x:c>
      <x:c r="J2446" t="n">
        <x:v>8</x:v>
      </x:c>
      <x:c r="K2446" t="n">
        <x:v>3</x:v>
      </x:c>
      <x:c r="L2446" t="str">
        <x:v>L25-S08-C3</x:v>
      </x:c>
      <x:c r="M2446" t="n">
        <x:v>1</x:v>
      </x:c>
      <x:c r="N2446" t="str">
        <x:v>DerivedFromCount</x:v>
      </x:c>
      <x:c r="O2446" t="str">
        <x:v>PLC-PRD-JAR-330-L25</x:v>
      </x:c>
      <x:c r="P2446" t="str">
        <x:v>OK</x:v>
      </x:c>
      <x:c r="Q2446" t="str">
        <x:v>OK</x:v>
      </x:c>
      <x:c r="R2446" t="str">
        <x:v>OK</x:v>
      </x:c>
      <x:c r="S2446" t="str">
        <x:v>OK</x:v>
      </x:c>
      <x:c r="T2446" t="n">
        <x:v>24</x:v>
      </x:c>
      <x:c r="U2446" t="str">
        <x:v>OK</x:v>
      </x:c>
      <x:c r="V2446" t="str">
        <x:v>OK</x:v>
      </x:c>
      <x:c r="W2446" t="str">
        <x:v>LOAD</x:v>
      </x:c>
      <x:c r="X2446" t="str">
        <x:v>02_Supervisor_Log(4).xlsx</x:v>
      </x:c>
      <x:c r="Y2446" t="str">
        <x:v>ENH-20260830-01</x:v>
      </x:c>
      <x:c r="Z2446" t="str">
        <x:v>Active</x:v>
      </x:c>
      <x:c r="AA2446"/>
      <x:c r="AB2446"/>
      <x:c r="AC2446"/>
      <x:c r="AD2446"/>
    </x:row>
    <x:row r="2447">
      <x:c r="A2447" t="str">
        <x:v>PCC-PE-KG01-L25-20251023-AM-ORD-2025-00162-S09-C1</x:v>
      </x:c>
      <x:c r="B2447" t="str">
        <x:v>PC-PE-KG01-L25-20251023-AM-ORD-2025-00162-S09</x:v>
      </x:c>
      <x:c r="C2447" t="str">
        <x:v>PE-KG01-L25-20251023-AM-ORD-2025-00162</x:v>
      </x:c>
      <x:c r="D2447" t="str">
        <x:v>KG01</x:v>
      </x:c>
      <x:c r="E2447" s="62" t="n">
        <x:v>45953</x:v>
      </x:c>
      <x:c r="F2447" t="str">
        <x:v>AM</x:v>
      </x:c>
      <x:c r="G2447" t="str">
        <x:v>C</x:v>
      </x:c>
      <x:c r="H2447" t="n">
        <x:v>25</x:v>
      </x:c>
      <x:c r="I2447" t="str">
        <x:v>ORD-2025-00162</x:v>
      </x:c>
      <x:c r="J2447" t="n">
        <x:v>9</x:v>
      </x:c>
      <x:c r="K2447" t="n">
        <x:v>1</x:v>
      </x:c>
      <x:c r="L2447" t="str">
        <x:v>L25-S09-C1</x:v>
      </x:c>
      <x:c r="M2447" t="n">
        <x:v>0</x:v>
      </x:c>
      <x:c r="N2447" t="str">
        <x:v>DerivedFromCount</x:v>
      </x:c>
      <x:c r="O2447" t="str">
        <x:v>PLC-PRD-JAR-330-L25</x:v>
      </x:c>
      <x:c r="P2447" t="str">
        <x:v>OK</x:v>
      </x:c>
      <x:c r="Q2447" t="str">
        <x:v>OK</x:v>
      </x:c>
      <x:c r="R2447" t="str">
        <x:v>OK</x:v>
      </x:c>
      <x:c r="S2447" t="str">
        <x:v>OK</x:v>
      </x:c>
      <x:c r="T2447" t="n">
        <x:v>24</x:v>
      </x:c>
      <x:c r="U2447" t="str">
        <x:v>OK</x:v>
      </x:c>
      <x:c r="V2447" t="str">
        <x:v>OK</x:v>
      </x:c>
      <x:c r="W2447" t="str">
        <x:v>LOAD</x:v>
      </x:c>
      <x:c r="X2447" t="str">
        <x:v>02_Supervisor_Log(4).xlsx</x:v>
      </x:c>
      <x:c r="Y2447" t="str">
        <x:v>ENH-20260830-01</x:v>
      </x:c>
      <x:c r="Z2447" t="str">
        <x:v>Active</x:v>
      </x:c>
      <x:c r="AA2447"/>
      <x:c r="AB2447"/>
      <x:c r="AC2447"/>
      <x:c r="AD2447"/>
    </x:row>
    <x:row r="2448">
      <x:c r="A2448" t="str">
        <x:v>PCC-PE-KG01-L25-20251023-AM-ORD-2025-00162-S09-C2</x:v>
      </x:c>
      <x:c r="B2448" t="str">
        <x:v>PC-PE-KG01-L25-20251023-AM-ORD-2025-00162-S09</x:v>
      </x:c>
      <x:c r="C2448" t="str">
        <x:v>PE-KG01-L25-20251023-AM-ORD-2025-00162</x:v>
      </x:c>
      <x:c r="D2448" t="str">
        <x:v>KG01</x:v>
      </x:c>
      <x:c r="E2448" s="62" t="n">
        <x:v>45953</x:v>
      </x:c>
      <x:c r="F2448" t="str">
        <x:v>AM</x:v>
      </x:c>
      <x:c r="G2448" t="str">
        <x:v>C</x:v>
      </x:c>
      <x:c r="H2448" t="n">
        <x:v>25</x:v>
      </x:c>
      <x:c r="I2448" t="str">
        <x:v>ORD-2025-00162</x:v>
      </x:c>
      <x:c r="J2448" t="n">
        <x:v>9</x:v>
      </x:c>
      <x:c r="K2448" t="n">
        <x:v>2</x:v>
      </x:c>
      <x:c r="L2448" t="str">
        <x:v>L25-S09-C2</x:v>
      </x:c>
      <x:c r="M2448" t="n">
        <x:v>0</x:v>
      </x:c>
      <x:c r="N2448" t="str">
        <x:v>DerivedFromCount</x:v>
      </x:c>
      <x:c r="O2448" t="str">
        <x:v>PLC-PRD-JAR-330-L25</x:v>
      </x:c>
      <x:c r="P2448" t="str">
        <x:v>OK</x:v>
      </x:c>
      <x:c r="Q2448" t="str">
        <x:v>OK</x:v>
      </x:c>
      <x:c r="R2448" t="str">
        <x:v>OK</x:v>
      </x:c>
      <x:c r="S2448" t="str">
        <x:v>OK</x:v>
      </x:c>
      <x:c r="T2448" t="n">
        <x:v>24</x:v>
      </x:c>
      <x:c r="U2448" t="str">
        <x:v>OK</x:v>
      </x:c>
      <x:c r="V2448" t="str">
        <x:v>OK</x:v>
      </x:c>
      <x:c r="W2448" t="str">
        <x:v>LOAD</x:v>
      </x:c>
      <x:c r="X2448" t="str">
        <x:v>02_Supervisor_Log(4).xlsx</x:v>
      </x:c>
      <x:c r="Y2448" t="str">
        <x:v>ENH-20260830-01</x:v>
      </x:c>
      <x:c r="Z2448" t="str">
        <x:v>Active</x:v>
      </x:c>
      <x:c r="AA2448"/>
      <x:c r="AB2448"/>
      <x:c r="AC2448"/>
      <x:c r="AD2448"/>
    </x:row>
    <x:row r="2449">
      <x:c r="A2449" t="str">
        <x:v>PCC-PE-KG01-L25-20251023-AM-ORD-2025-00162-S09-C3</x:v>
      </x:c>
      <x:c r="B2449" t="str">
        <x:v>PC-PE-KG01-L25-20251023-AM-ORD-2025-00162-S09</x:v>
      </x:c>
      <x:c r="C2449" t="str">
        <x:v>PE-KG01-L25-20251023-AM-ORD-2025-00162</x:v>
      </x:c>
      <x:c r="D2449" t="str">
        <x:v>KG01</x:v>
      </x:c>
      <x:c r="E2449" s="62" t="n">
        <x:v>45953</x:v>
      </x:c>
      <x:c r="F2449" t="str">
        <x:v>AM</x:v>
      </x:c>
      <x:c r="G2449" t="str">
        <x:v>C</x:v>
      </x:c>
      <x:c r="H2449" t="n">
        <x:v>25</x:v>
      </x:c>
      <x:c r="I2449" t="str">
        <x:v>ORD-2025-00162</x:v>
      </x:c>
      <x:c r="J2449" t="n">
        <x:v>9</x:v>
      </x:c>
      <x:c r="K2449" t="n">
        <x:v>3</x:v>
      </x:c>
      <x:c r="L2449" t="str">
        <x:v>L25-S09-C3</x:v>
      </x:c>
      <x:c r="M2449" t="n">
        <x:v>0</x:v>
      </x:c>
      <x:c r="N2449" t="str">
        <x:v>DerivedFromCount</x:v>
      </x:c>
      <x:c r="O2449" t="str">
        <x:v>PLC-PRD-JAR-330-L25</x:v>
      </x:c>
      <x:c r="P2449" t="str">
        <x:v>OK</x:v>
      </x:c>
      <x:c r="Q2449" t="str">
        <x:v>OK</x:v>
      </x:c>
      <x:c r="R2449" t="str">
        <x:v>OK</x:v>
      </x:c>
      <x:c r="S2449" t="str">
        <x:v>OK</x:v>
      </x:c>
      <x:c r="T2449" t="n">
        <x:v>24</x:v>
      </x:c>
      <x:c r="U2449" t="str">
        <x:v>OK</x:v>
      </x:c>
      <x:c r="V2449" t="str">
        <x:v>OK</x:v>
      </x:c>
      <x:c r="W2449" t="str">
        <x:v>LOAD</x:v>
      </x:c>
      <x:c r="X2449" t="str">
        <x:v>02_Supervisor_Log(4).xlsx</x:v>
      </x:c>
      <x:c r="Y2449" t="str">
        <x:v>ENH-20260830-01</x:v>
      </x:c>
      <x:c r="Z2449" t="str">
        <x:v>Active</x:v>
      </x:c>
      <x:c r="AA2449"/>
      <x:c r="AB2449"/>
      <x:c r="AC2449"/>
      <x:c r="AD2449"/>
    </x:row>
    <x:row r="2450">
      <x:c r="A2450" t="str">
        <x:v>PCC-PE-KG01-L25-20251023-AM-ORD-2025-00162-S10-C1</x:v>
      </x:c>
      <x:c r="B2450" t="str">
        <x:v>PC-PE-KG01-L25-20251023-AM-ORD-2025-00162-S10</x:v>
      </x:c>
      <x:c r="C2450" t="str">
        <x:v>PE-KG01-L25-20251023-AM-ORD-2025-00162</x:v>
      </x:c>
      <x:c r="D2450" t="str">
        <x:v>KG01</x:v>
      </x:c>
      <x:c r="E2450" s="62" t="n">
        <x:v>45953</x:v>
      </x:c>
      <x:c r="F2450" t="str">
        <x:v>AM</x:v>
      </x:c>
      <x:c r="G2450" t="str">
        <x:v>C</x:v>
      </x:c>
      <x:c r="H2450" t="n">
        <x:v>25</x:v>
      </x:c>
      <x:c r="I2450" t="str">
        <x:v>ORD-2025-00162</x:v>
      </x:c>
      <x:c r="J2450" t="n">
        <x:v>10</x:v>
      </x:c>
      <x:c r="K2450" t="n">
        <x:v>1</x:v>
      </x:c>
      <x:c r="L2450" t="str">
        <x:v>L25-S10-C1</x:v>
      </x:c>
      <x:c r="M2450" t="n">
        <x:v>0</x:v>
      </x:c>
      <x:c r="N2450" t="str">
        <x:v>DerivedFromCount</x:v>
      </x:c>
      <x:c r="O2450" t="str">
        <x:v>PLC-PRD-JAR-330-L25</x:v>
      </x:c>
      <x:c r="P2450" t="str">
        <x:v>OK</x:v>
      </x:c>
      <x:c r="Q2450" t="str">
        <x:v>OK</x:v>
      </x:c>
      <x:c r="R2450" t="str">
        <x:v>OK</x:v>
      </x:c>
      <x:c r="S2450" t="str">
        <x:v>OK</x:v>
      </x:c>
      <x:c r="T2450" t="n">
        <x:v>24</x:v>
      </x:c>
      <x:c r="U2450" t="str">
        <x:v>OK</x:v>
      </x:c>
      <x:c r="V2450" t="str">
        <x:v>OK</x:v>
      </x:c>
      <x:c r="W2450" t="str">
        <x:v>LOAD</x:v>
      </x:c>
      <x:c r="X2450" t="str">
        <x:v>02_Supervisor_Log(4).xlsx</x:v>
      </x:c>
      <x:c r="Y2450" t="str">
        <x:v>ENH-20260830-01</x:v>
      </x:c>
      <x:c r="Z2450" t="str">
        <x:v>Active</x:v>
      </x:c>
      <x:c r="AA2450"/>
      <x:c r="AB2450"/>
      <x:c r="AC2450"/>
      <x:c r="AD2450"/>
    </x:row>
    <x:row r="2451">
      <x:c r="A2451" t="str">
        <x:v>PCC-PE-KG01-L25-20251023-AM-ORD-2025-00162-S10-C2</x:v>
      </x:c>
      <x:c r="B2451" t="str">
        <x:v>PC-PE-KG01-L25-20251023-AM-ORD-2025-00162-S10</x:v>
      </x:c>
      <x:c r="C2451" t="str">
        <x:v>PE-KG01-L25-20251023-AM-ORD-2025-00162</x:v>
      </x:c>
      <x:c r="D2451" t="str">
        <x:v>KG01</x:v>
      </x:c>
      <x:c r="E2451" s="62" t="n">
        <x:v>45953</x:v>
      </x:c>
      <x:c r="F2451" t="str">
        <x:v>AM</x:v>
      </x:c>
      <x:c r="G2451" t="str">
        <x:v>C</x:v>
      </x:c>
      <x:c r="H2451" t="n">
        <x:v>25</x:v>
      </x:c>
      <x:c r="I2451" t="str">
        <x:v>ORD-2025-00162</x:v>
      </x:c>
      <x:c r="J2451" t="n">
        <x:v>10</x:v>
      </x:c>
      <x:c r="K2451" t="n">
        <x:v>2</x:v>
      </x:c>
      <x:c r="L2451" t="str">
        <x:v>L25-S10-C2</x:v>
      </x:c>
      <x:c r="M2451" t="n">
        <x:v>0</x:v>
      </x:c>
      <x:c r="N2451" t="str">
        <x:v>DerivedFromCount</x:v>
      </x:c>
      <x:c r="O2451" t="str">
        <x:v>PLC-PRD-JAR-330-L25</x:v>
      </x:c>
      <x:c r="P2451" t="str">
        <x:v>OK</x:v>
      </x:c>
      <x:c r="Q2451" t="str">
        <x:v>OK</x:v>
      </x:c>
      <x:c r="R2451" t="str">
        <x:v>OK</x:v>
      </x:c>
      <x:c r="S2451" t="str">
        <x:v>OK</x:v>
      </x:c>
      <x:c r="T2451" t="n">
        <x:v>24</x:v>
      </x:c>
      <x:c r="U2451" t="str">
        <x:v>OK</x:v>
      </x:c>
      <x:c r="V2451" t="str">
        <x:v>OK</x:v>
      </x:c>
      <x:c r="W2451" t="str">
        <x:v>LOAD</x:v>
      </x:c>
      <x:c r="X2451" t="str">
        <x:v>02_Supervisor_Log(4).xlsx</x:v>
      </x:c>
      <x:c r="Y2451" t="str">
        <x:v>ENH-20260830-01</x:v>
      </x:c>
      <x:c r="Z2451" t="str">
        <x:v>Active</x:v>
      </x:c>
      <x:c r="AA2451"/>
      <x:c r="AB2451"/>
      <x:c r="AC2451"/>
      <x:c r="AD2451"/>
    </x:row>
    <x:row r="2452">
      <x:c r="A2452" t="str">
        <x:v>PCC-PE-KG01-L25-20251023-AM-ORD-2025-00162-S10-C3</x:v>
      </x:c>
      <x:c r="B2452" t="str">
        <x:v>PC-PE-KG01-L25-20251023-AM-ORD-2025-00162-S10</x:v>
      </x:c>
      <x:c r="C2452" t="str">
        <x:v>PE-KG01-L25-20251023-AM-ORD-2025-00162</x:v>
      </x:c>
      <x:c r="D2452" t="str">
        <x:v>KG01</x:v>
      </x:c>
      <x:c r="E2452" s="62" t="n">
        <x:v>45953</x:v>
      </x:c>
      <x:c r="F2452" t="str">
        <x:v>AM</x:v>
      </x:c>
      <x:c r="G2452" t="str">
        <x:v>C</x:v>
      </x:c>
      <x:c r="H2452" t="n">
        <x:v>25</x:v>
      </x:c>
      <x:c r="I2452" t="str">
        <x:v>ORD-2025-00162</x:v>
      </x:c>
      <x:c r="J2452" t="n">
        <x:v>10</x:v>
      </x:c>
      <x:c r="K2452" t="n">
        <x:v>3</x:v>
      </x:c>
      <x:c r="L2452" t="str">
        <x:v>L25-S10-C3</x:v>
      </x:c>
      <x:c r="M2452" t="n">
        <x:v>0</x:v>
      </x:c>
      <x:c r="N2452" t="str">
        <x:v>DerivedFromCount</x:v>
      </x:c>
      <x:c r="O2452" t="str">
        <x:v>PLC-PRD-JAR-330-L25</x:v>
      </x:c>
      <x:c r="P2452" t="str">
        <x:v>OK</x:v>
      </x:c>
      <x:c r="Q2452" t="str">
        <x:v>OK</x:v>
      </x:c>
      <x:c r="R2452" t="str">
        <x:v>OK</x:v>
      </x:c>
      <x:c r="S2452" t="str">
        <x:v>OK</x:v>
      </x:c>
      <x:c r="T2452" t="n">
        <x:v>24</x:v>
      </x:c>
      <x:c r="U2452" t="str">
        <x:v>OK</x:v>
      </x:c>
      <x:c r="V2452" t="str">
        <x:v>OK</x:v>
      </x:c>
      <x:c r="W2452" t="str">
        <x:v>LOAD</x:v>
      </x:c>
      <x:c r="X2452" t="str">
        <x:v>02_Supervisor_Log(4).xlsx</x:v>
      </x:c>
      <x:c r="Y2452" t="str">
        <x:v>ENH-20260830-01</x:v>
      </x:c>
      <x:c r="Z2452" t="str">
        <x:v>Active</x:v>
      </x:c>
      <x:c r="AA2452"/>
      <x:c r="AB2452"/>
      <x:c r="AC2452"/>
      <x:c r="AD2452"/>
    </x:row>
    <x:row r="2453">
      <x:c r="A2453" t="str">
        <x:v>PCC-PE-KG01-L25-20251023-AM-ORD-2025-00162-S11-C1</x:v>
      </x:c>
      <x:c r="B2453" t="str">
        <x:v>PC-PE-KG01-L25-20251023-AM-ORD-2025-00162-S11</x:v>
      </x:c>
      <x:c r="C2453" t="str">
        <x:v>PE-KG01-L25-20251023-AM-ORD-2025-00162</x:v>
      </x:c>
      <x:c r="D2453" t="str">
        <x:v>KG01</x:v>
      </x:c>
      <x:c r="E2453" s="62" t="n">
        <x:v>45953</x:v>
      </x:c>
      <x:c r="F2453" t="str">
        <x:v>AM</x:v>
      </x:c>
      <x:c r="G2453" t="str">
        <x:v>C</x:v>
      </x:c>
      <x:c r="H2453" t="n">
        <x:v>25</x:v>
      </x:c>
      <x:c r="I2453" t="str">
        <x:v>ORD-2025-00162</x:v>
      </x:c>
      <x:c r="J2453" t="n">
        <x:v>11</x:v>
      </x:c>
      <x:c r="K2453" t="n">
        <x:v>1</x:v>
      </x:c>
      <x:c r="L2453" t="str">
        <x:v>L25-S11-C1</x:v>
      </x:c>
      <x:c r="M2453" t="n">
        <x:v>0</x:v>
      </x:c>
      <x:c r="N2453" t="str">
        <x:v>DerivedFromCount</x:v>
      </x:c>
      <x:c r="O2453" t="str">
        <x:v>PLC-PRD-JAR-330-L25</x:v>
      </x:c>
      <x:c r="P2453" t="str">
        <x:v>OK</x:v>
      </x:c>
      <x:c r="Q2453" t="str">
        <x:v>OK</x:v>
      </x:c>
      <x:c r="R2453" t="str">
        <x:v>OK</x:v>
      </x:c>
      <x:c r="S2453" t="str">
        <x:v>OK</x:v>
      </x:c>
      <x:c r="T2453" t="n">
        <x:v>24</x:v>
      </x:c>
      <x:c r="U2453" t="str">
        <x:v>OK</x:v>
      </x:c>
      <x:c r="V2453" t="str">
        <x:v>OK</x:v>
      </x:c>
      <x:c r="W2453" t="str">
        <x:v>LOAD</x:v>
      </x:c>
      <x:c r="X2453" t="str">
        <x:v>02_Supervisor_Log(4).xlsx</x:v>
      </x:c>
      <x:c r="Y2453" t="str">
        <x:v>ENH-20260830-01</x:v>
      </x:c>
      <x:c r="Z2453" t="str">
        <x:v>Active</x:v>
      </x:c>
      <x:c r="AA2453"/>
      <x:c r="AB2453"/>
      <x:c r="AC2453"/>
      <x:c r="AD2453"/>
    </x:row>
    <x:row r="2454">
      <x:c r="A2454" t="str">
        <x:v>PCC-PE-KG01-L25-20251023-AM-ORD-2025-00162-S11-C2</x:v>
      </x:c>
      <x:c r="B2454" t="str">
        <x:v>PC-PE-KG01-L25-20251023-AM-ORD-2025-00162-S11</x:v>
      </x:c>
      <x:c r="C2454" t="str">
        <x:v>PE-KG01-L25-20251023-AM-ORD-2025-00162</x:v>
      </x:c>
      <x:c r="D2454" t="str">
        <x:v>KG01</x:v>
      </x:c>
      <x:c r="E2454" s="62" t="n">
        <x:v>45953</x:v>
      </x:c>
      <x:c r="F2454" t="str">
        <x:v>AM</x:v>
      </x:c>
      <x:c r="G2454" t="str">
        <x:v>C</x:v>
      </x:c>
      <x:c r="H2454" t="n">
        <x:v>25</x:v>
      </x:c>
      <x:c r="I2454" t="str">
        <x:v>ORD-2025-00162</x:v>
      </x:c>
      <x:c r="J2454" t="n">
        <x:v>11</x:v>
      </x:c>
      <x:c r="K2454" t="n">
        <x:v>2</x:v>
      </x:c>
      <x:c r="L2454" t="str">
        <x:v>L25-S11-C2</x:v>
      </x:c>
      <x:c r="M2454" t="n">
        <x:v>0</x:v>
      </x:c>
      <x:c r="N2454" t="str">
        <x:v>DerivedFromCount</x:v>
      </x:c>
      <x:c r="O2454" t="str">
        <x:v>PLC-PRD-JAR-330-L25</x:v>
      </x:c>
      <x:c r="P2454" t="str">
        <x:v>OK</x:v>
      </x:c>
      <x:c r="Q2454" t="str">
        <x:v>OK</x:v>
      </x:c>
      <x:c r="R2454" t="str">
        <x:v>OK</x:v>
      </x:c>
      <x:c r="S2454" t="str">
        <x:v>OK</x:v>
      </x:c>
      <x:c r="T2454" t="n">
        <x:v>24</x:v>
      </x:c>
      <x:c r="U2454" t="str">
        <x:v>OK</x:v>
      </x:c>
      <x:c r="V2454" t="str">
        <x:v>OK</x:v>
      </x:c>
      <x:c r="W2454" t="str">
        <x:v>LOAD</x:v>
      </x:c>
      <x:c r="X2454" t="str">
        <x:v>02_Supervisor_Log(4).xlsx</x:v>
      </x:c>
      <x:c r="Y2454" t="str">
        <x:v>ENH-20260830-01</x:v>
      </x:c>
      <x:c r="Z2454" t="str">
        <x:v>Active</x:v>
      </x:c>
      <x:c r="AA2454"/>
      <x:c r="AB2454"/>
      <x:c r="AC2454"/>
      <x:c r="AD2454"/>
    </x:row>
    <x:row r="2455">
      <x:c r="A2455" t="str">
        <x:v>PCC-PE-KG01-L25-20251023-AM-ORD-2025-00162-S11-C3</x:v>
      </x:c>
      <x:c r="B2455" t="str">
        <x:v>PC-PE-KG01-L25-20251023-AM-ORD-2025-00162-S11</x:v>
      </x:c>
      <x:c r="C2455" t="str">
        <x:v>PE-KG01-L25-20251023-AM-ORD-2025-00162</x:v>
      </x:c>
      <x:c r="D2455" t="str">
        <x:v>KG01</x:v>
      </x:c>
      <x:c r="E2455" s="62" t="n">
        <x:v>45953</x:v>
      </x:c>
      <x:c r="F2455" t="str">
        <x:v>AM</x:v>
      </x:c>
      <x:c r="G2455" t="str">
        <x:v>C</x:v>
      </x:c>
      <x:c r="H2455" t="n">
        <x:v>25</x:v>
      </x:c>
      <x:c r="I2455" t="str">
        <x:v>ORD-2025-00162</x:v>
      </x:c>
      <x:c r="J2455" t="n">
        <x:v>11</x:v>
      </x:c>
      <x:c r="K2455" t="n">
        <x:v>3</x:v>
      </x:c>
      <x:c r="L2455" t="str">
        <x:v>L25-S11-C3</x:v>
      </x:c>
      <x:c r="M2455" t="n">
        <x:v>0</x:v>
      </x:c>
      <x:c r="N2455" t="str">
        <x:v>DerivedFromCount</x:v>
      </x:c>
      <x:c r="O2455" t="str">
        <x:v>PLC-PRD-JAR-330-L25</x:v>
      </x:c>
      <x:c r="P2455" t="str">
        <x:v>OK</x:v>
      </x:c>
      <x:c r="Q2455" t="str">
        <x:v>OK</x:v>
      </x:c>
      <x:c r="R2455" t="str">
        <x:v>OK</x:v>
      </x:c>
      <x:c r="S2455" t="str">
        <x:v>OK</x:v>
      </x:c>
      <x:c r="T2455" t="n">
        <x:v>24</x:v>
      </x:c>
      <x:c r="U2455" t="str">
        <x:v>OK</x:v>
      </x:c>
      <x:c r="V2455" t="str">
        <x:v>OK</x:v>
      </x:c>
      <x:c r="W2455" t="str">
        <x:v>LOAD</x:v>
      </x:c>
      <x:c r="X2455" t="str">
        <x:v>02_Supervisor_Log(4).xlsx</x:v>
      </x:c>
      <x:c r="Y2455" t="str">
        <x:v>ENH-20260830-01</x:v>
      </x:c>
      <x:c r="Z2455" t="str">
        <x:v>Active</x:v>
      </x:c>
      <x:c r="AA2455"/>
      <x:c r="AB2455"/>
      <x:c r="AC2455"/>
      <x:c r="AD2455"/>
    </x:row>
    <x:row r="2456">
      <x:c r="A2456" t="str">
        <x:v>PCC-PE-KG01-L25-20251023-AM-ORD-2025-00162-S12-C1</x:v>
      </x:c>
      <x:c r="B2456" t="str">
        <x:v>PC-PE-KG01-L25-20251023-AM-ORD-2025-00162-S12</x:v>
      </x:c>
      <x:c r="C2456" t="str">
        <x:v>PE-KG01-L25-20251023-AM-ORD-2025-00162</x:v>
      </x:c>
      <x:c r="D2456" t="str">
        <x:v>KG01</x:v>
      </x:c>
      <x:c r="E2456" s="62" t="n">
        <x:v>45953</x:v>
      </x:c>
      <x:c r="F2456" t="str">
        <x:v>AM</x:v>
      </x:c>
      <x:c r="G2456" t="str">
        <x:v>C</x:v>
      </x:c>
      <x:c r="H2456" t="n">
        <x:v>25</x:v>
      </x:c>
      <x:c r="I2456" t="str">
        <x:v>ORD-2025-00162</x:v>
      </x:c>
      <x:c r="J2456" t="n">
        <x:v>12</x:v>
      </x:c>
      <x:c r="K2456" t="n">
        <x:v>1</x:v>
      </x:c>
      <x:c r="L2456" t="str">
        <x:v>L25-S12-C1</x:v>
      </x:c>
      <x:c r="M2456" t="n">
        <x:v>0</x:v>
      </x:c>
      <x:c r="N2456" t="str">
        <x:v>DerivedFromCount</x:v>
      </x:c>
      <x:c r="O2456" t="str">
        <x:v>PLC-PRD-JAR-330-L25</x:v>
      </x:c>
      <x:c r="P2456" t="str">
        <x:v>OK</x:v>
      </x:c>
      <x:c r="Q2456" t="str">
        <x:v>OK</x:v>
      </x:c>
      <x:c r="R2456" t="str">
        <x:v>OK</x:v>
      </x:c>
      <x:c r="S2456" t="str">
        <x:v>OK</x:v>
      </x:c>
      <x:c r="T2456" t="n">
        <x:v>24</x:v>
      </x:c>
      <x:c r="U2456" t="str">
        <x:v>OK</x:v>
      </x:c>
      <x:c r="V2456" t="str">
        <x:v>OK</x:v>
      </x:c>
      <x:c r="W2456" t="str">
        <x:v>LOAD</x:v>
      </x:c>
      <x:c r="X2456" t="str">
        <x:v>02_Supervisor_Log(4).xlsx</x:v>
      </x:c>
      <x:c r="Y2456" t="str">
        <x:v>ENH-20260830-01</x:v>
      </x:c>
      <x:c r="Z2456" t="str">
        <x:v>Active</x:v>
      </x:c>
      <x:c r="AA2456"/>
      <x:c r="AB2456"/>
      <x:c r="AC2456"/>
      <x:c r="AD2456"/>
    </x:row>
    <x:row r="2457">
      <x:c r="A2457" t="str">
        <x:v>PCC-PE-KG01-L25-20251023-AM-ORD-2025-00162-S12-C2</x:v>
      </x:c>
      <x:c r="B2457" t="str">
        <x:v>PC-PE-KG01-L25-20251023-AM-ORD-2025-00162-S12</x:v>
      </x:c>
      <x:c r="C2457" t="str">
        <x:v>PE-KG01-L25-20251023-AM-ORD-2025-00162</x:v>
      </x:c>
      <x:c r="D2457" t="str">
        <x:v>KG01</x:v>
      </x:c>
      <x:c r="E2457" s="62" t="n">
        <x:v>45953</x:v>
      </x:c>
      <x:c r="F2457" t="str">
        <x:v>AM</x:v>
      </x:c>
      <x:c r="G2457" t="str">
        <x:v>C</x:v>
      </x:c>
      <x:c r="H2457" t="n">
        <x:v>25</x:v>
      </x:c>
      <x:c r="I2457" t="str">
        <x:v>ORD-2025-00162</x:v>
      </x:c>
      <x:c r="J2457" t="n">
        <x:v>12</x:v>
      </x:c>
      <x:c r="K2457" t="n">
        <x:v>2</x:v>
      </x:c>
      <x:c r="L2457" t="str">
        <x:v>L25-S12-C2</x:v>
      </x:c>
      <x:c r="M2457" t="n">
        <x:v>0</x:v>
      </x:c>
      <x:c r="N2457" t="str">
        <x:v>DerivedFromCount</x:v>
      </x:c>
      <x:c r="O2457" t="str">
        <x:v>PLC-PRD-JAR-330-L25</x:v>
      </x:c>
      <x:c r="P2457" t="str">
        <x:v>OK</x:v>
      </x:c>
      <x:c r="Q2457" t="str">
        <x:v>OK</x:v>
      </x:c>
      <x:c r="R2457" t="str">
        <x:v>OK</x:v>
      </x:c>
      <x:c r="S2457" t="str">
        <x:v>OK</x:v>
      </x:c>
      <x:c r="T2457" t="n">
        <x:v>24</x:v>
      </x:c>
      <x:c r="U2457" t="str">
        <x:v>OK</x:v>
      </x:c>
      <x:c r="V2457" t="str">
        <x:v>OK</x:v>
      </x:c>
      <x:c r="W2457" t="str">
        <x:v>LOAD</x:v>
      </x:c>
      <x:c r="X2457" t="str">
        <x:v>02_Supervisor_Log(4).xlsx</x:v>
      </x:c>
      <x:c r="Y2457" t="str">
        <x:v>ENH-20260830-01</x:v>
      </x:c>
      <x:c r="Z2457" t="str">
        <x:v>Active</x:v>
      </x:c>
      <x:c r="AA2457"/>
      <x:c r="AB2457"/>
      <x:c r="AC2457"/>
      <x:c r="AD2457"/>
    </x:row>
    <x:row r="2458">
      <x:c r="A2458" t="str">
        <x:v>PCC-PE-KG01-L25-20251023-AM-ORD-2025-00162-S12-C3</x:v>
      </x:c>
      <x:c r="B2458" t="str">
        <x:v>PC-PE-KG01-L25-20251023-AM-ORD-2025-00162-S12</x:v>
      </x:c>
      <x:c r="C2458" t="str">
        <x:v>PE-KG01-L25-20251023-AM-ORD-2025-00162</x:v>
      </x:c>
      <x:c r="D2458" t="str">
        <x:v>KG01</x:v>
      </x:c>
      <x:c r="E2458" s="62" t="n">
        <x:v>45953</x:v>
      </x:c>
      <x:c r="F2458" t="str">
        <x:v>AM</x:v>
      </x:c>
      <x:c r="G2458" t="str">
        <x:v>C</x:v>
      </x:c>
      <x:c r="H2458" t="n">
        <x:v>25</x:v>
      </x:c>
      <x:c r="I2458" t="str">
        <x:v>ORD-2025-00162</x:v>
      </x:c>
      <x:c r="J2458" t="n">
        <x:v>12</x:v>
      </x:c>
      <x:c r="K2458" t="n">
        <x:v>3</x:v>
      </x:c>
      <x:c r="L2458" t="str">
        <x:v>L25-S12-C3</x:v>
      </x:c>
      <x:c r="M2458" t="n">
        <x:v>0</x:v>
      </x:c>
      <x:c r="N2458" t="str">
        <x:v>DerivedFromCount</x:v>
      </x:c>
      <x:c r="O2458" t="str">
        <x:v>PLC-PRD-JAR-330-L25</x:v>
      </x:c>
      <x:c r="P2458" t="str">
        <x:v>OK</x:v>
      </x:c>
      <x:c r="Q2458" t="str">
        <x:v>OK</x:v>
      </x:c>
      <x:c r="R2458" t="str">
        <x:v>OK</x:v>
      </x:c>
      <x:c r="S2458" t="str">
        <x:v>OK</x:v>
      </x:c>
      <x:c r="T2458" t="n">
        <x:v>24</x:v>
      </x:c>
      <x:c r="U2458" t="str">
        <x:v>OK</x:v>
      </x:c>
      <x:c r="V2458" t="str">
        <x:v>OK</x:v>
      </x:c>
      <x:c r="W2458" t="str">
        <x:v>LOAD</x:v>
      </x:c>
      <x:c r="X2458" t="str">
        <x:v>02_Supervisor_Log(4).xlsx</x:v>
      </x:c>
      <x:c r="Y2458" t="str">
        <x:v>ENH-20260830-01</x:v>
      </x:c>
      <x:c r="Z2458" t="str">
        <x:v>Active</x:v>
      </x:c>
      <x:c r="AA2458"/>
      <x:c r="AB2458"/>
      <x:c r="AC2458"/>
      <x:c r="AD2458"/>
    </x:row>
    <x:row r="2459">
      <x:c r="A2459" t="str">
        <x:v>PCC-PE-KG01-L25-20251023-AM-ORD-2025-00162-S13-C1</x:v>
      </x:c>
      <x:c r="B2459" t="str">
        <x:v>PC-PE-KG01-L25-20251023-AM-ORD-2025-00162-S13</x:v>
      </x:c>
      <x:c r="C2459" t="str">
        <x:v>PE-KG01-L25-20251023-AM-ORD-2025-00162</x:v>
      </x:c>
      <x:c r="D2459" t="str">
        <x:v>KG01</x:v>
      </x:c>
      <x:c r="E2459" s="62" t="n">
        <x:v>45953</x:v>
      </x:c>
      <x:c r="F2459" t="str">
        <x:v>AM</x:v>
      </x:c>
      <x:c r="G2459" t="str">
        <x:v>C</x:v>
      </x:c>
      <x:c r="H2459" t="n">
        <x:v>25</x:v>
      </x:c>
      <x:c r="I2459" t="str">
        <x:v>ORD-2025-00162</x:v>
      </x:c>
      <x:c r="J2459" t="n">
        <x:v>13</x:v>
      </x:c>
      <x:c r="K2459" t="n">
        <x:v>1</x:v>
      </x:c>
      <x:c r="L2459" t="str">
        <x:v>L25-S13-C1</x:v>
      </x:c>
      <x:c r="M2459" t="n">
        <x:v>0</x:v>
      </x:c>
      <x:c r="N2459" t="str">
        <x:v>DerivedFromCount</x:v>
      </x:c>
      <x:c r="O2459" t="str">
        <x:v>PLC-PRD-JAR-330-L25</x:v>
      </x:c>
      <x:c r="P2459" t="str">
        <x:v>OK</x:v>
      </x:c>
      <x:c r="Q2459" t="str">
        <x:v>OK</x:v>
      </x:c>
      <x:c r="R2459" t="str">
        <x:v>OK</x:v>
      </x:c>
      <x:c r="S2459" t="str">
        <x:v>OK</x:v>
      </x:c>
      <x:c r="T2459" t="n">
        <x:v>24</x:v>
      </x:c>
      <x:c r="U2459" t="str">
        <x:v>OK</x:v>
      </x:c>
      <x:c r="V2459" t="str">
        <x:v>OK</x:v>
      </x:c>
      <x:c r="W2459" t="str">
        <x:v>LOAD</x:v>
      </x:c>
      <x:c r="X2459" t="str">
        <x:v>02_Supervisor_Log(4).xlsx</x:v>
      </x:c>
      <x:c r="Y2459" t="str">
        <x:v>ENH-20260830-01</x:v>
      </x:c>
      <x:c r="Z2459" t="str">
        <x:v>Active</x:v>
      </x:c>
      <x:c r="AA2459"/>
      <x:c r="AB2459"/>
      <x:c r="AC2459"/>
      <x:c r="AD2459"/>
    </x:row>
    <x:row r="2460">
      <x:c r="A2460" t="str">
        <x:v>PCC-PE-KG01-L25-20251023-AM-ORD-2025-00162-S13-C2</x:v>
      </x:c>
      <x:c r="B2460" t="str">
        <x:v>PC-PE-KG01-L25-20251023-AM-ORD-2025-00162-S13</x:v>
      </x:c>
      <x:c r="C2460" t="str">
        <x:v>PE-KG01-L25-20251023-AM-ORD-2025-00162</x:v>
      </x:c>
      <x:c r="D2460" t="str">
        <x:v>KG01</x:v>
      </x:c>
      <x:c r="E2460" s="62" t="n">
        <x:v>45953</x:v>
      </x:c>
      <x:c r="F2460" t="str">
        <x:v>AM</x:v>
      </x:c>
      <x:c r="G2460" t="str">
        <x:v>C</x:v>
      </x:c>
      <x:c r="H2460" t="n">
        <x:v>25</x:v>
      </x:c>
      <x:c r="I2460" t="str">
        <x:v>ORD-2025-00162</x:v>
      </x:c>
      <x:c r="J2460" t="n">
        <x:v>13</x:v>
      </x:c>
      <x:c r="K2460" t="n">
        <x:v>2</x:v>
      </x:c>
      <x:c r="L2460" t="str">
        <x:v>L25-S13-C2</x:v>
      </x:c>
      <x:c r="M2460" t="n">
        <x:v>0</x:v>
      </x:c>
      <x:c r="N2460" t="str">
        <x:v>DerivedFromCount</x:v>
      </x:c>
      <x:c r="O2460" t="str">
        <x:v>PLC-PRD-JAR-330-L25</x:v>
      </x:c>
      <x:c r="P2460" t="str">
        <x:v>OK</x:v>
      </x:c>
      <x:c r="Q2460" t="str">
        <x:v>OK</x:v>
      </x:c>
      <x:c r="R2460" t="str">
        <x:v>OK</x:v>
      </x:c>
      <x:c r="S2460" t="str">
        <x:v>OK</x:v>
      </x:c>
      <x:c r="T2460" t="n">
        <x:v>24</x:v>
      </x:c>
      <x:c r="U2460" t="str">
        <x:v>OK</x:v>
      </x:c>
      <x:c r="V2460" t="str">
        <x:v>OK</x:v>
      </x:c>
      <x:c r="W2460" t="str">
        <x:v>LOAD</x:v>
      </x:c>
      <x:c r="X2460" t="str">
        <x:v>02_Supervisor_Log(4).xlsx</x:v>
      </x:c>
      <x:c r="Y2460" t="str">
        <x:v>ENH-20260830-01</x:v>
      </x:c>
      <x:c r="Z2460" t="str">
        <x:v>Active</x:v>
      </x:c>
      <x:c r="AA2460"/>
      <x:c r="AB2460"/>
      <x:c r="AC2460"/>
      <x:c r="AD2460"/>
    </x:row>
    <x:row r="2461">
      <x:c r="A2461" t="str">
        <x:v>PCC-PE-KG01-L25-20251023-AM-ORD-2025-00162-S13-C3</x:v>
      </x:c>
      <x:c r="B2461" t="str">
        <x:v>PC-PE-KG01-L25-20251023-AM-ORD-2025-00162-S13</x:v>
      </x:c>
      <x:c r="C2461" t="str">
        <x:v>PE-KG01-L25-20251023-AM-ORD-2025-00162</x:v>
      </x:c>
      <x:c r="D2461" t="str">
        <x:v>KG01</x:v>
      </x:c>
      <x:c r="E2461" s="62" t="n">
        <x:v>45953</x:v>
      </x:c>
      <x:c r="F2461" t="str">
        <x:v>AM</x:v>
      </x:c>
      <x:c r="G2461" t="str">
        <x:v>C</x:v>
      </x:c>
      <x:c r="H2461" t="n">
        <x:v>25</x:v>
      </x:c>
      <x:c r="I2461" t="str">
        <x:v>ORD-2025-00162</x:v>
      </x:c>
      <x:c r="J2461" t="n">
        <x:v>13</x:v>
      </x:c>
      <x:c r="K2461" t="n">
        <x:v>3</x:v>
      </x:c>
      <x:c r="L2461" t="str">
        <x:v>L25-S13-C3</x:v>
      </x:c>
      <x:c r="M2461" t="n">
        <x:v>0</x:v>
      </x:c>
      <x:c r="N2461" t="str">
        <x:v>DerivedFromCount</x:v>
      </x:c>
      <x:c r="O2461" t="str">
        <x:v>PLC-PRD-JAR-330-L25</x:v>
      </x:c>
      <x:c r="P2461" t="str">
        <x:v>OK</x:v>
      </x:c>
      <x:c r="Q2461" t="str">
        <x:v>OK</x:v>
      </x:c>
      <x:c r="R2461" t="str">
        <x:v>OK</x:v>
      </x:c>
      <x:c r="S2461" t="str">
        <x:v>OK</x:v>
      </x:c>
      <x:c r="T2461" t="n">
        <x:v>24</x:v>
      </x:c>
      <x:c r="U2461" t="str">
        <x:v>OK</x:v>
      </x:c>
      <x:c r="V2461" t="str">
        <x:v>OK</x:v>
      </x:c>
      <x:c r="W2461" t="str">
        <x:v>LOAD</x:v>
      </x:c>
      <x:c r="X2461" t="str">
        <x:v>02_Supervisor_Log(4).xlsx</x:v>
      </x:c>
      <x:c r="Y2461" t="str">
        <x:v>ENH-20260830-01</x:v>
      </x:c>
      <x:c r="Z2461" t="str">
        <x:v>Active</x:v>
      </x:c>
      <x:c r="AA2461"/>
      <x:c r="AB2461"/>
      <x:c r="AC2461"/>
      <x:c r="AD2461"/>
    </x:row>
    <x:row r="2462">
      <x:c r="A2462" t="str">
        <x:v>PCC-PE-KG01-L25-20251023-PM-ORD-2025-00162-S01-C1</x:v>
      </x:c>
      <x:c r="B2462" t="str">
        <x:v>PC-PE-KG01-L25-20251023-PM-ORD-2025-00162-S01</x:v>
      </x:c>
      <x:c r="C2462" t="str">
        <x:v>PE-KG01-L25-20251023-PM-ORD-2025-00162</x:v>
      </x:c>
      <x:c r="D2462" t="str">
        <x:v>KG01</x:v>
      </x:c>
      <x:c r="E2462" s="62" t="n">
        <x:v>45953</x:v>
      </x:c>
      <x:c r="F2462" t="str">
        <x:v>PM</x:v>
      </x:c>
      <x:c r="G2462" t="str">
        <x:v>A</x:v>
      </x:c>
      <x:c r="H2462" t="n">
        <x:v>25</x:v>
      </x:c>
      <x:c r="I2462" t="str">
        <x:v>ORD-2025-00162</x:v>
      </x:c>
      <x:c r="J2462" t="n">
        <x:v>1</x:v>
      </x:c>
      <x:c r="K2462" t="n">
        <x:v>1</x:v>
      </x:c>
      <x:c r="L2462" t="str">
        <x:v>L25-S01-C1</x:v>
      </x:c>
      <x:c r="M2462" t="n">
        <x:v>1</x:v>
      </x:c>
      <x:c r="N2462" t="str">
        <x:v>DerivedFromCount</x:v>
      </x:c>
      <x:c r="O2462" t="str">
        <x:v>PLC-PRD-JAR-330-L25</x:v>
      </x:c>
      <x:c r="P2462" t="str">
        <x:v>OK</x:v>
      </x:c>
      <x:c r="Q2462" t="str">
        <x:v>OK</x:v>
      </x:c>
      <x:c r="R2462" t="str">
        <x:v>OK</x:v>
      </x:c>
      <x:c r="S2462" t="str">
        <x:v>OK</x:v>
      </x:c>
      <x:c r="T2462" t="n">
        <x:v>24</x:v>
      </x:c>
      <x:c r="U2462" t="str">
        <x:v>OK</x:v>
      </x:c>
      <x:c r="V2462" t="str">
        <x:v>OK</x:v>
      </x:c>
      <x:c r="W2462" t="str">
        <x:v>LOAD</x:v>
      </x:c>
      <x:c r="X2462" t="str">
        <x:v>02_Supervisor_Log(4).xlsx</x:v>
      </x:c>
      <x:c r="Y2462" t="str">
        <x:v>ENH-20260830-01</x:v>
      </x:c>
      <x:c r="Z2462" t="str">
        <x:v>Active</x:v>
      </x:c>
      <x:c r="AA2462"/>
      <x:c r="AB2462"/>
      <x:c r="AC2462"/>
      <x:c r="AD2462"/>
    </x:row>
    <x:row r="2463">
      <x:c r="A2463" t="str">
        <x:v>PCC-PE-KG01-L25-20251023-PM-ORD-2025-00162-S01-C2</x:v>
      </x:c>
      <x:c r="B2463" t="str">
        <x:v>PC-PE-KG01-L25-20251023-PM-ORD-2025-00162-S01</x:v>
      </x:c>
      <x:c r="C2463" t="str">
        <x:v>PE-KG01-L25-20251023-PM-ORD-2025-00162</x:v>
      </x:c>
      <x:c r="D2463" t="str">
        <x:v>KG01</x:v>
      </x:c>
      <x:c r="E2463" s="62" t="n">
        <x:v>45953</x:v>
      </x:c>
      <x:c r="F2463" t="str">
        <x:v>PM</x:v>
      </x:c>
      <x:c r="G2463" t="str">
        <x:v>A</x:v>
      </x:c>
      <x:c r="H2463" t="n">
        <x:v>25</x:v>
      </x:c>
      <x:c r="I2463" t="str">
        <x:v>ORD-2025-00162</x:v>
      </x:c>
      <x:c r="J2463" t="n">
        <x:v>1</x:v>
      </x:c>
      <x:c r="K2463" t="n">
        <x:v>2</x:v>
      </x:c>
      <x:c r="L2463" t="str">
        <x:v>L25-S01-C2</x:v>
      </x:c>
      <x:c r="M2463" t="n">
        <x:v>1</x:v>
      </x:c>
      <x:c r="N2463" t="str">
        <x:v>DerivedFromCount</x:v>
      </x:c>
      <x:c r="O2463" t="str">
        <x:v>PLC-PRD-JAR-330-L25</x:v>
      </x:c>
      <x:c r="P2463" t="str">
        <x:v>OK</x:v>
      </x:c>
      <x:c r="Q2463" t="str">
        <x:v>OK</x:v>
      </x:c>
      <x:c r="R2463" t="str">
        <x:v>OK</x:v>
      </x:c>
      <x:c r="S2463" t="str">
        <x:v>OK</x:v>
      </x:c>
      <x:c r="T2463" t="n">
        <x:v>24</x:v>
      </x:c>
      <x:c r="U2463" t="str">
        <x:v>OK</x:v>
      </x:c>
      <x:c r="V2463" t="str">
        <x:v>OK</x:v>
      </x:c>
      <x:c r="W2463" t="str">
        <x:v>LOAD</x:v>
      </x:c>
      <x:c r="X2463" t="str">
        <x:v>02_Supervisor_Log(4).xlsx</x:v>
      </x:c>
      <x:c r="Y2463" t="str">
        <x:v>ENH-20260830-01</x:v>
      </x:c>
      <x:c r="Z2463" t="str">
        <x:v>Active</x:v>
      </x:c>
      <x:c r="AA2463"/>
      <x:c r="AB2463"/>
      <x:c r="AC2463"/>
      <x:c r="AD2463"/>
    </x:row>
    <x:row r="2464">
      <x:c r="A2464" t="str">
        <x:v>PCC-PE-KG01-L25-20251023-PM-ORD-2025-00162-S01-C3</x:v>
      </x:c>
      <x:c r="B2464" t="str">
        <x:v>PC-PE-KG01-L25-20251023-PM-ORD-2025-00162-S01</x:v>
      </x:c>
      <x:c r="C2464" t="str">
        <x:v>PE-KG01-L25-20251023-PM-ORD-2025-00162</x:v>
      </x:c>
      <x:c r="D2464" t="str">
        <x:v>KG01</x:v>
      </x:c>
      <x:c r="E2464" s="62" t="n">
        <x:v>45953</x:v>
      </x:c>
      <x:c r="F2464" t="str">
        <x:v>PM</x:v>
      </x:c>
      <x:c r="G2464" t="str">
        <x:v>A</x:v>
      </x:c>
      <x:c r="H2464" t="n">
        <x:v>25</x:v>
      </x:c>
      <x:c r="I2464" t="str">
        <x:v>ORD-2025-00162</x:v>
      </x:c>
      <x:c r="J2464" t="n">
        <x:v>1</x:v>
      </x:c>
      <x:c r="K2464" t="n">
        <x:v>3</x:v>
      </x:c>
      <x:c r="L2464" t="str">
        <x:v>L25-S01-C3</x:v>
      </x:c>
      <x:c r="M2464" t="n">
        <x:v>1</x:v>
      </x:c>
      <x:c r="N2464" t="str">
        <x:v>DerivedFromCount</x:v>
      </x:c>
      <x:c r="O2464" t="str">
        <x:v>PLC-PRD-JAR-330-L25</x:v>
      </x:c>
      <x:c r="P2464" t="str">
        <x:v>OK</x:v>
      </x:c>
      <x:c r="Q2464" t="str">
        <x:v>OK</x:v>
      </x:c>
      <x:c r="R2464" t="str">
        <x:v>OK</x:v>
      </x:c>
      <x:c r="S2464" t="str">
        <x:v>OK</x:v>
      </x:c>
      <x:c r="T2464" t="n">
        <x:v>24</x:v>
      </x:c>
      <x:c r="U2464" t="str">
        <x:v>OK</x:v>
      </x:c>
      <x:c r="V2464" t="str">
        <x:v>OK</x:v>
      </x:c>
      <x:c r="W2464" t="str">
        <x:v>LOAD</x:v>
      </x:c>
      <x:c r="X2464" t="str">
        <x:v>02_Supervisor_Log(4).xlsx</x:v>
      </x:c>
      <x:c r="Y2464" t="str">
        <x:v>ENH-20260830-01</x:v>
      </x:c>
      <x:c r="Z2464" t="str">
        <x:v>Active</x:v>
      </x:c>
      <x:c r="AA2464"/>
      <x:c r="AB2464"/>
      <x:c r="AC2464"/>
      <x:c r="AD2464"/>
    </x:row>
    <x:row r="2465">
      <x:c r="A2465" t="str">
        <x:v>PCC-PE-KG01-L25-20251023-PM-ORD-2025-00162-S02-C1</x:v>
      </x:c>
      <x:c r="B2465" t="str">
        <x:v>PC-PE-KG01-L25-20251023-PM-ORD-2025-00162-S02</x:v>
      </x:c>
      <x:c r="C2465" t="str">
        <x:v>PE-KG01-L25-20251023-PM-ORD-2025-00162</x:v>
      </x:c>
      <x:c r="D2465" t="str">
        <x:v>KG01</x:v>
      </x:c>
      <x:c r="E2465" s="62" t="n">
        <x:v>45953</x:v>
      </x:c>
      <x:c r="F2465" t="str">
        <x:v>PM</x:v>
      </x:c>
      <x:c r="G2465" t="str">
        <x:v>A</x:v>
      </x:c>
      <x:c r="H2465" t="n">
        <x:v>25</x:v>
      </x:c>
      <x:c r="I2465" t="str">
        <x:v>ORD-2025-00162</x:v>
      </x:c>
      <x:c r="J2465" t="n">
        <x:v>2</x:v>
      </x:c>
      <x:c r="K2465" t="n">
        <x:v>1</x:v>
      </x:c>
      <x:c r="L2465" t="str">
        <x:v>L25-S02-C1</x:v>
      </x:c>
      <x:c r="M2465" t="n">
        <x:v>1</x:v>
      </x:c>
      <x:c r="N2465" t="str">
        <x:v>DerivedFromCount</x:v>
      </x:c>
      <x:c r="O2465" t="str">
        <x:v>PLC-PRD-JAR-330-L25</x:v>
      </x:c>
      <x:c r="P2465" t="str">
        <x:v>OK</x:v>
      </x:c>
      <x:c r="Q2465" t="str">
        <x:v>OK</x:v>
      </x:c>
      <x:c r="R2465" t="str">
        <x:v>OK</x:v>
      </x:c>
      <x:c r="S2465" t="str">
        <x:v>OK</x:v>
      </x:c>
      <x:c r="T2465" t="n">
        <x:v>24</x:v>
      </x:c>
      <x:c r="U2465" t="str">
        <x:v>OK</x:v>
      </x:c>
      <x:c r="V2465" t="str">
        <x:v>OK</x:v>
      </x:c>
      <x:c r="W2465" t="str">
        <x:v>LOAD</x:v>
      </x:c>
      <x:c r="X2465" t="str">
        <x:v>02_Supervisor_Log(4).xlsx</x:v>
      </x:c>
      <x:c r="Y2465" t="str">
        <x:v>ENH-20260830-01</x:v>
      </x:c>
      <x:c r="Z2465" t="str">
        <x:v>Active</x:v>
      </x:c>
      <x:c r="AA2465"/>
      <x:c r="AB2465"/>
      <x:c r="AC2465"/>
      <x:c r="AD2465"/>
    </x:row>
    <x:row r="2466">
      <x:c r="A2466" t="str">
        <x:v>PCC-PE-KG01-L25-20251023-PM-ORD-2025-00162-S02-C2</x:v>
      </x:c>
      <x:c r="B2466" t="str">
        <x:v>PC-PE-KG01-L25-20251023-PM-ORD-2025-00162-S02</x:v>
      </x:c>
      <x:c r="C2466" t="str">
        <x:v>PE-KG01-L25-20251023-PM-ORD-2025-00162</x:v>
      </x:c>
      <x:c r="D2466" t="str">
        <x:v>KG01</x:v>
      </x:c>
      <x:c r="E2466" s="62" t="n">
        <x:v>45953</x:v>
      </x:c>
      <x:c r="F2466" t="str">
        <x:v>PM</x:v>
      </x:c>
      <x:c r="G2466" t="str">
        <x:v>A</x:v>
      </x:c>
      <x:c r="H2466" t="n">
        <x:v>25</x:v>
      </x:c>
      <x:c r="I2466" t="str">
        <x:v>ORD-2025-00162</x:v>
      </x:c>
      <x:c r="J2466" t="n">
        <x:v>2</x:v>
      </x:c>
      <x:c r="K2466" t="n">
        <x:v>2</x:v>
      </x:c>
      <x:c r="L2466" t="str">
        <x:v>L25-S02-C2</x:v>
      </x:c>
      <x:c r="M2466" t="n">
        <x:v>1</x:v>
      </x:c>
      <x:c r="N2466" t="str">
        <x:v>DerivedFromCount</x:v>
      </x:c>
      <x:c r="O2466" t="str">
        <x:v>PLC-PRD-JAR-330-L25</x:v>
      </x:c>
      <x:c r="P2466" t="str">
        <x:v>OK</x:v>
      </x:c>
      <x:c r="Q2466" t="str">
        <x:v>OK</x:v>
      </x:c>
      <x:c r="R2466" t="str">
        <x:v>OK</x:v>
      </x:c>
      <x:c r="S2466" t="str">
        <x:v>OK</x:v>
      </x:c>
      <x:c r="T2466" t="n">
        <x:v>24</x:v>
      </x:c>
      <x:c r="U2466" t="str">
        <x:v>OK</x:v>
      </x:c>
      <x:c r="V2466" t="str">
        <x:v>OK</x:v>
      </x:c>
      <x:c r="W2466" t="str">
        <x:v>LOAD</x:v>
      </x:c>
      <x:c r="X2466" t="str">
        <x:v>02_Supervisor_Log(4).xlsx</x:v>
      </x:c>
      <x:c r="Y2466" t="str">
        <x:v>ENH-20260830-01</x:v>
      </x:c>
      <x:c r="Z2466" t="str">
        <x:v>Active</x:v>
      </x:c>
      <x:c r="AA2466"/>
      <x:c r="AB2466"/>
      <x:c r="AC2466"/>
      <x:c r="AD2466"/>
    </x:row>
    <x:row r="2467">
      <x:c r="A2467" t="str">
        <x:v>PCC-PE-KG01-L25-20251023-PM-ORD-2025-00162-S02-C3</x:v>
      </x:c>
      <x:c r="B2467" t="str">
        <x:v>PC-PE-KG01-L25-20251023-PM-ORD-2025-00162-S02</x:v>
      </x:c>
      <x:c r="C2467" t="str">
        <x:v>PE-KG01-L25-20251023-PM-ORD-2025-00162</x:v>
      </x:c>
      <x:c r="D2467" t="str">
        <x:v>KG01</x:v>
      </x:c>
      <x:c r="E2467" s="62" t="n">
        <x:v>45953</x:v>
      </x:c>
      <x:c r="F2467" t="str">
        <x:v>PM</x:v>
      </x:c>
      <x:c r="G2467" t="str">
        <x:v>A</x:v>
      </x:c>
      <x:c r="H2467" t="n">
        <x:v>25</x:v>
      </x:c>
      <x:c r="I2467" t="str">
        <x:v>ORD-2025-00162</x:v>
      </x:c>
      <x:c r="J2467" t="n">
        <x:v>2</x:v>
      </x:c>
      <x:c r="K2467" t="n">
        <x:v>3</x:v>
      </x:c>
      <x:c r="L2467" t="str">
        <x:v>L25-S02-C3</x:v>
      </x:c>
      <x:c r="M2467" t="n">
        <x:v>1</x:v>
      </x:c>
      <x:c r="N2467" t="str">
        <x:v>DerivedFromCount</x:v>
      </x:c>
      <x:c r="O2467" t="str">
        <x:v>PLC-PRD-JAR-330-L25</x:v>
      </x:c>
      <x:c r="P2467" t="str">
        <x:v>OK</x:v>
      </x:c>
      <x:c r="Q2467" t="str">
        <x:v>OK</x:v>
      </x:c>
      <x:c r="R2467" t="str">
        <x:v>OK</x:v>
      </x:c>
      <x:c r="S2467" t="str">
        <x:v>OK</x:v>
      </x:c>
      <x:c r="T2467" t="n">
        <x:v>24</x:v>
      </x:c>
      <x:c r="U2467" t="str">
        <x:v>OK</x:v>
      </x:c>
      <x:c r="V2467" t="str">
        <x:v>OK</x:v>
      </x:c>
      <x:c r="W2467" t="str">
        <x:v>LOAD</x:v>
      </x:c>
      <x:c r="X2467" t="str">
        <x:v>02_Supervisor_Log(4).xlsx</x:v>
      </x:c>
      <x:c r="Y2467" t="str">
        <x:v>ENH-20260830-01</x:v>
      </x:c>
      <x:c r="Z2467" t="str">
        <x:v>Active</x:v>
      </x:c>
      <x:c r="AA2467"/>
      <x:c r="AB2467"/>
      <x:c r="AC2467"/>
      <x:c r="AD2467"/>
    </x:row>
    <x:row r="2468">
      <x:c r="A2468" t="str">
        <x:v>PCC-PE-KG01-L25-20251023-PM-ORD-2025-00162-S03-C1</x:v>
      </x:c>
      <x:c r="B2468" t="str">
        <x:v>PC-PE-KG01-L25-20251023-PM-ORD-2025-00162-S03</x:v>
      </x:c>
      <x:c r="C2468" t="str">
        <x:v>PE-KG01-L25-20251023-PM-ORD-2025-00162</x:v>
      </x:c>
      <x:c r="D2468" t="str">
        <x:v>KG01</x:v>
      </x:c>
      <x:c r="E2468" s="62" t="n">
        <x:v>45953</x:v>
      </x:c>
      <x:c r="F2468" t="str">
        <x:v>PM</x:v>
      </x:c>
      <x:c r="G2468" t="str">
        <x:v>A</x:v>
      </x:c>
      <x:c r="H2468" t="n">
        <x:v>25</x:v>
      </x:c>
      <x:c r="I2468" t="str">
        <x:v>ORD-2025-00162</x:v>
      </x:c>
      <x:c r="J2468" t="n">
        <x:v>3</x:v>
      </x:c>
      <x:c r="K2468" t="n">
        <x:v>1</x:v>
      </x:c>
      <x:c r="L2468" t="str">
        <x:v>L25-S03-C1</x:v>
      </x:c>
      <x:c r="M2468" t="n">
        <x:v>1</x:v>
      </x:c>
      <x:c r="N2468" t="str">
        <x:v>DerivedFromCount</x:v>
      </x:c>
      <x:c r="O2468" t="str">
        <x:v>PLC-PRD-JAR-330-L25</x:v>
      </x:c>
      <x:c r="P2468" t="str">
        <x:v>OK</x:v>
      </x:c>
      <x:c r="Q2468" t="str">
        <x:v>OK</x:v>
      </x:c>
      <x:c r="R2468" t="str">
        <x:v>OK</x:v>
      </x:c>
      <x:c r="S2468" t="str">
        <x:v>OK</x:v>
      </x:c>
      <x:c r="T2468" t="n">
        <x:v>24</x:v>
      </x:c>
      <x:c r="U2468" t="str">
        <x:v>OK</x:v>
      </x:c>
      <x:c r="V2468" t="str">
        <x:v>OK</x:v>
      </x:c>
      <x:c r="W2468" t="str">
        <x:v>LOAD</x:v>
      </x:c>
      <x:c r="X2468" t="str">
        <x:v>02_Supervisor_Log(4).xlsx</x:v>
      </x:c>
      <x:c r="Y2468" t="str">
        <x:v>ENH-20260830-01</x:v>
      </x:c>
      <x:c r="Z2468" t="str">
        <x:v>Active</x:v>
      </x:c>
      <x:c r="AA2468"/>
      <x:c r="AB2468"/>
      <x:c r="AC2468"/>
      <x:c r="AD2468"/>
    </x:row>
    <x:row r="2469">
      <x:c r="A2469" t="str">
        <x:v>PCC-PE-KG01-L25-20251023-PM-ORD-2025-00162-S03-C2</x:v>
      </x:c>
      <x:c r="B2469" t="str">
        <x:v>PC-PE-KG01-L25-20251023-PM-ORD-2025-00162-S03</x:v>
      </x:c>
      <x:c r="C2469" t="str">
        <x:v>PE-KG01-L25-20251023-PM-ORD-2025-00162</x:v>
      </x:c>
      <x:c r="D2469" t="str">
        <x:v>KG01</x:v>
      </x:c>
      <x:c r="E2469" s="62" t="n">
        <x:v>45953</x:v>
      </x:c>
      <x:c r="F2469" t="str">
        <x:v>PM</x:v>
      </x:c>
      <x:c r="G2469" t="str">
        <x:v>A</x:v>
      </x:c>
      <x:c r="H2469" t="n">
        <x:v>25</x:v>
      </x:c>
      <x:c r="I2469" t="str">
        <x:v>ORD-2025-00162</x:v>
      </x:c>
      <x:c r="J2469" t="n">
        <x:v>3</x:v>
      </x:c>
      <x:c r="K2469" t="n">
        <x:v>2</x:v>
      </x:c>
      <x:c r="L2469" t="str">
        <x:v>L25-S03-C2</x:v>
      </x:c>
      <x:c r="M2469" t="n">
        <x:v>1</x:v>
      </x:c>
      <x:c r="N2469" t="str">
        <x:v>DerivedFromCount</x:v>
      </x:c>
      <x:c r="O2469" t="str">
        <x:v>PLC-PRD-JAR-330-L25</x:v>
      </x:c>
      <x:c r="P2469" t="str">
        <x:v>OK</x:v>
      </x:c>
      <x:c r="Q2469" t="str">
        <x:v>OK</x:v>
      </x:c>
      <x:c r="R2469" t="str">
        <x:v>OK</x:v>
      </x:c>
      <x:c r="S2469" t="str">
        <x:v>OK</x:v>
      </x:c>
      <x:c r="T2469" t="n">
        <x:v>24</x:v>
      </x:c>
      <x:c r="U2469" t="str">
        <x:v>OK</x:v>
      </x:c>
      <x:c r="V2469" t="str">
        <x:v>OK</x:v>
      </x:c>
      <x:c r="W2469" t="str">
        <x:v>LOAD</x:v>
      </x:c>
      <x:c r="X2469" t="str">
        <x:v>02_Supervisor_Log(4).xlsx</x:v>
      </x:c>
      <x:c r="Y2469" t="str">
        <x:v>ENH-20260830-01</x:v>
      </x:c>
      <x:c r="Z2469" t="str">
        <x:v>Active</x:v>
      </x:c>
      <x:c r="AA2469"/>
      <x:c r="AB2469"/>
      <x:c r="AC2469"/>
      <x:c r="AD2469"/>
    </x:row>
    <x:row r="2470">
      <x:c r="A2470" t="str">
        <x:v>PCC-PE-KG01-L25-20251023-PM-ORD-2025-00162-S03-C3</x:v>
      </x:c>
      <x:c r="B2470" t="str">
        <x:v>PC-PE-KG01-L25-20251023-PM-ORD-2025-00162-S03</x:v>
      </x:c>
      <x:c r="C2470" t="str">
        <x:v>PE-KG01-L25-20251023-PM-ORD-2025-00162</x:v>
      </x:c>
      <x:c r="D2470" t="str">
        <x:v>KG01</x:v>
      </x:c>
      <x:c r="E2470" s="62" t="n">
        <x:v>45953</x:v>
      </x:c>
      <x:c r="F2470" t="str">
        <x:v>PM</x:v>
      </x:c>
      <x:c r="G2470" t="str">
        <x:v>A</x:v>
      </x:c>
      <x:c r="H2470" t="n">
        <x:v>25</x:v>
      </x:c>
      <x:c r="I2470" t="str">
        <x:v>ORD-2025-00162</x:v>
      </x:c>
      <x:c r="J2470" t="n">
        <x:v>3</x:v>
      </x:c>
      <x:c r="K2470" t="n">
        <x:v>3</x:v>
      </x:c>
      <x:c r="L2470" t="str">
        <x:v>L25-S03-C3</x:v>
      </x:c>
      <x:c r="M2470" t="n">
        <x:v>1</x:v>
      </x:c>
      <x:c r="N2470" t="str">
        <x:v>DerivedFromCount</x:v>
      </x:c>
      <x:c r="O2470" t="str">
        <x:v>PLC-PRD-JAR-330-L25</x:v>
      </x:c>
      <x:c r="P2470" t="str">
        <x:v>OK</x:v>
      </x:c>
      <x:c r="Q2470" t="str">
        <x:v>OK</x:v>
      </x:c>
      <x:c r="R2470" t="str">
        <x:v>OK</x:v>
      </x:c>
      <x:c r="S2470" t="str">
        <x:v>OK</x:v>
      </x:c>
      <x:c r="T2470" t="n">
        <x:v>24</x:v>
      </x:c>
      <x:c r="U2470" t="str">
        <x:v>OK</x:v>
      </x:c>
      <x:c r="V2470" t="str">
        <x:v>OK</x:v>
      </x:c>
      <x:c r="W2470" t="str">
        <x:v>LOAD</x:v>
      </x:c>
      <x:c r="X2470" t="str">
        <x:v>02_Supervisor_Log(4).xlsx</x:v>
      </x:c>
      <x:c r="Y2470" t="str">
        <x:v>ENH-20260830-01</x:v>
      </x:c>
      <x:c r="Z2470" t="str">
        <x:v>Active</x:v>
      </x:c>
      <x:c r="AA2470"/>
      <x:c r="AB2470"/>
      <x:c r="AC2470"/>
      <x:c r="AD2470"/>
    </x:row>
    <x:row r="2471">
      <x:c r="A2471" t="str">
        <x:v>PCC-PE-KG01-L25-20251023-PM-ORD-2025-00162-S04-C1</x:v>
      </x:c>
      <x:c r="B2471" t="str">
        <x:v>PC-PE-KG01-L25-20251023-PM-ORD-2025-00162-S04</x:v>
      </x:c>
      <x:c r="C2471" t="str">
        <x:v>PE-KG01-L25-20251023-PM-ORD-2025-00162</x:v>
      </x:c>
      <x:c r="D2471" t="str">
        <x:v>KG01</x:v>
      </x:c>
      <x:c r="E2471" s="62" t="n">
        <x:v>45953</x:v>
      </x:c>
      <x:c r="F2471" t="str">
        <x:v>PM</x:v>
      </x:c>
      <x:c r="G2471" t="str">
        <x:v>A</x:v>
      </x:c>
      <x:c r="H2471" t="n">
        <x:v>25</x:v>
      </x:c>
      <x:c r="I2471" t="str">
        <x:v>ORD-2025-00162</x:v>
      </x:c>
      <x:c r="J2471" t="n">
        <x:v>4</x:v>
      </x:c>
      <x:c r="K2471" t="n">
        <x:v>1</x:v>
      </x:c>
      <x:c r="L2471" t="str">
        <x:v>L25-S04-C1</x:v>
      </x:c>
      <x:c r="M2471" t="n">
        <x:v>1</x:v>
      </x:c>
      <x:c r="N2471" t="str">
        <x:v>DerivedFromCount</x:v>
      </x:c>
      <x:c r="O2471" t="str">
        <x:v>PLC-PRD-JAR-330-L25</x:v>
      </x:c>
      <x:c r="P2471" t="str">
        <x:v>OK</x:v>
      </x:c>
      <x:c r="Q2471" t="str">
        <x:v>OK</x:v>
      </x:c>
      <x:c r="R2471" t="str">
        <x:v>OK</x:v>
      </x:c>
      <x:c r="S2471" t="str">
        <x:v>OK</x:v>
      </x:c>
      <x:c r="T2471" t="n">
        <x:v>24</x:v>
      </x:c>
      <x:c r="U2471" t="str">
        <x:v>OK</x:v>
      </x:c>
      <x:c r="V2471" t="str">
        <x:v>OK</x:v>
      </x:c>
      <x:c r="W2471" t="str">
        <x:v>LOAD</x:v>
      </x:c>
      <x:c r="X2471" t="str">
        <x:v>02_Supervisor_Log(4).xlsx</x:v>
      </x:c>
      <x:c r="Y2471" t="str">
        <x:v>ENH-20260830-01</x:v>
      </x:c>
      <x:c r="Z2471" t="str">
        <x:v>Active</x:v>
      </x:c>
      <x:c r="AA2471"/>
      <x:c r="AB2471"/>
      <x:c r="AC2471"/>
      <x:c r="AD2471"/>
    </x:row>
    <x:row r="2472">
      <x:c r="A2472" t="str">
        <x:v>PCC-PE-KG01-L25-20251023-PM-ORD-2025-00162-S04-C2</x:v>
      </x:c>
      <x:c r="B2472" t="str">
        <x:v>PC-PE-KG01-L25-20251023-PM-ORD-2025-00162-S04</x:v>
      </x:c>
      <x:c r="C2472" t="str">
        <x:v>PE-KG01-L25-20251023-PM-ORD-2025-00162</x:v>
      </x:c>
      <x:c r="D2472" t="str">
        <x:v>KG01</x:v>
      </x:c>
      <x:c r="E2472" s="62" t="n">
        <x:v>45953</x:v>
      </x:c>
      <x:c r="F2472" t="str">
        <x:v>PM</x:v>
      </x:c>
      <x:c r="G2472" t="str">
        <x:v>A</x:v>
      </x:c>
      <x:c r="H2472" t="n">
        <x:v>25</x:v>
      </x:c>
      <x:c r="I2472" t="str">
        <x:v>ORD-2025-00162</x:v>
      </x:c>
      <x:c r="J2472" t="n">
        <x:v>4</x:v>
      </x:c>
      <x:c r="K2472" t="n">
        <x:v>2</x:v>
      </x:c>
      <x:c r="L2472" t="str">
        <x:v>L25-S04-C2</x:v>
      </x:c>
      <x:c r="M2472" t="n">
        <x:v>1</x:v>
      </x:c>
      <x:c r="N2472" t="str">
        <x:v>DerivedFromCount</x:v>
      </x:c>
      <x:c r="O2472" t="str">
        <x:v>PLC-PRD-JAR-330-L25</x:v>
      </x:c>
      <x:c r="P2472" t="str">
        <x:v>OK</x:v>
      </x:c>
      <x:c r="Q2472" t="str">
        <x:v>OK</x:v>
      </x:c>
      <x:c r="R2472" t="str">
        <x:v>OK</x:v>
      </x:c>
      <x:c r="S2472" t="str">
        <x:v>OK</x:v>
      </x:c>
      <x:c r="T2472" t="n">
        <x:v>24</x:v>
      </x:c>
      <x:c r="U2472" t="str">
        <x:v>OK</x:v>
      </x:c>
      <x:c r="V2472" t="str">
        <x:v>OK</x:v>
      </x:c>
      <x:c r="W2472" t="str">
        <x:v>LOAD</x:v>
      </x:c>
      <x:c r="X2472" t="str">
        <x:v>02_Supervisor_Log(4).xlsx</x:v>
      </x:c>
      <x:c r="Y2472" t="str">
        <x:v>ENH-20260830-01</x:v>
      </x:c>
      <x:c r="Z2472" t="str">
        <x:v>Active</x:v>
      </x:c>
      <x:c r="AA2472"/>
      <x:c r="AB2472"/>
      <x:c r="AC2472"/>
      <x:c r="AD2472"/>
    </x:row>
    <x:row r="2473">
      <x:c r="A2473" t="str">
        <x:v>PCC-PE-KG01-L25-20251023-PM-ORD-2025-00162-S04-C3</x:v>
      </x:c>
      <x:c r="B2473" t="str">
        <x:v>PC-PE-KG01-L25-20251023-PM-ORD-2025-00162-S04</x:v>
      </x:c>
      <x:c r="C2473" t="str">
        <x:v>PE-KG01-L25-20251023-PM-ORD-2025-00162</x:v>
      </x:c>
      <x:c r="D2473" t="str">
        <x:v>KG01</x:v>
      </x:c>
      <x:c r="E2473" s="62" t="n">
        <x:v>45953</x:v>
      </x:c>
      <x:c r="F2473" t="str">
        <x:v>PM</x:v>
      </x:c>
      <x:c r="G2473" t="str">
        <x:v>A</x:v>
      </x:c>
      <x:c r="H2473" t="n">
        <x:v>25</x:v>
      </x:c>
      <x:c r="I2473" t="str">
        <x:v>ORD-2025-00162</x:v>
      </x:c>
      <x:c r="J2473" t="n">
        <x:v>4</x:v>
      </x:c>
      <x:c r="K2473" t="n">
        <x:v>3</x:v>
      </x:c>
      <x:c r="L2473" t="str">
        <x:v>L25-S04-C3</x:v>
      </x:c>
      <x:c r="M2473" t="n">
        <x:v>1</x:v>
      </x:c>
      <x:c r="N2473" t="str">
        <x:v>DerivedFromCount</x:v>
      </x:c>
      <x:c r="O2473" t="str">
        <x:v>PLC-PRD-JAR-330-L25</x:v>
      </x:c>
      <x:c r="P2473" t="str">
        <x:v>OK</x:v>
      </x:c>
      <x:c r="Q2473" t="str">
        <x:v>OK</x:v>
      </x:c>
      <x:c r="R2473" t="str">
        <x:v>OK</x:v>
      </x:c>
      <x:c r="S2473" t="str">
        <x:v>OK</x:v>
      </x:c>
      <x:c r="T2473" t="n">
        <x:v>24</x:v>
      </x:c>
      <x:c r="U2473" t="str">
        <x:v>OK</x:v>
      </x:c>
      <x:c r="V2473" t="str">
        <x:v>OK</x:v>
      </x:c>
      <x:c r="W2473" t="str">
        <x:v>LOAD</x:v>
      </x:c>
      <x:c r="X2473" t="str">
        <x:v>02_Supervisor_Log(4).xlsx</x:v>
      </x:c>
      <x:c r="Y2473" t="str">
        <x:v>ENH-20260830-01</x:v>
      </x:c>
      <x:c r="Z2473" t="str">
        <x:v>Active</x:v>
      </x:c>
      <x:c r="AA2473"/>
      <x:c r="AB2473"/>
      <x:c r="AC2473"/>
      <x:c r="AD2473"/>
    </x:row>
    <x:row r="2474">
      <x:c r="A2474" t="str">
        <x:v>PCC-PE-KG01-L25-20251023-PM-ORD-2025-00162-S05-C1</x:v>
      </x:c>
      <x:c r="B2474" t="str">
        <x:v>PC-PE-KG01-L25-20251023-PM-ORD-2025-00162-S05</x:v>
      </x:c>
      <x:c r="C2474" t="str">
        <x:v>PE-KG01-L25-20251023-PM-ORD-2025-00162</x:v>
      </x:c>
      <x:c r="D2474" t="str">
        <x:v>KG01</x:v>
      </x:c>
      <x:c r="E2474" s="62" t="n">
        <x:v>45953</x:v>
      </x:c>
      <x:c r="F2474" t="str">
        <x:v>PM</x:v>
      </x:c>
      <x:c r="G2474" t="str">
        <x:v>A</x:v>
      </x:c>
      <x:c r="H2474" t="n">
        <x:v>25</x:v>
      </x:c>
      <x:c r="I2474" t="str">
        <x:v>ORD-2025-00162</x:v>
      </x:c>
      <x:c r="J2474" t="n">
        <x:v>5</x:v>
      </x:c>
      <x:c r="K2474" t="n">
        <x:v>1</x:v>
      </x:c>
      <x:c r="L2474" t="str">
        <x:v>L25-S05-C1</x:v>
      </x:c>
      <x:c r="M2474" t="n">
        <x:v>1</x:v>
      </x:c>
      <x:c r="N2474" t="str">
        <x:v>DerivedFromCount</x:v>
      </x:c>
      <x:c r="O2474" t="str">
        <x:v>PLC-PRD-JAR-330-L25</x:v>
      </x:c>
      <x:c r="P2474" t="str">
        <x:v>OK</x:v>
      </x:c>
      <x:c r="Q2474" t="str">
        <x:v>OK</x:v>
      </x:c>
      <x:c r="R2474" t="str">
        <x:v>OK</x:v>
      </x:c>
      <x:c r="S2474" t="str">
        <x:v>OK</x:v>
      </x:c>
      <x:c r="T2474" t="n">
        <x:v>24</x:v>
      </x:c>
      <x:c r="U2474" t="str">
        <x:v>OK</x:v>
      </x:c>
      <x:c r="V2474" t="str">
        <x:v>OK</x:v>
      </x:c>
      <x:c r="W2474" t="str">
        <x:v>LOAD</x:v>
      </x:c>
      <x:c r="X2474" t="str">
        <x:v>02_Supervisor_Log(4).xlsx</x:v>
      </x:c>
      <x:c r="Y2474" t="str">
        <x:v>ENH-20260830-01</x:v>
      </x:c>
      <x:c r="Z2474" t="str">
        <x:v>Active</x:v>
      </x:c>
      <x:c r="AA2474"/>
      <x:c r="AB2474"/>
      <x:c r="AC2474"/>
      <x:c r="AD2474"/>
    </x:row>
    <x:row r="2475">
      <x:c r="A2475" t="str">
        <x:v>PCC-PE-KG01-L25-20251023-PM-ORD-2025-00162-S05-C2</x:v>
      </x:c>
      <x:c r="B2475" t="str">
        <x:v>PC-PE-KG01-L25-20251023-PM-ORD-2025-00162-S05</x:v>
      </x:c>
      <x:c r="C2475" t="str">
        <x:v>PE-KG01-L25-20251023-PM-ORD-2025-00162</x:v>
      </x:c>
      <x:c r="D2475" t="str">
        <x:v>KG01</x:v>
      </x:c>
      <x:c r="E2475" s="62" t="n">
        <x:v>45953</x:v>
      </x:c>
      <x:c r="F2475" t="str">
        <x:v>PM</x:v>
      </x:c>
      <x:c r="G2475" t="str">
        <x:v>A</x:v>
      </x:c>
      <x:c r="H2475" t="n">
        <x:v>25</x:v>
      </x:c>
      <x:c r="I2475" t="str">
        <x:v>ORD-2025-00162</x:v>
      </x:c>
      <x:c r="J2475" t="n">
        <x:v>5</x:v>
      </x:c>
      <x:c r="K2475" t="n">
        <x:v>2</x:v>
      </x:c>
      <x:c r="L2475" t="str">
        <x:v>L25-S05-C2</x:v>
      </x:c>
      <x:c r="M2475" t="n">
        <x:v>1</x:v>
      </x:c>
      <x:c r="N2475" t="str">
        <x:v>DerivedFromCount</x:v>
      </x:c>
      <x:c r="O2475" t="str">
        <x:v>PLC-PRD-JAR-330-L25</x:v>
      </x:c>
      <x:c r="P2475" t="str">
        <x:v>OK</x:v>
      </x:c>
      <x:c r="Q2475" t="str">
        <x:v>OK</x:v>
      </x:c>
      <x:c r="R2475" t="str">
        <x:v>OK</x:v>
      </x:c>
      <x:c r="S2475" t="str">
        <x:v>OK</x:v>
      </x:c>
      <x:c r="T2475" t="n">
        <x:v>24</x:v>
      </x:c>
      <x:c r="U2475" t="str">
        <x:v>OK</x:v>
      </x:c>
      <x:c r="V2475" t="str">
        <x:v>OK</x:v>
      </x:c>
      <x:c r="W2475" t="str">
        <x:v>LOAD</x:v>
      </x:c>
      <x:c r="X2475" t="str">
        <x:v>02_Supervisor_Log(4).xlsx</x:v>
      </x:c>
      <x:c r="Y2475" t="str">
        <x:v>ENH-20260830-01</x:v>
      </x:c>
      <x:c r="Z2475" t="str">
        <x:v>Active</x:v>
      </x:c>
      <x:c r="AA2475"/>
      <x:c r="AB2475"/>
      <x:c r="AC2475"/>
      <x:c r="AD2475"/>
    </x:row>
    <x:row r="2476">
      <x:c r="A2476" t="str">
        <x:v>PCC-PE-KG01-L25-20251023-PM-ORD-2025-00162-S05-C3</x:v>
      </x:c>
      <x:c r="B2476" t="str">
        <x:v>PC-PE-KG01-L25-20251023-PM-ORD-2025-00162-S05</x:v>
      </x:c>
      <x:c r="C2476" t="str">
        <x:v>PE-KG01-L25-20251023-PM-ORD-2025-00162</x:v>
      </x:c>
      <x:c r="D2476" t="str">
        <x:v>KG01</x:v>
      </x:c>
      <x:c r="E2476" s="62" t="n">
        <x:v>45953</x:v>
      </x:c>
      <x:c r="F2476" t="str">
        <x:v>PM</x:v>
      </x:c>
      <x:c r="G2476" t="str">
        <x:v>A</x:v>
      </x:c>
      <x:c r="H2476" t="n">
        <x:v>25</x:v>
      </x:c>
      <x:c r="I2476" t="str">
        <x:v>ORD-2025-00162</x:v>
      </x:c>
      <x:c r="J2476" t="n">
        <x:v>5</x:v>
      </x:c>
      <x:c r="K2476" t="n">
        <x:v>3</x:v>
      </x:c>
      <x:c r="L2476" t="str">
        <x:v>L25-S05-C3</x:v>
      </x:c>
      <x:c r="M2476" t="n">
        <x:v>1</x:v>
      </x:c>
      <x:c r="N2476" t="str">
        <x:v>DerivedFromCount</x:v>
      </x:c>
      <x:c r="O2476" t="str">
        <x:v>PLC-PRD-JAR-330-L25</x:v>
      </x:c>
      <x:c r="P2476" t="str">
        <x:v>OK</x:v>
      </x:c>
      <x:c r="Q2476" t="str">
        <x:v>OK</x:v>
      </x:c>
      <x:c r="R2476" t="str">
        <x:v>OK</x:v>
      </x:c>
      <x:c r="S2476" t="str">
        <x:v>OK</x:v>
      </x:c>
      <x:c r="T2476" t="n">
        <x:v>24</x:v>
      </x:c>
      <x:c r="U2476" t="str">
        <x:v>OK</x:v>
      </x:c>
      <x:c r="V2476" t="str">
        <x:v>OK</x:v>
      </x:c>
      <x:c r="W2476" t="str">
        <x:v>LOAD</x:v>
      </x:c>
      <x:c r="X2476" t="str">
        <x:v>02_Supervisor_Log(4).xlsx</x:v>
      </x:c>
      <x:c r="Y2476" t="str">
        <x:v>ENH-20260830-01</x:v>
      </x:c>
      <x:c r="Z2476" t="str">
        <x:v>Active</x:v>
      </x:c>
      <x:c r="AA2476"/>
      <x:c r="AB2476"/>
      <x:c r="AC2476"/>
      <x:c r="AD2476"/>
    </x:row>
    <x:row r="2477">
      <x:c r="A2477" t="str">
        <x:v>PCC-PE-KG01-L25-20251023-PM-ORD-2025-00162-S06-C1</x:v>
      </x:c>
      <x:c r="B2477" t="str">
        <x:v>PC-PE-KG01-L25-20251023-PM-ORD-2025-00162-S06</x:v>
      </x:c>
      <x:c r="C2477" t="str">
        <x:v>PE-KG01-L25-20251023-PM-ORD-2025-00162</x:v>
      </x:c>
      <x:c r="D2477" t="str">
        <x:v>KG01</x:v>
      </x:c>
      <x:c r="E2477" s="62" t="n">
        <x:v>45953</x:v>
      </x:c>
      <x:c r="F2477" t="str">
        <x:v>PM</x:v>
      </x:c>
      <x:c r="G2477" t="str">
        <x:v>A</x:v>
      </x:c>
      <x:c r="H2477" t="n">
        <x:v>25</x:v>
      </x:c>
      <x:c r="I2477" t="str">
        <x:v>ORD-2025-00162</x:v>
      </x:c>
      <x:c r="J2477" t="n">
        <x:v>6</x:v>
      </x:c>
      <x:c r="K2477" t="n">
        <x:v>1</x:v>
      </x:c>
      <x:c r="L2477" t="str">
        <x:v>L25-S06-C1</x:v>
      </x:c>
      <x:c r="M2477" t="n">
        <x:v>1</x:v>
      </x:c>
      <x:c r="N2477" t="str">
        <x:v>DerivedFromCount</x:v>
      </x:c>
      <x:c r="O2477" t="str">
        <x:v>PLC-PRD-JAR-330-L25</x:v>
      </x:c>
      <x:c r="P2477" t="str">
        <x:v>OK</x:v>
      </x:c>
      <x:c r="Q2477" t="str">
        <x:v>OK</x:v>
      </x:c>
      <x:c r="R2477" t="str">
        <x:v>OK</x:v>
      </x:c>
      <x:c r="S2477" t="str">
        <x:v>OK</x:v>
      </x:c>
      <x:c r="T2477" t="n">
        <x:v>24</x:v>
      </x:c>
      <x:c r="U2477" t="str">
        <x:v>OK</x:v>
      </x:c>
      <x:c r="V2477" t="str">
        <x:v>OK</x:v>
      </x:c>
      <x:c r="W2477" t="str">
        <x:v>LOAD</x:v>
      </x:c>
      <x:c r="X2477" t="str">
        <x:v>02_Supervisor_Log(4).xlsx</x:v>
      </x:c>
      <x:c r="Y2477" t="str">
        <x:v>ENH-20260830-01</x:v>
      </x:c>
      <x:c r="Z2477" t="str">
        <x:v>Active</x:v>
      </x:c>
      <x:c r="AA2477"/>
      <x:c r="AB2477"/>
      <x:c r="AC2477"/>
      <x:c r="AD2477"/>
    </x:row>
    <x:row r="2478">
      <x:c r="A2478" t="str">
        <x:v>PCC-PE-KG01-L25-20251023-PM-ORD-2025-00162-S06-C2</x:v>
      </x:c>
      <x:c r="B2478" t="str">
        <x:v>PC-PE-KG01-L25-20251023-PM-ORD-2025-00162-S06</x:v>
      </x:c>
      <x:c r="C2478" t="str">
        <x:v>PE-KG01-L25-20251023-PM-ORD-2025-00162</x:v>
      </x:c>
      <x:c r="D2478" t="str">
        <x:v>KG01</x:v>
      </x:c>
      <x:c r="E2478" s="62" t="n">
        <x:v>45953</x:v>
      </x:c>
      <x:c r="F2478" t="str">
        <x:v>PM</x:v>
      </x:c>
      <x:c r="G2478" t="str">
        <x:v>A</x:v>
      </x:c>
      <x:c r="H2478" t="n">
        <x:v>25</x:v>
      </x:c>
      <x:c r="I2478" t="str">
        <x:v>ORD-2025-00162</x:v>
      </x:c>
      <x:c r="J2478" t="n">
        <x:v>6</x:v>
      </x:c>
      <x:c r="K2478" t="n">
        <x:v>2</x:v>
      </x:c>
      <x:c r="L2478" t="str">
        <x:v>L25-S06-C2</x:v>
      </x:c>
      <x:c r="M2478" t="n">
        <x:v>1</x:v>
      </x:c>
      <x:c r="N2478" t="str">
        <x:v>DerivedFromCount</x:v>
      </x:c>
      <x:c r="O2478" t="str">
        <x:v>PLC-PRD-JAR-330-L25</x:v>
      </x:c>
      <x:c r="P2478" t="str">
        <x:v>OK</x:v>
      </x:c>
      <x:c r="Q2478" t="str">
        <x:v>OK</x:v>
      </x:c>
      <x:c r="R2478" t="str">
        <x:v>OK</x:v>
      </x:c>
      <x:c r="S2478" t="str">
        <x:v>OK</x:v>
      </x:c>
      <x:c r="T2478" t="n">
        <x:v>24</x:v>
      </x:c>
      <x:c r="U2478" t="str">
        <x:v>OK</x:v>
      </x:c>
      <x:c r="V2478" t="str">
        <x:v>OK</x:v>
      </x:c>
      <x:c r="W2478" t="str">
        <x:v>LOAD</x:v>
      </x:c>
      <x:c r="X2478" t="str">
        <x:v>02_Supervisor_Log(4).xlsx</x:v>
      </x:c>
      <x:c r="Y2478" t="str">
        <x:v>ENH-20260830-01</x:v>
      </x:c>
      <x:c r="Z2478" t="str">
        <x:v>Active</x:v>
      </x:c>
      <x:c r="AA2478"/>
      <x:c r="AB2478"/>
      <x:c r="AC2478"/>
      <x:c r="AD2478"/>
    </x:row>
    <x:row r="2479">
      <x:c r="A2479" t="str">
        <x:v>PCC-PE-KG01-L25-20251023-PM-ORD-2025-00162-S06-C3</x:v>
      </x:c>
      <x:c r="B2479" t="str">
        <x:v>PC-PE-KG01-L25-20251023-PM-ORD-2025-00162-S06</x:v>
      </x:c>
      <x:c r="C2479" t="str">
        <x:v>PE-KG01-L25-20251023-PM-ORD-2025-00162</x:v>
      </x:c>
      <x:c r="D2479" t="str">
        <x:v>KG01</x:v>
      </x:c>
      <x:c r="E2479" s="62" t="n">
        <x:v>45953</x:v>
      </x:c>
      <x:c r="F2479" t="str">
        <x:v>PM</x:v>
      </x:c>
      <x:c r="G2479" t="str">
        <x:v>A</x:v>
      </x:c>
      <x:c r="H2479" t="n">
        <x:v>25</x:v>
      </x:c>
      <x:c r="I2479" t="str">
        <x:v>ORD-2025-00162</x:v>
      </x:c>
      <x:c r="J2479" t="n">
        <x:v>6</x:v>
      </x:c>
      <x:c r="K2479" t="n">
        <x:v>3</x:v>
      </x:c>
      <x:c r="L2479" t="str">
        <x:v>L25-S06-C3</x:v>
      </x:c>
      <x:c r="M2479" t="n">
        <x:v>1</x:v>
      </x:c>
      <x:c r="N2479" t="str">
        <x:v>DerivedFromCount</x:v>
      </x:c>
      <x:c r="O2479" t="str">
        <x:v>PLC-PRD-JAR-330-L25</x:v>
      </x:c>
      <x:c r="P2479" t="str">
        <x:v>OK</x:v>
      </x:c>
      <x:c r="Q2479" t="str">
        <x:v>OK</x:v>
      </x:c>
      <x:c r="R2479" t="str">
        <x:v>OK</x:v>
      </x:c>
      <x:c r="S2479" t="str">
        <x:v>OK</x:v>
      </x:c>
      <x:c r="T2479" t="n">
        <x:v>24</x:v>
      </x:c>
      <x:c r="U2479" t="str">
        <x:v>OK</x:v>
      </x:c>
      <x:c r="V2479" t="str">
        <x:v>OK</x:v>
      </x:c>
      <x:c r="W2479" t="str">
        <x:v>LOAD</x:v>
      </x:c>
      <x:c r="X2479" t="str">
        <x:v>02_Supervisor_Log(4).xlsx</x:v>
      </x:c>
      <x:c r="Y2479" t="str">
        <x:v>ENH-20260830-01</x:v>
      </x:c>
      <x:c r="Z2479" t="str">
        <x:v>Active</x:v>
      </x:c>
      <x:c r="AA2479"/>
      <x:c r="AB2479"/>
      <x:c r="AC2479"/>
      <x:c r="AD2479"/>
    </x:row>
    <x:row r="2480">
      <x:c r="A2480" t="str">
        <x:v>PCC-PE-KG01-L25-20251023-PM-ORD-2025-00162-S07-C1</x:v>
      </x:c>
      <x:c r="B2480" t="str">
        <x:v>PC-PE-KG01-L25-20251023-PM-ORD-2025-00162-S07</x:v>
      </x:c>
      <x:c r="C2480" t="str">
        <x:v>PE-KG01-L25-20251023-PM-ORD-2025-00162</x:v>
      </x:c>
      <x:c r="D2480" t="str">
        <x:v>KG01</x:v>
      </x:c>
      <x:c r="E2480" s="62" t="n">
        <x:v>45953</x:v>
      </x:c>
      <x:c r="F2480" t="str">
        <x:v>PM</x:v>
      </x:c>
      <x:c r="G2480" t="str">
        <x:v>A</x:v>
      </x:c>
      <x:c r="H2480" t="n">
        <x:v>25</x:v>
      </x:c>
      <x:c r="I2480" t="str">
        <x:v>ORD-2025-00162</x:v>
      </x:c>
      <x:c r="J2480" t="n">
        <x:v>7</x:v>
      </x:c>
      <x:c r="K2480" t="n">
        <x:v>1</x:v>
      </x:c>
      <x:c r="L2480" t="str">
        <x:v>L25-S07-C1</x:v>
      </x:c>
      <x:c r="M2480" t="n">
        <x:v>1</x:v>
      </x:c>
      <x:c r="N2480" t="str">
        <x:v>DerivedFromCount</x:v>
      </x:c>
      <x:c r="O2480" t="str">
        <x:v>PLC-PRD-JAR-330-L25</x:v>
      </x:c>
      <x:c r="P2480" t="str">
        <x:v>OK</x:v>
      </x:c>
      <x:c r="Q2480" t="str">
        <x:v>OK</x:v>
      </x:c>
      <x:c r="R2480" t="str">
        <x:v>OK</x:v>
      </x:c>
      <x:c r="S2480" t="str">
        <x:v>OK</x:v>
      </x:c>
      <x:c r="T2480" t="n">
        <x:v>24</x:v>
      </x:c>
      <x:c r="U2480" t="str">
        <x:v>OK</x:v>
      </x:c>
      <x:c r="V2480" t="str">
        <x:v>OK</x:v>
      </x:c>
      <x:c r="W2480" t="str">
        <x:v>LOAD</x:v>
      </x:c>
      <x:c r="X2480" t="str">
        <x:v>02_Supervisor_Log(4).xlsx</x:v>
      </x:c>
      <x:c r="Y2480" t="str">
        <x:v>ENH-20260830-01</x:v>
      </x:c>
      <x:c r="Z2480" t="str">
        <x:v>Active</x:v>
      </x:c>
      <x:c r="AA2480"/>
      <x:c r="AB2480"/>
      <x:c r="AC2480"/>
      <x:c r="AD2480"/>
    </x:row>
    <x:row r="2481">
      <x:c r="A2481" t="str">
        <x:v>PCC-PE-KG01-L25-20251023-PM-ORD-2025-00162-S07-C2</x:v>
      </x:c>
      <x:c r="B2481" t="str">
        <x:v>PC-PE-KG01-L25-20251023-PM-ORD-2025-00162-S07</x:v>
      </x:c>
      <x:c r="C2481" t="str">
        <x:v>PE-KG01-L25-20251023-PM-ORD-2025-00162</x:v>
      </x:c>
      <x:c r="D2481" t="str">
        <x:v>KG01</x:v>
      </x:c>
      <x:c r="E2481" s="62" t="n">
        <x:v>45953</x:v>
      </x:c>
      <x:c r="F2481" t="str">
        <x:v>PM</x:v>
      </x:c>
      <x:c r="G2481" t="str">
        <x:v>A</x:v>
      </x:c>
      <x:c r="H2481" t="n">
        <x:v>25</x:v>
      </x:c>
      <x:c r="I2481" t="str">
        <x:v>ORD-2025-00162</x:v>
      </x:c>
      <x:c r="J2481" t="n">
        <x:v>7</x:v>
      </x:c>
      <x:c r="K2481" t="n">
        <x:v>2</x:v>
      </x:c>
      <x:c r="L2481" t="str">
        <x:v>L25-S07-C2</x:v>
      </x:c>
      <x:c r="M2481" t="n">
        <x:v>1</x:v>
      </x:c>
      <x:c r="N2481" t="str">
        <x:v>DerivedFromCount</x:v>
      </x:c>
      <x:c r="O2481" t="str">
        <x:v>PLC-PRD-JAR-330-L25</x:v>
      </x:c>
      <x:c r="P2481" t="str">
        <x:v>OK</x:v>
      </x:c>
      <x:c r="Q2481" t="str">
        <x:v>OK</x:v>
      </x:c>
      <x:c r="R2481" t="str">
        <x:v>OK</x:v>
      </x:c>
      <x:c r="S2481" t="str">
        <x:v>OK</x:v>
      </x:c>
      <x:c r="T2481" t="n">
        <x:v>24</x:v>
      </x:c>
      <x:c r="U2481" t="str">
        <x:v>OK</x:v>
      </x:c>
      <x:c r="V2481" t="str">
        <x:v>OK</x:v>
      </x:c>
      <x:c r="W2481" t="str">
        <x:v>LOAD</x:v>
      </x:c>
      <x:c r="X2481" t="str">
        <x:v>02_Supervisor_Log(4).xlsx</x:v>
      </x:c>
      <x:c r="Y2481" t="str">
        <x:v>ENH-20260830-01</x:v>
      </x:c>
      <x:c r="Z2481" t="str">
        <x:v>Active</x:v>
      </x:c>
      <x:c r="AA2481"/>
      <x:c r="AB2481"/>
      <x:c r="AC2481"/>
      <x:c r="AD2481"/>
    </x:row>
    <x:row r="2482">
      <x:c r="A2482" t="str">
        <x:v>PCC-PE-KG01-L25-20251023-PM-ORD-2025-00162-S07-C3</x:v>
      </x:c>
      <x:c r="B2482" t="str">
        <x:v>PC-PE-KG01-L25-20251023-PM-ORD-2025-00162-S07</x:v>
      </x:c>
      <x:c r="C2482" t="str">
        <x:v>PE-KG01-L25-20251023-PM-ORD-2025-00162</x:v>
      </x:c>
      <x:c r="D2482" t="str">
        <x:v>KG01</x:v>
      </x:c>
      <x:c r="E2482" s="62" t="n">
        <x:v>45953</x:v>
      </x:c>
      <x:c r="F2482" t="str">
        <x:v>PM</x:v>
      </x:c>
      <x:c r="G2482" t="str">
        <x:v>A</x:v>
      </x:c>
      <x:c r="H2482" t="n">
        <x:v>25</x:v>
      </x:c>
      <x:c r="I2482" t="str">
        <x:v>ORD-2025-00162</x:v>
      </x:c>
      <x:c r="J2482" t="n">
        <x:v>7</x:v>
      </x:c>
      <x:c r="K2482" t="n">
        <x:v>3</x:v>
      </x:c>
      <x:c r="L2482" t="str">
        <x:v>L25-S07-C3</x:v>
      </x:c>
      <x:c r="M2482" t="n">
        <x:v>1</x:v>
      </x:c>
      <x:c r="N2482" t="str">
        <x:v>DerivedFromCount</x:v>
      </x:c>
      <x:c r="O2482" t="str">
        <x:v>PLC-PRD-JAR-330-L25</x:v>
      </x:c>
      <x:c r="P2482" t="str">
        <x:v>OK</x:v>
      </x:c>
      <x:c r="Q2482" t="str">
        <x:v>OK</x:v>
      </x:c>
      <x:c r="R2482" t="str">
        <x:v>OK</x:v>
      </x:c>
      <x:c r="S2482" t="str">
        <x:v>OK</x:v>
      </x:c>
      <x:c r="T2482" t="n">
        <x:v>24</x:v>
      </x:c>
      <x:c r="U2482" t="str">
        <x:v>OK</x:v>
      </x:c>
      <x:c r="V2482" t="str">
        <x:v>OK</x:v>
      </x:c>
      <x:c r="W2482" t="str">
        <x:v>LOAD</x:v>
      </x:c>
      <x:c r="X2482" t="str">
        <x:v>02_Supervisor_Log(4).xlsx</x:v>
      </x:c>
      <x:c r="Y2482" t="str">
        <x:v>ENH-20260830-01</x:v>
      </x:c>
      <x:c r="Z2482" t="str">
        <x:v>Active</x:v>
      </x:c>
      <x:c r="AA2482"/>
      <x:c r="AB2482"/>
      <x:c r="AC2482"/>
      <x:c r="AD2482"/>
    </x:row>
    <x:row r="2483">
      <x:c r="A2483" t="str">
        <x:v>PCC-PE-KG01-L25-20251023-PM-ORD-2025-00162-S08-C1</x:v>
      </x:c>
      <x:c r="B2483" t="str">
        <x:v>PC-PE-KG01-L25-20251023-PM-ORD-2025-00162-S08</x:v>
      </x:c>
      <x:c r="C2483" t="str">
        <x:v>PE-KG01-L25-20251023-PM-ORD-2025-00162</x:v>
      </x:c>
      <x:c r="D2483" t="str">
        <x:v>KG01</x:v>
      </x:c>
      <x:c r="E2483" s="62" t="n">
        <x:v>45953</x:v>
      </x:c>
      <x:c r="F2483" t="str">
        <x:v>PM</x:v>
      </x:c>
      <x:c r="G2483" t="str">
        <x:v>A</x:v>
      </x:c>
      <x:c r="H2483" t="n">
        <x:v>25</x:v>
      </x:c>
      <x:c r="I2483" t="str">
        <x:v>ORD-2025-00162</x:v>
      </x:c>
      <x:c r="J2483" t="n">
        <x:v>8</x:v>
      </x:c>
      <x:c r="K2483" t="n">
        <x:v>1</x:v>
      </x:c>
      <x:c r="L2483" t="str">
        <x:v>L25-S08-C1</x:v>
      </x:c>
      <x:c r="M2483" t="n">
        <x:v>1</x:v>
      </x:c>
      <x:c r="N2483" t="str">
        <x:v>DerivedFromCount</x:v>
      </x:c>
      <x:c r="O2483" t="str">
        <x:v>PLC-PRD-JAR-330-L25</x:v>
      </x:c>
      <x:c r="P2483" t="str">
        <x:v>OK</x:v>
      </x:c>
      <x:c r="Q2483" t="str">
        <x:v>OK</x:v>
      </x:c>
      <x:c r="R2483" t="str">
        <x:v>OK</x:v>
      </x:c>
      <x:c r="S2483" t="str">
        <x:v>OK</x:v>
      </x:c>
      <x:c r="T2483" t="n">
        <x:v>24</x:v>
      </x:c>
      <x:c r="U2483" t="str">
        <x:v>OK</x:v>
      </x:c>
      <x:c r="V2483" t="str">
        <x:v>OK</x:v>
      </x:c>
      <x:c r="W2483" t="str">
        <x:v>LOAD</x:v>
      </x:c>
      <x:c r="X2483" t="str">
        <x:v>02_Supervisor_Log(4).xlsx</x:v>
      </x:c>
      <x:c r="Y2483" t="str">
        <x:v>ENH-20260830-01</x:v>
      </x:c>
      <x:c r="Z2483" t="str">
        <x:v>Active</x:v>
      </x:c>
      <x:c r="AA2483"/>
      <x:c r="AB2483"/>
      <x:c r="AC2483"/>
      <x:c r="AD2483"/>
    </x:row>
    <x:row r="2484">
      <x:c r="A2484" t="str">
        <x:v>PCC-PE-KG01-L25-20251023-PM-ORD-2025-00162-S08-C2</x:v>
      </x:c>
      <x:c r="B2484" t="str">
        <x:v>PC-PE-KG01-L25-20251023-PM-ORD-2025-00162-S08</x:v>
      </x:c>
      <x:c r="C2484" t="str">
        <x:v>PE-KG01-L25-20251023-PM-ORD-2025-00162</x:v>
      </x:c>
      <x:c r="D2484" t="str">
        <x:v>KG01</x:v>
      </x:c>
      <x:c r="E2484" s="62" t="n">
        <x:v>45953</x:v>
      </x:c>
      <x:c r="F2484" t="str">
        <x:v>PM</x:v>
      </x:c>
      <x:c r="G2484" t="str">
        <x:v>A</x:v>
      </x:c>
      <x:c r="H2484" t="n">
        <x:v>25</x:v>
      </x:c>
      <x:c r="I2484" t="str">
        <x:v>ORD-2025-00162</x:v>
      </x:c>
      <x:c r="J2484" t="n">
        <x:v>8</x:v>
      </x:c>
      <x:c r="K2484" t="n">
        <x:v>2</x:v>
      </x:c>
      <x:c r="L2484" t="str">
        <x:v>L25-S08-C2</x:v>
      </x:c>
      <x:c r="M2484" t="n">
        <x:v>1</x:v>
      </x:c>
      <x:c r="N2484" t="str">
        <x:v>DerivedFromCount</x:v>
      </x:c>
      <x:c r="O2484" t="str">
        <x:v>PLC-PRD-JAR-330-L25</x:v>
      </x:c>
      <x:c r="P2484" t="str">
        <x:v>OK</x:v>
      </x:c>
      <x:c r="Q2484" t="str">
        <x:v>OK</x:v>
      </x:c>
      <x:c r="R2484" t="str">
        <x:v>OK</x:v>
      </x:c>
      <x:c r="S2484" t="str">
        <x:v>OK</x:v>
      </x:c>
      <x:c r="T2484" t="n">
        <x:v>24</x:v>
      </x:c>
      <x:c r="U2484" t="str">
        <x:v>OK</x:v>
      </x:c>
      <x:c r="V2484" t="str">
        <x:v>OK</x:v>
      </x:c>
      <x:c r="W2484" t="str">
        <x:v>LOAD</x:v>
      </x:c>
      <x:c r="X2484" t="str">
        <x:v>02_Supervisor_Log(4).xlsx</x:v>
      </x:c>
      <x:c r="Y2484" t="str">
        <x:v>ENH-20260830-01</x:v>
      </x:c>
      <x:c r="Z2484" t="str">
        <x:v>Active</x:v>
      </x:c>
      <x:c r="AA2484"/>
      <x:c r="AB2484"/>
      <x:c r="AC2484"/>
      <x:c r="AD2484"/>
    </x:row>
    <x:row r="2485">
      <x:c r="A2485" t="str">
        <x:v>PCC-PE-KG01-L25-20251023-PM-ORD-2025-00162-S08-C3</x:v>
      </x:c>
      <x:c r="B2485" t="str">
        <x:v>PC-PE-KG01-L25-20251023-PM-ORD-2025-00162-S08</x:v>
      </x:c>
      <x:c r="C2485" t="str">
        <x:v>PE-KG01-L25-20251023-PM-ORD-2025-00162</x:v>
      </x:c>
      <x:c r="D2485" t="str">
        <x:v>KG01</x:v>
      </x:c>
      <x:c r="E2485" s="62" t="n">
        <x:v>45953</x:v>
      </x:c>
      <x:c r="F2485" t="str">
        <x:v>PM</x:v>
      </x:c>
      <x:c r="G2485" t="str">
        <x:v>A</x:v>
      </x:c>
      <x:c r="H2485" t="n">
        <x:v>25</x:v>
      </x:c>
      <x:c r="I2485" t="str">
        <x:v>ORD-2025-00162</x:v>
      </x:c>
      <x:c r="J2485" t="n">
        <x:v>8</x:v>
      </x:c>
      <x:c r="K2485" t="n">
        <x:v>3</x:v>
      </x:c>
      <x:c r="L2485" t="str">
        <x:v>L25-S08-C3</x:v>
      </x:c>
      <x:c r="M2485" t="n">
        <x:v>1</x:v>
      </x:c>
      <x:c r="N2485" t="str">
        <x:v>DerivedFromCount</x:v>
      </x:c>
      <x:c r="O2485" t="str">
        <x:v>PLC-PRD-JAR-330-L25</x:v>
      </x:c>
      <x:c r="P2485" t="str">
        <x:v>OK</x:v>
      </x:c>
      <x:c r="Q2485" t="str">
        <x:v>OK</x:v>
      </x:c>
      <x:c r="R2485" t="str">
        <x:v>OK</x:v>
      </x:c>
      <x:c r="S2485" t="str">
        <x:v>OK</x:v>
      </x:c>
      <x:c r="T2485" t="n">
        <x:v>24</x:v>
      </x:c>
      <x:c r="U2485" t="str">
        <x:v>OK</x:v>
      </x:c>
      <x:c r="V2485" t="str">
        <x:v>OK</x:v>
      </x:c>
      <x:c r="W2485" t="str">
        <x:v>LOAD</x:v>
      </x:c>
      <x:c r="X2485" t="str">
        <x:v>02_Supervisor_Log(4).xlsx</x:v>
      </x:c>
      <x:c r="Y2485" t="str">
        <x:v>ENH-20260830-01</x:v>
      </x:c>
      <x:c r="Z2485" t="str">
        <x:v>Active</x:v>
      </x:c>
      <x:c r="AA2485"/>
      <x:c r="AB2485"/>
      <x:c r="AC2485"/>
      <x:c r="AD2485"/>
    </x:row>
    <x:row r="2486">
      <x:c r="A2486" t="str">
        <x:v>PCC-PE-KG01-L25-20251023-PM-ORD-2025-00162-S09-C1</x:v>
      </x:c>
      <x:c r="B2486" t="str">
        <x:v>PC-PE-KG01-L25-20251023-PM-ORD-2025-00162-S09</x:v>
      </x:c>
      <x:c r="C2486" t="str">
        <x:v>PE-KG01-L25-20251023-PM-ORD-2025-00162</x:v>
      </x:c>
      <x:c r="D2486" t="str">
        <x:v>KG01</x:v>
      </x:c>
      <x:c r="E2486" s="62" t="n">
        <x:v>45953</x:v>
      </x:c>
      <x:c r="F2486" t="str">
        <x:v>PM</x:v>
      </x:c>
      <x:c r="G2486" t="str">
        <x:v>A</x:v>
      </x:c>
      <x:c r="H2486" t="n">
        <x:v>25</x:v>
      </x:c>
      <x:c r="I2486" t="str">
        <x:v>ORD-2025-00162</x:v>
      </x:c>
      <x:c r="J2486" t="n">
        <x:v>9</x:v>
      </x:c>
      <x:c r="K2486" t="n">
        <x:v>1</x:v>
      </x:c>
      <x:c r="L2486" t="str">
        <x:v>L25-S09-C1</x:v>
      </x:c>
      <x:c r="M2486" t="n">
        <x:v>0</x:v>
      </x:c>
      <x:c r="N2486" t="str">
        <x:v>DerivedFromCount</x:v>
      </x:c>
      <x:c r="O2486" t="str">
        <x:v>PLC-PRD-JAR-330-L25</x:v>
      </x:c>
      <x:c r="P2486" t="str">
        <x:v>OK</x:v>
      </x:c>
      <x:c r="Q2486" t="str">
        <x:v>OK</x:v>
      </x:c>
      <x:c r="R2486" t="str">
        <x:v>OK</x:v>
      </x:c>
      <x:c r="S2486" t="str">
        <x:v>OK</x:v>
      </x:c>
      <x:c r="T2486" t="n">
        <x:v>24</x:v>
      </x:c>
      <x:c r="U2486" t="str">
        <x:v>OK</x:v>
      </x:c>
      <x:c r="V2486" t="str">
        <x:v>OK</x:v>
      </x:c>
      <x:c r="W2486" t="str">
        <x:v>LOAD</x:v>
      </x:c>
      <x:c r="X2486" t="str">
        <x:v>02_Supervisor_Log(4).xlsx</x:v>
      </x:c>
      <x:c r="Y2486" t="str">
        <x:v>ENH-20260830-01</x:v>
      </x:c>
      <x:c r="Z2486" t="str">
        <x:v>Active</x:v>
      </x:c>
      <x:c r="AA2486"/>
      <x:c r="AB2486"/>
      <x:c r="AC2486"/>
      <x:c r="AD2486"/>
    </x:row>
    <x:row r="2487">
      <x:c r="A2487" t="str">
        <x:v>PCC-PE-KG01-L25-20251023-PM-ORD-2025-00162-S09-C2</x:v>
      </x:c>
      <x:c r="B2487" t="str">
        <x:v>PC-PE-KG01-L25-20251023-PM-ORD-2025-00162-S09</x:v>
      </x:c>
      <x:c r="C2487" t="str">
        <x:v>PE-KG01-L25-20251023-PM-ORD-2025-00162</x:v>
      </x:c>
      <x:c r="D2487" t="str">
        <x:v>KG01</x:v>
      </x:c>
      <x:c r="E2487" s="62" t="n">
        <x:v>45953</x:v>
      </x:c>
      <x:c r="F2487" t="str">
        <x:v>PM</x:v>
      </x:c>
      <x:c r="G2487" t="str">
        <x:v>A</x:v>
      </x:c>
      <x:c r="H2487" t="n">
        <x:v>25</x:v>
      </x:c>
      <x:c r="I2487" t="str">
        <x:v>ORD-2025-00162</x:v>
      </x:c>
      <x:c r="J2487" t="n">
        <x:v>9</x:v>
      </x:c>
      <x:c r="K2487" t="n">
        <x:v>2</x:v>
      </x:c>
      <x:c r="L2487" t="str">
        <x:v>L25-S09-C2</x:v>
      </x:c>
      <x:c r="M2487" t="n">
        <x:v>0</x:v>
      </x:c>
      <x:c r="N2487" t="str">
        <x:v>DerivedFromCount</x:v>
      </x:c>
      <x:c r="O2487" t="str">
        <x:v>PLC-PRD-JAR-330-L25</x:v>
      </x:c>
      <x:c r="P2487" t="str">
        <x:v>OK</x:v>
      </x:c>
      <x:c r="Q2487" t="str">
        <x:v>OK</x:v>
      </x:c>
      <x:c r="R2487" t="str">
        <x:v>OK</x:v>
      </x:c>
      <x:c r="S2487" t="str">
        <x:v>OK</x:v>
      </x:c>
      <x:c r="T2487" t="n">
        <x:v>24</x:v>
      </x:c>
      <x:c r="U2487" t="str">
        <x:v>OK</x:v>
      </x:c>
      <x:c r="V2487" t="str">
        <x:v>OK</x:v>
      </x:c>
      <x:c r="W2487" t="str">
        <x:v>LOAD</x:v>
      </x:c>
      <x:c r="X2487" t="str">
        <x:v>02_Supervisor_Log(4).xlsx</x:v>
      </x:c>
      <x:c r="Y2487" t="str">
        <x:v>ENH-20260830-01</x:v>
      </x:c>
      <x:c r="Z2487" t="str">
        <x:v>Active</x:v>
      </x:c>
      <x:c r="AA2487"/>
      <x:c r="AB2487"/>
      <x:c r="AC2487"/>
      <x:c r="AD2487"/>
    </x:row>
    <x:row r="2488">
      <x:c r="A2488" t="str">
        <x:v>PCC-PE-KG01-L25-20251023-PM-ORD-2025-00162-S09-C3</x:v>
      </x:c>
      <x:c r="B2488" t="str">
        <x:v>PC-PE-KG01-L25-20251023-PM-ORD-2025-00162-S09</x:v>
      </x:c>
      <x:c r="C2488" t="str">
        <x:v>PE-KG01-L25-20251023-PM-ORD-2025-00162</x:v>
      </x:c>
      <x:c r="D2488" t="str">
        <x:v>KG01</x:v>
      </x:c>
      <x:c r="E2488" s="62" t="n">
        <x:v>45953</x:v>
      </x:c>
      <x:c r="F2488" t="str">
        <x:v>PM</x:v>
      </x:c>
      <x:c r="G2488" t="str">
        <x:v>A</x:v>
      </x:c>
      <x:c r="H2488" t="n">
        <x:v>25</x:v>
      </x:c>
      <x:c r="I2488" t="str">
        <x:v>ORD-2025-00162</x:v>
      </x:c>
      <x:c r="J2488" t="n">
        <x:v>9</x:v>
      </x:c>
      <x:c r="K2488" t="n">
        <x:v>3</x:v>
      </x:c>
      <x:c r="L2488" t="str">
        <x:v>L25-S09-C3</x:v>
      </x:c>
      <x:c r="M2488" t="n">
        <x:v>0</x:v>
      </x:c>
      <x:c r="N2488" t="str">
        <x:v>DerivedFromCount</x:v>
      </x:c>
      <x:c r="O2488" t="str">
        <x:v>PLC-PRD-JAR-330-L25</x:v>
      </x:c>
      <x:c r="P2488" t="str">
        <x:v>OK</x:v>
      </x:c>
      <x:c r="Q2488" t="str">
        <x:v>OK</x:v>
      </x:c>
      <x:c r="R2488" t="str">
        <x:v>OK</x:v>
      </x:c>
      <x:c r="S2488" t="str">
        <x:v>OK</x:v>
      </x:c>
      <x:c r="T2488" t="n">
        <x:v>24</x:v>
      </x:c>
      <x:c r="U2488" t="str">
        <x:v>OK</x:v>
      </x:c>
      <x:c r="V2488" t="str">
        <x:v>OK</x:v>
      </x:c>
      <x:c r="W2488" t="str">
        <x:v>LOAD</x:v>
      </x:c>
      <x:c r="X2488" t="str">
        <x:v>02_Supervisor_Log(4).xlsx</x:v>
      </x:c>
      <x:c r="Y2488" t="str">
        <x:v>ENH-20260830-01</x:v>
      </x:c>
      <x:c r="Z2488" t="str">
        <x:v>Active</x:v>
      </x:c>
      <x:c r="AA2488"/>
      <x:c r="AB2488"/>
      <x:c r="AC2488"/>
      <x:c r="AD2488"/>
    </x:row>
    <x:row r="2489">
      <x:c r="A2489" t="str">
        <x:v>PCC-PE-KG01-L25-20251023-PM-ORD-2025-00162-S10-C1</x:v>
      </x:c>
      <x:c r="B2489" t="str">
        <x:v>PC-PE-KG01-L25-20251023-PM-ORD-2025-00162-S10</x:v>
      </x:c>
      <x:c r="C2489" t="str">
        <x:v>PE-KG01-L25-20251023-PM-ORD-2025-00162</x:v>
      </x:c>
      <x:c r="D2489" t="str">
        <x:v>KG01</x:v>
      </x:c>
      <x:c r="E2489" s="62" t="n">
        <x:v>45953</x:v>
      </x:c>
      <x:c r="F2489" t="str">
        <x:v>PM</x:v>
      </x:c>
      <x:c r="G2489" t="str">
        <x:v>A</x:v>
      </x:c>
      <x:c r="H2489" t="n">
        <x:v>25</x:v>
      </x:c>
      <x:c r="I2489" t="str">
        <x:v>ORD-2025-00162</x:v>
      </x:c>
      <x:c r="J2489" t="n">
        <x:v>10</x:v>
      </x:c>
      <x:c r="K2489" t="n">
        <x:v>1</x:v>
      </x:c>
      <x:c r="L2489" t="str">
        <x:v>L25-S10-C1</x:v>
      </x:c>
      <x:c r="M2489" t="n">
        <x:v>0</x:v>
      </x:c>
      <x:c r="N2489" t="str">
        <x:v>DerivedFromCount</x:v>
      </x:c>
      <x:c r="O2489" t="str">
        <x:v>PLC-PRD-JAR-330-L25</x:v>
      </x:c>
      <x:c r="P2489" t="str">
        <x:v>OK</x:v>
      </x:c>
      <x:c r="Q2489" t="str">
        <x:v>OK</x:v>
      </x:c>
      <x:c r="R2489" t="str">
        <x:v>OK</x:v>
      </x:c>
      <x:c r="S2489" t="str">
        <x:v>OK</x:v>
      </x:c>
      <x:c r="T2489" t="n">
        <x:v>24</x:v>
      </x:c>
      <x:c r="U2489" t="str">
        <x:v>OK</x:v>
      </x:c>
      <x:c r="V2489" t="str">
        <x:v>OK</x:v>
      </x:c>
      <x:c r="W2489" t="str">
        <x:v>LOAD</x:v>
      </x:c>
      <x:c r="X2489" t="str">
        <x:v>02_Supervisor_Log(4).xlsx</x:v>
      </x:c>
      <x:c r="Y2489" t="str">
        <x:v>ENH-20260830-01</x:v>
      </x:c>
      <x:c r="Z2489" t="str">
        <x:v>Active</x:v>
      </x:c>
      <x:c r="AA2489"/>
      <x:c r="AB2489"/>
      <x:c r="AC2489"/>
      <x:c r="AD2489"/>
    </x:row>
    <x:row r="2490">
      <x:c r="A2490" t="str">
        <x:v>PCC-PE-KG01-L25-20251023-PM-ORD-2025-00162-S10-C2</x:v>
      </x:c>
      <x:c r="B2490" t="str">
        <x:v>PC-PE-KG01-L25-20251023-PM-ORD-2025-00162-S10</x:v>
      </x:c>
      <x:c r="C2490" t="str">
        <x:v>PE-KG01-L25-20251023-PM-ORD-2025-00162</x:v>
      </x:c>
      <x:c r="D2490" t="str">
        <x:v>KG01</x:v>
      </x:c>
      <x:c r="E2490" s="62" t="n">
        <x:v>45953</x:v>
      </x:c>
      <x:c r="F2490" t="str">
        <x:v>PM</x:v>
      </x:c>
      <x:c r="G2490" t="str">
        <x:v>A</x:v>
      </x:c>
      <x:c r="H2490" t="n">
        <x:v>25</x:v>
      </x:c>
      <x:c r="I2490" t="str">
        <x:v>ORD-2025-00162</x:v>
      </x:c>
      <x:c r="J2490" t="n">
        <x:v>10</x:v>
      </x:c>
      <x:c r="K2490" t="n">
        <x:v>2</x:v>
      </x:c>
      <x:c r="L2490" t="str">
        <x:v>L25-S10-C2</x:v>
      </x:c>
      <x:c r="M2490" t="n">
        <x:v>0</x:v>
      </x:c>
      <x:c r="N2490" t="str">
        <x:v>DerivedFromCount</x:v>
      </x:c>
      <x:c r="O2490" t="str">
        <x:v>PLC-PRD-JAR-330-L25</x:v>
      </x:c>
      <x:c r="P2490" t="str">
        <x:v>OK</x:v>
      </x:c>
      <x:c r="Q2490" t="str">
        <x:v>OK</x:v>
      </x:c>
      <x:c r="R2490" t="str">
        <x:v>OK</x:v>
      </x:c>
      <x:c r="S2490" t="str">
        <x:v>OK</x:v>
      </x:c>
      <x:c r="T2490" t="n">
        <x:v>24</x:v>
      </x:c>
      <x:c r="U2490" t="str">
        <x:v>OK</x:v>
      </x:c>
      <x:c r="V2490" t="str">
        <x:v>OK</x:v>
      </x:c>
      <x:c r="W2490" t="str">
        <x:v>LOAD</x:v>
      </x:c>
      <x:c r="X2490" t="str">
        <x:v>02_Supervisor_Log(4).xlsx</x:v>
      </x:c>
      <x:c r="Y2490" t="str">
        <x:v>ENH-20260830-01</x:v>
      </x:c>
      <x:c r="Z2490" t="str">
        <x:v>Active</x:v>
      </x:c>
      <x:c r="AA2490"/>
      <x:c r="AB2490"/>
      <x:c r="AC2490"/>
      <x:c r="AD2490"/>
    </x:row>
    <x:row r="2491">
      <x:c r="A2491" t="str">
        <x:v>PCC-PE-KG01-L25-20251023-PM-ORD-2025-00162-S10-C3</x:v>
      </x:c>
      <x:c r="B2491" t="str">
        <x:v>PC-PE-KG01-L25-20251023-PM-ORD-2025-00162-S10</x:v>
      </x:c>
      <x:c r="C2491" t="str">
        <x:v>PE-KG01-L25-20251023-PM-ORD-2025-00162</x:v>
      </x:c>
      <x:c r="D2491" t="str">
        <x:v>KG01</x:v>
      </x:c>
      <x:c r="E2491" s="62" t="n">
        <x:v>45953</x:v>
      </x:c>
      <x:c r="F2491" t="str">
        <x:v>PM</x:v>
      </x:c>
      <x:c r="G2491" t="str">
        <x:v>A</x:v>
      </x:c>
      <x:c r="H2491" t="n">
        <x:v>25</x:v>
      </x:c>
      <x:c r="I2491" t="str">
        <x:v>ORD-2025-00162</x:v>
      </x:c>
      <x:c r="J2491" t="n">
        <x:v>10</x:v>
      </x:c>
      <x:c r="K2491" t="n">
        <x:v>3</x:v>
      </x:c>
      <x:c r="L2491" t="str">
        <x:v>L25-S10-C3</x:v>
      </x:c>
      <x:c r="M2491" t="n">
        <x:v>0</x:v>
      </x:c>
      <x:c r="N2491" t="str">
        <x:v>DerivedFromCount</x:v>
      </x:c>
      <x:c r="O2491" t="str">
        <x:v>PLC-PRD-JAR-330-L25</x:v>
      </x:c>
      <x:c r="P2491" t="str">
        <x:v>OK</x:v>
      </x:c>
      <x:c r="Q2491" t="str">
        <x:v>OK</x:v>
      </x:c>
      <x:c r="R2491" t="str">
        <x:v>OK</x:v>
      </x:c>
      <x:c r="S2491" t="str">
        <x:v>OK</x:v>
      </x:c>
      <x:c r="T2491" t="n">
        <x:v>24</x:v>
      </x:c>
      <x:c r="U2491" t="str">
        <x:v>OK</x:v>
      </x:c>
      <x:c r="V2491" t="str">
        <x:v>OK</x:v>
      </x:c>
      <x:c r="W2491" t="str">
        <x:v>LOAD</x:v>
      </x:c>
      <x:c r="X2491" t="str">
        <x:v>02_Supervisor_Log(4).xlsx</x:v>
      </x:c>
      <x:c r="Y2491" t="str">
        <x:v>ENH-20260830-01</x:v>
      </x:c>
      <x:c r="Z2491" t="str">
        <x:v>Active</x:v>
      </x:c>
      <x:c r="AA2491"/>
      <x:c r="AB2491"/>
      <x:c r="AC2491"/>
      <x:c r="AD2491"/>
    </x:row>
    <x:row r="2492">
      <x:c r="A2492" t="str">
        <x:v>PCC-PE-KG01-L25-20251023-PM-ORD-2025-00162-S11-C1</x:v>
      </x:c>
      <x:c r="B2492" t="str">
        <x:v>PC-PE-KG01-L25-20251023-PM-ORD-2025-00162-S11</x:v>
      </x:c>
      <x:c r="C2492" t="str">
        <x:v>PE-KG01-L25-20251023-PM-ORD-2025-00162</x:v>
      </x:c>
      <x:c r="D2492" t="str">
        <x:v>KG01</x:v>
      </x:c>
      <x:c r="E2492" s="62" t="n">
        <x:v>45953</x:v>
      </x:c>
      <x:c r="F2492" t="str">
        <x:v>PM</x:v>
      </x:c>
      <x:c r="G2492" t="str">
        <x:v>A</x:v>
      </x:c>
      <x:c r="H2492" t="n">
        <x:v>25</x:v>
      </x:c>
      <x:c r="I2492" t="str">
        <x:v>ORD-2025-00162</x:v>
      </x:c>
      <x:c r="J2492" t="n">
        <x:v>11</x:v>
      </x:c>
      <x:c r="K2492" t="n">
        <x:v>1</x:v>
      </x:c>
      <x:c r="L2492" t="str">
        <x:v>L25-S11-C1</x:v>
      </x:c>
      <x:c r="M2492" t="n">
        <x:v>0</x:v>
      </x:c>
      <x:c r="N2492" t="str">
        <x:v>DerivedFromCount</x:v>
      </x:c>
      <x:c r="O2492" t="str">
        <x:v>PLC-PRD-JAR-330-L25</x:v>
      </x:c>
      <x:c r="P2492" t="str">
        <x:v>OK</x:v>
      </x:c>
      <x:c r="Q2492" t="str">
        <x:v>OK</x:v>
      </x:c>
      <x:c r="R2492" t="str">
        <x:v>OK</x:v>
      </x:c>
      <x:c r="S2492" t="str">
        <x:v>OK</x:v>
      </x:c>
      <x:c r="T2492" t="n">
        <x:v>24</x:v>
      </x:c>
      <x:c r="U2492" t="str">
        <x:v>OK</x:v>
      </x:c>
      <x:c r="V2492" t="str">
        <x:v>OK</x:v>
      </x:c>
      <x:c r="W2492" t="str">
        <x:v>LOAD</x:v>
      </x:c>
      <x:c r="X2492" t="str">
        <x:v>02_Supervisor_Log(4).xlsx</x:v>
      </x:c>
      <x:c r="Y2492" t="str">
        <x:v>ENH-20260830-01</x:v>
      </x:c>
      <x:c r="Z2492" t="str">
        <x:v>Active</x:v>
      </x:c>
      <x:c r="AA2492"/>
      <x:c r="AB2492"/>
      <x:c r="AC2492"/>
      <x:c r="AD2492"/>
    </x:row>
    <x:row r="2493">
      <x:c r="A2493" t="str">
        <x:v>PCC-PE-KG01-L25-20251023-PM-ORD-2025-00162-S11-C2</x:v>
      </x:c>
      <x:c r="B2493" t="str">
        <x:v>PC-PE-KG01-L25-20251023-PM-ORD-2025-00162-S11</x:v>
      </x:c>
      <x:c r="C2493" t="str">
        <x:v>PE-KG01-L25-20251023-PM-ORD-2025-00162</x:v>
      </x:c>
      <x:c r="D2493" t="str">
        <x:v>KG01</x:v>
      </x:c>
      <x:c r="E2493" s="62" t="n">
        <x:v>45953</x:v>
      </x:c>
      <x:c r="F2493" t="str">
        <x:v>PM</x:v>
      </x:c>
      <x:c r="G2493" t="str">
        <x:v>A</x:v>
      </x:c>
      <x:c r="H2493" t="n">
        <x:v>25</x:v>
      </x:c>
      <x:c r="I2493" t="str">
        <x:v>ORD-2025-00162</x:v>
      </x:c>
      <x:c r="J2493" t="n">
        <x:v>11</x:v>
      </x:c>
      <x:c r="K2493" t="n">
        <x:v>2</x:v>
      </x:c>
      <x:c r="L2493" t="str">
        <x:v>L25-S11-C2</x:v>
      </x:c>
      <x:c r="M2493" t="n">
        <x:v>0</x:v>
      </x:c>
      <x:c r="N2493" t="str">
        <x:v>DerivedFromCount</x:v>
      </x:c>
      <x:c r="O2493" t="str">
        <x:v>PLC-PRD-JAR-330-L25</x:v>
      </x:c>
      <x:c r="P2493" t="str">
        <x:v>OK</x:v>
      </x:c>
      <x:c r="Q2493" t="str">
        <x:v>OK</x:v>
      </x:c>
      <x:c r="R2493" t="str">
        <x:v>OK</x:v>
      </x:c>
      <x:c r="S2493" t="str">
        <x:v>OK</x:v>
      </x:c>
      <x:c r="T2493" t="n">
        <x:v>24</x:v>
      </x:c>
      <x:c r="U2493" t="str">
        <x:v>OK</x:v>
      </x:c>
      <x:c r="V2493" t="str">
        <x:v>OK</x:v>
      </x:c>
      <x:c r="W2493" t="str">
        <x:v>LOAD</x:v>
      </x:c>
      <x:c r="X2493" t="str">
        <x:v>02_Supervisor_Log(4).xlsx</x:v>
      </x:c>
      <x:c r="Y2493" t="str">
        <x:v>ENH-20260830-01</x:v>
      </x:c>
      <x:c r="Z2493" t="str">
        <x:v>Active</x:v>
      </x:c>
      <x:c r="AA2493"/>
      <x:c r="AB2493"/>
      <x:c r="AC2493"/>
      <x:c r="AD2493"/>
    </x:row>
    <x:row r="2494">
      <x:c r="A2494" t="str">
        <x:v>PCC-PE-KG01-L25-20251023-PM-ORD-2025-00162-S11-C3</x:v>
      </x:c>
      <x:c r="B2494" t="str">
        <x:v>PC-PE-KG01-L25-20251023-PM-ORD-2025-00162-S11</x:v>
      </x:c>
      <x:c r="C2494" t="str">
        <x:v>PE-KG01-L25-20251023-PM-ORD-2025-00162</x:v>
      </x:c>
      <x:c r="D2494" t="str">
        <x:v>KG01</x:v>
      </x:c>
      <x:c r="E2494" s="62" t="n">
        <x:v>45953</x:v>
      </x:c>
      <x:c r="F2494" t="str">
        <x:v>PM</x:v>
      </x:c>
      <x:c r="G2494" t="str">
        <x:v>A</x:v>
      </x:c>
      <x:c r="H2494" t="n">
        <x:v>25</x:v>
      </x:c>
      <x:c r="I2494" t="str">
        <x:v>ORD-2025-00162</x:v>
      </x:c>
      <x:c r="J2494" t="n">
        <x:v>11</x:v>
      </x:c>
      <x:c r="K2494" t="n">
        <x:v>3</x:v>
      </x:c>
      <x:c r="L2494" t="str">
        <x:v>L25-S11-C3</x:v>
      </x:c>
      <x:c r="M2494" t="n">
        <x:v>0</x:v>
      </x:c>
      <x:c r="N2494" t="str">
        <x:v>DerivedFromCount</x:v>
      </x:c>
      <x:c r="O2494" t="str">
        <x:v>PLC-PRD-JAR-330-L25</x:v>
      </x:c>
      <x:c r="P2494" t="str">
        <x:v>OK</x:v>
      </x:c>
      <x:c r="Q2494" t="str">
        <x:v>OK</x:v>
      </x:c>
      <x:c r="R2494" t="str">
        <x:v>OK</x:v>
      </x:c>
      <x:c r="S2494" t="str">
        <x:v>OK</x:v>
      </x:c>
      <x:c r="T2494" t="n">
        <x:v>24</x:v>
      </x:c>
      <x:c r="U2494" t="str">
        <x:v>OK</x:v>
      </x:c>
      <x:c r="V2494" t="str">
        <x:v>OK</x:v>
      </x:c>
      <x:c r="W2494" t="str">
        <x:v>LOAD</x:v>
      </x:c>
      <x:c r="X2494" t="str">
        <x:v>02_Supervisor_Log(4).xlsx</x:v>
      </x:c>
      <x:c r="Y2494" t="str">
        <x:v>ENH-20260830-01</x:v>
      </x:c>
      <x:c r="Z2494" t="str">
        <x:v>Active</x:v>
      </x:c>
      <x:c r="AA2494"/>
      <x:c r="AB2494"/>
      <x:c r="AC2494"/>
      <x:c r="AD2494"/>
    </x:row>
    <x:row r="2495">
      <x:c r="A2495" t="str">
        <x:v>PCC-PE-KG01-L25-20251023-PM-ORD-2025-00162-S12-C1</x:v>
      </x:c>
      <x:c r="B2495" t="str">
        <x:v>PC-PE-KG01-L25-20251023-PM-ORD-2025-00162-S12</x:v>
      </x:c>
      <x:c r="C2495" t="str">
        <x:v>PE-KG01-L25-20251023-PM-ORD-2025-00162</x:v>
      </x:c>
      <x:c r="D2495" t="str">
        <x:v>KG01</x:v>
      </x:c>
      <x:c r="E2495" s="62" t="n">
        <x:v>45953</x:v>
      </x:c>
      <x:c r="F2495" t="str">
        <x:v>PM</x:v>
      </x:c>
      <x:c r="G2495" t="str">
        <x:v>A</x:v>
      </x:c>
      <x:c r="H2495" t="n">
        <x:v>25</x:v>
      </x:c>
      <x:c r="I2495" t="str">
        <x:v>ORD-2025-00162</x:v>
      </x:c>
      <x:c r="J2495" t="n">
        <x:v>12</x:v>
      </x:c>
      <x:c r="K2495" t="n">
        <x:v>1</x:v>
      </x:c>
      <x:c r="L2495" t="str">
        <x:v>L25-S12-C1</x:v>
      </x:c>
      <x:c r="M2495" t="n">
        <x:v>0</x:v>
      </x:c>
      <x:c r="N2495" t="str">
        <x:v>DerivedFromCount</x:v>
      </x:c>
      <x:c r="O2495" t="str">
        <x:v>PLC-PRD-JAR-330-L25</x:v>
      </x:c>
      <x:c r="P2495" t="str">
        <x:v>OK</x:v>
      </x:c>
      <x:c r="Q2495" t="str">
        <x:v>OK</x:v>
      </x:c>
      <x:c r="R2495" t="str">
        <x:v>OK</x:v>
      </x:c>
      <x:c r="S2495" t="str">
        <x:v>OK</x:v>
      </x:c>
      <x:c r="T2495" t="n">
        <x:v>24</x:v>
      </x:c>
      <x:c r="U2495" t="str">
        <x:v>OK</x:v>
      </x:c>
      <x:c r="V2495" t="str">
        <x:v>OK</x:v>
      </x:c>
      <x:c r="W2495" t="str">
        <x:v>LOAD</x:v>
      </x:c>
      <x:c r="X2495" t="str">
        <x:v>02_Supervisor_Log(4).xlsx</x:v>
      </x:c>
      <x:c r="Y2495" t="str">
        <x:v>ENH-20260830-01</x:v>
      </x:c>
      <x:c r="Z2495" t="str">
        <x:v>Active</x:v>
      </x:c>
      <x:c r="AA2495"/>
      <x:c r="AB2495"/>
      <x:c r="AC2495"/>
      <x:c r="AD2495"/>
    </x:row>
    <x:row r="2496">
      <x:c r="A2496" t="str">
        <x:v>PCC-PE-KG01-L25-20251023-PM-ORD-2025-00162-S12-C2</x:v>
      </x:c>
      <x:c r="B2496" t="str">
        <x:v>PC-PE-KG01-L25-20251023-PM-ORD-2025-00162-S12</x:v>
      </x:c>
      <x:c r="C2496" t="str">
        <x:v>PE-KG01-L25-20251023-PM-ORD-2025-00162</x:v>
      </x:c>
      <x:c r="D2496" t="str">
        <x:v>KG01</x:v>
      </x:c>
      <x:c r="E2496" s="62" t="n">
        <x:v>45953</x:v>
      </x:c>
      <x:c r="F2496" t="str">
        <x:v>PM</x:v>
      </x:c>
      <x:c r="G2496" t="str">
        <x:v>A</x:v>
      </x:c>
      <x:c r="H2496" t="n">
        <x:v>25</x:v>
      </x:c>
      <x:c r="I2496" t="str">
        <x:v>ORD-2025-00162</x:v>
      </x:c>
      <x:c r="J2496" t="n">
        <x:v>12</x:v>
      </x:c>
      <x:c r="K2496" t="n">
        <x:v>2</x:v>
      </x:c>
      <x:c r="L2496" t="str">
        <x:v>L25-S12-C2</x:v>
      </x:c>
      <x:c r="M2496" t="n">
        <x:v>0</x:v>
      </x:c>
      <x:c r="N2496" t="str">
        <x:v>DerivedFromCount</x:v>
      </x:c>
      <x:c r="O2496" t="str">
        <x:v>PLC-PRD-JAR-330-L25</x:v>
      </x:c>
      <x:c r="P2496" t="str">
        <x:v>OK</x:v>
      </x:c>
      <x:c r="Q2496" t="str">
        <x:v>OK</x:v>
      </x:c>
      <x:c r="R2496" t="str">
        <x:v>OK</x:v>
      </x:c>
      <x:c r="S2496" t="str">
        <x:v>OK</x:v>
      </x:c>
      <x:c r="T2496" t="n">
        <x:v>24</x:v>
      </x:c>
      <x:c r="U2496" t="str">
        <x:v>OK</x:v>
      </x:c>
      <x:c r="V2496" t="str">
        <x:v>OK</x:v>
      </x:c>
      <x:c r="W2496" t="str">
        <x:v>LOAD</x:v>
      </x:c>
      <x:c r="X2496" t="str">
        <x:v>02_Supervisor_Log(4).xlsx</x:v>
      </x:c>
      <x:c r="Y2496" t="str">
        <x:v>ENH-20260830-01</x:v>
      </x:c>
      <x:c r="Z2496" t="str">
        <x:v>Active</x:v>
      </x:c>
      <x:c r="AA2496"/>
      <x:c r="AB2496"/>
      <x:c r="AC2496"/>
      <x:c r="AD2496"/>
    </x:row>
    <x:row r="2497">
      <x:c r="A2497" t="str">
        <x:v>PCC-PE-KG01-L25-20251023-PM-ORD-2025-00162-S12-C3</x:v>
      </x:c>
      <x:c r="B2497" t="str">
        <x:v>PC-PE-KG01-L25-20251023-PM-ORD-2025-00162-S12</x:v>
      </x:c>
      <x:c r="C2497" t="str">
        <x:v>PE-KG01-L25-20251023-PM-ORD-2025-00162</x:v>
      </x:c>
      <x:c r="D2497" t="str">
        <x:v>KG01</x:v>
      </x:c>
      <x:c r="E2497" s="62" t="n">
        <x:v>45953</x:v>
      </x:c>
      <x:c r="F2497" t="str">
        <x:v>PM</x:v>
      </x:c>
      <x:c r="G2497" t="str">
        <x:v>A</x:v>
      </x:c>
      <x:c r="H2497" t="n">
        <x:v>25</x:v>
      </x:c>
      <x:c r="I2497" t="str">
        <x:v>ORD-2025-00162</x:v>
      </x:c>
      <x:c r="J2497" t="n">
        <x:v>12</x:v>
      </x:c>
      <x:c r="K2497" t="n">
        <x:v>3</x:v>
      </x:c>
      <x:c r="L2497" t="str">
        <x:v>L25-S12-C3</x:v>
      </x:c>
      <x:c r="M2497" t="n">
        <x:v>0</x:v>
      </x:c>
      <x:c r="N2497" t="str">
        <x:v>DerivedFromCount</x:v>
      </x:c>
      <x:c r="O2497" t="str">
        <x:v>PLC-PRD-JAR-330-L25</x:v>
      </x:c>
      <x:c r="P2497" t="str">
        <x:v>OK</x:v>
      </x:c>
      <x:c r="Q2497" t="str">
        <x:v>OK</x:v>
      </x:c>
      <x:c r="R2497" t="str">
        <x:v>OK</x:v>
      </x:c>
      <x:c r="S2497" t="str">
        <x:v>OK</x:v>
      </x:c>
      <x:c r="T2497" t="n">
        <x:v>24</x:v>
      </x:c>
      <x:c r="U2497" t="str">
        <x:v>OK</x:v>
      </x:c>
      <x:c r="V2497" t="str">
        <x:v>OK</x:v>
      </x:c>
      <x:c r="W2497" t="str">
        <x:v>LOAD</x:v>
      </x:c>
      <x:c r="X2497" t="str">
        <x:v>02_Supervisor_Log(4).xlsx</x:v>
      </x:c>
      <x:c r="Y2497" t="str">
        <x:v>ENH-20260830-01</x:v>
      </x:c>
      <x:c r="Z2497" t="str">
        <x:v>Active</x:v>
      </x:c>
      <x:c r="AA2497"/>
      <x:c r="AB2497"/>
      <x:c r="AC2497"/>
      <x:c r="AD2497"/>
    </x:row>
    <x:row r="2498">
      <x:c r="A2498" t="str">
        <x:v>PCC-PE-KG01-L25-20251023-PM-ORD-2025-00162-S13-C1</x:v>
      </x:c>
      <x:c r="B2498" t="str">
        <x:v>PC-PE-KG01-L25-20251023-PM-ORD-2025-00162-S13</x:v>
      </x:c>
      <x:c r="C2498" t="str">
        <x:v>PE-KG01-L25-20251023-PM-ORD-2025-00162</x:v>
      </x:c>
      <x:c r="D2498" t="str">
        <x:v>KG01</x:v>
      </x:c>
      <x:c r="E2498" s="62" t="n">
        <x:v>45953</x:v>
      </x:c>
      <x:c r="F2498" t="str">
        <x:v>PM</x:v>
      </x:c>
      <x:c r="G2498" t="str">
        <x:v>A</x:v>
      </x:c>
      <x:c r="H2498" t="n">
        <x:v>25</x:v>
      </x:c>
      <x:c r="I2498" t="str">
        <x:v>ORD-2025-00162</x:v>
      </x:c>
      <x:c r="J2498" t="n">
        <x:v>13</x:v>
      </x:c>
      <x:c r="K2498" t="n">
        <x:v>1</x:v>
      </x:c>
      <x:c r="L2498" t="str">
        <x:v>L25-S13-C1</x:v>
      </x:c>
      <x:c r="M2498" t="n">
        <x:v>0</x:v>
      </x:c>
      <x:c r="N2498" t="str">
        <x:v>DerivedFromCount</x:v>
      </x:c>
      <x:c r="O2498" t="str">
        <x:v>PLC-PRD-JAR-330-L25</x:v>
      </x:c>
      <x:c r="P2498" t="str">
        <x:v>OK</x:v>
      </x:c>
      <x:c r="Q2498" t="str">
        <x:v>OK</x:v>
      </x:c>
      <x:c r="R2498" t="str">
        <x:v>OK</x:v>
      </x:c>
      <x:c r="S2498" t="str">
        <x:v>OK</x:v>
      </x:c>
      <x:c r="T2498" t="n">
        <x:v>24</x:v>
      </x:c>
      <x:c r="U2498" t="str">
        <x:v>OK</x:v>
      </x:c>
      <x:c r="V2498" t="str">
        <x:v>OK</x:v>
      </x:c>
      <x:c r="W2498" t="str">
        <x:v>LOAD</x:v>
      </x:c>
      <x:c r="X2498" t="str">
        <x:v>02_Supervisor_Log(4).xlsx</x:v>
      </x:c>
      <x:c r="Y2498" t="str">
        <x:v>ENH-20260830-01</x:v>
      </x:c>
      <x:c r="Z2498" t="str">
        <x:v>Active</x:v>
      </x:c>
      <x:c r="AA2498"/>
      <x:c r="AB2498"/>
      <x:c r="AC2498"/>
      <x:c r="AD2498"/>
    </x:row>
    <x:row r="2499">
      <x:c r="A2499" t="str">
        <x:v>PCC-PE-KG01-L25-20251023-PM-ORD-2025-00162-S13-C2</x:v>
      </x:c>
      <x:c r="B2499" t="str">
        <x:v>PC-PE-KG01-L25-20251023-PM-ORD-2025-00162-S13</x:v>
      </x:c>
      <x:c r="C2499" t="str">
        <x:v>PE-KG01-L25-20251023-PM-ORD-2025-00162</x:v>
      </x:c>
      <x:c r="D2499" t="str">
        <x:v>KG01</x:v>
      </x:c>
      <x:c r="E2499" s="62" t="n">
        <x:v>45953</x:v>
      </x:c>
      <x:c r="F2499" t="str">
        <x:v>PM</x:v>
      </x:c>
      <x:c r="G2499" t="str">
        <x:v>A</x:v>
      </x:c>
      <x:c r="H2499" t="n">
        <x:v>25</x:v>
      </x:c>
      <x:c r="I2499" t="str">
        <x:v>ORD-2025-00162</x:v>
      </x:c>
      <x:c r="J2499" t="n">
        <x:v>13</x:v>
      </x:c>
      <x:c r="K2499" t="n">
        <x:v>2</x:v>
      </x:c>
      <x:c r="L2499" t="str">
        <x:v>L25-S13-C2</x:v>
      </x:c>
      <x:c r="M2499" t="n">
        <x:v>0</x:v>
      </x:c>
      <x:c r="N2499" t="str">
        <x:v>DerivedFromCount</x:v>
      </x:c>
      <x:c r="O2499" t="str">
        <x:v>PLC-PRD-JAR-330-L25</x:v>
      </x:c>
      <x:c r="P2499" t="str">
        <x:v>OK</x:v>
      </x:c>
      <x:c r="Q2499" t="str">
        <x:v>OK</x:v>
      </x:c>
      <x:c r="R2499" t="str">
        <x:v>OK</x:v>
      </x:c>
      <x:c r="S2499" t="str">
        <x:v>OK</x:v>
      </x:c>
      <x:c r="T2499" t="n">
        <x:v>24</x:v>
      </x:c>
      <x:c r="U2499" t="str">
        <x:v>OK</x:v>
      </x:c>
      <x:c r="V2499" t="str">
        <x:v>OK</x:v>
      </x:c>
      <x:c r="W2499" t="str">
        <x:v>LOAD</x:v>
      </x:c>
      <x:c r="X2499" t="str">
        <x:v>02_Supervisor_Log(4).xlsx</x:v>
      </x:c>
      <x:c r="Y2499" t="str">
        <x:v>ENH-20260830-01</x:v>
      </x:c>
      <x:c r="Z2499" t="str">
        <x:v>Active</x:v>
      </x:c>
      <x:c r="AA2499"/>
      <x:c r="AB2499"/>
      <x:c r="AC2499"/>
      <x:c r="AD2499"/>
    </x:row>
    <x:row r="2500">
      <x:c r="A2500" t="str">
        <x:v>PCC-PE-KG01-L25-20251023-PM-ORD-2025-00162-S13-C3</x:v>
      </x:c>
      <x:c r="B2500" t="str">
        <x:v>PC-PE-KG01-L25-20251023-PM-ORD-2025-00162-S13</x:v>
      </x:c>
      <x:c r="C2500" t="str">
        <x:v>PE-KG01-L25-20251023-PM-ORD-2025-00162</x:v>
      </x:c>
      <x:c r="D2500" t="str">
        <x:v>KG01</x:v>
      </x:c>
      <x:c r="E2500" s="62" t="n">
        <x:v>45953</x:v>
      </x:c>
      <x:c r="F2500" t="str">
        <x:v>PM</x:v>
      </x:c>
      <x:c r="G2500" t="str">
        <x:v>A</x:v>
      </x:c>
      <x:c r="H2500" t="n">
        <x:v>25</x:v>
      </x:c>
      <x:c r="I2500" t="str">
        <x:v>ORD-2025-00162</x:v>
      </x:c>
      <x:c r="J2500" t="n">
        <x:v>13</x:v>
      </x:c>
      <x:c r="K2500" t="n">
        <x:v>3</x:v>
      </x:c>
      <x:c r="L2500" t="str">
        <x:v>L25-S13-C3</x:v>
      </x:c>
      <x:c r="M2500" t="n">
        <x:v>0</x:v>
      </x:c>
      <x:c r="N2500" t="str">
        <x:v>DerivedFromCount</x:v>
      </x:c>
      <x:c r="O2500" t="str">
        <x:v>PLC-PRD-JAR-330-L25</x:v>
      </x:c>
      <x:c r="P2500" t="str">
        <x:v>OK</x:v>
      </x:c>
      <x:c r="Q2500" t="str">
        <x:v>OK</x:v>
      </x:c>
      <x:c r="R2500" t="str">
        <x:v>OK</x:v>
      </x:c>
      <x:c r="S2500" t="str">
        <x:v>OK</x:v>
      </x:c>
      <x:c r="T2500" t="n">
        <x:v>24</x:v>
      </x:c>
      <x:c r="U2500" t="str">
        <x:v>OK</x:v>
      </x:c>
      <x:c r="V2500" t="str">
        <x:v>OK</x:v>
      </x:c>
      <x:c r="W2500" t="str">
        <x:v>LOAD</x:v>
      </x:c>
      <x:c r="X2500" t="str">
        <x:v>02_Supervisor_Log(4).xlsx</x:v>
      </x:c>
      <x:c r="Y2500" t="str">
        <x:v>ENH-20260830-01</x:v>
      </x:c>
      <x:c r="Z2500" t="str">
        <x:v>Active</x:v>
      </x:c>
      <x:c r="AA2500"/>
      <x:c r="AB2500"/>
      <x:c r="AC2500"/>
      <x:c r="AD2500"/>
    </x:row>
    <x:row r="2501">
      <x:c r="A2501" t="str">
        <x:v>PCC-PE-KG01-L25-20251024-AM-ORD-2025-00162-S01-C1</x:v>
      </x:c>
      <x:c r="B2501" t="str">
        <x:v>PC-PE-KG01-L25-20251024-AM-ORD-2025-00162-S01</x:v>
      </x:c>
      <x:c r="C2501" t="str">
        <x:v>PE-KG01-L25-20251024-AM-ORD-2025-00162</x:v>
      </x:c>
      <x:c r="D2501" t="str">
        <x:v>KG01</x:v>
      </x:c>
      <x:c r="E2501" s="62" t="n">
        <x:v>45954</x:v>
      </x:c>
      <x:c r="F2501" t="str">
        <x:v>AM</x:v>
      </x:c>
      <x:c r="G2501" t="str">
        <x:v>A</x:v>
      </x:c>
      <x:c r="H2501" t="n">
        <x:v>25</x:v>
      </x:c>
      <x:c r="I2501" t="str">
        <x:v>ORD-2025-00162</x:v>
      </x:c>
      <x:c r="J2501" t="n">
        <x:v>1</x:v>
      </x:c>
      <x:c r="K2501" t="n">
        <x:v>1</x:v>
      </x:c>
      <x:c r="L2501" t="str">
        <x:v>L25-S01-C1</x:v>
      </x:c>
      <x:c r="M2501" t="n">
        <x:v>1</x:v>
      </x:c>
      <x:c r="N2501" t="str">
        <x:v>DerivedFromCount</x:v>
      </x:c>
      <x:c r="O2501" t="str">
        <x:v>PLC-PRD-JAR-330-L25</x:v>
      </x:c>
      <x:c r="P2501" t="str">
        <x:v>OK</x:v>
      </x:c>
      <x:c r="Q2501" t="str">
        <x:v>OK</x:v>
      </x:c>
      <x:c r="R2501" t="str">
        <x:v>OK</x:v>
      </x:c>
      <x:c r="S2501" t="str">
        <x:v>OK</x:v>
      </x:c>
      <x:c r="T2501" t="n">
        <x:v>24</x:v>
      </x:c>
      <x:c r="U2501" t="str">
        <x:v>OK</x:v>
      </x:c>
      <x:c r="V2501" t="str">
        <x:v>OK</x:v>
      </x:c>
      <x:c r="W2501" t="str">
        <x:v>LOAD</x:v>
      </x:c>
      <x:c r="X2501" t="str">
        <x:v>02_Supervisor_Log(4).xlsx</x:v>
      </x:c>
      <x:c r="Y2501" t="str">
        <x:v>ENH-20260830-01</x:v>
      </x:c>
      <x:c r="Z2501" t="str">
        <x:v>Active</x:v>
      </x:c>
      <x:c r="AA2501"/>
      <x:c r="AB2501"/>
      <x:c r="AC2501"/>
      <x:c r="AD2501"/>
    </x:row>
    <x:row r="2502">
      <x:c r="A2502" t="str">
        <x:v>PCC-PE-KG01-L25-20251024-AM-ORD-2025-00162-S01-C2</x:v>
      </x:c>
      <x:c r="B2502" t="str">
        <x:v>PC-PE-KG01-L25-20251024-AM-ORD-2025-00162-S01</x:v>
      </x:c>
      <x:c r="C2502" t="str">
        <x:v>PE-KG01-L25-20251024-AM-ORD-2025-00162</x:v>
      </x:c>
      <x:c r="D2502" t="str">
        <x:v>KG01</x:v>
      </x:c>
      <x:c r="E2502" s="62" t="n">
        <x:v>45954</x:v>
      </x:c>
      <x:c r="F2502" t="str">
        <x:v>AM</x:v>
      </x:c>
      <x:c r="G2502" t="str">
        <x:v>A</x:v>
      </x:c>
      <x:c r="H2502" t="n">
        <x:v>25</x:v>
      </x:c>
      <x:c r="I2502" t="str">
        <x:v>ORD-2025-00162</x:v>
      </x:c>
      <x:c r="J2502" t="n">
        <x:v>1</x:v>
      </x:c>
      <x:c r="K2502" t="n">
        <x:v>2</x:v>
      </x:c>
      <x:c r="L2502" t="str">
        <x:v>L25-S01-C2</x:v>
      </x:c>
      <x:c r="M2502" t="n">
        <x:v>1</x:v>
      </x:c>
      <x:c r="N2502" t="str">
        <x:v>DerivedFromCount</x:v>
      </x:c>
      <x:c r="O2502" t="str">
        <x:v>PLC-PRD-JAR-330-L25</x:v>
      </x:c>
      <x:c r="P2502" t="str">
        <x:v>OK</x:v>
      </x:c>
      <x:c r="Q2502" t="str">
        <x:v>OK</x:v>
      </x:c>
      <x:c r="R2502" t="str">
        <x:v>OK</x:v>
      </x:c>
      <x:c r="S2502" t="str">
        <x:v>OK</x:v>
      </x:c>
      <x:c r="T2502" t="n">
        <x:v>24</x:v>
      </x:c>
      <x:c r="U2502" t="str">
        <x:v>OK</x:v>
      </x:c>
      <x:c r="V2502" t="str">
        <x:v>OK</x:v>
      </x:c>
      <x:c r="W2502" t="str">
        <x:v>LOAD</x:v>
      </x:c>
      <x:c r="X2502" t="str">
        <x:v>02_Supervisor_Log(4).xlsx</x:v>
      </x:c>
      <x:c r="Y2502" t="str">
        <x:v>ENH-20260830-01</x:v>
      </x:c>
      <x:c r="Z2502" t="str">
        <x:v>Active</x:v>
      </x:c>
      <x:c r="AA2502"/>
      <x:c r="AB2502"/>
      <x:c r="AC2502"/>
      <x:c r="AD2502"/>
    </x:row>
    <x:row r="2503">
      <x:c r="A2503" t="str">
        <x:v>PCC-PE-KG01-L25-20251024-AM-ORD-2025-00162-S01-C3</x:v>
      </x:c>
      <x:c r="B2503" t="str">
        <x:v>PC-PE-KG01-L25-20251024-AM-ORD-2025-00162-S01</x:v>
      </x:c>
      <x:c r="C2503" t="str">
        <x:v>PE-KG01-L25-20251024-AM-ORD-2025-00162</x:v>
      </x:c>
      <x:c r="D2503" t="str">
        <x:v>KG01</x:v>
      </x:c>
      <x:c r="E2503" s="62" t="n">
        <x:v>45954</x:v>
      </x:c>
      <x:c r="F2503" t="str">
        <x:v>AM</x:v>
      </x:c>
      <x:c r="G2503" t="str">
        <x:v>A</x:v>
      </x:c>
      <x:c r="H2503" t="n">
        <x:v>25</x:v>
      </x:c>
      <x:c r="I2503" t="str">
        <x:v>ORD-2025-00162</x:v>
      </x:c>
      <x:c r="J2503" t="n">
        <x:v>1</x:v>
      </x:c>
      <x:c r="K2503" t="n">
        <x:v>3</x:v>
      </x:c>
      <x:c r="L2503" t="str">
        <x:v>L25-S01-C3</x:v>
      </x:c>
      <x:c r="M2503" t="n">
        <x:v>1</x:v>
      </x:c>
      <x:c r="N2503" t="str">
        <x:v>DerivedFromCount</x:v>
      </x:c>
      <x:c r="O2503" t="str">
        <x:v>PLC-PRD-JAR-330-L25</x:v>
      </x:c>
      <x:c r="P2503" t="str">
        <x:v>OK</x:v>
      </x:c>
      <x:c r="Q2503" t="str">
        <x:v>OK</x:v>
      </x:c>
      <x:c r="R2503" t="str">
        <x:v>OK</x:v>
      </x:c>
      <x:c r="S2503" t="str">
        <x:v>OK</x:v>
      </x:c>
      <x:c r="T2503" t="n">
        <x:v>24</x:v>
      </x:c>
      <x:c r="U2503" t="str">
        <x:v>OK</x:v>
      </x:c>
      <x:c r="V2503" t="str">
        <x:v>OK</x:v>
      </x:c>
      <x:c r="W2503" t="str">
        <x:v>LOAD</x:v>
      </x:c>
      <x:c r="X2503" t="str">
        <x:v>02_Supervisor_Log(4).xlsx</x:v>
      </x:c>
      <x:c r="Y2503" t="str">
        <x:v>ENH-20260830-01</x:v>
      </x:c>
      <x:c r="Z2503" t="str">
        <x:v>Active</x:v>
      </x:c>
      <x:c r="AA2503"/>
      <x:c r="AB2503"/>
      <x:c r="AC2503"/>
      <x:c r="AD2503"/>
    </x:row>
    <x:row r="2504">
      <x:c r="A2504" t="str">
        <x:v>PCC-PE-KG01-L25-20251024-AM-ORD-2025-00162-S02-C1</x:v>
      </x:c>
      <x:c r="B2504" t="str">
        <x:v>PC-PE-KG01-L25-20251024-AM-ORD-2025-00162-S02</x:v>
      </x:c>
      <x:c r="C2504" t="str">
        <x:v>PE-KG01-L25-20251024-AM-ORD-2025-00162</x:v>
      </x:c>
      <x:c r="D2504" t="str">
        <x:v>KG01</x:v>
      </x:c>
      <x:c r="E2504" s="62" t="n">
        <x:v>45954</x:v>
      </x:c>
      <x:c r="F2504" t="str">
        <x:v>AM</x:v>
      </x:c>
      <x:c r="G2504" t="str">
        <x:v>A</x:v>
      </x:c>
      <x:c r="H2504" t="n">
        <x:v>25</x:v>
      </x:c>
      <x:c r="I2504" t="str">
        <x:v>ORD-2025-00162</x:v>
      </x:c>
      <x:c r="J2504" t="n">
        <x:v>2</x:v>
      </x:c>
      <x:c r="K2504" t="n">
        <x:v>1</x:v>
      </x:c>
      <x:c r="L2504" t="str">
        <x:v>L25-S02-C1</x:v>
      </x:c>
      <x:c r="M2504" t="n">
        <x:v>1</x:v>
      </x:c>
      <x:c r="N2504" t="str">
        <x:v>DerivedFromCount</x:v>
      </x:c>
      <x:c r="O2504" t="str">
        <x:v>PLC-PRD-JAR-330-L25</x:v>
      </x:c>
      <x:c r="P2504" t="str">
        <x:v>OK</x:v>
      </x:c>
      <x:c r="Q2504" t="str">
        <x:v>OK</x:v>
      </x:c>
      <x:c r="R2504" t="str">
        <x:v>OK</x:v>
      </x:c>
      <x:c r="S2504" t="str">
        <x:v>OK</x:v>
      </x:c>
      <x:c r="T2504" t="n">
        <x:v>24</x:v>
      </x:c>
      <x:c r="U2504" t="str">
        <x:v>OK</x:v>
      </x:c>
      <x:c r="V2504" t="str">
        <x:v>OK</x:v>
      </x:c>
      <x:c r="W2504" t="str">
        <x:v>LOAD</x:v>
      </x:c>
      <x:c r="X2504" t="str">
        <x:v>02_Supervisor_Log(4).xlsx</x:v>
      </x:c>
      <x:c r="Y2504" t="str">
        <x:v>ENH-20260830-01</x:v>
      </x:c>
      <x:c r="Z2504" t="str">
        <x:v>Active</x:v>
      </x:c>
      <x:c r="AA2504"/>
      <x:c r="AB2504"/>
      <x:c r="AC2504"/>
      <x:c r="AD2504"/>
    </x:row>
    <x:row r="2505">
      <x:c r="A2505" t="str">
        <x:v>PCC-PE-KG01-L25-20251024-AM-ORD-2025-00162-S02-C2</x:v>
      </x:c>
      <x:c r="B2505" t="str">
        <x:v>PC-PE-KG01-L25-20251024-AM-ORD-2025-00162-S02</x:v>
      </x:c>
      <x:c r="C2505" t="str">
        <x:v>PE-KG01-L25-20251024-AM-ORD-2025-00162</x:v>
      </x:c>
      <x:c r="D2505" t="str">
        <x:v>KG01</x:v>
      </x:c>
      <x:c r="E2505" s="62" t="n">
        <x:v>45954</x:v>
      </x:c>
      <x:c r="F2505" t="str">
        <x:v>AM</x:v>
      </x:c>
      <x:c r="G2505" t="str">
        <x:v>A</x:v>
      </x:c>
      <x:c r="H2505" t="n">
        <x:v>25</x:v>
      </x:c>
      <x:c r="I2505" t="str">
        <x:v>ORD-2025-00162</x:v>
      </x:c>
      <x:c r="J2505" t="n">
        <x:v>2</x:v>
      </x:c>
      <x:c r="K2505" t="n">
        <x:v>2</x:v>
      </x:c>
      <x:c r="L2505" t="str">
        <x:v>L25-S02-C2</x:v>
      </x:c>
      <x:c r="M2505" t="n">
        <x:v>1</x:v>
      </x:c>
      <x:c r="N2505" t="str">
        <x:v>DerivedFromCount</x:v>
      </x:c>
      <x:c r="O2505" t="str">
        <x:v>PLC-PRD-JAR-330-L25</x:v>
      </x:c>
      <x:c r="P2505" t="str">
        <x:v>OK</x:v>
      </x:c>
      <x:c r="Q2505" t="str">
        <x:v>OK</x:v>
      </x:c>
      <x:c r="R2505" t="str">
        <x:v>OK</x:v>
      </x:c>
      <x:c r="S2505" t="str">
        <x:v>OK</x:v>
      </x:c>
      <x:c r="T2505" t="n">
        <x:v>24</x:v>
      </x:c>
      <x:c r="U2505" t="str">
        <x:v>OK</x:v>
      </x:c>
      <x:c r="V2505" t="str">
        <x:v>OK</x:v>
      </x:c>
      <x:c r="W2505" t="str">
        <x:v>LOAD</x:v>
      </x:c>
      <x:c r="X2505" t="str">
        <x:v>02_Supervisor_Log(4).xlsx</x:v>
      </x:c>
      <x:c r="Y2505" t="str">
        <x:v>ENH-20260830-01</x:v>
      </x:c>
      <x:c r="Z2505" t="str">
        <x:v>Active</x:v>
      </x:c>
      <x:c r="AA2505"/>
      <x:c r="AB2505"/>
      <x:c r="AC2505"/>
      <x:c r="AD2505"/>
    </x:row>
    <x:row r="2506">
      <x:c r="A2506" t="str">
        <x:v>PCC-PE-KG01-L25-20251024-AM-ORD-2025-00162-S02-C3</x:v>
      </x:c>
      <x:c r="B2506" t="str">
        <x:v>PC-PE-KG01-L25-20251024-AM-ORD-2025-00162-S02</x:v>
      </x:c>
      <x:c r="C2506" t="str">
        <x:v>PE-KG01-L25-20251024-AM-ORD-2025-00162</x:v>
      </x:c>
      <x:c r="D2506" t="str">
        <x:v>KG01</x:v>
      </x:c>
      <x:c r="E2506" s="62" t="n">
        <x:v>45954</x:v>
      </x:c>
      <x:c r="F2506" t="str">
        <x:v>AM</x:v>
      </x:c>
      <x:c r="G2506" t="str">
        <x:v>A</x:v>
      </x:c>
      <x:c r="H2506" t="n">
        <x:v>25</x:v>
      </x:c>
      <x:c r="I2506" t="str">
        <x:v>ORD-2025-00162</x:v>
      </x:c>
      <x:c r="J2506" t="n">
        <x:v>2</x:v>
      </x:c>
      <x:c r="K2506" t="n">
        <x:v>3</x:v>
      </x:c>
      <x:c r="L2506" t="str">
        <x:v>L25-S02-C3</x:v>
      </x:c>
      <x:c r="M2506" t="n">
        <x:v>1</x:v>
      </x:c>
      <x:c r="N2506" t="str">
        <x:v>DerivedFromCount</x:v>
      </x:c>
      <x:c r="O2506" t="str">
        <x:v>PLC-PRD-JAR-330-L25</x:v>
      </x:c>
      <x:c r="P2506" t="str">
        <x:v>OK</x:v>
      </x:c>
      <x:c r="Q2506" t="str">
        <x:v>OK</x:v>
      </x:c>
      <x:c r="R2506" t="str">
        <x:v>OK</x:v>
      </x:c>
      <x:c r="S2506" t="str">
        <x:v>OK</x:v>
      </x:c>
      <x:c r="T2506" t="n">
        <x:v>24</x:v>
      </x:c>
      <x:c r="U2506" t="str">
        <x:v>OK</x:v>
      </x:c>
      <x:c r="V2506" t="str">
        <x:v>OK</x:v>
      </x:c>
      <x:c r="W2506" t="str">
        <x:v>LOAD</x:v>
      </x:c>
      <x:c r="X2506" t="str">
        <x:v>02_Supervisor_Log(4).xlsx</x:v>
      </x:c>
      <x:c r="Y2506" t="str">
        <x:v>ENH-20260830-01</x:v>
      </x:c>
      <x:c r="Z2506" t="str">
        <x:v>Active</x:v>
      </x:c>
      <x:c r="AA2506"/>
      <x:c r="AB2506"/>
      <x:c r="AC2506"/>
      <x:c r="AD2506"/>
    </x:row>
    <x:row r="2507">
      <x:c r="A2507" t="str">
        <x:v>PCC-PE-KG01-L25-20251024-AM-ORD-2025-00162-S03-C1</x:v>
      </x:c>
      <x:c r="B2507" t="str">
        <x:v>PC-PE-KG01-L25-20251024-AM-ORD-2025-00162-S03</x:v>
      </x:c>
      <x:c r="C2507" t="str">
        <x:v>PE-KG01-L25-20251024-AM-ORD-2025-00162</x:v>
      </x:c>
      <x:c r="D2507" t="str">
        <x:v>KG01</x:v>
      </x:c>
      <x:c r="E2507" s="62" t="n">
        <x:v>45954</x:v>
      </x:c>
      <x:c r="F2507" t="str">
        <x:v>AM</x:v>
      </x:c>
      <x:c r="G2507" t="str">
        <x:v>A</x:v>
      </x:c>
      <x:c r="H2507" t="n">
        <x:v>25</x:v>
      </x:c>
      <x:c r="I2507" t="str">
        <x:v>ORD-2025-00162</x:v>
      </x:c>
      <x:c r="J2507" t="n">
        <x:v>3</x:v>
      </x:c>
      <x:c r="K2507" t="n">
        <x:v>1</x:v>
      </x:c>
      <x:c r="L2507" t="str">
        <x:v>L25-S03-C1</x:v>
      </x:c>
      <x:c r="M2507" t="n">
        <x:v>1</x:v>
      </x:c>
      <x:c r="N2507" t="str">
        <x:v>DerivedFromCount</x:v>
      </x:c>
      <x:c r="O2507" t="str">
        <x:v>PLC-PRD-JAR-330-L25</x:v>
      </x:c>
      <x:c r="P2507" t="str">
        <x:v>OK</x:v>
      </x:c>
      <x:c r="Q2507" t="str">
        <x:v>OK</x:v>
      </x:c>
      <x:c r="R2507" t="str">
        <x:v>OK</x:v>
      </x:c>
      <x:c r="S2507" t="str">
        <x:v>OK</x:v>
      </x:c>
      <x:c r="T2507" t="n">
        <x:v>24</x:v>
      </x:c>
      <x:c r="U2507" t="str">
        <x:v>OK</x:v>
      </x:c>
      <x:c r="V2507" t="str">
        <x:v>OK</x:v>
      </x:c>
      <x:c r="W2507" t="str">
        <x:v>LOAD</x:v>
      </x:c>
      <x:c r="X2507" t="str">
        <x:v>02_Supervisor_Log(4).xlsx</x:v>
      </x:c>
      <x:c r="Y2507" t="str">
        <x:v>ENH-20260830-01</x:v>
      </x:c>
      <x:c r="Z2507" t="str">
        <x:v>Active</x:v>
      </x:c>
      <x:c r="AA2507"/>
      <x:c r="AB2507"/>
      <x:c r="AC2507"/>
      <x:c r="AD2507"/>
    </x:row>
    <x:row r="2508">
      <x:c r="A2508" t="str">
        <x:v>PCC-PE-KG01-L25-20251024-AM-ORD-2025-00162-S03-C2</x:v>
      </x:c>
      <x:c r="B2508" t="str">
        <x:v>PC-PE-KG01-L25-20251024-AM-ORD-2025-00162-S03</x:v>
      </x:c>
      <x:c r="C2508" t="str">
        <x:v>PE-KG01-L25-20251024-AM-ORD-2025-00162</x:v>
      </x:c>
      <x:c r="D2508" t="str">
        <x:v>KG01</x:v>
      </x:c>
      <x:c r="E2508" s="62" t="n">
        <x:v>45954</x:v>
      </x:c>
      <x:c r="F2508" t="str">
        <x:v>AM</x:v>
      </x:c>
      <x:c r="G2508" t="str">
        <x:v>A</x:v>
      </x:c>
      <x:c r="H2508" t="n">
        <x:v>25</x:v>
      </x:c>
      <x:c r="I2508" t="str">
        <x:v>ORD-2025-00162</x:v>
      </x:c>
      <x:c r="J2508" t="n">
        <x:v>3</x:v>
      </x:c>
      <x:c r="K2508" t="n">
        <x:v>2</x:v>
      </x:c>
      <x:c r="L2508" t="str">
        <x:v>L25-S03-C2</x:v>
      </x:c>
      <x:c r="M2508" t="n">
        <x:v>1</x:v>
      </x:c>
      <x:c r="N2508" t="str">
        <x:v>DerivedFromCount</x:v>
      </x:c>
      <x:c r="O2508" t="str">
        <x:v>PLC-PRD-JAR-330-L25</x:v>
      </x:c>
      <x:c r="P2508" t="str">
        <x:v>OK</x:v>
      </x:c>
      <x:c r="Q2508" t="str">
        <x:v>OK</x:v>
      </x:c>
      <x:c r="R2508" t="str">
        <x:v>OK</x:v>
      </x:c>
      <x:c r="S2508" t="str">
        <x:v>OK</x:v>
      </x:c>
      <x:c r="T2508" t="n">
        <x:v>24</x:v>
      </x:c>
      <x:c r="U2508" t="str">
        <x:v>OK</x:v>
      </x:c>
      <x:c r="V2508" t="str">
        <x:v>OK</x:v>
      </x:c>
      <x:c r="W2508" t="str">
        <x:v>LOAD</x:v>
      </x:c>
      <x:c r="X2508" t="str">
        <x:v>02_Supervisor_Log(4).xlsx</x:v>
      </x:c>
      <x:c r="Y2508" t="str">
        <x:v>ENH-20260830-01</x:v>
      </x:c>
      <x:c r="Z2508" t="str">
        <x:v>Active</x:v>
      </x:c>
      <x:c r="AA2508"/>
      <x:c r="AB2508"/>
      <x:c r="AC2508"/>
      <x:c r="AD2508"/>
    </x:row>
    <x:row r="2509">
      <x:c r="A2509" t="str">
        <x:v>PCC-PE-KG01-L25-20251024-AM-ORD-2025-00162-S03-C3</x:v>
      </x:c>
      <x:c r="B2509" t="str">
        <x:v>PC-PE-KG01-L25-20251024-AM-ORD-2025-00162-S03</x:v>
      </x:c>
      <x:c r="C2509" t="str">
        <x:v>PE-KG01-L25-20251024-AM-ORD-2025-00162</x:v>
      </x:c>
      <x:c r="D2509" t="str">
        <x:v>KG01</x:v>
      </x:c>
      <x:c r="E2509" s="62" t="n">
        <x:v>45954</x:v>
      </x:c>
      <x:c r="F2509" t="str">
        <x:v>AM</x:v>
      </x:c>
      <x:c r="G2509" t="str">
        <x:v>A</x:v>
      </x:c>
      <x:c r="H2509" t="n">
        <x:v>25</x:v>
      </x:c>
      <x:c r="I2509" t="str">
        <x:v>ORD-2025-00162</x:v>
      </x:c>
      <x:c r="J2509" t="n">
        <x:v>3</x:v>
      </x:c>
      <x:c r="K2509" t="n">
        <x:v>3</x:v>
      </x:c>
      <x:c r="L2509" t="str">
        <x:v>L25-S03-C3</x:v>
      </x:c>
      <x:c r="M2509" t="n">
        <x:v>1</x:v>
      </x:c>
      <x:c r="N2509" t="str">
        <x:v>DerivedFromCount</x:v>
      </x:c>
      <x:c r="O2509" t="str">
        <x:v>PLC-PRD-JAR-330-L25</x:v>
      </x:c>
      <x:c r="P2509" t="str">
        <x:v>OK</x:v>
      </x:c>
      <x:c r="Q2509" t="str">
        <x:v>OK</x:v>
      </x:c>
      <x:c r="R2509" t="str">
        <x:v>OK</x:v>
      </x:c>
      <x:c r="S2509" t="str">
        <x:v>OK</x:v>
      </x:c>
      <x:c r="T2509" t="n">
        <x:v>24</x:v>
      </x:c>
      <x:c r="U2509" t="str">
        <x:v>OK</x:v>
      </x:c>
      <x:c r="V2509" t="str">
        <x:v>OK</x:v>
      </x:c>
      <x:c r="W2509" t="str">
        <x:v>LOAD</x:v>
      </x:c>
      <x:c r="X2509" t="str">
        <x:v>02_Supervisor_Log(4).xlsx</x:v>
      </x:c>
      <x:c r="Y2509" t="str">
        <x:v>ENH-20260830-01</x:v>
      </x:c>
      <x:c r="Z2509" t="str">
        <x:v>Active</x:v>
      </x:c>
      <x:c r="AA2509"/>
      <x:c r="AB2509"/>
      <x:c r="AC2509"/>
      <x:c r="AD2509"/>
    </x:row>
    <x:row r="2510">
      <x:c r="A2510" t="str">
        <x:v>PCC-PE-KG01-L25-20251024-AM-ORD-2025-00162-S04-C1</x:v>
      </x:c>
      <x:c r="B2510" t="str">
        <x:v>PC-PE-KG01-L25-20251024-AM-ORD-2025-00162-S04</x:v>
      </x:c>
      <x:c r="C2510" t="str">
        <x:v>PE-KG01-L25-20251024-AM-ORD-2025-00162</x:v>
      </x:c>
      <x:c r="D2510" t="str">
        <x:v>KG01</x:v>
      </x:c>
      <x:c r="E2510" s="62" t="n">
        <x:v>45954</x:v>
      </x:c>
      <x:c r="F2510" t="str">
        <x:v>AM</x:v>
      </x:c>
      <x:c r="G2510" t="str">
        <x:v>A</x:v>
      </x:c>
      <x:c r="H2510" t="n">
        <x:v>25</x:v>
      </x:c>
      <x:c r="I2510" t="str">
        <x:v>ORD-2025-00162</x:v>
      </x:c>
      <x:c r="J2510" t="n">
        <x:v>4</x:v>
      </x:c>
      <x:c r="K2510" t="n">
        <x:v>1</x:v>
      </x:c>
      <x:c r="L2510" t="str">
        <x:v>L25-S04-C1</x:v>
      </x:c>
      <x:c r="M2510" t="n">
        <x:v>1</x:v>
      </x:c>
      <x:c r="N2510" t="str">
        <x:v>DerivedFromCount</x:v>
      </x:c>
      <x:c r="O2510" t="str">
        <x:v>PLC-PRD-JAR-330-L25</x:v>
      </x:c>
      <x:c r="P2510" t="str">
        <x:v>OK</x:v>
      </x:c>
      <x:c r="Q2510" t="str">
        <x:v>OK</x:v>
      </x:c>
      <x:c r="R2510" t="str">
        <x:v>OK</x:v>
      </x:c>
      <x:c r="S2510" t="str">
        <x:v>OK</x:v>
      </x:c>
      <x:c r="T2510" t="n">
        <x:v>24</x:v>
      </x:c>
      <x:c r="U2510" t="str">
        <x:v>OK</x:v>
      </x:c>
      <x:c r="V2510" t="str">
        <x:v>OK</x:v>
      </x:c>
      <x:c r="W2510" t="str">
        <x:v>LOAD</x:v>
      </x:c>
      <x:c r="X2510" t="str">
        <x:v>02_Supervisor_Log(4).xlsx</x:v>
      </x:c>
      <x:c r="Y2510" t="str">
        <x:v>ENH-20260830-01</x:v>
      </x:c>
      <x:c r="Z2510" t="str">
        <x:v>Active</x:v>
      </x:c>
      <x:c r="AA2510"/>
      <x:c r="AB2510"/>
      <x:c r="AC2510"/>
      <x:c r="AD2510"/>
    </x:row>
    <x:row r="2511">
      <x:c r="A2511" t="str">
        <x:v>PCC-PE-KG01-L25-20251024-AM-ORD-2025-00162-S04-C2</x:v>
      </x:c>
      <x:c r="B2511" t="str">
        <x:v>PC-PE-KG01-L25-20251024-AM-ORD-2025-00162-S04</x:v>
      </x:c>
      <x:c r="C2511" t="str">
        <x:v>PE-KG01-L25-20251024-AM-ORD-2025-00162</x:v>
      </x:c>
      <x:c r="D2511" t="str">
        <x:v>KG01</x:v>
      </x:c>
      <x:c r="E2511" s="62" t="n">
        <x:v>45954</x:v>
      </x:c>
      <x:c r="F2511" t="str">
        <x:v>AM</x:v>
      </x:c>
      <x:c r="G2511" t="str">
        <x:v>A</x:v>
      </x:c>
      <x:c r="H2511" t="n">
        <x:v>25</x:v>
      </x:c>
      <x:c r="I2511" t="str">
        <x:v>ORD-2025-00162</x:v>
      </x:c>
      <x:c r="J2511" t="n">
        <x:v>4</x:v>
      </x:c>
      <x:c r="K2511" t="n">
        <x:v>2</x:v>
      </x:c>
      <x:c r="L2511" t="str">
        <x:v>L25-S04-C2</x:v>
      </x:c>
      <x:c r="M2511" t="n">
        <x:v>1</x:v>
      </x:c>
      <x:c r="N2511" t="str">
        <x:v>DerivedFromCount</x:v>
      </x:c>
      <x:c r="O2511" t="str">
        <x:v>PLC-PRD-JAR-330-L25</x:v>
      </x:c>
      <x:c r="P2511" t="str">
        <x:v>OK</x:v>
      </x:c>
      <x:c r="Q2511" t="str">
        <x:v>OK</x:v>
      </x:c>
      <x:c r="R2511" t="str">
        <x:v>OK</x:v>
      </x:c>
      <x:c r="S2511" t="str">
        <x:v>OK</x:v>
      </x:c>
      <x:c r="T2511" t="n">
        <x:v>24</x:v>
      </x:c>
      <x:c r="U2511" t="str">
        <x:v>OK</x:v>
      </x:c>
      <x:c r="V2511" t="str">
        <x:v>OK</x:v>
      </x:c>
      <x:c r="W2511" t="str">
        <x:v>LOAD</x:v>
      </x:c>
      <x:c r="X2511" t="str">
        <x:v>02_Supervisor_Log(4).xlsx</x:v>
      </x:c>
      <x:c r="Y2511" t="str">
        <x:v>ENH-20260830-01</x:v>
      </x:c>
      <x:c r="Z2511" t="str">
        <x:v>Active</x:v>
      </x:c>
      <x:c r="AA2511"/>
      <x:c r="AB2511"/>
      <x:c r="AC2511"/>
      <x:c r="AD2511"/>
    </x:row>
    <x:row r="2512">
      <x:c r="A2512" t="str">
        <x:v>PCC-PE-KG01-L25-20251024-AM-ORD-2025-00162-S04-C3</x:v>
      </x:c>
      <x:c r="B2512" t="str">
        <x:v>PC-PE-KG01-L25-20251024-AM-ORD-2025-00162-S04</x:v>
      </x:c>
      <x:c r="C2512" t="str">
        <x:v>PE-KG01-L25-20251024-AM-ORD-2025-00162</x:v>
      </x:c>
      <x:c r="D2512" t="str">
        <x:v>KG01</x:v>
      </x:c>
      <x:c r="E2512" s="62" t="n">
        <x:v>45954</x:v>
      </x:c>
      <x:c r="F2512" t="str">
        <x:v>AM</x:v>
      </x:c>
      <x:c r="G2512" t="str">
        <x:v>A</x:v>
      </x:c>
      <x:c r="H2512" t="n">
        <x:v>25</x:v>
      </x:c>
      <x:c r="I2512" t="str">
        <x:v>ORD-2025-00162</x:v>
      </x:c>
      <x:c r="J2512" t="n">
        <x:v>4</x:v>
      </x:c>
      <x:c r="K2512" t="n">
        <x:v>3</x:v>
      </x:c>
      <x:c r="L2512" t="str">
        <x:v>L25-S04-C3</x:v>
      </x:c>
      <x:c r="M2512" t="n">
        <x:v>1</x:v>
      </x:c>
      <x:c r="N2512" t="str">
        <x:v>DerivedFromCount</x:v>
      </x:c>
      <x:c r="O2512" t="str">
        <x:v>PLC-PRD-JAR-330-L25</x:v>
      </x:c>
      <x:c r="P2512" t="str">
        <x:v>OK</x:v>
      </x:c>
      <x:c r="Q2512" t="str">
        <x:v>OK</x:v>
      </x:c>
      <x:c r="R2512" t="str">
        <x:v>OK</x:v>
      </x:c>
      <x:c r="S2512" t="str">
        <x:v>OK</x:v>
      </x:c>
      <x:c r="T2512" t="n">
        <x:v>24</x:v>
      </x:c>
      <x:c r="U2512" t="str">
        <x:v>OK</x:v>
      </x:c>
      <x:c r="V2512" t="str">
        <x:v>OK</x:v>
      </x:c>
      <x:c r="W2512" t="str">
        <x:v>LOAD</x:v>
      </x:c>
      <x:c r="X2512" t="str">
        <x:v>02_Supervisor_Log(4).xlsx</x:v>
      </x:c>
      <x:c r="Y2512" t="str">
        <x:v>ENH-20260830-01</x:v>
      </x:c>
      <x:c r="Z2512" t="str">
        <x:v>Active</x:v>
      </x:c>
      <x:c r="AA2512"/>
      <x:c r="AB2512"/>
      <x:c r="AC2512"/>
      <x:c r="AD2512"/>
    </x:row>
    <x:row r="2513">
      <x:c r="A2513" t="str">
        <x:v>PCC-PE-KG01-L25-20251024-AM-ORD-2025-00162-S05-C1</x:v>
      </x:c>
      <x:c r="B2513" t="str">
        <x:v>PC-PE-KG01-L25-20251024-AM-ORD-2025-00162-S05</x:v>
      </x:c>
      <x:c r="C2513" t="str">
        <x:v>PE-KG01-L25-20251024-AM-ORD-2025-00162</x:v>
      </x:c>
      <x:c r="D2513" t="str">
        <x:v>KG01</x:v>
      </x:c>
      <x:c r="E2513" s="62" t="n">
        <x:v>45954</x:v>
      </x:c>
      <x:c r="F2513" t="str">
        <x:v>AM</x:v>
      </x:c>
      <x:c r="G2513" t="str">
        <x:v>A</x:v>
      </x:c>
      <x:c r="H2513" t="n">
        <x:v>25</x:v>
      </x:c>
      <x:c r="I2513" t="str">
        <x:v>ORD-2025-00162</x:v>
      </x:c>
      <x:c r="J2513" t="n">
        <x:v>5</x:v>
      </x:c>
      <x:c r="K2513" t="n">
        <x:v>1</x:v>
      </x:c>
      <x:c r="L2513" t="str">
        <x:v>L25-S05-C1</x:v>
      </x:c>
      <x:c r="M2513" t="n">
        <x:v>1</x:v>
      </x:c>
      <x:c r="N2513" t="str">
        <x:v>DerivedFromCount</x:v>
      </x:c>
      <x:c r="O2513" t="str">
        <x:v>PLC-PRD-JAR-330-L25</x:v>
      </x:c>
      <x:c r="P2513" t="str">
        <x:v>OK</x:v>
      </x:c>
      <x:c r="Q2513" t="str">
        <x:v>OK</x:v>
      </x:c>
      <x:c r="R2513" t="str">
        <x:v>OK</x:v>
      </x:c>
      <x:c r="S2513" t="str">
        <x:v>OK</x:v>
      </x:c>
      <x:c r="T2513" t="n">
        <x:v>24</x:v>
      </x:c>
      <x:c r="U2513" t="str">
        <x:v>OK</x:v>
      </x:c>
      <x:c r="V2513" t="str">
        <x:v>OK</x:v>
      </x:c>
      <x:c r="W2513" t="str">
        <x:v>LOAD</x:v>
      </x:c>
      <x:c r="X2513" t="str">
        <x:v>02_Supervisor_Log(4).xlsx</x:v>
      </x:c>
      <x:c r="Y2513" t="str">
        <x:v>ENH-20260830-01</x:v>
      </x:c>
      <x:c r="Z2513" t="str">
        <x:v>Active</x:v>
      </x:c>
      <x:c r="AA2513"/>
      <x:c r="AB2513"/>
      <x:c r="AC2513"/>
      <x:c r="AD2513"/>
    </x:row>
    <x:row r="2514">
      <x:c r="A2514" t="str">
        <x:v>PCC-PE-KG01-L25-20251024-AM-ORD-2025-00162-S05-C2</x:v>
      </x:c>
      <x:c r="B2514" t="str">
        <x:v>PC-PE-KG01-L25-20251024-AM-ORD-2025-00162-S05</x:v>
      </x:c>
      <x:c r="C2514" t="str">
        <x:v>PE-KG01-L25-20251024-AM-ORD-2025-00162</x:v>
      </x:c>
      <x:c r="D2514" t="str">
        <x:v>KG01</x:v>
      </x:c>
      <x:c r="E2514" s="62" t="n">
        <x:v>45954</x:v>
      </x:c>
      <x:c r="F2514" t="str">
        <x:v>AM</x:v>
      </x:c>
      <x:c r="G2514" t="str">
        <x:v>A</x:v>
      </x:c>
      <x:c r="H2514" t="n">
        <x:v>25</x:v>
      </x:c>
      <x:c r="I2514" t="str">
        <x:v>ORD-2025-00162</x:v>
      </x:c>
      <x:c r="J2514" t="n">
        <x:v>5</x:v>
      </x:c>
      <x:c r="K2514" t="n">
        <x:v>2</x:v>
      </x:c>
      <x:c r="L2514" t="str">
        <x:v>L25-S05-C2</x:v>
      </x:c>
      <x:c r="M2514" t="n">
        <x:v>1</x:v>
      </x:c>
      <x:c r="N2514" t="str">
        <x:v>DerivedFromCount</x:v>
      </x:c>
      <x:c r="O2514" t="str">
        <x:v>PLC-PRD-JAR-330-L25</x:v>
      </x:c>
      <x:c r="P2514" t="str">
        <x:v>OK</x:v>
      </x:c>
      <x:c r="Q2514" t="str">
        <x:v>OK</x:v>
      </x:c>
      <x:c r="R2514" t="str">
        <x:v>OK</x:v>
      </x:c>
      <x:c r="S2514" t="str">
        <x:v>OK</x:v>
      </x:c>
      <x:c r="T2514" t="n">
        <x:v>24</x:v>
      </x:c>
      <x:c r="U2514" t="str">
        <x:v>OK</x:v>
      </x:c>
      <x:c r="V2514" t="str">
        <x:v>OK</x:v>
      </x:c>
      <x:c r="W2514" t="str">
        <x:v>LOAD</x:v>
      </x:c>
      <x:c r="X2514" t="str">
        <x:v>02_Supervisor_Log(4).xlsx</x:v>
      </x:c>
      <x:c r="Y2514" t="str">
        <x:v>ENH-20260830-01</x:v>
      </x:c>
      <x:c r="Z2514" t="str">
        <x:v>Active</x:v>
      </x:c>
      <x:c r="AA2514"/>
      <x:c r="AB2514"/>
      <x:c r="AC2514"/>
      <x:c r="AD2514"/>
    </x:row>
    <x:row r="2515">
      <x:c r="A2515" t="str">
        <x:v>PCC-PE-KG01-L25-20251024-AM-ORD-2025-00162-S05-C3</x:v>
      </x:c>
      <x:c r="B2515" t="str">
        <x:v>PC-PE-KG01-L25-20251024-AM-ORD-2025-00162-S05</x:v>
      </x:c>
      <x:c r="C2515" t="str">
        <x:v>PE-KG01-L25-20251024-AM-ORD-2025-00162</x:v>
      </x:c>
      <x:c r="D2515" t="str">
        <x:v>KG01</x:v>
      </x:c>
      <x:c r="E2515" s="62" t="n">
        <x:v>45954</x:v>
      </x:c>
      <x:c r="F2515" t="str">
        <x:v>AM</x:v>
      </x:c>
      <x:c r="G2515" t="str">
        <x:v>A</x:v>
      </x:c>
      <x:c r="H2515" t="n">
        <x:v>25</x:v>
      </x:c>
      <x:c r="I2515" t="str">
        <x:v>ORD-2025-00162</x:v>
      </x:c>
      <x:c r="J2515" t="n">
        <x:v>5</x:v>
      </x:c>
      <x:c r="K2515" t="n">
        <x:v>3</x:v>
      </x:c>
      <x:c r="L2515" t="str">
        <x:v>L25-S05-C3</x:v>
      </x:c>
      <x:c r="M2515" t="n">
        <x:v>1</x:v>
      </x:c>
      <x:c r="N2515" t="str">
        <x:v>DerivedFromCount</x:v>
      </x:c>
      <x:c r="O2515" t="str">
        <x:v>PLC-PRD-JAR-330-L25</x:v>
      </x:c>
      <x:c r="P2515" t="str">
        <x:v>OK</x:v>
      </x:c>
      <x:c r="Q2515" t="str">
        <x:v>OK</x:v>
      </x:c>
      <x:c r="R2515" t="str">
        <x:v>OK</x:v>
      </x:c>
      <x:c r="S2515" t="str">
        <x:v>OK</x:v>
      </x:c>
      <x:c r="T2515" t="n">
        <x:v>24</x:v>
      </x:c>
      <x:c r="U2515" t="str">
        <x:v>OK</x:v>
      </x:c>
      <x:c r="V2515" t="str">
        <x:v>OK</x:v>
      </x:c>
      <x:c r="W2515" t="str">
        <x:v>LOAD</x:v>
      </x:c>
      <x:c r="X2515" t="str">
        <x:v>02_Supervisor_Log(4).xlsx</x:v>
      </x:c>
      <x:c r="Y2515" t="str">
        <x:v>ENH-20260830-01</x:v>
      </x:c>
      <x:c r="Z2515" t="str">
        <x:v>Active</x:v>
      </x:c>
      <x:c r="AA2515"/>
      <x:c r="AB2515"/>
      <x:c r="AC2515"/>
      <x:c r="AD2515"/>
    </x:row>
    <x:row r="2516">
      <x:c r="A2516" t="str">
        <x:v>PCC-PE-KG01-L25-20251024-AM-ORD-2025-00162-S06-C1</x:v>
      </x:c>
      <x:c r="B2516" t="str">
        <x:v>PC-PE-KG01-L25-20251024-AM-ORD-2025-00162-S06</x:v>
      </x:c>
      <x:c r="C2516" t="str">
        <x:v>PE-KG01-L25-20251024-AM-ORD-2025-00162</x:v>
      </x:c>
      <x:c r="D2516" t="str">
        <x:v>KG01</x:v>
      </x:c>
      <x:c r="E2516" s="62" t="n">
        <x:v>45954</x:v>
      </x:c>
      <x:c r="F2516" t="str">
        <x:v>AM</x:v>
      </x:c>
      <x:c r="G2516" t="str">
        <x:v>A</x:v>
      </x:c>
      <x:c r="H2516" t="n">
        <x:v>25</x:v>
      </x:c>
      <x:c r="I2516" t="str">
        <x:v>ORD-2025-00162</x:v>
      </x:c>
      <x:c r="J2516" t="n">
        <x:v>6</x:v>
      </x:c>
      <x:c r="K2516" t="n">
        <x:v>1</x:v>
      </x:c>
      <x:c r="L2516" t="str">
        <x:v>L25-S06-C1</x:v>
      </x:c>
      <x:c r="M2516" t="n">
        <x:v>1</x:v>
      </x:c>
      <x:c r="N2516" t="str">
        <x:v>DerivedFromCount</x:v>
      </x:c>
      <x:c r="O2516" t="str">
        <x:v>PLC-PRD-JAR-330-L25</x:v>
      </x:c>
      <x:c r="P2516" t="str">
        <x:v>OK</x:v>
      </x:c>
      <x:c r="Q2516" t="str">
        <x:v>OK</x:v>
      </x:c>
      <x:c r="R2516" t="str">
        <x:v>OK</x:v>
      </x:c>
      <x:c r="S2516" t="str">
        <x:v>OK</x:v>
      </x:c>
      <x:c r="T2516" t="n">
        <x:v>24</x:v>
      </x:c>
      <x:c r="U2516" t="str">
        <x:v>OK</x:v>
      </x:c>
      <x:c r="V2516" t="str">
        <x:v>OK</x:v>
      </x:c>
      <x:c r="W2516" t="str">
        <x:v>LOAD</x:v>
      </x:c>
      <x:c r="X2516" t="str">
        <x:v>02_Supervisor_Log(4).xlsx</x:v>
      </x:c>
      <x:c r="Y2516" t="str">
        <x:v>ENH-20260830-01</x:v>
      </x:c>
      <x:c r="Z2516" t="str">
        <x:v>Active</x:v>
      </x:c>
      <x:c r="AA2516"/>
      <x:c r="AB2516"/>
      <x:c r="AC2516"/>
      <x:c r="AD2516"/>
    </x:row>
    <x:row r="2517">
      <x:c r="A2517" t="str">
        <x:v>PCC-PE-KG01-L25-20251024-AM-ORD-2025-00162-S06-C2</x:v>
      </x:c>
      <x:c r="B2517" t="str">
        <x:v>PC-PE-KG01-L25-20251024-AM-ORD-2025-00162-S06</x:v>
      </x:c>
      <x:c r="C2517" t="str">
        <x:v>PE-KG01-L25-20251024-AM-ORD-2025-00162</x:v>
      </x:c>
      <x:c r="D2517" t="str">
        <x:v>KG01</x:v>
      </x:c>
      <x:c r="E2517" s="62" t="n">
        <x:v>45954</x:v>
      </x:c>
      <x:c r="F2517" t="str">
        <x:v>AM</x:v>
      </x:c>
      <x:c r="G2517" t="str">
        <x:v>A</x:v>
      </x:c>
      <x:c r="H2517" t="n">
        <x:v>25</x:v>
      </x:c>
      <x:c r="I2517" t="str">
        <x:v>ORD-2025-00162</x:v>
      </x:c>
      <x:c r="J2517" t="n">
        <x:v>6</x:v>
      </x:c>
      <x:c r="K2517" t="n">
        <x:v>2</x:v>
      </x:c>
      <x:c r="L2517" t="str">
        <x:v>L25-S06-C2</x:v>
      </x:c>
      <x:c r="M2517" t="n">
        <x:v>1</x:v>
      </x:c>
      <x:c r="N2517" t="str">
        <x:v>DerivedFromCount</x:v>
      </x:c>
      <x:c r="O2517" t="str">
        <x:v>PLC-PRD-JAR-330-L25</x:v>
      </x:c>
      <x:c r="P2517" t="str">
        <x:v>OK</x:v>
      </x:c>
      <x:c r="Q2517" t="str">
        <x:v>OK</x:v>
      </x:c>
      <x:c r="R2517" t="str">
        <x:v>OK</x:v>
      </x:c>
      <x:c r="S2517" t="str">
        <x:v>OK</x:v>
      </x:c>
      <x:c r="T2517" t="n">
        <x:v>24</x:v>
      </x:c>
      <x:c r="U2517" t="str">
        <x:v>OK</x:v>
      </x:c>
      <x:c r="V2517" t="str">
        <x:v>OK</x:v>
      </x:c>
      <x:c r="W2517" t="str">
        <x:v>LOAD</x:v>
      </x:c>
      <x:c r="X2517" t="str">
        <x:v>02_Supervisor_Log(4).xlsx</x:v>
      </x:c>
      <x:c r="Y2517" t="str">
        <x:v>ENH-20260830-01</x:v>
      </x:c>
      <x:c r="Z2517" t="str">
        <x:v>Active</x:v>
      </x:c>
      <x:c r="AA2517"/>
      <x:c r="AB2517"/>
      <x:c r="AC2517"/>
      <x:c r="AD2517"/>
    </x:row>
    <x:row r="2518">
      <x:c r="A2518" t="str">
        <x:v>PCC-PE-KG01-L25-20251024-AM-ORD-2025-00162-S06-C3</x:v>
      </x:c>
      <x:c r="B2518" t="str">
        <x:v>PC-PE-KG01-L25-20251024-AM-ORD-2025-00162-S06</x:v>
      </x:c>
      <x:c r="C2518" t="str">
        <x:v>PE-KG01-L25-20251024-AM-ORD-2025-00162</x:v>
      </x:c>
      <x:c r="D2518" t="str">
        <x:v>KG01</x:v>
      </x:c>
      <x:c r="E2518" s="62" t="n">
        <x:v>45954</x:v>
      </x:c>
      <x:c r="F2518" t="str">
        <x:v>AM</x:v>
      </x:c>
      <x:c r="G2518" t="str">
        <x:v>A</x:v>
      </x:c>
      <x:c r="H2518" t="n">
        <x:v>25</x:v>
      </x:c>
      <x:c r="I2518" t="str">
        <x:v>ORD-2025-00162</x:v>
      </x:c>
      <x:c r="J2518" t="n">
        <x:v>6</x:v>
      </x:c>
      <x:c r="K2518" t="n">
        <x:v>3</x:v>
      </x:c>
      <x:c r="L2518" t="str">
        <x:v>L25-S06-C3</x:v>
      </x:c>
      <x:c r="M2518" t="n">
        <x:v>1</x:v>
      </x:c>
      <x:c r="N2518" t="str">
        <x:v>DerivedFromCount</x:v>
      </x:c>
      <x:c r="O2518" t="str">
        <x:v>PLC-PRD-JAR-330-L25</x:v>
      </x:c>
      <x:c r="P2518" t="str">
        <x:v>OK</x:v>
      </x:c>
      <x:c r="Q2518" t="str">
        <x:v>OK</x:v>
      </x:c>
      <x:c r="R2518" t="str">
        <x:v>OK</x:v>
      </x:c>
      <x:c r="S2518" t="str">
        <x:v>OK</x:v>
      </x:c>
      <x:c r="T2518" t="n">
        <x:v>24</x:v>
      </x:c>
      <x:c r="U2518" t="str">
        <x:v>OK</x:v>
      </x:c>
      <x:c r="V2518" t="str">
        <x:v>OK</x:v>
      </x:c>
      <x:c r="W2518" t="str">
        <x:v>LOAD</x:v>
      </x:c>
      <x:c r="X2518" t="str">
        <x:v>02_Supervisor_Log(4).xlsx</x:v>
      </x:c>
      <x:c r="Y2518" t="str">
        <x:v>ENH-20260830-01</x:v>
      </x:c>
      <x:c r="Z2518" t="str">
        <x:v>Active</x:v>
      </x:c>
      <x:c r="AA2518"/>
      <x:c r="AB2518"/>
      <x:c r="AC2518"/>
      <x:c r="AD2518"/>
    </x:row>
    <x:row r="2519">
      <x:c r="A2519" t="str">
        <x:v>PCC-PE-KG01-L25-20251024-AM-ORD-2025-00162-S07-C1</x:v>
      </x:c>
      <x:c r="B2519" t="str">
        <x:v>PC-PE-KG01-L25-20251024-AM-ORD-2025-00162-S07</x:v>
      </x:c>
      <x:c r="C2519" t="str">
        <x:v>PE-KG01-L25-20251024-AM-ORD-2025-00162</x:v>
      </x:c>
      <x:c r="D2519" t="str">
        <x:v>KG01</x:v>
      </x:c>
      <x:c r="E2519" s="62" t="n">
        <x:v>45954</x:v>
      </x:c>
      <x:c r="F2519" t="str">
        <x:v>AM</x:v>
      </x:c>
      <x:c r="G2519" t="str">
        <x:v>A</x:v>
      </x:c>
      <x:c r="H2519" t="n">
        <x:v>25</x:v>
      </x:c>
      <x:c r="I2519" t="str">
        <x:v>ORD-2025-00162</x:v>
      </x:c>
      <x:c r="J2519" t="n">
        <x:v>7</x:v>
      </x:c>
      <x:c r="K2519" t="n">
        <x:v>1</x:v>
      </x:c>
      <x:c r="L2519" t="str">
        <x:v>L25-S07-C1</x:v>
      </x:c>
      <x:c r="M2519" t="n">
        <x:v>1</x:v>
      </x:c>
      <x:c r="N2519" t="str">
        <x:v>DerivedFromCount</x:v>
      </x:c>
      <x:c r="O2519" t="str">
        <x:v>PLC-PRD-JAR-330-L25</x:v>
      </x:c>
      <x:c r="P2519" t="str">
        <x:v>OK</x:v>
      </x:c>
      <x:c r="Q2519" t="str">
        <x:v>OK</x:v>
      </x:c>
      <x:c r="R2519" t="str">
        <x:v>OK</x:v>
      </x:c>
      <x:c r="S2519" t="str">
        <x:v>OK</x:v>
      </x:c>
      <x:c r="T2519" t="n">
        <x:v>24</x:v>
      </x:c>
      <x:c r="U2519" t="str">
        <x:v>OK</x:v>
      </x:c>
      <x:c r="V2519" t="str">
        <x:v>OK</x:v>
      </x:c>
      <x:c r="W2519" t="str">
        <x:v>LOAD</x:v>
      </x:c>
      <x:c r="X2519" t="str">
        <x:v>02_Supervisor_Log(4).xlsx</x:v>
      </x:c>
      <x:c r="Y2519" t="str">
        <x:v>ENH-20260830-01</x:v>
      </x:c>
      <x:c r="Z2519" t="str">
        <x:v>Active</x:v>
      </x:c>
      <x:c r="AA2519"/>
      <x:c r="AB2519"/>
      <x:c r="AC2519"/>
      <x:c r="AD2519"/>
    </x:row>
    <x:row r="2520">
      <x:c r="A2520" t="str">
        <x:v>PCC-PE-KG01-L25-20251024-AM-ORD-2025-00162-S07-C2</x:v>
      </x:c>
      <x:c r="B2520" t="str">
        <x:v>PC-PE-KG01-L25-20251024-AM-ORD-2025-00162-S07</x:v>
      </x:c>
      <x:c r="C2520" t="str">
        <x:v>PE-KG01-L25-20251024-AM-ORD-2025-00162</x:v>
      </x:c>
      <x:c r="D2520" t="str">
        <x:v>KG01</x:v>
      </x:c>
      <x:c r="E2520" s="62" t="n">
        <x:v>45954</x:v>
      </x:c>
      <x:c r="F2520" t="str">
        <x:v>AM</x:v>
      </x:c>
      <x:c r="G2520" t="str">
        <x:v>A</x:v>
      </x:c>
      <x:c r="H2520" t="n">
        <x:v>25</x:v>
      </x:c>
      <x:c r="I2520" t="str">
        <x:v>ORD-2025-00162</x:v>
      </x:c>
      <x:c r="J2520" t="n">
        <x:v>7</x:v>
      </x:c>
      <x:c r="K2520" t="n">
        <x:v>2</x:v>
      </x:c>
      <x:c r="L2520" t="str">
        <x:v>L25-S07-C2</x:v>
      </x:c>
      <x:c r="M2520" t="n">
        <x:v>1</x:v>
      </x:c>
      <x:c r="N2520" t="str">
        <x:v>DerivedFromCount</x:v>
      </x:c>
      <x:c r="O2520" t="str">
        <x:v>PLC-PRD-JAR-330-L25</x:v>
      </x:c>
      <x:c r="P2520" t="str">
        <x:v>OK</x:v>
      </x:c>
      <x:c r="Q2520" t="str">
        <x:v>OK</x:v>
      </x:c>
      <x:c r="R2520" t="str">
        <x:v>OK</x:v>
      </x:c>
      <x:c r="S2520" t="str">
        <x:v>OK</x:v>
      </x:c>
      <x:c r="T2520" t="n">
        <x:v>24</x:v>
      </x:c>
      <x:c r="U2520" t="str">
        <x:v>OK</x:v>
      </x:c>
      <x:c r="V2520" t="str">
        <x:v>OK</x:v>
      </x:c>
      <x:c r="W2520" t="str">
        <x:v>LOAD</x:v>
      </x:c>
      <x:c r="X2520" t="str">
        <x:v>02_Supervisor_Log(4).xlsx</x:v>
      </x:c>
      <x:c r="Y2520" t="str">
        <x:v>ENH-20260830-01</x:v>
      </x:c>
      <x:c r="Z2520" t="str">
        <x:v>Active</x:v>
      </x:c>
      <x:c r="AA2520"/>
      <x:c r="AB2520"/>
      <x:c r="AC2520"/>
      <x:c r="AD2520"/>
    </x:row>
    <x:row r="2521">
      <x:c r="A2521" t="str">
        <x:v>PCC-PE-KG01-L25-20251024-AM-ORD-2025-00162-S07-C3</x:v>
      </x:c>
      <x:c r="B2521" t="str">
        <x:v>PC-PE-KG01-L25-20251024-AM-ORD-2025-00162-S07</x:v>
      </x:c>
      <x:c r="C2521" t="str">
        <x:v>PE-KG01-L25-20251024-AM-ORD-2025-00162</x:v>
      </x:c>
      <x:c r="D2521" t="str">
        <x:v>KG01</x:v>
      </x:c>
      <x:c r="E2521" s="62" t="n">
        <x:v>45954</x:v>
      </x:c>
      <x:c r="F2521" t="str">
        <x:v>AM</x:v>
      </x:c>
      <x:c r="G2521" t="str">
        <x:v>A</x:v>
      </x:c>
      <x:c r="H2521" t="n">
        <x:v>25</x:v>
      </x:c>
      <x:c r="I2521" t="str">
        <x:v>ORD-2025-00162</x:v>
      </x:c>
      <x:c r="J2521" t="n">
        <x:v>7</x:v>
      </x:c>
      <x:c r="K2521" t="n">
        <x:v>3</x:v>
      </x:c>
      <x:c r="L2521" t="str">
        <x:v>L25-S07-C3</x:v>
      </x:c>
      <x:c r="M2521" t="n">
        <x:v>1</x:v>
      </x:c>
      <x:c r="N2521" t="str">
        <x:v>DerivedFromCount</x:v>
      </x:c>
      <x:c r="O2521" t="str">
        <x:v>PLC-PRD-JAR-330-L25</x:v>
      </x:c>
      <x:c r="P2521" t="str">
        <x:v>OK</x:v>
      </x:c>
      <x:c r="Q2521" t="str">
        <x:v>OK</x:v>
      </x:c>
      <x:c r="R2521" t="str">
        <x:v>OK</x:v>
      </x:c>
      <x:c r="S2521" t="str">
        <x:v>OK</x:v>
      </x:c>
      <x:c r="T2521" t="n">
        <x:v>24</x:v>
      </x:c>
      <x:c r="U2521" t="str">
        <x:v>OK</x:v>
      </x:c>
      <x:c r="V2521" t="str">
        <x:v>OK</x:v>
      </x:c>
      <x:c r="W2521" t="str">
        <x:v>LOAD</x:v>
      </x:c>
      <x:c r="X2521" t="str">
        <x:v>02_Supervisor_Log(4).xlsx</x:v>
      </x:c>
      <x:c r="Y2521" t="str">
        <x:v>ENH-20260830-01</x:v>
      </x:c>
      <x:c r="Z2521" t="str">
        <x:v>Active</x:v>
      </x:c>
      <x:c r="AA2521"/>
      <x:c r="AB2521"/>
      <x:c r="AC2521"/>
      <x:c r="AD2521"/>
    </x:row>
    <x:row r="2522">
      <x:c r="A2522" t="str">
        <x:v>PCC-PE-KG01-L25-20251024-AM-ORD-2025-00162-S08-C1</x:v>
      </x:c>
      <x:c r="B2522" t="str">
        <x:v>PC-PE-KG01-L25-20251024-AM-ORD-2025-00162-S08</x:v>
      </x:c>
      <x:c r="C2522" t="str">
        <x:v>PE-KG01-L25-20251024-AM-ORD-2025-00162</x:v>
      </x:c>
      <x:c r="D2522" t="str">
        <x:v>KG01</x:v>
      </x:c>
      <x:c r="E2522" s="62" t="n">
        <x:v>45954</x:v>
      </x:c>
      <x:c r="F2522" t="str">
        <x:v>AM</x:v>
      </x:c>
      <x:c r="G2522" t="str">
        <x:v>A</x:v>
      </x:c>
      <x:c r="H2522" t="n">
        <x:v>25</x:v>
      </x:c>
      <x:c r="I2522" t="str">
        <x:v>ORD-2025-00162</x:v>
      </x:c>
      <x:c r="J2522" t="n">
        <x:v>8</x:v>
      </x:c>
      <x:c r="K2522" t="n">
        <x:v>1</x:v>
      </x:c>
      <x:c r="L2522" t="str">
        <x:v>L25-S08-C1</x:v>
      </x:c>
      <x:c r="M2522" t="n">
        <x:v>1</x:v>
      </x:c>
      <x:c r="N2522" t="str">
        <x:v>DerivedFromCount</x:v>
      </x:c>
      <x:c r="O2522" t="str">
        <x:v>PLC-PRD-JAR-330-L25</x:v>
      </x:c>
      <x:c r="P2522" t="str">
        <x:v>OK</x:v>
      </x:c>
      <x:c r="Q2522" t="str">
        <x:v>OK</x:v>
      </x:c>
      <x:c r="R2522" t="str">
        <x:v>OK</x:v>
      </x:c>
      <x:c r="S2522" t="str">
        <x:v>OK</x:v>
      </x:c>
      <x:c r="T2522" t="n">
        <x:v>24</x:v>
      </x:c>
      <x:c r="U2522" t="str">
        <x:v>OK</x:v>
      </x:c>
      <x:c r="V2522" t="str">
        <x:v>OK</x:v>
      </x:c>
      <x:c r="W2522" t="str">
        <x:v>LOAD</x:v>
      </x:c>
      <x:c r="X2522" t="str">
        <x:v>02_Supervisor_Log(4).xlsx</x:v>
      </x:c>
      <x:c r="Y2522" t="str">
        <x:v>ENH-20260830-01</x:v>
      </x:c>
      <x:c r="Z2522" t="str">
        <x:v>Active</x:v>
      </x:c>
      <x:c r="AA2522"/>
      <x:c r="AB2522"/>
      <x:c r="AC2522"/>
      <x:c r="AD2522"/>
    </x:row>
    <x:row r="2523">
      <x:c r="A2523" t="str">
        <x:v>PCC-PE-KG01-L25-20251024-AM-ORD-2025-00162-S08-C2</x:v>
      </x:c>
      <x:c r="B2523" t="str">
        <x:v>PC-PE-KG01-L25-20251024-AM-ORD-2025-00162-S08</x:v>
      </x:c>
      <x:c r="C2523" t="str">
        <x:v>PE-KG01-L25-20251024-AM-ORD-2025-00162</x:v>
      </x:c>
      <x:c r="D2523" t="str">
        <x:v>KG01</x:v>
      </x:c>
      <x:c r="E2523" s="62" t="n">
        <x:v>45954</x:v>
      </x:c>
      <x:c r="F2523" t="str">
        <x:v>AM</x:v>
      </x:c>
      <x:c r="G2523" t="str">
        <x:v>A</x:v>
      </x:c>
      <x:c r="H2523" t="n">
        <x:v>25</x:v>
      </x:c>
      <x:c r="I2523" t="str">
        <x:v>ORD-2025-00162</x:v>
      </x:c>
      <x:c r="J2523" t="n">
        <x:v>8</x:v>
      </x:c>
      <x:c r="K2523" t="n">
        <x:v>2</x:v>
      </x:c>
      <x:c r="L2523" t="str">
        <x:v>L25-S08-C2</x:v>
      </x:c>
      <x:c r="M2523" t="n">
        <x:v>1</x:v>
      </x:c>
      <x:c r="N2523" t="str">
        <x:v>DerivedFromCount</x:v>
      </x:c>
      <x:c r="O2523" t="str">
        <x:v>PLC-PRD-JAR-330-L25</x:v>
      </x:c>
      <x:c r="P2523" t="str">
        <x:v>OK</x:v>
      </x:c>
      <x:c r="Q2523" t="str">
        <x:v>OK</x:v>
      </x:c>
      <x:c r="R2523" t="str">
        <x:v>OK</x:v>
      </x:c>
      <x:c r="S2523" t="str">
        <x:v>OK</x:v>
      </x:c>
      <x:c r="T2523" t="n">
        <x:v>24</x:v>
      </x:c>
      <x:c r="U2523" t="str">
        <x:v>OK</x:v>
      </x:c>
      <x:c r="V2523" t="str">
        <x:v>OK</x:v>
      </x:c>
      <x:c r="W2523" t="str">
        <x:v>LOAD</x:v>
      </x:c>
      <x:c r="X2523" t="str">
        <x:v>02_Supervisor_Log(4).xlsx</x:v>
      </x:c>
      <x:c r="Y2523" t="str">
        <x:v>ENH-20260830-01</x:v>
      </x:c>
      <x:c r="Z2523" t="str">
        <x:v>Active</x:v>
      </x:c>
      <x:c r="AA2523"/>
      <x:c r="AB2523"/>
      <x:c r="AC2523"/>
      <x:c r="AD2523"/>
    </x:row>
    <x:row r="2524">
      <x:c r="A2524" t="str">
        <x:v>PCC-PE-KG01-L25-20251024-AM-ORD-2025-00162-S08-C3</x:v>
      </x:c>
      <x:c r="B2524" t="str">
        <x:v>PC-PE-KG01-L25-20251024-AM-ORD-2025-00162-S08</x:v>
      </x:c>
      <x:c r="C2524" t="str">
        <x:v>PE-KG01-L25-20251024-AM-ORD-2025-00162</x:v>
      </x:c>
      <x:c r="D2524" t="str">
        <x:v>KG01</x:v>
      </x:c>
      <x:c r="E2524" s="62" t="n">
        <x:v>45954</x:v>
      </x:c>
      <x:c r="F2524" t="str">
        <x:v>AM</x:v>
      </x:c>
      <x:c r="G2524" t="str">
        <x:v>A</x:v>
      </x:c>
      <x:c r="H2524" t="n">
        <x:v>25</x:v>
      </x:c>
      <x:c r="I2524" t="str">
        <x:v>ORD-2025-00162</x:v>
      </x:c>
      <x:c r="J2524" t="n">
        <x:v>8</x:v>
      </x:c>
      <x:c r="K2524" t="n">
        <x:v>3</x:v>
      </x:c>
      <x:c r="L2524" t="str">
        <x:v>L25-S08-C3</x:v>
      </x:c>
      <x:c r="M2524" t="n">
        <x:v>1</x:v>
      </x:c>
      <x:c r="N2524" t="str">
        <x:v>DerivedFromCount</x:v>
      </x:c>
      <x:c r="O2524" t="str">
        <x:v>PLC-PRD-JAR-330-L25</x:v>
      </x:c>
      <x:c r="P2524" t="str">
        <x:v>OK</x:v>
      </x:c>
      <x:c r="Q2524" t="str">
        <x:v>OK</x:v>
      </x:c>
      <x:c r="R2524" t="str">
        <x:v>OK</x:v>
      </x:c>
      <x:c r="S2524" t="str">
        <x:v>OK</x:v>
      </x:c>
      <x:c r="T2524" t="n">
        <x:v>24</x:v>
      </x:c>
      <x:c r="U2524" t="str">
        <x:v>OK</x:v>
      </x:c>
      <x:c r="V2524" t="str">
        <x:v>OK</x:v>
      </x:c>
      <x:c r="W2524" t="str">
        <x:v>LOAD</x:v>
      </x:c>
      <x:c r="X2524" t="str">
        <x:v>02_Supervisor_Log(4).xlsx</x:v>
      </x:c>
      <x:c r="Y2524" t="str">
        <x:v>ENH-20260830-01</x:v>
      </x:c>
      <x:c r="Z2524" t="str">
        <x:v>Active</x:v>
      </x:c>
      <x:c r="AA2524"/>
      <x:c r="AB2524"/>
      <x:c r="AC2524"/>
      <x:c r="AD2524"/>
    </x:row>
    <x:row r="2525">
      <x:c r="A2525" t="str">
        <x:v>PCC-PE-KG01-L25-20251024-AM-ORD-2025-00162-S09-C1</x:v>
      </x:c>
      <x:c r="B2525" t="str">
        <x:v>PC-PE-KG01-L25-20251024-AM-ORD-2025-00162-S09</x:v>
      </x:c>
      <x:c r="C2525" t="str">
        <x:v>PE-KG01-L25-20251024-AM-ORD-2025-00162</x:v>
      </x:c>
      <x:c r="D2525" t="str">
        <x:v>KG01</x:v>
      </x:c>
      <x:c r="E2525" s="62" t="n">
        <x:v>45954</x:v>
      </x:c>
      <x:c r="F2525" t="str">
        <x:v>AM</x:v>
      </x:c>
      <x:c r="G2525" t="str">
        <x:v>A</x:v>
      </x:c>
      <x:c r="H2525" t="n">
        <x:v>25</x:v>
      </x:c>
      <x:c r="I2525" t="str">
        <x:v>ORD-2025-00162</x:v>
      </x:c>
      <x:c r="J2525" t="n">
        <x:v>9</x:v>
      </x:c>
      <x:c r="K2525" t="n">
        <x:v>1</x:v>
      </x:c>
      <x:c r="L2525" t="str">
        <x:v>L25-S09-C1</x:v>
      </x:c>
      <x:c r="M2525" t="n">
        <x:v>0</x:v>
      </x:c>
      <x:c r="N2525" t="str">
        <x:v>DerivedFromCount</x:v>
      </x:c>
      <x:c r="O2525" t="str">
        <x:v>PLC-PRD-JAR-330-L25</x:v>
      </x:c>
      <x:c r="P2525" t="str">
        <x:v>OK</x:v>
      </x:c>
      <x:c r="Q2525" t="str">
        <x:v>OK</x:v>
      </x:c>
      <x:c r="R2525" t="str">
        <x:v>OK</x:v>
      </x:c>
      <x:c r="S2525" t="str">
        <x:v>OK</x:v>
      </x:c>
      <x:c r="T2525" t="n">
        <x:v>24</x:v>
      </x:c>
      <x:c r="U2525" t="str">
        <x:v>OK</x:v>
      </x:c>
      <x:c r="V2525" t="str">
        <x:v>OK</x:v>
      </x:c>
      <x:c r="W2525" t="str">
        <x:v>LOAD</x:v>
      </x:c>
      <x:c r="X2525" t="str">
        <x:v>02_Supervisor_Log(4).xlsx</x:v>
      </x:c>
      <x:c r="Y2525" t="str">
        <x:v>ENH-20260830-01</x:v>
      </x:c>
      <x:c r="Z2525" t="str">
        <x:v>Active</x:v>
      </x:c>
      <x:c r="AA2525"/>
      <x:c r="AB2525"/>
      <x:c r="AC2525"/>
      <x:c r="AD2525"/>
    </x:row>
    <x:row r="2526">
      <x:c r="A2526" t="str">
        <x:v>PCC-PE-KG01-L25-20251024-AM-ORD-2025-00162-S09-C2</x:v>
      </x:c>
      <x:c r="B2526" t="str">
        <x:v>PC-PE-KG01-L25-20251024-AM-ORD-2025-00162-S09</x:v>
      </x:c>
      <x:c r="C2526" t="str">
        <x:v>PE-KG01-L25-20251024-AM-ORD-2025-00162</x:v>
      </x:c>
      <x:c r="D2526" t="str">
        <x:v>KG01</x:v>
      </x:c>
      <x:c r="E2526" s="62" t="n">
        <x:v>45954</x:v>
      </x:c>
      <x:c r="F2526" t="str">
        <x:v>AM</x:v>
      </x:c>
      <x:c r="G2526" t="str">
        <x:v>A</x:v>
      </x:c>
      <x:c r="H2526" t="n">
        <x:v>25</x:v>
      </x:c>
      <x:c r="I2526" t="str">
        <x:v>ORD-2025-00162</x:v>
      </x:c>
      <x:c r="J2526" t="n">
        <x:v>9</x:v>
      </x:c>
      <x:c r="K2526" t="n">
        <x:v>2</x:v>
      </x:c>
      <x:c r="L2526" t="str">
        <x:v>L25-S09-C2</x:v>
      </x:c>
      <x:c r="M2526" t="n">
        <x:v>0</x:v>
      </x:c>
      <x:c r="N2526" t="str">
        <x:v>DerivedFromCount</x:v>
      </x:c>
      <x:c r="O2526" t="str">
        <x:v>PLC-PRD-JAR-330-L25</x:v>
      </x:c>
      <x:c r="P2526" t="str">
        <x:v>OK</x:v>
      </x:c>
      <x:c r="Q2526" t="str">
        <x:v>OK</x:v>
      </x:c>
      <x:c r="R2526" t="str">
        <x:v>OK</x:v>
      </x:c>
      <x:c r="S2526" t="str">
        <x:v>OK</x:v>
      </x:c>
      <x:c r="T2526" t="n">
        <x:v>24</x:v>
      </x:c>
      <x:c r="U2526" t="str">
        <x:v>OK</x:v>
      </x:c>
      <x:c r="V2526" t="str">
        <x:v>OK</x:v>
      </x:c>
      <x:c r="W2526" t="str">
        <x:v>LOAD</x:v>
      </x:c>
      <x:c r="X2526" t="str">
        <x:v>02_Supervisor_Log(4).xlsx</x:v>
      </x:c>
      <x:c r="Y2526" t="str">
        <x:v>ENH-20260830-01</x:v>
      </x:c>
      <x:c r="Z2526" t="str">
        <x:v>Active</x:v>
      </x:c>
      <x:c r="AA2526"/>
      <x:c r="AB2526"/>
      <x:c r="AC2526"/>
      <x:c r="AD2526"/>
    </x:row>
    <x:row r="2527">
      <x:c r="A2527" t="str">
        <x:v>PCC-PE-KG01-L25-20251024-AM-ORD-2025-00162-S09-C3</x:v>
      </x:c>
      <x:c r="B2527" t="str">
        <x:v>PC-PE-KG01-L25-20251024-AM-ORD-2025-00162-S09</x:v>
      </x:c>
      <x:c r="C2527" t="str">
        <x:v>PE-KG01-L25-20251024-AM-ORD-2025-00162</x:v>
      </x:c>
      <x:c r="D2527" t="str">
        <x:v>KG01</x:v>
      </x:c>
      <x:c r="E2527" s="62" t="n">
        <x:v>45954</x:v>
      </x:c>
      <x:c r="F2527" t="str">
        <x:v>AM</x:v>
      </x:c>
      <x:c r="G2527" t="str">
        <x:v>A</x:v>
      </x:c>
      <x:c r="H2527" t="n">
        <x:v>25</x:v>
      </x:c>
      <x:c r="I2527" t="str">
        <x:v>ORD-2025-00162</x:v>
      </x:c>
      <x:c r="J2527" t="n">
        <x:v>9</x:v>
      </x:c>
      <x:c r="K2527" t="n">
        <x:v>3</x:v>
      </x:c>
      <x:c r="L2527" t="str">
        <x:v>L25-S09-C3</x:v>
      </x:c>
      <x:c r="M2527" t="n">
        <x:v>0</x:v>
      </x:c>
      <x:c r="N2527" t="str">
        <x:v>DerivedFromCount</x:v>
      </x:c>
      <x:c r="O2527" t="str">
        <x:v>PLC-PRD-JAR-330-L25</x:v>
      </x:c>
      <x:c r="P2527" t="str">
        <x:v>OK</x:v>
      </x:c>
      <x:c r="Q2527" t="str">
        <x:v>OK</x:v>
      </x:c>
      <x:c r="R2527" t="str">
        <x:v>OK</x:v>
      </x:c>
      <x:c r="S2527" t="str">
        <x:v>OK</x:v>
      </x:c>
      <x:c r="T2527" t="n">
        <x:v>24</x:v>
      </x:c>
      <x:c r="U2527" t="str">
        <x:v>OK</x:v>
      </x:c>
      <x:c r="V2527" t="str">
        <x:v>OK</x:v>
      </x:c>
      <x:c r="W2527" t="str">
        <x:v>LOAD</x:v>
      </x:c>
      <x:c r="X2527" t="str">
        <x:v>02_Supervisor_Log(4).xlsx</x:v>
      </x:c>
      <x:c r="Y2527" t="str">
        <x:v>ENH-20260830-01</x:v>
      </x:c>
      <x:c r="Z2527" t="str">
        <x:v>Active</x:v>
      </x:c>
      <x:c r="AA2527"/>
      <x:c r="AB2527"/>
      <x:c r="AC2527"/>
      <x:c r="AD2527"/>
    </x:row>
    <x:row r="2528">
      <x:c r="A2528" t="str">
        <x:v>PCC-PE-KG01-L25-20251024-AM-ORD-2025-00162-S10-C1</x:v>
      </x:c>
      <x:c r="B2528" t="str">
        <x:v>PC-PE-KG01-L25-20251024-AM-ORD-2025-00162-S10</x:v>
      </x:c>
      <x:c r="C2528" t="str">
        <x:v>PE-KG01-L25-20251024-AM-ORD-2025-00162</x:v>
      </x:c>
      <x:c r="D2528" t="str">
        <x:v>KG01</x:v>
      </x:c>
      <x:c r="E2528" s="62" t="n">
        <x:v>45954</x:v>
      </x:c>
      <x:c r="F2528" t="str">
        <x:v>AM</x:v>
      </x:c>
      <x:c r="G2528" t="str">
        <x:v>A</x:v>
      </x:c>
      <x:c r="H2528" t="n">
        <x:v>25</x:v>
      </x:c>
      <x:c r="I2528" t="str">
        <x:v>ORD-2025-00162</x:v>
      </x:c>
      <x:c r="J2528" t="n">
        <x:v>10</x:v>
      </x:c>
      <x:c r="K2528" t="n">
        <x:v>1</x:v>
      </x:c>
      <x:c r="L2528" t="str">
        <x:v>L25-S10-C1</x:v>
      </x:c>
      <x:c r="M2528" t="n">
        <x:v>0</x:v>
      </x:c>
      <x:c r="N2528" t="str">
        <x:v>DerivedFromCount</x:v>
      </x:c>
      <x:c r="O2528" t="str">
        <x:v>PLC-PRD-JAR-330-L25</x:v>
      </x:c>
      <x:c r="P2528" t="str">
        <x:v>OK</x:v>
      </x:c>
      <x:c r="Q2528" t="str">
        <x:v>OK</x:v>
      </x:c>
      <x:c r="R2528" t="str">
        <x:v>OK</x:v>
      </x:c>
      <x:c r="S2528" t="str">
        <x:v>OK</x:v>
      </x:c>
      <x:c r="T2528" t="n">
        <x:v>24</x:v>
      </x:c>
      <x:c r="U2528" t="str">
        <x:v>OK</x:v>
      </x:c>
      <x:c r="V2528" t="str">
        <x:v>OK</x:v>
      </x:c>
      <x:c r="W2528" t="str">
        <x:v>LOAD</x:v>
      </x:c>
      <x:c r="X2528" t="str">
        <x:v>02_Supervisor_Log(4).xlsx</x:v>
      </x:c>
      <x:c r="Y2528" t="str">
        <x:v>ENH-20260830-01</x:v>
      </x:c>
      <x:c r="Z2528" t="str">
        <x:v>Active</x:v>
      </x:c>
      <x:c r="AA2528"/>
      <x:c r="AB2528"/>
      <x:c r="AC2528"/>
      <x:c r="AD2528"/>
    </x:row>
    <x:row r="2529">
      <x:c r="A2529" t="str">
        <x:v>PCC-PE-KG01-L25-20251024-AM-ORD-2025-00162-S10-C2</x:v>
      </x:c>
      <x:c r="B2529" t="str">
        <x:v>PC-PE-KG01-L25-20251024-AM-ORD-2025-00162-S10</x:v>
      </x:c>
      <x:c r="C2529" t="str">
        <x:v>PE-KG01-L25-20251024-AM-ORD-2025-00162</x:v>
      </x:c>
      <x:c r="D2529" t="str">
        <x:v>KG01</x:v>
      </x:c>
      <x:c r="E2529" s="62" t="n">
        <x:v>45954</x:v>
      </x:c>
      <x:c r="F2529" t="str">
        <x:v>AM</x:v>
      </x:c>
      <x:c r="G2529" t="str">
        <x:v>A</x:v>
      </x:c>
      <x:c r="H2529" t="n">
        <x:v>25</x:v>
      </x:c>
      <x:c r="I2529" t="str">
        <x:v>ORD-2025-00162</x:v>
      </x:c>
      <x:c r="J2529" t="n">
        <x:v>10</x:v>
      </x:c>
      <x:c r="K2529" t="n">
        <x:v>2</x:v>
      </x:c>
      <x:c r="L2529" t="str">
        <x:v>L25-S10-C2</x:v>
      </x:c>
      <x:c r="M2529" t="n">
        <x:v>0</x:v>
      </x:c>
      <x:c r="N2529" t="str">
        <x:v>DerivedFromCount</x:v>
      </x:c>
      <x:c r="O2529" t="str">
        <x:v>PLC-PRD-JAR-330-L25</x:v>
      </x:c>
      <x:c r="P2529" t="str">
        <x:v>OK</x:v>
      </x:c>
      <x:c r="Q2529" t="str">
        <x:v>OK</x:v>
      </x:c>
      <x:c r="R2529" t="str">
        <x:v>OK</x:v>
      </x:c>
      <x:c r="S2529" t="str">
        <x:v>OK</x:v>
      </x:c>
      <x:c r="T2529" t="n">
        <x:v>24</x:v>
      </x:c>
      <x:c r="U2529" t="str">
        <x:v>OK</x:v>
      </x:c>
      <x:c r="V2529" t="str">
        <x:v>OK</x:v>
      </x:c>
      <x:c r="W2529" t="str">
        <x:v>LOAD</x:v>
      </x:c>
      <x:c r="X2529" t="str">
        <x:v>02_Supervisor_Log(4).xlsx</x:v>
      </x:c>
      <x:c r="Y2529" t="str">
        <x:v>ENH-20260830-01</x:v>
      </x:c>
      <x:c r="Z2529" t="str">
        <x:v>Active</x:v>
      </x:c>
      <x:c r="AA2529"/>
      <x:c r="AB2529"/>
      <x:c r="AC2529"/>
      <x:c r="AD2529"/>
    </x:row>
    <x:row r="2530">
      <x:c r="A2530" t="str">
        <x:v>PCC-PE-KG01-L25-20251024-AM-ORD-2025-00162-S10-C3</x:v>
      </x:c>
      <x:c r="B2530" t="str">
        <x:v>PC-PE-KG01-L25-20251024-AM-ORD-2025-00162-S10</x:v>
      </x:c>
      <x:c r="C2530" t="str">
        <x:v>PE-KG01-L25-20251024-AM-ORD-2025-00162</x:v>
      </x:c>
      <x:c r="D2530" t="str">
        <x:v>KG01</x:v>
      </x:c>
      <x:c r="E2530" s="62" t="n">
        <x:v>45954</x:v>
      </x:c>
      <x:c r="F2530" t="str">
        <x:v>AM</x:v>
      </x:c>
      <x:c r="G2530" t="str">
        <x:v>A</x:v>
      </x:c>
      <x:c r="H2530" t="n">
        <x:v>25</x:v>
      </x:c>
      <x:c r="I2530" t="str">
        <x:v>ORD-2025-00162</x:v>
      </x:c>
      <x:c r="J2530" t="n">
        <x:v>10</x:v>
      </x:c>
      <x:c r="K2530" t="n">
        <x:v>3</x:v>
      </x:c>
      <x:c r="L2530" t="str">
        <x:v>L25-S10-C3</x:v>
      </x:c>
      <x:c r="M2530" t="n">
        <x:v>0</x:v>
      </x:c>
      <x:c r="N2530" t="str">
        <x:v>DerivedFromCount</x:v>
      </x:c>
      <x:c r="O2530" t="str">
        <x:v>PLC-PRD-JAR-330-L25</x:v>
      </x:c>
      <x:c r="P2530" t="str">
        <x:v>OK</x:v>
      </x:c>
      <x:c r="Q2530" t="str">
        <x:v>OK</x:v>
      </x:c>
      <x:c r="R2530" t="str">
        <x:v>OK</x:v>
      </x:c>
      <x:c r="S2530" t="str">
        <x:v>OK</x:v>
      </x:c>
      <x:c r="T2530" t="n">
        <x:v>24</x:v>
      </x:c>
      <x:c r="U2530" t="str">
        <x:v>OK</x:v>
      </x:c>
      <x:c r="V2530" t="str">
        <x:v>OK</x:v>
      </x:c>
      <x:c r="W2530" t="str">
        <x:v>LOAD</x:v>
      </x:c>
      <x:c r="X2530" t="str">
        <x:v>02_Supervisor_Log(4).xlsx</x:v>
      </x:c>
      <x:c r="Y2530" t="str">
        <x:v>ENH-20260830-01</x:v>
      </x:c>
      <x:c r="Z2530" t="str">
        <x:v>Active</x:v>
      </x:c>
      <x:c r="AA2530"/>
      <x:c r="AB2530"/>
      <x:c r="AC2530"/>
      <x:c r="AD2530"/>
    </x:row>
    <x:row r="2531">
      <x:c r="A2531" t="str">
        <x:v>PCC-PE-KG01-L25-20251024-AM-ORD-2025-00162-S11-C1</x:v>
      </x:c>
      <x:c r="B2531" t="str">
        <x:v>PC-PE-KG01-L25-20251024-AM-ORD-2025-00162-S11</x:v>
      </x:c>
      <x:c r="C2531" t="str">
        <x:v>PE-KG01-L25-20251024-AM-ORD-2025-00162</x:v>
      </x:c>
      <x:c r="D2531" t="str">
        <x:v>KG01</x:v>
      </x:c>
      <x:c r="E2531" s="62" t="n">
        <x:v>45954</x:v>
      </x:c>
      <x:c r="F2531" t="str">
        <x:v>AM</x:v>
      </x:c>
      <x:c r="G2531" t="str">
        <x:v>A</x:v>
      </x:c>
      <x:c r="H2531" t="n">
        <x:v>25</x:v>
      </x:c>
      <x:c r="I2531" t="str">
        <x:v>ORD-2025-00162</x:v>
      </x:c>
      <x:c r="J2531" t="n">
        <x:v>11</x:v>
      </x:c>
      <x:c r="K2531" t="n">
        <x:v>1</x:v>
      </x:c>
      <x:c r="L2531" t="str">
        <x:v>L25-S11-C1</x:v>
      </x:c>
      <x:c r="M2531" t="n">
        <x:v>0</x:v>
      </x:c>
      <x:c r="N2531" t="str">
        <x:v>DerivedFromCount</x:v>
      </x:c>
      <x:c r="O2531" t="str">
        <x:v>PLC-PRD-JAR-330-L25</x:v>
      </x:c>
      <x:c r="P2531" t="str">
        <x:v>OK</x:v>
      </x:c>
      <x:c r="Q2531" t="str">
        <x:v>OK</x:v>
      </x:c>
      <x:c r="R2531" t="str">
        <x:v>OK</x:v>
      </x:c>
      <x:c r="S2531" t="str">
        <x:v>OK</x:v>
      </x:c>
      <x:c r="T2531" t="n">
        <x:v>24</x:v>
      </x:c>
      <x:c r="U2531" t="str">
        <x:v>OK</x:v>
      </x:c>
      <x:c r="V2531" t="str">
        <x:v>OK</x:v>
      </x:c>
      <x:c r="W2531" t="str">
        <x:v>LOAD</x:v>
      </x:c>
      <x:c r="X2531" t="str">
        <x:v>02_Supervisor_Log(4).xlsx</x:v>
      </x:c>
      <x:c r="Y2531" t="str">
        <x:v>ENH-20260830-01</x:v>
      </x:c>
      <x:c r="Z2531" t="str">
        <x:v>Active</x:v>
      </x:c>
      <x:c r="AA2531"/>
      <x:c r="AB2531"/>
      <x:c r="AC2531"/>
      <x:c r="AD2531"/>
    </x:row>
    <x:row r="2532">
      <x:c r="A2532" t="str">
        <x:v>PCC-PE-KG01-L25-20251024-AM-ORD-2025-00162-S11-C2</x:v>
      </x:c>
      <x:c r="B2532" t="str">
        <x:v>PC-PE-KG01-L25-20251024-AM-ORD-2025-00162-S11</x:v>
      </x:c>
      <x:c r="C2532" t="str">
        <x:v>PE-KG01-L25-20251024-AM-ORD-2025-00162</x:v>
      </x:c>
      <x:c r="D2532" t="str">
        <x:v>KG01</x:v>
      </x:c>
      <x:c r="E2532" s="62" t="n">
        <x:v>45954</x:v>
      </x:c>
      <x:c r="F2532" t="str">
        <x:v>AM</x:v>
      </x:c>
      <x:c r="G2532" t="str">
        <x:v>A</x:v>
      </x:c>
      <x:c r="H2532" t="n">
        <x:v>25</x:v>
      </x:c>
      <x:c r="I2532" t="str">
        <x:v>ORD-2025-00162</x:v>
      </x:c>
      <x:c r="J2532" t="n">
        <x:v>11</x:v>
      </x:c>
      <x:c r="K2532" t="n">
        <x:v>2</x:v>
      </x:c>
      <x:c r="L2532" t="str">
        <x:v>L25-S11-C2</x:v>
      </x:c>
      <x:c r="M2532" t="n">
        <x:v>0</x:v>
      </x:c>
      <x:c r="N2532" t="str">
        <x:v>DerivedFromCount</x:v>
      </x:c>
      <x:c r="O2532" t="str">
        <x:v>PLC-PRD-JAR-330-L25</x:v>
      </x:c>
      <x:c r="P2532" t="str">
        <x:v>OK</x:v>
      </x:c>
      <x:c r="Q2532" t="str">
        <x:v>OK</x:v>
      </x:c>
      <x:c r="R2532" t="str">
        <x:v>OK</x:v>
      </x:c>
      <x:c r="S2532" t="str">
        <x:v>OK</x:v>
      </x:c>
      <x:c r="T2532" t="n">
        <x:v>24</x:v>
      </x:c>
      <x:c r="U2532" t="str">
        <x:v>OK</x:v>
      </x:c>
      <x:c r="V2532" t="str">
        <x:v>OK</x:v>
      </x:c>
      <x:c r="W2532" t="str">
        <x:v>LOAD</x:v>
      </x:c>
      <x:c r="X2532" t="str">
        <x:v>02_Supervisor_Log(4).xlsx</x:v>
      </x:c>
      <x:c r="Y2532" t="str">
        <x:v>ENH-20260830-01</x:v>
      </x:c>
      <x:c r="Z2532" t="str">
        <x:v>Active</x:v>
      </x:c>
      <x:c r="AA2532"/>
      <x:c r="AB2532"/>
      <x:c r="AC2532"/>
      <x:c r="AD2532"/>
    </x:row>
    <x:row r="2533">
      <x:c r="A2533" t="str">
        <x:v>PCC-PE-KG01-L25-20251024-AM-ORD-2025-00162-S11-C3</x:v>
      </x:c>
      <x:c r="B2533" t="str">
        <x:v>PC-PE-KG01-L25-20251024-AM-ORD-2025-00162-S11</x:v>
      </x:c>
      <x:c r="C2533" t="str">
        <x:v>PE-KG01-L25-20251024-AM-ORD-2025-00162</x:v>
      </x:c>
      <x:c r="D2533" t="str">
        <x:v>KG01</x:v>
      </x:c>
      <x:c r="E2533" s="62" t="n">
        <x:v>45954</x:v>
      </x:c>
      <x:c r="F2533" t="str">
        <x:v>AM</x:v>
      </x:c>
      <x:c r="G2533" t="str">
        <x:v>A</x:v>
      </x:c>
      <x:c r="H2533" t="n">
        <x:v>25</x:v>
      </x:c>
      <x:c r="I2533" t="str">
        <x:v>ORD-2025-00162</x:v>
      </x:c>
      <x:c r="J2533" t="n">
        <x:v>11</x:v>
      </x:c>
      <x:c r="K2533" t="n">
        <x:v>3</x:v>
      </x:c>
      <x:c r="L2533" t="str">
        <x:v>L25-S11-C3</x:v>
      </x:c>
      <x:c r="M2533" t="n">
        <x:v>0</x:v>
      </x:c>
      <x:c r="N2533" t="str">
        <x:v>DerivedFromCount</x:v>
      </x:c>
      <x:c r="O2533" t="str">
        <x:v>PLC-PRD-JAR-330-L25</x:v>
      </x:c>
      <x:c r="P2533" t="str">
        <x:v>OK</x:v>
      </x:c>
      <x:c r="Q2533" t="str">
        <x:v>OK</x:v>
      </x:c>
      <x:c r="R2533" t="str">
        <x:v>OK</x:v>
      </x:c>
      <x:c r="S2533" t="str">
        <x:v>OK</x:v>
      </x:c>
      <x:c r="T2533" t="n">
        <x:v>24</x:v>
      </x:c>
      <x:c r="U2533" t="str">
        <x:v>OK</x:v>
      </x:c>
      <x:c r="V2533" t="str">
        <x:v>OK</x:v>
      </x:c>
      <x:c r="W2533" t="str">
        <x:v>LOAD</x:v>
      </x:c>
      <x:c r="X2533" t="str">
        <x:v>02_Supervisor_Log(4).xlsx</x:v>
      </x:c>
      <x:c r="Y2533" t="str">
        <x:v>ENH-20260830-01</x:v>
      </x:c>
      <x:c r="Z2533" t="str">
        <x:v>Active</x:v>
      </x:c>
      <x:c r="AA2533"/>
      <x:c r="AB2533"/>
      <x:c r="AC2533"/>
      <x:c r="AD2533"/>
    </x:row>
    <x:row r="2534">
      <x:c r="A2534" t="str">
        <x:v>PCC-PE-KG01-L25-20251024-AM-ORD-2025-00162-S12-C1</x:v>
      </x:c>
      <x:c r="B2534" t="str">
        <x:v>PC-PE-KG01-L25-20251024-AM-ORD-2025-00162-S12</x:v>
      </x:c>
      <x:c r="C2534" t="str">
        <x:v>PE-KG01-L25-20251024-AM-ORD-2025-00162</x:v>
      </x:c>
      <x:c r="D2534" t="str">
        <x:v>KG01</x:v>
      </x:c>
      <x:c r="E2534" s="62" t="n">
        <x:v>45954</x:v>
      </x:c>
      <x:c r="F2534" t="str">
        <x:v>AM</x:v>
      </x:c>
      <x:c r="G2534" t="str">
        <x:v>A</x:v>
      </x:c>
      <x:c r="H2534" t="n">
        <x:v>25</x:v>
      </x:c>
      <x:c r="I2534" t="str">
        <x:v>ORD-2025-00162</x:v>
      </x:c>
      <x:c r="J2534" t="n">
        <x:v>12</x:v>
      </x:c>
      <x:c r="K2534" t="n">
        <x:v>1</x:v>
      </x:c>
      <x:c r="L2534" t="str">
        <x:v>L25-S12-C1</x:v>
      </x:c>
      <x:c r="M2534" t="n">
        <x:v>0</x:v>
      </x:c>
      <x:c r="N2534" t="str">
        <x:v>DerivedFromCount</x:v>
      </x:c>
      <x:c r="O2534" t="str">
        <x:v>PLC-PRD-JAR-330-L25</x:v>
      </x:c>
      <x:c r="P2534" t="str">
        <x:v>OK</x:v>
      </x:c>
      <x:c r="Q2534" t="str">
        <x:v>OK</x:v>
      </x:c>
      <x:c r="R2534" t="str">
        <x:v>OK</x:v>
      </x:c>
      <x:c r="S2534" t="str">
        <x:v>OK</x:v>
      </x:c>
      <x:c r="T2534" t="n">
        <x:v>24</x:v>
      </x:c>
      <x:c r="U2534" t="str">
        <x:v>OK</x:v>
      </x:c>
      <x:c r="V2534" t="str">
        <x:v>OK</x:v>
      </x:c>
      <x:c r="W2534" t="str">
        <x:v>LOAD</x:v>
      </x:c>
      <x:c r="X2534" t="str">
        <x:v>02_Supervisor_Log(4).xlsx</x:v>
      </x:c>
      <x:c r="Y2534" t="str">
        <x:v>ENH-20260830-01</x:v>
      </x:c>
      <x:c r="Z2534" t="str">
        <x:v>Active</x:v>
      </x:c>
      <x:c r="AA2534"/>
      <x:c r="AB2534"/>
      <x:c r="AC2534"/>
      <x:c r="AD2534"/>
    </x:row>
    <x:row r="2535">
      <x:c r="A2535" t="str">
        <x:v>PCC-PE-KG01-L25-20251024-AM-ORD-2025-00162-S12-C2</x:v>
      </x:c>
      <x:c r="B2535" t="str">
        <x:v>PC-PE-KG01-L25-20251024-AM-ORD-2025-00162-S12</x:v>
      </x:c>
      <x:c r="C2535" t="str">
        <x:v>PE-KG01-L25-20251024-AM-ORD-2025-00162</x:v>
      </x:c>
      <x:c r="D2535" t="str">
        <x:v>KG01</x:v>
      </x:c>
      <x:c r="E2535" s="62" t="n">
        <x:v>45954</x:v>
      </x:c>
      <x:c r="F2535" t="str">
        <x:v>AM</x:v>
      </x:c>
      <x:c r="G2535" t="str">
        <x:v>A</x:v>
      </x:c>
      <x:c r="H2535" t="n">
        <x:v>25</x:v>
      </x:c>
      <x:c r="I2535" t="str">
        <x:v>ORD-2025-00162</x:v>
      </x:c>
      <x:c r="J2535" t="n">
        <x:v>12</x:v>
      </x:c>
      <x:c r="K2535" t="n">
        <x:v>2</x:v>
      </x:c>
      <x:c r="L2535" t="str">
        <x:v>L25-S12-C2</x:v>
      </x:c>
      <x:c r="M2535" t="n">
        <x:v>0</x:v>
      </x:c>
      <x:c r="N2535" t="str">
        <x:v>DerivedFromCount</x:v>
      </x:c>
      <x:c r="O2535" t="str">
        <x:v>PLC-PRD-JAR-330-L25</x:v>
      </x:c>
      <x:c r="P2535" t="str">
        <x:v>OK</x:v>
      </x:c>
      <x:c r="Q2535" t="str">
        <x:v>OK</x:v>
      </x:c>
      <x:c r="R2535" t="str">
        <x:v>OK</x:v>
      </x:c>
      <x:c r="S2535" t="str">
        <x:v>OK</x:v>
      </x:c>
      <x:c r="T2535" t="n">
        <x:v>24</x:v>
      </x:c>
      <x:c r="U2535" t="str">
        <x:v>OK</x:v>
      </x:c>
      <x:c r="V2535" t="str">
        <x:v>OK</x:v>
      </x:c>
      <x:c r="W2535" t="str">
        <x:v>LOAD</x:v>
      </x:c>
      <x:c r="X2535" t="str">
        <x:v>02_Supervisor_Log(4).xlsx</x:v>
      </x:c>
      <x:c r="Y2535" t="str">
        <x:v>ENH-20260830-01</x:v>
      </x:c>
      <x:c r="Z2535" t="str">
        <x:v>Active</x:v>
      </x:c>
      <x:c r="AA2535"/>
      <x:c r="AB2535"/>
      <x:c r="AC2535"/>
      <x:c r="AD2535"/>
    </x:row>
    <x:row r="2536">
      <x:c r="A2536" t="str">
        <x:v>PCC-PE-KG01-L25-20251024-AM-ORD-2025-00162-S12-C3</x:v>
      </x:c>
      <x:c r="B2536" t="str">
        <x:v>PC-PE-KG01-L25-20251024-AM-ORD-2025-00162-S12</x:v>
      </x:c>
      <x:c r="C2536" t="str">
        <x:v>PE-KG01-L25-20251024-AM-ORD-2025-00162</x:v>
      </x:c>
      <x:c r="D2536" t="str">
        <x:v>KG01</x:v>
      </x:c>
      <x:c r="E2536" s="62" t="n">
        <x:v>45954</x:v>
      </x:c>
      <x:c r="F2536" t="str">
        <x:v>AM</x:v>
      </x:c>
      <x:c r="G2536" t="str">
        <x:v>A</x:v>
      </x:c>
      <x:c r="H2536" t="n">
        <x:v>25</x:v>
      </x:c>
      <x:c r="I2536" t="str">
        <x:v>ORD-2025-00162</x:v>
      </x:c>
      <x:c r="J2536" t="n">
        <x:v>12</x:v>
      </x:c>
      <x:c r="K2536" t="n">
        <x:v>3</x:v>
      </x:c>
      <x:c r="L2536" t="str">
        <x:v>L25-S12-C3</x:v>
      </x:c>
      <x:c r="M2536" t="n">
        <x:v>0</x:v>
      </x:c>
      <x:c r="N2536" t="str">
        <x:v>DerivedFromCount</x:v>
      </x:c>
      <x:c r="O2536" t="str">
        <x:v>PLC-PRD-JAR-330-L25</x:v>
      </x:c>
      <x:c r="P2536" t="str">
        <x:v>OK</x:v>
      </x:c>
      <x:c r="Q2536" t="str">
        <x:v>OK</x:v>
      </x:c>
      <x:c r="R2536" t="str">
        <x:v>OK</x:v>
      </x:c>
      <x:c r="S2536" t="str">
        <x:v>OK</x:v>
      </x:c>
      <x:c r="T2536" t="n">
        <x:v>24</x:v>
      </x:c>
      <x:c r="U2536" t="str">
        <x:v>OK</x:v>
      </x:c>
      <x:c r="V2536" t="str">
        <x:v>OK</x:v>
      </x:c>
      <x:c r="W2536" t="str">
        <x:v>LOAD</x:v>
      </x:c>
      <x:c r="X2536" t="str">
        <x:v>02_Supervisor_Log(4).xlsx</x:v>
      </x:c>
      <x:c r="Y2536" t="str">
        <x:v>ENH-20260830-01</x:v>
      </x:c>
      <x:c r="Z2536" t="str">
        <x:v>Active</x:v>
      </x:c>
      <x:c r="AA2536"/>
      <x:c r="AB2536"/>
      <x:c r="AC2536"/>
      <x:c r="AD2536"/>
    </x:row>
    <x:row r="2537">
      <x:c r="A2537" t="str">
        <x:v>PCC-PE-KG01-L25-20251024-AM-ORD-2025-00162-S13-C1</x:v>
      </x:c>
      <x:c r="B2537" t="str">
        <x:v>PC-PE-KG01-L25-20251024-AM-ORD-2025-00162-S13</x:v>
      </x:c>
      <x:c r="C2537" t="str">
        <x:v>PE-KG01-L25-20251024-AM-ORD-2025-00162</x:v>
      </x:c>
      <x:c r="D2537" t="str">
        <x:v>KG01</x:v>
      </x:c>
      <x:c r="E2537" s="62" t="n">
        <x:v>45954</x:v>
      </x:c>
      <x:c r="F2537" t="str">
        <x:v>AM</x:v>
      </x:c>
      <x:c r="G2537" t="str">
        <x:v>A</x:v>
      </x:c>
      <x:c r="H2537" t="n">
        <x:v>25</x:v>
      </x:c>
      <x:c r="I2537" t="str">
        <x:v>ORD-2025-00162</x:v>
      </x:c>
      <x:c r="J2537" t="n">
        <x:v>13</x:v>
      </x:c>
      <x:c r="K2537" t="n">
        <x:v>1</x:v>
      </x:c>
      <x:c r="L2537" t="str">
        <x:v>L25-S13-C1</x:v>
      </x:c>
      <x:c r="M2537" t="n">
        <x:v>0</x:v>
      </x:c>
      <x:c r="N2537" t="str">
        <x:v>DerivedFromCount</x:v>
      </x:c>
      <x:c r="O2537" t="str">
        <x:v>PLC-PRD-JAR-330-L25</x:v>
      </x:c>
      <x:c r="P2537" t="str">
        <x:v>OK</x:v>
      </x:c>
      <x:c r="Q2537" t="str">
        <x:v>OK</x:v>
      </x:c>
      <x:c r="R2537" t="str">
        <x:v>OK</x:v>
      </x:c>
      <x:c r="S2537" t="str">
        <x:v>OK</x:v>
      </x:c>
      <x:c r="T2537" t="n">
        <x:v>24</x:v>
      </x:c>
      <x:c r="U2537" t="str">
        <x:v>OK</x:v>
      </x:c>
      <x:c r="V2537" t="str">
        <x:v>OK</x:v>
      </x:c>
      <x:c r="W2537" t="str">
        <x:v>LOAD</x:v>
      </x:c>
      <x:c r="X2537" t="str">
        <x:v>02_Supervisor_Log(4).xlsx</x:v>
      </x:c>
      <x:c r="Y2537" t="str">
        <x:v>ENH-20260830-01</x:v>
      </x:c>
      <x:c r="Z2537" t="str">
        <x:v>Active</x:v>
      </x:c>
      <x:c r="AA2537"/>
      <x:c r="AB2537"/>
      <x:c r="AC2537"/>
      <x:c r="AD2537"/>
    </x:row>
    <x:row r="2538">
      <x:c r="A2538" t="str">
        <x:v>PCC-PE-KG01-L25-20251024-AM-ORD-2025-00162-S13-C2</x:v>
      </x:c>
      <x:c r="B2538" t="str">
        <x:v>PC-PE-KG01-L25-20251024-AM-ORD-2025-00162-S13</x:v>
      </x:c>
      <x:c r="C2538" t="str">
        <x:v>PE-KG01-L25-20251024-AM-ORD-2025-00162</x:v>
      </x:c>
      <x:c r="D2538" t="str">
        <x:v>KG01</x:v>
      </x:c>
      <x:c r="E2538" s="62" t="n">
        <x:v>45954</x:v>
      </x:c>
      <x:c r="F2538" t="str">
        <x:v>AM</x:v>
      </x:c>
      <x:c r="G2538" t="str">
        <x:v>A</x:v>
      </x:c>
      <x:c r="H2538" t="n">
        <x:v>25</x:v>
      </x:c>
      <x:c r="I2538" t="str">
        <x:v>ORD-2025-00162</x:v>
      </x:c>
      <x:c r="J2538" t="n">
        <x:v>13</x:v>
      </x:c>
      <x:c r="K2538" t="n">
        <x:v>2</x:v>
      </x:c>
      <x:c r="L2538" t="str">
        <x:v>L25-S13-C2</x:v>
      </x:c>
      <x:c r="M2538" t="n">
        <x:v>0</x:v>
      </x:c>
      <x:c r="N2538" t="str">
        <x:v>DerivedFromCount</x:v>
      </x:c>
      <x:c r="O2538" t="str">
        <x:v>PLC-PRD-JAR-330-L25</x:v>
      </x:c>
      <x:c r="P2538" t="str">
        <x:v>OK</x:v>
      </x:c>
      <x:c r="Q2538" t="str">
        <x:v>OK</x:v>
      </x:c>
      <x:c r="R2538" t="str">
        <x:v>OK</x:v>
      </x:c>
      <x:c r="S2538" t="str">
        <x:v>OK</x:v>
      </x:c>
      <x:c r="T2538" t="n">
        <x:v>24</x:v>
      </x:c>
      <x:c r="U2538" t="str">
        <x:v>OK</x:v>
      </x:c>
      <x:c r="V2538" t="str">
        <x:v>OK</x:v>
      </x:c>
      <x:c r="W2538" t="str">
        <x:v>LOAD</x:v>
      </x:c>
      <x:c r="X2538" t="str">
        <x:v>02_Supervisor_Log(4).xlsx</x:v>
      </x:c>
      <x:c r="Y2538" t="str">
        <x:v>ENH-20260830-01</x:v>
      </x:c>
      <x:c r="Z2538" t="str">
        <x:v>Active</x:v>
      </x:c>
      <x:c r="AA2538"/>
      <x:c r="AB2538"/>
      <x:c r="AC2538"/>
      <x:c r="AD2538"/>
    </x:row>
    <x:row r="2539">
      <x:c r="A2539" t="str">
        <x:v>PCC-PE-KG01-L25-20251024-AM-ORD-2025-00162-S13-C3</x:v>
      </x:c>
      <x:c r="B2539" t="str">
        <x:v>PC-PE-KG01-L25-20251024-AM-ORD-2025-00162-S13</x:v>
      </x:c>
      <x:c r="C2539" t="str">
        <x:v>PE-KG01-L25-20251024-AM-ORD-2025-00162</x:v>
      </x:c>
      <x:c r="D2539" t="str">
        <x:v>KG01</x:v>
      </x:c>
      <x:c r="E2539" s="62" t="n">
        <x:v>45954</x:v>
      </x:c>
      <x:c r="F2539" t="str">
        <x:v>AM</x:v>
      </x:c>
      <x:c r="G2539" t="str">
        <x:v>A</x:v>
      </x:c>
      <x:c r="H2539" t="n">
        <x:v>25</x:v>
      </x:c>
      <x:c r="I2539" t="str">
        <x:v>ORD-2025-00162</x:v>
      </x:c>
      <x:c r="J2539" t="n">
        <x:v>13</x:v>
      </x:c>
      <x:c r="K2539" t="n">
        <x:v>3</x:v>
      </x:c>
      <x:c r="L2539" t="str">
        <x:v>L25-S13-C3</x:v>
      </x:c>
      <x:c r="M2539" t="n">
        <x:v>0</x:v>
      </x:c>
      <x:c r="N2539" t="str">
        <x:v>DerivedFromCount</x:v>
      </x:c>
      <x:c r="O2539" t="str">
        <x:v>PLC-PRD-JAR-330-L25</x:v>
      </x:c>
      <x:c r="P2539" t="str">
        <x:v>OK</x:v>
      </x:c>
      <x:c r="Q2539" t="str">
        <x:v>OK</x:v>
      </x:c>
      <x:c r="R2539" t="str">
        <x:v>OK</x:v>
      </x:c>
      <x:c r="S2539" t="str">
        <x:v>OK</x:v>
      </x:c>
      <x:c r="T2539" t="n">
        <x:v>24</x:v>
      </x:c>
      <x:c r="U2539" t="str">
        <x:v>OK</x:v>
      </x:c>
      <x:c r="V2539" t="str">
        <x:v>OK</x:v>
      </x:c>
      <x:c r="W2539" t="str">
        <x:v>LOAD</x:v>
      </x:c>
      <x:c r="X2539" t="str">
        <x:v>02_Supervisor_Log(4).xlsx</x:v>
      </x:c>
      <x:c r="Y2539" t="str">
        <x:v>ENH-20260830-01</x:v>
      </x:c>
      <x:c r="Z2539" t="str">
        <x:v>Active</x:v>
      </x:c>
      <x:c r="AA2539"/>
      <x:c r="AB2539"/>
      <x:c r="AC2539"/>
      <x:c r="AD2539"/>
    </x:row>
    <x:row r="2540">
      <x:c r="A2540" t="str">
        <x:v>PCC-PE-KG01-L25-20251024-PM-ORD-2025-00162-S01-C1</x:v>
      </x:c>
      <x:c r="B2540" t="str">
        <x:v>PC-PE-KG01-L25-20251024-PM-ORD-2025-00162-S01</x:v>
      </x:c>
      <x:c r="C2540" t="str">
        <x:v>PE-KG01-L25-20251024-PM-ORD-2025-00162</x:v>
      </x:c>
      <x:c r="D2540" t="str">
        <x:v>KG01</x:v>
      </x:c>
      <x:c r="E2540" s="62" t="n">
        <x:v>45954</x:v>
      </x:c>
      <x:c r="F2540" t="str">
        <x:v>PM</x:v>
      </x:c>
      <x:c r="G2540" t="str">
        <x:v>B</x:v>
      </x:c>
      <x:c r="H2540" t="n">
        <x:v>25</x:v>
      </x:c>
      <x:c r="I2540" t="str">
        <x:v>ORD-2025-00162</x:v>
      </x:c>
      <x:c r="J2540" t="n">
        <x:v>1</x:v>
      </x:c>
      <x:c r="K2540" t="n">
        <x:v>1</x:v>
      </x:c>
      <x:c r="L2540" t="str">
        <x:v>L25-S01-C1</x:v>
      </x:c>
      <x:c r="M2540" t="n">
        <x:v>1</x:v>
      </x:c>
      <x:c r="N2540" t="str">
        <x:v>DerivedFromCount</x:v>
      </x:c>
      <x:c r="O2540" t="str">
        <x:v>PLC-PRD-JAR-330-L25</x:v>
      </x:c>
      <x:c r="P2540" t="str">
        <x:v>OK</x:v>
      </x:c>
      <x:c r="Q2540" t="str">
        <x:v>OK</x:v>
      </x:c>
      <x:c r="R2540" t="str">
        <x:v>OK</x:v>
      </x:c>
      <x:c r="S2540" t="str">
        <x:v>OK</x:v>
      </x:c>
      <x:c r="T2540" t="n">
        <x:v>24</x:v>
      </x:c>
      <x:c r="U2540" t="str">
        <x:v>OK</x:v>
      </x:c>
      <x:c r="V2540" t="str">
        <x:v>OK</x:v>
      </x:c>
      <x:c r="W2540" t="str">
        <x:v>LOAD</x:v>
      </x:c>
      <x:c r="X2540" t="str">
        <x:v>02_Supervisor_Log(4).xlsx</x:v>
      </x:c>
      <x:c r="Y2540" t="str">
        <x:v>ENH-20260830-01</x:v>
      </x:c>
      <x:c r="Z2540" t="str">
        <x:v>Active</x:v>
      </x:c>
      <x:c r="AA2540"/>
      <x:c r="AB2540"/>
      <x:c r="AC2540"/>
      <x:c r="AD2540"/>
    </x:row>
    <x:row r="2541">
      <x:c r="A2541" t="str">
        <x:v>PCC-PE-KG01-L25-20251024-PM-ORD-2025-00162-S01-C2</x:v>
      </x:c>
      <x:c r="B2541" t="str">
        <x:v>PC-PE-KG01-L25-20251024-PM-ORD-2025-00162-S01</x:v>
      </x:c>
      <x:c r="C2541" t="str">
        <x:v>PE-KG01-L25-20251024-PM-ORD-2025-00162</x:v>
      </x:c>
      <x:c r="D2541" t="str">
        <x:v>KG01</x:v>
      </x:c>
      <x:c r="E2541" s="62" t="n">
        <x:v>45954</x:v>
      </x:c>
      <x:c r="F2541" t="str">
        <x:v>PM</x:v>
      </x:c>
      <x:c r="G2541" t="str">
        <x:v>B</x:v>
      </x:c>
      <x:c r="H2541" t="n">
        <x:v>25</x:v>
      </x:c>
      <x:c r="I2541" t="str">
        <x:v>ORD-2025-00162</x:v>
      </x:c>
      <x:c r="J2541" t="n">
        <x:v>1</x:v>
      </x:c>
      <x:c r="K2541" t="n">
        <x:v>2</x:v>
      </x:c>
      <x:c r="L2541" t="str">
        <x:v>L25-S01-C2</x:v>
      </x:c>
      <x:c r="M2541" t="n">
        <x:v>1</x:v>
      </x:c>
      <x:c r="N2541" t="str">
        <x:v>DerivedFromCount</x:v>
      </x:c>
      <x:c r="O2541" t="str">
        <x:v>PLC-PRD-JAR-330-L25</x:v>
      </x:c>
      <x:c r="P2541" t="str">
        <x:v>OK</x:v>
      </x:c>
      <x:c r="Q2541" t="str">
        <x:v>OK</x:v>
      </x:c>
      <x:c r="R2541" t="str">
        <x:v>OK</x:v>
      </x:c>
      <x:c r="S2541" t="str">
        <x:v>OK</x:v>
      </x:c>
      <x:c r="T2541" t="n">
        <x:v>24</x:v>
      </x:c>
      <x:c r="U2541" t="str">
        <x:v>OK</x:v>
      </x:c>
      <x:c r="V2541" t="str">
        <x:v>OK</x:v>
      </x:c>
      <x:c r="W2541" t="str">
        <x:v>LOAD</x:v>
      </x:c>
      <x:c r="X2541" t="str">
        <x:v>02_Supervisor_Log(4).xlsx</x:v>
      </x:c>
      <x:c r="Y2541" t="str">
        <x:v>ENH-20260830-01</x:v>
      </x:c>
      <x:c r="Z2541" t="str">
        <x:v>Active</x:v>
      </x:c>
      <x:c r="AA2541"/>
      <x:c r="AB2541"/>
      <x:c r="AC2541"/>
      <x:c r="AD2541"/>
    </x:row>
    <x:row r="2542">
      <x:c r="A2542" t="str">
        <x:v>PCC-PE-KG01-L25-20251024-PM-ORD-2025-00162-S01-C3</x:v>
      </x:c>
      <x:c r="B2542" t="str">
        <x:v>PC-PE-KG01-L25-20251024-PM-ORD-2025-00162-S01</x:v>
      </x:c>
      <x:c r="C2542" t="str">
        <x:v>PE-KG01-L25-20251024-PM-ORD-2025-00162</x:v>
      </x:c>
      <x:c r="D2542" t="str">
        <x:v>KG01</x:v>
      </x:c>
      <x:c r="E2542" s="62" t="n">
        <x:v>45954</x:v>
      </x:c>
      <x:c r="F2542" t="str">
        <x:v>PM</x:v>
      </x:c>
      <x:c r="G2542" t="str">
        <x:v>B</x:v>
      </x:c>
      <x:c r="H2542" t="n">
        <x:v>25</x:v>
      </x:c>
      <x:c r="I2542" t="str">
        <x:v>ORD-2025-00162</x:v>
      </x:c>
      <x:c r="J2542" t="n">
        <x:v>1</x:v>
      </x:c>
      <x:c r="K2542" t="n">
        <x:v>3</x:v>
      </x:c>
      <x:c r="L2542" t="str">
        <x:v>L25-S01-C3</x:v>
      </x:c>
      <x:c r="M2542" t="n">
        <x:v>1</x:v>
      </x:c>
      <x:c r="N2542" t="str">
        <x:v>DerivedFromCount</x:v>
      </x:c>
      <x:c r="O2542" t="str">
        <x:v>PLC-PRD-JAR-330-L25</x:v>
      </x:c>
      <x:c r="P2542" t="str">
        <x:v>OK</x:v>
      </x:c>
      <x:c r="Q2542" t="str">
        <x:v>OK</x:v>
      </x:c>
      <x:c r="R2542" t="str">
        <x:v>OK</x:v>
      </x:c>
      <x:c r="S2542" t="str">
        <x:v>OK</x:v>
      </x:c>
      <x:c r="T2542" t="n">
        <x:v>24</x:v>
      </x:c>
      <x:c r="U2542" t="str">
        <x:v>OK</x:v>
      </x:c>
      <x:c r="V2542" t="str">
        <x:v>OK</x:v>
      </x:c>
      <x:c r="W2542" t="str">
        <x:v>LOAD</x:v>
      </x:c>
      <x:c r="X2542" t="str">
        <x:v>02_Supervisor_Log(4).xlsx</x:v>
      </x:c>
      <x:c r="Y2542" t="str">
        <x:v>ENH-20260830-01</x:v>
      </x:c>
      <x:c r="Z2542" t="str">
        <x:v>Active</x:v>
      </x:c>
      <x:c r="AA2542"/>
      <x:c r="AB2542"/>
      <x:c r="AC2542"/>
      <x:c r="AD2542"/>
    </x:row>
    <x:row r="2543">
      <x:c r="A2543" t="str">
        <x:v>PCC-PE-KG01-L25-20251024-PM-ORD-2025-00162-S02-C1</x:v>
      </x:c>
      <x:c r="B2543" t="str">
        <x:v>PC-PE-KG01-L25-20251024-PM-ORD-2025-00162-S02</x:v>
      </x:c>
      <x:c r="C2543" t="str">
        <x:v>PE-KG01-L25-20251024-PM-ORD-2025-00162</x:v>
      </x:c>
      <x:c r="D2543" t="str">
        <x:v>KG01</x:v>
      </x:c>
      <x:c r="E2543" s="62" t="n">
        <x:v>45954</x:v>
      </x:c>
      <x:c r="F2543" t="str">
        <x:v>PM</x:v>
      </x:c>
      <x:c r="G2543" t="str">
        <x:v>B</x:v>
      </x:c>
      <x:c r="H2543" t="n">
        <x:v>25</x:v>
      </x:c>
      <x:c r="I2543" t="str">
        <x:v>ORD-2025-00162</x:v>
      </x:c>
      <x:c r="J2543" t="n">
        <x:v>2</x:v>
      </x:c>
      <x:c r="K2543" t="n">
        <x:v>1</x:v>
      </x:c>
      <x:c r="L2543" t="str">
        <x:v>L25-S02-C1</x:v>
      </x:c>
      <x:c r="M2543" t="n">
        <x:v>1</x:v>
      </x:c>
      <x:c r="N2543" t="str">
        <x:v>DerivedFromCount</x:v>
      </x:c>
      <x:c r="O2543" t="str">
        <x:v>PLC-PRD-JAR-330-L25</x:v>
      </x:c>
      <x:c r="P2543" t="str">
        <x:v>OK</x:v>
      </x:c>
      <x:c r="Q2543" t="str">
        <x:v>OK</x:v>
      </x:c>
      <x:c r="R2543" t="str">
        <x:v>OK</x:v>
      </x:c>
      <x:c r="S2543" t="str">
        <x:v>OK</x:v>
      </x:c>
      <x:c r="T2543" t="n">
        <x:v>24</x:v>
      </x:c>
      <x:c r="U2543" t="str">
        <x:v>OK</x:v>
      </x:c>
      <x:c r="V2543" t="str">
        <x:v>OK</x:v>
      </x:c>
      <x:c r="W2543" t="str">
        <x:v>LOAD</x:v>
      </x:c>
      <x:c r="X2543" t="str">
        <x:v>02_Supervisor_Log(4).xlsx</x:v>
      </x:c>
      <x:c r="Y2543" t="str">
        <x:v>ENH-20260830-01</x:v>
      </x:c>
      <x:c r="Z2543" t="str">
        <x:v>Active</x:v>
      </x:c>
      <x:c r="AA2543"/>
      <x:c r="AB2543"/>
      <x:c r="AC2543"/>
      <x:c r="AD2543"/>
    </x:row>
    <x:row r="2544">
      <x:c r="A2544" t="str">
        <x:v>PCC-PE-KG01-L25-20251024-PM-ORD-2025-00162-S02-C2</x:v>
      </x:c>
      <x:c r="B2544" t="str">
        <x:v>PC-PE-KG01-L25-20251024-PM-ORD-2025-00162-S02</x:v>
      </x:c>
      <x:c r="C2544" t="str">
        <x:v>PE-KG01-L25-20251024-PM-ORD-2025-00162</x:v>
      </x:c>
      <x:c r="D2544" t="str">
        <x:v>KG01</x:v>
      </x:c>
      <x:c r="E2544" s="62" t="n">
        <x:v>45954</x:v>
      </x:c>
      <x:c r="F2544" t="str">
        <x:v>PM</x:v>
      </x:c>
      <x:c r="G2544" t="str">
        <x:v>B</x:v>
      </x:c>
      <x:c r="H2544" t="n">
        <x:v>25</x:v>
      </x:c>
      <x:c r="I2544" t="str">
        <x:v>ORD-2025-00162</x:v>
      </x:c>
      <x:c r="J2544" t="n">
        <x:v>2</x:v>
      </x:c>
      <x:c r="K2544" t="n">
        <x:v>2</x:v>
      </x:c>
      <x:c r="L2544" t="str">
        <x:v>L25-S02-C2</x:v>
      </x:c>
      <x:c r="M2544" t="n">
        <x:v>1</x:v>
      </x:c>
      <x:c r="N2544" t="str">
        <x:v>DerivedFromCount</x:v>
      </x:c>
      <x:c r="O2544" t="str">
        <x:v>PLC-PRD-JAR-330-L25</x:v>
      </x:c>
      <x:c r="P2544" t="str">
        <x:v>OK</x:v>
      </x:c>
      <x:c r="Q2544" t="str">
        <x:v>OK</x:v>
      </x:c>
      <x:c r="R2544" t="str">
        <x:v>OK</x:v>
      </x:c>
      <x:c r="S2544" t="str">
        <x:v>OK</x:v>
      </x:c>
      <x:c r="T2544" t="n">
        <x:v>24</x:v>
      </x:c>
      <x:c r="U2544" t="str">
        <x:v>OK</x:v>
      </x:c>
      <x:c r="V2544" t="str">
        <x:v>OK</x:v>
      </x:c>
      <x:c r="W2544" t="str">
        <x:v>LOAD</x:v>
      </x:c>
      <x:c r="X2544" t="str">
        <x:v>02_Supervisor_Log(4).xlsx</x:v>
      </x:c>
      <x:c r="Y2544" t="str">
        <x:v>ENH-20260830-01</x:v>
      </x:c>
      <x:c r="Z2544" t="str">
        <x:v>Active</x:v>
      </x:c>
      <x:c r="AA2544"/>
      <x:c r="AB2544"/>
      <x:c r="AC2544"/>
      <x:c r="AD2544"/>
    </x:row>
    <x:row r="2545">
      <x:c r="A2545" t="str">
        <x:v>PCC-PE-KG01-L25-20251024-PM-ORD-2025-00162-S02-C3</x:v>
      </x:c>
      <x:c r="B2545" t="str">
        <x:v>PC-PE-KG01-L25-20251024-PM-ORD-2025-00162-S02</x:v>
      </x:c>
      <x:c r="C2545" t="str">
        <x:v>PE-KG01-L25-20251024-PM-ORD-2025-00162</x:v>
      </x:c>
      <x:c r="D2545" t="str">
        <x:v>KG01</x:v>
      </x:c>
      <x:c r="E2545" s="62" t="n">
        <x:v>45954</x:v>
      </x:c>
      <x:c r="F2545" t="str">
        <x:v>PM</x:v>
      </x:c>
      <x:c r="G2545" t="str">
        <x:v>B</x:v>
      </x:c>
      <x:c r="H2545" t="n">
        <x:v>25</x:v>
      </x:c>
      <x:c r="I2545" t="str">
        <x:v>ORD-2025-00162</x:v>
      </x:c>
      <x:c r="J2545" t="n">
        <x:v>2</x:v>
      </x:c>
      <x:c r="K2545" t="n">
        <x:v>3</x:v>
      </x:c>
      <x:c r="L2545" t="str">
        <x:v>L25-S02-C3</x:v>
      </x:c>
      <x:c r="M2545" t="n">
        <x:v>1</x:v>
      </x:c>
      <x:c r="N2545" t="str">
        <x:v>DerivedFromCount</x:v>
      </x:c>
      <x:c r="O2545" t="str">
        <x:v>PLC-PRD-JAR-330-L25</x:v>
      </x:c>
      <x:c r="P2545" t="str">
        <x:v>OK</x:v>
      </x:c>
      <x:c r="Q2545" t="str">
        <x:v>OK</x:v>
      </x:c>
      <x:c r="R2545" t="str">
        <x:v>OK</x:v>
      </x:c>
      <x:c r="S2545" t="str">
        <x:v>OK</x:v>
      </x:c>
      <x:c r="T2545" t="n">
        <x:v>24</x:v>
      </x:c>
      <x:c r="U2545" t="str">
        <x:v>OK</x:v>
      </x:c>
      <x:c r="V2545" t="str">
        <x:v>OK</x:v>
      </x:c>
      <x:c r="W2545" t="str">
        <x:v>LOAD</x:v>
      </x:c>
      <x:c r="X2545" t="str">
        <x:v>02_Supervisor_Log(4).xlsx</x:v>
      </x:c>
      <x:c r="Y2545" t="str">
        <x:v>ENH-20260830-01</x:v>
      </x:c>
      <x:c r="Z2545" t="str">
        <x:v>Active</x:v>
      </x:c>
      <x:c r="AA2545"/>
      <x:c r="AB2545"/>
      <x:c r="AC2545"/>
      <x:c r="AD2545"/>
    </x:row>
    <x:row r="2546">
      <x:c r="A2546" t="str">
        <x:v>PCC-PE-KG01-L25-20251024-PM-ORD-2025-00162-S03-C1</x:v>
      </x:c>
      <x:c r="B2546" t="str">
        <x:v>PC-PE-KG01-L25-20251024-PM-ORD-2025-00162-S03</x:v>
      </x:c>
      <x:c r="C2546" t="str">
        <x:v>PE-KG01-L25-20251024-PM-ORD-2025-00162</x:v>
      </x:c>
      <x:c r="D2546" t="str">
        <x:v>KG01</x:v>
      </x:c>
      <x:c r="E2546" s="62" t="n">
        <x:v>45954</x:v>
      </x:c>
      <x:c r="F2546" t="str">
        <x:v>PM</x:v>
      </x:c>
      <x:c r="G2546" t="str">
        <x:v>B</x:v>
      </x:c>
      <x:c r="H2546" t="n">
        <x:v>25</x:v>
      </x:c>
      <x:c r="I2546" t="str">
        <x:v>ORD-2025-00162</x:v>
      </x:c>
      <x:c r="J2546" t="n">
        <x:v>3</x:v>
      </x:c>
      <x:c r="K2546" t="n">
        <x:v>1</x:v>
      </x:c>
      <x:c r="L2546" t="str">
        <x:v>L25-S03-C1</x:v>
      </x:c>
      <x:c r="M2546" t="n">
        <x:v>1</x:v>
      </x:c>
      <x:c r="N2546" t="str">
        <x:v>DerivedFromCount</x:v>
      </x:c>
      <x:c r="O2546" t="str">
        <x:v>PLC-PRD-JAR-330-L25</x:v>
      </x:c>
      <x:c r="P2546" t="str">
        <x:v>OK</x:v>
      </x:c>
      <x:c r="Q2546" t="str">
        <x:v>OK</x:v>
      </x:c>
      <x:c r="R2546" t="str">
        <x:v>OK</x:v>
      </x:c>
      <x:c r="S2546" t="str">
        <x:v>OK</x:v>
      </x:c>
      <x:c r="T2546" t="n">
        <x:v>24</x:v>
      </x:c>
      <x:c r="U2546" t="str">
        <x:v>OK</x:v>
      </x:c>
      <x:c r="V2546" t="str">
        <x:v>OK</x:v>
      </x:c>
      <x:c r="W2546" t="str">
        <x:v>LOAD</x:v>
      </x:c>
      <x:c r="X2546" t="str">
        <x:v>02_Supervisor_Log(4).xlsx</x:v>
      </x:c>
      <x:c r="Y2546" t="str">
        <x:v>ENH-20260830-01</x:v>
      </x:c>
      <x:c r="Z2546" t="str">
        <x:v>Active</x:v>
      </x:c>
      <x:c r="AA2546"/>
      <x:c r="AB2546"/>
      <x:c r="AC2546"/>
      <x:c r="AD2546"/>
    </x:row>
    <x:row r="2547">
      <x:c r="A2547" t="str">
        <x:v>PCC-PE-KG01-L25-20251024-PM-ORD-2025-00162-S03-C2</x:v>
      </x:c>
      <x:c r="B2547" t="str">
        <x:v>PC-PE-KG01-L25-20251024-PM-ORD-2025-00162-S03</x:v>
      </x:c>
      <x:c r="C2547" t="str">
        <x:v>PE-KG01-L25-20251024-PM-ORD-2025-00162</x:v>
      </x:c>
      <x:c r="D2547" t="str">
        <x:v>KG01</x:v>
      </x:c>
      <x:c r="E2547" s="62" t="n">
        <x:v>45954</x:v>
      </x:c>
      <x:c r="F2547" t="str">
        <x:v>PM</x:v>
      </x:c>
      <x:c r="G2547" t="str">
        <x:v>B</x:v>
      </x:c>
      <x:c r="H2547" t="n">
        <x:v>25</x:v>
      </x:c>
      <x:c r="I2547" t="str">
        <x:v>ORD-2025-00162</x:v>
      </x:c>
      <x:c r="J2547" t="n">
        <x:v>3</x:v>
      </x:c>
      <x:c r="K2547" t="n">
        <x:v>2</x:v>
      </x:c>
      <x:c r="L2547" t="str">
        <x:v>L25-S03-C2</x:v>
      </x:c>
      <x:c r="M2547" t="n">
        <x:v>1</x:v>
      </x:c>
      <x:c r="N2547" t="str">
        <x:v>DerivedFromCount</x:v>
      </x:c>
      <x:c r="O2547" t="str">
        <x:v>PLC-PRD-JAR-330-L25</x:v>
      </x:c>
      <x:c r="P2547" t="str">
        <x:v>OK</x:v>
      </x:c>
      <x:c r="Q2547" t="str">
        <x:v>OK</x:v>
      </x:c>
      <x:c r="R2547" t="str">
        <x:v>OK</x:v>
      </x:c>
      <x:c r="S2547" t="str">
        <x:v>OK</x:v>
      </x:c>
      <x:c r="T2547" t="n">
        <x:v>24</x:v>
      </x:c>
      <x:c r="U2547" t="str">
        <x:v>OK</x:v>
      </x:c>
      <x:c r="V2547" t="str">
        <x:v>OK</x:v>
      </x:c>
      <x:c r="W2547" t="str">
        <x:v>LOAD</x:v>
      </x:c>
      <x:c r="X2547" t="str">
        <x:v>02_Supervisor_Log(4).xlsx</x:v>
      </x:c>
      <x:c r="Y2547" t="str">
        <x:v>ENH-20260830-01</x:v>
      </x:c>
      <x:c r="Z2547" t="str">
        <x:v>Active</x:v>
      </x:c>
      <x:c r="AA2547"/>
      <x:c r="AB2547"/>
      <x:c r="AC2547"/>
      <x:c r="AD2547"/>
    </x:row>
    <x:row r="2548">
      <x:c r="A2548" t="str">
        <x:v>PCC-PE-KG01-L25-20251024-PM-ORD-2025-00162-S03-C3</x:v>
      </x:c>
      <x:c r="B2548" t="str">
        <x:v>PC-PE-KG01-L25-20251024-PM-ORD-2025-00162-S03</x:v>
      </x:c>
      <x:c r="C2548" t="str">
        <x:v>PE-KG01-L25-20251024-PM-ORD-2025-00162</x:v>
      </x:c>
      <x:c r="D2548" t="str">
        <x:v>KG01</x:v>
      </x:c>
      <x:c r="E2548" s="62" t="n">
        <x:v>45954</x:v>
      </x:c>
      <x:c r="F2548" t="str">
        <x:v>PM</x:v>
      </x:c>
      <x:c r="G2548" t="str">
        <x:v>B</x:v>
      </x:c>
      <x:c r="H2548" t="n">
        <x:v>25</x:v>
      </x:c>
      <x:c r="I2548" t="str">
        <x:v>ORD-2025-00162</x:v>
      </x:c>
      <x:c r="J2548" t="n">
        <x:v>3</x:v>
      </x:c>
      <x:c r="K2548" t="n">
        <x:v>3</x:v>
      </x:c>
      <x:c r="L2548" t="str">
        <x:v>L25-S03-C3</x:v>
      </x:c>
      <x:c r="M2548" t="n">
        <x:v>1</x:v>
      </x:c>
      <x:c r="N2548" t="str">
        <x:v>DerivedFromCount</x:v>
      </x:c>
      <x:c r="O2548" t="str">
        <x:v>PLC-PRD-JAR-330-L25</x:v>
      </x:c>
      <x:c r="P2548" t="str">
        <x:v>OK</x:v>
      </x:c>
      <x:c r="Q2548" t="str">
        <x:v>OK</x:v>
      </x:c>
      <x:c r="R2548" t="str">
        <x:v>OK</x:v>
      </x:c>
      <x:c r="S2548" t="str">
        <x:v>OK</x:v>
      </x:c>
      <x:c r="T2548" t="n">
        <x:v>24</x:v>
      </x:c>
      <x:c r="U2548" t="str">
        <x:v>OK</x:v>
      </x:c>
      <x:c r="V2548" t="str">
        <x:v>OK</x:v>
      </x:c>
      <x:c r="W2548" t="str">
        <x:v>LOAD</x:v>
      </x:c>
      <x:c r="X2548" t="str">
        <x:v>02_Supervisor_Log(4).xlsx</x:v>
      </x:c>
      <x:c r="Y2548" t="str">
        <x:v>ENH-20260830-01</x:v>
      </x:c>
      <x:c r="Z2548" t="str">
        <x:v>Active</x:v>
      </x:c>
      <x:c r="AA2548"/>
      <x:c r="AB2548"/>
      <x:c r="AC2548"/>
      <x:c r="AD2548"/>
    </x:row>
    <x:row r="2549">
      <x:c r="A2549" t="str">
        <x:v>PCC-PE-KG01-L25-20251024-PM-ORD-2025-00162-S04-C1</x:v>
      </x:c>
      <x:c r="B2549" t="str">
        <x:v>PC-PE-KG01-L25-20251024-PM-ORD-2025-00162-S04</x:v>
      </x:c>
      <x:c r="C2549" t="str">
        <x:v>PE-KG01-L25-20251024-PM-ORD-2025-00162</x:v>
      </x:c>
      <x:c r="D2549" t="str">
        <x:v>KG01</x:v>
      </x:c>
      <x:c r="E2549" s="62" t="n">
        <x:v>45954</x:v>
      </x:c>
      <x:c r="F2549" t="str">
        <x:v>PM</x:v>
      </x:c>
      <x:c r="G2549" t="str">
        <x:v>B</x:v>
      </x:c>
      <x:c r="H2549" t="n">
        <x:v>25</x:v>
      </x:c>
      <x:c r="I2549" t="str">
        <x:v>ORD-2025-00162</x:v>
      </x:c>
      <x:c r="J2549" t="n">
        <x:v>4</x:v>
      </x:c>
      <x:c r="K2549" t="n">
        <x:v>1</x:v>
      </x:c>
      <x:c r="L2549" t="str">
        <x:v>L25-S04-C1</x:v>
      </x:c>
      <x:c r="M2549" t="n">
        <x:v>1</x:v>
      </x:c>
      <x:c r="N2549" t="str">
        <x:v>DerivedFromCount</x:v>
      </x:c>
      <x:c r="O2549" t="str">
        <x:v>PLC-PRD-JAR-330-L25</x:v>
      </x:c>
      <x:c r="P2549" t="str">
        <x:v>OK</x:v>
      </x:c>
      <x:c r="Q2549" t="str">
        <x:v>OK</x:v>
      </x:c>
      <x:c r="R2549" t="str">
        <x:v>OK</x:v>
      </x:c>
      <x:c r="S2549" t="str">
        <x:v>OK</x:v>
      </x:c>
      <x:c r="T2549" t="n">
        <x:v>24</x:v>
      </x:c>
      <x:c r="U2549" t="str">
        <x:v>OK</x:v>
      </x:c>
      <x:c r="V2549" t="str">
        <x:v>OK</x:v>
      </x:c>
      <x:c r="W2549" t="str">
        <x:v>LOAD</x:v>
      </x:c>
      <x:c r="X2549" t="str">
        <x:v>02_Supervisor_Log(4).xlsx</x:v>
      </x:c>
      <x:c r="Y2549" t="str">
        <x:v>ENH-20260830-01</x:v>
      </x:c>
      <x:c r="Z2549" t="str">
        <x:v>Active</x:v>
      </x:c>
      <x:c r="AA2549"/>
      <x:c r="AB2549"/>
      <x:c r="AC2549"/>
      <x:c r="AD2549"/>
    </x:row>
    <x:row r="2550">
      <x:c r="A2550" t="str">
        <x:v>PCC-PE-KG01-L25-20251024-PM-ORD-2025-00162-S04-C2</x:v>
      </x:c>
      <x:c r="B2550" t="str">
        <x:v>PC-PE-KG01-L25-20251024-PM-ORD-2025-00162-S04</x:v>
      </x:c>
      <x:c r="C2550" t="str">
        <x:v>PE-KG01-L25-20251024-PM-ORD-2025-00162</x:v>
      </x:c>
      <x:c r="D2550" t="str">
        <x:v>KG01</x:v>
      </x:c>
      <x:c r="E2550" s="62" t="n">
        <x:v>45954</x:v>
      </x:c>
      <x:c r="F2550" t="str">
        <x:v>PM</x:v>
      </x:c>
      <x:c r="G2550" t="str">
        <x:v>B</x:v>
      </x:c>
      <x:c r="H2550" t="n">
        <x:v>25</x:v>
      </x:c>
      <x:c r="I2550" t="str">
        <x:v>ORD-2025-00162</x:v>
      </x:c>
      <x:c r="J2550" t="n">
        <x:v>4</x:v>
      </x:c>
      <x:c r="K2550" t="n">
        <x:v>2</x:v>
      </x:c>
      <x:c r="L2550" t="str">
        <x:v>L25-S04-C2</x:v>
      </x:c>
      <x:c r="M2550" t="n">
        <x:v>1</x:v>
      </x:c>
      <x:c r="N2550" t="str">
        <x:v>DerivedFromCount</x:v>
      </x:c>
      <x:c r="O2550" t="str">
        <x:v>PLC-PRD-JAR-330-L25</x:v>
      </x:c>
      <x:c r="P2550" t="str">
        <x:v>OK</x:v>
      </x:c>
      <x:c r="Q2550" t="str">
        <x:v>OK</x:v>
      </x:c>
      <x:c r="R2550" t="str">
        <x:v>OK</x:v>
      </x:c>
      <x:c r="S2550" t="str">
        <x:v>OK</x:v>
      </x:c>
      <x:c r="T2550" t="n">
        <x:v>24</x:v>
      </x:c>
      <x:c r="U2550" t="str">
        <x:v>OK</x:v>
      </x:c>
      <x:c r="V2550" t="str">
        <x:v>OK</x:v>
      </x:c>
      <x:c r="W2550" t="str">
        <x:v>LOAD</x:v>
      </x:c>
      <x:c r="X2550" t="str">
        <x:v>02_Supervisor_Log(4).xlsx</x:v>
      </x:c>
      <x:c r="Y2550" t="str">
        <x:v>ENH-20260830-01</x:v>
      </x:c>
      <x:c r="Z2550" t="str">
        <x:v>Active</x:v>
      </x:c>
      <x:c r="AA2550"/>
      <x:c r="AB2550"/>
      <x:c r="AC2550"/>
      <x:c r="AD2550"/>
    </x:row>
    <x:row r="2551">
      <x:c r="A2551" t="str">
        <x:v>PCC-PE-KG01-L25-20251024-PM-ORD-2025-00162-S04-C3</x:v>
      </x:c>
      <x:c r="B2551" t="str">
        <x:v>PC-PE-KG01-L25-20251024-PM-ORD-2025-00162-S04</x:v>
      </x:c>
      <x:c r="C2551" t="str">
        <x:v>PE-KG01-L25-20251024-PM-ORD-2025-00162</x:v>
      </x:c>
      <x:c r="D2551" t="str">
        <x:v>KG01</x:v>
      </x:c>
      <x:c r="E2551" s="62" t="n">
        <x:v>45954</x:v>
      </x:c>
      <x:c r="F2551" t="str">
        <x:v>PM</x:v>
      </x:c>
      <x:c r="G2551" t="str">
        <x:v>B</x:v>
      </x:c>
      <x:c r="H2551" t="n">
        <x:v>25</x:v>
      </x:c>
      <x:c r="I2551" t="str">
        <x:v>ORD-2025-00162</x:v>
      </x:c>
      <x:c r="J2551" t="n">
        <x:v>4</x:v>
      </x:c>
      <x:c r="K2551" t="n">
        <x:v>3</x:v>
      </x:c>
      <x:c r="L2551" t="str">
        <x:v>L25-S04-C3</x:v>
      </x:c>
      <x:c r="M2551" t="n">
        <x:v>1</x:v>
      </x:c>
      <x:c r="N2551" t="str">
        <x:v>DerivedFromCount</x:v>
      </x:c>
      <x:c r="O2551" t="str">
        <x:v>PLC-PRD-JAR-330-L25</x:v>
      </x:c>
      <x:c r="P2551" t="str">
        <x:v>OK</x:v>
      </x:c>
      <x:c r="Q2551" t="str">
        <x:v>OK</x:v>
      </x:c>
      <x:c r="R2551" t="str">
        <x:v>OK</x:v>
      </x:c>
      <x:c r="S2551" t="str">
        <x:v>OK</x:v>
      </x:c>
      <x:c r="T2551" t="n">
        <x:v>24</x:v>
      </x:c>
      <x:c r="U2551" t="str">
        <x:v>OK</x:v>
      </x:c>
      <x:c r="V2551" t="str">
        <x:v>OK</x:v>
      </x:c>
      <x:c r="W2551" t="str">
        <x:v>LOAD</x:v>
      </x:c>
      <x:c r="X2551" t="str">
        <x:v>02_Supervisor_Log(4).xlsx</x:v>
      </x:c>
      <x:c r="Y2551" t="str">
        <x:v>ENH-20260830-01</x:v>
      </x:c>
      <x:c r="Z2551" t="str">
        <x:v>Active</x:v>
      </x:c>
      <x:c r="AA2551"/>
      <x:c r="AB2551"/>
      <x:c r="AC2551"/>
      <x:c r="AD2551"/>
    </x:row>
    <x:row r="2552">
      <x:c r="A2552" t="str">
        <x:v>PCC-PE-KG01-L25-20251024-PM-ORD-2025-00162-S05-C1</x:v>
      </x:c>
      <x:c r="B2552" t="str">
        <x:v>PC-PE-KG01-L25-20251024-PM-ORD-2025-00162-S05</x:v>
      </x:c>
      <x:c r="C2552" t="str">
        <x:v>PE-KG01-L25-20251024-PM-ORD-2025-00162</x:v>
      </x:c>
      <x:c r="D2552" t="str">
        <x:v>KG01</x:v>
      </x:c>
      <x:c r="E2552" s="62" t="n">
        <x:v>45954</x:v>
      </x:c>
      <x:c r="F2552" t="str">
        <x:v>PM</x:v>
      </x:c>
      <x:c r="G2552" t="str">
        <x:v>B</x:v>
      </x:c>
      <x:c r="H2552" t="n">
        <x:v>25</x:v>
      </x:c>
      <x:c r="I2552" t="str">
        <x:v>ORD-2025-00162</x:v>
      </x:c>
      <x:c r="J2552" t="n">
        <x:v>5</x:v>
      </x:c>
      <x:c r="K2552" t="n">
        <x:v>1</x:v>
      </x:c>
      <x:c r="L2552" t="str">
        <x:v>L25-S05-C1</x:v>
      </x:c>
      <x:c r="M2552" t="n">
        <x:v>1</x:v>
      </x:c>
      <x:c r="N2552" t="str">
        <x:v>DerivedFromCount</x:v>
      </x:c>
      <x:c r="O2552" t="str">
        <x:v>PLC-PRD-JAR-330-L25</x:v>
      </x:c>
      <x:c r="P2552" t="str">
        <x:v>OK</x:v>
      </x:c>
      <x:c r="Q2552" t="str">
        <x:v>OK</x:v>
      </x:c>
      <x:c r="R2552" t="str">
        <x:v>OK</x:v>
      </x:c>
      <x:c r="S2552" t="str">
        <x:v>OK</x:v>
      </x:c>
      <x:c r="T2552" t="n">
        <x:v>24</x:v>
      </x:c>
      <x:c r="U2552" t="str">
        <x:v>OK</x:v>
      </x:c>
      <x:c r="V2552" t="str">
        <x:v>OK</x:v>
      </x:c>
      <x:c r="W2552" t="str">
        <x:v>LOAD</x:v>
      </x:c>
      <x:c r="X2552" t="str">
        <x:v>02_Supervisor_Log(4).xlsx</x:v>
      </x:c>
      <x:c r="Y2552" t="str">
        <x:v>ENH-20260830-01</x:v>
      </x:c>
      <x:c r="Z2552" t="str">
        <x:v>Active</x:v>
      </x:c>
      <x:c r="AA2552"/>
      <x:c r="AB2552"/>
      <x:c r="AC2552"/>
      <x:c r="AD2552"/>
    </x:row>
    <x:row r="2553">
      <x:c r="A2553" t="str">
        <x:v>PCC-PE-KG01-L25-20251024-PM-ORD-2025-00162-S05-C2</x:v>
      </x:c>
      <x:c r="B2553" t="str">
        <x:v>PC-PE-KG01-L25-20251024-PM-ORD-2025-00162-S05</x:v>
      </x:c>
      <x:c r="C2553" t="str">
        <x:v>PE-KG01-L25-20251024-PM-ORD-2025-00162</x:v>
      </x:c>
      <x:c r="D2553" t="str">
        <x:v>KG01</x:v>
      </x:c>
      <x:c r="E2553" s="62" t="n">
        <x:v>45954</x:v>
      </x:c>
      <x:c r="F2553" t="str">
        <x:v>PM</x:v>
      </x:c>
      <x:c r="G2553" t="str">
        <x:v>B</x:v>
      </x:c>
      <x:c r="H2553" t="n">
        <x:v>25</x:v>
      </x:c>
      <x:c r="I2553" t="str">
        <x:v>ORD-2025-00162</x:v>
      </x:c>
      <x:c r="J2553" t="n">
        <x:v>5</x:v>
      </x:c>
      <x:c r="K2553" t="n">
        <x:v>2</x:v>
      </x:c>
      <x:c r="L2553" t="str">
        <x:v>L25-S05-C2</x:v>
      </x:c>
      <x:c r="M2553" t="n">
        <x:v>1</x:v>
      </x:c>
      <x:c r="N2553" t="str">
        <x:v>DerivedFromCount</x:v>
      </x:c>
      <x:c r="O2553" t="str">
        <x:v>PLC-PRD-JAR-330-L25</x:v>
      </x:c>
      <x:c r="P2553" t="str">
        <x:v>OK</x:v>
      </x:c>
      <x:c r="Q2553" t="str">
        <x:v>OK</x:v>
      </x:c>
      <x:c r="R2553" t="str">
        <x:v>OK</x:v>
      </x:c>
      <x:c r="S2553" t="str">
        <x:v>OK</x:v>
      </x:c>
      <x:c r="T2553" t="n">
        <x:v>24</x:v>
      </x:c>
      <x:c r="U2553" t="str">
        <x:v>OK</x:v>
      </x:c>
      <x:c r="V2553" t="str">
        <x:v>OK</x:v>
      </x:c>
      <x:c r="W2553" t="str">
        <x:v>LOAD</x:v>
      </x:c>
      <x:c r="X2553" t="str">
        <x:v>02_Supervisor_Log(4).xlsx</x:v>
      </x:c>
      <x:c r="Y2553" t="str">
        <x:v>ENH-20260830-01</x:v>
      </x:c>
      <x:c r="Z2553" t="str">
        <x:v>Active</x:v>
      </x:c>
      <x:c r="AA2553"/>
      <x:c r="AB2553"/>
      <x:c r="AC2553"/>
      <x:c r="AD2553"/>
    </x:row>
    <x:row r="2554">
      <x:c r="A2554" t="str">
        <x:v>PCC-PE-KG01-L25-20251024-PM-ORD-2025-00162-S05-C3</x:v>
      </x:c>
      <x:c r="B2554" t="str">
        <x:v>PC-PE-KG01-L25-20251024-PM-ORD-2025-00162-S05</x:v>
      </x:c>
      <x:c r="C2554" t="str">
        <x:v>PE-KG01-L25-20251024-PM-ORD-2025-00162</x:v>
      </x:c>
      <x:c r="D2554" t="str">
        <x:v>KG01</x:v>
      </x:c>
      <x:c r="E2554" s="62" t="n">
        <x:v>45954</x:v>
      </x:c>
      <x:c r="F2554" t="str">
        <x:v>PM</x:v>
      </x:c>
      <x:c r="G2554" t="str">
        <x:v>B</x:v>
      </x:c>
      <x:c r="H2554" t="n">
        <x:v>25</x:v>
      </x:c>
      <x:c r="I2554" t="str">
        <x:v>ORD-2025-00162</x:v>
      </x:c>
      <x:c r="J2554" t="n">
        <x:v>5</x:v>
      </x:c>
      <x:c r="K2554" t="n">
        <x:v>3</x:v>
      </x:c>
      <x:c r="L2554" t="str">
        <x:v>L25-S05-C3</x:v>
      </x:c>
      <x:c r="M2554" t="n">
        <x:v>1</x:v>
      </x:c>
      <x:c r="N2554" t="str">
        <x:v>DerivedFromCount</x:v>
      </x:c>
      <x:c r="O2554" t="str">
        <x:v>PLC-PRD-JAR-330-L25</x:v>
      </x:c>
      <x:c r="P2554" t="str">
        <x:v>OK</x:v>
      </x:c>
      <x:c r="Q2554" t="str">
        <x:v>OK</x:v>
      </x:c>
      <x:c r="R2554" t="str">
        <x:v>OK</x:v>
      </x:c>
      <x:c r="S2554" t="str">
        <x:v>OK</x:v>
      </x:c>
      <x:c r="T2554" t="n">
        <x:v>24</x:v>
      </x:c>
      <x:c r="U2554" t="str">
        <x:v>OK</x:v>
      </x:c>
      <x:c r="V2554" t="str">
        <x:v>OK</x:v>
      </x:c>
      <x:c r="W2554" t="str">
        <x:v>LOAD</x:v>
      </x:c>
      <x:c r="X2554" t="str">
        <x:v>02_Supervisor_Log(4).xlsx</x:v>
      </x:c>
      <x:c r="Y2554" t="str">
        <x:v>ENH-20260830-01</x:v>
      </x:c>
      <x:c r="Z2554" t="str">
        <x:v>Active</x:v>
      </x:c>
      <x:c r="AA2554"/>
      <x:c r="AB2554"/>
      <x:c r="AC2554"/>
      <x:c r="AD2554"/>
    </x:row>
    <x:row r="2555">
      <x:c r="A2555" t="str">
        <x:v>PCC-PE-KG01-L25-20251024-PM-ORD-2025-00162-S06-C1</x:v>
      </x:c>
      <x:c r="B2555" t="str">
        <x:v>PC-PE-KG01-L25-20251024-PM-ORD-2025-00162-S06</x:v>
      </x:c>
      <x:c r="C2555" t="str">
        <x:v>PE-KG01-L25-20251024-PM-ORD-2025-00162</x:v>
      </x:c>
      <x:c r="D2555" t="str">
        <x:v>KG01</x:v>
      </x:c>
      <x:c r="E2555" s="62" t="n">
        <x:v>45954</x:v>
      </x:c>
      <x:c r="F2555" t="str">
        <x:v>PM</x:v>
      </x:c>
      <x:c r="G2555" t="str">
        <x:v>B</x:v>
      </x:c>
      <x:c r="H2555" t="n">
        <x:v>25</x:v>
      </x:c>
      <x:c r="I2555" t="str">
        <x:v>ORD-2025-00162</x:v>
      </x:c>
      <x:c r="J2555" t="n">
        <x:v>6</x:v>
      </x:c>
      <x:c r="K2555" t="n">
        <x:v>1</x:v>
      </x:c>
      <x:c r="L2555" t="str">
        <x:v>L25-S06-C1</x:v>
      </x:c>
      <x:c r="M2555" t="n">
        <x:v>1</x:v>
      </x:c>
      <x:c r="N2555" t="str">
        <x:v>DerivedFromCount</x:v>
      </x:c>
      <x:c r="O2555" t="str">
        <x:v>PLC-PRD-JAR-330-L25</x:v>
      </x:c>
      <x:c r="P2555" t="str">
        <x:v>OK</x:v>
      </x:c>
      <x:c r="Q2555" t="str">
        <x:v>OK</x:v>
      </x:c>
      <x:c r="R2555" t="str">
        <x:v>OK</x:v>
      </x:c>
      <x:c r="S2555" t="str">
        <x:v>OK</x:v>
      </x:c>
      <x:c r="T2555" t="n">
        <x:v>24</x:v>
      </x:c>
      <x:c r="U2555" t="str">
        <x:v>OK</x:v>
      </x:c>
      <x:c r="V2555" t="str">
        <x:v>OK</x:v>
      </x:c>
      <x:c r="W2555" t="str">
        <x:v>LOAD</x:v>
      </x:c>
      <x:c r="X2555" t="str">
        <x:v>02_Supervisor_Log(4).xlsx</x:v>
      </x:c>
      <x:c r="Y2555" t="str">
        <x:v>ENH-20260830-01</x:v>
      </x:c>
      <x:c r="Z2555" t="str">
        <x:v>Active</x:v>
      </x:c>
      <x:c r="AA2555"/>
      <x:c r="AB2555"/>
      <x:c r="AC2555"/>
      <x:c r="AD2555"/>
    </x:row>
    <x:row r="2556">
      <x:c r="A2556" t="str">
        <x:v>PCC-PE-KG01-L25-20251024-PM-ORD-2025-00162-S06-C2</x:v>
      </x:c>
      <x:c r="B2556" t="str">
        <x:v>PC-PE-KG01-L25-20251024-PM-ORD-2025-00162-S06</x:v>
      </x:c>
      <x:c r="C2556" t="str">
        <x:v>PE-KG01-L25-20251024-PM-ORD-2025-00162</x:v>
      </x:c>
      <x:c r="D2556" t="str">
        <x:v>KG01</x:v>
      </x:c>
      <x:c r="E2556" s="62" t="n">
        <x:v>45954</x:v>
      </x:c>
      <x:c r="F2556" t="str">
        <x:v>PM</x:v>
      </x:c>
      <x:c r="G2556" t="str">
        <x:v>B</x:v>
      </x:c>
      <x:c r="H2556" t="n">
        <x:v>25</x:v>
      </x:c>
      <x:c r="I2556" t="str">
        <x:v>ORD-2025-00162</x:v>
      </x:c>
      <x:c r="J2556" t="n">
        <x:v>6</x:v>
      </x:c>
      <x:c r="K2556" t="n">
        <x:v>2</x:v>
      </x:c>
      <x:c r="L2556" t="str">
        <x:v>L25-S06-C2</x:v>
      </x:c>
      <x:c r="M2556" t="n">
        <x:v>1</x:v>
      </x:c>
      <x:c r="N2556" t="str">
        <x:v>DerivedFromCount</x:v>
      </x:c>
      <x:c r="O2556" t="str">
        <x:v>PLC-PRD-JAR-330-L25</x:v>
      </x:c>
      <x:c r="P2556" t="str">
        <x:v>OK</x:v>
      </x:c>
      <x:c r="Q2556" t="str">
        <x:v>OK</x:v>
      </x:c>
      <x:c r="R2556" t="str">
        <x:v>OK</x:v>
      </x:c>
      <x:c r="S2556" t="str">
        <x:v>OK</x:v>
      </x:c>
      <x:c r="T2556" t="n">
        <x:v>24</x:v>
      </x:c>
      <x:c r="U2556" t="str">
        <x:v>OK</x:v>
      </x:c>
      <x:c r="V2556" t="str">
        <x:v>OK</x:v>
      </x:c>
      <x:c r="W2556" t="str">
        <x:v>LOAD</x:v>
      </x:c>
      <x:c r="X2556" t="str">
        <x:v>02_Supervisor_Log(4).xlsx</x:v>
      </x:c>
      <x:c r="Y2556" t="str">
        <x:v>ENH-20260830-01</x:v>
      </x:c>
      <x:c r="Z2556" t="str">
        <x:v>Active</x:v>
      </x:c>
      <x:c r="AA2556"/>
      <x:c r="AB2556"/>
      <x:c r="AC2556"/>
      <x:c r="AD2556"/>
    </x:row>
    <x:row r="2557">
      <x:c r="A2557" t="str">
        <x:v>PCC-PE-KG01-L25-20251024-PM-ORD-2025-00162-S06-C3</x:v>
      </x:c>
      <x:c r="B2557" t="str">
        <x:v>PC-PE-KG01-L25-20251024-PM-ORD-2025-00162-S06</x:v>
      </x:c>
      <x:c r="C2557" t="str">
        <x:v>PE-KG01-L25-20251024-PM-ORD-2025-00162</x:v>
      </x:c>
      <x:c r="D2557" t="str">
        <x:v>KG01</x:v>
      </x:c>
      <x:c r="E2557" s="62" t="n">
        <x:v>45954</x:v>
      </x:c>
      <x:c r="F2557" t="str">
        <x:v>PM</x:v>
      </x:c>
      <x:c r="G2557" t="str">
        <x:v>B</x:v>
      </x:c>
      <x:c r="H2557" t="n">
        <x:v>25</x:v>
      </x:c>
      <x:c r="I2557" t="str">
        <x:v>ORD-2025-00162</x:v>
      </x:c>
      <x:c r="J2557" t="n">
        <x:v>6</x:v>
      </x:c>
      <x:c r="K2557" t="n">
        <x:v>3</x:v>
      </x:c>
      <x:c r="L2557" t="str">
        <x:v>L25-S06-C3</x:v>
      </x:c>
      <x:c r="M2557" t="n">
        <x:v>1</x:v>
      </x:c>
      <x:c r="N2557" t="str">
        <x:v>DerivedFromCount</x:v>
      </x:c>
      <x:c r="O2557" t="str">
        <x:v>PLC-PRD-JAR-330-L25</x:v>
      </x:c>
      <x:c r="P2557" t="str">
        <x:v>OK</x:v>
      </x:c>
      <x:c r="Q2557" t="str">
        <x:v>OK</x:v>
      </x:c>
      <x:c r="R2557" t="str">
        <x:v>OK</x:v>
      </x:c>
      <x:c r="S2557" t="str">
        <x:v>OK</x:v>
      </x:c>
      <x:c r="T2557" t="n">
        <x:v>24</x:v>
      </x:c>
      <x:c r="U2557" t="str">
        <x:v>OK</x:v>
      </x:c>
      <x:c r="V2557" t="str">
        <x:v>OK</x:v>
      </x:c>
      <x:c r="W2557" t="str">
        <x:v>LOAD</x:v>
      </x:c>
      <x:c r="X2557" t="str">
        <x:v>02_Supervisor_Log(4).xlsx</x:v>
      </x:c>
      <x:c r="Y2557" t="str">
        <x:v>ENH-20260830-01</x:v>
      </x:c>
      <x:c r="Z2557" t="str">
        <x:v>Active</x:v>
      </x:c>
      <x:c r="AA2557"/>
      <x:c r="AB2557"/>
      <x:c r="AC2557"/>
      <x:c r="AD2557"/>
    </x:row>
    <x:row r="2558">
      <x:c r="A2558" t="str">
        <x:v>PCC-PE-KG01-L25-20251024-PM-ORD-2025-00162-S07-C1</x:v>
      </x:c>
      <x:c r="B2558" t="str">
        <x:v>PC-PE-KG01-L25-20251024-PM-ORD-2025-00162-S07</x:v>
      </x:c>
      <x:c r="C2558" t="str">
        <x:v>PE-KG01-L25-20251024-PM-ORD-2025-00162</x:v>
      </x:c>
      <x:c r="D2558" t="str">
        <x:v>KG01</x:v>
      </x:c>
      <x:c r="E2558" s="62" t="n">
        <x:v>45954</x:v>
      </x:c>
      <x:c r="F2558" t="str">
        <x:v>PM</x:v>
      </x:c>
      <x:c r="G2558" t="str">
        <x:v>B</x:v>
      </x:c>
      <x:c r="H2558" t="n">
        <x:v>25</x:v>
      </x:c>
      <x:c r="I2558" t="str">
        <x:v>ORD-2025-00162</x:v>
      </x:c>
      <x:c r="J2558" t="n">
        <x:v>7</x:v>
      </x:c>
      <x:c r="K2558" t="n">
        <x:v>1</x:v>
      </x:c>
      <x:c r="L2558" t="str">
        <x:v>L25-S07-C1</x:v>
      </x:c>
      <x:c r="M2558" t="n">
        <x:v>1</x:v>
      </x:c>
      <x:c r="N2558" t="str">
        <x:v>DerivedFromCount</x:v>
      </x:c>
      <x:c r="O2558" t="str">
        <x:v>PLC-PRD-JAR-330-L25</x:v>
      </x:c>
      <x:c r="P2558" t="str">
        <x:v>OK</x:v>
      </x:c>
      <x:c r="Q2558" t="str">
        <x:v>OK</x:v>
      </x:c>
      <x:c r="R2558" t="str">
        <x:v>OK</x:v>
      </x:c>
      <x:c r="S2558" t="str">
        <x:v>OK</x:v>
      </x:c>
      <x:c r="T2558" t="n">
        <x:v>24</x:v>
      </x:c>
      <x:c r="U2558" t="str">
        <x:v>OK</x:v>
      </x:c>
      <x:c r="V2558" t="str">
        <x:v>OK</x:v>
      </x:c>
      <x:c r="W2558" t="str">
        <x:v>LOAD</x:v>
      </x:c>
      <x:c r="X2558" t="str">
        <x:v>02_Supervisor_Log(4).xlsx</x:v>
      </x:c>
      <x:c r="Y2558" t="str">
        <x:v>ENH-20260830-01</x:v>
      </x:c>
      <x:c r="Z2558" t="str">
        <x:v>Active</x:v>
      </x:c>
      <x:c r="AA2558"/>
      <x:c r="AB2558"/>
      <x:c r="AC2558"/>
      <x:c r="AD2558"/>
    </x:row>
    <x:row r="2559">
      <x:c r="A2559" t="str">
        <x:v>PCC-PE-KG01-L25-20251024-PM-ORD-2025-00162-S07-C2</x:v>
      </x:c>
      <x:c r="B2559" t="str">
        <x:v>PC-PE-KG01-L25-20251024-PM-ORD-2025-00162-S07</x:v>
      </x:c>
      <x:c r="C2559" t="str">
        <x:v>PE-KG01-L25-20251024-PM-ORD-2025-00162</x:v>
      </x:c>
      <x:c r="D2559" t="str">
        <x:v>KG01</x:v>
      </x:c>
      <x:c r="E2559" s="62" t="n">
        <x:v>45954</x:v>
      </x:c>
      <x:c r="F2559" t="str">
        <x:v>PM</x:v>
      </x:c>
      <x:c r="G2559" t="str">
        <x:v>B</x:v>
      </x:c>
      <x:c r="H2559" t="n">
        <x:v>25</x:v>
      </x:c>
      <x:c r="I2559" t="str">
        <x:v>ORD-2025-00162</x:v>
      </x:c>
      <x:c r="J2559" t="n">
        <x:v>7</x:v>
      </x:c>
      <x:c r="K2559" t="n">
        <x:v>2</x:v>
      </x:c>
      <x:c r="L2559" t="str">
        <x:v>L25-S07-C2</x:v>
      </x:c>
      <x:c r="M2559" t="n">
        <x:v>1</x:v>
      </x:c>
      <x:c r="N2559" t="str">
        <x:v>DerivedFromCount</x:v>
      </x:c>
      <x:c r="O2559" t="str">
        <x:v>PLC-PRD-JAR-330-L25</x:v>
      </x:c>
      <x:c r="P2559" t="str">
        <x:v>OK</x:v>
      </x:c>
      <x:c r="Q2559" t="str">
        <x:v>OK</x:v>
      </x:c>
      <x:c r="R2559" t="str">
        <x:v>OK</x:v>
      </x:c>
      <x:c r="S2559" t="str">
        <x:v>OK</x:v>
      </x:c>
      <x:c r="T2559" t="n">
        <x:v>24</x:v>
      </x:c>
      <x:c r="U2559" t="str">
        <x:v>OK</x:v>
      </x:c>
      <x:c r="V2559" t="str">
        <x:v>OK</x:v>
      </x:c>
      <x:c r="W2559" t="str">
        <x:v>LOAD</x:v>
      </x:c>
      <x:c r="X2559" t="str">
        <x:v>02_Supervisor_Log(4).xlsx</x:v>
      </x:c>
      <x:c r="Y2559" t="str">
        <x:v>ENH-20260830-01</x:v>
      </x:c>
      <x:c r="Z2559" t="str">
        <x:v>Active</x:v>
      </x:c>
      <x:c r="AA2559"/>
      <x:c r="AB2559"/>
      <x:c r="AC2559"/>
      <x:c r="AD2559"/>
    </x:row>
    <x:row r="2560">
      <x:c r="A2560" t="str">
        <x:v>PCC-PE-KG01-L25-20251024-PM-ORD-2025-00162-S07-C3</x:v>
      </x:c>
      <x:c r="B2560" t="str">
        <x:v>PC-PE-KG01-L25-20251024-PM-ORD-2025-00162-S07</x:v>
      </x:c>
      <x:c r="C2560" t="str">
        <x:v>PE-KG01-L25-20251024-PM-ORD-2025-00162</x:v>
      </x:c>
      <x:c r="D2560" t="str">
        <x:v>KG01</x:v>
      </x:c>
      <x:c r="E2560" s="62" t="n">
        <x:v>45954</x:v>
      </x:c>
      <x:c r="F2560" t="str">
        <x:v>PM</x:v>
      </x:c>
      <x:c r="G2560" t="str">
        <x:v>B</x:v>
      </x:c>
      <x:c r="H2560" t="n">
        <x:v>25</x:v>
      </x:c>
      <x:c r="I2560" t="str">
        <x:v>ORD-2025-00162</x:v>
      </x:c>
      <x:c r="J2560" t="n">
        <x:v>7</x:v>
      </x:c>
      <x:c r="K2560" t="n">
        <x:v>3</x:v>
      </x:c>
      <x:c r="L2560" t="str">
        <x:v>L25-S07-C3</x:v>
      </x:c>
      <x:c r="M2560" t="n">
        <x:v>1</x:v>
      </x:c>
      <x:c r="N2560" t="str">
        <x:v>DerivedFromCount</x:v>
      </x:c>
      <x:c r="O2560" t="str">
        <x:v>PLC-PRD-JAR-330-L25</x:v>
      </x:c>
      <x:c r="P2560" t="str">
        <x:v>OK</x:v>
      </x:c>
      <x:c r="Q2560" t="str">
        <x:v>OK</x:v>
      </x:c>
      <x:c r="R2560" t="str">
        <x:v>OK</x:v>
      </x:c>
      <x:c r="S2560" t="str">
        <x:v>OK</x:v>
      </x:c>
      <x:c r="T2560" t="n">
        <x:v>24</x:v>
      </x:c>
      <x:c r="U2560" t="str">
        <x:v>OK</x:v>
      </x:c>
      <x:c r="V2560" t="str">
        <x:v>OK</x:v>
      </x:c>
      <x:c r="W2560" t="str">
        <x:v>LOAD</x:v>
      </x:c>
      <x:c r="X2560" t="str">
        <x:v>02_Supervisor_Log(4).xlsx</x:v>
      </x:c>
      <x:c r="Y2560" t="str">
        <x:v>ENH-20260830-01</x:v>
      </x:c>
      <x:c r="Z2560" t="str">
        <x:v>Active</x:v>
      </x:c>
      <x:c r="AA2560"/>
      <x:c r="AB2560"/>
      <x:c r="AC2560"/>
      <x:c r="AD2560"/>
    </x:row>
    <x:row r="2561">
      <x:c r="A2561" t="str">
        <x:v>PCC-PE-KG01-L25-20251024-PM-ORD-2025-00162-S08-C1</x:v>
      </x:c>
      <x:c r="B2561" t="str">
        <x:v>PC-PE-KG01-L25-20251024-PM-ORD-2025-00162-S08</x:v>
      </x:c>
      <x:c r="C2561" t="str">
        <x:v>PE-KG01-L25-20251024-PM-ORD-2025-00162</x:v>
      </x:c>
      <x:c r="D2561" t="str">
        <x:v>KG01</x:v>
      </x:c>
      <x:c r="E2561" s="62" t="n">
        <x:v>45954</x:v>
      </x:c>
      <x:c r="F2561" t="str">
        <x:v>PM</x:v>
      </x:c>
      <x:c r="G2561" t="str">
        <x:v>B</x:v>
      </x:c>
      <x:c r="H2561" t="n">
        <x:v>25</x:v>
      </x:c>
      <x:c r="I2561" t="str">
        <x:v>ORD-2025-00162</x:v>
      </x:c>
      <x:c r="J2561" t="n">
        <x:v>8</x:v>
      </x:c>
      <x:c r="K2561" t="n">
        <x:v>1</x:v>
      </x:c>
      <x:c r="L2561" t="str">
        <x:v>L25-S08-C1</x:v>
      </x:c>
      <x:c r="M2561" t="n">
        <x:v>1</x:v>
      </x:c>
      <x:c r="N2561" t="str">
        <x:v>DerivedFromCount</x:v>
      </x:c>
      <x:c r="O2561" t="str">
        <x:v>PLC-PRD-JAR-330-L25</x:v>
      </x:c>
      <x:c r="P2561" t="str">
        <x:v>OK</x:v>
      </x:c>
      <x:c r="Q2561" t="str">
        <x:v>OK</x:v>
      </x:c>
      <x:c r="R2561" t="str">
        <x:v>OK</x:v>
      </x:c>
      <x:c r="S2561" t="str">
        <x:v>OK</x:v>
      </x:c>
      <x:c r="T2561" t="n">
        <x:v>24</x:v>
      </x:c>
      <x:c r="U2561" t="str">
        <x:v>OK</x:v>
      </x:c>
      <x:c r="V2561" t="str">
        <x:v>OK</x:v>
      </x:c>
      <x:c r="W2561" t="str">
        <x:v>LOAD</x:v>
      </x:c>
      <x:c r="X2561" t="str">
        <x:v>02_Supervisor_Log(4).xlsx</x:v>
      </x:c>
      <x:c r="Y2561" t="str">
        <x:v>ENH-20260830-01</x:v>
      </x:c>
      <x:c r="Z2561" t="str">
        <x:v>Active</x:v>
      </x:c>
      <x:c r="AA2561"/>
      <x:c r="AB2561"/>
      <x:c r="AC2561"/>
      <x:c r="AD2561"/>
    </x:row>
    <x:row r="2562">
      <x:c r="A2562" t="str">
        <x:v>PCC-PE-KG01-L25-20251024-PM-ORD-2025-00162-S08-C2</x:v>
      </x:c>
      <x:c r="B2562" t="str">
        <x:v>PC-PE-KG01-L25-20251024-PM-ORD-2025-00162-S08</x:v>
      </x:c>
      <x:c r="C2562" t="str">
        <x:v>PE-KG01-L25-20251024-PM-ORD-2025-00162</x:v>
      </x:c>
      <x:c r="D2562" t="str">
        <x:v>KG01</x:v>
      </x:c>
      <x:c r="E2562" s="62" t="n">
        <x:v>45954</x:v>
      </x:c>
      <x:c r="F2562" t="str">
        <x:v>PM</x:v>
      </x:c>
      <x:c r="G2562" t="str">
        <x:v>B</x:v>
      </x:c>
      <x:c r="H2562" t="n">
        <x:v>25</x:v>
      </x:c>
      <x:c r="I2562" t="str">
        <x:v>ORD-2025-00162</x:v>
      </x:c>
      <x:c r="J2562" t="n">
        <x:v>8</x:v>
      </x:c>
      <x:c r="K2562" t="n">
        <x:v>2</x:v>
      </x:c>
      <x:c r="L2562" t="str">
        <x:v>L25-S08-C2</x:v>
      </x:c>
      <x:c r="M2562" t="n">
        <x:v>1</x:v>
      </x:c>
      <x:c r="N2562" t="str">
        <x:v>DerivedFromCount</x:v>
      </x:c>
      <x:c r="O2562" t="str">
        <x:v>PLC-PRD-JAR-330-L25</x:v>
      </x:c>
      <x:c r="P2562" t="str">
        <x:v>OK</x:v>
      </x:c>
      <x:c r="Q2562" t="str">
        <x:v>OK</x:v>
      </x:c>
      <x:c r="R2562" t="str">
        <x:v>OK</x:v>
      </x:c>
      <x:c r="S2562" t="str">
        <x:v>OK</x:v>
      </x:c>
      <x:c r="T2562" t="n">
        <x:v>24</x:v>
      </x:c>
      <x:c r="U2562" t="str">
        <x:v>OK</x:v>
      </x:c>
      <x:c r="V2562" t="str">
        <x:v>OK</x:v>
      </x:c>
      <x:c r="W2562" t="str">
        <x:v>LOAD</x:v>
      </x:c>
      <x:c r="X2562" t="str">
        <x:v>02_Supervisor_Log(4).xlsx</x:v>
      </x:c>
      <x:c r="Y2562" t="str">
        <x:v>ENH-20260830-01</x:v>
      </x:c>
      <x:c r="Z2562" t="str">
        <x:v>Active</x:v>
      </x:c>
      <x:c r="AA2562"/>
      <x:c r="AB2562"/>
      <x:c r="AC2562"/>
      <x:c r="AD2562"/>
    </x:row>
    <x:row r="2563">
      <x:c r="A2563" t="str">
        <x:v>PCC-PE-KG01-L25-20251024-PM-ORD-2025-00162-S08-C3</x:v>
      </x:c>
      <x:c r="B2563" t="str">
        <x:v>PC-PE-KG01-L25-20251024-PM-ORD-2025-00162-S08</x:v>
      </x:c>
      <x:c r="C2563" t="str">
        <x:v>PE-KG01-L25-20251024-PM-ORD-2025-00162</x:v>
      </x:c>
      <x:c r="D2563" t="str">
        <x:v>KG01</x:v>
      </x:c>
      <x:c r="E2563" s="62" t="n">
        <x:v>45954</x:v>
      </x:c>
      <x:c r="F2563" t="str">
        <x:v>PM</x:v>
      </x:c>
      <x:c r="G2563" t="str">
        <x:v>B</x:v>
      </x:c>
      <x:c r="H2563" t="n">
        <x:v>25</x:v>
      </x:c>
      <x:c r="I2563" t="str">
        <x:v>ORD-2025-00162</x:v>
      </x:c>
      <x:c r="J2563" t="n">
        <x:v>8</x:v>
      </x:c>
      <x:c r="K2563" t="n">
        <x:v>3</x:v>
      </x:c>
      <x:c r="L2563" t="str">
        <x:v>L25-S08-C3</x:v>
      </x:c>
      <x:c r="M2563" t="n">
        <x:v>1</x:v>
      </x:c>
      <x:c r="N2563" t="str">
        <x:v>DerivedFromCount</x:v>
      </x:c>
      <x:c r="O2563" t="str">
        <x:v>PLC-PRD-JAR-330-L25</x:v>
      </x:c>
      <x:c r="P2563" t="str">
        <x:v>OK</x:v>
      </x:c>
      <x:c r="Q2563" t="str">
        <x:v>OK</x:v>
      </x:c>
      <x:c r="R2563" t="str">
        <x:v>OK</x:v>
      </x:c>
      <x:c r="S2563" t="str">
        <x:v>OK</x:v>
      </x:c>
      <x:c r="T2563" t="n">
        <x:v>24</x:v>
      </x:c>
      <x:c r="U2563" t="str">
        <x:v>OK</x:v>
      </x:c>
      <x:c r="V2563" t="str">
        <x:v>OK</x:v>
      </x:c>
      <x:c r="W2563" t="str">
        <x:v>LOAD</x:v>
      </x:c>
      <x:c r="X2563" t="str">
        <x:v>02_Supervisor_Log(4).xlsx</x:v>
      </x:c>
      <x:c r="Y2563" t="str">
        <x:v>ENH-20260830-01</x:v>
      </x:c>
      <x:c r="Z2563" t="str">
        <x:v>Active</x:v>
      </x:c>
      <x:c r="AA2563"/>
      <x:c r="AB2563"/>
      <x:c r="AC2563"/>
      <x:c r="AD2563"/>
    </x:row>
    <x:row r="2564">
      <x:c r="A2564" t="str">
        <x:v>PCC-PE-KG01-L25-20251024-PM-ORD-2025-00162-S09-C1</x:v>
      </x:c>
      <x:c r="B2564" t="str">
        <x:v>PC-PE-KG01-L25-20251024-PM-ORD-2025-00162-S09</x:v>
      </x:c>
      <x:c r="C2564" t="str">
        <x:v>PE-KG01-L25-20251024-PM-ORD-2025-00162</x:v>
      </x:c>
      <x:c r="D2564" t="str">
        <x:v>KG01</x:v>
      </x:c>
      <x:c r="E2564" s="62" t="n">
        <x:v>45954</x:v>
      </x:c>
      <x:c r="F2564" t="str">
        <x:v>PM</x:v>
      </x:c>
      <x:c r="G2564" t="str">
        <x:v>B</x:v>
      </x:c>
      <x:c r="H2564" t="n">
        <x:v>25</x:v>
      </x:c>
      <x:c r="I2564" t="str">
        <x:v>ORD-2025-00162</x:v>
      </x:c>
      <x:c r="J2564" t="n">
        <x:v>9</x:v>
      </x:c>
      <x:c r="K2564" t="n">
        <x:v>1</x:v>
      </x:c>
      <x:c r="L2564" t="str">
        <x:v>L25-S09-C1</x:v>
      </x:c>
      <x:c r="M2564" t="n">
        <x:v>0</x:v>
      </x:c>
      <x:c r="N2564" t="str">
        <x:v>DerivedFromCount</x:v>
      </x:c>
      <x:c r="O2564" t="str">
        <x:v>PLC-PRD-JAR-330-L25</x:v>
      </x:c>
      <x:c r="P2564" t="str">
        <x:v>OK</x:v>
      </x:c>
      <x:c r="Q2564" t="str">
        <x:v>OK</x:v>
      </x:c>
      <x:c r="R2564" t="str">
        <x:v>OK</x:v>
      </x:c>
      <x:c r="S2564" t="str">
        <x:v>OK</x:v>
      </x:c>
      <x:c r="T2564" t="n">
        <x:v>24</x:v>
      </x:c>
      <x:c r="U2564" t="str">
        <x:v>OK</x:v>
      </x:c>
      <x:c r="V2564" t="str">
        <x:v>OK</x:v>
      </x:c>
      <x:c r="W2564" t="str">
        <x:v>LOAD</x:v>
      </x:c>
      <x:c r="X2564" t="str">
        <x:v>02_Supervisor_Log(4).xlsx</x:v>
      </x:c>
      <x:c r="Y2564" t="str">
        <x:v>ENH-20260830-01</x:v>
      </x:c>
      <x:c r="Z2564" t="str">
        <x:v>Active</x:v>
      </x:c>
      <x:c r="AA2564"/>
      <x:c r="AB2564"/>
      <x:c r="AC2564"/>
      <x:c r="AD2564"/>
    </x:row>
    <x:row r="2565">
      <x:c r="A2565" t="str">
        <x:v>PCC-PE-KG01-L25-20251024-PM-ORD-2025-00162-S09-C2</x:v>
      </x:c>
      <x:c r="B2565" t="str">
        <x:v>PC-PE-KG01-L25-20251024-PM-ORD-2025-00162-S09</x:v>
      </x:c>
      <x:c r="C2565" t="str">
        <x:v>PE-KG01-L25-20251024-PM-ORD-2025-00162</x:v>
      </x:c>
      <x:c r="D2565" t="str">
        <x:v>KG01</x:v>
      </x:c>
      <x:c r="E2565" s="62" t="n">
        <x:v>45954</x:v>
      </x:c>
      <x:c r="F2565" t="str">
        <x:v>PM</x:v>
      </x:c>
      <x:c r="G2565" t="str">
        <x:v>B</x:v>
      </x:c>
      <x:c r="H2565" t="n">
        <x:v>25</x:v>
      </x:c>
      <x:c r="I2565" t="str">
        <x:v>ORD-2025-00162</x:v>
      </x:c>
      <x:c r="J2565" t="n">
        <x:v>9</x:v>
      </x:c>
      <x:c r="K2565" t="n">
        <x:v>2</x:v>
      </x:c>
      <x:c r="L2565" t="str">
        <x:v>L25-S09-C2</x:v>
      </x:c>
      <x:c r="M2565" t="n">
        <x:v>0</x:v>
      </x:c>
      <x:c r="N2565" t="str">
        <x:v>DerivedFromCount</x:v>
      </x:c>
      <x:c r="O2565" t="str">
        <x:v>PLC-PRD-JAR-330-L25</x:v>
      </x:c>
      <x:c r="P2565" t="str">
        <x:v>OK</x:v>
      </x:c>
      <x:c r="Q2565" t="str">
        <x:v>OK</x:v>
      </x:c>
      <x:c r="R2565" t="str">
        <x:v>OK</x:v>
      </x:c>
      <x:c r="S2565" t="str">
        <x:v>OK</x:v>
      </x:c>
      <x:c r="T2565" t="n">
        <x:v>24</x:v>
      </x:c>
      <x:c r="U2565" t="str">
        <x:v>OK</x:v>
      </x:c>
      <x:c r="V2565" t="str">
        <x:v>OK</x:v>
      </x:c>
      <x:c r="W2565" t="str">
        <x:v>LOAD</x:v>
      </x:c>
      <x:c r="X2565" t="str">
        <x:v>02_Supervisor_Log(4).xlsx</x:v>
      </x:c>
      <x:c r="Y2565" t="str">
        <x:v>ENH-20260830-01</x:v>
      </x:c>
      <x:c r="Z2565" t="str">
        <x:v>Active</x:v>
      </x:c>
      <x:c r="AA2565"/>
      <x:c r="AB2565"/>
      <x:c r="AC2565"/>
      <x:c r="AD2565"/>
    </x:row>
    <x:row r="2566">
      <x:c r="A2566" t="str">
        <x:v>PCC-PE-KG01-L25-20251024-PM-ORD-2025-00162-S09-C3</x:v>
      </x:c>
      <x:c r="B2566" t="str">
        <x:v>PC-PE-KG01-L25-20251024-PM-ORD-2025-00162-S09</x:v>
      </x:c>
      <x:c r="C2566" t="str">
        <x:v>PE-KG01-L25-20251024-PM-ORD-2025-00162</x:v>
      </x:c>
      <x:c r="D2566" t="str">
        <x:v>KG01</x:v>
      </x:c>
      <x:c r="E2566" s="62" t="n">
        <x:v>45954</x:v>
      </x:c>
      <x:c r="F2566" t="str">
        <x:v>PM</x:v>
      </x:c>
      <x:c r="G2566" t="str">
        <x:v>B</x:v>
      </x:c>
      <x:c r="H2566" t="n">
        <x:v>25</x:v>
      </x:c>
      <x:c r="I2566" t="str">
        <x:v>ORD-2025-00162</x:v>
      </x:c>
      <x:c r="J2566" t="n">
        <x:v>9</x:v>
      </x:c>
      <x:c r="K2566" t="n">
        <x:v>3</x:v>
      </x:c>
      <x:c r="L2566" t="str">
        <x:v>L25-S09-C3</x:v>
      </x:c>
      <x:c r="M2566" t="n">
        <x:v>0</x:v>
      </x:c>
      <x:c r="N2566" t="str">
        <x:v>DerivedFromCount</x:v>
      </x:c>
      <x:c r="O2566" t="str">
        <x:v>PLC-PRD-JAR-330-L25</x:v>
      </x:c>
      <x:c r="P2566" t="str">
        <x:v>OK</x:v>
      </x:c>
      <x:c r="Q2566" t="str">
        <x:v>OK</x:v>
      </x:c>
      <x:c r="R2566" t="str">
        <x:v>OK</x:v>
      </x:c>
      <x:c r="S2566" t="str">
        <x:v>OK</x:v>
      </x:c>
      <x:c r="T2566" t="n">
        <x:v>24</x:v>
      </x:c>
      <x:c r="U2566" t="str">
        <x:v>OK</x:v>
      </x:c>
      <x:c r="V2566" t="str">
        <x:v>OK</x:v>
      </x:c>
      <x:c r="W2566" t="str">
        <x:v>LOAD</x:v>
      </x:c>
      <x:c r="X2566" t="str">
        <x:v>02_Supervisor_Log(4).xlsx</x:v>
      </x:c>
      <x:c r="Y2566" t="str">
        <x:v>ENH-20260830-01</x:v>
      </x:c>
      <x:c r="Z2566" t="str">
        <x:v>Active</x:v>
      </x:c>
      <x:c r="AA2566"/>
      <x:c r="AB2566"/>
      <x:c r="AC2566"/>
      <x:c r="AD2566"/>
    </x:row>
    <x:row r="2567">
      <x:c r="A2567" t="str">
        <x:v>PCC-PE-KG01-L25-20251024-PM-ORD-2025-00162-S10-C1</x:v>
      </x:c>
      <x:c r="B2567" t="str">
        <x:v>PC-PE-KG01-L25-20251024-PM-ORD-2025-00162-S10</x:v>
      </x:c>
      <x:c r="C2567" t="str">
        <x:v>PE-KG01-L25-20251024-PM-ORD-2025-00162</x:v>
      </x:c>
      <x:c r="D2567" t="str">
        <x:v>KG01</x:v>
      </x:c>
      <x:c r="E2567" s="62" t="n">
        <x:v>45954</x:v>
      </x:c>
      <x:c r="F2567" t="str">
        <x:v>PM</x:v>
      </x:c>
      <x:c r="G2567" t="str">
        <x:v>B</x:v>
      </x:c>
      <x:c r="H2567" t="n">
        <x:v>25</x:v>
      </x:c>
      <x:c r="I2567" t="str">
        <x:v>ORD-2025-00162</x:v>
      </x:c>
      <x:c r="J2567" t="n">
        <x:v>10</x:v>
      </x:c>
      <x:c r="K2567" t="n">
        <x:v>1</x:v>
      </x:c>
      <x:c r="L2567" t="str">
        <x:v>L25-S10-C1</x:v>
      </x:c>
      <x:c r="M2567" t="n">
        <x:v>0</x:v>
      </x:c>
      <x:c r="N2567" t="str">
        <x:v>DerivedFromCount</x:v>
      </x:c>
      <x:c r="O2567" t="str">
        <x:v>PLC-PRD-JAR-330-L25</x:v>
      </x:c>
      <x:c r="P2567" t="str">
        <x:v>OK</x:v>
      </x:c>
      <x:c r="Q2567" t="str">
        <x:v>OK</x:v>
      </x:c>
      <x:c r="R2567" t="str">
        <x:v>OK</x:v>
      </x:c>
      <x:c r="S2567" t="str">
        <x:v>OK</x:v>
      </x:c>
      <x:c r="T2567" t="n">
        <x:v>24</x:v>
      </x:c>
      <x:c r="U2567" t="str">
        <x:v>OK</x:v>
      </x:c>
      <x:c r="V2567" t="str">
        <x:v>OK</x:v>
      </x:c>
      <x:c r="W2567" t="str">
        <x:v>LOAD</x:v>
      </x:c>
      <x:c r="X2567" t="str">
        <x:v>02_Supervisor_Log(4).xlsx</x:v>
      </x:c>
      <x:c r="Y2567" t="str">
        <x:v>ENH-20260830-01</x:v>
      </x:c>
      <x:c r="Z2567" t="str">
        <x:v>Active</x:v>
      </x:c>
      <x:c r="AA2567"/>
      <x:c r="AB2567"/>
      <x:c r="AC2567"/>
      <x:c r="AD2567"/>
    </x:row>
    <x:row r="2568">
      <x:c r="A2568" t="str">
        <x:v>PCC-PE-KG01-L25-20251024-PM-ORD-2025-00162-S10-C2</x:v>
      </x:c>
      <x:c r="B2568" t="str">
        <x:v>PC-PE-KG01-L25-20251024-PM-ORD-2025-00162-S10</x:v>
      </x:c>
      <x:c r="C2568" t="str">
        <x:v>PE-KG01-L25-20251024-PM-ORD-2025-00162</x:v>
      </x:c>
      <x:c r="D2568" t="str">
        <x:v>KG01</x:v>
      </x:c>
      <x:c r="E2568" s="62" t="n">
        <x:v>45954</x:v>
      </x:c>
      <x:c r="F2568" t="str">
        <x:v>PM</x:v>
      </x:c>
      <x:c r="G2568" t="str">
        <x:v>B</x:v>
      </x:c>
      <x:c r="H2568" t="n">
        <x:v>25</x:v>
      </x:c>
      <x:c r="I2568" t="str">
        <x:v>ORD-2025-00162</x:v>
      </x:c>
      <x:c r="J2568" t="n">
        <x:v>10</x:v>
      </x:c>
      <x:c r="K2568" t="n">
        <x:v>2</x:v>
      </x:c>
      <x:c r="L2568" t="str">
        <x:v>L25-S10-C2</x:v>
      </x:c>
      <x:c r="M2568" t="n">
        <x:v>0</x:v>
      </x:c>
      <x:c r="N2568" t="str">
        <x:v>DerivedFromCount</x:v>
      </x:c>
      <x:c r="O2568" t="str">
        <x:v>PLC-PRD-JAR-330-L25</x:v>
      </x:c>
      <x:c r="P2568" t="str">
        <x:v>OK</x:v>
      </x:c>
      <x:c r="Q2568" t="str">
        <x:v>OK</x:v>
      </x:c>
      <x:c r="R2568" t="str">
        <x:v>OK</x:v>
      </x:c>
      <x:c r="S2568" t="str">
        <x:v>OK</x:v>
      </x:c>
      <x:c r="T2568" t="n">
        <x:v>24</x:v>
      </x:c>
      <x:c r="U2568" t="str">
        <x:v>OK</x:v>
      </x:c>
      <x:c r="V2568" t="str">
        <x:v>OK</x:v>
      </x:c>
      <x:c r="W2568" t="str">
        <x:v>LOAD</x:v>
      </x:c>
      <x:c r="X2568" t="str">
        <x:v>02_Supervisor_Log(4).xlsx</x:v>
      </x:c>
      <x:c r="Y2568" t="str">
        <x:v>ENH-20260830-01</x:v>
      </x:c>
      <x:c r="Z2568" t="str">
        <x:v>Active</x:v>
      </x:c>
      <x:c r="AA2568"/>
      <x:c r="AB2568"/>
      <x:c r="AC2568"/>
      <x:c r="AD2568"/>
    </x:row>
    <x:row r="2569">
      <x:c r="A2569" t="str">
        <x:v>PCC-PE-KG01-L25-20251024-PM-ORD-2025-00162-S10-C3</x:v>
      </x:c>
      <x:c r="B2569" t="str">
        <x:v>PC-PE-KG01-L25-20251024-PM-ORD-2025-00162-S10</x:v>
      </x:c>
      <x:c r="C2569" t="str">
        <x:v>PE-KG01-L25-20251024-PM-ORD-2025-00162</x:v>
      </x:c>
      <x:c r="D2569" t="str">
        <x:v>KG01</x:v>
      </x:c>
      <x:c r="E2569" s="62" t="n">
        <x:v>45954</x:v>
      </x:c>
      <x:c r="F2569" t="str">
        <x:v>PM</x:v>
      </x:c>
      <x:c r="G2569" t="str">
        <x:v>B</x:v>
      </x:c>
      <x:c r="H2569" t="n">
        <x:v>25</x:v>
      </x:c>
      <x:c r="I2569" t="str">
        <x:v>ORD-2025-00162</x:v>
      </x:c>
      <x:c r="J2569" t="n">
        <x:v>10</x:v>
      </x:c>
      <x:c r="K2569" t="n">
        <x:v>3</x:v>
      </x:c>
      <x:c r="L2569" t="str">
        <x:v>L25-S10-C3</x:v>
      </x:c>
      <x:c r="M2569" t="n">
        <x:v>0</x:v>
      </x:c>
      <x:c r="N2569" t="str">
        <x:v>DerivedFromCount</x:v>
      </x:c>
      <x:c r="O2569" t="str">
        <x:v>PLC-PRD-JAR-330-L25</x:v>
      </x:c>
      <x:c r="P2569" t="str">
        <x:v>OK</x:v>
      </x:c>
      <x:c r="Q2569" t="str">
        <x:v>OK</x:v>
      </x:c>
      <x:c r="R2569" t="str">
        <x:v>OK</x:v>
      </x:c>
      <x:c r="S2569" t="str">
        <x:v>OK</x:v>
      </x:c>
      <x:c r="T2569" t="n">
        <x:v>24</x:v>
      </x:c>
      <x:c r="U2569" t="str">
        <x:v>OK</x:v>
      </x:c>
      <x:c r="V2569" t="str">
        <x:v>OK</x:v>
      </x:c>
      <x:c r="W2569" t="str">
        <x:v>LOAD</x:v>
      </x:c>
      <x:c r="X2569" t="str">
        <x:v>02_Supervisor_Log(4).xlsx</x:v>
      </x:c>
      <x:c r="Y2569" t="str">
        <x:v>ENH-20260830-01</x:v>
      </x:c>
      <x:c r="Z2569" t="str">
        <x:v>Active</x:v>
      </x:c>
      <x:c r="AA2569"/>
      <x:c r="AB2569"/>
      <x:c r="AC2569"/>
      <x:c r="AD2569"/>
    </x:row>
    <x:row r="2570">
      <x:c r="A2570" t="str">
        <x:v>PCC-PE-KG01-L25-20251024-PM-ORD-2025-00162-S11-C1</x:v>
      </x:c>
      <x:c r="B2570" t="str">
        <x:v>PC-PE-KG01-L25-20251024-PM-ORD-2025-00162-S11</x:v>
      </x:c>
      <x:c r="C2570" t="str">
        <x:v>PE-KG01-L25-20251024-PM-ORD-2025-00162</x:v>
      </x:c>
      <x:c r="D2570" t="str">
        <x:v>KG01</x:v>
      </x:c>
      <x:c r="E2570" s="62" t="n">
        <x:v>45954</x:v>
      </x:c>
      <x:c r="F2570" t="str">
        <x:v>PM</x:v>
      </x:c>
      <x:c r="G2570" t="str">
        <x:v>B</x:v>
      </x:c>
      <x:c r="H2570" t="n">
        <x:v>25</x:v>
      </x:c>
      <x:c r="I2570" t="str">
        <x:v>ORD-2025-00162</x:v>
      </x:c>
      <x:c r="J2570" t="n">
        <x:v>11</x:v>
      </x:c>
      <x:c r="K2570" t="n">
        <x:v>1</x:v>
      </x:c>
      <x:c r="L2570" t="str">
        <x:v>L25-S11-C1</x:v>
      </x:c>
      <x:c r="M2570" t="n">
        <x:v>0</x:v>
      </x:c>
      <x:c r="N2570" t="str">
        <x:v>DerivedFromCount</x:v>
      </x:c>
      <x:c r="O2570" t="str">
        <x:v>PLC-PRD-JAR-330-L25</x:v>
      </x:c>
      <x:c r="P2570" t="str">
        <x:v>OK</x:v>
      </x:c>
      <x:c r="Q2570" t="str">
        <x:v>OK</x:v>
      </x:c>
      <x:c r="R2570" t="str">
        <x:v>OK</x:v>
      </x:c>
      <x:c r="S2570" t="str">
        <x:v>OK</x:v>
      </x:c>
      <x:c r="T2570" t="n">
        <x:v>24</x:v>
      </x:c>
      <x:c r="U2570" t="str">
        <x:v>OK</x:v>
      </x:c>
      <x:c r="V2570" t="str">
        <x:v>OK</x:v>
      </x:c>
      <x:c r="W2570" t="str">
        <x:v>LOAD</x:v>
      </x:c>
      <x:c r="X2570" t="str">
        <x:v>02_Supervisor_Log(4).xlsx</x:v>
      </x:c>
      <x:c r="Y2570" t="str">
        <x:v>ENH-20260830-01</x:v>
      </x:c>
      <x:c r="Z2570" t="str">
        <x:v>Active</x:v>
      </x:c>
      <x:c r="AA2570"/>
      <x:c r="AB2570"/>
      <x:c r="AC2570"/>
      <x:c r="AD2570"/>
    </x:row>
    <x:row r="2571">
      <x:c r="A2571" t="str">
        <x:v>PCC-PE-KG01-L25-20251024-PM-ORD-2025-00162-S11-C2</x:v>
      </x:c>
      <x:c r="B2571" t="str">
        <x:v>PC-PE-KG01-L25-20251024-PM-ORD-2025-00162-S11</x:v>
      </x:c>
      <x:c r="C2571" t="str">
        <x:v>PE-KG01-L25-20251024-PM-ORD-2025-00162</x:v>
      </x:c>
      <x:c r="D2571" t="str">
        <x:v>KG01</x:v>
      </x:c>
      <x:c r="E2571" s="62" t="n">
        <x:v>45954</x:v>
      </x:c>
      <x:c r="F2571" t="str">
        <x:v>PM</x:v>
      </x:c>
      <x:c r="G2571" t="str">
        <x:v>B</x:v>
      </x:c>
      <x:c r="H2571" t="n">
        <x:v>25</x:v>
      </x:c>
      <x:c r="I2571" t="str">
        <x:v>ORD-2025-00162</x:v>
      </x:c>
      <x:c r="J2571" t="n">
        <x:v>11</x:v>
      </x:c>
      <x:c r="K2571" t="n">
        <x:v>2</x:v>
      </x:c>
      <x:c r="L2571" t="str">
        <x:v>L25-S11-C2</x:v>
      </x:c>
      <x:c r="M2571" t="n">
        <x:v>0</x:v>
      </x:c>
      <x:c r="N2571" t="str">
        <x:v>DerivedFromCount</x:v>
      </x:c>
      <x:c r="O2571" t="str">
        <x:v>PLC-PRD-JAR-330-L25</x:v>
      </x:c>
      <x:c r="P2571" t="str">
        <x:v>OK</x:v>
      </x:c>
      <x:c r="Q2571" t="str">
        <x:v>OK</x:v>
      </x:c>
      <x:c r="R2571" t="str">
        <x:v>OK</x:v>
      </x:c>
      <x:c r="S2571" t="str">
        <x:v>OK</x:v>
      </x:c>
      <x:c r="T2571" t="n">
        <x:v>24</x:v>
      </x:c>
      <x:c r="U2571" t="str">
        <x:v>OK</x:v>
      </x:c>
      <x:c r="V2571" t="str">
        <x:v>OK</x:v>
      </x:c>
      <x:c r="W2571" t="str">
        <x:v>LOAD</x:v>
      </x:c>
      <x:c r="X2571" t="str">
        <x:v>02_Supervisor_Log(4).xlsx</x:v>
      </x:c>
      <x:c r="Y2571" t="str">
        <x:v>ENH-20260830-01</x:v>
      </x:c>
      <x:c r="Z2571" t="str">
        <x:v>Active</x:v>
      </x:c>
      <x:c r="AA2571"/>
      <x:c r="AB2571"/>
      <x:c r="AC2571"/>
      <x:c r="AD2571"/>
    </x:row>
    <x:row r="2572">
      <x:c r="A2572" t="str">
        <x:v>PCC-PE-KG01-L25-20251024-PM-ORD-2025-00162-S11-C3</x:v>
      </x:c>
      <x:c r="B2572" t="str">
        <x:v>PC-PE-KG01-L25-20251024-PM-ORD-2025-00162-S11</x:v>
      </x:c>
      <x:c r="C2572" t="str">
        <x:v>PE-KG01-L25-20251024-PM-ORD-2025-00162</x:v>
      </x:c>
      <x:c r="D2572" t="str">
        <x:v>KG01</x:v>
      </x:c>
      <x:c r="E2572" s="62" t="n">
        <x:v>45954</x:v>
      </x:c>
      <x:c r="F2572" t="str">
        <x:v>PM</x:v>
      </x:c>
      <x:c r="G2572" t="str">
        <x:v>B</x:v>
      </x:c>
      <x:c r="H2572" t="n">
        <x:v>25</x:v>
      </x:c>
      <x:c r="I2572" t="str">
        <x:v>ORD-2025-00162</x:v>
      </x:c>
      <x:c r="J2572" t="n">
        <x:v>11</x:v>
      </x:c>
      <x:c r="K2572" t="n">
        <x:v>3</x:v>
      </x:c>
      <x:c r="L2572" t="str">
        <x:v>L25-S11-C3</x:v>
      </x:c>
      <x:c r="M2572" t="n">
        <x:v>0</x:v>
      </x:c>
      <x:c r="N2572" t="str">
        <x:v>DerivedFromCount</x:v>
      </x:c>
      <x:c r="O2572" t="str">
        <x:v>PLC-PRD-JAR-330-L25</x:v>
      </x:c>
      <x:c r="P2572" t="str">
        <x:v>OK</x:v>
      </x:c>
      <x:c r="Q2572" t="str">
        <x:v>OK</x:v>
      </x:c>
      <x:c r="R2572" t="str">
        <x:v>OK</x:v>
      </x:c>
      <x:c r="S2572" t="str">
        <x:v>OK</x:v>
      </x:c>
      <x:c r="T2572" t="n">
        <x:v>24</x:v>
      </x:c>
      <x:c r="U2572" t="str">
        <x:v>OK</x:v>
      </x:c>
      <x:c r="V2572" t="str">
        <x:v>OK</x:v>
      </x:c>
      <x:c r="W2572" t="str">
        <x:v>LOAD</x:v>
      </x:c>
      <x:c r="X2572" t="str">
        <x:v>02_Supervisor_Log(4).xlsx</x:v>
      </x:c>
      <x:c r="Y2572" t="str">
        <x:v>ENH-20260830-01</x:v>
      </x:c>
      <x:c r="Z2572" t="str">
        <x:v>Active</x:v>
      </x:c>
      <x:c r="AA2572"/>
      <x:c r="AB2572"/>
      <x:c r="AC2572"/>
      <x:c r="AD2572"/>
    </x:row>
    <x:row r="2573">
      <x:c r="A2573" t="str">
        <x:v>PCC-PE-KG01-L25-20251024-PM-ORD-2025-00162-S12-C1</x:v>
      </x:c>
      <x:c r="B2573" t="str">
        <x:v>PC-PE-KG01-L25-20251024-PM-ORD-2025-00162-S12</x:v>
      </x:c>
      <x:c r="C2573" t="str">
        <x:v>PE-KG01-L25-20251024-PM-ORD-2025-00162</x:v>
      </x:c>
      <x:c r="D2573" t="str">
        <x:v>KG01</x:v>
      </x:c>
      <x:c r="E2573" s="62" t="n">
        <x:v>45954</x:v>
      </x:c>
      <x:c r="F2573" t="str">
        <x:v>PM</x:v>
      </x:c>
      <x:c r="G2573" t="str">
        <x:v>B</x:v>
      </x:c>
      <x:c r="H2573" t="n">
        <x:v>25</x:v>
      </x:c>
      <x:c r="I2573" t="str">
        <x:v>ORD-2025-00162</x:v>
      </x:c>
      <x:c r="J2573" t="n">
        <x:v>12</x:v>
      </x:c>
      <x:c r="K2573" t="n">
        <x:v>1</x:v>
      </x:c>
      <x:c r="L2573" t="str">
        <x:v>L25-S12-C1</x:v>
      </x:c>
      <x:c r="M2573" t="n">
        <x:v>0</x:v>
      </x:c>
      <x:c r="N2573" t="str">
        <x:v>DerivedFromCount</x:v>
      </x:c>
      <x:c r="O2573" t="str">
        <x:v>PLC-PRD-JAR-330-L25</x:v>
      </x:c>
      <x:c r="P2573" t="str">
        <x:v>OK</x:v>
      </x:c>
      <x:c r="Q2573" t="str">
        <x:v>OK</x:v>
      </x:c>
      <x:c r="R2573" t="str">
        <x:v>OK</x:v>
      </x:c>
      <x:c r="S2573" t="str">
        <x:v>OK</x:v>
      </x:c>
      <x:c r="T2573" t="n">
        <x:v>24</x:v>
      </x:c>
      <x:c r="U2573" t="str">
        <x:v>OK</x:v>
      </x:c>
      <x:c r="V2573" t="str">
        <x:v>OK</x:v>
      </x:c>
      <x:c r="W2573" t="str">
        <x:v>LOAD</x:v>
      </x:c>
      <x:c r="X2573" t="str">
        <x:v>02_Supervisor_Log(4).xlsx</x:v>
      </x:c>
      <x:c r="Y2573" t="str">
        <x:v>ENH-20260830-01</x:v>
      </x:c>
      <x:c r="Z2573" t="str">
        <x:v>Active</x:v>
      </x:c>
      <x:c r="AA2573"/>
      <x:c r="AB2573"/>
      <x:c r="AC2573"/>
      <x:c r="AD2573"/>
    </x:row>
    <x:row r="2574">
      <x:c r="A2574" t="str">
        <x:v>PCC-PE-KG01-L25-20251024-PM-ORD-2025-00162-S12-C2</x:v>
      </x:c>
      <x:c r="B2574" t="str">
        <x:v>PC-PE-KG01-L25-20251024-PM-ORD-2025-00162-S12</x:v>
      </x:c>
      <x:c r="C2574" t="str">
        <x:v>PE-KG01-L25-20251024-PM-ORD-2025-00162</x:v>
      </x:c>
      <x:c r="D2574" t="str">
        <x:v>KG01</x:v>
      </x:c>
      <x:c r="E2574" s="62" t="n">
        <x:v>45954</x:v>
      </x:c>
      <x:c r="F2574" t="str">
        <x:v>PM</x:v>
      </x:c>
      <x:c r="G2574" t="str">
        <x:v>B</x:v>
      </x:c>
      <x:c r="H2574" t="n">
        <x:v>25</x:v>
      </x:c>
      <x:c r="I2574" t="str">
        <x:v>ORD-2025-00162</x:v>
      </x:c>
      <x:c r="J2574" t="n">
        <x:v>12</x:v>
      </x:c>
      <x:c r="K2574" t="n">
        <x:v>2</x:v>
      </x:c>
      <x:c r="L2574" t="str">
        <x:v>L25-S12-C2</x:v>
      </x:c>
      <x:c r="M2574" t="n">
        <x:v>0</x:v>
      </x:c>
      <x:c r="N2574" t="str">
        <x:v>DerivedFromCount</x:v>
      </x:c>
      <x:c r="O2574" t="str">
        <x:v>PLC-PRD-JAR-330-L25</x:v>
      </x:c>
      <x:c r="P2574" t="str">
        <x:v>OK</x:v>
      </x:c>
      <x:c r="Q2574" t="str">
        <x:v>OK</x:v>
      </x:c>
      <x:c r="R2574" t="str">
        <x:v>OK</x:v>
      </x:c>
      <x:c r="S2574" t="str">
        <x:v>OK</x:v>
      </x:c>
      <x:c r="T2574" t="n">
        <x:v>24</x:v>
      </x:c>
      <x:c r="U2574" t="str">
        <x:v>OK</x:v>
      </x:c>
      <x:c r="V2574" t="str">
        <x:v>OK</x:v>
      </x:c>
      <x:c r="W2574" t="str">
        <x:v>LOAD</x:v>
      </x:c>
      <x:c r="X2574" t="str">
        <x:v>02_Supervisor_Log(4).xlsx</x:v>
      </x:c>
      <x:c r="Y2574" t="str">
        <x:v>ENH-20260830-01</x:v>
      </x:c>
      <x:c r="Z2574" t="str">
        <x:v>Active</x:v>
      </x:c>
      <x:c r="AA2574"/>
      <x:c r="AB2574"/>
      <x:c r="AC2574"/>
      <x:c r="AD2574"/>
    </x:row>
    <x:row r="2575">
      <x:c r="A2575" t="str">
        <x:v>PCC-PE-KG01-L25-20251024-PM-ORD-2025-00162-S12-C3</x:v>
      </x:c>
      <x:c r="B2575" t="str">
        <x:v>PC-PE-KG01-L25-20251024-PM-ORD-2025-00162-S12</x:v>
      </x:c>
      <x:c r="C2575" t="str">
        <x:v>PE-KG01-L25-20251024-PM-ORD-2025-00162</x:v>
      </x:c>
      <x:c r="D2575" t="str">
        <x:v>KG01</x:v>
      </x:c>
      <x:c r="E2575" s="62" t="n">
        <x:v>45954</x:v>
      </x:c>
      <x:c r="F2575" t="str">
        <x:v>PM</x:v>
      </x:c>
      <x:c r="G2575" t="str">
        <x:v>B</x:v>
      </x:c>
      <x:c r="H2575" t="n">
        <x:v>25</x:v>
      </x:c>
      <x:c r="I2575" t="str">
        <x:v>ORD-2025-00162</x:v>
      </x:c>
      <x:c r="J2575" t="n">
        <x:v>12</x:v>
      </x:c>
      <x:c r="K2575" t="n">
        <x:v>3</x:v>
      </x:c>
      <x:c r="L2575" t="str">
        <x:v>L25-S12-C3</x:v>
      </x:c>
      <x:c r="M2575" t="n">
        <x:v>0</x:v>
      </x:c>
      <x:c r="N2575" t="str">
        <x:v>DerivedFromCount</x:v>
      </x:c>
      <x:c r="O2575" t="str">
        <x:v>PLC-PRD-JAR-330-L25</x:v>
      </x:c>
      <x:c r="P2575" t="str">
        <x:v>OK</x:v>
      </x:c>
      <x:c r="Q2575" t="str">
        <x:v>OK</x:v>
      </x:c>
      <x:c r="R2575" t="str">
        <x:v>OK</x:v>
      </x:c>
      <x:c r="S2575" t="str">
        <x:v>OK</x:v>
      </x:c>
      <x:c r="T2575" t="n">
        <x:v>24</x:v>
      </x:c>
      <x:c r="U2575" t="str">
        <x:v>OK</x:v>
      </x:c>
      <x:c r="V2575" t="str">
        <x:v>OK</x:v>
      </x:c>
      <x:c r="W2575" t="str">
        <x:v>LOAD</x:v>
      </x:c>
      <x:c r="X2575" t="str">
        <x:v>02_Supervisor_Log(4).xlsx</x:v>
      </x:c>
      <x:c r="Y2575" t="str">
        <x:v>ENH-20260830-01</x:v>
      </x:c>
      <x:c r="Z2575" t="str">
        <x:v>Active</x:v>
      </x:c>
      <x:c r="AA2575"/>
      <x:c r="AB2575"/>
      <x:c r="AC2575"/>
      <x:c r="AD2575"/>
    </x:row>
    <x:row r="2576">
      <x:c r="A2576" t="str">
        <x:v>PCC-PE-KG01-L25-20251024-PM-ORD-2025-00162-S13-C1</x:v>
      </x:c>
      <x:c r="B2576" t="str">
        <x:v>PC-PE-KG01-L25-20251024-PM-ORD-2025-00162-S13</x:v>
      </x:c>
      <x:c r="C2576" t="str">
        <x:v>PE-KG01-L25-20251024-PM-ORD-2025-00162</x:v>
      </x:c>
      <x:c r="D2576" t="str">
        <x:v>KG01</x:v>
      </x:c>
      <x:c r="E2576" s="62" t="n">
        <x:v>45954</x:v>
      </x:c>
      <x:c r="F2576" t="str">
        <x:v>PM</x:v>
      </x:c>
      <x:c r="G2576" t="str">
        <x:v>B</x:v>
      </x:c>
      <x:c r="H2576" t="n">
        <x:v>25</x:v>
      </x:c>
      <x:c r="I2576" t="str">
        <x:v>ORD-2025-00162</x:v>
      </x:c>
      <x:c r="J2576" t="n">
        <x:v>13</x:v>
      </x:c>
      <x:c r="K2576" t="n">
        <x:v>1</x:v>
      </x:c>
      <x:c r="L2576" t="str">
        <x:v>L25-S13-C1</x:v>
      </x:c>
      <x:c r="M2576" t="n">
        <x:v>0</x:v>
      </x:c>
      <x:c r="N2576" t="str">
        <x:v>DerivedFromCount</x:v>
      </x:c>
      <x:c r="O2576" t="str">
        <x:v>PLC-PRD-JAR-330-L25</x:v>
      </x:c>
      <x:c r="P2576" t="str">
        <x:v>OK</x:v>
      </x:c>
      <x:c r="Q2576" t="str">
        <x:v>OK</x:v>
      </x:c>
      <x:c r="R2576" t="str">
        <x:v>OK</x:v>
      </x:c>
      <x:c r="S2576" t="str">
        <x:v>OK</x:v>
      </x:c>
      <x:c r="T2576" t="n">
        <x:v>24</x:v>
      </x:c>
      <x:c r="U2576" t="str">
        <x:v>OK</x:v>
      </x:c>
      <x:c r="V2576" t="str">
        <x:v>OK</x:v>
      </x:c>
      <x:c r="W2576" t="str">
        <x:v>LOAD</x:v>
      </x:c>
      <x:c r="X2576" t="str">
        <x:v>02_Supervisor_Log(4).xlsx</x:v>
      </x:c>
      <x:c r="Y2576" t="str">
        <x:v>ENH-20260830-01</x:v>
      </x:c>
      <x:c r="Z2576" t="str">
        <x:v>Active</x:v>
      </x:c>
      <x:c r="AA2576"/>
      <x:c r="AB2576"/>
      <x:c r="AC2576"/>
      <x:c r="AD2576"/>
    </x:row>
    <x:row r="2577">
      <x:c r="A2577" t="str">
        <x:v>PCC-PE-KG01-L25-20251024-PM-ORD-2025-00162-S13-C2</x:v>
      </x:c>
      <x:c r="B2577" t="str">
        <x:v>PC-PE-KG01-L25-20251024-PM-ORD-2025-00162-S13</x:v>
      </x:c>
      <x:c r="C2577" t="str">
        <x:v>PE-KG01-L25-20251024-PM-ORD-2025-00162</x:v>
      </x:c>
      <x:c r="D2577" t="str">
        <x:v>KG01</x:v>
      </x:c>
      <x:c r="E2577" s="62" t="n">
        <x:v>45954</x:v>
      </x:c>
      <x:c r="F2577" t="str">
        <x:v>PM</x:v>
      </x:c>
      <x:c r="G2577" t="str">
        <x:v>B</x:v>
      </x:c>
      <x:c r="H2577" t="n">
        <x:v>25</x:v>
      </x:c>
      <x:c r="I2577" t="str">
        <x:v>ORD-2025-00162</x:v>
      </x:c>
      <x:c r="J2577" t="n">
        <x:v>13</x:v>
      </x:c>
      <x:c r="K2577" t="n">
        <x:v>2</x:v>
      </x:c>
      <x:c r="L2577" t="str">
        <x:v>L25-S13-C2</x:v>
      </x:c>
      <x:c r="M2577" t="n">
        <x:v>0</x:v>
      </x:c>
      <x:c r="N2577" t="str">
        <x:v>DerivedFromCount</x:v>
      </x:c>
      <x:c r="O2577" t="str">
        <x:v>PLC-PRD-JAR-330-L25</x:v>
      </x:c>
      <x:c r="P2577" t="str">
        <x:v>OK</x:v>
      </x:c>
      <x:c r="Q2577" t="str">
        <x:v>OK</x:v>
      </x:c>
      <x:c r="R2577" t="str">
        <x:v>OK</x:v>
      </x:c>
      <x:c r="S2577" t="str">
        <x:v>OK</x:v>
      </x:c>
      <x:c r="T2577" t="n">
        <x:v>24</x:v>
      </x:c>
      <x:c r="U2577" t="str">
        <x:v>OK</x:v>
      </x:c>
      <x:c r="V2577" t="str">
        <x:v>OK</x:v>
      </x:c>
      <x:c r="W2577" t="str">
        <x:v>LOAD</x:v>
      </x:c>
      <x:c r="X2577" t="str">
        <x:v>02_Supervisor_Log(4).xlsx</x:v>
      </x:c>
      <x:c r="Y2577" t="str">
        <x:v>ENH-20260830-01</x:v>
      </x:c>
      <x:c r="Z2577" t="str">
        <x:v>Active</x:v>
      </x:c>
      <x:c r="AA2577"/>
      <x:c r="AB2577"/>
      <x:c r="AC2577"/>
      <x:c r="AD2577"/>
    </x:row>
    <x:row r="2578">
      <x:c r="A2578" t="str">
        <x:v>PCC-PE-KG01-L25-20251024-PM-ORD-2025-00162-S13-C3</x:v>
      </x:c>
      <x:c r="B2578" t="str">
        <x:v>PC-PE-KG01-L25-20251024-PM-ORD-2025-00162-S13</x:v>
      </x:c>
      <x:c r="C2578" t="str">
        <x:v>PE-KG01-L25-20251024-PM-ORD-2025-00162</x:v>
      </x:c>
      <x:c r="D2578" t="str">
        <x:v>KG01</x:v>
      </x:c>
      <x:c r="E2578" s="62" t="n">
        <x:v>45954</x:v>
      </x:c>
      <x:c r="F2578" t="str">
        <x:v>PM</x:v>
      </x:c>
      <x:c r="G2578" t="str">
        <x:v>B</x:v>
      </x:c>
      <x:c r="H2578" t="n">
        <x:v>25</x:v>
      </x:c>
      <x:c r="I2578" t="str">
        <x:v>ORD-2025-00162</x:v>
      </x:c>
      <x:c r="J2578" t="n">
        <x:v>13</x:v>
      </x:c>
      <x:c r="K2578" t="n">
        <x:v>3</x:v>
      </x:c>
      <x:c r="L2578" t="str">
        <x:v>L25-S13-C3</x:v>
      </x:c>
      <x:c r="M2578" t="n">
        <x:v>0</x:v>
      </x:c>
      <x:c r="N2578" t="str">
        <x:v>DerivedFromCount</x:v>
      </x:c>
      <x:c r="O2578" t="str">
        <x:v>PLC-PRD-JAR-330-L25</x:v>
      </x:c>
      <x:c r="P2578" t="str">
        <x:v>OK</x:v>
      </x:c>
      <x:c r="Q2578" t="str">
        <x:v>OK</x:v>
      </x:c>
      <x:c r="R2578" t="str">
        <x:v>OK</x:v>
      </x:c>
      <x:c r="S2578" t="str">
        <x:v>OK</x:v>
      </x:c>
      <x:c r="T2578" t="n">
        <x:v>24</x:v>
      </x:c>
      <x:c r="U2578" t="str">
        <x:v>OK</x:v>
      </x:c>
      <x:c r="V2578" t="str">
        <x:v>OK</x:v>
      </x:c>
      <x:c r="W2578" t="str">
        <x:v>LOAD</x:v>
      </x:c>
      <x:c r="X2578" t="str">
        <x:v>02_Supervisor_Log(4).xlsx</x:v>
      </x:c>
      <x:c r="Y2578" t="str">
        <x:v>ENH-20260830-01</x:v>
      </x:c>
      <x:c r="Z2578" t="str">
        <x:v>Active</x:v>
      </x:c>
      <x:c r="AA2578"/>
      <x:c r="AB2578"/>
      <x:c r="AC2578"/>
      <x:c r="AD2578"/>
    </x:row>
    <x:row r="2579">
      <x:c r="A2579" t="str">
        <x:v>PCC-PE-KG01-L25-20251025-AM-ORD-2025-00162-S01-C1</x:v>
      </x:c>
      <x:c r="B2579" t="str">
        <x:v>PC-PE-KG01-L25-20251025-AM-ORD-2025-00162-S01</x:v>
      </x:c>
      <x:c r="C2579" t="str">
        <x:v>PE-KG01-L25-20251025-AM-ORD-2025-00162</x:v>
      </x:c>
      <x:c r="D2579" t="str">
        <x:v>KG01</x:v>
      </x:c>
      <x:c r="E2579" s="62" t="n">
        <x:v>45955</x:v>
      </x:c>
      <x:c r="F2579" t="str">
        <x:v>AM</x:v>
      </x:c>
      <x:c r="G2579" t="str">
        <x:v>B</x:v>
      </x:c>
      <x:c r="H2579" t="n">
        <x:v>25</x:v>
      </x:c>
      <x:c r="I2579" t="str">
        <x:v>ORD-2025-00162</x:v>
      </x:c>
      <x:c r="J2579" t="n">
        <x:v>1</x:v>
      </x:c>
      <x:c r="K2579" t="n">
        <x:v>1</x:v>
      </x:c>
      <x:c r="L2579" t="str">
        <x:v>L25-S01-C1</x:v>
      </x:c>
      <x:c r="M2579" t="n">
        <x:v>1</x:v>
      </x:c>
      <x:c r="N2579" t="str">
        <x:v>DerivedFromCount</x:v>
      </x:c>
      <x:c r="O2579" t="str">
        <x:v>PLC-PRD-JAR-330-L25</x:v>
      </x:c>
      <x:c r="P2579" t="str">
        <x:v>OK</x:v>
      </x:c>
      <x:c r="Q2579" t="str">
        <x:v>OK</x:v>
      </x:c>
      <x:c r="R2579" t="str">
        <x:v>OK</x:v>
      </x:c>
      <x:c r="S2579" t="str">
        <x:v>OK</x:v>
      </x:c>
      <x:c r="T2579" t="n">
        <x:v>24</x:v>
      </x:c>
      <x:c r="U2579" t="str">
        <x:v>OK</x:v>
      </x:c>
      <x:c r="V2579" t="str">
        <x:v>OK</x:v>
      </x:c>
      <x:c r="W2579" t="str">
        <x:v>LOAD</x:v>
      </x:c>
      <x:c r="X2579" t="str">
        <x:v>02_Supervisor_Log(4).xlsx</x:v>
      </x:c>
      <x:c r="Y2579" t="str">
        <x:v>ENH-20260830-01</x:v>
      </x:c>
      <x:c r="Z2579" t="str">
        <x:v>Active</x:v>
      </x:c>
      <x:c r="AA2579"/>
      <x:c r="AB2579"/>
      <x:c r="AC2579"/>
      <x:c r="AD2579"/>
    </x:row>
    <x:row r="2580">
      <x:c r="A2580" t="str">
        <x:v>PCC-PE-KG01-L25-20251025-AM-ORD-2025-00162-S01-C2</x:v>
      </x:c>
      <x:c r="B2580" t="str">
        <x:v>PC-PE-KG01-L25-20251025-AM-ORD-2025-00162-S01</x:v>
      </x:c>
      <x:c r="C2580" t="str">
        <x:v>PE-KG01-L25-20251025-AM-ORD-2025-00162</x:v>
      </x:c>
      <x:c r="D2580" t="str">
        <x:v>KG01</x:v>
      </x:c>
      <x:c r="E2580" s="62" t="n">
        <x:v>45955</x:v>
      </x:c>
      <x:c r="F2580" t="str">
        <x:v>AM</x:v>
      </x:c>
      <x:c r="G2580" t="str">
        <x:v>B</x:v>
      </x:c>
      <x:c r="H2580" t="n">
        <x:v>25</x:v>
      </x:c>
      <x:c r="I2580" t="str">
        <x:v>ORD-2025-00162</x:v>
      </x:c>
      <x:c r="J2580" t="n">
        <x:v>1</x:v>
      </x:c>
      <x:c r="K2580" t="n">
        <x:v>2</x:v>
      </x:c>
      <x:c r="L2580" t="str">
        <x:v>L25-S01-C2</x:v>
      </x:c>
      <x:c r="M2580" t="n">
        <x:v>1</x:v>
      </x:c>
      <x:c r="N2580" t="str">
        <x:v>DerivedFromCount</x:v>
      </x:c>
      <x:c r="O2580" t="str">
        <x:v>PLC-PRD-JAR-330-L25</x:v>
      </x:c>
      <x:c r="P2580" t="str">
        <x:v>OK</x:v>
      </x:c>
      <x:c r="Q2580" t="str">
        <x:v>OK</x:v>
      </x:c>
      <x:c r="R2580" t="str">
        <x:v>OK</x:v>
      </x:c>
      <x:c r="S2580" t="str">
        <x:v>OK</x:v>
      </x:c>
      <x:c r="T2580" t="n">
        <x:v>24</x:v>
      </x:c>
      <x:c r="U2580" t="str">
        <x:v>OK</x:v>
      </x:c>
      <x:c r="V2580" t="str">
        <x:v>OK</x:v>
      </x:c>
      <x:c r="W2580" t="str">
        <x:v>LOAD</x:v>
      </x:c>
      <x:c r="X2580" t="str">
        <x:v>02_Supervisor_Log(4).xlsx</x:v>
      </x:c>
      <x:c r="Y2580" t="str">
        <x:v>ENH-20260830-01</x:v>
      </x:c>
      <x:c r="Z2580" t="str">
        <x:v>Active</x:v>
      </x:c>
      <x:c r="AA2580"/>
      <x:c r="AB2580"/>
      <x:c r="AC2580"/>
      <x:c r="AD2580"/>
    </x:row>
    <x:row r="2581">
      <x:c r="A2581" t="str">
        <x:v>PCC-PE-KG01-L25-20251025-AM-ORD-2025-00162-S01-C3</x:v>
      </x:c>
      <x:c r="B2581" t="str">
        <x:v>PC-PE-KG01-L25-20251025-AM-ORD-2025-00162-S01</x:v>
      </x:c>
      <x:c r="C2581" t="str">
        <x:v>PE-KG01-L25-20251025-AM-ORD-2025-00162</x:v>
      </x:c>
      <x:c r="D2581" t="str">
        <x:v>KG01</x:v>
      </x:c>
      <x:c r="E2581" s="62" t="n">
        <x:v>45955</x:v>
      </x:c>
      <x:c r="F2581" t="str">
        <x:v>AM</x:v>
      </x:c>
      <x:c r="G2581" t="str">
        <x:v>B</x:v>
      </x:c>
      <x:c r="H2581" t="n">
        <x:v>25</x:v>
      </x:c>
      <x:c r="I2581" t="str">
        <x:v>ORD-2025-00162</x:v>
      </x:c>
      <x:c r="J2581" t="n">
        <x:v>1</x:v>
      </x:c>
      <x:c r="K2581" t="n">
        <x:v>3</x:v>
      </x:c>
      <x:c r="L2581" t="str">
        <x:v>L25-S01-C3</x:v>
      </x:c>
      <x:c r="M2581" t="n">
        <x:v>1</x:v>
      </x:c>
      <x:c r="N2581" t="str">
        <x:v>DerivedFromCount</x:v>
      </x:c>
      <x:c r="O2581" t="str">
        <x:v>PLC-PRD-JAR-330-L25</x:v>
      </x:c>
      <x:c r="P2581" t="str">
        <x:v>OK</x:v>
      </x:c>
      <x:c r="Q2581" t="str">
        <x:v>OK</x:v>
      </x:c>
      <x:c r="R2581" t="str">
        <x:v>OK</x:v>
      </x:c>
      <x:c r="S2581" t="str">
        <x:v>OK</x:v>
      </x:c>
      <x:c r="T2581" t="n">
        <x:v>24</x:v>
      </x:c>
      <x:c r="U2581" t="str">
        <x:v>OK</x:v>
      </x:c>
      <x:c r="V2581" t="str">
        <x:v>OK</x:v>
      </x:c>
      <x:c r="W2581" t="str">
        <x:v>LOAD</x:v>
      </x:c>
      <x:c r="X2581" t="str">
        <x:v>02_Supervisor_Log(4).xlsx</x:v>
      </x:c>
      <x:c r="Y2581" t="str">
        <x:v>ENH-20260830-01</x:v>
      </x:c>
      <x:c r="Z2581" t="str">
        <x:v>Active</x:v>
      </x:c>
      <x:c r="AA2581"/>
      <x:c r="AB2581"/>
      <x:c r="AC2581"/>
      <x:c r="AD2581"/>
    </x:row>
    <x:row r="2582">
      <x:c r="A2582" t="str">
        <x:v>PCC-PE-KG01-L25-20251025-AM-ORD-2025-00162-S02-C1</x:v>
      </x:c>
      <x:c r="B2582" t="str">
        <x:v>PC-PE-KG01-L25-20251025-AM-ORD-2025-00162-S02</x:v>
      </x:c>
      <x:c r="C2582" t="str">
        <x:v>PE-KG01-L25-20251025-AM-ORD-2025-00162</x:v>
      </x:c>
      <x:c r="D2582" t="str">
        <x:v>KG01</x:v>
      </x:c>
      <x:c r="E2582" s="62" t="n">
        <x:v>45955</x:v>
      </x:c>
      <x:c r="F2582" t="str">
        <x:v>AM</x:v>
      </x:c>
      <x:c r="G2582" t="str">
        <x:v>B</x:v>
      </x:c>
      <x:c r="H2582" t="n">
        <x:v>25</x:v>
      </x:c>
      <x:c r="I2582" t="str">
        <x:v>ORD-2025-00162</x:v>
      </x:c>
      <x:c r="J2582" t="n">
        <x:v>2</x:v>
      </x:c>
      <x:c r="K2582" t="n">
        <x:v>1</x:v>
      </x:c>
      <x:c r="L2582" t="str">
        <x:v>L25-S02-C1</x:v>
      </x:c>
      <x:c r="M2582" t="n">
        <x:v>1</x:v>
      </x:c>
      <x:c r="N2582" t="str">
        <x:v>DerivedFromCount</x:v>
      </x:c>
      <x:c r="O2582" t="str">
        <x:v>PLC-PRD-JAR-330-L25</x:v>
      </x:c>
      <x:c r="P2582" t="str">
        <x:v>OK</x:v>
      </x:c>
      <x:c r="Q2582" t="str">
        <x:v>OK</x:v>
      </x:c>
      <x:c r="R2582" t="str">
        <x:v>OK</x:v>
      </x:c>
      <x:c r="S2582" t="str">
        <x:v>OK</x:v>
      </x:c>
      <x:c r="T2582" t="n">
        <x:v>24</x:v>
      </x:c>
      <x:c r="U2582" t="str">
        <x:v>OK</x:v>
      </x:c>
      <x:c r="V2582" t="str">
        <x:v>OK</x:v>
      </x:c>
      <x:c r="W2582" t="str">
        <x:v>LOAD</x:v>
      </x:c>
      <x:c r="X2582" t="str">
        <x:v>02_Supervisor_Log(4).xlsx</x:v>
      </x:c>
      <x:c r="Y2582" t="str">
        <x:v>ENH-20260830-01</x:v>
      </x:c>
      <x:c r="Z2582" t="str">
        <x:v>Active</x:v>
      </x:c>
      <x:c r="AA2582"/>
      <x:c r="AB2582"/>
      <x:c r="AC2582"/>
      <x:c r="AD2582"/>
    </x:row>
    <x:row r="2583">
      <x:c r="A2583" t="str">
        <x:v>PCC-PE-KG01-L25-20251025-AM-ORD-2025-00162-S02-C2</x:v>
      </x:c>
      <x:c r="B2583" t="str">
        <x:v>PC-PE-KG01-L25-20251025-AM-ORD-2025-00162-S02</x:v>
      </x:c>
      <x:c r="C2583" t="str">
        <x:v>PE-KG01-L25-20251025-AM-ORD-2025-00162</x:v>
      </x:c>
      <x:c r="D2583" t="str">
        <x:v>KG01</x:v>
      </x:c>
      <x:c r="E2583" s="62" t="n">
        <x:v>45955</x:v>
      </x:c>
      <x:c r="F2583" t="str">
        <x:v>AM</x:v>
      </x:c>
      <x:c r="G2583" t="str">
        <x:v>B</x:v>
      </x:c>
      <x:c r="H2583" t="n">
        <x:v>25</x:v>
      </x:c>
      <x:c r="I2583" t="str">
        <x:v>ORD-2025-00162</x:v>
      </x:c>
      <x:c r="J2583" t="n">
        <x:v>2</x:v>
      </x:c>
      <x:c r="K2583" t="n">
        <x:v>2</x:v>
      </x:c>
      <x:c r="L2583" t="str">
        <x:v>L25-S02-C2</x:v>
      </x:c>
      <x:c r="M2583" t="n">
        <x:v>1</x:v>
      </x:c>
      <x:c r="N2583" t="str">
        <x:v>DerivedFromCount</x:v>
      </x:c>
      <x:c r="O2583" t="str">
        <x:v>PLC-PRD-JAR-330-L25</x:v>
      </x:c>
      <x:c r="P2583" t="str">
        <x:v>OK</x:v>
      </x:c>
      <x:c r="Q2583" t="str">
        <x:v>OK</x:v>
      </x:c>
      <x:c r="R2583" t="str">
        <x:v>OK</x:v>
      </x:c>
      <x:c r="S2583" t="str">
        <x:v>OK</x:v>
      </x:c>
      <x:c r="T2583" t="n">
        <x:v>24</x:v>
      </x:c>
      <x:c r="U2583" t="str">
        <x:v>OK</x:v>
      </x:c>
      <x:c r="V2583" t="str">
        <x:v>OK</x:v>
      </x:c>
      <x:c r="W2583" t="str">
        <x:v>LOAD</x:v>
      </x:c>
      <x:c r="X2583" t="str">
        <x:v>02_Supervisor_Log(4).xlsx</x:v>
      </x:c>
      <x:c r="Y2583" t="str">
        <x:v>ENH-20260830-01</x:v>
      </x:c>
      <x:c r="Z2583" t="str">
        <x:v>Active</x:v>
      </x:c>
      <x:c r="AA2583"/>
      <x:c r="AB2583"/>
      <x:c r="AC2583"/>
      <x:c r="AD2583"/>
    </x:row>
    <x:row r="2584">
      <x:c r="A2584" t="str">
        <x:v>PCC-PE-KG01-L25-20251025-AM-ORD-2025-00162-S02-C3</x:v>
      </x:c>
      <x:c r="B2584" t="str">
        <x:v>PC-PE-KG01-L25-20251025-AM-ORD-2025-00162-S02</x:v>
      </x:c>
      <x:c r="C2584" t="str">
        <x:v>PE-KG01-L25-20251025-AM-ORD-2025-00162</x:v>
      </x:c>
      <x:c r="D2584" t="str">
        <x:v>KG01</x:v>
      </x:c>
      <x:c r="E2584" s="62" t="n">
        <x:v>45955</x:v>
      </x:c>
      <x:c r="F2584" t="str">
        <x:v>AM</x:v>
      </x:c>
      <x:c r="G2584" t="str">
        <x:v>B</x:v>
      </x:c>
      <x:c r="H2584" t="n">
        <x:v>25</x:v>
      </x:c>
      <x:c r="I2584" t="str">
        <x:v>ORD-2025-00162</x:v>
      </x:c>
      <x:c r="J2584" t="n">
        <x:v>2</x:v>
      </x:c>
      <x:c r="K2584" t="n">
        <x:v>3</x:v>
      </x:c>
      <x:c r="L2584" t="str">
        <x:v>L25-S02-C3</x:v>
      </x:c>
      <x:c r="M2584" t="n">
        <x:v>1</x:v>
      </x:c>
      <x:c r="N2584" t="str">
        <x:v>DerivedFromCount</x:v>
      </x:c>
      <x:c r="O2584" t="str">
        <x:v>PLC-PRD-JAR-330-L25</x:v>
      </x:c>
      <x:c r="P2584" t="str">
        <x:v>OK</x:v>
      </x:c>
      <x:c r="Q2584" t="str">
        <x:v>OK</x:v>
      </x:c>
      <x:c r="R2584" t="str">
        <x:v>OK</x:v>
      </x:c>
      <x:c r="S2584" t="str">
        <x:v>OK</x:v>
      </x:c>
      <x:c r="T2584" t="n">
        <x:v>24</x:v>
      </x:c>
      <x:c r="U2584" t="str">
        <x:v>OK</x:v>
      </x:c>
      <x:c r="V2584" t="str">
        <x:v>OK</x:v>
      </x:c>
      <x:c r="W2584" t="str">
        <x:v>LOAD</x:v>
      </x:c>
      <x:c r="X2584" t="str">
        <x:v>02_Supervisor_Log(4).xlsx</x:v>
      </x:c>
      <x:c r="Y2584" t="str">
        <x:v>ENH-20260830-01</x:v>
      </x:c>
      <x:c r="Z2584" t="str">
        <x:v>Active</x:v>
      </x:c>
      <x:c r="AA2584"/>
      <x:c r="AB2584"/>
      <x:c r="AC2584"/>
      <x:c r="AD2584"/>
    </x:row>
    <x:row r="2585">
      <x:c r="A2585" t="str">
        <x:v>PCC-PE-KG01-L25-20251025-AM-ORD-2025-00162-S03-C1</x:v>
      </x:c>
      <x:c r="B2585" t="str">
        <x:v>PC-PE-KG01-L25-20251025-AM-ORD-2025-00162-S03</x:v>
      </x:c>
      <x:c r="C2585" t="str">
        <x:v>PE-KG01-L25-20251025-AM-ORD-2025-00162</x:v>
      </x:c>
      <x:c r="D2585" t="str">
        <x:v>KG01</x:v>
      </x:c>
      <x:c r="E2585" s="62" t="n">
        <x:v>45955</x:v>
      </x:c>
      <x:c r="F2585" t="str">
        <x:v>AM</x:v>
      </x:c>
      <x:c r="G2585" t="str">
        <x:v>B</x:v>
      </x:c>
      <x:c r="H2585" t="n">
        <x:v>25</x:v>
      </x:c>
      <x:c r="I2585" t="str">
        <x:v>ORD-2025-00162</x:v>
      </x:c>
      <x:c r="J2585" t="n">
        <x:v>3</x:v>
      </x:c>
      <x:c r="K2585" t="n">
        <x:v>1</x:v>
      </x:c>
      <x:c r="L2585" t="str">
        <x:v>L25-S03-C1</x:v>
      </x:c>
      <x:c r="M2585" t="n">
        <x:v>1</x:v>
      </x:c>
      <x:c r="N2585" t="str">
        <x:v>DerivedFromCount</x:v>
      </x:c>
      <x:c r="O2585" t="str">
        <x:v>PLC-PRD-JAR-330-L25</x:v>
      </x:c>
      <x:c r="P2585" t="str">
        <x:v>OK</x:v>
      </x:c>
      <x:c r="Q2585" t="str">
        <x:v>OK</x:v>
      </x:c>
      <x:c r="R2585" t="str">
        <x:v>OK</x:v>
      </x:c>
      <x:c r="S2585" t="str">
        <x:v>OK</x:v>
      </x:c>
      <x:c r="T2585" t="n">
        <x:v>24</x:v>
      </x:c>
      <x:c r="U2585" t="str">
        <x:v>OK</x:v>
      </x:c>
      <x:c r="V2585" t="str">
        <x:v>OK</x:v>
      </x:c>
      <x:c r="W2585" t="str">
        <x:v>LOAD</x:v>
      </x:c>
      <x:c r="X2585" t="str">
        <x:v>02_Supervisor_Log(4).xlsx</x:v>
      </x:c>
      <x:c r="Y2585" t="str">
        <x:v>ENH-20260830-01</x:v>
      </x:c>
      <x:c r="Z2585" t="str">
        <x:v>Active</x:v>
      </x:c>
      <x:c r="AA2585"/>
      <x:c r="AB2585"/>
      <x:c r="AC2585"/>
      <x:c r="AD2585"/>
    </x:row>
    <x:row r="2586">
      <x:c r="A2586" t="str">
        <x:v>PCC-PE-KG01-L25-20251025-AM-ORD-2025-00162-S03-C2</x:v>
      </x:c>
      <x:c r="B2586" t="str">
        <x:v>PC-PE-KG01-L25-20251025-AM-ORD-2025-00162-S03</x:v>
      </x:c>
      <x:c r="C2586" t="str">
        <x:v>PE-KG01-L25-20251025-AM-ORD-2025-00162</x:v>
      </x:c>
      <x:c r="D2586" t="str">
        <x:v>KG01</x:v>
      </x:c>
      <x:c r="E2586" s="62" t="n">
        <x:v>45955</x:v>
      </x:c>
      <x:c r="F2586" t="str">
        <x:v>AM</x:v>
      </x:c>
      <x:c r="G2586" t="str">
        <x:v>B</x:v>
      </x:c>
      <x:c r="H2586" t="n">
        <x:v>25</x:v>
      </x:c>
      <x:c r="I2586" t="str">
        <x:v>ORD-2025-00162</x:v>
      </x:c>
      <x:c r="J2586" t="n">
        <x:v>3</x:v>
      </x:c>
      <x:c r="K2586" t="n">
        <x:v>2</x:v>
      </x:c>
      <x:c r="L2586" t="str">
        <x:v>L25-S03-C2</x:v>
      </x:c>
      <x:c r="M2586" t="n">
        <x:v>1</x:v>
      </x:c>
      <x:c r="N2586" t="str">
        <x:v>DerivedFromCount</x:v>
      </x:c>
      <x:c r="O2586" t="str">
        <x:v>PLC-PRD-JAR-330-L25</x:v>
      </x:c>
      <x:c r="P2586" t="str">
        <x:v>OK</x:v>
      </x:c>
      <x:c r="Q2586" t="str">
        <x:v>OK</x:v>
      </x:c>
      <x:c r="R2586" t="str">
        <x:v>OK</x:v>
      </x:c>
      <x:c r="S2586" t="str">
        <x:v>OK</x:v>
      </x:c>
      <x:c r="T2586" t="n">
        <x:v>24</x:v>
      </x:c>
      <x:c r="U2586" t="str">
        <x:v>OK</x:v>
      </x:c>
      <x:c r="V2586" t="str">
        <x:v>OK</x:v>
      </x:c>
      <x:c r="W2586" t="str">
        <x:v>LOAD</x:v>
      </x:c>
      <x:c r="X2586" t="str">
        <x:v>02_Supervisor_Log(4).xlsx</x:v>
      </x:c>
      <x:c r="Y2586" t="str">
        <x:v>ENH-20260830-01</x:v>
      </x:c>
      <x:c r="Z2586" t="str">
        <x:v>Active</x:v>
      </x:c>
      <x:c r="AA2586"/>
      <x:c r="AB2586"/>
      <x:c r="AC2586"/>
      <x:c r="AD2586"/>
    </x:row>
    <x:row r="2587">
      <x:c r="A2587" t="str">
        <x:v>PCC-PE-KG01-L25-20251025-AM-ORD-2025-00162-S03-C3</x:v>
      </x:c>
      <x:c r="B2587" t="str">
        <x:v>PC-PE-KG01-L25-20251025-AM-ORD-2025-00162-S03</x:v>
      </x:c>
      <x:c r="C2587" t="str">
        <x:v>PE-KG01-L25-20251025-AM-ORD-2025-00162</x:v>
      </x:c>
      <x:c r="D2587" t="str">
        <x:v>KG01</x:v>
      </x:c>
      <x:c r="E2587" s="62" t="n">
        <x:v>45955</x:v>
      </x:c>
      <x:c r="F2587" t="str">
        <x:v>AM</x:v>
      </x:c>
      <x:c r="G2587" t="str">
        <x:v>B</x:v>
      </x:c>
      <x:c r="H2587" t="n">
        <x:v>25</x:v>
      </x:c>
      <x:c r="I2587" t="str">
        <x:v>ORD-2025-00162</x:v>
      </x:c>
      <x:c r="J2587" t="n">
        <x:v>3</x:v>
      </x:c>
      <x:c r="K2587" t="n">
        <x:v>3</x:v>
      </x:c>
      <x:c r="L2587" t="str">
        <x:v>L25-S03-C3</x:v>
      </x:c>
      <x:c r="M2587" t="n">
        <x:v>1</x:v>
      </x:c>
      <x:c r="N2587" t="str">
        <x:v>DerivedFromCount</x:v>
      </x:c>
      <x:c r="O2587" t="str">
        <x:v>PLC-PRD-JAR-330-L25</x:v>
      </x:c>
      <x:c r="P2587" t="str">
        <x:v>OK</x:v>
      </x:c>
      <x:c r="Q2587" t="str">
        <x:v>OK</x:v>
      </x:c>
      <x:c r="R2587" t="str">
        <x:v>OK</x:v>
      </x:c>
      <x:c r="S2587" t="str">
        <x:v>OK</x:v>
      </x:c>
      <x:c r="T2587" t="n">
        <x:v>24</x:v>
      </x:c>
      <x:c r="U2587" t="str">
        <x:v>OK</x:v>
      </x:c>
      <x:c r="V2587" t="str">
        <x:v>OK</x:v>
      </x:c>
      <x:c r="W2587" t="str">
        <x:v>LOAD</x:v>
      </x:c>
      <x:c r="X2587" t="str">
        <x:v>02_Supervisor_Log(4).xlsx</x:v>
      </x:c>
      <x:c r="Y2587" t="str">
        <x:v>ENH-20260830-01</x:v>
      </x:c>
      <x:c r="Z2587" t="str">
        <x:v>Active</x:v>
      </x:c>
      <x:c r="AA2587"/>
      <x:c r="AB2587"/>
      <x:c r="AC2587"/>
      <x:c r="AD2587"/>
    </x:row>
    <x:row r="2588">
      <x:c r="A2588" t="str">
        <x:v>PCC-PE-KG01-L25-20251025-AM-ORD-2025-00162-S04-C1</x:v>
      </x:c>
      <x:c r="B2588" t="str">
        <x:v>PC-PE-KG01-L25-20251025-AM-ORD-2025-00162-S04</x:v>
      </x:c>
      <x:c r="C2588" t="str">
        <x:v>PE-KG01-L25-20251025-AM-ORD-2025-00162</x:v>
      </x:c>
      <x:c r="D2588" t="str">
        <x:v>KG01</x:v>
      </x:c>
      <x:c r="E2588" s="62" t="n">
        <x:v>45955</x:v>
      </x:c>
      <x:c r="F2588" t="str">
        <x:v>AM</x:v>
      </x:c>
      <x:c r="G2588" t="str">
        <x:v>B</x:v>
      </x:c>
      <x:c r="H2588" t="n">
        <x:v>25</x:v>
      </x:c>
      <x:c r="I2588" t="str">
        <x:v>ORD-2025-00162</x:v>
      </x:c>
      <x:c r="J2588" t="n">
        <x:v>4</x:v>
      </x:c>
      <x:c r="K2588" t="n">
        <x:v>1</x:v>
      </x:c>
      <x:c r="L2588" t="str">
        <x:v>L25-S04-C1</x:v>
      </x:c>
      <x:c r="M2588" t="n">
        <x:v>1</x:v>
      </x:c>
      <x:c r="N2588" t="str">
        <x:v>DerivedFromCount</x:v>
      </x:c>
      <x:c r="O2588" t="str">
        <x:v>PLC-PRD-JAR-330-L25</x:v>
      </x:c>
      <x:c r="P2588" t="str">
        <x:v>OK</x:v>
      </x:c>
      <x:c r="Q2588" t="str">
        <x:v>OK</x:v>
      </x:c>
      <x:c r="R2588" t="str">
        <x:v>OK</x:v>
      </x:c>
      <x:c r="S2588" t="str">
        <x:v>OK</x:v>
      </x:c>
      <x:c r="T2588" t="n">
        <x:v>24</x:v>
      </x:c>
      <x:c r="U2588" t="str">
        <x:v>OK</x:v>
      </x:c>
      <x:c r="V2588" t="str">
        <x:v>OK</x:v>
      </x:c>
      <x:c r="W2588" t="str">
        <x:v>LOAD</x:v>
      </x:c>
      <x:c r="X2588" t="str">
        <x:v>02_Supervisor_Log(4).xlsx</x:v>
      </x:c>
      <x:c r="Y2588" t="str">
        <x:v>ENH-20260830-01</x:v>
      </x:c>
      <x:c r="Z2588" t="str">
        <x:v>Active</x:v>
      </x:c>
      <x:c r="AA2588"/>
      <x:c r="AB2588"/>
      <x:c r="AC2588"/>
      <x:c r="AD2588"/>
    </x:row>
    <x:row r="2589">
      <x:c r="A2589" t="str">
        <x:v>PCC-PE-KG01-L25-20251025-AM-ORD-2025-00162-S04-C2</x:v>
      </x:c>
      <x:c r="B2589" t="str">
        <x:v>PC-PE-KG01-L25-20251025-AM-ORD-2025-00162-S04</x:v>
      </x:c>
      <x:c r="C2589" t="str">
        <x:v>PE-KG01-L25-20251025-AM-ORD-2025-00162</x:v>
      </x:c>
      <x:c r="D2589" t="str">
        <x:v>KG01</x:v>
      </x:c>
      <x:c r="E2589" s="62" t="n">
        <x:v>45955</x:v>
      </x:c>
      <x:c r="F2589" t="str">
        <x:v>AM</x:v>
      </x:c>
      <x:c r="G2589" t="str">
        <x:v>B</x:v>
      </x:c>
      <x:c r="H2589" t="n">
        <x:v>25</x:v>
      </x:c>
      <x:c r="I2589" t="str">
        <x:v>ORD-2025-00162</x:v>
      </x:c>
      <x:c r="J2589" t="n">
        <x:v>4</x:v>
      </x:c>
      <x:c r="K2589" t="n">
        <x:v>2</x:v>
      </x:c>
      <x:c r="L2589" t="str">
        <x:v>L25-S04-C2</x:v>
      </x:c>
      <x:c r="M2589" t="n">
        <x:v>1</x:v>
      </x:c>
      <x:c r="N2589" t="str">
        <x:v>DerivedFromCount</x:v>
      </x:c>
      <x:c r="O2589" t="str">
        <x:v>PLC-PRD-JAR-330-L25</x:v>
      </x:c>
      <x:c r="P2589" t="str">
        <x:v>OK</x:v>
      </x:c>
      <x:c r="Q2589" t="str">
        <x:v>OK</x:v>
      </x:c>
      <x:c r="R2589" t="str">
        <x:v>OK</x:v>
      </x:c>
      <x:c r="S2589" t="str">
        <x:v>OK</x:v>
      </x:c>
      <x:c r="T2589" t="n">
        <x:v>24</x:v>
      </x:c>
      <x:c r="U2589" t="str">
        <x:v>OK</x:v>
      </x:c>
      <x:c r="V2589" t="str">
        <x:v>OK</x:v>
      </x:c>
      <x:c r="W2589" t="str">
        <x:v>LOAD</x:v>
      </x:c>
      <x:c r="X2589" t="str">
        <x:v>02_Supervisor_Log(4).xlsx</x:v>
      </x:c>
      <x:c r="Y2589" t="str">
        <x:v>ENH-20260830-01</x:v>
      </x:c>
      <x:c r="Z2589" t="str">
        <x:v>Active</x:v>
      </x:c>
      <x:c r="AA2589"/>
      <x:c r="AB2589"/>
      <x:c r="AC2589"/>
      <x:c r="AD2589"/>
    </x:row>
    <x:row r="2590">
      <x:c r="A2590" t="str">
        <x:v>PCC-PE-KG01-L25-20251025-AM-ORD-2025-00162-S04-C3</x:v>
      </x:c>
      <x:c r="B2590" t="str">
        <x:v>PC-PE-KG01-L25-20251025-AM-ORD-2025-00162-S04</x:v>
      </x:c>
      <x:c r="C2590" t="str">
        <x:v>PE-KG01-L25-20251025-AM-ORD-2025-00162</x:v>
      </x:c>
      <x:c r="D2590" t="str">
        <x:v>KG01</x:v>
      </x:c>
      <x:c r="E2590" s="62" t="n">
        <x:v>45955</x:v>
      </x:c>
      <x:c r="F2590" t="str">
        <x:v>AM</x:v>
      </x:c>
      <x:c r="G2590" t="str">
        <x:v>B</x:v>
      </x:c>
      <x:c r="H2590" t="n">
        <x:v>25</x:v>
      </x:c>
      <x:c r="I2590" t="str">
        <x:v>ORD-2025-00162</x:v>
      </x:c>
      <x:c r="J2590" t="n">
        <x:v>4</x:v>
      </x:c>
      <x:c r="K2590" t="n">
        <x:v>3</x:v>
      </x:c>
      <x:c r="L2590" t="str">
        <x:v>L25-S04-C3</x:v>
      </x:c>
      <x:c r="M2590" t="n">
        <x:v>1</x:v>
      </x:c>
      <x:c r="N2590" t="str">
        <x:v>DerivedFromCount</x:v>
      </x:c>
      <x:c r="O2590" t="str">
        <x:v>PLC-PRD-JAR-330-L25</x:v>
      </x:c>
      <x:c r="P2590" t="str">
        <x:v>OK</x:v>
      </x:c>
      <x:c r="Q2590" t="str">
        <x:v>OK</x:v>
      </x:c>
      <x:c r="R2590" t="str">
        <x:v>OK</x:v>
      </x:c>
      <x:c r="S2590" t="str">
        <x:v>OK</x:v>
      </x:c>
      <x:c r="T2590" t="n">
        <x:v>24</x:v>
      </x:c>
      <x:c r="U2590" t="str">
        <x:v>OK</x:v>
      </x:c>
      <x:c r="V2590" t="str">
        <x:v>OK</x:v>
      </x:c>
      <x:c r="W2590" t="str">
        <x:v>LOAD</x:v>
      </x:c>
      <x:c r="X2590" t="str">
        <x:v>02_Supervisor_Log(4).xlsx</x:v>
      </x:c>
      <x:c r="Y2590" t="str">
        <x:v>ENH-20260830-01</x:v>
      </x:c>
      <x:c r="Z2590" t="str">
        <x:v>Active</x:v>
      </x:c>
      <x:c r="AA2590"/>
      <x:c r="AB2590"/>
      <x:c r="AC2590"/>
      <x:c r="AD2590"/>
    </x:row>
    <x:row r="2591">
      <x:c r="A2591" t="str">
        <x:v>PCC-PE-KG01-L25-20251025-AM-ORD-2025-00162-S05-C1</x:v>
      </x:c>
      <x:c r="B2591" t="str">
        <x:v>PC-PE-KG01-L25-20251025-AM-ORD-2025-00162-S05</x:v>
      </x:c>
      <x:c r="C2591" t="str">
        <x:v>PE-KG01-L25-20251025-AM-ORD-2025-00162</x:v>
      </x:c>
      <x:c r="D2591" t="str">
        <x:v>KG01</x:v>
      </x:c>
      <x:c r="E2591" s="62" t="n">
        <x:v>45955</x:v>
      </x:c>
      <x:c r="F2591" t="str">
        <x:v>AM</x:v>
      </x:c>
      <x:c r="G2591" t="str">
        <x:v>B</x:v>
      </x:c>
      <x:c r="H2591" t="n">
        <x:v>25</x:v>
      </x:c>
      <x:c r="I2591" t="str">
        <x:v>ORD-2025-00162</x:v>
      </x:c>
      <x:c r="J2591" t="n">
        <x:v>5</x:v>
      </x:c>
      <x:c r="K2591" t="n">
        <x:v>1</x:v>
      </x:c>
      <x:c r="L2591" t="str">
        <x:v>L25-S05-C1</x:v>
      </x:c>
      <x:c r="M2591" t="n">
        <x:v>1</x:v>
      </x:c>
      <x:c r="N2591" t="str">
        <x:v>DerivedFromCount</x:v>
      </x:c>
      <x:c r="O2591" t="str">
        <x:v>PLC-PRD-JAR-330-L25</x:v>
      </x:c>
      <x:c r="P2591" t="str">
        <x:v>OK</x:v>
      </x:c>
      <x:c r="Q2591" t="str">
        <x:v>OK</x:v>
      </x:c>
      <x:c r="R2591" t="str">
        <x:v>OK</x:v>
      </x:c>
      <x:c r="S2591" t="str">
        <x:v>OK</x:v>
      </x:c>
      <x:c r="T2591" t="n">
        <x:v>24</x:v>
      </x:c>
      <x:c r="U2591" t="str">
        <x:v>OK</x:v>
      </x:c>
      <x:c r="V2591" t="str">
        <x:v>OK</x:v>
      </x:c>
      <x:c r="W2591" t="str">
        <x:v>LOAD</x:v>
      </x:c>
      <x:c r="X2591" t="str">
        <x:v>02_Supervisor_Log(4).xlsx</x:v>
      </x:c>
      <x:c r="Y2591" t="str">
        <x:v>ENH-20260830-01</x:v>
      </x:c>
      <x:c r="Z2591" t="str">
        <x:v>Active</x:v>
      </x:c>
      <x:c r="AA2591"/>
      <x:c r="AB2591"/>
      <x:c r="AC2591"/>
      <x:c r="AD2591"/>
    </x:row>
    <x:row r="2592">
      <x:c r="A2592" t="str">
        <x:v>PCC-PE-KG01-L25-20251025-AM-ORD-2025-00162-S05-C2</x:v>
      </x:c>
      <x:c r="B2592" t="str">
        <x:v>PC-PE-KG01-L25-20251025-AM-ORD-2025-00162-S05</x:v>
      </x:c>
      <x:c r="C2592" t="str">
        <x:v>PE-KG01-L25-20251025-AM-ORD-2025-00162</x:v>
      </x:c>
      <x:c r="D2592" t="str">
        <x:v>KG01</x:v>
      </x:c>
      <x:c r="E2592" s="62" t="n">
        <x:v>45955</x:v>
      </x:c>
      <x:c r="F2592" t="str">
        <x:v>AM</x:v>
      </x:c>
      <x:c r="G2592" t="str">
        <x:v>B</x:v>
      </x:c>
      <x:c r="H2592" t="n">
        <x:v>25</x:v>
      </x:c>
      <x:c r="I2592" t="str">
        <x:v>ORD-2025-00162</x:v>
      </x:c>
      <x:c r="J2592" t="n">
        <x:v>5</x:v>
      </x:c>
      <x:c r="K2592" t="n">
        <x:v>2</x:v>
      </x:c>
      <x:c r="L2592" t="str">
        <x:v>L25-S05-C2</x:v>
      </x:c>
      <x:c r="M2592" t="n">
        <x:v>1</x:v>
      </x:c>
      <x:c r="N2592" t="str">
        <x:v>DerivedFromCount</x:v>
      </x:c>
      <x:c r="O2592" t="str">
        <x:v>PLC-PRD-JAR-330-L25</x:v>
      </x:c>
      <x:c r="P2592" t="str">
        <x:v>OK</x:v>
      </x:c>
      <x:c r="Q2592" t="str">
        <x:v>OK</x:v>
      </x:c>
      <x:c r="R2592" t="str">
        <x:v>OK</x:v>
      </x:c>
      <x:c r="S2592" t="str">
        <x:v>OK</x:v>
      </x:c>
      <x:c r="T2592" t="n">
        <x:v>24</x:v>
      </x:c>
      <x:c r="U2592" t="str">
        <x:v>OK</x:v>
      </x:c>
      <x:c r="V2592" t="str">
        <x:v>OK</x:v>
      </x:c>
      <x:c r="W2592" t="str">
        <x:v>LOAD</x:v>
      </x:c>
      <x:c r="X2592" t="str">
        <x:v>02_Supervisor_Log(4).xlsx</x:v>
      </x:c>
      <x:c r="Y2592" t="str">
        <x:v>ENH-20260830-01</x:v>
      </x:c>
      <x:c r="Z2592" t="str">
        <x:v>Active</x:v>
      </x:c>
      <x:c r="AA2592"/>
      <x:c r="AB2592"/>
      <x:c r="AC2592"/>
      <x:c r="AD2592"/>
    </x:row>
    <x:row r="2593">
      <x:c r="A2593" t="str">
        <x:v>PCC-PE-KG01-L25-20251025-AM-ORD-2025-00162-S05-C3</x:v>
      </x:c>
      <x:c r="B2593" t="str">
        <x:v>PC-PE-KG01-L25-20251025-AM-ORD-2025-00162-S05</x:v>
      </x:c>
      <x:c r="C2593" t="str">
        <x:v>PE-KG01-L25-20251025-AM-ORD-2025-00162</x:v>
      </x:c>
      <x:c r="D2593" t="str">
        <x:v>KG01</x:v>
      </x:c>
      <x:c r="E2593" s="62" t="n">
        <x:v>45955</x:v>
      </x:c>
      <x:c r="F2593" t="str">
        <x:v>AM</x:v>
      </x:c>
      <x:c r="G2593" t="str">
        <x:v>B</x:v>
      </x:c>
      <x:c r="H2593" t="n">
        <x:v>25</x:v>
      </x:c>
      <x:c r="I2593" t="str">
        <x:v>ORD-2025-00162</x:v>
      </x:c>
      <x:c r="J2593" t="n">
        <x:v>5</x:v>
      </x:c>
      <x:c r="K2593" t="n">
        <x:v>3</x:v>
      </x:c>
      <x:c r="L2593" t="str">
        <x:v>L25-S05-C3</x:v>
      </x:c>
      <x:c r="M2593" t="n">
        <x:v>1</x:v>
      </x:c>
      <x:c r="N2593" t="str">
        <x:v>DerivedFromCount</x:v>
      </x:c>
      <x:c r="O2593" t="str">
        <x:v>PLC-PRD-JAR-330-L25</x:v>
      </x:c>
      <x:c r="P2593" t="str">
        <x:v>OK</x:v>
      </x:c>
      <x:c r="Q2593" t="str">
        <x:v>OK</x:v>
      </x:c>
      <x:c r="R2593" t="str">
        <x:v>OK</x:v>
      </x:c>
      <x:c r="S2593" t="str">
        <x:v>OK</x:v>
      </x:c>
      <x:c r="T2593" t="n">
        <x:v>24</x:v>
      </x:c>
      <x:c r="U2593" t="str">
        <x:v>OK</x:v>
      </x:c>
      <x:c r="V2593" t="str">
        <x:v>OK</x:v>
      </x:c>
      <x:c r="W2593" t="str">
        <x:v>LOAD</x:v>
      </x:c>
      <x:c r="X2593" t="str">
        <x:v>02_Supervisor_Log(4).xlsx</x:v>
      </x:c>
      <x:c r="Y2593" t="str">
        <x:v>ENH-20260830-01</x:v>
      </x:c>
      <x:c r="Z2593" t="str">
        <x:v>Active</x:v>
      </x:c>
      <x:c r="AA2593"/>
      <x:c r="AB2593"/>
      <x:c r="AC2593"/>
      <x:c r="AD2593"/>
    </x:row>
    <x:row r="2594">
      <x:c r="A2594" t="str">
        <x:v>PCC-PE-KG01-L25-20251025-AM-ORD-2025-00162-S06-C1</x:v>
      </x:c>
      <x:c r="B2594" t="str">
        <x:v>PC-PE-KG01-L25-20251025-AM-ORD-2025-00162-S06</x:v>
      </x:c>
      <x:c r="C2594" t="str">
        <x:v>PE-KG01-L25-20251025-AM-ORD-2025-00162</x:v>
      </x:c>
      <x:c r="D2594" t="str">
        <x:v>KG01</x:v>
      </x:c>
      <x:c r="E2594" s="62" t="n">
        <x:v>45955</x:v>
      </x:c>
      <x:c r="F2594" t="str">
        <x:v>AM</x:v>
      </x:c>
      <x:c r="G2594" t="str">
        <x:v>B</x:v>
      </x:c>
      <x:c r="H2594" t="n">
        <x:v>25</x:v>
      </x:c>
      <x:c r="I2594" t="str">
        <x:v>ORD-2025-00162</x:v>
      </x:c>
      <x:c r="J2594" t="n">
        <x:v>6</x:v>
      </x:c>
      <x:c r="K2594" t="n">
        <x:v>1</x:v>
      </x:c>
      <x:c r="L2594" t="str">
        <x:v>L25-S06-C1</x:v>
      </x:c>
      <x:c r="M2594" t="n">
        <x:v>1</x:v>
      </x:c>
      <x:c r="N2594" t="str">
        <x:v>DerivedFromCount</x:v>
      </x:c>
      <x:c r="O2594" t="str">
        <x:v>PLC-PRD-JAR-330-L25</x:v>
      </x:c>
      <x:c r="P2594" t="str">
        <x:v>OK</x:v>
      </x:c>
      <x:c r="Q2594" t="str">
        <x:v>OK</x:v>
      </x:c>
      <x:c r="R2594" t="str">
        <x:v>OK</x:v>
      </x:c>
      <x:c r="S2594" t="str">
        <x:v>OK</x:v>
      </x:c>
      <x:c r="T2594" t="n">
        <x:v>24</x:v>
      </x:c>
      <x:c r="U2594" t="str">
        <x:v>OK</x:v>
      </x:c>
      <x:c r="V2594" t="str">
        <x:v>OK</x:v>
      </x:c>
      <x:c r="W2594" t="str">
        <x:v>LOAD</x:v>
      </x:c>
      <x:c r="X2594" t="str">
        <x:v>02_Supervisor_Log(4).xlsx</x:v>
      </x:c>
      <x:c r="Y2594" t="str">
        <x:v>ENH-20260830-01</x:v>
      </x:c>
      <x:c r="Z2594" t="str">
        <x:v>Active</x:v>
      </x:c>
      <x:c r="AA2594"/>
      <x:c r="AB2594"/>
      <x:c r="AC2594"/>
      <x:c r="AD2594"/>
    </x:row>
    <x:row r="2595">
      <x:c r="A2595" t="str">
        <x:v>PCC-PE-KG01-L25-20251025-AM-ORD-2025-00162-S06-C2</x:v>
      </x:c>
      <x:c r="B2595" t="str">
        <x:v>PC-PE-KG01-L25-20251025-AM-ORD-2025-00162-S06</x:v>
      </x:c>
      <x:c r="C2595" t="str">
        <x:v>PE-KG01-L25-20251025-AM-ORD-2025-00162</x:v>
      </x:c>
      <x:c r="D2595" t="str">
        <x:v>KG01</x:v>
      </x:c>
      <x:c r="E2595" s="62" t="n">
        <x:v>45955</x:v>
      </x:c>
      <x:c r="F2595" t="str">
        <x:v>AM</x:v>
      </x:c>
      <x:c r="G2595" t="str">
        <x:v>B</x:v>
      </x:c>
      <x:c r="H2595" t="n">
        <x:v>25</x:v>
      </x:c>
      <x:c r="I2595" t="str">
        <x:v>ORD-2025-00162</x:v>
      </x:c>
      <x:c r="J2595" t="n">
        <x:v>6</x:v>
      </x:c>
      <x:c r="K2595" t="n">
        <x:v>2</x:v>
      </x:c>
      <x:c r="L2595" t="str">
        <x:v>L25-S06-C2</x:v>
      </x:c>
      <x:c r="M2595" t="n">
        <x:v>1</x:v>
      </x:c>
      <x:c r="N2595" t="str">
        <x:v>DerivedFromCount</x:v>
      </x:c>
      <x:c r="O2595" t="str">
        <x:v>PLC-PRD-JAR-330-L25</x:v>
      </x:c>
      <x:c r="P2595" t="str">
        <x:v>OK</x:v>
      </x:c>
      <x:c r="Q2595" t="str">
        <x:v>OK</x:v>
      </x:c>
      <x:c r="R2595" t="str">
        <x:v>OK</x:v>
      </x:c>
      <x:c r="S2595" t="str">
        <x:v>OK</x:v>
      </x:c>
      <x:c r="T2595" t="n">
        <x:v>24</x:v>
      </x:c>
      <x:c r="U2595" t="str">
        <x:v>OK</x:v>
      </x:c>
      <x:c r="V2595" t="str">
        <x:v>OK</x:v>
      </x:c>
      <x:c r="W2595" t="str">
        <x:v>LOAD</x:v>
      </x:c>
      <x:c r="X2595" t="str">
        <x:v>02_Supervisor_Log(4).xlsx</x:v>
      </x:c>
      <x:c r="Y2595" t="str">
        <x:v>ENH-20260830-01</x:v>
      </x:c>
      <x:c r="Z2595" t="str">
        <x:v>Active</x:v>
      </x:c>
      <x:c r="AA2595"/>
      <x:c r="AB2595"/>
      <x:c r="AC2595"/>
      <x:c r="AD2595"/>
    </x:row>
    <x:row r="2596">
      <x:c r="A2596" t="str">
        <x:v>PCC-PE-KG01-L25-20251025-AM-ORD-2025-00162-S06-C3</x:v>
      </x:c>
      <x:c r="B2596" t="str">
        <x:v>PC-PE-KG01-L25-20251025-AM-ORD-2025-00162-S06</x:v>
      </x:c>
      <x:c r="C2596" t="str">
        <x:v>PE-KG01-L25-20251025-AM-ORD-2025-00162</x:v>
      </x:c>
      <x:c r="D2596" t="str">
        <x:v>KG01</x:v>
      </x:c>
      <x:c r="E2596" s="62" t="n">
        <x:v>45955</x:v>
      </x:c>
      <x:c r="F2596" t="str">
        <x:v>AM</x:v>
      </x:c>
      <x:c r="G2596" t="str">
        <x:v>B</x:v>
      </x:c>
      <x:c r="H2596" t="n">
        <x:v>25</x:v>
      </x:c>
      <x:c r="I2596" t="str">
        <x:v>ORD-2025-00162</x:v>
      </x:c>
      <x:c r="J2596" t="n">
        <x:v>6</x:v>
      </x:c>
      <x:c r="K2596" t="n">
        <x:v>3</x:v>
      </x:c>
      <x:c r="L2596" t="str">
        <x:v>L25-S06-C3</x:v>
      </x:c>
      <x:c r="M2596" t="n">
        <x:v>1</x:v>
      </x:c>
      <x:c r="N2596" t="str">
        <x:v>DerivedFromCount</x:v>
      </x:c>
      <x:c r="O2596" t="str">
        <x:v>PLC-PRD-JAR-330-L25</x:v>
      </x:c>
      <x:c r="P2596" t="str">
        <x:v>OK</x:v>
      </x:c>
      <x:c r="Q2596" t="str">
        <x:v>OK</x:v>
      </x:c>
      <x:c r="R2596" t="str">
        <x:v>OK</x:v>
      </x:c>
      <x:c r="S2596" t="str">
        <x:v>OK</x:v>
      </x:c>
      <x:c r="T2596" t="n">
        <x:v>24</x:v>
      </x:c>
      <x:c r="U2596" t="str">
        <x:v>OK</x:v>
      </x:c>
      <x:c r="V2596" t="str">
        <x:v>OK</x:v>
      </x:c>
      <x:c r="W2596" t="str">
        <x:v>LOAD</x:v>
      </x:c>
      <x:c r="X2596" t="str">
        <x:v>02_Supervisor_Log(4).xlsx</x:v>
      </x:c>
      <x:c r="Y2596" t="str">
        <x:v>ENH-20260830-01</x:v>
      </x:c>
      <x:c r="Z2596" t="str">
        <x:v>Active</x:v>
      </x:c>
      <x:c r="AA2596"/>
      <x:c r="AB2596"/>
      <x:c r="AC2596"/>
      <x:c r="AD2596"/>
    </x:row>
    <x:row r="2597">
      <x:c r="A2597" t="str">
        <x:v>PCC-PE-KG01-L25-20251025-AM-ORD-2025-00162-S07-C1</x:v>
      </x:c>
      <x:c r="B2597" t="str">
        <x:v>PC-PE-KG01-L25-20251025-AM-ORD-2025-00162-S07</x:v>
      </x:c>
      <x:c r="C2597" t="str">
        <x:v>PE-KG01-L25-20251025-AM-ORD-2025-00162</x:v>
      </x:c>
      <x:c r="D2597" t="str">
        <x:v>KG01</x:v>
      </x:c>
      <x:c r="E2597" s="62" t="n">
        <x:v>45955</x:v>
      </x:c>
      <x:c r="F2597" t="str">
        <x:v>AM</x:v>
      </x:c>
      <x:c r="G2597" t="str">
        <x:v>B</x:v>
      </x:c>
      <x:c r="H2597" t="n">
        <x:v>25</x:v>
      </x:c>
      <x:c r="I2597" t="str">
        <x:v>ORD-2025-00162</x:v>
      </x:c>
      <x:c r="J2597" t="n">
        <x:v>7</x:v>
      </x:c>
      <x:c r="K2597" t="n">
        <x:v>1</x:v>
      </x:c>
      <x:c r="L2597" t="str">
        <x:v>L25-S07-C1</x:v>
      </x:c>
      <x:c r="M2597" t="n">
        <x:v>1</x:v>
      </x:c>
      <x:c r="N2597" t="str">
        <x:v>DerivedFromCount</x:v>
      </x:c>
      <x:c r="O2597" t="str">
        <x:v>PLC-PRD-JAR-330-L25</x:v>
      </x:c>
      <x:c r="P2597" t="str">
        <x:v>OK</x:v>
      </x:c>
      <x:c r="Q2597" t="str">
        <x:v>OK</x:v>
      </x:c>
      <x:c r="R2597" t="str">
        <x:v>OK</x:v>
      </x:c>
      <x:c r="S2597" t="str">
        <x:v>OK</x:v>
      </x:c>
      <x:c r="T2597" t="n">
        <x:v>24</x:v>
      </x:c>
      <x:c r="U2597" t="str">
        <x:v>OK</x:v>
      </x:c>
      <x:c r="V2597" t="str">
        <x:v>OK</x:v>
      </x:c>
      <x:c r="W2597" t="str">
        <x:v>LOAD</x:v>
      </x:c>
      <x:c r="X2597" t="str">
        <x:v>02_Supervisor_Log(4).xlsx</x:v>
      </x:c>
      <x:c r="Y2597" t="str">
        <x:v>ENH-20260830-01</x:v>
      </x:c>
      <x:c r="Z2597" t="str">
        <x:v>Active</x:v>
      </x:c>
      <x:c r="AA2597"/>
      <x:c r="AB2597"/>
      <x:c r="AC2597"/>
      <x:c r="AD2597"/>
    </x:row>
    <x:row r="2598">
      <x:c r="A2598" t="str">
        <x:v>PCC-PE-KG01-L25-20251025-AM-ORD-2025-00162-S07-C2</x:v>
      </x:c>
      <x:c r="B2598" t="str">
        <x:v>PC-PE-KG01-L25-20251025-AM-ORD-2025-00162-S07</x:v>
      </x:c>
      <x:c r="C2598" t="str">
        <x:v>PE-KG01-L25-20251025-AM-ORD-2025-00162</x:v>
      </x:c>
      <x:c r="D2598" t="str">
        <x:v>KG01</x:v>
      </x:c>
      <x:c r="E2598" s="62" t="n">
        <x:v>45955</x:v>
      </x:c>
      <x:c r="F2598" t="str">
        <x:v>AM</x:v>
      </x:c>
      <x:c r="G2598" t="str">
        <x:v>B</x:v>
      </x:c>
      <x:c r="H2598" t="n">
        <x:v>25</x:v>
      </x:c>
      <x:c r="I2598" t="str">
        <x:v>ORD-2025-00162</x:v>
      </x:c>
      <x:c r="J2598" t="n">
        <x:v>7</x:v>
      </x:c>
      <x:c r="K2598" t="n">
        <x:v>2</x:v>
      </x:c>
      <x:c r="L2598" t="str">
        <x:v>L25-S07-C2</x:v>
      </x:c>
      <x:c r="M2598" t="n">
        <x:v>1</x:v>
      </x:c>
      <x:c r="N2598" t="str">
        <x:v>DerivedFromCount</x:v>
      </x:c>
      <x:c r="O2598" t="str">
        <x:v>PLC-PRD-JAR-330-L25</x:v>
      </x:c>
      <x:c r="P2598" t="str">
        <x:v>OK</x:v>
      </x:c>
      <x:c r="Q2598" t="str">
        <x:v>OK</x:v>
      </x:c>
      <x:c r="R2598" t="str">
        <x:v>OK</x:v>
      </x:c>
      <x:c r="S2598" t="str">
        <x:v>OK</x:v>
      </x:c>
      <x:c r="T2598" t="n">
        <x:v>24</x:v>
      </x:c>
      <x:c r="U2598" t="str">
        <x:v>OK</x:v>
      </x:c>
      <x:c r="V2598" t="str">
        <x:v>OK</x:v>
      </x:c>
      <x:c r="W2598" t="str">
        <x:v>LOAD</x:v>
      </x:c>
      <x:c r="X2598" t="str">
        <x:v>02_Supervisor_Log(4).xlsx</x:v>
      </x:c>
      <x:c r="Y2598" t="str">
        <x:v>ENH-20260830-01</x:v>
      </x:c>
      <x:c r="Z2598" t="str">
        <x:v>Active</x:v>
      </x:c>
      <x:c r="AA2598"/>
      <x:c r="AB2598"/>
      <x:c r="AC2598"/>
      <x:c r="AD2598"/>
    </x:row>
    <x:row r="2599">
      <x:c r="A2599" t="str">
        <x:v>PCC-PE-KG01-L25-20251025-AM-ORD-2025-00162-S07-C3</x:v>
      </x:c>
      <x:c r="B2599" t="str">
        <x:v>PC-PE-KG01-L25-20251025-AM-ORD-2025-00162-S07</x:v>
      </x:c>
      <x:c r="C2599" t="str">
        <x:v>PE-KG01-L25-20251025-AM-ORD-2025-00162</x:v>
      </x:c>
      <x:c r="D2599" t="str">
        <x:v>KG01</x:v>
      </x:c>
      <x:c r="E2599" s="62" t="n">
        <x:v>45955</x:v>
      </x:c>
      <x:c r="F2599" t="str">
        <x:v>AM</x:v>
      </x:c>
      <x:c r="G2599" t="str">
        <x:v>B</x:v>
      </x:c>
      <x:c r="H2599" t="n">
        <x:v>25</x:v>
      </x:c>
      <x:c r="I2599" t="str">
        <x:v>ORD-2025-00162</x:v>
      </x:c>
      <x:c r="J2599" t="n">
        <x:v>7</x:v>
      </x:c>
      <x:c r="K2599" t="n">
        <x:v>3</x:v>
      </x:c>
      <x:c r="L2599" t="str">
        <x:v>L25-S07-C3</x:v>
      </x:c>
      <x:c r="M2599" t="n">
        <x:v>1</x:v>
      </x:c>
      <x:c r="N2599" t="str">
        <x:v>DerivedFromCount</x:v>
      </x:c>
      <x:c r="O2599" t="str">
        <x:v>PLC-PRD-JAR-330-L25</x:v>
      </x:c>
      <x:c r="P2599" t="str">
        <x:v>OK</x:v>
      </x:c>
      <x:c r="Q2599" t="str">
        <x:v>OK</x:v>
      </x:c>
      <x:c r="R2599" t="str">
        <x:v>OK</x:v>
      </x:c>
      <x:c r="S2599" t="str">
        <x:v>OK</x:v>
      </x:c>
      <x:c r="T2599" t="n">
        <x:v>24</x:v>
      </x:c>
      <x:c r="U2599" t="str">
        <x:v>OK</x:v>
      </x:c>
      <x:c r="V2599" t="str">
        <x:v>OK</x:v>
      </x:c>
      <x:c r="W2599" t="str">
        <x:v>LOAD</x:v>
      </x:c>
      <x:c r="X2599" t="str">
        <x:v>02_Supervisor_Log(4).xlsx</x:v>
      </x:c>
      <x:c r="Y2599" t="str">
        <x:v>ENH-20260830-01</x:v>
      </x:c>
      <x:c r="Z2599" t="str">
        <x:v>Active</x:v>
      </x:c>
      <x:c r="AA2599"/>
      <x:c r="AB2599"/>
      <x:c r="AC2599"/>
      <x:c r="AD2599"/>
    </x:row>
    <x:row r="2600">
      <x:c r="A2600" t="str">
        <x:v>PCC-PE-KG01-L25-20251025-AM-ORD-2025-00162-S08-C1</x:v>
      </x:c>
      <x:c r="B2600" t="str">
        <x:v>PC-PE-KG01-L25-20251025-AM-ORD-2025-00162-S08</x:v>
      </x:c>
      <x:c r="C2600" t="str">
        <x:v>PE-KG01-L25-20251025-AM-ORD-2025-00162</x:v>
      </x:c>
      <x:c r="D2600" t="str">
        <x:v>KG01</x:v>
      </x:c>
      <x:c r="E2600" s="62" t="n">
        <x:v>45955</x:v>
      </x:c>
      <x:c r="F2600" t="str">
        <x:v>AM</x:v>
      </x:c>
      <x:c r="G2600" t="str">
        <x:v>B</x:v>
      </x:c>
      <x:c r="H2600" t="n">
        <x:v>25</x:v>
      </x:c>
      <x:c r="I2600" t="str">
        <x:v>ORD-2025-00162</x:v>
      </x:c>
      <x:c r="J2600" t="n">
        <x:v>8</x:v>
      </x:c>
      <x:c r="K2600" t="n">
        <x:v>1</x:v>
      </x:c>
      <x:c r="L2600" t="str">
        <x:v>L25-S08-C1</x:v>
      </x:c>
      <x:c r="M2600" t="n">
        <x:v>1</x:v>
      </x:c>
      <x:c r="N2600" t="str">
        <x:v>DerivedFromCount</x:v>
      </x:c>
      <x:c r="O2600" t="str">
        <x:v>PLC-PRD-JAR-330-L25</x:v>
      </x:c>
      <x:c r="P2600" t="str">
        <x:v>OK</x:v>
      </x:c>
      <x:c r="Q2600" t="str">
        <x:v>OK</x:v>
      </x:c>
      <x:c r="R2600" t="str">
        <x:v>OK</x:v>
      </x:c>
      <x:c r="S2600" t="str">
        <x:v>OK</x:v>
      </x:c>
      <x:c r="T2600" t="n">
        <x:v>24</x:v>
      </x:c>
      <x:c r="U2600" t="str">
        <x:v>OK</x:v>
      </x:c>
      <x:c r="V2600" t="str">
        <x:v>OK</x:v>
      </x:c>
      <x:c r="W2600" t="str">
        <x:v>LOAD</x:v>
      </x:c>
      <x:c r="X2600" t="str">
        <x:v>02_Supervisor_Log(4).xlsx</x:v>
      </x:c>
      <x:c r="Y2600" t="str">
        <x:v>ENH-20260830-01</x:v>
      </x:c>
      <x:c r="Z2600" t="str">
        <x:v>Active</x:v>
      </x:c>
      <x:c r="AA2600"/>
      <x:c r="AB2600"/>
      <x:c r="AC2600"/>
      <x:c r="AD2600"/>
    </x:row>
    <x:row r="2601">
      <x:c r="A2601" t="str">
        <x:v>PCC-PE-KG01-L25-20251025-AM-ORD-2025-00162-S08-C2</x:v>
      </x:c>
      <x:c r="B2601" t="str">
        <x:v>PC-PE-KG01-L25-20251025-AM-ORD-2025-00162-S08</x:v>
      </x:c>
      <x:c r="C2601" t="str">
        <x:v>PE-KG01-L25-20251025-AM-ORD-2025-00162</x:v>
      </x:c>
      <x:c r="D2601" t="str">
        <x:v>KG01</x:v>
      </x:c>
      <x:c r="E2601" s="62" t="n">
        <x:v>45955</x:v>
      </x:c>
      <x:c r="F2601" t="str">
        <x:v>AM</x:v>
      </x:c>
      <x:c r="G2601" t="str">
        <x:v>B</x:v>
      </x:c>
      <x:c r="H2601" t="n">
        <x:v>25</x:v>
      </x:c>
      <x:c r="I2601" t="str">
        <x:v>ORD-2025-00162</x:v>
      </x:c>
      <x:c r="J2601" t="n">
        <x:v>8</x:v>
      </x:c>
      <x:c r="K2601" t="n">
        <x:v>2</x:v>
      </x:c>
      <x:c r="L2601" t="str">
        <x:v>L25-S08-C2</x:v>
      </x:c>
      <x:c r="M2601" t="n">
        <x:v>1</x:v>
      </x:c>
      <x:c r="N2601" t="str">
        <x:v>DerivedFromCount</x:v>
      </x:c>
      <x:c r="O2601" t="str">
        <x:v>PLC-PRD-JAR-330-L25</x:v>
      </x:c>
      <x:c r="P2601" t="str">
        <x:v>OK</x:v>
      </x:c>
      <x:c r="Q2601" t="str">
        <x:v>OK</x:v>
      </x:c>
      <x:c r="R2601" t="str">
        <x:v>OK</x:v>
      </x:c>
      <x:c r="S2601" t="str">
        <x:v>OK</x:v>
      </x:c>
      <x:c r="T2601" t="n">
        <x:v>24</x:v>
      </x:c>
      <x:c r="U2601" t="str">
        <x:v>OK</x:v>
      </x:c>
      <x:c r="V2601" t="str">
        <x:v>OK</x:v>
      </x:c>
      <x:c r="W2601" t="str">
        <x:v>LOAD</x:v>
      </x:c>
      <x:c r="X2601" t="str">
        <x:v>02_Supervisor_Log(4).xlsx</x:v>
      </x:c>
      <x:c r="Y2601" t="str">
        <x:v>ENH-20260830-01</x:v>
      </x:c>
      <x:c r="Z2601" t="str">
        <x:v>Active</x:v>
      </x:c>
      <x:c r="AA2601"/>
      <x:c r="AB2601"/>
      <x:c r="AC2601"/>
      <x:c r="AD2601"/>
    </x:row>
    <x:row r="2602">
      <x:c r="A2602" t="str">
        <x:v>PCC-PE-KG01-L25-20251025-AM-ORD-2025-00162-S08-C3</x:v>
      </x:c>
      <x:c r="B2602" t="str">
        <x:v>PC-PE-KG01-L25-20251025-AM-ORD-2025-00162-S08</x:v>
      </x:c>
      <x:c r="C2602" t="str">
        <x:v>PE-KG01-L25-20251025-AM-ORD-2025-00162</x:v>
      </x:c>
      <x:c r="D2602" t="str">
        <x:v>KG01</x:v>
      </x:c>
      <x:c r="E2602" s="62" t="n">
        <x:v>45955</x:v>
      </x:c>
      <x:c r="F2602" t="str">
        <x:v>AM</x:v>
      </x:c>
      <x:c r="G2602" t="str">
        <x:v>B</x:v>
      </x:c>
      <x:c r="H2602" t="n">
        <x:v>25</x:v>
      </x:c>
      <x:c r="I2602" t="str">
        <x:v>ORD-2025-00162</x:v>
      </x:c>
      <x:c r="J2602" t="n">
        <x:v>8</x:v>
      </x:c>
      <x:c r="K2602" t="n">
        <x:v>3</x:v>
      </x:c>
      <x:c r="L2602" t="str">
        <x:v>L25-S08-C3</x:v>
      </x:c>
      <x:c r="M2602" t="n">
        <x:v>1</x:v>
      </x:c>
      <x:c r="N2602" t="str">
        <x:v>DerivedFromCount</x:v>
      </x:c>
      <x:c r="O2602" t="str">
        <x:v>PLC-PRD-JAR-330-L25</x:v>
      </x:c>
      <x:c r="P2602" t="str">
        <x:v>OK</x:v>
      </x:c>
      <x:c r="Q2602" t="str">
        <x:v>OK</x:v>
      </x:c>
      <x:c r="R2602" t="str">
        <x:v>OK</x:v>
      </x:c>
      <x:c r="S2602" t="str">
        <x:v>OK</x:v>
      </x:c>
      <x:c r="T2602" t="n">
        <x:v>24</x:v>
      </x:c>
      <x:c r="U2602" t="str">
        <x:v>OK</x:v>
      </x:c>
      <x:c r="V2602" t="str">
        <x:v>OK</x:v>
      </x:c>
      <x:c r="W2602" t="str">
        <x:v>LOAD</x:v>
      </x:c>
      <x:c r="X2602" t="str">
        <x:v>02_Supervisor_Log(4).xlsx</x:v>
      </x:c>
      <x:c r="Y2602" t="str">
        <x:v>ENH-20260830-01</x:v>
      </x:c>
      <x:c r="Z2602" t="str">
        <x:v>Active</x:v>
      </x:c>
      <x:c r="AA2602"/>
      <x:c r="AB2602"/>
      <x:c r="AC2602"/>
      <x:c r="AD2602"/>
    </x:row>
    <x:row r="2603">
      <x:c r="A2603" t="str">
        <x:v>PCC-PE-KG01-L25-20251025-AM-ORD-2025-00162-S09-C1</x:v>
      </x:c>
      <x:c r="B2603" t="str">
        <x:v>PC-PE-KG01-L25-20251025-AM-ORD-2025-00162-S09</x:v>
      </x:c>
      <x:c r="C2603" t="str">
        <x:v>PE-KG01-L25-20251025-AM-ORD-2025-00162</x:v>
      </x:c>
      <x:c r="D2603" t="str">
        <x:v>KG01</x:v>
      </x:c>
      <x:c r="E2603" s="62" t="n">
        <x:v>45955</x:v>
      </x:c>
      <x:c r="F2603" t="str">
        <x:v>AM</x:v>
      </x:c>
      <x:c r="G2603" t="str">
        <x:v>B</x:v>
      </x:c>
      <x:c r="H2603" t="n">
        <x:v>25</x:v>
      </x:c>
      <x:c r="I2603" t="str">
        <x:v>ORD-2025-00162</x:v>
      </x:c>
      <x:c r="J2603" t="n">
        <x:v>9</x:v>
      </x:c>
      <x:c r="K2603" t="n">
        <x:v>1</x:v>
      </x:c>
      <x:c r="L2603" t="str">
        <x:v>L25-S09-C1</x:v>
      </x:c>
      <x:c r="M2603" t="n">
        <x:v>0</x:v>
      </x:c>
      <x:c r="N2603" t="str">
        <x:v>DerivedFromCount</x:v>
      </x:c>
      <x:c r="O2603" t="str">
        <x:v>PLC-PRD-JAR-330-L25</x:v>
      </x:c>
      <x:c r="P2603" t="str">
        <x:v>OK</x:v>
      </x:c>
      <x:c r="Q2603" t="str">
        <x:v>OK</x:v>
      </x:c>
      <x:c r="R2603" t="str">
        <x:v>OK</x:v>
      </x:c>
      <x:c r="S2603" t="str">
        <x:v>OK</x:v>
      </x:c>
      <x:c r="T2603" t="n">
        <x:v>24</x:v>
      </x:c>
      <x:c r="U2603" t="str">
        <x:v>OK</x:v>
      </x:c>
      <x:c r="V2603" t="str">
        <x:v>OK</x:v>
      </x:c>
      <x:c r="W2603" t="str">
        <x:v>LOAD</x:v>
      </x:c>
      <x:c r="X2603" t="str">
        <x:v>02_Supervisor_Log(4).xlsx</x:v>
      </x:c>
      <x:c r="Y2603" t="str">
        <x:v>ENH-20260830-01</x:v>
      </x:c>
      <x:c r="Z2603" t="str">
        <x:v>Active</x:v>
      </x:c>
      <x:c r="AA2603"/>
      <x:c r="AB2603"/>
      <x:c r="AC2603"/>
      <x:c r="AD2603"/>
    </x:row>
    <x:row r="2604">
      <x:c r="A2604" t="str">
        <x:v>PCC-PE-KG01-L25-20251025-AM-ORD-2025-00162-S09-C2</x:v>
      </x:c>
      <x:c r="B2604" t="str">
        <x:v>PC-PE-KG01-L25-20251025-AM-ORD-2025-00162-S09</x:v>
      </x:c>
      <x:c r="C2604" t="str">
        <x:v>PE-KG01-L25-20251025-AM-ORD-2025-00162</x:v>
      </x:c>
      <x:c r="D2604" t="str">
        <x:v>KG01</x:v>
      </x:c>
      <x:c r="E2604" s="62" t="n">
        <x:v>45955</x:v>
      </x:c>
      <x:c r="F2604" t="str">
        <x:v>AM</x:v>
      </x:c>
      <x:c r="G2604" t="str">
        <x:v>B</x:v>
      </x:c>
      <x:c r="H2604" t="n">
        <x:v>25</x:v>
      </x:c>
      <x:c r="I2604" t="str">
        <x:v>ORD-2025-00162</x:v>
      </x:c>
      <x:c r="J2604" t="n">
        <x:v>9</x:v>
      </x:c>
      <x:c r="K2604" t="n">
        <x:v>2</x:v>
      </x:c>
      <x:c r="L2604" t="str">
        <x:v>L25-S09-C2</x:v>
      </x:c>
      <x:c r="M2604" t="n">
        <x:v>0</x:v>
      </x:c>
      <x:c r="N2604" t="str">
        <x:v>DerivedFromCount</x:v>
      </x:c>
      <x:c r="O2604" t="str">
        <x:v>PLC-PRD-JAR-330-L25</x:v>
      </x:c>
      <x:c r="P2604" t="str">
        <x:v>OK</x:v>
      </x:c>
      <x:c r="Q2604" t="str">
        <x:v>OK</x:v>
      </x:c>
      <x:c r="R2604" t="str">
        <x:v>OK</x:v>
      </x:c>
      <x:c r="S2604" t="str">
        <x:v>OK</x:v>
      </x:c>
      <x:c r="T2604" t="n">
        <x:v>24</x:v>
      </x:c>
      <x:c r="U2604" t="str">
        <x:v>OK</x:v>
      </x:c>
      <x:c r="V2604" t="str">
        <x:v>OK</x:v>
      </x:c>
      <x:c r="W2604" t="str">
        <x:v>LOAD</x:v>
      </x:c>
      <x:c r="X2604" t="str">
        <x:v>02_Supervisor_Log(4).xlsx</x:v>
      </x:c>
      <x:c r="Y2604" t="str">
        <x:v>ENH-20260830-01</x:v>
      </x:c>
      <x:c r="Z2604" t="str">
        <x:v>Active</x:v>
      </x:c>
      <x:c r="AA2604"/>
      <x:c r="AB2604"/>
      <x:c r="AC2604"/>
      <x:c r="AD2604"/>
    </x:row>
    <x:row r="2605">
      <x:c r="A2605" t="str">
        <x:v>PCC-PE-KG01-L25-20251025-AM-ORD-2025-00162-S09-C3</x:v>
      </x:c>
      <x:c r="B2605" t="str">
        <x:v>PC-PE-KG01-L25-20251025-AM-ORD-2025-00162-S09</x:v>
      </x:c>
      <x:c r="C2605" t="str">
        <x:v>PE-KG01-L25-20251025-AM-ORD-2025-00162</x:v>
      </x:c>
      <x:c r="D2605" t="str">
        <x:v>KG01</x:v>
      </x:c>
      <x:c r="E2605" s="62" t="n">
        <x:v>45955</x:v>
      </x:c>
      <x:c r="F2605" t="str">
        <x:v>AM</x:v>
      </x:c>
      <x:c r="G2605" t="str">
        <x:v>B</x:v>
      </x:c>
      <x:c r="H2605" t="n">
        <x:v>25</x:v>
      </x:c>
      <x:c r="I2605" t="str">
        <x:v>ORD-2025-00162</x:v>
      </x:c>
      <x:c r="J2605" t="n">
        <x:v>9</x:v>
      </x:c>
      <x:c r="K2605" t="n">
        <x:v>3</x:v>
      </x:c>
      <x:c r="L2605" t="str">
        <x:v>L25-S09-C3</x:v>
      </x:c>
      <x:c r="M2605" t="n">
        <x:v>0</x:v>
      </x:c>
      <x:c r="N2605" t="str">
        <x:v>DerivedFromCount</x:v>
      </x:c>
      <x:c r="O2605" t="str">
        <x:v>PLC-PRD-JAR-330-L25</x:v>
      </x:c>
      <x:c r="P2605" t="str">
        <x:v>OK</x:v>
      </x:c>
      <x:c r="Q2605" t="str">
        <x:v>OK</x:v>
      </x:c>
      <x:c r="R2605" t="str">
        <x:v>OK</x:v>
      </x:c>
      <x:c r="S2605" t="str">
        <x:v>OK</x:v>
      </x:c>
      <x:c r="T2605" t="n">
        <x:v>24</x:v>
      </x:c>
      <x:c r="U2605" t="str">
        <x:v>OK</x:v>
      </x:c>
      <x:c r="V2605" t="str">
        <x:v>OK</x:v>
      </x:c>
      <x:c r="W2605" t="str">
        <x:v>LOAD</x:v>
      </x:c>
      <x:c r="X2605" t="str">
        <x:v>02_Supervisor_Log(4).xlsx</x:v>
      </x:c>
      <x:c r="Y2605" t="str">
        <x:v>ENH-20260830-01</x:v>
      </x:c>
      <x:c r="Z2605" t="str">
        <x:v>Active</x:v>
      </x:c>
      <x:c r="AA2605"/>
      <x:c r="AB2605"/>
      <x:c r="AC2605"/>
      <x:c r="AD2605"/>
    </x:row>
    <x:row r="2606">
      <x:c r="A2606" t="str">
        <x:v>PCC-PE-KG01-L25-20251025-AM-ORD-2025-00162-S10-C1</x:v>
      </x:c>
      <x:c r="B2606" t="str">
        <x:v>PC-PE-KG01-L25-20251025-AM-ORD-2025-00162-S10</x:v>
      </x:c>
      <x:c r="C2606" t="str">
        <x:v>PE-KG01-L25-20251025-AM-ORD-2025-00162</x:v>
      </x:c>
      <x:c r="D2606" t="str">
        <x:v>KG01</x:v>
      </x:c>
      <x:c r="E2606" s="62" t="n">
        <x:v>45955</x:v>
      </x:c>
      <x:c r="F2606" t="str">
        <x:v>AM</x:v>
      </x:c>
      <x:c r="G2606" t="str">
        <x:v>B</x:v>
      </x:c>
      <x:c r="H2606" t="n">
        <x:v>25</x:v>
      </x:c>
      <x:c r="I2606" t="str">
        <x:v>ORD-2025-00162</x:v>
      </x:c>
      <x:c r="J2606" t="n">
        <x:v>10</x:v>
      </x:c>
      <x:c r="K2606" t="n">
        <x:v>1</x:v>
      </x:c>
      <x:c r="L2606" t="str">
        <x:v>L25-S10-C1</x:v>
      </x:c>
      <x:c r="M2606" t="n">
        <x:v>0</x:v>
      </x:c>
      <x:c r="N2606" t="str">
        <x:v>DerivedFromCount</x:v>
      </x:c>
      <x:c r="O2606" t="str">
        <x:v>PLC-PRD-JAR-330-L25</x:v>
      </x:c>
      <x:c r="P2606" t="str">
        <x:v>OK</x:v>
      </x:c>
      <x:c r="Q2606" t="str">
        <x:v>OK</x:v>
      </x:c>
      <x:c r="R2606" t="str">
        <x:v>OK</x:v>
      </x:c>
      <x:c r="S2606" t="str">
        <x:v>OK</x:v>
      </x:c>
      <x:c r="T2606" t="n">
        <x:v>24</x:v>
      </x:c>
      <x:c r="U2606" t="str">
        <x:v>OK</x:v>
      </x:c>
      <x:c r="V2606" t="str">
        <x:v>OK</x:v>
      </x:c>
      <x:c r="W2606" t="str">
        <x:v>LOAD</x:v>
      </x:c>
      <x:c r="X2606" t="str">
        <x:v>02_Supervisor_Log(4).xlsx</x:v>
      </x:c>
      <x:c r="Y2606" t="str">
        <x:v>ENH-20260830-01</x:v>
      </x:c>
      <x:c r="Z2606" t="str">
        <x:v>Active</x:v>
      </x:c>
      <x:c r="AA2606"/>
      <x:c r="AB2606"/>
      <x:c r="AC2606"/>
      <x:c r="AD2606"/>
    </x:row>
    <x:row r="2607">
      <x:c r="A2607" t="str">
        <x:v>PCC-PE-KG01-L25-20251025-AM-ORD-2025-00162-S10-C2</x:v>
      </x:c>
      <x:c r="B2607" t="str">
        <x:v>PC-PE-KG01-L25-20251025-AM-ORD-2025-00162-S10</x:v>
      </x:c>
      <x:c r="C2607" t="str">
        <x:v>PE-KG01-L25-20251025-AM-ORD-2025-00162</x:v>
      </x:c>
      <x:c r="D2607" t="str">
        <x:v>KG01</x:v>
      </x:c>
      <x:c r="E2607" s="62" t="n">
        <x:v>45955</x:v>
      </x:c>
      <x:c r="F2607" t="str">
        <x:v>AM</x:v>
      </x:c>
      <x:c r="G2607" t="str">
        <x:v>B</x:v>
      </x:c>
      <x:c r="H2607" t="n">
        <x:v>25</x:v>
      </x:c>
      <x:c r="I2607" t="str">
        <x:v>ORD-2025-00162</x:v>
      </x:c>
      <x:c r="J2607" t="n">
        <x:v>10</x:v>
      </x:c>
      <x:c r="K2607" t="n">
        <x:v>2</x:v>
      </x:c>
      <x:c r="L2607" t="str">
        <x:v>L25-S10-C2</x:v>
      </x:c>
      <x:c r="M2607" t="n">
        <x:v>0</x:v>
      </x:c>
      <x:c r="N2607" t="str">
        <x:v>DerivedFromCount</x:v>
      </x:c>
      <x:c r="O2607" t="str">
        <x:v>PLC-PRD-JAR-330-L25</x:v>
      </x:c>
      <x:c r="P2607" t="str">
        <x:v>OK</x:v>
      </x:c>
      <x:c r="Q2607" t="str">
        <x:v>OK</x:v>
      </x:c>
      <x:c r="R2607" t="str">
        <x:v>OK</x:v>
      </x:c>
      <x:c r="S2607" t="str">
        <x:v>OK</x:v>
      </x:c>
      <x:c r="T2607" t="n">
        <x:v>24</x:v>
      </x:c>
      <x:c r="U2607" t="str">
        <x:v>OK</x:v>
      </x:c>
      <x:c r="V2607" t="str">
        <x:v>OK</x:v>
      </x:c>
      <x:c r="W2607" t="str">
        <x:v>LOAD</x:v>
      </x:c>
      <x:c r="X2607" t="str">
        <x:v>02_Supervisor_Log(4).xlsx</x:v>
      </x:c>
      <x:c r="Y2607" t="str">
        <x:v>ENH-20260830-01</x:v>
      </x:c>
      <x:c r="Z2607" t="str">
        <x:v>Active</x:v>
      </x:c>
      <x:c r="AA2607"/>
      <x:c r="AB2607"/>
      <x:c r="AC2607"/>
      <x:c r="AD2607"/>
    </x:row>
    <x:row r="2608">
      <x:c r="A2608" t="str">
        <x:v>PCC-PE-KG01-L25-20251025-AM-ORD-2025-00162-S10-C3</x:v>
      </x:c>
      <x:c r="B2608" t="str">
        <x:v>PC-PE-KG01-L25-20251025-AM-ORD-2025-00162-S10</x:v>
      </x:c>
      <x:c r="C2608" t="str">
        <x:v>PE-KG01-L25-20251025-AM-ORD-2025-00162</x:v>
      </x:c>
      <x:c r="D2608" t="str">
        <x:v>KG01</x:v>
      </x:c>
      <x:c r="E2608" s="62" t="n">
        <x:v>45955</x:v>
      </x:c>
      <x:c r="F2608" t="str">
        <x:v>AM</x:v>
      </x:c>
      <x:c r="G2608" t="str">
        <x:v>B</x:v>
      </x:c>
      <x:c r="H2608" t="n">
        <x:v>25</x:v>
      </x:c>
      <x:c r="I2608" t="str">
        <x:v>ORD-2025-00162</x:v>
      </x:c>
      <x:c r="J2608" t="n">
        <x:v>10</x:v>
      </x:c>
      <x:c r="K2608" t="n">
        <x:v>3</x:v>
      </x:c>
      <x:c r="L2608" t="str">
        <x:v>L25-S10-C3</x:v>
      </x:c>
      <x:c r="M2608" t="n">
        <x:v>0</x:v>
      </x:c>
      <x:c r="N2608" t="str">
        <x:v>DerivedFromCount</x:v>
      </x:c>
      <x:c r="O2608" t="str">
        <x:v>PLC-PRD-JAR-330-L25</x:v>
      </x:c>
      <x:c r="P2608" t="str">
        <x:v>OK</x:v>
      </x:c>
      <x:c r="Q2608" t="str">
        <x:v>OK</x:v>
      </x:c>
      <x:c r="R2608" t="str">
        <x:v>OK</x:v>
      </x:c>
      <x:c r="S2608" t="str">
        <x:v>OK</x:v>
      </x:c>
      <x:c r="T2608" t="n">
        <x:v>24</x:v>
      </x:c>
      <x:c r="U2608" t="str">
        <x:v>OK</x:v>
      </x:c>
      <x:c r="V2608" t="str">
        <x:v>OK</x:v>
      </x:c>
      <x:c r="W2608" t="str">
        <x:v>LOAD</x:v>
      </x:c>
      <x:c r="X2608" t="str">
        <x:v>02_Supervisor_Log(4).xlsx</x:v>
      </x:c>
      <x:c r="Y2608" t="str">
        <x:v>ENH-20260830-01</x:v>
      </x:c>
      <x:c r="Z2608" t="str">
        <x:v>Active</x:v>
      </x:c>
      <x:c r="AA2608"/>
      <x:c r="AB2608"/>
      <x:c r="AC2608"/>
      <x:c r="AD2608"/>
    </x:row>
    <x:row r="2609">
      <x:c r="A2609" t="str">
        <x:v>PCC-PE-KG01-L25-20251025-AM-ORD-2025-00162-S11-C1</x:v>
      </x:c>
      <x:c r="B2609" t="str">
        <x:v>PC-PE-KG01-L25-20251025-AM-ORD-2025-00162-S11</x:v>
      </x:c>
      <x:c r="C2609" t="str">
        <x:v>PE-KG01-L25-20251025-AM-ORD-2025-00162</x:v>
      </x:c>
      <x:c r="D2609" t="str">
        <x:v>KG01</x:v>
      </x:c>
      <x:c r="E2609" s="62" t="n">
        <x:v>45955</x:v>
      </x:c>
      <x:c r="F2609" t="str">
        <x:v>AM</x:v>
      </x:c>
      <x:c r="G2609" t="str">
        <x:v>B</x:v>
      </x:c>
      <x:c r="H2609" t="n">
        <x:v>25</x:v>
      </x:c>
      <x:c r="I2609" t="str">
        <x:v>ORD-2025-00162</x:v>
      </x:c>
      <x:c r="J2609" t="n">
        <x:v>11</x:v>
      </x:c>
      <x:c r="K2609" t="n">
        <x:v>1</x:v>
      </x:c>
      <x:c r="L2609" t="str">
        <x:v>L25-S11-C1</x:v>
      </x:c>
      <x:c r="M2609" t="n">
        <x:v>0</x:v>
      </x:c>
      <x:c r="N2609" t="str">
        <x:v>DerivedFromCount</x:v>
      </x:c>
      <x:c r="O2609" t="str">
        <x:v>PLC-PRD-JAR-330-L25</x:v>
      </x:c>
      <x:c r="P2609" t="str">
        <x:v>OK</x:v>
      </x:c>
      <x:c r="Q2609" t="str">
        <x:v>OK</x:v>
      </x:c>
      <x:c r="R2609" t="str">
        <x:v>OK</x:v>
      </x:c>
      <x:c r="S2609" t="str">
        <x:v>OK</x:v>
      </x:c>
      <x:c r="T2609" t="n">
        <x:v>24</x:v>
      </x:c>
      <x:c r="U2609" t="str">
        <x:v>OK</x:v>
      </x:c>
      <x:c r="V2609" t="str">
        <x:v>OK</x:v>
      </x:c>
      <x:c r="W2609" t="str">
        <x:v>LOAD</x:v>
      </x:c>
      <x:c r="X2609" t="str">
        <x:v>02_Supervisor_Log(4).xlsx</x:v>
      </x:c>
      <x:c r="Y2609" t="str">
        <x:v>ENH-20260830-01</x:v>
      </x:c>
      <x:c r="Z2609" t="str">
        <x:v>Active</x:v>
      </x:c>
      <x:c r="AA2609"/>
      <x:c r="AB2609"/>
      <x:c r="AC2609"/>
      <x:c r="AD2609"/>
    </x:row>
    <x:row r="2610">
      <x:c r="A2610" t="str">
        <x:v>PCC-PE-KG01-L25-20251025-AM-ORD-2025-00162-S11-C2</x:v>
      </x:c>
      <x:c r="B2610" t="str">
        <x:v>PC-PE-KG01-L25-20251025-AM-ORD-2025-00162-S11</x:v>
      </x:c>
      <x:c r="C2610" t="str">
        <x:v>PE-KG01-L25-20251025-AM-ORD-2025-00162</x:v>
      </x:c>
      <x:c r="D2610" t="str">
        <x:v>KG01</x:v>
      </x:c>
      <x:c r="E2610" s="62" t="n">
        <x:v>45955</x:v>
      </x:c>
      <x:c r="F2610" t="str">
        <x:v>AM</x:v>
      </x:c>
      <x:c r="G2610" t="str">
        <x:v>B</x:v>
      </x:c>
      <x:c r="H2610" t="n">
        <x:v>25</x:v>
      </x:c>
      <x:c r="I2610" t="str">
        <x:v>ORD-2025-00162</x:v>
      </x:c>
      <x:c r="J2610" t="n">
        <x:v>11</x:v>
      </x:c>
      <x:c r="K2610" t="n">
        <x:v>2</x:v>
      </x:c>
      <x:c r="L2610" t="str">
        <x:v>L25-S11-C2</x:v>
      </x:c>
      <x:c r="M2610" t="n">
        <x:v>0</x:v>
      </x:c>
      <x:c r="N2610" t="str">
        <x:v>DerivedFromCount</x:v>
      </x:c>
      <x:c r="O2610" t="str">
        <x:v>PLC-PRD-JAR-330-L25</x:v>
      </x:c>
      <x:c r="P2610" t="str">
        <x:v>OK</x:v>
      </x:c>
      <x:c r="Q2610" t="str">
        <x:v>OK</x:v>
      </x:c>
      <x:c r="R2610" t="str">
        <x:v>OK</x:v>
      </x:c>
      <x:c r="S2610" t="str">
        <x:v>OK</x:v>
      </x:c>
      <x:c r="T2610" t="n">
        <x:v>24</x:v>
      </x:c>
      <x:c r="U2610" t="str">
        <x:v>OK</x:v>
      </x:c>
      <x:c r="V2610" t="str">
        <x:v>OK</x:v>
      </x:c>
      <x:c r="W2610" t="str">
        <x:v>LOAD</x:v>
      </x:c>
      <x:c r="X2610" t="str">
        <x:v>02_Supervisor_Log(4).xlsx</x:v>
      </x:c>
      <x:c r="Y2610" t="str">
        <x:v>ENH-20260830-01</x:v>
      </x:c>
      <x:c r="Z2610" t="str">
        <x:v>Active</x:v>
      </x:c>
      <x:c r="AA2610"/>
      <x:c r="AB2610"/>
      <x:c r="AC2610"/>
      <x:c r="AD2610"/>
    </x:row>
    <x:row r="2611">
      <x:c r="A2611" t="str">
        <x:v>PCC-PE-KG01-L25-20251025-AM-ORD-2025-00162-S11-C3</x:v>
      </x:c>
      <x:c r="B2611" t="str">
        <x:v>PC-PE-KG01-L25-20251025-AM-ORD-2025-00162-S11</x:v>
      </x:c>
      <x:c r="C2611" t="str">
        <x:v>PE-KG01-L25-20251025-AM-ORD-2025-00162</x:v>
      </x:c>
      <x:c r="D2611" t="str">
        <x:v>KG01</x:v>
      </x:c>
      <x:c r="E2611" s="62" t="n">
        <x:v>45955</x:v>
      </x:c>
      <x:c r="F2611" t="str">
        <x:v>AM</x:v>
      </x:c>
      <x:c r="G2611" t="str">
        <x:v>B</x:v>
      </x:c>
      <x:c r="H2611" t="n">
        <x:v>25</x:v>
      </x:c>
      <x:c r="I2611" t="str">
        <x:v>ORD-2025-00162</x:v>
      </x:c>
      <x:c r="J2611" t="n">
        <x:v>11</x:v>
      </x:c>
      <x:c r="K2611" t="n">
        <x:v>3</x:v>
      </x:c>
      <x:c r="L2611" t="str">
        <x:v>L25-S11-C3</x:v>
      </x:c>
      <x:c r="M2611" t="n">
        <x:v>0</x:v>
      </x:c>
      <x:c r="N2611" t="str">
        <x:v>DerivedFromCount</x:v>
      </x:c>
      <x:c r="O2611" t="str">
        <x:v>PLC-PRD-JAR-330-L25</x:v>
      </x:c>
      <x:c r="P2611" t="str">
        <x:v>OK</x:v>
      </x:c>
      <x:c r="Q2611" t="str">
        <x:v>OK</x:v>
      </x:c>
      <x:c r="R2611" t="str">
        <x:v>OK</x:v>
      </x:c>
      <x:c r="S2611" t="str">
        <x:v>OK</x:v>
      </x:c>
      <x:c r="T2611" t="n">
        <x:v>24</x:v>
      </x:c>
      <x:c r="U2611" t="str">
        <x:v>OK</x:v>
      </x:c>
      <x:c r="V2611" t="str">
        <x:v>OK</x:v>
      </x:c>
      <x:c r="W2611" t="str">
        <x:v>LOAD</x:v>
      </x:c>
      <x:c r="X2611" t="str">
        <x:v>02_Supervisor_Log(4).xlsx</x:v>
      </x:c>
      <x:c r="Y2611" t="str">
        <x:v>ENH-20260830-01</x:v>
      </x:c>
      <x:c r="Z2611" t="str">
        <x:v>Active</x:v>
      </x:c>
      <x:c r="AA2611"/>
      <x:c r="AB2611"/>
      <x:c r="AC2611"/>
      <x:c r="AD2611"/>
    </x:row>
    <x:row r="2612">
      <x:c r="A2612" t="str">
        <x:v>PCC-PE-KG01-L25-20251025-AM-ORD-2025-00162-S12-C1</x:v>
      </x:c>
      <x:c r="B2612" t="str">
        <x:v>PC-PE-KG01-L25-20251025-AM-ORD-2025-00162-S12</x:v>
      </x:c>
      <x:c r="C2612" t="str">
        <x:v>PE-KG01-L25-20251025-AM-ORD-2025-00162</x:v>
      </x:c>
      <x:c r="D2612" t="str">
        <x:v>KG01</x:v>
      </x:c>
      <x:c r="E2612" s="62" t="n">
        <x:v>45955</x:v>
      </x:c>
      <x:c r="F2612" t="str">
        <x:v>AM</x:v>
      </x:c>
      <x:c r="G2612" t="str">
        <x:v>B</x:v>
      </x:c>
      <x:c r="H2612" t="n">
        <x:v>25</x:v>
      </x:c>
      <x:c r="I2612" t="str">
        <x:v>ORD-2025-00162</x:v>
      </x:c>
      <x:c r="J2612" t="n">
        <x:v>12</x:v>
      </x:c>
      <x:c r="K2612" t="n">
        <x:v>1</x:v>
      </x:c>
      <x:c r="L2612" t="str">
        <x:v>L25-S12-C1</x:v>
      </x:c>
      <x:c r="M2612" t="n">
        <x:v>0</x:v>
      </x:c>
      <x:c r="N2612" t="str">
        <x:v>DerivedFromCount</x:v>
      </x:c>
      <x:c r="O2612" t="str">
        <x:v>PLC-PRD-JAR-330-L25</x:v>
      </x:c>
      <x:c r="P2612" t="str">
        <x:v>OK</x:v>
      </x:c>
      <x:c r="Q2612" t="str">
        <x:v>OK</x:v>
      </x:c>
      <x:c r="R2612" t="str">
        <x:v>OK</x:v>
      </x:c>
      <x:c r="S2612" t="str">
        <x:v>OK</x:v>
      </x:c>
      <x:c r="T2612" t="n">
        <x:v>24</x:v>
      </x:c>
      <x:c r="U2612" t="str">
        <x:v>OK</x:v>
      </x:c>
      <x:c r="V2612" t="str">
        <x:v>OK</x:v>
      </x:c>
      <x:c r="W2612" t="str">
        <x:v>LOAD</x:v>
      </x:c>
      <x:c r="X2612" t="str">
        <x:v>02_Supervisor_Log(4).xlsx</x:v>
      </x:c>
      <x:c r="Y2612" t="str">
        <x:v>ENH-20260830-01</x:v>
      </x:c>
      <x:c r="Z2612" t="str">
        <x:v>Active</x:v>
      </x:c>
      <x:c r="AA2612"/>
      <x:c r="AB2612"/>
      <x:c r="AC2612"/>
      <x:c r="AD2612"/>
    </x:row>
    <x:row r="2613">
      <x:c r="A2613" t="str">
        <x:v>PCC-PE-KG01-L25-20251025-AM-ORD-2025-00162-S12-C2</x:v>
      </x:c>
      <x:c r="B2613" t="str">
        <x:v>PC-PE-KG01-L25-20251025-AM-ORD-2025-00162-S12</x:v>
      </x:c>
      <x:c r="C2613" t="str">
        <x:v>PE-KG01-L25-20251025-AM-ORD-2025-00162</x:v>
      </x:c>
      <x:c r="D2613" t="str">
        <x:v>KG01</x:v>
      </x:c>
      <x:c r="E2613" s="62" t="n">
        <x:v>45955</x:v>
      </x:c>
      <x:c r="F2613" t="str">
        <x:v>AM</x:v>
      </x:c>
      <x:c r="G2613" t="str">
        <x:v>B</x:v>
      </x:c>
      <x:c r="H2613" t="n">
        <x:v>25</x:v>
      </x:c>
      <x:c r="I2613" t="str">
        <x:v>ORD-2025-00162</x:v>
      </x:c>
      <x:c r="J2613" t="n">
        <x:v>12</x:v>
      </x:c>
      <x:c r="K2613" t="n">
        <x:v>2</x:v>
      </x:c>
      <x:c r="L2613" t="str">
        <x:v>L25-S12-C2</x:v>
      </x:c>
      <x:c r="M2613" t="n">
        <x:v>0</x:v>
      </x:c>
      <x:c r="N2613" t="str">
        <x:v>DerivedFromCount</x:v>
      </x:c>
      <x:c r="O2613" t="str">
        <x:v>PLC-PRD-JAR-330-L25</x:v>
      </x:c>
      <x:c r="P2613" t="str">
        <x:v>OK</x:v>
      </x:c>
      <x:c r="Q2613" t="str">
        <x:v>OK</x:v>
      </x:c>
      <x:c r="R2613" t="str">
        <x:v>OK</x:v>
      </x:c>
      <x:c r="S2613" t="str">
        <x:v>OK</x:v>
      </x:c>
      <x:c r="T2613" t="n">
        <x:v>24</x:v>
      </x:c>
      <x:c r="U2613" t="str">
        <x:v>OK</x:v>
      </x:c>
      <x:c r="V2613" t="str">
        <x:v>OK</x:v>
      </x:c>
      <x:c r="W2613" t="str">
        <x:v>LOAD</x:v>
      </x:c>
      <x:c r="X2613" t="str">
        <x:v>02_Supervisor_Log(4).xlsx</x:v>
      </x:c>
      <x:c r="Y2613" t="str">
        <x:v>ENH-20260830-01</x:v>
      </x:c>
      <x:c r="Z2613" t="str">
        <x:v>Active</x:v>
      </x:c>
      <x:c r="AA2613"/>
      <x:c r="AB2613"/>
      <x:c r="AC2613"/>
      <x:c r="AD2613"/>
    </x:row>
    <x:row r="2614">
      <x:c r="A2614" t="str">
        <x:v>PCC-PE-KG01-L25-20251025-AM-ORD-2025-00162-S12-C3</x:v>
      </x:c>
      <x:c r="B2614" t="str">
        <x:v>PC-PE-KG01-L25-20251025-AM-ORD-2025-00162-S12</x:v>
      </x:c>
      <x:c r="C2614" t="str">
        <x:v>PE-KG01-L25-20251025-AM-ORD-2025-00162</x:v>
      </x:c>
      <x:c r="D2614" t="str">
        <x:v>KG01</x:v>
      </x:c>
      <x:c r="E2614" s="62" t="n">
        <x:v>45955</x:v>
      </x:c>
      <x:c r="F2614" t="str">
        <x:v>AM</x:v>
      </x:c>
      <x:c r="G2614" t="str">
        <x:v>B</x:v>
      </x:c>
      <x:c r="H2614" t="n">
        <x:v>25</x:v>
      </x:c>
      <x:c r="I2614" t="str">
        <x:v>ORD-2025-00162</x:v>
      </x:c>
      <x:c r="J2614" t="n">
        <x:v>12</x:v>
      </x:c>
      <x:c r="K2614" t="n">
        <x:v>3</x:v>
      </x:c>
      <x:c r="L2614" t="str">
        <x:v>L25-S12-C3</x:v>
      </x:c>
      <x:c r="M2614" t="n">
        <x:v>0</x:v>
      </x:c>
      <x:c r="N2614" t="str">
        <x:v>DerivedFromCount</x:v>
      </x:c>
      <x:c r="O2614" t="str">
        <x:v>PLC-PRD-JAR-330-L25</x:v>
      </x:c>
      <x:c r="P2614" t="str">
        <x:v>OK</x:v>
      </x:c>
      <x:c r="Q2614" t="str">
        <x:v>OK</x:v>
      </x:c>
      <x:c r="R2614" t="str">
        <x:v>OK</x:v>
      </x:c>
      <x:c r="S2614" t="str">
        <x:v>OK</x:v>
      </x:c>
      <x:c r="T2614" t="n">
        <x:v>24</x:v>
      </x:c>
      <x:c r="U2614" t="str">
        <x:v>OK</x:v>
      </x:c>
      <x:c r="V2614" t="str">
        <x:v>OK</x:v>
      </x:c>
      <x:c r="W2614" t="str">
        <x:v>LOAD</x:v>
      </x:c>
      <x:c r="X2614" t="str">
        <x:v>02_Supervisor_Log(4).xlsx</x:v>
      </x:c>
      <x:c r="Y2614" t="str">
        <x:v>ENH-20260830-01</x:v>
      </x:c>
      <x:c r="Z2614" t="str">
        <x:v>Active</x:v>
      </x:c>
      <x:c r="AA2614"/>
      <x:c r="AB2614"/>
      <x:c r="AC2614"/>
      <x:c r="AD2614"/>
    </x:row>
    <x:row r="2615">
      <x:c r="A2615" t="str">
        <x:v>PCC-PE-KG01-L25-20251025-AM-ORD-2025-00162-S13-C1</x:v>
      </x:c>
      <x:c r="B2615" t="str">
        <x:v>PC-PE-KG01-L25-20251025-AM-ORD-2025-00162-S13</x:v>
      </x:c>
      <x:c r="C2615" t="str">
        <x:v>PE-KG01-L25-20251025-AM-ORD-2025-00162</x:v>
      </x:c>
      <x:c r="D2615" t="str">
        <x:v>KG01</x:v>
      </x:c>
      <x:c r="E2615" s="62" t="n">
        <x:v>45955</x:v>
      </x:c>
      <x:c r="F2615" t="str">
        <x:v>AM</x:v>
      </x:c>
      <x:c r="G2615" t="str">
        <x:v>B</x:v>
      </x:c>
      <x:c r="H2615" t="n">
        <x:v>25</x:v>
      </x:c>
      <x:c r="I2615" t="str">
        <x:v>ORD-2025-00162</x:v>
      </x:c>
      <x:c r="J2615" t="n">
        <x:v>13</x:v>
      </x:c>
      <x:c r="K2615" t="n">
        <x:v>1</x:v>
      </x:c>
      <x:c r="L2615" t="str">
        <x:v>L25-S13-C1</x:v>
      </x:c>
      <x:c r="M2615" t="n">
        <x:v>0</x:v>
      </x:c>
      <x:c r="N2615" t="str">
        <x:v>DerivedFromCount</x:v>
      </x:c>
      <x:c r="O2615" t="str">
        <x:v>PLC-PRD-JAR-330-L25</x:v>
      </x:c>
      <x:c r="P2615" t="str">
        <x:v>OK</x:v>
      </x:c>
      <x:c r="Q2615" t="str">
        <x:v>OK</x:v>
      </x:c>
      <x:c r="R2615" t="str">
        <x:v>OK</x:v>
      </x:c>
      <x:c r="S2615" t="str">
        <x:v>OK</x:v>
      </x:c>
      <x:c r="T2615" t="n">
        <x:v>24</x:v>
      </x:c>
      <x:c r="U2615" t="str">
        <x:v>OK</x:v>
      </x:c>
      <x:c r="V2615" t="str">
        <x:v>OK</x:v>
      </x:c>
      <x:c r="W2615" t="str">
        <x:v>LOAD</x:v>
      </x:c>
      <x:c r="X2615" t="str">
        <x:v>02_Supervisor_Log(4).xlsx</x:v>
      </x:c>
      <x:c r="Y2615" t="str">
        <x:v>ENH-20260830-01</x:v>
      </x:c>
      <x:c r="Z2615" t="str">
        <x:v>Active</x:v>
      </x:c>
      <x:c r="AA2615"/>
      <x:c r="AB2615"/>
      <x:c r="AC2615"/>
      <x:c r="AD2615"/>
    </x:row>
    <x:row r="2616">
      <x:c r="A2616" t="str">
        <x:v>PCC-PE-KG01-L25-20251025-AM-ORD-2025-00162-S13-C2</x:v>
      </x:c>
      <x:c r="B2616" t="str">
        <x:v>PC-PE-KG01-L25-20251025-AM-ORD-2025-00162-S13</x:v>
      </x:c>
      <x:c r="C2616" t="str">
        <x:v>PE-KG01-L25-20251025-AM-ORD-2025-00162</x:v>
      </x:c>
      <x:c r="D2616" t="str">
        <x:v>KG01</x:v>
      </x:c>
      <x:c r="E2616" s="62" t="n">
        <x:v>45955</x:v>
      </x:c>
      <x:c r="F2616" t="str">
        <x:v>AM</x:v>
      </x:c>
      <x:c r="G2616" t="str">
        <x:v>B</x:v>
      </x:c>
      <x:c r="H2616" t="n">
        <x:v>25</x:v>
      </x:c>
      <x:c r="I2616" t="str">
        <x:v>ORD-2025-00162</x:v>
      </x:c>
      <x:c r="J2616" t="n">
        <x:v>13</x:v>
      </x:c>
      <x:c r="K2616" t="n">
        <x:v>2</x:v>
      </x:c>
      <x:c r="L2616" t="str">
        <x:v>L25-S13-C2</x:v>
      </x:c>
      <x:c r="M2616" t="n">
        <x:v>0</x:v>
      </x:c>
      <x:c r="N2616" t="str">
        <x:v>DerivedFromCount</x:v>
      </x:c>
      <x:c r="O2616" t="str">
        <x:v>PLC-PRD-JAR-330-L25</x:v>
      </x:c>
      <x:c r="P2616" t="str">
        <x:v>OK</x:v>
      </x:c>
      <x:c r="Q2616" t="str">
        <x:v>OK</x:v>
      </x:c>
      <x:c r="R2616" t="str">
        <x:v>OK</x:v>
      </x:c>
      <x:c r="S2616" t="str">
        <x:v>OK</x:v>
      </x:c>
      <x:c r="T2616" t="n">
        <x:v>24</x:v>
      </x:c>
      <x:c r="U2616" t="str">
        <x:v>OK</x:v>
      </x:c>
      <x:c r="V2616" t="str">
        <x:v>OK</x:v>
      </x:c>
      <x:c r="W2616" t="str">
        <x:v>LOAD</x:v>
      </x:c>
      <x:c r="X2616" t="str">
        <x:v>02_Supervisor_Log(4).xlsx</x:v>
      </x:c>
      <x:c r="Y2616" t="str">
        <x:v>ENH-20260830-01</x:v>
      </x:c>
      <x:c r="Z2616" t="str">
        <x:v>Active</x:v>
      </x:c>
      <x:c r="AA2616"/>
      <x:c r="AB2616"/>
      <x:c r="AC2616"/>
      <x:c r="AD2616"/>
    </x:row>
    <x:row r="2617">
      <x:c r="A2617" t="str">
        <x:v>PCC-PE-KG01-L25-20251025-AM-ORD-2025-00162-S13-C3</x:v>
      </x:c>
      <x:c r="B2617" t="str">
        <x:v>PC-PE-KG01-L25-20251025-AM-ORD-2025-00162-S13</x:v>
      </x:c>
      <x:c r="C2617" t="str">
        <x:v>PE-KG01-L25-20251025-AM-ORD-2025-00162</x:v>
      </x:c>
      <x:c r="D2617" t="str">
        <x:v>KG01</x:v>
      </x:c>
      <x:c r="E2617" s="62" t="n">
        <x:v>45955</x:v>
      </x:c>
      <x:c r="F2617" t="str">
        <x:v>AM</x:v>
      </x:c>
      <x:c r="G2617" t="str">
        <x:v>B</x:v>
      </x:c>
      <x:c r="H2617" t="n">
        <x:v>25</x:v>
      </x:c>
      <x:c r="I2617" t="str">
        <x:v>ORD-2025-00162</x:v>
      </x:c>
      <x:c r="J2617" t="n">
        <x:v>13</x:v>
      </x:c>
      <x:c r="K2617" t="n">
        <x:v>3</x:v>
      </x:c>
      <x:c r="L2617" t="str">
        <x:v>L25-S13-C3</x:v>
      </x:c>
      <x:c r="M2617" t="n">
        <x:v>0</x:v>
      </x:c>
      <x:c r="N2617" t="str">
        <x:v>DerivedFromCount</x:v>
      </x:c>
      <x:c r="O2617" t="str">
        <x:v>PLC-PRD-JAR-330-L25</x:v>
      </x:c>
      <x:c r="P2617" t="str">
        <x:v>OK</x:v>
      </x:c>
      <x:c r="Q2617" t="str">
        <x:v>OK</x:v>
      </x:c>
      <x:c r="R2617" t="str">
        <x:v>OK</x:v>
      </x:c>
      <x:c r="S2617" t="str">
        <x:v>OK</x:v>
      </x:c>
      <x:c r="T2617" t="n">
        <x:v>24</x:v>
      </x:c>
      <x:c r="U2617" t="str">
        <x:v>OK</x:v>
      </x:c>
      <x:c r="V2617" t="str">
        <x:v>OK</x:v>
      </x:c>
      <x:c r="W2617" t="str">
        <x:v>LOAD</x:v>
      </x:c>
      <x:c r="X2617" t="str">
        <x:v>02_Supervisor_Log(4).xlsx</x:v>
      </x:c>
      <x:c r="Y2617" t="str">
        <x:v>ENH-20260830-01</x:v>
      </x:c>
      <x:c r="Z2617" t="str">
        <x:v>Active</x:v>
      </x:c>
      <x:c r="AA2617"/>
      <x:c r="AB2617"/>
      <x:c r="AC2617"/>
      <x:c r="AD2617"/>
    </x:row>
    <x:row r="2618">
      <x:c r="A2618" t="str">
        <x:v>PCC-PE-KG01-L25-20251025-PM-ORD-2025-00162-S01-C1</x:v>
      </x:c>
      <x:c r="B2618" t="str">
        <x:v>PC-PE-KG01-L25-20251025-PM-ORD-2025-00162-S01</x:v>
      </x:c>
      <x:c r="C2618" t="str">
        <x:v>PE-KG01-L25-20251025-PM-ORD-2025-00162</x:v>
      </x:c>
      <x:c r="D2618" t="str">
        <x:v>KG01</x:v>
      </x:c>
      <x:c r="E2618" s="62" t="n">
        <x:v>45955</x:v>
      </x:c>
      <x:c r="F2618" t="str">
        <x:v>PM</x:v>
      </x:c>
      <x:c r="G2618" t="str">
        <x:v>C</x:v>
      </x:c>
      <x:c r="H2618" t="n">
        <x:v>25</x:v>
      </x:c>
      <x:c r="I2618" t="str">
        <x:v>ORD-2025-00162</x:v>
      </x:c>
      <x:c r="J2618" t="n">
        <x:v>1</x:v>
      </x:c>
      <x:c r="K2618" t="n">
        <x:v>1</x:v>
      </x:c>
      <x:c r="L2618" t="str">
        <x:v>L25-S01-C1</x:v>
      </x:c>
      <x:c r="M2618" t="n">
        <x:v>1</x:v>
      </x:c>
      <x:c r="N2618" t="str">
        <x:v>DerivedFromCount</x:v>
      </x:c>
      <x:c r="O2618" t="str">
        <x:v>PLC-PRD-JAR-330-L25</x:v>
      </x:c>
      <x:c r="P2618" t="str">
        <x:v>OK</x:v>
      </x:c>
      <x:c r="Q2618" t="str">
        <x:v>OK</x:v>
      </x:c>
      <x:c r="R2618" t="str">
        <x:v>OK</x:v>
      </x:c>
      <x:c r="S2618" t="str">
        <x:v>OK</x:v>
      </x:c>
      <x:c r="T2618" t="n">
        <x:v>24</x:v>
      </x:c>
      <x:c r="U2618" t="str">
        <x:v>OK</x:v>
      </x:c>
      <x:c r="V2618" t="str">
        <x:v>OK</x:v>
      </x:c>
      <x:c r="W2618" t="str">
        <x:v>LOAD</x:v>
      </x:c>
      <x:c r="X2618" t="str">
        <x:v>02_Supervisor_Log(4).xlsx</x:v>
      </x:c>
      <x:c r="Y2618" t="str">
        <x:v>ENH-20260830-01</x:v>
      </x:c>
      <x:c r="Z2618" t="str">
        <x:v>Active</x:v>
      </x:c>
      <x:c r="AA2618"/>
      <x:c r="AB2618"/>
      <x:c r="AC2618"/>
      <x:c r="AD2618"/>
    </x:row>
    <x:row r="2619">
      <x:c r="A2619" t="str">
        <x:v>PCC-PE-KG01-L25-20251025-PM-ORD-2025-00162-S01-C2</x:v>
      </x:c>
      <x:c r="B2619" t="str">
        <x:v>PC-PE-KG01-L25-20251025-PM-ORD-2025-00162-S01</x:v>
      </x:c>
      <x:c r="C2619" t="str">
        <x:v>PE-KG01-L25-20251025-PM-ORD-2025-00162</x:v>
      </x:c>
      <x:c r="D2619" t="str">
        <x:v>KG01</x:v>
      </x:c>
      <x:c r="E2619" s="62" t="n">
        <x:v>45955</x:v>
      </x:c>
      <x:c r="F2619" t="str">
        <x:v>PM</x:v>
      </x:c>
      <x:c r="G2619" t="str">
        <x:v>C</x:v>
      </x:c>
      <x:c r="H2619" t="n">
        <x:v>25</x:v>
      </x:c>
      <x:c r="I2619" t="str">
        <x:v>ORD-2025-00162</x:v>
      </x:c>
      <x:c r="J2619" t="n">
        <x:v>1</x:v>
      </x:c>
      <x:c r="K2619" t="n">
        <x:v>2</x:v>
      </x:c>
      <x:c r="L2619" t="str">
        <x:v>L25-S01-C2</x:v>
      </x:c>
      <x:c r="M2619" t="n">
        <x:v>1</x:v>
      </x:c>
      <x:c r="N2619" t="str">
        <x:v>DerivedFromCount</x:v>
      </x:c>
      <x:c r="O2619" t="str">
        <x:v>PLC-PRD-JAR-330-L25</x:v>
      </x:c>
      <x:c r="P2619" t="str">
        <x:v>OK</x:v>
      </x:c>
      <x:c r="Q2619" t="str">
        <x:v>OK</x:v>
      </x:c>
      <x:c r="R2619" t="str">
        <x:v>OK</x:v>
      </x:c>
      <x:c r="S2619" t="str">
        <x:v>OK</x:v>
      </x:c>
      <x:c r="T2619" t="n">
        <x:v>24</x:v>
      </x:c>
      <x:c r="U2619" t="str">
        <x:v>OK</x:v>
      </x:c>
      <x:c r="V2619" t="str">
        <x:v>OK</x:v>
      </x:c>
      <x:c r="W2619" t="str">
        <x:v>LOAD</x:v>
      </x:c>
      <x:c r="X2619" t="str">
        <x:v>02_Supervisor_Log(4).xlsx</x:v>
      </x:c>
      <x:c r="Y2619" t="str">
        <x:v>ENH-20260830-01</x:v>
      </x:c>
      <x:c r="Z2619" t="str">
        <x:v>Active</x:v>
      </x:c>
      <x:c r="AA2619"/>
      <x:c r="AB2619"/>
      <x:c r="AC2619"/>
      <x:c r="AD2619"/>
    </x:row>
    <x:row r="2620">
      <x:c r="A2620" t="str">
        <x:v>PCC-PE-KG01-L25-20251025-PM-ORD-2025-00162-S01-C3</x:v>
      </x:c>
      <x:c r="B2620" t="str">
        <x:v>PC-PE-KG01-L25-20251025-PM-ORD-2025-00162-S01</x:v>
      </x:c>
      <x:c r="C2620" t="str">
        <x:v>PE-KG01-L25-20251025-PM-ORD-2025-00162</x:v>
      </x:c>
      <x:c r="D2620" t="str">
        <x:v>KG01</x:v>
      </x:c>
      <x:c r="E2620" s="62" t="n">
        <x:v>45955</x:v>
      </x:c>
      <x:c r="F2620" t="str">
        <x:v>PM</x:v>
      </x:c>
      <x:c r="G2620" t="str">
        <x:v>C</x:v>
      </x:c>
      <x:c r="H2620" t="n">
        <x:v>25</x:v>
      </x:c>
      <x:c r="I2620" t="str">
        <x:v>ORD-2025-00162</x:v>
      </x:c>
      <x:c r="J2620" t="n">
        <x:v>1</x:v>
      </x:c>
      <x:c r="K2620" t="n">
        <x:v>3</x:v>
      </x:c>
      <x:c r="L2620" t="str">
        <x:v>L25-S01-C3</x:v>
      </x:c>
      <x:c r="M2620" t="n">
        <x:v>1</x:v>
      </x:c>
      <x:c r="N2620" t="str">
        <x:v>DerivedFromCount</x:v>
      </x:c>
      <x:c r="O2620" t="str">
        <x:v>PLC-PRD-JAR-330-L25</x:v>
      </x:c>
      <x:c r="P2620" t="str">
        <x:v>OK</x:v>
      </x:c>
      <x:c r="Q2620" t="str">
        <x:v>OK</x:v>
      </x:c>
      <x:c r="R2620" t="str">
        <x:v>OK</x:v>
      </x:c>
      <x:c r="S2620" t="str">
        <x:v>OK</x:v>
      </x:c>
      <x:c r="T2620" t="n">
        <x:v>24</x:v>
      </x:c>
      <x:c r="U2620" t="str">
        <x:v>OK</x:v>
      </x:c>
      <x:c r="V2620" t="str">
        <x:v>OK</x:v>
      </x:c>
      <x:c r="W2620" t="str">
        <x:v>LOAD</x:v>
      </x:c>
      <x:c r="X2620" t="str">
        <x:v>02_Supervisor_Log(4).xlsx</x:v>
      </x:c>
      <x:c r="Y2620" t="str">
        <x:v>ENH-20260830-01</x:v>
      </x:c>
      <x:c r="Z2620" t="str">
        <x:v>Active</x:v>
      </x:c>
      <x:c r="AA2620"/>
      <x:c r="AB2620"/>
      <x:c r="AC2620"/>
      <x:c r="AD2620"/>
    </x:row>
    <x:row r="2621">
      <x:c r="A2621" t="str">
        <x:v>PCC-PE-KG01-L25-20251025-PM-ORD-2025-00162-S02-C1</x:v>
      </x:c>
      <x:c r="B2621" t="str">
        <x:v>PC-PE-KG01-L25-20251025-PM-ORD-2025-00162-S02</x:v>
      </x:c>
      <x:c r="C2621" t="str">
        <x:v>PE-KG01-L25-20251025-PM-ORD-2025-00162</x:v>
      </x:c>
      <x:c r="D2621" t="str">
        <x:v>KG01</x:v>
      </x:c>
      <x:c r="E2621" s="62" t="n">
        <x:v>45955</x:v>
      </x:c>
      <x:c r="F2621" t="str">
        <x:v>PM</x:v>
      </x:c>
      <x:c r="G2621" t="str">
        <x:v>C</x:v>
      </x:c>
      <x:c r="H2621" t="n">
        <x:v>25</x:v>
      </x:c>
      <x:c r="I2621" t="str">
        <x:v>ORD-2025-00162</x:v>
      </x:c>
      <x:c r="J2621" t="n">
        <x:v>2</x:v>
      </x:c>
      <x:c r="K2621" t="n">
        <x:v>1</x:v>
      </x:c>
      <x:c r="L2621" t="str">
        <x:v>L25-S02-C1</x:v>
      </x:c>
      <x:c r="M2621" t="n">
        <x:v>1</x:v>
      </x:c>
      <x:c r="N2621" t="str">
        <x:v>DerivedFromCount</x:v>
      </x:c>
      <x:c r="O2621" t="str">
        <x:v>PLC-PRD-JAR-330-L25</x:v>
      </x:c>
      <x:c r="P2621" t="str">
        <x:v>OK</x:v>
      </x:c>
      <x:c r="Q2621" t="str">
        <x:v>OK</x:v>
      </x:c>
      <x:c r="R2621" t="str">
        <x:v>OK</x:v>
      </x:c>
      <x:c r="S2621" t="str">
        <x:v>OK</x:v>
      </x:c>
      <x:c r="T2621" t="n">
        <x:v>24</x:v>
      </x:c>
      <x:c r="U2621" t="str">
        <x:v>OK</x:v>
      </x:c>
      <x:c r="V2621" t="str">
        <x:v>OK</x:v>
      </x:c>
      <x:c r="W2621" t="str">
        <x:v>LOAD</x:v>
      </x:c>
      <x:c r="X2621" t="str">
        <x:v>02_Supervisor_Log(4).xlsx</x:v>
      </x:c>
      <x:c r="Y2621" t="str">
        <x:v>ENH-20260830-01</x:v>
      </x:c>
      <x:c r="Z2621" t="str">
        <x:v>Active</x:v>
      </x:c>
      <x:c r="AA2621"/>
      <x:c r="AB2621"/>
      <x:c r="AC2621"/>
      <x:c r="AD2621"/>
    </x:row>
    <x:row r="2622">
      <x:c r="A2622" t="str">
        <x:v>PCC-PE-KG01-L25-20251025-PM-ORD-2025-00162-S02-C2</x:v>
      </x:c>
      <x:c r="B2622" t="str">
        <x:v>PC-PE-KG01-L25-20251025-PM-ORD-2025-00162-S02</x:v>
      </x:c>
      <x:c r="C2622" t="str">
        <x:v>PE-KG01-L25-20251025-PM-ORD-2025-00162</x:v>
      </x:c>
      <x:c r="D2622" t="str">
        <x:v>KG01</x:v>
      </x:c>
      <x:c r="E2622" s="62" t="n">
        <x:v>45955</x:v>
      </x:c>
      <x:c r="F2622" t="str">
        <x:v>PM</x:v>
      </x:c>
      <x:c r="G2622" t="str">
        <x:v>C</x:v>
      </x:c>
      <x:c r="H2622" t="n">
        <x:v>25</x:v>
      </x:c>
      <x:c r="I2622" t="str">
        <x:v>ORD-2025-00162</x:v>
      </x:c>
      <x:c r="J2622" t="n">
        <x:v>2</x:v>
      </x:c>
      <x:c r="K2622" t="n">
        <x:v>2</x:v>
      </x:c>
      <x:c r="L2622" t="str">
        <x:v>L25-S02-C2</x:v>
      </x:c>
      <x:c r="M2622" t="n">
        <x:v>1</x:v>
      </x:c>
      <x:c r="N2622" t="str">
        <x:v>DerivedFromCount</x:v>
      </x:c>
      <x:c r="O2622" t="str">
        <x:v>PLC-PRD-JAR-330-L25</x:v>
      </x:c>
      <x:c r="P2622" t="str">
        <x:v>OK</x:v>
      </x:c>
      <x:c r="Q2622" t="str">
        <x:v>OK</x:v>
      </x:c>
      <x:c r="R2622" t="str">
        <x:v>OK</x:v>
      </x:c>
      <x:c r="S2622" t="str">
        <x:v>OK</x:v>
      </x:c>
      <x:c r="T2622" t="n">
        <x:v>24</x:v>
      </x:c>
      <x:c r="U2622" t="str">
        <x:v>OK</x:v>
      </x:c>
      <x:c r="V2622" t="str">
        <x:v>OK</x:v>
      </x:c>
      <x:c r="W2622" t="str">
        <x:v>LOAD</x:v>
      </x:c>
      <x:c r="X2622" t="str">
        <x:v>02_Supervisor_Log(4).xlsx</x:v>
      </x:c>
      <x:c r="Y2622" t="str">
        <x:v>ENH-20260830-01</x:v>
      </x:c>
      <x:c r="Z2622" t="str">
        <x:v>Active</x:v>
      </x:c>
      <x:c r="AA2622"/>
      <x:c r="AB2622"/>
      <x:c r="AC2622"/>
      <x:c r="AD2622"/>
    </x:row>
    <x:row r="2623">
      <x:c r="A2623" t="str">
        <x:v>PCC-PE-KG01-L25-20251025-PM-ORD-2025-00162-S02-C3</x:v>
      </x:c>
      <x:c r="B2623" t="str">
        <x:v>PC-PE-KG01-L25-20251025-PM-ORD-2025-00162-S02</x:v>
      </x:c>
      <x:c r="C2623" t="str">
        <x:v>PE-KG01-L25-20251025-PM-ORD-2025-00162</x:v>
      </x:c>
      <x:c r="D2623" t="str">
        <x:v>KG01</x:v>
      </x:c>
      <x:c r="E2623" s="62" t="n">
        <x:v>45955</x:v>
      </x:c>
      <x:c r="F2623" t="str">
        <x:v>PM</x:v>
      </x:c>
      <x:c r="G2623" t="str">
        <x:v>C</x:v>
      </x:c>
      <x:c r="H2623" t="n">
        <x:v>25</x:v>
      </x:c>
      <x:c r="I2623" t="str">
        <x:v>ORD-2025-00162</x:v>
      </x:c>
      <x:c r="J2623" t="n">
        <x:v>2</x:v>
      </x:c>
      <x:c r="K2623" t="n">
        <x:v>3</x:v>
      </x:c>
      <x:c r="L2623" t="str">
        <x:v>L25-S02-C3</x:v>
      </x:c>
      <x:c r="M2623" t="n">
        <x:v>1</x:v>
      </x:c>
      <x:c r="N2623" t="str">
        <x:v>DerivedFromCount</x:v>
      </x:c>
      <x:c r="O2623" t="str">
        <x:v>PLC-PRD-JAR-330-L25</x:v>
      </x:c>
      <x:c r="P2623" t="str">
        <x:v>OK</x:v>
      </x:c>
      <x:c r="Q2623" t="str">
        <x:v>OK</x:v>
      </x:c>
      <x:c r="R2623" t="str">
        <x:v>OK</x:v>
      </x:c>
      <x:c r="S2623" t="str">
        <x:v>OK</x:v>
      </x:c>
      <x:c r="T2623" t="n">
        <x:v>24</x:v>
      </x:c>
      <x:c r="U2623" t="str">
        <x:v>OK</x:v>
      </x:c>
      <x:c r="V2623" t="str">
        <x:v>OK</x:v>
      </x:c>
      <x:c r="W2623" t="str">
        <x:v>LOAD</x:v>
      </x:c>
      <x:c r="X2623" t="str">
        <x:v>02_Supervisor_Log(4).xlsx</x:v>
      </x:c>
      <x:c r="Y2623" t="str">
        <x:v>ENH-20260830-01</x:v>
      </x:c>
      <x:c r="Z2623" t="str">
        <x:v>Active</x:v>
      </x:c>
      <x:c r="AA2623"/>
      <x:c r="AB2623"/>
      <x:c r="AC2623"/>
      <x:c r="AD2623"/>
    </x:row>
    <x:row r="2624">
      <x:c r="A2624" t="str">
        <x:v>PCC-PE-KG01-L25-20251025-PM-ORD-2025-00162-S03-C1</x:v>
      </x:c>
      <x:c r="B2624" t="str">
        <x:v>PC-PE-KG01-L25-20251025-PM-ORD-2025-00162-S03</x:v>
      </x:c>
      <x:c r="C2624" t="str">
        <x:v>PE-KG01-L25-20251025-PM-ORD-2025-00162</x:v>
      </x:c>
      <x:c r="D2624" t="str">
        <x:v>KG01</x:v>
      </x:c>
      <x:c r="E2624" s="62" t="n">
        <x:v>45955</x:v>
      </x:c>
      <x:c r="F2624" t="str">
        <x:v>PM</x:v>
      </x:c>
      <x:c r="G2624" t="str">
        <x:v>C</x:v>
      </x:c>
      <x:c r="H2624" t="n">
        <x:v>25</x:v>
      </x:c>
      <x:c r="I2624" t="str">
        <x:v>ORD-2025-00162</x:v>
      </x:c>
      <x:c r="J2624" t="n">
        <x:v>3</x:v>
      </x:c>
      <x:c r="K2624" t="n">
        <x:v>1</x:v>
      </x:c>
      <x:c r="L2624" t="str">
        <x:v>L25-S03-C1</x:v>
      </x:c>
      <x:c r="M2624" t="n">
        <x:v>1</x:v>
      </x:c>
      <x:c r="N2624" t="str">
        <x:v>DerivedFromCount</x:v>
      </x:c>
      <x:c r="O2624" t="str">
        <x:v>PLC-PRD-JAR-330-L25</x:v>
      </x:c>
      <x:c r="P2624" t="str">
        <x:v>OK</x:v>
      </x:c>
      <x:c r="Q2624" t="str">
        <x:v>OK</x:v>
      </x:c>
      <x:c r="R2624" t="str">
        <x:v>OK</x:v>
      </x:c>
      <x:c r="S2624" t="str">
        <x:v>OK</x:v>
      </x:c>
      <x:c r="T2624" t="n">
        <x:v>24</x:v>
      </x:c>
      <x:c r="U2624" t="str">
        <x:v>OK</x:v>
      </x:c>
      <x:c r="V2624" t="str">
        <x:v>OK</x:v>
      </x:c>
      <x:c r="W2624" t="str">
        <x:v>LOAD</x:v>
      </x:c>
      <x:c r="X2624" t="str">
        <x:v>02_Supervisor_Log(4).xlsx</x:v>
      </x:c>
      <x:c r="Y2624" t="str">
        <x:v>ENH-20260830-01</x:v>
      </x:c>
      <x:c r="Z2624" t="str">
        <x:v>Active</x:v>
      </x:c>
      <x:c r="AA2624"/>
      <x:c r="AB2624"/>
      <x:c r="AC2624"/>
      <x:c r="AD2624"/>
    </x:row>
    <x:row r="2625">
      <x:c r="A2625" t="str">
        <x:v>PCC-PE-KG01-L25-20251025-PM-ORD-2025-00162-S03-C2</x:v>
      </x:c>
      <x:c r="B2625" t="str">
        <x:v>PC-PE-KG01-L25-20251025-PM-ORD-2025-00162-S03</x:v>
      </x:c>
      <x:c r="C2625" t="str">
        <x:v>PE-KG01-L25-20251025-PM-ORD-2025-00162</x:v>
      </x:c>
      <x:c r="D2625" t="str">
        <x:v>KG01</x:v>
      </x:c>
      <x:c r="E2625" s="62" t="n">
        <x:v>45955</x:v>
      </x:c>
      <x:c r="F2625" t="str">
        <x:v>PM</x:v>
      </x:c>
      <x:c r="G2625" t="str">
        <x:v>C</x:v>
      </x:c>
      <x:c r="H2625" t="n">
        <x:v>25</x:v>
      </x:c>
      <x:c r="I2625" t="str">
        <x:v>ORD-2025-00162</x:v>
      </x:c>
      <x:c r="J2625" t="n">
        <x:v>3</x:v>
      </x:c>
      <x:c r="K2625" t="n">
        <x:v>2</x:v>
      </x:c>
      <x:c r="L2625" t="str">
        <x:v>L25-S03-C2</x:v>
      </x:c>
      <x:c r="M2625" t="n">
        <x:v>1</x:v>
      </x:c>
      <x:c r="N2625" t="str">
        <x:v>DerivedFromCount</x:v>
      </x:c>
      <x:c r="O2625" t="str">
        <x:v>PLC-PRD-JAR-330-L25</x:v>
      </x:c>
      <x:c r="P2625" t="str">
        <x:v>OK</x:v>
      </x:c>
      <x:c r="Q2625" t="str">
        <x:v>OK</x:v>
      </x:c>
      <x:c r="R2625" t="str">
        <x:v>OK</x:v>
      </x:c>
      <x:c r="S2625" t="str">
        <x:v>OK</x:v>
      </x:c>
      <x:c r="T2625" t="n">
        <x:v>24</x:v>
      </x:c>
      <x:c r="U2625" t="str">
        <x:v>OK</x:v>
      </x:c>
      <x:c r="V2625" t="str">
        <x:v>OK</x:v>
      </x:c>
      <x:c r="W2625" t="str">
        <x:v>LOAD</x:v>
      </x:c>
      <x:c r="X2625" t="str">
        <x:v>02_Supervisor_Log(4).xlsx</x:v>
      </x:c>
      <x:c r="Y2625" t="str">
        <x:v>ENH-20260830-01</x:v>
      </x:c>
      <x:c r="Z2625" t="str">
        <x:v>Active</x:v>
      </x:c>
      <x:c r="AA2625"/>
      <x:c r="AB2625"/>
      <x:c r="AC2625"/>
      <x:c r="AD2625"/>
    </x:row>
    <x:row r="2626">
      <x:c r="A2626" t="str">
        <x:v>PCC-PE-KG01-L25-20251025-PM-ORD-2025-00162-S03-C3</x:v>
      </x:c>
      <x:c r="B2626" t="str">
        <x:v>PC-PE-KG01-L25-20251025-PM-ORD-2025-00162-S03</x:v>
      </x:c>
      <x:c r="C2626" t="str">
        <x:v>PE-KG01-L25-20251025-PM-ORD-2025-00162</x:v>
      </x:c>
      <x:c r="D2626" t="str">
        <x:v>KG01</x:v>
      </x:c>
      <x:c r="E2626" s="62" t="n">
        <x:v>45955</x:v>
      </x:c>
      <x:c r="F2626" t="str">
        <x:v>PM</x:v>
      </x:c>
      <x:c r="G2626" t="str">
        <x:v>C</x:v>
      </x:c>
      <x:c r="H2626" t="n">
        <x:v>25</x:v>
      </x:c>
      <x:c r="I2626" t="str">
        <x:v>ORD-2025-00162</x:v>
      </x:c>
      <x:c r="J2626" t="n">
        <x:v>3</x:v>
      </x:c>
      <x:c r="K2626" t="n">
        <x:v>3</x:v>
      </x:c>
      <x:c r="L2626" t="str">
        <x:v>L25-S03-C3</x:v>
      </x:c>
      <x:c r="M2626" t="n">
        <x:v>1</x:v>
      </x:c>
      <x:c r="N2626" t="str">
        <x:v>DerivedFromCount</x:v>
      </x:c>
      <x:c r="O2626" t="str">
        <x:v>PLC-PRD-JAR-330-L25</x:v>
      </x:c>
      <x:c r="P2626" t="str">
        <x:v>OK</x:v>
      </x:c>
      <x:c r="Q2626" t="str">
        <x:v>OK</x:v>
      </x:c>
      <x:c r="R2626" t="str">
        <x:v>OK</x:v>
      </x:c>
      <x:c r="S2626" t="str">
        <x:v>OK</x:v>
      </x:c>
      <x:c r="T2626" t="n">
        <x:v>24</x:v>
      </x:c>
      <x:c r="U2626" t="str">
        <x:v>OK</x:v>
      </x:c>
      <x:c r="V2626" t="str">
        <x:v>OK</x:v>
      </x:c>
      <x:c r="W2626" t="str">
        <x:v>LOAD</x:v>
      </x:c>
      <x:c r="X2626" t="str">
        <x:v>02_Supervisor_Log(4).xlsx</x:v>
      </x:c>
      <x:c r="Y2626" t="str">
        <x:v>ENH-20260830-01</x:v>
      </x:c>
      <x:c r="Z2626" t="str">
        <x:v>Active</x:v>
      </x:c>
      <x:c r="AA2626"/>
      <x:c r="AB2626"/>
      <x:c r="AC2626"/>
      <x:c r="AD2626"/>
    </x:row>
    <x:row r="2627">
      <x:c r="A2627" t="str">
        <x:v>PCC-PE-KG01-L25-20251025-PM-ORD-2025-00162-S04-C1</x:v>
      </x:c>
      <x:c r="B2627" t="str">
        <x:v>PC-PE-KG01-L25-20251025-PM-ORD-2025-00162-S04</x:v>
      </x:c>
      <x:c r="C2627" t="str">
        <x:v>PE-KG01-L25-20251025-PM-ORD-2025-00162</x:v>
      </x:c>
      <x:c r="D2627" t="str">
        <x:v>KG01</x:v>
      </x:c>
      <x:c r="E2627" s="62" t="n">
        <x:v>45955</x:v>
      </x:c>
      <x:c r="F2627" t="str">
        <x:v>PM</x:v>
      </x:c>
      <x:c r="G2627" t="str">
        <x:v>C</x:v>
      </x:c>
      <x:c r="H2627" t="n">
        <x:v>25</x:v>
      </x:c>
      <x:c r="I2627" t="str">
        <x:v>ORD-2025-00162</x:v>
      </x:c>
      <x:c r="J2627" t="n">
        <x:v>4</x:v>
      </x:c>
      <x:c r="K2627" t="n">
        <x:v>1</x:v>
      </x:c>
      <x:c r="L2627" t="str">
        <x:v>L25-S04-C1</x:v>
      </x:c>
      <x:c r="M2627" t="n">
        <x:v>1</x:v>
      </x:c>
      <x:c r="N2627" t="str">
        <x:v>DerivedFromCount</x:v>
      </x:c>
      <x:c r="O2627" t="str">
        <x:v>PLC-PRD-JAR-330-L25</x:v>
      </x:c>
      <x:c r="P2627" t="str">
        <x:v>OK</x:v>
      </x:c>
      <x:c r="Q2627" t="str">
        <x:v>OK</x:v>
      </x:c>
      <x:c r="R2627" t="str">
        <x:v>OK</x:v>
      </x:c>
      <x:c r="S2627" t="str">
        <x:v>OK</x:v>
      </x:c>
      <x:c r="T2627" t="n">
        <x:v>24</x:v>
      </x:c>
      <x:c r="U2627" t="str">
        <x:v>OK</x:v>
      </x:c>
      <x:c r="V2627" t="str">
        <x:v>OK</x:v>
      </x:c>
      <x:c r="W2627" t="str">
        <x:v>LOAD</x:v>
      </x:c>
      <x:c r="X2627" t="str">
        <x:v>02_Supervisor_Log(4).xlsx</x:v>
      </x:c>
      <x:c r="Y2627" t="str">
        <x:v>ENH-20260830-01</x:v>
      </x:c>
      <x:c r="Z2627" t="str">
        <x:v>Active</x:v>
      </x:c>
      <x:c r="AA2627"/>
      <x:c r="AB2627"/>
      <x:c r="AC2627"/>
      <x:c r="AD2627"/>
    </x:row>
    <x:row r="2628">
      <x:c r="A2628" t="str">
        <x:v>PCC-PE-KG01-L25-20251025-PM-ORD-2025-00162-S04-C2</x:v>
      </x:c>
      <x:c r="B2628" t="str">
        <x:v>PC-PE-KG01-L25-20251025-PM-ORD-2025-00162-S04</x:v>
      </x:c>
      <x:c r="C2628" t="str">
        <x:v>PE-KG01-L25-20251025-PM-ORD-2025-00162</x:v>
      </x:c>
      <x:c r="D2628" t="str">
        <x:v>KG01</x:v>
      </x:c>
      <x:c r="E2628" s="62" t="n">
        <x:v>45955</x:v>
      </x:c>
      <x:c r="F2628" t="str">
        <x:v>PM</x:v>
      </x:c>
      <x:c r="G2628" t="str">
        <x:v>C</x:v>
      </x:c>
      <x:c r="H2628" t="n">
        <x:v>25</x:v>
      </x:c>
      <x:c r="I2628" t="str">
        <x:v>ORD-2025-00162</x:v>
      </x:c>
      <x:c r="J2628" t="n">
        <x:v>4</x:v>
      </x:c>
      <x:c r="K2628" t="n">
        <x:v>2</x:v>
      </x:c>
      <x:c r="L2628" t="str">
        <x:v>L25-S04-C2</x:v>
      </x:c>
      <x:c r="M2628" t="n">
        <x:v>1</x:v>
      </x:c>
      <x:c r="N2628" t="str">
        <x:v>DerivedFromCount</x:v>
      </x:c>
      <x:c r="O2628" t="str">
        <x:v>PLC-PRD-JAR-330-L25</x:v>
      </x:c>
      <x:c r="P2628" t="str">
        <x:v>OK</x:v>
      </x:c>
      <x:c r="Q2628" t="str">
        <x:v>OK</x:v>
      </x:c>
      <x:c r="R2628" t="str">
        <x:v>OK</x:v>
      </x:c>
      <x:c r="S2628" t="str">
        <x:v>OK</x:v>
      </x:c>
      <x:c r="T2628" t="n">
        <x:v>24</x:v>
      </x:c>
      <x:c r="U2628" t="str">
        <x:v>OK</x:v>
      </x:c>
      <x:c r="V2628" t="str">
        <x:v>OK</x:v>
      </x:c>
      <x:c r="W2628" t="str">
        <x:v>LOAD</x:v>
      </x:c>
      <x:c r="X2628" t="str">
        <x:v>02_Supervisor_Log(4).xlsx</x:v>
      </x:c>
      <x:c r="Y2628" t="str">
        <x:v>ENH-20260830-01</x:v>
      </x:c>
      <x:c r="Z2628" t="str">
        <x:v>Active</x:v>
      </x:c>
      <x:c r="AA2628"/>
      <x:c r="AB2628"/>
      <x:c r="AC2628"/>
      <x:c r="AD2628"/>
    </x:row>
    <x:row r="2629">
      <x:c r="A2629" t="str">
        <x:v>PCC-PE-KG01-L25-20251025-PM-ORD-2025-00162-S04-C3</x:v>
      </x:c>
      <x:c r="B2629" t="str">
        <x:v>PC-PE-KG01-L25-20251025-PM-ORD-2025-00162-S04</x:v>
      </x:c>
      <x:c r="C2629" t="str">
        <x:v>PE-KG01-L25-20251025-PM-ORD-2025-00162</x:v>
      </x:c>
      <x:c r="D2629" t="str">
        <x:v>KG01</x:v>
      </x:c>
      <x:c r="E2629" s="62" t="n">
        <x:v>45955</x:v>
      </x:c>
      <x:c r="F2629" t="str">
        <x:v>PM</x:v>
      </x:c>
      <x:c r="G2629" t="str">
        <x:v>C</x:v>
      </x:c>
      <x:c r="H2629" t="n">
        <x:v>25</x:v>
      </x:c>
      <x:c r="I2629" t="str">
        <x:v>ORD-2025-00162</x:v>
      </x:c>
      <x:c r="J2629" t="n">
        <x:v>4</x:v>
      </x:c>
      <x:c r="K2629" t="n">
        <x:v>3</x:v>
      </x:c>
      <x:c r="L2629" t="str">
        <x:v>L25-S04-C3</x:v>
      </x:c>
      <x:c r="M2629" t="n">
        <x:v>1</x:v>
      </x:c>
      <x:c r="N2629" t="str">
        <x:v>DerivedFromCount</x:v>
      </x:c>
      <x:c r="O2629" t="str">
        <x:v>PLC-PRD-JAR-330-L25</x:v>
      </x:c>
      <x:c r="P2629" t="str">
        <x:v>OK</x:v>
      </x:c>
      <x:c r="Q2629" t="str">
        <x:v>OK</x:v>
      </x:c>
      <x:c r="R2629" t="str">
        <x:v>OK</x:v>
      </x:c>
      <x:c r="S2629" t="str">
        <x:v>OK</x:v>
      </x:c>
      <x:c r="T2629" t="n">
        <x:v>24</x:v>
      </x:c>
      <x:c r="U2629" t="str">
        <x:v>OK</x:v>
      </x:c>
      <x:c r="V2629" t="str">
        <x:v>OK</x:v>
      </x:c>
      <x:c r="W2629" t="str">
        <x:v>LOAD</x:v>
      </x:c>
      <x:c r="X2629" t="str">
        <x:v>02_Supervisor_Log(4).xlsx</x:v>
      </x:c>
      <x:c r="Y2629" t="str">
        <x:v>ENH-20260830-01</x:v>
      </x:c>
      <x:c r="Z2629" t="str">
        <x:v>Active</x:v>
      </x:c>
      <x:c r="AA2629"/>
      <x:c r="AB2629"/>
      <x:c r="AC2629"/>
      <x:c r="AD2629"/>
    </x:row>
    <x:row r="2630">
      <x:c r="A2630" t="str">
        <x:v>PCC-PE-KG01-L25-20251025-PM-ORD-2025-00162-S05-C1</x:v>
      </x:c>
      <x:c r="B2630" t="str">
        <x:v>PC-PE-KG01-L25-20251025-PM-ORD-2025-00162-S05</x:v>
      </x:c>
      <x:c r="C2630" t="str">
        <x:v>PE-KG01-L25-20251025-PM-ORD-2025-00162</x:v>
      </x:c>
      <x:c r="D2630" t="str">
        <x:v>KG01</x:v>
      </x:c>
      <x:c r="E2630" s="62" t="n">
        <x:v>45955</x:v>
      </x:c>
      <x:c r="F2630" t="str">
        <x:v>PM</x:v>
      </x:c>
      <x:c r="G2630" t="str">
        <x:v>C</x:v>
      </x:c>
      <x:c r="H2630" t="n">
        <x:v>25</x:v>
      </x:c>
      <x:c r="I2630" t="str">
        <x:v>ORD-2025-00162</x:v>
      </x:c>
      <x:c r="J2630" t="n">
        <x:v>5</x:v>
      </x:c>
      <x:c r="K2630" t="n">
        <x:v>1</x:v>
      </x:c>
      <x:c r="L2630" t="str">
        <x:v>L25-S05-C1</x:v>
      </x:c>
      <x:c r="M2630" t="n">
        <x:v>1</x:v>
      </x:c>
      <x:c r="N2630" t="str">
        <x:v>DerivedFromCount</x:v>
      </x:c>
      <x:c r="O2630" t="str">
        <x:v>PLC-PRD-JAR-330-L25</x:v>
      </x:c>
      <x:c r="P2630" t="str">
        <x:v>OK</x:v>
      </x:c>
      <x:c r="Q2630" t="str">
        <x:v>OK</x:v>
      </x:c>
      <x:c r="R2630" t="str">
        <x:v>OK</x:v>
      </x:c>
      <x:c r="S2630" t="str">
        <x:v>OK</x:v>
      </x:c>
      <x:c r="T2630" t="n">
        <x:v>24</x:v>
      </x:c>
      <x:c r="U2630" t="str">
        <x:v>OK</x:v>
      </x:c>
      <x:c r="V2630" t="str">
        <x:v>OK</x:v>
      </x:c>
      <x:c r="W2630" t="str">
        <x:v>LOAD</x:v>
      </x:c>
      <x:c r="X2630" t="str">
        <x:v>02_Supervisor_Log(4).xlsx</x:v>
      </x:c>
      <x:c r="Y2630" t="str">
        <x:v>ENH-20260830-01</x:v>
      </x:c>
      <x:c r="Z2630" t="str">
        <x:v>Active</x:v>
      </x:c>
      <x:c r="AA2630"/>
      <x:c r="AB2630"/>
      <x:c r="AC2630"/>
      <x:c r="AD2630"/>
    </x:row>
    <x:row r="2631">
      <x:c r="A2631" t="str">
        <x:v>PCC-PE-KG01-L25-20251025-PM-ORD-2025-00162-S05-C2</x:v>
      </x:c>
      <x:c r="B2631" t="str">
        <x:v>PC-PE-KG01-L25-20251025-PM-ORD-2025-00162-S05</x:v>
      </x:c>
      <x:c r="C2631" t="str">
        <x:v>PE-KG01-L25-20251025-PM-ORD-2025-00162</x:v>
      </x:c>
      <x:c r="D2631" t="str">
        <x:v>KG01</x:v>
      </x:c>
      <x:c r="E2631" s="62" t="n">
        <x:v>45955</x:v>
      </x:c>
      <x:c r="F2631" t="str">
        <x:v>PM</x:v>
      </x:c>
      <x:c r="G2631" t="str">
        <x:v>C</x:v>
      </x:c>
      <x:c r="H2631" t="n">
        <x:v>25</x:v>
      </x:c>
      <x:c r="I2631" t="str">
        <x:v>ORD-2025-00162</x:v>
      </x:c>
      <x:c r="J2631" t="n">
        <x:v>5</x:v>
      </x:c>
      <x:c r="K2631" t="n">
        <x:v>2</x:v>
      </x:c>
      <x:c r="L2631" t="str">
        <x:v>L25-S05-C2</x:v>
      </x:c>
      <x:c r="M2631" t="n">
        <x:v>1</x:v>
      </x:c>
      <x:c r="N2631" t="str">
        <x:v>DerivedFromCount</x:v>
      </x:c>
      <x:c r="O2631" t="str">
        <x:v>PLC-PRD-JAR-330-L25</x:v>
      </x:c>
      <x:c r="P2631" t="str">
        <x:v>OK</x:v>
      </x:c>
      <x:c r="Q2631" t="str">
        <x:v>OK</x:v>
      </x:c>
      <x:c r="R2631" t="str">
        <x:v>OK</x:v>
      </x:c>
      <x:c r="S2631" t="str">
        <x:v>OK</x:v>
      </x:c>
      <x:c r="T2631" t="n">
        <x:v>24</x:v>
      </x:c>
      <x:c r="U2631" t="str">
        <x:v>OK</x:v>
      </x:c>
      <x:c r="V2631" t="str">
        <x:v>OK</x:v>
      </x:c>
      <x:c r="W2631" t="str">
        <x:v>LOAD</x:v>
      </x:c>
      <x:c r="X2631" t="str">
        <x:v>02_Supervisor_Log(4).xlsx</x:v>
      </x:c>
      <x:c r="Y2631" t="str">
        <x:v>ENH-20260830-01</x:v>
      </x:c>
      <x:c r="Z2631" t="str">
        <x:v>Active</x:v>
      </x:c>
      <x:c r="AA2631"/>
      <x:c r="AB2631"/>
      <x:c r="AC2631"/>
      <x:c r="AD2631"/>
    </x:row>
    <x:row r="2632">
      <x:c r="A2632" t="str">
        <x:v>PCC-PE-KG01-L25-20251025-PM-ORD-2025-00162-S05-C3</x:v>
      </x:c>
      <x:c r="B2632" t="str">
        <x:v>PC-PE-KG01-L25-20251025-PM-ORD-2025-00162-S05</x:v>
      </x:c>
      <x:c r="C2632" t="str">
        <x:v>PE-KG01-L25-20251025-PM-ORD-2025-00162</x:v>
      </x:c>
      <x:c r="D2632" t="str">
        <x:v>KG01</x:v>
      </x:c>
      <x:c r="E2632" s="62" t="n">
        <x:v>45955</x:v>
      </x:c>
      <x:c r="F2632" t="str">
        <x:v>PM</x:v>
      </x:c>
      <x:c r="G2632" t="str">
        <x:v>C</x:v>
      </x:c>
      <x:c r="H2632" t="n">
        <x:v>25</x:v>
      </x:c>
      <x:c r="I2632" t="str">
        <x:v>ORD-2025-00162</x:v>
      </x:c>
      <x:c r="J2632" t="n">
        <x:v>5</x:v>
      </x:c>
      <x:c r="K2632" t="n">
        <x:v>3</x:v>
      </x:c>
      <x:c r="L2632" t="str">
        <x:v>L25-S05-C3</x:v>
      </x:c>
      <x:c r="M2632" t="n">
        <x:v>1</x:v>
      </x:c>
      <x:c r="N2632" t="str">
        <x:v>DerivedFromCount</x:v>
      </x:c>
      <x:c r="O2632" t="str">
        <x:v>PLC-PRD-JAR-330-L25</x:v>
      </x:c>
      <x:c r="P2632" t="str">
        <x:v>OK</x:v>
      </x:c>
      <x:c r="Q2632" t="str">
        <x:v>OK</x:v>
      </x:c>
      <x:c r="R2632" t="str">
        <x:v>OK</x:v>
      </x:c>
      <x:c r="S2632" t="str">
        <x:v>OK</x:v>
      </x:c>
      <x:c r="T2632" t="n">
        <x:v>24</x:v>
      </x:c>
      <x:c r="U2632" t="str">
        <x:v>OK</x:v>
      </x:c>
      <x:c r="V2632" t="str">
        <x:v>OK</x:v>
      </x:c>
      <x:c r="W2632" t="str">
        <x:v>LOAD</x:v>
      </x:c>
      <x:c r="X2632" t="str">
        <x:v>02_Supervisor_Log(4).xlsx</x:v>
      </x:c>
      <x:c r="Y2632" t="str">
        <x:v>ENH-20260830-01</x:v>
      </x:c>
      <x:c r="Z2632" t="str">
        <x:v>Active</x:v>
      </x:c>
      <x:c r="AA2632"/>
      <x:c r="AB2632"/>
      <x:c r="AC2632"/>
      <x:c r="AD2632"/>
    </x:row>
    <x:row r="2633">
      <x:c r="A2633" t="str">
        <x:v>PCC-PE-KG01-L25-20251025-PM-ORD-2025-00162-S06-C1</x:v>
      </x:c>
      <x:c r="B2633" t="str">
        <x:v>PC-PE-KG01-L25-20251025-PM-ORD-2025-00162-S06</x:v>
      </x:c>
      <x:c r="C2633" t="str">
        <x:v>PE-KG01-L25-20251025-PM-ORD-2025-00162</x:v>
      </x:c>
      <x:c r="D2633" t="str">
        <x:v>KG01</x:v>
      </x:c>
      <x:c r="E2633" s="62" t="n">
        <x:v>45955</x:v>
      </x:c>
      <x:c r="F2633" t="str">
        <x:v>PM</x:v>
      </x:c>
      <x:c r="G2633" t="str">
        <x:v>C</x:v>
      </x:c>
      <x:c r="H2633" t="n">
        <x:v>25</x:v>
      </x:c>
      <x:c r="I2633" t="str">
        <x:v>ORD-2025-00162</x:v>
      </x:c>
      <x:c r="J2633" t="n">
        <x:v>6</x:v>
      </x:c>
      <x:c r="K2633" t="n">
        <x:v>1</x:v>
      </x:c>
      <x:c r="L2633" t="str">
        <x:v>L25-S06-C1</x:v>
      </x:c>
      <x:c r="M2633" t="n">
        <x:v>1</x:v>
      </x:c>
      <x:c r="N2633" t="str">
        <x:v>DerivedFromCount</x:v>
      </x:c>
      <x:c r="O2633" t="str">
        <x:v>PLC-PRD-JAR-330-L25</x:v>
      </x:c>
      <x:c r="P2633" t="str">
        <x:v>OK</x:v>
      </x:c>
      <x:c r="Q2633" t="str">
        <x:v>OK</x:v>
      </x:c>
      <x:c r="R2633" t="str">
        <x:v>OK</x:v>
      </x:c>
      <x:c r="S2633" t="str">
        <x:v>OK</x:v>
      </x:c>
      <x:c r="T2633" t="n">
        <x:v>24</x:v>
      </x:c>
      <x:c r="U2633" t="str">
        <x:v>OK</x:v>
      </x:c>
      <x:c r="V2633" t="str">
        <x:v>OK</x:v>
      </x:c>
      <x:c r="W2633" t="str">
        <x:v>LOAD</x:v>
      </x:c>
      <x:c r="X2633" t="str">
        <x:v>02_Supervisor_Log(4).xlsx</x:v>
      </x:c>
      <x:c r="Y2633" t="str">
        <x:v>ENH-20260830-01</x:v>
      </x:c>
      <x:c r="Z2633" t="str">
        <x:v>Active</x:v>
      </x:c>
      <x:c r="AA2633"/>
      <x:c r="AB2633"/>
      <x:c r="AC2633"/>
      <x:c r="AD2633"/>
    </x:row>
    <x:row r="2634">
      <x:c r="A2634" t="str">
        <x:v>PCC-PE-KG01-L25-20251025-PM-ORD-2025-00162-S06-C2</x:v>
      </x:c>
      <x:c r="B2634" t="str">
        <x:v>PC-PE-KG01-L25-20251025-PM-ORD-2025-00162-S06</x:v>
      </x:c>
      <x:c r="C2634" t="str">
        <x:v>PE-KG01-L25-20251025-PM-ORD-2025-00162</x:v>
      </x:c>
      <x:c r="D2634" t="str">
        <x:v>KG01</x:v>
      </x:c>
      <x:c r="E2634" s="62" t="n">
        <x:v>45955</x:v>
      </x:c>
      <x:c r="F2634" t="str">
        <x:v>PM</x:v>
      </x:c>
      <x:c r="G2634" t="str">
        <x:v>C</x:v>
      </x:c>
      <x:c r="H2634" t="n">
        <x:v>25</x:v>
      </x:c>
      <x:c r="I2634" t="str">
        <x:v>ORD-2025-00162</x:v>
      </x:c>
      <x:c r="J2634" t="n">
        <x:v>6</x:v>
      </x:c>
      <x:c r="K2634" t="n">
        <x:v>2</x:v>
      </x:c>
      <x:c r="L2634" t="str">
        <x:v>L25-S06-C2</x:v>
      </x:c>
      <x:c r="M2634" t="n">
        <x:v>1</x:v>
      </x:c>
      <x:c r="N2634" t="str">
        <x:v>DerivedFromCount</x:v>
      </x:c>
      <x:c r="O2634" t="str">
        <x:v>PLC-PRD-JAR-330-L25</x:v>
      </x:c>
      <x:c r="P2634" t="str">
        <x:v>OK</x:v>
      </x:c>
      <x:c r="Q2634" t="str">
        <x:v>OK</x:v>
      </x:c>
      <x:c r="R2634" t="str">
        <x:v>OK</x:v>
      </x:c>
      <x:c r="S2634" t="str">
        <x:v>OK</x:v>
      </x:c>
      <x:c r="T2634" t="n">
        <x:v>24</x:v>
      </x:c>
      <x:c r="U2634" t="str">
        <x:v>OK</x:v>
      </x:c>
      <x:c r="V2634" t="str">
        <x:v>OK</x:v>
      </x:c>
      <x:c r="W2634" t="str">
        <x:v>LOAD</x:v>
      </x:c>
      <x:c r="X2634" t="str">
        <x:v>02_Supervisor_Log(4).xlsx</x:v>
      </x:c>
      <x:c r="Y2634" t="str">
        <x:v>ENH-20260830-01</x:v>
      </x:c>
      <x:c r="Z2634" t="str">
        <x:v>Active</x:v>
      </x:c>
      <x:c r="AA2634"/>
      <x:c r="AB2634"/>
      <x:c r="AC2634"/>
      <x:c r="AD2634"/>
    </x:row>
    <x:row r="2635">
      <x:c r="A2635" t="str">
        <x:v>PCC-PE-KG01-L25-20251025-PM-ORD-2025-00162-S06-C3</x:v>
      </x:c>
      <x:c r="B2635" t="str">
        <x:v>PC-PE-KG01-L25-20251025-PM-ORD-2025-00162-S06</x:v>
      </x:c>
      <x:c r="C2635" t="str">
        <x:v>PE-KG01-L25-20251025-PM-ORD-2025-00162</x:v>
      </x:c>
      <x:c r="D2635" t="str">
        <x:v>KG01</x:v>
      </x:c>
      <x:c r="E2635" s="62" t="n">
        <x:v>45955</x:v>
      </x:c>
      <x:c r="F2635" t="str">
        <x:v>PM</x:v>
      </x:c>
      <x:c r="G2635" t="str">
        <x:v>C</x:v>
      </x:c>
      <x:c r="H2635" t="n">
        <x:v>25</x:v>
      </x:c>
      <x:c r="I2635" t="str">
        <x:v>ORD-2025-00162</x:v>
      </x:c>
      <x:c r="J2635" t="n">
        <x:v>6</x:v>
      </x:c>
      <x:c r="K2635" t="n">
        <x:v>3</x:v>
      </x:c>
      <x:c r="L2635" t="str">
        <x:v>L25-S06-C3</x:v>
      </x:c>
      <x:c r="M2635" t="n">
        <x:v>1</x:v>
      </x:c>
      <x:c r="N2635" t="str">
        <x:v>DerivedFromCount</x:v>
      </x:c>
      <x:c r="O2635" t="str">
        <x:v>PLC-PRD-JAR-330-L25</x:v>
      </x:c>
      <x:c r="P2635" t="str">
        <x:v>OK</x:v>
      </x:c>
      <x:c r="Q2635" t="str">
        <x:v>OK</x:v>
      </x:c>
      <x:c r="R2635" t="str">
        <x:v>OK</x:v>
      </x:c>
      <x:c r="S2635" t="str">
        <x:v>OK</x:v>
      </x:c>
      <x:c r="T2635" t="n">
        <x:v>24</x:v>
      </x:c>
      <x:c r="U2635" t="str">
        <x:v>OK</x:v>
      </x:c>
      <x:c r="V2635" t="str">
        <x:v>OK</x:v>
      </x:c>
      <x:c r="W2635" t="str">
        <x:v>LOAD</x:v>
      </x:c>
      <x:c r="X2635" t="str">
        <x:v>02_Supervisor_Log(4).xlsx</x:v>
      </x:c>
      <x:c r="Y2635" t="str">
        <x:v>ENH-20260830-01</x:v>
      </x:c>
      <x:c r="Z2635" t="str">
        <x:v>Active</x:v>
      </x:c>
      <x:c r="AA2635"/>
      <x:c r="AB2635"/>
      <x:c r="AC2635"/>
      <x:c r="AD2635"/>
    </x:row>
    <x:row r="2636">
      <x:c r="A2636" t="str">
        <x:v>PCC-PE-KG01-L25-20251025-PM-ORD-2025-00162-S07-C1</x:v>
      </x:c>
      <x:c r="B2636" t="str">
        <x:v>PC-PE-KG01-L25-20251025-PM-ORD-2025-00162-S07</x:v>
      </x:c>
      <x:c r="C2636" t="str">
        <x:v>PE-KG01-L25-20251025-PM-ORD-2025-00162</x:v>
      </x:c>
      <x:c r="D2636" t="str">
        <x:v>KG01</x:v>
      </x:c>
      <x:c r="E2636" s="62" t="n">
        <x:v>45955</x:v>
      </x:c>
      <x:c r="F2636" t="str">
        <x:v>PM</x:v>
      </x:c>
      <x:c r="G2636" t="str">
        <x:v>C</x:v>
      </x:c>
      <x:c r="H2636" t="n">
        <x:v>25</x:v>
      </x:c>
      <x:c r="I2636" t="str">
        <x:v>ORD-2025-00162</x:v>
      </x:c>
      <x:c r="J2636" t="n">
        <x:v>7</x:v>
      </x:c>
      <x:c r="K2636" t="n">
        <x:v>1</x:v>
      </x:c>
      <x:c r="L2636" t="str">
        <x:v>L25-S07-C1</x:v>
      </x:c>
      <x:c r="M2636" t="n">
        <x:v>1</x:v>
      </x:c>
      <x:c r="N2636" t="str">
        <x:v>DerivedFromCount</x:v>
      </x:c>
      <x:c r="O2636" t="str">
        <x:v>PLC-PRD-JAR-330-L25</x:v>
      </x:c>
      <x:c r="P2636" t="str">
        <x:v>OK</x:v>
      </x:c>
      <x:c r="Q2636" t="str">
        <x:v>OK</x:v>
      </x:c>
      <x:c r="R2636" t="str">
        <x:v>OK</x:v>
      </x:c>
      <x:c r="S2636" t="str">
        <x:v>OK</x:v>
      </x:c>
      <x:c r="T2636" t="n">
        <x:v>24</x:v>
      </x:c>
      <x:c r="U2636" t="str">
        <x:v>OK</x:v>
      </x:c>
      <x:c r="V2636" t="str">
        <x:v>OK</x:v>
      </x:c>
      <x:c r="W2636" t="str">
        <x:v>LOAD</x:v>
      </x:c>
      <x:c r="X2636" t="str">
        <x:v>02_Supervisor_Log(4).xlsx</x:v>
      </x:c>
      <x:c r="Y2636" t="str">
        <x:v>ENH-20260830-01</x:v>
      </x:c>
      <x:c r="Z2636" t="str">
        <x:v>Active</x:v>
      </x:c>
      <x:c r="AA2636"/>
      <x:c r="AB2636"/>
      <x:c r="AC2636"/>
      <x:c r="AD2636"/>
    </x:row>
    <x:row r="2637">
      <x:c r="A2637" t="str">
        <x:v>PCC-PE-KG01-L25-20251025-PM-ORD-2025-00162-S07-C2</x:v>
      </x:c>
      <x:c r="B2637" t="str">
        <x:v>PC-PE-KG01-L25-20251025-PM-ORD-2025-00162-S07</x:v>
      </x:c>
      <x:c r="C2637" t="str">
        <x:v>PE-KG01-L25-20251025-PM-ORD-2025-00162</x:v>
      </x:c>
      <x:c r="D2637" t="str">
        <x:v>KG01</x:v>
      </x:c>
      <x:c r="E2637" s="62" t="n">
        <x:v>45955</x:v>
      </x:c>
      <x:c r="F2637" t="str">
        <x:v>PM</x:v>
      </x:c>
      <x:c r="G2637" t="str">
        <x:v>C</x:v>
      </x:c>
      <x:c r="H2637" t="n">
        <x:v>25</x:v>
      </x:c>
      <x:c r="I2637" t="str">
        <x:v>ORD-2025-00162</x:v>
      </x:c>
      <x:c r="J2637" t="n">
        <x:v>7</x:v>
      </x:c>
      <x:c r="K2637" t="n">
        <x:v>2</x:v>
      </x:c>
      <x:c r="L2637" t="str">
        <x:v>L25-S07-C2</x:v>
      </x:c>
      <x:c r="M2637" t="n">
        <x:v>1</x:v>
      </x:c>
      <x:c r="N2637" t="str">
        <x:v>DerivedFromCount</x:v>
      </x:c>
      <x:c r="O2637" t="str">
        <x:v>PLC-PRD-JAR-330-L25</x:v>
      </x:c>
      <x:c r="P2637" t="str">
        <x:v>OK</x:v>
      </x:c>
      <x:c r="Q2637" t="str">
        <x:v>OK</x:v>
      </x:c>
      <x:c r="R2637" t="str">
        <x:v>OK</x:v>
      </x:c>
      <x:c r="S2637" t="str">
        <x:v>OK</x:v>
      </x:c>
      <x:c r="T2637" t="n">
        <x:v>24</x:v>
      </x:c>
      <x:c r="U2637" t="str">
        <x:v>OK</x:v>
      </x:c>
      <x:c r="V2637" t="str">
        <x:v>OK</x:v>
      </x:c>
      <x:c r="W2637" t="str">
        <x:v>LOAD</x:v>
      </x:c>
      <x:c r="X2637" t="str">
        <x:v>02_Supervisor_Log(4).xlsx</x:v>
      </x:c>
      <x:c r="Y2637" t="str">
        <x:v>ENH-20260830-01</x:v>
      </x:c>
      <x:c r="Z2637" t="str">
        <x:v>Active</x:v>
      </x:c>
      <x:c r="AA2637"/>
      <x:c r="AB2637"/>
      <x:c r="AC2637"/>
      <x:c r="AD2637"/>
    </x:row>
    <x:row r="2638">
      <x:c r="A2638" t="str">
        <x:v>PCC-PE-KG01-L25-20251025-PM-ORD-2025-00162-S07-C3</x:v>
      </x:c>
      <x:c r="B2638" t="str">
        <x:v>PC-PE-KG01-L25-20251025-PM-ORD-2025-00162-S07</x:v>
      </x:c>
      <x:c r="C2638" t="str">
        <x:v>PE-KG01-L25-20251025-PM-ORD-2025-00162</x:v>
      </x:c>
      <x:c r="D2638" t="str">
        <x:v>KG01</x:v>
      </x:c>
      <x:c r="E2638" s="62" t="n">
        <x:v>45955</x:v>
      </x:c>
      <x:c r="F2638" t="str">
        <x:v>PM</x:v>
      </x:c>
      <x:c r="G2638" t="str">
        <x:v>C</x:v>
      </x:c>
      <x:c r="H2638" t="n">
        <x:v>25</x:v>
      </x:c>
      <x:c r="I2638" t="str">
        <x:v>ORD-2025-00162</x:v>
      </x:c>
      <x:c r="J2638" t="n">
        <x:v>7</x:v>
      </x:c>
      <x:c r="K2638" t="n">
        <x:v>3</x:v>
      </x:c>
      <x:c r="L2638" t="str">
        <x:v>L25-S07-C3</x:v>
      </x:c>
      <x:c r="M2638" t="n">
        <x:v>1</x:v>
      </x:c>
      <x:c r="N2638" t="str">
        <x:v>DerivedFromCount</x:v>
      </x:c>
      <x:c r="O2638" t="str">
        <x:v>PLC-PRD-JAR-330-L25</x:v>
      </x:c>
      <x:c r="P2638" t="str">
        <x:v>OK</x:v>
      </x:c>
      <x:c r="Q2638" t="str">
        <x:v>OK</x:v>
      </x:c>
      <x:c r="R2638" t="str">
        <x:v>OK</x:v>
      </x:c>
      <x:c r="S2638" t="str">
        <x:v>OK</x:v>
      </x:c>
      <x:c r="T2638" t="n">
        <x:v>24</x:v>
      </x:c>
      <x:c r="U2638" t="str">
        <x:v>OK</x:v>
      </x:c>
      <x:c r="V2638" t="str">
        <x:v>OK</x:v>
      </x:c>
      <x:c r="W2638" t="str">
        <x:v>LOAD</x:v>
      </x:c>
      <x:c r="X2638" t="str">
        <x:v>02_Supervisor_Log(4).xlsx</x:v>
      </x:c>
      <x:c r="Y2638" t="str">
        <x:v>ENH-20260830-01</x:v>
      </x:c>
      <x:c r="Z2638" t="str">
        <x:v>Active</x:v>
      </x:c>
      <x:c r="AA2638"/>
      <x:c r="AB2638"/>
      <x:c r="AC2638"/>
      <x:c r="AD2638"/>
    </x:row>
    <x:row r="2639">
      <x:c r="A2639" t="str">
        <x:v>PCC-PE-KG01-L25-20251025-PM-ORD-2025-00162-S08-C1</x:v>
      </x:c>
      <x:c r="B2639" t="str">
        <x:v>PC-PE-KG01-L25-20251025-PM-ORD-2025-00162-S08</x:v>
      </x:c>
      <x:c r="C2639" t="str">
        <x:v>PE-KG01-L25-20251025-PM-ORD-2025-00162</x:v>
      </x:c>
      <x:c r="D2639" t="str">
        <x:v>KG01</x:v>
      </x:c>
      <x:c r="E2639" s="62" t="n">
        <x:v>45955</x:v>
      </x:c>
      <x:c r="F2639" t="str">
        <x:v>PM</x:v>
      </x:c>
      <x:c r="G2639" t="str">
        <x:v>C</x:v>
      </x:c>
      <x:c r="H2639" t="n">
        <x:v>25</x:v>
      </x:c>
      <x:c r="I2639" t="str">
        <x:v>ORD-2025-00162</x:v>
      </x:c>
      <x:c r="J2639" t="n">
        <x:v>8</x:v>
      </x:c>
      <x:c r="K2639" t="n">
        <x:v>1</x:v>
      </x:c>
      <x:c r="L2639" t="str">
        <x:v>L25-S08-C1</x:v>
      </x:c>
      <x:c r="M2639" t="n">
        <x:v>1</x:v>
      </x:c>
      <x:c r="N2639" t="str">
        <x:v>DerivedFromCount</x:v>
      </x:c>
      <x:c r="O2639" t="str">
        <x:v>PLC-PRD-JAR-330-L25</x:v>
      </x:c>
      <x:c r="P2639" t="str">
        <x:v>OK</x:v>
      </x:c>
      <x:c r="Q2639" t="str">
        <x:v>OK</x:v>
      </x:c>
      <x:c r="R2639" t="str">
        <x:v>OK</x:v>
      </x:c>
      <x:c r="S2639" t="str">
        <x:v>OK</x:v>
      </x:c>
      <x:c r="T2639" t="n">
        <x:v>24</x:v>
      </x:c>
      <x:c r="U2639" t="str">
        <x:v>OK</x:v>
      </x:c>
      <x:c r="V2639" t="str">
        <x:v>OK</x:v>
      </x:c>
      <x:c r="W2639" t="str">
        <x:v>LOAD</x:v>
      </x:c>
      <x:c r="X2639" t="str">
        <x:v>02_Supervisor_Log(4).xlsx</x:v>
      </x:c>
      <x:c r="Y2639" t="str">
        <x:v>ENH-20260830-01</x:v>
      </x:c>
      <x:c r="Z2639" t="str">
        <x:v>Active</x:v>
      </x:c>
      <x:c r="AA2639"/>
      <x:c r="AB2639"/>
      <x:c r="AC2639"/>
      <x:c r="AD2639"/>
    </x:row>
    <x:row r="2640">
      <x:c r="A2640" t="str">
        <x:v>PCC-PE-KG01-L25-20251025-PM-ORD-2025-00162-S08-C2</x:v>
      </x:c>
      <x:c r="B2640" t="str">
        <x:v>PC-PE-KG01-L25-20251025-PM-ORD-2025-00162-S08</x:v>
      </x:c>
      <x:c r="C2640" t="str">
        <x:v>PE-KG01-L25-20251025-PM-ORD-2025-00162</x:v>
      </x:c>
      <x:c r="D2640" t="str">
        <x:v>KG01</x:v>
      </x:c>
      <x:c r="E2640" s="62" t="n">
        <x:v>45955</x:v>
      </x:c>
      <x:c r="F2640" t="str">
        <x:v>PM</x:v>
      </x:c>
      <x:c r="G2640" t="str">
        <x:v>C</x:v>
      </x:c>
      <x:c r="H2640" t="n">
        <x:v>25</x:v>
      </x:c>
      <x:c r="I2640" t="str">
        <x:v>ORD-2025-00162</x:v>
      </x:c>
      <x:c r="J2640" t="n">
        <x:v>8</x:v>
      </x:c>
      <x:c r="K2640" t="n">
        <x:v>2</x:v>
      </x:c>
      <x:c r="L2640" t="str">
        <x:v>L25-S08-C2</x:v>
      </x:c>
      <x:c r="M2640" t="n">
        <x:v>1</x:v>
      </x:c>
      <x:c r="N2640" t="str">
        <x:v>DerivedFromCount</x:v>
      </x:c>
      <x:c r="O2640" t="str">
        <x:v>PLC-PRD-JAR-330-L25</x:v>
      </x:c>
      <x:c r="P2640" t="str">
        <x:v>OK</x:v>
      </x:c>
      <x:c r="Q2640" t="str">
        <x:v>OK</x:v>
      </x:c>
      <x:c r="R2640" t="str">
        <x:v>OK</x:v>
      </x:c>
      <x:c r="S2640" t="str">
        <x:v>OK</x:v>
      </x:c>
      <x:c r="T2640" t="n">
        <x:v>24</x:v>
      </x:c>
      <x:c r="U2640" t="str">
        <x:v>OK</x:v>
      </x:c>
      <x:c r="V2640" t="str">
        <x:v>OK</x:v>
      </x:c>
      <x:c r="W2640" t="str">
        <x:v>LOAD</x:v>
      </x:c>
      <x:c r="X2640" t="str">
        <x:v>02_Supervisor_Log(4).xlsx</x:v>
      </x:c>
      <x:c r="Y2640" t="str">
        <x:v>ENH-20260830-01</x:v>
      </x:c>
      <x:c r="Z2640" t="str">
        <x:v>Active</x:v>
      </x:c>
      <x:c r="AA2640"/>
      <x:c r="AB2640"/>
      <x:c r="AC2640"/>
      <x:c r="AD2640"/>
    </x:row>
    <x:row r="2641">
      <x:c r="A2641" t="str">
        <x:v>PCC-PE-KG01-L25-20251025-PM-ORD-2025-00162-S08-C3</x:v>
      </x:c>
      <x:c r="B2641" t="str">
        <x:v>PC-PE-KG01-L25-20251025-PM-ORD-2025-00162-S08</x:v>
      </x:c>
      <x:c r="C2641" t="str">
        <x:v>PE-KG01-L25-20251025-PM-ORD-2025-00162</x:v>
      </x:c>
      <x:c r="D2641" t="str">
        <x:v>KG01</x:v>
      </x:c>
      <x:c r="E2641" s="62" t="n">
        <x:v>45955</x:v>
      </x:c>
      <x:c r="F2641" t="str">
        <x:v>PM</x:v>
      </x:c>
      <x:c r="G2641" t="str">
        <x:v>C</x:v>
      </x:c>
      <x:c r="H2641" t="n">
        <x:v>25</x:v>
      </x:c>
      <x:c r="I2641" t="str">
        <x:v>ORD-2025-00162</x:v>
      </x:c>
      <x:c r="J2641" t="n">
        <x:v>8</x:v>
      </x:c>
      <x:c r="K2641" t="n">
        <x:v>3</x:v>
      </x:c>
      <x:c r="L2641" t="str">
        <x:v>L25-S08-C3</x:v>
      </x:c>
      <x:c r="M2641" t="n">
        <x:v>1</x:v>
      </x:c>
      <x:c r="N2641" t="str">
        <x:v>DerivedFromCount</x:v>
      </x:c>
      <x:c r="O2641" t="str">
        <x:v>PLC-PRD-JAR-330-L25</x:v>
      </x:c>
      <x:c r="P2641" t="str">
        <x:v>OK</x:v>
      </x:c>
      <x:c r="Q2641" t="str">
        <x:v>OK</x:v>
      </x:c>
      <x:c r="R2641" t="str">
        <x:v>OK</x:v>
      </x:c>
      <x:c r="S2641" t="str">
        <x:v>OK</x:v>
      </x:c>
      <x:c r="T2641" t="n">
        <x:v>24</x:v>
      </x:c>
      <x:c r="U2641" t="str">
        <x:v>OK</x:v>
      </x:c>
      <x:c r="V2641" t="str">
        <x:v>OK</x:v>
      </x:c>
      <x:c r="W2641" t="str">
        <x:v>LOAD</x:v>
      </x:c>
      <x:c r="X2641" t="str">
        <x:v>02_Supervisor_Log(4).xlsx</x:v>
      </x:c>
      <x:c r="Y2641" t="str">
        <x:v>ENH-20260830-01</x:v>
      </x:c>
      <x:c r="Z2641" t="str">
        <x:v>Active</x:v>
      </x:c>
      <x:c r="AA2641"/>
      <x:c r="AB2641"/>
      <x:c r="AC2641"/>
      <x:c r="AD2641"/>
    </x:row>
    <x:row r="2642">
      <x:c r="A2642" t="str">
        <x:v>PCC-PE-KG01-L25-20251025-PM-ORD-2025-00162-S09-C1</x:v>
      </x:c>
      <x:c r="B2642" t="str">
        <x:v>PC-PE-KG01-L25-20251025-PM-ORD-2025-00162-S09</x:v>
      </x:c>
      <x:c r="C2642" t="str">
        <x:v>PE-KG01-L25-20251025-PM-ORD-2025-00162</x:v>
      </x:c>
      <x:c r="D2642" t="str">
        <x:v>KG01</x:v>
      </x:c>
      <x:c r="E2642" s="62" t="n">
        <x:v>45955</x:v>
      </x:c>
      <x:c r="F2642" t="str">
        <x:v>PM</x:v>
      </x:c>
      <x:c r="G2642" t="str">
        <x:v>C</x:v>
      </x:c>
      <x:c r="H2642" t="n">
        <x:v>25</x:v>
      </x:c>
      <x:c r="I2642" t="str">
        <x:v>ORD-2025-00162</x:v>
      </x:c>
      <x:c r="J2642" t="n">
        <x:v>9</x:v>
      </x:c>
      <x:c r="K2642" t="n">
        <x:v>1</x:v>
      </x:c>
      <x:c r="L2642" t="str">
        <x:v>L25-S09-C1</x:v>
      </x:c>
      <x:c r="M2642" t="n">
        <x:v>0</x:v>
      </x:c>
      <x:c r="N2642" t="str">
        <x:v>DerivedFromCount</x:v>
      </x:c>
      <x:c r="O2642" t="str">
        <x:v>PLC-PRD-JAR-330-L25</x:v>
      </x:c>
      <x:c r="P2642" t="str">
        <x:v>OK</x:v>
      </x:c>
      <x:c r="Q2642" t="str">
        <x:v>OK</x:v>
      </x:c>
      <x:c r="R2642" t="str">
        <x:v>OK</x:v>
      </x:c>
      <x:c r="S2642" t="str">
        <x:v>OK</x:v>
      </x:c>
      <x:c r="T2642" t="n">
        <x:v>24</x:v>
      </x:c>
      <x:c r="U2642" t="str">
        <x:v>OK</x:v>
      </x:c>
      <x:c r="V2642" t="str">
        <x:v>OK</x:v>
      </x:c>
      <x:c r="W2642" t="str">
        <x:v>LOAD</x:v>
      </x:c>
      <x:c r="X2642" t="str">
        <x:v>02_Supervisor_Log(4).xlsx</x:v>
      </x:c>
      <x:c r="Y2642" t="str">
        <x:v>ENH-20260830-01</x:v>
      </x:c>
      <x:c r="Z2642" t="str">
        <x:v>Active</x:v>
      </x:c>
      <x:c r="AA2642"/>
      <x:c r="AB2642"/>
      <x:c r="AC2642"/>
      <x:c r="AD2642"/>
    </x:row>
    <x:row r="2643">
      <x:c r="A2643" t="str">
        <x:v>PCC-PE-KG01-L25-20251025-PM-ORD-2025-00162-S09-C2</x:v>
      </x:c>
      <x:c r="B2643" t="str">
        <x:v>PC-PE-KG01-L25-20251025-PM-ORD-2025-00162-S09</x:v>
      </x:c>
      <x:c r="C2643" t="str">
        <x:v>PE-KG01-L25-20251025-PM-ORD-2025-00162</x:v>
      </x:c>
      <x:c r="D2643" t="str">
        <x:v>KG01</x:v>
      </x:c>
      <x:c r="E2643" s="62" t="n">
        <x:v>45955</x:v>
      </x:c>
      <x:c r="F2643" t="str">
        <x:v>PM</x:v>
      </x:c>
      <x:c r="G2643" t="str">
        <x:v>C</x:v>
      </x:c>
      <x:c r="H2643" t="n">
        <x:v>25</x:v>
      </x:c>
      <x:c r="I2643" t="str">
        <x:v>ORD-2025-00162</x:v>
      </x:c>
      <x:c r="J2643" t="n">
        <x:v>9</x:v>
      </x:c>
      <x:c r="K2643" t="n">
        <x:v>2</x:v>
      </x:c>
      <x:c r="L2643" t="str">
        <x:v>L25-S09-C2</x:v>
      </x:c>
      <x:c r="M2643" t="n">
        <x:v>0</x:v>
      </x:c>
      <x:c r="N2643" t="str">
        <x:v>DerivedFromCount</x:v>
      </x:c>
      <x:c r="O2643" t="str">
        <x:v>PLC-PRD-JAR-330-L25</x:v>
      </x:c>
      <x:c r="P2643" t="str">
        <x:v>OK</x:v>
      </x:c>
      <x:c r="Q2643" t="str">
        <x:v>OK</x:v>
      </x:c>
      <x:c r="R2643" t="str">
        <x:v>OK</x:v>
      </x:c>
      <x:c r="S2643" t="str">
        <x:v>OK</x:v>
      </x:c>
      <x:c r="T2643" t="n">
        <x:v>24</x:v>
      </x:c>
      <x:c r="U2643" t="str">
        <x:v>OK</x:v>
      </x:c>
      <x:c r="V2643" t="str">
        <x:v>OK</x:v>
      </x:c>
      <x:c r="W2643" t="str">
        <x:v>LOAD</x:v>
      </x:c>
      <x:c r="X2643" t="str">
        <x:v>02_Supervisor_Log(4).xlsx</x:v>
      </x:c>
      <x:c r="Y2643" t="str">
        <x:v>ENH-20260830-01</x:v>
      </x:c>
      <x:c r="Z2643" t="str">
        <x:v>Active</x:v>
      </x:c>
      <x:c r="AA2643"/>
      <x:c r="AB2643"/>
      <x:c r="AC2643"/>
      <x:c r="AD2643"/>
    </x:row>
    <x:row r="2644">
      <x:c r="A2644" t="str">
        <x:v>PCC-PE-KG01-L25-20251025-PM-ORD-2025-00162-S09-C3</x:v>
      </x:c>
      <x:c r="B2644" t="str">
        <x:v>PC-PE-KG01-L25-20251025-PM-ORD-2025-00162-S09</x:v>
      </x:c>
      <x:c r="C2644" t="str">
        <x:v>PE-KG01-L25-20251025-PM-ORD-2025-00162</x:v>
      </x:c>
      <x:c r="D2644" t="str">
        <x:v>KG01</x:v>
      </x:c>
      <x:c r="E2644" s="62" t="n">
        <x:v>45955</x:v>
      </x:c>
      <x:c r="F2644" t="str">
        <x:v>PM</x:v>
      </x:c>
      <x:c r="G2644" t="str">
        <x:v>C</x:v>
      </x:c>
      <x:c r="H2644" t="n">
        <x:v>25</x:v>
      </x:c>
      <x:c r="I2644" t="str">
        <x:v>ORD-2025-00162</x:v>
      </x:c>
      <x:c r="J2644" t="n">
        <x:v>9</x:v>
      </x:c>
      <x:c r="K2644" t="n">
        <x:v>3</x:v>
      </x:c>
      <x:c r="L2644" t="str">
        <x:v>L25-S09-C3</x:v>
      </x:c>
      <x:c r="M2644" t="n">
        <x:v>0</x:v>
      </x:c>
      <x:c r="N2644" t="str">
        <x:v>DerivedFromCount</x:v>
      </x:c>
      <x:c r="O2644" t="str">
        <x:v>PLC-PRD-JAR-330-L25</x:v>
      </x:c>
      <x:c r="P2644" t="str">
        <x:v>OK</x:v>
      </x:c>
      <x:c r="Q2644" t="str">
        <x:v>OK</x:v>
      </x:c>
      <x:c r="R2644" t="str">
        <x:v>OK</x:v>
      </x:c>
      <x:c r="S2644" t="str">
        <x:v>OK</x:v>
      </x:c>
      <x:c r="T2644" t="n">
        <x:v>24</x:v>
      </x:c>
      <x:c r="U2644" t="str">
        <x:v>OK</x:v>
      </x:c>
      <x:c r="V2644" t="str">
        <x:v>OK</x:v>
      </x:c>
      <x:c r="W2644" t="str">
        <x:v>LOAD</x:v>
      </x:c>
      <x:c r="X2644" t="str">
        <x:v>02_Supervisor_Log(4).xlsx</x:v>
      </x:c>
      <x:c r="Y2644" t="str">
        <x:v>ENH-20260830-01</x:v>
      </x:c>
      <x:c r="Z2644" t="str">
        <x:v>Active</x:v>
      </x:c>
      <x:c r="AA2644"/>
      <x:c r="AB2644"/>
      <x:c r="AC2644"/>
      <x:c r="AD2644"/>
    </x:row>
    <x:row r="2645">
      <x:c r="A2645" t="str">
        <x:v>PCC-PE-KG01-L25-20251025-PM-ORD-2025-00162-S10-C1</x:v>
      </x:c>
      <x:c r="B2645" t="str">
        <x:v>PC-PE-KG01-L25-20251025-PM-ORD-2025-00162-S10</x:v>
      </x:c>
      <x:c r="C2645" t="str">
        <x:v>PE-KG01-L25-20251025-PM-ORD-2025-00162</x:v>
      </x:c>
      <x:c r="D2645" t="str">
        <x:v>KG01</x:v>
      </x:c>
      <x:c r="E2645" s="62" t="n">
        <x:v>45955</x:v>
      </x:c>
      <x:c r="F2645" t="str">
        <x:v>PM</x:v>
      </x:c>
      <x:c r="G2645" t="str">
        <x:v>C</x:v>
      </x:c>
      <x:c r="H2645" t="n">
        <x:v>25</x:v>
      </x:c>
      <x:c r="I2645" t="str">
        <x:v>ORD-2025-00162</x:v>
      </x:c>
      <x:c r="J2645" t="n">
        <x:v>10</x:v>
      </x:c>
      <x:c r="K2645" t="n">
        <x:v>1</x:v>
      </x:c>
      <x:c r="L2645" t="str">
        <x:v>L25-S10-C1</x:v>
      </x:c>
      <x:c r="M2645" t="n">
        <x:v>0</x:v>
      </x:c>
      <x:c r="N2645" t="str">
        <x:v>DerivedFromCount</x:v>
      </x:c>
      <x:c r="O2645" t="str">
        <x:v>PLC-PRD-JAR-330-L25</x:v>
      </x:c>
      <x:c r="P2645" t="str">
        <x:v>OK</x:v>
      </x:c>
      <x:c r="Q2645" t="str">
        <x:v>OK</x:v>
      </x:c>
      <x:c r="R2645" t="str">
        <x:v>OK</x:v>
      </x:c>
      <x:c r="S2645" t="str">
        <x:v>OK</x:v>
      </x:c>
      <x:c r="T2645" t="n">
        <x:v>24</x:v>
      </x:c>
      <x:c r="U2645" t="str">
        <x:v>OK</x:v>
      </x:c>
      <x:c r="V2645" t="str">
        <x:v>OK</x:v>
      </x:c>
      <x:c r="W2645" t="str">
        <x:v>LOAD</x:v>
      </x:c>
      <x:c r="X2645" t="str">
        <x:v>02_Supervisor_Log(4).xlsx</x:v>
      </x:c>
      <x:c r="Y2645" t="str">
        <x:v>ENH-20260830-01</x:v>
      </x:c>
      <x:c r="Z2645" t="str">
        <x:v>Active</x:v>
      </x:c>
      <x:c r="AA2645"/>
      <x:c r="AB2645"/>
      <x:c r="AC2645"/>
      <x:c r="AD2645"/>
    </x:row>
    <x:row r="2646">
      <x:c r="A2646" t="str">
        <x:v>PCC-PE-KG01-L25-20251025-PM-ORD-2025-00162-S10-C2</x:v>
      </x:c>
      <x:c r="B2646" t="str">
        <x:v>PC-PE-KG01-L25-20251025-PM-ORD-2025-00162-S10</x:v>
      </x:c>
      <x:c r="C2646" t="str">
        <x:v>PE-KG01-L25-20251025-PM-ORD-2025-00162</x:v>
      </x:c>
      <x:c r="D2646" t="str">
        <x:v>KG01</x:v>
      </x:c>
      <x:c r="E2646" s="62" t="n">
        <x:v>45955</x:v>
      </x:c>
      <x:c r="F2646" t="str">
        <x:v>PM</x:v>
      </x:c>
      <x:c r="G2646" t="str">
        <x:v>C</x:v>
      </x:c>
      <x:c r="H2646" t="n">
        <x:v>25</x:v>
      </x:c>
      <x:c r="I2646" t="str">
        <x:v>ORD-2025-00162</x:v>
      </x:c>
      <x:c r="J2646" t="n">
        <x:v>10</x:v>
      </x:c>
      <x:c r="K2646" t="n">
        <x:v>2</x:v>
      </x:c>
      <x:c r="L2646" t="str">
        <x:v>L25-S10-C2</x:v>
      </x:c>
      <x:c r="M2646" t="n">
        <x:v>0</x:v>
      </x:c>
      <x:c r="N2646" t="str">
        <x:v>DerivedFromCount</x:v>
      </x:c>
      <x:c r="O2646" t="str">
        <x:v>PLC-PRD-JAR-330-L25</x:v>
      </x:c>
      <x:c r="P2646" t="str">
        <x:v>OK</x:v>
      </x:c>
      <x:c r="Q2646" t="str">
        <x:v>OK</x:v>
      </x:c>
      <x:c r="R2646" t="str">
        <x:v>OK</x:v>
      </x:c>
      <x:c r="S2646" t="str">
        <x:v>OK</x:v>
      </x:c>
      <x:c r="T2646" t="n">
        <x:v>24</x:v>
      </x:c>
      <x:c r="U2646" t="str">
        <x:v>OK</x:v>
      </x:c>
      <x:c r="V2646" t="str">
        <x:v>OK</x:v>
      </x:c>
      <x:c r="W2646" t="str">
        <x:v>LOAD</x:v>
      </x:c>
      <x:c r="X2646" t="str">
        <x:v>02_Supervisor_Log(4).xlsx</x:v>
      </x:c>
      <x:c r="Y2646" t="str">
        <x:v>ENH-20260830-01</x:v>
      </x:c>
      <x:c r="Z2646" t="str">
        <x:v>Active</x:v>
      </x:c>
      <x:c r="AA2646"/>
      <x:c r="AB2646"/>
      <x:c r="AC2646"/>
      <x:c r="AD2646"/>
    </x:row>
    <x:row r="2647">
      <x:c r="A2647" t="str">
        <x:v>PCC-PE-KG01-L25-20251025-PM-ORD-2025-00162-S10-C3</x:v>
      </x:c>
      <x:c r="B2647" t="str">
        <x:v>PC-PE-KG01-L25-20251025-PM-ORD-2025-00162-S10</x:v>
      </x:c>
      <x:c r="C2647" t="str">
        <x:v>PE-KG01-L25-20251025-PM-ORD-2025-00162</x:v>
      </x:c>
      <x:c r="D2647" t="str">
        <x:v>KG01</x:v>
      </x:c>
      <x:c r="E2647" s="62" t="n">
        <x:v>45955</x:v>
      </x:c>
      <x:c r="F2647" t="str">
        <x:v>PM</x:v>
      </x:c>
      <x:c r="G2647" t="str">
        <x:v>C</x:v>
      </x:c>
      <x:c r="H2647" t="n">
        <x:v>25</x:v>
      </x:c>
      <x:c r="I2647" t="str">
        <x:v>ORD-2025-00162</x:v>
      </x:c>
      <x:c r="J2647" t="n">
        <x:v>10</x:v>
      </x:c>
      <x:c r="K2647" t="n">
        <x:v>3</x:v>
      </x:c>
      <x:c r="L2647" t="str">
        <x:v>L25-S10-C3</x:v>
      </x:c>
      <x:c r="M2647" t="n">
        <x:v>0</x:v>
      </x:c>
      <x:c r="N2647" t="str">
        <x:v>DerivedFromCount</x:v>
      </x:c>
      <x:c r="O2647" t="str">
        <x:v>PLC-PRD-JAR-330-L25</x:v>
      </x:c>
      <x:c r="P2647" t="str">
        <x:v>OK</x:v>
      </x:c>
      <x:c r="Q2647" t="str">
        <x:v>OK</x:v>
      </x:c>
      <x:c r="R2647" t="str">
        <x:v>OK</x:v>
      </x:c>
      <x:c r="S2647" t="str">
        <x:v>OK</x:v>
      </x:c>
      <x:c r="T2647" t="n">
        <x:v>24</x:v>
      </x:c>
      <x:c r="U2647" t="str">
        <x:v>OK</x:v>
      </x:c>
      <x:c r="V2647" t="str">
        <x:v>OK</x:v>
      </x:c>
      <x:c r="W2647" t="str">
        <x:v>LOAD</x:v>
      </x:c>
      <x:c r="X2647" t="str">
        <x:v>02_Supervisor_Log(4).xlsx</x:v>
      </x:c>
      <x:c r="Y2647" t="str">
        <x:v>ENH-20260830-01</x:v>
      </x:c>
      <x:c r="Z2647" t="str">
        <x:v>Active</x:v>
      </x:c>
      <x:c r="AA2647"/>
      <x:c r="AB2647"/>
      <x:c r="AC2647"/>
      <x:c r="AD2647"/>
    </x:row>
    <x:row r="2648">
      <x:c r="A2648" t="str">
        <x:v>PCC-PE-KG01-L25-20251025-PM-ORD-2025-00162-S11-C1</x:v>
      </x:c>
      <x:c r="B2648" t="str">
        <x:v>PC-PE-KG01-L25-20251025-PM-ORD-2025-00162-S11</x:v>
      </x:c>
      <x:c r="C2648" t="str">
        <x:v>PE-KG01-L25-20251025-PM-ORD-2025-00162</x:v>
      </x:c>
      <x:c r="D2648" t="str">
        <x:v>KG01</x:v>
      </x:c>
      <x:c r="E2648" s="62" t="n">
        <x:v>45955</x:v>
      </x:c>
      <x:c r="F2648" t="str">
        <x:v>PM</x:v>
      </x:c>
      <x:c r="G2648" t="str">
        <x:v>C</x:v>
      </x:c>
      <x:c r="H2648" t="n">
        <x:v>25</x:v>
      </x:c>
      <x:c r="I2648" t="str">
        <x:v>ORD-2025-00162</x:v>
      </x:c>
      <x:c r="J2648" t="n">
        <x:v>11</x:v>
      </x:c>
      <x:c r="K2648" t="n">
        <x:v>1</x:v>
      </x:c>
      <x:c r="L2648" t="str">
        <x:v>L25-S11-C1</x:v>
      </x:c>
      <x:c r="M2648" t="n">
        <x:v>0</x:v>
      </x:c>
      <x:c r="N2648" t="str">
        <x:v>DerivedFromCount</x:v>
      </x:c>
      <x:c r="O2648" t="str">
        <x:v>PLC-PRD-JAR-330-L25</x:v>
      </x:c>
      <x:c r="P2648" t="str">
        <x:v>OK</x:v>
      </x:c>
      <x:c r="Q2648" t="str">
        <x:v>OK</x:v>
      </x:c>
      <x:c r="R2648" t="str">
        <x:v>OK</x:v>
      </x:c>
      <x:c r="S2648" t="str">
        <x:v>OK</x:v>
      </x:c>
      <x:c r="T2648" t="n">
        <x:v>24</x:v>
      </x:c>
      <x:c r="U2648" t="str">
        <x:v>OK</x:v>
      </x:c>
      <x:c r="V2648" t="str">
        <x:v>OK</x:v>
      </x:c>
      <x:c r="W2648" t="str">
        <x:v>LOAD</x:v>
      </x:c>
      <x:c r="X2648" t="str">
        <x:v>02_Supervisor_Log(4).xlsx</x:v>
      </x:c>
      <x:c r="Y2648" t="str">
        <x:v>ENH-20260830-01</x:v>
      </x:c>
      <x:c r="Z2648" t="str">
        <x:v>Active</x:v>
      </x:c>
      <x:c r="AA2648"/>
      <x:c r="AB2648"/>
      <x:c r="AC2648"/>
      <x:c r="AD2648"/>
    </x:row>
    <x:row r="2649">
      <x:c r="A2649" t="str">
        <x:v>PCC-PE-KG01-L25-20251025-PM-ORD-2025-00162-S11-C2</x:v>
      </x:c>
      <x:c r="B2649" t="str">
        <x:v>PC-PE-KG01-L25-20251025-PM-ORD-2025-00162-S11</x:v>
      </x:c>
      <x:c r="C2649" t="str">
        <x:v>PE-KG01-L25-20251025-PM-ORD-2025-00162</x:v>
      </x:c>
      <x:c r="D2649" t="str">
        <x:v>KG01</x:v>
      </x:c>
      <x:c r="E2649" s="62" t="n">
        <x:v>45955</x:v>
      </x:c>
      <x:c r="F2649" t="str">
        <x:v>PM</x:v>
      </x:c>
      <x:c r="G2649" t="str">
        <x:v>C</x:v>
      </x:c>
      <x:c r="H2649" t="n">
        <x:v>25</x:v>
      </x:c>
      <x:c r="I2649" t="str">
        <x:v>ORD-2025-00162</x:v>
      </x:c>
      <x:c r="J2649" t="n">
        <x:v>11</x:v>
      </x:c>
      <x:c r="K2649" t="n">
        <x:v>2</x:v>
      </x:c>
      <x:c r="L2649" t="str">
        <x:v>L25-S11-C2</x:v>
      </x:c>
      <x:c r="M2649" t="n">
        <x:v>0</x:v>
      </x:c>
      <x:c r="N2649" t="str">
        <x:v>DerivedFromCount</x:v>
      </x:c>
      <x:c r="O2649" t="str">
        <x:v>PLC-PRD-JAR-330-L25</x:v>
      </x:c>
      <x:c r="P2649" t="str">
        <x:v>OK</x:v>
      </x:c>
      <x:c r="Q2649" t="str">
        <x:v>OK</x:v>
      </x:c>
      <x:c r="R2649" t="str">
        <x:v>OK</x:v>
      </x:c>
      <x:c r="S2649" t="str">
        <x:v>OK</x:v>
      </x:c>
      <x:c r="T2649" t="n">
        <x:v>24</x:v>
      </x:c>
      <x:c r="U2649" t="str">
        <x:v>OK</x:v>
      </x:c>
      <x:c r="V2649" t="str">
        <x:v>OK</x:v>
      </x:c>
      <x:c r="W2649" t="str">
        <x:v>LOAD</x:v>
      </x:c>
      <x:c r="X2649" t="str">
        <x:v>02_Supervisor_Log(4).xlsx</x:v>
      </x:c>
      <x:c r="Y2649" t="str">
        <x:v>ENH-20260830-01</x:v>
      </x:c>
      <x:c r="Z2649" t="str">
        <x:v>Active</x:v>
      </x:c>
      <x:c r="AA2649"/>
      <x:c r="AB2649"/>
      <x:c r="AC2649"/>
      <x:c r="AD2649"/>
    </x:row>
    <x:row r="2650">
      <x:c r="A2650" t="str">
        <x:v>PCC-PE-KG01-L25-20251025-PM-ORD-2025-00162-S11-C3</x:v>
      </x:c>
      <x:c r="B2650" t="str">
        <x:v>PC-PE-KG01-L25-20251025-PM-ORD-2025-00162-S11</x:v>
      </x:c>
      <x:c r="C2650" t="str">
        <x:v>PE-KG01-L25-20251025-PM-ORD-2025-00162</x:v>
      </x:c>
      <x:c r="D2650" t="str">
        <x:v>KG01</x:v>
      </x:c>
      <x:c r="E2650" s="62" t="n">
        <x:v>45955</x:v>
      </x:c>
      <x:c r="F2650" t="str">
        <x:v>PM</x:v>
      </x:c>
      <x:c r="G2650" t="str">
        <x:v>C</x:v>
      </x:c>
      <x:c r="H2650" t="n">
        <x:v>25</x:v>
      </x:c>
      <x:c r="I2650" t="str">
        <x:v>ORD-2025-00162</x:v>
      </x:c>
      <x:c r="J2650" t="n">
        <x:v>11</x:v>
      </x:c>
      <x:c r="K2650" t="n">
        <x:v>3</x:v>
      </x:c>
      <x:c r="L2650" t="str">
        <x:v>L25-S11-C3</x:v>
      </x:c>
      <x:c r="M2650" t="n">
        <x:v>0</x:v>
      </x:c>
      <x:c r="N2650" t="str">
        <x:v>DerivedFromCount</x:v>
      </x:c>
      <x:c r="O2650" t="str">
        <x:v>PLC-PRD-JAR-330-L25</x:v>
      </x:c>
      <x:c r="P2650" t="str">
        <x:v>OK</x:v>
      </x:c>
      <x:c r="Q2650" t="str">
        <x:v>OK</x:v>
      </x:c>
      <x:c r="R2650" t="str">
        <x:v>OK</x:v>
      </x:c>
      <x:c r="S2650" t="str">
        <x:v>OK</x:v>
      </x:c>
      <x:c r="T2650" t="n">
        <x:v>24</x:v>
      </x:c>
      <x:c r="U2650" t="str">
        <x:v>OK</x:v>
      </x:c>
      <x:c r="V2650" t="str">
        <x:v>OK</x:v>
      </x:c>
      <x:c r="W2650" t="str">
        <x:v>LOAD</x:v>
      </x:c>
      <x:c r="X2650" t="str">
        <x:v>02_Supervisor_Log(4).xlsx</x:v>
      </x:c>
      <x:c r="Y2650" t="str">
        <x:v>ENH-20260830-01</x:v>
      </x:c>
      <x:c r="Z2650" t="str">
        <x:v>Active</x:v>
      </x:c>
      <x:c r="AA2650"/>
      <x:c r="AB2650"/>
      <x:c r="AC2650"/>
      <x:c r="AD2650"/>
    </x:row>
    <x:row r="2651">
      <x:c r="A2651" t="str">
        <x:v>PCC-PE-KG01-L25-20251025-PM-ORD-2025-00162-S12-C1</x:v>
      </x:c>
      <x:c r="B2651" t="str">
        <x:v>PC-PE-KG01-L25-20251025-PM-ORD-2025-00162-S12</x:v>
      </x:c>
      <x:c r="C2651" t="str">
        <x:v>PE-KG01-L25-20251025-PM-ORD-2025-00162</x:v>
      </x:c>
      <x:c r="D2651" t="str">
        <x:v>KG01</x:v>
      </x:c>
      <x:c r="E2651" s="62" t="n">
        <x:v>45955</x:v>
      </x:c>
      <x:c r="F2651" t="str">
        <x:v>PM</x:v>
      </x:c>
      <x:c r="G2651" t="str">
        <x:v>C</x:v>
      </x:c>
      <x:c r="H2651" t="n">
        <x:v>25</x:v>
      </x:c>
      <x:c r="I2651" t="str">
        <x:v>ORD-2025-00162</x:v>
      </x:c>
      <x:c r="J2651" t="n">
        <x:v>12</x:v>
      </x:c>
      <x:c r="K2651" t="n">
        <x:v>1</x:v>
      </x:c>
      <x:c r="L2651" t="str">
        <x:v>L25-S12-C1</x:v>
      </x:c>
      <x:c r="M2651" t="n">
        <x:v>0</x:v>
      </x:c>
      <x:c r="N2651" t="str">
        <x:v>DerivedFromCount</x:v>
      </x:c>
      <x:c r="O2651" t="str">
        <x:v>PLC-PRD-JAR-330-L25</x:v>
      </x:c>
      <x:c r="P2651" t="str">
        <x:v>OK</x:v>
      </x:c>
      <x:c r="Q2651" t="str">
        <x:v>OK</x:v>
      </x:c>
      <x:c r="R2651" t="str">
        <x:v>OK</x:v>
      </x:c>
      <x:c r="S2651" t="str">
        <x:v>OK</x:v>
      </x:c>
      <x:c r="T2651" t="n">
        <x:v>24</x:v>
      </x:c>
      <x:c r="U2651" t="str">
        <x:v>OK</x:v>
      </x:c>
      <x:c r="V2651" t="str">
        <x:v>OK</x:v>
      </x:c>
      <x:c r="W2651" t="str">
        <x:v>LOAD</x:v>
      </x:c>
      <x:c r="X2651" t="str">
        <x:v>02_Supervisor_Log(4).xlsx</x:v>
      </x:c>
      <x:c r="Y2651" t="str">
        <x:v>ENH-20260830-01</x:v>
      </x:c>
      <x:c r="Z2651" t="str">
        <x:v>Active</x:v>
      </x:c>
      <x:c r="AA2651"/>
      <x:c r="AB2651"/>
      <x:c r="AC2651"/>
      <x:c r="AD2651"/>
    </x:row>
    <x:row r="2652">
      <x:c r="A2652" t="str">
        <x:v>PCC-PE-KG01-L25-20251025-PM-ORD-2025-00162-S12-C2</x:v>
      </x:c>
      <x:c r="B2652" t="str">
        <x:v>PC-PE-KG01-L25-20251025-PM-ORD-2025-00162-S12</x:v>
      </x:c>
      <x:c r="C2652" t="str">
        <x:v>PE-KG01-L25-20251025-PM-ORD-2025-00162</x:v>
      </x:c>
      <x:c r="D2652" t="str">
        <x:v>KG01</x:v>
      </x:c>
      <x:c r="E2652" s="62" t="n">
        <x:v>45955</x:v>
      </x:c>
      <x:c r="F2652" t="str">
        <x:v>PM</x:v>
      </x:c>
      <x:c r="G2652" t="str">
        <x:v>C</x:v>
      </x:c>
      <x:c r="H2652" t="n">
        <x:v>25</x:v>
      </x:c>
      <x:c r="I2652" t="str">
        <x:v>ORD-2025-00162</x:v>
      </x:c>
      <x:c r="J2652" t="n">
        <x:v>12</x:v>
      </x:c>
      <x:c r="K2652" t="n">
        <x:v>2</x:v>
      </x:c>
      <x:c r="L2652" t="str">
        <x:v>L25-S12-C2</x:v>
      </x:c>
      <x:c r="M2652" t="n">
        <x:v>0</x:v>
      </x:c>
      <x:c r="N2652" t="str">
        <x:v>DerivedFromCount</x:v>
      </x:c>
      <x:c r="O2652" t="str">
        <x:v>PLC-PRD-JAR-330-L25</x:v>
      </x:c>
      <x:c r="P2652" t="str">
        <x:v>OK</x:v>
      </x:c>
      <x:c r="Q2652" t="str">
        <x:v>OK</x:v>
      </x:c>
      <x:c r="R2652" t="str">
        <x:v>OK</x:v>
      </x:c>
      <x:c r="S2652" t="str">
        <x:v>OK</x:v>
      </x:c>
      <x:c r="T2652" t="n">
        <x:v>24</x:v>
      </x:c>
      <x:c r="U2652" t="str">
        <x:v>OK</x:v>
      </x:c>
      <x:c r="V2652" t="str">
        <x:v>OK</x:v>
      </x:c>
      <x:c r="W2652" t="str">
        <x:v>LOAD</x:v>
      </x:c>
      <x:c r="X2652" t="str">
        <x:v>02_Supervisor_Log(4).xlsx</x:v>
      </x:c>
      <x:c r="Y2652" t="str">
        <x:v>ENH-20260830-01</x:v>
      </x:c>
      <x:c r="Z2652" t="str">
        <x:v>Active</x:v>
      </x:c>
      <x:c r="AA2652"/>
      <x:c r="AB2652"/>
      <x:c r="AC2652"/>
      <x:c r="AD2652"/>
    </x:row>
    <x:row r="2653">
      <x:c r="A2653" t="str">
        <x:v>PCC-PE-KG01-L25-20251025-PM-ORD-2025-00162-S12-C3</x:v>
      </x:c>
      <x:c r="B2653" t="str">
        <x:v>PC-PE-KG01-L25-20251025-PM-ORD-2025-00162-S12</x:v>
      </x:c>
      <x:c r="C2653" t="str">
        <x:v>PE-KG01-L25-20251025-PM-ORD-2025-00162</x:v>
      </x:c>
      <x:c r="D2653" t="str">
        <x:v>KG01</x:v>
      </x:c>
      <x:c r="E2653" s="62" t="n">
        <x:v>45955</x:v>
      </x:c>
      <x:c r="F2653" t="str">
        <x:v>PM</x:v>
      </x:c>
      <x:c r="G2653" t="str">
        <x:v>C</x:v>
      </x:c>
      <x:c r="H2653" t="n">
        <x:v>25</x:v>
      </x:c>
      <x:c r="I2653" t="str">
        <x:v>ORD-2025-00162</x:v>
      </x:c>
      <x:c r="J2653" t="n">
        <x:v>12</x:v>
      </x:c>
      <x:c r="K2653" t="n">
        <x:v>3</x:v>
      </x:c>
      <x:c r="L2653" t="str">
        <x:v>L25-S12-C3</x:v>
      </x:c>
      <x:c r="M2653" t="n">
        <x:v>0</x:v>
      </x:c>
      <x:c r="N2653" t="str">
        <x:v>DerivedFromCount</x:v>
      </x:c>
      <x:c r="O2653" t="str">
        <x:v>PLC-PRD-JAR-330-L25</x:v>
      </x:c>
      <x:c r="P2653" t="str">
        <x:v>OK</x:v>
      </x:c>
      <x:c r="Q2653" t="str">
        <x:v>OK</x:v>
      </x:c>
      <x:c r="R2653" t="str">
        <x:v>OK</x:v>
      </x:c>
      <x:c r="S2653" t="str">
        <x:v>OK</x:v>
      </x:c>
      <x:c r="T2653" t="n">
        <x:v>24</x:v>
      </x:c>
      <x:c r="U2653" t="str">
        <x:v>OK</x:v>
      </x:c>
      <x:c r="V2653" t="str">
        <x:v>OK</x:v>
      </x:c>
      <x:c r="W2653" t="str">
        <x:v>LOAD</x:v>
      </x:c>
      <x:c r="X2653" t="str">
        <x:v>02_Supervisor_Log(4).xlsx</x:v>
      </x:c>
      <x:c r="Y2653" t="str">
        <x:v>ENH-20260830-01</x:v>
      </x:c>
      <x:c r="Z2653" t="str">
        <x:v>Active</x:v>
      </x:c>
      <x:c r="AA2653"/>
      <x:c r="AB2653"/>
      <x:c r="AC2653"/>
      <x:c r="AD2653"/>
    </x:row>
    <x:row r="2654">
      <x:c r="A2654" t="str">
        <x:v>PCC-PE-KG01-L25-20251025-PM-ORD-2025-00162-S13-C1</x:v>
      </x:c>
      <x:c r="B2654" t="str">
        <x:v>PC-PE-KG01-L25-20251025-PM-ORD-2025-00162-S13</x:v>
      </x:c>
      <x:c r="C2654" t="str">
        <x:v>PE-KG01-L25-20251025-PM-ORD-2025-00162</x:v>
      </x:c>
      <x:c r="D2654" t="str">
        <x:v>KG01</x:v>
      </x:c>
      <x:c r="E2654" s="62" t="n">
        <x:v>45955</x:v>
      </x:c>
      <x:c r="F2654" t="str">
        <x:v>PM</x:v>
      </x:c>
      <x:c r="G2654" t="str">
        <x:v>C</x:v>
      </x:c>
      <x:c r="H2654" t="n">
        <x:v>25</x:v>
      </x:c>
      <x:c r="I2654" t="str">
        <x:v>ORD-2025-00162</x:v>
      </x:c>
      <x:c r="J2654" t="n">
        <x:v>13</x:v>
      </x:c>
      <x:c r="K2654" t="n">
        <x:v>1</x:v>
      </x:c>
      <x:c r="L2654" t="str">
        <x:v>L25-S13-C1</x:v>
      </x:c>
      <x:c r="M2654" t="n">
        <x:v>0</x:v>
      </x:c>
      <x:c r="N2654" t="str">
        <x:v>DerivedFromCount</x:v>
      </x:c>
      <x:c r="O2654" t="str">
        <x:v>PLC-PRD-JAR-330-L25</x:v>
      </x:c>
      <x:c r="P2654" t="str">
        <x:v>OK</x:v>
      </x:c>
      <x:c r="Q2654" t="str">
        <x:v>OK</x:v>
      </x:c>
      <x:c r="R2654" t="str">
        <x:v>OK</x:v>
      </x:c>
      <x:c r="S2654" t="str">
        <x:v>OK</x:v>
      </x:c>
      <x:c r="T2654" t="n">
        <x:v>24</x:v>
      </x:c>
      <x:c r="U2654" t="str">
        <x:v>OK</x:v>
      </x:c>
      <x:c r="V2654" t="str">
        <x:v>OK</x:v>
      </x:c>
      <x:c r="W2654" t="str">
        <x:v>LOAD</x:v>
      </x:c>
      <x:c r="X2654" t="str">
        <x:v>02_Supervisor_Log(4).xlsx</x:v>
      </x:c>
      <x:c r="Y2654" t="str">
        <x:v>ENH-20260830-01</x:v>
      </x:c>
      <x:c r="Z2654" t="str">
        <x:v>Active</x:v>
      </x:c>
      <x:c r="AA2654"/>
      <x:c r="AB2654"/>
      <x:c r="AC2654"/>
      <x:c r="AD2654"/>
    </x:row>
    <x:row r="2655">
      <x:c r="A2655" t="str">
        <x:v>PCC-PE-KG01-L25-20251025-PM-ORD-2025-00162-S13-C2</x:v>
      </x:c>
      <x:c r="B2655" t="str">
        <x:v>PC-PE-KG01-L25-20251025-PM-ORD-2025-00162-S13</x:v>
      </x:c>
      <x:c r="C2655" t="str">
        <x:v>PE-KG01-L25-20251025-PM-ORD-2025-00162</x:v>
      </x:c>
      <x:c r="D2655" t="str">
        <x:v>KG01</x:v>
      </x:c>
      <x:c r="E2655" s="62" t="n">
        <x:v>45955</x:v>
      </x:c>
      <x:c r="F2655" t="str">
        <x:v>PM</x:v>
      </x:c>
      <x:c r="G2655" t="str">
        <x:v>C</x:v>
      </x:c>
      <x:c r="H2655" t="n">
        <x:v>25</x:v>
      </x:c>
      <x:c r="I2655" t="str">
        <x:v>ORD-2025-00162</x:v>
      </x:c>
      <x:c r="J2655" t="n">
        <x:v>13</x:v>
      </x:c>
      <x:c r="K2655" t="n">
        <x:v>2</x:v>
      </x:c>
      <x:c r="L2655" t="str">
        <x:v>L25-S13-C2</x:v>
      </x:c>
      <x:c r="M2655" t="n">
        <x:v>0</x:v>
      </x:c>
      <x:c r="N2655" t="str">
        <x:v>DerivedFromCount</x:v>
      </x:c>
      <x:c r="O2655" t="str">
        <x:v>PLC-PRD-JAR-330-L25</x:v>
      </x:c>
      <x:c r="P2655" t="str">
        <x:v>OK</x:v>
      </x:c>
      <x:c r="Q2655" t="str">
        <x:v>OK</x:v>
      </x:c>
      <x:c r="R2655" t="str">
        <x:v>OK</x:v>
      </x:c>
      <x:c r="S2655" t="str">
        <x:v>OK</x:v>
      </x:c>
      <x:c r="T2655" t="n">
        <x:v>24</x:v>
      </x:c>
      <x:c r="U2655" t="str">
        <x:v>OK</x:v>
      </x:c>
      <x:c r="V2655" t="str">
        <x:v>OK</x:v>
      </x:c>
      <x:c r="W2655" t="str">
        <x:v>LOAD</x:v>
      </x:c>
      <x:c r="X2655" t="str">
        <x:v>02_Supervisor_Log(4).xlsx</x:v>
      </x:c>
      <x:c r="Y2655" t="str">
        <x:v>ENH-20260830-01</x:v>
      </x:c>
      <x:c r="Z2655" t="str">
        <x:v>Active</x:v>
      </x:c>
      <x:c r="AA2655"/>
      <x:c r="AB2655"/>
      <x:c r="AC2655"/>
      <x:c r="AD2655"/>
    </x:row>
    <x:row r="2656">
      <x:c r="A2656" t="str">
        <x:v>PCC-PE-KG01-L25-20251025-PM-ORD-2025-00162-S13-C3</x:v>
      </x:c>
      <x:c r="B2656" t="str">
        <x:v>PC-PE-KG01-L25-20251025-PM-ORD-2025-00162-S13</x:v>
      </x:c>
      <x:c r="C2656" t="str">
        <x:v>PE-KG01-L25-20251025-PM-ORD-2025-00162</x:v>
      </x:c>
      <x:c r="D2656" t="str">
        <x:v>KG01</x:v>
      </x:c>
      <x:c r="E2656" s="62" t="n">
        <x:v>45955</x:v>
      </x:c>
      <x:c r="F2656" t="str">
        <x:v>PM</x:v>
      </x:c>
      <x:c r="G2656" t="str">
        <x:v>C</x:v>
      </x:c>
      <x:c r="H2656" t="n">
        <x:v>25</x:v>
      </x:c>
      <x:c r="I2656" t="str">
        <x:v>ORD-2025-00162</x:v>
      </x:c>
      <x:c r="J2656" t="n">
        <x:v>13</x:v>
      </x:c>
      <x:c r="K2656" t="n">
        <x:v>3</x:v>
      </x:c>
      <x:c r="L2656" t="str">
        <x:v>L25-S13-C3</x:v>
      </x:c>
      <x:c r="M2656" t="n">
        <x:v>0</x:v>
      </x:c>
      <x:c r="N2656" t="str">
        <x:v>DerivedFromCount</x:v>
      </x:c>
      <x:c r="O2656" t="str">
        <x:v>PLC-PRD-JAR-330-L25</x:v>
      </x:c>
      <x:c r="P2656" t="str">
        <x:v>OK</x:v>
      </x:c>
      <x:c r="Q2656" t="str">
        <x:v>OK</x:v>
      </x:c>
      <x:c r="R2656" t="str">
        <x:v>OK</x:v>
      </x:c>
      <x:c r="S2656" t="str">
        <x:v>OK</x:v>
      </x:c>
      <x:c r="T2656" t="n">
        <x:v>24</x:v>
      </x:c>
      <x:c r="U2656" t="str">
        <x:v>OK</x:v>
      </x:c>
      <x:c r="V2656" t="str">
        <x:v>OK</x:v>
      </x:c>
      <x:c r="W2656" t="str">
        <x:v>LOAD</x:v>
      </x:c>
      <x:c r="X2656" t="str">
        <x:v>02_Supervisor_Log(4).xlsx</x:v>
      </x:c>
      <x:c r="Y2656" t="str">
        <x:v>ENH-20260830-01</x:v>
      </x:c>
      <x:c r="Z2656" t="str">
        <x:v>Active</x:v>
      </x:c>
      <x:c r="AA2656"/>
      <x:c r="AB2656"/>
      <x:c r="AC2656"/>
      <x:c r="AD2656"/>
    </x:row>
    <x:row r="2657">
      <x:c r="A2657" t="str">
        <x:v>PCC-PE-KG01-L25-20251026-AM-ORD-2025-00162-S01-C1</x:v>
      </x:c>
      <x:c r="B2657" t="str">
        <x:v>PC-PE-KG01-L25-20251026-AM-ORD-2025-00162-S01</x:v>
      </x:c>
      <x:c r="C2657" t="str">
        <x:v>PE-KG01-L25-20251026-AM-ORD-2025-00162</x:v>
      </x:c>
      <x:c r="D2657" t="str">
        <x:v>KG01</x:v>
      </x:c>
      <x:c r="E2657" s="62" t="n">
        <x:v>45956</x:v>
      </x:c>
      <x:c r="F2657" t="str">
        <x:v>AM</x:v>
      </x:c>
      <x:c r="G2657" t="str">
        <x:v>C</x:v>
      </x:c>
      <x:c r="H2657" t="n">
        <x:v>25</x:v>
      </x:c>
      <x:c r="I2657" t="str">
        <x:v>ORD-2025-00162</x:v>
      </x:c>
      <x:c r="J2657" t="n">
        <x:v>1</x:v>
      </x:c>
      <x:c r="K2657" t="n">
        <x:v>1</x:v>
      </x:c>
      <x:c r="L2657" t="str">
        <x:v>L25-S01-C1</x:v>
      </x:c>
      <x:c r="M2657" t="n">
        <x:v>1</x:v>
      </x:c>
      <x:c r="N2657" t="str">
        <x:v>DerivedFromCount</x:v>
      </x:c>
      <x:c r="O2657" t="str">
        <x:v>PLC-PRD-JAR-330-L25</x:v>
      </x:c>
      <x:c r="P2657" t="str">
        <x:v>OK</x:v>
      </x:c>
      <x:c r="Q2657" t="str">
        <x:v>OK</x:v>
      </x:c>
      <x:c r="R2657" t="str">
        <x:v>OK</x:v>
      </x:c>
      <x:c r="S2657" t="str">
        <x:v>OK</x:v>
      </x:c>
      <x:c r="T2657" t="n">
        <x:v>24</x:v>
      </x:c>
      <x:c r="U2657" t="str">
        <x:v>OK</x:v>
      </x:c>
      <x:c r="V2657" t="str">
        <x:v>OK</x:v>
      </x:c>
      <x:c r="W2657" t="str">
        <x:v>LOAD</x:v>
      </x:c>
      <x:c r="X2657" t="str">
        <x:v>02_Supervisor_Log(4).xlsx</x:v>
      </x:c>
      <x:c r="Y2657" t="str">
        <x:v>ENH-20260830-01</x:v>
      </x:c>
      <x:c r="Z2657" t="str">
        <x:v>Active</x:v>
      </x:c>
      <x:c r="AA2657"/>
      <x:c r="AB2657"/>
      <x:c r="AC2657"/>
      <x:c r="AD2657"/>
    </x:row>
    <x:row r="2658">
      <x:c r="A2658" t="str">
        <x:v>PCC-PE-KG01-L25-20251026-AM-ORD-2025-00162-S01-C2</x:v>
      </x:c>
      <x:c r="B2658" t="str">
        <x:v>PC-PE-KG01-L25-20251026-AM-ORD-2025-00162-S01</x:v>
      </x:c>
      <x:c r="C2658" t="str">
        <x:v>PE-KG01-L25-20251026-AM-ORD-2025-00162</x:v>
      </x:c>
      <x:c r="D2658" t="str">
        <x:v>KG01</x:v>
      </x:c>
      <x:c r="E2658" s="62" t="n">
        <x:v>45956</x:v>
      </x:c>
      <x:c r="F2658" t="str">
        <x:v>AM</x:v>
      </x:c>
      <x:c r="G2658" t="str">
        <x:v>C</x:v>
      </x:c>
      <x:c r="H2658" t="n">
        <x:v>25</x:v>
      </x:c>
      <x:c r="I2658" t="str">
        <x:v>ORD-2025-00162</x:v>
      </x:c>
      <x:c r="J2658" t="n">
        <x:v>1</x:v>
      </x:c>
      <x:c r="K2658" t="n">
        <x:v>2</x:v>
      </x:c>
      <x:c r="L2658" t="str">
        <x:v>L25-S01-C2</x:v>
      </x:c>
      <x:c r="M2658" t="n">
        <x:v>1</x:v>
      </x:c>
      <x:c r="N2658" t="str">
        <x:v>DerivedFromCount</x:v>
      </x:c>
      <x:c r="O2658" t="str">
        <x:v>PLC-PRD-JAR-330-L25</x:v>
      </x:c>
      <x:c r="P2658" t="str">
        <x:v>OK</x:v>
      </x:c>
      <x:c r="Q2658" t="str">
        <x:v>OK</x:v>
      </x:c>
      <x:c r="R2658" t="str">
        <x:v>OK</x:v>
      </x:c>
      <x:c r="S2658" t="str">
        <x:v>OK</x:v>
      </x:c>
      <x:c r="T2658" t="n">
        <x:v>24</x:v>
      </x:c>
      <x:c r="U2658" t="str">
        <x:v>OK</x:v>
      </x:c>
      <x:c r="V2658" t="str">
        <x:v>OK</x:v>
      </x:c>
      <x:c r="W2658" t="str">
        <x:v>LOAD</x:v>
      </x:c>
      <x:c r="X2658" t="str">
        <x:v>02_Supervisor_Log(4).xlsx</x:v>
      </x:c>
      <x:c r="Y2658" t="str">
        <x:v>ENH-20260830-01</x:v>
      </x:c>
      <x:c r="Z2658" t="str">
        <x:v>Active</x:v>
      </x:c>
      <x:c r="AA2658"/>
      <x:c r="AB2658"/>
      <x:c r="AC2658"/>
      <x:c r="AD2658"/>
    </x:row>
    <x:row r="2659">
      <x:c r="A2659" t="str">
        <x:v>PCC-PE-KG01-L25-20251026-AM-ORD-2025-00162-S01-C3</x:v>
      </x:c>
      <x:c r="B2659" t="str">
        <x:v>PC-PE-KG01-L25-20251026-AM-ORD-2025-00162-S01</x:v>
      </x:c>
      <x:c r="C2659" t="str">
        <x:v>PE-KG01-L25-20251026-AM-ORD-2025-00162</x:v>
      </x:c>
      <x:c r="D2659" t="str">
        <x:v>KG01</x:v>
      </x:c>
      <x:c r="E2659" s="62" t="n">
        <x:v>45956</x:v>
      </x:c>
      <x:c r="F2659" t="str">
        <x:v>AM</x:v>
      </x:c>
      <x:c r="G2659" t="str">
        <x:v>C</x:v>
      </x:c>
      <x:c r="H2659" t="n">
        <x:v>25</x:v>
      </x:c>
      <x:c r="I2659" t="str">
        <x:v>ORD-2025-00162</x:v>
      </x:c>
      <x:c r="J2659" t="n">
        <x:v>1</x:v>
      </x:c>
      <x:c r="K2659" t="n">
        <x:v>3</x:v>
      </x:c>
      <x:c r="L2659" t="str">
        <x:v>L25-S01-C3</x:v>
      </x:c>
      <x:c r="M2659" t="n">
        <x:v>1</x:v>
      </x:c>
      <x:c r="N2659" t="str">
        <x:v>DerivedFromCount</x:v>
      </x:c>
      <x:c r="O2659" t="str">
        <x:v>PLC-PRD-JAR-330-L25</x:v>
      </x:c>
      <x:c r="P2659" t="str">
        <x:v>OK</x:v>
      </x:c>
      <x:c r="Q2659" t="str">
        <x:v>OK</x:v>
      </x:c>
      <x:c r="R2659" t="str">
        <x:v>OK</x:v>
      </x:c>
      <x:c r="S2659" t="str">
        <x:v>OK</x:v>
      </x:c>
      <x:c r="T2659" t="n">
        <x:v>24</x:v>
      </x:c>
      <x:c r="U2659" t="str">
        <x:v>OK</x:v>
      </x:c>
      <x:c r="V2659" t="str">
        <x:v>OK</x:v>
      </x:c>
      <x:c r="W2659" t="str">
        <x:v>LOAD</x:v>
      </x:c>
      <x:c r="X2659" t="str">
        <x:v>02_Supervisor_Log(4).xlsx</x:v>
      </x:c>
      <x:c r="Y2659" t="str">
        <x:v>ENH-20260830-01</x:v>
      </x:c>
      <x:c r="Z2659" t="str">
        <x:v>Active</x:v>
      </x:c>
      <x:c r="AA2659"/>
      <x:c r="AB2659"/>
      <x:c r="AC2659"/>
      <x:c r="AD2659"/>
    </x:row>
    <x:row r="2660">
      <x:c r="A2660" t="str">
        <x:v>PCC-PE-KG01-L25-20251026-AM-ORD-2025-00162-S02-C1</x:v>
      </x:c>
      <x:c r="B2660" t="str">
        <x:v>PC-PE-KG01-L25-20251026-AM-ORD-2025-00162-S02</x:v>
      </x:c>
      <x:c r="C2660" t="str">
        <x:v>PE-KG01-L25-20251026-AM-ORD-2025-00162</x:v>
      </x:c>
      <x:c r="D2660" t="str">
        <x:v>KG01</x:v>
      </x:c>
      <x:c r="E2660" s="62" t="n">
        <x:v>45956</x:v>
      </x:c>
      <x:c r="F2660" t="str">
        <x:v>AM</x:v>
      </x:c>
      <x:c r="G2660" t="str">
        <x:v>C</x:v>
      </x:c>
      <x:c r="H2660" t="n">
        <x:v>25</x:v>
      </x:c>
      <x:c r="I2660" t="str">
        <x:v>ORD-2025-00162</x:v>
      </x:c>
      <x:c r="J2660" t="n">
        <x:v>2</x:v>
      </x:c>
      <x:c r="K2660" t="n">
        <x:v>1</x:v>
      </x:c>
      <x:c r="L2660" t="str">
        <x:v>L25-S02-C1</x:v>
      </x:c>
      <x:c r="M2660" t="n">
        <x:v>1</x:v>
      </x:c>
      <x:c r="N2660" t="str">
        <x:v>DerivedFromCount</x:v>
      </x:c>
      <x:c r="O2660" t="str">
        <x:v>PLC-PRD-JAR-330-L25</x:v>
      </x:c>
      <x:c r="P2660" t="str">
        <x:v>OK</x:v>
      </x:c>
      <x:c r="Q2660" t="str">
        <x:v>OK</x:v>
      </x:c>
      <x:c r="R2660" t="str">
        <x:v>OK</x:v>
      </x:c>
      <x:c r="S2660" t="str">
        <x:v>OK</x:v>
      </x:c>
      <x:c r="T2660" t="n">
        <x:v>24</x:v>
      </x:c>
      <x:c r="U2660" t="str">
        <x:v>OK</x:v>
      </x:c>
      <x:c r="V2660" t="str">
        <x:v>OK</x:v>
      </x:c>
      <x:c r="W2660" t="str">
        <x:v>LOAD</x:v>
      </x:c>
      <x:c r="X2660" t="str">
        <x:v>02_Supervisor_Log(4).xlsx</x:v>
      </x:c>
      <x:c r="Y2660" t="str">
        <x:v>ENH-20260830-01</x:v>
      </x:c>
      <x:c r="Z2660" t="str">
        <x:v>Active</x:v>
      </x:c>
      <x:c r="AA2660"/>
      <x:c r="AB2660"/>
      <x:c r="AC2660"/>
      <x:c r="AD2660"/>
    </x:row>
    <x:row r="2661">
      <x:c r="A2661" t="str">
        <x:v>PCC-PE-KG01-L25-20251026-AM-ORD-2025-00162-S02-C2</x:v>
      </x:c>
      <x:c r="B2661" t="str">
        <x:v>PC-PE-KG01-L25-20251026-AM-ORD-2025-00162-S02</x:v>
      </x:c>
      <x:c r="C2661" t="str">
        <x:v>PE-KG01-L25-20251026-AM-ORD-2025-00162</x:v>
      </x:c>
      <x:c r="D2661" t="str">
        <x:v>KG01</x:v>
      </x:c>
      <x:c r="E2661" s="62" t="n">
        <x:v>45956</x:v>
      </x:c>
      <x:c r="F2661" t="str">
        <x:v>AM</x:v>
      </x:c>
      <x:c r="G2661" t="str">
        <x:v>C</x:v>
      </x:c>
      <x:c r="H2661" t="n">
        <x:v>25</x:v>
      </x:c>
      <x:c r="I2661" t="str">
        <x:v>ORD-2025-00162</x:v>
      </x:c>
      <x:c r="J2661" t="n">
        <x:v>2</x:v>
      </x:c>
      <x:c r="K2661" t="n">
        <x:v>2</x:v>
      </x:c>
      <x:c r="L2661" t="str">
        <x:v>L25-S02-C2</x:v>
      </x:c>
      <x:c r="M2661" t="n">
        <x:v>1</x:v>
      </x:c>
      <x:c r="N2661" t="str">
        <x:v>DerivedFromCount</x:v>
      </x:c>
      <x:c r="O2661" t="str">
        <x:v>PLC-PRD-JAR-330-L25</x:v>
      </x:c>
      <x:c r="P2661" t="str">
        <x:v>OK</x:v>
      </x:c>
      <x:c r="Q2661" t="str">
        <x:v>OK</x:v>
      </x:c>
      <x:c r="R2661" t="str">
        <x:v>OK</x:v>
      </x:c>
      <x:c r="S2661" t="str">
        <x:v>OK</x:v>
      </x:c>
      <x:c r="T2661" t="n">
        <x:v>24</x:v>
      </x:c>
      <x:c r="U2661" t="str">
        <x:v>OK</x:v>
      </x:c>
      <x:c r="V2661" t="str">
        <x:v>OK</x:v>
      </x:c>
      <x:c r="W2661" t="str">
        <x:v>LOAD</x:v>
      </x:c>
      <x:c r="X2661" t="str">
        <x:v>02_Supervisor_Log(4).xlsx</x:v>
      </x:c>
      <x:c r="Y2661" t="str">
        <x:v>ENH-20260830-01</x:v>
      </x:c>
      <x:c r="Z2661" t="str">
        <x:v>Active</x:v>
      </x:c>
      <x:c r="AA2661"/>
      <x:c r="AB2661"/>
      <x:c r="AC2661"/>
      <x:c r="AD2661"/>
    </x:row>
    <x:row r="2662">
      <x:c r="A2662" t="str">
        <x:v>PCC-PE-KG01-L25-20251026-AM-ORD-2025-00162-S02-C3</x:v>
      </x:c>
      <x:c r="B2662" t="str">
        <x:v>PC-PE-KG01-L25-20251026-AM-ORD-2025-00162-S02</x:v>
      </x:c>
      <x:c r="C2662" t="str">
        <x:v>PE-KG01-L25-20251026-AM-ORD-2025-00162</x:v>
      </x:c>
      <x:c r="D2662" t="str">
        <x:v>KG01</x:v>
      </x:c>
      <x:c r="E2662" s="62" t="n">
        <x:v>45956</x:v>
      </x:c>
      <x:c r="F2662" t="str">
        <x:v>AM</x:v>
      </x:c>
      <x:c r="G2662" t="str">
        <x:v>C</x:v>
      </x:c>
      <x:c r="H2662" t="n">
        <x:v>25</x:v>
      </x:c>
      <x:c r="I2662" t="str">
        <x:v>ORD-2025-00162</x:v>
      </x:c>
      <x:c r="J2662" t="n">
        <x:v>2</x:v>
      </x:c>
      <x:c r="K2662" t="n">
        <x:v>3</x:v>
      </x:c>
      <x:c r="L2662" t="str">
        <x:v>L25-S02-C3</x:v>
      </x:c>
      <x:c r="M2662" t="n">
        <x:v>1</x:v>
      </x:c>
      <x:c r="N2662" t="str">
        <x:v>DerivedFromCount</x:v>
      </x:c>
      <x:c r="O2662" t="str">
        <x:v>PLC-PRD-JAR-330-L25</x:v>
      </x:c>
      <x:c r="P2662" t="str">
        <x:v>OK</x:v>
      </x:c>
      <x:c r="Q2662" t="str">
        <x:v>OK</x:v>
      </x:c>
      <x:c r="R2662" t="str">
        <x:v>OK</x:v>
      </x:c>
      <x:c r="S2662" t="str">
        <x:v>OK</x:v>
      </x:c>
      <x:c r="T2662" t="n">
        <x:v>24</x:v>
      </x:c>
      <x:c r="U2662" t="str">
        <x:v>OK</x:v>
      </x:c>
      <x:c r="V2662" t="str">
        <x:v>OK</x:v>
      </x:c>
      <x:c r="W2662" t="str">
        <x:v>LOAD</x:v>
      </x:c>
      <x:c r="X2662" t="str">
        <x:v>02_Supervisor_Log(4).xlsx</x:v>
      </x:c>
      <x:c r="Y2662" t="str">
        <x:v>ENH-20260830-01</x:v>
      </x:c>
      <x:c r="Z2662" t="str">
        <x:v>Active</x:v>
      </x:c>
      <x:c r="AA2662"/>
      <x:c r="AB2662"/>
      <x:c r="AC2662"/>
      <x:c r="AD2662"/>
    </x:row>
    <x:row r="2663">
      <x:c r="A2663" t="str">
        <x:v>PCC-PE-KG01-L25-20251026-AM-ORD-2025-00162-S03-C1</x:v>
      </x:c>
      <x:c r="B2663" t="str">
        <x:v>PC-PE-KG01-L25-20251026-AM-ORD-2025-00162-S03</x:v>
      </x:c>
      <x:c r="C2663" t="str">
        <x:v>PE-KG01-L25-20251026-AM-ORD-2025-00162</x:v>
      </x:c>
      <x:c r="D2663" t="str">
        <x:v>KG01</x:v>
      </x:c>
      <x:c r="E2663" s="62" t="n">
        <x:v>45956</x:v>
      </x:c>
      <x:c r="F2663" t="str">
        <x:v>AM</x:v>
      </x:c>
      <x:c r="G2663" t="str">
        <x:v>C</x:v>
      </x:c>
      <x:c r="H2663" t="n">
        <x:v>25</x:v>
      </x:c>
      <x:c r="I2663" t="str">
        <x:v>ORD-2025-00162</x:v>
      </x:c>
      <x:c r="J2663" t="n">
        <x:v>3</x:v>
      </x:c>
      <x:c r="K2663" t="n">
        <x:v>1</x:v>
      </x:c>
      <x:c r="L2663" t="str">
        <x:v>L25-S03-C1</x:v>
      </x:c>
      <x:c r="M2663" t="n">
        <x:v>1</x:v>
      </x:c>
      <x:c r="N2663" t="str">
        <x:v>DerivedFromCount</x:v>
      </x:c>
      <x:c r="O2663" t="str">
        <x:v>PLC-PRD-JAR-330-L25</x:v>
      </x:c>
      <x:c r="P2663" t="str">
        <x:v>OK</x:v>
      </x:c>
      <x:c r="Q2663" t="str">
        <x:v>OK</x:v>
      </x:c>
      <x:c r="R2663" t="str">
        <x:v>OK</x:v>
      </x:c>
      <x:c r="S2663" t="str">
        <x:v>OK</x:v>
      </x:c>
      <x:c r="T2663" t="n">
        <x:v>24</x:v>
      </x:c>
      <x:c r="U2663" t="str">
        <x:v>OK</x:v>
      </x:c>
      <x:c r="V2663" t="str">
        <x:v>OK</x:v>
      </x:c>
      <x:c r="W2663" t="str">
        <x:v>LOAD</x:v>
      </x:c>
      <x:c r="X2663" t="str">
        <x:v>02_Supervisor_Log(4).xlsx</x:v>
      </x:c>
      <x:c r="Y2663" t="str">
        <x:v>ENH-20260830-01</x:v>
      </x:c>
      <x:c r="Z2663" t="str">
        <x:v>Active</x:v>
      </x:c>
      <x:c r="AA2663"/>
      <x:c r="AB2663"/>
      <x:c r="AC2663"/>
      <x:c r="AD2663"/>
    </x:row>
    <x:row r="2664">
      <x:c r="A2664" t="str">
        <x:v>PCC-PE-KG01-L25-20251026-AM-ORD-2025-00162-S03-C2</x:v>
      </x:c>
      <x:c r="B2664" t="str">
        <x:v>PC-PE-KG01-L25-20251026-AM-ORD-2025-00162-S03</x:v>
      </x:c>
      <x:c r="C2664" t="str">
        <x:v>PE-KG01-L25-20251026-AM-ORD-2025-00162</x:v>
      </x:c>
      <x:c r="D2664" t="str">
        <x:v>KG01</x:v>
      </x:c>
      <x:c r="E2664" s="62" t="n">
        <x:v>45956</x:v>
      </x:c>
      <x:c r="F2664" t="str">
        <x:v>AM</x:v>
      </x:c>
      <x:c r="G2664" t="str">
        <x:v>C</x:v>
      </x:c>
      <x:c r="H2664" t="n">
        <x:v>25</x:v>
      </x:c>
      <x:c r="I2664" t="str">
        <x:v>ORD-2025-00162</x:v>
      </x:c>
      <x:c r="J2664" t="n">
        <x:v>3</x:v>
      </x:c>
      <x:c r="K2664" t="n">
        <x:v>2</x:v>
      </x:c>
      <x:c r="L2664" t="str">
        <x:v>L25-S03-C2</x:v>
      </x:c>
      <x:c r="M2664" t="n">
        <x:v>1</x:v>
      </x:c>
      <x:c r="N2664" t="str">
        <x:v>DerivedFromCount</x:v>
      </x:c>
      <x:c r="O2664" t="str">
        <x:v>PLC-PRD-JAR-330-L25</x:v>
      </x:c>
      <x:c r="P2664" t="str">
        <x:v>OK</x:v>
      </x:c>
      <x:c r="Q2664" t="str">
        <x:v>OK</x:v>
      </x:c>
      <x:c r="R2664" t="str">
        <x:v>OK</x:v>
      </x:c>
      <x:c r="S2664" t="str">
        <x:v>OK</x:v>
      </x:c>
      <x:c r="T2664" t="n">
        <x:v>24</x:v>
      </x:c>
      <x:c r="U2664" t="str">
        <x:v>OK</x:v>
      </x:c>
      <x:c r="V2664" t="str">
        <x:v>OK</x:v>
      </x:c>
      <x:c r="W2664" t="str">
        <x:v>LOAD</x:v>
      </x:c>
      <x:c r="X2664" t="str">
        <x:v>02_Supervisor_Log(4).xlsx</x:v>
      </x:c>
      <x:c r="Y2664" t="str">
        <x:v>ENH-20260830-01</x:v>
      </x:c>
      <x:c r="Z2664" t="str">
        <x:v>Active</x:v>
      </x:c>
      <x:c r="AA2664"/>
      <x:c r="AB2664"/>
      <x:c r="AC2664"/>
      <x:c r="AD2664"/>
    </x:row>
    <x:row r="2665">
      <x:c r="A2665" t="str">
        <x:v>PCC-PE-KG01-L25-20251026-AM-ORD-2025-00162-S03-C3</x:v>
      </x:c>
      <x:c r="B2665" t="str">
        <x:v>PC-PE-KG01-L25-20251026-AM-ORD-2025-00162-S03</x:v>
      </x:c>
      <x:c r="C2665" t="str">
        <x:v>PE-KG01-L25-20251026-AM-ORD-2025-00162</x:v>
      </x:c>
      <x:c r="D2665" t="str">
        <x:v>KG01</x:v>
      </x:c>
      <x:c r="E2665" s="62" t="n">
        <x:v>45956</x:v>
      </x:c>
      <x:c r="F2665" t="str">
        <x:v>AM</x:v>
      </x:c>
      <x:c r="G2665" t="str">
        <x:v>C</x:v>
      </x:c>
      <x:c r="H2665" t="n">
        <x:v>25</x:v>
      </x:c>
      <x:c r="I2665" t="str">
        <x:v>ORD-2025-00162</x:v>
      </x:c>
      <x:c r="J2665" t="n">
        <x:v>3</x:v>
      </x:c>
      <x:c r="K2665" t="n">
        <x:v>3</x:v>
      </x:c>
      <x:c r="L2665" t="str">
        <x:v>L25-S03-C3</x:v>
      </x:c>
      <x:c r="M2665" t="n">
        <x:v>1</x:v>
      </x:c>
      <x:c r="N2665" t="str">
        <x:v>DerivedFromCount</x:v>
      </x:c>
      <x:c r="O2665" t="str">
        <x:v>PLC-PRD-JAR-330-L25</x:v>
      </x:c>
      <x:c r="P2665" t="str">
        <x:v>OK</x:v>
      </x:c>
      <x:c r="Q2665" t="str">
        <x:v>OK</x:v>
      </x:c>
      <x:c r="R2665" t="str">
        <x:v>OK</x:v>
      </x:c>
      <x:c r="S2665" t="str">
        <x:v>OK</x:v>
      </x:c>
      <x:c r="T2665" t="n">
        <x:v>24</x:v>
      </x:c>
      <x:c r="U2665" t="str">
        <x:v>OK</x:v>
      </x:c>
      <x:c r="V2665" t="str">
        <x:v>OK</x:v>
      </x:c>
      <x:c r="W2665" t="str">
        <x:v>LOAD</x:v>
      </x:c>
      <x:c r="X2665" t="str">
        <x:v>02_Supervisor_Log(4).xlsx</x:v>
      </x:c>
      <x:c r="Y2665" t="str">
        <x:v>ENH-20260830-01</x:v>
      </x:c>
      <x:c r="Z2665" t="str">
        <x:v>Active</x:v>
      </x:c>
      <x:c r="AA2665"/>
      <x:c r="AB2665"/>
      <x:c r="AC2665"/>
      <x:c r="AD2665"/>
    </x:row>
    <x:row r="2666">
      <x:c r="A2666" t="str">
        <x:v>PCC-PE-KG01-L25-20251026-AM-ORD-2025-00162-S04-C1</x:v>
      </x:c>
      <x:c r="B2666" t="str">
        <x:v>PC-PE-KG01-L25-20251026-AM-ORD-2025-00162-S04</x:v>
      </x:c>
      <x:c r="C2666" t="str">
        <x:v>PE-KG01-L25-20251026-AM-ORD-2025-00162</x:v>
      </x:c>
      <x:c r="D2666" t="str">
        <x:v>KG01</x:v>
      </x:c>
      <x:c r="E2666" s="62" t="n">
        <x:v>45956</x:v>
      </x:c>
      <x:c r="F2666" t="str">
        <x:v>AM</x:v>
      </x:c>
      <x:c r="G2666" t="str">
        <x:v>C</x:v>
      </x:c>
      <x:c r="H2666" t="n">
        <x:v>25</x:v>
      </x:c>
      <x:c r="I2666" t="str">
        <x:v>ORD-2025-00162</x:v>
      </x:c>
      <x:c r="J2666" t="n">
        <x:v>4</x:v>
      </x:c>
      <x:c r="K2666" t="n">
        <x:v>1</x:v>
      </x:c>
      <x:c r="L2666" t="str">
        <x:v>L25-S04-C1</x:v>
      </x:c>
      <x:c r="M2666" t="n">
        <x:v>1</x:v>
      </x:c>
      <x:c r="N2666" t="str">
        <x:v>DerivedFromCount</x:v>
      </x:c>
      <x:c r="O2666" t="str">
        <x:v>PLC-PRD-JAR-330-L25</x:v>
      </x:c>
      <x:c r="P2666" t="str">
        <x:v>OK</x:v>
      </x:c>
      <x:c r="Q2666" t="str">
        <x:v>OK</x:v>
      </x:c>
      <x:c r="R2666" t="str">
        <x:v>OK</x:v>
      </x:c>
      <x:c r="S2666" t="str">
        <x:v>OK</x:v>
      </x:c>
      <x:c r="T2666" t="n">
        <x:v>24</x:v>
      </x:c>
      <x:c r="U2666" t="str">
        <x:v>OK</x:v>
      </x:c>
      <x:c r="V2666" t="str">
        <x:v>OK</x:v>
      </x:c>
      <x:c r="W2666" t="str">
        <x:v>LOAD</x:v>
      </x:c>
      <x:c r="X2666" t="str">
        <x:v>02_Supervisor_Log(4).xlsx</x:v>
      </x:c>
      <x:c r="Y2666" t="str">
        <x:v>ENH-20260830-01</x:v>
      </x:c>
      <x:c r="Z2666" t="str">
        <x:v>Active</x:v>
      </x:c>
      <x:c r="AA2666"/>
      <x:c r="AB2666"/>
      <x:c r="AC2666"/>
      <x:c r="AD2666"/>
    </x:row>
    <x:row r="2667">
      <x:c r="A2667" t="str">
        <x:v>PCC-PE-KG01-L25-20251026-AM-ORD-2025-00162-S04-C2</x:v>
      </x:c>
      <x:c r="B2667" t="str">
        <x:v>PC-PE-KG01-L25-20251026-AM-ORD-2025-00162-S04</x:v>
      </x:c>
      <x:c r="C2667" t="str">
        <x:v>PE-KG01-L25-20251026-AM-ORD-2025-00162</x:v>
      </x:c>
      <x:c r="D2667" t="str">
        <x:v>KG01</x:v>
      </x:c>
      <x:c r="E2667" s="62" t="n">
        <x:v>45956</x:v>
      </x:c>
      <x:c r="F2667" t="str">
        <x:v>AM</x:v>
      </x:c>
      <x:c r="G2667" t="str">
        <x:v>C</x:v>
      </x:c>
      <x:c r="H2667" t="n">
        <x:v>25</x:v>
      </x:c>
      <x:c r="I2667" t="str">
        <x:v>ORD-2025-00162</x:v>
      </x:c>
      <x:c r="J2667" t="n">
        <x:v>4</x:v>
      </x:c>
      <x:c r="K2667" t="n">
        <x:v>2</x:v>
      </x:c>
      <x:c r="L2667" t="str">
        <x:v>L25-S04-C2</x:v>
      </x:c>
      <x:c r="M2667" t="n">
        <x:v>1</x:v>
      </x:c>
      <x:c r="N2667" t="str">
        <x:v>DerivedFromCount</x:v>
      </x:c>
      <x:c r="O2667" t="str">
        <x:v>PLC-PRD-JAR-330-L25</x:v>
      </x:c>
      <x:c r="P2667" t="str">
        <x:v>OK</x:v>
      </x:c>
      <x:c r="Q2667" t="str">
        <x:v>OK</x:v>
      </x:c>
      <x:c r="R2667" t="str">
        <x:v>OK</x:v>
      </x:c>
      <x:c r="S2667" t="str">
        <x:v>OK</x:v>
      </x:c>
      <x:c r="T2667" t="n">
        <x:v>24</x:v>
      </x:c>
      <x:c r="U2667" t="str">
        <x:v>OK</x:v>
      </x:c>
      <x:c r="V2667" t="str">
        <x:v>OK</x:v>
      </x:c>
      <x:c r="W2667" t="str">
        <x:v>LOAD</x:v>
      </x:c>
      <x:c r="X2667" t="str">
        <x:v>02_Supervisor_Log(4).xlsx</x:v>
      </x:c>
      <x:c r="Y2667" t="str">
        <x:v>ENH-20260830-01</x:v>
      </x:c>
      <x:c r="Z2667" t="str">
        <x:v>Active</x:v>
      </x:c>
      <x:c r="AA2667"/>
      <x:c r="AB2667"/>
      <x:c r="AC2667"/>
      <x:c r="AD2667"/>
    </x:row>
    <x:row r="2668">
      <x:c r="A2668" t="str">
        <x:v>PCC-PE-KG01-L25-20251026-AM-ORD-2025-00162-S04-C3</x:v>
      </x:c>
      <x:c r="B2668" t="str">
        <x:v>PC-PE-KG01-L25-20251026-AM-ORD-2025-00162-S04</x:v>
      </x:c>
      <x:c r="C2668" t="str">
        <x:v>PE-KG01-L25-20251026-AM-ORD-2025-00162</x:v>
      </x:c>
      <x:c r="D2668" t="str">
        <x:v>KG01</x:v>
      </x:c>
      <x:c r="E2668" s="62" t="n">
        <x:v>45956</x:v>
      </x:c>
      <x:c r="F2668" t="str">
        <x:v>AM</x:v>
      </x:c>
      <x:c r="G2668" t="str">
        <x:v>C</x:v>
      </x:c>
      <x:c r="H2668" t="n">
        <x:v>25</x:v>
      </x:c>
      <x:c r="I2668" t="str">
        <x:v>ORD-2025-00162</x:v>
      </x:c>
      <x:c r="J2668" t="n">
        <x:v>4</x:v>
      </x:c>
      <x:c r="K2668" t="n">
        <x:v>3</x:v>
      </x:c>
      <x:c r="L2668" t="str">
        <x:v>L25-S04-C3</x:v>
      </x:c>
      <x:c r="M2668" t="n">
        <x:v>1</x:v>
      </x:c>
      <x:c r="N2668" t="str">
        <x:v>DerivedFromCount</x:v>
      </x:c>
      <x:c r="O2668" t="str">
        <x:v>PLC-PRD-JAR-330-L25</x:v>
      </x:c>
      <x:c r="P2668" t="str">
        <x:v>OK</x:v>
      </x:c>
      <x:c r="Q2668" t="str">
        <x:v>OK</x:v>
      </x:c>
      <x:c r="R2668" t="str">
        <x:v>OK</x:v>
      </x:c>
      <x:c r="S2668" t="str">
        <x:v>OK</x:v>
      </x:c>
      <x:c r="T2668" t="n">
        <x:v>24</x:v>
      </x:c>
      <x:c r="U2668" t="str">
        <x:v>OK</x:v>
      </x:c>
      <x:c r="V2668" t="str">
        <x:v>OK</x:v>
      </x:c>
      <x:c r="W2668" t="str">
        <x:v>LOAD</x:v>
      </x:c>
      <x:c r="X2668" t="str">
        <x:v>02_Supervisor_Log(4).xlsx</x:v>
      </x:c>
      <x:c r="Y2668" t="str">
        <x:v>ENH-20260830-01</x:v>
      </x:c>
      <x:c r="Z2668" t="str">
        <x:v>Active</x:v>
      </x:c>
      <x:c r="AA2668"/>
      <x:c r="AB2668"/>
      <x:c r="AC2668"/>
      <x:c r="AD2668"/>
    </x:row>
    <x:row r="2669">
      <x:c r="A2669" t="str">
        <x:v>PCC-PE-KG01-L25-20251026-AM-ORD-2025-00162-S05-C1</x:v>
      </x:c>
      <x:c r="B2669" t="str">
        <x:v>PC-PE-KG01-L25-20251026-AM-ORD-2025-00162-S05</x:v>
      </x:c>
      <x:c r="C2669" t="str">
        <x:v>PE-KG01-L25-20251026-AM-ORD-2025-00162</x:v>
      </x:c>
      <x:c r="D2669" t="str">
        <x:v>KG01</x:v>
      </x:c>
      <x:c r="E2669" s="62" t="n">
        <x:v>45956</x:v>
      </x:c>
      <x:c r="F2669" t="str">
        <x:v>AM</x:v>
      </x:c>
      <x:c r="G2669" t="str">
        <x:v>C</x:v>
      </x:c>
      <x:c r="H2669" t="n">
        <x:v>25</x:v>
      </x:c>
      <x:c r="I2669" t="str">
        <x:v>ORD-2025-00162</x:v>
      </x:c>
      <x:c r="J2669" t="n">
        <x:v>5</x:v>
      </x:c>
      <x:c r="K2669" t="n">
        <x:v>1</x:v>
      </x:c>
      <x:c r="L2669" t="str">
        <x:v>L25-S05-C1</x:v>
      </x:c>
      <x:c r="M2669" t="n">
        <x:v>1</x:v>
      </x:c>
      <x:c r="N2669" t="str">
        <x:v>DerivedFromCount</x:v>
      </x:c>
      <x:c r="O2669" t="str">
        <x:v>PLC-PRD-JAR-330-L25</x:v>
      </x:c>
      <x:c r="P2669" t="str">
        <x:v>OK</x:v>
      </x:c>
      <x:c r="Q2669" t="str">
        <x:v>OK</x:v>
      </x:c>
      <x:c r="R2669" t="str">
        <x:v>OK</x:v>
      </x:c>
      <x:c r="S2669" t="str">
        <x:v>OK</x:v>
      </x:c>
      <x:c r="T2669" t="n">
        <x:v>24</x:v>
      </x:c>
      <x:c r="U2669" t="str">
        <x:v>OK</x:v>
      </x:c>
      <x:c r="V2669" t="str">
        <x:v>OK</x:v>
      </x:c>
      <x:c r="W2669" t="str">
        <x:v>LOAD</x:v>
      </x:c>
      <x:c r="X2669" t="str">
        <x:v>02_Supervisor_Log(4).xlsx</x:v>
      </x:c>
      <x:c r="Y2669" t="str">
        <x:v>ENH-20260830-01</x:v>
      </x:c>
      <x:c r="Z2669" t="str">
        <x:v>Active</x:v>
      </x:c>
      <x:c r="AA2669"/>
      <x:c r="AB2669"/>
      <x:c r="AC2669"/>
      <x:c r="AD2669"/>
    </x:row>
    <x:row r="2670">
      <x:c r="A2670" t="str">
        <x:v>PCC-PE-KG01-L25-20251026-AM-ORD-2025-00162-S05-C2</x:v>
      </x:c>
      <x:c r="B2670" t="str">
        <x:v>PC-PE-KG01-L25-20251026-AM-ORD-2025-00162-S05</x:v>
      </x:c>
      <x:c r="C2670" t="str">
        <x:v>PE-KG01-L25-20251026-AM-ORD-2025-00162</x:v>
      </x:c>
      <x:c r="D2670" t="str">
        <x:v>KG01</x:v>
      </x:c>
      <x:c r="E2670" s="62" t="n">
        <x:v>45956</x:v>
      </x:c>
      <x:c r="F2670" t="str">
        <x:v>AM</x:v>
      </x:c>
      <x:c r="G2670" t="str">
        <x:v>C</x:v>
      </x:c>
      <x:c r="H2670" t="n">
        <x:v>25</x:v>
      </x:c>
      <x:c r="I2670" t="str">
        <x:v>ORD-2025-00162</x:v>
      </x:c>
      <x:c r="J2670" t="n">
        <x:v>5</x:v>
      </x:c>
      <x:c r="K2670" t="n">
        <x:v>2</x:v>
      </x:c>
      <x:c r="L2670" t="str">
        <x:v>L25-S05-C2</x:v>
      </x:c>
      <x:c r="M2670" t="n">
        <x:v>1</x:v>
      </x:c>
      <x:c r="N2670" t="str">
        <x:v>DerivedFromCount</x:v>
      </x:c>
      <x:c r="O2670" t="str">
        <x:v>PLC-PRD-JAR-330-L25</x:v>
      </x:c>
      <x:c r="P2670" t="str">
        <x:v>OK</x:v>
      </x:c>
      <x:c r="Q2670" t="str">
        <x:v>OK</x:v>
      </x:c>
      <x:c r="R2670" t="str">
        <x:v>OK</x:v>
      </x:c>
      <x:c r="S2670" t="str">
        <x:v>OK</x:v>
      </x:c>
      <x:c r="T2670" t="n">
        <x:v>24</x:v>
      </x:c>
      <x:c r="U2670" t="str">
        <x:v>OK</x:v>
      </x:c>
      <x:c r="V2670" t="str">
        <x:v>OK</x:v>
      </x:c>
      <x:c r="W2670" t="str">
        <x:v>LOAD</x:v>
      </x:c>
      <x:c r="X2670" t="str">
        <x:v>02_Supervisor_Log(4).xlsx</x:v>
      </x:c>
      <x:c r="Y2670" t="str">
        <x:v>ENH-20260830-01</x:v>
      </x:c>
      <x:c r="Z2670" t="str">
        <x:v>Active</x:v>
      </x:c>
      <x:c r="AA2670"/>
      <x:c r="AB2670"/>
      <x:c r="AC2670"/>
      <x:c r="AD2670"/>
    </x:row>
    <x:row r="2671">
      <x:c r="A2671" t="str">
        <x:v>PCC-PE-KG01-L25-20251026-AM-ORD-2025-00162-S05-C3</x:v>
      </x:c>
      <x:c r="B2671" t="str">
        <x:v>PC-PE-KG01-L25-20251026-AM-ORD-2025-00162-S05</x:v>
      </x:c>
      <x:c r="C2671" t="str">
        <x:v>PE-KG01-L25-20251026-AM-ORD-2025-00162</x:v>
      </x:c>
      <x:c r="D2671" t="str">
        <x:v>KG01</x:v>
      </x:c>
      <x:c r="E2671" s="62" t="n">
        <x:v>45956</x:v>
      </x:c>
      <x:c r="F2671" t="str">
        <x:v>AM</x:v>
      </x:c>
      <x:c r="G2671" t="str">
        <x:v>C</x:v>
      </x:c>
      <x:c r="H2671" t="n">
        <x:v>25</x:v>
      </x:c>
      <x:c r="I2671" t="str">
        <x:v>ORD-2025-00162</x:v>
      </x:c>
      <x:c r="J2671" t="n">
        <x:v>5</x:v>
      </x:c>
      <x:c r="K2671" t="n">
        <x:v>3</x:v>
      </x:c>
      <x:c r="L2671" t="str">
        <x:v>L25-S05-C3</x:v>
      </x:c>
      <x:c r="M2671" t="n">
        <x:v>1</x:v>
      </x:c>
      <x:c r="N2671" t="str">
        <x:v>DerivedFromCount</x:v>
      </x:c>
      <x:c r="O2671" t="str">
        <x:v>PLC-PRD-JAR-330-L25</x:v>
      </x:c>
      <x:c r="P2671" t="str">
        <x:v>OK</x:v>
      </x:c>
      <x:c r="Q2671" t="str">
        <x:v>OK</x:v>
      </x:c>
      <x:c r="R2671" t="str">
        <x:v>OK</x:v>
      </x:c>
      <x:c r="S2671" t="str">
        <x:v>OK</x:v>
      </x:c>
      <x:c r="T2671" t="n">
        <x:v>24</x:v>
      </x:c>
      <x:c r="U2671" t="str">
        <x:v>OK</x:v>
      </x:c>
      <x:c r="V2671" t="str">
        <x:v>OK</x:v>
      </x:c>
      <x:c r="W2671" t="str">
        <x:v>LOAD</x:v>
      </x:c>
      <x:c r="X2671" t="str">
        <x:v>02_Supervisor_Log(4).xlsx</x:v>
      </x:c>
      <x:c r="Y2671" t="str">
        <x:v>ENH-20260830-01</x:v>
      </x:c>
      <x:c r="Z2671" t="str">
        <x:v>Active</x:v>
      </x:c>
      <x:c r="AA2671"/>
      <x:c r="AB2671"/>
      <x:c r="AC2671"/>
      <x:c r="AD2671"/>
    </x:row>
    <x:row r="2672">
      <x:c r="A2672" t="str">
        <x:v>PCC-PE-KG01-L25-20251026-AM-ORD-2025-00162-S06-C1</x:v>
      </x:c>
      <x:c r="B2672" t="str">
        <x:v>PC-PE-KG01-L25-20251026-AM-ORD-2025-00162-S06</x:v>
      </x:c>
      <x:c r="C2672" t="str">
        <x:v>PE-KG01-L25-20251026-AM-ORD-2025-00162</x:v>
      </x:c>
      <x:c r="D2672" t="str">
        <x:v>KG01</x:v>
      </x:c>
      <x:c r="E2672" s="62" t="n">
        <x:v>45956</x:v>
      </x:c>
      <x:c r="F2672" t="str">
        <x:v>AM</x:v>
      </x:c>
      <x:c r="G2672" t="str">
        <x:v>C</x:v>
      </x:c>
      <x:c r="H2672" t="n">
        <x:v>25</x:v>
      </x:c>
      <x:c r="I2672" t="str">
        <x:v>ORD-2025-00162</x:v>
      </x:c>
      <x:c r="J2672" t="n">
        <x:v>6</x:v>
      </x:c>
      <x:c r="K2672" t="n">
        <x:v>1</x:v>
      </x:c>
      <x:c r="L2672" t="str">
        <x:v>L25-S06-C1</x:v>
      </x:c>
      <x:c r="M2672" t="n">
        <x:v>1</x:v>
      </x:c>
      <x:c r="N2672" t="str">
        <x:v>DerivedFromCount</x:v>
      </x:c>
      <x:c r="O2672" t="str">
        <x:v>PLC-PRD-JAR-330-L25</x:v>
      </x:c>
      <x:c r="P2672" t="str">
        <x:v>OK</x:v>
      </x:c>
      <x:c r="Q2672" t="str">
        <x:v>OK</x:v>
      </x:c>
      <x:c r="R2672" t="str">
        <x:v>OK</x:v>
      </x:c>
      <x:c r="S2672" t="str">
        <x:v>OK</x:v>
      </x:c>
      <x:c r="T2672" t="n">
        <x:v>24</x:v>
      </x:c>
      <x:c r="U2672" t="str">
        <x:v>OK</x:v>
      </x:c>
      <x:c r="V2672" t="str">
        <x:v>OK</x:v>
      </x:c>
      <x:c r="W2672" t="str">
        <x:v>LOAD</x:v>
      </x:c>
      <x:c r="X2672" t="str">
        <x:v>02_Supervisor_Log(4).xlsx</x:v>
      </x:c>
      <x:c r="Y2672" t="str">
        <x:v>ENH-20260830-01</x:v>
      </x:c>
      <x:c r="Z2672" t="str">
        <x:v>Active</x:v>
      </x:c>
      <x:c r="AA2672"/>
      <x:c r="AB2672"/>
      <x:c r="AC2672"/>
      <x:c r="AD2672"/>
    </x:row>
    <x:row r="2673">
      <x:c r="A2673" t="str">
        <x:v>PCC-PE-KG01-L25-20251026-AM-ORD-2025-00162-S06-C2</x:v>
      </x:c>
      <x:c r="B2673" t="str">
        <x:v>PC-PE-KG01-L25-20251026-AM-ORD-2025-00162-S06</x:v>
      </x:c>
      <x:c r="C2673" t="str">
        <x:v>PE-KG01-L25-20251026-AM-ORD-2025-00162</x:v>
      </x:c>
      <x:c r="D2673" t="str">
        <x:v>KG01</x:v>
      </x:c>
      <x:c r="E2673" s="62" t="n">
        <x:v>45956</x:v>
      </x:c>
      <x:c r="F2673" t="str">
        <x:v>AM</x:v>
      </x:c>
      <x:c r="G2673" t="str">
        <x:v>C</x:v>
      </x:c>
      <x:c r="H2673" t="n">
        <x:v>25</x:v>
      </x:c>
      <x:c r="I2673" t="str">
        <x:v>ORD-2025-00162</x:v>
      </x:c>
      <x:c r="J2673" t="n">
        <x:v>6</x:v>
      </x:c>
      <x:c r="K2673" t="n">
        <x:v>2</x:v>
      </x:c>
      <x:c r="L2673" t="str">
        <x:v>L25-S06-C2</x:v>
      </x:c>
      <x:c r="M2673" t="n">
        <x:v>1</x:v>
      </x:c>
      <x:c r="N2673" t="str">
        <x:v>DerivedFromCount</x:v>
      </x:c>
      <x:c r="O2673" t="str">
        <x:v>PLC-PRD-JAR-330-L25</x:v>
      </x:c>
      <x:c r="P2673" t="str">
        <x:v>OK</x:v>
      </x:c>
      <x:c r="Q2673" t="str">
        <x:v>OK</x:v>
      </x:c>
      <x:c r="R2673" t="str">
        <x:v>OK</x:v>
      </x:c>
      <x:c r="S2673" t="str">
        <x:v>OK</x:v>
      </x:c>
      <x:c r="T2673" t="n">
        <x:v>24</x:v>
      </x:c>
      <x:c r="U2673" t="str">
        <x:v>OK</x:v>
      </x:c>
      <x:c r="V2673" t="str">
        <x:v>OK</x:v>
      </x:c>
      <x:c r="W2673" t="str">
        <x:v>LOAD</x:v>
      </x:c>
      <x:c r="X2673" t="str">
        <x:v>02_Supervisor_Log(4).xlsx</x:v>
      </x:c>
      <x:c r="Y2673" t="str">
        <x:v>ENH-20260830-01</x:v>
      </x:c>
      <x:c r="Z2673" t="str">
        <x:v>Active</x:v>
      </x:c>
      <x:c r="AA2673"/>
      <x:c r="AB2673"/>
      <x:c r="AC2673"/>
      <x:c r="AD2673"/>
    </x:row>
    <x:row r="2674">
      <x:c r="A2674" t="str">
        <x:v>PCC-PE-KG01-L25-20251026-AM-ORD-2025-00162-S06-C3</x:v>
      </x:c>
      <x:c r="B2674" t="str">
        <x:v>PC-PE-KG01-L25-20251026-AM-ORD-2025-00162-S06</x:v>
      </x:c>
      <x:c r="C2674" t="str">
        <x:v>PE-KG01-L25-20251026-AM-ORD-2025-00162</x:v>
      </x:c>
      <x:c r="D2674" t="str">
        <x:v>KG01</x:v>
      </x:c>
      <x:c r="E2674" s="62" t="n">
        <x:v>45956</x:v>
      </x:c>
      <x:c r="F2674" t="str">
        <x:v>AM</x:v>
      </x:c>
      <x:c r="G2674" t="str">
        <x:v>C</x:v>
      </x:c>
      <x:c r="H2674" t="n">
        <x:v>25</x:v>
      </x:c>
      <x:c r="I2674" t="str">
        <x:v>ORD-2025-00162</x:v>
      </x:c>
      <x:c r="J2674" t="n">
        <x:v>6</x:v>
      </x:c>
      <x:c r="K2674" t="n">
        <x:v>3</x:v>
      </x:c>
      <x:c r="L2674" t="str">
        <x:v>L25-S06-C3</x:v>
      </x:c>
      <x:c r="M2674" t="n">
        <x:v>1</x:v>
      </x:c>
      <x:c r="N2674" t="str">
        <x:v>DerivedFromCount</x:v>
      </x:c>
      <x:c r="O2674" t="str">
        <x:v>PLC-PRD-JAR-330-L25</x:v>
      </x:c>
      <x:c r="P2674" t="str">
        <x:v>OK</x:v>
      </x:c>
      <x:c r="Q2674" t="str">
        <x:v>OK</x:v>
      </x:c>
      <x:c r="R2674" t="str">
        <x:v>OK</x:v>
      </x:c>
      <x:c r="S2674" t="str">
        <x:v>OK</x:v>
      </x:c>
      <x:c r="T2674" t="n">
        <x:v>24</x:v>
      </x:c>
      <x:c r="U2674" t="str">
        <x:v>OK</x:v>
      </x:c>
      <x:c r="V2674" t="str">
        <x:v>OK</x:v>
      </x:c>
      <x:c r="W2674" t="str">
        <x:v>LOAD</x:v>
      </x:c>
      <x:c r="X2674" t="str">
        <x:v>02_Supervisor_Log(4).xlsx</x:v>
      </x:c>
      <x:c r="Y2674" t="str">
        <x:v>ENH-20260830-01</x:v>
      </x:c>
      <x:c r="Z2674" t="str">
        <x:v>Active</x:v>
      </x:c>
      <x:c r="AA2674"/>
      <x:c r="AB2674"/>
      <x:c r="AC2674"/>
      <x:c r="AD2674"/>
    </x:row>
    <x:row r="2675">
      <x:c r="A2675" t="str">
        <x:v>PCC-PE-KG01-L25-20251026-AM-ORD-2025-00162-S07-C1</x:v>
      </x:c>
      <x:c r="B2675" t="str">
        <x:v>PC-PE-KG01-L25-20251026-AM-ORD-2025-00162-S07</x:v>
      </x:c>
      <x:c r="C2675" t="str">
        <x:v>PE-KG01-L25-20251026-AM-ORD-2025-00162</x:v>
      </x:c>
      <x:c r="D2675" t="str">
        <x:v>KG01</x:v>
      </x:c>
      <x:c r="E2675" s="62" t="n">
        <x:v>45956</x:v>
      </x:c>
      <x:c r="F2675" t="str">
        <x:v>AM</x:v>
      </x:c>
      <x:c r="G2675" t="str">
        <x:v>C</x:v>
      </x:c>
      <x:c r="H2675" t="n">
        <x:v>25</x:v>
      </x:c>
      <x:c r="I2675" t="str">
        <x:v>ORD-2025-00162</x:v>
      </x:c>
      <x:c r="J2675" t="n">
        <x:v>7</x:v>
      </x:c>
      <x:c r="K2675" t="n">
        <x:v>1</x:v>
      </x:c>
      <x:c r="L2675" t="str">
        <x:v>L25-S07-C1</x:v>
      </x:c>
      <x:c r="M2675" t="n">
        <x:v>1</x:v>
      </x:c>
      <x:c r="N2675" t="str">
        <x:v>DerivedFromCount</x:v>
      </x:c>
      <x:c r="O2675" t="str">
        <x:v>PLC-PRD-JAR-330-L25</x:v>
      </x:c>
      <x:c r="P2675" t="str">
        <x:v>OK</x:v>
      </x:c>
      <x:c r="Q2675" t="str">
        <x:v>OK</x:v>
      </x:c>
      <x:c r="R2675" t="str">
        <x:v>OK</x:v>
      </x:c>
      <x:c r="S2675" t="str">
        <x:v>OK</x:v>
      </x:c>
      <x:c r="T2675" t="n">
        <x:v>24</x:v>
      </x:c>
      <x:c r="U2675" t="str">
        <x:v>OK</x:v>
      </x:c>
      <x:c r="V2675" t="str">
        <x:v>OK</x:v>
      </x:c>
      <x:c r="W2675" t="str">
        <x:v>LOAD</x:v>
      </x:c>
      <x:c r="X2675" t="str">
        <x:v>02_Supervisor_Log(4).xlsx</x:v>
      </x:c>
      <x:c r="Y2675" t="str">
        <x:v>ENH-20260830-01</x:v>
      </x:c>
      <x:c r="Z2675" t="str">
        <x:v>Active</x:v>
      </x:c>
      <x:c r="AA2675"/>
      <x:c r="AB2675"/>
      <x:c r="AC2675"/>
      <x:c r="AD2675"/>
    </x:row>
    <x:row r="2676">
      <x:c r="A2676" t="str">
        <x:v>PCC-PE-KG01-L25-20251026-AM-ORD-2025-00162-S07-C2</x:v>
      </x:c>
      <x:c r="B2676" t="str">
        <x:v>PC-PE-KG01-L25-20251026-AM-ORD-2025-00162-S07</x:v>
      </x:c>
      <x:c r="C2676" t="str">
        <x:v>PE-KG01-L25-20251026-AM-ORD-2025-00162</x:v>
      </x:c>
      <x:c r="D2676" t="str">
        <x:v>KG01</x:v>
      </x:c>
      <x:c r="E2676" s="62" t="n">
        <x:v>45956</x:v>
      </x:c>
      <x:c r="F2676" t="str">
        <x:v>AM</x:v>
      </x:c>
      <x:c r="G2676" t="str">
        <x:v>C</x:v>
      </x:c>
      <x:c r="H2676" t="n">
        <x:v>25</x:v>
      </x:c>
      <x:c r="I2676" t="str">
        <x:v>ORD-2025-00162</x:v>
      </x:c>
      <x:c r="J2676" t="n">
        <x:v>7</x:v>
      </x:c>
      <x:c r="K2676" t="n">
        <x:v>2</x:v>
      </x:c>
      <x:c r="L2676" t="str">
        <x:v>L25-S07-C2</x:v>
      </x:c>
      <x:c r="M2676" t="n">
        <x:v>1</x:v>
      </x:c>
      <x:c r="N2676" t="str">
        <x:v>DerivedFromCount</x:v>
      </x:c>
      <x:c r="O2676" t="str">
        <x:v>PLC-PRD-JAR-330-L25</x:v>
      </x:c>
      <x:c r="P2676" t="str">
        <x:v>OK</x:v>
      </x:c>
      <x:c r="Q2676" t="str">
        <x:v>OK</x:v>
      </x:c>
      <x:c r="R2676" t="str">
        <x:v>OK</x:v>
      </x:c>
      <x:c r="S2676" t="str">
        <x:v>OK</x:v>
      </x:c>
      <x:c r="T2676" t="n">
        <x:v>24</x:v>
      </x:c>
      <x:c r="U2676" t="str">
        <x:v>OK</x:v>
      </x:c>
      <x:c r="V2676" t="str">
        <x:v>OK</x:v>
      </x:c>
      <x:c r="W2676" t="str">
        <x:v>LOAD</x:v>
      </x:c>
      <x:c r="X2676" t="str">
        <x:v>02_Supervisor_Log(4).xlsx</x:v>
      </x:c>
      <x:c r="Y2676" t="str">
        <x:v>ENH-20260830-01</x:v>
      </x:c>
      <x:c r="Z2676" t="str">
        <x:v>Active</x:v>
      </x:c>
      <x:c r="AA2676"/>
      <x:c r="AB2676"/>
      <x:c r="AC2676"/>
      <x:c r="AD2676"/>
    </x:row>
    <x:row r="2677">
      <x:c r="A2677" t="str">
        <x:v>PCC-PE-KG01-L25-20251026-AM-ORD-2025-00162-S07-C3</x:v>
      </x:c>
      <x:c r="B2677" t="str">
        <x:v>PC-PE-KG01-L25-20251026-AM-ORD-2025-00162-S07</x:v>
      </x:c>
      <x:c r="C2677" t="str">
        <x:v>PE-KG01-L25-20251026-AM-ORD-2025-00162</x:v>
      </x:c>
      <x:c r="D2677" t="str">
        <x:v>KG01</x:v>
      </x:c>
      <x:c r="E2677" s="62" t="n">
        <x:v>45956</x:v>
      </x:c>
      <x:c r="F2677" t="str">
        <x:v>AM</x:v>
      </x:c>
      <x:c r="G2677" t="str">
        <x:v>C</x:v>
      </x:c>
      <x:c r="H2677" t="n">
        <x:v>25</x:v>
      </x:c>
      <x:c r="I2677" t="str">
        <x:v>ORD-2025-00162</x:v>
      </x:c>
      <x:c r="J2677" t="n">
        <x:v>7</x:v>
      </x:c>
      <x:c r="K2677" t="n">
        <x:v>3</x:v>
      </x:c>
      <x:c r="L2677" t="str">
        <x:v>L25-S07-C3</x:v>
      </x:c>
      <x:c r="M2677" t="n">
        <x:v>1</x:v>
      </x:c>
      <x:c r="N2677" t="str">
        <x:v>DerivedFromCount</x:v>
      </x:c>
      <x:c r="O2677" t="str">
        <x:v>PLC-PRD-JAR-330-L25</x:v>
      </x:c>
      <x:c r="P2677" t="str">
        <x:v>OK</x:v>
      </x:c>
      <x:c r="Q2677" t="str">
        <x:v>OK</x:v>
      </x:c>
      <x:c r="R2677" t="str">
        <x:v>OK</x:v>
      </x:c>
      <x:c r="S2677" t="str">
        <x:v>OK</x:v>
      </x:c>
      <x:c r="T2677" t="n">
        <x:v>24</x:v>
      </x:c>
      <x:c r="U2677" t="str">
        <x:v>OK</x:v>
      </x:c>
      <x:c r="V2677" t="str">
        <x:v>OK</x:v>
      </x:c>
      <x:c r="W2677" t="str">
        <x:v>LOAD</x:v>
      </x:c>
      <x:c r="X2677" t="str">
        <x:v>02_Supervisor_Log(4).xlsx</x:v>
      </x:c>
      <x:c r="Y2677" t="str">
        <x:v>ENH-20260830-01</x:v>
      </x:c>
      <x:c r="Z2677" t="str">
        <x:v>Active</x:v>
      </x:c>
      <x:c r="AA2677"/>
      <x:c r="AB2677"/>
      <x:c r="AC2677"/>
      <x:c r="AD2677"/>
    </x:row>
    <x:row r="2678">
      <x:c r="A2678" t="str">
        <x:v>PCC-PE-KG01-L25-20251026-AM-ORD-2025-00162-S08-C1</x:v>
      </x:c>
      <x:c r="B2678" t="str">
        <x:v>PC-PE-KG01-L25-20251026-AM-ORD-2025-00162-S08</x:v>
      </x:c>
      <x:c r="C2678" t="str">
        <x:v>PE-KG01-L25-20251026-AM-ORD-2025-00162</x:v>
      </x:c>
      <x:c r="D2678" t="str">
        <x:v>KG01</x:v>
      </x:c>
      <x:c r="E2678" s="62" t="n">
        <x:v>45956</x:v>
      </x:c>
      <x:c r="F2678" t="str">
        <x:v>AM</x:v>
      </x:c>
      <x:c r="G2678" t="str">
        <x:v>C</x:v>
      </x:c>
      <x:c r="H2678" t="n">
        <x:v>25</x:v>
      </x:c>
      <x:c r="I2678" t="str">
        <x:v>ORD-2025-00162</x:v>
      </x:c>
      <x:c r="J2678" t="n">
        <x:v>8</x:v>
      </x:c>
      <x:c r="K2678" t="n">
        <x:v>1</x:v>
      </x:c>
      <x:c r="L2678" t="str">
        <x:v>L25-S08-C1</x:v>
      </x:c>
      <x:c r="M2678" t="n">
        <x:v>1</x:v>
      </x:c>
      <x:c r="N2678" t="str">
        <x:v>DerivedFromCount</x:v>
      </x:c>
      <x:c r="O2678" t="str">
        <x:v>PLC-PRD-JAR-330-L25</x:v>
      </x:c>
      <x:c r="P2678" t="str">
        <x:v>OK</x:v>
      </x:c>
      <x:c r="Q2678" t="str">
        <x:v>OK</x:v>
      </x:c>
      <x:c r="R2678" t="str">
        <x:v>OK</x:v>
      </x:c>
      <x:c r="S2678" t="str">
        <x:v>OK</x:v>
      </x:c>
      <x:c r="T2678" t="n">
        <x:v>24</x:v>
      </x:c>
      <x:c r="U2678" t="str">
        <x:v>OK</x:v>
      </x:c>
      <x:c r="V2678" t="str">
        <x:v>OK</x:v>
      </x:c>
      <x:c r="W2678" t="str">
        <x:v>LOAD</x:v>
      </x:c>
      <x:c r="X2678" t="str">
        <x:v>02_Supervisor_Log(4).xlsx</x:v>
      </x:c>
      <x:c r="Y2678" t="str">
        <x:v>ENH-20260830-01</x:v>
      </x:c>
      <x:c r="Z2678" t="str">
        <x:v>Active</x:v>
      </x:c>
      <x:c r="AA2678"/>
      <x:c r="AB2678"/>
      <x:c r="AC2678"/>
      <x:c r="AD2678"/>
    </x:row>
    <x:row r="2679">
      <x:c r="A2679" t="str">
        <x:v>PCC-PE-KG01-L25-20251026-AM-ORD-2025-00162-S08-C2</x:v>
      </x:c>
      <x:c r="B2679" t="str">
        <x:v>PC-PE-KG01-L25-20251026-AM-ORD-2025-00162-S08</x:v>
      </x:c>
      <x:c r="C2679" t="str">
        <x:v>PE-KG01-L25-20251026-AM-ORD-2025-00162</x:v>
      </x:c>
      <x:c r="D2679" t="str">
        <x:v>KG01</x:v>
      </x:c>
      <x:c r="E2679" s="62" t="n">
        <x:v>45956</x:v>
      </x:c>
      <x:c r="F2679" t="str">
        <x:v>AM</x:v>
      </x:c>
      <x:c r="G2679" t="str">
        <x:v>C</x:v>
      </x:c>
      <x:c r="H2679" t="n">
        <x:v>25</x:v>
      </x:c>
      <x:c r="I2679" t="str">
        <x:v>ORD-2025-00162</x:v>
      </x:c>
      <x:c r="J2679" t="n">
        <x:v>8</x:v>
      </x:c>
      <x:c r="K2679" t="n">
        <x:v>2</x:v>
      </x:c>
      <x:c r="L2679" t="str">
        <x:v>L25-S08-C2</x:v>
      </x:c>
      <x:c r="M2679" t="n">
        <x:v>1</x:v>
      </x:c>
      <x:c r="N2679" t="str">
        <x:v>DerivedFromCount</x:v>
      </x:c>
      <x:c r="O2679" t="str">
        <x:v>PLC-PRD-JAR-330-L25</x:v>
      </x:c>
      <x:c r="P2679" t="str">
        <x:v>OK</x:v>
      </x:c>
      <x:c r="Q2679" t="str">
        <x:v>OK</x:v>
      </x:c>
      <x:c r="R2679" t="str">
        <x:v>OK</x:v>
      </x:c>
      <x:c r="S2679" t="str">
        <x:v>OK</x:v>
      </x:c>
      <x:c r="T2679" t="n">
        <x:v>24</x:v>
      </x:c>
      <x:c r="U2679" t="str">
        <x:v>OK</x:v>
      </x:c>
      <x:c r="V2679" t="str">
        <x:v>OK</x:v>
      </x:c>
      <x:c r="W2679" t="str">
        <x:v>LOAD</x:v>
      </x:c>
      <x:c r="X2679" t="str">
        <x:v>02_Supervisor_Log(4).xlsx</x:v>
      </x:c>
      <x:c r="Y2679" t="str">
        <x:v>ENH-20260830-01</x:v>
      </x:c>
      <x:c r="Z2679" t="str">
        <x:v>Active</x:v>
      </x:c>
      <x:c r="AA2679"/>
      <x:c r="AB2679"/>
      <x:c r="AC2679"/>
      <x:c r="AD2679"/>
    </x:row>
    <x:row r="2680">
      <x:c r="A2680" t="str">
        <x:v>PCC-PE-KG01-L25-20251026-AM-ORD-2025-00162-S08-C3</x:v>
      </x:c>
      <x:c r="B2680" t="str">
        <x:v>PC-PE-KG01-L25-20251026-AM-ORD-2025-00162-S08</x:v>
      </x:c>
      <x:c r="C2680" t="str">
        <x:v>PE-KG01-L25-20251026-AM-ORD-2025-00162</x:v>
      </x:c>
      <x:c r="D2680" t="str">
        <x:v>KG01</x:v>
      </x:c>
      <x:c r="E2680" s="62" t="n">
        <x:v>45956</x:v>
      </x:c>
      <x:c r="F2680" t="str">
        <x:v>AM</x:v>
      </x:c>
      <x:c r="G2680" t="str">
        <x:v>C</x:v>
      </x:c>
      <x:c r="H2680" t="n">
        <x:v>25</x:v>
      </x:c>
      <x:c r="I2680" t="str">
        <x:v>ORD-2025-00162</x:v>
      </x:c>
      <x:c r="J2680" t="n">
        <x:v>8</x:v>
      </x:c>
      <x:c r="K2680" t="n">
        <x:v>3</x:v>
      </x:c>
      <x:c r="L2680" t="str">
        <x:v>L25-S08-C3</x:v>
      </x:c>
      <x:c r="M2680" t="n">
        <x:v>1</x:v>
      </x:c>
      <x:c r="N2680" t="str">
        <x:v>DerivedFromCount</x:v>
      </x:c>
      <x:c r="O2680" t="str">
        <x:v>PLC-PRD-JAR-330-L25</x:v>
      </x:c>
      <x:c r="P2680" t="str">
        <x:v>OK</x:v>
      </x:c>
      <x:c r="Q2680" t="str">
        <x:v>OK</x:v>
      </x:c>
      <x:c r="R2680" t="str">
        <x:v>OK</x:v>
      </x:c>
      <x:c r="S2680" t="str">
        <x:v>OK</x:v>
      </x:c>
      <x:c r="T2680" t="n">
        <x:v>24</x:v>
      </x:c>
      <x:c r="U2680" t="str">
        <x:v>OK</x:v>
      </x:c>
      <x:c r="V2680" t="str">
        <x:v>OK</x:v>
      </x:c>
      <x:c r="W2680" t="str">
        <x:v>LOAD</x:v>
      </x:c>
      <x:c r="X2680" t="str">
        <x:v>02_Supervisor_Log(4).xlsx</x:v>
      </x:c>
      <x:c r="Y2680" t="str">
        <x:v>ENH-20260830-01</x:v>
      </x:c>
      <x:c r="Z2680" t="str">
        <x:v>Active</x:v>
      </x:c>
      <x:c r="AA2680"/>
      <x:c r="AB2680"/>
      <x:c r="AC2680"/>
      <x:c r="AD2680"/>
    </x:row>
    <x:row r="2681">
      <x:c r="A2681" t="str">
        <x:v>PCC-PE-KG01-L25-20251026-AM-ORD-2025-00162-S09-C1</x:v>
      </x:c>
      <x:c r="B2681" t="str">
        <x:v>PC-PE-KG01-L25-20251026-AM-ORD-2025-00162-S09</x:v>
      </x:c>
      <x:c r="C2681" t="str">
        <x:v>PE-KG01-L25-20251026-AM-ORD-2025-00162</x:v>
      </x:c>
      <x:c r="D2681" t="str">
        <x:v>KG01</x:v>
      </x:c>
      <x:c r="E2681" s="62" t="n">
        <x:v>45956</x:v>
      </x:c>
      <x:c r="F2681" t="str">
        <x:v>AM</x:v>
      </x:c>
      <x:c r="G2681" t="str">
        <x:v>C</x:v>
      </x:c>
      <x:c r="H2681" t="n">
        <x:v>25</x:v>
      </x:c>
      <x:c r="I2681" t="str">
        <x:v>ORD-2025-00162</x:v>
      </x:c>
      <x:c r="J2681" t="n">
        <x:v>9</x:v>
      </x:c>
      <x:c r="K2681" t="n">
        <x:v>1</x:v>
      </x:c>
      <x:c r="L2681" t="str">
        <x:v>L25-S09-C1</x:v>
      </x:c>
      <x:c r="M2681" t="n">
        <x:v>0</x:v>
      </x:c>
      <x:c r="N2681" t="str">
        <x:v>DerivedFromCount</x:v>
      </x:c>
      <x:c r="O2681" t="str">
        <x:v>PLC-PRD-JAR-330-L25</x:v>
      </x:c>
      <x:c r="P2681" t="str">
        <x:v>OK</x:v>
      </x:c>
      <x:c r="Q2681" t="str">
        <x:v>OK</x:v>
      </x:c>
      <x:c r="R2681" t="str">
        <x:v>OK</x:v>
      </x:c>
      <x:c r="S2681" t="str">
        <x:v>OK</x:v>
      </x:c>
      <x:c r="T2681" t="n">
        <x:v>24</x:v>
      </x:c>
      <x:c r="U2681" t="str">
        <x:v>OK</x:v>
      </x:c>
      <x:c r="V2681" t="str">
        <x:v>OK</x:v>
      </x:c>
      <x:c r="W2681" t="str">
        <x:v>LOAD</x:v>
      </x:c>
      <x:c r="X2681" t="str">
        <x:v>02_Supervisor_Log(4).xlsx</x:v>
      </x:c>
      <x:c r="Y2681" t="str">
        <x:v>ENH-20260830-01</x:v>
      </x:c>
      <x:c r="Z2681" t="str">
        <x:v>Active</x:v>
      </x:c>
      <x:c r="AA2681"/>
      <x:c r="AB2681"/>
      <x:c r="AC2681"/>
      <x:c r="AD2681"/>
    </x:row>
    <x:row r="2682">
      <x:c r="A2682" t="str">
        <x:v>PCC-PE-KG01-L25-20251026-AM-ORD-2025-00162-S09-C2</x:v>
      </x:c>
      <x:c r="B2682" t="str">
        <x:v>PC-PE-KG01-L25-20251026-AM-ORD-2025-00162-S09</x:v>
      </x:c>
      <x:c r="C2682" t="str">
        <x:v>PE-KG01-L25-20251026-AM-ORD-2025-00162</x:v>
      </x:c>
      <x:c r="D2682" t="str">
        <x:v>KG01</x:v>
      </x:c>
      <x:c r="E2682" s="62" t="n">
        <x:v>45956</x:v>
      </x:c>
      <x:c r="F2682" t="str">
        <x:v>AM</x:v>
      </x:c>
      <x:c r="G2682" t="str">
        <x:v>C</x:v>
      </x:c>
      <x:c r="H2682" t="n">
        <x:v>25</x:v>
      </x:c>
      <x:c r="I2682" t="str">
        <x:v>ORD-2025-00162</x:v>
      </x:c>
      <x:c r="J2682" t="n">
        <x:v>9</x:v>
      </x:c>
      <x:c r="K2682" t="n">
        <x:v>2</x:v>
      </x:c>
      <x:c r="L2682" t="str">
        <x:v>L25-S09-C2</x:v>
      </x:c>
      <x:c r="M2682" t="n">
        <x:v>0</x:v>
      </x:c>
      <x:c r="N2682" t="str">
        <x:v>DerivedFromCount</x:v>
      </x:c>
      <x:c r="O2682" t="str">
        <x:v>PLC-PRD-JAR-330-L25</x:v>
      </x:c>
      <x:c r="P2682" t="str">
        <x:v>OK</x:v>
      </x:c>
      <x:c r="Q2682" t="str">
        <x:v>OK</x:v>
      </x:c>
      <x:c r="R2682" t="str">
        <x:v>OK</x:v>
      </x:c>
      <x:c r="S2682" t="str">
        <x:v>OK</x:v>
      </x:c>
      <x:c r="T2682" t="n">
        <x:v>24</x:v>
      </x:c>
      <x:c r="U2682" t="str">
        <x:v>OK</x:v>
      </x:c>
      <x:c r="V2682" t="str">
        <x:v>OK</x:v>
      </x:c>
      <x:c r="W2682" t="str">
        <x:v>LOAD</x:v>
      </x:c>
      <x:c r="X2682" t="str">
        <x:v>02_Supervisor_Log(4).xlsx</x:v>
      </x:c>
      <x:c r="Y2682" t="str">
        <x:v>ENH-20260830-01</x:v>
      </x:c>
      <x:c r="Z2682" t="str">
        <x:v>Active</x:v>
      </x:c>
      <x:c r="AA2682"/>
      <x:c r="AB2682"/>
      <x:c r="AC2682"/>
      <x:c r="AD2682"/>
    </x:row>
    <x:row r="2683">
      <x:c r="A2683" t="str">
        <x:v>PCC-PE-KG01-L25-20251026-AM-ORD-2025-00162-S09-C3</x:v>
      </x:c>
      <x:c r="B2683" t="str">
        <x:v>PC-PE-KG01-L25-20251026-AM-ORD-2025-00162-S09</x:v>
      </x:c>
      <x:c r="C2683" t="str">
        <x:v>PE-KG01-L25-20251026-AM-ORD-2025-00162</x:v>
      </x:c>
      <x:c r="D2683" t="str">
        <x:v>KG01</x:v>
      </x:c>
      <x:c r="E2683" s="62" t="n">
        <x:v>45956</x:v>
      </x:c>
      <x:c r="F2683" t="str">
        <x:v>AM</x:v>
      </x:c>
      <x:c r="G2683" t="str">
        <x:v>C</x:v>
      </x:c>
      <x:c r="H2683" t="n">
        <x:v>25</x:v>
      </x:c>
      <x:c r="I2683" t="str">
        <x:v>ORD-2025-00162</x:v>
      </x:c>
      <x:c r="J2683" t="n">
        <x:v>9</x:v>
      </x:c>
      <x:c r="K2683" t="n">
        <x:v>3</x:v>
      </x:c>
      <x:c r="L2683" t="str">
        <x:v>L25-S09-C3</x:v>
      </x:c>
      <x:c r="M2683" t="n">
        <x:v>0</x:v>
      </x:c>
      <x:c r="N2683" t="str">
        <x:v>DerivedFromCount</x:v>
      </x:c>
      <x:c r="O2683" t="str">
        <x:v>PLC-PRD-JAR-330-L25</x:v>
      </x:c>
      <x:c r="P2683" t="str">
        <x:v>OK</x:v>
      </x:c>
      <x:c r="Q2683" t="str">
        <x:v>OK</x:v>
      </x:c>
      <x:c r="R2683" t="str">
        <x:v>OK</x:v>
      </x:c>
      <x:c r="S2683" t="str">
        <x:v>OK</x:v>
      </x:c>
      <x:c r="T2683" t="n">
        <x:v>24</x:v>
      </x:c>
      <x:c r="U2683" t="str">
        <x:v>OK</x:v>
      </x:c>
      <x:c r="V2683" t="str">
        <x:v>OK</x:v>
      </x:c>
      <x:c r="W2683" t="str">
        <x:v>LOAD</x:v>
      </x:c>
      <x:c r="X2683" t="str">
        <x:v>02_Supervisor_Log(4).xlsx</x:v>
      </x:c>
      <x:c r="Y2683" t="str">
        <x:v>ENH-20260830-01</x:v>
      </x:c>
      <x:c r="Z2683" t="str">
        <x:v>Active</x:v>
      </x:c>
      <x:c r="AA2683"/>
      <x:c r="AB2683"/>
      <x:c r="AC2683"/>
      <x:c r="AD2683"/>
    </x:row>
    <x:row r="2684">
      <x:c r="A2684" t="str">
        <x:v>PCC-PE-KG01-L25-20251026-AM-ORD-2025-00162-S10-C1</x:v>
      </x:c>
      <x:c r="B2684" t="str">
        <x:v>PC-PE-KG01-L25-20251026-AM-ORD-2025-00162-S10</x:v>
      </x:c>
      <x:c r="C2684" t="str">
        <x:v>PE-KG01-L25-20251026-AM-ORD-2025-00162</x:v>
      </x:c>
      <x:c r="D2684" t="str">
        <x:v>KG01</x:v>
      </x:c>
      <x:c r="E2684" s="62" t="n">
        <x:v>45956</x:v>
      </x:c>
      <x:c r="F2684" t="str">
        <x:v>AM</x:v>
      </x:c>
      <x:c r="G2684" t="str">
        <x:v>C</x:v>
      </x:c>
      <x:c r="H2684" t="n">
        <x:v>25</x:v>
      </x:c>
      <x:c r="I2684" t="str">
        <x:v>ORD-2025-00162</x:v>
      </x:c>
      <x:c r="J2684" t="n">
        <x:v>10</x:v>
      </x:c>
      <x:c r="K2684" t="n">
        <x:v>1</x:v>
      </x:c>
      <x:c r="L2684" t="str">
        <x:v>L25-S10-C1</x:v>
      </x:c>
      <x:c r="M2684" t="n">
        <x:v>0</x:v>
      </x:c>
      <x:c r="N2684" t="str">
        <x:v>DerivedFromCount</x:v>
      </x:c>
      <x:c r="O2684" t="str">
        <x:v>PLC-PRD-JAR-330-L25</x:v>
      </x:c>
      <x:c r="P2684" t="str">
        <x:v>OK</x:v>
      </x:c>
      <x:c r="Q2684" t="str">
        <x:v>OK</x:v>
      </x:c>
      <x:c r="R2684" t="str">
        <x:v>OK</x:v>
      </x:c>
      <x:c r="S2684" t="str">
        <x:v>OK</x:v>
      </x:c>
      <x:c r="T2684" t="n">
        <x:v>24</x:v>
      </x:c>
      <x:c r="U2684" t="str">
        <x:v>OK</x:v>
      </x:c>
      <x:c r="V2684" t="str">
        <x:v>OK</x:v>
      </x:c>
      <x:c r="W2684" t="str">
        <x:v>LOAD</x:v>
      </x:c>
      <x:c r="X2684" t="str">
        <x:v>02_Supervisor_Log(4).xlsx</x:v>
      </x:c>
      <x:c r="Y2684" t="str">
        <x:v>ENH-20260830-01</x:v>
      </x:c>
      <x:c r="Z2684" t="str">
        <x:v>Active</x:v>
      </x:c>
      <x:c r="AA2684"/>
      <x:c r="AB2684"/>
      <x:c r="AC2684"/>
      <x:c r="AD2684"/>
    </x:row>
    <x:row r="2685">
      <x:c r="A2685" t="str">
        <x:v>PCC-PE-KG01-L25-20251026-AM-ORD-2025-00162-S10-C2</x:v>
      </x:c>
      <x:c r="B2685" t="str">
        <x:v>PC-PE-KG01-L25-20251026-AM-ORD-2025-00162-S10</x:v>
      </x:c>
      <x:c r="C2685" t="str">
        <x:v>PE-KG01-L25-20251026-AM-ORD-2025-00162</x:v>
      </x:c>
      <x:c r="D2685" t="str">
        <x:v>KG01</x:v>
      </x:c>
      <x:c r="E2685" s="62" t="n">
        <x:v>45956</x:v>
      </x:c>
      <x:c r="F2685" t="str">
        <x:v>AM</x:v>
      </x:c>
      <x:c r="G2685" t="str">
        <x:v>C</x:v>
      </x:c>
      <x:c r="H2685" t="n">
        <x:v>25</x:v>
      </x:c>
      <x:c r="I2685" t="str">
        <x:v>ORD-2025-00162</x:v>
      </x:c>
      <x:c r="J2685" t="n">
        <x:v>10</x:v>
      </x:c>
      <x:c r="K2685" t="n">
        <x:v>2</x:v>
      </x:c>
      <x:c r="L2685" t="str">
        <x:v>L25-S10-C2</x:v>
      </x:c>
      <x:c r="M2685" t="n">
        <x:v>0</x:v>
      </x:c>
      <x:c r="N2685" t="str">
        <x:v>DerivedFromCount</x:v>
      </x:c>
      <x:c r="O2685" t="str">
        <x:v>PLC-PRD-JAR-330-L25</x:v>
      </x:c>
      <x:c r="P2685" t="str">
        <x:v>OK</x:v>
      </x:c>
      <x:c r="Q2685" t="str">
        <x:v>OK</x:v>
      </x:c>
      <x:c r="R2685" t="str">
        <x:v>OK</x:v>
      </x:c>
      <x:c r="S2685" t="str">
        <x:v>OK</x:v>
      </x:c>
      <x:c r="T2685" t="n">
        <x:v>24</x:v>
      </x:c>
      <x:c r="U2685" t="str">
        <x:v>OK</x:v>
      </x:c>
      <x:c r="V2685" t="str">
        <x:v>OK</x:v>
      </x:c>
      <x:c r="W2685" t="str">
        <x:v>LOAD</x:v>
      </x:c>
      <x:c r="X2685" t="str">
        <x:v>02_Supervisor_Log(4).xlsx</x:v>
      </x:c>
      <x:c r="Y2685" t="str">
        <x:v>ENH-20260830-01</x:v>
      </x:c>
      <x:c r="Z2685" t="str">
        <x:v>Active</x:v>
      </x:c>
      <x:c r="AA2685"/>
      <x:c r="AB2685"/>
      <x:c r="AC2685"/>
      <x:c r="AD2685"/>
    </x:row>
    <x:row r="2686">
      <x:c r="A2686" t="str">
        <x:v>PCC-PE-KG01-L25-20251026-AM-ORD-2025-00162-S10-C3</x:v>
      </x:c>
      <x:c r="B2686" t="str">
        <x:v>PC-PE-KG01-L25-20251026-AM-ORD-2025-00162-S10</x:v>
      </x:c>
      <x:c r="C2686" t="str">
        <x:v>PE-KG01-L25-20251026-AM-ORD-2025-00162</x:v>
      </x:c>
      <x:c r="D2686" t="str">
        <x:v>KG01</x:v>
      </x:c>
      <x:c r="E2686" s="62" t="n">
        <x:v>45956</x:v>
      </x:c>
      <x:c r="F2686" t="str">
        <x:v>AM</x:v>
      </x:c>
      <x:c r="G2686" t="str">
        <x:v>C</x:v>
      </x:c>
      <x:c r="H2686" t="n">
        <x:v>25</x:v>
      </x:c>
      <x:c r="I2686" t="str">
        <x:v>ORD-2025-00162</x:v>
      </x:c>
      <x:c r="J2686" t="n">
        <x:v>10</x:v>
      </x:c>
      <x:c r="K2686" t="n">
        <x:v>3</x:v>
      </x:c>
      <x:c r="L2686" t="str">
        <x:v>L25-S10-C3</x:v>
      </x:c>
      <x:c r="M2686" t="n">
        <x:v>0</x:v>
      </x:c>
      <x:c r="N2686" t="str">
        <x:v>DerivedFromCount</x:v>
      </x:c>
      <x:c r="O2686" t="str">
        <x:v>PLC-PRD-JAR-330-L25</x:v>
      </x:c>
      <x:c r="P2686" t="str">
        <x:v>OK</x:v>
      </x:c>
      <x:c r="Q2686" t="str">
        <x:v>OK</x:v>
      </x:c>
      <x:c r="R2686" t="str">
        <x:v>OK</x:v>
      </x:c>
      <x:c r="S2686" t="str">
        <x:v>OK</x:v>
      </x:c>
      <x:c r="T2686" t="n">
        <x:v>24</x:v>
      </x:c>
      <x:c r="U2686" t="str">
        <x:v>OK</x:v>
      </x:c>
      <x:c r="V2686" t="str">
        <x:v>OK</x:v>
      </x:c>
      <x:c r="W2686" t="str">
        <x:v>LOAD</x:v>
      </x:c>
      <x:c r="X2686" t="str">
        <x:v>02_Supervisor_Log(4).xlsx</x:v>
      </x:c>
      <x:c r="Y2686" t="str">
        <x:v>ENH-20260830-01</x:v>
      </x:c>
      <x:c r="Z2686" t="str">
        <x:v>Active</x:v>
      </x:c>
      <x:c r="AA2686"/>
      <x:c r="AB2686"/>
      <x:c r="AC2686"/>
      <x:c r="AD2686"/>
    </x:row>
    <x:row r="2687">
      <x:c r="A2687" t="str">
        <x:v>PCC-PE-KG01-L25-20251026-AM-ORD-2025-00162-S11-C1</x:v>
      </x:c>
      <x:c r="B2687" t="str">
        <x:v>PC-PE-KG01-L25-20251026-AM-ORD-2025-00162-S11</x:v>
      </x:c>
      <x:c r="C2687" t="str">
        <x:v>PE-KG01-L25-20251026-AM-ORD-2025-00162</x:v>
      </x:c>
      <x:c r="D2687" t="str">
        <x:v>KG01</x:v>
      </x:c>
      <x:c r="E2687" s="62" t="n">
        <x:v>45956</x:v>
      </x:c>
      <x:c r="F2687" t="str">
        <x:v>AM</x:v>
      </x:c>
      <x:c r="G2687" t="str">
        <x:v>C</x:v>
      </x:c>
      <x:c r="H2687" t="n">
        <x:v>25</x:v>
      </x:c>
      <x:c r="I2687" t="str">
        <x:v>ORD-2025-00162</x:v>
      </x:c>
      <x:c r="J2687" t="n">
        <x:v>11</x:v>
      </x:c>
      <x:c r="K2687" t="n">
        <x:v>1</x:v>
      </x:c>
      <x:c r="L2687" t="str">
        <x:v>L25-S11-C1</x:v>
      </x:c>
      <x:c r="M2687" t="n">
        <x:v>0</x:v>
      </x:c>
      <x:c r="N2687" t="str">
        <x:v>DerivedFromCount</x:v>
      </x:c>
      <x:c r="O2687" t="str">
        <x:v>PLC-PRD-JAR-330-L25</x:v>
      </x:c>
      <x:c r="P2687" t="str">
        <x:v>OK</x:v>
      </x:c>
      <x:c r="Q2687" t="str">
        <x:v>OK</x:v>
      </x:c>
      <x:c r="R2687" t="str">
        <x:v>OK</x:v>
      </x:c>
      <x:c r="S2687" t="str">
        <x:v>OK</x:v>
      </x:c>
      <x:c r="T2687" t="n">
        <x:v>24</x:v>
      </x:c>
      <x:c r="U2687" t="str">
        <x:v>OK</x:v>
      </x:c>
      <x:c r="V2687" t="str">
        <x:v>OK</x:v>
      </x:c>
      <x:c r="W2687" t="str">
        <x:v>LOAD</x:v>
      </x:c>
      <x:c r="X2687" t="str">
        <x:v>02_Supervisor_Log(4).xlsx</x:v>
      </x:c>
      <x:c r="Y2687" t="str">
        <x:v>ENH-20260830-01</x:v>
      </x:c>
      <x:c r="Z2687" t="str">
        <x:v>Active</x:v>
      </x:c>
      <x:c r="AA2687"/>
      <x:c r="AB2687"/>
      <x:c r="AC2687"/>
      <x:c r="AD2687"/>
    </x:row>
    <x:row r="2688">
      <x:c r="A2688" t="str">
        <x:v>PCC-PE-KG01-L25-20251026-AM-ORD-2025-00162-S11-C2</x:v>
      </x:c>
      <x:c r="B2688" t="str">
        <x:v>PC-PE-KG01-L25-20251026-AM-ORD-2025-00162-S11</x:v>
      </x:c>
      <x:c r="C2688" t="str">
        <x:v>PE-KG01-L25-20251026-AM-ORD-2025-00162</x:v>
      </x:c>
      <x:c r="D2688" t="str">
        <x:v>KG01</x:v>
      </x:c>
      <x:c r="E2688" s="62" t="n">
        <x:v>45956</x:v>
      </x:c>
      <x:c r="F2688" t="str">
        <x:v>AM</x:v>
      </x:c>
      <x:c r="G2688" t="str">
        <x:v>C</x:v>
      </x:c>
      <x:c r="H2688" t="n">
        <x:v>25</x:v>
      </x:c>
      <x:c r="I2688" t="str">
        <x:v>ORD-2025-00162</x:v>
      </x:c>
      <x:c r="J2688" t="n">
        <x:v>11</x:v>
      </x:c>
      <x:c r="K2688" t="n">
        <x:v>2</x:v>
      </x:c>
      <x:c r="L2688" t="str">
        <x:v>L25-S11-C2</x:v>
      </x:c>
      <x:c r="M2688" t="n">
        <x:v>0</x:v>
      </x:c>
      <x:c r="N2688" t="str">
        <x:v>DerivedFromCount</x:v>
      </x:c>
      <x:c r="O2688" t="str">
        <x:v>PLC-PRD-JAR-330-L25</x:v>
      </x:c>
      <x:c r="P2688" t="str">
        <x:v>OK</x:v>
      </x:c>
      <x:c r="Q2688" t="str">
        <x:v>OK</x:v>
      </x:c>
      <x:c r="R2688" t="str">
        <x:v>OK</x:v>
      </x:c>
      <x:c r="S2688" t="str">
        <x:v>OK</x:v>
      </x:c>
      <x:c r="T2688" t="n">
        <x:v>24</x:v>
      </x:c>
      <x:c r="U2688" t="str">
        <x:v>OK</x:v>
      </x:c>
      <x:c r="V2688" t="str">
        <x:v>OK</x:v>
      </x:c>
      <x:c r="W2688" t="str">
        <x:v>LOAD</x:v>
      </x:c>
      <x:c r="X2688" t="str">
        <x:v>02_Supervisor_Log(4).xlsx</x:v>
      </x:c>
      <x:c r="Y2688" t="str">
        <x:v>ENH-20260830-01</x:v>
      </x:c>
      <x:c r="Z2688" t="str">
        <x:v>Active</x:v>
      </x:c>
      <x:c r="AA2688"/>
      <x:c r="AB2688"/>
      <x:c r="AC2688"/>
      <x:c r="AD2688"/>
    </x:row>
    <x:row r="2689">
      <x:c r="A2689" t="str">
        <x:v>PCC-PE-KG01-L25-20251026-AM-ORD-2025-00162-S11-C3</x:v>
      </x:c>
      <x:c r="B2689" t="str">
        <x:v>PC-PE-KG01-L25-20251026-AM-ORD-2025-00162-S11</x:v>
      </x:c>
      <x:c r="C2689" t="str">
        <x:v>PE-KG01-L25-20251026-AM-ORD-2025-00162</x:v>
      </x:c>
      <x:c r="D2689" t="str">
        <x:v>KG01</x:v>
      </x:c>
      <x:c r="E2689" s="62" t="n">
        <x:v>45956</x:v>
      </x:c>
      <x:c r="F2689" t="str">
        <x:v>AM</x:v>
      </x:c>
      <x:c r="G2689" t="str">
        <x:v>C</x:v>
      </x:c>
      <x:c r="H2689" t="n">
        <x:v>25</x:v>
      </x:c>
      <x:c r="I2689" t="str">
        <x:v>ORD-2025-00162</x:v>
      </x:c>
      <x:c r="J2689" t="n">
        <x:v>11</x:v>
      </x:c>
      <x:c r="K2689" t="n">
        <x:v>3</x:v>
      </x:c>
      <x:c r="L2689" t="str">
        <x:v>L25-S11-C3</x:v>
      </x:c>
      <x:c r="M2689" t="n">
        <x:v>0</x:v>
      </x:c>
      <x:c r="N2689" t="str">
        <x:v>DerivedFromCount</x:v>
      </x:c>
      <x:c r="O2689" t="str">
        <x:v>PLC-PRD-JAR-330-L25</x:v>
      </x:c>
      <x:c r="P2689" t="str">
        <x:v>OK</x:v>
      </x:c>
      <x:c r="Q2689" t="str">
        <x:v>OK</x:v>
      </x:c>
      <x:c r="R2689" t="str">
        <x:v>OK</x:v>
      </x:c>
      <x:c r="S2689" t="str">
        <x:v>OK</x:v>
      </x:c>
      <x:c r="T2689" t="n">
        <x:v>24</x:v>
      </x:c>
      <x:c r="U2689" t="str">
        <x:v>OK</x:v>
      </x:c>
      <x:c r="V2689" t="str">
        <x:v>OK</x:v>
      </x:c>
      <x:c r="W2689" t="str">
        <x:v>LOAD</x:v>
      </x:c>
      <x:c r="X2689" t="str">
        <x:v>02_Supervisor_Log(4).xlsx</x:v>
      </x:c>
      <x:c r="Y2689" t="str">
        <x:v>ENH-20260830-01</x:v>
      </x:c>
      <x:c r="Z2689" t="str">
        <x:v>Active</x:v>
      </x:c>
      <x:c r="AA2689"/>
      <x:c r="AB2689"/>
      <x:c r="AC2689"/>
      <x:c r="AD2689"/>
    </x:row>
    <x:row r="2690">
      <x:c r="A2690" t="str">
        <x:v>PCC-PE-KG01-L25-20251026-AM-ORD-2025-00162-S12-C1</x:v>
      </x:c>
      <x:c r="B2690" t="str">
        <x:v>PC-PE-KG01-L25-20251026-AM-ORD-2025-00162-S12</x:v>
      </x:c>
      <x:c r="C2690" t="str">
        <x:v>PE-KG01-L25-20251026-AM-ORD-2025-00162</x:v>
      </x:c>
      <x:c r="D2690" t="str">
        <x:v>KG01</x:v>
      </x:c>
      <x:c r="E2690" s="62" t="n">
        <x:v>45956</x:v>
      </x:c>
      <x:c r="F2690" t="str">
        <x:v>AM</x:v>
      </x:c>
      <x:c r="G2690" t="str">
        <x:v>C</x:v>
      </x:c>
      <x:c r="H2690" t="n">
        <x:v>25</x:v>
      </x:c>
      <x:c r="I2690" t="str">
        <x:v>ORD-2025-00162</x:v>
      </x:c>
      <x:c r="J2690" t="n">
        <x:v>12</x:v>
      </x:c>
      <x:c r="K2690" t="n">
        <x:v>1</x:v>
      </x:c>
      <x:c r="L2690" t="str">
        <x:v>L25-S12-C1</x:v>
      </x:c>
      <x:c r="M2690" t="n">
        <x:v>0</x:v>
      </x:c>
      <x:c r="N2690" t="str">
        <x:v>DerivedFromCount</x:v>
      </x:c>
      <x:c r="O2690" t="str">
        <x:v>PLC-PRD-JAR-330-L25</x:v>
      </x:c>
      <x:c r="P2690" t="str">
        <x:v>OK</x:v>
      </x:c>
      <x:c r="Q2690" t="str">
        <x:v>OK</x:v>
      </x:c>
      <x:c r="R2690" t="str">
        <x:v>OK</x:v>
      </x:c>
      <x:c r="S2690" t="str">
        <x:v>OK</x:v>
      </x:c>
      <x:c r="T2690" t="n">
        <x:v>24</x:v>
      </x:c>
      <x:c r="U2690" t="str">
        <x:v>OK</x:v>
      </x:c>
      <x:c r="V2690" t="str">
        <x:v>OK</x:v>
      </x:c>
      <x:c r="W2690" t="str">
        <x:v>LOAD</x:v>
      </x:c>
      <x:c r="X2690" t="str">
        <x:v>02_Supervisor_Log(4).xlsx</x:v>
      </x:c>
      <x:c r="Y2690" t="str">
        <x:v>ENH-20260830-01</x:v>
      </x:c>
      <x:c r="Z2690" t="str">
        <x:v>Active</x:v>
      </x:c>
      <x:c r="AA2690"/>
      <x:c r="AB2690"/>
      <x:c r="AC2690"/>
      <x:c r="AD2690"/>
    </x:row>
    <x:row r="2691">
      <x:c r="A2691" t="str">
        <x:v>PCC-PE-KG01-L25-20251026-AM-ORD-2025-00162-S12-C2</x:v>
      </x:c>
      <x:c r="B2691" t="str">
        <x:v>PC-PE-KG01-L25-20251026-AM-ORD-2025-00162-S12</x:v>
      </x:c>
      <x:c r="C2691" t="str">
        <x:v>PE-KG01-L25-20251026-AM-ORD-2025-00162</x:v>
      </x:c>
      <x:c r="D2691" t="str">
        <x:v>KG01</x:v>
      </x:c>
      <x:c r="E2691" s="62" t="n">
        <x:v>45956</x:v>
      </x:c>
      <x:c r="F2691" t="str">
        <x:v>AM</x:v>
      </x:c>
      <x:c r="G2691" t="str">
        <x:v>C</x:v>
      </x:c>
      <x:c r="H2691" t="n">
        <x:v>25</x:v>
      </x:c>
      <x:c r="I2691" t="str">
        <x:v>ORD-2025-00162</x:v>
      </x:c>
      <x:c r="J2691" t="n">
        <x:v>12</x:v>
      </x:c>
      <x:c r="K2691" t="n">
        <x:v>2</x:v>
      </x:c>
      <x:c r="L2691" t="str">
        <x:v>L25-S12-C2</x:v>
      </x:c>
      <x:c r="M2691" t="n">
        <x:v>0</x:v>
      </x:c>
      <x:c r="N2691" t="str">
        <x:v>DerivedFromCount</x:v>
      </x:c>
      <x:c r="O2691" t="str">
        <x:v>PLC-PRD-JAR-330-L25</x:v>
      </x:c>
      <x:c r="P2691" t="str">
        <x:v>OK</x:v>
      </x:c>
      <x:c r="Q2691" t="str">
        <x:v>OK</x:v>
      </x:c>
      <x:c r="R2691" t="str">
        <x:v>OK</x:v>
      </x:c>
      <x:c r="S2691" t="str">
        <x:v>OK</x:v>
      </x:c>
      <x:c r="T2691" t="n">
        <x:v>24</x:v>
      </x:c>
      <x:c r="U2691" t="str">
        <x:v>OK</x:v>
      </x:c>
      <x:c r="V2691" t="str">
        <x:v>OK</x:v>
      </x:c>
      <x:c r="W2691" t="str">
        <x:v>LOAD</x:v>
      </x:c>
      <x:c r="X2691" t="str">
        <x:v>02_Supervisor_Log(4).xlsx</x:v>
      </x:c>
      <x:c r="Y2691" t="str">
        <x:v>ENH-20260830-01</x:v>
      </x:c>
      <x:c r="Z2691" t="str">
        <x:v>Active</x:v>
      </x:c>
      <x:c r="AA2691"/>
      <x:c r="AB2691"/>
      <x:c r="AC2691"/>
      <x:c r="AD2691"/>
    </x:row>
    <x:row r="2692">
      <x:c r="A2692" t="str">
        <x:v>PCC-PE-KG01-L25-20251026-AM-ORD-2025-00162-S12-C3</x:v>
      </x:c>
      <x:c r="B2692" t="str">
        <x:v>PC-PE-KG01-L25-20251026-AM-ORD-2025-00162-S12</x:v>
      </x:c>
      <x:c r="C2692" t="str">
        <x:v>PE-KG01-L25-20251026-AM-ORD-2025-00162</x:v>
      </x:c>
      <x:c r="D2692" t="str">
        <x:v>KG01</x:v>
      </x:c>
      <x:c r="E2692" s="62" t="n">
        <x:v>45956</x:v>
      </x:c>
      <x:c r="F2692" t="str">
        <x:v>AM</x:v>
      </x:c>
      <x:c r="G2692" t="str">
        <x:v>C</x:v>
      </x:c>
      <x:c r="H2692" t="n">
        <x:v>25</x:v>
      </x:c>
      <x:c r="I2692" t="str">
        <x:v>ORD-2025-00162</x:v>
      </x:c>
      <x:c r="J2692" t="n">
        <x:v>12</x:v>
      </x:c>
      <x:c r="K2692" t="n">
        <x:v>3</x:v>
      </x:c>
      <x:c r="L2692" t="str">
        <x:v>L25-S12-C3</x:v>
      </x:c>
      <x:c r="M2692" t="n">
        <x:v>0</x:v>
      </x:c>
      <x:c r="N2692" t="str">
        <x:v>DerivedFromCount</x:v>
      </x:c>
      <x:c r="O2692" t="str">
        <x:v>PLC-PRD-JAR-330-L25</x:v>
      </x:c>
      <x:c r="P2692" t="str">
        <x:v>OK</x:v>
      </x:c>
      <x:c r="Q2692" t="str">
        <x:v>OK</x:v>
      </x:c>
      <x:c r="R2692" t="str">
        <x:v>OK</x:v>
      </x:c>
      <x:c r="S2692" t="str">
        <x:v>OK</x:v>
      </x:c>
      <x:c r="T2692" t="n">
        <x:v>24</x:v>
      </x:c>
      <x:c r="U2692" t="str">
        <x:v>OK</x:v>
      </x:c>
      <x:c r="V2692" t="str">
        <x:v>OK</x:v>
      </x:c>
      <x:c r="W2692" t="str">
        <x:v>LOAD</x:v>
      </x:c>
      <x:c r="X2692" t="str">
        <x:v>02_Supervisor_Log(4).xlsx</x:v>
      </x:c>
      <x:c r="Y2692" t="str">
        <x:v>ENH-20260830-01</x:v>
      </x:c>
      <x:c r="Z2692" t="str">
        <x:v>Active</x:v>
      </x:c>
      <x:c r="AA2692"/>
      <x:c r="AB2692"/>
      <x:c r="AC2692"/>
      <x:c r="AD2692"/>
    </x:row>
    <x:row r="2693">
      <x:c r="A2693" t="str">
        <x:v>PCC-PE-KG01-L25-20251026-AM-ORD-2025-00162-S13-C1</x:v>
      </x:c>
      <x:c r="B2693" t="str">
        <x:v>PC-PE-KG01-L25-20251026-AM-ORD-2025-00162-S13</x:v>
      </x:c>
      <x:c r="C2693" t="str">
        <x:v>PE-KG01-L25-20251026-AM-ORD-2025-00162</x:v>
      </x:c>
      <x:c r="D2693" t="str">
        <x:v>KG01</x:v>
      </x:c>
      <x:c r="E2693" s="62" t="n">
        <x:v>45956</x:v>
      </x:c>
      <x:c r="F2693" t="str">
        <x:v>AM</x:v>
      </x:c>
      <x:c r="G2693" t="str">
        <x:v>C</x:v>
      </x:c>
      <x:c r="H2693" t="n">
        <x:v>25</x:v>
      </x:c>
      <x:c r="I2693" t="str">
        <x:v>ORD-2025-00162</x:v>
      </x:c>
      <x:c r="J2693" t="n">
        <x:v>13</x:v>
      </x:c>
      <x:c r="K2693" t="n">
        <x:v>1</x:v>
      </x:c>
      <x:c r="L2693" t="str">
        <x:v>L25-S13-C1</x:v>
      </x:c>
      <x:c r="M2693" t="n">
        <x:v>0</x:v>
      </x:c>
      <x:c r="N2693" t="str">
        <x:v>DerivedFromCount</x:v>
      </x:c>
      <x:c r="O2693" t="str">
        <x:v>PLC-PRD-JAR-330-L25</x:v>
      </x:c>
      <x:c r="P2693" t="str">
        <x:v>OK</x:v>
      </x:c>
      <x:c r="Q2693" t="str">
        <x:v>OK</x:v>
      </x:c>
      <x:c r="R2693" t="str">
        <x:v>OK</x:v>
      </x:c>
      <x:c r="S2693" t="str">
        <x:v>OK</x:v>
      </x:c>
      <x:c r="T2693" t="n">
        <x:v>24</x:v>
      </x:c>
      <x:c r="U2693" t="str">
        <x:v>OK</x:v>
      </x:c>
      <x:c r="V2693" t="str">
        <x:v>OK</x:v>
      </x:c>
      <x:c r="W2693" t="str">
        <x:v>LOAD</x:v>
      </x:c>
      <x:c r="X2693" t="str">
        <x:v>02_Supervisor_Log(4).xlsx</x:v>
      </x:c>
      <x:c r="Y2693" t="str">
        <x:v>ENH-20260830-01</x:v>
      </x:c>
      <x:c r="Z2693" t="str">
        <x:v>Active</x:v>
      </x:c>
      <x:c r="AA2693"/>
      <x:c r="AB2693"/>
      <x:c r="AC2693"/>
      <x:c r="AD2693"/>
    </x:row>
    <x:row r="2694">
      <x:c r="A2694" t="str">
        <x:v>PCC-PE-KG01-L25-20251026-AM-ORD-2025-00162-S13-C2</x:v>
      </x:c>
      <x:c r="B2694" t="str">
        <x:v>PC-PE-KG01-L25-20251026-AM-ORD-2025-00162-S13</x:v>
      </x:c>
      <x:c r="C2694" t="str">
        <x:v>PE-KG01-L25-20251026-AM-ORD-2025-00162</x:v>
      </x:c>
      <x:c r="D2694" t="str">
        <x:v>KG01</x:v>
      </x:c>
      <x:c r="E2694" s="62" t="n">
        <x:v>45956</x:v>
      </x:c>
      <x:c r="F2694" t="str">
        <x:v>AM</x:v>
      </x:c>
      <x:c r="G2694" t="str">
        <x:v>C</x:v>
      </x:c>
      <x:c r="H2694" t="n">
        <x:v>25</x:v>
      </x:c>
      <x:c r="I2694" t="str">
        <x:v>ORD-2025-00162</x:v>
      </x:c>
      <x:c r="J2694" t="n">
        <x:v>13</x:v>
      </x:c>
      <x:c r="K2694" t="n">
        <x:v>2</x:v>
      </x:c>
      <x:c r="L2694" t="str">
        <x:v>L25-S13-C2</x:v>
      </x:c>
      <x:c r="M2694" t="n">
        <x:v>0</x:v>
      </x:c>
      <x:c r="N2694" t="str">
        <x:v>DerivedFromCount</x:v>
      </x:c>
      <x:c r="O2694" t="str">
        <x:v>PLC-PRD-JAR-330-L25</x:v>
      </x:c>
      <x:c r="P2694" t="str">
        <x:v>OK</x:v>
      </x:c>
      <x:c r="Q2694" t="str">
        <x:v>OK</x:v>
      </x:c>
      <x:c r="R2694" t="str">
        <x:v>OK</x:v>
      </x:c>
      <x:c r="S2694" t="str">
        <x:v>OK</x:v>
      </x:c>
      <x:c r="T2694" t="n">
        <x:v>24</x:v>
      </x:c>
      <x:c r="U2694" t="str">
        <x:v>OK</x:v>
      </x:c>
      <x:c r="V2694" t="str">
        <x:v>OK</x:v>
      </x:c>
      <x:c r="W2694" t="str">
        <x:v>LOAD</x:v>
      </x:c>
      <x:c r="X2694" t="str">
        <x:v>02_Supervisor_Log(4).xlsx</x:v>
      </x:c>
      <x:c r="Y2694" t="str">
        <x:v>ENH-20260830-01</x:v>
      </x:c>
      <x:c r="Z2694" t="str">
        <x:v>Active</x:v>
      </x:c>
      <x:c r="AA2694"/>
      <x:c r="AB2694"/>
      <x:c r="AC2694"/>
      <x:c r="AD2694"/>
    </x:row>
    <x:row r="2695">
      <x:c r="A2695" t="str">
        <x:v>PCC-PE-KG01-L25-20251026-AM-ORD-2025-00162-S13-C3</x:v>
      </x:c>
      <x:c r="B2695" t="str">
        <x:v>PC-PE-KG01-L25-20251026-AM-ORD-2025-00162-S13</x:v>
      </x:c>
      <x:c r="C2695" t="str">
        <x:v>PE-KG01-L25-20251026-AM-ORD-2025-00162</x:v>
      </x:c>
      <x:c r="D2695" t="str">
        <x:v>KG01</x:v>
      </x:c>
      <x:c r="E2695" s="62" t="n">
        <x:v>45956</x:v>
      </x:c>
      <x:c r="F2695" t="str">
        <x:v>AM</x:v>
      </x:c>
      <x:c r="G2695" t="str">
        <x:v>C</x:v>
      </x:c>
      <x:c r="H2695" t="n">
        <x:v>25</x:v>
      </x:c>
      <x:c r="I2695" t="str">
        <x:v>ORD-2025-00162</x:v>
      </x:c>
      <x:c r="J2695" t="n">
        <x:v>13</x:v>
      </x:c>
      <x:c r="K2695" t="n">
        <x:v>3</x:v>
      </x:c>
      <x:c r="L2695" t="str">
        <x:v>L25-S13-C3</x:v>
      </x:c>
      <x:c r="M2695" t="n">
        <x:v>0</x:v>
      </x:c>
      <x:c r="N2695" t="str">
        <x:v>DerivedFromCount</x:v>
      </x:c>
      <x:c r="O2695" t="str">
        <x:v>PLC-PRD-JAR-330-L25</x:v>
      </x:c>
      <x:c r="P2695" t="str">
        <x:v>OK</x:v>
      </x:c>
      <x:c r="Q2695" t="str">
        <x:v>OK</x:v>
      </x:c>
      <x:c r="R2695" t="str">
        <x:v>OK</x:v>
      </x:c>
      <x:c r="S2695" t="str">
        <x:v>OK</x:v>
      </x:c>
      <x:c r="T2695" t="n">
        <x:v>24</x:v>
      </x:c>
      <x:c r="U2695" t="str">
        <x:v>OK</x:v>
      </x:c>
      <x:c r="V2695" t="str">
        <x:v>OK</x:v>
      </x:c>
      <x:c r="W2695" t="str">
        <x:v>LOAD</x:v>
      </x:c>
      <x:c r="X2695" t="str">
        <x:v>02_Supervisor_Log(4).xlsx</x:v>
      </x:c>
      <x:c r="Y2695" t="str">
        <x:v>ENH-20260830-01</x:v>
      </x:c>
      <x:c r="Z2695" t="str">
        <x:v>Active</x:v>
      </x:c>
      <x:c r="AA2695"/>
      <x:c r="AB2695"/>
      <x:c r="AC2695"/>
      <x:c r="AD2695"/>
    </x:row>
    <x:row r="2696">
      <x:c r="A2696" t="str">
        <x:v>PCC-PE-KG01-L25-20251026-PM-ORD-2025-00162-S01-C1</x:v>
      </x:c>
      <x:c r="B2696" t="str">
        <x:v>PC-PE-KG01-L25-20251026-PM-ORD-2025-00162-S01</x:v>
      </x:c>
      <x:c r="C2696" t="str">
        <x:v>PE-KG01-L25-20251026-PM-ORD-2025-00162</x:v>
      </x:c>
      <x:c r="D2696" t="str">
        <x:v>KG01</x:v>
      </x:c>
      <x:c r="E2696" s="62" t="n">
        <x:v>45956</x:v>
      </x:c>
      <x:c r="F2696" t="str">
        <x:v>PM</x:v>
      </x:c>
      <x:c r="G2696" t="str">
        <x:v>A</x:v>
      </x:c>
      <x:c r="H2696" t="n">
        <x:v>25</x:v>
      </x:c>
      <x:c r="I2696" t="str">
        <x:v>ORD-2025-00162</x:v>
      </x:c>
      <x:c r="J2696" t="n">
        <x:v>1</x:v>
      </x:c>
      <x:c r="K2696" t="n">
        <x:v>1</x:v>
      </x:c>
      <x:c r="L2696" t="str">
        <x:v>L25-S01-C1</x:v>
      </x:c>
      <x:c r="M2696" t="n">
        <x:v>1</x:v>
      </x:c>
      <x:c r="N2696" t="str">
        <x:v>DerivedFromCount</x:v>
      </x:c>
      <x:c r="O2696" t="str">
        <x:v>PLC-PRD-JAR-330-L25</x:v>
      </x:c>
      <x:c r="P2696" t="str">
        <x:v>OK</x:v>
      </x:c>
      <x:c r="Q2696" t="str">
        <x:v>OK</x:v>
      </x:c>
      <x:c r="R2696" t="str">
        <x:v>OK</x:v>
      </x:c>
      <x:c r="S2696" t="str">
        <x:v>OK</x:v>
      </x:c>
      <x:c r="T2696" t="n">
        <x:v>24</x:v>
      </x:c>
      <x:c r="U2696" t="str">
        <x:v>OK</x:v>
      </x:c>
      <x:c r="V2696" t="str">
        <x:v>OK</x:v>
      </x:c>
      <x:c r="W2696" t="str">
        <x:v>LOAD</x:v>
      </x:c>
      <x:c r="X2696" t="str">
        <x:v>02_Supervisor_Log(4).xlsx</x:v>
      </x:c>
      <x:c r="Y2696" t="str">
        <x:v>ENH-20260830-01</x:v>
      </x:c>
      <x:c r="Z2696" t="str">
        <x:v>Active</x:v>
      </x:c>
      <x:c r="AA2696"/>
      <x:c r="AB2696"/>
      <x:c r="AC2696"/>
      <x:c r="AD2696"/>
    </x:row>
    <x:row r="2697">
      <x:c r="A2697" t="str">
        <x:v>PCC-PE-KG01-L25-20251026-PM-ORD-2025-00162-S01-C2</x:v>
      </x:c>
      <x:c r="B2697" t="str">
        <x:v>PC-PE-KG01-L25-20251026-PM-ORD-2025-00162-S01</x:v>
      </x:c>
      <x:c r="C2697" t="str">
        <x:v>PE-KG01-L25-20251026-PM-ORD-2025-00162</x:v>
      </x:c>
      <x:c r="D2697" t="str">
        <x:v>KG01</x:v>
      </x:c>
      <x:c r="E2697" s="62" t="n">
        <x:v>45956</x:v>
      </x:c>
      <x:c r="F2697" t="str">
        <x:v>PM</x:v>
      </x:c>
      <x:c r="G2697" t="str">
        <x:v>A</x:v>
      </x:c>
      <x:c r="H2697" t="n">
        <x:v>25</x:v>
      </x:c>
      <x:c r="I2697" t="str">
        <x:v>ORD-2025-00162</x:v>
      </x:c>
      <x:c r="J2697" t="n">
        <x:v>1</x:v>
      </x:c>
      <x:c r="K2697" t="n">
        <x:v>2</x:v>
      </x:c>
      <x:c r="L2697" t="str">
        <x:v>L25-S01-C2</x:v>
      </x:c>
      <x:c r="M2697" t="n">
        <x:v>1</x:v>
      </x:c>
      <x:c r="N2697" t="str">
        <x:v>DerivedFromCount</x:v>
      </x:c>
      <x:c r="O2697" t="str">
        <x:v>PLC-PRD-JAR-330-L25</x:v>
      </x:c>
      <x:c r="P2697" t="str">
        <x:v>OK</x:v>
      </x:c>
      <x:c r="Q2697" t="str">
        <x:v>OK</x:v>
      </x:c>
      <x:c r="R2697" t="str">
        <x:v>OK</x:v>
      </x:c>
      <x:c r="S2697" t="str">
        <x:v>OK</x:v>
      </x:c>
      <x:c r="T2697" t="n">
        <x:v>24</x:v>
      </x:c>
      <x:c r="U2697" t="str">
        <x:v>OK</x:v>
      </x:c>
      <x:c r="V2697" t="str">
        <x:v>OK</x:v>
      </x:c>
      <x:c r="W2697" t="str">
        <x:v>LOAD</x:v>
      </x:c>
      <x:c r="X2697" t="str">
        <x:v>02_Supervisor_Log(4).xlsx</x:v>
      </x:c>
      <x:c r="Y2697" t="str">
        <x:v>ENH-20260830-01</x:v>
      </x:c>
      <x:c r="Z2697" t="str">
        <x:v>Active</x:v>
      </x:c>
      <x:c r="AA2697"/>
      <x:c r="AB2697"/>
      <x:c r="AC2697"/>
      <x:c r="AD2697"/>
    </x:row>
    <x:row r="2698">
      <x:c r="A2698" t="str">
        <x:v>PCC-PE-KG01-L25-20251026-PM-ORD-2025-00162-S01-C3</x:v>
      </x:c>
      <x:c r="B2698" t="str">
        <x:v>PC-PE-KG01-L25-20251026-PM-ORD-2025-00162-S01</x:v>
      </x:c>
      <x:c r="C2698" t="str">
        <x:v>PE-KG01-L25-20251026-PM-ORD-2025-00162</x:v>
      </x:c>
      <x:c r="D2698" t="str">
        <x:v>KG01</x:v>
      </x:c>
      <x:c r="E2698" s="62" t="n">
        <x:v>45956</x:v>
      </x:c>
      <x:c r="F2698" t="str">
        <x:v>PM</x:v>
      </x:c>
      <x:c r="G2698" t="str">
        <x:v>A</x:v>
      </x:c>
      <x:c r="H2698" t="n">
        <x:v>25</x:v>
      </x:c>
      <x:c r="I2698" t="str">
        <x:v>ORD-2025-00162</x:v>
      </x:c>
      <x:c r="J2698" t="n">
        <x:v>1</x:v>
      </x:c>
      <x:c r="K2698" t="n">
        <x:v>3</x:v>
      </x:c>
      <x:c r="L2698" t="str">
        <x:v>L25-S01-C3</x:v>
      </x:c>
      <x:c r="M2698" t="n">
        <x:v>1</x:v>
      </x:c>
      <x:c r="N2698" t="str">
        <x:v>DerivedFromCount</x:v>
      </x:c>
      <x:c r="O2698" t="str">
        <x:v>PLC-PRD-JAR-330-L25</x:v>
      </x:c>
      <x:c r="P2698" t="str">
        <x:v>OK</x:v>
      </x:c>
      <x:c r="Q2698" t="str">
        <x:v>OK</x:v>
      </x:c>
      <x:c r="R2698" t="str">
        <x:v>OK</x:v>
      </x:c>
      <x:c r="S2698" t="str">
        <x:v>OK</x:v>
      </x:c>
      <x:c r="T2698" t="n">
        <x:v>24</x:v>
      </x:c>
      <x:c r="U2698" t="str">
        <x:v>OK</x:v>
      </x:c>
      <x:c r="V2698" t="str">
        <x:v>OK</x:v>
      </x:c>
      <x:c r="W2698" t="str">
        <x:v>LOAD</x:v>
      </x:c>
      <x:c r="X2698" t="str">
        <x:v>02_Supervisor_Log(4).xlsx</x:v>
      </x:c>
      <x:c r="Y2698" t="str">
        <x:v>ENH-20260830-01</x:v>
      </x:c>
      <x:c r="Z2698" t="str">
        <x:v>Active</x:v>
      </x:c>
      <x:c r="AA2698"/>
      <x:c r="AB2698"/>
      <x:c r="AC2698"/>
      <x:c r="AD2698"/>
    </x:row>
    <x:row r="2699">
      <x:c r="A2699" t="str">
        <x:v>PCC-PE-KG01-L25-20251026-PM-ORD-2025-00162-S02-C1</x:v>
      </x:c>
      <x:c r="B2699" t="str">
        <x:v>PC-PE-KG01-L25-20251026-PM-ORD-2025-00162-S02</x:v>
      </x:c>
      <x:c r="C2699" t="str">
        <x:v>PE-KG01-L25-20251026-PM-ORD-2025-00162</x:v>
      </x:c>
      <x:c r="D2699" t="str">
        <x:v>KG01</x:v>
      </x:c>
      <x:c r="E2699" s="62" t="n">
        <x:v>45956</x:v>
      </x:c>
      <x:c r="F2699" t="str">
        <x:v>PM</x:v>
      </x:c>
      <x:c r="G2699" t="str">
        <x:v>A</x:v>
      </x:c>
      <x:c r="H2699" t="n">
        <x:v>25</x:v>
      </x:c>
      <x:c r="I2699" t="str">
        <x:v>ORD-2025-00162</x:v>
      </x:c>
      <x:c r="J2699" t="n">
        <x:v>2</x:v>
      </x:c>
      <x:c r="K2699" t="n">
        <x:v>1</x:v>
      </x:c>
      <x:c r="L2699" t="str">
        <x:v>L25-S02-C1</x:v>
      </x:c>
      <x:c r="M2699" t="n">
        <x:v>1</x:v>
      </x:c>
      <x:c r="N2699" t="str">
        <x:v>DerivedFromCount</x:v>
      </x:c>
      <x:c r="O2699" t="str">
        <x:v>PLC-PRD-JAR-330-L25</x:v>
      </x:c>
      <x:c r="P2699" t="str">
        <x:v>OK</x:v>
      </x:c>
      <x:c r="Q2699" t="str">
        <x:v>OK</x:v>
      </x:c>
      <x:c r="R2699" t="str">
        <x:v>OK</x:v>
      </x:c>
      <x:c r="S2699" t="str">
        <x:v>OK</x:v>
      </x:c>
      <x:c r="T2699" t="n">
        <x:v>24</x:v>
      </x:c>
      <x:c r="U2699" t="str">
        <x:v>OK</x:v>
      </x:c>
      <x:c r="V2699" t="str">
        <x:v>OK</x:v>
      </x:c>
      <x:c r="W2699" t="str">
        <x:v>LOAD</x:v>
      </x:c>
      <x:c r="X2699" t="str">
        <x:v>02_Supervisor_Log(4).xlsx</x:v>
      </x:c>
      <x:c r="Y2699" t="str">
        <x:v>ENH-20260830-01</x:v>
      </x:c>
      <x:c r="Z2699" t="str">
        <x:v>Active</x:v>
      </x:c>
      <x:c r="AA2699"/>
      <x:c r="AB2699"/>
      <x:c r="AC2699"/>
      <x:c r="AD2699"/>
    </x:row>
    <x:row r="2700">
      <x:c r="A2700" t="str">
        <x:v>PCC-PE-KG01-L25-20251026-PM-ORD-2025-00162-S02-C2</x:v>
      </x:c>
      <x:c r="B2700" t="str">
        <x:v>PC-PE-KG01-L25-20251026-PM-ORD-2025-00162-S02</x:v>
      </x:c>
      <x:c r="C2700" t="str">
        <x:v>PE-KG01-L25-20251026-PM-ORD-2025-00162</x:v>
      </x:c>
      <x:c r="D2700" t="str">
        <x:v>KG01</x:v>
      </x:c>
      <x:c r="E2700" s="62" t="n">
        <x:v>45956</x:v>
      </x:c>
      <x:c r="F2700" t="str">
        <x:v>PM</x:v>
      </x:c>
      <x:c r="G2700" t="str">
        <x:v>A</x:v>
      </x:c>
      <x:c r="H2700" t="n">
        <x:v>25</x:v>
      </x:c>
      <x:c r="I2700" t="str">
        <x:v>ORD-2025-00162</x:v>
      </x:c>
      <x:c r="J2700" t="n">
        <x:v>2</x:v>
      </x:c>
      <x:c r="K2700" t="n">
        <x:v>2</x:v>
      </x:c>
      <x:c r="L2700" t="str">
        <x:v>L25-S02-C2</x:v>
      </x:c>
      <x:c r="M2700" t="n">
        <x:v>1</x:v>
      </x:c>
      <x:c r="N2700" t="str">
        <x:v>DerivedFromCount</x:v>
      </x:c>
      <x:c r="O2700" t="str">
        <x:v>PLC-PRD-JAR-330-L25</x:v>
      </x:c>
      <x:c r="P2700" t="str">
        <x:v>OK</x:v>
      </x:c>
      <x:c r="Q2700" t="str">
        <x:v>OK</x:v>
      </x:c>
      <x:c r="R2700" t="str">
        <x:v>OK</x:v>
      </x:c>
      <x:c r="S2700" t="str">
        <x:v>OK</x:v>
      </x:c>
      <x:c r="T2700" t="n">
        <x:v>24</x:v>
      </x:c>
      <x:c r="U2700" t="str">
        <x:v>OK</x:v>
      </x:c>
      <x:c r="V2700" t="str">
        <x:v>OK</x:v>
      </x:c>
      <x:c r="W2700" t="str">
        <x:v>LOAD</x:v>
      </x:c>
      <x:c r="X2700" t="str">
        <x:v>02_Supervisor_Log(4).xlsx</x:v>
      </x:c>
      <x:c r="Y2700" t="str">
        <x:v>ENH-20260830-01</x:v>
      </x:c>
      <x:c r="Z2700" t="str">
        <x:v>Active</x:v>
      </x:c>
      <x:c r="AA2700"/>
      <x:c r="AB2700"/>
      <x:c r="AC2700"/>
      <x:c r="AD2700"/>
    </x:row>
    <x:row r="2701">
      <x:c r="A2701" t="str">
        <x:v>PCC-PE-KG01-L25-20251026-PM-ORD-2025-00162-S02-C3</x:v>
      </x:c>
      <x:c r="B2701" t="str">
        <x:v>PC-PE-KG01-L25-20251026-PM-ORD-2025-00162-S02</x:v>
      </x:c>
      <x:c r="C2701" t="str">
        <x:v>PE-KG01-L25-20251026-PM-ORD-2025-00162</x:v>
      </x:c>
      <x:c r="D2701" t="str">
        <x:v>KG01</x:v>
      </x:c>
      <x:c r="E2701" s="62" t="n">
        <x:v>45956</x:v>
      </x:c>
      <x:c r="F2701" t="str">
        <x:v>PM</x:v>
      </x:c>
      <x:c r="G2701" t="str">
        <x:v>A</x:v>
      </x:c>
      <x:c r="H2701" t="n">
        <x:v>25</x:v>
      </x:c>
      <x:c r="I2701" t="str">
        <x:v>ORD-2025-00162</x:v>
      </x:c>
      <x:c r="J2701" t="n">
        <x:v>2</x:v>
      </x:c>
      <x:c r="K2701" t="n">
        <x:v>3</x:v>
      </x:c>
      <x:c r="L2701" t="str">
        <x:v>L25-S02-C3</x:v>
      </x:c>
      <x:c r="M2701" t="n">
        <x:v>1</x:v>
      </x:c>
      <x:c r="N2701" t="str">
        <x:v>DerivedFromCount</x:v>
      </x:c>
      <x:c r="O2701" t="str">
        <x:v>PLC-PRD-JAR-330-L25</x:v>
      </x:c>
      <x:c r="P2701" t="str">
        <x:v>OK</x:v>
      </x:c>
      <x:c r="Q2701" t="str">
        <x:v>OK</x:v>
      </x:c>
      <x:c r="R2701" t="str">
        <x:v>OK</x:v>
      </x:c>
      <x:c r="S2701" t="str">
        <x:v>OK</x:v>
      </x:c>
      <x:c r="T2701" t="n">
        <x:v>24</x:v>
      </x:c>
      <x:c r="U2701" t="str">
        <x:v>OK</x:v>
      </x:c>
      <x:c r="V2701" t="str">
        <x:v>OK</x:v>
      </x:c>
      <x:c r="W2701" t="str">
        <x:v>LOAD</x:v>
      </x:c>
      <x:c r="X2701" t="str">
        <x:v>02_Supervisor_Log(4).xlsx</x:v>
      </x:c>
      <x:c r="Y2701" t="str">
        <x:v>ENH-20260830-01</x:v>
      </x:c>
      <x:c r="Z2701" t="str">
        <x:v>Active</x:v>
      </x:c>
      <x:c r="AA2701"/>
      <x:c r="AB2701"/>
      <x:c r="AC2701"/>
      <x:c r="AD2701"/>
    </x:row>
    <x:row r="2702">
      <x:c r="A2702" t="str">
        <x:v>PCC-PE-KG01-L25-20251026-PM-ORD-2025-00162-S03-C1</x:v>
      </x:c>
      <x:c r="B2702" t="str">
        <x:v>PC-PE-KG01-L25-20251026-PM-ORD-2025-00162-S03</x:v>
      </x:c>
      <x:c r="C2702" t="str">
        <x:v>PE-KG01-L25-20251026-PM-ORD-2025-00162</x:v>
      </x:c>
      <x:c r="D2702" t="str">
        <x:v>KG01</x:v>
      </x:c>
      <x:c r="E2702" s="62" t="n">
        <x:v>45956</x:v>
      </x:c>
      <x:c r="F2702" t="str">
        <x:v>PM</x:v>
      </x:c>
      <x:c r="G2702" t="str">
        <x:v>A</x:v>
      </x:c>
      <x:c r="H2702" t="n">
        <x:v>25</x:v>
      </x:c>
      <x:c r="I2702" t="str">
        <x:v>ORD-2025-00162</x:v>
      </x:c>
      <x:c r="J2702" t="n">
        <x:v>3</x:v>
      </x:c>
      <x:c r="K2702" t="n">
        <x:v>1</x:v>
      </x:c>
      <x:c r="L2702" t="str">
        <x:v>L25-S03-C1</x:v>
      </x:c>
      <x:c r="M2702" t="n">
        <x:v>1</x:v>
      </x:c>
      <x:c r="N2702" t="str">
        <x:v>DerivedFromCount</x:v>
      </x:c>
      <x:c r="O2702" t="str">
        <x:v>PLC-PRD-JAR-330-L25</x:v>
      </x:c>
      <x:c r="P2702" t="str">
        <x:v>OK</x:v>
      </x:c>
      <x:c r="Q2702" t="str">
        <x:v>OK</x:v>
      </x:c>
      <x:c r="R2702" t="str">
        <x:v>OK</x:v>
      </x:c>
      <x:c r="S2702" t="str">
        <x:v>OK</x:v>
      </x:c>
      <x:c r="T2702" t="n">
        <x:v>24</x:v>
      </x:c>
      <x:c r="U2702" t="str">
        <x:v>OK</x:v>
      </x:c>
      <x:c r="V2702" t="str">
        <x:v>OK</x:v>
      </x:c>
      <x:c r="W2702" t="str">
        <x:v>LOAD</x:v>
      </x:c>
      <x:c r="X2702" t="str">
        <x:v>02_Supervisor_Log(4).xlsx</x:v>
      </x:c>
      <x:c r="Y2702" t="str">
        <x:v>ENH-20260830-01</x:v>
      </x:c>
      <x:c r="Z2702" t="str">
        <x:v>Active</x:v>
      </x:c>
      <x:c r="AA2702"/>
      <x:c r="AB2702"/>
      <x:c r="AC2702"/>
      <x:c r="AD2702"/>
    </x:row>
    <x:row r="2703">
      <x:c r="A2703" t="str">
        <x:v>PCC-PE-KG01-L25-20251026-PM-ORD-2025-00162-S03-C2</x:v>
      </x:c>
      <x:c r="B2703" t="str">
        <x:v>PC-PE-KG01-L25-20251026-PM-ORD-2025-00162-S03</x:v>
      </x:c>
      <x:c r="C2703" t="str">
        <x:v>PE-KG01-L25-20251026-PM-ORD-2025-00162</x:v>
      </x:c>
      <x:c r="D2703" t="str">
        <x:v>KG01</x:v>
      </x:c>
      <x:c r="E2703" s="62" t="n">
        <x:v>45956</x:v>
      </x:c>
      <x:c r="F2703" t="str">
        <x:v>PM</x:v>
      </x:c>
      <x:c r="G2703" t="str">
        <x:v>A</x:v>
      </x:c>
      <x:c r="H2703" t="n">
        <x:v>25</x:v>
      </x:c>
      <x:c r="I2703" t="str">
        <x:v>ORD-2025-00162</x:v>
      </x:c>
      <x:c r="J2703" t="n">
        <x:v>3</x:v>
      </x:c>
      <x:c r="K2703" t="n">
        <x:v>2</x:v>
      </x:c>
      <x:c r="L2703" t="str">
        <x:v>L25-S03-C2</x:v>
      </x:c>
      <x:c r="M2703" t="n">
        <x:v>1</x:v>
      </x:c>
      <x:c r="N2703" t="str">
        <x:v>DerivedFromCount</x:v>
      </x:c>
      <x:c r="O2703" t="str">
        <x:v>PLC-PRD-JAR-330-L25</x:v>
      </x:c>
      <x:c r="P2703" t="str">
        <x:v>OK</x:v>
      </x:c>
      <x:c r="Q2703" t="str">
        <x:v>OK</x:v>
      </x:c>
      <x:c r="R2703" t="str">
        <x:v>OK</x:v>
      </x:c>
      <x:c r="S2703" t="str">
        <x:v>OK</x:v>
      </x:c>
      <x:c r="T2703" t="n">
        <x:v>24</x:v>
      </x:c>
      <x:c r="U2703" t="str">
        <x:v>OK</x:v>
      </x:c>
      <x:c r="V2703" t="str">
        <x:v>OK</x:v>
      </x:c>
      <x:c r="W2703" t="str">
        <x:v>LOAD</x:v>
      </x:c>
      <x:c r="X2703" t="str">
        <x:v>02_Supervisor_Log(4).xlsx</x:v>
      </x:c>
      <x:c r="Y2703" t="str">
        <x:v>ENH-20260830-01</x:v>
      </x:c>
      <x:c r="Z2703" t="str">
        <x:v>Active</x:v>
      </x:c>
      <x:c r="AA2703"/>
      <x:c r="AB2703"/>
      <x:c r="AC2703"/>
      <x:c r="AD2703"/>
    </x:row>
    <x:row r="2704">
      <x:c r="A2704" t="str">
        <x:v>PCC-PE-KG01-L25-20251026-PM-ORD-2025-00162-S03-C3</x:v>
      </x:c>
      <x:c r="B2704" t="str">
        <x:v>PC-PE-KG01-L25-20251026-PM-ORD-2025-00162-S03</x:v>
      </x:c>
      <x:c r="C2704" t="str">
        <x:v>PE-KG01-L25-20251026-PM-ORD-2025-00162</x:v>
      </x:c>
      <x:c r="D2704" t="str">
        <x:v>KG01</x:v>
      </x:c>
      <x:c r="E2704" s="62" t="n">
        <x:v>45956</x:v>
      </x:c>
      <x:c r="F2704" t="str">
        <x:v>PM</x:v>
      </x:c>
      <x:c r="G2704" t="str">
        <x:v>A</x:v>
      </x:c>
      <x:c r="H2704" t="n">
        <x:v>25</x:v>
      </x:c>
      <x:c r="I2704" t="str">
        <x:v>ORD-2025-00162</x:v>
      </x:c>
      <x:c r="J2704" t="n">
        <x:v>3</x:v>
      </x:c>
      <x:c r="K2704" t="n">
        <x:v>3</x:v>
      </x:c>
      <x:c r="L2704" t="str">
        <x:v>L25-S03-C3</x:v>
      </x:c>
      <x:c r="M2704" t="n">
        <x:v>1</x:v>
      </x:c>
      <x:c r="N2704" t="str">
        <x:v>DerivedFromCount</x:v>
      </x:c>
      <x:c r="O2704" t="str">
        <x:v>PLC-PRD-JAR-330-L25</x:v>
      </x:c>
      <x:c r="P2704" t="str">
        <x:v>OK</x:v>
      </x:c>
      <x:c r="Q2704" t="str">
        <x:v>OK</x:v>
      </x:c>
      <x:c r="R2704" t="str">
        <x:v>OK</x:v>
      </x:c>
      <x:c r="S2704" t="str">
        <x:v>OK</x:v>
      </x:c>
      <x:c r="T2704" t="n">
        <x:v>24</x:v>
      </x:c>
      <x:c r="U2704" t="str">
        <x:v>OK</x:v>
      </x:c>
      <x:c r="V2704" t="str">
        <x:v>OK</x:v>
      </x:c>
      <x:c r="W2704" t="str">
        <x:v>LOAD</x:v>
      </x:c>
      <x:c r="X2704" t="str">
        <x:v>02_Supervisor_Log(4).xlsx</x:v>
      </x:c>
      <x:c r="Y2704" t="str">
        <x:v>ENH-20260830-01</x:v>
      </x:c>
      <x:c r="Z2704" t="str">
        <x:v>Active</x:v>
      </x:c>
      <x:c r="AA2704"/>
      <x:c r="AB2704"/>
      <x:c r="AC2704"/>
      <x:c r="AD2704"/>
    </x:row>
    <x:row r="2705">
      <x:c r="A2705" t="str">
        <x:v>PCC-PE-KG01-L25-20251026-PM-ORD-2025-00162-S04-C1</x:v>
      </x:c>
      <x:c r="B2705" t="str">
        <x:v>PC-PE-KG01-L25-20251026-PM-ORD-2025-00162-S04</x:v>
      </x:c>
      <x:c r="C2705" t="str">
        <x:v>PE-KG01-L25-20251026-PM-ORD-2025-00162</x:v>
      </x:c>
      <x:c r="D2705" t="str">
        <x:v>KG01</x:v>
      </x:c>
      <x:c r="E2705" s="62" t="n">
        <x:v>45956</x:v>
      </x:c>
      <x:c r="F2705" t="str">
        <x:v>PM</x:v>
      </x:c>
      <x:c r="G2705" t="str">
        <x:v>A</x:v>
      </x:c>
      <x:c r="H2705" t="n">
        <x:v>25</x:v>
      </x:c>
      <x:c r="I2705" t="str">
        <x:v>ORD-2025-00162</x:v>
      </x:c>
      <x:c r="J2705" t="n">
        <x:v>4</x:v>
      </x:c>
      <x:c r="K2705" t="n">
        <x:v>1</x:v>
      </x:c>
      <x:c r="L2705" t="str">
        <x:v>L25-S04-C1</x:v>
      </x:c>
      <x:c r="M2705" t="n">
        <x:v>1</x:v>
      </x:c>
      <x:c r="N2705" t="str">
        <x:v>DerivedFromCount</x:v>
      </x:c>
      <x:c r="O2705" t="str">
        <x:v>PLC-PRD-JAR-330-L25</x:v>
      </x:c>
      <x:c r="P2705" t="str">
        <x:v>OK</x:v>
      </x:c>
      <x:c r="Q2705" t="str">
        <x:v>OK</x:v>
      </x:c>
      <x:c r="R2705" t="str">
        <x:v>OK</x:v>
      </x:c>
      <x:c r="S2705" t="str">
        <x:v>OK</x:v>
      </x:c>
      <x:c r="T2705" t="n">
        <x:v>24</x:v>
      </x:c>
      <x:c r="U2705" t="str">
        <x:v>OK</x:v>
      </x:c>
      <x:c r="V2705" t="str">
        <x:v>OK</x:v>
      </x:c>
      <x:c r="W2705" t="str">
        <x:v>LOAD</x:v>
      </x:c>
      <x:c r="X2705" t="str">
        <x:v>02_Supervisor_Log(4).xlsx</x:v>
      </x:c>
      <x:c r="Y2705" t="str">
        <x:v>ENH-20260830-01</x:v>
      </x:c>
      <x:c r="Z2705" t="str">
        <x:v>Active</x:v>
      </x:c>
      <x:c r="AA2705"/>
      <x:c r="AB2705"/>
      <x:c r="AC2705"/>
      <x:c r="AD2705"/>
    </x:row>
    <x:row r="2706">
      <x:c r="A2706" t="str">
        <x:v>PCC-PE-KG01-L25-20251026-PM-ORD-2025-00162-S04-C2</x:v>
      </x:c>
      <x:c r="B2706" t="str">
        <x:v>PC-PE-KG01-L25-20251026-PM-ORD-2025-00162-S04</x:v>
      </x:c>
      <x:c r="C2706" t="str">
        <x:v>PE-KG01-L25-20251026-PM-ORD-2025-00162</x:v>
      </x:c>
      <x:c r="D2706" t="str">
        <x:v>KG01</x:v>
      </x:c>
      <x:c r="E2706" s="62" t="n">
        <x:v>45956</x:v>
      </x:c>
      <x:c r="F2706" t="str">
        <x:v>PM</x:v>
      </x:c>
      <x:c r="G2706" t="str">
        <x:v>A</x:v>
      </x:c>
      <x:c r="H2706" t="n">
        <x:v>25</x:v>
      </x:c>
      <x:c r="I2706" t="str">
        <x:v>ORD-2025-00162</x:v>
      </x:c>
      <x:c r="J2706" t="n">
        <x:v>4</x:v>
      </x:c>
      <x:c r="K2706" t="n">
        <x:v>2</x:v>
      </x:c>
      <x:c r="L2706" t="str">
        <x:v>L25-S04-C2</x:v>
      </x:c>
      <x:c r="M2706" t="n">
        <x:v>1</x:v>
      </x:c>
      <x:c r="N2706" t="str">
        <x:v>DerivedFromCount</x:v>
      </x:c>
      <x:c r="O2706" t="str">
        <x:v>PLC-PRD-JAR-330-L25</x:v>
      </x:c>
      <x:c r="P2706" t="str">
        <x:v>OK</x:v>
      </x:c>
      <x:c r="Q2706" t="str">
        <x:v>OK</x:v>
      </x:c>
      <x:c r="R2706" t="str">
        <x:v>OK</x:v>
      </x:c>
      <x:c r="S2706" t="str">
        <x:v>OK</x:v>
      </x:c>
      <x:c r="T2706" t="n">
        <x:v>24</x:v>
      </x:c>
      <x:c r="U2706" t="str">
        <x:v>OK</x:v>
      </x:c>
      <x:c r="V2706" t="str">
        <x:v>OK</x:v>
      </x:c>
      <x:c r="W2706" t="str">
        <x:v>LOAD</x:v>
      </x:c>
      <x:c r="X2706" t="str">
        <x:v>02_Supervisor_Log(4).xlsx</x:v>
      </x:c>
      <x:c r="Y2706" t="str">
        <x:v>ENH-20260830-01</x:v>
      </x:c>
      <x:c r="Z2706" t="str">
        <x:v>Active</x:v>
      </x:c>
      <x:c r="AA2706"/>
      <x:c r="AB2706"/>
      <x:c r="AC2706"/>
      <x:c r="AD2706"/>
    </x:row>
    <x:row r="2707">
      <x:c r="A2707" t="str">
        <x:v>PCC-PE-KG01-L25-20251026-PM-ORD-2025-00162-S04-C3</x:v>
      </x:c>
      <x:c r="B2707" t="str">
        <x:v>PC-PE-KG01-L25-20251026-PM-ORD-2025-00162-S04</x:v>
      </x:c>
      <x:c r="C2707" t="str">
        <x:v>PE-KG01-L25-20251026-PM-ORD-2025-00162</x:v>
      </x:c>
      <x:c r="D2707" t="str">
        <x:v>KG01</x:v>
      </x:c>
      <x:c r="E2707" s="62" t="n">
        <x:v>45956</x:v>
      </x:c>
      <x:c r="F2707" t="str">
        <x:v>PM</x:v>
      </x:c>
      <x:c r="G2707" t="str">
        <x:v>A</x:v>
      </x:c>
      <x:c r="H2707" t="n">
        <x:v>25</x:v>
      </x:c>
      <x:c r="I2707" t="str">
        <x:v>ORD-2025-00162</x:v>
      </x:c>
      <x:c r="J2707" t="n">
        <x:v>4</x:v>
      </x:c>
      <x:c r="K2707" t="n">
        <x:v>3</x:v>
      </x:c>
      <x:c r="L2707" t="str">
        <x:v>L25-S04-C3</x:v>
      </x:c>
      <x:c r="M2707" t="n">
        <x:v>1</x:v>
      </x:c>
      <x:c r="N2707" t="str">
        <x:v>DerivedFromCount</x:v>
      </x:c>
      <x:c r="O2707" t="str">
        <x:v>PLC-PRD-JAR-330-L25</x:v>
      </x:c>
      <x:c r="P2707" t="str">
        <x:v>OK</x:v>
      </x:c>
      <x:c r="Q2707" t="str">
        <x:v>OK</x:v>
      </x:c>
      <x:c r="R2707" t="str">
        <x:v>OK</x:v>
      </x:c>
      <x:c r="S2707" t="str">
        <x:v>OK</x:v>
      </x:c>
      <x:c r="T2707" t="n">
        <x:v>24</x:v>
      </x:c>
      <x:c r="U2707" t="str">
        <x:v>OK</x:v>
      </x:c>
      <x:c r="V2707" t="str">
        <x:v>OK</x:v>
      </x:c>
      <x:c r="W2707" t="str">
        <x:v>LOAD</x:v>
      </x:c>
      <x:c r="X2707" t="str">
        <x:v>02_Supervisor_Log(4).xlsx</x:v>
      </x:c>
      <x:c r="Y2707" t="str">
        <x:v>ENH-20260830-01</x:v>
      </x:c>
      <x:c r="Z2707" t="str">
        <x:v>Active</x:v>
      </x:c>
      <x:c r="AA2707"/>
      <x:c r="AB2707"/>
      <x:c r="AC2707"/>
      <x:c r="AD2707"/>
    </x:row>
    <x:row r="2708">
      <x:c r="A2708" t="str">
        <x:v>PCC-PE-KG01-L25-20251026-PM-ORD-2025-00162-S05-C1</x:v>
      </x:c>
      <x:c r="B2708" t="str">
        <x:v>PC-PE-KG01-L25-20251026-PM-ORD-2025-00162-S05</x:v>
      </x:c>
      <x:c r="C2708" t="str">
        <x:v>PE-KG01-L25-20251026-PM-ORD-2025-00162</x:v>
      </x:c>
      <x:c r="D2708" t="str">
        <x:v>KG01</x:v>
      </x:c>
      <x:c r="E2708" s="62" t="n">
        <x:v>45956</x:v>
      </x:c>
      <x:c r="F2708" t="str">
        <x:v>PM</x:v>
      </x:c>
      <x:c r="G2708" t="str">
        <x:v>A</x:v>
      </x:c>
      <x:c r="H2708" t="n">
        <x:v>25</x:v>
      </x:c>
      <x:c r="I2708" t="str">
        <x:v>ORD-2025-00162</x:v>
      </x:c>
      <x:c r="J2708" t="n">
        <x:v>5</x:v>
      </x:c>
      <x:c r="K2708" t="n">
        <x:v>1</x:v>
      </x:c>
      <x:c r="L2708" t="str">
        <x:v>L25-S05-C1</x:v>
      </x:c>
      <x:c r="M2708" t="n">
        <x:v>1</x:v>
      </x:c>
      <x:c r="N2708" t="str">
        <x:v>DerivedFromCount</x:v>
      </x:c>
      <x:c r="O2708" t="str">
        <x:v>PLC-PRD-JAR-330-L25</x:v>
      </x:c>
      <x:c r="P2708" t="str">
        <x:v>OK</x:v>
      </x:c>
      <x:c r="Q2708" t="str">
        <x:v>OK</x:v>
      </x:c>
      <x:c r="R2708" t="str">
        <x:v>OK</x:v>
      </x:c>
      <x:c r="S2708" t="str">
        <x:v>OK</x:v>
      </x:c>
      <x:c r="T2708" t="n">
        <x:v>24</x:v>
      </x:c>
      <x:c r="U2708" t="str">
        <x:v>OK</x:v>
      </x:c>
      <x:c r="V2708" t="str">
        <x:v>OK</x:v>
      </x:c>
      <x:c r="W2708" t="str">
        <x:v>LOAD</x:v>
      </x:c>
      <x:c r="X2708" t="str">
        <x:v>02_Supervisor_Log(4).xlsx</x:v>
      </x:c>
      <x:c r="Y2708" t="str">
        <x:v>ENH-20260830-01</x:v>
      </x:c>
      <x:c r="Z2708" t="str">
        <x:v>Active</x:v>
      </x:c>
      <x:c r="AA2708"/>
      <x:c r="AB2708"/>
      <x:c r="AC2708"/>
      <x:c r="AD2708"/>
    </x:row>
    <x:row r="2709">
      <x:c r="A2709" t="str">
        <x:v>PCC-PE-KG01-L25-20251026-PM-ORD-2025-00162-S05-C2</x:v>
      </x:c>
      <x:c r="B2709" t="str">
        <x:v>PC-PE-KG01-L25-20251026-PM-ORD-2025-00162-S05</x:v>
      </x:c>
      <x:c r="C2709" t="str">
        <x:v>PE-KG01-L25-20251026-PM-ORD-2025-00162</x:v>
      </x:c>
      <x:c r="D2709" t="str">
        <x:v>KG01</x:v>
      </x:c>
      <x:c r="E2709" s="62" t="n">
        <x:v>45956</x:v>
      </x:c>
      <x:c r="F2709" t="str">
        <x:v>PM</x:v>
      </x:c>
      <x:c r="G2709" t="str">
        <x:v>A</x:v>
      </x:c>
      <x:c r="H2709" t="n">
        <x:v>25</x:v>
      </x:c>
      <x:c r="I2709" t="str">
        <x:v>ORD-2025-00162</x:v>
      </x:c>
      <x:c r="J2709" t="n">
        <x:v>5</x:v>
      </x:c>
      <x:c r="K2709" t="n">
        <x:v>2</x:v>
      </x:c>
      <x:c r="L2709" t="str">
        <x:v>L25-S05-C2</x:v>
      </x:c>
      <x:c r="M2709" t="n">
        <x:v>1</x:v>
      </x:c>
      <x:c r="N2709" t="str">
        <x:v>DerivedFromCount</x:v>
      </x:c>
      <x:c r="O2709" t="str">
        <x:v>PLC-PRD-JAR-330-L25</x:v>
      </x:c>
      <x:c r="P2709" t="str">
        <x:v>OK</x:v>
      </x:c>
      <x:c r="Q2709" t="str">
        <x:v>OK</x:v>
      </x:c>
      <x:c r="R2709" t="str">
        <x:v>OK</x:v>
      </x:c>
      <x:c r="S2709" t="str">
        <x:v>OK</x:v>
      </x:c>
      <x:c r="T2709" t="n">
        <x:v>24</x:v>
      </x:c>
      <x:c r="U2709" t="str">
        <x:v>OK</x:v>
      </x:c>
      <x:c r="V2709" t="str">
        <x:v>OK</x:v>
      </x:c>
      <x:c r="W2709" t="str">
        <x:v>LOAD</x:v>
      </x:c>
      <x:c r="X2709" t="str">
        <x:v>02_Supervisor_Log(4).xlsx</x:v>
      </x:c>
      <x:c r="Y2709" t="str">
        <x:v>ENH-20260830-01</x:v>
      </x:c>
      <x:c r="Z2709" t="str">
        <x:v>Active</x:v>
      </x:c>
      <x:c r="AA2709"/>
      <x:c r="AB2709"/>
      <x:c r="AC2709"/>
      <x:c r="AD2709"/>
    </x:row>
    <x:row r="2710">
      <x:c r="A2710" t="str">
        <x:v>PCC-PE-KG01-L25-20251026-PM-ORD-2025-00162-S05-C3</x:v>
      </x:c>
      <x:c r="B2710" t="str">
        <x:v>PC-PE-KG01-L25-20251026-PM-ORD-2025-00162-S05</x:v>
      </x:c>
      <x:c r="C2710" t="str">
        <x:v>PE-KG01-L25-20251026-PM-ORD-2025-00162</x:v>
      </x:c>
      <x:c r="D2710" t="str">
        <x:v>KG01</x:v>
      </x:c>
      <x:c r="E2710" s="62" t="n">
        <x:v>45956</x:v>
      </x:c>
      <x:c r="F2710" t="str">
        <x:v>PM</x:v>
      </x:c>
      <x:c r="G2710" t="str">
        <x:v>A</x:v>
      </x:c>
      <x:c r="H2710" t="n">
        <x:v>25</x:v>
      </x:c>
      <x:c r="I2710" t="str">
        <x:v>ORD-2025-00162</x:v>
      </x:c>
      <x:c r="J2710" t="n">
        <x:v>5</x:v>
      </x:c>
      <x:c r="K2710" t="n">
        <x:v>3</x:v>
      </x:c>
      <x:c r="L2710" t="str">
        <x:v>L25-S05-C3</x:v>
      </x:c>
      <x:c r="M2710" t="n">
        <x:v>1</x:v>
      </x:c>
      <x:c r="N2710" t="str">
        <x:v>DerivedFromCount</x:v>
      </x:c>
      <x:c r="O2710" t="str">
        <x:v>PLC-PRD-JAR-330-L25</x:v>
      </x:c>
      <x:c r="P2710" t="str">
        <x:v>OK</x:v>
      </x:c>
      <x:c r="Q2710" t="str">
        <x:v>OK</x:v>
      </x:c>
      <x:c r="R2710" t="str">
        <x:v>OK</x:v>
      </x:c>
      <x:c r="S2710" t="str">
        <x:v>OK</x:v>
      </x:c>
      <x:c r="T2710" t="n">
        <x:v>24</x:v>
      </x:c>
      <x:c r="U2710" t="str">
        <x:v>OK</x:v>
      </x:c>
      <x:c r="V2710" t="str">
        <x:v>OK</x:v>
      </x:c>
      <x:c r="W2710" t="str">
        <x:v>LOAD</x:v>
      </x:c>
      <x:c r="X2710" t="str">
        <x:v>02_Supervisor_Log(4).xlsx</x:v>
      </x:c>
      <x:c r="Y2710" t="str">
        <x:v>ENH-20260830-01</x:v>
      </x:c>
      <x:c r="Z2710" t="str">
        <x:v>Active</x:v>
      </x:c>
      <x:c r="AA2710"/>
      <x:c r="AB2710"/>
      <x:c r="AC2710"/>
      <x:c r="AD2710"/>
    </x:row>
    <x:row r="2711">
      <x:c r="A2711" t="str">
        <x:v>PCC-PE-KG01-L25-20251026-PM-ORD-2025-00162-S06-C1</x:v>
      </x:c>
      <x:c r="B2711" t="str">
        <x:v>PC-PE-KG01-L25-20251026-PM-ORD-2025-00162-S06</x:v>
      </x:c>
      <x:c r="C2711" t="str">
        <x:v>PE-KG01-L25-20251026-PM-ORD-2025-00162</x:v>
      </x:c>
      <x:c r="D2711" t="str">
        <x:v>KG01</x:v>
      </x:c>
      <x:c r="E2711" s="62" t="n">
        <x:v>45956</x:v>
      </x:c>
      <x:c r="F2711" t="str">
        <x:v>PM</x:v>
      </x:c>
      <x:c r="G2711" t="str">
        <x:v>A</x:v>
      </x:c>
      <x:c r="H2711" t="n">
        <x:v>25</x:v>
      </x:c>
      <x:c r="I2711" t="str">
        <x:v>ORD-2025-00162</x:v>
      </x:c>
      <x:c r="J2711" t="n">
        <x:v>6</x:v>
      </x:c>
      <x:c r="K2711" t="n">
        <x:v>1</x:v>
      </x:c>
      <x:c r="L2711" t="str">
        <x:v>L25-S06-C1</x:v>
      </x:c>
      <x:c r="M2711" t="n">
        <x:v>1</x:v>
      </x:c>
      <x:c r="N2711" t="str">
        <x:v>DerivedFromCount</x:v>
      </x:c>
      <x:c r="O2711" t="str">
        <x:v>PLC-PRD-JAR-330-L25</x:v>
      </x:c>
      <x:c r="P2711" t="str">
        <x:v>OK</x:v>
      </x:c>
      <x:c r="Q2711" t="str">
        <x:v>OK</x:v>
      </x:c>
      <x:c r="R2711" t="str">
        <x:v>OK</x:v>
      </x:c>
      <x:c r="S2711" t="str">
        <x:v>OK</x:v>
      </x:c>
      <x:c r="T2711" t="n">
        <x:v>24</x:v>
      </x:c>
      <x:c r="U2711" t="str">
        <x:v>OK</x:v>
      </x:c>
      <x:c r="V2711" t="str">
        <x:v>OK</x:v>
      </x:c>
      <x:c r="W2711" t="str">
        <x:v>LOAD</x:v>
      </x:c>
      <x:c r="X2711" t="str">
        <x:v>02_Supervisor_Log(4).xlsx</x:v>
      </x:c>
      <x:c r="Y2711" t="str">
        <x:v>ENH-20260830-01</x:v>
      </x:c>
      <x:c r="Z2711" t="str">
        <x:v>Active</x:v>
      </x:c>
      <x:c r="AA2711"/>
      <x:c r="AB2711"/>
      <x:c r="AC2711"/>
      <x:c r="AD2711"/>
    </x:row>
    <x:row r="2712">
      <x:c r="A2712" t="str">
        <x:v>PCC-PE-KG01-L25-20251026-PM-ORD-2025-00162-S06-C2</x:v>
      </x:c>
      <x:c r="B2712" t="str">
        <x:v>PC-PE-KG01-L25-20251026-PM-ORD-2025-00162-S06</x:v>
      </x:c>
      <x:c r="C2712" t="str">
        <x:v>PE-KG01-L25-20251026-PM-ORD-2025-00162</x:v>
      </x:c>
      <x:c r="D2712" t="str">
        <x:v>KG01</x:v>
      </x:c>
      <x:c r="E2712" s="62" t="n">
        <x:v>45956</x:v>
      </x:c>
      <x:c r="F2712" t="str">
        <x:v>PM</x:v>
      </x:c>
      <x:c r="G2712" t="str">
        <x:v>A</x:v>
      </x:c>
      <x:c r="H2712" t="n">
        <x:v>25</x:v>
      </x:c>
      <x:c r="I2712" t="str">
        <x:v>ORD-2025-00162</x:v>
      </x:c>
      <x:c r="J2712" t="n">
        <x:v>6</x:v>
      </x:c>
      <x:c r="K2712" t="n">
        <x:v>2</x:v>
      </x:c>
      <x:c r="L2712" t="str">
        <x:v>L25-S06-C2</x:v>
      </x:c>
      <x:c r="M2712" t="n">
        <x:v>1</x:v>
      </x:c>
      <x:c r="N2712" t="str">
        <x:v>DerivedFromCount</x:v>
      </x:c>
      <x:c r="O2712" t="str">
        <x:v>PLC-PRD-JAR-330-L25</x:v>
      </x:c>
      <x:c r="P2712" t="str">
        <x:v>OK</x:v>
      </x:c>
      <x:c r="Q2712" t="str">
        <x:v>OK</x:v>
      </x:c>
      <x:c r="R2712" t="str">
        <x:v>OK</x:v>
      </x:c>
      <x:c r="S2712" t="str">
        <x:v>OK</x:v>
      </x:c>
      <x:c r="T2712" t="n">
        <x:v>24</x:v>
      </x:c>
      <x:c r="U2712" t="str">
        <x:v>OK</x:v>
      </x:c>
      <x:c r="V2712" t="str">
        <x:v>OK</x:v>
      </x:c>
      <x:c r="W2712" t="str">
        <x:v>LOAD</x:v>
      </x:c>
      <x:c r="X2712" t="str">
        <x:v>02_Supervisor_Log(4).xlsx</x:v>
      </x:c>
      <x:c r="Y2712" t="str">
        <x:v>ENH-20260830-01</x:v>
      </x:c>
      <x:c r="Z2712" t="str">
        <x:v>Active</x:v>
      </x:c>
      <x:c r="AA2712"/>
      <x:c r="AB2712"/>
      <x:c r="AC2712"/>
      <x:c r="AD2712"/>
    </x:row>
    <x:row r="2713">
      <x:c r="A2713" t="str">
        <x:v>PCC-PE-KG01-L25-20251026-PM-ORD-2025-00162-S06-C3</x:v>
      </x:c>
      <x:c r="B2713" t="str">
        <x:v>PC-PE-KG01-L25-20251026-PM-ORD-2025-00162-S06</x:v>
      </x:c>
      <x:c r="C2713" t="str">
        <x:v>PE-KG01-L25-20251026-PM-ORD-2025-00162</x:v>
      </x:c>
      <x:c r="D2713" t="str">
        <x:v>KG01</x:v>
      </x:c>
      <x:c r="E2713" s="62" t="n">
        <x:v>45956</x:v>
      </x:c>
      <x:c r="F2713" t="str">
        <x:v>PM</x:v>
      </x:c>
      <x:c r="G2713" t="str">
        <x:v>A</x:v>
      </x:c>
      <x:c r="H2713" t="n">
        <x:v>25</x:v>
      </x:c>
      <x:c r="I2713" t="str">
        <x:v>ORD-2025-00162</x:v>
      </x:c>
      <x:c r="J2713" t="n">
        <x:v>6</x:v>
      </x:c>
      <x:c r="K2713" t="n">
        <x:v>3</x:v>
      </x:c>
      <x:c r="L2713" t="str">
        <x:v>L25-S06-C3</x:v>
      </x:c>
      <x:c r="M2713" t="n">
        <x:v>1</x:v>
      </x:c>
      <x:c r="N2713" t="str">
        <x:v>DerivedFromCount</x:v>
      </x:c>
      <x:c r="O2713" t="str">
        <x:v>PLC-PRD-JAR-330-L25</x:v>
      </x:c>
      <x:c r="P2713" t="str">
        <x:v>OK</x:v>
      </x:c>
      <x:c r="Q2713" t="str">
        <x:v>OK</x:v>
      </x:c>
      <x:c r="R2713" t="str">
        <x:v>OK</x:v>
      </x:c>
      <x:c r="S2713" t="str">
        <x:v>OK</x:v>
      </x:c>
      <x:c r="T2713" t="n">
        <x:v>24</x:v>
      </x:c>
      <x:c r="U2713" t="str">
        <x:v>OK</x:v>
      </x:c>
      <x:c r="V2713" t="str">
        <x:v>OK</x:v>
      </x:c>
      <x:c r="W2713" t="str">
        <x:v>LOAD</x:v>
      </x:c>
      <x:c r="X2713" t="str">
        <x:v>02_Supervisor_Log(4).xlsx</x:v>
      </x:c>
      <x:c r="Y2713" t="str">
        <x:v>ENH-20260830-01</x:v>
      </x:c>
      <x:c r="Z2713" t="str">
        <x:v>Active</x:v>
      </x:c>
      <x:c r="AA2713"/>
      <x:c r="AB2713"/>
      <x:c r="AC2713"/>
      <x:c r="AD2713"/>
    </x:row>
    <x:row r="2714">
      <x:c r="A2714" t="str">
        <x:v>PCC-PE-KG01-L25-20251026-PM-ORD-2025-00162-S07-C1</x:v>
      </x:c>
      <x:c r="B2714" t="str">
        <x:v>PC-PE-KG01-L25-20251026-PM-ORD-2025-00162-S07</x:v>
      </x:c>
      <x:c r="C2714" t="str">
        <x:v>PE-KG01-L25-20251026-PM-ORD-2025-00162</x:v>
      </x:c>
      <x:c r="D2714" t="str">
        <x:v>KG01</x:v>
      </x:c>
      <x:c r="E2714" s="62" t="n">
        <x:v>45956</x:v>
      </x:c>
      <x:c r="F2714" t="str">
        <x:v>PM</x:v>
      </x:c>
      <x:c r="G2714" t="str">
        <x:v>A</x:v>
      </x:c>
      <x:c r="H2714" t="n">
        <x:v>25</x:v>
      </x:c>
      <x:c r="I2714" t="str">
        <x:v>ORD-2025-00162</x:v>
      </x:c>
      <x:c r="J2714" t="n">
        <x:v>7</x:v>
      </x:c>
      <x:c r="K2714" t="n">
        <x:v>1</x:v>
      </x:c>
      <x:c r="L2714" t="str">
        <x:v>L25-S07-C1</x:v>
      </x:c>
      <x:c r="M2714" t="n">
        <x:v>1</x:v>
      </x:c>
      <x:c r="N2714" t="str">
        <x:v>DerivedFromCount</x:v>
      </x:c>
      <x:c r="O2714" t="str">
        <x:v>PLC-PRD-JAR-330-L25</x:v>
      </x:c>
      <x:c r="P2714" t="str">
        <x:v>OK</x:v>
      </x:c>
      <x:c r="Q2714" t="str">
        <x:v>OK</x:v>
      </x:c>
      <x:c r="R2714" t="str">
        <x:v>OK</x:v>
      </x:c>
      <x:c r="S2714" t="str">
        <x:v>OK</x:v>
      </x:c>
      <x:c r="T2714" t="n">
        <x:v>24</x:v>
      </x:c>
      <x:c r="U2714" t="str">
        <x:v>OK</x:v>
      </x:c>
      <x:c r="V2714" t="str">
        <x:v>OK</x:v>
      </x:c>
      <x:c r="W2714" t="str">
        <x:v>LOAD</x:v>
      </x:c>
      <x:c r="X2714" t="str">
        <x:v>02_Supervisor_Log(4).xlsx</x:v>
      </x:c>
      <x:c r="Y2714" t="str">
        <x:v>ENH-20260830-01</x:v>
      </x:c>
      <x:c r="Z2714" t="str">
        <x:v>Active</x:v>
      </x:c>
      <x:c r="AA2714"/>
      <x:c r="AB2714"/>
      <x:c r="AC2714"/>
      <x:c r="AD2714"/>
    </x:row>
    <x:row r="2715">
      <x:c r="A2715" t="str">
        <x:v>PCC-PE-KG01-L25-20251026-PM-ORD-2025-00162-S07-C2</x:v>
      </x:c>
      <x:c r="B2715" t="str">
        <x:v>PC-PE-KG01-L25-20251026-PM-ORD-2025-00162-S07</x:v>
      </x:c>
      <x:c r="C2715" t="str">
        <x:v>PE-KG01-L25-20251026-PM-ORD-2025-00162</x:v>
      </x:c>
      <x:c r="D2715" t="str">
        <x:v>KG01</x:v>
      </x:c>
      <x:c r="E2715" s="62" t="n">
        <x:v>45956</x:v>
      </x:c>
      <x:c r="F2715" t="str">
        <x:v>PM</x:v>
      </x:c>
      <x:c r="G2715" t="str">
        <x:v>A</x:v>
      </x:c>
      <x:c r="H2715" t="n">
        <x:v>25</x:v>
      </x:c>
      <x:c r="I2715" t="str">
        <x:v>ORD-2025-00162</x:v>
      </x:c>
      <x:c r="J2715" t="n">
        <x:v>7</x:v>
      </x:c>
      <x:c r="K2715" t="n">
        <x:v>2</x:v>
      </x:c>
      <x:c r="L2715" t="str">
        <x:v>L25-S07-C2</x:v>
      </x:c>
      <x:c r="M2715" t="n">
        <x:v>1</x:v>
      </x:c>
      <x:c r="N2715" t="str">
        <x:v>DerivedFromCount</x:v>
      </x:c>
      <x:c r="O2715" t="str">
        <x:v>PLC-PRD-JAR-330-L25</x:v>
      </x:c>
      <x:c r="P2715" t="str">
        <x:v>OK</x:v>
      </x:c>
      <x:c r="Q2715" t="str">
        <x:v>OK</x:v>
      </x:c>
      <x:c r="R2715" t="str">
        <x:v>OK</x:v>
      </x:c>
      <x:c r="S2715" t="str">
        <x:v>OK</x:v>
      </x:c>
      <x:c r="T2715" t="n">
        <x:v>24</x:v>
      </x:c>
      <x:c r="U2715" t="str">
        <x:v>OK</x:v>
      </x:c>
      <x:c r="V2715" t="str">
        <x:v>OK</x:v>
      </x:c>
      <x:c r="W2715" t="str">
        <x:v>LOAD</x:v>
      </x:c>
      <x:c r="X2715" t="str">
        <x:v>02_Supervisor_Log(4).xlsx</x:v>
      </x:c>
      <x:c r="Y2715" t="str">
        <x:v>ENH-20260830-01</x:v>
      </x:c>
      <x:c r="Z2715" t="str">
        <x:v>Active</x:v>
      </x:c>
      <x:c r="AA2715"/>
      <x:c r="AB2715"/>
      <x:c r="AC2715"/>
      <x:c r="AD2715"/>
    </x:row>
    <x:row r="2716">
      <x:c r="A2716" t="str">
        <x:v>PCC-PE-KG01-L25-20251026-PM-ORD-2025-00162-S07-C3</x:v>
      </x:c>
      <x:c r="B2716" t="str">
        <x:v>PC-PE-KG01-L25-20251026-PM-ORD-2025-00162-S07</x:v>
      </x:c>
      <x:c r="C2716" t="str">
        <x:v>PE-KG01-L25-20251026-PM-ORD-2025-00162</x:v>
      </x:c>
      <x:c r="D2716" t="str">
        <x:v>KG01</x:v>
      </x:c>
      <x:c r="E2716" s="62" t="n">
        <x:v>45956</x:v>
      </x:c>
      <x:c r="F2716" t="str">
        <x:v>PM</x:v>
      </x:c>
      <x:c r="G2716" t="str">
        <x:v>A</x:v>
      </x:c>
      <x:c r="H2716" t="n">
        <x:v>25</x:v>
      </x:c>
      <x:c r="I2716" t="str">
        <x:v>ORD-2025-00162</x:v>
      </x:c>
      <x:c r="J2716" t="n">
        <x:v>7</x:v>
      </x:c>
      <x:c r="K2716" t="n">
        <x:v>3</x:v>
      </x:c>
      <x:c r="L2716" t="str">
        <x:v>L25-S07-C3</x:v>
      </x:c>
      <x:c r="M2716" t="n">
        <x:v>1</x:v>
      </x:c>
      <x:c r="N2716" t="str">
        <x:v>DerivedFromCount</x:v>
      </x:c>
      <x:c r="O2716" t="str">
        <x:v>PLC-PRD-JAR-330-L25</x:v>
      </x:c>
      <x:c r="P2716" t="str">
        <x:v>OK</x:v>
      </x:c>
      <x:c r="Q2716" t="str">
        <x:v>OK</x:v>
      </x:c>
      <x:c r="R2716" t="str">
        <x:v>OK</x:v>
      </x:c>
      <x:c r="S2716" t="str">
        <x:v>OK</x:v>
      </x:c>
      <x:c r="T2716" t="n">
        <x:v>24</x:v>
      </x:c>
      <x:c r="U2716" t="str">
        <x:v>OK</x:v>
      </x:c>
      <x:c r="V2716" t="str">
        <x:v>OK</x:v>
      </x:c>
      <x:c r="W2716" t="str">
        <x:v>LOAD</x:v>
      </x:c>
      <x:c r="X2716" t="str">
        <x:v>02_Supervisor_Log(4).xlsx</x:v>
      </x:c>
      <x:c r="Y2716" t="str">
        <x:v>ENH-20260830-01</x:v>
      </x:c>
      <x:c r="Z2716" t="str">
        <x:v>Active</x:v>
      </x:c>
      <x:c r="AA2716"/>
      <x:c r="AB2716"/>
      <x:c r="AC2716"/>
      <x:c r="AD2716"/>
    </x:row>
    <x:row r="2717">
      <x:c r="A2717" t="str">
        <x:v>PCC-PE-KG01-L25-20251026-PM-ORD-2025-00162-S08-C1</x:v>
      </x:c>
      <x:c r="B2717" t="str">
        <x:v>PC-PE-KG01-L25-20251026-PM-ORD-2025-00162-S08</x:v>
      </x:c>
      <x:c r="C2717" t="str">
        <x:v>PE-KG01-L25-20251026-PM-ORD-2025-00162</x:v>
      </x:c>
      <x:c r="D2717" t="str">
        <x:v>KG01</x:v>
      </x:c>
      <x:c r="E2717" s="62" t="n">
        <x:v>45956</x:v>
      </x:c>
      <x:c r="F2717" t="str">
        <x:v>PM</x:v>
      </x:c>
      <x:c r="G2717" t="str">
        <x:v>A</x:v>
      </x:c>
      <x:c r="H2717" t="n">
        <x:v>25</x:v>
      </x:c>
      <x:c r="I2717" t="str">
        <x:v>ORD-2025-00162</x:v>
      </x:c>
      <x:c r="J2717" t="n">
        <x:v>8</x:v>
      </x:c>
      <x:c r="K2717" t="n">
        <x:v>1</x:v>
      </x:c>
      <x:c r="L2717" t="str">
        <x:v>L25-S08-C1</x:v>
      </x:c>
      <x:c r="M2717" t="n">
        <x:v>1</x:v>
      </x:c>
      <x:c r="N2717" t="str">
        <x:v>DerivedFromCount</x:v>
      </x:c>
      <x:c r="O2717" t="str">
        <x:v>PLC-PRD-JAR-330-L25</x:v>
      </x:c>
      <x:c r="P2717" t="str">
        <x:v>OK</x:v>
      </x:c>
      <x:c r="Q2717" t="str">
        <x:v>OK</x:v>
      </x:c>
      <x:c r="R2717" t="str">
        <x:v>OK</x:v>
      </x:c>
      <x:c r="S2717" t="str">
        <x:v>OK</x:v>
      </x:c>
      <x:c r="T2717" t="n">
        <x:v>24</x:v>
      </x:c>
      <x:c r="U2717" t="str">
        <x:v>OK</x:v>
      </x:c>
      <x:c r="V2717" t="str">
        <x:v>OK</x:v>
      </x:c>
      <x:c r="W2717" t="str">
        <x:v>LOAD</x:v>
      </x:c>
      <x:c r="X2717" t="str">
        <x:v>02_Supervisor_Log(4).xlsx</x:v>
      </x:c>
      <x:c r="Y2717" t="str">
        <x:v>ENH-20260830-01</x:v>
      </x:c>
      <x:c r="Z2717" t="str">
        <x:v>Active</x:v>
      </x:c>
      <x:c r="AA2717"/>
      <x:c r="AB2717"/>
      <x:c r="AC2717"/>
      <x:c r="AD2717"/>
    </x:row>
    <x:row r="2718">
      <x:c r="A2718" t="str">
        <x:v>PCC-PE-KG01-L25-20251026-PM-ORD-2025-00162-S08-C2</x:v>
      </x:c>
      <x:c r="B2718" t="str">
        <x:v>PC-PE-KG01-L25-20251026-PM-ORD-2025-00162-S08</x:v>
      </x:c>
      <x:c r="C2718" t="str">
        <x:v>PE-KG01-L25-20251026-PM-ORD-2025-00162</x:v>
      </x:c>
      <x:c r="D2718" t="str">
        <x:v>KG01</x:v>
      </x:c>
      <x:c r="E2718" s="62" t="n">
        <x:v>45956</x:v>
      </x:c>
      <x:c r="F2718" t="str">
        <x:v>PM</x:v>
      </x:c>
      <x:c r="G2718" t="str">
        <x:v>A</x:v>
      </x:c>
      <x:c r="H2718" t="n">
        <x:v>25</x:v>
      </x:c>
      <x:c r="I2718" t="str">
        <x:v>ORD-2025-00162</x:v>
      </x:c>
      <x:c r="J2718" t="n">
        <x:v>8</x:v>
      </x:c>
      <x:c r="K2718" t="n">
        <x:v>2</x:v>
      </x:c>
      <x:c r="L2718" t="str">
        <x:v>L25-S08-C2</x:v>
      </x:c>
      <x:c r="M2718" t="n">
        <x:v>1</x:v>
      </x:c>
      <x:c r="N2718" t="str">
        <x:v>DerivedFromCount</x:v>
      </x:c>
      <x:c r="O2718" t="str">
        <x:v>PLC-PRD-JAR-330-L25</x:v>
      </x:c>
      <x:c r="P2718" t="str">
        <x:v>OK</x:v>
      </x:c>
      <x:c r="Q2718" t="str">
        <x:v>OK</x:v>
      </x:c>
      <x:c r="R2718" t="str">
        <x:v>OK</x:v>
      </x:c>
      <x:c r="S2718" t="str">
        <x:v>OK</x:v>
      </x:c>
      <x:c r="T2718" t="n">
        <x:v>24</x:v>
      </x:c>
      <x:c r="U2718" t="str">
        <x:v>OK</x:v>
      </x:c>
      <x:c r="V2718" t="str">
        <x:v>OK</x:v>
      </x:c>
      <x:c r="W2718" t="str">
        <x:v>LOAD</x:v>
      </x:c>
      <x:c r="X2718" t="str">
        <x:v>02_Supervisor_Log(4).xlsx</x:v>
      </x:c>
      <x:c r="Y2718" t="str">
        <x:v>ENH-20260830-01</x:v>
      </x:c>
      <x:c r="Z2718" t="str">
        <x:v>Active</x:v>
      </x:c>
      <x:c r="AA2718"/>
      <x:c r="AB2718"/>
      <x:c r="AC2718"/>
      <x:c r="AD2718"/>
    </x:row>
    <x:row r="2719">
      <x:c r="A2719" t="str">
        <x:v>PCC-PE-KG01-L25-20251026-PM-ORD-2025-00162-S08-C3</x:v>
      </x:c>
      <x:c r="B2719" t="str">
        <x:v>PC-PE-KG01-L25-20251026-PM-ORD-2025-00162-S08</x:v>
      </x:c>
      <x:c r="C2719" t="str">
        <x:v>PE-KG01-L25-20251026-PM-ORD-2025-00162</x:v>
      </x:c>
      <x:c r="D2719" t="str">
        <x:v>KG01</x:v>
      </x:c>
      <x:c r="E2719" s="62" t="n">
        <x:v>45956</x:v>
      </x:c>
      <x:c r="F2719" t="str">
        <x:v>PM</x:v>
      </x:c>
      <x:c r="G2719" t="str">
        <x:v>A</x:v>
      </x:c>
      <x:c r="H2719" t="n">
        <x:v>25</x:v>
      </x:c>
      <x:c r="I2719" t="str">
        <x:v>ORD-2025-00162</x:v>
      </x:c>
      <x:c r="J2719" t="n">
        <x:v>8</x:v>
      </x:c>
      <x:c r="K2719" t="n">
        <x:v>3</x:v>
      </x:c>
      <x:c r="L2719" t="str">
        <x:v>L25-S08-C3</x:v>
      </x:c>
      <x:c r="M2719" t="n">
        <x:v>1</x:v>
      </x:c>
      <x:c r="N2719" t="str">
        <x:v>DerivedFromCount</x:v>
      </x:c>
      <x:c r="O2719" t="str">
        <x:v>PLC-PRD-JAR-330-L25</x:v>
      </x:c>
      <x:c r="P2719" t="str">
        <x:v>OK</x:v>
      </x:c>
      <x:c r="Q2719" t="str">
        <x:v>OK</x:v>
      </x:c>
      <x:c r="R2719" t="str">
        <x:v>OK</x:v>
      </x:c>
      <x:c r="S2719" t="str">
        <x:v>OK</x:v>
      </x:c>
      <x:c r="T2719" t="n">
        <x:v>24</x:v>
      </x:c>
      <x:c r="U2719" t="str">
        <x:v>OK</x:v>
      </x:c>
      <x:c r="V2719" t="str">
        <x:v>OK</x:v>
      </x:c>
      <x:c r="W2719" t="str">
        <x:v>LOAD</x:v>
      </x:c>
      <x:c r="X2719" t="str">
        <x:v>02_Supervisor_Log(4).xlsx</x:v>
      </x:c>
      <x:c r="Y2719" t="str">
        <x:v>ENH-20260830-01</x:v>
      </x:c>
      <x:c r="Z2719" t="str">
        <x:v>Active</x:v>
      </x:c>
      <x:c r="AA2719"/>
      <x:c r="AB2719"/>
      <x:c r="AC2719"/>
      <x:c r="AD2719"/>
    </x:row>
    <x:row r="2720">
      <x:c r="A2720" t="str">
        <x:v>PCC-PE-KG01-L25-20251026-PM-ORD-2025-00162-S09-C1</x:v>
      </x:c>
      <x:c r="B2720" t="str">
        <x:v>PC-PE-KG01-L25-20251026-PM-ORD-2025-00162-S09</x:v>
      </x:c>
      <x:c r="C2720" t="str">
        <x:v>PE-KG01-L25-20251026-PM-ORD-2025-00162</x:v>
      </x:c>
      <x:c r="D2720" t="str">
        <x:v>KG01</x:v>
      </x:c>
      <x:c r="E2720" s="62" t="n">
        <x:v>45956</x:v>
      </x:c>
      <x:c r="F2720" t="str">
        <x:v>PM</x:v>
      </x:c>
      <x:c r="G2720" t="str">
        <x:v>A</x:v>
      </x:c>
      <x:c r="H2720" t="n">
        <x:v>25</x:v>
      </x:c>
      <x:c r="I2720" t="str">
        <x:v>ORD-2025-00162</x:v>
      </x:c>
      <x:c r="J2720" t="n">
        <x:v>9</x:v>
      </x:c>
      <x:c r="K2720" t="n">
        <x:v>1</x:v>
      </x:c>
      <x:c r="L2720" t="str">
        <x:v>L25-S09-C1</x:v>
      </x:c>
      <x:c r="M2720" t="n">
        <x:v>0</x:v>
      </x:c>
      <x:c r="N2720" t="str">
        <x:v>DerivedFromCount</x:v>
      </x:c>
      <x:c r="O2720" t="str">
        <x:v>PLC-PRD-JAR-330-L25</x:v>
      </x:c>
      <x:c r="P2720" t="str">
        <x:v>OK</x:v>
      </x:c>
      <x:c r="Q2720" t="str">
        <x:v>OK</x:v>
      </x:c>
      <x:c r="R2720" t="str">
        <x:v>OK</x:v>
      </x:c>
      <x:c r="S2720" t="str">
        <x:v>OK</x:v>
      </x:c>
      <x:c r="T2720" t="n">
        <x:v>24</x:v>
      </x:c>
      <x:c r="U2720" t="str">
        <x:v>OK</x:v>
      </x:c>
      <x:c r="V2720" t="str">
        <x:v>OK</x:v>
      </x:c>
      <x:c r="W2720" t="str">
        <x:v>LOAD</x:v>
      </x:c>
      <x:c r="X2720" t="str">
        <x:v>02_Supervisor_Log(4).xlsx</x:v>
      </x:c>
      <x:c r="Y2720" t="str">
        <x:v>ENH-20260830-01</x:v>
      </x:c>
      <x:c r="Z2720" t="str">
        <x:v>Active</x:v>
      </x:c>
      <x:c r="AA2720"/>
      <x:c r="AB2720"/>
      <x:c r="AC2720"/>
      <x:c r="AD2720"/>
    </x:row>
    <x:row r="2721">
      <x:c r="A2721" t="str">
        <x:v>PCC-PE-KG01-L25-20251026-PM-ORD-2025-00162-S09-C2</x:v>
      </x:c>
      <x:c r="B2721" t="str">
        <x:v>PC-PE-KG01-L25-20251026-PM-ORD-2025-00162-S09</x:v>
      </x:c>
      <x:c r="C2721" t="str">
        <x:v>PE-KG01-L25-20251026-PM-ORD-2025-00162</x:v>
      </x:c>
      <x:c r="D2721" t="str">
        <x:v>KG01</x:v>
      </x:c>
      <x:c r="E2721" s="62" t="n">
        <x:v>45956</x:v>
      </x:c>
      <x:c r="F2721" t="str">
        <x:v>PM</x:v>
      </x:c>
      <x:c r="G2721" t="str">
        <x:v>A</x:v>
      </x:c>
      <x:c r="H2721" t="n">
        <x:v>25</x:v>
      </x:c>
      <x:c r="I2721" t="str">
        <x:v>ORD-2025-00162</x:v>
      </x:c>
      <x:c r="J2721" t="n">
        <x:v>9</x:v>
      </x:c>
      <x:c r="K2721" t="n">
        <x:v>2</x:v>
      </x:c>
      <x:c r="L2721" t="str">
        <x:v>L25-S09-C2</x:v>
      </x:c>
      <x:c r="M2721" t="n">
        <x:v>0</x:v>
      </x:c>
      <x:c r="N2721" t="str">
        <x:v>DerivedFromCount</x:v>
      </x:c>
      <x:c r="O2721" t="str">
        <x:v>PLC-PRD-JAR-330-L25</x:v>
      </x:c>
      <x:c r="P2721" t="str">
        <x:v>OK</x:v>
      </x:c>
      <x:c r="Q2721" t="str">
        <x:v>OK</x:v>
      </x:c>
      <x:c r="R2721" t="str">
        <x:v>OK</x:v>
      </x:c>
      <x:c r="S2721" t="str">
        <x:v>OK</x:v>
      </x:c>
      <x:c r="T2721" t="n">
        <x:v>24</x:v>
      </x:c>
      <x:c r="U2721" t="str">
        <x:v>OK</x:v>
      </x:c>
      <x:c r="V2721" t="str">
        <x:v>OK</x:v>
      </x:c>
      <x:c r="W2721" t="str">
        <x:v>LOAD</x:v>
      </x:c>
      <x:c r="X2721" t="str">
        <x:v>02_Supervisor_Log(4).xlsx</x:v>
      </x:c>
      <x:c r="Y2721" t="str">
        <x:v>ENH-20260830-01</x:v>
      </x:c>
      <x:c r="Z2721" t="str">
        <x:v>Active</x:v>
      </x:c>
      <x:c r="AA2721"/>
      <x:c r="AB2721"/>
      <x:c r="AC2721"/>
      <x:c r="AD2721"/>
    </x:row>
    <x:row r="2722">
      <x:c r="A2722" t="str">
        <x:v>PCC-PE-KG01-L25-20251026-PM-ORD-2025-00162-S09-C3</x:v>
      </x:c>
      <x:c r="B2722" t="str">
        <x:v>PC-PE-KG01-L25-20251026-PM-ORD-2025-00162-S09</x:v>
      </x:c>
      <x:c r="C2722" t="str">
        <x:v>PE-KG01-L25-20251026-PM-ORD-2025-00162</x:v>
      </x:c>
      <x:c r="D2722" t="str">
        <x:v>KG01</x:v>
      </x:c>
      <x:c r="E2722" s="62" t="n">
        <x:v>45956</x:v>
      </x:c>
      <x:c r="F2722" t="str">
        <x:v>PM</x:v>
      </x:c>
      <x:c r="G2722" t="str">
        <x:v>A</x:v>
      </x:c>
      <x:c r="H2722" t="n">
        <x:v>25</x:v>
      </x:c>
      <x:c r="I2722" t="str">
        <x:v>ORD-2025-00162</x:v>
      </x:c>
      <x:c r="J2722" t="n">
        <x:v>9</x:v>
      </x:c>
      <x:c r="K2722" t="n">
        <x:v>3</x:v>
      </x:c>
      <x:c r="L2722" t="str">
        <x:v>L25-S09-C3</x:v>
      </x:c>
      <x:c r="M2722" t="n">
        <x:v>0</x:v>
      </x:c>
      <x:c r="N2722" t="str">
        <x:v>DerivedFromCount</x:v>
      </x:c>
      <x:c r="O2722" t="str">
        <x:v>PLC-PRD-JAR-330-L25</x:v>
      </x:c>
      <x:c r="P2722" t="str">
        <x:v>OK</x:v>
      </x:c>
      <x:c r="Q2722" t="str">
        <x:v>OK</x:v>
      </x:c>
      <x:c r="R2722" t="str">
        <x:v>OK</x:v>
      </x:c>
      <x:c r="S2722" t="str">
        <x:v>OK</x:v>
      </x:c>
      <x:c r="T2722" t="n">
        <x:v>24</x:v>
      </x:c>
      <x:c r="U2722" t="str">
        <x:v>OK</x:v>
      </x:c>
      <x:c r="V2722" t="str">
        <x:v>OK</x:v>
      </x:c>
      <x:c r="W2722" t="str">
        <x:v>LOAD</x:v>
      </x:c>
      <x:c r="X2722" t="str">
        <x:v>02_Supervisor_Log(4).xlsx</x:v>
      </x:c>
      <x:c r="Y2722" t="str">
        <x:v>ENH-20260830-01</x:v>
      </x:c>
      <x:c r="Z2722" t="str">
        <x:v>Active</x:v>
      </x:c>
      <x:c r="AA2722"/>
      <x:c r="AB2722"/>
      <x:c r="AC2722"/>
      <x:c r="AD2722"/>
    </x:row>
    <x:row r="2723">
      <x:c r="A2723" t="str">
        <x:v>PCC-PE-KG01-L25-20251026-PM-ORD-2025-00162-S10-C1</x:v>
      </x:c>
      <x:c r="B2723" t="str">
        <x:v>PC-PE-KG01-L25-20251026-PM-ORD-2025-00162-S10</x:v>
      </x:c>
      <x:c r="C2723" t="str">
        <x:v>PE-KG01-L25-20251026-PM-ORD-2025-00162</x:v>
      </x:c>
      <x:c r="D2723" t="str">
        <x:v>KG01</x:v>
      </x:c>
      <x:c r="E2723" s="62" t="n">
        <x:v>45956</x:v>
      </x:c>
      <x:c r="F2723" t="str">
        <x:v>PM</x:v>
      </x:c>
      <x:c r="G2723" t="str">
        <x:v>A</x:v>
      </x:c>
      <x:c r="H2723" t="n">
        <x:v>25</x:v>
      </x:c>
      <x:c r="I2723" t="str">
        <x:v>ORD-2025-00162</x:v>
      </x:c>
      <x:c r="J2723" t="n">
        <x:v>10</x:v>
      </x:c>
      <x:c r="K2723" t="n">
        <x:v>1</x:v>
      </x:c>
      <x:c r="L2723" t="str">
        <x:v>L25-S10-C1</x:v>
      </x:c>
      <x:c r="M2723" t="n">
        <x:v>0</x:v>
      </x:c>
      <x:c r="N2723" t="str">
        <x:v>DerivedFromCount</x:v>
      </x:c>
      <x:c r="O2723" t="str">
        <x:v>PLC-PRD-JAR-330-L25</x:v>
      </x:c>
      <x:c r="P2723" t="str">
        <x:v>OK</x:v>
      </x:c>
      <x:c r="Q2723" t="str">
        <x:v>OK</x:v>
      </x:c>
      <x:c r="R2723" t="str">
        <x:v>OK</x:v>
      </x:c>
      <x:c r="S2723" t="str">
        <x:v>OK</x:v>
      </x:c>
      <x:c r="T2723" t="n">
        <x:v>24</x:v>
      </x:c>
      <x:c r="U2723" t="str">
        <x:v>OK</x:v>
      </x:c>
      <x:c r="V2723" t="str">
        <x:v>OK</x:v>
      </x:c>
      <x:c r="W2723" t="str">
        <x:v>LOAD</x:v>
      </x:c>
      <x:c r="X2723" t="str">
        <x:v>02_Supervisor_Log(4).xlsx</x:v>
      </x:c>
      <x:c r="Y2723" t="str">
        <x:v>ENH-20260830-01</x:v>
      </x:c>
      <x:c r="Z2723" t="str">
        <x:v>Active</x:v>
      </x:c>
      <x:c r="AA2723"/>
      <x:c r="AB2723"/>
      <x:c r="AC2723"/>
      <x:c r="AD2723"/>
    </x:row>
    <x:row r="2724">
      <x:c r="A2724" t="str">
        <x:v>PCC-PE-KG01-L25-20251026-PM-ORD-2025-00162-S10-C2</x:v>
      </x:c>
      <x:c r="B2724" t="str">
        <x:v>PC-PE-KG01-L25-20251026-PM-ORD-2025-00162-S10</x:v>
      </x:c>
      <x:c r="C2724" t="str">
        <x:v>PE-KG01-L25-20251026-PM-ORD-2025-00162</x:v>
      </x:c>
      <x:c r="D2724" t="str">
        <x:v>KG01</x:v>
      </x:c>
      <x:c r="E2724" s="62" t="n">
        <x:v>45956</x:v>
      </x:c>
      <x:c r="F2724" t="str">
        <x:v>PM</x:v>
      </x:c>
      <x:c r="G2724" t="str">
        <x:v>A</x:v>
      </x:c>
      <x:c r="H2724" t="n">
        <x:v>25</x:v>
      </x:c>
      <x:c r="I2724" t="str">
        <x:v>ORD-2025-00162</x:v>
      </x:c>
      <x:c r="J2724" t="n">
        <x:v>10</x:v>
      </x:c>
      <x:c r="K2724" t="n">
        <x:v>2</x:v>
      </x:c>
      <x:c r="L2724" t="str">
        <x:v>L25-S10-C2</x:v>
      </x:c>
      <x:c r="M2724" t="n">
        <x:v>0</x:v>
      </x:c>
      <x:c r="N2724" t="str">
        <x:v>DerivedFromCount</x:v>
      </x:c>
      <x:c r="O2724" t="str">
        <x:v>PLC-PRD-JAR-330-L25</x:v>
      </x:c>
      <x:c r="P2724" t="str">
        <x:v>OK</x:v>
      </x:c>
      <x:c r="Q2724" t="str">
        <x:v>OK</x:v>
      </x:c>
      <x:c r="R2724" t="str">
        <x:v>OK</x:v>
      </x:c>
      <x:c r="S2724" t="str">
        <x:v>OK</x:v>
      </x:c>
      <x:c r="T2724" t="n">
        <x:v>24</x:v>
      </x:c>
      <x:c r="U2724" t="str">
        <x:v>OK</x:v>
      </x:c>
      <x:c r="V2724" t="str">
        <x:v>OK</x:v>
      </x:c>
      <x:c r="W2724" t="str">
        <x:v>LOAD</x:v>
      </x:c>
      <x:c r="X2724" t="str">
        <x:v>02_Supervisor_Log(4).xlsx</x:v>
      </x:c>
      <x:c r="Y2724" t="str">
        <x:v>ENH-20260830-01</x:v>
      </x:c>
      <x:c r="Z2724" t="str">
        <x:v>Active</x:v>
      </x:c>
      <x:c r="AA2724"/>
      <x:c r="AB2724"/>
      <x:c r="AC2724"/>
      <x:c r="AD2724"/>
    </x:row>
    <x:row r="2725">
      <x:c r="A2725" t="str">
        <x:v>PCC-PE-KG01-L25-20251026-PM-ORD-2025-00162-S10-C3</x:v>
      </x:c>
      <x:c r="B2725" t="str">
        <x:v>PC-PE-KG01-L25-20251026-PM-ORD-2025-00162-S10</x:v>
      </x:c>
      <x:c r="C2725" t="str">
        <x:v>PE-KG01-L25-20251026-PM-ORD-2025-00162</x:v>
      </x:c>
      <x:c r="D2725" t="str">
        <x:v>KG01</x:v>
      </x:c>
      <x:c r="E2725" s="62" t="n">
        <x:v>45956</x:v>
      </x:c>
      <x:c r="F2725" t="str">
        <x:v>PM</x:v>
      </x:c>
      <x:c r="G2725" t="str">
        <x:v>A</x:v>
      </x:c>
      <x:c r="H2725" t="n">
        <x:v>25</x:v>
      </x:c>
      <x:c r="I2725" t="str">
        <x:v>ORD-2025-00162</x:v>
      </x:c>
      <x:c r="J2725" t="n">
        <x:v>10</x:v>
      </x:c>
      <x:c r="K2725" t="n">
        <x:v>3</x:v>
      </x:c>
      <x:c r="L2725" t="str">
        <x:v>L25-S10-C3</x:v>
      </x:c>
      <x:c r="M2725" t="n">
        <x:v>0</x:v>
      </x:c>
      <x:c r="N2725" t="str">
        <x:v>DerivedFromCount</x:v>
      </x:c>
      <x:c r="O2725" t="str">
        <x:v>PLC-PRD-JAR-330-L25</x:v>
      </x:c>
      <x:c r="P2725" t="str">
        <x:v>OK</x:v>
      </x:c>
      <x:c r="Q2725" t="str">
        <x:v>OK</x:v>
      </x:c>
      <x:c r="R2725" t="str">
        <x:v>OK</x:v>
      </x:c>
      <x:c r="S2725" t="str">
        <x:v>OK</x:v>
      </x:c>
      <x:c r="T2725" t="n">
        <x:v>24</x:v>
      </x:c>
      <x:c r="U2725" t="str">
        <x:v>OK</x:v>
      </x:c>
      <x:c r="V2725" t="str">
        <x:v>OK</x:v>
      </x:c>
      <x:c r="W2725" t="str">
        <x:v>LOAD</x:v>
      </x:c>
      <x:c r="X2725" t="str">
        <x:v>02_Supervisor_Log(4).xlsx</x:v>
      </x:c>
      <x:c r="Y2725" t="str">
        <x:v>ENH-20260830-01</x:v>
      </x:c>
      <x:c r="Z2725" t="str">
        <x:v>Active</x:v>
      </x:c>
      <x:c r="AA2725"/>
      <x:c r="AB2725"/>
      <x:c r="AC2725"/>
      <x:c r="AD2725"/>
    </x:row>
    <x:row r="2726">
      <x:c r="A2726" t="str">
        <x:v>PCC-PE-KG01-L25-20251026-PM-ORD-2025-00162-S11-C1</x:v>
      </x:c>
      <x:c r="B2726" t="str">
        <x:v>PC-PE-KG01-L25-20251026-PM-ORD-2025-00162-S11</x:v>
      </x:c>
      <x:c r="C2726" t="str">
        <x:v>PE-KG01-L25-20251026-PM-ORD-2025-00162</x:v>
      </x:c>
      <x:c r="D2726" t="str">
        <x:v>KG01</x:v>
      </x:c>
      <x:c r="E2726" s="62" t="n">
        <x:v>45956</x:v>
      </x:c>
      <x:c r="F2726" t="str">
        <x:v>PM</x:v>
      </x:c>
      <x:c r="G2726" t="str">
        <x:v>A</x:v>
      </x:c>
      <x:c r="H2726" t="n">
        <x:v>25</x:v>
      </x:c>
      <x:c r="I2726" t="str">
        <x:v>ORD-2025-00162</x:v>
      </x:c>
      <x:c r="J2726" t="n">
        <x:v>11</x:v>
      </x:c>
      <x:c r="K2726" t="n">
        <x:v>1</x:v>
      </x:c>
      <x:c r="L2726" t="str">
        <x:v>L25-S11-C1</x:v>
      </x:c>
      <x:c r="M2726" t="n">
        <x:v>0</x:v>
      </x:c>
      <x:c r="N2726" t="str">
        <x:v>DerivedFromCount</x:v>
      </x:c>
      <x:c r="O2726" t="str">
        <x:v>PLC-PRD-JAR-330-L25</x:v>
      </x:c>
      <x:c r="P2726" t="str">
        <x:v>OK</x:v>
      </x:c>
      <x:c r="Q2726" t="str">
        <x:v>OK</x:v>
      </x:c>
      <x:c r="R2726" t="str">
        <x:v>OK</x:v>
      </x:c>
      <x:c r="S2726" t="str">
        <x:v>OK</x:v>
      </x:c>
      <x:c r="T2726" t="n">
        <x:v>24</x:v>
      </x:c>
      <x:c r="U2726" t="str">
        <x:v>OK</x:v>
      </x:c>
      <x:c r="V2726" t="str">
        <x:v>OK</x:v>
      </x:c>
      <x:c r="W2726" t="str">
        <x:v>LOAD</x:v>
      </x:c>
      <x:c r="X2726" t="str">
        <x:v>02_Supervisor_Log(4).xlsx</x:v>
      </x:c>
      <x:c r="Y2726" t="str">
        <x:v>ENH-20260830-01</x:v>
      </x:c>
      <x:c r="Z2726" t="str">
        <x:v>Active</x:v>
      </x:c>
      <x:c r="AA2726"/>
      <x:c r="AB2726"/>
      <x:c r="AC2726"/>
      <x:c r="AD2726"/>
    </x:row>
    <x:row r="2727">
      <x:c r="A2727" t="str">
        <x:v>PCC-PE-KG01-L25-20251026-PM-ORD-2025-00162-S11-C2</x:v>
      </x:c>
      <x:c r="B2727" t="str">
        <x:v>PC-PE-KG01-L25-20251026-PM-ORD-2025-00162-S11</x:v>
      </x:c>
      <x:c r="C2727" t="str">
        <x:v>PE-KG01-L25-20251026-PM-ORD-2025-00162</x:v>
      </x:c>
      <x:c r="D2727" t="str">
        <x:v>KG01</x:v>
      </x:c>
      <x:c r="E2727" s="62" t="n">
        <x:v>45956</x:v>
      </x:c>
      <x:c r="F2727" t="str">
        <x:v>PM</x:v>
      </x:c>
      <x:c r="G2727" t="str">
        <x:v>A</x:v>
      </x:c>
      <x:c r="H2727" t="n">
        <x:v>25</x:v>
      </x:c>
      <x:c r="I2727" t="str">
        <x:v>ORD-2025-00162</x:v>
      </x:c>
      <x:c r="J2727" t="n">
        <x:v>11</x:v>
      </x:c>
      <x:c r="K2727" t="n">
        <x:v>2</x:v>
      </x:c>
      <x:c r="L2727" t="str">
        <x:v>L25-S11-C2</x:v>
      </x:c>
      <x:c r="M2727" t="n">
        <x:v>0</x:v>
      </x:c>
      <x:c r="N2727" t="str">
        <x:v>DerivedFromCount</x:v>
      </x:c>
      <x:c r="O2727" t="str">
        <x:v>PLC-PRD-JAR-330-L25</x:v>
      </x:c>
      <x:c r="P2727" t="str">
        <x:v>OK</x:v>
      </x:c>
      <x:c r="Q2727" t="str">
        <x:v>OK</x:v>
      </x:c>
      <x:c r="R2727" t="str">
        <x:v>OK</x:v>
      </x:c>
      <x:c r="S2727" t="str">
        <x:v>OK</x:v>
      </x:c>
      <x:c r="T2727" t="n">
        <x:v>24</x:v>
      </x:c>
      <x:c r="U2727" t="str">
        <x:v>OK</x:v>
      </x:c>
      <x:c r="V2727" t="str">
        <x:v>OK</x:v>
      </x:c>
      <x:c r="W2727" t="str">
        <x:v>LOAD</x:v>
      </x:c>
      <x:c r="X2727" t="str">
        <x:v>02_Supervisor_Log(4).xlsx</x:v>
      </x:c>
      <x:c r="Y2727" t="str">
        <x:v>ENH-20260830-01</x:v>
      </x:c>
      <x:c r="Z2727" t="str">
        <x:v>Active</x:v>
      </x:c>
      <x:c r="AA2727"/>
      <x:c r="AB2727"/>
      <x:c r="AC2727"/>
      <x:c r="AD2727"/>
    </x:row>
    <x:row r="2728">
      <x:c r="A2728" t="str">
        <x:v>PCC-PE-KG01-L25-20251026-PM-ORD-2025-00162-S11-C3</x:v>
      </x:c>
      <x:c r="B2728" t="str">
        <x:v>PC-PE-KG01-L25-20251026-PM-ORD-2025-00162-S11</x:v>
      </x:c>
      <x:c r="C2728" t="str">
        <x:v>PE-KG01-L25-20251026-PM-ORD-2025-00162</x:v>
      </x:c>
      <x:c r="D2728" t="str">
        <x:v>KG01</x:v>
      </x:c>
      <x:c r="E2728" s="62" t="n">
        <x:v>45956</x:v>
      </x:c>
      <x:c r="F2728" t="str">
        <x:v>PM</x:v>
      </x:c>
      <x:c r="G2728" t="str">
        <x:v>A</x:v>
      </x:c>
      <x:c r="H2728" t="n">
        <x:v>25</x:v>
      </x:c>
      <x:c r="I2728" t="str">
        <x:v>ORD-2025-00162</x:v>
      </x:c>
      <x:c r="J2728" t="n">
        <x:v>11</x:v>
      </x:c>
      <x:c r="K2728" t="n">
        <x:v>3</x:v>
      </x:c>
      <x:c r="L2728" t="str">
        <x:v>L25-S11-C3</x:v>
      </x:c>
      <x:c r="M2728" t="n">
        <x:v>0</x:v>
      </x:c>
      <x:c r="N2728" t="str">
        <x:v>DerivedFromCount</x:v>
      </x:c>
      <x:c r="O2728" t="str">
        <x:v>PLC-PRD-JAR-330-L25</x:v>
      </x:c>
      <x:c r="P2728" t="str">
        <x:v>OK</x:v>
      </x:c>
      <x:c r="Q2728" t="str">
        <x:v>OK</x:v>
      </x:c>
      <x:c r="R2728" t="str">
        <x:v>OK</x:v>
      </x:c>
      <x:c r="S2728" t="str">
        <x:v>OK</x:v>
      </x:c>
      <x:c r="T2728" t="n">
        <x:v>24</x:v>
      </x:c>
      <x:c r="U2728" t="str">
        <x:v>OK</x:v>
      </x:c>
      <x:c r="V2728" t="str">
        <x:v>OK</x:v>
      </x:c>
      <x:c r="W2728" t="str">
        <x:v>LOAD</x:v>
      </x:c>
      <x:c r="X2728" t="str">
        <x:v>02_Supervisor_Log(4).xlsx</x:v>
      </x:c>
      <x:c r="Y2728" t="str">
        <x:v>ENH-20260830-01</x:v>
      </x:c>
      <x:c r="Z2728" t="str">
        <x:v>Active</x:v>
      </x:c>
      <x:c r="AA2728"/>
      <x:c r="AB2728"/>
      <x:c r="AC2728"/>
      <x:c r="AD2728"/>
    </x:row>
    <x:row r="2729">
      <x:c r="A2729" t="str">
        <x:v>PCC-PE-KG01-L25-20251026-PM-ORD-2025-00162-S12-C1</x:v>
      </x:c>
      <x:c r="B2729" t="str">
        <x:v>PC-PE-KG01-L25-20251026-PM-ORD-2025-00162-S12</x:v>
      </x:c>
      <x:c r="C2729" t="str">
        <x:v>PE-KG01-L25-20251026-PM-ORD-2025-00162</x:v>
      </x:c>
      <x:c r="D2729" t="str">
        <x:v>KG01</x:v>
      </x:c>
      <x:c r="E2729" s="62" t="n">
        <x:v>45956</x:v>
      </x:c>
      <x:c r="F2729" t="str">
        <x:v>PM</x:v>
      </x:c>
      <x:c r="G2729" t="str">
        <x:v>A</x:v>
      </x:c>
      <x:c r="H2729" t="n">
        <x:v>25</x:v>
      </x:c>
      <x:c r="I2729" t="str">
        <x:v>ORD-2025-00162</x:v>
      </x:c>
      <x:c r="J2729" t="n">
        <x:v>12</x:v>
      </x:c>
      <x:c r="K2729" t="n">
        <x:v>1</x:v>
      </x:c>
      <x:c r="L2729" t="str">
        <x:v>L25-S12-C1</x:v>
      </x:c>
      <x:c r="M2729" t="n">
        <x:v>0</x:v>
      </x:c>
      <x:c r="N2729" t="str">
        <x:v>DerivedFromCount</x:v>
      </x:c>
      <x:c r="O2729" t="str">
        <x:v>PLC-PRD-JAR-330-L25</x:v>
      </x:c>
      <x:c r="P2729" t="str">
        <x:v>OK</x:v>
      </x:c>
      <x:c r="Q2729" t="str">
        <x:v>OK</x:v>
      </x:c>
      <x:c r="R2729" t="str">
        <x:v>OK</x:v>
      </x:c>
      <x:c r="S2729" t="str">
        <x:v>OK</x:v>
      </x:c>
      <x:c r="T2729" t="n">
        <x:v>24</x:v>
      </x:c>
      <x:c r="U2729" t="str">
        <x:v>OK</x:v>
      </x:c>
      <x:c r="V2729" t="str">
        <x:v>OK</x:v>
      </x:c>
      <x:c r="W2729" t="str">
        <x:v>LOAD</x:v>
      </x:c>
      <x:c r="X2729" t="str">
        <x:v>02_Supervisor_Log(4).xlsx</x:v>
      </x:c>
      <x:c r="Y2729" t="str">
        <x:v>ENH-20260830-01</x:v>
      </x:c>
      <x:c r="Z2729" t="str">
        <x:v>Active</x:v>
      </x:c>
      <x:c r="AA2729"/>
      <x:c r="AB2729"/>
      <x:c r="AC2729"/>
      <x:c r="AD2729"/>
    </x:row>
    <x:row r="2730">
      <x:c r="A2730" t="str">
        <x:v>PCC-PE-KG01-L25-20251026-PM-ORD-2025-00162-S12-C2</x:v>
      </x:c>
      <x:c r="B2730" t="str">
        <x:v>PC-PE-KG01-L25-20251026-PM-ORD-2025-00162-S12</x:v>
      </x:c>
      <x:c r="C2730" t="str">
        <x:v>PE-KG01-L25-20251026-PM-ORD-2025-00162</x:v>
      </x:c>
      <x:c r="D2730" t="str">
        <x:v>KG01</x:v>
      </x:c>
      <x:c r="E2730" s="62" t="n">
        <x:v>45956</x:v>
      </x:c>
      <x:c r="F2730" t="str">
        <x:v>PM</x:v>
      </x:c>
      <x:c r="G2730" t="str">
        <x:v>A</x:v>
      </x:c>
      <x:c r="H2730" t="n">
        <x:v>25</x:v>
      </x:c>
      <x:c r="I2730" t="str">
        <x:v>ORD-2025-00162</x:v>
      </x:c>
      <x:c r="J2730" t="n">
        <x:v>12</x:v>
      </x:c>
      <x:c r="K2730" t="n">
        <x:v>2</x:v>
      </x:c>
      <x:c r="L2730" t="str">
        <x:v>L25-S12-C2</x:v>
      </x:c>
      <x:c r="M2730" t="n">
        <x:v>0</x:v>
      </x:c>
      <x:c r="N2730" t="str">
        <x:v>DerivedFromCount</x:v>
      </x:c>
      <x:c r="O2730" t="str">
        <x:v>PLC-PRD-JAR-330-L25</x:v>
      </x:c>
      <x:c r="P2730" t="str">
        <x:v>OK</x:v>
      </x:c>
      <x:c r="Q2730" t="str">
        <x:v>OK</x:v>
      </x:c>
      <x:c r="R2730" t="str">
        <x:v>OK</x:v>
      </x:c>
      <x:c r="S2730" t="str">
        <x:v>OK</x:v>
      </x:c>
      <x:c r="T2730" t="n">
        <x:v>24</x:v>
      </x:c>
      <x:c r="U2730" t="str">
        <x:v>OK</x:v>
      </x:c>
      <x:c r="V2730" t="str">
        <x:v>OK</x:v>
      </x:c>
      <x:c r="W2730" t="str">
        <x:v>LOAD</x:v>
      </x:c>
      <x:c r="X2730" t="str">
        <x:v>02_Supervisor_Log(4).xlsx</x:v>
      </x:c>
      <x:c r="Y2730" t="str">
        <x:v>ENH-20260830-01</x:v>
      </x:c>
      <x:c r="Z2730" t="str">
        <x:v>Active</x:v>
      </x:c>
      <x:c r="AA2730"/>
      <x:c r="AB2730"/>
      <x:c r="AC2730"/>
      <x:c r="AD2730"/>
    </x:row>
    <x:row r="2731">
      <x:c r="A2731" t="str">
        <x:v>PCC-PE-KG01-L25-20251026-PM-ORD-2025-00162-S12-C3</x:v>
      </x:c>
      <x:c r="B2731" t="str">
        <x:v>PC-PE-KG01-L25-20251026-PM-ORD-2025-00162-S12</x:v>
      </x:c>
      <x:c r="C2731" t="str">
        <x:v>PE-KG01-L25-20251026-PM-ORD-2025-00162</x:v>
      </x:c>
      <x:c r="D2731" t="str">
        <x:v>KG01</x:v>
      </x:c>
      <x:c r="E2731" s="62" t="n">
        <x:v>45956</x:v>
      </x:c>
      <x:c r="F2731" t="str">
        <x:v>PM</x:v>
      </x:c>
      <x:c r="G2731" t="str">
        <x:v>A</x:v>
      </x:c>
      <x:c r="H2731" t="n">
        <x:v>25</x:v>
      </x:c>
      <x:c r="I2731" t="str">
        <x:v>ORD-2025-00162</x:v>
      </x:c>
      <x:c r="J2731" t="n">
        <x:v>12</x:v>
      </x:c>
      <x:c r="K2731" t="n">
        <x:v>3</x:v>
      </x:c>
      <x:c r="L2731" t="str">
        <x:v>L25-S12-C3</x:v>
      </x:c>
      <x:c r="M2731" t="n">
        <x:v>0</x:v>
      </x:c>
      <x:c r="N2731" t="str">
        <x:v>DerivedFromCount</x:v>
      </x:c>
      <x:c r="O2731" t="str">
        <x:v>PLC-PRD-JAR-330-L25</x:v>
      </x:c>
      <x:c r="P2731" t="str">
        <x:v>OK</x:v>
      </x:c>
      <x:c r="Q2731" t="str">
        <x:v>OK</x:v>
      </x:c>
      <x:c r="R2731" t="str">
        <x:v>OK</x:v>
      </x:c>
      <x:c r="S2731" t="str">
        <x:v>OK</x:v>
      </x:c>
      <x:c r="T2731" t="n">
        <x:v>24</x:v>
      </x:c>
      <x:c r="U2731" t="str">
        <x:v>OK</x:v>
      </x:c>
      <x:c r="V2731" t="str">
        <x:v>OK</x:v>
      </x:c>
      <x:c r="W2731" t="str">
        <x:v>LOAD</x:v>
      </x:c>
      <x:c r="X2731" t="str">
        <x:v>02_Supervisor_Log(4).xlsx</x:v>
      </x:c>
      <x:c r="Y2731" t="str">
        <x:v>ENH-20260830-01</x:v>
      </x:c>
      <x:c r="Z2731" t="str">
        <x:v>Active</x:v>
      </x:c>
      <x:c r="AA2731"/>
      <x:c r="AB2731"/>
      <x:c r="AC2731"/>
      <x:c r="AD2731"/>
    </x:row>
    <x:row r="2732">
      <x:c r="A2732" t="str">
        <x:v>PCC-PE-KG01-L25-20251026-PM-ORD-2025-00162-S13-C1</x:v>
      </x:c>
      <x:c r="B2732" t="str">
        <x:v>PC-PE-KG01-L25-20251026-PM-ORD-2025-00162-S13</x:v>
      </x:c>
      <x:c r="C2732" t="str">
        <x:v>PE-KG01-L25-20251026-PM-ORD-2025-00162</x:v>
      </x:c>
      <x:c r="D2732" t="str">
        <x:v>KG01</x:v>
      </x:c>
      <x:c r="E2732" s="62" t="n">
        <x:v>45956</x:v>
      </x:c>
      <x:c r="F2732" t="str">
        <x:v>PM</x:v>
      </x:c>
      <x:c r="G2732" t="str">
        <x:v>A</x:v>
      </x:c>
      <x:c r="H2732" t="n">
        <x:v>25</x:v>
      </x:c>
      <x:c r="I2732" t="str">
        <x:v>ORD-2025-00162</x:v>
      </x:c>
      <x:c r="J2732" t="n">
        <x:v>13</x:v>
      </x:c>
      <x:c r="K2732" t="n">
        <x:v>1</x:v>
      </x:c>
      <x:c r="L2732" t="str">
        <x:v>L25-S13-C1</x:v>
      </x:c>
      <x:c r="M2732" t="n">
        <x:v>0</x:v>
      </x:c>
      <x:c r="N2732" t="str">
        <x:v>DerivedFromCount</x:v>
      </x:c>
      <x:c r="O2732" t="str">
        <x:v>PLC-PRD-JAR-330-L25</x:v>
      </x:c>
      <x:c r="P2732" t="str">
        <x:v>OK</x:v>
      </x:c>
      <x:c r="Q2732" t="str">
        <x:v>OK</x:v>
      </x:c>
      <x:c r="R2732" t="str">
        <x:v>OK</x:v>
      </x:c>
      <x:c r="S2732" t="str">
        <x:v>OK</x:v>
      </x:c>
      <x:c r="T2732" t="n">
        <x:v>24</x:v>
      </x:c>
      <x:c r="U2732" t="str">
        <x:v>OK</x:v>
      </x:c>
      <x:c r="V2732" t="str">
        <x:v>OK</x:v>
      </x:c>
      <x:c r="W2732" t="str">
        <x:v>LOAD</x:v>
      </x:c>
      <x:c r="X2732" t="str">
        <x:v>02_Supervisor_Log(4).xlsx</x:v>
      </x:c>
      <x:c r="Y2732" t="str">
        <x:v>ENH-20260830-01</x:v>
      </x:c>
      <x:c r="Z2732" t="str">
        <x:v>Active</x:v>
      </x:c>
      <x:c r="AA2732"/>
      <x:c r="AB2732"/>
      <x:c r="AC2732"/>
      <x:c r="AD2732"/>
    </x:row>
    <x:row r="2733">
      <x:c r="A2733" t="str">
        <x:v>PCC-PE-KG01-L25-20251026-PM-ORD-2025-00162-S13-C2</x:v>
      </x:c>
      <x:c r="B2733" t="str">
        <x:v>PC-PE-KG01-L25-20251026-PM-ORD-2025-00162-S13</x:v>
      </x:c>
      <x:c r="C2733" t="str">
        <x:v>PE-KG01-L25-20251026-PM-ORD-2025-00162</x:v>
      </x:c>
      <x:c r="D2733" t="str">
        <x:v>KG01</x:v>
      </x:c>
      <x:c r="E2733" s="62" t="n">
        <x:v>45956</x:v>
      </x:c>
      <x:c r="F2733" t="str">
        <x:v>PM</x:v>
      </x:c>
      <x:c r="G2733" t="str">
        <x:v>A</x:v>
      </x:c>
      <x:c r="H2733" t="n">
        <x:v>25</x:v>
      </x:c>
      <x:c r="I2733" t="str">
        <x:v>ORD-2025-00162</x:v>
      </x:c>
      <x:c r="J2733" t="n">
        <x:v>13</x:v>
      </x:c>
      <x:c r="K2733" t="n">
        <x:v>2</x:v>
      </x:c>
      <x:c r="L2733" t="str">
        <x:v>L25-S13-C2</x:v>
      </x:c>
      <x:c r="M2733" t="n">
        <x:v>0</x:v>
      </x:c>
      <x:c r="N2733" t="str">
        <x:v>DerivedFromCount</x:v>
      </x:c>
      <x:c r="O2733" t="str">
        <x:v>PLC-PRD-JAR-330-L25</x:v>
      </x:c>
      <x:c r="P2733" t="str">
        <x:v>OK</x:v>
      </x:c>
      <x:c r="Q2733" t="str">
        <x:v>OK</x:v>
      </x:c>
      <x:c r="R2733" t="str">
        <x:v>OK</x:v>
      </x:c>
      <x:c r="S2733" t="str">
        <x:v>OK</x:v>
      </x:c>
      <x:c r="T2733" t="n">
        <x:v>24</x:v>
      </x:c>
      <x:c r="U2733" t="str">
        <x:v>OK</x:v>
      </x:c>
      <x:c r="V2733" t="str">
        <x:v>OK</x:v>
      </x:c>
      <x:c r="W2733" t="str">
        <x:v>LOAD</x:v>
      </x:c>
      <x:c r="X2733" t="str">
        <x:v>02_Supervisor_Log(4).xlsx</x:v>
      </x:c>
      <x:c r="Y2733" t="str">
        <x:v>ENH-20260830-01</x:v>
      </x:c>
      <x:c r="Z2733" t="str">
        <x:v>Active</x:v>
      </x:c>
      <x:c r="AA2733"/>
      <x:c r="AB2733"/>
      <x:c r="AC2733"/>
      <x:c r="AD2733"/>
    </x:row>
    <x:row r="2734">
      <x:c r="A2734" t="str">
        <x:v>PCC-PE-KG01-L25-20251026-PM-ORD-2025-00162-S13-C3</x:v>
      </x:c>
      <x:c r="B2734" t="str">
        <x:v>PC-PE-KG01-L25-20251026-PM-ORD-2025-00162-S13</x:v>
      </x:c>
      <x:c r="C2734" t="str">
        <x:v>PE-KG01-L25-20251026-PM-ORD-2025-00162</x:v>
      </x:c>
      <x:c r="D2734" t="str">
        <x:v>KG01</x:v>
      </x:c>
      <x:c r="E2734" s="62" t="n">
        <x:v>45956</x:v>
      </x:c>
      <x:c r="F2734" t="str">
        <x:v>PM</x:v>
      </x:c>
      <x:c r="G2734" t="str">
        <x:v>A</x:v>
      </x:c>
      <x:c r="H2734" t="n">
        <x:v>25</x:v>
      </x:c>
      <x:c r="I2734" t="str">
        <x:v>ORD-2025-00162</x:v>
      </x:c>
      <x:c r="J2734" t="n">
        <x:v>13</x:v>
      </x:c>
      <x:c r="K2734" t="n">
        <x:v>3</x:v>
      </x:c>
      <x:c r="L2734" t="str">
        <x:v>L25-S13-C3</x:v>
      </x:c>
      <x:c r="M2734" t="n">
        <x:v>0</x:v>
      </x:c>
      <x:c r="N2734" t="str">
        <x:v>DerivedFromCount</x:v>
      </x:c>
      <x:c r="O2734" t="str">
        <x:v>PLC-PRD-JAR-330-L25</x:v>
      </x:c>
      <x:c r="P2734" t="str">
        <x:v>OK</x:v>
      </x:c>
      <x:c r="Q2734" t="str">
        <x:v>OK</x:v>
      </x:c>
      <x:c r="R2734" t="str">
        <x:v>OK</x:v>
      </x:c>
      <x:c r="S2734" t="str">
        <x:v>OK</x:v>
      </x:c>
      <x:c r="T2734" t="n">
        <x:v>24</x:v>
      </x:c>
      <x:c r="U2734" t="str">
        <x:v>OK</x:v>
      </x:c>
      <x:c r="V2734" t="str">
        <x:v>OK</x:v>
      </x:c>
      <x:c r="W2734" t="str">
        <x:v>LOAD</x:v>
      </x:c>
      <x:c r="X2734" t="str">
        <x:v>02_Supervisor_Log(4).xlsx</x:v>
      </x:c>
      <x:c r="Y2734" t="str">
        <x:v>ENH-20260830-01</x:v>
      </x:c>
      <x:c r="Z2734" t="str">
        <x:v>Active</x:v>
      </x:c>
      <x:c r="AA2734"/>
      <x:c r="AB2734"/>
      <x:c r="AC2734"/>
      <x:c r="AD2734"/>
    </x:row>
  </x:sheetData>
  <x:mergeCells>
    <x:mergeCell ref="A1:AD1"/>
    <x:mergeCell ref="A2:AD2"/>
  </x:mergeCells>
  <x:pageMargins left="0.7" right="0.7" top="0.75" bottom="0.75" header="0.3" footer="0.3"/>
  <x:tableParts count="1">
    <x:tablePart xmlns:r="http://schemas.openxmlformats.org/officeDocument/2006/relationships" r:id="R66c3d13f6dea4e03"/>
  </x:tableParts>
</x:worksheet>
</file>

<file path=xl/worksheets/sheet9.xml><?xml version="1.0" encoding="utf-8"?>
<x:worksheet xmlns:x="http://schemas.openxmlformats.org/spreadsheetml/2006/main">
  <x:sheetFormatPr defaultRowHeight="15"/>
  <x:cols>
    <x:col min="6" max="6" width="60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8" max="8" width="18" hidden="0" customWidth="1"/>
  </x:cols>
  <x:sheetData>
    <x:row r="1">
      <x:c r="A1" s="53" t="str">
        <x:v>DATA QUALITY QUARANTINE</x:v>
      </x:c>
      <x:c r="B1" s="53"/>
      <x:c r="C1" s="53"/>
      <x:c r="D1" s="53"/>
      <x:c r="E1" s="53"/>
      <x:c r="F1" s="53"/>
      <x:c r="G1" s="53"/>
      <x:c r="H1" s="53"/>
    </x:row>
    <x:row r="2">
      <x:c r="A2" s="58" t="str">
        <x:v>Current exceptions are retained with rule IDs. Dependent configuration rows inherit event quarantine in ETL.</x:v>
      </x:c>
      <x:c r="B2" s="58"/>
      <x:c r="C2" s="58"/>
      <x:c r="D2" s="58"/>
      <x:c r="E2" s="58"/>
      <x:c r="F2" s="58"/>
      <x:c r="G2" s="58"/>
      <x:c r="H2" s="58"/>
    </x:row>
    <x:row r="4" ht="36" customHeight="1">
      <x:c r="A4" s="46" t="str">
        <x:v>ExceptionID</x:v>
      </x:c>
      <x:c r="B4" s="46" t="str">
        <x:v>SourceSheet</x:v>
      </x:c>
      <x:c r="C4" s="46" t="str">
        <x:v>RecordID</x:v>
      </x:c>
      <x:c r="D4" s="46" t="str">
        <x:v>RuleID</x:v>
      </x:c>
      <x:c r="E4" s="46" t="str">
        <x:v>Severity</x:v>
      </x:c>
      <x:c r="F4" s="46" t="str">
        <x:v>Issue</x:v>
      </x:c>
      <x:c r="G4" s="46" t="str">
        <x:v>LoadDecision</x:v>
      </x:c>
      <x:c r="H4" s="46" t="str">
        <x:v>ResolutionStatus</x:v>
      </x:c>
    </x:row>
    <x:row r="5">
      <x:c r="A5" t="str">
        <x:v>DQE-0001</x:v>
      </x:c>
      <x:c r="B5" t="str">
        <x:v>DailyProduction</x:v>
      </x:c>
      <x:c r="C5" t="str">
        <x:v>PE-KG01-L22-20251026-AM-ORD-2025-00058</x:v>
      </x:c>
      <x:c r="D5" t="str">
        <x:v>DQ-PROD-001</x:v>
      </x:c>
      <x:c r="E5" t="str">
        <x:v>HIGH</x:v>
      </x:c>
      <x:c r="F5" t="str">
        <x:v>Recorded setup 10 sections × 4 cavities exceeds physical capability 13 × 3.</x:v>
      </x:c>
      <x:c r="G5" t="str">
        <x:v>QUARANTINE</x:v>
      </x:c>
      <x:c r="H5" t="str">
        <x:v>Open</x:v>
      </x:c>
    </x:row>
    <x:row r="6">
      <x:c r="A6" t="str">
        <x:v>DQE-0002</x:v>
      </x:c>
      <x:c r="B6" t="str">
        <x:v>DailyProduction</x:v>
      </x:c>
      <x:c r="C6" t="str">
        <x:v>PE-KG01-L22-20251026-AM-ORD-2025-00058</x:v>
      </x:c>
      <x:c r="D6" t="str">
        <x:v>DQ-PROD-002</x:v>
      </x:c>
      <x:c r="E6" t="str">
        <x:v>HIGH</x:v>
      </x:c>
      <x:c r="F6" t="str">
        <x:v>Product-line capability baseline is ReviewRequired because the observed configuration exceeds physical capability.</x:v>
      </x:c>
      <x:c r="G6" t="str">
        <x:v>QUARANTINE</x:v>
      </x:c>
      <x:c r="H6" t="str">
        <x:v>Open</x:v>
      </x:c>
    </x:row>
    <x:row r="7">
      <x:c r="A7" t="str">
        <x:v>DQE-0003</x:v>
      </x:c>
      <x:c r="B7" t="str">
        <x:v>DailyProduction</x:v>
      </x:c>
      <x:c r="C7" t="str">
        <x:v>PE-KG01-L22-20251026-PM-ORD-2025-00058</x:v>
      </x:c>
      <x:c r="D7" t="str">
        <x:v>DQ-PROD-001</x:v>
      </x:c>
      <x:c r="E7" t="str">
        <x:v>HIGH</x:v>
      </x:c>
      <x:c r="F7" t="str">
        <x:v>Recorded setup 10 sections × 4 cavities exceeds physical capability 13 × 3.</x:v>
      </x:c>
      <x:c r="G7" t="str">
        <x:v>QUARANTINE</x:v>
      </x:c>
      <x:c r="H7" t="str">
        <x:v>Open</x:v>
      </x:c>
    </x:row>
    <x:row r="8">
      <x:c r="A8" t="str">
        <x:v>DQE-0004</x:v>
      </x:c>
      <x:c r="B8" t="str">
        <x:v>DailyProduction</x:v>
      </x:c>
      <x:c r="C8" t="str">
        <x:v>PE-KG01-L22-20251026-PM-ORD-2025-00058</x:v>
      </x:c>
      <x:c r="D8" t="str">
        <x:v>DQ-PROD-002</x:v>
      </x:c>
      <x:c r="E8" t="str">
        <x:v>HIGH</x:v>
      </x:c>
      <x:c r="F8" t="str">
        <x:v>Product-line capability baseline is ReviewRequired because the observed configuration exceeds physical capability.</x:v>
      </x:c>
      <x:c r="G8" t="str">
        <x:v>QUARANTINE</x:v>
      </x:c>
      <x:c r="H8" t="str">
        <x:v>Open</x:v>
      </x:c>
    </x:row>
    <x:row r="9">
      <x:c r="A9" t="str">
        <x:v>DQE-0005</x:v>
      </x:c>
      <x:c r="B9" t="str">
        <x:v>DailyProduction</x:v>
      </x:c>
      <x:c r="C9" t="str">
        <x:v>PE-KG01-L24-20251020-AM-ORD-2025-00124</x:v>
      </x:c>
      <x:c r="D9" t="str">
        <x:v>DQ-PROD-001</x:v>
      </x:c>
      <x:c r="E9" t="str">
        <x:v>HIGH</x:v>
      </x:c>
      <x:c r="F9" t="str">
        <x:v>Recorded setup 12 sections × 4 cavities exceeds physical capability 13 × 3.</x:v>
      </x:c>
      <x:c r="G9" t="str">
        <x:v>QUARANTINE</x:v>
      </x:c>
      <x:c r="H9" t="str">
        <x:v>Open</x:v>
      </x:c>
    </x:row>
    <x:row r="10">
      <x:c r="A10" t="str">
        <x:v>DQE-0006</x:v>
      </x:c>
      <x:c r="B10" t="str">
        <x:v>DailyProduction</x:v>
      </x:c>
      <x:c r="C10" t="str">
        <x:v>PE-KG01-L24-20251020-AM-ORD-2025-00124</x:v>
      </x:c>
      <x:c r="D10" t="str">
        <x:v>DQ-PROD-002</x:v>
      </x:c>
      <x:c r="E10" t="str">
        <x:v>HIGH</x:v>
      </x:c>
      <x:c r="F10" t="str">
        <x:v>Product-line capability baseline is ReviewRequired because the observed configuration exceeds physical capability.</x:v>
      </x:c>
      <x:c r="G10" t="str">
        <x:v>QUARANTINE</x:v>
      </x:c>
      <x:c r="H10" t="str">
        <x:v>Open</x:v>
      </x:c>
    </x:row>
    <x:row r="11">
      <x:c r="A11" t="str">
        <x:v>DQE-0007</x:v>
      </x:c>
      <x:c r="B11" t="str">
        <x:v>DailyProduction</x:v>
      </x:c>
      <x:c r="C11" t="str">
        <x:v>PE-KG01-L24-20251020-PM-ORD-2025-00124</x:v>
      </x:c>
      <x:c r="D11" t="str">
        <x:v>DQ-PROD-001</x:v>
      </x:c>
      <x:c r="E11" t="str">
        <x:v>HIGH</x:v>
      </x:c>
      <x:c r="F11" t="str">
        <x:v>Recorded setup 12 sections × 4 cavities exceeds physical capability 13 × 3.</x:v>
      </x:c>
      <x:c r="G11" t="str">
        <x:v>QUARANTINE</x:v>
      </x:c>
      <x:c r="H11" t="str">
        <x:v>Open</x:v>
      </x:c>
    </x:row>
    <x:row r="12">
      <x:c r="A12" t="str">
        <x:v>DQE-0008</x:v>
      </x:c>
      <x:c r="B12" t="str">
        <x:v>DailyProduction</x:v>
      </x:c>
      <x:c r="C12" t="str">
        <x:v>PE-KG01-L24-20251020-PM-ORD-2025-00124</x:v>
      </x:c>
      <x:c r="D12" t="str">
        <x:v>DQ-PROD-002</x:v>
      </x:c>
      <x:c r="E12" t="str">
        <x:v>HIGH</x:v>
      </x:c>
      <x:c r="F12" t="str">
        <x:v>Product-line capability baseline is ReviewRequired because the observed configuration exceeds physical capability.</x:v>
      </x:c>
      <x:c r="G12" t="str">
        <x:v>QUARANTINE</x:v>
      </x:c>
      <x:c r="H12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5ac6db5c8804f2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50" hidden="0" customWidth="1"/>
  </x:cols>
  <x:sheetData>
    <x:row r="1">
      <x:c r="A1" s="53" t="str">
        <x:v>SUPERVISOR WORKBOOK — ENHANCED MODEL</x:v>
      </x:c>
      <x:c r="B1" s="53"/>
      <x:c r="C1" s="53"/>
      <x:c r="D1" s="53"/>
    </x:row>
    <x:row r="2">
      <x:c r="A2" s="58" t="str">
        <x:v>Existing operator-facing tables are preserved; normalized analytical tables and checks are added.</x:v>
      </x:c>
      <x:c r="B2" s="58"/>
      <x:c r="C2" s="58"/>
      <x:c r="D2" s="58"/>
    </x:row>
    <x:row r="4" ht="36" customHeight="1">
      <x:c r="A4" s="46" t="str">
        <x:v>Area</x:v>
      </x:c>
      <x:c r="B4" s="46" t="str">
        <x:v>Enhancement</x:v>
      </x:c>
      <x:c r="C4" s="46" t="str">
        <x:v>PreferredWarehouseUse</x:v>
      </x:c>
      <x:c r="D4" s="46" t="str">
        <x:v>KeyRule</x:v>
      </x:c>
    </x:row>
    <x:row r="5">
      <x:c r="A5" t="str">
        <x:v>Job Change</x:v>
      </x:c>
      <x:c r="B5" t="str">
        <x:v>JobChangeLoss added</x:v>
      </x:c>
      <x:c r="C5" t="str">
        <x:v>FACT_JOBCHANGE_LOSS</x:v>
      </x:c>
      <x:c r="D5" t="str">
        <x:v>Store elapsed duration once per loss component.</x:v>
      </x:c>
    </x:row>
    <x:row r="6">
      <x:c r="A6" t="str">
        <x:v>Job Change</x:v>
      </x:c>
      <x:c r="B6" t="str">
        <x:v>JobChangeImpact linked to JobChangeLoss</x:v>
      </x:c>
      <x:c r="C6" t="str">
        <x:v>FACT_JOBCHANGE_IMPACT</x:v>
      </x:c>
      <x:c r="D6" t="str">
        <x:v>Impact DurationHrs is reference-only; sum LineEquivalentLossHrs.</x:v>
      </x:c>
    </x:row>
    <x:row r="7">
      <x:c r="A7" t="str">
        <x:v>Production</x:v>
      </x:c>
      <x:c r="B7" t="str">
        <x:v>ProductionCavityConfiguration added</x:v>
      </x:c>
      <x:c r="C7" t="str">
        <x:v>FACT_PRODUCTION_CAVITY_CONFIG</x:v>
      </x:c>
      <x:c r="D7" t="str">
        <x:v>One row per ProductionEvent × Section × Cavity.</x:v>
      </x:c>
    </x:row>
    <x:row r="8">
      <x:c r="A8" t="str">
        <x:v>Production</x:v>
      </x:c>
      <x:c r="B8" t="str">
        <x:v>Product-line capability checks</x:v>
      </x:c>
      <x:c r="C8" t="str">
        <x:v>FACT_PRODUCTION / configuration</x:v>
      </x:c>
      <x:c r="D8" t="str">
        <x:v>Physical → Product capability → Actual configuration.</x:v>
      </x:c>
    </x:row>
    <x:row r="9">
      <x:c r="A9" t="str">
        <x:v>Data Quality</x:v>
      </x:c>
      <x:c r="B9" t="str">
        <x:v>LoadDecision added</x:v>
      </x:c>
      <x:c r="C9" t="str">
        <x:v>ETL gate</x:v>
      </x:c>
      <x:c r="D9" t="str">
        <x:v>OK=LOAD; CHECK=QUARANTINE.</x:v>
      </x:c>
    </x:row>
    <x:row r="10">
      <x:c r="A10" t="str">
        <x:v>Audit</x:v>
      </x:c>
      <x:c r="B10" t="str">
        <x:v>SourceFile / LoadBatchID / RecordStatus</x:v>
      </x:c>
      <x:c r="C10" t="str">
        <x:v>Lineage</x:v>
      </x:c>
      <x:c r="D10" t="str">
        <x:v>Created/Modified fields are reserved for operational capture.</x:v>
      </x:c>
    </x:row>
    <x:row r="11">
      <x:c r="A11" t="str">
        <x:v>Orders</x:v>
      </x:c>
      <x:c r="B11" t="str">
        <x:v>FromOrder/ToOrder checks</x:v>
      </x:c>
      <x:c r="C11" t="str">
        <x:v>Role-playing DIM_ORDER</x:v>
      </x:c>
      <x:c r="D11" t="str">
        <x:v>Use separate From Order and To Order relationships in Power BI.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ec7b99d65d546d0"/>
  </x:tableParts>
</x:worksheet>
</file>