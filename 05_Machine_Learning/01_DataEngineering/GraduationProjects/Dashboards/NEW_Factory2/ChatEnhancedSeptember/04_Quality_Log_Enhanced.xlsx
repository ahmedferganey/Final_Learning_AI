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2d390b9c764d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d349da12f10842c9"/>
    <x:sheet xmlns:r="http://schemas.openxmlformats.org/officeDocument/2006/relationships" name="SamplingDefectLog" sheetId="2" r:id="R2248c80d196341e3"/>
    <x:sheet xmlns:r="http://schemas.openxmlformats.org/officeDocument/2006/relationships" name="Rework" sheetId="3" r:id="R5c113137a5d24acc"/>
    <x:sheet xmlns:r="http://schemas.openxmlformats.org/officeDocument/2006/relationships" name="_ProductionEventRef" sheetId="4" r:id="R7904cee103844291"/>
    <x:sheet xmlns:r="http://schemas.openxmlformats.org/officeDocument/2006/relationships" name="_ValidationLists" sheetId="5" r:id="Ra06b40aaa58848fa"/>
    <x:sheet xmlns:r="http://schemas.openxmlformats.org/officeDocument/2006/relationships" name="QualitySemantics" sheetId="6" r:id="R92a5573c5d874c6e"/>
    <x:sheet xmlns:r="http://schemas.openxmlformats.org/officeDocument/2006/relationships" name="DQ_Quarantine" sheetId="7" r:id="R88896cb9e6ab4b6c"/>
    <x:sheet xmlns:r="http://schemas.openxmlformats.org/officeDocument/2006/relationships" name="EnhancementGuide" sheetId="8" r:id="Rc2b02873a29a4609"/>
  </x:sheets>
</x:workbook>
</file>

<file path=xl/sharedStrings.xml><?xml version="1.0" encoding="utf-8"?>
<x:sst xmlns:x="http://schemas.openxmlformats.org/spreadsheetml/2006/main">
  <x:si>
    <x:t xml:space="preserve">QUALITY LOG — Instructions</x:t>
  </x:si>
  <x:si>
    <x:t xml:space="preserve">Owner: Quality team</x:t>
  </x:si>
  <x:si>
    <x:t xml:space="preserve">Sheets: SamplingDefectLog (hourly) + Rework</x:t>
  </x:si>
  <x:si>
    <x:t xml:space="preserve">Defect Rate % = Quantity / TotalSamples (calculated downstream, not in Excel)</x:t>
  </x:si>
  <x:si>
    <x:t xml:space="preserve">Save as 04_Quality_Log_YYYYMMDD.xlsx into the OneDrive Daily folder</x:t>
  </x:si>
  <x:si>
    <x:t xml:space="preserve">Dataset note: one-week subset (2025-10-20 to 2025-10-26); sample and rework business rules remain preserved.</x:t>
  </x:si>
  <x:si>
    <x:t xml:space="preserve">QA EXTENSION</x:t>
  </x:si>
  <x:si>
    <x:t xml:space="preserve">SamplingDefectLog adds record ID, sample/defect quantity checks and hour-range checks.</x:t>
  </x:si>
  <x:si>
    <x:t xml:space="preserve">Rework adds calculated ReworkedUnits, stable record ID and quantity checks.</x:t>
  </x:si>
  <x:si>
    <x:t xml:space="preserve">Original source columns are retained unchanged for Power BI compatibility.</x:t>
  </x:si>
  <x:si>
    <x:t xml:space="preserve">SAMPLING DEFECT LOG (HOURLY)</x:t>
  </x:si>
  <x:si>
    <x:t xml:space="preserve">Maps to STG_SAMPLINGDEFECTLOG → FACT_DEFECTSAMPLING</x:t>
  </x:si>
  <x:si>
    <x:t xml:space="preserve">One row = Line + Date + Order + Hour + Defect. HourNumber = 0 to 23.</x:t>
  </x:si>
  <x:si>
    <x:t xml:space="preserve">FactoryCode</x:t>
  </x:si>
  <x:si>
    <x:t xml:space="preserve">LineNumber</x:t>
  </x:si>
  <x:si>
    <x:t xml:space="preserve">EventDate</x:t>
  </x:si>
  <x:si>
    <x:t xml:space="preserve">OrderNumber</x:t>
  </x:si>
  <x:si>
    <x:t xml:space="preserve">HourNumber</x:t>
  </x:si>
  <x:si>
    <x:t xml:space="preserve">ShiftCode</x:t>
  </x:si>
  <x:si>
    <x:t xml:space="preserve">TotalSamples</x:t>
  </x:si>
  <x:si>
    <x:t xml:space="preserve">DefectName</x:t>
  </x:si>
  <x:si>
    <x:t xml:space="preserve">Quantity</x:t>
  </x:si>
  <x:si>
    <x:t xml:space="preserve">SamplingRecordID</x:t>
  </x:si>
  <x:si>
    <x:t xml:space="preserve">QuantityCheck</x:t>
  </x:si>
  <x:si>
    <x:t xml:space="preserve">HourCheck</x:t>
  </x:si>
  <x:si>
    <x:t xml:space="preserve">DataQualityCheck</x:t>
  </x:si>
  <x:si>
    <x:t xml:space="preserve">KG01</x:t>
  </x:si>
  <x:si>
    <x:t xml:space="preserve">ORD-2025-00019</x:t>
  </x:si>
  <x:si>
    <x:t xml:space="preserve">AM</x:t>
  </x:si>
  <x:si>
    <x:t xml:space="preserve">Choke Neck</x:t>
  </x:si>
  <x:si>
    <x:t xml:space="preserve">Overpress</x:t>
  </x:si>
  <x:si>
    <x:t xml:space="preserve">PM</x:t>
  </x:si>
  <x:si>
    <x:t xml:space="preserve">ORD-2025-00020</x:t>
  </x:si>
  <x:si>
    <x:t xml:space="preserve">Distortion</x:t>
  </x:si>
  <x:si>
    <x:t xml:space="preserve">Thin Wall</x:t>
  </x:si>
  <x:si>
    <x:t xml:space="preserve">Stone</x:t>
  </x:si>
  <x:si>
    <x:t xml:space="preserve">Blister</x:t>
  </x:si>
  <x:si>
    <x:t xml:space="preserve">Bird Swing</x:t>
  </x:si>
  <x:si>
    <x:t xml:space="preserve">Crack</x:t>
  </x:si>
  <x:si>
    <x:t xml:space="preserve">ORD-2025-00021</x:t>
  </x:si>
  <x:si>
    <x:t xml:space="preserve">ORD-2025-00056</x:t>
  </x:si>
  <x:si>
    <x:t xml:space="preserve">Chip</x:t>
  </x:si>
  <x:si>
    <x:t xml:space="preserve">ORD-2025-00057</x:t>
  </x:si>
  <x:si>
    <x:t xml:space="preserve">ORD-2025-00058</x:t>
  </x:si>
  <x:si>
    <x:t xml:space="preserve">ORD-2025-00092</x:t>
  </x:si>
  <x:si>
    <x:t xml:space="preserve">ORD-2025-00093</x:t>
  </x:si>
  <x:si>
    <x:t xml:space="preserve">ORD-2025-00094</x:t>
  </x:si>
  <x:si>
    <x:t xml:space="preserve">ORD-2025-00124</x:t>
  </x:si>
  <x:si>
    <x:t xml:space="preserve">ORD-2025-00125</x:t>
  </x:si>
  <x:si>
    <x:t xml:space="preserve">ORD-2025-00126</x:t>
  </x:si>
  <x:si>
    <x:t xml:space="preserve">ORD-2025-00161</x:t>
  </x:si>
  <x:si>
    <x:t xml:space="preserve">ORD-2025-00162</x:t>
  </x:si>
  <x:si>
    <x:t xml:space="preserve">REWORK LOG</x:t>
  </x:si>
  <x:si>
    <x:t xml:space="preserve">Maps to STG_REWORK → FACT_REWORK</x:t>
  </x:si>
  <x:si>
    <x:t xml:space="preserve">ReworkedUnits = PalletsCount × ArticlesPerPallet (calculated in DWH).</x:t>
  </x:si>
  <x:si>
    <x:t xml:space="preserve">ReworkStatusName</x:t>
  </x:si>
  <x:si>
    <x:t xml:space="preserve">PalletsCount</x:t>
  </x:si>
  <x:si>
    <x:t xml:space="preserve">ArticlesPerPallet</x:t>
  </x:si>
  <x:si>
    <x:t xml:space="preserve">ReworkedUnits</x:t>
  </x:si>
  <x:si>
    <x:t xml:space="preserve">ReworkRecordID</x:t>
  </x:si>
  <x:si>
    <x:t xml:space="preserve">Move to Cullet</x:t>
  </x:si>
  <x:si>
    <x:t xml:space="preserve">Resorted</x:t>
  </x:si>
</x:sst>
</file>

<file path=xl/styles.xml><?xml version="1.0" encoding="utf-8"?>
<x:styleSheet xmlns:x="http://schemas.openxmlformats.org/spreadsheetml/2006/main">
  <x:numFmts count="3">
    <x:numFmt numFmtId="164" formatCode="yyyy\-mm\-dd"/>
    <x:numFmt numFmtId="200" formatCode="yyyy-mm-dd"/>
    <x:numFmt numFmtId="201" formatCode="0.00%"/>
  </x:numFmts>
  <x:fonts count="7">
    <x:font>
      <x:sz val="11"/>
      <x:name val="Carlito"/>
    </x:font>
    <x:font>
      <x:b/>
      <x:sz val="16"/>
      <x:color rgb="FF1F4E78"/>
      <x:name val="Carlito"/>
    </x:font>
    <x:font>
      <x:b/>
      <x:sz val="11"/>
      <x:color rgb="FFC00000"/>
      <x:name val="Carlito"/>
    </x:font>
    <x:font>
      <x:i/>
      <x:sz val="11"/>
      <x:color rgb="FF666666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i/>
      <x:sz val="11"/>
      <x:color rgb="FF202124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DDEBF7"/>
      </x:patternFill>
    </x:fill>
    <x:fill>
      <x:patternFill patternType="solid">
        <x:fgColor rgb="FF202326"/>
      </x:patternFill>
    </x:fill>
    <x:fill>
      <x:patternFill patternType="solid">
        <x:fgColor rgb="FF303438"/>
      </x:patternFill>
    </x:fill>
    <x:fill>
      <x:patternFill patternType="solid">
        <x:fgColor rgb="FF202326"/>
      </x:patternFill>
    </x:fill>
    <x:fill>
      <x:patternFill patternType="solid">
        <x:fgColor rgb="FFE9EDF3"/>
      </x:patternFill>
    </x:fill>
    <x:fill>
      <x:patternFill patternType="solid">
        <x:fgColor rgb="FF27345F"/>
      </x:patternFill>
    </x:fill>
  </x:fills>
  <x:borders count="2">
    <x:border/>
    <x:border/>
  </x:borders>
  <x:cellStyleXfs count="1">
    <x:xf numFmtId="0" fontId="0" fillId="0" borderId="0"/>
  </x:cellStyleXfs>
  <x:cellXfs count="61">
    <x:xf numFmtId="0" fontId="0" fillId="0" borderId="0" xfId="0"/>
    <x:xf numFmtId="0" fontId="1" fillId="0" borderId="0" xfId="0" applyFont="1" applyAlignment="1">
      <x:alignment wrapText="1"/>
    </x:xf>
    <x:xf numFmtId="0" fontId="0" fillId="0" borderId="0" xfId="0" applyAlignment="1">
      <x:alignment wrapText="1"/>
    </x:xf>
    <x:xf numFmtId="0" fontId="2" fillId="0" borderId="0" xfId="0" applyFont="1"/>
    <x:xf numFmtId="0" fontId="3" fillId="0" borderId="0" xfId="0" applyFont="1"/>
    <x:xf numFmtId="0" fontId="0" fillId="2" borderId="0" xfId="0" applyFill="1"/>
    <x:xf numFmtId="164" fontId="0" fillId="3" borderId="0" xfId="0" applyNumberFormat="1" applyFill="1"/>
    <x:xf numFmtId="0" fontId="0" fillId="4" borderId="0" xfId="0" applyFill="1"/>
    <x:xf numFmtId="3" fontId="0" fillId="4" borderId="0" xfId="0" applyNumberFormat="1" applyFill="1"/>
    <x:xf numFmtId="0" fontId="5" fillId="5" borderId="0" xfId="0" applyFont="1" applyFill="1"/>
    <x:xf numFmtId="0" fontId="4" fillId="6" borderId="0" xfId="0" applyFont="1" applyFill="1" applyAlignment="1">
      <x:alignment horizontal="center" vertical="center"/>
    </x:xf>
    <x:xf numFmtId="0" fontId="4" fillId="6" borderId="0" xfId="0" applyFont="1" applyFill="1"/>
    <x:xf numFmtId="0" fontId="0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3" fillId="0" borderId="1" xfId="0" applyNumberFormat="1" applyFont="1" applyFill="1" applyBorder="1"/>
    <x:xf numFmtId="0" fontId="0" fillId="2" borderId="1" xfId="0" applyNumberFormat="1" applyFont="1" applyFill="1" applyBorder="1"/>
    <x:xf numFmtId="164" fontId="0" fillId="3" borderId="1" xfId="0" applyNumberFormat="1" applyFont="1" applyFill="1" applyBorder="1"/>
    <x:xf numFmtId="0" fontId="0" fillId="4" borderId="1" xfId="0" applyNumberFormat="1" applyFont="1" applyFill="1" applyBorder="1"/>
    <x:xf numFmtId="3" fontId="0" fillId="4" borderId="1" xfId="0" applyNumberFormat="1" applyFont="1" applyFill="1" applyBorder="1"/>
    <x:xf numFmtId="0" fontId="5" fillId="5" borderId="1" xfId="0" applyNumberFormat="1" applyFont="1" applyFill="1" applyBorder="1"/>
    <x:xf numFmtId="0" fontId="4" fillId="6" borderId="1" xfId="0" applyNumberFormat="1" applyFont="1" applyFill="1" applyBorder="1" applyAlignment="1">
      <x:alignment horizontal="center" vertical="center"/>
    </x:xf>
    <x:xf numFmtId="0" fontId="4" fillId="6" borderId="1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/>
    <x:xf numFmtId="0" fontId="6" fillId="8" borderId="1" xfId="0" applyNumberFormat="1" applyFont="1" applyFill="1" applyBorder="1"/>
    <x:xf numFmtId="0" fontId="6" fillId="8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wrapText="1"/>
    </x:xf>
    <x:xf numFmtId="0" fontId="4" fillId="9" borderId="0" xfId="0" applyNumberFormat="1" applyFont="1" applyFill="1" applyBorder="1" applyAlignment="1">
      <x:alignment horizontal="center" wrapText="1"/>
    </x:xf>
    <x:xf numFmtId="0" fontId="4" fillId="9" borderId="0" xfId="0" applyNumberFormat="1" applyFont="1" applyFill="1" applyBorder="1" applyAlignment="1">
      <x:alignment horizontal="center" vertical="center" wrapText="1"/>
    </x:xf>
    <x:xf numFmtId="0" fontId="0" fillId="9" borderId="1" xfId="0" applyNumberFormat="1" applyFont="1" applyFill="1" applyBorder="1"/>
    <x:xf numFmtId="0" fontId="4" fillId="9" borderId="1" xfId="0" applyNumberFormat="1" applyFont="1" applyFill="1" applyBorder="1"/>
    <x:xf numFmtId="0" fontId="4" fillId="9" borderId="1" xfId="0" applyNumberFormat="1" applyFont="1" applyFill="1" applyBorder="1" applyAlignment="1">
      <x:alignment wrapText="1"/>
    </x:xf>
    <x:xf numFmtId="0" fontId="4" fillId="9" borderId="1" xfId="0" applyNumberFormat="1" applyFont="1" applyFill="1" applyBorder="1" applyAlignment="1">
      <x:alignment horizontal="center" wrapText="1"/>
    </x:xf>
    <x:xf numFmtId="0" fontId="4" fillId="9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164" fontId="0" fillId="3" borderId="0" xfId="0" applyNumberFormat="1" applyFont="1" applyFill="1" applyBorder="1"/>
    <x:xf numFmtId="0" fontId="0" fillId="4" borderId="0" xfId="0" applyNumberFormat="1" applyFont="1" applyFill="1" applyBorder="1"/>
    <x:xf numFmtId="3" fontId="0" fillId="4" borderId="0" xfId="0" applyNumberFormat="1" applyFont="1" applyFill="1" applyBorder="1"/>
    <x:xf numFmtId="0" fontId="5" fillId="5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 vertical="center"/>
    </x:xf>
    <x:xf numFmtId="0" fontId="4" fillId="6" borderId="0" xfId="0" applyNumberFormat="1" applyFont="1" applyFill="1" applyBorder="1"/>
    <x:xf numFmtId="0" fontId="0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7484d4f9794a8e" /><Relationship Type="http://schemas.openxmlformats.org/officeDocument/2006/relationships/theme" Target="/xl/theme/theme1.xml" Id="Rf75b4f285f5747b2" /><Relationship Type="http://schemas.openxmlformats.org/officeDocument/2006/relationships/sharedStrings" Target="/xl/sharedStrings.xml" Id="Rd3a187b9b5444d08" /><Relationship Type="http://schemas.openxmlformats.org/officeDocument/2006/relationships/worksheet" Target="/xl/worksheets/sheet1.xml" Id="Rd349da12f10842c9" /><Relationship Type="http://schemas.openxmlformats.org/officeDocument/2006/relationships/worksheet" Target="/xl/worksheets/sheet2.xml" Id="R2248c80d196341e3" /><Relationship Type="http://schemas.openxmlformats.org/officeDocument/2006/relationships/worksheet" Target="/xl/worksheets/sheet3.xml" Id="R5c113137a5d24acc" /><Relationship Type="http://schemas.openxmlformats.org/officeDocument/2006/relationships/worksheet" Target="/xl/worksheets/sheet4.xml" Id="R7904cee103844291" /><Relationship Type="http://schemas.openxmlformats.org/officeDocument/2006/relationships/worksheet" Target="/xl/worksheets/sheet5.xml" Id="Ra06b40aaa58848fa" /><Relationship Type="http://schemas.openxmlformats.org/officeDocument/2006/relationships/worksheet" Target="/xl/worksheets/sheet6.xml" Id="R92a5573c5d874c6e" /><Relationship Type="http://schemas.openxmlformats.org/officeDocument/2006/relationships/worksheet" Target="/xl/worksheets/sheet7.xml" Id="R88896cb9e6ab4b6c" /><Relationship Type="http://schemas.openxmlformats.org/officeDocument/2006/relationships/worksheet" Target="/xl/worksheets/sheet8.xml" Id="Rc2b02873a29a4609" /></Relationships>
</file>

<file path=xl/tables/table1.xml><?xml version="1.0" encoding="utf-8"?>
<x:table xmlns:x="http://schemas.openxmlformats.org/spreadsheetml/2006/main" id="3" name="SamplingDefectLog_Fact" displayName="SamplingDefectLog_Fact" ref="A4:Y149" headerRowCount="1" totalsRowCount="0" totalsRowShown="0">
  <x:tableColumns count="25">
    <x:tableColumn id="1" name="FactoryCode"/>
    <x:tableColumn id="2" name="LineNumber"/>
    <x:tableColumn id="3" name="EventDate"/>
    <x:tableColumn id="4" name="OrderNumber"/>
    <x:tableColumn id="5" name="HourNumber"/>
    <x:tableColumn id="6" name="ShiftCode"/>
    <x:tableColumn id="7" name="TotalSamples"/>
    <x:tableColumn id="8" name="DefectName"/>
    <x:tableColumn id="9" name="Quantity"/>
    <x:tableColumn id="10" name="SamplingRecordID"/>
    <x:tableColumn id="11" name="QuantityCheck"/>
    <x:tableColumn id="12" name="HourCheck"/>
    <x:tableColumn id="13" name="DataQualityCheck"/>
    <x:tableColumn id="14" name="ProductionEventID"/>
    <x:tableColumn id="15" name="ParentEventCheck"/>
    <x:tableColumn id="16" name="DefectRate"/>
    <x:tableColumn id="17" name="MeasureSemantics"/>
    <x:tableColumn id="18" name="CreatedAt"/>
    <x:tableColumn id="19" name="CreatedBy"/>
    <x:tableColumn id="20" name="ModifiedAt"/>
    <x:tableColumn id="21" name="ModifiedBy"/>
    <x:tableColumn id="22" name="SourceFile"/>
    <x:tableColumn id="23" name="LoadBatchID"/>
    <x:tableColumn id="24" name="RecordStatus"/>
    <x:tableColumn id="25" name="LoadDecis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Rework_Fact" displayName="Rework_Fact" ref="A4:AA22" headerRowCount="1" totalsRowCount="0" totalsRowShown="0">
  <x:tableColumns count="27">
    <x:tableColumn id="1" name="FactoryCode"/>
    <x:tableColumn id="2" name="LineNumber"/>
    <x:tableColumn id="3" name="EventDate"/>
    <x:tableColumn id="4" name="ShiftCode"/>
    <x:tableColumn id="5" name="OrderNumber"/>
    <x:tableColumn id="6" name="ReworkStatusName"/>
    <x:tableColumn id="7" name="PalletsCount"/>
    <x:tableColumn id="8" name="ArticlesPerPallet"/>
    <x:tableColumn id="9" name="ReworkedUnits"/>
    <x:tableColumn id="10" name="QuantityCheck"/>
    <x:tableColumn id="11" name="ReworkRecordID"/>
    <x:tableColumn id="12" name="DataQualityCheck"/>
    <x:tableColumn id="13" name="ProductionEventID"/>
    <x:tableColumn id="14" name="ParentEventCheck"/>
    <x:tableColumn id="15" name="DesignOutputRef"/>
    <x:tableColumn id="16" name="ProductionRejectRef"/>
    <x:tableColumn id="17" name="ReworkVsDesignCheck"/>
    <x:tableColumn id="18" name="ReconciliationRule"/>
    <x:tableColumn id="19" name="MeasureSemantics"/>
    <x:tableColumn id="20" name="CreatedAt"/>
    <x:tableColumn id="21" name="CreatedBy"/>
    <x:tableColumn id="22" name="ModifiedAt"/>
    <x:tableColumn id="23" name="ModifiedBy"/>
    <x:tableColumn id="24" name="SourceFile"/>
    <x:tableColumn id="25" name="LoadBatchID"/>
    <x:tableColumn id="26" name="RecordStatus"/>
    <x:tableColumn id="27" name="LoadDecis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5" name="ProductionEventRef_Quality" displayName="ProductionEventRef_Quality" ref="A4:I74" headerRowCount="1" totalsRowCount="0" totalsRowShown="0">
  <x:tableColumns count="9">
    <x:tableColumn id="1" name="ProductionEventID"/>
    <x:tableColumn id="2" name="FactoryCode"/>
    <x:tableColumn id="3" name="LineNumber"/>
    <x:tableColumn id="4" name="EventDate"/>
    <x:tableColumn id="5" name="ShiftCode"/>
    <x:tableColumn id="6" name="OrderNumber"/>
    <x:tableColumn id="7" name="DesignOutput"/>
    <x:tableColumn id="8" name="TotalReject"/>
    <x:tableColumn id="9" name="ProductionDataQualityChe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6" name="QualityValidationLists" displayName="QualityValidationLists" ref="A4:A7" headerRowCount="1" totalsRowCount="0" totalsRowShown="0">
  <x:tableColumns count="1">
    <x:tableColumn id="1" name="Record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7" name="QualitySemantics_Table" displayName="QualitySemantics_Table" ref="A4:E9" headerRowCount="1" totalsRowCount="0" totalsRowShown="0">
  <x:tableColumns count="5">
    <x:tableColumn id="1" name="Metric"/>
    <x:tableColumn id="2" name="Grain"/>
    <x:tableColumn id="3" name="AggregationRule"/>
    <x:tableColumn id="4" name="BusinessMeaning"/>
    <x:tableColumn id="5" name="DoNotDo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8" name="EnhancementGuide_Quality" displayName="EnhancementGuide_Quality" ref="A4:D10" headerRowCount="1" totalsRowCount="0" totalsRowShown="0">
  <x:tableColumns count="4">
    <x:tableColumn id="1" name="Enhancement"/>
    <x:tableColumn id="2" name="ImplementedAs"/>
    <x:tableColumn id="3" name="Rule"/>
    <x:tableColumn id="4" name="PowerBIUs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45ef9464063433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7763e73367a4be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e1e1c85a97440f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f1aaac0679f4a2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2dcfada9d8248b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6bc9fcb0819b4ab3" /></Relationships>
</file>

<file path=xl/worksheets/sheet1.xml><?xml version="1.0" encoding="utf-8"?>
<x:worksheet xmlns:x="http://schemas.openxmlformats.org/spreadsheetml/2006/main">
  <x:sheetFormatPr defaultRowHeight="14.25"/>
  <x:cols>
    <x:col min="1" max="1" width="110" customWidth="1"/>
  </x:cols>
  <x:sheetData>
    <x:row r="1" ht="20.25">
      <x:c r="A1" s="1" t="s">
        <x:v>0</x:v>
      </x:c>
    </x:row>
    <x:row r="2">
      <x:c r="A2" s="2"/>
    </x:row>
    <x:row r="3">
      <x:c r="A3" s="2" t="s">
        <x:v>1</x:v>
      </x:c>
    </x:row>
    <x:row r="4">
      <x:c r="A4" s="2"/>
    </x:row>
    <x:row r="5">
      <x:c r="A5" s="2" t="s">
        <x:v>2</x:v>
      </x:c>
    </x:row>
    <x:row r="6">
      <x:c r="A6" s="2"/>
    </x:row>
    <x:row r="7">
      <x:c r="A7" s="2" t="s">
        <x:v>3</x:v>
      </x:c>
    </x:row>
    <x:row r="8">
      <x:c r="A8" s="2"/>
    </x:row>
    <x:row r="9">
      <x:c r="A9" s="2" t="s">
        <x:v>4</x:v>
      </x:c>
    </x:row>
    <x:row r="10">
      <x:c r="A10" s="2"/>
    </x:row>
    <x:row r="11">
      <x:c r="A11" s="2" t="s">
        <x:v>5</x:v>
      </x:c>
    </x:row>
    <x:row r="13">
      <x:c r="A13" t="s">
        <x:v>6</x:v>
      </x:c>
    </x:row>
    <x:row r="14">
      <x:c r="A14" t="s">
        <x:v>7</x:v>
      </x:c>
    </x:row>
    <x:row r="15">
      <x:c r="A15" t="s">
        <x:v>8</x:v>
      </x:c>
    </x:row>
    <x:row r="16">
      <x:c r="A16" t="s">
        <x:v>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25"/>
  <x:cols>
    <x:col min="1" max="1" width="14" customWidth="1"/>
    <x:col min="2" max="2" width="12" customWidth="1"/>
    <x:col min="3" max="3" width="14" customWidth="1"/>
    <x:col min="4" max="4" width="20" customWidth="1"/>
    <x:col min="5" max="5" width="14" customWidth="1"/>
    <x:col min="6" max="6" width="12" customWidth="1"/>
    <x:col min="7" max="7" width="14" customWidth="1"/>
    <x:col min="8" max="8" width="20" customWidth="1"/>
    <x:col min="9" max="9" width="12" customWidth="1"/>
    <x:col min="10" max="10" width="54.25" customWidth="1"/>
  </x:cols>
  <x:sheetData>
    <x:row r="1" ht="18">
      <x:c r="A1" s="9" t="s">
        <x:v>10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</x:row>
    <x:row r="2" ht="15">
      <x:c r="A2" s="3" t="s">
        <x:v>11</x:v>
      </x:c>
    </x:row>
    <x:row r="3">
      <x:c r="A3" s="4" t="s">
        <x:v>12</x:v>
      </x:c>
    </x:row>
    <x:row r="4" ht="30" customHeight="1">
      <x:c r="A4" s="10" t="s">
        <x:v>13</x:v>
      </x:c>
      <x:c r="B4" s="10" t="s">
        <x:v>14</x:v>
      </x:c>
      <x:c r="C4" s="10" t="s">
        <x:v>15</x:v>
      </x:c>
      <x:c r="D4" s="10" t="s">
        <x:v>16</x:v>
      </x:c>
      <x:c r="E4" s="10" t="s">
        <x:v>17</x:v>
      </x:c>
      <x:c r="F4" s="10" t="s">
        <x:v>18</x:v>
      </x:c>
      <x:c r="G4" s="10" t="s">
        <x:v>19</x:v>
      </x:c>
      <x:c r="H4" s="10" t="s">
        <x:v>20</x:v>
      </x:c>
      <x:c r="I4" s="10" t="s">
        <x:v>21</x:v>
      </x:c>
      <x:c r="J4" s="11" t="s">
        <x:v>22</x:v>
      </x:c>
      <x:c r="K4" s="11" t="s">
        <x:v>23</x:v>
      </x:c>
      <x:c r="L4" s="11" t="s">
        <x:v>24</x:v>
      </x:c>
      <x:c r="M4" s="11" t="s">
        <x:v>25</x:v>
      </x:c>
      <x:c r="N4" s="38" t="str">
        <x:v>ProductionEventID</x:v>
      </x:c>
      <x:c r="O4" s="38" t="str">
        <x:v>ParentEventCheck</x:v>
      </x:c>
      <x:c r="P4" s="38" t="str">
        <x:v>DefectRate</x:v>
      </x:c>
      <x:c r="Q4" s="38" t="str">
        <x:v>MeasureSemantics</x:v>
      </x:c>
      <x:c r="R4" s="38" t="str">
        <x:v>CreatedAt</x:v>
      </x:c>
      <x:c r="S4" s="38" t="str">
        <x:v>CreatedBy</x:v>
      </x:c>
      <x:c r="T4" s="38" t="str">
        <x:v>ModifiedAt</x:v>
      </x:c>
      <x:c r="U4" s="38" t="str">
        <x:v>ModifiedBy</x:v>
      </x:c>
      <x:c r="V4" s="38" t="str">
        <x:v>SourceFile</x:v>
      </x:c>
      <x:c r="W4" s="38" t="str">
        <x:v>LoadBatchID</x:v>
      </x:c>
      <x:c r="X4" s="38" t="str">
        <x:v>RecordStatus</x:v>
      </x:c>
      <x:c r="Y4" s="38" t="str">
        <x:v>LoadDecision</x:v>
      </x:c>
    </x:row>
    <x:row r="5" ht="18" customHeight="1">
      <x:c r="A5" s="5" t="s">
        <x:v>26</x:v>
      </x:c>
      <x:c r="B5" s="5">
        <x:v>21</x:v>
      </x:c>
      <x:c r="C5" s="6">
        <x:v>45950</x:v>
      </x:c>
      <x:c r="D5" s="5" t="s">
        <x:v>27</x:v>
      </x:c>
      <x:c r="E5" s="7">
        <x:v>9</x:v>
      </x:c>
      <x:c r="F5" s="5" t="s">
        <x:v>28</x:v>
      </x:c>
      <x:c r="G5" s="8">
        <x:v>50</x:v>
      </x:c>
      <x:c r="H5" s="5" t="s">
        <x:v>29</x:v>
      </x:c>
      <x:c r="I5" s="8">
        <x:v>1</x:v>
      </x:c>
      <x:c r="J5" t="str">
        <x:f t="shared" ref="J5:J68" si="0">IF(A5="","", "SAMP-"&amp;A5&amp;"-L"&amp;TEXT(B5,"00")&amp;"-"&amp;TEXT(C5,"yyyymmdd")&amp;"-"&amp;D5&amp;"-H"&amp;TEXT(E5,"00")&amp;"-"&amp;H5)</x:f>
        <x:v>SAMP-KG01-L21-20251020-ORD-2025-00019-H09-Choke Neck</x:v>
      </x:c>
      <x:c r="K5" t="str">
        <x:f t="shared" ref="K5:K68" si="1">IF(A5="","",IF(AND(G5&gt;=0,I5&gt;=0,I5&lt;=G5),"OK","CHECK"))</x:f>
        <x:v>OK</x:v>
      </x:c>
      <x:c r="L5" t="str">
        <x:f t="shared" ref="L5:L68" si="2">IF(A5="","",IF(AND(E5&gt;=0,E5&lt;=23),"OK","CHECK"))</x:f>
        <x:v>OK</x:v>
      </x:c>
      <x:c r="M5" t="str">
        <x:f t="shared" ref="M5:M68" si="3">IF(A5="","",IF(AND(K5="OK",L5="OK",O5="OK"),"OK","CHECK"))</x:f>
        <x:v>OK</x:v>
      </x:c>
      <x:c r="N5" t="str">
        <x:f>IF(A5="","", "PE-"&amp;A5&amp;"-L"&amp;TEXT(B5,"00")&amp;"-"&amp;TEXT(C5,"yyyymmdd")&amp;"-"&amp;F5&amp;"-"&amp;D5)</x:f>
        <x:v>PE-KG01-L21-20251020-AM-ORD-2025-00019</x:v>
      </x:c>
      <x:c r="O5" t="str">
        <x:f>IF(N5="","",IF(COUNTIF(_ProductionEventRef!$A$5:$A$500,N5)=1,"OK","CHECK"))</x:f>
        <x:v>OK</x:v>
      </x:c>
      <x:c r="P5" s="46" t="n">
        <x:f>IF(G5=0,0,I5/G5)</x:f>
        <x:v>0.02</x:v>
      </x:c>
      <x:c r="Q5" t="str">
        <x:v>SAMPLE_RATE_NON_ADDITIVE</x:v>
      </x:c>
      <x:c r="V5" t="str">
        <x:v>04_Quality_Log(6).xlsx</x:v>
      </x:c>
      <x:c r="W5" t="str">
        <x:v>ENH-20260830-01</x:v>
      </x:c>
      <x:c r="X5" t="str">
        <x:f>IF(AND(M5="OK",O5="OK"),"Active","Quarantine")</x:f>
        <x:v>Active</x:v>
      </x:c>
      <x:c r="Y5" t="str">
        <x:f>IF(X5="Active","LOAD","QUARANTINE")</x:f>
        <x:v>LOAD</x:v>
      </x:c>
    </x:row>
    <x:row r="6" ht="18" customHeight="1">
      <x:c r="A6" s="5" t="s">
        <x:v>26</x:v>
      </x:c>
      <x:c r="B6" s="5">
        <x:v>21</x:v>
      </x:c>
      <x:c r="C6" s="6">
        <x:v>45950</x:v>
      </x:c>
      <x:c r="D6" s="5" t="s">
        <x:v>27</x:v>
      </x:c>
      <x:c r="E6" s="7">
        <x:v>15</x:v>
      </x:c>
      <x:c r="F6" s="5" t="s">
        <x:v>28</x:v>
      </x:c>
      <x:c r="G6" s="8">
        <x:v>50</x:v>
      </x:c>
      <x:c r="H6" s="5" t="s">
        <x:v>30</x:v>
      </x:c>
      <x:c r="I6" s="8">
        <x:v>0</x:v>
      </x:c>
      <x:c r="J6" t="str">
        <x:f t="shared" si="0"/>
        <x:v>SAMP-KG01-L21-20251020-ORD-2025-00019-H15-Overpress</x:v>
      </x:c>
      <x:c r="K6" t="str">
        <x:f t="shared" si="1"/>
        <x:v>OK</x:v>
      </x:c>
      <x:c r="L6" t="str">
        <x:f t="shared" si="2"/>
        <x:v>OK</x:v>
      </x:c>
      <x:c r="M6" t="str">
        <x:f t="shared" si="3">IF(A6="","",IF(AND(K6="OK",L6="OK",O6="OK"),"OK","CHECK"))</x:f>
        <x:v>OK</x:v>
      </x:c>
      <x:c r="N6" t="str">
        <x:f>IF(A6="","", "PE-"&amp;A6&amp;"-L"&amp;TEXT(B6,"00")&amp;"-"&amp;TEXT(C6,"yyyymmdd")&amp;"-"&amp;F6&amp;"-"&amp;D6)</x:f>
        <x:v>PE-KG01-L21-20251020-AM-ORD-2025-00019</x:v>
      </x:c>
      <x:c r="O6" t="str">
        <x:f>IF(N6="","",IF(COUNTIF(_ProductionEventRef!$A$5:$A$500,N6)=1,"OK","CHECK"))</x:f>
        <x:v>OK</x:v>
      </x:c>
      <x:c r="P6" s="46" t="n">
        <x:f>IF(G6=0,0,I6/G6)</x:f>
        <x:v>0</x:v>
      </x:c>
      <x:c r="Q6" t="str">
        <x:v>SAMPLE_RATE_NON_ADDITIVE</x:v>
      </x:c>
      <x:c r="V6" t="str">
        <x:v>04_Quality_Log(6).xlsx</x:v>
      </x:c>
      <x:c r="W6" t="str">
        <x:v>ENH-20260830-01</x:v>
      </x:c>
      <x:c r="X6" t="str">
        <x:f>IF(AND(M6="OK",O6="OK"),"Active","Quarantine")</x:f>
        <x:v>Active</x:v>
      </x:c>
      <x:c r="Y6" t="str">
        <x:f>IF(X6="Active","LOAD","QUARANTINE")</x:f>
        <x:v>LOAD</x:v>
      </x:c>
    </x:row>
    <x:row r="7" ht="18" customHeight="1">
      <x:c r="A7" s="5" t="s">
        <x:v>26</x:v>
      </x:c>
      <x:c r="B7" s="5">
        <x:v>21</x:v>
      </x:c>
      <x:c r="C7" s="6">
        <x:v>45950</x:v>
      </x:c>
      <x:c r="D7" s="5" t="s">
        <x:v>27</x:v>
      </x:c>
      <x:c r="E7" s="7">
        <x:v>20</x:v>
      </x:c>
      <x:c r="F7" s="5" t="s">
        <x:v>31</x:v>
      </x:c>
      <x:c r="G7" s="8">
        <x:v>100</x:v>
      </x:c>
      <x:c r="H7" s="5" t="s">
        <x:v>29</x:v>
      </x:c>
      <x:c r="I7" s="8">
        <x:v>3</x:v>
      </x:c>
      <x:c r="J7" t="str">
        <x:f t="shared" si="0"/>
        <x:v>SAMP-KG01-L21-20251020-ORD-2025-00019-H20-Choke Neck</x:v>
      </x:c>
      <x:c r="K7" t="str">
        <x:f t="shared" si="1"/>
        <x:v>OK</x:v>
      </x:c>
      <x:c r="L7" t="str">
        <x:f t="shared" si="2"/>
        <x:v>OK</x:v>
      </x:c>
      <x:c r="M7" t="str">
        <x:f t="shared" si="3">IF(A7="","",IF(AND(K7="OK",L7="OK",O7="OK"),"OK","CHECK"))</x:f>
        <x:v>OK</x:v>
      </x:c>
      <x:c r="N7" t="str">
        <x:f>IF(A7="","", "PE-"&amp;A7&amp;"-L"&amp;TEXT(B7,"00")&amp;"-"&amp;TEXT(C7,"yyyymmdd")&amp;"-"&amp;F7&amp;"-"&amp;D7)</x:f>
        <x:v>PE-KG01-L21-20251020-PM-ORD-2025-00019</x:v>
      </x:c>
      <x:c r="O7" t="str">
        <x:f>IF(N7="","",IF(COUNTIF(_ProductionEventRef!$A$5:$A$500,N7)=1,"OK","CHECK"))</x:f>
        <x:v>OK</x:v>
      </x:c>
      <x:c r="P7" s="46" t="n">
        <x:f>IF(G7=0,0,I7/G7)</x:f>
        <x:v>0.03</x:v>
      </x:c>
      <x:c r="Q7" t="str">
        <x:v>SAMPLE_RATE_NON_ADDITIVE</x:v>
      </x:c>
      <x:c r="V7" t="str">
        <x:v>04_Quality_Log(6).xlsx</x:v>
      </x:c>
      <x:c r="W7" t="str">
        <x:v>ENH-20260830-01</x:v>
      </x:c>
      <x:c r="X7" t="str">
        <x:f>IF(AND(M7="OK",O7="OK"),"Active","Quarantine")</x:f>
        <x:v>Active</x:v>
      </x:c>
      <x:c r="Y7" t="str">
        <x:f>IF(X7="Active","LOAD","QUARANTINE")</x:f>
        <x:v>LOAD</x:v>
      </x:c>
    </x:row>
    <x:row r="8" ht="18" customHeight="1">
      <x:c r="A8" s="5" t="s">
        <x:v>26</x:v>
      </x:c>
      <x:c r="B8" s="5">
        <x:v>21</x:v>
      </x:c>
      <x:c r="C8" s="6">
        <x:v>45950</x:v>
      </x:c>
      <x:c r="D8" s="5" t="s">
        <x:v>27</x:v>
      </x:c>
      <x:c r="E8" s="7">
        <x:v>23</x:v>
      </x:c>
      <x:c r="F8" s="5" t="s">
        <x:v>31</x:v>
      </x:c>
      <x:c r="G8" s="8">
        <x:v>150</x:v>
      </x:c>
      <x:c r="H8" s="5" t="s">
        <x:v>30</x:v>
      </x:c>
      <x:c r="I8" s="8">
        <x:v>5</x:v>
      </x:c>
      <x:c r="J8" t="str">
        <x:f t="shared" si="0"/>
        <x:v>SAMP-KG01-L21-20251020-ORD-2025-00019-H23-Overpress</x:v>
      </x:c>
      <x:c r="K8" t="str">
        <x:f t="shared" si="1"/>
        <x:v>OK</x:v>
      </x:c>
      <x:c r="L8" t="str">
        <x:f t="shared" si="2"/>
        <x:v>OK</x:v>
      </x:c>
      <x:c r="M8" t="str">
        <x:f t="shared" si="3">IF(A8="","",IF(AND(K8="OK",L8="OK",O8="OK"),"OK","CHECK"))</x:f>
        <x:v>OK</x:v>
      </x:c>
      <x:c r="N8" t="str">
        <x:f>IF(A8="","", "PE-"&amp;A8&amp;"-L"&amp;TEXT(B8,"00")&amp;"-"&amp;TEXT(C8,"yyyymmdd")&amp;"-"&amp;F8&amp;"-"&amp;D8)</x:f>
        <x:v>PE-KG01-L21-20251020-PM-ORD-2025-00019</x:v>
      </x:c>
      <x:c r="O8" t="str">
        <x:f>IF(N8="","",IF(COUNTIF(_ProductionEventRef!$A$5:$A$500,N8)=1,"OK","CHECK"))</x:f>
        <x:v>OK</x:v>
      </x:c>
      <x:c r="P8" s="46" t="n">
        <x:f>IF(G8=0,0,I8/G8)</x:f>
        <x:v>0.03333333333333333</x:v>
      </x:c>
      <x:c r="Q8" t="str">
        <x:v>SAMPLE_RATE_NON_ADDITIVE</x:v>
      </x:c>
      <x:c r="V8" t="str">
        <x:v>04_Quality_Log(6).xlsx</x:v>
      </x:c>
      <x:c r="W8" t="str">
        <x:v>ENH-20260830-01</x:v>
      </x:c>
      <x:c r="X8" t="str">
        <x:f>IF(AND(M8="OK",O8="OK"),"Active","Quarantine")</x:f>
        <x:v>Active</x:v>
      </x:c>
      <x:c r="Y8" t="str">
        <x:f>IF(X8="Active","LOAD","QUARANTINE")</x:f>
        <x:v>LOAD</x:v>
      </x:c>
    </x:row>
    <x:row r="9" ht="18" customHeight="1">
      <x:c r="A9" s="5" t="s">
        <x:v>26</x:v>
      </x:c>
      <x:c r="B9" s="5">
        <x:v>21</x:v>
      </x:c>
      <x:c r="C9" s="6">
        <x:v>45951</x:v>
      </x:c>
      <x:c r="D9" s="5" t="s">
        <x:v>32</x:v>
      </x:c>
      <x:c r="E9" s="7">
        <x:v>7</x:v>
      </x:c>
      <x:c r="F9" s="5" t="s">
        <x:v>28</x:v>
      </x:c>
      <x:c r="G9" s="8">
        <x:v>50</x:v>
      </x:c>
      <x:c r="H9" s="5" t="s">
        <x:v>33</x:v>
      </x:c>
      <x:c r="I9" s="8">
        <x:v>0</x:v>
      </x:c>
      <x:c r="J9" t="str">
        <x:f t="shared" si="0"/>
        <x:v>SAMP-KG01-L21-20251021-ORD-2025-00020-H07-Distortion</x:v>
      </x:c>
      <x:c r="K9" t="str">
        <x:f t="shared" si="1"/>
        <x:v>OK</x:v>
      </x:c>
      <x:c r="L9" t="str">
        <x:f t="shared" si="2"/>
        <x:v>OK</x:v>
      </x:c>
      <x:c r="M9" t="str">
        <x:f t="shared" si="3">IF(A9="","",IF(AND(K9="OK",L9="OK",O9="OK"),"OK","CHECK"))</x:f>
        <x:v>OK</x:v>
      </x:c>
      <x:c r="N9" t="str">
        <x:f>IF(A9="","", "PE-"&amp;A9&amp;"-L"&amp;TEXT(B9,"00")&amp;"-"&amp;TEXT(C9,"yyyymmdd")&amp;"-"&amp;F9&amp;"-"&amp;D9)</x:f>
        <x:v>PE-KG01-L21-20251021-AM-ORD-2025-00020</x:v>
      </x:c>
      <x:c r="O9" t="str">
        <x:f>IF(N9="","",IF(COUNTIF(_ProductionEventRef!$A$5:$A$500,N9)=1,"OK","CHECK"))</x:f>
        <x:v>OK</x:v>
      </x:c>
      <x:c r="P9" s="46" t="n">
        <x:f>IF(G9=0,0,I9/G9)</x:f>
        <x:v>0</x:v>
      </x:c>
      <x:c r="Q9" t="str">
        <x:v>SAMPLE_RATE_NON_ADDITIVE</x:v>
      </x:c>
      <x:c r="V9" t="str">
        <x:v>04_Quality_Log(6).xlsx</x:v>
      </x:c>
      <x:c r="W9" t="str">
        <x:v>ENH-20260830-01</x:v>
      </x:c>
      <x:c r="X9" t="str">
        <x:f>IF(AND(M9="OK",O9="OK"),"Active","Quarantine")</x:f>
        <x:v>Active</x:v>
      </x:c>
      <x:c r="Y9" t="str">
        <x:f>IF(X9="Active","LOAD","QUARANTINE")</x:f>
        <x:v>LOAD</x:v>
      </x:c>
    </x:row>
    <x:row r="10" ht="18" customHeight="1">
      <x:c r="A10" s="5" t="s">
        <x:v>26</x:v>
      </x:c>
      <x:c r="B10" s="5">
        <x:v>21</x:v>
      </x:c>
      <x:c r="C10" s="6">
        <x:v>45951</x:v>
      </x:c>
      <x:c r="D10" s="5" t="s">
        <x:v>32</x:v>
      </x:c>
      <x:c r="E10" s="7">
        <x:v>12</x:v>
      </x:c>
      <x:c r="F10" s="5" t="s">
        <x:v>28</x:v>
      </x:c>
      <x:c r="G10" s="8">
        <x:v>200</x:v>
      </x:c>
      <x:c r="H10" s="5" t="s">
        <x:v>34</x:v>
      </x:c>
      <x:c r="I10" s="8">
        <x:v>7</x:v>
      </x:c>
      <x:c r="J10" t="str">
        <x:f t="shared" si="0"/>
        <x:v>SAMP-KG01-L21-20251021-ORD-2025-00020-H12-Thin Wall</x:v>
      </x:c>
      <x:c r="K10" t="str">
        <x:f t="shared" si="1"/>
        <x:v>OK</x:v>
      </x:c>
      <x:c r="L10" t="str">
        <x:f t="shared" si="2"/>
        <x:v>OK</x:v>
      </x:c>
      <x:c r="M10" t="str">
        <x:f t="shared" si="3">IF(A10="","",IF(AND(K10="OK",L10="OK",O10="OK"),"OK","CHECK"))</x:f>
        <x:v>OK</x:v>
      </x:c>
      <x:c r="N10" t="str">
        <x:f>IF(A10="","", "PE-"&amp;A10&amp;"-L"&amp;TEXT(B10,"00")&amp;"-"&amp;TEXT(C10,"yyyymmdd")&amp;"-"&amp;F10&amp;"-"&amp;D10)</x:f>
        <x:v>PE-KG01-L21-20251021-AM-ORD-2025-00020</x:v>
      </x:c>
      <x:c r="O10" t="str">
        <x:f>IF(N10="","",IF(COUNTIF(_ProductionEventRef!$A$5:$A$500,N10)=1,"OK","CHECK"))</x:f>
        <x:v>OK</x:v>
      </x:c>
      <x:c r="P10" s="46" t="n">
        <x:f>IF(G10=0,0,I10/G10)</x:f>
        <x:v>0.035</x:v>
      </x:c>
      <x:c r="Q10" t="str">
        <x:v>SAMPLE_RATE_NON_ADDITIVE</x:v>
      </x:c>
      <x:c r="V10" t="str">
        <x:v>04_Quality_Log(6).xlsx</x:v>
      </x:c>
      <x:c r="W10" t="str">
        <x:v>ENH-20260830-01</x:v>
      </x:c>
      <x:c r="X10" t="str">
        <x:f>IF(AND(M10="OK",O10="OK"),"Active","Quarantine")</x:f>
        <x:v>Active</x:v>
      </x:c>
      <x:c r="Y10" t="str">
        <x:f>IF(X10="Active","LOAD","QUARANTINE")</x:f>
        <x:v>LOAD</x:v>
      </x:c>
    </x:row>
    <x:row r="11" ht="18" customHeight="1">
      <x:c r="A11" s="5" t="s">
        <x:v>26</x:v>
      </x:c>
      <x:c r="B11" s="5">
        <x:v>21</x:v>
      </x:c>
      <x:c r="C11" s="6">
        <x:v>45951</x:v>
      </x:c>
      <x:c r="D11" s="5" t="s">
        <x:v>32</x:v>
      </x:c>
      <x:c r="E11" s="7">
        <x:v>16</x:v>
      </x:c>
      <x:c r="F11" s="5" t="s">
        <x:v>28</x:v>
      </x:c>
      <x:c r="G11" s="8">
        <x:v>100</x:v>
      </x:c>
      <x:c r="H11" s="5" t="s">
        <x:v>35</x:v>
      </x:c>
      <x:c r="I11" s="8">
        <x:v>10</x:v>
      </x:c>
      <x:c r="J11" t="str">
        <x:f t="shared" si="0"/>
        <x:v>SAMP-KG01-L21-20251021-ORD-2025-00020-H16-Stone</x:v>
      </x:c>
      <x:c r="K11" t="str">
        <x:f t="shared" si="1"/>
        <x:v>OK</x:v>
      </x:c>
      <x:c r="L11" t="str">
        <x:f t="shared" si="2"/>
        <x:v>OK</x:v>
      </x:c>
      <x:c r="M11" t="str">
        <x:f t="shared" si="3">IF(A11="","",IF(AND(K11="OK",L11="OK",O11="OK"),"OK","CHECK"))</x:f>
        <x:v>OK</x:v>
      </x:c>
      <x:c r="N11" t="str">
        <x:f>IF(A11="","", "PE-"&amp;A11&amp;"-L"&amp;TEXT(B11,"00")&amp;"-"&amp;TEXT(C11,"yyyymmdd")&amp;"-"&amp;F11&amp;"-"&amp;D11)</x:f>
        <x:v>PE-KG01-L21-20251021-AM-ORD-2025-00020</x:v>
      </x:c>
      <x:c r="O11" t="str">
        <x:f>IF(N11="","",IF(COUNTIF(_ProductionEventRef!$A$5:$A$500,N11)=1,"OK","CHECK"))</x:f>
        <x:v>OK</x:v>
      </x:c>
      <x:c r="P11" s="46" t="n">
        <x:f>IF(G11=0,0,I11/G11)</x:f>
        <x:v>0.1</x:v>
      </x:c>
      <x:c r="Q11" t="str">
        <x:v>SAMPLE_RATE_NON_ADDITIVE</x:v>
      </x:c>
      <x:c r="V11" t="str">
        <x:v>04_Quality_Log(6).xlsx</x:v>
      </x:c>
      <x:c r="W11" t="str">
        <x:v>ENH-20260830-01</x:v>
      </x:c>
      <x:c r="X11" t="str">
        <x:f>IF(AND(M11="OK",O11="OK"),"Active","Quarantine")</x:f>
        <x:v>Active</x:v>
      </x:c>
      <x:c r="Y11" t="str">
        <x:f>IF(X11="Active","LOAD","QUARANTINE")</x:f>
        <x:v>LOAD</x:v>
      </x:c>
    </x:row>
    <x:row r="12" ht="18" customHeight="1">
      <x:c r="A12" s="5" t="s">
        <x:v>26</x:v>
      </x:c>
      <x:c r="B12" s="5">
        <x:v>21</x:v>
      </x:c>
      <x:c r="C12" s="6">
        <x:v>45951</x:v>
      </x:c>
      <x:c r="D12" s="5" t="s">
        <x:v>32</x:v>
      </x:c>
      <x:c r="E12" s="7">
        <x:v>20</x:v>
      </x:c>
      <x:c r="F12" s="5" t="s">
        <x:v>31</x:v>
      </x:c>
      <x:c r="G12" s="8">
        <x:v>200</x:v>
      </x:c>
      <x:c r="H12" s="5" t="s">
        <x:v>36</x:v>
      </x:c>
      <x:c r="I12" s="8">
        <x:v>6</x:v>
      </x:c>
      <x:c r="J12" t="str">
        <x:f t="shared" si="0"/>
        <x:v>SAMP-KG01-L21-20251021-ORD-2025-00020-H20-Blister</x:v>
      </x:c>
      <x:c r="K12" t="str">
        <x:f t="shared" si="1"/>
        <x:v>OK</x:v>
      </x:c>
      <x:c r="L12" t="str">
        <x:f t="shared" si="2"/>
        <x:v>OK</x:v>
      </x:c>
      <x:c r="M12" t="str">
        <x:f t="shared" si="3">IF(A12="","",IF(AND(K12="OK",L12="OK",O12="OK"),"OK","CHECK"))</x:f>
        <x:v>OK</x:v>
      </x:c>
      <x:c r="N12" t="str">
        <x:f>IF(A12="","", "PE-"&amp;A12&amp;"-L"&amp;TEXT(B12,"00")&amp;"-"&amp;TEXT(C12,"yyyymmdd")&amp;"-"&amp;F12&amp;"-"&amp;D12)</x:f>
        <x:v>PE-KG01-L21-20251021-PM-ORD-2025-00020</x:v>
      </x:c>
      <x:c r="O12" t="str">
        <x:f>IF(N12="","",IF(COUNTIF(_ProductionEventRef!$A$5:$A$500,N12)=1,"OK","CHECK"))</x:f>
        <x:v>OK</x:v>
      </x:c>
      <x:c r="P12" s="46" t="n">
        <x:f>IF(G12=0,0,I12/G12)</x:f>
        <x:v>0.03</x:v>
      </x:c>
      <x:c r="Q12" t="str">
        <x:v>SAMPLE_RATE_NON_ADDITIVE</x:v>
      </x:c>
      <x:c r="V12" t="str">
        <x:v>04_Quality_Log(6).xlsx</x:v>
      </x:c>
      <x:c r="W12" t="str">
        <x:v>ENH-20260830-01</x:v>
      </x:c>
      <x:c r="X12" t="str">
        <x:f>IF(AND(M12="OK",O12="OK"),"Active","Quarantine")</x:f>
        <x:v>Active</x:v>
      </x:c>
      <x:c r="Y12" t="str">
        <x:f>IF(X12="Active","LOAD","QUARANTINE")</x:f>
        <x:v>LOAD</x:v>
      </x:c>
    </x:row>
    <x:row r="13" ht="18" customHeight="1">
      <x:c r="A13" s="5" t="s">
        <x:v>26</x:v>
      </x:c>
      <x:c r="B13" s="5">
        <x:v>21</x:v>
      </x:c>
      <x:c r="C13" s="6">
        <x:v>45951</x:v>
      </x:c>
      <x:c r="D13" s="5" t="s">
        <x:v>32</x:v>
      </x:c>
      <x:c r="E13" s="7">
        <x:v>23</x:v>
      </x:c>
      <x:c r="F13" s="5" t="s">
        <x:v>31</x:v>
      </x:c>
      <x:c r="G13" s="8">
        <x:v>200</x:v>
      </x:c>
      <x:c r="H13" s="5" t="s">
        <x:v>30</x:v>
      </x:c>
      <x:c r="I13" s="8">
        <x:v>0</x:v>
      </x:c>
      <x:c r="J13" t="str">
        <x:f t="shared" si="0"/>
        <x:v>SAMP-KG01-L21-20251021-ORD-2025-00020-H23-Overpress</x:v>
      </x:c>
      <x:c r="K13" t="str">
        <x:f t="shared" si="1"/>
        <x:v>OK</x:v>
      </x:c>
      <x:c r="L13" t="str">
        <x:f t="shared" si="2"/>
        <x:v>OK</x:v>
      </x:c>
      <x:c r="M13" t="str">
        <x:f t="shared" si="3">IF(A13="","",IF(AND(K13="OK",L13="OK",O13="OK"),"OK","CHECK"))</x:f>
        <x:v>OK</x:v>
      </x:c>
      <x:c r="N13" t="str">
        <x:f>IF(A13="","", "PE-"&amp;A13&amp;"-L"&amp;TEXT(B13,"00")&amp;"-"&amp;TEXT(C13,"yyyymmdd")&amp;"-"&amp;F13&amp;"-"&amp;D13)</x:f>
        <x:v>PE-KG01-L21-20251021-PM-ORD-2025-00020</x:v>
      </x:c>
      <x:c r="O13" t="str">
        <x:f>IF(N13="","",IF(COUNTIF(_ProductionEventRef!$A$5:$A$500,N13)=1,"OK","CHECK"))</x:f>
        <x:v>OK</x:v>
      </x:c>
      <x:c r="P13" s="46" t="n">
        <x:f>IF(G13=0,0,I13/G13)</x:f>
        <x:v>0</x:v>
      </x:c>
      <x:c r="Q13" t="str">
        <x:v>SAMPLE_RATE_NON_ADDITIVE</x:v>
      </x:c>
      <x:c r="V13" t="str">
        <x:v>04_Quality_Log(6).xlsx</x:v>
      </x:c>
      <x:c r="W13" t="str">
        <x:v>ENH-20260830-01</x:v>
      </x:c>
      <x:c r="X13" t="str">
        <x:f>IF(AND(M13="OK",O13="OK"),"Active","Quarantine")</x:f>
        <x:v>Active</x:v>
      </x:c>
      <x:c r="Y13" t="str">
        <x:f>IF(X13="Active","LOAD","QUARANTINE")</x:f>
        <x:v>LOAD</x:v>
      </x:c>
    </x:row>
    <x:row r="14" ht="18" customHeight="1">
      <x:c r="A14" s="5" t="s">
        <x:v>26</x:v>
      </x:c>
      <x:c r="B14" s="5">
        <x:v>21</x:v>
      </x:c>
      <x:c r="C14" s="6">
        <x:v>45952</x:v>
      </x:c>
      <x:c r="D14" s="5" t="s">
        <x:v>32</x:v>
      </x:c>
      <x:c r="E14" s="7">
        <x:v>9</x:v>
      </x:c>
      <x:c r="F14" s="5" t="s">
        <x:v>28</x:v>
      </x:c>
      <x:c r="G14" s="8">
        <x:v>200</x:v>
      </x:c>
      <x:c r="H14" s="5" t="s">
        <x:v>33</x:v>
      </x:c>
      <x:c r="I14" s="8">
        <x:v>4</x:v>
      </x:c>
      <x:c r="J14" t="str">
        <x:f t="shared" si="0"/>
        <x:v>SAMP-KG01-L21-20251022-ORD-2025-00020-H09-Distortion</x:v>
      </x:c>
      <x:c r="K14" t="str">
        <x:f t="shared" si="1"/>
        <x:v>OK</x:v>
      </x:c>
      <x:c r="L14" t="str">
        <x:f t="shared" si="2"/>
        <x:v>OK</x:v>
      </x:c>
      <x:c r="M14" t="str">
        <x:f t="shared" si="3">IF(A14="","",IF(AND(K14="OK",L14="OK",O14="OK"),"OK","CHECK"))</x:f>
        <x:v>OK</x:v>
      </x:c>
      <x:c r="N14" t="str">
        <x:f>IF(A14="","", "PE-"&amp;A14&amp;"-L"&amp;TEXT(B14,"00")&amp;"-"&amp;TEXT(C14,"yyyymmdd")&amp;"-"&amp;F14&amp;"-"&amp;D14)</x:f>
        <x:v>PE-KG01-L21-20251022-AM-ORD-2025-00020</x:v>
      </x:c>
      <x:c r="O14" t="str">
        <x:f>IF(N14="","",IF(COUNTIF(_ProductionEventRef!$A$5:$A$500,N14)=1,"OK","CHECK"))</x:f>
        <x:v>OK</x:v>
      </x:c>
      <x:c r="P14" s="46" t="n">
        <x:f>IF(G14=0,0,I14/G14)</x:f>
        <x:v>0.02</x:v>
      </x:c>
      <x:c r="Q14" t="str">
        <x:v>SAMPLE_RATE_NON_ADDITIVE</x:v>
      </x:c>
      <x:c r="V14" t="str">
        <x:v>04_Quality_Log(6).xlsx</x:v>
      </x:c>
      <x:c r="W14" t="str">
        <x:v>ENH-20260830-01</x:v>
      </x:c>
      <x:c r="X14" t="str">
        <x:f>IF(AND(M14="OK",O14="OK"),"Active","Quarantine")</x:f>
        <x:v>Active</x:v>
      </x:c>
      <x:c r="Y14" t="str">
        <x:f>IF(X14="Active","LOAD","QUARANTINE")</x:f>
        <x:v>LOAD</x:v>
      </x:c>
    </x:row>
    <x:row r="15" ht="18" customHeight="1">
      <x:c r="A15" s="5" t="s">
        <x:v>26</x:v>
      </x:c>
      <x:c r="B15" s="5">
        <x:v>21</x:v>
      </x:c>
      <x:c r="C15" s="6">
        <x:v>45952</x:v>
      </x:c>
      <x:c r="D15" s="5" t="s">
        <x:v>32</x:v>
      </x:c>
      <x:c r="E15" s="7">
        <x:v>15</x:v>
      </x:c>
      <x:c r="F15" s="5" t="s">
        <x:v>28</x:v>
      </x:c>
      <x:c r="G15" s="8">
        <x:v>100</x:v>
      </x:c>
      <x:c r="H15" s="5" t="s">
        <x:v>30</x:v>
      </x:c>
      <x:c r="I15" s="8">
        <x:v>2</x:v>
      </x:c>
      <x:c r="J15" t="str">
        <x:f t="shared" si="0"/>
        <x:v>SAMP-KG01-L21-20251022-ORD-2025-00020-H15-Overpress</x:v>
      </x:c>
      <x:c r="K15" t="str">
        <x:f t="shared" si="1"/>
        <x:v>OK</x:v>
      </x:c>
      <x:c r="L15" t="str">
        <x:f t="shared" si="2"/>
        <x:v>OK</x:v>
      </x:c>
      <x:c r="M15" t="str">
        <x:f t="shared" si="3">IF(A15="","",IF(AND(K15="OK",L15="OK",O15="OK"),"OK","CHECK"))</x:f>
        <x:v>OK</x:v>
      </x:c>
      <x:c r="N15" t="str">
        <x:f>IF(A15="","", "PE-"&amp;A15&amp;"-L"&amp;TEXT(B15,"00")&amp;"-"&amp;TEXT(C15,"yyyymmdd")&amp;"-"&amp;F15&amp;"-"&amp;D15)</x:f>
        <x:v>PE-KG01-L21-20251022-AM-ORD-2025-00020</x:v>
      </x:c>
      <x:c r="O15" t="str">
        <x:f>IF(N15="","",IF(COUNTIF(_ProductionEventRef!$A$5:$A$500,N15)=1,"OK","CHECK"))</x:f>
        <x:v>OK</x:v>
      </x:c>
      <x:c r="P15" s="46" t="n">
        <x:f>IF(G15=0,0,I15/G15)</x:f>
        <x:v>0.02</x:v>
      </x:c>
      <x:c r="Q15" t="str">
        <x:v>SAMPLE_RATE_NON_ADDITIVE</x:v>
      </x:c>
      <x:c r="V15" t="str">
        <x:v>04_Quality_Log(6).xlsx</x:v>
      </x:c>
      <x:c r="W15" t="str">
        <x:v>ENH-20260830-01</x:v>
      </x:c>
      <x:c r="X15" t="str">
        <x:f>IF(AND(M15="OK",O15="OK"),"Active","Quarantine")</x:f>
        <x:v>Active</x:v>
      </x:c>
      <x:c r="Y15" t="str">
        <x:f>IF(X15="Active","LOAD","QUARANTINE")</x:f>
        <x:v>LOAD</x:v>
      </x:c>
    </x:row>
    <x:row r="16" ht="18" customHeight="1">
      <x:c r="A16" s="5" t="s">
        <x:v>26</x:v>
      </x:c>
      <x:c r="B16" s="5">
        <x:v>21</x:v>
      </x:c>
      <x:c r="C16" s="6">
        <x:v>45952</x:v>
      </x:c>
      <x:c r="D16" s="5" t="s">
        <x:v>32</x:v>
      </x:c>
      <x:c r="E16" s="7">
        <x:v>20</x:v>
      </x:c>
      <x:c r="F16" s="5" t="s">
        <x:v>31</x:v>
      </x:c>
      <x:c r="G16" s="8">
        <x:v>100</x:v>
      </x:c>
      <x:c r="H16" s="5" t="s">
        <x:v>37</x:v>
      </x:c>
      <x:c r="I16" s="8">
        <x:v>2</x:v>
      </x:c>
      <x:c r="J16" t="str">
        <x:f t="shared" si="0"/>
        <x:v>SAMP-KG01-L21-20251022-ORD-2025-00020-H20-Bird Swing</x:v>
      </x:c>
      <x:c r="K16" t="str">
        <x:f t="shared" si="1"/>
        <x:v>OK</x:v>
      </x:c>
      <x:c r="L16" t="str">
        <x:f t="shared" si="2"/>
        <x:v>OK</x:v>
      </x:c>
      <x:c r="M16" t="str">
        <x:f t="shared" si="3">IF(A16="","",IF(AND(K16="OK",L16="OK",O16="OK"),"OK","CHECK"))</x:f>
        <x:v>OK</x:v>
      </x:c>
      <x:c r="N16" t="str">
        <x:f>IF(A16="","", "PE-"&amp;A16&amp;"-L"&amp;TEXT(B16,"00")&amp;"-"&amp;TEXT(C16,"yyyymmdd")&amp;"-"&amp;F16&amp;"-"&amp;D16)</x:f>
        <x:v>PE-KG01-L21-20251022-PM-ORD-2025-00020</x:v>
      </x:c>
      <x:c r="O16" t="str">
        <x:f>IF(N16="","",IF(COUNTIF(_ProductionEventRef!$A$5:$A$500,N16)=1,"OK","CHECK"))</x:f>
        <x:v>OK</x:v>
      </x:c>
      <x:c r="P16" s="46" t="n">
        <x:f>IF(G16=0,0,I16/G16)</x:f>
        <x:v>0.02</x:v>
      </x:c>
      <x:c r="Q16" t="str">
        <x:v>SAMPLE_RATE_NON_ADDITIVE</x:v>
      </x:c>
      <x:c r="V16" t="str">
        <x:v>04_Quality_Log(6).xlsx</x:v>
      </x:c>
      <x:c r="W16" t="str">
        <x:v>ENH-20260830-01</x:v>
      </x:c>
      <x:c r="X16" t="str">
        <x:f>IF(AND(M16="OK",O16="OK"),"Active","Quarantine")</x:f>
        <x:v>Active</x:v>
      </x:c>
      <x:c r="Y16" t="str">
        <x:f>IF(X16="Active","LOAD","QUARANTINE")</x:f>
        <x:v>LOAD</x:v>
      </x:c>
    </x:row>
    <x:row r="17" ht="18" customHeight="1">
      <x:c r="A17" s="5" t="s">
        <x:v>26</x:v>
      </x:c>
      <x:c r="B17" s="5">
        <x:v>21</x:v>
      </x:c>
      <x:c r="C17" s="6">
        <x:v>45952</x:v>
      </x:c>
      <x:c r="D17" s="5" t="s">
        <x:v>32</x:v>
      </x:c>
      <x:c r="E17" s="7">
        <x:v>23</x:v>
      </x:c>
      <x:c r="F17" s="5" t="s">
        <x:v>31</x:v>
      </x:c>
      <x:c r="G17" s="8">
        <x:v>200</x:v>
      </x:c>
      <x:c r="H17" s="5" t="s">
        <x:v>33</x:v>
      </x:c>
      <x:c r="I17" s="8">
        <x:v>3</x:v>
      </x:c>
      <x:c r="J17" t="str">
        <x:f t="shared" si="0"/>
        <x:v>SAMP-KG01-L21-20251022-ORD-2025-00020-H23-Distortion</x:v>
      </x:c>
      <x:c r="K17" t="str">
        <x:f t="shared" si="1"/>
        <x:v>OK</x:v>
      </x:c>
      <x:c r="L17" t="str">
        <x:f t="shared" si="2"/>
        <x:v>OK</x:v>
      </x:c>
      <x:c r="M17" t="str">
        <x:f t="shared" si="3">IF(A17="","",IF(AND(K17="OK",L17="OK",O17="OK"),"OK","CHECK"))</x:f>
        <x:v>OK</x:v>
      </x:c>
      <x:c r="N17" t="str">
        <x:f>IF(A17="","", "PE-"&amp;A17&amp;"-L"&amp;TEXT(B17,"00")&amp;"-"&amp;TEXT(C17,"yyyymmdd")&amp;"-"&amp;F17&amp;"-"&amp;D17)</x:f>
        <x:v>PE-KG01-L21-20251022-PM-ORD-2025-00020</x:v>
      </x:c>
      <x:c r="O17" t="str">
        <x:f>IF(N17="","",IF(COUNTIF(_ProductionEventRef!$A$5:$A$500,N17)=1,"OK","CHECK"))</x:f>
        <x:v>OK</x:v>
      </x:c>
      <x:c r="P17" s="46" t="n">
        <x:f>IF(G17=0,0,I17/G17)</x:f>
        <x:v>0.015</x:v>
      </x:c>
      <x:c r="Q17" t="str">
        <x:v>SAMPLE_RATE_NON_ADDITIVE</x:v>
      </x:c>
      <x:c r="V17" t="str">
        <x:v>04_Quality_Log(6).xlsx</x:v>
      </x:c>
      <x:c r="W17" t="str">
        <x:v>ENH-20260830-01</x:v>
      </x:c>
      <x:c r="X17" t="str">
        <x:f>IF(AND(M17="OK",O17="OK"),"Active","Quarantine")</x:f>
        <x:v>Active</x:v>
      </x:c>
      <x:c r="Y17" t="str">
        <x:f>IF(X17="Active","LOAD","QUARANTINE")</x:f>
        <x:v>LOAD</x:v>
      </x:c>
    </x:row>
    <x:row r="18" ht="18" customHeight="1">
      <x:c r="A18" s="5" t="s">
        <x:v>26</x:v>
      </x:c>
      <x:c r="B18" s="5">
        <x:v>21</x:v>
      </x:c>
      <x:c r="C18" s="6">
        <x:v>45953</x:v>
      </x:c>
      <x:c r="D18" s="5" t="s">
        <x:v>32</x:v>
      </x:c>
      <x:c r="E18" s="7">
        <x:v>9</x:v>
      </x:c>
      <x:c r="F18" s="5" t="s">
        <x:v>28</x:v>
      </x:c>
      <x:c r="G18" s="8">
        <x:v>50</x:v>
      </x:c>
      <x:c r="H18" s="5" t="s">
        <x:v>38</x:v>
      </x:c>
      <x:c r="I18" s="8">
        <x:v>0</x:v>
      </x:c>
      <x:c r="J18" t="str">
        <x:f t="shared" si="0"/>
        <x:v>SAMP-KG01-L21-20251023-ORD-2025-00020-H09-Crack</x:v>
      </x:c>
      <x:c r="K18" t="str">
        <x:f t="shared" si="1"/>
        <x:v>OK</x:v>
      </x:c>
      <x:c r="L18" t="str">
        <x:f t="shared" si="2"/>
        <x:v>OK</x:v>
      </x:c>
      <x:c r="M18" t="str">
        <x:f t="shared" si="3">IF(A18="","",IF(AND(K18="OK",L18="OK",O18="OK"),"OK","CHECK"))</x:f>
        <x:v>OK</x:v>
      </x:c>
      <x:c r="N18" t="str">
        <x:f>IF(A18="","", "PE-"&amp;A18&amp;"-L"&amp;TEXT(B18,"00")&amp;"-"&amp;TEXT(C18,"yyyymmdd")&amp;"-"&amp;F18&amp;"-"&amp;D18)</x:f>
        <x:v>PE-KG01-L21-20251023-AM-ORD-2025-00020</x:v>
      </x:c>
      <x:c r="O18" t="str">
        <x:f>IF(N18="","",IF(COUNTIF(_ProductionEventRef!$A$5:$A$500,N18)=1,"OK","CHECK"))</x:f>
        <x:v>OK</x:v>
      </x:c>
      <x:c r="P18" s="46" t="n">
        <x:f>IF(G18=0,0,I18/G18)</x:f>
        <x:v>0</x:v>
      </x:c>
      <x:c r="Q18" t="str">
        <x:v>SAMPLE_RATE_NON_ADDITIVE</x:v>
      </x:c>
      <x:c r="V18" t="str">
        <x:v>04_Quality_Log(6).xlsx</x:v>
      </x:c>
      <x:c r="W18" t="str">
        <x:v>ENH-20260830-01</x:v>
      </x:c>
      <x:c r="X18" t="str">
        <x:f>IF(AND(M18="OK",O18="OK"),"Active","Quarantine")</x:f>
        <x:v>Active</x:v>
      </x:c>
      <x:c r="Y18" t="str">
        <x:f>IF(X18="Active","LOAD","QUARANTINE")</x:f>
        <x:v>LOAD</x:v>
      </x:c>
    </x:row>
    <x:row r="19" ht="18" customHeight="1">
      <x:c r="A19" s="5" t="s">
        <x:v>26</x:v>
      </x:c>
      <x:c r="B19" s="5">
        <x:v>21</x:v>
      </x:c>
      <x:c r="C19" s="6">
        <x:v>45953</x:v>
      </x:c>
      <x:c r="D19" s="5" t="s">
        <x:v>32</x:v>
      </x:c>
      <x:c r="E19" s="7">
        <x:v>15</x:v>
      </x:c>
      <x:c r="F19" s="5" t="s">
        <x:v>28</x:v>
      </x:c>
      <x:c r="G19" s="8">
        <x:v>50</x:v>
      </x:c>
      <x:c r="H19" s="5" t="s">
        <x:v>34</x:v>
      </x:c>
      <x:c r="I19" s="8">
        <x:v>2</x:v>
      </x:c>
      <x:c r="J19" t="str">
        <x:f t="shared" si="0"/>
        <x:v>SAMP-KG01-L21-20251023-ORD-2025-00020-H15-Thin Wall</x:v>
      </x:c>
      <x:c r="K19" t="str">
        <x:f t="shared" si="1"/>
        <x:v>OK</x:v>
      </x:c>
      <x:c r="L19" t="str">
        <x:f t="shared" si="2"/>
        <x:v>OK</x:v>
      </x:c>
      <x:c r="M19" t="str">
        <x:f t="shared" si="3">IF(A19="","",IF(AND(K19="OK",L19="OK",O19="OK"),"OK","CHECK"))</x:f>
        <x:v>OK</x:v>
      </x:c>
      <x:c r="N19" t="str">
        <x:f>IF(A19="","", "PE-"&amp;A19&amp;"-L"&amp;TEXT(B19,"00")&amp;"-"&amp;TEXT(C19,"yyyymmdd")&amp;"-"&amp;F19&amp;"-"&amp;D19)</x:f>
        <x:v>PE-KG01-L21-20251023-AM-ORD-2025-00020</x:v>
      </x:c>
      <x:c r="O19" t="str">
        <x:f>IF(N19="","",IF(COUNTIF(_ProductionEventRef!$A$5:$A$500,N19)=1,"OK","CHECK"))</x:f>
        <x:v>OK</x:v>
      </x:c>
      <x:c r="P19" s="46" t="n">
        <x:f>IF(G19=0,0,I19/G19)</x:f>
        <x:v>0.04</x:v>
      </x:c>
      <x:c r="Q19" t="str">
        <x:v>SAMPLE_RATE_NON_ADDITIVE</x:v>
      </x:c>
      <x:c r="V19" t="str">
        <x:v>04_Quality_Log(6).xlsx</x:v>
      </x:c>
      <x:c r="W19" t="str">
        <x:v>ENH-20260830-01</x:v>
      </x:c>
      <x:c r="X19" t="str">
        <x:f>IF(AND(M19="OK",O19="OK"),"Active","Quarantine")</x:f>
        <x:v>Active</x:v>
      </x:c>
      <x:c r="Y19" t="str">
        <x:f>IF(X19="Active","LOAD","QUARANTINE")</x:f>
        <x:v>LOAD</x:v>
      </x:c>
    </x:row>
    <x:row r="20" ht="18" customHeight="1">
      <x:c r="A20" s="5" t="s">
        <x:v>26</x:v>
      </x:c>
      <x:c r="B20" s="5">
        <x:v>21</x:v>
      </x:c>
      <x:c r="C20" s="6">
        <x:v>45953</x:v>
      </x:c>
      <x:c r="D20" s="5" t="s">
        <x:v>32</x:v>
      </x:c>
      <x:c r="E20" s="7">
        <x:v>20</x:v>
      </x:c>
      <x:c r="F20" s="5" t="s">
        <x:v>31</x:v>
      </x:c>
      <x:c r="G20" s="8">
        <x:v>200</x:v>
      </x:c>
      <x:c r="H20" s="5" t="s">
        <x:v>30</x:v>
      </x:c>
      <x:c r="I20" s="8">
        <x:v>1</x:v>
      </x:c>
      <x:c r="J20" t="str">
        <x:f t="shared" si="0"/>
        <x:v>SAMP-KG01-L21-20251023-ORD-2025-00020-H20-Overpress</x:v>
      </x:c>
      <x:c r="K20" t="str">
        <x:f t="shared" si="1"/>
        <x:v>OK</x:v>
      </x:c>
      <x:c r="L20" t="str">
        <x:f t="shared" si="2"/>
        <x:v>OK</x:v>
      </x:c>
      <x:c r="M20" t="str">
        <x:f t="shared" si="3">IF(A20="","",IF(AND(K20="OK",L20="OK",O20="OK"),"OK","CHECK"))</x:f>
        <x:v>OK</x:v>
      </x:c>
      <x:c r="N20" t="str">
        <x:f>IF(A20="","", "PE-"&amp;A20&amp;"-L"&amp;TEXT(B20,"00")&amp;"-"&amp;TEXT(C20,"yyyymmdd")&amp;"-"&amp;F20&amp;"-"&amp;D20)</x:f>
        <x:v>PE-KG01-L21-20251023-PM-ORD-2025-00020</x:v>
      </x:c>
      <x:c r="O20" t="str">
        <x:f>IF(N20="","",IF(COUNTIF(_ProductionEventRef!$A$5:$A$500,N20)=1,"OK","CHECK"))</x:f>
        <x:v>OK</x:v>
      </x:c>
      <x:c r="P20" s="46" t="n">
        <x:f>IF(G20=0,0,I20/G20)</x:f>
        <x:v>0.005</x:v>
      </x:c>
      <x:c r="Q20" t="str">
        <x:v>SAMPLE_RATE_NON_ADDITIVE</x:v>
      </x:c>
      <x:c r="V20" t="str">
        <x:v>04_Quality_Log(6).xlsx</x:v>
      </x:c>
      <x:c r="W20" t="str">
        <x:v>ENH-20260830-01</x:v>
      </x:c>
      <x:c r="X20" t="str">
        <x:f>IF(AND(M20="OK",O20="OK"),"Active","Quarantine")</x:f>
        <x:v>Active</x:v>
      </x:c>
      <x:c r="Y20" t="str">
        <x:f>IF(X20="Active","LOAD","QUARANTINE")</x:f>
        <x:v>LOAD</x:v>
      </x:c>
    </x:row>
    <x:row r="21" ht="18" customHeight="1">
      <x:c r="A21" s="5" t="s">
        <x:v>26</x:v>
      </x:c>
      <x:c r="B21" s="5">
        <x:v>21</x:v>
      </x:c>
      <x:c r="C21" s="6">
        <x:v>45953</x:v>
      </x:c>
      <x:c r="D21" s="5" t="s">
        <x:v>32</x:v>
      </x:c>
      <x:c r="E21" s="7">
        <x:v>23</x:v>
      </x:c>
      <x:c r="F21" s="5" t="s">
        <x:v>31</x:v>
      </x:c>
      <x:c r="G21" s="8">
        <x:v>200</x:v>
      </x:c>
      <x:c r="H21" s="5" t="s">
        <x:v>34</x:v>
      </x:c>
      <x:c r="I21" s="8">
        <x:v>2</x:v>
      </x:c>
      <x:c r="J21" t="str">
        <x:f t="shared" si="0"/>
        <x:v>SAMP-KG01-L21-20251023-ORD-2025-00020-H23-Thin Wall</x:v>
      </x:c>
      <x:c r="K21" t="str">
        <x:f t="shared" si="1"/>
        <x:v>OK</x:v>
      </x:c>
      <x:c r="L21" t="str">
        <x:f t="shared" si="2"/>
        <x:v>OK</x:v>
      </x:c>
      <x:c r="M21" t="str">
        <x:f t="shared" si="3">IF(A21="","",IF(AND(K21="OK",L21="OK",O21="OK"),"OK","CHECK"))</x:f>
        <x:v>OK</x:v>
      </x:c>
      <x:c r="N21" t="str">
        <x:f>IF(A21="","", "PE-"&amp;A21&amp;"-L"&amp;TEXT(B21,"00")&amp;"-"&amp;TEXT(C21,"yyyymmdd")&amp;"-"&amp;F21&amp;"-"&amp;D21)</x:f>
        <x:v>PE-KG01-L21-20251023-PM-ORD-2025-00020</x:v>
      </x:c>
      <x:c r="O21" t="str">
        <x:f>IF(N21="","",IF(COUNTIF(_ProductionEventRef!$A$5:$A$500,N21)=1,"OK","CHECK"))</x:f>
        <x:v>OK</x:v>
      </x:c>
      <x:c r="P21" s="46" t="n">
        <x:f>IF(G21=0,0,I21/G21)</x:f>
        <x:v>0.01</x:v>
      </x:c>
      <x:c r="Q21" t="str">
        <x:v>SAMPLE_RATE_NON_ADDITIVE</x:v>
      </x:c>
      <x:c r="V21" t="str">
        <x:v>04_Quality_Log(6).xlsx</x:v>
      </x:c>
      <x:c r="W21" t="str">
        <x:v>ENH-20260830-01</x:v>
      </x:c>
      <x:c r="X21" t="str">
        <x:f>IF(AND(M21="OK",O21="OK"),"Active","Quarantine")</x:f>
        <x:v>Active</x:v>
      </x:c>
      <x:c r="Y21" t="str">
        <x:f>IF(X21="Active","LOAD","QUARANTINE")</x:f>
        <x:v>LOAD</x:v>
      </x:c>
    </x:row>
    <x:row r="22" ht="18" customHeight="1">
      <x:c r="A22" s="5" t="s">
        <x:v>26</x:v>
      </x:c>
      <x:c r="B22" s="5">
        <x:v>21</x:v>
      </x:c>
      <x:c r="C22" s="6">
        <x:v>45954</x:v>
      </x:c>
      <x:c r="D22" s="5" t="s">
        <x:v>32</x:v>
      </x:c>
      <x:c r="E22" s="7">
        <x:v>9</x:v>
      </x:c>
      <x:c r="F22" s="5" t="s">
        <x:v>28</x:v>
      </x:c>
      <x:c r="G22" s="8">
        <x:v>200</x:v>
      </x:c>
      <x:c r="H22" s="5" t="s">
        <x:v>33</x:v>
      </x:c>
      <x:c r="I22" s="8">
        <x:v>1</x:v>
      </x:c>
      <x:c r="J22" t="str">
        <x:f t="shared" si="0"/>
        <x:v>SAMP-KG01-L21-20251024-ORD-2025-00020-H09-Distortion</x:v>
      </x:c>
      <x:c r="K22" t="str">
        <x:f t="shared" si="1"/>
        <x:v>OK</x:v>
      </x:c>
      <x:c r="L22" t="str">
        <x:f t="shared" si="2"/>
        <x:v>OK</x:v>
      </x:c>
      <x:c r="M22" t="str">
        <x:f t="shared" si="3">IF(A22="","",IF(AND(K22="OK",L22="OK",O22="OK"),"OK","CHECK"))</x:f>
        <x:v>OK</x:v>
      </x:c>
      <x:c r="N22" t="str">
        <x:f>IF(A22="","", "PE-"&amp;A22&amp;"-L"&amp;TEXT(B22,"00")&amp;"-"&amp;TEXT(C22,"yyyymmdd")&amp;"-"&amp;F22&amp;"-"&amp;D22)</x:f>
        <x:v>PE-KG01-L21-20251024-AM-ORD-2025-00020</x:v>
      </x:c>
      <x:c r="O22" t="str">
        <x:f>IF(N22="","",IF(COUNTIF(_ProductionEventRef!$A$5:$A$500,N22)=1,"OK","CHECK"))</x:f>
        <x:v>OK</x:v>
      </x:c>
      <x:c r="P22" s="46" t="n">
        <x:f>IF(G22=0,0,I22/G22)</x:f>
        <x:v>0.005</x:v>
      </x:c>
      <x:c r="Q22" t="str">
        <x:v>SAMPLE_RATE_NON_ADDITIVE</x:v>
      </x:c>
      <x:c r="V22" t="str">
        <x:v>04_Quality_Log(6).xlsx</x:v>
      </x:c>
      <x:c r="W22" t="str">
        <x:v>ENH-20260830-01</x:v>
      </x:c>
      <x:c r="X22" t="str">
        <x:f>IF(AND(M22="OK",O22="OK"),"Active","Quarantine")</x:f>
        <x:v>Active</x:v>
      </x:c>
      <x:c r="Y22" t="str">
        <x:f>IF(X22="Active","LOAD","QUARANTINE")</x:f>
        <x:v>LOAD</x:v>
      </x:c>
    </x:row>
    <x:row r="23" ht="18" customHeight="1">
      <x:c r="A23" s="5" t="s">
        <x:v>26</x:v>
      </x:c>
      <x:c r="B23" s="5">
        <x:v>21</x:v>
      </x:c>
      <x:c r="C23" s="6">
        <x:v>45954</x:v>
      </x:c>
      <x:c r="D23" s="5" t="s">
        <x:v>32</x:v>
      </x:c>
      <x:c r="E23" s="7">
        <x:v>15</x:v>
      </x:c>
      <x:c r="F23" s="5" t="s">
        <x:v>28</x:v>
      </x:c>
      <x:c r="G23" s="8">
        <x:v>100</x:v>
      </x:c>
      <x:c r="H23" s="5" t="s">
        <x:v>34</x:v>
      </x:c>
      <x:c r="I23" s="8">
        <x:v>0</x:v>
      </x:c>
      <x:c r="J23" t="str">
        <x:f t="shared" si="0"/>
        <x:v>SAMP-KG01-L21-20251024-ORD-2025-00020-H15-Thin Wall</x:v>
      </x:c>
      <x:c r="K23" t="str">
        <x:f t="shared" si="1"/>
        <x:v>OK</x:v>
      </x:c>
      <x:c r="L23" t="str">
        <x:f t="shared" si="2"/>
        <x:v>OK</x:v>
      </x:c>
      <x:c r="M23" t="str">
        <x:f t="shared" si="3">IF(A23="","",IF(AND(K23="OK",L23="OK",O23="OK"),"OK","CHECK"))</x:f>
        <x:v>OK</x:v>
      </x:c>
      <x:c r="N23" t="str">
        <x:f>IF(A23="","", "PE-"&amp;A23&amp;"-L"&amp;TEXT(B23,"00")&amp;"-"&amp;TEXT(C23,"yyyymmdd")&amp;"-"&amp;F23&amp;"-"&amp;D23)</x:f>
        <x:v>PE-KG01-L21-20251024-AM-ORD-2025-00020</x:v>
      </x:c>
      <x:c r="O23" t="str">
        <x:f>IF(N23="","",IF(COUNTIF(_ProductionEventRef!$A$5:$A$500,N23)=1,"OK","CHECK"))</x:f>
        <x:v>OK</x:v>
      </x:c>
      <x:c r="P23" s="46" t="n">
        <x:f>IF(G23=0,0,I23/G23)</x:f>
        <x:v>0</x:v>
      </x:c>
      <x:c r="Q23" t="str">
        <x:v>SAMPLE_RATE_NON_ADDITIVE</x:v>
      </x:c>
      <x:c r="V23" t="str">
        <x:v>04_Quality_Log(6).xlsx</x:v>
      </x:c>
      <x:c r="W23" t="str">
        <x:v>ENH-20260830-01</x:v>
      </x:c>
      <x:c r="X23" t="str">
        <x:f>IF(AND(M23="OK",O23="OK"),"Active","Quarantine")</x:f>
        <x:v>Active</x:v>
      </x:c>
      <x:c r="Y23" t="str">
        <x:f>IF(X23="Active","LOAD","QUARANTINE")</x:f>
        <x:v>LOAD</x:v>
      </x:c>
    </x:row>
    <x:row r="24" ht="18" customHeight="1">
      <x:c r="A24" s="5" t="s">
        <x:v>26</x:v>
      </x:c>
      <x:c r="B24" s="5">
        <x:v>21</x:v>
      </x:c>
      <x:c r="C24" s="6">
        <x:v>45954</x:v>
      </x:c>
      <x:c r="D24" s="5" t="s">
        <x:v>32</x:v>
      </x:c>
      <x:c r="E24" s="7">
        <x:v>20</x:v>
      </x:c>
      <x:c r="F24" s="5" t="s">
        <x:v>31</x:v>
      </x:c>
      <x:c r="G24" s="8">
        <x:v>150</x:v>
      </x:c>
      <x:c r="H24" s="5" t="s">
        <x:v>36</x:v>
      </x:c>
      <x:c r="I24" s="8">
        <x:v>1</x:v>
      </x:c>
      <x:c r="J24" t="str">
        <x:f t="shared" si="0"/>
        <x:v>SAMP-KG01-L21-20251024-ORD-2025-00020-H20-Blister</x:v>
      </x:c>
      <x:c r="K24" t="str">
        <x:f t="shared" si="1"/>
        <x:v>OK</x:v>
      </x:c>
      <x:c r="L24" t="str">
        <x:f t="shared" si="2"/>
        <x:v>OK</x:v>
      </x:c>
      <x:c r="M24" t="str">
        <x:f t="shared" si="3">IF(A24="","",IF(AND(K24="OK",L24="OK",O24="OK"),"OK","CHECK"))</x:f>
        <x:v>OK</x:v>
      </x:c>
      <x:c r="N24" t="str">
        <x:f>IF(A24="","", "PE-"&amp;A24&amp;"-L"&amp;TEXT(B24,"00")&amp;"-"&amp;TEXT(C24,"yyyymmdd")&amp;"-"&amp;F24&amp;"-"&amp;D24)</x:f>
        <x:v>PE-KG01-L21-20251024-PM-ORD-2025-00020</x:v>
      </x:c>
      <x:c r="O24" t="str">
        <x:f>IF(N24="","",IF(COUNTIF(_ProductionEventRef!$A$5:$A$500,N24)=1,"OK","CHECK"))</x:f>
        <x:v>OK</x:v>
      </x:c>
      <x:c r="P24" s="46" t="n">
        <x:f>IF(G24=0,0,I24/G24)</x:f>
        <x:v>0.006666666666666667</x:v>
      </x:c>
      <x:c r="Q24" t="str">
        <x:v>SAMPLE_RATE_NON_ADDITIVE</x:v>
      </x:c>
      <x:c r="V24" t="str">
        <x:v>04_Quality_Log(6).xlsx</x:v>
      </x:c>
      <x:c r="W24" t="str">
        <x:v>ENH-20260830-01</x:v>
      </x:c>
      <x:c r="X24" t="str">
        <x:f>IF(AND(M24="OK",O24="OK"),"Active","Quarantine")</x:f>
        <x:v>Active</x:v>
      </x:c>
      <x:c r="Y24" t="str">
        <x:f>IF(X24="Active","LOAD","QUARANTINE")</x:f>
        <x:v>LOAD</x:v>
      </x:c>
    </x:row>
    <x:row r="25" ht="18" customHeight="1">
      <x:c r="A25" s="5" t="s">
        <x:v>26</x:v>
      </x:c>
      <x:c r="B25" s="5">
        <x:v>21</x:v>
      </x:c>
      <x:c r="C25" s="6">
        <x:v>45954</x:v>
      </x:c>
      <x:c r="D25" s="5" t="s">
        <x:v>32</x:v>
      </x:c>
      <x:c r="E25" s="7">
        <x:v>23</x:v>
      </x:c>
      <x:c r="F25" s="5" t="s">
        <x:v>31</x:v>
      </x:c>
      <x:c r="G25" s="8">
        <x:v>100</x:v>
      </x:c>
      <x:c r="H25" s="5" t="s">
        <x:v>34</x:v>
      </x:c>
      <x:c r="I25" s="8">
        <x:v>3</x:v>
      </x:c>
      <x:c r="J25" t="str">
        <x:f t="shared" si="0"/>
        <x:v>SAMP-KG01-L21-20251024-ORD-2025-00020-H23-Thin Wall</x:v>
      </x:c>
      <x:c r="K25" t="str">
        <x:f t="shared" si="1"/>
        <x:v>OK</x:v>
      </x:c>
      <x:c r="L25" t="str">
        <x:f t="shared" si="2"/>
        <x:v>OK</x:v>
      </x:c>
      <x:c r="M25" t="str">
        <x:f t="shared" si="3">IF(A25="","",IF(AND(K25="OK",L25="OK",O25="OK"),"OK","CHECK"))</x:f>
        <x:v>OK</x:v>
      </x:c>
      <x:c r="N25" t="str">
        <x:f>IF(A25="","", "PE-"&amp;A25&amp;"-L"&amp;TEXT(B25,"00")&amp;"-"&amp;TEXT(C25,"yyyymmdd")&amp;"-"&amp;F25&amp;"-"&amp;D25)</x:f>
        <x:v>PE-KG01-L21-20251024-PM-ORD-2025-00020</x:v>
      </x:c>
      <x:c r="O25" t="str">
        <x:f>IF(N25="","",IF(COUNTIF(_ProductionEventRef!$A$5:$A$500,N25)=1,"OK","CHECK"))</x:f>
        <x:v>OK</x:v>
      </x:c>
      <x:c r="P25" s="46" t="n">
        <x:f>IF(G25=0,0,I25/G25)</x:f>
        <x:v>0.03</x:v>
      </x:c>
      <x:c r="Q25" t="str">
        <x:v>SAMPLE_RATE_NON_ADDITIVE</x:v>
      </x:c>
      <x:c r="V25" t="str">
        <x:v>04_Quality_Log(6).xlsx</x:v>
      </x:c>
      <x:c r="W25" t="str">
        <x:v>ENH-20260830-01</x:v>
      </x:c>
      <x:c r="X25" t="str">
        <x:f>IF(AND(M25="OK",O25="OK"),"Active","Quarantine")</x:f>
        <x:v>Active</x:v>
      </x:c>
      <x:c r="Y25" t="str">
        <x:f>IF(X25="Active","LOAD","QUARANTINE")</x:f>
        <x:v>LOAD</x:v>
      </x:c>
    </x:row>
    <x:row r="26" ht="18" customHeight="1">
      <x:c r="A26" s="5" t="s">
        <x:v>26</x:v>
      </x:c>
      <x:c r="B26" s="5">
        <x:v>21</x:v>
      </x:c>
      <x:c r="C26" s="6">
        <x:v>45955</x:v>
      </x:c>
      <x:c r="D26" s="5" t="s">
        <x:v>39</x:v>
      </x:c>
      <x:c r="E26" s="7">
        <x:v>7</x:v>
      </x:c>
      <x:c r="F26" s="5" t="s">
        <x:v>28</x:v>
      </x:c>
      <x:c r="G26" s="8">
        <x:v>50</x:v>
      </x:c>
      <x:c r="H26" s="5" t="s">
        <x:v>38</x:v>
      </x:c>
      <x:c r="I26" s="8">
        <x:v>4</x:v>
      </x:c>
      <x:c r="J26" t="str">
        <x:f t="shared" si="0"/>
        <x:v>SAMP-KG01-L21-20251025-ORD-2025-00021-H07-Crack</x:v>
      </x:c>
      <x:c r="K26" t="str">
        <x:f t="shared" si="1"/>
        <x:v>OK</x:v>
      </x:c>
      <x:c r="L26" t="str">
        <x:f t="shared" si="2"/>
        <x:v>OK</x:v>
      </x:c>
      <x:c r="M26" t="str">
        <x:f t="shared" si="3">IF(A26="","",IF(AND(K26="OK",L26="OK",O26="OK"),"OK","CHECK"))</x:f>
        <x:v>OK</x:v>
      </x:c>
      <x:c r="N26" t="str">
        <x:f>IF(A26="","", "PE-"&amp;A26&amp;"-L"&amp;TEXT(B26,"00")&amp;"-"&amp;TEXT(C26,"yyyymmdd")&amp;"-"&amp;F26&amp;"-"&amp;D26)</x:f>
        <x:v>PE-KG01-L21-20251025-AM-ORD-2025-00021</x:v>
      </x:c>
      <x:c r="O26" t="str">
        <x:f>IF(N26="","",IF(COUNTIF(_ProductionEventRef!$A$5:$A$500,N26)=1,"OK","CHECK"))</x:f>
        <x:v>OK</x:v>
      </x:c>
      <x:c r="P26" s="46" t="n">
        <x:f>IF(G26=0,0,I26/G26)</x:f>
        <x:v>0.08</x:v>
      </x:c>
      <x:c r="Q26" t="str">
        <x:v>SAMPLE_RATE_NON_ADDITIVE</x:v>
      </x:c>
      <x:c r="V26" t="str">
        <x:v>04_Quality_Log(6).xlsx</x:v>
      </x:c>
      <x:c r="W26" t="str">
        <x:v>ENH-20260830-01</x:v>
      </x:c>
      <x:c r="X26" t="str">
        <x:f>IF(AND(M26="OK",O26="OK"),"Active","Quarantine")</x:f>
        <x:v>Active</x:v>
      </x:c>
      <x:c r="Y26" t="str">
        <x:f>IF(X26="Active","LOAD","QUARANTINE")</x:f>
        <x:v>LOAD</x:v>
      </x:c>
    </x:row>
    <x:row r="27" ht="18" customHeight="1">
      <x:c r="A27" s="5" t="s">
        <x:v>26</x:v>
      </x:c>
      <x:c r="B27" s="5">
        <x:v>21</x:v>
      </x:c>
      <x:c r="C27" s="6">
        <x:v>45955</x:v>
      </x:c>
      <x:c r="D27" s="5" t="s">
        <x:v>39</x:v>
      </x:c>
      <x:c r="E27" s="7">
        <x:v>12</x:v>
      </x:c>
      <x:c r="F27" s="5" t="s">
        <x:v>28</x:v>
      </x:c>
      <x:c r="G27" s="8">
        <x:v>50</x:v>
      </x:c>
      <x:c r="H27" s="5" t="s">
        <x:v>34</x:v>
      </x:c>
      <x:c r="I27" s="8">
        <x:v>2</x:v>
      </x:c>
      <x:c r="J27" t="str">
        <x:f t="shared" si="0"/>
        <x:v>SAMP-KG01-L21-20251025-ORD-2025-00021-H12-Thin Wall</x:v>
      </x:c>
      <x:c r="K27" t="str">
        <x:f t="shared" si="1"/>
        <x:v>OK</x:v>
      </x:c>
      <x:c r="L27" t="str">
        <x:f t="shared" si="2"/>
        <x:v>OK</x:v>
      </x:c>
      <x:c r="M27" t="str">
        <x:f t="shared" si="3">IF(A27="","",IF(AND(K27="OK",L27="OK",O27="OK"),"OK","CHECK"))</x:f>
        <x:v>OK</x:v>
      </x:c>
      <x:c r="N27" t="str">
        <x:f>IF(A27="","", "PE-"&amp;A27&amp;"-L"&amp;TEXT(B27,"00")&amp;"-"&amp;TEXT(C27,"yyyymmdd")&amp;"-"&amp;F27&amp;"-"&amp;D27)</x:f>
        <x:v>PE-KG01-L21-20251025-AM-ORD-2025-00021</x:v>
      </x:c>
      <x:c r="O27" t="str">
        <x:f>IF(N27="","",IF(COUNTIF(_ProductionEventRef!$A$5:$A$500,N27)=1,"OK","CHECK"))</x:f>
        <x:v>OK</x:v>
      </x:c>
      <x:c r="P27" s="46" t="n">
        <x:f>IF(G27=0,0,I27/G27)</x:f>
        <x:v>0.04</x:v>
      </x:c>
      <x:c r="Q27" t="str">
        <x:v>SAMPLE_RATE_NON_ADDITIVE</x:v>
      </x:c>
      <x:c r="V27" t="str">
        <x:v>04_Quality_Log(6).xlsx</x:v>
      </x:c>
      <x:c r="W27" t="str">
        <x:v>ENH-20260830-01</x:v>
      </x:c>
      <x:c r="X27" t="str">
        <x:f>IF(AND(M27="OK",O27="OK"),"Active","Quarantine")</x:f>
        <x:v>Active</x:v>
      </x:c>
      <x:c r="Y27" t="str">
        <x:f>IF(X27="Active","LOAD","QUARANTINE")</x:f>
        <x:v>LOAD</x:v>
      </x:c>
    </x:row>
    <x:row r="28" ht="18" customHeight="1">
      <x:c r="A28" s="5" t="s">
        <x:v>26</x:v>
      </x:c>
      <x:c r="B28" s="5">
        <x:v>21</x:v>
      </x:c>
      <x:c r="C28" s="6">
        <x:v>45955</x:v>
      </x:c>
      <x:c r="D28" s="5" t="s">
        <x:v>39</x:v>
      </x:c>
      <x:c r="E28" s="7">
        <x:v>16</x:v>
      </x:c>
      <x:c r="F28" s="5" t="s">
        <x:v>28</x:v>
      </x:c>
      <x:c r="G28" s="8">
        <x:v>50</x:v>
      </x:c>
      <x:c r="H28" s="5" t="s">
        <x:v>34</x:v>
      </x:c>
      <x:c r="I28" s="8">
        <x:v>4</x:v>
      </x:c>
      <x:c r="J28" t="str">
        <x:f t="shared" si="0"/>
        <x:v>SAMP-KG01-L21-20251025-ORD-2025-00021-H16-Thin Wall</x:v>
      </x:c>
      <x:c r="K28" t="str">
        <x:f t="shared" si="1"/>
        <x:v>OK</x:v>
      </x:c>
      <x:c r="L28" t="str">
        <x:f t="shared" si="2"/>
        <x:v>OK</x:v>
      </x:c>
      <x:c r="M28" t="str">
        <x:f t="shared" si="3">IF(A28="","",IF(AND(K28="OK",L28="OK",O28="OK"),"OK","CHECK"))</x:f>
        <x:v>OK</x:v>
      </x:c>
      <x:c r="N28" t="str">
        <x:f>IF(A28="","", "PE-"&amp;A28&amp;"-L"&amp;TEXT(B28,"00")&amp;"-"&amp;TEXT(C28,"yyyymmdd")&amp;"-"&amp;F28&amp;"-"&amp;D28)</x:f>
        <x:v>PE-KG01-L21-20251025-AM-ORD-2025-00021</x:v>
      </x:c>
      <x:c r="O28" t="str">
        <x:f>IF(N28="","",IF(COUNTIF(_ProductionEventRef!$A$5:$A$500,N28)=1,"OK","CHECK"))</x:f>
        <x:v>OK</x:v>
      </x:c>
      <x:c r="P28" s="46" t="n">
        <x:f>IF(G28=0,0,I28/G28)</x:f>
        <x:v>0.08</x:v>
      </x:c>
      <x:c r="Q28" t="str">
        <x:v>SAMPLE_RATE_NON_ADDITIVE</x:v>
      </x:c>
      <x:c r="V28" t="str">
        <x:v>04_Quality_Log(6).xlsx</x:v>
      </x:c>
      <x:c r="W28" t="str">
        <x:v>ENH-20260830-01</x:v>
      </x:c>
      <x:c r="X28" t="str">
        <x:f>IF(AND(M28="OK",O28="OK"),"Active","Quarantine")</x:f>
        <x:v>Active</x:v>
      </x:c>
      <x:c r="Y28" t="str">
        <x:f>IF(X28="Active","LOAD","QUARANTINE")</x:f>
        <x:v>LOAD</x:v>
      </x:c>
    </x:row>
    <x:row r="29" ht="18" customHeight="1">
      <x:c r="A29" s="5" t="s">
        <x:v>26</x:v>
      </x:c>
      <x:c r="B29" s="5">
        <x:v>21</x:v>
      </x:c>
      <x:c r="C29" s="6">
        <x:v>45955</x:v>
      </x:c>
      <x:c r="D29" s="5" t="s">
        <x:v>39</x:v>
      </x:c>
      <x:c r="E29" s="7">
        <x:v>20</x:v>
      </x:c>
      <x:c r="F29" s="5" t="s">
        <x:v>31</x:v>
      </x:c>
      <x:c r="G29" s="8">
        <x:v>200</x:v>
      </x:c>
      <x:c r="H29" s="5" t="s">
        <x:v>29</x:v>
      </x:c>
      <x:c r="I29" s="8">
        <x:v>1</x:v>
      </x:c>
      <x:c r="J29" t="str">
        <x:f t="shared" si="0"/>
        <x:v>SAMP-KG01-L21-20251025-ORD-2025-00021-H20-Choke Neck</x:v>
      </x:c>
      <x:c r="K29" t="str">
        <x:f t="shared" si="1"/>
        <x:v>OK</x:v>
      </x:c>
      <x:c r="L29" t="str">
        <x:f t="shared" si="2"/>
        <x:v>OK</x:v>
      </x:c>
      <x:c r="M29" t="str">
        <x:f t="shared" si="3">IF(A29="","",IF(AND(K29="OK",L29="OK",O29="OK"),"OK","CHECK"))</x:f>
        <x:v>OK</x:v>
      </x:c>
      <x:c r="N29" t="str">
        <x:f>IF(A29="","", "PE-"&amp;A29&amp;"-L"&amp;TEXT(B29,"00")&amp;"-"&amp;TEXT(C29,"yyyymmdd")&amp;"-"&amp;F29&amp;"-"&amp;D29)</x:f>
        <x:v>PE-KG01-L21-20251025-PM-ORD-2025-00021</x:v>
      </x:c>
      <x:c r="O29" t="str">
        <x:f>IF(N29="","",IF(COUNTIF(_ProductionEventRef!$A$5:$A$500,N29)=1,"OK","CHECK"))</x:f>
        <x:v>OK</x:v>
      </x:c>
      <x:c r="P29" s="46" t="n">
        <x:f>IF(G29=0,0,I29/G29)</x:f>
        <x:v>0.005</x:v>
      </x:c>
      <x:c r="Q29" t="str">
        <x:v>SAMPLE_RATE_NON_ADDITIVE</x:v>
      </x:c>
      <x:c r="V29" t="str">
        <x:v>04_Quality_Log(6).xlsx</x:v>
      </x:c>
      <x:c r="W29" t="str">
        <x:v>ENH-20260830-01</x:v>
      </x:c>
      <x:c r="X29" t="str">
        <x:f>IF(AND(M29="OK",O29="OK"),"Active","Quarantine")</x:f>
        <x:v>Active</x:v>
      </x:c>
      <x:c r="Y29" t="str">
        <x:f>IF(X29="Active","LOAD","QUARANTINE")</x:f>
        <x:v>LOAD</x:v>
      </x:c>
    </x:row>
    <x:row r="30" ht="18" customHeight="1">
      <x:c r="A30" s="5" t="s">
        <x:v>26</x:v>
      </x:c>
      <x:c r="B30" s="5">
        <x:v>21</x:v>
      </x:c>
      <x:c r="C30" s="6">
        <x:v>45955</x:v>
      </x:c>
      <x:c r="D30" s="5" t="s">
        <x:v>39</x:v>
      </x:c>
      <x:c r="E30" s="7">
        <x:v>23</x:v>
      </x:c>
      <x:c r="F30" s="5" t="s">
        <x:v>31</x:v>
      </x:c>
      <x:c r="G30" s="8">
        <x:v>50</x:v>
      </x:c>
      <x:c r="H30" s="5" t="s">
        <x:v>30</x:v>
      </x:c>
      <x:c r="I30" s="8">
        <x:v>0</x:v>
      </x:c>
      <x:c r="J30" t="str">
        <x:f t="shared" si="0"/>
        <x:v>SAMP-KG01-L21-20251025-ORD-2025-00021-H23-Overpress</x:v>
      </x:c>
      <x:c r="K30" t="str">
        <x:f t="shared" si="1"/>
        <x:v>OK</x:v>
      </x:c>
      <x:c r="L30" t="str">
        <x:f t="shared" si="2"/>
        <x:v>OK</x:v>
      </x:c>
      <x:c r="M30" t="str">
        <x:f t="shared" si="3">IF(A30="","",IF(AND(K30="OK",L30="OK",O30="OK"),"OK","CHECK"))</x:f>
        <x:v>OK</x:v>
      </x:c>
      <x:c r="N30" t="str">
        <x:f>IF(A30="","", "PE-"&amp;A30&amp;"-L"&amp;TEXT(B30,"00")&amp;"-"&amp;TEXT(C30,"yyyymmdd")&amp;"-"&amp;F30&amp;"-"&amp;D30)</x:f>
        <x:v>PE-KG01-L21-20251025-PM-ORD-2025-00021</x:v>
      </x:c>
      <x:c r="O30" t="str">
        <x:f>IF(N30="","",IF(COUNTIF(_ProductionEventRef!$A$5:$A$500,N30)=1,"OK","CHECK"))</x:f>
        <x:v>OK</x:v>
      </x:c>
      <x:c r="P30" s="46" t="n">
        <x:f>IF(G30=0,0,I30/G30)</x:f>
        <x:v>0</x:v>
      </x:c>
      <x:c r="Q30" t="str">
        <x:v>SAMPLE_RATE_NON_ADDITIVE</x:v>
      </x:c>
      <x:c r="V30" t="str">
        <x:v>04_Quality_Log(6).xlsx</x:v>
      </x:c>
      <x:c r="W30" t="str">
        <x:v>ENH-20260830-01</x:v>
      </x:c>
      <x:c r="X30" t="str">
        <x:f>IF(AND(M30="OK",O30="OK"),"Active","Quarantine")</x:f>
        <x:v>Active</x:v>
      </x:c>
      <x:c r="Y30" t="str">
        <x:f>IF(X30="Active","LOAD","QUARANTINE")</x:f>
        <x:v>LOAD</x:v>
      </x:c>
    </x:row>
    <x:row r="31" ht="18" customHeight="1">
      <x:c r="A31" s="5" t="s">
        <x:v>26</x:v>
      </x:c>
      <x:c r="B31" s="5">
        <x:v>21</x:v>
      </x:c>
      <x:c r="C31" s="6">
        <x:v>45956</x:v>
      </x:c>
      <x:c r="D31" s="5" t="s">
        <x:v>39</x:v>
      </x:c>
      <x:c r="E31" s="7">
        <x:v>9</x:v>
      </x:c>
      <x:c r="F31" s="5" t="s">
        <x:v>28</x:v>
      </x:c>
      <x:c r="G31" s="8">
        <x:v>50</x:v>
      </x:c>
      <x:c r="H31" s="5" t="s">
        <x:v>37</x:v>
      </x:c>
      <x:c r="I31" s="8">
        <x:v>2</x:v>
      </x:c>
      <x:c r="J31" t="str">
        <x:f t="shared" si="0"/>
        <x:v>SAMP-KG01-L21-20251026-ORD-2025-00021-H09-Bird Swing</x:v>
      </x:c>
      <x:c r="K31" t="str">
        <x:f t="shared" si="1"/>
        <x:v>OK</x:v>
      </x:c>
      <x:c r="L31" t="str">
        <x:f t="shared" si="2"/>
        <x:v>OK</x:v>
      </x:c>
      <x:c r="M31" t="str">
        <x:f t="shared" si="3">IF(A31="","",IF(AND(K31="OK",L31="OK",O31="OK"),"OK","CHECK"))</x:f>
        <x:v>OK</x:v>
      </x:c>
      <x:c r="N31" t="str">
        <x:f>IF(A31="","", "PE-"&amp;A31&amp;"-L"&amp;TEXT(B31,"00")&amp;"-"&amp;TEXT(C31,"yyyymmdd")&amp;"-"&amp;F31&amp;"-"&amp;D31)</x:f>
        <x:v>PE-KG01-L21-20251026-AM-ORD-2025-00021</x:v>
      </x:c>
      <x:c r="O31" t="str">
        <x:f>IF(N31="","",IF(COUNTIF(_ProductionEventRef!$A$5:$A$500,N31)=1,"OK","CHECK"))</x:f>
        <x:v>OK</x:v>
      </x:c>
      <x:c r="P31" s="46" t="n">
        <x:f>IF(G31=0,0,I31/G31)</x:f>
        <x:v>0.04</x:v>
      </x:c>
      <x:c r="Q31" t="str">
        <x:v>SAMPLE_RATE_NON_ADDITIVE</x:v>
      </x:c>
      <x:c r="V31" t="str">
        <x:v>04_Quality_Log(6).xlsx</x:v>
      </x:c>
      <x:c r="W31" t="str">
        <x:v>ENH-20260830-01</x:v>
      </x:c>
      <x:c r="X31" t="str">
        <x:f>IF(AND(M31="OK",O31="OK"),"Active","Quarantine")</x:f>
        <x:v>Active</x:v>
      </x:c>
      <x:c r="Y31" t="str">
        <x:f>IF(X31="Active","LOAD","QUARANTINE")</x:f>
        <x:v>LOAD</x:v>
      </x:c>
    </x:row>
    <x:row r="32" ht="18" customHeight="1">
      <x:c r="A32" s="5" t="s">
        <x:v>26</x:v>
      </x:c>
      <x:c r="B32" s="5">
        <x:v>21</x:v>
      </x:c>
      <x:c r="C32" s="6">
        <x:v>45956</x:v>
      </x:c>
      <x:c r="D32" s="5" t="s">
        <x:v>39</x:v>
      </x:c>
      <x:c r="E32" s="7">
        <x:v>15</x:v>
      </x:c>
      <x:c r="F32" s="5" t="s">
        <x:v>28</x:v>
      </x:c>
      <x:c r="G32" s="8">
        <x:v>50</x:v>
      </x:c>
      <x:c r="H32" s="5" t="s">
        <x:v>34</x:v>
      </x:c>
      <x:c r="I32" s="8">
        <x:v>0</x:v>
      </x:c>
      <x:c r="J32" t="str">
        <x:f t="shared" si="0"/>
        <x:v>SAMP-KG01-L21-20251026-ORD-2025-00021-H15-Thin Wall</x:v>
      </x:c>
      <x:c r="K32" t="str">
        <x:f t="shared" si="1"/>
        <x:v>OK</x:v>
      </x:c>
      <x:c r="L32" t="str">
        <x:f t="shared" si="2"/>
        <x:v>OK</x:v>
      </x:c>
      <x:c r="M32" t="str">
        <x:f t="shared" si="3">IF(A32="","",IF(AND(K32="OK",L32="OK",O32="OK"),"OK","CHECK"))</x:f>
        <x:v>OK</x:v>
      </x:c>
      <x:c r="N32" t="str">
        <x:f>IF(A32="","", "PE-"&amp;A32&amp;"-L"&amp;TEXT(B32,"00")&amp;"-"&amp;TEXT(C32,"yyyymmdd")&amp;"-"&amp;F32&amp;"-"&amp;D32)</x:f>
        <x:v>PE-KG01-L21-20251026-AM-ORD-2025-00021</x:v>
      </x:c>
      <x:c r="O32" t="str">
        <x:f>IF(N32="","",IF(COUNTIF(_ProductionEventRef!$A$5:$A$500,N32)=1,"OK","CHECK"))</x:f>
        <x:v>OK</x:v>
      </x:c>
      <x:c r="P32" s="46" t="n">
        <x:f>IF(G32=0,0,I32/G32)</x:f>
        <x:v>0</x:v>
      </x:c>
      <x:c r="Q32" t="str">
        <x:v>SAMPLE_RATE_NON_ADDITIVE</x:v>
      </x:c>
      <x:c r="V32" t="str">
        <x:v>04_Quality_Log(6).xlsx</x:v>
      </x:c>
      <x:c r="W32" t="str">
        <x:v>ENH-20260830-01</x:v>
      </x:c>
      <x:c r="X32" t="str">
        <x:f>IF(AND(M32="OK",O32="OK"),"Active","Quarantine")</x:f>
        <x:v>Active</x:v>
      </x:c>
      <x:c r="Y32" t="str">
        <x:f>IF(X32="Active","LOAD","QUARANTINE")</x:f>
        <x:v>LOAD</x:v>
      </x:c>
    </x:row>
    <x:row r="33" ht="18" customHeight="1">
      <x:c r="A33" s="5" t="s">
        <x:v>26</x:v>
      </x:c>
      <x:c r="B33" s="5">
        <x:v>21</x:v>
      </x:c>
      <x:c r="C33" s="6">
        <x:v>45956</x:v>
      </x:c>
      <x:c r="D33" s="5" t="s">
        <x:v>39</x:v>
      </x:c>
      <x:c r="E33" s="7">
        <x:v>20</x:v>
      </x:c>
      <x:c r="F33" s="5" t="s">
        <x:v>31</x:v>
      </x:c>
      <x:c r="G33" s="8">
        <x:v>100</x:v>
      </x:c>
      <x:c r="H33" s="5" t="s">
        <x:v>30</x:v>
      </x:c>
      <x:c r="I33" s="8">
        <x:v>0</x:v>
      </x:c>
      <x:c r="J33" t="str">
        <x:f t="shared" si="0"/>
        <x:v>SAMP-KG01-L21-20251026-ORD-2025-00021-H20-Overpress</x:v>
      </x:c>
      <x:c r="K33" t="str">
        <x:f t="shared" si="1"/>
        <x:v>OK</x:v>
      </x:c>
      <x:c r="L33" t="str">
        <x:f t="shared" si="2"/>
        <x:v>OK</x:v>
      </x:c>
      <x:c r="M33" t="str">
        <x:f t="shared" si="3">IF(A33="","",IF(AND(K33="OK",L33="OK",O33="OK"),"OK","CHECK"))</x:f>
        <x:v>OK</x:v>
      </x:c>
      <x:c r="N33" t="str">
        <x:f>IF(A33="","", "PE-"&amp;A33&amp;"-L"&amp;TEXT(B33,"00")&amp;"-"&amp;TEXT(C33,"yyyymmdd")&amp;"-"&amp;F33&amp;"-"&amp;D33)</x:f>
        <x:v>PE-KG01-L21-20251026-PM-ORD-2025-00021</x:v>
      </x:c>
      <x:c r="O33" t="str">
        <x:f>IF(N33="","",IF(COUNTIF(_ProductionEventRef!$A$5:$A$500,N33)=1,"OK","CHECK"))</x:f>
        <x:v>OK</x:v>
      </x:c>
      <x:c r="P33" s="46" t="n">
        <x:f>IF(G33=0,0,I33/G33)</x:f>
        <x:v>0</x:v>
      </x:c>
      <x:c r="Q33" t="str">
        <x:v>SAMPLE_RATE_NON_ADDITIVE</x:v>
      </x:c>
      <x:c r="V33" t="str">
        <x:v>04_Quality_Log(6).xlsx</x:v>
      </x:c>
      <x:c r="W33" t="str">
        <x:v>ENH-20260830-01</x:v>
      </x:c>
      <x:c r="X33" t="str">
        <x:f>IF(AND(M33="OK",O33="OK"),"Active","Quarantine")</x:f>
        <x:v>Active</x:v>
      </x:c>
      <x:c r="Y33" t="str">
        <x:f>IF(X33="Active","LOAD","QUARANTINE")</x:f>
        <x:v>LOAD</x:v>
      </x:c>
    </x:row>
    <x:row r="34" ht="18" customHeight="1">
      <x:c r="A34" s="5" t="s">
        <x:v>26</x:v>
      </x:c>
      <x:c r="B34" s="5">
        <x:v>21</x:v>
      </x:c>
      <x:c r="C34" s="6">
        <x:v>45956</x:v>
      </x:c>
      <x:c r="D34" s="5" t="s">
        <x:v>39</x:v>
      </x:c>
      <x:c r="E34" s="7">
        <x:v>23</x:v>
      </x:c>
      <x:c r="F34" s="5" t="s">
        <x:v>31</x:v>
      </x:c>
      <x:c r="G34" s="8">
        <x:v>50</x:v>
      </x:c>
      <x:c r="H34" s="5" t="s">
        <x:v>36</x:v>
      </x:c>
      <x:c r="I34" s="8">
        <x:v>0</x:v>
      </x:c>
      <x:c r="J34" t="str">
        <x:f t="shared" si="0"/>
        <x:v>SAMP-KG01-L21-20251026-ORD-2025-00021-H23-Blister</x:v>
      </x:c>
      <x:c r="K34" t="str">
        <x:f t="shared" si="1"/>
        <x:v>OK</x:v>
      </x:c>
      <x:c r="L34" t="str">
        <x:f t="shared" si="2"/>
        <x:v>OK</x:v>
      </x:c>
      <x:c r="M34" t="str">
        <x:f t="shared" si="3">IF(A34="","",IF(AND(K34="OK",L34="OK",O34="OK"),"OK","CHECK"))</x:f>
        <x:v>OK</x:v>
      </x:c>
      <x:c r="N34" t="str">
        <x:f>IF(A34="","", "PE-"&amp;A34&amp;"-L"&amp;TEXT(B34,"00")&amp;"-"&amp;TEXT(C34,"yyyymmdd")&amp;"-"&amp;F34&amp;"-"&amp;D34)</x:f>
        <x:v>PE-KG01-L21-20251026-PM-ORD-2025-00021</x:v>
      </x:c>
      <x:c r="O34" t="str">
        <x:f>IF(N34="","",IF(COUNTIF(_ProductionEventRef!$A$5:$A$500,N34)=1,"OK","CHECK"))</x:f>
        <x:v>OK</x:v>
      </x:c>
      <x:c r="P34" s="46" t="n">
        <x:f>IF(G34=0,0,I34/G34)</x:f>
        <x:v>0</x:v>
      </x:c>
      <x:c r="Q34" t="str">
        <x:v>SAMPLE_RATE_NON_ADDITIVE</x:v>
      </x:c>
      <x:c r="V34" t="str">
        <x:v>04_Quality_Log(6).xlsx</x:v>
      </x:c>
      <x:c r="W34" t="str">
        <x:v>ENH-20260830-01</x:v>
      </x:c>
      <x:c r="X34" t="str">
        <x:f>IF(AND(M34="OK",O34="OK"),"Active","Quarantine")</x:f>
        <x:v>Active</x:v>
      </x:c>
      <x:c r="Y34" t="str">
        <x:f>IF(X34="Active","LOAD","QUARANTINE")</x:f>
        <x:v>LOAD</x:v>
      </x:c>
    </x:row>
    <x:row r="35" ht="18" customHeight="1">
      <x:c r="A35" s="5" t="s">
        <x:v>26</x:v>
      </x:c>
      <x:c r="B35" s="5">
        <x:v>22</x:v>
      </x:c>
      <x:c r="C35" s="6">
        <x:v>45950</x:v>
      </x:c>
      <x:c r="D35" s="5" t="s">
        <x:v>40</x:v>
      </x:c>
      <x:c r="E35" s="7">
        <x:v>7</x:v>
      </x:c>
      <x:c r="F35" s="5" t="s">
        <x:v>28</x:v>
      </x:c>
      <x:c r="G35" s="8">
        <x:v>150</x:v>
      </x:c>
      <x:c r="H35" s="5" t="s">
        <x:v>33</x:v>
      </x:c>
      <x:c r="I35" s="8">
        <x:v>10</x:v>
      </x:c>
      <x:c r="J35" t="str">
        <x:f t="shared" si="0"/>
        <x:v>SAMP-KG01-L22-20251020-ORD-2025-00056-H07-Distortion</x:v>
      </x:c>
      <x:c r="K35" t="str">
        <x:f t="shared" si="1"/>
        <x:v>OK</x:v>
      </x:c>
      <x:c r="L35" t="str">
        <x:f t="shared" si="2"/>
        <x:v>OK</x:v>
      </x:c>
      <x:c r="M35" t="str">
        <x:f t="shared" si="3">IF(A35="","",IF(AND(K35="OK",L35="OK",O35="OK"),"OK","CHECK"))</x:f>
        <x:v>OK</x:v>
      </x:c>
      <x:c r="N35" t="str">
        <x:f>IF(A35="","", "PE-"&amp;A35&amp;"-L"&amp;TEXT(B35,"00")&amp;"-"&amp;TEXT(C35,"yyyymmdd")&amp;"-"&amp;F35&amp;"-"&amp;D35)</x:f>
        <x:v>PE-KG01-L22-20251020-AM-ORD-2025-00056</x:v>
      </x:c>
      <x:c r="O35" t="str">
        <x:f>IF(N35="","",IF(COUNTIF(_ProductionEventRef!$A$5:$A$500,N35)=1,"OK","CHECK"))</x:f>
        <x:v>OK</x:v>
      </x:c>
      <x:c r="P35" s="46" t="n">
        <x:f>IF(G35=0,0,I35/G35)</x:f>
        <x:v>0.06666666666666667</x:v>
      </x:c>
      <x:c r="Q35" t="str">
        <x:v>SAMPLE_RATE_NON_ADDITIVE</x:v>
      </x:c>
      <x:c r="V35" t="str">
        <x:v>04_Quality_Log(6).xlsx</x:v>
      </x:c>
      <x:c r="W35" t="str">
        <x:v>ENH-20260830-01</x:v>
      </x:c>
      <x:c r="X35" t="str">
        <x:f>IF(AND(M35="OK",O35="OK"),"Active","Quarantine")</x:f>
        <x:v>Active</x:v>
      </x:c>
      <x:c r="Y35" t="str">
        <x:f>IF(X35="Active","LOAD","QUARANTINE")</x:f>
        <x:v>LOAD</x:v>
      </x:c>
    </x:row>
    <x:row r="36" ht="18" customHeight="1">
      <x:c r="A36" s="5" t="s">
        <x:v>26</x:v>
      </x:c>
      <x:c r="B36" s="5">
        <x:v>22</x:v>
      </x:c>
      <x:c r="C36" s="6">
        <x:v>45950</x:v>
      </x:c>
      <x:c r="D36" s="5" t="s">
        <x:v>40</x:v>
      </x:c>
      <x:c r="E36" s="7">
        <x:v>12</x:v>
      </x:c>
      <x:c r="F36" s="5" t="s">
        <x:v>28</x:v>
      </x:c>
      <x:c r="G36" s="8">
        <x:v>100</x:v>
      </x:c>
      <x:c r="H36" s="5" t="s">
        <x:v>35</x:v>
      </x:c>
      <x:c r="I36" s="8">
        <x:v>5</x:v>
      </x:c>
      <x:c r="J36" t="str">
        <x:f t="shared" si="0"/>
        <x:v>SAMP-KG01-L22-20251020-ORD-2025-00056-H12-Stone</x:v>
      </x:c>
      <x:c r="K36" t="str">
        <x:f t="shared" si="1"/>
        <x:v>OK</x:v>
      </x:c>
      <x:c r="L36" t="str">
        <x:f t="shared" si="2"/>
        <x:v>OK</x:v>
      </x:c>
      <x:c r="M36" t="str">
        <x:f t="shared" si="3">IF(A36="","",IF(AND(K36="OK",L36="OK",O36="OK"),"OK","CHECK"))</x:f>
        <x:v>OK</x:v>
      </x:c>
      <x:c r="N36" t="str">
        <x:f>IF(A36="","", "PE-"&amp;A36&amp;"-L"&amp;TEXT(B36,"00")&amp;"-"&amp;TEXT(C36,"yyyymmdd")&amp;"-"&amp;F36&amp;"-"&amp;D36)</x:f>
        <x:v>PE-KG01-L22-20251020-AM-ORD-2025-00056</x:v>
      </x:c>
      <x:c r="O36" t="str">
        <x:f>IF(N36="","",IF(COUNTIF(_ProductionEventRef!$A$5:$A$500,N36)=1,"OK","CHECK"))</x:f>
        <x:v>OK</x:v>
      </x:c>
      <x:c r="P36" s="46" t="n">
        <x:f>IF(G36=0,0,I36/G36)</x:f>
        <x:v>0.05</x:v>
      </x:c>
      <x:c r="Q36" t="str">
        <x:v>SAMPLE_RATE_NON_ADDITIVE</x:v>
      </x:c>
      <x:c r="V36" t="str">
        <x:v>04_Quality_Log(6).xlsx</x:v>
      </x:c>
      <x:c r="W36" t="str">
        <x:v>ENH-20260830-01</x:v>
      </x:c>
      <x:c r="X36" t="str">
        <x:f>IF(AND(M36="OK",O36="OK"),"Active","Quarantine")</x:f>
        <x:v>Active</x:v>
      </x:c>
      <x:c r="Y36" t="str">
        <x:f>IF(X36="Active","LOAD","QUARANTINE")</x:f>
        <x:v>LOAD</x:v>
      </x:c>
    </x:row>
    <x:row r="37" ht="18" customHeight="1">
      <x:c r="A37" s="5" t="s">
        <x:v>26</x:v>
      </x:c>
      <x:c r="B37" s="5">
        <x:v>22</x:v>
      </x:c>
      <x:c r="C37" s="6">
        <x:v>45950</x:v>
      </x:c>
      <x:c r="D37" s="5" t="s">
        <x:v>40</x:v>
      </x:c>
      <x:c r="E37" s="7">
        <x:v>16</x:v>
      </x:c>
      <x:c r="F37" s="5" t="s">
        <x:v>28</x:v>
      </x:c>
      <x:c r="G37" s="8">
        <x:v>200</x:v>
      </x:c>
      <x:c r="H37" s="5" t="s">
        <x:v>37</x:v>
      </x:c>
      <x:c r="I37" s="8">
        <x:v>6</x:v>
      </x:c>
      <x:c r="J37" t="str">
        <x:f t="shared" si="0"/>
        <x:v>SAMP-KG01-L22-20251020-ORD-2025-00056-H16-Bird Swing</x:v>
      </x:c>
      <x:c r="K37" t="str">
        <x:f t="shared" si="1"/>
        <x:v>OK</x:v>
      </x:c>
      <x:c r="L37" t="str">
        <x:f t="shared" si="2"/>
        <x:v>OK</x:v>
      </x:c>
      <x:c r="M37" t="str">
        <x:f t="shared" si="3">IF(A37="","",IF(AND(K37="OK",L37="OK",O37="OK"),"OK","CHECK"))</x:f>
        <x:v>OK</x:v>
      </x:c>
      <x:c r="N37" t="str">
        <x:f>IF(A37="","", "PE-"&amp;A37&amp;"-L"&amp;TEXT(B37,"00")&amp;"-"&amp;TEXT(C37,"yyyymmdd")&amp;"-"&amp;F37&amp;"-"&amp;D37)</x:f>
        <x:v>PE-KG01-L22-20251020-AM-ORD-2025-00056</x:v>
      </x:c>
      <x:c r="O37" t="str">
        <x:f>IF(N37="","",IF(COUNTIF(_ProductionEventRef!$A$5:$A$500,N37)=1,"OK","CHECK"))</x:f>
        <x:v>OK</x:v>
      </x:c>
      <x:c r="P37" s="46" t="n">
        <x:f>IF(G37=0,0,I37/G37)</x:f>
        <x:v>0.03</x:v>
      </x:c>
      <x:c r="Q37" t="str">
        <x:v>SAMPLE_RATE_NON_ADDITIVE</x:v>
      </x:c>
      <x:c r="V37" t="str">
        <x:v>04_Quality_Log(6).xlsx</x:v>
      </x:c>
      <x:c r="W37" t="str">
        <x:v>ENH-20260830-01</x:v>
      </x:c>
      <x:c r="X37" t="str">
        <x:f>IF(AND(M37="OK",O37="OK"),"Active","Quarantine")</x:f>
        <x:v>Active</x:v>
      </x:c>
      <x:c r="Y37" t="str">
        <x:f>IF(X37="Active","LOAD","QUARANTINE")</x:f>
        <x:v>LOAD</x:v>
      </x:c>
    </x:row>
    <x:row r="38" ht="18" customHeight="1">
      <x:c r="A38" s="5" t="s">
        <x:v>26</x:v>
      </x:c>
      <x:c r="B38" s="5">
        <x:v>22</x:v>
      </x:c>
      <x:c r="C38" s="6">
        <x:v>45950</x:v>
      </x:c>
      <x:c r="D38" s="5" t="s">
        <x:v>40</x:v>
      </x:c>
      <x:c r="E38" s="7">
        <x:v>20</x:v>
      </x:c>
      <x:c r="F38" s="5" t="s">
        <x:v>31</x:v>
      </x:c>
      <x:c r="G38" s="8">
        <x:v>100</x:v>
      </x:c>
      <x:c r="H38" s="5" t="s">
        <x:v>29</x:v>
      </x:c>
      <x:c r="I38" s="8">
        <x:v>0</x:v>
      </x:c>
      <x:c r="J38" t="str">
        <x:f t="shared" si="0"/>
        <x:v>SAMP-KG01-L22-20251020-ORD-2025-00056-H20-Choke Neck</x:v>
      </x:c>
      <x:c r="K38" t="str">
        <x:f t="shared" si="1"/>
        <x:v>OK</x:v>
      </x:c>
      <x:c r="L38" t="str">
        <x:f t="shared" si="2"/>
        <x:v>OK</x:v>
      </x:c>
      <x:c r="M38" t="str">
        <x:f t="shared" si="3">IF(A38="","",IF(AND(K38="OK",L38="OK",O38="OK"),"OK","CHECK"))</x:f>
        <x:v>OK</x:v>
      </x:c>
      <x:c r="N38" t="str">
        <x:f>IF(A38="","", "PE-"&amp;A38&amp;"-L"&amp;TEXT(B38,"00")&amp;"-"&amp;TEXT(C38,"yyyymmdd")&amp;"-"&amp;F38&amp;"-"&amp;D38)</x:f>
        <x:v>PE-KG01-L22-20251020-PM-ORD-2025-00056</x:v>
      </x:c>
      <x:c r="O38" t="str">
        <x:f>IF(N38="","",IF(COUNTIF(_ProductionEventRef!$A$5:$A$500,N38)=1,"OK","CHECK"))</x:f>
        <x:v>OK</x:v>
      </x:c>
      <x:c r="P38" s="46" t="n">
        <x:f>IF(G38=0,0,I38/G38)</x:f>
        <x:v>0</x:v>
      </x:c>
      <x:c r="Q38" t="str">
        <x:v>SAMPLE_RATE_NON_ADDITIVE</x:v>
      </x:c>
      <x:c r="V38" t="str">
        <x:v>04_Quality_Log(6).xlsx</x:v>
      </x:c>
      <x:c r="W38" t="str">
        <x:v>ENH-20260830-01</x:v>
      </x:c>
      <x:c r="X38" t="str">
        <x:f>IF(AND(M38="OK",O38="OK"),"Active","Quarantine")</x:f>
        <x:v>Active</x:v>
      </x:c>
      <x:c r="Y38" t="str">
        <x:f>IF(X38="Active","LOAD","QUARANTINE")</x:f>
        <x:v>LOAD</x:v>
      </x:c>
    </x:row>
    <x:row r="39" ht="18" customHeight="1">
      <x:c r="A39" s="5" t="s">
        <x:v>26</x:v>
      </x:c>
      <x:c r="B39" s="5">
        <x:v>22</x:v>
      </x:c>
      <x:c r="C39" s="6">
        <x:v>45950</x:v>
      </x:c>
      <x:c r="D39" s="5" t="s">
        <x:v>40</x:v>
      </x:c>
      <x:c r="E39" s="7">
        <x:v>23</x:v>
      </x:c>
      <x:c r="F39" s="5" t="s">
        <x:v>31</x:v>
      </x:c>
      <x:c r="G39" s="8">
        <x:v>150</x:v>
      </x:c>
      <x:c r="H39" s="5" t="s">
        <x:v>36</x:v>
      </x:c>
      <x:c r="I39" s="8">
        <x:v>3</x:v>
      </x:c>
      <x:c r="J39" t="str">
        <x:f t="shared" si="0"/>
        <x:v>SAMP-KG01-L22-20251020-ORD-2025-00056-H23-Blister</x:v>
      </x:c>
      <x:c r="K39" t="str">
        <x:f t="shared" si="1"/>
        <x:v>OK</x:v>
      </x:c>
      <x:c r="L39" t="str">
        <x:f t="shared" si="2"/>
        <x:v>OK</x:v>
      </x:c>
      <x:c r="M39" t="str">
        <x:f t="shared" si="3">IF(A39="","",IF(AND(K39="OK",L39="OK",O39="OK"),"OK","CHECK"))</x:f>
        <x:v>OK</x:v>
      </x:c>
      <x:c r="N39" t="str">
        <x:f>IF(A39="","", "PE-"&amp;A39&amp;"-L"&amp;TEXT(B39,"00")&amp;"-"&amp;TEXT(C39,"yyyymmdd")&amp;"-"&amp;F39&amp;"-"&amp;D39)</x:f>
        <x:v>PE-KG01-L22-20251020-PM-ORD-2025-00056</x:v>
      </x:c>
      <x:c r="O39" t="str">
        <x:f>IF(N39="","",IF(COUNTIF(_ProductionEventRef!$A$5:$A$500,N39)=1,"OK","CHECK"))</x:f>
        <x:v>OK</x:v>
      </x:c>
      <x:c r="P39" s="46" t="n">
        <x:f>IF(G39=0,0,I39/G39)</x:f>
        <x:v>0.02</x:v>
      </x:c>
      <x:c r="Q39" t="str">
        <x:v>SAMPLE_RATE_NON_ADDITIVE</x:v>
      </x:c>
      <x:c r="V39" t="str">
        <x:v>04_Quality_Log(6).xlsx</x:v>
      </x:c>
      <x:c r="W39" t="str">
        <x:v>ENH-20260830-01</x:v>
      </x:c>
      <x:c r="X39" t="str">
        <x:f>IF(AND(M39="OK",O39="OK"),"Active","Quarantine")</x:f>
        <x:v>Active</x:v>
      </x:c>
      <x:c r="Y39" t="str">
        <x:f>IF(X39="Active","LOAD","QUARANTINE")</x:f>
        <x:v>LOAD</x:v>
      </x:c>
    </x:row>
    <x:row r="40" ht="18" customHeight="1">
      <x:c r="A40" s="5" t="s">
        <x:v>26</x:v>
      </x:c>
      <x:c r="B40" s="5">
        <x:v>22</x:v>
      </x:c>
      <x:c r="C40" s="6">
        <x:v>45951</x:v>
      </x:c>
      <x:c r="D40" s="5" t="s">
        <x:v>40</x:v>
      </x:c>
      <x:c r="E40" s="7">
        <x:v>9</x:v>
      </x:c>
      <x:c r="F40" s="5" t="s">
        <x:v>28</x:v>
      </x:c>
      <x:c r="G40" s="8">
        <x:v>150</x:v>
      </x:c>
      <x:c r="H40" s="5" t="s">
        <x:v>41</x:v>
      </x:c>
      <x:c r="I40" s="8">
        <x:v>3</x:v>
      </x:c>
      <x:c r="J40" t="str">
        <x:f t="shared" si="0"/>
        <x:v>SAMP-KG01-L22-20251021-ORD-2025-00056-H09-Chip</x:v>
      </x:c>
      <x:c r="K40" t="str">
        <x:f t="shared" si="1"/>
        <x:v>OK</x:v>
      </x:c>
      <x:c r="L40" t="str">
        <x:f t="shared" si="2"/>
        <x:v>OK</x:v>
      </x:c>
      <x:c r="M40" t="str">
        <x:f t="shared" si="3">IF(A40="","",IF(AND(K40="OK",L40="OK",O40="OK"),"OK","CHECK"))</x:f>
        <x:v>OK</x:v>
      </x:c>
      <x:c r="N40" t="str">
        <x:f>IF(A40="","", "PE-"&amp;A40&amp;"-L"&amp;TEXT(B40,"00")&amp;"-"&amp;TEXT(C40,"yyyymmdd")&amp;"-"&amp;F40&amp;"-"&amp;D40)</x:f>
        <x:v>PE-KG01-L22-20251021-AM-ORD-2025-00056</x:v>
      </x:c>
      <x:c r="O40" t="str">
        <x:f>IF(N40="","",IF(COUNTIF(_ProductionEventRef!$A$5:$A$500,N40)=1,"OK","CHECK"))</x:f>
        <x:v>OK</x:v>
      </x:c>
      <x:c r="P40" s="46" t="n">
        <x:f>IF(G40=0,0,I40/G40)</x:f>
        <x:v>0.02</x:v>
      </x:c>
      <x:c r="Q40" t="str">
        <x:v>SAMPLE_RATE_NON_ADDITIVE</x:v>
      </x:c>
      <x:c r="V40" t="str">
        <x:v>04_Quality_Log(6).xlsx</x:v>
      </x:c>
      <x:c r="W40" t="str">
        <x:v>ENH-20260830-01</x:v>
      </x:c>
      <x:c r="X40" t="str">
        <x:f>IF(AND(M40="OK",O40="OK"),"Active","Quarantine")</x:f>
        <x:v>Active</x:v>
      </x:c>
      <x:c r="Y40" t="str">
        <x:f>IF(X40="Active","LOAD","QUARANTINE")</x:f>
        <x:v>LOAD</x:v>
      </x:c>
    </x:row>
    <x:row r="41" ht="18" customHeight="1">
      <x:c r="A41" s="5" t="s">
        <x:v>26</x:v>
      </x:c>
      <x:c r="B41" s="5">
        <x:v>22</x:v>
      </x:c>
      <x:c r="C41" s="6">
        <x:v>45951</x:v>
      </x:c>
      <x:c r="D41" s="5" t="s">
        <x:v>40</x:v>
      </x:c>
      <x:c r="E41" s="7">
        <x:v>15</x:v>
      </x:c>
      <x:c r="F41" s="5" t="s">
        <x:v>28</x:v>
      </x:c>
      <x:c r="G41" s="8">
        <x:v>150</x:v>
      </x:c>
      <x:c r="H41" s="5" t="s">
        <x:v>35</x:v>
      </x:c>
      <x:c r="I41" s="8">
        <x:v>4</x:v>
      </x:c>
      <x:c r="J41" t="str">
        <x:f t="shared" si="0"/>
        <x:v>SAMP-KG01-L22-20251021-ORD-2025-00056-H15-Stone</x:v>
      </x:c>
      <x:c r="K41" t="str">
        <x:f t="shared" si="1"/>
        <x:v>OK</x:v>
      </x:c>
      <x:c r="L41" t="str">
        <x:f t="shared" si="2"/>
        <x:v>OK</x:v>
      </x:c>
      <x:c r="M41" t="str">
        <x:f t="shared" si="3">IF(A41="","",IF(AND(K41="OK",L41="OK",O41="OK"),"OK","CHECK"))</x:f>
        <x:v>OK</x:v>
      </x:c>
      <x:c r="N41" t="str">
        <x:f>IF(A41="","", "PE-"&amp;A41&amp;"-L"&amp;TEXT(B41,"00")&amp;"-"&amp;TEXT(C41,"yyyymmdd")&amp;"-"&amp;F41&amp;"-"&amp;D41)</x:f>
        <x:v>PE-KG01-L22-20251021-AM-ORD-2025-00056</x:v>
      </x:c>
      <x:c r="O41" t="str">
        <x:f>IF(N41="","",IF(COUNTIF(_ProductionEventRef!$A$5:$A$500,N41)=1,"OK","CHECK"))</x:f>
        <x:v>OK</x:v>
      </x:c>
      <x:c r="P41" s="46" t="n">
        <x:f>IF(G41=0,0,I41/G41)</x:f>
        <x:v>0.02666666666666667</x:v>
      </x:c>
      <x:c r="Q41" t="str">
        <x:v>SAMPLE_RATE_NON_ADDITIVE</x:v>
      </x:c>
      <x:c r="V41" t="str">
        <x:v>04_Quality_Log(6).xlsx</x:v>
      </x:c>
      <x:c r="W41" t="str">
        <x:v>ENH-20260830-01</x:v>
      </x:c>
      <x:c r="X41" t="str">
        <x:f>IF(AND(M41="OK",O41="OK"),"Active","Quarantine")</x:f>
        <x:v>Active</x:v>
      </x:c>
      <x:c r="Y41" t="str">
        <x:f>IF(X41="Active","LOAD","QUARANTINE")</x:f>
        <x:v>LOAD</x:v>
      </x:c>
    </x:row>
    <x:row r="42" ht="18" customHeight="1">
      <x:c r="A42" s="5" t="s">
        <x:v>26</x:v>
      </x:c>
      <x:c r="B42" s="5">
        <x:v>22</x:v>
      </x:c>
      <x:c r="C42" s="6">
        <x:v>45951</x:v>
      </x:c>
      <x:c r="D42" s="5" t="s">
        <x:v>40</x:v>
      </x:c>
      <x:c r="E42" s="7">
        <x:v>20</x:v>
      </x:c>
      <x:c r="F42" s="5" t="s">
        <x:v>31</x:v>
      </x:c>
      <x:c r="G42" s="8">
        <x:v>50</x:v>
      </x:c>
      <x:c r="H42" s="5" t="s">
        <x:v>33</x:v>
      </x:c>
      <x:c r="I42" s="8">
        <x:v>2</x:v>
      </x:c>
      <x:c r="J42" t="str">
        <x:f t="shared" si="0"/>
        <x:v>SAMP-KG01-L22-20251021-ORD-2025-00056-H20-Distortion</x:v>
      </x:c>
      <x:c r="K42" t="str">
        <x:f t="shared" si="1"/>
        <x:v>OK</x:v>
      </x:c>
      <x:c r="L42" t="str">
        <x:f t="shared" si="2"/>
        <x:v>OK</x:v>
      </x:c>
      <x:c r="M42" t="str">
        <x:f t="shared" si="3">IF(A42="","",IF(AND(K42="OK",L42="OK",O42="OK"),"OK","CHECK"))</x:f>
        <x:v>OK</x:v>
      </x:c>
      <x:c r="N42" t="str">
        <x:f>IF(A42="","", "PE-"&amp;A42&amp;"-L"&amp;TEXT(B42,"00")&amp;"-"&amp;TEXT(C42,"yyyymmdd")&amp;"-"&amp;F42&amp;"-"&amp;D42)</x:f>
        <x:v>PE-KG01-L22-20251021-PM-ORD-2025-00056</x:v>
      </x:c>
      <x:c r="O42" t="str">
        <x:f>IF(N42="","",IF(COUNTIF(_ProductionEventRef!$A$5:$A$500,N42)=1,"OK","CHECK"))</x:f>
        <x:v>OK</x:v>
      </x:c>
      <x:c r="P42" s="46" t="n">
        <x:f>IF(G42=0,0,I42/G42)</x:f>
        <x:v>0.04</x:v>
      </x:c>
      <x:c r="Q42" t="str">
        <x:v>SAMPLE_RATE_NON_ADDITIVE</x:v>
      </x:c>
      <x:c r="V42" t="str">
        <x:v>04_Quality_Log(6).xlsx</x:v>
      </x:c>
      <x:c r="W42" t="str">
        <x:v>ENH-20260830-01</x:v>
      </x:c>
      <x:c r="X42" t="str">
        <x:f>IF(AND(M42="OK",O42="OK"),"Active","Quarantine")</x:f>
        <x:v>Active</x:v>
      </x:c>
      <x:c r="Y42" t="str">
        <x:f>IF(X42="Active","LOAD","QUARANTINE")</x:f>
        <x:v>LOAD</x:v>
      </x:c>
    </x:row>
    <x:row r="43" ht="18" customHeight="1">
      <x:c r="A43" s="5" t="s">
        <x:v>26</x:v>
      </x:c>
      <x:c r="B43" s="5">
        <x:v>22</x:v>
      </x:c>
      <x:c r="C43" s="6">
        <x:v>45951</x:v>
      </x:c>
      <x:c r="D43" s="5" t="s">
        <x:v>40</x:v>
      </x:c>
      <x:c r="E43" s="7">
        <x:v>23</x:v>
      </x:c>
      <x:c r="F43" s="5" t="s">
        <x:v>31</x:v>
      </x:c>
      <x:c r="G43" s="8">
        <x:v>50</x:v>
      </x:c>
      <x:c r="H43" s="5" t="s">
        <x:v>41</x:v>
      </x:c>
      <x:c r="I43" s="8">
        <x:v>3</x:v>
      </x:c>
      <x:c r="J43" t="str">
        <x:f t="shared" si="0"/>
        <x:v>SAMP-KG01-L22-20251021-ORD-2025-00056-H23-Chip</x:v>
      </x:c>
      <x:c r="K43" t="str">
        <x:f t="shared" si="1"/>
        <x:v>OK</x:v>
      </x:c>
      <x:c r="L43" t="str">
        <x:f t="shared" si="2"/>
        <x:v>OK</x:v>
      </x:c>
      <x:c r="M43" t="str">
        <x:f t="shared" si="3">IF(A43="","",IF(AND(K43="OK",L43="OK",O43="OK"),"OK","CHECK"))</x:f>
        <x:v>OK</x:v>
      </x:c>
      <x:c r="N43" t="str">
        <x:f>IF(A43="","", "PE-"&amp;A43&amp;"-L"&amp;TEXT(B43,"00")&amp;"-"&amp;TEXT(C43,"yyyymmdd")&amp;"-"&amp;F43&amp;"-"&amp;D43)</x:f>
        <x:v>PE-KG01-L22-20251021-PM-ORD-2025-00056</x:v>
      </x:c>
      <x:c r="O43" t="str">
        <x:f>IF(N43="","",IF(COUNTIF(_ProductionEventRef!$A$5:$A$500,N43)=1,"OK","CHECK"))</x:f>
        <x:v>OK</x:v>
      </x:c>
      <x:c r="P43" s="46" t="n">
        <x:f>IF(G43=0,0,I43/G43)</x:f>
        <x:v>0.06</x:v>
      </x:c>
      <x:c r="Q43" t="str">
        <x:v>SAMPLE_RATE_NON_ADDITIVE</x:v>
      </x:c>
      <x:c r="V43" t="str">
        <x:v>04_Quality_Log(6).xlsx</x:v>
      </x:c>
      <x:c r="W43" t="str">
        <x:v>ENH-20260830-01</x:v>
      </x:c>
      <x:c r="X43" t="str">
        <x:f>IF(AND(M43="OK",O43="OK"),"Active","Quarantine")</x:f>
        <x:v>Active</x:v>
      </x:c>
      <x:c r="Y43" t="str">
        <x:f>IF(X43="Active","LOAD","QUARANTINE")</x:f>
        <x:v>LOAD</x:v>
      </x:c>
    </x:row>
    <x:row r="44" ht="18" customHeight="1">
      <x:c r="A44" s="5" t="s">
        <x:v>26</x:v>
      </x:c>
      <x:c r="B44" s="5">
        <x:v>22</x:v>
      </x:c>
      <x:c r="C44" s="6">
        <x:v>45952</x:v>
      </x:c>
      <x:c r="D44" s="5" t="s">
        <x:v>42</x:v>
      </x:c>
      <x:c r="E44" s="7">
        <x:v>9</x:v>
      </x:c>
      <x:c r="F44" s="5" t="s">
        <x:v>28</x:v>
      </x:c>
      <x:c r="G44" s="8">
        <x:v>200</x:v>
      </x:c>
      <x:c r="H44" s="5" t="s">
        <x:v>36</x:v>
      </x:c>
      <x:c r="I44" s="8">
        <x:v>4</x:v>
      </x:c>
      <x:c r="J44" t="str">
        <x:f t="shared" si="0"/>
        <x:v>SAMP-KG01-L22-20251022-ORD-2025-00057-H09-Blister</x:v>
      </x:c>
      <x:c r="K44" t="str">
        <x:f t="shared" si="1"/>
        <x:v>OK</x:v>
      </x:c>
      <x:c r="L44" t="str">
        <x:f t="shared" si="2"/>
        <x:v>OK</x:v>
      </x:c>
      <x:c r="M44" t="str">
        <x:f t="shared" si="3">IF(A44="","",IF(AND(K44="OK",L44="OK",O44="OK"),"OK","CHECK"))</x:f>
        <x:v>OK</x:v>
      </x:c>
      <x:c r="N44" t="str">
        <x:f>IF(A44="","", "PE-"&amp;A44&amp;"-L"&amp;TEXT(B44,"00")&amp;"-"&amp;TEXT(C44,"yyyymmdd")&amp;"-"&amp;F44&amp;"-"&amp;D44)</x:f>
        <x:v>PE-KG01-L22-20251022-AM-ORD-2025-00057</x:v>
      </x:c>
      <x:c r="O44" t="str">
        <x:f>IF(N44="","",IF(COUNTIF(_ProductionEventRef!$A$5:$A$500,N44)=1,"OK","CHECK"))</x:f>
        <x:v>OK</x:v>
      </x:c>
      <x:c r="P44" s="46" t="n">
        <x:f>IF(G44=0,0,I44/G44)</x:f>
        <x:v>0.02</x:v>
      </x:c>
      <x:c r="Q44" t="str">
        <x:v>SAMPLE_RATE_NON_ADDITIVE</x:v>
      </x:c>
      <x:c r="V44" t="str">
        <x:v>04_Quality_Log(6).xlsx</x:v>
      </x:c>
      <x:c r="W44" t="str">
        <x:v>ENH-20260830-01</x:v>
      </x:c>
      <x:c r="X44" t="str">
        <x:f>IF(AND(M44="OK",O44="OK"),"Active","Quarantine")</x:f>
        <x:v>Active</x:v>
      </x:c>
      <x:c r="Y44" t="str">
        <x:f>IF(X44="Active","LOAD","QUARANTINE")</x:f>
        <x:v>LOAD</x:v>
      </x:c>
    </x:row>
    <x:row r="45" ht="18" customHeight="1">
      <x:c r="A45" s="5" t="s">
        <x:v>26</x:v>
      </x:c>
      <x:c r="B45" s="5">
        <x:v>22</x:v>
      </x:c>
      <x:c r="C45" s="6">
        <x:v>45952</x:v>
      </x:c>
      <x:c r="D45" s="5" t="s">
        <x:v>42</x:v>
      </x:c>
      <x:c r="E45" s="7">
        <x:v>15</x:v>
      </x:c>
      <x:c r="F45" s="5" t="s">
        <x:v>28</x:v>
      </x:c>
      <x:c r="G45" s="8">
        <x:v>150</x:v>
      </x:c>
      <x:c r="H45" s="5" t="s">
        <x:v>38</x:v>
      </x:c>
      <x:c r="I45" s="8">
        <x:v>3</x:v>
      </x:c>
      <x:c r="J45" t="str">
        <x:f t="shared" si="0"/>
        <x:v>SAMP-KG01-L22-20251022-ORD-2025-00057-H15-Crack</x:v>
      </x:c>
      <x:c r="K45" t="str">
        <x:f t="shared" si="1"/>
        <x:v>OK</x:v>
      </x:c>
      <x:c r="L45" t="str">
        <x:f t="shared" si="2"/>
        <x:v>OK</x:v>
      </x:c>
      <x:c r="M45" t="str">
        <x:f t="shared" si="3">IF(A45="","",IF(AND(K45="OK",L45="OK",O45="OK"),"OK","CHECK"))</x:f>
        <x:v>OK</x:v>
      </x:c>
      <x:c r="N45" t="str">
        <x:f>IF(A45="","", "PE-"&amp;A45&amp;"-L"&amp;TEXT(B45,"00")&amp;"-"&amp;TEXT(C45,"yyyymmdd")&amp;"-"&amp;F45&amp;"-"&amp;D45)</x:f>
        <x:v>PE-KG01-L22-20251022-AM-ORD-2025-00057</x:v>
      </x:c>
      <x:c r="O45" t="str">
        <x:f>IF(N45="","",IF(COUNTIF(_ProductionEventRef!$A$5:$A$500,N45)=1,"OK","CHECK"))</x:f>
        <x:v>OK</x:v>
      </x:c>
      <x:c r="P45" s="46" t="n">
        <x:f>IF(G45=0,0,I45/G45)</x:f>
        <x:v>0.02</x:v>
      </x:c>
      <x:c r="Q45" t="str">
        <x:v>SAMPLE_RATE_NON_ADDITIVE</x:v>
      </x:c>
      <x:c r="V45" t="str">
        <x:v>04_Quality_Log(6).xlsx</x:v>
      </x:c>
      <x:c r="W45" t="str">
        <x:v>ENH-20260830-01</x:v>
      </x:c>
      <x:c r="X45" t="str">
        <x:f>IF(AND(M45="OK",O45="OK"),"Active","Quarantine")</x:f>
        <x:v>Active</x:v>
      </x:c>
      <x:c r="Y45" t="str">
        <x:f>IF(X45="Active","LOAD","QUARANTINE")</x:f>
        <x:v>LOAD</x:v>
      </x:c>
    </x:row>
    <x:row r="46" ht="18" customHeight="1">
      <x:c r="A46" s="5" t="s">
        <x:v>26</x:v>
      </x:c>
      <x:c r="B46" s="5">
        <x:v>22</x:v>
      </x:c>
      <x:c r="C46" s="6">
        <x:v>45952</x:v>
      </x:c>
      <x:c r="D46" s="5" t="s">
        <x:v>42</x:v>
      </x:c>
      <x:c r="E46" s="7">
        <x:v>20</x:v>
      </x:c>
      <x:c r="F46" s="5" t="s">
        <x:v>31</x:v>
      </x:c>
      <x:c r="G46" s="8">
        <x:v>150</x:v>
      </x:c>
      <x:c r="H46" s="5" t="s">
        <x:v>38</x:v>
      </x:c>
      <x:c r="I46" s="8">
        <x:v>4</x:v>
      </x:c>
      <x:c r="J46" t="str">
        <x:f t="shared" si="0"/>
        <x:v>SAMP-KG01-L22-20251022-ORD-2025-00057-H20-Crack</x:v>
      </x:c>
      <x:c r="K46" t="str">
        <x:f t="shared" si="1"/>
        <x:v>OK</x:v>
      </x:c>
      <x:c r="L46" t="str">
        <x:f t="shared" si="2"/>
        <x:v>OK</x:v>
      </x:c>
      <x:c r="M46" t="str">
        <x:f t="shared" si="3">IF(A46="","",IF(AND(K46="OK",L46="OK",O46="OK"),"OK","CHECK"))</x:f>
        <x:v>OK</x:v>
      </x:c>
      <x:c r="N46" t="str">
        <x:f>IF(A46="","", "PE-"&amp;A46&amp;"-L"&amp;TEXT(B46,"00")&amp;"-"&amp;TEXT(C46,"yyyymmdd")&amp;"-"&amp;F46&amp;"-"&amp;D46)</x:f>
        <x:v>PE-KG01-L22-20251022-PM-ORD-2025-00057</x:v>
      </x:c>
      <x:c r="O46" t="str">
        <x:f>IF(N46="","",IF(COUNTIF(_ProductionEventRef!$A$5:$A$500,N46)=1,"OK","CHECK"))</x:f>
        <x:v>OK</x:v>
      </x:c>
      <x:c r="P46" s="46" t="n">
        <x:f>IF(G46=0,0,I46/G46)</x:f>
        <x:v>0.02666666666666667</x:v>
      </x:c>
      <x:c r="Q46" t="str">
        <x:v>SAMPLE_RATE_NON_ADDITIVE</x:v>
      </x:c>
      <x:c r="V46" t="str">
        <x:v>04_Quality_Log(6).xlsx</x:v>
      </x:c>
      <x:c r="W46" t="str">
        <x:v>ENH-20260830-01</x:v>
      </x:c>
      <x:c r="X46" t="str">
        <x:f>IF(AND(M46="OK",O46="OK"),"Active","Quarantine")</x:f>
        <x:v>Active</x:v>
      </x:c>
      <x:c r="Y46" t="str">
        <x:f>IF(X46="Active","LOAD","QUARANTINE")</x:f>
        <x:v>LOAD</x:v>
      </x:c>
    </x:row>
    <x:row r="47" ht="18" customHeight="1">
      <x:c r="A47" s="5" t="s">
        <x:v>26</x:v>
      </x:c>
      <x:c r="B47" s="5">
        <x:v>22</x:v>
      </x:c>
      <x:c r="C47" s="6">
        <x:v>45952</x:v>
      </x:c>
      <x:c r="D47" s="5" t="s">
        <x:v>42</x:v>
      </x:c>
      <x:c r="E47" s="7">
        <x:v>23</x:v>
      </x:c>
      <x:c r="F47" s="5" t="s">
        <x:v>31</x:v>
      </x:c>
      <x:c r="G47" s="8">
        <x:v>200</x:v>
      </x:c>
      <x:c r="H47" s="5" t="s">
        <x:v>38</x:v>
      </x:c>
      <x:c r="I47" s="8">
        <x:v>3</x:v>
      </x:c>
      <x:c r="J47" t="str">
        <x:f t="shared" si="0"/>
        <x:v>SAMP-KG01-L22-20251022-ORD-2025-00057-H23-Crack</x:v>
      </x:c>
      <x:c r="K47" t="str">
        <x:f t="shared" si="1"/>
        <x:v>OK</x:v>
      </x:c>
      <x:c r="L47" t="str">
        <x:f t="shared" si="2"/>
        <x:v>OK</x:v>
      </x:c>
      <x:c r="M47" t="str">
        <x:f t="shared" si="3">IF(A47="","",IF(AND(K47="OK",L47="OK",O47="OK"),"OK","CHECK"))</x:f>
        <x:v>OK</x:v>
      </x:c>
      <x:c r="N47" t="str">
        <x:f>IF(A47="","", "PE-"&amp;A47&amp;"-L"&amp;TEXT(B47,"00")&amp;"-"&amp;TEXT(C47,"yyyymmdd")&amp;"-"&amp;F47&amp;"-"&amp;D47)</x:f>
        <x:v>PE-KG01-L22-20251022-PM-ORD-2025-00057</x:v>
      </x:c>
      <x:c r="O47" t="str">
        <x:f>IF(N47="","",IF(COUNTIF(_ProductionEventRef!$A$5:$A$500,N47)=1,"OK","CHECK"))</x:f>
        <x:v>OK</x:v>
      </x:c>
      <x:c r="P47" s="46" t="n">
        <x:f>IF(G47=0,0,I47/G47)</x:f>
        <x:v>0.015</x:v>
      </x:c>
      <x:c r="Q47" t="str">
        <x:v>SAMPLE_RATE_NON_ADDITIVE</x:v>
      </x:c>
      <x:c r="V47" t="str">
        <x:v>04_Quality_Log(6).xlsx</x:v>
      </x:c>
      <x:c r="W47" t="str">
        <x:v>ENH-20260830-01</x:v>
      </x:c>
      <x:c r="X47" t="str">
        <x:f>IF(AND(M47="OK",O47="OK"),"Active","Quarantine")</x:f>
        <x:v>Active</x:v>
      </x:c>
      <x:c r="Y47" t="str">
        <x:f>IF(X47="Active","LOAD","QUARANTINE")</x:f>
        <x:v>LOAD</x:v>
      </x:c>
    </x:row>
    <x:row r="48" ht="18" customHeight="1">
      <x:c r="A48" s="5" t="s">
        <x:v>26</x:v>
      </x:c>
      <x:c r="B48" s="5">
        <x:v>22</x:v>
      </x:c>
      <x:c r="C48" s="6">
        <x:v>45953</x:v>
      </x:c>
      <x:c r="D48" s="5" t="s">
        <x:v>42</x:v>
      </x:c>
      <x:c r="E48" s="7">
        <x:v>9</x:v>
      </x:c>
      <x:c r="F48" s="5" t="s">
        <x:v>28</x:v>
      </x:c>
      <x:c r="G48" s="8">
        <x:v>50</x:v>
      </x:c>
      <x:c r="H48" s="5" t="s">
        <x:v>33</x:v>
      </x:c>
      <x:c r="I48" s="8">
        <x:v>2</x:v>
      </x:c>
      <x:c r="J48" t="str">
        <x:f t="shared" si="0"/>
        <x:v>SAMP-KG01-L22-20251023-ORD-2025-00057-H09-Distortion</x:v>
      </x:c>
      <x:c r="K48" t="str">
        <x:f t="shared" si="1"/>
        <x:v>OK</x:v>
      </x:c>
      <x:c r="L48" t="str">
        <x:f t="shared" si="2"/>
        <x:v>OK</x:v>
      </x:c>
      <x:c r="M48" t="str">
        <x:f t="shared" si="3">IF(A48="","",IF(AND(K48="OK",L48="OK",O48="OK"),"OK","CHECK"))</x:f>
        <x:v>OK</x:v>
      </x:c>
      <x:c r="N48" t="str">
        <x:f>IF(A48="","", "PE-"&amp;A48&amp;"-L"&amp;TEXT(B48,"00")&amp;"-"&amp;TEXT(C48,"yyyymmdd")&amp;"-"&amp;F48&amp;"-"&amp;D48)</x:f>
        <x:v>PE-KG01-L22-20251023-AM-ORD-2025-00057</x:v>
      </x:c>
      <x:c r="O48" t="str">
        <x:f>IF(N48="","",IF(COUNTIF(_ProductionEventRef!$A$5:$A$500,N48)=1,"OK","CHECK"))</x:f>
        <x:v>OK</x:v>
      </x:c>
      <x:c r="P48" s="46" t="n">
        <x:f>IF(G48=0,0,I48/G48)</x:f>
        <x:v>0.04</x:v>
      </x:c>
      <x:c r="Q48" t="str">
        <x:v>SAMPLE_RATE_NON_ADDITIVE</x:v>
      </x:c>
      <x:c r="V48" t="str">
        <x:v>04_Quality_Log(6).xlsx</x:v>
      </x:c>
      <x:c r="W48" t="str">
        <x:v>ENH-20260830-01</x:v>
      </x:c>
      <x:c r="X48" t="str">
        <x:f>IF(AND(M48="OK",O48="OK"),"Active","Quarantine")</x:f>
        <x:v>Active</x:v>
      </x:c>
      <x:c r="Y48" t="str">
        <x:f>IF(X48="Active","LOAD","QUARANTINE")</x:f>
        <x:v>LOAD</x:v>
      </x:c>
    </x:row>
    <x:row r="49" ht="18" customHeight="1">
      <x:c r="A49" s="5" t="s">
        <x:v>26</x:v>
      </x:c>
      <x:c r="B49" s="5">
        <x:v>22</x:v>
      </x:c>
      <x:c r="C49" s="6">
        <x:v>45953</x:v>
      </x:c>
      <x:c r="D49" s="5" t="s">
        <x:v>42</x:v>
      </x:c>
      <x:c r="E49" s="7">
        <x:v>15</x:v>
      </x:c>
      <x:c r="F49" s="5" t="s">
        <x:v>28</x:v>
      </x:c>
      <x:c r="G49" s="8">
        <x:v>200</x:v>
      </x:c>
      <x:c r="H49" s="5" t="s">
        <x:v>41</x:v>
      </x:c>
      <x:c r="I49" s="8">
        <x:v>4</x:v>
      </x:c>
      <x:c r="J49" t="str">
        <x:f t="shared" si="0"/>
        <x:v>SAMP-KG01-L22-20251023-ORD-2025-00057-H15-Chip</x:v>
      </x:c>
      <x:c r="K49" t="str">
        <x:f t="shared" si="1"/>
        <x:v>OK</x:v>
      </x:c>
      <x:c r="L49" t="str">
        <x:f t="shared" si="2"/>
        <x:v>OK</x:v>
      </x:c>
      <x:c r="M49" t="str">
        <x:f t="shared" si="3">IF(A49="","",IF(AND(K49="OK",L49="OK",O49="OK"),"OK","CHECK"))</x:f>
        <x:v>OK</x:v>
      </x:c>
      <x:c r="N49" t="str">
        <x:f>IF(A49="","", "PE-"&amp;A49&amp;"-L"&amp;TEXT(B49,"00")&amp;"-"&amp;TEXT(C49,"yyyymmdd")&amp;"-"&amp;F49&amp;"-"&amp;D49)</x:f>
        <x:v>PE-KG01-L22-20251023-AM-ORD-2025-00057</x:v>
      </x:c>
      <x:c r="O49" t="str">
        <x:f>IF(N49="","",IF(COUNTIF(_ProductionEventRef!$A$5:$A$500,N49)=1,"OK","CHECK"))</x:f>
        <x:v>OK</x:v>
      </x:c>
      <x:c r="P49" s="46" t="n">
        <x:f>IF(G49=0,0,I49/G49)</x:f>
        <x:v>0.02</x:v>
      </x:c>
      <x:c r="Q49" t="str">
        <x:v>SAMPLE_RATE_NON_ADDITIVE</x:v>
      </x:c>
      <x:c r="V49" t="str">
        <x:v>04_Quality_Log(6).xlsx</x:v>
      </x:c>
      <x:c r="W49" t="str">
        <x:v>ENH-20260830-01</x:v>
      </x:c>
      <x:c r="X49" t="str">
        <x:f>IF(AND(M49="OK",O49="OK"),"Active","Quarantine")</x:f>
        <x:v>Active</x:v>
      </x:c>
      <x:c r="Y49" t="str">
        <x:f>IF(X49="Active","LOAD","QUARANTINE")</x:f>
        <x:v>LOAD</x:v>
      </x:c>
    </x:row>
    <x:row r="50" ht="18" customHeight="1">
      <x:c r="A50" s="5" t="s">
        <x:v>26</x:v>
      </x:c>
      <x:c r="B50" s="5">
        <x:v>22</x:v>
      </x:c>
      <x:c r="C50" s="6">
        <x:v>45953</x:v>
      </x:c>
      <x:c r="D50" s="5" t="s">
        <x:v>42</x:v>
      </x:c>
      <x:c r="E50" s="7">
        <x:v>20</x:v>
      </x:c>
      <x:c r="F50" s="5" t="s">
        <x:v>31</x:v>
      </x:c>
      <x:c r="G50" s="8">
        <x:v>100</x:v>
      </x:c>
      <x:c r="H50" s="5" t="s">
        <x:v>29</x:v>
      </x:c>
      <x:c r="I50" s="8">
        <x:v>1</x:v>
      </x:c>
      <x:c r="J50" t="str">
        <x:f t="shared" si="0"/>
        <x:v>SAMP-KG01-L22-20251023-ORD-2025-00057-H20-Choke Neck</x:v>
      </x:c>
      <x:c r="K50" t="str">
        <x:f t="shared" si="1"/>
        <x:v>OK</x:v>
      </x:c>
      <x:c r="L50" t="str">
        <x:f t="shared" si="2"/>
        <x:v>OK</x:v>
      </x:c>
      <x:c r="M50" t="str">
        <x:f t="shared" si="3">IF(A50="","",IF(AND(K50="OK",L50="OK",O50="OK"),"OK","CHECK"))</x:f>
        <x:v>OK</x:v>
      </x:c>
      <x:c r="N50" t="str">
        <x:f>IF(A50="","", "PE-"&amp;A50&amp;"-L"&amp;TEXT(B50,"00")&amp;"-"&amp;TEXT(C50,"yyyymmdd")&amp;"-"&amp;F50&amp;"-"&amp;D50)</x:f>
        <x:v>PE-KG01-L22-20251023-PM-ORD-2025-00057</x:v>
      </x:c>
      <x:c r="O50" t="str">
        <x:f>IF(N50="","",IF(COUNTIF(_ProductionEventRef!$A$5:$A$500,N50)=1,"OK","CHECK"))</x:f>
        <x:v>OK</x:v>
      </x:c>
      <x:c r="P50" s="46" t="n">
        <x:f>IF(G50=0,0,I50/G50)</x:f>
        <x:v>0.01</x:v>
      </x:c>
      <x:c r="Q50" t="str">
        <x:v>SAMPLE_RATE_NON_ADDITIVE</x:v>
      </x:c>
      <x:c r="V50" t="str">
        <x:v>04_Quality_Log(6).xlsx</x:v>
      </x:c>
      <x:c r="W50" t="str">
        <x:v>ENH-20260830-01</x:v>
      </x:c>
      <x:c r="X50" t="str">
        <x:f>IF(AND(M50="OK",O50="OK"),"Active","Quarantine")</x:f>
        <x:v>Active</x:v>
      </x:c>
      <x:c r="Y50" t="str">
        <x:f>IF(X50="Active","LOAD","QUARANTINE")</x:f>
        <x:v>LOAD</x:v>
      </x:c>
    </x:row>
    <x:row r="51" ht="18" customHeight="1">
      <x:c r="A51" s="5" t="s">
        <x:v>26</x:v>
      </x:c>
      <x:c r="B51" s="5">
        <x:v>22</x:v>
      </x:c>
      <x:c r="C51" s="6">
        <x:v>45953</x:v>
      </x:c>
      <x:c r="D51" s="5" t="s">
        <x:v>42</x:v>
      </x:c>
      <x:c r="E51" s="7">
        <x:v>23</x:v>
      </x:c>
      <x:c r="F51" s="5" t="s">
        <x:v>31</x:v>
      </x:c>
      <x:c r="G51" s="8">
        <x:v>200</x:v>
      </x:c>
      <x:c r="H51" s="5" t="s">
        <x:v>36</x:v>
      </x:c>
      <x:c r="I51" s="8">
        <x:v>8</x:v>
      </x:c>
      <x:c r="J51" t="str">
        <x:f t="shared" si="0"/>
        <x:v>SAMP-KG01-L22-20251023-ORD-2025-00057-H23-Blister</x:v>
      </x:c>
      <x:c r="K51" t="str">
        <x:f t="shared" si="1"/>
        <x:v>OK</x:v>
      </x:c>
      <x:c r="L51" t="str">
        <x:f t="shared" si="2"/>
        <x:v>OK</x:v>
      </x:c>
      <x:c r="M51" t="str">
        <x:f t="shared" si="3">IF(A51="","",IF(AND(K51="OK",L51="OK",O51="OK"),"OK","CHECK"))</x:f>
        <x:v>OK</x:v>
      </x:c>
      <x:c r="N51" t="str">
        <x:f>IF(A51="","", "PE-"&amp;A51&amp;"-L"&amp;TEXT(B51,"00")&amp;"-"&amp;TEXT(C51,"yyyymmdd")&amp;"-"&amp;F51&amp;"-"&amp;D51)</x:f>
        <x:v>PE-KG01-L22-20251023-PM-ORD-2025-00057</x:v>
      </x:c>
      <x:c r="O51" t="str">
        <x:f>IF(N51="","",IF(COUNTIF(_ProductionEventRef!$A$5:$A$500,N51)=1,"OK","CHECK"))</x:f>
        <x:v>OK</x:v>
      </x:c>
      <x:c r="P51" s="46" t="n">
        <x:f>IF(G51=0,0,I51/G51)</x:f>
        <x:v>0.04</x:v>
      </x:c>
      <x:c r="Q51" t="str">
        <x:v>SAMPLE_RATE_NON_ADDITIVE</x:v>
      </x:c>
      <x:c r="V51" t="str">
        <x:v>04_Quality_Log(6).xlsx</x:v>
      </x:c>
      <x:c r="W51" t="str">
        <x:v>ENH-20260830-01</x:v>
      </x:c>
      <x:c r="X51" t="str">
        <x:f>IF(AND(M51="OK",O51="OK"),"Active","Quarantine")</x:f>
        <x:v>Active</x:v>
      </x:c>
      <x:c r="Y51" t="str">
        <x:f>IF(X51="Active","LOAD","QUARANTINE")</x:f>
        <x:v>LOAD</x:v>
      </x:c>
    </x:row>
    <x:row r="52" ht="18" customHeight="1">
      <x:c r="A52" s="5" t="s">
        <x:v>26</x:v>
      </x:c>
      <x:c r="B52" s="5">
        <x:v>22</x:v>
      </x:c>
      <x:c r="C52" s="6">
        <x:v>45954</x:v>
      </x:c>
      <x:c r="D52" s="5" t="s">
        <x:v>42</x:v>
      </x:c>
      <x:c r="E52" s="7">
        <x:v>9</x:v>
      </x:c>
      <x:c r="F52" s="5" t="s">
        <x:v>28</x:v>
      </x:c>
      <x:c r="G52" s="8">
        <x:v>200</x:v>
      </x:c>
      <x:c r="H52" s="5" t="s">
        <x:v>41</x:v>
      </x:c>
      <x:c r="I52" s="8">
        <x:v>3</x:v>
      </x:c>
      <x:c r="J52" t="str">
        <x:f t="shared" si="0"/>
        <x:v>SAMP-KG01-L22-20251024-ORD-2025-00057-H09-Chip</x:v>
      </x:c>
      <x:c r="K52" t="str">
        <x:f t="shared" si="1"/>
        <x:v>OK</x:v>
      </x:c>
      <x:c r="L52" t="str">
        <x:f t="shared" si="2"/>
        <x:v>OK</x:v>
      </x:c>
      <x:c r="M52" t="str">
        <x:f t="shared" si="3">IF(A52="","",IF(AND(K52="OK",L52="OK",O52="OK"),"OK","CHECK"))</x:f>
        <x:v>OK</x:v>
      </x:c>
      <x:c r="N52" t="str">
        <x:f>IF(A52="","", "PE-"&amp;A52&amp;"-L"&amp;TEXT(B52,"00")&amp;"-"&amp;TEXT(C52,"yyyymmdd")&amp;"-"&amp;F52&amp;"-"&amp;D52)</x:f>
        <x:v>PE-KG01-L22-20251024-AM-ORD-2025-00057</x:v>
      </x:c>
      <x:c r="O52" t="str">
        <x:f>IF(N52="","",IF(COUNTIF(_ProductionEventRef!$A$5:$A$500,N52)=1,"OK","CHECK"))</x:f>
        <x:v>OK</x:v>
      </x:c>
      <x:c r="P52" s="46" t="n">
        <x:f>IF(G52=0,0,I52/G52)</x:f>
        <x:v>0.015</x:v>
      </x:c>
      <x:c r="Q52" t="str">
        <x:v>SAMPLE_RATE_NON_ADDITIVE</x:v>
      </x:c>
      <x:c r="V52" t="str">
        <x:v>04_Quality_Log(6).xlsx</x:v>
      </x:c>
      <x:c r="W52" t="str">
        <x:v>ENH-20260830-01</x:v>
      </x:c>
      <x:c r="X52" t="str">
        <x:f>IF(AND(M52="OK",O52="OK"),"Active","Quarantine")</x:f>
        <x:v>Active</x:v>
      </x:c>
      <x:c r="Y52" t="str">
        <x:f>IF(X52="Active","LOAD","QUARANTINE")</x:f>
        <x:v>LOAD</x:v>
      </x:c>
    </x:row>
    <x:row r="53" ht="18" customHeight="1">
      <x:c r="A53" s="5" t="s">
        <x:v>26</x:v>
      </x:c>
      <x:c r="B53" s="5">
        <x:v>22</x:v>
      </x:c>
      <x:c r="C53" s="6">
        <x:v>45954</x:v>
      </x:c>
      <x:c r="D53" s="5" t="s">
        <x:v>42</x:v>
      </x:c>
      <x:c r="E53" s="7">
        <x:v>15</x:v>
      </x:c>
      <x:c r="F53" s="5" t="s">
        <x:v>28</x:v>
      </x:c>
      <x:c r="G53" s="8">
        <x:v>150</x:v>
      </x:c>
      <x:c r="H53" s="5" t="s">
        <x:v>41</x:v>
      </x:c>
      <x:c r="I53" s="8">
        <x:v>3</x:v>
      </x:c>
      <x:c r="J53" t="str">
        <x:f t="shared" si="0"/>
        <x:v>SAMP-KG01-L22-20251024-ORD-2025-00057-H15-Chip</x:v>
      </x:c>
      <x:c r="K53" t="str">
        <x:f t="shared" si="1"/>
        <x:v>OK</x:v>
      </x:c>
      <x:c r="L53" t="str">
        <x:f t="shared" si="2"/>
        <x:v>OK</x:v>
      </x:c>
      <x:c r="M53" t="str">
        <x:f t="shared" si="3">IF(A53="","",IF(AND(K53="OK",L53="OK",O53="OK"),"OK","CHECK"))</x:f>
        <x:v>OK</x:v>
      </x:c>
      <x:c r="N53" t="str">
        <x:f>IF(A53="","", "PE-"&amp;A53&amp;"-L"&amp;TEXT(B53,"00")&amp;"-"&amp;TEXT(C53,"yyyymmdd")&amp;"-"&amp;F53&amp;"-"&amp;D53)</x:f>
        <x:v>PE-KG01-L22-20251024-AM-ORD-2025-00057</x:v>
      </x:c>
      <x:c r="O53" t="str">
        <x:f>IF(N53="","",IF(COUNTIF(_ProductionEventRef!$A$5:$A$500,N53)=1,"OK","CHECK"))</x:f>
        <x:v>OK</x:v>
      </x:c>
      <x:c r="P53" s="46" t="n">
        <x:f>IF(G53=0,0,I53/G53)</x:f>
        <x:v>0.02</x:v>
      </x:c>
      <x:c r="Q53" t="str">
        <x:v>SAMPLE_RATE_NON_ADDITIVE</x:v>
      </x:c>
      <x:c r="V53" t="str">
        <x:v>04_Quality_Log(6).xlsx</x:v>
      </x:c>
      <x:c r="W53" t="str">
        <x:v>ENH-20260830-01</x:v>
      </x:c>
      <x:c r="X53" t="str">
        <x:f>IF(AND(M53="OK",O53="OK"),"Active","Quarantine")</x:f>
        <x:v>Active</x:v>
      </x:c>
      <x:c r="Y53" t="str">
        <x:f>IF(X53="Active","LOAD","QUARANTINE")</x:f>
        <x:v>LOAD</x:v>
      </x:c>
    </x:row>
    <x:row r="54" ht="18" customHeight="1">
      <x:c r="A54" s="5" t="s">
        <x:v>26</x:v>
      </x:c>
      <x:c r="B54" s="5">
        <x:v>22</x:v>
      </x:c>
      <x:c r="C54" s="6">
        <x:v>45954</x:v>
      </x:c>
      <x:c r="D54" s="5" t="s">
        <x:v>42</x:v>
      </x:c>
      <x:c r="E54" s="7">
        <x:v>20</x:v>
      </x:c>
      <x:c r="F54" s="5" t="s">
        <x:v>31</x:v>
      </x:c>
      <x:c r="G54" s="8">
        <x:v>100</x:v>
      </x:c>
      <x:c r="H54" s="5" t="s">
        <x:v>36</x:v>
      </x:c>
      <x:c r="I54" s="8">
        <x:v>1</x:v>
      </x:c>
      <x:c r="J54" t="str">
        <x:f t="shared" si="0"/>
        <x:v>SAMP-KG01-L22-20251024-ORD-2025-00057-H20-Blister</x:v>
      </x:c>
      <x:c r="K54" t="str">
        <x:f t="shared" si="1"/>
        <x:v>OK</x:v>
      </x:c>
      <x:c r="L54" t="str">
        <x:f t="shared" si="2"/>
        <x:v>OK</x:v>
      </x:c>
      <x:c r="M54" t="str">
        <x:f t="shared" si="3">IF(A54="","",IF(AND(K54="OK",L54="OK",O54="OK"),"OK","CHECK"))</x:f>
        <x:v>OK</x:v>
      </x:c>
      <x:c r="N54" t="str">
        <x:f>IF(A54="","", "PE-"&amp;A54&amp;"-L"&amp;TEXT(B54,"00")&amp;"-"&amp;TEXT(C54,"yyyymmdd")&amp;"-"&amp;F54&amp;"-"&amp;D54)</x:f>
        <x:v>PE-KG01-L22-20251024-PM-ORD-2025-00057</x:v>
      </x:c>
      <x:c r="O54" t="str">
        <x:f>IF(N54="","",IF(COUNTIF(_ProductionEventRef!$A$5:$A$500,N54)=1,"OK","CHECK"))</x:f>
        <x:v>OK</x:v>
      </x:c>
      <x:c r="P54" s="46" t="n">
        <x:f>IF(G54=0,0,I54/G54)</x:f>
        <x:v>0.01</x:v>
      </x:c>
      <x:c r="Q54" t="str">
        <x:v>SAMPLE_RATE_NON_ADDITIVE</x:v>
      </x:c>
      <x:c r="V54" t="str">
        <x:v>04_Quality_Log(6).xlsx</x:v>
      </x:c>
      <x:c r="W54" t="str">
        <x:v>ENH-20260830-01</x:v>
      </x:c>
      <x:c r="X54" t="str">
        <x:f>IF(AND(M54="OK",O54="OK"),"Active","Quarantine")</x:f>
        <x:v>Active</x:v>
      </x:c>
      <x:c r="Y54" t="str">
        <x:f>IF(X54="Active","LOAD","QUARANTINE")</x:f>
        <x:v>LOAD</x:v>
      </x:c>
    </x:row>
    <x:row r="55" ht="18" customHeight="1">
      <x:c r="A55" s="5" t="s">
        <x:v>26</x:v>
      </x:c>
      <x:c r="B55" s="5">
        <x:v>22</x:v>
      </x:c>
      <x:c r="C55" s="6">
        <x:v>45954</x:v>
      </x:c>
      <x:c r="D55" s="5" t="s">
        <x:v>42</x:v>
      </x:c>
      <x:c r="E55" s="7">
        <x:v>23</x:v>
      </x:c>
      <x:c r="F55" s="5" t="s">
        <x:v>31</x:v>
      </x:c>
      <x:c r="G55" s="8">
        <x:v>50</x:v>
      </x:c>
      <x:c r="H55" s="5" t="s">
        <x:v>30</x:v>
      </x:c>
      <x:c r="I55" s="8">
        <x:v>0</x:v>
      </x:c>
      <x:c r="J55" t="str">
        <x:f t="shared" si="0"/>
        <x:v>SAMP-KG01-L22-20251024-ORD-2025-00057-H23-Overpress</x:v>
      </x:c>
      <x:c r="K55" t="str">
        <x:f t="shared" si="1"/>
        <x:v>OK</x:v>
      </x:c>
      <x:c r="L55" t="str">
        <x:f t="shared" si="2"/>
        <x:v>OK</x:v>
      </x:c>
      <x:c r="M55" t="str">
        <x:f t="shared" si="3">IF(A55="","",IF(AND(K55="OK",L55="OK",O55="OK"),"OK","CHECK"))</x:f>
        <x:v>OK</x:v>
      </x:c>
      <x:c r="N55" t="str">
        <x:f>IF(A55="","", "PE-"&amp;A55&amp;"-L"&amp;TEXT(B55,"00")&amp;"-"&amp;TEXT(C55,"yyyymmdd")&amp;"-"&amp;F55&amp;"-"&amp;D55)</x:f>
        <x:v>PE-KG01-L22-20251024-PM-ORD-2025-00057</x:v>
      </x:c>
      <x:c r="O55" t="str">
        <x:f>IF(N55="","",IF(COUNTIF(_ProductionEventRef!$A$5:$A$500,N55)=1,"OK","CHECK"))</x:f>
        <x:v>OK</x:v>
      </x:c>
      <x:c r="P55" s="46" t="n">
        <x:f>IF(G55=0,0,I55/G55)</x:f>
        <x:v>0</x:v>
      </x:c>
      <x:c r="Q55" t="str">
        <x:v>SAMPLE_RATE_NON_ADDITIVE</x:v>
      </x:c>
      <x:c r="V55" t="str">
        <x:v>04_Quality_Log(6).xlsx</x:v>
      </x:c>
      <x:c r="W55" t="str">
        <x:v>ENH-20260830-01</x:v>
      </x:c>
      <x:c r="X55" t="str">
        <x:f>IF(AND(M55="OK",O55="OK"),"Active","Quarantine")</x:f>
        <x:v>Active</x:v>
      </x:c>
      <x:c r="Y55" t="str">
        <x:f>IF(X55="Active","LOAD","QUARANTINE")</x:f>
        <x:v>LOAD</x:v>
      </x:c>
    </x:row>
    <x:row r="56" ht="18" customHeight="1">
      <x:c r="A56" s="5" t="s">
        <x:v>26</x:v>
      </x:c>
      <x:c r="B56" s="5">
        <x:v>22</x:v>
      </x:c>
      <x:c r="C56" s="6">
        <x:v>45955</x:v>
      </x:c>
      <x:c r="D56" s="5" t="s">
        <x:v>42</x:v>
      </x:c>
      <x:c r="E56" s="7">
        <x:v>9</x:v>
      </x:c>
      <x:c r="F56" s="5" t="s">
        <x:v>28</x:v>
      </x:c>
      <x:c r="G56" s="8">
        <x:v>150</x:v>
      </x:c>
      <x:c r="H56" s="5" t="s">
        <x:v>30</x:v>
      </x:c>
      <x:c r="I56" s="8">
        <x:v>0</x:v>
      </x:c>
      <x:c r="J56" t="str">
        <x:f t="shared" si="0"/>
        <x:v>SAMP-KG01-L22-20251025-ORD-2025-00057-H09-Overpress</x:v>
      </x:c>
      <x:c r="K56" t="str">
        <x:f t="shared" si="1"/>
        <x:v>OK</x:v>
      </x:c>
      <x:c r="L56" t="str">
        <x:f t="shared" si="2"/>
        <x:v>OK</x:v>
      </x:c>
      <x:c r="M56" t="str">
        <x:f t="shared" si="3">IF(A56="","",IF(AND(K56="OK",L56="OK",O56="OK"),"OK","CHECK"))</x:f>
        <x:v>OK</x:v>
      </x:c>
      <x:c r="N56" t="str">
        <x:f>IF(A56="","", "PE-"&amp;A56&amp;"-L"&amp;TEXT(B56,"00")&amp;"-"&amp;TEXT(C56,"yyyymmdd")&amp;"-"&amp;F56&amp;"-"&amp;D56)</x:f>
        <x:v>PE-KG01-L22-20251025-AM-ORD-2025-00057</x:v>
      </x:c>
      <x:c r="O56" t="str">
        <x:f>IF(N56="","",IF(COUNTIF(_ProductionEventRef!$A$5:$A$500,N56)=1,"OK","CHECK"))</x:f>
        <x:v>OK</x:v>
      </x:c>
      <x:c r="P56" s="46" t="n">
        <x:f>IF(G56=0,0,I56/G56)</x:f>
        <x:v>0</x:v>
      </x:c>
      <x:c r="Q56" t="str">
        <x:v>SAMPLE_RATE_NON_ADDITIVE</x:v>
      </x:c>
      <x:c r="V56" t="str">
        <x:v>04_Quality_Log(6).xlsx</x:v>
      </x:c>
      <x:c r="W56" t="str">
        <x:v>ENH-20260830-01</x:v>
      </x:c>
      <x:c r="X56" t="str">
        <x:f>IF(AND(M56="OK",O56="OK"),"Active","Quarantine")</x:f>
        <x:v>Active</x:v>
      </x:c>
      <x:c r="Y56" t="str">
        <x:f>IF(X56="Active","LOAD","QUARANTINE")</x:f>
        <x:v>LOAD</x:v>
      </x:c>
    </x:row>
    <x:row r="57" ht="18" customHeight="1">
      <x:c r="A57" s="5" t="s">
        <x:v>26</x:v>
      </x:c>
      <x:c r="B57" s="5">
        <x:v>22</x:v>
      </x:c>
      <x:c r="C57" s="6">
        <x:v>45955</x:v>
      </x:c>
      <x:c r="D57" s="5" t="s">
        <x:v>42</x:v>
      </x:c>
      <x:c r="E57" s="7">
        <x:v>15</x:v>
      </x:c>
      <x:c r="F57" s="5" t="s">
        <x:v>28</x:v>
      </x:c>
      <x:c r="G57" s="8">
        <x:v>100</x:v>
      </x:c>
      <x:c r="H57" s="5" t="s">
        <x:v>41</x:v>
      </x:c>
      <x:c r="I57" s="8">
        <x:v>2</x:v>
      </x:c>
      <x:c r="J57" t="str">
        <x:f t="shared" si="0"/>
        <x:v>SAMP-KG01-L22-20251025-ORD-2025-00057-H15-Chip</x:v>
      </x:c>
      <x:c r="K57" t="str">
        <x:f t="shared" si="1"/>
        <x:v>OK</x:v>
      </x:c>
      <x:c r="L57" t="str">
        <x:f t="shared" si="2"/>
        <x:v>OK</x:v>
      </x:c>
      <x:c r="M57" t="str">
        <x:f t="shared" si="3">IF(A57="","",IF(AND(K57="OK",L57="OK",O57="OK"),"OK","CHECK"))</x:f>
        <x:v>OK</x:v>
      </x:c>
      <x:c r="N57" t="str">
        <x:f>IF(A57="","", "PE-"&amp;A57&amp;"-L"&amp;TEXT(B57,"00")&amp;"-"&amp;TEXT(C57,"yyyymmdd")&amp;"-"&amp;F57&amp;"-"&amp;D57)</x:f>
        <x:v>PE-KG01-L22-20251025-AM-ORD-2025-00057</x:v>
      </x:c>
      <x:c r="O57" t="str">
        <x:f>IF(N57="","",IF(COUNTIF(_ProductionEventRef!$A$5:$A$500,N57)=1,"OK","CHECK"))</x:f>
        <x:v>OK</x:v>
      </x:c>
      <x:c r="P57" s="46" t="n">
        <x:f>IF(G57=0,0,I57/G57)</x:f>
        <x:v>0.02</x:v>
      </x:c>
      <x:c r="Q57" t="str">
        <x:v>SAMPLE_RATE_NON_ADDITIVE</x:v>
      </x:c>
      <x:c r="V57" t="str">
        <x:v>04_Quality_Log(6).xlsx</x:v>
      </x:c>
      <x:c r="W57" t="str">
        <x:v>ENH-20260830-01</x:v>
      </x:c>
      <x:c r="X57" t="str">
        <x:f>IF(AND(M57="OK",O57="OK"),"Active","Quarantine")</x:f>
        <x:v>Active</x:v>
      </x:c>
      <x:c r="Y57" t="str">
        <x:f>IF(X57="Active","LOAD","QUARANTINE")</x:f>
        <x:v>LOAD</x:v>
      </x:c>
    </x:row>
    <x:row r="58" ht="18" customHeight="1">
      <x:c r="A58" s="5" t="s">
        <x:v>26</x:v>
      </x:c>
      <x:c r="B58" s="5">
        <x:v>22</x:v>
      </x:c>
      <x:c r="C58" s="6">
        <x:v>45955</x:v>
      </x:c>
      <x:c r="D58" s="5" t="s">
        <x:v>42</x:v>
      </x:c>
      <x:c r="E58" s="7">
        <x:v>20</x:v>
      </x:c>
      <x:c r="F58" s="5" t="s">
        <x:v>31</x:v>
      </x:c>
      <x:c r="G58" s="8">
        <x:v>100</x:v>
      </x:c>
      <x:c r="H58" s="5" t="s">
        <x:v>34</x:v>
      </x:c>
      <x:c r="I58" s="8">
        <x:v>0</x:v>
      </x:c>
      <x:c r="J58" t="str">
        <x:f t="shared" si="0"/>
        <x:v>SAMP-KG01-L22-20251025-ORD-2025-00057-H20-Thin Wall</x:v>
      </x:c>
      <x:c r="K58" t="str">
        <x:f t="shared" si="1"/>
        <x:v>OK</x:v>
      </x:c>
      <x:c r="L58" t="str">
        <x:f t="shared" si="2"/>
        <x:v>OK</x:v>
      </x:c>
      <x:c r="M58" t="str">
        <x:f t="shared" si="3">IF(A58="","",IF(AND(K58="OK",L58="OK",O58="OK"),"OK","CHECK"))</x:f>
        <x:v>OK</x:v>
      </x:c>
      <x:c r="N58" t="str">
        <x:f>IF(A58="","", "PE-"&amp;A58&amp;"-L"&amp;TEXT(B58,"00")&amp;"-"&amp;TEXT(C58,"yyyymmdd")&amp;"-"&amp;F58&amp;"-"&amp;D58)</x:f>
        <x:v>PE-KG01-L22-20251025-PM-ORD-2025-00057</x:v>
      </x:c>
      <x:c r="O58" t="str">
        <x:f>IF(N58="","",IF(COUNTIF(_ProductionEventRef!$A$5:$A$500,N58)=1,"OK","CHECK"))</x:f>
        <x:v>OK</x:v>
      </x:c>
      <x:c r="P58" s="46" t="n">
        <x:f>IF(G58=0,0,I58/G58)</x:f>
        <x:v>0</x:v>
      </x:c>
      <x:c r="Q58" t="str">
        <x:v>SAMPLE_RATE_NON_ADDITIVE</x:v>
      </x:c>
      <x:c r="V58" t="str">
        <x:v>04_Quality_Log(6).xlsx</x:v>
      </x:c>
      <x:c r="W58" t="str">
        <x:v>ENH-20260830-01</x:v>
      </x:c>
      <x:c r="X58" t="str">
        <x:f>IF(AND(M58="OK",O58="OK"),"Active","Quarantine")</x:f>
        <x:v>Active</x:v>
      </x:c>
      <x:c r="Y58" t="str">
        <x:f>IF(X58="Active","LOAD","QUARANTINE")</x:f>
        <x:v>LOAD</x:v>
      </x:c>
    </x:row>
    <x:row r="59" ht="18" customHeight="1">
      <x:c r="A59" s="5" t="s">
        <x:v>26</x:v>
      </x:c>
      <x:c r="B59" s="5">
        <x:v>22</x:v>
      </x:c>
      <x:c r="C59" s="6">
        <x:v>45955</x:v>
      </x:c>
      <x:c r="D59" s="5" t="s">
        <x:v>42</x:v>
      </x:c>
      <x:c r="E59" s="7">
        <x:v>23</x:v>
      </x:c>
      <x:c r="F59" s="5" t="s">
        <x:v>31</x:v>
      </x:c>
      <x:c r="G59" s="8">
        <x:v>200</x:v>
      </x:c>
      <x:c r="H59" s="5" t="s">
        <x:v>35</x:v>
      </x:c>
      <x:c r="I59" s="8">
        <x:v>6</x:v>
      </x:c>
      <x:c r="J59" t="str">
        <x:f t="shared" si="0"/>
        <x:v>SAMP-KG01-L22-20251025-ORD-2025-00057-H23-Stone</x:v>
      </x:c>
      <x:c r="K59" t="str">
        <x:f t="shared" si="1"/>
        <x:v>OK</x:v>
      </x:c>
      <x:c r="L59" t="str">
        <x:f t="shared" si="2"/>
        <x:v>OK</x:v>
      </x:c>
      <x:c r="M59" t="str">
        <x:f t="shared" si="3">IF(A59="","",IF(AND(K59="OK",L59="OK",O59="OK"),"OK","CHECK"))</x:f>
        <x:v>OK</x:v>
      </x:c>
      <x:c r="N59" t="str">
        <x:f>IF(A59="","", "PE-"&amp;A59&amp;"-L"&amp;TEXT(B59,"00")&amp;"-"&amp;TEXT(C59,"yyyymmdd")&amp;"-"&amp;F59&amp;"-"&amp;D59)</x:f>
        <x:v>PE-KG01-L22-20251025-PM-ORD-2025-00057</x:v>
      </x:c>
      <x:c r="O59" t="str">
        <x:f>IF(N59="","",IF(COUNTIF(_ProductionEventRef!$A$5:$A$500,N59)=1,"OK","CHECK"))</x:f>
        <x:v>OK</x:v>
      </x:c>
      <x:c r="P59" s="46" t="n">
        <x:f>IF(G59=0,0,I59/G59)</x:f>
        <x:v>0.03</x:v>
      </x:c>
      <x:c r="Q59" t="str">
        <x:v>SAMPLE_RATE_NON_ADDITIVE</x:v>
      </x:c>
      <x:c r="V59" t="str">
        <x:v>04_Quality_Log(6).xlsx</x:v>
      </x:c>
      <x:c r="W59" t="str">
        <x:v>ENH-20260830-01</x:v>
      </x:c>
      <x:c r="X59" t="str">
        <x:f>IF(AND(M59="OK",O59="OK"),"Active","Quarantine")</x:f>
        <x:v>Active</x:v>
      </x:c>
      <x:c r="Y59" t="str">
        <x:f>IF(X59="Active","LOAD","QUARANTINE")</x:f>
        <x:v>LOAD</x:v>
      </x:c>
    </x:row>
    <x:row r="60" ht="18" customHeight="1">
      <x:c r="A60" s="5" t="s">
        <x:v>26</x:v>
      </x:c>
      <x:c r="B60" s="5">
        <x:v>22</x:v>
      </x:c>
      <x:c r="C60" s="6">
        <x:v>45956</x:v>
      </x:c>
      <x:c r="D60" s="5" t="s">
        <x:v>43</x:v>
      </x:c>
      <x:c r="E60" s="7">
        <x:v>7</x:v>
      </x:c>
      <x:c r="F60" s="5" t="s">
        <x:v>28</x:v>
      </x:c>
      <x:c r="G60" s="8">
        <x:v>200</x:v>
      </x:c>
      <x:c r="H60" s="5" t="s">
        <x:v>33</x:v>
      </x:c>
      <x:c r="I60" s="8">
        <x:v>14</x:v>
      </x:c>
      <x:c r="J60" t="str">
        <x:f t="shared" si="0"/>
        <x:v>SAMP-KG01-L22-20251026-ORD-2025-00058-H07-Distortion</x:v>
      </x:c>
      <x:c r="K60" t="str">
        <x:f t="shared" si="1"/>
        <x:v>OK</x:v>
      </x:c>
      <x:c r="L60" t="str">
        <x:f t="shared" si="2"/>
        <x:v>OK</x:v>
      </x:c>
      <x:c r="M60" t="str">
        <x:f t="shared" si="3">IF(A60="","",IF(AND(K60="OK",L60="OK",O60="OK"),"OK","CHECK"))</x:f>
        <x:v>OK</x:v>
      </x:c>
      <x:c r="N60" t="str">
        <x:f>IF(A60="","", "PE-"&amp;A60&amp;"-L"&amp;TEXT(B60,"00")&amp;"-"&amp;TEXT(C60,"yyyymmdd")&amp;"-"&amp;F60&amp;"-"&amp;D60)</x:f>
        <x:v>PE-KG01-L22-20251026-AM-ORD-2025-00058</x:v>
      </x:c>
      <x:c r="O60" t="str">
        <x:f>IF(N60="","",IF(COUNTIF(_ProductionEventRef!$A$5:$A$500,N60)=1,"OK","CHECK"))</x:f>
        <x:v>OK</x:v>
      </x:c>
      <x:c r="P60" s="46" t="n">
        <x:f>IF(G60=0,0,I60/G60)</x:f>
        <x:v>0.07</x:v>
      </x:c>
      <x:c r="Q60" t="str">
        <x:v>SAMPLE_RATE_NON_ADDITIVE</x:v>
      </x:c>
      <x:c r="V60" t="str">
        <x:v>04_Quality_Log(6).xlsx</x:v>
      </x:c>
      <x:c r="W60" t="str">
        <x:v>ENH-20260830-01</x:v>
      </x:c>
      <x:c r="X60" t="str">
        <x:f>IF(AND(M60="OK",O60="OK"),"Active","Quarantine")</x:f>
        <x:v>Active</x:v>
      </x:c>
      <x:c r="Y60" t="str">
        <x:f>IF(X60="Active","LOAD","QUARANTINE")</x:f>
        <x:v>LOAD</x:v>
      </x:c>
    </x:row>
    <x:row r="61" ht="18" customHeight="1">
      <x:c r="A61" s="5" t="s">
        <x:v>26</x:v>
      </x:c>
      <x:c r="B61" s="5">
        <x:v>22</x:v>
      </x:c>
      <x:c r="C61" s="6">
        <x:v>45956</x:v>
      </x:c>
      <x:c r="D61" s="5" t="s">
        <x:v>43</x:v>
      </x:c>
      <x:c r="E61" s="7">
        <x:v>12</x:v>
      </x:c>
      <x:c r="F61" s="5" t="s">
        <x:v>28</x:v>
      </x:c>
      <x:c r="G61" s="8">
        <x:v>100</x:v>
      </x:c>
      <x:c r="H61" s="5" t="s">
        <x:v>36</x:v>
      </x:c>
      <x:c r="I61" s="8">
        <x:v>12</x:v>
      </x:c>
      <x:c r="J61" t="str">
        <x:f t="shared" si="0"/>
        <x:v>SAMP-KG01-L22-20251026-ORD-2025-00058-H12-Blister</x:v>
      </x:c>
      <x:c r="K61" t="str">
        <x:f t="shared" si="1"/>
        <x:v>OK</x:v>
      </x:c>
      <x:c r="L61" t="str">
        <x:f t="shared" si="2"/>
        <x:v>OK</x:v>
      </x:c>
      <x:c r="M61" t="str">
        <x:f t="shared" si="3">IF(A61="","",IF(AND(K61="OK",L61="OK",O61="OK"),"OK","CHECK"))</x:f>
        <x:v>OK</x:v>
      </x:c>
      <x:c r="N61" t="str">
        <x:f>IF(A61="","", "PE-"&amp;A61&amp;"-L"&amp;TEXT(B61,"00")&amp;"-"&amp;TEXT(C61,"yyyymmdd")&amp;"-"&amp;F61&amp;"-"&amp;D61)</x:f>
        <x:v>PE-KG01-L22-20251026-AM-ORD-2025-00058</x:v>
      </x:c>
      <x:c r="O61" t="str">
        <x:f>IF(N61="","",IF(COUNTIF(_ProductionEventRef!$A$5:$A$500,N61)=1,"OK","CHECK"))</x:f>
        <x:v>OK</x:v>
      </x:c>
      <x:c r="P61" s="46" t="n">
        <x:f>IF(G61=0,0,I61/G61)</x:f>
        <x:v>0.12</x:v>
      </x:c>
      <x:c r="Q61" t="str">
        <x:v>SAMPLE_RATE_NON_ADDITIVE</x:v>
      </x:c>
      <x:c r="V61" t="str">
        <x:v>04_Quality_Log(6).xlsx</x:v>
      </x:c>
      <x:c r="W61" t="str">
        <x:v>ENH-20260830-01</x:v>
      </x:c>
      <x:c r="X61" t="str">
        <x:f>IF(AND(M61="OK",O61="OK"),"Active","Quarantine")</x:f>
        <x:v>Active</x:v>
      </x:c>
      <x:c r="Y61" t="str">
        <x:f>IF(X61="Active","LOAD","QUARANTINE")</x:f>
        <x:v>LOAD</x:v>
      </x:c>
    </x:row>
    <x:row r="62" ht="18" customHeight="1">
      <x:c r="A62" s="5" t="s">
        <x:v>26</x:v>
      </x:c>
      <x:c r="B62" s="5">
        <x:v>22</x:v>
      </x:c>
      <x:c r="C62" s="6">
        <x:v>45956</x:v>
      </x:c>
      <x:c r="D62" s="5" t="s">
        <x:v>43</x:v>
      </x:c>
      <x:c r="E62" s="7">
        <x:v>16</x:v>
      </x:c>
      <x:c r="F62" s="5" t="s">
        <x:v>28</x:v>
      </x:c>
      <x:c r="G62" s="8">
        <x:v>50</x:v>
      </x:c>
      <x:c r="H62" s="5" t="s">
        <x:v>30</x:v>
      </x:c>
      <x:c r="I62" s="8">
        <x:v>1</x:v>
      </x:c>
      <x:c r="J62" t="str">
        <x:f t="shared" si="0"/>
        <x:v>SAMP-KG01-L22-20251026-ORD-2025-00058-H16-Overpress</x:v>
      </x:c>
      <x:c r="K62" t="str">
        <x:f t="shared" si="1"/>
        <x:v>OK</x:v>
      </x:c>
      <x:c r="L62" t="str">
        <x:f t="shared" si="2"/>
        <x:v>OK</x:v>
      </x:c>
      <x:c r="M62" t="str">
        <x:f t="shared" si="3">IF(A62="","",IF(AND(K62="OK",L62="OK",O62="OK"),"OK","CHECK"))</x:f>
        <x:v>OK</x:v>
      </x:c>
      <x:c r="N62" t="str">
        <x:f>IF(A62="","", "PE-"&amp;A62&amp;"-L"&amp;TEXT(B62,"00")&amp;"-"&amp;TEXT(C62,"yyyymmdd")&amp;"-"&amp;F62&amp;"-"&amp;D62)</x:f>
        <x:v>PE-KG01-L22-20251026-AM-ORD-2025-00058</x:v>
      </x:c>
      <x:c r="O62" t="str">
        <x:f>IF(N62="","",IF(COUNTIF(_ProductionEventRef!$A$5:$A$500,N62)=1,"OK","CHECK"))</x:f>
        <x:v>OK</x:v>
      </x:c>
      <x:c r="P62" s="46" t="n">
        <x:f>IF(G62=0,0,I62/G62)</x:f>
        <x:v>0.02</x:v>
      </x:c>
      <x:c r="Q62" t="str">
        <x:v>SAMPLE_RATE_NON_ADDITIVE</x:v>
      </x:c>
      <x:c r="V62" t="str">
        <x:v>04_Quality_Log(6).xlsx</x:v>
      </x:c>
      <x:c r="W62" t="str">
        <x:v>ENH-20260830-01</x:v>
      </x:c>
      <x:c r="X62" t="str">
        <x:f>IF(AND(M62="OK",O62="OK"),"Active","Quarantine")</x:f>
        <x:v>Active</x:v>
      </x:c>
      <x:c r="Y62" t="str">
        <x:f>IF(X62="Active","LOAD","QUARANTINE")</x:f>
        <x:v>LOAD</x:v>
      </x:c>
    </x:row>
    <x:row r="63" ht="18" customHeight="1">
      <x:c r="A63" s="5" t="s">
        <x:v>26</x:v>
      </x:c>
      <x:c r="B63" s="5">
        <x:v>22</x:v>
      </x:c>
      <x:c r="C63" s="6">
        <x:v>45956</x:v>
      </x:c>
      <x:c r="D63" s="5" t="s">
        <x:v>43</x:v>
      </x:c>
      <x:c r="E63" s="7">
        <x:v>20</x:v>
      </x:c>
      <x:c r="F63" s="5" t="s">
        <x:v>31</x:v>
      </x:c>
      <x:c r="G63" s="8">
        <x:v>100</x:v>
      </x:c>
      <x:c r="H63" s="5" t="s">
        <x:v>41</x:v>
      </x:c>
      <x:c r="I63" s="8">
        <x:v>1</x:v>
      </x:c>
      <x:c r="J63" t="str">
        <x:f t="shared" si="0"/>
        <x:v>SAMP-KG01-L22-20251026-ORD-2025-00058-H20-Chip</x:v>
      </x:c>
      <x:c r="K63" t="str">
        <x:f t="shared" si="1"/>
        <x:v>OK</x:v>
      </x:c>
      <x:c r="L63" t="str">
        <x:f t="shared" si="2"/>
        <x:v>OK</x:v>
      </x:c>
      <x:c r="M63" t="str">
        <x:f t="shared" si="3">IF(A63="","",IF(AND(K63="OK",L63="OK",O63="OK"),"OK","CHECK"))</x:f>
        <x:v>OK</x:v>
      </x:c>
      <x:c r="N63" t="str">
        <x:f>IF(A63="","", "PE-"&amp;A63&amp;"-L"&amp;TEXT(B63,"00")&amp;"-"&amp;TEXT(C63,"yyyymmdd")&amp;"-"&amp;F63&amp;"-"&amp;D63)</x:f>
        <x:v>PE-KG01-L22-20251026-PM-ORD-2025-00058</x:v>
      </x:c>
      <x:c r="O63" t="str">
        <x:f>IF(N63="","",IF(COUNTIF(_ProductionEventRef!$A$5:$A$500,N63)=1,"OK","CHECK"))</x:f>
        <x:v>OK</x:v>
      </x:c>
      <x:c r="P63" s="46" t="n">
        <x:f>IF(G63=0,0,I63/G63)</x:f>
        <x:v>0.01</x:v>
      </x:c>
      <x:c r="Q63" t="str">
        <x:v>SAMPLE_RATE_NON_ADDITIVE</x:v>
      </x:c>
      <x:c r="V63" t="str">
        <x:v>04_Quality_Log(6).xlsx</x:v>
      </x:c>
      <x:c r="W63" t="str">
        <x:v>ENH-20260830-01</x:v>
      </x:c>
      <x:c r="X63" t="str">
        <x:f>IF(AND(M63="OK",O63="OK"),"Active","Quarantine")</x:f>
        <x:v>Active</x:v>
      </x:c>
      <x:c r="Y63" t="str">
        <x:f>IF(X63="Active","LOAD","QUARANTINE")</x:f>
        <x:v>LOAD</x:v>
      </x:c>
    </x:row>
    <x:row r="64" ht="18" customHeight="1">
      <x:c r="A64" s="5" t="s">
        <x:v>26</x:v>
      </x:c>
      <x:c r="B64" s="5">
        <x:v>22</x:v>
      </x:c>
      <x:c r="C64" s="6">
        <x:v>45956</x:v>
      </x:c>
      <x:c r="D64" s="5" t="s">
        <x:v>43</x:v>
      </x:c>
      <x:c r="E64" s="7">
        <x:v>23</x:v>
      </x:c>
      <x:c r="F64" s="5" t="s">
        <x:v>31</x:v>
      </x:c>
      <x:c r="G64" s="8">
        <x:v>50</x:v>
      </x:c>
      <x:c r="H64" s="5" t="s">
        <x:v>30</x:v>
      </x:c>
      <x:c r="I64" s="8">
        <x:v>0</x:v>
      </x:c>
      <x:c r="J64" t="str">
        <x:f t="shared" si="0"/>
        <x:v>SAMP-KG01-L22-20251026-ORD-2025-00058-H23-Overpress</x:v>
      </x:c>
      <x:c r="K64" t="str">
        <x:f t="shared" si="1"/>
        <x:v>OK</x:v>
      </x:c>
      <x:c r="L64" t="str">
        <x:f t="shared" si="2"/>
        <x:v>OK</x:v>
      </x:c>
      <x:c r="M64" t="str">
        <x:f t="shared" si="3">IF(A64="","",IF(AND(K64="OK",L64="OK",O64="OK"),"OK","CHECK"))</x:f>
        <x:v>OK</x:v>
      </x:c>
      <x:c r="N64" t="str">
        <x:f>IF(A64="","", "PE-"&amp;A64&amp;"-L"&amp;TEXT(B64,"00")&amp;"-"&amp;TEXT(C64,"yyyymmdd")&amp;"-"&amp;F64&amp;"-"&amp;D64)</x:f>
        <x:v>PE-KG01-L22-20251026-PM-ORD-2025-00058</x:v>
      </x:c>
      <x:c r="O64" t="str">
        <x:f>IF(N64="","",IF(COUNTIF(_ProductionEventRef!$A$5:$A$500,N64)=1,"OK","CHECK"))</x:f>
        <x:v>OK</x:v>
      </x:c>
      <x:c r="P64" s="46" t="n">
        <x:f>IF(G64=0,0,I64/G64)</x:f>
        <x:v>0</x:v>
      </x:c>
      <x:c r="Q64" t="str">
        <x:v>SAMPLE_RATE_NON_ADDITIVE</x:v>
      </x:c>
      <x:c r="V64" t="str">
        <x:v>04_Quality_Log(6).xlsx</x:v>
      </x:c>
      <x:c r="W64" t="str">
        <x:v>ENH-20260830-01</x:v>
      </x:c>
      <x:c r="X64" t="str">
        <x:f>IF(AND(M64="OK",O64="OK"),"Active","Quarantine")</x:f>
        <x:v>Active</x:v>
      </x:c>
      <x:c r="Y64" t="str">
        <x:f>IF(X64="Active","LOAD","QUARANTINE")</x:f>
        <x:v>LOAD</x:v>
      </x:c>
    </x:row>
    <x:row r="65" ht="18" customHeight="1">
      <x:c r="A65" s="5" t="s">
        <x:v>26</x:v>
      </x:c>
      <x:c r="B65" s="5">
        <x:v>23</x:v>
      </x:c>
      <x:c r="C65" s="6">
        <x:v>45950</x:v>
      </x:c>
      <x:c r="D65" s="5" t="s">
        <x:v>44</x:v>
      </x:c>
      <x:c r="E65" s="7">
        <x:v>9</x:v>
      </x:c>
      <x:c r="F65" s="5" t="s">
        <x:v>28</x:v>
      </x:c>
      <x:c r="G65" s="8">
        <x:v>100</x:v>
      </x:c>
      <x:c r="H65" s="5" t="s">
        <x:v>30</x:v>
      </x:c>
      <x:c r="I65" s="8">
        <x:v>1</x:v>
      </x:c>
      <x:c r="J65" t="str">
        <x:f t="shared" si="0"/>
        <x:v>SAMP-KG01-L23-20251020-ORD-2025-00092-H09-Overpress</x:v>
      </x:c>
      <x:c r="K65" t="str">
        <x:f t="shared" si="1"/>
        <x:v>OK</x:v>
      </x:c>
      <x:c r="L65" t="str">
        <x:f t="shared" si="2"/>
        <x:v>OK</x:v>
      </x:c>
      <x:c r="M65" t="str">
        <x:f t="shared" si="3">IF(A65="","",IF(AND(K65="OK",L65="OK",O65="OK"),"OK","CHECK"))</x:f>
        <x:v>OK</x:v>
      </x:c>
      <x:c r="N65" t="str">
        <x:f>IF(A65="","", "PE-"&amp;A65&amp;"-L"&amp;TEXT(B65,"00")&amp;"-"&amp;TEXT(C65,"yyyymmdd")&amp;"-"&amp;F65&amp;"-"&amp;D65)</x:f>
        <x:v>PE-KG01-L23-20251020-AM-ORD-2025-00092</x:v>
      </x:c>
      <x:c r="O65" t="str">
        <x:f>IF(N65="","",IF(COUNTIF(_ProductionEventRef!$A$5:$A$500,N65)=1,"OK","CHECK"))</x:f>
        <x:v>OK</x:v>
      </x:c>
      <x:c r="P65" s="46" t="n">
        <x:f>IF(G65=0,0,I65/G65)</x:f>
        <x:v>0.01</x:v>
      </x:c>
      <x:c r="Q65" t="str">
        <x:v>SAMPLE_RATE_NON_ADDITIVE</x:v>
      </x:c>
      <x:c r="V65" t="str">
        <x:v>04_Quality_Log(6).xlsx</x:v>
      </x:c>
      <x:c r="W65" t="str">
        <x:v>ENH-20260830-01</x:v>
      </x:c>
      <x:c r="X65" t="str">
        <x:f>IF(AND(M65="OK",O65="OK"),"Active","Quarantine")</x:f>
        <x:v>Active</x:v>
      </x:c>
      <x:c r="Y65" t="str">
        <x:f>IF(X65="Active","LOAD","QUARANTINE")</x:f>
        <x:v>LOAD</x:v>
      </x:c>
    </x:row>
    <x:row r="66" ht="18" customHeight="1">
      <x:c r="A66" s="5" t="s">
        <x:v>26</x:v>
      </x:c>
      <x:c r="B66" s="5">
        <x:v>23</x:v>
      </x:c>
      <x:c r="C66" s="6">
        <x:v>45950</x:v>
      </x:c>
      <x:c r="D66" s="5" t="s">
        <x:v>44</x:v>
      </x:c>
      <x:c r="E66" s="7">
        <x:v>15</x:v>
      </x:c>
      <x:c r="F66" s="5" t="s">
        <x:v>28</x:v>
      </x:c>
      <x:c r="G66" s="8">
        <x:v>150</x:v>
      </x:c>
      <x:c r="H66" s="5" t="s">
        <x:v>34</x:v>
      </x:c>
      <x:c r="I66" s="8">
        <x:v>10</x:v>
      </x:c>
      <x:c r="J66" t="str">
        <x:f t="shared" si="0"/>
        <x:v>SAMP-KG01-L23-20251020-ORD-2025-00092-H15-Thin Wall</x:v>
      </x:c>
      <x:c r="K66" t="str">
        <x:f t="shared" si="1"/>
        <x:v>OK</x:v>
      </x:c>
      <x:c r="L66" t="str">
        <x:f t="shared" si="2"/>
        <x:v>OK</x:v>
      </x:c>
      <x:c r="M66" t="str">
        <x:f t="shared" si="3">IF(A66="","",IF(AND(K66="OK",L66="OK",O66="OK"),"OK","CHECK"))</x:f>
        <x:v>OK</x:v>
      </x:c>
      <x:c r="N66" t="str">
        <x:f>IF(A66="","", "PE-"&amp;A66&amp;"-L"&amp;TEXT(B66,"00")&amp;"-"&amp;TEXT(C66,"yyyymmdd")&amp;"-"&amp;F66&amp;"-"&amp;D66)</x:f>
        <x:v>PE-KG01-L23-20251020-AM-ORD-2025-00092</x:v>
      </x:c>
      <x:c r="O66" t="str">
        <x:f>IF(N66="","",IF(COUNTIF(_ProductionEventRef!$A$5:$A$500,N66)=1,"OK","CHECK"))</x:f>
        <x:v>OK</x:v>
      </x:c>
      <x:c r="P66" s="46" t="n">
        <x:f>IF(G66=0,0,I66/G66)</x:f>
        <x:v>0.06666666666666667</x:v>
      </x:c>
      <x:c r="Q66" t="str">
        <x:v>SAMPLE_RATE_NON_ADDITIVE</x:v>
      </x:c>
      <x:c r="V66" t="str">
        <x:v>04_Quality_Log(6).xlsx</x:v>
      </x:c>
      <x:c r="W66" t="str">
        <x:v>ENH-20260830-01</x:v>
      </x:c>
      <x:c r="X66" t="str">
        <x:f>IF(AND(M66="OK",O66="OK"),"Active","Quarantine")</x:f>
        <x:v>Active</x:v>
      </x:c>
      <x:c r="Y66" t="str">
        <x:f>IF(X66="Active","LOAD","QUARANTINE")</x:f>
        <x:v>LOAD</x:v>
      </x:c>
    </x:row>
    <x:row r="67" ht="18" customHeight="1">
      <x:c r="A67" s="5" t="s">
        <x:v>26</x:v>
      </x:c>
      <x:c r="B67" s="5">
        <x:v>23</x:v>
      </x:c>
      <x:c r="C67" s="6">
        <x:v>45950</x:v>
      </x:c>
      <x:c r="D67" s="5" t="s">
        <x:v>44</x:v>
      </x:c>
      <x:c r="E67" s="7">
        <x:v>20</x:v>
      </x:c>
      <x:c r="F67" s="5" t="s">
        <x:v>31</x:v>
      </x:c>
      <x:c r="G67" s="8">
        <x:v>50</x:v>
      </x:c>
      <x:c r="H67" s="5" t="s">
        <x:v>29</x:v>
      </x:c>
      <x:c r="I67" s="8">
        <x:v>0</x:v>
      </x:c>
      <x:c r="J67" t="str">
        <x:f t="shared" si="0"/>
        <x:v>SAMP-KG01-L23-20251020-ORD-2025-00092-H20-Choke Neck</x:v>
      </x:c>
      <x:c r="K67" t="str">
        <x:f t="shared" si="1"/>
        <x:v>OK</x:v>
      </x:c>
      <x:c r="L67" t="str">
        <x:f t="shared" si="2"/>
        <x:v>OK</x:v>
      </x:c>
      <x:c r="M67" t="str">
        <x:f t="shared" si="3">IF(A67="","",IF(AND(K67="OK",L67="OK",O67="OK"),"OK","CHECK"))</x:f>
        <x:v>OK</x:v>
      </x:c>
      <x:c r="N67" t="str">
        <x:f>IF(A67="","", "PE-"&amp;A67&amp;"-L"&amp;TEXT(B67,"00")&amp;"-"&amp;TEXT(C67,"yyyymmdd")&amp;"-"&amp;F67&amp;"-"&amp;D67)</x:f>
        <x:v>PE-KG01-L23-20251020-PM-ORD-2025-00092</x:v>
      </x:c>
      <x:c r="O67" t="str">
        <x:f>IF(N67="","",IF(COUNTIF(_ProductionEventRef!$A$5:$A$500,N67)=1,"OK","CHECK"))</x:f>
        <x:v>OK</x:v>
      </x:c>
      <x:c r="P67" s="46" t="n">
        <x:f>IF(G67=0,0,I67/G67)</x:f>
        <x:v>0</x:v>
      </x:c>
      <x:c r="Q67" t="str">
        <x:v>SAMPLE_RATE_NON_ADDITIVE</x:v>
      </x:c>
      <x:c r="V67" t="str">
        <x:v>04_Quality_Log(6).xlsx</x:v>
      </x:c>
      <x:c r="W67" t="str">
        <x:v>ENH-20260830-01</x:v>
      </x:c>
      <x:c r="X67" t="str">
        <x:f>IF(AND(M67="OK",O67="OK"),"Active","Quarantine")</x:f>
        <x:v>Active</x:v>
      </x:c>
      <x:c r="Y67" t="str">
        <x:f>IF(X67="Active","LOAD","QUARANTINE")</x:f>
        <x:v>LOAD</x:v>
      </x:c>
    </x:row>
    <x:row r="68" ht="18" customHeight="1">
      <x:c r="A68" s="5" t="s">
        <x:v>26</x:v>
      </x:c>
      <x:c r="B68" s="5">
        <x:v>23</x:v>
      </x:c>
      <x:c r="C68" s="6">
        <x:v>45950</x:v>
      </x:c>
      <x:c r="D68" s="5" t="s">
        <x:v>44</x:v>
      </x:c>
      <x:c r="E68" s="7">
        <x:v>23</x:v>
      </x:c>
      <x:c r="F68" s="5" t="s">
        <x:v>31</x:v>
      </x:c>
      <x:c r="G68" s="8">
        <x:v>200</x:v>
      </x:c>
      <x:c r="H68" s="5" t="s">
        <x:v>37</x:v>
      </x:c>
      <x:c r="I68" s="8">
        <x:v>10</x:v>
      </x:c>
      <x:c r="J68" t="str">
        <x:f t="shared" si="0"/>
        <x:v>SAMP-KG01-L23-20251020-ORD-2025-00092-H23-Bird Swing</x:v>
      </x:c>
      <x:c r="K68" t="str">
        <x:f t="shared" si="1"/>
        <x:v>OK</x:v>
      </x:c>
      <x:c r="L68" t="str">
        <x:f t="shared" si="2"/>
        <x:v>OK</x:v>
      </x:c>
      <x:c r="M68" t="str">
        <x:f t="shared" si="3">IF(A68="","",IF(AND(K68="OK",L68="OK",O68="OK"),"OK","CHECK"))</x:f>
        <x:v>OK</x:v>
      </x:c>
      <x:c r="N68" t="str">
        <x:f>IF(A68="","", "PE-"&amp;A68&amp;"-L"&amp;TEXT(B68,"00")&amp;"-"&amp;TEXT(C68,"yyyymmdd")&amp;"-"&amp;F68&amp;"-"&amp;D68)</x:f>
        <x:v>PE-KG01-L23-20251020-PM-ORD-2025-00092</x:v>
      </x:c>
      <x:c r="O68" t="str">
        <x:f>IF(N68="","",IF(COUNTIF(_ProductionEventRef!$A$5:$A$500,N68)=1,"OK","CHECK"))</x:f>
        <x:v>OK</x:v>
      </x:c>
      <x:c r="P68" s="46" t="n">
        <x:f>IF(G68=0,0,I68/G68)</x:f>
        <x:v>0.05</x:v>
      </x:c>
      <x:c r="Q68" t="str">
        <x:v>SAMPLE_RATE_NON_ADDITIVE</x:v>
      </x:c>
      <x:c r="V68" t="str">
        <x:v>04_Quality_Log(6).xlsx</x:v>
      </x:c>
      <x:c r="W68" t="str">
        <x:v>ENH-20260830-01</x:v>
      </x:c>
      <x:c r="X68" t="str">
        <x:f>IF(AND(M68="OK",O68="OK"),"Active","Quarantine")</x:f>
        <x:v>Active</x:v>
      </x:c>
      <x:c r="Y68" t="str">
        <x:f>IF(X68="Active","LOAD","QUARANTINE")</x:f>
        <x:v>LOAD</x:v>
      </x:c>
    </x:row>
    <x:row r="69" ht="18" customHeight="1">
      <x:c r="A69" s="5" t="s">
        <x:v>26</x:v>
      </x:c>
      <x:c r="B69" s="5">
        <x:v>23</x:v>
      </x:c>
      <x:c r="C69" s="6">
        <x:v>45951</x:v>
      </x:c>
      <x:c r="D69" s="5" t="s">
        <x:v>44</x:v>
      </x:c>
      <x:c r="E69" s="7">
        <x:v>9</x:v>
      </x:c>
      <x:c r="F69" s="5" t="s">
        <x:v>28</x:v>
      </x:c>
      <x:c r="G69" s="8">
        <x:v>100</x:v>
      </x:c>
      <x:c r="H69" s="5" t="s">
        <x:v>41</x:v>
      </x:c>
      <x:c r="I69" s="8">
        <x:v>2</x:v>
      </x:c>
      <x:c r="J69" t="str">
        <x:f t="shared" ref="J69:J132" si="4">IF(A69="","", "SAMP-"&amp;A69&amp;"-L"&amp;TEXT(B69,"00")&amp;"-"&amp;TEXT(C69,"yyyymmdd")&amp;"-"&amp;D69&amp;"-H"&amp;TEXT(E69,"00")&amp;"-"&amp;H69)</x:f>
        <x:v>SAMP-KG01-L23-20251021-ORD-2025-00092-H09-Chip</x:v>
      </x:c>
      <x:c r="K69" t="str">
        <x:f t="shared" ref="K69:K132" si="5">IF(A69="","",IF(AND(G69&gt;=0,I69&gt;=0,I69&lt;=G69),"OK","CHECK"))</x:f>
        <x:v>OK</x:v>
      </x:c>
      <x:c r="L69" t="str">
        <x:f t="shared" ref="L69:L132" si="6">IF(A69="","",IF(AND(E69&gt;=0,E69&lt;=23),"OK","CHECK"))</x:f>
        <x:v>OK</x:v>
      </x:c>
      <x:c r="M69" t="str">
        <x:f t="shared" ref="M69:M132" si="7">IF(A69="","",IF(AND(K69="OK",L69="OK",O69="OK"),"OK","CHECK"))</x:f>
        <x:v>OK</x:v>
      </x:c>
      <x:c r="N69" t="str">
        <x:f>IF(A69="","", "PE-"&amp;A69&amp;"-L"&amp;TEXT(B69,"00")&amp;"-"&amp;TEXT(C69,"yyyymmdd")&amp;"-"&amp;F69&amp;"-"&amp;D69)</x:f>
        <x:v>PE-KG01-L23-20251021-AM-ORD-2025-00092</x:v>
      </x:c>
      <x:c r="O69" t="str">
        <x:f>IF(N69="","",IF(COUNTIF(_ProductionEventRef!$A$5:$A$500,N69)=1,"OK","CHECK"))</x:f>
        <x:v>OK</x:v>
      </x:c>
      <x:c r="P69" s="46" t="n">
        <x:f>IF(G69=0,0,I69/G69)</x:f>
        <x:v>0.02</x:v>
      </x:c>
      <x:c r="Q69" t="str">
        <x:v>SAMPLE_RATE_NON_ADDITIVE</x:v>
      </x:c>
      <x:c r="V69" t="str">
        <x:v>04_Quality_Log(6).xlsx</x:v>
      </x:c>
      <x:c r="W69" t="str">
        <x:v>ENH-20260830-01</x:v>
      </x:c>
      <x:c r="X69" t="str">
        <x:f>IF(AND(M69="OK",O69="OK"),"Active","Quarantine")</x:f>
        <x:v>Active</x:v>
      </x:c>
      <x:c r="Y69" t="str">
        <x:f>IF(X69="Active","LOAD","QUARANTINE")</x:f>
        <x:v>LOAD</x:v>
      </x:c>
    </x:row>
    <x:row r="70" ht="18" customHeight="1">
      <x:c r="A70" s="5" t="s">
        <x:v>26</x:v>
      </x:c>
      <x:c r="B70" s="5">
        <x:v>23</x:v>
      </x:c>
      <x:c r="C70" s="6">
        <x:v>45951</x:v>
      </x:c>
      <x:c r="D70" s="5" t="s">
        <x:v>44</x:v>
      </x:c>
      <x:c r="E70" s="7">
        <x:v>15</x:v>
      </x:c>
      <x:c r="F70" s="5" t="s">
        <x:v>28</x:v>
      </x:c>
      <x:c r="G70" s="8">
        <x:v>50</x:v>
      </x:c>
      <x:c r="H70" s="5" t="s">
        <x:v>33</x:v>
      </x:c>
      <x:c r="I70" s="8">
        <x:v>0</x:v>
      </x:c>
      <x:c r="J70" t="str">
        <x:f t="shared" si="4"/>
        <x:v>SAMP-KG01-L23-20251021-ORD-2025-00092-H15-Distortion</x:v>
      </x:c>
      <x:c r="K70" t="str">
        <x:f t="shared" si="5"/>
        <x:v>OK</x:v>
      </x:c>
      <x:c r="L70" t="str">
        <x:f t="shared" si="6"/>
        <x:v>OK</x:v>
      </x:c>
      <x:c r="M70" t="str">
        <x:f t="shared" si="7">IF(A70="","",IF(AND(K70="OK",L70="OK",O70="OK"),"OK","CHECK"))</x:f>
        <x:v>OK</x:v>
      </x:c>
      <x:c r="N70" t="str">
        <x:f>IF(A70="","", "PE-"&amp;A70&amp;"-L"&amp;TEXT(B70,"00")&amp;"-"&amp;TEXT(C70,"yyyymmdd")&amp;"-"&amp;F70&amp;"-"&amp;D70)</x:f>
        <x:v>PE-KG01-L23-20251021-AM-ORD-2025-00092</x:v>
      </x:c>
      <x:c r="O70" t="str">
        <x:f>IF(N70="","",IF(COUNTIF(_ProductionEventRef!$A$5:$A$500,N70)=1,"OK","CHECK"))</x:f>
        <x:v>OK</x:v>
      </x:c>
      <x:c r="P70" s="46" t="n">
        <x:f>IF(G70=0,0,I70/G70)</x:f>
        <x:v>0</x:v>
      </x:c>
      <x:c r="Q70" t="str">
        <x:v>SAMPLE_RATE_NON_ADDITIVE</x:v>
      </x:c>
      <x:c r="V70" t="str">
        <x:v>04_Quality_Log(6).xlsx</x:v>
      </x:c>
      <x:c r="W70" t="str">
        <x:v>ENH-20260830-01</x:v>
      </x:c>
      <x:c r="X70" t="str">
        <x:f>IF(AND(M70="OK",O70="OK"),"Active","Quarantine")</x:f>
        <x:v>Active</x:v>
      </x:c>
      <x:c r="Y70" t="str">
        <x:f>IF(X70="Active","LOAD","QUARANTINE")</x:f>
        <x:v>LOAD</x:v>
      </x:c>
    </x:row>
    <x:row r="71" ht="18" customHeight="1">
      <x:c r="A71" s="5" t="s">
        <x:v>26</x:v>
      </x:c>
      <x:c r="B71" s="5">
        <x:v>23</x:v>
      </x:c>
      <x:c r="C71" s="6">
        <x:v>45951</x:v>
      </x:c>
      <x:c r="D71" s="5" t="s">
        <x:v>44</x:v>
      </x:c>
      <x:c r="E71" s="7">
        <x:v>20</x:v>
      </x:c>
      <x:c r="F71" s="5" t="s">
        <x:v>31</x:v>
      </x:c>
      <x:c r="G71" s="8">
        <x:v>200</x:v>
      </x:c>
      <x:c r="H71" s="5" t="s">
        <x:v>34</x:v>
      </x:c>
      <x:c r="I71" s="8">
        <x:v>4</x:v>
      </x:c>
      <x:c r="J71" t="str">
        <x:f t="shared" si="4"/>
        <x:v>SAMP-KG01-L23-20251021-ORD-2025-00092-H20-Thin Wall</x:v>
      </x:c>
      <x:c r="K71" t="str">
        <x:f t="shared" si="5"/>
        <x:v>OK</x:v>
      </x:c>
      <x:c r="L71" t="str">
        <x:f t="shared" si="6"/>
        <x:v>OK</x:v>
      </x:c>
      <x:c r="M71" t="str">
        <x:f t="shared" si="7">IF(A71="","",IF(AND(K71="OK",L71="OK",O71="OK"),"OK","CHECK"))</x:f>
        <x:v>OK</x:v>
      </x:c>
      <x:c r="N71" t="str">
        <x:f>IF(A71="","", "PE-"&amp;A71&amp;"-L"&amp;TEXT(B71,"00")&amp;"-"&amp;TEXT(C71,"yyyymmdd")&amp;"-"&amp;F71&amp;"-"&amp;D71)</x:f>
        <x:v>PE-KG01-L23-20251021-PM-ORD-2025-00092</x:v>
      </x:c>
      <x:c r="O71" t="str">
        <x:f>IF(N71="","",IF(COUNTIF(_ProductionEventRef!$A$5:$A$500,N71)=1,"OK","CHECK"))</x:f>
        <x:v>OK</x:v>
      </x:c>
      <x:c r="P71" s="46" t="n">
        <x:f>IF(G71=0,0,I71/G71)</x:f>
        <x:v>0.02</x:v>
      </x:c>
      <x:c r="Q71" t="str">
        <x:v>SAMPLE_RATE_NON_ADDITIVE</x:v>
      </x:c>
      <x:c r="V71" t="str">
        <x:v>04_Quality_Log(6).xlsx</x:v>
      </x:c>
      <x:c r="W71" t="str">
        <x:v>ENH-20260830-01</x:v>
      </x:c>
      <x:c r="X71" t="str">
        <x:f>IF(AND(M71="OK",O71="OK"),"Active","Quarantine")</x:f>
        <x:v>Active</x:v>
      </x:c>
      <x:c r="Y71" t="str">
        <x:f>IF(X71="Active","LOAD","QUARANTINE")</x:f>
        <x:v>LOAD</x:v>
      </x:c>
    </x:row>
    <x:row r="72" ht="18" customHeight="1">
      <x:c r="A72" s="5" t="s">
        <x:v>26</x:v>
      </x:c>
      <x:c r="B72" s="5">
        <x:v>23</x:v>
      </x:c>
      <x:c r="C72" s="6">
        <x:v>45951</x:v>
      </x:c>
      <x:c r="D72" s="5" t="s">
        <x:v>44</x:v>
      </x:c>
      <x:c r="E72" s="7">
        <x:v>23</x:v>
      </x:c>
      <x:c r="F72" s="5" t="s">
        <x:v>31</x:v>
      </x:c>
      <x:c r="G72" s="8">
        <x:v>50</x:v>
      </x:c>
      <x:c r="H72" s="5" t="s">
        <x:v>38</x:v>
      </x:c>
      <x:c r="I72" s="8">
        <x:v>1</x:v>
      </x:c>
      <x:c r="J72" t="str">
        <x:f t="shared" si="4"/>
        <x:v>SAMP-KG01-L23-20251021-ORD-2025-00092-H23-Crack</x:v>
      </x:c>
      <x:c r="K72" t="str">
        <x:f t="shared" si="5"/>
        <x:v>OK</x:v>
      </x:c>
      <x:c r="L72" t="str">
        <x:f t="shared" si="6"/>
        <x:v>OK</x:v>
      </x:c>
      <x:c r="M72" t="str">
        <x:f t="shared" si="7">IF(A72="","",IF(AND(K72="OK",L72="OK",O72="OK"),"OK","CHECK"))</x:f>
        <x:v>OK</x:v>
      </x:c>
      <x:c r="N72" t="str">
        <x:f>IF(A72="","", "PE-"&amp;A72&amp;"-L"&amp;TEXT(B72,"00")&amp;"-"&amp;TEXT(C72,"yyyymmdd")&amp;"-"&amp;F72&amp;"-"&amp;D72)</x:f>
        <x:v>PE-KG01-L23-20251021-PM-ORD-2025-00092</x:v>
      </x:c>
      <x:c r="O72" t="str">
        <x:f>IF(N72="","",IF(COUNTIF(_ProductionEventRef!$A$5:$A$500,N72)=1,"OK","CHECK"))</x:f>
        <x:v>OK</x:v>
      </x:c>
      <x:c r="P72" s="46" t="n">
        <x:f>IF(G72=0,0,I72/G72)</x:f>
        <x:v>0.02</x:v>
      </x:c>
      <x:c r="Q72" t="str">
        <x:v>SAMPLE_RATE_NON_ADDITIVE</x:v>
      </x:c>
      <x:c r="V72" t="str">
        <x:v>04_Quality_Log(6).xlsx</x:v>
      </x:c>
      <x:c r="W72" t="str">
        <x:v>ENH-20260830-01</x:v>
      </x:c>
      <x:c r="X72" t="str">
        <x:f>IF(AND(M72="OK",O72="OK"),"Active","Quarantine")</x:f>
        <x:v>Active</x:v>
      </x:c>
      <x:c r="Y72" t="str">
        <x:f>IF(X72="Active","LOAD","QUARANTINE")</x:f>
        <x:v>LOAD</x:v>
      </x:c>
    </x:row>
    <x:row r="73" ht="18" customHeight="1">
      <x:c r="A73" s="5" t="s">
        <x:v>26</x:v>
      </x:c>
      <x:c r="B73" s="5">
        <x:v>23</x:v>
      </x:c>
      <x:c r="C73" s="6">
        <x:v>45952</x:v>
      </x:c>
      <x:c r="D73" s="5" t="s">
        <x:v>45</x:v>
      </x:c>
      <x:c r="E73" s="7">
        <x:v>9</x:v>
      </x:c>
      <x:c r="F73" s="5" t="s">
        <x:v>28</x:v>
      </x:c>
      <x:c r="G73" s="8">
        <x:v>150</x:v>
      </x:c>
      <x:c r="H73" s="5" t="s">
        <x:v>36</x:v>
      </x:c>
      <x:c r="I73" s="8">
        <x:v>5</x:v>
      </x:c>
      <x:c r="J73" t="str">
        <x:f t="shared" si="4"/>
        <x:v>SAMP-KG01-L23-20251022-ORD-2025-00093-H09-Blister</x:v>
      </x:c>
      <x:c r="K73" t="str">
        <x:f t="shared" si="5"/>
        <x:v>OK</x:v>
      </x:c>
      <x:c r="L73" t="str">
        <x:f t="shared" si="6"/>
        <x:v>OK</x:v>
      </x:c>
      <x:c r="M73" t="str">
        <x:f t="shared" si="7">IF(A73="","",IF(AND(K73="OK",L73="OK",O73="OK"),"OK","CHECK"))</x:f>
        <x:v>OK</x:v>
      </x:c>
      <x:c r="N73" t="str">
        <x:f>IF(A73="","", "PE-"&amp;A73&amp;"-L"&amp;TEXT(B73,"00")&amp;"-"&amp;TEXT(C73,"yyyymmdd")&amp;"-"&amp;F73&amp;"-"&amp;D73)</x:f>
        <x:v>PE-KG01-L23-20251022-AM-ORD-2025-00093</x:v>
      </x:c>
      <x:c r="O73" t="str">
        <x:f>IF(N73="","",IF(COUNTIF(_ProductionEventRef!$A$5:$A$500,N73)=1,"OK","CHECK"))</x:f>
        <x:v>OK</x:v>
      </x:c>
      <x:c r="P73" s="46" t="n">
        <x:f>IF(G73=0,0,I73/G73)</x:f>
        <x:v>0.03333333333333333</x:v>
      </x:c>
      <x:c r="Q73" t="str">
        <x:v>SAMPLE_RATE_NON_ADDITIVE</x:v>
      </x:c>
      <x:c r="V73" t="str">
        <x:v>04_Quality_Log(6).xlsx</x:v>
      </x:c>
      <x:c r="W73" t="str">
        <x:v>ENH-20260830-01</x:v>
      </x:c>
      <x:c r="X73" t="str">
        <x:f>IF(AND(M73="OK",O73="OK"),"Active","Quarantine")</x:f>
        <x:v>Active</x:v>
      </x:c>
      <x:c r="Y73" t="str">
        <x:f>IF(X73="Active","LOAD","QUARANTINE")</x:f>
        <x:v>LOAD</x:v>
      </x:c>
    </x:row>
    <x:row r="74" ht="18" customHeight="1">
      <x:c r="A74" s="5" t="s">
        <x:v>26</x:v>
      </x:c>
      <x:c r="B74" s="5">
        <x:v>23</x:v>
      </x:c>
      <x:c r="C74" s="6">
        <x:v>45952</x:v>
      </x:c>
      <x:c r="D74" s="5" t="s">
        <x:v>45</x:v>
      </x:c>
      <x:c r="E74" s="7">
        <x:v>15</x:v>
      </x:c>
      <x:c r="F74" s="5" t="s">
        <x:v>28</x:v>
      </x:c>
      <x:c r="G74" s="8">
        <x:v>200</x:v>
      </x:c>
      <x:c r="H74" s="5" t="s">
        <x:v>35</x:v>
      </x:c>
      <x:c r="I74" s="8">
        <x:v>7</x:v>
      </x:c>
      <x:c r="J74" t="str">
        <x:f t="shared" si="4"/>
        <x:v>SAMP-KG01-L23-20251022-ORD-2025-00093-H15-Stone</x:v>
      </x:c>
      <x:c r="K74" t="str">
        <x:f t="shared" si="5"/>
        <x:v>OK</x:v>
      </x:c>
      <x:c r="L74" t="str">
        <x:f t="shared" si="6"/>
        <x:v>OK</x:v>
      </x:c>
      <x:c r="M74" t="str">
        <x:f t="shared" si="7">IF(A74="","",IF(AND(K74="OK",L74="OK",O74="OK"),"OK","CHECK"))</x:f>
        <x:v>OK</x:v>
      </x:c>
      <x:c r="N74" t="str">
        <x:f>IF(A74="","", "PE-"&amp;A74&amp;"-L"&amp;TEXT(B74,"00")&amp;"-"&amp;TEXT(C74,"yyyymmdd")&amp;"-"&amp;F74&amp;"-"&amp;D74)</x:f>
        <x:v>PE-KG01-L23-20251022-AM-ORD-2025-00093</x:v>
      </x:c>
      <x:c r="O74" t="str">
        <x:f>IF(N74="","",IF(COUNTIF(_ProductionEventRef!$A$5:$A$500,N74)=1,"OK","CHECK"))</x:f>
        <x:v>OK</x:v>
      </x:c>
      <x:c r="P74" s="46" t="n">
        <x:f>IF(G74=0,0,I74/G74)</x:f>
        <x:v>0.035</x:v>
      </x:c>
      <x:c r="Q74" t="str">
        <x:v>SAMPLE_RATE_NON_ADDITIVE</x:v>
      </x:c>
      <x:c r="V74" t="str">
        <x:v>04_Quality_Log(6).xlsx</x:v>
      </x:c>
      <x:c r="W74" t="str">
        <x:v>ENH-20260830-01</x:v>
      </x:c>
      <x:c r="X74" t="str">
        <x:f>IF(AND(M74="OK",O74="OK"),"Active","Quarantine")</x:f>
        <x:v>Active</x:v>
      </x:c>
      <x:c r="Y74" t="str">
        <x:f>IF(X74="Active","LOAD","QUARANTINE")</x:f>
        <x:v>LOAD</x:v>
      </x:c>
    </x:row>
    <x:row r="75" ht="18" customHeight="1">
      <x:c r="A75" s="5" t="s">
        <x:v>26</x:v>
      </x:c>
      <x:c r="B75" s="5">
        <x:v>23</x:v>
      </x:c>
      <x:c r="C75" s="6">
        <x:v>45952</x:v>
      </x:c>
      <x:c r="D75" s="5" t="s">
        <x:v>45</x:v>
      </x:c>
      <x:c r="E75" s="7">
        <x:v>20</x:v>
      </x:c>
      <x:c r="F75" s="5" t="s">
        <x:v>31</x:v>
      </x:c>
      <x:c r="G75" s="8">
        <x:v>50</x:v>
      </x:c>
      <x:c r="H75" s="5" t="s">
        <x:v>36</x:v>
      </x:c>
      <x:c r="I75" s="8">
        <x:v>2</x:v>
      </x:c>
      <x:c r="J75" t="str">
        <x:f t="shared" si="4"/>
        <x:v>SAMP-KG01-L23-20251022-ORD-2025-00093-H20-Blister</x:v>
      </x:c>
      <x:c r="K75" t="str">
        <x:f t="shared" si="5"/>
        <x:v>OK</x:v>
      </x:c>
      <x:c r="L75" t="str">
        <x:f t="shared" si="6"/>
        <x:v>OK</x:v>
      </x:c>
      <x:c r="M75" t="str">
        <x:f t="shared" si="7">IF(A75="","",IF(AND(K75="OK",L75="OK",O75="OK"),"OK","CHECK"))</x:f>
        <x:v>OK</x:v>
      </x:c>
      <x:c r="N75" t="str">
        <x:f>IF(A75="","", "PE-"&amp;A75&amp;"-L"&amp;TEXT(B75,"00")&amp;"-"&amp;TEXT(C75,"yyyymmdd")&amp;"-"&amp;F75&amp;"-"&amp;D75)</x:f>
        <x:v>PE-KG01-L23-20251022-PM-ORD-2025-00093</x:v>
      </x:c>
      <x:c r="O75" t="str">
        <x:f>IF(N75="","",IF(COUNTIF(_ProductionEventRef!$A$5:$A$500,N75)=1,"OK","CHECK"))</x:f>
        <x:v>OK</x:v>
      </x:c>
      <x:c r="P75" s="46" t="n">
        <x:f>IF(G75=0,0,I75/G75)</x:f>
        <x:v>0.04</x:v>
      </x:c>
      <x:c r="Q75" t="str">
        <x:v>SAMPLE_RATE_NON_ADDITIVE</x:v>
      </x:c>
      <x:c r="V75" t="str">
        <x:v>04_Quality_Log(6).xlsx</x:v>
      </x:c>
      <x:c r="W75" t="str">
        <x:v>ENH-20260830-01</x:v>
      </x:c>
      <x:c r="X75" t="str">
        <x:f>IF(AND(M75="OK",O75="OK"),"Active","Quarantine")</x:f>
        <x:v>Active</x:v>
      </x:c>
      <x:c r="Y75" t="str">
        <x:f>IF(X75="Active","LOAD","QUARANTINE")</x:f>
        <x:v>LOAD</x:v>
      </x:c>
    </x:row>
    <x:row r="76" ht="18" customHeight="1">
      <x:c r="A76" s="5" t="s">
        <x:v>26</x:v>
      </x:c>
      <x:c r="B76" s="5">
        <x:v>23</x:v>
      </x:c>
      <x:c r="C76" s="6">
        <x:v>45952</x:v>
      </x:c>
      <x:c r="D76" s="5" t="s">
        <x:v>45</x:v>
      </x:c>
      <x:c r="E76" s="7">
        <x:v>23</x:v>
      </x:c>
      <x:c r="F76" s="5" t="s">
        <x:v>31</x:v>
      </x:c>
      <x:c r="G76" s="8">
        <x:v>150</x:v>
      </x:c>
      <x:c r="H76" s="5" t="s">
        <x:v>36</x:v>
      </x:c>
      <x:c r="I76" s="8">
        <x:v>2</x:v>
      </x:c>
      <x:c r="J76" t="str">
        <x:f t="shared" si="4"/>
        <x:v>SAMP-KG01-L23-20251022-ORD-2025-00093-H23-Blister</x:v>
      </x:c>
      <x:c r="K76" t="str">
        <x:f t="shared" si="5"/>
        <x:v>OK</x:v>
      </x:c>
      <x:c r="L76" t="str">
        <x:f t="shared" si="6"/>
        <x:v>OK</x:v>
      </x:c>
      <x:c r="M76" t="str">
        <x:f t="shared" si="7">IF(A76="","",IF(AND(K76="OK",L76="OK",O76="OK"),"OK","CHECK"))</x:f>
        <x:v>OK</x:v>
      </x:c>
      <x:c r="N76" t="str">
        <x:f>IF(A76="","", "PE-"&amp;A76&amp;"-L"&amp;TEXT(B76,"00")&amp;"-"&amp;TEXT(C76,"yyyymmdd")&amp;"-"&amp;F76&amp;"-"&amp;D76)</x:f>
        <x:v>PE-KG01-L23-20251022-PM-ORD-2025-00093</x:v>
      </x:c>
      <x:c r="O76" t="str">
        <x:f>IF(N76="","",IF(COUNTIF(_ProductionEventRef!$A$5:$A$500,N76)=1,"OK","CHECK"))</x:f>
        <x:v>OK</x:v>
      </x:c>
      <x:c r="P76" s="46" t="n">
        <x:f>IF(G76=0,0,I76/G76)</x:f>
        <x:v>0.013333333333333334</x:v>
      </x:c>
      <x:c r="Q76" t="str">
        <x:v>SAMPLE_RATE_NON_ADDITIVE</x:v>
      </x:c>
      <x:c r="V76" t="str">
        <x:v>04_Quality_Log(6).xlsx</x:v>
      </x:c>
      <x:c r="W76" t="str">
        <x:v>ENH-20260830-01</x:v>
      </x:c>
      <x:c r="X76" t="str">
        <x:f>IF(AND(M76="OK",O76="OK"),"Active","Quarantine")</x:f>
        <x:v>Active</x:v>
      </x:c>
      <x:c r="Y76" t="str">
        <x:f>IF(X76="Active","LOAD","QUARANTINE")</x:f>
        <x:v>LOAD</x:v>
      </x:c>
    </x:row>
    <x:row r="77" ht="18" customHeight="1">
      <x:c r="A77" s="5" t="s">
        <x:v>26</x:v>
      </x:c>
      <x:c r="B77" s="5">
        <x:v>23</x:v>
      </x:c>
      <x:c r="C77" s="6">
        <x:v>45953</x:v>
      </x:c>
      <x:c r="D77" s="5" t="s">
        <x:v>45</x:v>
      </x:c>
      <x:c r="E77" s="7">
        <x:v>9</x:v>
      </x:c>
      <x:c r="F77" s="5" t="s">
        <x:v>28</x:v>
      </x:c>
      <x:c r="G77" s="8">
        <x:v>100</x:v>
      </x:c>
      <x:c r="H77" s="5" t="s">
        <x:v>29</x:v>
      </x:c>
      <x:c r="I77" s="8">
        <x:v>4</x:v>
      </x:c>
      <x:c r="J77" t="str">
        <x:f t="shared" si="4"/>
        <x:v>SAMP-KG01-L23-20251023-ORD-2025-00093-H09-Choke Neck</x:v>
      </x:c>
      <x:c r="K77" t="str">
        <x:f t="shared" si="5"/>
        <x:v>OK</x:v>
      </x:c>
      <x:c r="L77" t="str">
        <x:f t="shared" si="6"/>
        <x:v>OK</x:v>
      </x:c>
      <x:c r="M77" t="str">
        <x:f t="shared" si="7">IF(A77="","",IF(AND(K77="OK",L77="OK",O77="OK"),"OK","CHECK"))</x:f>
        <x:v>OK</x:v>
      </x:c>
      <x:c r="N77" t="str">
        <x:f>IF(A77="","", "PE-"&amp;A77&amp;"-L"&amp;TEXT(B77,"00")&amp;"-"&amp;TEXT(C77,"yyyymmdd")&amp;"-"&amp;F77&amp;"-"&amp;D77)</x:f>
        <x:v>PE-KG01-L23-20251023-AM-ORD-2025-00093</x:v>
      </x:c>
      <x:c r="O77" t="str">
        <x:f>IF(N77="","",IF(COUNTIF(_ProductionEventRef!$A$5:$A$500,N77)=1,"OK","CHECK"))</x:f>
        <x:v>OK</x:v>
      </x:c>
      <x:c r="P77" s="46" t="n">
        <x:f>IF(G77=0,0,I77/G77)</x:f>
        <x:v>0.04</x:v>
      </x:c>
      <x:c r="Q77" t="str">
        <x:v>SAMPLE_RATE_NON_ADDITIVE</x:v>
      </x:c>
      <x:c r="V77" t="str">
        <x:v>04_Quality_Log(6).xlsx</x:v>
      </x:c>
      <x:c r="W77" t="str">
        <x:v>ENH-20260830-01</x:v>
      </x:c>
      <x:c r="X77" t="str">
        <x:f>IF(AND(M77="OK",O77="OK"),"Active","Quarantine")</x:f>
        <x:v>Active</x:v>
      </x:c>
      <x:c r="Y77" t="str">
        <x:f>IF(X77="Active","LOAD","QUARANTINE")</x:f>
        <x:v>LOAD</x:v>
      </x:c>
    </x:row>
    <x:row r="78" ht="18" customHeight="1">
      <x:c r="A78" s="5" t="s">
        <x:v>26</x:v>
      </x:c>
      <x:c r="B78" s="5">
        <x:v>23</x:v>
      </x:c>
      <x:c r="C78" s="6">
        <x:v>45953</x:v>
      </x:c>
      <x:c r="D78" s="5" t="s">
        <x:v>45</x:v>
      </x:c>
      <x:c r="E78" s="7">
        <x:v>15</x:v>
      </x:c>
      <x:c r="F78" s="5" t="s">
        <x:v>28</x:v>
      </x:c>
      <x:c r="G78" s="8">
        <x:v>150</x:v>
      </x:c>
      <x:c r="H78" s="5" t="s">
        <x:v>41</x:v>
      </x:c>
      <x:c r="I78" s="8">
        <x:v>2</x:v>
      </x:c>
      <x:c r="J78" t="str">
        <x:f t="shared" si="4"/>
        <x:v>SAMP-KG01-L23-20251023-ORD-2025-00093-H15-Chip</x:v>
      </x:c>
      <x:c r="K78" t="str">
        <x:f t="shared" si="5"/>
        <x:v>OK</x:v>
      </x:c>
      <x:c r="L78" t="str">
        <x:f t="shared" si="6"/>
        <x:v>OK</x:v>
      </x:c>
      <x:c r="M78" t="str">
        <x:f t="shared" si="7">IF(A78="","",IF(AND(K78="OK",L78="OK",O78="OK"),"OK","CHECK"))</x:f>
        <x:v>OK</x:v>
      </x:c>
      <x:c r="N78" t="str">
        <x:f>IF(A78="","", "PE-"&amp;A78&amp;"-L"&amp;TEXT(B78,"00")&amp;"-"&amp;TEXT(C78,"yyyymmdd")&amp;"-"&amp;F78&amp;"-"&amp;D78)</x:f>
        <x:v>PE-KG01-L23-20251023-AM-ORD-2025-00093</x:v>
      </x:c>
      <x:c r="O78" t="str">
        <x:f>IF(N78="","",IF(COUNTIF(_ProductionEventRef!$A$5:$A$500,N78)=1,"OK","CHECK"))</x:f>
        <x:v>OK</x:v>
      </x:c>
      <x:c r="P78" s="46" t="n">
        <x:f>IF(G78=0,0,I78/G78)</x:f>
        <x:v>0.013333333333333334</x:v>
      </x:c>
      <x:c r="Q78" t="str">
        <x:v>SAMPLE_RATE_NON_ADDITIVE</x:v>
      </x:c>
      <x:c r="V78" t="str">
        <x:v>04_Quality_Log(6).xlsx</x:v>
      </x:c>
      <x:c r="W78" t="str">
        <x:v>ENH-20260830-01</x:v>
      </x:c>
      <x:c r="X78" t="str">
        <x:f>IF(AND(M78="OK",O78="OK"),"Active","Quarantine")</x:f>
        <x:v>Active</x:v>
      </x:c>
      <x:c r="Y78" t="str">
        <x:f>IF(X78="Active","LOAD","QUARANTINE")</x:f>
        <x:v>LOAD</x:v>
      </x:c>
    </x:row>
    <x:row r="79" ht="18" customHeight="1">
      <x:c r="A79" s="5" t="s">
        <x:v>26</x:v>
      </x:c>
      <x:c r="B79" s="5">
        <x:v>23</x:v>
      </x:c>
      <x:c r="C79" s="6">
        <x:v>45953</x:v>
      </x:c>
      <x:c r="D79" s="5" t="s">
        <x:v>45</x:v>
      </x:c>
      <x:c r="E79" s="7">
        <x:v>20</x:v>
      </x:c>
      <x:c r="F79" s="5" t="s">
        <x:v>31</x:v>
      </x:c>
      <x:c r="G79" s="8">
        <x:v>50</x:v>
      </x:c>
      <x:c r="H79" s="5" t="s">
        <x:v>30</x:v>
      </x:c>
      <x:c r="I79" s="8">
        <x:v>1</x:v>
      </x:c>
      <x:c r="J79" t="str">
        <x:f t="shared" si="4"/>
        <x:v>SAMP-KG01-L23-20251023-ORD-2025-00093-H20-Overpress</x:v>
      </x:c>
      <x:c r="K79" t="str">
        <x:f t="shared" si="5"/>
        <x:v>OK</x:v>
      </x:c>
      <x:c r="L79" t="str">
        <x:f t="shared" si="6"/>
        <x:v>OK</x:v>
      </x:c>
      <x:c r="M79" t="str">
        <x:f t="shared" si="7">IF(A79="","",IF(AND(K79="OK",L79="OK",O79="OK"),"OK","CHECK"))</x:f>
        <x:v>OK</x:v>
      </x:c>
      <x:c r="N79" t="str">
        <x:f>IF(A79="","", "PE-"&amp;A79&amp;"-L"&amp;TEXT(B79,"00")&amp;"-"&amp;TEXT(C79,"yyyymmdd")&amp;"-"&amp;F79&amp;"-"&amp;D79)</x:f>
        <x:v>PE-KG01-L23-20251023-PM-ORD-2025-00093</x:v>
      </x:c>
      <x:c r="O79" t="str">
        <x:f>IF(N79="","",IF(COUNTIF(_ProductionEventRef!$A$5:$A$500,N79)=1,"OK","CHECK"))</x:f>
        <x:v>OK</x:v>
      </x:c>
      <x:c r="P79" s="46" t="n">
        <x:f>IF(G79=0,0,I79/G79)</x:f>
        <x:v>0.02</x:v>
      </x:c>
      <x:c r="Q79" t="str">
        <x:v>SAMPLE_RATE_NON_ADDITIVE</x:v>
      </x:c>
      <x:c r="V79" t="str">
        <x:v>04_Quality_Log(6).xlsx</x:v>
      </x:c>
      <x:c r="W79" t="str">
        <x:v>ENH-20260830-01</x:v>
      </x:c>
      <x:c r="X79" t="str">
        <x:f>IF(AND(M79="OK",O79="OK"),"Active","Quarantine")</x:f>
        <x:v>Active</x:v>
      </x:c>
      <x:c r="Y79" t="str">
        <x:f>IF(X79="Active","LOAD","QUARANTINE")</x:f>
        <x:v>LOAD</x:v>
      </x:c>
    </x:row>
    <x:row r="80" ht="18" customHeight="1">
      <x:c r="A80" s="5" t="s">
        <x:v>26</x:v>
      </x:c>
      <x:c r="B80" s="5">
        <x:v>23</x:v>
      </x:c>
      <x:c r="C80" s="6">
        <x:v>45953</x:v>
      </x:c>
      <x:c r="D80" s="5" t="s">
        <x:v>45</x:v>
      </x:c>
      <x:c r="E80" s="7">
        <x:v>23</x:v>
      </x:c>
      <x:c r="F80" s="5" t="s">
        <x:v>31</x:v>
      </x:c>
      <x:c r="G80" s="8">
        <x:v>200</x:v>
      </x:c>
      <x:c r="H80" s="5" t="s">
        <x:v>33</x:v>
      </x:c>
      <x:c r="I80" s="8">
        <x:v>4</x:v>
      </x:c>
      <x:c r="J80" t="str">
        <x:f t="shared" si="4"/>
        <x:v>SAMP-KG01-L23-20251023-ORD-2025-00093-H23-Distortion</x:v>
      </x:c>
      <x:c r="K80" t="str">
        <x:f t="shared" si="5"/>
        <x:v>OK</x:v>
      </x:c>
      <x:c r="L80" t="str">
        <x:f t="shared" si="6"/>
        <x:v>OK</x:v>
      </x:c>
      <x:c r="M80" t="str">
        <x:f t="shared" si="7">IF(A80="","",IF(AND(K80="OK",L80="OK",O80="OK"),"OK","CHECK"))</x:f>
        <x:v>OK</x:v>
      </x:c>
      <x:c r="N80" t="str">
        <x:f>IF(A80="","", "PE-"&amp;A80&amp;"-L"&amp;TEXT(B80,"00")&amp;"-"&amp;TEXT(C80,"yyyymmdd")&amp;"-"&amp;F80&amp;"-"&amp;D80)</x:f>
        <x:v>PE-KG01-L23-20251023-PM-ORD-2025-00093</x:v>
      </x:c>
      <x:c r="O80" t="str">
        <x:f>IF(N80="","",IF(COUNTIF(_ProductionEventRef!$A$5:$A$500,N80)=1,"OK","CHECK"))</x:f>
        <x:v>OK</x:v>
      </x:c>
      <x:c r="P80" s="46" t="n">
        <x:f>IF(G80=0,0,I80/G80)</x:f>
        <x:v>0.02</x:v>
      </x:c>
      <x:c r="Q80" t="str">
        <x:v>SAMPLE_RATE_NON_ADDITIVE</x:v>
      </x:c>
      <x:c r="V80" t="str">
        <x:v>04_Quality_Log(6).xlsx</x:v>
      </x:c>
      <x:c r="W80" t="str">
        <x:v>ENH-20260830-01</x:v>
      </x:c>
      <x:c r="X80" t="str">
        <x:f>IF(AND(M80="OK",O80="OK"),"Active","Quarantine")</x:f>
        <x:v>Active</x:v>
      </x:c>
      <x:c r="Y80" t="str">
        <x:f>IF(X80="Active","LOAD","QUARANTINE")</x:f>
        <x:v>LOAD</x:v>
      </x:c>
    </x:row>
    <x:row r="81" ht="18" customHeight="1">
      <x:c r="A81" s="5" t="s">
        <x:v>26</x:v>
      </x:c>
      <x:c r="B81" s="5">
        <x:v>23</x:v>
      </x:c>
      <x:c r="C81" s="6">
        <x:v>45954</x:v>
      </x:c>
      <x:c r="D81" s="5" t="s">
        <x:v>45</x:v>
      </x:c>
      <x:c r="E81" s="7">
        <x:v>9</x:v>
      </x:c>
      <x:c r="F81" s="5" t="s">
        <x:v>28</x:v>
      </x:c>
      <x:c r="G81" s="8">
        <x:v>200</x:v>
      </x:c>
      <x:c r="H81" s="5" t="s">
        <x:v>33</x:v>
      </x:c>
      <x:c r="I81" s="8">
        <x:v>6</x:v>
      </x:c>
      <x:c r="J81" t="str">
        <x:f t="shared" si="4"/>
        <x:v>SAMP-KG01-L23-20251024-ORD-2025-00093-H09-Distortion</x:v>
      </x:c>
      <x:c r="K81" t="str">
        <x:f t="shared" si="5"/>
        <x:v>OK</x:v>
      </x:c>
      <x:c r="L81" t="str">
        <x:f t="shared" si="6"/>
        <x:v>OK</x:v>
      </x:c>
      <x:c r="M81" t="str">
        <x:f t="shared" si="7">IF(A81="","",IF(AND(K81="OK",L81="OK",O81="OK"),"OK","CHECK"))</x:f>
        <x:v>OK</x:v>
      </x:c>
      <x:c r="N81" t="str">
        <x:f>IF(A81="","", "PE-"&amp;A81&amp;"-L"&amp;TEXT(B81,"00")&amp;"-"&amp;TEXT(C81,"yyyymmdd")&amp;"-"&amp;F81&amp;"-"&amp;D81)</x:f>
        <x:v>PE-KG01-L23-20251024-AM-ORD-2025-00093</x:v>
      </x:c>
      <x:c r="O81" t="str">
        <x:f>IF(N81="","",IF(COUNTIF(_ProductionEventRef!$A$5:$A$500,N81)=1,"OK","CHECK"))</x:f>
        <x:v>OK</x:v>
      </x:c>
      <x:c r="P81" s="46" t="n">
        <x:f>IF(G81=0,0,I81/G81)</x:f>
        <x:v>0.03</x:v>
      </x:c>
      <x:c r="Q81" t="str">
        <x:v>SAMPLE_RATE_NON_ADDITIVE</x:v>
      </x:c>
      <x:c r="V81" t="str">
        <x:v>04_Quality_Log(6).xlsx</x:v>
      </x:c>
      <x:c r="W81" t="str">
        <x:v>ENH-20260830-01</x:v>
      </x:c>
      <x:c r="X81" t="str">
        <x:f>IF(AND(M81="OK",O81="OK"),"Active","Quarantine")</x:f>
        <x:v>Active</x:v>
      </x:c>
      <x:c r="Y81" t="str">
        <x:f>IF(X81="Active","LOAD","QUARANTINE")</x:f>
        <x:v>LOAD</x:v>
      </x:c>
    </x:row>
    <x:row r="82" ht="18" customHeight="1">
      <x:c r="A82" s="5" t="s">
        <x:v>26</x:v>
      </x:c>
      <x:c r="B82" s="5">
        <x:v>23</x:v>
      </x:c>
      <x:c r="C82" s="6">
        <x:v>45954</x:v>
      </x:c>
      <x:c r="D82" s="5" t="s">
        <x:v>45</x:v>
      </x:c>
      <x:c r="E82" s="7">
        <x:v>15</x:v>
      </x:c>
      <x:c r="F82" s="5" t="s">
        <x:v>28</x:v>
      </x:c>
      <x:c r="G82" s="8">
        <x:v>100</x:v>
      </x:c>
      <x:c r="H82" s="5" t="s">
        <x:v>33</x:v>
      </x:c>
      <x:c r="I82" s="8">
        <x:v>3</x:v>
      </x:c>
      <x:c r="J82" t="str">
        <x:f t="shared" si="4"/>
        <x:v>SAMP-KG01-L23-20251024-ORD-2025-00093-H15-Distortion</x:v>
      </x:c>
      <x:c r="K82" t="str">
        <x:f t="shared" si="5"/>
        <x:v>OK</x:v>
      </x:c>
      <x:c r="L82" t="str">
        <x:f t="shared" si="6"/>
        <x:v>OK</x:v>
      </x:c>
      <x:c r="M82" t="str">
        <x:f t="shared" si="7">IF(A82="","",IF(AND(K82="OK",L82="OK",O82="OK"),"OK","CHECK"))</x:f>
        <x:v>OK</x:v>
      </x:c>
      <x:c r="N82" t="str">
        <x:f>IF(A82="","", "PE-"&amp;A82&amp;"-L"&amp;TEXT(B82,"00")&amp;"-"&amp;TEXT(C82,"yyyymmdd")&amp;"-"&amp;F82&amp;"-"&amp;D82)</x:f>
        <x:v>PE-KG01-L23-20251024-AM-ORD-2025-00093</x:v>
      </x:c>
      <x:c r="O82" t="str">
        <x:f>IF(N82="","",IF(COUNTIF(_ProductionEventRef!$A$5:$A$500,N82)=1,"OK","CHECK"))</x:f>
        <x:v>OK</x:v>
      </x:c>
      <x:c r="P82" s="46" t="n">
        <x:f>IF(G82=0,0,I82/G82)</x:f>
        <x:v>0.03</x:v>
      </x:c>
      <x:c r="Q82" t="str">
        <x:v>SAMPLE_RATE_NON_ADDITIVE</x:v>
      </x:c>
      <x:c r="V82" t="str">
        <x:v>04_Quality_Log(6).xlsx</x:v>
      </x:c>
      <x:c r="W82" t="str">
        <x:v>ENH-20260830-01</x:v>
      </x:c>
      <x:c r="X82" t="str">
        <x:f>IF(AND(M82="OK",O82="OK"),"Active","Quarantine")</x:f>
        <x:v>Active</x:v>
      </x:c>
      <x:c r="Y82" t="str">
        <x:f>IF(X82="Active","LOAD","QUARANTINE")</x:f>
        <x:v>LOAD</x:v>
      </x:c>
    </x:row>
    <x:row r="83" ht="18" customHeight="1">
      <x:c r="A83" s="5" t="s">
        <x:v>26</x:v>
      </x:c>
      <x:c r="B83" s="5">
        <x:v>23</x:v>
      </x:c>
      <x:c r="C83" s="6">
        <x:v>45954</x:v>
      </x:c>
      <x:c r="D83" s="5" t="s">
        <x:v>45</x:v>
      </x:c>
      <x:c r="E83" s="7">
        <x:v>20</x:v>
      </x:c>
      <x:c r="F83" s="5" t="s">
        <x:v>31</x:v>
      </x:c>
      <x:c r="G83" s="8">
        <x:v>200</x:v>
      </x:c>
      <x:c r="H83" s="5" t="s">
        <x:v>30</x:v>
      </x:c>
      <x:c r="I83" s="8">
        <x:v>0</x:v>
      </x:c>
      <x:c r="J83" t="str">
        <x:f t="shared" si="4"/>
        <x:v>SAMP-KG01-L23-20251024-ORD-2025-00093-H20-Overpress</x:v>
      </x:c>
      <x:c r="K83" t="str">
        <x:f t="shared" si="5"/>
        <x:v>OK</x:v>
      </x:c>
      <x:c r="L83" t="str">
        <x:f t="shared" si="6"/>
        <x:v>OK</x:v>
      </x:c>
      <x:c r="M83" t="str">
        <x:f t="shared" si="7">IF(A83="","",IF(AND(K83="OK",L83="OK",O83="OK"),"OK","CHECK"))</x:f>
        <x:v>OK</x:v>
      </x:c>
      <x:c r="N83" t="str">
        <x:f>IF(A83="","", "PE-"&amp;A83&amp;"-L"&amp;TEXT(B83,"00")&amp;"-"&amp;TEXT(C83,"yyyymmdd")&amp;"-"&amp;F83&amp;"-"&amp;D83)</x:f>
        <x:v>PE-KG01-L23-20251024-PM-ORD-2025-00093</x:v>
      </x:c>
      <x:c r="O83" t="str">
        <x:f>IF(N83="","",IF(COUNTIF(_ProductionEventRef!$A$5:$A$500,N83)=1,"OK","CHECK"))</x:f>
        <x:v>OK</x:v>
      </x:c>
      <x:c r="P83" s="46" t="n">
        <x:f>IF(G83=0,0,I83/G83)</x:f>
        <x:v>0</x:v>
      </x:c>
      <x:c r="Q83" t="str">
        <x:v>SAMPLE_RATE_NON_ADDITIVE</x:v>
      </x:c>
      <x:c r="V83" t="str">
        <x:v>04_Quality_Log(6).xlsx</x:v>
      </x:c>
      <x:c r="W83" t="str">
        <x:v>ENH-20260830-01</x:v>
      </x:c>
      <x:c r="X83" t="str">
        <x:f>IF(AND(M83="OK",O83="OK"),"Active","Quarantine")</x:f>
        <x:v>Active</x:v>
      </x:c>
      <x:c r="Y83" t="str">
        <x:f>IF(X83="Active","LOAD","QUARANTINE")</x:f>
        <x:v>LOAD</x:v>
      </x:c>
    </x:row>
    <x:row r="84" ht="18" customHeight="1">
      <x:c r="A84" s="5" t="s">
        <x:v>26</x:v>
      </x:c>
      <x:c r="B84" s="5">
        <x:v>23</x:v>
      </x:c>
      <x:c r="C84" s="6">
        <x:v>45954</x:v>
      </x:c>
      <x:c r="D84" s="5" t="s">
        <x:v>45</x:v>
      </x:c>
      <x:c r="E84" s="7">
        <x:v>23</x:v>
      </x:c>
      <x:c r="F84" s="5" t="s">
        <x:v>31</x:v>
      </x:c>
      <x:c r="G84" s="8">
        <x:v>100</x:v>
      </x:c>
      <x:c r="H84" s="5" t="s">
        <x:v>33</x:v>
      </x:c>
      <x:c r="I84" s="8">
        <x:v>2</x:v>
      </x:c>
      <x:c r="J84" t="str">
        <x:f t="shared" si="4"/>
        <x:v>SAMP-KG01-L23-20251024-ORD-2025-00093-H23-Distortion</x:v>
      </x:c>
      <x:c r="K84" t="str">
        <x:f t="shared" si="5"/>
        <x:v>OK</x:v>
      </x:c>
      <x:c r="L84" t="str">
        <x:f t="shared" si="6"/>
        <x:v>OK</x:v>
      </x:c>
      <x:c r="M84" t="str">
        <x:f t="shared" si="7">IF(A84="","",IF(AND(K84="OK",L84="OK",O84="OK"),"OK","CHECK"))</x:f>
        <x:v>OK</x:v>
      </x:c>
      <x:c r="N84" t="str">
        <x:f>IF(A84="","", "PE-"&amp;A84&amp;"-L"&amp;TEXT(B84,"00")&amp;"-"&amp;TEXT(C84,"yyyymmdd")&amp;"-"&amp;F84&amp;"-"&amp;D84)</x:f>
        <x:v>PE-KG01-L23-20251024-PM-ORD-2025-00093</x:v>
      </x:c>
      <x:c r="O84" t="str">
        <x:f>IF(N84="","",IF(COUNTIF(_ProductionEventRef!$A$5:$A$500,N84)=1,"OK","CHECK"))</x:f>
        <x:v>OK</x:v>
      </x:c>
      <x:c r="P84" s="46" t="n">
        <x:f>IF(G84=0,0,I84/G84)</x:f>
        <x:v>0.02</x:v>
      </x:c>
      <x:c r="Q84" t="str">
        <x:v>SAMPLE_RATE_NON_ADDITIVE</x:v>
      </x:c>
      <x:c r="V84" t="str">
        <x:v>04_Quality_Log(6).xlsx</x:v>
      </x:c>
      <x:c r="W84" t="str">
        <x:v>ENH-20260830-01</x:v>
      </x:c>
      <x:c r="X84" t="str">
        <x:f>IF(AND(M84="OK",O84="OK"),"Active","Quarantine")</x:f>
        <x:v>Active</x:v>
      </x:c>
      <x:c r="Y84" t="str">
        <x:f>IF(X84="Active","LOAD","QUARANTINE")</x:f>
        <x:v>LOAD</x:v>
      </x:c>
    </x:row>
    <x:row r="85" ht="18" customHeight="1">
      <x:c r="A85" s="5" t="s">
        <x:v>26</x:v>
      </x:c>
      <x:c r="B85" s="5">
        <x:v>23</x:v>
      </x:c>
      <x:c r="C85" s="6">
        <x:v>45955</x:v>
      </x:c>
      <x:c r="D85" s="5" t="s">
        <x:v>45</x:v>
      </x:c>
      <x:c r="E85" s="7">
        <x:v>9</x:v>
      </x:c>
      <x:c r="F85" s="5" t="s">
        <x:v>28</x:v>
      </x:c>
      <x:c r="G85" s="8">
        <x:v>50</x:v>
      </x:c>
      <x:c r="H85" s="5" t="s">
        <x:v>30</x:v>
      </x:c>
      <x:c r="I85" s="8">
        <x:v>1</x:v>
      </x:c>
      <x:c r="J85" t="str">
        <x:f t="shared" si="4"/>
        <x:v>SAMP-KG01-L23-20251025-ORD-2025-00093-H09-Overpress</x:v>
      </x:c>
      <x:c r="K85" t="str">
        <x:f t="shared" si="5"/>
        <x:v>OK</x:v>
      </x:c>
      <x:c r="L85" t="str">
        <x:f t="shared" si="6"/>
        <x:v>OK</x:v>
      </x:c>
      <x:c r="M85" t="str">
        <x:f t="shared" si="7">IF(A85="","",IF(AND(K85="OK",L85="OK",O85="OK"),"OK","CHECK"))</x:f>
        <x:v>OK</x:v>
      </x:c>
      <x:c r="N85" t="str">
        <x:f>IF(A85="","", "PE-"&amp;A85&amp;"-L"&amp;TEXT(B85,"00")&amp;"-"&amp;TEXT(C85,"yyyymmdd")&amp;"-"&amp;F85&amp;"-"&amp;D85)</x:f>
        <x:v>PE-KG01-L23-20251025-AM-ORD-2025-00093</x:v>
      </x:c>
      <x:c r="O85" t="str">
        <x:f>IF(N85="","",IF(COUNTIF(_ProductionEventRef!$A$5:$A$500,N85)=1,"OK","CHECK"))</x:f>
        <x:v>OK</x:v>
      </x:c>
      <x:c r="P85" s="46" t="n">
        <x:f>IF(G85=0,0,I85/G85)</x:f>
        <x:v>0.02</x:v>
      </x:c>
      <x:c r="Q85" t="str">
        <x:v>SAMPLE_RATE_NON_ADDITIVE</x:v>
      </x:c>
      <x:c r="V85" t="str">
        <x:v>04_Quality_Log(6).xlsx</x:v>
      </x:c>
      <x:c r="W85" t="str">
        <x:v>ENH-20260830-01</x:v>
      </x:c>
      <x:c r="X85" t="str">
        <x:f>IF(AND(M85="OK",O85="OK"),"Active","Quarantine")</x:f>
        <x:v>Active</x:v>
      </x:c>
      <x:c r="Y85" t="str">
        <x:f>IF(X85="Active","LOAD","QUARANTINE")</x:f>
        <x:v>LOAD</x:v>
      </x:c>
    </x:row>
    <x:row r="86" ht="18" customHeight="1">
      <x:c r="A86" s="5" t="s">
        <x:v>26</x:v>
      </x:c>
      <x:c r="B86" s="5">
        <x:v>23</x:v>
      </x:c>
      <x:c r="C86" s="6">
        <x:v>45955</x:v>
      </x:c>
      <x:c r="D86" s="5" t="s">
        <x:v>45</x:v>
      </x:c>
      <x:c r="E86" s="7">
        <x:v>15</x:v>
      </x:c>
      <x:c r="F86" s="5" t="s">
        <x:v>28</x:v>
      </x:c>
      <x:c r="G86" s="8">
        <x:v>150</x:v>
      </x:c>
      <x:c r="H86" s="5" t="s">
        <x:v>38</x:v>
      </x:c>
      <x:c r="I86" s="8">
        <x:v>6</x:v>
      </x:c>
      <x:c r="J86" t="str">
        <x:f t="shared" si="4"/>
        <x:v>SAMP-KG01-L23-20251025-ORD-2025-00093-H15-Crack</x:v>
      </x:c>
      <x:c r="K86" t="str">
        <x:f t="shared" si="5"/>
        <x:v>OK</x:v>
      </x:c>
      <x:c r="L86" t="str">
        <x:f t="shared" si="6"/>
        <x:v>OK</x:v>
      </x:c>
      <x:c r="M86" t="str">
        <x:f t="shared" si="7">IF(A86="","",IF(AND(K86="OK",L86="OK",O86="OK"),"OK","CHECK"))</x:f>
        <x:v>OK</x:v>
      </x:c>
      <x:c r="N86" t="str">
        <x:f>IF(A86="","", "PE-"&amp;A86&amp;"-L"&amp;TEXT(B86,"00")&amp;"-"&amp;TEXT(C86,"yyyymmdd")&amp;"-"&amp;F86&amp;"-"&amp;D86)</x:f>
        <x:v>PE-KG01-L23-20251025-AM-ORD-2025-00093</x:v>
      </x:c>
      <x:c r="O86" t="str">
        <x:f>IF(N86="","",IF(COUNTIF(_ProductionEventRef!$A$5:$A$500,N86)=1,"OK","CHECK"))</x:f>
        <x:v>OK</x:v>
      </x:c>
      <x:c r="P86" s="46" t="n">
        <x:f>IF(G86=0,0,I86/G86)</x:f>
        <x:v>0.04</x:v>
      </x:c>
      <x:c r="Q86" t="str">
        <x:v>SAMPLE_RATE_NON_ADDITIVE</x:v>
      </x:c>
      <x:c r="V86" t="str">
        <x:v>04_Quality_Log(6).xlsx</x:v>
      </x:c>
      <x:c r="W86" t="str">
        <x:v>ENH-20260830-01</x:v>
      </x:c>
      <x:c r="X86" t="str">
        <x:f>IF(AND(M86="OK",O86="OK"),"Active","Quarantine")</x:f>
        <x:v>Active</x:v>
      </x:c>
      <x:c r="Y86" t="str">
        <x:f>IF(X86="Active","LOAD","QUARANTINE")</x:f>
        <x:v>LOAD</x:v>
      </x:c>
    </x:row>
    <x:row r="87" ht="18" customHeight="1">
      <x:c r="A87" s="5" t="s">
        <x:v>26</x:v>
      </x:c>
      <x:c r="B87" s="5">
        <x:v>23</x:v>
      </x:c>
      <x:c r="C87" s="6">
        <x:v>45955</x:v>
      </x:c>
      <x:c r="D87" s="5" t="s">
        <x:v>45</x:v>
      </x:c>
      <x:c r="E87" s="7">
        <x:v>20</x:v>
      </x:c>
      <x:c r="F87" s="5" t="s">
        <x:v>31</x:v>
      </x:c>
      <x:c r="G87" s="8">
        <x:v>150</x:v>
      </x:c>
      <x:c r="H87" s="5" t="s">
        <x:v>37</x:v>
      </x:c>
      <x:c r="I87" s="8">
        <x:v>3</x:v>
      </x:c>
      <x:c r="J87" t="str">
        <x:f t="shared" si="4"/>
        <x:v>SAMP-KG01-L23-20251025-ORD-2025-00093-H20-Bird Swing</x:v>
      </x:c>
      <x:c r="K87" t="str">
        <x:f t="shared" si="5"/>
        <x:v>OK</x:v>
      </x:c>
      <x:c r="L87" t="str">
        <x:f t="shared" si="6"/>
        <x:v>OK</x:v>
      </x:c>
      <x:c r="M87" t="str">
        <x:f t="shared" si="7">IF(A87="","",IF(AND(K87="OK",L87="OK",O87="OK"),"OK","CHECK"))</x:f>
        <x:v>OK</x:v>
      </x:c>
      <x:c r="N87" t="str">
        <x:f>IF(A87="","", "PE-"&amp;A87&amp;"-L"&amp;TEXT(B87,"00")&amp;"-"&amp;TEXT(C87,"yyyymmdd")&amp;"-"&amp;F87&amp;"-"&amp;D87)</x:f>
        <x:v>PE-KG01-L23-20251025-PM-ORD-2025-00093</x:v>
      </x:c>
      <x:c r="O87" t="str">
        <x:f>IF(N87="","",IF(COUNTIF(_ProductionEventRef!$A$5:$A$500,N87)=1,"OK","CHECK"))</x:f>
        <x:v>OK</x:v>
      </x:c>
      <x:c r="P87" s="46" t="n">
        <x:f>IF(G87=0,0,I87/G87)</x:f>
        <x:v>0.02</x:v>
      </x:c>
      <x:c r="Q87" t="str">
        <x:v>SAMPLE_RATE_NON_ADDITIVE</x:v>
      </x:c>
      <x:c r="V87" t="str">
        <x:v>04_Quality_Log(6).xlsx</x:v>
      </x:c>
      <x:c r="W87" t="str">
        <x:v>ENH-20260830-01</x:v>
      </x:c>
      <x:c r="X87" t="str">
        <x:f>IF(AND(M87="OK",O87="OK"),"Active","Quarantine")</x:f>
        <x:v>Active</x:v>
      </x:c>
      <x:c r="Y87" t="str">
        <x:f>IF(X87="Active","LOAD","QUARANTINE")</x:f>
        <x:v>LOAD</x:v>
      </x:c>
    </x:row>
    <x:row r="88" ht="18" customHeight="1">
      <x:c r="A88" s="5" t="s">
        <x:v>26</x:v>
      </x:c>
      <x:c r="B88" s="5">
        <x:v>23</x:v>
      </x:c>
      <x:c r="C88" s="6">
        <x:v>45955</x:v>
      </x:c>
      <x:c r="D88" s="5" t="s">
        <x:v>45</x:v>
      </x:c>
      <x:c r="E88" s="7">
        <x:v>23</x:v>
      </x:c>
      <x:c r="F88" s="5" t="s">
        <x:v>31</x:v>
      </x:c>
      <x:c r="G88" s="8">
        <x:v>100</x:v>
      </x:c>
      <x:c r="H88" s="5" t="s">
        <x:v>41</x:v>
      </x:c>
      <x:c r="I88" s="8">
        <x:v>2</x:v>
      </x:c>
      <x:c r="J88" t="str">
        <x:f t="shared" si="4"/>
        <x:v>SAMP-KG01-L23-20251025-ORD-2025-00093-H23-Chip</x:v>
      </x:c>
      <x:c r="K88" t="str">
        <x:f t="shared" si="5"/>
        <x:v>OK</x:v>
      </x:c>
      <x:c r="L88" t="str">
        <x:f t="shared" si="6"/>
        <x:v>OK</x:v>
      </x:c>
      <x:c r="M88" t="str">
        <x:f t="shared" si="7">IF(A88="","",IF(AND(K88="OK",L88="OK",O88="OK"),"OK","CHECK"))</x:f>
        <x:v>OK</x:v>
      </x:c>
      <x:c r="N88" t="str">
        <x:f>IF(A88="","", "PE-"&amp;A88&amp;"-L"&amp;TEXT(B88,"00")&amp;"-"&amp;TEXT(C88,"yyyymmdd")&amp;"-"&amp;F88&amp;"-"&amp;D88)</x:f>
        <x:v>PE-KG01-L23-20251025-PM-ORD-2025-00093</x:v>
      </x:c>
      <x:c r="O88" t="str">
        <x:f>IF(N88="","",IF(COUNTIF(_ProductionEventRef!$A$5:$A$500,N88)=1,"OK","CHECK"))</x:f>
        <x:v>OK</x:v>
      </x:c>
      <x:c r="P88" s="46" t="n">
        <x:f>IF(G88=0,0,I88/G88)</x:f>
        <x:v>0.02</x:v>
      </x:c>
      <x:c r="Q88" t="str">
        <x:v>SAMPLE_RATE_NON_ADDITIVE</x:v>
      </x:c>
      <x:c r="V88" t="str">
        <x:v>04_Quality_Log(6).xlsx</x:v>
      </x:c>
      <x:c r="W88" t="str">
        <x:v>ENH-20260830-01</x:v>
      </x:c>
      <x:c r="X88" t="str">
        <x:f>IF(AND(M88="OK",O88="OK"),"Active","Quarantine")</x:f>
        <x:v>Active</x:v>
      </x:c>
      <x:c r="Y88" t="str">
        <x:f>IF(X88="Active","LOAD","QUARANTINE")</x:f>
        <x:v>LOAD</x:v>
      </x:c>
    </x:row>
    <x:row r="89" ht="18" customHeight="1">
      <x:c r="A89" s="5" t="s">
        <x:v>26</x:v>
      </x:c>
      <x:c r="B89" s="5">
        <x:v>23</x:v>
      </x:c>
      <x:c r="C89" s="6">
        <x:v>45956</x:v>
      </x:c>
      <x:c r="D89" s="5" t="s">
        <x:v>46</x:v>
      </x:c>
      <x:c r="E89" s="7">
        <x:v>7</x:v>
      </x:c>
      <x:c r="F89" s="5" t="s">
        <x:v>28</x:v>
      </x:c>
      <x:c r="G89" s="8">
        <x:v>200</x:v>
      </x:c>
      <x:c r="H89" s="5" t="s">
        <x:v>30</x:v>
      </x:c>
      <x:c r="I89" s="8">
        <x:v>17</x:v>
      </x:c>
      <x:c r="J89" t="str">
        <x:f t="shared" si="4"/>
        <x:v>SAMP-KG01-L23-20251026-ORD-2025-00094-H07-Overpress</x:v>
      </x:c>
      <x:c r="K89" t="str">
        <x:f t="shared" si="5"/>
        <x:v>OK</x:v>
      </x:c>
      <x:c r="L89" t="str">
        <x:f t="shared" si="6"/>
        <x:v>OK</x:v>
      </x:c>
      <x:c r="M89" t="str">
        <x:f t="shared" si="7">IF(A89="","",IF(AND(K89="OK",L89="OK",O89="OK"),"OK","CHECK"))</x:f>
        <x:v>OK</x:v>
      </x:c>
      <x:c r="N89" t="str">
        <x:f>IF(A89="","", "PE-"&amp;A89&amp;"-L"&amp;TEXT(B89,"00")&amp;"-"&amp;TEXT(C89,"yyyymmdd")&amp;"-"&amp;F89&amp;"-"&amp;D89)</x:f>
        <x:v>PE-KG01-L23-20251026-AM-ORD-2025-00094</x:v>
      </x:c>
      <x:c r="O89" t="str">
        <x:f>IF(N89="","",IF(COUNTIF(_ProductionEventRef!$A$5:$A$500,N89)=1,"OK","CHECK"))</x:f>
        <x:v>OK</x:v>
      </x:c>
      <x:c r="P89" s="46" t="n">
        <x:f>IF(G89=0,0,I89/G89)</x:f>
        <x:v>0.085</x:v>
      </x:c>
      <x:c r="Q89" t="str">
        <x:v>SAMPLE_RATE_NON_ADDITIVE</x:v>
      </x:c>
      <x:c r="V89" t="str">
        <x:v>04_Quality_Log(6).xlsx</x:v>
      </x:c>
      <x:c r="W89" t="str">
        <x:v>ENH-20260830-01</x:v>
      </x:c>
      <x:c r="X89" t="str">
        <x:f>IF(AND(M89="OK",O89="OK"),"Active","Quarantine")</x:f>
        <x:v>Active</x:v>
      </x:c>
      <x:c r="Y89" t="str">
        <x:f>IF(X89="Active","LOAD","QUARANTINE")</x:f>
        <x:v>LOAD</x:v>
      </x:c>
    </x:row>
    <x:row r="90" ht="18" customHeight="1">
      <x:c r="A90" s="5" t="s">
        <x:v>26</x:v>
      </x:c>
      <x:c r="B90" s="5">
        <x:v>23</x:v>
      </x:c>
      <x:c r="C90" s="6">
        <x:v>45956</x:v>
      </x:c>
      <x:c r="D90" s="5" t="s">
        <x:v>46</x:v>
      </x:c>
      <x:c r="E90" s="7">
        <x:v>12</x:v>
      </x:c>
      <x:c r="F90" s="5" t="s">
        <x:v>28</x:v>
      </x:c>
      <x:c r="G90" s="8">
        <x:v>150</x:v>
      </x:c>
      <x:c r="H90" s="5" t="s">
        <x:v>38</x:v>
      </x:c>
      <x:c r="I90" s="8">
        <x:v>11</x:v>
      </x:c>
      <x:c r="J90" t="str">
        <x:f t="shared" si="4"/>
        <x:v>SAMP-KG01-L23-20251026-ORD-2025-00094-H12-Crack</x:v>
      </x:c>
      <x:c r="K90" t="str">
        <x:f t="shared" si="5"/>
        <x:v>OK</x:v>
      </x:c>
      <x:c r="L90" t="str">
        <x:f t="shared" si="6"/>
        <x:v>OK</x:v>
      </x:c>
      <x:c r="M90" t="str">
        <x:f t="shared" si="7">IF(A90="","",IF(AND(K90="OK",L90="OK",O90="OK"),"OK","CHECK"))</x:f>
        <x:v>OK</x:v>
      </x:c>
      <x:c r="N90" t="str">
        <x:f>IF(A90="","", "PE-"&amp;A90&amp;"-L"&amp;TEXT(B90,"00")&amp;"-"&amp;TEXT(C90,"yyyymmdd")&amp;"-"&amp;F90&amp;"-"&amp;D90)</x:f>
        <x:v>PE-KG01-L23-20251026-AM-ORD-2025-00094</x:v>
      </x:c>
      <x:c r="O90" t="str">
        <x:f>IF(N90="","",IF(COUNTIF(_ProductionEventRef!$A$5:$A$500,N90)=1,"OK","CHECK"))</x:f>
        <x:v>OK</x:v>
      </x:c>
      <x:c r="P90" s="46" t="n">
        <x:f>IF(G90=0,0,I90/G90)</x:f>
        <x:v>0.07333333333333333</x:v>
      </x:c>
      <x:c r="Q90" t="str">
        <x:v>SAMPLE_RATE_NON_ADDITIVE</x:v>
      </x:c>
      <x:c r="V90" t="str">
        <x:v>04_Quality_Log(6).xlsx</x:v>
      </x:c>
      <x:c r="W90" t="str">
        <x:v>ENH-20260830-01</x:v>
      </x:c>
      <x:c r="X90" t="str">
        <x:f>IF(AND(M90="OK",O90="OK"),"Active","Quarantine")</x:f>
        <x:v>Active</x:v>
      </x:c>
      <x:c r="Y90" t="str">
        <x:f>IF(X90="Active","LOAD","QUARANTINE")</x:f>
        <x:v>LOAD</x:v>
      </x:c>
    </x:row>
    <x:row r="91" ht="18" customHeight="1">
      <x:c r="A91" s="5" t="s">
        <x:v>26</x:v>
      </x:c>
      <x:c r="B91" s="5">
        <x:v>23</x:v>
      </x:c>
      <x:c r="C91" s="6">
        <x:v>45956</x:v>
      </x:c>
      <x:c r="D91" s="5" t="s">
        <x:v>46</x:v>
      </x:c>
      <x:c r="E91" s="7">
        <x:v>16</x:v>
      </x:c>
      <x:c r="F91" s="5" t="s">
        <x:v>28</x:v>
      </x:c>
      <x:c r="G91" s="8">
        <x:v>200</x:v>
      </x:c>
      <x:c r="H91" s="5" t="s">
        <x:v>37</x:v>
      </x:c>
      <x:c r="I91" s="8">
        <x:v>10</x:v>
      </x:c>
      <x:c r="J91" t="str">
        <x:f t="shared" si="4"/>
        <x:v>SAMP-KG01-L23-20251026-ORD-2025-00094-H16-Bird Swing</x:v>
      </x:c>
      <x:c r="K91" t="str">
        <x:f t="shared" si="5"/>
        <x:v>OK</x:v>
      </x:c>
      <x:c r="L91" t="str">
        <x:f t="shared" si="6"/>
        <x:v>OK</x:v>
      </x:c>
      <x:c r="M91" t="str">
        <x:f t="shared" si="7">IF(A91="","",IF(AND(K91="OK",L91="OK",O91="OK"),"OK","CHECK"))</x:f>
        <x:v>OK</x:v>
      </x:c>
      <x:c r="N91" t="str">
        <x:f>IF(A91="","", "PE-"&amp;A91&amp;"-L"&amp;TEXT(B91,"00")&amp;"-"&amp;TEXT(C91,"yyyymmdd")&amp;"-"&amp;F91&amp;"-"&amp;D91)</x:f>
        <x:v>PE-KG01-L23-20251026-AM-ORD-2025-00094</x:v>
      </x:c>
      <x:c r="O91" t="str">
        <x:f>IF(N91="","",IF(COUNTIF(_ProductionEventRef!$A$5:$A$500,N91)=1,"OK","CHECK"))</x:f>
        <x:v>OK</x:v>
      </x:c>
      <x:c r="P91" s="46" t="n">
        <x:f>IF(G91=0,0,I91/G91)</x:f>
        <x:v>0.05</x:v>
      </x:c>
      <x:c r="Q91" t="str">
        <x:v>SAMPLE_RATE_NON_ADDITIVE</x:v>
      </x:c>
      <x:c r="V91" t="str">
        <x:v>04_Quality_Log(6).xlsx</x:v>
      </x:c>
      <x:c r="W91" t="str">
        <x:v>ENH-20260830-01</x:v>
      </x:c>
      <x:c r="X91" t="str">
        <x:f>IF(AND(M91="OK",O91="OK"),"Active","Quarantine")</x:f>
        <x:v>Active</x:v>
      </x:c>
      <x:c r="Y91" t="str">
        <x:f>IF(X91="Active","LOAD","QUARANTINE")</x:f>
        <x:v>LOAD</x:v>
      </x:c>
    </x:row>
    <x:row r="92" ht="18" customHeight="1">
      <x:c r="A92" s="5" t="s">
        <x:v>26</x:v>
      </x:c>
      <x:c r="B92" s="5">
        <x:v>23</x:v>
      </x:c>
      <x:c r="C92" s="6">
        <x:v>45956</x:v>
      </x:c>
      <x:c r="D92" s="5" t="s">
        <x:v>46</x:v>
      </x:c>
      <x:c r="E92" s="7">
        <x:v>20</x:v>
      </x:c>
      <x:c r="F92" s="5" t="s">
        <x:v>31</x:v>
      </x:c>
      <x:c r="G92" s="8">
        <x:v>200</x:v>
      </x:c>
      <x:c r="H92" s="5" t="s">
        <x:v>30</x:v>
      </x:c>
      <x:c r="I92" s="8">
        <x:v>7</x:v>
      </x:c>
      <x:c r="J92" t="str">
        <x:f t="shared" si="4"/>
        <x:v>SAMP-KG01-L23-20251026-ORD-2025-00094-H20-Overpress</x:v>
      </x:c>
      <x:c r="K92" t="str">
        <x:f t="shared" si="5"/>
        <x:v>OK</x:v>
      </x:c>
      <x:c r="L92" t="str">
        <x:f t="shared" si="6"/>
        <x:v>OK</x:v>
      </x:c>
      <x:c r="M92" t="str">
        <x:f t="shared" si="7">IF(A92="","",IF(AND(K92="OK",L92="OK",O92="OK"),"OK","CHECK"))</x:f>
        <x:v>OK</x:v>
      </x:c>
      <x:c r="N92" t="str">
        <x:f>IF(A92="","", "PE-"&amp;A92&amp;"-L"&amp;TEXT(B92,"00")&amp;"-"&amp;TEXT(C92,"yyyymmdd")&amp;"-"&amp;F92&amp;"-"&amp;D92)</x:f>
        <x:v>PE-KG01-L23-20251026-PM-ORD-2025-00094</x:v>
      </x:c>
      <x:c r="O92" t="str">
        <x:f>IF(N92="","",IF(COUNTIF(_ProductionEventRef!$A$5:$A$500,N92)=1,"OK","CHECK"))</x:f>
        <x:v>OK</x:v>
      </x:c>
      <x:c r="P92" s="46" t="n">
        <x:f>IF(G92=0,0,I92/G92)</x:f>
        <x:v>0.035</x:v>
      </x:c>
      <x:c r="Q92" t="str">
        <x:v>SAMPLE_RATE_NON_ADDITIVE</x:v>
      </x:c>
      <x:c r="V92" t="str">
        <x:v>04_Quality_Log(6).xlsx</x:v>
      </x:c>
      <x:c r="W92" t="str">
        <x:v>ENH-20260830-01</x:v>
      </x:c>
      <x:c r="X92" t="str">
        <x:f>IF(AND(M92="OK",O92="OK"),"Active","Quarantine")</x:f>
        <x:v>Active</x:v>
      </x:c>
      <x:c r="Y92" t="str">
        <x:f>IF(X92="Active","LOAD","QUARANTINE")</x:f>
        <x:v>LOAD</x:v>
      </x:c>
    </x:row>
    <x:row r="93" ht="18" customHeight="1">
      <x:c r="A93" s="5" t="s">
        <x:v>26</x:v>
      </x:c>
      <x:c r="B93" s="5">
        <x:v>23</x:v>
      </x:c>
      <x:c r="C93" s="6">
        <x:v>45956</x:v>
      </x:c>
      <x:c r="D93" s="5" t="s">
        <x:v>46</x:v>
      </x:c>
      <x:c r="E93" s="7">
        <x:v>23</x:v>
      </x:c>
      <x:c r="F93" s="5" t="s">
        <x:v>31</x:v>
      </x:c>
      <x:c r="G93" s="8">
        <x:v>100</x:v>
      </x:c>
      <x:c r="H93" s="5" t="s">
        <x:v>34</x:v>
      </x:c>
      <x:c r="I93" s="8">
        <x:v>2</x:v>
      </x:c>
      <x:c r="J93" t="str">
        <x:f t="shared" si="4"/>
        <x:v>SAMP-KG01-L23-20251026-ORD-2025-00094-H23-Thin Wall</x:v>
      </x:c>
      <x:c r="K93" t="str">
        <x:f t="shared" si="5"/>
        <x:v>OK</x:v>
      </x:c>
      <x:c r="L93" t="str">
        <x:f t="shared" si="6"/>
        <x:v>OK</x:v>
      </x:c>
      <x:c r="M93" t="str">
        <x:f t="shared" si="7">IF(A93="","",IF(AND(K93="OK",L93="OK",O93="OK"),"OK","CHECK"))</x:f>
        <x:v>OK</x:v>
      </x:c>
      <x:c r="N93" t="str">
        <x:f>IF(A93="","", "PE-"&amp;A93&amp;"-L"&amp;TEXT(B93,"00")&amp;"-"&amp;TEXT(C93,"yyyymmdd")&amp;"-"&amp;F93&amp;"-"&amp;D93)</x:f>
        <x:v>PE-KG01-L23-20251026-PM-ORD-2025-00094</x:v>
      </x:c>
      <x:c r="O93" t="str">
        <x:f>IF(N93="","",IF(COUNTIF(_ProductionEventRef!$A$5:$A$500,N93)=1,"OK","CHECK"))</x:f>
        <x:v>OK</x:v>
      </x:c>
      <x:c r="P93" s="46" t="n">
        <x:f>IF(G93=0,0,I93/G93)</x:f>
        <x:v>0.02</x:v>
      </x:c>
      <x:c r="Q93" t="str">
        <x:v>SAMPLE_RATE_NON_ADDITIVE</x:v>
      </x:c>
      <x:c r="V93" t="str">
        <x:v>04_Quality_Log(6).xlsx</x:v>
      </x:c>
      <x:c r="W93" t="str">
        <x:v>ENH-20260830-01</x:v>
      </x:c>
      <x:c r="X93" t="str">
        <x:f>IF(AND(M93="OK",O93="OK"),"Active","Quarantine")</x:f>
        <x:v>Active</x:v>
      </x:c>
      <x:c r="Y93" t="str">
        <x:f>IF(X93="Active","LOAD","QUARANTINE")</x:f>
        <x:v>LOAD</x:v>
      </x:c>
    </x:row>
    <x:row r="94" ht="18" customHeight="1">
      <x:c r="A94" s="5" t="s">
        <x:v>26</x:v>
      </x:c>
      <x:c r="B94" s="5">
        <x:v>24</x:v>
      </x:c>
      <x:c r="C94" s="6">
        <x:v>45950</x:v>
      </x:c>
      <x:c r="D94" s="5" t="s">
        <x:v>47</x:v>
      </x:c>
      <x:c r="E94" s="7">
        <x:v>9</x:v>
      </x:c>
      <x:c r="F94" s="5" t="s">
        <x:v>28</x:v>
      </x:c>
      <x:c r="G94" s="8">
        <x:v>200</x:v>
      </x:c>
      <x:c r="H94" s="5" t="s">
        <x:v>36</x:v>
      </x:c>
      <x:c r="I94" s="8">
        <x:v>4</x:v>
      </x:c>
      <x:c r="J94" t="str">
        <x:f t="shared" si="4"/>
        <x:v>SAMP-KG01-L24-20251020-ORD-2025-00124-H09-Blister</x:v>
      </x:c>
      <x:c r="K94" t="str">
        <x:f t="shared" si="5"/>
        <x:v>OK</x:v>
      </x:c>
      <x:c r="L94" t="str">
        <x:f t="shared" si="6"/>
        <x:v>OK</x:v>
      </x:c>
      <x:c r="M94" t="str">
        <x:f t="shared" si="7">IF(A94="","",IF(AND(K94="OK",L94="OK",O94="OK"),"OK","CHECK"))</x:f>
        <x:v>OK</x:v>
      </x:c>
      <x:c r="N94" t="str">
        <x:f>IF(A94="","", "PE-"&amp;A94&amp;"-L"&amp;TEXT(B94,"00")&amp;"-"&amp;TEXT(C94,"yyyymmdd")&amp;"-"&amp;F94&amp;"-"&amp;D94)</x:f>
        <x:v>PE-KG01-L24-20251020-AM-ORD-2025-00124</x:v>
      </x:c>
      <x:c r="O94" t="str">
        <x:f>IF(N94="","",IF(COUNTIF(_ProductionEventRef!$A$5:$A$500,N94)=1,"OK","CHECK"))</x:f>
        <x:v>OK</x:v>
      </x:c>
      <x:c r="P94" s="46" t="n">
        <x:f>IF(G94=0,0,I94/G94)</x:f>
        <x:v>0.02</x:v>
      </x:c>
      <x:c r="Q94" t="str">
        <x:v>SAMPLE_RATE_NON_ADDITIVE</x:v>
      </x:c>
      <x:c r="V94" t="str">
        <x:v>04_Quality_Log(6).xlsx</x:v>
      </x:c>
      <x:c r="W94" t="str">
        <x:v>ENH-20260830-01</x:v>
      </x:c>
      <x:c r="X94" t="str">
        <x:f>IF(AND(M94="OK",O94="OK"),"Active","Quarantine")</x:f>
        <x:v>Active</x:v>
      </x:c>
      <x:c r="Y94" t="str">
        <x:f>IF(X94="Active","LOAD","QUARANTINE")</x:f>
        <x:v>LOAD</x:v>
      </x:c>
    </x:row>
    <x:row r="95" ht="18" customHeight="1">
      <x:c r="A95" s="5" t="s">
        <x:v>26</x:v>
      </x:c>
      <x:c r="B95" s="5">
        <x:v>24</x:v>
      </x:c>
      <x:c r="C95" s="6">
        <x:v>45950</x:v>
      </x:c>
      <x:c r="D95" s="5" t="s">
        <x:v>47</x:v>
      </x:c>
      <x:c r="E95" s="7">
        <x:v>15</x:v>
      </x:c>
      <x:c r="F95" s="5" t="s">
        <x:v>28</x:v>
      </x:c>
      <x:c r="G95" s="8">
        <x:v>200</x:v>
      </x:c>
      <x:c r="H95" s="5" t="s">
        <x:v>38</x:v>
      </x:c>
      <x:c r="I95" s="8">
        <x:v>1</x:v>
      </x:c>
      <x:c r="J95" t="str">
        <x:f t="shared" si="4"/>
        <x:v>SAMP-KG01-L24-20251020-ORD-2025-00124-H15-Crack</x:v>
      </x:c>
      <x:c r="K95" t="str">
        <x:f t="shared" si="5"/>
        <x:v>OK</x:v>
      </x:c>
      <x:c r="L95" t="str">
        <x:f t="shared" si="6"/>
        <x:v>OK</x:v>
      </x:c>
      <x:c r="M95" t="str">
        <x:f t="shared" si="7">IF(A95="","",IF(AND(K95="OK",L95="OK",O95="OK"),"OK","CHECK"))</x:f>
        <x:v>OK</x:v>
      </x:c>
      <x:c r="N95" t="str">
        <x:f>IF(A95="","", "PE-"&amp;A95&amp;"-L"&amp;TEXT(B95,"00")&amp;"-"&amp;TEXT(C95,"yyyymmdd")&amp;"-"&amp;F95&amp;"-"&amp;D95)</x:f>
        <x:v>PE-KG01-L24-20251020-AM-ORD-2025-00124</x:v>
      </x:c>
      <x:c r="O95" t="str">
        <x:f>IF(N95="","",IF(COUNTIF(_ProductionEventRef!$A$5:$A$500,N95)=1,"OK","CHECK"))</x:f>
        <x:v>OK</x:v>
      </x:c>
      <x:c r="P95" s="46" t="n">
        <x:f>IF(G95=0,0,I95/G95)</x:f>
        <x:v>0.005</x:v>
      </x:c>
      <x:c r="Q95" t="str">
        <x:v>SAMPLE_RATE_NON_ADDITIVE</x:v>
      </x:c>
      <x:c r="V95" t="str">
        <x:v>04_Quality_Log(6).xlsx</x:v>
      </x:c>
      <x:c r="W95" t="str">
        <x:v>ENH-20260830-01</x:v>
      </x:c>
      <x:c r="X95" t="str">
        <x:f>IF(AND(M95="OK",O95="OK"),"Active","Quarantine")</x:f>
        <x:v>Active</x:v>
      </x:c>
      <x:c r="Y95" t="str">
        <x:f>IF(X95="Active","LOAD","QUARANTINE")</x:f>
        <x:v>LOAD</x:v>
      </x:c>
    </x:row>
    <x:row r="96" ht="18" customHeight="1">
      <x:c r="A96" s="5" t="s">
        <x:v>26</x:v>
      </x:c>
      <x:c r="B96" s="5">
        <x:v>24</x:v>
      </x:c>
      <x:c r="C96" s="6">
        <x:v>45950</x:v>
      </x:c>
      <x:c r="D96" s="5" t="s">
        <x:v>47</x:v>
      </x:c>
      <x:c r="E96" s="7">
        <x:v>20</x:v>
      </x:c>
      <x:c r="F96" s="5" t="s">
        <x:v>31</x:v>
      </x:c>
      <x:c r="G96" s="8">
        <x:v>150</x:v>
      </x:c>
      <x:c r="H96" s="5" t="s">
        <x:v>34</x:v>
      </x:c>
      <x:c r="I96" s="8">
        <x:v>2</x:v>
      </x:c>
      <x:c r="J96" t="str">
        <x:f t="shared" si="4"/>
        <x:v>SAMP-KG01-L24-20251020-ORD-2025-00124-H20-Thin Wall</x:v>
      </x:c>
      <x:c r="K96" t="str">
        <x:f t="shared" si="5"/>
        <x:v>OK</x:v>
      </x:c>
      <x:c r="L96" t="str">
        <x:f t="shared" si="6"/>
        <x:v>OK</x:v>
      </x:c>
      <x:c r="M96" t="str">
        <x:f t="shared" si="7">IF(A96="","",IF(AND(K96="OK",L96="OK",O96="OK"),"OK","CHECK"))</x:f>
        <x:v>OK</x:v>
      </x:c>
      <x:c r="N96" t="str">
        <x:f>IF(A96="","", "PE-"&amp;A96&amp;"-L"&amp;TEXT(B96,"00")&amp;"-"&amp;TEXT(C96,"yyyymmdd")&amp;"-"&amp;F96&amp;"-"&amp;D96)</x:f>
        <x:v>PE-KG01-L24-20251020-PM-ORD-2025-00124</x:v>
      </x:c>
      <x:c r="O96" t="str">
        <x:f>IF(N96="","",IF(COUNTIF(_ProductionEventRef!$A$5:$A$500,N96)=1,"OK","CHECK"))</x:f>
        <x:v>OK</x:v>
      </x:c>
      <x:c r="P96" s="46" t="n">
        <x:f>IF(G96=0,0,I96/G96)</x:f>
        <x:v>0.013333333333333334</x:v>
      </x:c>
      <x:c r="Q96" t="str">
        <x:v>SAMPLE_RATE_NON_ADDITIVE</x:v>
      </x:c>
      <x:c r="V96" t="str">
        <x:v>04_Quality_Log(6).xlsx</x:v>
      </x:c>
      <x:c r="W96" t="str">
        <x:v>ENH-20260830-01</x:v>
      </x:c>
      <x:c r="X96" t="str">
        <x:f>IF(AND(M96="OK",O96="OK"),"Active","Quarantine")</x:f>
        <x:v>Active</x:v>
      </x:c>
      <x:c r="Y96" t="str">
        <x:f>IF(X96="Active","LOAD","QUARANTINE")</x:f>
        <x:v>LOAD</x:v>
      </x:c>
    </x:row>
    <x:row r="97" ht="18" customHeight="1">
      <x:c r="A97" s="5" t="s">
        <x:v>26</x:v>
      </x:c>
      <x:c r="B97" s="5">
        <x:v>24</x:v>
      </x:c>
      <x:c r="C97" s="6">
        <x:v>45950</x:v>
      </x:c>
      <x:c r="D97" s="5" t="s">
        <x:v>47</x:v>
      </x:c>
      <x:c r="E97" s="7">
        <x:v>23</x:v>
      </x:c>
      <x:c r="F97" s="5" t="s">
        <x:v>31</x:v>
      </x:c>
      <x:c r="G97" s="8">
        <x:v>150</x:v>
      </x:c>
      <x:c r="H97" s="5" t="s">
        <x:v>35</x:v>
      </x:c>
      <x:c r="I97" s="8">
        <x:v>3</x:v>
      </x:c>
      <x:c r="J97" t="str">
        <x:f t="shared" si="4"/>
        <x:v>SAMP-KG01-L24-20251020-ORD-2025-00124-H23-Stone</x:v>
      </x:c>
      <x:c r="K97" t="str">
        <x:f t="shared" si="5"/>
        <x:v>OK</x:v>
      </x:c>
      <x:c r="L97" t="str">
        <x:f t="shared" si="6"/>
        <x:v>OK</x:v>
      </x:c>
      <x:c r="M97" t="str">
        <x:f t="shared" si="7">IF(A97="","",IF(AND(K97="OK",L97="OK",O97="OK"),"OK","CHECK"))</x:f>
        <x:v>OK</x:v>
      </x:c>
      <x:c r="N97" t="str">
        <x:f>IF(A97="","", "PE-"&amp;A97&amp;"-L"&amp;TEXT(B97,"00")&amp;"-"&amp;TEXT(C97,"yyyymmdd")&amp;"-"&amp;F97&amp;"-"&amp;D97)</x:f>
        <x:v>PE-KG01-L24-20251020-PM-ORD-2025-00124</x:v>
      </x:c>
      <x:c r="O97" t="str">
        <x:f>IF(N97="","",IF(COUNTIF(_ProductionEventRef!$A$5:$A$500,N97)=1,"OK","CHECK"))</x:f>
        <x:v>OK</x:v>
      </x:c>
      <x:c r="P97" s="46" t="n">
        <x:f>IF(G97=0,0,I97/G97)</x:f>
        <x:v>0.02</x:v>
      </x:c>
      <x:c r="Q97" t="str">
        <x:v>SAMPLE_RATE_NON_ADDITIVE</x:v>
      </x:c>
      <x:c r="V97" t="str">
        <x:v>04_Quality_Log(6).xlsx</x:v>
      </x:c>
      <x:c r="W97" t="str">
        <x:v>ENH-20260830-01</x:v>
      </x:c>
      <x:c r="X97" t="str">
        <x:f>IF(AND(M97="OK",O97="OK"),"Active","Quarantine")</x:f>
        <x:v>Active</x:v>
      </x:c>
      <x:c r="Y97" t="str">
        <x:f>IF(X97="Active","LOAD","QUARANTINE")</x:f>
        <x:v>LOAD</x:v>
      </x:c>
    </x:row>
    <x:row r="98" ht="18" customHeight="1">
      <x:c r="A98" s="5" t="s">
        <x:v>26</x:v>
      </x:c>
      <x:c r="B98" s="5">
        <x:v>24</x:v>
      </x:c>
      <x:c r="C98" s="6">
        <x:v>45951</x:v>
      </x:c>
      <x:c r="D98" s="5" t="s">
        <x:v>48</x:v>
      </x:c>
      <x:c r="E98" s="7">
        <x:v>9</x:v>
      </x:c>
      <x:c r="F98" s="5" t="s">
        <x:v>28</x:v>
      </x:c>
      <x:c r="G98" s="8">
        <x:v>50</x:v>
      </x:c>
      <x:c r="H98" s="5" t="s">
        <x:v>34</x:v>
      </x:c>
      <x:c r="I98" s="8">
        <x:v>1</x:v>
      </x:c>
      <x:c r="J98" t="str">
        <x:f t="shared" si="4"/>
        <x:v>SAMP-KG01-L24-20251021-ORD-2025-00125-H09-Thin Wall</x:v>
      </x:c>
      <x:c r="K98" t="str">
        <x:f t="shared" si="5"/>
        <x:v>OK</x:v>
      </x:c>
      <x:c r="L98" t="str">
        <x:f t="shared" si="6"/>
        <x:v>OK</x:v>
      </x:c>
      <x:c r="M98" t="str">
        <x:f t="shared" si="7">IF(A98="","",IF(AND(K98="OK",L98="OK",O98="OK"),"OK","CHECK"))</x:f>
        <x:v>OK</x:v>
      </x:c>
      <x:c r="N98" t="str">
        <x:f>IF(A98="","", "PE-"&amp;A98&amp;"-L"&amp;TEXT(B98,"00")&amp;"-"&amp;TEXT(C98,"yyyymmdd")&amp;"-"&amp;F98&amp;"-"&amp;D98)</x:f>
        <x:v>PE-KG01-L24-20251021-AM-ORD-2025-00125</x:v>
      </x:c>
      <x:c r="O98" t="str">
        <x:f>IF(N98="","",IF(COUNTIF(_ProductionEventRef!$A$5:$A$500,N98)=1,"OK","CHECK"))</x:f>
        <x:v>OK</x:v>
      </x:c>
      <x:c r="P98" s="46" t="n">
        <x:f>IF(G98=0,0,I98/G98)</x:f>
        <x:v>0.02</x:v>
      </x:c>
      <x:c r="Q98" t="str">
        <x:v>SAMPLE_RATE_NON_ADDITIVE</x:v>
      </x:c>
      <x:c r="V98" t="str">
        <x:v>04_Quality_Log(6).xlsx</x:v>
      </x:c>
      <x:c r="W98" t="str">
        <x:v>ENH-20260830-01</x:v>
      </x:c>
      <x:c r="X98" t="str">
        <x:f>IF(AND(M98="OK",O98="OK"),"Active","Quarantine")</x:f>
        <x:v>Active</x:v>
      </x:c>
      <x:c r="Y98" t="str">
        <x:f>IF(X98="Active","LOAD","QUARANTINE")</x:f>
        <x:v>LOAD</x:v>
      </x:c>
    </x:row>
    <x:row r="99" ht="18" customHeight="1">
      <x:c r="A99" s="5" t="s">
        <x:v>26</x:v>
      </x:c>
      <x:c r="B99" s="5">
        <x:v>24</x:v>
      </x:c>
      <x:c r="C99" s="6">
        <x:v>45951</x:v>
      </x:c>
      <x:c r="D99" s="5" t="s">
        <x:v>48</x:v>
      </x:c>
      <x:c r="E99" s="7">
        <x:v>15</x:v>
      </x:c>
      <x:c r="F99" s="5" t="s">
        <x:v>28</x:v>
      </x:c>
      <x:c r="G99" s="8">
        <x:v>50</x:v>
      </x:c>
      <x:c r="H99" s="5" t="s">
        <x:v>30</x:v>
      </x:c>
      <x:c r="I99" s="8">
        <x:v>0</x:v>
      </x:c>
      <x:c r="J99" t="str">
        <x:f t="shared" si="4"/>
        <x:v>SAMP-KG01-L24-20251021-ORD-2025-00125-H15-Overpress</x:v>
      </x:c>
      <x:c r="K99" t="str">
        <x:f t="shared" si="5"/>
        <x:v>OK</x:v>
      </x:c>
      <x:c r="L99" t="str">
        <x:f t="shared" si="6"/>
        <x:v>OK</x:v>
      </x:c>
      <x:c r="M99" t="str">
        <x:f t="shared" si="7">IF(A99="","",IF(AND(K99="OK",L99="OK",O99="OK"),"OK","CHECK"))</x:f>
        <x:v>OK</x:v>
      </x:c>
      <x:c r="N99" t="str">
        <x:f>IF(A99="","", "PE-"&amp;A99&amp;"-L"&amp;TEXT(B99,"00")&amp;"-"&amp;TEXT(C99,"yyyymmdd")&amp;"-"&amp;F99&amp;"-"&amp;D99)</x:f>
        <x:v>PE-KG01-L24-20251021-AM-ORD-2025-00125</x:v>
      </x:c>
      <x:c r="O99" t="str">
        <x:f>IF(N99="","",IF(COUNTIF(_ProductionEventRef!$A$5:$A$500,N99)=1,"OK","CHECK"))</x:f>
        <x:v>OK</x:v>
      </x:c>
      <x:c r="P99" s="46" t="n">
        <x:f>IF(G99=0,0,I99/G99)</x:f>
        <x:v>0</x:v>
      </x:c>
      <x:c r="Q99" t="str">
        <x:v>SAMPLE_RATE_NON_ADDITIVE</x:v>
      </x:c>
      <x:c r="V99" t="str">
        <x:v>04_Quality_Log(6).xlsx</x:v>
      </x:c>
      <x:c r="W99" t="str">
        <x:v>ENH-20260830-01</x:v>
      </x:c>
      <x:c r="X99" t="str">
        <x:f>IF(AND(M99="OK",O99="OK"),"Active","Quarantine")</x:f>
        <x:v>Active</x:v>
      </x:c>
      <x:c r="Y99" t="str">
        <x:f>IF(X99="Active","LOAD","QUARANTINE")</x:f>
        <x:v>LOAD</x:v>
      </x:c>
    </x:row>
    <x:row r="100" ht="18" customHeight="1">
      <x:c r="A100" s="5" t="s">
        <x:v>26</x:v>
      </x:c>
      <x:c r="B100" s="5">
        <x:v>24</x:v>
      </x:c>
      <x:c r="C100" s="6">
        <x:v>45951</x:v>
      </x:c>
      <x:c r="D100" s="5" t="s">
        <x:v>48</x:v>
      </x:c>
      <x:c r="E100" s="7">
        <x:v>20</x:v>
      </x:c>
      <x:c r="F100" s="5" t="s">
        <x:v>31</x:v>
      </x:c>
      <x:c r="G100" s="8">
        <x:v>50</x:v>
      </x:c>
      <x:c r="H100" s="5" t="s">
        <x:v>37</x:v>
      </x:c>
      <x:c r="I100" s="8">
        <x:v>2</x:v>
      </x:c>
      <x:c r="J100" t="str">
        <x:f t="shared" si="4"/>
        <x:v>SAMP-KG01-L24-20251021-ORD-2025-00125-H20-Bird Swing</x:v>
      </x:c>
      <x:c r="K100" t="str">
        <x:f t="shared" si="5"/>
        <x:v>OK</x:v>
      </x:c>
      <x:c r="L100" t="str">
        <x:f t="shared" si="6"/>
        <x:v>OK</x:v>
      </x:c>
      <x:c r="M100" t="str">
        <x:f t="shared" si="7">IF(A100="","",IF(AND(K100="OK",L100="OK",O100="OK"),"OK","CHECK"))</x:f>
        <x:v>OK</x:v>
      </x:c>
      <x:c r="N100" t="str">
        <x:f>IF(A100="","", "PE-"&amp;A100&amp;"-L"&amp;TEXT(B100,"00")&amp;"-"&amp;TEXT(C100,"yyyymmdd")&amp;"-"&amp;F100&amp;"-"&amp;D100)</x:f>
        <x:v>PE-KG01-L24-20251021-PM-ORD-2025-00125</x:v>
      </x:c>
      <x:c r="O100" t="str">
        <x:f>IF(N100="","",IF(COUNTIF(_ProductionEventRef!$A$5:$A$500,N100)=1,"OK","CHECK"))</x:f>
        <x:v>OK</x:v>
      </x:c>
      <x:c r="P100" s="46" t="n">
        <x:f>IF(G100=0,0,I100/G100)</x:f>
        <x:v>0.04</x:v>
      </x:c>
      <x:c r="Q100" t="str">
        <x:v>SAMPLE_RATE_NON_ADDITIVE</x:v>
      </x:c>
      <x:c r="V100" t="str">
        <x:v>04_Quality_Log(6).xlsx</x:v>
      </x:c>
      <x:c r="W100" t="str">
        <x:v>ENH-20260830-01</x:v>
      </x:c>
      <x:c r="X100" t="str">
        <x:f>IF(AND(M100="OK",O100="OK"),"Active","Quarantine")</x:f>
        <x:v>Active</x:v>
      </x:c>
      <x:c r="Y100" t="str">
        <x:f>IF(X100="Active","LOAD","QUARANTINE")</x:f>
        <x:v>LOAD</x:v>
      </x:c>
    </x:row>
    <x:row r="101" ht="18" customHeight="1">
      <x:c r="A101" s="5" t="s">
        <x:v>26</x:v>
      </x:c>
      <x:c r="B101" s="5">
        <x:v>24</x:v>
      </x:c>
      <x:c r="C101" s="6">
        <x:v>45951</x:v>
      </x:c>
      <x:c r="D101" s="5" t="s">
        <x:v>48</x:v>
      </x:c>
      <x:c r="E101" s="7">
        <x:v>23</x:v>
      </x:c>
      <x:c r="F101" s="5" t="s">
        <x:v>31</x:v>
      </x:c>
      <x:c r="G101" s="8">
        <x:v>100</x:v>
      </x:c>
      <x:c r="H101" s="5" t="s">
        <x:v>41</x:v>
      </x:c>
      <x:c r="I101" s="8">
        <x:v>1</x:v>
      </x:c>
      <x:c r="J101" t="str">
        <x:f t="shared" si="4"/>
        <x:v>SAMP-KG01-L24-20251021-ORD-2025-00125-H23-Chip</x:v>
      </x:c>
      <x:c r="K101" t="str">
        <x:f t="shared" si="5"/>
        <x:v>OK</x:v>
      </x:c>
      <x:c r="L101" t="str">
        <x:f t="shared" si="6"/>
        <x:v>OK</x:v>
      </x:c>
      <x:c r="M101" t="str">
        <x:f t="shared" si="7">IF(A101="","",IF(AND(K101="OK",L101="OK",O101="OK"),"OK","CHECK"))</x:f>
        <x:v>OK</x:v>
      </x:c>
      <x:c r="N101" t="str">
        <x:f>IF(A101="","", "PE-"&amp;A101&amp;"-L"&amp;TEXT(B101,"00")&amp;"-"&amp;TEXT(C101,"yyyymmdd")&amp;"-"&amp;F101&amp;"-"&amp;D101)</x:f>
        <x:v>PE-KG01-L24-20251021-PM-ORD-2025-00125</x:v>
      </x:c>
      <x:c r="O101" t="str">
        <x:f>IF(N101="","",IF(COUNTIF(_ProductionEventRef!$A$5:$A$500,N101)=1,"OK","CHECK"))</x:f>
        <x:v>OK</x:v>
      </x:c>
      <x:c r="P101" s="46" t="n">
        <x:f>IF(G101=0,0,I101/G101)</x:f>
        <x:v>0.01</x:v>
      </x:c>
      <x:c r="Q101" t="str">
        <x:v>SAMPLE_RATE_NON_ADDITIVE</x:v>
      </x:c>
      <x:c r="V101" t="str">
        <x:v>04_Quality_Log(6).xlsx</x:v>
      </x:c>
      <x:c r="W101" t="str">
        <x:v>ENH-20260830-01</x:v>
      </x:c>
      <x:c r="X101" t="str">
        <x:f>IF(AND(M101="OK",O101="OK"),"Active","Quarantine")</x:f>
        <x:v>Active</x:v>
      </x:c>
      <x:c r="Y101" t="str">
        <x:f>IF(X101="Active","LOAD","QUARANTINE")</x:f>
        <x:v>LOAD</x:v>
      </x:c>
    </x:row>
    <x:row r="102" ht="18" customHeight="1">
      <x:c r="A102" s="5" t="s">
        <x:v>26</x:v>
      </x:c>
      <x:c r="B102" s="5">
        <x:v>24</x:v>
      </x:c>
      <x:c r="C102" s="6">
        <x:v>45952</x:v>
      </x:c>
      <x:c r="D102" s="5" t="s">
        <x:v>48</x:v>
      </x:c>
      <x:c r="E102" s="7">
        <x:v>9</x:v>
      </x:c>
      <x:c r="F102" s="5" t="s">
        <x:v>28</x:v>
      </x:c>
      <x:c r="G102" s="8">
        <x:v>200</x:v>
      </x:c>
      <x:c r="H102" s="5" t="s">
        <x:v>38</x:v>
      </x:c>
      <x:c r="I102" s="8">
        <x:v>1</x:v>
      </x:c>
      <x:c r="J102" t="str">
        <x:f t="shared" si="4"/>
        <x:v>SAMP-KG01-L24-20251022-ORD-2025-00125-H09-Crack</x:v>
      </x:c>
      <x:c r="K102" t="str">
        <x:f t="shared" si="5"/>
        <x:v>OK</x:v>
      </x:c>
      <x:c r="L102" t="str">
        <x:f t="shared" si="6"/>
        <x:v>OK</x:v>
      </x:c>
      <x:c r="M102" t="str">
        <x:f t="shared" si="7">IF(A102="","",IF(AND(K102="OK",L102="OK",O102="OK"),"OK","CHECK"))</x:f>
        <x:v>OK</x:v>
      </x:c>
      <x:c r="N102" t="str">
        <x:f>IF(A102="","", "PE-"&amp;A102&amp;"-L"&amp;TEXT(B102,"00")&amp;"-"&amp;TEXT(C102,"yyyymmdd")&amp;"-"&amp;F102&amp;"-"&amp;D102)</x:f>
        <x:v>PE-KG01-L24-20251022-AM-ORD-2025-00125</x:v>
      </x:c>
      <x:c r="O102" t="str">
        <x:f>IF(N102="","",IF(COUNTIF(_ProductionEventRef!$A$5:$A$500,N102)=1,"OK","CHECK"))</x:f>
        <x:v>OK</x:v>
      </x:c>
      <x:c r="P102" s="46" t="n">
        <x:f>IF(G102=0,0,I102/G102)</x:f>
        <x:v>0.005</x:v>
      </x:c>
      <x:c r="Q102" t="str">
        <x:v>SAMPLE_RATE_NON_ADDITIVE</x:v>
      </x:c>
      <x:c r="V102" t="str">
        <x:v>04_Quality_Log(6).xlsx</x:v>
      </x:c>
      <x:c r="W102" t="str">
        <x:v>ENH-20260830-01</x:v>
      </x:c>
      <x:c r="X102" t="str">
        <x:f>IF(AND(M102="OK",O102="OK"),"Active","Quarantine")</x:f>
        <x:v>Active</x:v>
      </x:c>
      <x:c r="Y102" t="str">
        <x:f>IF(X102="Active","LOAD","QUARANTINE")</x:f>
        <x:v>LOAD</x:v>
      </x:c>
    </x:row>
    <x:row r="103" ht="18" customHeight="1">
      <x:c r="A103" s="5" t="s">
        <x:v>26</x:v>
      </x:c>
      <x:c r="B103" s="5">
        <x:v>24</x:v>
      </x:c>
      <x:c r="C103" s="6">
        <x:v>45952</x:v>
      </x:c>
      <x:c r="D103" s="5" t="s">
        <x:v>48</x:v>
      </x:c>
      <x:c r="E103" s="7">
        <x:v>15</x:v>
      </x:c>
      <x:c r="F103" s="5" t="s">
        <x:v>28</x:v>
      </x:c>
      <x:c r="G103" s="8">
        <x:v>200</x:v>
      </x:c>
      <x:c r="H103" s="5" t="s">
        <x:v>36</x:v>
      </x:c>
      <x:c r="I103" s="8">
        <x:v>3</x:v>
      </x:c>
      <x:c r="J103" t="str">
        <x:f t="shared" si="4"/>
        <x:v>SAMP-KG01-L24-20251022-ORD-2025-00125-H15-Blister</x:v>
      </x:c>
      <x:c r="K103" t="str">
        <x:f t="shared" si="5"/>
        <x:v>OK</x:v>
      </x:c>
      <x:c r="L103" t="str">
        <x:f t="shared" si="6"/>
        <x:v>OK</x:v>
      </x:c>
      <x:c r="M103" t="str">
        <x:f t="shared" si="7">IF(A103="","",IF(AND(K103="OK",L103="OK",O103="OK"),"OK","CHECK"))</x:f>
        <x:v>OK</x:v>
      </x:c>
      <x:c r="N103" t="str">
        <x:f>IF(A103="","", "PE-"&amp;A103&amp;"-L"&amp;TEXT(B103,"00")&amp;"-"&amp;TEXT(C103,"yyyymmdd")&amp;"-"&amp;F103&amp;"-"&amp;D103)</x:f>
        <x:v>PE-KG01-L24-20251022-AM-ORD-2025-00125</x:v>
      </x:c>
      <x:c r="O103" t="str">
        <x:f>IF(N103="","",IF(COUNTIF(_ProductionEventRef!$A$5:$A$500,N103)=1,"OK","CHECK"))</x:f>
        <x:v>OK</x:v>
      </x:c>
      <x:c r="P103" s="46" t="n">
        <x:f>IF(G103=0,0,I103/G103)</x:f>
        <x:v>0.015</x:v>
      </x:c>
      <x:c r="Q103" t="str">
        <x:v>SAMPLE_RATE_NON_ADDITIVE</x:v>
      </x:c>
      <x:c r="V103" t="str">
        <x:v>04_Quality_Log(6).xlsx</x:v>
      </x:c>
      <x:c r="W103" t="str">
        <x:v>ENH-20260830-01</x:v>
      </x:c>
      <x:c r="X103" t="str">
        <x:f>IF(AND(M103="OK",O103="OK"),"Active","Quarantine")</x:f>
        <x:v>Active</x:v>
      </x:c>
      <x:c r="Y103" t="str">
        <x:f>IF(X103="Active","LOAD","QUARANTINE")</x:f>
        <x:v>LOAD</x:v>
      </x:c>
    </x:row>
    <x:row r="104" ht="18" customHeight="1">
      <x:c r="A104" s="5" t="s">
        <x:v>26</x:v>
      </x:c>
      <x:c r="B104" s="5">
        <x:v>24</x:v>
      </x:c>
      <x:c r="C104" s="6">
        <x:v>45952</x:v>
      </x:c>
      <x:c r="D104" s="5" t="s">
        <x:v>48</x:v>
      </x:c>
      <x:c r="E104" s="7">
        <x:v>20</x:v>
      </x:c>
      <x:c r="F104" s="5" t="s">
        <x:v>31</x:v>
      </x:c>
      <x:c r="G104" s="8">
        <x:v>100</x:v>
      </x:c>
      <x:c r="H104" s="5" t="s">
        <x:v>37</x:v>
      </x:c>
      <x:c r="I104" s="8">
        <x:v>0</x:v>
      </x:c>
      <x:c r="J104" t="str">
        <x:f t="shared" si="4"/>
        <x:v>SAMP-KG01-L24-20251022-ORD-2025-00125-H20-Bird Swing</x:v>
      </x:c>
      <x:c r="K104" t="str">
        <x:f t="shared" si="5"/>
        <x:v>OK</x:v>
      </x:c>
      <x:c r="L104" t="str">
        <x:f t="shared" si="6"/>
        <x:v>OK</x:v>
      </x:c>
      <x:c r="M104" t="str">
        <x:f t="shared" si="7">IF(A104="","",IF(AND(K104="OK",L104="OK",O104="OK"),"OK","CHECK"))</x:f>
        <x:v>OK</x:v>
      </x:c>
      <x:c r="N104" t="str">
        <x:f>IF(A104="","", "PE-"&amp;A104&amp;"-L"&amp;TEXT(B104,"00")&amp;"-"&amp;TEXT(C104,"yyyymmdd")&amp;"-"&amp;F104&amp;"-"&amp;D104)</x:f>
        <x:v>PE-KG01-L24-20251022-PM-ORD-2025-00125</x:v>
      </x:c>
      <x:c r="O104" t="str">
        <x:f>IF(N104="","",IF(COUNTIF(_ProductionEventRef!$A$5:$A$500,N104)=1,"OK","CHECK"))</x:f>
        <x:v>OK</x:v>
      </x:c>
      <x:c r="P104" s="46" t="n">
        <x:f>IF(G104=0,0,I104/G104)</x:f>
        <x:v>0</x:v>
      </x:c>
      <x:c r="Q104" t="str">
        <x:v>SAMPLE_RATE_NON_ADDITIVE</x:v>
      </x:c>
      <x:c r="V104" t="str">
        <x:v>04_Quality_Log(6).xlsx</x:v>
      </x:c>
      <x:c r="W104" t="str">
        <x:v>ENH-20260830-01</x:v>
      </x:c>
      <x:c r="X104" t="str">
        <x:f>IF(AND(M104="OK",O104="OK"),"Active","Quarantine")</x:f>
        <x:v>Active</x:v>
      </x:c>
      <x:c r="Y104" t="str">
        <x:f>IF(X104="Active","LOAD","QUARANTINE")</x:f>
        <x:v>LOAD</x:v>
      </x:c>
    </x:row>
    <x:row r="105" ht="18" customHeight="1">
      <x:c r="A105" s="5" t="s">
        <x:v>26</x:v>
      </x:c>
      <x:c r="B105" s="5">
        <x:v>24</x:v>
      </x:c>
      <x:c r="C105" s="6">
        <x:v>45952</x:v>
      </x:c>
      <x:c r="D105" s="5" t="s">
        <x:v>48</x:v>
      </x:c>
      <x:c r="E105" s="7">
        <x:v>23</x:v>
      </x:c>
      <x:c r="F105" s="5" t="s">
        <x:v>31</x:v>
      </x:c>
      <x:c r="G105" s="8">
        <x:v>50</x:v>
      </x:c>
      <x:c r="H105" s="5" t="s">
        <x:v>30</x:v>
      </x:c>
      <x:c r="I105" s="8">
        <x:v>0</x:v>
      </x:c>
      <x:c r="J105" t="str">
        <x:f t="shared" si="4"/>
        <x:v>SAMP-KG01-L24-20251022-ORD-2025-00125-H23-Overpress</x:v>
      </x:c>
      <x:c r="K105" t="str">
        <x:f t="shared" si="5"/>
        <x:v>OK</x:v>
      </x:c>
      <x:c r="L105" t="str">
        <x:f t="shared" si="6"/>
        <x:v>OK</x:v>
      </x:c>
      <x:c r="M105" t="str">
        <x:f t="shared" si="7">IF(A105="","",IF(AND(K105="OK",L105="OK",O105="OK"),"OK","CHECK"))</x:f>
        <x:v>OK</x:v>
      </x:c>
      <x:c r="N105" t="str">
        <x:f>IF(A105="","", "PE-"&amp;A105&amp;"-L"&amp;TEXT(B105,"00")&amp;"-"&amp;TEXT(C105,"yyyymmdd")&amp;"-"&amp;F105&amp;"-"&amp;D105)</x:f>
        <x:v>PE-KG01-L24-20251022-PM-ORD-2025-00125</x:v>
      </x:c>
      <x:c r="O105" t="str">
        <x:f>IF(N105="","",IF(COUNTIF(_ProductionEventRef!$A$5:$A$500,N105)=1,"OK","CHECK"))</x:f>
        <x:v>OK</x:v>
      </x:c>
      <x:c r="P105" s="46" t="n">
        <x:f>IF(G105=0,0,I105/G105)</x:f>
        <x:v>0</x:v>
      </x:c>
      <x:c r="Q105" t="str">
        <x:v>SAMPLE_RATE_NON_ADDITIVE</x:v>
      </x:c>
      <x:c r="V105" t="str">
        <x:v>04_Quality_Log(6).xlsx</x:v>
      </x:c>
      <x:c r="W105" t="str">
        <x:v>ENH-20260830-01</x:v>
      </x:c>
      <x:c r="X105" t="str">
        <x:f>IF(AND(M105="OK",O105="OK"),"Active","Quarantine")</x:f>
        <x:v>Active</x:v>
      </x:c>
      <x:c r="Y105" t="str">
        <x:f>IF(X105="Active","LOAD","QUARANTINE")</x:f>
        <x:v>LOAD</x:v>
      </x:c>
    </x:row>
    <x:row r="106" ht="18" customHeight="1">
      <x:c r="A106" s="5" t="s">
        <x:v>26</x:v>
      </x:c>
      <x:c r="B106" s="5">
        <x:v>24</x:v>
      </x:c>
      <x:c r="C106" s="6">
        <x:v>45953</x:v>
      </x:c>
      <x:c r="D106" s="5" t="s">
        <x:v>48</x:v>
      </x:c>
      <x:c r="E106" s="7">
        <x:v>9</x:v>
      </x:c>
      <x:c r="F106" s="5" t="s">
        <x:v>28</x:v>
      </x:c>
      <x:c r="G106" s="8">
        <x:v>150</x:v>
      </x:c>
      <x:c r="H106" s="5" t="s">
        <x:v>34</x:v>
      </x:c>
      <x:c r="I106" s="8">
        <x:v>4</x:v>
      </x:c>
      <x:c r="J106" t="str">
        <x:f t="shared" si="4"/>
        <x:v>SAMP-KG01-L24-20251023-ORD-2025-00125-H09-Thin Wall</x:v>
      </x:c>
      <x:c r="K106" t="str">
        <x:f t="shared" si="5"/>
        <x:v>OK</x:v>
      </x:c>
      <x:c r="L106" t="str">
        <x:f t="shared" si="6"/>
        <x:v>OK</x:v>
      </x:c>
      <x:c r="M106" t="str">
        <x:f t="shared" si="7">IF(A106="","",IF(AND(K106="OK",L106="OK",O106="OK"),"OK","CHECK"))</x:f>
        <x:v>OK</x:v>
      </x:c>
      <x:c r="N106" t="str">
        <x:f>IF(A106="","", "PE-"&amp;A106&amp;"-L"&amp;TEXT(B106,"00")&amp;"-"&amp;TEXT(C106,"yyyymmdd")&amp;"-"&amp;F106&amp;"-"&amp;D106)</x:f>
        <x:v>PE-KG01-L24-20251023-AM-ORD-2025-00125</x:v>
      </x:c>
      <x:c r="O106" t="str">
        <x:f>IF(N106="","",IF(COUNTIF(_ProductionEventRef!$A$5:$A$500,N106)=1,"OK","CHECK"))</x:f>
        <x:v>OK</x:v>
      </x:c>
      <x:c r="P106" s="46" t="n">
        <x:f>IF(G106=0,0,I106/G106)</x:f>
        <x:v>0.02666666666666667</x:v>
      </x:c>
      <x:c r="Q106" t="str">
        <x:v>SAMPLE_RATE_NON_ADDITIVE</x:v>
      </x:c>
      <x:c r="V106" t="str">
        <x:v>04_Quality_Log(6).xlsx</x:v>
      </x:c>
      <x:c r="W106" t="str">
        <x:v>ENH-20260830-01</x:v>
      </x:c>
      <x:c r="X106" t="str">
        <x:f>IF(AND(M106="OK",O106="OK"),"Active","Quarantine")</x:f>
        <x:v>Active</x:v>
      </x:c>
      <x:c r="Y106" t="str">
        <x:f>IF(X106="Active","LOAD","QUARANTINE")</x:f>
        <x:v>LOAD</x:v>
      </x:c>
    </x:row>
    <x:row r="107" ht="18" customHeight="1">
      <x:c r="A107" s="5" t="s">
        <x:v>26</x:v>
      </x:c>
      <x:c r="B107" s="5">
        <x:v>24</x:v>
      </x:c>
      <x:c r="C107" s="6">
        <x:v>45953</x:v>
      </x:c>
      <x:c r="D107" s="5" t="s">
        <x:v>48</x:v>
      </x:c>
      <x:c r="E107" s="7">
        <x:v>15</x:v>
      </x:c>
      <x:c r="F107" s="5" t="s">
        <x:v>28</x:v>
      </x:c>
      <x:c r="G107" s="8">
        <x:v>150</x:v>
      </x:c>
      <x:c r="H107" s="5" t="s">
        <x:v>29</x:v>
      </x:c>
      <x:c r="I107" s="8">
        <x:v>5</x:v>
      </x:c>
      <x:c r="J107" t="str">
        <x:f t="shared" si="4"/>
        <x:v>SAMP-KG01-L24-20251023-ORD-2025-00125-H15-Choke Neck</x:v>
      </x:c>
      <x:c r="K107" t="str">
        <x:f t="shared" si="5"/>
        <x:v>OK</x:v>
      </x:c>
      <x:c r="L107" t="str">
        <x:f t="shared" si="6"/>
        <x:v>OK</x:v>
      </x:c>
      <x:c r="M107" t="str">
        <x:f t="shared" si="7">IF(A107="","",IF(AND(K107="OK",L107="OK",O107="OK"),"OK","CHECK"))</x:f>
        <x:v>OK</x:v>
      </x:c>
      <x:c r="N107" t="str">
        <x:f>IF(A107="","", "PE-"&amp;A107&amp;"-L"&amp;TEXT(B107,"00")&amp;"-"&amp;TEXT(C107,"yyyymmdd")&amp;"-"&amp;F107&amp;"-"&amp;D107)</x:f>
        <x:v>PE-KG01-L24-20251023-AM-ORD-2025-00125</x:v>
      </x:c>
      <x:c r="O107" t="str">
        <x:f>IF(N107="","",IF(COUNTIF(_ProductionEventRef!$A$5:$A$500,N107)=1,"OK","CHECK"))</x:f>
        <x:v>OK</x:v>
      </x:c>
      <x:c r="P107" s="46" t="n">
        <x:f>IF(G107=0,0,I107/G107)</x:f>
        <x:v>0.03333333333333333</x:v>
      </x:c>
      <x:c r="Q107" t="str">
        <x:v>SAMPLE_RATE_NON_ADDITIVE</x:v>
      </x:c>
      <x:c r="V107" t="str">
        <x:v>04_Quality_Log(6).xlsx</x:v>
      </x:c>
      <x:c r="W107" t="str">
        <x:v>ENH-20260830-01</x:v>
      </x:c>
      <x:c r="X107" t="str">
        <x:f>IF(AND(M107="OK",O107="OK"),"Active","Quarantine")</x:f>
        <x:v>Active</x:v>
      </x:c>
      <x:c r="Y107" t="str">
        <x:f>IF(X107="Active","LOAD","QUARANTINE")</x:f>
        <x:v>LOAD</x:v>
      </x:c>
    </x:row>
    <x:row r="108" ht="18" customHeight="1">
      <x:c r="A108" s="5" t="s">
        <x:v>26</x:v>
      </x:c>
      <x:c r="B108" s="5">
        <x:v>24</x:v>
      </x:c>
      <x:c r="C108" s="6">
        <x:v>45953</x:v>
      </x:c>
      <x:c r="D108" s="5" t="s">
        <x:v>48</x:v>
      </x:c>
      <x:c r="E108" s="7">
        <x:v>20</x:v>
      </x:c>
      <x:c r="F108" s="5" t="s">
        <x:v>31</x:v>
      </x:c>
      <x:c r="G108" s="8">
        <x:v>200</x:v>
      </x:c>
      <x:c r="H108" s="5" t="s">
        <x:v>35</x:v>
      </x:c>
      <x:c r="I108" s="8">
        <x:v>3</x:v>
      </x:c>
      <x:c r="J108" t="str">
        <x:f t="shared" si="4"/>
        <x:v>SAMP-KG01-L24-20251023-ORD-2025-00125-H20-Stone</x:v>
      </x:c>
      <x:c r="K108" t="str">
        <x:f t="shared" si="5"/>
        <x:v>OK</x:v>
      </x:c>
      <x:c r="L108" t="str">
        <x:f t="shared" si="6"/>
        <x:v>OK</x:v>
      </x:c>
      <x:c r="M108" t="str">
        <x:f t="shared" si="7">IF(A108="","",IF(AND(K108="OK",L108="OK",O108="OK"),"OK","CHECK"))</x:f>
        <x:v>OK</x:v>
      </x:c>
      <x:c r="N108" t="str">
        <x:f>IF(A108="","", "PE-"&amp;A108&amp;"-L"&amp;TEXT(B108,"00")&amp;"-"&amp;TEXT(C108,"yyyymmdd")&amp;"-"&amp;F108&amp;"-"&amp;D108)</x:f>
        <x:v>PE-KG01-L24-20251023-PM-ORD-2025-00125</x:v>
      </x:c>
      <x:c r="O108" t="str">
        <x:f>IF(N108="","",IF(COUNTIF(_ProductionEventRef!$A$5:$A$500,N108)=1,"OK","CHECK"))</x:f>
        <x:v>OK</x:v>
      </x:c>
      <x:c r="P108" s="46" t="n">
        <x:f>IF(G108=0,0,I108/G108)</x:f>
        <x:v>0.015</x:v>
      </x:c>
      <x:c r="Q108" t="str">
        <x:v>SAMPLE_RATE_NON_ADDITIVE</x:v>
      </x:c>
      <x:c r="V108" t="str">
        <x:v>04_Quality_Log(6).xlsx</x:v>
      </x:c>
      <x:c r="W108" t="str">
        <x:v>ENH-20260830-01</x:v>
      </x:c>
      <x:c r="X108" t="str">
        <x:f>IF(AND(M108="OK",O108="OK"),"Active","Quarantine")</x:f>
        <x:v>Active</x:v>
      </x:c>
      <x:c r="Y108" t="str">
        <x:f>IF(X108="Active","LOAD","QUARANTINE")</x:f>
        <x:v>LOAD</x:v>
      </x:c>
    </x:row>
    <x:row r="109" ht="18" customHeight="1">
      <x:c r="A109" s="5" t="s">
        <x:v>26</x:v>
      </x:c>
      <x:c r="B109" s="5">
        <x:v>24</x:v>
      </x:c>
      <x:c r="C109" s="6">
        <x:v>45953</x:v>
      </x:c>
      <x:c r="D109" s="5" t="s">
        <x:v>48</x:v>
      </x:c>
      <x:c r="E109" s="7">
        <x:v>23</x:v>
      </x:c>
      <x:c r="F109" s="5" t="s">
        <x:v>31</x:v>
      </x:c>
      <x:c r="G109" s="8">
        <x:v>150</x:v>
      </x:c>
      <x:c r="H109" s="5" t="s">
        <x:v>35</x:v>
      </x:c>
      <x:c r="I109" s="8">
        <x:v>5</x:v>
      </x:c>
      <x:c r="J109" t="str">
        <x:f t="shared" si="4"/>
        <x:v>SAMP-KG01-L24-20251023-ORD-2025-00125-H23-Stone</x:v>
      </x:c>
      <x:c r="K109" t="str">
        <x:f t="shared" si="5"/>
        <x:v>OK</x:v>
      </x:c>
      <x:c r="L109" t="str">
        <x:f t="shared" si="6"/>
        <x:v>OK</x:v>
      </x:c>
      <x:c r="M109" t="str">
        <x:f t="shared" si="7">IF(A109="","",IF(AND(K109="OK",L109="OK",O109="OK"),"OK","CHECK"))</x:f>
        <x:v>OK</x:v>
      </x:c>
      <x:c r="N109" t="str">
        <x:f>IF(A109="","", "PE-"&amp;A109&amp;"-L"&amp;TEXT(B109,"00")&amp;"-"&amp;TEXT(C109,"yyyymmdd")&amp;"-"&amp;F109&amp;"-"&amp;D109)</x:f>
        <x:v>PE-KG01-L24-20251023-PM-ORD-2025-00125</x:v>
      </x:c>
      <x:c r="O109" t="str">
        <x:f>IF(N109="","",IF(COUNTIF(_ProductionEventRef!$A$5:$A$500,N109)=1,"OK","CHECK"))</x:f>
        <x:v>OK</x:v>
      </x:c>
      <x:c r="P109" s="46" t="n">
        <x:f>IF(G109=0,0,I109/G109)</x:f>
        <x:v>0.03333333333333333</x:v>
      </x:c>
      <x:c r="Q109" t="str">
        <x:v>SAMPLE_RATE_NON_ADDITIVE</x:v>
      </x:c>
      <x:c r="V109" t="str">
        <x:v>04_Quality_Log(6).xlsx</x:v>
      </x:c>
      <x:c r="W109" t="str">
        <x:v>ENH-20260830-01</x:v>
      </x:c>
      <x:c r="X109" t="str">
        <x:f>IF(AND(M109="OK",O109="OK"),"Active","Quarantine")</x:f>
        <x:v>Active</x:v>
      </x:c>
      <x:c r="Y109" t="str">
        <x:f>IF(X109="Active","LOAD","QUARANTINE")</x:f>
        <x:v>LOAD</x:v>
      </x:c>
    </x:row>
    <x:row r="110" ht="18" customHeight="1">
      <x:c r="A110" s="5" t="s">
        <x:v>26</x:v>
      </x:c>
      <x:c r="B110" s="5">
        <x:v>24</x:v>
      </x:c>
      <x:c r="C110" s="6">
        <x:v>45954</x:v>
      </x:c>
      <x:c r="D110" s="5" t="s">
        <x:v>48</x:v>
      </x:c>
      <x:c r="E110" s="7">
        <x:v>9</x:v>
      </x:c>
      <x:c r="F110" s="5" t="s">
        <x:v>28</x:v>
      </x:c>
      <x:c r="G110" s="8">
        <x:v>150</x:v>
      </x:c>
      <x:c r="H110" s="5" t="s">
        <x:v>38</x:v>
      </x:c>
      <x:c r="I110" s="8">
        <x:v>1</x:v>
      </x:c>
      <x:c r="J110" t="str">
        <x:f t="shared" si="4"/>
        <x:v>SAMP-KG01-L24-20251024-ORD-2025-00125-H09-Crack</x:v>
      </x:c>
      <x:c r="K110" t="str">
        <x:f t="shared" si="5"/>
        <x:v>OK</x:v>
      </x:c>
      <x:c r="L110" t="str">
        <x:f t="shared" si="6"/>
        <x:v>OK</x:v>
      </x:c>
      <x:c r="M110" t="str">
        <x:f t="shared" si="7">IF(A110="","",IF(AND(K110="OK",L110="OK",O110="OK"),"OK","CHECK"))</x:f>
        <x:v>OK</x:v>
      </x:c>
      <x:c r="N110" t="str">
        <x:f>IF(A110="","", "PE-"&amp;A110&amp;"-L"&amp;TEXT(B110,"00")&amp;"-"&amp;TEXT(C110,"yyyymmdd")&amp;"-"&amp;F110&amp;"-"&amp;D110)</x:f>
        <x:v>PE-KG01-L24-20251024-AM-ORD-2025-00125</x:v>
      </x:c>
      <x:c r="O110" t="str">
        <x:f>IF(N110="","",IF(COUNTIF(_ProductionEventRef!$A$5:$A$500,N110)=1,"OK","CHECK"))</x:f>
        <x:v>OK</x:v>
      </x:c>
      <x:c r="P110" s="46" t="n">
        <x:f>IF(G110=0,0,I110/G110)</x:f>
        <x:v>0.006666666666666667</x:v>
      </x:c>
      <x:c r="Q110" t="str">
        <x:v>SAMPLE_RATE_NON_ADDITIVE</x:v>
      </x:c>
      <x:c r="V110" t="str">
        <x:v>04_Quality_Log(6).xlsx</x:v>
      </x:c>
      <x:c r="W110" t="str">
        <x:v>ENH-20260830-01</x:v>
      </x:c>
      <x:c r="X110" t="str">
        <x:f>IF(AND(M110="OK",O110="OK"),"Active","Quarantine")</x:f>
        <x:v>Active</x:v>
      </x:c>
      <x:c r="Y110" t="str">
        <x:f>IF(X110="Active","LOAD","QUARANTINE")</x:f>
        <x:v>LOAD</x:v>
      </x:c>
    </x:row>
    <x:row r="111" ht="18" customHeight="1">
      <x:c r="A111" s="5" t="s">
        <x:v>26</x:v>
      </x:c>
      <x:c r="B111" s="5">
        <x:v>24</x:v>
      </x:c>
      <x:c r="C111" s="6">
        <x:v>45954</x:v>
      </x:c>
      <x:c r="D111" s="5" t="s">
        <x:v>48</x:v>
      </x:c>
      <x:c r="E111" s="7">
        <x:v>15</x:v>
      </x:c>
      <x:c r="F111" s="5" t="s">
        <x:v>28</x:v>
      </x:c>
      <x:c r="G111" s="8">
        <x:v>50</x:v>
      </x:c>
      <x:c r="H111" s="5" t="s">
        <x:v>33</x:v>
      </x:c>
      <x:c r="I111" s="8">
        <x:v>1</x:v>
      </x:c>
      <x:c r="J111" t="str">
        <x:f t="shared" si="4"/>
        <x:v>SAMP-KG01-L24-20251024-ORD-2025-00125-H15-Distortion</x:v>
      </x:c>
      <x:c r="K111" t="str">
        <x:f t="shared" si="5"/>
        <x:v>OK</x:v>
      </x:c>
      <x:c r="L111" t="str">
        <x:f t="shared" si="6"/>
        <x:v>OK</x:v>
      </x:c>
      <x:c r="M111" t="str">
        <x:f t="shared" si="7">IF(A111="","",IF(AND(K111="OK",L111="OK",O111="OK"),"OK","CHECK"))</x:f>
        <x:v>OK</x:v>
      </x:c>
      <x:c r="N111" t="str">
        <x:f>IF(A111="","", "PE-"&amp;A111&amp;"-L"&amp;TEXT(B111,"00")&amp;"-"&amp;TEXT(C111,"yyyymmdd")&amp;"-"&amp;F111&amp;"-"&amp;D111)</x:f>
        <x:v>PE-KG01-L24-20251024-AM-ORD-2025-00125</x:v>
      </x:c>
      <x:c r="O111" t="str">
        <x:f>IF(N111="","",IF(COUNTIF(_ProductionEventRef!$A$5:$A$500,N111)=1,"OK","CHECK"))</x:f>
        <x:v>OK</x:v>
      </x:c>
      <x:c r="P111" s="46" t="n">
        <x:f>IF(G111=0,0,I111/G111)</x:f>
        <x:v>0.02</x:v>
      </x:c>
      <x:c r="Q111" t="str">
        <x:v>SAMPLE_RATE_NON_ADDITIVE</x:v>
      </x:c>
      <x:c r="V111" t="str">
        <x:v>04_Quality_Log(6).xlsx</x:v>
      </x:c>
      <x:c r="W111" t="str">
        <x:v>ENH-20260830-01</x:v>
      </x:c>
      <x:c r="X111" t="str">
        <x:f>IF(AND(M111="OK",O111="OK"),"Active","Quarantine")</x:f>
        <x:v>Active</x:v>
      </x:c>
      <x:c r="Y111" t="str">
        <x:f>IF(X111="Active","LOAD","QUARANTINE")</x:f>
        <x:v>LOAD</x:v>
      </x:c>
    </x:row>
    <x:row r="112" ht="18" customHeight="1">
      <x:c r="A112" s="5" t="s">
        <x:v>26</x:v>
      </x:c>
      <x:c r="B112" s="5">
        <x:v>24</x:v>
      </x:c>
      <x:c r="C112" s="6">
        <x:v>45954</x:v>
      </x:c>
      <x:c r="D112" s="5" t="s">
        <x:v>48</x:v>
      </x:c>
      <x:c r="E112" s="7">
        <x:v>20</x:v>
      </x:c>
      <x:c r="F112" s="5" t="s">
        <x:v>31</x:v>
      </x:c>
      <x:c r="G112" s="8">
        <x:v>50</x:v>
      </x:c>
      <x:c r="H112" s="5" t="s">
        <x:v>36</x:v>
      </x:c>
      <x:c r="I112" s="8">
        <x:v>0</x:v>
      </x:c>
      <x:c r="J112" t="str">
        <x:f t="shared" si="4"/>
        <x:v>SAMP-KG01-L24-20251024-ORD-2025-00125-H20-Blister</x:v>
      </x:c>
      <x:c r="K112" t="str">
        <x:f t="shared" si="5"/>
        <x:v>OK</x:v>
      </x:c>
      <x:c r="L112" t="str">
        <x:f t="shared" si="6"/>
        <x:v>OK</x:v>
      </x:c>
      <x:c r="M112" t="str">
        <x:f t="shared" si="7">IF(A112="","",IF(AND(K112="OK",L112="OK",O112="OK"),"OK","CHECK"))</x:f>
        <x:v>OK</x:v>
      </x:c>
      <x:c r="N112" t="str">
        <x:f>IF(A112="","", "PE-"&amp;A112&amp;"-L"&amp;TEXT(B112,"00")&amp;"-"&amp;TEXT(C112,"yyyymmdd")&amp;"-"&amp;F112&amp;"-"&amp;D112)</x:f>
        <x:v>PE-KG01-L24-20251024-PM-ORD-2025-00125</x:v>
      </x:c>
      <x:c r="O112" t="str">
        <x:f>IF(N112="","",IF(COUNTIF(_ProductionEventRef!$A$5:$A$500,N112)=1,"OK","CHECK"))</x:f>
        <x:v>OK</x:v>
      </x:c>
      <x:c r="P112" s="46" t="n">
        <x:f>IF(G112=0,0,I112/G112)</x:f>
        <x:v>0</x:v>
      </x:c>
      <x:c r="Q112" t="str">
        <x:v>SAMPLE_RATE_NON_ADDITIVE</x:v>
      </x:c>
      <x:c r="V112" t="str">
        <x:v>04_Quality_Log(6).xlsx</x:v>
      </x:c>
      <x:c r="W112" t="str">
        <x:v>ENH-20260830-01</x:v>
      </x:c>
      <x:c r="X112" t="str">
        <x:f>IF(AND(M112="OK",O112="OK"),"Active","Quarantine")</x:f>
        <x:v>Active</x:v>
      </x:c>
      <x:c r="Y112" t="str">
        <x:f>IF(X112="Active","LOAD","QUARANTINE")</x:f>
        <x:v>LOAD</x:v>
      </x:c>
    </x:row>
    <x:row r="113" ht="18" customHeight="1">
      <x:c r="A113" s="5" t="s">
        <x:v>26</x:v>
      </x:c>
      <x:c r="B113" s="5">
        <x:v>24</x:v>
      </x:c>
      <x:c r="C113" s="6">
        <x:v>45954</x:v>
      </x:c>
      <x:c r="D113" s="5" t="s">
        <x:v>48</x:v>
      </x:c>
      <x:c r="E113" s="7">
        <x:v>23</x:v>
      </x:c>
      <x:c r="F113" s="5" t="s">
        <x:v>31</x:v>
      </x:c>
      <x:c r="G113" s="8">
        <x:v>150</x:v>
      </x:c>
      <x:c r="H113" s="5" t="s">
        <x:v>37</x:v>
      </x:c>
      <x:c r="I113" s="8">
        <x:v>1</x:v>
      </x:c>
      <x:c r="J113" t="str">
        <x:f t="shared" si="4"/>
        <x:v>SAMP-KG01-L24-20251024-ORD-2025-00125-H23-Bird Swing</x:v>
      </x:c>
      <x:c r="K113" t="str">
        <x:f t="shared" si="5"/>
        <x:v>OK</x:v>
      </x:c>
      <x:c r="L113" t="str">
        <x:f t="shared" si="6"/>
        <x:v>OK</x:v>
      </x:c>
      <x:c r="M113" t="str">
        <x:f t="shared" si="7">IF(A113="","",IF(AND(K113="OK",L113="OK",O113="OK"),"OK","CHECK"))</x:f>
        <x:v>OK</x:v>
      </x:c>
      <x:c r="N113" t="str">
        <x:f>IF(A113="","", "PE-"&amp;A113&amp;"-L"&amp;TEXT(B113,"00")&amp;"-"&amp;TEXT(C113,"yyyymmdd")&amp;"-"&amp;F113&amp;"-"&amp;D113)</x:f>
        <x:v>PE-KG01-L24-20251024-PM-ORD-2025-00125</x:v>
      </x:c>
      <x:c r="O113" t="str">
        <x:f>IF(N113="","",IF(COUNTIF(_ProductionEventRef!$A$5:$A$500,N113)=1,"OK","CHECK"))</x:f>
        <x:v>OK</x:v>
      </x:c>
      <x:c r="P113" s="46" t="n">
        <x:f>IF(G113=0,0,I113/G113)</x:f>
        <x:v>0.006666666666666667</x:v>
      </x:c>
      <x:c r="Q113" t="str">
        <x:v>SAMPLE_RATE_NON_ADDITIVE</x:v>
      </x:c>
      <x:c r="V113" t="str">
        <x:v>04_Quality_Log(6).xlsx</x:v>
      </x:c>
      <x:c r="W113" t="str">
        <x:v>ENH-20260830-01</x:v>
      </x:c>
      <x:c r="X113" t="str">
        <x:f>IF(AND(M113="OK",O113="OK"),"Active","Quarantine")</x:f>
        <x:v>Active</x:v>
      </x:c>
      <x:c r="Y113" t="str">
        <x:f>IF(X113="Active","LOAD","QUARANTINE")</x:f>
        <x:v>LOAD</x:v>
      </x:c>
    </x:row>
    <x:row r="114" ht="18" customHeight="1">
      <x:c r="A114" s="5" t="s">
        <x:v>26</x:v>
      </x:c>
      <x:c r="B114" s="5">
        <x:v>24</x:v>
      </x:c>
      <x:c r="C114" s="6">
        <x:v>45955</x:v>
      </x:c>
      <x:c r="D114" s="5" t="s">
        <x:v>49</x:v>
      </x:c>
      <x:c r="E114" s="7">
        <x:v>9</x:v>
      </x:c>
      <x:c r="F114" s="5" t="s">
        <x:v>28</x:v>
      </x:c>
      <x:c r="G114" s="8">
        <x:v>200</x:v>
      </x:c>
      <x:c r="H114" s="5" t="s">
        <x:v>34</x:v>
      </x:c>
      <x:c r="I114" s="8">
        <x:v>0</x:v>
      </x:c>
      <x:c r="J114" t="str">
        <x:f t="shared" si="4"/>
        <x:v>SAMP-KG01-L24-20251025-ORD-2025-00126-H09-Thin Wall</x:v>
      </x:c>
      <x:c r="K114" t="str">
        <x:f t="shared" si="5"/>
        <x:v>OK</x:v>
      </x:c>
      <x:c r="L114" t="str">
        <x:f t="shared" si="6"/>
        <x:v>OK</x:v>
      </x:c>
      <x:c r="M114" t="str">
        <x:f t="shared" si="7">IF(A114="","",IF(AND(K114="OK",L114="OK",O114="OK"),"OK","CHECK"))</x:f>
        <x:v>OK</x:v>
      </x:c>
      <x:c r="N114" t="str">
        <x:f>IF(A114="","", "PE-"&amp;A114&amp;"-L"&amp;TEXT(B114,"00")&amp;"-"&amp;TEXT(C114,"yyyymmdd")&amp;"-"&amp;F114&amp;"-"&amp;D114)</x:f>
        <x:v>PE-KG01-L24-20251025-AM-ORD-2025-00126</x:v>
      </x:c>
      <x:c r="O114" t="str">
        <x:f>IF(N114="","",IF(COUNTIF(_ProductionEventRef!$A$5:$A$500,N114)=1,"OK","CHECK"))</x:f>
        <x:v>OK</x:v>
      </x:c>
      <x:c r="P114" s="46" t="n">
        <x:f>IF(G114=0,0,I114/G114)</x:f>
        <x:v>0</x:v>
      </x:c>
      <x:c r="Q114" t="str">
        <x:v>SAMPLE_RATE_NON_ADDITIVE</x:v>
      </x:c>
      <x:c r="V114" t="str">
        <x:v>04_Quality_Log(6).xlsx</x:v>
      </x:c>
      <x:c r="W114" t="str">
        <x:v>ENH-20260830-01</x:v>
      </x:c>
      <x:c r="X114" t="str">
        <x:f>IF(AND(M114="OK",O114="OK"),"Active","Quarantine")</x:f>
        <x:v>Active</x:v>
      </x:c>
      <x:c r="Y114" t="str">
        <x:f>IF(X114="Active","LOAD","QUARANTINE")</x:f>
        <x:v>LOAD</x:v>
      </x:c>
    </x:row>
    <x:row r="115" ht="18" customHeight="1">
      <x:c r="A115" s="5" t="s">
        <x:v>26</x:v>
      </x:c>
      <x:c r="B115" s="5">
        <x:v>24</x:v>
      </x:c>
      <x:c r="C115" s="6">
        <x:v>45955</x:v>
      </x:c>
      <x:c r="D115" s="5" t="s">
        <x:v>49</x:v>
      </x:c>
      <x:c r="E115" s="7">
        <x:v>15</x:v>
      </x:c>
      <x:c r="F115" s="5" t="s">
        <x:v>28</x:v>
      </x:c>
      <x:c r="G115" s="8">
        <x:v>50</x:v>
      </x:c>
      <x:c r="H115" s="5" t="s">
        <x:v>29</x:v>
      </x:c>
      <x:c r="I115" s="8">
        <x:v>1</x:v>
      </x:c>
      <x:c r="J115" t="str">
        <x:f t="shared" si="4"/>
        <x:v>SAMP-KG01-L24-20251025-ORD-2025-00126-H15-Choke Neck</x:v>
      </x:c>
      <x:c r="K115" t="str">
        <x:f t="shared" si="5"/>
        <x:v>OK</x:v>
      </x:c>
      <x:c r="L115" t="str">
        <x:f t="shared" si="6"/>
        <x:v>OK</x:v>
      </x:c>
      <x:c r="M115" t="str">
        <x:f t="shared" si="7">IF(A115="","",IF(AND(K115="OK",L115="OK",O115="OK"),"OK","CHECK"))</x:f>
        <x:v>OK</x:v>
      </x:c>
      <x:c r="N115" t="str">
        <x:f>IF(A115="","", "PE-"&amp;A115&amp;"-L"&amp;TEXT(B115,"00")&amp;"-"&amp;TEXT(C115,"yyyymmdd")&amp;"-"&amp;F115&amp;"-"&amp;D115)</x:f>
        <x:v>PE-KG01-L24-20251025-AM-ORD-2025-00126</x:v>
      </x:c>
      <x:c r="O115" t="str">
        <x:f>IF(N115="","",IF(COUNTIF(_ProductionEventRef!$A$5:$A$500,N115)=1,"OK","CHECK"))</x:f>
        <x:v>OK</x:v>
      </x:c>
      <x:c r="P115" s="46" t="n">
        <x:f>IF(G115=0,0,I115/G115)</x:f>
        <x:v>0.02</x:v>
      </x:c>
      <x:c r="Q115" t="str">
        <x:v>SAMPLE_RATE_NON_ADDITIVE</x:v>
      </x:c>
      <x:c r="V115" t="str">
        <x:v>04_Quality_Log(6).xlsx</x:v>
      </x:c>
      <x:c r="W115" t="str">
        <x:v>ENH-20260830-01</x:v>
      </x:c>
      <x:c r="X115" t="str">
        <x:f>IF(AND(M115="OK",O115="OK"),"Active","Quarantine")</x:f>
        <x:v>Active</x:v>
      </x:c>
      <x:c r="Y115" t="str">
        <x:f>IF(X115="Active","LOAD","QUARANTINE")</x:f>
        <x:v>LOAD</x:v>
      </x:c>
    </x:row>
    <x:row r="116" ht="18" customHeight="1">
      <x:c r="A116" s="5" t="s">
        <x:v>26</x:v>
      </x:c>
      <x:c r="B116" s="5">
        <x:v>24</x:v>
      </x:c>
      <x:c r="C116" s="6">
        <x:v>45955</x:v>
      </x:c>
      <x:c r="D116" s="5" t="s">
        <x:v>49</x:v>
      </x:c>
      <x:c r="E116" s="7">
        <x:v>20</x:v>
      </x:c>
      <x:c r="F116" s="5" t="s">
        <x:v>31</x:v>
      </x:c>
      <x:c r="G116" s="8">
        <x:v>150</x:v>
      </x:c>
      <x:c r="H116" s="5" t="s">
        <x:v>38</x:v>
      </x:c>
      <x:c r="I116" s="8">
        <x:v>2</x:v>
      </x:c>
      <x:c r="J116" t="str">
        <x:f t="shared" si="4"/>
        <x:v>SAMP-KG01-L24-20251025-ORD-2025-00126-H20-Crack</x:v>
      </x:c>
      <x:c r="K116" t="str">
        <x:f t="shared" si="5"/>
        <x:v>OK</x:v>
      </x:c>
      <x:c r="L116" t="str">
        <x:f t="shared" si="6"/>
        <x:v>OK</x:v>
      </x:c>
      <x:c r="M116" t="str">
        <x:f t="shared" si="7">IF(A116="","",IF(AND(K116="OK",L116="OK",O116="OK"),"OK","CHECK"))</x:f>
        <x:v>OK</x:v>
      </x:c>
      <x:c r="N116" t="str">
        <x:f>IF(A116="","", "PE-"&amp;A116&amp;"-L"&amp;TEXT(B116,"00")&amp;"-"&amp;TEXT(C116,"yyyymmdd")&amp;"-"&amp;F116&amp;"-"&amp;D116)</x:f>
        <x:v>PE-KG01-L24-20251025-PM-ORD-2025-00126</x:v>
      </x:c>
      <x:c r="O116" t="str">
        <x:f>IF(N116="","",IF(COUNTIF(_ProductionEventRef!$A$5:$A$500,N116)=1,"OK","CHECK"))</x:f>
        <x:v>OK</x:v>
      </x:c>
      <x:c r="P116" s="46" t="n">
        <x:f>IF(G116=0,0,I116/G116)</x:f>
        <x:v>0.013333333333333334</x:v>
      </x:c>
      <x:c r="Q116" t="str">
        <x:v>SAMPLE_RATE_NON_ADDITIVE</x:v>
      </x:c>
      <x:c r="V116" t="str">
        <x:v>04_Quality_Log(6).xlsx</x:v>
      </x:c>
      <x:c r="W116" t="str">
        <x:v>ENH-20260830-01</x:v>
      </x:c>
      <x:c r="X116" t="str">
        <x:f>IF(AND(M116="OK",O116="OK"),"Active","Quarantine")</x:f>
        <x:v>Active</x:v>
      </x:c>
      <x:c r="Y116" t="str">
        <x:f>IF(X116="Active","LOAD","QUARANTINE")</x:f>
        <x:v>LOAD</x:v>
      </x:c>
    </x:row>
    <x:row r="117" ht="18" customHeight="1">
      <x:c r="A117" s="5" t="s">
        <x:v>26</x:v>
      </x:c>
      <x:c r="B117" s="5">
        <x:v>24</x:v>
      </x:c>
      <x:c r="C117" s="6">
        <x:v>45955</x:v>
      </x:c>
      <x:c r="D117" s="5" t="s">
        <x:v>49</x:v>
      </x:c>
      <x:c r="E117" s="7">
        <x:v>23</x:v>
      </x:c>
      <x:c r="F117" s="5" t="s">
        <x:v>31</x:v>
      </x:c>
      <x:c r="G117" s="8">
        <x:v>50</x:v>
      </x:c>
      <x:c r="H117" s="5" t="s">
        <x:v>38</x:v>
      </x:c>
      <x:c r="I117" s="8">
        <x:v>1</x:v>
      </x:c>
      <x:c r="J117" t="str">
        <x:f t="shared" si="4"/>
        <x:v>SAMP-KG01-L24-20251025-ORD-2025-00126-H23-Crack</x:v>
      </x:c>
      <x:c r="K117" t="str">
        <x:f t="shared" si="5"/>
        <x:v>OK</x:v>
      </x:c>
      <x:c r="L117" t="str">
        <x:f t="shared" si="6"/>
        <x:v>OK</x:v>
      </x:c>
      <x:c r="M117" t="str">
        <x:f t="shared" si="7">IF(A117="","",IF(AND(K117="OK",L117="OK",O117="OK"),"OK","CHECK"))</x:f>
        <x:v>OK</x:v>
      </x:c>
      <x:c r="N117" t="str">
        <x:f>IF(A117="","", "PE-"&amp;A117&amp;"-L"&amp;TEXT(B117,"00")&amp;"-"&amp;TEXT(C117,"yyyymmdd")&amp;"-"&amp;F117&amp;"-"&amp;D117)</x:f>
        <x:v>PE-KG01-L24-20251025-PM-ORD-2025-00126</x:v>
      </x:c>
      <x:c r="O117" t="str">
        <x:f>IF(N117="","",IF(COUNTIF(_ProductionEventRef!$A$5:$A$500,N117)=1,"OK","CHECK"))</x:f>
        <x:v>OK</x:v>
      </x:c>
      <x:c r="P117" s="46" t="n">
        <x:f>IF(G117=0,0,I117/G117)</x:f>
        <x:v>0.02</x:v>
      </x:c>
      <x:c r="Q117" t="str">
        <x:v>SAMPLE_RATE_NON_ADDITIVE</x:v>
      </x:c>
      <x:c r="V117" t="str">
        <x:v>04_Quality_Log(6).xlsx</x:v>
      </x:c>
      <x:c r="W117" t="str">
        <x:v>ENH-20260830-01</x:v>
      </x:c>
      <x:c r="X117" t="str">
        <x:f>IF(AND(M117="OK",O117="OK"),"Active","Quarantine")</x:f>
        <x:v>Active</x:v>
      </x:c>
      <x:c r="Y117" t="str">
        <x:f>IF(X117="Active","LOAD","QUARANTINE")</x:f>
        <x:v>LOAD</x:v>
      </x:c>
    </x:row>
    <x:row r="118" ht="18" customHeight="1">
      <x:c r="A118" s="5" t="s">
        <x:v>26</x:v>
      </x:c>
      <x:c r="B118" s="5">
        <x:v>24</x:v>
      </x:c>
      <x:c r="C118" s="6">
        <x:v>45956</x:v>
      </x:c>
      <x:c r="D118" s="5" t="s">
        <x:v>49</x:v>
      </x:c>
      <x:c r="E118" s="7">
        <x:v>9</x:v>
      </x:c>
      <x:c r="F118" s="5" t="s">
        <x:v>28</x:v>
      </x:c>
      <x:c r="G118" s="8">
        <x:v>100</x:v>
      </x:c>
      <x:c r="H118" s="5" t="s">
        <x:v>37</x:v>
      </x:c>
      <x:c r="I118" s="8">
        <x:v>2</x:v>
      </x:c>
      <x:c r="J118" t="str">
        <x:f t="shared" si="4"/>
        <x:v>SAMP-KG01-L24-20251026-ORD-2025-00126-H09-Bird Swing</x:v>
      </x:c>
      <x:c r="K118" t="str">
        <x:f t="shared" si="5"/>
        <x:v>OK</x:v>
      </x:c>
      <x:c r="L118" t="str">
        <x:f t="shared" si="6"/>
        <x:v>OK</x:v>
      </x:c>
      <x:c r="M118" t="str">
        <x:f t="shared" si="7">IF(A118="","",IF(AND(K118="OK",L118="OK",O118="OK"),"OK","CHECK"))</x:f>
        <x:v>OK</x:v>
      </x:c>
      <x:c r="N118" t="str">
        <x:f>IF(A118="","", "PE-"&amp;A118&amp;"-L"&amp;TEXT(B118,"00")&amp;"-"&amp;TEXT(C118,"yyyymmdd")&amp;"-"&amp;F118&amp;"-"&amp;D118)</x:f>
        <x:v>PE-KG01-L24-20251026-AM-ORD-2025-00126</x:v>
      </x:c>
      <x:c r="O118" t="str">
        <x:f>IF(N118="","",IF(COUNTIF(_ProductionEventRef!$A$5:$A$500,N118)=1,"OK","CHECK"))</x:f>
        <x:v>OK</x:v>
      </x:c>
      <x:c r="P118" s="46" t="n">
        <x:f>IF(G118=0,0,I118/G118)</x:f>
        <x:v>0.02</x:v>
      </x:c>
      <x:c r="Q118" t="str">
        <x:v>SAMPLE_RATE_NON_ADDITIVE</x:v>
      </x:c>
      <x:c r="V118" t="str">
        <x:v>04_Quality_Log(6).xlsx</x:v>
      </x:c>
      <x:c r="W118" t="str">
        <x:v>ENH-20260830-01</x:v>
      </x:c>
      <x:c r="X118" t="str">
        <x:f>IF(AND(M118="OK",O118="OK"),"Active","Quarantine")</x:f>
        <x:v>Active</x:v>
      </x:c>
      <x:c r="Y118" t="str">
        <x:f>IF(X118="Active","LOAD","QUARANTINE")</x:f>
        <x:v>LOAD</x:v>
      </x:c>
    </x:row>
    <x:row r="119" ht="18" customHeight="1">
      <x:c r="A119" s="5" t="s">
        <x:v>26</x:v>
      </x:c>
      <x:c r="B119" s="5">
        <x:v>24</x:v>
      </x:c>
      <x:c r="C119" s="6">
        <x:v>45956</x:v>
      </x:c>
      <x:c r="D119" s="5" t="s">
        <x:v>49</x:v>
      </x:c>
      <x:c r="E119" s="7">
        <x:v>15</x:v>
      </x:c>
      <x:c r="F119" s="5" t="s">
        <x:v>28</x:v>
      </x:c>
      <x:c r="G119" s="8">
        <x:v>150</x:v>
      </x:c>
      <x:c r="H119" s="5" t="s">
        <x:v>41</x:v>
      </x:c>
      <x:c r="I119" s="8">
        <x:v>0</x:v>
      </x:c>
      <x:c r="J119" t="str">
        <x:f t="shared" si="4"/>
        <x:v>SAMP-KG01-L24-20251026-ORD-2025-00126-H15-Chip</x:v>
      </x:c>
      <x:c r="K119" t="str">
        <x:f t="shared" si="5"/>
        <x:v>OK</x:v>
      </x:c>
      <x:c r="L119" t="str">
        <x:f t="shared" si="6"/>
        <x:v>OK</x:v>
      </x:c>
      <x:c r="M119" t="str">
        <x:f t="shared" si="7">IF(A119="","",IF(AND(K119="OK",L119="OK",O119="OK"),"OK","CHECK"))</x:f>
        <x:v>OK</x:v>
      </x:c>
      <x:c r="N119" t="str">
        <x:f>IF(A119="","", "PE-"&amp;A119&amp;"-L"&amp;TEXT(B119,"00")&amp;"-"&amp;TEXT(C119,"yyyymmdd")&amp;"-"&amp;F119&amp;"-"&amp;D119)</x:f>
        <x:v>PE-KG01-L24-20251026-AM-ORD-2025-00126</x:v>
      </x:c>
      <x:c r="O119" t="str">
        <x:f>IF(N119="","",IF(COUNTIF(_ProductionEventRef!$A$5:$A$500,N119)=1,"OK","CHECK"))</x:f>
        <x:v>OK</x:v>
      </x:c>
      <x:c r="P119" s="46" t="n">
        <x:f>IF(G119=0,0,I119/G119)</x:f>
        <x:v>0</x:v>
      </x:c>
      <x:c r="Q119" t="str">
        <x:v>SAMPLE_RATE_NON_ADDITIVE</x:v>
      </x:c>
      <x:c r="V119" t="str">
        <x:v>04_Quality_Log(6).xlsx</x:v>
      </x:c>
      <x:c r="W119" t="str">
        <x:v>ENH-20260830-01</x:v>
      </x:c>
      <x:c r="X119" t="str">
        <x:f>IF(AND(M119="OK",O119="OK"),"Active","Quarantine")</x:f>
        <x:v>Active</x:v>
      </x:c>
      <x:c r="Y119" t="str">
        <x:f>IF(X119="Active","LOAD","QUARANTINE")</x:f>
        <x:v>LOAD</x:v>
      </x:c>
    </x:row>
    <x:row r="120" ht="18" customHeight="1">
      <x:c r="A120" s="5" t="s">
        <x:v>26</x:v>
      </x:c>
      <x:c r="B120" s="5">
        <x:v>24</x:v>
      </x:c>
      <x:c r="C120" s="6">
        <x:v>45956</x:v>
      </x:c>
      <x:c r="D120" s="5" t="s">
        <x:v>49</x:v>
      </x:c>
      <x:c r="E120" s="7">
        <x:v>20</x:v>
      </x:c>
      <x:c r="F120" s="5" t="s">
        <x:v>31</x:v>
      </x:c>
      <x:c r="G120" s="8">
        <x:v>100</x:v>
      </x:c>
      <x:c r="H120" s="5" t="s">
        <x:v>34</x:v>
      </x:c>
      <x:c r="I120" s="8">
        <x:v>3</x:v>
      </x:c>
      <x:c r="J120" t="str">
        <x:f t="shared" si="4"/>
        <x:v>SAMP-KG01-L24-20251026-ORD-2025-00126-H20-Thin Wall</x:v>
      </x:c>
      <x:c r="K120" t="str">
        <x:f t="shared" si="5"/>
        <x:v>OK</x:v>
      </x:c>
      <x:c r="L120" t="str">
        <x:f t="shared" si="6"/>
        <x:v>OK</x:v>
      </x:c>
      <x:c r="M120" t="str">
        <x:f t="shared" si="7">IF(A120="","",IF(AND(K120="OK",L120="OK",O120="OK"),"OK","CHECK"))</x:f>
        <x:v>OK</x:v>
      </x:c>
      <x:c r="N120" t="str">
        <x:f>IF(A120="","", "PE-"&amp;A120&amp;"-L"&amp;TEXT(B120,"00")&amp;"-"&amp;TEXT(C120,"yyyymmdd")&amp;"-"&amp;F120&amp;"-"&amp;D120)</x:f>
        <x:v>PE-KG01-L24-20251026-PM-ORD-2025-00126</x:v>
      </x:c>
      <x:c r="O120" t="str">
        <x:f>IF(N120="","",IF(COUNTIF(_ProductionEventRef!$A$5:$A$500,N120)=1,"OK","CHECK"))</x:f>
        <x:v>OK</x:v>
      </x:c>
      <x:c r="P120" s="46" t="n">
        <x:f>IF(G120=0,0,I120/G120)</x:f>
        <x:v>0.03</x:v>
      </x:c>
      <x:c r="Q120" t="str">
        <x:v>SAMPLE_RATE_NON_ADDITIVE</x:v>
      </x:c>
      <x:c r="V120" t="str">
        <x:v>04_Quality_Log(6).xlsx</x:v>
      </x:c>
      <x:c r="W120" t="str">
        <x:v>ENH-20260830-01</x:v>
      </x:c>
      <x:c r="X120" t="str">
        <x:f>IF(AND(M120="OK",O120="OK"),"Active","Quarantine")</x:f>
        <x:v>Active</x:v>
      </x:c>
      <x:c r="Y120" t="str">
        <x:f>IF(X120="Active","LOAD","QUARANTINE")</x:f>
        <x:v>LOAD</x:v>
      </x:c>
    </x:row>
    <x:row r="121" ht="18" customHeight="1">
      <x:c r="A121" s="5" t="s">
        <x:v>26</x:v>
      </x:c>
      <x:c r="B121" s="5">
        <x:v>24</x:v>
      </x:c>
      <x:c r="C121" s="6">
        <x:v>45956</x:v>
      </x:c>
      <x:c r="D121" s="5" t="s">
        <x:v>49</x:v>
      </x:c>
      <x:c r="E121" s="7">
        <x:v>23</x:v>
      </x:c>
      <x:c r="F121" s="5" t="s">
        <x:v>31</x:v>
      </x:c>
      <x:c r="G121" s="8">
        <x:v>50</x:v>
      </x:c>
      <x:c r="H121" s="5" t="s">
        <x:v>29</x:v>
      </x:c>
      <x:c r="I121" s="8">
        <x:v>1</x:v>
      </x:c>
      <x:c r="J121" t="str">
        <x:f t="shared" si="4"/>
        <x:v>SAMP-KG01-L24-20251026-ORD-2025-00126-H23-Choke Neck</x:v>
      </x:c>
      <x:c r="K121" t="str">
        <x:f t="shared" si="5"/>
        <x:v>OK</x:v>
      </x:c>
      <x:c r="L121" t="str">
        <x:f t="shared" si="6"/>
        <x:v>OK</x:v>
      </x:c>
      <x:c r="M121" t="str">
        <x:f t="shared" si="7">IF(A121="","",IF(AND(K121="OK",L121="OK",O121="OK"),"OK","CHECK"))</x:f>
        <x:v>OK</x:v>
      </x:c>
      <x:c r="N121" t="str">
        <x:f>IF(A121="","", "PE-"&amp;A121&amp;"-L"&amp;TEXT(B121,"00")&amp;"-"&amp;TEXT(C121,"yyyymmdd")&amp;"-"&amp;F121&amp;"-"&amp;D121)</x:f>
        <x:v>PE-KG01-L24-20251026-PM-ORD-2025-00126</x:v>
      </x:c>
      <x:c r="O121" t="str">
        <x:f>IF(N121="","",IF(COUNTIF(_ProductionEventRef!$A$5:$A$500,N121)=1,"OK","CHECK"))</x:f>
        <x:v>OK</x:v>
      </x:c>
      <x:c r="P121" s="46" t="n">
        <x:f>IF(G121=0,0,I121/G121)</x:f>
        <x:v>0.02</x:v>
      </x:c>
      <x:c r="Q121" t="str">
        <x:v>SAMPLE_RATE_NON_ADDITIVE</x:v>
      </x:c>
      <x:c r="V121" t="str">
        <x:v>04_Quality_Log(6).xlsx</x:v>
      </x:c>
      <x:c r="W121" t="str">
        <x:v>ENH-20260830-01</x:v>
      </x:c>
      <x:c r="X121" t="str">
        <x:f>IF(AND(M121="OK",O121="OK"),"Active","Quarantine")</x:f>
        <x:v>Active</x:v>
      </x:c>
      <x:c r="Y121" t="str">
        <x:f>IF(X121="Active","LOAD","QUARANTINE")</x:f>
        <x:v>LOAD</x:v>
      </x:c>
    </x:row>
    <x:row r="122" ht="18" customHeight="1">
      <x:c r="A122" s="5" t="s">
        <x:v>26</x:v>
      </x:c>
      <x:c r="B122" s="5">
        <x:v>25</x:v>
      </x:c>
      <x:c r="C122" s="6">
        <x:v>45950</x:v>
      </x:c>
      <x:c r="D122" s="5" t="s">
        <x:v>50</x:v>
      </x:c>
      <x:c r="E122" s="7">
        <x:v>9</x:v>
      </x:c>
      <x:c r="F122" s="5" t="s">
        <x:v>28</x:v>
      </x:c>
      <x:c r="G122" s="8">
        <x:v>200</x:v>
      </x:c>
      <x:c r="H122" s="5" t="s">
        <x:v>30</x:v>
      </x:c>
      <x:c r="I122" s="8">
        <x:v>6</x:v>
      </x:c>
      <x:c r="J122" t="str">
        <x:f t="shared" si="4"/>
        <x:v>SAMP-KG01-L25-20251020-ORD-2025-00161-H09-Overpress</x:v>
      </x:c>
      <x:c r="K122" t="str">
        <x:f t="shared" si="5"/>
        <x:v>OK</x:v>
      </x:c>
      <x:c r="L122" t="str">
        <x:f t="shared" si="6"/>
        <x:v>OK</x:v>
      </x:c>
      <x:c r="M122" t="str">
        <x:f t="shared" si="7">IF(A122="","",IF(AND(K122="OK",L122="OK",O122="OK"),"OK","CHECK"))</x:f>
        <x:v>OK</x:v>
      </x:c>
      <x:c r="N122" t="str">
        <x:f>IF(A122="","", "PE-"&amp;A122&amp;"-L"&amp;TEXT(B122,"00")&amp;"-"&amp;TEXT(C122,"yyyymmdd")&amp;"-"&amp;F122&amp;"-"&amp;D122)</x:f>
        <x:v>PE-KG01-L25-20251020-AM-ORD-2025-00161</x:v>
      </x:c>
      <x:c r="O122" t="str">
        <x:f>IF(N122="","",IF(COUNTIF(_ProductionEventRef!$A$5:$A$500,N122)=1,"OK","CHECK"))</x:f>
        <x:v>OK</x:v>
      </x:c>
      <x:c r="P122" s="46" t="n">
        <x:f>IF(G122=0,0,I122/G122)</x:f>
        <x:v>0.03</x:v>
      </x:c>
      <x:c r="Q122" t="str">
        <x:v>SAMPLE_RATE_NON_ADDITIVE</x:v>
      </x:c>
      <x:c r="V122" t="str">
        <x:v>04_Quality_Log(6).xlsx</x:v>
      </x:c>
      <x:c r="W122" t="str">
        <x:v>ENH-20260830-01</x:v>
      </x:c>
      <x:c r="X122" t="str">
        <x:f>IF(AND(M122="OK",O122="OK"),"Active","Quarantine")</x:f>
        <x:v>Active</x:v>
      </x:c>
      <x:c r="Y122" t="str">
        <x:f>IF(X122="Active","LOAD","QUARANTINE")</x:f>
        <x:v>LOAD</x:v>
      </x:c>
    </x:row>
    <x:row r="123" ht="18" customHeight="1">
      <x:c r="A123" s="5" t="s">
        <x:v>26</x:v>
      </x:c>
      <x:c r="B123" s="5">
        <x:v>25</x:v>
      </x:c>
      <x:c r="C123" s="6">
        <x:v>45950</x:v>
      </x:c>
      <x:c r="D123" s="5" t="s">
        <x:v>50</x:v>
      </x:c>
      <x:c r="E123" s="7">
        <x:v>15</x:v>
      </x:c>
      <x:c r="F123" s="5" t="s">
        <x:v>28</x:v>
      </x:c>
      <x:c r="G123" s="8">
        <x:v>100</x:v>
      </x:c>
      <x:c r="H123" s="5" t="s">
        <x:v>30</x:v>
      </x:c>
      <x:c r="I123" s="8">
        <x:v>1</x:v>
      </x:c>
      <x:c r="J123" t="str">
        <x:f t="shared" si="4"/>
        <x:v>SAMP-KG01-L25-20251020-ORD-2025-00161-H15-Overpress</x:v>
      </x:c>
      <x:c r="K123" t="str">
        <x:f t="shared" si="5"/>
        <x:v>OK</x:v>
      </x:c>
      <x:c r="L123" t="str">
        <x:f t="shared" si="6"/>
        <x:v>OK</x:v>
      </x:c>
      <x:c r="M123" t="str">
        <x:f t="shared" si="7">IF(A123="","",IF(AND(K123="OK",L123="OK",O123="OK"),"OK","CHECK"))</x:f>
        <x:v>OK</x:v>
      </x:c>
      <x:c r="N123" t="str">
        <x:f>IF(A123="","", "PE-"&amp;A123&amp;"-L"&amp;TEXT(B123,"00")&amp;"-"&amp;TEXT(C123,"yyyymmdd")&amp;"-"&amp;F123&amp;"-"&amp;D123)</x:f>
        <x:v>PE-KG01-L25-20251020-AM-ORD-2025-00161</x:v>
      </x:c>
      <x:c r="O123" t="str">
        <x:f>IF(N123="","",IF(COUNTIF(_ProductionEventRef!$A$5:$A$500,N123)=1,"OK","CHECK"))</x:f>
        <x:v>OK</x:v>
      </x:c>
      <x:c r="P123" s="46" t="n">
        <x:f>IF(G123=0,0,I123/G123)</x:f>
        <x:v>0.01</x:v>
      </x:c>
      <x:c r="Q123" t="str">
        <x:v>SAMPLE_RATE_NON_ADDITIVE</x:v>
      </x:c>
      <x:c r="V123" t="str">
        <x:v>04_Quality_Log(6).xlsx</x:v>
      </x:c>
      <x:c r="W123" t="str">
        <x:v>ENH-20260830-01</x:v>
      </x:c>
      <x:c r="X123" t="str">
        <x:f>IF(AND(M123="OK",O123="OK"),"Active","Quarantine")</x:f>
        <x:v>Active</x:v>
      </x:c>
      <x:c r="Y123" t="str">
        <x:f>IF(X123="Active","LOAD","QUARANTINE")</x:f>
        <x:v>LOAD</x:v>
      </x:c>
    </x:row>
    <x:row r="124" ht="18" customHeight="1">
      <x:c r="A124" s="5" t="s">
        <x:v>26</x:v>
      </x:c>
      <x:c r="B124" s="5">
        <x:v>25</x:v>
      </x:c>
      <x:c r="C124" s="6">
        <x:v>45950</x:v>
      </x:c>
      <x:c r="D124" s="5" t="s">
        <x:v>50</x:v>
      </x:c>
      <x:c r="E124" s="7">
        <x:v>20</x:v>
      </x:c>
      <x:c r="F124" s="5" t="s">
        <x:v>31</x:v>
      </x:c>
      <x:c r="G124" s="8">
        <x:v>150</x:v>
      </x:c>
      <x:c r="H124" s="5" t="s">
        <x:v>34</x:v>
      </x:c>
      <x:c r="I124" s="8">
        <x:v>5</x:v>
      </x:c>
      <x:c r="J124" t="str">
        <x:f t="shared" si="4"/>
        <x:v>SAMP-KG01-L25-20251020-ORD-2025-00161-H20-Thin Wall</x:v>
      </x:c>
      <x:c r="K124" t="str">
        <x:f t="shared" si="5"/>
        <x:v>OK</x:v>
      </x:c>
      <x:c r="L124" t="str">
        <x:f t="shared" si="6"/>
        <x:v>OK</x:v>
      </x:c>
      <x:c r="M124" t="str">
        <x:f t="shared" si="7">IF(A124="","",IF(AND(K124="OK",L124="OK",O124="OK"),"OK","CHECK"))</x:f>
        <x:v>OK</x:v>
      </x:c>
      <x:c r="N124" t="str">
        <x:f>IF(A124="","", "PE-"&amp;A124&amp;"-L"&amp;TEXT(B124,"00")&amp;"-"&amp;TEXT(C124,"yyyymmdd")&amp;"-"&amp;F124&amp;"-"&amp;D124)</x:f>
        <x:v>PE-KG01-L25-20251020-PM-ORD-2025-00161</x:v>
      </x:c>
      <x:c r="O124" t="str">
        <x:f>IF(N124="","",IF(COUNTIF(_ProductionEventRef!$A$5:$A$500,N124)=1,"OK","CHECK"))</x:f>
        <x:v>OK</x:v>
      </x:c>
      <x:c r="P124" s="46" t="n">
        <x:f>IF(G124=0,0,I124/G124)</x:f>
        <x:v>0.03333333333333333</x:v>
      </x:c>
      <x:c r="Q124" t="str">
        <x:v>SAMPLE_RATE_NON_ADDITIVE</x:v>
      </x:c>
      <x:c r="V124" t="str">
        <x:v>04_Quality_Log(6).xlsx</x:v>
      </x:c>
      <x:c r="W124" t="str">
        <x:v>ENH-20260830-01</x:v>
      </x:c>
      <x:c r="X124" t="str">
        <x:f>IF(AND(M124="OK",O124="OK"),"Active","Quarantine")</x:f>
        <x:v>Active</x:v>
      </x:c>
      <x:c r="Y124" t="str">
        <x:f>IF(X124="Active","LOAD","QUARANTINE")</x:f>
        <x:v>LOAD</x:v>
      </x:c>
    </x:row>
    <x:row r="125" ht="18" customHeight="1">
      <x:c r="A125" s="5" t="s">
        <x:v>26</x:v>
      </x:c>
      <x:c r="B125" s="5">
        <x:v>25</x:v>
      </x:c>
      <x:c r="C125" s="6">
        <x:v>45950</x:v>
      </x:c>
      <x:c r="D125" s="5" t="s">
        <x:v>50</x:v>
      </x:c>
      <x:c r="E125" s="7">
        <x:v>23</x:v>
      </x:c>
      <x:c r="F125" s="5" t="s">
        <x:v>31</x:v>
      </x:c>
      <x:c r="G125" s="8">
        <x:v>50</x:v>
      </x:c>
      <x:c r="H125" s="5" t="s">
        <x:v>41</x:v>
      </x:c>
      <x:c r="I125" s="8">
        <x:v>0</x:v>
      </x:c>
      <x:c r="J125" t="str">
        <x:f t="shared" si="4"/>
        <x:v>SAMP-KG01-L25-20251020-ORD-2025-00161-H23-Chip</x:v>
      </x:c>
      <x:c r="K125" t="str">
        <x:f t="shared" si="5"/>
        <x:v>OK</x:v>
      </x:c>
      <x:c r="L125" t="str">
        <x:f t="shared" si="6"/>
        <x:v>OK</x:v>
      </x:c>
      <x:c r="M125" t="str">
        <x:f t="shared" si="7">IF(A125="","",IF(AND(K125="OK",L125="OK",O125="OK"),"OK","CHECK"))</x:f>
        <x:v>OK</x:v>
      </x:c>
      <x:c r="N125" t="str">
        <x:f>IF(A125="","", "PE-"&amp;A125&amp;"-L"&amp;TEXT(B125,"00")&amp;"-"&amp;TEXT(C125,"yyyymmdd")&amp;"-"&amp;F125&amp;"-"&amp;D125)</x:f>
        <x:v>PE-KG01-L25-20251020-PM-ORD-2025-00161</x:v>
      </x:c>
      <x:c r="O125" t="str">
        <x:f>IF(N125="","",IF(COUNTIF(_ProductionEventRef!$A$5:$A$500,N125)=1,"OK","CHECK"))</x:f>
        <x:v>OK</x:v>
      </x:c>
      <x:c r="P125" s="46" t="n">
        <x:f>IF(G125=0,0,I125/G125)</x:f>
        <x:v>0</x:v>
      </x:c>
      <x:c r="Q125" t="str">
        <x:v>SAMPLE_RATE_NON_ADDITIVE</x:v>
      </x:c>
      <x:c r="V125" t="str">
        <x:v>04_Quality_Log(6).xlsx</x:v>
      </x:c>
      <x:c r="W125" t="str">
        <x:v>ENH-20260830-01</x:v>
      </x:c>
      <x:c r="X125" t="str">
        <x:f>IF(AND(M125="OK",O125="OK"),"Active","Quarantine")</x:f>
        <x:v>Active</x:v>
      </x:c>
      <x:c r="Y125" t="str">
        <x:f>IF(X125="Active","LOAD","QUARANTINE")</x:f>
        <x:v>LOAD</x:v>
      </x:c>
    </x:row>
    <x:row r="126" ht="18" customHeight="1">
      <x:c r="A126" s="5" t="s">
        <x:v>26</x:v>
      </x:c>
      <x:c r="B126" s="5">
        <x:v>25</x:v>
      </x:c>
      <x:c r="C126" s="6">
        <x:v>45951</x:v>
      </x:c>
      <x:c r="D126" s="5" t="s">
        <x:v>50</x:v>
      </x:c>
      <x:c r="E126" s="7">
        <x:v>9</x:v>
      </x:c>
      <x:c r="F126" s="5" t="s">
        <x:v>28</x:v>
      </x:c>
      <x:c r="G126" s="8">
        <x:v>150</x:v>
      </x:c>
      <x:c r="H126" s="5" t="s">
        <x:v>34</x:v>
      </x:c>
      <x:c r="I126" s="8">
        <x:v>3</x:v>
      </x:c>
      <x:c r="J126" t="str">
        <x:f t="shared" si="4"/>
        <x:v>SAMP-KG01-L25-20251021-ORD-2025-00161-H09-Thin Wall</x:v>
      </x:c>
      <x:c r="K126" t="str">
        <x:f t="shared" si="5"/>
        <x:v>OK</x:v>
      </x:c>
      <x:c r="L126" t="str">
        <x:f t="shared" si="6"/>
        <x:v>OK</x:v>
      </x:c>
      <x:c r="M126" t="str">
        <x:f t="shared" si="7">IF(A126="","",IF(AND(K126="OK",L126="OK",O126="OK"),"OK","CHECK"))</x:f>
        <x:v>OK</x:v>
      </x:c>
      <x:c r="N126" t="str">
        <x:f>IF(A126="","", "PE-"&amp;A126&amp;"-L"&amp;TEXT(B126,"00")&amp;"-"&amp;TEXT(C126,"yyyymmdd")&amp;"-"&amp;F126&amp;"-"&amp;D126)</x:f>
        <x:v>PE-KG01-L25-20251021-AM-ORD-2025-00161</x:v>
      </x:c>
      <x:c r="O126" t="str">
        <x:f>IF(N126="","",IF(COUNTIF(_ProductionEventRef!$A$5:$A$500,N126)=1,"OK","CHECK"))</x:f>
        <x:v>OK</x:v>
      </x:c>
      <x:c r="P126" s="46" t="n">
        <x:f>IF(G126=0,0,I126/G126)</x:f>
        <x:v>0.02</x:v>
      </x:c>
      <x:c r="Q126" t="str">
        <x:v>SAMPLE_RATE_NON_ADDITIVE</x:v>
      </x:c>
      <x:c r="V126" t="str">
        <x:v>04_Quality_Log(6).xlsx</x:v>
      </x:c>
      <x:c r="W126" t="str">
        <x:v>ENH-20260830-01</x:v>
      </x:c>
      <x:c r="X126" t="str">
        <x:f>IF(AND(M126="OK",O126="OK"),"Active","Quarantine")</x:f>
        <x:v>Active</x:v>
      </x:c>
      <x:c r="Y126" t="str">
        <x:f>IF(X126="Active","LOAD","QUARANTINE")</x:f>
        <x:v>LOAD</x:v>
      </x:c>
    </x:row>
    <x:row r="127" ht="18" customHeight="1">
      <x:c r="A127" s="5" t="s">
        <x:v>26</x:v>
      </x:c>
      <x:c r="B127" s="5">
        <x:v>25</x:v>
      </x:c>
      <x:c r="C127" s="6">
        <x:v>45951</x:v>
      </x:c>
      <x:c r="D127" s="5" t="s">
        <x:v>50</x:v>
      </x:c>
      <x:c r="E127" s="7">
        <x:v>15</x:v>
      </x:c>
      <x:c r="F127" s="5" t="s">
        <x:v>28</x:v>
      </x:c>
      <x:c r="G127" s="8">
        <x:v>100</x:v>
      </x:c>
      <x:c r="H127" s="5" t="s">
        <x:v>30</x:v>
      </x:c>
      <x:c r="I127" s="8">
        <x:v>1</x:v>
      </x:c>
      <x:c r="J127" t="str">
        <x:f t="shared" si="4"/>
        <x:v>SAMP-KG01-L25-20251021-ORD-2025-00161-H15-Overpress</x:v>
      </x:c>
      <x:c r="K127" t="str">
        <x:f t="shared" si="5"/>
        <x:v>OK</x:v>
      </x:c>
      <x:c r="L127" t="str">
        <x:f t="shared" si="6"/>
        <x:v>OK</x:v>
      </x:c>
      <x:c r="M127" t="str">
        <x:f t="shared" si="7">IF(A127="","",IF(AND(K127="OK",L127="OK",O127="OK"),"OK","CHECK"))</x:f>
        <x:v>OK</x:v>
      </x:c>
      <x:c r="N127" t="str">
        <x:f>IF(A127="","", "PE-"&amp;A127&amp;"-L"&amp;TEXT(B127,"00")&amp;"-"&amp;TEXT(C127,"yyyymmdd")&amp;"-"&amp;F127&amp;"-"&amp;D127)</x:f>
        <x:v>PE-KG01-L25-20251021-AM-ORD-2025-00161</x:v>
      </x:c>
      <x:c r="O127" t="str">
        <x:f>IF(N127="","",IF(COUNTIF(_ProductionEventRef!$A$5:$A$500,N127)=1,"OK","CHECK"))</x:f>
        <x:v>OK</x:v>
      </x:c>
      <x:c r="P127" s="46" t="n">
        <x:f>IF(G127=0,0,I127/G127)</x:f>
        <x:v>0.01</x:v>
      </x:c>
      <x:c r="Q127" t="str">
        <x:v>SAMPLE_RATE_NON_ADDITIVE</x:v>
      </x:c>
      <x:c r="V127" t="str">
        <x:v>04_Quality_Log(6).xlsx</x:v>
      </x:c>
      <x:c r="W127" t="str">
        <x:v>ENH-20260830-01</x:v>
      </x:c>
      <x:c r="X127" t="str">
        <x:f>IF(AND(M127="OK",O127="OK"),"Active","Quarantine")</x:f>
        <x:v>Active</x:v>
      </x:c>
      <x:c r="Y127" t="str">
        <x:f>IF(X127="Active","LOAD","QUARANTINE")</x:f>
        <x:v>LOAD</x:v>
      </x:c>
    </x:row>
    <x:row r="128" ht="18" customHeight="1">
      <x:c r="A128" s="5" t="s">
        <x:v>26</x:v>
      </x:c>
      <x:c r="B128" s="5">
        <x:v>25</x:v>
      </x:c>
      <x:c r="C128" s="6">
        <x:v>45951</x:v>
      </x:c>
      <x:c r="D128" s="5" t="s">
        <x:v>50</x:v>
      </x:c>
      <x:c r="E128" s="7">
        <x:v>20</x:v>
      </x:c>
      <x:c r="F128" s="5" t="s">
        <x:v>31</x:v>
      </x:c>
      <x:c r="G128" s="8">
        <x:v>100</x:v>
      </x:c>
      <x:c r="H128" s="5" t="s">
        <x:v>38</x:v>
      </x:c>
      <x:c r="I128" s="8">
        <x:v>2</x:v>
      </x:c>
      <x:c r="J128" t="str">
        <x:f t="shared" si="4"/>
        <x:v>SAMP-KG01-L25-20251021-ORD-2025-00161-H20-Crack</x:v>
      </x:c>
      <x:c r="K128" t="str">
        <x:f t="shared" si="5"/>
        <x:v>OK</x:v>
      </x:c>
      <x:c r="L128" t="str">
        <x:f t="shared" si="6"/>
        <x:v>OK</x:v>
      </x:c>
      <x:c r="M128" t="str">
        <x:f t="shared" si="7">IF(A128="","",IF(AND(K128="OK",L128="OK",O128="OK"),"OK","CHECK"))</x:f>
        <x:v>OK</x:v>
      </x:c>
      <x:c r="N128" t="str">
        <x:f>IF(A128="","", "PE-"&amp;A128&amp;"-L"&amp;TEXT(B128,"00")&amp;"-"&amp;TEXT(C128,"yyyymmdd")&amp;"-"&amp;F128&amp;"-"&amp;D128)</x:f>
        <x:v>PE-KG01-L25-20251021-PM-ORD-2025-00161</x:v>
      </x:c>
      <x:c r="O128" t="str">
        <x:f>IF(N128="","",IF(COUNTIF(_ProductionEventRef!$A$5:$A$500,N128)=1,"OK","CHECK"))</x:f>
        <x:v>OK</x:v>
      </x:c>
      <x:c r="P128" s="46" t="n">
        <x:f>IF(G128=0,0,I128/G128)</x:f>
        <x:v>0.02</x:v>
      </x:c>
      <x:c r="Q128" t="str">
        <x:v>SAMPLE_RATE_NON_ADDITIVE</x:v>
      </x:c>
      <x:c r="V128" t="str">
        <x:v>04_Quality_Log(6).xlsx</x:v>
      </x:c>
      <x:c r="W128" t="str">
        <x:v>ENH-20260830-01</x:v>
      </x:c>
      <x:c r="X128" t="str">
        <x:f>IF(AND(M128="OK",O128="OK"),"Active","Quarantine")</x:f>
        <x:v>Active</x:v>
      </x:c>
      <x:c r="Y128" t="str">
        <x:f>IF(X128="Active","LOAD","QUARANTINE")</x:f>
        <x:v>LOAD</x:v>
      </x:c>
    </x:row>
    <x:row r="129" ht="18" customHeight="1">
      <x:c r="A129" s="5" t="s">
        <x:v>26</x:v>
      </x:c>
      <x:c r="B129" s="5">
        <x:v>25</x:v>
      </x:c>
      <x:c r="C129" s="6">
        <x:v>45951</x:v>
      </x:c>
      <x:c r="D129" s="5" t="s">
        <x:v>50</x:v>
      </x:c>
      <x:c r="E129" s="7">
        <x:v>23</x:v>
      </x:c>
      <x:c r="F129" s="5" t="s">
        <x:v>31</x:v>
      </x:c>
      <x:c r="G129" s="8">
        <x:v>200</x:v>
      </x:c>
      <x:c r="H129" s="5" t="s">
        <x:v>29</x:v>
      </x:c>
      <x:c r="I129" s="8">
        <x:v>3</x:v>
      </x:c>
      <x:c r="J129" t="str">
        <x:f t="shared" si="4"/>
        <x:v>SAMP-KG01-L25-20251021-ORD-2025-00161-H23-Choke Neck</x:v>
      </x:c>
      <x:c r="K129" t="str">
        <x:f t="shared" si="5"/>
        <x:v>OK</x:v>
      </x:c>
      <x:c r="L129" t="str">
        <x:f t="shared" si="6"/>
        <x:v>OK</x:v>
      </x:c>
      <x:c r="M129" t="str">
        <x:f t="shared" si="7">IF(A129="","",IF(AND(K129="OK",L129="OK",O129="OK"),"OK","CHECK"))</x:f>
        <x:v>OK</x:v>
      </x:c>
      <x:c r="N129" t="str">
        <x:f>IF(A129="","", "PE-"&amp;A129&amp;"-L"&amp;TEXT(B129,"00")&amp;"-"&amp;TEXT(C129,"yyyymmdd")&amp;"-"&amp;F129&amp;"-"&amp;D129)</x:f>
        <x:v>PE-KG01-L25-20251021-PM-ORD-2025-00161</x:v>
      </x:c>
      <x:c r="O129" t="str">
        <x:f>IF(N129="","",IF(COUNTIF(_ProductionEventRef!$A$5:$A$500,N129)=1,"OK","CHECK"))</x:f>
        <x:v>OK</x:v>
      </x:c>
      <x:c r="P129" s="46" t="n">
        <x:f>IF(G129=0,0,I129/G129)</x:f>
        <x:v>0.015</x:v>
      </x:c>
      <x:c r="Q129" t="str">
        <x:v>SAMPLE_RATE_NON_ADDITIVE</x:v>
      </x:c>
      <x:c r="V129" t="str">
        <x:v>04_Quality_Log(6).xlsx</x:v>
      </x:c>
      <x:c r="W129" t="str">
        <x:v>ENH-20260830-01</x:v>
      </x:c>
      <x:c r="X129" t="str">
        <x:f>IF(AND(M129="OK",O129="OK"),"Active","Quarantine")</x:f>
        <x:v>Active</x:v>
      </x:c>
      <x:c r="Y129" t="str">
        <x:f>IF(X129="Active","LOAD","QUARANTINE")</x:f>
        <x:v>LOAD</x:v>
      </x:c>
    </x:row>
    <x:row r="130" ht="18" customHeight="1">
      <x:c r="A130" s="5" t="s">
        <x:v>26</x:v>
      </x:c>
      <x:c r="B130" s="5">
        <x:v>25</x:v>
      </x:c>
      <x:c r="C130" s="6">
        <x:v>45952</x:v>
      </x:c>
      <x:c r="D130" s="5" t="s">
        <x:v>50</x:v>
      </x:c>
      <x:c r="E130" s="7">
        <x:v>9</x:v>
      </x:c>
      <x:c r="F130" s="5" t="s">
        <x:v>28</x:v>
      </x:c>
      <x:c r="G130" s="8">
        <x:v>50</x:v>
      </x:c>
      <x:c r="H130" s="5" t="s">
        <x:v>38</x:v>
      </x:c>
      <x:c r="I130" s="8">
        <x:v>0</x:v>
      </x:c>
      <x:c r="J130" t="str">
        <x:f t="shared" si="4"/>
        <x:v>SAMP-KG01-L25-20251022-ORD-2025-00161-H09-Crack</x:v>
      </x:c>
      <x:c r="K130" t="str">
        <x:f t="shared" si="5"/>
        <x:v>OK</x:v>
      </x:c>
      <x:c r="L130" t="str">
        <x:f t="shared" si="6"/>
        <x:v>OK</x:v>
      </x:c>
      <x:c r="M130" t="str">
        <x:f t="shared" si="7">IF(A130="","",IF(AND(K130="OK",L130="OK",O130="OK"),"OK","CHECK"))</x:f>
        <x:v>OK</x:v>
      </x:c>
      <x:c r="N130" t="str">
        <x:f>IF(A130="","", "PE-"&amp;A130&amp;"-L"&amp;TEXT(B130,"00")&amp;"-"&amp;TEXT(C130,"yyyymmdd")&amp;"-"&amp;F130&amp;"-"&amp;D130)</x:f>
        <x:v>PE-KG01-L25-20251022-AM-ORD-2025-00161</x:v>
      </x:c>
      <x:c r="O130" t="str">
        <x:f>IF(N130="","",IF(COUNTIF(_ProductionEventRef!$A$5:$A$500,N130)=1,"OK","CHECK"))</x:f>
        <x:v>OK</x:v>
      </x:c>
      <x:c r="P130" s="46" t="n">
        <x:f>IF(G130=0,0,I130/G130)</x:f>
        <x:v>0</x:v>
      </x:c>
      <x:c r="Q130" t="str">
        <x:v>SAMPLE_RATE_NON_ADDITIVE</x:v>
      </x:c>
      <x:c r="V130" t="str">
        <x:v>04_Quality_Log(6).xlsx</x:v>
      </x:c>
      <x:c r="W130" t="str">
        <x:v>ENH-20260830-01</x:v>
      </x:c>
      <x:c r="X130" t="str">
        <x:f>IF(AND(M130="OK",O130="OK"),"Active","Quarantine")</x:f>
        <x:v>Active</x:v>
      </x:c>
      <x:c r="Y130" t="str">
        <x:f>IF(X130="Active","LOAD","QUARANTINE")</x:f>
        <x:v>LOAD</x:v>
      </x:c>
    </x:row>
    <x:row r="131" ht="18" customHeight="1">
      <x:c r="A131" s="5" t="s">
        <x:v>26</x:v>
      </x:c>
      <x:c r="B131" s="5">
        <x:v>25</x:v>
      </x:c>
      <x:c r="C131" s="6">
        <x:v>45952</x:v>
      </x:c>
      <x:c r="D131" s="5" t="s">
        <x:v>50</x:v>
      </x:c>
      <x:c r="E131" s="7">
        <x:v>15</x:v>
      </x:c>
      <x:c r="F131" s="5" t="s">
        <x:v>28</x:v>
      </x:c>
      <x:c r="G131" s="8">
        <x:v>100</x:v>
      </x:c>
      <x:c r="H131" s="5" t="s">
        <x:v>38</x:v>
      </x:c>
      <x:c r="I131" s="8">
        <x:v>3</x:v>
      </x:c>
      <x:c r="J131" t="str">
        <x:f t="shared" si="4"/>
        <x:v>SAMP-KG01-L25-20251022-ORD-2025-00161-H15-Crack</x:v>
      </x:c>
      <x:c r="K131" t="str">
        <x:f t="shared" si="5"/>
        <x:v>OK</x:v>
      </x:c>
      <x:c r="L131" t="str">
        <x:f t="shared" si="6"/>
        <x:v>OK</x:v>
      </x:c>
      <x:c r="M131" t="str">
        <x:f t="shared" si="7">IF(A131="","",IF(AND(K131="OK",L131="OK",O131="OK"),"OK","CHECK"))</x:f>
        <x:v>OK</x:v>
      </x:c>
      <x:c r="N131" t="str">
        <x:f>IF(A131="","", "PE-"&amp;A131&amp;"-L"&amp;TEXT(B131,"00")&amp;"-"&amp;TEXT(C131,"yyyymmdd")&amp;"-"&amp;F131&amp;"-"&amp;D131)</x:f>
        <x:v>PE-KG01-L25-20251022-AM-ORD-2025-00161</x:v>
      </x:c>
      <x:c r="O131" t="str">
        <x:f>IF(N131="","",IF(COUNTIF(_ProductionEventRef!$A$5:$A$500,N131)=1,"OK","CHECK"))</x:f>
        <x:v>OK</x:v>
      </x:c>
      <x:c r="P131" s="46" t="n">
        <x:f>IF(G131=0,0,I131/G131)</x:f>
        <x:v>0.03</x:v>
      </x:c>
      <x:c r="Q131" t="str">
        <x:v>SAMPLE_RATE_NON_ADDITIVE</x:v>
      </x:c>
      <x:c r="V131" t="str">
        <x:v>04_Quality_Log(6).xlsx</x:v>
      </x:c>
      <x:c r="W131" t="str">
        <x:v>ENH-20260830-01</x:v>
      </x:c>
      <x:c r="X131" t="str">
        <x:f>IF(AND(M131="OK",O131="OK"),"Active","Quarantine")</x:f>
        <x:v>Active</x:v>
      </x:c>
      <x:c r="Y131" t="str">
        <x:f>IF(X131="Active","LOAD","QUARANTINE")</x:f>
        <x:v>LOAD</x:v>
      </x:c>
    </x:row>
    <x:row r="132" ht="18" customHeight="1">
      <x:c r="A132" s="5" t="s">
        <x:v>26</x:v>
      </x:c>
      <x:c r="B132" s="5">
        <x:v>25</x:v>
      </x:c>
      <x:c r="C132" s="6">
        <x:v>45952</x:v>
      </x:c>
      <x:c r="D132" s="5" t="s">
        <x:v>50</x:v>
      </x:c>
      <x:c r="E132" s="7">
        <x:v>20</x:v>
      </x:c>
      <x:c r="F132" s="5" t="s">
        <x:v>31</x:v>
      </x:c>
      <x:c r="G132" s="8">
        <x:v>100</x:v>
      </x:c>
      <x:c r="H132" s="5" t="s">
        <x:v>29</x:v>
      </x:c>
      <x:c r="I132" s="8">
        <x:v>2</x:v>
      </x:c>
      <x:c r="J132" t="str">
        <x:f t="shared" si="4"/>
        <x:v>SAMP-KG01-L25-20251022-ORD-2025-00161-H20-Choke Neck</x:v>
      </x:c>
      <x:c r="K132" t="str">
        <x:f t="shared" si="5"/>
        <x:v>OK</x:v>
      </x:c>
      <x:c r="L132" t="str">
        <x:f t="shared" si="6"/>
        <x:v>OK</x:v>
      </x:c>
      <x:c r="M132" t="str">
        <x:f t="shared" si="7">IF(A132="","",IF(AND(K132="OK",L132="OK",O132="OK"),"OK","CHECK"))</x:f>
        <x:v>OK</x:v>
      </x:c>
      <x:c r="N132" t="str">
        <x:f>IF(A132="","", "PE-"&amp;A132&amp;"-L"&amp;TEXT(B132,"00")&amp;"-"&amp;TEXT(C132,"yyyymmdd")&amp;"-"&amp;F132&amp;"-"&amp;D132)</x:f>
        <x:v>PE-KG01-L25-20251022-PM-ORD-2025-00161</x:v>
      </x:c>
      <x:c r="O132" t="str">
        <x:f>IF(N132="","",IF(COUNTIF(_ProductionEventRef!$A$5:$A$500,N132)=1,"OK","CHECK"))</x:f>
        <x:v>OK</x:v>
      </x:c>
      <x:c r="P132" s="46" t="n">
        <x:f>IF(G132=0,0,I132/G132)</x:f>
        <x:v>0.02</x:v>
      </x:c>
      <x:c r="Q132" t="str">
        <x:v>SAMPLE_RATE_NON_ADDITIVE</x:v>
      </x:c>
      <x:c r="V132" t="str">
        <x:v>04_Quality_Log(6).xlsx</x:v>
      </x:c>
      <x:c r="W132" t="str">
        <x:v>ENH-20260830-01</x:v>
      </x:c>
      <x:c r="X132" t="str">
        <x:f>IF(AND(M132="OK",O132="OK"),"Active","Quarantine")</x:f>
        <x:v>Active</x:v>
      </x:c>
      <x:c r="Y132" t="str">
        <x:f>IF(X132="Active","LOAD","QUARANTINE")</x:f>
        <x:v>LOAD</x:v>
      </x:c>
    </x:row>
    <x:row r="133" ht="18" customHeight="1">
      <x:c r="A133" s="5" t="s">
        <x:v>26</x:v>
      </x:c>
      <x:c r="B133" s="5">
        <x:v>25</x:v>
      </x:c>
      <x:c r="C133" s="6">
        <x:v>45952</x:v>
      </x:c>
      <x:c r="D133" s="5" t="s">
        <x:v>50</x:v>
      </x:c>
      <x:c r="E133" s="7">
        <x:v>23</x:v>
      </x:c>
      <x:c r="F133" s="5" t="s">
        <x:v>31</x:v>
      </x:c>
      <x:c r="G133" s="8">
        <x:v>50</x:v>
      </x:c>
      <x:c r="H133" s="5" t="s">
        <x:v>30</x:v>
      </x:c>
      <x:c r="I133" s="8">
        <x:v>1</x:v>
      </x:c>
      <x:c r="J133" t="str">
        <x:f t="shared" ref="J133:J196" si="8">IF(A133="","", "SAMP-"&amp;A133&amp;"-L"&amp;TEXT(B133,"00")&amp;"-"&amp;TEXT(C133,"yyyymmdd")&amp;"-"&amp;D133&amp;"-H"&amp;TEXT(E133,"00")&amp;"-"&amp;H133)</x:f>
        <x:v>SAMP-KG01-L25-20251022-ORD-2025-00161-H23-Overpress</x:v>
      </x:c>
      <x:c r="K133" t="str">
        <x:f t="shared" ref="K133:K196" si="9">IF(A133="","",IF(AND(G133&gt;=0,I133&gt;=0,I133&lt;=G133),"OK","CHECK"))</x:f>
        <x:v>OK</x:v>
      </x:c>
      <x:c r="L133" t="str">
        <x:f t="shared" ref="L133:L196" si="10">IF(A133="","",IF(AND(E133&gt;=0,E133&lt;=23),"OK","CHECK"))</x:f>
        <x:v>OK</x:v>
      </x:c>
      <x:c r="M133" t="str">
        <x:f t="shared" ref="M133:M196" si="11">IF(A133="","",IF(AND(K133="OK",L133="OK",O133="OK"),"OK","CHECK"))</x:f>
        <x:v>OK</x:v>
      </x:c>
      <x:c r="N133" t="str">
        <x:f>IF(A133="","", "PE-"&amp;A133&amp;"-L"&amp;TEXT(B133,"00")&amp;"-"&amp;TEXT(C133,"yyyymmdd")&amp;"-"&amp;F133&amp;"-"&amp;D133)</x:f>
        <x:v>PE-KG01-L25-20251022-PM-ORD-2025-00161</x:v>
      </x:c>
      <x:c r="O133" t="str">
        <x:f>IF(N133="","",IF(COUNTIF(_ProductionEventRef!$A$5:$A$500,N133)=1,"OK","CHECK"))</x:f>
        <x:v>OK</x:v>
      </x:c>
      <x:c r="P133" s="46" t="n">
        <x:f>IF(G133=0,0,I133/G133)</x:f>
        <x:v>0.02</x:v>
      </x:c>
      <x:c r="Q133" t="str">
        <x:v>SAMPLE_RATE_NON_ADDITIVE</x:v>
      </x:c>
      <x:c r="V133" t="str">
        <x:v>04_Quality_Log(6).xlsx</x:v>
      </x:c>
      <x:c r="W133" t="str">
        <x:v>ENH-20260830-01</x:v>
      </x:c>
      <x:c r="X133" t="str">
        <x:f>IF(AND(M133="OK",O133="OK"),"Active","Quarantine")</x:f>
        <x:v>Active</x:v>
      </x:c>
      <x:c r="Y133" t="str">
        <x:f>IF(X133="Active","LOAD","QUARANTINE")</x:f>
        <x:v>LOAD</x:v>
      </x:c>
    </x:row>
    <x:row r="134" ht="18" customHeight="1">
      <x:c r="A134" s="5" t="s">
        <x:v>26</x:v>
      </x:c>
      <x:c r="B134" s="5">
        <x:v>25</x:v>
      </x:c>
      <x:c r="C134" s="6">
        <x:v>45953</x:v>
      </x:c>
      <x:c r="D134" s="5" t="s">
        <x:v>51</x:v>
      </x:c>
      <x:c r="E134" s="7">
        <x:v>9</x:v>
      </x:c>
      <x:c r="F134" s="5" t="s">
        <x:v>28</x:v>
      </x:c>
      <x:c r="G134" s="8">
        <x:v>100</x:v>
      </x:c>
      <x:c r="H134" s="5" t="s">
        <x:v>34</x:v>
      </x:c>
      <x:c r="I134" s="8">
        <x:v>2</x:v>
      </x:c>
      <x:c r="J134" t="str">
        <x:f t="shared" si="8"/>
        <x:v>SAMP-KG01-L25-20251023-ORD-2025-00162-H09-Thin Wall</x:v>
      </x:c>
      <x:c r="K134" t="str">
        <x:f t="shared" si="9"/>
        <x:v>OK</x:v>
      </x:c>
      <x:c r="L134" t="str">
        <x:f t="shared" si="10"/>
        <x:v>OK</x:v>
      </x:c>
      <x:c r="M134" t="str">
        <x:f t="shared" si="11">IF(A134="","",IF(AND(K134="OK",L134="OK",O134="OK"),"OK","CHECK"))</x:f>
        <x:v>OK</x:v>
      </x:c>
      <x:c r="N134" t="str">
        <x:f>IF(A134="","", "PE-"&amp;A134&amp;"-L"&amp;TEXT(B134,"00")&amp;"-"&amp;TEXT(C134,"yyyymmdd")&amp;"-"&amp;F134&amp;"-"&amp;D134)</x:f>
        <x:v>PE-KG01-L25-20251023-AM-ORD-2025-00162</x:v>
      </x:c>
      <x:c r="O134" t="str">
        <x:f>IF(N134="","",IF(COUNTIF(_ProductionEventRef!$A$5:$A$500,N134)=1,"OK","CHECK"))</x:f>
        <x:v>OK</x:v>
      </x:c>
      <x:c r="P134" s="46" t="n">
        <x:f>IF(G134=0,0,I134/G134)</x:f>
        <x:v>0.02</x:v>
      </x:c>
      <x:c r="Q134" t="str">
        <x:v>SAMPLE_RATE_NON_ADDITIVE</x:v>
      </x:c>
      <x:c r="V134" t="str">
        <x:v>04_Quality_Log(6).xlsx</x:v>
      </x:c>
      <x:c r="W134" t="str">
        <x:v>ENH-20260830-01</x:v>
      </x:c>
      <x:c r="X134" t="str">
        <x:f>IF(AND(M134="OK",O134="OK"),"Active","Quarantine")</x:f>
        <x:v>Active</x:v>
      </x:c>
      <x:c r="Y134" t="str">
        <x:f>IF(X134="Active","LOAD","QUARANTINE")</x:f>
        <x:v>LOAD</x:v>
      </x:c>
    </x:row>
    <x:row r="135" ht="18" customHeight="1">
      <x:c r="A135" s="5" t="s">
        <x:v>26</x:v>
      </x:c>
      <x:c r="B135" s="5">
        <x:v>25</x:v>
      </x:c>
      <x:c r="C135" s="6">
        <x:v>45953</x:v>
      </x:c>
      <x:c r="D135" s="5" t="s">
        <x:v>51</x:v>
      </x:c>
      <x:c r="E135" s="7">
        <x:v>15</x:v>
      </x:c>
      <x:c r="F135" s="5" t="s">
        <x:v>28</x:v>
      </x:c>
      <x:c r="G135" s="8">
        <x:v>200</x:v>
      </x:c>
      <x:c r="H135" s="5" t="s">
        <x:v>41</x:v>
      </x:c>
      <x:c r="I135" s="8">
        <x:v>5</x:v>
      </x:c>
      <x:c r="J135" t="str">
        <x:f t="shared" si="8"/>
        <x:v>SAMP-KG01-L25-20251023-ORD-2025-00162-H15-Chip</x:v>
      </x:c>
      <x:c r="K135" t="str">
        <x:f t="shared" si="9"/>
        <x:v>OK</x:v>
      </x:c>
      <x:c r="L135" t="str">
        <x:f t="shared" si="10"/>
        <x:v>OK</x:v>
      </x:c>
      <x:c r="M135" t="str">
        <x:f t="shared" si="11">IF(A135="","",IF(AND(K135="OK",L135="OK",O135="OK"),"OK","CHECK"))</x:f>
        <x:v>OK</x:v>
      </x:c>
      <x:c r="N135" t="str">
        <x:f>IF(A135="","", "PE-"&amp;A135&amp;"-L"&amp;TEXT(B135,"00")&amp;"-"&amp;TEXT(C135,"yyyymmdd")&amp;"-"&amp;F135&amp;"-"&amp;D135)</x:f>
        <x:v>PE-KG01-L25-20251023-AM-ORD-2025-00162</x:v>
      </x:c>
      <x:c r="O135" t="str">
        <x:f>IF(N135="","",IF(COUNTIF(_ProductionEventRef!$A$5:$A$500,N135)=1,"OK","CHECK"))</x:f>
        <x:v>OK</x:v>
      </x:c>
      <x:c r="P135" s="46" t="n">
        <x:f>IF(G135=0,0,I135/G135)</x:f>
        <x:v>0.025</x:v>
      </x:c>
      <x:c r="Q135" t="str">
        <x:v>SAMPLE_RATE_NON_ADDITIVE</x:v>
      </x:c>
      <x:c r="V135" t="str">
        <x:v>04_Quality_Log(6).xlsx</x:v>
      </x:c>
      <x:c r="W135" t="str">
        <x:v>ENH-20260830-01</x:v>
      </x:c>
      <x:c r="X135" t="str">
        <x:f>IF(AND(M135="OK",O135="OK"),"Active","Quarantine")</x:f>
        <x:v>Active</x:v>
      </x:c>
      <x:c r="Y135" t="str">
        <x:f>IF(X135="Active","LOAD","QUARANTINE")</x:f>
        <x:v>LOAD</x:v>
      </x:c>
    </x:row>
    <x:row r="136" ht="18" customHeight="1">
      <x:c r="A136" s="5" t="s">
        <x:v>26</x:v>
      </x:c>
      <x:c r="B136" s="5">
        <x:v>25</x:v>
      </x:c>
      <x:c r="C136" s="6">
        <x:v>45953</x:v>
      </x:c>
      <x:c r="D136" s="5" t="s">
        <x:v>51</x:v>
      </x:c>
      <x:c r="E136" s="7">
        <x:v>20</x:v>
      </x:c>
      <x:c r="F136" s="5" t="s">
        <x:v>31</x:v>
      </x:c>
      <x:c r="G136" s="8">
        <x:v>150</x:v>
      </x:c>
      <x:c r="H136" s="5" t="s">
        <x:v>30</x:v>
      </x:c>
      <x:c r="I136" s="8">
        <x:v>2</x:v>
      </x:c>
      <x:c r="J136" t="str">
        <x:f t="shared" si="8"/>
        <x:v>SAMP-KG01-L25-20251023-ORD-2025-00162-H20-Overpress</x:v>
      </x:c>
      <x:c r="K136" t="str">
        <x:f t="shared" si="9"/>
        <x:v>OK</x:v>
      </x:c>
      <x:c r="L136" t="str">
        <x:f t="shared" si="10"/>
        <x:v>OK</x:v>
      </x:c>
      <x:c r="M136" t="str">
        <x:f t="shared" si="11">IF(A136="","",IF(AND(K136="OK",L136="OK",O136="OK"),"OK","CHECK"))</x:f>
        <x:v>OK</x:v>
      </x:c>
      <x:c r="N136" t="str">
        <x:f>IF(A136="","", "PE-"&amp;A136&amp;"-L"&amp;TEXT(B136,"00")&amp;"-"&amp;TEXT(C136,"yyyymmdd")&amp;"-"&amp;F136&amp;"-"&amp;D136)</x:f>
        <x:v>PE-KG01-L25-20251023-PM-ORD-2025-00162</x:v>
      </x:c>
      <x:c r="O136" t="str">
        <x:f>IF(N136="","",IF(COUNTIF(_ProductionEventRef!$A$5:$A$500,N136)=1,"OK","CHECK"))</x:f>
        <x:v>OK</x:v>
      </x:c>
      <x:c r="P136" s="46" t="n">
        <x:f>IF(G136=0,0,I136/G136)</x:f>
        <x:v>0.013333333333333334</x:v>
      </x:c>
      <x:c r="Q136" t="str">
        <x:v>SAMPLE_RATE_NON_ADDITIVE</x:v>
      </x:c>
      <x:c r="V136" t="str">
        <x:v>04_Quality_Log(6).xlsx</x:v>
      </x:c>
      <x:c r="W136" t="str">
        <x:v>ENH-20260830-01</x:v>
      </x:c>
      <x:c r="X136" t="str">
        <x:f>IF(AND(M136="OK",O136="OK"),"Active","Quarantine")</x:f>
        <x:v>Active</x:v>
      </x:c>
      <x:c r="Y136" t="str">
        <x:f>IF(X136="Active","LOAD","QUARANTINE")</x:f>
        <x:v>LOAD</x:v>
      </x:c>
    </x:row>
    <x:row r="137" ht="18" customHeight="1">
      <x:c r="A137" s="5" t="s">
        <x:v>26</x:v>
      </x:c>
      <x:c r="B137" s="5">
        <x:v>25</x:v>
      </x:c>
      <x:c r="C137" s="6">
        <x:v>45953</x:v>
      </x:c>
      <x:c r="D137" s="5" t="s">
        <x:v>51</x:v>
      </x:c>
      <x:c r="E137" s="7">
        <x:v>23</x:v>
      </x:c>
      <x:c r="F137" s="5" t="s">
        <x:v>31</x:v>
      </x:c>
      <x:c r="G137" s="8">
        <x:v>200</x:v>
      </x:c>
      <x:c r="H137" s="5" t="s">
        <x:v>29</x:v>
      </x:c>
      <x:c r="I137" s="8">
        <x:v>7</x:v>
      </x:c>
      <x:c r="J137" t="str">
        <x:f t="shared" si="8"/>
        <x:v>SAMP-KG01-L25-20251023-ORD-2025-00162-H23-Choke Neck</x:v>
      </x:c>
      <x:c r="K137" t="str">
        <x:f t="shared" si="9"/>
        <x:v>OK</x:v>
      </x:c>
      <x:c r="L137" t="str">
        <x:f t="shared" si="10"/>
        <x:v>OK</x:v>
      </x:c>
      <x:c r="M137" t="str">
        <x:f t="shared" si="11">IF(A137="","",IF(AND(K137="OK",L137="OK",O137="OK"),"OK","CHECK"))</x:f>
        <x:v>OK</x:v>
      </x:c>
      <x:c r="N137" t="str">
        <x:f>IF(A137="","", "PE-"&amp;A137&amp;"-L"&amp;TEXT(B137,"00")&amp;"-"&amp;TEXT(C137,"yyyymmdd")&amp;"-"&amp;F137&amp;"-"&amp;D137)</x:f>
        <x:v>PE-KG01-L25-20251023-PM-ORD-2025-00162</x:v>
      </x:c>
      <x:c r="O137" t="str">
        <x:f>IF(N137="","",IF(COUNTIF(_ProductionEventRef!$A$5:$A$500,N137)=1,"OK","CHECK"))</x:f>
        <x:v>OK</x:v>
      </x:c>
      <x:c r="P137" s="46" t="n">
        <x:f>IF(G137=0,0,I137/G137)</x:f>
        <x:v>0.035</x:v>
      </x:c>
      <x:c r="Q137" t="str">
        <x:v>SAMPLE_RATE_NON_ADDITIVE</x:v>
      </x:c>
      <x:c r="V137" t="str">
        <x:v>04_Quality_Log(6).xlsx</x:v>
      </x:c>
      <x:c r="W137" t="str">
        <x:v>ENH-20260830-01</x:v>
      </x:c>
      <x:c r="X137" t="str">
        <x:f>IF(AND(M137="OK",O137="OK"),"Active","Quarantine")</x:f>
        <x:v>Active</x:v>
      </x:c>
      <x:c r="Y137" t="str">
        <x:f>IF(X137="Active","LOAD","QUARANTINE")</x:f>
        <x:v>LOAD</x:v>
      </x:c>
    </x:row>
    <x:row r="138" ht="18" customHeight="1">
      <x:c r="A138" s="5" t="s">
        <x:v>26</x:v>
      </x:c>
      <x:c r="B138" s="5">
        <x:v>25</x:v>
      </x:c>
      <x:c r="C138" s="6">
        <x:v>45954</x:v>
      </x:c>
      <x:c r="D138" s="5" t="s">
        <x:v>51</x:v>
      </x:c>
      <x:c r="E138" s="7">
        <x:v>9</x:v>
      </x:c>
      <x:c r="F138" s="5" t="s">
        <x:v>28</x:v>
      </x:c>
      <x:c r="G138" s="8">
        <x:v>200</x:v>
      </x:c>
      <x:c r="H138" s="5" t="s">
        <x:v>36</x:v>
      </x:c>
      <x:c r="I138" s="8">
        <x:v>4</x:v>
      </x:c>
      <x:c r="J138" t="str">
        <x:f t="shared" si="8"/>
        <x:v>SAMP-KG01-L25-20251024-ORD-2025-00162-H09-Blister</x:v>
      </x:c>
      <x:c r="K138" t="str">
        <x:f t="shared" si="9"/>
        <x:v>OK</x:v>
      </x:c>
      <x:c r="L138" t="str">
        <x:f t="shared" si="10"/>
        <x:v>OK</x:v>
      </x:c>
      <x:c r="M138" t="str">
        <x:f t="shared" si="11">IF(A138="","",IF(AND(K138="OK",L138="OK",O138="OK"),"OK","CHECK"))</x:f>
        <x:v>OK</x:v>
      </x:c>
      <x:c r="N138" t="str">
        <x:f>IF(A138="","", "PE-"&amp;A138&amp;"-L"&amp;TEXT(B138,"00")&amp;"-"&amp;TEXT(C138,"yyyymmdd")&amp;"-"&amp;F138&amp;"-"&amp;D138)</x:f>
        <x:v>PE-KG01-L25-20251024-AM-ORD-2025-00162</x:v>
      </x:c>
      <x:c r="O138" t="str">
        <x:f>IF(N138="","",IF(COUNTIF(_ProductionEventRef!$A$5:$A$500,N138)=1,"OK","CHECK"))</x:f>
        <x:v>OK</x:v>
      </x:c>
      <x:c r="P138" s="46" t="n">
        <x:f>IF(G138=0,0,I138/G138)</x:f>
        <x:v>0.02</x:v>
      </x:c>
      <x:c r="Q138" t="str">
        <x:v>SAMPLE_RATE_NON_ADDITIVE</x:v>
      </x:c>
      <x:c r="V138" t="str">
        <x:v>04_Quality_Log(6).xlsx</x:v>
      </x:c>
      <x:c r="W138" t="str">
        <x:v>ENH-20260830-01</x:v>
      </x:c>
      <x:c r="X138" t="str">
        <x:f>IF(AND(M138="OK",O138="OK"),"Active","Quarantine")</x:f>
        <x:v>Active</x:v>
      </x:c>
      <x:c r="Y138" t="str">
        <x:f>IF(X138="Active","LOAD","QUARANTINE")</x:f>
        <x:v>LOAD</x:v>
      </x:c>
    </x:row>
    <x:row r="139" ht="18" customHeight="1">
      <x:c r="A139" s="5" t="s">
        <x:v>26</x:v>
      </x:c>
      <x:c r="B139" s="5">
        <x:v>25</x:v>
      </x:c>
      <x:c r="C139" s="6">
        <x:v>45954</x:v>
      </x:c>
      <x:c r="D139" s="5" t="s">
        <x:v>51</x:v>
      </x:c>
      <x:c r="E139" s="7">
        <x:v>15</x:v>
      </x:c>
      <x:c r="F139" s="5" t="s">
        <x:v>28</x:v>
      </x:c>
      <x:c r="G139" s="8">
        <x:v>150</x:v>
      </x:c>
      <x:c r="H139" s="5" t="s">
        <x:v>34</x:v>
      </x:c>
      <x:c r="I139" s="8">
        <x:v>5</x:v>
      </x:c>
      <x:c r="J139" t="str">
        <x:f t="shared" si="8"/>
        <x:v>SAMP-KG01-L25-20251024-ORD-2025-00162-H15-Thin Wall</x:v>
      </x:c>
      <x:c r="K139" t="str">
        <x:f t="shared" si="9"/>
        <x:v>OK</x:v>
      </x:c>
      <x:c r="L139" t="str">
        <x:f t="shared" si="10"/>
        <x:v>OK</x:v>
      </x:c>
      <x:c r="M139" t="str">
        <x:f t="shared" si="11">IF(A139="","",IF(AND(K139="OK",L139="OK",O139="OK"),"OK","CHECK"))</x:f>
        <x:v>OK</x:v>
      </x:c>
      <x:c r="N139" t="str">
        <x:f>IF(A139="","", "PE-"&amp;A139&amp;"-L"&amp;TEXT(B139,"00")&amp;"-"&amp;TEXT(C139,"yyyymmdd")&amp;"-"&amp;F139&amp;"-"&amp;D139)</x:f>
        <x:v>PE-KG01-L25-20251024-AM-ORD-2025-00162</x:v>
      </x:c>
      <x:c r="O139" t="str">
        <x:f>IF(N139="","",IF(COUNTIF(_ProductionEventRef!$A$5:$A$500,N139)=1,"OK","CHECK"))</x:f>
        <x:v>OK</x:v>
      </x:c>
      <x:c r="P139" s="46" t="n">
        <x:f>IF(G139=0,0,I139/G139)</x:f>
        <x:v>0.03333333333333333</x:v>
      </x:c>
      <x:c r="Q139" t="str">
        <x:v>SAMPLE_RATE_NON_ADDITIVE</x:v>
      </x:c>
      <x:c r="V139" t="str">
        <x:v>04_Quality_Log(6).xlsx</x:v>
      </x:c>
      <x:c r="W139" t="str">
        <x:v>ENH-20260830-01</x:v>
      </x:c>
      <x:c r="X139" t="str">
        <x:f>IF(AND(M139="OK",O139="OK"),"Active","Quarantine")</x:f>
        <x:v>Active</x:v>
      </x:c>
      <x:c r="Y139" t="str">
        <x:f>IF(X139="Active","LOAD","QUARANTINE")</x:f>
        <x:v>LOAD</x:v>
      </x:c>
    </x:row>
    <x:row r="140" ht="18" customHeight="1">
      <x:c r="A140" s="5" t="s">
        <x:v>26</x:v>
      </x:c>
      <x:c r="B140" s="5">
        <x:v>25</x:v>
      </x:c>
      <x:c r="C140" s="6">
        <x:v>45954</x:v>
      </x:c>
      <x:c r="D140" s="5" t="s">
        <x:v>51</x:v>
      </x:c>
      <x:c r="E140" s="7">
        <x:v>20</x:v>
      </x:c>
      <x:c r="F140" s="5" t="s">
        <x:v>31</x:v>
      </x:c>
      <x:c r="G140" s="8">
        <x:v>100</x:v>
      </x:c>
      <x:c r="H140" s="5" t="s">
        <x:v>29</x:v>
      </x:c>
      <x:c r="I140" s="8">
        <x:v>3</x:v>
      </x:c>
      <x:c r="J140" t="str">
        <x:f t="shared" si="8"/>
        <x:v>SAMP-KG01-L25-20251024-ORD-2025-00162-H20-Choke Neck</x:v>
      </x:c>
      <x:c r="K140" t="str">
        <x:f t="shared" si="9"/>
        <x:v>OK</x:v>
      </x:c>
      <x:c r="L140" t="str">
        <x:f t="shared" si="10"/>
        <x:v>OK</x:v>
      </x:c>
      <x:c r="M140" t="str">
        <x:f t="shared" si="11">IF(A140="","",IF(AND(K140="OK",L140="OK",O140="OK"),"OK","CHECK"))</x:f>
        <x:v>OK</x:v>
      </x:c>
      <x:c r="N140" t="str">
        <x:f>IF(A140="","", "PE-"&amp;A140&amp;"-L"&amp;TEXT(B140,"00")&amp;"-"&amp;TEXT(C140,"yyyymmdd")&amp;"-"&amp;F140&amp;"-"&amp;D140)</x:f>
        <x:v>PE-KG01-L25-20251024-PM-ORD-2025-00162</x:v>
      </x:c>
      <x:c r="O140" t="str">
        <x:f>IF(N140="","",IF(COUNTIF(_ProductionEventRef!$A$5:$A$500,N140)=1,"OK","CHECK"))</x:f>
        <x:v>OK</x:v>
      </x:c>
      <x:c r="P140" s="46" t="n">
        <x:f>IF(G140=0,0,I140/G140)</x:f>
        <x:v>0.03</x:v>
      </x:c>
      <x:c r="Q140" t="str">
        <x:v>SAMPLE_RATE_NON_ADDITIVE</x:v>
      </x:c>
      <x:c r="V140" t="str">
        <x:v>04_Quality_Log(6).xlsx</x:v>
      </x:c>
      <x:c r="W140" t="str">
        <x:v>ENH-20260830-01</x:v>
      </x:c>
      <x:c r="X140" t="str">
        <x:f>IF(AND(M140="OK",O140="OK"),"Active","Quarantine")</x:f>
        <x:v>Active</x:v>
      </x:c>
      <x:c r="Y140" t="str">
        <x:f>IF(X140="Active","LOAD","QUARANTINE")</x:f>
        <x:v>LOAD</x:v>
      </x:c>
    </x:row>
    <x:row r="141" ht="18" customHeight="1">
      <x:c r="A141" s="5" t="s">
        <x:v>26</x:v>
      </x:c>
      <x:c r="B141" s="5">
        <x:v>25</x:v>
      </x:c>
      <x:c r="C141" s="6">
        <x:v>45954</x:v>
      </x:c>
      <x:c r="D141" s="5" t="s">
        <x:v>51</x:v>
      </x:c>
      <x:c r="E141" s="7">
        <x:v>23</x:v>
      </x:c>
      <x:c r="F141" s="5" t="s">
        <x:v>31</x:v>
      </x:c>
      <x:c r="G141" s="8">
        <x:v>50</x:v>
      </x:c>
      <x:c r="H141" s="5" t="s">
        <x:v>41</x:v>
      </x:c>
      <x:c r="I141" s="8">
        <x:v>1</x:v>
      </x:c>
      <x:c r="J141" t="str">
        <x:f t="shared" si="8"/>
        <x:v>SAMP-KG01-L25-20251024-ORD-2025-00162-H23-Chip</x:v>
      </x:c>
      <x:c r="K141" t="str">
        <x:f t="shared" si="9"/>
        <x:v>OK</x:v>
      </x:c>
      <x:c r="L141" t="str">
        <x:f t="shared" si="10"/>
        <x:v>OK</x:v>
      </x:c>
      <x:c r="M141" t="str">
        <x:f t="shared" si="11">IF(A141="","",IF(AND(K141="OK",L141="OK",O141="OK"),"OK","CHECK"))</x:f>
        <x:v>OK</x:v>
      </x:c>
      <x:c r="N141" t="str">
        <x:f>IF(A141="","", "PE-"&amp;A141&amp;"-L"&amp;TEXT(B141,"00")&amp;"-"&amp;TEXT(C141,"yyyymmdd")&amp;"-"&amp;F141&amp;"-"&amp;D141)</x:f>
        <x:v>PE-KG01-L25-20251024-PM-ORD-2025-00162</x:v>
      </x:c>
      <x:c r="O141" t="str">
        <x:f>IF(N141="","",IF(COUNTIF(_ProductionEventRef!$A$5:$A$500,N141)=1,"OK","CHECK"))</x:f>
        <x:v>OK</x:v>
      </x:c>
      <x:c r="P141" s="46" t="n">
        <x:f>IF(G141=0,0,I141/G141)</x:f>
        <x:v>0.02</x:v>
      </x:c>
      <x:c r="Q141" t="str">
        <x:v>SAMPLE_RATE_NON_ADDITIVE</x:v>
      </x:c>
      <x:c r="V141" t="str">
        <x:v>04_Quality_Log(6).xlsx</x:v>
      </x:c>
      <x:c r="W141" t="str">
        <x:v>ENH-20260830-01</x:v>
      </x:c>
      <x:c r="X141" t="str">
        <x:f>IF(AND(M141="OK",O141="OK"),"Active","Quarantine")</x:f>
        <x:v>Active</x:v>
      </x:c>
      <x:c r="Y141" t="str">
        <x:f>IF(X141="Active","LOAD","QUARANTINE")</x:f>
        <x:v>LOAD</x:v>
      </x:c>
    </x:row>
    <x:row r="142" ht="18" customHeight="1">
      <x:c r="A142" s="5" t="s">
        <x:v>26</x:v>
      </x:c>
      <x:c r="B142" s="5">
        <x:v>25</x:v>
      </x:c>
      <x:c r="C142" s="6">
        <x:v>45955</x:v>
      </x:c>
      <x:c r="D142" s="5" t="s">
        <x:v>51</x:v>
      </x:c>
      <x:c r="E142" s="7">
        <x:v>9</x:v>
      </x:c>
      <x:c r="F142" s="5" t="s">
        <x:v>28</x:v>
      </x:c>
      <x:c r="G142" s="8">
        <x:v>200</x:v>
      </x:c>
      <x:c r="H142" s="5" t="s">
        <x:v>29</x:v>
      </x:c>
      <x:c r="I142" s="8">
        <x:v>1</x:v>
      </x:c>
      <x:c r="J142" t="str">
        <x:f t="shared" si="8"/>
        <x:v>SAMP-KG01-L25-20251025-ORD-2025-00162-H09-Choke Neck</x:v>
      </x:c>
      <x:c r="K142" t="str">
        <x:f t="shared" si="9"/>
        <x:v>OK</x:v>
      </x:c>
      <x:c r="L142" t="str">
        <x:f t="shared" si="10"/>
        <x:v>OK</x:v>
      </x:c>
      <x:c r="M142" t="str">
        <x:f t="shared" si="11">IF(A142="","",IF(AND(K142="OK",L142="OK",O142="OK"),"OK","CHECK"))</x:f>
        <x:v>OK</x:v>
      </x:c>
      <x:c r="N142" t="str">
        <x:f>IF(A142="","", "PE-"&amp;A142&amp;"-L"&amp;TEXT(B142,"00")&amp;"-"&amp;TEXT(C142,"yyyymmdd")&amp;"-"&amp;F142&amp;"-"&amp;D142)</x:f>
        <x:v>PE-KG01-L25-20251025-AM-ORD-2025-00162</x:v>
      </x:c>
      <x:c r="O142" t="str">
        <x:f>IF(N142="","",IF(COUNTIF(_ProductionEventRef!$A$5:$A$500,N142)=1,"OK","CHECK"))</x:f>
        <x:v>OK</x:v>
      </x:c>
      <x:c r="P142" s="46" t="n">
        <x:f>IF(G142=0,0,I142/G142)</x:f>
        <x:v>0.005</x:v>
      </x:c>
      <x:c r="Q142" t="str">
        <x:v>SAMPLE_RATE_NON_ADDITIVE</x:v>
      </x:c>
      <x:c r="V142" t="str">
        <x:v>04_Quality_Log(6).xlsx</x:v>
      </x:c>
      <x:c r="W142" t="str">
        <x:v>ENH-20260830-01</x:v>
      </x:c>
      <x:c r="X142" t="str">
        <x:f>IF(AND(M142="OK",O142="OK"),"Active","Quarantine")</x:f>
        <x:v>Active</x:v>
      </x:c>
      <x:c r="Y142" t="str">
        <x:f>IF(X142="Active","LOAD","QUARANTINE")</x:f>
        <x:v>LOAD</x:v>
      </x:c>
    </x:row>
    <x:row r="143" ht="18" customHeight="1">
      <x:c r="A143" s="5" t="s">
        <x:v>26</x:v>
      </x:c>
      <x:c r="B143" s="5">
        <x:v>25</x:v>
      </x:c>
      <x:c r="C143" s="6">
        <x:v>45955</x:v>
      </x:c>
      <x:c r="D143" s="5" t="s">
        <x:v>51</x:v>
      </x:c>
      <x:c r="E143" s="7">
        <x:v>15</x:v>
      </x:c>
      <x:c r="F143" s="5" t="s">
        <x:v>28</x:v>
      </x:c>
      <x:c r="G143" s="8">
        <x:v>100</x:v>
      </x:c>
      <x:c r="H143" s="5" t="s">
        <x:v>33</x:v>
      </x:c>
      <x:c r="I143" s="8">
        <x:v>3</x:v>
      </x:c>
      <x:c r="J143" t="str">
        <x:f t="shared" si="8"/>
        <x:v>SAMP-KG01-L25-20251025-ORD-2025-00162-H15-Distortion</x:v>
      </x:c>
      <x:c r="K143" t="str">
        <x:f t="shared" si="9"/>
        <x:v>OK</x:v>
      </x:c>
      <x:c r="L143" t="str">
        <x:f t="shared" si="10"/>
        <x:v>OK</x:v>
      </x:c>
      <x:c r="M143" t="str">
        <x:f t="shared" si="11">IF(A143="","",IF(AND(K143="OK",L143="OK",O143="OK"),"OK","CHECK"))</x:f>
        <x:v>OK</x:v>
      </x:c>
      <x:c r="N143" t="str">
        <x:f>IF(A143="","", "PE-"&amp;A143&amp;"-L"&amp;TEXT(B143,"00")&amp;"-"&amp;TEXT(C143,"yyyymmdd")&amp;"-"&amp;F143&amp;"-"&amp;D143)</x:f>
        <x:v>PE-KG01-L25-20251025-AM-ORD-2025-00162</x:v>
      </x:c>
      <x:c r="O143" t="str">
        <x:f>IF(N143="","",IF(COUNTIF(_ProductionEventRef!$A$5:$A$500,N143)=1,"OK","CHECK"))</x:f>
        <x:v>OK</x:v>
      </x:c>
      <x:c r="P143" s="46" t="n">
        <x:f>IF(G143=0,0,I143/G143)</x:f>
        <x:v>0.03</x:v>
      </x:c>
      <x:c r="Q143" t="str">
        <x:v>SAMPLE_RATE_NON_ADDITIVE</x:v>
      </x:c>
      <x:c r="V143" t="str">
        <x:v>04_Quality_Log(6).xlsx</x:v>
      </x:c>
      <x:c r="W143" t="str">
        <x:v>ENH-20260830-01</x:v>
      </x:c>
      <x:c r="X143" t="str">
        <x:f>IF(AND(M143="OK",O143="OK"),"Active","Quarantine")</x:f>
        <x:v>Active</x:v>
      </x:c>
      <x:c r="Y143" t="str">
        <x:f>IF(X143="Active","LOAD","QUARANTINE")</x:f>
        <x:v>LOAD</x:v>
      </x:c>
    </x:row>
    <x:row r="144" ht="18" customHeight="1">
      <x:c r="A144" s="5" t="s">
        <x:v>26</x:v>
      </x:c>
      <x:c r="B144" s="5">
        <x:v>25</x:v>
      </x:c>
      <x:c r="C144" s="6">
        <x:v>45955</x:v>
      </x:c>
      <x:c r="D144" s="5" t="s">
        <x:v>51</x:v>
      </x:c>
      <x:c r="E144" s="7">
        <x:v>20</x:v>
      </x:c>
      <x:c r="F144" s="5" t="s">
        <x:v>31</x:v>
      </x:c>
      <x:c r="G144" s="8">
        <x:v>200</x:v>
      </x:c>
      <x:c r="H144" s="5" t="s">
        <x:v>34</x:v>
      </x:c>
      <x:c r="I144" s="8">
        <x:v>1</x:v>
      </x:c>
      <x:c r="J144" t="str">
        <x:f t="shared" si="8"/>
        <x:v>SAMP-KG01-L25-20251025-ORD-2025-00162-H20-Thin Wall</x:v>
      </x:c>
      <x:c r="K144" t="str">
        <x:f t="shared" si="9"/>
        <x:v>OK</x:v>
      </x:c>
      <x:c r="L144" t="str">
        <x:f t="shared" si="10"/>
        <x:v>OK</x:v>
      </x:c>
      <x:c r="M144" t="str">
        <x:f t="shared" si="11">IF(A144="","",IF(AND(K144="OK",L144="OK",O144="OK"),"OK","CHECK"))</x:f>
        <x:v>OK</x:v>
      </x:c>
      <x:c r="N144" t="str">
        <x:f>IF(A144="","", "PE-"&amp;A144&amp;"-L"&amp;TEXT(B144,"00")&amp;"-"&amp;TEXT(C144,"yyyymmdd")&amp;"-"&amp;F144&amp;"-"&amp;D144)</x:f>
        <x:v>PE-KG01-L25-20251025-PM-ORD-2025-00162</x:v>
      </x:c>
      <x:c r="O144" t="str">
        <x:f>IF(N144="","",IF(COUNTIF(_ProductionEventRef!$A$5:$A$500,N144)=1,"OK","CHECK"))</x:f>
        <x:v>OK</x:v>
      </x:c>
      <x:c r="P144" s="46" t="n">
        <x:f>IF(G144=0,0,I144/G144)</x:f>
        <x:v>0.005</x:v>
      </x:c>
      <x:c r="Q144" t="str">
        <x:v>SAMPLE_RATE_NON_ADDITIVE</x:v>
      </x:c>
      <x:c r="V144" t="str">
        <x:v>04_Quality_Log(6).xlsx</x:v>
      </x:c>
      <x:c r="W144" t="str">
        <x:v>ENH-20260830-01</x:v>
      </x:c>
      <x:c r="X144" t="str">
        <x:f>IF(AND(M144="OK",O144="OK"),"Active","Quarantine")</x:f>
        <x:v>Active</x:v>
      </x:c>
      <x:c r="Y144" t="str">
        <x:f>IF(X144="Active","LOAD","QUARANTINE")</x:f>
        <x:v>LOAD</x:v>
      </x:c>
    </x:row>
    <x:row r="145" ht="18" customHeight="1">
      <x:c r="A145" s="5" t="s">
        <x:v>26</x:v>
      </x:c>
      <x:c r="B145" s="5">
        <x:v>25</x:v>
      </x:c>
      <x:c r="C145" s="6">
        <x:v>45955</x:v>
      </x:c>
      <x:c r="D145" s="5" t="s">
        <x:v>51</x:v>
      </x:c>
      <x:c r="E145" s="7">
        <x:v>23</x:v>
      </x:c>
      <x:c r="F145" s="5" t="s">
        <x:v>31</x:v>
      </x:c>
      <x:c r="G145" s="8">
        <x:v>50</x:v>
      </x:c>
      <x:c r="H145" s="5" t="s">
        <x:v>34</x:v>
      </x:c>
      <x:c r="I145" s="8">
        <x:v>0</x:v>
      </x:c>
      <x:c r="J145" t="str">
        <x:f t="shared" si="8"/>
        <x:v>SAMP-KG01-L25-20251025-ORD-2025-00162-H23-Thin Wall</x:v>
      </x:c>
      <x:c r="K145" t="str">
        <x:f t="shared" si="9"/>
        <x:v>OK</x:v>
      </x:c>
      <x:c r="L145" t="str">
        <x:f t="shared" si="10"/>
        <x:v>OK</x:v>
      </x:c>
      <x:c r="M145" t="str">
        <x:f t="shared" si="11">IF(A145="","",IF(AND(K145="OK",L145="OK",O145="OK"),"OK","CHECK"))</x:f>
        <x:v>OK</x:v>
      </x:c>
      <x:c r="N145" t="str">
        <x:f>IF(A145="","", "PE-"&amp;A145&amp;"-L"&amp;TEXT(B145,"00")&amp;"-"&amp;TEXT(C145,"yyyymmdd")&amp;"-"&amp;F145&amp;"-"&amp;D145)</x:f>
        <x:v>PE-KG01-L25-20251025-PM-ORD-2025-00162</x:v>
      </x:c>
      <x:c r="O145" t="str">
        <x:f>IF(N145="","",IF(COUNTIF(_ProductionEventRef!$A$5:$A$500,N145)=1,"OK","CHECK"))</x:f>
        <x:v>OK</x:v>
      </x:c>
      <x:c r="P145" s="46" t="n">
        <x:f>IF(G145=0,0,I145/G145)</x:f>
        <x:v>0</x:v>
      </x:c>
      <x:c r="Q145" t="str">
        <x:v>SAMPLE_RATE_NON_ADDITIVE</x:v>
      </x:c>
      <x:c r="V145" t="str">
        <x:v>04_Quality_Log(6).xlsx</x:v>
      </x:c>
      <x:c r="W145" t="str">
        <x:v>ENH-20260830-01</x:v>
      </x:c>
      <x:c r="X145" t="str">
        <x:f>IF(AND(M145="OK",O145="OK"),"Active","Quarantine")</x:f>
        <x:v>Active</x:v>
      </x:c>
      <x:c r="Y145" t="str">
        <x:f>IF(X145="Active","LOAD","QUARANTINE")</x:f>
        <x:v>LOAD</x:v>
      </x:c>
    </x:row>
    <x:row r="146" ht="18" customHeight="1">
      <x:c r="A146" s="5" t="s">
        <x:v>26</x:v>
      </x:c>
      <x:c r="B146" s="5">
        <x:v>25</x:v>
      </x:c>
      <x:c r="C146" s="6">
        <x:v>45956</x:v>
      </x:c>
      <x:c r="D146" s="5" t="s">
        <x:v>51</x:v>
      </x:c>
      <x:c r="E146" s="7">
        <x:v>9</x:v>
      </x:c>
      <x:c r="F146" s="5" t="s">
        <x:v>28</x:v>
      </x:c>
      <x:c r="G146" s="8">
        <x:v>150</x:v>
      </x:c>
      <x:c r="H146" s="5" t="s">
        <x:v>36</x:v>
      </x:c>
      <x:c r="I146" s="8">
        <x:v>3</x:v>
      </x:c>
      <x:c r="J146" t="str">
        <x:f t="shared" si="8"/>
        <x:v>SAMP-KG01-L25-20251026-ORD-2025-00162-H09-Blister</x:v>
      </x:c>
      <x:c r="K146" t="str">
        <x:f t="shared" si="9"/>
        <x:v>OK</x:v>
      </x:c>
      <x:c r="L146" t="str">
        <x:f t="shared" si="10"/>
        <x:v>OK</x:v>
      </x:c>
      <x:c r="M146" t="str">
        <x:f t="shared" si="11">IF(A146="","",IF(AND(K146="OK",L146="OK",O146="OK"),"OK","CHECK"))</x:f>
        <x:v>OK</x:v>
      </x:c>
      <x:c r="N146" t="str">
        <x:f>IF(A146="","", "PE-"&amp;A146&amp;"-L"&amp;TEXT(B146,"00")&amp;"-"&amp;TEXT(C146,"yyyymmdd")&amp;"-"&amp;F146&amp;"-"&amp;D146)</x:f>
        <x:v>PE-KG01-L25-20251026-AM-ORD-2025-00162</x:v>
      </x:c>
      <x:c r="O146" t="str">
        <x:f>IF(N146="","",IF(COUNTIF(_ProductionEventRef!$A$5:$A$500,N146)=1,"OK","CHECK"))</x:f>
        <x:v>OK</x:v>
      </x:c>
      <x:c r="P146" s="46" t="n">
        <x:f>IF(G146=0,0,I146/G146)</x:f>
        <x:v>0.02</x:v>
      </x:c>
      <x:c r="Q146" t="str">
        <x:v>SAMPLE_RATE_NON_ADDITIVE</x:v>
      </x:c>
      <x:c r="V146" t="str">
        <x:v>04_Quality_Log(6).xlsx</x:v>
      </x:c>
      <x:c r="W146" t="str">
        <x:v>ENH-20260830-01</x:v>
      </x:c>
      <x:c r="X146" t="str">
        <x:f>IF(AND(M146="OK",O146="OK"),"Active","Quarantine")</x:f>
        <x:v>Active</x:v>
      </x:c>
      <x:c r="Y146" t="str">
        <x:f>IF(X146="Active","LOAD","QUARANTINE")</x:f>
        <x:v>LOAD</x:v>
      </x:c>
    </x:row>
    <x:row r="147" ht="18" customHeight="1">
      <x:c r="A147" s="5" t="s">
        <x:v>26</x:v>
      </x:c>
      <x:c r="B147" s="5">
        <x:v>25</x:v>
      </x:c>
      <x:c r="C147" s="6">
        <x:v>45956</x:v>
      </x:c>
      <x:c r="D147" s="5" t="s">
        <x:v>51</x:v>
      </x:c>
      <x:c r="E147" s="7">
        <x:v>15</x:v>
      </x:c>
      <x:c r="F147" s="5" t="s">
        <x:v>28</x:v>
      </x:c>
      <x:c r="G147" s="8">
        <x:v>200</x:v>
      </x:c>
      <x:c r="H147" s="5" t="s">
        <x:v>30</x:v>
      </x:c>
      <x:c r="I147" s="8">
        <x:v>7</x:v>
      </x:c>
      <x:c r="J147" t="str">
        <x:f t="shared" si="8"/>
        <x:v>SAMP-KG01-L25-20251026-ORD-2025-00162-H15-Overpress</x:v>
      </x:c>
      <x:c r="K147" t="str">
        <x:f t="shared" si="9"/>
        <x:v>OK</x:v>
      </x:c>
      <x:c r="L147" t="str">
        <x:f t="shared" si="10"/>
        <x:v>OK</x:v>
      </x:c>
      <x:c r="M147" t="str">
        <x:f t="shared" si="11">IF(A147="","",IF(AND(K147="OK",L147="OK",O147="OK"),"OK","CHECK"))</x:f>
        <x:v>OK</x:v>
      </x:c>
      <x:c r="N147" t="str">
        <x:f>IF(A147="","", "PE-"&amp;A147&amp;"-L"&amp;TEXT(B147,"00")&amp;"-"&amp;TEXT(C147,"yyyymmdd")&amp;"-"&amp;F147&amp;"-"&amp;D147)</x:f>
        <x:v>PE-KG01-L25-20251026-AM-ORD-2025-00162</x:v>
      </x:c>
      <x:c r="O147" t="str">
        <x:f>IF(N147="","",IF(COUNTIF(_ProductionEventRef!$A$5:$A$500,N147)=1,"OK","CHECK"))</x:f>
        <x:v>OK</x:v>
      </x:c>
      <x:c r="P147" s="46" t="n">
        <x:f>IF(G147=0,0,I147/G147)</x:f>
        <x:v>0.035</x:v>
      </x:c>
      <x:c r="Q147" t="str">
        <x:v>SAMPLE_RATE_NON_ADDITIVE</x:v>
      </x:c>
      <x:c r="V147" t="str">
        <x:v>04_Quality_Log(6).xlsx</x:v>
      </x:c>
      <x:c r="W147" t="str">
        <x:v>ENH-20260830-01</x:v>
      </x:c>
      <x:c r="X147" t="str">
        <x:f>IF(AND(M147="OK",O147="OK"),"Active","Quarantine")</x:f>
        <x:v>Active</x:v>
      </x:c>
      <x:c r="Y147" t="str">
        <x:f>IF(X147="Active","LOAD","QUARANTINE")</x:f>
        <x:v>LOAD</x:v>
      </x:c>
    </x:row>
    <x:row r="148" ht="18" customHeight="1">
      <x:c r="A148" s="5" t="s">
        <x:v>26</x:v>
      </x:c>
      <x:c r="B148" s="5">
        <x:v>25</x:v>
      </x:c>
      <x:c r="C148" s="6">
        <x:v>45956</x:v>
      </x:c>
      <x:c r="D148" s="5" t="s">
        <x:v>51</x:v>
      </x:c>
      <x:c r="E148" s="7">
        <x:v>20</x:v>
      </x:c>
      <x:c r="F148" s="5" t="s">
        <x:v>31</x:v>
      </x:c>
      <x:c r="G148" s="8">
        <x:v>200</x:v>
      </x:c>
      <x:c r="H148" s="5" t="s">
        <x:v>35</x:v>
      </x:c>
      <x:c r="I148" s="8">
        <x:v>4</x:v>
      </x:c>
      <x:c r="J148" t="str">
        <x:f t="shared" si="8"/>
        <x:v>SAMP-KG01-L25-20251026-ORD-2025-00162-H20-Stone</x:v>
      </x:c>
      <x:c r="K148" t="str">
        <x:f t="shared" si="9"/>
        <x:v>OK</x:v>
      </x:c>
      <x:c r="L148" t="str">
        <x:f t="shared" si="10"/>
        <x:v>OK</x:v>
      </x:c>
      <x:c r="M148" t="str">
        <x:f t="shared" si="11">IF(A148="","",IF(AND(K148="OK",L148="OK",O148="OK"),"OK","CHECK"))</x:f>
        <x:v>OK</x:v>
      </x:c>
      <x:c r="N148" t="str">
        <x:f>IF(A148="","", "PE-"&amp;A148&amp;"-L"&amp;TEXT(B148,"00")&amp;"-"&amp;TEXT(C148,"yyyymmdd")&amp;"-"&amp;F148&amp;"-"&amp;D148)</x:f>
        <x:v>PE-KG01-L25-20251026-PM-ORD-2025-00162</x:v>
      </x:c>
      <x:c r="O148" t="str">
        <x:f>IF(N148="","",IF(COUNTIF(_ProductionEventRef!$A$5:$A$500,N148)=1,"OK","CHECK"))</x:f>
        <x:v>OK</x:v>
      </x:c>
      <x:c r="P148" s="46" t="n">
        <x:f>IF(G148=0,0,I148/G148)</x:f>
        <x:v>0.02</x:v>
      </x:c>
      <x:c r="Q148" t="str">
        <x:v>SAMPLE_RATE_NON_ADDITIVE</x:v>
      </x:c>
      <x:c r="V148" t="str">
        <x:v>04_Quality_Log(6).xlsx</x:v>
      </x:c>
      <x:c r="W148" t="str">
        <x:v>ENH-20260830-01</x:v>
      </x:c>
      <x:c r="X148" t="str">
        <x:f>IF(AND(M148="OK",O148="OK"),"Active","Quarantine")</x:f>
        <x:v>Active</x:v>
      </x:c>
      <x:c r="Y148" t="str">
        <x:f>IF(X148="Active","LOAD","QUARANTINE")</x:f>
        <x:v>LOAD</x:v>
      </x:c>
    </x:row>
    <x:row r="149" ht="18" customHeight="1">
      <x:c r="A149" s="5" t="s">
        <x:v>26</x:v>
      </x:c>
      <x:c r="B149" s="5">
        <x:v>25</x:v>
      </x:c>
      <x:c r="C149" s="6">
        <x:v>45956</x:v>
      </x:c>
      <x:c r="D149" s="5" t="s">
        <x:v>51</x:v>
      </x:c>
      <x:c r="E149" s="7">
        <x:v>23</x:v>
      </x:c>
      <x:c r="F149" s="5" t="s">
        <x:v>31</x:v>
      </x:c>
      <x:c r="G149" s="8">
        <x:v>100</x:v>
      </x:c>
      <x:c r="H149" s="5" t="s">
        <x:v>38</x:v>
      </x:c>
      <x:c r="I149" s="8">
        <x:v>4</x:v>
      </x:c>
      <x:c r="J149" t="str">
        <x:f t="shared" si="8"/>
        <x:v>SAMP-KG01-L25-20251026-ORD-2025-00162-H23-Crack</x:v>
      </x:c>
      <x:c r="K149" t="str">
        <x:f t="shared" si="9"/>
        <x:v>OK</x:v>
      </x:c>
      <x:c r="L149" t="str">
        <x:f t="shared" si="10"/>
        <x:v>OK</x:v>
      </x:c>
      <x:c r="M149" t="str">
        <x:f t="shared" si="11">IF(A149="","",IF(AND(K149="OK",L149="OK",O149="OK"),"OK","CHECK"))</x:f>
        <x:v>OK</x:v>
      </x:c>
      <x:c r="N149" t="str">
        <x:f>IF(A149="","", "PE-"&amp;A149&amp;"-L"&amp;TEXT(B149,"00")&amp;"-"&amp;TEXT(C149,"yyyymmdd")&amp;"-"&amp;F149&amp;"-"&amp;D149)</x:f>
        <x:v>PE-KG01-L25-20251026-PM-ORD-2025-00162</x:v>
      </x:c>
      <x:c r="O149" t="str">
        <x:f>IF(N149="","",IF(COUNTIF(_ProductionEventRef!$A$5:$A$500,N149)=1,"OK","CHECK"))</x:f>
        <x:v>OK</x:v>
      </x:c>
      <x:c r="P149" s="46" t="n">
        <x:f>IF(G149=0,0,I149/G149)</x:f>
        <x:v>0.04</x:v>
      </x:c>
      <x:c r="Q149" t="str">
        <x:v>SAMPLE_RATE_NON_ADDITIVE</x:v>
      </x:c>
      <x:c r="V149" t="str">
        <x:v>04_Quality_Log(6).xlsx</x:v>
      </x:c>
      <x:c r="W149" t="str">
        <x:v>ENH-20260830-01</x:v>
      </x:c>
      <x:c r="X149" t="str">
        <x:f>IF(AND(M149="OK",O149="OK"),"Active","Quarantine")</x:f>
        <x:v>Active</x:v>
      </x:c>
      <x:c r="Y149" t="str">
        <x:f>IF(X149="Active","LOAD","QUARANTINE")</x:f>
        <x:v>LOAD</x:v>
      </x:c>
    </x:row>
    <x:row r="150" ht="18" customHeight="1">
      <x:c r="J150" t="str">
        <x:f t="shared" si="8"/>
      </x:c>
      <x:c r="K150" t="str">
        <x:f t="shared" si="9"/>
      </x:c>
      <x:c r="L150" t="str">
        <x:f t="shared" si="10"/>
      </x:c>
      <x:c r="M150" t="str">
        <x:f t="shared" si="11"/>
      </x:c>
    </x:row>
    <x:row r="151" ht="18" customHeight="1">
      <x:c r="J151" t="str">
        <x:f t="shared" si="8"/>
      </x:c>
      <x:c r="K151" t="str">
        <x:f t="shared" si="9"/>
      </x:c>
      <x:c r="L151" t="str">
        <x:f t="shared" si="10"/>
      </x:c>
      <x:c r="M151" t="str">
        <x:f t="shared" si="11"/>
      </x:c>
    </x:row>
    <x:row r="152" ht="18" customHeight="1">
      <x:c r="J152" t="str">
        <x:f t="shared" si="8"/>
      </x:c>
      <x:c r="K152" t="str">
        <x:f t="shared" si="9"/>
      </x:c>
      <x:c r="L152" t="str">
        <x:f t="shared" si="10"/>
      </x:c>
      <x:c r="M152" t="str">
        <x:f t="shared" si="11"/>
      </x:c>
    </x:row>
    <x:row r="153" ht="18" customHeight="1">
      <x:c r="J153" t="str">
        <x:f t="shared" si="8"/>
      </x:c>
      <x:c r="K153" t="str">
        <x:f t="shared" si="9"/>
      </x:c>
      <x:c r="L153" t="str">
        <x:f t="shared" si="10"/>
      </x:c>
      <x:c r="M153" t="str">
        <x:f t="shared" si="11"/>
      </x:c>
    </x:row>
    <x:row r="154" ht="18" customHeight="1">
      <x:c r="J154" t="str">
        <x:f t="shared" si="8"/>
      </x:c>
      <x:c r="K154" t="str">
        <x:f t="shared" si="9"/>
      </x:c>
      <x:c r="L154" t="str">
        <x:f t="shared" si="10"/>
      </x:c>
      <x:c r="M154" t="str">
        <x:f t="shared" si="11"/>
      </x:c>
    </x:row>
    <x:row r="155" ht="18" customHeight="1">
      <x:c r="J155" t="str">
        <x:f t="shared" si="8"/>
      </x:c>
      <x:c r="K155" t="str">
        <x:f t="shared" si="9"/>
      </x:c>
      <x:c r="L155" t="str">
        <x:f t="shared" si="10"/>
      </x:c>
      <x:c r="M155" t="str">
        <x:f t="shared" si="11"/>
      </x:c>
    </x:row>
    <x:row r="156" ht="18" customHeight="1">
      <x:c r="J156" t="str">
        <x:f t="shared" si="8"/>
      </x:c>
      <x:c r="K156" t="str">
        <x:f t="shared" si="9"/>
      </x:c>
      <x:c r="L156" t="str">
        <x:f t="shared" si="10"/>
      </x:c>
      <x:c r="M156" t="str">
        <x:f t="shared" si="11"/>
      </x:c>
    </x:row>
    <x:row r="157" ht="18" customHeight="1">
      <x:c r="J157" t="str">
        <x:f t="shared" si="8"/>
      </x:c>
      <x:c r="K157" t="str">
        <x:f t="shared" si="9"/>
      </x:c>
      <x:c r="L157" t="str">
        <x:f t="shared" si="10"/>
      </x:c>
      <x:c r="M157" t="str">
        <x:f t="shared" si="11"/>
      </x:c>
    </x:row>
    <x:row r="158" ht="18" customHeight="1">
      <x:c r="J158" t="str">
        <x:f t="shared" si="8"/>
      </x:c>
      <x:c r="K158" t="str">
        <x:f t="shared" si="9"/>
      </x:c>
      <x:c r="L158" t="str">
        <x:f t="shared" si="10"/>
      </x:c>
      <x:c r="M158" t="str">
        <x:f t="shared" si="11"/>
      </x:c>
    </x:row>
    <x:row r="159" ht="18" customHeight="1">
      <x:c r="J159" t="str">
        <x:f t="shared" si="8"/>
      </x:c>
      <x:c r="K159" t="str">
        <x:f t="shared" si="9"/>
      </x:c>
      <x:c r="L159" t="str">
        <x:f t="shared" si="10"/>
      </x:c>
      <x:c r="M159" t="str">
        <x:f t="shared" si="11"/>
      </x:c>
    </x:row>
    <x:row r="160" ht="18" customHeight="1">
      <x:c r="J160" t="str">
        <x:f t="shared" si="8"/>
      </x:c>
      <x:c r="K160" t="str">
        <x:f t="shared" si="9"/>
      </x:c>
      <x:c r="L160" t="str">
        <x:f t="shared" si="10"/>
      </x:c>
      <x:c r="M160" t="str">
        <x:f t="shared" si="11"/>
      </x:c>
    </x:row>
    <x:row r="161" ht="18" customHeight="1">
      <x:c r="J161" t="str">
        <x:f t="shared" si="8"/>
      </x:c>
      <x:c r="K161" t="str">
        <x:f t="shared" si="9"/>
      </x:c>
      <x:c r="L161" t="str">
        <x:f t="shared" si="10"/>
      </x:c>
      <x:c r="M161" t="str">
        <x:f t="shared" si="11"/>
      </x:c>
    </x:row>
    <x:row r="162" ht="18" customHeight="1">
      <x:c r="J162" t="str">
        <x:f t="shared" si="8"/>
      </x:c>
      <x:c r="K162" t="str">
        <x:f t="shared" si="9"/>
      </x:c>
      <x:c r="L162" t="str">
        <x:f t="shared" si="10"/>
      </x:c>
      <x:c r="M162" t="str">
        <x:f t="shared" si="11"/>
      </x:c>
    </x:row>
    <x:row r="163" ht="18" customHeight="1">
      <x:c r="J163" t="str">
        <x:f t="shared" si="8"/>
      </x:c>
      <x:c r="K163" t="str">
        <x:f t="shared" si="9"/>
      </x:c>
      <x:c r="L163" t="str">
        <x:f t="shared" si="10"/>
      </x:c>
      <x:c r="M163" t="str">
        <x:f t="shared" si="11"/>
      </x:c>
    </x:row>
    <x:row r="164" ht="18" customHeight="1">
      <x:c r="J164" t="str">
        <x:f t="shared" si="8"/>
      </x:c>
      <x:c r="K164" t="str">
        <x:f t="shared" si="9"/>
      </x:c>
      <x:c r="L164" t="str">
        <x:f t="shared" si="10"/>
      </x:c>
      <x:c r="M164" t="str">
        <x:f t="shared" si="11"/>
      </x:c>
    </x:row>
    <x:row r="165" ht="18" customHeight="1">
      <x:c r="J165" t="str">
        <x:f t="shared" si="8"/>
      </x:c>
      <x:c r="K165" t="str">
        <x:f t="shared" si="9"/>
      </x:c>
      <x:c r="L165" t="str">
        <x:f t="shared" si="10"/>
      </x:c>
      <x:c r="M165" t="str">
        <x:f t="shared" si="11"/>
      </x:c>
    </x:row>
    <x:row r="166" ht="18" customHeight="1">
      <x:c r="J166" t="str">
        <x:f t="shared" si="8"/>
      </x:c>
      <x:c r="K166" t="str">
        <x:f t="shared" si="9"/>
      </x:c>
      <x:c r="L166" t="str">
        <x:f t="shared" si="10"/>
      </x:c>
      <x:c r="M166" t="str">
        <x:f t="shared" si="11"/>
      </x:c>
    </x:row>
    <x:row r="167" ht="18" customHeight="1">
      <x:c r="J167" t="str">
        <x:f t="shared" si="8"/>
      </x:c>
      <x:c r="K167" t="str">
        <x:f t="shared" si="9"/>
      </x:c>
      <x:c r="L167" t="str">
        <x:f t="shared" si="10"/>
      </x:c>
      <x:c r="M167" t="str">
        <x:f t="shared" si="11"/>
      </x:c>
    </x:row>
    <x:row r="168" ht="18" customHeight="1">
      <x:c r="J168" t="str">
        <x:f t="shared" si="8"/>
      </x:c>
      <x:c r="K168" t="str">
        <x:f t="shared" si="9"/>
      </x:c>
      <x:c r="L168" t="str">
        <x:f t="shared" si="10"/>
      </x:c>
      <x:c r="M168" t="str">
        <x:f t="shared" si="11"/>
      </x:c>
    </x:row>
    <x:row r="169" ht="18" customHeight="1">
      <x:c r="J169" t="str">
        <x:f t="shared" si="8"/>
      </x:c>
      <x:c r="K169" t="str">
        <x:f t="shared" si="9"/>
      </x:c>
      <x:c r="L169" t="str">
        <x:f t="shared" si="10"/>
      </x:c>
      <x:c r="M169" t="str">
        <x:f t="shared" si="11"/>
      </x:c>
    </x:row>
    <x:row r="170" ht="18" customHeight="1">
      <x:c r="J170" t="str">
        <x:f t="shared" si="8"/>
      </x:c>
      <x:c r="K170" t="str">
        <x:f t="shared" si="9"/>
      </x:c>
      <x:c r="L170" t="str">
        <x:f t="shared" si="10"/>
      </x:c>
      <x:c r="M170" t="str">
        <x:f t="shared" si="11"/>
      </x:c>
    </x:row>
    <x:row r="171" ht="18" customHeight="1">
      <x:c r="J171" t="str">
        <x:f t="shared" si="8"/>
      </x:c>
      <x:c r="K171" t="str">
        <x:f t="shared" si="9"/>
      </x:c>
      <x:c r="L171" t="str">
        <x:f t="shared" si="10"/>
      </x:c>
      <x:c r="M171" t="str">
        <x:f t="shared" si="11"/>
      </x:c>
    </x:row>
    <x:row r="172" ht="18" customHeight="1">
      <x:c r="J172" t="str">
        <x:f t="shared" si="8"/>
      </x:c>
      <x:c r="K172" t="str">
        <x:f t="shared" si="9"/>
      </x:c>
      <x:c r="L172" t="str">
        <x:f t="shared" si="10"/>
      </x:c>
      <x:c r="M172" t="str">
        <x:f t="shared" si="11"/>
      </x:c>
    </x:row>
    <x:row r="173" ht="18" customHeight="1">
      <x:c r="J173" t="str">
        <x:f t="shared" si="8"/>
      </x:c>
      <x:c r="K173" t="str">
        <x:f t="shared" si="9"/>
      </x:c>
      <x:c r="L173" t="str">
        <x:f t="shared" si="10"/>
      </x:c>
      <x:c r="M173" t="str">
        <x:f t="shared" si="11"/>
      </x:c>
    </x:row>
    <x:row r="174" ht="18" customHeight="1">
      <x:c r="J174" t="str">
        <x:f t="shared" si="8"/>
      </x:c>
      <x:c r="K174" t="str">
        <x:f t="shared" si="9"/>
      </x:c>
      <x:c r="L174" t="str">
        <x:f t="shared" si="10"/>
      </x:c>
      <x:c r="M174" t="str">
        <x:f t="shared" si="11"/>
      </x:c>
    </x:row>
    <x:row r="175" ht="18" customHeight="1">
      <x:c r="J175" t="str">
        <x:f t="shared" si="8"/>
      </x:c>
      <x:c r="K175" t="str">
        <x:f t="shared" si="9"/>
      </x:c>
      <x:c r="L175" t="str">
        <x:f t="shared" si="10"/>
      </x:c>
      <x:c r="M175" t="str">
        <x:f t="shared" si="11"/>
      </x:c>
    </x:row>
    <x:row r="176" ht="18" customHeight="1">
      <x:c r="J176" t="str">
        <x:f t="shared" si="8"/>
      </x:c>
      <x:c r="K176" t="str">
        <x:f t="shared" si="9"/>
      </x:c>
      <x:c r="L176" t="str">
        <x:f t="shared" si="10"/>
      </x:c>
      <x:c r="M176" t="str">
        <x:f t="shared" si="11"/>
      </x:c>
    </x:row>
    <x:row r="177" ht="18" customHeight="1">
      <x:c r="J177" t="str">
        <x:f t="shared" si="8"/>
      </x:c>
      <x:c r="K177" t="str">
        <x:f t="shared" si="9"/>
      </x:c>
      <x:c r="L177" t="str">
        <x:f t="shared" si="10"/>
      </x:c>
      <x:c r="M177" t="str">
        <x:f t="shared" si="11"/>
      </x:c>
    </x:row>
    <x:row r="178" ht="18" customHeight="1">
      <x:c r="J178" t="str">
        <x:f t="shared" si="8"/>
      </x:c>
      <x:c r="K178" t="str">
        <x:f t="shared" si="9"/>
      </x:c>
      <x:c r="L178" t="str">
        <x:f t="shared" si="10"/>
      </x:c>
      <x:c r="M178" t="str">
        <x:f t="shared" si="11"/>
      </x:c>
    </x:row>
    <x:row r="179" ht="18" customHeight="1">
      <x:c r="J179" t="str">
        <x:f t="shared" si="8"/>
      </x:c>
      <x:c r="K179" t="str">
        <x:f t="shared" si="9"/>
      </x:c>
      <x:c r="L179" t="str">
        <x:f t="shared" si="10"/>
      </x:c>
      <x:c r="M179" t="str">
        <x:f t="shared" si="11"/>
      </x:c>
    </x:row>
    <x:row r="180" ht="18" customHeight="1">
      <x:c r="J180" t="str">
        <x:f t="shared" si="8"/>
      </x:c>
      <x:c r="K180" t="str">
        <x:f t="shared" si="9"/>
      </x:c>
      <x:c r="L180" t="str">
        <x:f t="shared" si="10"/>
      </x:c>
      <x:c r="M180" t="str">
        <x:f t="shared" si="11"/>
      </x:c>
    </x:row>
    <x:row r="181" ht="18" customHeight="1">
      <x:c r="J181" t="str">
        <x:f t="shared" si="8"/>
      </x:c>
      <x:c r="K181" t="str">
        <x:f t="shared" si="9"/>
      </x:c>
      <x:c r="L181" t="str">
        <x:f t="shared" si="10"/>
      </x:c>
      <x:c r="M181" t="str">
        <x:f t="shared" si="11"/>
      </x:c>
    </x:row>
    <x:row r="182" ht="18" customHeight="1">
      <x:c r="J182" t="str">
        <x:f t="shared" si="8"/>
      </x:c>
      <x:c r="K182" t="str">
        <x:f t="shared" si="9"/>
      </x:c>
      <x:c r="L182" t="str">
        <x:f t="shared" si="10"/>
      </x:c>
      <x:c r="M182" t="str">
        <x:f t="shared" si="11"/>
      </x:c>
    </x:row>
    <x:row r="183" ht="18" customHeight="1">
      <x:c r="J183" t="str">
        <x:f t="shared" si="8"/>
      </x:c>
      <x:c r="K183" t="str">
        <x:f t="shared" si="9"/>
      </x:c>
      <x:c r="L183" t="str">
        <x:f t="shared" si="10"/>
      </x:c>
      <x:c r="M183" t="str">
        <x:f t="shared" si="11"/>
      </x:c>
    </x:row>
    <x:row r="184" ht="18" customHeight="1">
      <x:c r="J184" t="str">
        <x:f t="shared" si="8"/>
      </x:c>
      <x:c r="K184" t="str">
        <x:f t="shared" si="9"/>
      </x:c>
      <x:c r="L184" t="str">
        <x:f t="shared" si="10"/>
      </x:c>
      <x:c r="M184" t="str">
        <x:f t="shared" si="11"/>
      </x:c>
    </x:row>
    <x:row r="185" ht="18" customHeight="1">
      <x:c r="J185" t="str">
        <x:f t="shared" si="8"/>
      </x:c>
      <x:c r="K185" t="str">
        <x:f t="shared" si="9"/>
      </x:c>
      <x:c r="L185" t="str">
        <x:f t="shared" si="10"/>
      </x:c>
      <x:c r="M185" t="str">
        <x:f t="shared" si="11"/>
      </x:c>
    </x:row>
    <x:row r="186" ht="18" customHeight="1">
      <x:c r="J186" t="str">
        <x:f t="shared" si="8"/>
      </x:c>
      <x:c r="K186" t="str">
        <x:f t="shared" si="9"/>
      </x:c>
      <x:c r="L186" t="str">
        <x:f t="shared" si="10"/>
      </x:c>
      <x:c r="M186" t="str">
        <x:f t="shared" si="11"/>
      </x:c>
    </x:row>
    <x:row r="187" ht="18" customHeight="1">
      <x:c r="J187" t="str">
        <x:f t="shared" si="8"/>
      </x:c>
      <x:c r="K187" t="str">
        <x:f t="shared" si="9"/>
      </x:c>
      <x:c r="L187" t="str">
        <x:f t="shared" si="10"/>
      </x:c>
      <x:c r="M187" t="str">
        <x:f t="shared" si="11"/>
      </x:c>
    </x:row>
    <x:row r="188" ht="18" customHeight="1">
      <x:c r="J188" t="str">
        <x:f t="shared" si="8"/>
      </x:c>
      <x:c r="K188" t="str">
        <x:f t="shared" si="9"/>
      </x:c>
      <x:c r="L188" t="str">
        <x:f t="shared" si="10"/>
      </x:c>
      <x:c r="M188" t="str">
        <x:f t="shared" si="11"/>
      </x:c>
    </x:row>
    <x:row r="189" ht="18" customHeight="1">
      <x:c r="J189" t="str">
        <x:f t="shared" si="8"/>
      </x:c>
      <x:c r="K189" t="str">
        <x:f t="shared" si="9"/>
      </x:c>
      <x:c r="L189" t="str">
        <x:f t="shared" si="10"/>
      </x:c>
      <x:c r="M189" t="str">
        <x:f t="shared" si="11"/>
      </x:c>
    </x:row>
    <x:row r="190" ht="18" customHeight="1">
      <x:c r="J190" t="str">
        <x:f t="shared" si="8"/>
      </x:c>
      <x:c r="K190" t="str">
        <x:f t="shared" si="9"/>
      </x:c>
      <x:c r="L190" t="str">
        <x:f t="shared" si="10"/>
      </x:c>
      <x:c r="M190" t="str">
        <x:f t="shared" si="11"/>
      </x:c>
    </x:row>
    <x:row r="191" ht="18" customHeight="1">
      <x:c r="J191" t="str">
        <x:f t="shared" si="8"/>
      </x:c>
      <x:c r="K191" t="str">
        <x:f t="shared" si="9"/>
      </x:c>
      <x:c r="L191" t="str">
        <x:f t="shared" si="10"/>
      </x:c>
      <x:c r="M191" t="str">
        <x:f t="shared" si="11"/>
      </x:c>
    </x:row>
    <x:row r="192" ht="18" customHeight="1">
      <x:c r="J192" t="str">
        <x:f t="shared" si="8"/>
      </x:c>
      <x:c r="K192" t="str">
        <x:f t="shared" si="9"/>
      </x:c>
      <x:c r="L192" t="str">
        <x:f t="shared" si="10"/>
      </x:c>
      <x:c r="M192" t="str">
        <x:f t="shared" si="11"/>
      </x:c>
    </x:row>
    <x:row r="193" ht="18" customHeight="1">
      <x:c r="J193" t="str">
        <x:f t="shared" si="8"/>
      </x:c>
      <x:c r="K193" t="str">
        <x:f t="shared" si="9"/>
      </x:c>
      <x:c r="L193" t="str">
        <x:f t="shared" si="10"/>
      </x:c>
      <x:c r="M193" t="str">
        <x:f t="shared" si="11"/>
      </x:c>
    </x:row>
    <x:row r="194" ht="18" customHeight="1">
      <x:c r="J194" t="str">
        <x:f t="shared" si="8"/>
      </x:c>
      <x:c r="K194" t="str">
        <x:f t="shared" si="9"/>
      </x:c>
      <x:c r="L194" t="str">
        <x:f t="shared" si="10"/>
      </x:c>
      <x:c r="M194" t="str">
        <x:f t="shared" si="11"/>
      </x:c>
    </x:row>
    <x:row r="195" ht="18" customHeight="1">
      <x:c r="J195" t="str">
        <x:f t="shared" si="8"/>
      </x:c>
      <x:c r="K195" t="str">
        <x:f t="shared" si="9"/>
      </x:c>
      <x:c r="L195" t="str">
        <x:f t="shared" si="10"/>
      </x:c>
      <x:c r="M195" t="str">
        <x:f t="shared" si="11"/>
      </x:c>
    </x:row>
    <x:row r="196" ht="18" customHeight="1">
      <x:c r="J196" t="str">
        <x:f t="shared" si="8"/>
      </x:c>
      <x:c r="K196" t="str">
        <x:f t="shared" si="9"/>
      </x:c>
      <x:c r="L196" t="str">
        <x:f t="shared" si="10"/>
      </x:c>
      <x:c r="M196" t="str">
        <x:f t="shared" si="11"/>
      </x:c>
    </x:row>
    <x:row r="197" ht="18" customHeight="1">
      <x:c r="J197" t="str">
        <x:f t="shared" ref="J197:J220" si="12">IF(A197="","", "SAMP-"&amp;A197&amp;"-L"&amp;TEXT(B197,"00")&amp;"-"&amp;TEXT(C197,"yyyymmdd")&amp;"-"&amp;D197&amp;"-H"&amp;TEXT(E197,"00")&amp;"-"&amp;H197)</x:f>
      </x:c>
      <x:c r="K197" t="str">
        <x:f t="shared" ref="K197:K220" si="13">IF(A197="","",IF(AND(G197&gt;=0,I197&gt;=0,I197&lt;=G197),"OK","CHECK"))</x:f>
      </x:c>
      <x:c r="L197" t="str">
        <x:f t="shared" ref="L197:L220" si="14">IF(A197="","",IF(AND(E197&gt;=0,E197&lt;=23),"OK","CHECK"))</x:f>
      </x:c>
      <x:c r="M197" t="str">
        <x:f t="shared" ref="M197:M220" si="15">IF(A197="","",IF(AND(K197="OK",L197="OK"),"OK","CHECK"))</x:f>
      </x:c>
    </x:row>
    <x:row r="198" ht="18" customHeight="1">
      <x:c r="J198" t="str">
        <x:f t="shared" si="12"/>
      </x:c>
      <x:c r="K198" t="str">
        <x:f t="shared" si="13"/>
      </x:c>
      <x:c r="L198" t="str">
        <x:f t="shared" si="14"/>
      </x:c>
      <x:c r="M198" t="str">
        <x:f t="shared" si="15"/>
      </x:c>
    </x:row>
    <x:row r="199" ht="18" customHeight="1">
      <x:c r="J199" t="str">
        <x:f t="shared" si="12"/>
      </x:c>
      <x:c r="K199" t="str">
        <x:f t="shared" si="13"/>
      </x:c>
      <x:c r="L199" t="str">
        <x:f t="shared" si="14"/>
      </x:c>
      <x:c r="M199" t="str">
        <x:f t="shared" si="15"/>
      </x:c>
    </x:row>
    <x:row r="200" ht="18" customHeight="1">
      <x:c r="J200" t="str">
        <x:f t="shared" si="12"/>
      </x:c>
      <x:c r="K200" t="str">
        <x:f t="shared" si="13"/>
      </x:c>
      <x:c r="L200" t="str">
        <x:f t="shared" si="14"/>
      </x:c>
      <x:c r="M200" t="str">
        <x:f t="shared" si="15"/>
      </x:c>
    </x:row>
    <x:row r="201" ht="18" customHeight="1">
      <x:c r="J201" t="str">
        <x:f t="shared" si="12"/>
      </x:c>
      <x:c r="K201" t="str">
        <x:f t="shared" si="13"/>
      </x:c>
      <x:c r="L201" t="str">
        <x:f t="shared" si="14"/>
      </x:c>
      <x:c r="M201" t="str">
        <x:f t="shared" si="15"/>
      </x:c>
    </x:row>
    <x:row r="202" ht="18" customHeight="1">
      <x:c r="J202" t="str">
        <x:f t="shared" si="12"/>
      </x:c>
      <x:c r="K202" t="str">
        <x:f t="shared" si="13"/>
      </x:c>
      <x:c r="L202" t="str">
        <x:f t="shared" si="14"/>
      </x:c>
      <x:c r="M202" t="str">
        <x:f t="shared" si="15"/>
      </x:c>
    </x:row>
    <x:row r="203" ht="18" customHeight="1">
      <x:c r="J203" t="str">
        <x:f t="shared" si="12"/>
      </x:c>
      <x:c r="K203" t="str">
        <x:f t="shared" si="13"/>
      </x:c>
      <x:c r="L203" t="str">
        <x:f t="shared" si="14"/>
      </x:c>
      <x:c r="M203" t="str">
        <x:f t="shared" si="15"/>
      </x:c>
    </x:row>
    <x:row r="204" ht="18" customHeight="1">
      <x:c r="J204" t="str">
        <x:f t="shared" si="12"/>
      </x:c>
      <x:c r="K204" t="str">
        <x:f t="shared" si="13"/>
      </x:c>
      <x:c r="L204" t="str">
        <x:f t="shared" si="14"/>
      </x:c>
      <x:c r="M204" t="str">
        <x:f t="shared" si="15"/>
      </x:c>
    </x:row>
    <x:row r="205" ht="18" customHeight="1">
      <x:c r="J205" t="str">
        <x:f t="shared" si="12"/>
      </x:c>
      <x:c r="K205" t="str">
        <x:f t="shared" si="13"/>
      </x:c>
      <x:c r="L205" t="str">
        <x:f t="shared" si="14"/>
      </x:c>
      <x:c r="M205" t="str">
        <x:f t="shared" si="15"/>
      </x:c>
    </x:row>
    <x:row r="206" ht="18" customHeight="1">
      <x:c r="J206" t="str">
        <x:f t="shared" si="12"/>
      </x:c>
      <x:c r="K206" t="str">
        <x:f t="shared" si="13"/>
      </x:c>
      <x:c r="L206" t="str">
        <x:f t="shared" si="14"/>
      </x:c>
      <x:c r="M206" t="str">
        <x:f t="shared" si="15"/>
      </x:c>
    </x:row>
    <x:row r="207" ht="18" customHeight="1">
      <x:c r="J207" t="str">
        <x:f t="shared" si="12"/>
      </x:c>
      <x:c r="K207" t="str">
        <x:f t="shared" si="13"/>
      </x:c>
      <x:c r="L207" t="str">
        <x:f t="shared" si="14"/>
      </x:c>
      <x:c r="M207" t="str">
        <x:f t="shared" si="15"/>
      </x:c>
    </x:row>
    <x:row r="208" ht="18" customHeight="1">
      <x:c r="J208" t="str">
        <x:f t="shared" si="12"/>
      </x:c>
      <x:c r="K208" t="str">
        <x:f t="shared" si="13"/>
      </x:c>
      <x:c r="L208" t="str">
        <x:f t="shared" si="14"/>
      </x:c>
      <x:c r="M208" t="str">
        <x:f t="shared" si="15"/>
      </x:c>
    </x:row>
    <x:row r="209" ht="18" customHeight="1">
      <x:c r="J209" t="str">
        <x:f t="shared" si="12"/>
      </x:c>
      <x:c r="K209" t="str">
        <x:f t="shared" si="13"/>
      </x:c>
      <x:c r="L209" t="str">
        <x:f t="shared" si="14"/>
      </x:c>
      <x:c r="M209" t="str">
        <x:f t="shared" si="15"/>
      </x:c>
    </x:row>
    <x:row r="210" ht="18" customHeight="1">
      <x:c r="J210" t="str">
        <x:f t="shared" si="12"/>
      </x:c>
      <x:c r="K210" t="str">
        <x:f t="shared" si="13"/>
      </x:c>
      <x:c r="L210" t="str">
        <x:f t="shared" si="14"/>
      </x:c>
      <x:c r="M210" t="str">
        <x:f t="shared" si="15"/>
      </x:c>
    </x:row>
    <x:row r="211" ht="18" customHeight="1">
      <x:c r="J211" t="str">
        <x:f t="shared" si="12"/>
      </x:c>
      <x:c r="K211" t="str">
        <x:f t="shared" si="13"/>
      </x:c>
      <x:c r="L211" t="str">
        <x:f t="shared" si="14"/>
      </x:c>
      <x:c r="M211" t="str">
        <x:f t="shared" si="15"/>
      </x:c>
    </x:row>
    <x:row r="212" ht="18" customHeight="1">
      <x:c r="J212" t="str">
        <x:f t="shared" si="12"/>
      </x:c>
      <x:c r="K212" t="str">
        <x:f t="shared" si="13"/>
      </x:c>
      <x:c r="L212" t="str">
        <x:f t="shared" si="14"/>
      </x:c>
      <x:c r="M212" t="str">
        <x:f t="shared" si="15"/>
      </x:c>
    </x:row>
    <x:row r="213" ht="18" customHeight="1">
      <x:c r="J213" t="str">
        <x:f t="shared" si="12"/>
      </x:c>
      <x:c r="K213" t="str">
        <x:f t="shared" si="13"/>
      </x:c>
      <x:c r="L213" t="str">
        <x:f t="shared" si="14"/>
      </x:c>
      <x:c r="M213" t="str">
        <x:f t="shared" si="15"/>
      </x:c>
    </x:row>
    <x:row r="214" ht="18" customHeight="1">
      <x:c r="J214" t="str">
        <x:f t="shared" si="12"/>
      </x:c>
      <x:c r="K214" t="str">
        <x:f t="shared" si="13"/>
      </x:c>
      <x:c r="L214" t="str">
        <x:f t="shared" si="14"/>
      </x:c>
      <x:c r="M214" t="str">
        <x:f t="shared" si="15"/>
      </x:c>
    </x:row>
    <x:row r="215" ht="18" customHeight="1">
      <x:c r="J215" t="str">
        <x:f t="shared" si="12"/>
      </x:c>
      <x:c r="K215" t="str">
        <x:f t="shared" si="13"/>
      </x:c>
      <x:c r="L215" t="str">
        <x:f t="shared" si="14"/>
      </x:c>
      <x:c r="M215" t="str">
        <x:f t="shared" si="15"/>
      </x:c>
    </x:row>
    <x:row r="216" ht="18" customHeight="1">
      <x:c r="J216" t="str">
        <x:f t="shared" si="12"/>
      </x:c>
      <x:c r="K216" t="str">
        <x:f t="shared" si="13"/>
      </x:c>
      <x:c r="L216" t="str">
        <x:f t="shared" si="14"/>
      </x:c>
      <x:c r="M216" t="str">
        <x:f t="shared" si="15"/>
      </x:c>
    </x:row>
    <x:row r="217" ht="18" customHeight="1">
      <x:c r="J217" t="str">
        <x:f t="shared" si="12"/>
      </x:c>
      <x:c r="K217" t="str">
        <x:f t="shared" si="13"/>
      </x:c>
      <x:c r="L217" t="str">
        <x:f t="shared" si="14"/>
      </x:c>
      <x:c r="M217" t="str">
        <x:f t="shared" si="15"/>
      </x:c>
    </x:row>
    <x:row r="218" ht="18" customHeight="1">
      <x:c r="J218" t="str">
        <x:f t="shared" si="12"/>
      </x:c>
      <x:c r="K218" t="str">
        <x:f t="shared" si="13"/>
      </x:c>
      <x:c r="L218" t="str">
        <x:f t="shared" si="14"/>
      </x:c>
      <x:c r="M218" t="str">
        <x:f t="shared" si="15"/>
      </x:c>
    </x:row>
    <x:row r="219" ht="18" customHeight="1">
      <x:c r="J219" t="str">
        <x:f t="shared" si="12"/>
      </x:c>
      <x:c r="K219" t="str">
        <x:f t="shared" si="13"/>
      </x:c>
      <x:c r="L219" t="str">
        <x:f t="shared" si="14"/>
      </x:c>
      <x:c r="M219" t="str">
        <x:f t="shared" si="15"/>
      </x:c>
    </x:row>
    <x:row r="220" ht="18" customHeight="1">
      <x:c r="J220" t="str">
        <x:f t="shared" si="12"/>
      </x:c>
      <x:c r="K220" t="str">
        <x:f t="shared" si="13"/>
      </x:c>
      <x:c r="L220" t="str">
        <x:f t="shared" si="14"/>
      </x:c>
      <x:c r="M220" t="str">
        <x:f t="shared" si="15"/>
      </x:c>
    </x:row>
    <x:row r="221" ht="18" customHeight="1"/>
    <x:row r="222" ht="18" customHeight="1"/>
    <x:row r="223" ht="18" customHeight="1"/>
    <x:row r="224" ht="18" customHeight="1"/>
    <x:row r="225" ht="18" customHeight="1"/>
    <x:row r="226" ht="18" customHeight="1"/>
    <x:row r="227" ht="18" customHeight="1"/>
    <x:row r="228" ht="18" customHeight="1"/>
    <x:row r="229" ht="18" customHeight="1"/>
    <x:row r="230" ht="18" customHeight="1"/>
    <x:row r="231" ht="18" customHeight="1"/>
    <x:row r="232" ht="18" customHeight="1"/>
    <x:row r="233" ht="18" customHeight="1"/>
    <x:row r="234" ht="18" customHeight="1"/>
    <x:row r="235" ht="18" customHeight="1"/>
    <x:row r="236" ht="18" customHeight="1"/>
    <x:row r="237" ht="18" customHeight="1"/>
    <x:row r="238" ht="18" customHeight="1"/>
    <x:row r="239" ht="18" customHeight="1"/>
    <x:row r="240" ht="18" customHeight="1"/>
    <x:row r="241" ht="18" customHeight="1"/>
    <x:row r="242" ht="18" customHeight="1"/>
    <x:row r="243" ht="18" customHeight="1"/>
    <x:row r="244" ht="18" customHeight="1"/>
    <x:row r="245" ht="18" customHeight="1"/>
    <x:row r="246" ht="18" customHeight="1"/>
    <x:row r="247" ht="18" customHeight="1"/>
    <x:row r="248" ht="18" customHeight="1"/>
    <x:row r="249" ht="18" customHeight="1"/>
    <x:row r="250" ht="18" customHeight="1"/>
    <x:row r="251" ht="18" customHeight="1"/>
    <x:row r="252" ht="18" customHeight="1"/>
    <x:row r="253" ht="18" customHeight="1"/>
    <x:row r="254" ht="18" customHeight="1"/>
    <x:row r="255" ht="18" customHeight="1"/>
    <x:row r="256" ht="18" customHeight="1"/>
    <x:row r="257" ht="18" customHeight="1"/>
    <x:row r="258" ht="18" customHeight="1"/>
    <x:row r="259" ht="18" customHeight="1"/>
    <x:row r="260" ht="18" customHeight="1"/>
    <x:row r="261" ht="18" customHeight="1"/>
    <x:row r="262" ht="18" customHeight="1"/>
    <x:row r="263" ht="18" customHeight="1"/>
    <x:row r="264" ht="18" customHeight="1"/>
    <x:row r="265" ht="18" customHeight="1"/>
    <x:row r="266" ht="18" customHeight="1"/>
    <x:row r="267" ht="18" customHeight="1"/>
    <x:row r="268" ht="18" customHeight="1"/>
    <x:row r="269" ht="18" customHeight="1"/>
    <x:row r="270" ht="18" customHeight="1"/>
    <x:row r="271" ht="18" customHeight="1"/>
    <x:row r="272" ht="18" customHeight="1"/>
    <x:row r="273" ht="18" customHeight="1"/>
    <x:row r="274" ht="18" customHeight="1"/>
    <x:row r="275" ht="18" customHeight="1"/>
    <x:row r="276" ht="18" customHeight="1"/>
    <x:row r="277" ht="18" customHeight="1"/>
    <x:row r="278" ht="18" customHeight="1"/>
    <x:row r="279" ht="18" customHeight="1"/>
    <x:row r="280" ht="18" customHeight="1"/>
    <x:row r="281" ht="18" customHeight="1"/>
    <x:row r="282" ht="18" customHeight="1"/>
    <x:row r="283" ht="18" customHeight="1"/>
    <x:row r="284" ht="18" customHeight="1"/>
    <x:row r="285" ht="18" customHeight="1"/>
    <x:row r="286" ht="18" customHeight="1"/>
    <x:row r="287" ht="18" customHeight="1"/>
    <x:row r="288" ht="18" customHeight="1"/>
    <x:row r="289" ht="18" customHeight="1"/>
    <x:row r="290" ht="18" customHeight="1"/>
    <x:row r="291" ht="18" customHeight="1"/>
    <x:row r="292" ht="18" customHeight="1"/>
    <x:row r="293" ht="18" customHeight="1"/>
    <x:row r="294" ht="18" customHeight="1"/>
    <x:row r="295" ht="18" customHeight="1"/>
    <x:row r="296" ht="18" customHeight="1"/>
    <x:row r="297" ht="18" customHeight="1"/>
    <x:row r="298" ht="18" customHeight="1"/>
    <x:row r="299" ht="18" customHeight="1"/>
    <x:row r="300" ht="18" customHeight="1"/>
    <x:row r="301" ht="18" customHeight="1"/>
    <x:row r="302" ht="18" customHeight="1"/>
    <x:row r="303" ht="18" customHeight="1"/>
    <x:row r="304" ht="18" customHeight="1"/>
    <x:row r="305" ht="18" customHeight="1"/>
    <x:row r="306" ht="18" customHeight="1"/>
    <x:row r="307" ht="18" customHeight="1"/>
    <x:row r="308" ht="18" customHeight="1"/>
    <x:row r="309" ht="18" customHeight="1"/>
    <x:row r="310" ht="18" customHeight="1"/>
    <x:row r="311" ht="18" customHeight="1"/>
    <x:row r="312" ht="18" customHeight="1"/>
    <x:row r="313" ht="18" customHeight="1"/>
    <x:row r="314" ht="18" customHeight="1"/>
    <x:row r="315" ht="18" customHeight="1"/>
    <x:row r="316" ht="18" customHeight="1"/>
    <x:row r="317" ht="18" customHeight="1"/>
    <x:row r="318" ht="18" customHeight="1"/>
    <x:row r="319" ht="18" customHeight="1"/>
    <x:row r="320" ht="18" customHeight="1"/>
    <x:row r="321" ht="18" customHeight="1"/>
    <x:row r="322" ht="18" customHeight="1"/>
    <x:row r="323" ht="18" customHeight="1"/>
    <x:row r="324" ht="18" customHeight="1"/>
    <x:row r="325" ht="18" customHeight="1"/>
    <x:row r="326" ht="18" customHeight="1"/>
    <x:row r="327" ht="18" customHeight="1"/>
    <x:row r="328" ht="18" customHeight="1"/>
    <x:row r="329" ht="18" customHeight="1"/>
    <x:row r="330" ht="18" customHeight="1"/>
    <x:row r="331" ht="18" customHeight="1"/>
    <x:row r="332" ht="18" customHeight="1"/>
    <x:row r="333" ht="18" customHeight="1"/>
    <x:row r="334" ht="18" customHeight="1"/>
    <x:row r="335" ht="18" customHeight="1"/>
    <x:row r="336" ht="18" customHeight="1"/>
    <x:row r="337" ht="18" customHeight="1"/>
    <x:row r="338" ht="18" customHeight="1"/>
    <x:row r="339" ht="18" customHeight="1"/>
    <x:row r="340" ht="18" customHeight="1"/>
    <x:row r="341" ht="18" customHeight="1"/>
    <x:row r="342" ht="18" customHeight="1"/>
    <x:row r="343" ht="18" customHeight="1"/>
    <x:row r="344" ht="18" customHeight="1"/>
    <x:row r="345" ht="18" customHeight="1"/>
    <x:row r="346" ht="18" customHeight="1"/>
    <x:row r="347" ht="18" customHeight="1"/>
    <x:row r="348" ht="18" customHeight="1"/>
    <x:row r="349" ht="18" customHeight="1"/>
    <x:row r="350" ht="18" customHeight="1"/>
    <x:row r="351" ht="18" customHeight="1"/>
    <x:row r="352" ht="18" customHeight="1"/>
    <x:row r="353" ht="18" customHeight="1"/>
    <x:row r="354" ht="18" customHeight="1"/>
    <x:row r="355" ht="18" customHeight="1"/>
    <x:row r="356" ht="18" customHeight="1"/>
    <x:row r="357" ht="18" customHeight="1"/>
    <x:row r="358" ht="18" customHeight="1"/>
    <x:row r="359" ht="18" customHeight="1"/>
    <x:row r="360" ht="18" customHeight="1"/>
    <x:row r="361" ht="18" customHeight="1"/>
    <x:row r="362" ht="18" customHeight="1"/>
    <x:row r="363" ht="18" customHeight="1"/>
    <x:row r="364" ht="18" customHeight="1"/>
    <x:row r="365" ht="18" customHeight="1"/>
    <x:row r="366" ht="18" customHeight="1"/>
    <x:row r="367" ht="18" customHeight="1"/>
    <x:row r="368" ht="18" customHeight="1"/>
    <x:row r="369" ht="18" customHeight="1"/>
    <x:row r="370" ht="18" customHeight="1"/>
    <x:row r="371" ht="18" customHeight="1"/>
    <x:row r="372" ht="18" customHeight="1"/>
    <x:row r="373" ht="18" customHeight="1"/>
    <x:row r="374" ht="18" customHeight="1"/>
    <x:row r="375" ht="18" customHeight="1"/>
    <x:row r="376" ht="18" customHeight="1"/>
    <x:row r="377" ht="18" customHeight="1"/>
    <x:row r="378" ht="18" customHeight="1"/>
    <x:row r="379" ht="18" customHeight="1"/>
    <x:row r="380" ht="18" customHeight="1"/>
    <x:row r="381" ht="18" customHeight="1"/>
    <x:row r="382" ht="18" customHeight="1"/>
    <x:row r="383" ht="18" customHeight="1"/>
    <x:row r="384" ht="18" customHeight="1"/>
    <x:row r="385" ht="18" customHeight="1"/>
    <x:row r="386" ht="18" customHeight="1"/>
    <x:row r="387" ht="18" customHeight="1"/>
    <x:row r="388" ht="18" customHeight="1"/>
    <x:row r="389" ht="18" customHeight="1"/>
    <x:row r="390" ht="18" customHeight="1"/>
    <x:row r="391" ht="18" customHeight="1"/>
    <x:row r="392" ht="18" customHeight="1"/>
    <x:row r="393" ht="18" customHeight="1"/>
    <x:row r="394" ht="18" customHeight="1"/>
    <x:row r="395" ht="18" customHeight="1"/>
    <x:row r="396" ht="18" customHeight="1"/>
    <x:row r="397" ht="18" customHeight="1"/>
    <x:row r="398" ht="18" customHeight="1"/>
    <x:row r="399" ht="18" customHeight="1"/>
    <x:row r="400" ht="18" customHeight="1"/>
    <x:row r="401" ht="18" customHeight="1"/>
    <x:row r="402" ht="18" customHeight="1"/>
    <x:row r="403" ht="18" customHeight="1"/>
    <x:row r="404" ht="18" customHeight="1"/>
    <x:row r="405" ht="18" customHeight="1"/>
    <x:row r="406" ht="18" customHeight="1"/>
    <x:row r="407" ht="18" customHeight="1"/>
    <x:row r="408" ht="18" customHeight="1"/>
    <x:row r="409" ht="18" customHeight="1"/>
    <x:row r="410" ht="18" customHeight="1"/>
    <x:row r="411" ht="18" customHeight="1"/>
    <x:row r="412" ht="18" customHeight="1"/>
    <x:row r="413" ht="18" customHeight="1"/>
    <x:row r="414" ht="18" customHeight="1"/>
    <x:row r="415" ht="18" customHeight="1"/>
    <x:row r="416" ht="18" customHeight="1"/>
    <x:row r="417" ht="18" customHeight="1"/>
    <x:row r="418" ht="18" customHeight="1"/>
    <x:row r="419" ht="18" customHeight="1"/>
    <x:row r="420" ht="18" customHeight="1"/>
    <x:row r="421" ht="18" customHeight="1"/>
    <x:row r="422" ht="18" customHeight="1"/>
    <x:row r="423" ht="18" customHeight="1"/>
    <x:row r="424" ht="18" customHeight="1"/>
    <x:row r="425" ht="18" customHeight="1"/>
    <x:row r="426" ht="18" customHeight="1"/>
    <x:row r="427" ht="18" customHeight="1"/>
    <x:row r="428" ht="18" customHeight="1"/>
    <x:row r="429" ht="18" customHeight="1"/>
    <x:row r="430" ht="18" customHeight="1"/>
    <x:row r="431" ht="18" customHeight="1"/>
    <x:row r="432" ht="18" customHeight="1"/>
    <x:row r="433" ht="18" customHeight="1"/>
    <x:row r="434" ht="18" customHeight="1"/>
    <x:row r="435" ht="18" customHeight="1"/>
    <x:row r="436" ht="18" customHeight="1"/>
    <x:row r="437" ht="18" customHeight="1"/>
    <x:row r="438" ht="18" customHeight="1"/>
    <x:row r="439" ht="18" customHeight="1"/>
    <x:row r="440" ht="18" customHeight="1"/>
    <x:row r="441" ht="18" customHeight="1"/>
    <x:row r="442" ht="18" customHeight="1"/>
    <x:row r="443" ht="18" customHeight="1"/>
    <x:row r="444" ht="18" customHeight="1"/>
    <x:row r="445" ht="18" customHeight="1"/>
    <x:row r="446" ht="18" customHeight="1"/>
    <x:row r="447" ht="18" customHeight="1"/>
    <x:row r="448" ht="18" customHeight="1"/>
    <x:row r="449" ht="18" customHeight="1"/>
    <x:row r="450" ht="18" customHeight="1"/>
    <x:row r="451" ht="18" customHeight="1"/>
    <x:row r="452" ht="18" customHeight="1"/>
    <x:row r="453" ht="18" customHeight="1"/>
    <x:row r="454" ht="18" customHeight="1"/>
    <x:row r="455" ht="18" customHeight="1"/>
    <x:row r="456" ht="18" customHeight="1"/>
    <x:row r="457" ht="18" customHeight="1"/>
    <x:row r="458" ht="18" customHeight="1"/>
    <x:row r="459" ht="18" customHeight="1"/>
    <x:row r="460" ht="18" customHeight="1"/>
    <x:row r="461" ht="18" customHeight="1"/>
    <x:row r="462" ht="18" customHeight="1"/>
    <x:row r="463" ht="18" customHeight="1"/>
    <x:row r="464" ht="18" customHeight="1"/>
    <x:row r="465" ht="18" customHeight="1"/>
    <x:row r="466" ht="18" customHeight="1"/>
    <x:row r="467" ht="18" customHeight="1"/>
    <x:row r="468" ht="18" customHeight="1"/>
    <x:row r="469" ht="18" customHeight="1"/>
    <x:row r="470" ht="18" customHeight="1"/>
    <x:row r="471" ht="18" customHeight="1"/>
    <x:row r="472" ht="18" customHeight="1"/>
    <x:row r="473" ht="18" customHeight="1"/>
    <x:row r="474" ht="18" customHeight="1"/>
    <x:row r="475" ht="18" customHeight="1"/>
    <x:row r="476" ht="18" customHeight="1"/>
    <x:row r="477" ht="18" customHeight="1"/>
    <x:row r="478" ht="18" customHeight="1"/>
    <x:row r="479" ht="18" customHeight="1"/>
    <x:row r="480" ht="18" customHeight="1"/>
    <x:row r="481" ht="18" customHeight="1"/>
    <x:row r="482" ht="18" customHeight="1"/>
    <x:row r="483" ht="18" customHeight="1"/>
    <x:row r="484" ht="18" customHeight="1"/>
    <x:row r="485" ht="18" customHeight="1"/>
    <x:row r="486" ht="18" customHeight="1"/>
    <x:row r="487" ht="18" customHeight="1"/>
    <x:row r="488" ht="18" customHeight="1"/>
    <x:row r="489" ht="18" customHeight="1"/>
    <x:row r="490" ht="18" customHeight="1"/>
    <x:row r="491" ht="18" customHeight="1"/>
    <x:row r="492" ht="18" customHeight="1"/>
    <x:row r="493" ht="18" customHeight="1"/>
    <x:row r="494" ht="18" customHeight="1"/>
    <x:row r="495" ht="18" customHeight="1"/>
    <x:row r="496" ht="18" customHeight="1"/>
    <x:row r="497" ht="18" customHeight="1"/>
    <x:row r="498" ht="18" customHeight="1"/>
    <x:row r="499" ht="18" customHeight="1"/>
    <x:row r="500" ht="18" customHeight="1"/>
    <x:row r="501" ht="18" customHeight="1"/>
    <x:row r="502" ht="18" customHeight="1"/>
    <x:row r="503" ht="18" customHeight="1"/>
    <x:row r="504" ht="18" customHeight="1"/>
    <x:row r="505" ht="18" customHeight="1"/>
    <x:row r="506" ht="18" customHeight="1"/>
    <x:row r="507" ht="18" customHeight="1"/>
    <x:row r="508" ht="18" customHeight="1"/>
    <x:row r="509" ht="18" customHeight="1"/>
    <x:row r="510" ht="18" customHeight="1"/>
    <x:row r="511" ht="18" customHeight="1"/>
    <x:row r="512" ht="18" customHeight="1"/>
    <x:row r="513" ht="18" customHeight="1"/>
    <x:row r="514" ht="18" customHeight="1"/>
    <x:row r="515" ht="18" customHeight="1"/>
    <x:row r="516" ht="18" customHeight="1"/>
    <x:row r="517" ht="18" customHeight="1"/>
    <x:row r="518" ht="18" customHeight="1"/>
    <x:row r="519" ht="18" customHeight="1"/>
    <x:row r="520" ht="18" customHeight="1"/>
    <x:row r="521" ht="18" customHeight="1"/>
    <x:row r="522" ht="18" customHeight="1"/>
    <x:row r="523" ht="18" customHeight="1"/>
    <x:row r="524" ht="18" customHeight="1"/>
    <x:row r="525" ht="18" customHeight="1"/>
    <x:row r="526" ht="18" customHeight="1"/>
    <x:row r="527" ht="18" customHeight="1"/>
    <x:row r="528" ht="18" customHeight="1"/>
    <x:row r="529" ht="18" customHeight="1"/>
    <x:row r="530" ht="18" customHeight="1"/>
    <x:row r="531" ht="18" customHeight="1"/>
    <x:row r="532" ht="18" customHeight="1"/>
    <x:row r="533" ht="18" customHeight="1"/>
    <x:row r="534" ht="18" customHeight="1"/>
    <x:row r="535" ht="18" customHeight="1"/>
    <x:row r="536" ht="18" customHeight="1"/>
    <x:row r="537" ht="18" customHeight="1"/>
    <x:row r="538" ht="18" customHeight="1"/>
    <x:row r="539" ht="18" customHeight="1"/>
    <x:row r="540" ht="18" customHeight="1"/>
    <x:row r="541" ht="18" customHeight="1"/>
    <x:row r="542" ht="18" customHeight="1"/>
    <x:row r="543" ht="18" customHeight="1"/>
    <x:row r="544" ht="18" customHeight="1"/>
    <x:row r="545" ht="18" customHeight="1"/>
    <x:row r="546" ht="18" customHeight="1"/>
    <x:row r="547" ht="18" customHeight="1"/>
    <x:row r="548" ht="18" customHeight="1"/>
    <x:row r="549" ht="18" customHeight="1"/>
    <x:row r="550" ht="18" customHeight="1"/>
    <x:row r="551" ht="18" customHeight="1"/>
    <x:row r="552" ht="18" customHeight="1"/>
    <x:row r="553" ht="18" customHeight="1"/>
    <x:row r="554" ht="18" customHeight="1"/>
    <x:row r="555" ht="18" customHeight="1"/>
    <x:row r="556" ht="18" customHeight="1"/>
    <x:row r="557" ht="18" customHeight="1"/>
    <x:row r="558" ht="18" customHeight="1"/>
    <x:row r="559" ht="18" customHeight="1"/>
    <x:row r="560" ht="18" customHeight="1"/>
    <x:row r="561" ht="18" customHeight="1"/>
    <x:row r="562" ht="18" customHeight="1"/>
    <x:row r="563" ht="18" customHeight="1"/>
    <x:row r="564" ht="18" customHeight="1"/>
    <x:row r="565" ht="18" customHeight="1"/>
    <x:row r="566" ht="18" customHeight="1"/>
    <x:row r="567" ht="18" customHeight="1"/>
    <x:row r="568" ht="18" customHeight="1"/>
    <x:row r="569" ht="18" customHeight="1"/>
    <x:row r="570" ht="18" customHeight="1"/>
    <x:row r="571" ht="18" customHeight="1"/>
    <x:row r="572" ht="18" customHeight="1"/>
    <x:row r="573" ht="18" customHeight="1"/>
    <x:row r="574" ht="18" customHeight="1"/>
    <x:row r="575" ht="18" customHeight="1"/>
    <x:row r="576" ht="18" customHeight="1"/>
    <x:row r="577" ht="18" customHeight="1"/>
    <x:row r="578" ht="18" customHeight="1"/>
    <x:row r="579" ht="18" customHeight="1"/>
    <x:row r="580" ht="18" customHeight="1"/>
    <x:row r="581" ht="18" customHeight="1"/>
    <x:row r="582" ht="18" customHeight="1"/>
    <x:row r="583" ht="18" customHeight="1"/>
    <x:row r="584" ht="18" customHeight="1"/>
    <x:row r="585" ht="18" customHeight="1"/>
    <x:row r="586" ht="18" customHeight="1"/>
    <x:row r="587" ht="18" customHeight="1"/>
    <x:row r="588" ht="18" customHeight="1"/>
    <x:row r="589" ht="18" customHeight="1"/>
    <x:row r="590" ht="18" customHeight="1"/>
    <x:row r="591" ht="18" customHeight="1"/>
    <x:row r="592" ht="18" customHeight="1"/>
    <x:row r="593" ht="18" customHeight="1"/>
    <x:row r="594" ht="18" customHeight="1"/>
    <x:row r="595" ht="18" customHeight="1"/>
    <x:row r="596" ht="18" customHeight="1"/>
    <x:row r="597" ht="18" customHeight="1"/>
    <x:row r="598" ht="18" customHeight="1"/>
    <x:row r="599" ht="18" customHeight="1"/>
    <x:row r="600" ht="18" customHeight="1"/>
    <x:row r="601" ht="18" customHeight="1"/>
    <x:row r="602" ht="18" customHeight="1"/>
    <x:row r="603" ht="18" customHeight="1"/>
    <x:row r="604" ht="18" customHeight="1"/>
    <x:row r="605" ht="18" customHeight="1"/>
    <x:row r="606" ht="18" customHeight="1"/>
    <x:row r="607" ht="18" customHeight="1"/>
    <x:row r="608" ht="18" customHeight="1"/>
    <x:row r="609" ht="18" customHeight="1"/>
    <x:row r="610" ht="18" customHeight="1"/>
    <x:row r="611" ht="18" customHeight="1"/>
    <x:row r="612" ht="18" customHeight="1"/>
    <x:row r="613" ht="18" customHeight="1"/>
    <x:row r="614" ht="18" customHeight="1"/>
    <x:row r="615" ht="18" customHeight="1"/>
    <x:row r="616" ht="18" customHeight="1"/>
    <x:row r="617" ht="18" customHeight="1"/>
    <x:row r="618" ht="18" customHeight="1"/>
    <x:row r="619" ht="18" customHeight="1"/>
    <x:row r="620" ht="18" customHeight="1"/>
    <x:row r="621" ht="18" customHeight="1"/>
    <x:row r="622" ht="18" customHeight="1"/>
    <x:row r="623" ht="18" customHeight="1"/>
    <x:row r="624" ht="18" customHeight="1"/>
    <x:row r="625" ht="18" customHeight="1"/>
    <x:row r="626" ht="18" customHeight="1"/>
    <x:row r="627" ht="18" customHeight="1"/>
    <x:row r="628" ht="18" customHeight="1"/>
    <x:row r="629" ht="18" customHeight="1"/>
    <x:row r="630" ht="18" customHeight="1"/>
    <x:row r="631" ht="18" customHeight="1"/>
    <x:row r="632" ht="18" customHeight="1"/>
    <x:row r="633" ht="18" customHeight="1"/>
    <x:row r="634" ht="18" customHeight="1"/>
    <x:row r="635" ht="18" customHeight="1"/>
    <x:row r="636" ht="18" customHeight="1"/>
    <x:row r="637" ht="18" customHeight="1"/>
    <x:row r="638" ht="18" customHeight="1"/>
    <x:row r="639" ht="18" customHeight="1"/>
    <x:row r="640" ht="18" customHeight="1"/>
    <x:row r="641" ht="18" customHeight="1"/>
    <x:row r="642" ht="18" customHeight="1"/>
    <x:row r="643" ht="18" customHeight="1"/>
    <x:row r="644" ht="18" customHeight="1"/>
    <x:row r="645" ht="18" customHeight="1"/>
    <x:row r="646" ht="18" customHeight="1"/>
    <x:row r="647" ht="18" customHeight="1"/>
    <x:row r="648" ht="18" customHeight="1"/>
    <x:row r="649" ht="18" customHeight="1"/>
    <x:row r="650" ht="18" customHeight="1"/>
    <x:row r="651" ht="18" customHeight="1"/>
    <x:row r="652" ht="18" customHeight="1"/>
    <x:row r="653" ht="18" customHeight="1"/>
    <x:row r="654" ht="18" customHeight="1"/>
    <x:row r="655" ht="18" customHeight="1"/>
    <x:row r="656" ht="18" customHeight="1"/>
    <x:row r="657" ht="18" customHeight="1"/>
    <x:row r="658" ht="18" customHeight="1"/>
    <x:row r="659" ht="18" customHeight="1"/>
    <x:row r="660" ht="18" customHeight="1"/>
    <x:row r="661" ht="18" customHeight="1"/>
    <x:row r="662" ht="18" customHeight="1"/>
    <x:row r="663" ht="18" customHeight="1"/>
    <x:row r="664" ht="18" customHeight="1"/>
    <x:row r="665" ht="18" customHeight="1"/>
    <x:row r="666" ht="18" customHeight="1"/>
    <x:row r="667" ht="18" customHeight="1"/>
    <x:row r="668" ht="18" customHeight="1"/>
    <x:row r="669" ht="18" customHeight="1"/>
    <x:row r="670" ht="18" customHeight="1"/>
    <x:row r="671" ht="18" customHeight="1"/>
    <x:row r="672" ht="18" customHeight="1"/>
    <x:row r="673" ht="18" customHeight="1"/>
    <x:row r="674" ht="18" customHeight="1"/>
    <x:row r="675" ht="18" customHeight="1"/>
    <x:row r="676" ht="18" customHeight="1"/>
    <x:row r="677" ht="18" customHeight="1"/>
    <x:row r="678" ht="18" customHeight="1"/>
    <x:row r="679" ht="18" customHeight="1"/>
    <x:row r="680" ht="18" customHeight="1"/>
    <x:row r="681" ht="18" customHeight="1"/>
    <x:row r="682" ht="18" customHeight="1"/>
    <x:row r="683" ht="18" customHeight="1"/>
    <x:row r="684" ht="18" customHeight="1"/>
    <x:row r="685" ht="18" customHeight="1"/>
    <x:row r="686" ht="18" customHeight="1"/>
    <x:row r="687" ht="18" customHeight="1"/>
    <x:row r="688" ht="18" customHeight="1"/>
    <x:row r="689" ht="18" customHeight="1"/>
    <x:row r="690" ht="18" customHeight="1"/>
    <x:row r="691" ht="18" customHeight="1"/>
    <x:row r="692" ht="18" customHeight="1"/>
    <x:row r="693" ht="18" customHeight="1"/>
    <x:row r="694" ht="18" customHeight="1"/>
    <x:row r="695" ht="18" customHeight="1"/>
    <x:row r="696" ht="18" customHeight="1"/>
    <x:row r="697" ht="18" customHeight="1"/>
    <x:row r="698" ht="18" customHeight="1"/>
    <x:row r="699" ht="18" customHeight="1"/>
    <x:row r="700" ht="18" customHeight="1"/>
    <x:row r="701" ht="18" customHeight="1"/>
    <x:row r="702" ht="18" customHeight="1"/>
    <x:row r="703" ht="18" customHeight="1"/>
    <x:row r="704" ht="18" customHeight="1"/>
    <x:row r="705" ht="18" customHeight="1"/>
    <x:row r="706" ht="18" customHeight="1"/>
    <x:row r="707" ht="18" customHeight="1"/>
    <x:row r="708" ht="18" customHeight="1"/>
    <x:row r="709" ht="18" customHeight="1"/>
    <x:row r="710" ht="18" customHeight="1"/>
    <x:row r="711" ht="18" customHeight="1"/>
    <x:row r="712" ht="18" customHeight="1"/>
    <x:row r="713" ht="18" customHeight="1"/>
    <x:row r="714" ht="18" customHeight="1"/>
    <x:row r="715" ht="18" customHeight="1"/>
    <x:row r="716" ht="18" customHeight="1"/>
    <x:row r="717" ht="18" customHeight="1"/>
    <x:row r="718" ht="18" customHeight="1"/>
    <x:row r="719" ht="18" customHeight="1"/>
    <x:row r="720" ht="18" customHeight="1"/>
    <x:row r="721" ht="18" customHeight="1"/>
    <x:row r="722" ht="18" customHeight="1"/>
    <x:row r="723" ht="18" customHeight="1"/>
    <x:row r="724" ht="18" customHeight="1"/>
    <x:row r="725" ht="18" customHeight="1"/>
    <x:row r="726" ht="18" customHeight="1"/>
    <x:row r="727" ht="18" customHeight="1"/>
    <x:row r="728" ht="18" customHeight="1"/>
    <x:row r="729" ht="18" customHeight="1"/>
    <x:row r="730" ht="18" customHeight="1"/>
    <x:row r="731" ht="18" customHeight="1"/>
    <x:row r="732" ht="18" customHeight="1"/>
    <x:row r="733" ht="18" customHeight="1"/>
    <x:row r="734" ht="18" customHeight="1"/>
    <x:row r="735" ht="18" customHeight="1"/>
    <x:row r="736" ht="18" customHeight="1"/>
    <x:row r="737" ht="18" customHeight="1"/>
    <x:row r="738" ht="18" customHeight="1"/>
    <x:row r="739" ht="18" customHeight="1"/>
    <x:row r="740" ht="18" customHeight="1"/>
    <x:row r="741" ht="18" customHeight="1"/>
    <x:row r="742" ht="18" customHeight="1"/>
    <x:row r="743" ht="18" customHeight="1"/>
    <x:row r="744" ht="18" customHeight="1"/>
    <x:row r="745" ht="18" customHeight="1"/>
    <x:row r="746" ht="18" customHeight="1"/>
    <x:row r="747" ht="18" customHeight="1"/>
    <x:row r="748" ht="18" customHeight="1"/>
    <x:row r="749" ht="18" customHeight="1"/>
    <x:row r="750" ht="18" customHeight="1"/>
    <x:row r="751" ht="18" customHeight="1"/>
    <x:row r="752" ht="18" customHeight="1"/>
    <x:row r="753" ht="18" customHeight="1"/>
    <x:row r="754" ht="18" customHeight="1"/>
    <x:row r="755" ht="18" customHeight="1"/>
    <x:row r="756" ht="18" customHeight="1"/>
    <x:row r="757" ht="18" customHeight="1"/>
    <x:row r="758" ht="18" customHeight="1"/>
    <x:row r="759" ht="18" customHeight="1"/>
    <x:row r="760" ht="18" customHeight="1"/>
    <x:row r="761" ht="18" customHeight="1"/>
    <x:row r="762" ht="18" customHeight="1"/>
    <x:row r="763" ht="18" customHeight="1"/>
    <x:row r="764" ht="18" customHeight="1"/>
    <x:row r="765" ht="18" customHeight="1"/>
    <x:row r="766" ht="18" customHeight="1"/>
    <x:row r="767" ht="18" customHeight="1"/>
    <x:row r="768" ht="18" customHeight="1"/>
    <x:row r="769" ht="18" customHeight="1"/>
    <x:row r="770" ht="18" customHeight="1"/>
    <x:row r="771" ht="18" customHeight="1"/>
    <x:row r="772" ht="18" customHeight="1"/>
    <x:row r="773" ht="18" customHeight="1"/>
    <x:row r="774" ht="18" customHeight="1"/>
    <x:row r="775" ht="18" customHeight="1"/>
    <x:row r="776" ht="18" customHeight="1"/>
    <x:row r="777" ht="18" customHeight="1"/>
    <x:row r="778" ht="18" customHeight="1"/>
    <x:row r="779" ht="18" customHeight="1"/>
    <x:row r="780" ht="18" customHeight="1"/>
    <x:row r="781" ht="18" customHeight="1"/>
    <x:row r="782" ht="18" customHeight="1"/>
    <x:row r="783" ht="18" customHeight="1"/>
    <x:row r="784" ht="18" customHeight="1"/>
    <x:row r="785" ht="18" customHeight="1"/>
    <x:row r="786" ht="18" customHeight="1"/>
    <x:row r="787" ht="18" customHeight="1"/>
    <x:row r="788" ht="18" customHeight="1"/>
    <x:row r="789" ht="18" customHeight="1"/>
    <x:row r="790" ht="18" customHeight="1"/>
    <x:row r="791" ht="18" customHeight="1"/>
    <x:row r="792" ht="18" customHeight="1"/>
    <x:row r="793" ht="18" customHeight="1"/>
    <x:row r="794" ht="18" customHeight="1"/>
    <x:row r="795" ht="18" customHeight="1"/>
    <x:row r="796" ht="18" customHeight="1"/>
    <x:row r="797" ht="18" customHeight="1"/>
    <x:row r="798" ht="18" customHeight="1"/>
    <x:row r="799" ht="18" customHeight="1"/>
    <x:row r="800" ht="18" customHeight="1"/>
    <x:row r="801" ht="18" customHeight="1"/>
    <x:row r="802" ht="18" customHeight="1"/>
    <x:row r="803" ht="18" customHeight="1"/>
    <x:row r="804" ht="18" customHeight="1"/>
    <x:row r="805" ht="18" customHeight="1"/>
    <x:row r="806" ht="18" customHeight="1"/>
    <x:row r="807" ht="18" customHeight="1"/>
    <x:row r="808" ht="18" customHeight="1"/>
    <x:row r="809" ht="18" customHeight="1"/>
    <x:row r="810" ht="18" customHeight="1"/>
    <x:row r="811" ht="18" customHeight="1"/>
    <x:row r="812" ht="18" customHeight="1"/>
    <x:row r="813" ht="18" customHeight="1"/>
    <x:row r="814" ht="18" customHeight="1"/>
    <x:row r="815" ht="18" customHeight="1"/>
    <x:row r="816" ht="18" customHeight="1"/>
    <x:row r="817" ht="18" customHeight="1"/>
    <x:row r="818" ht="18" customHeight="1"/>
    <x:row r="819" ht="18" customHeight="1"/>
    <x:row r="820" ht="18" customHeight="1"/>
    <x:row r="821" ht="18" customHeight="1"/>
    <x:row r="822" ht="18" customHeight="1"/>
    <x:row r="823" ht="18" customHeight="1"/>
    <x:row r="824" ht="18" customHeight="1"/>
    <x:row r="825" ht="18" customHeight="1"/>
    <x:row r="826" ht="18" customHeight="1"/>
    <x:row r="827" ht="18" customHeight="1"/>
    <x:row r="828" ht="18" customHeight="1"/>
    <x:row r="829" ht="18" customHeight="1"/>
    <x:row r="830" ht="18" customHeight="1"/>
    <x:row r="831" ht="18" customHeight="1"/>
    <x:row r="832" ht="18" customHeight="1"/>
    <x:row r="833" ht="18" customHeight="1"/>
    <x:row r="834" ht="18" customHeight="1"/>
    <x:row r="835" ht="18" customHeight="1"/>
    <x:row r="836" ht="18" customHeight="1"/>
    <x:row r="837" ht="18" customHeight="1"/>
    <x:row r="838" ht="18" customHeight="1"/>
    <x:row r="839" ht="18" customHeight="1"/>
    <x:row r="840" ht="18" customHeight="1"/>
    <x:row r="841" ht="18" customHeight="1"/>
    <x:row r="842" ht="18" customHeight="1"/>
    <x:row r="843" ht="18" customHeight="1"/>
    <x:row r="844" ht="18" customHeight="1"/>
    <x:row r="845" ht="18" customHeight="1"/>
    <x:row r="846" ht="18" customHeight="1"/>
    <x:row r="847" ht="18" customHeight="1"/>
    <x:row r="848" ht="18" customHeight="1"/>
    <x:row r="849" ht="18" customHeight="1"/>
    <x:row r="850" ht="18" customHeight="1"/>
    <x:row r="851" ht="18" customHeight="1"/>
    <x:row r="852" ht="18" customHeight="1"/>
    <x:row r="853" ht="18" customHeight="1"/>
    <x:row r="854" ht="18" customHeight="1"/>
    <x:row r="855" ht="18" customHeight="1"/>
    <x:row r="856" ht="18" customHeight="1"/>
    <x:row r="857" ht="18" customHeight="1"/>
    <x:row r="858" ht="18" customHeight="1"/>
    <x:row r="859" ht="18" customHeight="1"/>
    <x:row r="860" ht="18" customHeight="1"/>
    <x:row r="861" ht="18" customHeight="1"/>
    <x:row r="862" ht="18" customHeight="1"/>
    <x:row r="863" ht="18" customHeight="1"/>
    <x:row r="864" ht="18" customHeight="1"/>
    <x:row r="865" ht="18" customHeight="1"/>
    <x:row r="866" ht="18" customHeight="1"/>
    <x:row r="867" ht="18" customHeight="1"/>
    <x:row r="868" ht="18" customHeight="1"/>
    <x:row r="869" ht="18" customHeight="1"/>
    <x:row r="870" ht="18" customHeight="1"/>
    <x:row r="871" ht="18" customHeight="1"/>
    <x:row r="872" ht="18" customHeight="1"/>
    <x:row r="873" ht="18" customHeight="1"/>
    <x:row r="874" ht="18" customHeight="1"/>
    <x:row r="875" ht="18" customHeight="1"/>
    <x:row r="876" ht="18" customHeight="1"/>
    <x:row r="877" ht="18" customHeight="1"/>
    <x:row r="878" ht="18" customHeight="1"/>
    <x:row r="879" ht="18" customHeight="1"/>
    <x:row r="880" ht="18" customHeight="1"/>
    <x:row r="881" ht="18" customHeight="1"/>
    <x:row r="882" ht="18" customHeight="1"/>
    <x:row r="883" ht="18" customHeight="1"/>
    <x:row r="884" ht="18" customHeight="1"/>
    <x:row r="885" ht="18" customHeight="1"/>
    <x:row r="886" ht="18" customHeight="1"/>
    <x:row r="887" ht="18" customHeight="1"/>
    <x:row r="888" ht="18" customHeight="1"/>
    <x:row r="889" ht="18" customHeight="1"/>
    <x:row r="890" ht="18" customHeight="1"/>
    <x:row r="891" ht="18" customHeight="1"/>
    <x:row r="892" ht="18" customHeight="1"/>
    <x:row r="893" ht="18" customHeight="1"/>
    <x:row r="894" ht="18" customHeight="1"/>
    <x:row r="895" ht="18" customHeight="1"/>
    <x:row r="896" ht="18" customHeight="1"/>
    <x:row r="897" ht="18" customHeight="1"/>
    <x:row r="898" ht="18" customHeight="1"/>
    <x:row r="899" ht="18" customHeight="1"/>
    <x:row r="900" ht="18" customHeight="1"/>
    <x:row r="901" ht="18" customHeight="1"/>
    <x:row r="902" ht="18" customHeight="1"/>
    <x:row r="903" ht="18" customHeight="1"/>
    <x:row r="904" ht="18" customHeight="1"/>
    <x:row r="905" ht="18" customHeight="1"/>
    <x:row r="906" ht="18" customHeight="1"/>
    <x:row r="907" ht="18" customHeight="1"/>
    <x:row r="908" ht="18" customHeight="1"/>
    <x:row r="909" ht="18" customHeight="1"/>
    <x:row r="910" ht="18" customHeight="1"/>
    <x:row r="911" ht="18" customHeight="1"/>
    <x:row r="912" ht="18" customHeight="1"/>
    <x:row r="913" ht="18" customHeight="1"/>
    <x:row r="914" ht="18" customHeight="1"/>
    <x:row r="915" ht="18" customHeight="1"/>
    <x:row r="916" ht="18" customHeight="1"/>
    <x:row r="917" ht="18" customHeight="1"/>
    <x:row r="918" ht="18" customHeight="1"/>
    <x:row r="919" ht="18" customHeight="1"/>
    <x:row r="920" ht="18" customHeight="1"/>
    <x:row r="921" ht="18" customHeight="1"/>
    <x:row r="922" ht="18" customHeight="1"/>
    <x:row r="923" ht="18" customHeight="1"/>
    <x:row r="924" ht="18" customHeight="1"/>
    <x:row r="925" ht="18" customHeight="1"/>
    <x:row r="926" ht="18" customHeight="1"/>
    <x:row r="927" ht="18" customHeight="1"/>
    <x:row r="928" ht="18" customHeight="1"/>
    <x:row r="929" ht="18" customHeight="1"/>
    <x:row r="930" ht="18" customHeight="1"/>
    <x:row r="931" ht="18" customHeight="1"/>
    <x:row r="932" ht="18" customHeight="1"/>
    <x:row r="933" ht="18" customHeight="1"/>
    <x:row r="934" ht="18" customHeight="1"/>
    <x:row r="935" ht="18" customHeight="1"/>
    <x:row r="936" ht="18" customHeight="1"/>
    <x:row r="937" ht="18" customHeight="1"/>
    <x:row r="938" ht="18" customHeight="1"/>
    <x:row r="939" ht="18" customHeight="1"/>
    <x:row r="940" ht="18" customHeight="1"/>
    <x:row r="941" ht="18" customHeight="1"/>
    <x:row r="942" ht="18" customHeight="1"/>
    <x:row r="943" ht="18" customHeight="1"/>
    <x:row r="944" ht="18" customHeight="1"/>
    <x:row r="945" ht="18" customHeight="1"/>
    <x:row r="946" ht="18" customHeight="1"/>
    <x:row r="947" ht="18" customHeight="1"/>
    <x:row r="948" ht="18" customHeight="1"/>
    <x:row r="949" ht="18" customHeight="1"/>
    <x:row r="950" ht="18" customHeight="1"/>
    <x:row r="951" ht="18" customHeight="1"/>
    <x:row r="952" ht="18" customHeight="1"/>
    <x:row r="953" ht="18" customHeight="1"/>
    <x:row r="954" ht="18" customHeight="1"/>
    <x:row r="955" ht="18" customHeight="1"/>
    <x:row r="956" ht="18" customHeight="1"/>
    <x:row r="957" ht="18" customHeight="1"/>
    <x:row r="958" ht="18" customHeight="1"/>
    <x:row r="959" ht="18" customHeight="1"/>
    <x:row r="960" ht="18" customHeight="1"/>
    <x:row r="961" ht="18" customHeight="1"/>
    <x:row r="962" ht="18" customHeight="1"/>
    <x:row r="963" ht="18" customHeight="1"/>
    <x:row r="964" ht="18" customHeight="1"/>
    <x:row r="965" ht="18" customHeight="1"/>
    <x:row r="966" ht="18" customHeight="1"/>
    <x:row r="967" ht="18" customHeight="1"/>
    <x:row r="968" ht="18" customHeight="1"/>
    <x:row r="969" ht="18" customHeight="1"/>
    <x:row r="970" ht="18" customHeight="1"/>
    <x:row r="971" ht="18" customHeight="1"/>
    <x:row r="972" ht="18" customHeight="1"/>
    <x:row r="973" ht="18" customHeight="1"/>
    <x:row r="974" ht="18" customHeight="1"/>
    <x:row r="975" ht="18" customHeight="1"/>
    <x:row r="976" ht="18" customHeight="1"/>
    <x:row r="977" ht="18" customHeight="1"/>
    <x:row r="978" ht="18" customHeight="1"/>
    <x:row r="979" ht="18" customHeight="1"/>
    <x:row r="980" ht="18" customHeight="1"/>
    <x:row r="981" ht="18" customHeight="1"/>
    <x:row r="982" ht="18" customHeight="1"/>
    <x:row r="983" ht="18" customHeight="1"/>
    <x:row r="984" ht="18" customHeight="1"/>
    <x:row r="985" ht="18" customHeight="1"/>
    <x:row r="986" ht="18" customHeight="1"/>
    <x:row r="987" ht="18" customHeight="1"/>
    <x:row r="988" ht="18" customHeight="1"/>
    <x:row r="989" ht="18" customHeight="1"/>
    <x:row r="990" ht="18" customHeight="1"/>
    <x:row r="991" ht="18" customHeight="1"/>
    <x:row r="992" ht="18" customHeight="1"/>
    <x:row r="993" ht="18" customHeight="1"/>
    <x:row r="994" ht="18" customHeight="1"/>
    <x:row r="995" ht="18" customHeight="1"/>
    <x:row r="996" ht="18" customHeight="1"/>
    <x:row r="997" ht="18" customHeight="1"/>
    <x:row r="998" ht="18" customHeight="1"/>
    <x:row r="999" ht="18" customHeight="1"/>
    <x:row r="1000" ht="18" customHeight="1"/>
    <x:row r="1001" ht="18" customHeight="1"/>
    <x:row r="1002" ht="18" customHeight="1"/>
    <x:row r="1003" ht="18" customHeight="1"/>
    <x:row r="1004" ht="18" customHeight="1"/>
    <x:row r="1005" ht="18" customHeight="1"/>
    <x:row r="1006" ht="18" customHeight="1"/>
    <x:row r="1007" ht="18" customHeight="1"/>
    <x:row r="1008" ht="18" customHeight="1"/>
    <x:row r="1009" ht="18" customHeight="1"/>
    <x:row r="1010" ht="18" customHeight="1"/>
    <x:row r="1011" ht="18" customHeight="1"/>
    <x:row r="1012" ht="18" customHeight="1"/>
    <x:row r="1013" ht="18" customHeight="1"/>
    <x:row r="1014" ht="18" customHeight="1"/>
    <x:row r="1015" ht="18" customHeight="1"/>
    <x:row r="1016" ht="18" customHeight="1"/>
    <x:row r="1017" ht="18" customHeight="1"/>
    <x:row r="1018" ht="18" customHeight="1"/>
    <x:row r="1019" ht="18" customHeight="1"/>
    <x:row r="1020" ht="18" customHeight="1"/>
    <x:row r="1021" ht="18" customHeight="1"/>
    <x:row r="1022" ht="18" customHeight="1"/>
    <x:row r="1023" ht="18" customHeight="1"/>
    <x:row r="1024" ht="18" customHeight="1"/>
    <x:row r="1025" ht="18" customHeight="1"/>
    <x:row r="1026" ht="18" customHeight="1"/>
    <x:row r="1027" ht="18" customHeight="1"/>
    <x:row r="1028" ht="18" customHeight="1"/>
    <x:row r="1029" ht="18" customHeight="1"/>
    <x:row r="1030" ht="18" customHeight="1"/>
    <x:row r="1031" ht="18" customHeight="1"/>
    <x:row r="1032" ht="18" customHeight="1"/>
    <x:row r="1033" ht="18" customHeight="1"/>
    <x:row r="1034" ht="18" customHeight="1"/>
    <x:row r="1035" ht="18" customHeight="1"/>
    <x:row r="1036" ht="18" customHeight="1"/>
    <x:row r="1037" ht="18" customHeight="1"/>
    <x:row r="1038" ht="18" customHeight="1"/>
    <x:row r="1039" ht="18" customHeight="1"/>
    <x:row r="1040" ht="18" customHeight="1"/>
    <x:row r="1041" ht="18" customHeight="1"/>
    <x:row r="1042" ht="18" customHeight="1"/>
    <x:row r="1043" ht="18" customHeight="1"/>
    <x:row r="1044" ht="18" customHeight="1"/>
    <x:row r="1045" ht="18" customHeight="1"/>
    <x:row r="1046" ht="18" customHeight="1"/>
    <x:row r="1047" ht="18" customHeight="1"/>
    <x:row r="1048" ht="18" customHeight="1"/>
    <x:row r="1049" ht="18" customHeight="1"/>
    <x:row r="1050" ht="18" customHeight="1"/>
    <x:row r="1051" ht="18" customHeight="1"/>
    <x:row r="1052" ht="18" customHeight="1"/>
    <x:row r="1053" ht="18" customHeight="1"/>
    <x:row r="1054" ht="18" customHeight="1"/>
    <x:row r="1055" ht="18" customHeight="1"/>
    <x:row r="1056" ht="18" customHeight="1"/>
    <x:row r="1057" ht="18" customHeight="1"/>
    <x:row r="1058" ht="18" customHeight="1"/>
    <x:row r="1059" ht="18" customHeight="1"/>
    <x:row r="1060" ht="18" customHeight="1"/>
    <x:row r="1061" ht="18" customHeight="1"/>
    <x:row r="1062" ht="18" customHeight="1"/>
    <x:row r="1063" ht="18" customHeight="1"/>
    <x:row r="1064" ht="18" customHeight="1"/>
    <x:row r="1065" ht="18" customHeight="1"/>
    <x:row r="1066" ht="18" customHeight="1"/>
    <x:row r="1067" ht="18" customHeight="1"/>
    <x:row r="1068" ht="18" customHeight="1"/>
    <x:row r="1069" ht="18" customHeight="1"/>
    <x:row r="1070" ht="18" customHeight="1"/>
    <x:row r="1071" ht="18" customHeight="1"/>
    <x:row r="1072" ht="18" customHeight="1"/>
    <x:row r="1073" ht="18" customHeight="1"/>
    <x:row r="1074" ht="18" customHeight="1"/>
    <x:row r="1075" ht="18" customHeight="1"/>
    <x:row r="1076" ht="18" customHeight="1"/>
    <x:row r="1077" ht="18" customHeight="1"/>
    <x:row r="1078" ht="18" customHeight="1"/>
    <x:row r="1079" ht="18" customHeight="1"/>
    <x:row r="1080" ht="18" customHeight="1"/>
    <x:row r="1081" ht="18" customHeight="1"/>
    <x:row r="1082" ht="18" customHeight="1"/>
    <x:row r="1083" ht="18" customHeight="1"/>
    <x:row r="1084" ht="18" customHeight="1"/>
    <x:row r="1085" ht="18" customHeight="1"/>
    <x:row r="1086" ht="18" customHeight="1"/>
    <x:row r="1087" ht="18" customHeight="1"/>
    <x:row r="1088" ht="18" customHeight="1"/>
    <x:row r="1089" ht="18" customHeight="1"/>
    <x:row r="1090" ht="18" customHeight="1"/>
    <x:row r="1091" ht="18" customHeight="1"/>
    <x:row r="1092" ht="18" customHeight="1"/>
    <x:row r="1093" ht="18" customHeight="1"/>
    <x:row r="1094" ht="18" customHeight="1"/>
    <x:row r="1095" ht="18" customHeight="1"/>
    <x:row r="1096" ht="18" customHeight="1"/>
    <x:row r="1097" ht="18" customHeight="1"/>
    <x:row r="1098" ht="18" customHeight="1"/>
    <x:row r="1099" ht="18" customHeight="1"/>
    <x:row r="1100" ht="18" customHeight="1"/>
    <x:row r="1101" ht="18" customHeight="1"/>
    <x:row r="1102" ht="18" customHeight="1"/>
    <x:row r="1103" ht="18" customHeight="1"/>
    <x:row r="1104" ht="18" customHeight="1"/>
    <x:row r="1105" ht="18" customHeight="1"/>
    <x:row r="1106" ht="18" customHeight="1"/>
    <x:row r="1107" ht="18" customHeight="1"/>
    <x:row r="1108" ht="18" customHeight="1"/>
    <x:row r="1109" ht="18" customHeight="1"/>
    <x:row r="1110" ht="18" customHeight="1"/>
    <x:row r="1111" ht="18" customHeight="1"/>
    <x:row r="1112" ht="18" customHeight="1"/>
    <x:row r="1113" ht="18" customHeight="1"/>
    <x:row r="1114" ht="18" customHeight="1"/>
    <x:row r="1115" ht="18" customHeight="1"/>
    <x:row r="1116" ht="18" customHeight="1"/>
    <x:row r="1117" ht="18" customHeight="1"/>
    <x:row r="1118" ht="18" customHeight="1"/>
    <x:row r="1119" ht="18" customHeight="1"/>
    <x:row r="1120" ht="18" customHeight="1"/>
    <x:row r="1121" ht="18" customHeight="1"/>
    <x:row r="1122" ht="18" customHeight="1"/>
    <x:row r="1123" ht="18" customHeight="1"/>
    <x:row r="1124" ht="18" customHeight="1"/>
    <x:row r="1125" ht="18" customHeight="1"/>
    <x:row r="1126" ht="18" customHeight="1"/>
    <x:row r="1127" ht="18" customHeight="1"/>
    <x:row r="1128" ht="18" customHeight="1"/>
    <x:row r="1129" ht="18" customHeight="1"/>
    <x:row r="1130" ht="18" customHeight="1"/>
    <x:row r="1131" ht="18" customHeight="1"/>
    <x:row r="1132" ht="18" customHeight="1"/>
    <x:row r="1133" ht="18" customHeight="1"/>
    <x:row r="1134" ht="18" customHeight="1"/>
    <x:row r="1135" ht="18" customHeight="1"/>
    <x:row r="1136" ht="18" customHeight="1"/>
    <x:row r="1137" ht="18" customHeight="1"/>
    <x:row r="1138" ht="18" customHeight="1"/>
    <x:row r="1139" ht="18" customHeight="1"/>
    <x:row r="1140" ht="18" customHeight="1"/>
    <x:row r="1141" ht="18" customHeight="1"/>
    <x:row r="1142" ht="18" customHeight="1"/>
    <x:row r="1143" ht="18" customHeight="1"/>
    <x:row r="1144" ht="18" customHeight="1"/>
    <x:row r="1145" ht="18" customHeight="1"/>
    <x:row r="1146" ht="18" customHeight="1"/>
    <x:row r="1147" ht="18" customHeight="1"/>
    <x:row r="1148" ht="18" customHeight="1"/>
    <x:row r="1149" ht="18" customHeight="1"/>
    <x:row r="1150" ht="18" customHeight="1"/>
    <x:row r="1151" ht="18" customHeight="1"/>
    <x:row r="1152" ht="18" customHeight="1"/>
    <x:row r="1153" ht="18" customHeight="1"/>
    <x:row r="1154" ht="18" customHeight="1"/>
    <x:row r="1155" ht="18" customHeight="1"/>
    <x:row r="1156" ht="18" customHeight="1"/>
    <x:row r="1157" ht="18" customHeight="1"/>
    <x:row r="1158" ht="18" customHeight="1"/>
    <x:row r="1159" ht="18" customHeight="1"/>
    <x:row r="1160" ht="18" customHeight="1"/>
    <x:row r="1161" ht="18" customHeight="1"/>
    <x:row r="1162" ht="18" customHeight="1"/>
    <x:row r="1163" ht="18" customHeight="1"/>
    <x:row r="1164" ht="18" customHeight="1"/>
    <x:row r="1165" ht="18" customHeight="1"/>
    <x:row r="1166" ht="18" customHeight="1"/>
    <x:row r="1167" ht="18" customHeight="1"/>
    <x:row r="1168" ht="18" customHeight="1"/>
    <x:row r="1169" ht="18" customHeight="1"/>
    <x:row r="1170" ht="18" customHeight="1"/>
    <x:row r="1171" ht="18" customHeight="1"/>
    <x:row r="1172" ht="18" customHeight="1"/>
    <x:row r="1173" ht="18" customHeight="1"/>
    <x:row r="1174" ht="18" customHeight="1"/>
    <x:row r="1175" ht="18" customHeight="1"/>
    <x:row r="1176" ht="18" customHeight="1"/>
    <x:row r="1177" ht="18" customHeight="1"/>
    <x:row r="1178" ht="18" customHeight="1"/>
    <x:row r="1179" ht="18" customHeight="1"/>
    <x:row r="1180" ht="18" customHeight="1"/>
    <x:row r="1181" ht="18" customHeight="1"/>
    <x:row r="1182" ht="18" customHeight="1"/>
    <x:row r="1183" ht="18" customHeight="1"/>
    <x:row r="1184" ht="18" customHeight="1"/>
    <x:row r="1185" ht="18" customHeight="1"/>
    <x:row r="1186" ht="18" customHeight="1"/>
    <x:row r="1187" ht="18" customHeight="1"/>
    <x:row r="1188" ht="18" customHeight="1"/>
    <x:row r="1189" ht="18" customHeight="1"/>
    <x:row r="1190" ht="18" customHeight="1"/>
    <x:row r="1191" ht="18" customHeight="1"/>
    <x:row r="1192" ht="18" customHeight="1"/>
    <x:row r="1193" ht="18" customHeight="1"/>
    <x:row r="1194" ht="18" customHeight="1"/>
    <x:row r="1195" ht="18" customHeight="1"/>
    <x:row r="1196" ht="18" customHeight="1"/>
    <x:row r="1197" ht="18" customHeight="1"/>
    <x:row r="1198" ht="18" customHeight="1"/>
    <x:row r="1199" ht="18" customHeight="1"/>
    <x:row r="1200" ht="18" customHeight="1"/>
    <x:row r="1201" ht="18" customHeight="1"/>
    <x:row r="1202" ht="18" customHeight="1"/>
    <x:row r="1203" ht="18" customHeight="1"/>
    <x:row r="1204" ht="18" customHeight="1"/>
    <x:row r="1205" ht="18" customHeight="1"/>
    <x:row r="1206" ht="18" customHeight="1"/>
    <x:row r="1207" ht="18" customHeight="1"/>
    <x:row r="1208" ht="18" customHeight="1"/>
    <x:row r="1209" ht="18" customHeight="1"/>
    <x:row r="1210" ht="18" customHeight="1"/>
    <x:row r="1211" ht="18" customHeight="1"/>
    <x:row r="1212" ht="18" customHeight="1"/>
    <x:row r="1213" ht="18" customHeight="1"/>
    <x:row r="1214" ht="18" customHeight="1"/>
    <x:row r="1215" ht="18" customHeight="1"/>
    <x:row r="1216" ht="18" customHeight="1"/>
    <x:row r="1217" ht="18" customHeight="1"/>
    <x:row r="1218" ht="18" customHeight="1"/>
    <x:row r="1219" ht="18" customHeight="1"/>
    <x:row r="1220" ht="18" customHeight="1"/>
    <x:row r="1221" ht="18" customHeight="1"/>
    <x:row r="1222" ht="18" customHeight="1"/>
    <x:row r="1223" ht="18" customHeight="1"/>
    <x:row r="1224" ht="18" customHeight="1"/>
    <x:row r="1225" ht="18" customHeight="1"/>
    <x:row r="1226" ht="18" customHeight="1"/>
    <x:row r="1227" ht="18" customHeight="1"/>
    <x:row r="1228" ht="18" customHeight="1"/>
    <x:row r="1229" ht="18" customHeight="1"/>
    <x:row r="1230" ht="18" customHeight="1"/>
    <x:row r="1231" ht="18" customHeight="1"/>
    <x:row r="1232" ht="18" customHeight="1"/>
    <x:row r="1233" ht="18" customHeight="1"/>
    <x:row r="1234" ht="18" customHeight="1"/>
    <x:row r="1235" ht="18" customHeight="1"/>
    <x:row r="1236" ht="18" customHeight="1"/>
    <x:row r="1237" ht="18" customHeight="1"/>
    <x:row r="1238" ht="18" customHeight="1"/>
    <x:row r="1239" ht="18" customHeight="1"/>
    <x:row r="1240" ht="18" customHeight="1"/>
    <x:row r="1241" ht="18" customHeight="1"/>
    <x:row r="1242" ht="18" customHeight="1"/>
    <x:row r="1243" ht="18" customHeight="1"/>
    <x:row r="1244" ht="18" customHeight="1"/>
    <x:row r="1245" ht="18" customHeight="1"/>
    <x:row r="1246" ht="18" customHeight="1"/>
    <x:row r="1247" ht="18" customHeight="1"/>
    <x:row r="1248" ht="18" customHeight="1"/>
    <x:row r="1249" ht="18" customHeight="1"/>
    <x:row r="1250" ht="18" customHeight="1"/>
    <x:row r="1251" ht="18" customHeight="1"/>
    <x:row r="1252" ht="18" customHeight="1"/>
    <x:row r="1253" ht="18" customHeight="1"/>
    <x:row r="1254" ht="18" customHeight="1"/>
    <x:row r="1255" ht="18" customHeight="1"/>
    <x:row r="1256" ht="18" customHeight="1"/>
    <x:row r="1257" ht="18" customHeight="1"/>
    <x:row r="1258" ht="18" customHeight="1"/>
    <x:row r="1259" ht="18" customHeight="1"/>
    <x:row r="1260" ht="18" customHeight="1"/>
    <x:row r="1261" ht="18" customHeight="1"/>
    <x:row r="1262" ht="18" customHeight="1"/>
    <x:row r="1263" ht="18" customHeight="1"/>
    <x:row r="1264" ht="18" customHeight="1"/>
    <x:row r="1265" ht="18" customHeight="1"/>
    <x:row r="1266" ht="18" customHeight="1"/>
    <x:row r="1267" ht="18" customHeight="1"/>
    <x:row r="1268" ht="18" customHeight="1"/>
    <x:row r="1269" ht="18" customHeight="1"/>
    <x:row r="1270" ht="18" customHeight="1"/>
    <x:row r="1271" ht="18" customHeight="1"/>
    <x:row r="1272" ht="18" customHeight="1"/>
    <x:row r="1273" ht="18" customHeight="1"/>
    <x:row r="1274" ht="18" customHeight="1"/>
    <x:row r="1275" ht="18" customHeight="1"/>
    <x:row r="1276" ht="18" customHeight="1"/>
    <x:row r="1277" ht="18" customHeight="1"/>
    <x:row r="1278" ht="18" customHeight="1"/>
    <x:row r="1279" ht="18" customHeight="1"/>
    <x:row r="1280" ht="18" customHeight="1"/>
    <x:row r="1281" ht="18" customHeight="1"/>
    <x:row r="1282" ht="18" customHeight="1"/>
    <x:row r="1283" ht="18" customHeight="1"/>
    <x:row r="1284" ht="18" customHeight="1"/>
    <x:row r="1285" ht="18" customHeight="1"/>
    <x:row r="1286" ht="18" customHeight="1"/>
    <x:row r="1287" ht="18" customHeight="1"/>
    <x:row r="1288" ht="18" customHeight="1"/>
    <x:row r="1289" ht="18" customHeight="1"/>
    <x:row r="1290" ht="18" customHeight="1"/>
    <x:row r="1291" ht="18" customHeight="1"/>
    <x:row r="1292" ht="18" customHeight="1"/>
    <x:row r="1293" ht="18" customHeight="1"/>
    <x:row r="1294" ht="18" customHeight="1"/>
    <x:row r="1295" ht="18" customHeight="1"/>
    <x:row r="1296" ht="18" customHeight="1"/>
    <x:row r="1297" ht="18" customHeight="1"/>
    <x:row r="1298" ht="18" customHeight="1"/>
    <x:row r="1299" ht="18" customHeight="1"/>
    <x:row r="1300" ht="18" customHeight="1"/>
    <x:row r="1301" ht="18" customHeight="1"/>
    <x:row r="1302" ht="18" customHeight="1"/>
    <x:row r="1303" ht="18" customHeight="1"/>
    <x:row r="1304" ht="18" customHeight="1"/>
    <x:row r="1305" ht="18" customHeight="1"/>
    <x:row r="1306" ht="18" customHeight="1"/>
    <x:row r="1307" ht="18" customHeight="1"/>
    <x:row r="1308" ht="18" customHeight="1"/>
    <x:row r="1309" ht="18" customHeight="1"/>
    <x:row r="1310" ht="18" customHeight="1"/>
    <x:row r="1311" ht="18" customHeight="1"/>
    <x:row r="1312" ht="18" customHeight="1"/>
    <x:row r="1313" ht="18" customHeight="1"/>
    <x:row r="1314" ht="18" customHeight="1"/>
    <x:row r="1315" ht="18" customHeight="1"/>
    <x:row r="1316" ht="18" customHeight="1"/>
    <x:row r="1317" ht="18" customHeight="1"/>
    <x:row r="1318" ht="18" customHeight="1"/>
    <x:row r="1319" ht="18" customHeight="1"/>
    <x:row r="1320" ht="18" customHeight="1"/>
    <x:row r="1321" ht="18" customHeight="1"/>
    <x:row r="1322" ht="18" customHeight="1"/>
    <x:row r="1323" ht="18" customHeight="1"/>
    <x:row r="1324" ht="18" customHeight="1"/>
    <x:row r="1325" ht="18" customHeight="1"/>
    <x:row r="1326" ht="18" customHeight="1"/>
    <x:row r="1327" ht="18" customHeight="1"/>
    <x:row r="1328" ht="18" customHeight="1"/>
    <x:row r="1329" ht="18" customHeight="1"/>
    <x:row r="1330" ht="18" customHeight="1"/>
    <x:row r="1331" ht="18" customHeight="1"/>
    <x:row r="1332" ht="18" customHeight="1"/>
    <x:row r="1333" ht="18" customHeight="1"/>
    <x:row r="1334" ht="18" customHeight="1"/>
    <x:row r="1335" ht="18" customHeight="1"/>
    <x:row r="1336" ht="18" customHeight="1"/>
    <x:row r="1337" ht="18" customHeight="1"/>
    <x:row r="1338" ht="18" customHeight="1"/>
    <x:row r="1339" ht="18" customHeight="1"/>
    <x:row r="1340" ht="18" customHeight="1"/>
    <x:row r="1341" ht="18" customHeight="1"/>
    <x:row r="1342" ht="18" customHeight="1"/>
    <x:row r="1343" ht="18" customHeight="1"/>
    <x:row r="1344" ht="18" customHeight="1"/>
    <x:row r="1345" ht="18" customHeight="1"/>
    <x:row r="1346" ht="18" customHeight="1"/>
    <x:row r="1347" ht="18" customHeight="1"/>
    <x:row r="1348" ht="18" customHeight="1"/>
    <x:row r="1349" ht="18" customHeight="1"/>
    <x:row r="1350" ht="18" customHeight="1"/>
    <x:row r="1351" ht="18" customHeight="1"/>
    <x:row r="1352" ht="18" customHeight="1"/>
    <x:row r="1353" ht="18" customHeight="1"/>
    <x:row r="1354" ht="18" customHeight="1"/>
    <x:row r="1355" ht="18" customHeight="1"/>
    <x:row r="1356" ht="18" customHeight="1"/>
    <x:row r="1357" ht="18" customHeight="1"/>
    <x:row r="1358" ht="18" customHeight="1"/>
    <x:row r="1359" ht="18" customHeight="1"/>
    <x:row r="1360" ht="18" customHeight="1"/>
    <x:row r="1361" ht="18" customHeight="1"/>
    <x:row r="1362" ht="18" customHeight="1"/>
    <x:row r="1363" ht="18" customHeight="1"/>
    <x:row r="1364" ht="18" customHeight="1"/>
    <x:row r="1365" ht="18" customHeight="1"/>
    <x:row r="1366" ht="18" customHeight="1"/>
    <x:row r="1367" ht="18" customHeight="1"/>
    <x:row r="1368" ht="18" customHeight="1"/>
    <x:row r="1369" ht="18" customHeight="1"/>
    <x:row r="1370" ht="18" customHeight="1"/>
    <x:row r="1371" ht="18" customHeight="1"/>
    <x:row r="1372" ht="18" customHeight="1"/>
    <x:row r="1373" ht="18" customHeight="1"/>
    <x:row r="1374" ht="18" customHeight="1"/>
    <x:row r="1375" ht="18" customHeight="1"/>
    <x:row r="1376" ht="18" customHeight="1"/>
    <x:row r="1377" ht="18" customHeight="1"/>
    <x:row r="1378" ht="18" customHeight="1"/>
    <x:row r="1379" ht="18" customHeight="1"/>
    <x:row r="1380" ht="18" customHeight="1"/>
    <x:row r="1381" ht="18" customHeight="1"/>
    <x:row r="1382" ht="18" customHeight="1"/>
    <x:row r="1383" ht="18" customHeight="1"/>
    <x:row r="1384" ht="18" customHeight="1"/>
    <x:row r="1385" ht="18" customHeight="1"/>
    <x:row r="1386" ht="18" customHeight="1"/>
    <x:row r="1387" ht="18" customHeight="1"/>
    <x:row r="1388" ht="18" customHeight="1"/>
    <x:row r="1389" ht="18" customHeight="1"/>
    <x:row r="1390" ht="18" customHeight="1"/>
    <x:row r="1391" ht="18" customHeight="1"/>
    <x:row r="1392" ht="18" customHeight="1"/>
    <x:row r="1393" ht="18" customHeight="1"/>
    <x:row r="1394" ht="18" customHeight="1"/>
    <x:row r="1395" ht="18" customHeight="1"/>
    <x:row r="1396" ht="18" customHeight="1"/>
    <x:row r="1397" ht="18" customHeight="1"/>
    <x:row r="1398" ht="18" customHeight="1"/>
    <x:row r="1399" ht="18" customHeight="1"/>
    <x:row r="1400" ht="18" customHeight="1"/>
    <x:row r="1401" ht="18" customHeight="1"/>
    <x:row r="1402" ht="18" customHeight="1"/>
    <x:row r="1403" ht="18" customHeight="1"/>
    <x:row r="1404" ht="18" customHeight="1"/>
    <x:row r="1405" ht="18" customHeight="1"/>
    <x:row r="1406" ht="18" customHeight="1"/>
    <x:row r="1407" ht="18" customHeight="1"/>
    <x:row r="1408" ht="18" customHeight="1"/>
    <x:row r="1409" ht="18" customHeight="1"/>
    <x:row r="1410" ht="18" customHeight="1"/>
    <x:row r="1411" ht="18" customHeight="1"/>
    <x:row r="1412" ht="18" customHeight="1"/>
    <x:row r="1413" ht="18" customHeight="1"/>
    <x:row r="1414" ht="18" customHeight="1"/>
    <x:row r="1415" ht="18" customHeight="1"/>
    <x:row r="1416" ht="18" customHeight="1"/>
    <x:row r="1417" ht="18" customHeight="1"/>
    <x:row r="1418" ht="18" customHeight="1"/>
    <x:row r="1419" ht="18" customHeight="1"/>
    <x:row r="1420" ht="18" customHeight="1"/>
    <x:row r="1421" ht="18" customHeight="1"/>
    <x:row r="1422" ht="18" customHeight="1"/>
    <x:row r="1423" ht="18" customHeight="1"/>
    <x:row r="1424" ht="18" customHeight="1"/>
    <x:row r="1425" ht="18" customHeight="1"/>
    <x:row r="1426" ht="18" customHeight="1"/>
    <x:row r="1427" ht="18" customHeight="1"/>
    <x:row r="1428" ht="18" customHeight="1"/>
    <x:row r="1429" ht="18" customHeight="1"/>
    <x:row r="1430" ht="18" customHeight="1"/>
    <x:row r="1431" ht="18" customHeight="1"/>
    <x:row r="1432" ht="18" customHeight="1"/>
    <x:row r="1433" ht="18" customHeight="1"/>
    <x:row r="1434" ht="18" customHeight="1"/>
    <x:row r="1435" ht="18" customHeight="1"/>
    <x:row r="1436" ht="18" customHeight="1"/>
    <x:row r="1437" ht="18" customHeight="1"/>
    <x:row r="1438" ht="18" customHeight="1"/>
    <x:row r="1439" ht="18" customHeight="1"/>
    <x:row r="1440" ht="18" customHeight="1"/>
    <x:row r="1441" ht="18" customHeight="1"/>
    <x:row r="1442" ht="18" customHeight="1"/>
    <x:row r="1443" ht="18" customHeight="1"/>
    <x:row r="1444" ht="18" customHeight="1"/>
    <x:row r="1445" ht="18" customHeight="1"/>
    <x:row r="1446" ht="18" customHeight="1"/>
    <x:row r="1447" ht="18" customHeight="1"/>
    <x:row r="1448" ht="18" customHeight="1"/>
    <x:row r="1449" ht="18" customHeight="1"/>
    <x:row r="1450" ht="18" customHeight="1"/>
    <x:row r="1451" ht="18" customHeight="1"/>
    <x:row r="1452" ht="18" customHeight="1"/>
    <x:row r="1453" ht="18" customHeight="1"/>
    <x:row r="1454" ht="18" customHeight="1"/>
    <x:row r="1455" ht="18" customHeight="1"/>
    <x:row r="1456" ht="18" customHeight="1"/>
    <x:row r="1457" ht="18" customHeight="1"/>
    <x:row r="1458" ht="18" customHeight="1"/>
    <x:row r="1459" ht="18" customHeight="1"/>
    <x:row r="1460" ht="18" customHeight="1"/>
    <x:row r="1461" ht="18" customHeight="1"/>
    <x:row r="1462" ht="18" customHeight="1"/>
    <x:row r="1463" ht="18" customHeight="1"/>
    <x:row r="1464" ht="18" customHeight="1"/>
    <x:row r="1465" ht="18" customHeight="1"/>
    <x:row r="1466" ht="18" customHeight="1"/>
    <x:row r="1467" ht="18" customHeight="1"/>
    <x:row r="1468" ht="18" customHeight="1"/>
    <x:row r="1469" ht="18" customHeight="1"/>
    <x:row r="1470" ht="18" customHeight="1"/>
    <x:row r="1471" ht="18" customHeight="1"/>
    <x:row r="1472" ht="18" customHeight="1"/>
    <x:row r="1473" ht="18" customHeight="1"/>
    <x:row r="1474" ht="18" customHeight="1"/>
    <x:row r="1475" ht="18" customHeight="1"/>
    <x:row r="1476" ht="18" customHeight="1"/>
    <x:row r="1477" ht="18" customHeight="1"/>
    <x:row r="1478" ht="18" customHeight="1"/>
    <x:row r="1479" ht="18" customHeight="1"/>
    <x:row r="1480" ht="18" customHeight="1"/>
    <x:row r="1481" ht="18" customHeight="1"/>
    <x:row r="1482" ht="18" customHeight="1"/>
    <x:row r="1483" ht="18" customHeight="1"/>
    <x:row r="1484" ht="18" customHeight="1"/>
    <x:row r="1485" ht="18" customHeight="1"/>
    <x:row r="1486" ht="18" customHeight="1"/>
    <x:row r="1487" ht="18" customHeight="1"/>
    <x:row r="1488" ht="18" customHeight="1"/>
    <x:row r="1489" ht="18" customHeight="1"/>
    <x:row r="1490" ht="18" customHeight="1"/>
    <x:row r="1491" ht="18" customHeight="1"/>
    <x:row r="1492" ht="18" customHeight="1"/>
    <x:row r="1493" ht="18" customHeight="1"/>
    <x:row r="1494" ht="18" customHeight="1"/>
    <x:row r="1495" ht="18" customHeight="1"/>
    <x:row r="1496" ht="18" customHeight="1"/>
    <x:row r="1497" ht="18" customHeight="1"/>
    <x:row r="1498" ht="18" customHeight="1"/>
    <x:row r="1499" ht="18" customHeight="1"/>
    <x:row r="1500" ht="18" customHeight="1"/>
    <x:row r="1501" ht="18" customHeight="1"/>
    <x:row r="1502" ht="18" customHeight="1"/>
    <x:row r="1503" ht="18" customHeight="1"/>
    <x:row r="1504" ht="18" customHeight="1"/>
    <x:row r="1505" ht="18" customHeight="1"/>
    <x:row r="1506" ht="18" customHeight="1"/>
    <x:row r="1507" ht="18" customHeight="1"/>
    <x:row r="1508" ht="18" customHeight="1"/>
    <x:row r="1509" ht="18" customHeight="1"/>
    <x:row r="1510" ht="18" customHeight="1"/>
    <x:row r="1511" ht="18" customHeight="1"/>
    <x:row r="1512" ht="18" customHeight="1"/>
    <x:row r="1513" ht="18" customHeight="1"/>
    <x:row r="1514" ht="18" customHeight="1"/>
    <x:row r="1515" ht="18" customHeight="1"/>
    <x:row r="1516" ht="18" customHeight="1"/>
    <x:row r="1517" ht="18" customHeight="1"/>
    <x:row r="1518" ht="18" customHeight="1"/>
    <x:row r="1519" ht="18" customHeight="1"/>
    <x:row r="1520" ht="18" customHeight="1"/>
    <x:row r="1521" ht="18" customHeight="1"/>
    <x:row r="1522" ht="18" customHeight="1"/>
    <x:row r="1523" ht="18" customHeight="1"/>
    <x:row r="1524" ht="18" customHeight="1"/>
    <x:row r="1525" ht="18" customHeight="1"/>
    <x:row r="1526" ht="18" customHeight="1"/>
    <x:row r="1527" ht="18" customHeight="1"/>
    <x:row r="1528" ht="18" customHeight="1"/>
    <x:row r="1529" ht="18" customHeight="1"/>
    <x:row r="1530" ht="18" customHeight="1"/>
    <x:row r="1531" ht="18" customHeight="1"/>
    <x:row r="1532" ht="18" customHeight="1"/>
    <x:row r="1533" ht="18" customHeight="1"/>
    <x:row r="1534" ht="18" customHeight="1"/>
    <x:row r="1535" ht="18" customHeight="1"/>
    <x:row r="1536" ht="18" customHeight="1"/>
    <x:row r="1537" ht="18" customHeight="1"/>
    <x:row r="1538" ht="18" customHeight="1"/>
    <x:row r="1539" ht="18" customHeight="1"/>
    <x:row r="1540" ht="18" customHeight="1"/>
    <x:row r="1541" ht="18" customHeight="1"/>
    <x:row r="1542" ht="18" customHeight="1"/>
    <x:row r="1543" ht="18" customHeight="1"/>
    <x:row r="1544" ht="18" customHeight="1"/>
    <x:row r="1545" ht="18" customHeight="1"/>
    <x:row r="1546" ht="18" customHeight="1"/>
    <x:row r="1547" ht="18" customHeight="1"/>
    <x:row r="1548" ht="18" customHeight="1"/>
    <x:row r="1549" ht="18" customHeight="1"/>
    <x:row r="1550" ht="18" customHeight="1"/>
    <x:row r="1551" ht="18" customHeight="1"/>
    <x:row r="1552" ht="18" customHeight="1"/>
    <x:row r="1553" ht="18" customHeight="1"/>
    <x:row r="1554" ht="18" customHeight="1"/>
    <x:row r="1555" ht="18" customHeight="1"/>
    <x:row r="1556" ht="18" customHeight="1"/>
    <x:row r="1557" ht="18" customHeight="1"/>
    <x:row r="1558" ht="18" customHeight="1"/>
    <x:row r="1559" ht="18" customHeight="1"/>
    <x:row r="1560" ht="18" customHeight="1"/>
    <x:row r="1561" ht="18" customHeight="1"/>
    <x:row r="1562" ht="18" customHeight="1"/>
    <x:row r="1563" ht="18" customHeight="1"/>
    <x:row r="1564" ht="18" customHeight="1"/>
    <x:row r="1565" ht="18" customHeight="1"/>
    <x:row r="1566" ht="18" customHeight="1"/>
    <x:row r="1567" ht="18" customHeight="1"/>
    <x:row r="1568" ht="18" customHeight="1"/>
    <x:row r="1569" ht="18" customHeight="1"/>
    <x:row r="1570" ht="18" customHeight="1"/>
    <x:row r="1571" ht="18" customHeight="1"/>
    <x:row r="1572" ht="18" customHeight="1"/>
    <x:row r="1573" ht="18" customHeight="1"/>
    <x:row r="1574" ht="18" customHeight="1"/>
    <x:row r="1575" ht="18" customHeight="1"/>
    <x:row r="1576" ht="18" customHeight="1"/>
    <x:row r="1577" ht="18" customHeight="1"/>
    <x:row r="1578" ht="18" customHeight="1"/>
    <x:row r="1579" ht="18" customHeight="1"/>
    <x:row r="1580" ht="18" customHeight="1"/>
    <x:row r="1581" ht="18" customHeight="1"/>
    <x:row r="1582" ht="18" customHeight="1"/>
    <x:row r="1583" ht="18" customHeight="1"/>
    <x:row r="1584" ht="18" customHeight="1"/>
    <x:row r="1585" ht="18" customHeight="1"/>
    <x:row r="1586" ht="18" customHeight="1"/>
    <x:row r="1587" ht="18" customHeight="1"/>
    <x:row r="1588" ht="18" customHeight="1"/>
    <x:row r="1589" ht="18" customHeight="1"/>
    <x:row r="1590" ht="18" customHeight="1"/>
    <x:row r="1591" ht="18" customHeight="1"/>
    <x:row r="1592" ht="18" customHeight="1"/>
    <x:row r="1593" ht="18" customHeight="1"/>
    <x:row r="1594" ht="18" customHeight="1"/>
    <x:row r="1595" ht="18" customHeight="1"/>
    <x:row r="1596" ht="18" customHeight="1"/>
    <x:row r="1597" ht="18" customHeight="1"/>
    <x:row r="1598" ht="18" customHeight="1"/>
    <x:row r="1599" ht="18" customHeight="1"/>
    <x:row r="1600" ht="18" customHeight="1"/>
    <x:row r="1601" ht="18" customHeight="1"/>
    <x:row r="1602" ht="18" customHeight="1"/>
    <x:row r="1603" ht="18" customHeight="1"/>
    <x:row r="1604" ht="18" customHeight="1"/>
    <x:row r="1605" ht="18" customHeight="1"/>
    <x:row r="1606" ht="18" customHeight="1"/>
    <x:row r="1607" ht="18" customHeight="1"/>
    <x:row r="1608" ht="18" customHeight="1"/>
    <x:row r="1609" ht="18" customHeight="1"/>
    <x:row r="1610" ht="18" customHeight="1"/>
    <x:row r="1611" ht="18" customHeight="1"/>
    <x:row r="1612" ht="18" customHeight="1"/>
    <x:row r="1613" ht="18" customHeight="1"/>
    <x:row r="1614" ht="18" customHeight="1"/>
    <x:row r="1615" ht="18" customHeight="1"/>
    <x:row r="1616" ht="18" customHeight="1"/>
    <x:row r="1617" ht="18" customHeight="1"/>
    <x:row r="1618" ht="18" customHeight="1"/>
    <x:row r="1619" ht="18" customHeight="1"/>
    <x:row r="1620" ht="18" customHeight="1"/>
    <x:row r="1621" ht="18" customHeight="1"/>
    <x:row r="1622" ht="18" customHeight="1"/>
    <x:row r="1623" ht="18" customHeight="1"/>
    <x:row r="1624" ht="18" customHeight="1"/>
    <x:row r="1625" ht="18" customHeight="1"/>
    <x:row r="1626" ht="18" customHeight="1"/>
    <x:row r="1627" ht="18" customHeight="1"/>
    <x:row r="1628" ht="18" customHeight="1"/>
    <x:row r="1629" ht="18" customHeight="1"/>
    <x:row r="1630" ht="18" customHeight="1"/>
    <x:row r="1631" ht="18" customHeight="1"/>
    <x:row r="1632" ht="18" customHeight="1"/>
    <x:row r="1633" ht="18" customHeight="1"/>
    <x:row r="1634" ht="18" customHeight="1"/>
    <x:row r="1635" ht="18" customHeight="1"/>
    <x:row r="1636" ht="18" customHeight="1"/>
    <x:row r="1637" ht="18" customHeight="1"/>
    <x:row r="1638" ht="18" customHeight="1"/>
    <x:row r="1639" ht="18" customHeight="1"/>
    <x:row r="1640" ht="18" customHeight="1"/>
    <x:row r="1641" ht="18" customHeight="1"/>
    <x:row r="1642" ht="18" customHeight="1"/>
    <x:row r="1643" ht="18" customHeight="1"/>
    <x:row r="1644" ht="18" customHeight="1"/>
    <x:row r="1645" ht="18" customHeight="1"/>
    <x:row r="1646" ht="18" customHeight="1"/>
    <x:row r="1647" ht="18" customHeight="1"/>
    <x:row r="1648" ht="18" customHeight="1"/>
    <x:row r="1649" ht="18" customHeight="1"/>
    <x:row r="1650" ht="18" customHeight="1"/>
    <x:row r="1651" ht="18" customHeight="1"/>
    <x:row r="1652" ht="18" customHeight="1"/>
    <x:row r="1653" ht="18" customHeight="1"/>
    <x:row r="1654" ht="18" customHeight="1"/>
    <x:row r="1655" ht="18" customHeight="1"/>
    <x:row r="1656" ht="18" customHeight="1"/>
    <x:row r="1657" ht="18" customHeight="1"/>
    <x:row r="1658" ht="18" customHeight="1"/>
    <x:row r="1659" ht="18" customHeight="1"/>
    <x:row r="1660" ht="18" customHeight="1"/>
    <x:row r="1661" ht="18" customHeight="1"/>
    <x:row r="1662" ht="18" customHeight="1"/>
    <x:row r="1663" ht="18" customHeight="1"/>
    <x:row r="1664" ht="18" customHeight="1"/>
    <x:row r="1665" ht="18" customHeight="1"/>
    <x:row r="1666" ht="18" customHeight="1"/>
    <x:row r="1667" ht="18" customHeight="1"/>
    <x:row r="1668" ht="18" customHeight="1"/>
    <x:row r="1669" ht="18" customHeight="1"/>
    <x:row r="1670" ht="18" customHeight="1"/>
    <x:row r="1671" ht="18" customHeight="1"/>
    <x:row r="1672" ht="18" customHeight="1"/>
    <x:row r="1673" ht="18" customHeight="1"/>
    <x:row r="1674" ht="18" customHeight="1"/>
    <x:row r="1675" ht="18" customHeight="1"/>
    <x:row r="1676" ht="18" customHeight="1"/>
    <x:row r="1677" ht="18" customHeight="1"/>
    <x:row r="1678" ht="18" customHeight="1"/>
    <x:row r="1679" ht="18" customHeight="1"/>
    <x:row r="1680" ht="18" customHeight="1"/>
    <x:row r="1681" ht="18" customHeight="1"/>
    <x:row r="1682" ht="18" customHeight="1"/>
    <x:row r="1683" ht="18" customHeight="1"/>
    <x:row r="1684" ht="18" customHeight="1"/>
    <x:row r="1685" ht="18" customHeight="1"/>
    <x:row r="1686" ht="18" customHeight="1"/>
    <x:row r="1687" ht="18" customHeight="1"/>
    <x:row r="1688" ht="18" customHeight="1"/>
    <x:row r="1689" ht="18" customHeight="1"/>
    <x:row r="1690" ht="18" customHeight="1"/>
    <x:row r="1691" ht="18" customHeight="1"/>
    <x:row r="1692" ht="18" customHeight="1"/>
    <x:row r="1693" ht="18" customHeight="1"/>
    <x:row r="1694" ht="18" customHeight="1"/>
    <x:row r="1695" ht="18" customHeight="1"/>
    <x:row r="1696" ht="18" customHeight="1"/>
    <x:row r="1697" ht="18" customHeight="1"/>
    <x:row r="1698" ht="18" customHeight="1"/>
    <x:row r="1699" ht="18" customHeight="1"/>
    <x:row r="1700" ht="18" customHeight="1"/>
    <x:row r="1701" ht="18" customHeight="1"/>
    <x:row r="1702" ht="18" customHeight="1"/>
    <x:row r="1703" ht="18" customHeight="1"/>
    <x:row r="1704" ht="18" customHeight="1"/>
    <x:row r="1705" ht="18" customHeight="1"/>
    <x:row r="1706" ht="18" customHeight="1"/>
    <x:row r="1707" ht="18" customHeight="1"/>
    <x:row r="1708" ht="18" customHeight="1"/>
    <x:row r="1709" ht="18" customHeight="1"/>
    <x:row r="1710" ht="18" customHeight="1"/>
    <x:row r="1711" ht="18" customHeight="1"/>
    <x:row r="1712" ht="18" customHeight="1"/>
    <x:row r="1713" ht="18" customHeight="1"/>
    <x:row r="1714" ht="18" customHeight="1"/>
    <x:row r="1715" ht="18" customHeight="1"/>
    <x:row r="1716" ht="18" customHeight="1"/>
    <x:row r="1717" ht="18" customHeight="1"/>
    <x:row r="1718" ht="18" customHeight="1"/>
    <x:row r="1719" ht="18" customHeight="1"/>
    <x:row r="1720" ht="18" customHeight="1"/>
    <x:row r="1721" ht="18" customHeight="1"/>
    <x:row r="1722" ht="18" customHeight="1"/>
    <x:row r="1723" ht="18" customHeight="1"/>
    <x:row r="1724" ht="18" customHeight="1"/>
    <x:row r="1725" ht="18" customHeight="1"/>
    <x:row r="1726" ht="18" customHeight="1"/>
    <x:row r="1727" ht="18" customHeight="1"/>
    <x:row r="1728" ht="18" customHeight="1"/>
    <x:row r="1729" ht="18" customHeight="1"/>
    <x:row r="1730" ht="18" customHeight="1"/>
    <x:row r="1731" ht="18" customHeight="1"/>
    <x:row r="1732" ht="18" customHeight="1"/>
    <x:row r="1733" ht="18" customHeight="1"/>
    <x:row r="1734" ht="18" customHeight="1"/>
    <x:row r="1735" ht="18" customHeight="1"/>
    <x:row r="1736" ht="18" customHeight="1"/>
    <x:row r="1737" ht="18" customHeight="1"/>
    <x:row r="1738" ht="18" customHeight="1"/>
    <x:row r="1739" ht="18" customHeight="1"/>
    <x:row r="1740" ht="18" customHeight="1"/>
    <x:row r="1741" ht="18" customHeight="1"/>
    <x:row r="1742" ht="18" customHeight="1"/>
    <x:row r="1743" ht="18" customHeight="1"/>
    <x:row r="1744" ht="18" customHeight="1"/>
    <x:row r="1745" ht="18" customHeight="1"/>
    <x:row r="1746" ht="18" customHeight="1"/>
    <x:row r="1747" ht="18" customHeight="1"/>
    <x:row r="1748" ht="18" customHeight="1"/>
    <x:row r="1749" ht="18" customHeight="1"/>
    <x:row r="1750" ht="18" customHeight="1"/>
    <x:row r="1751" ht="18" customHeight="1"/>
    <x:row r="1752" ht="18" customHeight="1"/>
    <x:row r="1753" ht="18" customHeight="1"/>
    <x:row r="1754" ht="18" customHeight="1"/>
    <x:row r="1755" ht="18" customHeight="1"/>
    <x:row r="1756" ht="18" customHeight="1"/>
    <x:row r="1757" ht="18" customHeight="1"/>
    <x:row r="1758" ht="18" customHeight="1"/>
    <x:row r="1759" ht="18" customHeight="1"/>
    <x:row r="1760" ht="18" customHeight="1"/>
    <x:row r="1761" ht="18" customHeight="1"/>
    <x:row r="1762" ht="18" customHeight="1"/>
    <x:row r="1763" ht="18" customHeight="1"/>
    <x:row r="1764" ht="18" customHeight="1"/>
    <x:row r="1765" ht="18" customHeight="1"/>
    <x:row r="1766" ht="18" customHeight="1"/>
    <x:row r="1767" ht="18" customHeight="1"/>
    <x:row r="1768" ht="18" customHeight="1"/>
    <x:row r="1769" ht="18" customHeight="1"/>
    <x:row r="1770" ht="18" customHeight="1"/>
    <x:row r="1771" ht="18" customHeight="1"/>
    <x:row r="1772" ht="18" customHeight="1"/>
    <x:row r="1773" ht="18" customHeight="1"/>
    <x:row r="1774" ht="18" customHeight="1"/>
    <x:row r="1775" ht="18" customHeight="1"/>
    <x:row r="1776" ht="18" customHeight="1"/>
    <x:row r="1777" ht="18" customHeight="1"/>
    <x:row r="1778" ht="18" customHeight="1"/>
    <x:row r="1779" ht="18" customHeight="1"/>
    <x:row r="1780" ht="18" customHeight="1"/>
    <x:row r="1781" ht="18" customHeight="1"/>
    <x:row r="1782" ht="18" customHeight="1"/>
    <x:row r="1783" ht="18" customHeight="1"/>
    <x:row r="1784" ht="18" customHeight="1"/>
    <x:row r="1785" ht="18" customHeight="1"/>
    <x:row r="1786" ht="18" customHeight="1"/>
    <x:row r="1787" ht="18" customHeight="1"/>
    <x:row r="1788" ht="18" customHeight="1"/>
    <x:row r="1789" ht="18" customHeight="1"/>
    <x:row r="1790" ht="18" customHeight="1"/>
    <x:row r="1791" ht="18" customHeight="1"/>
    <x:row r="1792" ht="18" customHeight="1"/>
    <x:row r="1793" ht="18" customHeight="1"/>
    <x:row r="1794" ht="18" customHeight="1"/>
    <x:row r="1795" ht="18" customHeight="1"/>
    <x:row r="1796" ht="18" customHeight="1"/>
    <x:row r="1797" ht="18" customHeight="1"/>
    <x:row r="1798" ht="18" customHeight="1"/>
    <x:row r="1799" ht="18" customHeight="1"/>
    <x:row r="1800" ht="18" customHeight="1"/>
    <x:row r="1801" ht="18" customHeight="1"/>
    <x:row r="1802" ht="18" customHeight="1"/>
    <x:row r="1803" ht="18" customHeight="1"/>
    <x:row r="1804" ht="18" customHeight="1"/>
    <x:row r="1805" ht="18" customHeight="1"/>
    <x:row r="1806" ht="18" customHeight="1"/>
    <x:row r="1807" ht="18" customHeight="1"/>
    <x:row r="1808" ht="18" customHeight="1"/>
    <x:row r="1809" ht="18" customHeight="1"/>
    <x:row r="1810" ht="18" customHeight="1"/>
    <x:row r="1811" ht="18" customHeight="1"/>
    <x:row r="1812" ht="18" customHeight="1"/>
    <x:row r="1813" ht="18" customHeight="1"/>
    <x:row r="1814" ht="18" customHeight="1"/>
    <x:row r="1815" ht="18" customHeight="1"/>
    <x:row r="1816" ht="18" customHeight="1"/>
    <x:row r="1817" ht="18" customHeight="1"/>
    <x:row r="1818" ht="18" customHeight="1"/>
    <x:row r="1819" ht="18" customHeight="1"/>
    <x:row r="1820" ht="18" customHeight="1"/>
    <x:row r="1821" ht="18" customHeight="1"/>
    <x:row r="1822" ht="18" customHeight="1"/>
    <x:row r="1823" ht="18" customHeight="1"/>
    <x:row r="1824" ht="18" customHeight="1"/>
    <x:row r="1825" ht="18" customHeight="1"/>
    <x:row r="1826" ht="18" customHeight="1"/>
    <x:row r="1827" ht="18" customHeight="1"/>
    <x:row r="1828" ht="18" customHeight="1"/>
    <x:row r="1829" ht="18" customHeight="1"/>
    <x:row r="1830" ht="18" customHeight="1"/>
    <x:row r="1831" ht="18" customHeight="1"/>
    <x:row r="1832" ht="18" customHeight="1"/>
    <x:row r="1833" ht="18" customHeight="1"/>
    <x:row r="1834" ht="18" customHeight="1"/>
    <x:row r="1835" ht="18" customHeight="1"/>
    <x:row r="1836" ht="18" customHeight="1"/>
    <x:row r="1837" ht="18" customHeight="1"/>
    <x:row r="1838" ht="18" customHeight="1"/>
    <x:row r="1839" ht="18" customHeight="1"/>
    <x:row r="1840" ht="18" customHeight="1"/>
    <x:row r="1841" ht="18" customHeight="1"/>
    <x:row r="1842" ht="18" customHeight="1"/>
    <x:row r="1843" ht="18" customHeight="1"/>
    <x:row r="1844" ht="18" customHeight="1"/>
    <x:row r="1845" ht="18" customHeight="1"/>
    <x:row r="1846" ht="18" customHeight="1"/>
    <x:row r="1847" ht="18" customHeight="1"/>
    <x:row r="1848" ht="18" customHeight="1"/>
    <x:row r="1849" ht="18" customHeight="1"/>
    <x:row r="1850" ht="18" customHeight="1"/>
    <x:row r="1851" ht="18" customHeight="1"/>
    <x:row r="1852" ht="18" customHeight="1"/>
    <x:row r="1853" ht="18" customHeight="1"/>
    <x:row r="1854" ht="18" customHeight="1"/>
    <x:row r="1855" ht="18" customHeight="1"/>
    <x:row r="1856" ht="18" customHeight="1"/>
    <x:row r="1857" ht="18" customHeight="1"/>
    <x:row r="1858" ht="18" customHeight="1"/>
    <x:row r="1859" ht="18" customHeight="1"/>
    <x:row r="1860" ht="18" customHeight="1"/>
    <x:row r="1861" ht="18" customHeight="1"/>
    <x:row r="1862" ht="18" customHeight="1"/>
    <x:row r="1863" ht="18" customHeight="1"/>
    <x:row r="1864" ht="18" customHeight="1"/>
    <x:row r="1865" ht="18" customHeight="1"/>
    <x:row r="1866" ht="18" customHeight="1"/>
    <x:row r="1867" ht="18" customHeight="1"/>
    <x:row r="1868" ht="18" customHeight="1"/>
    <x:row r="1869" ht="18" customHeight="1"/>
    <x:row r="1870" ht="18" customHeight="1"/>
    <x:row r="1871" ht="18" customHeight="1"/>
    <x:row r="1872" ht="18" customHeight="1"/>
    <x:row r="1873" ht="18" customHeight="1"/>
    <x:row r="1874" ht="18" customHeight="1"/>
    <x:row r="1875" ht="18" customHeight="1"/>
    <x:row r="1876" ht="18" customHeight="1"/>
    <x:row r="1877" ht="18" customHeight="1"/>
    <x:row r="1878" ht="18" customHeight="1"/>
    <x:row r="1879" ht="18" customHeight="1"/>
    <x:row r="1880" ht="18" customHeight="1"/>
    <x:row r="1881" ht="18" customHeight="1"/>
    <x:row r="1882" ht="18" customHeight="1"/>
    <x:row r="1883" ht="18" customHeight="1"/>
    <x:row r="1884" ht="18" customHeight="1"/>
    <x:row r="1885" ht="18" customHeight="1"/>
    <x:row r="1886" ht="18" customHeight="1"/>
    <x:row r="1887" ht="18" customHeight="1"/>
    <x:row r="1888" ht="18" customHeight="1"/>
    <x:row r="1889" ht="18" customHeight="1"/>
    <x:row r="1890" ht="18" customHeight="1"/>
    <x:row r="1891" ht="18" customHeight="1"/>
    <x:row r="1892" ht="18" customHeight="1"/>
    <x:row r="1893" ht="18" customHeight="1"/>
    <x:row r="1894" ht="18" customHeight="1"/>
    <x:row r="1895" ht="18" customHeight="1"/>
    <x:row r="1896" ht="18" customHeight="1"/>
    <x:row r="1897" ht="18" customHeight="1"/>
    <x:row r="1898" ht="18" customHeight="1"/>
    <x:row r="1899" ht="18" customHeight="1"/>
    <x:row r="1900" ht="18" customHeight="1"/>
    <x:row r="1901" ht="18" customHeight="1"/>
    <x:row r="1902" ht="18" customHeight="1"/>
    <x:row r="1903" ht="18" customHeight="1"/>
    <x:row r="1904" ht="18" customHeight="1"/>
    <x:row r="1905" ht="18" customHeight="1"/>
    <x:row r="1906" ht="18" customHeight="1"/>
    <x:row r="1907" ht="18" customHeight="1"/>
    <x:row r="1908" ht="18" customHeight="1"/>
    <x:row r="1909" ht="18" customHeight="1"/>
    <x:row r="1910" ht="18" customHeight="1"/>
    <x:row r="1911" ht="18" customHeight="1"/>
    <x:row r="1912" ht="18" customHeight="1"/>
    <x:row r="1913" ht="18" customHeight="1"/>
    <x:row r="1914" ht="18" customHeight="1"/>
    <x:row r="1915" ht="18" customHeight="1"/>
    <x:row r="1916" ht="18" customHeight="1"/>
    <x:row r="1917" ht="18" customHeight="1"/>
    <x:row r="1918" ht="18" customHeight="1"/>
    <x:row r="1919" ht="18" customHeight="1"/>
    <x:row r="1920" ht="18" customHeight="1"/>
    <x:row r="1921" ht="18" customHeight="1"/>
    <x:row r="1922" ht="18" customHeight="1"/>
    <x:row r="1923" ht="18" customHeight="1"/>
    <x:row r="1924" ht="18" customHeight="1"/>
    <x:row r="1925" ht="18" customHeight="1"/>
    <x:row r="1926" ht="18" customHeight="1"/>
    <x:row r="1927" ht="18" customHeight="1"/>
    <x:row r="1928" ht="18" customHeight="1"/>
    <x:row r="1929" ht="18" customHeight="1"/>
    <x:row r="1930" ht="18" customHeight="1"/>
    <x:row r="1931" ht="18" customHeight="1"/>
    <x:row r="1932" ht="18" customHeight="1"/>
    <x:row r="1933" ht="18" customHeight="1"/>
    <x:row r="1934" ht="18" customHeight="1"/>
    <x:row r="1935" ht="18" customHeight="1"/>
    <x:row r="1936" ht="18" customHeight="1"/>
    <x:row r="1937" ht="18" customHeight="1"/>
    <x:row r="1938" ht="18" customHeight="1"/>
    <x:row r="1939" ht="18" customHeight="1"/>
    <x:row r="1940" ht="18" customHeight="1"/>
    <x:row r="1941" ht="18" customHeight="1"/>
    <x:row r="1942" ht="18" customHeight="1"/>
    <x:row r="1943" ht="18" customHeight="1"/>
    <x:row r="1944" ht="18" customHeight="1"/>
    <x:row r="1945" ht="18" customHeight="1"/>
    <x:row r="1946" ht="18" customHeight="1"/>
    <x:row r="1947" ht="18" customHeight="1"/>
    <x:row r="1948" ht="18" customHeight="1"/>
    <x:row r="1949" ht="18" customHeight="1"/>
    <x:row r="1950" ht="18" customHeight="1"/>
    <x:row r="1951" ht="18" customHeight="1"/>
    <x:row r="1952" ht="18" customHeight="1"/>
    <x:row r="1953" ht="18" customHeight="1"/>
    <x:row r="1954" ht="18" customHeight="1"/>
    <x:row r="1955" ht="18" customHeight="1"/>
    <x:row r="1956" ht="18" customHeight="1"/>
    <x:row r="1957" ht="18" customHeight="1"/>
    <x:row r="1958" ht="18" customHeight="1"/>
    <x:row r="1959" ht="18" customHeight="1"/>
    <x:row r="1960" ht="18" customHeight="1"/>
    <x:row r="1961" ht="18" customHeight="1"/>
    <x:row r="1962" ht="18" customHeight="1"/>
    <x:row r="1963" ht="18" customHeight="1"/>
    <x:row r="1964" ht="18" customHeight="1"/>
    <x:row r="1965" ht="18" customHeight="1"/>
    <x:row r="1966" ht="18" customHeight="1"/>
    <x:row r="1967" ht="18" customHeight="1"/>
    <x:row r="1968" ht="18" customHeight="1"/>
    <x:row r="1969" ht="18" customHeight="1"/>
    <x:row r="1970" ht="18" customHeight="1"/>
    <x:row r="1971" ht="18" customHeight="1"/>
    <x:row r="1972" ht="18" customHeight="1"/>
    <x:row r="1973" ht="18" customHeight="1"/>
    <x:row r="1974" ht="18" customHeight="1"/>
    <x:row r="1975" ht="18" customHeight="1"/>
    <x:row r="1976" ht="18" customHeight="1"/>
    <x:row r="1977" ht="18" customHeight="1"/>
    <x:row r="1978" ht="18" customHeight="1"/>
    <x:row r="1979" ht="18" customHeight="1"/>
    <x:row r="1980" ht="18" customHeight="1"/>
    <x:row r="1981" ht="18" customHeight="1"/>
    <x:row r="1982" ht="18" customHeight="1"/>
    <x:row r="1983" ht="18" customHeight="1"/>
    <x:row r="1984" ht="18" customHeight="1"/>
    <x:row r="1985" ht="18" customHeight="1"/>
    <x:row r="1986" ht="18" customHeight="1"/>
    <x:row r="1987" ht="18" customHeight="1"/>
    <x:row r="1988" ht="18" customHeight="1"/>
    <x:row r="1989" ht="18" customHeight="1"/>
    <x:row r="1990" ht="18" customHeight="1"/>
    <x:row r="1991" ht="18" customHeight="1"/>
    <x:row r="1992" ht="18" customHeight="1"/>
    <x:row r="1993" ht="18" customHeight="1"/>
    <x:row r="1994" ht="18" customHeight="1"/>
    <x:row r="1995" ht="18" customHeight="1"/>
    <x:row r="1996" ht="18" customHeight="1"/>
    <x:row r="1997" ht="18" customHeight="1"/>
    <x:row r="1998" ht="18" customHeight="1"/>
    <x:row r="1999" ht="18" customHeight="1"/>
    <x:row r="2000" ht="18" customHeight="1"/>
    <x:row r="2001" ht="18" customHeight="1"/>
    <x:row r="2002" ht="18" customHeight="1"/>
    <x:row r="2003" ht="18" customHeight="1"/>
    <x:row r="2004" ht="18" customHeight="1"/>
    <x:row r="2005" ht="18" customHeight="1"/>
    <x:row r="2006" ht="18" customHeight="1"/>
    <x:row r="2007" ht="18" customHeight="1"/>
    <x:row r="2008" ht="18" customHeight="1"/>
    <x:row r="2009" ht="18" customHeight="1"/>
    <x:row r="2010" ht="18" customHeight="1"/>
    <x:row r="2011" ht="18" customHeight="1"/>
    <x:row r="2012" ht="18" customHeight="1"/>
    <x:row r="2013" ht="18" customHeight="1"/>
    <x:row r="2014" ht="18" customHeight="1"/>
    <x:row r="2015" ht="18" customHeight="1"/>
    <x:row r="2016" ht="18" customHeight="1"/>
    <x:row r="2017" ht="18" customHeight="1"/>
    <x:row r="2018" ht="18" customHeight="1"/>
    <x:row r="2019" ht="18" customHeight="1"/>
    <x:row r="2020" ht="18" customHeight="1"/>
    <x:row r="2021" ht="18" customHeight="1"/>
    <x:row r="2022" ht="18" customHeight="1"/>
    <x:row r="2023" ht="18" customHeight="1"/>
    <x:row r="2024" ht="18" customHeight="1"/>
    <x:row r="2025" ht="18" customHeight="1"/>
    <x:row r="2026" ht="18" customHeight="1"/>
    <x:row r="2027" ht="18" customHeight="1"/>
    <x:row r="2028" ht="18" customHeight="1"/>
    <x:row r="2029" ht="18" customHeight="1"/>
    <x:row r="2030" ht="18" customHeight="1"/>
    <x:row r="2031" ht="18" customHeight="1"/>
    <x:row r="2032" ht="18" customHeight="1"/>
    <x:row r="2033" ht="18" customHeight="1"/>
    <x:row r="2034" ht="18" customHeight="1"/>
    <x:row r="2035" ht="18" customHeight="1"/>
    <x:row r="2036" ht="18" customHeight="1"/>
    <x:row r="2037" ht="18" customHeight="1"/>
    <x:row r="2038" ht="18" customHeight="1"/>
    <x:row r="2039" ht="18" customHeight="1"/>
    <x:row r="2040" ht="18" customHeight="1"/>
    <x:row r="2041" ht="18" customHeight="1"/>
    <x:row r="2042" ht="18" customHeight="1"/>
    <x:row r="2043" ht="18" customHeight="1"/>
    <x:row r="2044" ht="18" customHeight="1"/>
    <x:row r="2045" ht="18" customHeight="1"/>
    <x:row r="2046" ht="18" customHeight="1"/>
    <x:row r="2047" ht="18" customHeight="1"/>
    <x:row r="2048" ht="18" customHeight="1"/>
    <x:row r="2049" ht="18" customHeight="1"/>
    <x:row r="2050" ht="18" customHeight="1"/>
    <x:row r="2051" ht="18" customHeight="1"/>
    <x:row r="2052" ht="18" customHeight="1"/>
    <x:row r="2053" ht="18" customHeight="1"/>
    <x:row r="2054" ht="18" customHeight="1"/>
    <x:row r="2055" ht="18" customHeight="1"/>
    <x:row r="2056" ht="18" customHeight="1"/>
    <x:row r="2057" ht="18" customHeight="1"/>
    <x:row r="2058" ht="18" customHeight="1"/>
    <x:row r="2059" ht="18" customHeight="1"/>
    <x:row r="2060" ht="18" customHeight="1"/>
    <x:row r="2061" ht="18" customHeight="1"/>
    <x:row r="2062" ht="18" customHeight="1"/>
    <x:row r="2063" ht="18" customHeight="1"/>
    <x:row r="2064" ht="18" customHeight="1"/>
    <x:row r="2065" ht="18" customHeight="1"/>
    <x:row r="2066" ht="18" customHeight="1"/>
    <x:row r="2067" ht="18" customHeight="1"/>
    <x:row r="2068" ht="18" customHeight="1"/>
    <x:row r="2069" ht="18" customHeight="1"/>
    <x:row r="2070" ht="18" customHeight="1"/>
    <x:row r="2071" ht="18" customHeight="1"/>
    <x:row r="2072" ht="18" customHeight="1"/>
    <x:row r="2073" ht="18" customHeight="1"/>
    <x:row r="2074" ht="18" customHeight="1"/>
    <x:row r="2075" ht="18" customHeight="1"/>
    <x:row r="2076" ht="18" customHeight="1"/>
    <x:row r="2077" ht="18" customHeight="1"/>
    <x:row r="2078" ht="18" customHeight="1"/>
    <x:row r="2079" ht="18" customHeight="1"/>
    <x:row r="2080" ht="18" customHeight="1"/>
    <x:row r="2081" ht="18" customHeight="1"/>
    <x:row r="2082" ht="18" customHeight="1"/>
    <x:row r="2083" ht="18" customHeight="1"/>
    <x:row r="2084" ht="18" customHeight="1"/>
    <x:row r="2085" ht="18" customHeight="1"/>
    <x:row r="2086" ht="18" customHeight="1"/>
    <x:row r="2087" ht="18" customHeight="1"/>
    <x:row r="2088" ht="18" customHeight="1"/>
    <x:row r="2089" ht="18" customHeight="1"/>
    <x:row r="2090" ht="18" customHeight="1"/>
    <x:row r="2091" ht="18" customHeight="1"/>
    <x:row r="2092" ht="18" customHeight="1"/>
    <x:row r="2093" ht="18" customHeight="1"/>
    <x:row r="2094" ht="18" customHeight="1"/>
    <x:row r="2095" ht="18" customHeight="1"/>
    <x:row r="2096" ht="18" customHeight="1"/>
    <x:row r="2097" ht="18" customHeight="1"/>
    <x:row r="2098" ht="18" customHeight="1"/>
    <x:row r="2099" ht="18" customHeight="1"/>
    <x:row r="2100" ht="18" customHeight="1"/>
    <x:row r="2101" ht="18" customHeight="1"/>
    <x:row r="2102" ht="18" customHeight="1"/>
    <x:row r="2103" ht="18" customHeight="1"/>
    <x:row r="2104" ht="18" customHeight="1"/>
    <x:row r="2105" ht="18" customHeight="1"/>
    <x:row r="2106" ht="18" customHeight="1"/>
    <x:row r="2107" ht="18" customHeight="1"/>
    <x:row r="2108" ht="18" customHeight="1"/>
    <x:row r="2109" ht="18" customHeight="1"/>
    <x:row r="2110" ht="18" customHeight="1"/>
    <x:row r="2111" ht="18" customHeight="1"/>
    <x:row r="2112" ht="18" customHeight="1"/>
    <x:row r="2113" ht="18" customHeight="1"/>
    <x:row r="2114" ht="18" customHeight="1"/>
    <x:row r="2115" ht="18" customHeight="1"/>
    <x:row r="2116" ht="18" customHeight="1"/>
    <x:row r="2117" ht="18" customHeight="1"/>
    <x:row r="2118" ht="18" customHeight="1"/>
    <x:row r="2119" ht="18" customHeight="1"/>
    <x:row r="2120" ht="18" customHeight="1"/>
    <x:row r="2121" ht="18" customHeight="1"/>
    <x:row r="2122" ht="18" customHeight="1"/>
    <x:row r="2123" ht="18" customHeight="1"/>
    <x:row r="2124" ht="18" customHeight="1"/>
    <x:row r="2125" ht="18" customHeight="1"/>
    <x:row r="2126" ht="18" customHeight="1"/>
    <x:row r="2127" ht="18" customHeight="1"/>
    <x:row r="2128" ht="18" customHeight="1"/>
    <x:row r="2129" ht="18" customHeight="1"/>
    <x:row r="2130" ht="18" customHeight="1"/>
    <x:row r="2131" ht="18" customHeight="1"/>
    <x:row r="2132" ht="18" customHeight="1"/>
    <x:row r="2133" ht="18" customHeight="1"/>
    <x:row r="2134" ht="18" customHeight="1"/>
    <x:row r="2135" ht="18" customHeight="1"/>
    <x:row r="2136" ht="18" customHeight="1"/>
    <x:row r="2137" ht="18" customHeight="1"/>
    <x:row r="2138" ht="18" customHeight="1"/>
    <x:row r="2139" ht="18" customHeight="1"/>
    <x:row r="2140" ht="18" customHeight="1"/>
    <x:row r="2141" ht="18" customHeight="1"/>
    <x:row r="2142" ht="18" customHeight="1"/>
    <x:row r="2143" ht="18" customHeight="1"/>
    <x:row r="2144" ht="18" customHeight="1"/>
    <x:row r="2145" ht="18" customHeight="1"/>
    <x:row r="2146" ht="18" customHeight="1"/>
    <x:row r="2147" ht="18" customHeight="1"/>
    <x:row r="2148" ht="18" customHeight="1"/>
    <x:row r="2149" ht="18" customHeight="1"/>
    <x:row r="2150" ht="18" customHeight="1"/>
    <x:row r="2151" ht="18" customHeight="1"/>
    <x:row r="2152" ht="18" customHeight="1"/>
    <x:row r="2153" ht="18" customHeight="1"/>
    <x:row r="2154" ht="18" customHeight="1"/>
    <x:row r="2155" ht="18" customHeight="1"/>
    <x:row r="2156" ht="18" customHeight="1"/>
    <x:row r="2157" ht="18" customHeight="1"/>
    <x:row r="2158" ht="18" customHeight="1"/>
    <x:row r="2159" ht="18" customHeight="1"/>
    <x:row r="2160" ht="18" customHeight="1"/>
    <x:row r="2161" ht="18" customHeight="1"/>
    <x:row r="2162" ht="18" customHeight="1"/>
    <x:row r="2163" ht="18" customHeight="1"/>
    <x:row r="2164" ht="18" customHeight="1"/>
    <x:row r="2165" ht="18" customHeight="1"/>
    <x:row r="2166" ht="18" customHeight="1"/>
    <x:row r="2167" ht="18" customHeight="1"/>
    <x:row r="2168" ht="18" customHeight="1"/>
    <x:row r="2169" ht="18" customHeight="1"/>
    <x:row r="2170" ht="18" customHeight="1"/>
    <x:row r="2171" ht="18" customHeight="1"/>
    <x:row r="2172" ht="18" customHeight="1"/>
    <x:row r="2173" ht="18" customHeight="1"/>
    <x:row r="2174" ht="18" customHeight="1"/>
    <x:row r="2175" ht="18" customHeight="1"/>
    <x:row r="2176" ht="18" customHeight="1"/>
    <x:row r="2177" ht="18" customHeight="1"/>
    <x:row r="2178" ht="18" customHeight="1"/>
    <x:row r="2179" ht="18" customHeight="1"/>
    <x:row r="2180" ht="18" customHeight="1"/>
    <x:row r="2181" ht="18" customHeight="1"/>
    <x:row r="2182" ht="18" customHeight="1"/>
    <x:row r="2183" ht="18" customHeight="1"/>
    <x:row r="2184" ht="18" customHeight="1"/>
    <x:row r="2185" ht="18" customHeight="1"/>
    <x:row r="2186" ht="18" customHeight="1"/>
    <x:row r="2187" ht="18" customHeight="1"/>
    <x:row r="2188" ht="18" customHeight="1"/>
    <x:row r="2189" ht="18" customHeight="1"/>
    <x:row r="2190" ht="18" customHeight="1"/>
    <x:row r="2191" ht="18" customHeight="1"/>
    <x:row r="2192" ht="18" customHeight="1"/>
    <x:row r="2193" ht="18" customHeight="1"/>
    <x:row r="2194" ht="18" customHeight="1"/>
    <x:row r="2195" ht="18" customHeight="1"/>
    <x:row r="2196" ht="18" customHeight="1"/>
    <x:row r="2197" ht="18" customHeight="1"/>
    <x:row r="2198" ht="18" customHeight="1"/>
    <x:row r="2199" ht="18" customHeight="1"/>
    <x:row r="2200" ht="18" customHeight="1"/>
    <x:row r="2201" ht="18" customHeight="1"/>
    <x:row r="2202" ht="18" customHeight="1"/>
    <x:row r="2203" ht="18" customHeight="1"/>
    <x:row r="2204" ht="18" customHeight="1"/>
    <x:row r="2205" ht="18" customHeight="1"/>
    <x:row r="2206" ht="18" customHeight="1"/>
    <x:row r="2207" ht="18" customHeight="1"/>
    <x:row r="2208" ht="18" customHeight="1"/>
    <x:row r="2209" ht="18" customHeight="1"/>
    <x:row r="2210" ht="18" customHeight="1"/>
    <x:row r="2211" ht="18" customHeight="1"/>
    <x:row r="2212" ht="18" customHeight="1"/>
    <x:row r="2213" ht="18" customHeight="1"/>
    <x:row r="2214" ht="18" customHeight="1"/>
    <x:row r="2215" ht="18" customHeight="1"/>
    <x:row r="2216" ht="18" customHeight="1"/>
    <x:row r="2217" ht="18" customHeight="1"/>
    <x:row r="2218" ht="18" customHeight="1"/>
    <x:row r="2219" ht="18" customHeight="1"/>
    <x:row r="2220" ht="18" customHeight="1"/>
    <x:row r="2221" ht="18" customHeight="1"/>
    <x:row r="2222" ht="18" customHeight="1"/>
    <x:row r="2223" ht="18" customHeight="1"/>
    <x:row r="2224" ht="18" customHeight="1"/>
    <x:row r="2225" ht="18" customHeight="1"/>
    <x:row r="2226" ht="18" customHeight="1"/>
    <x:row r="2227" ht="18" customHeight="1"/>
    <x:row r="2228" ht="18" customHeight="1"/>
    <x:row r="2229" ht="18" customHeight="1"/>
    <x:row r="2230" ht="18" customHeight="1"/>
    <x:row r="2231" ht="18" customHeight="1"/>
    <x:row r="2232" ht="18" customHeight="1"/>
    <x:row r="2233" ht="18" customHeight="1"/>
    <x:row r="2234" ht="18" customHeight="1"/>
    <x:row r="2235" ht="18" customHeight="1"/>
    <x:row r="2236" ht="18" customHeight="1"/>
    <x:row r="2237" ht="18" customHeight="1"/>
    <x:row r="2238" ht="18" customHeight="1"/>
    <x:row r="2239" ht="18" customHeight="1"/>
    <x:row r="2240" ht="18" customHeight="1"/>
    <x:row r="2241" ht="18" customHeight="1"/>
    <x:row r="2242" ht="18" customHeight="1"/>
    <x:row r="2243" ht="18" customHeight="1"/>
    <x:row r="2244" ht="18" customHeight="1"/>
    <x:row r="2245" ht="18" customHeight="1"/>
    <x:row r="2246" ht="18" customHeight="1"/>
    <x:row r="2247" ht="18" customHeight="1"/>
    <x:row r="2248" ht="18" customHeight="1"/>
    <x:row r="2249" ht="18" customHeight="1"/>
    <x:row r="2250" ht="18" customHeight="1"/>
    <x:row r="2251" ht="18" customHeight="1"/>
    <x:row r="2252" ht="18" customHeight="1"/>
    <x:row r="2253" ht="18" customHeight="1"/>
    <x:row r="2254" ht="18" customHeight="1"/>
    <x:row r="2255" ht="18" customHeight="1"/>
    <x:row r="2256" ht="18" customHeight="1"/>
    <x:row r="2257" ht="18" customHeight="1"/>
    <x:row r="2258" ht="18" customHeight="1"/>
    <x:row r="2259" ht="18" customHeight="1"/>
    <x:row r="2260" ht="18" customHeight="1"/>
    <x:row r="2261" ht="18" customHeight="1"/>
    <x:row r="2262" ht="18" customHeight="1"/>
    <x:row r="2263" ht="18" customHeight="1"/>
    <x:row r="2264" ht="18" customHeight="1"/>
    <x:row r="2265" ht="18" customHeight="1"/>
    <x:row r="2266" ht="18" customHeight="1"/>
    <x:row r="2267" ht="18" customHeight="1"/>
    <x:row r="2268" ht="18" customHeight="1"/>
    <x:row r="2269" ht="18" customHeight="1"/>
    <x:row r="2270" ht="18" customHeight="1"/>
    <x:row r="2271" ht="18" customHeight="1"/>
    <x:row r="2272" ht="18" customHeight="1"/>
    <x:row r="2273" ht="18" customHeight="1"/>
    <x:row r="2274" ht="18" customHeight="1"/>
    <x:row r="2275" ht="18" customHeight="1"/>
    <x:row r="2276" ht="18" customHeight="1"/>
    <x:row r="2277" ht="18" customHeight="1"/>
    <x:row r="2278" ht="18" customHeight="1"/>
    <x:row r="2279" ht="18" customHeight="1"/>
    <x:row r="2280" ht="18" customHeight="1"/>
    <x:row r="2281" ht="18" customHeight="1"/>
    <x:row r="2282" ht="18" customHeight="1"/>
    <x:row r="2283" ht="18" customHeight="1"/>
    <x:row r="2284" ht="18" customHeight="1"/>
    <x:row r="2285" ht="18" customHeight="1"/>
    <x:row r="2286" ht="18" customHeight="1"/>
    <x:row r="2287" ht="18" customHeight="1"/>
    <x:row r="2288" ht="18" customHeight="1"/>
    <x:row r="2289" ht="18" customHeight="1"/>
    <x:row r="2290" ht="18" customHeight="1"/>
    <x:row r="2291" ht="18" customHeight="1"/>
    <x:row r="2292" ht="18" customHeight="1"/>
    <x:row r="2293" ht="18" customHeight="1"/>
    <x:row r="2294" ht="18" customHeight="1"/>
    <x:row r="2295" ht="18" customHeight="1"/>
    <x:row r="2296" ht="18" customHeight="1"/>
    <x:row r="2297" ht="18" customHeight="1"/>
    <x:row r="2298" ht="18" customHeight="1"/>
    <x:row r="2299" ht="18" customHeight="1"/>
    <x:row r="2300" ht="18" customHeight="1"/>
    <x:row r="2301" ht="18" customHeight="1"/>
    <x:row r="2302" ht="18" customHeight="1"/>
    <x:row r="2303" ht="18" customHeight="1"/>
    <x:row r="2304" ht="18" customHeight="1"/>
    <x:row r="2305" ht="18" customHeight="1"/>
    <x:row r="2306" ht="18" customHeight="1"/>
    <x:row r="2307" ht="18" customHeight="1"/>
    <x:row r="2308" ht="18" customHeight="1"/>
    <x:row r="2309" ht="18" customHeight="1"/>
    <x:row r="2310" ht="18" customHeight="1"/>
    <x:row r="2311" ht="18" customHeight="1"/>
    <x:row r="2312" ht="18" customHeight="1"/>
    <x:row r="2313" ht="18" customHeight="1"/>
    <x:row r="2314" ht="18" customHeight="1"/>
    <x:row r="2315" ht="18" customHeight="1"/>
    <x:row r="2316" ht="18" customHeight="1"/>
    <x:row r="2317" ht="18" customHeight="1"/>
    <x:row r="2318" ht="18" customHeight="1"/>
    <x:row r="2319" ht="18" customHeight="1"/>
    <x:row r="2320" ht="18" customHeight="1"/>
    <x:row r="2321" ht="18" customHeight="1"/>
    <x:row r="2322" ht="18" customHeight="1"/>
    <x:row r="2323" ht="18" customHeight="1"/>
    <x:row r="2324" ht="18" customHeight="1"/>
    <x:row r="2325" ht="18" customHeight="1"/>
    <x:row r="2326" ht="18" customHeight="1"/>
    <x:row r="2327" ht="18" customHeight="1"/>
    <x:row r="2328" ht="18" customHeight="1"/>
    <x:row r="2329" ht="18" customHeight="1"/>
    <x:row r="2330" ht="18" customHeight="1"/>
    <x:row r="2331" ht="18" customHeight="1"/>
    <x:row r="2332" ht="18" customHeight="1"/>
    <x:row r="2333" ht="18" customHeight="1"/>
    <x:row r="2334" ht="18" customHeight="1"/>
    <x:row r="2335" ht="18" customHeight="1"/>
    <x:row r="2336" ht="18" customHeight="1"/>
    <x:row r="2337" ht="18" customHeight="1"/>
    <x:row r="2338" ht="18" customHeight="1"/>
    <x:row r="2339" ht="18" customHeight="1"/>
    <x:row r="2340" ht="18" customHeight="1"/>
    <x:row r="2341" ht="18" customHeight="1"/>
    <x:row r="2342" ht="18" customHeight="1"/>
    <x:row r="2343" ht="18" customHeight="1"/>
    <x:row r="2344" ht="18" customHeight="1"/>
    <x:row r="2345" ht="18" customHeight="1"/>
    <x:row r="2346" ht="18" customHeight="1"/>
    <x:row r="2347" ht="18" customHeight="1"/>
    <x:row r="2348" ht="18" customHeight="1"/>
    <x:row r="2349" ht="18" customHeight="1"/>
    <x:row r="2350" ht="18" customHeight="1"/>
    <x:row r="2351" ht="18" customHeight="1"/>
    <x:row r="2352" ht="18" customHeight="1"/>
    <x:row r="2353" ht="18" customHeight="1"/>
    <x:row r="2354" ht="18" customHeight="1"/>
    <x:row r="2355" ht="18" customHeight="1"/>
    <x:row r="2356" ht="18" customHeight="1"/>
    <x:row r="2357" ht="18" customHeight="1"/>
    <x:row r="2358" ht="18" customHeight="1"/>
    <x:row r="2359" ht="18" customHeight="1"/>
    <x:row r="2360" ht="18" customHeight="1"/>
    <x:row r="2361" ht="18" customHeight="1"/>
    <x:row r="2362" ht="18" customHeight="1"/>
    <x:row r="2363" ht="18" customHeight="1"/>
    <x:row r="2364" ht="18" customHeight="1"/>
    <x:row r="2365" ht="18" customHeight="1"/>
    <x:row r="2366" ht="18" customHeight="1"/>
    <x:row r="2367" ht="18" customHeight="1"/>
    <x:row r="2368" ht="18" customHeight="1"/>
    <x:row r="2369" ht="18" customHeight="1"/>
    <x:row r="2370" ht="18" customHeight="1"/>
    <x:row r="2371" ht="18" customHeight="1"/>
    <x:row r="2372" ht="18" customHeight="1"/>
    <x:row r="2373" ht="18" customHeight="1"/>
    <x:row r="2374" ht="18" customHeight="1"/>
    <x:row r="2375" ht="18" customHeight="1"/>
    <x:row r="2376" ht="18" customHeight="1"/>
    <x:row r="2377" ht="18" customHeight="1"/>
    <x:row r="2378" ht="18" customHeight="1"/>
    <x:row r="2379" ht="18" customHeight="1"/>
    <x:row r="2380" ht="18" customHeight="1"/>
    <x:row r="2381" ht="18" customHeight="1"/>
    <x:row r="2382" ht="18" customHeight="1"/>
    <x:row r="2383" ht="18" customHeight="1"/>
    <x:row r="2384" ht="18" customHeight="1"/>
    <x:row r="2385" ht="18" customHeight="1"/>
    <x:row r="2386" ht="18" customHeight="1"/>
    <x:row r="2387" ht="18" customHeight="1"/>
    <x:row r="2388" ht="18" customHeight="1"/>
    <x:row r="2389" ht="18" customHeight="1"/>
    <x:row r="2390" ht="18" customHeight="1"/>
    <x:row r="2391" ht="18" customHeight="1"/>
    <x:row r="2392" ht="18" customHeight="1"/>
    <x:row r="2393" ht="18" customHeight="1"/>
    <x:row r="2394" ht="18" customHeight="1"/>
    <x:row r="2395" ht="18" customHeight="1"/>
    <x:row r="2396" ht="18" customHeight="1"/>
    <x:row r="2397" ht="18" customHeight="1"/>
    <x:row r="2398" ht="18" customHeight="1"/>
    <x:row r="2399" ht="18" customHeight="1"/>
    <x:row r="2400" ht="18" customHeight="1"/>
    <x:row r="2401" ht="18" customHeight="1"/>
    <x:row r="2402" ht="18" customHeight="1"/>
    <x:row r="2403" ht="18" customHeight="1"/>
    <x:row r="2404" ht="18" customHeight="1"/>
    <x:row r="2405" ht="18" customHeight="1"/>
    <x:row r="2406" ht="18" customHeight="1"/>
    <x:row r="2407" ht="18" customHeight="1"/>
    <x:row r="2408" ht="18" customHeight="1"/>
    <x:row r="2409" ht="18" customHeight="1"/>
    <x:row r="2410" ht="18" customHeight="1"/>
    <x:row r="2411" ht="18" customHeight="1"/>
    <x:row r="2412" ht="18" customHeight="1"/>
    <x:row r="2413" ht="18" customHeight="1"/>
    <x:row r="2414" ht="18" customHeight="1"/>
    <x:row r="2415" ht="18" customHeight="1"/>
    <x:row r="2416" ht="18" customHeight="1"/>
    <x:row r="2417" ht="18" customHeight="1"/>
    <x:row r="2418" ht="18" customHeight="1"/>
    <x:row r="2419" ht="18" customHeight="1"/>
    <x:row r="2420" ht="18" customHeight="1"/>
    <x:row r="2421" ht="18" customHeight="1"/>
    <x:row r="2422" ht="18" customHeight="1"/>
    <x:row r="2423" ht="18" customHeight="1"/>
    <x:row r="2424" ht="18" customHeight="1"/>
    <x:row r="2425" ht="18" customHeight="1"/>
    <x:row r="2426" ht="18" customHeight="1"/>
    <x:row r="2427" ht="18" customHeight="1"/>
    <x:row r="2428" ht="18" customHeight="1"/>
    <x:row r="2429" ht="18" customHeight="1"/>
    <x:row r="2430" ht="18" customHeight="1"/>
    <x:row r="2431" ht="18" customHeight="1"/>
    <x:row r="2432" ht="18" customHeight="1"/>
    <x:row r="2433" ht="18" customHeight="1"/>
    <x:row r="2434" ht="18" customHeight="1"/>
    <x:row r="2435" ht="18" customHeight="1"/>
    <x:row r="2436" ht="18" customHeight="1"/>
    <x:row r="2437" ht="18" customHeight="1"/>
    <x:row r="2438" ht="18" customHeight="1"/>
    <x:row r="2439" ht="18" customHeight="1"/>
    <x:row r="2440" ht="18" customHeight="1"/>
    <x:row r="2441" ht="18" customHeight="1"/>
    <x:row r="2442" ht="18" customHeight="1"/>
    <x:row r="2443" ht="18" customHeight="1"/>
    <x:row r="2444" ht="18" customHeight="1"/>
    <x:row r="2445" ht="18" customHeight="1"/>
    <x:row r="2446" ht="18" customHeight="1"/>
    <x:row r="2447" ht="18" customHeight="1"/>
    <x:row r="2448" ht="18" customHeight="1"/>
    <x:row r="2449" ht="18" customHeight="1"/>
    <x:row r="2450" ht="18" customHeight="1"/>
    <x:row r="2451" ht="18" customHeight="1"/>
    <x:row r="2452" ht="18" customHeight="1"/>
    <x:row r="2453" ht="18" customHeight="1"/>
    <x:row r="2454" ht="18" customHeight="1"/>
    <x:row r="2455" ht="18" customHeight="1"/>
    <x:row r="2456" ht="18" customHeight="1"/>
    <x:row r="2457" ht="18" customHeight="1"/>
    <x:row r="2458" ht="18" customHeight="1"/>
    <x:row r="2459" ht="18" customHeight="1"/>
    <x:row r="2460" ht="18" customHeight="1"/>
    <x:row r="2461" ht="18" customHeight="1"/>
    <x:row r="2462" ht="18" customHeight="1"/>
    <x:row r="2463" ht="18" customHeight="1"/>
    <x:row r="2464" ht="18" customHeight="1"/>
    <x:row r="2465" ht="18" customHeight="1"/>
    <x:row r="2466" ht="18" customHeight="1"/>
    <x:row r="2467" ht="18" customHeight="1"/>
    <x:row r="2468" ht="18" customHeight="1"/>
    <x:row r="2469" ht="18" customHeight="1"/>
    <x:row r="2470" ht="18" customHeight="1"/>
    <x:row r="2471" ht="18" customHeight="1"/>
    <x:row r="2472" ht="18" customHeight="1"/>
    <x:row r="2473" ht="18" customHeight="1"/>
    <x:row r="2474" ht="18" customHeight="1"/>
    <x:row r="2475" ht="18" customHeight="1"/>
    <x:row r="2476" ht="18" customHeight="1"/>
    <x:row r="2477" ht="18" customHeight="1"/>
    <x:row r="2478" ht="18" customHeight="1"/>
    <x:row r="2479" ht="18" customHeight="1"/>
    <x:row r="2480" ht="18" customHeight="1"/>
    <x:row r="2481" ht="18" customHeight="1"/>
    <x:row r="2482" ht="18" customHeight="1"/>
    <x:row r="2483" ht="18" customHeight="1"/>
    <x:row r="2484" ht="18" customHeight="1"/>
    <x:row r="2485" ht="18" customHeight="1"/>
    <x:row r="2486" ht="18" customHeight="1"/>
    <x:row r="2487" ht="18" customHeight="1"/>
    <x:row r="2488" ht="18" customHeight="1"/>
    <x:row r="2489" ht="18" customHeight="1"/>
    <x:row r="2490" ht="18" customHeight="1"/>
    <x:row r="2491" ht="18" customHeight="1"/>
    <x:row r="2492" ht="18" customHeight="1"/>
    <x:row r="2493" ht="18" customHeight="1"/>
    <x:row r="2494" ht="18" customHeight="1"/>
    <x:row r="2495" ht="18" customHeight="1"/>
    <x:row r="2496" ht="18" customHeight="1"/>
    <x:row r="2497" ht="18" customHeight="1"/>
    <x:row r="2498" ht="18" customHeight="1"/>
    <x:row r="2499" ht="18" customHeight="1"/>
    <x:row r="2500" ht="18" customHeight="1"/>
    <x:row r="2501" ht="18" customHeight="1"/>
    <x:row r="2502" ht="18" customHeight="1"/>
    <x:row r="2503" ht="18" customHeight="1"/>
    <x:row r="2504" ht="18" customHeight="1"/>
    <x:row r="2505" ht="18" customHeight="1"/>
    <x:row r="2506" ht="18" customHeight="1"/>
    <x:row r="2507" ht="18" customHeight="1"/>
    <x:row r="2508" ht="18" customHeight="1"/>
    <x:row r="2509" ht="18" customHeight="1"/>
    <x:row r="2510" ht="18" customHeight="1"/>
    <x:row r="2511" ht="18" customHeight="1"/>
    <x:row r="2512" ht="18" customHeight="1"/>
    <x:row r="2513" ht="18" customHeight="1"/>
    <x:row r="2514" ht="18" customHeight="1"/>
    <x:row r="2515" ht="18" customHeight="1"/>
    <x:row r="2516" ht="18" customHeight="1"/>
    <x:row r="2517" ht="18" customHeight="1"/>
    <x:row r="2518" ht="18" customHeight="1"/>
    <x:row r="2519" ht="18" customHeight="1"/>
    <x:row r="2520" ht="18" customHeight="1"/>
    <x:row r="2521" ht="18" customHeight="1"/>
    <x:row r="2522" ht="18" customHeight="1"/>
    <x:row r="2523" ht="18" customHeight="1"/>
    <x:row r="2524" ht="18" customHeight="1"/>
    <x:row r="2525" ht="18" customHeight="1"/>
    <x:row r="2526" ht="18" customHeight="1"/>
    <x:row r="2527" ht="18" customHeight="1"/>
    <x:row r="2528" ht="18" customHeight="1"/>
    <x:row r="2529" ht="18" customHeight="1"/>
    <x:row r="2530" ht="18" customHeight="1"/>
    <x:row r="2531" ht="18" customHeight="1"/>
    <x:row r="2532" ht="18" customHeight="1"/>
    <x:row r="2533" ht="18" customHeight="1"/>
    <x:row r="2534" ht="18" customHeight="1"/>
    <x:row r="2535" ht="18" customHeight="1"/>
    <x:row r="2536" ht="18" customHeight="1"/>
    <x:row r="2537" ht="18" customHeight="1"/>
    <x:row r="2538" ht="18" customHeight="1"/>
    <x:row r="2539" ht="18" customHeight="1"/>
    <x:row r="2540" ht="18" customHeight="1"/>
    <x:row r="2541" ht="18" customHeight="1"/>
    <x:row r="2542" ht="18" customHeight="1"/>
    <x:row r="2543" ht="18" customHeight="1"/>
    <x:row r="2544" ht="18" customHeight="1"/>
    <x:row r="2545" ht="18" customHeight="1"/>
    <x:row r="2546" ht="18" customHeight="1"/>
    <x:row r="2547" ht="18" customHeight="1"/>
    <x:row r="2548" ht="18" customHeight="1"/>
    <x:row r="2549" ht="18" customHeight="1"/>
    <x:row r="2550" ht="18" customHeight="1"/>
    <x:row r="2551" ht="18" customHeight="1"/>
    <x:row r="2552" ht="18" customHeight="1"/>
    <x:row r="2553" ht="18" customHeight="1"/>
    <x:row r="2554" ht="18" customHeight="1"/>
    <x:row r="2555" ht="18" customHeight="1"/>
    <x:row r="2556" ht="18" customHeight="1"/>
    <x:row r="2557" ht="18" customHeight="1"/>
    <x:row r="2558" ht="18" customHeight="1"/>
    <x:row r="2559" ht="18" customHeight="1"/>
    <x:row r="2560" ht="18" customHeight="1"/>
    <x:row r="2561" ht="18" customHeight="1"/>
    <x:row r="2562" ht="18" customHeight="1"/>
    <x:row r="2563" ht="18" customHeight="1"/>
    <x:row r="2564" ht="18" customHeight="1"/>
    <x:row r="2565" ht="18" customHeight="1"/>
    <x:row r="2566" ht="18" customHeight="1"/>
    <x:row r="2567" ht="18" customHeight="1"/>
    <x:row r="2568" ht="18" customHeight="1"/>
    <x:row r="2569" ht="18" customHeight="1"/>
    <x:row r="2570" ht="18" customHeight="1"/>
    <x:row r="2571" ht="18" customHeight="1"/>
    <x:row r="2572" ht="18" customHeight="1"/>
    <x:row r="2573" ht="18" customHeight="1"/>
    <x:row r="2574" ht="18" customHeight="1"/>
    <x:row r="2575" ht="18" customHeight="1"/>
    <x:row r="2576" ht="18" customHeight="1"/>
    <x:row r="2577" ht="18" customHeight="1"/>
    <x:row r="2578" ht="18" customHeight="1"/>
    <x:row r="2579" ht="18" customHeight="1"/>
    <x:row r="2580" ht="18" customHeight="1"/>
    <x:row r="2581" ht="18" customHeight="1"/>
    <x:row r="2582" ht="18" customHeight="1"/>
    <x:row r="2583" ht="18" customHeight="1"/>
    <x:row r="2584" ht="18" customHeight="1"/>
    <x:row r="2585" ht="18" customHeight="1"/>
    <x:row r="2586" ht="18" customHeight="1"/>
    <x:row r="2587" ht="18" customHeight="1"/>
    <x:row r="2588" ht="18" customHeight="1"/>
    <x:row r="2589" ht="18" customHeight="1"/>
    <x:row r="2590" ht="18" customHeight="1"/>
    <x:row r="2591" ht="18" customHeight="1"/>
    <x:row r="2592" ht="18" customHeight="1"/>
    <x:row r="2593" ht="18" customHeight="1"/>
    <x:row r="2594" ht="18" customHeight="1"/>
    <x:row r="2595" ht="18" customHeight="1"/>
    <x:row r="2596" ht="18" customHeight="1"/>
    <x:row r="2597" ht="18" customHeight="1"/>
    <x:row r="2598" ht="18" customHeight="1"/>
    <x:row r="2599" ht="18" customHeight="1"/>
    <x:row r="2600" ht="18" customHeight="1"/>
    <x:row r="2601" ht="18" customHeight="1"/>
    <x:row r="2602" ht="18" customHeight="1"/>
    <x:row r="2603" ht="18" customHeight="1"/>
    <x:row r="2604" ht="18" customHeight="1"/>
    <x:row r="2605" ht="18" customHeight="1"/>
    <x:row r="2606" ht="18" customHeight="1"/>
    <x:row r="2607" ht="18" customHeight="1"/>
    <x:row r="2608" ht="18" customHeight="1"/>
    <x:row r="2609" ht="18" customHeight="1"/>
    <x:row r="2610" ht="18" customHeight="1"/>
    <x:row r="2611" ht="18" customHeight="1"/>
    <x:row r="2612" ht="18" customHeight="1"/>
    <x:row r="2613" ht="18" customHeight="1"/>
    <x:row r="2614" ht="18" customHeight="1"/>
    <x:row r="2615" ht="18" customHeight="1"/>
    <x:row r="2616" ht="18" customHeight="1"/>
    <x:row r="2617" ht="18" customHeight="1"/>
    <x:row r="2618" ht="18" customHeight="1"/>
    <x:row r="2619" ht="18" customHeight="1"/>
    <x:row r="2620" ht="18" customHeight="1"/>
    <x:row r="2621" ht="18" customHeight="1"/>
    <x:row r="2622" ht="18" customHeight="1"/>
    <x:row r="2623" ht="18" customHeight="1"/>
    <x:row r="2624" ht="18" customHeight="1"/>
    <x:row r="2625" ht="18" customHeight="1"/>
    <x:row r="2626" ht="18" customHeight="1"/>
    <x:row r="2627" ht="18" customHeight="1"/>
    <x:row r="2628" ht="18" customHeight="1"/>
    <x:row r="2629" ht="18" customHeight="1"/>
    <x:row r="2630" ht="18" customHeight="1"/>
    <x:row r="2631" ht="18" customHeight="1"/>
    <x:row r="2632" ht="18" customHeight="1"/>
    <x:row r="2633" ht="18" customHeight="1"/>
    <x:row r="2634" ht="18" customHeight="1"/>
    <x:row r="2635" ht="18" customHeight="1"/>
    <x:row r="2636" ht="18" customHeight="1"/>
    <x:row r="2637" ht="18" customHeight="1"/>
    <x:row r="2638" ht="18" customHeight="1"/>
    <x:row r="2639" ht="18" customHeight="1"/>
    <x:row r="2640" ht="18" customHeight="1"/>
    <x:row r="2641" ht="18" customHeight="1"/>
    <x:row r="2642" ht="18" customHeight="1"/>
    <x:row r="2643" ht="18" customHeight="1"/>
    <x:row r="2644" ht="18" customHeight="1"/>
    <x:row r="2645" ht="18" customHeight="1"/>
    <x:row r="2646" ht="18" customHeight="1"/>
    <x:row r="2647" ht="18" customHeight="1"/>
    <x:row r="2648" ht="18" customHeight="1"/>
    <x:row r="2649" ht="18" customHeight="1"/>
    <x:row r="2650" ht="18" customHeight="1"/>
    <x:row r="2651" ht="18" customHeight="1"/>
    <x:row r="2652" ht="18" customHeight="1"/>
    <x:row r="2653" ht="18" customHeight="1"/>
    <x:row r="2654" ht="18" customHeight="1"/>
    <x:row r="2655" ht="18" customHeight="1"/>
    <x:row r="2656" ht="18" customHeight="1"/>
    <x:row r="2657" ht="18" customHeight="1"/>
    <x:row r="2658" ht="18" customHeight="1"/>
    <x:row r="2659" ht="18" customHeight="1"/>
    <x:row r="2660" ht="18" customHeight="1"/>
    <x:row r="2661" ht="18" customHeight="1"/>
    <x:row r="2662" ht="18" customHeight="1"/>
    <x:row r="2663" ht="18" customHeight="1"/>
    <x:row r="2664" ht="18" customHeight="1"/>
    <x:row r="2665" ht="18" customHeight="1"/>
    <x:row r="2666" ht="18" customHeight="1"/>
    <x:row r="2667" ht="18" customHeight="1"/>
    <x:row r="2668" ht="18" customHeight="1"/>
    <x:row r="2669" ht="18" customHeight="1"/>
    <x:row r="2670" ht="18" customHeight="1"/>
    <x:row r="2671" ht="18" customHeight="1"/>
    <x:row r="2672" ht="18" customHeight="1"/>
    <x:row r="2673" ht="18" customHeight="1"/>
    <x:row r="2674" ht="18" customHeight="1"/>
    <x:row r="2675" ht="18" customHeight="1"/>
    <x:row r="2676" ht="18" customHeight="1"/>
    <x:row r="2677" ht="18" customHeight="1"/>
    <x:row r="2678" ht="18" customHeight="1"/>
    <x:row r="2679" ht="18" customHeight="1"/>
    <x:row r="2680" ht="18" customHeight="1"/>
    <x:row r="2681" ht="18" customHeight="1"/>
    <x:row r="2682" ht="18" customHeight="1"/>
    <x:row r="2683" ht="18" customHeight="1"/>
    <x:row r="2684" ht="18" customHeight="1"/>
    <x:row r="2685" ht="18" customHeight="1"/>
    <x:row r="2686" ht="18" customHeight="1"/>
    <x:row r="2687" ht="18" customHeight="1"/>
    <x:row r="2688" ht="18" customHeight="1"/>
    <x:row r="2689" ht="18" customHeight="1"/>
    <x:row r="2690" ht="18" customHeight="1"/>
    <x:row r="2691" ht="18" customHeight="1"/>
    <x:row r="2692" ht="18" customHeight="1"/>
    <x:row r="2693" ht="18" customHeight="1"/>
    <x:row r="2694" ht="18" customHeight="1"/>
    <x:row r="2695" ht="18" customHeight="1"/>
    <x:row r="2696" ht="18" customHeight="1"/>
    <x:row r="2697" ht="18" customHeight="1"/>
    <x:row r="2698" ht="18" customHeight="1"/>
    <x:row r="2699" ht="18" customHeight="1"/>
    <x:row r="2700" ht="18" customHeight="1"/>
    <x:row r="2701" ht="18" customHeight="1"/>
    <x:row r="2702" ht="18" customHeight="1"/>
    <x:row r="2703" ht="18" customHeight="1"/>
    <x:row r="2704" ht="18" customHeight="1"/>
    <x:row r="2705" ht="18" customHeight="1"/>
    <x:row r="2706" ht="18" customHeight="1"/>
    <x:row r="2707" ht="18" customHeight="1"/>
    <x:row r="2708" ht="18" customHeight="1"/>
    <x:row r="2709" ht="18" customHeight="1"/>
    <x:row r="2710" ht="18" customHeight="1"/>
    <x:row r="2711" ht="18" customHeight="1"/>
    <x:row r="2712" ht="18" customHeight="1"/>
    <x:row r="2713" ht="18" customHeight="1"/>
    <x:row r="2714" ht="18" customHeight="1"/>
    <x:row r="2715" ht="18" customHeight="1"/>
    <x:row r="2716" ht="18" customHeight="1"/>
    <x:row r="2717" ht="18" customHeight="1"/>
    <x:row r="2718" ht="18" customHeight="1"/>
    <x:row r="2719" ht="18" customHeight="1"/>
    <x:row r="2720" ht="18" customHeight="1"/>
    <x:row r="2721" ht="18" customHeight="1"/>
    <x:row r="2722" ht="18" customHeight="1"/>
    <x:row r="2723" ht="18" customHeight="1"/>
    <x:row r="2724" ht="18" customHeight="1"/>
    <x:row r="2725" ht="18" customHeight="1"/>
    <x:row r="2726" ht="18" customHeight="1"/>
    <x:row r="2727" ht="18" customHeight="1"/>
    <x:row r="2728" ht="18" customHeight="1"/>
    <x:row r="2729" ht="18" customHeight="1"/>
    <x:row r="2730" ht="18" customHeight="1"/>
    <x:row r="2731" ht="18" customHeight="1"/>
    <x:row r="2732" ht="18" customHeight="1"/>
    <x:row r="2733" ht="18" customHeight="1"/>
    <x:row r="2734" ht="18" customHeight="1"/>
    <x:row r="2735" ht="18" customHeight="1"/>
    <x:row r="2736" ht="18" customHeight="1"/>
    <x:row r="2737" ht="18" customHeight="1"/>
    <x:row r="2738" ht="18" customHeight="1"/>
    <x:row r="2739" ht="18" customHeight="1"/>
    <x:row r="2740" ht="18" customHeight="1"/>
    <x:row r="2741" ht="18" customHeight="1"/>
    <x:row r="2742" ht="18" customHeight="1"/>
    <x:row r="2743" ht="18" customHeight="1"/>
    <x:row r="2744" ht="18" customHeight="1"/>
    <x:row r="2745" ht="18" customHeight="1"/>
    <x:row r="2746" ht="18" customHeight="1"/>
    <x:row r="2747" ht="18" customHeight="1"/>
    <x:row r="2748" ht="18" customHeight="1"/>
    <x:row r="2749" ht="18" customHeight="1"/>
    <x:row r="2750" ht="18" customHeight="1"/>
    <x:row r="2751" ht="18" customHeight="1"/>
    <x:row r="2752" ht="18" customHeight="1"/>
    <x:row r="2753" ht="18" customHeight="1"/>
    <x:row r="2754" ht="18" customHeight="1"/>
    <x:row r="2755" ht="18" customHeight="1"/>
    <x:row r="2756" ht="18" customHeight="1"/>
    <x:row r="2757" ht="18" customHeight="1"/>
    <x:row r="2758" ht="18" customHeight="1"/>
    <x:row r="2759" ht="18" customHeight="1"/>
    <x:row r="2760" ht="18" customHeight="1"/>
    <x:row r="2761" ht="18" customHeight="1"/>
    <x:row r="2762" ht="18" customHeight="1"/>
    <x:row r="2763" ht="18" customHeight="1"/>
    <x:row r="2764" ht="18" customHeight="1"/>
    <x:row r="2765" ht="18" customHeight="1"/>
    <x:row r="2766" ht="18" customHeight="1"/>
    <x:row r="2767" ht="18" customHeight="1"/>
    <x:row r="2768" ht="18" customHeight="1"/>
    <x:row r="2769" ht="18" customHeight="1"/>
    <x:row r="2770" ht="18" customHeight="1"/>
    <x:row r="2771" ht="18" customHeight="1"/>
    <x:row r="2772" ht="18" customHeight="1"/>
    <x:row r="2773" ht="18" customHeight="1"/>
    <x:row r="2774" ht="18" customHeight="1"/>
    <x:row r="2775" ht="18" customHeight="1"/>
    <x:row r="2776" ht="18" customHeight="1"/>
    <x:row r="2777" ht="18" customHeight="1"/>
    <x:row r="2778" ht="18" customHeight="1"/>
    <x:row r="2779" ht="18" customHeight="1"/>
    <x:row r="2780" ht="18" customHeight="1"/>
    <x:row r="2781" ht="18" customHeight="1"/>
    <x:row r="2782" ht="18" customHeight="1"/>
    <x:row r="2783" ht="18" customHeight="1"/>
    <x:row r="2784" ht="18" customHeight="1"/>
    <x:row r="2785" ht="18" customHeight="1"/>
    <x:row r="2786" ht="18" customHeight="1"/>
    <x:row r="2787" ht="18" customHeight="1"/>
    <x:row r="2788" ht="18" customHeight="1"/>
    <x:row r="2789" ht="18" customHeight="1"/>
    <x:row r="2790" ht="18" customHeight="1"/>
    <x:row r="2791" ht="18" customHeight="1"/>
    <x:row r="2792" ht="18" customHeight="1"/>
    <x:row r="2793" ht="18" customHeight="1"/>
    <x:row r="2794" ht="18" customHeight="1"/>
    <x:row r="2795" ht="18" customHeight="1"/>
    <x:row r="2796" ht="18" customHeight="1"/>
    <x:row r="2797" ht="18" customHeight="1"/>
    <x:row r="2798" ht="18" customHeight="1"/>
    <x:row r="2799" ht="18" customHeight="1"/>
    <x:row r="2800" ht="18" customHeight="1"/>
    <x:row r="2801" ht="18" customHeight="1"/>
    <x:row r="2802" ht="18" customHeight="1"/>
    <x:row r="2803" ht="18" customHeight="1"/>
    <x:row r="2804" ht="18" customHeight="1"/>
    <x:row r="2805" ht="18" customHeight="1"/>
    <x:row r="2806" ht="18" customHeight="1"/>
    <x:row r="2807" ht="18" customHeight="1"/>
    <x:row r="2808" ht="18" customHeight="1"/>
    <x:row r="2809" ht="18" customHeight="1"/>
    <x:row r="2810" ht="18" customHeight="1"/>
    <x:row r="2811" ht="18" customHeight="1"/>
    <x:row r="2812" ht="18" customHeight="1"/>
    <x:row r="2813" ht="18" customHeight="1"/>
    <x:row r="2814" ht="18" customHeight="1"/>
    <x:row r="2815" ht="18" customHeight="1"/>
    <x:row r="2816" ht="18" customHeight="1"/>
    <x:row r="2817" ht="18" customHeight="1"/>
    <x:row r="2818" ht="18" customHeight="1"/>
    <x:row r="2819" ht="18" customHeight="1"/>
    <x:row r="2820" ht="18" customHeight="1"/>
    <x:row r="2821" ht="18" customHeight="1"/>
    <x:row r="2822" ht="18" customHeight="1"/>
    <x:row r="2823" ht="18" customHeight="1"/>
    <x:row r="2824" ht="18" customHeight="1"/>
    <x:row r="2825" ht="18" customHeight="1"/>
    <x:row r="2826" ht="18" customHeight="1"/>
    <x:row r="2827" ht="18" customHeight="1"/>
    <x:row r="2828" ht="18" customHeight="1"/>
    <x:row r="2829" ht="18" customHeight="1"/>
    <x:row r="2830" ht="18" customHeight="1"/>
    <x:row r="2831" ht="18" customHeight="1"/>
    <x:row r="2832" ht="18" customHeight="1"/>
    <x:row r="2833" ht="18" customHeight="1"/>
    <x:row r="2834" ht="18" customHeight="1"/>
    <x:row r="2835" ht="18" customHeight="1"/>
    <x:row r="2836" ht="18" customHeight="1"/>
    <x:row r="2837" ht="18" customHeight="1"/>
    <x:row r="2838" ht="18" customHeight="1"/>
    <x:row r="2839" ht="18" customHeight="1"/>
    <x:row r="2840" ht="18" customHeight="1"/>
    <x:row r="2841" ht="18" customHeight="1"/>
    <x:row r="2842" ht="18" customHeight="1"/>
    <x:row r="2843" ht="18" customHeight="1"/>
    <x:row r="2844" ht="18" customHeight="1"/>
    <x:row r="2845" ht="18" customHeight="1"/>
    <x:row r="2846" ht="18" customHeight="1"/>
    <x:row r="2847" ht="18" customHeight="1"/>
    <x:row r="2848" ht="18" customHeight="1"/>
    <x:row r="2849" ht="18" customHeight="1"/>
    <x:row r="2850" ht="18" customHeight="1"/>
    <x:row r="2851" ht="18" customHeight="1"/>
    <x:row r="2852" ht="18" customHeight="1"/>
    <x:row r="2853" ht="18" customHeight="1"/>
    <x:row r="2854" ht="18" customHeight="1"/>
    <x:row r="2855" ht="18" customHeight="1"/>
    <x:row r="2856" ht="18" customHeight="1"/>
    <x:row r="2857" ht="18" customHeight="1"/>
    <x:row r="2858" ht="18" customHeight="1"/>
    <x:row r="2859" ht="18" customHeight="1"/>
    <x:row r="2860" ht="18" customHeight="1"/>
    <x:row r="2861" ht="18" customHeight="1"/>
    <x:row r="2862" ht="18" customHeight="1"/>
    <x:row r="2863" ht="18" customHeight="1"/>
    <x:row r="2864" ht="18" customHeight="1"/>
    <x:row r="2865" ht="18" customHeight="1"/>
    <x:row r="2866" ht="18" customHeight="1"/>
    <x:row r="2867" ht="18" customHeight="1"/>
    <x:row r="2868" ht="18" customHeight="1"/>
    <x:row r="2869" ht="18" customHeight="1"/>
    <x:row r="2870" ht="18" customHeight="1"/>
    <x:row r="2871" ht="18" customHeight="1"/>
    <x:row r="2872" ht="18" customHeight="1"/>
    <x:row r="2873" ht="18" customHeight="1"/>
    <x:row r="2874" ht="18" customHeight="1"/>
    <x:row r="2875" ht="18" customHeight="1"/>
    <x:row r="2876" ht="18" customHeight="1"/>
    <x:row r="2877" ht="18" customHeight="1"/>
    <x:row r="2878" ht="18" customHeight="1"/>
    <x:row r="2879" ht="18" customHeight="1"/>
    <x:row r="2880" ht="18" customHeight="1"/>
    <x:row r="2881" ht="18" customHeight="1"/>
    <x:row r="2882" ht="18" customHeight="1"/>
    <x:row r="2883" ht="18" customHeight="1"/>
    <x:row r="2884" ht="18" customHeight="1"/>
    <x:row r="2885" ht="18" customHeight="1"/>
    <x:row r="2886" ht="18" customHeight="1"/>
    <x:row r="2887" ht="18" customHeight="1"/>
    <x:row r="2888" ht="18" customHeight="1"/>
    <x:row r="2889" ht="18" customHeight="1"/>
    <x:row r="2890" ht="18" customHeight="1"/>
    <x:row r="2891" ht="18" customHeight="1"/>
    <x:row r="2892" ht="18" customHeight="1"/>
    <x:row r="2893" ht="18" customHeight="1"/>
    <x:row r="2894" ht="18" customHeight="1"/>
    <x:row r="2895" ht="18" customHeight="1"/>
    <x:row r="2896" ht="18" customHeight="1"/>
    <x:row r="2897" ht="18" customHeight="1"/>
    <x:row r="2898" ht="18" customHeight="1"/>
    <x:row r="2899" ht="18" customHeight="1"/>
    <x:row r="2900" ht="18" customHeight="1"/>
    <x:row r="2901" ht="18" customHeight="1"/>
    <x:row r="2902" ht="18" customHeight="1"/>
    <x:row r="2903" ht="18" customHeight="1"/>
    <x:row r="2904" ht="18" customHeight="1"/>
    <x:row r="2905" ht="18" customHeight="1"/>
    <x:row r="2906" ht="18" customHeight="1"/>
    <x:row r="2907" ht="18" customHeight="1"/>
    <x:row r="2908" ht="18" customHeight="1"/>
    <x:row r="2909" ht="18" customHeight="1"/>
    <x:row r="2910" ht="18" customHeight="1"/>
    <x:row r="2911" ht="18" customHeight="1"/>
    <x:row r="2912" ht="18" customHeight="1"/>
    <x:row r="2913" ht="18" customHeight="1"/>
    <x:row r="2914" ht="18" customHeight="1"/>
    <x:row r="2915" ht="18" customHeight="1"/>
    <x:row r="2916" ht="18" customHeight="1"/>
    <x:row r="2917" ht="18" customHeight="1"/>
    <x:row r="2918" ht="18" customHeight="1"/>
    <x:row r="2919" ht="18" customHeight="1"/>
    <x:row r="2920" ht="18" customHeight="1"/>
    <x:row r="2921" ht="18" customHeight="1"/>
    <x:row r="2922" ht="18" customHeight="1"/>
    <x:row r="2923" ht="18" customHeight="1"/>
    <x:row r="2924" ht="18" customHeight="1"/>
    <x:row r="2925" ht="18" customHeight="1"/>
    <x:row r="2926" ht="18" customHeight="1"/>
    <x:row r="2927" ht="18" customHeight="1"/>
    <x:row r="2928" ht="18" customHeight="1"/>
    <x:row r="2929" ht="18" customHeight="1"/>
    <x:row r="2930" ht="18" customHeight="1"/>
    <x:row r="2931" ht="18" customHeight="1"/>
    <x:row r="2932" ht="18" customHeight="1"/>
    <x:row r="2933" ht="18" customHeight="1"/>
    <x:row r="2934" ht="18" customHeight="1"/>
    <x:row r="2935" ht="18" customHeight="1"/>
    <x:row r="2936" ht="18" customHeight="1"/>
    <x:row r="2937" ht="18" customHeight="1"/>
    <x:row r="2938" ht="18" customHeight="1"/>
    <x:row r="2939" ht="18" customHeight="1"/>
    <x:row r="2940" ht="18" customHeight="1"/>
    <x:row r="2941" ht="18" customHeight="1"/>
    <x:row r="2942" ht="18" customHeight="1"/>
    <x:row r="2943" ht="18" customHeight="1"/>
    <x:row r="2944" ht="18" customHeight="1"/>
    <x:row r="2945" ht="18" customHeight="1"/>
    <x:row r="2946" ht="18" customHeight="1"/>
    <x:row r="2947" ht="18" customHeight="1"/>
    <x:row r="2948" ht="18" customHeight="1"/>
    <x:row r="2949" ht="18" customHeight="1"/>
    <x:row r="2950" ht="18" customHeight="1"/>
    <x:row r="2951" ht="18" customHeight="1"/>
    <x:row r="2952" ht="18" customHeight="1"/>
    <x:row r="2953" ht="18" customHeight="1"/>
    <x:row r="2954" ht="18" customHeight="1"/>
    <x:row r="2955" ht="18" customHeight="1"/>
    <x:row r="2956" ht="18" customHeight="1"/>
    <x:row r="2957" ht="18" customHeight="1"/>
    <x:row r="2958" ht="18" customHeight="1"/>
    <x:row r="2959" ht="18" customHeight="1"/>
    <x:row r="2960" ht="18" customHeight="1"/>
    <x:row r="2961" ht="18" customHeight="1"/>
    <x:row r="2962" ht="18" customHeight="1"/>
    <x:row r="2963" ht="18" customHeight="1"/>
    <x:row r="2964" ht="18" customHeight="1"/>
    <x:row r="2965" ht="18" customHeight="1"/>
    <x:row r="2966" ht="18" customHeight="1"/>
    <x:row r="2967" ht="18" customHeight="1"/>
    <x:row r="2968" ht="18" customHeight="1"/>
    <x:row r="2969" ht="18" customHeight="1"/>
    <x:row r="2970" ht="18" customHeight="1"/>
    <x:row r="2971" ht="18" customHeight="1"/>
    <x:row r="2972" ht="18" customHeight="1"/>
    <x:row r="2973" ht="18" customHeight="1"/>
    <x:row r="2974" ht="18" customHeight="1"/>
    <x:row r="2975" ht="18" customHeight="1"/>
    <x:row r="2976" ht="18" customHeight="1"/>
    <x:row r="2977" ht="18" customHeight="1"/>
    <x:row r="2978" ht="18" customHeight="1"/>
    <x:row r="2979" ht="18" customHeight="1"/>
    <x:row r="2980" ht="18" customHeight="1"/>
    <x:row r="2981" ht="18" customHeight="1"/>
    <x:row r="2982" ht="18" customHeight="1"/>
    <x:row r="2983" ht="18" customHeight="1"/>
    <x:row r="2984" ht="18" customHeight="1"/>
    <x:row r="2985" ht="18" customHeight="1"/>
    <x:row r="2986" ht="18" customHeight="1"/>
    <x:row r="2987" ht="18" customHeight="1"/>
    <x:row r="2988" ht="18" customHeight="1"/>
    <x:row r="2989" ht="18" customHeight="1"/>
    <x:row r="2990" ht="18" customHeight="1"/>
    <x:row r="2991" ht="18" customHeight="1"/>
    <x:row r="2992" ht="18" customHeight="1"/>
    <x:row r="2993" ht="18" customHeight="1"/>
    <x:row r="2994" ht="18" customHeight="1"/>
    <x:row r="2995" ht="18" customHeight="1"/>
    <x:row r="2996" ht="18" customHeight="1"/>
    <x:row r="2997" ht="18" customHeight="1"/>
    <x:row r="2998" ht="18" customHeight="1"/>
    <x:row r="2999" ht="18" customHeight="1"/>
    <x:row r="3000" ht="18" customHeight="1"/>
    <x:row r="3001" ht="18" customHeight="1"/>
    <x:row r="3002" ht="18" customHeight="1"/>
    <x:row r="3003" ht="18" customHeight="1"/>
    <x:row r="3004" ht="18" customHeight="1"/>
    <x:row r="3005" ht="18" customHeight="1"/>
    <x:row r="3006" ht="18" customHeight="1"/>
    <x:row r="3007" ht="18" customHeight="1"/>
    <x:row r="3008" ht="18" customHeight="1"/>
    <x:row r="3009" ht="18" customHeight="1"/>
    <x:row r="3010" ht="18" customHeight="1"/>
    <x:row r="3011" ht="18" customHeight="1"/>
    <x:row r="3012" ht="18" customHeight="1"/>
    <x:row r="3013" ht="18" customHeight="1"/>
    <x:row r="3014" ht="18" customHeight="1"/>
    <x:row r="3015" ht="18" customHeight="1"/>
    <x:row r="3016" ht="18" customHeight="1"/>
    <x:row r="3017" ht="18" customHeight="1"/>
    <x:row r="3018" ht="18" customHeight="1"/>
    <x:row r="3019" ht="18" customHeight="1"/>
    <x:row r="3020" ht="18" customHeight="1"/>
    <x:row r="3021" ht="18" customHeight="1"/>
    <x:row r="3022" ht="18" customHeight="1"/>
    <x:row r="3023" ht="18" customHeight="1"/>
    <x:row r="3024" ht="18" customHeight="1"/>
    <x:row r="3025" ht="18" customHeight="1"/>
    <x:row r="3026" ht="18" customHeight="1"/>
    <x:row r="3027" ht="18" customHeight="1"/>
    <x:row r="3028" ht="18" customHeight="1"/>
    <x:row r="3029" ht="18" customHeight="1"/>
    <x:row r="3030" ht="18" customHeight="1"/>
    <x:row r="3031" ht="18" customHeight="1"/>
    <x:row r="3032" ht="18" customHeight="1"/>
    <x:row r="3033" ht="18" customHeight="1"/>
    <x:row r="3034" ht="18" customHeight="1"/>
    <x:row r="3035" ht="18" customHeight="1"/>
    <x:row r="3036" ht="18" customHeight="1"/>
    <x:row r="3037" ht="18" customHeight="1"/>
    <x:row r="3038" ht="18" customHeight="1"/>
    <x:row r="3039" ht="18" customHeight="1"/>
    <x:row r="3040" ht="18" customHeight="1"/>
    <x:row r="3041" ht="18" customHeight="1"/>
    <x:row r="3042" ht="18" customHeight="1"/>
    <x:row r="3043" ht="18" customHeight="1"/>
    <x:row r="3044" ht="18" customHeight="1"/>
    <x:row r="3045" ht="18" customHeight="1"/>
    <x:row r="3046" ht="18" customHeight="1"/>
    <x:row r="3047" ht="18" customHeight="1"/>
    <x:row r="3048" ht="18" customHeight="1"/>
    <x:row r="3049" ht="18" customHeight="1"/>
    <x:row r="3050" ht="18" customHeight="1"/>
    <x:row r="3051" ht="18" customHeight="1"/>
    <x:row r="3052" ht="18" customHeight="1"/>
    <x:row r="3053" ht="18" customHeight="1"/>
    <x:row r="3054" ht="18" customHeight="1"/>
    <x:row r="3055" ht="18" customHeight="1"/>
    <x:row r="3056" ht="18" customHeight="1"/>
    <x:row r="3057" ht="18" customHeight="1"/>
    <x:row r="3058" ht="18" customHeight="1"/>
    <x:row r="3059" ht="18" customHeight="1"/>
    <x:row r="3060" ht="18" customHeight="1"/>
    <x:row r="3061" ht="18" customHeight="1"/>
    <x:row r="3062" ht="18" customHeight="1"/>
    <x:row r="3063" ht="18" customHeight="1"/>
    <x:row r="3064" ht="18" customHeight="1"/>
    <x:row r="3065" ht="18" customHeight="1"/>
    <x:row r="3066" ht="18" customHeight="1"/>
    <x:row r="3067" ht="18" customHeight="1"/>
    <x:row r="3068" ht="18" customHeight="1"/>
    <x:row r="3069" ht="18" customHeight="1"/>
    <x:row r="3070" ht="18" customHeight="1"/>
    <x:row r="3071" ht="18" customHeight="1"/>
    <x:row r="3072" ht="18" customHeight="1"/>
    <x:row r="3073" ht="18" customHeight="1"/>
    <x:row r="3074" ht="18" customHeight="1"/>
    <x:row r="3075" ht="18" customHeight="1"/>
    <x:row r="3076" ht="18" customHeight="1"/>
    <x:row r="3077" ht="18" customHeight="1"/>
    <x:row r="3078" ht="18" customHeight="1"/>
    <x:row r="3079" ht="18" customHeight="1"/>
    <x:row r="3080" ht="18" customHeight="1"/>
    <x:row r="3081" ht="18" customHeight="1"/>
    <x:row r="3082" ht="18" customHeight="1"/>
    <x:row r="3083" ht="18" customHeight="1"/>
    <x:row r="3084" ht="18" customHeight="1"/>
    <x:row r="3085" ht="18" customHeight="1"/>
    <x:row r="3086" ht="18" customHeight="1"/>
    <x:row r="3087" ht="18" customHeight="1"/>
    <x:row r="3088" ht="18" customHeight="1"/>
    <x:row r="3089" ht="18" customHeight="1"/>
    <x:row r="3090" ht="18" customHeight="1"/>
    <x:row r="3091" ht="18" customHeight="1"/>
    <x:row r="3092" ht="18" customHeight="1"/>
    <x:row r="3093" ht="18" customHeight="1"/>
    <x:row r="3094" ht="18" customHeight="1"/>
    <x:row r="3095" ht="18" customHeight="1"/>
    <x:row r="3096" ht="18" customHeight="1"/>
    <x:row r="3097" ht="18" customHeight="1"/>
    <x:row r="3098" ht="18" customHeight="1"/>
    <x:row r="3099" ht="18" customHeight="1"/>
    <x:row r="3100" ht="18" customHeight="1"/>
    <x:row r="3101" ht="18" customHeight="1"/>
    <x:row r="3102" ht="18" customHeight="1"/>
    <x:row r="3103" ht="18" customHeight="1"/>
    <x:row r="3104" ht="18" customHeight="1"/>
    <x:row r="3105" ht="18" customHeight="1"/>
    <x:row r="3106" ht="18" customHeight="1"/>
    <x:row r="3107" ht="18" customHeight="1"/>
    <x:row r="3108" ht="18" customHeight="1"/>
    <x:row r="3109" ht="18" customHeight="1"/>
    <x:row r="3110" ht="18" customHeight="1"/>
    <x:row r="3111" ht="18" customHeight="1"/>
    <x:row r="3112" ht="18" customHeight="1"/>
    <x:row r="3113" ht="18" customHeight="1"/>
    <x:row r="3114" ht="18" customHeight="1"/>
    <x:row r="3115" ht="18" customHeight="1"/>
    <x:row r="3116" ht="18" customHeight="1"/>
    <x:row r="3117" ht="18" customHeight="1"/>
    <x:row r="3118" ht="18" customHeight="1"/>
    <x:row r="3119" ht="18" customHeight="1"/>
    <x:row r="3120" ht="18" customHeight="1"/>
    <x:row r="3121" ht="18" customHeight="1"/>
    <x:row r="3122" ht="18" customHeight="1"/>
    <x:row r="3123" ht="18" customHeight="1"/>
    <x:row r="3124" ht="18" customHeight="1"/>
    <x:row r="3125" ht="18" customHeight="1"/>
    <x:row r="3126" ht="18" customHeight="1"/>
    <x:row r="3127" ht="18" customHeight="1"/>
    <x:row r="3128" ht="18" customHeight="1"/>
    <x:row r="3129" ht="18" customHeight="1"/>
    <x:row r="3130" ht="18" customHeight="1"/>
    <x:row r="3131" ht="18" customHeight="1"/>
    <x:row r="3132" ht="18" customHeight="1"/>
    <x:row r="3133" ht="18" customHeight="1"/>
    <x:row r="3134" ht="18" customHeight="1"/>
    <x:row r="3135" ht="18" customHeight="1"/>
    <x:row r="3136" ht="18" customHeight="1"/>
    <x:row r="3137" ht="18" customHeight="1"/>
    <x:row r="3138" ht="18" customHeight="1"/>
    <x:row r="3139" ht="18" customHeight="1"/>
    <x:row r="3140" ht="18" customHeight="1"/>
    <x:row r="3141" ht="18" customHeight="1"/>
    <x:row r="3142" ht="18" customHeight="1"/>
    <x:row r="3143" ht="18" customHeight="1"/>
    <x:row r="3144" ht="18" customHeight="1"/>
    <x:row r="3145" ht="18" customHeight="1"/>
    <x:row r="3146" ht="18" customHeight="1"/>
    <x:row r="3147" ht="18" customHeight="1"/>
    <x:row r="3148" ht="18" customHeight="1"/>
    <x:row r="3149" ht="18" customHeight="1"/>
    <x:row r="3150" ht="18" customHeight="1"/>
    <x:row r="3151" ht="18" customHeight="1"/>
    <x:row r="3152" ht="18" customHeight="1"/>
    <x:row r="3153" ht="18" customHeight="1"/>
    <x:row r="3154" ht="18" customHeight="1"/>
    <x:row r="3155" ht="18" customHeight="1"/>
    <x:row r="3156" ht="18" customHeight="1"/>
    <x:row r="3157" ht="18" customHeight="1"/>
    <x:row r="3158" ht="18" customHeight="1"/>
    <x:row r="3159" ht="18" customHeight="1"/>
    <x:row r="3160" ht="18" customHeight="1"/>
    <x:row r="3161" ht="18" customHeight="1"/>
    <x:row r="3162" ht="18" customHeight="1"/>
    <x:row r="3163" ht="18" customHeight="1"/>
    <x:row r="3164" ht="18" customHeight="1"/>
    <x:row r="3165" ht="18" customHeight="1"/>
    <x:row r="3166" ht="18" customHeight="1"/>
    <x:row r="3167" ht="18" customHeight="1"/>
    <x:row r="3168" ht="18" customHeight="1"/>
    <x:row r="3169" ht="18" customHeight="1"/>
    <x:row r="3170" ht="18" customHeight="1"/>
    <x:row r="3171" ht="18" customHeight="1"/>
    <x:row r="3172" ht="18" customHeight="1"/>
    <x:row r="3173" ht="18" customHeight="1"/>
    <x:row r="3174" ht="18" customHeight="1"/>
    <x:row r="3175" ht="18" customHeight="1"/>
    <x:row r="3176" ht="18" customHeight="1"/>
    <x:row r="3177" ht="18" customHeight="1"/>
    <x:row r="3178" ht="18" customHeight="1"/>
    <x:row r="3179" ht="18" customHeight="1"/>
    <x:row r="3180" ht="18" customHeight="1"/>
    <x:row r="3181" ht="18" customHeight="1"/>
    <x:row r="3182" ht="18" customHeight="1"/>
    <x:row r="3183" ht="18" customHeight="1"/>
    <x:row r="3184" ht="18" customHeight="1"/>
    <x:row r="3185" ht="18" customHeight="1"/>
    <x:row r="3186" ht="18" customHeight="1"/>
    <x:row r="3187" ht="18" customHeight="1"/>
    <x:row r="3188" ht="18" customHeight="1"/>
    <x:row r="3189" ht="18" customHeight="1"/>
    <x:row r="3190" ht="18" customHeight="1"/>
    <x:row r="3191" ht="18" customHeight="1"/>
    <x:row r="3192" ht="18" customHeight="1"/>
    <x:row r="3193" ht="18" customHeight="1"/>
    <x:row r="3194" ht="18" customHeight="1"/>
    <x:row r="3195" ht="18" customHeight="1"/>
    <x:row r="3196" ht="18" customHeight="1"/>
    <x:row r="3197" ht="18" customHeight="1"/>
    <x:row r="3198" ht="18" customHeight="1"/>
    <x:row r="3199" ht="18" customHeight="1"/>
    <x:row r="3200" ht="18" customHeight="1"/>
    <x:row r="3201" ht="18" customHeight="1"/>
    <x:row r="3202" ht="18" customHeight="1"/>
    <x:row r="3203" ht="18" customHeight="1"/>
    <x:row r="3204" ht="18" customHeight="1"/>
    <x:row r="3205" ht="18" customHeight="1"/>
    <x:row r="3206" ht="18" customHeight="1"/>
    <x:row r="3207" ht="18" customHeight="1"/>
    <x:row r="3208" ht="18" customHeight="1"/>
    <x:row r="3209" ht="18" customHeight="1"/>
    <x:row r="3210" ht="18" customHeight="1"/>
    <x:row r="3211" ht="18" customHeight="1"/>
    <x:row r="3212" ht="18" customHeight="1"/>
    <x:row r="3213" ht="18" customHeight="1"/>
    <x:row r="3214" ht="18" customHeight="1"/>
    <x:row r="3215" ht="18" customHeight="1"/>
    <x:row r="3216" ht="18" customHeight="1"/>
    <x:row r="3217" ht="18" customHeight="1"/>
    <x:row r="3218" ht="18" customHeight="1"/>
    <x:row r="3219" ht="18" customHeight="1"/>
    <x:row r="3220" ht="18" customHeight="1"/>
    <x:row r="3221" ht="18" customHeight="1"/>
    <x:row r="3222" ht="18" customHeight="1"/>
    <x:row r="3223" ht="18" customHeight="1"/>
    <x:row r="3224" ht="18" customHeight="1"/>
    <x:row r="3225" ht="18" customHeight="1"/>
    <x:row r="3226" ht="18" customHeight="1"/>
    <x:row r="3227" ht="18" customHeight="1"/>
    <x:row r="3228" ht="18" customHeight="1"/>
    <x:row r="3229" ht="18" customHeight="1"/>
    <x:row r="3230" ht="18" customHeight="1"/>
    <x:row r="3231" ht="18" customHeight="1"/>
    <x:row r="3232" ht="18" customHeight="1"/>
    <x:row r="3233" ht="18" customHeight="1"/>
    <x:row r="3234" ht="18" customHeight="1"/>
    <x:row r="3235" ht="18" customHeight="1"/>
    <x:row r="3236" ht="18" customHeight="1"/>
    <x:row r="3237" ht="18" customHeight="1"/>
    <x:row r="3238" ht="18" customHeight="1"/>
    <x:row r="3239" ht="18" customHeight="1"/>
    <x:row r="3240" ht="18" customHeight="1"/>
    <x:row r="3241" ht="18" customHeight="1"/>
    <x:row r="3242" ht="18" customHeight="1"/>
    <x:row r="3243" ht="18" customHeight="1"/>
    <x:row r="3244" ht="18" customHeight="1"/>
    <x:row r="3245" ht="18" customHeight="1"/>
    <x:row r="3246" ht="18" customHeight="1"/>
    <x:row r="3247" ht="18" customHeight="1"/>
    <x:row r="3248" ht="18" customHeight="1"/>
    <x:row r="3249" ht="18" customHeight="1"/>
    <x:row r="3250" ht="18" customHeight="1"/>
    <x:row r="3251" ht="18" customHeight="1"/>
    <x:row r="3252" ht="18" customHeight="1"/>
    <x:row r="3253" ht="18" customHeight="1"/>
    <x:row r="3254" ht="18" customHeight="1"/>
    <x:row r="3255" ht="18" customHeight="1"/>
    <x:row r="3256" ht="18" customHeight="1"/>
    <x:row r="3257" ht="18" customHeight="1"/>
    <x:row r="3258" ht="18" customHeight="1"/>
    <x:row r="3259" ht="18" customHeight="1"/>
    <x:row r="3260" ht="18" customHeight="1"/>
    <x:row r="3261" ht="18" customHeight="1"/>
    <x:row r="3262" ht="18" customHeight="1"/>
    <x:row r="3263" ht="18" customHeight="1"/>
    <x:row r="3264" ht="18" customHeight="1"/>
    <x:row r="3265" ht="18" customHeight="1"/>
    <x:row r="3266" ht="18" customHeight="1"/>
    <x:row r="3267" ht="18" customHeight="1"/>
    <x:row r="3268" ht="18" customHeight="1"/>
    <x:row r="3269" ht="18" customHeight="1"/>
    <x:row r="3270" ht="18" customHeight="1"/>
    <x:row r="3271" ht="18" customHeight="1"/>
    <x:row r="3272" ht="18" customHeight="1"/>
    <x:row r="3273" ht="18" customHeight="1"/>
    <x:row r="3274" ht="18" customHeight="1"/>
    <x:row r="3275" ht="18" customHeight="1"/>
    <x:row r="3276" ht="18" customHeight="1"/>
    <x:row r="3277" ht="18" customHeight="1"/>
    <x:row r="3278" ht="18" customHeight="1"/>
    <x:row r="3279" ht="18" customHeight="1"/>
    <x:row r="3280" ht="18" customHeight="1"/>
    <x:row r="3281" ht="18" customHeight="1"/>
    <x:row r="3282" ht="18" customHeight="1"/>
    <x:row r="3283" ht="18" customHeight="1"/>
    <x:row r="3284" ht="18" customHeight="1"/>
    <x:row r="3285" ht="18" customHeight="1"/>
    <x:row r="3286" ht="18" customHeight="1"/>
    <x:row r="3287" ht="18" customHeight="1"/>
    <x:row r="3288" ht="18" customHeight="1"/>
    <x:row r="3289" ht="18" customHeight="1"/>
    <x:row r="3290" ht="18" customHeight="1"/>
    <x:row r="3291" ht="18" customHeight="1"/>
    <x:row r="3292" ht="18" customHeight="1"/>
    <x:row r="3293" ht="18" customHeight="1"/>
    <x:row r="3294" ht="18" customHeight="1"/>
    <x:row r="3295" ht="18" customHeight="1"/>
    <x:row r="3296" ht="18" customHeight="1"/>
    <x:row r="3297" ht="18" customHeight="1"/>
    <x:row r="3298" ht="18" customHeight="1"/>
    <x:row r="3299" ht="18" customHeight="1"/>
    <x:row r="3300" ht="18" customHeight="1"/>
    <x:row r="3301" ht="18" customHeight="1"/>
    <x:row r="3302" ht="18" customHeight="1"/>
    <x:row r="3303" ht="18" customHeight="1"/>
    <x:row r="3304" ht="18" customHeight="1"/>
    <x:row r="3305" ht="18" customHeight="1"/>
    <x:row r="3306" ht="18" customHeight="1"/>
    <x:row r="3307" ht="18" customHeight="1"/>
    <x:row r="3308" ht="18" customHeight="1"/>
    <x:row r="3309" ht="18" customHeight="1"/>
    <x:row r="3310" ht="18" customHeight="1"/>
    <x:row r="3311" ht="18" customHeight="1"/>
    <x:row r="3312" ht="18" customHeight="1"/>
    <x:row r="3313" ht="18" customHeight="1"/>
    <x:row r="3314" ht="18" customHeight="1"/>
    <x:row r="3315" ht="18" customHeight="1"/>
    <x:row r="3316" ht="18" customHeight="1"/>
    <x:row r="3317" ht="18" customHeight="1"/>
    <x:row r="3318" ht="18" customHeight="1"/>
    <x:row r="3319" ht="18" customHeight="1"/>
    <x:row r="3320" ht="18" customHeight="1"/>
    <x:row r="3321" ht="18" customHeight="1"/>
    <x:row r="3322" ht="18" customHeight="1"/>
    <x:row r="3323" ht="18" customHeight="1"/>
    <x:row r="3324" ht="18" customHeight="1"/>
    <x:row r="3325" ht="18" customHeight="1"/>
    <x:row r="3326" ht="18" customHeight="1"/>
    <x:row r="3327" ht="18" customHeight="1"/>
    <x:row r="3328" ht="18" customHeight="1"/>
    <x:row r="3329" ht="18" customHeight="1"/>
    <x:row r="3330" ht="18" customHeight="1"/>
    <x:row r="3331" ht="18" customHeight="1"/>
    <x:row r="3332" ht="18" customHeight="1"/>
    <x:row r="3333" ht="18" customHeight="1"/>
    <x:row r="3334" ht="18" customHeight="1"/>
    <x:row r="3335" ht="18" customHeight="1"/>
    <x:row r="3336" ht="18" customHeight="1"/>
    <x:row r="3337" ht="18" customHeight="1"/>
    <x:row r="3338" ht="18" customHeight="1"/>
    <x:row r="3339" ht="18" customHeight="1"/>
    <x:row r="3340" ht="18" customHeight="1"/>
    <x:row r="3341" ht="18" customHeight="1"/>
    <x:row r="3342" ht="18" customHeight="1"/>
    <x:row r="3343" ht="18" customHeight="1"/>
    <x:row r="3344" ht="18" customHeight="1"/>
    <x:row r="3345" ht="18" customHeight="1"/>
    <x:row r="3346" ht="18" customHeight="1"/>
    <x:row r="3347" ht="18" customHeight="1"/>
    <x:row r="3348" ht="18" customHeight="1"/>
    <x:row r="3349" ht="18" customHeight="1"/>
    <x:row r="3350" ht="18" customHeight="1"/>
    <x:row r="3351" ht="18" customHeight="1"/>
    <x:row r="3352" ht="18" customHeight="1"/>
    <x:row r="3353" ht="18" customHeight="1"/>
    <x:row r="3354" ht="18" customHeight="1"/>
    <x:row r="3355" ht="18" customHeight="1"/>
    <x:row r="3356" ht="18" customHeight="1"/>
    <x:row r="3357" ht="18" customHeight="1"/>
    <x:row r="3358" ht="18" customHeight="1"/>
    <x:row r="3359" ht="18" customHeight="1"/>
    <x:row r="3360" ht="18" customHeight="1"/>
    <x:row r="3361" ht="18" customHeight="1"/>
    <x:row r="3362" ht="18" customHeight="1"/>
    <x:row r="3363" ht="18" customHeight="1"/>
    <x:row r="3364" ht="18" customHeight="1"/>
    <x:row r="3365" ht="18" customHeight="1"/>
    <x:row r="3366" ht="18" customHeight="1"/>
    <x:row r="3367" ht="18" customHeight="1"/>
    <x:row r="3368" ht="18" customHeight="1"/>
    <x:row r="3369" ht="18" customHeight="1"/>
    <x:row r="3370" ht="18" customHeight="1"/>
    <x:row r="3371" ht="18" customHeight="1"/>
    <x:row r="3372" ht="18" customHeight="1"/>
    <x:row r="3373" ht="18" customHeight="1"/>
    <x:row r="3374" ht="18" customHeight="1"/>
    <x:row r="3375" ht="18" customHeight="1"/>
    <x:row r="3376" ht="18" customHeight="1"/>
    <x:row r="3377" ht="18" customHeight="1"/>
    <x:row r="3378" ht="18" customHeight="1"/>
    <x:row r="3379" ht="18" customHeight="1"/>
    <x:row r="3380" ht="18" customHeight="1"/>
    <x:row r="3381" ht="18" customHeight="1"/>
    <x:row r="3382" ht="18" customHeight="1"/>
    <x:row r="3383" ht="18" customHeight="1"/>
    <x:row r="3384" ht="18" customHeight="1"/>
    <x:row r="3385" ht="18" customHeight="1"/>
    <x:row r="3386" ht="18" customHeight="1"/>
    <x:row r="3387" ht="18" customHeight="1"/>
    <x:row r="3388" ht="18" customHeight="1"/>
    <x:row r="3389" ht="18" customHeight="1"/>
    <x:row r="3390" ht="18" customHeight="1"/>
    <x:row r="3391" ht="18" customHeight="1"/>
    <x:row r="3392" ht="18" customHeight="1"/>
    <x:row r="3393" ht="18" customHeight="1"/>
    <x:row r="3394" ht="18" customHeight="1"/>
    <x:row r="3395" ht="18" customHeight="1"/>
    <x:row r="3396" ht="18" customHeight="1"/>
    <x:row r="3397" ht="18" customHeight="1"/>
    <x:row r="3398" ht="18" customHeight="1"/>
    <x:row r="3399" ht="18" customHeight="1"/>
    <x:row r="3400" ht="18" customHeight="1"/>
    <x:row r="3401" ht="18" customHeight="1"/>
    <x:row r="3402" ht="18" customHeight="1"/>
    <x:row r="3403" ht="18" customHeight="1"/>
    <x:row r="3404" ht="18" customHeight="1"/>
    <x:row r="3405" ht="18" customHeight="1"/>
    <x:row r="3406" ht="18" customHeight="1"/>
    <x:row r="3407" ht="18" customHeight="1"/>
    <x:row r="3408" ht="18" customHeight="1"/>
    <x:row r="3409" ht="18" customHeight="1"/>
    <x:row r="3410" ht="18" customHeight="1"/>
    <x:row r="3411" ht="18" customHeight="1"/>
    <x:row r="3412" ht="18" customHeight="1"/>
    <x:row r="3413" ht="18" customHeight="1"/>
    <x:row r="3414" ht="18" customHeight="1"/>
    <x:row r="3415" ht="18" customHeight="1"/>
    <x:row r="3416" ht="18" customHeight="1"/>
    <x:row r="3417" ht="18" customHeight="1"/>
    <x:row r="3418" ht="18" customHeight="1"/>
    <x:row r="3419" ht="18" customHeight="1"/>
    <x:row r="3420" ht="18" customHeight="1"/>
    <x:row r="3421" ht="18" customHeight="1"/>
    <x:row r="3422" ht="18" customHeight="1"/>
    <x:row r="3423" ht="18" customHeight="1"/>
    <x:row r="3424" ht="18" customHeight="1"/>
    <x:row r="3425" ht="18" customHeight="1"/>
    <x:row r="3426" ht="18" customHeight="1"/>
    <x:row r="3427" ht="18" customHeight="1"/>
    <x:row r="3428" ht="18" customHeight="1"/>
    <x:row r="3429" ht="18" customHeight="1"/>
    <x:row r="3430" ht="18" customHeight="1"/>
    <x:row r="3431" ht="18" customHeight="1"/>
    <x:row r="3432" ht="18" customHeight="1"/>
    <x:row r="3433" ht="18" customHeight="1"/>
    <x:row r="3434" ht="18" customHeight="1"/>
    <x:row r="3435" ht="18" customHeight="1"/>
    <x:row r="3436" ht="18" customHeight="1"/>
    <x:row r="3437" ht="18" customHeight="1"/>
    <x:row r="3438" ht="18" customHeight="1"/>
    <x:row r="3439" ht="18" customHeight="1"/>
    <x:row r="3440" ht="18" customHeight="1"/>
    <x:row r="3441" ht="18" customHeight="1"/>
    <x:row r="3442" ht="18" customHeight="1"/>
    <x:row r="3443" ht="18" customHeight="1"/>
    <x:row r="3444" ht="18" customHeight="1"/>
    <x:row r="3445" ht="18" customHeight="1"/>
    <x:row r="3446" ht="18" customHeight="1"/>
    <x:row r="3447" ht="18" customHeight="1"/>
    <x:row r="3448" ht="18" customHeight="1"/>
    <x:row r="3449" ht="18" customHeight="1"/>
    <x:row r="3450" ht="18" customHeight="1"/>
    <x:row r="3451" ht="18" customHeight="1"/>
    <x:row r="3452" ht="18" customHeight="1"/>
    <x:row r="3453" ht="18" customHeight="1"/>
    <x:row r="3454" ht="18" customHeight="1"/>
    <x:row r="3455" ht="18" customHeight="1"/>
    <x:row r="3456" ht="18" customHeight="1"/>
    <x:row r="3457" ht="18" customHeight="1"/>
    <x:row r="3458" ht="18" customHeight="1"/>
    <x:row r="3459" ht="18" customHeight="1"/>
    <x:row r="3460" ht="18" customHeight="1"/>
    <x:row r="3461" ht="18" customHeight="1"/>
    <x:row r="3462" ht="18" customHeight="1"/>
    <x:row r="3463" ht="18" customHeight="1"/>
    <x:row r="3464" ht="18" customHeight="1"/>
    <x:row r="3465" ht="18" customHeight="1"/>
    <x:row r="3466" ht="18" customHeight="1"/>
    <x:row r="3467" ht="18" customHeight="1"/>
    <x:row r="3468" ht="18" customHeight="1"/>
    <x:row r="3469" ht="18" customHeight="1"/>
    <x:row r="3470" ht="18" customHeight="1"/>
    <x:row r="3471" ht="18" customHeight="1"/>
    <x:row r="3472" ht="18" customHeight="1"/>
    <x:row r="3473" ht="18" customHeight="1"/>
    <x:row r="3474" ht="18" customHeight="1"/>
    <x:row r="3475" ht="18" customHeight="1"/>
    <x:row r="3476" ht="18" customHeight="1"/>
    <x:row r="3477" ht="18" customHeight="1"/>
    <x:row r="3478" ht="18" customHeight="1"/>
    <x:row r="3479" ht="18" customHeight="1"/>
    <x:row r="3480" ht="18" customHeight="1"/>
    <x:row r="3481" ht="18" customHeight="1"/>
    <x:row r="3482" ht="18" customHeight="1"/>
    <x:row r="3483" ht="18" customHeight="1"/>
    <x:row r="3484" ht="18" customHeight="1"/>
    <x:row r="3485" ht="18" customHeight="1"/>
    <x:row r="3486" ht="18" customHeight="1"/>
    <x:row r="3487" ht="18" customHeight="1"/>
    <x:row r="3488" ht="18" customHeight="1"/>
    <x:row r="3489" ht="18" customHeight="1"/>
    <x:row r="3490" ht="18" customHeight="1"/>
    <x:row r="3491" ht="18" customHeight="1"/>
    <x:row r="3492" ht="18" customHeight="1"/>
    <x:row r="3493" ht="18" customHeight="1"/>
    <x:row r="3494" ht="18" customHeight="1"/>
    <x:row r="3495" ht="18" customHeight="1"/>
    <x:row r="3496" ht="18" customHeight="1"/>
    <x:row r="3497" ht="18" customHeight="1"/>
    <x:row r="3498" ht="18" customHeight="1"/>
    <x:row r="3499" ht="18" customHeight="1"/>
    <x:row r="3500" ht="18" customHeight="1"/>
    <x:row r="3501" ht="18" customHeight="1"/>
    <x:row r="3502" ht="18" customHeight="1"/>
    <x:row r="3503" ht="18" customHeight="1"/>
    <x:row r="3504" ht="18" customHeight="1"/>
    <x:row r="3505" ht="18" customHeight="1"/>
    <x:row r="3506" ht="18" customHeight="1"/>
    <x:row r="3507" ht="18" customHeight="1"/>
    <x:row r="3508" ht="18" customHeight="1"/>
    <x:row r="3509" ht="18" customHeight="1"/>
    <x:row r="3510" ht="18" customHeight="1"/>
    <x:row r="3511" ht="18" customHeight="1"/>
    <x:row r="3512" ht="18" customHeight="1"/>
    <x:row r="3513" ht="18" customHeight="1"/>
    <x:row r="3514" ht="18" customHeight="1"/>
    <x:row r="3515" ht="18" customHeight="1"/>
    <x:row r="3516" ht="18" customHeight="1"/>
    <x:row r="3517" ht="18" customHeight="1"/>
    <x:row r="3518" ht="18" customHeight="1"/>
    <x:row r="3519" ht="18" customHeight="1"/>
    <x:row r="3520" ht="18" customHeight="1"/>
    <x:row r="3521" ht="18" customHeight="1"/>
    <x:row r="3522" ht="18" customHeight="1"/>
    <x:row r="3523" ht="18" customHeight="1"/>
    <x:row r="3524" ht="18" customHeight="1"/>
    <x:row r="3525" ht="18" customHeight="1"/>
    <x:row r="3526" ht="18" customHeight="1"/>
    <x:row r="3527" ht="18" customHeight="1"/>
    <x:row r="3528" ht="18" customHeight="1"/>
    <x:row r="3529" ht="18" customHeight="1"/>
    <x:row r="3530" ht="18" customHeight="1"/>
    <x:row r="3531" ht="18" customHeight="1"/>
    <x:row r="3532" ht="18" customHeight="1"/>
    <x:row r="3533" ht="18" customHeight="1"/>
    <x:row r="3534" ht="18" customHeight="1"/>
    <x:row r="3535" ht="18" customHeight="1"/>
    <x:row r="3536" ht="18" customHeight="1"/>
    <x:row r="3537" ht="18" customHeight="1"/>
    <x:row r="3538" ht="18" customHeight="1"/>
    <x:row r="3539" ht="18" customHeight="1"/>
    <x:row r="3540" ht="18" customHeight="1"/>
    <x:row r="3541" ht="18" customHeight="1"/>
    <x:row r="3542" ht="18" customHeight="1"/>
    <x:row r="3543" ht="18" customHeight="1"/>
    <x:row r="3544" ht="18" customHeight="1"/>
    <x:row r="3545" ht="18" customHeight="1"/>
    <x:row r="3546" ht="18" customHeight="1"/>
    <x:row r="3547" ht="18" customHeight="1"/>
    <x:row r="3548" ht="18" customHeight="1"/>
    <x:row r="3549" ht="18" customHeight="1"/>
    <x:row r="3550" ht="18" customHeight="1"/>
    <x:row r="3551" ht="18" customHeight="1"/>
    <x:row r="3552" ht="18" customHeight="1"/>
    <x:row r="3553" ht="18" customHeight="1"/>
    <x:row r="3554" ht="18" customHeight="1"/>
    <x:row r="3555" ht="18" customHeight="1"/>
    <x:row r="3556" ht="18" customHeight="1"/>
    <x:row r="3557" ht="18" customHeight="1"/>
    <x:row r="3558" ht="18" customHeight="1"/>
    <x:row r="3559" ht="18" customHeight="1"/>
    <x:row r="3560" ht="18" customHeight="1"/>
    <x:row r="3561" ht="18" customHeight="1"/>
    <x:row r="3562" ht="18" customHeight="1"/>
    <x:row r="3563" ht="18" customHeight="1"/>
    <x:row r="3564" ht="18" customHeight="1"/>
    <x:row r="3565" ht="18" customHeight="1"/>
    <x:row r="3566" ht="18" customHeight="1"/>
    <x:row r="3567" ht="18" customHeight="1"/>
    <x:row r="3568" ht="18" customHeight="1"/>
    <x:row r="3569" ht="18" customHeight="1"/>
    <x:row r="3570" ht="18" customHeight="1"/>
    <x:row r="3571" ht="18" customHeight="1"/>
    <x:row r="3572" ht="18" customHeight="1"/>
    <x:row r="3573" ht="18" customHeight="1"/>
    <x:row r="3574" ht="18" customHeight="1"/>
    <x:row r="3575" ht="18" customHeight="1"/>
    <x:row r="3576" ht="18" customHeight="1"/>
    <x:row r="3577" ht="18" customHeight="1"/>
    <x:row r="3578" ht="18" customHeight="1"/>
    <x:row r="3579" ht="18" customHeight="1"/>
    <x:row r="3580" ht="18" customHeight="1"/>
    <x:row r="3581" ht="18" customHeight="1"/>
    <x:row r="3582" ht="18" customHeight="1"/>
    <x:row r="3583" ht="18" customHeight="1"/>
    <x:row r="3584" ht="18" customHeight="1"/>
    <x:row r="3585" ht="18" customHeight="1"/>
    <x:row r="3586" ht="18" customHeight="1"/>
    <x:row r="3587" ht="18" customHeight="1"/>
    <x:row r="3588" ht="18" customHeight="1"/>
    <x:row r="3589" ht="18" customHeight="1"/>
    <x:row r="3590" ht="18" customHeight="1"/>
    <x:row r="3591" ht="18" customHeight="1"/>
    <x:row r="3592" ht="18" customHeight="1"/>
    <x:row r="3593" ht="18" customHeight="1"/>
    <x:row r="3594" ht="18" customHeight="1"/>
    <x:row r="3595" ht="18" customHeight="1"/>
    <x:row r="3596" ht="18" customHeight="1"/>
    <x:row r="3597" ht="18" customHeight="1"/>
    <x:row r="3598" ht="18" customHeight="1"/>
    <x:row r="3599" ht="18" customHeight="1"/>
    <x:row r="3600" ht="18" customHeight="1"/>
    <x:row r="3601" ht="18" customHeight="1"/>
    <x:row r="3602" ht="18" customHeight="1"/>
    <x:row r="3603" ht="18" customHeight="1"/>
    <x:row r="3604" ht="18" customHeight="1"/>
    <x:row r="3605" ht="18" customHeight="1"/>
    <x:row r="3606" ht="18" customHeight="1"/>
    <x:row r="3607" ht="18" customHeight="1"/>
    <x:row r="3608" ht="18" customHeight="1"/>
    <x:row r="3609" ht="18" customHeight="1"/>
    <x:row r="3610" ht="18" customHeight="1"/>
    <x:row r="3611" ht="18" customHeight="1"/>
    <x:row r="3612" ht="18" customHeight="1"/>
    <x:row r="3613" ht="18" customHeight="1"/>
    <x:row r="3614" ht="18" customHeight="1"/>
    <x:row r="3615" ht="18" customHeight="1"/>
    <x:row r="3616" ht="18" customHeight="1"/>
    <x:row r="3617" ht="18" customHeight="1"/>
    <x:row r="3618" ht="18" customHeight="1"/>
    <x:row r="3619" ht="18" customHeight="1"/>
    <x:row r="3620" ht="18" customHeight="1"/>
    <x:row r="3621" ht="18" customHeight="1"/>
    <x:row r="3622" ht="18" customHeight="1"/>
    <x:row r="3623" ht="18" customHeight="1"/>
    <x:row r="3624" ht="18" customHeight="1"/>
    <x:row r="3625" ht="18" customHeight="1"/>
    <x:row r="3626" ht="18" customHeight="1"/>
    <x:row r="3627" ht="18" customHeight="1"/>
    <x:row r="3628" ht="18" customHeight="1"/>
    <x:row r="3629" ht="18" customHeight="1"/>
    <x:row r="3630" ht="18" customHeight="1"/>
    <x:row r="3631" ht="18" customHeight="1"/>
    <x:row r="3632" ht="18" customHeight="1"/>
    <x:row r="3633" ht="18" customHeight="1"/>
    <x:row r="3634" ht="18" customHeight="1"/>
    <x:row r="3635" ht="18" customHeight="1"/>
    <x:row r="3636" ht="18" customHeight="1"/>
    <x:row r="3637" ht="18" customHeight="1"/>
    <x:row r="3638" ht="18" customHeight="1"/>
    <x:row r="3639" ht="18" customHeight="1"/>
    <x:row r="3640" ht="18" customHeight="1"/>
    <x:row r="3641" ht="18" customHeight="1"/>
    <x:row r="3642" ht="18" customHeight="1"/>
    <x:row r="3643" ht="18" customHeight="1"/>
    <x:row r="3644" ht="18" customHeight="1"/>
    <x:row r="3645" ht="18" customHeight="1"/>
    <x:row r="3646" ht="18" customHeight="1"/>
    <x:row r="3647" ht="18" customHeight="1"/>
    <x:row r="3648" ht="18" customHeight="1"/>
    <x:row r="3649" ht="18" customHeight="1"/>
    <x:row r="3650" ht="18" customHeight="1"/>
    <x:row r="3651" ht="18" customHeight="1"/>
    <x:row r="3652" ht="18" customHeight="1"/>
    <x:row r="3653" ht="18" customHeight="1"/>
    <x:row r="3654" ht="18" customHeight="1"/>
    <x:row r="3655" ht="18" customHeight="1"/>
    <x:row r="3656" ht="18" customHeight="1"/>
    <x:row r="3657" ht="18" customHeight="1"/>
    <x:row r="3658" ht="18" customHeight="1"/>
    <x:row r="3659" ht="18" customHeight="1"/>
    <x:row r="3660" ht="18" customHeight="1"/>
    <x:row r="3661" ht="18" customHeight="1"/>
    <x:row r="3662" ht="18" customHeight="1"/>
    <x:row r="3663" ht="18" customHeight="1"/>
    <x:row r="3664" ht="18" customHeight="1"/>
    <x:row r="3665" ht="18" customHeight="1"/>
    <x:row r="3666" ht="18" customHeight="1"/>
    <x:row r="3667" ht="18" customHeight="1"/>
    <x:row r="3668" ht="18" customHeight="1"/>
    <x:row r="3669" ht="18" customHeight="1"/>
    <x:row r="3670" ht="18" customHeight="1"/>
    <x:row r="3671" ht="18" customHeight="1"/>
    <x:row r="3672" ht="18" customHeight="1"/>
    <x:row r="3673" ht="18" customHeight="1"/>
    <x:row r="3674" ht="18" customHeight="1"/>
    <x:row r="3675" ht="18" customHeight="1"/>
    <x:row r="3676" ht="18" customHeight="1"/>
    <x:row r="3677" ht="18" customHeight="1"/>
    <x:row r="3678" ht="18" customHeight="1"/>
    <x:row r="3679" ht="18" customHeight="1"/>
    <x:row r="3680" ht="18" customHeight="1"/>
    <x:row r="3681" ht="18" customHeight="1"/>
    <x:row r="3682" ht="18" customHeight="1"/>
    <x:row r="3683" ht="18" customHeight="1"/>
    <x:row r="3684" ht="18" customHeight="1"/>
    <x:row r="3685" ht="18" customHeight="1"/>
    <x:row r="3686" ht="18" customHeight="1"/>
    <x:row r="3687" ht="18" customHeight="1"/>
    <x:row r="3688" ht="18" customHeight="1"/>
    <x:row r="3689" ht="18" customHeight="1"/>
    <x:row r="3690" ht="18" customHeight="1"/>
    <x:row r="3691" ht="18" customHeight="1"/>
    <x:row r="3692" ht="18" customHeight="1"/>
    <x:row r="3693" ht="18" customHeight="1"/>
    <x:row r="3694" ht="18" customHeight="1"/>
    <x:row r="3695" ht="18" customHeight="1"/>
    <x:row r="3696" ht="18" customHeight="1"/>
    <x:row r="3697" ht="18" customHeight="1"/>
    <x:row r="3698" ht="18" customHeight="1"/>
    <x:row r="3699" ht="18" customHeight="1"/>
    <x:row r="3700" ht="18" customHeight="1"/>
    <x:row r="3701" ht="18" customHeight="1"/>
    <x:row r="3702" ht="18" customHeight="1"/>
    <x:row r="3703" ht="18" customHeight="1"/>
    <x:row r="3704" ht="18" customHeight="1"/>
    <x:row r="3705" ht="18" customHeight="1"/>
    <x:row r="3706" ht="18" customHeight="1"/>
    <x:row r="3707" ht="18" customHeight="1"/>
    <x:row r="3708" ht="18" customHeight="1"/>
    <x:row r="3709" ht="18" customHeight="1"/>
    <x:row r="3710" ht="18" customHeight="1"/>
    <x:row r="3711" ht="18" customHeight="1"/>
    <x:row r="3712" ht="18" customHeight="1"/>
    <x:row r="3713" ht="18" customHeight="1"/>
    <x:row r="3714" ht="18" customHeight="1"/>
    <x:row r="3715" ht="18" customHeight="1"/>
    <x:row r="3716" ht="18" customHeight="1"/>
    <x:row r="3717" ht="18" customHeight="1"/>
    <x:row r="3718" ht="18" customHeight="1"/>
    <x:row r="3719" ht="18" customHeight="1"/>
    <x:row r="3720" ht="18" customHeight="1"/>
    <x:row r="3721" ht="18" customHeight="1"/>
    <x:row r="3722" ht="18" customHeight="1"/>
    <x:row r="3723" ht="18" customHeight="1"/>
    <x:row r="3724" ht="18" customHeight="1"/>
    <x:row r="3725" ht="18" customHeight="1"/>
    <x:row r="3726" ht="18" customHeight="1"/>
    <x:row r="3727" ht="18" customHeight="1"/>
    <x:row r="3728" ht="18" customHeight="1"/>
    <x:row r="3729" ht="18" customHeight="1"/>
    <x:row r="3730" ht="18" customHeight="1"/>
    <x:row r="3731" ht="18" customHeight="1"/>
    <x:row r="3732" ht="18" customHeight="1"/>
    <x:row r="3733" ht="18" customHeight="1"/>
    <x:row r="3734" ht="18" customHeight="1"/>
    <x:row r="3735" ht="18" customHeight="1"/>
    <x:row r="3736" ht="18" customHeight="1"/>
    <x:row r="3737" ht="18" customHeight="1"/>
    <x:row r="3738" ht="18" customHeight="1"/>
    <x:row r="3739" ht="18" customHeight="1"/>
    <x:row r="3740" ht="18" customHeight="1"/>
    <x:row r="3741" ht="18" customHeight="1"/>
    <x:row r="3742" ht="18" customHeight="1"/>
    <x:row r="3743" ht="18" customHeight="1"/>
    <x:row r="3744" ht="18" customHeight="1"/>
    <x:row r="3745" ht="18" customHeight="1"/>
    <x:row r="3746" ht="18" customHeight="1"/>
    <x:row r="3747" ht="18" customHeight="1"/>
    <x:row r="3748" ht="18" customHeight="1"/>
    <x:row r="3749" ht="18" customHeight="1"/>
    <x:row r="3750" ht="18" customHeight="1"/>
    <x:row r="3751" ht="18" customHeight="1"/>
    <x:row r="3752" ht="18" customHeight="1"/>
    <x:row r="3753" ht="18" customHeight="1"/>
    <x:row r="3754" ht="18" customHeight="1"/>
    <x:row r="3755" ht="18" customHeight="1"/>
    <x:row r="3756" ht="18" customHeight="1"/>
    <x:row r="3757" ht="18" customHeight="1"/>
    <x:row r="3758" ht="18" customHeight="1"/>
    <x:row r="3759" ht="18" customHeight="1"/>
    <x:row r="3760" ht="18" customHeight="1"/>
    <x:row r="3761" ht="18" customHeight="1"/>
    <x:row r="3762" ht="18" customHeight="1"/>
    <x:row r="3763" ht="18" customHeight="1"/>
    <x:row r="3764" ht="18" customHeight="1"/>
    <x:row r="3765" ht="18" customHeight="1"/>
    <x:row r="3766" ht="18" customHeight="1"/>
    <x:row r="3767" ht="18" customHeight="1"/>
    <x:row r="3768" ht="18" customHeight="1"/>
    <x:row r="3769" ht="18" customHeight="1"/>
    <x:row r="3770" ht="18" customHeight="1"/>
    <x:row r="3771" ht="18" customHeight="1"/>
    <x:row r="3772" ht="18" customHeight="1"/>
    <x:row r="3773" ht="18" customHeight="1"/>
    <x:row r="3774" ht="18" customHeight="1"/>
    <x:row r="3775" ht="18" customHeight="1"/>
    <x:row r="3776" ht="18" customHeight="1"/>
    <x:row r="3777" ht="18" customHeight="1"/>
    <x:row r="3778" ht="18" customHeight="1"/>
    <x:row r="3779" ht="18" customHeight="1"/>
    <x:row r="3780" ht="18" customHeight="1"/>
    <x:row r="3781" ht="18" customHeight="1"/>
    <x:row r="3782" ht="18" customHeight="1"/>
    <x:row r="3783" ht="18" customHeight="1"/>
    <x:row r="3784" ht="18" customHeight="1"/>
    <x:row r="3785" ht="18" customHeight="1"/>
    <x:row r="3786" ht="18" customHeight="1"/>
    <x:row r="3787" ht="18" customHeight="1"/>
    <x:row r="3788" ht="18" customHeight="1"/>
    <x:row r="3789" ht="18" customHeight="1"/>
    <x:row r="3790" ht="18" customHeight="1"/>
    <x:row r="3791" ht="18" customHeight="1"/>
    <x:row r="3792" ht="18" customHeight="1"/>
    <x:row r="3793" ht="18" customHeight="1"/>
    <x:row r="3794" ht="18" customHeight="1"/>
    <x:row r="3795" ht="18" customHeight="1"/>
    <x:row r="3796" ht="18" customHeight="1"/>
    <x:row r="3797" ht="18" customHeight="1"/>
    <x:row r="3798" ht="18" customHeight="1"/>
    <x:row r="3799" ht="18" customHeight="1"/>
    <x:row r="3800" ht="18" customHeight="1"/>
    <x:row r="3801" ht="18" customHeight="1"/>
    <x:row r="3802" ht="18" customHeight="1"/>
    <x:row r="3803" ht="18" customHeight="1"/>
    <x:row r="3804" ht="18" customHeight="1"/>
    <x:row r="3805" ht="18" customHeight="1"/>
    <x:row r="3806" ht="18" customHeight="1"/>
    <x:row r="3807" ht="18" customHeight="1"/>
    <x:row r="3808" ht="18" customHeight="1"/>
    <x:row r="3809" ht="18" customHeight="1"/>
    <x:row r="3810" ht="18" customHeight="1"/>
    <x:row r="3811" ht="18" customHeight="1"/>
    <x:row r="3812" ht="18" customHeight="1"/>
    <x:row r="3813" ht="18" customHeight="1"/>
    <x:row r="3814" ht="18" customHeight="1"/>
    <x:row r="3815" ht="18" customHeight="1"/>
    <x:row r="3816" ht="18" customHeight="1"/>
    <x:row r="3817" ht="18" customHeight="1"/>
    <x:row r="3818" ht="18" customHeight="1"/>
    <x:row r="3819" ht="18" customHeight="1"/>
    <x:row r="3820" ht="18" customHeight="1"/>
    <x:row r="3821" ht="18" customHeight="1"/>
    <x:row r="3822" ht="18" customHeight="1"/>
    <x:row r="3823" ht="18" customHeight="1"/>
    <x:row r="3824" ht="18" customHeight="1"/>
    <x:row r="3825" ht="18" customHeight="1"/>
    <x:row r="3826" ht="18" customHeight="1"/>
    <x:row r="3827" ht="18" customHeight="1"/>
    <x:row r="3828" ht="18" customHeight="1"/>
    <x:row r="3829" ht="18" customHeight="1"/>
    <x:row r="3830" ht="18" customHeight="1"/>
    <x:row r="3831" ht="18" customHeight="1"/>
    <x:row r="3832" ht="18" customHeight="1"/>
    <x:row r="3833" ht="18" customHeight="1"/>
    <x:row r="3834" ht="18" customHeight="1"/>
    <x:row r="3835" ht="18" customHeight="1"/>
    <x:row r="3836" ht="18" customHeight="1"/>
    <x:row r="3837" ht="18" customHeight="1"/>
    <x:row r="3838" ht="18" customHeight="1"/>
    <x:row r="3839" ht="18" customHeight="1"/>
    <x:row r="3840" ht="18" customHeight="1"/>
    <x:row r="3841" ht="18" customHeight="1"/>
    <x:row r="3842" ht="18" customHeight="1"/>
    <x:row r="3843" ht="18" customHeight="1"/>
    <x:row r="3844" ht="18" customHeight="1"/>
    <x:row r="3845" ht="18" customHeight="1"/>
    <x:row r="3846" ht="18" customHeight="1"/>
    <x:row r="3847" ht="18" customHeight="1"/>
    <x:row r="3848" ht="18" customHeight="1"/>
    <x:row r="3849" ht="18" customHeight="1"/>
    <x:row r="3850" ht="18" customHeight="1"/>
    <x:row r="3851" ht="18" customHeight="1"/>
    <x:row r="3852" ht="18" customHeight="1"/>
    <x:row r="3853" ht="18" customHeight="1"/>
    <x:row r="3854" ht="18" customHeight="1"/>
    <x:row r="3855" ht="18" customHeight="1"/>
    <x:row r="3856" ht="18" customHeight="1"/>
    <x:row r="3857" ht="18" customHeight="1"/>
    <x:row r="3858" ht="18" customHeight="1"/>
    <x:row r="3859" ht="18" customHeight="1"/>
    <x:row r="3860" ht="18" customHeight="1"/>
    <x:row r="3861" ht="18" customHeight="1"/>
    <x:row r="3862" ht="18" customHeight="1"/>
    <x:row r="3863" ht="18" customHeight="1"/>
    <x:row r="3864" ht="18" customHeight="1"/>
    <x:row r="3865" ht="18" customHeight="1"/>
    <x:row r="3866" ht="18" customHeight="1"/>
    <x:row r="3867" ht="18" customHeight="1"/>
    <x:row r="3868" ht="18" customHeight="1"/>
    <x:row r="3869" ht="18" customHeight="1"/>
    <x:row r="3870" ht="18" customHeight="1"/>
    <x:row r="3871" ht="18" customHeight="1"/>
    <x:row r="3872" ht="18" customHeight="1"/>
    <x:row r="3873" ht="18" customHeight="1"/>
    <x:row r="3874" ht="18" customHeight="1"/>
    <x:row r="3875" ht="18" customHeight="1"/>
    <x:row r="3876" ht="18" customHeight="1"/>
    <x:row r="3877" ht="18" customHeight="1"/>
    <x:row r="3878" ht="18" customHeight="1"/>
    <x:row r="3879" ht="18" customHeight="1"/>
    <x:row r="3880" ht="18" customHeight="1"/>
    <x:row r="3881" ht="18" customHeight="1"/>
    <x:row r="3882" ht="18" customHeight="1"/>
    <x:row r="3883" ht="18" customHeight="1"/>
    <x:row r="3884" ht="18" customHeight="1"/>
    <x:row r="3885" ht="18" customHeight="1"/>
    <x:row r="3886" ht="18" customHeight="1"/>
    <x:row r="3887" ht="18" customHeight="1"/>
    <x:row r="3888" ht="18" customHeight="1"/>
    <x:row r="3889" ht="18" customHeight="1"/>
    <x:row r="3890" ht="18" customHeight="1"/>
    <x:row r="3891" ht="18" customHeight="1"/>
    <x:row r="3892" ht="18" customHeight="1"/>
    <x:row r="3893" ht="18" customHeight="1"/>
    <x:row r="3894" ht="18" customHeight="1"/>
    <x:row r="3895" ht="18" customHeight="1"/>
    <x:row r="3896" ht="18" customHeight="1"/>
    <x:row r="3897" ht="18" customHeight="1"/>
    <x:row r="3898" ht="18" customHeight="1"/>
    <x:row r="3899" ht="18" customHeight="1"/>
    <x:row r="3900" ht="18" customHeight="1"/>
    <x:row r="3901" ht="18" customHeight="1"/>
    <x:row r="3902" ht="18" customHeight="1"/>
    <x:row r="3903" ht="18" customHeight="1"/>
    <x:row r="3904" ht="18" customHeight="1"/>
    <x:row r="3905" ht="18" customHeight="1"/>
    <x:row r="3906" ht="18" customHeight="1"/>
    <x:row r="3907" ht="18" customHeight="1"/>
    <x:row r="3908" ht="18" customHeight="1"/>
    <x:row r="3909" ht="18" customHeight="1"/>
    <x:row r="3910" ht="18" customHeight="1"/>
    <x:row r="3911" ht="18" customHeight="1"/>
    <x:row r="3912" ht="18" customHeight="1"/>
    <x:row r="3913" ht="18" customHeight="1"/>
    <x:row r="3914" ht="18" customHeight="1"/>
    <x:row r="3915" ht="18" customHeight="1"/>
    <x:row r="3916" ht="18" customHeight="1"/>
    <x:row r="3917" ht="18" customHeight="1"/>
    <x:row r="3918" ht="18" customHeight="1"/>
    <x:row r="3919" ht="18" customHeight="1"/>
    <x:row r="3920" ht="18" customHeight="1"/>
    <x:row r="3921" ht="18" customHeight="1"/>
    <x:row r="3922" ht="18" customHeight="1"/>
    <x:row r="3923" ht="18" customHeight="1"/>
    <x:row r="3924" ht="18" customHeight="1"/>
    <x:row r="3925" ht="18" customHeight="1"/>
    <x:row r="3926" ht="18" customHeight="1"/>
    <x:row r="3927" ht="18" customHeight="1"/>
    <x:row r="3928" ht="18" customHeight="1"/>
    <x:row r="3929" ht="18" customHeight="1"/>
    <x:row r="3930" ht="18" customHeight="1"/>
    <x:row r="3931" ht="18" customHeight="1"/>
    <x:row r="3932" ht="18" customHeight="1"/>
    <x:row r="3933" ht="18" customHeight="1"/>
    <x:row r="3934" ht="18" customHeight="1"/>
    <x:row r="3935" ht="18" customHeight="1"/>
    <x:row r="3936" ht="18" customHeight="1"/>
    <x:row r="3937" ht="18" customHeight="1"/>
    <x:row r="3938" ht="18" customHeight="1"/>
    <x:row r="3939" ht="18" customHeight="1"/>
    <x:row r="3940" ht="18" customHeight="1"/>
    <x:row r="3941" ht="18" customHeight="1"/>
    <x:row r="3942" ht="18" customHeight="1"/>
    <x:row r="3943" ht="18" customHeight="1"/>
    <x:row r="3944" ht="18" customHeight="1"/>
    <x:row r="3945" ht="18" customHeight="1"/>
    <x:row r="3946" ht="18" customHeight="1"/>
    <x:row r="3947" ht="18" customHeight="1"/>
    <x:row r="3948" ht="18" customHeight="1"/>
    <x:row r="3949" ht="18" customHeight="1"/>
    <x:row r="3950" ht="18" customHeight="1"/>
    <x:row r="3951" ht="18" customHeight="1"/>
    <x:row r="3952" ht="18" customHeight="1"/>
    <x:row r="3953" ht="18" customHeight="1"/>
    <x:row r="3954" ht="18" customHeight="1"/>
    <x:row r="3955" ht="18" customHeight="1"/>
    <x:row r="3956" ht="18" customHeight="1"/>
    <x:row r="3957" ht="18" customHeight="1"/>
    <x:row r="3958" ht="18" customHeight="1"/>
    <x:row r="3959" ht="18" customHeight="1"/>
    <x:row r="3960" ht="18" customHeight="1"/>
    <x:row r="3961" ht="18" customHeight="1"/>
    <x:row r="3962" ht="18" customHeight="1"/>
    <x:row r="3963" ht="18" customHeight="1"/>
    <x:row r="3964" ht="18" customHeight="1"/>
    <x:row r="3965" ht="18" customHeight="1"/>
    <x:row r="3966" ht="18" customHeight="1"/>
    <x:row r="3967" ht="18" customHeight="1"/>
    <x:row r="3968" ht="18" customHeight="1"/>
    <x:row r="3969" ht="18" customHeight="1"/>
    <x:row r="3970" ht="18" customHeight="1"/>
    <x:row r="3971" ht="18" customHeight="1"/>
    <x:row r="3972" ht="18" customHeight="1"/>
    <x:row r="3973" ht="18" customHeight="1"/>
    <x:row r="3974" ht="18" customHeight="1"/>
    <x:row r="3975" ht="18" customHeight="1"/>
    <x:row r="3976" ht="18" customHeight="1"/>
    <x:row r="3977" ht="18" customHeight="1"/>
    <x:row r="3978" ht="18" customHeight="1"/>
    <x:row r="3979" ht="18" customHeight="1"/>
    <x:row r="3980" ht="18" customHeight="1"/>
    <x:row r="3981" ht="18" customHeight="1"/>
    <x:row r="3982" ht="18" customHeight="1"/>
    <x:row r="3983" ht="18" customHeight="1"/>
    <x:row r="3984" ht="18" customHeight="1"/>
    <x:row r="3985" ht="18" customHeight="1"/>
    <x:row r="3986" ht="18" customHeight="1"/>
    <x:row r="3987" ht="18" customHeight="1"/>
    <x:row r="3988" ht="18" customHeight="1"/>
    <x:row r="3989" ht="18" customHeight="1"/>
    <x:row r="3990" ht="18" customHeight="1"/>
    <x:row r="3991" ht="18" customHeight="1"/>
    <x:row r="3992" ht="18" customHeight="1"/>
    <x:row r="3993" ht="18" customHeight="1"/>
    <x:row r="3994" ht="18" customHeight="1"/>
    <x:row r="3995" ht="18" customHeight="1"/>
    <x:row r="3996" ht="18" customHeight="1"/>
    <x:row r="3997" ht="18" customHeight="1"/>
    <x:row r="3998" ht="18" customHeight="1"/>
    <x:row r="3999" ht="18" customHeight="1"/>
    <x:row r="4000" ht="18" customHeight="1"/>
    <x:row r="4001" ht="18" customHeight="1"/>
    <x:row r="4002" ht="18" customHeight="1"/>
    <x:row r="4003" ht="18" customHeight="1"/>
    <x:row r="4004" ht="18" customHeight="1"/>
    <x:row r="4005" ht="18" customHeight="1"/>
    <x:row r="4006" ht="18" customHeight="1"/>
    <x:row r="4007" ht="18" customHeight="1"/>
    <x:row r="4008" ht="18" customHeight="1"/>
    <x:row r="4009" ht="18" customHeight="1"/>
    <x:row r="4010" ht="18" customHeight="1"/>
    <x:row r="4011" ht="18" customHeight="1"/>
    <x:row r="4012" ht="18" customHeight="1"/>
    <x:row r="4013" ht="18" customHeight="1"/>
    <x:row r="4014" ht="18" customHeight="1"/>
    <x:row r="4015" ht="18" customHeight="1"/>
    <x:row r="4016" ht="18" customHeight="1"/>
    <x:row r="4017" ht="18" customHeight="1"/>
    <x:row r="4018" ht="18" customHeight="1"/>
    <x:row r="4019" ht="18" customHeight="1"/>
    <x:row r="4020" ht="18" customHeight="1"/>
    <x:row r="4021" ht="18" customHeight="1"/>
    <x:row r="4022" ht="18" customHeight="1"/>
    <x:row r="4023" ht="18" customHeight="1"/>
    <x:row r="4024" ht="18" customHeight="1"/>
    <x:row r="4025" ht="18" customHeight="1"/>
    <x:row r="4026" ht="18" customHeight="1"/>
    <x:row r="4027" ht="18" customHeight="1"/>
    <x:row r="4028" ht="18" customHeight="1"/>
    <x:row r="4029" ht="18" customHeight="1"/>
    <x:row r="4030" ht="18" customHeight="1"/>
    <x:row r="4031" ht="18" customHeight="1"/>
    <x:row r="4032" ht="18" customHeight="1"/>
    <x:row r="4033" ht="18" customHeight="1"/>
    <x:row r="4034" ht="18" customHeight="1"/>
    <x:row r="4035" ht="18" customHeight="1"/>
    <x:row r="4036" ht="18" customHeight="1"/>
    <x:row r="4037" ht="18" customHeight="1"/>
    <x:row r="4038" ht="18" customHeight="1"/>
    <x:row r="4039" ht="18" customHeight="1"/>
    <x:row r="4040" ht="18" customHeight="1"/>
    <x:row r="4041" ht="18" customHeight="1"/>
    <x:row r="4042" ht="18" customHeight="1"/>
    <x:row r="4043" ht="18" customHeight="1"/>
    <x:row r="4044" ht="18" customHeight="1"/>
    <x:row r="4045" ht="18" customHeight="1"/>
    <x:row r="4046" ht="18" customHeight="1"/>
    <x:row r="4047" ht="18" customHeight="1"/>
    <x:row r="4048" ht="18" customHeight="1"/>
    <x:row r="4049" ht="18" customHeight="1"/>
    <x:row r="4050" ht="18" customHeight="1"/>
    <x:row r="4051" ht="18" customHeight="1"/>
    <x:row r="4052" ht="18" customHeight="1"/>
    <x:row r="4053" ht="18" customHeight="1"/>
    <x:row r="4054" ht="18" customHeight="1"/>
    <x:row r="4055" ht="18" customHeight="1"/>
    <x:row r="4056" ht="18" customHeight="1"/>
    <x:row r="4057" ht="18" customHeight="1"/>
    <x:row r="4058" ht="18" customHeight="1"/>
    <x:row r="4059" ht="18" customHeight="1"/>
    <x:row r="4060" ht="18" customHeight="1"/>
    <x:row r="4061" ht="18" customHeight="1"/>
    <x:row r="4062" ht="18" customHeight="1"/>
    <x:row r="4063" ht="18" customHeight="1"/>
    <x:row r="4064" ht="18" customHeight="1"/>
    <x:row r="4065" ht="18" customHeight="1"/>
    <x:row r="4066" ht="18" customHeight="1"/>
    <x:row r="4067" ht="18" customHeight="1"/>
    <x:row r="4068" ht="18" customHeight="1"/>
    <x:row r="4069" ht="18" customHeight="1"/>
    <x:row r="4070" ht="18" customHeight="1"/>
    <x:row r="4071" ht="18" customHeight="1"/>
    <x:row r="4072" ht="18" customHeight="1"/>
    <x:row r="4073" ht="18" customHeight="1"/>
    <x:row r="4074" ht="18" customHeight="1"/>
    <x:row r="4075" ht="18" customHeight="1"/>
    <x:row r="4076" ht="18" customHeight="1"/>
    <x:row r="4077" ht="18" customHeight="1"/>
    <x:row r="4078" ht="18" customHeight="1"/>
    <x:row r="4079" ht="18" customHeight="1"/>
    <x:row r="4080" ht="18" customHeight="1"/>
    <x:row r="4081" ht="18" customHeight="1"/>
    <x:row r="4082" ht="18" customHeight="1"/>
    <x:row r="4083" ht="18" customHeight="1"/>
    <x:row r="4084" ht="18" customHeight="1"/>
    <x:row r="4085" ht="18" customHeight="1"/>
    <x:row r="4086" ht="18" customHeight="1"/>
    <x:row r="4087" ht="18" customHeight="1"/>
    <x:row r="4088" ht="18" customHeight="1"/>
    <x:row r="4089" ht="18" customHeight="1"/>
    <x:row r="4090" ht="18" customHeight="1"/>
    <x:row r="4091" ht="18" customHeight="1"/>
    <x:row r="4092" ht="18" customHeight="1"/>
    <x:row r="4093" ht="18" customHeight="1"/>
    <x:row r="4094" ht="18" customHeight="1"/>
    <x:row r="4095" ht="18" customHeight="1"/>
    <x:row r="4096" ht="18" customHeight="1"/>
    <x:row r="4097" ht="18" customHeight="1"/>
    <x:row r="4098" ht="18" customHeight="1"/>
    <x:row r="4099" ht="18" customHeight="1"/>
    <x:row r="4100" ht="18" customHeight="1"/>
    <x:row r="4101" ht="18" customHeight="1"/>
    <x:row r="4102" ht="18" customHeight="1"/>
    <x:row r="4103" ht="18" customHeight="1"/>
    <x:row r="4104" ht="18" customHeight="1"/>
    <x:row r="4105" ht="18" customHeight="1"/>
    <x:row r="4106" ht="18" customHeight="1"/>
    <x:row r="4107" ht="18" customHeight="1"/>
    <x:row r="4108" ht="18" customHeight="1"/>
    <x:row r="4109" ht="18" customHeight="1"/>
    <x:row r="4110" ht="18" customHeight="1"/>
    <x:row r="4111" ht="18" customHeight="1"/>
    <x:row r="4112" ht="18" customHeight="1"/>
    <x:row r="4113" ht="18" customHeight="1"/>
    <x:row r="4114" ht="18" customHeight="1"/>
    <x:row r="4115" ht="18" customHeight="1"/>
    <x:row r="4116" ht="18" customHeight="1"/>
    <x:row r="4117" ht="18" customHeight="1"/>
    <x:row r="4118" ht="18" customHeight="1"/>
    <x:row r="4119" ht="18" customHeight="1"/>
    <x:row r="4120" ht="18" customHeight="1"/>
    <x:row r="4121" ht="18" customHeight="1"/>
    <x:row r="4122" ht="18" customHeight="1"/>
    <x:row r="4123" ht="18" customHeight="1"/>
    <x:row r="4124" ht="18" customHeight="1"/>
    <x:row r="4125" ht="18" customHeight="1"/>
    <x:row r="4126" ht="18" customHeight="1"/>
    <x:row r="4127" ht="18" customHeight="1"/>
    <x:row r="4128" ht="18" customHeight="1"/>
    <x:row r="4129" ht="18" customHeight="1"/>
    <x:row r="4130" ht="18" customHeight="1"/>
    <x:row r="4131" ht="18" customHeight="1"/>
    <x:row r="4132" ht="18" customHeight="1"/>
    <x:row r="4133" ht="18" customHeight="1"/>
    <x:row r="4134" ht="18" customHeight="1"/>
    <x:row r="4135" ht="18" customHeight="1"/>
    <x:row r="4136" ht="18" customHeight="1"/>
    <x:row r="4137" ht="18" customHeight="1"/>
    <x:row r="4138" ht="18" customHeight="1"/>
    <x:row r="4139" ht="18" customHeight="1"/>
    <x:row r="4140" ht="18" customHeight="1"/>
    <x:row r="4141" ht="18" customHeight="1"/>
    <x:row r="4142" ht="18" customHeight="1"/>
    <x:row r="4143" ht="18" customHeight="1"/>
    <x:row r="4144" ht="18" customHeight="1"/>
    <x:row r="4145" ht="18" customHeight="1"/>
    <x:row r="4146" ht="18" customHeight="1"/>
    <x:row r="4147" ht="18" customHeight="1"/>
    <x:row r="4148" ht="18" customHeight="1"/>
    <x:row r="4149" ht="18" customHeight="1"/>
    <x:row r="4150" ht="18" customHeight="1"/>
    <x:row r="4151" ht="18" customHeight="1"/>
    <x:row r="4152" ht="18" customHeight="1"/>
    <x:row r="4153" ht="18" customHeight="1"/>
    <x:row r="4154" ht="18" customHeight="1"/>
    <x:row r="4155" ht="18" customHeight="1"/>
    <x:row r="4156" ht="18" customHeight="1"/>
    <x:row r="4157" ht="18" customHeight="1"/>
    <x:row r="4158" ht="18" customHeight="1"/>
    <x:row r="4159" ht="18" customHeight="1"/>
    <x:row r="4160" ht="18" customHeight="1"/>
    <x:row r="4161" ht="18" customHeight="1"/>
    <x:row r="4162" ht="18" customHeight="1"/>
    <x:row r="4163" ht="18" customHeight="1"/>
    <x:row r="4164" ht="18" customHeight="1"/>
    <x:row r="4165" ht="18" customHeight="1"/>
    <x:row r="4166" ht="18" customHeight="1"/>
    <x:row r="4167" ht="18" customHeight="1"/>
    <x:row r="4168" ht="18" customHeight="1"/>
    <x:row r="4169" ht="18" customHeight="1"/>
    <x:row r="4170" ht="18" customHeight="1"/>
    <x:row r="4171" ht="18" customHeight="1"/>
    <x:row r="4172" ht="18" customHeight="1"/>
    <x:row r="4173" ht="18" customHeight="1"/>
    <x:row r="4174" ht="18" customHeight="1"/>
    <x:row r="4175" ht="18" customHeight="1"/>
    <x:row r="4176" ht="18" customHeight="1"/>
    <x:row r="4177" ht="18" customHeight="1"/>
    <x:row r="4178" ht="18" customHeight="1"/>
    <x:row r="4179" ht="18" customHeight="1"/>
    <x:row r="4180" ht="18" customHeight="1"/>
    <x:row r="4181" ht="18" customHeight="1"/>
    <x:row r="4182" ht="18" customHeight="1"/>
    <x:row r="4183" ht="18" customHeight="1"/>
    <x:row r="4184" ht="18" customHeight="1"/>
    <x:row r="4185" ht="18" customHeight="1"/>
    <x:row r="4186" ht="18" customHeight="1"/>
    <x:row r="4187" ht="18" customHeight="1"/>
    <x:row r="4188" ht="18" customHeight="1"/>
    <x:row r="4189" ht="18" customHeight="1"/>
    <x:row r="4190" ht="18" customHeight="1"/>
    <x:row r="4191" ht="18" customHeight="1"/>
    <x:row r="4192" ht="18" customHeight="1"/>
    <x:row r="4193" ht="18" customHeight="1"/>
    <x:row r="4194" ht="18" customHeight="1"/>
    <x:row r="4195" ht="18" customHeight="1"/>
    <x:row r="4196" ht="18" customHeight="1"/>
    <x:row r="4197" ht="18" customHeight="1"/>
    <x:row r="4198" ht="18" customHeight="1"/>
    <x:row r="4199" ht="18" customHeight="1"/>
    <x:row r="4200" ht="18" customHeight="1"/>
    <x:row r="4201" ht="18" customHeight="1"/>
    <x:row r="4202" ht="18" customHeight="1"/>
    <x:row r="4203" ht="18" customHeight="1"/>
    <x:row r="4204" ht="18" customHeight="1"/>
    <x:row r="4205" ht="18" customHeight="1"/>
    <x:row r="4206" ht="18" customHeight="1"/>
    <x:row r="4207" ht="18" customHeight="1"/>
    <x:row r="4208" ht="18" customHeight="1"/>
    <x:row r="4209" ht="18" customHeight="1"/>
    <x:row r="4210" ht="18" customHeight="1"/>
    <x:row r="4211" ht="18" customHeight="1"/>
    <x:row r="4212" ht="18" customHeight="1"/>
    <x:row r="4213" ht="18" customHeight="1"/>
    <x:row r="4214" ht="18" customHeight="1"/>
    <x:row r="4215" ht="18" customHeight="1"/>
    <x:row r="4216" ht="18" customHeight="1"/>
    <x:row r="4217" ht="18" customHeight="1"/>
    <x:row r="4218" ht="18" customHeight="1"/>
    <x:row r="4219" ht="18" customHeight="1"/>
    <x:row r="4220" ht="18" customHeight="1"/>
    <x:row r="4221" ht="18" customHeight="1"/>
    <x:row r="4222" ht="18" customHeight="1"/>
    <x:row r="4223" ht="18" customHeight="1"/>
    <x:row r="4224" ht="18" customHeight="1"/>
    <x:row r="4225" ht="18" customHeight="1"/>
    <x:row r="4226" ht="18" customHeight="1"/>
    <x:row r="4227" ht="18" customHeight="1"/>
    <x:row r="4228" ht="18" customHeight="1"/>
    <x:row r="4229" ht="18" customHeight="1"/>
    <x:row r="4230" ht="18" customHeight="1"/>
    <x:row r="4231" ht="18" customHeight="1"/>
    <x:row r="4232" ht="18" customHeight="1"/>
    <x:row r="4233" ht="18" customHeight="1"/>
    <x:row r="4234" ht="18" customHeight="1"/>
    <x:row r="4235" ht="18" customHeight="1"/>
    <x:row r="4236" ht="18" customHeight="1"/>
    <x:row r="4237" ht="18" customHeight="1"/>
    <x:row r="4238" ht="18" customHeight="1"/>
    <x:row r="4239" ht="18" customHeight="1"/>
    <x:row r="4240" ht="18" customHeight="1"/>
    <x:row r="4241" ht="18" customHeight="1"/>
    <x:row r="4242" ht="18" customHeight="1"/>
    <x:row r="4243" ht="18" customHeight="1"/>
    <x:row r="4244" ht="18" customHeight="1"/>
    <x:row r="4245" ht="18" customHeight="1"/>
    <x:row r="4246" ht="18" customHeight="1"/>
    <x:row r="4247" ht="18" customHeight="1"/>
    <x:row r="4248" ht="18" customHeight="1"/>
    <x:row r="4249" ht="18" customHeight="1"/>
    <x:row r="4250" ht="18" customHeight="1"/>
    <x:row r="4251" ht="18" customHeight="1"/>
    <x:row r="4252" ht="18" customHeight="1"/>
    <x:row r="4253" ht="18" customHeight="1"/>
    <x:row r="4254" ht="18" customHeight="1"/>
    <x:row r="4255" ht="18" customHeight="1"/>
    <x:row r="4256" ht="18" customHeight="1"/>
    <x:row r="4257" ht="18" customHeight="1"/>
    <x:row r="4258" ht="18" customHeight="1"/>
    <x:row r="4259" ht="18" customHeight="1"/>
    <x:row r="4260" ht="18" customHeight="1"/>
    <x:row r="4261" ht="18" customHeight="1"/>
    <x:row r="4262" ht="18" customHeight="1"/>
    <x:row r="4263" ht="18" customHeight="1"/>
    <x:row r="4264" ht="18" customHeight="1"/>
    <x:row r="4265" ht="18" customHeight="1"/>
    <x:row r="4266" ht="18" customHeight="1"/>
    <x:row r="4267" ht="18" customHeight="1"/>
    <x:row r="4268" ht="18" customHeight="1"/>
    <x:row r="4269" ht="18" customHeight="1"/>
    <x:row r="4270" ht="18" customHeight="1"/>
    <x:row r="4271" ht="18" customHeight="1"/>
    <x:row r="4272" ht="18" customHeight="1"/>
    <x:row r="4273" ht="18" customHeight="1"/>
    <x:row r="4274" ht="18" customHeight="1"/>
    <x:row r="4275" ht="18" customHeight="1"/>
    <x:row r="4276" ht="18" customHeight="1"/>
    <x:row r="4277" ht="18" customHeight="1"/>
    <x:row r="4278" ht="18" customHeight="1"/>
    <x:row r="4279" ht="18" customHeight="1"/>
    <x:row r="4280" ht="18" customHeight="1"/>
    <x:row r="4281" ht="18" customHeight="1"/>
    <x:row r="4282" ht="18" customHeight="1"/>
    <x:row r="4283" ht="18" customHeight="1"/>
    <x:row r="4284" ht="18" customHeight="1"/>
    <x:row r="4285" ht="18" customHeight="1"/>
    <x:row r="4286" ht="18" customHeight="1"/>
    <x:row r="4287" ht="18" customHeight="1"/>
    <x:row r="4288" ht="18" customHeight="1"/>
    <x:row r="4289" ht="18" customHeight="1"/>
    <x:row r="4290" ht="18" customHeight="1"/>
    <x:row r="4291" ht="18" customHeight="1"/>
    <x:row r="4292" ht="18" customHeight="1"/>
    <x:row r="4293" ht="18" customHeight="1"/>
    <x:row r="4294" ht="18" customHeight="1"/>
    <x:row r="4295" ht="18" customHeight="1"/>
    <x:row r="4296" ht="18" customHeight="1"/>
    <x:row r="4297" ht="18" customHeight="1"/>
    <x:row r="4298" ht="18" customHeight="1"/>
    <x:row r="4299" ht="18" customHeight="1"/>
    <x:row r="4300" ht="18" customHeight="1"/>
    <x:row r="4301" ht="18" customHeight="1"/>
    <x:row r="4302" ht="18" customHeight="1"/>
    <x:row r="4303" ht="18" customHeight="1"/>
    <x:row r="4304" ht="18" customHeight="1"/>
    <x:row r="4305" ht="18" customHeight="1"/>
    <x:row r="4306" ht="18" customHeight="1"/>
    <x:row r="4307" ht="18" customHeight="1"/>
    <x:row r="4308" ht="18" customHeight="1"/>
    <x:row r="4309" ht="18" customHeight="1"/>
    <x:row r="4310" ht="18" customHeight="1"/>
    <x:row r="4311" ht="18" customHeight="1"/>
    <x:row r="4312" ht="18" customHeight="1"/>
    <x:row r="4313" ht="18" customHeight="1"/>
    <x:row r="4314" ht="18" customHeight="1"/>
    <x:row r="4315" ht="18" customHeight="1"/>
    <x:row r="4316" ht="18" customHeight="1"/>
    <x:row r="4317" ht="18" customHeight="1"/>
    <x:row r="4318" ht="18" customHeight="1"/>
    <x:row r="4319" ht="18" customHeight="1"/>
    <x:row r="4320" ht="18" customHeight="1"/>
    <x:row r="4321" ht="18" customHeight="1"/>
    <x:row r="4322" ht="18" customHeight="1"/>
    <x:row r="4323" ht="18" customHeight="1"/>
    <x:row r="4324" ht="18" customHeight="1"/>
    <x:row r="4325" ht="18" customHeight="1"/>
    <x:row r="4326" ht="18" customHeight="1"/>
    <x:row r="4327" ht="18" customHeight="1"/>
    <x:row r="4328" ht="18" customHeight="1"/>
    <x:row r="4329" ht="18" customHeight="1"/>
    <x:row r="4330" ht="18" customHeight="1"/>
    <x:row r="4331" ht="18" customHeight="1"/>
    <x:row r="4332" ht="18" customHeight="1"/>
    <x:row r="4333" ht="18" customHeight="1"/>
    <x:row r="4334" ht="18" customHeight="1"/>
    <x:row r="4335" ht="18" customHeight="1"/>
    <x:row r="4336" ht="18" customHeight="1"/>
    <x:row r="4337" ht="18" customHeight="1"/>
    <x:row r="4338" ht="18" customHeight="1"/>
    <x:row r="4339" ht="18" customHeight="1"/>
    <x:row r="4340" ht="18" customHeight="1"/>
    <x:row r="4341" ht="18" customHeight="1"/>
    <x:row r="4342" ht="18" customHeight="1"/>
    <x:row r="4343" ht="18" customHeight="1"/>
    <x:row r="4344" ht="18" customHeight="1"/>
    <x:row r="4345" ht="18" customHeight="1"/>
    <x:row r="4346" ht="18" customHeight="1"/>
    <x:row r="4347" ht="18" customHeight="1"/>
    <x:row r="4348" ht="18" customHeight="1"/>
    <x:row r="4349" ht="18" customHeight="1"/>
    <x:row r="4350" ht="18" customHeight="1"/>
    <x:row r="4351" ht="18" customHeight="1"/>
    <x:row r="4352" ht="18" customHeight="1"/>
    <x:row r="4353" ht="18" customHeight="1"/>
    <x:row r="4354" ht="18" customHeight="1"/>
    <x:row r="4355" ht="18" customHeight="1"/>
    <x:row r="4356" ht="18" customHeight="1"/>
    <x:row r="4357" ht="18" customHeight="1"/>
    <x:row r="4358" ht="18" customHeight="1"/>
    <x:row r="4359" ht="18" customHeight="1"/>
    <x:row r="4360" ht="18" customHeight="1"/>
    <x:row r="4361" ht="18" customHeight="1"/>
    <x:row r="4362" ht="18" customHeight="1"/>
    <x:row r="4363" ht="18" customHeight="1"/>
    <x:row r="4364" ht="18" customHeight="1"/>
    <x:row r="4365" ht="18" customHeight="1"/>
    <x:row r="4366" ht="18" customHeight="1"/>
    <x:row r="4367" ht="18" customHeight="1"/>
    <x:row r="4368" ht="18" customHeight="1"/>
    <x:row r="4369" ht="18" customHeight="1"/>
    <x:row r="4370" ht="18" customHeight="1"/>
    <x:row r="4371" ht="18" customHeight="1"/>
    <x:row r="4372" ht="18" customHeight="1"/>
    <x:row r="4373" ht="18" customHeight="1"/>
    <x:row r="4374" ht="18" customHeight="1"/>
    <x:row r="4375" ht="18" customHeight="1"/>
    <x:row r="4376" ht="18" customHeight="1"/>
    <x:row r="4377" ht="18" customHeight="1"/>
    <x:row r="4378" ht="18" customHeight="1"/>
    <x:row r="4379" ht="18" customHeight="1"/>
    <x:row r="4380" ht="18" customHeight="1"/>
    <x:row r="4381" ht="18" customHeight="1"/>
    <x:row r="4382" ht="18" customHeight="1"/>
    <x:row r="4383" ht="18" customHeight="1"/>
    <x:row r="4384" ht="18" customHeight="1"/>
    <x:row r="4385" ht="18" customHeight="1"/>
    <x:row r="4386" ht="18" customHeight="1"/>
    <x:row r="4387" ht="18" customHeight="1"/>
    <x:row r="4388" ht="18" customHeight="1"/>
    <x:row r="4389" ht="18" customHeight="1"/>
    <x:row r="4390" ht="18" customHeight="1"/>
    <x:row r="4391" ht="18" customHeight="1"/>
    <x:row r="4392" ht="18" customHeight="1"/>
    <x:row r="4393" ht="18" customHeight="1"/>
    <x:row r="4394" ht="18" customHeight="1"/>
    <x:row r="4395" ht="18" customHeight="1"/>
    <x:row r="4396" ht="18" customHeight="1"/>
    <x:row r="4397" ht="18" customHeight="1"/>
    <x:row r="4398" ht="18" customHeight="1"/>
    <x:row r="4399" ht="18" customHeight="1"/>
    <x:row r="4400" ht="18" customHeight="1"/>
    <x:row r="4401" ht="18" customHeight="1"/>
    <x:row r="4402" ht="18" customHeight="1"/>
    <x:row r="4403" ht="18" customHeight="1"/>
    <x:row r="4404" ht="18" customHeight="1"/>
    <x:row r="4405" ht="18" customHeight="1"/>
    <x:row r="4406" ht="18" customHeight="1"/>
    <x:row r="4407" ht="18" customHeight="1"/>
    <x:row r="4408" ht="18" customHeight="1"/>
    <x:row r="4409" ht="18" customHeight="1"/>
    <x:row r="4410" ht="18" customHeight="1"/>
    <x:row r="4411" ht="18" customHeight="1"/>
    <x:row r="4412" ht="18" customHeight="1"/>
    <x:row r="4413" ht="18" customHeight="1"/>
    <x:row r="4414" ht="18" customHeight="1"/>
    <x:row r="4415" ht="18" customHeight="1"/>
    <x:row r="4416" ht="18" customHeight="1"/>
    <x:row r="4417" ht="18" customHeight="1"/>
    <x:row r="4418" ht="18" customHeight="1"/>
    <x:row r="4419" ht="18" customHeight="1"/>
    <x:row r="4420" ht="18" customHeight="1"/>
    <x:row r="4421" ht="18" customHeight="1"/>
    <x:row r="4422" ht="18" customHeight="1"/>
    <x:row r="4423" ht="18" customHeight="1"/>
    <x:row r="4424" ht="18" customHeight="1"/>
    <x:row r="4425" ht="18" customHeight="1"/>
    <x:row r="4426" ht="18" customHeight="1"/>
    <x:row r="4427" ht="18" customHeight="1"/>
    <x:row r="4428" ht="18" customHeight="1"/>
    <x:row r="4429" ht="18" customHeight="1"/>
    <x:row r="4430" ht="18" customHeight="1"/>
    <x:row r="4431" ht="18" customHeight="1"/>
    <x:row r="4432" ht="18" customHeight="1"/>
    <x:row r="4433" ht="18" customHeight="1"/>
    <x:row r="4434" ht="18" customHeight="1"/>
    <x:row r="4435" ht="18" customHeight="1"/>
    <x:row r="4436" ht="18" customHeight="1"/>
    <x:row r="4437" ht="18" customHeight="1"/>
    <x:row r="4438" ht="18" customHeight="1"/>
    <x:row r="4439" ht="18" customHeight="1"/>
    <x:row r="4440" ht="18" customHeight="1"/>
    <x:row r="4441" ht="18" customHeight="1"/>
    <x:row r="4442" ht="18" customHeight="1"/>
    <x:row r="4443" ht="18" customHeight="1"/>
    <x:row r="4444" ht="18" customHeight="1"/>
    <x:row r="4445" ht="18" customHeight="1"/>
    <x:row r="4446" ht="18" customHeight="1"/>
    <x:row r="4447" ht="18" customHeight="1"/>
    <x:row r="4448" ht="18" customHeight="1"/>
    <x:row r="4449" ht="18" customHeight="1"/>
    <x:row r="4450" ht="18" customHeight="1"/>
    <x:row r="4451" ht="18" customHeight="1"/>
    <x:row r="4452" ht="18" customHeight="1"/>
    <x:row r="4453" ht="18" customHeight="1"/>
    <x:row r="4454" ht="18" customHeight="1"/>
    <x:row r="4455" ht="18" customHeight="1"/>
    <x:row r="4456" ht="18" customHeight="1"/>
    <x:row r="4457" ht="18" customHeight="1"/>
    <x:row r="4458" ht="18" customHeight="1"/>
    <x:row r="4459" ht="18" customHeight="1"/>
    <x:row r="4460" ht="18" customHeight="1"/>
    <x:row r="4461" ht="18" customHeight="1"/>
    <x:row r="4462" ht="18" customHeight="1"/>
    <x:row r="4463" ht="18" customHeight="1"/>
    <x:row r="4464" ht="18" customHeight="1"/>
    <x:row r="4465" ht="18" customHeight="1"/>
    <x:row r="4466" ht="18" customHeight="1"/>
    <x:row r="4467" ht="18" customHeight="1"/>
    <x:row r="4468" ht="18" customHeight="1"/>
    <x:row r="4469" ht="18" customHeight="1"/>
    <x:row r="4470" ht="18" customHeight="1"/>
    <x:row r="4471" ht="18" customHeight="1"/>
    <x:row r="4472" ht="18" customHeight="1"/>
    <x:row r="4473" ht="18" customHeight="1"/>
    <x:row r="4474" ht="18" customHeight="1"/>
    <x:row r="4475" ht="18" customHeight="1"/>
    <x:row r="4476" ht="18" customHeight="1"/>
    <x:row r="4477" ht="18" customHeight="1"/>
    <x:row r="4478" ht="18" customHeight="1"/>
    <x:row r="4479" ht="18" customHeight="1"/>
    <x:row r="4480" ht="18" customHeight="1"/>
    <x:row r="4481" ht="18" customHeight="1"/>
    <x:row r="4482" ht="18" customHeight="1"/>
    <x:row r="4483" ht="18" customHeight="1"/>
    <x:row r="4484" ht="18" customHeight="1"/>
    <x:row r="4485" ht="18" customHeight="1"/>
    <x:row r="4486" ht="18" customHeight="1"/>
    <x:row r="4487" ht="18" customHeight="1"/>
    <x:row r="4488" ht="18" customHeight="1"/>
    <x:row r="4489" ht="18" customHeight="1"/>
    <x:row r="4490" ht="18" customHeight="1"/>
    <x:row r="4491" ht="18" customHeight="1"/>
    <x:row r="4492" ht="18" customHeight="1"/>
    <x:row r="4493" ht="18" customHeight="1"/>
    <x:row r="4494" ht="18" customHeight="1"/>
    <x:row r="4495" ht="18" customHeight="1"/>
    <x:row r="4496" ht="18" customHeight="1"/>
    <x:row r="4497" ht="18" customHeight="1"/>
    <x:row r="4498" ht="18" customHeight="1"/>
    <x:row r="4499" ht="18" customHeight="1"/>
    <x:row r="4500" ht="18" customHeight="1"/>
    <x:row r="4501" ht="18" customHeight="1"/>
    <x:row r="4502" ht="18" customHeight="1"/>
    <x:row r="4503" ht="18" customHeight="1"/>
    <x:row r="4504" ht="18" customHeight="1"/>
    <x:row r="4505" ht="18" customHeight="1"/>
    <x:row r="4506" ht="18" customHeight="1"/>
    <x:row r="4507" ht="18" customHeight="1"/>
    <x:row r="4508" ht="18" customHeight="1"/>
    <x:row r="4509" ht="18" customHeight="1"/>
    <x:row r="4510" ht="18" customHeight="1"/>
    <x:row r="4511" ht="18" customHeight="1"/>
    <x:row r="4512" ht="18" customHeight="1"/>
    <x:row r="4513" ht="18" customHeight="1"/>
    <x:row r="4514" ht="18" customHeight="1"/>
    <x:row r="4515" ht="18" customHeight="1"/>
    <x:row r="4516" ht="18" customHeight="1"/>
    <x:row r="4517" ht="18" customHeight="1"/>
    <x:row r="4518" ht="18" customHeight="1"/>
    <x:row r="4519" ht="18" customHeight="1"/>
    <x:row r="4520" ht="18" customHeight="1"/>
    <x:row r="4521" ht="18" customHeight="1"/>
    <x:row r="4522" ht="18" customHeight="1"/>
    <x:row r="4523" ht="18" customHeight="1"/>
    <x:row r="4524" ht="18" customHeight="1"/>
    <x:row r="4525" ht="18" customHeight="1"/>
    <x:row r="4526" ht="18" customHeight="1"/>
    <x:row r="4527" ht="18" customHeight="1"/>
    <x:row r="4528" ht="18" customHeight="1"/>
    <x:row r="4529" ht="18" customHeight="1"/>
    <x:row r="4530" ht="18" customHeight="1"/>
    <x:row r="4531" ht="18" customHeight="1"/>
    <x:row r="4532" ht="18" customHeight="1"/>
    <x:row r="4533" ht="18" customHeight="1"/>
    <x:row r="4534" ht="18" customHeight="1"/>
    <x:row r="4535" ht="18" customHeight="1"/>
    <x:row r="4536" ht="18" customHeight="1"/>
    <x:row r="4537" ht="18" customHeight="1"/>
    <x:row r="4538" ht="18" customHeight="1"/>
    <x:row r="4539" ht="18" customHeight="1"/>
    <x:row r="4540" ht="18" customHeight="1"/>
    <x:row r="4541" ht="18" customHeight="1"/>
    <x:row r="4542" ht="18" customHeight="1"/>
    <x:row r="4543" ht="18" customHeight="1"/>
    <x:row r="4544" ht="18" customHeight="1"/>
    <x:row r="4545" ht="18" customHeight="1"/>
    <x:row r="4546" ht="18" customHeight="1"/>
    <x:row r="4547" ht="18" customHeight="1"/>
    <x:row r="4548" ht="18" customHeight="1"/>
    <x:row r="4549" ht="18" customHeight="1"/>
    <x:row r="4550" ht="18" customHeight="1"/>
    <x:row r="4551" ht="18" customHeight="1"/>
    <x:row r="4552" ht="18" customHeight="1"/>
    <x:row r="4553" ht="18" customHeight="1"/>
    <x:row r="4554" ht="18" customHeight="1"/>
    <x:row r="4555" ht="18" customHeight="1"/>
    <x:row r="4556" ht="18" customHeight="1"/>
    <x:row r="4557" ht="18" customHeight="1"/>
    <x:row r="4558" ht="18" customHeight="1"/>
    <x:row r="4559" ht="18" customHeight="1"/>
    <x:row r="4560" ht="18" customHeight="1"/>
    <x:row r="4561" ht="18" customHeight="1"/>
    <x:row r="4562" ht="18" customHeight="1"/>
    <x:row r="4563" ht="18" customHeight="1"/>
    <x:row r="4564" ht="18" customHeight="1"/>
    <x:row r="4565" ht="18" customHeight="1"/>
    <x:row r="4566" ht="18" customHeight="1"/>
    <x:row r="4567" ht="18" customHeight="1"/>
    <x:row r="4568" ht="18" customHeight="1"/>
    <x:row r="4569" ht="18" customHeight="1"/>
    <x:row r="4570" ht="18" customHeight="1"/>
    <x:row r="4571" ht="18" customHeight="1"/>
    <x:row r="4572" ht="18" customHeight="1"/>
    <x:row r="4573" ht="18" customHeight="1"/>
    <x:row r="4574" ht="18" customHeight="1"/>
    <x:row r="4575" ht="18" customHeight="1"/>
    <x:row r="4576" ht="18" customHeight="1"/>
    <x:row r="4577" ht="18" customHeight="1"/>
    <x:row r="4578" ht="18" customHeight="1"/>
    <x:row r="4579" ht="18" customHeight="1"/>
    <x:row r="4580" ht="18" customHeight="1"/>
    <x:row r="4581" ht="18" customHeight="1"/>
    <x:row r="4582" ht="18" customHeight="1"/>
    <x:row r="4583" ht="18" customHeight="1"/>
    <x:row r="4584" ht="18" customHeight="1"/>
    <x:row r="4585" ht="18" customHeight="1"/>
    <x:row r="4586" ht="18" customHeight="1"/>
    <x:row r="4587" ht="18" customHeight="1"/>
    <x:row r="4588" ht="18" customHeight="1"/>
    <x:row r="4589" ht="18" customHeight="1"/>
    <x:row r="4590" ht="18" customHeight="1"/>
    <x:row r="4591" ht="18" customHeight="1"/>
    <x:row r="4592" ht="18" customHeight="1"/>
    <x:row r="4593" ht="18" customHeight="1"/>
    <x:row r="4594" ht="18" customHeight="1"/>
    <x:row r="4595" ht="18" customHeight="1"/>
    <x:row r="4596" ht="18" customHeight="1"/>
    <x:row r="4597" ht="18" customHeight="1"/>
    <x:row r="4598" ht="18" customHeight="1"/>
    <x:row r="4599" ht="18" customHeight="1"/>
    <x:row r="4600" ht="18" customHeight="1"/>
    <x:row r="4601" ht="18" customHeight="1"/>
    <x:row r="4602" ht="18" customHeight="1"/>
    <x:row r="4603" ht="18" customHeight="1"/>
    <x:row r="4604" ht="18" customHeight="1"/>
    <x:row r="4605" ht="18" customHeight="1"/>
    <x:row r="4606" ht="18" customHeight="1"/>
    <x:row r="4607" ht="18" customHeight="1"/>
    <x:row r="4608" ht="18" customHeight="1"/>
    <x:row r="4609" ht="18" customHeight="1"/>
    <x:row r="4610" ht="18" customHeight="1"/>
    <x:row r="4611" ht="18" customHeight="1"/>
    <x:row r="4612" ht="18" customHeight="1"/>
    <x:row r="4613" ht="18" customHeight="1"/>
    <x:row r="4614" ht="18" customHeight="1"/>
    <x:row r="4615" ht="18" customHeight="1"/>
    <x:row r="4616" ht="18" customHeight="1"/>
    <x:row r="4617" ht="18" customHeight="1"/>
    <x:row r="4618" ht="18" customHeight="1"/>
    <x:row r="4619" ht="18" customHeight="1"/>
    <x:row r="4620" ht="18" customHeight="1"/>
    <x:row r="4621" ht="18" customHeight="1"/>
    <x:row r="4622" ht="18" customHeight="1"/>
    <x:row r="4623" ht="18" customHeight="1"/>
    <x:row r="4624" ht="18" customHeight="1"/>
    <x:row r="4625" ht="18" customHeight="1"/>
    <x:row r="4626" ht="18" customHeight="1"/>
    <x:row r="4627" ht="18" customHeight="1"/>
    <x:row r="4628" ht="18" customHeight="1"/>
    <x:row r="4629" ht="18" customHeight="1"/>
    <x:row r="4630" ht="18" customHeight="1"/>
    <x:row r="4631" ht="18" customHeight="1"/>
    <x:row r="4632" ht="18" customHeight="1"/>
    <x:row r="4633" ht="18" customHeight="1"/>
    <x:row r="4634" ht="18" customHeight="1"/>
    <x:row r="4635" ht="18" customHeight="1"/>
    <x:row r="4636" ht="18" customHeight="1"/>
    <x:row r="4637" ht="18" customHeight="1"/>
    <x:row r="4638" ht="18" customHeight="1"/>
    <x:row r="4639" ht="18" customHeight="1"/>
    <x:row r="4640" ht="18" customHeight="1"/>
    <x:row r="4641" ht="18" customHeight="1"/>
    <x:row r="4642" ht="18" customHeight="1"/>
    <x:row r="4643" ht="18" customHeight="1"/>
    <x:row r="4644" ht="18" customHeight="1"/>
    <x:row r="4645" ht="18" customHeight="1"/>
    <x:row r="4646" ht="18" customHeight="1"/>
    <x:row r="4647" ht="18" customHeight="1"/>
    <x:row r="4648" ht="18" customHeight="1"/>
    <x:row r="4649" ht="18" customHeight="1"/>
    <x:row r="4650" ht="18" customHeight="1"/>
    <x:row r="4651" ht="18" customHeight="1"/>
    <x:row r="4652" ht="18" customHeight="1"/>
    <x:row r="4653" ht="18" customHeight="1"/>
    <x:row r="4654" ht="18" customHeight="1"/>
    <x:row r="4655" ht="18" customHeight="1"/>
    <x:row r="4656" ht="18" customHeight="1"/>
    <x:row r="4657" ht="18" customHeight="1"/>
    <x:row r="4658" ht="18" customHeight="1"/>
    <x:row r="4659" ht="18" customHeight="1"/>
    <x:row r="4660" ht="18" customHeight="1"/>
    <x:row r="4661" ht="18" customHeight="1"/>
    <x:row r="4662" ht="18" customHeight="1"/>
    <x:row r="4663" ht="18" customHeight="1"/>
    <x:row r="4664" ht="18" customHeight="1"/>
    <x:row r="4665" ht="18" customHeight="1"/>
    <x:row r="4666" ht="18" customHeight="1"/>
    <x:row r="4667" ht="18" customHeight="1"/>
    <x:row r="4668" ht="18" customHeight="1"/>
    <x:row r="4669" ht="18" customHeight="1"/>
    <x:row r="4670" ht="18" customHeight="1"/>
    <x:row r="4671" ht="18" customHeight="1"/>
    <x:row r="4672" ht="18" customHeight="1"/>
    <x:row r="4673" ht="18" customHeight="1"/>
    <x:row r="4674" ht="18" customHeight="1"/>
    <x:row r="4675" ht="18" customHeight="1"/>
    <x:row r="4676" ht="18" customHeight="1"/>
    <x:row r="4677" ht="18" customHeight="1"/>
    <x:row r="4678" ht="18" customHeight="1"/>
    <x:row r="4679" ht="18" customHeight="1"/>
    <x:row r="4680" ht="18" customHeight="1"/>
    <x:row r="4681" ht="18" customHeight="1"/>
    <x:row r="4682" ht="18" customHeight="1"/>
    <x:row r="4683" ht="18" customHeight="1"/>
    <x:row r="4684" ht="18" customHeight="1"/>
    <x:row r="4685" ht="18" customHeight="1"/>
    <x:row r="4686" ht="18" customHeight="1"/>
    <x:row r="4687" ht="18" customHeight="1"/>
    <x:row r="4688" ht="18" customHeight="1"/>
    <x:row r="4689" ht="18" customHeight="1"/>
    <x:row r="4690" ht="18" customHeight="1"/>
    <x:row r="4691" ht="18" customHeight="1"/>
    <x:row r="4692" ht="18" customHeight="1"/>
    <x:row r="4693" ht="18" customHeight="1"/>
    <x:row r="4694" ht="18" customHeight="1"/>
    <x:row r="4695" ht="18" customHeight="1"/>
    <x:row r="4696" ht="18" customHeight="1"/>
    <x:row r="4697" ht="18" customHeight="1"/>
    <x:row r="4698" ht="18" customHeight="1"/>
    <x:row r="4699" ht="18" customHeight="1"/>
    <x:row r="4700" ht="18" customHeight="1"/>
    <x:row r="4701" ht="18" customHeight="1"/>
    <x:row r="4702" ht="18" customHeight="1"/>
    <x:row r="4703" ht="18" customHeight="1"/>
    <x:row r="4704" ht="18" customHeight="1"/>
    <x:row r="4705" ht="18" customHeight="1"/>
    <x:row r="4706" ht="18" customHeight="1"/>
    <x:row r="4707" ht="18" customHeight="1"/>
    <x:row r="4708" ht="18" customHeight="1"/>
    <x:row r="4709" ht="18" customHeight="1"/>
    <x:row r="4710" ht="18" customHeight="1"/>
    <x:row r="4711" ht="18" customHeight="1"/>
    <x:row r="4712" ht="18" customHeight="1"/>
    <x:row r="4713" ht="18" customHeight="1"/>
    <x:row r="4714" ht="18" customHeight="1"/>
    <x:row r="4715" ht="18" customHeight="1"/>
    <x:row r="4716" ht="18" customHeight="1"/>
    <x:row r="4717" ht="18" customHeight="1"/>
    <x:row r="4718" ht="18" customHeight="1"/>
    <x:row r="4719" ht="18" customHeight="1"/>
    <x:row r="4720" ht="18" customHeight="1"/>
    <x:row r="4721" ht="18" customHeight="1"/>
    <x:row r="4722" ht="18" customHeight="1"/>
    <x:row r="4723" ht="18" customHeight="1"/>
    <x:row r="4724" ht="18" customHeight="1"/>
    <x:row r="4725" ht="18" customHeight="1"/>
    <x:row r="4726" ht="18" customHeight="1"/>
    <x:row r="4727" ht="18" customHeight="1"/>
    <x:row r="4728" ht="18" customHeight="1"/>
    <x:row r="4729" ht="18" customHeight="1"/>
    <x:row r="4730" ht="18" customHeight="1"/>
    <x:row r="4731" ht="18" customHeight="1"/>
    <x:row r="4732" ht="18" customHeight="1"/>
    <x:row r="4733" ht="18" customHeight="1"/>
    <x:row r="4734" ht="18" customHeight="1"/>
    <x:row r="4735" ht="18" customHeight="1"/>
    <x:row r="4736" ht="18" customHeight="1"/>
    <x:row r="4737" ht="18" customHeight="1"/>
    <x:row r="4738" ht="18" customHeight="1"/>
    <x:row r="4739" ht="18" customHeight="1"/>
    <x:row r="4740" ht="18" customHeight="1"/>
    <x:row r="4741" ht="18" customHeight="1"/>
    <x:row r="4742" ht="18" customHeight="1"/>
    <x:row r="4743" ht="18" customHeight="1"/>
    <x:row r="4744" ht="18" customHeight="1"/>
    <x:row r="4745" ht="18" customHeight="1"/>
    <x:row r="4746" ht="18" customHeight="1"/>
    <x:row r="4747" ht="18" customHeight="1"/>
    <x:row r="4748" ht="18" customHeight="1"/>
    <x:row r="4749" ht="18" customHeight="1"/>
    <x:row r="4750" ht="18" customHeight="1"/>
    <x:row r="4751" ht="18" customHeight="1"/>
    <x:row r="4752" ht="18" customHeight="1"/>
    <x:row r="4753" ht="18" customHeight="1"/>
    <x:row r="4754" ht="18" customHeight="1"/>
    <x:row r="4755" ht="18" customHeight="1"/>
    <x:row r="4756" ht="18" customHeight="1"/>
    <x:row r="4757" ht="18" customHeight="1"/>
    <x:row r="4758" ht="18" customHeight="1"/>
    <x:row r="4759" ht="18" customHeight="1"/>
    <x:row r="4760" ht="18" customHeight="1"/>
    <x:row r="4761" ht="18" customHeight="1"/>
    <x:row r="4762" ht="18" customHeight="1"/>
    <x:row r="4763" ht="18" customHeight="1"/>
    <x:row r="4764" ht="18" customHeight="1"/>
    <x:row r="4765" ht="18" customHeight="1"/>
    <x:row r="4766" ht="18" customHeight="1"/>
    <x:row r="4767" ht="18" customHeight="1"/>
    <x:row r="4768" ht="18" customHeight="1"/>
    <x:row r="4769" ht="18" customHeight="1"/>
    <x:row r="4770" ht="18" customHeight="1"/>
    <x:row r="4771" ht="18" customHeight="1"/>
    <x:row r="4772" ht="18" customHeight="1"/>
    <x:row r="4773" ht="18" customHeight="1"/>
    <x:row r="4774" ht="18" customHeight="1"/>
    <x:row r="4775" ht="18" customHeight="1"/>
    <x:row r="4776" ht="18" customHeight="1"/>
    <x:row r="4777" ht="18" customHeight="1"/>
    <x:row r="4778" ht="18" customHeight="1"/>
    <x:row r="4779" ht="18" customHeight="1"/>
    <x:row r="4780" ht="18" customHeight="1"/>
    <x:row r="4781" ht="18" customHeight="1"/>
    <x:row r="4782" ht="18" customHeight="1"/>
    <x:row r="4783" ht="18" customHeight="1"/>
    <x:row r="4784" ht="18" customHeight="1"/>
    <x:row r="4785" ht="18" customHeight="1"/>
    <x:row r="4786" ht="18" customHeight="1"/>
    <x:row r="4787" ht="18" customHeight="1"/>
    <x:row r="4788" ht="18" customHeight="1"/>
    <x:row r="4789" ht="18" customHeight="1"/>
    <x:row r="4790" ht="18" customHeight="1"/>
    <x:row r="4791" ht="18" customHeight="1"/>
    <x:row r="4792" ht="18" customHeight="1"/>
    <x:row r="4793" ht="18" customHeight="1"/>
    <x:row r="4794" ht="18" customHeight="1"/>
    <x:row r="4795" ht="18" customHeight="1"/>
    <x:row r="4796" ht="18" customHeight="1"/>
    <x:row r="4797" ht="18" customHeight="1"/>
    <x:row r="4798" ht="18" customHeight="1"/>
    <x:row r="4799" ht="18" customHeight="1"/>
    <x:row r="4800" ht="18" customHeight="1"/>
    <x:row r="4801" ht="18" customHeight="1"/>
    <x:row r="4802" ht="18" customHeight="1"/>
    <x:row r="4803" ht="18" customHeight="1"/>
    <x:row r="4804" ht="18" customHeight="1"/>
    <x:row r="4805" ht="18" customHeight="1"/>
    <x:row r="4806" ht="18" customHeight="1"/>
    <x:row r="4807" ht="18" customHeight="1"/>
    <x:row r="4808" ht="18" customHeight="1"/>
    <x:row r="4809" ht="18" customHeight="1"/>
    <x:row r="4810" ht="18" customHeight="1"/>
    <x:row r="4811" ht="18" customHeight="1"/>
    <x:row r="4812" ht="18" customHeight="1"/>
    <x:row r="4813" ht="18" customHeight="1"/>
    <x:row r="4814" ht="18" customHeight="1"/>
    <x:row r="4815" ht="18" customHeight="1"/>
    <x:row r="4816" ht="18" customHeight="1"/>
    <x:row r="4817" ht="18" customHeight="1"/>
    <x:row r="4818" ht="18" customHeight="1"/>
    <x:row r="4819" ht="18" customHeight="1"/>
    <x:row r="4820" ht="18" customHeight="1"/>
    <x:row r="4821" ht="18" customHeight="1"/>
    <x:row r="4822" ht="18" customHeight="1"/>
    <x:row r="4823" ht="18" customHeight="1"/>
    <x:row r="4824" ht="18" customHeight="1"/>
    <x:row r="4825" ht="18" customHeight="1"/>
    <x:row r="4826" ht="18" customHeight="1"/>
    <x:row r="4827" ht="18" customHeight="1"/>
    <x:row r="4828" ht="18" customHeight="1"/>
    <x:row r="4829" ht="18" customHeight="1"/>
    <x:row r="4830" ht="18" customHeight="1"/>
    <x:row r="4831" ht="18" customHeight="1"/>
    <x:row r="4832" ht="18" customHeight="1"/>
    <x:row r="4833" ht="18" customHeight="1"/>
    <x:row r="4834" ht="18" customHeight="1"/>
    <x:row r="4835" ht="18" customHeight="1"/>
    <x:row r="4836" ht="18" customHeight="1"/>
    <x:row r="4837" ht="18" customHeight="1"/>
    <x:row r="4838" ht="18" customHeight="1"/>
    <x:row r="4839" ht="18" customHeight="1"/>
    <x:row r="4840" ht="18" customHeight="1"/>
    <x:row r="4841" ht="18" customHeight="1"/>
    <x:row r="4842" ht="18" customHeight="1"/>
    <x:row r="4843" ht="18" customHeight="1"/>
    <x:row r="4844" ht="18" customHeight="1"/>
    <x:row r="4845" ht="18" customHeight="1"/>
    <x:row r="4846" ht="18" customHeight="1"/>
    <x:row r="4847" ht="18" customHeight="1"/>
    <x:row r="4848" ht="18" customHeight="1"/>
    <x:row r="4849" ht="18" customHeight="1"/>
    <x:row r="4850" ht="18" customHeight="1"/>
    <x:row r="4851" ht="18" customHeight="1"/>
    <x:row r="4852" ht="18" customHeight="1"/>
    <x:row r="4853" ht="18" customHeight="1"/>
    <x:row r="4854" ht="18" customHeight="1"/>
    <x:row r="4855" ht="18" customHeight="1"/>
    <x:row r="4856" ht="18" customHeight="1"/>
    <x:row r="4857" ht="18" customHeight="1"/>
    <x:row r="4858" ht="18" customHeight="1"/>
    <x:row r="4859" ht="18" customHeight="1"/>
    <x:row r="4860" ht="18" customHeight="1"/>
    <x:row r="4861" ht="18" customHeight="1"/>
    <x:row r="4862" ht="18" customHeight="1"/>
    <x:row r="4863" ht="18" customHeight="1"/>
    <x:row r="4864" ht="18" customHeight="1"/>
    <x:row r="4865" ht="18" customHeight="1"/>
    <x:row r="4866" ht="18" customHeight="1"/>
    <x:row r="4867" ht="18" customHeight="1"/>
    <x:row r="4868" ht="18" customHeight="1"/>
    <x:row r="4869" ht="18" customHeight="1"/>
    <x:row r="4870" ht="18" customHeight="1"/>
    <x:row r="4871" ht="18" customHeight="1"/>
    <x:row r="4872" ht="18" customHeight="1"/>
    <x:row r="4873" ht="18" customHeight="1"/>
    <x:row r="4874" ht="18" customHeight="1"/>
    <x:row r="4875" ht="18" customHeight="1"/>
    <x:row r="4876" ht="18" customHeight="1"/>
    <x:row r="4877" ht="18" customHeight="1"/>
    <x:row r="4878" ht="18" customHeight="1"/>
    <x:row r="4879" ht="18" customHeight="1"/>
    <x:row r="4880" ht="18" customHeight="1"/>
    <x:row r="4881" ht="18" customHeight="1"/>
    <x:row r="4882" ht="18" customHeight="1"/>
    <x:row r="4883" ht="18" customHeight="1"/>
    <x:row r="4884" ht="18" customHeight="1"/>
    <x:row r="4885" ht="18" customHeight="1"/>
    <x:row r="4886" ht="18" customHeight="1"/>
    <x:row r="4887" ht="18" customHeight="1"/>
    <x:row r="4888" ht="18" customHeight="1"/>
    <x:row r="4889" ht="18" customHeight="1"/>
    <x:row r="4890" ht="18" customHeight="1"/>
    <x:row r="4891" ht="18" customHeight="1"/>
    <x:row r="4892" ht="18" customHeight="1"/>
    <x:row r="4893" ht="18" customHeight="1"/>
    <x:row r="4894" ht="18" customHeight="1"/>
    <x:row r="4895" ht="18" customHeight="1"/>
    <x:row r="4896" ht="18" customHeight="1"/>
    <x:row r="4897" ht="18" customHeight="1"/>
    <x:row r="4898" ht="18" customHeight="1"/>
    <x:row r="4899" ht="18" customHeight="1"/>
    <x:row r="4900" ht="18" customHeight="1"/>
    <x:row r="4901" ht="18" customHeight="1"/>
    <x:row r="4902" ht="18" customHeight="1"/>
    <x:row r="4903" ht="18" customHeight="1"/>
    <x:row r="4904" ht="18" customHeight="1"/>
    <x:row r="4905" ht="18" customHeight="1"/>
    <x:row r="4906" ht="18" customHeight="1"/>
    <x:row r="4907" ht="18" customHeight="1"/>
    <x:row r="4908" ht="18" customHeight="1"/>
    <x:row r="4909" ht="18" customHeight="1"/>
    <x:row r="4910" ht="18" customHeight="1"/>
    <x:row r="4911" ht="18" customHeight="1"/>
    <x:row r="4912" ht="18" customHeight="1"/>
    <x:row r="4913" ht="18" customHeight="1"/>
    <x:row r="4914" ht="18" customHeight="1"/>
    <x:row r="4915" ht="18" customHeight="1"/>
    <x:row r="4916" ht="18" customHeight="1"/>
    <x:row r="4917" ht="18" customHeight="1"/>
    <x:row r="4918" ht="18" customHeight="1"/>
    <x:row r="4919" ht="18" customHeight="1"/>
    <x:row r="4920" ht="18" customHeight="1"/>
    <x:row r="4921" ht="18" customHeight="1"/>
    <x:row r="4922" ht="18" customHeight="1"/>
    <x:row r="4923" ht="18" customHeight="1"/>
    <x:row r="4924" ht="18" customHeight="1"/>
    <x:row r="4925" ht="18" customHeight="1"/>
    <x:row r="4926" ht="18" customHeight="1"/>
    <x:row r="4927" ht="18" customHeight="1"/>
    <x:row r="4928" ht="18" customHeight="1"/>
    <x:row r="4929" ht="18" customHeight="1"/>
    <x:row r="4930" ht="18" customHeight="1"/>
    <x:row r="4931" ht="18" customHeight="1"/>
    <x:row r="4932" ht="18" customHeight="1"/>
    <x:row r="4933" ht="18" customHeight="1"/>
    <x:row r="4934" ht="18" customHeight="1"/>
    <x:row r="4935" ht="18" customHeight="1"/>
    <x:row r="4936" ht="18" customHeight="1"/>
    <x:row r="4937" ht="18" customHeight="1"/>
    <x:row r="4938" ht="18" customHeight="1"/>
    <x:row r="4939" ht="18" customHeight="1"/>
    <x:row r="4940" ht="18" customHeight="1"/>
    <x:row r="4941" ht="18" customHeight="1"/>
    <x:row r="4942" ht="18" customHeight="1"/>
    <x:row r="4943" ht="18" customHeight="1"/>
    <x:row r="4944" ht="18" customHeight="1"/>
    <x:row r="4945" ht="18" customHeight="1"/>
    <x:row r="4946" ht="18" customHeight="1"/>
    <x:row r="4947" ht="18" customHeight="1"/>
    <x:row r="4948" ht="18" customHeight="1"/>
    <x:row r="4949" ht="18" customHeight="1"/>
    <x:row r="4950" ht="18" customHeight="1"/>
    <x:row r="4951" ht="18" customHeight="1"/>
    <x:row r="4952" ht="18" customHeight="1"/>
    <x:row r="4953" ht="18" customHeight="1"/>
    <x:row r="4954" ht="18" customHeight="1"/>
    <x:row r="4955" ht="18" customHeight="1"/>
    <x:row r="4956" ht="18" customHeight="1"/>
    <x:row r="4957" ht="18" customHeight="1"/>
    <x:row r="4958" ht="18" customHeight="1"/>
    <x:row r="4959" ht="18" customHeight="1"/>
    <x:row r="4960" ht="18" customHeight="1"/>
    <x:row r="4961" ht="18" customHeight="1"/>
    <x:row r="4962" ht="18" customHeight="1"/>
    <x:row r="4963" ht="18" customHeight="1"/>
    <x:row r="4964" ht="18" customHeight="1"/>
    <x:row r="4965" ht="18" customHeight="1"/>
    <x:row r="4966" ht="18" customHeight="1"/>
    <x:row r="4967" ht="18" customHeight="1"/>
    <x:row r="4968" ht="18" customHeight="1"/>
    <x:row r="4969" ht="18" customHeight="1"/>
    <x:row r="4970" ht="18" customHeight="1"/>
    <x:row r="4971" ht="18" customHeight="1"/>
    <x:row r="4972" ht="18" customHeight="1"/>
    <x:row r="4973" ht="18" customHeight="1"/>
    <x:row r="4974" ht="18" customHeight="1"/>
    <x:row r="4975" ht="18" customHeight="1"/>
    <x:row r="4976" ht="18" customHeight="1"/>
    <x:row r="4977" ht="18" customHeight="1"/>
    <x:row r="4978" ht="18" customHeight="1"/>
    <x:row r="4979" ht="18" customHeight="1"/>
    <x:row r="4980" ht="18" customHeight="1"/>
    <x:row r="4981" ht="18" customHeight="1"/>
    <x:row r="4982" ht="18" customHeight="1"/>
    <x:row r="4983" ht="18" customHeight="1"/>
    <x:row r="4984" ht="18" customHeight="1"/>
    <x:row r="4985" ht="18" customHeight="1"/>
    <x:row r="4986" ht="18" customHeight="1"/>
    <x:row r="4987" ht="18" customHeight="1"/>
    <x:row r="4988" ht="18" customHeight="1"/>
    <x:row r="4989" ht="18" customHeight="1"/>
    <x:row r="4990" ht="18" customHeight="1"/>
    <x:row r="4991" ht="18" customHeight="1"/>
    <x:row r="4992" ht="18" customHeight="1"/>
    <x:row r="4993" ht="18" customHeight="1"/>
    <x:row r="4994" ht="18" customHeight="1"/>
    <x:row r="4995" ht="18" customHeight="1"/>
    <x:row r="4996" ht="18" customHeight="1"/>
    <x:row r="4997" ht="18" customHeight="1"/>
    <x:row r="4998" ht="18" customHeight="1"/>
    <x:row r="4999" ht="18" customHeight="1"/>
    <x:row r="5000" ht="18" customHeight="1"/>
    <x:row r="5001" ht="18" customHeight="1"/>
    <x:row r="5002" ht="18" customHeight="1"/>
    <x:row r="5003" ht="18" customHeight="1"/>
    <x:row r="5004" ht="18" customHeight="1"/>
    <x:row r="5005" ht="18" customHeight="1"/>
    <x:row r="5006" ht="18" customHeight="1"/>
    <x:row r="5007" ht="18" customHeight="1"/>
    <x:row r="5008" ht="18" customHeight="1"/>
    <x:row r="5009" ht="18" customHeight="1"/>
    <x:row r="5010" ht="18" customHeight="1"/>
    <x:row r="5011" ht="18" customHeight="1"/>
    <x:row r="5012" ht="18" customHeight="1"/>
    <x:row r="5013" ht="18" customHeight="1"/>
    <x:row r="5014" ht="18" customHeight="1"/>
    <x:row r="5015" ht="18" customHeight="1"/>
    <x:row r="5016" ht="18" customHeight="1"/>
    <x:row r="5017" ht="18" customHeight="1"/>
    <x:row r="5018" ht="18" customHeight="1"/>
    <x:row r="5019" ht="18" customHeight="1"/>
    <x:row r="5020" ht="18" customHeight="1"/>
    <x:row r="5021" ht="18" customHeight="1"/>
    <x:row r="5022" ht="18" customHeight="1"/>
    <x:row r="5023" ht="18" customHeight="1"/>
    <x:row r="5024" ht="18" customHeight="1"/>
    <x:row r="5025" ht="18" customHeight="1"/>
    <x:row r="5026" ht="18" customHeight="1"/>
    <x:row r="5027" ht="18" customHeight="1"/>
    <x:row r="5028" ht="18" customHeight="1"/>
    <x:row r="5029" ht="18" customHeight="1"/>
    <x:row r="5030" ht="18" customHeight="1"/>
    <x:row r="5031" ht="18" customHeight="1"/>
    <x:row r="5032" ht="18" customHeight="1"/>
    <x:row r="5033" ht="18" customHeight="1"/>
    <x:row r="5034" ht="18" customHeight="1"/>
    <x:row r="5035" ht="18" customHeight="1"/>
    <x:row r="5036" ht="18" customHeight="1"/>
    <x:row r="5037" ht="18" customHeight="1"/>
    <x:row r="5038" ht="18" customHeight="1"/>
    <x:row r="5039" ht="18" customHeight="1"/>
    <x:row r="5040" ht="18" customHeight="1"/>
    <x:row r="5041" ht="18" customHeight="1"/>
    <x:row r="5042" ht="18" customHeight="1"/>
    <x:row r="5043" ht="18" customHeight="1"/>
    <x:row r="5044" ht="18" customHeight="1"/>
    <x:row r="5045" ht="18" customHeight="1"/>
    <x:row r="5046" ht="18" customHeight="1"/>
    <x:row r="5047" ht="18" customHeight="1"/>
    <x:row r="5048" ht="18" customHeight="1"/>
    <x:row r="5049" ht="18" customHeight="1"/>
    <x:row r="5050" ht="18" customHeight="1"/>
    <x:row r="5051" ht="18" customHeight="1"/>
    <x:row r="5052" ht="18" customHeight="1"/>
    <x:row r="5053" ht="18" customHeight="1"/>
    <x:row r="5054" ht="18" customHeight="1"/>
    <x:row r="5055" ht="18" customHeight="1"/>
    <x:row r="5056" ht="18" customHeight="1"/>
    <x:row r="5057" ht="18" customHeight="1"/>
    <x:row r="5058" ht="18" customHeight="1"/>
    <x:row r="5059" ht="18" customHeight="1"/>
    <x:row r="5060" ht="18" customHeight="1"/>
    <x:row r="5061" ht="18" customHeight="1"/>
    <x:row r="5062" ht="18" customHeight="1"/>
    <x:row r="5063" ht="18" customHeight="1"/>
    <x:row r="5064" ht="18" customHeight="1"/>
    <x:row r="5065" ht="18" customHeight="1"/>
    <x:row r="5066" ht="18" customHeight="1"/>
    <x:row r="5067" ht="18" customHeight="1"/>
    <x:row r="5068" ht="18" customHeight="1"/>
    <x:row r="5069" ht="18" customHeight="1"/>
    <x:row r="5070" ht="18" customHeight="1"/>
    <x:row r="5071" ht="18" customHeight="1"/>
    <x:row r="5072" ht="18" customHeight="1"/>
    <x:row r="5073" ht="18" customHeight="1"/>
    <x:row r="5074" ht="18" customHeight="1"/>
    <x:row r="5075" ht="18" customHeight="1"/>
    <x:row r="5076" ht="18" customHeight="1"/>
    <x:row r="5077" ht="18" customHeight="1"/>
    <x:row r="5078" ht="18" customHeight="1"/>
    <x:row r="5079" ht="18" customHeight="1"/>
    <x:row r="5080" ht="18" customHeight="1"/>
    <x:row r="5081" ht="18" customHeight="1"/>
    <x:row r="5082" ht="18" customHeight="1"/>
    <x:row r="5083" ht="18" customHeight="1"/>
    <x:row r="5084" ht="18" customHeight="1"/>
    <x:row r="5085" ht="18" customHeight="1"/>
    <x:row r="5086" ht="18" customHeight="1"/>
    <x:row r="5087" ht="18" customHeight="1"/>
    <x:row r="5088" ht="18" customHeight="1"/>
    <x:row r="5089" ht="18" customHeight="1"/>
    <x:row r="5090" ht="18" customHeight="1"/>
    <x:row r="5091" ht="18" customHeight="1"/>
    <x:row r="5092" ht="18" customHeight="1"/>
    <x:row r="5093" ht="18" customHeight="1"/>
    <x:row r="5094" ht="18" customHeight="1"/>
    <x:row r="5095" ht="18" customHeight="1"/>
    <x:row r="5096" ht="18" customHeight="1"/>
    <x:row r="5097" ht="18" customHeight="1"/>
    <x:row r="5098" ht="18" customHeight="1"/>
    <x:row r="5099" ht="18" customHeight="1"/>
    <x:row r="5100" ht="18" customHeight="1"/>
    <x:row r="5101" ht="18" customHeight="1"/>
    <x:row r="5102" ht="18" customHeight="1"/>
    <x:row r="5103" ht="18" customHeight="1"/>
    <x:row r="5104" ht="18" customHeight="1"/>
    <x:row r="5105" ht="18" customHeight="1"/>
    <x:row r="5106" ht="18" customHeight="1"/>
    <x:row r="5107" ht="18" customHeight="1"/>
    <x:row r="5108" ht="18" customHeight="1"/>
    <x:row r="5109" ht="18" customHeight="1"/>
    <x:row r="5110" ht="18" customHeight="1"/>
    <x:row r="5111" ht="18" customHeight="1"/>
    <x:row r="5112" ht="18" customHeight="1"/>
    <x:row r="5113" ht="18" customHeight="1"/>
    <x:row r="5114" ht="18" customHeight="1"/>
    <x:row r="5115" ht="18" customHeight="1"/>
    <x:row r="5116" ht="18" customHeight="1"/>
    <x:row r="5117" ht="18" customHeight="1"/>
    <x:row r="5118" ht="18" customHeight="1"/>
    <x:row r="5119" ht="18" customHeight="1"/>
    <x:row r="5120" ht="18" customHeight="1"/>
    <x:row r="5121" ht="18" customHeight="1"/>
    <x:row r="5122" ht="18" customHeight="1"/>
    <x:row r="5123" ht="18" customHeight="1"/>
    <x:row r="5124" ht="18" customHeight="1"/>
    <x:row r="5125" ht="18" customHeight="1"/>
    <x:row r="5126" ht="18" customHeight="1"/>
    <x:row r="5127" ht="18" customHeight="1"/>
    <x:row r="5128" ht="18" customHeight="1"/>
    <x:row r="5129" ht="18" customHeight="1"/>
    <x:row r="5130" ht="18" customHeight="1"/>
    <x:row r="5131" ht="18" customHeight="1"/>
    <x:row r="5132" ht="18" customHeight="1"/>
    <x:row r="5133" ht="18" customHeight="1"/>
    <x:row r="5134" ht="18" customHeight="1"/>
    <x:row r="5135" ht="18" customHeight="1"/>
    <x:row r="5136" ht="18" customHeight="1"/>
    <x:row r="5137" ht="18" customHeight="1"/>
    <x:row r="5138" ht="18" customHeight="1"/>
    <x:row r="5139" ht="18" customHeight="1"/>
    <x:row r="5140" ht="18" customHeight="1"/>
    <x:row r="5141" ht="18" customHeight="1"/>
    <x:row r="5142" ht="18" customHeight="1"/>
    <x:row r="5143" ht="18" customHeight="1"/>
    <x:row r="5144" ht="18" customHeight="1"/>
    <x:row r="5145" ht="18" customHeight="1"/>
    <x:row r="5146" ht="18" customHeight="1"/>
    <x:row r="5147" ht="18" customHeight="1"/>
    <x:row r="5148" ht="18" customHeight="1"/>
    <x:row r="5149" ht="18" customHeight="1"/>
    <x:row r="5150" ht="18" customHeight="1"/>
    <x:row r="5151" ht="18" customHeight="1"/>
    <x:row r="5152" ht="18" customHeight="1"/>
    <x:row r="5153" ht="18" customHeight="1"/>
    <x:row r="5154" ht="18" customHeight="1"/>
    <x:row r="5155" ht="18" customHeight="1"/>
    <x:row r="5156" ht="18" customHeight="1"/>
    <x:row r="5157" ht="18" customHeight="1"/>
    <x:row r="5158" ht="18" customHeight="1"/>
    <x:row r="5159" ht="18" customHeight="1"/>
    <x:row r="5160" ht="18" customHeight="1"/>
    <x:row r="5161" ht="18" customHeight="1"/>
    <x:row r="5162" ht="18" customHeight="1"/>
    <x:row r="5163" ht="18" customHeight="1"/>
    <x:row r="5164" ht="18" customHeight="1"/>
    <x:row r="5165" ht="18" customHeight="1"/>
    <x:row r="5166" ht="18" customHeight="1"/>
    <x:row r="5167" ht="18" customHeight="1"/>
    <x:row r="5168" ht="18" customHeight="1"/>
    <x:row r="5169" ht="18" customHeight="1"/>
    <x:row r="5170" ht="18" customHeight="1"/>
    <x:row r="5171" ht="18" customHeight="1"/>
    <x:row r="5172" ht="18" customHeight="1"/>
    <x:row r="5173" ht="18" customHeight="1"/>
    <x:row r="5174" ht="18" customHeight="1"/>
    <x:row r="5175" ht="18" customHeight="1"/>
    <x:row r="5176" ht="18" customHeight="1"/>
    <x:row r="5177" ht="18" customHeight="1"/>
    <x:row r="5178" ht="18" customHeight="1"/>
    <x:row r="5179" ht="18" customHeight="1"/>
    <x:row r="5180" ht="18" customHeight="1"/>
    <x:row r="5181" ht="18" customHeight="1"/>
    <x:row r="5182" ht="18" customHeight="1"/>
    <x:row r="5183" ht="18" customHeight="1"/>
    <x:row r="5184" ht="18" customHeight="1"/>
    <x:row r="5185" ht="18" customHeight="1"/>
    <x:row r="5186" ht="18" customHeight="1"/>
    <x:row r="5187" ht="18" customHeight="1"/>
    <x:row r="5188" ht="18" customHeight="1"/>
    <x:row r="5189" ht="18" customHeight="1"/>
    <x:row r="5190" ht="18" customHeight="1"/>
    <x:row r="5191" ht="18" customHeight="1"/>
    <x:row r="5192" ht="18" customHeight="1"/>
    <x:row r="5193" ht="18" customHeight="1"/>
    <x:row r="5194" ht="18" customHeight="1"/>
    <x:row r="5195" ht="18" customHeight="1"/>
    <x:row r="5196" ht="18" customHeight="1"/>
    <x:row r="5197" ht="18" customHeight="1"/>
    <x:row r="5198" ht="18" customHeight="1"/>
    <x:row r="5199" ht="18" customHeight="1"/>
    <x:row r="5200" ht="18" customHeight="1"/>
    <x:row r="5201" ht="18" customHeight="1"/>
    <x:row r="5202" ht="18" customHeight="1"/>
    <x:row r="5203" ht="18" customHeight="1"/>
    <x:row r="5204" ht="18" customHeight="1"/>
    <x:row r="5205" ht="18" customHeight="1"/>
    <x:row r="5206" ht="18" customHeight="1"/>
    <x:row r="5207" ht="18" customHeight="1"/>
    <x:row r="5208" ht="18" customHeight="1"/>
    <x:row r="5209" ht="18" customHeight="1"/>
    <x:row r="5210" ht="18" customHeight="1"/>
    <x:row r="5211" ht="18" customHeight="1"/>
    <x:row r="5212" ht="18" customHeight="1"/>
    <x:row r="5213" ht="18" customHeight="1"/>
    <x:row r="5214" ht="18" customHeight="1"/>
    <x:row r="5215" ht="18" customHeight="1"/>
    <x:row r="5216" ht="18" customHeight="1"/>
    <x:row r="5217" ht="18" customHeight="1"/>
    <x:row r="5218" ht="18" customHeight="1"/>
    <x:row r="5219" ht="18" customHeight="1"/>
    <x:row r="5220" ht="18" customHeight="1"/>
    <x:row r="5221" ht="18" customHeight="1"/>
    <x:row r="5222" ht="18" customHeight="1"/>
    <x:row r="5223" ht="18" customHeight="1"/>
    <x:row r="5224" ht="18" customHeight="1"/>
    <x:row r="5225" ht="18" customHeight="1"/>
    <x:row r="5226" ht="18" customHeight="1"/>
    <x:row r="5227" ht="18" customHeight="1"/>
    <x:row r="5228" ht="18" customHeight="1"/>
    <x:row r="5229" ht="18" customHeight="1"/>
    <x:row r="5230" ht="18" customHeight="1"/>
    <x:row r="5231" ht="18" customHeight="1"/>
    <x:row r="5232" ht="18" customHeight="1"/>
    <x:row r="5233" ht="18" customHeight="1"/>
    <x:row r="5234" ht="18" customHeight="1"/>
    <x:row r="5235" ht="18" customHeight="1"/>
    <x:row r="5236" ht="18" customHeight="1"/>
    <x:row r="5237" ht="18" customHeight="1"/>
    <x:row r="5238" ht="18" customHeight="1"/>
    <x:row r="5239" ht="18" customHeight="1"/>
    <x:row r="5240" ht="18" customHeight="1"/>
    <x:row r="5241" ht="18" customHeight="1"/>
    <x:row r="5242" ht="18" customHeight="1"/>
    <x:row r="5243" ht="18" customHeight="1"/>
    <x:row r="5244" ht="18" customHeight="1"/>
    <x:row r="5245" ht="18" customHeight="1"/>
    <x:row r="5246" ht="18" customHeight="1"/>
    <x:row r="5247" ht="18" customHeight="1"/>
    <x:row r="5248" ht="18" customHeight="1"/>
    <x:row r="5249" ht="18" customHeight="1"/>
    <x:row r="5250" ht="18" customHeight="1"/>
    <x:row r="5251" ht="18" customHeight="1"/>
    <x:row r="5252" ht="18" customHeight="1"/>
    <x:row r="5253" ht="18" customHeight="1"/>
    <x:row r="5254" ht="18" customHeight="1"/>
    <x:row r="5255" ht="18" customHeight="1"/>
    <x:row r="5256" ht="18" customHeight="1"/>
    <x:row r="5257" ht="18" customHeight="1"/>
    <x:row r="5258" ht="18" customHeight="1"/>
    <x:row r="5259" ht="18" customHeight="1"/>
    <x:row r="5260" ht="18" customHeight="1"/>
    <x:row r="5261" ht="18" customHeight="1"/>
    <x:row r="5262" ht="18" customHeight="1"/>
    <x:row r="5263" ht="18" customHeight="1"/>
    <x:row r="5264" ht="18" customHeight="1"/>
    <x:row r="5265" ht="18" customHeight="1"/>
    <x:row r="5266" ht="18" customHeight="1"/>
    <x:row r="5267" ht="18" customHeight="1"/>
    <x:row r="5268" ht="18" customHeight="1"/>
    <x:row r="5269" ht="18" customHeight="1"/>
    <x:row r="5270" ht="18" customHeight="1"/>
    <x:row r="5271" ht="18" customHeight="1"/>
    <x:row r="5272" ht="18" customHeight="1"/>
    <x:row r="5273" ht="18" customHeight="1"/>
    <x:row r="5274" ht="18" customHeight="1"/>
    <x:row r="5275" ht="18" customHeight="1"/>
    <x:row r="5276" ht="18" customHeight="1"/>
    <x:row r="5277" ht="18" customHeight="1"/>
    <x:row r="5278" ht="18" customHeight="1"/>
    <x:row r="5279" ht="18" customHeight="1"/>
    <x:row r="5280" ht="18" customHeight="1"/>
    <x:row r="5281" ht="18" customHeight="1"/>
    <x:row r="5282" ht="18" customHeight="1"/>
    <x:row r="5283" ht="18" customHeight="1"/>
    <x:row r="5284" ht="18" customHeight="1"/>
    <x:row r="5285" ht="18" customHeight="1"/>
    <x:row r="5286" ht="18" customHeight="1"/>
    <x:row r="5287" ht="18" customHeight="1"/>
    <x:row r="5288" ht="18" customHeight="1"/>
    <x:row r="5289" ht="18" customHeight="1"/>
    <x:row r="5290" ht="18" customHeight="1"/>
    <x:row r="5291" ht="18" customHeight="1"/>
    <x:row r="5292" ht="18" customHeight="1"/>
    <x:row r="5293" ht="18" customHeight="1"/>
    <x:row r="5294" ht="18" customHeight="1"/>
    <x:row r="5295" ht="18" customHeight="1"/>
    <x:row r="5296" ht="18" customHeight="1"/>
    <x:row r="5297" ht="18" customHeight="1"/>
    <x:row r="5298" ht="18" customHeight="1"/>
    <x:row r="5299" ht="18" customHeight="1"/>
    <x:row r="5300" ht="18" customHeight="1"/>
    <x:row r="5301" ht="18" customHeight="1"/>
    <x:row r="5302" ht="18" customHeight="1"/>
    <x:row r="5303" ht="18" customHeight="1"/>
    <x:row r="5304" ht="18" customHeight="1"/>
    <x:row r="5305" ht="18" customHeight="1"/>
    <x:row r="5306" ht="18" customHeight="1"/>
    <x:row r="5307" ht="18" customHeight="1"/>
    <x:row r="5308" ht="18" customHeight="1"/>
    <x:row r="5309" ht="18" customHeight="1"/>
    <x:row r="5310" ht="18" customHeight="1"/>
    <x:row r="5311" ht="18" customHeight="1"/>
    <x:row r="5312" ht="18" customHeight="1"/>
    <x:row r="5313" ht="18" customHeight="1"/>
    <x:row r="5314" ht="18" customHeight="1"/>
    <x:row r="5315" ht="18" customHeight="1"/>
    <x:row r="5316" ht="18" customHeight="1"/>
    <x:row r="5317" ht="18" customHeight="1"/>
    <x:row r="5318" ht="18" customHeight="1"/>
    <x:row r="5319" ht="18" customHeight="1"/>
    <x:row r="5320" ht="18" customHeight="1"/>
    <x:row r="5321" ht="18" customHeight="1"/>
    <x:row r="5322" ht="18" customHeight="1"/>
    <x:row r="5323" ht="18" customHeight="1"/>
    <x:row r="5324" ht="18" customHeight="1"/>
    <x:row r="5325" ht="18" customHeight="1"/>
    <x:row r="5326" ht="18" customHeight="1"/>
    <x:row r="5327" ht="18" customHeight="1"/>
    <x:row r="5328" ht="18" customHeight="1"/>
    <x:row r="5329" ht="18" customHeight="1"/>
    <x:row r="5330" ht="18" customHeight="1"/>
    <x:row r="5331" ht="18" customHeight="1"/>
    <x:row r="5332" ht="18" customHeight="1"/>
    <x:row r="5333" ht="18" customHeight="1"/>
    <x:row r="5334" ht="18" customHeight="1"/>
    <x:row r="5335" ht="18" customHeight="1"/>
    <x:row r="5336" ht="18" customHeight="1"/>
    <x:row r="5337" ht="18" customHeight="1"/>
    <x:row r="5338" ht="18" customHeight="1"/>
    <x:row r="5339" ht="18" customHeight="1"/>
    <x:row r="5340" ht="18" customHeight="1"/>
    <x:row r="5341" ht="18" customHeight="1"/>
    <x:row r="5342" ht="18" customHeight="1"/>
    <x:row r="5343" ht="18" customHeight="1"/>
    <x:row r="5344" ht="18" customHeight="1"/>
    <x:row r="5345" ht="18" customHeight="1"/>
    <x:row r="5346" ht="18" customHeight="1"/>
    <x:row r="5347" ht="18" customHeight="1"/>
    <x:row r="5348" ht="18" customHeight="1"/>
    <x:row r="5349" ht="18" customHeight="1"/>
    <x:row r="5350" ht="18" customHeight="1"/>
    <x:row r="5351" ht="18" customHeight="1"/>
    <x:row r="5352" ht="18" customHeight="1"/>
    <x:row r="5353" ht="18" customHeight="1"/>
    <x:row r="5354" ht="18" customHeight="1"/>
    <x:row r="5355" ht="18" customHeight="1"/>
    <x:row r="5356" ht="18" customHeight="1"/>
    <x:row r="5357" ht="18" customHeight="1"/>
    <x:row r="5358" ht="18" customHeight="1"/>
    <x:row r="5359" ht="18" customHeight="1"/>
    <x:row r="5360" ht="18" customHeight="1"/>
    <x:row r="5361" ht="18" customHeight="1"/>
    <x:row r="5362" ht="18" customHeight="1"/>
    <x:row r="5363" ht="18" customHeight="1"/>
    <x:row r="5364" ht="18" customHeight="1"/>
    <x:row r="5365" ht="18" customHeight="1"/>
    <x:row r="5366" ht="18" customHeight="1"/>
    <x:row r="5367" ht="18" customHeight="1"/>
    <x:row r="5368" ht="18" customHeight="1"/>
    <x:row r="5369" ht="18" customHeight="1"/>
    <x:row r="5370" ht="18" customHeight="1"/>
    <x:row r="5371" ht="18" customHeight="1"/>
    <x:row r="5372" ht="18" customHeight="1"/>
    <x:row r="5373" ht="18" customHeight="1"/>
    <x:row r="5374" ht="18" customHeight="1"/>
    <x:row r="5375" ht="18" customHeight="1"/>
    <x:row r="5376" ht="18" customHeight="1"/>
    <x:row r="5377" ht="18" customHeight="1"/>
    <x:row r="5378" ht="18" customHeight="1"/>
    <x:row r="5379" ht="18" customHeight="1"/>
    <x:row r="5380" ht="18" customHeight="1"/>
    <x:row r="5381" ht="18" customHeight="1"/>
    <x:row r="5382" ht="18" customHeight="1"/>
    <x:row r="5383" ht="18" customHeight="1"/>
    <x:row r="5384" ht="18" customHeight="1"/>
    <x:row r="5385" ht="18" customHeight="1"/>
    <x:row r="5386" ht="18" customHeight="1"/>
    <x:row r="5387" ht="18" customHeight="1"/>
    <x:row r="5388" ht="18" customHeight="1"/>
    <x:row r="5389" ht="18" customHeight="1"/>
    <x:row r="5390" ht="18" customHeight="1"/>
    <x:row r="5391" ht="18" customHeight="1"/>
    <x:row r="5392" ht="18" customHeight="1"/>
    <x:row r="5393" ht="18" customHeight="1"/>
    <x:row r="5394" ht="18" customHeight="1"/>
    <x:row r="5395" ht="18" customHeight="1"/>
    <x:row r="5396" ht="18" customHeight="1"/>
    <x:row r="5397" ht="18" customHeight="1"/>
    <x:row r="5398" ht="18" customHeight="1"/>
    <x:row r="5399" ht="18" customHeight="1"/>
    <x:row r="5400" ht="18" customHeight="1"/>
    <x:row r="5401" ht="18" customHeight="1"/>
    <x:row r="5402" ht="18" customHeight="1"/>
    <x:row r="5403" ht="18" customHeight="1"/>
    <x:row r="5404" ht="18" customHeight="1"/>
    <x:row r="5405" ht="18" customHeight="1"/>
    <x:row r="5406" ht="18" customHeight="1"/>
    <x:row r="5407" ht="18" customHeight="1"/>
    <x:row r="5408" ht="18" customHeight="1"/>
    <x:row r="5409" ht="18" customHeight="1"/>
    <x:row r="5410" ht="18" customHeight="1"/>
    <x:row r="5411" ht="18" customHeight="1"/>
    <x:row r="5412" ht="18" customHeight="1"/>
    <x:row r="5413" ht="18" customHeight="1"/>
    <x:row r="5414" ht="18" customHeight="1"/>
    <x:row r="5415" ht="18" customHeight="1"/>
    <x:row r="5416" ht="18" customHeight="1"/>
    <x:row r="5417" ht="18" customHeight="1"/>
    <x:row r="5418" ht="18" customHeight="1"/>
    <x:row r="5419" ht="18" customHeight="1"/>
    <x:row r="5420" ht="18" customHeight="1"/>
    <x:row r="5421" ht="18" customHeight="1"/>
    <x:row r="5422" ht="18" customHeight="1"/>
    <x:row r="5423" ht="18" customHeight="1"/>
    <x:row r="5424" ht="18" customHeight="1"/>
    <x:row r="5425" ht="18" customHeight="1"/>
    <x:row r="5426" ht="18" customHeight="1"/>
    <x:row r="5427" ht="18" customHeight="1"/>
    <x:row r="5428" ht="18" customHeight="1"/>
    <x:row r="5429" ht="18" customHeight="1"/>
    <x:row r="5430" ht="18" customHeight="1"/>
    <x:row r="5431" ht="18" customHeight="1"/>
    <x:row r="5432" ht="18" customHeight="1"/>
    <x:row r="5433" ht="18" customHeight="1"/>
    <x:row r="5434" ht="18" customHeight="1"/>
    <x:row r="5435" ht="18" customHeight="1"/>
    <x:row r="5436" ht="18" customHeight="1"/>
    <x:row r="5437" ht="18" customHeight="1"/>
    <x:row r="5438" ht="18" customHeight="1"/>
    <x:row r="5439" ht="18" customHeight="1"/>
    <x:row r="5440" ht="18" customHeight="1"/>
    <x:row r="5441" ht="18" customHeight="1"/>
    <x:row r="5442" ht="18" customHeight="1"/>
    <x:row r="5443" ht="18" customHeight="1"/>
    <x:row r="5444" ht="18" customHeight="1"/>
    <x:row r="5445" ht="18" customHeight="1"/>
    <x:row r="5446" ht="18" customHeight="1"/>
    <x:row r="5447" ht="18" customHeight="1"/>
    <x:row r="5448" ht="18" customHeight="1"/>
    <x:row r="5449" ht="18" customHeight="1"/>
    <x:row r="5450" ht="18" customHeight="1"/>
    <x:row r="5451" ht="18" customHeight="1"/>
    <x:row r="5452" ht="18" customHeight="1"/>
    <x:row r="5453" ht="18" customHeight="1"/>
    <x:row r="5454" ht="18" customHeight="1"/>
    <x:row r="5455" ht="18" customHeight="1"/>
    <x:row r="5456" ht="18" customHeight="1"/>
    <x:row r="5457" ht="18" customHeight="1"/>
    <x:row r="5458" ht="18" customHeight="1"/>
    <x:row r="5459" ht="18" customHeight="1"/>
    <x:row r="5460" ht="18" customHeight="1"/>
    <x:row r="5461" ht="18" customHeight="1"/>
    <x:row r="5462" ht="18" customHeight="1"/>
    <x:row r="5463" ht="18" customHeight="1"/>
    <x:row r="5464" ht="18" customHeight="1"/>
    <x:row r="5465" ht="18" customHeight="1"/>
    <x:row r="5466" ht="18" customHeight="1"/>
    <x:row r="5467" ht="18" customHeight="1"/>
    <x:row r="5468" ht="18" customHeight="1"/>
    <x:row r="5469" ht="18" customHeight="1"/>
    <x:row r="5470" ht="18" customHeight="1"/>
    <x:row r="5471" ht="18" customHeight="1"/>
    <x:row r="5472" ht="18" customHeight="1"/>
    <x:row r="5473" ht="18" customHeight="1"/>
    <x:row r="5474" ht="18" customHeight="1"/>
    <x:row r="5475" ht="18" customHeight="1"/>
    <x:row r="5476" ht="18" customHeight="1"/>
    <x:row r="5477" ht="18" customHeight="1"/>
    <x:row r="5478" ht="18" customHeight="1"/>
    <x:row r="5479" ht="18" customHeight="1"/>
    <x:row r="5480" ht="18" customHeight="1"/>
    <x:row r="5481" ht="18" customHeight="1"/>
    <x:row r="5482" ht="18" customHeight="1"/>
    <x:row r="5483" ht="18" customHeight="1"/>
    <x:row r="5484" ht="18" customHeight="1"/>
    <x:row r="5485" ht="18" customHeight="1"/>
    <x:row r="5486" ht="18" customHeight="1"/>
    <x:row r="5487" ht="18" customHeight="1"/>
    <x:row r="5488" ht="18" customHeight="1"/>
    <x:row r="5489" ht="18" customHeight="1"/>
    <x:row r="5490" ht="18" customHeight="1"/>
    <x:row r="5491" ht="18" customHeight="1"/>
    <x:row r="5492" ht="18" customHeight="1"/>
    <x:row r="5493" ht="18" customHeight="1"/>
    <x:row r="5494" ht="18" customHeight="1"/>
    <x:row r="5495" ht="18" customHeight="1"/>
    <x:row r="5496" ht="18" customHeight="1"/>
    <x:row r="5497" ht="18" customHeight="1"/>
    <x:row r="5498" ht="18" customHeight="1"/>
    <x:row r="5499" ht="18" customHeight="1"/>
    <x:row r="5500" ht="18" customHeight="1"/>
    <x:row r="5501" ht="18" customHeight="1"/>
    <x:row r="5502" ht="18" customHeight="1"/>
    <x:row r="5503" ht="18" customHeight="1"/>
    <x:row r="5504" ht="18" customHeight="1"/>
    <x:row r="5505" ht="18" customHeight="1"/>
    <x:row r="5506" ht="18" customHeight="1"/>
    <x:row r="5507" ht="18" customHeight="1"/>
    <x:row r="5508" ht="18" customHeight="1"/>
    <x:row r="5509" ht="18" customHeight="1"/>
    <x:row r="5510" ht="18" customHeight="1"/>
    <x:row r="5511" ht="18" customHeight="1"/>
    <x:row r="5512" ht="18" customHeight="1"/>
    <x:row r="5513" ht="18" customHeight="1"/>
    <x:row r="5514" ht="18" customHeight="1"/>
    <x:row r="5515" ht="18" customHeight="1"/>
    <x:row r="5516" ht="18" customHeight="1"/>
    <x:row r="5517" ht="18" customHeight="1"/>
    <x:row r="5518" ht="18" customHeight="1"/>
    <x:row r="5519" ht="18" customHeight="1"/>
    <x:row r="5520" ht="18" customHeight="1"/>
    <x:row r="5521" ht="18" customHeight="1"/>
    <x:row r="5522" ht="18" customHeight="1"/>
    <x:row r="5523" ht="18" customHeight="1"/>
    <x:row r="5524" ht="18" customHeight="1"/>
    <x:row r="5525" ht="18" customHeight="1"/>
    <x:row r="5526" ht="18" customHeight="1"/>
    <x:row r="5527" ht="18" customHeight="1"/>
    <x:row r="5528" ht="18" customHeight="1"/>
    <x:row r="5529" ht="18" customHeight="1"/>
    <x:row r="5530" ht="18" customHeight="1"/>
    <x:row r="5531" ht="18" customHeight="1"/>
    <x:row r="5532" ht="18" customHeight="1"/>
    <x:row r="5533" ht="18" customHeight="1"/>
    <x:row r="5534" ht="18" customHeight="1"/>
    <x:row r="5535" ht="18" customHeight="1"/>
    <x:row r="5536" ht="18" customHeight="1"/>
    <x:row r="5537" ht="18" customHeight="1"/>
    <x:row r="5538" ht="18" customHeight="1"/>
    <x:row r="5539" ht="18" customHeight="1"/>
    <x:row r="5540" ht="18" customHeight="1"/>
    <x:row r="5541" ht="18" customHeight="1"/>
    <x:row r="5542" ht="18" customHeight="1"/>
    <x:row r="5543" ht="18" customHeight="1"/>
    <x:row r="5544" ht="18" customHeight="1"/>
    <x:row r="5545" ht="18" customHeight="1"/>
    <x:row r="5546" ht="18" customHeight="1"/>
    <x:row r="5547" ht="18" customHeight="1"/>
    <x:row r="5548" ht="18" customHeight="1"/>
    <x:row r="5549" ht="18" customHeight="1"/>
    <x:row r="5550" ht="18" customHeight="1"/>
    <x:row r="5551" ht="18" customHeight="1"/>
    <x:row r="5552" ht="18" customHeight="1"/>
    <x:row r="5553" ht="18" customHeight="1"/>
    <x:row r="5554" ht="18" customHeight="1"/>
    <x:row r="5555" ht="18" customHeight="1"/>
    <x:row r="5556" ht="18" customHeight="1"/>
    <x:row r="5557" ht="18" customHeight="1"/>
    <x:row r="5558" ht="18" customHeight="1"/>
    <x:row r="5559" ht="18" customHeight="1"/>
    <x:row r="5560" ht="18" customHeight="1"/>
    <x:row r="5561" ht="18" customHeight="1"/>
    <x:row r="5562" ht="18" customHeight="1"/>
    <x:row r="5563" ht="18" customHeight="1"/>
    <x:row r="5564" ht="18" customHeight="1"/>
    <x:row r="5565" ht="18" customHeight="1"/>
    <x:row r="5566" ht="18" customHeight="1"/>
    <x:row r="5567" ht="18" customHeight="1"/>
    <x:row r="5568" ht="18" customHeight="1"/>
    <x:row r="5569" ht="18" customHeight="1"/>
    <x:row r="5570" ht="18" customHeight="1"/>
    <x:row r="5571" ht="18" customHeight="1"/>
    <x:row r="5572" ht="18" customHeight="1"/>
    <x:row r="5573" ht="18" customHeight="1"/>
    <x:row r="5574" ht="18" customHeight="1"/>
    <x:row r="5575" ht="18" customHeight="1"/>
    <x:row r="5576" ht="18" customHeight="1"/>
    <x:row r="5577" ht="18" customHeight="1"/>
    <x:row r="5578" ht="18" customHeight="1"/>
    <x:row r="5579" ht="18" customHeight="1"/>
    <x:row r="5580" ht="18" customHeight="1"/>
    <x:row r="5581" ht="18" customHeight="1"/>
    <x:row r="5582" ht="18" customHeight="1"/>
    <x:row r="5583" ht="18" customHeight="1"/>
    <x:row r="5584" ht="18" customHeight="1"/>
    <x:row r="5585" ht="18" customHeight="1"/>
    <x:row r="5586" ht="18" customHeight="1"/>
    <x:row r="5587" ht="18" customHeight="1"/>
    <x:row r="5588" ht="18" customHeight="1"/>
    <x:row r="5589" ht="18" customHeight="1"/>
    <x:row r="5590" ht="18" customHeight="1"/>
    <x:row r="5591" ht="18" customHeight="1"/>
    <x:row r="5592" ht="18" customHeight="1"/>
    <x:row r="5593" ht="18" customHeight="1"/>
    <x:row r="5594" ht="18" customHeight="1"/>
    <x:row r="5595" ht="18" customHeight="1"/>
    <x:row r="5596" ht="18" customHeight="1"/>
    <x:row r="5597" ht="18" customHeight="1"/>
    <x:row r="5598" ht="18" customHeight="1"/>
    <x:row r="5599" ht="18" customHeight="1"/>
    <x:row r="5600" ht="18" customHeight="1"/>
    <x:row r="5601" ht="18" customHeight="1"/>
    <x:row r="5602" ht="18" customHeight="1"/>
    <x:row r="5603" ht="18" customHeight="1"/>
    <x:row r="5604" ht="18" customHeight="1"/>
    <x:row r="5605" ht="18" customHeight="1"/>
    <x:row r="5606" ht="18" customHeight="1"/>
    <x:row r="5607" ht="18" customHeight="1"/>
    <x:row r="5608" ht="18" customHeight="1"/>
    <x:row r="5609" ht="18" customHeight="1"/>
    <x:row r="5610" ht="18" customHeight="1"/>
    <x:row r="5611" ht="18" customHeight="1"/>
    <x:row r="5612" ht="18" customHeight="1"/>
    <x:row r="5613" ht="18" customHeight="1"/>
    <x:row r="5614" ht="18" customHeight="1"/>
    <x:row r="5615" ht="18" customHeight="1"/>
    <x:row r="5616" ht="18" customHeight="1"/>
    <x:row r="5617" ht="18" customHeight="1"/>
    <x:row r="5618" ht="18" customHeight="1"/>
    <x:row r="5619" ht="18" customHeight="1"/>
    <x:row r="5620" ht="18" customHeight="1"/>
    <x:row r="5621" ht="18" customHeight="1"/>
    <x:row r="5622" ht="18" customHeight="1"/>
    <x:row r="5623" ht="18" customHeight="1"/>
    <x:row r="5624" ht="18" customHeight="1"/>
    <x:row r="5625" ht="18" customHeight="1"/>
    <x:row r="5626" ht="18" customHeight="1"/>
    <x:row r="5627" ht="18" customHeight="1"/>
    <x:row r="5628" ht="18" customHeight="1"/>
    <x:row r="5629" ht="18" customHeight="1"/>
    <x:row r="5630" ht="18" customHeight="1"/>
    <x:row r="5631" ht="18" customHeight="1"/>
    <x:row r="5632" ht="18" customHeight="1"/>
    <x:row r="5633" ht="18" customHeight="1"/>
    <x:row r="5634" ht="18" customHeight="1"/>
    <x:row r="5635" ht="18" customHeight="1"/>
    <x:row r="5636" ht="18" customHeight="1"/>
    <x:row r="5637" ht="18" customHeight="1"/>
    <x:row r="5638" ht="18" customHeight="1"/>
    <x:row r="5639" ht="18" customHeight="1"/>
    <x:row r="5640" ht="18" customHeight="1"/>
    <x:row r="5641" ht="18" customHeight="1"/>
    <x:row r="5642" ht="18" customHeight="1"/>
    <x:row r="5643" ht="18" customHeight="1"/>
    <x:row r="5644" ht="18" customHeight="1"/>
    <x:row r="5645" ht="18" customHeight="1"/>
    <x:row r="5646" ht="18" customHeight="1"/>
    <x:row r="5647" ht="18" customHeight="1"/>
    <x:row r="5648" ht="18" customHeight="1"/>
    <x:row r="5649" ht="18" customHeight="1"/>
    <x:row r="5650" ht="18" customHeight="1"/>
    <x:row r="5651" ht="18" customHeight="1"/>
    <x:row r="5652" ht="18" customHeight="1"/>
    <x:row r="5653" ht="18" customHeight="1"/>
    <x:row r="5654" ht="18" customHeight="1"/>
    <x:row r="5655" ht="18" customHeight="1"/>
    <x:row r="5656" ht="18" customHeight="1"/>
    <x:row r="5657" ht="18" customHeight="1"/>
    <x:row r="5658" ht="18" customHeight="1"/>
    <x:row r="5659" ht="18" customHeight="1"/>
    <x:row r="5660" ht="18" customHeight="1"/>
    <x:row r="5661" ht="18" customHeight="1"/>
    <x:row r="5662" ht="18" customHeight="1"/>
    <x:row r="5663" ht="18" customHeight="1"/>
    <x:row r="5664" ht="18" customHeight="1"/>
    <x:row r="5665" ht="18" customHeight="1"/>
    <x:row r="5666" ht="18" customHeight="1"/>
    <x:row r="5667" ht="18" customHeight="1"/>
    <x:row r="5668" ht="18" customHeight="1"/>
    <x:row r="5669" ht="18" customHeight="1"/>
    <x:row r="5670" ht="18" customHeight="1"/>
    <x:row r="5671" ht="18" customHeight="1"/>
    <x:row r="5672" ht="18" customHeight="1"/>
    <x:row r="5673" ht="18" customHeight="1"/>
    <x:row r="5674" ht="18" customHeight="1"/>
    <x:row r="5675" ht="18" customHeight="1"/>
    <x:row r="5676" ht="18" customHeight="1"/>
    <x:row r="5677" ht="18" customHeight="1"/>
    <x:row r="5678" ht="18" customHeight="1"/>
    <x:row r="5679" ht="18" customHeight="1"/>
    <x:row r="5680" ht="18" customHeight="1"/>
    <x:row r="5681" ht="18" customHeight="1"/>
    <x:row r="5682" ht="18" customHeight="1"/>
    <x:row r="5683" ht="18" customHeight="1"/>
    <x:row r="5684" ht="18" customHeight="1"/>
    <x:row r="5685" ht="18" customHeight="1"/>
    <x:row r="5686" ht="18" customHeight="1"/>
    <x:row r="5687" ht="18" customHeight="1"/>
    <x:row r="5688" ht="18" customHeight="1"/>
    <x:row r="5689" ht="18" customHeight="1"/>
    <x:row r="5690" ht="18" customHeight="1"/>
    <x:row r="5691" ht="18" customHeight="1"/>
    <x:row r="5692" ht="18" customHeight="1"/>
    <x:row r="5693" ht="18" customHeight="1"/>
    <x:row r="5694" ht="18" customHeight="1"/>
    <x:row r="5695" ht="18" customHeight="1"/>
    <x:row r="5696" ht="18" customHeight="1"/>
    <x:row r="5697" ht="18" customHeight="1"/>
    <x:row r="5698" ht="18" customHeight="1"/>
    <x:row r="5699" ht="18" customHeight="1"/>
    <x:row r="5700" ht="18" customHeight="1"/>
    <x:row r="5701" ht="18" customHeight="1"/>
    <x:row r="5702" ht="18" customHeight="1"/>
    <x:row r="5703" ht="18" customHeight="1"/>
    <x:row r="5704" ht="18" customHeight="1"/>
    <x:row r="5705" ht="18" customHeight="1"/>
    <x:row r="5706" ht="18" customHeight="1"/>
    <x:row r="5707" ht="18" customHeight="1"/>
    <x:row r="5708" ht="18" customHeight="1"/>
    <x:row r="5709" ht="18" customHeight="1"/>
    <x:row r="5710" ht="18" customHeight="1"/>
    <x:row r="5711" ht="18" customHeight="1"/>
    <x:row r="5712" ht="18" customHeight="1"/>
    <x:row r="5713" ht="18" customHeight="1"/>
    <x:row r="5714" ht="18" customHeight="1"/>
    <x:row r="5715" ht="18" customHeight="1"/>
    <x:row r="5716" ht="18" customHeight="1"/>
    <x:row r="5717" ht="18" customHeight="1"/>
    <x:row r="5718" ht="18" customHeight="1"/>
    <x:row r="5719" ht="18" customHeight="1"/>
    <x:row r="5720" ht="18" customHeight="1"/>
    <x:row r="5721" ht="18" customHeight="1"/>
    <x:row r="5722" ht="18" customHeight="1"/>
    <x:row r="5723" ht="18" customHeight="1"/>
    <x:row r="5724" ht="18" customHeight="1"/>
    <x:row r="5725" ht="18" customHeight="1"/>
    <x:row r="5726" ht="18" customHeight="1"/>
    <x:row r="5727" ht="18" customHeight="1"/>
    <x:row r="5728" ht="18" customHeight="1"/>
    <x:row r="5729" ht="18" customHeight="1"/>
    <x:row r="5730" ht="18" customHeight="1"/>
    <x:row r="5731" ht="18" customHeight="1"/>
    <x:row r="5732" ht="18" customHeight="1"/>
    <x:row r="5733" ht="18" customHeight="1"/>
    <x:row r="5734" ht="18" customHeight="1"/>
    <x:row r="5735" ht="18" customHeight="1"/>
    <x:row r="5736" ht="18" customHeight="1"/>
    <x:row r="5737" ht="18" customHeight="1"/>
    <x:row r="5738" ht="18" customHeight="1"/>
    <x:row r="5739" ht="18" customHeight="1"/>
    <x:row r="5740" ht="18" customHeight="1"/>
    <x:row r="5741" ht="18" customHeight="1"/>
    <x:row r="5742" ht="18" customHeight="1"/>
    <x:row r="5743" ht="18" customHeight="1"/>
    <x:row r="5744" ht="18" customHeight="1"/>
    <x:row r="5745" ht="18" customHeight="1"/>
    <x:row r="5746" ht="18" customHeight="1"/>
    <x:row r="5747" ht="18" customHeight="1"/>
    <x:row r="5748" ht="18" customHeight="1"/>
    <x:row r="5749" ht="18" customHeight="1"/>
    <x:row r="5750" ht="18" customHeight="1"/>
    <x:row r="5751" ht="18" customHeight="1"/>
    <x:row r="5752" ht="18" customHeight="1"/>
    <x:row r="5753" ht="18" customHeight="1"/>
    <x:row r="5754" ht="18" customHeight="1"/>
    <x:row r="5755" ht="18" customHeight="1"/>
    <x:row r="5756" ht="18" customHeight="1"/>
    <x:row r="5757" ht="18" customHeight="1"/>
    <x:row r="5758" ht="18" customHeight="1"/>
    <x:row r="5759" ht="18" customHeight="1"/>
    <x:row r="5760" ht="18" customHeight="1"/>
    <x:row r="5761" ht="18" customHeight="1"/>
    <x:row r="5762" ht="18" customHeight="1"/>
    <x:row r="5763" ht="18" customHeight="1"/>
    <x:row r="5764" ht="18" customHeight="1"/>
    <x:row r="5765" ht="18" customHeight="1"/>
    <x:row r="5766" ht="18" customHeight="1"/>
    <x:row r="5767" ht="18" customHeight="1"/>
    <x:row r="5768" ht="18" customHeight="1"/>
    <x:row r="5769" ht="18" customHeight="1"/>
    <x:row r="5770" ht="18" customHeight="1"/>
    <x:row r="5771" ht="18" customHeight="1"/>
    <x:row r="5772" ht="18" customHeight="1"/>
    <x:row r="5773" ht="18" customHeight="1"/>
    <x:row r="5774" ht="18" customHeight="1"/>
    <x:row r="5775" ht="18" customHeight="1"/>
    <x:row r="5776" ht="18" customHeight="1"/>
    <x:row r="5777" ht="18" customHeight="1"/>
    <x:row r="5778" ht="18" customHeight="1"/>
    <x:row r="5779" ht="18" customHeight="1"/>
    <x:row r="5780" ht="18" customHeight="1"/>
    <x:row r="5781" ht="18" customHeight="1"/>
    <x:row r="5782" ht="18" customHeight="1"/>
    <x:row r="5783" ht="18" customHeight="1"/>
    <x:row r="5784" ht="18" customHeight="1"/>
    <x:row r="5785" ht="18" customHeight="1"/>
    <x:row r="5786" ht="18" customHeight="1"/>
    <x:row r="5787" ht="18" customHeight="1"/>
    <x:row r="5788" ht="18" customHeight="1"/>
    <x:row r="5789" ht="18" customHeight="1"/>
    <x:row r="5790" ht="18" customHeight="1"/>
    <x:row r="5791" ht="18" customHeight="1"/>
    <x:row r="5792" ht="18" customHeight="1"/>
    <x:row r="5793" ht="18" customHeight="1"/>
    <x:row r="5794" ht="18" customHeight="1"/>
    <x:row r="5795" ht="18" customHeight="1"/>
    <x:row r="5796" ht="18" customHeight="1"/>
    <x:row r="5797" ht="18" customHeight="1"/>
    <x:row r="5798" ht="18" customHeight="1"/>
    <x:row r="5799" ht="18" customHeight="1"/>
    <x:row r="5800" ht="18" customHeight="1"/>
    <x:row r="5801" ht="18" customHeight="1"/>
    <x:row r="5802" ht="18" customHeight="1"/>
    <x:row r="5803" ht="18" customHeight="1"/>
    <x:row r="5804" ht="18" customHeight="1"/>
    <x:row r="5805" ht="18" customHeight="1"/>
    <x:row r="5806" ht="18" customHeight="1"/>
    <x:row r="5807" ht="18" customHeight="1"/>
    <x:row r="5808" ht="18" customHeight="1"/>
    <x:row r="5809" ht="18" customHeight="1"/>
    <x:row r="5810" ht="18" customHeight="1"/>
    <x:row r="5811" ht="18" customHeight="1"/>
    <x:row r="5812" ht="18" customHeight="1"/>
    <x:row r="5813" ht="18" customHeight="1"/>
    <x:row r="5814" ht="18" customHeight="1"/>
    <x:row r="5815" ht="18" customHeight="1"/>
    <x:row r="5816" ht="18" customHeight="1"/>
    <x:row r="5817" ht="18" customHeight="1"/>
    <x:row r="5818" ht="18" customHeight="1"/>
    <x:row r="5819" ht="18" customHeight="1"/>
    <x:row r="5820" ht="18" customHeight="1"/>
    <x:row r="5821" ht="18" customHeight="1"/>
    <x:row r="5822" ht="18" customHeight="1"/>
    <x:row r="5823" ht="18" customHeight="1"/>
    <x:row r="5824" ht="18" customHeight="1"/>
    <x:row r="5825" ht="18" customHeight="1"/>
    <x:row r="5826" ht="18" customHeight="1"/>
    <x:row r="5827" ht="18" customHeight="1"/>
    <x:row r="5828" ht="18" customHeight="1"/>
    <x:row r="5829" ht="18" customHeight="1"/>
    <x:row r="5830" ht="18" customHeight="1"/>
    <x:row r="5831" ht="18" customHeight="1"/>
    <x:row r="5832" ht="18" customHeight="1"/>
    <x:row r="5833" ht="18" customHeight="1"/>
    <x:row r="5834" ht="18" customHeight="1"/>
    <x:row r="5835" ht="18" customHeight="1"/>
    <x:row r="5836" ht="18" customHeight="1"/>
    <x:row r="5837" ht="18" customHeight="1"/>
    <x:row r="5838" ht="18" customHeight="1"/>
    <x:row r="5839" ht="18" customHeight="1"/>
    <x:row r="5840" ht="18" customHeight="1"/>
    <x:row r="5841" ht="18" customHeight="1"/>
    <x:row r="5842" ht="18" customHeight="1"/>
    <x:row r="5843" ht="18" customHeight="1"/>
    <x:row r="5844" ht="18" customHeight="1"/>
    <x:row r="5845" ht="18" customHeight="1"/>
    <x:row r="5846" ht="18" customHeight="1"/>
    <x:row r="5847" ht="18" customHeight="1"/>
    <x:row r="5848" ht="18" customHeight="1"/>
    <x:row r="5849" ht="18" customHeight="1"/>
    <x:row r="5850" ht="18" customHeight="1"/>
    <x:row r="5851" ht="18" customHeight="1"/>
    <x:row r="5852" ht="18" customHeight="1"/>
    <x:row r="5853" ht="18" customHeight="1"/>
    <x:row r="5854" ht="18" customHeight="1"/>
    <x:row r="5855" ht="18" customHeight="1"/>
    <x:row r="5856" ht="18" customHeight="1"/>
    <x:row r="5857" ht="18" customHeight="1"/>
    <x:row r="5858" ht="18" customHeight="1"/>
    <x:row r="5859" ht="18" customHeight="1"/>
    <x:row r="5860" ht="18" customHeight="1"/>
    <x:row r="5861" ht="18" customHeight="1"/>
    <x:row r="5862" ht="18" customHeight="1"/>
    <x:row r="5863" ht="18" customHeight="1"/>
    <x:row r="5864" ht="18" customHeight="1"/>
    <x:row r="5865" ht="18" customHeight="1"/>
    <x:row r="5866" ht="18" customHeight="1"/>
    <x:row r="5867" ht="18" customHeight="1"/>
    <x:row r="5868" ht="18" customHeight="1"/>
    <x:row r="5869" ht="18" customHeight="1"/>
    <x:row r="5870" ht="18" customHeight="1"/>
    <x:row r="5871" ht="18" customHeight="1"/>
    <x:row r="5872" ht="18" customHeight="1"/>
    <x:row r="5873" ht="18" customHeight="1"/>
    <x:row r="5874" ht="18" customHeight="1"/>
    <x:row r="5875" ht="18" customHeight="1"/>
    <x:row r="5876" ht="18" customHeight="1"/>
    <x:row r="5877" ht="18" customHeight="1"/>
    <x:row r="5878" ht="18" customHeight="1"/>
    <x:row r="5879" ht="18" customHeight="1"/>
    <x:row r="5880" ht="18" customHeight="1"/>
    <x:row r="5881" ht="18" customHeight="1"/>
    <x:row r="5882" ht="18" customHeight="1"/>
    <x:row r="5883" ht="18" customHeight="1"/>
    <x:row r="5884" ht="18" customHeight="1"/>
    <x:row r="5885" ht="18" customHeight="1"/>
    <x:row r="5886" ht="18" customHeight="1"/>
    <x:row r="5887" ht="18" customHeight="1"/>
    <x:row r="5888" ht="18" customHeight="1"/>
    <x:row r="5889" ht="18" customHeight="1"/>
    <x:row r="5890" ht="18" customHeight="1"/>
    <x:row r="5891" ht="18" customHeight="1"/>
    <x:row r="5892" ht="18" customHeight="1"/>
    <x:row r="5893" ht="18" customHeight="1"/>
    <x:row r="5894" ht="18" customHeight="1"/>
    <x:row r="5895" ht="18" customHeight="1"/>
    <x:row r="5896" ht="18" customHeight="1"/>
    <x:row r="5897" ht="18" customHeight="1"/>
    <x:row r="5898" ht="18" customHeight="1"/>
    <x:row r="5899" ht="18" customHeight="1"/>
    <x:row r="5900" ht="18" customHeight="1"/>
    <x:row r="5901" ht="18" customHeight="1"/>
    <x:row r="5902" ht="18" customHeight="1"/>
    <x:row r="5903" ht="18" customHeight="1"/>
    <x:row r="5904" ht="18" customHeight="1"/>
    <x:row r="5905" ht="18" customHeight="1"/>
    <x:row r="5906" ht="18" customHeight="1"/>
    <x:row r="5907" ht="18" customHeight="1"/>
    <x:row r="5908" ht="18" customHeight="1"/>
    <x:row r="5909" ht="18" customHeight="1"/>
    <x:row r="5910" ht="18" customHeight="1"/>
    <x:row r="5911" ht="18" customHeight="1"/>
    <x:row r="5912" ht="18" customHeight="1"/>
    <x:row r="5913" ht="18" customHeight="1"/>
    <x:row r="5914" ht="18" customHeight="1"/>
    <x:row r="5915" ht="18" customHeight="1"/>
    <x:row r="5916" ht="18" customHeight="1"/>
    <x:row r="5917" ht="18" customHeight="1"/>
    <x:row r="5918" ht="18" customHeight="1"/>
    <x:row r="5919" ht="18" customHeight="1"/>
    <x:row r="5920" ht="18" customHeight="1"/>
    <x:row r="5921" ht="18" customHeight="1"/>
    <x:row r="5922" ht="18" customHeight="1"/>
    <x:row r="5923" ht="18" customHeight="1"/>
    <x:row r="5924" ht="18" customHeight="1"/>
    <x:row r="5925" ht="18" customHeight="1"/>
    <x:row r="5926" ht="18" customHeight="1"/>
    <x:row r="5927" ht="18" customHeight="1"/>
    <x:row r="5928" ht="18" customHeight="1"/>
    <x:row r="5929" ht="18" customHeight="1"/>
    <x:row r="5930" ht="18" customHeight="1"/>
    <x:row r="5931" ht="18" customHeight="1"/>
    <x:row r="5932" ht="18" customHeight="1"/>
    <x:row r="5933" ht="18" customHeight="1"/>
    <x:row r="5934" ht="18" customHeight="1"/>
    <x:row r="5935" ht="18" customHeight="1"/>
    <x:row r="5936" ht="18" customHeight="1"/>
    <x:row r="5937" ht="18" customHeight="1"/>
    <x:row r="5938" ht="18" customHeight="1"/>
    <x:row r="5939" ht="18" customHeight="1"/>
    <x:row r="5940" ht="18" customHeight="1"/>
    <x:row r="5941" ht="18" customHeight="1"/>
    <x:row r="5942" ht="18" customHeight="1"/>
    <x:row r="5943" ht="18" customHeight="1"/>
    <x:row r="5944" ht="18" customHeight="1"/>
    <x:row r="5945" ht="18" customHeight="1"/>
    <x:row r="5946" ht="18" customHeight="1"/>
    <x:row r="5947" ht="18" customHeight="1"/>
    <x:row r="5948" ht="18" customHeight="1"/>
    <x:row r="5949" ht="18" customHeight="1"/>
    <x:row r="5950" ht="18" customHeight="1"/>
    <x:row r="5951" ht="18" customHeight="1"/>
    <x:row r="5952" ht="18" customHeight="1"/>
    <x:row r="5953" ht="18" customHeight="1"/>
    <x:row r="5954" ht="18" customHeight="1"/>
    <x:row r="5955" ht="18" customHeight="1"/>
    <x:row r="5956" ht="18" customHeight="1"/>
    <x:row r="5957" ht="18" customHeight="1"/>
    <x:row r="5958" ht="18" customHeight="1"/>
    <x:row r="5959" ht="18" customHeight="1"/>
    <x:row r="5960" ht="18" customHeight="1"/>
    <x:row r="5961" ht="18" customHeight="1"/>
    <x:row r="5962" ht="18" customHeight="1"/>
    <x:row r="5963" ht="18" customHeight="1"/>
    <x:row r="5964" ht="18" customHeight="1"/>
    <x:row r="5965" ht="18" customHeight="1"/>
    <x:row r="5966" ht="18" customHeight="1"/>
    <x:row r="5967" ht="18" customHeight="1"/>
    <x:row r="5968" ht="18" customHeight="1"/>
    <x:row r="5969" ht="18" customHeight="1"/>
    <x:row r="5970" ht="18" customHeight="1"/>
    <x:row r="5971" ht="18" customHeight="1"/>
    <x:row r="5972" ht="18" customHeight="1"/>
    <x:row r="5973" ht="18" customHeight="1"/>
    <x:row r="5974" ht="18" customHeight="1"/>
    <x:row r="5975" ht="18" customHeight="1"/>
    <x:row r="5976" ht="18" customHeight="1"/>
    <x:row r="5977" ht="18" customHeight="1"/>
    <x:row r="5978" ht="18" customHeight="1"/>
    <x:row r="5979" ht="18" customHeight="1"/>
    <x:row r="5980" ht="18" customHeight="1"/>
    <x:row r="5981" ht="18" customHeight="1"/>
    <x:row r="5982" ht="18" customHeight="1"/>
    <x:row r="5983" ht="18" customHeight="1"/>
    <x:row r="5984" ht="18" customHeight="1"/>
    <x:row r="5985" ht="18" customHeight="1"/>
    <x:row r="5986" ht="18" customHeight="1"/>
    <x:row r="5987" ht="18" customHeight="1"/>
    <x:row r="5988" ht="18" customHeight="1"/>
    <x:row r="5989" ht="18" customHeight="1"/>
    <x:row r="5990" ht="18" customHeight="1"/>
    <x:row r="5991" ht="18" customHeight="1"/>
    <x:row r="5992" ht="18" customHeight="1"/>
    <x:row r="5993" ht="18" customHeight="1"/>
    <x:row r="5994" ht="18" customHeight="1"/>
    <x:row r="5995" ht="18" customHeight="1"/>
    <x:row r="5996" ht="18" customHeight="1"/>
    <x:row r="5997" ht="18" customHeight="1"/>
    <x:row r="5998" ht="18" customHeight="1"/>
    <x:row r="5999" ht="18" customHeight="1"/>
    <x:row r="6000" ht="18" customHeight="1"/>
    <x:row r="6001" ht="18" customHeight="1"/>
    <x:row r="6002" ht="18" customHeight="1"/>
    <x:row r="6003" ht="18" customHeight="1"/>
    <x:row r="6004" ht="18" customHeight="1"/>
    <x:row r="6005" ht="18" customHeight="1"/>
    <x:row r="6006" ht="18" customHeight="1"/>
    <x:row r="6007" ht="18" customHeight="1"/>
    <x:row r="6008" ht="18" customHeight="1"/>
    <x:row r="6009" ht="18" customHeight="1"/>
    <x:row r="6010" ht="18" customHeight="1"/>
    <x:row r="6011" ht="18" customHeight="1"/>
    <x:row r="6012" ht="18" customHeight="1"/>
    <x:row r="6013" ht="18" customHeight="1"/>
    <x:row r="6014" ht="18" customHeight="1"/>
    <x:row r="6015" ht="18" customHeight="1"/>
    <x:row r="6016" ht="18" customHeight="1"/>
    <x:row r="6017" ht="18" customHeight="1"/>
    <x:row r="6018" ht="18" customHeight="1"/>
    <x:row r="6019" ht="18" customHeight="1"/>
    <x:row r="6020" ht="18" customHeight="1"/>
    <x:row r="6021" ht="18" customHeight="1"/>
    <x:row r="6022" ht="18" customHeight="1"/>
    <x:row r="6023" ht="18" customHeight="1"/>
    <x:row r="6024" ht="18" customHeight="1"/>
    <x:row r="6025" ht="18" customHeight="1"/>
    <x:row r="6026" ht="18" customHeight="1"/>
    <x:row r="6027" ht="18" customHeight="1"/>
    <x:row r="6028" ht="18" customHeight="1"/>
    <x:row r="6029" ht="18" customHeight="1"/>
    <x:row r="6030" ht="18" customHeight="1"/>
    <x:row r="6031" ht="18" customHeight="1"/>
    <x:row r="6032" ht="18" customHeight="1"/>
    <x:row r="6033" ht="18" customHeight="1"/>
    <x:row r="6034" ht="18" customHeight="1"/>
    <x:row r="6035" ht="18" customHeight="1"/>
    <x:row r="6036" ht="18" customHeight="1"/>
    <x:row r="6037" ht="18" customHeight="1"/>
    <x:row r="6038" ht="18" customHeight="1"/>
    <x:row r="6039" ht="18" customHeight="1"/>
    <x:row r="6040" ht="18" customHeight="1"/>
    <x:row r="6041" ht="18" customHeight="1"/>
    <x:row r="6042" ht="18" customHeight="1"/>
    <x:row r="6043" ht="18" customHeight="1"/>
    <x:row r="6044" ht="18" customHeight="1"/>
    <x:row r="6045" ht="18" customHeight="1"/>
    <x:row r="6046" ht="18" customHeight="1"/>
    <x:row r="6047" ht="18" customHeight="1"/>
    <x:row r="6048" ht="18" customHeight="1"/>
    <x:row r="6049" ht="18" customHeight="1"/>
    <x:row r="6050" ht="18" customHeight="1"/>
    <x:row r="6051" ht="18" customHeight="1"/>
    <x:row r="6052" ht="18" customHeight="1"/>
    <x:row r="6053" ht="18" customHeight="1"/>
    <x:row r="6054" ht="18" customHeight="1"/>
    <x:row r="6055" ht="18" customHeight="1"/>
    <x:row r="6056" ht="18" customHeight="1"/>
    <x:row r="6057" ht="18" customHeight="1"/>
    <x:row r="6058" ht="18" customHeight="1"/>
    <x:row r="6059" ht="18" customHeight="1"/>
    <x:row r="6060" ht="18" customHeight="1"/>
    <x:row r="6061" ht="18" customHeight="1"/>
    <x:row r="6062" ht="18" customHeight="1"/>
    <x:row r="6063" ht="18" customHeight="1"/>
    <x:row r="6064" ht="18" customHeight="1"/>
    <x:row r="6065" ht="18" customHeight="1"/>
    <x:row r="6066" ht="18" customHeight="1"/>
    <x:row r="6067" ht="18" customHeight="1"/>
    <x:row r="6068" ht="18" customHeight="1"/>
    <x:row r="6069" ht="18" customHeight="1"/>
    <x:row r="6070" ht="18" customHeight="1"/>
    <x:row r="6071" ht="18" customHeight="1"/>
    <x:row r="6072" ht="18" customHeight="1"/>
    <x:row r="6073" ht="18" customHeight="1"/>
    <x:row r="6074" ht="18" customHeight="1"/>
    <x:row r="6075" ht="18" customHeight="1"/>
    <x:row r="6076" ht="18" customHeight="1"/>
    <x:row r="6077" ht="18" customHeight="1"/>
    <x:row r="6078" ht="18" customHeight="1"/>
    <x:row r="6079" ht="18" customHeight="1"/>
    <x:row r="6080" ht="18" customHeight="1"/>
    <x:row r="6081" ht="18" customHeight="1"/>
    <x:row r="6082" ht="18" customHeight="1"/>
    <x:row r="6083" ht="18" customHeight="1"/>
    <x:row r="6084" ht="18" customHeight="1"/>
    <x:row r="6085" ht="18" customHeight="1"/>
    <x:row r="6086" ht="18" customHeight="1"/>
    <x:row r="6087" ht="18" customHeight="1"/>
    <x:row r="6088" ht="18" customHeight="1"/>
    <x:row r="6089" ht="18" customHeight="1"/>
    <x:row r="6090" ht="18" customHeight="1"/>
    <x:row r="6091" ht="18" customHeight="1"/>
    <x:row r="6092" ht="18" customHeight="1"/>
    <x:row r="6093" ht="18" customHeight="1"/>
    <x:row r="6094" ht="18" customHeight="1"/>
    <x:row r="6095" ht="18" customHeight="1"/>
    <x:row r="6096" ht="18" customHeight="1"/>
    <x:row r="6097" ht="18" customHeight="1"/>
    <x:row r="6098" ht="18" customHeight="1"/>
    <x:row r="6099" ht="18" customHeight="1"/>
    <x:row r="6100" ht="18" customHeight="1"/>
    <x:row r="6101" ht="18" customHeight="1"/>
    <x:row r="6102" ht="18" customHeight="1"/>
    <x:row r="6103" ht="18" customHeight="1"/>
    <x:row r="6104" ht="18" customHeight="1"/>
    <x:row r="6105" ht="18" customHeight="1"/>
    <x:row r="6106" ht="18" customHeight="1"/>
    <x:row r="6107" ht="18" customHeight="1"/>
    <x:row r="6108" ht="18" customHeight="1"/>
    <x:row r="6109" ht="18" customHeight="1"/>
    <x:row r="6110" ht="18" customHeight="1"/>
    <x:row r="6111" ht="18" customHeight="1"/>
    <x:row r="6112" ht="18" customHeight="1"/>
    <x:row r="6113" ht="18" customHeight="1"/>
    <x:row r="6114" ht="18" customHeight="1"/>
    <x:row r="6115" ht="18" customHeight="1"/>
    <x:row r="6116" ht="18" customHeight="1"/>
    <x:row r="6117" ht="18" customHeight="1"/>
    <x:row r="6118" ht="18" customHeight="1"/>
    <x:row r="6119" ht="18" customHeight="1"/>
    <x:row r="6120" ht="18" customHeight="1"/>
    <x:row r="6121" ht="18" customHeight="1"/>
    <x:row r="6122" ht="18" customHeight="1"/>
    <x:row r="6123" ht="18" customHeight="1"/>
    <x:row r="6124" ht="18" customHeight="1"/>
    <x:row r="6125" ht="18" customHeight="1"/>
    <x:row r="6126" ht="18" customHeight="1"/>
    <x:row r="6127" ht="18" customHeight="1"/>
    <x:row r="6128" ht="18" customHeight="1"/>
    <x:row r="6129" ht="18" customHeight="1"/>
    <x:row r="6130" ht="18" customHeight="1"/>
    <x:row r="6131" ht="18" customHeight="1"/>
    <x:row r="6132" ht="18" customHeight="1"/>
    <x:row r="6133" ht="18" customHeight="1"/>
    <x:row r="6134" ht="18" customHeight="1"/>
    <x:row r="6135" ht="18" customHeight="1"/>
    <x:row r="6136" ht="18" customHeight="1"/>
    <x:row r="6137" ht="18" customHeight="1"/>
    <x:row r="6138" ht="18" customHeight="1"/>
    <x:row r="6139" ht="18" customHeight="1"/>
    <x:row r="6140" ht="18" customHeight="1"/>
    <x:row r="6141" ht="18" customHeight="1"/>
    <x:row r="6142" ht="18" customHeight="1"/>
    <x:row r="6143" ht="18" customHeight="1"/>
    <x:row r="6144" ht="18" customHeight="1"/>
    <x:row r="6145" ht="18" customHeight="1"/>
    <x:row r="6146" ht="18" customHeight="1"/>
    <x:row r="6147" ht="18" customHeight="1"/>
    <x:row r="6148" ht="18" customHeight="1"/>
    <x:row r="6149" ht="18" customHeight="1"/>
    <x:row r="6150" ht="18" customHeight="1"/>
    <x:row r="6151" ht="18" customHeight="1"/>
    <x:row r="6152" ht="18" customHeight="1"/>
    <x:row r="6153" ht="18" customHeight="1"/>
    <x:row r="6154" ht="18" customHeight="1"/>
    <x:row r="6155" ht="18" customHeight="1"/>
    <x:row r="6156" ht="18" customHeight="1"/>
    <x:row r="6157" ht="18" customHeight="1"/>
    <x:row r="6158" ht="18" customHeight="1"/>
    <x:row r="6159" ht="18" customHeight="1"/>
    <x:row r="6160" ht="18" customHeight="1"/>
    <x:row r="6161" ht="18" customHeight="1"/>
    <x:row r="6162" ht="18" customHeight="1"/>
    <x:row r="6163" ht="18" customHeight="1"/>
    <x:row r="6164" ht="18" customHeight="1"/>
    <x:row r="6165" ht="18" customHeight="1"/>
    <x:row r="6166" ht="18" customHeight="1"/>
    <x:row r="6167" ht="18" customHeight="1"/>
    <x:row r="6168" ht="18" customHeight="1"/>
    <x:row r="6169" ht="18" customHeight="1"/>
    <x:row r="6170" ht="18" customHeight="1"/>
    <x:row r="6171" ht="18" customHeight="1"/>
    <x:row r="6172" ht="18" customHeight="1"/>
    <x:row r="6173" ht="18" customHeight="1"/>
    <x:row r="6174" ht="18" customHeight="1"/>
    <x:row r="6175" ht="18" customHeight="1"/>
    <x:row r="6176" ht="18" customHeight="1"/>
    <x:row r="6177" ht="18" customHeight="1"/>
    <x:row r="6178" ht="18" customHeight="1"/>
    <x:row r="6179" ht="18" customHeight="1"/>
    <x:row r="6180" ht="18" customHeight="1"/>
    <x:row r="6181" ht="18" customHeight="1"/>
    <x:row r="6182" ht="18" customHeight="1"/>
    <x:row r="6183" ht="18" customHeight="1"/>
    <x:row r="6184" ht="18" customHeight="1"/>
    <x:row r="6185" ht="18" customHeight="1"/>
    <x:row r="6186" ht="18" customHeight="1"/>
    <x:row r="6187" ht="18" customHeight="1"/>
    <x:row r="6188" ht="18" customHeight="1"/>
    <x:row r="6189" ht="18" customHeight="1"/>
    <x:row r="6190" ht="18" customHeight="1"/>
    <x:row r="6191" ht="18" customHeight="1"/>
    <x:row r="6192" ht="18" customHeight="1"/>
    <x:row r="6193" ht="18" customHeight="1"/>
    <x:row r="6194" ht="18" customHeight="1"/>
    <x:row r="6195" ht="18" customHeight="1"/>
    <x:row r="6196" ht="18" customHeight="1"/>
    <x:row r="6197" ht="18" customHeight="1"/>
    <x:row r="6198" ht="18" customHeight="1"/>
    <x:row r="6199" ht="18" customHeight="1"/>
    <x:row r="6200" ht="18" customHeight="1"/>
    <x:row r="6201" ht="18" customHeight="1"/>
    <x:row r="6202" ht="18" customHeight="1"/>
    <x:row r="6203" ht="18" customHeight="1"/>
    <x:row r="6204" ht="18" customHeight="1"/>
    <x:row r="6205" ht="18" customHeight="1"/>
    <x:row r="6206" ht="18" customHeight="1"/>
    <x:row r="6207" ht="18" customHeight="1"/>
    <x:row r="6208" ht="18" customHeight="1"/>
    <x:row r="6209" ht="18" customHeight="1"/>
    <x:row r="6210" ht="18" customHeight="1"/>
    <x:row r="6211" ht="18" customHeight="1"/>
    <x:row r="6212" ht="18" customHeight="1"/>
    <x:row r="6213" ht="18" customHeight="1"/>
    <x:row r="6214" ht="18" customHeight="1"/>
    <x:row r="6215" ht="18" customHeight="1"/>
    <x:row r="6216" ht="18" customHeight="1"/>
    <x:row r="6217" ht="18" customHeight="1"/>
    <x:row r="6218" ht="18" customHeight="1"/>
    <x:row r="6219" ht="18" customHeight="1"/>
    <x:row r="6220" ht="18" customHeight="1"/>
    <x:row r="6221" ht="18" customHeight="1"/>
    <x:row r="6222" ht="18" customHeight="1"/>
    <x:row r="6223" ht="18" customHeight="1"/>
    <x:row r="6224" ht="18" customHeight="1"/>
    <x:row r="6225" ht="18" customHeight="1"/>
    <x:row r="6226" ht="18" customHeight="1"/>
    <x:row r="6227" ht="18" customHeight="1"/>
    <x:row r="6228" ht="18" customHeight="1"/>
    <x:row r="6229" ht="18" customHeight="1"/>
    <x:row r="6230" ht="18" customHeight="1"/>
    <x:row r="6231" ht="18" customHeight="1"/>
    <x:row r="6232" ht="18" customHeight="1"/>
    <x:row r="6233" ht="18" customHeight="1"/>
    <x:row r="6234" ht="18" customHeight="1"/>
    <x:row r="6235" ht="18" customHeight="1"/>
    <x:row r="6236" ht="18" customHeight="1"/>
    <x:row r="6237" ht="18" customHeight="1"/>
    <x:row r="6238" ht="18" customHeight="1"/>
    <x:row r="6239" ht="18" customHeight="1"/>
    <x:row r="6240" ht="18" customHeight="1"/>
    <x:row r="6241" ht="18" customHeight="1"/>
    <x:row r="6242" ht="18" customHeight="1"/>
    <x:row r="6243" ht="18" customHeight="1"/>
    <x:row r="6244" ht="18" customHeight="1"/>
    <x:row r="6245" ht="18" customHeight="1"/>
    <x:row r="6246" ht="18" customHeight="1"/>
    <x:row r="6247" ht="18" customHeight="1"/>
    <x:row r="6248" ht="18" customHeight="1"/>
    <x:row r="6249" ht="18" customHeight="1"/>
    <x:row r="6250" ht="18" customHeight="1"/>
    <x:row r="6251" ht="18" customHeight="1"/>
    <x:row r="6252" ht="18" customHeight="1"/>
    <x:row r="6253" ht="18" customHeight="1"/>
    <x:row r="6254" ht="18" customHeight="1"/>
    <x:row r="6255" ht="18" customHeight="1"/>
    <x:row r="6256" ht="18" customHeight="1"/>
    <x:row r="6257" ht="18" customHeight="1"/>
    <x:row r="6258" ht="18" customHeight="1"/>
    <x:row r="6259" ht="18" customHeight="1"/>
    <x:row r="6260" ht="18" customHeight="1"/>
    <x:row r="6261" ht="18" customHeight="1"/>
    <x:row r="6262" ht="18" customHeight="1"/>
    <x:row r="6263" ht="18" customHeight="1"/>
    <x:row r="6264" ht="18" customHeight="1"/>
    <x:row r="6265" ht="18" customHeight="1"/>
    <x:row r="6266" ht="18" customHeight="1"/>
    <x:row r="6267" ht="18" customHeight="1"/>
    <x:row r="6268" ht="18" customHeight="1"/>
    <x:row r="6269" ht="18" customHeight="1"/>
    <x:row r="6270" ht="18" customHeight="1"/>
    <x:row r="6271" ht="18" customHeight="1"/>
    <x:row r="6272" ht="18" customHeight="1"/>
    <x:row r="6273" ht="18" customHeight="1"/>
    <x:row r="6274" ht="18" customHeight="1"/>
    <x:row r="6275" ht="18" customHeight="1"/>
    <x:row r="6276" ht="18" customHeight="1"/>
    <x:row r="6277" ht="18" customHeight="1"/>
    <x:row r="6278" ht="18" customHeight="1"/>
    <x:row r="6279" ht="18" customHeight="1"/>
    <x:row r="6280" ht="18" customHeight="1"/>
    <x:row r="6281" ht="18" customHeight="1"/>
    <x:row r="6282" ht="18" customHeight="1"/>
    <x:row r="6283" ht="18" customHeight="1"/>
    <x:row r="6284" ht="18" customHeight="1"/>
    <x:row r="6285" ht="18" customHeight="1"/>
    <x:row r="6286" ht="18" customHeight="1"/>
    <x:row r="6287" ht="18" customHeight="1"/>
    <x:row r="6288" ht="18" customHeight="1"/>
    <x:row r="6289" ht="18" customHeight="1"/>
    <x:row r="6290" ht="18" customHeight="1"/>
    <x:row r="6291" ht="18" customHeight="1"/>
    <x:row r="6292" ht="18" customHeight="1"/>
    <x:row r="6293" ht="18" customHeight="1"/>
    <x:row r="6294" ht="18" customHeight="1"/>
    <x:row r="6295" ht="18" customHeight="1"/>
    <x:row r="6296" ht="18" customHeight="1"/>
    <x:row r="6297" ht="18" customHeight="1"/>
    <x:row r="6298" ht="18" customHeight="1"/>
    <x:row r="6299" ht="18" customHeight="1"/>
    <x:row r="6300" ht="18" customHeight="1"/>
    <x:row r="6301" ht="18" customHeight="1"/>
    <x:row r="6302" ht="18" customHeight="1"/>
    <x:row r="6303" ht="18" customHeight="1"/>
    <x:row r="6304" ht="18" customHeight="1"/>
    <x:row r="6305" ht="18" customHeight="1"/>
    <x:row r="6306" ht="18" customHeight="1"/>
    <x:row r="6307" ht="18" customHeight="1"/>
    <x:row r="6308" ht="18" customHeight="1"/>
    <x:row r="6309" ht="18" customHeight="1"/>
    <x:row r="6310" ht="18" customHeight="1"/>
    <x:row r="6311" ht="18" customHeight="1"/>
    <x:row r="6312" ht="18" customHeight="1"/>
    <x:row r="6313" ht="18" customHeight="1"/>
    <x:row r="6314" ht="18" customHeight="1"/>
    <x:row r="6315" ht="18" customHeight="1"/>
    <x:row r="6316" ht="18" customHeight="1"/>
    <x:row r="6317" ht="18" customHeight="1"/>
    <x:row r="6318" ht="18" customHeight="1"/>
    <x:row r="6319" ht="18" customHeight="1"/>
    <x:row r="6320" ht="18" customHeight="1"/>
    <x:row r="6321" ht="18" customHeight="1"/>
    <x:row r="6322" ht="18" customHeight="1"/>
    <x:row r="6323" ht="18" customHeight="1"/>
    <x:row r="6324" ht="18" customHeight="1"/>
    <x:row r="6325" ht="18" customHeight="1"/>
    <x:row r="6326" ht="18" customHeight="1"/>
    <x:row r="6327" ht="18" customHeight="1"/>
    <x:row r="6328" ht="18" customHeight="1"/>
    <x:row r="6329" ht="18" customHeight="1"/>
    <x:row r="6330" ht="18" customHeight="1"/>
    <x:row r="6331" ht="18" customHeight="1"/>
    <x:row r="6332" ht="18" customHeight="1"/>
    <x:row r="6333" ht="18" customHeight="1"/>
    <x:row r="6334" ht="18" customHeight="1"/>
    <x:row r="6335" ht="18" customHeight="1"/>
    <x:row r="6336" ht="18" customHeight="1"/>
    <x:row r="6337" ht="18" customHeight="1"/>
    <x:row r="6338" ht="18" customHeight="1"/>
    <x:row r="6339" ht="18" customHeight="1"/>
    <x:row r="6340" ht="18" customHeight="1"/>
    <x:row r="6341" ht="18" customHeight="1"/>
    <x:row r="6342" ht="18" customHeight="1"/>
    <x:row r="6343" ht="18" customHeight="1"/>
    <x:row r="6344" ht="18" customHeight="1"/>
    <x:row r="6345" ht="18" customHeight="1"/>
    <x:row r="6346" ht="18" customHeight="1"/>
    <x:row r="6347" ht="18" customHeight="1"/>
    <x:row r="6348" ht="18" customHeight="1"/>
    <x:row r="6349" ht="18" customHeight="1"/>
    <x:row r="6350" ht="18" customHeight="1"/>
    <x:row r="6351" ht="18" customHeight="1"/>
    <x:row r="6352" ht="18" customHeight="1"/>
    <x:row r="6353" ht="18" customHeight="1"/>
    <x:row r="6354" ht="18" customHeight="1"/>
    <x:row r="6355" ht="18" customHeight="1"/>
    <x:row r="6356" ht="18" customHeight="1"/>
    <x:row r="6357" ht="18" customHeight="1"/>
    <x:row r="6358" ht="18" customHeight="1"/>
    <x:row r="6359" ht="18" customHeight="1"/>
    <x:row r="6360" ht="18" customHeight="1"/>
    <x:row r="6361" ht="18" customHeight="1"/>
    <x:row r="6362" ht="18" customHeight="1"/>
    <x:row r="6363" ht="18" customHeight="1"/>
    <x:row r="6364" ht="18" customHeight="1"/>
    <x:row r="6365" ht="18" customHeight="1"/>
    <x:row r="6366" ht="18" customHeight="1"/>
    <x:row r="6367" ht="18" customHeight="1"/>
    <x:row r="6368" ht="18" customHeight="1"/>
    <x:row r="6369" ht="18" customHeight="1"/>
    <x:row r="6370" ht="18" customHeight="1"/>
    <x:row r="6371" ht="18" customHeight="1"/>
    <x:row r="6372" ht="18" customHeight="1"/>
    <x:row r="6373" ht="18" customHeight="1"/>
    <x:row r="6374" ht="18" customHeight="1"/>
    <x:row r="6375" ht="18" customHeight="1"/>
    <x:row r="6376" ht="18" customHeight="1"/>
    <x:row r="6377" ht="18" customHeight="1"/>
    <x:row r="6378" ht="18" customHeight="1"/>
    <x:row r="6379" ht="18" customHeight="1"/>
    <x:row r="6380" ht="18" customHeight="1"/>
    <x:row r="6381" ht="18" customHeight="1"/>
    <x:row r="6382" ht="18" customHeight="1"/>
    <x:row r="6383" ht="18" customHeight="1"/>
    <x:row r="6384" ht="18" customHeight="1"/>
    <x:row r="6385" ht="18" customHeight="1"/>
    <x:row r="6386" ht="18" customHeight="1"/>
    <x:row r="6387" ht="18" customHeight="1"/>
    <x:row r="6388" ht="18" customHeight="1"/>
    <x:row r="6389" ht="18" customHeight="1"/>
    <x:row r="6390" ht="18" customHeight="1"/>
    <x:row r="6391" ht="18" customHeight="1"/>
    <x:row r="6392" ht="18" customHeight="1"/>
    <x:row r="6393" ht="18" customHeight="1"/>
    <x:row r="6394" ht="18" customHeight="1"/>
    <x:row r="6395" ht="18" customHeight="1"/>
    <x:row r="6396" ht="18" customHeight="1"/>
    <x:row r="6397" ht="18" customHeight="1"/>
    <x:row r="6398" ht="18" customHeight="1"/>
    <x:row r="6399" ht="18" customHeight="1"/>
    <x:row r="6400" ht="18" customHeight="1"/>
    <x:row r="6401" ht="18" customHeight="1"/>
    <x:row r="6402" ht="18" customHeight="1"/>
    <x:row r="6403" ht="18" customHeight="1"/>
    <x:row r="6404" ht="18" customHeight="1"/>
    <x:row r="6405" ht="18" customHeight="1"/>
    <x:row r="6406" ht="18" customHeight="1"/>
    <x:row r="6407" ht="18" customHeight="1"/>
    <x:row r="6408" ht="18" customHeight="1"/>
    <x:row r="6409" ht="18" customHeight="1"/>
    <x:row r="6410" ht="18" customHeight="1"/>
    <x:row r="6411" ht="18" customHeight="1"/>
    <x:row r="6412" ht="18" customHeight="1"/>
    <x:row r="6413" ht="18" customHeight="1"/>
    <x:row r="6414" ht="18" customHeight="1"/>
    <x:row r="6415" ht="18" customHeight="1"/>
    <x:row r="6416" ht="18" customHeight="1"/>
    <x:row r="6417" ht="18" customHeight="1"/>
    <x:row r="6418" ht="18" customHeight="1"/>
    <x:row r="6419" ht="18" customHeight="1"/>
    <x:row r="6420" ht="18" customHeight="1"/>
    <x:row r="6421" ht="18" customHeight="1"/>
    <x:row r="6422" ht="18" customHeight="1"/>
    <x:row r="6423" ht="18" customHeight="1"/>
    <x:row r="6424" ht="18" customHeight="1"/>
    <x:row r="6425" ht="18" customHeight="1"/>
    <x:row r="6426" ht="18" customHeight="1"/>
    <x:row r="6427" ht="18" customHeight="1"/>
    <x:row r="6428" ht="18" customHeight="1"/>
    <x:row r="6429" ht="18" customHeight="1"/>
    <x:row r="6430" ht="18" customHeight="1"/>
    <x:row r="6431" ht="18" customHeight="1"/>
    <x:row r="6432" ht="18" customHeight="1"/>
    <x:row r="6433" ht="18" customHeight="1"/>
    <x:row r="6434" ht="18" customHeight="1"/>
    <x:row r="6435" ht="18" customHeight="1"/>
    <x:row r="6436" ht="18" customHeight="1"/>
    <x:row r="6437" ht="18" customHeight="1"/>
    <x:row r="6438" ht="18" customHeight="1"/>
    <x:row r="6439" ht="18" customHeight="1"/>
    <x:row r="6440" ht="18" customHeight="1"/>
    <x:row r="6441" ht="18" customHeight="1"/>
    <x:row r="6442" ht="18" customHeight="1"/>
    <x:row r="6443" ht="18" customHeight="1"/>
    <x:row r="6444" ht="18" customHeight="1"/>
    <x:row r="6445" ht="18" customHeight="1"/>
    <x:row r="6446" ht="18" customHeight="1"/>
    <x:row r="6447" ht="18" customHeight="1"/>
    <x:row r="6448" ht="18" customHeight="1"/>
    <x:row r="6449" ht="18" customHeight="1"/>
    <x:row r="6450" ht="18" customHeight="1"/>
    <x:row r="6451" ht="18" customHeight="1"/>
    <x:row r="6452" ht="18" customHeight="1"/>
    <x:row r="6453" ht="18" customHeight="1"/>
    <x:row r="6454" ht="18" customHeight="1"/>
    <x:row r="6455" ht="18" customHeight="1"/>
    <x:row r="6456" ht="18" customHeight="1"/>
    <x:row r="6457" ht="18" customHeight="1"/>
    <x:row r="6458" ht="18" customHeight="1"/>
    <x:row r="6459" ht="18" customHeight="1"/>
    <x:row r="6460" ht="18" customHeight="1"/>
    <x:row r="6461" ht="18" customHeight="1"/>
    <x:row r="6462" ht="18" customHeight="1"/>
    <x:row r="6463" ht="18" customHeight="1"/>
    <x:row r="6464" ht="18" customHeight="1"/>
    <x:row r="6465" ht="18" customHeight="1"/>
    <x:row r="6466" ht="18" customHeight="1"/>
    <x:row r="6467" ht="18" customHeight="1"/>
    <x:row r="6468" ht="18" customHeight="1"/>
    <x:row r="6469" ht="18" customHeight="1"/>
    <x:row r="6470" ht="18" customHeight="1"/>
    <x:row r="6471" ht="18" customHeight="1"/>
    <x:row r="6472" ht="18" customHeight="1"/>
    <x:row r="6473" ht="18" customHeight="1"/>
    <x:row r="6474" ht="18" customHeight="1"/>
    <x:row r="6475" ht="18" customHeight="1"/>
    <x:row r="6476" ht="18" customHeight="1"/>
    <x:row r="6477" ht="18" customHeight="1"/>
    <x:row r="6478" ht="18" customHeight="1"/>
    <x:row r="6479" ht="18" customHeight="1"/>
    <x:row r="6480" ht="18" customHeight="1"/>
    <x:row r="6481" ht="18" customHeight="1"/>
    <x:row r="6482" ht="18" customHeight="1"/>
    <x:row r="6483" ht="18" customHeight="1"/>
    <x:row r="6484" ht="18" customHeight="1"/>
    <x:row r="6485" ht="18" customHeight="1"/>
    <x:row r="6486" ht="18" customHeight="1"/>
    <x:row r="6487" ht="18" customHeight="1"/>
    <x:row r="6488" ht="18" customHeight="1"/>
    <x:row r="6489" ht="18" customHeight="1"/>
    <x:row r="6490" ht="18" customHeight="1"/>
    <x:row r="6491" ht="18" customHeight="1"/>
    <x:row r="6492" ht="18" customHeight="1"/>
    <x:row r="6493" ht="18" customHeight="1"/>
    <x:row r="6494" ht="18" customHeight="1"/>
    <x:row r="6495" ht="18" customHeight="1"/>
    <x:row r="6496" ht="18" customHeight="1"/>
    <x:row r="6497" ht="18" customHeight="1"/>
    <x:row r="6498" ht="18" customHeight="1"/>
    <x:row r="6499" ht="18" customHeight="1"/>
    <x:row r="6500" ht="18" customHeight="1"/>
    <x:row r="6501" ht="18" customHeight="1"/>
    <x:row r="6502" ht="18" customHeight="1"/>
    <x:row r="6503" ht="18" customHeight="1"/>
    <x:row r="6504" ht="18" customHeight="1"/>
    <x:row r="6505" ht="18" customHeight="1"/>
    <x:row r="6506" ht="18" customHeight="1"/>
    <x:row r="6507" ht="18" customHeight="1"/>
    <x:row r="6508" ht="18" customHeight="1"/>
    <x:row r="6509" ht="18" customHeight="1"/>
    <x:row r="6510" ht="18" customHeight="1"/>
    <x:row r="6511" ht="18" customHeight="1"/>
    <x:row r="6512" ht="18" customHeight="1"/>
    <x:row r="6513" ht="18" customHeight="1"/>
    <x:row r="6514" ht="18" customHeight="1"/>
    <x:row r="6515" ht="18" customHeight="1"/>
    <x:row r="6516" ht="18" customHeight="1"/>
    <x:row r="6517" ht="18" customHeight="1"/>
    <x:row r="6518" ht="18" customHeight="1"/>
    <x:row r="6519" ht="18" customHeight="1"/>
    <x:row r="6520" ht="18" customHeight="1"/>
    <x:row r="6521" ht="18" customHeight="1"/>
    <x:row r="6522" ht="18" customHeight="1"/>
    <x:row r="6523" ht="18" customHeight="1"/>
    <x:row r="6524" ht="18" customHeight="1"/>
    <x:row r="6525" ht="18" customHeight="1"/>
    <x:row r="6526" ht="18" customHeight="1"/>
    <x:row r="6527" ht="18" customHeight="1"/>
    <x:row r="6528" ht="18" customHeight="1"/>
    <x:row r="6529" ht="18" customHeight="1"/>
    <x:row r="6530" ht="18" customHeight="1"/>
    <x:row r="6531" ht="18" customHeight="1"/>
    <x:row r="6532" ht="18" customHeight="1"/>
    <x:row r="6533" ht="18" customHeight="1"/>
    <x:row r="6534" ht="18" customHeight="1"/>
    <x:row r="6535" ht="18" customHeight="1"/>
    <x:row r="6536" ht="18" customHeight="1"/>
    <x:row r="6537" ht="18" customHeight="1"/>
    <x:row r="6538" ht="18" customHeight="1"/>
    <x:row r="6539" ht="18" customHeight="1"/>
    <x:row r="6540" ht="18" customHeight="1"/>
    <x:row r="6541" ht="18" customHeight="1"/>
    <x:row r="6542" ht="18" customHeight="1"/>
    <x:row r="6543" ht="18" customHeight="1"/>
    <x:row r="6544" ht="18" customHeight="1"/>
    <x:row r="6545" ht="18" customHeight="1"/>
    <x:row r="6546" ht="18" customHeight="1"/>
    <x:row r="6547" ht="18" customHeight="1"/>
    <x:row r="6548" ht="18" customHeight="1"/>
    <x:row r="6549" ht="18" customHeight="1"/>
    <x:row r="6550" ht="18" customHeight="1"/>
    <x:row r="6551" ht="18" customHeight="1"/>
    <x:row r="6552" ht="18" customHeight="1"/>
    <x:row r="6553" ht="18" customHeight="1"/>
    <x:row r="6554" ht="18" customHeight="1"/>
    <x:row r="6555" ht="18" customHeight="1"/>
    <x:row r="6556" ht="18" customHeight="1"/>
    <x:row r="6557" ht="18" customHeight="1"/>
    <x:row r="6558" ht="18" customHeight="1"/>
    <x:row r="6559" ht="18" customHeight="1"/>
    <x:row r="6560" ht="18" customHeight="1"/>
    <x:row r="6561" ht="18" customHeight="1"/>
    <x:row r="6562" ht="18" customHeight="1"/>
    <x:row r="6563" ht="18" customHeight="1"/>
    <x:row r="6564" ht="18" customHeight="1"/>
    <x:row r="6565" ht="18" customHeight="1"/>
    <x:row r="6566" ht="18" customHeight="1"/>
    <x:row r="6567" ht="18" customHeight="1"/>
    <x:row r="6568" ht="18" customHeight="1"/>
    <x:row r="6569" ht="18" customHeight="1"/>
    <x:row r="6570" ht="18" customHeight="1"/>
    <x:row r="6571" ht="18" customHeight="1"/>
    <x:row r="6572" ht="18" customHeight="1"/>
    <x:row r="6573" ht="18" customHeight="1"/>
    <x:row r="6574" ht="18" customHeight="1"/>
    <x:row r="6575" ht="18" customHeight="1"/>
    <x:row r="6576" ht="18" customHeight="1"/>
    <x:row r="6577" ht="18" customHeight="1"/>
    <x:row r="6578" ht="18" customHeight="1"/>
    <x:row r="6579" ht="18" customHeight="1"/>
    <x:row r="6580" ht="18" customHeight="1"/>
    <x:row r="6581" ht="18" customHeight="1"/>
    <x:row r="6582" ht="18" customHeight="1"/>
    <x:row r="6583" ht="18" customHeight="1"/>
    <x:row r="6584" ht="18" customHeight="1"/>
    <x:row r="6585" ht="18" customHeight="1"/>
    <x:row r="6586" ht="18" customHeight="1"/>
    <x:row r="6587" ht="18" customHeight="1"/>
    <x:row r="6588" ht="18" customHeight="1"/>
    <x:row r="6589" ht="18" customHeight="1"/>
    <x:row r="6590" ht="18" customHeight="1"/>
    <x:row r="6591" ht="18" customHeight="1"/>
    <x:row r="6592" ht="18" customHeight="1"/>
    <x:row r="6593" ht="18" customHeight="1"/>
    <x:row r="6594" ht="18" customHeight="1"/>
    <x:row r="6595" ht="18" customHeight="1"/>
    <x:row r="6596" ht="18" customHeight="1"/>
    <x:row r="6597" ht="18" customHeight="1"/>
    <x:row r="6598" ht="18" customHeight="1"/>
    <x:row r="6599" ht="18" customHeight="1"/>
    <x:row r="6600" ht="18" customHeight="1"/>
    <x:row r="6601" ht="18" customHeight="1"/>
    <x:row r="6602" ht="18" customHeight="1"/>
    <x:row r="6603" ht="18" customHeight="1"/>
    <x:row r="6604" ht="18" customHeight="1"/>
    <x:row r="6605" ht="18" customHeight="1"/>
    <x:row r="6606" ht="18" customHeight="1"/>
    <x:row r="6607" ht="18" customHeight="1"/>
    <x:row r="6608" ht="18" customHeight="1"/>
    <x:row r="6609" ht="18" customHeight="1"/>
    <x:row r="6610" ht="18" customHeight="1"/>
    <x:row r="6611" ht="18" customHeight="1"/>
    <x:row r="6612" ht="18" customHeight="1"/>
    <x:row r="6613" ht="18" customHeight="1"/>
    <x:row r="6614" ht="18" customHeight="1"/>
    <x:row r="6615" ht="18" customHeight="1"/>
    <x:row r="6616" ht="18" customHeight="1"/>
    <x:row r="6617" ht="18" customHeight="1"/>
    <x:row r="6618" ht="18" customHeight="1"/>
    <x:row r="6619" ht="18" customHeight="1"/>
    <x:row r="6620" ht="18" customHeight="1"/>
    <x:row r="6621" ht="18" customHeight="1"/>
    <x:row r="6622" ht="18" customHeight="1"/>
    <x:row r="6623" ht="18" customHeight="1"/>
    <x:row r="6624" ht="18" customHeight="1"/>
    <x:row r="6625" ht="18" customHeight="1"/>
    <x:row r="6626" ht="18" customHeight="1"/>
    <x:row r="6627" ht="18" customHeight="1"/>
    <x:row r="6628" ht="18" customHeight="1"/>
    <x:row r="6629" ht="18" customHeight="1"/>
    <x:row r="6630" ht="18" customHeight="1"/>
    <x:row r="6631" ht="18" customHeight="1"/>
    <x:row r="6632" ht="18" customHeight="1"/>
    <x:row r="6633" ht="18" customHeight="1"/>
    <x:row r="6634" ht="18" customHeight="1"/>
    <x:row r="6635" ht="18" customHeight="1"/>
    <x:row r="6636" ht="18" customHeight="1"/>
    <x:row r="6637" ht="18" customHeight="1"/>
    <x:row r="6638" ht="18" customHeight="1"/>
    <x:row r="6639" ht="18" customHeight="1"/>
    <x:row r="6640" ht="18" customHeight="1"/>
    <x:row r="6641" ht="18" customHeight="1"/>
    <x:row r="6642" ht="18" customHeight="1"/>
    <x:row r="6643" ht="18" customHeight="1"/>
    <x:row r="6644" ht="18" customHeight="1"/>
    <x:row r="6645" ht="18" customHeight="1"/>
    <x:row r="6646" ht="18" customHeight="1"/>
    <x:row r="6647" ht="18" customHeight="1"/>
    <x:row r="6648" ht="18" customHeight="1"/>
    <x:row r="6649" ht="18" customHeight="1"/>
    <x:row r="6650" ht="18" customHeight="1"/>
    <x:row r="6651" ht="18" customHeight="1"/>
    <x:row r="6652" ht="18" customHeight="1"/>
    <x:row r="6653" ht="18" customHeight="1"/>
    <x:row r="6654" ht="18" customHeight="1"/>
    <x:row r="6655" ht="18" customHeight="1"/>
    <x:row r="6656" ht="18" customHeight="1"/>
    <x:row r="6657" ht="18" customHeight="1"/>
    <x:row r="6658" ht="18" customHeight="1"/>
    <x:row r="6659" ht="18" customHeight="1"/>
    <x:row r="6660" ht="18" customHeight="1"/>
    <x:row r="6661" ht="18" customHeight="1"/>
    <x:row r="6662" ht="18" customHeight="1"/>
    <x:row r="6663" ht="18" customHeight="1"/>
    <x:row r="6664" ht="18" customHeight="1"/>
    <x:row r="6665" ht="18" customHeight="1"/>
    <x:row r="6666" ht="18" customHeight="1"/>
    <x:row r="6667" ht="18" customHeight="1"/>
    <x:row r="6668" ht="18" customHeight="1"/>
    <x:row r="6669" ht="18" customHeight="1"/>
    <x:row r="6670" ht="18" customHeight="1"/>
    <x:row r="6671" ht="18" customHeight="1"/>
    <x:row r="6672" ht="18" customHeight="1"/>
    <x:row r="6673" ht="18" customHeight="1"/>
    <x:row r="6674" ht="18" customHeight="1"/>
    <x:row r="6675" ht="18" customHeight="1"/>
    <x:row r="6676" ht="18" customHeight="1"/>
    <x:row r="6677" ht="18" customHeight="1"/>
    <x:row r="6678" ht="18" customHeight="1"/>
    <x:row r="6679" ht="18" customHeight="1"/>
    <x:row r="6680" ht="18" customHeight="1"/>
    <x:row r="6681" ht="18" customHeight="1"/>
    <x:row r="6682" ht="18" customHeight="1"/>
    <x:row r="6683" ht="18" customHeight="1"/>
    <x:row r="6684" ht="18" customHeight="1"/>
    <x:row r="6685" ht="18" customHeight="1"/>
    <x:row r="6686" ht="18" customHeight="1"/>
    <x:row r="6687" ht="18" customHeight="1"/>
    <x:row r="6688" ht="18" customHeight="1"/>
    <x:row r="6689" ht="18" customHeight="1"/>
    <x:row r="6690" ht="18" customHeight="1"/>
    <x:row r="6691" ht="18" customHeight="1"/>
    <x:row r="6692" ht="18" customHeight="1"/>
    <x:row r="6693" ht="18" customHeight="1"/>
    <x:row r="6694" ht="18" customHeight="1"/>
    <x:row r="6695" ht="18" customHeight="1"/>
    <x:row r="6696" ht="18" customHeight="1"/>
    <x:row r="6697" ht="18" customHeight="1"/>
    <x:row r="6698" ht="18" customHeight="1"/>
    <x:row r="6699" ht="18" customHeight="1"/>
    <x:row r="6700" ht="18" customHeight="1"/>
    <x:row r="6701" ht="18" customHeight="1"/>
    <x:row r="6702" ht="18" customHeight="1"/>
    <x:row r="6703" ht="18" customHeight="1"/>
    <x:row r="6704" ht="18" customHeight="1"/>
    <x:row r="6705" ht="18" customHeight="1"/>
    <x:row r="6706" ht="18" customHeight="1"/>
    <x:row r="6707" ht="18" customHeight="1"/>
    <x:row r="6708" ht="18" customHeight="1"/>
    <x:row r="6709" ht="18" customHeight="1"/>
    <x:row r="6710" ht="18" customHeight="1"/>
    <x:row r="6711" ht="18" customHeight="1"/>
    <x:row r="6712" ht="18" customHeight="1"/>
    <x:row r="6713" ht="18" customHeight="1"/>
    <x:row r="6714" ht="18" customHeight="1"/>
    <x:row r="6715" ht="18" customHeight="1"/>
    <x:row r="6716" ht="18" customHeight="1"/>
    <x:row r="6717" ht="18" customHeight="1"/>
    <x:row r="6718" ht="18" customHeight="1"/>
    <x:row r="6719" ht="18" customHeight="1"/>
    <x:row r="6720" ht="18" customHeight="1"/>
    <x:row r="6721" ht="18" customHeight="1"/>
    <x:row r="6722" ht="18" customHeight="1"/>
    <x:row r="6723" ht="18" customHeight="1"/>
    <x:row r="6724" ht="18" customHeight="1"/>
    <x:row r="6725" ht="18" customHeight="1"/>
    <x:row r="6726" ht="18" customHeight="1"/>
    <x:row r="6727" ht="18" customHeight="1"/>
    <x:row r="6728" ht="18" customHeight="1"/>
    <x:row r="6729" ht="18" customHeight="1"/>
    <x:row r="6730" ht="18" customHeight="1"/>
    <x:row r="6731" ht="18" customHeight="1"/>
    <x:row r="6732" ht="18" customHeight="1"/>
    <x:row r="6733" ht="18" customHeight="1"/>
    <x:row r="6734" ht="18" customHeight="1"/>
    <x:row r="6735" ht="18" customHeight="1"/>
    <x:row r="6736" ht="18" customHeight="1"/>
    <x:row r="6737" ht="18" customHeight="1"/>
    <x:row r="6738" ht="18" customHeight="1"/>
    <x:row r="6739" ht="18" customHeight="1"/>
    <x:row r="6740" ht="18" customHeight="1"/>
    <x:row r="6741" ht="18" customHeight="1"/>
    <x:row r="6742" ht="18" customHeight="1"/>
    <x:row r="6743" ht="18" customHeight="1"/>
    <x:row r="6744" ht="18" customHeight="1"/>
    <x:row r="6745" ht="18" customHeight="1"/>
    <x:row r="6746" ht="18" customHeight="1"/>
    <x:row r="6747" ht="18" customHeight="1"/>
    <x:row r="6748" ht="18" customHeight="1"/>
    <x:row r="6749" ht="18" customHeight="1"/>
    <x:row r="6750" ht="18" customHeight="1"/>
    <x:row r="6751" ht="18" customHeight="1"/>
    <x:row r="6752" ht="18" customHeight="1"/>
    <x:row r="6753" ht="18" customHeight="1"/>
    <x:row r="6754" ht="18" customHeight="1"/>
    <x:row r="6755" ht="18" customHeight="1"/>
    <x:row r="6756" ht="18" customHeight="1"/>
    <x:row r="6757" ht="18" customHeight="1"/>
    <x:row r="6758" ht="18" customHeight="1"/>
    <x:row r="6759" ht="18" customHeight="1"/>
    <x:row r="6760" ht="18" customHeight="1"/>
    <x:row r="6761" ht="18" customHeight="1"/>
    <x:row r="6762" ht="18" customHeight="1"/>
    <x:row r="6763" ht="18" customHeight="1"/>
    <x:row r="6764" ht="18" customHeight="1"/>
    <x:row r="6765" ht="18" customHeight="1"/>
    <x:row r="6766" ht="18" customHeight="1"/>
    <x:row r="6767" ht="18" customHeight="1"/>
    <x:row r="6768" ht="18" customHeight="1"/>
    <x:row r="6769" ht="18" customHeight="1"/>
    <x:row r="6770" ht="18" customHeight="1"/>
    <x:row r="6771" ht="18" customHeight="1"/>
    <x:row r="6772" ht="18" customHeight="1"/>
    <x:row r="6773" ht="18" customHeight="1"/>
    <x:row r="6774" ht="18" customHeight="1"/>
    <x:row r="6775" ht="18" customHeight="1"/>
    <x:row r="6776" ht="18" customHeight="1"/>
    <x:row r="6777" ht="18" customHeight="1"/>
    <x:row r="6778" ht="18" customHeight="1"/>
    <x:row r="6779" ht="18" customHeight="1"/>
    <x:row r="6780" ht="18" customHeight="1"/>
    <x:row r="6781" ht="18" customHeight="1"/>
    <x:row r="6782" ht="18" customHeight="1"/>
    <x:row r="6783" ht="18" customHeight="1"/>
    <x:row r="6784" ht="18" customHeight="1"/>
    <x:row r="6785" ht="18" customHeight="1"/>
    <x:row r="6786" ht="18" customHeight="1"/>
    <x:row r="6787" ht="18" customHeight="1"/>
    <x:row r="6788" ht="18" customHeight="1"/>
    <x:row r="6789" ht="18" customHeight="1"/>
    <x:row r="6790" ht="18" customHeight="1"/>
    <x:row r="6791" ht="18" customHeight="1"/>
    <x:row r="6792" ht="18" customHeight="1"/>
    <x:row r="6793" ht="18" customHeight="1"/>
    <x:row r="6794" ht="18" customHeight="1"/>
    <x:row r="6795" ht="18" customHeight="1"/>
    <x:row r="6796" ht="18" customHeight="1"/>
    <x:row r="6797" ht="18" customHeight="1"/>
    <x:row r="6798" ht="18" customHeight="1"/>
    <x:row r="6799" ht="18" customHeight="1"/>
    <x:row r="6800" ht="18" customHeight="1"/>
    <x:row r="6801" ht="18" customHeight="1"/>
    <x:row r="6802" ht="18" customHeight="1"/>
    <x:row r="6803" ht="18" customHeight="1"/>
    <x:row r="6804" ht="18" customHeight="1"/>
    <x:row r="6805" ht="18" customHeight="1"/>
    <x:row r="6806" ht="18" customHeight="1"/>
    <x:row r="6807" ht="18" customHeight="1"/>
    <x:row r="6808" ht="18" customHeight="1"/>
    <x:row r="6809" ht="18" customHeight="1"/>
    <x:row r="6810" ht="18" customHeight="1"/>
    <x:row r="6811" ht="18" customHeight="1"/>
    <x:row r="6812" ht="18" customHeight="1"/>
    <x:row r="6813" ht="18" customHeight="1"/>
    <x:row r="6814" ht="18" customHeight="1"/>
    <x:row r="6815" ht="18" customHeight="1"/>
    <x:row r="6816" ht="18" customHeight="1"/>
    <x:row r="6817" ht="18" customHeight="1"/>
    <x:row r="6818" ht="18" customHeight="1"/>
    <x:row r="6819" ht="18" customHeight="1"/>
    <x:row r="6820" ht="18" customHeight="1"/>
    <x:row r="6821" ht="18" customHeight="1"/>
    <x:row r="6822" ht="18" customHeight="1"/>
    <x:row r="6823" ht="18" customHeight="1"/>
    <x:row r="6824" ht="18" customHeight="1"/>
    <x:row r="6825" ht="18" customHeight="1"/>
    <x:row r="6826" ht="18" customHeight="1"/>
    <x:row r="6827" ht="18" customHeight="1"/>
    <x:row r="6828" ht="18" customHeight="1"/>
    <x:row r="6829" ht="18" customHeight="1"/>
    <x:row r="6830" ht="18" customHeight="1"/>
    <x:row r="6831" ht="18" customHeight="1"/>
    <x:row r="6832" ht="18" customHeight="1"/>
    <x:row r="6833" ht="18" customHeight="1"/>
    <x:row r="6834" ht="18" customHeight="1"/>
    <x:row r="6835" ht="18" customHeight="1"/>
    <x:row r="6836" ht="18" customHeight="1"/>
    <x:row r="6837" ht="18" customHeight="1"/>
    <x:row r="6838" ht="18" customHeight="1"/>
    <x:row r="6839" ht="18" customHeight="1"/>
    <x:row r="6840" ht="18" customHeight="1"/>
    <x:row r="6841" ht="18" customHeight="1"/>
    <x:row r="6842" ht="18" customHeight="1"/>
    <x:row r="6843" ht="18" customHeight="1"/>
    <x:row r="6844" ht="18" customHeight="1"/>
    <x:row r="6845" ht="18" customHeight="1"/>
    <x:row r="6846" ht="18" customHeight="1"/>
    <x:row r="6847" ht="18" customHeight="1"/>
    <x:row r="6848" ht="18" customHeight="1"/>
    <x:row r="6849" ht="18" customHeight="1"/>
    <x:row r="6850" ht="18" customHeight="1"/>
    <x:row r="6851" ht="18" customHeight="1"/>
    <x:row r="6852" ht="18" customHeight="1"/>
    <x:row r="6853" ht="18" customHeight="1"/>
    <x:row r="6854" ht="18" customHeight="1"/>
    <x:row r="6855" ht="18" customHeight="1"/>
    <x:row r="6856" ht="18" customHeight="1"/>
    <x:row r="6857" ht="18" customHeight="1"/>
    <x:row r="6858" ht="18" customHeight="1"/>
    <x:row r="6859" ht="18" customHeight="1"/>
    <x:row r="6860" ht="18" customHeight="1"/>
    <x:row r="6861" ht="18" customHeight="1"/>
    <x:row r="6862" ht="18" customHeight="1"/>
    <x:row r="6863" ht="18" customHeight="1"/>
    <x:row r="6864" ht="18" customHeight="1"/>
    <x:row r="6865" ht="18" customHeight="1"/>
    <x:row r="6866" ht="18" customHeight="1"/>
    <x:row r="6867" ht="18" customHeight="1"/>
    <x:row r="6868" ht="18" customHeight="1"/>
    <x:row r="6869" ht="18" customHeight="1"/>
    <x:row r="6870" ht="18" customHeight="1"/>
    <x:row r="6871" ht="18" customHeight="1"/>
    <x:row r="6872" ht="18" customHeight="1"/>
    <x:row r="6873" ht="18" customHeight="1"/>
    <x:row r="6874" ht="18" customHeight="1"/>
    <x:row r="6875" ht="18" customHeight="1"/>
    <x:row r="6876" ht="18" customHeight="1"/>
    <x:row r="6877" ht="18" customHeight="1"/>
    <x:row r="6878" ht="18" customHeight="1"/>
    <x:row r="6879" ht="18" customHeight="1"/>
    <x:row r="6880" ht="18" customHeight="1"/>
    <x:row r="6881" ht="18" customHeight="1"/>
    <x:row r="6882" ht="18" customHeight="1"/>
    <x:row r="6883" ht="18" customHeight="1"/>
    <x:row r="6884" ht="18" customHeight="1"/>
    <x:row r="6885" ht="18" customHeight="1"/>
    <x:row r="6886" ht="18" customHeight="1"/>
    <x:row r="6887" ht="18" customHeight="1"/>
    <x:row r="6888" ht="18" customHeight="1"/>
    <x:row r="6889" ht="18" customHeight="1"/>
    <x:row r="6890" ht="18" customHeight="1"/>
    <x:row r="6891" ht="18" customHeight="1"/>
    <x:row r="6892" ht="18" customHeight="1"/>
    <x:row r="6893" ht="18" customHeight="1"/>
    <x:row r="6894" ht="18" customHeight="1"/>
    <x:row r="6895" ht="18" customHeight="1"/>
    <x:row r="6896" ht="18" customHeight="1"/>
    <x:row r="6897" ht="18" customHeight="1"/>
    <x:row r="6898" ht="18" customHeight="1"/>
    <x:row r="6899" ht="18" customHeight="1"/>
    <x:row r="6900" ht="18" customHeight="1"/>
    <x:row r="6901" ht="18" customHeight="1"/>
    <x:row r="6902" ht="18" customHeight="1"/>
    <x:row r="6903" ht="18" customHeight="1"/>
    <x:row r="6904" ht="18" customHeight="1"/>
    <x:row r="6905" ht="18" customHeight="1"/>
    <x:row r="6906" ht="18" customHeight="1"/>
    <x:row r="6907" ht="18" customHeight="1"/>
    <x:row r="6908" ht="18" customHeight="1"/>
    <x:row r="6909" ht="18" customHeight="1"/>
    <x:row r="6910" ht="18" customHeight="1"/>
    <x:row r="6911" ht="18" customHeight="1"/>
    <x:row r="6912" ht="18" customHeight="1"/>
    <x:row r="6913" ht="18" customHeight="1"/>
    <x:row r="6914" ht="18" customHeight="1"/>
    <x:row r="6915" ht="18" customHeight="1"/>
    <x:row r="6916" ht="18" customHeight="1"/>
    <x:row r="6917" ht="18" customHeight="1"/>
    <x:row r="6918" ht="18" customHeight="1"/>
    <x:row r="6919" ht="18" customHeight="1"/>
    <x:row r="6920" ht="18" customHeight="1"/>
    <x:row r="6921" ht="18" customHeight="1"/>
    <x:row r="6922" ht="18" customHeight="1"/>
    <x:row r="6923" ht="18" customHeight="1"/>
    <x:row r="6924" ht="18" customHeight="1"/>
    <x:row r="6925" ht="18" customHeight="1"/>
    <x:row r="6926" ht="18" customHeight="1"/>
    <x:row r="6927" ht="18" customHeight="1"/>
    <x:row r="6928" ht="18" customHeight="1"/>
    <x:row r="6929" ht="18" customHeight="1"/>
    <x:row r="6930" ht="18" customHeight="1"/>
    <x:row r="6931" ht="18" customHeight="1"/>
    <x:row r="6932" ht="18" customHeight="1"/>
    <x:row r="6933" ht="18" customHeight="1"/>
    <x:row r="6934" ht="18" customHeight="1"/>
    <x:row r="6935" ht="18" customHeight="1"/>
    <x:row r="6936" ht="18" customHeight="1"/>
    <x:row r="6937" ht="18" customHeight="1"/>
    <x:row r="6938" ht="18" customHeight="1"/>
    <x:row r="6939" ht="18" customHeight="1"/>
    <x:row r="6940" ht="18" customHeight="1"/>
    <x:row r="6941" ht="18" customHeight="1"/>
    <x:row r="6942" ht="18" customHeight="1"/>
    <x:row r="6943" ht="18" customHeight="1"/>
    <x:row r="6944" ht="18" customHeight="1"/>
    <x:row r="6945" ht="18" customHeight="1"/>
    <x:row r="6946" ht="18" customHeight="1"/>
    <x:row r="6947" ht="18" customHeight="1"/>
    <x:row r="6948" ht="18" customHeight="1"/>
    <x:row r="6949" ht="18" customHeight="1"/>
    <x:row r="6950" ht="18" customHeight="1"/>
    <x:row r="6951" ht="18" customHeight="1"/>
    <x:row r="6952" ht="18" customHeight="1"/>
    <x:row r="6953" ht="18" customHeight="1"/>
    <x:row r="6954" ht="18" customHeight="1"/>
    <x:row r="6955" ht="18" customHeight="1"/>
    <x:row r="6956" ht="18" customHeight="1"/>
    <x:row r="6957" ht="18" customHeight="1"/>
    <x:row r="6958" ht="18" customHeight="1"/>
    <x:row r="6959" ht="18" customHeight="1"/>
    <x:row r="6960" ht="18" customHeight="1"/>
    <x:row r="6961" ht="18" customHeight="1"/>
    <x:row r="6962" ht="18" customHeight="1"/>
    <x:row r="6963" ht="18" customHeight="1"/>
    <x:row r="6964" ht="18" customHeight="1"/>
    <x:row r="6965" ht="18" customHeight="1"/>
    <x:row r="6966" ht="18" customHeight="1"/>
    <x:row r="6967" ht="18" customHeight="1"/>
    <x:row r="6968" ht="18" customHeight="1"/>
    <x:row r="6969" ht="18" customHeight="1"/>
    <x:row r="6970" ht="18" customHeight="1"/>
    <x:row r="6971" ht="18" customHeight="1"/>
    <x:row r="6972" ht="18" customHeight="1"/>
    <x:row r="6973" ht="18" customHeight="1"/>
    <x:row r="6974" ht="18" customHeight="1"/>
    <x:row r="6975" ht="18" customHeight="1"/>
    <x:row r="6976" ht="18" customHeight="1"/>
    <x:row r="6977" ht="18" customHeight="1"/>
    <x:row r="6978" ht="18" customHeight="1"/>
    <x:row r="6979" ht="18" customHeight="1"/>
    <x:row r="6980" ht="18" customHeight="1"/>
    <x:row r="6981" ht="18" customHeight="1"/>
    <x:row r="6982" ht="18" customHeight="1"/>
    <x:row r="6983" ht="18" customHeight="1"/>
    <x:row r="6984" ht="18" customHeight="1"/>
    <x:row r="6985" ht="18" customHeight="1"/>
    <x:row r="6986" ht="18" customHeight="1"/>
    <x:row r="6987" ht="18" customHeight="1"/>
    <x:row r="6988" ht="18" customHeight="1"/>
    <x:row r="6989" ht="18" customHeight="1"/>
    <x:row r="6990" ht="18" customHeight="1"/>
    <x:row r="6991" ht="18" customHeight="1"/>
    <x:row r="6992" ht="18" customHeight="1"/>
    <x:row r="6993" ht="18" customHeight="1"/>
    <x:row r="6994" ht="18" customHeight="1"/>
    <x:row r="6995" ht="18" customHeight="1"/>
    <x:row r="6996" ht="18" customHeight="1"/>
    <x:row r="6997" ht="18" customHeight="1"/>
    <x:row r="6998" ht="18" customHeight="1"/>
    <x:row r="6999" ht="18" customHeight="1"/>
    <x:row r="7000" ht="18" customHeight="1"/>
    <x:row r="7001" ht="18" customHeight="1"/>
    <x:row r="7002" ht="18" customHeight="1"/>
    <x:row r="7003" ht="18" customHeight="1"/>
    <x:row r="7004" ht="18" customHeight="1"/>
    <x:row r="7005" ht="18" customHeight="1"/>
    <x:row r="7006" ht="18" customHeight="1"/>
    <x:row r="7007" ht="18" customHeight="1"/>
    <x:row r="7008" ht="18" customHeight="1"/>
    <x:row r="7009" ht="18" customHeight="1"/>
    <x:row r="7010" ht="18" customHeight="1"/>
    <x:row r="7011" ht="18" customHeight="1"/>
    <x:row r="7012" ht="18" customHeight="1"/>
    <x:row r="7013" ht="18" customHeight="1"/>
    <x:row r="7014" ht="18" customHeight="1"/>
    <x:row r="7015" ht="18" customHeight="1"/>
    <x:row r="7016" ht="18" customHeight="1"/>
    <x:row r="7017" ht="18" customHeight="1"/>
    <x:row r="7018" ht="18" customHeight="1"/>
    <x:row r="7019" ht="18" customHeight="1"/>
    <x:row r="7020" ht="18" customHeight="1"/>
    <x:row r="7021" ht="18" customHeight="1"/>
    <x:row r="7022" ht="18" customHeight="1"/>
    <x:row r="7023" ht="18" customHeight="1"/>
    <x:row r="7024" ht="18" customHeight="1"/>
    <x:row r="7025" ht="18" customHeight="1"/>
    <x:row r="7026" ht="18" customHeight="1"/>
    <x:row r="7027" ht="18" customHeight="1"/>
    <x:row r="7028" ht="18" customHeight="1"/>
    <x:row r="7029" ht="18" customHeight="1"/>
    <x:row r="7030" ht="18" customHeight="1"/>
    <x:row r="7031" ht="18" customHeight="1"/>
    <x:row r="7032" ht="18" customHeight="1"/>
    <x:row r="7033" ht="18" customHeight="1"/>
    <x:row r="7034" ht="18" customHeight="1"/>
    <x:row r="7035" ht="18" customHeight="1"/>
    <x:row r="7036" ht="18" customHeight="1"/>
    <x:row r="7037" ht="18" customHeight="1"/>
    <x:row r="7038" ht="18" customHeight="1"/>
    <x:row r="7039" ht="18" customHeight="1"/>
    <x:row r="7040" ht="18" customHeight="1"/>
    <x:row r="7041" ht="18" customHeight="1"/>
    <x:row r="7042" ht="18" customHeight="1"/>
    <x:row r="7043" ht="18" customHeight="1"/>
    <x:row r="7044" ht="18" customHeight="1"/>
    <x:row r="7045" ht="18" customHeight="1"/>
    <x:row r="7046" ht="18" customHeight="1"/>
    <x:row r="7047" ht="18" customHeight="1"/>
    <x:row r="7048" ht="18" customHeight="1"/>
    <x:row r="7049" ht="18" customHeight="1"/>
    <x:row r="7050" ht="18" customHeight="1"/>
    <x:row r="7051" ht="18" customHeight="1"/>
    <x:row r="7052" ht="18" customHeight="1"/>
    <x:row r="7053" ht="18" customHeight="1"/>
    <x:row r="7054" ht="18" customHeight="1"/>
    <x:row r="7055" ht="18" customHeight="1"/>
    <x:row r="7056" ht="18" customHeight="1"/>
    <x:row r="7057" ht="18" customHeight="1"/>
    <x:row r="7058" ht="18" customHeight="1"/>
    <x:row r="7059" ht="18" customHeight="1"/>
    <x:row r="7060" ht="18" customHeight="1"/>
    <x:row r="7061" ht="18" customHeight="1"/>
    <x:row r="7062" ht="18" customHeight="1"/>
    <x:row r="7063" ht="18" customHeight="1"/>
    <x:row r="7064" ht="18" customHeight="1"/>
    <x:row r="7065" ht="18" customHeight="1"/>
    <x:row r="7066" ht="18" customHeight="1"/>
    <x:row r="7067" ht="18" customHeight="1"/>
    <x:row r="7068" ht="18" customHeight="1"/>
    <x:row r="7069" ht="18" customHeight="1"/>
    <x:row r="7070" ht="18" customHeight="1"/>
    <x:row r="7071" ht="18" customHeight="1"/>
    <x:row r="7072" ht="18" customHeight="1"/>
    <x:row r="7073" ht="18" customHeight="1"/>
    <x:row r="7074" ht="18" customHeight="1"/>
    <x:row r="7075" ht="18" customHeight="1"/>
    <x:row r="7076" ht="18" customHeight="1"/>
    <x:row r="7077" ht="18" customHeight="1"/>
    <x:row r="7078" ht="18" customHeight="1"/>
    <x:row r="7079" ht="18" customHeight="1"/>
    <x:row r="7080" ht="18" customHeight="1"/>
    <x:row r="7081" ht="18" customHeight="1"/>
    <x:row r="7082" ht="18" customHeight="1"/>
    <x:row r="7083" ht="18" customHeight="1"/>
    <x:row r="7084" ht="18" customHeight="1"/>
    <x:row r="7085" ht="18" customHeight="1"/>
    <x:row r="7086" ht="18" customHeight="1"/>
    <x:row r="7087" ht="18" customHeight="1"/>
    <x:row r="7088" ht="18" customHeight="1"/>
    <x:row r="7089" ht="18" customHeight="1"/>
    <x:row r="7090" ht="18" customHeight="1"/>
    <x:row r="7091" ht="18" customHeight="1"/>
    <x:row r="7092" ht="18" customHeight="1"/>
    <x:row r="7093" ht="18" customHeight="1"/>
    <x:row r="7094" ht="18" customHeight="1"/>
    <x:row r="7095" ht="18" customHeight="1"/>
    <x:row r="7096" ht="18" customHeight="1"/>
    <x:row r="7097" ht="18" customHeight="1"/>
    <x:row r="7098" ht="18" customHeight="1"/>
    <x:row r="7099" ht="18" customHeight="1"/>
    <x:row r="7100" ht="18" customHeight="1"/>
    <x:row r="7101" ht="18" customHeight="1"/>
    <x:row r="7102" ht="18" customHeight="1"/>
    <x:row r="7103" ht="18" customHeight="1"/>
    <x:row r="7104" ht="18" customHeight="1"/>
    <x:row r="7105" ht="18" customHeight="1"/>
    <x:row r="7106" ht="18" customHeight="1"/>
    <x:row r="7107" ht="18" customHeight="1"/>
    <x:row r="7108" ht="18" customHeight="1"/>
    <x:row r="7109" ht="18" customHeight="1"/>
    <x:row r="7110" ht="18" customHeight="1"/>
    <x:row r="7111" ht="18" customHeight="1"/>
    <x:row r="7112" ht="18" customHeight="1"/>
    <x:row r="7113" ht="18" customHeight="1"/>
    <x:row r="7114" ht="18" customHeight="1"/>
    <x:row r="7115" ht="18" customHeight="1"/>
    <x:row r="7116" ht="18" customHeight="1"/>
    <x:row r="7117" ht="18" customHeight="1"/>
    <x:row r="7118" ht="18" customHeight="1"/>
    <x:row r="7119" ht="18" customHeight="1"/>
    <x:row r="7120" ht="18" customHeight="1"/>
    <x:row r="7121" ht="18" customHeight="1"/>
    <x:row r="7122" ht="18" customHeight="1"/>
    <x:row r="7123" ht="18" customHeight="1"/>
    <x:row r="7124" ht="18" customHeight="1"/>
    <x:row r="7125" ht="18" customHeight="1"/>
    <x:row r="7126" ht="18" customHeight="1"/>
    <x:row r="7127" ht="18" customHeight="1"/>
    <x:row r="7128" ht="18" customHeight="1"/>
    <x:row r="7129" ht="18" customHeight="1"/>
    <x:row r="7130" ht="18" customHeight="1"/>
    <x:row r="7131" ht="18" customHeight="1"/>
    <x:row r="7132" ht="18" customHeight="1"/>
    <x:row r="7133" ht="18" customHeight="1"/>
    <x:row r="7134" ht="18" customHeight="1"/>
    <x:row r="7135" ht="18" customHeight="1"/>
    <x:row r="7136" ht="18" customHeight="1"/>
    <x:row r="7137" ht="18" customHeight="1"/>
    <x:row r="7138" ht="18" customHeight="1"/>
    <x:row r="7139" ht="18" customHeight="1"/>
    <x:row r="7140" ht="18" customHeight="1"/>
    <x:row r="7141" ht="18" customHeight="1"/>
    <x:row r="7142" ht="18" customHeight="1"/>
    <x:row r="7143" ht="18" customHeight="1"/>
    <x:row r="7144" ht="18" customHeight="1"/>
    <x:row r="7145" ht="18" customHeight="1"/>
    <x:row r="7146" ht="18" customHeight="1"/>
    <x:row r="7147" ht="18" customHeight="1"/>
    <x:row r="7148" ht="18" customHeight="1"/>
    <x:row r="7149" ht="18" customHeight="1"/>
    <x:row r="7150" ht="18" customHeight="1"/>
    <x:row r="7151" ht="18" customHeight="1"/>
    <x:row r="7152" ht="18" customHeight="1"/>
    <x:row r="7153" ht="18" customHeight="1"/>
    <x:row r="7154" ht="18" customHeight="1"/>
    <x:row r="7155" ht="18" customHeight="1"/>
    <x:row r="7156" ht="18" customHeight="1"/>
    <x:row r="7157" ht="18" customHeight="1"/>
    <x:row r="7158" ht="18" customHeight="1"/>
    <x:row r="7159" ht="18" customHeight="1"/>
    <x:row r="7160" ht="18" customHeight="1"/>
    <x:row r="7161" ht="18" customHeight="1"/>
    <x:row r="7162" ht="18" customHeight="1"/>
    <x:row r="7163" ht="18" customHeight="1"/>
    <x:row r="7164" ht="18" customHeight="1"/>
    <x:row r="7165" ht="18" customHeight="1"/>
    <x:row r="7166" ht="18" customHeight="1"/>
    <x:row r="7167" ht="18" customHeight="1"/>
    <x:row r="7168" ht="18" customHeight="1"/>
    <x:row r="7169" ht="18" customHeight="1"/>
    <x:row r="7170" ht="18" customHeight="1"/>
    <x:row r="7171" ht="18" customHeight="1"/>
    <x:row r="7172" ht="18" customHeight="1"/>
    <x:row r="7173" ht="18" customHeight="1"/>
    <x:row r="7174" ht="18" customHeight="1"/>
    <x:row r="7175" ht="18" customHeight="1"/>
    <x:row r="7176" ht="18" customHeight="1"/>
    <x:row r="7177" ht="18" customHeight="1"/>
    <x:row r="7178" ht="18" customHeight="1"/>
    <x:row r="7179" ht="18" customHeight="1"/>
    <x:row r="7180" ht="18" customHeight="1"/>
    <x:row r="7181" ht="18" customHeight="1"/>
    <x:row r="7182" ht="18" customHeight="1"/>
    <x:row r="7183" ht="18" customHeight="1"/>
    <x:row r="7184" ht="18" customHeight="1"/>
    <x:row r="7185" ht="18" customHeight="1"/>
    <x:row r="7186" ht="18" customHeight="1"/>
    <x:row r="7187" ht="18" customHeight="1"/>
    <x:row r="7188" ht="18" customHeight="1"/>
    <x:row r="7189" ht="18" customHeight="1"/>
    <x:row r="7190" ht="18" customHeight="1"/>
    <x:row r="7191" ht="18" customHeight="1"/>
    <x:row r="7192" ht="18" customHeight="1"/>
    <x:row r="7193" ht="18" customHeight="1"/>
    <x:row r="7194" ht="18" customHeight="1"/>
    <x:row r="7195" ht="18" customHeight="1"/>
    <x:row r="7196" ht="18" customHeight="1"/>
    <x:row r="7197" ht="18" customHeight="1"/>
    <x:row r="7198" ht="18" customHeight="1"/>
    <x:row r="7199" ht="18" customHeight="1"/>
    <x:row r="7200" ht="18" customHeight="1"/>
    <x:row r="7201" ht="18" customHeight="1"/>
    <x:row r="7202" ht="18" customHeight="1"/>
    <x:row r="7203" ht="18" customHeight="1"/>
    <x:row r="7204" ht="18" customHeight="1"/>
    <x:row r="7205" ht="18" customHeight="1"/>
    <x:row r="7206" ht="18" customHeight="1"/>
    <x:row r="7207" ht="18" customHeight="1"/>
    <x:row r="7208" ht="18" customHeight="1"/>
    <x:row r="7209" ht="18" customHeight="1"/>
    <x:row r="7210" ht="18" customHeight="1"/>
    <x:row r="7211" ht="18" customHeight="1"/>
    <x:row r="7212" ht="18" customHeight="1"/>
    <x:row r="7213" ht="18" customHeight="1"/>
    <x:row r="7214" ht="18" customHeight="1"/>
    <x:row r="7215" ht="18" customHeight="1"/>
    <x:row r="7216" ht="18" customHeight="1"/>
    <x:row r="7217" ht="18" customHeight="1"/>
    <x:row r="7218" ht="18" customHeight="1"/>
    <x:row r="7219" ht="18" customHeight="1"/>
    <x:row r="7220" ht="18" customHeight="1"/>
    <x:row r="7221" ht="18" customHeight="1"/>
    <x:row r="7222" ht="18" customHeight="1"/>
    <x:row r="7223" ht="18" customHeight="1"/>
    <x:row r="7224" ht="18" customHeight="1"/>
    <x:row r="7225" ht="18" customHeight="1"/>
    <x:row r="7226" ht="18" customHeight="1"/>
    <x:row r="7227" ht="18" customHeight="1"/>
    <x:row r="7228" ht="18" customHeight="1"/>
    <x:row r="7229" ht="18" customHeight="1"/>
    <x:row r="7230" ht="18" customHeight="1"/>
    <x:row r="7231" ht="18" customHeight="1"/>
    <x:row r="7232" ht="18" customHeight="1"/>
    <x:row r="7233" ht="18" customHeight="1"/>
    <x:row r="7234" ht="18" customHeight="1"/>
    <x:row r="7235" ht="18" customHeight="1"/>
    <x:row r="7236" ht="18" customHeight="1"/>
    <x:row r="7237" ht="18" customHeight="1"/>
    <x:row r="7238" ht="18" customHeight="1"/>
    <x:row r="7239" ht="18" customHeight="1"/>
    <x:row r="7240" ht="18" customHeight="1"/>
    <x:row r="7241" ht="18" customHeight="1"/>
    <x:row r="7242" ht="18" customHeight="1"/>
    <x:row r="7243" ht="18" customHeight="1"/>
    <x:row r="7244" ht="18" customHeight="1"/>
    <x:row r="7245" ht="18" customHeight="1"/>
    <x:row r="7246" ht="18" customHeight="1"/>
    <x:row r="7247" ht="18" customHeight="1"/>
    <x:row r="7248" ht="18" customHeight="1"/>
    <x:row r="7249" ht="18" customHeight="1"/>
    <x:row r="7250" ht="18" customHeight="1"/>
    <x:row r="7251" ht="18" customHeight="1"/>
    <x:row r="7252" ht="18" customHeight="1"/>
    <x:row r="7253" ht="18" customHeight="1"/>
    <x:row r="7254" ht="18" customHeight="1"/>
    <x:row r="7255" ht="18" customHeight="1"/>
    <x:row r="7256" ht="18" customHeight="1"/>
    <x:row r="7257" ht="18" customHeight="1"/>
    <x:row r="7258" ht="18" customHeight="1"/>
    <x:row r="7259" ht="18" customHeight="1"/>
    <x:row r="7260" ht="18" customHeight="1"/>
    <x:row r="7261" ht="18" customHeight="1"/>
    <x:row r="7262" ht="18" customHeight="1"/>
    <x:row r="7263" ht="18" customHeight="1"/>
    <x:row r="7264" ht="18" customHeight="1"/>
    <x:row r="7265" ht="18" customHeight="1"/>
    <x:row r="7266" ht="18" customHeight="1"/>
    <x:row r="7267" ht="18" customHeight="1"/>
    <x:row r="7268" ht="18" customHeight="1"/>
    <x:row r="7269" ht="18" customHeight="1"/>
    <x:row r="7270" ht="18" customHeight="1"/>
    <x:row r="7271" ht="18" customHeight="1"/>
    <x:row r="7272" ht="18" customHeight="1"/>
    <x:row r="7273" ht="18" customHeight="1"/>
    <x:row r="7274" ht="18" customHeight="1"/>
    <x:row r="7275" ht="18" customHeight="1"/>
    <x:row r="7276" ht="18" customHeight="1"/>
    <x:row r="7277" ht="18" customHeight="1"/>
    <x:row r="7278" ht="18" customHeight="1"/>
    <x:row r="7279" ht="18" customHeight="1"/>
    <x:row r="7280" ht="18" customHeight="1"/>
    <x:row r="7281" ht="18" customHeight="1"/>
    <x:row r="7282" ht="18" customHeight="1"/>
    <x:row r="7283" ht="18" customHeight="1"/>
    <x:row r="7284" ht="18" customHeight="1"/>
    <x:row r="7285" ht="18" customHeight="1"/>
    <x:row r="7286" ht="18" customHeight="1"/>
    <x:row r="7287" ht="18" customHeight="1"/>
    <x:row r="7288" ht="18" customHeight="1"/>
    <x:row r="7289" ht="18" customHeight="1"/>
    <x:row r="7290" ht="18" customHeight="1"/>
    <x:row r="7291" ht="18" customHeight="1"/>
    <x:row r="7292" ht="18" customHeight="1"/>
    <x:row r="7293" ht="18" customHeight="1"/>
    <x:row r="7294" ht="18" customHeight="1"/>
    <x:row r="7295" ht="18" customHeight="1"/>
    <x:row r="7296" ht="18" customHeight="1"/>
    <x:row r="7297" ht="18" customHeight="1"/>
    <x:row r="7298" ht="18" customHeight="1"/>
    <x:row r="7299" ht="18" customHeight="1"/>
    <x:row r="7300" ht="18" customHeight="1"/>
    <x:row r="7301" ht="18" customHeight="1"/>
    <x:row r="7302" ht="18" customHeight="1"/>
    <x:row r="7303" ht="18" customHeight="1"/>
    <x:row r="7304" ht="18" customHeight="1"/>
    <x:row r="7305" ht="18" customHeight="1"/>
    <x:row r="7306" ht="18" customHeight="1"/>
    <x:row r="7307" ht="18" customHeight="1"/>
    <x:row r="7308" ht="18" customHeight="1"/>
    <x:row r="7309" ht="18" customHeight="1"/>
    <x:row r="7310" ht="18" customHeight="1"/>
    <x:row r="7311" ht="18" customHeight="1"/>
    <x:row r="7312" ht="18" customHeight="1"/>
    <x:row r="7313" ht="18" customHeight="1"/>
    <x:row r="7314" ht="18" customHeight="1"/>
    <x:row r="7315" ht="18" customHeight="1"/>
    <x:row r="7316" ht="18" customHeight="1"/>
    <x:row r="7317" ht="18" customHeight="1"/>
    <x:row r="7318" ht="18" customHeight="1"/>
    <x:row r="7319" ht="18" customHeight="1"/>
    <x:row r="7320" ht="18" customHeight="1"/>
    <x:row r="7321" ht="18" customHeight="1"/>
    <x:row r="7322" ht="18" customHeight="1"/>
    <x:row r="7323" ht="18" customHeight="1"/>
    <x:row r="7324" ht="18" customHeight="1"/>
    <x:row r="7325" ht="18" customHeight="1"/>
    <x:row r="7326" ht="18" customHeight="1"/>
    <x:row r="7327" ht="18" customHeight="1"/>
    <x:row r="7328" ht="18" customHeight="1"/>
    <x:row r="7329" ht="18" customHeight="1"/>
    <x:row r="7330" ht="18" customHeight="1"/>
    <x:row r="7331" ht="18" customHeight="1"/>
    <x:row r="7332" ht="18" customHeight="1"/>
    <x:row r="7333" ht="18" customHeight="1"/>
    <x:row r="7334" ht="18" customHeight="1"/>
    <x:row r="7335" ht="18" customHeight="1"/>
    <x:row r="7336" ht="18" customHeight="1"/>
    <x:row r="7337" ht="18" customHeight="1"/>
    <x:row r="7338" ht="18" customHeight="1"/>
    <x:row r="7339" ht="18" customHeight="1"/>
    <x:row r="7340" ht="18" customHeight="1"/>
    <x:row r="7341" ht="18" customHeight="1"/>
    <x:row r="7342" ht="18" customHeight="1"/>
    <x:row r="7343" ht="18" customHeight="1"/>
    <x:row r="7344" ht="18" customHeight="1"/>
    <x:row r="7345" ht="18" customHeight="1"/>
    <x:row r="7346" ht="18" customHeight="1"/>
    <x:row r="7347" ht="18" customHeight="1"/>
    <x:row r="7348" ht="18" customHeight="1"/>
    <x:row r="7349" ht="18" customHeight="1"/>
    <x:row r="7350" ht="18" customHeight="1"/>
    <x:row r="7351" ht="18" customHeight="1"/>
    <x:row r="7352" ht="18" customHeight="1"/>
    <x:row r="7353" ht="18" customHeight="1"/>
    <x:row r="7354" ht="18" customHeight="1"/>
    <x:row r="7355" ht="18" customHeight="1"/>
    <x:row r="7356" ht="18" customHeight="1"/>
    <x:row r="7357" ht="18" customHeight="1"/>
    <x:row r="7358" ht="18" customHeight="1"/>
    <x:row r="7359" ht="18" customHeight="1"/>
    <x:row r="7360" ht="18" customHeight="1"/>
    <x:row r="7361" ht="18" customHeight="1"/>
    <x:row r="7362" ht="18" customHeight="1"/>
    <x:row r="7363" ht="18" customHeight="1"/>
    <x:row r="7364" ht="18" customHeight="1"/>
    <x:row r="7365" ht="18" customHeight="1"/>
    <x:row r="7366" ht="18" customHeight="1"/>
    <x:row r="7367" ht="18" customHeight="1"/>
    <x:row r="7368" ht="18" customHeight="1"/>
    <x:row r="7369" ht="18" customHeight="1"/>
    <x:row r="7370" ht="18" customHeight="1"/>
    <x:row r="7371" ht="18" customHeight="1"/>
    <x:row r="7372" ht="18" customHeight="1"/>
    <x:row r="7373" ht="18" customHeight="1"/>
    <x:row r="7374" ht="18" customHeight="1"/>
    <x:row r="7375" ht="18" customHeight="1"/>
    <x:row r="7376" ht="18" customHeight="1"/>
    <x:row r="7377" ht="18" customHeight="1"/>
    <x:row r="7378" ht="18" customHeight="1"/>
    <x:row r="7379" ht="18" customHeight="1"/>
    <x:row r="7380" ht="18" customHeight="1"/>
    <x:row r="7381" ht="18" customHeight="1"/>
    <x:row r="7382" ht="18" customHeight="1"/>
    <x:row r="7383" ht="18" customHeight="1"/>
    <x:row r="7384" ht="18" customHeight="1"/>
    <x:row r="7385" ht="18" customHeight="1"/>
    <x:row r="7386" ht="18" customHeight="1"/>
    <x:row r="7387" ht="18" customHeight="1"/>
    <x:row r="7388" ht="18" customHeight="1"/>
    <x:row r="7389" ht="18" customHeight="1"/>
    <x:row r="7390" ht="18" customHeight="1"/>
    <x:row r="7391" ht="18" customHeight="1"/>
    <x:row r="7392" ht="18" customHeight="1"/>
    <x:row r="7393" ht="18" customHeight="1"/>
    <x:row r="7394" ht="18" customHeight="1"/>
    <x:row r="7395" ht="18" customHeight="1"/>
    <x:row r="7396" ht="18" customHeight="1"/>
    <x:row r="7397" ht="18" customHeight="1"/>
    <x:row r="7398" ht="18" customHeight="1"/>
    <x:row r="7399" ht="18" customHeight="1"/>
    <x:row r="7400" ht="18" customHeight="1"/>
    <x:row r="7401" ht="18" customHeight="1"/>
    <x:row r="7402" ht="18" customHeight="1"/>
    <x:row r="7403" ht="18" customHeight="1"/>
    <x:row r="7404" ht="18" customHeight="1"/>
    <x:row r="7405" ht="18" customHeight="1"/>
    <x:row r="7406" ht="18" customHeight="1"/>
    <x:row r="7407" ht="18" customHeight="1"/>
    <x:row r="7408" ht="18" customHeight="1"/>
    <x:row r="7409" ht="18" customHeight="1"/>
    <x:row r="7410" ht="18" customHeight="1"/>
    <x:row r="7411" ht="18" customHeight="1"/>
    <x:row r="7412" ht="18" customHeight="1"/>
    <x:row r="7413" ht="18" customHeight="1"/>
    <x:row r="7414" ht="18" customHeight="1"/>
    <x:row r="7415" ht="18" customHeight="1"/>
    <x:row r="7416" ht="18" customHeight="1"/>
    <x:row r="7417" ht="18" customHeight="1"/>
    <x:row r="7418" ht="18" customHeight="1"/>
    <x:row r="7419" ht="18" customHeight="1"/>
    <x:row r="7420" ht="18" customHeight="1"/>
    <x:row r="7421" ht="18" customHeight="1"/>
    <x:row r="7422" ht="18" customHeight="1"/>
    <x:row r="7423" ht="18" customHeight="1"/>
    <x:row r="7424" ht="18" customHeight="1"/>
    <x:row r="7425" ht="18" customHeight="1"/>
    <x:row r="7426" ht="18" customHeight="1"/>
    <x:row r="7427" ht="18" customHeight="1"/>
    <x:row r="7428" ht="18" customHeight="1"/>
    <x:row r="7429" ht="18" customHeight="1"/>
    <x:row r="7430" ht="18" customHeight="1"/>
    <x:row r="7431" ht="18" customHeight="1"/>
    <x:row r="7432" ht="18" customHeight="1"/>
    <x:row r="7433" ht="18" customHeight="1"/>
    <x:row r="7434" ht="18" customHeight="1"/>
    <x:row r="7435" ht="18" customHeight="1"/>
    <x:row r="7436" ht="18" customHeight="1"/>
    <x:row r="7437" ht="18" customHeight="1"/>
    <x:row r="7438" ht="18" customHeight="1"/>
    <x:row r="7439" ht="18" customHeight="1"/>
    <x:row r="7440" ht="18" customHeight="1"/>
    <x:row r="7441" ht="18" customHeight="1"/>
    <x:row r="7442" ht="18" customHeight="1"/>
    <x:row r="7443" ht="18" customHeight="1"/>
    <x:row r="7444" ht="18" customHeight="1"/>
    <x:row r="7445" ht="18" customHeight="1"/>
    <x:row r="7446" ht="18" customHeight="1"/>
    <x:row r="7447" ht="18" customHeight="1"/>
    <x:row r="7448" ht="18" customHeight="1"/>
    <x:row r="7449" ht="18" customHeight="1"/>
    <x:row r="7450" ht="18" customHeight="1"/>
    <x:row r="7451" ht="18" customHeight="1"/>
    <x:row r="7452" ht="18" customHeight="1"/>
    <x:row r="7453" ht="18" customHeight="1"/>
    <x:row r="7454" ht="18" customHeight="1"/>
    <x:row r="7455" ht="18" customHeight="1"/>
    <x:row r="7456" ht="18" customHeight="1"/>
    <x:row r="7457" ht="18" customHeight="1"/>
    <x:row r="7458" ht="18" customHeight="1"/>
    <x:row r="7459" ht="18" customHeight="1"/>
    <x:row r="7460" ht="18" customHeight="1"/>
    <x:row r="7461" ht="18" customHeight="1"/>
    <x:row r="7462" ht="18" customHeight="1"/>
    <x:row r="7463" ht="18" customHeight="1"/>
    <x:row r="7464" ht="18" customHeight="1"/>
    <x:row r="7465" ht="18" customHeight="1"/>
    <x:row r="7466" ht="18" customHeight="1"/>
    <x:row r="7467" ht="18" customHeight="1"/>
    <x:row r="7468" ht="18" customHeight="1"/>
    <x:row r="7469" ht="18" customHeight="1"/>
    <x:row r="7470" ht="18" customHeight="1"/>
    <x:row r="7471" ht="18" customHeight="1"/>
    <x:row r="7472" ht="18" customHeight="1"/>
    <x:row r="7473" ht="18" customHeight="1"/>
    <x:row r="7474" ht="18" customHeight="1"/>
    <x:row r="7475" ht="18" customHeight="1"/>
    <x:row r="7476" ht="18" customHeight="1"/>
    <x:row r="7477" ht="18" customHeight="1"/>
    <x:row r="7478" ht="18" customHeight="1"/>
    <x:row r="7479" ht="18" customHeight="1"/>
    <x:row r="7480" ht="18" customHeight="1"/>
    <x:row r="7481" ht="18" customHeight="1"/>
    <x:row r="7482" ht="18" customHeight="1"/>
    <x:row r="7483" ht="18" customHeight="1"/>
    <x:row r="7484" ht="18" customHeight="1"/>
    <x:row r="7485" ht="18" customHeight="1"/>
    <x:row r="7486" ht="18" customHeight="1"/>
    <x:row r="7487" ht="18" customHeight="1"/>
    <x:row r="7488" ht="18" customHeight="1"/>
    <x:row r="7489" ht="18" customHeight="1"/>
    <x:row r="7490" ht="18" customHeight="1"/>
    <x:row r="7491" ht="18" customHeight="1"/>
    <x:row r="7492" ht="18" customHeight="1"/>
    <x:row r="7493" ht="18" customHeight="1"/>
    <x:row r="7494" ht="18" customHeight="1"/>
    <x:row r="7495" ht="18" customHeight="1"/>
    <x:row r="7496" ht="18" customHeight="1"/>
    <x:row r="7497" ht="18" customHeight="1"/>
    <x:row r="7498" ht="18" customHeight="1"/>
    <x:row r="7499" ht="18" customHeight="1"/>
    <x:row r="7500" ht="18" customHeight="1"/>
    <x:row r="7501" ht="18" customHeight="1"/>
    <x:row r="7502" ht="18" customHeight="1"/>
    <x:row r="7503" ht="18" customHeight="1"/>
    <x:row r="7504" ht="18" customHeight="1"/>
    <x:row r="7505" ht="18" customHeight="1"/>
    <x:row r="7506" ht="18" customHeight="1"/>
    <x:row r="7507" ht="18" customHeight="1"/>
    <x:row r="7508" ht="18" customHeight="1"/>
    <x:row r="7509" ht="18" customHeight="1"/>
    <x:row r="7510" ht="18" customHeight="1"/>
    <x:row r="7511" ht="18" customHeight="1"/>
    <x:row r="7512" ht="18" customHeight="1"/>
    <x:row r="7513" ht="18" customHeight="1"/>
    <x:row r="7514" ht="18" customHeight="1"/>
    <x:row r="7515" ht="18" customHeight="1"/>
    <x:row r="7516" ht="18" customHeight="1"/>
    <x:row r="7517" ht="18" customHeight="1"/>
    <x:row r="7518" ht="18" customHeight="1"/>
    <x:row r="7519" ht="18" customHeight="1"/>
    <x:row r="7520" ht="18" customHeight="1"/>
    <x:row r="7521" ht="18" customHeight="1"/>
    <x:row r="7522" ht="18" customHeight="1"/>
    <x:row r="7523" ht="18" customHeight="1"/>
    <x:row r="7524" ht="18" customHeight="1"/>
    <x:row r="7525" ht="18" customHeight="1"/>
    <x:row r="7526" ht="18" customHeight="1"/>
    <x:row r="7527" ht="18" customHeight="1"/>
    <x:row r="7528" ht="18" customHeight="1"/>
    <x:row r="7529" ht="18" customHeight="1"/>
    <x:row r="7530" ht="18" customHeight="1"/>
    <x:row r="7531" ht="18" customHeight="1"/>
    <x:row r="7532" ht="18" customHeight="1"/>
    <x:row r="7533" ht="18" customHeight="1"/>
  </x:sheetData>
  <x:dataValidations count="5">
    <x:dataValidation type="list" sqref="B5:B220">
      <x:formula1>"21,22,23,24,25"</x:formula1>
    </x:dataValidation>
    <x:dataValidation sqref="E5:E220">
      <x:formula1>0</x:formula1>
      <x:formula2>23</x:formula2>
    </x:dataValidation>
    <x:dataValidation operator="greaterThan" sqref="G5:G220">
      <x:formula1>0</x:formula1>
    </x:dataValidation>
    <x:dataValidation operator="greaterThanOrEqual" sqref="I5:I220">
      <x:formula1>0</x:formula1>
    </x:dataValidation>
    <x:dataValidation type="list" sqref="X5:X500">
      <x:formula1>_ValidationLists!$A$5:$A$7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45ef94640634333"/>
  </x:tableParts>
</x:worksheet>
</file>

<file path=xl/worksheets/sheet3.xml><?xml version="1.0" encoding="utf-8"?>
<x:worksheet xmlns:x="http://schemas.openxmlformats.org/spreadsheetml/2006/main">
  <x:sheetFormatPr defaultRowHeight="14.25"/>
  <x:cols>
    <x:col min="1" max="1" width="14" customWidth="1"/>
    <x:col min="2" max="2" width="12" customWidth="1"/>
    <x:col min="3" max="3" width="14" customWidth="1"/>
    <x:col min="4" max="4" width="12" customWidth="1"/>
    <x:col min="5" max="5" width="20" customWidth="1"/>
    <x:col min="6" max="6" width="22" customWidth="1"/>
    <x:col min="7" max="7" width="14" customWidth="1"/>
    <x:col min="8" max="8" width="18" customWidth="1"/>
    <x:col min="9" max="9" width="14.625" customWidth="1"/>
    <x:col min="10" max="10" width="14" customWidth="1"/>
    <x:col min="11" max="11" width="53.25" customWidth="1"/>
  </x:cols>
  <x:sheetData>
    <x:row r="1" ht="18">
      <x:c r="A1" s="9" t="s">
        <x:v>52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</x:row>
    <x:row r="2" ht="15">
      <x:c r="A2" s="3" t="s">
        <x:v>53</x:v>
      </x:c>
    </x:row>
    <x:row r="3">
      <x:c r="A3" s="4" t="s">
        <x:v>54</x:v>
      </x:c>
    </x:row>
    <x:row r="4" ht="30" customHeight="1">
      <x:c r="A4" s="10" t="s">
        <x:v>13</x:v>
      </x:c>
      <x:c r="B4" s="10" t="s">
        <x:v>14</x:v>
      </x:c>
      <x:c r="C4" s="10" t="s">
        <x:v>15</x:v>
      </x:c>
      <x:c r="D4" s="10" t="s">
        <x:v>18</x:v>
      </x:c>
      <x:c r="E4" s="10" t="s">
        <x:v>16</x:v>
      </x:c>
      <x:c r="F4" s="10" t="s">
        <x:v>55</x:v>
      </x:c>
      <x:c r="G4" s="10" t="s">
        <x:v>56</x:v>
      </x:c>
      <x:c r="H4" s="10" t="s">
        <x:v>57</x:v>
      </x:c>
      <x:c r="I4" s="11" t="s">
        <x:v>58</x:v>
      </x:c>
      <x:c r="J4" s="11" t="s">
        <x:v>23</x:v>
      </x:c>
      <x:c r="K4" s="11" t="s">
        <x:v>59</x:v>
      </x:c>
      <x:c r="L4" s="11" t="s">
        <x:v>25</x:v>
      </x:c>
      <x:c r="M4" s="38" t="str">
        <x:v>ProductionEventID</x:v>
      </x:c>
      <x:c r="N4" s="38" t="str">
        <x:v>ParentEventCheck</x:v>
      </x:c>
      <x:c r="O4" s="38" t="str">
        <x:v>DesignOutputRef</x:v>
      </x:c>
      <x:c r="P4" s="38" t="str">
        <x:v>ProductionRejectRef</x:v>
      </x:c>
      <x:c r="Q4" s="38" t="str">
        <x:v>ReworkVsDesignCheck</x:v>
      </x:c>
      <x:c r="R4" s="38" t="str">
        <x:v>ReconciliationRule</x:v>
      </x:c>
      <x:c r="S4" s="38" t="str">
        <x:v>MeasureSemantics</x:v>
      </x:c>
      <x:c r="T4" s="38" t="str">
        <x:v>CreatedAt</x:v>
      </x:c>
      <x:c r="U4" s="38" t="str">
        <x:v>CreatedBy</x:v>
      </x:c>
      <x:c r="V4" s="38" t="str">
        <x:v>ModifiedAt</x:v>
      </x:c>
      <x:c r="W4" s="38" t="str">
        <x:v>ModifiedBy</x:v>
      </x:c>
      <x:c r="X4" s="38" t="str">
        <x:v>SourceFile</x:v>
      </x:c>
      <x:c r="Y4" s="38" t="str">
        <x:v>LoadBatchID</x:v>
      </x:c>
      <x:c r="Z4" s="38" t="str">
        <x:v>RecordStatus</x:v>
      </x:c>
      <x:c r="AA4" s="38" t="str">
        <x:v>LoadDecision</x:v>
      </x:c>
    </x:row>
    <x:row r="5" ht="18" customHeight="1">
      <x:c r="A5" s="5" t="s">
        <x:v>26</x:v>
      </x:c>
      <x:c r="B5" s="5">
        <x:v>21</x:v>
      </x:c>
      <x:c r="C5" s="6">
        <x:v>45950</x:v>
      </x:c>
      <x:c r="D5" s="5" t="s">
        <x:v>31</x:v>
      </x:c>
      <x:c r="E5" s="5" t="s">
        <x:v>27</x:v>
      </x:c>
      <x:c r="F5" s="5" t="s">
        <x:v>60</x:v>
      </x:c>
      <x:c r="G5" s="8">
        <x:v>1</x:v>
      </x:c>
      <x:c r="H5" s="8">
        <x:v>1000</x:v>
      </x:c>
      <x:c r="I5" t="n">
        <x:f t="shared" ref="I5:I36" si="0">IF(A5="","",G5*H5)</x:f>
        <x:v>1000</x:v>
      </x:c>
      <x:c r="J5" t="str">
        <x:f t="shared" ref="J5:J36" si="1">IF(A5="","",IF(AND(G5&gt;=0,H5&gt;0),"OK","CHECK"))</x:f>
        <x:v>OK</x:v>
      </x:c>
      <x:c r="K5" t="str">
        <x:f t="shared" ref="K5:K36" si="2">IF(A5="","", "RW-"&amp;A5&amp;"-L"&amp;TEXT(B5,"00")&amp;"-"&amp;TEXT(C5,"yyyymmdd")&amp;"-"&amp;D5&amp;"-"&amp;E5&amp;"-"&amp;F5)</x:f>
        <x:v>RW-KG01-L21-20251020-PM-ORD-2025-00019-Move to Cullet</x:v>
      </x:c>
      <x:c r="L5" t="str">
        <x:f t="shared" ref="L5:L36" si="3">IF(A5="","",IF(AND(J5="OK",N5="OK",Q5="OK"),"OK","CHECK"))</x:f>
        <x:v>OK</x:v>
      </x:c>
      <x:c r="M5" t="str">
        <x:f>IF(A5="","", "PE-"&amp;A5&amp;"-L"&amp;TEXT(B5,"00")&amp;"-"&amp;TEXT(C5,"yyyymmdd")&amp;"-"&amp;D5&amp;"-"&amp;E5)</x:f>
        <x:v>PE-KG01-L21-20251020-PM-ORD-2025-00019</x:v>
      </x:c>
      <x:c r="N5" t="str">
        <x:f>IF(M5="","",IF(COUNTIF(_ProductionEventRef!$A$5:$A$500,M5)=1,"OK","CHECK"))</x:f>
        <x:v>OK</x:v>
      </x:c>
      <x:c r="O5" t="n">
        <x:f>IF(M5="","",IFERROR(VLOOKUP(M5,_ProductionEventRef!$A$5:$I$500,7,FALSE),0))</x:f>
        <x:v>228690</x:v>
      </x:c>
      <x:c r="P5" t="n">
        <x:f>IF(M5="","",IFERROR(VLOOKUP(M5,_ProductionEventRef!$A$5:$I$500,8,FALSE),0))</x:f>
        <x:v>10575</x:v>
      </x:c>
      <x:c r="Q5" t="str">
        <x:f>IF(AND(ISNUMBER(I5),ISNUMBER(O5),I5&lt;=O5),"OK","CHECK")</x:f>
        <x:v>OK</x:v>
      </x:c>
      <x:c r="R5" t="str">
        <x:v>RECONCILE_NOT_FORCE_EQUALITY</x:v>
      </x:c>
      <x:c r="S5" t="str">
        <x:v>REWORK_QUANTITY_ADDITIVE</x:v>
      </x:c>
      <x:c r="X5" t="str">
        <x:v>04_Quality_Log(6).xlsx</x:v>
      </x:c>
      <x:c r="Y5" t="str">
        <x:v>ENH-20260830-01</x:v>
      </x:c>
      <x:c r="Z5" t="str">
        <x:f>IF(AND(L5="OK",N5="OK",Q5="OK"),"Active","Quarantine")</x:f>
        <x:v>Active</x:v>
      </x:c>
      <x:c r="AA5" t="str">
        <x:f>IF(Z5="Active","LOAD","QUARANTINE")</x:f>
        <x:v>LOAD</x:v>
      </x:c>
    </x:row>
    <x:row r="6" ht="18" customHeight="1">
      <x:c r="A6" s="5" t="s">
        <x:v>26</x:v>
      </x:c>
      <x:c r="B6" s="5">
        <x:v>21</x:v>
      </x:c>
      <x:c r="C6" s="6">
        <x:v>45952</x:v>
      </x:c>
      <x:c r="D6" s="5" t="s">
        <x:v>28</x:v>
      </x:c>
      <x:c r="E6" s="5" t="s">
        <x:v>32</x:v>
      </x:c>
      <x:c r="F6" s="5" t="s">
        <x:v>60</x:v>
      </x:c>
      <x:c r="G6" s="8">
        <x:v>1</x:v>
      </x:c>
      <x:c r="H6" s="8">
        <x:v>800</x:v>
      </x:c>
      <x:c r="I6">
        <x:f t="shared" si="0"/>
        <x:v>800</x:v>
      </x:c>
      <x:c r="J6" t="str">
        <x:f t="shared" si="1"/>
        <x:v>OK</x:v>
      </x:c>
      <x:c r="K6" t="str">
        <x:f t="shared" si="2"/>
        <x:v>RW-KG01-L21-20251022-AM-ORD-2025-00020-Move to Cullet</x:v>
      </x:c>
      <x:c r="L6" t="str">
        <x:f t="shared" si="3">IF(A6="","",IF(AND(J6="OK",N6="OK",Q6="OK"),"OK","CHECK"))</x:f>
        <x:v>OK</x:v>
      </x:c>
      <x:c r="M6" t="str">
        <x:f>IF(A6="","", "PE-"&amp;A6&amp;"-L"&amp;TEXT(B6,"00")&amp;"-"&amp;TEXT(C6,"yyyymmdd")&amp;"-"&amp;D6&amp;"-"&amp;E6)</x:f>
        <x:v>PE-KG01-L21-20251022-AM-ORD-2025-00020</x:v>
      </x:c>
      <x:c r="N6" t="str">
        <x:f>IF(M6="","",IF(COUNTIF(_ProductionEventRef!$A$5:$A$500,M6)=1,"OK","CHECK"))</x:f>
        <x:v>OK</x:v>
      </x:c>
      <x:c r="O6" t="n">
        <x:f>IF(M6="","",IFERROR(VLOOKUP(M6,_ProductionEventRef!$A$5:$I$500,7,FALSE),0))</x:f>
        <x:v>124632</x:v>
      </x:c>
      <x:c r="P6" t="n">
        <x:f>IF(M6="","",IFERROR(VLOOKUP(M6,_ProductionEventRef!$A$5:$I$500,8,FALSE),0))</x:f>
        <x:v>6951</x:v>
      </x:c>
      <x:c r="Q6" t="str">
        <x:f>IF(AND(ISNUMBER(I6),ISNUMBER(O6),I6&lt;=O6),"OK","CHECK")</x:f>
        <x:v>OK</x:v>
      </x:c>
      <x:c r="R6" t="str">
        <x:v>RECONCILE_NOT_FORCE_EQUALITY</x:v>
      </x:c>
      <x:c r="S6" t="str">
        <x:v>REWORK_QUANTITY_ADDITIVE</x:v>
      </x:c>
      <x:c r="X6" t="str">
        <x:v>04_Quality_Log(6).xlsx</x:v>
      </x:c>
      <x:c r="Y6" t="str">
        <x:v>ENH-20260830-01</x:v>
      </x:c>
      <x:c r="Z6" t="str">
        <x:f>IF(AND(L6="OK",N6="OK",Q6="OK"),"Active","Quarantine")</x:f>
        <x:v>Active</x:v>
      </x:c>
      <x:c r="AA6" t="str">
        <x:f>IF(Z6="Active","LOAD","QUARANTINE")</x:f>
        <x:v>LOAD</x:v>
      </x:c>
    </x:row>
    <x:row r="7" ht="18" customHeight="1">
      <x:c r="A7" s="5" t="s">
        <x:v>26</x:v>
      </x:c>
      <x:c r="B7" s="5">
        <x:v>21</x:v>
      </x:c>
      <x:c r="C7" s="6">
        <x:v>45952</x:v>
      </x:c>
      <x:c r="D7" s="5" t="s">
        <x:v>31</x:v>
      </x:c>
      <x:c r="E7" s="5" t="s">
        <x:v>32</x:v>
      </x:c>
      <x:c r="F7" s="5" t="s">
        <x:v>60</x:v>
      </x:c>
      <x:c r="G7" s="8">
        <x:v>2</x:v>
      </x:c>
      <x:c r="H7" s="8">
        <x:v>800</x:v>
      </x:c>
      <x:c r="I7">
        <x:f t="shared" si="0"/>
        <x:v>1600</x:v>
      </x:c>
      <x:c r="J7" t="str">
        <x:f t="shared" si="1"/>
        <x:v>OK</x:v>
      </x:c>
      <x:c r="K7" t="str">
        <x:f t="shared" si="2"/>
        <x:v>RW-KG01-L21-20251022-PM-ORD-2025-00020-Move to Cullet</x:v>
      </x:c>
      <x:c r="L7" t="str">
        <x:f t="shared" si="3">IF(A7="","",IF(AND(J7="OK",N7="OK",Q7="OK"),"OK","CHECK"))</x:f>
        <x:v>OK</x:v>
      </x:c>
      <x:c r="M7" t="str">
        <x:f>IF(A7="","", "PE-"&amp;A7&amp;"-L"&amp;TEXT(B7,"00")&amp;"-"&amp;TEXT(C7,"yyyymmdd")&amp;"-"&amp;D7&amp;"-"&amp;E7)</x:f>
        <x:v>PE-KG01-L21-20251022-PM-ORD-2025-00020</x:v>
      </x:c>
      <x:c r="N7" t="str">
        <x:f>IF(M7="","",IF(COUNTIF(_ProductionEventRef!$A$5:$A$500,M7)=1,"OK","CHECK"))</x:f>
        <x:v>OK</x:v>
      </x:c>
      <x:c r="O7" t="n">
        <x:f>IF(M7="","",IFERROR(VLOOKUP(M7,_ProductionEventRef!$A$5:$I$500,7,FALSE),0))</x:f>
        <x:v>154176</x:v>
      </x:c>
      <x:c r="P7" t="n">
        <x:f>IF(M7="","",IFERROR(VLOOKUP(M7,_ProductionEventRef!$A$5:$I$500,8,FALSE),0))</x:f>
        <x:v>6388</x:v>
      </x:c>
      <x:c r="Q7" t="str">
        <x:f>IF(AND(ISNUMBER(I7),ISNUMBER(O7),I7&lt;=O7),"OK","CHECK")</x:f>
        <x:v>OK</x:v>
      </x:c>
      <x:c r="R7" t="str">
        <x:v>RECONCILE_NOT_FORCE_EQUALITY</x:v>
      </x:c>
      <x:c r="S7" t="str">
        <x:v>REWORK_QUANTITY_ADDITIVE</x:v>
      </x:c>
      <x:c r="X7" t="str">
        <x:v>04_Quality_Log(6).xlsx</x:v>
      </x:c>
      <x:c r="Y7" t="str">
        <x:v>ENH-20260830-01</x:v>
      </x:c>
      <x:c r="Z7" t="str">
        <x:f>IF(AND(L7="OK",N7="OK",Q7="OK"),"Active","Quarantine")</x:f>
        <x:v>Active</x:v>
      </x:c>
      <x:c r="AA7" t="str">
        <x:f>IF(Z7="Active","LOAD","QUARANTINE")</x:f>
        <x:v>LOAD</x:v>
      </x:c>
    </x:row>
    <x:row r="8" ht="18" customHeight="1">
      <x:c r="A8" s="5" t="s">
        <x:v>26</x:v>
      </x:c>
      <x:c r="B8" s="5">
        <x:v>21</x:v>
      </x:c>
      <x:c r="C8" s="6">
        <x:v>45953</x:v>
      </x:c>
      <x:c r="D8" s="5" t="s">
        <x:v>28</x:v>
      </x:c>
      <x:c r="E8" s="5" t="s">
        <x:v>32</x:v>
      </x:c>
      <x:c r="F8" s="5" t="s">
        <x:v>61</x:v>
      </x:c>
      <x:c r="G8" s="8">
        <x:v>1</x:v>
      </x:c>
      <x:c r="H8" s="8">
        <x:v>800</x:v>
      </x:c>
      <x:c r="I8">
        <x:f t="shared" si="0"/>
        <x:v>800</x:v>
      </x:c>
      <x:c r="J8" t="str">
        <x:f t="shared" si="1"/>
        <x:v>OK</x:v>
      </x:c>
      <x:c r="K8" t="str">
        <x:f t="shared" si="2"/>
        <x:v>RW-KG01-L21-20251023-AM-ORD-2025-00020-Resorted</x:v>
      </x:c>
      <x:c r="L8" t="str">
        <x:f t="shared" si="3">IF(A8="","",IF(AND(J8="OK",N8="OK",Q8="OK"),"OK","CHECK"))</x:f>
        <x:v>OK</x:v>
      </x:c>
      <x:c r="M8" t="str">
        <x:f>IF(A8="","", "PE-"&amp;A8&amp;"-L"&amp;TEXT(B8,"00")&amp;"-"&amp;TEXT(C8,"yyyymmdd")&amp;"-"&amp;D8&amp;"-"&amp;E8)</x:f>
        <x:v>PE-KG01-L21-20251023-AM-ORD-2025-00020</x:v>
      </x:c>
      <x:c r="N8" t="str">
        <x:f>IF(M8="","",IF(COUNTIF(_ProductionEventRef!$A$5:$A$500,M8)=1,"OK","CHECK"))</x:f>
        <x:v>OK</x:v>
      </x:c>
      <x:c r="O8" t="n">
        <x:f>IF(M8="","",IFERROR(VLOOKUP(M8,_ProductionEventRef!$A$5:$I$500,7,FALSE),0))</x:f>
        <x:v>137400</x:v>
      </x:c>
      <x:c r="P8" t="n">
        <x:f>IF(M8="","",IFERROR(VLOOKUP(M8,_ProductionEventRef!$A$5:$I$500,8,FALSE),0))</x:f>
        <x:v>5426</x:v>
      </x:c>
      <x:c r="Q8" t="str">
        <x:f>IF(AND(ISNUMBER(I8),ISNUMBER(O8),I8&lt;=O8),"OK","CHECK")</x:f>
        <x:v>OK</x:v>
      </x:c>
      <x:c r="R8" t="str">
        <x:v>RECONCILE_NOT_FORCE_EQUALITY</x:v>
      </x:c>
      <x:c r="S8" t="str">
        <x:v>REWORK_QUANTITY_ADDITIVE</x:v>
      </x:c>
      <x:c r="X8" t="str">
        <x:v>04_Quality_Log(6).xlsx</x:v>
      </x:c>
      <x:c r="Y8" t="str">
        <x:v>ENH-20260830-01</x:v>
      </x:c>
      <x:c r="Z8" t="str">
        <x:f>IF(AND(L8="OK",N8="OK",Q8="OK"),"Active","Quarantine")</x:f>
        <x:v>Active</x:v>
      </x:c>
      <x:c r="AA8" t="str">
        <x:f>IF(Z8="Active","LOAD","QUARANTINE")</x:f>
        <x:v>LOAD</x:v>
      </x:c>
    </x:row>
    <x:row r="9" ht="18" customHeight="1">
      <x:c r="A9" s="5" t="s">
        <x:v>26</x:v>
      </x:c>
      <x:c r="B9" s="5">
        <x:v>21</x:v>
      </x:c>
      <x:c r="C9" s="6">
        <x:v>45954</x:v>
      </x:c>
      <x:c r="D9" s="5" t="s">
        <x:v>28</x:v>
      </x:c>
      <x:c r="E9" s="5" t="s">
        <x:v>32</x:v>
      </x:c>
      <x:c r="F9" s="5" t="s">
        <x:v>61</x:v>
      </x:c>
      <x:c r="G9" s="8">
        <x:v>1</x:v>
      </x:c>
      <x:c r="H9" s="8">
        <x:v>800</x:v>
      </x:c>
      <x:c r="I9">
        <x:f t="shared" si="0"/>
        <x:v>800</x:v>
      </x:c>
      <x:c r="J9" t="str">
        <x:f t="shared" si="1"/>
        <x:v>OK</x:v>
      </x:c>
      <x:c r="K9" t="str">
        <x:f t="shared" si="2"/>
        <x:v>RW-KG01-L21-20251024-AM-ORD-2025-00020-Resorted</x:v>
      </x:c>
      <x:c r="L9" t="str">
        <x:f t="shared" si="3">IF(A9="","",IF(AND(J9="OK",N9="OK",Q9="OK"),"OK","CHECK"))</x:f>
        <x:v>OK</x:v>
      </x:c>
      <x:c r="M9" t="str">
        <x:f>IF(A9="","", "PE-"&amp;A9&amp;"-L"&amp;TEXT(B9,"00")&amp;"-"&amp;TEXT(C9,"yyyymmdd")&amp;"-"&amp;D9&amp;"-"&amp;E9)</x:f>
        <x:v>PE-KG01-L21-20251024-AM-ORD-2025-00020</x:v>
      </x:c>
      <x:c r="N9" t="str">
        <x:f>IF(M9="","",IF(COUNTIF(_ProductionEventRef!$A$5:$A$500,M9)=1,"OK","CHECK"))</x:f>
        <x:v>OK</x:v>
      </x:c>
      <x:c r="O9" t="n">
        <x:f>IF(M9="","",IFERROR(VLOOKUP(M9,_ProductionEventRef!$A$5:$I$500,7,FALSE),0))</x:f>
        <x:v>154968</x:v>
      </x:c>
      <x:c r="P9" t="n">
        <x:f>IF(M9="","",IFERROR(VLOOKUP(M9,_ProductionEventRef!$A$5:$I$500,8,FALSE),0))</x:f>
        <x:v>4499</x:v>
      </x:c>
      <x:c r="Q9" t="str">
        <x:f>IF(AND(ISNUMBER(I9),ISNUMBER(O9),I9&lt;=O9),"OK","CHECK")</x:f>
        <x:v>OK</x:v>
      </x:c>
      <x:c r="R9" t="str">
        <x:v>RECONCILE_NOT_FORCE_EQUALITY</x:v>
      </x:c>
      <x:c r="S9" t="str">
        <x:v>REWORK_QUANTITY_ADDITIVE</x:v>
      </x:c>
      <x:c r="X9" t="str">
        <x:v>04_Quality_Log(6).xlsx</x:v>
      </x:c>
      <x:c r="Y9" t="str">
        <x:v>ENH-20260830-01</x:v>
      </x:c>
      <x:c r="Z9" t="str">
        <x:f>IF(AND(L9="OK",N9="OK",Q9="OK"),"Active","Quarantine")</x:f>
        <x:v>Active</x:v>
      </x:c>
      <x:c r="AA9" t="str">
        <x:f>IF(Z9="Active","LOAD","QUARANTINE")</x:f>
        <x:v>LOAD</x:v>
      </x:c>
    </x:row>
    <x:row r="10" ht="18" customHeight="1">
      <x:c r="A10" s="5" t="s">
        <x:v>26</x:v>
      </x:c>
      <x:c r="B10" s="5">
        <x:v>21</x:v>
      </x:c>
      <x:c r="C10" s="6">
        <x:v>45955</x:v>
      </x:c>
      <x:c r="D10" s="5" t="s">
        <x:v>28</x:v>
      </x:c>
      <x:c r="E10" s="5" t="s">
        <x:v>39</x:v>
      </x:c>
      <x:c r="F10" s="5" t="s">
        <x:v>61</x:v>
      </x:c>
      <x:c r="G10" s="8">
        <x:v>2</x:v>
      </x:c>
      <x:c r="H10" s="8">
        <x:v>1000</x:v>
      </x:c>
      <x:c r="I10">
        <x:f t="shared" si="0"/>
        <x:v>2000</x:v>
      </x:c>
      <x:c r="J10" t="str">
        <x:f t="shared" si="1"/>
        <x:v>OK</x:v>
      </x:c>
      <x:c r="K10" t="str">
        <x:f t="shared" si="2"/>
        <x:v>RW-KG01-L21-20251025-AM-ORD-2025-00021-Resorted</x:v>
      </x:c>
      <x:c r="L10" t="str">
        <x:f t="shared" si="3">IF(A10="","",IF(AND(J10="OK",N10="OK",Q10="OK"),"OK","CHECK"))</x:f>
        <x:v>OK</x:v>
      </x:c>
      <x:c r="M10" t="str">
        <x:f>IF(A10="","", "PE-"&amp;A10&amp;"-L"&amp;TEXT(B10,"00")&amp;"-"&amp;TEXT(C10,"yyyymmdd")&amp;"-"&amp;D10&amp;"-"&amp;E10)</x:f>
        <x:v>PE-KG01-L21-20251025-AM-ORD-2025-00021</x:v>
      </x:c>
      <x:c r="N10" t="str">
        <x:f>IF(M10="","",IF(COUNTIF(_ProductionEventRef!$A$5:$A$500,M10)=1,"OK","CHECK"))</x:f>
        <x:v>OK</x:v>
      </x:c>
      <x:c r="O10" t="n">
        <x:f>IF(M10="","",IFERROR(VLOOKUP(M10,_ProductionEventRef!$A$5:$I$500,7,FALSE),0))</x:f>
        <x:v>131076</x:v>
      </x:c>
      <x:c r="P10" t="n">
        <x:f>IF(M10="","",IFERROR(VLOOKUP(M10,_ProductionEventRef!$A$5:$I$500,8,FALSE),0))</x:f>
        <x:v>14048</x:v>
      </x:c>
      <x:c r="Q10" t="str">
        <x:f>IF(AND(ISNUMBER(I10),ISNUMBER(O10),I10&lt;=O10),"OK","CHECK")</x:f>
        <x:v>OK</x:v>
      </x:c>
      <x:c r="R10" t="str">
        <x:v>RECONCILE_NOT_FORCE_EQUALITY</x:v>
      </x:c>
      <x:c r="S10" t="str">
        <x:v>REWORK_QUANTITY_ADDITIVE</x:v>
      </x:c>
      <x:c r="X10" t="str">
        <x:v>04_Quality_Log(6).xlsx</x:v>
      </x:c>
      <x:c r="Y10" t="str">
        <x:v>ENH-20260830-01</x:v>
      </x:c>
      <x:c r="Z10" t="str">
        <x:f>IF(AND(L10="OK",N10="OK",Q10="OK"),"Active","Quarantine")</x:f>
        <x:v>Active</x:v>
      </x:c>
      <x:c r="AA10" t="str">
        <x:f>IF(Z10="Active","LOAD","QUARANTINE")</x:f>
        <x:v>LOAD</x:v>
      </x:c>
    </x:row>
    <x:row r="11" ht="18" customHeight="1">
      <x:c r="A11" s="5" t="s">
        <x:v>26</x:v>
      </x:c>
      <x:c r="B11" s="5">
        <x:v>22</x:v>
      </x:c>
      <x:c r="C11" s="6">
        <x:v>45951</x:v>
      </x:c>
      <x:c r="D11" s="5" t="s">
        <x:v>28</x:v>
      </x:c>
      <x:c r="E11" s="5" t="s">
        <x:v>40</x:v>
      </x:c>
      <x:c r="F11" s="5" t="s">
        <x:v>60</x:v>
      </x:c>
      <x:c r="G11" s="8">
        <x:v>1</x:v>
      </x:c>
      <x:c r="H11" s="8">
        <x:v>800</x:v>
      </x:c>
      <x:c r="I11">
        <x:f t="shared" si="0"/>
        <x:v>800</x:v>
      </x:c>
      <x:c r="J11" t="str">
        <x:f t="shared" si="1"/>
        <x:v>OK</x:v>
      </x:c>
      <x:c r="K11" t="str">
        <x:f t="shared" si="2"/>
        <x:v>RW-KG01-L22-20251021-AM-ORD-2025-00056-Move to Cullet</x:v>
      </x:c>
      <x:c r="L11" t="str">
        <x:f t="shared" si="3">IF(A11="","",IF(AND(J11="OK",N11="OK",Q11="OK"),"OK","CHECK"))</x:f>
        <x:v>OK</x:v>
      </x:c>
      <x:c r="M11" t="str">
        <x:f>IF(A11="","", "PE-"&amp;A11&amp;"-L"&amp;TEXT(B11,"00")&amp;"-"&amp;TEXT(C11,"yyyymmdd")&amp;"-"&amp;D11&amp;"-"&amp;E11)</x:f>
        <x:v>PE-KG01-L22-20251021-AM-ORD-2025-00056</x:v>
      </x:c>
      <x:c r="N11" t="str">
        <x:f>IF(M11="","",IF(COUNTIF(_ProductionEventRef!$A$5:$A$500,M11)=1,"OK","CHECK"))</x:f>
        <x:v>OK</x:v>
      </x:c>
      <x:c r="O11" t="n">
        <x:f>IF(M11="","",IFERROR(VLOOKUP(M11,_ProductionEventRef!$A$5:$I$500,7,FALSE),0))</x:f>
        <x:v>140160</x:v>
      </x:c>
      <x:c r="P11" t="n">
        <x:f>IF(M11="","",IFERROR(VLOOKUP(M11,_ProductionEventRef!$A$5:$I$500,8,FALSE),0))</x:f>
        <x:v>5551</x:v>
      </x:c>
      <x:c r="Q11" t="str">
        <x:f>IF(AND(ISNUMBER(I11),ISNUMBER(O11),I11&lt;=O11),"OK","CHECK")</x:f>
        <x:v>OK</x:v>
      </x:c>
      <x:c r="R11" t="str">
        <x:v>RECONCILE_NOT_FORCE_EQUALITY</x:v>
      </x:c>
      <x:c r="S11" t="str">
        <x:v>REWORK_QUANTITY_ADDITIVE</x:v>
      </x:c>
      <x:c r="X11" t="str">
        <x:v>04_Quality_Log(6).xlsx</x:v>
      </x:c>
      <x:c r="Y11" t="str">
        <x:v>ENH-20260830-01</x:v>
      </x:c>
      <x:c r="Z11" t="str">
        <x:f>IF(AND(L11="OK",N11="OK",Q11="OK"),"Active","Quarantine")</x:f>
        <x:v>Active</x:v>
      </x:c>
      <x:c r="AA11" t="str">
        <x:f>IF(Z11="Active","LOAD","QUARANTINE")</x:f>
        <x:v>LOAD</x:v>
      </x:c>
    </x:row>
    <x:row r="12" ht="18" customHeight="1">
      <x:c r="A12" s="5" t="s">
        <x:v>26</x:v>
      </x:c>
      <x:c r="B12" s="5">
        <x:v>22</x:v>
      </x:c>
      <x:c r="C12" s="6">
        <x:v>45953</x:v>
      </x:c>
      <x:c r="D12" s="5" t="s">
        <x:v>28</x:v>
      </x:c>
      <x:c r="E12" s="5" t="s">
        <x:v>42</x:v>
      </x:c>
      <x:c r="F12" s="5" t="s">
        <x:v>60</x:v>
      </x:c>
      <x:c r="G12" s="8">
        <x:v>2</x:v>
      </x:c>
      <x:c r="H12" s="8">
        <x:v>800</x:v>
      </x:c>
      <x:c r="I12">
        <x:f t="shared" si="0"/>
        <x:v>1600</x:v>
      </x:c>
      <x:c r="J12" t="str">
        <x:f t="shared" si="1"/>
        <x:v>OK</x:v>
      </x:c>
      <x:c r="K12" t="str">
        <x:f t="shared" si="2"/>
        <x:v>RW-KG01-L22-20251023-AM-ORD-2025-00057-Move to Cullet</x:v>
      </x:c>
      <x:c r="L12" t="str">
        <x:f t="shared" si="3">IF(A12="","",IF(AND(J12="OK",N12="OK",Q12="OK"),"OK","CHECK"))</x:f>
        <x:v>OK</x:v>
      </x:c>
      <x:c r="M12" t="str">
        <x:f>IF(A12="","", "PE-"&amp;A12&amp;"-L"&amp;TEXT(B12,"00")&amp;"-"&amp;TEXT(C12,"yyyymmdd")&amp;"-"&amp;D12&amp;"-"&amp;E12)</x:f>
        <x:v>PE-KG01-L22-20251023-AM-ORD-2025-00057</x:v>
      </x:c>
      <x:c r="N12" t="str">
        <x:f>IF(M12="","",IF(COUNTIF(_ProductionEventRef!$A$5:$A$500,M12)=1,"OK","CHECK"))</x:f>
        <x:v>OK</x:v>
      </x:c>
      <x:c r="O12" t="n">
        <x:f>IF(M12="","",IFERROR(VLOOKUP(M12,_ProductionEventRef!$A$5:$I$500,7,FALSE),0))</x:f>
        <x:v>140400</x:v>
      </x:c>
      <x:c r="P12" t="n">
        <x:f>IF(M12="","",IFERROR(VLOOKUP(M12,_ProductionEventRef!$A$5:$I$500,8,FALSE),0))</x:f>
        <x:v>6927</x:v>
      </x:c>
      <x:c r="Q12" t="str">
        <x:f>IF(AND(ISNUMBER(I12),ISNUMBER(O12),I12&lt;=O12),"OK","CHECK")</x:f>
        <x:v>OK</x:v>
      </x:c>
      <x:c r="R12" t="str">
        <x:v>RECONCILE_NOT_FORCE_EQUALITY</x:v>
      </x:c>
      <x:c r="S12" t="str">
        <x:v>REWORK_QUANTITY_ADDITIVE</x:v>
      </x:c>
      <x:c r="X12" t="str">
        <x:v>04_Quality_Log(6).xlsx</x:v>
      </x:c>
      <x:c r="Y12" t="str">
        <x:v>ENH-20260830-01</x:v>
      </x:c>
      <x:c r="Z12" t="str">
        <x:f>IF(AND(L12="OK",N12="OK",Q12="OK"),"Active","Quarantine")</x:f>
        <x:v>Active</x:v>
      </x:c>
      <x:c r="AA12" t="str">
        <x:f>IF(Z12="Active","LOAD","QUARANTINE")</x:f>
        <x:v>LOAD</x:v>
      </x:c>
    </x:row>
    <x:row r="13" ht="18" customHeight="1">
      <x:c r="A13" s="5" t="s">
        <x:v>26</x:v>
      </x:c>
      <x:c r="B13" s="5">
        <x:v>23</x:v>
      </x:c>
      <x:c r="C13" s="6">
        <x:v>45950</x:v>
      </x:c>
      <x:c r="D13" s="5" t="s">
        <x:v>28</x:v>
      </x:c>
      <x:c r="E13" s="5" t="s">
        <x:v>44</x:v>
      </x:c>
      <x:c r="F13" s="5" t="s">
        <x:v>61</x:v>
      </x:c>
      <x:c r="G13" s="8">
        <x:v>4</x:v>
      </x:c>
      <x:c r="H13" s="8">
        <x:v>1000</x:v>
      </x:c>
      <x:c r="I13">
        <x:f t="shared" si="0"/>
        <x:v>4000</x:v>
      </x:c>
      <x:c r="J13" t="str">
        <x:f t="shared" si="1"/>
        <x:v>OK</x:v>
      </x:c>
      <x:c r="K13" t="str">
        <x:f t="shared" si="2"/>
        <x:v>RW-KG01-L23-20251020-AM-ORD-2025-00092-Resorted</x:v>
      </x:c>
      <x:c r="L13" t="str">
        <x:f t="shared" si="3">IF(A13="","",IF(AND(J13="OK",N13="OK",Q13="OK"),"OK","CHECK"))</x:f>
        <x:v>OK</x:v>
      </x:c>
      <x:c r="M13" t="str">
        <x:f>IF(A13="","", "PE-"&amp;A13&amp;"-L"&amp;TEXT(B13,"00")&amp;"-"&amp;TEXT(C13,"yyyymmdd")&amp;"-"&amp;D13&amp;"-"&amp;E13)</x:f>
        <x:v>PE-KG01-L23-20251020-AM-ORD-2025-00092</x:v>
      </x:c>
      <x:c r="N13" t="str">
        <x:f>IF(M13="","",IF(COUNTIF(_ProductionEventRef!$A$5:$A$500,M13)=1,"OK","CHECK"))</x:f>
        <x:v>OK</x:v>
      </x:c>
      <x:c r="O13" t="n">
        <x:f>IF(M13="","",IFERROR(VLOOKUP(M13,_ProductionEventRef!$A$5:$I$500,7,FALSE),0))</x:f>
        <x:v>278467</x:v>
      </x:c>
      <x:c r="P13" t="n">
        <x:f>IF(M13="","",IFERROR(VLOOKUP(M13,_ProductionEventRef!$A$5:$I$500,8,FALSE),0))</x:f>
        <x:v>18278</x:v>
      </x:c>
      <x:c r="Q13" t="str">
        <x:f>IF(AND(ISNUMBER(I13),ISNUMBER(O13),I13&lt;=O13),"OK","CHECK")</x:f>
        <x:v>OK</x:v>
      </x:c>
      <x:c r="R13" t="str">
        <x:v>RECONCILE_NOT_FORCE_EQUALITY</x:v>
      </x:c>
      <x:c r="S13" t="str">
        <x:v>REWORK_QUANTITY_ADDITIVE</x:v>
      </x:c>
      <x:c r="X13" t="str">
        <x:v>04_Quality_Log(6).xlsx</x:v>
      </x:c>
      <x:c r="Y13" t="str">
        <x:v>ENH-20260830-01</x:v>
      </x:c>
      <x:c r="Z13" t="str">
        <x:f>IF(AND(L13="OK",N13="OK",Q13="OK"),"Active","Quarantine")</x:f>
        <x:v>Active</x:v>
      </x:c>
      <x:c r="AA13" t="str">
        <x:f>IF(Z13="Active","LOAD","QUARANTINE")</x:f>
        <x:v>LOAD</x:v>
      </x:c>
    </x:row>
    <x:row r="14" ht="18" customHeight="1">
      <x:c r="A14" s="5" t="s">
        <x:v>26</x:v>
      </x:c>
      <x:c r="B14" s="5">
        <x:v>23</x:v>
      </x:c>
      <x:c r="C14" s="6">
        <x:v>45952</x:v>
      </x:c>
      <x:c r="D14" s="5" t="s">
        <x:v>31</x:v>
      </x:c>
      <x:c r="E14" s="5" t="s">
        <x:v>45</x:v>
      </x:c>
      <x:c r="F14" s="5" t="s">
        <x:v>61</x:v>
      </x:c>
      <x:c r="G14" s="8">
        <x:v>1</x:v>
      </x:c>
      <x:c r="H14" s="8">
        <x:v>800</x:v>
      </x:c>
      <x:c r="I14">
        <x:f t="shared" si="0"/>
        <x:v>800</x:v>
      </x:c>
      <x:c r="J14" t="str">
        <x:f t="shared" si="1"/>
        <x:v>OK</x:v>
      </x:c>
      <x:c r="K14" t="str">
        <x:f t="shared" si="2"/>
        <x:v>RW-KG01-L23-20251022-PM-ORD-2025-00093-Resorted</x:v>
      </x:c>
      <x:c r="L14" t="str">
        <x:f t="shared" si="3">IF(A14="","",IF(AND(J14="OK",N14="OK",Q14="OK"),"OK","CHECK"))</x:f>
        <x:v>OK</x:v>
      </x:c>
      <x:c r="M14" t="str">
        <x:f>IF(A14="","", "PE-"&amp;A14&amp;"-L"&amp;TEXT(B14,"00")&amp;"-"&amp;TEXT(C14,"yyyymmdd")&amp;"-"&amp;D14&amp;"-"&amp;E14)</x:f>
        <x:v>PE-KG01-L23-20251022-PM-ORD-2025-00093</x:v>
      </x:c>
      <x:c r="N14" t="str">
        <x:f>IF(M14="","",IF(COUNTIF(_ProductionEventRef!$A$5:$A$500,M14)=1,"OK","CHECK"))</x:f>
        <x:v>OK</x:v>
      </x:c>
      <x:c r="O14" t="n">
        <x:f>IF(M14="","",IFERROR(VLOOKUP(M14,_ProductionEventRef!$A$5:$I$500,7,FALSE),0))</x:f>
        <x:v>165600</x:v>
      </x:c>
      <x:c r="P14" t="n">
        <x:f>IF(M14="","",IFERROR(VLOOKUP(M14,_ProductionEventRef!$A$5:$I$500,8,FALSE),0))</x:f>
        <x:v>10098</x:v>
      </x:c>
      <x:c r="Q14" t="str">
        <x:f>IF(AND(ISNUMBER(I14),ISNUMBER(O14),I14&lt;=O14),"OK","CHECK")</x:f>
        <x:v>OK</x:v>
      </x:c>
      <x:c r="R14" t="str">
        <x:v>RECONCILE_NOT_FORCE_EQUALITY</x:v>
      </x:c>
      <x:c r="S14" t="str">
        <x:v>REWORK_QUANTITY_ADDITIVE</x:v>
      </x:c>
      <x:c r="X14" t="str">
        <x:v>04_Quality_Log(6).xlsx</x:v>
      </x:c>
      <x:c r="Y14" t="str">
        <x:v>ENH-20260830-01</x:v>
      </x:c>
      <x:c r="Z14" t="str">
        <x:f>IF(AND(L14="OK",N14="OK",Q14="OK"),"Active","Quarantine")</x:f>
        <x:v>Active</x:v>
      </x:c>
      <x:c r="AA14" t="str">
        <x:f>IF(Z14="Active","LOAD","QUARANTINE")</x:f>
        <x:v>LOAD</x:v>
      </x:c>
    </x:row>
    <x:row r="15" ht="18" customHeight="1">
      <x:c r="A15" s="5" t="s">
        <x:v>26</x:v>
      </x:c>
      <x:c r="B15" s="5">
        <x:v>23</x:v>
      </x:c>
      <x:c r="C15" s="6">
        <x:v>45954</x:v>
      </x:c>
      <x:c r="D15" s="5" t="s">
        <x:v>31</x:v>
      </x:c>
      <x:c r="E15" s="5" t="s">
        <x:v>45</x:v>
      </x:c>
      <x:c r="F15" s="5" t="s">
        <x:v>61</x:v>
      </x:c>
      <x:c r="G15" s="8">
        <x:v>1</x:v>
      </x:c>
      <x:c r="H15" s="8">
        <x:v>800</x:v>
      </x:c>
      <x:c r="I15">
        <x:f t="shared" si="0"/>
        <x:v>800</x:v>
      </x:c>
      <x:c r="J15" t="str">
        <x:f t="shared" si="1"/>
        <x:v>OK</x:v>
      </x:c>
      <x:c r="K15" t="str">
        <x:f t="shared" si="2"/>
        <x:v>RW-KG01-L23-20251024-PM-ORD-2025-00093-Resorted</x:v>
      </x:c>
      <x:c r="L15" t="str">
        <x:f t="shared" si="3">IF(A15="","",IF(AND(J15="OK",N15="OK",Q15="OK"),"OK","CHECK"))</x:f>
        <x:v>OK</x:v>
      </x:c>
      <x:c r="M15" t="str">
        <x:f>IF(A15="","", "PE-"&amp;A15&amp;"-L"&amp;TEXT(B15,"00")&amp;"-"&amp;TEXT(C15,"yyyymmdd")&amp;"-"&amp;D15&amp;"-"&amp;E15)</x:f>
        <x:v>PE-KG01-L23-20251024-PM-ORD-2025-00093</x:v>
      </x:c>
      <x:c r="N15" t="str">
        <x:f>IF(M15="","",IF(COUNTIF(_ProductionEventRef!$A$5:$A$500,M15)=1,"OK","CHECK"))</x:f>
        <x:v>OK</x:v>
      </x:c>
      <x:c r="O15" t="n">
        <x:f>IF(M15="","",IFERROR(VLOOKUP(M15,_ProductionEventRef!$A$5:$I$500,7,FALSE),0))</x:f>
        <x:v>184694</x:v>
      </x:c>
      <x:c r="P15" t="n">
        <x:f>IF(M15="","",IFERROR(VLOOKUP(M15,_ProductionEventRef!$A$5:$I$500,8,FALSE),0))</x:f>
        <x:v>5196</x:v>
      </x:c>
      <x:c r="Q15" t="str">
        <x:f>IF(AND(ISNUMBER(I15),ISNUMBER(O15),I15&lt;=O15),"OK","CHECK")</x:f>
        <x:v>OK</x:v>
      </x:c>
      <x:c r="R15" t="str">
        <x:v>RECONCILE_NOT_FORCE_EQUALITY</x:v>
      </x:c>
      <x:c r="S15" t="str">
        <x:v>REWORK_QUANTITY_ADDITIVE</x:v>
      </x:c>
      <x:c r="X15" t="str">
        <x:v>04_Quality_Log(6).xlsx</x:v>
      </x:c>
      <x:c r="Y15" t="str">
        <x:v>ENH-20260830-01</x:v>
      </x:c>
      <x:c r="Z15" t="str">
        <x:f>IF(AND(L15="OK",N15="OK",Q15="OK"),"Active","Quarantine")</x:f>
        <x:v>Active</x:v>
      </x:c>
      <x:c r="AA15" t="str">
        <x:f>IF(Z15="Active","LOAD","QUARANTINE")</x:f>
        <x:v>LOAD</x:v>
      </x:c>
    </x:row>
    <x:row r="16" ht="18" customHeight="1">
      <x:c r="A16" s="5" t="s">
        <x:v>26</x:v>
      </x:c>
      <x:c r="B16" s="5">
        <x:v>24</x:v>
      </x:c>
      <x:c r="C16" s="6">
        <x:v>45953</x:v>
      </x:c>
      <x:c r="D16" s="5" t="s">
        <x:v>28</x:v>
      </x:c>
      <x:c r="E16" s="5" t="s">
        <x:v>48</x:v>
      </x:c>
      <x:c r="F16" s="5" t="s">
        <x:v>61</x:v>
      </x:c>
      <x:c r="G16" s="8">
        <x:v>2</x:v>
      </x:c>
      <x:c r="H16" s="8">
        <x:v>1000</x:v>
      </x:c>
      <x:c r="I16">
        <x:f t="shared" si="0"/>
        <x:v>2000</x:v>
      </x:c>
      <x:c r="J16" t="str">
        <x:f t="shared" si="1"/>
        <x:v>OK</x:v>
      </x:c>
      <x:c r="K16" t="str">
        <x:f t="shared" si="2"/>
        <x:v>RW-KG01-L24-20251023-AM-ORD-2025-00125-Resorted</x:v>
      </x:c>
      <x:c r="L16" t="str">
        <x:f t="shared" si="3">IF(A16="","",IF(AND(J16="OK",N16="OK",Q16="OK"),"OK","CHECK"))</x:f>
        <x:v>OK</x:v>
      </x:c>
      <x:c r="M16" t="str">
        <x:f>IF(A16="","", "PE-"&amp;A16&amp;"-L"&amp;TEXT(B16,"00")&amp;"-"&amp;TEXT(C16,"yyyymmdd")&amp;"-"&amp;D16&amp;"-"&amp;E16)</x:f>
        <x:v>PE-KG01-L24-20251023-AM-ORD-2025-00125</x:v>
      </x:c>
      <x:c r="N16" t="str">
        <x:f>IF(M16="","",IF(COUNTIF(_ProductionEventRef!$A$5:$A$500,M16)=1,"OK","CHECK"))</x:f>
        <x:v>OK</x:v>
      </x:c>
      <x:c r="O16" t="n">
        <x:f>IF(M16="","",IFERROR(VLOOKUP(M16,_ProductionEventRef!$A$5:$I$500,7,FALSE),0))</x:f>
        <x:v>327694</x:v>
      </x:c>
      <x:c r="P16" t="n">
        <x:f>IF(M16="","",IFERROR(VLOOKUP(M16,_ProductionEventRef!$A$5:$I$500,8,FALSE),0))</x:f>
        <x:v>16477</x:v>
      </x:c>
      <x:c r="Q16" t="str">
        <x:f>IF(AND(ISNUMBER(I16),ISNUMBER(O16),I16&lt;=O16),"OK","CHECK")</x:f>
        <x:v>OK</x:v>
      </x:c>
      <x:c r="R16" t="str">
        <x:v>RECONCILE_NOT_FORCE_EQUALITY</x:v>
      </x:c>
      <x:c r="S16" t="str">
        <x:v>REWORK_QUANTITY_ADDITIVE</x:v>
      </x:c>
      <x:c r="X16" t="str">
        <x:v>04_Quality_Log(6).xlsx</x:v>
      </x:c>
      <x:c r="Y16" t="str">
        <x:v>ENH-20260830-01</x:v>
      </x:c>
      <x:c r="Z16" t="str">
        <x:f>IF(AND(L16="OK",N16="OK",Q16="OK"),"Active","Quarantine")</x:f>
        <x:v>Active</x:v>
      </x:c>
      <x:c r="AA16" t="str">
        <x:f>IF(Z16="Active","LOAD","QUARANTINE")</x:f>
        <x:v>LOAD</x:v>
      </x:c>
    </x:row>
    <x:row r="17" ht="18" customHeight="1">
      <x:c r="A17" s="5" t="s">
        <x:v>26</x:v>
      </x:c>
      <x:c r="B17" s="5">
        <x:v>24</x:v>
      </x:c>
      <x:c r="C17" s="6">
        <x:v>45954</x:v>
      </x:c>
      <x:c r="D17" s="5" t="s">
        <x:v>31</x:v>
      </x:c>
      <x:c r="E17" s="5" t="s">
        <x:v>48</x:v>
      </x:c>
      <x:c r="F17" s="5" t="s">
        <x:v>61</x:v>
      </x:c>
      <x:c r="G17" s="8">
        <x:v>1</x:v>
      </x:c>
      <x:c r="H17" s="8">
        <x:v>1000</x:v>
      </x:c>
      <x:c r="I17">
        <x:f t="shared" si="0"/>
        <x:v>1000</x:v>
      </x:c>
      <x:c r="J17" t="str">
        <x:f t="shared" si="1"/>
        <x:v>OK</x:v>
      </x:c>
      <x:c r="K17" t="str">
        <x:f t="shared" si="2"/>
        <x:v>RW-KG01-L24-20251024-PM-ORD-2025-00125-Resorted</x:v>
      </x:c>
      <x:c r="L17" t="str">
        <x:f t="shared" si="3">IF(A17="","",IF(AND(J17="OK",N17="OK",Q17="OK"),"OK","CHECK"))</x:f>
        <x:v>OK</x:v>
      </x:c>
      <x:c r="M17" t="str">
        <x:f>IF(A17="","", "PE-"&amp;A17&amp;"-L"&amp;TEXT(B17,"00")&amp;"-"&amp;TEXT(C17,"yyyymmdd")&amp;"-"&amp;D17&amp;"-"&amp;E17)</x:f>
        <x:v>PE-KG01-L24-20251024-PM-ORD-2025-00125</x:v>
      </x:c>
      <x:c r="N17" t="str">
        <x:f>IF(M17="","",IF(COUNTIF(_ProductionEventRef!$A$5:$A$500,M17)=1,"OK","CHECK"))</x:f>
        <x:v>OK</x:v>
      </x:c>
      <x:c r="O17" t="n">
        <x:f>IF(M17="","",IFERROR(VLOOKUP(M17,_ProductionEventRef!$A$5:$I$500,7,FALSE),0))</x:f>
        <x:v>330221</x:v>
      </x:c>
      <x:c r="P17" t="n">
        <x:f>IF(M17="","",IFERROR(VLOOKUP(M17,_ProductionEventRef!$A$5:$I$500,8,FALSE),0))</x:f>
        <x:v>14154</x:v>
      </x:c>
      <x:c r="Q17" t="str">
        <x:f>IF(AND(ISNUMBER(I17),ISNUMBER(O17),I17&lt;=O17),"OK","CHECK")</x:f>
        <x:v>OK</x:v>
      </x:c>
      <x:c r="R17" t="str">
        <x:v>RECONCILE_NOT_FORCE_EQUALITY</x:v>
      </x:c>
      <x:c r="S17" t="str">
        <x:v>REWORK_QUANTITY_ADDITIVE</x:v>
      </x:c>
      <x:c r="X17" t="str">
        <x:v>04_Quality_Log(6).xlsx</x:v>
      </x:c>
      <x:c r="Y17" t="str">
        <x:v>ENH-20260830-01</x:v>
      </x:c>
      <x:c r="Z17" t="str">
        <x:f>IF(AND(L17="OK",N17="OK",Q17="OK"),"Active","Quarantine")</x:f>
        <x:v>Active</x:v>
      </x:c>
      <x:c r="AA17" t="str">
        <x:f>IF(Z17="Active","LOAD","QUARANTINE")</x:f>
        <x:v>LOAD</x:v>
      </x:c>
    </x:row>
    <x:row r="18" ht="18" customHeight="1">
      <x:c r="A18" s="5" t="s">
        <x:v>26</x:v>
      </x:c>
      <x:c r="B18" s="5">
        <x:v>24</x:v>
      </x:c>
      <x:c r="C18" s="6">
        <x:v>45955</x:v>
      </x:c>
      <x:c r="D18" s="5" t="s">
        <x:v>28</x:v>
      </x:c>
      <x:c r="E18" s="5" t="s">
        <x:v>49</x:v>
      </x:c>
      <x:c r="F18" s="5" t="s">
        <x:v>61</x:v>
      </x:c>
      <x:c r="G18" s="8">
        <x:v>2</x:v>
      </x:c>
      <x:c r="H18" s="8">
        <x:v>800</x:v>
      </x:c>
      <x:c r="I18">
        <x:f t="shared" si="0"/>
        <x:v>1600</x:v>
      </x:c>
      <x:c r="J18" t="str">
        <x:f t="shared" si="1"/>
        <x:v>OK</x:v>
      </x:c>
      <x:c r="K18" t="str">
        <x:f t="shared" si="2"/>
        <x:v>RW-KG01-L24-20251025-AM-ORD-2025-00126-Resorted</x:v>
      </x:c>
      <x:c r="L18" t="str">
        <x:f t="shared" si="3">IF(A18="","",IF(AND(J18="OK",N18="OK",Q18="OK"),"OK","CHECK"))</x:f>
        <x:v>OK</x:v>
      </x:c>
      <x:c r="M18" t="str">
        <x:f>IF(A18="","", "PE-"&amp;A18&amp;"-L"&amp;TEXT(B18,"00")&amp;"-"&amp;TEXT(C18,"yyyymmdd")&amp;"-"&amp;D18&amp;"-"&amp;E18)</x:f>
        <x:v>PE-KG01-L24-20251025-AM-ORD-2025-00126</x:v>
      </x:c>
      <x:c r="N18" t="str">
        <x:f>IF(M18="","",IF(COUNTIF(_ProductionEventRef!$A$5:$A$500,M18)=1,"OK","CHECK"))</x:f>
        <x:v>OK</x:v>
      </x:c>
      <x:c r="O18" t="n">
        <x:f>IF(M18="","",IFERROR(VLOOKUP(M18,_ProductionEventRef!$A$5:$I$500,7,FALSE),0))</x:f>
        <x:v>149054</x:v>
      </x:c>
      <x:c r="P18" t="n">
        <x:f>IF(M18="","",IFERROR(VLOOKUP(M18,_ProductionEventRef!$A$5:$I$500,8,FALSE),0))</x:f>
        <x:v>4816</x:v>
      </x:c>
      <x:c r="Q18" t="str">
        <x:f>IF(AND(ISNUMBER(I18),ISNUMBER(O18),I18&lt;=O18),"OK","CHECK")</x:f>
        <x:v>OK</x:v>
      </x:c>
      <x:c r="R18" t="str">
        <x:v>RECONCILE_NOT_FORCE_EQUALITY</x:v>
      </x:c>
      <x:c r="S18" t="str">
        <x:v>REWORK_QUANTITY_ADDITIVE</x:v>
      </x:c>
      <x:c r="X18" t="str">
        <x:v>04_Quality_Log(6).xlsx</x:v>
      </x:c>
      <x:c r="Y18" t="str">
        <x:v>ENH-20260830-01</x:v>
      </x:c>
      <x:c r="Z18" t="str">
        <x:f>IF(AND(L18="OK",N18="OK",Q18="OK"),"Active","Quarantine")</x:f>
        <x:v>Active</x:v>
      </x:c>
      <x:c r="AA18" t="str">
        <x:f>IF(Z18="Active","LOAD","QUARANTINE")</x:f>
        <x:v>LOAD</x:v>
      </x:c>
    </x:row>
    <x:row r="19" ht="18" customHeight="1">
      <x:c r="A19" s="5" t="s">
        <x:v>26</x:v>
      </x:c>
      <x:c r="B19" s="5">
        <x:v>25</x:v>
      </x:c>
      <x:c r="C19" s="6">
        <x:v>45950</x:v>
      </x:c>
      <x:c r="D19" s="5" t="s">
        <x:v>31</x:v>
      </x:c>
      <x:c r="E19" s="5" t="s">
        <x:v>50</x:v>
      </x:c>
      <x:c r="F19" s="5" t="s">
        <x:v>61</x:v>
      </x:c>
      <x:c r="G19" s="8">
        <x:v>1</x:v>
      </x:c>
      <x:c r="H19" s="8">
        <x:v>800</x:v>
      </x:c>
      <x:c r="I19">
        <x:f t="shared" si="0"/>
        <x:v>800</x:v>
      </x:c>
      <x:c r="J19" t="str">
        <x:f t="shared" si="1"/>
        <x:v>OK</x:v>
      </x:c>
      <x:c r="K19" t="str">
        <x:f t="shared" si="2"/>
        <x:v>RW-KG01-L25-20251020-PM-ORD-2025-00161-Resorted</x:v>
      </x:c>
      <x:c r="L19" t="str">
        <x:f t="shared" si="3">IF(A19="","",IF(AND(J19="OK",N19="OK",Q19="OK"),"OK","CHECK"))</x:f>
        <x:v>OK</x:v>
      </x:c>
      <x:c r="M19" t="str">
        <x:f>IF(A19="","", "PE-"&amp;A19&amp;"-L"&amp;TEXT(B19,"00")&amp;"-"&amp;TEXT(C19,"yyyymmdd")&amp;"-"&amp;D19&amp;"-"&amp;E19)</x:f>
        <x:v>PE-KG01-L25-20251020-PM-ORD-2025-00161</x:v>
      </x:c>
      <x:c r="N19" t="str">
        <x:f>IF(M19="","",IF(COUNTIF(_ProductionEventRef!$A$5:$A$500,M19)=1,"OK","CHECK"))</x:f>
        <x:v>OK</x:v>
      </x:c>
      <x:c r="O19" t="n">
        <x:f>IF(M19="","",IFERROR(VLOOKUP(M19,_ProductionEventRef!$A$5:$I$500,7,FALSE),0))</x:f>
        <x:v>111264</x:v>
      </x:c>
      <x:c r="P19" t="n">
        <x:f>IF(M19="","",IFERROR(VLOOKUP(M19,_ProductionEventRef!$A$5:$I$500,8,FALSE),0))</x:f>
        <x:v>5916</x:v>
      </x:c>
      <x:c r="Q19" t="str">
        <x:f>IF(AND(ISNUMBER(I19),ISNUMBER(O19),I19&lt;=O19),"OK","CHECK")</x:f>
        <x:v>OK</x:v>
      </x:c>
      <x:c r="R19" t="str">
        <x:v>RECONCILE_NOT_FORCE_EQUALITY</x:v>
      </x:c>
      <x:c r="S19" t="str">
        <x:v>REWORK_QUANTITY_ADDITIVE</x:v>
      </x:c>
      <x:c r="X19" t="str">
        <x:v>04_Quality_Log(6).xlsx</x:v>
      </x:c>
      <x:c r="Y19" t="str">
        <x:v>ENH-20260830-01</x:v>
      </x:c>
      <x:c r="Z19" t="str">
        <x:f>IF(AND(L19="OK",N19="OK",Q19="OK"),"Active","Quarantine")</x:f>
        <x:v>Active</x:v>
      </x:c>
      <x:c r="AA19" t="str">
        <x:f>IF(Z19="Active","LOAD","QUARANTINE")</x:f>
        <x:v>LOAD</x:v>
      </x:c>
    </x:row>
    <x:row r="20" ht="18" customHeight="1">
      <x:c r="A20" s="5" t="s">
        <x:v>26</x:v>
      </x:c>
      <x:c r="B20" s="5">
        <x:v>25</x:v>
      </x:c>
      <x:c r="C20" s="6">
        <x:v>45952</x:v>
      </x:c>
      <x:c r="D20" s="5" t="s">
        <x:v>28</x:v>
      </x:c>
      <x:c r="E20" s="5" t="s">
        <x:v>50</x:v>
      </x:c>
      <x:c r="F20" s="5" t="s">
        <x:v>61</x:v>
      </x:c>
      <x:c r="G20" s="8">
        <x:v>1</x:v>
      </x:c>
      <x:c r="H20" s="8">
        <x:v>800</x:v>
      </x:c>
      <x:c r="I20">
        <x:f t="shared" si="0"/>
        <x:v>800</x:v>
      </x:c>
      <x:c r="J20" t="str">
        <x:f t="shared" si="1"/>
        <x:v>OK</x:v>
      </x:c>
      <x:c r="K20" t="str">
        <x:f t="shared" si="2"/>
        <x:v>RW-KG01-L25-20251022-AM-ORD-2025-00161-Resorted</x:v>
      </x:c>
      <x:c r="L20" t="str">
        <x:f t="shared" si="3">IF(A20="","",IF(AND(J20="OK",N20="OK",Q20="OK"),"OK","CHECK"))</x:f>
        <x:v>OK</x:v>
      </x:c>
      <x:c r="M20" t="str">
        <x:f>IF(A20="","", "PE-"&amp;A20&amp;"-L"&amp;TEXT(B20,"00")&amp;"-"&amp;TEXT(C20,"yyyymmdd")&amp;"-"&amp;D20&amp;"-"&amp;E20)</x:f>
        <x:v>PE-KG01-L25-20251022-AM-ORD-2025-00161</x:v>
      </x:c>
      <x:c r="N20" t="str">
        <x:f>IF(M20="","",IF(COUNTIF(_ProductionEventRef!$A$5:$A$500,M20)=1,"OK","CHECK"))</x:f>
        <x:v>OK</x:v>
      </x:c>
      <x:c r="O20" t="n">
        <x:f>IF(M20="","",IFERROR(VLOOKUP(M20,_ProductionEventRef!$A$5:$I$500,7,FALSE),0))</x:f>
        <x:v>99187</x:v>
      </x:c>
      <x:c r="P20" t="n">
        <x:f>IF(M20="","",IFERROR(VLOOKUP(M20,_ProductionEventRef!$A$5:$I$500,8,FALSE),0))</x:f>
        <x:v>4270</x:v>
      </x:c>
      <x:c r="Q20" t="str">
        <x:f>IF(AND(ISNUMBER(I20),ISNUMBER(O20),I20&lt;=O20),"OK","CHECK")</x:f>
        <x:v>OK</x:v>
      </x:c>
      <x:c r="R20" t="str">
        <x:v>RECONCILE_NOT_FORCE_EQUALITY</x:v>
      </x:c>
      <x:c r="S20" t="str">
        <x:v>REWORK_QUANTITY_ADDITIVE</x:v>
      </x:c>
      <x:c r="X20" t="str">
        <x:v>04_Quality_Log(6).xlsx</x:v>
      </x:c>
      <x:c r="Y20" t="str">
        <x:v>ENH-20260830-01</x:v>
      </x:c>
      <x:c r="Z20" t="str">
        <x:f>IF(AND(L20="OK",N20="OK",Q20="OK"),"Active","Quarantine")</x:f>
        <x:v>Active</x:v>
      </x:c>
      <x:c r="AA20" t="str">
        <x:f>IF(Z20="Active","LOAD","QUARANTINE")</x:f>
        <x:v>LOAD</x:v>
      </x:c>
    </x:row>
    <x:row r="21" ht="18" customHeight="1">
      <x:c r="A21" s="5" t="s">
        <x:v>26</x:v>
      </x:c>
      <x:c r="B21" s="5">
        <x:v>25</x:v>
      </x:c>
      <x:c r="C21" s="6">
        <x:v>45952</x:v>
      </x:c>
      <x:c r="D21" s="5" t="s">
        <x:v>31</x:v>
      </x:c>
      <x:c r="E21" s="5" t="s">
        <x:v>50</x:v>
      </x:c>
      <x:c r="F21" s="5" t="s">
        <x:v>61</x:v>
      </x:c>
      <x:c r="G21" s="8">
        <x:v>1</x:v>
      </x:c>
      <x:c r="H21" s="8">
        <x:v>800</x:v>
      </x:c>
      <x:c r="I21">
        <x:f t="shared" si="0"/>
        <x:v>800</x:v>
      </x:c>
      <x:c r="J21" t="str">
        <x:f t="shared" si="1"/>
        <x:v>OK</x:v>
      </x:c>
      <x:c r="K21" t="str">
        <x:f t="shared" si="2"/>
        <x:v>RW-KG01-L25-20251022-PM-ORD-2025-00161-Resorted</x:v>
      </x:c>
      <x:c r="L21" t="str">
        <x:f t="shared" si="3">IF(A21="","",IF(AND(J21="OK",N21="OK",Q21="OK"),"OK","CHECK"))</x:f>
        <x:v>OK</x:v>
      </x:c>
      <x:c r="M21" t="str">
        <x:f>IF(A21="","", "PE-"&amp;A21&amp;"-L"&amp;TEXT(B21,"00")&amp;"-"&amp;TEXT(C21,"yyyymmdd")&amp;"-"&amp;D21&amp;"-"&amp;E21)</x:f>
        <x:v>PE-KG01-L25-20251022-PM-ORD-2025-00161</x:v>
      </x:c>
      <x:c r="N21" t="str">
        <x:f>IF(M21="","",IF(COUNTIF(_ProductionEventRef!$A$5:$A$500,M21)=1,"OK","CHECK"))</x:f>
        <x:v>OK</x:v>
      </x:c>
      <x:c r="O21" t="n">
        <x:f>IF(M21="","",IFERROR(VLOOKUP(M21,_ProductionEventRef!$A$5:$I$500,7,FALSE),0))</x:f>
        <x:v>99533</x:v>
      </x:c>
      <x:c r="P21" t="n">
        <x:f>IF(M21="","",IFERROR(VLOOKUP(M21,_ProductionEventRef!$A$5:$I$500,8,FALSE),0))</x:f>
        <x:v>6183</x:v>
      </x:c>
      <x:c r="Q21" t="str">
        <x:f>IF(AND(ISNUMBER(I21),ISNUMBER(O21),I21&lt;=O21),"OK","CHECK")</x:f>
        <x:v>OK</x:v>
      </x:c>
      <x:c r="R21" t="str">
        <x:v>RECONCILE_NOT_FORCE_EQUALITY</x:v>
      </x:c>
      <x:c r="S21" t="str">
        <x:v>REWORK_QUANTITY_ADDITIVE</x:v>
      </x:c>
      <x:c r="X21" t="str">
        <x:v>04_Quality_Log(6).xlsx</x:v>
      </x:c>
      <x:c r="Y21" t="str">
        <x:v>ENH-20260830-01</x:v>
      </x:c>
      <x:c r="Z21" t="str">
        <x:f>IF(AND(L21="OK",N21="OK",Q21="OK"),"Active","Quarantine")</x:f>
        <x:v>Active</x:v>
      </x:c>
      <x:c r="AA21" t="str">
        <x:f>IF(Z21="Active","LOAD","QUARANTINE")</x:f>
        <x:v>LOAD</x:v>
      </x:c>
    </x:row>
    <x:row r="22" ht="18" customHeight="1">
      <x:c r="A22" s="5" t="s">
        <x:v>26</x:v>
      </x:c>
      <x:c r="B22" s="5">
        <x:v>25</x:v>
      </x:c>
      <x:c r="C22" s="6">
        <x:v>45954</x:v>
      </x:c>
      <x:c r="D22" s="5" t="s">
        <x:v>28</x:v>
      </x:c>
      <x:c r="E22" s="5" t="s">
        <x:v>51</x:v>
      </x:c>
      <x:c r="F22" s="5" t="s">
        <x:v>61</x:v>
      </x:c>
      <x:c r="G22" s="8">
        <x:v>1</x:v>
      </x:c>
      <x:c r="H22" s="8">
        <x:v>1000</x:v>
      </x:c>
      <x:c r="I22">
        <x:f t="shared" si="0"/>
        <x:v>1000</x:v>
      </x:c>
      <x:c r="J22" t="str">
        <x:f t="shared" si="1"/>
        <x:v>OK</x:v>
      </x:c>
      <x:c r="K22" t="str">
        <x:f t="shared" si="2"/>
        <x:v>RW-KG01-L25-20251024-AM-ORD-2025-00162-Resorted</x:v>
      </x:c>
      <x:c r="L22" t="str">
        <x:f t="shared" si="3">IF(A22="","",IF(AND(J22="OK",N22="OK",Q22="OK"),"OK","CHECK"))</x:f>
        <x:v>OK</x:v>
      </x:c>
      <x:c r="M22" t="str">
        <x:f>IF(A22="","", "PE-"&amp;A22&amp;"-L"&amp;TEXT(B22,"00")&amp;"-"&amp;TEXT(C22,"yyyymmdd")&amp;"-"&amp;D22&amp;"-"&amp;E22)</x:f>
        <x:v>PE-KG01-L25-20251024-AM-ORD-2025-00162</x:v>
      </x:c>
      <x:c r="N22" t="str">
        <x:f>IF(M22="","",IF(COUNTIF(_ProductionEventRef!$A$5:$A$500,M22)=1,"OK","CHECK"))</x:f>
        <x:v>OK</x:v>
      </x:c>
      <x:c r="O22" t="n">
        <x:f>IF(M22="","",IFERROR(VLOOKUP(M22,_ProductionEventRef!$A$5:$I$500,7,FALSE),0))</x:f>
        <x:v>184219</x:v>
      </x:c>
      <x:c r="P22" t="n">
        <x:f>IF(M22="","",IFERROR(VLOOKUP(M22,_ProductionEventRef!$A$5:$I$500,8,FALSE),0))</x:f>
        <x:v>10139</x:v>
      </x:c>
      <x:c r="Q22" t="str">
        <x:f>IF(AND(ISNUMBER(I22),ISNUMBER(O22),I22&lt;=O22),"OK","CHECK")</x:f>
        <x:v>OK</x:v>
      </x:c>
      <x:c r="R22" t="str">
        <x:v>RECONCILE_NOT_FORCE_EQUALITY</x:v>
      </x:c>
      <x:c r="S22" t="str">
        <x:v>REWORK_QUANTITY_ADDITIVE</x:v>
      </x:c>
      <x:c r="X22" t="str">
        <x:v>04_Quality_Log(6).xlsx</x:v>
      </x:c>
      <x:c r="Y22" t="str">
        <x:v>ENH-20260830-01</x:v>
      </x:c>
      <x:c r="Z22" t="str">
        <x:f>IF(AND(L22="OK",N22="OK",Q22="OK"),"Active","Quarantine")</x:f>
        <x:v>Active</x:v>
      </x:c>
      <x:c r="AA22" t="str">
        <x:f>IF(Z22="Active","LOAD","QUARANTINE")</x:f>
        <x:v>LOAD</x:v>
      </x:c>
    </x:row>
    <x:row r="23" ht="18" customHeight="1">
      <x:c r="I23" t="str">
        <x:f t="shared" si="0"/>
      </x:c>
      <x:c r="J23" t="str">
        <x:f t="shared" si="1"/>
      </x:c>
      <x:c r="K23" t="str">
        <x:f t="shared" si="2"/>
      </x:c>
      <x:c r="L23" t="str">
        <x:f t="shared" si="3"/>
      </x:c>
    </x:row>
    <x:row r="24" ht="18" customHeight="1">
      <x:c r="I24" t="str">
        <x:f t="shared" si="0"/>
      </x:c>
      <x:c r="J24" t="str">
        <x:f t="shared" si="1"/>
      </x:c>
      <x:c r="K24" t="str">
        <x:f t="shared" si="2"/>
      </x:c>
      <x:c r="L24" t="str">
        <x:f t="shared" si="3"/>
      </x:c>
    </x:row>
    <x:row r="25" ht="18" customHeight="1">
      <x:c r="I25" t="str">
        <x:f t="shared" si="0"/>
      </x:c>
      <x:c r="J25" t="str">
        <x:f t="shared" si="1"/>
      </x:c>
      <x:c r="K25" t="str">
        <x:f t="shared" si="2"/>
      </x:c>
      <x:c r="L25" t="str">
        <x:f t="shared" si="3"/>
      </x:c>
    </x:row>
    <x:row r="26" ht="18" customHeight="1">
      <x:c r="I26" t="str">
        <x:f t="shared" si="0"/>
      </x:c>
      <x:c r="J26" t="str">
        <x:f t="shared" si="1"/>
      </x:c>
      <x:c r="K26" t="str">
        <x:f t="shared" si="2"/>
      </x:c>
      <x:c r="L26" t="str">
        <x:f t="shared" si="3"/>
      </x:c>
    </x:row>
    <x:row r="27" ht="18" customHeight="1">
      <x:c r="I27" t="str">
        <x:f t="shared" si="0"/>
      </x:c>
      <x:c r="J27" t="str">
        <x:f t="shared" si="1"/>
      </x:c>
      <x:c r="K27" t="str">
        <x:f t="shared" si="2"/>
      </x:c>
      <x:c r="L27" t="str">
        <x:f t="shared" si="3"/>
      </x:c>
    </x:row>
    <x:row r="28" ht="18" customHeight="1">
      <x:c r="I28" t="str">
        <x:f t="shared" si="0"/>
      </x:c>
      <x:c r="J28" t="str">
        <x:f t="shared" si="1"/>
      </x:c>
      <x:c r="K28" t="str">
        <x:f t="shared" si="2"/>
      </x:c>
      <x:c r="L28" t="str">
        <x:f t="shared" si="3"/>
      </x:c>
    </x:row>
    <x:row r="29" ht="18" customHeight="1">
      <x:c r="I29" t="str">
        <x:f t="shared" si="0"/>
      </x:c>
      <x:c r="J29" t="str">
        <x:f t="shared" si="1"/>
      </x:c>
      <x:c r="K29" t="str">
        <x:f t="shared" si="2"/>
      </x:c>
      <x:c r="L29" t="str">
        <x:f t="shared" si="3"/>
      </x:c>
    </x:row>
    <x:row r="30" ht="18" customHeight="1">
      <x:c r="I30" t="str">
        <x:f t="shared" si="0"/>
      </x:c>
      <x:c r="J30" t="str">
        <x:f t="shared" si="1"/>
      </x:c>
      <x:c r="K30" t="str">
        <x:f t="shared" si="2"/>
      </x:c>
      <x:c r="L30" t="str">
        <x:f t="shared" si="3"/>
      </x:c>
    </x:row>
    <x:row r="31" ht="18" customHeight="1">
      <x:c r="I31" t="str">
        <x:f t="shared" si="0"/>
      </x:c>
      <x:c r="J31" t="str">
        <x:f t="shared" si="1"/>
      </x:c>
      <x:c r="K31" t="str">
        <x:f t="shared" si="2"/>
      </x:c>
      <x:c r="L31" t="str">
        <x:f t="shared" si="3"/>
      </x:c>
    </x:row>
    <x:row r="32" ht="18" customHeight="1">
      <x:c r="I32" t="str">
        <x:f t="shared" si="0"/>
      </x:c>
      <x:c r="J32" t="str">
        <x:f t="shared" si="1"/>
      </x:c>
      <x:c r="K32" t="str">
        <x:f t="shared" si="2"/>
      </x:c>
      <x:c r="L32" t="str">
        <x:f t="shared" si="3"/>
      </x:c>
    </x:row>
    <x:row r="33" ht="18" customHeight="1">
      <x:c r="I33" t="str">
        <x:f t="shared" si="0"/>
      </x:c>
      <x:c r="J33" t="str">
        <x:f t="shared" si="1"/>
      </x:c>
      <x:c r="K33" t="str">
        <x:f t="shared" si="2"/>
      </x:c>
      <x:c r="L33" t="str">
        <x:f t="shared" si="3"/>
      </x:c>
    </x:row>
    <x:row r="34" ht="18" customHeight="1">
      <x:c r="I34" t="str">
        <x:f t="shared" si="0"/>
      </x:c>
      <x:c r="J34" t="str">
        <x:f t="shared" si="1"/>
      </x:c>
      <x:c r="K34" t="str">
        <x:f t="shared" si="2"/>
      </x:c>
      <x:c r="L34" t="str">
        <x:f t="shared" si="3"/>
      </x:c>
    </x:row>
    <x:row r="35" ht="18" customHeight="1">
      <x:c r="I35" t="str">
        <x:f t="shared" si="0"/>
      </x:c>
      <x:c r="J35" t="str">
        <x:f t="shared" si="1"/>
      </x:c>
      <x:c r="K35" t="str">
        <x:f t="shared" si="2"/>
      </x:c>
      <x:c r="L35" t="str">
        <x:f t="shared" si="3"/>
      </x:c>
    </x:row>
    <x:row r="36" ht="18" customHeight="1">
      <x:c r="I36" t="str">
        <x:f t="shared" si="0"/>
      </x:c>
      <x:c r="J36" t="str">
        <x:f t="shared" si="1"/>
      </x:c>
      <x:c r="K36" t="str">
        <x:f t="shared" si="2"/>
      </x:c>
      <x:c r="L36" t="str">
        <x:f t="shared" si="3"/>
      </x:c>
    </x:row>
    <x:row r="37" ht="18" customHeight="1">
      <x:c r="I37" t="str">
        <x:f t="shared" ref="I37:I68" si="4">IF(A37="","",G37*H37)</x:f>
      </x:c>
      <x:c r="J37" t="str">
        <x:f t="shared" ref="J37:J68" si="5">IF(A37="","",IF(AND(G37&gt;=0,H37&gt;0),"OK","CHECK"))</x:f>
      </x:c>
      <x:c r="K37" t="str">
        <x:f t="shared" ref="K37:K68" si="6">IF(A37="","", "RW-"&amp;A37&amp;"-L"&amp;TEXT(B37,"00")&amp;"-"&amp;TEXT(C37,"yyyymmdd")&amp;"-"&amp;D37&amp;"-"&amp;E37&amp;"-"&amp;F37)</x:f>
      </x:c>
      <x:c r="L37" t="str">
        <x:f t="shared" ref="L37:L68" si="7">IF(A37="","",IF(AND(J37="OK",COUNTIF($K$5:$K$100,K37)=1),"OK","CHECK"))</x:f>
      </x:c>
    </x:row>
    <x:row r="38" ht="18" customHeight="1">
      <x:c r="I38" t="str">
        <x:f t="shared" si="4"/>
      </x:c>
      <x:c r="J38" t="str">
        <x:f t="shared" si="5"/>
      </x:c>
      <x:c r="K38" t="str">
        <x:f t="shared" si="6"/>
      </x:c>
      <x:c r="L38" t="str">
        <x:f t="shared" si="7"/>
      </x:c>
    </x:row>
    <x:row r="39" ht="18" customHeight="1">
      <x:c r="I39" t="str">
        <x:f t="shared" si="4"/>
      </x:c>
      <x:c r="J39" t="str">
        <x:f t="shared" si="5"/>
      </x:c>
      <x:c r="K39" t="str">
        <x:f t="shared" si="6"/>
      </x:c>
      <x:c r="L39" t="str">
        <x:f t="shared" si="7"/>
      </x:c>
    </x:row>
    <x:row r="40" ht="18" customHeight="1">
      <x:c r="I40" t="str">
        <x:f t="shared" si="4"/>
      </x:c>
      <x:c r="J40" t="str">
        <x:f t="shared" si="5"/>
      </x:c>
      <x:c r="K40" t="str">
        <x:f t="shared" si="6"/>
      </x:c>
      <x:c r="L40" t="str">
        <x:f t="shared" si="7"/>
      </x:c>
    </x:row>
    <x:row r="41" ht="18" customHeight="1">
      <x:c r="I41" t="str">
        <x:f t="shared" si="4"/>
      </x:c>
      <x:c r="J41" t="str">
        <x:f t="shared" si="5"/>
      </x:c>
      <x:c r="K41" t="str">
        <x:f t="shared" si="6"/>
      </x:c>
      <x:c r="L41" t="str">
        <x:f t="shared" si="7"/>
      </x:c>
    </x:row>
    <x:row r="42" ht="18" customHeight="1">
      <x:c r="I42" t="str">
        <x:f t="shared" si="4"/>
      </x:c>
      <x:c r="J42" t="str">
        <x:f t="shared" si="5"/>
      </x:c>
      <x:c r="K42" t="str">
        <x:f t="shared" si="6"/>
      </x:c>
      <x:c r="L42" t="str">
        <x:f t="shared" si="7"/>
      </x:c>
    </x:row>
    <x:row r="43" ht="18" customHeight="1">
      <x:c r="I43" t="str">
        <x:f t="shared" si="4"/>
      </x:c>
      <x:c r="J43" t="str">
        <x:f t="shared" si="5"/>
      </x:c>
      <x:c r="K43" t="str">
        <x:f t="shared" si="6"/>
      </x:c>
      <x:c r="L43" t="str">
        <x:f t="shared" si="7"/>
      </x:c>
    </x:row>
    <x:row r="44" ht="18" customHeight="1">
      <x:c r="I44" t="str">
        <x:f t="shared" si="4"/>
      </x:c>
      <x:c r="J44" t="str">
        <x:f t="shared" si="5"/>
      </x:c>
      <x:c r="K44" t="str">
        <x:f t="shared" si="6"/>
      </x:c>
      <x:c r="L44" t="str">
        <x:f t="shared" si="7"/>
      </x:c>
    </x:row>
    <x:row r="45" ht="18" customHeight="1">
      <x:c r="I45" t="str">
        <x:f t="shared" si="4"/>
      </x:c>
      <x:c r="J45" t="str">
        <x:f t="shared" si="5"/>
      </x:c>
      <x:c r="K45" t="str">
        <x:f t="shared" si="6"/>
      </x:c>
      <x:c r="L45" t="str">
        <x:f t="shared" si="7"/>
      </x:c>
    </x:row>
    <x:row r="46" ht="18" customHeight="1">
      <x:c r="I46" t="str">
        <x:f t="shared" si="4"/>
      </x:c>
      <x:c r="J46" t="str">
        <x:f t="shared" si="5"/>
      </x:c>
      <x:c r="K46" t="str">
        <x:f t="shared" si="6"/>
      </x:c>
      <x:c r="L46" t="str">
        <x:f t="shared" si="7"/>
      </x:c>
    </x:row>
    <x:row r="47" ht="18" customHeight="1">
      <x:c r="I47" t="str">
        <x:f t="shared" si="4"/>
      </x:c>
      <x:c r="J47" t="str">
        <x:f t="shared" si="5"/>
      </x:c>
      <x:c r="K47" t="str">
        <x:f t="shared" si="6"/>
      </x:c>
      <x:c r="L47" t="str">
        <x:f t="shared" si="7"/>
      </x:c>
    </x:row>
    <x:row r="48" ht="18" customHeight="1">
      <x:c r="I48" t="str">
        <x:f t="shared" si="4"/>
      </x:c>
      <x:c r="J48" t="str">
        <x:f t="shared" si="5"/>
      </x:c>
      <x:c r="K48" t="str">
        <x:f t="shared" si="6"/>
      </x:c>
      <x:c r="L48" t="str">
        <x:f t="shared" si="7"/>
      </x:c>
    </x:row>
    <x:row r="49" ht="18" customHeight="1">
      <x:c r="I49" t="str">
        <x:f t="shared" si="4"/>
      </x:c>
      <x:c r="J49" t="str">
        <x:f t="shared" si="5"/>
      </x:c>
      <x:c r="K49" t="str">
        <x:f t="shared" si="6"/>
      </x:c>
      <x:c r="L49" t="str">
        <x:f t="shared" si="7"/>
      </x:c>
    </x:row>
    <x:row r="50" ht="18" customHeight="1">
      <x:c r="I50" t="str">
        <x:f t="shared" si="4"/>
      </x:c>
      <x:c r="J50" t="str">
        <x:f t="shared" si="5"/>
      </x:c>
      <x:c r="K50" t="str">
        <x:f t="shared" si="6"/>
      </x:c>
      <x:c r="L50" t="str">
        <x:f t="shared" si="7"/>
      </x:c>
    </x:row>
    <x:row r="51" ht="18" customHeight="1">
      <x:c r="I51" t="str">
        <x:f t="shared" si="4"/>
      </x:c>
      <x:c r="J51" t="str">
        <x:f t="shared" si="5"/>
      </x:c>
      <x:c r="K51" t="str">
        <x:f t="shared" si="6"/>
      </x:c>
      <x:c r="L51" t="str">
        <x:f t="shared" si="7"/>
      </x:c>
    </x:row>
    <x:row r="52" ht="18" customHeight="1">
      <x:c r="I52" t="str">
        <x:f t="shared" si="4"/>
      </x:c>
      <x:c r="J52" t="str">
        <x:f t="shared" si="5"/>
      </x:c>
      <x:c r="K52" t="str">
        <x:f t="shared" si="6"/>
      </x:c>
      <x:c r="L52" t="str">
        <x:f t="shared" si="7"/>
      </x:c>
    </x:row>
    <x:row r="53" ht="18" customHeight="1">
      <x:c r="I53" t="str">
        <x:f t="shared" si="4"/>
      </x:c>
      <x:c r="J53" t="str">
        <x:f t="shared" si="5"/>
      </x:c>
      <x:c r="K53" t="str">
        <x:f t="shared" si="6"/>
      </x:c>
      <x:c r="L53" t="str">
        <x:f t="shared" si="7"/>
      </x:c>
    </x:row>
    <x:row r="54" ht="18" customHeight="1">
      <x:c r="I54" t="str">
        <x:f t="shared" si="4"/>
      </x:c>
      <x:c r="J54" t="str">
        <x:f t="shared" si="5"/>
      </x:c>
      <x:c r="K54" t="str">
        <x:f t="shared" si="6"/>
      </x:c>
      <x:c r="L54" t="str">
        <x:f t="shared" si="7"/>
      </x:c>
    </x:row>
    <x:row r="55" ht="18" customHeight="1">
      <x:c r="I55" t="str">
        <x:f t="shared" si="4"/>
      </x:c>
      <x:c r="J55" t="str">
        <x:f t="shared" si="5"/>
      </x:c>
      <x:c r="K55" t="str">
        <x:f t="shared" si="6"/>
      </x:c>
      <x:c r="L55" t="str">
        <x:f t="shared" si="7"/>
      </x:c>
    </x:row>
    <x:row r="56" ht="18" customHeight="1">
      <x:c r="I56" t="str">
        <x:f t="shared" si="4"/>
      </x:c>
      <x:c r="J56" t="str">
        <x:f t="shared" si="5"/>
      </x:c>
      <x:c r="K56" t="str">
        <x:f t="shared" si="6"/>
      </x:c>
      <x:c r="L56" t="str">
        <x:f t="shared" si="7"/>
      </x:c>
    </x:row>
    <x:row r="57" ht="18" customHeight="1">
      <x:c r="I57" t="str">
        <x:f t="shared" si="4"/>
      </x:c>
      <x:c r="J57" t="str">
        <x:f t="shared" si="5"/>
      </x:c>
      <x:c r="K57" t="str">
        <x:f t="shared" si="6"/>
      </x:c>
      <x:c r="L57" t="str">
        <x:f t="shared" si="7"/>
      </x:c>
    </x:row>
    <x:row r="58" ht="18" customHeight="1">
      <x:c r="I58" t="str">
        <x:f t="shared" si="4"/>
      </x:c>
      <x:c r="J58" t="str">
        <x:f t="shared" si="5"/>
      </x:c>
      <x:c r="K58" t="str">
        <x:f t="shared" si="6"/>
      </x:c>
      <x:c r="L58" t="str">
        <x:f t="shared" si="7"/>
      </x:c>
    </x:row>
    <x:row r="59" ht="18" customHeight="1">
      <x:c r="I59" t="str">
        <x:f t="shared" si="4"/>
      </x:c>
      <x:c r="J59" t="str">
        <x:f t="shared" si="5"/>
      </x:c>
      <x:c r="K59" t="str">
        <x:f t="shared" si="6"/>
      </x:c>
      <x:c r="L59" t="str">
        <x:f t="shared" si="7"/>
      </x:c>
    </x:row>
    <x:row r="60" ht="18" customHeight="1">
      <x:c r="I60" t="str">
        <x:f t="shared" si="4"/>
      </x:c>
      <x:c r="J60" t="str">
        <x:f t="shared" si="5"/>
      </x:c>
      <x:c r="K60" t="str">
        <x:f t="shared" si="6"/>
      </x:c>
      <x:c r="L60" t="str">
        <x:f t="shared" si="7"/>
      </x:c>
    </x:row>
    <x:row r="61" ht="18" customHeight="1">
      <x:c r="I61" t="str">
        <x:f t="shared" si="4"/>
      </x:c>
      <x:c r="J61" t="str">
        <x:f t="shared" si="5"/>
      </x:c>
      <x:c r="K61" t="str">
        <x:f t="shared" si="6"/>
      </x:c>
      <x:c r="L61" t="str">
        <x:f t="shared" si="7"/>
      </x:c>
    </x:row>
    <x:row r="62" ht="18" customHeight="1">
      <x:c r="I62" t="str">
        <x:f t="shared" si="4"/>
      </x:c>
      <x:c r="J62" t="str">
        <x:f t="shared" si="5"/>
      </x:c>
      <x:c r="K62" t="str">
        <x:f t="shared" si="6"/>
      </x:c>
      <x:c r="L62" t="str">
        <x:f t="shared" si="7"/>
      </x:c>
    </x:row>
    <x:row r="63" ht="18" customHeight="1">
      <x:c r="I63" t="str">
        <x:f t="shared" si="4"/>
      </x:c>
      <x:c r="J63" t="str">
        <x:f t="shared" si="5"/>
      </x:c>
      <x:c r="K63" t="str">
        <x:f t="shared" si="6"/>
      </x:c>
      <x:c r="L63" t="str">
        <x:f t="shared" si="7"/>
      </x:c>
    </x:row>
    <x:row r="64" ht="18" customHeight="1">
      <x:c r="I64" t="str">
        <x:f t="shared" si="4"/>
      </x:c>
      <x:c r="J64" t="str">
        <x:f t="shared" si="5"/>
      </x:c>
      <x:c r="K64" t="str">
        <x:f t="shared" si="6"/>
      </x:c>
      <x:c r="L64" t="str">
        <x:f t="shared" si="7"/>
      </x:c>
    </x:row>
    <x:row r="65" ht="18" customHeight="1">
      <x:c r="I65" t="str">
        <x:f t="shared" si="4"/>
      </x:c>
      <x:c r="J65" t="str">
        <x:f t="shared" si="5"/>
      </x:c>
      <x:c r="K65" t="str">
        <x:f t="shared" si="6"/>
      </x:c>
      <x:c r="L65" t="str">
        <x:f t="shared" si="7"/>
      </x:c>
    </x:row>
    <x:row r="66" ht="18" customHeight="1">
      <x:c r="I66" t="str">
        <x:f t="shared" si="4"/>
      </x:c>
      <x:c r="J66" t="str">
        <x:f t="shared" si="5"/>
      </x:c>
      <x:c r="K66" t="str">
        <x:f t="shared" si="6"/>
      </x:c>
      <x:c r="L66" t="str">
        <x:f t="shared" si="7"/>
      </x:c>
    </x:row>
    <x:row r="67" ht="18" customHeight="1">
      <x:c r="I67" t="str">
        <x:f t="shared" si="4"/>
      </x:c>
      <x:c r="J67" t="str">
        <x:f t="shared" si="5"/>
      </x:c>
      <x:c r="K67" t="str">
        <x:f t="shared" si="6"/>
      </x:c>
      <x:c r="L67" t="str">
        <x:f t="shared" si="7"/>
      </x:c>
    </x:row>
    <x:row r="68" ht="18" customHeight="1">
      <x:c r="I68" t="str">
        <x:f t="shared" si="4"/>
      </x:c>
      <x:c r="J68" t="str">
        <x:f t="shared" si="5"/>
      </x:c>
      <x:c r="K68" t="str">
        <x:f t="shared" si="6"/>
      </x:c>
      <x:c r="L68" t="str">
        <x:f t="shared" si="7"/>
      </x:c>
    </x:row>
    <x:row r="69" ht="18" customHeight="1">
      <x:c r="I69" t="str">
        <x:f t="shared" ref="I69:I100" si="8">IF(A69="","",G69*H69)</x:f>
      </x:c>
      <x:c r="J69" t="str">
        <x:f t="shared" ref="J69:J100" si="9">IF(A69="","",IF(AND(G69&gt;=0,H69&gt;0),"OK","CHECK"))</x:f>
      </x:c>
      <x:c r="K69" t="str">
        <x:f t="shared" ref="K69:K100" si="10">IF(A69="","", "RW-"&amp;A69&amp;"-L"&amp;TEXT(B69,"00")&amp;"-"&amp;TEXT(C69,"yyyymmdd")&amp;"-"&amp;D69&amp;"-"&amp;E69&amp;"-"&amp;F69)</x:f>
      </x:c>
      <x:c r="L69" t="str">
        <x:f t="shared" ref="L69:L100" si="11">IF(A69="","",IF(AND(J69="OK",COUNTIF($K$5:$K$100,K69)=1),"OK","CHECK"))</x:f>
      </x:c>
    </x:row>
    <x:row r="70" ht="18" customHeight="1">
      <x:c r="I70" t="str">
        <x:f t="shared" si="8"/>
      </x:c>
      <x:c r="J70" t="str">
        <x:f t="shared" si="9"/>
      </x:c>
      <x:c r="K70" t="str">
        <x:f t="shared" si="10"/>
      </x:c>
      <x:c r="L70" t="str">
        <x:f t="shared" si="11"/>
      </x:c>
    </x:row>
    <x:row r="71" ht="18" customHeight="1">
      <x:c r="I71" t="str">
        <x:f t="shared" si="8"/>
      </x:c>
      <x:c r="J71" t="str">
        <x:f t="shared" si="9"/>
      </x:c>
      <x:c r="K71" t="str">
        <x:f t="shared" si="10"/>
      </x:c>
      <x:c r="L71" t="str">
        <x:f t="shared" si="11"/>
      </x:c>
    </x:row>
    <x:row r="72" ht="18" customHeight="1">
      <x:c r="I72" t="str">
        <x:f t="shared" si="8"/>
      </x:c>
      <x:c r="J72" t="str">
        <x:f t="shared" si="9"/>
      </x:c>
      <x:c r="K72" t="str">
        <x:f t="shared" si="10"/>
      </x:c>
      <x:c r="L72" t="str">
        <x:f t="shared" si="11"/>
      </x:c>
    </x:row>
    <x:row r="73" ht="18" customHeight="1">
      <x:c r="I73" t="str">
        <x:f t="shared" si="8"/>
      </x:c>
      <x:c r="J73" t="str">
        <x:f t="shared" si="9"/>
      </x:c>
      <x:c r="K73" t="str">
        <x:f t="shared" si="10"/>
      </x:c>
      <x:c r="L73" t="str">
        <x:f t="shared" si="11"/>
      </x:c>
    </x:row>
    <x:row r="74" ht="18" customHeight="1">
      <x:c r="I74" t="str">
        <x:f t="shared" si="8"/>
      </x:c>
      <x:c r="J74" t="str">
        <x:f t="shared" si="9"/>
      </x:c>
      <x:c r="K74" t="str">
        <x:f t="shared" si="10"/>
      </x:c>
      <x:c r="L74" t="str">
        <x:f t="shared" si="11"/>
      </x:c>
    </x:row>
    <x:row r="75" ht="18" customHeight="1">
      <x:c r="I75" t="str">
        <x:f t="shared" si="8"/>
      </x:c>
      <x:c r="J75" t="str">
        <x:f t="shared" si="9"/>
      </x:c>
      <x:c r="K75" t="str">
        <x:f t="shared" si="10"/>
      </x:c>
      <x:c r="L75" t="str">
        <x:f t="shared" si="11"/>
      </x:c>
    </x:row>
    <x:row r="76" ht="18" customHeight="1">
      <x:c r="I76" t="str">
        <x:f t="shared" si="8"/>
      </x:c>
      <x:c r="J76" t="str">
        <x:f t="shared" si="9"/>
      </x:c>
      <x:c r="K76" t="str">
        <x:f t="shared" si="10"/>
      </x:c>
      <x:c r="L76" t="str">
        <x:f t="shared" si="11"/>
      </x:c>
    </x:row>
    <x:row r="77" ht="18" customHeight="1">
      <x:c r="I77" t="str">
        <x:f t="shared" si="8"/>
      </x:c>
      <x:c r="J77" t="str">
        <x:f t="shared" si="9"/>
      </x:c>
      <x:c r="K77" t="str">
        <x:f t="shared" si="10"/>
      </x:c>
      <x:c r="L77" t="str">
        <x:f t="shared" si="11"/>
      </x:c>
    </x:row>
    <x:row r="78" ht="18" customHeight="1">
      <x:c r="I78" t="str">
        <x:f t="shared" si="8"/>
      </x:c>
      <x:c r="J78" t="str">
        <x:f t="shared" si="9"/>
      </x:c>
      <x:c r="K78" t="str">
        <x:f t="shared" si="10"/>
      </x:c>
      <x:c r="L78" t="str">
        <x:f t="shared" si="11"/>
      </x:c>
    </x:row>
    <x:row r="79" ht="18" customHeight="1">
      <x:c r="I79" t="str">
        <x:f t="shared" si="8"/>
      </x:c>
      <x:c r="J79" t="str">
        <x:f t="shared" si="9"/>
      </x:c>
      <x:c r="K79" t="str">
        <x:f t="shared" si="10"/>
      </x:c>
      <x:c r="L79" t="str">
        <x:f t="shared" si="11"/>
      </x:c>
    </x:row>
    <x:row r="80" ht="18" customHeight="1">
      <x:c r="I80" t="str">
        <x:f t="shared" si="8"/>
      </x:c>
      <x:c r="J80" t="str">
        <x:f t="shared" si="9"/>
      </x:c>
      <x:c r="K80" t="str">
        <x:f t="shared" si="10"/>
      </x:c>
      <x:c r="L80" t="str">
        <x:f t="shared" si="11"/>
      </x:c>
    </x:row>
    <x:row r="81" ht="18" customHeight="1">
      <x:c r="I81" t="str">
        <x:f t="shared" si="8"/>
      </x:c>
      <x:c r="J81" t="str">
        <x:f t="shared" si="9"/>
      </x:c>
      <x:c r="K81" t="str">
        <x:f t="shared" si="10"/>
      </x:c>
      <x:c r="L81" t="str">
        <x:f t="shared" si="11"/>
      </x:c>
    </x:row>
    <x:row r="82" ht="18" customHeight="1">
      <x:c r="I82" t="str">
        <x:f t="shared" si="8"/>
      </x:c>
      <x:c r="J82" t="str">
        <x:f t="shared" si="9"/>
      </x:c>
      <x:c r="K82" t="str">
        <x:f t="shared" si="10"/>
      </x:c>
      <x:c r="L82" t="str">
        <x:f t="shared" si="11"/>
      </x:c>
    </x:row>
    <x:row r="83" ht="18" customHeight="1">
      <x:c r="I83" t="str">
        <x:f t="shared" si="8"/>
      </x:c>
      <x:c r="J83" t="str">
        <x:f t="shared" si="9"/>
      </x:c>
      <x:c r="K83" t="str">
        <x:f t="shared" si="10"/>
      </x:c>
      <x:c r="L83" t="str">
        <x:f t="shared" si="11"/>
      </x:c>
    </x:row>
    <x:row r="84" ht="18" customHeight="1">
      <x:c r="I84" t="str">
        <x:f t="shared" si="8"/>
      </x:c>
      <x:c r="J84" t="str">
        <x:f t="shared" si="9"/>
      </x:c>
      <x:c r="K84" t="str">
        <x:f t="shared" si="10"/>
      </x:c>
      <x:c r="L84" t="str">
        <x:f t="shared" si="11"/>
      </x:c>
    </x:row>
    <x:row r="85" ht="18" customHeight="1">
      <x:c r="I85" t="str">
        <x:f t="shared" si="8"/>
      </x:c>
      <x:c r="J85" t="str">
        <x:f t="shared" si="9"/>
      </x:c>
      <x:c r="K85" t="str">
        <x:f t="shared" si="10"/>
      </x:c>
      <x:c r="L85" t="str">
        <x:f t="shared" si="11"/>
      </x:c>
    </x:row>
    <x:row r="86" ht="18" customHeight="1">
      <x:c r="I86" t="str">
        <x:f t="shared" si="8"/>
      </x:c>
      <x:c r="J86" t="str">
        <x:f t="shared" si="9"/>
      </x:c>
      <x:c r="K86" t="str">
        <x:f t="shared" si="10"/>
      </x:c>
      <x:c r="L86" t="str">
        <x:f t="shared" si="11"/>
      </x:c>
    </x:row>
    <x:row r="87" ht="18" customHeight="1">
      <x:c r="I87" t="str">
        <x:f t="shared" si="8"/>
      </x:c>
      <x:c r="J87" t="str">
        <x:f t="shared" si="9"/>
      </x:c>
      <x:c r="K87" t="str">
        <x:f t="shared" si="10"/>
      </x:c>
      <x:c r="L87" t="str">
        <x:f t="shared" si="11"/>
      </x:c>
    </x:row>
    <x:row r="88" ht="18" customHeight="1">
      <x:c r="I88" t="str">
        <x:f t="shared" si="8"/>
      </x:c>
      <x:c r="J88" t="str">
        <x:f t="shared" si="9"/>
      </x:c>
      <x:c r="K88" t="str">
        <x:f t="shared" si="10"/>
      </x:c>
      <x:c r="L88" t="str">
        <x:f t="shared" si="11"/>
      </x:c>
    </x:row>
    <x:row r="89" ht="18" customHeight="1">
      <x:c r="I89" t="str">
        <x:f t="shared" si="8"/>
      </x:c>
      <x:c r="J89" t="str">
        <x:f t="shared" si="9"/>
      </x:c>
      <x:c r="K89" t="str">
        <x:f t="shared" si="10"/>
      </x:c>
      <x:c r="L89" t="str">
        <x:f t="shared" si="11"/>
      </x:c>
    </x:row>
    <x:row r="90" ht="18" customHeight="1">
      <x:c r="I90" t="str">
        <x:f t="shared" si="8"/>
      </x:c>
      <x:c r="J90" t="str">
        <x:f t="shared" si="9"/>
      </x:c>
      <x:c r="K90" t="str">
        <x:f t="shared" si="10"/>
      </x:c>
      <x:c r="L90" t="str">
        <x:f t="shared" si="11"/>
      </x:c>
    </x:row>
    <x:row r="91" ht="18" customHeight="1">
      <x:c r="I91" t="str">
        <x:f t="shared" si="8"/>
      </x:c>
      <x:c r="J91" t="str">
        <x:f t="shared" si="9"/>
      </x:c>
      <x:c r="K91" t="str">
        <x:f t="shared" si="10"/>
      </x:c>
      <x:c r="L91" t="str">
        <x:f t="shared" si="11"/>
      </x:c>
    </x:row>
    <x:row r="92" ht="18" customHeight="1">
      <x:c r="I92" t="str">
        <x:f t="shared" si="8"/>
      </x:c>
      <x:c r="J92" t="str">
        <x:f t="shared" si="9"/>
      </x:c>
      <x:c r="K92" t="str">
        <x:f t="shared" si="10"/>
      </x:c>
      <x:c r="L92" t="str">
        <x:f t="shared" si="11"/>
      </x:c>
    </x:row>
    <x:row r="93" ht="18" customHeight="1">
      <x:c r="I93" t="str">
        <x:f t="shared" si="8"/>
      </x:c>
      <x:c r="J93" t="str">
        <x:f t="shared" si="9"/>
      </x:c>
      <x:c r="K93" t="str">
        <x:f t="shared" si="10"/>
      </x:c>
      <x:c r="L93" t="str">
        <x:f t="shared" si="11"/>
      </x:c>
    </x:row>
    <x:row r="94" ht="18" customHeight="1">
      <x:c r="I94" t="str">
        <x:f t="shared" si="8"/>
      </x:c>
      <x:c r="J94" t="str">
        <x:f t="shared" si="9"/>
      </x:c>
      <x:c r="K94" t="str">
        <x:f t="shared" si="10"/>
      </x:c>
      <x:c r="L94" t="str">
        <x:f t="shared" si="11"/>
      </x:c>
    </x:row>
    <x:row r="95" ht="18" customHeight="1">
      <x:c r="I95" t="str">
        <x:f t="shared" si="8"/>
      </x:c>
      <x:c r="J95" t="str">
        <x:f t="shared" si="9"/>
      </x:c>
      <x:c r="K95" t="str">
        <x:f t="shared" si="10"/>
      </x:c>
      <x:c r="L95" t="str">
        <x:f t="shared" si="11"/>
      </x:c>
    </x:row>
    <x:row r="96" ht="18" customHeight="1">
      <x:c r="I96" t="str">
        <x:f t="shared" si="8"/>
      </x:c>
      <x:c r="J96" t="str">
        <x:f t="shared" si="9"/>
      </x:c>
      <x:c r="K96" t="str">
        <x:f t="shared" si="10"/>
      </x:c>
      <x:c r="L96" t="str">
        <x:f t="shared" si="11"/>
      </x:c>
    </x:row>
    <x:row r="97" ht="18" customHeight="1">
      <x:c r="I97" t="str">
        <x:f t="shared" si="8"/>
      </x:c>
      <x:c r="J97" t="str">
        <x:f t="shared" si="9"/>
      </x:c>
      <x:c r="K97" t="str">
        <x:f t="shared" si="10"/>
      </x:c>
      <x:c r="L97" t="str">
        <x:f t="shared" si="11"/>
      </x:c>
    </x:row>
    <x:row r="98" ht="18" customHeight="1">
      <x:c r="I98" t="str">
        <x:f t="shared" si="8"/>
      </x:c>
      <x:c r="J98" t="str">
        <x:f t="shared" si="9"/>
      </x:c>
      <x:c r="K98" t="str">
        <x:f t="shared" si="10"/>
      </x:c>
      <x:c r="L98" t="str">
        <x:f t="shared" si="11"/>
      </x:c>
    </x:row>
    <x:row r="99" ht="18" customHeight="1">
      <x:c r="I99" t="str">
        <x:f t="shared" si="8"/>
      </x:c>
      <x:c r="J99" t="str">
        <x:f t="shared" si="9"/>
      </x:c>
      <x:c r="K99" t="str">
        <x:f t="shared" si="10"/>
      </x:c>
      <x:c r="L99" t="str">
        <x:f t="shared" si="11"/>
      </x:c>
    </x:row>
    <x:row r="100" ht="18" customHeight="1">
      <x:c r="I100" t="str">
        <x:f t="shared" si="8"/>
      </x:c>
      <x:c r="J100" t="str">
        <x:f t="shared" si="9"/>
      </x:c>
      <x:c r="K100" t="str">
        <x:f t="shared" si="10"/>
      </x:c>
      <x:c r="L100" t="str">
        <x:f t="shared" si="11"/>
      </x:c>
    </x:row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  <x:row r="201" ht="18" customHeight="1"/>
    <x:row r="202" ht="18" customHeight="1"/>
    <x:row r="203" ht="18" customHeight="1"/>
    <x:row r="204" ht="18" customHeight="1"/>
    <x:row r="205" ht="18" customHeight="1"/>
    <x:row r="206" ht="18" customHeight="1"/>
    <x:row r="207" ht="18" customHeight="1"/>
    <x:row r="208" ht="18" customHeight="1"/>
    <x:row r="209" ht="18" customHeight="1"/>
    <x:row r="210" ht="18" customHeight="1"/>
    <x:row r="211" ht="18" customHeight="1"/>
    <x:row r="212" ht="18" customHeight="1"/>
    <x:row r="213" ht="18" customHeight="1"/>
    <x:row r="214" ht="18" customHeight="1"/>
    <x:row r="215" ht="18" customHeight="1"/>
    <x:row r="216" ht="18" customHeight="1"/>
    <x:row r="217" ht="18" customHeight="1"/>
    <x:row r="218" ht="18" customHeight="1"/>
    <x:row r="219" ht="18" customHeight="1"/>
    <x:row r="220" ht="18" customHeight="1"/>
    <x:row r="221" ht="18" customHeight="1"/>
    <x:row r="222" ht="18" customHeight="1"/>
    <x:row r="223" ht="18" customHeight="1"/>
    <x:row r="224" ht="18" customHeight="1"/>
    <x:row r="225" ht="18" customHeight="1"/>
    <x:row r="226" ht="18" customHeight="1"/>
    <x:row r="227" ht="18" customHeight="1"/>
    <x:row r="228" ht="18" customHeight="1"/>
    <x:row r="229" ht="18" customHeight="1"/>
    <x:row r="230" ht="18" customHeight="1"/>
    <x:row r="231" ht="18" customHeight="1"/>
    <x:row r="232" ht="18" customHeight="1"/>
    <x:row r="233" ht="18" customHeight="1"/>
    <x:row r="234" ht="18" customHeight="1"/>
    <x:row r="235" ht="18" customHeight="1"/>
    <x:row r="236" ht="18" customHeight="1"/>
    <x:row r="237" ht="18" customHeight="1"/>
    <x:row r="238" ht="18" customHeight="1"/>
    <x:row r="239" ht="18" customHeight="1"/>
    <x:row r="240" ht="18" customHeight="1"/>
    <x:row r="241" ht="18" customHeight="1"/>
    <x:row r="242" ht="18" customHeight="1"/>
    <x:row r="243" ht="18" customHeight="1"/>
    <x:row r="244" ht="18" customHeight="1"/>
    <x:row r="245" ht="18" customHeight="1"/>
    <x:row r="246" ht="18" customHeight="1"/>
    <x:row r="247" ht="18" customHeight="1"/>
    <x:row r="248" ht="18" customHeight="1"/>
    <x:row r="249" ht="18" customHeight="1"/>
    <x:row r="250" ht="18" customHeight="1"/>
    <x:row r="251" ht="18" customHeight="1"/>
    <x:row r="252" ht="18" customHeight="1"/>
    <x:row r="253" ht="18" customHeight="1"/>
    <x:row r="254" ht="18" customHeight="1"/>
    <x:row r="255" ht="18" customHeight="1"/>
    <x:row r="256" ht="18" customHeight="1"/>
    <x:row r="257" ht="18" customHeight="1"/>
    <x:row r="258" ht="18" customHeight="1"/>
    <x:row r="259" ht="18" customHeight="1"/>
    <x:row r="260" ht="18" customHeight="1"/>
    <x:row r="261" ht="18" customHeight="1"/>
    <x:row r="262" ht="18" customHeight="1"/>
    <x:row r="263" ht="18" customHeight="1"/>
    <x:row r="264" ht="18" customHeight="1"/>
    <x:row r="265" ht="18" customHeight="1"/>
    <x:row r="266" ht="18" customHeight="1"/>
    <x:row r="267" ht="18" customHeight="1"/>
    <x:row r="268" ht="18" customHeight="1"/>
    <x:row r="269" ht="18" customHeight="1"/>
    <x:row r="270" ht="18" customHeight="1"/>
    <x:row r="271" ht="18" customHeight="1"/>
    <x:row r="272" ht="18" customHeight="1"/>
    <x:row r="273" ht="18" customHeight="1"/>
    <x:row r="274" ht="18" customHeight="1"/>
    <x:row r="275" ht="18" customHeight="1"/>
    <x:row r="276" ht="18" customHeight="1"/>
    <x:row r="277" ht="18" customHeight="1"/>
    <x:row r="278" ht="18" customHeight="1"/>
    <x:row r="279" ht="18" customHeight="1"/>
    <x:row r="280" ht="18" customHeight="1"/>
    <x:row r="281" ht="18" customHeight="1"/>
    <x:row r="282" ht="18" customHeight="1"/>
    <x:row r="283" ht="18" customHeight="1"/>
    <x:row r="284" ht="18" customHeight="1"/>
    <x:row r="285" ht="18" customHeight="1"/>
    <x:row r="286" ht="18" customHeight="1"/>
    <x:row r="287" ht="18" customHeight="1"/>
    <x:row r="288" ht="18" customHeight="1"/>
    <x:row r="289" ht="18" customHeight="1"/>
    <x:row r="290" ht="18" customHeight="1"/>
    <x:row r="291" ht="18" customHeight="1"/>
    <x:row r="292" ht="18" customHeight="1"/>
    <x:row r="293" ht="18" customHeight="1"/>
    <x:row r="294" ht="18" customHeight="1"/>
    <x:row r="295" ht="18" customHeight="1"/>
    <x:row r="296" ht="18" customHeight="1"/>
    <x:row r="297" ht="18" customHeight="1"/>
    <x:row r="298" ht="18" customHeight="1"/>
    <x:row r="299" ht="18" customHeight="1"/>
    <x:row r="300" ht="18" customHeight="1"/>
    <x:row r="301" ht="18" customHeight="1"/>
    <x:row r="302" ht="18" customHeight="1"/>
    <x:row r="303" ht="18" customHeight="1"/>
    <x:row r="304" ht="18" customHeight="1"/>
    <x:row r="305" ht="18" customHeight="1"/>
    <x:row r="306" ht="18" customHeight="1"/>
    <x:row r="307" ht="18" customHeight="1"/>
    <x:row r="308" ht="18" customHeight="1"/>
    <x:row r="309" ht="18" customHeight="1"/>
    <x:row r="310" ht="18" customHeight="1"/>
    <x:row r="311" ht="18" customHeight="1"/>
    <x:row r="312" ht="18" customHeight="1"/>
    <x:row r="313" ht="18" customHeight="1"/>
    <x:row r="314" ht="18" customHeight="1"/>
    <x:row r="315" ht="18" customHeight="1"/>
    <x:row r="316" ht="18" customHeight="1"/>
    <x:row r="317" ht="18" customHeight="1"/>
    <x:row r="318" ht="18" customHeight="1"/>
    <x:row r="319" ht="18" customHeight="1"/>
    <x:row r="320" ht="18" customHeight="1"/>
    <x:row r="321" ht="18" customHeight="1"/>
    <x:row r="322" ht="18" customHeight="1"/>
    <x:row r="323" ht="18" customHeight="1"/>
    <x:row r="324" ht="18" customHeight="1"/>
    <x:row r="325" ht="18" customHeight="1"/>
    <x:row r="326" ht="18" customHeight="1"/>
    <x:row r="327" ht="18" customHeight="1"/>
    <x:row r="328" ht="18" customHeight="1"/>
    <x:row r="329" ht="18" customHeight="1"/>
    <x:row r="330" ht="18" customHeight="1"/>
    <x:row r="331" ht="18" customHeight="1"/>
    <x:row r="332" ht="18" customHeight="1"/>
    <x:row r="333" ht="18" customHeight="1"/>
    <x:row r="334" ht="18" customHeight="1"/>
    <x:row r="335" ht="18" customHeight="1"/>
    <x:row r="336" ht="18" customHeight="1"/>
    <x:row r="337" ht="18" customHeight="1"/>
    <x:row r="338" ht="18" customHeight="1"/>
    <x:row r="339" ht="18" customHeight="1"/>
    <x:row r="340" ht="18" customHeight="1"/>
    <x:row r="341" ht="18" customHeight="1"/>
    <x:row r="342" ht="18" customHeight="1"/>
    <x:row r="343" ht="18" customHeight="1"/>
    <x:row r="344" ht="18" customHeight="1"/>
    <x:row r="345" ht="18" customHeight="1"/>
    <x:row r="346" ht="18" customHeight="1"/>
    <x:row r="347" ht="18" customHeight="1"/>
    <x:row r="348" ht="18" customHeight="1"/>
    <x:row r="349" ht="18" customHeight="1"/>
    <x:row r="350" ht="18" customHeight="1"/>
    <x:row r="351" ht="18" customHeight="1"/>
    <x:row r="352" ht="18" customHeight="1"/>
    <x:row r="353" ht="18" customHeight="1"/>
    <x:row r="354" ht="18" customHeight="1"/>
    <x:row r="355" ht="18" customHeight="1"/>
    <x:row r="356" ht="18" customHeight="1"/>
    <x:row r="357" ht="18" customHeight="1"/>
    <x:row r="358" ht="18" customHeight="1"/>
    <x:row r="359" ht="18" customHeight="1"/>
    <x:row r="360" ht="18" customHeight="1"/>
    <x:row r="361" ht="18" customHeight="1"/>
    <x:row r="362" ht="18" customHeight="1"/>
    <x:row r="363" ht="18" customHeight="1"/>
    <x:row r="364" ht="18" customHeight="1"/>
    <x:row r="365" ht="18" customHeight="1"/>
    <x:row r="366" ht="18" customHeight="1"/>
    <x:row r="367" ht="18" customHeight="1"/>
    <x:row r="368" ht="18" customHeight="1"/>
    <x:row r="369" ht="18" customHeight="1"/>
    <x:row r="370" ht="18" customHeight="1"/>
    <x:row r="371" ht="18" customHeight="1"/>
    <x:row r="372" ht="18" customHeight="1"/>
    <x:row r="373" ht="18" customHeight="1"/>
    <x:row r="374" ht="18" customHeight="1"/>
    <x:row r="375" ht="18" customHeight="1"/>
    <x:row r="376" ht="18" customHeight="1"/>
    <x:row r="377" ht="18" customHeight="1"/>
    <x:row r="378" ht="18" customHeight="1"/>
    <x:row r="379" ht="18" customHeight="1"/>
    <x:row r="380" ht="18" customHeight="1"/>
    <x:row r="381" ht="18" customHeight="1"/>
    <x:row r="382" ht="18" customHeight="1"/>
    <x:row r="383" ht="18" customHeight="1"/>
    <x:row r="384" ht="18" customHeight="1"/>
    <x:row r="385" ht="18" customHeight="1"/>
    <x:row r="386" ht="18" customHeight="1"/>
    <x:row r="387" ht="18" customHeight="1"/>
    <x:row r="388" ht="18" customHeight="1"/>
    <x:row r="389" ht="18" customHeight="1"/>
    <x:row r="390" ht="18" customHeight="1"/>
    <x:row r="391" ht="18" customHeight="1"/>
    <x:row r="392" ht="18" customHeight="1"/>
    <x:row r="393" ht="18" customHeight="1"/>
    <x:row r="394" ht="18" customHeight="1"/>
    <x:row r="395" ht="18" customHeight="1"/>
    <x:row r="396" ht="18" customHeight="1"/>
    <x:row r="397" ht="18" customHeight="1"/>
    <x:row r="398" ht="18" customHeight="1"/>
    <x:row r="399" ht="18" customHeight="1"/>
    <x:row r="400" ht="18" customHeight="1"/>
    <x:row r="401" ht="18" customHeight="1"/>
    <x:row r="402" ht="18" customHeight="1"/>
    <x:row r="403" ht="18" customHeight="1"/>
    <x:row r="404" ht="18" customHeight="1"/>
    <x:row r="405" ht="18" customHeight="1"/>
    <x:row r="406" ht="18" customHeight="1"/>
    <x:row r="407" ht="18" customHeight="1"/>
    <x:row r="408" ht="18" customHeight="1"/>
    <x:row r="409" ht="18" customHeight="1"/>
    <x:row r="410" ht="18" customHeight="1"/>
    <x:row r="411" ht="18" customHeight="1"/>
    <x:row r="412" ht="18" customHeight="1"/>
    <x:row r="413" ht="18" customHeight="1"/>
    <x:row r="414" ht="18" customHeight="1"/>
    <x:row r="415" ht="18" customHeight="1"/>
    <x:row r="416" ht="18" customHeight="1"/>
    <x:row r="417" ht="18" customHeight="1"/>
    <x:row r="418" ht="18" customHeight="1"/>
    <x:row r="419" ht="18" customHeight="1"/>
    <x:row r="420" ht="18" customHeight="1"/>
    <x:row r="421" ht="18" customHeight="1"/>
    <x:row r="422" ht="18" customHeight="1"/>
    <x:row r="423" ht="18" customHeight="1"/>
    <x:row r="424" ht="18" customHeight="1"/>
    <x:row r="425" ht="18" customHeight="1"/>
    <x:row r="426" ht="18" customHeight="1"/>
    <x:row r="427" ht="18" customHeight="1"/>
    <x:row r="428" ht="18" customHeight="1"/>
    <x:row r="429" ht="18" customHeight="1"/>
    <x:row r="430" ht="18" customHeight="1"/>
    <x:row r="431" ht="18" customHeight="1"/>
    <x:row r="432" ht="18" customHeight="1"/>
    <x:row r="433" ht="18" customHeight="1"/>
    <x:row r="434" ht="18" customHeight="1"/>
    <x:row r="435" ht="18" customHeight="1"/>
    <x:row r="436" ht="18" customHeight="1"/>
    <x:row r="437" ht="18" customHeight="1"/>
    <x:row r="438" ht="18" customHeight="1"/>
    <x:row r="439" ht="18" customHeight="1"/>
    <x:row r="440" ht="18" customHeight="1"/>
    <x:row r="441" ht="18" customHeight="1"/>
    <x:row r="442" ht="18" customHeight="1"/>
    <x:row r="443" ht="18" customHeight="1"/>
    <x:row r="444" ht="18" customHeight="1"/>
    <x:row r="445" ht="18" customHeight="1"/>
    <x:row r="446" ht="18" customHeight="1"/>
    <x:row r="447" ht="18" customHeight="1"/>
    <x:row r="448" ht="18" customHeight="1"/>
    <x:row r="449" ht="18" customHeight="1"/>
    <x:row r="450" ht="18" customHeight="1"/>
    <x:row r="451" ht="18" customHeight="1"/>
    <x:row r="452" ht="18" customHeight="1"/>
    <x:row r="453" ht="18" customHeight="1"/>
    <x:row r="454" ht="18" customHeight="1"/>
    <x:row r="455" ht="18" customHeight="1"/>
    <x:row r="456" ht="18" customHeight="1"/>
    <x:row r="457" ht="18" customHeight="1"/>
    <x:row r="458" ht="18" customHeight="1"/>
    <x:row r="459" ht="18" customHeight="1"/>
    <x:row r="460" ht="18" customHeight="1"/>
    <x:row r="461" ht="18" customHeight="1"/>
    <x:row r="462" ht="18" customHeight="1"/>
    <x:row r="463" ht="18" customHeight="1"/>
    <x:row r="464" ht="18" customHeight="1"/>
    <x:row r="465" ht="18" customHeight="1"/>
    <x:row r="466" ht="18" customHeight="1"/>
    <x:row r="467" ht="18" customHeight="1"/>
    <x:row r="468" ht="18" customHeight="1"/>
    <x:row r="469" ht="18" customHeight="1"/>
    <x:row r="470" ht="18" customHeight="1"/>
    <x:row r="471" ht="18" customHeight="1"/>
    <x:row r="472" ht="18" customHeight="1"/>
    <x:row r="473" ht="18" customHeight="1"/>
    <x:row r="474" ht="18" customHeight="1"/>
    <x:row r="475" ht="18" customHeight="1"/>
    <x:row r="476" ht="18" customHeight="1"/>
    <x:row r="477" ht="18" customHeight="1"/>
    <x:row r="478" ht="18" customHeight="1"/>
    <x:row r="479" ht="18" customHeight="1"/>
    <x:row r="480" ht="18" customHeight="1"/>
    <x:row r="481" ht="18" customHeight="1"/>
    <x:row r="482" ht="18" customHeight="1"/>
    <x:row r="483" ht="18" customHeight="1"/>
    <x:row r="484" ht="18" customHeight="1"/>
    <x:row r="485" ht="18" customHeight="1"/>
    <x:row r="486" ht="18" customHeight="1"/>
    <x:row r="487" ht="18" customHeight="1"/>
    <x:row r="488" ht="18" customHeight="1"/>
    <x:row r="489" ht="18" customHeight="1"/>
    <x:row r="490" ht="18" customHeight="1"/>
    <x:row r="491" ht="18" customHeight="1"/>
    <x:row r="492" ht="18" customHeight="1"/>
    <x:row r="493" ht="18" customHeight="1"/>
    <x:row r="494" ht="18" customHeight="1"/>
    <x:row r="495" ht="18" customHeight="1"/>
    <x:row r="496" ht="18" customHeight="1"/>
    <x:row r="497" ht="18" customHeight="1"/>
    <x:row r="498" ht="18" customHeight="1"/>
    <x:row r="499" ht="18" customHeight="1"/>
    <x:row r="500" ht="18" customHeight="1"/>
    <x:row r="501" ht="18" customHeight="1"/>
    <x:row r="502" ht="18" customHeight="1"/>
    <x:row r="503" ht="18" customHeight="1"/>
    <x:row r="504" ht="18" customHeight="1"/>
    <x:row r="505" ht="18" customHeight="1"/>
    <x:row r="506" ht="18" customHeight="1"/>
    <x:row r="507" ht="18" customHeight="1"/>
    <x:row r="508" ht="18" customHeight="1"/>
    <x:row r="509" ht="18" customHeight="1"/>
    <x:row r="510" ht="18" customHeight="1"/>
    <x:row r="511" ht="18" customHeight="1"/>
    <x:row r="512" ht="18" customHeight="1"/>
    <x:row r="513" ht="18" customHeight="1"/>
    <x:row r="514" ht="18" customHeight="1"/>
    <x:row r="515" ht="18" customHeight="1"/>
    <x:row r="516" ht="18" customHeight="1"/>
    <x:row r="517" ht="18" customHeight="1"/>
    <x:row r="518" ht="18" customHeight="1"/>
    <x:row r="519" ht="18" customHeight="1"/>
    <x:row r="520" ht="18" customHeight="1"/>
    <x:row r="521" ht="18" customHeight="1"/>
    <x:row r="522" ht="18" customHeight="1"/>
    <x:row r="523" ht="18" customHeight="1"/>
    <x:row r="524" ht="18" customHeight="1"/>
    <x:row r="525" ht="18" customHeight="1"/>
    <x:row r="526" ht="18" customHeight="1"/>
    <x:row r="527" ht="18" customHeight="1"/>
    <x:row r="528" ht="18" customHeight="1"/>
    <x:row r="529" ht="18" customHeight="1"/>
    <x:row r="530" ht="18" customHeight="1"/>
    <x:row r="531" ht="18" customHeight="1"/>
    <x:row r="532" ht="18" customHeight="1"/>
    <x:row r="533" ht="18" customHeight="1"/>
    <x:row r="534" ht="18" customHeight="1"/>
    <x:row r="535" ht="18" customHeight="1"/>
    <x:row r="536" ht="18" customHeight="1"/>
    <x:row r="537" ht="18" customHeight="1"/>
    <x:row r="538" ht="18" customHeight="1"/>
    <x:row r="539" ht="18" customHeight="1"/>
    <x:row r="540" ht="18" customHeight="1"/>
    <x:row r="541" ht="18" customHeight="1"/>
    <x:row r="542" ht="18" customHeight="1"/>
    <x:row r="543" ht="18" customHeight="1"/>
    <x:row r="544" ht="18" customHeight="1"/>
    <x:row r="545" ht="18" customHeight="1"/>
    <x:row r="546" ht="18" customHeight="1"/>
    <x:row r="547" ht="18" customHeight="1"/>
    <x:row r="548" ht="18" customHeight="1"/>
    <x:row r="549" ht="18" customHeight="1"/>
    <x:row r="550" ht="18" customHeight="1"/>
    <x:row r="551" ht="18" customHeight="1"/>
    <x:row r="552" ht="18" customHeight="1"/>
    <x:row r="553" ht="18" customHeight="1"/>
    <x:row r="554" ht="18" customHeight="1"/>
    <x:row r="555" ht="18" customHeight="1"/>
    <x:row r="556" ht="18" customHeight="1"/>
    <x:row r="557" ht="18" customHeight="1"/>
    <x:row r="558" ht="18" customHeight="1"/>
    <x:row r="559" ht="18" customHeight="1"/>
    <x:row r="560" ht="18" customHeight="1"/>
    <x:row r="561" ht="18" customHeight="1"/>
    <x:row r="562" ht="18" customHeight="1"/>
    <x:row r="563" ht="18" customHeight="1"/>
    <x:row r="564" ht="18" customHeight="1"/>
    <x:row r="565" ht="18" customHeight="1"/>
    <x:row r="566" ht="18" customHeight="1"/>
    <x:row r="567" ht="18" customHeight="1"/>
    <x:row r="568" ht="18" customHeight="1"/>
    <x:row r="569" ht="18" customHeight="1"/>
    <x:row r="570" ht="18" customHeight="1"/>
    <x:row r="571" ht="18" customHeight="1"/>
    <x:row r="572" ht="18" customHeight="1"/>
    <x:row r="573" ht="18" customHeight="1"/>
    <x:row r="574" ht="18" customHeight="1"/>
    <x:row r="575" ht="18" customHeight="1"/>
    <x:row r="576" ht="18" customHeight="1"/>
    <x:row r="577" ht="18" customHeight="1"/>
    <x:row r="578" ht="18" customHeight="1"/>
    <x:row r="579" ht="18" customHeight="1"/>
    <x:row r="580" ht="18" customHeight="1"/>
    <x:row r="581" ht="18" customHeight="1"/>
    <x:row r="582" ht="18" customHeight="1"/>
    <x:row r="583" ht="18" customHeight="1"/>
    <x:row r="584" ht="18" customHeight="1"/>
    <x:row r="585" ht="18" customHeight="1"/>
    <x:row r="586" ht="18" customHeight="1"/>
    <x:row r="587" ht="18" customHeight="1"/>
    <x:row r="588" ht="18" customHeight="1"/>
    <x:row r="589" ht="18" customHeight="1"/>
    <x:row r="590" ht="18" customHeight="1"/>
    <x:row r="591" ht="18" customHeight="1"/>
    <x:row r="592" ht="18" customHeight="1"/>
    <x:row r="593" ht="18" customHeight="1"/>
    <x:row r="594" ht="18" customHeight="1"/>
    <x:row r="595" ht="18" customHeight="1"/>
    <x:row r="596" ht="18" customHeight="1"/>
    <x:row r="597" ht="18" customHeight="1"/>
    <x:row r="598" ht="18" customHeight="1"/>
    <x:row r="599" ht="18" customHeight="1"/>
    <x:row r="600" ht="18" customHeight="1"/>
    <x:row r="601" ht="18" customHeight="1"/>
    <x:row r="602" ht="18" customHeight="1"/>
    <x:row r="603" ht="18" customHeight="1"/>
    <x:row r="604" ht="18" customHeight="1"/>
    <x:row r="605" ht="18" customHeight="1"/>
    <x:row r="606" ht="18" customHeight="1"/>
    <x:row r="607" ht="18" customHeight="1"/>
    <x:row r="608" ht="18" customHeight="1"/>
    <x:row r="609" ht="18" customHeight="1"/>
    <x:row r="610" ht="18" customHeight="1"/>
    <x:row r="611" ht="18" customHeight="1"/>
    <x:row r="612" ht="18" customHeight="1"/>
    <x:row r="613" ht="18" customHeight="1"/>
    <x:row r="614" ht="18" customHeight="1"/>
    <x:row r="615" ht="18" customHeight="1"/>
    <x:row r="616" ht="18" customHeight="1"/>
    <x:row r="617" ht="18" customHeight="1"/>
    <x:row r="618" ht="18" customHeight="1"/>
    <x:row r="619" ht="18" customHeight="1"/>
    <x:row r="620" ht="18" customHeight="1"/>
    <x:row r="621" ht="18" customHeight="1"/>
    <x:row r="622" ht="18" customHeight="1"/>
    <x:row r="623" ht="18" customHeight="1"/>
    <x:row r="624" ht="18" customHeight="1"/>
    <x:row r="625" ht="18" customHeight="1"/>
    <x:row r="626" ht="18" customHeight="1"/>
    <x:row r="627" ht="18" customHeight="1"/>
    <x:row r="628" ht="18" customHeight="1"/>
    <x:row r="629" ht="18" customHeight="1"/>
    <x:row r="630" ht="18" customHeight="1"/>
    <x:row r="631" ht="18" customHeight="1"/>
    <x:row r="632" ht="18" customHeight="1"/>
    <x:row r="633" ht="18" customHeight="1"/>
    <x:row r="634" ht="18" customHeight="1"/>
    <x:row r="635" ht="18" customHeight="1"/>
    <x:row r="636" ht="18" customHeight="1"/>
    <x:row r="637" ht="18" customHeight="1"/>
    <x:row r="638" ht="18" customHeight="1"/>
    <x:row r="639" ht="18" customHeight="1"/>
    <x:row r="640" ht="18" customHeight="1"/>
    <x:row r="641" ht="18" customHeight="1"/>
    <x:row r="642" ht="18" customHeight="1"/>
    <x:row r="643" ht="18" customHeight="1"/>
    <x:row r="644" ht="18" customHeight="1"/>
    <x:row r="645" ht="18" customHeight="1"/>
    <x:row r="646" ht="18" customHeight="1"/>
    <x:row r="647" ht="18" customHeight="1"/>
    <x:row r="648" ht="18" customHeight="1"/>
    <x:row r="649" ht="18" customHeight="1"/>
    <x:row r="650" ht="18" customHeight="1"/>
    <x:row r="651" ht="18" customHeight="1"/>
    <x:row r="652" ht="18" customHeight="1"/>
    <x:row r="653" ht="18" customHeight="1"/>
    <x:row r="654" ht="18" customHeight="1"/>
    <x:row r="655" ht="18" customHeight="1"/>
    <x:row r="656" ht="18" customHeight="1"/>
    <x:row r="657" ht="18" customHeight="1"/>
    <x:row r="658" ht="18" customHeight="1"/>
    <x:row r="659" ht="18" customHeight="1"/>
    <x:row r="660" ht="18" customHeight="1"/>
    <x:row r="661" ht="18" customHeight="1"/>
    <x:row r="662" ht="18" customHeight="1"/>
    <x:row r="663" ht="18" customHeight="1"/>
    <x:row r="664" ht="18" customHeight="1"/>
    <x:row r="665" ht="18" customHeight="1"/>
    <x:row r="666" ht="18" customHeight="1"/>
    <x:row r="667" ht="18" customHeight="1"/>
    <x:row r="668" ht="18" customHeight="1"/>
    <x:row r="669" ht="18" customHeight="1"/>
    <x:row r="670" ht="18" customHeight="1"/>
    <x:row r="671" ht="18" customHeight="1"/>
    <x:row r="672" ht="18" customHeight="1"/>
    <x:row r="673" ht="18" customHeight="1"/>
    <x:row r="674" ht="18" customHeight="1"/>
    <x:row r="675" ht="18" customHeight="1"/>
    <x:row r="676" ht="18" customHeight="1"/>
    <x:row r="677" ht="18" customHeight="1"/>
    <x:row r="678" ht="18" customHeight="1"/>
    <x:row r="679" ht="18" customHeight="1"/>
    <x:row r="680" ht="18" customHeight="1"/>
    <x:row r="681" ht="18" customHeight="1"/>
    <x:row r="682" ht="18" customHeight="1"/>
    <x:row r="683" ht="18" customHeight="1"/>
    <x:row r="684" ht="18" customHeight="1"/>
    <x:row r="685" ht="18" customHeight="1"/>
    <x:row r="686" ht="18" customHeight="1"/>
    <x:row r="687" ht="18" customHeight="1"/>
    <x:row r="688" ht="18" customHeight="1"/>
    <x:row r="689" ht="18" customHeight="1"/>
    <x:row r="690" ht="18" customHeight="1"/>
    <x:row r="691" ht="18" customHeight="1"/>
    <x:row r="692" ht="18" customHeight="1"/>
    <x:row r="693" ht="18" customHeight="1"/>
    <x:row r="694" ht="18" customHeight="1"/>
    <x:row r="695" ht="18" customHeight="1"/>
    <x:row r="696" ht="18" customHeight="1"/>
    <x:row r="697" ht="18" customHeight="1"/>
    <x:row r="698" ht="18" customHeight="1"/>
    <x:row r="699" ht="18" customHeight="1"/>
    <x:row r="700" ht="18" customHeight="1"/>
    <x:row r="701" ht="18" customHeight="1"/>
    <x:row r="702" ht="18" customHeight="1"/>
    <x:row r="703" ht="18" customHeight="1"/>
    <x:row r="704" ht="18" customHeight="1"/>
    <x:row r="705" ht="18" customHeight="1"/>
    <x:row r="706" ht="18" customHeight="1"/>
    <x:row r="707" ht="18" customHeight="1"/>
    <x:row r="708" ht="18" customHeight="1"/>
    <x:row r="709" ht="18" customHeight="1"/>
  </x:sheetData>
  <x:dataValidations count="4">
    <x:dataValidation type="list" sqref="B5:B100">
      <x:formula1>"21,22,23,24,25"</x:formula1>
    </x:dataValidation>
    <x:dataValidation operator="greaterThanOrEqual" sqref="G5:G100">
      <x:formula1>0</x:formula1>
    </x:dataValidation>
    <x:dataValidation operator="greaterThan" sqref="H5:H100">
      <x:formula1>0</x:formula1>
    </x:dataValidation>
    <x:dataValidation type="list" sqref="Z5:Z200">
      <x:formula1>_ValidationLists!$A$5:$A$7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7763e73367a4bec"/>
  </x:tableParts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25" t="str">
        <x:v>PRODUCTION EVENT REFERENCE SNAPSHOT</x:v>
      </x:c>
      <x:c r="B1" s="25"/>
      <x:c r="C1" s="25"/>
      <x:c r="D1" s="25"/>
      <x:c r="E1" s="25"/>
      <x:c r="F1" s="25"/>
      <x:c r="G1" s="25"/>
      <x:c r="H1" s="25"/>
      <x:c r="I1" s="25"/>
    </x:row>
    <x:row r="2">
      <x:c r="A2" s="30" t="str">
        <x:v>Internal validation snapshot from supervisor production for this enhanced package.</x:v>
      </x:c>
      <x:c r="B2" s="30"/>
      <x:c r="C2" s="30"/>
      <x:c r="D2" s="30"/>
      <x:c r="E2" s="30"/>
      <x:c r="F2" s="30"/>
      <x:c r="G2" s="30"/>
      <x:c r="H2" s="30"/>
      <x:c r="I2" s="30"/>
    </x:row>
    <x:row r="4">
      <x:c r="A4" s="38" t="str">
        <x:v>ProductionEventID</x:v>
      </x:c>
      <x:c r="B4" s="38" t="str">
        <x:v>FactoryCode</x:v>
      </x:c>
      <x:c r="C4" s="38" t="str">
        <x:v>LineNumber</x:v>
      </x:c>
      <x:c r="D4" s="38" t="str">
        <x:v>EventDate</x:v>
      </x:c>
      <x:c r="E4" s="38" t="str">
        <x:v>ShiftCode</x:v>
      </x:c>
      <x:c r="F4" s="38" t="str">
        <x:v>OrderNumber</x:v>
      </x:c>
      <x:c r="G4" s="38" t="str">
        <x:v>DesignOutput</x:v>
      </x:c>
      <x:c r="H4" s="38" t="str">
        <x:v>TotalReject</x:v>
      </x:c>
      <x:c r="I4" s="38" t="str">
        <x:v>ProductionDataQualityCheck</x:v>
      </x:c>
    </x:row>
    <x:row r="5">
      <x:c r="A5" t="str">
        <x:v>PE-KG01-L21-20251020-AM-ORD-2025-00019</x:v>
      </x:c>
      <x:c r="B5" t="str">
        <x:v>KG01</x:v>
      </x:c>
      <x:c r="C5" t="n">
        <x:v>21</x:v>
      </x:c>
      <x:c r="D5" s="44" t="n">
        <x:v>45950</x:v>
      </x:c>
      <x:c r="E5" t="str">
        <x:v>AM</x:v>
      </x:c>
      <x:c r="F5" t="str">
        <x:v>ORD-2025-00019</x:v>
      </x:c>
      <x:c r="G5" t="n">
        <x:v>253368</x:v>
      </x:c>
      <x:c r="H5" t="n">
        <x:v>13161</x:v>
      </x:c>
      <x:c r="I5" t="str">
        <x:v>OK</x:v>
      </x:c>
    </x:row>
    <x:row r="6">
      <x:c r="A6" t="str">
        <x:v>PE-KG01-L21-20251020-PM-ORD-2025-00019</x:v>
      </x:c>
      <x:c r="B6" t="str">
        <x:v>KG01</x:v>
      </x:c>
      <x:c r="C6" t="n">
        <x:v>21</x:v>
      </x:c>
      <x:c r="D6" s="44" t="n">
        <x:v>45950</x:v>
      </x:c>
      <x:c r="E6" t="str">
        <x:v>PM</x:v>
      </x:c>
      <x:c r="F6" t="str">
        <x:v>ORD-2025-00019</x:v>
      </x:c>
      <x:c r="G6" t="n">
        <x:v>228690</x:v>
      </x:c>
      <x:c r="H6" t="n">
        <x:v>10575</x:v>
      </x:c>
      <x:c r="I6" t="str">
        <x:v>OK</x:v>
      </x:c>
    </x:row>
    <x:row r="7">
      <x:c r="A7" t="str">
        <x:v>PE-KG01-L21-20251021-AM-ORD-2025-00020</x:v>
      </x:c>
      <x:c r="B7" t="str">
        <x:v>KG01</x:v>
      </x:c>
      <x:c r="C7" t="n">
        <x:v>21</x:v>
      </x:c>
      <x:c r="D7" s="44" t="n">
        <x:v>45951</x:v>
      </x:c>
      <x:c r="E7" t="str">
        <x:v>AM</x:v>
      </x:c>
      <x:c r="F7" t="str">
        <x:v>ORD-2025-00020</x:v>
      </x:c>
      <x:c r="G7" t="n">
        <x:v>89880</x:v>
      </x:c>
      <x:c r="H7" t="n">
        <x:v>9054</x:v>
      </x:c>
      <x:c r="I7" t="str">
        <x:v>OK</x:v>
      </x:c>
    </x:row>
    <x:row r="8">
      <x:c r="A8" t="str">
        <x:v>PE-KG01-L21-20251021-PM-ORD-2025-00020</x:v>
      </x:c>
      <x:c r="B8" t="str">
        <x:v>KG01</x:v>
      </x:c>
      <x:c r="C8" t="n">
        <x:v>21</x:v>
      </x:c>
      <x:c r="D8" s="44" t="n">
        <x:v>45951</x:v>
      </x:c>
      <x:c r="E8" t="str">
        <x:v>PM</x:v>
      </x:c>
      <x:c r="F8" t="str">
        <x:v>ORD-2025-00020</x:v>
      </x:c>
      <x:c r="G8" t="n">
        <x:v>139440</x:v>
      </x:c>
      <x:c r="H8" t="n">
        <x:v>6646</x:v>
      </x:c>
      <x:c r="I8" t="str">
        <x:v>OK</x:v>
      </x:c>
    </x:row>
    <x:row r="9">
      <x:c r="A9" t="str">
        <x:v>PE-KG01-L21-20251022-AM-ORD-2025-00020</x:v>
      </x:c>
      <x:c r="B9" t="str">
        <x:v>KG01</x:v>
      </x:c>
      <x:c r="C9" t="n">
        <x:v>21</x:v>
      </x:c>
      <x:c r="D9" s="44" t="n">
        <x:v>45952</x:v>
      </x:c>
      <x:c r="E9" t="str">
        <x:v>AM</x:v>
      </x:c>
      <x:c r="F9" t="str">
        <x:v>ORD-2025-00020</x:v>
      </x:c>
      <x:c r="G9" t="n">
        <x:v>124632</x:v>
      </x:c>
      <x:c r="H9" t="n">
        <x:v>6951</x:v>
      </x:c>
      <x:c r="I9" t="str">
        <x:v>OK</x:v>
      </x:c>
    </x:row>
    <x:row r="10">
      <x:c r="A10" t="str">
        <x:v>PE-KG01-L21-20251022-PM-ORD-2025-00020</x:v>
      </x:c>
      <x:c r="B10" t="str">
        <x:v>KG01</x:v>
      </x:c>
      <x:c r="C10" t="n">
        <x:v>21</x:v>
      </x:c>
      <x:c r="D10" s="44" t="n">
        <x:v>45952</x:v>
      </x:c>
      <x:c r="E10" t="str">
        <x:v>PM</x:v>
      </x:c>
      <x:c r="F10" t="str">
        <x:v>ORD-2025-00020</x:v>
      </x:c>
      <x:c r="G10" t="n">
        <x:v>154176</x:v>
      </x:c>
      <x:c r="H10" t="n">
        <x:v>6388</x:v>
      </x:c>
      <x:c r="I10" t="str">
        <x:v>OK</x:v>
      </x:c>
    </x:row>
    <x:row r="11">
      <x:c r="A11" t="str">
        <x:v>PE-KG01-L21-20251023-AM-ORD-2025-00020</x:v>
      </x:c>
      <x:c r="B11" t="str">
        <x:v>KG01</x:v>
      </x:c>
      <x:c r="C11" t="n">
        <x:v>21</x:v>
      </x:c>
      <x:c r="D11" s="44" t="n">
        <x:v>45953</x:v>
      </x:c>
      <x:c r="E11" t="str">
        <x:v>AM</x:v>
      </x:c>
      <x:c r="F11" t="str">
        <x:v>ORD-2025-00020</x:v>
      </x:c>
      <x:c r="G11" t="n">
        <x:v>137400</x:v>
      </x:c>
      <x:c r="H11" t="n">
        <x:v>5426</x:v>
      </x:c>
      <x:c r="I11" t="str">
        <x:v>OK</x:v>
      </x:c>
    </x:row>
    <x:row r="12">
      <x:c r="A12" t="str">
        <x:v>PE-KG01-L21-20251023-PM-ORD-2025-00020</x:v>
      </x:c>
      <x:c r="B12" t="str">
        <x:v>KG01</x:v>
      </x:c>
      <x:c r="C12" t="n">
        <x:v>21</x:v>
      </x:c>
      <x:c r="D12" s="44" t="n">
        <x:v>45953</x:v>
      </x:c>
      <x:c r="E12" t="str">
        <x:v>PM</x:v>
      </x:c>
      <x:c r="F12" t="str">
        <x:v>ORD-2025-00020</x:v>
      </x:c>
      <x:c r="G12" t="n">
        <x:v>126252</x:v>
      </x:c>
      <x:c r="H12" t="n">
        <x:v>3550</x:v>
      </x:c>
      <x:c r="I12" t="str">
        <x:v>OK</x:v>
      </x:c>
    </x:row>
    <x:row r="13">
      <x:c r="A13" t="str">
        <x:v>PE-KG01-L21-20251024-AM-ORD-2025-00020</x:v>
      </x:c>
      <x:c r="B13" t="str">
        <x:v>KG01</x:v>
      </x:c>
      <x:c r="C13" t="n">
        <x:v>21</x:v>
      </x:c>
      <x:c r="D13" s="44" t="n">
        <x:v>45954</x:v>
      </x:c>
      <x:c r="E13" t="str">
        <x:v>AM</x:v>
      </x:c>
      <x:c r="F13" t="str">
        <x:v>ORD-2025-00020</x:v>
      </x:c>
      <x:c r="G13" t="n">
        <x:v>154968</x:v>
      </x:c>
      <x:c r="H13" t="n">
        <x:v>4499</x:v>
      </x:c>
      <x:c r="I13" t="str">
        <x:v>OK</x:v>
      </x:c>
    </x:row>
    <x:row r="14">
      <x:c r="A14" t="str">
        <x:v>PE-KG01-L21-20251024-PM-ORD-2025-00020</x:v>
      </x:c>
      <x:c r="B14" t="str">
        <x:v>KG01</x:v>
      </x:c>
      <x:c r="C14" t="n">
        <x:v>21</x:v>
      </x:c>
      <x:c r="D14" s="44" t="n">
        <x:v>45954</x:v>
      </x:c>
      <x:c r="E14" t="str">
        <x:v>PM</x:v>
      </x:c>
      <x:c r="F14" t="str">
        <x:v>ORD-2025-00020</x:v>
      </x:c>
      <x:c r="G14" t="n">
        <x:v>123660</x:v>
      </x:c>
      <x:c r="H14" t="n">
        <x:v>3759</x:v>
      </x:c>
      <x:c r="I14" t="str">
        <x:v>OK</x:v>
      </x:c>
    </x:row>
    <x:row r="15">
      <x:c r="A15" t="str">
        <x:v>PE-KG01-L21-20251025-AM-ORD-2025-00021</x:v>
      </x:c>
      <x:c r="B15" t="str">
        <x:v>KG01</x:v>
      </x:c>
      <x:c r="C15" t="n">
        <x:v>21</x:v>
      </x:c>
      <x:c r="D15" s="44" t="n">
        <x:v>45955</x:v>
      </x:c>
      <x:c r="E15" t="str">
        <x:v>AM</x:v>
      </x:c>
      <x:c r="F15" t="str">
        <x:v>ORD-2025-00021</x:v>
      </x:c>
      <x:c r="G15" t="n">
        <x:v>131076</x:v>
      </x:c>
      <x:c r="H15" t="n">
        <x:v>14048</x:v>
      </x:c>
      <x:c r="I15" t="str">
        <x:v>OK</x:v>
      </x:c>
    </x:row>
    <x:row r="16">
      <x:c r="A16" t="str">
        <x:v>PE-KG01-L21-20251025-PM-ORD-2025-00021</x:v>
      </x:c>
      <x:c r="B16" t="str">
        <x:v>KG01</x:v>
      </x:c>
      <x:c r="C16" t="n">
        <x:v>21</x:v>
      </x:c>
      <x:c r="D16" s="44" t="n">
        <x:v>45955</x:v>
      </x:c>
      <x:c r="E16" t="str">
        <x:v>PM</x:v>
      </x:c>
      <x:c r="F16" t="str">
        <x:v>ORD-2025-00021</x:v>
      </x:c>
      <x:c r="G16" t="n">
        <x:v>272376</x:v>
      </x:c>
      <x:c r="H16" t="n">
        <x:v>13535</x:v>
      </x:c>
      <x:c r="I16" t="str">
        <x:v>OK</x:v>
      </x:c>
    </x:row>
    <x:row r="17">
      <x:c r="A17" t="str">
        <x:v>PE-KG01-L21-20251026-AM-ORD-2025-00021</x:v>
      </x:c>
      <x:c r="B17" t="str">
        <x:v>KG01</x:v>
      </x:c>
      <x:c r="C17" t="n">
        <x:v>21</x:v>
      </x:c>
      <x:c r="D17" s="44" t="n">
        <x:v>45956</x:v>
      </x:c>
      <x:c r="E17" t="str">
        <x:v>AM</x:v>
      </x:c>
      <x:c r="F17" t="str">
        <x:v>ORD-2025-00021</x:v>
      </x:c>
      <x:c r="G17" t="n">
        <x:v>275886</x:v>
      </x:c>
      <x:c r="H17" t="n">
        <x:v>12922</x:v>
      </x:c>
      <x:c r="I17" t="str">
        <x:v>OK</x:v>
      </x:c>
    </x:row>
    <x:row r="18">
      <x:c r="A18" t="str">
        <x:v>PE-KG01-L21-20251026-PM-ORD-2025-00021</x:v>
      </x:c>
      <x:c r="B18" t="str">
        <x:v>KG01</x:v>
      </x:c>
      <x:c r="C18" t="n">
        <x:v>21</x:v>
      </x:c>
      <x:c r="D18" s="44" t="n">
        <x:v>45956</x:v>
      </x:c>
      <x:c r="E18" t="str">
        <x:v>PM</x:v>
      </x:c>
      <x:c r="F18" t="str">
        <x:v>ORD-2025-00021</x:v>
      </x:c>
      <x:c r="G18" t="n">
        <x:v>276588</x:v>
      </x:c>
      <x:c r="H18" t="n">
        <x:v>10955</x:v>
      </x:c>
      <x:c r="I18" t="str">
        <x:v>OK</x:v>
      </x:c>
    </x:row>
    <x:row r="19">
      <x:c r="A19" t="str">
        <x:v>PE-KG01-L22-20251020-AM-ORD-2025-00056</x:v>
      </x:c>
      <x:c r="B19" t="str">
        <x:v>KG01</x:v>
      </x:c>
      <x:c r="C19" t="n">
        <x:v>22</x:v>
      </x:c>
      <x:c r="D19" s="44" t="n">
        <x:v>45950</x:v>
      </x:c>
      <x:c r="E19" t="str">
        <x:v>AM</x:v>
      </x:c>
      <x:c r="F19" t="str">
        <x:v>ORD-2025-00056</x:v>
      </x:c>
      <x:c r="G19" t="n">
        <x:v>26880</x:v>
      </x:c>
      <x:c r="H19" t="n">
        <x:v>3024</x:v>
      </x:c>
      <x:c r="I19" t="str">
        <x:v>OK</x:v>
      </x:c>
    </x:row>
    <x:row r="20">
      <x:c r="A20" t="str">
        <x:v>PE-KG01-L22-20251020-PM-ORD-2025-00056</x:v>
      </x:c>
      <x:c r="B20" t="str">
        <x:v>KG01</x:v>
      </x:c>
      <x:c r="C20" t="n">
        <x:v>22</x:v>
      </x:c>
      <x:c r="D20" s="44" t="n">
        <x:v>45950</x:v>
      </x:c>
      <x:c r="E20" t="str">
        <x:v>PM</x:v>
      </x:c>
      <x:c r="F20" t="str">
        <x:v>ORD-2025-00056</x:v>
      </x:c>
      <x:c r="G20" t="n">
        <x:v>156288</x:v>
      </x:c>
      <x:c r="H20" t="n">
        <x:v>8503</x:v>
      </x:c>
      <x:c r="I20" t="str">
        <x:v>OK</x:v>
      </x:c>
    </x:row>
    <x:row r="21">
      <x:c r="A21" t="str">
        <x:v>PE-KG01-L22-20251021-AM-ORD-2025-00056</x:v>
      </x:c>
      <x:c r="B21" t="str">
        <x:v>KG01</x:v>
      </x:c>
      <x:c r="C21" t="n">
        <x:v>22</x:v>
      </x:c>
      <x:c r="D21" s="44" t="n">
        <x:v>45951</x:v>
      </x:c>
      <x:c r="E21" t="str">
        <x:v>AM</x:v>
      </x:c>
      <x:c r="F21" t="str">
        <x:v>ORD-2025-00056</x:v>
      </x:c>
      <x:c r="G21" t="n">
        <x:v>140160</x:v>
      </x:c>
      <x:c r="H21" t="n">
        <x:v>5551</x:v>
      </x:c>
      <x:c r="I21" t="str">
        <x:v>OK</x:v>
      </x:c>
    </x:row>
    <x:row r="22">
      <x:c r="A22" t="str">
        <x:v>PE-KG01-L22-20251021-PM-ORD-2025-00056</x:v>
      </x:c>
      <x:c r="B22" t="str">
        <x:v>KG01</x:v>
      </x:c>
      <x:c r="C22" t="n">
        <x:v>22</x:v>
      </x:c>
      <x:c r="D22" s="44" t="n">
        <x:v>45951</x:v>
      </x:c>
      <x:c r="E22" t="str">
        <x:v>PM</x:v>
      </x:c>
      <x:c r="F22" t="str">
        <x:v>ORD-2025-00056</x:v>
      </x:c>
      <x:c r="G22" t="n">
        <x:v>138840</x:v>
      </x:c>
      <x:c r="H22" t="n">
        <x:v>6335</x:v>
      </x:c>
      <x:c r="I22" t="str">
        <x:v>OK</x:v>
      </x:c>
    </x:row>
    <x:row r="23">
      <x:c r="A23" t="str">
        <x:v>PE-KG01-L22-20251022-AM-ORD-2025-00057</x:v>
      </x:c>
      <x:c r="B23" t="str">
        <x:v>KG01</x:v>
      </x:c>
      <x:c r="C23" t="n">
        <x:v>22</x:v>
      </x:c>
      <x:c r="D23" s="44" t="n">
        <x:v>45952</x:v>
      </x:c>
      <x:c r="E23" t="str">
        <x:v>AM</x:v>
      </x:c>
      <x:c r="F23" t="str">
        <x:v>ORD-2025-00057</x:v>
      </x:c>
      <x:c r="G23" t="n">
        <x:v>126252</x:v>
      </x:c>
      <x:c r="H23" t="n">
        <x:v>7192</x:v>
      </x:c>
      <x:c r="I23" t="str">
        <x:v>OK</x:v>
      </x:c>
    </x:row>
    <x:row r="24">
      <x:c r="A24" t="str">
        <x:v>PE-KG01-L22-20251022-PM-ORD-2025-00057</x:v>
      </x:c>
      <x:c r="B24" t="str">
        <x:v>KG01</x:v>
      </x:c>
      <x:c r="C24" t="n">
        <x:v>22</x:v>
      </x:c>
      <x:c r="D24" s="44" t="n">
        <x:v>45952</x:v>
      </x:c>
      <x:c r="E24" t="str">
        <x:v>PM</x:v>
      </x:c>
      <x:c r="F24" t="str">
        <x:v>ORD-2025-00057</x:v>
      </x:c>
      <x:c r="G24" t="n">
        <x:v>138720</x:v>
      </x:c>
      <x:c r="H24" t="n">
        <x:v>5375</x:v>
      </x:c>
      <x:c r="I24" t="str">
        <x:v>OK</x:v>
      </x:c>
    </x:row>
    <x:row r="25">
      <x:c r="A25" t="str">
        <x:v>PE-KG01-L22-20251023-AM-ORD-2025-00057</x:v>
      </x:c>
      <x:c r="B25" t="str">
        <x:v>KG01</x:v>
      </x:c>
      <x:c r="C25" t="n">
        <x:v>22</x:v>
      </x:c>
      <x:c r="D25" s="44" t="n">
        <x:v>45953</x:v>
      </x:c>
      <x:c r="E25" t="str">
        <x:v>AM</x:v>
      </x:c>
      <x:c r="F25" t="str">
        <x:v>ORD-2025-00057</x:v>
      </x:c>
      <x:c r="G25" t="n">
        <x:v>140400</x:v>
      </x:c>
      <x:c r="H25" t="n">
        <x:v>6927</x:v>
      </x:c>
      <x:c r="I25" t="str">
        <x:v>OK</x:v>
      </x:c>
    </x:row>
    <x:row r="26">
      <x:c r="A26" t="str">
        <x:v>PE-KG01-L22-20251023-PM-ORD-2025-00057</x:v>
      </x:c>
      <x:c r="B26" t="str">
        <x:v>KG01</x:v>
      </x:c>
      <x:c r="C26" t="n">
        <x:v>22</x:v>
      </x:c>
      <x:c r="D26" s="44" t="n">
        <x:v>45953</x:v>
      </x:c>
      <x:c r="E26" t="str">
        <x:v>PM</x:v>
      </x:c>
      <x:c r="F26" t="str">
        <x:v>ORD-2025-00057</x:v>
      </x:c>
      <x:c r="G26" t="n">
        <x:v>141240</x:v>
      </x:c>
      <x:c r="H26" t="n">
        <x:v>8020</x:v>
      </x:c>
      <x:c r="I26" t="str">
        <x:v>OK</x:v>
      </x:c>
    </x:row>
    <x:row r="27">
      <x:c r="A27" t="str">
        <x:v>PE-KG01-L22-20251024-AM-ORD-2025-00057</x:v>
      </x:c>
      <x:c r="B27" t="str">
        <x:v>KG01</x:v>
      </x:c>
      <x:c r="C27" t="n">
        <x:v>22</x:v>
      </x:c>
      <x:c r="D27" s="44" t="n">
        <x:v>45954</x:v>
      </x:c>
      <x:c r="E27" t="str">
        <x:v>AM</x:v>
      </x:c>
      <x:c r="F27" t="str">
        <x:v>ORD-2025-00057</x:v>
      </x:c>
      <x:c r="G27" t="n">
        <x:v>141000</x:v>
      </x:c>
      <x:c r="H27" t="n">
        <x:v>5092</x:v>
      </x:c>
      <x:c r="I27" t="str">
        <x:v>OK</x:v>
      </x:c>
    </x:row>
    <x:row r="28">
      <x:c r="A28" t="str">
        <x:v>PE-KG01-L22-20251024-PM-ORD-2025-00057</x:v>
      </x:c>
      <x:c r="B28" t="str">
        <x:v>KG01</x:v>
      </x:c>
      <x:c r="C28" t="n">
        <x:v>22</x:v>
      </x:c>
      <x:c r="D28" s="44" t="n">
        <x:v>45954</x:v>
      </x:c>
      <x:c r="E28" t="str">
        <x:v>PM</x:v>
      </x:c>
      <x:c r="F28" t="str">
        <x:v>ORD-2025-00057</x:v>
      </x:c>
      <x:c r="G28" t="n">
        <x:v>126036</x:v>
      </x:c>
      <x:c r="H28" t="n">
        <x:v>5309</x:v>
      </x:c>
      <x:c r="I28" t="str">
        <x:v>OK</x:v>
      </x:c>
    </x:row>
    <x:row r="29">
      <x:c r="A29" t="str">
        <x:v>PE-KG01-L22-20251025-AM-ORD-2025-00057</x:v>
      </x:c>
      <x:c r="B29" t="str">
        <x:v>KG01</x:v>
      </x:c>
      <x:c r="C29" t="n">
        <x:v>22</x:v>
      </x:c>
      <x:c r="D29" s="44" t="n">
        <x:v>45955</x:v>
      </x:c>
      <x:c r="E29" t="str">
        <x:v>AM</x:v>
      </x:c>
      <x:c r="F29" t="str">
        <x:v>ORD-2025-00057</x:v>
      </x:c>
      <x:c r="G29" t="n">
        <x:v>142200</x:v>
      </x:c>
      <x:c r="H29" t="n">
        <x:v>6188</x:v>
      </x:c>
      <x:c r="I29" t="str">
        <x:v>OK</x:v>
      </x:c>
    </x:row>
    <x:row r="30">
      <x:c r="A30" t="str">
        <x:v>PE-KG01-L22-20251025-PM-ORD-2025-00057</x:v>
      </x:c>
      <x:c r="B30" t="str">
        <x:v>KG01</x:v>
      </x:c>
      <x:c r="C30" t="n">
        <x:v>22</x:v>
      </x:c>
      <x:c r="D30" s="44" t="n">
        <x:v>45955</x:v>
      </x:c>
      <x:c r="E30" t="str">
        <x:v>PM</x:v>
      </x:c>
      <x:c r="F30" t="str">
        <x:v>ORD-2025-00057</x:v>
      </x:c>
      <x:c r="G30" t="n">
        <x:v>155628</x:v>
      </x:c>
      <x:c r="H30" t="n">
        <x:v>5745</x:v>
      </x:c>
      <x:c r="I30" t="str">
        <x:v>OK</x:v>
      </x:c>
    </x:row>
    <x:row r="31">
      <x:c r="A31" t="str">
        <x:v>PE-KG01-L22-20251026-AM-ORD-2025-00058</x:v>
      </x:c>
      <x:c r="B31" t="str">
        <x:v>KG01</x:v>
      </x:c>
      <x:c r="C31" t="n">
        <x:v>22</x:v>
      </x:c>
      <x:c r="D31" s="44" t="n">
        <x:v>45956</x:v>
      </x:c>
      <x:c r="E31" t="str">
        <x:v>AM</x:v>
      </x:c>
      <x:c r="F31" t="str">
        <x:v>ORD-2025-00058</x:v>
      </x:c>
      <x:c r="G31" t="n">
        <x:v>104496</x:v>
      </x:c>
      <x:c r="H31" t="n">
        <x:v>15579</x:v>
      </x:c>
      <x:c r="I31" t="str">
        <x:v>CHECK</x:v>
      </x:c>
    </x:row>
    <x:row r="32">
      <x:c r="A32" t="str">
        <x:v>PE-KG01-L22-20251026-PM-ORD-2025-00058</x:v>
      </x:c>
      <x:c r="B32" t="str">
        <x:v>KG01</x:v>
      </x:c>
      <x:c r="C32" t="n">
        <x:v>22</x:v>
      </x:c>
      <x:c r="D32" s="44" t="n">
        <x:v>45956</x:v>
      </x:c>
      <x:c r="E32" t="str">
        <x:v>PM</x:v>
      </x:c>
      <x:c r="F32" t="str">
        <x:v>ORD-2025-00058</x:v>
      </x:c>
      <x:c r="G32" t="n">
        <x:v>338976</x:v>
      </x:c>
      <x:c r="H32" t="n">
        <x:v>8405</x:v>
      </x:c>
      <x:c r="I32" t="str">
        <x:v>CHECK</x:v>
      </x:c>
    </x:row>
    <x:row r="33">
      <x:c r="A33" t="str">
        <x:v>PE-KG01-L23-20251020-AM-ORD-2025-00092</x:v>
      </x:c>
      <x:c r="B33" t="str">
        <x:v>KG01</x:v>
      </x:c>
      <x:c r="C33" t="n">
        <x:v>23</x:v>
      </x:c>
      <x:c r="D33" s="44" t="n">
        <x:v>45950</x:v>
      </x:c>
      <x:c r="E33" t="str">
        <x:v>AM</x:v>
      </x:c>
      <x:c r="F33" t="str">
        <x:v>ORD-2025-00092</x:v>
      </x:c>
      <x:c r="G33" t="n">
        <x:v>278467</x:v>
      </x:c>
      <x:c r="H33" t="n">
        <x:v>18278</x:v>
      </x:c>
      <x:c r="I33" t="str">
        <x:v>OK</x:v>
      </x:c>
    </x:row>
    <x:row r="34">
      <x:c r="A34" t="str">
        <x:v>PE-KG01-L23-20251020-PM-ORD-2025-00092</x:v>
      </x:c>
      <x:c r="B34" t="str">
        <x:v>KG01</x:v>
      </x:c>
      <x:c r="C34" t="n">
        <x:v>23</x:v>
      </x:c>
      <x:c r="D34" s="44" t="n">
        <x:v>45950</x:v>
      </x:c>
      <x:c r="E34" t="str">
        <x:v>PM</x:v>
      </x:c>
      <x:c r="F34" t="str">
        <x:v>ORD-2025-00092</x:v>
      </x:c>
      <x:c r="G34" t="n">
        <x:v>279418</x:v>
      </x:c>
      <x:c r="H34" t="n">
        <x:v>15396</x:v>
      </x:c>
      <x:c r="I34" t="str">
        <x:v>OK</x:v>
      </x:c>
    </x:row>
    <x:row r="35">
      <x:c r="A35" t="str">
        <x:v>PE-KG01-L23-20251021-AM-ORD-2025-00092</x:v>
      </x:c>
      <x:c r="B35" t="str">
        <x:v>KG01</x:v>
      </x:c>
      <x:c r="C35" t="n">
        <x:v>23</x:v>
      </x:c>
      <x:c r="D35" s="44" t="n">
        <x:v>45951</x:v>
      </x:c>
      <x:c r="E35" t="str">
        <x:v>AM</x:v>
      </x:c>
      <x:c r="F35" t="str">
        <x:v>ORD-2025-00092</x:v>
      </x:c>
      <x:c r="G35" t="n">
        <x:v>324043</x:v>
      </x:c>
      <x:c r="H35" t="n">
        <x:v>17700</x:v>
      </x:c>
      <x:c r="I35" t="str">
        <x:v>OK</x:v>
      </x:c>
    </x:row>
    <x:row r="36">
      <x:c r="A36" t="str">
        <x:v>PE-KG01-L23-20251021-PM-ORD-2025-00092</x:v>
      </x:c>
      <x:c r="B36" t="str">
        <x:v>KG01</x:v>
      </x:c>
      <x:c r="C36" t="n">
        <x:v>23</x:v>
      </x:c>
      <x:c r="D36" s="44" t="n">
        <x:v>45951</x:v>
      </x:c>
      <x:c r="E36" t="str">
        <x:v>PM</x:v>
      </x:c>
      <x:c r="F36" t="str">
        <x:v>ORD-2025-00092</x:v>
      </x:c>
      <x:c r="G36" t="n">
        <x:v>324324</x:v>
      </x:c>
      <x:c r="H36" t="n">
        <x:v>20517</x:v>
      </x:c>
      <x:c r="I36" t="str">
        <x:v>OK</x:v>
      </x:c>
    </x:row>
    <x:row r="37">
      <x:c r="A37" t="str">
        <x:v>PE-KG01-L23-20251022-AM-ORD-2025-00093</x:v>
      </x:c>
      <x:c r="B37" t="str">
        <x:v>KG01</x:v>
      </x:c>
      <x:c r="C37" t="n">
        <x:v>23</x:v>
      </x:c>
      <x:c r="D37" s="44" t="n">
        <x:v>45952</x:v>
      </x:c>
      <x:c r="E37" t="str">
        <x:v>AM</x:v>
      </x:c>
      <x:c r="F37" t="str">
        <x:v>ORD-2025-00093</x:v>
      </x:c>
      <x:c r="G37" t="n">
        <x:v>89165</x:v>
      </x:c>
      <x:c r="H37" t="n">
        <x:v>4895</x:v>
      </x:c>
      <x:c r="I37" t="str">
        <x:v>OK</x:v>
      </x:c>
    </x:row>
    <x:row r="38">
      <x:c r="A38" t="str">
        <x:v>PE-KG01-L23-20251022-PM-ORD-2025-00093</x:v>
      </x:c>
      <x:c r="B38" t="str">
        <x:v>KG01</x:v>
      </x:c>
      <x:c r="C38" t="n">
        <x:v>23</x:v>
      </x:c>
      <x:c r="D38" s="44" t="n">
        <x:v>45952</x:v>
      </x:c>
      <x:c r="E38" t="str">
        <x:v>PM</x:v>
      </x:c>
      <x:c r="F38" t="str">
        <x:v>ORD-2025-00093</x:v>
      </x:c>
      <x:c r="G38" t="n">
        <x:v>165600</x:v>
      </x:c>
      <x:c r="H38" t="n">
        <x:v>10098</x:v>
      </x:c>
      <x:c r="I38" t="str">
        <x:v>OK</x:v>
      </x:c>
    </x:row>
    <x:row r="39">
      <x:c r="A39" t="str">
        <x:v>PE-KG01-L23-20251023-AM-ORD-2025-00093</x:v>
      </x:c>
      <x:c r="B39" t="str">
        <x:v>KG01</x:v>
      </x:c>
      <x:c r="C39" t="n">
        <x:v>23</x:v>
      </x:c>
      <x:c r="D39" s="44" t="n">
        <x:v>45953</x:v>
      </x:c>
      <x:c r="E39" t="str">
        <x:v>AM</x:v>
      </x:c>
      <x:c r="F39" t="str">
        <x:v>ORD-2025-00093</x:v>
      </x:c>
      <x:c r="G39" t="n">
        <x:v>185486</x:v>
      </x:c>
      <x:c r="H39" t="n">
        <x:v>7869</x:v>
      </x:c>
      <x:c r="I39" t="str">
        <x:v>OK</x:v>
      </x:c>
    </x:row>
    <x:row r="40">
      <x:c r="A40" t="str">
        <x:v>PE-KG01-L23-20251023-PM-ORD-2025-00093</x:v>
      </x:c>
      <x:c r="B40" t="str">
        <x:v>KG01</x:v>
      </x:c>
      <x:c r="C40" t="n">
        <x:v>23</x:v>
      </x:c>
      <x:c r="D40" s="44" t="n">
        <x:v>45953</x:v>
      </x:c>
      <x:c r="E40" t="str">
        <x:v>PM</x:v>
      </x:c>
      <x:c r="F40" t="str">
        <x:v>ORD-2025-00093</x:v>
      </x:c>
      <x:c r="G40" t="n">
        <x:v>150595</x:v>
      </x:c>
      <x:c r="H40" t="n">
        <x:v>5160</x:v>
      </x:c>
      <x:c r="I40" t="str">
        <x:v>OK</x:v>
      </x:c>
    </x:row>
    <x:row r="41">
      <x:c r="A41" t="str">
        <x:v>PE-KG01-L23-20251024-AM-ORD-2025-00093</x:v>
      </x:c>
      <x:c r="B41" t="str">
        <x:v>KG01</x:v>
      </x:c>
      <x:c r="C41" t="n">
        <x:v>23</x:v>
      </x:c>
      <x:c r="D41" s="44" t="n">
        <x:v>45954</x:v>
      </x:c>
      <x:c r="E41" t="str">
        <x:v>AM</x:v>
      </x:c>
      <x:c r="F41" t="str">
        <x:v>ORD-2025-00093</x:v>
      </x:c>
      <x:c r="G41" t="n">
        <x:v>148781</x:v>
      </x:c>
      <x:c r="H41" t="n">
        <x:v>5654</x:v>
      </x:c>
      <x:c r="I41" t="str">
        <x:v>OK</x:v>
      </x:c>
    </x:row>
    <x:row r="42">
      <x:c r="A42" t="str">
        <x:v>PE-KG01-L23-20251024-PM-ORD-2025-00093</x:v>
      </x:c>
      <x:c r="B42" t="str">
        <x:v>KG01</x:v>
      </x:c>
      <x:c r="C42" t="n">
        <x:v>23</x:v>
      </x:c>
      <x:c r="D42" s="44" t="n">
        <x:v>45954</x:v>
      </x:c>
      <x:c r="E42" t="str">
        <x:v>PM</x:v>
      </x:c>
      <x:c r="F42" t="str">
        <x:v>ORD-2025-00093</x:v>
      </x:c>
      <x:c r="G42" t="n">
        <x:v>184694</x:v>
      </x:c>
      <x:c r="H42" t="n">
        <x:v>5196</x:v>
      </x:c>
      <x:c r="I42" t="str">
        <x:v>OK</x:v>
      </x:c>
    </x:row>
    <x:row r="43">
      <x:c r="A43" t="str">
        <x:v>PE-KG01-L23-20251025-AM-ORD-2025-00093</x:v>
      </x:c>
      <x:c r="B43" t="str">
        <x:v>KG01</x:v>
      </x:c>
      <x:c r="C43" t="n">
        <x:v>23</x:v>
      </x:c>
      <x:c r="D43" s="44" t="n">
        <x:v>45955</x:v>
      </x:c>
      <x:c r="E43" t="str">
        <x:v>AM</x:v>
      </x:c>
      <x:c r="F43" t="str">
        <x:v>ORD-2025-00093</x:v>
      </x:c>
      <x:c r="G43" t="n">
        <x:v>170640</x:v>
      </x:c>
      <x:c r="H43" t="n">
        <x:v>8874</x:v>
      </x:c>
      <x:c r="I43" t="str">
        <x:v>OK</x:v>
      </x:c>
    </x:row>
    <x:row r="44">
      <x:c r="A44" t="str">
        <x:v>PE-KG01-L23-20251025-PM-ORD-2025-00093</x:v>
      </x:c>
      <x:c r="B44" t="str">
        <x:v>KG01</x:v>
      </x:c>
      <x:c r="C44" t="n">
        <x:v>23</x:v>
      </x:c>
      <x:c r="D44" s="44" t="n">
        <x:v>45955</x:v>
      </x:c>
      <x:c r="E44" t="str">
        <x:v>PM</x:v>
      </x:c>
      <x:c r="F44" t="str">
        <x:v>ORD-2025-00093</x:v>
      </x:c>
      <x:c r="G44" t="n">
        <x:v>148910</x:v>
      </x:c>
      <x:c r="H44" t="n">
        <x:v>7497</x:v>
      </x:c>
      <x:c r="I44" t="str">
        <x:v>OK</x:v>
      </x:c>
    </x:row>
    <x:row r="45">
      <x:c r="A45" t="str">
        <x:v>PE-KG01-L23-20251026-AM-ORD-2025-00094</x:v>
      </x:c>
      <x:c r="B45" t="str">
        <x:v>KG01</x:v>
      </x:c>
      <x:c r="C45" t="n">
        <x:v>23</x:v>
      </x:c>
      <x:c r="D45" s="44" t="n">
        <x:v>45956</x:v>
      </x:c>
      <x:c r="E45" t="str">
        <x:v>AM</x:v>
      </x:c>
      <x:c r="F45" t="str">
        <x:v>ORD-2025-00094</x:v>
      </x:c>
      <x:c r="G45" t="n">
        <x:v>13104</x:v>
      </x:c>
      <x:c r="H45" t="n">
        <x:v>1161</x:v>
      </x:c>
      <x:c r="I45" t="str">
        <x:v>OK</x:v>
      </x:c>
    </x:row>
    <x:row r="46">
      <x:c r="A46" t="str">
        <x:v>PE-KG01-L23-20251026-PM-ORD-2025-00094</x:v>
      </x:c>
      <x:c r="B46" t="str">
        <x:v>KG01</x:v>
      </x:c>
      <x:c r="C46" t="n">
        <x:v>23</x:v>
      </x:c>
      <x:c r="D46" s="44" t="n">
        <x:v>45956</x:v>
      </x:c>
      <x:c r="E46" t="str">
        <x:v>PM</x:v>
      </x:c>
      <x:c r="F46" t="str">
        <x:v>ORD-2025-00094</x:v>
      </x:c>
      <x:c r="G46" t="n">
        <x:v>182952</x:v>
      </x:c>
      <x:c r="H46" t="n">
        <x:v>11865</x:v>
      </x:c>
      <x:c r="I46" t="str">
        <x:v>OK</x:v>
      </x:c>
    </x:row>
    <x:row r="47">
      <x:c r="A47" t="str">
        <x:v>PE-KG01-L24-20251020-AM-ORD-2025-00124</x:v>
      </x:c>
      <x:c r="B47" t="str">
        <x:v>KG01</x:v>
      </x:c>
      <x:c r="C47" t="n">
        <x:v>24</x:v>
      </x:c>
      <x:c r="D47" s="44" t="n">
        <x:v>45950</x:v>
      </x:c>
      <x:c r="E47" t="str">
        <x:v>AM</x:v>
      </x:c>
      <x:c r="F47" t="str">
        <x:v>ORD-2025-00124</x:v>
      </x:c>
      <x:c r="G47" t="n">
        <x:v>441792</x:v>
      </x:c>
      <x:c r="H47" t="n">
        <x:v>14398</x:v>
      </x:c>
      <x:c r="I47" t="str">
        <x:v>CHECK</x:v>
      </x:c>
    </x:row>
    <x:row r="48">
      <x:c r="A48" t="str">
        <x:v>PE-KG01-L24-20251020-PM-ORD-2025-00124</x:v>
      </x:c>
      <x:c r="B48" t="str">
        <x:v>KG01</x:v>
      </x:c>
      <x:c r="C48" t="n">
        <x:v>24</x:v>
      </x:c>
      <x:c r="D48" s="44" t="n">
        <x:v>45950</x:v>
      </x:c>
      <x:c r="E48" t="str">
        <x:v>PM</x:v>
      </x:c>
      <x:c r="F48" t="str">
        <x:v>ORD-2025-00124</x:v>
      </x:c>
      <x:c r="G48" t="n">
        <x:v>440294</x:v>
      </x:c>
      <x:c r="H48" t="n">
        <x:v>17796</x:v>
      </x:c>
      <x:c r="I48" t="str">
        <x:v>CHECK</x:v>
      </x:c>
    </x:row>
    <x:row r="49">
      <x:c r="A49" t="str">
        <x:v>PE-KG01-L24-20251021-AM-ORD-2025-00125</x:v>
      </x:c>
      <x:c r="B49" t="str">
        <x:v>KG01</x:v>
      </x:c>
      <x:c r="C49" t="n">
        <x:v>24</x:v>
      </x:c>
      <x:c r="D49" s="44" t="n">
        <x:v>45951</x:v>
      </x:c>
      <x:c r="E49" t="str">
        <x:v>AM</x:v>
      </x:c>
      <x:c r="F49" t="str">
        <x:v>ORD-2025-00125</x:v>
      </x:c>
      <x:c r="G49" t="n">
        <x:v>176774</x:v>
      </x:c>
      <x:c r="H49" t="n">
        <x:v>6939</x:v>
      </x:c>
      <x:c r="I49" t="str">
        <x:v>OK</x:v>
      </x:c>
    </x:row>
    <x:row r="50">
      <x:c r="A50" t="str">
        <x:v>PE-KG01-L24-20251021-PM-ORD-2025-00125</x:v>
      </x:c>
      <x:c r="B50" t="str">
        <x:v>KG01</x:v>
      </x:c>
      <x:c r="C50" t="n">
        <x:v>24</x:v>
      </x:c>
      <x:c r="D50" s="44" t="n">
        <x:v>45951</x:v>
      </x:c>
      <x:c r="E50" t="str">
        <x:v>PM</x:v>
      </x:c>
      <x:c r="F50" t="str">
        <x:v>ORD-2025-00125</x:v>
      </x:c>
      <x:c r="G50" t="n">
        <x:v>303523</x:v>
      </x:c>
      <x:c r="H50" t="n">
        <x:v>11230</x:v>
      </x:c>
      <x:c r="I50" t="str">
        <x:v>OK</x:v>
      </x:c>
    </x:row>
    <x:row r="51">
      <x:c r="A51" t="str">
        <x:v>PE-KG01-L24-20251022-AM-ORD-2025-00125</x:v>
      </x:c>
      <x:c r="B51" t="str">
        <x:v>KG01</x:v>
      </x:c>
      <x:c r="C51" t="n">
        <x:v>24</x:v>
      </x:c>
      <x:c r="D51" s="44" t="n">
        <x:v>45952</x:v>
      </x:c>
      <x:c r="E51" t="str">
        <x:v>AM</x:v>
      </x:c>
      <x:c r="F51" t="str">
        <x:v>ORD-2025-00125</x:v>
      </x:c>
      <x:c r="G51" t="n">
        <x:v>303264</x:v>
      </x:c>
      <x:c r="H51" t="n">
        <x:v>6331</x:v>
      </x:c>
      <x:c r="I51" t="str">
        <x:v>OK</x:v>
      </x:c>
    </x:row>
    <x:row r="52">
      <x:c r="A52" t="str">
        <x:v>PE-KG01-L24-20251022-PM-ORD-2025-00125</x:v>
      </x:c>
      <x:c r="B52" t="str">
        <x:v>KG01</x:v>
      </x:c>
      <x:c r="C52" t="n">
        <x:v>24</x:v>
      </x:c>
      <x:c r="D52" s="44" t="n">
        <x:v>45952</x:v>
      </x:c>
      <x:c r="E52" t="str">
        <x:v>PM</x:v>
      </x:c>
      <x:c r="F52" t="str">
        <x:v>ORD-2025-00125</x:v>
      </x:c>
      <x:c r="G52" t="n">
        <x:v>301190</x:v>
      </x:c>
      <x:c r="H52" t="n">
        <x:v>12526</x:v>
      </x:c>
      <x:c r="I52" t="str">
        <x:v>OK</x:v>
      </x:c>
    </x:row>
    <x:row r="53">
      <x:c r="A53" t="str">
        <x:v>PE-KG01-L24-20251023-AM-ORD-2025-00125</x:v>
      </x:c>
      <x:c r="B53" t="str">
        <x:v>KG01</x:v>
      </x:c>
      <x:c r="C53" t="n">
        <x:v>24</x:v>
      </x:c>
      <x:c r="D53" s="44" t="n">
        <x:v>45953</x:v>
      </x:c>
      <x:c r="E53" t="str">
        <x:v>AM</x:v>
      </x:c>
      <x:c r="F53" t="str">
        <x:v>ORD-2025-00125</x:v>
      </x:c>
      <x:c r="G53" t="n">
        <x:v>327694</x:v>
      </x:c>
      <x:c r="H53" t="n">
        <x:v>16477</x:v>
      </x:c>
      <x:c r="I53" t="str">
        <x:v>OK</x:v>
      </x:c>
    </x:row>
    <x:row r="54">
      <x:c r="A54" t="str">
        <x:v>PE-KG01-L24-20251023-PM-ORD-2025-00125</x:v>
      </x:c>
      <x:c r="B54" t="str">
        <x:v>KG01</x:v>
      </x:c>
      <x:c r="C54" t="n">
        <x:v>24</x:v>
      </x:c>
      <x:c r="D54" s="44" t="n">
        <x:v>45953</x:v>
      </x:c>
      <x:c r="E54" t="str">
        <x:v>PM</x:v>
      </x:c>
      <x:c r="F54" t="str">
        <x:v>ORD-2025-00125</x:v>
      </x:c>
      <x:c r="G54" t="n">
        <x:v>278705</x:v>
      </x:c>
      <x:c r="H54" t="n">
        <x:v>9377</x:v>
      </x:c>
      <x:c r="I54" t="str">
        <x:v>OK</x:v>
      </x:c>
    </x:row>
    <x:row r="55">
      <x:c r="A55" t="str">
        <x:v>PE-KG01-L24-20251024-AM-ORD-2025-00125</x:v>
      </x:c>
      <x:c r="B55" t="str">
        <x:v>KG01</x:v>
      </x:c>
      <x:c r="C55" t="n">
        <x:v>24</x:v>
      </x:c>
      <x:c r="D55" s="44" t="n">
        <x:v>45954</x:v>
      </x:c>
      <x:c r="E55" t="str">
        <x:v>AM</x:v>
      </x:c>
      <x:c r="F55" t="str">
        <x:v>ORD-2025-00125</x:v>
      </x:c>
      <x:c r="G55" t="n">
        <x:v>275378</x:v>
      </x:c>
      <x:c r="H55" t="n">
        <x:v>13071</x:v>
      </x:c>
      <x:c r="I55" t="str">
        <x:v>OK</x:v>
      </x:c>
    </x:row>
    <x:row r="56">
      <x:c r="A56" t="str">
        <x:v>PE-KG01-L24-20251024-PM-ORD-2025-00125</x:v>
      </x:c>
      <x:c r="B56" t="str">
        <x:v>KG01</x:v>
      </x:c>
      <x:c r="C56" t="n">
        <x:v>24</x:v>
      </x:c>
      <x:c r="D56" s="44" t="n">
        <x:v>45954</x:v>
      </x:c>
      <x:c r="E56" t="str">
        <x:v>PM</x:v>
      </x:c>
      <x:c r="F56" t="str">
        <x:v>ORD-2025-00125</x:v>
      </x:c>
      <x:c r="G56" t="n">
        <x:v>330221</x:v>
      </x:c>
      <x:c r="H56" t="n">
        <x:v>14154</x:v>
      </x:c>
      <x:c r="I56" t="str">
        <x:v>OK</x:v>
      </x:c>
    </x:row>
    <x:row r="57">
      <x:c r="A57" t="str">
        <x:v>PE-KG01-L24-20251025-AM-ORD-2025-00126</x:v>
      </x:c>
      <x:c r="B57" t="str">
        <x:v>KG01</x:v>
      </x:c>
      <x:c r="C57" t="n">
        <x:v>24</x:v>
      </x:c>
      <x:c r="D57" s="44" t="n">
        <x:v>45955</x:v>
      </x:c>
      <x:c r="E57" t="str">
        <x:v>AM</x:v>
      </x:c>
      <x:c r="F57" t="str">
        <x:v>ORD-2025-00126</x:v>
      </x:c>
      <x:c r="G57" t="n">
        <x:v>149054</x:v>
      </x:c>
      <x:c r="H57" t="n">
        <x:v>4816</x:v>
      </x:c>
      <x:c r="I57" t="str">
        <x:v>OK</x:v>
      </x:c>
    </x:row>
    <x:row r="58">
      <x:c r="A58" t="str">
        <x:v>PE-KG01-L24-20251025-PM-ORD-2025-00126</x:v>
      </x:c>
      <x:c r="B58" t="str">
        <x:v>KG01</x:v>
      </x:c>
      <x:c r="C58" t="n">
        <x:v>24</x:v>
      </x:c>
      <x:c r="D58" s="44" t="n">
        <x:v>45955</x:v>
      </x:c>
      <x:c r="E58" t="str">
        <x:v>PM</x:v>
      </x:c>
      <x:c r="F58" t="str">
        <x:v>ORD-2025-00126</x:v>
      </x:c>
      <x:c r="G58" t="n">
        <x:v>150466</x:v>
      </x:c>
      <x:c r="H58" t="n">
        <x:v>6779</x:v>
      </x:c>
      <x:c r="I58" t="str">
        <x:v>OK</x:v>
      </x:c>
    </x:row>
    <x:row r="59">
      <x:c r="A59" t="str">
        <x:v>PE-KG01-L24-20251026-AM-ORD-2025-00126</x:v>
      </x:c>
      <x:c r="B59" t="str">
        <x:v>KG01</x:v>
      </x:c>
      <x:c r="C59" t="n">
        <x:v>24</x:v>
      </x:c>
      <x:c r="D59" s="44" t="n">
        <x:v>45956</x:v>
      </x:c>
      <x:c r="E59" t="str">
        <x:v>AM</x:v>
      </x:c>
      <x:c r="F59" t="str">
        <x:v>ORD-2025-00126</x:v>
      </x:c>
      <x:c r="G59" t="n">
        <x:v>185645</x:v>
      </x:c>
      <x:c r="H59" t="n">
        <x:v>7322</x:v>
      </x:c>
      <x:c r="I59" t="str">
        <x:v>OK</x:v>
      </x:c>
    </x:row>
    <x:row r="60">
      <x:c r="A60" t="str">
        <x:v>PE-KG01-L24-20251026-PM-ORD-2025-00126</x:v>
      </x:c>
      <x:c r="B60" t="str">
        <x:v>KG01</x:v>
      </x:c>
      <x:c r="C60" t="n">
        <x:v>24</x:v>
      </x:c>
      <x:c r="D60" s="44" t="n">
        <x:v>45956</x:v>
      </x:c>
      <x:c r="E60" t="str">
        <x:v>PM</x:v>
      </x:c>
      <x:c r="F60" t="str">
        <x:v>ORD-2025-00126</x:v>
      </x:c>
      <x:c r="G60" t="n">
        <x:v>151632</x:v>
      </x:c>
      <x:c r="H60" t="n">
        <x:v>7085</x:v>
      </x:c>
      <x:c r="I60" t="str">
        <x:v>OK</x:v>
      </x:c>
    </x:row>
    <x:row r="61">
      <x:c r="A61" t="str">
        <x:v>PE-KG01-L25-20251020-AM-ORD-2025-00161</x:v>
      </x:c>
      <x:c r="B61" t="str">
        <x:v>KG01</x:v>
      </x:c>
      <x:c r="C61" t="n">
        <x:v>25</x:v>
      </x:c>
      <x:c r="D61" s="44" t="n">
        <x:v>45950</x:v>
      </x:c>
      <x:c r="E61" t="str">
        <x:v>AM</x:v>
      </x:c>
      <x:c r="F61" t="str">
        <x:v>ORD-2025-00161</x:v>
      </x:c>
      <x:c r="G61" t="n">
        <x:v>112992</x:v>
      </x:c>
      <x:c r="H61" t="n">
        <x:v>2749</x:v>
      </x:c>
      <x:c r="I61" t="str">
        <x:v>OK</x:v>
      </x:c>
    </x:row>
    <x:row r="62">
      <x:c r="A62" t="str">
        <x:v>PE-KG01-L25-20251020-PM-ORD-2025-00161</x:v>
      </x:c>
      <x:c r="B62" t="str">
        <x:v>KG01</x:v>
      </x:c>
      <x:c r="C62" t="n">
        <x:v>25</x:v>
      </x:c>
      <x:c r="D62" s="44" t="n">
        <x:v>45950</x:v>
      </x:c>
      <x:c r="E62" t="str">
        <x:v>PM</x:v>
      </x:c>
      <x:c r="F62" t="str">
        <x:v>ORD-2025-00161</x:v>
      </x:c>
      <x:c r="G62" t="n">
        <x:v>111264</x:v>
      </x:c>
      <x:c r="H62" t="n">
        <x:v>5916</x:v>
      </x:c>
      <x:c r="I62" t="str">
        <x:v>OK</x:v>
      </x:c>
    </x:row>
    <x:row r="63">
      <x:c r="A63" t="str">
        <x:v>PE-KG01-L25-20251021-AM-ORD-2025-00161</x:v>
      </x:c>
      <x:c r="B63" t="str">
        <x:v>KG01</x:v>
      </x:c>
      <x:c r="C63" t="n">
        <x:v>25</x:v>
      </x:c>
      <x:c r="D63" s="44" t="n">
        <x:v>45951</x:v>
      </x:c>
      <x:c r="E63" t="str">
        <x:v>AM</x:v>
      </x:c>
      <x:c r="F63" t="str">
        <x:v>ORD-2025-00161</x:v>
      </x:c>
      <x:c r="G63" t="n">
        <x:v>102384</x:v>
      </x:c>
      <x:c r="H63" t="n">
        <x:v>5268</x:v>
      </x:c>
      <x:c r="I63" t="str">
        <x:v>OK</x:v>
      </x:c>
    </x:row>
    <x:row r="64">
      <x:c r="A64" t="str">
        <x:v>PE-KG01-L25-20251021-PM-ORD-2025-00161</x:v>
      </x:c>
      <x:c r="B64" t="str">
        <x:v>KG01</x:v>
      </x:c>
      <x:c r="C64" t="n">
        <x:v>25</x:v>
      </x:c>
      <x:c r="D64" s="44" t="n">
        <x:v>45951</x:v>
      </x:c>
      <x:c r="E64" t="str">
        <x:v>PM</x:v>
      </x:c>
      <x:c r="F64" t="str">
        <x:v>ORD-2025-00161</x:v>
      </x:c>
      <x:c r="G64" t="n">
        <x:v>101779</x:v>
      </x:c>
      <x:c r="H64" t="n">
        <x:v>5792</x:v>
      </x:c>
      <x:c r="I64" t="str">
        <x:v>OK</x:v>
      </x:c>
    </x:row>
    <x:row r="65">
      <x:c r="A65" t="str">
        <x:v>PE-KG01-L25-20251022-AM-ORD-2025-00161</x:v>
      </x:c>
      <x:c r="B65" t="str">
        <x:v>KG01</x:v>
      </x:c>
      <x:c r="C65" t="n">
        <x:v>25</x:v>
      </x:c>
      <x:c r="D65" s="44" t="n">
        <x:v>45952</x:v>
      </x:c>
      <x:c r="E65" t="str">
        <x:v>AM</x:v>
      </x:c>
      <x:c r="F65" t="str">
        <x:v>ORD-2025-00161</x:v>
      </x:c>
      <x:c r="G65" t="n">
        <x:v>99187</x:v>
      </x:c>
      <x:c r="H65" t="n">
        <x:v>4270</x:v>
      </x:c>
      <x:c r="I65" t="str">
        <x:v>OK</x:v>
      </x:c>
    </x:row>
    <x:row r="66">
      <x:c r="A66" t="str">
        <x:v>PE-KG01-L25-20251022-PM-ORD-2025-00161</x:v>
      </x:c>
      <x:c r="B66" t="str">
        <x:v>KG01</x:v>
      </x:c>
      <x:c r="C66" t="n">
        <x:v>25</x:v>
      </x:c>
      <x:c r="D66" s="44" t="n">
        <x:v>45952</x:v>
      </x:c>
      <x:c r="E66" t="str">
        <x:v>PM</x:v>
      </x:c>
      <x:c r="F66" t="str">
        <x:v>ORD-2025-00161</x:v>
      </x:c>
      <x:c r="G66" t="n">
        <x:v>99533</x:v>
      </x:c>
      <x:c r="H66" t="n">
        <x:v>6183</x:v>
      </x:c>
      <x:c r="I66" t="str">
        <x:v>OK</x:v>
      </x:c>
    </x:row>
    <x:row r="67">
      <x:c r="A67" t="str">
        <x:v>PE-KG01-L25-20251023-AM-ORD-2025-00162</x:v>
      </x:c>
      <x:c r="B67" t="str">
        <x:v>KG01</x:v>
      </x:c>
      <x:c r="C67" t="n">
        <x:v>25</x:v>
      </x:c>
      <x:c r="D67" s="44" t="n">
        <x:v>45953</x:v>
      </x:c>
      <x:c r="E67" t="str">
        <x:v>AM</x:v>
      </x:c>
      <x:c r="F67" t="str">
        <x:v>ORD-2025-00162</x:v>
      </x:c>
      <x:c r="G67" t="n">
        <x:v>128909</x:v>
      </x:c>
      <x:c r="H67" t="n">
        <x:v>6613</x:v>
      </x:c>
      <x:c r="I67" t="str">
        <x:v>OK</x:v>
      </x:c>
    </x:row>
    <x:row r="68">
      <x:c r="A68" t="str">
        <x:v>PE-KG01-L25-20251023-PM-ORD-2025-00162</x:v>
      </x:c>
      <x:c r="B68" t="str">
        <x:v>KG01</x:v>
      </x:c>
      <x:c r="C68" t="n">
        <x:v>25</x:v>
      </x:c>
      <x:c r="D68" s="44" t="n">
        <x:v>45953</x:v>
      </x:c>
      <x:c r="E68" t="str">
        <x:v>PM</x:v>
      </x:c>
      <x:c r="F68" t="str">
        <x:v>ORD-2025-00162</x:v>
      </x:c>
      <x:c r="G68" t="n">
        <x:v>198547</x:v>
      </x:c>
      <x:c r="H68" t="n">
        <x:v>12718</x:v>
      </x:c>
      <x:c r="I68" t="str">
        <x:v>OK</x:v>
      </x:c>
    </x:row>
    <x:row r="69">
      <x:c r="A69" t="str">
        <x:v>PE-KG01-L25-20251024-AM-ORD-2025-00162</x:v>
      </x:c>
      <x:c r="B69" t="str">
        <x:v>KG01</x:v>
      </x:c>
      <x:c r="C69" t="n">
        <x:v>25</x:v>
      </x:c>
      <x:c r="D69" s="44" t="n">
        <x:v>45954</x:v>
      </x:c>
      <x:c r="E69" t="str">
        <x:v>AM</x:v>
      </x:c>
      <x:c r="F69" t="str">
        <x:v>ORD-2025-00162</x:v>
      </x:c>
      <x:c r="G69" t="n">
        <x:v>184219</x:v>
      </x:c>
      <x:c r="H69" t="n">
        <x:v>10139</x:v>
      </x:c>
      <x:c r="I69" t="str">
        <x:v>OK</x:v>
      </x:c>
    </x:row>
    <x:row r="70">
      <x:c r="A70" t="str">
        <x:v>PE-KG01-L25-20251024-PM-ORD-2025-00162</x:v>
      </x:c>
      <x:c r="B70" t="str">
        <x:v>KG01</x:v>
      </x:c>
      <x:c r="C70" t="n">
        <x:v>25</x:v>
      </x:c>
      <x:c r="D70" s="44" t="n">
        <x:v>45954</x:v>
      </x:c>
      <x:c r="E70" t="str">
        <x:v>PM</x:v>
      </x:c>
      <x:c r="F70" t="str">
        <x:v>ORD-2025-00162</x:v>
      </x:c>
      <x:c r="G70" t="n">
        <x:v>183586</x:v>
      </x:c>
      <x:c r="H70" t="n">
        <x:v>11342</x:v>
      </x:c>
      <x:c r="I70" t="str">
        <x:v>OK</x:v>
      </x:c>
    </x:row>
    <x:row r="71">
      <x:c r="A71" t="str">
        <x:v>PE-KG01-L25-20251025-AM-ORD-2025-00162</x:v>
      </x:c>
      <x:c r="B71" t="str">
        <x:v>KG01</x:v>
      </x:c>
      <x:c r="C71" t="n">
        <x:v>25</x:v>
      </x:c>
      <x:c r="D71" s="44" t="n">
        <x:v>45955</x:v>
      </x:c>
      <x:c r="E71" t="str">
        <x:v>AM</x:v>
      </x:c>
      <x:c r="F71" t="str">
        <x:v>ORD-2025-00162</x:v>
      </x:c>
      <x:c r="G71" t="n">
        <x:v>182794</x:v>
      </x:c>
      <x:c r="H71" t="n">
        <x:v>9330</x:v>
      </x:c>
      <x:c r="I71" t="str">
        <x:v>OK</x:v>
      </x:c>
    </x:row>
    <x:row r="72">
      <x:c r="A72" t="str">
        <x:v>PE-KG01-L25-20251025-PM-ORD-2025-00162</x:v>
      </x:c>
      <x:c r="B72" t="str">
        <x:v>KG01</x:v>
      </x:c>
      <x:c r="C72" t="n">
        <x:v>25</x:v>
      </x:c>
      <x:c r="D72" s="44" t="n">
        <x:v>45955</x:v>
      </x:c>
      <x:c r="E72" t="str">
        <x:v>PM</x:v>
      </x:c>
      <x:c r="F72" t="str">
        <x:v>ORD-2025-00162</x:v>
      </x:c>
      <x:c r="G72" t="n">
        <x:v>202694</x:v>
      </x:c>
      <x:c r="H72" t="n">
        <x:v>6003</x:v>
      </x:c>
      <x:c r="I72" t="str">
        <x:v>OK</x:v>
      </x:c>
    </x:row>
    <x:row r="73">
      <x:c r="A73" t="str">
        <x:v>PE-KG01-L25-20251026-AM-ORD-2025-00162</x:v>
      </x:c>
      <x:c r="B73" t="str">
        <x:v>KG01</x:v>
      </x:c>
      <x:c r="C73" t="n">
        <x:v>25</x:v>
      </x:c>
      <x:c r="D73" s="44" t="n">
        <x:v>45956</x:v>
      </x:c>
      <x:c r="E73" t="str">
        <x:v>AM</x:v>
      </x:c>
      <x:c r="F73" t="str">
        <x:v>ORD-2025-00162</x:v>
      </x:c>
      <x:c r="G73" t="n">
        <x:v>200966</x:v>
      </x:c>
      <x:c r="H73" t="n">
        <x:v>13046</x:v>
      </x:c>
      <x:c r="I73" t="str">
        <x:v>OK</x:v>
      </x:c>
    </x:row>
    <x:row r="74">
      <x:c r="A74" t="str">
        <x:v>PE-KG01-L25-20251026-PM-ORD-2025-00162</x:v>
      </x:c>
      <x:c r="B74" t="str">
        <x:v>KG01</x:v>
      </x:c>
      <x:c r="C74" t="n">
        <x:v>25</x:v>
      </x:c>
      <x:c r="D74" s="44" t="n">
        <x:v>45956</x:v>
      </x:c>
      <x:c r="E74" t="str">
        <x:v>PM</x:v>
      </x:c>
      <x:c r="F74" t="str">
        <x:v>ORD-2025-00162</x:v>
      </x:c>
      <x:c r="G74" t="n">
        <x:v>185962</x:v>
      </x:c>
      <x:c r="H74" t="n">
        <x:v>8299</x:v>
      </x:c>
      <x:c r="I74" t="str">
        <x:v>OK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be1e1c85a97440f5"/>
  </x:tableParts>
</x:worksheet>
</file>

<file path=xl/worksheets/sheet5.xml><?xml version="1.0" encoding="utf-8"?>
<x:worksheet xmlns:x="http://schemas.openxmlformats.org/spreadsheetml/2006/main">
  <x:sheetFormatPr defaultRowHeight="15"/>
  <x:sheetData>
    <x:row r="1">
      <x:c r="A1" s="25" t="str">
        <x:v>VALIDATION LISTS</x:v>
      </x:c>
    </x:row>
    <x:row r="2">
      <x:c r="A2" s="30" t="str">
        <x:v>Supporting audit/status lists.</x:v>
      </x:c>
    </x:row>
    <x:row r="4">
      <x:c r="A4" s="38" t="str">
        <x:v>RecordStatus</x:v>
      </x:c>
    </x:row>
    <x:row r="5">
      <x:c r="A5" t="str">
        <x:v>Active</x:v>
      </x:c>
    </x:row>
    <x:row r="6">
      <x:c r="A6" t="str">
        <x:v>Inactive</x:v>
      </x:c>
    </x:row>
    <x:row r="7">
      <x:c r="A7" t="str">
        <x:v>Archived</x:v>
      </x:c>
    </x:row>
  </x:sheetData>
  <x:pageMargins left="0.7" right="0.7" top="0.75" bottom="0.75" header="0.3" footer="0.3"/>
  <x:tableParts count="1">
    <x:tablePart xmlns:r="http://schemas.openxmlformats.org/officeDocument/2006/relationships" r:id="R5f1aaac0679f4a2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34" hidden="0" customWidth="1"/>
    <x:col min="4" max="4" width="42" hidden="0" customWidth="1"/>
    <x:col min="5" max="5" width="55" hidden="0" customWidth="1"/>
  </x:cols>
  <x:sheetData>
    <x:row r="1">
      <x:c r="A1" s="25" t="str">
        <x:v>QUALITY MEASURE SEMANTICS</x:v>
      </x:c>
      <x:c r="B1" s="25"/>
      <x:c r="C1" s="25"/>
      <x:c r="D1" s="25"/>
      <x:c r="E1" s="25"/>
    </x:row>
    <x:row r="2">
      <x:c r="A2" s="30" t="str">
        <x:v>Sampling observations and production reject/rework quantities have different grains and must not be conflated.</x:v>
      </x:c>
      <x:c r="B2" s="30"/>
      <x:c r="C2" s="30"/>
      <x:c r="D2" s="30"/>
      <x:c r="E2" s="30"/>
    </x:row>
    <x:row r="4" ht="36" customHeight="1">
      <x:c r="A4" s="38" t="str">
        <x:v>Metric</x:v>
      </x:c>
      <x:c r="B4" s="38" t="str">
        <x:v>Grain</x:v>
      </x:c>
      <x:c r="C4" s="38" t="str">
        <x:v>AggregationRule</x:v>
      </x:c>
      <x:c r="D4" s="38" t="str">
        <x:v>BusinessMeaning</x:v>
      </x:c>
      <x:c r="E4" s="38" t="str">
        <x:v>DoNotDo</x:v>
      </x:c>
    </x:row>
    <x:row r="5">
      <x:c r="A5" t="str">
        <x:v>DefectRate</x:v>
      </x:c>
      <x:c r="B5" t="str">
        <x:v>Sampling event + defect</x:v>
      </x:c>
      <x:c r="C5" t="str">
        <x:v>SUM(DefectQty)/SUM(TotalSamples)</x:v>
      </x:c>
      <x:c r="D5" t="str">
        <x:v>Observed sample defect rate</x:v>
      </x:c>
      <x:c r="E5" t="str">
        <x:v>Do not SUM rates or treat sample count as production reject.</x:v>
      </x:c>
    </x:row>
    <x:row r="6">
      <x:c r="A6" t="str">
        <x:v>Sampling Quantity</x:v>
      </x:c>
      <x:c r="B6" t="str">
        <x:v>Sampling event + defect</x:v>
      </x:c>
      <x:c r="C6" t="str">
        <x:v>Contextual / sample only</x:v>
      </x:c>
      <x:c r="D6" t="str">
        <x:v>Defects observed in sampled articles</x:v>
      </x:c>
      <x:c r="E6" t="str">
        <x:v>Do not add directly to TotalReject.</x:v>
      </x:c>
    </x:row>
    <x:row r="7">
      <x:c r="A7" t="str">
        <x:v>ReworkedUnits</x:v>
      </x:c>
      <x:c r="B7" t="str">
        <x:v>ProductionEvent + ReworkStatus</x:v>
      </x:c>
      <x:c r="C7" t="str">
        <x:v>SUM</x:v>
      </x:c>
      <x:c r="D7" t="str">
        <x:v>Quantity sent through the rework flow</x:v>
      </x:c>
      <x:c r="E7" t="str">
        <x:v>Do not force equality with TotalReject.</x:v>
      </x:c>
    </x:row>
    <x:row r="8">
      <x:c r="A8" t="str">
        <x:v>Move to Cullet</x:v>
      </x:c>
      <x:c r="B8" t="str">
        <x:v>ProductionEvent + ReworkStatus</x:v>
      </x:c>
      <x:c r="C8" t="str">
        <x:v>SUM</x:v>
      </x:c>
      <x:c r="D8" t="str">
        <x:v>Rework quantity ultimately moved to cullet</x:v>
      </x:c>
      <x:c r="E8" t="str">
        <x:v>Reconcile to broader reject flow; grains/timing may differ.</x:v>
      </x:c>
    </x:row>
    <x:row r="9">
      <x:c r="A9" t="str">
        <x:v>Production TotalReject</x:v>
      </x:c>
      <x:c r="B9" t="str">
        <x:v>ProductionEvent</x:v>
      </x:c>
      <x:c r="C9" t="str">
        <x:v>SUM</x:v>
      </x:c>
      <x:c r="D9" t="str">
        <x:v>Production material-balance reject quantity</x:v>
      </x:c>
      <x:c r="E9" t="str">
        <x:v>Use as production fact, not sampling measure.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72dcfada9d8248b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60" hidden="0" customWidth="1"/>
    <x:col min="7" max="7" width="18" hidden="0" customWidth="1"/>
    <x:col min="8" max="8" width="18" hidden="0" customWidth="1"/>
  </x:cols>
  <x:sheetData>
    <x:row r="1">
      <x:c r="A1" s="25" t="str">
        <x:v>DATA QUALITY QUARANTINE</x:v>
      </x:c>
      <x:c r="B1" s="25"/>
      <x:c r="C1" s="25"/>
      <x:c r="D1" s="25"/>
      <x:c r="E1" s="25"/>
      <x:c r="F1" s="25"/>
      <x:c r="G1" s="25"/>
      <x:c r="H1" s="25"/>
    </x:row>
    <x:row r="2">
      <x:c r="A2" s="30" t="str">
        <x:v>Records failing source/FK/quantity checks remain traceable and should be quarantined in ETL.</x:v>
      </x:c>
      <x:c r="B2" s="30"/>
      <x:c r="C2" s="30"/>
      <x:c r="D2" s="30"/>
      <x:c r="E2" s="30"/>
      <x:c r="F2" s="30"/>
      <x:c r="G2" s="30"/>
      <x:c r="H2" s="30"/>
    </x:row>
    <x:row r="4" ht="36" customHeight="1">
      <x:c r="A4" s="38" t="str">
        <x:v>ExceptionID</x:v>
      </x:c>
      <x:c r="B4" s="38" t="str">
        <x:v>SourceSheet</x:v>
      </x:c>
      <x:c r="C4" s="38" t="str">
        <x:v>RecordID</x:v>
      </x:c>
      <x:c r="D4" s="38" t="str">
        <x:v>RuleID</x:v>
      </x:c>
      <x:c r="E4" s="38" t="str">
        <x:v>Severity</x:v>
      </x:c>
      <x:c r="F4" s="38" t="str">
        <x:v>Issue</x:v>
      </x:c>
      <x:c r="G4" s="38" t="str">
        <x:v>LoadDecision</x:v>
      </x:c>
      <x:c r="H4" s="38" t="str">
        <x:v>ResolutionStatus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44" hidden="0" customWidth="1"/>
    <x:col min="4" max="4" width="42" hidden="0" customWidth="1"/>
  </x:cols>
  <x:sheetData>
    <x:row r="1">
      <x:c r="A1" s="25" t="str">
        <x:v>QUALITY WORKBOOK — ENHANCED MODEL</x:v>
      </x:c>
      <x:c r="B1" s="25"/>
      <x:c r="C1" s="25"/>
      <x:c r="D1" s="25"/>
    </x:row>
    <x:row r="2">
      <x:c r="A2" s="30" t="str">
        <x:v>Quality facts now carry ProductionEventID and explicit measure semantics.</x:v>
      </x:c>
      <x:c r="B2" s="30"/>
      <x:c r="C2" s="30"/>
      <x:c r="D2" s="30"/>
    </x:row>
    <x:row r="4" ht="36" customHeight="1">
      <x:c r="A4" s="38" t="str">
        <x:v>Enhancement</x:v>
      </x:c>
      <x:c r="B4" s="38" t="str">
        <x:v>ImplementedAs</x:v>
      </x:c>
      <x:c r="C4" s="38" t="str">
        <x:v>Rule</x:v>
      </x:c>
      <x:c r="D4" s="38" t="str">
        <x:v>PowerBIUse</x:v>
      </x:c>
    </x:row>
    <x:row r="5">
      <x:c r="A5" t="str">
        <x:v>Central production key</x:v>
      </x:c>
      <x:c r="B5" t="str">
        <x:v>ProductionEventID</x:v>
      </x:c>
      <x:c r="C5" t="str">
        <x:v>Resolve each sampling/rework row to one production event</x:v>
      </x:c>
      <x:c r="D5" t="str">
        <x:v>Use event key instead of Date+Line+Shift+Order joins.</x:v>
      </x:c>
    </x:row>
    <x:row r="6">
      <x:c r="A6" t="str">
        <x:v>Sampling rate</x:v>
      </x:c>
      <x:c r="B6" t="str">
        <x:v>DefectRate</x:v>
      </x:c>
      <x:c r="C6" t="str">
        <x:v>Quantity / TotalSamples</x:v>
      </x:c>
      <x:c r="D6" t="str">
        <x:v>Weighted numerator/denominator measure.</x:v>
      </x:c>
    </x:row>
    <x:row r="7">
      <x:c r="A7" t="str">
        <x:v>Sampling vs rejects</x:v>
      </x:c>
      <x:c r="B7" t="str">
        <x:v>QualitySemantics</x:v>
      </x:c>
      <x:c r="C7" t="str">
        <x:v>Sampling is observational</x:v>
      </x:c>
      <x:c r="D7" t="str">
        <x:v>Never treat sampled defects as actual production scrap.</x:v>
      </x:c>
    </x:row>
    <x:row r="8">
      <x:c r="A8" t="str">
        <x:v>Rework reconciliation</x:v>
      </x:c>
      <x:c r="B8" t="str">
        <x:v>ReconciliationRule</x:v>
      </x:c>
      <x:c r="C8" t="str">
        <x:v>Reconcile, do not force equality</x:v>
      </x:c>
      <x:c r="D8" t="str">
        <x:v>Rework and reject facts may differ by timing/status/grain.</x:v>
      </x:c>
    </x:row>
    <x:row r="9">
      <x:c r="A9" t="str">
        <x:v>Data quality gate</x:v>
      </x:c>
      <x:c r="B9" t="str">
        <x:v>DataQualityCheck + LoadDecision</x:v>
      </x:c>
      <x:c r="C9" t="str">
        <x:v>CHECK → QUARANTINE</x:v>
      </x:c>
      <x:c r="D9" t="str">
        <x:v>Retain bad records for investigation.</x:v>
      </x:c>
    </x:row>
    <x:row r="10">
      <x:c r="A10" t="str">
        <x:v>Audit lineage</x:v>
      </x:c>
      <x:c r="B10" t="str">
        <x:v>SourceFile + LoadBatchID + RecordStatus</x:v>
      </x:c>
      <x:c r="C10" t="str">
        <x:v>Trace source/load batch</x:v>
      </x:c>
      <x:c r="D10" t="str">
        <x:v>Created/Modified fields reserved for operations.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6bc9fcb0819b4ab3"/>
  </x:tableParts>
</x:worksheet>
</file>